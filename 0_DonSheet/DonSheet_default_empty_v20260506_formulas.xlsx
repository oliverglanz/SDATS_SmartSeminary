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https://liveandrews-my.sharepoint.com/personal/glanz_andrews_edu/Documents/0000_EfficiencyWithIT/SmartSeminary/DonSheet/"/>
    </mc:Choice>
  </mc:AlternateContent>
  <xr:revisionPtr revIDLastSave="2" documentId="11_D8249FA9551B9CCC0C1A9DA67F7F6C7D627BDFB1" xr6:coauthVersionLast="47" xr6:coauthVersionMax="47" xr10:uidLastSave="{39228F2C-2EB6-D643-973A-DF0EF347F702}"/>
  <bookViews>
    <workbookView xWindow="0" yWindow="600" windowWidth="32000" windowHeight="17400" activeTab="10" xr2:uid="{00000000-000D-0000-FFFF-FFFF00000000}"/>
  </bookViews>
  <sheets>
    <sheet name="CHIS" sheetId="1" r:id="rId1"/>
    <sheet name="DSLE" sheetId="2" r:id="rId2"/>
    <sheet name="GSEM" sheetId="3" r:id="rId3"/>
    <sheet name="MSSN" sheetId="4" r:id="rId4"/>
    <sheet name="NTST" sheetId="5" r:id="rId5"/>
    <sheet name="OTST" sheetId="6" r:id="rId6"/>
    <sheet name="PATH" sheetId="7" r:id="rId7"/>
    <sheet name="THST" sheetId="8" r:id="rId8"/>
    <sheet name="MDivHISP_MAPmENGL_MAPmHISP" sheetId="9" r:id="rId9"/>
    <sheet name="MA_Religion" sheetId="10" r:id="rId10"/>
    <sheet name="DMIN" sheetId="11" r:id="rId11"/>
    <sheet name="InstructorMap" sheetId="12" state="hidden" r:id="rId12"/>
    <sheet name="DropDownMenu" sheetId="13" state="hidden" r:id="rId13"/>
    <sheet name="_names_lookup" sheetId="14" state="hidden" r:id="rId14"/>
    <sheet name="_courses_lookup" sheetId="15" state="hidden" r:id="rId15"/>
  </sheets>
  <externalReferences>
    <externalReference r:id="rId16"/>
  </externalReferences>
  <definedNames>
    <definedName name="_xlnm._FilterDatabase" localSheetId="0" hidden="1">CHIS!$A$1:$DR$18</definedName>
    <definedName name="_xlnm._FilterDatabase" localSheetId="10" hidden="1">DMIN!$A$1:$DQ$1</definedName>
    <definedName name="_xlnm._FilterDatabase" localSheetId="1" hidden="1">DSLE!$A$1:$DQ$1</definedName>
    <definedName name="_xlnm._FilterDatabase" localSheetId="2" hidden="1">GSEM!$A$1:$DQ$1</definedName>
    <definedName name="_xlnm._FilterDatabase" localSheetId="11" hidden="1">InstructorMap!$A$1:$C$258</definedName>
    <definedName name="_xlnm._FilterDatabase" localSheetId="9" hidden="1">MA_Religion!$A$1:$DQ$40</definedName>
    <definedName name="_xlnm._FilterDatabase" localSheetId="8" hidden="1">MDivHISP_MAPmENGL_MAPmHISP!$A$1:$DQ$40</definedName>
    <definedName name="_xlnm._FilterDatabase" localSheetId="3" hidden="1">MSSN!$A$1:$DQ$5</definedName>
    <definedName name="_xlnm._FilterDatabase" localSheetId="4" hidden="1">NTST!$A$1:$DQ$1</definedName>
    <definedName name="_xlnm._FilterDatabase" localSheetId="5" hidden="1">OTST!$A$1:$DQ$18</definedName>
    <definedName name="_xlnm._FilterDatabase" localSheetId="6" hidden="1">PATH!$A$1:$DQ$1</definedName>
    <definedName name="_xlnm._FilterDatabase" localSheetId="7" hidden="1">THST!$A$1:$DQ$7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2" i="11" l="1"/>
  <c r="BL2" i="11"/>
  <c r="BH2" i="11"/>
  <c r="BG2" i="11"/>
  <c r="AQ2" i="11"/>
  <c r="AL2" i="11"/>
  <c r="AG2" i="11"/>
  <c r="P2" i="11"/>
  <c r="O2" i="11"/>
  <c r="BD300" i="13"/>
  <c r="BC300" i="13"/>
  <c r="AY300" i="13"/>
  <c r="AX300" i="13"/>
  <c r="AG300" i="13"/>
  <c r="AM300" i="13" s="1"/>
  <c r="AD300" i="13"/>
  <c r="O300" i="13"/>
  <c r="N300" i="13"/>
  <c r="BD299" i="13"/>
  <c r="BC299" i="13"/>
  <c r="AY299" i="13"/>
  <c r="AX299" i="13"/>
  <c r="AI299" i="13"/>
  <c r="AK299" i="13" s="1"/>
  <c r="AG299" i="13"/>
  <c r="AM299" i="13" s="1"/>
  <c r="AD299" i="13"/>
  <c r="AL299" i="13" s="1"/>
  <c r="O299" i="13"/>
  <c r="N299" i="13"/>
  <c r="BD298" i="13"/>
  <c r="BC298" i="13"/>
  <c r="AY298" i="13"/>
  <c r="AX298" i="13"/>
  <c r="AG298" i="13"/>
  <c r="AI298" i="13" s="1"/>
  <c r="AL298" i="13" s="1"/>
  <c r="AD298" i="13"/>
  <c r="AK298" i="13" s="1"/>
  <c r="O298" i="13"/>
  <c r="N298" i="13"/>
  <c r="BD297" i="13"/>
  <c r="BC297" i="13"/>
  <c r="AY297" i="13"/>
  <c r="AX297" i="13"/>
  <c r="AK297" i="13"/>
  <c r="AI297" i="13"/>
  <c r="AG297" i="13"/>
  <c r="AM297" i="13" s="1"/>
  <c r="AD297" i="13"/>
  <c r="AL297" i="13" s="1"/>
  <c r="O297" i="13"/>
  <c r="N297" i="13"/>
  <c r="BD296" i="13"/>
  <c r="BC296" i="13"/>
  <c r="AY296" i="13"/>
  <c r="AX296" i="13"/>
  <c r="AM296" i="13"/>
  <c r="AL296" i="13"/>
  <c r="AI296" i="13"/>
  <c r="AG296" i="13"/>
  <c r="AD296" i="13"/>
  <c r="AK296" i="13" s="1"/>
  <c r="O296" i="13"/>
  <c r="N296" i="13"/>
  <c r="BD295" i="13"/>
  <c r="BC295" i="13"/>
  <c r="AY295" i="13"/>
  <c r="AX295" i="13"/>
  <c r="AG295" i="13"/>
  <c r="AM295" i="13" s="1"/>
  <c r="AD295" i="13"/>
  <c r="O295" i="13"/>
  <c r="N295" i="13"/>
  <c r="BD294" i="13"/>
  <c r="BC294" i="13"/>
  <c r="AY294" i="13"/>
  <c r="AX294" i="13"/>
  <c r="AI294" i="13"/>
  <c r="AL294" i="13" s="1"/>
  <c r="AG294" i="13"/>
  <c r="AM294" i="13" s="1"/>
  <c r="AD294" i="13"/>
  <c r="O294" i="13"/>
  <c r="N294" i="13"/>
  <c r="BD293" i="13"/>
  <c r="BC293" i="13"/>
  <c r="AY293" i="13"/>
  <c r="AX293" i="13"/>
  <c r="AG293" i="13"/>
  <c r="AI293" i="13" s="1"/>
  <c r="AL293" i="13" s="1"/>
  <c r="AD293" i="13"/>
  <c r="AK293" i="13" s="1"/>
  <c r="O293" i="13"/>
  <c r="N293" i="13"/>
  <c r="BD292" i="13"/>
  <c r="BC292" i="13"/>
  <c r="AY292" i="13"/>
  <c r="AX292" i="13"/>
  <c r="AK292" i="13"/>
  <c r="AI292" i="13"/>
  <c r="AG292" i="13"/>
  <c r="AM292" i="13" s="1"/>
  <c r="AD292" i="13"/>
  <c r="AL292" i="13" s="1"/>
  <c r="O292" i="13"/>
  <c r="N292" i="13"/>
  <c r="BD291" i="13"/>
  <c r="BC291" i="13"/>
  <c r="AY291" i="13"/>
  <c r="AX291" i="13"/>
  <c r="AM291" i="13"/>
  <c r="AL291" i="13"/>
  <c r="AI291" i="13"/>
  <c r="AG291" i="13"/>
  <c r="AD291" i="13"/>
  <c r="AK291" i="13" s="1"/>
  <c r="O291" i="13"/>
  <c r="N291" i="13"/>
  <c r="BD290" i="13"/>
  <c r="BC290" i="13"/>
  <c r="AY290" i="13"/>
  <c r="AX290" i="13"/>
  <c r="AG290" i="13"/>
  <c r="AM290" i="13" s="1"/>
  <c r="AD290" i="13"/>
  <c r="O290" i="13"/>
  <c r="N290" i="13"/>
  <c r="BD289" i="13"/>
  <c r="BC289" i="13"/>
  <c r="AY289" i="13"/>
  <c r="AX289" i="13"/>
  <c r="AI289" i="13"/>
  <c r="AL289" i="13" s="1"/>
  <c r="AG289" i="13"/>
  <c r="AM289" i="13" s="1"/>
  <c r="AD289" i="13"/>
  <c r="O289" i="13"/>
  <c r="N289" i="13"/>
  <c r="BD288" i="13"/>
  <c r="BC288" i="13"/>
  <c r="AY288" i="13"/>
  <c r="AX288" i="13"/>
  <c r="AG288" i="13"/>
  <c r="AI288" i="13" s="1"/>
  <c r="AL288" i="13" s="1"/>
  <c r="AD288" i="13"/>
  <c r="O288" i="13"/>
  <c r="N288" i="13"/>
  <c r="BD287" i="13"/>
  <c r="BC287" i="13"/>
  <c r="AY287" i="13"/>
  <c r="AX287" i="13"/>
  <c r="AK287" i="13"/>
  <c r="AI287" i="13"/>
  <c r="AG287" i="13"/>
  <c r="AM287" i="13" s="1"/>
  <c r="AD287" i="13"/>
  <c r="AL287" i="13" s="1"/>
  <c r="O287" i="13"/>
  <c r="N287" i="13"/>
  <c r="BD286" i="13"/>
  <c r="BC286" i="13"/>
  <c r="AY286" i="13"/>
  <c r="AX286" i="13"/>
  <c r="AM286" i="13"/>
  <c r="AL286" i="13"/>
  <c r="AI286" i="13"/>
  <c r="AK286" i="13" s="1"/>
  <c r="AG286" i="13"/>
  <c r="AD286" i="13"/>
  <c r="O286" i="13"/>
  <c r="N286" i="13"/>
  <c r="BD285" i="13"/>
  <c r="BC285" i="13"/>
  <c r="AY285" i="13"/>
  <c r="AX285" i="13"/>
  <c r="AG285" i="13"/>
  <c r="AM285" i="13" s="1"/>
  <c r="AD285" i="13"/>
  <c r="O285" i="13"/>
  <c r="N285" i="13"/>
  <c r="BD284" i="13"/>
  <c r="BC284" i="13"/>
  <c r="AY284" i="13"/>
  <c r="AX284" i="13"/>
  <c r="AI284" i="13"/>
  <c r="AL284" i="13" s="1"/>
  <c r="AG284" i="13"/>
  <c r="AM284" i="13" s="1"/>
  <c r="AD284" i="13"/>
  <c r="O284" i="13"/>
  <c r="N284" i="13"/>
  <c r="BD283" i="13"/>
  <c r="BC283" i="13"/>
  <c r="AY283" i="13"/>
  <c r="AX283" i="13"/>
  <c r="AG283" i="13"/>
  <c r="AI283" i="13" s="1"/>
  <c r="AL283" i="13" s="1"/>
  <c r="AD283" i="13"/>
  <c r="O283" i="13"/>
  <c r="N283" i="13"/>
  <c r="BD282" i="13"/>
  <c r="BC282" i="13"/>
  <c r="AY282" i="13"/>
  <c r="AX282" i="13"/>
  <c r="AK282" i="13"/>
  <c r="AI282" i="13"/>
  <c r="AG282" i="13"/>
  <c r="AM282" i="13" s="1"/>
  <c r="AD282" i="13"/>
  <c r="AL282" i="13" s="1"/>
  <c r="O282" i="13"/>
  <c r="N282" i="13"/>
  <c r="BD281" i="13"/>
  <c r="BC281" i="13"/>
  <c r="AY281" i="13"/>
  <c r="AX281" i="13"/>
  <c r="AM281" i="13"/>
  <c r="AL281" i="13"/>
  <c r="AI281" i="13"/>
  <c r="AK281" i="13" s="1"/>
  <c r="AG281" i="13"/>
  <c r="AD281" i="13"/>
  <c r="O281" i="13"/>
  <c r="N281" i="13"/>
  <c r="BD280" i="13"/>
  <c r="BC280" i="13"/>
  <c r="AY280" i="13"/>
  <c r="AX280" i="13"/>
  <c r="AG280" i="13"/>
  <c r="AM280" i="13" s="1"/>
  <c r="AD280" i="13"/>
  <c r="O280" i="13"/>
  <c r="N280" i="13"/>
  <c r="BD279" i="13"/>
  <c r="BC279" i="13"/>
  <c r="AY279" i="13"/>
  <c r="AX279" i="13"/>
  <c r="AI279" i="13"/>
  <c r="AL279" i="13" s="1"/>
  <c r="AG279" i="13"/>
  <c r="AM279" i="13" s="1"/>
  <c r="AD279" i="13"/>
  <c r="O279" i="13"/>
  <c r="N279" i="13"/>
  <c r="BD278" i="13"/>
  <c r="BC278" i="13"/>
  <c r="AY278" i="13"/>
  <c r="AX278" i="13"/>
  <c r="AG278" i="13"/>
  <c r="AI278" i="13" s="1"/>
  <c r="AL278" i="13" s="1"/>
  <c r="AD278" i="13"/>
  <c r="AK278" i="13" s="1"/>
  <c r="O278" i="13"/>
  <c r="N278" i="13"/>
  <c r="BD277" i="13"/>
  <c r="BC277" i="13"/>
  <c r="AY277" i="13"/>
  <c r="AX277" i="13"/>
  <c r="AK277" i="13"/>
  <c r="AI277" i="13"/>
  <c r="AG277" i="13"/>
  <c r="AM277" i="13" s="1"/>
  <c r="AD277" i="13"/>
  <c r="AL277" i="13" s="1"/>
  <c r="O277" i="13"/>
  <c r="N277" i="13"/>
  <c r="BD276" i="13"/>
  <c r="BC276" i="13"/>
  <c r="AY276" i="13"/>
  <c r="AX276" i="13"/>
  <c r="AM276" i="13"/>
  <c r="AL276" i="13"/>
  <c r="AI276" i="13"/>
  <c r="AG276" i="13"/>
  <c r="AD276" i="13"/>
  <c r="AK276" i="13" s="1"/>
  <c r="O276" i="13"/>
  <c r="N276" i="13"/>
  <c r="BD275" i="13"/>
  <c r="BC275" i="13"/>
  <c r="AY275" i="13"/>
  <c r="AX275" i="13"/>
  <c r="AG275" i="13"/>
  <c r="AM275" i="13" s="1"/>
  <c r="AD275" i="13"/>
  <c r="O275" i="13"/>
  <c r="N275" i="13"/>
  <c r="BD274" i="13"/>
  <c r="BC274" i="13"/>
  <c r="AY274" i="13"/>
  <c r="AX274" i="13"/>
  <c r="AI274" i="13"/>
  <c r="AL274" i="13" s="1"/>
  <c r="AG274" i="13"/>
  <c r="AM274" i="13" s="1"/>
  <c r="AD274" i="13"/>
  <c r="O274" i="13"/>
  <c r="N274" i="13"/>
  <c r="BD273" i="13"/>
  <c r="BC273" i="13"/>
  <c r="AY273" i="13"/>
  <c r="AX273" i="13"/>
  <c r="AG273" i="13"/>
  <c r="AI273" i="13" s="1"/>
  <c r="AL273" i="13" s="1"/>
  <c r="AD273" i="13"/>
  <c r="AK273" i="13" s="1"/>
  <c r="O273" i="13"/>
  <c r="N273" i="13"/>
  <c r="BD272" i="13"/>
  <c r="BC272" i="13"/>
  <c r="AY272" i="13"/>
  <c r="AX272" i="13"/>
  <c r="AK272" i="13"/>
  <c r="AI272" i="13"/>
  <c r="AG272" i="13"/>
  <c r="AM272" i="13" s="1"/>
  <c r="AD272" i="13"/>
  <c r="AL272" i="13" s="1"/>
  <c r="O272" i="13"/>
  <c r="N272" i="13"/>
  <c r="BD271" i="13"/>
  <c r="BC271" i="13"/>
  <c r="AY271" i="13"/>
  <c r="AX271" i="13"/>
  <c r="AM271" i="13"/>
  <c r="AL271" i="13"/>
  <c r="AI271" i="13"/>
  <c r="AK271" i="13" s="1"/>
  <c r="AG271" i="13"/>
  <c r="AD271" i="13"/>
  <c r="O271" i="13"/>
  <c r="N271" i="13"/>
  <c r="BD270" i="13"/>
  <c r="BC270" i="13"/>
  <c r="AY270" i="13"/>
  <c r="AX270" i="13"/>
  <c r="AG270" i="13"/>
  <c r="AM270" i="13" s="1"/>
  <c r="AD270" i="13"/>
  <c r="O270" i="13"/>
  <c r="N270" i="13"/>
  <c r="BD269" i="13"/>
  <c r="BC269" i="13"/>
  <c r="AY269" i="13"/>
  <c r="AX269" i="13"/>
  <c r="AI269" i="13"/>
  <c r="AL269" i="13" s="1"/>
  <c r="AG269" i="13"/>
  <c r="AM269" i="13" s="1"/>
  <c r="AD269" i="13"/>
  <c r="O269" i="13"/>
  <c r="N269" i="13"/>
  <c r="BD268" i="13"/>
  <c r="BC268" i="13"/>
  <c r="AY268" i="13"/>
  <c r="AX268" i="13"/>
  <c r="AG268" i="13"/>
  <c r="AI268" i="13" s="1"/>
  <c r="AL268" i="13" s="1"/>
  <c r="AD268" i="13"/>
  <c r="AK268" i="13" s="1"/>
  <c r="O268" i="13"/>
  <c r="N268" i="13"/>
  <c r="BD267" i="13"/>
  <c r="BC267" i="13"/>
  <c r="AY267" i="13"/>
  <c r="AX267" i="13"/>
  <c r="AK267" i="13"/>
  <c r="AI267" i="13"/>
  <c r="AG267" i="13"/>
  <c r="AM267" i="13" s="1"/>
  <c r="AD267" i="13"/>
  <c r="AL267" i="13" s="1"/>
  <c r="O267" i="13"/>
  <c r="N267" i="13"/>
  <c r="BD266" i="13"/>
  <c r="BC266" i="13"/>
  <c r="AY266" i="13"/>
  <c r="AX266" i="13"/>
  <c r="AM266" i="13"/>
  <c r="AL266" i="13"/>
  <c r="AI266" i="13"/>
  <c r="AG266" i="13"/>
  <c r="AD266" i="13"/>
  <c r="AK266" i="13" s="1"/>
  <c r="O266" i="13"/>
  <c r="N266" i="13"/>
  <c r="BD265" i="13"/>
  <c r="BC265" i="13"/>
  <c r="AY265" i="13"/>
  <c r="AX265" i="13"/>
  <c r="AG265" i="13"/>
  <c r="AM265" i="13" s="1"/>
  <c r="AD265" i="13"/>
  <c r="O265" i="13"/>
  <c r="N265" i="13"/>
  <c r="BD264" i="13"/>
  <c r="BC264" i="13"/>
  <c r="AY264" i="13"/>
  <c r="AX264" i="13"/>
  <c r="AI264" i="13"/>
  <c r="AL264" i="13" s="1"/>
  <c r="AG264" i="13"/>
  <c r="AM264" i="13" s="1"/>
  <c r="AD264" i="13"/>
  <c r="O264" i="13"/>
  <c r="N264" i="13"/>
  <c r="BD263" i="13"/>
  <c r="BC263" i="13"/>
  <c r="AY263" i="13"/>
  <c r="AX263" i="13"/>
  <c r="AG263" i="13"/>
  <c r="AI263" i="13" s="1"/>
  <c r="AL263" i="13" s="1"/>
  <c r="AD263" i="13"/>
  <c r="O263" i="13"/>
  <c r="N263" i="13"/>
  <c r="BD262" i="13"/>
  <c r="BC262" i="13"/>
  <c r="AY262" i="13"/>
  <c r="AX262" i="13"/>
  <c r="AK262" i="13"/>
  <c r="AI262" i="13"/>
  <c r="AG262" i="13"/>
  <c r="AM262" i="13" s="1"/>
  <c r="AD262" i="13"/>
  <c r="AL262" i="13" s="1"/>
  <c r="O262" i="13"/>
  <c r="N262" i="13"/>
  <c r="BD261" i="13"/>
  <c r="BC261" i="13"/>
  <c r="AY261" i="13"/>
  <c r="AX261" i="13"/>
  <c r="AM261" i="13"/>
  <c r="AL261" i="13"/>
  <c r="AI261" i="13"/>
  <c r="AG261" i="13"/>
  <c r="AD261" i="13"/>
  <c r="AK261" i="13" s="1"/>
  <c r="O261" i="13"/>
  <c r="N261" i="13"/>
  <c r="BD260" i="13"/>
  <c r="BC260" i="13"/>
  <c r="AY260" i="13"/>
  <c r="AX260" i="13"/>
  <c r="AG260" i="13"/>
  <c r="AM260" i="13" s="1"/>
  <c r="AD260" i="13"/>
  <c r="O260" i="13"/>
  <c r="N260" i="13"/>
  <c r="BD259" i="13"/>
  <c r="BC259" i="13"/>
  <c r="AY259" i="13"/>
  <c r="AX259" i="13"/>
  <c r="AI259" i="13"/>
  <c r="AL259" i="13" s="1"/>
  <c r="AG259" i="13"/>
  <c r="AM259" i="13" s="1"/>
  <c r="AD259" i="13"/>
  <c r="O259" i="13"/>
  <c r="N259" i="13"/>
  <c r="BD258" i="13"/>
  <c r="BC258" i="13"/>
  <c r="AY258" i="13"/>
  <c r="AX258" i="13"/>
  <c r="AG258" i="13"/>
  <c r="AI258" i="13" s="1"/>
  <c r="AL258" i="13" s="1"/>
  <c r="AD258" i="13"/>
  <c r="O258" i="13"/>
  <c r="N258" i="13"/>
  <c r="BD257" i="13"/>
  <c r="BC257" i="13"/>
  <c r="AY257" i="13"/>
  <c r="AX257" i="13"/>
  <c r="AK257" i="13"/>
  <c r="AI257" i="13"/>
  <c r="AG257" i="13"/>
  <c r="AM257" i="13" s="1"/>
  <c r="AD257" i="13"/>
  <c r="AL257" i="13" s="1"/>
  <c r="O257" i="13"/>
  <c r="N257" i="13"/>
  <c r="BD256" i="13"/>
  <c r="BC256" i="13"/>
  <c r="AY256" i="13"/>
  <c r="AX256" i="13"/>
  <c r="AM256" i="13"/>
  <c r="AI256" i="13"/>
  <c r="AL256" i="13" s="1"/>
  <c r="AG256" i="13"/>
  <c r="AD256" i="13"/>
  <c r="O256" i="13"/>
  <c r="N256" i="13"/>
  <c r="BD255" i="13"/>
  <c r="BC255" i="13"/>
  <c r="AY255" i="13"/>
  <c r="AX255" i="13"/>
  <c r="AG255" i="13"/>
  <c r="AM255" i="13" s="1"/>
  <c r="AD255" i="13"/>
  <c r="O255" i="13"/>
  <c r="N255" i="13"/>
  <c r="BD254" i="13"/>
  <c r="BC254" i="13"/>
  <c r="AY254" i="13"/>
  <c r="AX254" i="13"/>
  <c r="AI254" i="13"/>
  <c r="AL254" i="13" s="1"/>
  <c r="AG254" i="13"/>
  <c r="AM254" i="13" s="1"/>
  <c r="AD254" i="13"/>
  <c r="O254" i="13"/>
  <c r="N254" i="13"/>
  <c r="BD253" i="13"/>
  <c r="BC253" i="13"/>
  <c r="AY253" i="13"/>
  <c r="AX253" i="13"/>
  <c r="AG253" i="13"/>
  <c r="AI253" i="13" s="1"/>
  <c r="AL253" i="13" s="1"/>
  <c r="AD253" i="13"/>
  <c r="AK253" i="13" s="1"/>
  <c r="O253" i="13"/>
  <c r="N253" i="13"/>
  <c r="BD252" i="13"/>
  <c r="BC252" i="13"/>
  <c r="AY252" i="13"/>
  <c r="AX252" i="13"/>
  <c r="AK252" i="13"/>
  <c r="AI252" i="13"/>
  <c r="AG252" i="13"/>
  <c r="AM252" i="13" s="1"/>
  <c r="AD252" i="13"/>
  <c r="AL252" i="13" s="1"/>
  <c r="O252" i="13"/>
  <c r="N252" i="13"/>
  <c r="BD251" i="13"/>
  <c r="BC251" i="13"/>
  <c r="AY251" i="13"/>
  <c r="AX251" i="13"/>
  <c r="AM251" i="13"/>
  <c r="AI251" i="13"/>
  <c r="AL251" i="13" s="1"/>
  <c r="AG251" i="13"/>
  <c r="AD251" i="13"/>
  <c r="O251" i="13"/>
  <c r="N251" i="13"/>
  <c r="BD250" i="13"/>
  <c r="BC250" i="13"/>
  <c r="AY250" i="13"/>
  <c r="AX250" i="13"/>
  <c r="AG250" i="13"/>
  <c r="AM250" i="13" s="1"/>
  <c r="AD250" i="13"/>
  <c r="O250" i="13"/>
  <c r="N250" i="13"/>
  <c r="BD249" i="13"/>
  <c r="BC249" i="13"/>
  <c r="AY249" i="13"/>
  <c r="AX249" i="13"/>
  <c r="AI249" i="13"/>
  <c r="AL249" i="13" s="1"/>
  <c r="AG249" i="13"/>
  <c r="AM249" i="13" s="1"/>
  <c r="AD249" i="13"/>
  <c r="O249" i="13"/>
  <c r="N249" i="13"/>
  <c r="BD248" i="13"/>
  <c r="BC248" i="13"/>
  <c r="AY248" i="13"/>
  <c r="AX248" i="13"/>
  <c r="AG248" i="13"/>
  <c r="AI248" i="13" s="1"/>
  <c r="AL248" i="13" s="1"/>
  <c r="AD248" i="13"/>
  <c r="O248" i="13"/>
  <c r="N248" i="13"/>
  <c r="BD247" i="13"/>
  <c r="BC247" i="13"/>
  <c r="AY247" i="13"/>
  <c r="AX247" i="13"/>
  <c r="AK247" i="13"/>
  <c r="AI247" i="13"/>
  <c r="AG247" i="13"/>
  <c r="AM247" i="13" s="1"/>
  <c r="AD247" i="13"/>
  <c r="AL247" i="13" s="1"/>
  <c r="O247" i="13"/>
  <c r="N247" i="13"/>
  <c r="BD246" i="13"/>
  <c r="BC246" i="13"/>
  <c r="AY246" i="13"/>
  <c r="AX246" i="13"/>
  <c r="AM246" i="13"/>
  <c r="AL246" i="13"/>
  <c r="AI246" i="13"/>
  <c r="AG246" i="13"/>
  <c r="AD246" i="13"/>
  <c r="AK246" i="13" s="1"/>
  <c r="O246" i="13"/>
  <c r="N246" i="13"/>
  <c r="BD245" i="13"/>
  <c r="BC245" i="13"/>
  <c r="AY245" i="13"/>
  <c r="AX245" i="13"/>
  <c r="AG245" i="13"/>
  <c r="AM245" i="13" s="1"/>
  <c r="AD245" i="13"/>
  <c r="O245" i="13"/>
  <c r="N245" i="13"/>
  <c r="BD244" i="13"/>
  <c r="BC244" i="13"/>
  <c r="AY244" i="13"/>
  <c r="AX244" i="13"/>
  <c r="AI244" i="13"/>
  <c r="AL244" i="13" s="1"/>
  <c r="AG244" i="13"/>
  <c r="AM244" i="13" s="1"/>
  <c r="AD244" i="13"/>
  <c r="O244" i="13"/>
  <c r="N244" i="13"/>
  <c r="BD243" i="13"/>
  <c r="BC243" i="13"/>
  <c r="AY243" i="13"/>
  <c r="AX243" i="13"/>
  <c r="AG243" i="13"/>
  <c r="AI243" i="13" s="1"/>
  <c r="AL243" i="13" s="1"/>
  <c r="AD243" i="13"/>
  <c r="AK243" i="13" s="1"/>
  <c r="O243" i="13"/>
  <c r="N243" i="13"/>
  <c r="BD242" i="13"/>
  <c r="BC242" i="13"/>
  <c r="AY242" i="13"/>
  <c r="AX242" i="13"/>
  <c r="AK242" i="13"/>
  <c r="AI242" i="13"/>
  <c r="AG242" i="13"/>
  <c r="AM242" i="13" s="1"/>
  <c r="AD242" i="13"/>
  <c r="AL242" i="13" s="1"/>
  <c r="O242" i="13"/>
  <c r="N242" i="13"/>
  <c r="BD241" i="13"/>
  <c r="BC241" i="13"/>
  <c r="AY241" i="13"/>
  <c r="AX241" i="13"/>
  <c r="AM241" i="13"/>
  <c r="AL241" i="13"/>
  <c r="AI241" i="13"/>
  <c r="AK241" i="13" s="1"/>
  <c r="AG241" i="13"/>
  <c r="AD241" i="13"/>
  <c r="O241" i="13"/>
  <c r="N241" i="13"/>
  <c r="BD240" i="13"/>
  <c r="BC240" i="13"/>
  <c r="AY240" i="13"/>
  <c r="AX240" i="13"/>
  <c r="AG240" i="13"/>
  <c r="AM240" i="13" s="1"/>
  <c r="AD240" i="13"/>
  <c r="O240" i="13"/>
  <c r="N240" i="13"/>
  <c r="BD239" i="13"/>
  <c r="BC239" i="13"/>
  <c r="AY239" i="13"/>
  <c r="AX239" i="13"/>
  <c r="AI239" i="13"/>
  <c r="AL239" i="13" s="1"/>
  <c r="AG239" i="13"/>
  <c r="AM239" i="13" s="1"/>
  <c r="AD239" i="13"/>
  <c r="O239" i="13"/>
  <c r="N239" i="13"/>
  <c r="BD238" i="13"/>
  <c r="BC238" i="13"/>
  <c r="AY238" i="13"/>
  <c r="AX238" i="13"/>
  <c r="AG238" i="13"/>
  <c r="AI238" i="13" s="1"/>
  <c r="AL238" i="13" s="1"/>
  <c r="AD238" i="13"/>
  <c r="AK238" i="13" s="1"/>
  <c r="O238" i="13"/>
  <c r="N238" i="13"/>
  <c r="BD237" i="13"/>
  <c r="BC237" i="13"/>
  <c r="AY237" i="13"/>
  <c r="AX237" i="13"/>
  <c r="AK237" i="13"/>
  <c r="AI237" i="13"/>
  <c r="AG237" i="13"/>
  <c r="AM237" i="13" s="1"/>
  <c r="AD237" i="13"/>
  <c r="AL237" i="13" s="1"/>
  <c r="O237" i="13"/>
  <c r="N237" i="13"/>
  <c r="BD236" i="13"/>
  <c r="BC236" i="13"/>
  <c r="AY236" i="13"/>
  <c r="AX236" i="13"/>
  <c r="AM236" i="13"/>
  <c r="AL236" i="13"/>
  <c r="AI236" i="13"/>
  <c r="AK236" i="13" s="1"/>
  <c r="AG236" i="13"/>
  <c r="AD236" i="13"/>
  <c r="O236" i="13"/>
  <c r="N236" i="13"/>
  <c r="BD235" i="13"/>
  <c r="BC235" i="13"/>
  <c r="AY235" i="13"/>
  <c r="AX235" i="13"/>
  <c r="AG235" i="13"/>
  <c r="AM235" i="13" s="1"/>
  <c r="AD235" i="13"/>
  <c r="O235" i="13"/>
  <c r="N235" i="13"/>
  <c r="BD234" i="13"/>
  <c r="BC234" i="13"/>
  <c r="AY234" i="13"/>
  <c r="AX234" i="13"/>
  <c r="AI234" i="13"/>
  <c r="AL234" i="13" s="1"/>
  <c r="AG234" i="13"/>
  <c r="AM234" i="13" s="1"/>
  <c r="AD234" i="13"/>
  <c r="O234" i="13"/>
  <c r="N234" i="13"/>
  <c r="BD233" i="13"/>
  <c r="BC233" i="13"/>
  <c r="AY233" i="13"/>
  <c r="AX233" i="13"/>
  <c r="AG233" i="13"/>
  <c r="AI233" i="13" s="1"/>
  <c r="AL233" i="13" s="1"/>
  <c r="AD233" i="13"/>
  <c r="AK233" i="13" s="1"/>
  <c r="O233" i="13"/>
  <c r="N233" i="13"/>
  <c r="BD232" i="13"/>
  <c r="BC232" i="13"/>
  <c r="AY232" i="13"/>
  <c r="AX232" i="13"/>
  <c r="AK232" i="13"/>
  <c r="AI232" i="13"/>
  <c r="AG232" i="13"/>
  <c r="AM232" i="13" s="1"/>
  <c r="AD232" i="13"/>
  <c r="AL232" i="13" s="1"/>
  <c r="O232" i="13"/>
  <c r="N232" i="13"/>
  <c r="BD231" i="13"/>
  <c r="BC231" i="13"/>
  <c r="AY231" i="13"/>
  <c r="AX231" i="13"/>
  <c r="AM231" i="13"/>
  <c r="AL231" i="13"/>
  <c r="AI231" i="13"/>
  <c r="AK231" i="13" s="1"/>
  <c r="AG231" i="13"/>
  <c r="AD231" i="13"/>
  <c r="O231" i="13"/>
  <c r="N231" i="13"/>
  <c r="BD230" i="13"/>
  <c r="BC230" i="13"/>
  <c r="AY230" i="13"/>
  <c r="AX230" i="13"/>
  <c r="AG230" i="13"/>
  <c r="AM230" i="13" s="1"/>
  <c r="AD230" i="13"/>
  <c r="O230" i="13"/>
  <c r="N230" i="13"/>
  <c r="BD229" i="13"/>
  <c r="BC229" i="13"/>
  <c r="AY229" i="13"/>
  <c r="AX229" i="13"/>
  <c r="AI229" i="13"/>
  <c r="AL229" i="13" s="1"/>
  <c r="AG229" i="13"/>
  <c r="AM229" i="13" s="1"/>
  <c r="AD229" i="13"/>
  <c r="O229" i="13"/>
  <c r="N229" i="13"/>
  <c r="BD228" i="13"/>
  <c r="BC228" i="13"/>
  <c r="AY228" i="13"/>
  <c r="AX228" i="13"/>
  <c r="AG228" i="13"/>
  <c r="AI228" i="13" s="1"/>
  <c r="AL228" i="13" s="1"/>
  <c r="AD228" i="13"/>
  <c r="O228" i="13"/>
  <c r="N228" i="13"/>
  <c r="BD227" i="13"/>
  <c r="BC227" i="13"/>
  <c r="AY227" i="13"/>
  <c r="AX227" i="13"/>
  <c r="AK227" i="13"/>
  <c r="AI227" i="13"/>
  <c r="AG227" i="13"/>
  <c r="AM227" i="13" s="1"/>
  <c r="AD227" i="13"/>
  <c r="AL227" i="13" s="1"/>
  <c r="O227" i="13"/>
  <c r="N227" i="13"/>
  <c r="BD226" i="13"/>
  <c r="BC226" i="13"/>
  <c r="AY226" i="13"/>
  <c r="AX226" i="13"/>
  <c r="AM226" i="13"/>
  <c r="AL226" i="13"/>
  <c r="AI226" i="13"/>
  <c r="AK226" i="13" s="1"/>
  <c r="AG226" i="13"/>
  <c r="AD226" i="13"/>
  <c r="O226" i="13"/>
  <c r="N226" i="13"/>
  <c r="BD225" i="13"/>
  <c r="BC225" i="13"/>
  <c r="AY225" i="13"/>
  <c r="AX225" i="13"/>
  <c r="AG225" i="13"/>
  <c r="AM225" i="13" s="1"/>
  <c r="AD225" i="13"/>
  <c r="O225" i="13"/>
  <c r="N225" i="13"/>
  <c r="BD224" i="13"/>
  <c r="BC224" i="13"/>
  <c r="AY224" i="13"/>
  <c r="AX224" i="13"/>
  <c r="AG224" i="13"/>
  <c r="AD224" i="13"/>
  <c r="O224" i="13"/>
  <c r="N224" i="13"/>
  <c r="BD223" i="13"/>
  <c r="BC223" i="13"/>
  <c r="AY223" i="13"/>
  <c r="AX223" i="13"/>
  <c r="AI223" i="13"/>
  <c r="AK223" i="13" s="1"/>
  <c r="AG223" i="13"/>
  <c r="AM223" i="13" s="1"/>
  <c r="AD223" i="13"/>
  <c r="O223" i="13"/>
  <c r="N223" i="13"/>
  <c r="BD222" i="13"/>
  <c r="BC222" i="13"/>
  <c r="AY222" i="13"/>
  <c r="AX222" i="13"/>
  <c r="AM222" i="13"/>
  <c r="AL222" i="13"/>
  <c r="AG222" i="13"/>
  <c r="AI222" i="13" s="1"/>
  <c r="AD222" i="13"/>
  <c r="AK222" i="13" s="1"/>
  <c r="O222" i="13"/>
  <c r="N222" i="13"/>
  <c r="BD221" i="13"/>
  <c r="BC221" i="13"/>
  <c r="AY221" i="13"/>
  <c r="AX221" i="13"/>
  <c r="AM221" i="13"/>
  <c r="AG221" i="13"/>
  <c r="AI221" i="13" s="1"/>
  <c r="AD221" i="13"/>
  <c r="O221" i="13"/>
  <c r="N221" i="13"/>
  <c r="BD220" i="13"/>
  <c r="BC220" i="13"/>
  <c r="AY220" i="13"/>
  <c r="AX220" i="13"/>
  <c r="AI220" i="13"/>
  <c r="AG220" i="13"/>
  <c r="AM220" i="13" s="1"/>
  <c r="AD220" i="13"/>
  <c r="AL220" i="13" s="1"/>
  <c r="O220" i="13"/>
  <c r="N220" i="13"/>
  <c r="BD219" i="13"/>
  <c r="BC219" i="13"/>
  <c r="AY219" i="13"/>
  <c r="AX219" i="13"/>
  <c r="AG219" i="13"/>
  <c r="AM219" i="13" s="1"/>
  <c r="AD219" i="13"/>
  <c r="O219" i="13"/>
  <c r="N219" i="13"/>
  <c r="BD218" i="13"/>
  <c r="BC218" i="13"/>
  <c r="AY218" i="13"/>
  <c r="AX218" i="13"/>
  <c r="AG218" i="13"/>
  <c r="AM218" i="13" s="1"/>
  <c r="AD218" i="13"/>
  <c r="O218" i="13"/>
  <c r="N218" i="13"/>
  <c r="BD217" i="13"/>
  <c r="BC217" i="13"/>
  <c r="AY217" i="13"/>
  <c r="AX217" i="13"/>
  <c r="AG217" i="13"/>
  <c r="AI217" i="13" s="1"/>
  <c r="AL217" i="13" s="1"/>
  <c r="AD217" i="13"/>
  <c r="O217" i="13"/>
  <c r="N217" i="13"/>
  <c r="BD216" i="13"/>
  <c r="BC216" i="13"/>
  <c r="AY216" i="13"/>
  <c r="AX216" i="13"/>
  <c r="AM216" i="13"/>
  <c r="AI216" i="13"/>
  <c r="AK216" i="13" s="1"/>
  <c r="AG216" i="13"/>
  <c r="AD216" i="13"/>
  <c r="O216" i="13"/>
  <c r="N216" i="13"/>
  <c r="BD215" i="13"/>
  <c r="BC215" i="13"/>
  <c r="AY215" i="13"/>
  <c r="AX215" i="13"/>
  <c r="AM215" i="13"/>
  <c r="AG215" i="13"/>
  <c r="AI215" i="13" s="1"/>
  <c r="AL215" i="13" s="1"/>
  <c r="AD215" i="13"/>
  <c r="AK215" i="13" s="1"/>
  <c r="O215" i="13"/>
  <c r="N215" i="13"/>
  <c r="BD214" i="13"/>
  <c r="BC214" i="13"/>
  <c r="AY214" i="13"/>
  <c r="AX214" i="13"/>
  <c r="AI214" i="13"/>
  <c r="AL214" i="13" s="1"/>
  <c r="AG214" i="13"/>
  <c r="AM214" i="13" s="1"/>
  <c r="AD214" i="13"/>
  <c r="O214" i="13"/>
  <c r="N214" i="13"/>
  <c r="BD213" i="13"/>
  <c r="BC213" i="13"/>
  <c r="AY213" i="13"/>
  <c r="AX213" i="13"/>
  <c r="AG213" i="13"/>
  <c r="AM213" i="13" s="1"/>
  <c r="AD213" i="13"/>
  <c r="O213" i="13"/>
  <c r="N213" i="13"/>
  <c r="BD212" i="13"/>
  <c r="BC212" i="13"/>
  <c r="AY212" i="13"/>
  <c r="AX212" i="13"/>
  <c r="AG212" i="13"/>
  <c r="AI212" i="13" s="1"/>
  <c r="AD212" i="13"/>
  <c r="AL212" i="13" s="1"/>
  <c r="O212" i="13"/>
  <c r="N212" i="13"/>
  <c r="BD211" i="13"/>
  <c r="BC211" i="13"/>
  <c r="AY211" i="13"/>
  <c r="AX211" i="13"/>
  <c r="AG211" i="13"/>
  <c r="AM211" i="13" s="1"/>
  <c r="AD211" i="13"/>
  <c r="O211" i="13"/>
  <c r="N211" i="13"/>
  <c r="BD210" i="13"/>
  <c r="BC210" i="13"/>
  <c r="AY210" i="13"/>
  <c r="AX210" i="13"/>
  <c r="AM210" i="13"/>
  <c r="AI210" i="13"/>
  <c r="AL210" i="13" s="1"/>
  <c r="AG210" i="13"/>
  <c r="AD210" i="13"/>
  <c r="O210" i="13"/>
  <c r="N210" i="13"/>
  <c r="BD209" i="13"/>
  <c r="BC209" i="13"/>
  <c r="AY209" i="13"/>
  <c r="AX209" i="13"/>
  <c r="AM209" i="13"/>
  <c r="AL209" i="13"/>
  <c r="AI209" i="13"/>
  <c r="AG209" i="13"/>
  <c r="AD209" i="13"/>
  <c r="AK209" i="13" s="1"/>
  <c r="O209" i="13"/>
  <c r="N209" i="13"/>
  <c r="BD208" i="13"/>
  <c r="BC208" i="13"/>
  <c r="AY208" i="13"/>
  <c r="AX208" i="13"/>
  <c r="AL208" i="13"/>
  <c r="AI208" i="13"/>
  <c r="AK208" i="13" s="1"/>
  <c r="AG208" i="13"/>
  <c r="AM208" i="13" s="1"/>
  <c r="AD208" i="13"/>
  <c r="O208" i="13"/>
  <c r="N208" i="13"/>
  <c r="BD207" i="13"/>
  <c r="BC207" i="13"/>
  <c r="AY207" i="13"/>
  <c r="AX207" i="13"/>
  <c r="AM207" i="13"/>
  <c r="AG207" i="13"/>
  <c r="AI207" i="13" s="1"/>
  <c r="AD207" i="13"/>
  <c r="AL207" i="13" s="1"/>
  <c r="O207" i="13"/>
  <c r="N207" i="13"/>
  <c r="BD206" i="13"/>
  <c r="BC206" i="13"/>
  <c r="AY206" i="13"/>
  <c r="AX206" i="13"/>
  <c r="AG206" i="13"/>
  <c r="AM206" i="13" s="1"/>
  <c r="AD206" i="13"/>
  <c r="O206" i="13"/>
  <c r="N206" i="13"/>
  <c r="BD205" i="13"/>
  <c r="BC205" i="13"/>
  <c r="AY205" i="13"/>
  <c r="AX205" i="13"/>
  <c r="AG205" i="13"/>
  <c r="AM205" i="13" s="1"/>
  <c r="AD205" i="13"/>
  <c r="O205" i="13"/>
  <c r="N205" i="13"/>
  <c r="BD204" i="13"/>
  <c r="BC204" i="13"/>
  <c r="AY204" i="13"/>
  <c r="AX204" i="13"/>
  <c r="AM204" i="13"/>
  <c r="AI204" i="13"/>
  <c r="AL204" i="13" s="1"/>
  <c r="AG204" i="13"/>
  <c r="AD204" i="13"/>
  <c r="O204" i="13"/>
  <c r="N204" i="13"/>
  <c r="BD203" i="13"/>
  <c r="BC203" i="13"/>
  <c r="AY203" i="13"/>
  <c r="AX203" i="13"/>
  <c r="AM203" i="13"/>
  <c r="AL203" i="13"/>
  <c r="AI203" i="13"/>
  <c r="AK203" i="13" s="1"/>
  <c r="AG203" i="13"/>
  <c r="AD203" i="13"/>
  <c r="O203" i="13"/>
  <c r="N203" i="13"/>
  <c r="BD202" i="13"/>
  <c r="BC202" i="13"/>
  <c r="AY202" i="13"/>
  <c r="AX202" i="13"/>
  <c r="AL202" i="13"/>
  <c r="AK202" i="13"/>
  <c r="AG202" i="13"/>
  <c r="AI202" i="13" s="1"/>
  <c r="AD202" i="13"/>
  <c r="O202" i="13"/>
  <c r="N202" i="13"/>
  <c r="BD201" i="13"/>
  <c r="BC201" i="13"/>
  <c r="AY201" i="13"/>
  <c r="AX201" i="13"/>
  <c r="AM201" i="13"/>
  <c r="AK201" i="13"/>
  <c r="AI201" i="13"/>
  <c r="AG201" i="13"/>
  <c r="AD201" i="13"/>
  <c r="O201" i="13"/>
  <c r="N201" i="13"/>
  <c r="BD200" i="13"/>
  <c r="BC200" i="13"/>
  <c r="AY200" i="13"/>
  <c r="AX200" i="13"/>
  <c r="AG200" i="13"/>
  <c r="AM200" i="13" s="1"/>
  <c r="AD200" i="13"/>
  <c r="O200" i="13"/>
  <c r="N200" i="13"/>
  <c r="BD199" i="13"/>
  <c r="BC199" i="13"/>
  <c r="AY199" i="13"/>
  <c r="AX199" i="13"/>
  <c r="AG199" i="13"/>
  <c r="AM199" i="13" s="1"/>
  <c r="AD199" i="13"/>
  <c r="O199" i="13"/>
  <c r="N199" i="13"/>
  <c r="BD198" i="13"/>
  <c r="BC198" i="13"/>
  <c r="AY198" i="13"/>
  <c r="AX198" i="13"/>
  <c r="AM198" i="13"/>
  <c r="AI198" i="13"/>
  <c r="AL198" i="13" s="1"/>
  <c r="AG198" i="13"/>
  <c r="AD198" i="13"/>
  <c r="O198" i="13"/>
  <c r="N198" i="13"/>
  <c r="BD197" i="13"/>
  <c r="BC197" i="13"/>
  <c r="AY197" i="13"/>
  <c r="AX197" i="13"/>
  <c r="AM197" i="13"/>
  <c r="AL197" i="13"/>
  <c r="AG197" i="13"/>
  <c r="AI197" i="13" s="1"/>
  <c r="AD197" i="13"/>
  <c r="AK197" i="13" s="1"/>
  <c r="O197" i="13"/>
  <c r="N197" i="13"/>
  <c r="BD196" i="13"/>
  <c r="BC196" i="13"/>
  <c r="AY196" i="13"/>
  <c r="AX196" i="13"/>
  <c r="AM196" i="13"/>
  <c r="AI196" i="13"/>
  <c r="AG196" i="13"/>
  <c r="AD196" i="13"/>
  <c r="O196" i="13"/>
  <c r="N196" i="13"/>
  <c r="BD195" i="13"/>
  <c r="BC195" i="13"/>
  <c r="AY195" i="13"/>
  <c r="AX195" i="13"/>
  <c r="AI195" i="13"/>
  <c r="AG195" i="13"/>
  <c r="AM195" i="13" s="1"/>
  <c r="AD195" i="13"/>
  <c r="AL195" i="13" s="1"/>
  <c r="O195" i="13"/>
  <c r="N195" i="13"/>
  <c r="BD194" i="13"/>
  <c r="BC194" i="13"/>
  <c r="AY194" i="13"/>
  <c r="AX194" i="13"/>
  <c r="AG194" i="13"/>
  <c r="AM194" i="13" s="1"/>
  <c r="AD194" i="13"/>
  <c r="O194" i="13"/>
  <c r="N194" i="13"/>
  <c r="BD193" i="13"/>
  <c r="BC193" i="13"/>
  <c r="AY193" i="13"/>
  <c r="AX193" i="13"/>
  <c r="AG193" i="13"/>
  <c r="AM193" i="13" s="1"/>
  <c r="AD193" i="13"/>
  <c r="O193" i="13"/>
  <c r="N193" i="13"/>
  <c r="BD192" i="13"/>
  <c r="BC192" i="13"/>
  <c r="AY192" i="13"/>
  <c r="AX192" i="13"/>
  <c r="AG192" i="13"/>
  <c r="AI192" i="13" s="1"/>
  <c r="AL192" i="13" s="1"/>
  <c r="AD192" i="13"/>
  <c r="O192" i="13"/>
  <c r="N192" i="13"/>
  <c r="BD191" i="13"/>
  <c r="BC191" i="13"/>
  <c r="AY191" i="13"/>
  <c r="AX191" i="13"/>
  <c r="AM191" i="13"/>
  <c r="AI191" i="13"/>
  <c r="AK191" i="13" s="1"/>
  <c r="AG191" i="13"/>
  <c r="AD191" i="13"/>
  <c r="O191" i="13"/>
  <c r="N191" i="13"/>
  <c r="BD190" i="13"/>
  <c r="BC190" i="13"/>
  <c r="AY190" i="13"/>
  <c r="AX190" i="13"/>
  <c r="AM190" i="13"/>
  <c r="AL190" i="13"/>
  <c r="AI190" i="13"/>
  <c r="AG190" i="13"/>
  <c r="AD190" i="13"/>
  <c r="AK190" i="13" s="1"/>
  <c r="O190" i="13"/>
  <c r="N190" i="13"/>
  <c r="BD189" i="13"/>
  <c r="BC189" i="13"/>
  <c r="AY189" i="13"/>
  <c r="AX189" i="13"/>
  <c r="AI189" i="13"/>
  <c r="AG189" i="13"/>
  <c r="AM189" i="13" s="1"/>
  <c r="AD189" i="13"/>
  <c r="AL189" i="13" s="1"/>
  <c r="O189" i="13"/>
  <c r="N189" i="13"/>
  <c r="BD188" i="13"/>
  <c r="BC188" i="13"/>
  <c r="AY188" i="13"/>
  <c r="AX188" i="13"/>
  <c r="AG188" i="13"/>
  <c r="AM188" i="13" s="1"/>
  <c r="AD188" i="13"/>
  <c r="O188" i="13"/>
  <c r="N188" i="13"/>
  <c r="BD187" i="13"/>
  <c r="BC187" i="13"/>
  <c r="AY187" i="13"/>
  <c r="AX187" i="13"/>
  <c r="AG187" i="13"/>
  <c r="AI187" i="13" s="1"/>
  <c r="AD187" i="13"/>
  <c r="AL187" i="13" s="1"/>
  <c r="O187" i="13"/>
  <c r="N187" i="13"/>
  <c r="BD186" i="13"/>
  <c r="BC186" i="13"/>
  <c r="AY186" i="13"/>
  <c r="AX186" i="13"/>
  <c r="AG186" i="13"/>
  <c r="AM186" i="13" s="1"/>
  <c r="AD186" i="13"/>
  <c r="O186" i="13"/>
  <c r="N186" i="13"/>
  <c r="BD185" i="13"/>
  <c r="BC185" i="13"/>
  <c r="AY185" i="13"/>
  <c r="AX185" i="13"/>
  <c r="AM185" i="13"/>
  <c r="AI185" i="13"/>
  <c r="AL185" i="13" s="1"/>
  <c r="AG185" i="13"/>
  <c r="AD185" i="13"/>
  <c r="O185" i="13"/>
  <c r="N185" i="13"/>
  <c r="BD184" i="13"/>
  <c r="BC184" i="13"/>
  <c r="AY184" i="13"/>
  <c r="AX184" i="13"/>
  <c r="AM184" i="13"/>
  <c r="AL184" i="13"/>
  <c r="AI184" i="13"/>
  <c r="AG184" i="13"/>
  <c r="AD184" i="13"/>
  <c r="AK184" i="13" s="1"/>
  <c r="O184" i="13"/>
  <c r="N184" i="13"/>
  <c r="BD183" i="13"/>
  <c r="BC183" i="13"/>
  <c r="AY183" i="13"/>
  <c r="AX183" i="13"/>
  <c r="AL183" i="13"/>
  <c r="AI183" i="13"/>
  <c r="AK183" i="13" s="1"/>
  <c r="AG183" i="13"/>
  <c r="AM183" i="13" s="1"/>
  <c r="AD183" i="13"/>
  <c r="O183" i="13"/>
  <c r="N183" i="13"/>
  <c r="BD182" i="13"/>
  <c r="BC182" i="13"/>
  <c r="AY182" i="13"/>
  <c r="AX182" i="13"/>
  <c r="AM182" i="13"/>
  <c r="AG182" i="13"/>
  <c r="AI182" i="13" s="1"/>
  <c r="AD182" i="13"/>
  <c r="AL182" i="13" s="1"/>
  <c r="O182" i="13"/>
  <c r="N182" i="13"/>
  <c r="BD181" i="13"/>
  <c r="BC181" i="13"/>
  <c r="AY181" i="13"/>
  <c r="AX181" i="13"/>
  <c r="AG181" i="13"/>
  <c r="AM181" i="13" s="1"/>
  <c r="AD181" i="13"/>
  <c r="O181" i="13"/>
  <c r="N181" i="13"/>
  <c r="BD180" i="13"/>
  <c r="BC180" i="13"/>
  <c r="AY180" i="13"/>
  <c r="AX180" i="13"/>
  <c r="AG180" i="13"/>
  <c r="AM180" i="13" s="1"/>
  <c r="AD180" i="13"/>
  <c r="O180" i="13"/>
  <c r="N180" i="13"/>
  <c r="BD179" i="13"/>
  <c r="BC179" i="13"/>
  <c r="AY179" i="13"/>
  <c r="AX179" i="13"/>
  <c r="AM179" i="13"/>
  <c r="AI179" i="13"/>
  <c r="AL179" i="13" s="1"/>
  <c r="AG179" i="13"/>
  <c r="AD179" i="13"/>
  <c r="O179" i="13"/>
  <c r="N179" i="13"/>
  <c r="BD178" i="13"/>
  <c r="BC178" i="13"/>
  <c r="AY178" i="13"/>
  <c r="AX178" i="13"/>
  <c r="AM178" i="13"/>
  <c r="AL178" i="13"/>
  <c r="AI178" i="13"/>
  <c r="AK178" i="13" s="1"/>
  <c r="AG178" i="13"/>
  <c r="AD178" i="13"/>
  <c r="O178" i="13"/>
  <c r="N178" i="13"/>
  <c r="BD177" i="13"/>
  <c r="BC177" i="13"/>
  <c r="AY177" i="13"/>
  <c r="AX177" i="13"/>
  <c r="AL177" i="13"/>
  <c r="AK177" i="13"/>
  <c r="AG177" i="13"/>
  <c r="AI177" i="13" s="1"/>
  <c r="AD177" i="13"/>
  <c r="O177" i="13"/>
  <c r="N177" i="13"/>
  <c r="BD176" i="13"/>
  <c r="BC176" i="13"/>
  <c r="AY176" i="13"/>
  <c r="AX176" i="13"/>
  <c r="AM176" i="13"/>
  <c r="AI176" i="13"/>
  <c r="AG176" i="13"/>
  <c r="AD176" i="13"/>
  <c r="AL176" i="13" s="1"/>
  <c r="O176" i="13"/>
  <c r="N176" i="13"/>
  <c r="BD175" i="13"/>
  <c r="BC175" i="13"/>
  <c r="AY175" i="13"/>
  <c r="AX175" i="13"/>
  <c r="AG175" i="13"/>
  <c r="AM175" i="13" s="1"/>
  <c r="AD175" i="13"/>
  <c r="O175" i="13"/>
  <c r="N175" i="13"/>
  <c r="BD174" i="13"/>
  <c r="BC174" i="13"/>
  <c r="AY174" i="13"/>
  <c r="AX174" i="13"/>
  <c r="AG174" i="13"/>
  <c r="AM174" i="13" s="1"/>
  <c r="AD174" i="13"/>
  <c r="O174" i="13"/>
  <c r="N174" i="13"/>
  <c r="BD173" i="13"/>
  <c r="BC173" i="13"/>
  <c r="AY173" i="13"/>
  <c r="AX173" i="13"/>
  <c r="AM173" i="13"/>
  <c r="AI173" i="13"/>
  <c r="AL173" i="13" s="1"/>
  <c r="AG173" i="13"/>
  <c r="AD173" i="13"/>
  <c r="O173" i="13"/>
  <c r="N173" i="13"/>
  <c r="BD172" i="13"/>
  <c r="BC172" i="13"/>
  <c r="AY172" i="13"/>
  <c r="AX172" i="13"/>
  <c r="AM172" i="13"/>
  <c r="AL172" i="13"/>
  <c r="AG172" i="13"/>
  <c r="AI172" i="13" s="1"/>
  <c r="AD172" i="13"/>
  <c r="AK172" i="13" s="1"/>
  <c r="O172" i="13"/>
  <c r="N172" i="13"/>
  <c r="BD171" i="13"/>
  <c r="BC171" i="13"/>
  <c r="AY171" i="13"/>
  <c r="AX171" i="13"/>
  <c r="AM171" i="13"/>
  <c r="AG171" i="13"/>
  <c r="AI171" i="13" s="1"/>
  <c r="AD171" i="13"/>
  <c r="O171" i="13"/>
  <c r="N171" i="13"/>
  <c r="BD170" i="13"/>
  <c r="BC170" i="13"/>
  <c r="AY170" i="13"/>
  <c r="AX170" i="13"/>
  <c r="AI170" i="13"/>
  <c r="AG170" i="13"/>
  <c r="AM170" i="13" s="1"/>
  <c r="AD170" i="13"/>
  <c r="AL170" i="13" s="1"/>
  <c r="O170" i="13"/>
  <c r="N170" i="13"/>
  <c r="BD169" i="13"/>
  <c r="BC169" i="13"/>
  <c r="AY169" i="13"/>
  <c r="AX169" i="13"/>
  <c r="AG169" i="13"/>
  <c r="AM169" i="13" s="1"/>
  <c r="AD169" i="13"/>
  <c r="O169" i="13"/>
  <c r="N169" i="13"/>
  <c r="BD168" i="13"/>
  <c r="BC168" i="13"/>
  <c r="AY168" i="13"/>
  <c r="AX168" i="13"/>
  <c r="AG168" i="13"/>
  <c r="AM168" i="13" s="1"/>
  <c r="AD168" i="13"/>
  <c r="O168" i="13"/>
  <c r="N168" i="13"/>
  <c r="BD167" i="13"/>
  <c r="BC167" i="13"/>
  <c r="AY167" i="13"/>
  <c r="AX167" i="13"/>
  <c r="AG167" i="13"/>
  <c r="AI167" i="13" s="1"/>
  <c r="AL167" i="13" s="1"/>
  <c r="AD167" i="13"/>
  <c r="O167" i="13"/>
  <c r="N167" i="13"/>
  <c r="BD166" i="13"/>
  <c r="BC166" i="13"/>
  <c r="AY166" i="13"/>
  <c r="AX166" i="13"/>
  <c r="AM166" i="13"/>
  <c r="AI166" i="13"/>
  <c r="AK166" i="13" s="1"/>
  <c r="AG166" i="13"/>
  <c r="AD166" i="13"/>
  <c r="O166" i="13"/>
  <c r="N166" i="13"/>
  <c r="BD165" i="13"/>
  <c r="BC165" i="13"/>
  <c r="AY165" i="13"/>
  <c r="AX165" i="13"/>
  <c r="AM165" i="13"/>
  <c r="AG165" i="13"/>
  <c r="AI165" i="13" s="1"/>
  <c r="AL165" i="13" s="1"/>
  <c r="AD165" i="13"/>
  <c r="AK165" i="13" s="1"/>
  <c r="O165" i="13"/>
  <c r="N165" i="13"/>
  <c r="BD164" i="13"/>
  <c r="BC164" i="13"/>
  <c r="AY164" i="13"/>
  <c r="AX164" i="13"/>
  <c r="AI164" i="13"/>
  <c r="AG164" i="13"/>
  <c r="AM164" i="13" s="1"/>
  <c r="AD164" i="13"/>
  <c r="AL164" i="13" s="1"/>
  <c r="O164" i="13"/>
  <c r="N164" i="13"/>
  <c r="BD163" i="13"/>
  <c r="BC163" i="13"/>
  <c r="AY163" i="13"/>
  <c r="AX163" i="13"/>
  <c r="AG163" i="13"/>
  <c r="AM163" i="13" s="1"/>
  <c r="AD163" i="13"/>
  <c r="O163" i="13"/>
  <c r="N163" i="13"/>
  <c r="BD162" i="13"/>
  <c r="BC162" i="13"/>
  <c r="AY162" i="13"/>
  <c r="AX162" i="13"/>
  <c r="AG162" i="13"/>
  <c r="AI162" i="13" s="1"/>
  <c r="AD162" i="13"/>
  <c r="AL162" i="13" s="1"/>
  <c r="O162" i="13"/>
  <c r="N162" i="13"/>
  <c r="BD161" i="13"/>
  <c r="BC161" i="13"/>
  <c r="AY161" i="13"/>
  <c r="AX161" i="13"/>
  <c r="AG161" i="13"/>
  <c r="AM161" i="13" s="1"/>
  <c r="AD161" i="13"/>
  <c r="O161" i="13"/>
  <c r="N161" i="13"/>
  <c r="BD160" i="13"/>
  <c r="BC160" i="13"/>
  <c r="AY160" i="13"/>
  <c r="AX160" i="13"/>
  <c r="AM160" i="13"/>
  <c r="AI160" i="13"/>
  <c r="AL160" i="13" s="1"/>
  <c r="AG160" i="13"/>
  <c r="AD160" i="13"/>
  <c r="O160" i="13"/>
  <c r="N160" i="13"/>
  <c r="BD159" i="13"/>
  <c r="BC159" i="13"/>
  <c r="AY159" i="13"/>
  <c r="AX159" i="13"/>
  <c r="AM159" i="13"/>
  <c r="AL159" i="13"/>
  <c r="AI159" i="13"/>
  <c r="AG159" i="13"/>
  <c r="AD159" i="13"/>
  <c r="AK159" i="13" s="1"/>
  <c r="O159" i="13"/>
  <c r="N159" i="13"/>
  <c r="BD158" i="13"/>
  <c r="BC158" i="13"/>
  <c r="AY158" i="13"/>
  <c r="AX158" i="13"/>
  <c r="AL158" i="13"/>
  <c r="AI158" i="13"/>
  <c r="AK158" i="13" s="1"/>
  <c r="AG158" i="13"/>
  <c r="AM158" i="13" s="1"/>
  <c r="AD158" i="13"/>
  <c r="O158" i="13"/>
  <c r="N158" i="13"/>
  <c r="BD157" i="13"/>
  <c r="BC157" i="13"/>
  <c r="AY157" i="13"/>
  <c r="AX157" i="13"/>
  <c r="AM157" i="13"/>
  <c r="AG157" i="13"/>
  <c r="AI157" i="13" s="1"/>
  <c r="AD157" i="13"/>
  <c r="AL157" i="13" s="1"/>
  <c r="O157" i="13"/>
  <c r="N157" i="13"/>
  <c r="BD156" i="13"/>
  <c r="BC156" i="13"/>
  <c r="AY156" i="13"/>
  <c r="AX156" i="13"/>
  <c r="AG156" i="13"/>
  <c r="AM156" i="13" s="1"/>
  <c r="AD156" i="13"/>
  <c r="O156" i="13"/>
  <c r="N156" i="13"/>
  <c r="BD155" i="13"/>
  <c r="BC155" i="13"/>
  <c r="AY155" i="13"/>
  <c r="AX155" i="13"/>
  <c r="AG155" i="13"/>
  <c r="AM155" i="13" s="1"/>
  <c r="AD155" i="13"/>
  <c r="O155" i="13"/>
  <c r="N155" i="13"/>
  <c r="BD154" i="13"/>
  <c r="BC154" i="13"/>
  <c r="AY154" i="13"/>
  <c r="AX154" i="13"/>
  <c r="AM154" i="13"/>
  <c r="AI154" i="13"/>
  <c r="AL154" i="13" s="1"/>
  <c r="AG154" i="13"/>
  <c r="AD154" i="13"/>
  <c r="O154" i="13"/>
  <c r="N154" i="13"/>
  <c r="BD153" i="13"/>
  <c r="BC153" i="13"/>
  <c r="AY153" i="13"/>
  <c r="AX153" i="13"/>
  <c r="AM153" i="13"/>
  <c r="AL153" i="13"/>
  <c r="AI153" i="13"/>
  <c r="AK153" i="13" s="1"/>
  <c r="AG153" i="13"/>
  <c r="AD153" i="13"/>
  <c r="O153" i="13"/>
  <c r="N153" i="13"/>
  <c r="BD152" i="13"/>
  <c r="BC152" i="13"/>
  <c r="AY152" i="13"/>
  <c r="AX152" i="13"/>
  <c r="AL152" i="13"/>
  <c r="AK152" i="13"/>
  <c r="AG152" i="13"/>
  <c r="AI152" i="13" s="1"/>
  <c r="AD152" i="13"/>
  <c r="O152" i="13"/>
  <c r="N152" i="13"/>
  <c r="BD151" i="13"/>
  <c r="BC151" i="13"/>
  <c r="AY151" i="13"/>
  <c r="AX151" i="13"/>
  <c r="AM151" i="13"/>
  <c r="AK151" i="13"/>
  <c r="AI151" i="13"/>
  <c r="AG151" i="13"/>
  <c r="AD151" i="13"/>
  <c r="AL151" i="13" s="1"/>
  <c r="O151" i="13"/>
  <c r="N151" i="13"/>
  <c r="BD150" i="13"/>
  <c r="BC150" i="13"/>
  <c r="AY150" i="13"/>
  <c r="AX150" i="13"/>
  <c r="AG150" i="13"/>
  <c r="AM150" i="13" s="1"/>
  <c r="AD150" i="13"/>
  <c r="O150" i="13"/>
  <c r="N150" i="13"/>
  <c r="BD149" i="13"/>
  <c r="BC149" i="13"/>
  <c r="AY149" i="13"/>
  <c r="AX149" i="13"/>
  <c r="AG149" i="13"/>
  <c r="AM149" i="13" s="1"/>
  <c r="AD149" i="13"/>
  <c r="O149" i="13"/>
  <c r="N149" i="13"/>
  <c r="BD148" i="13"/>
  <c r="BC148" i="13"/>
  <c r="AY148" i="13"/>
  <c r="AX148" i="13"/>
  <c r="AM148" i="13"/>
  <c r="AI148" i="13"/>
  <c r="AL148" i="13" s="1"/>
  <c r="AG148" i="13"/>
  <c r="AD148" i="13"/>
  <c r="O148" i="13"/>
  <c r="N148" i="13"/>
  <c r="BD147" i="13"/>
  <c r="BC147" i="13"/>
  <c r="AY147" i="13"/>
  <c r="AX147" i="13"/>
  <c r="AM147" i="13"/>
  <c r="AL147" i="13"/>
  <c r="AG147" i="13"/>
  <c r="AI147" i="13" s="1"/>
  <c r="AD147" i="13"/>
  <c r="AK147" i="13" s="1"/>
  <c r="O147" i="13"/>
  <c r="N147" i="13"/>
  <c r="BD146" i="13"/>
  <c r="BC146" i="13"/>
  <c r="AY146" i="13"/>
  <c r="AX146" i="13"/>
  <c r="AM146" i="13"/>
  <c r="AG146" i="13"/>
  <c r="AI146" i="13" s="1"/>
  <c r="AD146" i="13"/>
  <c r="O146" i="13"/>
  <c r="N146" i="13"/>
  <c r="BD145" i="13"/>
  <c r="BC145" i="13"/>
  <c r="AY145" i="13"/>
  <c r="AX145" i="13"/>
  <c r="AI145" i="13"/>
  <c r="AG145" i="13"/>
  <c r="AM145" i="13" s="1"/>
  <c r="AD145" i="13"/>
  <c r="AL145" i="13" s="1"/>
  <c r="O145" i="13"/>
  <c r="N145" i="13"/>
  <c r="BD144" i="13"/>
  <c r="BC144" i="13"/>
  <c r="AY144" i="13"/>
  <c r="AX144" i="13"/>
  <c r="AG144" i="13"/>
  <c r="AM144" i="13" s="1"/>
  <c r="AD144" i="13"/>
  <c r="O144" i="13"/>
  <c r="N144" i="13"/>
  <c r="BD143" i="13"/>
  <c r="BC143" i="13"/>
  <c r="AY143" i="13"/>
  <c r="AX143" i="13"/>
  <c r="AG143" i="13"/>
  <c r="AM143" i="13" s="1"/>
  <c r="AD143" i="13"/>
  <c r="O143" i="13"/>
  <c r="N143" i="13"/>
  <c r="BD142" i="13"/>
  <c r="BC142" i="13"/>
  <c r="AY142" i="13"/>
  <c r="AX142" i="13"/>
  <c r="AG142" i="13"/>
  <c r="AI142" i="13" s="1"/>
  <c r="AL142" i="13" s="1"/>
  <c r="AD142" i="13"/>
  <c r="O142" i="13"/>
  <c r="N142" i="13"/>
  <c r="BD141" i="13"/>
  <c r="BC141" i="13"/>
  <c r="AY141" i="13"/>
  <c r="AX141" i="13"/>
  <c r="AM141" i="13"/>
  <c r="AI141" i="13"/>
  <c r="AK141" i="13" s="1"/>
  <c r="AG141" i="13"/>
  <c r="AD141" i="13"/>
  <c r="O141" i="13"/>
  <c r="N141" i="13"/>
  <c r="BD140" i="13"/>
  <c r="BC140" i="13"/>
  <c r="AY140" i="13"/>
  <c r="AX140" i="13"/>
  <c r="AM140" i="13"/>
  <c r="AG140" i="13"/>
  <c r="AI140" i="13" s="1"/>
  <c r="AL140" i="13" s="1"/>
  <c r="AD140" i="13"/>
  <c r="O140" i="13"/>
  <c r="N140" i="13"/>
  <c r="BD139" i="13"/>
  <c r="BC139" i="13"/>
  <c r="AY139" i="13"/>
  <c r="AX139" i="13"/>
  <c r="AI139" i="13"/>
  <c r="AG139" i="13"/>
  <c r="AM139" i="13" s="1"/>
  <c r="AD139" i="13"/>
  <c r="AL139" i="13" s="1"/>
  <c r="O139" i="13"/>
  <c r="N139" i="13"/>
  <c r="BD138" i="13"/>
  <c r="BC138" i="13"/>
  <c r="AY138" i="13"/>
  <c r="AX138" i="13"/>
  <c r="AG138" i="13"/>
  <c r="AM138" i="13" s="1"/>
  <c r="AD138" i="13"/>
  <c r="O138" i="13"/>
  <c r="N138" i="13"/>
  <c r="BD137" i="13"/>
  <c r="BC137" i="13"/>
  <c r="AY137" i="13"/>
  <c r="AX137" i="13"/>
  <c r="AG137" i="13"/>
  <c r="AI137" i="13" s="1"/>
  <c r="AD137" i="13"/>
  <c r="AL137" i="13" s="1"/>
  <c r="O137" i="13"/>
  <c r="N137" i="13"/>
  <c r="BD136" i="13"/>
  <c r="BC136" i="13"/>
  <c r="AY136" i="13"/>
  <c r="AX136" i="13"/>
  <c r="AG136" i="13"/>
  <c r="AM136" i="13" s="1"/>
  <c r="AD136" i="13"/>
  <c r="O136" i="13"/>
  <c r="N136" i="13"/>
  <c r="BD135" i="13"/>
  <c r="BC135" i="13"/>
  <c r="AY135" i="13"/>
  <c r="AX135" i="13"/>
  <c r="AM135" i="13"/>
  <c r="AI135" i="13"/>
  <c r="AL135" i="13" s="1"/>
  <c r="AG135" i="13"/>
  <c r="AD135" i="13"/>
  <c r="O135" i="13"/>
  <c r="N135" i="13"/>
  <c r="BD134" i="13"/>
  <c r="BC134" i="13"/>
  <c r="AY134" i="13"/>
  <c r="AX134" i="13"/>
  <c r="AM134" i="13"/>
  <c r="AG134" i="13"/>
  <c r="AI134" i="13" s="1"/>
  <c r="AL134" i="13" s="1"/>
  <c r="AD134" i="13"/>
  <c r="AK134" i="13" s="1"/>
  <c r="O134" i="13"/>
  <c r="N134" i="13"/>
  <c r="BD133" i="13"/>
  <c r="BC133" i="13"/>
  <c r="AY133" i="13"/>
  <c r="AX133" i="13"/>
  <c r="AI133" i="13"/>
  <c r="AL133" i="13" s="1"/>
  <c r="AG133" i="13"/>
  <c r="AM133" i="13" s="1"/>
  <c r="AD133" i="13"/>
  <c r="O133" i="13"/>
  <c r="N133" i="13"/>
  <c r="BD132" i="13"/>
  <c r="BC132" i="13"/>
  <c r="AY132" i="13"/>
  <c r="AX132" i="13"/>
  <c r="AM132" i="13"/>
  <c r="AG132" i="13"/>
  <c r="AI132" i="13" s="1"/>
  <c r="AD132" i="13"/>
  <c r="AL132" i="13" s="1"/>
  <c r="O132" i="13"/>
  <c r="N132" i="13"/>
  <c r="BD131" i="13"/>
  <c r="BC131" i="13"/>
  <c r="AY131" i="13"/>
  <c r="AX131" i="13"/>
  <c r="AG131" i="13"/>
  <c r="AM131" i="13" s="1"/>
  <c r="AD131" i="13"/>
  <c r="O131" i="13"/>
  <c r="N131" i="13"/>
  <c r="BD130" i="13"/>
  <c r="BC130" i="13"/>
  <c r="AY130" i="13"/>
  <c r="AX130" i="13"/>
  <c r="AG130" i="13"/>
  <c r="AM130" i="13" s="1"/>
  <c r="AD130" i="13"/>
  <c r="O130" i="13"/>
  <c r="N130" i="13"/>
  <c r="BD129" i="13"/>
  <c r="BC129" i="13"/>
  <c r="AY129" i="13"/>
  <c r="AX129" i="13"/>
  <c r="AM129" i="13"/>
  <c r="AI129" i="13"/>
  <c r="AL129" i="13" s="1"/>
  <c r="AG129" i="13"/>
  <c r="AD129" i="13"/>
  <c r="O129" i="13"/>
  <c r="N129" i="13"/>
  <c r="BD128" i="13"/>
  <c r="BC128" i="13"/>
  <c r="AY128" i="13"/>
  <c r="AX128" i="13"/>
  <c r="AM128" i="13"/>
  <c r="AG128" i="13"/>
  <c r="AI128" i="13" s="1"/>
  <c r="AD128" i="13"/>
  <c r="O128" i="13"/>
  <c r="N128" i="13"/>
  <c r="BD127" i="13"/>
  <c r="BC127" i="13"/>
  <c r="AY127" i="13"/>
  <c r="AX127" i="13"/>
  <c r="AL127" i="13"/>
  <c r="AK127" i="13"/>
  <c r="AG127" i="13"/>
  <c r="AI127" i="13" s="1"/>
  <c r="AD127" i="13"/>
  <c r="O127" i="13"/>
  <c r="N127" i="13"/>
  <c r="BD126" i="13"/>
  <c r="BC126" i="13"/>
  <c r="AY126" i="13"/>
  <c r="AX126" i="13"/>
  <c r="AM126" i="13"/>
  <c r="AI126" i="13"/>
  <c r="AG126" i="13"/>
  <c r="AD126" i="13"/>
  <c r="AL126" i="13" s="1"/>
  <c r="O126" i="13"/>
  <c r="N126" i="13"/>
  <c r="BD125" i="13"/>
  <c r="BC125" i="13"/>
  <c r="AY125" i="13"/>
  <c r="AX125" i="13"/>
  <c r="AG125" i="13"/>
  <c r="AM125" i="13" s="1"/>
  <c r="AD125" i="13"/>
  <c r="O125" i="13"/>
  <c r="N125" i="13"/>
  <c r="BD124" i="13"/>
  <c r="BC124" i="13"/>
  <c r="AY124" i="13"/>
  <c r="AX124" i="13"/>
  <c r="AG124" i="13"/>
  <c r="AM124" i="13" s="1"/>
  <c r="AD124" i="13"/>
  <c r="O124" i="13"/>
  <c r="N124" i="13"/>
  <c r="BD123" i="13"/>
  <c r="BC123" i="13"/>
  <c r="AY123" i="13"/>
  <c r="AX123" i="13"/>
  <c r="AM123" i="13"/>
  <c r="AI123" i="13"/>
  <c r="AL123" i="13" s="1"/>
  <c r="AG123" i="13"/>
  <c r="AD123" i="13"/>
  <c r="O123" i="13"/>
  <c r="N123" i="13"/>
  <c r="BD122" i="13"/>
  <c r="BC122" i="13"/>
  <c r="AY122" i="13"/>
  <c r="AX122" i="13"/>
  <c r="AM122" i="13"/>
  <c r="AL122" i="13"/>
  <c r="AG122" i="13"/>
  <c r="AI122" i="13" s="1"/>
  <c r="AD122" i="13"/>
  <c r="AK122" i="13" s="1"/>
  <c r="O122" i="13"/>
  <c r="N122" i="13"/>
  <c r="BD121" i="13"/>
  <c r="BC121" i="13"/>
  <c r="AY121" i="13"/>
  <c r="AX121" i="13"/>
  <c r="AM121" i="13"/>
  <c r="AG121" i="13"/>
  <c r="AI121" i="13" s="1"/>
  <c r="AD121" i="13"/>
  <c r="O121" i="13"/>
  <c r="N121" i="13"/>
  <c r="BD120" i="13"/>
  <c r="BC120" i="13"/>
  <c r="AY120" i="13"/>
  <c r="AX120" i="13"/>
  <c r="AI120" i="13"/>
  <c r="AG120" i="13"/>
  <c r="AM120" i="13" s="1"/>
  <c r="AD120" i="13"/>
  <c r="AL120" i="13" s="1"/>
  <c r="O120" i="13"/>
  <c r="N120" i="13"/>
  <c r="BD119" i="13"/>
  <c r="BC119" i="13"/>
  <c r="AY119" i="13"/>
  <c r="AX119" i="13"/>
  <c r="AG119" i="13"/>
  <c r="AM119" i="13" s="1"/>
  <c r="AD119" i="13"/>
  <c r="O119" i="13"/>
  <c r="N119" i="13"/>
  <c r="BD118" i="13"/>
  <c r="BC118" i="13"/>
  <c r="AY118" i="13"/>
  <c r="AX118" i="13"/>
  <c r="AG118" i="13"/>
  <c r="AM118" i="13" s="1"/>
  <c r="AD118" i="13"/>
  <c r="O118" i="13"/>
  <c r="N118" i="13"/>
  <c r="BD117" i="13"/>
  <c r="BC117" i="13"/>
  <c r="AY117" i="13"/>
  <c r="AX117" i="13"/>
  <c r="AG117" i="13"/>
  <c r="AI117" i="13" s="1"/>
  <c r="AL117" i="13" s="1"/>
  <c r="AD117" i="13"/>
  <c r="O117" i="13"/>
  <c r="N117" i="13"/>
  <c r="BD116" i="13"/>
  <c r="BC116" i="13"/>
  <c r="AY116" i="13"/>
  <c r="AX116" i="13"/>
  <c r="AM116" i="13"/>
  <c r="AI116" i="13"/>
  <c r="AK116" i="13" s="1"/>
  <c r="AG116" i="13"/>
  <c r="AD116" i="13"/>
  <c r="O116" i="13"/>
  <c r="N116" i="13"/>
  <c r="BD115" i="13"/>
  <c r="BC115" i="13"/>
  <c r="AY115" i="13"/>
  <c r="AX115" i="13"/>
  <c r="AM115" i="13"/>
  <c r="AG115" i="13"/>
  <c r="AI115" i="13" s="1"/>
  <c r="AL115" i="13" s="1"/>
  <c r="AD115" i="13"/>
  <c r="AK115" i="13" s="1"/>
  <c r="O115" i="13"/>
  <c r="N115" i="13"/>
  <c r="BD114" i="13"/>
  <c r="BC114" i="13"/>
  <c r="AY114" i="13"/>
  <c r="AX114" i="13"/>
  <c r="AI114" i="13"/>
  <c r="AG114" i="13"/>
  <c r="AM114" i="13" s="1"/>
  <c r="AD114" i="13"/>
  <c r="AL114" i="13" s="1"/>
  <c r="O114" i="13"/>
  <c r="N114" i="13"/>
  <c r="BD113" i="13"/>
  <c r="BC113" i="13"/>
  <c r="AY113" i="13"/>
  <c r="AX113" i="13"/>
  <c r="AG113" i="13"/>
  <c r="AM113" i="13" s="1"/>
  <c r="AD113" i="13"/>
  <c r="O113" i="13"/>
  <c r="N113" i="13"/>
  <c r="BD112" i="13"/>
  <c r="BC112" i="13"/>
  <c r="AY112" i="13"/>
  <c r="AX112" i="13"/>
  <c r="AG112" i="13"/>
  <c r="AI112" i="13" s="1"/>
  <c r="AD112" i="13"/>
  <c r="AL112" i="13" s="1"/>
  <c r="O112" i="13"/>
  <c r="N112" i="13"/>
  <c r="BD111" i="13"/>
  <c r="BC111" i="13"/>
  <c r="AY111" i="13"/>
  <c r="AX111" i="13"/>
  <c r="AG111" i="13"/>
  <c r="AM111" i="13" s="1"/>
  <c r="AD111" i="13"/>
  <c r="O111" i="13"/>
  <c r="N111" i="13"/>
  <c r="BD110" i="13"/>
  <c r="BC110" i="13"/>
  <c r="AY110" i="13"/>
  <c r="AX110" i="13"/>
  <c r="AM110" i="13"/>
  <c r="AI110" i="13"/>
  <c r="AL110" i="13" s="1"/>
  <c r="AG110" i="13"/>
  <c r="AD110" i="13"/>
  <c r="O110" i="13"/>
  <c r="N110" i="13"/>
  <c r="BD109" i="13"/>
  <c r="BC109" i="13"/>
  <c r="AY109" i="13"/>
  <c r="AX109" i="13"/>
  <c r="AM109" i="13"/>
  <c r="AG109" i="13"/>
  <c r="AI109" i="13" s="1"/>
  <c r="AL109" i="13" s="1"/>
  <c r="AD109" i="13"/>
  <c r="AK109" i="13" s="1"/>
  <c r="O109" i="13"/>
  <c r="N109" i="13"/>
  <c r="BD108" i="13"/>
  <c r="BC108" i="13"/>
  <c r="AY108" i="13"/>
  <c r="AX108" i="13"/>
  <c r="AI108" i="13"/>
  <c r="AL108" i="13" s="1"/>
  <c r="AG108" i="13"/>
  <c r="AM108" i="13" s="1"/>
  <c r="AD108" i="13"/>
  <c r="O108" i="13"/>
  <c r="N108" i="13"/>
  <c r="BD107" i="13"/>
  <c r="BC107" i="13"/>
  <c r="AY107" i="13"/>
  <c r="AX107" i="13"/>
  <c r="AM107" i="13"/>
  <c r="AG107" i="13"/>
  <c r="AI107" i="13" s="1"/>
  <c r="AD107" i="13"/>
  <c r="AL107" i="13" s="1"/>
  <c r="O107" i="13"/>
  <c r="N107" i="13"/>
  <c r="BD106" i="13"/>
  <c r="BC106" i="13"/>
  <c r="AY106" i="13"/>
  <c r="AX106" i="13"/>
  <c r="AG106" i="13"/>
  <c r="AM106" i="13" s="1"/>
  <c r="AD106" i="13"/>
  <c r="O106" i="13"/>
  <c r="N106" i="13"/>
  <c r="BD105" i="13"/>
  <c r="BC105" i="13"/>
  <c r="AY105" i="13"/>
  <c r="AX105" i="13"/>
  <c r="AG105" i="13"/>
  <c r="AM105" i="13" s="1"/>
  <c r="AD105" i="13"/>
  <c r="O105" i="13"/>
  <c r="N105" i="13"/>
  <c r="BD104" i="13"/>
  <c r="BC104" i="13"/>
  <c r="AY104" i="13"/>
  <c r="AX104" i="13"/>
  <c r="AM104" i="13"/>
  <c r="AI104" i="13"/>
  <c r="AL104" i="13" s="1"/>
  <c r="AG104" i="13"/>
  <c r="AD104" i="13"/>
  <c r="O104" i="13"/>
  <c r="N104" i="13"/>
  <c r="BD103" i="13"/>
  <c r="BC103" i="13"/>
  <c r="AY103" i="13"/>
  <c r="AX103" i="13"/>
  <c r="AM103" i="13"/>
  <c r="AG103" i="13"/>
  <c r="AI103" i="13" s="1"/>
  <c r="AD103" i="13"/>
  <c r="O103" i="13"/>
  <c r="N103" i="13"/>
  <c r="BD102" i="13"/>
  <c r="BC102" i="13"/>
  <c r="AY102" i="13"/>
  <c r="AX102" i="13"/>
  <c r="AL102" i="13"/>
  <c r="AK102" i="13"/>
  <c r="AG102" i="13"/>
  <c r="AI102" i="13" s="1"/>
  <c r="AD102" i="13"/>
  <c r="O102" i="13"/>
  <c r="N102" i="13"/>
  <c r="BD101" i="13"/>
  <c r="BC101" i="13"/>
  <c r="AY101" i="13"/>
  <c r="AX101" i="13"/>
  <c r="AM101" i="13"/>
  <c r="AK101" i="13"/>
  <c r="AI101" i="13"/>
  <c r="AG101" i="13"/>
  <c r="AD101" i="13"/>
  <c r="AL101" i="13" s="1"/>
  <c r="O101" i="13"/>
  <c r="N101" i="13"/>
  <c r="BD100" i="13"/>
  <c r="BC100" i="13"/>
  <c r="AY100" i="13"/>
  <c r="AX100" i="13"/>
  <c r="AG100" i="13"/>
  <c r="AM100" i="13" s="1"/>
  <c r="AD100" i="13"/>
  <c r="O100" i="13"/>
  <c r="N100" i="13"/>
  <c r="BD99" i="13"/>
  <c r="BC99" i="13"/>
  <c r="AY99" i="13"/>
  <c r="AX99" i="13"/>
  <c r="AG99" i="13"/>
  <c r="AM99" i="13" s="1"/>
  <c r="AD99" i="13"/>
  <c r="O99" i="13"/>
  <c r="N99" i="13"/>
  <c r="BD98" i="13"/>
  <c r="BC98" i="13"/>
  <c r="AY98" i="13"/>
  <c r="AX98" i="13"/>
  <c r="AM98" i="13"/>
  <c r="AI98" i="13"/>
  <c r="AL98" i="13" s="1"/>
  <c r="AG98" i="13"/>
  <c r="AD98" i="13"/>
  <c r="O98" i="13"/>
  <c r="N98" i="13"/>
  <c r="BD97" i="13"/>
  <c r="BC97" i="13"/>
  <c r="AY97" i="13"/>
  <c r="AX97" i="13"/>
  <c r="AM97" i="13"/>
  <c r="AL97" i="13"/>
  <c r="AG97" i="13"/>
  <c r="AI97" i="13" s="1"/>
  <c r="AD97" i="13"/>
  <c r="AK97" i="13" s="1"/>
  <c r="O97" i="13"/>
  <c r="N97" i="13"/>
  <c r="BD96" i="13"/>
  <c r="BC96" i="13"/>
  <c r="AY96" i="13"/>
  <c r="AX96" i="13"/>
  <c r="AM96" i="13"/>
  <c r="AG96" i="13"/>
  <c r="AI96" i="13" s="1"/>
  <c r="AD96" i="13"/>
  <c r="O96" i="13"/>
  <c r="N96" i="13"/>
  <c r="BD95" i="13"/>
  <c r="BC95" i="13"/>
  <c r="AY95" i="13"/>
  <c r="AX95" i="13"/>
  <c r="AI95" i="13"/>
  <c r="AG95" i="13"/>
  <c r="AM95" i="13" s="1"/>
  <c r="AD95" i="13"/>
  <c r="AL95" i="13" s="1"/>
  <c r="O95" i="13"/>
  <c r="N95" i="13"/>
  <c r="BD94" i="13"/>
  <c r="BC94" i="13"/>
  <c r="AY94" i="13"/>
  <c r="AX94" i="13"/>
  <c r="AG94" i="13"/>
  <c r="AM94" i="13" s="1"/>
  <c r="AD94" i="13"/>
  <c r="O94" i="13"/>
  <c r="N94" i="13"/>
  <c r="BD93" i="13"/>
  <c r="BC93" i="13"/>
  <c r="AY93" i="13"/>
  <c r="AX93" i="13"/>
  <c r="AG93" i="13"/>
  <c r="AM93" i="13" s="1"/>
  <c r="AD93" i="13"/>
  <c r="O93" i="13"/>
  <c r="N93" i="13"/>
  <c r="BD92" i="13"/>
  <c r="BC92" i="13"/>
  <c r="AY92" i="13"/>
  <c r="AX92" i="13"/>
  <c r="AG92" i="13"/>
  <c r="AI92" i="13" s="1"/>
  <c r="AL92" i="13" s="1"/>
  <c r="AD92" i="13"/>
  <c r="O92" i="13"/>
  <c r="N92" i="13"/>
  <c r="BD91" i="13"/>
  <c r="BC91" i="13"/>
  <c r="AY91" i="13"/>
  <c r="AX91" i="13"/>
  <c r="AM91" i="13"/>
  <c r="AI91" i="13"/>
  <c r="AK91" i="13" s="1"/>
  <c r="AG91" i="13"/>
  <c r="AD91" i="13"/>
  <c r="O91" i="13"/>
  <c r="N91" i="13"/>
  <c r="BD90" i="13"/>
  <c r="BC90" i="13"/>
  <c r="AY90" i="13"/>
  <c r="AX90" i="13"/>
  <c r="AM90" i="13"/>
  <c r="AG90" i="13"/>
  <c r="AI90" i="13" s="1"/>
  <c r="AL90" i="13" s="1"/>
  <c r="AD90" i="13"/>
  <c r="O90" i="13"/>
  <c r="N90" i="13"/>
  <c r="BD89" i="13"/>
  <c r="BC89" i="13"/>
  <c r="AY89" i="13"/>
  <c r="AX89" i="13"/>
  <c r="AK89" i="13"/>
  <c r="AI89" i="13"/>
  <c r="AG89" i="13"/>
  <c r="AM89" i="13" s="1"/>
  <c r="AD89" i="13"/>
  <c r="AL89" i="13" s="1"/>
  <c r="O89" i="13"/>
  <c r="N89" i="13"/>
  <c r="BD88" i="13"/>
  <c r="BC88" i="13"/>
  <c r="AY88" i="13"/>
  <c r="AX88" i="13"/>
  <c r="AG88" i="13"/>
  <c r="AM88" i="13" s="1"/>
  <c r="AD88" i="13"/>
  <c r="O88" i="13"/>
  <c r="N88" i="13"/>
  <c r="BD87" i="13"/>
  <c r="BC87" i="13"/>
  <c r="AY87" i="13"/>
  <c r="AX87" i="13"/>
  <c r="AG87" i="13"/>
  <c r="AI87" i="13" s="1"/>
  <c r="AD87" i="13"/>
  <c r="AL87" i="13" s="1"/>
  <c r="O87" i="13"/>
  <c r="N87" i="13"/>
  <c r="BD86" i="13"/>
  <c r="BC86" i="13"/>
  <c r="AY86" i="13"/>
  <c r="AX86" i="13"/>
  <c r="AG86" i="13"/>
  <c r="AM86" i="13" s="1"/>
  <c r="AD86" i="13"/>
  <c r="O86" i="13"/>
  <c r="N86" i="13"/>
  <c r="BD85" i="13"/>
  <c r="BC85" i="13"/>
  <c r="AY85" i="13"/>
  <c r="AX85" i="13"/>
  <c r="AM85" i="13"/>
  <c r="AI85" i="13"/>
  <c r="AL85" i="13" s="1"/>
  <c r="AG85" i="13"/>
  <c r="AD85" i="13"/>
  <c r="O85" i="13"/>
  <c r="N85" i="13"/>
  <c r="BD84" i="13"/>
  <c r="BC84" i="13"/>
  <c r="AY84" i="13"/>
  <c r="AX84" i="13"/>
  <c r="AM84" i="13"/>
  <c r="AG84" i="13"/>
  <c r="AI84" i="13" s="1"/>
  <c r="AL84" i="13" s="1"/>
  <c r="AD84" i="13"/>
  <c r="O84" i="13"/>
  <c r="N84" i="13"/>
  <c r="BD83" i="13"/>
  <c r="BC83" i="13"/>
  <c r="AY83" i="13"/>
  <c r="AX83" i="13"/>
  <c r="AK83" i="13"/>
  <c r="AI83" i="13"/>
  <c r="AL83" i="13" s="1"/>
  <c r="AG83" i="13"/>
  <c r="AM83" i="13" s="1"/>
  <c r="AD83" i="13"/>
  <c r="O83" i="13"/>
  <c r="N83" i="13"/>
  <c r="BD82" i="13"/>
  <c r="BC82" i="13"/>
  <c r="AY82" i="13"/>
  <c r="AX82" i="13"/>
  <c r="AM82" i="13"/>
  <c r="AG82" i="13"/>
  <c r="AI82" i="13" s="1"/>
  <c r="AD82" i="13"/>
  <c r="AL82" i="13" s="1"/>
  <c r="O82" i="13"/>
  <c r="N82" i="13"/>
  <c r="BD81" i="13"/>
  <c r="BC81" i="13"/>
  <c r="AY81" i="13"/>
  <c r="AX81" i="13"/>
  <c r="AG81" i="13"/>
  <c r="AM81" i="13" s="1"/>
  <c r="AD81" i="13"/>
  <c r="O81" i="13"/>
  <c r="N81" i="13"/>
  <c r="BD80" i="13"/>
  <c r="BC80" i="13"/>
  <c r="AY80" i="13"/>
  <c r="AX80" i="13"/>
  <c r="AG80" i="13"/>
  <c r="AM80" i="13" s="1"/>
  <c r="AD80" i="13"/>
  <c r="O80" i="13"/>
  <c r="N80" i="13"/>
  <c r="BD79" i="13"/>
  <c r="BC79" i="13"/>
  <c r="AY79" i="13"/>
  <c r="AX79" i="13"/>
  <c r="AM79" i="13"/>
  <c r="AI79" i="13"/>
  <c r="AL79" i="13" s="1"/>
  <c r="AG79" i="13"/>
  <c r="AD79" i="13"/>
  <c r="O79" i="13"/>
  <c r="N79" i="13"/>
  <c r="BD78" i="13"/>
  <c r="BC78" i="13"/>
  <c r="AY78" i="13"/>
  <c r="AX78" i="13"/>
  <c r="AM78" i="13"/>
  <c r="AG78" i="13"/>
  <c r="AI78" i="13" s="1"/>
  <c r="AD78" i="13"/>
  <c r="O78" i="13"/>
  <c r="N78" i="13"/>
  <c r="BD77" i="13"/>
  <c r="BC77" i="13"/>
  <c r="AY77" i="13"/>
  <c r="AX77" i="13"/>
  <c r="AL77" i="13"/>
  <c r="AK77" i="13"/>
  <c r="AG77" i="13"/>
  <c r="AI77" i="13" s="1"/>
  <c r="AD77" i="13"/>
  <c r="O77" i="13"/>
  <c r="N77" i="13"/>
  <c r="BD76" i="13"/>
  <c r="BC76" i="13"/>
  <c r="AY76" i="13"/>
  <c r="AX76" i="13"/>
  <c r="AM76" i="13"/>
  <c r="AK76" i="13"/>
  <c r="AI76" i="13"/>
  <c r="AG76" i="13"/>
  <c r="AD76" i="13"/>
  <c r="AL76" i="13" s="1"/>
  <c r="O76" i="13"/>
  <c r="N76" i="13"/>
  <c r="BD75" i="13"/>
  <c r="BC75" i="13"/>
  <c r="AY75" i="13"/>
  <c r="AX75" i="13"/>
  <c r="AG75" i="13"/>
  <c r="AM75" i="13" s="1"/>
  <c r="AD75" i="13"/>
  <c r="O75" i="13"/>
  <c r="N75" i="13"/>
  <c r="BD74" i="13"/>
  <c r="BC74" i="13"/>
  <c r="AY74" i="13"/>
  <c r="AX74" i="13"/>
  <c r="AG74" i="13"/>
  <c r="AM74" i="13" s="1"/>
  <c r="AD74" i="13"/>
  <c r="O74" i="13"/>
  <c r="N74" i="13"/>
  <c r="BD73" i="13"/>
  <c r="BC73" i="13"/>
  <c r="AY73" i="13"/>
  <c r="AX73" i="13"/>
  <c r="AM73" i="13"/>
  <c r="AI73" i="13"/>
  <c r="AL73" i="13" s="1"/>
  <c r="AG73" i="13"/>
  <c r="AD73" i="13"/>
  <c r="O73" i="13"/>
  <c r="N73" i="13"/>
  <c r="BD72" i="13"/>
  <c r="BC72" i="13"/>
  <c r="AY72" i="13"/>
  <c r="AX72" i="13"/>
  <c r="AM72" i="13"/>
  <c r="AL72" i="13"/>
  <c r="AG72" i="13"/>
  <c r="AI72" i="13" s="1"/>
  <c r="AD72" i="13"/>
  <c r="AK72" i="13" s="1"/>
  <c r="O72" i="13"/>
  <c r="N72" i="13"/>
  <c r="BD71" i="13"/>
  <c r="BC71" i="13"/>
  <c r="AY71" i="13"/>
  <c r="AX71" i="13"/>
  <c r="AM71" i="13"/>
  <c r="AG71" i="13"/>
  <c r="AI71" i="13" s="1"/>
  <c r="AD71" i="13"/>
  <c r="O71" i="13"/>
  <c r="N71" i="13"/>
  <c r="BD70" i="13"/>
  <c r="BC70" i="13"/>
  <c r="AY70" i="13"/>
  <c r="AX70" i="13"/>
  <c r="AK70" i="13"/>
  <c r="AI70" i="13"/>
  <c r="AG70" i="13"/>
  <c r="AM70" i="13" s="1"/>
  <c r="AD70" i="13"/>
  <c r="AL70" i="13" s="1"/>
  <c r="O70" i="13"/>
  <c r="N70" i="13"/>
  <c r="BD69" i="13"/>
  <c r="BC69" i="13"/>
  <c r="AY69" i="13"/>
  <c r="AX69" i="13"/>
  <c r="AG69" i="13"/>
  <c r="AM69" i="13" s="1"/>
  <c r="AD69" i="13"/>
  <c r="O69" i="13"/>
  <c r="N69" i="13"/>
  <c r="BD68" i="13"/>
  <c r="BC68" i="13"/>
  <c r="AY68" i="13"/>
  <c r="AX68" i="13"/>
  <c r="AG68" i="13"/>
  <c r="AM68" i="13" s="1"/>
  <c r="AD68" i="13"/>
  <c r="O68" i="13"/>
  <c r="N68" i="13"/>
  <c r="BD67" i="13"/>
  <c r="BC67" i="13"/>
  <c r="AY67" i="13"/>
  <c r="AX67" i="13"/>
  <c r="AG67" i="13"/>
  <c r="AI67" i="13" s="1"/>
  <c r="AL67" i="13" s="1"/>
  <c r="AD67" i="13"/>
  <c r="O67" i="13"/>
  <c r="N67" i="13"/>
  <c r="BD66" i="13"/>
  <c r="BC66" i="13"/>
  <c r="AY66" i="13"/>
  <c r="AX66" i="13"/>
  <c r="AM66" i="13"/>
  <c r="AI66" i="13"/>
  <c r="AK66" i="13" s="1"/>
  <c r="AG66" i="13"/>
  <c r="AD66" i="13"/>
  <c r="O66" i="13"/>
  <c r="N66" i="13"/>
  <c r="BD65" i="13"/>
  <c r="BC65" i="13"/>
  <c r="AY65" i="13"/>
  <c r="AX65" i="13"/>
  <c r="AM65" i="13"/>
  <c r="AG65" i="13"/>
  <c r="AI65" i="13" s="1"/>
  <c r="AL65" i="13" s="1"/>
  <c r="AD65" i="13"/>
  <c r="AK65" i="13" s="1"/>
  <c r="O65" i="13"/>
  <c r="N65" i="13"/>
  <c r="BD64" i="13"/>
  <c r="BC64" i="13"/>
  <c r="AY64" i="13"/>
  <c r="AX64" i="13"/>
  <c r="AK64" i="13"/>
  <c r="AI64" i="13"/>
  <c r="AG64" i="13"/>
  <c r="AM64" i="13" s="1"/>
  <c r="AD64" i="13"/>
  <c r="AL64" i="13" s="1"/>
  <c r="O64" i="13"/>
  <c r="N64" i="13"/>
  <c r="BD63" i="13"/>
  <c r="BC63" i="13"/>
  <c r="AY63" i="13"/>
  <c r="AX63" i="13"/>
  <c r="AG63" i="13"/>
  <c r="AM63" i="13" s="1"/>
  <c r="AD63" i="13"/>
  <c r="O63" i="13"/>
  <c r="N63" i="13"/>
  <c r="BD62" i="13"/>
  <c r="BC62" i="13"/>
  <c r="AY62" i="13"/>
  <c r="AX62" i="13"/>
  <c r="AG62" i="13"/>
  <c r="AI62" i="13" s="1"/>
  <c r="AD62" i="13"/>
  <c r="AL62" i="13" s="1"/>
  <c r="O62" i="13"/>
  <c r="N62" i="13"/>
  <c r="BD61" i="13"/>
  <c r="BC61" i="13"/>
  <c r="AY61" i="13"/>
  <c r="AX61" i="13"/>
  <c r="AG61" i="13"/>
  <c r="AM61" i="13" s="1"/>
  <c r="AD61" i="13"/>
  <c r="O61" i="13"/>
  <c r="N61" i="13"/>
  <c r="BD60" i="13"/>
  <c r="BC60" i="13"/>
  <c r="AY60" i="13"/>
  <c r="AX60" i="13"/>
  <c r="AM60" i="13"/>
  <c r="AI60" i="13"/>
  <c r="AL60" i="13" s="1"/>
  <c r="AG60" i="13"/>
  <c r="AD60" i="13"/>
  <c r="O60" i="13"/>
  <c r="N60" i="13"/>
  <c r="BD59" i="13"/>
  <c r="BC59" i="13"/>
  <c r="AY59" i="13"/>
  <c r="AX59" i="13"/>
  <c r="AM59" i="13"/>
  <c r="AG59" i="13"/>
  <c r="AI59" i="13" s="1"/>
  <c r="AL59" i="13" s="1"/>
  <c r="AD59" i="13"/>
  <c r="AK59" i="13" s="1"/>
  <c r="O59" i="13"/>
  <c r="N59" i="13"/>
  <c r="BD58" i="13"/>
  <c r="BC58" i="13"/>
  <c r="AY58" i="13"/>
  <c r="AX58" i="13"/>
  <c r="AK58" i="13"/>
  <c r="AI58" i="13"/>
  <c r="AL58" i="13" s="1"/>
  <c r="AG58" i="13"/>
  <c r="AM58" i="13" s="1"/>
  <c r="AD58" i="13"/>
  <c r="O58" i="13"/>
  <c r="N58" i="13"/>
  <c r="BD57" i="13"/>
  <c r="BC57" i="13"/>
  <c r="AY57" i="13"/>
  <c r="AX57" i="13"/>
  <c r="AM57" i="13"/>
  <c r="AG57" i="13"/>
  <c r="AI57" i="13" s="1"/>
  <c r="AD57" i="13"/>
  <c r="AL57" i="13" s="1"/>
  <c r="O57" i="13"/>
  <c r="N57" i="13"/>
  <c r="BD56" i="13"/>
  <c r="BC56" i="13"/>
  <c r="AY56" i="13"/>
  <c r="AX56" i="13"/>
  <c r="AG56" i="13"/>
  <c r="AM56" i="13" s="1"/>
  <c r="AD56" i="13"/>
  <c r="O56" i="13"/>
  <c r="N56" i="13"/>
  <c r="BD55" i="13"/>
  <c r="BC55" i="13"/>
  <c r="AY55" i="13"/>
  <c r="AX55" i="13"/>
  <c r="AG55" i="13"/>
  <c r="AM55" i="13" s="1"/>
  <c r="AD55" i="13"/>
  <c r="O55" i="13"/>
  <c r="N55" i="13"/>
  <c r="BD54" i="13"/>
  <c r="BC54" i="13"/>
  <c r="AY54" i="13"/>
  <c r="AX54" i="13"/>
  <c r="AM54" i="13"/>
  <c r="AI54" i="13"/>
  <c r="AL54" i="13" s="1"/>
  <c r="AG54" i="13"/>
  <c r="AD54" i="13"/>
  <c r="O54" i="13"/>
  <c r="N54" i="13"/>
  <c r="BD53" i="13"/>
  <c r="BC53" i="13"/>
  <c r="AY53" i="13"/>
  <c r="AX53" i="13"/>
  <c r="AM53" i="13"/>
  <c r="AG53" i="13"/>
  <c r="AI53" i="13" s="1"/>
  <c r="AD53" i="13"/>
  <c r="O53" i="13"/>
  <c r="N53" i="13"/>
  <c r="BD52" i="13"/>
  <c r="BC52" i="13"/>
  <c r="AY52" i="13"/>
  <c r="AX52" i="13"/>
  <c r="AK52" i="13"/>
  <c r="AG52" i="13"/>
  <c r="AI52" i="13" s="1"/>
  <c r="AL52" i="13" s="1"/>
  <c r="AD52" i="13"/>
  <c r="O52" i="13"/>
  <c r="N52" i="13"/>
  <c r="BD51" i="13"/>
  <c r="BC51" i="13"/>
  <c r="AY51" i="13"/>
  <c r="AX51" i="13"/>
  <c r="AM51" i="13"/>
  <c r="AK51" i="13"/>
  <c r="AI51" i="13"/>
  <c r="AG51" i="13"/>
  <c r="AD51" i="13"/>
  <c r="AL51" i="13" s="1"/>
  <c r="O51" i="13"/>
  <c r="N51" i="13"/>
  <c r="BD50" i="13"/>
  <c r="BC50" i="13"/>
  <c r="AY50" i="13"/>
  <c r="AX50" i="13"/>
  <c r="AG50" i="13"/>
  <c r="AM50" i="13" s="1"/>
  <c r="AD50" i="13"/>
  <c r="O50" i="13"/>
  <c r="N50" i="13"/>
  <c r="BD49" i="13"/>
  <c r="BC49" i="13"/>
  <c r="AY49" i="13"/>
  <c r="AX49" i="13"/>
  <c r="AG49" i="13"/>
  <c r="AM49" i="13" s="1"/>
  <c r="AD49" i="13"/>
  <c r="O49" i="13"/>
  <c r="N49" i="13"/>
  <c r="BD48" i="13"/>
  <c r="BC48" i="13"/>
  <c r="AY48" i="13"/>
  <c r="AX48" i="13"/>
  <c r="AM48" i="13"/>
  <c r="AK48" i="13"/>
  <c r="AI48" i="13"/>
  <c r="AL48" i="13" s="1"/>
  <c r="AG48" i="13"/>
  <c r="AD48" i="13"/>
  <c r="O48" i="13"/>
  <c r="N48" i="13"/>
  <c r="BD47" i="13"/>
  <c r="BC47" i="13"/>
  <c r="AY47" i="13"/>
  <c r="AX47" i="13"/>
  <c r="AM47" i="13"/>
  <c r="AL47" i="13"/>
  <c r="AG47" i="13"/>
  <c r="AI47" i="13" s="1"/>
  <c r="AD47" i="13"/>
  <c r="AK47" i="13" s="1"/>
  <c r="O47" i="13"/>
  <c r="N47" i="13"/>
  <c r="BD46" i="13"/>
  <c r="BC46" i="13"/>
  <c r="AY46" i="13"/>
  <c r="AX46" i="13"/>
  <c r="AM46" i="13"/>
  <c r="AG46" i="13"/>
  <c r="AI46" i="13" s="1"/>
  <c r="AK46" i="13" s="1"/>
  <c r="AD46" i="13"/>
  <c r="O46" i="13"/>
  <c r="N46" i="13"/>
  <c r="BD45" i="13"/>
  <c r="BC45" i="13"/>
  <c r="AY45" i="13"/>
  <c r="AX45" i="13"/>
  <c r="AM45" i="13"/>
  <c r="AL45" i="13"/>
  <c r="AK45" i="13"/>
  <c r="AI45" i="13"/>
  <c r="AG45" i="13"/>
  <c r="AD45" i="13"/>
  <c r="O45" i="13"/>
  <c r="N45" i="13"/>
  <c r="BD44" i="13"/>
  <c r="BC44" i="13"/>
  <c r="AY44" i="13"/>
  <c r="AX44" i="13"/>
  <c r="AG44" i="13"/>
  <c r="AM44" i="13" s="1"/>
  <c r="AD44" i="13"/>
  <c r="O44" i="13"/>
  <c r="N44" i="13"/>
  <c r="BD43" i="13"/>
  <c r="BC43" i="13"/>
  <c r="AY43" i="13"/>
  <c r="AX43" i="13"/>
  <c r="AG43" i="13"/>
  <c r="AM43" i="13" s="1"/>
  <c r="AD43" i="13"/>
  <c r="O43" i="13"/>
  <c r="N43" i="13"/>
  <c r="BD42" i="13"/>
  <c r="BC42" i="13"/>
  <c r="AY42" i="13"/>
  <c r="AX42" i="13"/>
  <c r="AK42" i="13"/>
  <c r="AG42" i="13"/>
  <c r="AI42" i="13" s="1"/>
  <c r="AL42" i="13" s="1"/>
  <c r="AD42" i="13"/>
  <c r="O42" i="13"/>
  <c r="N42" i="13"/>
  <c r="BD41" i="13"/>
  <c r="BC41" i="13"/>
  <c r="AY41" i="13"/>
  <c r="AX41" i="13"/>
  <c r="AK41" i="13"/>
  <c r="AI41" i="13"/>
  <c r="AG41" i="13"/>
  <c r="AM41" i="13" s="1"/>
  <c r="AD41" i="13"/>
  <c r="O41" i="13"/>
  <c r="N41" i="13"/>
  <c r="BD40" i="13"/>
  <c r="BC40" i="13"/>
  <c r="AY40" i="13"/>
  <c r="AX40" i="13"/>
  <c r="AM40" i="13"/>
  <c r="AG40" i="13"/>
  <c r="AI40" i="13" s="1"/>
  <c r="AD40" i="13"/>
  <c r="O40" i="13"/>
  <c r="N40" i="13"/>
  <c r="BD39" i="13"/>
  <c r="BC39" i="13"/>
  <c r="AY39" i="13"/>
  <c r="AX39" i="13"/>
  <c r="AM39" i="13"/>
  <c r="AG39" i="13"/>
  <c r="AI39" i="13" s="1"/>
  <c r="AD39" i="13"/>
  <c r="O39" i="13"/>
  <c r="N39" i="13"/>
  <c r="BD38" i="13"/>
  <c r="BC38" i="13"/>
  <c r="AY38" i="13"/>
  <c r="AX38" i="13"/>
  <c r="AG38" i="13"/>
  <c r="AM38" i="13" s="1"/>
  <c r="AD38" i="13"/>
  <c r="O38" i="13"/>
  <c r="N38" i="13"/>
  <c r="BD37" i="13"/>
  <c r="BC37" i="13"/>
  <c r="AY37" i="13"/>
  <c r="AX37" i="13"/>
  <c r="AG37" i="13"/>
  <c r="AI37" i="13" s="1"/>
  <c r="AD37" i="13"/>
  <c r="AL37" i="13" s="1"/>
  <c r="O37" i="13"/>
  <c r="N37" i="13"/>
  <c r="BD36" i="13"/>
  <c r="BC36" i="13"/>
  <c r="AY36" i="13"/>
  <c r="AX36" i="13"/>
  <c r="AG36" i="13"/>
  <c r="AM36" i="13" s="1"/>
  <c r="AD36" i="13"/>
  <c r="O36" i="13"/>
  <c r="N36" i="13"/>
  <c r="BD35" i="13"/>
  <c r="BC35" i="13"/>
  <c r="AY35" i="13"/>
  <c r="AX35" i="13"/>
  <c r="AG35" i="13"/>
  <c r="AM35" i="13" s="1"/>
  <c r="AD35" i="13"/>
  <c r="O35" i="13"/>
  <c r="N35" i="13"/>
  <c r="BD34" i="13"/>
  <c r="BC34" i="13"/>
  <c r="AY34" i="13"/>
  <c r="AX34" i="13"/>
  <c r="AM34" i="13"/>
  <c r="AG34" i="13"/>
  <c r="AI34" i="13" s="1"/>
  <c r="AD34" i="13"/>
  <c r="O34" i="13"/>
  <c r="N34" i="13"/>
  <c r="BD33" i="13"/>
  <c r="BC33" i="13"/>
  <c r="AY33" i="13"/>
  <c r="AX33" i="13"/>
  <c r="AM33" i="13"/>
  <c r="AG33" i="13"/>
  <c r="AI33" i="13" s="1"/>
  <c r="AD33" i="13"/>
  <c r="O33" i="13"/>
  <c r="N33" i="13"/>
  <c r="BD32" i="13"/>
  <c r="BC32" i="13"/>
  <c r="AY32" i="13"/>
  <c r="AX32" i="13"/>
  <c r="AM32" i="13"/>
  <c r="AK32" i="13"/>
  <c r="AG32" i="13"/>
  <c r="AI32" i="13" s="1"/>
  <c r="AD32" i="13"/>
  <c r="AL32" i="13" s="1"/>
  <c r="O32" i="13"/>
  <c r="N32" i="13"/>
  <c r="BD31" i="13"/>
  <c r="BC31" i="13"/>
  <c r="AY31" i="13"/>
  <c r="AX31" i="13"/>
  <c r="AG31" i="13"/>
  <c r="AM31" i="13" s="1"/>
  <c r="AD31" i="13"/>
  <c r="O31" i="13"/>
  <c r="N31" i="13"/>
  <c r="BD30" i="13"/>
  <c r="BC30" i="13"/>
  <c r="AY30" i="13"/>
  <c r="AX30" i="13"/>
  <c r="AG30" i="13"/>
  <c r="AD30" i="13"/>
  <c r="O30" i="13"/>
  <c r="N30" i="13"/>
  <c r="BD29" i="13"/>
  <c r="BC29" i="13"/>
  <c r="AY29" i="13"/>
  <c r="AX29" i="13"/>
  <c r="AG29" i="13"/>
  <c r="AM29" i="13" s="1"/>
  <c r="AD29" i="13"/>
  <c r="O29" i="13"/>
  <c r="N29" i="13"/>
  <c r="BD28" i="13"/>
  <c r="BC28" i="13"/>
  <c r="AY28" i="13"/>
  <c r="AX28" i="13"/>
  <c r="AM28" i="13"/>
  <c r="AG28" i="13"/>
  <c r="AI28" i="13" s="1"/>
  <c r="AD28" i="13"/>
  <c r="O28" i="13"/>
  <c r="N28" i="13"/>
  <c r="BD27" i="13"/>
  <c r="BC27" i="13"/>
  <c r="AY27" i="13"/>
  <c r="AX27" i="13"/>
  <c r="AM27" i="13"/>
  <c r="AG27" i="13"/>
  <c r="AI27" i="13" s="1"/>
  <c r="AD27" i="13"/>
  <c r="AL27" i="13" s="1"/>
  <c r="O27" i="13"/>
  <c r="N27" i="13"/>
  <c r="BD26" i="13"/>
  <c r="BC26" i="13"/>
  <c r="AY26" i="13"/>
  <c r="AX26" i="13"/>
  <c r="AG26" i="13"/>
  <c r="AM26" i="13" s="1"/>
  <c r="AD26" i="13"/>
  <c r="O26" i="13"/>
  <c r="N26" i="13"/>
  <c r="BD25" i="13"/>
  <c r="BC25" i="13"/>
  <c r="AY25" i="13"/>
  <c r="AX25" i="13"/>
  <c r="AG25" i="13"/>
  <c r="AM25" i="13" s="1"/>
  <c r="AD25" i="13"/>
  <c r="O25" i="13"/>
  <c r="N25" i="13"/>
  <c r="BD24" i="13"/>
  <c r="BC24" i="13"/>
  <c r="AY24" i="13"/>
  <c r="AX24" i="13"/>
  <c r="AG24" i="13"/>
  <c r="AD24" i="13"/>
  <c r="O24" i="13"/>
  <c r="N24" i="13"/>
  <c r="BD23" i="13"/>
  <c r="BC23" i="13"/>
  <c r="AY23" i="13"/>
  <c r="AX23" i="13"/>
  <c r="AG23" i="13"/>
  <c r="AM23" i="13" s="1"/>
  <c r="AD23" i="13"/>
  <c r="O23" i="13"/>
  <c r="N23" i="13"/>
  <c r="BD22" i="13"/>
  <c r="BC22" i="13"/>
  <c r="AY22" i="13"/>
  <c r="AX22" i="13"/>
  <c r="AM22" i="13"/>
  <c r="AK22" i="13"/>
  <c r="AG22" i="13"/>
  <c r="AI22" i="13" s="1"/>
  <c r="AL22" i="13" s="1"/>
  <c r="AD22" i="13"/>
  <c r="O22" i="13"/>
  <c r="N22" i="13"/>
  <c r="BD21" i="13"/>
  <c r="BC21" i="13"/>
  <c r="AY21" i="13"/>
  <c r="AX21" i="13"/>
  <c r="AK21" i="13"/>
  <c r="AI21" i="13"/>
  <c r="AG21" i="13"/>
  <c r="AM21" i="13" s="1"/>
  <c r="AD21" i="13"/>
  <c r="O21" i="13"/>
  <c r="N21" i="13"/>
  <c r="BD20" i="13"/>
  <c r="BC20" i="13"/>
  <c r="AY20" i="13"/>
  <c r="AX20" i="13"/>
  <c r="AG20" i="13"/>
  <c r="AM20" i="13" s="1"/>
  <c r="AD20" i="13"/>
  <c r="O20" i="13"/>
  <c r="N20" i="13"/>
  <c r="BD19" i="13"/>
  <c r="BC19" i="13"/>
  <c r="AY19" i="13"/>
  <c r="AX19" i="13"/>
  <c r="AG19" i="13"/>
  <c r="AM19" i="13" s="1"/>
  <c r="AD19" i="13"/>
  <c r="O19" i="13"/>
  <c r="N19" i="13"/>
  <c r="BD18" i="13"/>
  <c r="BC18" i="13"/>
  <c r="AY18" i="13"/>
  <c r="AX18" i="13"/>
  <c r="AG18" i="13"/>
  <c r="AD18" i="13"/>
  <c r="O18" i="13"/>
  <c r="N18" i="13"/>
  <c r="BD17" i="13"/>
  <c r="BC17" i="13"/>
  <c r="AY17" i="13"/>
  <c r="AX17" i="13"/>
  <c r="AM17" i="13"/>
  <c r="AL17" i="13"/>
  <c r="AK17" i="13"/>
  <c r="AG17" i="13"/>
  <c r="AI17" i="13" s="1"/>
  <c r="AD17" i="13"/>
  <c r="O17" i="13"/>
  <c r="N17" i="13"/>
  <c r="BD16" i="13"/>
  <c r="BC16" i="13"/>
  <c r="AY16" i="13"/>
  <c r="AX16" i="13"/>
  <c r="AM16" i="13"/>
  <c r="AL16" i="13"/>
  <c r="AG16" i="13"/>
  <c r="AI16" i="13" s="1"/>
  <c r="AK16" i="13" s="1"/>
  <c r="AD16" i="13"/>
  <c r="O16" i="13"/>
  <c r="N16" i="13"/>
  <c r="BD15" i="13"/>
  <c r="BC15" i="13"/>
  <c r="AY15" i="13"/>
  <c r="AX15" i="13"/>
  <c r="AM15" i="13"/>
  <c r="AI15" i="13"/>
  <c r="AG15" i="13"/>
  <c r="AD15" i="13"/>
  <c r="AL15" i="13" s="1"/>
  <c r="O15" i="13"/>
  <c r="N15" i="13"/>
  <c r="BD14" i="13"/>
  <c r="BC14" i="13"/>
  <c r="AY14" i="13"/>
  <c r="AX14" i="13"/>
  <c r="AM14" i="13"/>
  <c r="AI14" i="13"/>
  <c r="AG14" i="13"/>
  <c r="AD14" i="13"/>
  <c r="AL14" i="13" s="1"/>
  <c r="O14" i="13"/>
  <c r="N14" i="13"/>
  <c r="BD13" i="13"/>
  <c r="BC13" i="13"/>
  <c r="AY13" i="13"/>
  <c r="AX13" i="13"/>
  <c r="AG13" i="13"/>
  <c r="AM13" i="13" s="1"/>
  <c r="AD13" i="13"/>
  <c r="O13" i="13"/>
  <c r="N13" i="13"/>
  <c r="BD12" i="13"/>
  <c r="BC12" i="13"/>
  <c r="AY12" i="13"/>
  <c r="AX12" i="13"/>
  <c r="AK12" i="13"/>
  <c r="AI12" i="13"/>
  <c r="AG12" i="13"/>
  <c r="AM12" i="13" s="1"/>
  <c r="AD12" i="13"/>
  <c r="AL12" i="13" s="1"/>
  <c r="O12" i="13"/>
  <c r="N12" i="13"/>
  <c r="BD11" i="13"/>
  <c r="BC11" i="13"/>
  <c r="AY11" i="13"/>
  <c r="AX11" i="13"/>
  <c r="AM11" i="13"/>
  <c r="AL11" i="13"/>
  <c r="AG11" i="13"/>
  <c r="AI11" i="13" s="1"/>
  <c r="AK11" i="13" s="1"/>
  <c r="AD11" i="13"/>
  <c r="O11" i="13"/>
  <c r="N11" i="13"/>
  <c r="BD10" i="13"/>
  <c r="BC10" i="13"/>
  <c r="AY10" i="13"/>
  <c r="AX10" i="13"/>
  <c r="AM10" i="13"/>
  <c r="AI10" i="13"/>
  <c r="AG10" i="13"/>
  <c r="AD10" i="13"/>
  <c r="AL10" i="13" s="1"/>
  <c r="O10" i="13"/>
  <c r="N10" i="13"/>
  <c r="BD9" i="13"/>
  <c r="BC9" i="13"/>
  <c r="AY9" i="13"/>
  <c r="AX9" i="13"/>
  <c r="AM9" i="13"/>
  <c r="AI9" i="13"/>
  <c r="AG9" i="13"/>
  <c r="AD9" i="13"/>
  <c r="AL9" i="13" s="1"/>
  <c r="O9" i="13"/>
  <c r="N9" i="13"/>
  <c r="BD8" i="13"/>
  <c r="BC8" i="13"/>
  <c r="AY8" i="13"/>
  <c r="AX8" i="13"/>
  <c r="AG8" i="13"/>
  <c r="AD8" i="13"/>
  <c r="O8" i="13"/>
  <c r="N8" i="13"/>
  <c r="BD7" i="13"/>
  <c r="BC7" i="13"/>
  <c r="AY7" i="13"/>
  <c r="AX7" i="13"/>
  <c r="AI7" i="13"/>
  <c r="AK7" i="13" s="1"/>
  <c r="AG7" i="13"/>
  <c r="AM7" i="13" s="1"/>
  <c r="AD7" i="13"/>
  <c r="AL7" i="13" s="1"/>
  <c r="O7" i="13"/>
  <c r="N7" i="13"/>
  <c r="BD6" i="13"/>
  <c r="BC6" i="13"/>
  <c r="AY6" i="13"/>
  <c r="AX6" i="13"/>
  <c r="AM6" i="13"/>
  <c r="AG6" i="13"/>
  <c r="AI6" i="13" s="1"/>
  <c r="AD6" i="13"/>
  <c r="O6" i="13"/>
  <c r="N6" i="13"/>
  <c r="BD5" i="13"/>
  <c r="BC5" i="13"/>
  <c r="AY5" i="13"/>
  <c r="AX5" i="13"/>
  <c r="AG5" i="13"/>
  <c r="AI5" i="13" s="1"/>
  <c r="AD5" i="13"/>
  <c r="O5" i="13"/>
  <c r="N5" i="13"/>
  <c r="BD4" i="13"/>
  <c r="BC4" i="13"/>
  <c r="AY4" i="13"/>
  <c r="AX4" i="13"/>
  <c r="AK4" i="13"/>
  <c r="AI4" i="13"/>
  <c r="AG4" i="13"/>
  <c r="AM4" i="13" s="1"/>
  <c r="AD4" i="13"/>
  <c r="O4" i="13"/>
  <c r="N4" i="13"/>
  <c r="BD3" i="13"/>
  <c r="BC3" i="13"/>
  <c r="AY3" i="13"/>
  <c r="AX3" i="13"/>
  <c r="AM3" i="13"/>
  <c r="AG3" i="13"/>
  <c r="AI3" i="13" s="1"/>
  <c r="AD3" i="13"/>
  <c r="O3" i="13"/>
  <c r="N3" i="13"/>
  <c r="BD2" i="13"/>
  <c r="BC2" i="13"/>
  <c r="AY2" i="13"/>
  <c r="AX2" i="13"/>
  <c r="AG2" i="13"/>
  <c r="AD2" i="13"/>
  <c r="O2" i="13"/>
  <c r="N2" i="13"/>
  <c r="C300" i="12"/>
  <c r="B300" i="12"/>
  <c r="C299" i="12"/>
  <c r="B299" i="12"/>
  <c r="C298" i="12"/>
  <c r="B298" i="12"/>
  <c r="C297" i="12"/>
  <c r="B297" i="12"/>
  <c r="C296" i="12"/>
  <c r="B296" i="12"/>
  <c r="C295" i="12"/>
  <c r="B295" i="12"/>
  <c r="C294" i="12"/>
  <c r="B294" i="12"/>
  <c r="C293" i="12"/>
  <c r="B293" i="12"/>
  <c r="C292" i="12"/>
  <c r="B292" i="12"/>
  <c r="C291" i="12"/>
  <c r="B291" i="12"/>
  <c r="C290" i="12"/>
  <c r="B290" i="12"/>
  <c r="C289" i="12"/>
  <c r="B289" i="12"/>
  <c r="C288" i="12"/>
  <c r="B288" i="12"/>
  <c r="C287" i="12"/>
  <c r="B287" i="12"/>
  <c r="C286" i="12"/>
  <c r="B286" i="12"/>
  <c r="C285" i="12"/>
  <c r="B285" i="12"/>
  <c r="C284" i="12"/>
  <c r="B284" i="12"/>
  <c r="C283" i="12"/>
  <c r="B283" i="12"/>
  <c r="C282" i="12"/>
  <c r="B282" i="12"/>
  <c r="C281" i="12"/>
  <c r="B281" i="12"/>
  <c r="C280" i="12"/>
  <c r="B280" i="12"/>
  <c r="C279" i="12"/>
  <c r="B279" i="12"/>
  <c r="C278" i="12"/>
  <c r="B278" i="12"/>
  <c r="C277" i="12"/>
  <c r="B277" i="12"/>
  <c r="C276" i="12"/>
  <c r="B276" i="12"/>
  <c r="C275" i="12"/>
  <c r="B275" i="12"/>
  <c r="C274" i="12"/>
  <c r="B274" i="12"/>
  <c r="C273" i="12"/>
  <c r="B273" i="12"/>
  <c r="C272" i="12"/>
  <c r="B272" i="12"/>
  <c r="C271" i="12"/>
  <c r="B271" i="12"/>
  <c r="C270" i="12"/>
  <c r="B270" i="12"/>
  <c r="C269" i="12"/>
  <c r="B269" i="12"/>
  <c r="C268" i="12"/>
  <c r="B268" i="12"/>
  <c r="C267" i="12"/>
  <c r="B267" i="12"/>
  <c r="C266" i="12"/>
  <c r="B266" i="12"/>
  <c r="C265" i="12"/>
  <c r="B265" i="12"/>
  <c r="C264" i="12"/>
  <c r="B264" i="12"/>
  <c r="C263" i="12"/>
  <c r="B263" i="12"/>
  <c r="C262" i="12"/>
  <c r="B262" i="12"/>
  <c r="C261" i="12"/>
  <c r="B261" i="12"/>
  <c r="C260" i="12"/>
  <c r="B260" i="12"/>
  <c r="C259" i="12"/>
  <c r="B259" i="12"/>
  <c r="C258" i="12"/>
  <c r="B258" i="12"/>
  <c r="C257" i="12"/>
  <c r="B257" i="12"/>
  <c r="C256" i="12"/>
  <c r="B256" i="12"/>
  <c r="C255" i="12"/>
  <c r="B255" i="12"/>
  <c r="C254" i="12"/>
  <c r="B254" i="12"/>
  <c r="C253" i="12"/>
  <c r="B253" i="12"/>
  <c r="C252" i="12"/>
  <c r="B252" i="12"/>
  <c r="C251" i="12"/>
  <c r="B251" i="12"/>
  <c r="C250" i="12"/>
  <c r="B250" i="12"/>
  <c r="C249" i="12"/>
  <c r="B249" i="12"/>
  <c r="C248" i="12"/>
  <c r="B248" i="12"/>
  <c r="C247" i="12"/>
  <c r="B247" i="12"/>
  <c r="C246" i="12"/>
  <c r="B246" i="12"/>
  <c r="C245" i="12"/>
  <c r="B245" i="12"/>
  <c r="C244" i="12"/>
  <c r="B244" i="12"/>
  <c r="C243" i="12"/>
  <c r="B243" i="12"/>
  <c r="C242" i="12"/>
  <c r="B242" i="12"/>
  <c r="C241" i="12"/>
  <c r="B241" i="12"/>
  <c r="C240" i="12"/>
  <c r="B240" i="12"/>
  <c r="C239" i="12"/>
  <c r="B239" i="12"/>
  <c r="C238" i="12"/>
  <c r="B238" i="12"/>
  <c r="C237" i="12"/>
  <c r="B237" i="12"/>
  <c r="C236" i="12"/>
  <c r="B236" i="12"/>
  <c r="C235" i="12"/>
  <c r="B235" i="12"/>
  <c r="C234" i="12"/>
  <c r="B234" i="12"/>
  <c r="C233" i="12"/>
  <c r="B233" i="12"/>
  <c r="C232" i="12"/>
  <c r="B232" i="12"/>
  <c r="C231" i="12"/>
  <c r="B231" i="12"/>
  <c r="C230" i="12"/>
  <c r="B230" i="12"/>
  <c r="C229" i="12"/>
  <c r="B229" i="12"/>
  <c r="C228" i="12"/>
  <c r="B228" i="12"/>
  <c r="C227" i="12"/>
  <c r="B227" i="12"/>
  <c r="C226" i="12"/>
  <c r="B226" i="12"/>
  <c r="C225" i="12"/>
  <c r="B225" i="12"/>
  <c r="C224" i="12"/>
  <c r="B224" i="12"/>
  <c r="C223" i="12"/>
  <c r="B223" i="12"/>
  <c r="C222" i="12"/>
  <c r="B222" i="12"/>
  <c r="C221" i="12"/>
  <c r="B221" i="12"/>
  <c r="C220" i="12"/>
  <c r="B220" i="12"/>
  <c r="C219" i="12"/>
  <c r="B219" i="12"/>
  <c r="C218" i="12"/>
  <c r="B218" i="12"/>
  <c r="C217" i="12"/>
  <c r="B217" i="12"/>
  <c r="C216" i="12"/>
  <c r="B216" i="12"/>
  <c r="C215" i="12"/>
  <c r="B215" i="12"/>
  <c r="C214" i="12"/>
  <c r="B214" i="12"/>
  <c r="C213" i="12"/>
  <c r="B213" i="12"/>
  <c r="C212" i="12"/>
  <c r="B212" i="12"/>
  <c r="C211" i="12"/>
  <c r="B211" i="12"/>
  <c r="C210" i="12"/>
  <c r="B210" i="12"/>
  <c r="C209" i="12"/>
  <c r="B209" i="12"/>
  <c r="C208" i="12"/>
  <c r="B208" i="12"/>
  <c r="C207" i="12"/>
  <c r="B207" i="12"/>
  <c r="C206" i="12"/>
  <c r="B206" i="12"/>
  <c r="C205" i="12"/>
  <c r="B205" i="12"/>
  <c r="C204" i="12"/>
  <c r="B204" i="12"/>
  <c r="C203" i="12"/>
  <c r="B203" i="12"/>
  <c r="C202" i="12"/>
  <c r="B202" i="12"/>
  <c r="C201" i="12"/>
  <c r="B201" i="12"/>
  <c r="C200" i="12"/>
  <c r="B200" i="12"/>
  <c r="C199" i="12"/>
  <c r="B199" i="12"/>
  <c r="C198" i="12"/>
  <c r="B198" i="12"/>
  <c r="C197" i="12"/>
  <c r="B197" i="12"/>
  <c r="C196" i="12"/>
  <c r="B196" i="12"/>
  <c r="C195" i="12"/>
  <c r="B195" i="12"/>
  <c r="C194" i="12"/>
  <c r="B194" i="12"/>
  <c r="C193" i="12"/>
  <c r="B193" i="12"/>
  <c r="C192" i="12"/>
  <c r="B192" i="12"/>
  <c r="C191" i="12"/>
  <c r="B191" i="12"/>
  <c r="C190" i="12"/>
  <c r="B190" i="12"/>
  <c r="C189" i="12"/>
  <c r="B189" i="12"/>
  <c r="C188" i="12"/>
  <c r="B188" i="12"/>
  <c r="C187" i="12"/>
  <c r="B187" i="12"/>
  <c r="C186" i="12"/>
  <c r="B186" i="12"/>
  <c r="C185" i="12"/>
  <c r="B185" i="12"/>
  <c r="C184" i="12"/>
  <c r="B184" i="12"/>
  <c r="C183" i="12"/>
  <c r="B183" i="12"/>
  <c r="C182" i="12"/>
  <c r="B182" i="12"/>
  <c r="C181" i="12"/>
  <c r="B181" i="12"/>
  <c r="C180" i="12"/>
  <c r="B180" i="12"/>
  <c r="C179" i="12"/>
  <c r="B179" i="12"/>
  <c r="C178" i="12"/>
  <c r="B178" i="12"/>
  <c r="C177" i="12"/>
  <c r="B177" i="12"/>
  <c r="C176" i="12"/>
  <c r="B176" i="12"/>
  <c r="C175" i="12"/>
  <c r="B175" i="12"/>
  <c r="C174" i="12"/>
  <c r="B174" i="12"/>
  <c r="C173" i="12"/>
  <c r="B173" i="12"/>
  <c r="C172" i="12"/>
  <c r="B172" i="12"/>
  <c r="C171" i="12"/>
  <c r="B171" i="12"/>
  <c r="C170" i="12"/>
  <c r="B170" i="12"/>
  <c r="C169" i="12"/>
  <c r="B169" i="12"/>
  <c r="C168" i="12"/>
  <c r="B168" i="12"/>
  <c r="C167" i="12"/>
  <c r="B167" i="12"/>
  <c r="C166" i="12"/>
  <c r="B166" i="12"/>
  <c r="C165" i="12"/>
  <c r="B165" i="12"/>
  <c r="C164" i="12"/>
  <c r="B164" i="12"/>
  <c r="C163" i="12"/>
  <c r="B163" i="12"/>
  <c r="C162" i="12"/>
  <c r="B162" i="12"/>
  <c r="C161" i="12"/>
  <c r="B161" i="12"/>
  <c r="C160" i="12"/>
  <c r="B160" i="12"/>
  <c r="C159" i="12"/>
  <c r="B159" i="12"/>
  <c r="C158" i="12"/>
  <c r="B158" i="12"/>
  <c r="C157" i="12"/>
  <c r="B157" i="12"/>
  <c r="C156" i="12"/>
  <c r="B156" i="12"/>
  <c r="C155" i="12"/>
  <c r="B155" i="12"/>
  <c r="C154" i="12"/>
  <c r="B154" i="12"/>
  <c r="C153" i="12"/>
  <c r="B153" i="12"/>
  <c r="C152" i="12"/>
  <c r="B152" i="12"/>
  <c r="C151" i="12"/>
  <c r="B151" i="12"/>
  <c r="C150" i="12"/>
  <c r="B150" i="12"/>
  <c r="C149" i="12"/>
  <c r="B149" i="12"/>
  <c r="C148" i="12"/>
  <c r="B148" i="12"/>
  <c r="C147" i="12"/>
  <c r="B147" i="12"/>
  <c r="C146" i="12"/>
  <c r="B146" i="12"/>
  <c r="C145" i="12"/>
  <c r="B145" i="12"/>
  <c r="C144" i="12"/>
  <c r="B144" i="12"/>
  <c r="C143" i="12"/>
  <c r="B143" i="12"/>
  <c r="C142" i="12"/>
  <c r="B142" i="12"/>
  <c r="C141" i="12"/>
  <c r="B141" i="12"/>
  <c r="C140" i="12"/>
  <c r="B140" i="12"/>
  <c r="C139" i="12"/>
  <c r="B139" i="12"/>
  <c r="C138" i="12"/>
  <c r="B138" i="12"/>
  <c r="C137" i="12"/>
  <c r="B137" i="12"/>
  <c r="C136" i="12"/>
  <c r="B136" i="12"/>
  <c r="C135" i="12"/>
  <c r="B135" i="12"/>
  <c r="C134" i="12"/>
  <c r="B134" i="12"/>
  <c r="C133" i="12"/>
  <c r="B133" i="12"/>
  <c r="C132" i="12"/>
  <c r="B132" i="12"/>
  <c r="C131" i="12"/>
  <c r="B131" i="12"/>
  <c r="C130" i="12"/>
  <c r="B130" i="12"/>
  <c r="C129" i="12"/>
  <c r="B129" i="12"/>
  <c r="C128" i="12"/>
  <c r="B128" i="12"/>
  <c r="C127" i="12"/>
  <c r="B127" i="12"/>
  <c r="C126" i="12"/>
  <c r="B126" i="12"/>
  <c r="C125" i="12"/>
  <c r="B125" i="12"/>
  <c r="C124" i="12"/>
  <c r="B124" i="12"/>
  <c r="C123" i="12"/>
  <c r="B123" i="12"/>
  <c r="C122" i="12"/>
  <c r="B122" i="12"/>
  <c r="C121" i="12"/>
  <c r="B121" i="12"/>
  <c r="C120" i="12"/>
  <c r="B120" i="12"/>
  <c r="C119" i="12"/>
  <c r="B119" i="12"/>
  <c r="C118" i="12"/>
  <c r="B118" i="12"/>
  <c r="C117" i="12"/>
  <c r="B117" i="12"/>
  <c r="C116" i="12"/>
  <c r="B116" i="12"/>
  <c r="C115" i="12"/>
  <c r="B115" i="12"/>
  <c r="C114" i="12"/>
  <c r="B114" i="12"/>
  <c r="C113" i="12"/>
  <c r="B113" i="12"/>
  <c r="C112" i="12"/>
  <c r="B112" i="12"/>
  <c r="C111" i="12"/>
  <c r="B111" i="12"/>
  <c r="C110" i="12"/>
  <c r="B110" i="12"/>
  <c r="C109" i="12"/>
  <c r="B109" i="12"/>
  <c r="C108" i="12"/>
  <c r="B108" i="12"/>
  <c r="C107" i="12"/>
  <c r="B107" i="12"/>
  <c r="C106" i="12"/>
  <c r="B106" i="12"/>
  <c r="C105" i="12"/>
  <c r="B105" i="12"/>
  <c r="C104" i="12"/>
  <c r="B104" i="12"/>
  <c r="C103" i="12"/>
  <c r="B103" i="12"/>
  <c r="C102" i="12"/>
  <c r="B102" i="12"/>
  <c r="C101" i="12"/>
  <c r="B101" i="12"/>
  <c r="C100" i="12"/>
  <c r="B100" i="12"/>
  <c r="C99" i="12"/>
  <c r="B99" i="12"/>
  <c r="C98" i="12"/>
  <c r="B98" i="12"/>
  <c r="C97" i="12"/>
  <c r="B97" i="12"/>
  <c r="C96" i="12"/>
  <c r="B96" i="12"/>
  <c r="C95" i="12"/>
  <c r="B95" i="12"/>
  <c r="C94" i="12"/>
  <c r="B94" i="12"/>
  <c r="C93" i="12"/>
  <c r="B93" i="12"/>
  <c r="C92" i="12"/>
  <c r="B92" i="12"/>
  <c r="C91" i="12"/>
  <c r="B91" i="12"/>
  <c r="C90" i="12"/>
  <c r="B90" i="12"/>
  <c r="C89" i="12"/>
  <c r="B89" i="12"/>
  <c r="C88" i="12"/>
  <c r="B88" i="12"/>
  <c r="C87" i="12"/>
  <c r="B87" i="12"/>
  <c r="C86" i="12"/>
  <c r="B86" i="12"/>
  <c r="C85" i="12"/>
  <c r="B85" i="12"/>
  <c r="C84" i="12"/>
  <c r="B84" i="12"/>
  <c r="C83" i="12"/>
  <c r="B83" i="12"/>
  <c r="C82" i="12"/>
  <c r="B82" i="12"/>
  <c r="C81" i="12"/>
  <c r="B81" i="12"/>
  <c r="C80" i="12"/>
  <c r="B80" i="12"/>
  <c r="C79" i="12"/>
  <c r="B79" i="12"/>
  <c r="C78" i="12"/>
  <c r="B78" i="12"/>
  <c r="C77" i="12"/>
  <c r="B77" i="12"/>
  <c r="C76" i="12"/>
  <c r="B76" i="12"/>
  <c r="C75" i="12"/>
  <c r="B75" i="12"/>
  <c r="C74" i="12"/>
  <c r="B74" i="12"/>
  <c r="C73" i="12"/>
  <c r="B73" i="12"/>
  <c r="C72" i="12"/>
  <c r="B72" i="12"/>
  <c r="C71" i="12"/>
  <c r="B71" i="12"/>
  <c r="C70" i="12"/>
  <c r="B70" i="12"/>
  <c r="C69" i="12"/>
  <c r="B69" i="12"/>
  <c r="C68" i="12"/>
  <c r="B68" i="12"/>
  <c r="C67" i="12"/>
  <c r="B67" i="12"/>
  <c r="C66" i="12"/>
  <c r="B66" i="12"/>
  <c r="C65" i="12"/>
  <c r="B65" i="12"/>
  <c r="C64" i="12"/>
  <c r="B64" i="12"/>
  <c r="C63" i="12"/>
  <c r="B63" i="12"/>
  <c r="C62" i="12"/>
  <c r="B62" i="12"/>
  <c r="C61" i="12"/>
  <c r="B61" i="12"/>
  <c r="C60" i="12"/>
  <c r="B60" i="12"/>
  <c r="C59" i="12"/>
  <c r="B59" i="12"/>
  <c r="C58" i="12"/>
  <c r="B58" i="12"/>
  <c r="C57" i="12"/>
  <c r="B57" i="12"/>
  <c r="C56" i="12"/>
  <c r="B56" i="12"/>
  <c r="C55" i="12"/>
  <c r="B55" i="12"/>
  <c r="C54" i="12"/>
  <c r="B54" i="12"/>
  <c r="C53" i="12"/>
  <c r="B53" i="12"/>
  <c r="C52" i="12"/>
  <c r="B52" i="12"/>
  <c r="C51" i="12"/>
  <c r="B51" i="12"/>
  <c r="C50" i="12"/>
  <c r="B50" i="12"/>
  <c r="C49" i="12"/>
  <c r="B49" i="12"/>
  <c r="C48" i="12"/>
  <c r="B48" i="12"/>
  <c r="C47" i="12"/>
  <c r="B47" i="12"/>
  <c r="C46" i="12"/>
  <c r="B46" i="12"/>
  <c r="C45" i="12"/>
  <c r="B45" i="12"/>
  <c r="C44" i="12"/>
  <c r="B44" i="12"/>
  <c r="C43" i="12"/>
  <c r="B43" i="12"/>
  <c r="C42" i="12"/>
  <c r="B42" i="12"/>
  <c r="C41" i="12"/>
  <c r="B41" i="12"/>
  <c r="C40" i="12"/>
  <c r="B40" i="12"/>
  <c r="C39" i="12"/>
  <c r="B39" i="12"/>
  <c r="C38" i="12"/>
  <c r="B38" i="12"/>
  <c r="C37" i="12"/>
  <c r="B37" i="12"/>
  <c r="C36" i="12"/>
  <c r="B36" i="12"/>
  <c r="C35" i="12"/>
  <c r="B35" i="12"/>
  <c r="C34" i="12"/>
  <c r="B34" i="12"/>
  <c r="C33" i="12"/>
  <c r="B33" i="12"/>
  <c r="C32" i="12"/>
  <c r="B32" i="12"/>
  <c r="C31" i="12"/>
  <c r="B31" i="12"/>
  <c r="C30" i="12"/>
  <c r="B30" i="12"/>
  <c r="C29" i="12"/>
  <c r="B29" i="12"/>
  <c r="C28" i="12"/>
  <c r="B28" i="12"/>
  <c r="C27" i="12"/>
  <c r="B27" i="12"/>
  <c r="C26" i="12"/>
  <c r="B26" i="12"/>
  <c r="C25" i="12"/>
  <c r="B25" i="12"/>
  <c r="C24" i="12"/>
  <c r="B24" i="12"/>
  <c r="C23" i="12"/>
  <c r="B23" i="12"/>
  <c r="C22" i="12"/>
  <c r="B22" i="12"/>
  <c r="C21" i="12"/>
  <c r="B21" i="12"/>
  <c r="C20" i="12"/>
  <c r="B20" i="12"/>
  <c r="C19" i="12"/>
  <c r="B19" i="12"/>
  <c r="C18" i="12"/>
  <c r="B18" i="12"/>
  <c r="C17" i="12"/>
  <c r="B17" i="12"/>
  <c r="C16" i="12"/>
  <c r="B16" i="12"/>
  <c r="C15" i="12"/>
  <c r="B15" i="12"/>
  <c r="C14" i="12"/>
  <c r="B14" i="12"/>
  <c r="C13" i="12"/>
  <c r="B13" i="12"/>
  <c r="C12" i="12"/>
  <c r="B12" i="12"/>
  <c r="C11" i="12"/>
  <c r="B11" i="12"/>
  <c r="C10" i="12"/>
  <c r="B10" i="12"/>
  <c r="C9" i="12"/>
  <c r="B9" i="12"/>
  <c r="C8" i="12"/>
  <c r="B8" i="12"/>
  <c r="C7" i="12"/>
  <c r="B7" i="12"/>
  <c r="C6" i="12"/>
  <c r="B6" i="12"/>
  <c r="C5" i="12"/>
  <c r="B5" i="12"/>
  <c r="C4" i="12"/>
  <c r="B4" i="12"/>
  <c r="C3" i="12"/>
  <c r="B3" i="12"/>
  <c r="C2" i="12"/>
  <c r="B2" i="12"/>
  <c r="BS300" i="10"/>
  <c r="BM300" i="10"/>
  <c r="BL300" i="10"/>
  <c r="BH300" i="10"/>
  <c r="BG300" i="10"/>
  <c r="AQ300" i="10"/>
  <c r="AL300" i="10"/>
  <c r="AN300" i="10" s="1"/>
  <c r="AG300" i="10"/>
  <c r="P300" i="10"/>
  <c r="O300" i="10"/>
  <c r="BS299" i="10"/>
  <c r="BM299" i="10"/>
  <c r="BL299" i="10"/>
  <c r="BH299" i="10"/>
  <c r="BG299" i="10"/>
  <c r="AR299" i="10"/>
  <c r="AQ299" i="10"/>
  <c r="AN299" i="10"/>
  <c r="AL299" i="10"/>
  <c r="AI299" i="10"/>
  <c r="AS299" i="10" s="1"/>
  <c r="AG299" i="10"/>
  <c r="AT299" i="10" s="1"/>
  <c r="P299" i="10"/>
  <c r="O299" i="10"/>
  <c r="BS298" i="10"/>
  <c r="BM298" i="10"/>
  <c r="BL298" i="10"/>
  <c r="BH298" i="10"/>
  <c r="BG298" i="10"/>
  <c r="AQ298" i="10"/>
  <c r="AL298" i="10"/>
  <c r="AN298" i="10" s="1"/>
  <c r="AG298" i="10"/>
  <c r="P298" i="10"/>
  <c r="O298" i="10"/>
  <c r="BS297" i="10"/>
  <c r="BM297" i="10"/>
  <c r="BL297" i="10"/>
  <c r="BH297" i="10"/>
  <c r="BG297" i="10"/>
  <c r="AT297" i="10"/>
  <c r="AR297" i="10"/>
  <c r="AQ297" i="10"/>
  <c r="AN297" i="10"/>
  <c r="AL297" i="10"/>
  <c r="AI297" i="10"/>
  <c r="AS297" i="10" s="1"/>
  <c r="AG297" i="10"/>
  <c r="P297" i="10"/>
  <c r="O297" i="10"/>
  <c r="BS296" i="10"/>
  <c r="BM296" i="10"/>
  <c r="BL296" i="10"/>
  <c r="BH296" i="10"/>
  <c r="BG296" i="10"/>
  <c r="AQ296" i="10"/>
  <c r="AL296" i="10"/>
  <c r="AN296" i="10" s="1"/>
  <c r="AG296" i="10"/>
  <c r="P296" i="10"/>
  <c r="O296" i="10"/>
  <c r="BS295" i="10"/>
  <c r="BM295" i="10"/>
  <c r="BL295" i="10"/>
  <c r="BH295" i="10"/>
  <c r="BG295" i="10"/>
  <c r="AQ295" i="10"/>
  <c r="AN295" i="10"/>
  <c r="AL295" i="10"/>
  <c r="AI295" i="10"/>
  <c r="AG295" i="10"/>
  <c r="P295" i="10"/>
  <c r="O295" i="10"/>
  <c r="BS294" i="10"/>
  <c r="BM294" i="10"/>
  <c r="BL294" i="10"/>
  <c r="BH294" i="10"/>
  <c r="BG294" i="10"/>
  <c r="AQ294" i="10"/>
  <c r="AL294" i="10"/>
  <c r="AN294" i="10" s="1"/>
  <c r="AG294" i="10"/>
  <c r="P294" i="10"/>
  <c r="O294" i="10"/>
  <c r="BS293" i="10"/>
  <c r="BM293" i="10"/>
  <c r="BL293" i="10"/>
  <c r="BH293" i="10"/>
  <c r="BG293" i="10"/>
  <c r="AQ293" i="10"/>
  <c r="AN293" i="10"/>
  <c r="AL293" i="10"/>
  <c r="AG293" i="10"/>
  <c r="P293" i="10"/>
  <c r="O293" i="10"/>
  <c r="BS292" i="10"/>
  <c r="BM292" i="10"/>
  <c r="BL292" i="10"/>
  <c r="BH292" i="10"/>
  <c r="BG292" i="10"/>
  <c r="AQ292" i="10"/>
  <c r="AL292" i="10"/>
  <c r="AN292" i="10" s="1"/>
  <c r="AG292" i="10"/>
  <c r="P292" i="10"/>
  <c r="O292" i="10"/>
  <c r="BS291" i="10"/>
  <c r="BM291" i="10"/>
  <c r="BL291" i="10"/>
  <c r="BH291" i="10"/>
  <c r="BG291" i="10"/>
  <c r="AT291" i="10"/>
  <c r="AQ291" i="10"/>
  <c r="AN291" i="10"/>
  <c r="AL291" i="10"/>
  <c r="AI291" i="10"/>
  <c r="AG291" i="10"/>
  <c r="P291" i="10"/>
  <c r="O291" i="10"/>
  <c r="BS290" i="10"/>
  <c r="BM290" i="10"/>
  <c r="BL290" i="10"/>
  <c r="BH290" i="10"/>
  <c r="BG290" i="10"/>
  <c r="AQ290" i="10"/>
  <c r="AL290" i="10"/>
  <c r="AN290" i="10" s="1"/>
  <c r="AG290" i="10"/>
  <c r="P290" i="10"/>
  <c r="O290" i="10"/>
  <c r="BS289" i="10"/>
  <c r="BM289" i="10"/>
  <c r="BL289" i="10"/>
  <c r="BH289" i="10"/>
  <c r="BG289" i="10"/>
  <c r="AQ289" i="10"/>
  <c r="AN289" i="10"/>
  <c r="AL289" i="10"/>
  <c r="AG289" i="10"/>
  <c r="AT289" i="10" s="1"/>
  <c r="P289" i="10"/>
  <c r="O289" i="10"/>
  <c r="BS288" i="10"/>
  <c r="BM288" i="10"/>
  <c r="BL288" i="10"/>
  <c r="BH288" i="10"/>
  <c r="BG288" i="10"/>
  <c r="AQ288" i="10"/>
  <c r="AN288" i="10"/>
  <c r="AL288" i="10"/>
  <c r="AG288" i="10"/>
  <c r="P288" i="10"/>
  <c r="O288" i="10"/>
  <c r="BS287" i="10"/>
  <c r="BM287" i="10"/>
  <c r="BL287" i="10"/>
  <c r="BH287" i="10"/>
  <c r="BG287" i="10"/>
  <c r="AT287" i="10"/>
  <c r="AQ287" i="10"/>
  <c r="AN287" i="10"/>
  <c r="AL287" i="10"/>
  <c r="AG287" i="10"/>
  <c r="AI287" i="10" s="1"/>
  <c r="P287" i="10"/>
  <c r="O287" i="10"/>
  <c r="BS286" i="10"/>
  <c r="BM286" i="10"/>
  <c r="BL286" i="10"/>
  <c r="BH286" i="10"/>
  <c r="BG286" i="10"/>
  <c r="AQ286" i="10"/>
  <c r="AL286" i="10"/>
  <c r="AN286" i="10" s="1"/>
  <c r="AG286" i="10"/>
  <c r="P286" i="10"/>
  <c r="O286" i="10"/>
  <c r="BS285" i="10"/>
  <c r="BM285" i="10"/>
  <c r="BL285" i="10"/>
  <c r="BH285" i="10"/>
  <c r="BG285" i="10"/>
  <c r="AT285" i="10"/>
  <c r="AR285" i="10"/>
  <c r="AQ285" i="10"/>
  <c r="AN285" i="10"/>
  <c r="AL285" i="10"/>
  <c r="AI285" i="10"/>
  <c r="AS285" i="10" s="1"/>
  <c r="AG285" i="10"/>
  <c r="P285" i="10"/>
  <c r="O285" i="10"/>
  <c r="BS284" i="10"/>
  <c r="BM284" i="10"/>
  <c r="BL284" i="10"/>
  <c r="BH284" i="10"/>
  <c r="BG284" i="10"/>
  <c r="AQ284" i="10"/>
  <c r="AN284" i="10"/>
  <c r="AL284" i="10"/>
  <c r="AG284" i="10"/>
  <c r="P284" i="10"/>
  <c r="O284" i="10"/>
  <c r="BS283" i="10"/>
  <c r="BM283" i="10"/>
  <c r="BL283" i="10"/>
  <c r="BH283" i="10"/>
  <c r="BG283" i="10"/>
  <c r="AQ283" i="10"/>
  <c r="AN283" i="10"/>
  <c r="AL283" i="10"/>
  <c r="AG283" i="10"/>
  <c r="P283" i="10"/>
  <c r="O283" i="10"/>
  <c r="BS282" i="10"/>
  <c r="BM282" i="10"/>
  <c r="BL282" i="10"/>
  <c r="BH282" i="10"/>
  <c r="BG282" i="10"/>
  <c r="AQ282" i="10"/>
  <c r="AL282" i="10"/>
  <c r="AN282" i="10" s="1"/>
  <c r="AG282" i="10"/>
  <c r="P282" i="10"/>
  <c r="O282" i="10"/>
  <c r="BS281" i="10"/>
  <c r="BM281" i="10"/>
  <c r="BL281" i="10"/>
  <c r="BH281" i="10"/>
  <c r="BG281" i="10"/>
  <c r="AQ281" i="10"/>
  <c r="AN281" i="10"/>
  <c r="AL281" i="10"/>
  <c r="AG281" i="10"/>
  <c r="P281" i="10"/>
  <c r="O281" i="10"/>
  <c r="BS280" i="10"/>
  <c r="BM280" i="10"/>
  <c r="BL280" i="10"/>
  <c r="BH280" i="10"/>
  <c r="BG280" i="10"/>
  <c r="AQ280" i="10"/>
  <c r="AL280" i="10"/>
  <c r="AN280" i="10" s="1"/>
  <c r="AG280" i="10"/>
  <c r="P280" i="10"/>
  <c r="O280" i="10"/>
  <c r="BS279" i="10"/>
  <c r="BM279" i="10"/>
  <c r="BL279" i="10"/>
  <c r="BH279" i="10"/>
  <c r="BG279" i="10"/>
  <c r="AQ279" i="10"/>
  <c r="AR279" i="10" s="1"/>
  <c r="AN279" i="10"/>
  <c r="AL279" i="10"/>
  <c r="AG279" i="10"/>
  <c r="AI279" i="10" s="1"/>
  <c r="AS279" i="10" s="1"/>
  <c r="P279" i="10"/>
  <c r="O279" i="10"/>
  <c r="BS278" i="10"/>
  <c r="BM278" i="10"/>
  <c r="BL278" i="10"/>
  <c r="BH278" i="10"/>
  <c r="BG278" i="10"/>
  <c r="AQ278" i="10"/>
  <c r="AL278" i="10"/>
  <c r="AN278" i="10" s="1"/>
  <c r="AG278" i="10"/>
  <c r="P278" i="10"/>
  <c r="O278" i="10"/>
  <c r="BS277" i="10"/>
  <c r="BM277" i="10"/>
  <c r="BL277" i="10"/>
  <c r="BH277" i="10"/>
  <c r="BG277" i="10"/>
  <c r="AQ277" i="10"/>
  <c r="AN277" i="10"/>
  <c r="AL277" i="10"/>
  <c r="AI277" i="10"/>
  <c r="AG277" i="10"/>
  <c r="AT277" i="10" s="1"/>
  <c r="P277" i="10"/>
  <c r="O277" i="10"/>
  <c r="BS276" i="10"/>
  <c r="BM276" i="10"/>
  <c r="BL276" i="10"/>
  <c r="BH276" i="10"/>
  <c r="BG276" i="10"/>
  <c r="AQ276" i="10"/>
  <c r="AN276" i="10"/>
  <c r="AL276" i="10"/>
  <c r="AG276" i="10"/>
  <c r="P276" i="10"/>
  <c r="O276" i="10"/>
  <c r="BS275" i="10"/>
  <c r="BM275" i="10"/>
  <c r="BL275" i="10"/>
  <c r="BH275" i="10"/>
  <c r="BG275" i="10"/>
  <c r="AT275" i="10"/>
  <c r="AQ275" i="10"/>
  <c r="AN275" i="10"/>
  <c r="AL275" i="10"/>
  <c r="AI275" i="10"/>
  <c r="AG275" i="10"/>
  <c r="P275" i="10"/>
  <c r="O275" i="10"/>
  <c r="BS274" i="10"/>
  <c r="BM274" i="10"/>
  <c r="BL274" i="10"/>
  <c r="BH274" i="10"/>
  <c r="BG274" i="10"/>
  <c r="AQ274" i="10"/>
  <c r="AL274" i="10"/>
  <c r="AN274" i="10" s="1"/>
  <c r="AG274" i="10"/>
  <c r="P274" i="10"/>
  <c r="O274" i="10"/>
  <c r="BS273" i="10"/>
  <c r="BM273" i="10"/>
  <c r="BL273" i="10"/>
  <c r="BH273" i="10"/>
  <c r="BG273" i="10"/>
  <c r="AT273" i="10"/>
  <c r="AQ273" i="10"/>
  <c r="AN273" i="10"/>
  <c r="AR273" i="10" s="1"/>
  <c r="AL273" i="10"/>
  <c r="AI273" i="10"/>
  <c r="AG273" i="10"/>
  <c r="P273" i="10"/>
  <c r="O273" i="10"/>
  <c r="BS272" i="10"/>
  <c r="BM272" i="10"/>
  <c r="BL272" i="10"/>
  <c r="BH272" i="10"/>
  <c r="BG272" i="10"/>
  <c r="AQ272" i="10"/>
  <c r="AL272" i="10"/>
  <c r="AN272" i="10" s="1"/>
  <c r="AG272" i="10"/>
  <c r="P272" i="10"/>
  <c r="O272" i="10"/>
  <c r="BS271" i="10"/>
  <c r="BM271" i="10"/>
  <c r="BL271" i="10"/>
  <c r="BH271" i="10"/>
  <c r="BG271" i="10"/>
  <c r="AQ271" i="10"/>
  <c r="AN271" i="10"/>
  <c r="AL271" i="10"/>
  <c r="AG271" i="10"/>
  <c r="P271" i="10"/>
  <c r="O271" i="10"/>
  <c r="BS270" i="10"/>
  <c r="BM270" i="10"/>
  <c r="BL270" i="10"/>
  <c r="BH270" i="10"/>
  <c r="BG270" i="10"/>
  <c r="AQ270" i="10"/>
  <c r="AL270" i="10"/>
  <c r="AN270" i="10" s="1"/>
  <c r="AG270" i="10"/>
  <c r="P270" i="10"/>
  <c r="O270" i="10"/>
  <c r="BS269" i="10"/>
  <c r="BM269" i="10"/>
  <c r="BL269" i="10"/>
  <c r="BH269" i="10"/>
  <c r="BG269" i="10"/>
  <c r="AQ269" i="10"/>
  <c r="AN269" i="10"/>
  <c r="AL269" i="10"/>
  <c r="AG269" i="10"/>
  <c r="P269" i="10"/>
  <c r="O269" i="10"/>
  <c r="BS268" i="10"/>
  <c r="BM268" i="10"/>
  <c r="BL268" i="10"/>
  <c r="BH268" i="10"/>
  <c r="BG268" i="10"/>
  <c r="AQ268" i="10"/>
  <c r="AN268" i="10"/>
  <c r="AL268" i="10"/>
  <c r="AG268" i="10"/>
  <c r="P268" i="10"/>
  <c r="O268" i="10"/>
  <c r="BS267" i="10"/>
  <c r="BM267" i="10"/>
  <c r="BL267" i="10"/>
  <c r="BH267" i="10"/>
  <c r="BG267" i="10"/>
  <c r="AT267" i="10"/>
  <c r="AQ267" i="10"/>
  <c r="AN267" i="10"/>
  <c r="AL267" i="10"/>
  <c r="AG267" i="10"/>
  <c r="AI267" i="10" s="1"/>
  <c r="AR267" i="10" s="1"/>
  <c r="P267" i="10"/>
  <c r="O267" i="10"/>
  <c r="BS266" i="10"/>
  <c r="BM266" i="10"/>
  <c r="BL266" i="10"/>
  <c r="BH266" i="10"/>
  <c r="BG266" i="10"/>
  <c r="AQ266" i="10"/>
  <c r="AN266" i="10"/>
  <c r="AL266" i="10"/>
  <c r="AG266" i="10"/>
  <c r="P266" i="10"/>
  <c r="O266" i="10"/>
  <c r="BS265" i="10"/>
  <c r="BM265" i="10"/>
  <c r="BL265" i="10"/>
  <c r="BH265" i="10"/>
  <c r="BG265" i="10"/>
  <c r="AQ265" i="10"/>
  <c r="AN265" i="10"/>
  <c r="AL265" i="10"/>
  <c r="AG265" i="10"/>
  <c r="AI265" i="10" s="1"/>
  <c r="P265" i="10"/>
  <c r="O265" i="10"/>
  <c r="BS264" i="10"/>
  <c r="BM264" i="10"/>
  <c r="BL264" i="10"/>
  <c r="BH264" i="10"/>
  <c r="BG264" i="10"/>
  <c r="AQ264" i="10"/>
  <c r="AN264" i="10"/>
  <c r="AL264" i="10"/>
  <c r="AG264" i="10"/>
  <c r="P264" i="10"/>
  <c r="O264" i="10"/>
  <c r="BS263" i="10"/>
  <c r="BM263" i="10"/>
  <c r="BL263" i="10"/>
  <c r="BH263" i="10"/>
  <c r="BG263" i="10"/>
  <c r="AT263" i="10"/>
  <c r="AQ263" i="10"/>
  <c r="AN263" i="10"/>
  <c r="AL263" i="10"/>
  <c r="AG263" i="10"/>
  <c r="AI263" i="10" s="1"/>
  <c r="AR263" i="10" s="1"/>
  <c r="P263" i="10"/>
  <c r="O263" i="10"/>
  <c r="BS262" i="10"/>
  <c r="BM262" i="10"/>
  <c r="BL262" i="10"/>
  <c r="BH262" i="10"/>
  <c r="BG262" i="10"/>
  <c r="AQ262" i="10"/>
  <c r="AN262" i="10"/>
  <c r="AL262" i="10"/>
  <c r="AG262" i="10"/>
  <c r="P262" i="10"/>
  <c r="O262" i="10"/>
  <c r="BS261" i="10"/>
  <c r="BM261" i="10"/>
  <c r="BL261" i="10"/>
  <c r="BH261" i="10"/>
  <c r="BG261" i="10"/>
  <c r="AQ261" i="10"/>
  <c r="AN261" i="10"/>
  <c r="AL261" i="10"/>
  <c r="AG261" i="10"/>
  <c r="AI261" i="10" s="1"/>
  <c r="P261" i="10"/>
  <c r="O261" i="10"/>
  <c r="BS260" i="10"/>
  <c r="BM260" i="10"/>
  <c r="BL260" i="10"/>
  <c r="BH260" i="10"/>
  <c r="BG260" i="10"/>
  <c r="AQ260" i="10"/>
  <c r="AN260" i="10"/>
  <c r="AL260" i="10"/>
  <c r="AG260" i="10"/>
  <c r="P260" i="10"/>
  <c r="O260" i="10"/>
  <c r="BS259" i="10"/>
  <c r="BM259" i="10"/>
  <c r="BL259" i="10"/>
  <c r="BH259" i="10"/>
  <c r="BG259" i="10"/>
  <c r="AT259" i="10"/>
  <c r="AQ259" i="10"/>
  <c r="AN259" i="10"/>
  <c r="AL259" i="10"/>
  <c r="AG259" i="10"/>
  <c r="AI259" i="10" s="1"/>
  <c r="AR259" i="10" s="1"/>
  <c r="P259" i="10"/>
  <c r="O259" i="10"/>
  <c r="BS258" i="10"/>
  <c r="BM258" i="10"/>
  <c r="BL258" i="10"/>
  <c r="BH258" i="10"/>
  <c r="BG258" i="10"/>
  <c r="AQ258" i="10"/>
  <c r="AN258" i="10"/>
  <c r="AL258" i="10"/>
  <c r="AG258" i="10"/>
  <c r="P258" i="10"/>
  <c r="O258" i="10"/>
  <c r="BS257" i="10"/>
  <c r="BM257" i="10"/>
  <c r="BL257" i="10"/>
  <c r="BH257" i="10"/>
  <c r="BG257" i="10"/>
  <c r="AQ257" i="10"/>
  <c r="AN257" i="10"/>
  <c r="AL257" i="10"/>
  <c r="AG257" i="10"/>
  <c r="AI257" i="10" s="1"/>
  <c r="P257" i="10"/>
  <c r="O257" i="10"/>
  <c r="BS256" i="10"/>
  <c r="BM256" i="10"/>
  <c r="BL256" i="10"/>
  <c r="BH256" i="10"/>
  <c r="BG256" i="10"/>
  <c r="AQ256" i="10"/>
  <c r="AN256" i="10"/>
  <c r="AL256" i="10"/>
  <c r="AG256" i="10"/>
  <c r="P256" i="10"/>
  <c r="O256" i="10"/>
  <c r="BS255" i="10"/>
  <c r="BM255" i="10"/>
  <c r="BL255" i="10"/>
  <c r="BH255" i="10"/>
  <c r="BG255" i="10"/>
  <c r="AT255" i="10"/>
  <c r="AQ255" i="10"/>
  <c r="AN255" i="10"/>
  <c r="AL255" i="10"/>
  <c r="AG255" i="10"/>
  <c r="AI255" i="10" s="1"/>
  <c r="AR255" i="10" s="1"/>
  <c r="P255" i="10"/>
  <c r="O255" i="10"/>
  <c r="BS254" i="10"/>
  <c r="BM254" i="10"/>
  <c r="BL254" i="10"/>
  <c r="BH254" i="10"/>
  <c r="BG254" i="10"/>
  <c r="AQ254" i="10"/>
  <c r="AN254" i="10"/>
  <c r="AL254" i="10"/>
  <c r="AG254" i="10"/>
  <c r="P254" i="10"/>
  <c r="O254" i="10"/>
  <c r="BS253" i="10"/>
  <c r="BM253" i="10"/>
  <c r="BL253" i="10"/>
  <c r="BH253" i="10"/>
  <c r="BG253" i="10"/>
  <c r="AQ253" i="10"/>
  <c r="AN253" i="10"/>
  <c r="AL253" i="10"/>
  <c r="AG253" i="10"/>
  <c r="AI253" i="10" s="1"/>
  <c r="P253" i="10"/>
  <c r="O253" i="10"/>
  <c r="BS252" i="10"/>
  <c r="BM252" i="10"/>
  <c r="BL252" i="10"/>
  <c r="BH252" i="10"/>
  <c r="BG252" i="10"/>
  <c r="AQ252" i="10"/>
  <c r="AN252" i="10"/>
  <c r="AL252" i="10"/>
  <c r="AG252" i="10"/>
  <c r="P252" i="10"/>
  <c r="O252" i="10"/>
  <c r="BS251" i="10"/>
  <c r="BM251" i="10"/>
  <c r="BL251" i="10"/>
  <c r="BH251" i="10"/>
  <c r="BG251" i="10"/>
  <c r="AT251" i="10"/>
  <c r="AQ251" i="10"/>
  <c r="AN251" i="10"/>
  <c r="AL251" i="10"/>
  <c r="AG251" i="10"/>
  <c r="AI251" i="10" s="1"/>
  <c r="AR251" i="10" s="1"/>
  <c r="P251" i="10"/>
  <c r="O251" i="10"/>
  <c r="BS250" i="10"/>
  <c r="BM250" i="10"/>
  <c r="BL250" i="10"/>
  <c r="BH250" i="10"/>
  <c r="BG250" i="10"/>
  <c r="AQ250" i="10"/>
  <c r="AN250" i="10"/>
  <c r="AL250" i="10"/>
  <c r="AG250" i="10"/>
  <c r="P250" i="10"/>
  <c r="O250" i="10"/>
  <c r="BS249" i="10"/>
  <c r="BM249" i="10"/>
  <c r="BL249" i="10"/>
  <c r="BH249" i="10"/>
  <c r="BG249" i="10"/>
  <c r="AQ249" i="10"/>
  <c r="AN249" i="10"/>
  <c r="AL249" i="10"/>
  <c r="AG249" i="10"/>
  <c r="AI249" i="10" s="1"/>
  <c r="P249" i="10"/>
  <c r="O249" i="10"/>
  <c r="BS248" i="10"/>
  <c r="BM248" i="10"/>
  <c r="BL248" i="10"/>
  <c r="BH248" i="10"/>
  <c r="BG248" i="10"/>
  <c r="AQ248" i="10"/>
  <c r="AN248" i="10"/>
  <c r="AL248" i="10"/>
  <c r="AG248" i="10"/>
  <c r="P248" i="10"/>
  <c r="O248" i="10"/>
  <c r="BS247" i="10"/>
  <c r="BM247" i="10"/>
  <c r="BL247" i="10"/>
  <c r="BH247" i="10"/>
  <c r="BG247" i="10"/>
  <c r="AT247" i="10"/>
  <c r="AQ247" i="10"/>
  <c r="AN247" i="10"/>
  <c r="AL247" i="10"/>
  <c r="AG247" i="10"/>
  <c r="AI247" i="10" s="1"/>
  <c r="AR247" i="10" s="1"/>
  <c r="P247" i="10"/>
  <c r="O247" i="10"/>
  <c r="BS246" i="10"/>
  <c r="BM246" i="10"/>
  <c r="BL246" i="10"/>
  <c r="BH246" i="10"/>
  <c r="BG246" i="10"/>
  <c r="AQ246" i="10"/>
  <c r="AN246" i="10"/>
  <c r="AL246" i="10"/>
  <c r="AG246" i="10"/>
  <c r="P246" i="10"/>
  <c r="O246" i="10"/>
  <c r="BS245" i="10"/>
  <c r="BM245" i="10"/>
  <c r="BL245" i="10"/>
  <c r="BH245" i="10"/>
  <c r="BG245" i="10"/>
  <c r="AQ245" i="10"/>
  <c r="AN245" i="10"/>
  <c r="AL245" i="10"/>
  <c r="AG245" i="10"/>
  <c r="AI245" i="10" s="1"/>
  <c r="P245" i="10"/>
  <c r="O245" i="10"/>
  <c r="BS244" i="10"/>
  <c r="BM244" i="10"/>
  <c r="BL244" i="10"/>
  <c r="BH244" i="10"/>
  <c r="BG244" i="10"/>
  <c r="AQ244" i="10"/>
  <c r="AN244" i="10"/>
  <c r="AL244" i="10"/>
  <c r="AG244" i="10"/>
  <c r="P244" i="10"/>
  <c r="O244" i="10"/>
  <c r="BS243" i="10"/>
  <c r="BM243" i="10"/>
  <c r="BL243" i="10"/>
  <c r="BH243" i="10"/>
  <c r="BG243" i="10"/>
  <c r="AT243" i="10"/>
  <c r="AQ243" i="10"/>
  <c r="AN243" i="10"/>
  <c r="AL243" i="10"/>
  <c r="AG243" i="10"/>
  <c r="AI243" i="10" s="1"/>
  <c r="AR243" i="10" s="1"/>
  <c r="P243" i="10"/>
  <c r="O243" i="10"/>
  <c r="BS242" i="10"/>
  <c r="BM242" i="10"/>
  <c r="BL242" i="10"/>
  <c r="BH242" i="10"/>
  <c r="BG242" i="10"/>
  <c r="AQ242" i="10"/>
  <c r="AN242" i="10"/>
  <c r="AL242" i="10"/>
  <c r="AG242" i="10"/>
  <c r="P242" i="10"/>
  <c r="O242" i="10"/>
  <c r="BS241" i="10"/>
  <c r="BM241" i="10"/>
  <c r="BL241" i="10"/>
  <c r="BH241" i="10"/>
  <c r="BG241" i="10"/>
  <c r="AQ241" i="10"/>
  <c r="AN241" i="10"/>
  <c r="AL241" i="10"/>
  <c r="AG241" i="10"/>
  <c r="AI241" i="10" s="1"/>
  <c r="P241" i="10"/>
  <c r="O241" i="10"/>
  <c r="BS240" i="10"/>
  <c r="BM240" i="10"/>
  <c r="BL240" i="10"/>
  <c r="BH240" i="10"/>
  <c r="BG240" i="10"/>
  <c r="AQ240" i="10"/>
  <c r="AN240" i="10"/>
  <c r="AL240" i="10"/>
  <c r="AG240" i="10"/>
  <c r="P240" i="10"/>
  <c r="O240" i="10"/>
  <c r="BS239" i="10"/>
  <c r="BM239" i="10"/>
  <c r="BL239" i="10"/>
  <c r="BH239" i="10"/>
  <c r="BG239" i="10"/>
  <c r="AT239" i="10"/>
  <c r="AQ239" i="10"/>
  <c r="AN239" i="10"/>
  <c r="AL239" i="10"/>
  <c r="AG239" i="10"/>
  <c r="AI239" i="10" s="1"/>
  <c r="AR239" i="10" s="1"/>
  <c r="P239" i="10"/>
  <c r="O239" i="10"/>
  <c r="BS238" i="10"/>
  <c r="BM238" i="10"/>
  <c r="BL238" i="10"/>
  <c r="BH238" i="10"/>
  <c r="BG238" i="10"/>
  <c r="AQ238" i="10"/>
  <c r="AN238" i="10"/>
  <c r="AL238" i="10"/>
  <c r="AG238" i="10"/>
  <c r="P238" i="10"/>
  <c r="O238" i="10"/>
  <c r="BS237" i="10"/>
  <c r="BM237" i="10"/>
  <c r="BL237" i="10"/>
  <c r="BH237" i="10"/>
  <c r="BG237" i="10"/>
  <c r="AQ237" i="10"/>
  <c r="AN237" i="10"/>
  <c r="AL237" i="10"/>
  <c r="AG237" i="10"/>
  <c r="AI237" i="10" s="1"/>
  <c r="P237" i="10"/>
  <c r="O237" i="10"/>
  <c r="BS236" i="10"/>
  <c r="BM236" i="10"/>
  <c r="BL236" i="10"/>
  <c r="BH236" i="10"/>
  <c r="BG236" i="10"/>
  <c r="AQ236" i="10"/>
  <c r="AN236" i="10"/>
  <c r="AL236" i="10"/>
  <c r="AG236" i="10"/>
  <c r="P236" i="10"/>
  <c r="O236" i="10"/>
  <c r="BS235" i="10"/>
  <c r="BM235" i="10"/>
  <c r="BL235" i="10"/>
  <c r="BH235" i="10"/>
  <c r="BG235" i="10"/>
  <c r="AT235" i="10"/>
  <c r="AQ235" i="10"/>
  <c r="AN235" i="10"/>
  <c r="AL235" i="10"/>
  <c r="AG235" i="10"/>
  <c r="AI235" i="10" s="1"/>
  <c r="AR235" i="10" s="1"/>
  <c r="P235" i="10"/>
  <c r="O235" i="10"/>
  <c r="BS234" i="10"/>
  <c r="BM234" i="10"/>
  <c r="BL234" i="10"/>
  <c r="BH234" i="10"/>
  <c r="BG234" i="10"/>
  <c r="AQ234" i="10"/>
  <c r="AN234" i="10"/>
  <c r="AL234" i="10"/>
  <c r="AG234" i="10"/>
  <c r="P234" i="10"/>
  <c r="O234" i="10"/>
  <c r="BS233" i="10"/>
  <c r="BM233" i="10"/>
  <c r="BL233" i="10"/>
  <c r="BH233" i="10"/>
  <c r="BG233" i="10"/>
  <c r="AQ233" i="10"/>
  <c r="AN233" i="10"/>
  <c r="AL233" i="10"/>
  <c r="AG233" i="10"/>
  <c r="AI233" i="10" s="1"/>
  <c r="P233" i="10"/>
  <c r="O233" i="10"/>
  <c r="BS232" i="10"/>
  <c r="BM232" i="10"/>
  <c r="BL232" i="10"/>
  <c r="BH232" i="10"/>
  <c r="BG232" i="10"/>
  <c r="AQ232" i="10"/>
  <c r="AN232" i="10"/>
  <c r="AL232" i="10"/>
  <c r="AG232" i="10"/>
  <c r="P232" i="10"/>
  <c r="O232" i="10"/>
  <c r="BS231" i="10"/>
  <c r="BM231" i="10"/>
  <c r="BL231" i="10"/>
  <c r="BH231" i="10"/>
  <c r="BG231" i="10"/>
  <c r="AT231" i="10"/>
  <c r="AQ231" i="10"/>
  <c r="AN231" i="10"/>
  <c r="AL231" i="10"/>
  <c r="AI231" i="10"/>
  <c r="AR231" i="10" s="1"/>
  <c r="AG231" i="10"/>
  <c r="P231" i="10"/>
  <c r="O231" i="10"/>
  <c r="BS230" i="10"/>
  <c r="BM230" i="10"/>
  <c r="BL230" i="10"/>
  <c r="BH230" i="10"/>
  <c r="BG230" i="10"/>
  <c r="AQ230" i="10"/>
  <c r="AL230" i="10"/>
  <c r="AN230" i="10" s="1"/>
  <c r="AG230" i="10"/>
  <c r="P230" i="10"/>
  <c r="O230" i="10"/>
  <c r="BS229" i="10"/>
  <c r="BM229" i="10"/>
  <c r="BL229" i="10"/>
  <c r="BH229" i="10"/>
  <c r="BG229" i="10"/>
  <c r="AQ229" i="10"/>
  <c r="AN229" i="10"/>
  <c r="AL229" i="10"/>
  <c r="AG229" i="10"/>
  <c r="AT229" i="10" s="1"/>
  <c r="P229" i="10"/>
  <c r="O229" i="10"/>
  <c r="BS228" i="10"/>
  <c r="BM228" i="10"/>
  <c r="BL228" i="10"/>
  <c r="BH228" i="10"/>
  <c r="BG228" i="10"/>
  <c r="AQ228" i="10"/>
  <c r="AN228" i="10"/>
  <c r="AL228" i="10"/>
  <c r="AG228" i="10"/>
  <c r="P228" i="10"/>
  <c r="O228" i="10"/>
  <c r="BS227" i="10"/>
  <c r="BM227" i="10"/>
  <c r="BL227" i="10"/>
  <c r="BH227" i="10"/>
  <c r="BG227" i="10"/>
  <c r="AT227" i="10"/>
  <c r="AQ227" i="10"/>
  <c r="AN227" i="10"/>
  <c r="AL227" i="10"/>
  <c r="AI227" i="10"/>
  <c r="AG227" i="10"/>
  <c r="P227" i="10"/>
  <c r="O227" i="10"/>
  <c r="BS226" i="10"/>
  <c r="BM226" i="10"/>
  <c r="BL226" i="10"/>
  <c r="BH226" i="10"/>
  <c r="BG226" i="10"/>
  <c r="AQ226" i="10"/>
  <c r="AN226" i="10"/>
  <c r="AL226" i="10"/>
  <c r="AG226" i="10"/>
  <c r="P226" i="10"/>
  <c r="O226" i="10"/>
  <c r="BS225" i="10"/>
  <c r="BM225" i="10"/>
  <c r="BL225" i="10"/>
  <c r="BH225" i="10"/>
  <c r="BG225" i="10"/>
  <c r="AQ225" i="10"/>
  <c r="AN225" i="10"/>
  <c r="AL225" i="10"/>
  <c r="AG225" i="10"/>
  <c r="AI225" i="10" s="1"/>
  <c r="P225" i="10"/>
  <c r="O225" i="10"/>
  <c r="BS224" i="10"/>
  <c r="BM224" i="10"/>
  <c r="BL224" i="10"/>
  <c r="BH224" i="10"/>
  <c r="BG224" i="10"/>
  <c r="AQ224" i="10"/>
  <c r="AL224" i="10"/>
  <c r="AN224" i="10" s="1"/>
  <c r="AG224" i="10"/>
  <c r="P224" i="10"/>
  <c r="O224" i="10"/>
  <c r="BS223" i="10"/>
  <c r="BM223" i="10"/>
  <c r="BL223" i="10"/>
  <c r="BH223" i="10"/>
  <c r="BG223" i="10"/>
  <c r="AT223" i="10"/>
  <c r="AR223" i="10"/>
  <c r="AQ223" i="10"/>
  <c r="AN223" i="10"/>
  <c r="AL223" i="10"/>
  <c r="AG223" i="10"/>
  <c r="AI223" i="10" s="1"/>
  <c r="AS223" i="10" s="1"/>
  <c r="P223" i="10"/>
  <c r="O223" i="10"/>
  <c r="BS222" i="10"/>
  <c r="BM222" i="10"/>
  <c r="BL222" i="10"/>
  <c r="BH222" i="10"/>
  <c r="BG222" i="10"/>
  <c r="AQ222" i="10"/>
  <c r="AN222" i="10"/>
  <c r="AL222" i="10"/>
  <c r="AG222" i="10"/>
  <c r="P222" i="10"/>
  <c r="O222" i="10"/>
  <c r="BS221" i="10"/>
  <c r="BM221" i="10"/>
  <c r="BL221" i="10"/>
  <c r="BH221" i="10"/>
  <c r="BG221" i="10"/>
  <c r="AQ221" i="10"/>
  <c r="AT221" i="10" s="1"/>
  <c r="AN221" i="10"/>
  <c r="AL221" i="10"/>
  <c r="AI221" i="10"/>
  <c r="AG221" i="10"/>
  <c r="P221" i="10"/>
  <c r="O221" i="10"/>
  <c r="BS220" i="10"/>
  <c r="BM220" i="10"/>
  <c r="BL220" i="10"/>
  <c r="BH220" i="10"/>
  <c r="BG220" i="10"/>
  <c r="AQ220" i="10"/>
  <c r="AL220" i="10"/>
  <c r="AN220" i="10" s="1"/>
  <c r="AG220" i="10"/>
  <c r="P220" i="10"/>
  <c r="O220" i="10"/>
  <c r="BS219" i="10"/>
  <c r="BM219" i="10"/>
  <c r="BL219" i="10"/>
  <c r="BH219" i="10"/>
  <c r="BG219" i="10"/>
  <c r="AQ219" i="10"/>
  <c r="AN219" i="10"/>
  <c r="AL219" i="10"/>
  <c r="AG219" i="10"/>
  <c r="P219" i="10"/>
  <c r="O219" i="10"/>
  <c r="BS218" i="10"/>
  <c r="BM218" i="10"/>
  <c r="BL218" i="10"/>
  <c r="BH218" i="10"/>
  <c r="BG218" i="10"/>
  <c r="AQ218" i="10"/>
  <c r="AN218" i="10"/>
  <c r="AL218" i="10"/>
  <c r="AG218" i="10"/>
  <c r="P218" i="10"/>
  <c r="O218" i="10"/>
  <c r="BS217" i="10"/>
  <c r="BM217" i="10"/>
  <c r="BL217" i="10"/>
  <c r="BH217" i="10"/>
  <c r="BG217" i="10"/>
  <c r="AT217" i="10"/>
  <c r="AQ217" i="10"/>
  <c r="AN217" i="10"/>
  <c r="AL217" i="10"/>
  <c r="AI217" i="10"/>
  <c r="AS217" i="10" s="1"/>
  <c r="AG217" i="10"/>
  <c r="P217" i="10"/>
  <c r="O217" i="10"/>
  <c r="BS216" i="10"/>
  <c r="BM216" i="10"/>
  <c r="BL216" i="10"/>
  <c r="BH216" i="10"/>
  <c r="BG216" i="10"/>
  <c r="AQ216" i="10"/>
  <c r="AL216" i="10"/>
  <c r="AN216" i="10" s="1"/>
  <c r="AG216" i="10"/>
  <c r="P216" i="10"/>
  <c r="O216" i="10"/>
  <c r="BS215" i="10"/>
  <c r="BM215" i="10"/>
  <c r="BL215" i="10"/>
  <c r="BH215" i="10"/>
  <c r="BG215" i="10"/>
  <c r="AQ215" i="10"/>
  <c r="AN215" i="10"/>
  <c r="AL215" i="10"/>
  <c r="AG215" i="10"/>
  <c r="P215" i="10"/>
  <c r="O215" i="10"/>
  <c r="BS214" i="10"/>
  <c r="BM214" i="10"/>
  <c r="BL214" i="10"/>
  <c r="BH214" i="10"/>
  <c r="BG214" i="10"/>
  <c r="AQ214" i="10"/>
  <c r="AN214" i="10"/>
  <c r="AL214" i="10"/>
  <c r="AG214" i="10"/>
  <c r="P214" i="10"/>
  <c r="O214" i="10"/>
  <c r="BS213" i="10"/>
  <c r="BM213" i="10"/>
  <c r="BL213" i="10"/>
  <c r="BH213" i="10"/>
  <c r="BG213" i="10"/>
  <c r="AQ213" i="10"/>
  <c r="AT213" i="10" s="1"/>
  <c r="AN213" i="10"/>
  <c r="AR213" i="10" s="1"/>
  <c r="AL213" i="10"/>
  <c r="AI213" i="10"/>
  <c r="AS213" i="10" s="1"/>
  <c r="AG213" i="10"/>
  <c r="P213" i="10"/>
  <c r="O213" i="10"/>
  <c r="BS212" i="10"/>
  <c r="BM212" i="10"/>
  <c r="BL212" i="10"/>
  <c r="BH212" i="10"/>
  <c r="BG212" i="10"/>
  <c r="AQ212" i="10"/>
  <c r="AL212" i="10"/>
  <c r="AN212" i="10" s="1"/>
  <c r="AS212" i="10" s="1"/>
  <c r="AI212" i="10"/>
  <c r="AG212" i="10"/>
  <c r="P212" i="10"/>
  <c r="O212" i="10"/>
  <c r="BS211" i="10"/>
  <c r="BM211" i="10"/>
  <c r="BL211" i="10"/>
  <c r="BH211" i="10"/>
  <c r="BG211" i="10"/>
  <c r="AT211" i="10"/>
  <c r="AQ211" i="10"/>
  <c r="AN211" i="10"/>
  <c r="AL211" i="10"/>
  <c r="AI211" i="10"/>
  <c r="AS211" i="10" s="1"/>
  <c r="AG211" i="10"/>
  <c r="P211" i="10"/>
  <c r="O211" i="10"/>
  <c r="BS210" i="10"/>
  <c r="BM210" i="10"/>
  <c r="BL210" i="10"/>
  <c r="BH210" i="10"/>
  <c r="BG210" i="10"/>
  <c r="AQ210" i="10"/>
  <c r="AL210" i="10"/>
  <c r="AN210" i="10" s="1"/>
  <c r="AI210" i="10"/>
  <c r="AG210" i="10"/>
  <c r="P210" i="10"/>
  <c r="O210" i="10"/>
  <c r="BS209" i="10"/>
  <c r="BM209" i="10"/>
  <c r="BL209" i="10"/>
  <c r="BH209" i="10"/>
  <c r="BG209" i="10"/>
  <c r="AT209" i="10"/>
  <c r="AS209" i="10"/>
  <c r="AQ209" i="10"/>
  <c r="AN209" i="10"/>
  <c r="AL209" i="10"/>
  <c r="AI209" i="10"/>
  <c r="AR209" i="10" s="1"/>
  <c r="AG209" i="10"/>
  <c r="P209" i="10"/>
  <c r="O209" i="10"/>
  <c r="BS208" i="10"/>
  <c r="BM208" i="10"/>
  <c r="BL208" i="10"/>
  <c r="BH208" i="10"/>
  <c r="BG208" i="10"/>
  <c r="AQ208" i="10"/>
  <c r="AN208" i="10"/>
  <c r="AL208" i="10"/>
  <c r="AG208" i="10"/>
  <c r="P208" i="10"/>
  <c r="O208" i="10"/>
  <c r="BS207" i="10"/>
  <c r="BM207" i="10"/>
  <c r="BL207" i="10"/>
  <c r="BH207" i="10"/>
  <c r="BG207" i="10"/>
  <c r="AQ207" i="10"/>
  <c r="AN207" i="10"/>
  <c r="AL207" i="10"/>
  <c r="AI207" i="10"/>
  <c r="AG207" i="10"/>
  <c r="AT207" i="10" s="1"/>
  <c r="P207" i="10"/>
  <c r="O207" i="10"/>
  <c r="BS206" i="10"/>
  <c r="BM206" i="10"/>
  <c r="BL206" i="10"/>
  <c r="BH206" i="10"/>
  <c r="BG206" i="10"/>
  <c r="AQ206" i="10"/>
  <c r="AN206" i="10"/>
  <c r="AL206" i="10"/>
  <c r="AG206" i="10"/>
  <c r="P206" i="10"/>
  <c r="O206" i="10"/>
  <c r="BS205" i="10"/>
  <c r="BM205" i="10"/>
  <c r="BL205" i="10"/>
  <c r="BH205" i="10"/>
  <c r="BG205" i="10"/>
  <c r="AQ205" i="10"/>
  <c r="AN205" i="10"/>
  <c r="AL205" i="10"/>
  <c r="AG205" i="10"/>
  <c r="P205" i="10"/>
  <c r="O205" i="10"/>
  <c r="BS204" i="10"/>
  <c r="BM204" i="10"/>
  <c r="BL204" i="10"/>
  <c r="BH204" i="10"/>
  <c r="BG204" i="10"/>
  <c r="AQ204" i="10"/>
  <c r="AN204" i="10"/>
  <c r="AL204" i="10"/>
  <c r="AI204" i="10"/>
  <c r="AS204" i="10" s="1"/>
  <c r="AG204" i="10"/>
  <c r="P204" i="10"/>
  <c r="O204" i="10"/>
  <c r="BS203" i="10"/>
  <c r="BM203" i="10"/>
  <c r="BL203" i="10"/>
  <c r="BH203" i="10"/>
  <c r="BG203" i="10"/>
  <c r="AQ203" i="10"/>
  <c r="AN203" i="10"/>
  <c r="AL203" i="10"/>
  <c r="AG203" i="10"/>
  <c r="AI203" i="10" s="1"/>
  <c r="P203" i="10"/>
  <c r="O203" i="10"/>
  <c r="BS202" i="10"/>
  <c r="BM202" i="10"/>
  <c r="BL202" i="10"/>
  <c r="BH202" i="10"/>
  <c r="BG202" i="10"/>
  <c r="AQ202" i="10"/>
  <c r="AL202" i="10"/>
  <c r="AN202" i="10" s="1"/>
  <c r="AI202" i="10"/>
  <c r="AG202" i="10"/>
  <c r="P202" i="10"/>
  <c r="O202" i="10"/>
  <c r="BS201" i="10"/>
  <c r="BM201" i="10"/>
  <c r="BL201" i="10"/>
  <c r="BH201" i="10"/>
  <c r="BG201" i="10"/>
  <c r="AT201" i="10"/>
  <c r="AQ201" i="10"/>
  <c r="AN201" i="10"/>
  <c r="AS201" i="10" s="1"/>
  <c r="AL201" i="10"/>
  <c r="AI201" i="10"/>
  <c r="AR201" i="10" s="1"/>
  <c r="AG201" i="10"/>
  <c r="P201" i="10"/>
  <c r="O201" i="10"/>
  <c r="BS200" i="10"/>
  <c r="BM200" i="10"/>
  <c r="BL200" i="10"/>
  <c r="BH200" i="10"/>
  <c r="BG200" i="10"/>
  <c r="AS200" i="10"/>
  <c r="AQ200" i="10"/>
  <c r="AL200" i="10"/>
  <c r="AN200" i="10" s="1"/>
  <c r="AI200" i="10"/>
  <c r="AG200" i="10"/>
  <c r="P200" i="10"/>
  <c r="O200" i="10"/>
  <c r="BS199" i="10"/>
  <c r="BM199" i="10"/>
  <c r="BL199" i="10"/>
  <c r="BH199" i="10"/>
  <c r="BG199" i="10"/>
  <c r="AT199" i="10"/>
  <c r="AQ199" i="10"/>
  <c r="AN199" i="10"/>
  <c r="AL199" i="10"/>
  <c r="AI199" i="10"/>
  <c r="AR199" i="10" s="1"/>
  <c r="AG199" i="10"/>
  <c r="P199" i="10"/>
  <c r="O199" i="10"/>
  <c r="BS198" i="10"/>
  <c r="BM198" i="10"/>
  <c r="BL198" i="10"/>
  <c r="BH198" i="10"/>
  <c r="BG198" i="10"/>
  <c r="AQ198" i="10"/>
  <c r="AL198" i="10"/>
  <c r="AN198" i="10" s="1"/>
  <c r="AI198" i="10"/>
  <c r="AG198" i="10"/>
  <c r="AT198" i="10" s="1"/>
  <c r="P198" i="10"/>
  <c r="O198" i="10"/>
  <c r="BS197" i="10"/>
  <c r="BM197" i="10"/>
  <c r="BL197" i="10"/>
  <c r="BH197" i="10"/>
  <c r="BG197" i="10"/>
  <c r="AQ197" i="10"/>
  <c r="AN197" i="10"/>
  <c r="AL197" i="10"/>
  <c r="AG197" i="10"/>
  <c r="P197" i="10"/>
  <c r="O197" i="10"/>
  <c r="BS196" i="10"/>
  <c r="BM196" i="10"/>
  <c r="BL196" i="10"/>
  <c r="BH196" i="10"/>
  <c r="BG196" i="10"/>
  <c r="AQ196" i="10"/>
  <c r="AN196" i="10"/>
  <c r="AL196" i="10"/>
  <c r="AG196" i="10"/>
  <c r="P196" i="10"/>
  <c r="O196" i="10"/>
  <c r="BS195" i="10"/>
  <c r="BM195" i="10"/>
  <c r="BL195" i="10"/>
  <c r="BH195" i="10"/>
  <c r="BG195" i="10"/>
  <c r="AQ195" i="10"/>
  <c r="AN195" i="10"/>
  <c r="AL195" i="10"/>
  <c r="AG195" i="10"/>
  <c r="AT195" i="10" s="1"/>
  <c r="P195" i="10"/>
  <c r="O195" i="10"/>
  <c r="BS194" i="10"/>
  <c r="BM194" i="10"/>
  <c r="BL194" i="10"/>
  <c r="BH194" i="10"/>
  <c r="BG194" i="10"/>
  <c r="AQ194" i="10"/>
  <c r="AN194" i="10"/>
  <c r="AL194" i="10"/>
  <c r="AG194" i="10"/>
  <c r="P194" i="10"/>
  <c r="O194" i="10"/>
  <c r="BS193" i="10"/>
  <c r="BM193" i="10"/>
  <c r="BL193" i="10"/>
  <c r="BH193" i="10"/>
  <c r="BG193" i="10"/>
  <c r="AQ193" i="10"/>
  <c r="AT193" i="10" s="1"/>
  <c r="AN193" i="10"/>
  <c r="AL193" i="10"/>
  <c r="AI193" i="10"/>
  <c r="AS193" i="10" s="1"/>
  <c r="AG193" i="10"/>
  <c r="P193" i="10"/>
  <c r="O193" i="10"/>
  <c r="BS192" i="10"/>
  <c r="BM192" i="10"/>
  <c r="BL192" i="10"/>
  <c r="BH192" i="10"/>
  <c r="BG192" i="10"/>
  <c r="AQ192" i="10"/>
  <c r="AL192" i="10"/>
  <c r="AN192" i="10" s="1"/>
  <c r="AS192" i="10" s="1"/>
  <c r="AI192" i="10"/>
  <c r="AG192" i="10"/>
  <c r="P192" i="10"/>
  <c r="O192" i="10"/>
  <c r="BS191" i="10"/>
  <c r="BM191" i="10"/>
  <c r="BL191" i="10"/>
  <c r="BH191" i="10"/>
  <c r="BG191" i="10"/>
  <c r="AT191" i="10"/>
  <c r="AQ191" i="10"/>
  <c r="AN191" i="10"/>
  <c r="AL191" i="10"/>
  <c r="AI191" i="10"/>
  <c r="AG191" i="10"/>
  <c r="P191" i="10"/>
  <c r="O191" i="10"/>
  <c r="BS190" i="10"/>
  <c r="BM190" i="10"/>
  <c r="BL190" i="10"/>
  <c r="BH190" i="10"/>
  <c r="BG190" i="10"/>
  <c r="AQ190" i="10"/>
  <c r="AL190" i="10"/>
  <c r="AN190" i="10" s="1"/>
  <c r="AI190" i="10"/>
  <c r="AR190" i="10" s="1"/>
  <c r="AG190" i="10"/>
  <c r="P190" i="10"/>
  <c r="O190" i="10"/>
  <c r="BS189" i="10"/>
  <c r="BM189" i="10"/>
  <c r="BL189" i="10"/>
  <c r="BH189" i="10"/>
  <c r="BG189" i="10"/>
  <c r="AT189" i="10"/>
  <c r="AQ189" i="10"/>
  <c r="AN189" i="10"/>
  <c r="AL189" i="10"/>
  <c r="AI189" i="10"/>
  <c r="AG189" i="10"/>
  <c r="P189" i="10"/>
  <c r="O189" i="10"/>
  <c r="BS188" i="10"/>
  <c r="BM188" i="10"/>
  <c r="BL188" i="10"/>
  <c r="BH188" i="10"/>
  <c r="BG188" i="10"/>
  <c r="AQ188" i="10"/>
  <c r="AN188" i="10"/>
  <c r="AL188" i="10"/>
  <c r="AG188" i="10"/>
  <c r="P188" i="10"/>
  <c r="O188" i="10"/>
  <c r="BS187" i="10"/>
  <c r="BM187" i="10"/>
  <c r="BL187" i="10"/>
  <c r="BH187" i="10"/>
  <c r="BG187" i="10"/>
  <c r="AR187" i="10"/>
  <c r="AQ187" i="10"/>
  <c r="AN187" i="10"/>
  <c r="AL187" i="10"/>
  <c r="AI187" i="10"/>
  <c r="AS187" i="10" s="1"/>
  <c r="AG187" i="10"/>
  <c r="AT187" i="10" s="1"/>
  <c r="P187" i="10"/>
  <c r="O187" i="10"/>
  <c r="BS186" i="10"/>
  <c r="BM186" i="10"/>
  <c r="BL186" i="10"/>
  <c r="BH186" i="10"/>
  <c r="BG186" i="10"/>
  <c r="AQ186" i="10"/>
  <c r="AN186" i="10"/>
  <c r="AL186" i="10"/>
  <c r="AG186" i="10"/>
  <c r="P186" i="10"/>
  <c r="O186" i="10"/>
  <c r="BS185" i="10"/>
  <c r="BM185" i="10"/>
  <c r="BL185" i="10"/>
  <c r="BH185" i="10"/>
  <c r="BG185" i="10"/>
  <c r="AQ185" i="10"/>
  <c r="AN185" i="10"/>
  <c r="AL185" i="10"/>
  <c r="AG185" i="10"/>
  <c r="P185" i="10"/>
  <c r="O185" i="10"/>
  <c r="BS184" i="10"/>
  <c r="BM184" i="10"/>
  <c r="BL184" i="10"/>
  <c r="BH184" i="10"/>
  <c r="BG184" i="10"/>
  <c r="AQ184" i="10"/>
  <c r="AN184" i="10"/>
  <c r="AR184" i="10" s="1"/>
  <c r="AL184" i="10"/>
  <c r="AI184" i="10"/>
  <c r="AG184" i="10"/>
  <c r="P184" i="10"/>
  <c r="O184" i="10"/>
  <c r="BS183" i="10"/>
  <c r="BM183" i="10"/>
  <c r="BL183" i="10"/>
  <c r="BH183" i="10"/>
  <c r="BG183" i="10"/>
  <c r="AQ183" i="10"/>
  <c r="AN183" i="10"/>
  <c r="AL183" i="10"/>
  <c r="AG183" i="10"/>
  <c r="AI183" i="10" s="1"/>
  <c r="P183" i="10"/>
  <c r="O183" i="10"/>
  <c r="BS182" i="10"/>
  <c r="BM182" i="10"/>
  <c r="BL182" i="10"/>
  <c r="BH182" i="10"/>
  <c r="BG182" i="10"/>
  <c r="AQ182" i="10"/>
  <c r="AL182" i="10"/>
  <c r="AN182" i="10" s="1"/>
  <c r="AI182" i="10"/>
  <c r="AG182" i="10"/>
  <c r="P182" i="10"/>
  <c r="O182" i="10"/>
  <c r="BS181" i="10"/>
  <c r="BM181" i="10"/>
  <c r="BL181" i="10"/>
  <c r="BH181" i="10"/>
  <c r="BG181" i="10"/>
  <c r="AT181" i="10"/>
  <c r="AQ181" i="10"/>
  <c r="AN181" i="10"/>
  <c r="AS181" i="10" s="1"/>
  <c r="AL181" i="10"/>
  <c r="AI181" i="10"/>
  <c r="AG181" i="10"/>
  <c r="P181" i="10"/>
  <c r="O181" i="10"/>
  <c r="BS180" i="10"/>
  <c r="BM180" i="10"/>
  <c r="BL180" i="10"/>
  <c r="BH180" i="10"/>
  <c r="BG180" i="10"/>
  <c r="AQ180" i="10"/>
  <c r="AL180" i="10"/>
  <c r="AN180" i="10" s="1"/>
  <c r="AI180" i="10"/>
  <c r="AG180" i="10"/>
  <c r="P180" i="10"/>
  <c r="O180" i="10"/>
  <c r="BS179" i="10"/>
  <c r="BM179" i="10"/>
  <c r="BL179" i="10"/>
  <c r="BH179" i="10"/>
  <c r="BG179" i="10"/>
  <c r="AT179" i="10"/>
  <c r="AS179" i="10"/>
  <c r="AQ179" i="10"/>
  <c r="AN179" i="10"/>
  <c r="AL179" i="10"/>
  <c r="AI179" i="10"/>
  <c r="AR179" i="10" s="1"/>
  <c r="AG179" i="10"/>
  <c r="P179" i="10"/>
  <c r="O179" i="10"/>
  <c r="BS178" i="10"/>
  <c r="BM178" i="10"/>
  <c r="BL178" i="10"/>
  <c r="BH178" i="10"/>
  <c r="BG178" i="10"/>
  <c r="AQ178" i="10"/>
  <c r="AL178" i="10"/>
  <c r="AN178" i="10" s="1"/>
  <c r="AG178" i="10"/>
  <c r="AT178" i="10" s="1"/>
  <c r="P178" i="10"/>
  <c r="O178" i="10"/>
  <c r="BS177" i="10"/>
  <c r="BM177" i="10"/>
  <c r="BL177" i="10"/>
  <c r="BH177" i="10"/>
  <c r="BG177" i="10"/>
  <c r="AQ177" i="10"/>
  <c r="AN177" i="10"/>
  <c r="AL177" i="10"/>
  <c r="AG177" i="10"/>
  <c r="AT177" i="10" s="1"/>
  <c r="P177" i="10"/>
  <c r="O177" i="10"/>
  <c r="BS176" i="10"/>
  <c r="BM176" i="10"/>
  <c r="BL176" i="10"/>
  <c r="BH176" i="10"/>
  <c r="BG176" i="10"/>
  <c r="AQ176" i="10"/>
  <c r="AN176" i="10"/>
  <c r="AL176" i="10"/>
  <c r="AG176" i="10"/>
  <c r="P176" i="10"/>
  <c r="O176" i="10"/>
  <c r="BS175" i="10"/>
  <c r="BM175" i="10"/>
  <c r="BL175" i="10"/>
  <c r="BH175" i="10"/>
  <c r="BG175" i="10"/>
  <c r="AQ175" i="10"/>
  <c r="AN175" i="10"/>
  <c r="AL175" i="10"/>
  <c r="AG175" i="10"/>
  <c r="P175" i="10"/>
  <c r="O175" i="10"/>
  <c r="BS174" i="10"/>
  <c r="BM174" i="10"/>
  <c r="BL174" i="10"/>
  <c r="BH174" i="10"/>
  <c r="BG174" i="10"/>
  <c r="AQ174" i="10"/>
  <c r="AN174" i="10"/>
  <c r="AL174" i="10"/>
  <c r="AG174" i="10"/>
  <c r="P174" i="10"/>
  <c r="O174" i="10"/>
  <c r="BS173" i="10"/>
  <c r="BM173" i="10"/>
  <c r="BL173" i="10"/>
  <c r="BH173" i="10"/>
  <c r="BG173" i="10"/>
  <c r="AQ173" i="10"/>
  <c r="AT173" i="10" s="1"/>
  <c r="AN173" i="10"/>
  <c r="AR173" i="10" s="1"/>
  <c r="AL173" i="10"/>
  <c r="AI173" i="10"/>
  <c r="AG173" i="10"/>
  <c r="P173" i="10"/>
  <c r="O173" i="10"/>
  <c r="BS172" i="10"/>
  <c r="BM172" i="10"/>
  <c r="BL172" i="10"/>
  <c r="BH172" i="10"/>
  <c r="BG172" i="10"/>
  <c r="AQ172" i="10"/>
  <c r="AL172" i="10"/>
  <c r="AN172" i="10" s="1"/>
  <c r="AS172" i="10" s="1"/>
  <c r="AI172" i="10"/>
  <c r="AG172" i="10"/>
  <c r="P172" i="10"/>
  <c r="O172" i="10"/>
  <c r="BS171" i="10"/>
  <c r="BM171" i="10"/>
  <c r="BL171" i="10"/>
  <c r="BH171" i="10"/>
  <c r="BG171" i="10"/>
  <c r="AT171" i="10"/>
  <c r="AQ171" i="10"/>
  <c r="AN171" i="10"/>
  <c r="AL171" i="10"/>
  <c r="AI171" i="10"/>
  <c r="AG171" i="10"/>
  <c r="P171" i="10"/>
  <c r="O171" i="10"/>
  <c r="BS170" i="10"/>
  <c r="BM170" i="10"/>
  <c r="BL170" i="10"/>
  <c r="BH170" i="10"/>
  <c r="BG170" i="10"/>
  <c r="AS170" i="10"/>
  <c r="AQ170" i="10"/>
  <c r="AL170" i="10"/>
  <c r="AN170" i="10" s="1"/>
  <c r="AI170" i="10"/>
  <c r="AG170" i="10"/>
  <c r="P170" i="10"/>
  <c r="O170" i="10"/>
  <c r="BS169" i="10"/>
  <c r="BM169" i="10"/>
  <c r="BL169" i="10"/>
  <c r="BH169" i="10"/>
  <c r="BG169" i="10"/>
  <c r="AT169" i="10"/>
  <c r="AQ169" i="10"/>
  <c r="AN169" i="10"/>
  <c r="AL169" i="10"/>
  <c r="AI169" i="10"/>
  <c r="AR169" i="10" s="1"/>
  <c r="AG169" i="10"/>
  <c r="P169" i="10"/>
  <c r="O169" i="10"/>
  <c r="BS168" i="10"/>
  <c r="BM168" i="10"/>
  <c r="BL168" i="10"/>
  <c r="BH168" i="10"/>
  <c r="BG168" i="10"/>
  <c r="AQ168" i="10"/>
  <c r="AN168" i="10"/>
  <c r="AL168" i="10"/>
  <c r="AG168" i="10"/>
  <c r="AT168" i="10" s="1"/>
  <c r="P168" i="10"/>
  <c r="O168" i="10"/>
  <c r="BS167" i="10"/>
  <c r="BM167" i="10"/>
  <c r="BL167" i="10"/>
  <c r="BH167" i="10"/>
  <c r="BG167" i="10"/>
  <c r="AQ167" i="10"/>
  <c r="AN167" i="10"/>
  <c r="AL167" i="10"/>
  <c r="AG167" i="10"/>
  <c r="AT167" i="10" s="1"/>
  <c r="P167" i="10"/>
  <c r="O167" i="10"/>
  <c r="BS166" i="10"/>
  <c r="BM166" i="10"/>
  <c r="BL166" i="10"/>
  <c r="BH166" i="10"/>
  <c r="BG166" i="10"/>
  <c r="AQ166" i="10"/>
  <c r="AN166" i="10"/>
  <c r="AL166" i="10"/>
  <c r="AG166" i="10"/>
  <c r="P166" i="10"/>
  <c r="O166" i="10"/>
  <c r="BS165" i="10"/>
  <c r="BM165" i="10"/>
  <c r="BL165" i="10"/>
  <c r="BH165" i="10"/>
  <c r="BG165" i="10"/>
  <c r="AQ165" i="10"/>
  <c r="AN165" i="10"/>
  <c r="AL165" i="10"/>
  <c r="AG165" i="10"/>
  <c r="P165" i="10"/>
  <c r="O165" i="10"/>
  <c r="BS164" i="10"/>
  <c r="BM164" i="10"/>
  <c r="BL164" i="10"/>
  <c r="BH164" i="10"/>
  <c r="BG164" i="10"/>
  <c r="AQ164" i="10"/>
  <c r="AN164" i="10"/>
  <c r="AL164" i="10"/>
  <c r="AI164" i="10"/>
  <c r="AG164" i="10"/>
  <c r="P164" i="10"/>
  <c r="O164" i="10"/>
  <c r="BS163" i="10"/>
  <c r="BM163" i="10"/>
  <c r="BL163" i="10"/>
  <c r="BH163" i="10"/>
  <c r="BG163" i="10"/>
  <c r="AQ163" i="10"/>
  <c r="AN163" i="10"/>
  <c r="AL163" i="10"/>
  <c r="AG163" i="10"/>
  <c r="P163" i="10"/>
  <c r="O163" i="10"/>
  <c r="BS162" i="10"/>
  <c r="BM162" i="10"/>
  <c r="BL162" i="10"/>
  <c r="BH162" i="10"/>
  <c r="BG162" i="10"/>
  <c r="AQ162" i="10"/>
  <c r="AN162" i="10"/>
  <c r="AL162" i="10"/>
  <c r="AI162" i="10"/>
  <c r="AS162" i="10" s="1"/>
  <c r="AG162" i="10"/>
  <c r="P162" i="10"/>
  <c r="O162" i="10"/>
  <c r="BS161" i="10"/>
  <c r="BM161" i="10"/>
  <c r="BL161" i="10"/>
  <c r="BH161" i="10"/>
  <c r="BG161" i="10"/>
  <c r="AT161" i="10"/>
  <c r="AS161" i="10"/>
  <c r="AQ161" i="10"/>
  <c r="AN161" i="10"/>
  <c r="AL161" i="10"/>
  <c r="AI161" i="10"/>
  <c r="AR161" i="10" s="1"/>
  <c r="AG161" i="10"/>
  <c r="P161" i="10"/>
  <c r="O161" i="10"/>
  <c r="BS160" i="10"/>
  <c r="BM160" i="10"/>
  <c r="BL160" i="10"/>
  <c r="BH160" i="10"/>
  <c r="BG160" i="10"/>
  <c r="AQ160" i="10"/>
  <c r="AN160" i="10"/>
  <c r="AL160" i="10"/>
  <c r="AG160" i="10"/>
  <c r="P160" i="10"/>
  <c r="O160" i="10"/>
  <c r="BS159" i="10"/>
  <c r="BM159" i="10"/>
  <c r="BL159" i="10"/>
  <c r="BH159" i="10"/>
  <c r="BG159" i="10"/>
  <c r="AT159" i="10"/>
  <c r="AR159" i="10"/>
  <c r="AQ159" i="10"/>
  <c r="AN159" i="10"/>
  <c r="AL159" i="10"/>
  <c r="AI159" i="10"/>
  <c r="AS159" i="10" s="1"/>
  <c r="AG159" i="10"/>
  <c r="P159" i="10"/>
  <c r="O159" i="10"/>
  <c r="BS158" i="10"/>
  <c r="BM158" i="10"/>
  <c r="BL158" i="10"/>
  <c r="BH158" i="10"/>
  <c r="BG158" i="10"/>
  <c r="AQ158" i="10"/>
  <c r="AL158" i="10"/>
  <c r="AN158" i="10" s="1"/>
  <c r="AG158" i="10"/>
  <c r="AT158" i="10" s="1"/>
  <c r="P158" i="10"/>
  <c r="O158" i="10"/>
  <c r="BS157" i="10"/>
  <c r="BM157" i="10"/>
  <c r="BL157" i="10"/>
  <c r="BH157" i="10"/>
  <c r="BG157" i="10"/>
  <c r="AT157" i="10"/>
  <c r="AS157" i="10"/>
  <c r="AR157" i="10"/>
  <c r="AQ157" i="10"/>
  <c r="AN157" i="10"/>
  <c r="AL157" i="10"/>
  <c r="AI157" i="10"/>
  <c r="AG157" i="10"/>
  <c r="P157" i="10"/>
  <c r="O157" i="10"/>
  <c r="BS156" i="10"/>
  <c r="BM156" i="10"/>
  <c r="BL156" i="10"/>
  <c r="BH156" i="10"/>
  <c r="BG156" i="10"/>
  <c r="AQ156" i="10"/>
  <c r="AN156" i="10"/>
  <c r="AL156" i="10"/>
  <c r="AG156" i="10"/>
  <c r="P156" i="10"/>
  <c r="O156" i="10"/>
  <c r="BS155" i="10"/>
  <c r="BM155" i="10"/>
  <c r="BL155" i="10"/>
  <c r="BH155" i="10"/>
  <c r="BG155" i="10"/>
  <c r="AQ155" i="10"/>
  <c r="AN155" i="10"/>
  <c r="AL155" i="10"/>
  <c r="AG155" i="10"/>
  <c r="P155" i="10"/>
  <c r="O155" i="10"/>
  <c r="BS154" i="10"/>
  <c r="BM154" i="10"/>
  <c r="BL154" i="10"/>
  <c r="BH154" i="10"/>
  <c r="BG154" i="10"/>
  <c r="AQ154" i="10"/>
  <c r="AN154" i="10"/>
  <c r="AL154" i="10"/>
  <c r="AG154" i="10"/>
  <c r="P154" i="10"/>
  <c r="O154" i="10"/>
  <c r="BS153" i="10"/>
  <c r="BM153" i="10"/>
  <c r="BL153" i="10"/>
  <c r="BH153" i="10"/>
  <c r="BG153" i="10"/>
  <c r="AR153" i="10"/>
  <c r="AQ153" i="10"/>
  <c r="AT153" i="10" s="1"/>
  <c r="AN153" i="10"/>
  <c r="AL153" i="10"/>
  <c r="AI153" i="10"/>
  <c r="AS153" i="10" s="1"/>
  <c r="AG153" i="10"/>
  <c r="P153" i="10"/>
  <c r="O153" i="10"/>
  <c r="BS152" i="10"/>
  <c r="BM152" i="10"/>
  <c r="BL152" i="10"/>
  <c r="BH152" i="10"/>
  <c r="BG152" i="10"/>
  <c r="AQ152" i="10"/>
  <c r="AL152" i="10"/>
  <c r="AN152" i="10" s="1"/>
  <c r="AS152" i="10" s="1"/>
  <c r="AI152" i="10"/>
  <c r="AG152" i="10"/>
  <c r="P152" i="10"/>
  <c r="O152" i="10"/>
  <c r="BS151" i="10"/>
  <c r="BM151" i="10"/>
  <c r="BL151" i="10"/>
  <c r="BH151" i="10"/>
  <c r="BG151" i="10"/>
  <c r="AQ151" i="10"/>
  <c r="AT151" i="10" s="1"/>
  <c r="AN151" i="10"/>
  <c r="AL151" i="10"/>
  <c r="AI151" i="10"/>
  <c r="AG151" i="10"/>
  <c r="P151" i="10"/>
  <c r="O151" i="10"/>
  <c r="BS150" i="10"/>
  <c r="BM150" i="10"/>
  <c r="BL150" i="10"/>
  <c r="BH150" i="10"/>
  <c r="BG150" i="10"/>
  <c r="AS150" i="10"/>
  <c r="AR150" i="10"/>
  <c r="AQ150" i="10"/>
  <c r="AL150" i="10"/>
  <c r="AN150" i="10" s="1"/>
  <c r="AI150" i="10"/>
  <c r="AG150" i="10"/>
  <c r="P150" i="10"/>
  <c r="O150" i="10"/>
  <c r="BS149" i="10"/>
  <c r="BM149" i="10"/>
  <c r="BL149" i="10"/>
  <c r="BH149" i="10"/>
  <c r="BG149" i="10"/>
  <c r="AQ149" i="10"/>
  <c r="AN149" i="10"/>
  <c r="AL149" i="10"/>
  <c r="AG149" i="10"/>
  <c r="P149" i="10"/>
  <c r="O149" i="10"/>
  <c r="BS148" i="10"/>
  <c r="BM148" i="10"/>
  <c r="BL148" i="10"/>
  <c r="BH148" i="10"/>
  <c r="BG148" i="10"/>
  <c r="AQ148" i="10"/>
  <c r="AN148" i="10"/>
  <c r="AL148" i="10"/>
  <c r="AG148" i="10"/>
  <c r="P148" i="10"/>
  <c r="O148" i="10"/>
  <c r="BS147" i="10"/>
  <c r="BM147" i="10"/>
  <c r="BL147" i="10"/>
  <c r="BH147" i="10"/>
  <c r="BG147" i="10"/>
  <c r="AQ147" i="10"/>
  <c r="AN147" i="10"/>
  <c r="AL147" i="10"/>
  <c r="AG147" i="10"/>
  <c r="AT147" i="10" s="1"/>
  <c r="P147" i="10"/>
  <c r="O147" i="10"/>
  <c r="BS146" i="10"/>
  <c r="BM146" i="10"/>
  <c r="BL146" i="10"/>
  <c r="BH146" i="10"/>
  <c r="BG146" i="10"/>
  <c r="AQ146" i="10"/>
  <c r="AN146" i="10"/>
  <c r="AL146" i="10"/>
  <c r="AG146" i="10"/>
  <c r="P146" i="10"/>
  <c r="O146" i="10"/>
  <c r="BS145" i="10"/>
  <c r="BM145" i="10"/>
  <c r="BL145" i="10"/>
  <c r="BH145" i="10"/>
  <c r="BG145" i="10"/>
  <c r="AQ145" i="10"/>
  <c r="AN145" i="10"/>
  <c r="AL145" i="10"/>
  <c r="AG145" i="10"/>
  <c r="P145" i="10"/>
  <c r="O145" i="10"/>
  <c r="BS144" i="10"/>
  <c r="BM144" i="10"/>
  <c r="BL144" i="10"/>
  <c r="BH144" i="10"/>
  <c r="BG144" i="10"/>
  <c r="AR144" i="10"/>
  <c r="AQ144" i="10"/>
  <c r="AN144" i="10"/>
  <c r="AL144" i="10"/>
  <c r="AI144" i="10"/>
  <c r="AS144" i="10" s="1"/>
  <c r="AG144" i="10"/>
  <c r="P144" i="10"/>
  <c r="O144" i="10"/>
  <c r="BS143" i="10"/>
  <c r="BM143" i="10"/>
  <c r="BL143" i="10"/>
  <c r="BH143" i="10"/>
  <c r="BG143" i="10"/>
  <c r="AQ143" i="10"/>
  <c r="AN143" i="10"/>
  <c r="AL143" i="10"/>
  <c r="AG143" i="10"/>
  <c r="AI143" i="10" s="1"/>
  <c r="P143" i="10"/>
  <c r="O143" i="10"/>
  <c r="BS142" i="10"/>
  <c r="BM142" i="10"/>
  <c r="BL142" i="10"/>
  <c r="BH142" i="10"/>
  <c r="BG142" i="10"/>
  <c r="AQ142" i="10"/>
  <c r="AL142" i="10"/>
  <c r="AN142" i="10" s="1"/>
  <c r="AI142" i="10"/>
  <c r="AG142" i="10"/>
  <c r="P142" i="10"/>
  <c r="O142" i="10"/>
  <c r="BS141" i="10"/>
  <c r="BM141" i="10"/>
  <c r="BL141" i="10"/>
  <c r="BH141" i="10"/>
  <c r="BG141" i="10"/>
  <c r="AT141" i="10"/>
  <c r="AQ141" i="10"/>
  <c r="AN141" i="10"/>
  <c r="AS141" i="10" s="1"/>
  <c r="AL141" i="10"/>
  <c r="AI141" i="10"/>
  <c r="AG141" i="10"/>
  <c r="P141" i="10"/>
  <c r="O141" i="10"/>
  <c r="BS140" i="10"/>
  <c r="BM140" i="10"/>
  <c r="BL140" i="10"/>
  <c r="BH140" i="10"/>
  <c r="BG140" i="10"/>
  <c r="AQ140" i="10"/>
  <c r="AL140" i="10"/>
  <c r="AN140" i="10" s="1"/>
  <c r="AG140" i="10"/>
  <c r="P140" i="10"/>
  <c r="O140" i="10"/>
  <c r="BS139" i="10"/>
  <c r="BM139" i="10"/>
  <c r="BL139" i="10"/>
  <c r="BH139" i="10"/>
  <c r="BG139" i="10"/>
  <c r="AT139" i="10"/>
  <c r="AQ139" i="10"/>
  <c r="AN139" i="10"/>
  <c r="AL139" i="10"/>
  <c r="AI139" i="10"/>
  <c r="AG139" i="10"/>
  <c r="P139" i="10"/>
  <c r="O139" i="10"/>
  <c r="BS138" i="10"/>
  <c r="BM138" i="10"/>
  <c r="BL138" i="10"/>
  <c r="BH138" i="10"/>
  <c r="BG138" i="10"/>
  <c r="AQ138" i="10"/>
  <c r="AL138" i="10"/>
  <c r="AN138" i="10" s="1"/>
  <c r="AG138" i="10"/>
  <c r="AT138" i="10" s="1"/>
  <c r="P138" i="10"/>
  <c r="O138" i="10"/>
  <c r="BS137" i="10"/>
  <c r="BM137" i="10"/>
  <c r="BL137" i="10"/>
  <c r="BH137" i="10"/>
  <c r="BG137" i="10"/>
  <c r="AQ137" i="10"/>
  <c r="AN137" i="10"/>
  <c r="AL137" i="10"/>
  <c r="AG137" i="10"/>
  <c r="AT137" i="10" s="1"/>
  <c r="P137" i="10"/>
  <c r="O137" i="10"/>
  <c r="BS136" i="10"/>
  <c r="BM136" i="10"/>
  <c r="BL136" i="10"/>
  <c r="BH136" i="10"/>
  <c r="BG136" i="10"/>
  <c r="AQ136" i="10"/>
  <c r="AN136" i="10"/>
  <c r="AL136" i="10"/>
  <c r="AG136" i="10"/>
  <c r="P136" i="10"/>
  <c r="O136" i="10"/>
  <c r="BS135" i="10"/>
  <c r="BM135" i="10"/>
  <c r="BL135" i="10"/>
  <c r="BH135" i="10"/>
  <c r="BG135" i="10"/>
  <c r="AQ135" i="10"/>
  <c r="AN135" i="10"/>
  <c r="AL135" i="10"/>
  <c r="AG135" i="10"/>
  <c r="P135" i="10"/>
  <c r="O135" i="10"/>
  <c r="BS134" i="10"/>
  <c r="BM134" i="10"/>
  <c r="BL134" i="10"/>
  <c r="BH134" i="10"/>
  <c r="BG134" i="10"/>
  <c r="AQ134" i="10"/>
  <c r="AN134" i="10"/>
  <c r="AL134" i="10"/>
  <c r="AG134" i="10"/>
  <c r="P134" i="10"/>
  <c r="O134" i="10"/>
  <c r="BS133" i="10"/>
  <c r="BM133" i="10"/>
  <c r="BL133" i="10"/>
  <c r="BH133" i="10"/>
  <c r="BG133" i="10"/>
  <c r="AT133" i="10"/>
  <c r="AQ133" i="10"/>
  <c r="AN133" i="10"/>
  <c r="AR133" i="10" s="1"/>
  <c r="AL133" i="10"/>
  <c r="AI133" i="10"/>
  <c r="AS133" i="10" s="1"/>
  <c r="AG133" i="10"/>
  <c r="P133" i="10"/>
  <c r="O133" i="10"/>
  <c r="BS132" i="10"/>
  <c r="BM132" i="10"/>
  <c r="BL132" i="10"/>
  <c r="BH132" i="10"/>
  <c r="BG132" i="10"/>
  <c r="AS132" i="10"/>
  <c r="AQ132" i="10"/>
  <c r="AN132" i="10"/>
  <c r="AL132" i="10"/>
  <c r="AI132" i="10"/>
  <c r="AG132" i="10"/>
  <c r="P132" i="10"/>
  <c r="O132" i="10"/>
  <c r="BS131" i="10"/>
  <c r="BM131" i="10"/>
  <c r="BL131" i="10"/>
  <c r="BH131" i="10"/>
  <c r="BG131" i="10"/>
  <c r="AT131" i="10"/>
  <c r="AQ131" i="10"/>
  <c r="AN131" i="10"/>
  <c r="AS131" i="10" s="1"/>
  <c r="AL131" i="10"/>
  <c r="AI131" i="10"/>
  <c r="AG131" i="10"/>
  <c r="P131" i="10"/>
  <c r="O131" i="10"/>
  <c r="BS130" i="10"/>
  <c r="BM130" i="10"/>
  <c r="BL130" i="10"/>
  <c r="BH130" i="10"/>
  <c r="BG130" i="10"/>
  <c r="AQ130" i="10"/>
  <c r="AL130" i="10"/>
  <c r="AN130" i="10" s="1"/>
  <c r="AI130" i="10"/>
  <c r="AG130" i="10"/>
  <c r="P130" i="10"/>
  <c r="O130" i="10"/>
  <c r="BS129" i="10"/>
  <c r="BM129" i="10"/>
  <c r="BL129" i="10"/>
  <c r="BH129" i="10"/>
  <c r="BG129" i="10"/>
  <c r="AT129" i="10"/>
  <c r="AQ129" i="10"/>
  <c r="AN129" i="10"/>
  <c r="AL129" i="10"/>
  <c r="AI129" i="10"/>
  <c r="AG129" i="10"/>
  <c r="P129" i="10"/>
  <c r="O129" i="10"/>
  <c r="BS128" i="10"/>
  <c r="BM128" i="10"/>
  <c r="BL128" i="10"/>
  <c r="BH128" i="10"/>
  <c r="BG128" i="10"/>
  <c r="AQ128" i="10"/>
  <c r="AN128" i="10"/>
  <c r="AL128" i="10"/>
  <c r="AG128" i="10"/>
  <c r="AT128" i="10" s="1"/>
  <c r="P128" i="10"/>
  <c r="O128" i="10"/>
  <c r="BS127" i="10"/>
  <c r="BM127" i="10"/>
  <c r="BL127" i="10"/>
  <c r="BH127" i="10"/>
  <c r="BG127" i="10"/>
  <c r="AS127" i="10"/>
  <c r="AQ127" i="10"/>
  <c r="AR127" i="10" s="1"/>
  <c r="AN127" i="10"/>
  <c r="AL127" i="10"/>
  <c r="AI127" i="10"/>
  <c r="AG127" i="10"/>
  <c r="P127" i="10"/>
  <c r="O127" i="10"/>
  <c r="BS126" i="10"/>
  <c r="BM126" i="10"/>
  <c r="BL126" i="10"/>
  <c r="BH126" i="10"/>
  <c r="BG126" i="10"/>
  <c r="AQ126" i="10"/>
  <c r="AN126" i="10"/>
  <c r="AL126" i="10"/>
  <c r="AG126" i="10"/>
  <c r="P126" i="10"/>
  <c r="O126" i="10"/>
  <c r="BS125" i="10"/>
  <c r="BM125" i="10"/>
  <c r="BL125" i="10"/>
  <c r="BH125" i="10"/>
  <c r="BG125" i="10"/>
  <c r="AQ125" i="10"/>
  <c r="AN125" i="10"/>
  <c r="AL125" i="10"/>
  <c r="AG125" i="10"/>
  <c r="AT125" i="10" s="1"/>
  <c r="P125" i="10"/>
  <c r="O125" i="10"/>
  <c r="BS124" i="10"/>
  <c r="BM124" i="10"/>
  <c r="BL124" i="10"/>
  <c r="BH124" i="10"/>
  <c r="BG124" i="10"/>
  <c r="AQ124" i="10"/>
  <c r="AN124" i="10"/>
  <c r="AL124" i="10"/>
  <c r="AG124" i="10"/>
  <c r="P124" i="10"/>
  <c r="O124" i="10"/>
  <c r="BS123" i="10"/>
  <c r="BM123" i="10"/>
  <c r="BL123" i="10"/>
  <c r="BH123" i="10"/>
  <c r="BG123" i="10"/>
  <c r="AR123" i="10"/>
  <c r="AQ123" i="10"/>
  <c r="AN123" i="10"/>
  <c r="AL123" i="10"/>
  <c r="AI123" i="10"/>
  <c r="AS123" i="10" s="1"/>
  <c r="AG123" i="10"/>
  <c r="AT123" i="10" s="1"/>
  <c r="P123" i="10"/>
  <c r="O123" i="10"/>
  <c r="BS122" i="10"/>
  <c r="BM122" i="10"/>
  <c r="BL122" i="10"/>
  <c r="BH122" i="10"/>
  <c r="BG122" i="10"/>
  <c r="AQ122" i="10"/>
  <c r="AN122" i="10"/>
  <c r="AL122" i="10"/>
  <c r="AG122" i="10"/>
  <c r="P122" i="10"/>
  <c r="O122" i="10"/>
  <c r="BS121" i="10"/>
  <c r="BM121" i="10"/>
  <c r="BL121" i="10"/>
  <c r="BH121" i="10"/>
  <c r="BG121" i="10"/>
  <c r="AQ121" i="10"/>
  <c r="AN121" i="10"/>
  <c r="AL121" i="10"/>
  <c r="AI121" i="10"/>
  <c r="AG121" i="10"/>
  <c r="P121" i="10"/>
  <c r="O121" i="10"/>
  <c r="BS120" i="10"/>
  <c r="BM120" i="10"/>
  <c r="BL120" i="10"/>
  <c r="BH120" i="10"/>
  <c r="BG120" i="10"/>
  <c r="AQ120" i="10"/>
  <c r="AN120" i="10"/>
  <c r="AL120" i="10"/>
  <c r="AG120" i="10"/>
  <c r="P120" i="10"/>
  <c r="O120" i="10"/>
  <c r="BS119" i="10"/>
  <c r="BM119" i="10"/>
  <c r="BL119" i="10"/>
  <c r="BH119" i="10"/>
  <c r="BG119" i="10"/>
  <c r="AQ119" i="10"/>
  <c r="AN119" i="10"/>
  <c r="AL119" i="10"/>
  <c r="AG119" i="10"/>
  <c r="AT119" i="10" s="1"/>
  <c r="P119" i="10"/>
  <c r="O119" i="10"/>
  <c r="BS118" i="10"/>
  <c r="BM118" i="10"/>
  <c r="BL118" i="10"/>
  <c r="BH118" i="10"/>
  <c r="BG118" i="10"/>
  <c r="AQ118" i="10"/>
  <c r="AN118" i="10"/>
  <c r="AL118" i="10"/>
  <c r="AG118" i="10"/>
  <c r="P118" i="10"/>
  <c r="O118" i="10"/>
  <c r="BS117" i="10"/>
  <c r="BM117" i="10"/>
  <c r="BL117" i="10"/>
  <c r="BH117" i="10"/>
  <c r="BG117" i="10"/>
  <c r="AR117" i="10"/>
  <c r="AQ117" i="10"/>
  <c r="AN117" i="10"/>
  <c r="AL117" i="10"/>
  <c r="AI117" i="10"/>
  <c r="AG117" i="10"/>
  <c r="P117" i="10"/>
  <c r="O117" i="10"/>
  <c r="BS116" i="10"/>
  <c r="BM116" i="10"/>
  <c r="BL116" i="10"/>
  <c r="BH116" i="10"/>
  <c r="BG116" i="10"/>
  <c r="AQ116" i="10"/>
  <c r="AN116" i="10"/>
  <c r="AL116" i="10"/>
  <c r="AG116" i="10"/>
  <c r="P116" i="10"/>
  <c r="O116" i="10"/>
  <c r="BS115" i="10"/>
  <c r="BM115" i="10"/>
  <c r="BL115" i="10"/>
  <c r="BH115" i="10"/>
  <c r="BG115" i="10"/>
  <c r="AQ115" i="10"/>
  <c r="AN115" i="10"/>
  <c r="AL115" i="10"/>
  <c r="AI115" i="10"/>
  <c r="AG115" i="10"/>
  <c r="AT115" i="10" s="1"/>
  <c r="P115" i="10"/>
  <c r="O115" i="10"/>
  <c r="BS114" i="10"/>
  <c r="BM114" i="10"/>
  <c r="BL114" i="10"/>
  <c r="BH114" i="10"/>
  <c r="BG114" i="10"/>
  <c r="AQ114" i="10"/>
  <c r="AN114" i="10"/>
  <c r="AL114" i="10"/>
  <c r="AG114" i="10"/>
  <c r="P114" i="10"/>
  <c r="O114" i="10"/>
  <c r="BS113" i="10"/>
  <c r="BM113" i="10"/>
  <c r="BL113" i="10"/>
  <c r="BH113" i="10"/>
  <c r="BG113" i="10"/>
  <c r="AQ113" i="10"/>
  <c r="AN113" i="10"/>
  <c r="AL113" i="10"/>
  <c r="AI113" i="10"/>
  <c r="AS113" i="10" s="1"/>
  <c r="AG113" i="10"/>
  <c r="AT113" i="10" s="1"/>
  <c r="P113" i="10"/>
  <c r="O113" i="10"/>
  <c r="BS112" i="10"/>
  <c r="BM112" i="10"/>
  <c r="BL112" i="10"/>
  <c r="BH112" i="10"/>
  <c r="BG112" i="10"/>
  <c r="AQ112" i="10"/>
  <c r="AN112" i="10"/>
  <c r="AL112" i="10"/>
  <c r="AG112" i="10"/>
  <c r="P112" i="10"/>
  <c r="O112" i="10"/>
  <c r="BS111" i="10"/>
  <c r="BM111" i="10"/>
  <c r="BL111" i="10"/>
  <c r="BH111" i="10"/>
  <c r="BG111" i="10"/>
  <c r="AQ111" i="10"/>
  <c r="AN111" i="10"/>
  <c r="AL111" i="10"/>
  <c r="AI111" i="10"/>
  <c r="AG111" i="10"/>
  <c r="P111" i="10"/>
  <c r="O111" i="10"/>
  <c r="BS110" i="10"/>
  <c r="BM110" i="10"/>
  <c r="BL110" i="10"/>
  <c r="BH110" i="10"/>
  <c r="BG110" i="10"/>
  <c r="AQ110" i="10"/>
  <c r="AN110" i="10"/>
  <c r="AL110" i="10"/>
  <c r="AG110" i="10"/>
  <c r="P110" i="10"/>
  <c r="O110" i="10"/>
  <c r="BS109" i="10"/>
  <c r="BM109" i="10"/>
  <c r="BL109" i="10"/>
  <c r="BH109" i="10"/>
  <c r="BG109" i="10"/>
  <c r="AQ109" i="10"/>
  <c r="AN109" i="10"/>
  <c r="AL109" i="10"/>
  <c r="AG109" i="10"/>
  <c r="AT109" i="10" s="1"/>
  <c r="P109" i="10"/>
  <c r="O109" i="10"/>
  <c r="BS108" i="10"/>
  <c r="BM108" i="10"/>
  <c r="BL108" i="10"/>
  <c r="BH108" i="10"/>
  <c r="BG108" i="10"/>
  <c r="AQ108" i="10"/>
  <c r="AN108" i="10"/>
  <c r="AL108" i="10"/>
  <c r="AG108" i="10"/>
  <c r="P108" i="10"/>
  <c r="O108" i="10"/>
  <c r="BS107" i="10"/>
  <c r="BM107" i="10"/>
  <c r="BL107" i="10"/>
  <c r="BH107" i="10"/>
  <c r="BG107" i="10"/>
  <c r="AR107" i="10"/>
  <c r="AQ107" i="10"/>
  <c r="AN107" i="10"/>
  <c r="AL107" i="10"/>
  <c r="AI107" i="10"/>
  <c r="AG107" i="10"/>
  <c r="P107" i="10"/>
  <c r="O107" i="10"/>
  <c r="BS106" i="10"/>
  <c r="BM106" i="10"/>
  <c r="BL106" i="10"/>
  <c r="BH106" i="10"/>
  <c r="BG106" i="10"/>
  <c r="AQ106" i="10"/>
  <c r="AN106" i="10"/>
  <c r="AL106" i="10"/>
  <c r="AG106" i="10"/>
  <c r="P106" i="10"/>
  <c r="O106" i="10"/>
  <c r="BS105" i="10"/>
  <c r="BM105" i="10"/>
  <c r="BL105" i="10"/>
  <c r="BH105" i="10"/>
  <c r="BG105" i="10"/>
  <c r="AQ105" i="10"/>
  <c r="AN105" i="10"/>
  <c r="AL105" i="10"/>
  <c r="AG105" i="10"/>
  <c r="AT105" i="10" s="1"/>
  <c r="P105" i="10"/>
  <c r="O105" i="10"/>
  <c r="BS104" i="10"/>
  <c r="BM104" i="10"/>
  <c r="BL104" i="10"/>
  <c r="BH104" i="10"/>
  <c r="BG104" i="10"/>
  <c r="AQ104" i="10"/>
  <c r="AN104" i="10"/>
  <c r="AL104" i="10"/>
  <c r="AG104" i="10"/>
  <c r="P104" i="10"/>
  <c r="O104" i="10"/>
  <c r="BS103" i="10"/>
  <c r="BM103" i="10"/>
  <c r="BL103" i="10"/>
  <c r="BH103" i="10"/>
  <c r="BG103" i="10"/>
  <c r="AR103" i="10"/>
  <c r="AQ103" i="10"/>
  <c r="AN103" i="10"/>
  <c r="AL103" i="10"/>
  <c r="AI103" i="10"/>
  <c r="AS103" i="10" s="1"/>
  <c r="AG103" i="10"/>
  <c r="AT103" i="10" s="1"/>
  <c r="P103" i="10"/>
  <c r="O103" i="10"/>
  <c r="BS102" i="10"/>
  <c r="BM102" i="10"/>
  <c r="BL102" i="10"/>
  <c r="BH102" i="10"/>
  <c r="BG102" i="10"/>
  <c r="AQ102" i="10"/>
  <c r="AN102" i="10"/>
  <c r="AL102" i="10"/>
  <c r="AG102" i="10"/>
  <c r="P102" i="10"/>
  <c r="O102" i="10"/>
  <c r="BS101" i="10"/>
  <c r="BM101" i="10"/>
  <c r="BL101" i="10"/>
  <c r="BH101" i="10"/>
  <c r="BG101" i="10"/>
  <c r="AQ101" i="10"/>
  <c r="AN101" i="10"/>
  <c r="AL101" i="10"/>
  <c r="AI101" i="10"/>
  <c r="AG101" i="10"/>
  <c r="P101" i="10"/>
  <c r="O101" i="10"/>
  <c r="BS100" i="10"/>
  <c r="BM100" i="10"/>
  <c r="BL100" i="10"/>
  <c r="BH100" i="10"/>
  <c r="BG100" i="10"/>
  <c r="AQ100" i="10"/>
  <c r="AN100" i="10"/>
  <c r="AL100" i="10"/>
  <c r="AG100" i="10"/>
  <c r="P100" i="10"/>
  <c r="O100" i="10"/>
  <c r="BS99" i="10"/>
  <c r="BM99" i="10"/>
  <c r="BL99" i="10"/>
  <c r="BH99" i="10"/>
  <c r="BG99" i="10"/>
  <c r="AQ99" i="10"/>
  <c r="AN99" i="10"/>
  <c r="AL99" i="10"/>
  <c r="AG99" i="10"/>
  <c r="P99" i="10"/>
  <c r="O99" i="10"/>
  <c r="BS98" i="10"/>
  <c r="BM98" i="10"/>
  <c r="BL98" i="10"/>
  <c r="BH98" i="10"/>
  <c r="BG98" i="10"/>
  <c r="AQ98" i="10"/>
  <c r="AL98" i="10"/>
  <c r="AN98" i="10" s="1"/>
  <c r="AG98" i="10"/>
  <c r="P98" i="10"/>
  <c r="O98" i="10"/>
  <c r="BS97" i="10"/>
  <c r="BM97" i="10"/>
  <c r="BL97" i="10"/>
  <c r="BH97" i="10"/>
  <c r="BG97" i="10"/>
  <c r="AT97" i="10"/>
  <c r="AQ97" i="10"/>
  <c r="AN97" i="10"/>
  <c r="AL97" i="10"/>
  <c r="AG97" i="10"/>
  <c r="AI97" i="10" s="1"/>
  <c r="P97" i="10"/>
  <c r="O97" i="10"/>
  <c r="BS96" i="10"/>
  <c r="BM96" i="10"/>
  <c r="BL96" i="10"/>
  <c r="BH96" i="10"/>
  <c r="BG96" i="10"/>
  <c r="AQ96" i="10"/>
  <c r="AL96" i="10"/>
  <c r="AN96" i="10" s="1"/>
  <c r="AG96" i="10"/>
  <c r="AI96" i="10" s="1"/>
  <c r="P96" i="10"/>
  <c r="O96" i="10"/>
  <c r="BS95" i="10"/>
  <c r="BM95" i="10"/>
  <c r="BL95" i="10"/>
  <c r="BH95" i="10"/>
  <c r="BG95" i="10"/>
  <c r="AT95" i="10"/>
  <c r="AQ95" i="10"/>
  <c r="AN95" i="10"/>
  <c r="AL95" i="10"/>
  <c r="AG95" i="10"/>
  <c r="AI95" i="10" s="1"/>
  <c r="P95" i="10"/>
  <c r="O95" i="10"/>
  <c r="BS94" i="10"/>
  <c r="BM94" i="10"/>
  <c r="BL94" i="10"/>
  <c r="BH94" i="10"/>
  <c r="BG94" i="10"/>
  <c r="AQ94" i="10"/>
  <c r="AN94" i="10"/>
  <c r="AL94" i="10"/>
  <c r="AG94" i="10"/>
  <c r="AI94" i="10" s="1"/>
  <c r="P94" i="10"/>
  <c r="O94" i="10"/>
  <c r="BS93" i="10"/>
  <c r="BM93" i="10"/>
  <c r="BL93" i="10"/>
  <c r="BH93" i="10"/>
  <c r="BG93" i="10"/>
  <c r="AT93" i="10"/>
  <c r="AQ93" i="10"/>
  <c r="AN93" i="10"/>
  <c r="AL93" i="10"/>
  <c r="AG93" i="10"/>
  <c r="AI93" i="10" s="1"/>
  <c r="P93" i="10"/>
  <c r="O93" i="10"/>
  <c r="BS92" i="10"/>
  <c r="BM92" i="10"/>
  <c r="BL92" i="10"/>
  <c r="BH92" i="10"/>
  <c r="BG92" i="10"/>
  <c r="AQ92" i="10"/>
  <c r="AN92" i="10"/>
  <c r="AL92" i="10"/>
  <c r="AG92" i="10"/>
  <c r="AI92" i="10" s="1"/>
  <c r="P92" i="10"/>
  <c r="O92" i="10"/>
  <c r="BS91" i="10"/>
  <c r="BM91" i="10"/>
  <c r="BL91" i="10"/>
  <c r="BH91" i="10"/>
  <c r="BG91" i="10"/>
  <c r="AT91" i="10"/>
  <c r="AQ91" i="10"/>
  <c r="AN91" i="10"/>
  <c r="AL91" i="10"/>
  <c r="AG91" i="10"/>
  <c r="AI91" i="10" s="1"/>
  <c r="P91" i="10"/>
  <c r="O91" i="10"/>
  <c r="BS90" i="10"/>
  <c r="BM90" i="10"/>
  <c r="BL90" i="10"/>
  <c r="BH90" i="10"/>
  <c r="BG90" i="10"/>
  <c r="AQ90" i="10"/>
  <c r="AN90" i="10"/>
  <c r="AL90" i="10"/>
  <c r="AG90" i="10"/>
  <c r="AI90" i="10" s="1"/>
  <c r="P90" i="10"/>
  <c r="O90" i="10"/>
  <c r="BS89" i="10"/>
  <c r="BM89" i="10"/>
  <c r="BL89" i="10"/>
  <c r="BH89" i="10"/>
  <c r="BG89" i="10"/>
  <c r="AT89" i="10"/>
  <c r="AQ89" i="10"/>
  <c r="AN89" i="10"/>
  <c r="AL89" i="10"/>
  <c r="AG89" i="10"/>
  <c r="AI89" i="10" s="1"/>
  <c r="P89" i="10"/>
  <c r="O89" i="10"/>
  <c r="BS88" i="10"/>
  <c r="BM88" i="10"/>
  <c r="BL88" i="10"/>
  <c r="BH88" i="10"/>
  <c r="BG88" i="10"/>
  <c r="AQ88" i="10"/>
  <c r="AL88" i="10"/>
  <c r="AN88" i="10" s="1"/>
  <c r="AG88" i="10"/>
  <c r="AI88" i="10" s="1"/>
  <c r="P88" i="10"/>
  <c r="O88" i="10"/>
  <c r="BS87" i="10"/>
  <c r="BM87" i="10"/>
  <c r="BL87" i="10"/>
  <c r="BH87" i="10"/>
  <c r="BG87" i="10"/>
  <c r="AT87" i="10"/>
  <c r="AQ87" i="10"/>
  <c r="AN87" i="10"/>
  <c r="AL87" i="10"/>
  <c r="AG87" i="10"/>
  <c r="AI87" i="10" s="1"/>
  <c r="P87" i="10"/>
  <c r="O87" i="10"/>
  <c r="BS86" i="10"/>
  <c r="BM86" i="10"/>
  <c r="BL86" i="10"/>
  <c r="BH86" i="10"/>
  <c r="BG86" i="10"/>
  <c r="AQ86" i="10"/>
  <c r="AN86" i="10"/>
  <c r="AL86" i="10"/>
  <c r="AG86" i="10"/>
  <c r="AI86" i="10" s="1"/>
  <c r="P86" i="10"/>
  <c r="O86" i="10"/>
  <c r="BS85" i="10"/>
  <c r="BM85" i="10"/>
  <c r="BL85" i="10"/>
  <c r="BH85" i="10"/>
  <c r="BG85" i="10"/>
  <c r="AT85" i="10"/>
  <c r="AQ85" i="10"/>
  <c r="AN85" i="10"/>
  <c r="AL85" i="10"/>
  <c r="AG85" i="10"/>
  <c r="AI85" i="10" s="1"/>
  <c r="P85" i="10"/>
  <c r="O85" i="10"/>
  <c r="BS84" i="10"/>
  <c r="BM84" i="10"/>
  <c r="BL84" i="10"/>
  <c r="BH84" i="10"/>
  <c r="BG84" i="10"/>
  <c r="AQ84" i="10"/>
  <c r="AL84" i="10"/>
  <c r="AN84" i="10" s="1"/>
  <c r="AG84" i="10"/>
  <c r="AI84" i="10" s="1"/>
  <c r="P84" i="10"/>
  <c r="O84" i="10"/>
  <c r="BS83" i="10"/>
  <c r="BM83" i="10"/>
  <c r="BL83" i="10"/>
  <c r="BH83" i="10"/>
  <c r="BG83" i="10"/>
  <c r="AT83" i="10"/>
  <c r="AQ83" i="10"/>
  <c r="AN83" i="10"/>
  <c r="AL83" i="10"/>
  <c r="AG83" i="10"/>
  <c r="AI83" i="10" s="1"/>
  <c r="P83" i="10"/>
  <c r="O83" i="10"/>
  <c r="BS82" i="10"/>
  <c r="BM82" i="10"/>
  <c r="BL82" i="10"/>
  <c r="BH82" i="10"/>
  <c r="BG82" i="10"/>
  <c r="AQ82" i="10"/>
  <c r="AL82" i="10"/>
  <c r="AN82" i="10" s="1"/>
  <c r="AG82" i="10"/>
  <c r="AI82" i="10" s="1"/>
  <c r="P82" i="10"/>
  <c r="O82" i="10"/>
  <c r="BS81" i="10"/>
  <c r="BM81" i="10"/>
  <c r="BL81" i="10"/>
  <c r="BH81" i="10"/>
  <c r="BG81" i="10"/>
  <c r="AT81" i="10"/>
  <c r="AQ81" i="10"/>
  <c r="AN81" i="10"/>
  <c r="AL81" i="10"/>
  <c r="AG81" i="10"/>
  <c r="AI81" i="10" s="1"/>
  <c r="P81" i="10"/>
  <c r="O81" i="10"/>
  <c r="BS80" i="10"/>
  <c r="BM80" i="10"/>
  <c r="BL80" i="10"/>
  <c r="BH80" i="10"/>
  <c r="BG80" i="10"/>
  <c r="AQ80" i="10"/>
  <c r="AL80" i="10"/>
  <c r="AN80" i="10" s="1"/>
  <c r="AG80" i="10"/>
  <c r="AI80" i="10" s="1"/>
  <c r="P80" i="10"/>
  <c r="O80" i="10"/>
  <c r="BS79" i="10"/>
  <c r="BM79" i="10"/>
  <c r="BL79" i="10"/>
  <c r="BH79" i="10"/>
  <c r="BG79" i="10"/>
  <c r="AT79" i="10"/>
  <c r="AQ79" i="10"/>
  <c r="AN79" i="10"/>
  <c r="AL79" i="10"/>
  <c r="AG79" i="10"/>
  <c r="AI79" i="10" s="1"/>
  <c r="P79" i="10"/>
  <c r="O79" i="10"/>
  <c r="BS78" i="10"/>
  <c r="BM78" i="10"/>
  <c r="BL78" i="10"/>
  <c r="BH78" i="10"/>
  <c r="BG78" i="10"/>
  <c r="AQ78" i="10"/>
  <c r="AL78" i="10"/>
  <c r="AN78" i="10" s="1"/>
  <c r="AG78" i="10"/>
  <c r="AI78" i="10" s="1"/>
  <c r="P78" i="10"/>
  <c r="O78" i="10"/>
  <c r="BS77" i="10"/>
  <c r="BM77" i="10"/>
  <c r="BL77" i="10"/>
  <c r="BH77" i="10"/>
  <c r="BG77" i="10"/>
  <c r="AT77" i="10"/>
  <c r="AQ77" i="10"/>
  <c r="AN77" i="10"/>
  <c r="AL77" i="10"/>
  <c r="AG77" i="10"/>
  <c r="AI77" i="10" s="1"/>
  <c r="P77" i="10"/>
  <c r="O77" i="10"/>
  <c r="BS76" i="10"/>
  <c r="BM76" i="10"/>
  <c r="BL76" i="10"/>
  <c r="BH76" i="10"/>
  <c r="BG76" i="10"/>
  <c r="AQ76" i="10"/>
  <c r="AL76" i="10"/>
  <c r="AN76" i="10" s="1"/>
  <c r="AG76" i="10"/>
  <c r="AI76" i="10" s="1"/>
  <c r="P76" i="10"/>
  <c r="O76" i="10"/>
  <c r="BS75" i="10"/>
  <c r="BM75" i="10"/>
  <c r="BL75" i="10"/>
  <c r="BH75" i="10"/>
  <c r="BG75" i="10"/>
  <c r="AT75" i="10"/>
  <c r="AQ75" i="10"/>
  <c r="AN75" i="10"/>
  <c r="AL75" i="10"/>
  <c r="AG75" i="10"/>
  <c r="AI75" i="10" s="1"/>
  <c r="P75" i="10"/>
  <c r="O75" i="10"/>
  <c r="BS74" i="10"/>
  <c r="BM74" i="10"/>
  <c r="BL74" i="10"/>
  <c r="BH74" i="10"/>
  <c r="BG74" i="10"/>
  <c r="AQ74" i="10"/>
  <c r="AN74" i="10"/>
  <c r="AL74" i="10"/>
  <c r="AG74" i="10"/>
  <c r="AI74" i="10" s="1"/>
  <c r="P74" i="10"/>
  <c r="O74" i="10"/>
  <c r="BS73" i="10"/>
  <c r="BM73" i="10"/>
  <c r="BL73" i="10"/>
  <c r="BH73" i="10"/>
  <c r="BG73" i="10"/>
  <c r="AT73" i="10"/>
  <c r="AQ73" i="10"/>
  <c r="AN73" i="10"/>
  <c r="AL73" i="10"/>
  <c r="AG73" i="10"/>
  <c r="AI73" i="10" s="1"/>
  <c r="P73" i="10"/>
  <c r="O73" i="10"/>
  <c r="BS72" i="10"/>
  <c r="BM72" i="10"/>
  <c r="BL72" i="10"/>
  <c r="BH72" i="10"/>
  <c r="BG72" i="10"/>
  <c r="AQ72" i="10"/>
  <c r="AL72" i="10"/>
  <c r="AN72" i="10" s="1"/>
  <c r="AR72" i="10" s="1"/>
  <c r="AG72" i="10"/>
  <c r="AI72" i="10" s="1"/>
  <c r="P72" i="10"/>
  <c r="O72" i="10"/>
  <c r="BS71" i="10"/>
  <c r="BM71" i="10"/>
  <c r="BL71" i="10"/>
  <c r="BH71" i="10"/>
  <c r="BG71" i="10"/>
  <c r="AQ71" i="10"/>
  <c r="AN71" i="10"/>
  <c r="AL71" i="10"/>
  <c r="AG71" i="10"/>
  <c r="P71" i="10"/>
  <c r="O71" i="10"/>
  <c r="BS70" i="10"/>
  <c r="BM70" i="10"/>
  <c r="BL70" i="10"/>
  <c r="BH70" i="10"/>
  <c r="BG70" i="10"/>
  <c r="AQ70" i="10"/>
  <c r="AL70" i="10"/>
  <c r="AN70" i="10" s="1"/>
  <c r="AG70" i="10"/>
  <c r="P70" i="10"/>
  <c r="O70" i="10"/>
  <c r="BS69" i="10"/>
  <c r="BM69" i="10"/>
  <c r="BL69" i="10"/>
  <c r="BH69" i="10"/>
  <c r="BG69" i="10"/>
  <c r="AT69" i="10"/>
  <c r="AR69" i="10"/>
  <c r="AQ69" i="10"/>
  <c r="AN69" i="10"/>
  <c r="AL69" i="10"/>
  <c r="AG69" i="10"/>
  <c r="AI69" i="10" s="1"/>
  <c r="AS69" i="10" s="1"/>
  <c r="P69" i="10"/>
  <c r="O69" i="10"/>
  <c r="BS68" i="10"/>
  <c r="BM68" i="10"/>
  <c r="BL68" i="10"/>
  <c r="BH68" i="10"/>
  <c r="BG68" i="10"/>
  <c r="AQ68" i="10"/>
  <c r="AN68" i="10"/>
  <c r="AL68" i="10"/>
  <c r="AG68" i="10"/>
  <c r="P68" i="10"/>
  <c r="O68" i="10"/>
  <c r="BS67" i="10"/>
  <c r="BM67" i="10"/>
  <c r="BL67" i="10"/>
  <c r="BH67" i="10"/>
  <c r="BG67" i="10"/>
  <c r="AQ67" i="10"/>
  <c r="AN67" i="10"/>
  <c r="AL67" i="10"/>
  <c r="AG67" i="10"/>
  <c r="P67" i="10"/>
  <c r="O67" i="10"/>
  <c r="BS66" i="10"/>
  <c r="BM66" i="10"/>
  <c r="BL66" i="10"/>
  <c r="BH66" i="10"/>
  <c r="BG66" i="10"/>
  <c r="AQ66" i="10"/>
  <c r="AN66" i="10"/>
  <c r="AL66" i="10"/>
  <c r="AG66" i="10"/>
  <c r="P66" i="10"/>
  <c r="O66" i="10"/>
  <c r="BS65" i="10"/>
  <c r="BM65" i="10"/>
  <c r="BL65" i="10"/>
  <c r="BH65" i="10"/>
  <c r="BG65" i="10"/>
  <c r="AT65" i="10"/>
  <c r="AR65" i="10"/>
  <c r="AQ65" i="10"/>
  <c r="AN65" i="10"/>
  <c r="AL65" i="10"/>
  <c r="AG65" i="10"/>
  <c r="AI65" i="10" s="1"/>
  <c r="AS65" i="10" s="1"/>
  <c r="P65" i="10"/>
  <c r="O65" i="10"/>
  <c r="BS64" i="10"/>
  <c r="BM64" i="10"/>
  <c r="BL64" i="10"/>
  <c r="BH64" i="10"/>
  <c r="BG64" i="10"/>
  <c r="AQ64" i="10"/>
  <c r="AN64" i="10"/>
  <c r="AL64" i="10"/>
  <c r="AG64" i="10"/>
  <c r="P64" i="10"/>
  <c r="O64" i="10"/>
  <c r="BS63" i="10"/>
  <c r="BM63" i="10"/>
  <c r="BL63" i="10"/>
  <c r="BH63" i="10"/>
  <c r="BG63" i="10"/>
  <c r="AQ63" i="10"/>
  <c r="AN63" i="10"/>
  <c r="AL63" i="10"/>
  <c r="AG63" i="10"/>
  <c r="P63" i="10"/>
  <c r="O63" i="10"/>
  <c r="BS62" i="10"/>
  <c r="BM62" i="10"/>
  <c r="BL62" i="10"/>
  <c r="BH62" i="10"/>
  <c r="BG62" i="10"/>
  <c r="AQ62" i="10"/>
  <c r="AL62" i="10"/>
  <c r="AN62" i="10" s="1"/>
  <c r="AI62" i="10"/>
  <c r="AG62" i="10"/>
  <c r="P62" i="10"/>
  <c r="O62" i="10"/>
  <c r="BS61" i="10"/>
  <c r="BM61" i="10"/>
  <c r="BL61" i="10"/>
  <c r="BH61" i="10"/>
  <c r="BG61" i="10"/>
  <c r="AT61" i="10"/>
  <c r="AS61" i="10"/>
  <c r="AQ61" i="10"/>
  <c r="AN61" i="10"/>
  <c r="AL61" i="10"/>
  <c r="AG61" i="10"/>
  <c r="AI61" i="10" s="1"/>
  <c r="AR61" i="10" s="1"/>
  <c r="P61" i="10"/>
  <c r="O61" i="10"/>
  <c r="BS60" i="10"/>
  <c r="BM60" i="10"/>
  <c r="BL60" i="10"/>
  <c r="BH60" i="10"/>
  <c r="BG60" i="10"/>
  <c r="AQ60" i="10"/>
  <c r="AL60" i="10"/>
  <c r="AN60" i="10" s="1"/>
  <c r="AG60" i="10"/>
  <c r="P60" i="10"/>
  <c r="O60" i="10"/>
  <c r="BS59" i="10"/>
  <c r="BM59" i="10"/>
  <c r="BL59" i="10"/>
  <c r="BH59" i="10"/>
  <c r="BG59" i="10"/>
  <c r="AR59" i="10"/>
  <c r="AQ59" i="10"/>
  <c r="AN59" i="10"/>
  <c r="AL59" i="10"/>
  <c r="AG59" i="10"/>
  <c r="AI59" i="10" s="1"/>
  <c r="AS59" i="10" s="1"/>
  <c r="P59" i="10"/>
  <c r="O59" i="10"/>
  <c r="BS58" i="10"/>
  <c r="BM58" i="10"/>
  <c r="BL58" i="10"/>
  <c r="BH58" i="10"/>
  <c r="BG58" i="10"/>
  <c r="AQ58" i="10"/>
  <c r="AN58" i="10"/>
  <c r="AL58" i="10"/>
  <c r="AG58" i="10"/>
  <c r="P58" i="10"/>
  <c r="O58" i="10"/>
  <c r="BS57" i="10"/>
  <c r="BM57" i="10"/>
  <c r="BL57" i="10"/>
  <c r="BH57" i="10"/>
  <c r="BG57" i="10"/>
  <c r="AQ57" i="10"/>
  <c r="AN57" i="10"/>
  <c r="AL57" i="10"/>
  <c r="AG57" i="10"/>
  <c r="P57" i="10"/>
  <c r="O57" i="10"/>
  <c r="BS56" i="10"/>
  <c r="BM56" i="10"/>
  <c r="BL56" i="10"/>
  <c r="BH56" i="10"/>
  <c r="BG56" i="10"/>
  <c r="AQ56" i="10"/>
  <c r="AL56" i="10"/>
  <c r="AN56" i="10" s="1"/>
  <c r="AG56" i="10"/>
  <c r="P56" i="10"/>
  <c r="O56" i="10"/>
  <c r="BS55" i="10"/>
  <c r="BM55" i="10"/>
  <c r="BL55" i="10"/>
  <c r="BH55" i="10"/>
  <c r="BG55" i="10"/>
  <c r="AT55" i="10"/>
  <c r="AR55" i="10"/>
  <c r="AQ55" i="10"/>
  <c r="AN55" i="10"/>
  <c r="AL55" i="10"/>
  <c r="AG55" i="10"/>
  <c r="AI55" i="10" s="1"/>
  <c r="AS55" i="10" s="1"/>
  <c r="P55" i="10"/>
  <c r="O55" i="10"/>
  <c r="BS54" i="10"/>
  <c r="BM54" i="10"/>
  <c r="BL54" i="10"/>
  <c r="BH54" i="10"/>
  <c r="BG54" i="10"/>
  <c r="AQ54" i="10"/>
  <c r="AN54" i="10"/>
  <c r="AL54" i="10"/>
  <c r="AG54" i="10"/>
  <c r="AT54" i="10" s="1"/>
  <c r="P54" i="10"/>
  <c r="O54" i="10"/>
  <c r="BS53" i="10"/>
  <c r="BM53" i="10"/>
  <c r="BL53" i="10"/>
  <c r="BH53" i="10"/>
  <c r="BG53" i="10"/>
  <c r="AS53" i="10"/>
  <c r="AR53" i="10"/>
  <c r="AQ53" i="10"/>
  <c r="AN53" i="10"/>
  <c r="AL53" i="10"/>
  <c r="AG53" i="10"/>
  <c r="AI53" i="10" s="1"/>
  <c r="P53" i="10"/>
  <c r="O53" i="10"/>
  <c r="BS52" i="10"/>
  <c r="BM52" i="10"/>
  <c r="BL52" i="10"/>
  <c r="BH52" i="10"/>
  <c r="BG52" i="10"/>
  <c r="AQ52" i="10"/>
  <c r="AN52" i="10"/>
  <c r="AL52" i="10"/>
  <c r="AG52" i="10"/>
  <c r="P52" i="10"/>
  <c r="O52" i="10"/>
  <c r="BS51" i="10"/>
  <c r="BM51" i="10"/>
  <c r="BL51" i="10"/>
  <c r="BH51" i="10"/>
  <c r="BG51" i="10"/>
  <c r="AQ51" i="10"/>
  <c r="AN51" i="10"/>
  <c r="AL51" i="10"/>
  <c r="AG51" i="10"/>
  <c r="P51" i="10"/>
  <c r="O51" i="10"/>
  <c r="BS50" i="10"/>
  <c r="BM50" i="10"/>
  <c r="BL50" i="10"/>
  <c r="BH50" i="10"/>
  <c r="BG50" i="10"/>
  <c r="AQ50" i="10"/>
  <c r="AR50" i="10" s="1"/>
  <c r="AN50" i="10"/>
  <c r="AL50" i="10"/>
  <c r="AI50" i="10"/>
  <c r="AG50" i="10"/>
  <c r="P50" i="10"/>
  <c r="O50" i="10"/>
  <c r="BS49" i="10"/>
  <c r="BM49" i="10"/>
  <c r="BL49" i="10"/>
  <c r="BH49" i="10"/>
  <c r="BG49" i="10"/>
  <c r="AS49" i="10"/>
  <c r="AR49" i="10"/>
  <c r="AQ49" i="10"/>
  <c r="AN49" i="10"/>
  <c r="AL49" i="10"/>
  <c r="AG49" i="10"/>
  <c r="AI49" i="10" s="1"/>
  <c r="P49" i="10"/>
  <c r="O49" i="10"/>
  <c r="BS48" i="10"/>
  <c r="BM48" i="10"/>
  <c r="BL48" i="10"/>
  <c r="BH48" i="10"/>
  <c r="BG48" i="10"/>
  <c r="AQ48" i="10"/>
  <c r="AL48" i="10"/>
  <c r="AN48" i="10" s="1"/>
  <c r="AG48" i="10"/>
  <c r="AT48" i="10" s="1"/>
  <c r="P48" i="10"/>
  <c r="O48" i="10"/>
  <c r="BS47" i="10"/>
  <c r="BM47" i="10"/>
  <c r="BL47" i="10"/>
  <c r="BH47" i="10"/>
  <c r="BG47" i="10"/>
  <c r="AT47" i="10"/>
  <c r="AS47" i="10"/>
  <c r="AR47" i="10"/>
  <c r="AQ47" i="10"/>
  <c r="AN47" i="10"/>
  <c r="AL47" i="10"/>
  <c r="AG47" i="10"/>
  <c r="AI47" i="10" s="1"/>
  <c r="P47" i="10"/>
  <c r="O47" i="10"/>
  <c r="BS46" i="10"/>
  <c r="BM46" i="10"/>
  <c r="BL46" i="10"/>
  <c r="BH46" i="10"/>
  <c r="BG46" i="10"/>
  <c r="AQ46" i="10"/>
  <c r="AL46" i="10"/>
  <c r="AN46" i="10" s="1"/>
  <c r="AR46" i="10" s="1"/>
  <c r="AI46" i="10"/>
  <c r="AG46" i="10"/>
  <c r="P46" i="10"/>
  <c r="O46" i="10"/>
  <c r="BS45" i="10"/>
  <c r="BM45" i="10"/>
  <c r="BL45" i="10"/>
  <c r="BH45" i="10"/>
  <c r="BG45" i="10"/>
  <c r="AT45" i="10"/>
  <c r="AQ45" i="10"/>
  <c r="AN45" i="10"/>
  <c r="AL45" i="10"/>
  <c r="AG45" i="10"/>
  <c r="AI45" i="10" s="1"/>
  <c r="P45" i="10"/>
  <c r="O45" i="10"/>
  <c r="BS44" i="10"/>
  <c r="BM44" i="10"/>
  <c r="BL44" i="10"/>
  <c r="BH44" i="10"/>
  <c r="BG44" i="10"/>
  <c r="AR44" i="10"/>
  <c r="AQ44" i="10"/>
  <c r="AL44" i="10"/>
  <c r="AN44" i="10" s="1"/>
  <c r="AI44" i="10"/>
  <c r="AG44" i="10"/>
  <c r="P44" i="10"/>
  <c r="O44" i="10"/>
  <c r="BS43" i="10"/>
  <c r="BM43" i="10"/>
  <c r="BL43" i="10"/>
  <c r="BH43" i="10"/>
  <c r="BG43" i="10"/>
  <c r="AQ43" i="10"/>
  <c r="AN43" i="10"/>
  <c r="AL43" i="10"/>
  <c r="AG43" i="10"/>
  <c r="P43" i="10"/>
  <c r="O43" i="10"/>
  <c r="BS42" i="10"/>
  <c r="BM42" i="10"/>
  <c r="BL42" i="10"/>
  <c r="BH42" i="10"/>
  <c r="BG42" i="10"/>
  <c r="AQ42" i="10"/>
  <c r="AN42" i="10"/>
  <c r="AR42" i="10" s="1"/>
  <c r="AL42" i="10"/>
  <c r="AI42" i="10"/>
  <c r="AG42" i="10"/>
  <c r="P42" i="10"/>
  <c r="O42" i="10"/>
  <c r="BS41" i="10"/>
  <c r="BM41" i="10"/>
  <c r="BL41" i="10"/>
  <c r="BH41" i="10"/>
  <c r="BG41" i="10"/>
  <c r="AQ41" i="10"/>
  <c r="AN41" i="10"/>
  <c r="AL41" i="10"/>
  <c r="AG41" i="10"/>
  <c r="P41" i="10"/>
  <c r="O41" i="10"/>
  <c r="BS40" i="10"/>
  <c r="BM40" i="10"/>
  <c r="BL40" i="10"/>
  <c r="BK40" i="10"/>
  <c r="BH40" i="10"/>
  <c r="BG40" i="10"/>
  <c r="AS40" i="10"/>
  <c r="AR40" i="10"/>
  <c r="AQ40" i="10"/>
  <c r="AT40" i="10" s="1"/>
  <c r="AL40" i="10"/>
  <c r="AN40" i="10" s="1"/>
  <c r="AI40" i="10"/>
  <c r="AG40" i="10"/>
  <c r="P40" i="10"/>
  <c r="O40" i="10"/>
  <c r="BS39" i="10"/>
  <c r="BK39" i="10"/>
  <c r="BM39" i="10" s="1"/>
  <c r="BH39" i="10"/>
  <c r="BG39" i="10"/>
  <c r="AQ39" i="10"/>
  <c r="AN39" i="10"/>
  <c r="AL39" i="10"/>
  <c r="AI39" i="10"/>
  <c r="AG39" i="10"/>
  <c r="AT39" i="10" s="1"/>
  <c r="P39" i="10"/>
  <c r="O39" i="10"/>
  <c r="BS38" i="10"/>
  <c r="BL38" i="10"/>
  <c r="BK38" i="10"/>
  <c r="BM38" i="10" s="1"/>
  <c r="BH38" i="10"/>
  <c r="BG38" i="10"/>
  <c r="AS38" i="10"/>
  <c r="AR38" i="10"/>
  <c r="AQ38" i="10"/>
  <c r="AT38" i="10" s="1"/>
  <c r="AN38" i="10"/>
  <c r="AL38" i="10"/>
  <c r="AI38" i="10"/>
  <c r="AG38" i="10"/>
  <c r="P38" i="10"/>
  <c r="O38" i="10"/>
  <c r="BS37" i="10"/>
  <c r="BL37" i="10"/>
  <c r="BK37" i="10"/>
  <c r="BM37" i="10" s="1"/>
  <c r="BH37" i="10"/>
  <c r="BG37" i="10"/>
  <c r="AQ37" i="10"/>
  <c r="AN37" i="10"/>
  <c r="AL37" i="10"/>
  <c r="AG37" i="10"/>
  <c r="AT37" i="10" s="1"/>
  <c r="P37" i="10"/>
  <c r="O37" i="10"/>
  <c r="BS36" i="10"/>
  <c r="BL36" i="10"/>
  <c r="BK36" i="10"/>
  <c r="BM36" i="10" s="1"/>
  <c r="BH36" i="10"/>
  <c r="BG36" i="10"/>
  <c r="AS36" i="10"/>
  <c r="AR36" i="10"/>
  <c r="AQ36" i="10"/>
  <c r="AN36" i="10"/>
  <c r="AL36" i="10"/>
  <c r="AI36" i="10"/>
  <c r="AG36" i="10"/>
  <c r="AT36" i="10" s="1"/>
  <c r="P36" i="10"/>
  <c r="O36" i="10"/>
  <c r="BS35" i="10"/>
  <c r="BM35" i="10"/>
  <c r="BL35" i="10"/>
  <c r="BK35" i="10"/>
  <c r="BH35" i="10"/>
  <c r="BG35" i="10"/>
  <c r="AQ35" i="10"/>
  <c r="AL35" i="10"/>
  <c r="AI35" i="10"/>
  <c r="AG35" i="10"/>
  <c r="P35" i="10"/>
  <c r="O35" i="10"/>
  <c r="BS34" i="10"/>
  <c r="BL34" i="10"/>
  <c r="BK34" i="10"/>
  <c r="BM34" i="10" s="1"/>
  <c r="BH34" i="10"/>
  <c r="BG34" i="10"/>
  <c r="AT34" i="10"/>
  <c r="AR34" i="10"/>
  <c r="AQ34" i="10"/>
  <c r="AL34" i="10"/>
  <c r="AN34" i="10" s="1"/>
  <c r="AG34" i="10"/>
  <c r="AI34" i="10" s="1"/>
  <c r="AS34" i="10" s="1"/>
  <c r="P34" i="10"/>
  <c r="O34" i="10"/>
  <c r="BS33" i="10"/>
  <c r="BL33" i="10"/>
  <c r="BK33" i="10"/>
  <c r="BM33" i="10" s="1"/>
  <c r="BH33" i="10"/>
  <c r="BG33" i="10"/>
  <c r="AT33" i="10"/>
  <c r="AQ33" i="10"/>
  <c r="AN33" i="10"/>
  <c r="AL33" i="10"/>
  <c r="AI33" i="10"/>
  <c r="AG33" i="10"/>
  <c r="P33" i="10"/>
  <c r="O33" i="10"/>
  <c r="BS32" i="10"/>
  <c r="BK32" i="10"/>
  <c r="BM32" i="10" s="1"/>
  <c r="BH32" i="10"/>
  <c r="BG32" i="10"/>
  <c r="AT32" i="10"/>
  <c r="AQ32" i="10"/>
  <c r="AL32" i="10"/>
  <c r="AN32" i="10" s="1"/>
  <c r="AG32" i="10"/>
  <c r="AI32" i="10" s="1"/>
  <c r="P32" i="10"/>
  <c r="O32" i="10"/>
  <c r="BS31" i="10"/>
  <c r="BL31" i="10"/>
  <c r="BK31" i="10"/>
  <c r="BM31" i="10" s="1"/>
  <c r="BH31" i="10"/>
  <c r="BG31" i="10"/>
  <c r="AQ31" i="10"/>
  <c r="AN31" i="10"/>
  <c r="AL31" i="10"/>
  <c r="AI31" i="10"/>
  <c r="AG31" i="10"/>
  <c r="AT31" i="10" s="1"/>
  <c r="P31" i="10"/>
  <c r="O31" i="10"/>
  <c r="BS30" i="10"/>
  <c r="BM30" i="10"/>
  <c r="BL30" i="10"/>
  <c r="BK30" i="10"/>
  <c r="BH30" i="10"/>
  <c r="BG30" i="10"/>
  <c r="AT30" i="10"/>
  <c r="AS30" i="10"/>
  <c r="AQ30" i="10"/>
  <c r="AN30" i="10"/>
  <c r="AL30" i="10"/>
  <c r="AI30" i="10"/>
  <c r="AR30" i="10" s="1"/>
  <c r="AG30" i="10"/>
  <c r="P30" i="10"/>
  <c r="O30" i="10"/>
  <c r="BS29" i="10"/>
  <c r="BM29" i="10"/>
  <c r="BK29" i="10"/>
  <c r="BL29" i="10" s="1"/>
  <c r="BH29" i="10"/>
  <c r="BG29" i="10"/>
  <c r="AQ29" i="10"/>
  <c r="AL29" i="10"/>
  <c r="AT29" i="10" s="1"/>
  <c r="AI29" i="10"/>
  <c r="AG29" i="10"/>
  <c r="P29" i="10"/>
  <c r="O29" i="10"/>
  <c r="BS28" i="10"/>
  <c r="BL28" i="10"/>
  <c r="BK28" i="10"/>
  <c r="BM28" i="10" s="1"/>
  <c r="BH28" i="10"/>
  <c r="BG28" i="10"/>
  <c r="AT28" i="10"/>
  <c r="AS28" i="10"/>
  <c r="AQ28" i="10"/>
  <c r="AN28" i="10"/>
  <c r="AL28" i="10"/>
  <c r="AI28" i="10"/>
  <c r="AR28" i="10" s="1"/>
  <c r="AG28" i="10"/>
  <c r="P28" i="10"/>
  <c r="O28" i="10"/>
  <c r="BS27" i="10"/>
  <c r="BM27" i="10"/>
  <c r="BK27" i="10"/>
  <c r="BL27" i="10" s="1"/>
  <c r="BH27" i="10"/>
  <c r="BG27" i="10"/>
  <c r="AQ27" i="10"/>
  <c r="AN27" i="10"/>
  <c r="AL27" i="10"/>
  <c r="AT27" i="10" s="1"/>
  <c r="AI27" i="10"/>
  <c r="AG27" i="10"/>
  <c r="P27" i="10"/>
  <c r="O27" i="10"/>
  <c r="BS26" i="10"/>
  <c r="BL26" i="10"/>
  <c r="BK26" i="10"/>
  <c r="BM26" i="10" s="1"/>
  <c r="BH26" i="10"/>
  <c r="BG26" i="10"/>
  <c r="AT26" i="10"/>
  <c r="AS26" i="10"/>
  <c r="AQ26" i="10"/>
  <c r="AN26" i="10"/>
  <c r="AL26" i="10"/>
  <c r="AI26" i="10"/>
  <c r="AR26" i="10" s="1"/>
  <c r="AG26" i="10"/>
  <c r="P26" i="10"/>
  <c r="O26" i="10"/>
  <c r="BS25" i="10"/>
  <c r="BM25" i="10"/>
  <c r="BK25" i="10"/>
  <c r="BL25" i="10" s="1"/>
  <c r="BH25" i="10"/>
  <c r="BG25" i="10"/>
  <c r="AQ25" i="10"/>
  <c r="AL25" i="10"/>
  <c r="AN25" i="10" s="1"/>
  <c r="AG25" i="10"/>
  <c r="AI25" i="10" s="1"/>
  <c r="P25" i="10"/>
  <c r="O25" i="10"/>
  <c r="BS24" i="10"/>
  <c r="BK24" i="10"/>
  <c r="BH24" i="10"/>
  <c r="BG24" i="10"/>
  <c r="AQ24" i="10"/>
  <c r="AN24" i="10"/>
  <c r="AL24" i="10"/>
  <c r="AG24" i="10"/>
  <c r="P24" i="10"/>
  <c r="O24" i="10"/>
  <c r="BS23" i="10"/>
  <c r="BM23" i="10"/>
  <c r="BL23" i="10"/>
  <c r="BK23" i="10"/>
  <c r="BH23" i="10"/>
  <c r="BG23" i="10"/>
  <c r="AS23" i="10"/>
  <c r="AQ23" i="10"/>
  <c r="AR23" i="10" s="1"/>
  <c r="AL23" i="10"/>
  <c r="AN23" i="10" s="1"/>
  <c r="AI23" i="10"/>
  <c r="AG23" i="10"/>
  <c r="P23" i="10"/>
  <c r="O23" i="10"/>
  <c r="BS22" i="10"/>
  <c r="BK22" i="10"/>
  <c r="BH22" i="10"/>
  <c r="BG22" i="10"/>
  <c r="AQ22" i="10"/>
  <c r="AL22" i="10"/>
  <c r="AN22" i="10" s="1"/>
  <c r="AG22" i="10"/>
  <c r="P22" i="10"/>
  <c r="O22" i="10"/>
  <c r="BS21" i="10"/>
  <c r="BL21" i="10"/>
  <c r="BK21" i="10"/>
  <c r="BM21" i="10" s="1"/>
  <c r="BH21" i="10"/>
  <c r="BG21" i="10"/>
  <c r="AT21" i="10"/>
  <c r="AS21" i="10"/>
  <c r="AQ21" i="10"/>
  <c r="AN21" i="10"/>
  <c r="AL21" i="10"/>
  <c r="AI21" i="10"/>
  <c r="AR21" i="10" s="1"/>
  <c r="AG21" i="10"/>
  <c r="P21" i="10"/>
  <c r="O21" i="10"/>
  <c r="BS20" i="10"/>
  <c r="BM20" i="10"/>
  <c r="BK20" i="10"/>
  <c r="BL20" i="10" s="1"/>
  <c r="BH20" i="10"/>
  <c r="BG20" i="10"/>
  <c r="AQ20" i="10"/>
  <c r="AL20" i="10"/>
  <c r="AN20" i="10" s="1"/>
  <c r="AG20" i="10"/>
  <c r="AI20" i="10" s="1"/>
  <c r="P20" i="10"/>
  <c r="O20" i="10"/>
  <c r="BS19" i="10"/>
  <c r="BK19" i="10"/>
  <c r="BH19" i="10"/>
  <c r="BG19" i="10"/>
  <c r="AQ19" i="10"/>
  <c r="AN19" i="10"/>
  <c r="AL19" i="10"/>
  <c r="AG19" i="10"/>
  <c r="P19" i="10"/>
  <c r="O19" i="10"/>
  <c r="BS18" i="10"/>
  <c r="BM18" i="10"/>
  <c r="BL18" i="10"/>
  <c r="BK18" i="10"/>
  <c r="BH18" i="10"/>
  <c r="BG18" i="10"/>
  <c r="AS18" i="10"/>
  <c r="AR18" i="10"/>
  <c r="AQ18" i="10"/>
  <c r="AL18" i="10"/>
  <c r="AN18" i="10" s="1"/>
  <c r="AI18" i="10"/>
  <c r="AG18" i="10"/>
  <c r="P18" i="10"/>
  <c r="O18" i="10"/>
  <c r="BS17" i="10"/>
  <c r="BL17" i="10"/>
  <c r="BK17" i="10"/>
  <c r="BM17" i="10" s="1"/>
  <c r="BH17" i="10"/>
  <c r="BG17" i="10"/>
  <c r="AQ17" i="10"/>
  <c r="AL17" i="10"/>
  <c r="AN17" i="10" s="1"/>
  <c r="AG17" i="10"/>
  <c r="AT17" i="10" s="1"/>
  <c r="P17" i="10"/>
  <c r="O17" i="10"/>
  <c r="BS16" i="10"/>
  <c r="BL16" i="10"/>
  <c r="BK16" i="10"/>
  <c r="BM16" i="10" s="1"/>
  <c r="BH16" i="10"/>
  <c r="BG16" i="10"/>
  <c r="AT16" i="10"/>
  <c r="AS16" i="10"/>
  <c r="AQ16" i="10"/>
  <c r="AN16" i="10"/>
  <c r="AL16" i="10"/>
  <c r="AI16" i="10"/>
  <c r="AR16" i="10" s="1"/>
  <c r="AG16" i="10"/>
  <c r="P16" i="10"/>
  <c r="O16" i="10"/>
  <c r="BS15" i="10"/>
  <c r="BM15" i="10"/>
  <c r="BK15" i="10"/>
  <c r="BL15" i="10" s="1"/>
  <c r="BH15" i="10"/>
  <c r="BG15" i="10"/>
  <c r="AQ15" i="10"/>
  <c r="AN15" i="10"/>
  <c r="AL15" i="10"/>
  <c r="AG15" i="10"/>
  <c r="AI15" i="10" s="1"/>
  <c r="P15" i="10"/>
  <c r="O15" i="10"/>
  <c r="BS14" i="10"/>
  <c r="BK14" i="10"/>
  <c r="BH14" i="10"/>
  <c r="BG14" i="10"/>
  <c r="AQ14" i="10"/>
  <c r="AN14" i="10"/>
  <c r="AL14" i="10"/>
  <c r="AG14" i="10"/>
  <c r="P14" i="10"/>
  <c r="O14" i="10"/>
  <c r="BS13" i="10"/>
  <c r="BM13" i="10"/>
  <c r="BL13" i="10"/>
  <c r="BK13" i="10"/>
  <c r="BH13" i="10"/>
  <c r="BG13" i="10"/>
  <c r="AS13" i="10"/>
  <c r="AQ13" i="10"/>
  <c r="AL13" i="10"/>
  <c r="AN13" i="10" s="1"/>
  <c r="AR13" i="10" s="1"/>
  <c r="AI13" i="10"/>
  <c r="AG13" i="10"/>
  <c r="P13" i="10"/>
  <c r="O13" i="10"/>
  <c r="BS12" i="10"/>
  <c r="BM12" i="10"/>
  <c r="BL12" i="10"/>
  <c r="BK12" i="10"/>
  <c r="BH12" i="10"/>
  <c r="BG12" i="10"/>
  <c r="AQ12" i="10"/>
  <c r="AL12" i="10"/>
  <c r="AN12" i="10" s="1"/>
  <c r="AG12" i="10"/>
  <c r="AT12" i="10" s="1"/>
  <c r="P12" i="10"/>
  <c r="O12" i="10"/>
  <c r="BS11" i="10"/>
  <c r="BL11" i="10"/>
  <c r="BK11" i="10"/>
  <c r="BM11" i="10" s="1"/>
  <c r="BH11" i="10"/>
  <c r="BG11" i="10"/>
  <c r="AT11" i="10"/>
  <c r="AS11" i="10"/>
  <c r="AQ11" i="10"/>
  <c r="AN11" i="10"/>
  <c r="AL11" i="10"/>
  <c r="AI11" i="10"/>
  <c r="AR11" i="10" s="1"/>
  <c r="AG11" i="10"/>
  <c r="P11" i="10"/>
  <c r="O11" i="10"/>
  <c r="BS10" i="10"/>
  <c r="BM10" i="10"/>
  <c r="BK10" i="10"/>
  <c r="BL10" i="10" s="1"/>
  <c r="BH10" i="10"/>
  <c r="BG10" i="10"/>
  <c r="AQ10" i="10"/>
  <c r="AN10" i="10"/>
  <c r="AL10" i="10"/>
  <c r="AG10" i="10"/>
  <c r="AI10" i="10" s="1"/>
  <c r="P10" i="10"/>
  <c r="O10" i="10"/>
  <c r="BS9" i="10"/>
  <c r="BK9" i="10"/>
  <c r="BH9" i="10"/>
  <c r="BG9" i="10"/>
  <c r="AQ9" i="10"/>
  <c r="AN9" i="10"/>
  <c r="AL9" i="10"/>
  <c r="AG9" i="10"/>
  <c r="P9" i="10"/>
  <c r="O9" i="10"/>
  <c r="BS8" i="10"/>
  <c r="BM8" i="10"/>
  <c r="BL8" i="10"/>
  <c r="BK8" i="10"/>
  <c r="BH8" i="10"/>
  <c r="BG8" i="10"/>
  <c r="AS8" i="10"/>
  <c r="AQ8" i="10"/>
  <c r="AR8" i="10" s="1"/>
  <c r="AL8" i="10"/>
  <c r="AN8" i="10" s="1"/>
  <c r="AI8" i="10"/>
  <c r="AG8" i="10"/>
  <c r="P8" i="10"/>
  <c r="O8" i="10"/>
  <c r="BS7" i="10"/>
  <c r="BM7" i="10"/>
  <c r="BL7" i="10"/>
  <c r="BK7" i="10"/>
  <c r="BH7" i="10"/>
  <c r="BG7" i="10"/>
  <c r="AQ7" i="10"/>
  <c r="AL7" i="10"/>
  <c r="AN7" i="10" s="1"/>
  <c r="AG7" i="10"/>
  <c r="AT7" i="10" s="1"/>
  <c r="P7" i="10"/>
  <c r="O7" i="10"/>
  <c r="BS6" i="10"/>
  <c r="BL6" i="10"/>
  <c r="BK6" i="10"/>
  <c r="BM6" i="10" s="1"/>
  <c r="BH6" i="10"/>
  <c r="BG6" i="10"/>
  <c r="AT6" i="10"/>
  <c r="AS6" i="10"/>
  <c r="AQ6" i="10"/>
  <c r="AN6" i="10"/>
  <c r="AL6" i="10"/>
  <c r="AI6" i="10"/>
  <c r="AR6" i="10" s="1"/>
  <c r="AG6" i="10"/>
  <c r="P6" i="10"/>
  <c r="O6" i="10"/>
  <c r="BS5" i="10"/>
  <c r="BM5" i="10"/>
  <c r="BK5" i="10"/>
  <c r="BL5" i="10" s="1"/>
  <c r="BH5" i="10"/>
  <c r="BG5" i="10"/>
  <c r="AQ5" i="10"/>
  <c r="AN5" i="10"/>
  <c r="AL5" i="10"/>
  <c r="AG5" i="10"/>
  <c r="AI5" i="10" s="1"/>
  <c r="P5" i="10"/>
  <c r="O5" i="10"/>
  <c r="BS4" i="10"/>
  <c r="BK4" i="10"/>
  <c r="BH4" i="10"/>
  <c r="BG4" i="10"/>
  <c r="AQ4" i="10"/>
  <c r="AN4" i="10"/>
  <c r="AL4" i="10"/>
  <c r="AG4" i="10"/>
  <c r="P4" i="10"/>
  <c r="O4" i="10"/>
  <c r="BS3" i="10"/>
  <c r="BM3" i="10"/>
  <c r="BL3" i="10"/>
  <c r="BK3" i="10"/>
  <c r="BH3" i="10"/>
  <c r="BG3" i="10"/>
  <c r="AS3" i="10"/>
  <c r="AR3" i="10"/>
  <c r="AQ3" i="10"/>
  <c r="AL3" i="10"/>
  <c r="AN3" i="10" s="1"/>
  <c r="AI3" i="10"/>
  <c r="AG3" i="10"/>
  <c r="AT3" i="10" s="1"/>
  <c r="P3" i="10"/>
  <c r="O3" i="10"/>
  <c r="BS2" i="10"/>
  <c r="BK2" i="10"/>
  <c r="BM2" i="10" s="1"/>
  <c r="BH2" i="10"/>
  <c r="BG2" i="10"/>
  <c r="AQ2" i="10"/>
  <c r="AL2" i="10"/>
  <c r="AN2" i="10" s="1"/>
  <c r="AG2" i="10"/>
  <c r="P2" i="10"/>
  <c r="O2" i="10"/>
  <c r="BS300" i="9"/>
  <c r="BM300" i="9"/>
  <c r="BL300" i="9"/>
  <c r="BH300" i="9"/>
  <c r="BG300" i="9"/>
  <c r="AT300" i="9"/>
  <c r="AS300" i="9"/>
  <c r="AR300" i="9"/>
  <c r="AQ300" i="9"/>
  <c r="AN300" i="9"/>
  <c r="AL300" i="9"/>
  <c r="AG300" i="9"/>
  <c r="AI300" i="9" s="1"/>
  <c r="P300" i="9"/>
  <c r="O300" i="9"/>
  <c r="BS299" i="9"/>
  <c r="BM299" i="9"/>
  <c r="BL299" i="9"/>
  <c r="BH299" i="9"/>
  <c r="BG299" i="9"/>
  <c r="AQ299" i="9"/>
  <c r="AL299" i="9"/>
  <c r="AN299" i="9" s="1"/>
  <c r="AI299" i="9"/>
  <c r="AG299" i="9"/>
  <c r="P299" i="9"/>
  <c r="O299" i="9"/>
  <c r="BS298" i="9"/>
  <c r="BM298" i="9"/>
  <c r="BL298" i="9"/>
  <c r="BH298" i="9"/>
  <c r="BG298" i="9"/>
  <c r="AT298" i="9"/>
  <c r="AQ298" i="9"/>
  <c r="AN298" i="9"/>
  <c r="AL298" i="9"/>
  <c r="AG298" i="9"/>
  <c r="AI298" i="9" s="1"/>
  <c r="AS298" i="9" s="1"/>
  <c r="P298" i="9"/>
  <c r="O298" i="9"/>
  <c r="BS297" i="9"/>
  <c r="BM297" i="9"/>
  <c r="BL297" i="9"/>
  <c r="BH297" i="9"/>
  <c r="BG297" i="9"/>
  <c r="AQ297" i="9"/>
  <c r="AL297" i="9"/>
  <c r="AN297" i="9" s="1"/>
  <c r="AG297" i="9"/>
  <c r="P297" i="9"/>
  <c r="O297" i="9"/>
  <c r="BS296" i="9"/>
  <c r="BM296" i="9"/>
  <c r="BL296" i="9"/>
  <c r="BH296" i="9"/>
  <c r="BG296" i="9"/>
  <c r="AT296" i="9"/>
  <c r="AS296" i="9"/>
  <c r="AR296" i="9"/>
  <c r="AQ296" i="9"/>
  <c r="AN296" i="9"/>
  <c r="AL296" i="9"/>
  <c r="AG296" i="9"/>
  <c r="AI296" i="9" s="1"/>
  <c r="P296" i="9"/>
  <c r="O296" i="9"/>
  <c r="BS295" i="9"/>
  <c r="BM295" i="9"/>
  <c r="BL295" i="9"/>
  <c r="BH295" i="9"/>
  <c r="BG295" i="9"/>
  <c r="AQ295" i="9"/>
  <c r="AL295" i="9"/>
  <c r="AN295" i="9" s="1"/>
  <c r="AI295" i="9"/>
  <c r="AG295" i="9"/>
  <c r="P295" i="9"/>
  <c r="O295" i="9"/>
  <c r="BS294" i="9"/>
  <c r="BM294" i="9"/>
  <c r="BL294" i="9"/>
  <c r="BH294" i="9"/>
  <c r="BG294" i="9"/>
  <c r="AT294" i="9"/>
  <c r="AQ294" i="9"/>
  <c r="AN294" i="9"/>
  <c r="AL294" i="9"/>
  <c r="AG294" i="9"/>
  <c r="AI294" i="9" s="1"/>
  <c r="AS294" i="9" s="1"/>
  <c r="P294" i="9"/>
  <c r="O294" i="9"/>
  <c r="BS293" i="9"/>
  <c r="BM293" i="9"/>
  <c r="BL293" i="9"/>
  <c r="BH293" i="9"/>
  <c r="BG293" i="9"/>
  <c r="AQ293" i="9"/>
  <c r="AL293" i="9"/>
  <c r="AN293" i="9" s="1"/>
  <c r="AG293" i="9"/>
  <c r="P293" i="9"/>
  <c r="O293" i="9"/>
  <c r="BS292" i="9"/>
  <c r="BM292" i="9"/>
  <c r="BL292" i="9"/>
  <c r="BH292" i="9"/>
  <c r="BG292" i="9"/>
  <c r="AT292" i="9"/>
  <c r="AS292" i="9"/>
  <c r="AR292" i="9"/>
  <c r="AQ292" i="9"/>
  <c r="AN292" i="9"/>
  <c r="AL292" i="9"/>
  <c r="AG292" i="9"/>
  <c r="AI292" i="9" s="1"/>
  <c r="P292" i="9"/>
  <c r="O292" i="9"/>
  <c r="BS291" i="9"/>
  <c r="BM291" i="9"/>
  <c r="BL291" i="9"/>
  <c r="BH291" i="9"/>
  <c r="BG291" i="9"/>
  <c r="AQ291" i="9"/>
  <c r="AL291" i="9"/>
  <c r="AN291" i="9" s="1"/>
  <c r="AI291" i="9"/>
  <c r="AG291" i="9"/>
  <c r="P291" i="9"/>
  <c r="O291" i="9"/>
  <c r="BS290" i="9"/>
  <c r="BM290" i="9"/>
  <c r="BL290" i="9"/>
  <c r="BH290" i="9"/>
  <c r="BG290" i="9"/>
  <c r="AT290" i="9"/>
  <c r="AQ290" i="9"/>
  <c r="AN290" i="9"/>
  <c r="AL290" i="9"/>
  <c r="AG290" i="9"/>
  <c r="AI290" i="9" s="1"/>
  <c r="AS290" i="9" s="1"/>
  <c r="P290" i="9"/>
  <c r="O290" i="9"/>
  <c r="BS289" i="9"/>
  <c r="BM289" i="9"/>
  <c r="BL289" i="9"/>
  <c r="BH289" i="9"/>
  <c r="BG289" i="9"/>
  <c r="AQ289" i="9"/>
  <c r="AL289" i="9"/>
  <c r="AN289" i="9" s="1"/>
  <c r="AG289" i="9"/>
  <c r="P289" i="9"/>
  <c r="O289" i="9"/>
  <c r="BS288" i="9"/>
  <c r="BM288" i="9"/>
  <c r="BL288" i="9"/>
  <c r="BH288" i="9"/>
  <c r="BG288" i="9"/>
  <c r="AT288" i="9"/>
  <c r="AS288" i="9"/>
  <c r="AR288" i="9"/>
  <c r="AQ288" i="9"/>
  <c r="AN288" i="9"/>
  <c r="AL288" i="9"/>
  <c r="AG288" i="9"/>
  <c r="AI288" i="9" s="1"/>
  <c r="P288" i="9"/>
  <c r="O288" i="9"/>
  <c r="BS287" i="9"/>
  <c r="BM287" i="9"/>
  <c r="BL287" i="9"/>
  <c r="BH287" i="9"/>
  <c r="BG287" i="9"/>
  <c r="AQ287" i="9"/>
  <c r="AL287" i="9"/>
  <c r="AN287" i="9" s="1"/>
  <c r="AI287" i="9"/>
  <c r="AG287" i="9"/>
  <c r="P287" i="9"/>
  <c r="O287" i="9"/>
  <c r="BS286" i="9"/>
  <c r="BM286" i="9"/>
  <c r="BL286" i="9"/>
  <c r="BH286" i="9"/>
  <c r="BG286" i="9"/>
  <c r="AT286" i="9"/>
  <c r="AQ286" i="9"/>
  <c r="AN286" i="9"/>
  <c r="AL286" i="9"/>
  <c r="AG286" i="9"/>
  <c r="AI286" i="9" s="1"/>
  <c r="P286" i="9"/>
  <c r="O286" i="9"/>
  <c r="BS285" i="9"/>
  <c r="BM285" i="9"/>
  <c r="BL285" i="9"/>
  <c r="BH285" i="9"/>
  <c r="BG285" i="9"/>
  <c r="AQ285" i="9"/>
  <c r="AL285" i="9"/>
  <c r="AN285" i="9" s="1"/>
  <c r="AG285" i="9"/>
  <c r="P285" i="9"/>
  <c r="O285" i="9"/>
  <c r="BS284" i="9"/>
  <c r="BM284" i="9"/>
  <c r="BL284" i="9"/>
  <c r="BH284" i="9"/>
  <c r="BG284" i="9"/>
  <c r="AT284" i="9"/>
  <c r="AS284" i="9"/>
  <c r="AR284" i="9"/>
  <c r="AQ284" i="9"/>
  <c r="AN284" i="9"/>
  <c r="AL284" i="9"/>
  <c r="AG284" i="9"/>
  <c r="AI284" i="9" s="1"/>
  <c r="P284" i="9"/>
  <c r="O284" i="9"/>
  <c r="BS283" i="9"/>
  <c r="BM283" i="9"/>
  <c r="BL283" i="9"/>
  <c r="BH283" i="9"/>
  <c r="BG283" i="9"/>
  <c r="AQ283" i="9"/>
  <c r="AL283" i="9"/>
  <c r="AN283" i="9" s="1"/>
  <c r="AI283" i="9"/>
  <c r="AG283" i="9"/>
  <c r="P283" i="9"/>
  <c r="O283" i="9"/>
  <c r="BS282" i="9"/>
  <c r="BM282" i="9"/>
  <c r="BL282" i="9"/>
  <c r="BH282" i="9"/>
  <c r="BG282" i="9"/>
  <c r="AT282" i="9"/>
  <c r="AQ282" i="9"/>
  <c r="AN282" i="9"/>
  <c r="AL282" i="9"/>
  <c r="AG282" i="9"/>
  <c r="AI282" i="9" s="1"/>
  <c r="AS282" i="9" s="1"/>
  <c r="P282" i="9"/>
  <c r="O282" i="9"/>
  <c r="BS281" i="9"/>
  <c r="BM281" i="9"/>
  <c r="BL281" i="9"/>
  <c r="BH281" i="9"/>
  <c r="BG281" i="9"/>
  <c r="AQ281" i="9"/>
  <c r="AL281" i="9"/>
  <c r="AN281" i="9" s="1"/>
  <c r="AG281" i="9"/>
  <c r="P281" i="9"/>
  <c r="O281" i="9"/>
  <c r="BS280" i="9"/>
  <c r="BM280" i="9"/>
  <c r="BL280" i="9"/>
  <c r="BH280" i="9"/>
  <c r="BG280" i="9"/>
  <c r="AT280" i="9"/>
  <c r="AS280" i="9"/>
  <c r="AR280" i="9"/>
  <c r="AQ280" i="9"/>
  <c r="AN280" i="9"/>
  <c r="AL280" i="9"/>
  <c r="AG280" i="9"/>
  <c r="AI280" i="9" s="1"/>
  <c r="P280" i="9"/>
  <c r="O280" i="9"/>
  <c r="BS279" i="9"/>
  <c r="BM279" i="9"/>
  <c r="BL279" i="9"/>
  <c r="BH279" i="9"/>
  <c r="BG279" i="9"/>
  <c r="AQ279" i="9"/>
  <c r="AL279" i="9"/>
  <c r="AN279" i="9" s="1"/>
  <c r="AI279" i="9"/>
  <c r="AG279" i="9"/>
  <c r="P279" i="9"/>
  <c r="O279" i="9"/>
  <c r="BS278" i="9"/>
  <c r="BM278" i="9"/>
  <c r="BL278" i="9"/>
  <c r="BH278" i="9"/>
  <c r="BG278" i="9"/>
  <c r="AT278" i="9"/>
  <c r="AQ278" i="9"/>
  <c r="AN278" i="9"/>
  <c r="AL278" i="9"/>
  <c r="AG278" i="9"/>
  <c r="AI278" i="9" s="1"/>
  <c r="AS278" i="9" s="1"/>
  <c r="P278" i="9"/>
  <c r="O278" i="9"/>
  <c r="BS277" i="9"/>
  <c r="BM277" i="9"/>
  <c r="BL277" i="9"/>
  <c r="BH277" i="9"/>
  <c r="BG277" i="9"/>
  <c r="AQ277" i="9"/>
  <c r="AL277" i="9"/>
  <c r="AN277" i="9" s="1"/>
  <c r="AG277" i="9"/>
  <c r="P277" i="9"/>
  <c r="O277" i="9"/>
  <c r="BS276" i="9"/>
  <c r="BM276" i="9"/>
  <c r="BL276" i="9"/>
  <c r="BH276" i="9"/>
  <c r="BG276" i="9"/>
  <c r="AT276" i="9"/>
  <c r="AS276" i="9"/>
  <c r="AR276" i="9"/>
  <c r="AQ276" i="9"/>
  <c r="AN276" i="9"/>
  <c r="AL276" i="9"/>
  <c r="AG276" i="9"/>
  <c r="AI276" i="9" s="1"/>
  <c r="P276" i="9"/>
  <c r="O276" i="9"/>
  <c r="BS275" i="9"/>
  <c r="BM275" i="9"/>
  <c r="BL275" i="9"/>
  <c r="BH275" i="9"/>
  <c r="BG275" i="9"/>
  <c r="AQ275" i="9"/>
  <c r="AL275" i="9"/>
  <c r="AN275" i="9" s="1"/>
  <c r="AI275" i="9"/>
  <c r="AG275" i="9"/>
  <c r="P275" i="9"/>
  <c r="O275" i="9"/>
  <c r="BS274" i="9"/>
  <c r="BM274" i="9"/>
  <c r="BL274" i="9"/>
  <c r="BH274" i="9"/>
  <c r="BG274" i="9"/>
  <c r="AT274" i="9"/>
  <c r="AQ274" i="9"/>
  <c r="AN274" i="9"/>
  <c r="AL274" i="9"/>
  <c r="AG274" i="9"/>
  <c r="AI274" i="9" s="1"/>
  <c r="P274" i="9"/>
  <c r="O274" i="9"/>
  <c r="BS273" i="9"/>
  <c r="BM273" i="9"/>
  <c r="BL273" i="9"/>
  <c r="BH273" i="9"/>
  <c r="BG273" i="9"/>
  <c r="AQ273" i="9"/>
  <c r="AL273" i="9"/>
  <c r="AN273" i="9" s="1"/>
  <c r="AG273" i="9"/>
  <c r="P273" i="9"/>
  <c r="O273" i="9"/>
  <c r="BS272" i="9"/>
  <c r="BM272" i="9"/>
  <c r="BL272" i="9"/>
  <c r="BH272" i="9"/>
  <c r="BG272" i="9"/>
  <c r="AT272" i="9"/>
  <c r="AS272" i="9"/>
  <c r="AR272" i="9"/>
  <c r="AQ272" i="9"/>
  <c r="AN272" i="9"/>
  <c r="AL272" i="9"/>
  <c r="AG272" i="9"/>
  <c r="AI272" i="9" s="1"/>
  <c r="P272" i="9"/>
  <c r="O272" i="9"/>
  <c r="BS271" i="9"/>
  <c r="BM271" i="9"/>
  <c r="BL271" i="9"/>
  <c r="BH271" i="9"/>
  <c r="BG271" i="9"/>
  <c r="AQ271" i="9"/>
  <c r="AL271" i="9"/>
  <c r="AN271" i="9" s="1"/>
  <c r="AG271" i="9"/>
  <c r="AI271" i="9" s="1"/>
  <c r="P271" i="9"/>
  <c r="O271" i="9"/>
  <c r="BS270" i="9"/>
  <c r="BM270" i="9"/>
  <c r="BL270" i="9"/>
  <c r="BH270" i="9"/>
  <c r="BG270" i="9"/>
  <c r="AQ270" i="9"/>
  <c r="AL270" i="9"/>
  <c r="AT270" i="9" s="1"/>
  <c r="AG270" i="9"/>
  <c r="AI270" i="9" s="1"/>
  <c r="P270" i="9"/>
  <c r="O270" i="9"/>
  <c r="BS269" i="9"/>
  <c r="BM269" i="9"/>
  <c r="BL269" i="9"/>
  <c r="BH269" i="9"/>
  <c r="BG269" i="9"/>
  <c r="AQ269" i="9"/>
  <c r="AL269" i="9"/>
  <c r="AI269" i="9"/>
  <c r="AG269" i="9"/>
  <c r="P269" i="9"/>
  <c r="O269" i="9"/>
  <c r="BS268" i="9"/>
  <c r="BM268" i="9"/>
  <c r="BL268" i="9"/>
  <c r="BH268" i="9"/>
  <c r="BG268" i="9"/>
  <c r="AT268" i="9"/>
  <c r="AS268" i="9"/>
  <c r="AQ268" i="9"/>
  <c r="AN268" i="9"/>
  <c r="AR268" i="9" s="1"/>
  <c r="AL268" i="9"/>
  <c r="AG268" i="9"/>
  <c r="AI268" i="9" s="1"/>
  <c r="P268" i="9"/>
  <c r="O268" i="9"/>
  <c r="BS267" i="9"/>
  <c r="BM267" i="9"/>
  <c r="BL267" i="9"/>
  <c r="BH267" i="9"/>
  <c r="BG267" i="9"/>
  <c r="AQ267" i="9"/>
  <c r="AL267" i="9"/>
  <c r="AN267" i="9" s="1"/>
  <c r="AI267" i="9"/>
  <c r="AG267" i="9"/>
  <c r="AT267" i="9" s="1"/>
  <c r="P267" i="9"/>
  <c r="O267" i="9"/>
  <c r="BS266" i="9"/>
  <c r="BM266" i="9"/>
  <c r="BL266" i="9"/>
  <c r="BH266" i="9"/>
  <c r="BG266" i="9"/>
  <c r="AS266" i="9"/>
  <c r="AQ266" i="9"/>
  <c r="AN266" i="9"/>
  <c r="AR266" i="9" s="1"/>
  <c r="AL266" i="9"/>
  <c r="AT266" i="9" s="1"/>
  <c r="AG266" i="9"/>
  <c r="AI266" i="9" s="1"/>
  <c r="P266" i="9"/>
  <c r="O266" i="9"/>
  <c r="BS265" i="9"/>
  <c r="BM265" i="9"/>
  <c r="BL265" i="9"/>
  <c r="BH265" i="9"/>
  <c r="BG265" i="9"/>
  <c r="AT265" i="9"/>
  <c r="AQ265" i="9"/>
  <c r="AL265" i="9"/>
  <c r="AN265" i="9" s="1"/>
  <c r="AG265" i="9"/>
  <c r="AI265" i="9" s="1"/>
  <c r="P265" i="9"/>
  <c r="O265" i="9"/>
  <c r="BS264" i="9"/>
  <c r="BM264" i="9"/>
  <c r="BL264" i="9"/>
  <c r="BH264" i="9"/>
  <c r="BG264" i="9"/>
  <c r="AQ264" i="9"/>
  <c r="AL264" i="9"/>
  <c r="AG264" i="9"/>
  <c r="AI264" i="9" s="1"/>
  <c r="P264" i="9"/>
  <c r="O264" i="9"/>
  <c r="BS263" i="9"/>
  <c r="BM263" i="9"/>
  <c r="BL263" i="9"/>
  <c r="BH263" i="9"/>
  <c r="BG263" i="9"/>
  <c r="AQ263" i="9"/>
  <c r="AL263" i="9"/>
  <c r="AN263" i="9" s="1"/>
  <c r="AG263" i="9"/>
  <c r="P263" i="9"/>
  <c r="O263" i="9"/>
  <c r="BS262" i="9"/>
  <c r="BM262" i="9"/>
  <c r="BL262" i="9"/>
  <c r="BH262" i="9"/>
  <c r="BG262" i="9"/>
  <c r="AT262" i="9"/>
  <c r="AQ262" i="9"/>
  <c r="AL262" i="9"/>
  <c r="AN262" i="9" s="1"/>
  <c r="AG262" i="9"/>
  <c r="AI262" i="9" s="1"/>
  <c r="P262" i="9"/>
  <c r="O262" i="9"/>
  <c r="BS261" i="9"/>
  <c r="BM261" i="9"/>
  <c r="BL261" i="9"/>
  <c r="BH261" i="9"/>
  <c r="BG261" i="9"/>
  <c r="AQ261" i="9"/>
  <c r="AL261" i="9"/>
  <c r="AN261" i="9" s="1"/>
  <c r="AG261" i="9"/>
  <c r="AI261" i="9" s="1"/>
  <c r="P261" i="9"/>
  <c r="O261" i="9"/>
  <c r="BS260" i="9"/>
  <c r="BM260" i="9"/>
  <c r="BL260" i="9"/>
  <c r="BH260" i="9"/>
  <c r="BG260" i="9"/>
  <c r="AQ260" i="9"/>
  <c r="AL260" i="9"/>
  <c r="AG260" i="9"/>
  <c r="AI260" i="9" s="1"/>
  <c r="P260" i="9"/>
  <c r="O260" i="9"/>
  <c r="BS259" i="9"/>
  <c r="BM259" i="9"/>
  <c r="BL259" i="9"/>
  <c r="BH259" i="9"/>
  <c r="BG259" i="9"/>
  <c r="AQ259" i="9"/>
  <c r="AL259" i="9"/>
  <c r="AI259" i="9"/>
  <c r="AG259" i="9"/>
  <c r="P259" i="9"/>
  <c r="O259" i="9"/>
  <c r="BS258" i="9"/>
  <c r="BM258" i="9"/>
  <c r="BL258" i="9"/>
  <c r="BH258" i="9"/>
  <c r="BG258" i="9"/>
  <c r="AT258" i="9"/>
  <c r="AS258" i="9"/>
  <c r="AQ258" i="9"/>
  <c r="AN258" i="9"/>
  <c r="AR258" i="9" s="1"/>
  <c r="AL258" i="9"/>
  <c r="AG258" i="9"/>
  <c r="AI258" i="9" s="1"/>
  <c r="P258" i="9"/>
  <c r="O258" i="9"/>
  <c r="BS257" i="9"/>
  <c r="BM257" i="9"/>
  <c r="BL257" i="9"/>
  <c r="BH257" i="9"/>
  <c r="BG257" i="9"/>
  <c r="AQ257" i="9"/>
  <c r="AL257" i="9"/>
  <c r="AN257" i="9" s="1"/>
  <c r="AI257" i="9"/>
  <c r="AG257" i="9"/>
  <c r="AT257" i="9" s="1"/>
  <c r="P257" i="9"/>
  <c r="O257" i="9"/>
  <c r="BS256" i="9"/>
  <c r="BM256" i="9"/>
  <c r="BL256" i="9"/>
  <c r="BH256" i="9"/>
  <c r="BG256" i="9"/>
  <c r="AS256" i="9"/>
  <c r="AQ256" i="9"/>
  <c r="AN256" i="9"/>
  <c r="AR256" i="9" s="1"/>
  <c r="AL256" i="9"/>
  <c r="AT256" i="9" s="1"/>
  <c r="AG256" i="9"/>
  <c r="AI256" i="9" s="1"/>
  <c r="P256" i="9"/>
  <c r="O256" i="9"/>
  <c r="BS255" i="9"/>
  <c r="BM255" i="9"/>
  <c r="BL255" i="9"/>
  <c r="BH255" i="9"/>
  <c r="BG255" i="9"/>
  <c r="AT255" i="9"/>
  <c r="AQ255" i="9"/>
  <c r="AL255" i="9"/>
  <c r="AN255" i="9" s="1"/>
  <c r="AG255" i="9"/>
  <c r="AI255" i="9" s="1"/>
  <c r="P255" i="9"/>
  <c r="O255" i="9"/>
  <c r="BS254" i="9"/>
  <c r="BM254" i="9"/>
  <c r="BL254" i="9"/>
  <c r="BH254" i="9"/>
  <c r="BG254" i="9"/>
  <c r="AQ254" i="9"/>
  <c r="AL254" i="9"/>
  <c r="AG254" i="9"/>
  <c r="AI254" i="9" s="1"/>
  <c r="P254" i="9"/>
  <c r="O254" i="9"/>
  <c r="BS253" i="9"/>
  <c r="BM253" i="9"/>
  <c r="BL253" i="9"/>
  <c r="BH253" i="9"/>
  <c r="BG253" i="9"/>
  <c r="AQ253" i="9"/>
  <c r="AL253" i="9"/>
  <c r="AN253" i="9" s="1"/>
  <c r="AI253" i="9"/>
  <c r="AG253" i="9"/>
  <c r="P253" i="9"/>
  <c r="O253" i="9"/>
  <c r="BS252" i="9"/>
  <c r="BM252" i="9"/>
  <c r="BL252" i="9"/>
  <c r="BH252" i="9"/>
  <c r="BG252" i="9"/>
  <c r="AT252" i="9"/>
  <c r="AS252" i="9"/>
  <c r="AQ252" i="9"/>
  <c r="AL252" i="9"/>
  <c r="AN252" i="9" s="1"/>
  <c r="AR252" i="9" s="1"/>
  <c r="AG252" i="9"/>
  <c r="AI252" i="9" s="1"/>
  <c r="P252" i="9"/>
  <c r="O252" i="9"/>
  <c r="BS251" i="9"/>
  <c r="BM251" i="9"/>
  <c r="BL251" i="9"/>
  <c r="BH251" i="9"/>
  <c r="BG251" i="9"/>
  <c r="AQ251" i="9"/>
  <c r="AL251" i="9"/>
  <c r="AN251" i="9" s="1"/>
  <c r="AI251" i="9"/>
  <c r="AG251" i="9"/>
  <c r="AT251" i="9" s="1"/>
  <c r="P251" i="9"/>
  <c r="O251" i="9"/>
  <c r="BS250" i="9"/>
  <c r="BM250" i="9"/>
  <c r="BL250" i="9"/>
  <c r="BH250" i="9"/>
  <c r="BG250" i="9"/>
  <c r="AQ250" i="9"/>
  <c r="AN250" i="9"/>
  <c r="AL250" i="9"/>
  <c r="AG250" i="9"/>
  <c r="AI250" i="9" s="1"/>
  <c r="P250" i="9"/>
  <c r="O250" i="9"/>
  <c r="BS249" i="9"/>
  <c r="BM249" i="9"/>
  <c r="BL249" i="9"/>
  <c r="BH249" i="9"/>
  <c r="BG249" i="9"/>
  <c r="AT249" i="9"/>
  <c r="AR249" i="9"/>
  <c r="AQ249" i="9"/>
  <c r="AL249" i="9"/>
  <c r="AN249" i="9" s="1"/>
  <c r="AI249" i="9"/>
  <c r="AS249" i="9" s="1"/>
  <c r="AG249" i="9"/>
  <c r="P249" i="9"/>
  <c r="O249" i="9"/>
  <c r="BS248" i="9"/>
  <c r="BM248" i="9"/>
  <c r="BL248" i="9"/>
  <c r="BH248" i="9"/>
  <c r="BG248" i="9"/>
  <c r="AQ248" i="9"/>
  <c r="AN248" i="9"/>
  <c r="AL248" i="9"/>
  <c r="AG248" i="9"/>
  <c r="P248" i="9"/>
  <c r="O248" i="9"/>
  <c r="BS247" i="9"/>
  <c r="BM247" i="9"/>
  <c r="BL247" i="9"/>
  <c r="BH247" i="9"/>
  <c r="BG247" i="9"/>
  <c r="AQ247" i="9"/>
  <c r="AT247" i="9" s="1"/>
  <c r="AL247" i="9"/>
  <c r="AN247" i="9" s="1"/>
  <c r="AI247" i="9"/>
  <c r="AG247" i="9"/>
  <c r="P247" i="9"/>
  <c r="O247" i="9"/>
  <c r="BS246" i="9"/>
  <c r="BM246" i="9"/>
  <c r="BL246" i="9"/>
  <c r="BH246" i="9"/>
  <c r="BG246" i="9"/>
  <c r="AT246" i="9"/>
  <c r="AS246" i="9"/>
  <c r="AQ246" i="9"/>
  <c r="AN246" i="9"/>
  <c r="AR246" i="9" s="1"/>
  <c r="AL246" i="9"/>
  <c r="AG246" i="9"/>
  <c r="AI246" i="9" s="1"/>
  <c r="P246" i="9"/>
  <c r="O246" i="9"/>
  <c r="BS245" i="9"/>
  <c r="BM245" i="9"/>
  <c r="BL245" i="9"/>
  <c r="BH245" i="9"/>
  <c r="BG245" i="9"/>
  <c r="AQ245" i="9"/>
  <c r="AL245" i="9"/>
  <c r="AN245" i="9" s="1"/>
  <c r="AG245" i="9"/>
  <c r="P245" i="9"/>
  <c r="O245" i="9"/>
  <c r="BS244" i="9"/>
  <c r="BM244" i="9"/>
  <c r="BL244" i="9"/>
  <c r="BH244" i="9"/>
  <c r="BG244" i="9"/>
  <c r="AT244" i="9"/>
  <c r="AR244" i="9"/>
  <c r="AQ244" i="9"/>
  <c r="AN244" i="9"/>
  <c r="AS244" i="9" s="1"/>
  <c r="AL244" i="9"/>
  <c r="AG244" i="9"/>
  <c r="AI244" i="9" s="1"/>
  <c r="P244" i="9"/>
  <c r="O244" i="9"/>
  <c r="BS243" i="9"/>
  <c r="BM243" i="9"/>
  <c r="BL243" i="9"/>
  <c r="BH243" i="9"/>
  <c r="BG243" i="9"/>
  <c r="AT243" i="9"/>
  <c r="AQ243" i="9"/>
  <c r="AL243" i="9"/>
  <c r="AN243" i="9" s="1"/>
  <c r="AG243" i="9"/>
  <c r="AI243" i="9" s="1"/>
  <c r="P243" i="9"/>
  <c r="O243" i="9"/>
  <c r="BS242" i="9"/>
  <c r="BM242" i="9"/>
  <c r="BL242" i="9"/>
  <c r="BH242" i="9"/>
  <c r="BG242" i="9"/>
  <c r="AQ242" i="9"/>
  <c r="AL242" i="9"/>
  <c r="AN242" i="9" s="1"/>
  <c r="AG242" i="9"/>
  <c r="P242" i="9"/>
  <c r="O242" i="9"/>
  <c r="BS241" i="9"/>
  <c r="BM241" i="9"/>
  <c r="BL241" i="9"/>
  <c r="BH241" i="9"/>
  <c r="BG241" i="9"/>
  <c r="AQ241" i="9"/>
  <c r="AL241" i="9"/>
  <c r="AN241" i="9" s="1"/>
  <c r="AR241" i="9" s="1"/>
  <c r="AG241" i="9"/>
  <c r="AI241" i="9" s="1"/>
  <c r="P241" i="9"/>
  <c r="O241" i="9"/>
  <c r="BS240" i="9"/>
  <c r="BM240" i="9"/>
  <c r="BL240" i="9"/>
  <c r="BH240" i="9"/>
  <c r="BG240" i="9"/>
  <c r="AT240" i="9"/>
  <c r="AQ240" i="9"/>
  <c r="AL240" i="9"/>
  <c r="AN240" i="9" s="1"/>
  <c r="AG240" i="9"/>
  <c r="AI240" i="9" s="1"/>
  <c r="P240" i="9"/>
  <c r="O240" i="9"/>
  <c r="BS239" i="9"/>
  <c r="BM239" i="9"/>
  <c r="BL239" i="9"/>
  <c r="BH239" i="9"/>
  <c r="BG239" i="9"/>
  <c r="AQ239" i="9"/>
  <c r="AL239" i="9"/>
  <c r="AN239" i="9" s="1"/>
  <c r="AG239" i="9"/>
  <c r="P239" i="9"/>
  <c r="O239" i="9"/>
  <c r="BS238" i="9"/>
  <c r="BM238" i="9"/>
  <c r="BL238" i="9"/>
  <c r="BH238" i="9"/>
  <c r="BG238" i="9"/>
  <c r="AT238" i="9"/>
  <c r="AQ238" i="9"/>
  <c r="AL238" i="9"/>
  <c r="AN238" i="9" s="1"/>
  <c r="AG238" i="9"/>
  <c r="AI238" i="9" s="1"/>
  <c r="P238" i="9"/>
  <c r="O238" i="9"/>
  <c r="BS237" i="9"/>
  <c r="BM237" i="9"/>
  <c r="BL237" i="9"/>
  <c r="BH237" i="9"/>
  <c r="BG237" i="9"/>
  <c r="AQ237" i="9"/>
  <c r="AL237" i="9"/>
  <c r="AN237" i="9" s="1"/>
  <c r="AG237" i="9"/>
  <c r="P237" i="9"/>
  <c r="O237" i="9"/>
  <c r="BS236" i="9"/>
  <c r="BM236" i="9"/>
  <c r="BL236" i="9"/>
  <c r="BH236" i="9"/>
  <c r="BG236" i="9"/>
  <c r="AQ236" i="9"/>
  <c r="AN236" i="9"/>
  <c r="AL236" i="9"/>
  <c r="AG236" i="9"/>
  <c r="P236" i="9"/>
  <c r="O236" i="9"/>
  <c r="BS235" i="9"/>
  <c r="BM235" i="9"/>
  <c r="BL235" i="9"/>
  <c r="BH235" i="9"/>
  <c r="BG235" i="9"/>
  <c r="AT235" i="9"/>
  <c r="AS235" i="9"/>
  <c r="AR235" i="9"/>
  <c r="AQ235" i="9"/>
  <c r="AL235" i="9"/>
  <c r="AN235" i="9" s="1"/>
  <c r="AI235" i="9"/>
  <c r="AG235" i="9"/>
  <c r="P235" i="9"/>
  <c r="O235" i="9"/>
  <c r="BS234" i="9"/>
  <c r="BM234" i="9"/>
  <c r="BL234" i="9"/>
  <c r="BH234" i="9"/>
  <c r="BG234" i="9"/>
  <c r="AQ234" i="9"/>
  <c r="AN234" i="9"/>
  <c r="AL234" i="9"/>
  <c r="AG234" i="9"/>
  <c r="AT234" i="9" s="1"/>
  <c r="P234" i="9"/>
  <c r="O234" i="9"/>
  <c r="BS233" i="9"/>
  <c r="BM233" i="9"/>
  <c r="BL233" i="9"/>
  <c r="BH233" i="9"/>
  <c r="BG233" i="9"/>
  <c r="AQ233" i="9"/>
  <c r="AT233" i="9" s="1"/>
  <c r="AL233" i="9"/>
  <c r="AN233" i="9" s="1"/>
  <c r="AG233" i="9"/>
  <c r="AI233" i="9" s="1"/>
  <c r="AS233" i="9" s="1"/>
  <c r="P233" i="9"/>
  <c r="O233" i="9"/>
  <c r="BS232" i="9"/>
  <c r="BM232" i="9"/>
  <c r="BL232" i="9"/>
  <c r="BH232" i="9"/>
  <c r="BG232" i="9"/>
  <c r="AQ232" i="9"/>
  <c r="AL232" i="9"/>
  <c r="AN232" i="9" s="1"/>
  <c r="AG232" i="9"/>
  <c r="P232" i="9"/>
  <c r="O232" i="9"/>
  <c r="BS231" i="9"/>
  <c r="BM231" i="9"/>
  <c r="BL231" i="9"/>
  <c r="BH231" i="9"/>
  <c r="BG231" i="9"/>
  <c r="AT231" i="9"/>
  <c r="AR231" i="9"/>
  <c r="AQ231" i="9"/>
  <c r="AL231" i="9"/>
  <c r="AN231" i="9" s="1"/>
  <c r="AG231" i="9"/>
  <c r="AI231" i="9" s="1"/>
  <c r="AS231" i="9" s="1"/>
  <c r="P231" i="9"/>
  <c r="O231" i="9"/>
  <c r="BS230" i="9"/>
  <c r="BM230" i="9"/>
  <c r="BL230" i="9"/>
  <c r="BH230" i="9"/>
  <c r="BG230" i="9"/>
  <c r="AT230" i="9"/>
  <c r="AQ230" i="9"/>
  <c r="AL230" i="9"/>
  <c r="AN230" i="9" s="1"/>
  <c r="AI230" i="9"/>
  <c r="AG230" i="9"/>
  <c r="P230" i="9"/>
  <c r="O230" i="9"/>
  <c r="BS229" i="9"/>
  <c r="BM229" i="9"/>
  <c r="BL229" i="9"/>
  <c r="BH229" i="9"/>
  <c r="BG229" i="9"/>
  <c r="AQ229" i="9"/>
  <c r="AN229" i="9"/>
  <c r="AS229" i="9" s="1"/>
  <c r="AL229" i="9"/>
  <c r="AG229" i="9"/>
  <c r="AI229" i="9" s="1"/>
  <c r="P229" i="9"/>
  <c r="O229" i="9"/>
  <c r="BS228" i="9"/>
  <c r="BM228" i="9"/>
  <c r="BL228" i="9"/>
  <c r="BH228" i="9"/>
  <c r="BG228" i="9"/>
  <c r="AT228" i="9"/>
  <c r="AQ228" i="9"/>
  <c r="AL228" i="9"/>
  <c r="AN228" i="9" s="1"/>
  <c r="AI228" i="9"/>
  <c r="AG228" i="9"/>
  <c r="P228" i="9"/>
  <c r="O228" i="9"/>
  <c r="BS227" i="9"/>
  <c r="BM227" i="9"/>
  <c r="BL227" i="9"/>
  <c r="BH227" i="9"/>
  <c r="BG227" i="9"/>
  <c r="AQ227" i="9"/>
  <c r="AL227" i="9"/>
  <c r="AN227" i="9" s="1"/>
  <c r="AG227" i="9"/>
  <c r="AI227" i="9" s="1"/>
  <c r="P227" i="9"/>
  <c r="O227" i="9"/>
  <c r="BS226" i="9"/>
  <c r="BM226" i="9"/>
  <c r="BL226" i="9"/>
  <c r="BH226" i="9"/>
  <c r="BG226" i="9"/>
  <c r="AT226" i="9"/>
  <c r="AQ226" i="9"/>
  <c r="AL226" i="9"/>
  <c r="AN226" i="9" s="1"/>
  <c r="AI226" i="9"/>
  <c r="AG226" i="9"/>
  <c r="P226" i="9"/>
  <c r="O226" i="9"/>
  <c r="BS225" i="9"/>
  <c r="BM225" i="9"/>
  <c r="BL225" i="9"/>
  <c r="BH225" i="9"/>
  <c r="BG225" i="9"/>
  <c r="AQ225" i="9"/>
  <c r="AL225" i="9"/>
  <c r="AN225" i="9" s="1"/>
  <c r="AG225" i="9"/>
  <c r="AI225" i="9" s="1"/>
  <c r="P225" i="9"/>
  <c r="O225" i="9"/>
  <c r="BS224" i="9"/>
  <c r="BM224" i="9"/>
  <c r="BL224" i="9"/>
  <c r="BH224" i="9"/>
  <c r="BG224" i="9"/>
  <c r="AT224" i="9"/>
  <c r="AQ224" i="9"/>
  <c r="AL224" i="9"/>
  <c r="AN224" i="9" s="1"/>
  <c r="AI224" i="9"/>
  <c r="AG224" i="9"/>
  <c r="P224" i="9"/>
  <c r="O224" i="9"/>
  <c r="BS223" i="9"/>
  <c r="BM223" i="9"/>
  <c r="BL223" i="9"/>
  <c r="BH223" i="9"/>
  <c r="BG223" i="9"/>
  <c r="AQ223" i="9"/>
  <c r="AL223" i="9"/>
  <c r="AN223" i="9" s="1"/>
  <c r="AS223" i="9" s="1"/>
  <c r="AG223" i="9"/>
  <c r="AI223" i="9" s="1"/>
  <c r="P223" i="9"/>
  <c r="O223" i="9"/>
  <c r="BS222" i="9"/>
  <c r="BM222" i="9"/>
  <c r="BL222" i="9"/>
  <c r="BH222" i="9"/>
  <c r="BG222" i="9"/>
  <c r="AT222" i="9"/>
  <c r="AQ222" i="9"/>
  <c r="AL222" i="9"/>
  <c r="AN222" i="9" s="1"/>
  <c r="AI222" i="9"/>
  <c r="AG222" i="9"/>
  <c r="P222" i="9"/>
  <c r="O222" i="9"/>
  <c r="BS221" i="9"/>
  <c r="BM221" i="9"/>
  <c r="BL221" i="9"/>
  <c r="BH221" i="9"/>
  <c r="BG221" i="9"/>
  <c r="AQ221" i="9"/>
  <c r="AN221" i="9"/>
  <c r="AL221" i="9"/>
  <c r="AG221" i="9"/>
  <c r="AI221" i="9" s="1"/>
  <c r="P221" i="9"/>
  <c r="O221" i="9"/>
  <c r="BS220" i="9"/>
  <c r="BM220" i="9"/>
  <c r="BL220" i="9"/>
  <c r="BH220" i="9"/>
  <c r="BG220" i="9"/>
  <c r="AT220" i="9"/>
  <c r="AQ220" i="9"/>
  <c r="AN220" i="9"/>
  <c r="AL220" i="9"/>
  <c r="AI220" i="9"/>
  <c r="AG220" i="9"/>
  <c r="P220" i="9"/>
  <c r="O220" i="9"/>
  <c r="BS219" i="9"/>
  <c r="BM219" i="9"/>
  <c r="BL219" i="9"/>
  <c r="BH219" i="9"/>
  <c r="BG219" i="9"/>
  <c r="AQ219" i="9"/>
  <c r="AL219" i="9"/>
  <c r="AN219" i="9" s="1"/>
  <c r="AS219" i="9" s="1"/>
  <c r="AG219" i="9"/>
  <c r="AI219" i="9" s="1"/>
  <c r="P219" i="9"/>
  <c r="O219" i="9"/>
  <c r="BS218" i="9"/>
  <c r="BM218" i="9"/>
  <c r="BL218" i="9"/>
  <c r="BH218" i="9"/>
  <c r="BG218" i="9"/>
  <c r="AQ218" i="9"/>
  <c r="AN218" i="9"/>
  <c r="AL218" i="9"/>
  <c r="AI218" i="9"/>
  <c r="AG218" i="9"/>
  <c r="AT218" i="9" s="1"/>
  <c r="P218" i="9"/>
  <c r="O218" i="9"/>
  <c r="BS217" i="9"/>
  <c r="BM217" i="9"/>
  <c r="BL217" i="9"/>
  <c r="BH217" i="9"/>
  <c r="BG217" i="9"/>
  <c r="AS217" i="9"/>
  <c r="AQ217" i="9"/>
  <c r="AL217" i="9"/>
  <c r="AN217" i="9" s="1"/>
  <c r="AG217" i="9"/>
  <c r="AI217" i="9" s="1"/>
  <c r="P217" i="9"/>
  <c r="O217" i="9"/>
  <c r="BS216" i="9"/>
  <c r="BM216" i="9"/>
  <c r="BL216" i="9"/>
  <c r="BH216" i="9"/>
  <c r="BG216" i="9"/>
  <c r="AQ216" i="9"/>
  <c r="AT216" i="9" s="1"/>
  <c r="AN216" i="9"/>
  <c r="AL216" i="9"/>
  <c r="AG216" i="9"/>
  <c r="AI216" i="9" s="1"/>
  <c r="P216" i="9"/>
  <c r="O216" i="9"/>
  <c r="BS215" i="9"/>
  <c r="BM215" i="9"/>
  <c r="BL215" i="9"/>
  <c r="BH215" i="9"/>
  <c r="BG215" i="9"/>
  <c r="AQ215" i="9"/>
  <c r="AL215" i="9"/>
  <c r="AN215" i="9" s="1"/>
  <c r="AG215" i="9"/>
  <c r="AI215" i="9" s="1"/>
  <c r="P215" i="9"/>
  <c r="O215" i="9"/>
  <c r="BS214" i="9"/>
  <c r="BM214" i="9"/>
  <c r="BL214" i="9"/>
  <c r="BH214" i="9"/>
  <c r="BG214" i="9"/>
  <c r="AQ214" i="9"/>
  <c r="AN214" i="9"/>
  <c r="AL214" i="9"/>
  <c r="AG214" i="9"/>
  <c r="P214" i="9"/>
  <c r="O214" i="9"/>
  <c r="BS213" i="9"/>
  <c r="BM213" i="9"/>
  <c r="BL213" i="9"/>
  <c r="BH213" i="9"/>
  <c r="BG213" i="9"/>
  <c r="AQ213" i="9"/>
  <c r="AN213" i="9"/>
  <c r="AL213" i="9"/>
  <c r="AG213" i="9"/>
  <c r="AI213" i="9" s="1"/>
  <c r="P213" i="9"/>
  <c r="O213" i="9"/>
  <c r="BS212" i="9"/>
  <c r="BM212" i="9"/>
  <c r="BL212" i="9"/>
  <c r="BH212" i="9"/>
  <c r="BG212" i="9"/>
  <c r="AQ212" i="9"/>
  <c r="AN212" i="9"/>
  <c r="AL212" i="9"/>
  <c r="AG212" i="9"/>
  <c r="AI212" i="9" s="1"/>
  <c r="P212" i="9"/>
  <c r="O212" i="9"/>
  <c r="BS211" i="9"/>
  <c r="BM211" i="9"/>
  <c r="BL211" i="9"/>
  <c r="BH211" i="9"/>
  <c r="BG211" i="9"/>
  <c r="AQ211" i="9"/>
  <c r="AN211" i="9"/>
  <c r="AL211" i="9"/>
  <c r="AG211" i="9"/>
  <c r="AI211" i="9" s="1"/>
  <c r="AS211" i="9" s="1"/>
  <c r="P211" i="9"/>
  <c r="O211" i="9"/>
  <c r="BS210" i="9"/>
  <c r="BM210" i="9"/>
  <c r="BL210" i="9"/>
  <c r="BH210" i="9"/>
  <c r="BG210" i="9"/>
  <c r="AT210" i="9"/>
  <c r="AQ210" i="9"/>
  <c r="AN210" i="9"/>
  <c r="AL210" i="9"/>
  <c r="AI210" i="9"/>
  <c r="AG210" i="9"/>
  <c r="P210" i="9"/>
  <c r="O210" i="9"/>
  <c r="BS209" i="9"/>
  <c r="BM209" i="9"/>
  <c r="BL209" i="9"/>
  <c r="BH209" i="9"/>
  <c r="BG209" i="9"/>
  <c r="AS209" i="9"/>
  <c r="AR209" i="9"/>
  <c r="AQ209" i="9"/>
  <c r="AL209" i="9"/>
  <c r="AN209" i="9" s="1"/>
  <c r="AG209" i="9"/>
  <c r="AI209" i="9" s="1"/>
  <c r="P209" i="9"/>
  <c r="O209" i="9"/>
  <c r="BS208" i="9"/>
  <c r="BM208" i="9"/>
  <c r="BL208" i="9"/>
  <c r="BH208" i="9"/>
  <c r="BG208" i="9"/>
  <c r="AQ208" i="9"/>
  <c r="AN208" i="9"/>
  <c r="AL208" i="9"/>
  <c r="AI208" i="9"/>
  <c r="AG208" i="9"/>
  <c r="AT208" i="9" s="1"/>
  <c r="P208" i="9"/>
  <c r="O208" i="9"/>
  <c r="BS207" i="9"/>
  <c r="BM207" i="9"/>
  <c r="BL207" i="9"/>
  <c r="BH207" i="9"/>
  <c r="BG207" i="9"/>
  <c r="AQ207" i="9"/>
  <c r="AL207" i="9"/>
  <c r="AN207" i="9" s="1"/>
  <c r="AG207" i="9"/>
  <c r="AI207" i="9" s="1"/>
  <c r="AR207" i="9" s="1"/>
  <c r="P207" i="9"/>
  <c r="O207" i="9"/>
  <c r="BS206" i="9"/>
  <c r="BM206" i="9"/>
  <c r="BL206" i="9"/>
  <c r="BH206" i="9"/>
  <c r="BG206" i="9"/>
  <c r="AQ206" i="9"/>
  <c r="AT206" i="9" s="1"/>
  <c r="AN206" i="9"/>
  <c r="AL206" i="9"/>
  <c r="AG206" i="9"/>
  <c r="AI206" i="9" s="1"/>
  <c r="P206" i="9"/>
  <c r="O206" i="9"/>
  <c r="BS205" i="9"/>
  <c r="BM205" i="9"/>
  <c r="BL205" i="9"/>
  <c r="BH205" i="9"/>
  <c r="BG205" i="9"/>
  <c r="AQ205" i="9"/>
  <c r="AL205" i="9"/>
  <c r="AN205" i="9" s="1"/>
  <c r="AG205" i="9"/>
  <c r="AI205" i="9" s="1"/>
  <c r="P205" i="9"/>
  <c r="O205" i="9"/>
  <c r="BS204" i="9"/>
  <c r="BM204" i="9"/>
  <c r="BL204" i="9"/>
  <c r="BH204" i="9"/>
  <c r="BG204" i="9"/>
  <c r="AQ204" i="9"/>
  <c r="AN204" i="9"/>
  <c r="AL204" i="9"/>
  <c r="AG204" i="9"/>
  <c r="P204" i="9"/>
  <c r="O204" i="9"/>
  <c r="BS203" i="9"/>
  <c r="BM203" i="9"/>
  <c r="BL203" i="9"/>
  <c r="BH203" i="9"/>
  <c r="BG203" i="9"/>
  <c r="AQ203" i="9"/>
  <c r="AN203" i="9"/>
  <c r="AL203" i="9"/>
  <c r="AG203" i="9"/>
  <c r="AI203" i="9" s="1"/>
  <c r="P203" i="9"/>
  <c r="O203" i="9"/>
  <c r="BS202" i="9"/>
  <c r="BM202" i="9"/>
  <c r="BL202" i="9"/>
  <c r="BH202" i="9"/>
  <c r="BG202" i="9"/>
  <c r="AQ202" i="9"/>
  <c r="AN202" i="9"/>
  <c r="AL202" i="9"/>
  <c r="AG202" i="9"/>
  <c r="P202" i="9"/>
  <c r="O202" i="9"/>
  <c r="BS201" i="9"/>
  <c r="BM201" i="9"/>
  <c r="BL201" i="9"/>
  <c r="BH201" i="9"/>
  <c r="BG201" i="9"/>
  <c r="AQ201" i="9"/>
  <c r="AN201" i="9"/>
  <c r="AL201" i="9"/>
  <c r="AG201" i="9"/>
  <c r="AI201" i="9" s="1"/>
  <c r="AS201" i="9" s="1"/>
  <c r="P201" i="9"/>
  <c r="O201" i="9"/>
  <c r="BS200" i="9"/>
  <c r="BM200" i="9"/>
  <c r="BL200" i="9"/>
  <c r="BH200" i="9"/>
  <c r="BG200" i="9"/>
  <c r="AT200" i="9"/>
  <c r="AQ200" i="9"/>
  <c r="AN200" i="9"/>
  <c r="AL200" i="9"/>
  <c r="AI200" i="9"/>
  <c r="AG200" i="9"/>
  <c r="P200" i="9"/>
  <c r="O200" i="9"/>
  <c r="BS199" i="9"/>
  <c r="BM199" i="9"/>
  <c r="BL199" i="9"/>
  <c r="BH199" i="9"/>
  <c r="BG199" i="9"/>
  <c r="AQ199" i="9"/>
  <c r="AL199" i="9"/>
  <c r="AN199" i="9" s="1"/>
  <c r="AS199" i="9" s="1"/>
  <c r="AG199" i="9"/>
  <c r="AI199" i="9" s="1"/>
  <c r="P199" i="9"/>
  <c r="O199" i="9"/>
  <c r="BS198" i="9"/>
  <c r="BM198" i="9"/>
  <c r="BL198" i="9"/>
  <c r="BH198" i="9"/>
  <c r="BG198" i="9"/>
  <c r="AQ198" i="9"/>
  <c r="AN198" i="9"/>
  <c r="AL198" i="9"/>
  <c r="AI198" i="9"/>
  <c r="AG198" i="9"/>
  <c r="AT198" i="9" s="1"/>
  <c r="P198" i="9"/>
  <c r="O198" i="9"/>
  <c r="BS197" i="9"/>
  <c r="BM197" i="9"/>
  <c r="BL197" i="9"/>
  <c r="BH197" i="9"/>
  <c r="BG197" i="9"/>
  <c r="AQ197" i="9"/>
  <c r="AL197" i="9"/>
  <c r="AN197" i="9" s="1"/>
  <c r="AG197" i="9"/>
  <c r="AI197" i="9" s="1"/>
  <c r="P197" i="9"/>
  <c r="O197" i="9"/>
  <c r="BS196" i="9"/>
  <c r="BM196" i="9"/>
  <c r="BL196" i="9"/>
  <c r="BH196" i="9"/>
  <c r="BG196" i="9"/>
  <c r="AQ196" i="9"/>
  <c r="AT196" i="9" s="1"/>
  <c r="AN196" i="9"/>
  <c r="AL196" i="9"/>
  <c r="AG196" i="9"/>
  <c r="AI196" i="9" s="1"/>
  <c r="P196" i="9"/>
  <c r="O196" i="9"/>
  <c r="BS195" i="9"/>
  <c r="BM195" i="9"/>
  <c r="BL195" i="9"/>
  <c r="BH195" i="9"/>
  <c r="BG195" i="9"/>
  <c r="AQ195" i="9"/>
  <c r="AL195" i="9"/>
  <c r="AN195" i="9" s="1"/>
  <c r="AG195" i="9"/>
  <c r="AI195" i="9" s="1"/>
  <c r="P195" i="9"/>
  <c r="O195" i="9"/>
  <c r="BS194" i="9"/>
  <c r="BM194" i="9"/>
  <c r="BL194" i="9"/>
  <c r="BH194" i="9"/>
  <c r="BG194" i="9"/>
  <c r="AQ194" i="9"/>
  <c r="AN194" i="9"/>
  <c r="AL194" i="9"/>
  <c r="AG194" i="9"/>
  <c r="P194" i="9"/>
  <c r="O194" i="9"/>
  <c r="BS193" i="9"/>
  <c r="BM193" i="9"/>
  <c r="BL193" i="9"/>
  <c r="BH193" i="9"/>
  <c r="BG193" i="9"/>
  <c r="AQ193" i="9"/>
  <c r="AN193" i="9"/>
  <c r="AL193" i="9"/>
  <c r="AG193" i="9"/>
  <c r="AI193" i="9" s="1"/>
  <c r="P193" i="9"/>
  <c r="O193" i="9"/>
  <c r="BS192" i="9"/>
  <c r="BM192" i="9"/>
  <c r="BL192" i="9"/>
  <c r="BH192" i="9"/>
  <c r="BG192" i="9"/>
  <c r="AT192" i="9"/>
  <c r="AQ192" i="9"/>
  <c r="AN192" i="9"/>
  <c r="AL192" i="9"/>
  <c r="AG192" i="9"/>
  <c r="AI192" i="9" s="1"/>
  <c r="P192" i="9"/>
  <c r="O192" i="9"/>
  <c r="BS191" i="9"/>
  <c r="BM191" i="9"/>
  <c r="BL191" i="9"/>
  <c r="BH191" i="9"/>
  <c r="BG191" i="9"/>
  <c r="AQ191" i="9"/>
  <c r="AL191" i="9"/>
  <c r="AN191" i="9" s="1"/>
  <c r="AG191" i="9"/>
  <c r="AI191" i="9" s="1"/>
  <c r="AS191" i="9" s="1"/>
  <c r="P191" i="9"/>
  <c r="O191" i="9"/>
  <c r="BS190" i="9"/>
  <c r="BM190" i="9"/>
  <c r="BL190" i="9"/>
  <c r="BH190" i="9"/>
  <c r="BG190" i="9"/>
  <c r="AQ190" i="9"/>
  <c r="AT190" i="9" s="1"/>
  <c r="AN190" i="9"/>
  <c r="AL190" i="9"/>
  <c r="AI190" i="9"/>
  <c r="AG190" i="9"/>
  <c r="P190" i="9"/>
  <c r="O190" i="9"/>
  <c r="BS189" i="9"/>
  <c r="BM189" i="9"/>
  <c r="BL189" i="9"/>
  <c r="BH189" i="9"/>
  <c r="BG189" i="9"/>
  <c r="AQ189" i="9"/>
  <c r="AL189" i="9"/>
  <c r="AN189" i="9" s="1"/>
  <c r="AS189" i="9" s="1"/>
  <c r="AG189" i="9"/>
  <c r="AI189" i="9" s="1"/>
  <c r="P189" i="9"/>
  <c r="O189" i="9"/>
  <c r="BS188" i="9"/>
  <c r="BM188" i="9"/>
  <c r="BL188" i="9"/>
  <c r="BH188" i="9"/>
  <c r="BG188" i="9"/>
  <c r="AQ188" i="9"/>
  <c r="AN188" i="9"/>
  <c r="AL188" i="9"/>
  <c r="AG188" i="9"/>
  <c r="AT188" i="9" s="1"/>
  <c r="P188" i="9"/>
  <c r="O188" i="9"/>
  <c r="BS187" i="9"/>
  <c r="BM187" i="9"/>
  <c r="BL187" i="9"/>
  <c r="BH187" i="9"/>
  <c r="BG187" i="9"/>
  <c r="AQ187" i="9"/>
  <c r="AL187" i="9"/>
  <c r="AN187" i="9" s="1"/>
  <c r="AG187" i="9"/>
  <c r="AI187" i="9" s="1"/>
  <c r="P187" i="9"/>
  <c r="O187" i="9"/>
  <c r="BS186" i="9"/>
  <c r="BM186" i="9"/>
  <c r="BL186" i="9"/>
  <c r="BH186" i="9"/>
  <c r="BG186" i="9"/>
  <c r="AQ186" i="9"/>
  <c r="AT186" i="9" s="1"/>
  <c r="AN186" i="9"/>
  <c r="AL186" i="9"/>
  <c r="AG186" i="9"/>
  <c r="AI186" i="9" s="1"/>
  <c r="P186" i="9"/>
  <c r="O186" i="9"/>
  <c r="BS185" i="9"/>
  <c r="BM185" i="9"/>
  <c r="BL185" i="9"/>
  <c r="BH185" i="9"/>
  <c r="BG185" i="9"/>
  <c r="AQ185" i="9"/>
  <c r="AL185" i="9"/>
  <c r="AN185" i="9" s="1"/>
  <c r="AG185" i="9"/>
  <c r="AI185" i="9" s="1"/>
  <c r="P185" i="9"/>
  <c r="O185" i="9"/>
  <c r="BS184" i="9"/>
  <c r="BM184" i="9"/>
  <c r="BL184" i="9"/>
  <c r="BH184" i="9"/>
  <c r="BG184" i="9"/>
  <c r="AQ184" i="9"/>
  <c r="AN184" i="9"/>
  <c r="AL184" i="9"/>
  <c r="AG184" i="9"/>
  <c r="P184" i="9"/>
  <c r="O184" i="9"/>
  <c r="BS183" i="9"/>
  <c r="BM183" i="9"/>
  <c r="BL183" i="9"/>
  <c r="BH183" i="9"/>
  <c r="BG183" i="9"/>
  <c r="AQ183" i="9"/>
  <c r="AN183" i="9"/>
  <c r="AL183" i="9"/>
  <c r="AG183" i="9"/>
  <c r="AI183" i="9" s="1"/>
  <c r="P183" i="9"/>
  <c r="O183" i="9"/>
  <c r="BS182" i="9"/>
  <c r="BM182" i="9"/>
  <c r="BL182" i="9"/>
  <c r="BH182" i="9"/>
  <c r="BG182" i="9"/>
  <c r="AQ182" i="9"/>
  <c r="AN182" i="9"/>
  <c r="AL182" i="9"/>
  <c r="AG182" i="9"/>
  <c r="AI182" i="9" s="1"/>
  <c r="P182" i="9"/>
  <c r="O182" i="9"/>
  <c r="BS181" i="9"/>
  <c r="BM181" i="9"/>
  <c r="BL181" i="9"/>
  <c r="BH181" i="9"/>
  <c r="BG181" i="9"/>
  <c r="AQ181" i="9"/>
  <c r="AL181" i="9"/>
  <c r="AN181" i="9" s="1"/>
  <c r="AG181" i="9"/>
  <c r="AI181" i="9" s="1"/>
  <c r="AS181" i="9" s="1"/>
  <c r="P181" i="9"/>
  <c r="O181" i="9"/>
  <c r="BS180" i="9"/>
  <c r="BM180" i="9"/>
  <c r="BL180" i="9"/>
  <c r="BH180" i="9"/>
  <c r="BG180" i="9"/>
  <c r="AQ180" i="9"/>
  <c r="AT180" i="9" s="1"/>
  <c r="AN180" i="9"/>
  <c r="AL180" i="9"/>
  <c r="AI180" i="9"/>
  <c r="AG180" i="9"/>
  <c r="P180" i="9"/>
  <c r="O180" i="9"/>
  <c r="BS179" i="9"/>
  <c r="BM179" i="9"/>
  <c r="BL179" i="9"/>
  <c r="BH179" i="9"/>
  <c r="BG179" i="9"/>
  <c r="AQ179" i="9"/>
  <c r="AL179" i="9"/>
  <c r="AN179" i="9" s="1"/>
  <c r="AG179" i="9"/>
  <c r="AI179" i="9" s="1"/>
  <c r="P179" i="9"/>
  <c r="O179" i="9"/>
  <c r="BS178" i="9"/>
  <c r="BM178" i="9"/>
  <c r="BL178" i="9"/>
  <c r="BH178" i="9"/>
  <c r="BG178" i="9"/>
  <c r="AQ178" i="9"/>
  <c r="AN178" i="9"/>
  <c r="AL178" i="9"/>
  <c r="AG178" i="9"/>
  <c r="AT178" i="9" s="1"/>
  <c r="P178" i="9"/>
  <c r="O178" i="9"/>
  <c r="BS177" i="9"/>
  <c r="BM177" i="9"/>
  <c r="BL177" i="9"/>
  <c r="BH177" i="9"/>
  <c r="BG177" i="9"/>
  <c r="AQ177" i="9"/>
  <c r="AL177" i="9"/>
  <c r="AN177" i="9" s="1"/>
  <c r="AS177" i="9" s="1"/>
  <c r="AG177" i="9"/>
  <c r="AI177" i="9" s="1"/>
  <c r="P177" i="9"/>
  <c r="O177" i="9"/>
  <c r="BS176" i="9"/>
  <c r="BM176" i="9"/>
  <c r="BL176" i="9"/>
  <c r="BH176" i="9"/>
  <c r="BG176" i="9"/>
  <c r="AQ176" i="9"/>
  <c r="AT176" i="9" s="1"/>
  <c r="AN176" i="9"/>
  <c r="AL176" i="9"/>
  <c r="AG176" i="9"/>
  <c r="AI176" i="9" s="1"/>
  <c r="P176" i="9"/>
  <c r="O176" i="9"/>
  <c r="BS175" i="9"/>
  <c r="BM175" i="9"/>
  <c r="BL175" i="9"/>
  <c r="BH175" i="9"/>
  <c r="BG175" i="9"/>
  <c r="AQ175" i="9"/>
  <c r="AL175" i="9"/>
  <c r="AN175" i="9" s="1"/>
  <c r="AG175" i="9"/>
  <c r="AI175" i="9" s="1"/>
  <c r="P175" i="9"/>
  <c r="O175" i="9"/>
  <c r="BS174" i="9"/>
  <c r="BM174" i="9"/>
  <c r="BL174" i="9"/>
  <c r="BH174" i="9"/>
  <c r="BG174" i="9"/>
  <c r="AQ174" i="9"/>
  <c r="AN174" i="9"/>
  <c r="AL174" i="9"/>
  <c r="AG174" i="9"/>
  <c r="P174" i="9"/>
  <c r="O174" i="9"/>
  <c r="BS173" i="9"/>
  <c r="BM173" i="9"/>
  <c r="BL173" i="9"/>
  <c r="BH173" i="9"/>
  <c r="BG173" i="9"/>
  <c r="AQ173" i="9"/>
  <c r="AN173" i="9"/>
  <c r="AL173" i="9"/>
  <c r="AG173" i="9"/>
  <c r="AI173" i="9" s="1"/>
  <c r="P173" i="9"/>
  <c r="O173" i="9"/>
  <c r="BS172" i="9"/>
  <c r="BM172" i="9"/>
  <c r="BL172" i="9"/>
  <c r="BH172" i="9"/>
  <c r="BG172" i="9"/>
  <c r="AQ172" i="9"/>
  <c r="AN172" i="9"/>
  <c r="AL172" i="9"/>
  <c r="AG172" i="9"/>
  <c r="AI172" i="9" s="1"/>
  <c r="P172" i="9"/>
  <c r="O172" i="9"/>
  <c r="BS171" i="9"/>
  <c r="BM171" i="9"/>
  <c r="BL171" i="9"/>
  <c r="BH171" i="9"/>
  <c r="BG171" i="9"/>
  <c r="AQ171" i="9"/>
  <c r="AL171" i="9"/>
  <c r="AN171" i="9" s="1"/>
  <c r="AG171" i="9"/>
  <c r="AI171" i="9" s="1"/>
  <c r="P171" i="9"/>
  <c r="O171" i="9"/>
  <c r="BS170" i="9"/>
  <c r="BM170" i="9"/>
  <c r="BL170" i="9"/>
  <c r="BH170" i="9"/>
  <c r="BG170" i="9"/>
  <c r="AQ170" i="9"/>
  <c r="AT170" i="9" s="1"/>
  <c r="AN170" i="9"/>
  <c r="AL170" i="9"/>
  <c r="AI170" i="9"/>
  <c r="AG170" i="9"/>
  <c r="P170" i="9"/>
  <c r="O170" i="9"/>
  <c r="BS169" i="9"/>
  <c r="BM169" i="9"/>
  <c r="BL169" i="9"/>
  <c r="BH169" i="9"/>
  <c r="BG169" i="9"/>
  <c r="AQ169" i="9"/>
  <c r="AL169" i="9"/>
  <c r="AN169" i="9" s="1"/>
  <c r="AG169" i="9"/>
  <c r="AI169" i="9" s="1"/>
  <c r="P169" i="9"/>
  <c r="O169" i="9"/>
  <c r="BS168" i="9"/>
  <c r="BM168" i="9"/>
  <c r="BL168" i="9"/>
  <c r="BH168" i="9"/>
  <c r="BG168" i="9"/>
  <c r="AQ168" i="9"/>
  <c r="AN168" i="9"/>
  <c r="AL168" i="9"/>
  <c r="AG168" i="9"/>
  <c r="AT168" i="9" s="1"/>
  <c r="P168" i="9"/>
  <c r="O168" i="9"/>
  <c r="BS167" i="9"/>
  <c r="BM167" i="9"/>
  <c r="BL167" i="9"/>
  <c r="BH167" i="9"/>
  <c r="BG167" i="9"/>
  <c r="AS167" i="9"/>
  <c r="AQ167" i="9"/>
  <c r="AL167" i="9"/>
  <c r="AN167" i="9" s="1"/>
  <c r="AI167" i="9"/>
  <c r="AG167" i="9"/>
  <c r="P167" i="9"/>
  <c r="O167" i="9"/>
  <c r="BS166" i="9"/>
  <c r="BM166" i="9"/>
  <c r="BL166" i="9"/>
  <c r="BH166" i="9"/>
  <c r="BG166" i="9"/>
  <c r="AT166" i="9"/>
  <c r="AQ166" i="9"/>
  <c r="AN166" i="9"/>
  <c r="AL166" i="9"/>
  <c r="AI166" i="9"/>
  <c r="AR166" i="9" s="1"/>
  <c r="AG166" i="9"/>
  <c r="P166" i="9"/>
  <c r="O166" i="9"/>
  <c r="BS165" i="9"/>
  <c r="BM165" i="9"/>
  <c r="BL165" i="9"/>
  <c r="BH165" i="9"/>
  <c r="BG165" i="9"/>
  <c r="AQ165" i="9"/>
  <c r="AN165" i="9"/>
  <c r="AL165" i="9"/>
  <c r="AG165" i="9"/>
  <c r="AT165" i="9" s="1"/>
  <c r="P165" i="9"/>
  <c r="O165" i="9"/>
  <c r="BS164" i="9"/>
  <c r="BM164" i="9"/>
  <c r="BL164" i="9"/>
  <c r="BH164" i="9"/>
  <c r="BG164" i="9"/>
  <c r="AQ164" i="9"/>
  <c r="AN164" i="9"/>
  <c r="AL164" i="9"/>
  <c r="AG164" i="9"/>
  <c r="P164" i="9"/>
  <c r="O164" i="9"/>
  <c r="BS163" i="9"/>
  <c r="BM163" i="9"/>
  <c r="BL163" i="9"/>
  <c r="BH163" i="9"/>
  <c r="BG163" i="9"/>
  <c r="AQ163" i="9"/>
  <c r="AL163" i="9"/>
  <c r="AN163" i="9" s="1"/>
  <c r="AG163" i="9"/>
  <c r="P163" i="9"/>
  <c r="O163" i="9"/>
  <c r="BS162" i="9"/>
  <c r="BM162" i="9"/>
  <c r="BL162" i="9"/>
  <c r="BH162" i="9"/>
  <c r="BG162" i="9"/>
  <c r="AS162" i="9"/>
  <c r="AQ162" i="9"/>
  <c r="AT162" i="9" s="1"/>
  <c r="AN162" i="9"/>
  <c r="AL162" i="9"/>
  <c r="AI162" i="9"/>
  <c r="AG162" i="9"/>
  <c r="P162" i="9"/>
  <c r="O162" i="9"/>
  <c r="BS161" i="9"/>
  <c r="BM161" i="9"/>
  <c r="BL161" i="9"/>
  <c r="BH161" i="9"/>
  <c r="BG161" i="9"/>
  <c r="AQ161" i="9"/>
  <c r="AN161" i="9"/>
  <c r="AL161" i="9"/>
  <c r="AI161" i="9"/>
  <c r="AG161" i="9"/>
  <c r="AT161" i="9" s="1"/>
  <c r="P161" i="9"/>
  <c r="O161" i="9"/>
  <c r="BS160" i="9"/>
  <c r="BM160" i="9"/>
  <c r="BL160" i="9"/>
  <c r="BH160" i="9"/>
  <c r="BG160" i="9"/>
  <c r="AS160" i="9"/>
  <c r="AQ160" i="9"/>
  <c r="AN160" i="9"/>
  <c r="AL160" i="9"/>
  <c r="AG160" i="9"/>
  <c r="AI160" i="9" s="1"/>
  <c r="P160" i="9"/>
  <c r="O160" i="9"/>
  <c r="BS159" i="9"/>
  <c r="BM159" i="9"/>
  <c r="BL159" i="9"/>
  <c r="BH159" i="9"/>
  <c r="BG159" i="9"/>
  <c r="AQ159" i="9"/>
  <c r="AL159" i="9"/>
  <c r="AN159" i="9" s="1"/>
  <c r="AG159" i="9"/>
  <c r="P159" i="9"/>
  <c r="O159" i="9"/>
  <c r="BS158" i="9"/>
  <c r="BM158" i="9"/>
  <c r="BL158" i="9"/>
  <c r="BH158" i="9"/>
  <c r="BG158" i="9"/>
  <c r="AT158" i="9"/>
  <c r="AS158" i="9"/>
  <c r="AR158" i="9"/>
  <c r="AQ158" i="9"/>
  <c r="AN158" i="9"/>
  <c r="AL158" i="9"/>
  <c r="AI158" i="9"/>
  <c r="AG158" i="9"/>
  <c r="P158" i="9"/>
  <c r="O158" i="9"/>
  <c r="BS157" i="9"/>
  <c r="BM157" i="9"/>
  <c r="BL157" i="9"/>
  <c r="BH157" i="9"/>
  <c r="BG157" i="9"/>
  <c r="AQ157" i="9"/>
  <c r="AN157" i="9"/>
  <c r="AL157" i="9"/>
  <c r="AI157" i="9"/>
  <c r="AG157" i="9"/>
  <c r="AT157" i="9" s="1"/>
  <c r="P157" i="9"/>
  <c r="O157" i="9"/>
  <c r="BS156" i="9"/>
  <c r="BM156" i="9"/>
  <c r="BL156" i="9"/>
  <c r="BH156" i="9"/>
  <c r="BG156" i="9"/>
  <c r="AS156" i="9"/>
  <c r="AQ156" i="9"/>
  <c r="AT156" i="9" s="1"/>
  <c r="AN156" i="9"/>
  <c r="AL156" i="9"/>
  <c r="AI156" i="9"/>
  <c r="AG156" i="9"/>
  <c r="P156" i="9"/>
  <c r="O156" i="9"/>
  <c r="BS155" i="9"/>
  <c r="BM155" i="9"/>
  <c r="BL155" i="9"/>
  <c r="BH155" i="9"/>
  <c r="BG155" i="9"/>
  <c r="AQ155" i="9"/>
  <c r="AL155" i="9"/>
  <c r="AN155" i="9" s="1"/>
  <c r="AG155" i="9"/>
  <c r="P155" i="9"/>
  <c r="O155" i="9"/>
  <c r="BS154" i="9"/>
  <c r="BM154" i="9"/>
  <c r="BL154" i="9"/>
  <c r="BH154" i="9"/>
  <c r="BG154" i="9"/>
  <c r="AQ154" i="9"/>
  <c r="AN154" i="9"/>
  <c r="AL154" i="9"/>
  <c r="AG154" i="9"/>
  <c r="P154" i="9"/>
  <c r="O154" i="9"/>
  <c r="BS153" i="9"/>
  <c r="BM153" i="9"/>
  <c r="BL153" i="9"/>
  <c r="BH153" i="9"/>
  <c r="BG153" i="9"/>
  <c r="AQ153" i="9"/>
  <c r="AL153" i="9"/>
  <c r="AN153" i="9" s="1"/>
  <c r="AI153" i="9"/>
  <c r="AG153" i="9"/>
  <c r="P153" i="9"/>
  <c r="O153" i="9"/>
  <c r="BS152" i="9"/>
  <c r="BM152" i="9"/>
  <c r="BL152" i="9"/>
  <c r="BH152" i="9"/>
  <c r="BG152" i="9"/>
  <c r="AQ152" i="9"/>
  <c r="AN152" i="9"/>
  <c r="AL152" i="9"/>
  <c r="AG152" i="9"/>
  <c r="P152" i="9"/>
  <c r="O152" i="9"/>
  <c r="BS151" i="9"/>
  <c r="BM151" i="9"/>
  <c r="BL151" i="9"/>
  <c r="BH151" i="9"/>
  <c r="BG151" i="9"/>
  <c r="AQ151" i="9"/>
  <c r="AN151" i="9"/>
  <c r="AL151" i="9"/>
  <c r="AG151" i="9"/>
  <c r="P151" i="9"/>
  <c r="O151" i="9"/>
  <c r="BS150" i="9"/>
  <c r="BM150" i="9"/>
  <c r="BL150" i="9"/>
  <c r="BH150" i="9"/>
  <c r="BG150" i="9"/>
  <c r="AQ150" i="9"/>
  <c r="AN150" i="9"/>
  <c r="AL150" i="9"/>
  <c r="AI150" i="9"/>
  <c r="AG150" i="9"/>
  <c r="AT150" i="9" s="1"/>
  <c r="P150" i="9"/>
  <c r="O150" i="9"/>
  <c r="BS149" i="9"/>
  <c r="BM149" i="9"/>
  <c r="BL149" i="9"/>
  <c r="BH149" i="9"/>
  <c r="BG149" i="9"/>
  <c r="AQ149" i="9"/>
  <c r="AN149" i="9"/>
  <c r="AL149" i="9"/>
  <c r="AG149" i="9"/>
  <c r="P149" i="9"/>
  <c r="O149" i="9"/>
  <c r="BS148" i="9"/>
  <c r="BM148" i="9"/>
  <c r="BL148" i="9"/>
  <c r="BH148" i="9"/>
  <c r="BG148" i="9"/>
  <c r="AQ148" i="9"/>
  <c r="AN148" i="9"/>
  <c r="AL148" i="9"/>
  <c r="AG148" i="9"/>
  <c r="P148" i="9"/>
  <c r="O148" i="9"/>
  <c r="BS147" i="9"/>
  <c r="BM147" i="9"/>
  <c r="BL147" i="9"/>
  <c r="BH147" i="9"/>
  <c r="BG147" i="9"/>
  <c r="AQ147" i="9"/>
  <c r="AL147" i="9"/>
  <c r="AN147" i="9" s="1"/>
  <c r="AI147" i="9"/>
  <c r="AG147" i="9"/>
  <c r="P147" i="9"/>
  <c r="O147" i="9"/>
  <c r="BS146" i="9"/>
  <c r="BM146" i="9"/>
  <c r="BL146" i="9"/>
  <c r="BH146" i="9"/>
  <c r="BG146" i="9"/>
  <c r="AT146" i="9"/>
  <c r="AS146" i="9"/>
  <c r="AQ146" i="9"/>
  <c r="AN146" i="9"/>
  <c r="AL146" i="9"/>
  <c r="AI146" i="9"/>
  <c r="AR146" i="9" s="1"/>
  <c r="AG146" i="9"/>
  <c r="P146" i="9"/>
  <c r="O146" i="9"/>
  <c r="BS145" i="9"/>
  <c r="BM145" i="9"/>
  <c r="BL145" i="9"/>
  <c r="BH145" i="9"/>
  <c r="BG145" i="9"/>
  <c r="AQ145" i="9"/>
  <c r="AN145" i="9"/>
  <c r="AL145" i="9"/>
  <c r="AG145" i="9"/>
  <c r="P145" i="9"/>
  <c r="O145" i="9"/>
  <c r="BS144" i="9"/>
  <c r="BM144" i="9"/>
  <c r="BL144" i="9"/>
  <c r="BH144" i="9"/>
  <c r="BG144" i="9"/>
  <c r="AQ144" i="9"/>
  <c r="AN144" i="9"/>
  <c r="AL144" i="9"/>
  <c r="AG144" i="9"/>
  <c r="P144" i="9"/>
  <c r="O144" i="9"/>
  <c r="BS143" i="9"/>
  <c r="BM143" i="9"/>
  <c r="BL143" i="9"/>
  <c r="BH143" i="9"/>
  <c r="BG143" i="9"/>
  <c r="AQ143" i="9"/>
  <c r="AL143" i="9"/>
  <c r="AN143" i="9" s="1"/>
  <c r="AG143" i="9"/>
  <c r="P143" i="9"/>
  <c r="O143" i="9"/>
  <c r="BS142" i="9"/>
  <c r="BM142" i="9"/>
  <c r="BL142" i="9"/>
  <c r="BH142" i="9"/>
  <c r="BG142" i="9"/>
  <c r="AT142" i="9"/>
  <c r="AS142" i="9"/>
  <c r="AR142" i="9"/>
  <c r="AQ142" i="9"/>
  <c r="AN142" i="9"/>
  <c r="AL142" i="9"/>
  <c r="AI142" i="9"/>
  <c r="AG142" i="9"/>
  <c r="P142" i="9"/>
  <c r="O142" i="9"/>
  <c r="BS141" i="9"/>
  <c r="BM141" i="9"/>
  <c r="BL141" i="9"/>
  <c r="BH141" i="9"/>
  <c r="BG141" i="9"/>
  <c r="AQ141" i="9"/>
  <c r="AN141" i="9"/>
  <c r="AL141" i="9"/>
  <c r="AI141" i="9"/>
  <c r="AG141" i="9"/>
  <c r="AT141" i="9" s="1"/>
  <c r="P141" i="9"/>
  <c r="O141" i="9"/>
  <c r="BS140" i="9"/>
  <c r="BM140" i="9"/>
  <c r="BL140" i="9"/>
  <c r="BH140" i="9"/>
  <c r="BG140" i="9"/>
  <c r="AQ140" i="9"/>
  <c r="AN140" i="9"/>
  <c r="AL140" i="9"/>
  <c r="AG140" i="9"/>
  <c r="AI140" i="9" s="1"/>
  <c r="P140" i="9"/>
  <c r="O140" i="9"/>
  <c r="BS139" i="9"/>
  <c r="BM139" i="9"/>
  <c r="BL139" i="9"/>
  <c r="BH139" i="9"/>
  <c r="BG139" i="9"/>
  <c r="AQ139" i="9"/>
  <c r="AL139" i="9"/>
  <c r="AN139" i="9" s="1"/>
  <c r="AG139" i="9"/>
  <c r="P139" i="9"/>
  <c r="O139" i="9"/>
  <c r="BS138" i="9"/>
  <c r="BM138" i="9"/>
  <c r="BL138" i="9"/>
  <c r="BH138" i="9"/>
  <c r="BG138" i="9"/>
  <c r="AT138" i="9"/>
  <c r="AR138" i="9"/>
  <c r="AQ138" i="9"/>
  <c r="AN138" i="9"/>
  <c r="AL138" i="9"/>
  <c r="AG138" i="9"/>
  <c r="AI138" i="9" s="1"/>
  <c r="AS138" i="9" s="1"/>
  <c r="P138" i="9"/>
  <c r="O138" i="9"/>
  <c r="BS137" i="9"/>
  <c r="BM137" i="9"/>
  <c r="BL137" i="9"/>
  <c r="BH137" i="9"/>
  <c r="BG137" i="9"/>
  <c r="AQ137" i="9"/>
  <c r="AN137" i="9"/>
  <c r="AL137" i="9"/>
  <c r="AI137" i="9"/>
  <c r="AR137" i="9" s="1"/>
  <c r="AG137" i="9"/>
  <c r="AT137" i="9" s="1"/>
  <c r="P137" i="9"/>
  <c r="O137" i="9"/>
  <c r="BS136" i="9"/>
  <c r="BM136" i="9"/>
  <c r="BL136" i="9"/>
  <c r="BH136" i="9"/>
  <c r="BG136" i="9"/>
  <c r="AQ136" i="9"/>
  <c r="AT136" i="9" s="1"/>
  <c r="AN136" i="9"/>
  <c r="AL136" i="9"/>
  <c r="AI136" i="9"/>
  <c r="AG136" i="9"/>
  <c r="P136" i="9"/>
  <c r="O136" i="9"/>
  <c r="BS135" i="9"/>
  <c r="BM135" i="9"/>
  <c r="BL135" i="9"/>
  <c r="BH135" i="9"/>
  <c r="BG135" i="9"/>
  <c r="AQ135" i="9"/>
  <c r="AL135" i="9"/>
  <c r="AN135" i="9" s="1"/>
  <c r="AG135" i="9"/>
  <c r="P135" i="9"/>
  <c r="O135" i="9"/>
  <c r="BS134" i="9"/>
  <c r="BM134" i="9"/>
  <c r="BL134" i="9"/>
  <c r="BH134" i="9"/>
  <c r="BG134" i="9"/>
  <c r="AQ134" i="9"/>
  <c r="AN134" i="9"/>
  <c r="AL134" i="9"/>
  <c r="AG134" i="9"/>
  <c r="AT134" i="9" s="1"/>
  <c r="P134" i="9"/>
  <c r="O134" i="9"/>
  <c r="BS133" i="9"/>
  <c r="BM133" i="9"/>
  <c r="BL133" i="9"/>
  <c r="BH133" i="9"/>
  <c r="BG133" i="9"/>
  <c r="AQ133" i="9"/>
  <c r="AL133" i="9"/>
  <c r="AN133" i="9" s="1"/>
  <c r="AS133" i="9" s="1"/>
  <c r="AI133" i="9"/>
  <c r="AG133" i="9"/>
  <c r="P133" i="9"/>
  <c r="O133" i="9"/>
  <c r="BS132" i="9"/>
  <c r="BM132" i="9"/>
  <c r="BL132" i="9"/>
  <c r="BH132" i="9"/>
  <c r="BG132" i="9"/>
  <c r="AQ132" i="9"/>
  <c r="AN132" i="9"/>
  <c r="AL132" i="9"/>
  <c r="AG132" i="9"/>
  <c r="P132" i="9"/>
  <c r="O132" i="9"/>
  <c r="BS131" i="9"/>
  <c r="BM131" i="9"/>
  <c r="BL131" i="9"/>
  <c r="BH131" i="9"/>
  <c r="BG131" i="9"/>
  <c r="AQ131" i="9"/>
  <c r="AN131" i="9"/>
  <c r="AL131" i="9"/>
  <c r="AG131" i="9"/>
  <c r="P131" i="9"/>
  <c r="O131" i="9"/>
  <c r="BS130" i="9"/>
  <c r="BM130" i="9"/>
  <c r="BL130" i="9"/>
  <c r="BH130" i="9"/>
  <c r="BG130" i="9"/>
  <c r="AQ130" i="9"/>
  <c r="AN130" i="9"/>
  <c r="AL130" i="9"/>
  <c r="AI130" i="9"/>
  <c r="AG130" i="9"/>
  <c r="AT130" i="9" s="1"/>
  <c r="P130" i="9"/>
  <c r="O130" i="9"/>
  <c r="BS129" i="9"/>
  <c r="BM129" i="9"/>
  <c r="BL129" i="9"/>
  <c r="BH129" i="9"/>
  <c r="BG129" i="9"/>
  <c r="AR129" i="9"/>
  <c r="AQ129" i="9"/>
  <c r="AN129" i="9"/>
  <c r="AS129" i="9" s="1"/>
  <c r="AL129" i="9"/>
  <c r="AI129" i="9"/>
  <c r="AG129" i="9"/>
  <c r="P129" i="9"/>
  <c r="O129" i="9"/>
  <c r="BS128" i="9"/>
  <c r="BM128" i="9"/>
  <c r="BL128" i="9"/>
  <c r="BH128" i="9"/>
  <c r="BG128" i="9"/>
  <c r="AQ128" i="9"/>
  <c r="AN128" i="9"/>
  <c r="AL128" i="9"/>
  <c r="AG128" i="9"/>
  <c r="AI128" i="9" s="1"/>
  <c r="P128" i="9"/>
  <c r="O128" i="9"/>
  <c r="BS127" i="9"/>
  <c r="BM127" i="9"/>
  <c r="BL127" i="9"/>
  <c r="BH127" i="9"/>
  <c r="BG127" i="9"/>
  <c r="AQ127" i="9"/>
  <c r="AL127" i="9"/>
  <c r="AN127" i="9" s="1"/>
  <c r="AI127" i="9"/>
  <c r="AR127" i="9" s="1"/>
  <c r="AG127" i="9"/>
  <c r="P127" i="9"/>
  <c r="O127" i="9"/>
  <c r="BS126" i="9"/>
  <c r="BM126" i="9"/>
  <c r="BL126" i="9"/>
  <c r="BH126" i="9"/>
  <c r="BG126" i="9"/>
  <c r="AT126" i="9"/>
  <c r="AS126" i="9"/>
  <c r="AQ126" i="9"/>
  <c r="AN126" i="9"/>
  <c r="AL126" i="9"/>
  <c r="AI126" i="9"/>
  <c r="AR126" i="9" s="1"/>
  <c r="AG126" i="9"/>
  <c r="P126" i="9"/>
  <c r="O126" i="9"/>
  <c r="BS125" i="9"/>
  <c r="BM125" i="9"/>
  <c r="BL125" i="9"/>
  <c r="BH125" i="9"/>
  <c r="BG125" i="9"/>
  <c r="AQ125" i="9"/>
  <c r="AN125" i="9"/>
  <c r="AL125" i="9"/>
  <c r="AG125" i="9"/>
  <c r="AT125" i="9" s="1"/>
  <c r="P125" i="9"/>
  <c r="O125" i="9"/>
  <c r="BS124" i="9"/>
  <c r="BM124" i="9"/>
  <c r="BL124" i="9"/>
  <c r="BH124" i="9"/>
  <c r="BG124" i="9"/>
  <c r="AQ124" i="9"/>
  <c r="AN124" i="9"/>
  <c r="AL124" i="9"/>
  <c r="AG124" i="9"/>
  <c r="P124" i="9"/>
  <c r="O124" i="9"/>
  <c r="BS123" i="9"/>
  <c r="BM123" i="9"/>
  <c r="BL123" i="9"/>
  <c r="BH123" i="9"/>
  <c r="BG123" i="9"/>
  <c r="AQ123" i="9"/>
  <c r="AL123" i="9"/>
  <c r="AN123" i="9" s="1"/>
  <c r="AG123" i="9"/>
  <c r="P123" i="9"/>
  <c r="O123" i="9"/>
  <c r="BS122" i="9"/>
  <c r="BM122" i="9"/>
  <c r="BL122" i="9"/>
  <c r="BH122" i="9"/>
  <c r="BG122" i="9"/>
  <c r="AS122" i="9"/>
  <c r="AR122" i="9"/>
  <c r="AQ122" i="9"/>
  <c r="AT122" i="9" s="1"/>
  <c r="AN122" i="9"/>
  <c r="AL122" i="9"/>
  <c r="AI122" i="9"/>
  <c r="AG122" i="9"/>
  <c r="P122" i="9"/>
  <c r="O122" i="9"/>
  <c r="BS121" i="9"/>
  <c r="BM121" i="9"/>
  <c r="BL121" i="9"/>
  <c r="BH121" i="9"/>
  <c r="BG121" i="9"/>
  <c r="AQ121" i="9"/>
  <c r="AN121" i="9"/>
  <c r="AL121" i="9"/>
  <c r="AG121" i="9"/>
  <c r="AT121" i="9" s="1"/>
  <c r="P121" i="9"/>
  <c r="O121" i="9"/>
  <c r="BS120" i="9"/>
  <c r="BM120" i="9"/>
  <c r="BL120" i="9"/>
  <c r="BH120" i="9"/>
  <c r="BG120" i="9"/>
  <c r="AQ120" i="9"/>
  <c r="AN120" i="9"/>
  <c r="AL120" i="9"/>
  <c r="AG120" i="9"/>
  <c r="AI120" i="9" s="1"/>
  <c r="P120" i="9"/>
  <c r="O120" i="9"/>
  <c r="BS119" i="9"/>
  <c r="BM119" i="9"/>
  <c r="BL119" i="9"/>
  <c r="BH119" i="9"/>
  <c r="BG119" i="9"/>
  <c r="AQ119" i="9"/>
  <c r="AL119" i="9"/>
  <c r="AN119" i="9" s="1"/>
  <c r="AG119" i="9"/>
  <c r="P119" i="9"/>
  <c r="O119" i="9"/>
  <c r="BS118" i="9"/>
  <c r="BM118" i="9"/>
  <c r="BL118" i="9"/>
  <c r="BH118" i="9"/>
  <c r="BG118" i="9"/>
  <c r="AQ118" i="9"/>
  <c r="AT118" i="9" s="1"/>
  <c r="AN118" i="9"/>
  <c r="AL118" i="9"/>
  <c r="AI118" i="9"/>
  <c r="AG118" i="9"/>
  <c r="P118" i="9"/>
  <c r="O118" i="9"/>
  <c r="BS117" i="9"/>
  <c r="BM117" i="9"/>
  <c r="BL117" i="9"/>
  <c r="BH117" i="9"/>
  <c r="BG117" i="9"/>
  <c r="AS117" i="9"/>
  <c r="AQ117" i="9"/>
  <c r="AN117" i="9"/>
  <c r="AL117" i="9"/>
  <c r="AI117" i="9"/>
  <c r="AR117" i="9" s="1"/>
  <c r="AG117" i="9"/>
  <c r="AT117" i="9" s="1"/>
  <c r="P117" i="9"/>
  <c r="O117" i="9"/>
  <c r="BS116" i="9"/>
  <c r="BM116" i="9"/>
  <c r="BL116" i="9"/>
  <c r="BH116" i="9"/>
  <c r="BG116" i="9"/>
  <c r="AQ116" i="9"/>
  <c r="AT116" i="9" s="1"/>
  <c r="AN116" i="9"/>
  <c r="AL116" i="9"/>
  <c r="AI116" i="9"/>
  <c r="AR116" i="9" s="1"/>
  <c r="AG116" i="9"/>
  <c r="P116" i="9"/>
  <c r="O116" i="9"/>
  <c r="BS115" i="9"/>
  <c r="BM115" i="9"/>
  <c r="BL115" i="9"/>
  <c r="BH115" i="9"/>
  <c r="BG115" i="9"/>
  <c r="AQ115" i="9"/>
  <c r="AL115" i="9"/>
  <c r="AN115" i="9" s="1"/>
  <c r="AG115" i="9"/>
  <c r="P115" i="9"/>
  <c r="O115" i="9"/>
  <c r="BS114" i="9"/>
  <c r="BM114" i="9"/>
  <c r="BL114" i="9"/>
  <c r="BH114" i="9"/>
  <c r="BG114" i="9"/>
  <c r="AT114" i="9"/>
  <c r="AQ114" i="9"/>
  <c r="AN114" i="9"/>
  <c r="AL114" i="9"/>
  <c r="AG114" i="9"/>
  <c r="AI114" i="9" s="1"/>
  <c r="AS114" i="9" s="1"/>
  <c r="P114" i="9"/>
  <c r="O114" i="9"/>
  <c r="BS113" i="9"/>
  <c r="BM113" i="9"/>
  <c r="BL113" i="9"/>
  <c r="BH113" i="9"/>
  <c r="BG113" i="9"/>
  <c r="AQ113" i="9"/>
  <c r="AL113" i="9"/>
  <c r="AN113" i="9" s="1"/>
  <c r="AR113" i="9" s="1"/>
  <c r="AI113" i="9"/>
  <c r="AS113" i="9" s="1"/>
  <c r="AG113" i="9"/>
  <c r="P113" i="9"/>
  <c r="O113" i="9"/>
  <c r="BS112" i="9"/>
  <c r="BM112" i="9"/>
  <c r="BL112" i="9"/>
  <c r="BH112" i="9"/>
  <c r="BG112" i="9"/>
  <c r="AQ112" i="9"/>
  <c r="AN112" i="9"/>
  <c r="AL112" i="9"/>
  <c r="AG112" i="9"/>
  <c r="AT112" i="9" s="1"/>
  <c r="P112" i="9"/>
  <c r="O112" i="9"/>
  <c r="BS111" i="9"/>
  <c r="BM111" i="9"/>
  <c r="BL111" i="9"/>
  <c r="BH111" i="9"/>
  <c r="BG111" i="9"/>
  <c r="AQ111" i="9"/>
  <c r="AN111" i="9"/>
  <c r="AL111" i="9"/>
  <c r="AG111" i="9"/>
  <c r="P111" i="9"/>
  <c r="O111" i="9"/>
  <c r="BS110" i="9"/>
  <c r="BM110" i="9"/>
  <c r="BL110" i="9"/>
  <c r="BH110" i="9"/>
  <c r="BG110" i="9"/>
  <c r="AQ110" i="9"/>
  <c r="AN110" i="9"/>
  <c r="AL110" i="9"/>
  <c r="AI110" i="9"/>
  <c r="AS110" i="9" s="1"/>
  <c r="AG110" i="9"/>
  <c r="AT110" i="9" s="1"/>
  <c r="P110" i="9"/>
  <c r="O110" i="9"/>
  <c r="BS109" i="9"/>
  <c r="BM109" i="9"/>
  <c r="BL109" i="9"/>
  <c r="BH109" i="9"/>
  <c r="BG109" i="9"/>
  <c r="AQ109" i="9"/>
  <c r="AL109" i="9"/>
  <c r="AN109" i="9" s="1"/>
  <c r="AG109" i="9"/>
  <c r="P109" i="9"/>
  <c r="O109" i="9"/>
  <c r="BS108" i="9"/>
  <c r="BM108" i="9"/>
  <c r="BL108" i="9"/>
  <c r="BH108" i="9"/>
  <c r="BG108" i="9"/>
  <c r="AQ108" i="9"/>
  <c r="AT108" i="9" s="1"/>
  <c r="AN108" i="9"/>
  <c r="AL108" i="9"/>
  <c r="AI108" i="9"/>
  <c r="AG108" i="9"/>
  <c r="P108" i="9"/>
  <c r="O108" i="9"/>
  <c r="BS107" i="9"/>
  <c r="BM107" i="9"/>
  <c r="BL107" i="9"/>
  <c r="BH107" i="9"/>
  <c r="BG107" i="9"/>
  <c r="AQ107" i="9"/>
  <c r="AL107" i="9"/>
  <c r="AN107" i="9" s="1"/>
  <c r="AS107" i="9" s="1"/>
  <c r="AI107" i="9"/>
  <c r="AR107" i="9" s="1"/>
  <c r="AG107" i="9"/>
  <c r="P107" i="9"/>
  <c r="O107" i="9"/>
  <c r="BS106" i="9"/>
  <c r="BM106" i="9"/>
  <c r="BL106" i="9"/>
  <c r="BH106" i="9"/>
  <c r="BG106" i="9"/>
  <c r="AQ106" i="9"/>
  <c r="AN106" i="9"/>
  <c r="AL106" i="9"/>
  <c r="AI106" i="9"/>
  <c r="AG106" i="9"/>
  <c r="AT106" i="9" s="1"/>
  <c r="P106" i="9"/>
  <c r="O106" i="9"/>
  <c r="BS105" i="9"/>
  <c r="BM105" i="9"/>
  <c r="BL105" i="9"/>
  <c r="BH105" i="9"/>
  <c r="BG105" i="9"/>
  <c r="AQ105" i="9"/>
  <c r="AN105" i="9"/>
  <c r="AL105" i="9"/>
  <c r="AG105" i="9"/>
  <c r="P105" i="9"/>
  <c r="O105" i="9"/>
  <c r="BS104" i="9"/>
  <c r="BM104" i="9"/>
  <c r="BL104" i="9"/>
  <c r="BH104" i="9"/>
  <c r="BG104" i="9"/>
  <c r="AQ104" i="9"/>
  <c r="AN104" i="9"/>
  <c r="AL104" i="9"/>
  <c r="AG104" i="9"/>
  <c r="AI104" i="9" s="1"/>
  <c r="AS104" i="9" s="1"/>
  <c r="P104" i="9"/>
  <c r="O104" i="9"/>
  <c r="BS103" i="9"/>
  <c r="BM103" i="9"/>
  <c r="BL103" i="9"/>
  <c r="BH103" i="9"/>
  <c r="BG103" i="9"/>
  <c r="AQ103" i="9"/>
  <c r="AL103" i="9"/>
  <c r="AN103" i="9" s="1"/>
  <c r="AG103" i="9"/>
  <c r="AT103" i="9" s="1"/>
  <c r="P103" i="9"/>
  <c r="O103" i="9"/>
  <c r="BS102" i="9"/>
  <c r="BM102" i="9"/>
  <c r="BL102" i="9"/>
  <c r="BH102" i="9"/>
  <c r="BG102" i="9"/>
  <c r="AT102" i="9"/>
  <c r="AS102" i="9"/>
  <c r="AR102" i="9"/>
  <c r="AQ102" i="9"/>
  <c r="AN102" i="9"/>
  <c r="AL102" i="9"/>
  <c r="AI102" i="9"/>
  <c r="AG102" i="9"/>
  <c r="P102" i="9"/>
  <c r="O102" i="9"/>
  <c r="BS101" i="9"/>
  <c r="BM101" i="9"/>
  <c r="BL101" i="9"/>
  <c r="BH101" i="9"/>
  <c r="BG101" i="9"/>
  <c r="AQ101" i="9"/>
  <c r="AN101" i="9"/>
  <c r="AL101" i="9"/>
  <c r="AG101" i="9"/>
  <c r="P101" i="9"/>
  <c r="O101" i="9"/>
  <c r="BS100" i="9"/>
  <c r="BM100" i="9"/>
  <c r="BL100" i="9"/>
  <c r="BH100" i="9"/>
  <c r="BG100" i="9"/>
  <c r="AQ100" i="9"/>
  <c r="AT100" i="9" s="1"/>
  <c r="AN100" i="9"/>
  <c r="AS100" i="9" s="1"/>
  <c r="AL100" i="9"/>
  <c r="AG100" i="9"/>
  <c r="AI100" i="9" s="1"/>
  <c r="P100" i="9"/>
  <c r="O100" i="9"/>
  <c r="BS99" i="9"/>
  <c r="BM99" i="9"/>
  <c r="BL99" i="9"/>
  <c r="BH99" i="9"/>
  <c r="BG99" i="9"/>
  <c r="AQ99" i="9"/>
  <c r="AN99" i="9"/>
  <c r="AL99" i="9"/>
  <c r="AG99" i="9"/>
  <c r="P99" i="9"/>
  <c r="O99" i="9"/>
  <c r="BS98" i="9"/>
  <c r="BM98" i="9"/>
  <c r="BL98" i="9"/>
  <c r="BH98" i="9"/>
  <c r="BG98" i="9"/>
  <c r="AQ98" i="9"/>
  <c r="AT98" i="9" s="1"/>
  <c r="AN98" i="9"/>
  <c r="AL98" i="9"/>
  <c r="AG98" i="9"/>
  <c r="AI98" i="9" s="1"/>
  <c r="P98" i="9"/>
  <c r="O98" i="9"/>
  <c r="BS97" i="9"/>
  <c r="BM97" i="9"/>
  <c r="BL97" i="9"/>
  <c r="BH97" i="9"/>
  <c r="BG97" i="9"/>
  <c r="AQ97" i="9"/>
  <c r="AL97" i="9"/>
  <c r="AN97" i="9" s="1"/>
  <c r="AI97" i="9"/>
  <c r="AG97" i="9"/>
  <c r="P97" i="9"/>
  <c r="O97" i="9"/>
  <c r="BS96" i="9"/>
  <c r="BM96" i="9"/>
  <c r="BL96" i="9"/>
  <c r="BH96" i="9"/>
  <c r="BG96" i="9"/>
  <c r="AT96" i="9"/>
  <c r="AS96" i="9"/>
  <c r="AR96" i="9"/>
  <c r="AQ96" i="9"/>
  <c r="AN96" i="9"/>
  <c r="AL96" i="9"/>
  <c r="AI96" i="9"/>
  <c r="AG96" i="9"/>
  <c r="P96" i="9"/>
  <c r="O96" i="9"/>
  <c r="BS95" i="9"/>
  <c r="BM95" i="9"/>
  <c r="BL95" i="9"/>
  <c r="BH95" i="9"/>
  <c r="BG95" i="9"/>
  <c r="AQ95" i="9"/>
  <c r="AL95" i="9"/>
  <c r="AN95" i="9" s="1"/>
  <c r="AI95" i="9"/>
  <c r="AG95" i="9"/>
  <c r="AT95" i="9" s="1"/>
  <c r="P95" i="9"/>
  <c r="O95" i="9"/>
  <c r="BS94" i="9"/>
  <c r="BM94" i="9"/>
  <c r="BL94" i="9"/>
  <c r="BH94" i="9"/>
  <c r="BG94" i="9"/>
  <c r="AQ94" i="9"/>
  <c r="AT94" i="9" s="1"/>
  <c r="AN94" i="9"/>
  <c r="AL94" i="9"/>
  <c r="AG94" i="9"/>
  <c r="AI94" i="9" s="1"/>
  <c r="AS94" i="9" s="1"/>
  <c r="P94" i="9"/>
  <c r="O94" i="9"/>
  <c r="BS93" i="9"/>
  <c r="BM93" i="9"/>
  <c r="BL93" i="9"/>
  <c r="BH93" i="9"/>
  <c r="BG93" i="9"/>
  <c r="AQ93" i="9"/>
  <c r="AL93" i="9"/>
  <c r="AN93" i="9" s="1"/>
  <c r="AG93" i="9"/>
  <c r="AT93" i="9" s="1"/>
  <c r="P93" i="9"/>
  <c r="O93" i="9"/>
  <c r="BS92" i="9"/>
  <c r="BM92" i="9"/>
  <c r="BL92" i="9"/>
  <c r="BH92" i="9"/>
  <c r="BG92" i="9"/>
  <c r="AQ92" i="9"/>
  <c r="AN92" i="9"/>
  <c r="AL92" i="9"/>
  <c r="AI92" i="9"/>
  <c r="AG92" i="9"/>
  <c r="P92" i="9"/>
  <c r="O92" i="9"/>
  <c r="BS91" i="9"/>
  <c r="BM91" i="9"/>
  <c r="BL91" i="9"/>
  <c r="BH91" i="9"/>
  <c r="BG91" i="9"/>
  <c r="AQ91" i="9"/>
  <c r="AN91" i="9"/>
  <c r="AL91" i="9"/>
  <c r="AG91" i="9"/>
  <c r="P91" i="9"/>
  <c r="O91" i="9"/>
  <c r="BS90" i="9"/>
  <c r="BM90" i="9"/>
  <c r="BL90" i="9"/>
  <c r="BH90" i="9"/>
  <c r="BG90" i="9"/>
  <c r="AQ90" i="9"/>
  <c r="AN90" i="9"/>
  <c r="AL90" i="9"/>
  <c r="AG90" i="9"/>
  <c r="AT90" i="9" s="1"/>
  <c r="P90" i="9"/>
  <c r="O90" i="9"/>
  <c r="BS89" i="9"/>
  <c r="BM89" i="9"/>
  <c r="BL89" i="9"/>
  <c r="BH89" i="9"/>
  <c r="BG89" i="9"/>
  <c r="AQ89" i="9"/>
  <c r="AL89" i="9"/>
  <c r="AN89" i="9" s="1"/>
  <c r="AG89" i="9"/>
  <c r="P89" i="9"/>
  <c r="O89" i="9"/>
  <c r="BS88" i="9"/>
  <c r="BM88" i="9"/>
  <c r="BL88" i="9"/>
  <c r="BH88" i="9"/>
  <c r="BG88" i="9"/>
  <c r="AQ88" i="9"/>
  <c r="AT88" i="9" s="1"/>
  <c r="AN88" i="9"/>
  <c r="AL88" i="9"/>
  <c r="AG88" i="9"/>
  <c r="AI88" i="9" s="1"/>
  <c r="P88" i="9"/>
  <c r="O88" i="9"/>
  <c r="BS87" i="9"/>
  <c r="BM87" i="9"/>
  <c r="BL87" i="9"/>
  <c r="BH87" i="9"/>
  <c r="BG87" i="9"/>
  <c r="AS87" i="9"/>
  <c r="AQ87" i="9"/>
  <c r="AN87" i="9"/>
  <c r="AL87" i="9"/>
  <c r="AI87" i="9"/>
  <c r="AR87" i="9" s="1"/>
  <c r="AG87" i="9"/>
  <c r="P87" i="9"/>
  <c r="O87" i="9"/>
  <c r="BS86" i="9"/>
  <c r="BM86" i="9"/>
  <c r="BL86" i="9"/>
  <c r="BH86" i="9"/>
  <c r="BG86" i="9"/>
  <c r="AQ86" i="9"/>
  <c r="AN86" i="9"/>
  <c r="AL86" i="9"/>
  <c r="AI86" i="9"/>
  <c r="AG86" i="9"/>
  <c r="AT86" i="9" s="1"/>
  <c r="P86" i="9"/>
  <c r="O86" i="9"/>
  <c r="BS85" i="9"/>
  <c r="BM85" i="9"/>
  <c r="BL85" i="9"/>
  <c r="BH85" i="9"/>
  <c r="BG85" i="9"/>
  <c r="AS85" i="9"/>
  <c r="AR85" i="9"/>
  <c r="AQ85" i="9"/>
  <c r="AL85" i="9"/>
  <c r="AN85" i="9" s="1"/>
  <c r="AI85" i="9"/>
  <c r="AG85" i="9"/>
  <c r="P85" i="9"/>
  <c r="O85" i="9"/>
  <c r="BS84" i="9"/>
  <c r="BM84" i="9"/>
  <c r="BL84" i="9"/>
  <c r="BH84" i="9"/>
  <c r="BG84" i="9"/>
  <c r="AQ84" i="9"/>
  <c r="AN84" i="9"/>
  <c r="AL84" i="9"/>
  <c r="AG84" i="9"/>
  <c r="AT84" i="9" s="1"/>
  <c r="P84" i="9"/>
  <c r="O84" i="9"/>
  <c r="BS83" i="9"/>
  <c r="BM83" i="9"/>
  <c r="BL83" i="9"/>
  <c r="BH83" i="9"/>
  <c r="BG83" i="9"/>
  <c r="AQ83" i="9"/>
  <c r="AN83" i="9"/>
  <c r="AL83" i="9"/>
  <c r="AG83" i="9"/>
  <c r="P83" i="9"/>
  <c r="O83" i="9"/>
  <c r="BS82" i="9"/>
  <c r="BM82" i="9"/>
  <c r="BL82" i="9"/>
  <c r="BH82" i="9"/>
  <c r="BG82" i="9"/>
  <c r="AQ82" i="9"/>
  <c r="AN82" i="9"/>
  <c r="AL82" i="9"/>
  <c r="AG82" i="9"/>
  <c r="AT82" i="9" s="1"/>
  <c r="P82" i="9"/>
  <c r="O82" i="9"/>
  <c r="BS81" i="9"/>
  <c r="BM81" i="9"/>
  <c r="BL81" i="9"/>
  <c r="BH81" i="9"/>
  <c r="BG81" i="9"/>
  <c r="AQ81" i="9"/>
  <c r="AL81" i="9"/>
  <c r="AN81" i="9" s="1"/>
  <c r="AI81" i="9"/>
  <c r="AG81" i="9"/>
  <c r="P81" i="9"/>
  <c r="O81" i="9"/>
  <c r="BS80" i="9"/>
  <c r="BM80" i="9"/>
  <c r="BL80" i="9"/>
  <c r="BH80" i="9"/>
  <c r="BG80" i="9"/>
  <c r="AT80" i="9"/>
  <c r="AS80" i="9"/>
  <c r="AQ80" i="9"/>
  <c r="AN80" i="9"/>
  <c r="AL80" i="9"/>
  <c r="AG80" i="9"/>
  <c r="AI80" i="9" s="1"/>
  <c r="AR80" i="9" s="1"/>
  <c r="P80" i="9"/>
  <c r="O80" i="9"/>
  <c r="BS79" i="9"/>
  <c r="BM79" i="9"/>
  <c r="BL79" i="9"/>
  <c r="BH79" i="9"/>
  <c r="BG79" i="9"/>
  <c r="AQ79" i="9"/>
  <c r="AN79" i="9"/>
  <c r="AL79" i="9"/>
  <c r="AG79" i="9"/>
  <c r="P79" i="9"/>
  <c r="O79" i="9"/>
  <c r="BS78" i="9"/>
  <c r="BM78" i="9"/>
  <c r="BL78" i="9"/>
  <c r="BH78" i="9"/>
  <c r="BG78" i="9"/>
  <c r="AQ78" i="9"/>
  <c r="AT78" i="9" s="1"/>
  <c r="AN78" i="9"/>
  <c r="AS78" i="9" s="1"/>
  <c r="AL78" i="9"/>
  <c r="AG78" i="9"/>
  <c r="AI78" i="9" s="1"/>
  <c r="P78" i="9"/>
  <c r="O78" i="9"/>
  <c r="BS77" i="9"/>
  <c r="BM77" i="9"/>
  <c r="BL77" i="9"/>
  <c r="BH77" i="9"/>
  <c r="BG77" i="9"/>
  <c r="AQ77" i="9"/>
  <c r="AL77" i="9"/>
  <c r="AN77" i="9" s="1"/>
  <c r="AS77" i="9" s="1"/>
  <c r="AI77" i="9"/>
  <c r="AG77" i="9"/>
  <c r="AT77" i="9" s="1"/>
  <c r="P77" i="9"/>
  <c r="O77" i="9"/>
  <c r="BS76" i="9"/>
  <c r="BM76" i="9"/>
  <c r="BL76" i="9"/>
  <c r="BH76" i="9"/>
  <c r="BG76" i="9"/>
  <c r="AT76" i="9"/>
  <c r="AQ76" i="9"/>
  <c r="AN76" i="9"/>
  <c r="AL76" i="9"/>
  <c r="AI76" i="9"/>
  <c r="AG76" i="9"/>
  <c r="P76" i="9"/>
  <c r="O76" i="9"/>
  <c r="BS75" i="9"/>
  <c r="BM75" i="9"/>
  <c r="BL75" i="9"/>
  <c r="BH75" i="9"/>
  <c r="BG75" i="9"/>
  <c r="AQ75" i="9"/>
  <c r="AL75" i="9"/>
  <c r="AN75" i="9" s="1"/>
  <c r="AG75" i="9"/>
  <c r="P75" i="9"/>
  <c r="O75" i="9"/>
  <c r="BS74" i="9"/>
  <c r="BM74" i="9"/>
  <c r="BL74" i="9"/>
  <c r="BH74" i="9"/>
  <c r="BG74" i="9"/>
  <c r="AQ74" i="9"/>
  <c r="AN74" i="9"/>
  <c r="AL74" i="9"/>
  <c r="AG74" i="9"/>
  <c r="P74" i="9"/>
  <c r="O74" i="9"/>
  <c r="BS73" i="9"/>
  <c r="BM73" i="9"/>
  <c r="BL73" i="9"/>
  <c r="BH73" i="9"/>
  <c r="BG73" i="9"/>
  <c r="AQ73" i="9"/>
  <c r="AL73" i="9"/>
  <c r="AN73" i="9" s="1"/>
  <c r="AI73" i="9"/>
  <c r="AG73" i="9"/>
  <c r="P73" i="9"/>
  <c r="O73" i="9"/>
  <c r="BS72" i="9"/>
  <c r="BM72" i="9"/>
  <c r="BL72" i="9"/>
  <c r="BH72" i="9"/>
  <c r="BG72" i="9"/>
  <c r="AS72" i="9"/>
  <c r="AR72" i="9"/>
  <c r="AQ72" i="9"/>
  <c r="AN72" i="9"/>
  <c r="AL72" i="9"/>
  <c r="AI72" i="9"/>
  <c r="AG72" i="9"/>
  <c r="P72" i="9"/>
  <c r="O72" i="9"/>
  <c r="BS71" i="9"/>
  <c r="BM71" i="9"/>
  <c r="BL71" i="9"/>
  <c r="BH71" i="9"/>
  <c r="BG71" i="9"/>
  <c r="AQ71" i="9"/>
  <c r="AN71" i="9"/>
  <c r="AL71" i="9"/>
  <c r="AG71" i="9"/>
  <c r="P71" i="9"/>
  <c r="O71" i="9"/>
  <c r="BS70" i="9"/>
  <c r="BM70" i="9"/>
  <c r="BL70" i="9"/>
  <c r="BH70" i="9"/>
  <c r="BG70" i="9"/>
  <c r="AQ70" i="9"/>
  <c r="AL70" i="9"/>
  <c r="AN70" i="9" s="1"/>
  <c r="AI70" i="9"/>
  <c r="AG70" i="9"/>
  <c r="P70" i="9"/>
  <c r="O70" i="9"/>
  <c r="BS69" i="9"/>
  <c r="BM69" i="9"/>
  <c r="BL69" i="9"/>
  <c r="BH69" i="9"/>
  <c r="BG69" i="9"/>
  <c r="AT69" i="9"/>
  <c r="AS69" i="9"/>
  <c r="AR69" i="9"/>
  <c r="AQ69" i="9"/>
  <c r="AN69" i="9"/>
  <c r="AL69" i="9"/>
  <c r="AG69" i="9"/>
  <c r="AI69" i="9" s="1"/>
  <c r="P69" i="9"/>
  <c r="O69" i="9"/>
  <c r="BS68" i="9"/>
  <c r="BM68" i="9"/>
  <c r="BL68" i="9"/>
  <c r="BH68" i="9"/>
  <c r="BG68" i="9"/>
  <c r="AQ68" i="9"/>
  <c r="AN68" i="9"/>
  <c r="AL68" i="9"/>
  <c r="AG68" i="9"/>
  <c r="P68" i="9"/>
  <c r="O68" i="9"/>
  <c r="BS67" i="9"/>
  <c r="BM67" i="9"/>
  <c r="BL67" i="9"/>
  <c r="BH67" i="9"/>
  <c r="BG67" i="9"/>
  <c r="AQ67" i="9"/>
  <c r="AT67" i="9" s="1"/>
  <c r="AN67" i="9"/>
  <c r="AL67" i="9"/>
  <c r="AG67" i="9"/>
  <c r="AI67" i="9" s="1"/>
  <c r="P67" i="9"/>
  <c r="O67" i="9"/>
  <c r="BS66" i="9"/>
  <c r="BM66" i="9"/>
  <c r="BL66" i="9"/>
  <c r="BH66" i="9"/>
  <c r="BG66" i="9"/>
  <c r="AR66" i="9"/>
  <c r="AQ66" i="9"/>
  <c r="AL66" i="9"/>
  <c r="AN66" i="9" s="1"/>
  <c r="AI66" i="9"/>
  <c r="AG66" i="9"/>
  <c r="P66" i="9"/>
  <c r="O66" i="9"/>
  <c r="BS65" i="9"/>
  <c r="BM65" i="9"/>
  <c r="BL65" i="9"/>
  <c r="BH65" i="9"/>
  <c r="BG65" i="9"/>
  <c r="AQ65" i="9"/>
  <c r="AN65" i="9"/>
  <c r="AL65" i="9"/>
  <c r="AG65" i="9"/>
  <c r="P65" i="9"/>
  <c r="O65" i="9"/>
  <c r="BS64" i="9"/>
  <c r="BM64" i="9"/>
  <c r="BL64" i="9"/>
  <c r="BH64" i="9"/>
  <c r="BG64" i="9"/>
  <c r="AQ64" i="9"/>
  <c r="AL64" i="9"/>
  <c r="AN64" i="9" s="1"/>
  <c r="AI64" i="9"/>
  <c r="AG64" i="9"/>
  <c r="P64" i="9"/>
  <c r="O64" i="9"/>
  <c r="BS63" i="9"/>
  <c r="BM63" i="9"/>
  <c r="BL63" i="9"/>
  <c r="BH63" i="9"/>
  <c r="BG63" i="9"/>
  <c r="AT63" i="9"/>
  <c r="AS63" i="9"/>
  <c r="AQ63" i="9"/>
  <c r="AN63" i="9"/>
  <c r="AL63" i="9"/>
  <c r="AG63" i="9"/>
  <c r="AI63" i="9" s="1"/>
  <c r="AR63" i="9" s="1"/>
  <c r="P63" i="9"/>
  <c r="O63" i="9"/>
  <c r="BS62" i="9"/>
  <c r="BM62" i="9"/>
  <c r="BL62" i="9"/>
  <c r="BH62" i="9"/>
  <c r="BG62" i="9"/>
  <c r="AQ62" i="9"/>
  <c r="AL62" i="9"/>
  <c r="AN62" i="9" s="1"/>
  <c r="AI62" i="9"/>
  <c r="AG62" i="9"/>
  <c r="AT62" i="9" s="1"/>
  <c r="P62" i="9"/>
  <c r="O62" i="9"/>
  <c r="BS61" i="9"/>
  <c r="BM61" i="9"/>
  <c r="BL61" i="9"/>
  <c r="BH61" i="9"/>
  <c r="BG61" i="9"/>
  <c r="AS61" i="9"/>
  <c r="AR61" i="9"/>
  <c r="AQ61" i="9"/>
  <c r="AT61" i="9" s="1"/>
  <c r="AN61" i="9"/>
  <c r="AL61" i="9"/>
  <c r="AG61" i="9"/>
  <c r="AI61" i="9" s="1"/>
  <c r="P61" i="9"/>
  <c r="O61" i="9"/>
  <c r="BS60" i="9"/>
  <c r="BM60" i="9"/>
  <c r="BL60" i="9"/>
  <c r="BH60" i="9"/>
  <c r="BG60" i="9"/>
  <c r="AQ60" i="9"/>
  <c r="AL60" i="9"/>
  <c r="AN60" i="9" s="1"/>
  <c r="AR60" i="9" s="1"/>
  <c r="AI60" i="9"/>
  <c r="AG60" i="9"/>
  <c r="P60" i="9"/>
  <c r="O60" i="9"/>
  <c r="BS59" i="9"/>
  <c r="BM59" i="9"/>
  <c r="BL59" i="9"/>
  <c r="BH59" i="9"/>
  <c r="BG59" i="9"/>
  <c r="AQ59" i="9"/>
  <c r="AN59" i="9"/>
  <c r="AL59" i="9"/>
  <c r="AG59" i="9"/>
  <c r="P59" i="9"/>
  <c r="O59" i="9"/>
  <c r="BS58" i="9"/>
  <c r="BM58" i="9"/>
  <c r="BL58" i="9"/>
  <c r="BH58" i="9"/>
  <c r="BG58" i="9"/>
  <c r="AQ58" i="9"/>
  <c r="AN58" i="9"/>
  <c r="AL58" i="9"/>
  <c r="AG58" i="9"/>
  <c r="P58" i="9"/>
  <c r="O58" i="9"/>
  <c r="BS57" i="9"/>
  <c r="BM57" i="9"/>
  <c r="BL57" i="9"/>
  <c r="BH57" i="9"/>
  <c r="BG57" i="9"/>
  <c r="AQ57" i="9"/>
  <c r="AN57" i="9"/>
  <c r="AL57" i="9"/>
  <c r="AG57" i="9"/>
  <c r="P57" i="9"/>
  <c r="O57" i="9"/>
  <c r="BS56" i="9"/>
  <c r="BM56" i="9"/>
  <c r="BL56" i="9"/>
  <c r="BH56" i="9"/>
  <c r="BG56" i="9"/>
  <c r="AQ56" i="9"/>
  <c r="AN56" i="9"/>
  <c r="AL56" i="9"/>
  <c r="AG56" i="9"/>
  <c r="AI56" i="9" s="1"/>
  <c r="P56" i="9"/>
  <c r="O56" i="9"/>
  <c r="BS55" i="9"/>
  <c r="BM55" i="9"/>
  <c r="BL55" i="9"/>
  <c r="BH55" i="9"/>
  <c r="BG55" i="9"/>
  <c r="AQ55" i="9"/>
  <c r="AN55" i="9"/>
  <c r="AL55" i="9"/>
  <c r="AG55" i="9"/>
  <c r="P55" i="9"/>
  <c r="O55" i="9"/>
  <c r="BS54" i="9"/>
  <c r="BM54" i="9"/>
  <c r="BL54" i="9"/>
  <c r="BH54" i="9"/>
  <c r="BG54" i="9"/>
  <c r="AQ54" i="9"/>
  <c r="AR54" i="9" s="1"/>
  <c r="AN54" i="9"/>
  <c r="AL54" i="9"/>
  <c r="AG54" i="9"/>
  <c r="AI54" i="9" s="1"/>
  <c r="AS54" i="9" s="1"/>
  <c r="P54" i="9"/>
  <c r="O54" i="9"/>
  <c r="BS53" i="9"/>
  <c r="BM53" i="9"/>
  <c r="BL53" i="9"/>
  <c r="BH53" i="9"/>
  <c r="BG53" i="9"/>
  <c r="AQ53" i="9"/>
  <c r="AN53" i="9"/>
  <c r="AL53" i="9"/>
  <c r="AG53" i="9"/>
  <c r="P53" i="9"/>
  <c r="O53" i="9"/>
  <c r="BS52" i="9"/>
  <c r="BM52" i="9"/>
  <c r="BL52" i="9"/>
  <c r="BH52" i="9"/>
  <c r="BG52" i="9"/>
  <c r="AQ52" i="9"/>
  <c r="AN52" i="9"/>
  <c r="AL52" i="9"/>
  <c r="AG52" i="9"/>
  <c r="AI52" i="9" s="1"/>
  <c r="AS52" i="9" s="1"/>
  <c r="P52" i="9"/>
  <c r="O52" i="9"/>
  <c r="BS51" i="9"/>
  <c r="BM51" i="9"/>
  <c r="BL51" i="9"/>
  <c r="BH51" i="9"/>
  <c r="BG51" i="9"/>
  <c r="AQ51" i="9"/>
  <c r="AN51" i="9"/>
  <c r="AL51" i="9"/>
  <c r="AG51" i="9"/>
  <c r="P51" i="9"/>
  <c r="O51" i="9"/>
  <c r="BS50" i="9"/>
  <c r="BM50" i="9"/>
  <c r="BL50" i="9"/>
  <c r="BH50" i="9"/>
  <c r="BG50" i="9"/>
  <c r="AQ50" i="9"/>
  <c r="AN50" i="9"/>
  <c r="AL50" i="9"/>
  <c r="AG50" i="9"/>
  <c r="AI50" i="9" s="1"/>
  <c r="P50" i="9"/>
  <c r="O50" i="9"/>
  <c r="BS49" i="9"/>
  <c r="BM49" i="9"/>
  <c r="BL49" i="9"/>
  <c r="BH49" i="9"/>
  <c r="BG49" i="9"/>
  <c r="AQ49" i="9"/>
  <c r="AN49" i="9"/>
  <c r="AL49" i="9"/>
  <c r="AG49" i="9"/>
  <c r="P49" i="9"/>
  <c r="O49" i="9"/>
  <c r="BS48" i="9"/>
  <c r="BM48" i="9"/>
  <c r="BL48" i="9"/>
  <c r="BH48" i="9"/>
  <c r="BG48" i="9"/>
  <c r="AQ48" i="9"/>
  <c r="AN48" i="9"/>
  <c r="AR48" i="9" s="1"/>
  <c r="AL48" i="9"/>
  <c r="AG48" i="9"/>
  <c r="AI48" i="9" s="1"/>
  <c r="P48" i="9"/>
  <c r="O48" i="9"/>
  <c r="BS47" i="9"/>
  <c r="BM47" i="9"/>
  <c r="BL47" i="9"/>
  <c r="BH47" i="9"/>
  <c r="BG47" i="9"/>
  <c r="AQ47" i="9"/>
  <c r="AN47" i="9"/>
  <c r="AL47" i="9"/>
  <c r="AG47" i="9"/>
  <c r="P47" i="9"/>
  <c r="O47" i="9"/>
  <c r="BS46" i="9"/>
  <c r="BM46" i="9"/>
  <c r="BL46" i="9"/>
  <c r="BH46" i="9"/>
  <c r="BG46" i="9"/>
  <c r="AQ46" i="9"/>
  <c r="AN46" i="9"/>
  <c r="AL46" i="9"/>
  <c r="AG46" i="9"/>
  <c r="AI46" i="9" s="1"/>
  <c r="AS46" i="9" s="1"/>
  <c r="P46" i="9"/>
  <c r="O46" i="9"/>
  <c r="BS45" i="9"/>
  <c r="BM45" i="9"/>
  <c r="BL45" i="9"/>
  <c r="BH45" i="9"/>
  <c r="BG45" i="9"/>
  <c r="AQ45" i="9"/>
  <c r="AN45" i="9"/>
  <c r="AL45" i="9"/>
  <c r="AG45" i="9"/>
  <c r="P45" i="9"/>
  <c r="O45" i="9"/>
  <c r="BS44" i="9"/>
  <c r="BM44" i="9"/>
  <c r="BL44" i="9"/>
  <c r="BH44" i="9"/>
  <c r="BG44" i="9"/>
  <c r="AQ44" i="9"/>
  <c r="AN44" i="9"/>
  <c r="AL44" i="9"/>
  <c r="AG44" i="9"/>
  <c r="AI44" i="9" s="1"/>
  <c r="P44" i="9"/>
  <c r="O44" i="9"/>
  <c r="BS43" i="9"/>
  <c r="BM43" i="9"/>
  <c r="BL43" i="9"/>
  <c r="BH43" i="9"/>
  <c r="BG43" i="9"/>
  <c r="AQ43" i="9"/>
  <c r="AN43" i="9"/>
  <c r="AL43" i="9"/>
  <c r="AG43" i="9"/>
  <c r="P43" i="9"/>
  <c r="O43" i="9"/>
  <c r="BS42" i="9"/>
  <c r="BM42" i="9"/>
  <c r="BL42" i="9"/>
  <c r="BH42" i="9"/>
  <c r="BG42" i="9"/>
  <c r="AQ42" i="9"/>
  <c r="AN42" i="9"/>
  <c r="AR42" i="9" s="1"/>
  <c r="AL42" i="9"/>
  <c r="AG42" i="9"/>
  <c r="AI42" i="9" s="1"/>
  <c r="P42" i="9"/>
  <c r="O42" i="9"/>
  <c r="BS41" i="9"/>
  <c r="BM41" i="9"/>
  <c r="BL41" i="9"/>
  <c r="BH41" i="9"/>
  <c r="BG41" i="9"/>
  <c r="AQ41" i="9"/>
  <c r="AN41" i="9"/>
  <c r="AL41" i="9"/>
  <c r="AG41" i="9"/>
  <c r="P41" i="9"/>
  <c r="O41" i="9"/>
  <c r="BS40" i="9"/>
  <c r="BK40" i="9"/>
  <c r="BM40" i="9" s="1"/>
  <c r="BH40" i="9"/>
  <c r="BG40" i="9"/>
  <c r="AS40" i="9"/>
  <c r="AR40" i="9"/>
  <c r="AQ40" i="9"/>
  <c r="AN40" i="9"/>
  <c r="AL40" i="9"/>
  <c r="AG40" i="9"/>
  <c r="AI40" i="9" s="1"/>
  <c r="P40" i="9"/>
  <c r="O40" i="9"/>
  <c r="BS39" i="9"/>
  <c r="BK39" i="9"/>
  <c r="BM39" i="9" s="1"/>
  <c r="BH39" i="9"/>
  <c r="BG39" i="9"/>
  <c r="AQ39" i="9"/>
  <c r="AL39" i="9"/>
  <c r="AN39" i="9" s="1"/>
  <c r="AG39" i="9"/>
  <c r="AT39" i="9" s="1"/>
  <c r="P39" i="9"/>
  <c r="O39" i="9"/>
  <c r="BS38" i="9"/>
  <c r="BM38" i="9"/>
  <c r="BL38" i="9"/>
  <c r="BK38" i="9"/>
  <c r="BH38" i="9"/>
  <c r="BG38" i="9"/>
  <c r="AT38" i="9"/>
  <c r="AQ38" i="9"/>
  <c r="AL38" i="9"/>
  <c r="AN38" i="9" s="1"/>
  <c r="AI38" i="9"/>
  <c r="AG38" i="9"/>
  <c r="P38" i="9"/>
  <c r="O38" i="9"/>
  <c r="BS37" i="9"/>
  <c r="BM37" i="9"/>
  <c r="BL37" i="9"/>
  <c r="BK37" i="9"/>
  <c r="BH37" i="9"/>
  <c r="BG37" i="9"/>
  <c r="AQ37" i="9"/>
  <c r="AT37" i="9" s="1"/>
  <c r="AN37" i="9"/>
  <c r="AL37" i="9"/>
  <c r="AI37" i="9"/>
  <c r="AG37" i="9"/>
  <c r="P37" i="9"/>
  <c r="O37" i="9"/>
  <c r="BS36" i="9"/>
  <c r="BK36" i="9"/>
  <c r="BH36" i="9"/>
  <c r="BG36" i="9"/>
  <c r="AQ36" i="9"/>
  <c r="AN36" i="9"/>
  <c r="AL36" i="9"/>
  <c r="AG36" i="9"/>
  <c r="P36" i="9"/>
  <c r="O36" i="9"/>
  <c r="BS35" i="9"/>
  <c r="BK35" i="9"/>
  <c r="BM35" i="9" s="1"/>
  <c r="BH35" i="9"/>
  <c r="BG35" i="9"/>
  <c r="AS35" i="9"/>
  <c r="AQ35" i="9"/>
  <c r="AN35" i="9"/>
  <c r="AL35" i="9"/>
  <c r="AG35" i="9"/>
  <c r="AI35" i="9" s="1"/>
  <c r="AR35" i="9" s="1"/>
  <c r="P35" i="9"/>
  <c r="O35" i="9"/>
  <c r="BS34" i="9"/>
  <c r="BM34" i="9"/>
  <c r="BL34" i="9"/>
  <c r="BK34" i="9"/>
  <c r="BH34" i="9"/>
  <c r="BG34" i="9"/>
  <c r="AQ34" i="9"/>
  <c r="AL34" i="9"/>
  <c r="AN34" i="9" s="1"/>
  <c r="AG34" i="9"/>
  <c r="AT34" i="9" s="1"/>
  <c r="P34" i="9"/>
  <c r="O34" i="9"/>
  <c r="BS33" i="9"/>
  <c r="BM33" i="9"/>
  <c r="BL33" i="9"/>
  <c r="BK33" i="9"/>
  <c r="BH33" i="9"/>
  <c r="BG33" i="9"/>
  <c r="AT33" i="9"/>
  <c r="AQ33" i="9"/>
  <c r="AL33" i="9"/>
  <c r="AN33" i="9" s="1"/>
  <c r="AI33" i="9"/>
  <c r="AG33" i="9"/>
  <c r="P33" i="9"/>
  <c r="O33" i="9"/>
  <c r="BS32" i="9"/>
  <c r="BM32" i="9"/>
  <c r="BL32" i="9"/>
  <c r="BK32" i="9"/>
  <c r="BH32" i="9"/>
  <c r="BG32" i="9"/>
  <c r="AQ32" i="9"/>
  <c r="AT32" i="9" s="1"/>
  <c r="AL32" i="9"/>
  <c r="AN32" i="9" s="1"/>
  <c r="AI32" i="9"/>
  <c r="AG32" i="9"/>
  <c r="P32" i="9"/>
  <c r="O32" i="9"/>
  <c r="BS31" i="9"/>
  <c r="BK31" i="9"/>
  <c r="BH31" i="9"/>
  <c r="BG31" i="9"/>
  <c r="AQ31" i="9"/>
  <c r="AN31" i="9"/>
  <c r="AL31" i="9"/>
  <c r="AG31" i="9"/>
  <c r="P31" i="9"/>
  <c r="O31" i="9"/>
  <c r="BS30" i="9"/>
  <c r="BK30" i="9"/>
  <c r="BM30" i="9" s="1"/>
  <c r="BH30" i="9"/>
  <c r="BG30" i="9"/>
  <c r="AQ30" i="9"/>
  <c r="AN30" i="9"/>
  <c r="AL30" i="9"/>
  <c r="AG30" i="9"/>
  <c r="AI30" i="9" s="1"/>
  <c r="AS30" i="9" s="1"/>
  <c r="P30" i="9"/>
  <c r="O30" i="9"/>
  <c r="BS29" i="9"/>
  <c r="BM29" i="9"/>
  <c r="BK29" i="9"/>
  <c r="BL29" i="9" s="1"/>
  <c r="BH29" i="9"/>
  <c r="BG29" i="9"/>
  <c r="AQ29" i="9"/>
  <c r="AL29" i="9"/>
  <c r="AN29" i="9" s="1"/>
  <c r="AG29" i="9"/>
  <c r="P29" i="9"/>
  <c r="O29" i="9"/>
  <c r="BS28" i="9"/>
  <c r="BM28" i="9"/>
  <c r="BL28" i="9"/>
  <c r="BK28" i="9"/>
  <c r="BH28" i="9"/>
  <c r="BG28" i="9"/>
  <c r="AT28" i="9"/>
  <c r="AQ28" i="9"/>
  <c r="AL28" i="9"/>
  <c r="AN28" i="9" s="1"/>
  <c r="AI28" i="9"/>
  <c r="AG28" i="9"/>
  <c r="P28" i="9"/>
  <c r="O28" i="9"/>
  <c r="BS27" i="9"/>
  <c r="BM27" i="9"/>
  <c r="BL27" i="9"/>
  <c r="BK27" i="9"/>
  <c r="BH27" i="9"/>
  <c r="BG27" i="9"/>
  <c r="AQ27" i="9"/>
  <c r="AN27" i="9"/>
  <c r="AL27" i="9"/>
  <c r="AI27" i="9"/>
  <c r="AS27" i="9" s="1"/>
  <c r="AG27" i="9"/>
  <c r="P27" i="9"/>
  <c r="O27" i="9"/>
  <c r="BS26" i="9"/>
  <c r="BK26" i="9"/>
  <c r="BH26" i="9"/>
  <c r="BG26" i="9"/>
  <c r="AQ26" i="9"/>
  <c r="AN26" i="9"/>
  <c r="AL26" i="9"/>
  <c r="AG26" i="9"/>
  <c r="P26" i="9"/>
  <c r="O26" i="9"/>
  <c r="BS25" i="9"/>
  <c r="BK25" i="9"/>
  <c r="BM25" i="9" s="1"/>
  <c r="BH25" i="9"/>
  <c r="BG25" i="9"/>
  <c r="AQ25" i="9"/>
  <c r="AN25" i="9"/>
  <c r="AL25" i="9"/>
  <c r="AG25" i="9"/>
  <c r="AI25" i="9" s="1"/>
  <c r="AS25" i="9" s="1"/>
  <c r="P25" i="9"/>
  <c r="O25" i="9"/>
  <c r="BS24" i="9"/>
  <c r="BL24" i="9"/>
  <c r="BK24" i="9"/>
  <c r="BM24" i="9" s="1"/>
  <c r="BH24" i="9"/>
  <c r="BG24" i="9"/>
  <c r="AQ24" i="9"/>
  <c r="AL24" i="9"/>
  <c r="AN24" i="9" s="1"/>
  <c r="AG24" i="9"/>
  <c r="AT24" i="9" s="1"/>
  <c r="P24" i="9"/>
  <c r="O24" i="9"/>
  <c r="BS23" i="9"/>
  <c r="BM23" i="9"/>
  <c r="BL23" i="9"/>
  <c r="BK23" i="9"/>
  <c r="BH23" i="9"/>
  <c r="BG23" i="9"/>
  <c r="AT23" i="9"/>
  <c r="AS23" i="9"/>
  <c r="AQ23" i="9"/>
  <c r="AL23" i="9"/>
  <c r="AN23" i="9" s="1"/>
  <c r="AR23" i="9" s="1"/>
  <c r="AI23" i="9"/>
  <c r="AG23" i="9"/>
  <c r="P23" i="9"/>
  <c r="O23" i="9"/>
  <c r="BS22" i="9"/>
  <c r="BM22" i="9"/>
  <c r="BL22" i="9"/>
  <c r="BK22" i="9"/>
  <c r="BH22" i="9"/>
  <c r="BG22" i="9"/>
  <c r="AQ22" i="9"/>
  <c r="AL22" i="9"/>
  <c r="AN22" i="9" s="1"/>
  <c r="AI22" i="9"/>
  <c r="AG22" i="9"/>
  <c r="P22" i="9"/>
  <c r="O22" i="9"/>
  <c r="BS21" i="9"/>
  <c r="BK21" i="9"/>
  <c r="BH21" i="9"/>
  <c r="BG21" i="9"/>
  <c r="AQ21" i="9"/>
  <c r="AN21" i="9"/>
  <c r="AL21" i="9"/>
  <c r="AG21" i="9"/>
  <c r="P21" i="9"/>
  <c r="O21" i="9"/>
  <c r="BS20" i="9"/>
  <c r="BK20" i="9"/>
  <c r="BM20" i="9" s="1"/>
  <c r="BH20" i="9"/>
  <c r="BG20" i="9"/>
  <c r="AQ20" i="9"/>
  <c r="AN20" i="9"/>
  <c r="AL20" i="9"/>
  <c r="AG20" i="9"/>
  <c r="AI20" i="9" s="1"/>
  <c r="P20" i="9"/>
  <c r="O20" i="9"/>
  <c r="BS19" i="9"/>
  <c r="BK19" i="9"/>
  <c r="BM19" i="9" s="1"/>
  <c r="BH19" i="9"/>
  <c r="BG19" i="9"/>
  <c r="AQ19" i="9"/>
  <c r="AL19" i="9"/>
  <c r="AN19" i="9" s="1"/>
  <c r="AG19" i="9"/>
  <c r="P19" i="9"/>
  <c r="O19" i="9"/>
  <c r="BS18" i="9"/>
  <c r="BM18" i="9"/>
  <c r="BL18" i="9"/>
  <c r="BK18" i="9"/>
  <c r="BH18" i="9"/>
  <c r="BG18" i="9"/>
  <c r="AT18" i="9"/>
  <c r="AS18" i="9"/>
  <c r="AQ18" i="9"/>
  <c r="AL18" i="9"/>
  <c r="AN18" i="9" s="1"/>
  <c r="AR18" i="9" s="1"/>
  <c r="AI18" i="9"/>
  <c r="AG18" i="9"/>
  <c r="P18" i="9"/>
  <c r="O18" i="9"/>
  <c r="BS17" i="9"/>
  <c r="BM17" i="9"/>
  <c r="BL17" i="9"/>
  <c r="BK17" i="9"/>
  <c r="BH17" i="9"/>
  <c r="BG17" i="9"/>
  <c r="AQ17" i="9"/>
  <c r="AL17" i="9"/>
  <c r="AN17" i="9" s="1"/>
  <c r="AI17" i="9"/>
  <c r="AG17" i="9"/>
  <c r="P17" i="9"/>
  <c r="O17" i="9"/>
  <c r="BS16" i="9"/>
  <c r="BK16" i="9"/>
  <c r="BH16" i="9"/>
  <c r="BG16" i="9"/>
  <c r="AQ16" i="9"/>
  <c r="AN16" i="9"/>
  <c r="AL16" i="9"/>
  <c r="AG16" i="9"/>
  <c r="P16" i="9"/>
  <c r="O16" i="9"/>
  <c r="BS15" i="9"/>
  <c r="BK15" i="9"/>
  <c r="BM15" i="9" s="1"/>
  <c r="BH15" i="9"/>
  <c r="BG15" i="9"/>
  <c r="AQ15" i="9"/>
  <c r="AN15" i="9"/>
  <c r="AL15" i="9"/>
  <c r="AG15" i="9"/>
  <c r="AI15" i="9" s="1"/>
  <c r="P15" i="9"/>
  <c r="O15" i="9"/>
  <c r="BS14" i="9"/>
  <c r="BK14" i="9"/>
  <c r="BM14" i="9" s="1"/>
  <c r="BH14" i="9"/>
  <c r="BG14" i="9"/>
  <c r="AQ14" i="9"/>
  <c r="AL14" i="9"/>
  <c r="AN14" i="9" s="1"/>
  <c r="AI14" i="9"/>
  <c r="AG14" i="9"/>
  <c r="P14" i="9"/>
  <c r="O14" i="9"/>
  <c r="BS13" i="9"/>
  <c r="BM13" i="9"/>
  <c r="BL13" i="9"/>
  <c r="BK13" i="9"/>
  <c r="BH13" i="9"/>
  <c r="BG13" i="9"/>
  <c r="AT13" i="9"/>
  <c r="AQ13" i="9"/>
  <c r="AL13" i="9"/>
  <c r="AN13" i="9" s="1"/>
  <c r="AR13" i="9" s="1"/>
  <c r="AI13" i="9"/>
  <c r="AG13" i="9"/>
  <c r="P13" i="9"/>
  <c r="O13" i="9"/>
  <c r="BS12" i="9"/>
  <c r="BM12" i="9"/>
  <c r="BL12" i="9"/>
  <c r="BK12" i="9"/>
  <c r="BH12" i="9"/>
  <c r="BG12" i="9"/>
  <c r="AQ12" i="9"/>
  <c r="AL12" i="9"/>
  <c r="AN12" i="9" s="1"/>
  <c r="AI12" i="9"/>
  <c r="AG12" i="9"/>
  <c r="P12" i="9"/>
  <c r="O12" i="9"/>
  <c r="BS11" i="9"/>
  <c r="BK11" i="9"/>
  <c r="BH11" i="9"/>
  <c r="BG11" i="9"/>
  <c r="AQ11" i="9"/>
  <c r="AN11" i="9"/>
  <c r="AL11" i="9"/>
  <c r="AG11" i="9"/>
  <c r="P11" i="9"/>
  <c r="O11" i="9"/>
  <c r="BS10" i="9"/>
  <c r="BK10" i="9"/>
  <c r="BM10" i="9" s="1"/>
  <c r="BH10" i="9"/>
  <c r="BG10" i="9"/>
  <c r="AQ10" i="9"/>
  <c r="AN10" i="9"/>
  <c r="AL10" i="9"/>
  <c r="AG10" i="9"/>
  <c r="AI10" i="9" s="1"/>
  <c r="P10" i="9"/>
  <c r="O10" i="9"/>
  <c r="BS9" i="9"/>
  <c r="BK9" i="9"/>
  <c r="BM9" i="9" s="1"/>
  <c r="BH9" i="9"/>
  <c r="BG9" i="9"/>
  <c r="AQ9" i="9"/>
  <c r="AL9" i="9"/>
  <c r="AN9" i="9" s="1"/>
  <c r="AG9" i="9"/>
  <c r="P9" i="9"/>
  <c r="O9" i="9"/>
  <c r="BS8" i="9"/>
  <c r="BM8" i="9"/>
  <c r="BL8" i="9"/>
  <c r="BK8" i="9"/>
  <c r="BH8" i="9"/>
  <c r="BG8" i="9"/>
  <c r="AT8" i="9"/>
  <c r="AQ8" i="9"/>
  <c r="AL8" i="9"/>
  <c r="AN8" i="9" s="1"/>
  <c r="AR8" i="9" s="1"/>
  <c r="AI8" i="9"/>
  <c r="AG8" i="9"/>
  <c r="P8" i="9"/>
  <c r="O8" i="9"/>
  <c r="BS7" i="9"/>
  <c r="BM7" i="9"/>
  <c r="BL7" i="9"/>
  <c r="BK7" i="9"/>
  <c r="BH7" i="9"/>
  <c r="BG7" i="9"/>
  <c r="AQ7" i="9"/>
  <c r="AL7" i="9"/>
  <c r="AN7" i="9" s="1"/>
  <c r="AI7" i="9"/>
  <c r="AS7" i="9" s="1"/>
  <c r="AG7" i="9"/>
  <c r="P7" i="9"/>
  <c r="O7" i="9"/>
  <c r="BS6" i="9"/>
  <c r="BK6" i="9"/>
  <c r="BH6" i="9"/>
  <c r="BG6" i="9"/>
  <c r="AQ6" i="9"/>
  <c r="AN6" i="9"/>
  <c r="AL6" i="9"/>
  <c r="AG6" i="9"/>
  <c r="P6" i="9"/>
  <c r="O6" i="9"/>
  <c r="BS5" i="9"/>
  <c r="BK5" i="9"/>
  <c r="BM5" i="9" s="1"/>
  <c r="BH5" i="9"/>
  <c r="BG5" i="9"/>
  <c r="AS5" i="9"/>
  <c r="AQ5" i="9"/>
  <c r="AN5" i="9"/>
  <c r="AL5" i="9"/>
  <c r="AG5" i="9"/>
  <c r="AI5" i="9" s="1"/>
  <c r="P5" i="9"/>
  <c r="O5" i="9"/>
  <c r="BS4" i="9"/>
  <c r="BK4" i="9"/>
  <c r="BM4" i="9" s="1"/>
  <c r="BH4" i="9"/>
  <c r="BG4" i="9"/>
  <c r="AQ4" i="9"/>
  <c r="AL4" i="9"/>
  <c r="AN4" i="9" s="1"/>
  <c r="AI4" i="9"/>
  <c r="AG4" i="9"/>
  <c r="AT4" i="9" s="1"/>
  <c r="P4" i="9"/>
  <c r="O4" i="9"/>
  <c r="BS3" i="9"/>
  <c r="BM3" i="9"/>
  <c r="BL3" i="9"/>
  <c r="BK3" i="9"/>
  <c r="BH3" i="9"/>
  <c r="BG3" i="9"/>
  <c r="AT3" i="9"/>
  <c r="AQ3" i="9"/>
  <c r="AL3" i="9"/>
  <c r="AN3" i="9" s="1"/>
  <c r="AR3" i="9" s="1"/>
  <c r="AI3" i="9"/>
  <c r="AG3" i="9"/>
  <c r="P3" i="9"/>
  <c r="O3" i="9"/>
  <c r="BS2" i="9"/>
  <c r="BM2" i="9"/>
  <c r="BL2" i="9"/>
  <c r="BK2" i="9"/>
  <c r="BH2" i="9"/>
  <c r="BG2" i="9"/>
  <c r="AQ2" i="9"/>
  <c r="AL2" i="9"/>
  <c r="AN2" i="9" s="1"/>
  <c r="AI2" i="9"/>
  <c r="AS2" i="9" s="1"/>
  <c r="AG2" i="9"/>
  <c r="P2" i="9"/>
  <c r="O2" i="9"/>
  <c r="BS300" i="8"/>
  <c r="BM300" i="8"/>
  <c r="BL300" i="8"/>
  <c r="BH300" i="8"/>
  <c r="BG300" i="8"/>
  <c r="AT300" i="8"/>
  <c r="AQ300" i="8"/>
  <c r="AN300" i="8"/>
  <c r="AL300" i="8"/>
  <c r="AG300" i="8"/>
  <c r="AI300" i="8" s="1"/>
  <c r="P300" i="8"/>
  <c r="O300" i="8"/>
  <c r="BS299" i="8"/>
  <c r="BM299" i="8"/>
  <c r="BL299" i="8"/>
  <c r="BH299" i="8"/>
  <c r="BG299" i="8"/>
  <c r="AQ299" i="8"/>
  <c r="AT299" i="8" s="1"/>
  <c r="AL299" i="8"/>
  <c r="AN299" i="8" s="1"/>
  <c r="AI299" i="8"/>
  <c r="AG299" i="8"/>
  <c r="P299" i="8"/>
  <c r="O299" i="8"/>
  <c r="BS298" i="8"/>
  <c r="BM298" i="8"/>
  <c r="BL298" i="8"/>
  <c r="BH298" i="8"/>
  <c r="BG298" i="8"/>
  <c r="AT298" i="8"/>
  <c r="AQ298" i="8"/>
  <c r="AN298" i="8"/>
  <c r="AL298" i="8"/>
  <c r="AG298" i="8"/>
  <c r="AI298" i="8" s="1"/>
  <c r="P298" i="8"/>
  <c r="O298" i="8"/>
  <c r="BS297" i="8"/>
  <c r="BM297" i="8"/>
  <c r="BL297" i="8"/>
  <c r="BH297" i="8"/>
  <c r="BG297" i="8"/>
  <c r="AQ297" i="8"/>
  <c r="AL297" i="8"/>
  <c r="AN297" i="8" s="1"/>
  <c r="AI297" i="8"/>
  <c r="AG297" i="8"/>
  <c r="P297" i="8"/>
  <c r="O297" i="8"/>
  <c r="BS296" i="8"/>
  <c r="BM296" i="8"/>
  <c r="BL296" i="8"/>
  <c r="BH296" i="8"/>
  <c r="BG296" i="8"/>
  <c r="AT296" i="8"/>
  <c r="AQ296" i="8"/>
  <c r="AN296" i="8"/>
  <c r="AL296" i="8"/>
  <c r="AG296" i="8"/>
  <c r="AI296" i="8" s="1"/>
  <c r="P296" i="8"/>
  <c r="O296" i="8"/>
  <c r="BS295" i="8"/>
  <c r="BM295" i="8"/>
  <c r="BL295" i="8"/>
  <c r="BH295" i="8"/>
  <c r="BG295" i="8"/>
  <c r="AQ295" i="8"/>
  <c r="AT295" i="8" s="1"/>
  <c r="AN295" i="8"/>
  <c r="AL295" i="8"/>
  <c r="AI295" i="8"/>
  <c r="AG295" i="8"/>
  <c r="P295" i="8"/>
  <c r="O295" i="8"/>
  <c r="BS294" i="8"/>
  <c r="BM294" i="8"/>
  <c r="BL294" i="8"/>
  <c r="BH294" i="8"/>
  <c r="BG294" i="8"/>
  <c r="AT294" i="8"/>
  <c r="AQ294" i="8"/>
  <c r="AN294" i="8"/>
  <c r="AL294" i="8"/>
  <c r="AG294" i="8"/>
  <c r="AI294" i="8" s="1"/>
  <c r="P294" i="8"/>
  <c r="O294" i="8"/>
  <c r="BS293" i="8"/>
  <c r="BM293" i="8"/>
  <c r="BL293" i="8"/>
  <c r="BH293" i="8"/>
  <c r="BG293" i="8"/>
  <c r="AQ293" i="8"/>
  <c r="AL293" i="8"/>
  <c r="AN293" i="8" s="1"/>
  <c r="AI293" i="8"/>
  <c r="AG293" i="8"/>
  <c r="P293" i="8"/>
  <c r="O293" i="8"/>
  <c r="BS292" i="8"/>
  <c r="BM292" i="8"/>
  <c r="BL292" i="8"/>
  <c r="BH292" i="8"/>
  <c r="BG292" i="8"/>
  <c r="AT292" i="8"/>
  <c r="AQ292" i="8"/>
  <c r="AN292" i="8"/>
  <c r="AL292" i="8"/>
  <c r="AG292" i="8"/>
  <c r="AI292" i="8" s="1"/>
  <c r="P292" i="8"/>
  <c r="O292" i="8"/>
  <c r="BS291" i="8"/>
  <c r="BM291" i="8"/>
  <c r="BL291" i="8"/>
  <c r="BH291" i="8"/>
  <c r="BG291" i="8"/>
  <c r="AQ291" i="8"/>
  <c r="AL291" i="8"/>
  <c r="AN291" i="8" s="1"/>
  <c r="AI291" i="8"/>
  <c r="AS291" i="8" s="1"/>
  <c r="AG291" i="8"/>
  <c r="P291" i="8"/>
  <c r="O291" i="8"/>
  <c r="BS290" i="8"/>
  <c r="BM290" i="8"/>
  <c r="BL290" i="8"/>
  <c r="BH290" i="8"/>
  <c r="BG290" i="8"/>
  <c r="AT290" i="8"/>
  <c r="AQ290" i="8"/>
  <c r="AN290" i="8"/>
  <c r="AL290" i="8"/>
  <c r="AG290" i="8"/>
  <c r="AI290" i="8" s="1"/>
  <c r="P290" i="8"/>
  <c r="O290" i="8"/>
  <c r="BS289" i="8"/>
  <c r="BM289" i="8"/>
  <c r="BL289" i="8"/>
  <c r="BH289" i="8"/>
  <c r="BG289" i="8"/>
  <c r="AQ289" i="8"/>
  <c r="AT289" i="8" s="1"/>
  <c r="AL289" i="8"/>
  <c r="AN289" i="8" s="1"/>
  <c r="AI289" i="8"/>
  <c r="AG289" i="8"/>
  <c r="P289" i="8"/>
  <c r="O289" i="8"/>
  <c r="BS288" i="8"/>
  <c r="BM288" i="8"/>
  <c r="BL288" i="8"/>
  <c r="BH288" i="8"/>
  <c r="BG288" i="8"/>
  <c r="AT288" i="8"/>
  <c r="AQ288" i="8"/>
  <c r="AN288" i="8"/>
  <c r="AL288" i="8"/>
  <c r="AG288" i="8"/>
  <c r="AI288" i="8" s="1"/>
  <c r="P288" i="8"/>
  <c r="O288" i="8"/>
  <c r="BS287" i="8"/>
  <c r="BM287" i="8"/>
  <c r="BL287" i="8"/>
  <c r="BH287" i="8"/>
  <c r="BG287" i="8"/>
  <c r="AQ287" i="8"/>
  <c r="AL287" i="8"/>
  <c r="AN287" i="8" s="1"/>
  <c r="AI287" i="8"/>
  <c r="AG287" i="8"/>
  <c r="P287" i="8"/>
  <c r="O287" i="8"/>
  <c r="BS286" i="8"/>
  <c r="BM286" i="8"/>
  <c r="BL286" i="8"/>
  <c r="BH286" i="8"/>
  <c r="BG286" i="8"/>
  <c r="AT286" i="8"/>
  <c r="AQ286" i="8"/>
  <c r="AN286" i="8"/>
  <c r="AL286" i="8"/>
  <c r="AG286" i="8"/>
  <c r="AI286" i="8" s="1"/>
  <c r="P286" i="8"/>
  <c r="O286" i="8"/>
  <c r="BS285" i="8"/>
  <c r="BM285" i="8"/>
  <c r="BL285" i="8"/>
  <c r="BH285" i="8"/>
  <c r="BG285" i="8"/>
  <c r="AQ285" i="8"/>
  <c r="AL285" i="8"/>
  <c r="AN285" i="8" s="1"/>
  <c r="AI285" i="8"/>
  <c r="AG285" i="8"/>
  <c r="P285" i="8"/>
  <c r="O285" i="8"/>
  <c r="BS284" i="8"/>
  <c r="BM284" i="8"/>
  <c r="BL284" i="8"/>
  <c r="BH284" i="8"/>
  <c r="BG284" i="8"/>
  <c r="AT284" i="8"/>
  <c r="AQ284" i="8"/>
  <c r="AN284" i="8"/>
  <c r="AL284" i="8"/>
  <c r="AG284" i="8"/>
  <c r="AI284" i="8" s="1"/>
  <c r="P284" i="8"/>
  <c r="O284" i="8"/>
  <c r="BS283" i="8"/>
  <c r="BM283" i="8"/>
  <c r="BL283" i="8"/>
  <c r="BH283" i="8"/>
  <c r="BG283" i="8"/>
  <c r="AQ283" i="8"/>
  <c r="AL283" i="8"/>
  <c r="AN283" i="8" s="1"/>
  <c r="AI283" i="8"/>
  <c r="AG283" i="8"/>
  <c r="P283" i="8"/>
  <c r="O283" i="8"/>
  <c r="BS282" i="8"/>
  <c r="BM282" i="8"/>
  <c r="BL282" i="8"/>
  <c r="BH282" i="8"/>
  <c r="BG282" i="8"/>
  <c r="AT282" i="8"/>
  <c r="AQ282" i="8"/>
  <c r="AN282" i="8"/>
  <c r="AL282" i="8"/>
  <c r="AG282" i="8"/>
  <c r="AI282" i="8" s="1"/>
  <c r="P282" i="8"/>
  <c r="O282" i="8"/>
  <c r="BS281" i="8"/>
  <c r="BM281" i="8"/>
  <c r="BL281" i="8"/>
  <c r="BH281" i="8"/>
  <c r="BG281" i="8"/>
  <c r="AQ281" i="8"/>
  <c r="AL281" i="8"/>
  <c r="AN281" i="8" s="1"/>
  <c r="AI281" i="8"/>
  <c r="AS281" i="8" s="1"/>
  <c r="AG281" i="8"/>
  <c r="P281" i="8"/>
  <c r="O281" i="8"/>
  <c r="BS280" i="8"/>
  <c r="BM280" i="8"/>
  <c r="BL280" i="8"/>
  <c r="BH280" i="8"/>
  <c r="BG280" i="8"/>
  <c r="AT280" i="8"/>
  <c r="AQ280" i="8"/>
  <c r="AN280" i="8"/>
  <c r="AL280" i="8"/>
  <c r="AG280" i="8"/>
  <c r="AI280" i="8" s="1"/>
  <c r="P280" i="8"/>
  <c r="O280" i="8"/>
  <c r="BS279" i="8"/>
  <c r="BM279" i="8"/>
  <c r="BL279" i="8"/>
  <c r="BH279" i="8"/>
  <c r="BG279" i="8"/>
  <c r="AQ279" i="8"/>
  <c r="AT279" i="8" s="1"/>
  <c r="AL279" i="8"/>
  <c r="AN279" i="8" s="1"/>
  <c r="AI279" i="8"/>
  <c r="AG279" i="8"/>
  <c r="P279" i="8"/>
  <c r="O279" i="8"/>
  <c r="BS278" i="8"/>
  <c r="BM278" i="8"/>
  <c r="BL278" i="8"/>
  <c r="BH278" i="8"/>
  <c r="BG278" i="8"/>
  <c r="AT278" i="8"/>
  <c r="AQ278" i="8"/>
  <c r="AN278" i="8"/>
  <c r="AL278" i="8"/>
  <c r="AG278" i="8"/>
  <c r="AI278" i="8" s="1"/>
  <c r="P278" i="8"/>
  <c r="O278" i="8"/>
  <c r="BS277" i="8"/>
  <c r="BM277" i="8"/>
  <c r="BL277" i="8"/>
  <c r="BH277" i="8"/>
  <c r="BG277" i="8"/>
  <c r="AQ277" i="8"/>
  <c r="AL277" i="8"/>
  <c r="AN277" i="8" s="1"/>
  <c r="AI277" i="8"/>
  <c r="AG277" i="8"/>
  <c r="P277" i="8"/>
  <c r="O277" i="8"/>
  <c r="BS276" i="8"/>
  <c r="BM276" i="8"/>
  <c r="BL276" i="8"/>
  <c r="BH276" i="8"/>
  <c r="BG276" i="8"/>
  <c r="AT276" i="8"/>
  <c r="AQ276" i="8"/>
  <c r="AN276" i="8"/>
  <c r="AL276" i="8"/>
  <c r="AG276" i="8"/>
  <c r="AI276" i="8" s="1"/>
  <c r="P276" i="8"/>
  <c r="O276" i="8"/>
  <c r="BS275" i="8"/>
  <c r="BM275" i="8"/>
  <c r="BL275" i="8"/>
  <c r="BH275" i="8"/>
  <c r="BG275" i="8"/>
  <c r="AQ275" i="8"/>
  <c r="AN275" i="8"/>
  <c r="AL275" i="8"/>
  <c r="AI275" i="8"/>
  <c r="AG275" i="8"/>
  <c r="P275" i="8"/>
  <c r="O275" i="8"/>
  <c r="BS274" i="8"/>
  <c r="BM274" i="8"/>
  <c r="BL274" i="8"/>
  <c r="BH274" i="8"/>
  <c r="BG274" i="8"/>
  <c r="AT274" i="8"/>
  <c r="AQ274" i="8"/>
  <c r="AN274" i="8"/>
  <c r="AL274" i="8"/>
  <c r="AG274" i="8"/>
  <c r="AI274" i="8" s="1"/>
  <c r="P274" i="8"/>
  <c r="O274" i="8"/>
  <c r="BS273" i="8"/>
  <c r="BM273" i="8"/>
  <c r="BL273" i="8"/>
  <c r="BH273" i="8"/>
  <c r="BG273" i="8"/>
  <c r="AQ273" i="8"/>
  <c r="AL273" i="8"/>
  <c r="AN273" i="8" s="1"/>
  <c r="AI273" i="8"/>
  <c r="AG273" i="8"/>
  <c r="P273" i="8"/>
  <c r="O273" i="8"/>
  <c r="BS272" i="8"/>
  <c r="BM272" i="8"/>
  <c r="BL272" i="8"/>
  <c r="BH272" i="8"/>
  <c r="BG272" i="8"/>
  <c r="AT272" i="8"/>
  <c r="AQ272" i="8"/>
  <c r="AN272" i="8"/>
  <c r="AL272" i="8"/>
  <c r="AG272" i="8"/>
  <c r="AI272" i="8" s="1"/>
  <c r="P272" i="8"/>
  <c r="O272" i="8"/>
  <c r="BS271" i="8"/>
  <c r="BM271" i="8"/>
  <c r="BL271" i="8"/>
  <c r="BH271" i="8"/>
  <c r="BG271" i="8"/>
  <c r="AQ271" i="8"/>
  <c r="AL271" i="8"/>
  <c r="AN271" i="8" s="1"/>
  <c r="AI271" i="8"/>
  <c r="AG271" i="8"/>
  <c r="P271" i="8"/>
  <c r="O271" i="8"/>
  <c r="BS270" i="8"/>
  <c r="BM270" i="8"/>
  <c r="BL270" i="8"/>
  <c r="BH270" i="8"/>
  <c r="BG270" i="8"/>
  <c r="AT270" i="8"/>
  <c r="AQ270" i="8"/>
  <c r="AN270" i="8"/>
  <c r="AL270" i="8"/>
  <c r="AG270" i="8"/>
  <c r="AI270" i="8" s="1"/>
  <c r="P270" i="8"/>
  <c r="O270" i="8"/>
  <c r="BS269" i="8"/>
  <c r="BM269" i="8"/>
  <c r="BL269" i="8"/>
  <c r="BH269" i="8"/>
  <c r="BG269" i="8"/>
  <c r="AQ269" i="8"/>
  <c r="AT269" i="8" s="1"/>
  <c r="AL269" i="8"/>
  <c r="AN269" i="8" s="1"/>
  <c r="AI269" i="8"/>
  <c r="AG269" i="8"/>
  <c r="P269" i="8"/>
  <c r="O269" i="8"/>
  <c r="BS268" i="8"/>
  <c r="BM268" i="8"/>
  <c r="BL268" i="8"/>
  <c r="BH268" i="8"/>
  <c r="BG268" i="8"/>
  <c r="AT268" i="8"/>
  <c r="AQ268" i="8"/>
  <c r="AN268" i="8"/>
  <c r="AL268" i="8"/>
  <c r="AG268" i="8"/>
  <c r="AI268" i="8" s="1"/>
  <c r="P268" i="8"/>
  <c r="O268" i="8"/>
  <c r="BS267" i="8"/>
  <c r="BM267" i="8"/>
  <c r="BL267" i="8"/>
  <c r="BH267" i="8"/>
  <c r="BG267" i="8"/>
  <c r="AQ267" i="8"/>
  <c r="AL267" i="8"/>
  <c r="AN267" i="8" s="1"/>
  <c r="AI267" i="8"/>
  <c r="AG267" i="8"/>
  <c r="P267" i="8"/>
  <c r="O267" i="8"/>
  <c r="BS266" i="8"/>
  <c r="BM266" i="8"/>
  <c r="BL266" i="8"/>
  <c r="BH266" i="8"/>
  <c r="BG266" i="8"/>
  <c r="AT266" i="8"/>
  <c r="AQ266" i="8"/>
  <c r="AN266" i="8"/>
  <c r="AL266" i="8"/>
  <c r="AG266" i="8"/>
  <c r="AI266" i="8" s="1"/>
  <c r="P266" i="8"/>
  <c r="O266" i="8"/>
  <c r="BS265" i="8"/>
  <c r="BM265" i="8"/>
  <c r="BL265" i="8"/>
  <c r="BH265" i="8"/>
  <c r="BG265" i="8"/>
  <c r="AQ265" i="8"/>
  <c r="AL265" i="8"/>
  <c r="AN265" i="8" s="1"/>
  <c r="AI265" i="8"/>
  <c r="AG265" i="8"/>
  <c r="P265" i="8"/>
  <c r="O265" i="8"/>
  <c r="BS264" i="8"/>
  <c r="BM264" i="8"/>
  <c r="BL264" i="8"/>
  <c r="BH264" i="8"/>
  <c r="BG264" i="8"/>
  <c r="AT264" i="8"/>
  <c r="AQ264" i="8"/>
  <c r="AN264" i="8"/>
  <c r="AL264" i="8"/>
  <c r="AG264" i="8"/>
  <c r="AI264" i="8" s="1"/>
  <c r="P264" i="8"/>
  <c r="O264" i="8"/>
  <c r="BS263" i="8"/>
  <c r="BM263" i="8"/>
  <c r="BL263" i="8"/>
  <c r="BH263" i="8"/>
  <c r="BG263" i="8"/>
  <c r="AQ263" i="8"/>
  <c r="AL263" i="8"/>
  <c r="AN263" i="8" s="1"/>
  <c r="AI263" i="8"/>
  <c r="AG263" i="8"/>
  <c r="P263" i="8"/>
  <c r="O263" i="8"/>
  <c r="BS262" i="8"/>
  <c r="BM262" i="8"/>
  <c r="BL262" i="8"/>
  <c r="BH262" i="8"/>
  <c r="BG262" i="8"/>
  <c r="AT262" i="8"/>
  <c r="AQ262" i="8"/>
  <c r="AN262" i="8"/>
  <c r="AL262" i="8"/>
  <c r="AG262" i="8"/>
  <c r="AI262" i="8" s="1"/>
  <c r="P262" i="8"/>
  <c r="O262" i="8"/>
  <c r="BS261" i="8"/>
  <c r="BM261" i="8"/>
  <c r="BL261" i="8"/>
  <c r="BH261" i="8"/>
  <c r="BG261" i="8"/>
  <c r="AQ261" i="8"/>
  <c r="AL261" i="8"/>
  <c r="AN261" i="8" s="1"/>
  <c r="AI261" i="8"/>
  <c r="AS261" i="8" s="1"/>
  <c r="AG261" i="8"/>
  <c r="P261" i="8"/>
  <c r="O261" i="8"/>
  <c r="BS260" i="8"/>
  <c r="BM260" i="8"/>
  <c r="BL260" i="8"/>
  <c r="BH260" i="8"/>
  <c r="BG260" i="8"/>
  <c r="AT260" i="8"/>
  <c r="AQ260" i="8"/>
  <c r="AN260" i="8"/>
  <c r="AL260" i="8"/>
  <c r="AG260" i="8"/>
  <c r="AI260" i="8" s="1"/>
  <c r="P260" i="8"/>
  <c r="O260" i="8"/>
  <c r="BS259" i="8"/>
  <c r="BM259" i="8"/>
  <c r="BL259" i="8"/>
  <c r="BH259" i="8"/>
  <c r="BG259" i="8"/>
  <c r="AQ259" i="8"/>
  <c r="AT259" i="8" s="1"/>
  <c r="AL259" i="8"/>
  <c r="AN259" i="8" s="1"/>
  <c r="AI259" i="8"/>
  <c r="AG259" i="8"/>
  <c r="P259" i="8"/>
  <c r="O259" i="8"/>
  <c r="BS258" i="8"/>
  <c r="BM258" i="8"/>
  <c r="BL258" i="8"/>
  <c r="BH258" i="8"/>
  <c r="BG258" i="8"/>
  <c r="AT258" i="8"/>
  <c r="AQ258" i="8"/>
  <c r="AN258" i="8"/>
  <c r="AL258" i="8"/>
  <c r="AG258" i="8"/>
  <c r="AI258" i="8" s="1"/>
  <c r="P258" i="8"/>
  <c r="O258" i="8"/>
  <c r="BS257" i="8"/>
  <c r="BM257" i="8"/>
  <c r="BL257" i="8"/>
  <c r="BH257" i="8"/>
  <c r="BG257" i="8"/>
  <c r="AQ257" i="8"/>
  <c r="AL257" i="8"/>
  <c r="AN257" i="8" s="1"/>
  <c r="AI257" i="8"/>
  <c r="AG257" i="8"/>
  <c r="P257" i="8"/>
  <c r="O257" i="8"/>
  <c r="BS256" i="8"/>
  <c r="BM256" i="8"/>
  <c r="BL256" i="8"/>
  <c r="BH256" i="8"/>
  <c r="BG256" i="8"/>
  <c r="AT256" i="8"/>
  <c r="AQ256" i="8"/>
  <c r="AN256" i="8"/>
  <c r="AL256" i="8"/>
  <c r="AG256" i="8"/>
  <c r="AI256" i="8" s="1"/>
  <c r="P256" i="8"/>
  <c r="O256" i="8"/>
  <c r="BS255" i="8"/>
  <c r="BM255" i="8"/>
  <c r="BL255" i="8"/>
  <c r="BH255" i="8"/>
  <c r="BG255" i="8"/>
  <c r="AQ255" i="8"/>
  <c r="AL255" i="8"/>
  <c r="AN255" i="8" s="1"/>
  <c r="AI255" i="8"/>
  <c r="AG255" i="8"/>
  <c r="P255" i="8"/>
  <c r="O255" i="8"/>
  <c r="BS254" i="8"/>
  <c r="BM254" i="8"/>
  <c r="BL254" i="8"/>
  <c r="BH254" i="8"/>
  <c r="BG254" i="8"/>
  <c r="AT254" i="8"/>
  <c r="AQ254" i="8"/>
  <c r="AN254" i="8"/>
  <c r="AL254" i="8"/>
  <c r="AG254" i="8"/>
  <c r="AI254" i="8" s="1"/>
  <c r="P254" i="8"/>
  <c r="O254" i="8"/>
  <c r="BS253" i="8"/>
  <c r="BM253" i="8"/>
  <c r="BL253" i="8"/>
  <c r="BH253" i="8"/>
  <c r="BG253" i="8"/>
  <c r="AQ253" i="8"/>
  <c r="AL253" i="8"/>
  <c r="AN253" i="8" s="1"/>
  <c r="AI253" i="8"/>
  <c r="AG253" i="8"/>
  <c r="P253" i="8"/>
  <c r="O253" i="8"/>
  <c r="BS252" i="8"/>
  <c r="BM252" i="8"/>
  <c r="BL252" i="8"/>
  <c r="BH252" i="8"/>
  <c r="BG252" i="8"/>
  <c r="AT252" i="8"/>
  <c r="AQ252" i="8"/>
  <c r="AN252" i="8"/>
  <c r="AL252" i="8"/>
  <c r="AG252" i="8"/>
  <c r="AI252" i="8" s="1"/>
  <c r="P252" i="8"/>
  <c r="O252" i="8"/>
  <c r="BS251" i="8"/>
  <c r="BM251" i="8"/>
  <c r="BL251" i="8"/>
  <c r="BH251" i="8"/>
  <c r="BG251" i="8"/>
  <c r="AQ251" i="8"/>
  <c r="AL251" i="8"/>
  <c r="AN251" i="8" s="1"/>
  <c r="AI251" i="8"/>
  <c r="AS251" i="8" s="1"/>
  <c r="AG251" i="8"/>
  <c r="P251" i="8"/>
  <c r="O251" i="8"/>
  <c r="BS250" i="8"/>
  <c r="BM250" i="8"/>
  <c r="BL250" i="8"/>
  <c r="BH250" i="8"/>
  <c r="BG250" i="8"/>
  <c r="AT250" i="8"/>
  <c r="AQ250" i="8"/>
  <c r="AN250" i="8"/>
  <c r="AL250" i="8"/>
  <c r="AG250" i="8"/>
  <c r="AI250" i="8" s="1"/>
  <c r="P250" i="8"/>
  <c r="O250" i="8"/>
  <c r="BS249" i="8"/>
  <c r="BM249" i="8"/>
  <c r="BL249" i="8"/>
  <c r="BH249" i="8"/>
  <c r="BG249" i="8"/>
  <c r="AQ249" i="8"/>
  <c r="AT249" i="8" s="1"/>
  <c r="AL249" i="8"/>
  <c r="AN249" i="8" s="1"/>
  <c r="AI249" i="8"/>
  <c r="AG249" i="8"/>
  <c r="P249" i="8"/>
  <c r="O249" i="8"/>
  <c r="BS248" i="8"/>
  <c r="BM248" i="8"/>
  <c r="BL248" i="8"/>
  <c r="BH248" i="8"/>
  <c r="BG248" i="8"/>
  <c r="AT248" i="8"/>
  <c r="AQ248" i="8"/>
  <c r="AN248" i="8"/>
  <c r="AL248" i="8"/>
  <c r="AG248" i="8"/>
  <c r="AI248" i="8" s="1"/>
  <c r="P248" i="8"/>
  <c r="O248" i="8"/>
  <c r="BS247" i="8"/>
  <c r="BM247" i="8"/>
  <c r="BL247" i="8"/>
  <c r="BH247" i="8"/>
  <c r="BG247" i="8"/>
  <c r="AQ247" i="8"/>
  <c r="AL247" i="8"/>
  <c r="AN247" i="8" s="1"/>
  <c r="AI247" i="8"/>
  <c r="AG247" i="8"/>
  <c r="P247" i="8"/>
  <c r="O247" i="8"/>
  <c r="BS246" i="8"/>
  <c r="BM246" i="8"/>
  <c r="BL246" i="8"/>
  <c r="BH246" i="8"/>
  <c r="BG246" i="8"/>
  <c r="AT246" i="8"/>
  <c r="AQ246" i="8"/>
  <c r="AN246" i="8"/>
  <c r="AL246" i="8"/>
  <c r="AG246" i="8"/>
  <c r="AI246" i="8" s="1"/>
  <c r="P246" i="8"/>
  <c r="O246" i="8"/>
  <c r="BS245" i="8"/>
  <c r="BM245" i="8"/>
  <c r="BL245" i="8"/>
  <c r="BH245" i="8"/>
  <c r="BG245" i="8"/>
  <c r="AQ245" i="8"/>
  <c r="AT245" i="8" s="1"/>
  <c r="AN245" i="8"/>
  <c r="AL245" i="8"/>
  <c r="AI245" i="8"/>
  <c r="AG245" i="8"/>
  <c r="P245" i="8"/>
  <c r="O245" i="8"/>
  <c r="BS244" i="8"/>
  <c r="BM244" i="8"/>
  <c r="BL244" i="8"/>
  <c r="BH244" i="8"/>
  <c r="BG244" i="8"/>
  <c r="AT244" i="8"/>
  <c r="AQ244" i="8"/>
  <c r="AN244" i="8"/>
  <c r="AL244" i="8"/>
  <c r="AG244" i="8"/>
  <c r="AI244" i="8" s="1"/>
  <c r="P244" i="8"/>
  <c r="O244" i="8"/>
  <c r="BS243" i="8"/>
  <c r="BM243" i="8"/>
  <c r="BL243" i="8"/>
  <c r="BH243" i="8"/>
  <c r="BG243" i="8"/>
  <c r="AQ243" i="8"/>
  <c r="AL243" i="8"/>
  <c r="AN243" i="8" s="1"/>
  <c r="AI243" i="8"/>
  <c r="AG243" i="8"/>
  <c r="P243" i="8"/>
  <c r="O243" i="8"/>
  <c r="BS242" i="8"/>
  <c r="BM242" i="8"/>
  <c r="BL242" i="8"/>
  <c r="BH242" i="8"/>
  <c r="BG242" i="8"/>
  <c r="AT242" i="8"/>
  <c r="AQ242" i="8"/>
  <c r="AN242" i="8"/>
  <c r="AL242" i="8"/>
  <c r="AG242" i="8"/>
  <c r="AI242" i="8" s="1"/>
  <c r="P242" i="8"/>
  <c r="O242" i="8"/>
  <c r="BS241" i="8"/>
  <c r="BM241" i="8"/>
  <c r="BL241" i="8"/>
  <c r="BH241" i="8"/>
  <c r="BG241" i="8"/>
  <c r="AQ241" i="8"/>
  <c r="AL241" i="8"/>
  <c r="AN241" i="8" s="1"/>
  <c r="AI241" i="8"/>
  <c r="AS241" i="8" s="1"/>
  <c r="AG241" i="8"/>
  <c r="P241" i="8"/>
  <c r="O241" i="8"/>
  <c r="BS240" i="8"/>
  <c r="BM240" i="8"/>
  <c r="BL240" i="8"/>
  <c r="BH240" i="8"/>
  <c r="BG240" i="8"/>
  <c r="AT240" i="8"/>
  <c r="AQ240" i="8"/>
  <c r="AN240" i="8"/>
  <c r="AL240" i="8"/>
  <c r="AG240" i="8"/>
  <c r="AI240" i="8" s="1"/>
  <c r="P240" i="8"/>
  <c r="O240" i="8"/>
  <c r="BS239" i="8"/>
  <c r="BM239" i="8"/>
  <c r="BL239" i="8"/>
  <c r="BH239" i="8"/>
  <c r="BG239" i="8"/>
  <c r="AQ239" i="8"/>
  <c r="AT239" i="8" s="1"/>
  <c r="AL239" i="8"/>
  <c r="AN239" i="8" s="1"/>
  <c r="AI239" i="8"/>
  <c r="AG239" i="8"/>
  <c r="P239" i="8"/>
  <c r="O239" i="8"/>
  <c r="BS238" i="8"/>
  <c r="BM238" i="8"/>
  <c r="BL238" i="8"/>
  <c r="BH238" i="8"/>
  <c r="BG238" i="8"/>
  <c r="AT238" i="8"/>
  <c r="AQ238" i="8"/>
  <c r="AN238" i="8"/>
  <c r="AL238" i="8"/>
  <c r="AG238" i="8"/>
  <c r="AI238" i="8" s="1"/>
  <c r="P238" i="8"/>
  <c r="O238" i="8"/>
  <c r="BS237" i="8"/>
  <c r="BM237" i="8"/>
  <c r="BL237" i="8"/>
  <c r="BH237" i="8"/>
  <c r="BG237" i="8"/>
  <c r="AQ237" i="8"/>
  <c r="AL237" i="8"/>
  <c r="AN237" i="8" s="1"/>
  <c r="AI237" i="8"/>
  <c r="AG237" i="8"/>
  <c r="P237" i="8"/>
  <c r="O237" i="8"/>
  <c r="BS236" i="8"/>
  <c r="BM236" i="8"/>
  <c r="BL236" i="8"/>
  <c r="BH236" i="8"/>
  <c r="BG236" i="8"/>
  <c r="AT236" i="8"/>
  <c r="AQ236" i="8"/>
  <c r="AN236" i="8"/>
  <c r="AL236" i="8"/>
  <c r="AG236" i="8"/>
  <c r="AI236" i="8" s="1"/>
  <c r="P236" i="8"/>
  <c r="O236" i="8"/>
  <c r="BS235" i="8"/>
  <c r="BM235" i="8"/>
  <c r="BL235" i="8"/>
  <c r="BH235" i="8"/>
  <c r="BG235" i="8"/>
  <c r="AQ235" i="8"/>
  <c r="AL235" i="8"/>
  <c r="AN235" i="8" s="1"/>
  <c r="AI235" i="8"/>
  <c r="AG235" i="8"/>
  <c r="P235" i="8"/>
  <c r="O235" i="8"/>
  <c r="BS234" i="8"/>
  <c r="BM234" i="8"/>
  <c r="BL234" i="8"/>
  <c r="BH234" i="8"/>
  <c r="BG234" i="8"/>
  <c r="AT234" i="8"/>
  <c r="AQ234" i="8"/>
  <c r="AN234" i="8"/>
  <c r="AL234" i="8"/>
  <c r="AG234" i="8"/>
  <c r="AI234" i="8" s="1"/>
  <c r="P234" i="8"/>
  <c r="O234" i="8"/>
  <c r="BS233" i="8"/>
  <c r="BM233" i="8"/>
  <c r="BL233" i="8"/>
  <c r="BH233" i="8"/>
  <c r="BG233" i="8"/>
  <c r="AQ233" i="8"/>
  <c r="AL233" i="8"/>
  <c r="AN233" i="8" s="1"/>
  <c r="AI233" i="8"/>
  <c r="AG233" i="8"/>
  <c r="P233" i="8"/>
  <c r="O233" i="8"/>
  <c r="BS232" i="8"/>
  <c r="BM232" i="8"/>
  <c r="BL232" i="8"/>
  <c r="BH232" i="8"/>
  <c r="BG232" i="8"/>
  <c r="AT232" i="8"/>
  <c r="AQ232" i="8"/>
  <c r="AN232" i="8"/>
  <c r="AL232" i="8"/>
  <c r="AG232" i="8"/>
  <c r="AI232" i="8" s="1"/>
  <c r="P232" i="8"/>
  <c r="O232" i="8"/>
  <c r="BS231" i="8"/>
  <c r="BM231" i="8"/>
  <c r="BL231" i="8"/>
  <c r="BH231" i="8"/>
  <c r="BG231" i="8"/>
  <c r="AQ231" i="8"/>
  <c r="AL231" i="8"/>
  <c r="AN231" i="8" s="1"/>
  <c r="AI231" i="8"/>
  <c r="AG231" i="8"/>
  <c r="P231" i="8"/>
  <c r="O231" i="8"/>
  <c r="BS230" i="8"/>
  <c r="BM230" i="8"/>
  <c r="BL230" i="8"/>
  <c r="BH230" i="8"/>
  <c r="BG230" i="8"/>
  <c r="AT230" i="8"/>
  <c r="AS230" i="8"/>
  <c r="AQ230" i="8"/>
  <c r="AN230" i="8"/>
  <c r="AL230" i="8"/>
  <c r="AG230" i="8"/>
  <c r="AI230" i="8" s="1"/>
  <c r="P230" i="8"/>
  <c r="O230" i="8"/>
  <c r="BS229" i="8"/>
  <c r="BM229" i="8"/>
  <c r="BL229" i="8"/>
  <c r="BH229" i="8"/>
  <c r="BG229" i="8"/>
  <c r="AQ229" i="8"/>
  <c r="AT229" i="8" s="1"/>
  <c r="AL229" i="8"/>
  <c r="AN229" i="8" s="1"/>
  <c r="AI229" i="8"/>
  <c r="AG229" i="8"/>
  <c r="P229" i="8"/>
  <c r="O229" i="8"/>
  <c r="BS228" i="8"/>
  <c r="BM228" i="8"/>
  <c r="BL228" i="8"/>
  <c r="BH228" i="8"/>
  <c r="BG228" i="8"/>
  <c r="AT228" i="8"/>
  <c r="AQ228" i="8"/>
  <c r="AN228" i="8"/>
  <c r="AL228" i="8"/>
  <c r="AG228" i="8"/>
  <c r="AI228" i="8" s="1"/>
  <c r="P228" i="8"/>
  <c r="O228" i="8"/>
  <c r="BS227" i="8"/>
  <c r="BM227" i="8"/>
  <c r="BL227" i="8"/>
  <c r="BH227" i="8"/>
  <c r="BG227" i="8"/>
  <c r="AQ227" i="8"/>
  <c r="AL227" i="8"/>
  <c r="AN227" i="8" s="1"/>
  <c r="AI227" i="8"/>
  <c r="AG227" i="8"/>
  <c r="P227" i="8"/>
  <c r="O227" i="8"/>
  <c r="BS226" i="8"/>
  <c r="BM226" i="8"/>
  <c r="BL226" i="8"/>
  <c r="BH226" i="8"/>
  <c r="BG226" i="8"/>
  <c r="AT226" i="8"/>
  <c r="AS226" i="8"/>
  <c r="AQ226" i="8"/>
  <c r="AN226" i="8"/>
  <c r="AL226" i="8"/>
  <c r="AG226" i="8"/>
  <c r="AI226" i="8" s="1"/>
  <c r="P226" i="8"/>
  <c r="O226" i="8"/>
  <c r="BS225" i="8"/>
  <c r="BM225" i="8"/>
  <c r="BL225" i="8"/>
  <c r="BH225" i="8"/>
  <c r="BG225" i="8"/>
  <c r="AQ225" i="8"/>
  <c r="AT225" i="8" s="1"/>
  <c r="AL225" i="8"/>
  <c r="AN225" i="8" s="1"/>
  <c r="AI225" i="8"/>
  <c r="AG225" i="8"/>
  <c r="P225" i="8"/>
  <c r="O225" i="8"/>
  <c r="BS224" i="8"/>
  <c r="BM224" i="8"/>
  <c r="BL224" i="8"/>
  <c r="BH224" i="8"/>
  <c r="BG224" i="8"/>
  <c r="AT224" i="8"/>
  <c r="AQ224" i="8"/>
  <c r="AN224" i="8"/>
  <c r="AL224" i="8"/>
  <c r="AG224" i="8"/>
  <c r="AI224" i="8" s="1"/>
  <c r="P224" i="8"/>
  <c r="O224" i="8"/>
  <c r="BS223" i="8"/>
  <c r="BM223" i="8"/>
  <c r="BL223" i="8"/>
  <c r="BH223" i="8"/>
  <c r="BG223" i="8"/>
  <c r="AQ223" i="8"/>
  <c r="AL223" i="8"/>
  <c r="AN223" i="8" s="1"/>
  <c r="AI223" i="8"/>
  <c r="AG223" i="8"/>
  <c r="P223" i="8"/>
  <c r="O223" i="8"/>
  <c r="BS222" i="8"/>
  <c r="BM222" i="8"/>
  <c r="BL222" i="8"/>
  <c r="BH222" i="8"/>
  <c r="BG222" i="8"/>
  <c r="AT222" i="8"/>
  <c r="AS222" i="8"/>
  <c r="AQ222" i="8"/>
  <c r="AN222" i="8"/>
  <c r="AL222" i="8"/>
  <c r="AG222" i="8"/>
  <c r="AI222" i="8" s="1"/>
  <c r="P222" i="8"/>
  <c r="O222" i="8"/>
  <c r="BS221" i="8"/>
  <c r="BM221" i="8"/>
  <c r="BL221" i="8"/>
  <c r="BH221" i="8"/>
  <c r="BG221" i="8"/>
  <c r="AQ221" i="8"/>
  <c r="AT221" i="8" s="1"/>
  <c r="AL221" i="8"/>
  <c r="AN221" i="8" s="1"/>
  <c r="AI221" i="8"/>
  <c r="AG221" i="8"/>
  <c r="P221" i="8"/>
  <c r="O221" i="8"/>
  <c r="BS220" i="8"/>
  <c r="BM220" i="8"/>
  <c r="BL220" i="8"/>
  <c r="BH220" i="8"/>
  <c r="BG220" i="8"/>
  <c r="AT220" i="8"/>
  <c r="AQ220" i="8"/>
  <c r="AN220" i="8"/>
  <c r="AL220" i="8"/>
  <c r="AG220" i="8"/>
  <c r="AI220" i="8" s="1"/>
  <c r="P220" i="8"/>
  <c r="O220" i="8"/>
  <c r="BS219" i="8"/>
  <c r="BM219" i="8"/>
  <c r="BL219" i="8"/>
  <c r="BH219" i="8"/>
  <c r="BG219" i="8"/>
  <c r="AQ219" i="8"/>
  <c r="AL219" i="8"/>
  <c r="AN219" i="8" s="1"/>
  <c r="AI219" i="8"/>
  <c r="AG219" i="8"/>
  <c r="P219" i="8"/>
  <c r="O219" i="8"/>
  <c r="BS218" i="8"/>
  <c r="BM218" i="8"/>
  <c r="BL218" i="8"/>
  <c r="BH218" i="8"/>
  <c r="BG218" i="8"/>
  <c r="AT218" i="8"/>
  <c r="AS218" i="8"/>
  <c r="AQ218" i="8"/>
  <c r="AN218" i="8"/>
  <c r="AL218" i="8"/>
  <c r="AG218" i="8"/>
  <c r="AI218" i="8" s="1"/>
  <c r="P218" i="8"/>
  <c r="O218" i="8"/>
  <c r="BS217" i="8"/>
  <c r="BM217" i="8"/>
  <c r="BL217" i="8"/>
  <c r="BH217" i="8"/>
  <c r="BG217" i="8"/>
  <c r="AQ217" i="8"/>
  <c r="AT217" i="8" s="1"/>
  <c r="AL217" i="8"/>
  <c r="AN217" i="8" s="1"/>
  <c r="AI217" i="8"/>
  <c r="AG217" i="8"/>
  <c r="P217" i="8"/>
  <c r="O217" i="8"/>
  <c r="BS216" i="8"/>
  <c r="BM216" i="8"/>
  <c r="BL216" i="8"/>
  <c r="BH216" i="8"/>
  <c r="BG216" i="8"/>
  <c r="AT216" i="8"/>
  <c r="AQ216" i="8"/>
  <c r="AN216" i="8"/>
  <c r="AL216" i="8"/>
  <c r="AG216" i="8"/>
  <c r="AI216" i="8" s="1"/>
  <c r="P216" i="8"/>
  <c r="O216" i="8"/>
  <c r="BS215" i="8"/>
  <c r="BM215" i="8"/>
  <c r="BL215" i="8"/>
  <c r="BH215" i="8"/>
  <c r="BG215" i="8"/>
  <c r="AQ215" i="8"/>
  <c r="AL215" i="8"/>
  <c r="AN215" i="8" s="1"/>
  <c r="AI215" i="8"/>
  <c r="AG215" i="8"/>
  <c r="P215" i="8"/>
  <c r="O215" i="8"/>
  <c r="BS214" i="8"/>
  <c r="BM214" i="8"/>
  <c r="BL214" i="8"/>
  <c r="BH214" i="8"/>
  <c r="BG214" i="8"/>
  <c r="AT214" i="8"/>
  <c r="AS214" i="8"/>
  <c r="AQ214" i="8"/>
  <c r="AN214" i="8"/>
  <c r="AL214" i="8"/>
  <c r="AG214" i="8"/>
  <c r="AI214" i="8" s="1"/>
  <c r="P214" i="8"/>
  <c r="O214" i="8"/>
  <c r="BS213" i="8"/>
  <c r="BM213" i="8"/>
  <c r="BL213" i="8"/>
  <c r="BH213" i="8"/>
  <c r="BG213" i="8"/>
  <c r="AQ213" i="8"/>
  <c r="AT213" i="8" s="1"/>
  <c r="AL213" i="8"/>
  <c r="AN213" i="8" s="1"/>
  <c r="AI213" i="8"/>
  <c r="AG213" i="8"/>
  <c r="P213" i="8"/>
  <c r="O213" i="8"/>
  <c r="BS212" i="8"/>
  <c r="BM212" i="8"/>
  <c r="BL212" i="8"/>
  <c r="BH212" i="8"/>
  <c r="BG212" i="8"/>
  <c r="AT212" i="8"/>
  <c r="AQ212" i="8"/>
  <c r="AN212" i="8"/>
  <c r="AL212" i="8"/>
  <c r="AG212" i="8"/>
  <c r="AI212" i="8" s="1"/>
  <c r="P212" i="8"/>
  <c r="O212" i="8"/>
  <c r="BS211" i="8"/>
  <c r="BM211" i="8"/>
  <c r="BL211" i="8"/>
  <c r="BH211" i="8"/>
  <c r="BG211" i="8"/>
  <c r="AQ211" i="8"/>
  <c r="AL211" i="8"/>
  <c r="AN211" i="8" s="1"/>
  <c r="AI211" i="8"/>
  <c r="AG211" i="8"/>
  <c r="P211" i="8"/>
  <c r="O211" i="8"/>
  <c r="BS210" i="8"/>
  <c r="BM210" i="8"/>
  <c r="BL210" i="8"/>
  <c r="BH210" i="8"/>
  <c r="BG210" i="8"/>
  <c r="AT210" i="8"/>
  <c r="AS210" i="8"/>
  <c r="AQ210" i="8"/>
  <c r="AN210" i="8"/>
  <c r="AL210" i="8"/>
  <c r="AG210" i="8"/>
  <c r="AI210" i="8" s="1"/>
  <c r="P210" i="8"/>
  <c r="O210" i="8"/>
  <c r="BS209" i="8"/>
  <c r="BM209" i="8"/>
  <c r="BL209" i="8"/>
  <c r="BH209" i="8"/>
  <c r="BG209" i="8"/>
  <c r="AQ209" i="8"/>
  <c r="AT209" i="8" s="1"/>
  <c r="AL209" i="8"/>
  <c r="AN209" i="8" s="1"/>
  <c r="AI209" i="8"/>
  <c r="AG209" i="8"/>
  <c r="P209" i="8"/>
  <c r="O209" i="8"/>
  <c r="BS208" i="8"/>
  <c r="BM208" i="8"/>
  <c r="BL208" i="8"/>
  <c r="BH208" i="8"/>
  <c r="BG208" i="8"/>
  <c r="AT208" i="8"/>
  <c r="AQ208" i="8"/>
  <c r="AN208" i="8"/>
  <c r="AL208" i="8"/>
  <c r="AG208" i="8"/>
  <c r="AI208" i="8" s="1"/>
  <c r="P208" i="8"/>
  <c r="O208" i="8"/>
  <c r="BS207" i="8"/>
  <c r="BM207" i="8"/>
  <c r="BL207" i="8"/>
  <c r="BH207" i="8"/>
  <c r="BG207" i="8"/>
  <c r="AQ207" i="8"/>
  <c r="AL207" i="8"/>
  <c r="AN207" i="8" s="1"/>
  <c r="AI207" i="8"/>
  <c r="AG207" i="8"/>
  <c r="P207" i="8"/>
  <c r="O207" i="8"/>
  <c r="BS206" i="8"/>
  <c r="BM206" i="8"/>
  <c r="BL206" i="8"/>
  <c r="BH206" i="8"/>
  <c r="BG206" i="8"/>
  <c r="AT206" i="8"/>
  <c r="AS206" i="8"/>
  <c r="AQ206" i="8"/>
  <c r="AN206" i="8"/>
  <c r="AL206" i="8"/>
  <c r="AG206" i="8"/>
  <c r="AI206" i="8" s="1"/>
  <c r="P206" i="8"/>
  <c r="O206" i="8"/>
  <c r="BS205" i="8"/>
  <c r="BM205" i="8"/>
  <c r="BL205" i="8"/>
  <c r="BH205" i="8"/>
  <c r="BG205" i="8"/>
  <c r="AQ205" i="8"/>
  <c r="AT205" i="8" s="1"/>
  <c r="AL205" i="8"/>
  <c r="AN205" i="8" s="1"/>
  <c r="AI205" i="8"/>
  <c r="AG205" i="8"/>
  <c r="P205" i="8"/>
  <c r="O205" i="8"/>
  <c r="BS204" i="8"/>
  <c r="BM204" i="8"/>
  <c r="BL204" i="8"/>
  <c r="BH204" i="8"/>
  <c r="BG204" i="8"/>
  <c r="AT204" i="8"/>
  <c r="AQ204" i="8"/>
  <c r="AN204" i="8"/>
  <c r="AL204" i="8"/>
  <c r="AG204" i="8"/>
  <c r="AI204" i="8" s="1"/>
  <c r="P204" i="8"/>
  <c r="O204" i="8"/>
  <c r="BS203" i="8"/>
  <c r="BM203" i="8"/>
  <c r="BL203" i="8"/>
  <c r="BH203" i="8"/>
  <c r="BG203" i="8"/>
  <c r="AQ203" i="8"/>
  <c r="AL203" i="8"/>
  <c r="AN203" i="8" s="1"/>
  <c r="AI203" i="8"/>
  <c r="AG203" i="8"/>
  <c r="P203" i="8"/>
  <c r="O203" i="8"/>
  <c r="BS202" i="8"/>
  <c r="BM202" i="8"/>
  <c r="BL202" i="8"/>
  <c r="BH202" i="8"/>
  <c r="BG202" i="8"/>
  <c r="AT202" i="8"/>
  <c r="AS202" i="8"/>
  <c r="AQ202" i="8"/>
  <c r="AN202" i="8"/>
  <c r="AL202" i="8"/>
  <c r="AG202" i="8"/>
  <c r="AI202" i="8" s="1"/>
  <c r="P202" i="8"/>
  <c r="O202" i="8"/>
  <c r="BS201" i="8"/>
  <c r="BM201" i="8"/>
  <c r="BL201" i="8"/>
  <c r="BH201" i="8"/>
  <c r="BG201" i="8"/>
  <c r="AQ201" i="8"/>
  <c r="AL201" i="8"/>
  <c r="AN201" i="8" s="1"/>
  <c r="AI201" i="8"/>
  <c r="AG201" i="8"/>
  <c r="P201" i="8"/>
  <c r="O201" i="8"/>
  <c r="BS200" i="8"/>
  <c r="BM200" i="8"/>
  <c r="BL200" i="8"/>
  <c r="BH200" i="8"/>
  <c r="BG200" i="8"/>
  <c r="AQ200" i="8"/>
  <c r="AN200" i="8"/>
  <c r="AL200" i="8"/>
  <c r="AG200" i="8"/>
  <c r="P200" i="8"/>
  <c r="O200" i="8"/>
  <c r="BS199" i="8"/>
  <c r="BM199" i="8"/>
  <c r="BL199" i="8"/>
  <c r="BH199" i="8"/>
  <c r="BG199" i="8"/>
  <c r="AQ199" i="8"/>
  <c r="AT199" i="8" s="1"/>
  <c r="AN199" i="8"/>
  <c r="AR199" i="8" s="1"/>
  <c r="AL199" i="8"/>
  <c r="AI199" i="8"/>
  <c r="AG199" i="8"/>
  <c r="P199" i="8"/>
  <c r="O199" i="8"/>
  <c r="BS198" i="8"/>
  <c r="BM198" i="8"/>
  <c r="BL198" i="8"/>
  <c r="BH198" i="8"/>
  <c r="BG198" i="8"/>
  <c r="AQ198" i="8"/>
  <c r="AN198" i="8"/>
  <c r="AL198" i="8"/>
  <c r="AG198" i="8"/>
  <c r="AI198" i="8" s="1"/>
  <c r="AR198" i="8" s="1"/>
  <c r="P198" i="8"/>
  <c r="O198" i="8"/>
  <c r="BS197" i="8"/>
  <c r="BM197" i="8"/>
  <c r="BL197" i="8"/>
  <c r="BH197" i="8"/>
  <c r="BG197" i="8"/>
  <c r="AQ197" i="8"/>
  <c r="AN197" i="8"/>
  <c r="AL197" i="8"/>
  <c r="AI197" i="8"/>
  <c r="AG197" i="8"/>
  <c r="P197" i="8"/>
  <c r="O197" i="8"/>
  <c r="BS196" i="8"/>
  <c r="BM196" i="8"/>
  <c r="BL196" i="8"/>
  <c r="BH196" i="8"/>
  <c r="BG196" i="8"/>
  <c r="AT196" i="8"/>
  <c r="AQ196" i="8"/>
  <c r="AN196" i="8"/>
  <c r="AS196" i="8" s="1"/>
  <c r="AL196" i="8"/>
  <c r="AG196" i="8"/>
  <c r="AI196" i="8" s="1"/>
  <c r="P196" i="8"/>
  <c r="O196" i="8"/>
  <c r="BS195" i="8"/>
  <c r="BM195" i="8"/>
  <c r="BL195" i="8"/>
  <c r="BH195" i="8"/>
  <c r="BG195" i="8"/>
  <c r="AR195" i="8"/>
  <c r="AQ195" i="8"/>
  <c r="AN195" i="8"/>
  <c r="AL195" i="8"/>
  <c r="AI195" i="8"/>
  <c r="AG195" i="8"/>
  <c r="P195" i="8"/>
  <c r="O195" i="8"/>
  <c r="BS194" i="8"/>
  <c r="BM194" i="8"/>
  <c r="BL194" i="8"/>
  <c r="BH194" i="8"/>
  <c r="BG194" i="8"/>
  <c r="AQ194" i="8"/>
  <c r="AN194" i="8"/>
  <c r="AL194" i="8"/>
  <c r="AG194" i="8"/>
  <c r="P194" i="8"/>
  <c r="O194" i="8"/>
  <c r="BS193" i="8"/>
  <c r="BM193" i="8"/>
  <c r="BL193" i="8"/>
  <c r="BH193" i="8"/>
  <c r="BG193" i="8"/>
  <c r="AQ193" i="8"/>
  <c r="AN193" i="8"/>
  <c r="AL193" i="8"/>
  <c r="AI193" i="8"/>
  <c r="AG193" i="8"/>
  <c r="P193" i="8"/>
  <c r="O193" i="8"/>
  <c r="BS192" i="8"/>
  <c r="BM192" i="8"/>
  <c r="BL192" i="8"/>
  <c r="BH192" i="8"/>
  <c r="BG192" i="8"/>
  <c r="AT192" i="8"/>
  <c r="AS192" i="8"/>
  <c r="AQ192" i="8"/>
  <c r="AN192" i="8"/>
  <c r="AL192" i="8"/>
  <c r="AG192" i="8"/>
  <c r="AI192" i="8" s="1"/>
  <c r="P192" i="8"/>
  <c r="O192" i="8"/>
  <c r="BS191" i="8"/>
  <c r="BM191" i="8"/>
  <c r="BL191" i="8"/>
  <c r="BH191" i="8"/>
  <c r="BG191" i="8"/>
  <c r="AQ191" i="8"/>
  <c r="AN191" i="8"/>
  <c r="AL191" i="8"/>
  <c r="AI191" i="8"/>
  <c r="AS191" i="8" s="1"/>
  <c r="AG191" i="8"/>
  <c r="AT191" i="8" s="1"/>
  <c r="P191" i="8"/>
  <c r="O191" i="8"/>
  <c r="BS190" i="8"/>
  <c r="BM190" i="8"/>
  <c r="BL190" i="8"/>
  <c r="BH190" i="8"/>
  <c r="BG190" i="8"/>
  <c r="AQ190" i="8"/>
  <c r="AN190" i="8"/>
  <c r="AL190" i="8"/>
  <c r="AG190" i="8"/>
  <c r="P190" i="8"/>
  <c r="O190" i="8"/>
  <c r="BS189" i="8"/>
  <c r="BM189" i="8"/>
  <c r="BL189" i="8"/>
  <c r="BH189" i="8"/>
  <c r="BG189" i="8"/>
  <c r="AQ189" i="8"/>
  <c r="AN189" i="8"/>
  <c r="AR189" i="8" s="1"/>
  <c r="AL189" i="8"/>
  <c r="AI189" i="8"/>
  <c r="AG189" i="8"/>
  <c r="P189" i="8"/>
  <c r="O189" i="8"/>
  <c r="BS188" i="8"/>
  <c r="BM188" i="8"/>
  <c r="BL188" i="8"/>
  <c r="BH188" i="8"/>
  <c r="BG188" i="8"/>
  <c r="AQ188" i="8"/>
  <c r="AN188" i="8"/>
  <c r="AL188" i="8"/>
  <c r="AG188" i="8"/>
  <c r="AI188" i="8" s="1"/>
  <c r="AR188" i="8" s="1"/>
  <c r="P188" i="8"/>
  <c r="O188" i="8"/>
  <c r="BS187" i="8"/>
  <c r="BM187" i="8"/>
  <c r="BL187" i="8"/>
  <c r="BH187" i="8"/>
  <c r="BG187" i="8"/>
  <c r="AQ187" i="8"/>
  <c r="AN187" i="8"/>
  <c r="AL187" i="8"/>
  <c r="AI187" i="8"/>
  <c r="AG187" i="8"/>
  <c r="AT187" i="8" s="1"/>
  <c r="P187" i="8"/>
  <c r="O187" i="8"/>
  <c r="BS186" i="8"/>
  <c r="BM186" i="8"/>
  <c r="BL186" i="8"/>
  <c r="BH186" i="8"/>
  <c r="BG186" i="8"/>
  <c r="AT186" i="8"/>
  <c r="AQ186" i="8"/>
  <c r="AN186" i="8"/>
  <c r="AS186" i="8" s="1"/>
  <c r="AL186" i="8"/>
  <c r="AG186" i="8"/>
  <c r="AI186" i="8" s="1"/>
  <c r="P186" i="8"/>
  <c r="O186" i="8"/>
  <c r="BS185" i="8"/>
  <c r="BM185" i="8"/>
  <c r="BL185" i="8"/>
  <c r="BH185" i="8"/>
  <c r="BG185" i="8"/>
  <c r="AR185" i="8"/>
  <c r="AQ185" i="8"/>
  <c r="AN185" i="8"/>
  <c r="AL185" i="8"/>
  <c r="AI185" i="8"/>
  <c r="AG185" i="8"/>
  <c r="AT185" i="8" s="1"/>
  <c r="P185" i="8"/>
  <c r="O185" i="8"/>
  <c r="BS184" i="8"/>
  <c r="BM184" i="8"/>
  <c r="BL184" i="8"/>
  <c r="BH184" i="8"/>
  <c r="BG184" i="8"/>
  <c r="AQ184" i="8"/>
  <c r="AN184" i="8"/>
  <c r="AL184" i="8"/>
  <c r="AG184" i="8"/>
  <c r="P184" i="8"/>
  <c r="O184" i="8"/>
  <c r="BS183" i="8"/>
  <c r="BM183" i="8"/>
  <c r="BL183" i="8"/>
  <c r="BH183" i="8"/>
  <c r="BG183" i="8"/>
  <c r="AQ183" i="8"/>
  <c r="AN183" i="8"/>
  <c r="AL183" i="8"/>
  <c r="AI183" i="8"/>
  <c r="AG183" i="8"/>
  <c r="P183" i="8"/>
  <c r="O183" i="8"/>
  <c r="BS182" i="8"/>
  <c r="BM182" i="8"/>
  <c r="BL182" i="8"/>
  <c r="BH182" i="8"/>
  <c r="BG182" i="8"/>
  <c r="AT182" i="8"/>
  <c r="AS182" i="8"/>
  <c r="AQ182" i="8"/>
  <c r="AN182" i="8"/>
  <c r="AL182" i="8"/>
  <c r="AG182" i="8"/>
  <c r="AI182" i="8" s="1"/>
  <c r="P182" i="8"/>
  <c r="O182" i="8"/>
  <c r="BS181" i="8"/>
  <c r="BM181" i="8"/>
  <c r="BL181" i="8"/>
  <c r="BH181" i="8"/>
  <c r="BG181" i="8"/>
  <c r="AQ181" i="8"/>
  <c r="AL181" i="8"/>
  <c r="AN181" i="8" s="1"/>
  <c r="AI181" i="8"/>
  <c r="AG181" i="8"/>
  <c r="AT181" i="8" s="1"/>
  <c r="P181" i="8"/>
  <c r="O181" i="8"/>
  <c r="BS180" i="8"/>
  <c r="BM180" i="8"/>
  <c r="BL180" i="8"/>
  <c r="BH180" i="8"/>
  <c r="BG180" i="8"/>
  <c r="AQ180" i="8"/>
  <c r="AT180" i="8" s="1"/>
  <c r="AN180" i="8"/>
  <c r="AL180" i="8"/>
  <c r="AG180" i="8"/>
  <c r="AI180" i="8" s="1"/>
  <c r="P180" i="8"/>
  <c r="O180" i="8"/>
  <c r="BS179" i="8"/>
  <c r="BM179" i="8"/>
  <c r="BL179" i="8"/>
  <c r="BH179" i="8"/>
  <c r="BG179" i="8"/>
  <c r="AQ179" i="8"/>
  <c r="AL179" i="8"/>
  <c r="AN179" i="8" s="1"/>
  <c r="AS179" i="8" s="1"/>
  <c r="AI179" i="8"/>
  <c r="AR179" i="8" s="1"/>
  <c r="AG179" i="8"/>
  <c r="AT179" i="8" s="1"/>
  <c r="P179" i="8"/>
  <c r="O179" i="8"/>
  <c r="BS178" i="8"/>
  <c r="BM178" i="8"/>
  <c r="BL178" i="8"/>
  <c r="BH178" i="8"/>
  <c r="BG178" i="8"/>
  <c r="AQ178" i="8"/>
  <c r="AN178" i="8"/>
  <c r="AL178" i="8"/>
  <c r="AG178" i="8"/>
  <c r="AT178" i="8" s="1"/>
  <c r="P178" i="8"/>
  <c r="O178" i="8"/>
  <c r="BS177" i="8"/>
  <c r="BM177" i="8"/>
  <c r="BL177" i="8"/>
  <c r="BH177" i="8"/>
  <c r="BG177" i="8"/>
  <c r="AS177" i="8"/>
  <c r="AQ177" i="8"/>
  <c r="AR177" i="8" s="1"/>
  <c r="AL177" i="8"/>
  <c r="AN177" i="8" s="1"/>
  <c r="AI177" i="8"/>
  <c r="AG177" i="8"/>
  <c r="P177" i="8"/>
  <c r="O177" i="8"/>
  <c r="BS176" i="8"/>
  <c r="BM176" i="8"/>
  <c r="BL176" i="8"/>
  <c r="BH176" i="8"/>
  <c r="BG176" i="8"/>
  <c r="AQ176" i="8"/>
  <c r="AN176" i="8"/>
  <c r="AL176" i="8"/>
  <c r="AG176" i="8"/>
  <c r="P176" i="8"/>
  <c r="O176" i="8"/>
  <c r="BS175" i="8"/>
  <c r="BM175" i="8"/>
  <c r="BL175" i="8"/>
  <c r="BH175" i="8"/>
  <c r="BG175" i="8"/>
  <c r="AQ175" i="8"/>
  <c r="AL175" i="8"/>
  <c r="AN175" i="8" s="1"/>
  <c r="AI175" i="8"/>
  <c r="AG175" i="8"/>
  <c r="P175" i="8"/>
  <c r="O175" i="8"/>
  <c r="BS174" i="8"/>
  <c r="BM174" i="8"/>
  <c r="BL174" i="8"/>
  <c r="BH174" i="8"/>
  <c r="BG174" i="8"/>
  <c r="AT174" i="8"/>
  <c r="AQ174" i="8"/>
  <c r="AN174" i="8"/>
  <c r="AL174" i="8"/>
  <c r="AG174" i="8"/>
  <c r="AI174" i="8" s="1"/>
  <c r="P174" i="8"/>
  <c r="O174" i="8"/>
  <c r="BS173" i="8"/>
  <c r="BM173" i="8"/>
  <c r="BL173" i="8"/>
  <c r="BH173" i="8"/>
  <c r="BG173" i="8"/>
  <c r="AQ173" i="8"/>
  <c r="AL173" i="8"/>
  <c r="AN173" i="8" s="1"/>
  <c r="AI173" i="8"/>
  <c r="AG173" i="8"/>
  <c r="P173" i="8"/>
  <c r="O173" i="8"/>
  <c r="BS172" i="8"/>
  <c r="BM172" i="8"/>
  <c r="BL172" i="8"/>
  <c r="BH172" i="8"/>
  <c r="BG172" i="8"/>
  <c r="AT172" i="8"/>
  <c r="AS172" i="8"/>
  <c r="AQ172" i="8"/>
  <c r="AN172" i="8"/>
  <c r="AL172" i="8"/>
  <c r="AG172" i="8"/>
  <c r="AI172" i="8" s="1"/>
  <c r="AR172" i="8" s="1"/>
  <c r="P172" i="8"/>
  <c r="O172" i="8"/>
  <c r="BS171" i="8"/>
  <c r="BM171" i="8"/>
  <c r="BL171" i="8"/>
  <c r="BH171" i="8"/>
  <c r="BG171" i="8"/>
  <c r="AQ171" i="8"/>
  <c r="AL171" i="8"/>
  <c r="AN171" i="8" s="1"/>
  <c r="AI171" i="8"/>
  <c r="AS171" i="8" s="1"/>
  <c r="AG171" i="8"/>
  <c r="AT171" i="8" s="1"/>
  <c r="P171" i="8"/>
  <c r="O171" i="8"/>
  <c r="BS170" i="8"/>
  <c r="BM170" i="8"/>
  <c r="BL170" i="8"/>
  <c r="BH170" i="8"/>
  <c r="BG170" i="8"/>
  <c r="AQ170" i="8"/>
  <c r="AT170" i="8" s="1"/>
  <c r="AN170" i="8"/>
  <c r="AL170" i="8"/>
  <c r="AG170" i="8"/>
  <c r="AI170" i="8" s="1"/>
  <c r="P170" i="8"/>
  <c r="O170" i="8"/>
  <c r="BS169" i="8"/>
  <c r="BM169" i="8"/>
  <c r="BL169" i="8"/>
  <c r="BH169" i="8"/>
  <c r="BG169" i="8"/>
  <c r="AQ169" i="8"/>
  <c r="AL169" i="8"/>
  <c r="AN169" i="8" s="1"/>
  <c r="AS169" i="8" s="1"/>
  <c r="AI169" i="8"/>
  <c r="AR169" i="8" s="1"/>
  <c r="AG169" i="8"/>
  <c r="AT169" i="8" s="1"/>
  <c r="P169" i="8"/>
  <c r="O169" i="8"/>
  <c r="BS168" i="8"/>
  <c r="BM168" i="8"/>
  <c r="BL168" i="8"/>
  <c r="BH168" i="8"/>
  <c r="BG168" i="8"/>
  <c r="AQ168" i="8"/>
  <c r="AN168" i="8"/>
  <c r="AL168" i="8"/>
  <c r="AG168" i="8"/>
  <c r="AT168" i="8" s="1"/>
  <c r="P168" i="8"/>
  <c r="O168" i="8"/>
  <c r="BS167" i="8"/>
  <c r="BM167" i="8"/>
  <c r="BL167" i="8"/>
  <c r="BH167" i="8"/>
  <c r="BG167" i="8"/>
  <c r="AS167" i="8"/>
  <c r="AQ167" i="8"/>
  <c r="AR167" i="8" s="1"/>
  <c r="AL167" i="8"/>
  <c r="AN167" i="8" s="1"/>
  <c r="AI167" i="8"/>
  <c r="AG167" i="8"/>
  <c r="P167" i="8"/>
  <c r="O167" i="8"/>
  <c r="BS166" i="8"/>
  <c r="BM166" i="8"/>
  <c r="BL166" i="8"/>
  <c r="BH166" i="8"/>
  <c r="BG166" i="8"/>
  <c r="AQ166" i="8"/>
  <c r="AN166" i="8"/>
  <c r="AL166" i="8"/>
  <c r="AG166" i="8"/>
  <c r="P166" i="8"/>
  <c r="O166" i="8"/>
  <c r="BS165" i="8"/>
  <c r="BM165" i="8"/>
  <c r="BL165" i="8"/>
  <c r="BH165" i="8"/>
  <c r="BG165" i="8"/>
  <c r="AQ165" i="8"/>
  <c r="AL165" i="8"/>
  <c r="AN165" i="8" s="1"/>
  <c r="AI165" i="8"/>
  <c r="AG165" i="8"/>
  <c r="P165" i="8"/>
  <c r="O165" i="8"/>
  <c r="BS164" i="8"/>
  <c r="BM164" i="8"/>
  <c r="BL164" i="8"/>
  <c r="BH164" i="8"/>
  <c r="BG164" i="8"/>
  <c r="AT164" i="8"/>
  <c r="AQ164" i="8"/>
  <c r="AN164" i="8"/>
  <c r="AL164" i="8"/>
  <c r="AG164" i="8"/>
  <c r="AI164" i="8" s="1"/>
  <c r="P164" i="8"/>
  <c r="O164" i="8"/>
  <c r="BS163" i="8"/>
  <c r="BM163" i="8"/>
  <c r="BL163" i="8"/>
  <c r="BH163" i="8"/>
  <c r="BG163" i="8"/>
  <c r="AQ163" i="8"/>
  <c r="AL163" i="8"/>
  <c r="AN163" i="8" s="1"/>
  <c r="AI163" i="8"/>
  <c r="AG163" i="8"/>
  <c r="AT163" i="8" s="1"/>
  <c r="P163" i="8"/>
  <c r="O163" i="8"/>
  <c r="BS162" i="8"/>
  <c r="BM162" i="8"/>
  <c r="BL162" i="8"/>
  <c r="BH162" i="8"/>
  <c r="BG162" i="8"/>
  <c r="AS162" i="8"/>
  <c r="AQ162" i="8"/>
  <c r="AT162" i="8" s="1"/>
  <c r="AN162" i="8"/>
  <c r="AL162" i="8"/>
  <c r="AG162" i="8"/>
  <c r="AI162" i="8" s="1"/>
  <c r="P162" i="8"/>
  <c r="O162" i="8"/>
  <c r="BS161" i="8"/>
  <c r="BM161" i="8"/>
  <c r="BL161" i="8"/>
  <c r="BH161" i="8"/>
  <c r="BG161" i="8"/>
  <c r="AQ161" i="8"/>
  <c r="AL161" i="8"/>
  <c r="AN161" i="8" s="1"/>
  <c r="AI161" i="8"/>
  <c r="AS161" i="8" s="1"/>
  <c r="AG161" i="8"/>
  <c r="AT161" i="8" s="1"/>
  <c r="P161" i="8"/>
  <c r="O161" i="8"/>
  <c r="BS160" i="8"/>
  <c r="BM160" i="8"/>
  <c r="BL160" i="8"/>
  <c r="BH160" i="8"/>
  <c r="BG160" i="8"/>
  <c r="AQ160" i="8"/>
  <c r="AT160" i="8" s="1"/>
  <c r="AN160" i="8"/>
  <c r="AL160" i="8"/>
  <c r="AG160" i="8"/>
  <c r="AI160" i="8" s="1"/>
  <c r="P160" i="8"/>
  <c r="O160" i="8"/>
  <c r="BS159" i="8"/>
  <c r="BM159" i="8"/>
  <c r="BL159" i="8"/>
  <c r="BH159" i="8"/>
  <c r="BG159" i="8"/>
  <c r="AQ159" i="8"/>
  <c r="AL159" i="8"/>
  <c r="AN159" i="8" s="1"/>
  <c r="AS159" i="8" s="1"/>
  <c r="AI159" i="8"/>
  <c r="AR159" i="8" s="1"/>
  <c r="AG159" i="8"/>
  <c r="AT159" i="8" s="1"/>
  <c r="P159" i="8"/>
  <c r="O159" i="8"/>
  <c r="BS158" i="8"/>
  <c r="BM158" i="8"/>
  <c r="BL158" i="8"/>
  <c r="BH158" i="8"/>
  <c r="BG158" i="8"/>
  <c r="AQ158" i="8"/>
  <c r="AN158" i="8"/>
  <c r="AL158" i="8"/>
  <c r="AG158" i="8"/>
  <c r="P158" i="8"/>
  <c r="O158" i="8"/>
  <c r="BS157" i="8"/>
  <c r="BM157" i="8"/>
  <c r="BL157" i="8"/>
  <c r="BH157" i="8"/>
  <c r="BG157" i="8"/>
  <c r="AQ157" i="8"/>
  <c r="AL157" i="8"/>
  <c r="AN157" i="8" s="1"/>
  <c r="AI157" i="8"/>
  <c r="AG157" i="8"/>
  <c r="P157" i="8"/>
  <c r="O157" i="8"/>
  <c r="BS156" i="8"/>
  <c r="BM156" i="8"/>
  <c r="BL156" i="8"/>
  <c r="BH156" i="8"/>
  <c r="BG156" i="8"/>
  <c r="AQ156" i="8"/>
  <c r="AN156" i="8"/>
  <c r="AL156" i="8"/>
  <c r="AG156" i="8"/>
  <c r="P156" i="8"/>
  <c r="O156" i="8"/>
  <c r="BS155" i="8"/>
  <c r="BM155" i="8"/>
  <c r="BL155" i="8"/>
  <c r="BH155" i="8"/>
  <c r="BG155" i="8"/>
  <c r="AQ155" i="8"/>
  <c r="AL155" i="8"/>
  <c r="AN155" i="8" s="1"/>
  <c r="AI155" i="8"/>
  <c r="AG155" i="8"/>
  <c r="P155" i="8"/>
  <c r="O155" i="8"/>
  <c r="BS154" i="8"/>
  <c r="BM154" i="8"/>
  <c r="BL154" i="8"/>
  <c r="BH154" i="8"/>
  <c r="BG154" i="8"/>
  <c r="AT154" i="8"/>
  <c r="AQ154" i="8"/>
  <c r="AN154" i="8"/>
  <c r="AL154" i="8"/>
  <c r="AG154" i="8"/>
  <c r="AI154" i="8" s="1"/>
  <c r="P154" i="8"/>
  <c r="O154" i="8"/>
  <c r="BS153" i="8"/>
  <c r="BM153" i="8"/>
  <c r="BL153" i="8"/>
  <c r="BH153" i="8"/>
  <c r="BG153" i="8"/>
  <c r="AQ153" i="8"/>
  <c r="AL153" i="8"/>
  <c r="AN153" i="8" s="1"/>
  <c r="AI153" i="8"/>
  <c r="AG153" i="8"/>
  <c r="P153" i="8"/>
  <c r="O153" i="8"/>
  <c r="BS152" i="8"/>
  <c r="BM152" i="8"/>
  <c r="BL152" i="8"/>
  <c r="BH152" i="8"/>
  <c r="BG152" i="8"/>
  <c r="AT152" i="8"/>
  <c r="AS152" i="8"/>
  <c r="AQ152" i="8"/>
  <c r="AN152" i="8"/>
  <c r="AL152" i="8"/>
  <c r="AG152" i="8"/>
  <c r="AI152" i="8" s="1"/>
  <c r="AR152" i="8" s="1"/>
  <c r="P152" i="8"/>
  <c r="O152" i="8"/>
  <c r="BS151" i="8"/>
  <c r="BM151" i="8"/>
  <c r="BL151" i="8"/>
  <c r="BH151" i="8"/>
  <c r="BG151" i="8"/>
  <c r="AQ151" i="8"/>
  <c r="AL151" i="8"/>
  <c r="AN151" i="8" s="1"/>
  <c r="AG151" i="8"/>
  <c r="P151" i="8"/>
  <c r="O151" i="8"/>
  <c r="BS150" i="8"/>
  <c r="BM150" i="8"/>
  <c r="BL150" i="8"/>
  <c r="BH150" i="8"/>
  <c r="BG150" i="8"/>
  <c r="AT150" i="8"/>
  <c r="AQ150" i="8"/>
  <c r="AN150" i="8"/>
  <c r="AL150" i="8"/>
  <c r="AG150" i="8"/>
  <c r="AI150" i="8" s="1"/>
  <c r="AS150" i="8" s="1"/>
  <c r="P150" i="8"/>
  <c r="O150" i="8"/>
  <c r="BS149" i="8"/>
  <c r="BM149" i="8"/>
  <c r="BL149" i="8"/>
  <c r="BH149" i="8"/>
  <c r="BG149" i="8"/>
  <c r="AQ149" i="8"/>
  <c r="AL149" i="8"/>
  <c r="AN149" i="8" s="1"/>
  <c r="AG149" i="8"/>
  <c r="AT149" i="8" s="1"/>
  <c r="P149" i="8"/>
  <c r="O149" i="8"/>
  <c r="BS148" i="8"/>
  <c r="BM148" i="8"/>
  <c r="BL148" i="8"/>
  <c r="BH148" i="8"/>
  <c r="BG148" i="8"/>
  <c r="AQ148" i="8"/>
  <c r="AT148" i="8" s="1"/>
  <c r="AN148" i="8"/>
  <c r="AL148" i="8"/>
  <c r="AG148" i="8"/>
  <c r="AI148" i="8" s="1"/>
  <c r="P148" i="8"/>
  <c r="O148" i="8"/>
  <c r="BS147" i="8"/>
  <c r="BM147" i="8"/>
  <c r="BL147" i="8"/>
  <c r="BH147" i="8"/>
  <c r="BG147" i="8"/>
  <c r="AQ147" i="8"/>
  <c r="AL147" i="8"/>
  <c r="AN147" i="8" s="1"/>
  <c r="AG147" i="8"/>
  <c r="P147" i="8"/>
  <c r="O147" i="8"/>
  <c r="BS146" i="8"/>
  <c r="BM146" i="8"/>
  <c r="BL146" i="8"/>
  <c r="BH146" i="8"/>
  <c r="BG146" i="8"/>
  <c r="AQ146" i="8"/>
  <c r="AT146" i="8" s="1"/>
  <c r="AN146" i="8"/>
  <c r="AS146" i="8" s="1"/>
  <c r="AL146" i="8"/>
  <c r="AI146" i="8"/>
  <c r="AG146" i="8"/>
  <c r="P146" i="8"/>
  <c r="O146" i="8"/>
  <c r="BS145" i="8"/>
  <c r="BM145" i="8"/>
  <c r="BL145" i="8"/>
  <c r="BH145" i="8"/>
  <c r="BG145" i="8"/>
  <c r="AQ145" i="8"/>
  <c r="AL145" i="8"/>
  <c r="AN145" i="8" s="1"/>
  <c r="AG145" i="8"/>
  <c r="AT145" i="8" s="1"/>
  <c r="P145" i="8"/>
  <c r="O145" i="8"/>
  <c r="BS144" i="8"/>
  <c r="BM144" i="8"/>
  <c r="BL144" i="8"/>
  <c r="BH144" i="8"/>
  <c r="BG144" i="8"/>
  <c r="AQ144" i="8"/>
  <c r="AN144" i="8"/>
  <c r="AL144" i="8"/>
  <c r="AG144" i="8"/>
  <c r="AI144" i="8" s="1"/>
  <c r="P144" i="8"/>
  <c r="O144" i="8"/>
  <c r="BS143" i="8"/>
  <c r="BM143" i="8"/>
  <c r="BL143" i="8"/>
  <c r="BH143" i="8"/>
  <c r="BG143" i="8"/>
  <c r="AQ143" i="8"/>
  <c r="AL143" i="8"/>
  <c r="AN143" i="8" s="1"/>
  <c r="AG143" i="8"/>
  <c r="AT143" i="8" s="1"/>
  <c r="P143" i="8"/>
  <c r="O143" i="8"/>
  <c r="BS142" i="8"/>
  <c r="BM142" i="8"/>
  <c r="BL142" i="8"/>
  <c r="BH142" i="8"/>
  <c r="BG142" i="8"/>
  <c r="AQ142" i="8"/>
  <c r="AT142" i="8" s="1"/>
  <c r="AN142" i="8"/>
  <c r="AL142" i="8"/>
  <c r="AI142" i="8"/>
  <c r="AG142" i="8"/>
  <c r="P142" i="8"/>
  <c r="O142" i="8"/>
  <c r="BS141" i="8"/>
  <c r="BM141" i="8"/>
  <c r="BL141" i="8"/>
  <c r="BH141" i="8"/>
  <c r="BG141" i="8"/>
  <c r="AQ141" i="8"/>
  <c r="AN141" i="8"/>
  <c r="AL141" i="8"/>
  <c r="AG141" i="8"/>
  <c r="AT141" i="8" s="1"/>
  <c r="P141" i="8"/>
  <c r="O141" i="8"/>
  <c r="BS140" i="8"/>
  <c r="BM140" i="8"/>
  <c r="BL140" i="8"/>
  <c r="BH140" i="8"/>
  <c r="BG140" i="8"/>
  <c r="AQ140" i="8"/>
  <c r="AN140" i="8"/>
  <c r="AL140" i="8"/>
  <c r="AG140" i="8"/>
  <c r="AT140" i="8" s="1"/>
  <c r="P140" i="8"/>
  <c r="O140" i="8"/>
  <c r="BS139" i="8"/>
  <c r="BM139" i="8"/>
  <c r="BL139" i="8"/>
  <c r="BH139" i="8"/>
  <c r="BG139" i="8"/>
  <c r="AQ139" i="8"/>
  <c r="AL139" i="8"/>
  <c r="AN139" i="8" s="1"/>
  <c r="AG139" i="8"/>
  <c r="P139" i="8"/>
  <c r="O139" i="8"/>
  <c r="BS138" i="8"/>
  <c r="BM138" i="8"/>
  <c r="BL138" i="8"/>
  <c r="BH138" i="8"/>
  <c r="BG138" i="8"/>
  <c r="AQ138" i="8"/>
  <c r="AN138" i="8"/>
  <c r="AL138" i="8"/>
  <c r="AI138" i="8"/>
  <c r="AG138" i="8"/>
  <c r="AT138" i="8" s="1"/>
  <c r="P138" i="8"/>
  <c r="O138" i="8"/>
  <c r="BS137" i="8"/>
  <c r="BM137" i="8"/>
  <c r="BL137" i="8"/>
  <c r="BH137" i="8"/>
  <c r="BG137" i="8"/>
  <c r="AQ137" i="8"/>
  <c r="AN137" i="8"/>
  <c r="AS137" i="8" s="1"/>
  <c r="AL137" i="8"/>
  <c r="AI137" i="8"/>
  <c r="AG137" i="8"/>
  <c r="P137" i="8"/>
  <c r="O137" i="8"/>
  <c r="BS136" i="8"/>
  <c r="BM136" i="8"/>
  <c r="BL136" i="8"/>
  <c r="BH136" i="8"/>
  <c r="BG136" i="8"/>
  <c r="AQ136" i="8"/>
  <c r="AN136" i="8"/>
  <c r="AL136" i="8"/>
  <c r="AG136" i="8"/>
  <c r="P136" i="8"/>
  <c r="O136" i="8"/>
  <c r="BS135" i="8"/>
  <c r="BM135" i="8"/>
  <c r="BL135" i="8"/>
  <c r="BH135" i="8"/>
  <c r="BG135" i="8"/>
  <c r="AQ135" i="8"/>
  <c r="AN135" i="8"/>
  <c r="AL135" i="8"/>
  <c r="AG135" i="8"/>
  <c r="P135" i="8"/>
  <c r="O135" i="8"/>
  <c r="BS134" i="8"/>
  <c r="BM134" i="8"/>
  <c r="BL134" i="8"/>
  <c r="BH134" i="8"/>
  <c r="BG134" i="8"/>
  <c r="AT134" i="8"/>
  <c r="AQ134" i="8"/>
  <c r="AN134" i="8"/>
  <c r="AL134" i="8"/>
  <c r="AG134" i="8"/>
  <c r="AI134" i="8" s="1"/>
  <c r="P134" i="8"/>
  <c r="O134" i="8"/>
  <c r="BS133" i="8"/>
  <c r="BM133" i="8"/>
  <c r="BL133" i="8"/>
  <c r="BH133" i="8"/>
  <c r="BG133" i="8"/>
  <c r="AQ133" i="8"/>
  <c r="AN133" i="8"/>
  <c r="AL133" i="8"/>
  <c r="AI133" i="8"/>
  <c r="AG133" i="8"/>
  <c r="P133" i="8"/>
  <c r="O133" i="8"/>
  <c r="BS132" i="8"/>
  <c r="BM132" i="8"/>
  <c r="BL132" i="8"/>
  <c r="BH132" i="8"/>
  <c r="BG132" i="8"/>
  <c r="AT132" i="8"/>
  <c r="AQ132" i="8"/>
  <c r="AN132" i="8"/>
  <c r="AL132" i="8"/>
  <c r="AG132" i="8"/>
  <c r="AI132" i="8" s="1"/>
  <c r="P132" i="8"/>
  <c r="O132" i="8"/>
  <c r="BS131" i="8"/>
  <c r="BM131" i="8"/>
  <c r="BL131" i="8"/>
  <c r="BH131" i="8"/>
  <c r="BG131" i="8"/>
  <c r="AQ131" i="8"/>
  <c r="AL131" i="8"/>
  <c r="AN131" i="8" s="1"/>
  <c r="AG131" i="8"/>
  <c r="AT131" i="8" s="1"/>
  <c r="P131" i="8"/>
  <c r="O131" i="8"/>
  <c r="BS130" i="8"/>
  <c r="BM130" i="8"/>
  <c r="BL130" i="8"/>
  <c r="BH130" i="8"/>
  <c r="BG130" i="8"/>
  <c r="AT130" i="8"/>
  <c r="AS130" i="8"/>
  <c r="AR130" i="8"/>
  <c r="AQ130" i="8"/>
  <c r="AN130" i="8"/>
  <c r="AL130" i="8"/>
  <c r="AG130" i="8"/>
  <c r="AI130" i="8" s="1"/>
  <c r="P130" i="8"/>
  <c r="O130" i="8"/>
  <c r="BS129" i="8"/>
  <c r="BM129" i="8"/>
  <c r="BL129" i="8"/>
  <c r="BH129" i="8"/>
  <c r="BG129" i="8"/>
  <c r="AQ129" i="8"/>
  <c r="AL129" i="8"/>
  <c r="AN129" i="8" s="1"/>
  <c r="AG129" i="8"/>
  <c r="AT129" i="8" s="1"/>
  <c r="P129" i="8"/>
  <c r="O129" i="8"/>
  <c r="BS128" i="8"/>
  <c r="BM128" i="8"/>
  <c r="BL128" i="8"/>
  <c r="BH128" i="8"/>
  <c r="BG128" i="8"/>
  <c r="AQ128" i="8"/>
  <c r="AT128" i="8" s="1"/>
  <c r="AL128" i="8"/>
  <c r="AN128" i="8" s="1"/>
  <c r="AG128" i="8"/>
  <c r="AI128" i="8" s="1"/>
  <c r="AS128" i="8" s="1"/>
  <c r="P128" i="8"/>
  <c r="O128" i="8"/>
  <c r="BS127" i="8"/>
  <c r="BM127" i="8"/>
  <c r="BL127" i="8"/>
  <c r="BH127" i="8"/>
  <c r="BG127" i="8"/>
  <c r="AQ127" i="8"/>
  <c r="AL127" i="8"/>
  <c r="AN127" i="8" s="1"/>
  <c r="AG127" i="8"/>
  <c r="AT127" i="8" s="1"/>
  <c r="P127" i="8"/>
  <c r="O127" i="8"/>
  <c r="BS126" i="8"/>
  <c r="BM126" i="8"/>
  <c r="BL126" i="8"/>
  <c r="BH126" i="8"/>
  <c r="BG126" i="8"/>
  <c r="AQ126" i="8"/>
  <c r="AT126" i="8" s="1"/>
  <c r="AL126" i="8"/>
  <c r="AN126" i="8" s="1"/>
  <c r="AG126" i="8"/>
  <c r="AI126" i="8" s="1"/>
  <c r="P126" i="8"/>
  <c r="O126" i="8"/>
  <c r="BS125" i="8"/>
  <c r="BM125" i="8"/>
  <c r="BL125" i="8"/>
  <c r="BH125" i="8"/>
  <c r="BG125" i="8"/>
  <c r="AQ125" i="8"/>
  <c r="AN125" i="8"/>
  <c r="AL125" i="8"/>
  <c r="AI125" i="8"/>
  <c r="AG125" i="8"/>
  <c r="AT125" i="8" s="1"/>
  <c r="P125" i="8"/>
  <c r="O125" i="8"/>
  <c r="BS124" i="8"/>
  <c r="BM124" i="8"/>
  <c r="BL124" i="8"/>
  <c r="BH124" i="8"/>
  <c r="BG124" i="8"/>
  <c r="AS124" i="8"/>
  <c r="AR124" i="8"/>
  <c r="AQ124" i="8"/>
  <c r="AT124" i="8" s="1"/>
  <c r="AL124" i="8"/>
  <c r="AN124" i="8" s="1"/>
  <c r="AG124" i="8"/>
  <c r="AI124" i="8" s="1"/>
  <c r="P124" i="8"/>
  <c r="O124" i="8"/>
  <c r="BS123" i="8"/>
  <c r="BM123" i="8"/>
  <c r="BL123" i="8"/>
  <c r="BH123" i="8"/>
  <c r="BG123" i="8"/>
  <c r="AQ123" i="8"/>
  <c r="AN123" i="8"/>
  <c r="AL123" i="8"/>
  <c r="AG123" i="8"/>
  <c r="AT123" i="8" s="1"/>
  <c r="P123" i="8"/>
  <c r="O123" i="8"/>
  <c r="BS122" i="8"/>
  <c r="BM122" i="8"/>
  <c r="BL122" i="8"/>
  <c r="BH122" i="8"/>
  <c r="BG122" i="8"/>
  <c r="AQ122" i="8"/>
  <c r="AT122" i="8" s="1"/>
  <c r="AL122" i="8"/>
  <c r="AN122" i="8" s="1"/>
  <c r="AG122" i="8"/>
  <c r="AI122" i="8" s="1"/>
  <c r="AS122" i="8" s="1"/>
  <c r="P122" i="8"/>
  <c r="O122" i="8"/>
  <c r="BS121" i="8"/>
  <c r="BM121" i="8"/>
  <c r="BL121" i="8"/>
  <c r="BH121" i="8"/>
  <c r="BG121" i="8"/>
  <c r="AQ121" i="8"/>
  <c r="AN121" i="8"/>
  <c r="AL121" i="8"/>
  <c r="AG121" i="8"/>
  <c r="P121" i="8"/>
  <c r="O121" i="8"/>
  <c r="BS120" i="8"/>
  <c r="BM120" i="8"/>
  <c r="BL120" i="8"/>
  <c r="BH120" i="8"/>
  <c r="BG120" i="8"/>
  <c r="AQ120" i="8"/>
  <c r="AT120" i="8" s="1"/>
  <c r="AL120" i="8"/>
  <c r="AN120" i="8" s="1"/>
  <c r="AG120" i="8"/>
  <c r="AI120" i="8" s="1"/>
  <c r="P120" i="8"/>
  <c r="O120" i="8"/>
  <c r="BS119" i="8"/>
  <c r="BM119" i="8"/>
  <c r="BL119" i="8"/>
  <c r="BH119" i="8"/>
  <c r="BG119" i="8"/>
  <c r="AQ119" i="8"/>
  <c r="AN119" i="8"/>
  <c r="AL119" i="8"/>
  <c r="AI119" i="8"/>
  <c r="AG119" i="8"/>
  <c r="AT119" i="8" s="1"/>
  <c r="P119" i="8"/>
  <c r="O119" i="8"/>
  <c r="BS118" i="8"/>
  <c r="BM118" i="8"/>
  <c r="BL118" i="8"/>
  <c r="BH118" i="8"/>
  <c r="BG118" i="8"/>
  <c r="AQ118" i="8"/>
  <c r="AT118" i="8" s="1"/>
  <c r="AL118" i="8"/>
  <c r="AN118" i="8" s="1"/>
  <c r="AG118" i="8"/>
  <c r="AI118" i="8" s="1"/>
  <c r="AS118" i="8" s="1"/>
  <c r="P118" i="8"/>
  <c r="O118" i="8"/>
  <c r="BS117" i="8"/>
  <c r="BM117" i="8"/>
  <c r="BL117" i="8"/>
  <c r="BH117" i="8"/>
  <c r="BG117" i="8"/>
  <c r="AQ117" i="8"/>
  <c r="AN117" i="8"/>
  <c r="AL117" i="8"/>
  <c r="AG117" i="8"/>
  <c r="AT117" i="8" s="1"/>
  <c r="P117" i="8"/>
  <c r="O117" i="8"/>
  <c r="BS116" i="8"/>
  <c r="BM116" i="8"/>
  <c r="BL116" i="8"/>
  <c r="BH116" i="8"/>
  <c r="BG116" i="8"/>
  <c r="AQ116" i="8"/>
  <c r="AT116" i="8" s="1"/>
  <c r="AL116" i="8"/>
  <c r="AN116" i="8" s="1"/>
  <c r="AG116" i="8"/>
  <c r="AI116" i="8" s="1"/>
  <c r="P116" i="8"/>
  <c r="O116" i="8"/>
  <c r="BS115" i="8"/>
  <c r="BM115" i="8"/>
  <c r="BL115" i="8"/>
  <c r="BH115" i="8"/>
  <c r="BG115" i="8"/>
  <c r="AQ115" i="8"/>
  <c r="AN115" i="8"/>
  <c r="AL115" i="8"/>
  <c r="AI115" i="8"/>
  <c r="AG115" i="8"/>
  <c r="AT115" i="8" s="1"/>
  <c r="P115" i="8"/>
  <c r="O115" i="8"/>
  <c r="BS114" i="8"/>
  <c r="BM114" i="8"/>
  <c r="BL114" i="8"/>
  <c r="BH114" i="8"/>
  <c r="BG114" i="8"/>
  <c r="AS114" i="8"/>
  <c r="AR114" i="8"/>
  <c r="AQ114" i="8"/>
  <c r="AT114" i="8" s="1"/>
  <c r="AL114" i="8"/>
  <c r="AN114" i="8" s="1"/>
  <c r="AG114" i="8"/>
  <c r="AI114" i="8" s="1"/>
  <c r="P114" i="8"/>
  <c r="O114" i="8"/>
  <c r="BS113" i="8"/>
  <c r="BM113" i="8"/>
  <c r="BL113" i="8"/>
  <c r="BH113" i="8"/>
  <c r="BG113" i="8"/>
  <c r="AQ113" i="8"/>
  <c r="AN113" i="8"/>
  <c r="AL113" i="8"/>
  <c r="AG113" i="8"/>
  <c r="AT113" i="8" s="1"/>
  <c r="P113" i="8"/>
  <c r="O113" i="8"/>
  <c r="BS112" i="8"/>
  <c r="BM112" i="8"/>
  <c r="BL112" i="8"/>
  <c r="BH112" i="8"/>
  <c r="BG112" i="8"/>
  <c r="AQ112" i="8"/>
  <c r="AT112" i="8" s="1"/>
  <c r="AL112" i="8"/>
  <c r="AN112" i="8" s="1"/>
  <c r="AG112" i="8"/>
  <c r="AI112" i="8" s="1"/>
  <c r="AS112" i="8" s="1"/>
  <c r="P112" i="8"/>
  <c r="O112" i="8"/>
  <c r="BS111" i="8"/>
  <c r="BM111" i="8"/>
  <c r="BL111" i="8"/>
  <c r="BH111" i="8"/>
  <c r="BG111" i="8"/>
  <c r="AQ111" i="8"/>
  <c r="AN111" i="8"/>
  <c r="AL111" i="8"/>
  <c r="AI111" i="8"/>
  <c r="AG111" i="8"/>
  <c r="AT111" i="8" s="1"/>
  <c r="P111" i="8"/>
  <c r="O111" i="8"/>
  <c r="BS110" i="8"/>
  <c r="BM110" i="8"/>
  <c r="BL110" i="8"/>
  <c r="BH110" i="8"/>
  <c r="BG110" i="8"/>
  <c r="AQ110" i="8"/>
  <c r="AT110" i="8" s="1"/>
  <c r="AL110" i="8"/>
  <c r="AN110" i="8" s="1"/>
  <c r="AG110" i="8"/>
  <c r="AI110" i="8" s="1"/>
  <c r="P110" i="8"/>
  <c r="O110" i="8"/>
  <c r="BS109" i="8"/>
  <c r="BM109" i="8"/>
  <c r="BL109" i="8"/>
  <c r="BH109" i="8"/>
  <c r="BG109" i="8"/>
  <c r="AQ109" i="8"/>
  <c r="AN109" i="8"/>
  <c r="AL109" i="8"/>
  <c r="AI109" i="8"/>
  <c r="AG109" i="8"/>
  <c r="AT109" i="8" s="1"/>
  <c r="P109" i="8"/>
  <c r="O109" i="8"/>
  <c r="BS108" i="8"/>
  <c r="BM108" i="8"/>
  <c r="BL108" i="8"/>
  <c r="BH108" i="8"/>
  <c r="BG108" i="8"/>
  <c r="AQ108" i="8"/>
  <c r="AT108" i="8" s="1"/>
  <c r="AL108" i="8"/>
  <c r="AN108" i="8" s="1"/>
  <c r="AG108" i="8"/>
  <c r="AI108" i="8" s="1"/>
  <c r="AS108" i="8" s="1"/>
  <c r="P108" i="8"/>
  <c r="O108" i="8"/>
  <c r="BS107" i="8"/>
  <c r="BM107" i="8"/>
  <c r="BL107" i="8"/>
  <c r="BH107" i="8"/>
  <c r="BG107" i="8"/>
  <c r="AQ107" i="8"/>
  <c r="AN107" i="8"/>
  <c r="AL107" i="8"/>
  <c r="AG107" i="8"/>
  <c r="AT107" i="8" s="1"/>
  <c r="P107" i="8"/>
  <c r="O107" i="8"/>
  <c r="BS106" i="8"/>
  <c r="BM106" i="8"/>
  <c r="BL106" i="8"/>
  <c r="BH106" i="8"/>
  <c r="BG106" i="8"/>
  <c r="AQ106" i="8"/>
  <c r="AT106" i="8" s="1"/>
  <c r="AL106" i="8"/>
  <c r="AN106" i="8" s="1"/>
  <c r="AG106" i="8"/>
  <c r="AI106" i="8" s="1"/>
  <c r="P106" i="8"/>
  <c r="O106" i="8"/>
  <c r="BS105" i="8"/>
  <c r="BM105" i="8"/>
  <c r="BL105" i="8"/>
  <c r="BH105" i="8"/>
  <c r="BG105" i="8"/>
  <c r="AQ105" i="8"/>
  <c r="AN105" i="8"/>
  <c r="AL105" i="8"/>
  <c r="AI105" i="8"/>
  <c r="AG105" i="8"/>
  <c r="AT105" i="8" s="1"/>
  <c r="P105" i="8"/>
  <c r="O105" i="8"/>
  <c r="BS104" i="8"/>
  <c r="BM104" i="8"/>
  <c r="BL104" i="8"/>
  <c r="BH104" i="8"/>
  <c r="BG104" i="8"/>
  <c r="AS104" i="8"/>
  <c r="AR104" i="8"/>
  <c r="AQ104" i="8"/>
  <c r="AT104" i="8" s="1"/>
  <c r="AL104" i="8"/>
  <c r="AN104" i="8" s="1"/>
  <c r="AG104" i="8"/>
  <c r="AI104" i="8" s="1"/>
  <c r="P104" i="8"/>
  <c r="O104" i="8"/>
  <c r="BS103" i="8"/>
  <c r="BM103" i="8"/>
  <c r="BL103" i="8"/>
  <c r="BH103" i="8"/>
  <c r="BG103" i="8"/>
  <c r="AQ103" i="8"/>
  <c r="AN103" i="8"/>
  <c r="AL103" i="8"/>
  <c r="AG103" i="8"/>
  <c r="AT103" i="8" s="1"/>
  <c r="P103" i="8"/>
  <c r="O103" i="8"/>
  <c r="BS102" i="8"/>
  <c r="BM102" i="8"/>
  <c r="BL102" i="8"/>
  <c r="BH102" i="8"/>
  <c r="BG102" i="8"/>
  <c r="AQ102" i="8"/>
  <c r="AT102" i="8" s="1"/>
  <c r="AL102" i="8"/>
  <c r="AN102" i="8" s="1"/>
  <c r="AG102" i="8"/>
  <c r="AI102" i="8" s="1"/>
  <c r="AS102" i="8" s="1"/>
  <c r="P102" i="8"/>
  <c r="O102" i="8"/>
  <c r="BS101" i="8"/>
  <c r="BM101" i="8"/>
  <c r="BL101" i="8"/>
  <c r="BH101" i="8"/>
  <c r="BG101" i="8"/>
  <c r="AQ101" i="8"/>
  <c r="AN101" i="8"/>
  <c r="AL101" i="8"/>
  <c r="AI101" i="8"/>
  <c r="AG101" i="8"/>
  <c r="AT101" i="8" s="1"/>
  <c r="P101" i="8"/>
  <c r="O101" i="8"/>
  <c r="BS100" i="8"/>
  <c r="BM100" i="8"/>
  <c r="BL100" i="8"/>
  <c r="BH100" i="8"/>
  <c r="BG100" i="8"/>
  <c r="AQ100" i="8"/>
  <c r="AT100" i="8" s="1"/>
  <c r="AL100" i="8"/>
  <c r="AN100" i="8" s="1"/>
  <c r="AS100" i="8" s="1"/>
  <c r="AG100" i="8"/>
  <c r="AI100" i="8" s="1"/>
  <c r="P100" i="8"/>
  <c r="O100" i="8"/>
  <c r="BS99" i="8"/>
  <c r="BM99" i="8"/>
  <c r="BL99" i="8"/>
  <c r="BH99" i="8"/>
  <c r="BG99" i="8"/>
  <c r="AQ99" i="8"/>
  <c r="AN99" i="8"/>
  <c r="AL99" i="8"/>
  <c r="AI99" i="8"/>
  <c r="AG99" i="8"/>
  <c r="AT99" i="8" s="1"/>
  <c r="P99" i="8"/>
  <c r="O99" i="8"/>
  <c r="BS98" i="8"/>
  <c r="BM98" i="8"/>
  <c r="BL98" i="8"/>
  <c r="BH98" i="8"/>
  <c r="BG98" i="8"/>
  <c r="AQ98" i="8"/>
  <c r="AT98" i="8" s="1"/>
  <c r="AL98" i="8"/>
  <c r="AN98" i="8" s="1"/>
  <c r="AG98" i="8"/>
  <c r="AI98" i="8" s="1"/>
  <c r="AS98" i="8" s="1"/>
  <c r="P98" i="8"/>
  <c r="O98" i="8"/>
  <c r="BS97" i="8"/>
  <c r="BM97" i="8"/>
  <c r="BL97" i="8"/>
  <c r="BH97" i="8"/>
  <c r="BG97" i="8"/>
  <c r="AQ97" i="8"/>
  <c r="AN97" i="8"/>
  <c r="AL97" i="8"/>
  <c r="AG97" i="8"/>
  <c r="AT97" i="8" s="1"/>
  <c r="P97" i="8"/>
  <c r="O97" i="8"/>
  <c r="BS96" i="8"/>
  <c r="BM96" i="8"/>
  <c r="BL96" i="8"/>
  <c r="BH96" i="8"/>
  <c r="BG96" i="8"/>
  <c r="AQ96" i="8"/>
  <c r="AT96" i="8" s="1"/>
  <c r="AL96" i="8"/>
  <c r="AN96" i="8" s="1"/>
  <c r="AG96" i="8"/>
  <c r="AI96" i="8" s="1"/>
  <c r="P96" i="8"/>
  <c r="O96" i="8"/>
  <c r="BS95" i="8"/>
  <c r="BM95" i="8"/>
  <c r="BL95" i="8"/>
  <c r="BH95" i="8"/>
  <c r="BG95" i="8"/>
  <c r="AQ95" i="8"/>
  <c r="AN95" i="8"/>
  <c r="AL95" i="8"/>
  <c r="AI95" i="8"/>
  <c r="AG95" i="8"/>
  <c r="AT95" i="8" s="1"/>
  <c r="P95" i="8"/>
  <c r="O95" i="8"/>
  <c r="BS94" i="8"/>
  <c r="BM94" i="8"/>
  <c r="BL94" i="8"/>
  <c r="BH94" i="8"/>
  <c r="BG94" i="8"/>
  <c r="AT94" i="8"/>
  <c r="AS94" i="8"/>
  <c r="AQ94" i="8"/>
  <c r="AL94" i="8"/>
  <c r="AN94" i="8" s="1"/>
  <c r="AG94" i="8"/>
  <c r="AI94" i="8" s="1"/>
  <c r="AR94" i="8" s="1"/>
  <c r="P94" i="8"/>
  <c r="O94" i="8"/>
  <c r="BS93" i="8"/>
  <c r="BM93" i="8"/>
  <c r="BL93" i="8"/>
  <c r="BH93" i="8"/>
  <c r="BG93" i="8"/>
  <c r="AQ93" i="8"/>
  <c r="AL93" i="8"/>
  <c r="AN93" i="8" s="1"/>
  <c r="AI93" i="8"/>
  <c r="AG93" i="8"/>
  <c r="AT93" i="8" s="1"/>
  <c r="P93" i="8"/>
  <c r="O93" i="8"/>
  <c r="BS92" i="8"/>
  <c r="BM92" i="8"/>
  <c r="BL92" i="8"/>
  <c r="BH92" i="8"/>
  <c r="BG92" i="8"/>
  <c r="AQ92" i="8"/>
  <c r="AT92" i="8" s="1"/>
  <c r="AL92" i="8"/>
  <c r="AN92" i="8" s="1"/>
  <c r="AG92" i="8"/>
  <c r="AI92" i="8" s="1"/>
  <c r="P92" i="8"/>
  <c r="O92" i="8"/>
  <c r="BS91" i="8"/>
  <c r="BM91" i="8"/>
  <c r="BL91" i="8"/>
  <c r="BH91" i="8"/>
  <c r="BG91" i="8"/>
  <c r="AQ91" i="8"/>
  <c r="AL91" i="8"/>
  <c r="AN91" i="8" s="1"/>
  <c r="AI91" i="8"/>
  <c r="AG91" i="8"/>
  <c r="P91" i="8"/>
  <c r="O91" i="8"/>
  <c r="BS90" i="8"/>
  <c r="BM90" i="8"/>
  <c r="BL90" i="8"/>
  <c r="BH90" i="8"/>
  <c r="BG90" i="8"/>
  <c r="AT90" i="8"/>
  <c r="AS90" i="8"/>
  <c r="AQ90" i="8"/>
  <c r="AL90" i="8"/>
  <c r="AN90" i="8" s="1"/>
  <c r="AG90" i="8"/>
  <c r="AI90" i="8" s="1"/>
  <c r="AR90" i="8" s="1"/>
  <c r="P90" i="8"/>
  <c r="O90" i="8"/>
  <c r="BS89" i="8"/>
  <c r="BM89" i="8"/>
  <c r="BL89" i="8"/>
  <c r="BH89" i="8"/>
  <c r="BG89" i="8"/>
  <c r="AQ89" i="8"/>
  <c r="AL89" i="8"/>
  <c r="AN89" i="8" s="1"/>
  <c r="AI89" i="8"/>
  <c r="AG89" i="8"/>
  <c r="AT89" i="8" s="1"/>
  <c r="P89" i="8"/>
  <c r="O89" i="8"/>
  <c r="BS88" i="8"/>
  <c r="BM88" i="8"/>
  <c r="BL88" i="8"/>
  <c r="BH88" i="8"/>
  <c r="BG88" i="8"/>
  <c r="AQ88" i="8"/>
  <c r="AT88" i="8" s="1"/>
  <c r="AL88" i="8"/>
  <c r="AN88" i="8" s="1"/>
  <c r="AG88" i="8"/>
  <c r="AI88" i="8" s="1"/>
  <c r="P88" i="8"/>
  <c r="O88" i="8"/>
  <c r="BS87" i="8"/>
  <c r="BM87" i="8"/>
  <c r="BL87" i="8"/>
  <c r="BH87" i="8"/>
  <c r="BG87" i="8"/>
  <c r="AQ87" i="8"/>
  <c r="AL87" i="8"/>
  <c r="AN87" i="8" s="1"/>
  <c r="AI87" i="8"/>
  <c r="AG87" i="8"/>
  <c r="P87" i="8"/>
  <c r="O87" i="8"/>
  <c r="BS86" i="8"/>
  <c r="BM86" i="8"/>
  <c r="BL86" i="8"/>
  <c r="BH86" i="8"/>
  <c r="BG86" i="8"/>
  <c r="AT86" i="8"/>
  <c r="AS86" i="8"/>
  <c r="AQ86" i="8"/>
  <c r="AL86" i="8"/>
  <c r="AN86" i="8" s="1"/>
  <c r="AG86" i="8"/>
  <c r="AI86" i="8" s="1"/>
  <c r="AR86" i="8" s="1"/>
  <c r="P86" i="8"/>
  <c r="O86" i="8"/>
  <c r="BS85" i="8"/>
  <c r="BM85" i="8"/>
  <c r="BL85" i="8"/>
  <c r="BH85" i="8"/>
  <c r="BG85" i="8"/>
  <c r="AQ85" i="8"/>
  <c r="AL85" i="8"/>
  <c r="AN85" i="8" s="1"/>
  <c r="AI85" i="8"/>
  <c r="AG85" i="8"/>
  <c r="AT85" i="8" s="1"/>
  <c r="P85" i="8"/>
  <c r="O85" i="8"/>
  <c r="BS84" i="8"/>
  <c r="BM84" i="8"/>
  <c r="BL84" i="8"/>
  <c r="BH84" i="8"/>
  <c r="BG84" i="8"/>
  <c r="AQ84" i="8"/>
  <c r="AT84" i="8" s="1"/>
  <c r="AL84" i="8"/>
  <c r="AN84" i="8" s="1"/>
  <c r="AG84" i="8"/>
  <c r="AI84" i="8" s="1"/>
  <c r="P84" i="8"/>
  <c r="O84" i="8"/>
  <c r="BS83" i="8"/>
  <c r="BM83" i="8"/>
  <c r="BL83" i="8"/>
  <c r="BH83" i="8"/>
  <c r="BG83" i="8"/>
  <c r="AQ83" i="8"/>
  <c r="AN83" i="8"/>
  <c r="AL83" i="8"/>
  <c r="AI83" i="8"/>
  <c r="AG83" i="8"/>
  <c r="P83" i="8"/>
  <c r="O83" i="8"/>
  <c r="BS82" i="8"/>
  <c r="BM82" i="8"/>
  <c r="BL82" i="8"/>
  <c r="BH82" i="8"/>
  <c r="BG82" i="8"/>
  <c r="AT82" i="8"/>
  <c r="AS82" i="8"/>
  <c r="AQ82" i="8"/>
  <c r="AL82" i="8"/>
  <c r="AN82" i="8" s="1"/>
  <c r="AG82" i="8"/>
  <c r="AI82" i="8" s="1"/>
  <c r="AR82" i="8" s="1"/>
  <c r="P82" i="8"/>
  <c r="O82" i="8"/>
  <c r="BS81" i="8"/>
  <c r="BM81" i="8"/>
  <c r="BL81" i="8"/>
  <c r="BH81" i="8"/>
  <c r="BG81" i="8"/>
  <c r="AQ81" i="8"/>
  <c r="AL81" i="8"/>
  <c r="AN81" i="8" s="1"/>
  <c r="AI81" i="8"/>
  <c r="AG81" i="8"/>
  <c r="AT81" i="8" s="1"/>
  <c r="P81" i="8"/>
  <c r="O81" i="8"/>
  <c r="BS80" i="8"/>
  <c r="BM80" i="8"/>
  <c r="BL80" i="8"/>
  <c r="BH80" i="8"/>
  <c r="BG80" i="8"/>
  <c r="AQ80" i="8"/>
  <c r="AT80" i="8" s="1"/>
  <c r="AL80" i="8"/>
  <c r="AN80" i="8" s="1"/>
  <c r="AG80" i="8"/>
  <c r="AI80" i="8" s="1"/>
  <c r="P80" i="8"/>
  <c r="O80" i="8"/>
  <c r="BS79" i="8"/>
  <c r="BM79" i="8"/>
  <c r="BL79" i="8"/>
  <c r="BH79" i="8"/>
  <c r="BG79" i="8"/>
  <c r="AQ79" i="8"/>
  <c r="AL79" i="8"/>
  <c r="AN79" i="8" s="1"/>
  <c r="AI79" i="8"/>
  <c r="AG79" i="8"/>
  <c r="P79" i="8"/>
  <c r="O79" i="8"/>
  <c r="BS78" i="8"/>
  <c r="BM78" i="8"/>
  <c r="BL78" i="8"/>
  <c r="BH78" i="8"/>
  <c r="BG78" i="8"/>
  <c r="AT78" i="8"/>
  <c r="AS78" i="8"/>
  <c r="AQ78" i="8"/>
  <c r="AL78" i="8"/>
  <c r="AN78" i="8" s="1"/>
  <c r="AG78" i="8"/>
  <c r="AI78" i="8" s="1"/>
  <c r="AR78" i="8" s="1"/>
  <c r="P78" i="8"/>
  <c r="O78" i="8"/>
  <c r="BS77" i="8"/>
  <c r="BM77" i="8"/>
  <c r="BL77" i="8"/>
  <c r="BH77" i="8"/>
  <c r="BG77" i="8"/>
  <c r="AQ77" i="8"/>
  <c r="AL77" i="8"/>
  <c r="AN77" i="8" s="1"/>
  <c r="AI77" i="8"/>
  <c r="AG77" i="8"/>
  <c r="AT77" i="8" s="1"/>
  <c r="P77" i="8"/>
  <c r="O77" i="8"/>
  <c r="BS76" i="8"/>
  <c r="BM76" i="8"/>
  <c r="BL76" i="8"/>
  <c r="BH76" i="8"/>
  <c r="BG76" i="8"/>
  <c r="AQ76" i="8"/>
  <c r="AT76" i="8" s="1"/>
  <c r="AL76" i="8"/>
  <c r="AN76" i="8" s="1"/>
  <c r="AG76" i="8"/>
  <c r="AI76" i="8" s="1"/>
  <c r="P76" i="8"/>
  <c r="O76" i="8"/>
  <c r="BS75" i="8"/>
  <c r="BM75" i="8"/>
  <c r="BL75" i="8"/>
  <c r="BH75" i="8"/>
  <c r="BG75" i="8"/>
  <c r="AQ75" i="8"/>
  <c r="AL75" i="8"/>
  <c r="AN75" i="8" s="1"/>
  <c r="AI75" i="8"/>
  <c r="AG75" i="8"/>
  <c r="P75" i="8"/>
  <c r="O75" i="8"/>
  <c r="BS74" i="8"/>
  <c r="BM74" i="8"/>
  <c r="BL74" i="8"/>
  <c r="BH74" i="8"/>
  <c r="BG74" i="8"/>
  <c r="AT74" i="8"/>
  <c r="AS74" i="8"/>
  <c r="AQ74" i="8"/>
  <c r="AL74" i="8"/>
  <c r="AN74" i="8" s="1"/>
  <c r="AG74" i="8"/>
  <c r="AI74" i="8" s="1"/>
  <c r="AR74" i="8" s="1"/>
  <c r="P74" i="8"/>
  <c r="O74" i="8"/>
  <c r="BS73" i="8"/>
  <c r="BM73" i="8"/>
  <c r="BL73" i="8"/>
  <c r="BH73" i="8"/>
  <c r="BG73" i="8"/>
  <c r="AQ73" i="8"/>
  <c r="AL73" i="8"/>
  <c r="AN73" i="8" s="1"/>
  <c r="AI73" i="8"/>
  <c r="AG73" i="8"/>
  <c r="AT73" i="8" s="1"/>
  <c r="P73" i="8"/>
  <c r="O73" i="8"/>
  <c r="BS72" i="8"/>
  <c r="BM72" i="8"/>
  <c r="BL72" i="8"/>
  <c r="BH72" i="8"/>
  <c r="BG72" i="8"/>
  <c r="AQ72" i="8"/>
  <c r="AT72" i="8" s="1"/>
  <c r="AL72" i="8"/>
  <c r="AN72" i="8" s="1"/>
  <c r="AG72" i="8"/>
  <c r="AI72" i="8" s="1"/>
  <c r="P72" i="8"/>
  <c r="O72" i="8"/>
  <c r="BS71" i="8"/>
  <c r="BM71" i="8"/>
  <c r="BL71" i="8"/>
  <c r="BH71" i="8"/>
  <c r="BG71" i="8"/>
  <c r="AQ71" i="8"/>
  <c r="AL71" i="8"/>
  <c r="AN71" i="8" s="1"/>
  <c r="AI71" i="8"/>
  <c r="AG71" i="8"/>
  <c r="P71" i="8"/>
  <c r="O71" i="8"/>
  <c r="BS70" i="8"/>
  <c r="BM70" i="8"/>
  <c r="BL70" i="8"/>
  <c r="BH70" i="8"/>
  <c r="BG70" i="8"/>
  <c r="AT70" i="8"/>
  <c r="AS70" i="8"/>
  <c r="AQ70" i="8"/>
  <c r="AL70" i="8"/>
  <c r="AN70" i="8" s="1"/>
  <c r="AG70" i="8"/>
  <c r="AI70" i="8" s="1"/>
  <c r="AR70" i="8" s="1"/>
  <c r="P70" i="8"/>
  <c r="O70" i="8"/>
  <c r="BS69" i="8"/>
  <c r="BM69" i="8"/>
  <c r="BL69" i="8"/>
  <c r="BH69" i="8"/>
  <c r="BG69" i="8"/>
  <c r="AQ69" i="8"/>
  <c r="AL69" i="8"/>
  <c r="AN69" i="8" s="1"/>
  <c r="AI69" i="8"/>
  <c r="AG69" i="8"/>
  <c r="P69" i="8"/>
  <c r="O69" i="8"/>
  <c r="BS68" i="8"/>
  <c r="BM68" i="8"/>
  <c r="BL68" i="8"/>
  <c r="BH68" i="8"/>
  <c r="BG68" i="8"/>
  <c r="AQ68" i="8"/>
  <c r="AT68" i="8" s="1"/>
  <c r="AL68" i="8"/>
  <c r="AN68" i="8" s="1"/>
  <c r="AG68" i="8"/>
  <c r="AI68" i="8" s="1"/>
  <c r="P68" i="8"/>
  <c r="O68" i="8"/>
  <c r="BS67" i="8"/>
  <c r="BM67" i="8"/>
  <c r="BL67" i="8"/>
  <c r="BH67" i="8"/>
  <c r="BG67" i="8"/>
  <c r="AQ67" i="8"/>
  <c r="AN67" i="8"/>
  <c r="AL67" i="8"/>
  <c r="AI67" i="8"/>
  <c r="AG67" i="8"/>
  <c r="P67" i="8"/>
  <c r="O67" i="8"/>
  <c r="BS66" i="8"/>
  <c r="BM66" i="8"/>
  <c r="BL66" i="8"/>
  <c r="BH66" i="8"/>
  <c r="BG66" i="8"/>
  <c r="AT66" i="8"/>
  <c r="AS66" i="8"/>
  <c r="AQ66" i="8"/>
  <c r="AL66" i="8"/>
  <c r="AN66" i="8" s="1"/>
  <c r="AG66" i="8"/>
  <c r="AI66" i="8" s="1"/>
  <c r="AR66" i="8" s="1"/>
  <c r="P66" i="8"/>
  <c r="O66" i="8"/>
  <c r="BS65" i="8"/>
  <c r="BM65" i="8"/>
  <c r="BL65" i="8"/>
  <c r="BH65" i="8"/>
  <c r="BG65" i="8"/>
  <c r="AQ65" i="8"/>
  <c r="AL65" i="8"/>
  <c r="AN65" i="8" s="1"/>
  <c r="AI65" i="8"/>
  <c r="AG65" i="8"/>
  <c r="P65" i="8"/>
  <c r="O65" i="8"/>
  <c r="BS64" i="8"/>
  <c r="BM64" i="8"/>
  <c r="BL64" i="8"/>
  <c r="BH64" i="8"/>
  <c r="BG64" i="8"/>
  <c r="AQ64" i="8"/>
  <c r="AT64" i="8" s="1"/>
  <c r="AL64" i="8"/>
  <c r="AN64" i="8" s="1"/>
  <c r="AG64" i="8"/>
  <c r="AI64" i="8" s="1"/>
  <c r="P64" i="8"/>
  <c r="O64" i="8"/>
  <c r="BS63" i="8"/>
  <c r="BM63" i="8"/>
  <c r="BL63" i="8"/>
  <c r="BH63" i="8"/>
  <c r="BG63" i="8"/>
  <c r="AQ63" i="8"/>
  <c r="AL63" i="8"/>
  <c r="AN63" i="8" s="1"/>
  <c r="AI63" i="8"/>
  <c r="AG63" i="8"/>
  <c r="P63" i="8"/>
  <c r="O63" i="8"/>
  <c r="BS62" i="8"/>
  <c r="BM62" i="8"/>
  <c r="BL62" i="8"/>
  <c r="BH62" i="8"/>
  <c r="BG62" i="8"/>
  <c r="AT62" i="8"/>
  <c r="AS62" i="8"/>
  <c r="AQ62" i="8"/>
  <c r="AL62" i="8"/>
  <c r="AN62" i="8" s="1"/>
  <c r="AG62" i="8"/>
  <c r="AI62" i="8" s="1"/>
  <c r="AR62" i="8" s="1"/>
  <c r="P62" i="8"/>
  <c r="O62" i="8"/>
  <c r="BS61" i="8"/>
  <c r="BM61" i="8"/>
  <c r="BL61" i="8"/>
  <c r="BH61" i="8"/>
  <c r="BG61" i="8"/>
  <c r="AQ61" i="8"/>
  <c r="AL61" i="8"/>
  <c r="AN61" i="8" s="1"/>
  <c r="AI61" i="8"/>
  <c r="AG61" i="8"/>
  <c r="P61" i="8"/>
  <c r="O61" i="8"/>
  <c r="BS60" i="8"/>
  <c r="BM60" i="8"/>
  <c r="BL60" i="8"/>
  <c r="BH60" i="8"/>
  <c r="BG60" i="8"/>
  <c r="AQ60" i="8"/>
  <c r="AT60" i="8" s="1"/>
  <c r="AL60" i="8"/>
  <c r="AN60" i="8" s="1"/>
  <c r="AG60" i="8"/>
  <c r="AI60" i="8" s="1"/>
  <c r="P60" i="8"/>
  <c r="O60" i="8"/>
  <c r="BS59" i="8"/>
  <c r="BM59" i="8"/>
  <c r="BL59" i="8"/>
  <c r="BH59" i="8"/>
  <c r="BG59" i="8"/>
  <c r="AQ59" i="8"/>
  <c r="AL59" i="8"/>
  <c r="AN59" i="8" s="1"/>
  <c r="AG59" i="8"/>
  <c r="AI59" i="8" s="1"/>
  <c r="P59" i="8"/>
  <c r="O59" i="8"/>
  <c r="BS58" i="8"/>
  <c r="BM58" i="8"/>
  <c r="BL58" i="8"/>
  <c r="BH58" i="8"/>
  <c r="BG58" i="8"/>
  <c r="AT58" i="8"/>
  <c r="AR58" i="8"/>
  <c r="AQ58" i="8"/>
  <c r="AL58" i="8"/>
  <c r="AN58" i="8" s="1"/>
  <c r="AG58" i="8"/>
  <c r="AI58" i="8" s="1"/>
  <c r="AS58" i="8" s="1"/>
  <c r="P58" i="8"/>
  <c r="O58" i="8"/>
  <c r="BS57" i="8"/>
  <c r="BM57" i="8"/>
  <c r="BL57" i="8"/>
  <c r="BH57" i="8"/>
  <c r="BG57" i="8"/>
  <c r="AQ57" i="8"/>
  <c r="AN57" i="8"/>
  <c r="AL57" i="8"/>
  <c r="AG57" i="8"/>
  <c r="P57" i="8"/>
  <c r="O57" i="8"/>
  <c r="BS56" i="8"/>
  <c r="BM56" i="8"/>
  <c r="BL56" i="8"/>
  <c r="BH56" i="8"/>
  <c r="BG56" i="8"/>
  <c r="AQ56" i="8"/>
  <c r="AT56" i="8" s="1"/>
  <c r="AL56" i="8"/>
  <c r="AN56" i="8" s="1"/>
  <c r="AS56" i="8" s="1"/>
  <c r="AG56" i="8"/>
  <c r="AI56" i="8" s="1"/>
  <c r="P56" i="8"/>
  <c r="O56" i="8"/>
  <c r="BS55" i="8"/>
  <c r="BM55" i="8"/>
  <c r="BL55" i="8"/>
  <c r="BH55" i="8"/>
  <c r="BG55" i="8"/>
  <c r="AT55" i="8"/>
  <c r="AQ55" i="8"/>
  <c r="AL55" i="8"/>
  <c r="AN55" i="8" s="1"/>
  <c r="AG55" i="8"/>
  <c r="AI55" i="8" s="1"/>
  <c r="P55" i="8"/>
  <c r="O55" i="8"/>
  <c r="BS54" i="8"/>
  <c r="BM54" i="8"/>
  <c r="BL54" i="8"/>
  <c r="BH54" i="8"/>
  <c r="BG54" i="8"/>
  <c r="AQ54" i="8"/>
  <c r="AT54" i="8" s="1"/>
  <c r="AL54" i="8"/>
  <c r="AN54" i="8" s="1"/>
  <c r="AG54" i="8"/>
  <c r="AI54" i="8" s="1"/>
  <c r="AS54" i="8" s="1"/>
  <c r="P54" i="8"/>
  <c r="O54" i="8"/>
  <c r="BS53" i="8"/>
  <c r="BM53" i="8"/>
  <c r="BL53" i="8"/>
  <c r="BH53" i="8"/>
  <c r="BG53" i="8"/>
  <c r="AQ53" i="8"/>
  <c r="AL53" i="8"/>
  <c r="AN53" i="8" s="1"/>
  <c r="AI53" i="8"/>
  <c r="AG53" i="8"/>
  <c r="P53" i="8"/>
  <c r="O53" i="8"/>
  <c r="BS52" i="8"/>
  <c r="BM52" i="8"/>
  <c r="BL52" i="8"/>
  <c r="BH52" i="8"/>
  <c r="BG52" i="8"/>
  <c r="AT52" i="8"/>
  <c r="AS52" i="8"/>
  <c r="AR52" i="8"/>
  <c r="AQ52" i="8"/>
  <c r="AL52" i="8"/>
  <c r="AN52" i="8" s="1"/>
  <c r="AG52" i="8"/>
  <c r="AI52" i="8" s="1"/>
  <c r="P52" i="8"/>
  <c r="O52" i="8"/>
  <c r="BS51" i="8"/>
  <c r="BM51" i="8"/>
  <c r="BL51" i="8"/>
  <c r="BH51" i="8"/>
  <c r="BG51" i="8"/>
  <c r="AQ51" i="8"/>
  <c r="AL51" i="8"/>
  <c r="AN51" i="8" s="1"/>
  <c r="AI51" i="8"/>
  <c r="AG51" i="8"/>
  <c r="AT51" i="8" s="1"/>
  <c r="P51" i="8"/>
  <c r="O51" i="8"/>
  <c r="BS50" i="8"/>
  <c r="BM50" i="8"/>
  <c r="BL50" i="8"/>
  <c r="BH50" i="8"/>
  <c r="BG50" i="8"/>
  <c r="AQ50" i="8"/>
  <c r="AT50" i="8" s="1"/>
  <c r="AL50" i="8"/>
  <c r="AN50" i="8" s="1"/>
  <c r="AG50" i="8"/>
  <c r="AI50" i="8" s="1"/>
  <c r="P50" i="8"/>
  <c r="O50" i="8"/>
  <c r="BS49" i="8"/>
  <c r="BM49" i="8"/>
  <c r="BL49" i="8"/>
  <c r="BH49" i="8"/>
  <c r="BG49" i="8"/>
  <c r="AQ49" i="8"/>
  <c r="AL49" i="8"/>
  <c r="AN49" i="8" s="1"/>
  <c r="AG49" i="8"/>
  <c r="AI49" i="8" s="1"/>
  <c r="P49" i="8"/>
  <c r="O49" i="8"/>
  <c r="BS48" i="8"/>
  <c r="BM48" i="8"/>
  <c r="BL48" i="8"/>
  <c r="BH48" i="8"/>
  <c r="BG48" i="8"/>
  <c r="AT48" i="8"/>
  <c r="AQ48" i="8"/>
  <c r="AL48" i="8"/>
  <c r="AN48" i="8" s="1"/>
  <c r="AG48" i="8"/>
  <c r="AI48" i="8" s="1"/>
  <c r="AS48" i="8" s="1"/>
  <c r="P48" i="8"/>
  <c r="O48" i="8"/>
  <c r="BS47" i="8"/>
  <c r="BM47" i="8"/>
  <c r="BL47" i="8"/>
  <c r="BH47" i="8"/>
  <c r="BG47" i="8"/>
  <c r="AQ47" i="8"/>
  <c r="AN47" i="8"/>
  <c r="AL47" i="8"/>
  <c r="AG47" i="8"/>
  <c r="P47" i="8"/>
  <c r="O47" i="8"/>
  <c r="BS46" i="8"/>
  <c r="BM46" i="8"/>
  <c r="BL46" i="8"/>
  <c r="BH46" i="8"/>
  <c r="BG46" i="8"/>
  <c r="AQ46" i="8"/>
  <c r="AT46" i="8" s="1"/>
  <c r="AL46" i="8"/>
  <c r="AN46" i="8" s="1"/>
  <c r="AS46" i="8" s="1"/>
  <c r="AG46" i="8"/>
  <c r="AI46" i="8" s="1"/>
  <c r="P46" i="8"/>
  <c r="O46" i="8"/>
  <c r="BS45" i="8"/>
  <c r="BM45" i="8"/>
  <c r="BL45" i="8"/>
  <c r="BH45" i="8"/>
  <c r="BG45" i="8"/>
  <c r="AT45" i="8"/>
  <c r="AQ45" i="8"/>
  <c r="AL45" i="8"/>
  <c r="AN45" i="8" s="1"/>
  <c r="AG45" i="8"/>
  <c r="AI45" i="8" s="1"/>
  <c r="P45" i="8"/>
  <c r="O45" i="8"/>
  <c r="BS44" i="8"/>
  <c r="BM44" i="8"/>
  <c r="BL44" i="8"/>
  <c r="BH44" i="8"/>
  <c r="BG44" i="8"/>
  <c r="AQ44" i="8"/>
  <c r="AT44" i="8" s="1"/>
  <c r="AL44" i="8"/>
  <c r="AN44" i="8" s="1"/>
  <c r="AG44" i="8"/>
  <c r="AI44" i="8" s="1"/>
  <c r="AS44" i="8" s="1"/>
  <c r="P44" i="8"/>
  <c r="O44" i="8"/>
  <c r="BS43" i="8"/>
  <c r="BM43" i="8"/>
  <c r="BL43" i="8"/>
  <c r="BH43" i="8"/>
  <c r="BG43" i="8"/>
  <c r="AQ43" i="8"/>
  <c r="AL43" i="8"/>
  <c r="AN43" i="8" s="1"/>
  <c r="AI43" i="8"/>
  <c r="AG43" i="8"/>
  <c r="P43" i="8"/>
  <c r="O43" i="8"/>
  <c r="BS42" i="8"/>
  <c r="BM42" i="8"/>
  <c r="BL42" i="8"/>
  <c r="BH42" i="8"/>
  <c r="BG42" i="8"/>
  <c r="AT42" i="8"/>
  <c r="AS42" i="8"/>
  <c r="AR42" i="8"/>
  <c r="AQ42" i="8"/>
  <c r="AL42" i="8"/>
  <c r="AN42" i="8" s="1"/>
  <c r="AG42" i="8"/>
  <c r="AI42" i="8" s="1"/>
  <c r="P42" i="8"/>
  <c r="O42" i="8"/>
  <c r="BS41" i="8"/>
  <c r="BM41" i="8"/>
  <c r="BL41" i="8"/>
  <c r="BH41" i="8"/>
  <c r="BG41" i="8"/>
  <c r="AQ41" i="8"/>
  <c r="AL41" i="8"/>
  <c r="AN41" i="8" s="1"/>
  <c r="AI41" i="8"/>
  <c r="AG41" i="8"/>
  <c r="AT41" i="8" s="1"/>
  <c r="P41" i="8"/>
  <c r="O41" i="8"/>
  <c r="BS40" i="8"/>
  <c r="BM40" i="8"/>
  <c r="BL40" i="8"/>
  <c r="BH40" i="8"/>
  <c r="BG40" i="8"/>
  <c r="AQ40" i="8"/>
  <c r="AL40" i="8"/>
  <c r="AN40" i="8" s="1"/>
  <c r="AG40" i="8"/>
  <c r="AI40" i="8" s="1"/>
  <c r="P40" i="8"/>
  <c r="O40" i="8"/>
  <c r="BS39" i="8"/>
  <c r="BM39" i="8"/>
  <c r="BL39" i="8"/>
  <c r="BH39" i="8"/>
  <c r="BG39" i="8"/>
  <c r="AQ39" i="8"/>
  <c r="AN39" i="8"/>
  <c r="AL39" i="8"/>
  <c r="AG39" i="8"/>
  <c r="AI39" i="8" s="1"/>
  <c r="P39" i="8"/>
  <c r="O39" i="8"/>
  <c r="BS38" i="8"/>
  <c r="BM38" i="8"/>
  <c r="BL38" i="8"/>
  <c r="BH38" i="8"/>
  <c r="BG38" i="8"/>
  <c r="AT38" i="8"/>
  <c r="AQ38" i="8"/>
  <c r="AL38" i="8"/>
  <c r="AN38" i="8" s="1"/>
  <c r="AG38" i="8"/>
  <c r="AI38" i="8" s="1"/>
  <c r="AS38" i="8" s="1"/>
  <c r="P38" i="8"/>
  <c r="O38" i="8"/>
  <c r="BS37" i="8"/>
  <c r="BM37" i="8"/>
  <c r="BL37" i="8"/>
  <c r="BH37" i="8"/>
  <c r="BG37" i="8"/>
  <c r="AQ37" i="8"/>
  <c r="AN37" i="8"/>
  <c r="AL37" i="8"/>
  <c r="AG37" i="8"/>
  <c r="P37" i="8"/>
  <c r="O37" i="8"/>
  <c r="BS36" i="8"/>
  <c r="BM36" i="8"/>
  <c r="BL36" i="8"/>
  <c r="BH36" i="8"/>
  <c r="BG36" i="8"/>
  <c r="AQ36" i="8"/>
  <c r="AT36" i="8" s="1"/>
  <c r="AL36" i="8"/>
  <c r="AN36" i="8" s="1"/>
  <c r="AS36" i="8" s="1"/>
  <c r="AG36" i="8"/>
  <c r="AI36" i="8" s="1"/>
  <c r="P36" i="8"/>
  <c r="O36" i="8"/>
  <c r="BS35" i="8"/>
  <c r="BM35" i="8"/>
  <c r="BL35" i="8"/>
  <c r="BH35" i="8"/>
  <c r="BG35" i="8"/>
  <c r="AT35" i="8"/>
  <c r="AQ35" i="8"/>
  <c r="AL35" i="8"/>
  <c r="AN35" i="8" s="1"/>
  <c r="AG35" i="8"/>
  <c r="AI35" i="8" s="1"/>
  <c r="P35" i="8"/>
  <c r="O35" i="8"/>
  <c r="BS34" i="8"/>
  <c r="BM34" i="8"/>
  <c r="BL34" i="8"/>
  <c r="BH34" i="8"/>
  <c r="BG34" i="8"/>
  <c r="AQ34" i="8"/>
  <c r="AT34" i="8" s="1"/>
  <c r="AL34" i="8"/>
  <c r="AN34" i="8" s="1"/>
  <c r="AG34" i="8"/>
  <c r="AI34" i="8" s="1"/>
  <c r="AS34" i="8" s="1"/>
  <c r="P34" i="8"/>
  <c r="O34" i="8"/>
  <c r="BS33" i="8"/>
  <c r="BM33" i="8"/>
  <c r="BL33" i="8"/>
  <c r="BH33" i="8"/>
  <c r="BG33" i="8"/>
  <c r="AQ33" i="8"/>
  <c r="AL33" i="8"/>
  <c r="AN33" i="8" s="1"/>
  <c r="AI33" i="8"/>
  <c r="AG33" i="8"/>
  <c r="P33" i="8"/>
  <c r="O33" i="8"/>
  <c r="BS32" i="8"/>
  <c r="BM32" i="8"/>
  <c r="BL32" i="8"/>
  <c r="BH32" i="8"/>
  <c r="BG32" i="8"/>
  <c r="AT32" i="8"/>
  <c r="AS32" i="8"/>
  <c r="AR32" i="8"/>
  <c r="AQ32" i="8"/>
  <c r="AL32" i="8"/>
  <c r="AN32" i="8" s="1"/>
  <c r="AG32" i="8"/>
  <c r="AI32" i="8" s="1"/>
  <c r="P32" i="8"/>
  <c r="O32" i="8"/>
  <c r="BS31" i="8"/>
  <c r="BM31" i="8"/>
  <c r="BL31" i="8"/>
  <c r="BH31" i="8"/>
  <c r="BG31" i="8"/>
  <c r="AQ31" i="8"/>
  <c r="AL31" i="8"/>
  <c r="AN31" i="8" s="1"/>
  <c r="AI31" i="8"/>
  <c r="AG31" i="8"/>
  <c r="AT31" i="8" s="1"/>
  <c r="P31" i="8"/>
  <c r="O31" i="8"/>
  <c r="BS30" i="8"/>
  <c r="BM30" i="8"/>
  <c r="BL30" i="8"/>
  <c r="BH30" i="8"/>
  <c r="BG30" i="8"/>
  <c r="AQ30" i="8"/>
  <c r="AT30" i="8" s="1"/>
  <c r="AL30" i="8"/>
  <c r="AN30" i="8" s="1"/>
  <c r="AG30" i="8"/>
  <c r="AI30" i="8" s="1"/>
  <c r="P30" i="8"/>
  <c r="O30" i="8"/>
  <c r="BS29" i="8"/>
  <c r="BM29" i="8"/>
  <c r="BL29" i="8"/>
  <c r="BH29" i="8"/>
  <c r="BG29" i="8"/>
  <c r="AQ29" i="8"/>
  <c r="AL29" i="8"/>
  <c r="AN29" i="8" s="1"/>
  <c r="AG29" i="8"/>
  <c r="AI29" i="8" s="1"/>
  <c r="P29" i="8"/>
  <c r="O29" i="8"/>
  <c r="BS28" i="8"/>
  <c r="BM28" i="8"/>
  <c r="BL28" i="8"/>
  <c r="BH28" i="8"/>
  <c r="BG28" i="8"/>
  <c r="AT28" i="8"/>
  <c r="AR28" i="8"/>
  <c r="AQ28" i="8"/>
  <c r="AL28" i="8"/>
  <c r="AN28" i="8" s="1"/>
  <c r="AG28" i="8"/>
  <c r="AI28" i="8" s="1"/>
  <c r="AS28" i="8" s="1"/>
  <c r="P28" i="8"/>
  <c r="O28" i="8"/>
  <c r="BS27" i="8"/>
  <c r="BM27" i="8"/>
  <c r="BL27" i="8"/>
  <c r="BH27" i="8"/>
  <c r="BG27" i="8"/>
  <c r="AQ27" i="8"/>
  <c r="AN27" i="8"/>
  <c r="AL27" i="8"/>
  <c r="AG27" i="8"/>
  <c r="P27" i="8"/>
  <c r="O27" i="8"/>
  <c r="BS26" i="8"/>
  <c r="BM26" i="8"/>
  <c r="BL26" i="8"/>
  <c r="BH26" i="8"/>
  <c r="BG26" i="8"/>
  <c r="AR26" i="8"/>
  <c r="AQ26" i="8"/>
  <c r="AL26" i="8"/>
  <c r="AN26" i="8" s="1"/>
  <c r="AS26" i="8" s="1"/>
  <c r="AG26" i="8"/>
  <c r="AI26" i="8" s="1"/>
  <c r="P26" i="8"/>
  <c r="O26" i="8"/>
  <c r="BS25" i="8"/>
  <c r="BM25" i="8"/>
  <c r="BL25" i="8"/>
  <c r="BH25" i="8"/>
  <c r="BG25" i="8"/>
  <c r="AQ25" i="8"/>
  <c r="AT25" i="8" s="1"/>
  <c r="AL25" i="8"/>
  <c r="AN25" i="8" s="1"/>
  <c r="AG25" i="8"/>
  <c r="AI25" i="8" s="1"/>
  <c r="P25" i="8"/>
  <c r="O25" i="8"/>
  <c r="BS24" i="8"/>
  <c r="BM24" i="8"/>
  <c r="BL24" i="8"/>
  <c r="BH24" i="8"/>
  <c r="BG24" i="8"/>
  <c r="AQ24" i="8"/>
  <c r="AT24" i="8" s="1"/>
  <c r="AL24" i="8"/>
  <c r="AN24" i="8" s="1"/>
  <c r="AG24" i="8"/>
  <c r="AI24" i="8" s="1"/>
  <c r="AS24" i="8" s="1"/>
  <c r="P24" i="8"/>
  <c r="O24" i="8"/>
  <c r="BS23" i="8"/>
  <c r="BM23" i="8"/>
  <c r="BL23" i="8"/>
  <c r="BH23" i="8"/>
  <c r="BG23" i="8"/>
  <c r="AQ23" i="8"/>
  <c r="AL23" i="8"/>
  <c r="AN23" i="8" s="1"/>
  <c r="AG23" i="8"/>
  <c r="AT23" i="8" s="1"/>
  <c r="P23" i="8"/>
  <c r="O23" i="8"/>
  <c r="BS22" i="8"/>
  <c r="BM22" i="8"/>
  <c r="BL22" i="8"/>
  <c r="BH22" i="8"/>
  <c r="BG22" i="8"/>
  <c r="AT22" i="8"/>
  <c r="AS22" i="8"/>
  <c r="AR22" i="8"/>
  <c r="AQ22" i="8"/>
  <c r="AL22" i="8"/>
  <c r="AN22" i="8" s="1"/>
  <c r="AG22" i="8"/>
  <c r="AI22" i="8" s="1"/>
  <c r="P22" i="8"/>
  <c r="O22" i="8"/>
  <c r="BS21" i="8"/>
  <c r="BM21" i="8"/>
  <c r="BL21" i="8"/>
  <c r="BH21" i="8"/>
  <c r="BG21" i="8"/>
  <c r="AQ21" i="8"/>
  <c r="AL21" i="8"/>
  <c r="AN21" i="8" s="1"/>
  <c r="AG21" i="8"/>
  <c r="AT21" i="8" s="1"/>
  <c r="P21" i="8"/>
  <c r="O21" i="8"/>
  <c r="BS20" i="8"/>
  <c r="BM20" i="8"/>
  <c r="BL20" i="8"/>
  <c r="BH20" i="8"/>
  <c r="BG20" i="8"/>
  <c r="AQ20" i="8"/>
  <c r="AL20" i="8"/>
  <c r="AN20" i="8" s="1"/>
  <c r="AG20" i="8"/>
  <c r="AI20" i="8" s="1"/>
  <c r="P20" i="8"/>
  <c r="O20" i="8"/>
  <c r="BS19" i="8"/>
  <c r="BM19" i="8"/>
  <c r="BL19" i="8"/>
  <c r="BH19" i="8"/>
  <c r="BG19" i="8"/>
  <c r="AT19" i="8"/>
  <c r="AR19" i="8"/>
  <c r="AQ19" i="8"/>
  <c r="AN19" i="8"/>
  <c r="AL19" i="8"/>
  <c r="AG19" i="8"/>
  <c r="AI19" i="8" s="1"/>
  <c r="AS19" i="8" s="1"/>
  <c r="P19" i="8"/>
  <c r="O19" i="8"/>
  <c r="BS18" i="8"/>
  <c r="BM18" i="8"/>
  <c r="BL18" i="8"/>
  <c r="BH18" i="8"/>
  <c r="BG18" i="8"/>
  <c r="AQ18" i="8"/>
  <c r="AL18" i="8"/>
  <c r="AN18" i="8" s="1"/>
  <c r="AG18" i="8"/>
  <c r="AT18" i="8" s="1"/>
  <c r="P18" i="8"/>
  <c r="O18" i="8"/>
  <c r="BS17" i="8"/>
  <c r="BM17" i="8"/>
  <c r="BL17" i="8"/>
  <c r="BH17" i="8"/>
  <c r="BG17" i="8"/>
  <c r="AT17" i="8"/>
  <c r="AQ17" i="8"/>
  <c r="AN17" i="8"/>
  <c r="AL17" i="8"/>
  <c r="AG17" i="8"/>
  <c r="AI17" i="8" s="1"/>
  <c r="P17" i="8"/>
  <c r="O17" i="8"/>
  <c r="BS16" i="8"/>
  <c r="BM16" i="8"/>
  <c r="BL16" i="8"/>
  <c r="BH16" i="8"/>
  <c r="BG16" i="8"/>
  <c r="AQ16" i="8"/>
  <c r="AL16" i="8"/>
  <c r="AN16" i="8" s="1"/>
  <c r="AI16" i="8"/>
  <c r="AG16" i="8"/>
  <c r="AT16" i="8" s="1"/>
  <c r="P16" i="8"/>
  <c r="O16" i="8"/>
  <c r="BS15" i="8"/>
  <c r="BM15" i="8"/>
  <c r="BL15" i="8"/>
  <c r="BH15" i="8"/>
  <c r="BG15" i="8"/>
  <c r="AT15" i="8"/>
  <c r="AS15" i="8"/>
  <c r="AR15" i="8"/>
  <c r="AQ15" i="8"/>
  <c r="AN15" i="8"/>
  <c r="AL15" i="8"/>
  <c r="AG15" i="8"/>
  <c r="AI15" i="8" s="1"/>
  <c r="P15" i="8"/>
  <c r="O15" i="8"/>
  <c r="BS14" i="8"/>
  <c r="BM14" i="8"/>
  <c r="BL14" i="8"/>
  <c r="BH14" i="8"/>
  <c r="BG14" i="8"/>
  <c r="AQ14" i="8"/>
  <c r="AL14" i="8"/>
  <c r="AN14" i="8" s="1"/>
  <c r="AG14" i="8"/>
  <c r="AT14" i="8" s="1"/>
  <c r="P14" i="8"/>
  <c r="O14" i="8"/>
  <c r="BS13" i="8"/>
  <c r="BM13" i="8"/>
  <c r="BL13" i="8"/>
  <c r="BH13" i="8"/>
  <c r="BG13" i="8"/>
  <c r="AT13" i="8"/>
  <c r="AQ13" i="8"/>
  <c r="AN13" i="8"/>
  <c r="AL13" i="8"/>
  <c r="AG13" i="8"/>
  <c r="AI13" i="8" s="1"/>
  <c r="P13" i="8"/>
  <c r="O13" i="8"/>
  <c r="BS12" i="8"/>
  <c r="BM12" i="8"/>
  <c r="BL12" i="8"/>
  <c r="BH12" i="8"/>
  <c r="BG12" i="8"/>
  <c r="AQ12" i="8"/>
  <c r="AL12" i="8"/>
  <c r="AN12" i="8" s="1"/>
  <c r="AG12" i="8"/>
  <c r="P12" i="8"/>
  <c r="O12" i="8"/>
  <c r="BS11" i="8"/>
  <c r="BM11" i="8"/>
  <c r="BL11" i="8"/>
  <c r="BH11" i="8"/>
  <c r="BG11" i="8"/>
  <c r="AT11" i="8"/>
  <c r="AS11" i="8"/>
  <c r="AR11" i="8"/>
  <c r="AQ11" i="8"/>
  <c r="AN11" i="8"/>
  <c r="AL11" i="8"/>
  <c r="AG11" i="8"/>
  <c r="AI11" i="8" s="1"/>
  <c r="P11" i="8"/>
  <c r="O11" i="8"/>
  <c r="BS10" i="8"/>
  <c r="BM10" i="8"/>
  <c r="BL10" i="8"/>
  <c r="BH10" i="8"/>
  <c r="BG10" i="8"/>
  <c r="AQ10" i="8"/>
  <c r="AL10" i="8"/>
  <c r="AN10" i="8" s="1"/>
  <c r="AG10" i="8"/>
  <c r="AT10" i="8" s="1"/>
  <c r="P10" i="8"/>
  <c r="O10" i="8"/>
  <c r="BS9" i="8"/>
  <c r="BM9" i="8"/>
  <c r="BL9" i="8"/>
  <c r="BH9" i="8"/>
  <c r="BG9" i="8"/>
  <c r="AT9" i="8"/>
  <c r="AQ9" i="8"/>
  <c r="AN9" i="8"/>
  <c r="AL9" i="8"/>
  <c r="AG9" i="8"/>
  <c r="AI9" i="8" s="1"/>
  <c r="P9" i="8"/>
  <c r="O9" i="8"/>
  <c r="BS8" i="8"/>
  <c r="BM8" i="8"/>
  <c r="BL8" i="8"/>
  <c r="BH8" i="8"/>
  <c r="BG8" i="8"/>
  <c r="AQ8" i="8"/>
  <c r="AL8" i="8"/>
  <c r="AN8" i="8" s="1"/>
  <c r="AG8" i="8"/>
  <c r="AT8" i="8" s="1"/>
  <c r="P8" i="8"/>
  <c r="O8" i="8"/>
  <c r="BS7" i="8"/>
  <c r="BL7" i="8"/>
  <c r="BK7" i="8"/>
  <c r="BM7" i="8" s="1"/>
  <c r="BH7" i="8"/>
  <c r="BG7" i="8"/>
  <c r="AT7" i="8"/>
  <c r="AS7" i="8"/>
  <c r="AQ7" i="8"/>
  <c r="AL7" i="8"/>
  <c r="AN7" i="8" s="1"/>
  <c r="AI7" i="8"/>
  <c r="AR7" i="8" s="1"/>
  <c r="AG7" i="8"/>
  <c r="P7" i="8"/>
  <c r="O7" i="8"/>
  <c r="BS6" i="8"/>
  <c r="BM6" i="8"/>
  <c r="BK6" i="8"/>
  <c r="BL6" i="8" s="1"/>
  <c r="BH6" i="8"/>
  <c r="BG6" i="8"/>
  <c r="AQ6" i="8"/>
  <c r="AN6" i="8"/>
  <c r="AL6" i="8"/>
  <c r="AG6" i="8"/>
  <c r="AI6" i="8" s="1"/>
  <c r="P6" i="8"/>
  <c r="O6" i="8"/>
  <c r="BS5" i="8"/>
  <c r="BK5" i="8"/>
  <c r="BH5" i="8"/>
  <c r="BG5" i="8"/>
  <c r="AQ5" i="8"/>
  <c r="AN5" i="8"/>
  <c r="AL5" i="8"/>
  <c r="AG5" i="8"/>
  <c r="P5" i="8"/>
  <c r="O5" i="8"/>
  <c r="BS4" i="8"/>
  <c r="BM4" i="8"/>
  <c r="BK4" i="8"/>
  <c r="BL4" i="8" s="1"/>
  <c r="BH4" i="8"/>
  <c r="BG4" i="8"/>
  <c r="AQ4" i="8"/>
  <c r="AT4" i="8" s="1"/>
  <c r="AL4" i="8"/>
  <c r="AN4" i="8" s="1"/>
  <c r="AS4" i="8" s="1"/>
  <c r="AG4" i="8"/>
  <c r="AI4" i="8" s="1"/>
  <c r="AR4" i="8" s="1"/>
  <c r="P4" i="8"/>
  <c r="O4" i="8"/>
  <c r="BS3" i="8"/>
  <c r="BM3" i="8"/>
  <c r="BK3" i="8"/>
  <c r="BL3" i="8" s="1"/>
  <c r="BH3" i="8"/>
  <c r="BG3" i="8"/>
  <c r="AQ3" i="8"/>
  <c r="AL3" i="8"/>
  <c r="AN3" i="8" s="1"/>
  <c r="AG3" i="8"/>
  <c r="P3" i="8"/>
  <c r="O3" i="8"/>
  <c r="BS2" i="8"/>
  <c r="BL2" i="8"/>
  <c r="BK2" i="8"/>
  <c r="BM2" i="8" s="1"/>
  <c r="BH2" i="8"/>
  <c r="BG2" i="8"/>
  <c r="AT2" i="8"/>
  <c r="AQ2" i="8"/>
  <c r="AL2" i="8"/>
  <c r="AN2" i="8" s="1"/>
  <c r="AS2" i="8" s="1"/>
  <c r="AI2" i="8"/>
  <c r="AR2" i="8" s="1"/>
  <c r="AG2" i="8"/>
  <c r="P2" i="8"/>
  <c r="O2" i="8"/>
  <c r="BS300" i="7"/>
  <c r="BM300" i="7"/>
  <c r="BL300" i="7"/>
  <c r="BH300" i="7"/>
  <c r="BG300" i="7"/>
  <c r="AQ300" i="7"/>
  <c r="AN300" i="7"/>
  <c r="AL300" i="7"/>
  <c r="AI300" i="7"/>
  <c r="AG300" i="7"/>
  <c r="AT300" i="7" s="1"/>
  <c r="P300" i="7"/>
  <c r="O300" i="7"/>
  <c r="BS299" i="7"/>
  <c r="BM299" i="7"/>
  <c r="BL299" i="7"/>
  <c r="BH299" i="7"/>
  <c r="BG299" i="7"/>
  <c r="AT299" i="7"/>
  <c r="AS299" i="7"/>
  <c r="AQ299" i="7"/>
  <c r="AL299" i="7"/>
  <c r="AN299" i="7" s="1"/>
  <c r="AI299" i="7"/>
  <c r="AR299" i="7" s="1"/>
  <c r="AG299" i="7"/>
  <c r="P299" i="7"/>
  <c r="O299" i="7"/>
  <c r="BS298" i="7"/>
  <c r="BM298" i="7"/>
  <c r="BL298" i="7"/>
  <c r="BH298" i="7"/>
  <c r="BG298" i="7"/>
  <c r="AQ298" i="7"/>
  <c r="AN298" i="7"/>
  <c r="AL298" i="7"/>
  <c r="AI298" i="7"/>
  <c r="AG298" i="7"/>
  <c r="AT298" i="7" s="1"/>
  <c r="P298" i="7"/>
  <c r="O298" i="7"/>
  <c r="BS297" i="7"/>
  <c r="BM297" i="7"/>
  <c r="BL297" i="7"/>
  <c r="BH297" i="7"/>
  <c r="BG297" i="7"/>
  <c r="AT297" i="7"/>
  <c r="AS297" i="7"/>
  <c r="AQ297" i="7"/>
  <c r="AN297" i="7"/>
  <c r="AL297" i="7"/>
  <c r="AI297" i="7"/>
  <c r="AR297" i="7" s="1"/>
  <c r="AG297" i="7"/>
  <c r="P297" i="7"/>
  <c r="O297" i="7"/>
  <c r="BS296" i="7"/>
  <c r="BM296" i="7"/>
  <c r="BL296" i="7"/>
  <c r="BH296" i="7"/>
  <c r="BG296" i="7"/>
  <c r="AQ296" i="7"/>
  <c r="AL296" i="7"/>
  <c r="AN296" i="7" s="1"/>
  <c r="AI296" i="7"/>
  <c r="AG296" i="7"/>
  <c r="P296" i="7"/>
  <c r="O296" i="7"/>
  <c r="BS295" i="7"/>
  <c r="BM295" i="7"/>
  <c r="BL295" i="7"/>
  <c r="BH295" i="7"/>
  <c r="BG295" i="7"/>
  <c r="AT295" i="7"/>
  <c r="AS295" i="7"/>
  <c r="AQ295" i="7"/>
  <c r="AN295" i="7"/>
  <c r="AL295" i="7"/>
  <c r="AI295" i="7"/>
  <c r="AR295" i="7" s="1"/>
  <c r="AG295" i="7"/>
  <c r="P295" i="7"/>
  <c r="O295" i="7"/>
  <c r="BS294" i="7"/>
  <c r="BM294" i="7"/>
  <c r="BL294" i="7"/>
  <c r="BH294" i="7"/>
  <c r="BG294" i="7"/>
  <c r="AQ294" i="7"/>
  <c r="AL294" i="7"/>
  <c r="AN294" i="7" s="1"/>
  <c r="AI294" i="7"/>
  <c r="AG294" i="7"/>
  <c r="P294" i="7"/>
  <c r="O294" i="7"/>
  <c r="BS293" i="7"/>
  <c r="BM293" i="7"/>
  <c r="BL293" i="7"/>
  <c r="BH293" i="7"/>
  <c r="BG293" i="7"/>
  <c r="AT293" i="7"/>
  <c r="AS293" i="7"/>
  <c r="AQ293" i="7"/>
  <c r="AN293" i="7"/>
  <c r="AL293" i="7"/>
  <c r="AI293" i="7"/>
  <c r="AR293" i="7" s="1"/>
  <c r="AG293" i="7"/>
  <c r="P293" i="7"/>
  <c r="O293" i="7"/>
  <c r="BS292" i="7"/>
  <c r="BM292" i="7"/>
  <c r="BL292" i="7"/>
  <c r="BH292" i="7"/>
  <c r="BG292" i="7"/>
  <c r="AQ292" i="7"/>
  <c r="AL292" i="7"/>
  <c r="AN292" i="7" s="1"/>
  <c r="AI292" i="7"/>
  <c r="AG292" i="7"/>
  <c r="P292" i="7"/>
  <c r="O292" i="7"/>
  <c r="BS291" i="7"/>
  <c r="BM291" i="7"/>
  <c r="BL291" i="7"/>
  <c r="BH291" i="7"/>
  <c r="BG291" i="7"/>
  <c r="AT291" i="7"/>
  <c r="AS291" i="7"/>
  <c r="AQ291" i="7"/>
  <c r="AN291" i="7"/>
  <c r="AL291" i="7"/>
  <c r="AI291" i="7"/>
  <c r="AR291" i="7" s="1"/>
  <c r="AG291" i="7"/>
  <c r="P291" i="7"/>
  <c r="O291" i="7"/>
  <c r="BS290" i="7"/>
  <c r="BM290" i="7"/>
  <c r="BL290" i="7"/>
  <c r="BH290" i="7"/>
  <c r="BG290" i="7"/>
  <c r="AQ290" i="7"/>
  <c r="AN290" i="7"/>
  <c r="AL290" i="7"/>
  <c r="AI290" i="7"/>
  <c r="AG290" i="7"/>
  <c r="P290" i="7"/>
  <c r="O290" i="7"/>
  <c r="BS289" i="7"/>
  <c r="BM289" i="7"/>
  <c r="BL289" i="7"/>
  <c r="BH289" i="7"/>
  <c r="BG289" i="7"/>
  <c r="AT289" i="7"/>
  <c r="AS289" i="7"/>
  <c r="AQ289" i="7"/>
  <c r="AN289" i="7"/>
  <c r="AL289" i="7"/>
  <c r="AI289" i="7"/>
  <c r="AR289" i="7" s="1"/>
  <c r="AG289" i="7"/>
  <c r="P289" i="7"/>
  <c r="O289" i="7"/>
  <c r="BS288" i="7"/>
  <c r="BM288" i="7"/>
  <c r="BL288" i="7"/>
  <c r="BH288" i="7"/>
  <c r="BG288" i="7"/>
  <c r="AQ288" i="7"/>
  <c r="AN288" i="7"/>
  <c r="AL288" i="7"/>
  <c r="AI288" i="7"/>
  <c r="AG288" i="7"/>
  <c r="AT288" i="7" s="1"/>
  <c r="P288" i="7"/>
  <c r="O288" i="7"/>
  <c r="BS287" i="7"/>
  <c r="BM287" i="7"/>
  <c r="BL287" i="7"/>
  <c r="BH287" i="7"/>
  <c r="BG287" i="7"/>
  <c r="AT287" i="7"/>
  <c r="AS287" i="7"/>
  <c r="AQ287" i="7"/>
  <c r="AN287" i="7"/>
  <c r="AL287" i="7"/>
  <c r="AI287" i="7"/>
  <c r="AR287" i="7" s="1"/>
  <c r="AG287" i="7"/>
  <c r="P287" i="7"/>
  <c r="O287" i="7"/>
  <c r="BS286" i="7"/>
  <c r="BM286" i="7"/>
  <c r="BL286" i="7"/>
  <c r="BH286" i="7"/>
  <c r="BG286" i="7"/>
  <c r="AQ286" i="7"/>
  <c r="AL286" i="7"/>
  <c r="AN286" i="7" s="1"/>
  <c r="AI286" i="7"/>
  <c r="AG286" i="7"/>
  <c r="P286" i="7"/>
  <c r="O286" i="7"/>
  <c r="BS285" i="7"/>
  <c r="BM285" i="7"/>
  <c r="BL285" i="7"/>
  <c r="BH285" i="7"/>
  <c r="BG285" i="7"/>
  <c r="AT285" i="7"/>
  <c r="AS285" i="7"/>
  <c r="AQ285" i="7"/>
  <c r="AN285" i="7"/>
  <c r="AL285" i="7"/>
  <c r="AI285" i="7"/>
  <c r="AR285" i="7" s="1"/>
  <c r="AG285" i="7"/>
  <c r="P285" i="7"/>
  <c r="O285" i="7"/>
  <c r="BS284" i="7"/>
  <c r="BM284" i="7"/>
  <c r="BL284" i="7"/>
  <c r="BH284" i="7"/>
  <c r="BG284" i="7"/>
  <c r="AQ284" i="7"/>
  <c r="AL284" i="7"/>
  <c r="AN284" i="7" s="1"/>
  <c r="AI284" i="7"/>
  <c r="AG284" i="7"/>
  <c r="AT284" i="7" s="1"/>
  <c r="P284" i="7"/>
  <c r="O284" i="7"/>
  <c r="BS283" i="7"/>
  <c r="BM283" i="7"/>
  <c r="BL283" i="7"/>
  <c r="BH283" i="7"/>
  <c r="BG283" i="7"/>
  <c r="AT283" i="7"/>
  <c r="AS283" i="7"/>
  <c r="AQ283" i="7"/>
  <c r="AN283" i="7"/>
  <c r="AL283" i="7"/>
  <c r="AI283" i="7"/>
  <c r="AR283" i="7" s="1"/>
  <c r="AG283" i="7"/>
  <c r="P283" i="7"/>
  <c r="O283" i="7"/>
  <c r="BS282" i="7"/>
  <c r="BM282" i="7"/>
  <c r="BL282" i="7"/>
  <c r="BH282" i="7"/>
  <c r="BG282" i="7"/>
  <c r="AQ282" i="7"/>
  <c r="AL282" i="7"/>
  <c r="AN282" i="7" s="1"/>
  <c r="AI282" i="7"/>
  <c r="AG282" i="7"/>
  <c r="P282" i="7"/>
  <c r="O282" i="7"/>
  <c r="BS281" i="7"/>
  <c r="BM281" i="7"/>
  <c r="BL281" i="7"/>
  <c r="BH281" i="7"/>
  <c r="BG281" i="7"/>
  <c r="AT281" i="7"/>
  <c r="AS281" i="7"/>
  <c r="AQ281" i="7"/>
  <c r="AN281" i="7"/>
  <c r="AL281" i="7"/>
  <c r="AI281" i="7"/>
  <c r="AR281" i="7" s="1"/>
  <c r="AG281" i="7"/>
  <c r="P281" i="7"/>
  <c r="O281" i="7"/>
  <c r="BS280" i="7"/>
  <c r="BM280" i="7"/>
  <c r="BL280" i="7"/>
  <c r="BH280" i="7"/>
  <c r="BG280" i="7"/>
  <c r="AQ280" i="7"/>
  <c r="AL280" i="7"/>
  <c r="AN280" i="7" s="1"/>
  <c r="AI280" i="7"/>
  <c r="AG280" i="7"/>
  <c r="P280" i="7"/>
  <c r="O280" i="7"/>
  <c r="BS279" i="7"/>
  <c r="BM279" i="7"/>
  <c r="BL279" i="7"/>
  <c r="BH279" i="7"/>
  <c r="BG279" i="7"/>
  <c r="AT279" i="7"/>
  <c r="AS279" i="7"/>
  <c r="AQ279" i="7"/>
  <c r="AN279" i="7"/>
  <c r="AL279" i="7"/>
  <c r="AI279" i="7"/>
  <c r="AR279" i="7" s="1"/>
  <c r="AG279" i="7"/>
  <c r="P279" i="7"/>
  <c r="O279" i="7"/>
  <c r="BS278" i="7"/>
  <c r="BM278" i="7"/>
  <c r="BL278" i="7"/>
  <c r="BH278" i="7"/>
  <c r="BG278" i="7"/>
  <c r="AQ278" i="7"/>
  <c r="AN278" i="7"/>
  <c r="AL278" i="7"/>
  <c r="AI278" i="7"/>
  <c r="AG278" i="7"/>
  <c r="AT278" i="7" s="1"/>
  <c r="P278" i="7"/>
  <c r="O278" i="7"/>
  <c r="BS277" i="7"/>
  <c r="BM277" i="7"/>
  <c r="BL277" i="7"/>
  <c r="BH277" i="7"/>
  <c r="BG277" i="7"/>
  <c r="AT277" i="7"/>
  <c r="AS277" i="7"/>
  <c r="AQ277" i="7"/>
  <c r="AN277" i="7"/>
  <c r="AL277" i="7"/>
  <c r="AI277" i="7"/>
  <c r="AR277" i="7" s="1"/>
  <c r="AG277" i="7"/>
  <c r="P277" i="7"/>
  <c r="O277" i="7"/>
  <c r="BS276" i="7"/>
  <c r="BM276" i="7"/>
  <c r="BL276" i="7"/>
  <c r="BH276" i="7"/>
  <c r="BG276" i="7"/>
  <c r="AQ276" i="7"/>
  <c r="AL276" i="7"/>
  <c r="AN276" i="7" s="1"/>
  <c r="AI276" i="7"/>
  <c r="AG276" i="7"/>
  <c r="P276" i="7"/>
  <c r="O276" i="7"/>
  <c r="BS275" i="7"/>
  <c r="BM275" i="7"/>
  <c r="BL275" i="7"/>
  <c r="BH275" i="7"/>
  <c r="BG275" i="7"/>
  <c r="AT275" i="7"/>
  <c r="AS275" i="7"/>
  <c r="AQ275" i="7"/>
  <c r="AN275" i="7"/>
  <c r="AL275" i="7"/>
  <c r="AI275" i="7"/>
  <c r="AR275" i="7" s="1"/>
  <c r="AG275" i="7"/>
  <c r="P275" i="7"/>
  <c r="O275" i="7"/>
  <c r="BS274" i="7"/>
  <c r="BM274" i="7"/>
  <c r="BL274" i="7"/>
  <c r="BH274" i="7"/>
  <c r="BG274" i="7"/>
  <c r="AQ274" i="7"/>
  <c r="AL274" i="7"/>
  <c r="AN274" i="7" s="1"/>
  <c r="AI274" i="7"/>
  <c r="AG274" i="7"/>
  <c r="P274" i="7"/>
  <c r="O274" i="7"/>
  <c r="BS273" i="7"/>
  <c r="BM273" i="7"/>
  <c r="BL273" i="7"/>
  <c r="BH273" i="7"/>
  <c r="BG273" i="7"/>
  <c r="AT273" i="7"/>
  <c r="AS273" i="7"/>
  <c r="AQ273" i="7"/>
  <c r="AN273" i="7"/>
  <c r="AL273" i="7"/>
  <c r="AI273" i="7"/>
  <c r="AR273" i="7" s="1"/>
  <c r="AG273" i="7"/>
  <c r="P273" i="7"/>
  <c r="O273" i="7"/>
  <c r="BS272" i="7"/>
  <c r="BM272" i="7"/>
  <c r="BL272" i="7"/>
  <c r="BH272" i="7"/>
  <c r="BG272" i="7"/>
  <c r="AQ272" i="7"/>
  <c r="AL272" i="7"/>
  <c r="AN272" i="7" s="1"/>
  <c r="AI272" i="7"/>
  <c r="AG272" i="7"/>
  <c r="P272" i="7"/>
  <c r="O272" i="7"/>
  <c r="BS271" i="7"/>
  <c r="BM271" i="7"/>
  <c r="BL271" i="7"/>
  <c r="BH271" i="7"/>
  <c r="BG271" i="7"/>
  <c r="AT271" i="7"/>
  <c r="AS271" i="7"/>
  <c r="AQ271" i="7"/>
  <c r="AN271" i="7"/>
  <c r="AL271" i="7"/>
  <c r="AI271" i="7"/>
  <c r="AR271" i="7" s="1"/>
  <c r="AG271" i="7"/>
  <c r="P271" i="7"/>
  <c r="O271" i="7"/>
  <c r="BS270" i="7"/>
  <c r="BM270" i="7"/>
  <c r="BL270" i="7"/>
  <c r="BH270" i="7"/>
  <c r="BG270" i="7"/>
  <c r="AQ270" i="7"/>
  <c r="AN270" i="7"/>
  <c r="AL270" i="7"/>
  <c r="AI270" i="7"/>
  <c r="AG270" i="7"/>
  <c r="P270" i="7"/>
  <c r="O270" i="7"/>
  <c r="BS269" i="7"/>
  <c r="BM269" i="7"/>
  <c r="BL269" i="7"/>
  <c r="BH269" i="7"/>
  <c r="BG269" i="7"/>
  <c r="AT269" i="7"/>
  <c r="AS269" i="7"/>
  <c r="AQ269" i="7"/>
  <c r="AN269" i="7"/>
  <c r="AL269" i="7"/>
  <c r="AI269" i="7"/>
  <c r="AR269" i="7" s="1"/>
  <c r="AG269" i="7"/>
  <c r="P269" i="7"/>
  <c r="O269" i="7"/>
  <c r="BS268" i="7"/>
  <c r="BM268" i="7"/>
  <c r="BL268" i="7"/>
  <c r="BH268" i="7"/>
  <c r="BG268" i="7"/>
  <c r="AQ268" i="7"/>
  <c r="AN268" i="7"/>
  <c r="AL268" i="7"/>
  <c r="AI268" i="7"/>
  <c r="AG268" i="7"/>
  <c r="AT268" i="7" s="1"/>
  <c r="P268" i="7"/>
  <c r="O268" i="7"/>
  <c r="BS267" i="7"/>
  <c r="BM267" i="7"/>
  <c r="BL267" i="7"/>
  <c r="BH267" i="7"/>
  <c r="BG267" i="7"/>
  <c r="AT267" i="7"/>
  <c r="AS267" i="7"/>
  <c r="AQ267" i="7"/>
  <c r="AN267" i="7"/>
  <c r="AL267" i="7"/>
  <c r="AI267" i="7"/>
  <c r="AR267" i="7" s="1"/>
  <c r="AG267" i="7"/>
  <c r="P267" i="7"/>
  <c r="O267" i="7"/>
  <c r="BS266" i="7"/>
  <c r="BM266" i="7"/>
  <c r="BL266" i="7"/>
  <c r="BH266" i="7"/>
  <c r="BG266" i="7"/>
  <c r="AQ266" i="7"/>
  <c r="AL266" i="7"/>
  <c r="AN266" i="7" s="1"/>
  <c r="AI266" i="7"/>
  <c r="AG266" i="7"/>
  <c r="P266" i="7"/>
  <c r="O266" i="7"/>
  <c r="BS265" i="7"/>
  <c r="BM265" i="7"/>
  <c r="BL265" i="7"/>
  <c r="BH265" i="7"/>
  <c r="BG265" i="7"/>
  <c r="AT265" i="7"/>
  <c r="AS265" i="7"/>
  <c r="AQ265" i="7"/>
  <c r="AN265" i="7"/>
  <c r="AL265" i="7"/>
  <c r="AI265" i="7"/>
  <c r="AR265" i="7" s="1"/>
  <c r="AG265" i="7"/>
  <c r="P265" i="7"/>
  <c r="O265" i="7"/>
  <c r="BS264" i="7"/>
  <c r="BM264" i="7"/>
  <c r="BL264" i="7"/>
  <c r="BH264" i="7"/>
  <c r="BG264" i="7"/>
  <c r="AQ264" i="7"/>
  <c r="AL264" i="7"/>
  <c r="AN264" i="7" s="1"/>
  <c r="AI264" i="7"/>
  <c r="AG264" i="7"/>
  <c r="AT264" i="7" s="1"/>
  <c r="P264" i="7"/>
  <c r="O264" i="7"/>
  <c r="BS263" i="7"/>
  <c r="BM263" i="7"/>
  <c r="BL263" i="7"/>
  <c r="BH263" i="7"/>
  <c r="BG263" i="7"/>
  <c r="AT263" i="7"/>
  <c r="AS263" i="7"/>
  <c r="AQ263" i="7"/>
  <c r="AN263" i="7"/>
  <c r="AL263" i="7"/>
  <c r="AI263" i="7"/>
  <c r="AR263" i="7" s="1"/>
  <c r="AG263" i="7"/>
  <c r="P263" i="7"/>
  <c r="O263" i="7"/>
  <c r="BS262" i="7"/>
  <c r="BM262" i="7"/>
  <c r="BL262" i="7"/>
  <c r="BH262" i="7"/>
  <c r="BG262" i="7"/>
  <c r="AQ262" i="7"/>
  <c r="AL262" i="7"/>
  <c r="AN262" i="7" s="1"/>
  <c r="AI262" i="7"/>
  <c r="AG262" i="7"/>
  <c r="P262" i="7"/>
  <c r="O262" i="7"/>
  <c r="BS261" i="7"/>
  <c r="BM261" i="7"/>
  <c r="BL261" i="7"/>
  <c r="BH261" i="7"/>
  <c r="BG261" i="7"/>
  <c r="AT261" i="7"/>
  <c r="AS261" i="7"/>
  <c r="AQ261" i="7"/>
  <c r="AN261" i="7"/>
  <c r="AL261" i="7"/>
  <c r="AI261" i="7"/>
  <c r="AR261" i="7" s="1"/>
  <c r="AG261" i="7"/>
  <c r="P261" i="7"/>
  <c r="O261" i="7"/>
  <c r="BS260" i="7"/>
  <c r="BM260" i="7"/>
  <c r="BL260" i="7"/>
  <c r="BH260" i="7"/>
  <c r="BG260" i="7"/>
  <c r="AQ260" i="7"/>
  <c r="AL260" i="7"/>
  <c r="AN260" i="7" s="1"/>
  <c r="AI260" i="7"/>
  <c r="AG260" i="7"/>
  <c r="P260" i="7"/>
  <c r="O260" i="7"/>
  <c r="BS259" i="7"/>
  <c r="BM259" i="7"/>
  <c r="BL259" i="7"/>
  <c r="BH259" i="7"/>
  <c r="BG259" i="7"/>
  <c r="AT259" i="7"/>
  <c r="AS259" i="7"/>
  <c r="AQ259" i="7"/>
  <c r="AN259" i="7"/>
  <c r="AL259" i="7"/>
  <c r="AI259" i="7"/>
  <c r="AR259" i="7" s="1"/>
  <c r="AG259" i="7"/>
  <c r="P259" i="7"/>
  <c r="O259" i="7"/>
  <c r="BS258" i="7"/>
  <c r="BM258" i="7"/>
  <c r="BL258" i="7"/>
  <c r="BH258" i="7"/>
  <c r="BG258" i="7"/>
  <c r="AQ258" i="7"/>
  <c r="AN258" i="7"/>
  <c r="AL258" i="7"/>
  <c r="AI258" i="7"/>
  <c r="AG258" i="7"/>
  <c r="AT258" i="7" s="1"/>
  <c r="P258" i="7"/>
  <c r="O258" i="7"/>
  <c r="BS257" i="7"/>
  <c r="BM257" i="7"/>
  <c r="BL257" i="7"/>
  <c r="BH257" i="7"/>
  <c r="BG257" i="7"/>
  <c r="AT257" i="7"/>
  <c r="AS257" i="7"/>
  <c r="AQ257" i="7"/>
  <c r="AN257" i="7"/>
  <c r="AL257" i="7"/>
  <c r="AI257" i="7"/>
  <c r="AR257" i="7" s="1"/>
  <c r="AG257" i="7"/>
  <c r="P257" i="7"/>
  <c r="O257" i="7"/>
  <c r="BS256" i="7"/>
  <c r="BM256" i="7"/>
  <c r="BL256" i="7"/>
  <c r="BH256" i="7"/>
  <c r="BG256" i="7"/>
  <c r="AQ256" i="7"/>
  <c r="AL256" i="7"/>
  <c r="AN256" i="7" s="1"/>
  <c r="AI256" i="7"/>
  <c r="AG256" i="7"/>
  <c r="P256" i="7"/>
  <c r="O256" i="7"/>
  <c r="BS255" i="7"/>
  <c r="BM255" i="7"/>
  <c r="BL255" i="7"/>
  <c r="BH255" i="7"/>
  <c r="BG255" i="7"/>
  <c r="AT255" i="7"/>
  <c r="AS255" i="7"/>
  <c r="AQ255" i="7"/>
  <c r="AN255" i="7"/>
  <c r="AL255" i="7"/>
  <c r="AI255" i="7"/>
  <c r="AR255" i="7" s="1"/>
  <c r="AG255" i="7"/>
  <c r="P255" i="7"/>
  <c r="O255" i="7"/>
  <c r="BS254" i="7"/>
  <c r="BM254" i="7"/>
  <c r="BL254" i="7"/>
  <c r="BH254" i="7"/>
  <c r="BG254" i="7"/>
  <c r="AQ254" i="7"/>
  <c r="AL254" i="7"/>
  <c r="AN254" i="7" s="1"/>
  <c r="AI254" i="7"/>
  <c r="AG254" i="7"/>
  <c r="AT254" i="7" s="1"/>
  <c r="P254" i="7"/>
  <c r="O254" i="7"/>
  <c r="BS253" i="7"/>
  <c r="BM253" i="7"/>
  <c r="BL253" i="7"/>
  <c r="BH253" i="7"/>
  <c r="BG253" i="7"/>
  <c r="AT253" i="7"/>
  <c r="AS253" i="7"/>
  <c r="AQ253" i="7"/>
  <c r="AN253" i="7"/>
  <c r="AL253" i="7"/>
  <c r="AI253" i="7"/>
  <c r="AR253" i="7" s="1"/>
  <c r="AG253" i="7"/>
  <c r="P253" i="7"/>
  <c r="O253" i="7"/>
  <c r="BS252" i="7"/>
  <c r="BM252" i="7"/>
  <c r="BL252" i="7"/>
  <c r="BH252" i="7"/>
  <c r="BG252" i="7"/>
  <c r="AQ252" i="7"/>
  <c r="AL252" i="7"/>
  <c r="AN252" i="7" s="1"/>
  <c r="AI252" i="7"/>
  <c r="AG252" i="7"/>
  <c r="P252" i="7"/>
  <c r="O252" i="7"/>
  <c r="BS251" i="7"/>
  <c r="BM251" i="7"/>
  <c r="BL251" i="7"/>
  <c r="BH251" i="7"/>
  <c r="BG251" i="7"/>
  <c r="AT251" i="7"/>
  <c r="AS251" i="7"/>
  <c r="AQ251" i="7"/>
  <c r="AN251" i="7"/>
  <c r="AL251" i="7"/>
  <c r="AI251" i="7"/>
  <c r="AR251" i="7" s="1"/>
  <c r="AG251" i="7"/>
  <c r="P251" i="7"/>
  <c r="O251" i="7"/>
  <c r="BS250" i="7"/>
  <c r="BM250" i="7"/>
  <c r="BL250" i="7"/>
  <c r="BH250" i="7"/>
  <c r="BG250" i="7"/>
  <c r="AQ250" i="7"/>
  <c r="AN250" i="7"/>
  <c r="AL250" i="7"/>
  <c r="AI250" i="7"/>
  <c r="AG250" i="7"/>
  <c r="P250" i="7"/>
  <c r="O250" i="7"/>
  <c r="BS249" i="7"/>
  <c r="BM249" i="7"/>
  <c r="BL249" i="7"/>
  <c r="BH249" i="7"/>
  <c r="BG249" i="7"/>
  <c r="AT249" i="7"/>
  <c r="AS249" i="7"/>
  <c r="AQ249" i="7"/>
  <c r="AN249" i="7"/>
  <c r="AL249" i="7"/>
  <c r="AI249" i="7"/>
  <c r="AR249" i="7" s="1"/>
  <c r="AG249" i="7"/>
  <c r="P249" i="7"/>
  <c r="O249" i="7"/>
  <c r="BS248" i="7"/>
  <c r="BM248" i="7"/>
  <c r="BL248" i="7"/>
  <c r="BH248" i="7"/>
  <c r="BG248" i="7"/>
  <c r="AQ248" i="7"/>
  <c r="AN248" i="7"/>
  <c r="AL248" i="7"/>
  <c r="AI248" i="7"/>
  <c r="AG248" i="7"/>
  <c r="AT248" i="7" s="1"/>
  <c r="P248" i="7"/>
  <c r="O248" i="7"/>
  <c r="BS247" i="7"/>
  <c r="BM247" i="7"/>
  <c r="BL247" i="7"/>
  <c r="BH247" i="7"/>
  <c r="BG247" i="7"/>
  <c r="AT247" i="7"/>
  <c r="AS247" i="7"/>
  <c r="AQ247" i="7"/>
  <c r="AN247" i="7"/>
  <c r="AL247" i="7"/>
  <c r="AI247" i="7"/>
  <c r="AR247" i="7" s="1"/>
  <c r="AG247" i="7"/>
  <c r="P247" i="7"/>
  <c r="O247" i="7"/>
  <c r="BS246" i="7"/>
  <c r="BM246" i="7"/>
  <c r="BL246" i="7"/>
  <c r="BH246" i="7"/>
  <c r="BG246" i="7"/>
  <c r="AQ246" i="7"/>
  <c r="AL246" i="7"/>
  <c r="AN246" i="7" s="1"/>
  <c r="AI246" i="7"/>
  <c r="AG246" i="7"/>
  <c r="P246" i="7"/>
  <c r="O246" i="7"/>
  <c r="BS245" i="7"/>
  <c r="BM245" i="7"/>
  <c r="BL245" i="7"/>
  <c r="BH245" i="7"/>
  <c r="BG245" i="7"/>
  <c r="AT245" i="7"/>
  <c r="AS245" i="7"/>
  <c r="AQ245" i="7"/>
  <c r="AN245" i="7"/>
  <c r="AL245" i="7"/>
  <c r="AI245" i="7"/>
  <c r="AR245" i="7" s="1"/>
  <c r="AG245" i="7"/>
  <c r="P245" i="7"/>
  <c r="O245" i="7"/>
  <c r="BS244" i="7"/>
  <c r="BM244" i="7"/>
  <c r="BL244" i="7"/>
  <c r="BH244" i="7"/>
  <c r="BG244" i="7"/>
  <c r="AQ244" i="7"/>
  <c r="AL244" i="7"/>
  <c r="AN244" i="7" s="1"/>
  <c r="AI244" i="7"/>
  <c r="AG244" i="7"/>
  <c r="P244" i="7"/>
  <c r="O244" i="7"/>
  <c r="BS243" i="7"/>
  <c r="BM243" i="7"/>
  <c r="BL243" i="7"/>
  <c r="BH243" i="7"/>
  <c r="BG243" i="7"/>
  <c r="AT243" i="7"/>
  <c r="AS243" i="7"/>
  <c r="AQ243" i="7"/>
  <c r="AN243" i="7"/>
  <c r="AL243" i="7"/>
  <c r="AI243" i="7"/>
  <c r="AR243" i="7" s="1"/>
  <c r="AG243" i="7"/>
  <c r="P243" i="7"/>
  <c r="O243" i="7"/>
  <c r="BS242" i="7"/>
  <c r="BM242" i="7"/>
  <c r="BL242" i="7"/>
  <c r="BH242" i="7"/>
  <c r="BG242" i="7"/>
  <c r="AQ242" i="7"/>
  <c r="AL242" i="7"/>
  <c r="AN242" i="7" s="1"/>
  <c r="AI242" i="7"/>
  <c r="AG242" i="7"/>
  <c r="P242" i="7"/>
  <c r="O242" i="7"/>
  <c r="BS241" i="7"/>
  <c r="BM241" i="7"/>
  <c r="BL241" i="7"/>
  <c r="BH241" i="7"/>
  <c r="BG241" i="7"/>
  <c r="AT241" i="7"/>
  <c r="AS241" i="7"/>
  <c r="AQ241" i="7"/>
  <c r="AN241" i="7"/>
  <c r="AL241" i="7"/>
  <c r="AI241" i="7"/>
  <c r="AR241" i="7" s="1"/>
  <c r="AG241" i="7"/>
  <c r="P241" i="7"/>
  <c r="O241" i="7"/>
  <c r="BS240" i="7"/>
  <c r="BM240" i="7"/>
  <c r="BL240" i="7"/>
  <c r="BH240" i="7"/>
  <c r="BG240" i="7"/>
  <c r="AQ240" i="7"/>
  <c r="AN240" i="7"/>
  <c r="AL240" i="7"/>
  <c r="AI240" i="7"/>
  <c r="AG240" i="7"/>
  <c r="P240" i="7"/>
  <c r="O240" i="7"/>
  <c r="BS239" i="7"/>
  <c r="BM239" i="7"/>
  <c r="BL239" i="7"/>
  <c r="BH239" i="7"/>
  <c r="BG239" i="7"/>
  <c r="AT239" i="7"/>
  <c r="AS239" i="7"/>
  <c r="AQ239" i="7"/>
  <c r="AN239" i="7"/>
  <c r="AL239" i="7"/>
  <c r="AI239" i="7"/>
  <c r="AR239" i="7" s="1"/>
  <c r="AG239" i="7"/>
  <c r="P239" i="7"/>
  <c r="O239" i="7"/>
  <c r="BS238" i="7"/>
  <c r="BM238" i="7"/>
  <c r="BL238" i="7"/>
  <c r="BH238" i="7"/>
  <c r="BG238" i="7"/>
  <c r="AQ238" i="7"/>
  <c r="AN238" i="7"/>
  <c r="AL238" i="7"/>
  <c r="AI238" i="7"/>
  <c r="AG238" i="7"/>
  <c r="AT238" i="7" s="1"/>
  <c r="P238" i="7"/>
  <c r="O238" i="7"/>
  <c r="BS237" i="7"/>
  <c r="BM237" i="7"/>
  <c r="BL237" i="7"/>
  <c r="BH237" i="7"/>
  <c r="BG237" i="7"/>
  <c r="AT237" i="7"/>
  <c r="AS237" i="7"/>
  <c r="AQ237" i="7"/>
  <c r="AN237" i="7"/>
  <c r="AL237" i="7"/>
  <c r="AI237" i="7"/>
  <c r="AR237" i="7" s="1"/>
  <c r="AG237" i="7"/>
  <c r="P237" i="7"/>
  <c r="O237" i="7"/>
  <c r="BS236" i="7"/>
  <c r="BM236" i="7"/>
  <c r="BL236" i="7"/>
  <c r="BH236" i="7"/>
  <c r="BG236" i="7"/>
  <c r="AQ236" i="7"/>
  <c r="AL236" i="7"/>
  <c r="AN236" i="7" s="1"/>
  <c r="AI236" i="7"/>
  <c r="AG236" i="7"/>
  <c r="P236" i="7"/>
  <c r="O236" i="7"/>
  <c r="BS235" i="7"/>
  <c r="BM235" i="7"/>
  <c r="BL235" i="7"/>
  <c r="BH235" i="7"/>
  <c r="BG235" i="7"/>
  <c r="AT235" i="7"/>
  <c r="AS235" i="7"/>
  <c r="AQ235" i="7"/>
  <c r="AN235" i="7"/>
  <c r="AL235" i="7"/>
  <c r="AI235" i="7"/>
  <c r="AR235" i="7" s="1"/>
  <c r="AG235" i="7"/>
  <c r="P235" i="7"/>
  <c r="O235" i="7"/>
  <c r="BS234" i="7"/>
  <c r="BM234" i="7"/>
  <c r="BL234" i="7"/>
  <c r="BH234" i="7"/>
  <c r="BG234" i="7"/>
  <c r="AQ234" i="7"/>
  <c r="AL234" i="7"/>
  <c r="AN234" i="7" s="1"/>
  <c r="AI234" i="7"/>
  <c r="AG234" i="7"/>
  <c r="AT234" i="7" s="1"/>
  <c r="P234" i="7"/>
  <c r="O234" i="7"/>
  <c r="BS233" i="7"/>
  <c r="BM233" i="7"/>
  <c r="BL233" i="7"/>
  <c r="BH233" i="7"/>
  <c r="BG233" i="7"/>
  <c r="AT233" i="7"/>
  <c r="AS233" i="7"/>
  <c r="AQ233" i="7"/>
  <c r="AN233" i="7"/>
  <c r="AL233" i="7"/>
  <c r="AI233" i="7"/>
  <c r="AR233" i="7" s="1"/>
  <c r="AG233" i="7"/>
  <c r="P233" i="7"/>
  <c r="O233" i="7"/>
  <c r="BS232" i="7"/>
  <c r="BM232" i="7"/>
  <c r="BL232" i="7"/>
  <c r="BH232" i="7"/>
  <c r="BG232" i="7"/>
  <c r="AQ232" i="7"/>
  <c r="AL232" i="7"/>
  <c r="AN232" i="7" s="1"/>
  <c r="AI232" i="7"/>
  <c r="AG232" i="7"/>
  <c r="P232" i="7"/>
  <c r="O232" i="7"/>
  <c r="BS231" i="7"/>
  <c r="BM231" i="7"/>
  <c r="BL231" i="7"/>
  <c r="BH231" i="7"/>
  <c r="BG231" i="7"/>
  <c r="AT231" i="7"/>
  <c r="AS231" i="7"/>
  <c r="AQ231" i="7"/>
  <c r="AN231" i="7"/>
  <c r="AL231" i="7"/>
  <c r="AI231" i="7"/>
  <c r="AR231" i="7" s="1"/>
  <c r="AG231" i="7"/>
  <c r="P231" i="7"/>
  <c r="O231" i="7"/>
  <c r="BS230" i="7"/>
  <c r="BM230" i="7"/>
  <c r="BL230" i="7"/>
  <c r="BH230" i="7"/>
  <c r="BG230" i="7"/>
  <c r="AQ230" i="7"/>
  <c r="AN230" i="7"/>
  <c r="AL230" i="7"/>
  <c r="AI230" i="7"/>
  <c r="AG230" i="7"/>
  <c r="P230" i="7"/>
  <c r="O230" i="7"/>
  <c r="BS229" i="7"/>
  <c r="BM229" i="7"/>
  <c r="BL229" i="7"/>
  <c r="BH229" i="7"/>
  <c r="BG229" i="7"/>
  <c r="AT229" i="7"/>
  <c r="AS229" i="7"/>
  <c r="AQ229" i="7"/>
  <c r="AN229" i="7"/>
  <c r="AL229" i="7"/>
  <c r="AI229" i="7"/>
  <c r="AG229" i="7"/>
  <c r="P229" i="7"/>
  <c r="O229" i="7"/>
  <c r="BS228" i="7"/>
  <c r="BM228" i="7"/>
  <c r="BL228" i="7"/>
  <c r="BH228" i="7"/>
  <c r="BG228" i="7"/>
  <c r="AQ228" i="7"/>
  <c r="AN228" i="7"/>
  <c r="AL228" i="7"/>
  <c r="AI228" i="7"/>
  <c r="AG228" i="7"/>
  <c r="AT228" i="7" s="1"/>
  <c r="P228" i="7"/>
  <c r="O228" i="7"/>
  <c r="BS227" i="7"/>
  <c r="BM227" i="7"/>
  <c r="BL227" i="7"/>
  <c r="BH227" i="7"/>
  <c r="BG227" i="7"/>
  <c r="AS227" i="7"/>
  <c r="AQ227" i="7"/>
  <c r="AT227" i="7" s="1"/>
  <c r="AN227" i="7"/>
  <c r="AL227" i="7"/>
  <c r="AI227" i="7"/>
  <c r="AG227" i="7"/>
  <c r="P227" i="7"/>
  <c r="O227" i="7"/>
  <c r="BS226" i="7"/>
  <c r="BM226" i="7"/>
  <c r="BL226" i="7"/>
  <c r="BH226" i="7"/>
  <c r="BG226" i="7"/>
  <c r="AQ226" i="7"/>
  <c r="AL226" i="7"/>
  <c r="AN226" i="7" s="1"/>
  <c r="AI226" i="7"/>
  <c r="AG226" i="7"/>
  <c r="P226" i="7"/>
  <c r="O226" i="7"/>
  <c r="BS225" i="7"/>
  <c r="BM225" i="7"/>
  <c r="BL225" i="7"/>
  <c r="BH225" i="7"/>
  <c r="BG225" i="7"/>
  <c r="AT225" i="7"/>
  <c r="AS225" i="7"/>
  <c r="AQ225" i="7"/>
  <c r="AN225" i="7"/>
  <c r="AL225" i="7"/>
  <c r="AI225" i="7"/>
  <c r="AR225" i="7" s="1"/>
  <c r="AG225" i="7"/>
  <c r="P225" i="7"/>
  <c r="O225" i="7"/>
  <c r="BS224" i="7"/>
  <c r="BM224" i="7"/>
  <c r="BL224" i="7"/>
  <c r="BH224" i="7"/>
  <c r="BG224" i="7"/>
  <c r="AQ224" i="7"/>
  <c r="AL224" i="7"/>
  <c r="AN224" i="7" s="1"/>
  <c r="AI224" i="7"/>
  <c r="AG224" i="7"/>
  <c r="AT224" i="7" s="1"/>
  <c r="P224" i="7"/>
  <c r="O224" i="7"/>
  <c r="BS223" i="7"/>
  <c r="BM223" i="7"/>
  <c r="BL223" i="7"/>
  <c r="BH223" i="7"/>
  <c r="BG223" i="7"/>
  <c r="AS223" i="7"/>
  <c r="AQ223" i="7"/>
  <c r="AT223" i="7" s="1"/>
  <c r="AN223" i="7"/>
  <c r="AL223" i="7"/>
  <c r="AI223" i="7"/>
  <c r="AG223" i="7"/>
  <c r="P223" i="7"/>
  <c r="O223" i="7"/>
  <c r="BS222" i="7"/>
  <c r="BM222" i="7"/>
  <c r="BL222" i="7"/>
  <c r="BH222" i="7"/>
  <c r="BG222" i="7"/>
  <c r="AQ222" i="7"/>
  <c r="AL222" i="7"/>
  <c r="AN222" i="7" s="1"/>
  <c r="AI222" i="7"/>
  <c r="AG222" i="7"/>
  <c r="P222" i="7"/>
  <c r="O222" i="7"/>
  <c r="BS221" i="7"/>
  <c r="BM221" i="7"/>
  <c r="BL221" i="7"/>
  <c r="BH221" i="7"/>
  <c r="BG221" i="7"/>
  <c r="AT221" i="7"/>
  <c r="AS221" i="7"/>
  <c r="AQ221" i="7"/>
  <c r="AN221" i="7"/>
  <c r="AL221" i="7"/>
  <c r="AI221" i="7"/>
  <c r="AR221" i="7" s="1"/>
  <c r="AG221" i="7"/>
  <c r="P221" i="7"/>
  <c r="O221" i="7"/>
  <c r="BS220" i="7"/>
  <c r="BM220" i="7"/>
  <c r="BL220" i="7"/>
  <c r="BH220" i="7"/>
  <c r="BG220" i="7"/>
  <c r="AQ220" i="7"/>
  <c r="AN220" i="7"/>
  <c r="AS220" i="7" s="1"/>
  <c r="AL220" i="7"/>
  <c r="AI220" i="7"/>
  <c r="AG220" i="7"/>
  <c r="P220" i="7"/>
  <c r="O220" i="7"/>
  <c r="BS219" i="7"/>
  <c r="BM219" i="7"/>
  <c r="BL219" i="7"/>
  <c r="BH219" i="7"/>
  <c r="BG219" i="7"/>
  <c r="AS219" i="7"/>
  <c r="AQ219" i="7"/>
  <c r="AT219" i="7" s="1"/>
  <c r="AN219" i="7"/>
  <c r="AL219" i="7"/>
  <c r="AI219" i="7"/>
  <c r="AR219" i="7" s="1"/>
  <c r="AG219" i="7"/>
  <c r="P219" i="7"/>
  <c r="O219" i="7"/>
  <c r="BS218" i="7"/>
  <c r="BM218" i="7"/>
  <c r="BL218" i="7"/>
  <c r="BH218" i="7"/>
  <c r="BG218" i="7"/>
  <c r="AQ218" i="7"/>
  <c r="AL218" i="7"/>
  <c r="AN218" i="7" s="1"/>
  <c r="AI218" i="7"/>
  <c r="AG218" i="7"/>
  <c r="P218" i="7"/>
  <c r="O218" i="7"/>
  <c r="BS217" i="7"/>
  <c r="BM217" i="7"/>
  <c r="BL217" i="7"/>
  <c r="BH217" i="7"/>
  <c r="BG217" i="7"/>
  <c r="AT217" i="7"/>
  <c r="AS217" i="7"/>
  <c r="AQ217" i="7"/>
  <c r="AN217" i="7"/>
  <c r="AL217" i="7"/>
  <c r="AI217" i="7"/>
  <c r="AG217" i="7"/>
  <c r="P217" i="7"/>
  <c r="O217" i="7"/>
  <c r="BS216" i="7"/>
  <c r="BM216" i="7"/>
  <c r="BL216" i="7"/>
  <c r="BH216" i="7"/>
  <c r="BG216" i="7"/>
  <c r="AQ216" i="7"/>
  <c r="AL216" i="7"/>
  <c r="AN216" i="7" s="1"/>
  <c r="AS216" i="7" s="1"/>
  <c r="AI216" i="7"/>
  <c r="AG216" i="7"/>
  <c r="AT216" i="7" s="1"/>
  <c r="P216" i="7"/>
  <c r="O216" i="7"/>
  <c r="BS215" i="7"/>
  <c r="BM215" i="7"/>
  <c r="BL215" i="7"/>
  <c r="BH215" i="7"/>
  <c r="BG215" i="7"/>
  <c r="AQ215" i="7"/>
  <c r="AT215" i="7" s="1"/>
  <c r="AN215" i="7"/>
  <c r="AL215" i="7"/>
  <c r="AI215" i="7"/>
  <c r="AG215" i="7"/>
  <c r="P215" i="7"/>
  <c r="O215" i="7"/>
  <c r="BS214" i="7"/>
  <c r="BM214" i="7"/>
  <c r="BL214" i="7"/>
  <c r="BH214" i="7"/>
  <c r="BG214" i="7"/>
  <c r="AQ214" i="7"/>
  <c r="AL214" i="7"/>
  <c r="AN214" i="7" s="1"/>
  <c r="AS214" i="7" s="1"/>
  <c r="AI214" i="7"/>
  <c r="AG214" i="7"/>
  <c r="P214" i="7"/>
  <c r="O214" i="7"/>
  <c r="BS213" i="7"/>
  <c r="BM213" i="7"/>
  <c r="BL213" i="7"/>
  <c r="BH213" i="7"/>
  <c r="BG213" i="7"/>
  <c r="AT213" i="7"/>
  <c r="AQ213" i="7"/>
  <c r="AN213" i="7"/>
  <c r="AL213" i="7"/>
  <c r="AI213" i="7"/>
  <c r="AR213" i="7" s="1"/>
  <c r="AG213" i="7"/>
  <c r="P213" i="7"/>
  <c r="O213" i="7"/>
  <c r="BS212" i="7"/>
  <c r="BM212" i="7"/>
  <c r="BL212" i="7"/>
  <c r="BH212" i="7"/>
  <c r="BG212" i="7"/>
  <c r="AQ212" i="7"/>
  <c r="AL212" i="7"/>
  <c r="AN212" i="7" s="1"/>
  <c r="AI212" i="7"/>
  <c r="AG212" i="7"/>
  <c r="P212" i="7"/>
  <c r="O212" i="7"/>
  <c r="BS211" i="7"/>
  <c r="BM211" i="7"/>
  <c r="BL211" i="7"/>
  <c r="BH211" i="7"/>
  <c r="BG211" i="7"/>
  <c r="AT211" i="7"/>
  <c r="AS211" i="7"/>
  <c r="AQ211" i="7"/>
  <c r="AN211" i="7"/>
  <c r="AL211" i="7"/>
  <c r="AI211" i="7"/>
  <c r="AG211" i="7"/>
  <c r="P211" i="7"/>
  <c r="O211" i="7"/>
  <c r="BS210" i="7"/>
  <c r="BM210" i="7"/>
  <c r="BL210" i="7"/>
  <c r="BH210" i="7"/>
  <c r="BG210" i="7"/>
  <c r="AQ210" i="7"/>
  <c r="AN210" i="7"/>
  <c r="AL210" i="7"/>
  <c r="AG210" i="7"/>
  <c r="P210" i="7"/>
  <c r="O210" i="7"/>
  <c r="BS209" i="7"/>
  <c r="BM209" i="7"/>
  <c r="BL209" i="7"/>
  <c r="BH209" i="7"/>
  <c r="BG209" i="7"/>
  <c r="AQ209" i="7"/>
  <c r="AT209" i="7" s="1"/>
  <c r="AN209" i="7"/>
  <c r="AS209" i="7" s="1"/>
  <c r="AL209" i="7"/>
  <c r="AI209" i="7"/>
  <c r="AG209" i="7"/>
  <c r="P209" i="7"/>
  <c r="O209" i="7"/>
  <c r="BS208" i="7"/>
  <c r="BM208" i="7"/>
  <c r="BL208" i="7"/>
  <c r="BH208" i="7"/>
  <c r="BG208" i="7"/>
  <c r="AQ208" i="7"/>
  <c r="AL208" i="7"/>
  <c r="AN208" i="7" s="1"/>
  <c r="AI208" i="7"/>
  <c r="AG208" i="7"/>
  <c r="P208" i="7"/>
  <c r="O208" i="7"/>
  <c r="BS207" i="7"/>
  <c r="BM207" i="7"/>
  <c r="BL207" i="7"/>
  <c r="BH207" i="7"/>
  <c r="BG207" i="7"/>
  <c r="AQ207" i="7"/>
  <c r="AT207" i="7" s="1"/>
  <c r="AN207" i="7"/>
  <c r="AL207" i="7"/>
  <c r="AI207" i="7"/>
  <c r="AG207" i="7"/>
  <c r="P207" i="7"/>
  <c r="O207" i="7"/>
  <c r="BS206" i="7"/>
  <c r="BM206" i="7"/>
  <c r="BL206" i="7"/>
  <c r="BH206" i="7"/>
  <c r="BG206" i="7"/>
  <c r="AQ206" i="7"/>
  <c r="AL206" i="7"/>
  <c r="AN206" i="7" s="1"/>
  <c r="AG206" i="7"/>
  <c r="P206" i="7"/>
  <c r="O206" i="7"/>
  <c r="BS205" i="7"/>
  <c r="BM205" i="7"/>
  <c r="BL205" i="7"/>
  <c r="BH205" i="7"/>
  <c r="BG205" i="7"/>
  <c r="AT205" i="7"/>
  <c r="AQ205" i="7"/>
  <c r="AN205" i="7"/>
  <c r="AL205" i="7"/>
  <c r="AI205" i="7"/>
  <c r="AG205" i="7"/>
  <c r="P205" i="7"/>
  <c r="O205" i="7"/>
  <c r="BS204" i="7"/>
  <c r="BM204" i="7"/>
  <c r="BL204" i="7"/>
  <c r="BH204" i="7"/>
  <c r="BG204" i="7"/>
  <c r="AQ204" i="7"/>
  <c r="AN204" i="7"/>
  <c r="AL204" i="7"/>
  <c r="AG204" i="7"/>
  <c r="P204" i="7"/>
  <c r="O204" i="7"/>
  <c r="BS203" i="7"/>
  <c r="BM203" i="7"/>
  <c r="BL203" i="7"/>
  <c r="BH203" i="7"/>
  <c r="BG203" i="7"/>
  <c r="AT203" i="7"/>
  <c r="AR203" i="7"/>
  <c r="AQ203" i="7"/>
  <c r="AN203" i="7"/>
  <c r="AL203" i="7"/>
  <c r="AI203" i="7"/>
  <c r="AS203" i="7" s="1"/>
  <c r="AG203" i="7"/>
  <c r="P203" i="7"/>
  <c r="O203" i="7"/>
  <c r="BS202" i="7"/>
  <c r="BM202" i="7"/>
  <c r="BL202" i="7"/>
  <c r="BH202" i="7"/>
  <c r="BG202" i="7"/>
  <c r="AQ202" i="7"/>
  <c r="AL202" i="7"/>
  <c r="AN202" i="7" s="1"/>
  <c r="AI202" i="7"/>
  <c r="AG202" i="7"/>
  <c r="P202" i="7"/>
  <c r="O202" i="7"/>
  <c r="BS201" i="7"/>
  <c r="BM201" i="7"/>
  <c r="BL201" i="7"/>
  <c r="BH201" i="7"/>
  <c r="BG201" i="7"/>
  <c r="AT201" i="7"/>
  <c r="AS201" i="7"/>
  <c r="AR201" i="7"/>
  <c r="AQ201" i="7"/>
  <c r="AN201" i="7"/>
  <c r="AL201" i="7"/>
  <c r="AI201" i="7"/>
  <c r="AG201" i="7"/>
  <c r="P201" i="7"/>
  <c r="O201" i="7"/>
  <c r="BS200" i="7"/>
  <c r="BM200" i="7"/>
  <c r="BL200" i="7"/>
  <c r="BH200" i="7"/>
  <c r="BG200" i="7"/>
  <c r="AQ200" i="7"/>
  <c r="AN200" i="7"/>
  <c r="AL200" i="7"/>
  <c r="AG200" i="7"/>
  <c r="P200" i="7"/>
  <c r="O200" i="7"/>
  <c r="BS199" i="7"/>
  <c r="BM199" i="7"/>
  <c r="BL199" i="7"/>
  <c r="BH199" i="7"/>
  <c r="BG199" i="7"/>
  <c r="AQ199" i="7"/>
  <c r="AT199" i="7" s="1"/>
  <c r="AN199" i="7"/>
  <c r="AR199" i="7" s="1"/>
  <c r="AL199" i="7"/>
  <c r="AI199" i="7"/>
  <c r="AS199" i="7" s="1"/>
  <c r="AG199" i="7"/>
  <c r="P199" i="7"/>
  <c r="O199" i="7"/>
  <c r="BS198" i="7"/>
  <c r="BM198" i="7"/>
  <c r="BL198" i="7"/>
  <c r="BH198" i="7"/>
  <c r="BG198" i="7"/>
  <c r="AQ198" i="7"/>
  <c r="AL198" i="7"/>
  <c r="AN198" i="7" s="1"/>
  <c r="AI198" i="7"/>
  <c r="AG198" i="7"/>
  <c r="P198" i="7"/>
  <c r="O198" i="7"/>
  <c r="BS197" i="7"/>
  <c r="BM197" i="7"/>
  <c r="BL197" i="7"/>
  <c r="BH197" i="7"/>
  <c r="BG197" i="7"/>
  <c r="AQ197" i="7"/>
  <c r="AT197" i="7" s="1"/>
  <c r="AN197" i="7"/>
  <c r="AL197" i="7"/>
  <c r="AI197" i="7"/>
  <c r="AG197" i="7"/>
  <c r="P197" i="7"/>
  <c r="O197" i="7"/>
  <c r="BS196" i="7"/>
  <c r="BM196" i="7"/>
  <c r="BL196" i="7"/>
  <c r="BH196" i="7"/>
  <c r="BG196" i="7"/>
  <c r="AQ196" i="7"/>
  <c r="AL196" i="7"/>
  <c r="AN196" i="7" s="1"/>
  <c r="AG196" i="7"/>
  <c r="P196" i="7"/>
  <c r="O196" i="7"/>
  <c r="BS195" i="7"/>
  <c r="BM195" i="7"/>
  <c r="BL195" i="7"/>
  <c r="BH195" i="7"/>
  <c r="BG195" i="7"/>
  <c r="AQ195" i="7"/>
  <c r="AN195" i="7"/>
  <c r="AL195" i="7"/>
  <c r="AI195" i="7"/>
  <c r="AG195" i="7"/>
  <c r="AT195" i="7" s="1"/>
  <c r="P195" i="7"/>
  <c r="O195" i="7"/>
  <c r="BS194" i="7"/>
  <c r="BM194" i="7"/>
  <c r="BL194" i="7"/>
  <c r="BH194" i="7"/>
  <c r="BG194" i="7"/>
  <c r="AR194" i="7"/>
  <c r="AQ194" i="7"/>
  <c r="AN194" i="7"/>
  <c r="AL194" i="7"/>
  <c r="AI194" i="7"/>
  <c r="AS194" i="7" s="1"/>
  <c r="AG194" i="7"/>
  <c r="P194" i="7"/>
  <c r="O194" i="7"/>
  <c r="BS193" i="7"/>
  <c r="BM193" i="7"/>
  <c r="BL193" i="7"/>
  <c r="BH193" i="7"/>
  <c r="BG193" i="7"/>
  <c r="AQ193" i="7"/>
  <c r="AN193" i="7"/>
  <c r="AL193" i="7"/>
  <c r="AG193" i="7"/>
  <c r="P193" i="7"/>
  <c r="O193" i="7"/>
  <c r="BS192" i="7"/>
  <c r="BM192" i="7"/>
  <c r="BL192" i="7"/>
  <c r="BH192" i="7"/>
  <c r="BG192" i="7"/>
  <c r="AQ192" i="7"/>
  <c r="AL192" i="7"/>
  <c r="AN192" i="7" s="1"/>
  <c r="AG192" i="7"/>
  <c r="P192" i="7"/>
  <c r="O192" i="7"/>
  <c r="BS191" i="7"/>
  <c r="BM191" i="7"/>
  <c r="BL191" i="7"/>
  <c r="BH191" i="7"/>
  <c r="BG191" i="7"/>
  <c r="AT191" i="7"/>
  <c r="AQ191" i="7"/>
  <c r="AN191" i="7"/>
  <c r="AL191" i="7"/>
  <c r="AG191" i="7"/>
  <c r="AI191" i="7" s="1"/>
  <c r="P191" i="7"/>
  <c r="O191" i="7"/>
  <c r="BS190" i="7"/>
  <c r="BM190" i="7"/>
  <c r="BL190" i="7"/>
  <c r="BH190" i="7"/>
  <c r="BG190" i="7"/>
  <c r="AQ190" i="7"/>
  <c r="AN190" i="7"/>
  <c r="AL190" i="7"/>
  <c r="AI190" i="7"/>
  <c r="AG190" i="7"/>
  <c r="P190" i="7"/>
  <c r="O190" i="7"/>
  <c r="BS189" i="7"/>
  <c r="BM189" i="7"/>
  <c r="BL189" i="7"/>
  <c r="BH189" i="7"/>
  <c r="BG189" i="7"/>
  <c r="AT189" i="7"/>
  <c r="AS189" i="7"/>
  <c r="AQ189" i="7"/>
  <c r="AN189" i="7"/>
  <c r="AL189" i="7"/>
  <c r="AI189" i="7"/>
  <c r="AR189" i="7" s="1"/>
  <c r="AG189" i="7"/>
  <c r="P189" i="7"/>
  <c r="O189" i="7"/>
  <c r="BS188" i="7"/>
  <c r="BM188" i="7"/>
  <c r="BL188" i="7"/>
  <c r="BH188" i="7"/>
  <c r="BG188" i="7"/>
  <c r="AQ188" i="7"/>
  <c r="AL188" i="7"/>
  <c r="AN188" i="7" s="1"/>
  <c r="AG188" i="7"/>
  <c r="P188" i="7"/>
  <c r="O188" i="7"/>
  <c r="BS187" i="7"/>
  <c r="BM187" i="7"/>
  <c r="BL187" i="7"/>
  <c r="BH187" i="7"/>
  <c r="BG187" i="7"/>
  <c r="AT187" i="7"/>
  <c r="AS187" i="7"/>
  <c r="AR187" i="7"/>
  <c r="AQ187" i="7"/>
  <c r="AN187" i="7"/>
  <c r="AL187" i="7"/>
  <c r="AG187" i="7"/>
  <c r="AI187" i="7" s="1"/>
  <c r="P187" i="7"/>
  <c r="O187" i="7"/>
  <c r="BS186" i="7"/>
  <c r="BM186" i="7"/>
  <c r="BL186" i="7"/>
  <c r="BH186" i="7"/>
  <c r="BG186" i="7"/>
  <c r="AQ186" i="7"/>
  <c r="AL186" i="7"/>
  <c r="AN186" i="7" s="1"/>
  <c r="AI186" i="7"/>
  <c r="AG186" i="7"/>
  <c r="AT186" i="7" s="1"/>
  <c r="P186" i="7"/>
  <c r="O186" i="7"/>
  <c r="BS185" i="7"/>
  <c r="BM185" i="7"/>
  <c r="BL185" i="7"/>
  <c r="BH185" i="7"/>
  <c r="BG185" i="7"/>
  <c r="AQ185" i="7"/>
  <c r="AT185" i="7" s="1"/>
  <c r="AN185" i="7"/>
  <c r="AL185" i="7"/>
  <c r="AG185" i="7"/>
  <c r="AI185" i="7" s="1"/>
  <c r="P185" i="7"/>
  <c r="O185" i="7"/>
  <c r="BS184" i="7"/>
  <c r="BM184" i="7"/>
  <c r="BL184" i="7"/>
  <c r="BH184" i="7"/>
  <c r="BG184" i="7"/>
  <c r="AQ184" i="7"/>
  <c r="AN184" i="7"/>
  <c r="AL184" i="7"/>
  <c r="AG184" i="7"/>
  <c r="P184" i="7"/>
  <c r="O184" i="7"/>
  <c r="BS183" i="7"/>
  <c r="BM183" i="7"/>
  <c r="BL183" i="7"/>
  <c r="BH183" i="7"/>
  <c r="BG183" i="7"/>
  <c r="AQ183" i="7"/>
  <c r="AT183" i="7" s="1"/>
  <c r="AN183" i="7"/>
  <c r="AR183" i="7" s="1"/>
  <c r="AL183" i="7"/>
  <c r="AI183" i="7"/>
  <c r="AG183" i="7"/>
  <c r="P183" i="7"/>
  <c r="O183" i="7"/>
  <c r="BS182" i="7"/>
  <c r="BM182" i="7"/>
  <c r="BL182" i="7"/>
  <c r="BH182" i="7"/>
  <c r="BG182" i="7"/>
  <c r="AQ182" i="7"/>
  <c r="AL182" i="7"/>
  <c r="AN182" i="7" s="1"/>
  <c r="AG182" i="7"/>
  <c r="AT182" i="7" s="1"/>
  <c r="P182" i="7"/>
  <c r="O182" i="7"/>
  <c r="BS181" i="7"/>
  <c r="BM181" i="7"/>
  <c r="BL181" i="7"/>
  <c r="BH181" i="7"/>
  <c r="BG181" i="7"/>
  <c r="AQ181" i="7"/>
  <c r="AN181" i="7"/>
  <c r="AL181" i="7"/>
  <c r="AG181" i="7"/>
  <c r="AI181" i="7" s="1"/>
  <c r="P181" i="7"/>
  <c r="O181" i="7"/>
  <c r="BS180" i="7"/>
  <c r="BM180" i="7"/>
  <c r="BL180" i="7"/>
  <c r="BH180" i="7"/>
  <c r="BG180" i="7"/>
  <c r="AQ180" i="7"/>
  <c r="AL180" i="7"/>
  <c r="AN180" i="7" s="1"/>
  <c r="AS180" i="7" s="1"/>
  <c r="AI180" i="7"/>
  <c r="AR180" i="7" s="1"/>
  <c r="AG180" i="7"/>
  <c r="P180" i="7"/>
  <c r="O180" i="7"/>
  <c r="BS179" i="7"/>
  <c r="BM179" i="7"/>
  <c r="BL179" i="7"/>
  <c r="BH179" i="7"/>
  <c r="BG179" i="7"/>
  <c r="AQ179" i="7"/>
  <c r="AT179" i="7" s="1"/>
  <c r="AN179" i="7"/>
  <c r="AL179" i="7"/>
  <c r="AI179" i="7"/>
  <c r="AG179" i="7"/>
  <c r="P179" i="7"/>
  <c r="O179" i="7"/>
  <c r="BS178" i="7"/>
  <c r="BM178" i="7"/>
  <c r="BL178" i="7"/>
  <c r="BH178" i="7"/>
  <c r="BG178" i="7"/>
  <c r="AQ178" i="7"/>
  <c r="AN178" i="7"/>
  <c r="AL178" i="7"/>
  <c r="AG178" i="7"/>
  <c r="AT178" i="7" s="1"/>
  <c r="P178" i="7"/>
  <c r="O178" i="7"/>
  <c r="BS177" i="7"/>
  <c r="BM177" i="7"/>
  <c r="BL177" i="7"/>
  <c r="BH177" i="7"/>
  <c r="BG177" i="7"/>
  <c r="AQ177" i="7"/>
  <c r="AN177" i="7"/>
  <c r="AL177" i="7"/>
  <c r="AG177" i="7"/>
  <c r="AT177" i="7" s="1"/>
  <c r="P177" i="7"/>
  <c r="O177" i="7"/>
  <c r="BS176" i="7"/>
  <c r="BM176" i="7"/>
  <c r="BL176" i="7"/>
  <c r="BH176" i="7"/>
  <c r="BG176" i="7"/>
  <c r="AQ176" i="7"/>
  <c r="AL176" i="7"/>
  <c r="AN176" i="7" s="1"/>
  <c r="AG176" i="7"/>
  <c r="P176" i="7"/>
  <c r="O176" i="7"/>
  <c r="BS175" i="7"/>
  <c r="BM175" i="7"/>
  <c r="BL175" i="7"/>
  <c r="BH175" i="7"/>
  <c r="BG175" i="7"/>
  <c r="AQ175" i="7"/>
  <c r="AN175" i="7"/>
  <c r="AL175" i="7"/>
  <c r="AI175" i="7"/>
  <c r="AG175" i="7"/>
  <c r="AT175" i="7" s="1"/>
  <c r="P175" i="7"/>
  <c r="O175" i="7"/>
  <c r="BS174" i="7"/>
  <c r="BM174" i="7"/>
  <c r="BL174" i="7"/>
  <c r="BH174" i="7"/>
  <c r="BG174" i="7"/>
  <c r="AR174" i="7"/>
  <c r="AQ174" i="7"/>
  <c r="AN174" i="7"/>
  <c r="AL174" i="7"/>
  <c r="AI174" i="7"/>
  <c r="AS174" i="7" s="1"/>
  <c r="AG174" i="7"/>
  <c r="P174" i="7"/>
  <c r="O174" i="7"/>
  <c r="BS173" i="7"/>
  <c r="BM173" i="7"/>
  <c r="BL173" i="7"/>
  <c r="BH173" i="7"/>
  <c r="BG173" i="7"/>
  <c r="AQ173" i="7"/>
  <c r="AN173" i="7"/>
  <c r="AL173" i="7"/>
  <c r="AG173" i="7"/>
  <c r="P173" i="7"/>
  <c r="O173" i="7"/>
  <c r="BS172" i="7"/>
  <c r="BM172" i="7"/>
  <c r="BL172" i="7"/>
  <c r="BH172" i="7"/>
  <c r="BG172" i="7"/>
  <c r="AQ172" i="7"/>
  <c r="AL172" i="7"/>
  <c r="AN172" i="7" s="1"/>
  <c r="AG172" i="7"/>
  <c r="P172" i="7"/>
  <c r="O172" i="7"/>
  <c r="BS171" i="7"/>
  <c r="BM171" i="7"/>
  <c r="BL171" i="7"/>
  <c r="BH171" i="7"/>
  <c r="BG171" i="7"/>
  <c r="AT171" i="7"/>
  <c r="AQ171" i="7"/>
  <c r="AN171" i="7"/>
  <c r="AL171" i="7"/>
  <c r="AG171" i="7"/>
  <c r="AI171" i="7" s="1"/>
  <c r="P171" i="7"/>
  <c r="O171" i="7"/>
  <c r="BS170" i="7"/>
  <c r="BM170" i="7"/>
  <c r="BL170" i="7"/>
  <c r="BH170" i="7"/>
  <c r="BG170" i="7"/>
  <c r="AQ170" i="7"/>
  <c r="AN170" i="7"/>
  <c r="AL170" i="7"/>
  <c r="AI170" i="7"/>
  <c r="AG170" i="7"/>
  <c r="P170" i="7"/>
  <c r="O170" i="7"/>
  <c r="BS169" i="7"/>
  <c r="BM169" i="7"/>
  <c r="BL169" i="7"/>
  <c r="BH169" i="7"/>
  <c r="BG169" i="7"/>
  <c r="AT169" i="7"/>
  <c r="AS169" i="7"/>
  <c r="AQ169" i="7"/>
  <c r="AN169" i="7"/>
  <c r="AL169" i="7"/>
  <c r="AI169" i="7"/>
  <c r="AR169" i="7" s="1"/>
  <c r="AG169" i="7"/>
  <c r="P169" i="7"/>
  <c r="O169" i="7"/>
  <c r="BS168" i="7"/>
  <c r="BM168" i="7"/>
  <c r="BL168" i="7"/>
  <c r="BH168" i="7"/>
  <c r="BG168" i="7"/>
  <c r="AQ168" i="7"/>
  <c r="AL168" i="7"/>
  <c r="AN168" i="7" s="1"/>
  <c r="AG168" i="7"/>
  <c r="AT168" i="7" s="1"/>
  <c r="P168" i="7"/>
  <c r="O168" i="7"/>
  <c r="BS167" i="7"/>
  <c r="BM167" i="7"/>
  <c r="BL167" i="7"/>
  <c r="BH167" i="7"/>
  <c r="BG167" i="7"/>
  <c r="AT167" i="7"/>
  <c r="AS167" i="7"/>
  <c r="AR167" i="7"/>
  <c r="AQ167" i="7"/>
  <c r="AN167" i="7"/>
  <c r="AL167" i="7"/>
  <c r="AG167" i="7"/>
  <c r="AI167" i="7" s="1"/>
  <c r="P167" i="7"/>
  <c r="O167" i="7"/>
  <c r="BS166" i="7"/>
  <c r="BM166" i="7"/>
  <c r="BL166" i="7"/>
  <c r="BH166" i="7"/>
  <c r="BG166" i="7"/>
  <c r="AQ166" i="7"/>
  <c r="AL166" i="7"/>
  <c r="AN166" i="7" s="1"/>
  <c r="AI166" i="7"/>
  <c r="AG166" i="7"/>
  <c r="AT166" i="7" s="1"/>
  <c r="P166" i="7"/>
  <c r="O166" i="7"/>
  <c r="BS165" i="7"/>
  <c r="BM165" i="7"/>
  <c r="BL165" i="7"/>
  <c r="BH165" i="7"/>
  <c r="BG165" i="7"/>
  <c r="AQ165" i="7"/>
  <c r="AT165" i="7" s="1"/>
  <c r="AN165" i="7"/>
  <c r="AL165" i="7"/>
  <c r="AG165" i="7"/>
  <c r="AI165" i="7" s="1"/>
  <c r="P165" i="7"/>
  <c r="O165" i="7"/>
  <c r="BS164" i="7"/>
  <c r="BM164" i="7"/>
  <c r="BL164" i="7"/>
  <c r="BH164" i="7"/>
  <c r="BG164" i="7"/>
  <c r="AQ164" i="7"/>
  <c r="AN164" i="7"/>
  <c r="AL164" i="7"/>
  <c r="AG164" i="7"/>
  <c r="P164" i="7"/>
  <c r="O164" i="7"/>
  <c r="BS163" i="7"/>
  <c r="BM163" i="7"/>
  <c r="BL163" i="7"/>
  <c r="BH163" i="7"/>
  <c r="BG163" i="7"/>
  <c r="AQ163" i="7"/>
  <c r="AT163" i="7" s="1"/>
  <c r="AN163" i="7"/>
  <c r="AR163" i="7" s="1"/>
  <c r="AL163" i="7"/>
  <c r="AI163" i="7"/>
  <c r="AG163" i="7"/>
  <c r="P163" i="7"/>
  <c r="O163" i="7"/>
  <c r="BS162" i="7"/>
  <c r="BM162" i="7"/>
  <c r="BL162" i="7"/>
  <c r="BH162" i="7"/>
  <c r="BG162" i="7"/>
  <c r="AQ162" i="7"/>
  <c r="AL162" i="7"/>
  <c r="AN162" i="7" s="1"/>
  <c r="AG162" i="7"/>
  <c r="AT162" i="7" s="1"/>
  <c r="P162" i="7"/>
  <c r="O162" i="7"/>
  <c r="BS161" i="7"/>
  <c r="BM161" i="7"/>
  <c r="BL161" i="7"/>
  <c r="BH161" i="7"/>
  <c r="BG161" i="7"/>
  <c r="AQ161" i="7"/>
  <c r="AN161" i="7"/>
  <c r="AL161" i="7"/>
  <c r="AG161" i="7"/>
  <c r="AI161" i="7" s="1"/>
  <c r="P161" i="7"/>
  <c r="O161" i="7"/>
  <c r="BS160" i="7"/>
  <c r="BM160" i="7"/>
  <c r="BL160" i="7"/>
  <c r="BH160" i="7"/>
  <c r="BG160" i="7"/>
  <c r="AQ160" i="7"/>
  <c r="AL160" i="7"/>
  <c r="AN160" i="7" s="1"/>
  <c r="AS160" i="7" s="1"/>
  <c r="AI160" i="7"/>
  <c r="AR160" i="7" s="1"/>
  <c r="AG160" i="7"/>
  <c r="P160" i="7"/>
  <c r="O160" i="7"/>
  <c r="BS159" i="7"/>
  <c r="BM159" i="7"/>
  <c r="BL159" i="7"/>
  <c r="BH159" i="7"/>
  <c r="BG159" i="7"/>
  <c r="AQ159" i="7"/>
  <c r="AT159" i="7" s="1"/>
  <c r="AN159" i="7"/>
  <c r="AL159" i="7"/>
  <c r="AI159" i="7"/>
  <c r="AG159" i="7"/>
  <c r="P159" i="7"/>
  <c r="O159" i="7"/>
  <c r="BS158" i="7"/>
  <c r="BM158" i="7"/>
  <c r="BL158" i="7"/>
  <c r="BH158" i="7"/>
  <c r="BG158" i="7"/>
  <c r="AQ158" i="7"/>
  <c r="AN158" i="7"/>
  <c r="AL158" i="7"/>
  <c r="AG158" i="7"/>
  <c r="AT158" i="7" s="1"/>
  <c r="P158" i="7"/>
  <c r="O158" i="7"/>
  <c r="BS157" i="7"/>
  <c r="BM157" i="7"/>
  <c r="BL157" i="7"/>
  <c r="BH157" i="7"/>
  <c r="BG157" i="7"/>
  <c r="AQ157" i="7"/>
  <c r="AN157" i="7"/>
  <c r="AL157" i="7"/>
  <c r="AG157" i="7"/>
  <c r="AT157" i="7" s="1"/>
  <c r="P157" i="7"/>
  <c r="O157" i="7"/>
  <c r="BS156" i="7"/>
  <c r="BM156" i="7"/>
  <c r="BL156" i="7"/>
  <c r="BH156" i="7"/>
  <c r="BG156" i="7"/>
  <c r="AQ156" i="7"/>
  <c r="AL156" i="7"/>
  <c r="AN156" i="7" s="1"/>
  <c r="AG156" i="7"/>
  <c r="P156" i="7"/>
  <c r="O156" i="7"/>
  <c r="BS155" i="7"/>
  <c r="BM155" i="7"/>
  <c r="BL155" i="7"/>
  <c r="BH155" i="7"/>
  <c r="BG155" i="7"/>
  <c r="AQ155" i="7"/>
  <c r="AN155" i="7"/>
  <c r="AL155" i="7"/>
  <c r="AI155" i="7"/>
  <c r="AG155" i="7"/>
  <c r="AT155" i="7" s="1"/>
  <c r="P155" i="7"/>
  <c r="O155" i="7"/>
  <c r="BS154" i="7"/>
  <c r="BM154" i="7"/>
  <c r="BL154" i="7"/>
  <c r="BH154" i="7"/>
  <c r="BG154" i="7"/>
  <c r="AR154" i="7"/>
  <c r="AQ154" i="7"/>
  <c r="AN154" i="7"/>
  <c r="AL154" i="7"/>
  <c r="AI154" i="7"/>
  <c r="AS154" i="7" s="1"/>
  <c r="AG154" i="7"/>
  <c r="P154" i="7"/>
  <c r="O154" i="7"/>
  <c r="BS153" i="7"/>
  <c r="BM153" i="7"/>
  <c r="BL153" i="7"/>
  <c r="BH153" i="7"/>
  <c r="BG153" i="7"/>
  <c r="AQ153" i="7"/>
  <c r="AN153" i="7"/>
  <c r="AL153" i="7"/>
  <c r="AG153" i="7"/>
  <c r="P153" i="7"/>
  <c r="O153" i="7"/>
  <c r="BS152" i="7"/>
  <c r="BM152" i="7"/>
  <c r="BL152" i="7"/>
  <c r="BH152" i="7"/>
  <c r="BG152" i="7"/>
  <c r="AQ152" i="7"/>
  <c r="AL152" i="7"/>
  <c r="AN152" i="7" s="1"/>
  <c r="AG152" i="7"/>
  <c r="P152" i="7"/>
  <c r="O152" i="7"/>
  <c r="BS151" i="7"/>
  <c r="BM151" i="7"/>
  <c r="BL151" i="7"/>
  <c r="BH151" i="7"/>
  <c r="BG151" i="7"/>
  <c r="AT151" i="7"/>
  <c r="AQ151" i="7"/>
  <c r="AN151" i="7"/>
  <c r="AL151" i="7"/>
  <c r="AG151" i="7"/>
  <c r="AI151" i="7" s="1"/>
  <c r="P151" i="7"/>
  <c r="O151" i="7"/>
  <c r="BS150" i="7"/>
  <c r="BM150" i="7"/>
  <c r="BL150" i="7"/>
  <c r="BH150" i="7"/>
  <c r="BG150" i="7"/>
  <c r="AQ150" i="7"/>
  <c r="AN150" i="7"/>
  <c r="AL150" i="7"/>
  <c r="AI150" i="7"/>
  <c r="AG150" i="7"/>
  <c r="P150" i="7"/>
  <c r="O150" i="7"/>
  <c r="BS149" i="7"/>
  <c r="BM149" i="7"/>
  <c r="BL149" i="7"/>
  <c r="BH149" i="7"/>
  <c r="BG149" i="7"/>
  <c r="AT149" i="7"/>
  <c r="AS149" i="7"/>
  <c r="AQ149" i="7"/>
  <c r="AN149" i="7"/>
  <c r="AL149" i="7"/>
  <c r="AI149" i="7"/>
  <c r="AR149" i="7" s="1"/>
  <c r="AG149" i="7"/>
  <c r="P149" i="7"/>
  <c r="O149" i="7"/>
  <c r="BS148" i="7"/>
  <c r="BM148" i="7"/>
  <c r="BL148" i="7"/>
  <c r="BH148" i="7"/>
  <c r="BG148" i="7"/>
  <c r="AQ148" i="7"/>
  <c r="AL148" i="7"/>
  <c r="AN148" i="7" s="1"/>
  <c r="AG148" i="7"/>
  <c r="AT148" i="7" s="1"/>
  <c r="P148" i="7"/>
  <c r="O148" i="7"/>
  <c r="BS147" i="7"/>
  <c r="BM147" i="7"/>
  <c r="BL147" i="7"/>
  <c r="BH147" i="7"/>
  <c r="BG147" i="7"/>
  <c r="AT147" i="7"/>
  <c r="AS147" i="7"/>
  <c r="AR147" i="7"/>
  <c r="AQ147" i="7"/>
  <c r="AN147" i="7"/>
  <c r="AL147" i="7"/>
  <c r="AG147" i="7"/>
  <c r="AI147" i="7" s="1"/>
  <c r="P147" i="7"/>
  <c r="O147" i="7"/>
  <c r="BS146" i="7"/>
  <c r="BM146" i="7"/>
  <c r="BL146" i="7"/>
  <c r="BH146" i="7"/>
  <c r="BG146" i="7"/>
  <c r="AQ146" i="7"/>
  <c r="AL146" i="7"/>
  <c r="AN146" i="7" s="1"/>
  <c r="AI146" i="7"/>
  <c r="AG146" i="7"/>
  <c r="AT146" i="7" s="1"/>
  <c r="P146" i="7"/>
  <c r="O146" i="7"/>
  <c r="BS145" i="7"/>
  <c r="BM145" i="7"/>
  <c r="BL145" i="7"/>
  <c r="BH145" i="7"/>
  <c r="BG145" i="7"/>
  <c r="AQ145" i="7"/>
  <c r="AT145" i="7" s="1"/>
  <c r="AN145" i="7"/>
  <c r="AL145" i="7"/>
  <c r="AG145" i="7"/>
  <c r="AI145" i="7" s="1"/>
  <c r="P145" i="7"/>
  <c r="O145" i="7"/>
  <c r="BS144" i="7"/>
  <c r="BM144" i="7"/>
  <c r="BL144" i="7"/>
  <c r="BH144" i="7"/>
  <c r="BG144" i="7"/>
  <c r="AQ144" i="7"/>
  <c r="AN144" i="7"/>
  <c r="AL144" i="7"/>
  <c r="AG144" i="7"/>
  <c r="P144" i="7"/>
  <c r="O144" i="7"/>
  <c r="BS143" i="7"/>
  <c r="BM143" i="7"/>
  <c r="BL143" i="7"/>
  <c r="BH143" i="7"/>
  <c r="BG143" i="7"/>
  <c r="AQ143" i="7"/>
  <c r="AT143" i="7" s="1"/>
  <c r="AN143" i="7"/>
  <c r="AR143" i="7" s="1"/>
  <c r="AL143" i="7"/>
  <c r="AI143" i="7"/>
  <c r="AG143" i="7"/>
  <c r="P143" i="7"/>
  <c r="O143" i="7"/>
  <c r="BS142" i="7"/>
  <c r="BM142" i="7"/>
  <c r="BL142" i="7"/>
  <c r="BH142" i="7"/>
  <c r="BG142" i="7"/>
  <c r="AQ142" i="7"/>
  <c r="AL142" i="7"/>
  <c r="AN142" i="7" s="1"/>
  <c r="AG142" i="7"/>
  <c r="AT142" i="7" s="1"/>
  <c r="P142" i="7"/>
  <c r="O142" i="7"/>
  <c r="BS141" i="7"/>
  <c r="BM141" i="7"/>
  <c r="BL141" i="7"/>
  <c r="BH141" i="7"/>
  <c r="BG141" i="7"/>
  <c r="AQ141" i="7"/>
  <c r="AN141" i="7"/>
  <c r="AL141" i="7"/>
  <c r="AG141" i="7"/>
  <c r="AI141" i="7" s="1"/>
  <c r="P141" i="7"/>
  <c r="O141" i="7"/>
  <c r="BS140" i="7"/>
  <c r="BM140" i="7"/>
  <c r="BL140" i="7"/>
  <c r="BH140" i="7"/>
  <c r="BG140" i="7"/>
  <c r="AQ140" i="7"/>
  <c r="AL140" i="7"/>
  <c r="AN140" i="7" s="1"/>
  <c r="AS140" i="7" s="1"/>
  <c r="AI140" i="7"/>
  <c r="AR140" i="7" s="1"/>
  <c r="AG140" i="7"/>
  <c r="P140" i="7"/>
  <c r="O140" i="7"/>
  <c r="BS139" i="7"/>
  <c r="BM139" i="7"/>
  <c r="BL139" i="7"/>
  <c r="BH139" i="7"/>
  <c r="BG139" i="7"/>
  <c r="AQ139" i="7"/>
  <c r="AT139" i="7" s="1"/>
  <c r="AN139" i="7"/>
  <c r="AL139" i="7"/>
  <c r="AI139" i="7"/>
  <c r="AG139" i="7"/>
  <c r="P139" i="7"/>
  <c r="O139" i="7"/>
  <c r="BS138" i="7"/>
  <c r="BM138" i="7"/>
  <c r="BL138" i="7"/>
  <c r="BH138" i="7"/>
  <c r="BG138" i="7"/>
  <c r="AQ138" i="7"/>
  <c r="AN138" i="7"/>
  <c r="AL138" i="7"/>
  <c r="AG138" i="7"/>
  <c r="AT138" i="7" s="1"/>
  <c r="P138" i="7"/>
  <c r="O138" i="7"/>
  <c r="BS137" i="7"/>
  <c r="BM137" i="7"/>
  <c r="BL137" i="7"/>
  <c r="BH137" i="7"/>
  <c r="BG137" i="7"/>
  <c r="AQ137" i="7"/>
  <c r="AN137" i="7"/>
  <c r="AL137" i="7"/>
  <c r="AG137" i="7"/>
  <c r="AT137" i="7" s="1"/>
  <c r="P137" i="7"/>
  <c r="O137" i="7"/>
  <c r="BS136" i="7"/>
  <c r="BM136" i="7"/>
  <c r="BL136" i="7"/>
  <c r="BH136" i="7"/>
  <c r="BG136" i="7"/>
  <c r="AQ136" i="7"/>
  <c r="AL136" i="7"/>
  <c r="AN136" i="7" s="1"/>
  <c r="AG136" i="7"/>
  <c r="P136" i="7"/>
  <c r="O136" i="7"/>
  <c r="BS135" i="7"/>
  <c r="BM135" i="7"/>
  <c r="BL135" i="7"/>
  <c r="BH135" i="7"/>
  <c r="BG135" i="7"/>
  <c r="AQ135" i="7"/>
  <c r="AN135" i="7"/>
  <c r="AL135" i="7"/>
  <c r="AI135" i="7"/>
  <c r="AG135" i="7"/>
  <c r="AT135" i="7" s="1"/>
  <c r="P135" i="7"/>
  <c r="O135" i="7"/>
  <c r="BS134" i="7"/>
  <c r="BM134" i="7"/>
  <c r="BL134" i="7"/>
  <c r="BH134" i="7"/>
  <c r="BG134" i="7"/>
  <c r="AR134" i="7"/>
  <c r="AQ134" i="7"/>
  <c r="AN134" i="7"/>
  <c r="AL134" i="7"/>
  <c r="AI134" i="7"/>
  <c r="AS134" i="7" s="1"/>
  <c r="AG134" i="7"/>
  <c r="P134" i="7"/>
  <c r="O134" i="7"/>
  <c r="BS133" i="7"/>
  <c r="BM133" i="7"/>
  <c r="BL133" i="7"/>
  <c r="BH133" i="7"/>
  <c r="BG133" i="7"/>
  <c r="AQ133" i="7"/>
  <c r="AN133" i="7"/>
  <c r="AL133" i="7"/>
  <c r="AG133" i="7"/>
  <c r="P133" i="7"/>
  <c r="O133" i="7"/>
  <c r="BS132" i="7"/>
  <c r="BM132" i="7"/>
  <c r="BL132" i="7"/>
  <c r="BH132" i="7"/>
  <c r="BG132" i="7"/>
  <c r="AQ132" i="7"/>
  <c r="AL132" i="7"/>
  <c r="AN132" i="7" s="1"/>
  <c r="AG132" i="7"/>
  <c r="P132" i="7"/>
  <c r="O132" i="7"/>
  <c r="BS131" i="7"/>
  <c r="BM131" i="7"/>
  <c r="BL131" i="7"/>
  <c r="BH131" i="7"/>
  <c r="BG131" i="7"/>
  <c r="AT131" i="7"/>
  <c r="AQ131" i="7"/>
  <c r="AN131" i="7"/>
  <c r="AL131" i="7"/>
  <c r="AG131" i="7"/>
  <c r="AI131" i="7" s="1"/>
  <c r="P131" i="7"/>
  <c r="O131" i="7"/>
  <c r="BS130" i="7"/>
  <c r="BM130" i="7"/>
  <c r="BL130" i="7"/>
  <c r="BH130" i="7"/>
  <c r="BG130" i="7"/>
  <c r="AQ130" i="7"/>
  <c r="AN130" i="7"/>
  <c r="AL130" i="7"/>
  <c r="AI130" i="7"/>
  <c r="AG130" i="7"/>
  <c r="P130" i="7"/>
  <c r="O130" i="7"/>
  <c r="BS129" i="7"/>
  <c r="BM129" i="7"/>
  <c r="BL129" i="7"/>
  <c r="BH129" i="7"/>
  <c r="BG129" i="7"/>
  <c r="AT129" i="7"/>
  <c r="AS129" i="7"/>
  <c r="AQ129" i="7"/>
  <c r="AN129" i="7"/>
  <c r="AL129" i="7"/>
  <c r="AI129" i="7"/>
  <c r="AR129" i="7" s="1"/>
  <c r="AG129" i="7"/>
  <c r="P129" i="7"/>
  <c r="O129" i="7"/>
  <c r="BS128" i="7"/>
  <c r="BM128" i="7"/>
  <c r="BL128" i="7"/>
  <c r="BH128" i="7"/>
  <c r="BG128" i="7"/>
  <c r="AQ128" i="7"/>
  <c r="AL128" i="7"/>
  <c r="AN128" i="7" s="1"/>
  <c r="AG128" i="7"/>
  <c r="AT128" i="7" s="1"/>
  <c r="P128" i="7"/>
  <c r="O128" i="7"/>
  <c r="BS127" i="7"/>
  <c r="BM127" i="7"/>
  <c r="BL127" i="7"/>
  <c r="BH127" i="7"/>
  <c r="BG127" i="7"/>
  <c r="AT127" i="7"/>
  <c r="AS127" i="7"/>
  <c r="AR127" i="7"/>
  <c r="AQ127" i="7"/>
  <c r="AN127" i="7"/>
  <c r="AL127" i="7"/>
  <c r="AG127" i="7"/>
  <c r="AI127" i="7" s="1"/>
  <c r="P127" i="7"/>
  <c r="O127" i="7"/>
  <c r="BS126" i="7"/>
  <c r="BM126" i="7"/>
  <c r="BL126" i="7"/>
  <c r="BH126" i="7"/>
  <c r="BG126" i="7"/>
  <c r="AQ126" i="7"/>
  <c r="AL126" i="7"/>
  <c r="AN126" i="7" s="1"/>
  <c r="AI126" i="7"/>
  <c r="AG126" i="7"/>
  <c r="AT126" i="7" s="1"/>
  <c r="P126" i="7"/>
  <c r="O126" i="7"/>
  <c r="BS125" i="7"/>
  <c r="BM125" i="7"/>
  <c r="BL125" i="7"/>
  <c r="BH125" i="7"/>
  <c r="BG125" i="7"/>
  <c r="AQ125" i="7"/>
  <c r="AT125" i="7" s="1"/>
  <c r="AN125" i="7"/>
  <c r="AL125" i="7"/>
  <c r="AG125" i="7"/>
  <c r="AI125" i="7" s="1"/>
  <c r="P125" i="7"/>
  <c r="O125" i="7"/>
  <c r="BS124" i="7"/>
  <c r="BM124" i="7"/>
  <c r="BL124" i="7"/>
  <c r="BH124" i="7"/>
  <c r="BG124" i="7"/>
  <c r="AQ124" i="7"/>
  <c r="AN124" i="7"/>
  <c r="AL124" i="7"/>
  <c r="AG124" i="7"/>
  <c r="P124" i="7"/>
  <c r="O124" i="7"/>
  <c r="BS123" i="7"/>
  <c r="BM123" i="7"/>
  <c r="BL123" i="7"/>
  <c r="BH123" i="7"/>
  <c r="BG123" i="7"/>
  <c r="AQ123" i="7"/>
  <c r="AT123" i="7" s="1"/>
  <c r="AN123" i="7"/>
  <c r="AR123" i="7" s="1"/>
  <c r="AL123" i="7"/>
  <c r="AI123" i="7"/>
  <c r="AG123" i="7"/>
  <c r="P123" i="7"/>
  <c r="O123" i="7"/>
  <c r="BS122" i="7"/>
  <c r="BM122" i="7"/>
  <c r="BL122" i="7"/>
  <c r="BH122" i="7"/>
  <c r="BG122" i="7"/>
  <c r="AQ122" i="7"/>
  <c r="AL122" i="7"/>
  <c r="AN122" i="7" s="1"/>
  <c r="AG122" i="7"/>
  <c r="AT122" i="7" s="1"/>
  <c r="P122" i="7"/>
  <c r="O122" i="7"/>
  <c r="BS121" i="7"/>
  <c r="BM121" i="7"/>
  <c r="BL121" i="7"/>
  <c r="BH121" i="7"/>
  <c r="BG121" i="7"/>
  <c r="AQ121" i="7"/>
  <c r="AN121" i="7"/>
  <c r="AL121" i="7"/>
  <c r="AG121" i="7"/>
  <c r="AI121" i="7" s="1"/>
  <c r="P121" i="7"/>
  <c r="O121" i="7"/>
  <c r="BS120" i="7"/>
  <c r="BM120" i="7"/>
  <c r="BL120" i="7"/>
  <c r="BH120" i="7"/>
  <c r="BG120" i="7"/>
  <c r="AQ120" i="7"/>
  <c r="AL120" i="7"/>
  <c r="AN120" i="7" s="1"/>
  <c r="AS120" i="7" s="1"/>
  <c r="AI120" i="7"/>
  <c r="AR120" i="7" s="1"/>
  <c r="AG120" i="7"/>
  <c r="P120" i="7"/>
  <c r="O120" i="7"/>
  <c r="BS119" i="7"/>
  <c r="BM119" i="7"/>
  <c r="BL119" i="7"/>
  <c r="BH119" i="7"/>
  <c r="BG119" i="7"/>
  <c r="AQ119" i="7"/>
  <c r="AT119" i="7" s="1"/>
  <c r="AN119" i="7"/>
  <c r="AL119" i="7"/>
  <c r="AI119" i="7"/>
  <c r="AG119" i="7"/>
  <c r="P119" i="7"/>
  <c r="O119" i="7"/>
  <c r="BS118" i="7"/>
  <c r="BM118" i="7"/>
  <c r="BL118" i="7"/>
  <c r="BH118" i="7"/>
  <c r="BG118" i="7"/>
  <c r="AQ118" i="7"/>
  <c r="AN118" i="7"/>
  <c r="AL118" i="7"/>
  <c r="AG118" i="7"/>
  <c r="AT118" i="7" s="1"/>
  <c r="P118" i="7"/>
  <c r="O118" i="7"/>
  <c r="BS117" i="7"/>
  <c r="BM117" i="7"/>
  <c r="BL117" i="7"/>
  <c r="BH117" i="7"/>
  <c r="BG117" i="7"/>
  <c r="AQ117" i="7"/>
  <c r="AN117" i="7"/>
  <c r="AL117" i="7"/>
  <c r="AG117" i="7"/>
  <c r="AT117" i="7" s="1"/>
  <c r="P117" i="7"/>
  <c r="O117" i="7"/>
  <c r="BS116" i="7"/>
  <c r="BM116" i="7"/>
  <c r="BL116" i="7"/>
  <c r="BH116" i="7"/>
  <c r="BG116" i="7"/>
  <c r="AQ116" i="7"/>
  <c r="AL116" i="7"/>
  <c r="AN116" i="7" s="1"/>
  <c r="AG116" i="7"/>
  <c r="P116" i="7"/>
  <c r="O116" i="7"/>
  <c r="BS115" i="7"/>
  <c r="BM115" i="7"/>
  <c r="BL115" i="7"/>
  <c r="BH115" i="7"/>
  <c r="BG115" i="7"/>
  <c r="AQ115" i="7"/>
  <c r="AN115" i="7"/>
  <c r="AL115" i="7"/>
  <c r="AI115" i="7"/>
  <c r="AG115" i="7"/>
  <c r="AT115" i="7" s="1"/>
  <c r="P115" i="7"/>
  <c r="O115" i="7"/>
  <c r="BS114" i="7"/>
  <c r="BM114" i="7"/>
  <c r="BL114" i="7"/>
  <c r="BH114" i="7"/>
  <c r="BG114" i="7"/>
  <c r="AR114" i="7"/>
  <c r="AQ114" i="7"/>
  <c r="AN114" i="7"/>
  <c r="AL114" i="7"/>
  <c r="AI114" i="7"/>
  <c r="AS114" i="7" s="1"/>
  <c r="AG114" i="7"/>
  <c r="P114" i="7"/>
  <c r="O114" i="7"/>
  <c r="BS113" i="7"/>
  <c r="BM113" i="7"/>
  <c r="BL113" i="7"/>
  <c r="BH113" i="7"/>
  <c r="BG113" i="7"/>
  <c r="AQ113" i="7"/>
  <c r="AN113" i="7"/>
  <c r="AL113" i="7"/>
  <c r="AG113" i="7"/>
  <c r="P113" i="7"/>
  <c r="O113" i="7"/>
  <c r="BS112" i="7"/>
  <c r="BM112" i="7"/>
  <c r="BL112" i="7"/>
  <c r="BH112" i="7"/>
  <c r="BG112" i="7"/>
  <c r="AQ112" i="7"/>
  <c r="AL112" i="7"/>
  <c r="AN112" i="7" s="1"/>
  <c r="AG112" i="7"/>
  <c r="P112" i="7"/>
  <c r="O112" i="7"/>
  <c r="BS111" i="7"/>
  <c r="BM111" i="7"/>
  <c r="BL111" i="7"/>
  <c r="BH111" i="7"/>
  <c r="BG111" i="7"/>
  <c r="AT111" i="7"/>
  <c r="AQ111" i="7"/>
  <c r="AN111" i="7"/>
  <c r="AL111" i="7"/>
  <c r="AG111" i="7"/>
  <c r="AI111" i="7" s="1"/>
  <c r="P111" i="7"/>
  <c r="O111" i="7"/>
  <c r="BS110" i="7"/>
  <c r="BM110" i="7"/>
  <c r="BL110" i="7"/>
  <c r="BH110" i="7"/>
  <c r="BG110" i="7"/>
  <c r="AQ110" i="7"/>
  <c r="AN110" i="7"/>
  <c r="AL110" i="7"/>
  <c r="AI110" i="7"/>
  <c r="AG110" i="7"/>
  <c r="P110" i="7"/>
  <c r="O110" i="7"/>
  <c r="BS109" i="7"/>
  <c r="BM109" i="7"/>
  <c r="BL109" i="7"/>
  <c r="BH109" i="7"/>
  <c r="BG109" i="7"/>
  <c r="AT109" i="7"/>
  <c r="AS109" i="7"/>
  <c r="AQ109" i="7"/>
  <c r="AN109" i="7"/>
  <c r="AL109" i="7"/>
  <c r="AI109" i="7"/>
  <c r="AR109" i="7" s="1"/>
  <c r="AG109" i="7"/>
  <c r="P109" i="7"/>
  <c r="O109" i="7"/>
  <c r="BS108" i="7"/>
  <c r="BM108" i="7"/>
  <c r="BL108" i="7"/>
  <c r="BH108" i="7"/>
  <c r="BG108" i="7"/>
  <c r="AQ108" i="7"/>
  <c r="AL108" i="7"/>
  <c r="AN108" i="7" s="1"/>
  <c r="AG108" i="7"/>
  <c r="P108" i="7"/>
  <c r="O108" i="7"/>
  <c r="BS107" i="7"/>
  <c r="BM107" i="7"/>
  <c r="BL107" i="7"/>
  <c r="BH107" i="7"/>
  <c r="BG107" i="7"/>
  <c r="AT107" i="7"/>
  <c r="AS107" i="7"/>
  <c r="AR107" i="7"/>
  <c r="AQ107" i="7"/>
  <c r="AN107" i="7"/>
  <c r="AL107" i="7"/>
  <c r="AG107" i="7"/>
  <c r="AI107" i="7" s="1"/>
  <c r="P107" i="7"/>
  <c r="O107" i="7"/>
  <c r="BS106" i="7"/>
  <c r="BM106" i="7"/>
  <c r="BL106" i="7"/>
  <c r="BH106" i="7"/>
  <c r="BG106" i="7"/>
  <c r="AQ106" i="7"/>
  <c r="AL106" i="7"/>
  <c r="AN106" i="7" s="1"/>
  <c r="AI106" i="7"/>
  <c r="AG106" i="7"/>
  <c r="AT106" i="7" s="1"/>
  <c r="P106" i="7"/>
  <c r="O106" i="7"/>
  <c r="BS105" i="7"/>
  <c r="BM105" i="7"/>
  <c r="BL105" i="7"/>
  <c r="BH105" i="7"/>
  <c r="BG105" i="7"/>
  <c r="AQ105" i="7"/>
  <c r="AT105" i="7" s="1"/>
  <c r="AN105" i="7"/>
  <c r="AL105" i="7"/>
  <c r="AG105" i="7"/>
  <c r="AI105" i="7" s="1"/>
  <c r="P105" i="7"/>
  <c r="O105" i="7"/>
  <c r="BS104" i="7"/>
  <c r="BM104" i="7"/>
  <c r="BL104" i="7"/>
  <c r="BH104" i="7"/>
  <c r="BG104" i="7"/>
  <c r="AQ104" i="7"/>
  <c r="AN104" i="7"/>
  <c r="AL104" i="7"/>
  <c r="AG104" i="7"/>
  <c r="P104" i="7"/>
  <c r="O104" i="7"/>
  <c r="BS103" i="7"/>
  <c r="BM103" i="7"/>
  <c r="BL103" i="7"/>
  <c r="BH103" i="7"/>
  <c r="BG103" i="7"/>
  <c r="AQ103" i="7"/>
  <c r="AT103" i="7" s="1"/>
  <c r="AN103" i="7"/>
  <c r="AR103" i="7" s="1"/>
  <c r="AL103" i="7"/>
  <c r="AI103" i="7"/>
  <c r="AG103" i="7"/>
  <c r="P103" i="7"/>
  <c r="O103" i="7"/>
  <c r="BS102" i="7"/>
  <c r="BM102" i="7"/>
  <c r="BL102" i="7"/>
  <c r="BH102" i="7"/>
  <c r="BG102" i="7"/>
  <c r="AQ102" i="7"/>
  <c r="AL102" i="7"/>
  <c r="AN102" i="7" s="1"/>
  <c r="AG102" i="7"/>
  <c r="AT102" i="7" s="1"/>
  <c r="P102" i="7"/>
  <c r="O102" i="7"/>
  <c r="BS101" i="7"/>
  <c r="BM101" i="7"/>
  <c r="BL101" i="7"/>
  <c r="BH101" i="7"/>
  <c r="BG101" i="7"/>
  <c r="AQ101" i="7"/>
  <c r="AN101" i="7"/>
  <c r="AL101" i="7"/>
  <c r="AG101" i="7"/>
  <c r="AI101" i="7" s="1"/>
  <c r="P101" i="7"/>
  <c r="O101" i="7"/>
  <c r="BS100" i="7"/>
  <c r="BM100" i="7"/>
  <c r="BL100" i="7"/>
  <c r="BH100" i="7"/>
  <c r="BG100" i="7"/>
  <c r="AQ100" i="7"/>
  <c r="AL100" i="7"/>
  <c r="AN100" i="7" s="1"/>
  <c r="AS100" i="7" s="1"/>
  <c r="AI100" i="7"/>
  <c r="AR100" i="7" s="1"/>
  <c r="AG100" i="7"/>
  <c r="P100" i="7"/>
  <c r="O100" i="7"/>
  <c r="BS99" i="7"/>
  <c r="BM99" i="7"/>
  <c r="BL99" i="7"/>
  <c r="BH99" i="7"/>
  <c r="BG99" i="7"/>
  <c r="AQ99" i="7"/>
  <c r="AT99" i="7" s="1"/>
  <c r="AN99" i="7"/>
  <c r="AL99" i="7"/>
  <c r="AI99" i="7"/>
  <c r="AG99" i="7"/>
  <c r="P99" i="7"/>
  <c r="O99" i="7"/>
  <c r="BS98" i="7"/>
  <c r="BM98" i="7"/>
  <c r="BL98" i="7"/>
  <c r="BH98" i="7"/>
  <c r="BG98" i="7"/>
  <c r="AQ98" i="7"/>
  <c r="AN98" i="7"/>
  <c r="AL98" i="7"/>
  <c r="AG98" i="7"/>
  <c r="AT98" i="7" s="1"/>
  <c r="P98" i="7"/>
  <c r="O98" i="7"/>
  <c r="BS97" i="7"/>
  <c r="BM97" i="7"/>
  <c r="BL97" i="7"/>
  <c r="BH97" i="7"/>
  <c r="BG97" i="7"/>
  <c r="AQ97" i="7"/>
  <c r="AN97" i="7"/>
  <c r="AL97" i="7"/>
  <c r="AG97" i="7"/>
  <c r="AT97" i="7" s="1"/>
  <c r="P97" i="7"/>
  <c r="O97" i="7"/>
  <c r="BS96" i="7"/>
  <c r="BM96" i="7"/>
  <c r="BL96" i="7"/>
  <c r="BH96" i="7"/>
  <c r="BG96" i="7"/>
  <c r="AQ96" i="7"/>
  <c r="AL96" i="7"/>
  <c r="AN96" i="7" s="1"/>
  <c r="AG96" i="7"/>
  <c r="P96" i="7"/>
  <c r="O96" i="7"/>
  <c r="BS95" i="7"/>
  <c r="BM95" i="7"/>
  <c r="BL95" i="7"/>
  <c r="BH95" i="7"/>
  <c r="BG95" i="7"/>
  <c r="AQ95" i="7"/>
  <c r="AN95" i="7"/>
  <c r="AL95" i="7"/>
  <c r="AI95" i="7"/>
  <c r="AG95" i="7"/>
  <c r="AT95" i="7" s="1"/>
  <c r="P95" i="7"/>
  <c r="O95" i="7"/>
  <c r="BS94" i="7"/>
  <c r="BM94" i="7"/>
  <c r="BL94" i="7"/>
  <c r="BH94" i="7"/>
  <c r="BG94" i="7"/>
  <c r="AR94" i="7"/>
  <c r="AQ94" i="7"/>
  <c r="AN94" i="7"/>
  <c r="AS94" i="7" s="1"/>
  <c r="AL94" i="7"/>
  <c r="AI94" i="7"/>
  <c r="AG94" i="7"/>
  <c r="P94" i="7"/>
  <c r="O94" i="7"/>
  <c r="BS93" i="7"/>
  <c r="BM93" i="7"/>
  <c r="BL93" i="7"/>
  <c r="BH93" i="7"/>
  <c r="BG93" i="7"/>
  <c r="AQ93" i="7"/>
  <c r="AN93" i="7"/>
  <c r="AL93" i="7"/>
  <c r="AG93" i="7"/>
  <c r="P93" i="7"/>
  <c r="O93" i="7"/>
  <c r="BS92" i="7"/>
  <c r="BM92" i="7"/>
  <c r="BL92" i="7"/>
  <c r="BH92" i="7"/>
  <c r="BG92" i="7"/>
  <c r="AQ92" i="7"/>
  <c r="AL92" i="7"/>
  <c r="AN92" i="7" s="1"/>
  <c r="AG92" i="7"/>
  <c r="P92" i="7"/>
  <c r="O92" i="7"/>
  <c r="BS91" i="7"/>
  <c r="BM91" i="7"/>
  <c r="BL91" i="7"/>
  <c r="BH91" i="7"/>
  <c r="BG91" i="7"/>
  <c r="AT91" i="7"/>
  <c r="AQ91" i="7"/>
  <c r="AN91" i="7"/>
  <c r="AL91" i="7"/>
  <c r="AG91" i="7"/>
  <c r="AI91" i="7" s="1"/>
  <c r="P91" i="7"/>
  <c r="O91" i="7"/>
  <c r="BS90" i="7"/>
  <c r="BM90" i="7"/>
  <c r="BL90" i="7"/>
  <c r="BH90" i="7"/>
  <c r="BG90" i="7"/>
  <c r="AQ90" i="7"/>
  <c r="AN90" i="7"/>
  <c r="AL90" i="7"/>
  <c r="AI90" i="7"/>
  <c r="AG90" i="7"/>
  <c r="P90" i="7"/>
  <c r="O90" i="7"/>
  <c r="BS89" i="7"/>
  <c r="BM89" i="7"/>
  <c r="BL89" i="7"/>
  <c r="BH89" i="7"/>
  <c r="BG89" i="7"/>
  <c r="AT89" i="7"/>
  <c r="AS89" i="7"/>
  <c r="AQ89" i="7"/>
  <c r="AN89" i="7"/>
  <c r="AL89" i="7"/>
  <c r="AI89" i="7"/>
  <c r="AR89" i="7" s="1"/>
  <c r="AG89" i="7"/>
  <c r="P89" i="7"/>
  <c r="O89" i="7"/>
  <c r="BS88" i="7"/>
  <c r="BM88" i="7"/>
  <c r="BL88" i="7"/>
  <c r="BH88" i="7"/>
  <c r="BG88" i="7"/>
  <c r="AQ88" i="7"/>
  <c r="AL88" i="7"/>
  <c r="AN88" i="7" s="1"/>
  <c r="AG88" i="7"/>
  <c r="P88" i="7"/>
  <c r="O88" i="7"/>
  <c r="BS87" i="7"/>
  <c r="BM87" i="7"/>
  <c r="BL87" i="7"/>
  <c r="BH87" i="7"/>
  <c r="BG87" i="7"/>
  <c r="AT87" i="7"/>
  <c r="AS87" i="7"/>
  <c r="AR87" i="7"/>
  <c r="AQ87" i="7"/>
  <c r="AN87" i="7"/>
  <c r="AL87" i="7"/>
  <c r="AG87" i="7"/>
  <c r="AI87" i="7" s="1"/>
  <c r="P87" i="7"/>
  <c r="O87" i="7"/>
  <c r="BS86" i="7"/>
  <c r="BM86" i="7"/>
  <c r="BL86" i="7"/>
  <c r="BH86" i="7"/>
  <c r="BG86" i="7"/>
  <c r="AQ86" i="7"/>
  <c r="AL86" i="7"/>
  <c r="AN86" i="7" s="1"/>
  <c r="AI86" i="7"/>
  <c r="AG86" i="7"/>
  <c r="AT86" i="7" s="1"/>
  <c r="P86" i="7"/>
  <c r="O86" i="7"/>
  <c r="BS85" i="7"/>
  <c r="BM85" i="7"/>
  <c r="BL85" i="7"/>
  <c r="BH85" i="7"/>
  <c r="BG85" i="7"/>
  <c r="AQ85" i="7"/>
  <c r="AT85" i="7" s="1"/>
  <c r="AN85" i="7"/>
  <c r="AL85" i="7"/>
  <c r="AG85" i="7"/>
  <c r="AI85" i="7" s="1"/>
  <c r="P85" i="7"/>
  <c r="O85" i="7"/>
  <c r="BS84" i="7"/>
  <c r="BM84" i="7"/>
  <c r="BL84" i="7"/>
  <c r="BH84" i="7"/>
  <c r="BG84" i="7"/>
  <c r="AQ84" i="7"/>
  <c r="AN84" i="7"/>
  <c r="AL84" i="7"/>
  <c r="AG84" i="7"/>
  <c r="P84" i="7"/>
  <c r="O84" i="7"/>
  <c r="BS83" i="7"/>
  <c r="BM83" i="7"/>
  <c r="BL83" i="7"/>
  <c r="BH83" i="7"/>
  <c r="BG83" i="7"/>
  <c r="AQ83" i="7"/>
  <c r="AT83" i="7" s="1"/>
  <c r="AN83" i="7"/>
  <c r="AL83" i="7"/>
  <c r="AI83" i="7"/>
  <c r="AG83" i="7"/>
  <c r="P83" i="7"/>
  <c r="O83" i="7"/>
  <c r="BS82" i="7"/>
  <c r="BM82" i="7"/>
  <c r="BL82" i="7"/>
  <c r="BH82" i="7"/>
  <c r="BG82" i="7"/>
  <c r="AQ82" i="7"/>
  <c r="AL82" i="7"/>
  <c r="AN82" i="7" s="1"/>
  <c r="AG82" i="7"/>
  <c r="AT82" i="7" s="1"/>
  <c r="P82" i="7"/>
  <c r="O82" i="7"/>
  <c r="BS81" i="7"/>
  <c r="BM81" i="7"/>
  <c r="BL81" i="7"/>
  <c r="BH81" i="7"/>
  <c r="BG81" i="7"/>
  <c r="AQ81" i="7"/>
  <c r="AN81" i="7"/>
  <c r="AL81" i="7"/>
  <c r="AG81" i="7"/>
  <c r="AI81" i="7" s="1"/>
  <c r="P81" i="7"/>
  <c r="O81" i="7"/>
  <c r="BS80" i="7"/>
  <c r="BM80" i="7"/>
  <c r="BL80" i="7"/>
  <c r="BH80" i="7"/>
  <c r="BG80" i="7"/>
  <c r="AQ80" i="7"/>
  <c r="AL80" i="7"/>
  <c r="AN80" i="7" s="1"/>
  <c r="AS80" i="7" s="1"/>
  <c r="AI80" i="7"/>
  <c r="AR80" i="7" s="1"/>
  <c r="AG80" i="7"/>
  <c r="P80" i="7"/>
  <c r="O80" i="7"/>
  <c r="BS79" i="7"/>
  <c r="BM79" i="7"/>
  <c r="BL79" i="7"/>
  <c r="BH79" i="7"/>
  <c r="BG79" i="7"/>
  <c r="AQ79" i="7"/>
  <c r="AT79" i="7" s="1"/>
  <c r="AN79" i="7"/>
  <c r="AL79" i="7"/>
  <c r="AI79" i="7"/>
  <c r="AG79" i="7"/>
  <c r="P79" i="7"/>
  <c r="O79" i="7"/>
  <c r="BS78" i="7"/>
  <c r="BM78" i="7"/>
  <c r="BL78" i="7"/>
  <c r="BH78" i="7"/>
  <c r="BG78" i="7"/>
  <c r="AQ78" i="7"/>
  <c r="AN78" i="7"/>
  <c r="AL78" i="7"/>
  <c r="AG78" i="7"/>
  <c r="AT78" i="7" s="1"/>
  <c r="P78" i="7"/>
  <c r="O78" i="7"/>
  <c r="BS77" i="7"/>
  <c r="BM77" i="7"/>
  <c r="BL77" i="7"/>
  <c r="BH77" i="7"/>
  <c r="BG77" i="7"/>
  <c r="AQ77" i="7"/>
  <c r="AN77" i="7"/>
  <c r="AL77" i="7"/>
  <c r="AG77" i="7"/>
  <c r="AT77" i="7" s="1"/>
  <c r="P77" i="7"/>
  <c r="O77" i="7"/>
  <c r="BS76" i="7"/>
  <c r="BM76" i="7"/>
  <c r="BL76" i="7"/>
  <c r="BH76" i="7"/>
  <c r="BG76" i="7"/>
  <c r="AQ76" i="7"/>
  <c r="AL76" i="7"/>
  <c r="AN76" i="7" s="1"/>
  <c r="AG76" i="7"/>
  <c r="P76" i="7"/>
  <c r="O76" i="7"/>
  <c r="BS75" i="7"/>
  <c r="BM75" i="7"/>
  <c r="BL75" i="7"/>
  <c r="BH75" i="7"/>
  <c r="BG75" i="7"/>
  <c r="AQ75" i="7"/>
  <c r="AN75" i="7"/>
  <c r="AL75" i="7"/>
  <c r="AI75" i="7"/>
  <c r="AG75" i="7"/>
  <c r="AT75" i="7" s="1"/>
  <c r="P75" i="7"/>
  <c r="O75" i="7"/>
  <c r="BS74" i="7"/>
  <c r="BM74" i="7"/>
  <c r="BL74" i="7"/>
  <c r="BH74" i="7"/>
  <c r="BG74" i="7"/>
  <c r="AR74" i="7"/>
  <c r="AQ74" i="7"/>
  <c r="AN74" i="7"/>
  <c r="AS74" i="7" s="1"/>
  <c r="AL74" i="7"/>
  <c r="AI74" i="7"/>
  <c r="AG74" i="7"/>
  <c r="P74" i="7"/>
  <c r="O74" i="7"/>
  <c r="BS73" i="7"/>
  <c r="BM73" i="7"/>
  <c r="BL73" i="7"/>
  <c r="BH73" i="7"/>
  <c r="BG73" i="7"/>
  <c r="AQ73" i="7"/>
  <c r="AN73" i="7"/>
  <c r="AL73" i="7"/>
  <c r="AG73" i="7"/>
  <c r="P73" i="7"/>
  <c r="O73" i="7"/>
  <c r="BS72" i="7"/>
  <c r="BM72" i="7"/>
  <c r="BL72" i="7"/>
  <c r="BH72" i="7"/>
  <c r="BG72" i="7"/>
  <c r="AQ72" i="7"/>
  <c r="AL72" i="7"/>
  <c r="AN72" i="7" s="1"/>
  <c r="AG72" i="7"/>
  <c r="P72" i="7"/>
  <c r="O72" i="7"/>
  <c r="BS71" i="7"/>
  <c r="BM71" i="7"/>
  <c r="BL71" i="7"/>
  <c r="BH71" i="7"/>
  <c r="BG71" i="7"/>
  <c r="AT71" i="7"/>
  <c r="AQ71" i="7"/>
  <c r="AN71" i="7"/>
  <c r="AL71" i="7"/>
  <c r="AG71" i="7"/>
  <c r="AI71" i="7" s="1"/>
  <c r="P71" i="7"/>
  <c r="O71" i="7"/>
  <c r="BS70" i="7"/>
  <c r="BM70" i="7"/>
  <c r="BL70" i="7"/>
  <c r="BH70" i="7"/>
  <c r="BG70" i="7"/>
  <c r="AQ70" i="7"/>
  <c r="AN70" i="7"/>
  <c r="AL70" i="7"/>
  <c r="AI70" i="7"/>
  <c r="AG70" i="7"/>
  <c r="P70" i="7"/>
  <c r="O70" i="7"/>
  <c r="BS69" i="7"/>
  <c r="BM69" i="7"/>
  <c r="BL69" i="7"/>
  <c r="BH69" i="7"/>
  <c r="BG69" i="7"/>
  <c r="AT69" i="7"/>
  <c r="AS69" i="7"/>
  <c r="AQ69" i="7"/>
  <c r="AN69" i="7"/>
  <c r="AL69" i="7"/>
  <c r="AI69" i="7"/>
  <c r="AR69" i="7" s="1"/>
  <c r="AG69" i="7"/>
  <c r="P69" i="7"/>
  <c r="O69" i="7"/>
  <c r="BS68" i="7"/>
  <c r="BM68" i="7"/>
  <c r="BL68" i="7"/>
  <c r="BH68" i="7"/>
  <c r="BG68" i="7"/>
  <c r="AQ68" i="7"/>
  <c r="AL68" i="7"/>
  <c r="AN68" i="7" s="1"/>
  <c r="AG68" i="7"/>
  <c r="AT68" i="7" s="1"/>
  <c r="P68" i="7"/>
  <c r="O68" i="7"/>
  <c r="BS67" i="7"/>
  <c r="BM67" i="7"/>
  <c r="BL67" i="7"/>
  <c r="BH67" i="7"/>
  <c r="BG67" i="7"/>
  <c r="AT67" i="7"/>
  <c r="AS67" i="7"/>
  <c r="AR67" i="7"/>
  <c r="AQ67" i="7"/>
  <c r="AN67" i="7"/>
  <c r="AL67" i="7"/>
  <c r="AG67" i="7"/>
  <c r="AI67" i="7" s="1"/>
  <c r="P67" i="7"/>
  <c r="O67" i="7"/>
  <c r="BS66" i="7"/>
  <c r="BM66" i="7"/>
  <c r="BL66" i="7"/>
  <c r="BH66" i="7"/>
  <c r="BG66" i="7"/>
  <c r="AQ66" i="7"/>
  <c r="AL66" i="7"/>
  <c r="AN66" i="7" s="1"/>
  <c r="AI66" i="7"/>
  <c r="AG66" i="7"/>
  <c r="AT66" i="7" s="1"/>
  <c r="P66" i="7"/>
  <c r="O66" i="7"/>
  <c r="BS65" i="7"/>
  <c r="BM65" i="7"/>
  <c r="BL65" i="7"/>
  <c r="BH65" i="7"/>
  <c r="BG65" i="7"/>
  <c r="AQ65" i="7"/>
  <c r="AT65" i="7" s="1"/>
  <c r="AN65" i="7"/>
  <c r="AL65" i="7"/>
  <c r="AG65" i="7"/>
  <c r="AI65" i="7" s="1"/>
  <c r="P65" i="7"/>
  <c r="O65" i="7"/>
  <c r="BS64" i="7"/>
  <c r="BM64" i="7"/>
  <c r="BL64" i="7"/>
  <c r="BH64" i="7"/>
  <c r="BG64" i="7"/>
  <c r="AQ64" i="7"/>
  <c r="AN64" i="7"/>
  <c r="AL64" i="7"/>
  <c r="AG64" i="7"/>
  <c r="P64" i="7"/>
  <c r="O64" i="7"/>
  <c r="BS63" i="7"/>
  <c r="BM63" i="7"/>
  <c r="BL63" i="7"/>
  <c r="BH63" i="7"/>
  <c r="BG63" i="7"/>
  <c r="AQ63" i="7"/>
  <c r="AN63" i="7"/>
  <c r="AL63" i="7"/>
  <c r="AI63" i="7"/>
  <c r="AG63" i="7"/>
  <c r="P63" i="7"/>
  <c r="O63" i="7"/>
  <c r="BS62" i="7"/>
  <c r="BM62" i="7"/>
  <c r="BL62" i="7"/>
  <c r="BH62" i="7"/>
  <c r="BG62" i="7"/>
  <c r="AQ62" i="7"/>
  <c r="AL62" i="7"/>
  <c r="AN62" i="7" s="1"/>
  <c r="AG62" i="7"/>
  <c r="AT62" i="7" s="1"/>
  <c r="P62" i="7"/>
  <c r="O62" i="7"/>
  <c r="BS61" i="7"/>
  <c r="BM61" i="7"/>
  <c r="BL61" i="7"/>
  <c r="BH61" i="7"/>
  <c r="BG61" i="7"/>
  <c r="AQ61" i="7"/>
  <c r="AN61" i="7"/>
  <c r="AL61" i="7"/>
  <c r="AG61" i="7"/>
  <c r="AI61" i="7" s="1"/>
  <c r="P61" i="7"/>
  <c r="O61" i="7"/>
  <c r="BS60" i="7"/>
  <c r="BM60" i="7"/>
  <c r="BL60" i="7"/>
  <c r="BH60" i="7"/>
  <c r="BG60" i="7"/>
  <c r="AQ60" i="7"/>
  <c r="AL60" i="7"/>
  <c r="AN60" i="7" s="1"/>
  <c r="AS60" i="7" s="1"/>
  <c r="AI60" i="7"/>
  <c r="AR60" i="7" s="1"/>
  <c r="AG60" i="7"/>
  <c r="P60" i="7"/>
  <c r="O60" i="7"/>
  <c r="BS59" i="7"/>
  <c r="BM59" i="7"/>
  <c r="BL59" i="7"/>
  <c r="BH59" i="7"/>
  <c r="BG59" i="7"/>
  <c r="AQ59" i="7"/>
  <c r="AN59" i="7"/>
  <c r="AL59" i="7"/>
  <c r="AI59" i="7"/>
  <c r="AG59" i="7"/>
  <c r="AT59" i="7" s="1"/>
  <c r="P59" i="7"/>
  <c r="O59" i="7"/>
  <c r="BS58" i="7"/>
  <c r="BM58" i="7"/>
  <c r="BL58" i="7"/>
  <c r="BH58" i="7"/>
  <c r="BG58" i="7"/>
  <c r="AQ58" i="7"/>
  <c r="AN58" i="7"/>
  <c r="AL58" i="7"/>
  <c r="AG58" i="7"/>
  <c r="AT58" i="7" s="1"/>
  <c r="P58" i="7"/>
  <c r="O58" i="7"/>
  <c r="BS57" i="7"/>
  <c r="BM57" i="7"/>
  <c r="BL57" i="7"/>
  <c r="BH57" i="7"/>
  <c r="BG57" i="7"/>
  <c r="AQ57" i="7"/>
  <c r="AL57" i="7"/>
  <c r="AN57" i="7" s="1"/>
  <c r="AI57" i="7"/>
  <c r="AG57" i="7"/>
  <c r="P57" i="7"/>
  <c r="O57" i="7"/>
  <c r="BS56" i="7"/>
  <c r="BM56" i="7"/>
  <c r="BL56" i="7"/>
  <c r="BH56" i="7"/>
  <c r="BG56" i="7"/>
  <c r="AT56" i="7"/>
  <c r="AS56" i="7"/>
  <c r="AQ56" i="7"/>
  <c r="AN56" i="7"/>
  <c r="AL56" i="7"/>
  <c r="AG56" i="7"/>
  <c r="AI56" i="7" s="1"/>
  <c r="AR56" i="7" s="1"/>
  <c r="P56" i="7"/>
  <c r="O56" i="7"/>
  <c r="BS55" i="7"/>
  <c r="BM55" i="7"/>
  <c r="BL55" i="7"/>
  <c r="BH55" i="7"/>
  <c r="BG55" i="7"/>
  <c r="AQ55" i="7"/>
  <c r="AL55" i="7"/>
  <c r="AN55" i="7" s="1"/>
  <c r="AI55" i="7"/>
  <c r="AG55" i="7"/>
  <c r="P55" i="7"/>
  <c r="O55" i="7"/>
  <c r="BS54" i="7"/>
  <c r="BM54" i="7"/>
  <c r="BL54" i="7"/>
  <c r="BH54" i="7"/>
  <c r="BG54" i="7"/>
  <c r="AT54" i="7"/>
  <c r="AQ54" i="7"/>
  <c r="AN54" i="7"/>
  <c r="AL54" i="7"/>
  <c r="AG54" i="7"/>
  <c r="AI54" i="7" s="1"/>
  <c r="P54" i="7"/>
  <c r="O54" i="7"/>
  <c r="BS53" i="7"/>
  <c r="BM53" i="7"/>
  <c r="BL53" i="7"/>
  <c r="BH53" i="7"/>
  <c r="BG53" i="7"/>
  <c r="AQ53" i="7"/>
  <c r="AL53" i="7"/>
  <c r="AN53" i="7" s="1"/>
  <c r="AI53" i="7"/>
  <c r="AG53" i="7"/>
  <c r="P53" i="7"/>
  <c r="O53" i="7"/>
  <c r="BS52" i="7"/>
  <c r="BM52" i="7"/>
  <c r="BL52" i="7"/>
  <c r="BH52" i="7"/>
  <c r="BG52" i="7"/>
  <c r="AT52" i="7"/>
  <c r="AS52" i="7"/>
  <c r="AQ52" i="7"/>
  <c r="AN52" i="7"/>
  <c r="AL52" i="7"/>
  <c r="AG52" i="7"/>
  <c r="AI52" i="7" s="1"/>
  <c r="AR52" i="7" s="1"/>
  <c r="P52" i="7"/>
  <c r="O52" i="7"/>
  <c r="BS51" i="7"/>
  <c r="BM51" i="7"/>
  <c r="BL51" i="7"/>
  <c r="BH51" i="7"/>
  <c r="BG51" i="7"/>
  <c r="AQ51" i="7"/>
  <c r="AL51" i="7"/>
  <c r="AN51" i="7" s="1"/>
  <c r="AI51" i="7"/>
  <c r="AG51" i="7"/>
  <c r="P51" i="7"/>
  <c r="O51" i="7"/>
  <c r="BS50" i="7"/>
  <c r="BM50" i="7"/>
  <c r="BL50" i="7"/>
  <c r="BH50" i="7"/>
  <c r="BG50" i="7"/>
  <c r="AT50" i="7"/>
  <c r="AQ50" i="7"/>
  <c r="AN50" i="7"/>
  <c r="AL50" i="7"/>
  <c r="AG50" i="7"/>
  <c r="AI50" i="7" s="1"/>
  <c r="P50" i="7"/>
  <c r="O50" i="7"/>
  <c r="BS49" i="7"/>
  <c r="BM49" i="7"/>
  <c r="BL49" i="7"/>
  <c r="BH49" i="7"/>
  <c r="BG49" i="7"/>
  <c r="AQ49" i="7"/>
  <c r="AL49" i="7"/>
  <c r="AN49" i="7" s="1"/>
  <c r="AI49" i="7"/>
  <c r="AG49" i="7"/>
  <c r="P49" i="7"/>
  <c r="O49" i="7"/>
  <c r="BS48" i="7"/>
  <c r="BM48" i="7"/>
  <c r="BL48" i="7"/>
  <c r="BH48" i="7"/>
  <c r="BG48" i="7"/>
  <c r="AT48" i="7"/>
  <c r="AS48" i="7"/>
  <c r="AQ48" i="7"/>
  <c r="AN48" i="7"/>
  <c r="AL48" i="7"/>
  <c r="AG48" i="7"/>
  <c r="AI48" i="7" s="1"/>
  <c r="AR48" i="7" s="1"/>
  <c r="P48" i="7"/>
  <c r="O48" i="7"/>
  <c r="BS47" i="7"/>
  <c r="BM47" i="7"/>
  <c r="BL47" i="7"/>
  <c r="BH47" i="7"/>
  <c r="BG47" i="7"/>
  <c r="AQ47" i="7"/>
  <c r="AL47" i="7"/>
  <c r="AN47" i="7" s="1"/>
  <c r="AI47" i="7"/>
  <c r="AG47" i="7"/>
  <c r="P47" i="7"/>
  <c r="O47" i="7"/>
  <c r="BS46" i="7"/>
  <c r="BM46" i="7"/>
  <c r="BL46" i="7"/>
  <c r="BH46" i="7"/>
  <c r="BG46" i="7"/>
  <c r="AT46" i="7"/>
  <c r="AQ46" i="7"/>
  <c r="AN46" i="7"/>
  <c r="AL46" i="7"/>
  <c r="AG46" i="7"/>
  <c r="AI46" i="7" s="1"/>
  <c r="P46" i="7"/>
  <c r="O46" i="7"/>
  <c r="BS45" i="7"/>
  <c r="BM45" i="7"/>
  <c r="BL45" i="7"/>
  <c r="BH45" i="7"/>
  <c r="BG45" i="7"/>
  <c r="AQ45" i="7"/>
  <c r="AL45" i="7"/>
  <c r="AN45" i="7" s="1"/>
  <c r="AI45" i="7"/>
  <c r="AG45" i="7"/>
  <c r="P45" i="7"/>
  <c r="O45" i="7"/>
  <c r="BS44" i="7"/>
  <c r="BM44" i="7"/>
  <c r="BL44" i="7"/>
  <c r="BH44" i="7"/>
  <c r="BG44" i="7"/>
  <c r="AT44" i="7"/>
  <c r="AS44" i="7"/>
  <c r="AQ44" i="7"/>
  <c r="AN44" i="7"/>
  <c r="AL44" i="7"/>
  <c r="AG44" i="7"/>
  <c r="AI44" i="7" s="1"/>
  <c r="AR44" i="7" s="1"/>
  <c r="P44" i="7"/>
  <c r="O44" i="7"/>
  <c r="BS43" i="7"/>
  <c r="BM43" i="7"/>
  <c r="BL43" i="7"/>
  <c r="BH43" i="7"/>
  <c r="BG43" i="7"/>
  <c r="AQ43" i="7"/>
  <c r="AL43" i="7"/>
  <c r="AN43" i="7" s="1"/>
  <c r="AI43" i="7"/>
  <c r="AG43" i="7"/>
  <c r="P43" i="7"/>
  <c r="O43" i="7"/>
  <c r="BS42" i="7"/>
  <c r="BM42" i="7"/>
  <c r="BL42" i="7"/>
  <c r="BH42" i="7"/>
  <c r="BG42" i="7"/>
  <c r="AT42" i="7"/>
  <c r="AQ42" i="7"/>
  <c r="AN42" i="7"/>
  <c r="AL42" i="7"/>
  <c r="AG42" i="7"/>
  <c r="AI42" i="7" s="1"/>
  <c r="P42" i="7"/>
  <c r="O42" i="7"/>
  <c r="BS41" i="7"/>
  <c r="BM41" i="7"/>
  <c r="BL41" i="7"/>
  <c r="BH41" i="7"/>
  <c r="BG41" i="7"/>
  <c r="AQ41" i="7"/>
  <c r="AL41" i="7"/>
  <c r="AN41" i="7" s="1"/>
  <c r="AI41" i="7"/>
  <c r="AG41" i="7"/>
  <c r="P41" i="7"/>
  <c r="O41" i="7"/>
  <c r="BS40" i="7"/>
  <c r="BM40" i="7"/>
  <c r="BL40" i="7"/>
  <c r="BH40" i="7"/>
  <c r="BG40" i="7"/>
  <c r="AT40" i="7"/>
  <c r="AS40" i="7"/>
  <c r="AQ40" i="7"/>
  <c r="AN40" i="7"/>
  <c r="AL40" i="7"/>
  <c r="AG40" i="7"/>
  <c r="AI40" i="7" s="1"/>
  <c r="AR40" i="7" s="1"/>
  <c r="P40" i="7"/>
  <c r="O40" i="7"/>
  <c r="BS39" i="7"/>
  <c r="BM39" i="7"/>
  <c r="BL39" i="7"/>
  <c r="BH39" i="7"/>
  <c r="BG39" i="7"/>
  <c r="AQ39" i="7"/>
  <c r="AL39" i="7"/>
  <c r="AN39" i="7" s="1"/>
  <c r="AI39" i="7"/>
  <c r="AG39" i="7"/>
  <c r="P39" i="7"/>
  <c r="O39" i="7"/>
  <c r="BS38" i="7"/>
  <c r="BM38" i="7"/>
  <c r="BL38" i="7"/>
  <c r="BH38" i="7"/>
  <c r="BG38" i="7"/>
  <c r="AT38" i="7"/>
  <c r="AQ38" i="7"/>
  <c r="AN38" i="7"/>
  <c r="AL38" i="7"/>
  <c r="AG38" i="7"/>
  <c r="AI38" i="7" s="1"/>
  <c r="P38" i="7"/>
  <c r="O38" i="7"/>
  <c r="BS37" i="7"/>
  <c r="BM37" i="7"/>
  <c r="BL37" i="7"/>
  <c r="BH37" i="7"/>
  <c r="BG37" i="7"/>
  <c r="AQ37" i="7"/>
  <c r="AL37" i="7"/>
  <c r="AN37" i="7" s="1"/>
  <c r="AI37" i="7"/>
  <c r="AG37" i="7"/>
  <c r="P37" i="7"/>
  <c r="O37" i="7"/>
  <c r="BS36" i="7"/>
  <c r="BM36" i="7"/>
  <c r="BL36" i="7"/>
  <c r="BH36" i="7"/>
  <c r="BG36" i="7"/>
  <c r="AT36" i="7"/>
  <c r="AS36" i="7"/>
  <c r="AQ36" i="7"/>
  <c r="AN36" i="7"/>
  <c r="AL36" i="7"/>
  <c r="AG36" i="7"/>
  <c r="AI36" i="7" s="1"/>
  <c r="AR36" i="7" s="1"/>
  <c r="P36" i="7"/>
  <c r="O36" i="7"/>
  <c r="BS35" i="7"/>
  <c r="BM35" i="7"/>
  <c r="BL35" i="7"/>
  <c r="BH35" i="7"/>
  <c r="BG35" i="7"/>
  <c r="AQ35" i="7"/>
  <c r="AL35" i="7"/>
  <c r="AN35" i="7" s="1"/>
  <c r="AI35" i="7"/>
  <c r="AG35" i="7"/>
  <c r="P35" i="7"/>
  <c r="O35" i="7"/>
  <c r="BS34" i="7"/>
  <c r="BM34" i="7"/>
  <c r="BL34" i="7"/>
  <c r="BH34" i="7"/>
  <c r="BG34" i="7"/>
  <c r="AT34" i="7"/>
  <c r="AQ34" i="7"/>
  <c r="AN34" i="7"/>
  <c r="AL34" i="7"/>
  <c r="AG34" i="7"/>
  <c r="AI34" i="7" s="1"/>
  <c r="P34" i="7"/>
  <c r="O34" i="7"/>
  <c r="BS33" i="7"/>
  <c r="BM33" i="7"/>
  <c r="BL33" i="7"/>
  <c r="BH33" i="7"/>
  <c r="BG33" i="7"/>
  <c r="AQ33" i="7"/>
  <c r="AL33" i="7"/>
  <c r="AN33" i="7" s="1"/>
  <c r="AI33" i="7"/>
  <c r="AG33" i="7"/>
  <c r="P33" i="7"/>
  <c r="O33" i="7"/>
  <c r="BS32" i="7"/>
  <c r="BM32" i="7"/>
  <c r="BL32" i="7"/>
  <c r="BH32" i="7"/>
  <c r="BG32" i="7"/>
  <c r="AT32" i="7"/>
  <c r="AS32" i="7"/>
  <c r="AQ32" i="7"/>
  <c r="AN32" i="7"/>
  <c r="AL32" i="7"/>
  <c r="AG32" i="7"/>
  <c r="AI32" i="7" s="1"/>
  <c r="AR32" i="7" s="1"/>
  <c r="P32" i="7"/>
  <c r="O32" i="7"/>
  <c r="BS31" i="7"/>
  <c r="BM31" i="7"/>
  <c r="BL31" i="7"/>
  <c r="BH31" i="7"/>
  <c r="BG31" i="7"/>
  <c r="AQ31" i="7"/>
  <c r="AL31" i="7"/>
  <c r="AN31" i="7" s="1"/>
  <c r="AI31" i="7"/>
  <c r="AG31" i="7"/>
  <c r="P31" i="7"/>
  <c r="O31" i="7"/>
  <c r="BS30" i="7"/>
  <c r="BM30" i="7"/>
  <c r="BL30" i="7"/>
  <c r="BH30" i="7"/>
  <c r="BG30" i="7"/>
  <c r="AT30" i="7"/>
  <c r="AQ30" i="7"/>
  <c r="AN30" i="7"/>
  <c r="AL30" i="7"/>
  <c r="AG30" i="7"/>
  <c r="AI30" i="7" s="1"/>
  <c r="P30" i="7"/>
  <c r="O30" i="7"/>
  <c r="BS29" i="7"/>
  <c r="BM29" i="7"/>
  <c r="BL29" i="7"/>
  <c r="BH29" i="7"/>
  <c r="BG29" i="7"/>
  <c r="AQ29" i="7"/>
  <c r="AL29" i="7"/>
  <c r="AN29" i="7" s="1"/>
  <c r="AI29" i="7"/>
  <c r="AG29" i="7"/>
  <c r="P29" i="7"/>
  <c r="O29" i="7"/>
  <c r="BS28" i="7"/>
  <c r="BM28" i="7"/>
  <c r="BL28" i="7"/>
  <c r="BH28" i="7"/>
  <c r="BG28" i="7"/>
  <c r="AT28" i="7"/>
  <c r="AS28" i="7"/>
  <c r="AQ28" i="7"/>
  <c r="AN28" i="7"/>
  <c r="AL28" i="7"/>
  <c r="AG28" i="7"/>
  <c r="AI28" i="7" s="1"/>
  <c r="AR28" i="7" s="1"/>
  <c r="P28" i="7"/>
  <c r="O28" i="7"/>
  <c r="BS27" i="7"/>
  <c r="BM27" i="7"/>
  <c r="BL27" i="7"/>
  <c r="BH27" i="7"/>
  <c r="BG27" i="7"/>
  <c r="AQ27" i="7"/>
  <c r="AL27" i="7"/>
  <c r="AN27" i="7" s="1"/>
  <c r="AI27" i="7"/>
  <c r="AG27" i="7"/>
  <c r="P27" i="7"/>
  <c r="O27" i="7"/>
  <c r="BS26" i="7"/>
  <c r="BM26" i="7"/>
  <c r="BL26" i="7"/>
  <c r="BH26" i="7"/>
  <c r="BG26" i="7"/>
  <c r="AT26" i="7"/>
  <c r="AQ26" i="7"/>
  <c r="AN26" i="7"/>
  <c r="AL26" i="7"/>
  <c r="AG26" i="7"/>
  <c r="AI26" i="7" s="1"/>
  <c r="P26" i="7"/>
  <c r="O26" i="7"/>
  <c r="BS25" i="7"/>
  <c r="BM25" i="7"/>
  <c r="BL25" i="7"/>
  <c r="BH25" i="7"/>
  <c r="BG25" i="7"/>
  <c r="AQ25" i="7"/>
  <c r="AL25" i="7"/>
  <c r="AN25" i="7" s="1"/>
  <c r="AI25" i="7"/>
  <c r="AG25" i="7"/>
  <c r="P25" i="7"/>
  <c r="O25" i="7"/>
  <c r="BS24" i="7"/>
  <c r="BM24" i="7"/>
  <c r="BL24" i="7"/>
  <c r="BH24" i="7"/>
  <c r="BG24" i="7"/>
  <c r="AT24" i="7"/>
  <c r="AS24" i="7"/>
  <c r="AQ24" i="7"/>
  <c r="AN24" i="7"/>
  <c r="AL24" i="7"/>
  <c r="AG24" i="7"/>
  <c r="AI24" i="7" s="1"/>
  <c r="AR24" i="7" s="1"/>
  <c r="P24" i="7"/>
  <c r="O24" i="7"/>
  <c r="BS23" i="7"/>
  <c r="BM23" i="7"/>
  <c r="BL23" i="7"/>
  <c r="BH23" i="7"/>
  <c r="BG23" i="7"/>
  <c r="AQ23" i="7"/>
  <c r="AL23" i="7"/>
  <c r="AN23" i="7" s="1"/>
  <c r="AI23" i="7"/>
  <c r="AG23" i="7"/>
  <c r="P23" i="7"/>
  <c r="O23" i="7"/>
  <c r="BS22" i="7"/>
  <c r="BM22" i="7"/>
  <c r="BL22" i="7"/>
  <c r="BH22" i="7"/>
  <c r="BG22" i="7"/>
  <c r="AT22" i="7"/>
  <c r="AQ22" i="7"/>
  <c r="AN22" i="7"/>
  <c r="AL22" i="7"/>
  <c r="AG22" i="7"/>
  <c r="AI22" i="7" s="1"/>
  <c r="P22" i="7"/>
  <c r="O22" i="7"/>
  <c r="BS21" i="7"/>
  <c r="BM21" i="7"/>
  <c r="BL21" i="7"/>
  <c r="BH21" i="7"/>
  <c r="BG21" i="7"/>
  <c r="AQ21" i="7"/>
  <c r="AL21" i="7"/>
  <c r="AN21" i="7" s="1"/>
  <c r="AI21" i="7"/>
  <c r="AG21" i="7"/>
  <c r="P21" i="7"/>
  <c r="O21" i="7"/>
  <c r="BS20" i="7"/>
  <c r="BM20" i="7"/>
  <c r="BL20" i="7"/>
  <c r="BH20" i="7"/>
  <c r="BG20" i="7"/>
  <c r="AT20" i="7"/>
  <c r="AS20" i="7"/>
  <c r="AQ20" i="7"/>
  <c r="AN20" i="7"/>
  <c r="AL20" i="7"/>
  <c r="AG20" i="7"/>
  <c r="AI20" i="7" s="1"/>
  <c r="AR20" i="7" s="1"/>
  <c r="P20" i="7"/>
  <c r="O20" i="7"/>
  <c r="BS19" i="7"/>
  <c r="BM19" i="7"/>
  <c r="BL19" i="7"/>
  <c r="BH19" i="7"/>
  <c r="BG19" i="7"/>
  <c r="AQ19" i="7"/>
  <c r="AL19" i="7"/>
  <c r="AN19" i="7" s="1"/>
  <c r="AI19" i="7"/>
  <c r="AG19" i="7"/>
  <c r="P19" i="7"/>
  <c r="O19" i="7"/>
  <c r="BS18" i="7"/>
  <c r="BM18" i="7"/>
  <c r="BL18" i="7"/>
  <c r="BH18" i="7"/>
  <c r="BG18" i="7"/>
  <c r="AT18" i="7"/>
  <c r="AQ18" i="7"/>
  <c r="AN18" i="7"/>
  <c r="AL18" i="7"/>
  <c r="AG18" i="7"/>
  <c r="AI18" i="7" s="1"/>
  <c r="P18" i="7"/>
  <c r="O18" i="7"/>
  <c r="BS17" i="7"/>
  <c r="BM17" i="7"/>
  <c r="BL17" i="7"/>
  <c r="BH17" i="7"/>
  <c r="BG17" i="7"/>
  <c r="AQ17" i="7"/>
  <c r="AL17" i="7"/>
  <c r="AN17" i="7" s="1"/>
  <c r="AI17" i="7"/>
  <c r="AG17" i="7"/>
  <c r="P17" i="7"/>
  <c r="O17" i="7"/>
  <c r="BS16" i="7"/>
  <c r="BM16" i="7"/>
  <c r="BL16" i="7"/>
  <c r="BH16" i="7"/>
  <c r="BG16" i="7"/>
  <c r="AT16" i="7"/>
  <c r="AS16" i="7"/>
  <c r="AQ16" i="7"/>
  <c r="AN16" i="7"/>
  <c r="AL16" i="7"/>
  <c r="AG16" i="7"/>
  <c r="AI16" i="7" s="1"/>
  <c r="AR16" i="7" s="1"/>
  <c r="P16" i="7"/>
  <c r="O16" i="7"/>
  <c r="BS15" i="7"/>
  <c r="BM15" i="7"/>
  <c r="BL15" i="7"/>
  <c r="BH15" i="7"/>
  <c r="BG15" i="7"/>
  <c r="AQ15" i="7"/>
  <c r="AL15" i="7"/>
  <c r="AN15" i="7" s="1"/>
  <c r="AI15" i="7"/>
  <c r="AG15" i="7"/>
  <c r="P15" i="7"/>
  <c r="O15" i="7"/>
  <c r="BS14" i="7"/>
  <c r="BM14" i="7"/>
  <c r="BL14" i="7"/>
  <c r="BH14" i="7"/>
  <c r="BG14" i="7"/>
  <c r="AT14" i="7"/>
  <c r="AQ14" i="7"/>
  <c r="AN14" i="7"/>
  <c r="AL14" i="7"/>
  <c r="AG14" i="7"/>
  <c r="AI14" i="7" s="1"/>
  <c r="P14" i="7"/>
  <c r="O14" i="7"/>
  <c r="BS13" i="7"/>
  <c r="BM13" i="7"/>
  <c r="BL13" i="7"/>
  <c r="BH13" i="7"/>
  <c r="BG13" i="7"/>
  <c r="AQ13" i="7"/>
  <c r="AL13" i="7"/>
  <c r="AN13" i="7" s="1"/>
  <c r="AI13" i="7"/>
  <c r="AG13" i="7"/>
  <c r="P13" i="7"/>
  <c r="O13" i="7"/>
  <c r="BS12" i="7"/>
  <c r="BM12" i="7"/>
  <c r="BL12" i="7"/>
  <c r="BH12" i="7"/>
  <c r="BG12" i="7"/>
  <c r="AT12" i="7"/>
  <c r="AS12" i="7"/>
  <c r="AQ12" i="7"/>
  <c r="AN12" i="7"/>
  <c r="AL12" i="7"/>
  <c r="AG12" i="7"/>
  <c r="AI12" i="7" s="1"/>
  <c r="AR12" i="7" s="1"/>
  <c r="P12" i="7"/>
  <c r="O12" i="7"/>
  <c r="BS11" i="7"/>
  <c r="BM11" i="7"/>
  <c r="BL11" i="7"/>
  <c r="BH11" i="7"/>
  <c r="BG11" i="7"/>
  <c r="AQ11" i="7"/>
  <c r="AL11" i="7"/>
  <c r="AN11" i="7" s="1"/>
  <c r="AI11" i="7"/>
  <c r="AG11" i="7"/>
  <c r="P11" i="7"/>
  <c r="O11" i="7"/>
  <c r="BS10" i="7"/>
  <c r="BM10" i="7"/>
  <c r="BL10" i="7"/>
  <c r="BH10" i="7"/>
  <c r="BG10" i="7"/>
  <c r="AT10" i="7"/>
  <c r="AQ10" i="7"/>
  <c r="AN10" i="7"/>
  <c r="AL10" i="7"/>
  <c r="AG10" i="7"/>
  <c r="AI10" i="7" s="1"/>
  <c r="P10" i="7"/>
  <c r="O10" i="7"/>
  <c r="BS9" i="7"/>
  <c r="BM9" i="7"/>
  <c r="BL9" i="7"/>
  <c r="BH9" i="7"/>
  <c r="BG9" i="7"/>
  <c r="AQ9" i="7"/>
  <c r="AL9" i="7"/>
  <c r="AN9" i="7" s="1"/>
  <c r="AI9" i="7"/>
  <c r="AG9" i="7"/>
  <c r="P9" i="7"/>
  <c r="O9" i="7"/>
  <c r="BS8" i="7"/>
  <c r="BM8" i="7"/>
  <c r="BL8" i="7"/>
  <c r="BH8" i="7"/>
  <c r="BG8" i="7"/>
  <c r="AT8" i="7"/>
  <c r="AS8" i="7"/>
  <c r="AQ8" i="7"/>
  <c r="AN8" i="7"/>
  <c r="AL8" i="7"/>
  <c r="AG8" i="7"/>
  <c r="AI8" i="7" s="1"/>
  <c r="AR8" i="7" s="1"/>
  <c r="P8" i="7"/>
  <c r="O8" i="7"/>
  <c r="BS7" i="7"/>
  <c r="BM7" i="7"/>
  <c r="BL7" i="7"/>
  <c r="BH7" i="7"/>
  <c r="BG7" i="7"/>
  <c r="AQ7" i="7"/>
  <c r="AL7" i="7"/>
  <c r="AN7" i="7" s="1"/>
  <c r="AI7" i="7"/>
  <c r="AG7" i="7"/>
  <c r="P7" i="7"/>
  <c r="O7" i="7"/>
  <c r="BS6" i="7"/>
  <c r="BM6" i="7"/>
  <c r="BL6" i="7"/>
  <c r="BH6" i="7"/>
  <c r="BG6" i="7"/>
  <c r="AT6" i="7"/>
  <c r="AQ6" i="7"/>
  <c r="AN6" i="7"/>
  <c r="AL6" i="7"/>
  <c r="AG6" i="7"/>
  <c r="AI6" i="7" s="1"/>
  <c r="P6" i="7"/>
  <c r="O6" i="7"/>
  <c r="BS5" i="7"/>
  <c r="BM5" i="7"/>
  <c r="BL5" i="7"/>
  <c r="BH5" i="7"/>
  <c r="BG5" i="7"/>
  <c r="AQ5" i="7"/>
  <c r="AL5" i="7"/>
  <c r="AN5" i="7" s="1"/>
  <c r="AI5" i="7"/>
  <c r="AG5" i="7"/>
  <c r="P5" i="7"/>
  <c r="O5" i="7"/>
  <c r="BS4" i="7"/>
  <c r="BM4" i="7"/>
  <c r="BL4" i="7"/>
  <c r="BH4" i="7"/>
  <c r="BG4" i="7"/>
  <c r="AT4" i="7"/>
  <c r="AS4" i="7"/>
  <c r="AQ4" i="7"/>
  <c r="AN4" i="7"/>
  <c r="AL4" i="7"/>
  <c r="AG4" i="7"/>
  <c r="AI4" i="7" s="1"/>
  <c r="AR4" i="7" s="1"/>
  <c r="P4" i="7"/>
  <c r="O4" i="7"/>
  <c r="BS3" i="7"/>
  <c r="BM3" i="7"/>
  <c r="BL3" i="7"/>
  <c r="BH3" i="7"/>
  <c r="BG3" i="7"/>
  <c r="AQ3" i="7"/>
  <c r="AL3" i="7"/>
  <c r="AN3" i="7" s="1"/>
  <c r="AI3" i="7"/>
  <c r="AG3" i="7"/>
  <c r="P3" i="7"/>
  <c r="O3" i="7"/>
  <c r="BS2" i="7"/>
  <c r="BM2" i="7"/>
  <c r="BL2" i="7"/>
  <c r="BH2" i="7"/>
  <c r="BG2" i="7"/>
  <c r="AT2" i="7"/>
  <c r="AQ2" i="7"/>
  <c r="AN2" i="7"/>
  <c r="AL2" i="7"/>
  <c r="AG2" i="7"/>
  <c r="AI2" i="7" s="1"/>
  <c r="P2" i="7"/>
  <c r="O2" i="7"/>
  <c r="BS300" i="6"/>
  <c r="BM300" i="6"/>
  <c r="BL300" i="6"/>
  <c r="BH300" i="6"/>
  <c r="BG300" i="6"/>
  <c r="AQ300" i="6"/>
  <c r="AL300" i="6"/>
  <c r="AN300" i="6" s="1"/>
  <c r="AI300" i="6"/>
  <c r="AG300" i="6"/>
  <c r="P300" i="6"/>
  <c r="O300" i="6"/>
  <c r="BS299" i="6"/>
  <c r="BM299" i="6"/>
  <c r="BL299" i="6"/>
  <c r="BH299" i="6"/>
  <c r="BG299" i="6"/>
  <c r="AT299" i="6"/>
  <c r="AS299" i="6"/>
  <c r="AQ299" i="6"/>
  <c r="AN299" i="6"/>
  <c r="AL299" i="6"/>
  <c r="AG299" i="6"/>
  <c r="AI299" i="6" s="1"/>
  <c r="AR299" i="6" s="1"/>
  <c r="P299" i="6"/>
  <c r="O299" i="6"/>
  <c r="BS298" i="6"/>
  <c r="BM298" i="6"/>
  <c r="BL298" i="6"/>
  <c r="BH298" i="6"/>
  <c r="BG298" i="6"/>
  <c r="AQ298" i="6"/>
  <c r="AL298" i="6"/>
  <c r="AN298" i="6" s="1"/>
  <c r="AI298" i="6"/>
  <c r="AG298" i="6"/>
  <c r="P298" i="6"/>
  <c r="O298" i="6"/>
  <c r="BS297" i="6"/>
  <c r="BM297" i="6"/>
  <c r="BL297" i="6"/>
  <c r="BH297" i="6"/>
  <c r="BG297" i="6"/>
  <c r="AT297" i="6"/>
  <c r="AQ297" i="6"/>
  <c r="AN297" i="6"/>
  <c r="AL297" i="6"/>
  <c r="AG297" i="6"/>
  <c r="AI297" i="6" s="1"/>
  <c r="P297" i="6"/>
  <c r="O297" i="6"/>
  <c r="BS296" i="6"/>
  <c r="BM296" i="6"/>
  <c r="BL296" i="6"/>
  <c r="BH296" i="6"/>
  <c r="BG296" i="6"/>
  <c r="AQ296" i="6"/>
  <c r="AL296" i="6"/>
  <c r="AN296" i="6" s="1"/>
  <c r="AI296" i="6"/>
  <c r="AG296" i="6"/>
  <c r="P296" i="6"/>
  <c r="O296" i="6"/>
  <c r="BS295" i="6"/>
  <c r="BM295" i="6"/>
  <c r="BL295" i="6"/>
  <c r="BH295" i="6"/>
  <c r="BG295" i="6"/>
  <c r="AT295" i="6"/>
  <c r="AS295" i="6"/>
  <c r="AQ295" i="6"/>
  <c r="AN295" i="6"/>
  <c r="AL295" i="6"/>
  <c r="AG295" i="6"/>
  <c r="AI295" i="6" s="1"/>
  <c r="AR295" i="6" s="1"/>
  <c r="P295" i="6"/>
  <c r="O295" i="6"/>
  <c r="BS294" i="6"/>
  <c r="BM294" i="6"/>
  <c r="BL294" i="6"/>
  <c r="BH294" i="6"/>
  <c r="BG294" i="6"/>
  <c r="AQ294" i="6"/>
  <c r="AL294" i="6"/>
  <c r="AN294" i="6" s="1"/>
  <c r="AI294" i="6"/>
  <c r="AG294" i="6"/>
  <c r="P294" i="6"/>
  <c r="O294" i="6"/>
  <c r="BS293" i="6"/>
  <c r="BM293" i="6"/>
  <c r="BL293" i="6"/>
  <c r="BH293" i="6"/>
  <c r="BG293" i="6"/>
  <c r="AT293" i="6"/>
  <c r="AQ293" i="6"/>
  <c r="AN293" i="6"/>
  <c r="AL293" i="6"/>
  <c r="AG293" i="6"/>
  <c r="AI293" i="6" s="1"/>
  <c r="P293" i="6"/>
  <c r="O293" i="6"/>
  <c r="BS292" i="6"/>
  <c r="BM292" i="6"/>
  <c r="BL292" i="6"/>
  <c r="BH292" i="6"/>
  <c r="BG292" i="6"/>
  <c r="AQ292" i="6"/>
  <c r="AL292" i="6"/>
  <c r="AN292" i="6" s="1"/>
  <c r="AI292" i="6"/>
  <c r="AG292" i="6"/>
  <c r="P292" i="6"/>
  <c r="O292" i="6"/>
  <c r="BS291" i="6"/>
  <c r="BM291" i="6"/>
  <c r="BL291" i="6"/>
  <c r="BH291" i="6"/>
  <c r="BG291" i="6"/>
  <c r="AT291" i="6"/>
  <c r="AS291" i="6"/>
  <c r="AQ291" i="6"/>
  <c r="AN291" i="6"/>
  <c r="AL291" i="6"/>
  <c r="AG291" i="6"/>
  <c r="AI291" i="6" s="1"/>
  <c r="AR291" i="6" s="1"/>
  <c r="P291" i="6"/>
  <c r="O291" i="6"/>
  <c r="BS290" i="6"/>
  <c r="BM290" i="6"/>
  <c r="BL290" i="6"/>
  <c r="BH290" i="6"/>
  <c r="BG290" i="6"/>
  <c r="AQ290" i="6"/>
  <c r="AL290" i="6"/>
  <c r="AN290" i="6" s="1"/>
  <c r="AI290" i="6"/>
  <c r="AG290" i="6"/>
  <c r="P290" i="6"/>
  <c r="O290" i="6"/>
  <c r="BS289" i="6"/>
  <c r="BM289" i="6"/>
  <c r="BL289" i="6"/>
  <c r="BH289" i="6"/>
  <c r="BG289" i="6"/>
  <c r="AT289" i="6"/>
  <c r="AQ289" i="6"/>
  <c r="AN289" i="6"/>
  <c r="AL289" i="6"/>
  <c r="AG289" i="6"/>
  <c r="AI289" i="6" s="1"/>
  <c r="P289" i="6"/>
  <c r="O289" i="6"/>
  <c r="BS288" i="6"/>
  <c r="BM288" i="6"/>
  <c r="BL288" i="6"/>
  <c r="BH288" i="6"/>
  <c r="BG288" i="6"/>
  <c r="AQ288" i="6"/>
  <c r="AL288" i="6"/>
  <c r="AN288" i="6" s="1"/>
  <c r="AI288" i="6"/>
  <c r="AG288" i="6"/>
  <c r="P288" i="6"/>
  <c r="O288" i="6"/>
  <c r="BS287" i="6"/>
  <c r="BM287" i="6"/>
  <c r="BL287" i="6"/>
  <c r="BH287" i="6"/>
  <c r="BG287" i="6"/>
  <c r="AT287" i="6"/>
  <c r="AS287" i="6"/>
  <c r="AQ287" i="6"/>
  <c r="AN287" i="6"/>
  <c r="AL287" i="6"/>
  <c r="AG287" i="6"/>
  <c r="AI287" i="6" s="1"/>
  <c r="AR287" i="6" s="1"/>
  <c r="P287" i="6"/>
  <c r="O287" i="6"/>
  <c r="BS286" i="6"/>
  <c r="BM286" i="6"/>
  <c r="BL286" i="6"/>
  <c r="BH286" i="6"/>
  <c r="BG286" i="6"/>
  <c r="AQ286" i="6"/>
  <c r="AL286" i="6"/>
  <c r="AN286" i="6" s="1"/>
  <c r="AI286" i="6"/>
  <c r="AG286" i="6"/>
  <c r="P286" i="6"/>
  <c r="O286" i="6"/>
  <c r="BS285" i="6"/>
  <c r="BM285" i="6"/>
  <c r="BL285" i="6"/>
  <c r="BH285" i="6"/>
  <c r="BG285" i="6"/>
  <c r="AT285" i="6"/>
  <c r="AQ285" i="6"/>
  <c r="AN285" i="6"/>
  <c r="AL285" i="6"/>
  <c r="AG285" i="6"/>
  <c r="AI285" i="6" s="1"/>
  <c r="P285" i="6"/>
  <c r="O285" i="6"/>
  <c r="BS284" i="6"/>
  <c r="BM284" i="6"/>
  <c r="BL284" i="6"/>
  <c r="BH284" i="6"/>
  <c r="BG284" i="6"/>
  <c r="AQ284" i="6"/>
  <c r="AL284" i="6"/>
  <c r="AN284" i="6" s="1"/>
  <c r="AI284" i="6"/>
  <c r="AG284" i="6"/>
  <c r="P284" i="6"/>
  <c r="O284" i="6"/>
  <c r="BS283" i="6"/>
  <c r="BM283" i="6"/>
  <c r="BL283" i="6"/>
  <c r="BH283" i="6"/>
  <c r="BG283" i="6"/>
  <c r="AT283" i="6"/>
  <c r="AS283" i="6"/>
  <c r="AQ283" i="6"/>
  <c r="AN283" i="6"/>
  <c r="AL283" i="6"/>
  <c r="AG283" i="6"/>
  <c r="AI283" i="6" s="1"/>
  <c r="AR283" i="6" s="1"/>
  <c r="P283" i="6"/>
  <c r="O283" i="6"/>
  <c r="BS282" i="6"/>
  <c r="BM282" i="6"/>
  <c r="BL282" i="6"/>
  <c r="BH282" i="6"/>
  <c r="BG282" i="6"/>
  <c r="AQ282" i="6"/>
  <c r="AL282" i="6"/>
  <c r="AN282" i="6" s="1"/>
  <c r="AI282" i="6"/>
  <c r="AG282" i="6"/>
  <c r="P282" i="6"/>
  <c r="O282" i="6"/>
  <c r="BS281" i="6"/>
  <c r="BM281" i="6"/>
  <c r="BL281" i="6"/>
  <c r="BH281" i="6"/>
  <c r="BG281" i="6"/>
  <c r="AT281" i="6"/>
  <c r="AQ281" i="6"/>
  <c r="AN281" i="6"/>
  <c r="AL281" i="6"/>
  <c r="AG281" i="6"/>
  <c r="AI281" i="6" s="1"/>
  <c r="P281" i="6"/>
  <c r="O281" i="6"/>
  <c r="BS280" i="6"/>
  <c r="BM280" i="6"/>
  <c r="BL280" i="6"/>
  <c r="BH280" i="6"/>
  <c r="BG280" i="6"/>
  <c r="AQ280" i="6"/>
  <c r="AL280" i="6"/>
  <c r="AN280" i="6" s="1"/>
  <c r="AI280" i="6"/>
  <c r="AG280" i="6"/>
  <c r="P280" i="6"/>
  <c r="O280" i="6"/>
  <c r="BS279" i="6"/>
  <c r="BM279" i="6"/>
  <c r="BL279" i="6"/>
  <c r="BH279" i="6"/>
  <c r="BG279" i="6"/>
  <c r="AT279" i="6"/>
  <c r="AS279" i="6"/>
  <c r="AQ279" i="6"/>
  <c r="AN279" i="6"/>
  <c r="AL279" i="6"/>
  <c r="AG279" i="6"/>
  <c r="AI279" i="6" s="1"/>
  <c r="AR279" i="6" s="1"/>
  <c r="P279" i="6"/>
  <c r="O279" i="6"/>
  <c r="BS278" i="6"/>
  <c r="BM278" i="6"/>
  <c r="BL278" i="6"/>
  <c r="BH278" i="6"/>
  <c r="BG278" i="6"/>
  <c r="AQ278" i="6"/>
  <c r="AL278" i="6"/>
  <c r="AN278" i="6" s="1"/>
  <c r="AI278" i="6"/>
  <c r="AG278" i="6"/>
  <c r="P278" i="6"/>
  <c r="O278" i="6"/>
  <c r="BS277" i="6"/>
  <c r="BM277" i="6"/>
  <c r="BL277" i="6"/>
  <c r="BH277" i="6"/>
  <c r="BG277" i="6"/>
  <c r="AT277" i="6"/>
  <c r="AQ277" i="6"/>
  <c r="AN277" i="6"/>
  <c r="AL277" i="6"/>
  <c r="AG277" i="6"/>
  <c r="AI277" i="6" s="1"/>
  <c r="P277" i="6"/>
  <c r="O277" i="6"/>
  <c r="BS276" i="6"/>
  <c r="BM276" i="6"/>
  <c r="BL276" i="6"/>
  <c r="BH276" i="6"/>
  <c r="BG276" i="6"/>
  <c r="AQ276" i="6"/>
  <c r="AL276" i="6"/>
  <c r="AN276" i="6" s="1"/>
  <c r="AI276" i="6"/>
  <c r="AG276" i="6"/>
  <c r="P276" i="6"/>
  <c r="O276" i="6"/>
  <c r="BS275" i="6"/>
  <c r="BM275" i="6"/>
  <c r="BL275" i="6"/>
  <c r="BH275" i="6"/>
  <c r="BG275" i="6"/>
  <c r="AT275" i="6"/>
  <c r="AS275" i="6"/>
  <c r="AQ275" i="6"/>
  <c r="AN275" i="6"/>
  <c r="AL275" i="6"/>
  <c r="AG275" i="6"/>
  <c r="AI275" i="6" s="1"/>
  <c r="AR275" i="6" s="1"/>
  <c r="P275" i="6"/>
  <c r="O275" i="6"/>
  <c r="BS274" i="6"/>
  <c r="BM274" i="6"/>
  <c r="BL274" i="6"/>
  <c r="BH274" i="6"/>
  <c r="BG274" i="6"/>
  <c r="AQ274" i="6"/>
  <c r="AL274" i="6"/>
  <c r="AN274" i="6" s="1"/>
  <c r="AI274" i="6"/>
  <c r="AG274" i="6"/>
  <c r="P274" i="6"/>
  <c r="O274" i="6"/>
  <c r="BS273" i="6"/>
  <c r="BM273" i="6"/>
  <c r="BL273" i="6"/>
  <c r="BH273" i="6"/>
  <c r="BG273" i="6"/>
  <c r="AT273" i="6"/>
  <c r="AQ273" i="6"/>
  <c r="AN273" i="6"/>
  <c r="AL273" i="6"/>
  <c r="AG273" i="6"/>
  <c r="AI273" i="6" s="1"/>
  <c r="P273" i="6"/>
  <c r="O273" i="6"/>
  <c r="BS272" i="6"/>
  <c r="BM272" i="6"/>
  <c r="BL272" i="6"/>
  <c r="BH272" i="6"/>
  <c r="BG272" i="6"/>
  <c r="AQ272" i="6"/>
  <c r="AL272" i="6"/>
  <c r="AN272" i="6" s="1"/>
  <c r="AI272" i="6"/>
  <c r="AG272" i="6"/>
  <c r="P272" i="6"/>
  <c r="O272" i="6"/>
  <c r="BS271" i="6"/>
  <c r="BM271" i="6"/>
  <c r="BL271" i="6"/>
  <c r="BH271" i="6"/>
  <c r="BG271" i="6"/>
  <c r="AT271" i="6"/>
  <c r="AS271" i="6"/>
  <c r="AQ271" i="6"/>
  <c r="AN271" i="6"/>
  <c r="AL271" i="6"/>
  <c r="AG271" i="6"/>
  <c r="AI271" i="6" s="1"/>
  <c r="AR271" i="6" s="1"/>
  <c r="P271" i="6"/>
  <c r="O271" i="6"/>
  <c r="BS270" i="6"/>
  <c r="BM270" i="6"/>
  <c r="BL270" i="6"/>
  <c r="BH270" i="6"/>
  <c r="BG270" i="6"/>
  <c r="AQ270" i="6"/>
  <c r="AL270" i="6"/>
  <c r="AN270" i="6" s="1"/>
  <c r="AI270" i="6"/>
  <c r="AG270" i="6"/>
  <c r="P270" i="6"/>
  <c r="O270" i="6"/>
  <c r="BS269" i="6"/>
  <c r="BM269" i="6"/>
  <c r="BL269" i="6"/>
  <c r="BH269" i="6"/>
  <c r="BG269" i="6"/>
  <c r="AT269" i="6"/>
  <c r="AQ269" i="6"/>
  <c r="AN269" i="6"/>
  <c r="AL269" i="6"/>
  <c r="AG269" i="6"/>
  <c r="AI269" i="6" s="1"/>
  <c r="P269" i="6"/>
  <c r="O269" i="6"/>
  <c r="BS268" i="6"/>
  <c r="BM268" i="6"/>
  <c r="BL268" i="6"/>
  <c r="BH268" i="6"/>
  <c r="BG268" i="6"/>
  <c r="AQ268" i="6"/>
  <c r="AL268" i="6"/>
  <c r="AN268" i="6" s="1"/>
  <c r="AI268" i="6"/>
  <c r="AG268" i="6"/>
  <c r="P268" i="6"/>
  <c r="O268" i="6"/>
  <c r="BS267" i="6"/>
  <c r="BM267" i="6"/>
  <c r="BL267" i="6"/>
  <c r="BH267" i="6"/>
  <c r="BG267" i="6"/>
  <c r="AT267" i="6"/>
  <c r="AS267" i="6"/>
  <c r="AQ267" i="6"/>
  <c r="AN267" i="6"/>
  <c r="AL267" i="6"/>
  <c r="AG267" i="6"/>
  <c r="AI267" i="6" s="1"/>
  <c r="AR267" i="6" s="1"/>
  <c r="P267" i="6"/>
  <c r="O267" i="6"/>
  <c r="BS266" i="6"/>
  <c r="BM266" i="6"/>
  <c r="BL266" i="6"/>
  <c r="BH266" i="6"/>
  <c r="BG266" i="6"/>
  <c r="AQ266" i="6"/>
  <c r="AL266" i="6"/>
  <c r="AN266" i="6" s="1"/>
  <c r="AI266" i="6"/>
  <c r="AG266" i="6"/>
  <c r="P266" i="6"/>
  <c r="O266" i="6"/>
  <c r="BS265" i="6"/>
  <c r="BM265" i="6"/>
  <c r="BL265" i="6"/>
  <c r="BH265" i="6"/>
  <c r="BG265" i="6"/>
  <c r="AT265" i="6"/>
  <c r="AQ265" i="6"/>
  <c r="AN265" i="6"/>
  <c r="AL265" i="6"/>
  <c r="AG265" i="6"/>
  <c r="AI265" i="6" s="1"/>
  <c r="P265" i="6"/>
  <c r="O265" i="6"/>
  <c r="BS264" i="6"/>
  <c r="BM264" i="6"/>
  <c r="BL264" i="6"/>
  <c r="BH264" i="6"/>
  <c r="BG264" i="6"/>
  <c r="AQ264" i="6"/>
  <c r="AL264" i="6"/>
  <c r="AN264" i="6" s="1"/>
  <c r="AI264" i="6"/>
  <c r="AG264" i="6"/>
  <c r="P264" i="6"/>
  <c r="O264" i="6"/>
  <c r="BS263" i="6"/>
  <c r="BM263" i="6"/>
  <c r="BL263" i="6"/>
  <c r="BH263" i="6"/>
  <c r="BG263" i="6"/>
  <c r="AT263" i="6"/>
  <c r="AS263" i="6"/>
  <c r="AQ263" i="6"/>
  <c r="AN263" i="6"/>
  <c r="AL263" i="6"/>
  <c r="AG263" i="6"/>
  <c r="AI263" i="6" s="1"/>
  <c r="AR263" i="6" s="1"/>
  <c r="P263" i="6"/>
  <c r="O263" i="6"/>
  <c r="BS262" i="6"/>
  <c r="BM262" i="6"/>
  <c r="BL262" i="6"/>
  <c r="BH262" i="6"/>
  <c r="BG262" i="6"/>
  <c r="AQ262" i="6"/>
  <c r="AL262" i="6"/>
  <c r="AN262" i="6" s="1"/>
  <c r="AI262" i="6"/>
  <c r="AG262" i="6"/>
  <c r="P262" i="6"/>
  <c r="O262" i="6"/>
  <c r="BS261" i="6"/>
  <c r="BM261" i="6"/>
  <c r="BL261" i="6"/>
  <c r="BH261" i="6"/>
  <c r="BG261" i="6"/>
  <c r="AT261" i="6"/>
  <c r="AQ261" i="6"/>
  <c r="AN261" i="6"/>
  <c r="AL261" i="6"/>
  <c r="AG261" i="6"/>
  <c r="AI261" i="6" s="1"/>
  <c r="P261" i="6"/>
  <c r="O261" i="6"/>
  <c r="BS260" i="6"/>
  <c r="BM260" i="6"/>
  <c r="BL260" i="6"/>
  <c r="BH260" i="6"/>
  <c r="BG260" i="6"/>
  <c r="AQ260" i="6"/>
  <c r="AL260" i="6"/>
  <c r="AN260" i="6" s="1"/>
  <c r="AI260" i="6"/>
  <c r="AG260" i="6"/>
  <c r="P260" i="6"/>
  <c r="O260" i="6"/>
  <c r="BS259" i="6"/>
  <c r="BM259" i="6"/>
  <c r="BL259" i="6"/>
  <c r="BH259" i="6"/>
  <c r="BG259" i="6"/>
  <c r="AT259" i="6"/>
  <c r="AS259" i="6"/>
  <c r="AQ259" i="6"/>
  <c r="AN259" i="6"/>
  <c r="AL259" i="6"/>
  <c r="AG259" i="6"/>
  <c r="AI259" i="6" s="1"/>
  <c r="AR259" i="6" s="1"/>
  <c r="P259" i="6"/>
  <c r="O259" i="6"/>
  <c r="BS258" i="6"/>
  <c r="BM258" i="6"/>
  <c r="BL258" i="6"/>
  <c r="BH258" i="6"/>
  <c r="BG258" i="6"/>
  <c r="AQ258" i="6"/>
  <c r="AL258" i="6"/>
  <c r="AN258" i="6" s="1"/>
  <c r="AI258" i="6"/>
  <c r="AG258" i="6"/>
  <c r="P258" i="6"/>
  <c r="O258" i="6"/>
  <c r="BS257" i="6"/>
  <c r="BM257" i="6"/>
  <c r="BL257" i="6"/>
  <c r="BH257" i="6"/>
  <c r="BG257" i="6"/>
  <c r="AT257" i="6"/>
  <c r="AQ257" i="6"/>
  <c r="AN257" i="6"/>
  <c r="AL257" i="6"/>
  <c r="AG257" i="6"/>
  <c r="AI257" i="6" s="1"/>
  <c r="P257" i="6"/>
  <c r="O257" i="6"/>
  <c r="BS256" i="6"/>
  <c r="BM256" i="6"/>
  <c r="BL256" i="6"/>
  <c r="BH256" i="6"/>
  <c r="BG256" i="6"/>
  <c r="AQ256" i="6"/>
  <c r="AN256" i="6"/>
  <c r="AL256" i="6"/>
  <c r="AG256" i="6"/>
  <c r="P256" i="6"/>
  <c r="O256" i="6"/>
  <c r="BS255" i="6"/>
  <c r="BM255" i="6"/>
  <c r="BL255" i="6"/>
  <c r="BH255" i="6"/>
  <c r="BG255" i="6"/>
  <c r="AT255" i="6"/>
  <c r="AQ255" i="6"/>
  <c r="AN255" i="6"/>
  <c r="AL255" i="6"/>
  <c r="AG255" i="6"/>
  <c r="AI255" i="6" s="1"/>
  <c r="AS255" i="6" s="1"/>
  <c r="P255" i="6"/>
  <c r="O255" i="6"/>
  <c r="BS254" i="6"/>
  <c r="BM254" i="6"/>
  <c r="BL254" i="6"/>
  <c r="BH254" i="6"/>
  <c r="BG254" i="6"/>
  <c r="AQ254" i="6"/>
  <c r="AN254" i="6"/>
  <c r="AL254" i="6"/>
  <c r="AG254" i="6"/>
  <c r="P254" i="6"/>
  <c r="O254" i="6"/>
  <c r="BS253" i="6"/>
  <c r="BM253" i="6"/>
  <c r="BL253" i="6"/>
  <c r="BH253" i="6"/>
  <c r="BG253" i="6"/>
  <c r="AT253" i="6"/>
  <c r="AS253" i="6"/>
  <c r="AR253" i="6"/>
  <c r="AQ253" i="6"/>
  <c r="AN253" i="6"/>
  <c r="AL253" i="6"/>
  <c r="AG253" i="6"/>
  <c r="AI253" i="6" s="1"/>
  <c r="P253" i="6"/>
  <c r="O253" i="6"/>
  <c r="BS252" i="6"/>
  <c r="BM252" i="6"/>
  <c r="BL252" i="6"/>
  <c r="BH252" i="6"/>
  <c r="BG252" i="6"/>
  <c r="AQ252" i="6"/>
  <c r="AL252" i="6"/>
  <c r="AN252" i="6" s="1"/>
  <c r="AG252" i="6"/>
  <c r="AT252" i="6" s="1"/>
  <c r="P252" i="6"/>
  <c r="O252" i="6"/>
  <c r="BS251" i="6"/>
  <c r="BM251" i="6"/>
  <c r="BL251" i="6"/>
  <c r="BH251" i="6"/>
  <c r="BG251" i="6"/>
  <c r="AT251" i="6"/>
  <c r="AQ251" i="6"/>
  <c r="AN251" i="6"/>
  <c r="AL251" i="6"/>
  <c r="AG251" i="6"/>
  <c r="AI251" i="6" s="1"/>
  <c r="P251" i="6"/>
  <c r="O251" i="6"/>
  <c r="BS250" i="6"/>
  <c r="BM250" i="6"/>
  <c r="BL250" i="6"/>
  <c r="BH250" i="6"/>
  <c r="BG250" i="6"/>
  <c r="AQ250" i="6"/>
  <c r="AL250" i="6"/>
  <c r="AN250" i="6" s="1"/>
  <c r="AG250" i="6"/>
  <c r="P250" i="6"/>
  <c r="O250" i="6"/>
  <c r="BS249" i="6"/>
  <c r="BM249" i="6"/>
  <c r="BL249" i="6"/>
  <c r="BH249" i="6"/>
  <c r="BG249" i="6"/>
  <c r="AT249" i="6"/>
  <c r="AS249" i="6"/>
  <c r="AR249" i="6"/>
  <c r="AQ249" i="6"/>
  <c r="AN249" i="6"/>
  <c r="AL249" i="6"/>
  <c r="AG249" i="6"/>
  <c r="AI249" i="6" s="1"/>
  <c r="P249" i="6"/>
  <c r="O249" i="6"/>
  <c r="BS248" i="6"/>
  <c r="BM248" i="6"/>
  <c r="BL248" i="6"/>
  <c r="BH248" i="6"/>
  <c r="BG248" i="6"/>
  <c r="AQ248" i="6"/>
  <c r="AL248" i="6"/>
  <c r="AN248" i="6" s="1"/>
  <c r="AI248" i="6"/>
  <c r="AG248" i="6"/>
  <c r="P248" i="6"/>
  <c r="O248" i="6"/>
  <c r="BS247" i="6"/>
  <c r="BM247" i="6"/>
  <c r="BL247" i="6"/>
  <c r="BH247" i="6"/>
  <c r="BG247" i="6"/>
  <c r="AT247" i="6"/>
  <c r="AQ247" i="6"/>
  <c r="AN247" i="6"/>
  <c r="AL247" i="6"/>
  <c r="AG247" i="6"/>
  <c r="AI247" i="6" s="1"/>
  <c r="P247" i="6"/>
  <c r="O247" i="6"/>
  <c r="BS246" i="6"/>
  <c r="BM246" i="6"/>
  <c r="BL246" i="6"/>
  <c r="BH246" i="6"/>
  <c r="BG246" i="6"/>
  <c r="AQ246" i="6"/>
  <c r="AN246" i="6"/>
  <c r="AL246" i="6"/>
  <c r="AG246" i="6"/>
  <c r="P246" i="6"/>
  <c r="O246" i="6"/>
  <c r="BS245" i="6"/>
  <c r="BM245" i="6"/>
  <c r="BL245" i="6"/>
  <c r="BH245" i="6"/>
  <c r="BG245" i="6"/>
  <c r="AT245" i="6"/>
  <c r="AQ245" i="6"/>
  <c r="AN245" i="6"/>
  <c r="AL245" i="6"/>
  <c r="AG245" i="6"/>
  <c r="AI245" i="6" s="1"/>
  <c r="AS245" i="6" s="1"/>
  <c r="P245" i="6"/>
  <c r="O245" i="6"/>
  <c r="BS244" i="6"/>
  <c r="BM244" i="6"/>
  <c r="BL244" i="6"/>
  <c r="BH244" i="6"/>
  <c r="BG244" i="6"/>
  <c r="AQ244" i="6"/>
  <c r="AN244" i="6"/>
  <c r="AL244" i="6"/>
  <c r="AG244" i="6"/>
  <c r="P244" i="6"/>
  <c r="O244" i="6"/>
  <c r="BS243" i="6"/>
  <c r="BM243" i="6"/>
  <c r="BL243" i="6"/>
  <c r="BH243" i="6"/>
  <c r="BG243" i="6"/>
  <c r="AT243" i="6"/>
  <c r="AQ243" i="6"/>
  <c r="AN243" i="6"/>
  <c r="AR243" i="6" s="1"/>
  <c r="AL243" i="6"/>
  <c r="AG243" i="6"/>
  <c r="AI243" i="6" s="1"/>
  <c r="AS243" i="6" s="1"/>
  <c r="P243" i="6"/>
  <c r="O243" i="6"/>
  <c r="BS242" i="6"/>
  <c r="BM242" i="6"/>
  <c r="BL242" i="6"/>
  <c r="BH242" i="6"/>
  <c r="BG242" i="6"/>
  <c r="AQ242" i="6"/>
  <c r="AL242" i="6"/>
  <c r="AN242" i="6" s="1"/>
  <c r="AG242" i="6"/>
  <c r="AT242" i="6" s="1"/>
  <c r="P242" i="6"/>
  <c r="O242" i="6"/>
  <c r="BS241" i="6"/>
  <c r="BM241" i="6"/>
  <c r="BL241" i="6"/>
  <c r="BH241" i="6"/>
  <c r="BG241" i="6"/>
  <c r="AT241" i="6"/>
  <c r="AQ241" i="6"/>
  <c r="AN241" i="6"/>
  <c r="AL241" i="6"/>
  <c r="AG241" i="6"/>
  <c r="AI241" i="6" s="1"/>
  <c r="P241" i="6"/>
  <c r="O241" i="6"/>
  <c r="BS240" i="6"/>
  <c r="BM240" i="6"/>
  <c r="BL240" i="6"/>
  <c r="BH240" i="6"/>
  <c r="BG240" i="6"/>
  <c r="AQ240" i="6"/>
  <c r="AL240" i="6"/>
  <c r="AN240" i="6" s="1"/>
  <c r="AI240" i="6"/>
  <c r="AG240" i="6"/>
  <c r="P240" i="6"/>
  <c r="O240" i="6"/>
  <c r="BS239" i="6"/>
  <c r="BM239" i="6"/>
  <c r="BL239" i="6"/>
  <c r="BH239" i="6"/>
  <c r="BG239" i="6"/>
  <c r="AT239" i="6"/>
  <c r="AS239" i="6"/>
  <c r="AR239" i="6"/>
  <c r="AQ239" i="6"/>
  <c r="AN239" i="6"/>
  <c r="AL239" i="6"/>
  <c r="AG239" i="6"/>
  <c r="AI239" i="6" s="1"/>
  <c r="P239" i="6"/>
  <c r="O239" i="6"/>
  <c r="BS238" i="6"/>
  <c r="BM238" i="6"/>
  <c r="BL238" i="6"/>
  <c r="BH238" i="6"/>
  <c r="BG238" i="6"/>
  <c r="AQ238" i="6"/>
  <c r="AL238" i="6"/>
  <c r="AN238" i="6" s="1"/>
  <c r="AI238" i="6"/>
  <c r="AG238" i="6"/>
  <c r="P238" i="6"/>
  <c r="O238" i="6"/>
  <c r="BS237" i="6"/>
  <c r="BM237" i="6"/>
  <c r="BL237" i="6"/>
  <c r="BH237" i="6"/>
  <c r="BG237" i="6"/>
  <c r="AT237" i="6"/>
  <c r="AQ237" i="6"/>
  <c r="AN237" i="6"/>
  <c r="AL237" i="6"/>
  <c r="AG237" i="6"/>
  <c r="AI237" i="6" s="1"/>
  <c r="P237" i="6"/>
  <c r="O237" i="6"/>
  <c r="BS236" i="6"/>
  <c r="BM236" i="6"/>
  <c r="BL236" i="6"/>
  <c r="BH236" i="6"/>
  <c r="BG236" i="6"/>
  <c r="AQ236" i="6"/>
  <c r="AN236" i="6"/>
  <c r="AL236" i="6"/>
  <c r="AG236" i="6"/>
  <c r="P236" i="6"/>
  <c r="O236" i="6"/>
  <c r="BS235" i="6"/>
  <c r="BM235" i="6"/>
  <c r="BL235" i="6"/>
  <c r="BH235" i="6"/>
  <c r="BG235" i="6"/>
  <c r="AT235" i="6"/>
  <c r="AQ235" i="6"/>
  <c r="AN235" i="6"/>
  <c r="AL235" i="6"/>
  <c r="AG235" i="6"/>
  <c r="AI235" i="6" s="1"/>
  <c r="AS235" i="6" s="1"/>
  <c r="P235" i="6"/>
  <c r="O235" i="6"/>
  <c r="BS234" i="6"/>
  <c r="BM234" i="6"/>
  <c r="BL234" i="6"/>
  <c r="BH234" i="6"/>
  <c r="BG234" i="6"/>
  <c r="AQ234" i="6"/>
  <c r="AN234" i="6"/>
  <c r="AL234" i="6"/>
  <c r="AG234" i="6"/>
  <c r="P234" i="6"/>
  <c r="O234" i="6"/>
  <c r="BS233" i="6"/>
  <c r="BM233" i="6"/>
  <c r="BL233" i="6"/>
  <c r="BH233" i="6"/>
  <c r="BG233" i="6"/>
  <c r="AR233" i="6"/>
  <c r="AQ233" i="6"/>
  <c r="AT233" i="6" s="1"/>
  <c r="AN233" i="6"/>
  <c r="AL233" i="6"/>
  <c r="AG233" i="6"/>
  <c r="AI233" i="6" s="1"/>
  <c r="P233" i="6"/>
  <c r="O233" i="6"/>
  <c r="BS232" i="6"/>
  <c r="BM232" i="6"/>
  <c r="BL232" i="6"/>
  <c r="BH232" i="6"/>
  <c r="BG232" i="6"/>
  <c r="AQ232" i="6"/>
  <c r="AL232" i="6"/>
  <c r="AN232" i="6" s="1"/>
  <c r="AG232" i="6"/>
  <c r="AT232" i="6" s="1"/>
  <c r="P232" i="6"/>
  <c r="O232" i="6"/>
  <c r="BS231" i="6"/>
  <c r="BM231" i="6"/>
  <c r="BL231" i="6"/>
  <c r="BH231" i="6"/>
  <c r="BG231" i="6"/>
  <c r="AQ231" i="6"/>
  <c r="AT231" i="6" s="1"/>
  <c r="AN231" i="6"/>
  <c r="AL231" i="6"/>
  <c r="AG231" i="6"/>
  <c r="AI231" i="6" s="1"/>
  <c r="P231" i="6"/>
  <c r="O231" i="6"/>
  <c r="BS230" i="6"/>
  <c r="BM230" i="6"/>
  <c r="BL230" i="6"/>
  <c r="BH230" i="6"/>
  <c r="BG230" i="6"/>
  <c r="AQ230" i="6"/>
  <c r="AL230" i="6"/>
  <c r="AN230" i="6" s="1"/>
  <c r="AG230" i="6"/>
  <c r="AT230" i="6" s="1"/>
  <c r="P230" i="6"/>
  <c r="O230" i="6"/>
  <c r="BS229" i="6"/>
  <c r="BM229" i="6"/>
  <c r="BL229" i="6"/>
  <c r="BH229" i="6"/>
  <c r="BG229" i="6"/>
  <c r="AT229" i="6"/>
  <c r="AS229" i="6"/>
  <c r="AR229" i="6"/>
  <c r="AQ229" i="6"/>
  <c r="AN229" i="6"/>
  <c r="AL229" i="6"/>
  <c r="AG229" i="6"/>
  <c r="AI229" i="6" s="1"/>
  <c r="P229" i="6"/>
  <c r="O229" i="6"/>
  <c r="BS228" i="6"/>
  <c r="BM228" i="6"/>
  <c r="BL228" i="6"/>
  <c r="BH228" i="6"/>
  <c r="BG228" i="6"/>
  <c r="AQ228" i="6"/>
  <c r="AL228" i="6"/>
  <c r="AN228" i="6" s="1"/>
  <c r="AI228" i="6"/>
  <c r="AG228" i="6"/>
  <c r="P228" i="6"/>
  <c r="O228" i="6"/>
  <c r="BS227" i="6"/>
  <c r="BM227" i="6"/>
  <c r="BL227" i="6"/>
  <c r="BH227" i="6"/>
  <c r="BG227" i="6"/>
  <c r="AT227" i="6"/>
  <c r="AQ227" i="6"/>
  <c r="AN227" i="6"/>
  <c r="AL227" i="6"/>
  <c r="AG227" i="6"/>
  <c r="AI227" i="6" s="1"/>
  <c r="P227" i="6"/>
  <c r="O227" i="6"/>
  <c r="BS226" i="6"/>
  <c r="BM226" i="6"/>
  <c r="BL226" i="6"/>
  <c r="BH226" i="6"/>
  <c r="BG226" i="6"/>
  <c r="AQ226" i="6"/>
  <c r="AN226" i="6"/>
  <c r="AL226" i="6"/>
  <c r="AG226" i="6"/>
  <c r="P226" i="6"/>
  <c r="O226" i="6"/>
  <c r="BS225" i="6"/>
  <c r="BM225" i="6"/>
  <c r="BL225" i="6"/>
  <c r="BH225" i="6"/>
  <c r="BG225" i="6"/>
  <c r="AT225" i="6"/>
  <c r="AQ225" i="6"/>
  <c r="AN225" i="6"/>
  <c r="AL225" i="6"/>
  <c r="AG225" i="6"/>
  <c r="AI225" i="6" s="1"/>
  <c r="AS225" i="6" s="1"/>
  <c r="P225" i="6"/>
  <c r="O225" i="6"/>
  <c r="BS224" i="6"/>
  <c r="BM224" i="6"/>
  <c r="BL224" i="6"/>
  <c r="BH224" i="6"/>
  <c r="BG224" i="6"/>
  <c r="AQ224" i="6"/>
  <c r="AN224" i="6"/>
  <c r="AL224" i="6"/>
  <c r="AG224" i="6"/>
  <c r="P224" i="6"/>
  <c r="O224" i="6"/>
  <c r="BS223" i="6"/>
  <c r="BM223" i="6"/>
  <c r="BL223" i="6"/>
  <c r="BH223" i="6"/>
  <c r="BG223" i="6"/>
  <c r="AQ223" i="6"/>
  <c r="AT223" i="6" s="1"/>
  <c r="AN223" i="6"/>
  <c r="AR223" i="6" s="1"/>
  <c r="AL223" i="6"/>
  <c r="AG223" i="6"/>
  <c r="AI223" i="6" s="1"/>
  <c r="P223" i="6"/>
  <c r="O223" i="6"/>
  <c r="BS222" i="6"/>
  <c r="BM222" i="6"/>
  <c r="BL222" i="6"/>
  <c r="BH222" i="6"/>
  <c r="BG222" i="6"/>
  <c r="AQ222" i="6"/>
  <c r="AL222" i="6"/>
  <c r="AN222" i="6" s="1"/>
  <c r="AG222" i="6"/>
  <c r="AT222" i="6" s="1"/>
  <c r="P222" i="6"/>
  <c r="O222" i="6"/>
  <c r="BS221" i="6"/>
  <c r="BM221" i="6"/>
  <c r="BL221" i="6"/>
  <c r="BH221" i="6"/>
  <c r="BG221" i="6"/>
  <c r="AQ221" i="6"/>
  <c r="AT221" i="6" s="1"/>
  <c r="AN221" i="6"/>
  <c r="AL221" i="6"/>
  <c r="AG221" i="6"/>
  <c r="AI221" i="6" s="1"/>
  <c r="P221" i="6"/>
  <c r="O221" i="6"/>
  <c r="BS220" i="6"/>
  <c r="BM220" i="6"/>
  <c r="BL220" i="6"/>
  <c r="BH220" i="6"/>
  <c r="BG220" i="6"/>
  <c r="AQ220" i="6"/>
  <c r="AL220" i="6"/>
  <c r="AN220" i="6" s="1"/>
  <c r="AI220" i="6"/>
  <c r="AG220" i="6"/>
  <c r="P220" i="6"/>
  <c r="O220" i="6"/>
  <c r="BS219" i="6"/>
  <c r="BM219" i="6"/>
  <c r="BL219" i="6"/>
  <c r="BH219" i="6"/>
  <c r="BG219" i="6"/>
  <c r="AT219" i="6"/>
  <c r="AS219" i="6"/>
  <c r="AR219" i="6"/>
  <c r="AQ219" i="6"/>
  <c r="AN219" i="6"/>
  <c r="AL219" i="6"/>
  <c r="AG219" i="6"/>
  <c r="AI219" i="6" s="1"/>
  <c r="P219" i="6"/>
  <c r="O219" i="6"/>
  <c r="BS218" i="6"/>
  <c r="BM218" i="6"/>
  <c r="BL218" i="6"/>
  <c r="BH218" i="6"/>
  <c r="BG218" i="6"/>
  <c r="AQ218" i="6"/>
  <c r="AL218" i="6"/>
  <c r="AN218" i="6" s="1"/>
  <c r="AI218" i="6"/>
  <c r="AG218" i="6"/>
  <c r="P218" i="6"/>
  <c r="O218" i="6"/>
  <c r="BS217" i="6"/>
  <c r="BM217" i="6"/>
  <c r="BL217" i="6"/>
  <c r="BH217" i="6"/>
  <c r="BG217" i="6"/>
  <c r="AT217" i="6"/>
  <c r="AQ217" i="6"/>
  <c r="AN217" i="6"/>
  <c r="AL217" i="6"/>
  <c r="AG217" i="6"/>
  <c r="AI217" i="6" s="1"/>
  <c r="P217" i="6"/>
  <c r="O217" i="6"/>
  <c r="BS216" i="6"/>
  <c r="BM216" i="6"/>
  <c r="BL216" i="6"/>
  <c r="BH216" i="6"/>
  <c r="BG216" i="6"/>
  <c r="AQ216" i="6"/>
  <c r="AN216" i="6"/>
  <c r="AL216" i="6"/>
  <c r="AG216" i="6"/>
  <c r="P216" i="6"/>
  <c r="O216" i="6"/>
  <c r="BS215" i="6"/>
  <c r="BM215" i="6"/>
  <c r="BL215" i="6"/>
  <c r="BH215" i="6"/>
  <c r="BG215" i="6"/>
  <c r="AT215" i="6"/>
  <c r="AQ215" i="6"/>
  <c r="AN215" i="6"/>
  <c r="AL215" i="6"/>
  <c r="AG215" i="6"/>
  <c r="AI215" i="6" s="1"/>
  <c r="AS215" i="6" s="1"/>
  <c r="P215" i="6"/>
  <c r="O215" i="6"/>
  <c r="BS214" i="6"/>
  <c r="BM214" i="6"/>
  <c r="BL214" i="6"/>
  <c r="BH214" i="6"/>
  <c r="BG214" i="6"/>
  <c r="AQ214" i="6"/>
  <c r="AN214" i="6"/>
  <c r="AL214" i="6"/>
  <c r="AG214" i="6"/>
  <c r="P214" i="6"/>
  <c r="O214" i="6"/>
  <c r="BS213" i="6"/>
  <c r="BM213" i="6"/>
  <c r="BL213" i="6"/>
  <c r="BH213" i="6"/>
  <c r="BG213" i="6"/>
  <c r="AR213" i="6"/>
  <c r="AQ213" i="6"/>
  <c r="AT213" i="6" s="1"/>
  <c r="AN213" i="6"/>
  <c r="AL213" i="6"/>
  <c r="AG213" i="6"/>
  <c r="AI213" i="6" s="1"/>
  <c r="P213" i="6"/>
  <c r="O213" i="6"/>
  <c r="BS212" i="6"/>
  <c r="BM212" i="6"/>
  <c r="BL212" i="6"/>
  <c r="BH212" i="6"/>
  <c r="BG212" i="6"/>
  <c r="AQ212" i="6"/>
  <c r="AL212" i="6"/>
  <c r="AN212" i="6" s="1"/>
  <c r="AG212" i="6"/>
  <c r="AT212" i="6" s="1"/>
  <c r="P212" i="6"/>
  <c r="O212" i="6"/>
  <c r="BS211" i="6"/>
  <c r="BM211" i="6"/>
  <c r="BL211" i="6"/>
  <c r="BH211" i="6"/>
  <c r="BG211" i="6"/>
  <c r="AQ211" i="6"/>
  <c r="AT211" i="6" s="1"/>
  <c r="AN211" i="6"/>
  <c r="AL211" i="6"/>
  <c r="AG211" i="6"/>
  <c r="AI211" i="6" s="1"/>
  <c r="P211" i="6"/>
  <c r="O211" i="6"/>
  <c r="BS210" i="6"/>
  <c r="BM210" i="6"/>
  <c r="BL210" i="6"/>
  <c r="BH210" i="6"/>
  <c r="BG210" i="6"/>
  <c r="AQ210" i="6"/>
  <c r="AL210" i="6"/>
  <c r="AN210" i="6" s="1"/>
  <c r="AG210" i="6"/>
  <c r="AT210" i="6" s="1"/>
  <c r="P210" i="6"/>
  <c r="O210" i="6"/>
  <c r="BS209" i="6"/>
  <c r="BM209" i="6"/>
  <c r="BL209" i="6"/>
  <c r="BH209" i="6"/>
  <c r="BG209" i="6"/>
  <c r="AT209" i="6"/>
  <c r="AS209" i="6"/>
  <c r="AR209" i="6"/>
  <c r="AQ209" i="6"/>
  <c r="AN209" i="6"/>
  <c r="AL209" i="6"/>
  <c r="AG209" i="6"/>
  <c r="AI209" i="6" s="1"/>
  <c r="P209" i="6"/>
  <c r="O209" i="6"/>
  <c r="BS208" i="6"/>
  <c r="BM208" i="6"/>
  <c r="BL208" i="6"/>
  <c r="BH208" i="6"/>
  <c r="BG208" i="6"/>
  <c r="AQ208" i="6"/>
  <c r="AL208" i="6"/>
  <c r="AN208" i="6" s="1"/>
  <c r="AI208" i="6"/>
  <c r="AG208" i="6"/>
  <c r="P208" i="6"/>
  <c r="O208" i="6"/>
  <c r="BS207" i="6"/>
  <c r="BM207" i="6"/>
  <c r="BL207" i="6"/>
  <c r="BH207" i="6"/>
  <c r="BG207" i="6"/>
  <c r="AT207" i="6"/>
  <c r="AQ207" i="6"/>
  <c r="AN207" i="6"/>
  <c r="AL207" i="6"/>
  <c r="AG207" i="6"/>
  <c r="AI207" i="6" s="1"/>
  <c r="P207" i="6"/>
  <c r="O207" i="6"/>
  <c r="BS206" i="6"/>
  <c r="BM206" i="6"/>
  <c r="BL206" i="6"/>
  <c r="BH206" i="6"/>
  <c r="BG206" i="6"/>
  <c r="AQ206" i="6"/>
  <c r="AN206" i="6"/>
  <c r="AL206" i="6"/>
  <c r="AG206" i="6"/>
  <c r="P206" i="6"/>
  <c r="O206" i="6"/>
  <c r="BS205" i="6"/>
  <c r="BM205" i="6"/>
  <c r="BL205" i="6"/>
  <c r="BH205" i="6"/>
  <c r="BG205" i="6"/>
  <c r="AT205" i="6"/>
  <c r="AQ205" i="6"/>
  <c r="AN205" i="6"/>
  <c r="AL205" i="6"/>
  <c r="AG205" i="6"/>
  <c r="AI205" i="6" s="1"/>
  <c r="AS205" i="6" s="1"/>
  <c r="P205" i="6"/>
  <c r="O205" i="6"/>
  <c r="BS204" i="6"/>
  <c r="BM204" i="6"/>
  <c r="BL204" i="6"/>
  <c r="BH204" i="6"/>
  <c r="BG204" i="6"/>
  <c r="AQ204" i="6"/>
  <c r="AN204" i="6"/>
  <c r="AL204" i="6"/>
  <c r="AG204" i="6"/>
  <c r="P204" i="6"/>
  <c r="O204" i="6"/>
  <c r="BS203" i="6"/>
  <c r="BM203" i="6"/>
  <c r="BL203" i="6"/>
  <c r="BH203" i="6"/>
  <c r="BG203" i="6"/>
  <c r="AQ203" i="6"/>
  <c r="AT203" i="6" s="1"/>
  <c r="AN203" i="6"/>
  <c r="AR203" i="6" s="1"/>
  <c r="AL203" i="6"/>
  <c r="AG203" i="6"/>
  <c r="AI203" i="6" s="1"/>
  <c r="P203" i="6"/>
  <c r="O203" i="6"/>
  <c r="BS202" i="6"/>
  <c r="BM202" i="6"/>
  <c r="BL202" i="6"/>
  <c r="BH202" i="6"/>
  <c r="BG202" i="6"/>
  <c r="AQ202" i="6"/>
  <c r="AL202" i="6"/>
  <c r="AN202" i="6" s="1"/>
  <c r="AG202" i="6"/>
  <c r="AT202" i="6" s="1"/>
  <c r="P202" i="6"/>
  <c r="O202" i="6"/>
  <c r="BS201" i="6"/>
  <c r="BM201" i="6"/>
  <c r="BL201" i="6"/>
  <c r="BH201" i="6"/>
  <c r="BG201" i="6"/>
  <c r="AQ201" i="6"/>
  <c r="AT201" i="6" s="1"/>
  <c r="AN201" i="6"/>
  <c r="AL201" i="6"/>
  <c r="AG201" i="6"/>
  <c r="AI201" i="6" s="1"/>
  <c r="P201" i="6"/>
  <c r="O201" i="6"/>
  <c r="BS200" i="6"/>
  <c r="BM200" i="6"/>
  <c r="BL200" i="6"/>
  <c r="BH200" i="6"/>
  <c r="BG200" i="6"/>
  <c r="AQ200" i="6"/>
  <c r="AL200" i="6"/>
  <c r="AN200" i="6" s="1"/>
  <c r="AI200" i="6"/>
  <c r="AG200" i="6"/>
  <c r="P200" i="6"/>
  <c r="O200" i="6"/>
  <c r="BS199" i="6"/>
  <c r="BM199" i="6"/>
  <c r="BL199" i="6"/>
  <c r="BH199" i="6"/>
  <c r="BG199" i="6"/>
  <c r="AT199" i="6"/>
  <c r="AS199" i="6"/>
  <c r="AR199" i="6"/>
  <c r="AQ199" i="6"/>
  <c r="AN199" i="6"/>
  <c r="AL199" i="6"/>
  <c r="AG199" i="6"/>
  <c r="AI199" i="6" s="1"/>
  <c r="P199" i="6"/>
  <c r="O199" i="6"/>
  <c r="BS198" i="6"/>
  <c r="BM198" i="6"/>
  <c r="BL198" i="6"/>
  <c r="BH198" i="6"/>
  <c r="BG198" i="6"/>
  <c r="AQ198" i="6"/>
  <c r="AL198" i="6"/>
  <c r="AN198" i="6" s="1"/>
  <c r="AI198" i="6"/>
  <c r="AG198" i="6"/>
  <c r="P198" i="6"/>
  <c r="O198" i="6"/>
  <c r="BS197" i="6"/>
  <c r="BM197" i="6"/>
  <c r="BL197" i="6"/>
  <c r="BH197" i="6"/>
  <c r="BG197" i="6"/>
  <c r="AT197" i="6"/>
  <c r="AQ197" i="6"/>
  <c r="AN197" i="6"/>
  <c r="AL197" i="6"/>
  <c r="AG197" i="6"/>
  <c r="AI197" i="6" s="1"/>
  <c r="P197" i="6"/>
  <c r="O197" i="6"/>
  <c r="BS196" i="6"/>
  <c r="BM196" i="6"/>
  <c r="BL196" i="6"/>
  <c r="BH196" i="6"/>
  <c r="BG196" i="6"/>
  <c r="AQ196" i="6"/>
  <c r="AN196" i="6"/>
  <c r="AL196" i="6"/>
  <c r="AG196" i="6"/>
  <c r="P196" i="6"/>
  <c r="O196" i="6"/>
  <c r="BS195" i="6"/>
  <c r="BM195" i="6"/>
  <c r="BL195" i="6"/>
  <c r="BH195" i="6"/>
  <c r="BG195" i="6"/>
  <c r="AT195" i="6"/>
  <c r="AQ195" i="6"/>
  <c r="AN195" i="6"/>
  <c r="AL195" i="6"/>
  <c r="AG195" i="6"/>
  <c r="AI195" i="6" s="1"/>
  <c r="AS195" i="6" s="1"/>
  <c r="P195" i="6"/>
  <c r="O195" i="6"/>
  <c r="BS194" i="6"/>
  <c r="BM194" i="6"/>
  <c r="BL194" i="6"/>
  <c r="BH194" i="6"/>
  <c r="BG194" i="6"/>
  <c r="AQ194" i="6"/>
  <c r="AN194" i="6"/>
  <c r="AL194" i="6"/>
  <c r="AG194" i="6"/>
  <c r="P194" i="6"/>
  <c r="O194" i="6"/>
  <c r="BS193" i="6"/>
  <c r="BM193" i="6"/>
  <c r="BL193" i="6"/>
  <c r="BH193" i="6"/>
  <c r="BG193" i="6"/>
  <c r="AR193" i="6"/>
  <c r="AQ193" i="6"/>
  <c r="AT193" i="6" s="1"/>
  <c r="AN193" i="6"/>
  <c r="AL193" i="6"/>
  <c r="AG193" i="6"/>
  <c r="AI193" i="6" s="1"/>
  <c r="P193" i="6"/>
  <c r="O193" i="6"/>
  <c r="BS192" i="6"/>
  <c r="BM192" i="6"/>
  <c r="BL192" i="6"/>
  <c r="BH192" i="6"/>
  <c r="BG192" i="6"/>
  <c r="AR192" i="6"/>
  <c r="AQ192" i="6"/>
  <c r="AN192" i="6"/>
  <c r="AL192" i="6"/>
  <c r="AI192" i="6"/>
  <c r="AS192" i="6" s="1"/>
  <c r="AG192" i="6"/>
  <c r="AT192" i="6" s="1"/>
  <c r="P192" i="6"/>
  <c r="O192" i="6"/>
  <c r="BS191" i="6"/>
  <c r="BM191" i="6"/>
  <c r="BL191" i="6"/>
  <c r="BH191" i="6"/>
  <c r="BG191" i="6"/>
  <c r="AQ191" i="6"/>
  <c r="AN191" i="6"/>
  <c r="AL191" i="6"/>
  <c r="AG191" i="6"/>
  <c r="P191" i="6"/>
  <c r="O191" i="6"/>
  <c r="BS190" i="6"/>
  <c r="BM190" i="6"/>
  <c r="BL190" i="6"/>
  <c r="BH190" i="6"/>
  <c r="BG190" i="6"/>
  <c r="AQ190" i="6"/>
  <c r="AN190" i="6"/>
  <c r="AL190" i="6"/>
  <c r="AG190" i="6"/>
  <c r="P190" i="6"/>
  <c r="O190" i="6"/>
  <c r="BS189" i="6"/>
  <c r="BM189" i="6"/>
  <c r="BL189" i="6"/>
  <c r="BH189" i="6"/>
  <c r="BG189" i="6"/>
  <c r="AT189" i="6"/>
  <c r="AQ189" i="6"/>
  <c r="AN189" i="6"/>
  <c r="AL189" i="6"/>
  <c r="AG189" i="6"/>
  <c r="AI189" i="6" s="1"/>
  <c r="AS189" i="6" s="1"/>
  <c r="P189" i="6"/>
  <c r="O189" i="6"/>
  <c r="BS188" i="6"/>
  <c r="BM188" i="6"/>
  <c r="BL188" i="6"/>
  <c r="BH188" i="6"/>
  <c r="BG188" i="6"/>
  <c r="AQ188" i="6"/>
  <c r="AN188" i="6"/>
  <c r="AL188" i="6"/>
  <c r="AI188" i="6"/>
  <c r="AG188" i="6"/>
  <c r="AT188" i="6" s="1"/>
  <c r="P188" i="6"/>
  <c r="O188" i="6"/>
  <c r="BS187" i="6"/>
  <c r="BM187" i="6"/>
  <c r="BL187" i="6"/>
  <c r="BH187" i="6"/>
  <c r="BG187" i="6"/>
  <c r="AS187" i="6"/>
  <c r="AR187" i="6"/>
  <c r="AQ187" i="6"/>
  <c r="AN187" i="6"/>
  <c r="AL187" i="6"/>
  <c r="AG187" i="6"/>
  <c r="AI187" i="6" s="1"/>
  <c r="P187" i="6"/>
  <c r="O187" i="6"/>
  <c r="BS186" i="6"/>
  <c r="BM186" i="6"/>
  <c r="BL186" i="6"/>
  <c r="BH186" i="6"/>
  <c r="BG186" i="6"/>
  <c r="AQ186" i="6"/>
  <c r="AL186" i="6"/>
  <c r="AN186" i="6" s="1"/>
  <c r="AI186" i="6"/>
  <c r="AG186" i="6"/>
  <c r="P186" i="6"/>
  <c r="O186" i="6"/>
  <c r="BS185" i="6"/>
  <c r="BM185" i="6"/>
  <c r="BL185" i="6"/>
  <c r="BH185" i="6"/>
  <c r="BG185" i="6"/>
  <c r="AQ185" i="6"/>
  <c r="AN185" i="6"/>
  <c r="AL185" i="6"/>
  <c r="AG185" i="6"/>
  <c r="P185" i="6"/>
  <c r="O185" i="6"/>
  <c r="BS184" i="6"/>
  <c r="BM184" i="6"/>
  <c r="BL184" i="6"/>
  <c r="BH184" i="6"/>
  <c r="BG184" i="6"/>
  <c r="AQ184" i="6"/>
  <c r="AN184" i="6"/>
  <c r="AR184" i="6" s="1"/>
  <c r="AL184" i="6"/>
  <c r="AI184" i="6"/>
  <c r="AG184" i="6"/>
  <c r="AT184" i="6" s="1"/>
  <c r="P184" i="6"/>
  <c r="O184" i="6"/>
  <c r="BS183" i="6"/>
  <c r="BM183" i="6"/>
  <c r="BL183" i="6"/>
  <c r="BH183" i="6"/>
  <c r="BG183" i="6"/>
  <c r="AQ183" i="6"/>
  <c r="AN183" i="6"/>
  <c r="AS183" i="6" s="1"/>
  <c r="AL183" i="6"/>
  <c r="AG183" i="6"/>
  <c r="AI183" i="6" s="1"/>
  <c r="AR183" i="6" s="1"/>
  <c r="P183" i="6"/>
  <c r="O183" i="6"/>
  <c r="BS182" i="6"/>
  <c r="BM182" i="6"/>
  <c r="BL182" i="6"/>
  <c r="BH182" i="6"/>
  <c r="BG182" i="6"/>
  <c r="AQ182" i="6"/>
  <c r="AL182" i="6"/>
  <c r="AN182" i="6" s="1"/>
  <c r="AI182" i="6"/>
  <c r="AG182" i="6"/>
  <c r="AT182" i="6" s="1"/>
  <c r="P182" i="6"/>
  <c r="O182" i="6"/>
  <c r="BS181" i="6"/>
  <c r="BM181" i="6"/>
  <c r="BL181" i="6"/>
  <c r="BH181" i="6"/>
  <c r="BG181" i="6"/>
  <c r="AT181" i="6"/>
  <c r="AS181" i="6"/>
  <c r="AR181" i="6"/>
  <c r="AQ181" i="6"/>
  <c r="AN181" i="6"/>
  <c r="AL181" i="6"/>
  <c r="AG181" i="6"/>
  <c r="AI181" i="6" s="1"/>
  <c r="P181" i="6"/>
  <c r="O181" i="6"/>
  <c r="BS180" i="6"/>
  <c r="BM180" i="6"/>
  <c r="BL180" i="6"/>
  <c r="BH180" i="6"/>
  <c r="BG180" i="6"/>
  <c r="AQ180" i="6"/>
  <c r="AN180" i="6"/>
  <c r="AL180" i="6"/>
  <c r="AI180" i="6"/>
  <c r="AG180" i="6"/>
  <c r="P180" i="6"/>
  <c r="O180" i="6"/>
  <c r="BS179" i="6"/>
  <c r="BM179" i="6"/>
  <c r="BL179" i="6"/>
  <c r="BH179" i="6"/>
  <c r="BG179" i="6"/>
  <c r="AQ179" i="6"/>
  <c r="AT179" i="6" s="1"/>
  <c r="AN179" i="6"/>
  <c r="AL179" i="6"/>
  <c r="AG179" i="6"/>
  <c r="AI179" i="6" s="1"/>
  <c r="P179" i="6"/>
  <c r="O179" i="6"/>
  <c r="BS178" i="6"/>
  <c r="BM178" i="6"/>
  <c r="BL178" i="6"/>
  <c r="BH178" i="6"/>
  <c r="BG178" i="6"/>
  <c r="AQ178" i="6"/>
  <c r="AL178" i="6"/>
  <c r="AN178" i="6" s="1"/>
  <c r="AG178" i="6"/>
  <c r="AT178" i="6" s="1"/>
  <c r="P178" i="6"/>
  <c r="O178" i="6"/>
  <c r="BS177" i="6"/>
  <c r="BM177" i="6"/>
  <c r="BL177" i="6"/>
  <c r="BH177" i="6"/>
  <c r="BG177" i="6"/>
  <c r="AQ177" i="6"/>
  <c r="AN177" i="6"/>
  <c r="AL177" i="6"/>
  <c r="AG177" i="6"/>
  <c r="P177" i="6"/>
  <c r="O177" i="6"/>
  <c r="BS176" i="6"/>
  <c r="BM176" i="6"/>
  <c r="BL176" i="6"/>
  <c r="BH176" i="6"/>
  <c r="BG176" i="6"/>
  <c r="AQ176" i="6"/>
  <c r="AL176" i="6"/>
  <c r="AN176" i="6" s="1"/>
  <c r="AI176" i="6"/>
  <c r="AG176" i="6"/>
  <c r="P176" i="6"/>
  <c r="O176" i="6"/>
  <c r="BS175" i="6"/>
  <c r="BM175" i="6"/>
  <c r="BL175" i="6"/>
  <c r="BH175" i="6"/>
  <c r="BG175" i="6"/>
  <c r="AT175" i="6"/>
  <c r="AS175" i="6"/>
  <c r="AQ175" i="6"/>
  <c r="AN175" i="6"/>
  <c r="AL175" i="6"/>
  <c r="AG175" i="6"/>
  <c r="AI175" i="6" s="1"/>
  <c r="AR175" i="6" s="1"/>
  <c r="P175" i="6"/>
  <c r="O175" i="6"/>
  <c r="BS174" i="6"/>
  <c r="BM174" i="6"/>
  <c r="BL174" i="6"/>
  <c r="BH174" i="6"/>
  <c r="BG174" i="6"/>
  <c r="AQ174" i="6"/>
  <c r="AN174" i="6"/>
  <c r="AL174" i="6"/>
  <c r="AG174" i="6"/>
  <c r="P174" i="6"/>
  <c r="O174" i="6"/>
  <c r="BS173" i="6"/>
  <c r="BM173" i="6"/>
  <c r="BL173" i="6"/>
  <c r="BH173" i="6"/>
  <c r="BG173" i="6"/>
  <c r="AQ173" i="6"/>
  <c r="AT173" i="6" s="1"/>
  <c r="AN173" i="6"/>
  <c r="AL173" i="6"/>
  <c r="AG173" i="6"/>
  <c r="AI173" i="6" s="1"/>
  <c r="AS173" i="6" s="1"/>
  <c r="P173" i="6"/>
  <c r="O173" i="6"/>
  <c r="BS172" i="6"/>
  <c r="BM172" i="6"/>
  <c r="BL172" i="6"/>
  <c r="BH172" i="6"/>
  <c r="BG172" i="6"/>
  <c r="AR172" i="6"/>
  <c r="AQ172" i="6"/>
  <c r="AN172" i="6"/>
  <c r="AL172" i="6"/>
  <c r="AI172" i="6"/>
  <c r="AS172" i="6" s="1"/>
  <c r="AG172" i="6"/>
  <c r="AT172" i="6" s="1"/>
  <c r="P172" i="6"/>
  <c r="O172" i="6"/>
  <c r="BS171" i="6"/>
  <c r="BM171" i="6"/>
  <c r="BL171" i="6"/>
  <c r="BH171" i="6"/>
  <c r="BG171" i="6"/>
  <c r="AQ171" i="6"/>
  <c r="AN171" i="6"/>
  <c r="AL171" i="6"/>
  <c r="AG171" i="6"/>
  <c r="P171" i="6"/>
  <c r="O171" i="6"/>
  <c r="BS170" i="6"/>
  <c r="BM170" i="6"/>
  <c r="BL170" i="6"/>
  <c r="BH170" i="6"/>
  <c r="BG170" i="6"/>
  <c r="AQ170" i="6"/>
  <c r="AN170" i="6"/>
  <c r="AL170" i="6"/>
  <c r="AG170" i="6"/>
  <c r="P170" i="6"/>
  <c r="O170" i="6"/>
  <c r="BS169" i="6"/>
  <c r="BM169" i="6"/>
  <c r="BL169" i="6"/>
  <c r="BH169" i="6"/>
  <c r="BG169" i="6"/>
  <c r="AT169" i="6"/>
  <c r="AQ169" i="6"/>
  <c r="AN169" i="6"/>
  <c r="AL169" i="6"/>
  <c r="AG169" i="6"/>
  <c r="AI169" i="6" s="1"/>
  <c r="AS169" i="6" s="1"/>
  <c r="P169" i="6"/>
  <c r="O169" i="6"/>
  <c r="BS168" i="6"/>
  <c r="BM168" i="6"/>
  <c r="BL168" i="6"/>
  <c r="BH168" i="6"/>
  <c r="BG168" i="6"/>
  <c r="AQ168" i="6"/>
  <c r="AN168" i="6"/>
  <c r="AL168" i="6"/>
  <c r="AG168" i="6"/>
  <c r="AT168" i="6" s="1"/>
  <c r="P168" i="6"/>
  <c r="O168" i="6"/>
  <c r="BS167" i="6"/>
  <c r="BM167" i="6"/>
  <c r="BL167" i="6"/>
  <c r="BH167" i="6"/>
  <c r="BG167" i="6"/>
  <c r="AS167" i="6"/>
  <c r="AQ167" i="6"/>
  <c r="AR167" i="6" s="1"/>
  <c r="AN167" i="6"/>
  <c r="AL167" i="6"/>
  <c r="AG167" i="6"/>
  <c r="AI167" i="6" s="1"/>
  <c r="P167" i="6"/>
  <c r="O167" i="6"/>
  <c r="BS166" i="6"/>
  <c r="BM166" i="6"/>
  <c r="BL166" i="6"/>
  <c r="BH166" i="6"/>
  <c r="BG166" i="6"/>
  <c r="AQ166" i="6"/>
  <c r="AL166" i="6"/>
  <c r="AN166" i="6" s="1"/>
  <c r="AI166" i="6"/>
  <c r="AG166" i="6"/>
  <c r="P166" i="6"/>
  <c r="O166" i="6"/>
  <c r="BS165" i="6"/>
  <c r="BM165" i="6"/>
  <c r="BL165" i="6"/>
  <c r="BH165" i="6"/>
  <c r="BG165" i="6"/>
  <c r="AQ165" i="6"/>
  <c r="AN165" i="6"/>
  <c r="AL165" i="6"/>
  <c r="AG165" i="6"/>
  <c r="P165" i="6"/>
  <c r="O165" i="6"/>
  <c r="BS164" i="6"/>
  <c r="BM164" i="6"/>
  <c r="BL164" i="6"/>
  <c r="BH164" i="6"/>
  <c r="BG164" i="6"/>
  <c r="AQ164" i="6"/>
  <c r="AN164" i="6"/>
  <c r="AL164" i="6"/>
  <c r="AG164" i="6"/>
  <c r="P164" i="6"/>
  <c r="O164" i="6"/>
  <c r="BS163" i="6"/>
  <c r="BM163" i="6"/>
  <c r="BL163" i="6"/>
  <c r="BH163" i="6"/>
  <c r="BG163" i="6"/>
  <c r="AQ163" i="6"/>
  <c r="AN163" i="6"/>
  <c r="AS163" i="6" s="1"/>
  <c r="AL163" i="6"/>
  <c r="AG163" i="6"/>
  <c r="AI163" i="6" s="1"/>
  <c r="P163" i="6"/>
  <c r="O163" i="6"/>
  <c r="BS162" i="6"/>
  <c r="BM162" i="6"/>
  <c r="BL162" i="6"/>
  <c r="BH162" i="6"/>
  <c r="BG162" i="6"/>
  <c r="AQ162" i="6"/>
  <c r="AL162" i="6"/>
  <c r="AN162" i="6" s="1"/>
  <c r="AI162" i="6"/>
  <c r="AG162" i="6"/>
  <c r="AT162" i="6" s="1"/>
  <c r="P162" i="6"/>
  <c r="O162" i="6"/>
  <c r="BS161" i="6"/>
  <c r="BM161" i="6"/>
  <c r="BL161" i="6"/>
  <c r="BH161" i="6"/>
  <c r="BG161" i="6"/>
  <c r="AT161" i="6"/>
  <c r="AS161" i="6"/>
  <c r="AR161" i="6"/>
  <c r="AQ161" i="6"/>
  <c r="AN161" i="6"/>
  <c r="AL161" i="6"/>
  <c r="AG161" i="6"/>
  <c r="AI161" i="6" s="1"/>
  <c r="P161" i="6"/>
  <c r="O161" i="6"/>
  <c r="BS160" i="6"/>
  <c r="BM160" i="6"/>
  <c r="BL160" i="6"/>
  <c r="BH160" i="6"/>
  <c r="BG160" i="6"/>
  <c r="AQ160" i="6"/>
  <c r="AN160" i="6"/>
  <c r="AL160" i="6"/>
  <c r="AI160" i="6"/>
  <c r="AG160" i="6"/>
  <c r="P160" i="6"/>
  <c r="O160" i="6"/>
  <c r="BS159" i="6"/>
  <c r="BM159" i="6"/>
  <c r="BL159" i="6"/>
  <c r="BH159" i="6"/>
  <c r="BG159" i="6"/>
  <c r="AQ159" i="6"/>
  <c r="AT159" i="6" s="1"/>
  <c r="AN159" i="6"/>
  <c r="AL159" i="6"/>
  <c r="AG159" i="6"/>
  <c r="AI159" i="6" s="1"/>
  <c r="P159" i="6"/>
  <c r="O159" i="6"/>
  <c r="BS158" i="6"/>
  <c r="BM158" i="6"/>
  <c r="BL158" i="6"/>
  <c r="BH158" i="6"/>
  <c r="BG158" i="6"/>
  <c r="AQ158" i="6"/>
  <c r="AL158" i="6"/>
  <c r="AN158" i="6" s="1"/>
  <c r="AG158" i="6"/>
  <c r="P158" i="6"/>
  <c r="O158" i="6"/>
  <c r="BS157" i="6"/>
  <c r="BM157" i="6"/>
  <c r="BL157" i="6"/>
  <c r="BH157" i="6"/>
  <c r="BG157" i="6"/>
  <c r="AQ157" i="6"/>
  <c r="AN157" i="6"/>
  <c r="AL157" i="6"/>
  <c r="AG157" i="6"/>
  <c r="P157" i="6"/>
  <c r="O157" i="6"/>
  <c r="BS156" i="6"/>
  <c r="BM156" i="6"/>
  <c r="BL156" i="6"/>
  <c r="BH156" i="6"/>
  <c r="BG156" i="6"/>
  <c r="AQ156" i="6"/>
  <c r="AL156" i="6"/>
  <c r="AN156" i="6" s="1"/>
  <c r="AI156" i="6"/>
  <c r="AG156" i="6"/>
  <c r="P156" i="6"/>
  <c r="O156" i="6"/>
  <c r="BS155" i="6"/>
  <c r="BM155" i="6"/>
  <c r="BL155" i="6"/>
  <c r="BH155" i="6"/>
  <c r="BG155" i="6"/>
  <c r="AT155" i="6"/>
  <c r="AS155" i="6"/>
  <c r="AQ155" i="6"/>
  <c r="AN155" i="6"/>
  <c r="AL155" i="6"/>
  <c r="AG155" i="6"/>
  <c r="AI155" i="6" s="1"/>
  <c r="AR155" i="6" s="1"/>
  <c r="P155" i="6"/>
  <c r="O155" i="6"/>
  <c r="BS154" i="6"/>
  <c r="BM154" i="6"/>
  <c r="BL154" i="6"/>
  <c r="BH154" i="6"/>
  <c r="BG154" i="6"/>
  <c r="AQ154" i="6"/>
  <c r="AN154" i="6"/>
  <c r="AL154" i="6"/>
  <c r="AG154" i="6"/>
  <c r="P154" i="6"/>
  <c r="O154" i="6"/>
  <c r="BS153" i="6"/>
  <c r="BM153" i="6"/>
  <c r="BL153" i="6"/>
  <c r="BH153" i="6"/>
  <c r="BG153" i="6"/>
  <c r="AQ153" i="6"/>
  <c r="AT153" i="6" s="1"/>
  <c r="AN153" i="6"/>
  <c r="AR153" i="6" s="1"/>
  <c r="AL153" i="6"/>
  <c r="AG153" i="6"/>
  <c r="AI153" i="6" s="1"/>
  <c r="P153" i="6"/>
  <c r="O153" i="6"/>
  <c r="BS152" i="6"/>
  <c r="BM152" i="6"/>
  <c r="BL152" i="6"/>
  <c r="BH152" i="6"/>
  <c r="BG152" i="6"/>
  <c r="AR152" i="6"/>
  <c r="AQ152" i="6"/>
  <c r="AL152" i="6"/>
  <c r="AN152" i="6" s="1"/>
  <c r="AI152" i="6"/>
  <c r="AG152" i="6"/>
  <c r="AT152" i="6" s="1"/>
  <c r="P152" i="6"/>
  <c r="O152" i="6"/>
  <c r="BS151" i="6"/>
  <c r="BM151" i="6"/>
  <c r="BL151" i="6"/>
  <c r="BH151" i="6"/>
  <c r="BG151" i="6"/>
  <c r="AQ151" i="6"/>
  <c r="AN151" i="6"/>
  <c r="AL151" i="6"/>
  <c r="AG151" i="6"/>
  <c r="P151" i="6"/>
  <c r="O151" i="6"/>
  <c r="BS150" i="6"/>
  <c r="BM150" i="6"/>
  <c r="BL150" i="6"/>
  <c r="BH150" i="6"/>
  <c r="BG150" i="6"/>
  <c r="AQ150" i="6"/>
  <c r="AN150" i="6"/>
  <c r="AL150" i="6"/>
  <c r="AG150" i="6"/>
  <c r="P150" i="6"/>
  <c r="O150" i="6"/>
  <c r="BS149" i="6"/>
  <c r="BM149" i="6"/>
  <c r="BL149" i="6"/>
  <c r="BH149" i="6"/>
  <c r="BG149" i="6"/>
  <c r="AT149" i="6"/>
  <c r="AQ149" i="6"/>
  <c r="AN149" i="6"/>
  <c r="AL149" i="6"/>
  <c r="AG149" i="6"/>
  <c r="AI149" i="6" s="1"/>
  <c r="AS149" i="6" s="1"/>
  <c r="P149" i="6"/>
  <c r="O149" i="6"/>
  <c r="BS148" i="6"/>
  <c r="BM148" i="6"/>
  <c r="BL148" i="6"/>
  <c r="BH148" i="6"/>
  <c r="BG148" i="6"/>
  <c r="AQ148" i="6"/>
  <c r="AN148" i="6"/>
  <c r="AL148" i="6"/>
  <c r="AI148" i="6"/>
  <c r="AG148" i="6"/>
  <c r="AT148" i="6" s="1"/>
  <c r="P148" i="6"/>
  <c r="O148" i="6"/>
  <c r="BS147" i="6"/>
  <c r="BM147" i="6"/>
  <c r="BL147" i="6"/>
  <c r="BH147" i="6"/>
  <c r="BG147" i="6"/>
  <c r="AS147" i="6"/>
  <c r="AR147" i="6"/>
  <c r="AQ147" i="6"/>
  <c r="AN147" i="6"/>
  <c r="AL147" i="6"/>
  <c r="AG147" i="6"/>
  <c r="AI147" i="6" s="1"/>
  <c r="P147" i="6"/>
  <c r="O147" i="6"/>
  <c r="BS146" i="6"/>
  <c r="BM146" i="6"/>
  <c r="BL146" i="6"/>
  <c r="BH146" i="6"/>
  <c r="BG146" i="6"/>
  <c r="AQ146" i="6"/>
  <c r="AL146" i="6"/>
  <c r="AN146" i="6" s="1"/>
  <c r="AI146" i="6"/>
  <c r="AG146" i="6"/>
  <c r="P146" i="6"/>
  <c r="O146" i="6"/>
  <c r="BS145" i="6"/>
  <c r="BM145" i="6"/>
  <c r="BL145" i="6"/>
  <c r="BH145" i="6"/>
  <c r="BG145" i="6"/>
  <c r="AQ145" i="6"/>
  <c r="AN145" i="6"/>
  <c r="AL145" i="6"/>
  <c r="AG145" i="6"/>
  <c r="P145" i="6"/>
  <c r="O145" i="6"/>
  <c r="BS144" i="6"/>
  <c r="BM144" i="6"/>
  <c r="BL144" i="6"/>
  <c r="BH144" i="6"/>
  <c r="BG144" i="6"/>
  <c r="AQ144" i="6"/>
  <c r="AN144" i="6"/>
  <c r="AL144" i="6"/>
  <c r="AG144" i="6"/>
  <c r="P144" i="6"/>
  <c r="O144" i="6"/>
  <c r="BS143" i="6"/>
  <c r="BM143" i="6"/>
  <c r="BL143" i="6"/>
  <c r="BH143" i="6"/>
  <c r="BG143" i="6"/>
  <c r="AQ143" i="6"/>
  <c r="AN143" i="6"/>
  <c r="AS143" i="6" s="1"/>
  <c r="AL143" i="6"/>
  <c r="AG143" i="6"/>
  <c r="AI143" i="6" s="1"/>
  <c r="P143" i="6"/>
  <c r="O143" i="6"/>
  <c r="BS142" i="6"/>
  <c r="BM142" i="6"/>
  <c r="BL142" i="6"/>
  <c r="BH142" i="6"/>
  <c r="BG142" i="6"/>
  <c r="AQ142" i="6"/>
  <c r="AL142" i="6"/>
  <c r="AN142" i="6" s="1"/>
  <c r="AG142" i="6"/>
  <c r="P142" i="6"/>
  <c r="O142" i="6"/>
  <c r="BS141" i="6"/>
  <c r="BM141" i="6"/>
  <c r="BL141" i="6"/>
  <c r="BH141" i="6"/>
  <c r="BG141" i="6"/>
  <c r="AT141" i="6"/>
  <c r="AS141" i="6"/>
  <c r="AR141" i="6"/>
  <c r="AQ141" i="6"/>
  <c r="AN141" i="6"/>
  <c r="AL141" i="6"/>
  <c r="AG141" i="6"/>
  <c r="AI141" i="6" s="1"/>
  <c r="P141" i="6"/>
  <c r="O141" i="6"/>
  <c r="BS140" i="6"/>
  <c r="BM140" i="6"/>
  <c r="BL140" i="6"/>
  <c r="BH140" i="6"/>
  <c r="BG140" i="6"/>
  <c r="AQ140" i="6"/>
  <c r="AN140" i="6"/>
  <c r="AL140" i="6"/>
  <c r="AI140" i="6"/>
  <c r="AG140" i="6"/>
  <c r="P140" i="6"/>
  <c r="O140" i="6"/>
  <c r="BS139" i="6"/>
  <c r="BM139" i="6"/>
  <c r="BL139" i="6"/>
  <c r="BH139" i="6"/>
  <c r="BG139" i="6"/>
  <c r="AQ139" i="6"/>
  <c r="AT139" i="6" s="1"/>
  <c r="AN139" i="6"/>
  <c r="AL139" i="6"/>
  <c r="AG139" i="6"/>
  <c r="AI139" i="6" s="1"/>
  <c r="P139" i="6"/>
  <c r="O139" i="6"/>
  <c r="BS138" i="6"/>
  <c r="BM138" i="6"/>
  <c r="BL138" i="6"/>
  <c r="BH138" i="6"/>
  <c r="BG138" i="6"/>
  <c r="AQ138" i="6"/>
  <c r="AL138" i="6"/>
  <c r="AN138" i="6" s="1"/>
  <c r="AG138" i="6"/>
  <c r="P138" i="6"/>
  <c r="O138" i="6"/>
  <c r="BS137" i="6"/>
  <c r="BM137" i="6"/>
  <c r="BL137" i="6"/>
  <c r="BH137" i="6"/>
  <c r="BG137" i="6"/>
  <c r="AQ137" i="6"/>
  <c r="AN137" i="6"/>
  <c r="AL137" i="6"/>
  <c r="AG137" i="6"/>
  <c r="P137" i="6"/>
  <c r="O137" i="6"/>
  <c r="BS136" i="6"/>
  <c r="BM136" i="6"/>
  <c r="BL136" i="6"/>
  <c r="BH136" i="6"/>
  <c r="BG136" i="6"/>
  <c r="AQ136" i="6"/>
  <c r="AN136" i="6"/>
  <c r="AL136" i="6"/>
  <c r="AI136" i="6"/>
  <c r="AG136" i="6"/>
  <c r="P136" i="6"/>
  <c r="O136" i="6"/>
  <c r="BS135" i="6"/>
  <c r="BM135" i="6"/>
  <c r="BL135" i="6"/>
  <c r="BH135" i="6"/>
  <c r="BG135" i="6"/>
  <c r="AT135" i="6"/>
  <c r="AS135" i="6"/>
  <c r="AQ135" i="6"/>
  <c r="AN135" i="6"/>
  <c r="AL135" i="6"/>
  <c r="AG135" i="6"/>
  <c r="AI135" i="6" s="1"/>
  <c r="AR135" i="6" s="1"/>
  <c r="P135" i="6"/>
  <c r="O135" i="6"/>
  <c r="BS134" i="6"/>
  <c r="BM134" i="6"/>
  <c r="BL134" i="6"/>
  <c r="BH134" i="6"/>
  <c r="BG134" i="6"/>
  <c r="AQ134" i="6"/>
  <c r="AN134" i="6"/>
  <c r="AL134" i="6"/>
  <c r="AG134" i="6"/>
  <c r="P134" i="6"/>
  <c r="O134" i="6"/>
  <c r="BS133" i="6"/>
  <c r="BM133" i="6"/>
  <c r="BL133" i="6"/>
  <c r="BH133" i="6"/>
  <c r="BG133" i="6"/>
  <c r="AQ133" i="6"/>
  <c r="AT133" i="6" s="1"/>
  <c r="AN133" i="6"/>
  <c r="AR133" i="6" s="1"/>
  <c r="AL133" i="6"/>
  <c r="AG133" i="6"/>
  <c r="AI133" i="6" s="1"/>
  <c r="P133" i="6"/>
  <c r="O133" i="6"/>
  <c r="BS132" i="6"/>
  <c r="BM132" i="6"/>
  <c r="BL132" i="6"/>
  <c r="BH132" i="6"/>
  <c r="BG132" i="6"/>
  <c r="AR132" i="6"/>
  <c r="AQ132" i="6"/>
  <c r="AL132" i="6"/>
  <c r="AN132" i="6" s="1"/>
  <c r="AI132" i="6"/>
  <c r="AG132" i="6"/>
  <c r="AT132" i="6" s="1"/>
  <c r="P132" i="6"/>
  <c r="O132" i="6"/>
  <c r="BS131" i="6"/>
  <c r="BM131" i="6"/>
  <c r="BL131" i="6"/>
  <c r="BH131" i="6"/>
  <c r="BG131" i="6"/>
  <c r="AQ131" i="6"/>
  <c r="AN131" i="6"/>
  <c r="AL131" i="6"/>
  <c r="AG131" i="6"/>
  <c r="P131" i="6"/>
  <c r="O131" i="6"/>
  <c r="BS130" i="6"/>
  <c r="BM130" i="6"/>
  <c r="BL130" i="6"/>
  <c r="BH130" i="6"/>
  <c r="BG130" i="6"/>
  <c r="AQ130" i="6"/>
  <c r="AL130" i="6"/>
  <c r="AN130" i="6" s="1"/>
  <c r="AG130" i="6"/>
  <c r="P130" i="6"/>
  <c r="O130" i="6"/>
  <c r="BS129" i="6"/>
  <c r="BM129" i="6"/>
  <c r="BL129" i="6"/>
  <c r="BH129" i="6"/>
  <c r="BG129" i="6"/>
  <c r="AT129" i="6"/>
  <c r="AQ129" i="6"/>
  <c r="AN129" i="6"/>
  <c r="AL129" i="6"/>
  <c r="AG129" i="6"/>
  <c r="AI129" i="6" s="1"/>
  <c r="AS129" i="6" s="1"/>
  <c r="P129" i="6"/>
  <c r="O129" i="6"/>
  <c r="BS128" i="6"/>
  <c r="BM128" i="6"/>
  <c r="BL128" i="6"/>
  <c r="BH128" i="6"/>
  <c r="BG128" i="6"/>
  <c r="AQ128" i="6"/>
  <c r="AN128" i="6"/>
  <c r="AL128" i="6"/>
  <c r="AI128" i="6"/>
  <c r="AG128" i="6"/>
  <c r="AT128" i="6" s="1"/>
  <c r="P128" i="6"/>
  <c r="O128" i="6"/>
  <c r="BS127" i="6"/>
  <c r="BM127" i="6"/>
  <c r="BL127" i="6"/>
  <c r="BH127" i="6"/>
  <c r="BG127" i="6"/>
  <c r="AS127" i="6"/>
  <c r="AR127" i="6"/>
  <c r="AQ127" i="6"/>
  <c r="AN127" i="6"/>
  <c r="AL127" i="6"/>
  <c r="AG127" i="6"/>
  <c r="AI127" i="6" s="1"/>
  <c r="P127" i="6"/>
  <c r="O127" i="6"/>
  <c r="BS126" i="6"/>
  <c r="BM126" i="6"/>
  <c r="BL126" i="6"/>
  <c r="BH126" i="6"/>
  <c r="BG126" i="6"/>
  <c r="AQ126" i="6"/>
  <c r="AL126" i="6"/>
  <c r="AN126" i="6" s="1"/>
  <c r="AI126" i="6"/>
  <c r="AG126" i="6"/>
  <c r="P126" i="6"/>
  <c r="O126" i="6"/>
  <c r="BS125" i="6"/>
  <c r="BM125" i="6"/>
  <c r="BL125" i="6"/>
  <c r="BH125" i="6"/>
  <c r="BG125" i="6"/>
  <c r="AT125" i="6"/>
  <c r="AQ125" i="6"/>
  <c r="AN125" i="6"/>
  <c r="AL125" i="6"/>
  <c r="AG125" i="6"/>
  <c r="AI125" i="6" s="1"/>
  <c r="P125" i="6"/>
  <c r="O125" i="6"/>
  <c r="BS124" i="6"/>
  <c r="BM124" i="6"/>
  <c r="BL124" i="6"/>
  <c r="BH124" i="6"/>
  <c r="BG124" i="6"/>
  <c r="AQ124" i="6"/>
  <c r="AN124" i="6"/>
  <c r="AL124" i="6"/>
  <c r="AG124" i="6"/>
  <c r="P124" i="6"/>
  <c r="O124" i="6"/>
  <c r="BS123" i="6"/>
  <c r="BM123" i="6"/>
  <c r="BL123" i="6"/>
  <c r="BH123" i="6"/>
  <c r="BG123" i="6"/>
  <c r="AQ123" i="6"/>
  <c r="AN123" i="6"/>
  <c r="AS123" i="6" s="1"/>
  <c r="AL123" i="6"/>
  <c r="AG123" i="6"/>
  <c r="AI123" i="6" s="1"/>
  <c r="P123" i="6"/>
  <c r="O123" i="6"/>
  <c r="BS122" i="6"/>
  <c r="BM122" i="6"/>
  <c r="BL122" i="6"/>
  <c r="BH122" i="6"/>
  <c r="BG122" i="6"/>
  <c r="AQ122" i="6"/>
  <c r="AL122" i="6"/>
  <c r="AN122" i="6" s="1"/>
  <c r="AI122" i="6"/>
  <c r="AG122" i="6"/>
  <c r="AT122" i="6" s="1"/>
  <c r="P122" i="6"/>
  <c r="O122" i="6"/>
  <c r="BS121" i="6"/>
  <c r="BM121" i="6"/>
  <c r="BL121" i="6"/>
  <c r="BH121" i="6"/>
  <c r="BG121" i="6"/>
  <c r="AS121" i="6"/>
  <c r="AR121" i="6"/>
  <c r="AQ121" i="6"/>
  <c r="AN121" i="6"/>
  <c r="AL121" i="6"/>
  <c r="AG121" i="6"/>
  <c r="AI121" i="6" s="1"/>
  <c r="P121" i="6"/>
  <c r="O121" i="6"/>
  <c r="BS120" i="6"/>
  <c r="BM120" i="6"/>
  <c r="BL120" i="6"/>
  <c r="BH120" i="6"/>
  <c r="BG120" i="6"/>
  <c r="AQ120" i="6"/>
  <c r="AN120" i="6"/>
  <c r="AL120" i="6"/>
  <c r="AI120" i="6"/>
  <c r="AG120" i="6"/>
  <c r="P120" i="6"/>
  <c r="O120" i="6"/>
  <c r="BS119" i="6"/>
  <c r="BM119" i="6"/>
  <c r="BL119" i="6"/>
  <c r="BH119" i="6"/>
  <c r="BG119" i="6"/>
  <c r="AQ119" i="6"/>
  <c r="AT119" i="6" s="1"/>
  <c r="AN119" i="6"/>
  <c r="AL119" i="6"/>
  <c r="AG119" i="6"/>
  <c r="AI119" i="6" s="1"/>
  <c r="P119" i="6"/>
  <c r="O119" i="6"/>
  <c r="BS118" i="6"/>
  <c r="BM118" i="6"/>
  <c r="BL118" i="6"/>
  <c r="BH118" i="6"/>
  <c r="BG118" i="6"/>
  <c r="AQ118" i="6"/>
  <c r="AL118" i="6"/>
  <c r="AN118" i="6" s="1"/>
  <c r="AG118" i="6"/>
  <c r="P118" i="6"/>
  <c r="O118" i="6"/>
  <c r="BS117" i="6"/>
  <c r="BM117" i="6"/>
  <c r="BL117" i="6"/>
  <c r="BH117" i="6"/>
  <c r="BG117" i="6"/>
  <c r="AQ117" i="6"/>
  <c r="AN117" i="6"/>
  <c r="AL117" i="6"/>
  <c r="AG117" i="6"/>
  <c r="P117" i="6"/>
  <c r="O117" i="6"/>
  <c r="BS116" i="6"/>
  <c r="BM116" i="6"/>
  <c r="BL116" i="6"/>
  <c r="BH116" i="6"/>
  <c r="BG116" i="6"/>
  <c r="AQ116" i="6"/>
  <c r="AN116" i="6"/>
  <c r="AL116" i="6"/>
  <c r="AI116" i="6"/>
  <c r="AG116" i="6"/>
  <c r="P116" i="6"/>
  <c r="O116" i="6"/>
  <c r="BS115" i="6"/>
  <c r="BM115" i="6"/>
  <c r="BL115" i="6"/>
  <c r="BH115" i="6"/>
  <c r="BG115" i="6"/>
  <c r="AT115" i="6"/>
  <c r="AS115" i="6"/>
  <c r="AQ115" i="6"/>
  <c r="AN115" i="6"/>
  <c r="AL115" i="6"/>
  <c r="AG115" i="6"/>
  <c r="AI115" i="6" s="1"/>
  <c r="AR115" i="6" s="1"/>
  <c r="P115" i="6"/>
  <c r="O115" i="6"/>
  <c r="BS114" i="6"/>
  <c r="BM114" i="6"/>
  <c r="BL114" i="6"/>
  <c r="BH114" i="6"/>
  <c r="BG114" i="6"/>
  <c r="AQ114" i="6"/>
  <c r="AN114" i="6"/>
  <c r="AL114" i="6"/>
  <c r="AG114" i="6"/>
  <c r="P114" i="6"/>
  <c r="O114" i="6"/>
  <c r="BS113" i="6"/>
  <c r="BM113" i="6"/>
  <c r="BL113" i="6"/>
  <c r="BH113" i="6"/>
  <c r="BG113" i="6"/>
  <c r="AR113" i="6"/>
  <c r="AQ113" i="6"/>
  <c r="AT113" i="6" s="1"/>
  <c r="AN113" i="6"/>
  <c r="AL113" i="6"/>
  <c r="AG113" i="6"/>
  <c r="AI113" i="6" s="1"/>
  <c r="AS113" i="6" s="1"/>
  <c r="P113" i="6"/>
  <c r="O113" i="6"/>
  <c r="BS112" i="6"/>
  <c r="BM112" i="6"/>
  <c r="BL112" i="6"/>
  <c r="BH112" i="6"/>
  <c r="BG112" i="6"/>
  <c r="AQ112" i="6"/>
  <c r="AN112" i="6"/>
  <c r="AL112" i="6"/>
  <c r="AI112" i="6"/>
  <c r="AS112" i="6" s="1"/>
  <c r="AG112" i="6"/>
  <c r="AT112" i="6" s="1"/>
  <c r="P112" i="6"/>
  <c r="O112" i="6"/>
  <c r="BS111" i="6"/>
  <c r="BM111" i="6"/>
  <c r="BL111" i="6"/>
  <c r="BH111" i="6"/>
  <c r="BG111" i="6"/>
  <c r="AQ111" i="6"/>
  <c r="AN111" i="6"/>
  <c r="AL111" i="6"/>
  <c r="AG111" i="6"/>
  <c r="P111" i="6"/>
  <c r="O111" i="6"/>
  <c r="BS110" i="6"/>
  <c r="BM110" i="6"/>
  <c r="BL110" i="6"/>
  <c r="BH110" i="6"/>
  <c r="BG110" i="6"/>
  <c r="AQ110" i="6"/>
  <c r="AN110" i="6"/>
  <c r="AL110" i="6"/>
  <c r="AG110" i="6"/>
  <c r="P110" i="6"/>
  <c r="O110" i="6"/>
  <c r="BS109" i="6"/>
  <c r="BM109" i="6"/>
  <c r="BL109" i="6"/>
  <c r="BH109" i="6"/>
  <c r="BG109" i="6"/>
  <c r="AT109" i="6"/>
  <c r="AQ109" i="6"/>
  <c r="AN109" i="6"/>
  <c r="AR109" i="6" s="1"/>
  <c r="AL109" i="6"/>
  <c r="AG109" i="6"/>
  <c r="AI109" i="6" s="1"/>
  <c r="P109" i="6"/>
  <c r="O109" i="6"/>
  <c r="BS108" i="6"/>
  <c r="BM108" i="6"/>
  <c r="BL108" i="6"/>
  <c r="BH108" i="6"/>
  <c r="BG108" i="6"/>
  <c r="AQ108" i="6"/>
  <c r="AN108" i="6"/>
  <c r="AL108" i="6"/>
  <c r="AG108" i="6"/>
  <c r="P108" i="6"/>
  <c r="O108" i="6"/>
  <c r="BS107" i="6"/>
  <c r="BM107" i="6"/>
  <c r="BL107" i="6"/>
  <c r="BH107" i="6"/>
  <c r="BG107" i="6"/>
  <c r="AS107" i="6"/>
  <c r="AQ107" i="6"/>
  <c r="AR107" i="6" s="1"/>
  <c r="AN107" i="6"/>
  <c r="AL107" i="6"/>
  <c r="AG107" i="6"/>
  <c r="AI107" i="6" s="1"/>
  <c r="P107" i="6"/>
  <c r="O107" i="6"/>
  <c r="BS106" i="6"/>
  <c r="BM106" i="6"/>
  <c r="BL106" i="6"/>
  <c r="BH106" i="6"/>
  <c r="BG106" i="6"/>
  <c r="AQ106" i="6"/>
  <c r="AL106" i="6"/>
  <c r="AN106" i="6" s="1"/>
  <c r="AI106" i="6"/>
  <c r="AG106" i="6"/>
  <c r="P106" i="6"/>
  <c r="O106" i="6"/>
  <c r="BS105" i="6"/>
  <c r="BM105" i="6"/>
  <c r="BL105" i="6"/>
  <c r="BH105" i="6"/>
  <c r="BG105" i="6"/>
  <c r="AT105" i="6"/>
  <c r="AQ105" i="6"/>
  <c r="AN105" i="6"/>
  <c r="AL105" i="6"/>
  <c r="AG105" i="6"/>
  <c r="AI105" i="6" s="1"/>
  <c r="P105" i="6"/>
  <c r="O105" i="6"/>
  <c r="BS104" i="6"/>
  <c r="BM104" i="6"/>
  <c r="BL104" i="6"/>
  <c r="BH104" i="6"/>
  <c r="BG104" i="6"/>
  <c r="AQ104" i="6"/>
  <c r="AN104" i="6"/>
  <c r="AR104" i="6" s="1"/>
  <c r="AL104" i="6"/>
  <c r="AI104" i="6"/>
  <c r="AG104" i="6"/>
  <c r="P104" i="6"/>
  <c r="O104" i="6"/>
  <c r="BS103" i="6"/>
  <c r="BM103" i="6"/>
  <c r="BL103" i="6"/>
  <c r="BH103" i="6"/>
  <c r="BG103" i="6"/>
  <c r="AQ103" i="6"/>
  <c r="AN103" i="6"/>
  <c r="AL103" i="6"/>
  <c r="AG103" i="6"/>
  <c r="P103" i="6"/>
  <c r="O103" i="6"/>
  <c r="BS102" i="6"/>
  <c r="BM102" i="6"/>
  <c r="BL102" i="6"/>
  <c r="BH102" i="6"/>
  <c r="BG102" i="6"/>
  <c r="AQ102" i="6"/>
  <c r="AL102" i="6"/>
  <c r="AN102" i="6" s="1"/>
  <c r="AG102" i="6"/>
  <c r="P102" i="6"/>
  <c r="O102" i="6"/>
  <c r="BS101" i="6"/>
  <c r="BM101" i="6"/>
  <c r="BL101" i="6"/>
  <c r="BH101" i="6"/>
  <c r="BG101" i="6"/>
  <c r="AT101" i="6"/>
  <c r="AQ101" i="6"/>
  <c r="AN101" i="6"/>
  <c r="AR101" i="6" s="1"/>
  <c r="AL101" i="6"/>
  <c r="AI101" i="6"/>
  <c r="AS101" i="6" s="1"/>
  <c r="AG101" i="6"/>
  <c r="P101" i="6"/>
  <c r="O101" i="6"/>
  <c r="BS100" i="6"/>
  <c r="BM100" i="6"/>
  <c r="BL100" i="6"/>
  <c r="BH100" i="6"/>
  <c r="BG100" i="6"/>
  <c r="AQ100" i="6"/>
  <c r="AN100" i="6"/>
  <c r="AL100" i="6"/>
  <c r="AI100" i="6"/>
  <c r="AG100" i="6"/>
  <c r="P100" i="6"/>
  <c r="O100" i="6"/>
  <c r="BS99" i="6"/>
  <c r="BM99" i="6"/>
  <c r="BL99" i="6"/>
  <c r="BH99" i="6"/>
  <c r="BG99" i="6"/>
  <c r="AS99" i="6"/>
  <c r="AQ99" i="6"/>
  <c r="AT99" i="6" s="1"/>
  <c r="AN99" i="6"/>
  <c r="AL99" i="6"/>
  <c r="AI99" i="6"/>
  <c r="AG99" i="6"/>
  <c r="P99" i="6"/>
  <c r="O99" i="6"/>
  <c r="BS98" i="6"/>
  <c r="BM98" i="6"/>
  <c r="BL98" i="6"/>
  <c r="BH98" i="6"/>
  <c r="BG98" i="6"/>
  <c r="AQ98" i="6"/>
  <c r="AL98" i="6"/>
  <c r="AN98" i="6" s="1"/>
  <c r="AG98" i="6"/>
  <c r="P98" i="6"/>
  <c r="O98" i="6"/>
  <c r="BS97" i="6"/>
  <c r="BM97" i="6"/>
  <c r="BL97" i="6"/>
  <c r="BH97" i="6"/>
  <c r="BG97" i="6"/>
  <c r="AT97" i="6"/>
  <c r="AS97" i="6"/>
  <c r="AR97" i="6"/>
  <c r="AQ97" i="6"/>
  <c r="AN97" i="6"/>
  <c r="AL97" i="6"/>
  <c r="AI97" i="6"/>
  <c r="AG97" i="6"/>
  <c r="P97" i="6"/>
  <c r="O97" i="6"/>
  <c r="BS96" i="6"/>
  <c r="BM96" i="6"/>
  <c r="BL96" i="6"/>
  <c r="BH96" i="6"/>
  <c r="BG96" i="6"/>
  <c r="AQ96" i="6"/>
  <c r="AN96" i="6"/>
  <c r="AL96" i="6"/>
  <c r="AG96" i="6"/>
  <c r="P96" i="6"/>
  <c r="O96" i="6"/>
  <c r="BS95" i="6"/>
  <c r="BM95" i="6"/>
  <c r="BL95" i="6"/>
  <c r="BH95" i="6"/>
  <c r="BG95" i="6"/>
  <c r="AQ95" i="6"/>
  <c r="AN95" i="6"/>
  <c r="AL95" i="6"/>
  <c r="AG95" i="6"/>
  <c r="P95" i="6"/>
  <c r="O95" i="6"/>
  <c r="BS94" i="6"/>
  <c r="BM94" i="6"/>
  <c r="BL94" i="6"/>
  <c r="BH94" i="6"/>
  <c r="BG94" i="6"/>
  <c r="AQ94" i="6"/>
  <c r="AL94" i="6"/>
  <c r="AN94" i="6" s="1"/>
  <c r="AG94" i="6"/>
  <c r="P94" i="6"/>
  <c r="O94" i="6"/>
  <c r="BS93" i="6"/>
  <c r="BM93" i="6"/>
  <c r="BL93" i="6"/>
  <c r="BH93" i="6"/>
  <c r="BG93" i="6"/>
  <c r="AT93" i="6"/>
  <c r="AR93" i="6"/>
  <c r="AQ93" i="6"/>
  <c r="AN93" i="6"/>
  <c r="AL93" i="6"/>
  <c r="AI93" i="6"/>
  <c r="AG93" i="6"/>
  <c r="P93" i="6"/>
  <c r="O93" i="6"/>
  <c r="BS92" i="6"/>
  <c r="BM92" i="6"/>
  <c r="BL92" i="6"/>
  <c r="BH92" i="6"/>
  <c r="BG92" i="6"/>
  <c r="AQ92" i="6"/>
  <c r="AL92" i="6"/>
  <c r="AN92" i="6" s="1"/>
  <c r="AI92" i="6"/>
  <c r="AG92" i="6"/>
  <c r="P92" i="6"/>
  <c r="O92" i="6"/>
  <c r="BS91" i="6"/>
  <c r="BM91" i="6"/>
  <c r="BL91" i="6"/>
  <c r="BH91" i="6"/>
  <c r="BG91" i="6"/>
  <c r="AS91" i="6"/>
  <c r="AQ91" i="6"/>
  <c r="AT91" i="6" s="1"/>
  <c r="AN91" i="6"/>
  <c r="AL91" i="6"/>
  <c r="AG91" i="6"/>
  <c r="AI91" i="6" s="1"/>
  <c r="P91" i="6"/>
  <c r="O91" i="6"/>
  <c r="BS90" i="6"/>
  <c r="BM90" i="6"/>
  <c r="BL90" i="6"/>
  <c r="BH90" i="6"/>
  <c r="BG90" i="6"/>
  <c r="AS90" i="6"/>
  <c r="AQ90" i="6"/>
  <c r="AL90" i="6"/>
  <c r="AN90" i="6" s="1"/>
  <c r="AI90" i="6"/>
  <c r="AG90" i="6"/>
  <c r="P90" i="6"/>
  <c r="O90" i="6"/>
  <c r="BS89" i="6"/>
  <c r="BM89" i="6"/>
  <c r="BL89" i="6"/>
  <c r="BH89" i="6"/>
  <c r="BG89" i="6"/>
  <c r="AQ89" i="6"/>
  <c r="AL89" i="6"/>
  <c r="AT89" i="6" s="1"/>
  <c r="AI89" i="6"/>
  <c r="AG89" i="6"/>
  <c r="P89" i="6"/>
  <c r="O89" i="6"/>
  <c r="BS88" i="6"/>
  <c r="BM88" i="6"/>
  <c r="BL88" i="6"/>
  <c r="BH88" i="6"/>
  <c r="BG88" i="6"/>
  <c r="AQ88" i="6"/>
  <c r="AL88" i="6"/>
  <c r="AN88" i="6" s="1"/>
  <c r="AG88" i="6"/>
  <c r="AI88" i="6" s="1"/>
  <c r="P88" i="6"/>
  <c r="O88" i="6"/>
  <c r="BS87" i="6"/>
  <c r="BM87" i="6"/>
  <c r="BL87" i="6"/>
  <c r="BH87" i="6"/>
  <c r="BG87" i="6"/>
  <c r="AT87" i="6"/>
  <c r="AQ87" i="6"/>
  <c r="AL87" i="6"/>
  <c r="AN87" i="6" s="1"/>
  <c r="AR87" i="6" s="1"/>
  <c r="AI87" i="6"/>
  <c r="AS87" i="6" s="1"/>
  <c r="AG87" i="6"/>
  <c r="P87" i="6"/>
  <c r="O87" i="6"/>
  <c r="BS86" i="6"/>
  <c r="BM86" i="6"/>
  <c r="BL86" i="6"/>
  <c r="BH86" i="6"/>
  <c r="BG86" i="6"/>
  <c r="AQ86" i="6"/>
  <c r="AT86" i="6" s="1"/>
  <c r="AL86" i="6"/>
  <c r="AN86" i="6" s="1"/>
  <c r="AI86" i="6"/>
  <c r="AG86" i="6"/>
  <c r="P86" i="6"/>
  <c r="O86" i="6"/>
  <c r="BS85" i="6"/>
  <c r="BM85" i="6"/>
  <c r="BL85" i="6"/>
  <c r="BH85" i="6"/>
  <c r="BG85" i="6"/>
  <c r="AT85" i="6"/>
  <c r="AS85" i="6"/>
  <c r="AQ85" i="6"/>
  <c r="AN85" i="6"/>
  <c r="AL85" i="6"/>
  <c r="AI85" i="6"/>
  <c r="AR85" i="6" s="1"/>
  <c r="AG85" i="6"/>
  <c r="P85" i="6"/>
  <c r="O85" i="6"/>
  <c r="BS84" i="6"/>
  <c r="BM84" i="6"/>
  <c r="BL84" i="6"/>
  <c r="BH84" i="6"/>
  <c r="BG84" i="6"/>
  <c r="AQ84" i="6"/>
  <c r="AN84" i="6"/>
  <c r="AL84" i="6"/>
  <c r="AG84" i="6"/>
  <c r="P84" i="6"/>
  <c r="O84" i="6"/>
  <c r="BS83" i="6"/>
  <c r="BM83" i="6"/>
  <c r="BL83" i="6"/>
  <c r="BH83" i="6"/>
  <c r="BG83" i="6"/>
  <c r="AT83" i="6"/>
  <c r="AS83" i="6"/>
  <c r="AR83" i="6"/>
  <c r="AQ83" i="6"/>
  <c r="AN83" i="6"/>
  <c r="AL83" i="6"/>
  <c r="AI83" i="6"/>
  <c r="AG83" i="6"/>
  <c r="P83" i="6"/>
  <c r="O83" i="6"/>
  <c r="BS82" i="6"/>
  <c r="BM82" i="6"/>
  <c r="BL82" i="6"/>
  <c r="BH82" i="6"/>
  <c r="BG82" i="6"/>
  <c r="AQ82" i="6"/>
  <c r="AL82" i="6"/>
  <c r="AN82" i="6" s="1"/>
  <c r="AG82" i="6"/>
  <c r="AT82" i="6" s="1"/>
  <c r="P82" i="6"/>
  <c r="O82" i="6"/>
  <c r="BS81" i="6"/>
  <c r="BM81" i="6"/>
  <c r="BL81" i="6"/>
  <c r="BH81" i="6"/>
  <c r="BG81" i="6"/>
  <c r="AQ81" i="6"/>
  <c r="AT81" i="6" s="1"/>
  <c r="AL81" i="6"/>
  <c r="AN81" i="6" s="1"/>
  <c r="AI81" i="6"/>
  <c r="AG81" i="6"/>
  <c r="P81" i="6"/>
  <c r="O81" i="6"/>
  <c r="BS80" i="6"/>
  <c r="BM80" i="6"/>
  <c r="BL80" i="6"/>
  <c r="BH80" i="6"/>
  <c r="BG80" i="6"/>
  <c r="AQ80" i="6"/>
  <c r="AL80" i="6"/>
  <c r="AN80" i="6" s="1"/>
  <c r="AI80" i="6"/>
  <c r="AG80" i="6"/>
  <c r="AT80" i="6" s="1"/>
  <c r="P80" i="6"/>
  <c r="O80" i="6"/>
  <c r="BS79" i="6"/>
  <c r="BM79" i="6"/>
  <c r="BL79" i="6"/>
  <c r="BH79" i="6"/>
  <c r="BG79" i="6"/>
  <c r="AS79" i="6"/>
  <c r="AQ79" i="6"/>
  <c r="AT79" i="6" s="1"/>
  <c r="AN79" i="6"/>
  <c r="AR79" i="6" s="1"/>
  <c r="AL79" i="6"/>
  <c r="AI79" i="6"/>
  <c r="AG79" i="6"/>
  <c r="P79" i="6"/>
  <c r="O79" i="6"/>
  <c r="BS78" i="6"/>
  <c r="BM78" i="6"/>
  <c r="BL78" i="6"/>
  <c r="BH78" i="6"/>
  <c r="BG78" i="6"/>
  <c r="AQ78" i="6"/>
  <c r="AL78" i="6"/>
  <c r="AN78" i="6" s="1"/>
  <c r="AG78" i="6"/>
  <c r="P78" i="6"/>
  <c r="O78" i="6"/>
  <c r="BS77" i="6"/>
  <c r="BM77" i="6"/>
  <c r="BL77" i="6"/>
  <c r="BH77" i="6"/>
  <c r="BG77" i="6"/>
  <c r="AQ77" i="6"/>
  <c r="AL77" i="6"/>
  <c r="AN77" i="6" s="1"/>
  <c r="AS77" i="6" s="1"/>
  <c r="AI77" i="6"/>
  <c r="AG77" i="6"/>
  <c r="P77" i="6"/>
  <c r="O77" i="6"/>
  <c r="BS76" i="6"/>
  <c r="BM76" i="6"/>
  <c r="BL76" i="6"/>
  <c r="BH76" i="6"/>
  <c r="BG76" i="6"/>
  <c r="AT76" i="6"/>
  <c r="AQ76" i="6"/>
  <c r="AN76" i="6"/>
  <c r="AL76" i="6"/>
  <c r="AG76" i="6"/>
  <c r="AI76" i="6" s="1"/>
  <c r="P76" i="6"/>
  <c r="O76" i="6"/>
  <c r="BS75" i="6"/>
  <c r="BM75" i="6"/>
  <c r="BL75" i="6"/>
  <c r="BH75" i="6"/>
  <c r="BG75" i="6"/>
  <c r="AQ75" i="6"/>
  <c r="AT75" i="6" s="1"/>
  <c r="AL75" i="6"/>
  <c r="AN75" i="6" s="1"/>
  <c r="AI75" i="6"/>
  <c r="AG75" i="6"/>
  <c r="P75" i="6"/>
  <c r="O75" i="6"/>
  <c r="BS74" i="6"/>
  <c r="BM74" i="6"/>
  <c r="BL74" i="6"/>
  <c r="BH74" i="6"/>
  <c r="BG74" i="6"/>
  <c r="AT74" i="6"/>
  <c r="AS74" i="6"/>
  <c r="AQ74" i="6"/>
  <c r="AN74" i="6"/>
  <c r="AL74" i="6"/>
  <c r="AI74" i="6"/>
  <c r="AG74" i="6"/>
  <c r="P74" i="6"/>
  <c r="O74" i="6"/>
  <c r="BS73" i="6"/>
  <c r="BM73" i="6"/>
  <c r="BL73" i="6"/>
  <c r="BH73" i="6"/>
  <c r="BG73" i="6"/>
  <c r="AQ73" i="6"/>
  <c r="AN73" i="6"/>
  <c r="AL73" i="6"/>
  <c r="AT73" i="6" s="1"/>
  <c r="AI73" i="6"/>
  <c r="AS73" i="6" s="1"/>
  <c r="AG73" i="6"/>
  <c r="P73" i="6"/>
  <c r="O73" i="6"/>
  <c r="BS72" i="6"/>
  <c r="BM72" i="6"/>
  <c r="BL72" i="6"/>
  <c r="BH72" i="6"/>
  <c r="BG72" i="6"/>
  <c r="AQ72" i="6"/>
  <c r="AT72" i="6" s="1"/>
  <c r="AL72" i="6"/>
  <c r="AN72" i="6" s="1"/>
  <c r="AS72" i="6" s="1"/>
  <c r="AI72" i="6"/>
  <c r="AG72" i="6"/>
  <c r="P72" i="6"/>
  <c r="O72" i="6"/>
  <c r="BS71" i="6"/>
  <c r="BM71" i="6"/>
  <c r="BL71" i="6"/>
  <c r="BH71" i="6"/>
  <c r="BG71" i="6"/>
  <c r="AQ71" i="6"/>
  <c r="AL71" i="6"/>
  <c r="AI71" i="6"/>
  <c r="AG71" i="6"/>
  <c r="P71" i="6"/>
  <c r="O71" i="6"/>
  <c r="BS70" i="6"/>
  <c r="BM70" i="6"/>
  <c r="BL70" i="6"/>
  <c r="BH70" i="6"/>
  <c r="BG70" i="6"/>
  <c r="AT70" i="6"/>
  <c r="AQ70" i="6"/>
  <c r="AN70" i="6"/>
  <c r="AS70" i="6" s="1"/>
  <c r="AL70" i="6"/>
  <c r="AI70" i="6"/>
  <c r="AG70" i="6"/>
  <c r="P70" i="6"/>
  <c r="O70" i="6"/>
  <c r="BS69" i="6"/>
  <c r="BM69" i="6"/>
  <c r="BL69" i="6"/>
  <c r="BH69" i="6"/>
  <c r="BG69" i="6"/>
  <c r="AQ69" i="6"/>
  <c r="AT69" i="6" s="1"/>
  <c r="AL69" i="6"/>
  <c r="AN69" i="6" s="1"/>
  <c r="AI69" i="6"/>
  <c r="AG69" i="6"/>
  <c r="P69" i="6"/>
  <c r="O69" i="6"/>
  <c r="BS68" i="6"/>
  <c r="BM68" i="6"/>
  <c r="BL68" i="6"/>
  <c r="BH68" i="6"/>
  <c r="BG68" i="6"/>
  <c r="AS68" i="6"/>
  <c r="AQ68" i="6"/>
  <c r="AL68" i="6"/>
  <c r="AN68" i="6" s="1"/>
  <c r="AG68" i="6"/>
  <c r="AI68" i="6" s="1"/>
  <c r="AR68" i="6" s="1"/>
  <c r="P68" i="6"/>
  <c r="O68" i="6"/>
  <c r="BS67" i="6"/>
  <c r="BM67" i="6"/>
  <c r="BL67" i="6"/>
  <c r="BH67" i="6"/>
  <c r="BG67" i="6"/>
  <c r="AT67" i="6"/>
  <c r="AR67" i="6"/>
  <c r="AQ67" i="6"/>
  <c r="AN67" i="6"/>
  <c r="AL67" i="6"/>
  <c r="AI67" i="6"/>
  <c r="AS67" i="6" s="1"/>
  <c r="AG67" i="6"/>
  <c r="P67" i="6"/>
  <c r="O67" i="6"/>
  <c r="BS66" i="6"/>
  <c r="BM66" i="6"/>
  <c r="BL66" i="6"/>
  <c r="BH66" i="6"/>
  <c r="BG66" i="6"/>
  <c r="AQ66" i="6"/>
  <c r="AT66" i="6" s="1"/>
  <c r="AL66" i="6"/>
  <c r="AN66" i="6" s="1"/>
  <c r="AI66" i="6"/>
  <c r="AG66" i="6"/>
  <c r="P66" i="6"/>
  <c r="O66" i="6"/>
  <c r="BS65" i="6"/>
  <c r="BM65" i="6"/>
  <c r="BL65" i="6"/>
  <c r="BH65" i="6"/>
  <c r="BG65" i="6"/>
  <c r="AT65" i="6"/>
  <c r="AS65" i="6"/>
  <c r="AQ65" i="6"/>
  <c r="AN65" i="6"/>
  <c r="AL65" i="6"/>
  <c r="AI65" i="6"/>
  <c r="AR65" i="6" s="1"/>
  <c r="AG65" i="6"/>
  <c r="P65" i="6"/>
  <c r="O65" i="6"/>
  <c r="BS64" i="6"/>
  <c r="BM64" i="6"/>
  <c r="BL64" i="6"/>
  <c r="BH64" i="6"/>
  <c r="BG64" i="6"/>
  <c r="AQ64" i="6"/>
  <c r="AN64" i="6"/>
  <c r="AL64" i="6"/>
  <c r="AG64" i="6"/>
  <c r="P64" i="6"/>
  <c r="O64" i="6"/>
  <c r="BS63" i="6"/>
  <c r="BM63" i="6"/>
  <c r="BL63" i="6"/>
  <c r="BH63" i="6"/>
  <c r="BG63" i="6"/>
  <c r="AT63" i="6"/>
  <c r="AS63" i="6"/>
  <c r="AR63" i="6"/>
  <c r="AQ63" i="6"/>
  <c r="AN63" i="6"/>
  <c r="AL63" i="6"/>
  <c r="AI63" i="6"/>
  <c r="AG63" i="6"/>
  <c r="P63" i="6"/>
  <c r="O63" i="6"/>
  <c r="BS62" i="6"/>
  <c r="BM62" i="6"/>
  <c r="BL62" i="6"/>
  <c r="BH62" i="6"/>
  <c r="BG62" i="6"/>
  <c r="AQ62" i="6"/>
  <c r="AL62" i="6"/>
  <c r="AN62" i="6" s="1"/>
  <c r="AG62" i="6"/>
  <c r="AT62" i="6" s="1"/>
  <c r="P62" i="6"/>
  <c r="O62" i="6"/>
  <c r="BS61" i="6"/>
  <c r="BM61" i="6"/>
  <c r="BL61" i="6"/>
  <c r="BH61" i="6"/>
  <c r="BG61" i="6"/>
  <c r="AQ61" i="6"/>
  <c r="AT61" i="6" s="1"/>
  <c r="AL61" i="6"/>
  <c r="AN61" i="6" s="1"/>
  <c r="AI61" i="6"/>
  <c r="AG61" i="6"/>
  <c r="P61" i="6"/>
  <c r="O61" i="6"/>
  <c r="BS60" i="6"/>
  <c r="BM60" i="6"/>
  <c r="BL60" i="6"/>
  <c r="BH60" i="6"/>
  <c r="BG60" i="6"/>
  <c r="AQ60" i="6"/>
  <c r="AL60" i="6"/>
  <c r="AN60" i="6" s="1"/>
  <c r="AI60" i="6"/>
  <c r="AG60" i="6"/>
  <c r="AT60" i="6" s="1"/>
  <c r="P60" i="6"/>
  <c r="O60" i="6"/>
  <c r="BS59" i="6"/>
  <c r="BM59" i="6"/>
  <c r="BL59" i="6"/>
  <c r="BH59" i="6"/>
  <c r="BG59" i="6"/>
  <c r="AS59" i="6"/>
  <c r="AQ59" i="6"/>
  <c r="AT59" i="6" s="1"/>
  <c r="AN59" i="6"/>
  <c r="AR59" i="6" s="1"/>
  <c r="AL59" i="6"/>
  <c r="AI59" i="6"/>
  <c r="AG59" i="6"/>
  <c r="P59" i="6"/>
  <c r="O59" i="6"/>
  <c r="BS58" i="6"/>
  <c r="BM58" i="6"/>
  <c r="BL58" i="6"/>
  <c r="BH58" i="6"/>
  <c r="BG58" i="6"/>
  <c r="AQ58" i="6"/>
  <c r="AN58" i="6"/>
  <c r="AL58" i="6"/>
  <c r="AG58" i="6"/>
  <c r="P58" i="6"/>
  <c r="O58" i="6"/>
  <c r="BS57" i="6"/>
  <c r="BM57" i="6"/>
  <c r="BL57" i="6"/>
  <c r="BH57" i="6"/>
  <c r="BG57" i="6"/>
  <c r="AQ57" i="6"/>
  <c r="AL57" i="6"/>
  <c r="AN57" i="6" s="1"/>
  <c r="AS57" i="6" s="1"/>
  <c r="AI57" i="6"/>
  <c r="AG57" i="6"/>
  <c r="P57" i="6"/>
  <c r="O57" i="6"/>
  <c r="BS56" i="6"/>
  <c r="BM56" i="6"/>
  <c r="BL56" i="6"/>
  <c r="BH56" i="6"/>
  <c r="BG56" i="6"/>
  <c r="AT56" i="6"/>
  <c r="AQ56" i="6"/>
  <c r="AN56" i="6"/>
  <c r="AL56" i="6"/>
  <c r="AG56" i="6"/>
  <c r="AI56" i="6" s="1"/>
  <c r="P56" i="6"/>
  <c r="O56" i="6"/>
  <c r="BS55" i="6"/>
  <c r="BM55" i="6"/>
  <c r="BL55" i="6"/>
  <c r="BH55" i="6"/>
  <c r="BG55" i="6"/>
  <c r="AQ55" i="6"/>
  <c r="AT55" i="6" s="1"/>
  <c r="AL55" i="6"/>
  <c r="AN55" i="6" s="1"/>
  <c r="AI55" i="6"/>
  <c r="AG55" i="6"/>
  <c r="P55" i="6"/>
  <c r="O55" i="6"/>
  <c r="BS54" i="6"/>
  <c r="BM54" i="6"/>
  <c r="BL54" i="6"/>
  <c r="BH54" i="6"/>
  <c r="BG54" i="6"/>
  <c r="AT54" i="6"/>
  <c r="AS54" i="6"/>
  <c r="AQ54" i="6"/>
  <c r="AN54" i="6"/>
  <c r="AL54" i="6"/>
  <c r="AI54" i="6"/>
  <c r="AG54" i="6"/>
  <c r="P54" i="6"/>
  <c r="O54" i="6"/>
  <c r="BS53" i="6"/>
  <c r="BM53" i="6"/>
  <c r="BL53" i="6"/>
  <c r="BH53" i="6"/>
  <c r="BG53" i="6"/>
  <c r="AQ53" i="6"/>
  <c r="AN53" i="6"/>
  <c r="AL53" i="6"/>
  <c r="AT53" i="6" s="1"/>
  <c r="AI53" i="6"/>
  <c r="AS53" i="6" s="1"/>
  <c r="AG53" i="6"/>
  <c r="P53" i="6"/>
  <c r="O53" i="6"/>
  <c r="BS52" i="6"/>
  <c r="BM52" i="6"/>
  <c r="BL52" i="6"/>
  <c r="BH52" i="6"/>
  <c r="BG52" i="6"/>
  <c r="AQ52" i="6"/>
  <c r="AT52" i="6" s="1"/>
  <c r="AL52" i="6"/>
  <c r="AN52" i="6" s="1"/>
  <c r="AS52" i="6" s="1"/>
  <c r="AI52" i="6"/>
  <c r="AG52" i="6"/>
  <c r="P52" i="6"/>
  <c r="O52" i="6"/>
  <c r="BS51" i="6"/>
  <c r="BM51" i="6"/>
  <c r="BL51" i="6"/>
  <c r="BH51" i="6"/>
  <c r="BG51" i="6"/>
  <c r="AQ51" i="6"/>
  <c r="AL51" i="6"/>
  <c r="AI51" i="6"/>
  <c r="AG51" i="6"/>
  <c r="P51" i="6"/>
  <c r="O51" i="6"/>
  <c r="BS50" i="6"/>
  <c r="BM50" i="6"/>
  <c r="BL50" i="6"/>
  <c r="BH50" i="6"/>
  <c r="BG50" i="6"/>
  <c r="AT50" i="6"/>
  <c r="AQ50" i="6"/>
  <c r="AN50" i="6"/>
  <c r="AS50" i="6" s="1"/>
  <c r="AL50" i="6"/>
  <c r="AI50" i="6"/>
  <c r="AG50" i="6"/>
  <c r="P50" i="6"/>
  <c r="O50" i="6"/>
  <c r="BS49" i="6"/>
  <c r="BM49" i="6"/>
  <c r="BL49" i="6"/>
  <c r="BH49" i="6"/>
  <c r="BG49" i="6"/>
  <c r="AQ49" i="6"/>
  <c r="AT49" i="6" s="1"/>
  <c r="AL49" i="6"/>
  <c r="AN49" i="6" s="1"/>
  <c r="AI49" i="6"/>
  <c r="AG49" i="6"/>
  <c r="P49" i="6"/>
  <c r="O49" i="6"/>
  <c r="BS48" i="6"/>
  <c r="BM48" i="6"/>
  <c r="BL48" i="6"/>
  <c r="BH48" i="6"/>
  <c r="BG48" i="6"/>
  <c r="AS48" i="6"/>
  <c r="AQ48" i="6"/>
  <c r="AL48" i="6"/>
  <c r="AN48" i="6" s="1"/>
  <c r="AG48" i="6"/>
  <c r="AI48" i="6" s="1"/>
  <c r="AR48" i="6" s="1"/>
  <c r="P48" i="6"/>
  <c r="O48" i="6"/>
  <c r="BS47" i="6"/>
  <c r="BM47" i="6"/>
  <c r="BL47" i="6"/>
  <c r="BH47" i="6"/>
  <c r="BG47" i="6"/>
  <c r="AT47" i="6"/>
  <c r="AR47" i="6"/>
  <c r="AQ47" i="6"/>
  <c r="AN47" i="6"/>
  <c r="AL47" i="6"/>
  <c r="AI47" i="6"/>
  <c r="AS47" i="6" s="1"/>
  <c r="AG47" i="6"/>
  <c r="P47" i="6"/>
  <c r="O47" i="6"/>
  <c r="BS46" i="6"/>
  <c r="BM46" i="6"/>
  <c r="BL46" i="6"/>
  <c r="BH46" i="6"/>
  <c r="BG46" i="6"/>
  <c r="AQ46" i="6"/>
  <c r="AT46" i="6" s="1"/>
  <c r="AL46" i="6"/>
  <c r="AN46" i="6" s="1"/>
  <c r="AI46" i="6"/>
  <c r="AG46" i="6"/>
  <c r="P46" i="6"/>
  <c r="O46" i="6"/>
  <c r="BS45" i="6"/>
  <c r="BM45" i="6"/>
  <c r="BL45" i="6"/>
  <c r="BH45" i="6"/>
  <c r="BG45" i="6"/>
  <c r="AT45" i="6"/>
  <c r="AS45" i="6"/>
  <c r="AQ45" i="6"/>
  <c r="AN45" i="6"/>
  <c r="AL45" i="6"/>
  <c r="AI45" i="6"/>
  <c r="AR45" i="6" s="1"/>
  <c r="AG45" i="6"/>
  <c r="P45" i="6"/>
  <c r="O45" i="6"/>
  <c r="BS44" i="6"/>
  <c r="BM44" i="6"/>
  <c r="BL44" i="6"/>
  <c r="BH44" i="6"/>
  <c r="BG44" i="6"/>
  <c r="AQ44" i="6"/>
  <c r="AN44" i="6"/>
  <c r="AL44" i="6"/>
  <c r="AG44" i="6"/>
  <c r="P44" i="6"/>
  <c r="O44" i="6"/>
  <c r="BS43" i="6"/>
  <c r="BM43" i="6"/>
  <c r="BL43" i="6"/>
  <c r="BH43" i="6"/>
  <c r="BG43" i="6"/>
  <c r="AT43" i="6"/>
  <c r="AS43" i="6"/>
  <c r="AR43" i="6"/>
  <c r="AQ43" i="6"/>
  <c r="AN43" i="6"/>
  <c r="AL43" i="6"/>
  <c r="AI43" i="6"/>
  <c r="AG43" i="6"/>
  <c r="P43" i="6"/>
  <c r="O43" i="6"/>
  <c r="BS42" i="6"/>
  <c r="BM42" i="6"/>
  <c r="BL42" i="6"/>
  <c r="BH42" i="6"/>
  <c r="BG42" i="6"/>
  <c r="AQ42" i="6"/>
  <c r="AL42" i="6"/>
  <c r="AN42" i="6" s="1"/>
  <c r="AG42" i="6"/>
  <c r="AT42" i="6" s="1"/>
  <c r="P42" i="6"/>
  <c r="O42" i="6"/>
  <c r="BS41" i="6"/>
  <c r="BM41" i="6"/>
  <c r="BL41" i="6"/>
  <c r="BH41" i="6"/>
  <c r="BG41" i="6"/>
  <c r="AQ41" i="6"/>
  <c r="AT41" i="6" s="1"/>
  <c r="AL41" i="6"/>
  <c r="AN41" i="6" s="1"/>
  <c r="AI41" i="6"/>
  <c r="AG41" i="6"/>
  <c r="P41" i="6"/>
  <c r="O41" i="6"/>
  <c r="BS40" i="6"/>
  <c r="BM40" i="6"/>
  <c r="BL40" i="6"/>
  <c r="BH40" i="6"/>
  <c r="BG40" i="6"/>
  <c r="AQ40" i="6"/>
  <c r="AL40" i="6"/>
  <c r="AN40" i="6" s="1"/>
  <c r="AI40" i="6"/>
  <c r="AG40" i="6"/>
  <c r="AT40" i="6" s="1"/>
  <c r="P40" i="6"/>
  <c r="O40" i="6"/>
  <c r="BS39" i="6"/>
  <c r="BM39" i="6"/>
  <c r="BL39" i="6"/>
  <c r="BH39" i="6"/>
  <c r="BG39" i="6"/>
  <c r="AS39" i="6"/>
  <c r="AQ39" i="6"/>
  <c r="AT39" i="6" s="1"/>
  <c r="AN39" i="6"/>
  <c r="AR39" i="6" s="1"/>
  <c r="AL39" i="6"/>
  <c r="AI39" i="6"/>
  <c r="AG39" i="6"/>
  <c r="P39" i="6"/>
  <c r="O39" i="6"/>
  <c r="BS38" i="6"/>
  <c r="BM38" i="6"/>
  <c r="BL38" i="6"/>
  <c r="BH38" i="6"/>
  <c r="BG38" i="6"/>
  <c r="AQ38" i="6"/>
  <c r="AN38" i="6"/>
  <c r="AL38" i="6"/>
  <c r="AG38" i="6"/>
  <c r="P38" i="6"/>
  <c r="O38" i="6"/>
  <c r="BS37" i="6"/>
  <c r="BM37" i="6"/>
  <c r="BL37" i="6"/>
  <c r="BH37" i="6"/>
  <c r="BG37" i="6"/>
  <c r="AQ37" i="6"/>
  <c r="AL37" i="6"/>
  <c r="AN37" i="6" s="1"/>
  <c r="AS37" i="6" s="1"/>
  <c r="AI37" i="6"/>
  <c r="AG37" i="6"/>
  <c r="P37" i="6"/>
  <c r="O37" i="6"/>
  <c r="BS36" i="6"/>
  <c r="BM36" i="6"/>
  <c r="BL36" i="6"/>
  <c r="BH36" i="6"/>
  <c r="BG36" i="6"/>
  <c r="AT36" i="6"/>
  <c r="AQ36" i="6"/>
  <c r="AN36" i="6"/>
  <c r="AL36" i="6"/>
  <c r="AG36" i="6"/>
  <c r="AI36" i="6" s="1"/>
  <c r="P36" i="6"/>
  <c r="O36" i="6"/>
  <c r="BS35" i="6"/>
  <c r="BM35" i="6"/>
  <c r="BL35" i="6"/>
  <c r="BH35" i="6"/>
  <c r="BG35" i="6"/>
  <c r="AQ35" i="6"/>
  <c r="AT35" i="6" s="1"/>
  <c r="AL35" i="6"/>
  <c r="AN35" i="6" s="1"/>
  <c r="AI35" i="6"/>
  <c r="AG35" i="6"/>
  <c r="P35" i="6"/>
  <c r="O35" i="6"/>
  <c r="BS34" i="6"/>
  <c r="BM34" i="6"/>
  <c r="BL34" i="6"/>
  <c r="BH34" i="6"/>
  <c r="BG34" i="6"/>
  <c r="AT34" i="6"/>
  <c r="AS34" i="6"/>
  <c r="AQ34" i="6"/>
  <c r="AN34" i="6"/>
  <c r="AL34" i="6"/>
  <c r="AG34" i="6"/>
  <c r="AI34" i="6" s="1"/>
  <c r="AR34" i="6" s="1"/>
  <c r="P34" i="6"/>
  <c r="O34" i="6"/>
  <c r="BS33" i="6"/>
  <c r="BM33" i="6"/>
  <c r="BL33" i="6"/>
  <c r="BH33" i="6"/>
  <c r="BG33" i="6"/>
  <c r="AQ33" i="6"/>
  <c r="AT33" i="6" s="1"/>
  <c r="AL33" i="6"/>
  <c r="AN33" i="6" s="1"/>
  <c r="AI33" i="6"/>
  <c r="AG33" i="6"/>
  <c r="P33" i="6"/>
  <c r="O33" i="6"/>
  <c r="BS32" i="6"/>
  <c r="BM32" i="6"/>
  <c r="BL32" i="6"/>
  <c r="BH32" i="6"/>
  <c r="BG32" i="6"/>
  <c r="AT32" i="6"/>
  <c r="AQ32" i="6"/>
  <c r="AN32" i="6"/>
  <c r="AL32" i="6"/>
  <c r="AG32" i="6"/>
  <c r="AI32" i="6" s="1"/>
  <c r="AR32" i="6" s="1"/>
  <c r="P32" i="6"/>
  <c r="O32" i="6"/>
  <c r="BS31" i="6"/>
  <c r="BM31" i="6"/>
  <c r="BL31" i="6"/>
  <c r="BH31" i="6"/>
  <c r="BG31" i="6"/>
  <c r="AQ31" i="6"/>
  <c r="AT31" i="6" s="1"/>
  <c r="AL31" i="6"/>
  <c r="AN31" i="6" s="1"/>
  <c r="AI31" i="6"/>
  <c r="AG31" i="6"/>
  <c r="P31" i="6"/>
  <c r="O31" i="6"/>
  <c r="BS30" i="6"/>
  <c r="BM30" i="6"/>
  <c r="BL30" i="6"/>
  <c r="BH30" i="6"/>
  <c r="BG30" i="6"/>
  <c r="AT30" i="6"/>
  <c r="AS30" i="6"/>
  <c r="AQ30" i="6"/>
  <c r="AN30" i="6"/>
  <c r="AL30" i="6"/>
  <c r="AG30" i="6"/>
  <c r="AI30" i="6" s="1"/>
  <c r="AR30" i="6" s="1"/>
  <c r="P30" i="6"/>
  <c r="O30" i="6"/>
  <c r="BS29" i="6"/>
  <c r="BM29" i="6"/>
  <c r="BL29" i="6"/>
  <c r="BH29" i="6"/>
  <c r="BG29" i="6"/>
  <c r="AQ29" i="6"/>
  <c r="AT29" i="6" s="1"/>
  <c r="AL29" i="6"/>
  <c r="AN29" i="6" s="1"/>
  <c r="AI29" i="6"/>
  <c r="AG29" i="6"/>
  <c r="P29" i="6"/>
  <c r="O29" i="6"/>
  <c r="BS28" i="6"/>
  <c r="BM28" i="6"/>
  <c r="BL28" i="6"/>
  <c r="BH28" i="6"/>
  <c r="BG28" i="6"/>
  <c r="AT28" i="6"/>
  <c r="AQ28" i="6"/>
  <c r="AN28" i="6"/>
  <c r="AL28" i="6"/>
  <c r="AG28" i="6"/>
  <c r="AI28" i="6" s="1"/>
  <c r="AR28" i="6" s="1"/>
  <c r="P28" i="6"/>
  <c r="O28" i="6"/>
  <c r="BS27" i="6"/>
  <c r="BM27" i="6"/>
  <c r="BL27" i="6"/>
  <c r="BH27" i="6"/>
  <c r="BG27" i="6"/>
  <c r="AQ27" i="6"/>
  <c r="AT27" i="6" s="1"/>
  <c r="AL27" i="6"/>
  <c r="AN27" i="6" s="1"/>
  <c r="AI27" i="6"/>
  <c r="AG27" i="6"/>
  <c r="P27" i="6"/>
  <c r="O27" i="6"/>
  <c r="BS26" i="6"/>
  <c r="BM26" i="6"/>
  <c r="BL26" i="6"/>
  <c r="BH26" i="6"/>
  <c r="BG26" i="6"/>
  <c r="AT26" i="6"/>
  <c r="AQ26" i="6"/>
  <c r="AN26" i="6"/>
  <c r="AL26" i="6"/>
  <c r="AG26" i="6"/>
  <c r="AI26" i="6" s="1"/>
  <c r="P26" i="6"/>
  <c r="O26" i="6"/>
  <c r="BS25" i="6"/>
  <c r="BM25" i="6"/>
  <c r="BL25" i="6"/>
  <c r="BH25" i="6"/>
  <c r="BG25" i="6"/>
  <c r="AQ25" i="6"/>
  <c r="AT25" i="6" s="1"/>
  <c r="AL25" i="6"/>
  <c r="AN25" i="6" s="1"/>
  <c r="AI25" i="6"/>
  <c r="AG25" i="6"/>
  <c r="P25" i="6"/>
  <c r="O25" i="6"/>
  <c r="BS24" i="6"/>
  <c r="BM24" i="6"/>
  <c r="BL24" i="6"/>
  <c r="BH24" i="6"/>
  <c r="BG24" i="6"/>
  <c r="AT24" i="6"/>
  <c r="AS24" i="6"/>
  <c r="AQ24" i="6"/>
  <c r="AN24" i="6"/>
  <c r="AL24" i="6"/>
  <c r="AG24" i="6"/>
  <c r="AI24" i="6" s="1"/>
  <c r="AR24" i="6" s="1"/>
  <c r="P24" i="6"/>
  <c r="O24" i="6"/>
  <c r="BS23" i="6"/>
  <c r="BM23" i="6"/>
  <c r="BL23" i="6"/>
  <c r="BH23" i="6"/>
  <c r="BG23" i="6"/>
  <c r="AQ23" i="6"/>
  <c r="AT23" i="6" s="1"/>
  <c r="AL23" i="6"/>
  <c r="AN23" i="6" s="1"/>
  <c r="AI23" i="6"/>
  <c r="AG23" i="6"/>
  <c r="P23" i="6"/>
  <c r="O23" i="6"/>
  <c r="BS22" i="6"/>
  <c r="BM22" i="6"/>
  <c r="BL22" i="6"/>
  <c r="BH22" i="6"/>
  <c r="BG22" i="6"/>
  <c r="AT22" i="6"/>
  <c r="AQ22" i="6"/>
  <c r="AN22" i="6"/>
  <c r="AL22" i="6"/>
  <c r="AG22" i="6"/>
  <c r="AI22" i="6" s="1"/>
  <c r="AR22" i="6" s="1"/>
  <c r="P22" i="6"/>
  <c r="O22" i="6"/>
  <c r="BS21" i="6"/>
  <c r="BM21" i="6"/>
  <c r="BL21" i="6"/>
  <c r="BH21" i="6"/>
  <c r="BG21" i="6"/>
  <c r="AQ21" i="6"/>
  <c r="AT21" i="6" s="1"/>
  <c r="AL21" i="6"/>
  <c r="AN21" i="6" s="1"/>
  <c r="AI21" i="6"/>
  <c r="AG21" i="6"/>
  <c r="P21" i="6"/>
  <c r="O21" i="6"/>
  <c r="BS20" i="6"/>
  <c r="BM20" i="6"/>
  <c r="BL20" i="6"/>
  <c r="BH20" i="6"/>
  <c r="BG20" i="6"/>
  <c r="AT20" i="6"/>
  <c r="AS20" i="6"/>
  <c r="AQ20" i="6"/>
  <c r="AN20" i="6"/>
  <c r="AL20" i="6"/>
  <c r="AG20" i="6"/>
  <c r="AI20" i="6" s="1"/>
  <c r="AR20" i="6" s="1"/>
  <c r="P20" i="6"/>
  <c r="O20" i="6"/>
  <c r="BS19" i="6"/>
  <c r="BM19" i="6"/>
  <c r="BL19" i="6"/>
  <c r="BH19" i="6"/>
  <c r="BG19" i="6"/>
  <c r="AQ19" i="6"/>
  <c r="AT19" i="6" s="1"/>
  <c r="AL19" i="6"/>
  <c r="AN19" i="6" s="1"/>
  <c r="AI19" i="6"/>
  <c r="AG19" i="6"/>
  <c r="P19" i="6"/>
  <c r="O19" i="6"/>
  <c r="BS18" i="6"/>
  <c r="BM18" i="6"/>
  <c r="BL18" i="6"/>
  <c r="BH18" i="6"/>
  <c r="BG18" i="6"/>
  <c r="AT18" i="6"/>
  <c r="AQ18" i="6"/>
  <c r="AN18" i="6"/>
  <c r="AL18" i="6"/>
  <c r="AG18" i="6"/>
  <c r="AI18" i="6" s="1"/>
  <c r="AR18" i="6" s="1"/>
  <c r="P18" i="6"/>
  <c r="O18" i="6"/>
  <c r="BS17" i="6"/>
  <c r="BM17" i="6"/>
  <c r="BL17" i="6"/>
  <c r="BH17" i="6"/>
  <c r="BG17" i="6"/>
  <c r="AQ17" i="6"/>
  <c r="AT17" i="6" s="1"/>
  <c r="AL17" i="6"/>
  <c r="AN17" i="6" s="1"/>
  <c r="AI17" i="6"/>
  <c r="AG17" i="6"/>
  <c r="P17" i="6"/>
  <c r="O17" i="6"/>
  <c r="BS16" i="6"/>
  <c r="BM16" i="6"/>
  <c r="BL16" i="6"/>
  <c r="BH16" i="6"/>
  <c r="BG16" i="6"/>
  <c r="AT16" i="6"/>
  <c r="AQ16" i="6"/>
  <c r="AN16" i="6"/>
  <c r="AL16" i="6"/>
  <c r="AG16" i="6"/>
  <c r="AI16" i="6" s="1"/>
  <c r="P16" i="6"/>
  <c r="O16" i="6"/>
  <c r="BS15" i="6"/>
  <c r="BM15" i="6"/>
  <c r="BL15" i="6"/>
  <c r="BH15" i="6"/>
  <c r="BG15" i="6"/>
  <c r="AQ15" i="6"/>
  <c r="AT15" i="6" s="1"/>
  <c r="AL15" i="6"/>
  <c r="AN15" i="6" s="1"/>
  <c r="AI15" i="6"/>
  <c r="AG15" i="6"/>
  <c r="P15" i="6"/>
  <c r="O15" i="6"/>
  <c r="BS14" i="6"/>
  <c r="BM14" i="6"/>
  <c r="BL14" i="6"/>
  <c r="BH14" i="6"/>
  <c r="BG14" i="6"/>
  <c r="AT14" i="6"/>
  <c r="AS14" i="6"/>
  <c r="AQ14" i="6"/>
  <c r="AN14" i="6"/>
  <c r="AL14" i="6"/>
  <c r="AG14" i="6"/>
  <c r="AI14" i="6" s="1"/>
  <c r="AR14" i="6" s="1"/>
  <c r="P14" i="6"/>
  <c r="O14" i="6"/>
  <c r="BS13" i="6"/>
  <c r="BM13" i="6"/>
  <c r="BL13" i="6"/>
  <c r="BH13" i="6"/>
  <c r="BG13" i="6"/>
  <c r="AQ13" i="6"/>
  <c r="AT13" i="6" s="1"/>
  <c r="AL13" i="6"/>
  <c r="AN13" i="6" s="1"/>
  <c r="AI13" i="6"/>
  <c r="AG13" i="6"/>
  <c r="P13" i="6"/>
  <c r="O13" i="6"/>
  <c r="BS12" i="6"/>
  <c r="BM12" i="6"/>
  <c r="BL12" i="6"/>
  <c r="BH12" i="6"/>
  <c r="BG12" i="6"/>
  <c r="AT12" i="6"/>
  <c r="AQ12" i="6"/>
  <c r="AN12" i="6"/>
  <c r="AL12" i="6"/>
  <c r="AG12" i="6"/>
  <c r="AI12" i="6" s="1"/>
  <c r="AR12" i="6" s="1"/>
  <c r="P12" i="6"/>
  <c r="O12" i="6"/>
  <c r="BS11" i="6"/>
  <c r="BM11" i="6"/>
  <c r="BL11" i="6"/>
  <c r="BH11" i="6"/>
  <c r="BG11" i="6"/>
  <c r="AQ11" i="6"/>
  <c r="AT11" i="6" s="1"/>
  <c r="AL11" i="6"/>
  <c r="AN11" i="6" s="1"/>
  <c r="AI11" i="6"/>
  <c r="AG11" i="6"/>
  <c r="P11" i="6"/>
  <c r="O11" i="6"/>
  <c r="BS10" i="6"/>
  <c r="BM10" i="6"/>
  <c r="BL10" i="6"/>
  <c r="BH10" i="6"/>
  <c r="BG10" i="6"/>
  <c r="AT10" i="6"/>
  <c r="AS10" i="6"/>
  <c r="AQ10" i="6"/>
  <c r="AN10" i="6"/>
  <c r="AL10" i="6"/>
  <c r="AG10" i="6"/>
  <c r="AI10" i="6" s="1"/>
  <c r="AR10" i="6" s="1"/>
  <c r="P10" i="6"/>
  <c r="O10" i="6"/>
  <c r="BS9" i="6"/>
  <c r="BM9" i="6"/>
  <c r="BL9" i="6"/>
  <c r="BH9" i="6"/>
  <c r="BG9" i="6"/>
  <c r="AQ9" i="6"/>
  <c r="AT9" i="6" s="1"/>
  <c r="AL9" i="6"/>
  <c r="AN9" i="6" s="1"/>
  <c r="AI9" i="6"/>
  <c r="AG9" i="6"/>
  <c r="P9" i="6"/>
  <c r="O9" i="6"/>
  <c r="BS8" i="6"/>
  <c r="BM8" i="6"/>
  <c r="BL8" i="6"/>
  <c r="BH8" i="6"/>
  <c r="BG8" i="6"/>
  <c r="AT8" i="6"/>
  <c r="AQ8" i="6"/>
  <c r="AN8" i="6"/>
  <c r="AL8" i="6"/>
  <c r="AG8" i="6"/>
  <c r="AI8" i="6" s="1"/>
  <c r="AR8" i="6" s="1"/>
  <c r="P8" i="6"/>
  <c r="O8" i="6"/>
  <c r="BS7" i="6"/>
  <c r="BM7" i="6"/>
  <c r="BL7" i="6"/>
  <c r="BH7" i="6"/>
  <c r="BG7" i="6"/>
  <c r="AQ7" i="6"/>
  <c r="AT7" i="6" s="1"/>
  <c r="AL7" i="6"/>
  <c r="AN7" i="6" s="1"/>
  <c r="AI7" i="6"/>
  <c r="AG7" i="6"/>
  <c r="P7" i="6"/>
  <c r="O7" i="6"/>
  <c r="BS6" i="6"/>
  <c r="BM6" i="6"/>
  <c r="BL6" i="6"/>
  <c r="BH6" i="6"/>
  <c r="BG6" i="6"/>
  <c r="AT6" i="6"/>
  <c r="AQ6" i="6"/>
  <c r="AN6" i="6"/>
  <c r="AL6" i="6"/>
  <c r="AG6" i="6"/>
  <c r="AI6" i="6" s="1"/>
  <c r="P6" i="6"/>
  <c r="O6" i="6"/>
  <c r="BS5" i="6"/>
  <c r="BM5" i="6"/>
  <c r="BL5" i="6"/>
  <c r="BH5" i="6"/>
  <c r="BG5" i="6"/>
  <c r="AQ5" i="6"/>
  <c r="AT5" i="6" s="1"/>
  <c r="AL5" i="6"/>
  <c r="AN5" i="6" s="1"/>
  <c r="AI5" i="6"/>
  <c r="AG5" i="6"/>
  <c r="P5" i="6"/>
  <c r="O5" i="6"/>
  <c r="BS4" i="6"/>
  <c r="BM4" i="6"/>
  <c r="BL4" i="6"/>
  <c r="BH4" i="6"/>
  <c r="BG4" i="6"/>
  <c r="AT4" i="6"/>
  <c r="AS4" i="6"/>
  <c r="AQ4" i="6"/>
  <c r="AN4" i="6"/>
  <c r="AL4" i="6"/>
  <c r="AG4" i="6"/>
  <c r="AI4" i="6" s="1"/>
  <c r="AR4" i="6" s="1"/>
  <c r="P4" i="6"/>
  <c r="O4" i="6"/>
  <c r="BS3" i="6"/>
  <c r="BM3" i="6"/>
  <c r="BL3" i="6"/>
  <c r="BH3" i="6"/>
  <c r="BG3" i="6"/>
  <c r="AQ3" i="6"/>
  <c r="AT3" i="6" s="1"/>
  <c r="AL3" i="6"/>
  <c r="AN3" i="6" s="1"/>
  <c r="AI3" i="6"/>
  <c r="AG3" i="6"/>
  <c r="P3" i="6"/>
  <c r="O3" i="6"/>
  <c r="BS2" i="6"/>
  <c r="BM2" i="6"/>
  <c r="BL2" i="6"/>
  <c r="BH2" i="6"/>
  <c r="BG2" i="6"/>
  <c r="AT2" i="6"/>
  <c r="AQ2" i="6"/>
  <c r="AN2" i="6"/>
  <c r="AL2" i="6"/>
  <c r="AG2" i="6"/>
  <c r="AI2" i="6" s="1"/>
  <c r="AR2" i="6" s="1"/>
  <c r="P2" i="6"/>
  <c r="O2" i="6"/>
  <c r="BS300" i="5"/>
  <c r="BM300" i="5"/>
  <c r="BL300" i="5"/>
  <c r="BH300" i="5"/>
  <c r="BG300" i="5"/>
  <c r="AQ300" i="5"/>
  <c r="AT300" i="5" s="1"/>
  <c r="AL300" i="5"/>
  <c r="AN300" i="5" s="1"/>
  <c r="AI300" i="5"/>
  <c r="AG300" i="5"/>
  <c r="P300" i="5"/>
  <c r="O300" i="5"/>
  <c r="BS299" i="5"/>
  <c r="BM299" i="5"/>
  <c r="BL299" i="5"/>
  <c r="BH299" i="5"/>
  <c r="BG299" i="5"/>
  <c r="AT299" i="5"/>
  <c r="AS299" i="5"/>
  <c r="AQ299" i="5"/>
  <c r="AN299" i="5"/>
  <c r="AL299" i="5"/>
  <c r="AI299" i="5"/>
  <c r="AR299" i="5" s="1"/>
  <c r="AG299" i="5"/>
  <c r="P299" i="5"/>
  <c r="O299" i="5"/>
  <c r="BS298" i="5"/>
  <c r="BM298" i="5"/>
  <c r="BL298" i="5"/>
  <c r="BH298" i="5"/>
  <c r="BG298" i="5"/>
  <c r="AS298" i="5"/>
  <c r="AQ298" i="5"/>
  <c r="AT298" i="5" s="1"/>
  <c r="AL298" i="5"/>
  <c r="AN298" i="5" s="1"/>
  <c r="AI298" i="5"/>
  <c r="AR298" i="5" s="1"/>
  <c r="AG298" i="5"/>
  <c r="P298" i="5"/>
  <c r="O298" i="5"/>
  <c r="BS297" i="5"/>
  <c r="BM297" i="5"/>
  <c r="BL297" i="5"/>
  <c r="BH297" i="5"/>
  <c r="BG297" i="5"/>
  <c r="AT297" i="5"/>
  <c r="AQ297" i="5"/>
  <c r="AN297" i="5"/>
  <c r="AL297" i="5"/>
  <c r="AI297" i="5"/>
  <c r="AR297" i="5" s="1"/>
  <c r="AG297" i="5"/>
  <c r="P297" i="5"/>
  <c r="O297" i="5"/>
  <c r="BS296" i="5"/>
  <c r="BM296" i="5"/>
  <c r="BL296" i="5"/>
  <c r="BH296" i="5"/>
  <c r="BG296" i="5"/>
  <c r="AQ296" i="5"/>
  <c r="AT296" i="5" s="1"/>
  <c r="AL296" i="5"/>
  <c r="AN296" i="5" s="1"/>
  <c r="AI296" i="5"/>
  <c r="AG296" i="5"/>
  <c r="P296" i="5"/>
  <c r="O296" i="5"/>
  <c r="BS295" i="5"/>
  <c r="BM295" i="5"/>
  <c r="BL295" i="5"/>
  <c r="BH295" i="5"/>
  <c r="BG295" i="5"/>
  <c r="AT295" i="5"/>
  <c r="AS295" i="5"/>
  <c r="AQ295" i="5"/>
  <c r="AN295" i="5"/>
  <c r="AL295" i="5"/>
  <c r="AI295" i="5"/>
  <c r="AR295" i="5" s="1"/>
  <c r="AG295" i="5"/>
  <c r="P295" i="5"/>
  <c r="O295" i="5"/>
  <c r="BS294" i="5"/>
  <c r="BM294" i="5"/>
  <c r="BL294" i="5"/>
  <c r="BH294" i="5"/>
  <c r="BG294" i="5"/>
  <c r="AQ294" i="5"/>
  <c r="AT294" i="5" s="1"/>
  <c r="AL294" i="5"/>
  <c r="AN294" i="5" s="1"/>
  <c r="AI294" i="5"/>
  <c r="AG294" i="5"/>
  <c r="P294" i="5"/>
  <c r="O294" i="5"/>
  <c r="BS293" i="5"/>
  <c r="BM293" i="5"/>
  <c r="BL293" i="5"/>
  <c r="BH293" i="5"/>
  <c r="BG293" i="5"/>
  <c r="AT293" i="5"/>
  <c r="AS293" i="5"/>
  <c r="AQ293" i="5"/>
  <c r="AN293" i="5"/>
  <c r="AL293" i="5"/>
  <c r="AI293" i="5"/>
  <c r="AR293" i="5" s="1"/>
  <c r="AG293" i="5"/>
  <c r="P293" i="5"/>
  <c r="O293" i="5"/>
  <c r="BS292" i="5"/>
  <c r="BM292" i="5"/>
  <c r="BL292" i="5"/>
  <c r="BH292" i="5"/>
  <c r="BG292" i="5"/>
  <c r="AQ292" i="5"/>
  <c r="AT292" i="5" s="1"/>
  <c r="AL292" i="5"/>
  <c r="AN292" i="5" s="1"/>
  <c r="AS292" i="5" s="1"/>
  <c r="AI292" i="5"/>
  <c r="AG292" i="5"/>
  <c r="P292" i="5"/>
  <c r="O292" i="5"/>
  <c r="BS291" i="5"/>
  <c r="BM291" i="5"/>
  <c r="BL291" i="5"/>
  <c r="BH291" i="5"/>
  <c r="BG291" i="5"/>
  <c r="AT291" i="5"/>
  <c r="AQ291" i="5"/>
  <c r="AN291" i="5"/>
  <c r="AL291" i="5"/>
  <c r="AI291" i="5"/>
  <c r="AG291" i="5"/>
  <c r="P291" i="5"/>
  <c r="O291" i="5"/>
  <c r="BS290" i="5"/>
  <c r="BM290" i="5"/>
  <c r="BL290" i="5"/>
  <c r="BH290" i="5"/>
  <c r="BG290" i="5"/>
  <c r="AQ290" i="5"/>
  <c r="AT290" i="5" s="1"/>
  <c r="AL290" i="5"/>
  <c r="AN290" i="5" s="1"/>
  <c r="AI290" i="5"/>
  <c r="AG290" i="5"/>
  <c r="P290" i="5"/>
  <c r="O290" i="5"/>
  <c r="BS289" i="5"/>
  <c r="BM289" i="5"/>
  <c r="BL289" i="5"/>
  <c r="BH289" i="5"/>
  <c r="BG289" i="5"/>
  <c r="AT289" i="5"/>
  <c r="AS289" i="5"/>
  <c r="AQ289" i="5"/>
  <c r="AN289" i="5"/>
  <c r="AL289" i="5"/>
  <c r="AI289" i="5"/>
  <c r="AR289" i="5" s="1"/>
  <c r="AG289" i="5"/>
  <c r="P289" i="5"/>
  <c r="O289" i="5"/>
  <c r="BS288" i="5"/>
  <c r="BM288" i="5"/>
  <c r="BL288" i="5"/>
  <c r="BH288" i="5"/>
  <c r="BG288" i="5"/>
  <c r="AS288" i="5"/>
  <c r="AQ288" i="5"/>
  <c r="AT288" i="5" s="1"/>
  <c r="AL288" i="5"/>
  <c r="AN288" i="5" s="1"/>
  <c r="AI288" i="5"/>
  <c r="AR288" i="5" s="1"/>
  <c r="AG288" i="5"/>
  <c r="P288" i="5"/>
  <c r="O288" i="5"/>
  <c r="BS287" i="5"/>
  <c r="BM287" i="5"/>
  <c r="BL287" i="5"/>
  <c r="BH287" i="5"/>
  <c r="BG287" i="5"/>
  <c r="AT287" i="5"/>
  <c r="AQ287" i="5"/>
  <c r="AN287" i="5"/>
  <c r="AL287" i="5"/>
  <c r="AI287" i="5"/>
  <c r="AR287" i="5" s="1"/>
  <c r="AG287" i="5"/>
  <c r="P287" i="5"/>
  <c r="O287" i="5"/>
  <c r="BS286" i="5"/>
  <c r="BM286" i="5"/>
  <c r="BL286" i="5"/>
  <c r="BH286" i="5"/>
  <c r="BG286" i="5"/>
  <c r="AQ286" i="5"/>
  <c r="AT286" i="5" s="1"/>
  <c r="AL286" i="5"/>
  <c r="AN286" i="5" s="1"/>
  <c r="AI286" i="5"/>
  <c r="AG286" i="5"/>
  <c r="P286" i="5"/>
  <c r="O286" i="5"/>
  <c r="BS285" i="5"/>
  <c r="BM285" i="5"/>
  <c r="BL285" i="5"/>
  <c r="BH285" i="5"/>
  <c r="BG285" i="5"/>
  <c r="AT285" i="5"/>
  <c r="AS285" i="5"/>
  <c r="AQ285" i="5"/>
  <c r="AN285" i="5"/>
  <c r="AL285" i="5"/>
  <c r="AI285" i="5"/>
  <c r="AR285" i="5" s="1"/>
  <c r="AG285" i="5"/>
  <c r="P285" i="5"/>
  <c r="O285" i="5"/>
  <c r="BS284" i="5"/>
  <c r="BM284" i="5"/>
  <c r="BL284" i="5"/>
  <c r="BH284" i="5"/>
  <c r="BG284" i="5"/>
  <c r="AQ284" i="5"/>
  <c r="AT284" i="5" s="1"/>
  <c r="AL284" i="5"/>
  <c r="AN284" i="5" s="1"/>
  <c r="AI284" i="5"/>
  <c r="AG284" i="5"/>
  <c r="P284" i="5"/>
  <c r="O284" i="5"/>
  <c r="BS283" i="5"/>
  <c r="BM283" i="5"/>
  <c r="BL283" i="5"/>
  <c r="BH283" i="5"/>
  <c r="BG283" i="5"/>
  <c r="AT283" i="5"/>
  <c r="AS283" i="5"/>
  <c r="AQ283" i="5"/>
  <c r="AN283" i="5"/>
  <c r="AL283" i="5"/>
  <c r="AI283" i="5"/>
  <c r="AR283" i="5" s="1"/>
  <c r="AG283" i="5"/>
  <c r="P283" i="5"/>
  <c r="O283" i="5"/>
  <c r="BS282" i="5"/>
  <c r="BM282" i="5"/>
  <c r="BL282" i="5"/>
  <c r="BH282" i="5"/>
  <c r="BG282" i="5"/>
  <c r="AQ282" i="5"/>
  <c r="AT282" i="5" s="1"/>
  <c r="AL282" i="5"/>
  <c r="AN282" i="5" s="1"/>
  <c r="AS282" i="5" s="1"/>
  <c r="AI282" i="5"/>
  <c r="AG282" i="5"/>
  <c r="P282" i="5"/>
  <c r="O282" i="5"/>
  <c r="BS281" i="5"/>
  <c r="BM281" i="5"/>
  <c r="BL281" i="5"/>
  <c r="BH281" i="5"/>
  <c r="BG281" i="5"/>
  <c r="AT281" i="5"/>
  <c r="AQ281" i="5"/>
  <c r="AN281" i="5"/>
  <c r="AL281" i="5"/>
  <c r="AI281" i="5"/>
  <c r="AG281" i="5"/>
  <c r="P281" i="5"/>
  <c r="O281" i="5"/>
  <c r="BS280" i="5"/>
  <c r="BM280" i="5"/>
  <c r="BL280" i="5"/>
  <c r="BH280" i="5"/>
  <c r="BG280" i="5"/>
  <c r="AQ280" i="5"/>
  <c r="AT280" i="5" s="1"/>
  <c r="AL280" i="5"/>
  <c r="AN280" i="5" s="1"/>
  <c r="AI280" i="5"/>
  <c r="AG280" i="5"/>
  <c r="P280" i="5"/>
  <c r="O280" i="5"/>
  <c r="BS279" i="5"/>
  <c r="BM279" i="5"/>
  <c r="BL279" i="5"/>
  <c r="BH279" i="5"/>
  <c r="BG279" i="5"/>
  <c r="AT279" i="5"/>
  <c r="AS279" i="5"/>
  <c r="AQ279" i="5"/>
  <c r="AN279" i="5"/>
  <c r="AL279" i="5"/>
  <c r="AI279" i="5"/>
  <c r="AR279" i="5" s="1"/>
  <c r="AG279" i="5"/>
  <c r="P279" i="5"/>
  <c r="O279" i="5"/>
  <c r="BS278" i="5"/>
  <c r="BM278" i="5"/>
  <c r="BL278" i="5"/>
  <c r="BH278" i="5"/>
  <c r="BG278" i="5"/>
  <c r="AS278" i="5"/>
  <c r="AQ278" i="5"/>
  <c r="AT278" i="5" s="1"/>
  <c r="AL278" i="5"/>
  <c r="AN278" i="5" s="1"/>
  <c r="AI278" i="5"/>
  <c r="AR278" i="5" s="1"/>
  <c r="AG278" i="5"/>
  <c r="P278" i="5"/>
  <c r="O278" i="5"/>
  <c r="BS277" i="5"/>
  <c r="BM277" i="5"/>
  <c r="BL277" i="5"/>
  <c r="BH277" i="5"/>
  <c r="BG277" i="5"/>
  <c r="AT277" i="5"/>
  <c r="AQ277" i="5"/>
  <c r="AN277" i="5"/>
  <c r="AL277" i="5"/>
  <c r="AI277" i="5"/>
  <c r="AR277" i="5" s="1"/>
  <c r="AG277" i="5"/>
  <c r="P277" i="5"/>
  <c r="O277" i="5"/>
  <c r="BS276" i="5"/>
  <c r="BM276" i="5"/>
  <c r="BL276" i="5"/>
  <c r="BH276" i="5"/>
  <c r="BG276" i="5"/>
  <c r="AQ276" i="5"/>
  <c r="AT276" i="5" s="1"/>
  <c r="AL276" i="5"/>
  <c r="AN276" i="5" s="1"/>
  <c r="AI276" i="5"/>
  <c r="AG276" i="5"/>
  <c r="P276" i="5"/>
  <c r="O276" i="5"/>
  <c r="BS275" i="5"/>
  <c r="BM275" i="5"/>
  <c r="BL275" i="5"/>
  <c r="BH275" i="5"/>
  <c r="BG275" i="5"/>
  <c r="AT275" i="5"/>
  <c r="AS275" i="5"/>
  <c r="AQ275" i="5"/>
  <c r="AN275" i="5"/>
  <c r="AL275" i="5"/>
  <c r="AI275" i="5"/>
  <c r="AR275" i="5" s="1"/>
  <c r="AG275" i="5"/>
  <c r="P275" i="5"/>
  <c r="O275" i="5"/>
  <c r="BS274" i="5"/>
  <c r="BM274" i="5"/>
  <c r="BL274" i="5"/>
  <c r="BH274" i="5"/>
  <c r="BG274" i="5"/>
  <c r="AQ274" i="5"/>
  <c r="AT274" i="5" s="1"/>
  <c r="AL274" i="5"/>
  <c r="AN274" i="5" s="1"/>
  <c r="AI274" i="5"/>
  <c r="AG274" i="5"/>
  <c r="P274" i="5"/>
  <c r="O274" i="5"/>
  <c r="BS273" i="5"/>
  <c r="BM273" i="5"/>
  <c r="BL273" i="5"/>
  <c r="BH273" i="5"/>
  <c r="BG273" i="5"/>
  <c r="AT273" i="5"/>
  <c r="AQ273" i="5"/>
  <c r="AN273" i="5"/>
  <c r="AL273" i="5"/>
  <c r="AI273" i="5"/>
  <c r="AR273" i="5" s="1"/>
  <c r="AG273" i="5"/>
  <c r="P273" i="5"/>
  <c r="O273" i="5"/>
  <c r="BS272" i="5"/>
  <c r="BM272" i="5"/>
  <c r="BL272" i="5"/>
  <c r="BH272" i="5"/>
  <c r="BG272" i="5"/>
  <c r="AQ272" i="5"/>
  <c r="AT272" i="5" s="1"/>
  <c r="AL272" i="5"/>
  <c r="AN272" i="5" s="1"/>
  <c r="AS272" i="5" s="1"/>
  <c r="AI272" i="5"/>
  <c r="AG272" i="5"/>
  <c r="P272" i="5"/>
  <c r="O272" i="5"/>
  <c r="BS271" i="5"/>
  <c r="BM271" i="5"/>
  <c r="BL271" i="5"/>
  <c r="BH271" i="5"/>
  <c r="BG271" i="5"/>
  <c r="AT271" i="5"/>
  <c r="AQ271" i="5"/>
  <c r="AN271" i="5"/>
  <c r="AL271" i="5"/>
  <c r="AI271" i="5"/>
  <c r="AG271" i="5"/>
  <c r="P271" i="5"/>
  <c r="O271" i="5"/>
  <c r="BS270" i="5"/>
  <c r="BM270" i="5"/>
  <c r="BL270" i="5"/>
  <c r="BH270" i="5"/>
  <c r="BG270" i="5"/>
  <c r="AQ270" i="5"/>
  <c r="AT270" i="5" s="1"/>
  <c r="AL270" i="5"/>
  <c r="AN270" i="5" s="1"/>
  <c r="AI270" i="5"/>
  <c r="AG270" i="5"/>
  <c r="P270" i="5"/>
  <c r="O270" i="5"/>
  <c r="BS269" i="5"/>
  <c r="BM269" i="5"/>
  <c r="BL269" i="5"/>
  <c r="BH269" i="5"/>
  <c r="BG269" i="5"/>
  <c r="AT269" i="5"/>
  <c r="AS269" i="5"/>
  <c r="AQ269" i="5"/>
  <c r="AN269" i="5"/>
  <c r="AL269" i="5"/>
  <c r="AI269" i="5"/>
  <c r="AR269" i="5" s="1"/>
  <c r="AG269" i="5"/>
  <c r="P269" i="5"/>
  <c r="O269" i="5"/>
  <c r="BS268" i="5"/>
  <c r="BM268" i="5"/>
  <c r="BL268" i="5"/>
  <c r="BH268" i="5"/>
  <c r="BG268" i="5"/>
  <c r="AS268" i="5"/>
  <c r="AQ268" i="5"/>
  <c r="AT268" i="5" s="1"/>
  <c r="AL268" i="5"/>
  <c r="AN268" i="5" s="1"/>
  <c r="AI268" i="5"/>
  <c r="AR268" i="5" s="1"/>
  <c r="AG268" i="5"/>
  <c r="P268" i="5"/>
  <c r="O268" i="5"/>
  <c r="BS267" i="5"/>
  <c r="BM267" i="5"/>
  <c r="BL267" i="5"/>
  <c r="BH267" i="5"/>
  <c r="BG267" i="5"/>
  <c r="AT267" i="5"/>
  <c r="AQ267" i="5"/>
  <c r="AN267" i="5"/>
  <c r="AL267" i="5"/>
  <c r="AI267" i="5"/>
  <c r="AR267" i="5" s="1"/>
  <c r="AG267" i="5"/>
  <c r="P267" i="5"/>
  <c r="O267" i="5"/>
  <c r="BS266" i="5"/>
  <c r="BM266" i="5"/>
  <c r="BL266" i="5"/>
  <c r="BH266" i="5"/>
  <c r="BG266" i="5"/>
  <c r="AQ266" i="5"/>
  <c r="AT266" i="5" s="1"/>
  <c r="AL266" i="5"/>
  <c r="AN266" i="5" s="1"/>
  <c r="AI266" i="5"/>
  <c r="AG266" i="5"/>
  <c r="P266" i="5"/>
  <c r="O266" i="5"/>
  <c r="BS265" i="5"/>
  <c r="BM265" i="5"/>
  <c r="BL265" i="5"/>
  <c r="BH265" i="5"/>
  <c r="BG265" i="5"/>
  <c r="AT265" i="5"/>
  <c r="AS265" i="5"/>
  <c r="AQ265" i="5"/>
  <c r="AN265" i="5"/>
  <c r="AL265" i="5"/>
  <c r="AI265" i="5"/>
  <c r="AR265" i="5" s="1"/>
  <c r="AG265" i="5"/>
  <c r="P265" i="5"/>
  <c r="O265" i="5"/>
  <c r="BS264" i="5"/>
  <c r="BM264" i="5"/>
  <c r="BL264" i="5"/>
  <c r="BH264" i="5"/>
  <c r="BG264" i="5"/>
  <c r="AQ264" i="5"/>
  <c r="AT264" i="5" s="1"/>
  <c r="AL264" i="5"/>
  <c r="AN264" i="5" s="1"/>
  <c r="AI264" i="5"/>
  <c r="AG264" i="5"/>
  <c r="P264" i="5"/>
  <c r="O264" i="5"/>
  <c r="BS263" i="5"/>
  <c r="BM263" i="5"/>
  <c r="BL263" i="5"/>
  <c r="BH263" i="5"/>
  <c r="BG263" i="5"/>
  <c r="AT263" i="5"/>
  <c r="AQ263" i="5"/>
  <c r="AN263" i="5"/>
  <c r="AL263" i="5"/>
  <c r="AI263" i="5"/>
  <c r="AG263" i="5"/>
  <c r="P263" i="5"/>
  <c r="O263" i="5"/>
  <c r="BS262" i="5"/>
  <c r="BM262" i="5"/>
  <c r="BL262" i="5"/>
  <c r="BH262" i="5"/>
  <c r="BG262" i="5"/>
  <c r="AQ262" i="5"/>
  <c r="AT262" i="5" s="1"/>
  <c r="AL262" i="5"/>
  <c r="AN262" i="5" s="1"/>
  <c r="AS262" i="5" s="1"/>
  <c r="AI262" i="5"/>
  <c r="AG262" i="5"/>
  <c r="P262" i="5"/>
  <c r="O262" i="5"/>
  <c r="BS261" i="5"/>
  <c r="BM261" i="5"/>
  <c r="BL261" i="5"/>
  <c r="BH261" i="5"/>
  <c r="BG261" i="5"/>
  <c r="AT261" i="5"/>
  <c r="AQ261" i="5"/>
  <c r="AN261" i="5"/>
  <c r="AL261" i="5"/>
  <c r="AI261" i="5"/>
  <c r="AG261" i="5"/>
  <c r="P261" i="5"/>
  <c r="O261" i="5"/>
  <c r="BS260" i="5"/>
  <c r="BM260" i="5"/>
  <c r="BL260" i="5"/>
  <c r="BH260" i="5"/>
  <c r="BG260" i="5"/>
  <c r="AQ260" i="5"/>
  <c r="AT260" i="5" s="1"/>
  <c r="AL260" i="5"/>
  <c r="AN260" i="5" s="1"/>
  <c r="AI260" i="5"/>
  <c r="AG260" i="5"/>
  <c r="P260" i="5"/>
  <c r="O260" i="5"/>
  <c r="BS259" i="5"/>
  <c r="BM259" i="5"/>
  <c r="BL259" i="5"/>
  <c r="BH259" i="5"/>
  <c r="BG259" i="5"/>
  <c r="AT259" i="5"/>
  <c r="AS259" i="5"/>
  <c r="AQ259" i="5"/>
  <c r="AN259" i="5"/>
  <c r="AL259" i="5"/>
  <c r="AI259" i="5"/>
  <c r="AR259" i="5" s="1"/>
  <c r="AG259" i="5"/>
  <c r="P259" i="5"/>
  <c r="O259" i="5"/>
  <c r="BS258" i="5"/>
  <c r="BM258" i="5"/>
  <c r="BL258" i="5"/>
  <c r="BH258" i="5"/>
  <c r="BG258" i="5"/>
  <c r="AS258" i="5"/>
  <c r="AQ258" i="5"/>
  <c r="AT258" i="5" s="1"/>
  <c r="AL258" i="5"/>
  <c r="AN258" i="5" s="1"/>
  <c r="AI258" i="5"/>
  <c r="AR258" i="5" s="1"/>
  <c r="AG258" i="5"/>
  <c r="P258" i="5"/>
  <c r="O258" i="5"/>
  <c r="BS257" i="5"/>
  <c r="BM257" i="5"/>
  <c r="BL257" i="5"/>
  <c r="BH257" i="5"/>
  <c r="BG257" i="5"/>
  <c r="AT257" i="5"/>
  <c r="AQ257" i="5"/>
  <c r="AN257" i="5"/>
  <c r="AL257" i="5"/>
  <c r="AI257" i="5"/>
  <c r="AR257" i="5" s="1"/>
  <c r="AG257" i="5"/>
  <c r="P257" i="5"/>
  <c r="O257" i="5"/>
  <c r="BS256" i="5"/>
  <c r="BM256" i="5"/>
  <c r="BL256" i="5"/>
  <c r="BH256" i="5"/>
  <c r="BG256" i="5"/>
  <c r="AQ256" i="5"/>
  <c r="AT256" i="5" s="1"/>
  <c r="AL256" i="5"/>
  <c r="AN256" i="5" s="1"/>
  <c r="AI256" i="5"/>
  <c r="AG256" i="5"/>
  <c r="P256" i="5"/>
  <c r="O256" i="5"/>
  <c r="BS255" i="5"/>
  <c r="BM255" i="5"/>
  <c r="BL255" i="5"/>
  <c r="BH255" i="5"/>
  <c r="BG255" i="5"/>
  <c r="AT255" i="5"/>
  <c r="AS255" i="5"/>
  <c r="AQ255" i="5"/>
  <c r="AN255" i="5"/>
  <c r="AL255" i="5"/>
  <c r="AI255" i="5"/>
  <c r="AR255" i="5" s="1"/>
  <c r="AG255" i="5"/>
  <c r="P255" i="5"/>
  <c r="O255" i="5"/>
  <c r="BS254" i="5"/>
  <c r="BM254" i="5"/>
  <c r="BL254" i="5"/>
  <c r="BH254" i="5"/>
  <c r="BG254" i="5"/>
  <c r="AQ254" i="5"/>
  <c r="AT254" i="5" s="1"/>
  <c r="AL254" i="5"/>
  <c r="AN254" i="5" s="1"/>
  <c r="AI254" i="5"/>
  <c r="AG254" i="5"/>
  <c r="P254" i="5"/>
  <c r="O254" i="5"/>
  <c r="BS253" i="5"/>
  <c r="BM253" i="5"/>
  <c r="BL253" i="5"/>
  <c r="BH253" i="5"/>
  <c r="BG253" i="5"/>
  <c r="AT253" i="5"/>
  <c r="AS253" i="5"/>
  <c r="AQ253" i="5"/>
  <c r="AN253" i="5"/>
  <c r="AL253" i="5"/>
  <c r="AI253" i="5"/>
  <c r="AR253" i="5" s="1"/>
  <c r="AG253" i="5"/>
  <c r="P253" i="5"/>
  <c r="O253" i="5"/>
  <c r="BS252" i="5"/>
  <c r="BM252" i="5"/>
  <c r="BL252" i="5"/>
  <c r="BH252" i="5"/>
  <c r="BG252" i="5"/>
  <c r="AQ252" i="5"/>
  <c r="AT252" i="5" s="1"/>
  <c r="AL252" i="5"/>
  <c r="AN252" i="5" s="1"/>
  <c r="AS252" i="5" s="1"/>
  <c r="AI252" i="5"/>
  <c r="AG252" i="5"/>
  <c r="P252" i="5"/>
  <c r="O252" i="5"/>
  <c r="BS251" i="5"/>
  <c r="BM251" i="5"/>
  <c r="BL251" i="5"/>
  <c r="BH251" i="5"/>
  <c r="BG251" i="5"/>
  <c r="AT251" i="5"/>
  <c r="AQ251" i="5"/>
  <c r="AN251" i="5"/>
  <c r="AL251" i="5"/>
  <c r="AI251" i="5"/>
  <c r="AG251" i="5"/>
  <c r="P251" i="5"/>
  <c r="O251" i="5"/>
  <c r="BS250" i="5"/>
  <c r="BM250" i="5"/>
  <c r="BL250" i="5"/>
  <c r="BH250" i="5"/>
  <c r="BG250" i="5"/>
  <c r="AQ250" i="5"/>
  <c r="AT250" i="5" s="1"/>
  <c r="AL250" i="5"/>
  <c r="AN250" i="5" s="1"/>
  <c r="AI250" i="5"/>
  <c r="AG250" i="5"/>
  <c r="P250" i="5"/>
  <c r="O250" i="5"/>
  <c r="BS249" i="5"/>
  <c r="BM249" i="5"/>
  <c r="BL249" i="5"/>
  <c r="BH249" i="5"/>
  <c r="BG249" i="5"/>
  <c r="AT249" i="5"/>
  <c r="AS249" i="5"/>
  <c r="AQ249" i="5"/>
  <c r="AN249" i="5"/>
  <c r="AL249" i="5"/>
  <c r="AI249" i="5"/>
  <c r="AR249" i="5" s="1"/>
  <c r="AG249" i="5"/>
  <c r="P249" i="5"/>
  <c r="O249" i="5"/>
  <c r="BS248" i="5"/>
  <c r="BM248" i="5"/>
  <c r="BL248" i="5"/>
  <c r="BH248" i="5"/>
  <c r="BG248" i="5"/>
  <c r="AS248" i="5"/>
  <c r="AQ248" i="5"/>
  <c r="AT248" i="5" s="1"/>
  <c r="AL248" i="5"/>
  <c r="AN248" i="5" s="1"/>
  <c r="AI248" i="5"/>
  <c r="AR248" i="5" s="1"/>
  <c r="AG248" i="5"/>
  <c r="P248" i="5"/>
  <c r="O248" i="5"/>
  <c r="BS247" i="5"/>
  <c r="BM247" i="5"/>
  <c r="BL247" i="5"/>
  <c r="BH247" i="5"/>
  <c r="BG247" i="5"/>
  <c r="AT247" i="5"/>
  <c r="AS247" i="5"/>
  <c r="AQ247" i="5"/>
  <c r="AN247" i="5"/>
  <c r="AL247" i="5"/>
  <c r="AI247" i="5"/>
  <c r="AR247" i="5" s="1"/>
  <c r="AG247" i="5"/>
  <c r="P247" i="5"/>
  <c r="O247" i="5"/>
  <c r="BS246" i="5"/>
  <c r="BM246" i="5"/>
  <c r="BL246" i="5"/>
  <c r="BH246" i="5"/>
  <c r="BG246" i="5"/>
  <c r="AQ246" i="5"/>
  <c r="AT246" i="5" s="1"/>
  <c r="AL246" i="5"/>
  <c r="AN246" i="5" s="1"/>
  <c r="AI246" i="5"/>
  <c r="AG246" i="5"/>
  <c r="P246" i="5"/>
  <c r="O246" i="5"/>
  <c r="BS245" i="5"/>
  <c r="BM245" i="5"/>
  <c r="BL245" i="5"/>
  <c r="BH245" i="5"/>
  <c r="BG245" i="5"/>
  <c r="AT245" i="5"/>
  <c r="AS245" i="5"/>
  <c r="AQ245" i="5"/>
  <c r="AN245" i="5"/>
  <c r="AL245" i="5"/>
  <c r="AI245" i="5"/>
  <c r="AR245" i="5" s="1"/>
  <c r="AG245" i="5"/>
  <c r="P245" i="5"/>
  <c r="O245" i="5"/>
  <c r="BS244" i="5"/>
  <c r="BM244" i="5"/>
  <c r="BL244" i="5"/>
  <c r="BH244" i="5"/>
  <c r="BG244" i="5"/>
  <c r="AQ244" i="5"/>
  <c r="AT244" i="5" s="1"/>
  <c r="AL244" i="5"/>
  <c r="AN244" i="5" s="1"/>
  <c r="AI244" i="5"/>
  <c r="AG244" i="5"/>
  <c r="P244" i="5"/>
  <c r="O244" i="5"/>
  <c r="BS243" i="5"/>
  <c r="BM243" i="5"/>
  <c r="BL243" i="5"/>
  <c r="BH243" i="5"/>
  <c r="BG243" i="5"/>
  <c r="AT243" i="5"/>
  <c r="AQ243" i="5"/>
  <c r="AN243" i="5"/>
  <c r="AL243" i="5"/>
  <c r="AI243" i="5"/>
  <c r="AG243" i="5"/>
  <c r="P243" i="5"/>
  <c r="O243" i="5"/>
  <c r="BS242" i="5"/>
  <c r="BM242" i="5"/>
  <c r="BL242" i="5"/>
  <c r="BH242" i="5"/>
  <c r="BG242" i="5"/>
  <c r="AQ242" i="5"/>
  <c r="AT242" i="5" s="1"/>
  <c r="AL242" i="5"/>
  <c r="AN242" i="5" s="1"/>
  <c r="AS242" i="5" s="1"/>
  <c r="AI242" i="5"/>
  <c r="AG242" i="5"/>
  <c r="P242" i="5"/>
  <c r="O242" i="5"/>
  <c r="BS241" i="5"/>
  <c r="BM241" i="5"/>
  <c r="BL241" i="5"/>
  <c r="BH241" i="5"/>
  <c r="BG241" i="5"/>
  <c r="AT241" i="5"/>
  <c r="AQ241" i="5"/>
  <c r="AN241" i="5"/>
  <c r="AL241" i="5"/>
  <c r="AI241" i="5"/>
  <c r="AG241" i="5"/>
  <c r="P241" i="5"/>
  <c r="O241" i="5"/>
  <c r="BS240" i="5"/>
  <c r="BM240" i="5"/>
  <c r="BL240" i="5"/>
  <c r="BH240" i="5"/>
  <c r="BG240" i="5"/>
  <c r="AQ240" i="5"/>
  <c r="AT240" i="5" s="1"/>
  <c r="AL240" i="5"/>
  <c r="AN240" i="5" s="1"/>
  <c r="AI240" i="5"/>
  <c r="AG240" i="5"/>
  <c r="P240" i="5"/>
  <c r="O240" i="5"/>
  <c r="BS239" i="5"/>
  <c r="BM239" i="5"/>
  <c r="BL239" i="5"/>
  <c r="BH239" i="5"/>
  <c r="BG239" i="5"/>
  <c r="AT239" i="5"/>
  <c r="AS239" i="5"/>
  <c r="AQ239" i="5"/>
  <c r="AN239" i="5"/>
  <c r="AL239" i="5"/>
  <c r="AI239" i="5"/>
  <c r="AR239" i="5" s="1"/>
  <c r="AG239" i="5"/>
  <c r="P239" i="5"/>
  <c r="O239" i="5"/>
  <c r="BS238" i="5"/>
  <c r="BM238" i="5"/>
  <c r="BL238" i="5"/>
  <c r="BH238" i="5"/>
  <c r="BG238" i="5"/>
  <c r="AS238" i="5"/>
  <c r="AQ238" i="5"/>
  <c r="AT238" i="5" s="1"/>
  <c r="AL238" i="5"/>
  <c r="AN238" i="5" s="1"/>
  <c r="AI238" i="5"/>
  <c r="AR238" i="5" s="1"/>
  <c r="AG238" i="5"/>
  <c r="P238" i="5"/>
  <c r="O238" i="5"/>
  <c r="BS237" i="5"/>
  <c r="BM237" i="5"/>
  <c r="BL237" i="5"/>
  <c r="BH237" i="5"/>
  <c r="BG237" i="5"/>
  <c r="AT237" i="5"/>
  <c r="AS237" i="5"/>
  <c r="AQ237" i="5"/>
  <c r="AN237" i="5"/>
  <c r="AL237" i="5"/>
  <c r="AI237" i="5"/>
  <c r="AR237" i="5" s="1"/>
  <c r="AG237" i="5"/>
  <c r="P237" i="5"/>
  <c r="O237" i="5"/>
  <c r="BS236" i="5"/>
  <c r="BM236" i="5"/>
  <c r="BL236" i="5"/>
  <c r="BH236" i="5"/>
  <c r="BG236" i="5"/>
  <c r="AQ236" i="5"/>
  <c r="AT236" i="5" s="1"/>
  <c r="AL236" i="5"/>
  <c r="AN236" i="5" s="1"/>
  <c r="AI236" i="5"/>
  <c r="AG236" i="5"/>
  <c r="P236" i="5"/>
  <c r="O236" i="5"/>
  <c r="BS235" i="5"/>
  <c r="BM235" i="5"/>
  <c r="BL235" i="5"/>
  <c r="BH235" i="5"/>
  <c r="BG235" i="5"/>
  <c r="AT235" i="5"/>
  <c r="AS235" i="5"/>
  <c r="AQ235" i="5"/>
  <c r="AN235" i="5"/>
  <c r="AL235" i="5"/>
  <c r="AI235" i="5"/>
  <c r="AR235" i="5" s="1"/>
  <c r="AG235" i="5"/>
  <c r="P235" i="5"/>
  <c r="O235" i="5"/>
  <c r="BS234" i="5"/>
  <c r="BM234" i="5"/>
  <c r="BL234" i="5"/>
  <c r="BH234" i="5"/>
  <c r="BG234" i="5"/>
  <c r="AQ234" i="5"/>
  <c r="AT234" i="5" s="1"/>
  <c r="AL234" i="5"/>
  <c r="AN234" i="5" s="1"/>
  <c r="AI234" i="5"/>
  <c r="AG234" i="5"/>
  <c r="P234" i="5"/>
  <c r="O234" i="5"/>
  <c r="BS233" i="5"/>
  <c r="BM233" i="5"/>
  <c r="BL233" i="5"/>
  <c r="BH233" i="5"/>
  <c r="BG233" i="5"/>
  <c r="AT233" i="5"/>
  <c r="AS233" i="5"/>
  <c r="AQ233" i="5"/>
  <c r="AN233" i="5"/>
  <c r="AL233" i="5"/>
  <c r="AI233" i="5"/>
  <c r="AR233" i="5" s="1"/>
  <c r="AG233" i="5"/>
  <c r="P233" i="5"/>
  <c r="O233" i="5"/>
  <c r="BS232" i="5"/>
  <c r="BM232" i="5"/>
  <c r="BL232" i="5"/>
  <c r="BH232" i="5"/>
  <c r="BG232" i="5"/>
  <c r="AQ232" i="5"/>
  <c r="AT232" i="5" s="1"/>
  <c r="AL232" i="5"/>
  <c r="AN232" i="5" s="1"/>
  <c r="AS232" i="5" s="1"/>
  <c r="AI232" i="5"/>
  <c r="AG232" i="5"/>
  <c r="P232" i="5"/>
  <c r="O232" i="5"/>
  <c r="BS231" i="5"/>
  <c r="BM231" i="5"/>
  <c r="BL231" i="5"/>
  <c r="BH231" i="5"/>
  <c r="BG231" i="5"/>
  <c r="AT231" i="5"/>
  <c r="AQ231" i="5"/>
  <c r="AN231" i="5"/>
  <c r="AL231" i="5"/>
  <c r="AI231" i="5"/>
  <c r="AG231" i="5"/>
  <c r="P231" i="5"/>
  <c r="O231" i="5"/>
  <c r="BS230" i="5"/>
  <c r="BM230" i="5"/>
  <c r="BL230" i="5"/>
  <c r="BH230" i="5"/>
  <c r="BG230" i="5"/>
  <c r="AQ230" i="5"/>
  <c r="AT230" i="5" s="1"/>
  <c r="AL230" i="5"/>
  <c r="AN230" i="5" s="1"/>
  <c r="AI230" i="5"/>
  <c r="AG230" i="5"/>
  <c r="P230" i="5"/>
  <c r="O230" i="5"/>
  <c r="BS229" i="5"/>
  <c r="BM229" i="5"/>
  <c r="BL229" i="5"/>
  <c r="BH229" i="5"/>
  <c r="BG229" i="5"/>
  <c r="AT229" i="5"/>
  <c r="AS229" i="5"/>
  <c r="AQ229" i="5"/>
  <c r="AN229" i="5"/>
  <c r="AL229" i="5"/>
  <c r="AI229" i="5"/>
  <c r="AR229" i="5" s="1"/>
  <c r="AG229" i="5"/>
  <c r="P229" i="5"/>
  <c r="O229" i="5"/>
  <c r="BS228" i="5"/>
  <c r="BM228" i="5"/>
  <c r="BL228" i="5"/>
  <c r="BH228" i="5"/>
  <c r="BG228" i="5"/>
  <c r="AS228" i="5"/>
  <c r="AQ228" i="5"/>
  <c r="AT228" i="5" s="1"/>
  <c r="AL228" i="5"/>
  <c r="AN228" i="5" s="1"/>
  <c r="AI228" i="5"/>
  <c r="AR228" i="5" s="1"/>
  <c r="AG228" i="5"/>
  <c r="P228" i="5"/>
  <c r="O228" i="5"/>
  <c r="BS227" i="5"/>
  <c r="BM227" i="5"/>
  <c r="BL227" i="5"/>
  <c r="BH227" i="5"/>
  <c r="BG227" i="5"/>
  <c r="AT227" i="5"/>
  <c r="AS227" i="5"/>
  <c r="AQ227" i="5"/>
  <c r="AN227" i="5"/>
  <c r="AL227" i="5"/>
  <c r="AI227" i="5"/>
  <c r="AR227" i="5" s="1"/>
  <c r="AG227" i="5"/>
  <c r="P227" i="5"/>
  <c r="O227" i="5"/>
  <c r="BS226" i="5"/>
  <c r="BM226" i="5"/>
  <c r="BL226" i="5"/>
  <c r="BH226" i="5"/>
  <c r="BG226" i="5"/>
  <c r="AQ226" i="5"/>
  <c r="AT226" i="5" s="1"/>
  <c r="AL226" i="5"/>
  <c r="AN226" i="5" s="1"/>
  <c r="AI226" i="5"/>
  <c r="AG226" i="5"/>
  <c r="P226" i="5"/>
  <c r="O226" i="5"/>
  <c r="BS225" i="5"/>
  <c r="BM225" i="5"/>
  <c r="BL225" i="5"/>
  <c r="BH225" i="5"/>
  <c r="BG225" i="5"/>
  <c r="AT225" i="5"/>
  <c r="AS225" i="5"/>
  <c r="AQ225" i="5"/>
  <c r="AN225" i="5"/>
  <c r="AL225" i="5"/>
  <c r="AI225" i="5"/>
  <c r="AR225" i="5" s="1"/>
  <c r="AG225" i="5"/>
  <c r="P225" i="5"/>
  <c r="O225" i="5"/>
  <c r="BS224" i="5"/>
  <c r="BM224" i="5"/>
  <c r="BL224" i="5"/>
  <c r="BH224" i="5"/>
  <c r="BG224" i="5"/>
  <c r="AQ224" i="5"/>
  <c r="AT224" i="5" s="1"/>
  <c r="AL224" i="5"/>
  <c r="AN224" i="5" s="1"/>
  <c r="AI224" i="5"/>
  <c r="AG224" i="5"/>
  <c r="P224" i="5"/>
  <c r="O224" i="5"/>
  <c r="BS223" i="5"/>
  <c r="BM223" i="5"/>
  <c r="BL223" i="5"/>
  <c r="BH223" i="5"/>
  <c r="BG223" i="5"/>
  <c r="AT223" i="5"/>
  <c r="AQ223" i="5"/>
  <c r="AN223" i="5"/>
  <c r="AL223" i="5"/>
  <c r="AI223" i="5"/>
  <c r="AG223" i="5"/>
  <c r="P223" i="5"/>
  <c r="O223" i="5"/>
  <c r="BS222" i="5"/>
  <c r="BM222" i="5"/>
  <c r="BL222" i="5"/>
  <c r="BH222" i="5"/>
  <c r="BG222" i="5"/>
  <c r="AQ222" i="5"/>
  <c r="AL222" i="5"/>
  <c r="AN222" i="5" s="1"/>
  <c r="AS222" i="5" s="1"/>
  <c r="AI222" i="5"/>
  <c r="AG222" i="5"/>
  <c r="P222" i="5"/>
  <c r="O222" i="5"/>
  <c r="BS221" i="5"/>
  <c r="BM221" i="5"/>
  <c r="BL221" i="5"/>
  <c r="BH221" i="5"/>
  <c r="BG221" i="5"/>
  <c r="AT221" i="5"/>
  <c r="AQ221" i="5"/>
  <c r="AN221" i="5"/>
  <c r="AL221" i="5"/>
  <c r="AI221" i="5"/>
  <c r="AG221" i="5"/>
  <c r="P221" i="5"/>
  <c r="O221" i="5"/>
  <c r="BS220" i="5"/>
  <c r="BM220" i="5"/>
  <c r="BL220" i="5"/>
  <c r="BH220" i="5"/>
  <c r="BG220" i="5"/>
  <c r="AQ220" i="5"/>
  <c r="AL220" i="5"/>
  <c r="AN220" i="5" s="1"/>
  <c r="AI220" i="5"/>
  <c r="AG220" i="5"/>
  <c r="P220" i="5"/>
  <c r="O220" i="5"/>
  <c r="BS219" i="5"/>
  <c r="BM219" i="5"/>
  <c r="BL219" i="5"/>
  <c r="BH219" i="5"/>
  <c r="BG219" i="5"/>
  <c r="AT219" i="5"/>
  <c r="AS219" i="5"/>
  <c r="AQ219" i="5"/>
  <c r="AN219" i="5"/>
  <c r="AL219" i="5"/>
  <c r="AI219" i="5"/>
  <c r="AR219" i="5" s="1"/>
  <c r="AG219" i="5"/>
  <c r="P219" i="5"/>
  <c r="O219" i="5"/>
  <c r="BS218" i="5"/>
  <c r="BM218" i="5"/>
  <c r="BL218" i="5"/>
  <c r="BH218" i="5"/>
  <c r="BG218" i="5"/>
  <c r="AS218" i="5"/>
  <c r="AQ218" i="5"/>
  <c r="AL218" i="5"/>
  <c r="AN218" i="5" s="1"/>
  <c r="AI218" i="5"/>
  <c r="AR218" i="5" s="1"/>
  <c r="AG218" i="5"/>
  <c r="P218" i="5"/>
  <c r="O218" i="5"/>
  <c r="BS217" i="5"/>
  <c r="BM217" i="5"/>
  <c r="BL217" i="5"/>
  <c r="BH217" i="5"/>
  <c r="BG217" i="5"/>
  <c r="AT217" i="5"/>
  <c r="AS217" i="5"/>
  <c r="AQ217" i="5"/>
  <c r="AN217" i="5"/>
  <c r="AL217" i="5"/>
  <c r="AI217" i="5"/>
  <c r="AR217" i="5" s="1"/>
  <c r="AG217" i="5"/>
  <c r="P217" i="5"/>
  <c r="O217" i="5"/>
  <c r="BS216" i="5"/>
  <c r="BM216" i="5"/>
  <c r="BL216" i="5"/>
  <c r="BH216" i="5"/>
  <c r="BG216" i="5"/>
  <c r="AQ216" i="5"/>
  <c r="AL216" i="5"/>
  <c r="AN216" i="5" s="1"/>
  <c r="AI216" i="5"/>
  <c r="AG216" i="5"/>
  <c r="AT216" i="5" s="1"/>
  <c r="P216" i="5"/>
  <c r="O216" i="5"/>
  <c r="BS215" i="5"/>
  <c r="BM215" i="5"/>
  <c r="BL215" i="5"/>
  <c r="BH215" i="5"/>
  <c r="BG215" i="5"/>
  <c r="AT215" i="5"/>
  <c r="AS215" i="5"/>
  <c r="AQ215" i="5"/>
  <c r="AN215" i="5"/>
  <c r="AL215" i="5"/>
  <c r="AI215" i="5"/>
  <c r="AR215" i="5" s="1"/>
  <c r="AG215" i="5"/>
  <c r="P215" i="5"/>
  <c r="O215" i="5"/>
  <c r="BS214" i="5"/>
  <c r="BM214" i="5"/>
  <c r="BL214" i="5"/>
  <c r="BH214" i="5"/>
  <c r="BG214" i="5"/>
  <c r="AQ214" i="5"/>
  <c r="AL214" i="5"/>
  <c r="AN214" i="5" s="1"/>
  <c r="AI214" i="5"/>
  <c r="AG214" i="5"/>
  <c r="P214" i="5"/>
  <c r="O214" i="5"/>
  <c r="BS213" i="5"/>
  <c r="BM213" i="5"/>
  <c r="BL213" i="5"/>
  <c r="BH213" i="5"/>
  <c r="BG213" i="5"/>
  <c r="AT213" i="5"/>
  <c r="AS213" i="5"/>
  <c r="AQ213" i="5"/>
  <c r="AN213" i="5"/>
  <c r="AL213" i="5"/>
  <c r="AI213" i="5"/>
  <c r="AR213" i="5" s="1"/>
  <c r="AG213" i="5"/>
  <c r="P213" i="5"/>
  <c r="O213" i="5"/>
  <c r="BS212" i="5"/>
  <c r="BM212" i="5"/>
  <c r="BL212" i="5"/>
  <c r="BH212" i="5"/>
  <c r="BG212" i="5"/>
  <c r="AQ212" i="5"/>
  <c r="AL212" i="5"/>
  <c r="AN212" i="5" s="1"/>
  <c r="AS212" i="5" s="1"/>
  <c r="AI212" i="5"/>
  <c r="AG212" i="5"/>
  <c r="P212" i="5"/>
  <c r="O212" i="5"/>
  <c r="BS211" i="5"/>
  <c r="BM211" i="5"/>
  <c r="BL211" i="5"/>
  <c r="BH211" i="5"/>
  <c r="BG211" i="5"/>
  <c r="AT211" i="5"/>
  <c r="AQ211" i="5"/>
  <c r="AN211" i="5"/>
  <c r="AL211" i="5"/>
  <c r="AI211" i="5"/>
  <c r="AG211" i="5"/>
  <c r="P211" i="5"/>
  <c r="O211" i="5"/>
  <c r="BS210" i="5"/>
  <c r="BM210" i="5"/>
  <c r="BL210" i="5"/>
  <c r="BH210" i="5"/>
  <c r="BG210" i="5"/>
  <c r="AQ210" i="5"/>
  <c r="AL210" i="5"/>
  <c r="AN210" i="5" s="1"/>
  <c r="AI210" i="5"/>
  <c r="AG210" i="5"/>
  <c r="P210" i="5"/>
  <c r="O210" i="5"/>
  <c r="BS209" i="5"/>
  <c r="BM209" i="5"/>
  <c r="BL209" i="5"/>
  <c r="BH209" i="5"/>
  <c r="BG209" i="5"/>
  <c r="AT209" i="5"/>
  <c r="AS209" i="5"/>
  <c r="AQ209" i="5"/>
  <c r="AN209" i="5"/>
  <c r="AL209" i="5"/>
  <c r="AI209" i="5"/>
  <c r="AR209" i="5" s="1"/>
  <c r="AG209" i="5"/>
  <c r="P209" i="5"/>
  <c r="O209" i="5"/>
  <c r="BS208" i="5"/>
  <c r="BM208" i="5"/>
  <c r="BL208" i="5"/>
  <c r="BH208" i="5"/>
  <c r="BG208" i="5"/>
  <c r="AS208" i="5"/>
  <c r="AQ208" i="5"/>
  <c r="AL208" i="5"/>
  <c r="AN208" i="5" s="1"/>
  <c r="AI208" i="5"/>
  <c r="AR208" i="5" s="1"/>
  <c r="AG208" i="5"/>
  <c r="P208" i="5"/>
  <c r="O208" i="5"/>
  <c r="BS207" i="5"/>
  <c r="BM207" i="5"/>
  <c r="BL207" i="5"/>
  <c r="BH207" i="5"/>
  <c r="BG207" i="5"/>
  <c r="AT207" i="5"/>
  <c r="AS207" i="5"/>
  <c r="AQ207" i="5"/>
  <c r="AN207" i="5"/>
  <c r="AL207" i="5"/>
  <c r="AI207" i="5"/>
  <c r="AR207" i="5" s="1"/>
  <c r="AG207" i="5"/>
  <c r="P207" i="5"/>
  <c r="O207" i="5"/>
  <c r="BS206" i="5"/>
  <c r="BM206" i="5"/>
  <c r="BL206" i="5"/>
  <c r="BH206" i="5"/>
  <c r="BG206" i="5"/>
  <c r="AQ206" i="5"/>
  <c r="AL206" i="5"/>
  <c r="AN206" i="5" s="1"/>
  <c r="AI206" i="5"/>
  <c r="AG206" i="5"/>
  <c r="AT206" i="5" s="1"/>
  <c r="P206" i="5"/>
  <c r="O206" i="5"/>
  <c r="BS205" i="5"/>
  <c r="BM205" i="5"/>
  <c r="BL205" i="5"/>
  <c r="BH205" i="5"/>
  <c r="BG205" i="5"/>
  <c r="AT205" i="5"/>
  <c r="AS205" i="5"/>
  <c r="AQ205" i="5"/>
  <c r="AN205" i="5"/>
  <c r="AL205" i="5"/>
  <c r="AI205" i="5"/>
  <c r="AR205" i="5" s="1"/>
  <c r="AG205" i="5"/>
  <c r="P205" i="5"/>
  <c r="O205" i="5"/>
  <c r="BS204" i="5"/>
  <c r="BM204" i="5"/>
  <c r="BL204" i="5"/>
  <c r="BH204" i="5"/>
  <c r="BG204" i="5"/>
  <c r="AQ204" i="5"/>
  <c r="AL204" i="5"/>
  <c r="AN204" i="5" s="1"/>
  <c r="AI204" i="5"/>
  <c r="AG204" i="5"/>
  <c r="P204" i="5"/>
  <c r="O204" i="5"/>
  <c r="BS203" i="5"/>
  <c r="BM203" i="5"/>
  <c r="BL203" i="5"/>
  <c r="BH203" i="5"/>
  <c r="BG203" i="5"/>
  <c r="AT203" i="5"/>
  <c r="AQ203" i="5"/>
  <c r="AN203" i="5"/>
  <c r="AL203" i="5"/>
  <c r="AI203" i="5"/>
  <c r="AG203" i="5"/>
  <c r="P203" i="5"/>
  <c r="O203" i="5"/>
  <c r="BS202" i="5"/>
  <c r="BM202" i="5"/>
  <c r="BL202" i="5"/>
  <c r="BH202" i="5"/>
  <c r="BG202" i="5"/>
  <c r="AQ202" i="5"/>
  <c r="AL202" i="5"/>
  <c r="AN202" i="5" s="1"/>
  <c r="AS202" i="5" s="1"/>
  <c r="AI202" i="5"/>
  <c r="AG202" i="5"/>
  <c r="P202" i="5"/>
  <c r="O202" i="5"/>
  <c r="BS201" i="5"/>
  <c r="BM201" i="5"/>
  <c r="BL201" i="5"/>
  <c r="BH201" i="5"/>
  <c r="BG201" i="5"/>
  <c r="AT201" i="5"/>
  <c r="AQ201" i="5"/>
  <c r="AN201" i="5"/>
  <c r="AL201" i="5"/>
  <c r="AI201" i="5"/>
  <c r="AG201" i="5"/>
  <c r="P201" i="5"/>
  <c r="O201" i="5"/>
  <c r="BS200" i="5"/>
  <c r="BM200" i="5"/>
  <c r="BL200" i="5"/>
  <c r="BH200" i="5"/>
  <c r="BG200" i="5"/>
  <c r="AQ200" i="5"/>
  <c r="AL200" i="5"/>
  <c r="AN200" i="5" s="1"/>
  <c r="AI200" i="5"/>
  <c r="AG200" i="5"/>
  <c r="P200" i="5"/>
  <c r="O200" i="5"/>
  <c r="BS199" i="5"/>
  <c r="BM199" i="5"/>
  <c r="BL199" i="5"/>
  <c r="BH199" i="5"/>
  <c r="BG199" i="5"/>
  <c r="AT199" i="5"/>
  <c r="AS199" i="5"/>
  <c r="AQ199" i="5"/>
  <c r="AN199" i="5"/>
  <c r="AL199" i="5"/>
  <c r="AI199" i="5"/>
  <c r="AR199" i="5" s="1"/>
  <c r="AG199" i="5"/>
  <c r="P199" i="5"/>
  <c r="O199" i="5"/>
  <c r="BS198" i="5"/>
  <c r="BM198" i="5"/>
  <c r="BL198" i="5"/>
  <c r="BH198" i="5"/>
  <c r="BG198" i="5"/>
  <c r="AS198" i="5"/>
  <c r="AQ198" i="5"/>
  <c r="AL198" i="5"/>
  <c r="AN198" i="5" s="1"/>
  <c r="AI198" i="5"/>
  <c r="AR198" i="5" s="1"/>
  <c r="AG198" i="5"/>
  <c r="P198" i="5"/>
  <c r="O198" i="5"/>
  <c r="BS197" i="5"/>
  <c r="BM197" i="5"/>
  <c r="BL197" i="5"/>
  <c r="BH197" i="5"/>
  <c r="BG197" i="5"/>
  <c r="AT197" i="5"/>
  <c r="AS197" i="5"/>
  <c r="AQ197" i="5"/>
  <c r="AN197" i="5"/>
  <c r="AL197" i="5"/>
  <c r="AI197" i="5"/>
  <c r="AR197" i="5" s="1"/>
  <c r="AG197" i="5"/>
  <c r="P197" i="5"/>
  <c r="O197" i="5"/>
  <c r="BS196" i="5"/>
  <c r="BM196" i="5"/>
  <c r="BL196" i="5"/>
  <c r="BH196" i="5"/>
  <c r="BG196" i="5"/>
  <c r="AQ196" i="5"/>
  <c r="AL196" i="5"/>
  <c r="AN196" i="5" s="1"/>
  <c r="AI196" i="5"/>
  <c r="AG196" i="5"/>
  <c r="AT196" i="5" s="1"/>
  <c r="P196" i="5"/>
  <c r="O196" i="5"/>
  <c r="BS195" i="5"/>
  <c r="BM195" i="5"/>
  <c r="BL195" i="5"/>
  <c r="BH195" i="5"/>
  <c r="BG195" i="5"/>
  <c r="AT195" i="5"/>
  <c r="AS195" i="5"/>
  <c r="AQ195" i="5"/>
  <c r="AN195" i="5"/>
  <c r="AL195" i="5"/>
  <c r="AI195" i="5"/>
  <c r="AR195" i="5" s="1"/>
  <c r="AG195" i="5"/>
  <c r="P195" i="5"/>
  <c r="O195" i="5"/>
  <c r="BS194" i="5"/>
  <c r="BM194" i="5"/>
  <c r="BL194" i="5"/>
  <c r="BH194" i="5"/>
  <c r="BG194" i="5"/>
  <c r="AQ194" i="5"/>
  <c r="AL194" i="5"/>
  <c r="AN194" i="5" s="1"/>
  <c r="AI194" i="5"/>
  <c r="AG194" i="5"/>
  <c r="P194" i="5"/>
  <c r="O194" i="5"/>
  <c r="BS193" i="5"/>
  <c r="BM193" i="5"/>
  <c r="BL193" i="5"/>
  <c r="BH193" i="5"/>
  <c r="BG193" i="5"/>
  <c r="AT193" i="5"/>
  <c r="AS193" i="5"/>
  <c r="AQ193" i="5"/>
  <c r="AN193" i="5"/>
  <c r="AL193" i="5"/>
  <c r="AI193" i="5"/>
  <c r="AR193" i="5" s="1"/>
  <c r="AG193" i="5"/>
  <c r="P193" i="5"/>
  <c r="O193" i="5"/>
  <c r="BS192" i="5"/>
  <c r="BM192" i="5"/>
  <c r="BL192" i="5"/>
  <c r="BH192" i="5"/>
  <c r="BG192" i="5"/>
  <c r="AQ192" i="5"/>
  <c r="AL192" i="5"/>
  <c r="AN192" i="5" s="1"/>
  <c r="AS192" i="5" s="1"/>
  <c r="AI192" i="5"/>
  <c r="AG192" i="5"/>
  <c r="P192" i="5"/>
  <c r="O192" i="5"/>
  <c r="BS191" i="5"/>
  <c r="BM191" i="5"/>
  <c r="BL191" i="5"/>
  <c r="BH191" i="5"/>
  <c r="BG191" i="5"/>
  <c r="AT191" i="5"/>
  <c r="AQ191" i="5"/>
  <c r="AN191" i="5"/>
  <c r="AL191" i="5"/>
  <c r="AI191" i="5"/>
  <c r="AG191" i="5"/>
  <c r="P191" i="5"/>
  <c r="O191" i="5"/>
  <c r="BS190" i="5"/>
  <c r="BM190" i="5"/>
  <c r="BL190" i="5"/>
  <c r="BH190" i="5"/>
  <c r="BG190" i="5"/>
  <c r="AQ190" i="5"/>
  <c r="AL190" i="5"/>
  <c r="AN190" i="5" s="1"/>
  <c r="AI190" i="5"/>
  <c r="AG190" i="5"/>
  <c r="P190" i="5"/>
  <c r="O190" i="5"/>
  <c r="BS189" i="5"/>
  <c r="BM189" i="5"/>
  <c r="BL189" i="5"/>
  <c r="BH189" i="5"/>
  <c r="BG189" i="5"/>
  <c r="AT189" i="5"/>
  <c r="AS189" i="5"/>
  <c r="AQ189" i="5"/>
  <c r="AN189" i="5"/>
  <c r="AL189" i="5"/>
  <c r="AI189" i="5"/>
  <c r="AR189" i="5" s="1"/>
  <c r="AG189" i="5"/>
  <c r="P189" i="5"/>
  <c r="O189" i="5"/>
  <c r="BS188" i="5"/>
  <c r="BM188" i="5"/>
  <c r="BL188" i="5"/>
  <c r="BH188" i="5"/>
  <c r="BG188" i="5"/>
  <c r="AS188" i="5"/>
  <c r="AQ188" i="5"/>
  <c r="AL188" i="5"/>
  <c r="AN188" i="5" s="1"/>
  <c r="AI188" i="5"/>
  <c r="AR188" i="5" s="1"/>
  <c r="AG188" i="5"/>
  <c r="P188" i="5"/>
  <c r="O188" i="5"/>
  <c r="BS187" i="5"/>
  <c r="BM187" i="5"/>
  <c r="BL187" i="5"/>
  <c r="BH187" i="5"/>
  <c r="BG187" i="5"/>
  <c r="AT187" i="5"/>
  <c r="AS187" i="5"/>
  <c r="AQ187" i="5"/>
  <c r="AN187" i="5"/>
  <c r="AL187" i="5"/>
  <c r="AI187" i="5"/>
  <c r="AR187" i="5" s="1"/>
  <c r="AG187" i="5"/>
  <c r="P187" i="5"/>
  <c r="O187" i="5"/>
  <c r="BS186" i="5"/>
  <c r="BM186" i="5"/>
  <c r="BL186" i="5"/>
  <c r="BH186" i="5"/>
  <c r="BG186" i="5"/>
  <c r="AQ186" i="5"/>
  <c r="AL186" i="5"/>
  <c r="AN186" i="5" s="1"/>
  <c r="AI186" i="5"/>
  <c r="AG186" i="5"/>
  <c r="AT186" i="5" s="1"/>
  <c r="P186" i="5"/>
  <c r="O186" i="5"/>
  <c r="BS185" i="5"/>
  <c r="BM185" i="5"/>
  <c r="BL185" i="5"/>
  <c r="BH185" i="5"/>
  <c r="BG185" i="5"/>
  <c r="AT185" i="5"/>
  <c r="AS185" i="5"/>
  <c r="AQ185" i="5"/>
  <c r="AN185" i="5"/>
  <c r="AL185" i="5"/>
  <c r="AI185" i="5"/>
  <c r="AR185" i="5" s="1"/>
  <c r="AG185" i="5"/>
  <c r="P185" i="5"/>
  <c r="O185" i="5"/>
  <c r="BS184" i="5"/>
  <c r="BM184" i="5"/>
  <c r="BL184" i="5"/>
  <c r="BH184" i="5"/>
  <c r="BG184" i="5"/>
  <c r="AQ184" i="5"/>
  <c r="AL184" i="5"/>
  <c r="AN184" i="5" s="1"/>
  <c r="AI184" i="5"/>
  <c r="AG184" i="5"/>
  <c r="P184" i="5"/>
  <c r="O184" i="5"/>
  <c r="BS183" i="5"/>
  <c r="BM183" i="5"/>
  <c r="BL183" i="5"/>
  <c r="BH183" i="5"/>
  <c r="BG183" i="5"/>
  <c r="AT183" i="5"/>
  <c r="AQ183" i="5"/>
  <c r="AN183" i="5"/>
  <c r="AL183" i="5"/>
  <c r="AI183" i="5"/>
  <c r="AG183" i="5"/>
  <c r="P183" i="5"/>
  <c r="O183" i="5"/>
  <c r="BS182" i="5"/>
  <c r="BM182" i="5"/>
  <c r="BL182" i="5"/>
  <c r="BH182" i="5"/>
  <c r="BG182" i="5"/>
  <c r="AQ182" i="5"/>
  <c r="AL182" i="5"/>
  <c r="AN182" i="5" s="1"/>
  <c r="AS182" i="5" s="1"/>
  <c r="AI182" i="5"/>
  <c r="AG182" i="5"/>
  <c r="P182" i="5"/>
  <c r="O182" i="5"/>
  <c r="BS181" i="5"/>
  <c r="BM181" i="5"/>
  <c r="BL181" i="5"/>
  <c r="BH181" i="5"/>
  <c r="BG181" i="5"/>
  <c r="AT181" i="5"/>
  <c r="AQ181" i="5"/>
  <c r="AN181" i="5"/>
  <c r="AL181" i="5"/>
  <c r="AI181" i="5"/>
  <c r="AG181" i="5"/>
  <c r="P181" i="5"/>
  <c r="O181" i="5"/>
  <c r="BS180" i="5"/>
  <c r="BM180" i="5"/>
  <c r="BL180" i="5"/>
  <c r="BH180" i="5"/>
  <c r="BG180" i="5"/>
  <c r="AQ180" i="5"/>
  <c r="AL180" i="5"/>
  <c r="AN180" i="5" s="1"/>
  <c r="AI180" i="5"/>
  <c r="AG180" i="5"/>
  <c r="P180" i="5"/>
  <c r="O180" i="5"/>
  <c r="BS179" i="5"/>
  <c r="BM179" i="5"/>
  <c r="BL179" i="5"/>
  <c r="BH179" i="5"/>
  <c r="BG179" i="5"/>
  <c r="AT179" i="5"/>
  <c r="AS179" i="5"/>
  <c r="AQ179" i="5"/>
  <c r="AN179" i="5"/>
  <c r="AL179" i="5"/>
  <c r="AI179" i="5"/>
  <c r="AR179" i="5" s="1"/>
  <c r="AG179" i="5"/>
  <c r="P179" i="5"/>
  <c r="O179" i="5"/>
  <c r="BS178" i="5"/>
  <c r="BM178" i="5"/>
  <c r="BL178" i="5"/>
  <c r="BH178" i="5"/>
  <c r="BG178" i="5"/>
  <c r="AS178" i="5"/>
  <c r="AQ178" i="5"/>
  <c r="AL178" i="5"/>
  <c r="AN178" i="5" s="1"/>
  <c r="AI178" i="5"/>
  <c r="AR178" i="5" s="1"/>
  <c r="AG178" i="5"/>
  <c r="P178" i="5"/>
  <c r="O178" i="5"/>
  <c r="BS177" i="5"/>
  <c r="BM177" i="5"/>
  <c r="BL177" i="5"/>
  <c r="BH177" i="5"/>
  <c r="BG177" i="5"/>
  <c r="AT177" i="5"/>
  <c r="AS177" i="5"/>
  <c r="AQ177" i="5"/>
  <c r="AN177" i="5"/>
  <c r="AL177" i="5"/>
  <c r="AI177" i="5"/>
  <c r="AR177" i="5" s="1"/>
  <c r="AG177" i="5"/>
  <c r="P177" i="5"/>
  <c r="O177" i="5"/>
  <c r="BS176" i="5"/>
  <c r="BM176" i="5"/>
  <c r="BL176" i="5"/>
  <c r="BH176" i="5"/>
  <c r="BG176" i="5"/>
  <c r="AQ176" i="5"/>
  <c r="AL176" i="5"/>
  <c r="AN176" i="5" s="1"/>
  <c r="AI176" i="5"/>
  <c r="AG176" i="5"/>
  <c r="AT176" i="5" s="1"/>
  <c r="P176" i="5"/>
  <c r="O176" i="5"/>
  <c r="BS175" i="5"/>
  <c r="BM175" i="5"/>
  <c r="BL175" i="5"/>
  <c r="BH175" i="5"/>
  <c r="BG175" i="5"/>
  <c r="AT175" i="5"/>
  <c r="AS175" i="5"/>
  <c r="AQ175" i="5"/>
  <c r="AN175" i="5"/>
  <c r="AL175" i="5"/>
  <c r="AI175" i="5"/>
  <c r="AR175" i="5" s="1"/>
  <c r="AG175" i="5"/>
  <c r="P175" i="5"/>
  <c r="O175" i="5"/>
  <c r="BS174" i="5"/>
  <c r="BM174" i="5"/>
  <c r="BL174" i="5"/>
  <c r="BH174" i="5"/>
  <c r="BG174" i="5"/>
  <c r="AQ174" i="5"/>
  <c r="AL174" i="5"/>
  <c r="AN174" i="5" s="1"/>
  <c r="AI174" i="5"/>
  <c r="AG174" i="5"/>
  <c r="P174" i="5"/>
  <c r="O174" i="5"/>
  <c r="BS173" i="5"/>
  <c r="BM173" i="5"/>
  <c r="BL173" i="5"/>
  <c r="BH173" i="5"/>
  <c r="BG173" i="5"/>
  <c r="AT173" i="5"/>
  <c r="AS173" i="5"/>
  <c r="AQ173" i="5"/>
  <c r="AN173" i="5"/>
  <c r="AL173" i="5"/>
  <c r="AI173" i="5"/>
  <c r="AR173" i="5" s="1"/>
  <c r="AG173" i="5"/>
  <c r="P173" i="5"/>
  <c r="O173" i="5"/>
  <c r="BS172" i="5"/>
  <c r="BM172" i="5"/>
  <c r="BL172" i="5"/>
  <c r="BH172" i="5"/>
  <c r="BG172" i="5"/>
  <c r="AQ172" i="5"/>
  <c r="AL172" i="5"/>
  <c r="AN172" i="5" s="1"/>
  <c r="AS172" i="5" s="1"/>
  <c r="AI172" i="5"/>
  <c r="AG172" i="5"/>
  <c r="P172" i="5"/>
  <c r="O172" i="5"/>
  <c r="BS171" i="5"/>
  <c r="BM171" i="5"/>
  <c r="BL171" i="5"/>
  <c r="BH171" i="5"/>
  <c r="BG171" i="5"/>
  <c r="AT171" i="5"/>
  <c r="AQ171" i="5"/>
  <c r="AN171" i="5"/>
  <c r="AL171" i="5"/>
  <c r="AI171" i="5"/>
  <c r="AG171" i="5"/>
  <c r="P171" i="5"/>
  <c r="O171" i="5"/>
  <c r="BS170" i="5"/>
  <c r="BM170" i="5"/>
  <c r="BL170" i="5"/>
  <c r="BH170" i="5"/>
  <c r="BG170" i="5"/>
  <c r="AQ170" i="5"/>
  <c r="AL170" i="5"/>
  <c r="AN170" i="5" s="1"/>
  <c r="AI170" i="5"/>
  <c r="AG170" i="5"/>
  <c r="P170" i="5"/>
  <c r="O170" i="5"/>
  <c r="BS169" i="5"/>
  <c r="BM169" i="5"/>
  <c r="BL169" i="5"/>
  <c r="BH169" i="5"/>
  <c r="BG169" i="5"/>
  <c r="AT169" i="5"/>
  <c r="AS169" i="5"/>
  <c r="AQ169" i="5"/>
  <c r="AN169" i="5"/>
  <c r="AL169" i="5"/>
  <c r="AI169" i="5"/>
  <c r="AR169" i="5" s="1"/>
  <c r="AG169" i="5"/>
  <c r="P169" i="5"/>
  <c r="O169" i="5"/>
  <c r="BS168" i="5"/>
  <c r="BM168" i="5"/>
  <c r="BL168" i="5"/>
  <c r="BH168" i="5"/>
  <c r="BG168" i="5"/>
  <c r="AS168" i="5"/>
  <c r="AQ168" i="5"/>
  <c r="AL168" i="5"/>
  <c r="AN168" i="5" s="1"/>
  <c r="AI168" i="5"/>
  <c r="AR168" i="5" s="1"/>
  <c r="AG168" i="5"/>
  <c r="P168" i="5"/>
  <c r="O168" i="5"/>
  <c r="BS167" i="5"/>
  <c r="BM167" i="5"/>
  <c r="BL167" i="5"/>
  <c r="BH167" i="5"/>
  <c r="BG167" i="5"/>
  <c r="AT167" i="5"/>
  <c r="AS167" i="5"/>
  <c r="AQ167" i="5"/>
  <c r="AN167" i="5"/>
  <c r="AL167" i="5"/>
  <c r="AI167" i="5"/>
  <c r="AR167" i="5" s="1"/>
  <c r="AG167" i="5"/>
  <c r="P167" i="5"/>
  <c r="O167" i="5"/>
  <c r="BS166" i="5"/>
  <c r="BM166" i="5"/>
  <c r="BL166" i="5"/>
  <c r="BH166" i="5"/>
  <c r="BG166" i="5"/>
  <c r="AQ166" i="5"/>
  <c r="AL166" i="5"/>
  <c r="AN166" i="5" s="1"/>
  <c r="AI166" i="5"/>
  <c r="AG166" i="5"/>
  <c r="AT166" i="5" s="1"/>
  <c r="P166" i="5"/>
  <c r="O166" i="5"/>
  <c r="BS165" i="5"/>
  <c r="BM165" i="5"/>
  <c r="BL165" i="5"/>
  <c r="BH165" i="5"/>
  <c r="BG165" i="5"/>
  <c r="AT165" i="5"/>
  <c r="AS165" i="5"/>
  <c r="AQ165" i="5"/>
  <c r="AN165" i="5"/>
  <c r="AL165" i="5"/>
  <c r="AI165" i="5"/>
  <c r="AR165" i="5" s="1"/>
  <c r="AG165" i="5"/>
  <c r="P165" i="5"/>
  <c r="O165" i="5"/>
  <c r="BS164" i="5"/>
  <c r="BM164" i="5"/>
  <c r="BL164" i="5"/>
  <c r="BH164" i="5"/>
  <c r="BG164" i="5"/>
  <c r="AQ164" i="5"/>
  <c r="AL164" i="5"/>
  <c r="AN164" i="5" s="1"/>
  <c r="AI164" i="5"/>
  <c r="AG164" i="5"/>
  <c r="P164" i="5"/>
  <c r="O164" i="5"/>
  <c r="BS163" i="5"/>
  <c r="BM163" i="5"/>
  <c r="BL163" i="5"/>
  <c r="BH163" i="5"/>
  <c r="BG163" i="5"/>
  <c r="AT163" i="5"/>
  <c r="AQ163" i="5"/>
  <c r="AN163" i="5"/>
  <c r="AL163" i="5"/>
  <c r="AI163" i="5"/>
  <c r="AG163" i="5"/>
  <c r="P163" i="5"/>
  <c r="O163" i="5"/>
  <c r="BS162" i="5"/>
  <c r="BM162" i="5"/>
  <c r="BL162" i="5"/>
  <c r="BH162" i="5"/>
  <c r="BG162" i="5"/>
  <c r="AQ162" i="5"/>
  <c r="AL162" i="5"/>
  <c r="AN162" i="5" s="1"/>
  <c r="AS162" i="5" s="1"/>
  <c r="AI162" i="5"/>
  <c r="AG162" i="5"/>
  <c r="P162" i="5"/>
  <c r="O162" i="5"/>
  <c r="BS161" i="5"/>
  <c r="BM161" i="5"/>
  <c r="BL161" i="5"/>
  <c r="BH161" i="5"/>
  <c r="BG161" i="5"/>
  <c r="AT161" i="5"/>
  <c r="AQ161" i="5"/>
  <c r="AN161" i="5"/>
  <c r="AL161" i="5"/>
  <c r="AI161" i="5"/>
  <c r="AG161" i="5"/>
  <c r="P161" i="5"/>
  <c r="O161" i="5"/>
  <c r="BS160" i="5"/>
  <c r="BM160" i="5"/>
  <c r="BL160" i="5"/>
  <c r="BH160" i="5"/>
  <c r="BG160" i="5"/>
  <c r="AQ160" i="5"/>
  <c r="AL160" i="5"/>
  <c r="AN160" i="5" s="1"/>
  <c r="AI160" i="5"/>
  <c r="AG160" i="5"/>
  <c r="P160" i="5"/>
  <c r="O160" i="5"/>
  <c r="BS159" i="5"/>
  <c r="BM159" i="5"/>
  <c r="BL159" i="5"/>
  <c r="BH159" i="5"/>
  <c r="BG159" i="5"/>
  <c r="AT159" i="5"/>
  <c r="AS159" i="5"/>
  <c r="AQ159" i="5"/>
  <c r="AN159" i="5"/>
  <c r="AL159" i="5"/>
  <c r="AI159" i="5"/>
  <c r="AR159" i="5" s="1"/>
  <c r="AG159" i="5"/>
  <c r="P159" i="5"/>
  <c r="O159" i="5"/>
  <c r="BS158" i="5"/>
  <c r="BM158" i="5"/>
  <c r="BL158" i="5"/>
  <c r="BH158" i="5"/>
  <c r="BG158" i="5"/>
  <c r="AS158" i="5"/>
  <c r="AQ158" i="5"/>
  <c r="AL158" i="5"/>
  <c r="AN158" i="5" s="1"/>
  <c r="AI158" i="5"/>
  <c r="AR158" i="5" s="1"/>
  <c r="AG158" i="5"/>
  <c r="P158" i="5"/>
  <c r="O158" i="5"/>
  <c r="BS157" i="5"/>
  <c r="BM157" i="5"/>
  <c r="BL157" i="5"/>
  <c r="BH157" i="5"/>
  <c r="BG157" i="5"/>
  <c r="AT157" i="5"/>
  <c r="AS157" i="5"/>
  <c r="AQ157" i="5"/>
  <c r="AN157" i="5"/>
  <c r="AL157" i="5"/>
  <c r="AI157" i="5"/>
  <c r="AR157" i="5" s="1"/>
  <c r="AG157" i="5"/>
  <c r="P157" i="5"/>
  <c r="O157" i="5"/>
  <c r="BS156" i="5"/>
  <c r="BM156" i="5"/>
  <c r="BL156" i="5"/>
  <c r="BH156" i="5"/>
  <c r="BG156" i="5"/>
  <c r="AQ156" i="5"/>
  <c r="AL156" i="5"/>
  <c r="AN156" i="5" s="1"/>
  <c r="AI156" i="5"/>
  <c r="AG156" i="5"/>
  <c r="AT156" i="5" s="1"/>
  <c r="P156" i="5"/>
  <c r="O156" i="5"/>
  <c r="BS155" i="5"/>
  <c r="BM155" i="5"/>
  <c r="BL155" i="5"/>
  <c r="BH155" i="5"/>
  <c r="BG155" i="5"/>
  <c r="AT155" i="5"/>
  <c r="AS155" i="5"/>
  <c r="AQ155" i="5"/>
  <c r="AN155" i="5"/>
  <c r="AL155" i="5"/>
  <c r="AI155" i="5"/>
  <c r="AR155" i="5" s="1"/>
  <c r="AG155" i="5"/>
  <c r="P155" i="5"/>
  <c r="O155" i="5"/>
  <c r="BS154" i="5"/>
  <c r="BM154" i="5"/>
  <c r="BL154" i="5"/>
  <c r="BH154" i="5"/>
  <c r="BG154" i="5"/>
  <c r="AQ154" i="5"/>
  <c r="AL154" i="5"/>
  <c r="AN154" i="5" s="1"/>
  <c r="AI154" i="5"/>
  <c r="AG154" i="5"/>
  <c r="P154" i="5"/>
  <c r="O154" i="5"/>
  <c r="BS153" i="5"/>
  <c r="BM153" i="5"/>
  <c r="BL153" i="5"/>
  <c r="BH153" i="5"/>
  <c r="BG153" i="5"/>
  <c r="AT153" i="5"/>
  <c r="AS153" i="5"/>
  <c r="AQ153" i="5"/>
  <c r="AN153" i="5"/>
  <c r="AL153" i="5"/>
  <c r="AI153" i="5"/>
  <c r="AR153" i="5" s="1"/>
  <c r="AG153" i="5"/>
  <c r="P153" i="5"/>
  <c r="O153" i="5"/>
  <c r="BS152" i="5"/>
  <c r="BM152" i="5"/>
  <c r="BL152" i="5"/>
  <c r="BH152" i="5"/>
  <c r="BG152" i="5"/>
  <c r="AQ152" i="5"/>
  <c r="AL152" i="5"/>
  <c r="AN152" i="5" s="1"/>
  <c r="AS152" i="5" s="1"/>
  <c r="AI152" i="5"/>
  <c r="AG152" i="5"/>
  <c r="P152" i="5"/>
  <c r="O152" i="5"/>
  <c r="BS151" i="5"/>
  <c r="BM151" i="5"/>
  <c r="BL151" i="5"/>
  <c r="BH151" i="5"/>
  <c r="BG151" i="5"/>
  <c r="AT151" i="5"/>
  <c r="AQ151" i="5"/>
  <c r="AN151" i="5"/>
  <c r="AL151" i="5"/>
  <c r="AI151" i="5"/>
  <c r="AG151" i="5"/>
  <c r="P151" i="5"/>
  <c r="O151" i="5"/>
  <c r="BS150" i="5"/>
  <c r="BM150" i="5"/>
  <c r="BL150" i="5"/>
  <c r="BH150" i="5"/>
  <c r="BG150" i="5"/>
  <c r="AQ150" i="5"/>
  <c r="AL150" i="5"/>
  <c r="AN150" i="5" s="1"/>
  <c r="AI150" i="5"/>
  <c r="AG150" i="5"/>
  <c r="P150" i="5"/>
  <c r="O150" i="5"/>
  <c r="BS149" i="5"/>
  <c r="BM149" i="5"/>
  <c r="BL149" i="5"/>
  <c r="BH149" i="5"/>
  <c r="BG149" i="5"/>
  <c r="AT149" i="5"/>
  <c r="AS149" i="5"/>
  <c r="AQ149" i="5"/>
  <c r="AN149" i="5"/>
  <c r="AL149" i="5"/>
  <c r="AI149" i="5"/>
  <c r="AR149" i="5" s="1"/>
  <c r="AG149" i="5"/>
  <c r="P149" i="5"/>
  <c r="O149" i="5"/>
  <c r="BS148" i="5"/>
  <c r="BM148" i="5"/>
  <c r="BL148" i="5"/>
  <c r="BH148" i="5"/>
  <c r="BG148" i="5"/>
  <c r="AS148" i="5"/>
  <c r="AQ148" i="5"/>
  <c r="AL148" i="5"/>
  <c r="AN148" i="5" s="1"/>
  <c r="AI148" i="5"/>
  <c r="AR148" i="5" s="1"/>
  <c r="AG148" i="5"/>
  <c r="P148" i="5"/>
  <c r="O148" i="5"/>
  <c r="BS147" i="5"/>
  <c r="BM147" i="5"/>
  <c r="BL147" i="5"/>
  <c r="BH147" i="5"/>
  <c r="BG147" i="5"/>
  <c r="AT147" i="5"/>
  <c r="AS147" i="5"/>
  <c r="AQ147" i="5"/>
  <c r="AN147" i="5"/>
  <c r="AL147" i="5"/>
  <c r="AI147" i="5"/>
  <c r="AR147" i="5" s="1"/>
  <c r="AG147" i="5"/>
  <c r="P147" i="5"/>
  <c r="O147" i="5"/>
  <c r="BS146" i="5"/>
  <c r="BM146" i="5"/>
  <c r="BL146" i="5"/>
  <c r="BH146" i="5"/>
  <c r="BG146" i="5"/>
  <c r="AQ146" i="5"/>
  <c r="AL146" i="5"/>
  <c r="AN146" i="5" s="1"/>
  <c r="AI146" i="5"/>
  <c r="AG146" i="5"/>
  <c r="AT146" i="5" s="1"/>
  <c r="P146" i="5"/>
  <c r="O146" i="5"/>
  <c r="BS145" i="5"/>
  <c r="BM145" i="5"/>
  <c r="BL145" i="5"/>
  <c r="BH145" i="5"/>
  <c r="BG145" i="5"/>
  <c r="AT145" i="5"/>
  <c r="AS145" i="5"/>
  <c r="AQ145" i="5"/>
  <c r="AN145" i="5"/>
  <c r="AL145" i="5"/>
  <c r="AI145" i="5"/>
  <c r="AR145" i="5" s="1"/>
  <c r="AG145" i="5"/>
  <c r="P145" i="5"/>
  <c r="O145" i="5"/>
  <c r="BS144" i="5"/>
  <c r="BM144" i="5"/>
  <c r="BL144" i="5"/>
  <c r="BH144" i="5"/>
  <c r="BG144" i="5"/>
  <c r="AQ144" i="5"/>
  <c r="AL144" i="5"/>
  <c r="AN144" i="5" s="1"/>
  <c r="AI144" i="5"/>
  <c r="AG144" i="5"/>
  <c r="P144" i="5"/>
  <c r="O144" i="5"/>
  <c r="BS143" i="5"/>
  <c r="BM143" i="5"/>
  <c r="BL143" i="5"/>
  <c r="BH143" i="5"/>
  <c r="BG143" i="5"/>
  <c r="AT143" i="5"/>
  <c r="AQ143" i="5"/>
  <c r="AN143" i="5"/>
  <c r="AL143" i="5"/>
  <c r="AI143" i="5"/>
  <c r="AG143" i="5"/>
  <c r="P143" i="5"/>
  <c r="O143" i="5"/>
  <c r="BS142" i="5"/>
  <c r="BM142" i="5"/>
  <c r="BL142" i="5"/>
  <c r="BH142" i="5"/>
  <c r="BG142" i="5"/>
  <c r="AQ142" i="5"/>
  <c r="AL142" i="5"/>
  <c r="AN142" i="5" s="1"/>
  <c r="AS142" i="5" s="1"/>
  <c r="AI142" i="5"/>
  <c r="AG142" i="5"/>
  <c r="P142" i="5"/>
  <c r="O142" i="5"/>
  <c r="BS141" i="5"/>
  <c r="BM141" i="5"/>
  <c r="BL141" i="5"/>
  <c r="BH141" i="5"/>
  <c r="BG141" i="5"/>
  <c r="AT141" i="5"/>
  <c r="AQ141" i="5"/>
  <c r="AN141" i="5"/>
  <c r="AL141" i="5"/>
  <c r="AI141" i="5"/>
  <c r="AG141" i="5"/>
  <c r="P141" i="5"/>
  <c r="O141" i="5"/>
  <c r="BS140" i="5"/>
  <c r="BM140" i="5"/>
  <c r="BL140" i="5"/>
  <c r="BH140" i="5"/>
  <c r="BG140" i="5"/>
  <c r="AQ140" i="5"/>
  <c r="AL140" i="5"/>
  <c r="AN140" i="5" s="1"/>
  <c r="AI140" i="5"/>
  <c r="AG140" i="5"/>
  <c r="P140" i="5"/>
  <c r="O140" i="5"/>
  <c r="BS139" i="5"/>
  <c r="BM139" i="5"/>
  <c r="BL139" i="5"/>
  <c r="BH139" i="5"/>
  <c r="BG139" i="5"/>
  <c r="AT139" i="5"/>
  <c r="AS139" i="5"/>
  <c r="AQ139" i="5"/>
  <c r="AN139" i="5"/>
  <c r="AL139" i="5"/>
  <c r="AI139" i="5"/>
  <c r="AR139" i="5" s="1"/>
  <c r="AG139" i="5"/>
  <c r="P139" i="5"/>
  <c r="O139" i="5"/>
  <c r="BS138" i="5"/>
  <c r="BM138" i="5"/>
  <c r="BL138" i="5"/>
  <c r="BH138" i="5"/>
  <c r="BG138" i="5"/>
  <c r="AS138" i="5"/>
  <c r="AQ138" i="5"/>
  <c r="AL138" i="5"/>
  <c r="AN138" i="5" s="1"/>
  <c r="AI138" i="5"/>
  <c r="AR138" i="5" s="1"/>
  <c r="AG138" i="5"/>
  <c r="P138" i="5"/>
  <c r="O138" i="5"/>
  <c r="BS137" i="5"/>
  <c r="BM137" i="5"/>
  <c r="BL137" i="5"/>
  <c r="BH137" i="5"/>
  <c r="BG137" i="5"/>
  <c r="AT137" i="5"/>
  <c r="AS137" i="5"/>
  <c r="AQ137" i="5"/>
  <c r="AN137" i="5"/>
  <c r="AL137" i="5"/>
  <c r="AI137" i="5"/>
  <c r="AR137" i="5" s="1"/>
  <c r="AG137" i="5"/>
  <c r="P137" i="5"/>
  <c r="O137" i="5"/>
  <c r="BS136" i="5"/>
  <c r="BM136" i="5"/>
  <c r="BL136" i="5"/>
  <c r="BH136" i="5"/>
  <c r="BG136" i="5"/>
  <c r="AQ136" i="5"/>
  <c r="AL136" i="5"/>
  <c r="AN136" i="5" s="1"/>
  <c r="AI136" i="5"/>
  <c r="AG136" i="5"/>
  <c r="AT136" i="5" s="1"/>
  <c r="P136" i="5"/>
  <c r="O136" i="5"/>
  <c r="BS135" i="5"/>
  <c r="BM135" i="5"/>
  <c r="BL135" i="5"/>
  <c r="BH135" i="5"/>
  <c r="BG135" i="5"/>
  <c r="AT135" i="5"/>
  <c r="AS135" i="5"/>
  <c r="AQ135" i="5"/>
  <c r="AN135" i="5"/>
  <c r="AL135" i="5"/>
  <c r="AI135" i="5"/>
  <c r="AR135" i="5" s="1"/>
  <c r="AG135" i="5"/>
  <c r="P135" i="5"/>
  <c r="O135" i="5"/>
  <c r="BS134" i="5"/>
  <c r="BM134" i="5"/>
  <c r="BL134" i="5"/>
  <c r="BH134" i="5"/>
  <c r="BG134" i="5"/>
  <c r="AQ134" i="5"/>
  <c r="AL134" i="5"/>
  <c r="AN134" i="5" s="1"/>
  <c r="AI134" i="5"/>
  <c r="AG134" i="5"/>
  <c r="P134" i="5"/>
  <c r="O134" i="5"/>
  <c r="BS133" i="5"/>
  <c r="BM133" i="5"/>
  <c r="BL133" i="5"/>
  <c r="BH133" i="5"/>
  <c r="BG133" i="5"/>
  <c r="AT133" i="5"/>
  <c r="AS133" i="5"/>
  <c r="AQ133" i="5"/>
  <c r="AN133" i="5"/>
  <c r="AL133" i="5"/>
  <c r="AI133" i="5"/>
  <c r="AR133" i="5" s="1"/>
  <c r="AG133" i="5"/>
  <c r="P133" i="5"/>
  <c r="O133" i="5"/>
  <c r="BS132" i="5"/>
  <c r="BM132" i="5"/>
  <c r="BL132" i="5"/>
  <c r="BH132" i="5"/>
  <c r="BG132" i="5"/>
  <c r="AQ132" i="5"/>
  <c r="AL132" i="5"/>
  <c r="AN132" i="5" s="1"/>
  <c r="AS132" i="5" s="1"/>
  <c r="AI132" i="5"/>
  <c r="AG132" i="5"/>
  <c r="P132" i="5"/>
  <c r="O132" i="5"/>
  <c r="BS131" i="5"/>
  <c r="BM131" i="5"/>
  <c r="BL131" i="5"/>
  <c r="BH131" i="5"/>
  <c r="BG131" i="5"/>
  <c r="AT131" i="5"/>
  <c r="AQ131" i="5"/>
  <c r="AN131" i="5"/>
  <c r="AL131" i="5"/>
  <c r="AI131" i="5"/>
  <c r="AG131" i="5"/>
  <c r="P131" i="5"/>
  <c r="O131" i="5"/>
  <c r="BS130" i="5"/>
  <c r="BM130" i="5"/>
  <c r="BL130" i="5"/>
  <c r="BH130" i="5"/>
  <c r="BG130" i="5"/>
  <c r="AQ130" i="5"/>
  <c r="AL130" i="5"/>
  <c r="AN130" i="5" s="1"/>
  <c r="AI130" i="5"/>
  <c r="AG130" i="5"/>
  <c r="P130" i="5"/>
  <c r="O130" i="5"/>
  <c r="BS129" i="5"/>
  <c r="BM129" i="5"/>
  <c r="BL129" i="5"/>
  <c r="BH129" i="5"/>
  <c r="BG129" i="5"/>
  <c r="AT129" i="5"/>
  <c r="AS129" i="5"/>
  <c r="AQ129" i="5"/>
  <c r="AN129" i="5"/>
  <c r="AL129" i="5"/>
  <c r="AI129" i="5"/>
  <c r="AR129" i="5" s="1"/>
  <c r="AG129" i="5"/>
  <c r="P129" i="5"/>
  <c r="O129" i="5"/>
  <c r="BS128" i="5"/>
  <c r="BM128" i="5"/>
  <c r="BL128" i="5"/>
  <c r="BH128" i="5"/>
  <c r="BG128" i="5"/>
  <c r="AS128" i="5"/>
  <c r="AQ128" i="5"/>
  <c r="AL128" i="5"/>
  <c r="AN128" i="5" s="1"/>
  <c r="AI128" i="5"/>
  <c r="AR128" i="5" s="1"/>
  <c r="AG128" i="5"/>
  <c r="P128" i="5"/>
  <c r="O128" i="5"/>
  <c r="BS127" i="5"/>
  <c r="BM127" i="5"/>
  <c r="BL127" i="5"/>
  <c r="BH127" i="5"/>
  <c r="BG127" i="5"/>
  <c r="AT127" i="5"/>
  <c r="AS127" i="5"/>
  <c r="AQ127" i="5"/>
  <c r="AN127" i="5"/>
  <c r="AL127" i="5"/>
  <c r="AI127" i="5"/>
  <c r="AR127" i="5" s="1"/>
  <c r="AG127" i="5"/>
  <c r="P127" i="5"/>
  <c r="O127" i="5"/>
  <c r="BS126" i="5"/>
  <c r="BM126" i="5"/>
  <c r="BL126" i="5"/>
  <c r="BH126" i="5"/>
  <c r="BG126" i="5"/>
  <c r="AQ126" i="5"/>
  <c r="AL126" i="5"/>
  <c r="AN126" i="5" s="1"/>
  <c r="AI126" i="5"/>
  <c r="AG126" i="5"/>
  <c r="AT126" i="5" s="1"/>
  <c r="P126" i="5"/>
  <c r="O126" i="5"/>
  <c r="BS125" i="5"/>
  <c r="BM125" i="5"/>
  <c r="BL125" i="5"/>
  <c r="BH125" i="5"/>
  <c r="BG125" i="5"/>
  <c r="AT125" i="5"/>
  <c r="AS125" i="5"/>
  <c r="AQ125" i="5"/>
  <c r="AN125" i="5"/>
  <c r="AL125" i="5"/>
  <c r="AI125" i="5"/>
  <c r="AR125" i="5" s="1"/>
  <c r="AG125" i="5"/>
  <c r="P125" i="5"/>
  <c r="O125" i="5"/>
  <c r="BS124" i="5"/>
  <c r="BM124" i="5"/>
  <c r="BL124" i="5"/>
  <c r="BH124" i="5"/>
  <c r="BG124" i="5"/>
  <c r="AQ124" i="5"/>
  <c r="AL124" i="5"/>
  <c r="AN124" i="5" s="1"/>
  <c r="AI124" i="5"/>
  <c r="AG124" i="5"/>
  <c r="P124" i="5"/>
  <c r="O124" i="5"/>
  <c r="BS123" i="5"/>
  <c r="BM123" i="5"/>
  <c r="BL123" i="5"/>
  <c r="BH123" i="5"/>
  <c r="BG123" i="5"/>
  <c r="AT123" i="5"/>
  <c r="AQ123" i="5"/>
  <c r="AN123" i="5"/>
  <c r="AL123" i="5"/>
  <c r="AI123" i="5"/>
  <c r="AG123" i="5"/>
  <c r="P123" i="5"/>
  <c r="O123" i="5"/>
  <c r="BS122" i="5"/>
  <c r="BM122" i="5"/>
  <c r="BL122" i="5"/>
  <c r="BH122" i="5"/>
  <c r="BG122" i="5"/>
  <c r="AQ122" i="5"/>
  <c r="AL122" i="5"/>
  <c r="AN122" i="5" s="1"/>
  <c r="AS122" i="5" s="1"/>
  <c r="AI122" i="5"/>
  <c r="AG122" i="5"/>
  <c r="P122" i="5"/>
  <c r="O122" i="5"/>
  <c r="BS121" i="5"/>
  <c r="BM121" i="5"/>
  <c r="BL121" i="5"/>
  <c r="BH121" i="5"/>
  <c r="BG121" i="5"/>
  <c r="AT121" i="5"/>
  <c r="AQ121" i="5"/>
  <c r="AN121" i="5"/>
  <c r="AL121" i="5"/>
  <c r="AI121" i="5"/>
  <c r="AG121" i="5"/>
  <c r="P121" i="5"/>
  <c r="O121" i="5"/>
  <c r="BS120" i="5"/>
  <c r="BM120" i="5"/>
  <c r="BL120" i="5"/>
  <c r="BH120" i="5"/>
  <c r="BG120" i="5"/>
  <c r="AQ120" i="5"/>
  <c r="AL120" i="5"/>
  <c r="AN120" i="5" s="1"/>
  <c r="AI120" i="5"/>
  <c r="AG120" i="5"/>
  <c r="P120" i="5"/>
  <c r="O120" i="5"/>
  <c r="BS119" i="5"/>
  <c r="BM119" i="5"/>
  <c r="BL119" i="5"/>
  <c r="BH119" i="5"/>
  <c r="BG119" i="5"/>
  <c r="AT119" i="5"/>
  <c r="AS119" i="5"/>
  <c r="AQ119" i="5"/>
  <c r="AN119" i="5"/>
  <c r="AL119" i="5"/>
  <c r="AI119" i="5"/>
  <c r="AR119" i="5" s="1"/>
  <c r="AG119" i="5"/>
  <c r="P119" i="5"/>
  <c r="O119" i="5"/>
  <c r="BS118" i="5"/>
  <c r="BM118" i="5"/>
  <c r="BL118" i="5"/>
  <c r="BH118" i="5"/>
  <c r="BG118" i="5"/>
  <c r="AS118" i="5"/>
  <c r="AQ118" i="5"/>
  <c r="AL118" i="5"/>
  <c r="AN118" i="5" s="1"/>
  <c r="AI118" i="5"/>
  <c r="AR118" i="5" s="1"/>
  <c r="AG118" i="5"/>
  <c r="P118" i="5"/>
  <c r="O118" i="5"/>
  <c r="BS117" i="5"/>
  <c r="BM117" i="5"/>
  <c r="BL117" i="5"/>
  <c r="BH117" i="5"/>
  <c r="BG117" i="5"/>
  <c r="AT117" i="5"/>
  <c r="AS117" i="5"/>
  <c r="AQ117" i="5"/>
  <c r="AN117" i="5"/>
  <c r="AL117" i="5"/>
  <c r="AI117" i="5"/>
  <c r="AR117" i="5" s="1"/>
  <c r="AG117" i="5"/>
  <c r="P117" i="5"/>
  <c r="O117" i="5"/>
  <c r="BS116" i="5"/>
  <c r="BM116" i="5"/>
  <c r="BL116" i="5"/>
  <c r="BH116" i="5"/>
  <c r="BG116" i="5"/>
  <c r="AQ116" i="5"/>
  <c r="AL116" i="5"/>
  <c r="AN116" i="5" s="1"/>
  <c r="AI116" i="5"/>
  <c r="AG116" i="5"/>
  <c r="AT116" i="5" s="1"/>
  <c r="P116" i="5"/>
  <c r="O116" i="5"/>
  <c r="BS115" i="5"/>
  <c r="BM115" i="5"/>
  <c r="BL115" i="5"/>
  <c r="BH115" i="5"/>
  <c r="BG115" i="5"/>
  <c r="AT115" i="5"/>
  <c r="AS115" i="5"/>
  <c r="AQ115" i="5"/>
  <c r="AN115" i="5"/>
  <c r="AL115" i="5"/>
  <c r="AI115" i="5"/>
  <c r="AR115" i="5" s="1"/>
  <c r="AG115" i="5"/>
  <c r="P115" i="5"/>
  <c r="O115" i="5"/>
  <c r="BS114" i="5"/>
  <c r="BM114" i="5"/>
  <c r="BL114" i="5"/>
  <c r="BH114" i="5"/>
  <c r="BG114" i="5"/>
  <c r="AQ114" i="5"/>
  <c r="AL114" i="5"/>
  <c r="AN114" i="5" s="1"/>
  <c r="AI114" i="5"/>
  <c r="AG114" i="5"/>
  <c r="P114" i="5"/>
  <c r="O114" i="5"/>
  <c r="BS113" i="5"/>
  <c r="BM113" i="5"/>
  <c r="BL113" i="5"/>
  <c r="BH113" i="5"/>
  <c r="BG113" i="5"/>
  <c r="AT113" i="5"/>
  <c r="AS113" i="5"/>
  <c r="AQ113" i="5"/>
  <c r="AN113" i="5"/>
  <c r="AL113" i="5"/>
  <c r="AI113" i="5"/>
  <c r="AR113" i="5" s="1"/>
  <c r="AG113" i="5"/>
  <c r="P113" i="5"/>
  <c r="O113" i="5"/>
  <c r="BS112" i="5"/>
  <c r="BM112" i="5"/>
  <c r="BL112" i="5"/>
  <c r="BH112" i="5"/>
  <c r="BG112" i="5"/>
  <c r="AQ112" i="5"/>
  <c r="AL112" i="5"/>
  <c r="AN112" i="5" s="1"/>
  <c r="AS112" i="5" s="1"/>
  <c r="AI112" i="5"/>
  <c r="AG112" i="5"/>
  <c r="P112" i="5"/>
  <c r="O112" i="5"/>
  <c r="BS111" i="5"/>
  <c r="BM111" i="5"/>
  <c r="BL111" i="5"/>
  <c r="BH111" i="5"/>
  <c r="BG111" i="5"/>
  <c r="AT111" i="5"/>
  <c r="AQ111" i="5"/>
  <c r="AN111" i="5"/>
  <c r="AL111" i="5"/>
  <c r="AI111" i="5"/>
  <c r="AG111" i="5"/>
  <c r="P111" i="5"/>
  <c r="O111" i="5"/>
  <c r="BS110" i="5"/>
  <c r="BM110" i="5"/>
  <c r="BL110" i="5"/>
  <c r="BH110" i="5"/>
  <c r="BG110" i="5"/>
  <c r="AQ110" i="5"/>
  <c r="AL110" i="5"/>
  <c r="AN110" i="5" s="1"/>
  <c r="AI110" i="5"/>
  <c r="AG110" i="5"/>
  <c r="P110" i="5"/>
  <c r="O110" i="5"/>
  <c r="BS109" i="5"/>
  <c r="BM109" i="5"/>
  <c r="BL109" i="5"/>
  <c r="BH109" i="5"/>
  <c r="BG109" i="5"/>
  <c r="AT109" i="5"/>
  <c r="AS109" i="5"/>
  <c r="AQ109" i="5"/>
  <c r="AN109" i="5"/>
  <c r="AL109" i="5"/>
  <c r="AI109" i="5"/>
  <c r="AR109" i="5" s="1"/>
  <c r="AG109" i="5"/>
  <c r="P109" i="5"/>
  <c r="O109" i="5"/>
  <c r="BS108" i="5"/>
  <c r="BM108" i="5"/>
  <c r="BL108" i="5"/>
  <c r="BH108" i="5"/>
  <c r="BG108" i="5"/>
  <c r="AS108" i="5"/>
  <c r="AQ108" i="5"/>
  <c r="AL108" i="5"/>
  <c r="AN108" i="5" s="1"/>
  <c r="AI108" i="5"/>
  <c r="AR108" i="5" s="1"/>
  <c r="AG108" i="5"/>
  <c r="P108" i="5"/>
  <c r="O108" i="5"/>
  <c r="BS107" i="5"/>
  <c r="BM107" i="5"/>
  <c r="BL107" i="5"/>
  <c r="BH107" i="5"/>
  <c r="BG107" i="5"/>
  <c r="AT107" i="5"/>
  <c r="AS107" i="5"/>
  <c r="AQ107" i="5"/>
  <c r="AN107" i="5"/>
  <c r="AL107" i="5"/>
  <c r="AI107" i="5"/>
  <c r="AR107" i="5" s="1"/>
  <c r="AG107" i="5"/>
  <c r="P107" i="5"/>
  <c r="O107" i="5"/>
  <c r="BS106" i="5"/>
  <c r="BM106" i="5"/>
  <c r="BL106" i="5"/>
  <c r="BH106" i="5"/>
  <c r="BG106" i="5"/>
  <c r="AQ106" i="5"/>
  <c r="AL106" i="5"/>
  <c r="AN106" i="5" s="1"/>
  <c r="AI106" i="5"/>
  <c r="AG106" i="5"/>
  <c r="AT106" i="5" s="1"/>
  <c r="P106" i="5"/>
  <c r="O106" i="5"/>
  <c r="BS105" i="5"/>
  <c r="BM105" i="5"/>
  <c r="BL105" i="5"/>
  <c r="BH105" i="5"/>
  <c r="BG105" i="5"/>
  <c r="AT105" i="5"/>
  <c r="AS105" i="5"/>
  <c r="AQ105" i="5"/>
  <c r="AN105" i="5"/>
  <c r="AL105" i="5"/>
  <c r="AI105" i="5"/>
  <c r="AR105" i="5" s="1"/>
  <c r="AG105" i="5"/>
  <c r="P105" i="5"/>
  <c r="O105" i="5"/>
  <c r="BS104" i="5"/>
  <c r="BM104" i="5"/>
  <c r="BL104" i="5"/>
  <c r="BH104" i="5"/>
  <c r="BG104" i="5"/>
  <c r="AQ104" i="5"/>
  <c r="AL104" i="5"/>
  <c r="AN104" i="5" s="1"/>
  <c r="AI104" i="5"/>
  <c r="AG104" i="5"/>
  <c r="P104" i="5"/>
  <c r="O104" i="5"/>
  <c r="BS103" i="5"/>
  <c r="BM103" i="5"/>
  <c r="BL103" i="5"/>
  <c r="BH103" i="5"/>
  <c r="BG103" i="5"/>
  <c r="AS103" i="5"/>
  <c r="AQ103" i="5"/>
  <c r="AT103" i="5" s="1"/>
  <c r="AN103" i="5"/>
  <c r="AL103" i="5"/>
  <c r="AI103" i="5"/>
  <c r="AR103" i="5" s="1"/>
  <c r="AG103" i="5"/>
  <c r="P103" i="5"/>
  <c r="O103" i="5"/>
  <c r="BS102" i="5"/>
  <c r="BM102" i="5"/>
  <c r="BL102" i="5"/>
  <c r="BH102" i="5"/>
  <c r="BG102" i="5"/>
  <c r="AQ102" i="5"/>
  <c r="AL102" i="5"/>
  <c r="AN102" i="5" s="1"/>
  <c r="AS102" i="5" s="1"/>
  <c r="AI102" i="5"/>
  <c r="AG102" i="5"/>
  <c r="P102" i="5"/>
  <c r="O102" i="5"/>
  <c r="BS101" i="5"/>
  <c r="BM101" i="5"/>
  <c r="BL101" i="5"/>
  <c r="BH101" i="5"/>
  <c r="BG101" i="5"/>
  <c r="AT101" i="5"/>
  <c r="AQ101" i="5"/>
  <c r="AN101" i="5"/>
  <c r="AL101" i="5"/>
  <c r="AI101" i="5"/>
  <c r="AG101" i="5"/>
  <c r="P101" i="5"/>
  <c r="O101" i="5"/>
  <c r="BS100" i="5"/>
  <c r="BM100" i="5"/>
  <c r="BL100" i="5"/>
  <c r="BH100" i="5"/>
  <c r="BG100" i="5"/>
  <c r="AQ100" i="5"/>
  <c r="AL100" i="5"/>
  <c r="AN100" i="5" s="1"/>
  <c r="AI100" i="5"/>
  <c r="AG100" i="5"/>
  <c r="P100" i="5"/>
  <c r="O100" i="5"/>
  <c r="BS99" i="5"/>
  <c r="BM99" i="5"/>
  <c r="BL99" i="5"/>
  <c r="BH99" i="5"/>
  <c r="BG99" i="5"/>
  <c r="AS99" i="5"/>
  <c r="AQ99" i="5"/>
  <c r="AT99" i="5" s="1"/>
  <c r="AN99" i="5"/>
  <c r="AL99" i="5"/>
  <c r="AI99" i="5"/>
  <c r="AG99" i="5"/>
  <c r="P99" i="5"/>
  <c r="O99" i="5"/>
  <c r="BS98" i="5"/>
  <c r="BM98" i="5"/>
  <c r="BL98" i="5"/>
  <c r="BH98" i="5"/>
  <c r="BG98" i="5"/>
  <c r="AS98" i="5"/>
  <c r="AQ98" i="5"/>
  <c r="AL98" i="5"/>
  <c r="AN98" i="5" s="1"/>
  <c r="AI98" i="5"/>
  <c r="AR98" i="5" s="1"/>
  <c r="AG98" i="5"/>
  <c r="P98" i="5"/>
  <c r="O98" i="5"/>
  <c r="BS97" i="5"/>
  <c r="BM97" i="5"/>
  <c r="BL97" i="5"/>
  <c r="BH97" i="5"/>
  <c r="BG97" i="5"/>
  <c r="AS97" i="5"/>
  <c r="AQ97" i="5"/>
  <c r="AT97" i="5" s="1"/>
  <c r="AN97" i="5"/>
  <c r="AL97" i="5"/>
  <c r="AI97" i="5"/>
  <c r="AR97" i="5" s="1"/>
  <c r="AG97" i="5"/>
  <c r="P97" i="5"/>
  <c r="O97" i="5"/>
  <c r="BS96" i="5"/>
  <c r="BM96" i="5"/>
  <c r="BL96" i="5"/>
  <c r="BH96" i="5"/>
  <c r="BG96" i="5"/>
  <c r="AQ96" i="5"/>
  <c r="AL96" i="5"/>
  <c r="AN96" i="5" s="1"/>
  <c r="AI96" i="5"/>
  <c r="AG96" i="5"/>
  <c r="AT96" i="5" s="1"/>
  <c r="P96" i="5"/>
  <c r="O96" i="5"/>
  <c r="BS95" i="5"/>
  <c r="BM95" i="5"/>
  <c r="BL95" i="5"/>
  <c r="BH95" i="5"/>
  <c r="BG95" i="5"/>
  <c r="AS95" i="5"/>
  <c r="AQ95" i="5"/>
  <c r="AT95" i="5" s="1"/>
  <c r="AN95" i="5"/>
  <c r="AL95" i="5"/>
  <c r="AI95" i="5"/>
  <c r="AG95" i="5"/>
  <c r="P95" i="5"/>
  <c r="O95" i="5"/>
  <c r="BS94" i="5"/>
  <c r="BM94" i="5"/>
  <c r="BL94" i="5"/>
  <c r="BH94" i="5"/>
  <c r="BG94" i="5"/>
  <c r="AQ94" i="5"/>
  <c r="AL94" i="5"/>
  <c r="AN94" i="5" s="1"/>
  <c r="AI94" i="5"/>
  <c r="AG94" i="5"/>
  <c r="P94" i="5"/>
  <c r="O94" i="5"/>
  <c r="BS93" i="5"/>
  <c r="BM93" i="5"/>
  <c r="BL93" i="5"/>
  <c r="BH93" i="5"/>
  <c r="BG93" i="5"/>
  <c r="AQ93" i="5"/>
  <c r="AT93" i="5" s="1"/>
  <c r="AN93" i="5"/>
  <c r="AL93" i="5"/>
  <c r="AI93" i="5"/>
  <c r="AG93" i="5"/>
  <c r="P93" i="5"/>
  <c r="O93" i="5"/>
  <c r="BS92" i="5"/>
  <c r="BM92" i="5"/>
  <c r="BL92" i="5"/>
  <c r="BH92" i="5"/>
  <c r="BG92" i="5"/>
  <c r="AQ92" i="5"/>
  <c r="AL92" i="5"/>
  <c r="AN92" i="5" s="1"/>
  <c r="AS92" i="5" s="1"/>
  <c r="AI92" i="5"/>
  <c r="AG92" i="5"/>
  <c r="P92" i="5"/>
  <c r="O92" i="5"/>
  <c r="BS91" i="5"/>
  <c r="BM91" i="5"/>
  <c r="BL91" i="5"/>
  <c r="BH91" i="5"/>
  <c r="BG91" i="5"/>
  <c r="AT91" i="5"/>
  <c r="AQ91" i="5"/>
  <c r="AN91" i="5"/>
  <c r="AL91" i="5"/>
  <c r="AI91" i="5"/>
  <c r="AG91" i="5"/>
  <c r="P91" i="5"/>
  <c r="O91" i="5"/>
  <c r="BS90" i="5"/>
  <c r="BM90" i="5"/>
  <c r="BL90" i="5"/>
  <c r="BH90" i="5"/>
  <c r="BG90" i="5"/>
  <c r="AQ90" i="5"/>
  <c r="AL90" i="5"/>
  <c r="AN90" i="5" s="1"/>
  <c r="AI90" i="5"/>
  <c r="AG90" i="5"/>
  <c r="P90" i="5"/>
  <c r="O90" i="5"/>
  <c r="BS89" i="5"/>
  <c r="BM89" i="5"/>
  <c r="BL89" i="5"/>
  <c r="BH89" i="5"/>
  <c r="BG89" i="5"/>
  <c r="AS89" i="5"/>
  <c r="AQ89" i="5"/>
  <c r="AT89" i="5" s="1"/>
  <c r="AN89" i="5"/>
  <c r="AL89" i="5"/>
  <c r="AI89" i="5"/>
  <c r="AG89" i="5"/>
  <c r="P89" i="5"/>
  <c r="O89" i="5"/>
  <c r="BS88" i="5"/>
  <c r="BM88" i="5"/>
  <c r="BL88" i="5"/>
  <c r="BH88" i="5"/>
  <c r="BG88" i="5"/>
  <c r="AS88" i="5"/>
  <c r="AQ88" i="5"/>
  <c r="AL88" i="5"/>
  <c r="AN88" i="5" s="1"/>
  <c r="AI88" i="5"/>
  <c r="AR88" i="5" s="1"/>
  <c r="AG88" i="5"/>
  <c r="P88" i="5"/>
  <c r="O88" i="5"/>
  <c r="BS87" i="5"/>
  <c r="BM87" i="5"/>
  <c r="BL87" i="5"/>
  <c r="BH87" i="5"/>
  <c r="BG87" i="5"/>
  <c r="AS87" i="5"/>
  <c r="AQ87" i="5"/>
  <c r="AT87" i="5" s="1"/>
  <c r="AN87" i="5"/>
  <c r="AL87" i="5"/>
  <c r="AI87" i="5"/>
  <c r="AR87" i="5" s="1"/>
  <c r="AG87" i="5"/>
  <c r="P87" i="5"/>
  <c r="O87" i="5"/>
  <c r="BS86" i="5"/>
  <c r="BM86" i="5"/>
  <c r="BL86" i="5"/>
  <c r="BH86" i="5"/>
  <c r="BG86" i="5"/>
  <c r="AQ86" i="5"/>
  <c r="AL86" i="5"/>
  <c r="AN86" i="5" s="1"/>
  <c r="AI86" i="5"/>
  <c r="AG86" i="5"/>
  <c r="AT86" i="5" s="1"/>
  <c r="P86" i="5"/>
  <c r="O86" i="5"/>
  <c r="BS85" i="5"/>
  <c r="BM85" i="5"/>
  <c r="BL85" i="5"/>
  <c r="BH85" i="5"/>
  <c r="BG85" i="5"/>
  <c r="AS85" i="5"/>
  <c r="AQ85" i="5"/>
  <c r="AT85" i="5" s="1"/>
  <c r="AN85" i="5"/>
  <c r="AL85" i="5"/>
  <c r="AI85" i="5"/>
  <c r="AG85" i="5"/>
  <c r="P85" i="5"/>
  <c r="O85" i="5"/>
  <c r="BS84" i="5"/>
  <c r="BM84" i="5"/>
  <c r="BL84" i="5"/>
  <c r="BH84" i="5"/>
  <c r="BG84" i="5"/>
  <c r="AQ84" i="5"/>
  <c r="AL84" i="5"/>
  <c r="AN84" i="5" s="1"/>
  <c r="AI84" i="5"/>
  <c r="AG84" i="5"/>
  <c r="P84" i="5"/>
  <c r="O84" i="5"/>
  <c r="BS83" i="5"/>
  <c r="BM83" i="5"/>
  <c r="BL83" i="5"/>
  <c r="BH83" i="5"/>
  <c r="BG83" i="5"/>
  <c r="AQ83" i="5"/>
  <c r="AT83" i="5" s="1"/>
  <c r="AN83" i="5"/>
  <c r="AL83" i="5"/>
  <c r="AI83" i="5"/>
  <c r="AG83" i="5"/>
  <c r="P83" i="5"/>
  <c r="O83" i="5"/>
  <c r="BS82" i="5"/>
  <c r="BM82" i="5"/>
  <c r="BL82" i="5"/>
  <c r="BH82" i="5"/>
  <c r="BG82" i="5"/>
  <c r="AQ82" i="5"/>
  <c r="AL82" i="5"/>
  <c r="AN82" i="5" s="1"/>
  <c r="AS82" i="5" s="1"/>
  <c r="AI82" i="5"/>
  <c r="AG82" i="5"/>
  <c r="P82" i="5"/>
  <c r="O82" i="5"/>
  <c r="BS81" i="5"/>
  <c r="BM81" i="5"/>
  <c r="BL81" i="5"/>
  <c r="BH81" i="5"/>
  <c r="BG81" i="5"/>
  <c r="AT81" i="5"/>
  <c r="AQ81" i="5"/>
  <c r="AN81" i="5"/>
  <c r="AL81" i="5"/>
  <c r="AI81" i="5"/>
  <c r="AG81" i="5"/>
  <c r="P81" i="5"/>
  <c r="O81" i="5"/>
  <c r="BS80" i="5"/>
  <c r="BM80" i="5"/>
  <c r="BL80" i="5"/>
  <c r="BH80" i="5"/>
  <c r="BG80" i="5"/>
  <c r="AQ80" i="5"/>
  <c r="AL80" i="5"/>
  <c r="AN80" i="5" s="1"/>
  <c r="AI80" i="5"/>
  <c r="AG80" i="5"/>
  <c r="P80" i="5"/>
  <c r="O80" i="5"/>
  <c r="BS79" i="5"/>
  <c r="BM79" i="5"/>
  <c r="BL79" i="5"/>
  <c r="BH79" i="5"/>
  <c r="BG79" i="5"/>
  <c r="AS79" i="5"/>
  <c r="AQ79" i="5"/>
  <c r="AT79" i="5" s="1"/>
  <c r="AN79" i="5"/>
  <c r="AL79" i="5"/>
  <c r="AI79" i="5"/>
  <c r="AG79" i="5"/>
  <c r="P79" i="5"/>
  <c r="O79" i="5"/>
  <c r="BS78" i="5"/>
  <c r="BM78" i="5"/>
  <c r="BL78" i="5"/>
  <c r="BH78" i="5"/>
  <c r="BG78" i="5"/>
  <c r="AS78" i="5"/>
  <c r="AQ78" i="5"/>
  <c r="AL78" i="5"/>
  <c r="AN78" i="5" s="1"/>
  <c r="AI78" i="5"/>
  <c r="AR78" i="5" s="1"/>
  <c r="AG78" i="5"/>
  <c r="P78" i="5"/>
  <c r="O78" i="5"/>
  <c r="BS77" i="5"/>
  <c r="BM77" i="5"/>
  <c r="BL77" i="5"/>
  <c r="BH77" i="5"/>
  <c r="BG77" i="5"/>
  <c r="AS77" i="5"/>
  <c r="AQ77" i="5"/>
  <c r="AT77" i="5" s="1"/>
  <c r="AN77" i="5"/>
  <c r="AL77" i="5"/>
  <c r="AI77" i="5"/>
  <c r="AR77" i="5" s="1"/>
  <c r="AG77" i="5"/>
  <c r="P77" i="5"/>
  <c r="O77" i="5"/>
  <c r="BS76" i="5"/>
  <c r="BM76" i="5"/>
  <c r="BL76" i="5"/>
  <c r="BH76" i="5"/>
  <c r="BG76" i="5"/>
  <c r="AQ76" i="5"/>
  <c r="AL76" i="5"/>
  <c r="AN76" i="5" s="1"/>
  <c r="AI76" i="5"/>
  <c r="AG76" i="5"/>
  <c r="AT76" i="5" s="1"/>
  <c r="P76" i="5"/>
  <c r="O76" i="5"/>
  <c r="BS75" i="5"/>
  <c r="BM75" i="5"/>
  <c r="BL75" i="5"/>
  <c r="BH75" i="5"/>
  <c r="BG75" i="5"/>
  <c r="AS75" i="5"/>
  <c r="AQ75" i="5"/>
  <c r="AT75" i="5" s="1"/>
  <c r="AN75" i="5"/>
  <c r="AL75" i="5"/>
  <c r="AI75" i="5"/>
  <c r="AG75" i="5"/>
  <c r="P75" i="5"/>
  <c r="O75" i="5"/>
  <c r="BS74" i="5"/>
  <c r="BM74" i="5"/>
  <c r="BL74" i="5"/>
  <c r="BH74" i="5"/>
  <c r="BG74" i="5"/>
  <c r="AQ74" i="5"/>
  <c r="AL74" i="5"/>
  <c r="AN74" i="5" s="1"/>
  <c r="AI74" i="5"/>
  <c r="AG74" i="5"/>
  <c r="P74" i="5"/>
  <c r="O74" i="5"/>
  <c r="BS73" i="5"/>
  <c r="BM73" i="5"/>
  <c r="BL73" i="5"/>
  <c r="BH73" i="5"/>
  <c r="BG73" i="5"/>
  <c r="AQ73" i="5"/>
  <c r="AT73" i="5" s="1"/>
  <c r="AN73" i="5"/>
  <c r="AL73" i="5"/>
  <c r="AI73" i="5"/>
  <c r="AG73" i="5"/>
  <c r="P73" i="5"/>
  <c r="O73" i="5"/>
  <c r="BS72" i="5"/>
  <c r="BM72" i="5"/>
  <c r="BL72" i="5"/>
  <c r="BH72" i="5"/>
  <c r="BG72" i="5"/>
  <c r="AQ72" i="5"/>
  <c r="AL72" i="5"/>
  <c r="AN72" i="5" s="1"/>
  <c r="AS72" i="5" s="1"/>
  <c r="AI72" i="5"/>
  <c r="AG72" i="5"/>
  <c r="P72" i="5"/>
  <c r="O72" i="5"/>
  <c r="BS71" i="5"/>
  <c r="BM71" i="5"/>
  <c r="BL71" i="5"/>
  <c r="BH71" i="5"/>
  <c r="BG71" i="5"/>
  <c r="AT71" i="5"/>
  <c r="AQ71" i="5"/>
  <c r="AN71" i="5"/>
  <c r="AL71" i="5"/>
  <c r="AI71" i="5"/>
  <c r="AG71" i="5"/>
  <c r="P71" i="5"/>
  <c r="O71" i="5"/>
  <c r="BS70" i="5"/>
  <c r="BM70" i="5"/>
  <c r="BL70" i="5"/>
  <c r="BH70" i="5"/>
  <c r="BG70" i="5"/>
  <c r="AQ70" i="5"/>
  <c r="AL70" i="5"/>
  <c r="AN70" i="5" s="1"/>
  <c r="AI70" i="5"/>
  <c r="AG70" i="5"/>
  <c r="P70" i="5"/>
  <c r="O70" i="5"/>
  <c r="BS69" i="5"/>
  <c r="BM69" i="5"/>
  <c r="BL69" i="5"/>
  <c r="BH69" i="5"/>
  <c r="BG69" i="5"/>
  <c r="AS69" i="5"/>
  <c r="AQ69" i="5"/>
  <c r="AT69" i="5" s="1"/>
  <c r="AN69" i="5"/>
  <c r="AL69" i="5"/>
  <c r="AI69" i="5"/>
  <c r="AG69" i="5"/>
  <c r="P69" i="5"/>
  <c r="O69" i="5"/>
  <c r="BS68" i="5"/>
  <c r="BM68" i="5"/>
  <c r="BL68" i="5"/>
  <c r="BH68" i="5"/>
  <c r="BG68" i="5"/>
  <c r="AS68" i="5"/>
  <c r="AQ68" i="5"/>
  <c r="AL68" i="5"/>
  <c r="AN68" i="5" s="1"/>
  <c r="AI68" i="5"/>
  <c r="AR68" i="5" s="1"/>
  <c r="AG68" i="5"/>
  <c r="P68" i="5"/>
  <c r="O68" i="5"/>
  <c r="BS67" i="5"/>
  <c r="BM67" i="5"/>
  <c r="BL67" i="5"/>
  <c r="BH67" i="5"/>
  <c r="BG67" i="5"/>
  <c r="AS67" i="5"/>
  <c r="AQ67" i="5"/>
  <c r="AT67" i="5" s="1"/>
  <c r="AN67" i="5"/>
  <c r="AL67" i="5"/>
  <c r="AI67" i="5"/>
  <c r="AR67" i="5" s="1"/>
  <c r="AG67" i="5"/>
  <c r="P67" i="5"/>
  <c r="O67" i="5"/>
  <c r="BS66" i="5"/>
  <c r="BM66" i="5"/>
  <c r="BL66" i="5"/>
  <c r="BH66" i="5"/>
  <c r="BG66" i="5"/>
  <c r="AQ66" i="5"/>
  <c r="AL66" i="5"/>
  <c r="AN66" i="5" s="1"/>
  <c r="AI66" i="5"/>
  <c r="AG66" i="5"/>
  <c r="AT66" i="5" s="1"/>
  <c r="P66" i="5"/>
  <c r="O66" i="5"/>
  <c r="BS65" i="5"/>
  <c r="BM65" i="5"/>
  <c r="BL65" i="5"/>
  <c r="BH65" i="5"/>
  <c r="BG65" i="5"/>
  <c r="AS65" i="5"/>
  <c r="AQ65" i="5"/>
  <c r="AT65" i="5" s="1"/>
  <c r="AN65" i="5"/>
  <c r="AL65" i="5"/>
  <c r="AI65" i="5"/>
  <c r="AG65" i="5"/>
  <c r="P65" i="5"/>
  <c r="O65" i="5"/>
  <c r="BS64" i="5"/>
  <c r="BM64" i="5"/>
  <c r="BL64" i="5"/>
  <c r="BH64" i="5"/>
  <c r="BG64" i="5"/>
  <c r="AQ64" i="5"/>
  <c r="AL64" i="5"/>
  <c r="AN64" i="5" s="1"/>
  <c r="AI64" i="5"/>
  <c r="AG64" i="5"/>
  <c r="P64" i="5"/>
  <c r="O64" i="5"/>
  <c r="BS63" i="5"/>
  <c r="BM63" i="5"/>
  <c r="BL63" i="5"/>
  <c r="BH63" i="5"/>
  <c r="BG63" i="5"/>
  <c r="AS63" i="5"/>
  <c r="AQ63" i="5"/>
  <c r="AT63" i="5" s="1"/>
  <c r="AN63" i="5"/>
  <c r="AL63" i="5"/>
  <c r="AI63" i="5"/>
  <c r="AR63" i="5" s="1"/>
  <c r="AG63" i="5"/>
  <c r="P63" i="5"/>
  <c r="O63" i="5"/>
  <c r="BS62" i="5"/>
  <c r="BM62" i="5"/>
  <c r="BL62" i="5"/>
  <c r="BH62" i="5"/>
  <c r="BG62" i="5"/>
  <c r="AQ62" i="5"/>
  <c r="AN62" i="5"/>
  <c r="AS62" i="5" s="1"/>
  <c r="AL62" i="5"/>
  <c r="AI62" i="5"/>
  <c r="AG62" i="5"/>
  <c r="P62" i="5"/>
  <c r="O62" i="5"/>
  <c r="BS61" i="5"/>
  <c r="BM61" i="5"/>
  <c r="BL61" i="5"/>
  <c r="BH61" i="5"/>
  <c r="BG61" i="5"/>
  <c r="AQ61" i="5"/>
  <c r="AT61" i="5" s="1"/>
  <c r="AN61" i="5"/>
  <c r="AL61" i="5"/>
  <c r="AI61" i="5"/>
  <c r="AG61" i="5"/>
  <c r="P61" i="5"/>
  <c r="O61" i="5"/>
  <c r="BS60" i="5"/>
  <c r="BM60" i="5"/>
  <c r="BL60" i="5"/>
  <c r="BH60" i="5"/>
  <c r="BG60" i="5"/>
  <c r="AQ60" i="5"/>
  <c r="AL60" i="5"/>
  <c r="AN60" i="5" s="1"/>
  <c r="AS60" i="5" s="1"/>
  <c r="AI60" i="5"/>
  <c r="AG60" i="5"/>
  <c r="AT60" i="5" s="1"/>
  <c r="P60" i="5"/>
  <c r="O60" i="5"/>
  <c r="BS59" i="5"/>
  <c r="BM59" i="5"/>
  <c r="BL59" i="5"/>
  <c r="BH59" i="5"/>
  <c r="BG59" i="5"/>
  <c r="AS59" i="5"/>
  <c r="AQ59" i="5"/>
  <c r="AT59" i="5" s="1"/>
  <c r="AN59" i="5"/>
  <c r="AL59" i="5"/>
  <c r="AI59" i="5"/>
  <c r="AG59" i="5"/>
  <c r="P59" i="5"/>
  <c r="O59" i="5"/>
  <c r="BS58" i="5"/>
  <c r="BM58" i="5"/>
  <c r="BL58" i="5"/>
  <c r="BH58" i="5"/>
  <c r="BG58" i="5"/>
  <c r="AQ58" i="5"/>
  <c r="AL58" i="5"/>
  <c r="AN58" i="5" s="1"/>
  <c r="AI58" i="5"/>
  <c r="AG58" i="5"/>
  <c r="P58" i="5"/>
  <c r="O58" i="5"/>
  <c r="BS57" i="5"/>
  <c r="BM57" i="5"/>
  <c r="BL57" i="5"/>
  <c r="BH57" i="5"/>
  <c r="BG57" i="5"/>
  <c r="AT57" i="5"/>
  <c r="AQ57" i="5"/>
  <c r="AN57" i="5"/>
  <c r="AL57" i="5"/>
  <c r="AI57" i="5"/>
  <c r="AG57" i="5"/>
  <c r="P57" i="5"/>
  <c r="O57" i="5"/>
  <c r="BS56" i="5"/>
  <c r="BM56" i="5"/>
  <c r="BL56" i="5"/>
  <c r="BH56" i="5"/>
  <c r="BG56" i="5"/>
  <c r="AS56" i="5"/>
  <c r="AQ56" i="5"/>
  <c r="AN56" i="5"/>
  <c r="AL56" i="5"/>
  <c r="AI56" i="5"/>
  <c r="AG56" i="5"/>
  <c r="P56" i="5"/>
  <c r="O56" i="5"/>
  <c r="BS55" i="5"/>
  <c r="BM55" i="5"/>
  <c r="BL55" i="5"/>
  <c r="BH55" i="5"/>
  <c r="BG55" i="5"/>
  <c r="AS55" i="5"/>
  <c r="AQ55" i="5"/>
  <c r="AT55" i="5" s="1"/>
  <c r="AN55" i="5"/>
  <c r="AL55" i="5"/>
  <c r="AI55" i="5"/>
  <c r="AR55" i="5" s="1"/>
  <c r="AG55" i="5"/>
  <c r="P55" i="5"/>
  <c r="O55" i="5"/>
  <c r="BS54" i="5"/>
  <c r="BM54" i="5"/>
  <c r="BL54" i="5"/>
  <c r="BH54" i="5"/>
  <c r="BG54" i="5"/>
  <c r="AQ54" i="5"/>
  <c r="AL54" i="5"/>
  <c r="AN54" i="5" s="1"/>
  <c r="AI54" i="5"/>
  <c r="AG54" i="5"/>
  <c r="P54" i="5"/>
  <c r="O54" i="5"/>
  <c r="BS53" i="5"/>
  <c r="BM53" i="5"/>
  <c r="BL53" i="5"/>
  <c r="BH53" i="5"/>
  <c r="BG53" i="5"/>
  <c r="AT53" i="5"/>
  <c r="AS53" i="5"/>
  <c r="AQ53" i="5"/>
  <c r="AN53" i="5"/>
  <c r="AL53" i="5"/>
  <c r="AI53" i="5"/>
  <c r="AG53" i="5"/>
  <c r="P53" i="5"/>
  <c r="O53" i="5"/>
  <c r="BS52" i="5"/>
  <c r="BM52" i="5"/>
  <c r="BL52" i="5"/>
  <c r="BH52" i="5"/>
  <c r="BG52" i="5"/>
  <c r="AQ52" i="5"/>
  <c r="AN52" i="5"/>
  <c r="AS52" i="5" s="1"/>
  <c r="AL52" i="5"/>
  <c r="AI52" i="5"/>
  <c r="AG52" i="5"/>
  <c r="AT52" i="5" s="1"/>
  <c r="P52" i="5"/>
  <c r="O52" i="5"/>
  <c r="BS51" i="5"/>
  <c r="BM51" i="5"/>
  <c r="BL51" i="5"/>
  <c r="BH51" i="5"/>
  <c r="BG51" i="5"/>
  <c r="AQ51" i="5"/>
  <c r="AT51" i="5" s="1"/>
  <c r="AN51" i="5"/>
  <c r="AS51" i="5" s="1"/>
  <c r="AL51" i="5"/>
  <c r="AI51" i="5"/>
  <c r="AG51" i="5"/>
  <c r="P51" i="5"/>
  <c r="O51" i="5"/>
  <c r="BS50" i="5"/>
  <c r="BM50" i="5"/>
  <c r="BL50" i="5"/>
  <c r="BH50" i="5"/>
  <c r="BG50" i="5"/>
  <c r="AS50" i="5"/>
  <c r="AQ50" i="5"/>
  <c r="AL50" i="5"/>
  <c r="AN50" i="5" s="1"/>
  <c r="AI50" i="5"/>
  <c r="AG50" i="5"/>
  <c r="AT50" i="5" s="1"/>
  <c r="P50" i="5"/>
  <c r="O50" i="5"/>
  <c r="BS49" i="5"/>
  <c r="BM49" i="5"/>
  <c r="BL49" i="5"/>
  <c r="BH49" i="5"/>
  <c r="BG49" i="5"/>
  <c r="AQ49" i="5"/>
  <c r="AT49" i="5" s="1"/>
  <c r="AN49" i="5"/>
  <c r="AL49" i="5"/>
  <c r="AI49" i="5"/>
  <c r="AG49" i="5"/>
  <c r="P49" i="5"/>
  <c r="O49" i="5"/>
  <c r="BS48" i="5"/>
  <c r="BM48" i="5"/>
  <c r="BL48" i="5"/>
  <c r="BH48" i="5"/>
  <c r="BG48" i="5"/>
  <c r="AQ48" i="5"/>
  <c r="AL48" i="5"/>
  <c r="AN48" i="5" s="1"/>
  <c r="AS48" i="5" s="1"/>
  <c r="AI48" i="5"/>
  <c r="AG48" i="5"/>
  <c r="P48" i="5"/>
  <c r="O48" i="5"/>
  <c r="BS47" i="5"/>
  <c r="BM47" i="5"/>
  <c r="BL47" i="5"/>
  <c r="BH47" i="5"/>
  <c r="BG47" i="5"/>
  <c r="AT47" i="5"/>
  <c r="AQ47" i="5"/>
  <c r="AN47" i="5"/>
  <c r="AL47" i="5"/>
  <c r="AI47" i="5"/>
  <c r="AG47" i="5"/>
  <c r="P47" i="5"/>
  <c r="O47" i="5"/>
  <c r="BS46" i="5"/>
  <c r="BM46" i="5"/>
  <c r="BL46" i="5"/>
  <c r="BH46" i="5"/>
  <c r="BG46" i="5"/>
  <c r="AQ46" i="5"/>
  <c r="AL46" i="5"/>
  <c r="AN46" i="5" s="1"/>
  <c r="AI46" i="5"/>
  <c r="AG46" i="5"/>
  <c r="AT46" i="5" s="1"/>
  <c r="P46" i="5"/>
  <c r="O46" i="5"/>
  <c r="BS45" i="5"/>
  <c r="BM45" i="5"/>
  <c r="BL45" i="5"/>
  <c r="BH45" i="5"/>
  <c r="BG45" i="5"/>
  <c r="AQ45" i="5"/>
  <c r="AT45" i="5" s="1"/>
  <c r="AN45" i="5"/>
  <c r="AS45" i="5" s="1"/>
  <c r="AL45" i="5"/>
  <c r="AI45" i="5"/>
  <c r="AG45" i="5"/>
  <c r="P45" i="5"/>
  <c r="O45" i="5"/>
  <c r="BS44" i="5"/>
  <c r="BM44" i="5"/>
  <c r="BL44" i="5"/>
  <c r="BH44" i="5"/>
  <c r="BG44" i="5"/>
  <c r="AQ44" i="5"/>
  <c r="AN44" i="5"/>
  <c r="AL44" i="5"/>
  <c r="AI44" i="5"/>
  <c r="AG44" i="5"/>
  <c r="AT44" i="5" s="1"/>
  <c r="P44" i="5"/>
  <c r="O44" i="5"/>
  <c r="BS43" i="5"/>
  <c r="BM43" i="5"/>
  <c r="BL43" i="5"/>
  <c r="BH43" i="5"/>
  <c r="BG43" i="5"/>
  <c r="AQ43" i="5"/>
  <c r="AT43" i="5" s="1"/>
  <c r="AN43" i="5"/>
  <c r="AL43" i="5"/>
  <c r="AI43" i="5"/>
  <c r="AR43" i="5" s="1"/>
  <c r="AG43" i="5"/>
  <c r="P43" i="5"/>
  <c r="O43" i="5"/>
  <c r="BS42" i="5"/>
  <c r="BM42" i="5"/>
  <c r="BL42" i="5"/>
  <c r="BH42" i="5"/>
  <c r="BG42" i="5"/>
  <c r="AQ42" i="5"/>
  <c r="AN42" i="5"/>
  <c r="AS42" i="5" s="1"/>
  <c r="AL42" i="5"/>
  <c r="AI42" i="5"/>
  <c r="AG42" i="5"/>
  <c r="P42" i="5"/>
  <c r="O42" i="5"/>
  <c r="BS41" i="5"/>
  <c r="BM41" i="5"/>
  <c r="BL41" i="5"/>
  <c r="BH41" i="5"/>
  <c r="BG41" i="5"/>
  <c r="AQ41" i="5"/>
  <c r="AT41" i="5" s="1"/>
  <c r="AN41" i="5"/>
  <c r="AL41" i="5"/>
  <c r="AI41" i="5"/>
  <c r="AG41" i="5"/>
  <c r="P41" i="5"/>
  <c r="O41" i="5"/>
  <c r="BS40" i="5"/>
  <c r="BM40" i="5"/>
  <c r="BL40" i="5"/>
  <c r="BH40" i="5"/>
  <c r="BG40" i="5"/>
  <c r="AS40" i="5"/>
  <c r="AQ40" i="5"/>
  <c r="AL40" i="5"/>
  <c r="AN40" i="5" s="1"/>
  <c r="AI40" i="5"/>
  <c r="AR40" i="5" s="1"/>
  <c r="AG40" i="5"/>
  <c r="AT40" i="5" s="1"/>
  <c r="P40" i="5"/>
  <c r="O40" i="5"/>
  <c r="BS39" i="5"/>
  <c r="BM39" i="5"/>
  <c r="BL39" i="5"/>
  <c r="BH39" i="5"/>
  <c r="BG39" i="5"/>
  <c r="AS39" i="5"/>
  <c r="AQ39" i="5"/>
  <c r="AT39" i="5" s="1"/>
  <c r="AN39" i="5"/>
  <c r="AL39" i="5"/>
  <c r="AI39" i="5"/>
  <c r="AG39" i="5"/>
  <c r="P39" i="5"/>
  <c r="O39" i="5"/>
  <c r="BS38" i="5"/>
  <c r="BM38" i="5"/>
  <c r="BL38" i="5"/>
  <c r="BH38" i="5"/>
  <c r="BG38" i="5"/>
  <c r="AQ38" i="5"/>
  <c r="AL38" i="5"/>
  <c r="AN38" i="5" s="1"/>
  <c r="AI38" i="5"/>
  <c r="AG38" i="5"/>
  <c r="P38" i="5"/>
  <c r="O38" i="5"/>
  <c r="BS37" i="5"/>
  <c r="BM37" i="5"/>
  <c r="BL37" i="5"/>
  <c r="BH37" i="5"/>
  <c r="BG37" i="5"/>
  <c r="AT37" i="5"/>
  <c r="AQ37" i="5"/>
  <c r="AN37" i="5"/>
  <c r="AL37" i="5"/>
  <c r="AI37" i="5"/>
  <c r="AG37" i="5"/>
  <c r="P37" i="5"/>
  <c r="O37" i="5"/>
  <c r="BS36" i="5"/>
  <c r="BM36" i="5"/>
  <c r="BL36" i="5"/>
  <c r="BH36" i="5"/>
  <c r="BG36" i="5"/>
  <c r="AS36" i="5"/>
  <c r="AQ36" i="5"/>
  <c r="AN36" i="5"/>
  <c r="AL36" i="5"/>
  <c r="AI36" i="5"/>
  <c r="AG36" i="5"/>
  <c r="P36" i="5"/>
  <c r="O36" i="5"/>
  <c r="BS35" i="5"/>
  <c r="BM35" i="5"/>
  <c r="BL35" i="5"/>
  <c r="BH35" i="5"/>
  <c r="BG35" i="5"/>
  <c r="AQ35" i="5"/>
  <c r="AT35" i="5" s="1"/>
  <c r="AN35" i="5"/>
  <c r="AS35" i="5" s="1"/>
  <c r="AL35" i="5"/>
  <c r="AI35" i="5"/>
  <c r="AG35" i="5"/>
  <c r="P35" i="5"/>
  <c r="O35" i="5"/>
  <c r="BS34" i="5"/>
  <c r="BM34" i="5"/>
  <c r="BL34" i="5"/>
  <c r="BH34" i="5"/>
  <c r="BG34" i="5"/>
  <c r="AQ34" i="5"/>
  <c r="AL34" i="5"/>
  <c r="AN34" i="5" s="1"/>
  <c r="AI34" i="5"/>
  <c r="AG34" i="5"/>
  <c r="P34" i="5"/>
  <c r="O34" i="5"/>
  <c r="BS33" i="5"/>
  <c r="BM33" i="5"/>
  <c r="BL33" i="5"/>
  <c r="BH33" i="5"/>
  <c r="BG33" i="5"/>
  <c r="AT33" i="5"/>
  <c r="AS33" i="5"/>
  <c r="AQ33" i="5"/>
  <c r="AN33" i="5"/>
  <c r="AL33" i="5"/>
  <c r="AI33" i="5"/>
  <c r="AG33" i="5"/>
  <c r="P33" i="5"/>
  <c r="O33" i="5"/>
  <c r="BS32" i="5"/>
  <c r="BM32" i="5"/>
  <c r="BL32" i="5"/>
  <c r="BH32" i="5"/>
  <c r="BG32" i="5"/>
  <c r="AQ32" i="5"/>
  <c r="AN32" i="5"/>
  <c r="AS32" i="5" s="1"/>
  <c r="AL32" i="5"/>
  <c r="AI32" i="5"/>
  <c r="AG32" i="5"/>
  <c r="AT32" i="5" s="1"/>
  <c r="P32" i="5"/>
  <c r="O32" i="5"/>
  <c r="BS31" i="5"/>
  <c r="BM31" i="5"/>
  <c r="BL31" i="5"/>
  <c r="BH31" i="5"/>
  <c r="BG31" i="5"/>
  <c r="AQ31" i="5"/>
  <c r="AT31" i="5" s="1"/>
  <c r="AN31" i="5"/>
  <c r="AS31" i="5" s="1"/>
  <c r="AL31" i="5"/>
  <c r="AI31" i="5"/>
  <c r="AG31" i="5"/>
  <c r="P31" i="5"/>
  <c r="O31" i="5"/>
  <c r="BS30" i="5"/>
  <c r="BM30" i="5"/>
  <c r="BL30" i="5"/>
  <c r="BH30" i="5"/>
  <c r="BG30" i="5"/>
  <c r="AQ30" i="5"/>
  <c r="AL30" i="5"/>
  <c r="AN30" i="5" s="1"/>
  <c r="AS30" i="5" s="1"/>
  <c r="AI30" i="5"/>
  <c r="AG30" i="5"/>
  <c r="AT30" i="5" s="1"/>
  <c r="P30" i="5"/>
  <c r="O30" i="5"/>
  <c r="BS29" i="5"/>
  <c r="BM29" i="5"/>
  <c r="BL29" i="5"/>
  <c r="BH29" i="5"/>
  <c r="BG29" i="5"/>
  <c r="AQ29" i="5"/>
  <c r="AT29" i="5" s="1"/>
  <c r="AN29" i="5"/>
  <c r="AL29" i="5"/>
  <c r="AI29" i="5"/>
  <c r="AG29" i="5"/>
  <c r="P29" i="5"/>
  <c r="O29" i="5"/>
  <c r="BS28" i="5"/>
  <c r="BM28" i="5"/>
  <c r="BL28" i="5"/>
  <c r="BH28" i="5"/>
  <c r="BG28" i="5"/>
  <c r="AQ28" i="5"/>
  <c r="AL28" i="5"/>
  <c r="AN28" i="5" s="1"/>
  <c r="AS28" i="5" s="1"/>
  <c r="AI28" i="5"/>
  <c r="AG28" i="5"/>
  <c r="P28" i="5"/>
  <c r="O28" i="5"/>
  <c r="BS27" i="5"/>
  <c r="BM27" i="5"/>
  <c r="BL27" i="5"/>
  <c r="BH27" i="5"/>
  <c r="BG27" i="5"/>
  <c r="AT27" i="5"/>
  <c r="AQ27" i="5"/>
  <c r="AN27" i="5"/>
  <c r="AL27" i="5"/>
  <c r="AI27" i="5"/>
  <c r="AG27" i="5"/>
  <c r="P27" i="5"/>
  <c r="O27" i="5"/>
  <c r="BS26" i="5"/>
  <c r="BM26" i="5"/>
  <c r="BL26" i="5"/>
  <c r="BH26" i="5"/>
  <c r="BG26" i="5"/>
  <c r="AQ26" i="5"/>
  <c r="AL26" i="5"/>
  <c r="AN26" i="5" s="1"/>
  <c r="AI26" i="5"/>
  <c r="AG26" i="5"/>
  <c r="AT26" i="5" s="1"/>
  <c r="P26" i="5"/>
  <c r="O26" i="5"/>
  <c r="BS25" i="5"/>
  <c r="BM25" i="5"/>
  <c r="BL25" i="5"/>
  <c r="BH25" i="5"/>
  <c r="BG25" i="5"/>
  <c r="AQ25" i="5"/>
  <c r="AT25" i="5" s="1"/>
  <c r="AN25" i="5"/>
  <c r="AS25" i="5" s="1"/>
  <c r="AL25" i="5"/>
  <c r="AI25" i="5"/>
  <c r="AG25" i="5"/>
  <c r="P25" i="5"/>
  <c r="O25" i="5"/>
  <c r="BS24" i="5"/>
  <c r="BM24" i="5"/>
  <c r="BL24" i="5"/>
  <c r="BH24" i="5"/>
  <c r="BG24" i="5"/>
  <c r="AQ24" i="5"/>
  <c r="AN24" i="5"/>
  <c r="AL24" i="5"/>
  <c r="AI24" i="5"/>
  <c r="AG24" i="5"/>
  <c r="AT24" i="5" s="1"/>
  <c r="P24" i="5"/>
  <c r="O24" i="5"/>
  <c r="BS23" i="5"/>
  <c r="BM23" i="5"/>
  <c r="BL23" i="5"/>
  <c r="BH23" i="5"/>
  <c r="BG23" i="5"/>
  <c r="AQ23" i="5"/>
  <c r="AT23" i="5" s="1"/>
  <c r="AN23" i="5"/>
  <c r="AL23" i="5"/>
  <c r="AI23" i="5"/>
  <c r="AG23" i="5"/>
  <c r="P23" i="5"/>
  <c r="O23" i="5"/>
  <c r="BS22" i="5"/>
  <c r="BM22" i="5"/>
  <c r="BL22" i="5"/>
  <c r="BH22" i="5"/>
  <c r="BG22" i="5"/>
  <c r="AQ22" i="5"/>
  <c r="AN22" i="5"/>
  <c r="AS22" i="5" s="1"/>
  <c r="AL22" i="5"/>
  <c r="AI22" i="5"/>
  <c r="AG22" i="5"/>
  <c r="P22" i="5"/>
  <c r="O22" i="5"/>
  <c r="BS21" i="5"/>
  <c r="BM21" i="5"/>
  <c r="BL21" i="5"/>
  <c r="BH21" i="5"/>
  <c r="BG21" i="5"/>
  <c r="AQ21" i="5"/>
  <c r="AT21" i="5" s="1"/>
  <c r="AN21" i="5"/>
  <c r="AL21" i="5"/>
  <c r="AI21" i="5"/>
  <c r="AG21" i="5"/>
  <c r="P21" i="5"/>
  <c r="O21" i="5"/>
  <c r="BS20" i="5"/>
  <c r="BM20" i="5"/>
  <c r="BL20" i="5"/>
  <c r="BH20" i="5"/>
  <c r="BG20" i="5"/>
  <c r="AQ20" i="5"/>
  <c r="AL20" i="5"/>
  <c r="AN20" i="5" s="1"/>
  <c r="AI20" i="5"/>
  <c r="AG20" i="5"/>
  <c r="AT20" i="5" s="1"/>
  <c r="P20" i="5"/>
  <c r="O20" i="5"/>
  <c r="BS19" i="5"/>
  <c r="BM19" i="5"/>
  <c r="BL19" i="5"/>
  <c r="BH19" i="5"/>
  <c r="BG19" i="5"/>
  <c r="AS19" i="5"/>
  <c r="AQ19" i="5"/>
  <c r="AT19" i="5" s="1"/>
  <c r="AN19" i="5"/>
  <c r="AL19" i="5"/>
  <c r="AI19" i="5"/>
  <c r="AG19" i="5"/>
  <c r="P19" i="5"/>
  <c r="O19" i="5"/>
  <c r="BS18" i="5"/>
  <c r="BM18" i="5"/>
  <c r="BL18" i="5"/>
  <c r="BH18" i="5"/>
  <c r="BG18" i="5"/>
  <c r="AQ18" i="5"/>
  <c r="AL18" i="5"/>
  <c r="AN18" i="5" s="1"/>
  <c r="AI18" i="5"/>
  <c r="AG18" i="5"/>
  <c r="P18" i="5"/>
  <c r="O18" i="5"/>
  <c r="BS17" i="5"/>
  <c r="BM17" i="5"/>
  <c r="BL17" i="5"/>
  <c r="BH17" i="5"/>
  <c r="BG17" i="5"/>
  <c r="AT17" i="5"/>
  <c r="AQ17" i="5"/>
  <c r="AN17" i="5"/>
  <c r="AL17" i="5"/>
  <c r="AI17" i="5"/>
  <c r="AG17" i="5"/>
  <c r="P17" i="5"/>
  <c r="O17" i="5"/>
  <c r="BS16" i="5"/>
  <c r="BM16" i="5"/>
  <c r="BL16" i="5"/>
  <c r="BH16" i="5"/>
  <c r="BG16" i="5"/>
  <c r="AS16" i="5"/>
  <c r="AQ16" i="5"/>
  <c r="AN16" i="5"/>
  <c r="AL16" i="5"/>
  <c r="AI16" i="5"/>
  <c r="AG16" i="5"/>
  <c r="P16" i="5"/>
  <c r="O16" i="5"/>
  <c r="BS15" i="5"/>
  <c r="BM15" i="5"/>
  <c r="BL15" i="5"/>
  <c r="BH15" i="5"/>
  <c r="BG15" i="5"/>
  <c r="AQ15" i="5"/>
  <c r="AT15" i="5" s="1"/>
  <c r="AN15" i="5"/>
  <c r="AS15" i="5" s="1"/>
  <c r="AL15" i="5"/>
  <c r="AI15" i="5"/>
  <c r="AG15" i="5"/>
  <c r="P15" i="5"/>
  <c r="O15" i="5"/>
  <c r="BS14" i="5"/>
  <c r="BM14" i="5"/>
  <c r="BL14" i="5"/>
  <c r="BH14" i="5"/>
  <c r="BG14" i="5"/>
  <c r="AQ14" i="5"/>
  <c r="AL14" i="5"/>
  <c r="AN14" i="5" s="1"/>
  <c r="AI14" i="5"/>
  <c r="AG14" i="5"/>
  <c r="P14" i="5"/>
  <c r="O14" i="5"/>
  <c r="BS13" i="5"/>
  <c r="BM13" i="5"/>
  <c r="BL13" i="5"/>
  <c r="BH13" i="5"/>
  <c r="BG13" i="5"/>
  <c r="AT13" i="5"/>
  <c r="AS13" i="5"/>
  <c r="AQ13" i="5"/>
  <c r="AN13" i="5"/>
  <c r="AL13" i="5"/>
  <c r="AI13" i="5"/>
  <c r="AG13" i="5"/>
  <c r="P13" i="5"/>
  <c r="O13" i="5"/>
  <c r="BS12" i="5"/>
  <c r="BM12" i="5"/>
  <c r="BL12" i="5"/>
  <c r="BH12" i="5"/>
  <c r="BG12" i="5"/>
  <c r="AQ12" i="5"/>
  <c r="AN12" i="5"/>
  <c r="AS12" i="5" s="1"/>
  <c r="AL12" i="5"/>
  <c r="AI12" i="5"/>
  <c r="AG12" i="5"/>
  <c r="AT12" i="5" s="1"/>
  <c r="P12" i="5"/>
  <c r="O12" i="5"/>
  <c r="BS11" i="5"/>
  <c r="BM11" i="5"/>
  <c r="BL11" i="5"/>
  <c r="BH11" i="5"/>
  <c r="BG11" i="5"/>
  <c r="AQ11" i="5"/>
  <c r="AT11" i="5" s="1"/>
  <c r="AN11" i="5"/>
  <c r="AS11" i="5" s="1"/>
  <c r="AL11" i="5"/>
  <c r="AI11" i="5"/>
  <c r="AG11" i="5"/>
  <c r="P11" i="5"/>
  <c r="O11" i="5"/>
  <c r="BS10" i="5"/>
  <c r="BM10" i="5"/>
  <c r="BL10" i="5"/>
  <c r="BH10" i="5"/>
  <c r="BG10" i="5"/>
  <c r="AQ10" i="5"/>
  <c r="AL10" i="5"/>
  <c r="AN10" i="5" s="1"/>
  <c r="AS10" i="5" s="1"/>
  <c r="AI10" i="5"/>
  <c r="AG10" i="5"/>
  <c r="AT10" i="5" s="1"/>
  <c r="P10" i="5"/>
  <c r="O10" i="5"/>
  <c r="BS9" i="5"/>
  <c r="BM9" i="5"/>
  <c r="BL9" i="5"/>
  <c r="BH9" i="5"/>
  <c r="BG9" i="5"/>
  <c r="AQ9" i="5"/>
  <c r="AT9" i="5" s="1"/>
  <c r="AN9" i="5"/>
  <c r="AL9" i="5"/>
  <c r="AI9" i="5"/>
  <c r="AG9" i="5"/>
  <c r="P9" i="5"/>
  <c r="O9" i="5"/>
  <c r="BS8" i="5"/>
  <c r="BM8" i="5"/>
  <c r="BL8" i="5"/>
  <c r="BH8" i="5"/>
  <c r="BG8" i="5"/>
  <c r="AQ8" i="5"/>
  <c r="AL8" i="5"/>
  <c r="AN8" i="5" s="1"/>
  <c r="AS8" i="5" s="1"/>
  <c r="AI8" i="5"/>
  <c r="AG8" i="5"/>
  <c r="P8" i="5"/>
  <c r="O8" i="5"/>
  <c r="BS7" i="5"/>
  <c r="BM7" i="5"/>
  <c r="BL7" i="5"/>
  <c r="BH7" i="5"/>
  <c r="BG7" i="5"/>
  <c r="AT7" i="5"/>
  <c r="AQ7" i="5"/>
  <c r="AN7" i="5"/>
  <c r="AL7" i="5"/>
  <c r="AI7" i="5"/>
  <c r="AG7" i="5"/>
  <c r="P7" i="5"/>
  <c r="O7" i="5"/>
  <c r="BS6" i="5"/>
  <c r="BM6" i="5"/>
  <c r="BL6" i="5"/>
  <c r="BH6" i="5"/>
  <c r="BG6" i="5"/>
  <c r="AQ6" i="5"/>
  <c r="AL6" i="5"/>
  <c r="AN6" i="5" s="1"/>
  <c r="AI6" i="5"/>
  <c r="AG6" i="5"/>
  <c r="AT6" i="5" s="1"/>
  <c r="P6" i="5"/>
  <c r="O6" i="5"/>
  <c r="BS5" i="5"/>
  <c r="BM5" i="5"/>
  <c r="BL5" i="5"/>
  <c r="BH5" i="5"/>
  <c r="BG5" i="5"/>
  <c r="AQ5" i="5"/>
  <c r="AT5" i="5" s="1"/>
  <c r="AN5" i="5"/>
  <c r="AS5" i="5" s="1"/>
  <c r="AL5" i="5"/>
  <c r="AI5" i="5"/>
  <c r="AG5" i="5"/>
  <c r="P5" i="5"/>
  <c r="O5" i="5"/>
  <c r="BS4" i="5"/>
  <c r="BM4" i="5"/>
  <c r="BL4" i="5"/>
  <c r="BH4" i="5"/>
  <c r="BG4" i="5"/>
  <c r="AQ4" i="5"/>
  <c r="AN4" i="5"/>
  <c r="AL4" i="5"/>
  <c r="AI4" i="5"/>
  <c r="AG4" i="5"/>
  <c r="AT4" i="5" s="1"/>
  <c r="P4" i="5"/>
  <c r="O4" i="5"/>
  <c r="BS3" i="5"/>
  <c r="BM3" i="5"/>
  <c r="BL3" i="5"/>
  <c r="BH3" i="5"/>
  <c r="BG3" i="5"/>
  <c r="AS3" i="5"/>
  <c r="AQ3" i="5"/>
  <c r="AT3" i="5" s="1"/>
  <c r="AN3" i="5"/>
  <c r="AL3" i="5"/>
  <c r="AI3" i="5"/>
  <c r="AR3" i="5" s="1"/>
  <c r="AG3" i="5"/>
  <c r="P3" i="5"/>
  <c r="O3" i="5"/>
  <c r="BS2" i="5"/>
  <c r="BM2" i="5"/>
  <c r="BL2" i="5"/>
  <c r="BH2" i="5"/>
  <c r="BG2" i="5"/>
  <c r="AQ2" i="5"/>
  <c r="AN2" i="5"/>
  <c r="AS2" i="5" s="1"/>
  <c r="AL2" i="5"/>
  <c r="AI2" i="5"/>
  <c r="AG2" i="5"/>
  <c r="P2" i="5"/>
  <c r="O2" i="5"/>
  <c r="BS300" i="4"/>
  <c r="BM300" i="4"/>
  <c r="BL300" i="4"/>
  <c r="BH300" i="4"/>
  <c r="BG300" i="4"/>
  <c r="AQ300" i="4"/>
  <c r="AT300" i="4" s="1"/>
  <c r="AN300" i="4"/>
  <c r="AL300" i="4"/>
  <c r="AI300" i="4"/>
  <c r="AG300" i="4"/>
  <c r="P300" i="4"/>
  <c r="O300" i="4"/>
  <c r="BS299" i="4"/>
  <c r="BM299" i="4"/>
  <c r="BL299" i="4"/>
  <c r="BH299" i="4"/>
  <c r="BG299" i="4"/>
  <c r="AQ299" i="4"/>
  <c r="AL299" i="4"/>
  <c r="AN299" i="4" s="1"/>
  <c r="AI299" i="4"/>
  <c r="AG299" i="4"/>
  <c r="AT299" i="4" s="1"/>
  <c r="P299" i="4"/>
  <c r="O299" i="4"/>
  <c r="BS298" i="4"/>
  <c r="BM298" i="4"/>
  <c r="BL298" i="4"/>
  <c r="BH298" i="4"/>
  <c r="BG298" i="4"/>
  <c r="AS298" i="4"/>
  <c r="AQ298" i="4"/>
  <c r="AT298" i="4" s="1"/>
  <c r="AN298" i="4"/>
  <c r="AL298" i="4"/>
  <c r="AI298" i="4"/>
  <c r="AG298" i="4"/>
  <c r="P298" i="4"/>
  <c r="O298" i="4"/>
  <c r="BS297" i="4"/>
  <c r="BM297" i="4"/>
  <c r="BL297" i="4"/>
  <c r="BH297" i="4"/>
  <c r="BG297" i="4"/>
  <c r="AQ297" i="4"/>
  <c r="AL297" i="4"/>
  <c r="AN297" i="4" s="1"/>
  <c r="AI297" i="4"/>
  <c r="AG297" i="4"/>
  <c r="P297" i="4"/>
  <c r="O297" i="4"/>
  <c r="BS296" i="4"/>
  <c r="BM296" i="4"/>
  <c r="BL296" i="4"/>
  <c r="BH296" i="4"/>
  <c r="BG296" i="4"/>
  <c r="AT296" i="4"/>
  <c r="AQ296" i="4"/>
  <c r="AN296" i="4"/>
  <c r="AL296" i="4"/>
  <c r="AI296" i="4"/>
  <c r="AG296" i="4"/>
  <c r="P296" i="4"/>
  <c r="O296" i="4"/>
  <c r="BS295" i="4"/>
  <c r="BM295" i="4"/>
  <c r="BL295" i="4"/>
  <c r="BH295" i="4"/>
  <c r="BG295" i="4"/>
  <c r="AQ295" i="4"/>
  <c r="AL295" i="4"/>
  <c r="AN295" i="4" s="1"/>
  <c r="AI295" i="4"/>
  <c r="AG295" i="4"/>
  <c r="AT295" i="4" s="1"/>
  <c r="P295" i="4"/>
  <c r="O295" i="4"/>
  <c r="BS294" i="4"/>
  <c r="BM294" i="4"/>
  <c r="BL294" i="4"/>
  <c r="BH294" i="4"/>
  <c r="BG294" i="4"/>
  <c r="AQ294" i="4"/>
  <c r="AN294" i="4"/>
  <c r="AL294" i="4"/>
  <c r="AG294" i="4"/>
  <c r="P294" i="4"/>
  <c r="O294" i="4"/>
  <c r="BS293" i="4"/>
  <c r="BM293" i="4"/>
  <c r="BL293" i="4"/>
  <c r="BH293" i="4"/>
  <c r="BG293" i="4"/>
  <c r="AQ293" i="4"/>
  <c r="AN293" i="4"/>
  <c r="AL293" i="4"/>
  <c r="AI293" i="4"/>
  <c r="AG293" i="4"/>
  <c r="P293" i="4"/>
  <c r="O293" i="4"/>
  <c r="BS292" i="4"/>
  <c r="BM292" i="4"/>
  <c r="BL292" i="4"/>
  <c r="BH292" i="4"/>
  <c r="BG292" i="4"/>
  <c r="AQ292" i="4"/>
  <c r="AN292" i="4"/>
  <c r="AL292" i="4"/>
  <c r="AG292" i="4"/>
  <c r="AT292" i="4" s="1"/>
  <c r="P292" i="4"/>
  <c r="O292" i="4"/>
  <c r="BS291" i="4"/>
  <c r="BM291" i="4"/>
  <c r="BL291" i="4"/>
  <c r="BH291" i="4"/>
  <c r="BG291" i="4"/>
  <c r="AQ291" i="4"/>
  <c r="AL291" i="4"/>
  <c r="AN291" i="4" s="1"/>
  <c r="AI291" i="4"/>
  <c r="AR291" i="4" s="1"/>
  <c r="AG291" i="4"/>
  <c r="P291" i="4"/>
  <c r="O291" i="4"/>
  <c r="BS290" i="4"/>
  <c r="BM290" i="4"/>
  <c r="BL290" i="4"/>
  <c r="BH290" i="4"/>
  <c r="BG290" i="4"/>
  <c r="AQ290" i="4"/>
  <c r="AN290" i="4"/>
  <c r="AL290" i="4"/>
  <c r="AG290" i="4"/>
  <c r="P290" i="4"/>
  <c r="O290" i="4"/>
  <c r="BS289" i="4"/>
  <c r="BM289" i="4"/>
  <c r="BL289" i="4"/>
  <c r="BH289" i="4"/>
  <c r="BG289" i="4"/>
  <c r="AQ289" i="4"/>
  <c r="AL289" i="4"/>
  <c r="AN289" i="4" s="1"/>
  <c r="AI289" i="4"/>
  <c r="AG289" i="4"/>
  <c r="P289" i="4"/>
  <c r="O289" i="4"/>
  <c r="BS288" i="4"/>
  <c r="BM288" i="4"/>
  <c r="BL288" i="4"/>
  <c r="BH288" i="4"/>
  <c r="BG288" i="4"/>
  <c r="AQ288" i="4"/>
  <c r="AN288" i="4"/>
  <c r="AL288" i="4"/>
  <c r="AG288" i="4"/>
  <c r="AI288" i="4" s="1"/>
  <c r="P288" i="4"/>
  <c r="O288" i="4"/>
  <c r="BS287" i="4"/>
  <c r="BM287" i="4"/>
  <c r="BL287" i="4"/>
  <c r="BH287" i="4"/>
  <c r="BG287" i="4"/>
  <c r="AQ287" i="4"/>
  <c r="AL287" i="4"/>
  <c r="AN287" i="4" s="1"/>
  <c r="AS287" i="4" s="1"/>
  <c r="AI287" i="4"/>
  <c r="AR287" i="4" s="1"/>
  <c r="AG287" i="4"/>
  <c r="P287" i="4"/>
  <c r="O287" i="4"/>
  <c r="BS286" i="4"/>
  <c r="BM286" i="4"/>
  <c r="BL286" i="4"/>
  <c r="BH286" i="4"/>
  <c r="BG286" i="4"/>
  <c r="AT286" i="4"/>
  <c r="AQ286" i="4"/>
  <c r="AN286" i="4"/>
  <c r="AL286" i="4"/>
  <c r="AI286" i="4"/>
  <c r="AG286" i="4"/>
  <c r="P286" i="4"/>
  <c r="O286" i="4"/>
  <c r="BS285" i="4"/>
  <c r="BM285" i="4"/>
  <c r="BL285" i="4"/>
  <c r="BH285" i="4"/>
  <c r="BG285" i="4"/>
  <c r="AS285" i="4"/>
  <c r="AR285" i="4"/>
  <c r="AQ285" i="4"/>
  <c r="AL285" i="4"/>
  <c r="AN285" i="4" s="1"/>
  <c r="AI285" i="4"/>
  <c r="AG285" i="4"/>
  <c r="AT285" i="4" s="1"/>
  <c r="P285" i="4"/>
  <c r="O285" i="4"/>
  <c r="BS284" i="4"/>
  <c r="BM284" i="4"/>
  <c r="BL284" i="4"/>
  <c r="BH284" i="4"/>
  <c r="BG284" i="4"/>
  <c r="AQ284" i="4"/>
  <c r="AN284" i="4"/>
  <c r="AL284" i="4"/>
  <c r="AG284" i="4"/>
  <c r="P284" i="4"/>
  <c r="O284" i="4"/>
  <c r="BS283" i="4"/>
  <c r="BM283" i="4"/>
  <c r="BL283" i="4"/>
  <c r="BH283" i="4"/>
  <c r="BG283" i="4"/>
  <c r="AQ283" i="4"/>
  <c r="AN283" i="4"/>
  <c r="AL283" i="4"/>
  <c r="AG283" i="4"/>
  <c r="P283" i="4"/>
  <c r="O283" i="4"/>
  <c r="BS282" i="4"/>
  <c r="BM282" i="4"/>
  <c r="BL282" i="4"/>
  <c r="BH282" i="4"/>
  <c r="BG282" i="4"/>
  <c r="AQ282" i="4"/>
  <c r="AN282" i="4"/>
  <c r="AL282" i="4"/>
  <c r="AG282" i="4"/>
  <c r="AT282" i="4" s="1"/>
  <c r="P282" i="4"/>
  <c r="O282" i="4"/>
  <c r="BS281" i="4"/>
  <c r="BM281" i="4"/>
  <c r="BL281" i="4"/>
  <c r="BH281" i="4"/>
  <c r="BG281" i="4"/>
  <c r="AQ281" i="4"/>
  <c r="AL281" i="4"/>
  <c r="AN281" i="4" s="1"/>
  <c r="AR281" i="4" s="1"/>
  <c r="AI281" i="4"/>
  <c r="AG281" i="4"/>
  <c r="P281" i="4"/>
  <c r="O281" i="4"/>
  <c r="BS280" i="4"/>
  <c r="BM280" i="4"/>
  <c r="BL280" i="4"/>
  <c r="BH280" i="4"/>
  <c r="BG280" i="4"/>
  <c r="AT280" i="4"/>
  <c r="AQ280" i="4"/>
  <c r="AN280" i="4"/>
  <c r="AL280" i="4"/>
  <c r="AG280" i="4"/>
  <c r="AI280" i="4" s="1"/>
  <c r="P280" i="4"/>
  <c r="O280" i="4"/>
  <c r="BS279" i="4"/>
  <c r="BM279" i="4"/>
  <c r="BL279" i="4"/>
  <c r="BH279" i="4"/>
  <c r="BG279" i="4"/>
  <c r="AQ279" i="4"/>
  <c r="AL279" i="4"/>
  <c r="AN279" i="4" s="1"/>
  <c r="AS279" i="4" s="1"/>
  <c r="AI279" i="4"/>
  <c r="AG279" i="4"/>
  <c r="P279" i="4"/>
  <c r="O279" i="4"/>
  <c r="BS278" i="4"/>
  <c r="BM278" i="4"/>
  <c r="BL278" i="4"/>
  <c r="BH278" i="4"/>
  <c r="BG278" i="4"/>
  <c r="AT278" i="4"/>
  <c r="AS278" i="4"/>
  <c r="AQ278" i="4"/>
  <c r="AN278" i="4"/>
  <c r="AL278" i="4"/>
  <c r="AI278" i="4"/>
  <c r="AR278" i="4" s="1"/>
  <c r="AG278" i="4"/>
  <c r="P278" i="4"/>
  <c r="O278" i="4"/>
  <c r="BS277" i="4"/>
  <c r="BM277" i="4"/>
  <c r="BL277" i="4"/>
  <c r="BH277" i="4"/>
  <c r="BG277" i="4"/>
  <c r="AQ277" i="4"/>
  <c r="AL277" i="4"/>
  <c r="AN277" i="4" s="1"/>
  <c r="AG277" i="4"/>
  <c r="AT277" i="4" s="1"/>
  <c r="P277" i="4"/>
  <c r="O277" i="4"/>
  <c r="BS276" i="4"/>
  <c r="BM276" i="4"/>
  <c r="BL276" i="4"/>
  <c r="BH276" i="4"/>
  <c r="BG276" i="4"/>
  <c r="AQ276" i="4"/>
  <c r="AN276" i="4"/>
  <c r="AL276" i="4"/>
  <c r="AG276" i="4"/>
  <c r="P276" i="4"/>
  <c r="O276" i="4"/>
  <c r="BS275" i="4"/>
  <c r="BM275" i="4"/>
  <c r="BL275" i="4"/>
  <c r="BH275" i="4"/>
  <c r="BG275" i="4"/>
  <c r="AQ275" i="4"/>
  <c r="AL275" i="4"/>
  <c r="AN275" i="4" s="1"/>
  <c r="AG275" i="4"/>
  <c r="P275" i="4"/>
  <c r="O275" i="4"/>
  <c r="BS274" i="4"/>
  <c r="BM274" i="4"/>
  <c r="BL274" i="4"/>
  <c r="BH274" i="4"/>
  <c r="BG274" i="4"/>
  <c r="AS274" i="4"/>
  <c r="AR274" i="4"/>
  <c r="AQ274" i="4"/>
  <c r="AT274" i="4" s="1"/>
  <c r="AN274" i="4"/>
  <c r="AL274" i="4"/>
  <c r="AI274" i="4"/>
  <c r="AG274" i="4"/>
  <c r="P274" i="4"/>
  <c r="O274" i="4"/>
  <c r="BS273" i="4"/>
  <c r="BM273" i="4"/>
  <c r="BL273" i="4"/>
  <c r="BH273" i="4"/>
  <c r="BG273" i="4"/>
  <c r="AQ273" i="4"/>
  <c r="AN273" i="4"/>
  <c r="AL273" i="4"/>
  <c r="AG273" i="4"/>
  <c r="AT273" i="4" s="1"/>
  <c r="P273" i="4"/>
  <c r="O273" i="4"/>
  <c r="BS272" i="4"/>
  <c r="BM272" i="4"/>
  <c r="BL272" i="4"/>
  <c r="BH272" i="4"/>
  <c r="BG272" i="4"/>
  <c r="AQ272" i="4"/>
  <c r="AN272" i="4"/>
  <c r="AL272" i="4"/>
  <c r="AG272" i="4"/>
  <c r="AI272" i="4" s="1"/>
  <c r="P272" i="4"/>
  <c r="O272" i="4"/>
  <c r="BS271" i="4"/>
  <c r="BM271" i="4"/>
  <c r="BL271" i="4"/>
  <c r="BH271" i="4"/>
  <c r="BG271" i="4"/>
  <c r="AQ271" i="4"/>
  <c r="AL271" i="4"/>
  <c r="AN271" i="4" s="1"/>
  <c r="AG271" i="4"/>
  <c r="P271" i="4"/>
  <c r="O271" i="4"/>
  <c r="BS270" i="4"/>
  <c r="BM270" i="4"/>
  <c r="BL270" i="4"/>
  <c r="BH270" i="4"/>
  <c r="BG270" i="4"/>
  <c r="AT270" i="4"/>
  <c r="AQ270" i="4"/>
  <c r="AN270" i="4"/>
  <c r="AR270" i="4" s="1"/>
  <c r="AL270" i="4"/>
  <c r="AI270" i="4"/>
  <c r="AS270" i="4" s="1"/>
  <c r="AG270" i="4"/>
  <c r="P270" i="4"/>
  <c r="O270" i="4"/>
  <c r="BS269" i="4"/>
  <c r="BM269" i="4"/>
  <c r="BL269" i="4"/>
  <c r="BH269" i="4"/>
  <c r="BG269" i="4"/>
  <c r="AQ269" i="4"/>
  <c r="AN269" i="4"/>
  <c r="AL269" i="4"/>
  <c r="AI269" i="4"/>
  <c r="AG269" i="4"/>
  <c r="AT269" i="4" s="1"/>
  <c r="P269" i="4"/>
  <c r="O269" i="4"/>
  <c r="BS268" i="4"/>
  <c r="BM268" i="4"/>
  <c r="BL268" i="4"/>
  <c r="BH268" i="4"/>
  <c r="BG268" i="4"/>
  <c r="AS268" i="4"/>
  <c r="AQ268" i="4"/>
  <c r="AN268" i="4"/>
  <c r="AL268" i="4"/>
  <c r="AI268" i="4"/>
  <c r="AR268" i="4" s="1"/>
  <c r="AG268" i="4"/>
  <c r="AT268" i="4" s="1"/>
  <c r="P268" i="4"/>
  <c r="O268" i="4"/>
  <c r="BS267" i="4"/>
  <c r="BM267" i="4"/>
  <c r="BL267" i="4"/>
  <c r="BH267" i="4"/>
  <c r="BG267" i="4"/>
  <c r="AQ267" i="4"/>
  <c r="AL267" i="4"/>
  <c r="AN267" i="4" s="1"/>
  <c r="AG267" i="4"/>
  <c r="P267" i="4"/>
  <c r="O267" i="4"/>
  <c r="BS266" i="4"/>
  <c r="BM266" i="4"/>
  <c r="BL266" i="4"/>
  <c r="BH266" i="4"/>
  <c r="BG266" i="4"/>
  <c r="AQ266" i="4"/>
  <c r="AN266" i="4"/>
  <c r="AL266" i="4"/>
  <c r="AI266" i="4"/>
  <c r="AS266" i="4" s="1"/>
  <c r="AG266" i="4"/>
  <c r="AT266" i="4" s="1"/>
  <c r="P266" i="4"/>
  <c r="O266" i="4"/>
  <c r="BS265" i="4"/>
  <c r="BM265" i="4"/>
  <c r="BL265" i="4"/>
  <c r="BH265" i="4"/>
  <c r="BG265" i="4"/>
  <c r="AS265" i="4"/>
  <c r="AR265" i="4"/>
  <c r="AQ265" i="4"/>
  <c r="AN265" i="4"/>
  <c r="AL265" i="4"/>
  <c r="AI265" i="4"/>
  <c r="AG265" i="4"/>
  <c r="P265" i="4"/>
  <c r="O265" i="4"/>
  <c r="BS264" i="4"/>
  <c r="BM264" i="4"/>
  <c r="BL264" i="4"/>
  <c r="BH264" i="4"/>
  <c r="BG264" i="4"/>
  <c r="AQ264" i="4"/>
  <c r="AN264" i="4"/>
  <c r="AL264" i="4"/>
  <c r="AG264" i="4"/>
  <c r="P264" i="4"/>
  <c r="O264" i="4"/>
  <c r="BS263" i="4"/>
  <c r="BM263" i="4"/>
  <c r="BL263" i="4"/>
  <c r="BH263" i="4"/>
  <c r="BG263" i="4"/>
  <c r="AQ263" i="4"/>
  <c r="AN263" i="4"/>
  <c r="AL263" i="4"/>
  <c r="AG263" i="4"/>
  <c r="P263" i="4"/>
  <c r="O263" i="4"/>
  <c r="BS262" i="4"/>
  <c r="BM262" i="4"/>
  <c r="BL262" i="4"/>
  <c r="BH262" i="4"/>
  <c r="BG262" i="4"/>
  <c r="AQ262" i="4"/>
  <c r="AN262" i="4"/>
  <c r="AL262" i="4"/>
  <c r="AG262" i="4"/>
  <c r="AT262" i="4" s="1"/>
  <c r="P262" i="4"/>
  <c r="O262" i="4"/>
  <c r="BS261" i="4"/>
  <c r="BM261" i="4"/>
  <c r="BL261" i="4"/>
  <c r="BH261" i="4"/>
  <c r="BG261" i="4"/>
  <c r="AQ261" i="4"/>
  <c r="AN261" i="4"/>
  <c r="AR261" i="4" s="1"/>
  <c r="AL261" i="4"/>
  <c r="AI261" i="4"/>
  <c r="AS261" i="4" s="1"/>
  <c r="AG261" i="4"/>
  <c r="P261" i="4"/>
  <c r="O261" i="4"/>
  <c r="BS260" i="4"/>
  <c r="BM260" i="4"/>
  <c r="BL260" i="4"/>
  <c r="BH260" i="4"/>
  <c r="BG260" i="4"/>
  <c r="AT260" i="4"/>
  <c r="AQ260" i="4"/>
  <c r="AN260" i="4"/>
  <c r="AL260" i="4"/>
  <c r="AG260" i="4"/>
  <c r="AI260" i="4" s="1"/>
  <c r="P260" i="4"/>
  <c r="O260" i="4"/>
  <c r="BS259" i="4"/>
  <c r="BM259" i="4"/>
  <c r="BL259" i="4"/>
  <c r="BH259" i="4"/>
  <c r="BG259" i="4"/>
  <c r="AQ259" i="4"/>
  <c r="AL259" i="4"/>
  <c r="AN259" i="4" s="1"/>
  <c r="AI259" i="4"/>
  <c r="AG259" i="4"/>
  <c r="P259" i="4"/>
  <c r="O259" i="4"/>
  <c r="BS258" i="4"/>
  <c r="BM258" i="4"/>
  <c r="BL258" i="4"/>
  <c r="BH258" i="4"/>
  <c r="BG258" i="4"/>
  <c r="AT258" i="4"/>
  <c r="AS258" i="4"/>
  <c r="AQ258" i="4"/>
  <c r="AN258" i="4"/>
  <c r="AL258" i="4"/>
  <c r="AI258" i="4"/>
  <c r="AR258" i="4" s="1"/>
  <c r="AG258" i="4"/>
  <c r="P258" i="4"/>
  <c r="O258" i="4"/>
  <c r="BS257" i="4"/>
  <c r="BM257" i="4"/>
  <c r="BL257" i="4"/>
  <c r="BH257" i="4"/>
  <c r="BG257" i="4"/>
  <c r="AQ257" i="4"/>
  <c r="AL257" i="4"/>
  <c r="AN257" i="4" s="1"/>
  <c r="AG257" i="4"/>
  <c r="AT257" i="4" s="1"/>
  <c r="P257" i="4"/>
  <c r="O257" i="4"/>
  <c r="BS256" i="4"/>
  <c r="BM256" i="4"/>
  <c r="BL256" i="4"/>
  <c r="BH256" i="4"/>
  <c r="BG256" i="4"/>
  <c r="AQ256" i="4"/>
  <c r="AN256" i="4"/>
  <c r="AL256" i="4"/>
  <c r="AG256" i="4"/>
  <c r="P256" i="4"/>
  <c r="O256" i="4"/>
  <c r="BS255" i="4"/>
  <c r="BM255" i="4"/>
  <c r="BL255" i="4"/>
  <c r="BH255" i="4"/>
  <c r="BG255" i="4"/>
  <c r="AQ255" i="4"/>
  <c r="AL255" i="4"/>
  <c r="AN255" i="4" s="1"/>
  <c r="AG255" i="4"/>
  <c r="P255" i="4"/>
  <c r="O255" i="4"/>
  <c r="BS254" i="4"/>
  <c r="BM254" i="4"/>
  <c r="BL254" i="4"/>
  <c r="BH254" i="4"/>
  <c r="BG254" i="4"/>
  <c r="AS254" i="4"/>
  <c r="AQ254" i="4"/>
  <c r="AN254" i="4"/>
  <c r="AL254" i="4"/>
  <c r="AI254" i="4"/>
  <c r="AG254" i="4"/>
  <c r="P254" i="4"/>
  <c r="O254" i="4"/>
  <c r="BS253" i="4"/>
  <c r="BM253" i="4"/>
  <c r="BL253" i="4"/>
  <c r="BH253" i="4"/>
  <c r="BG253" i="4"/>
  <c r="AQ253" i="4"/>
  <c r="AN253" i="4"/>
  <c r="AL253" i="4"/>
  <c r="AG253" i="4"/>
  <c r="AT253" i="4" s="1"/>
  <c r="P253" i="4"/>
  <c r="O253" i="4"/>
  <c r="BS252" i="4"/>
  <c r="BM252" i="4"/>
  <c r="BL252" i="4"/>
  <c r="BH252" i="4"/>
  <c r="BG252" i="4"/>
  <c r="AQ252" i="4"/>
  <c r="AN252" i="4"/>
  <c r="AL252" i="4"/>
  <c r="AG252" i="4"/>
  <c r="AI252" i="4" s="1"/>
  <c r="P252" i="4"/>
  <c r="O252" i="4"/>
  <c r="BS251" i="4"/>
  <c r="BM251" i="4"/>
  <c r="BL251" i="4"/>
  <c r="BH251" i="4"/>
  <c r="BG251" i="4"/>
  <c r="AQ251" i="4"/>
  <c r="AL251" i="4"/>
  <c r="AN251" i="4" s="1"/>
  <c r="AG251" i="4"/>
  <c r="P251" i="4"/>
  <c r="O251" i="4"/>
  <c r="BS250" i="4"/>
  <c r="BM250" i="4"/>
  <c r="BL250" i="4"/>
  <c r="BH250" i="4"/>
  <c r="BG250" i="4"/>
  <c r="AT250" i="4"/>
  <c r="AQ250" i="4"/>
  <c r="AN250" i="4"/>
  <c r="AR250" i="4" s="1"/>
  <c r="AL250" i="4"/>
  <c r="AI250" i="4"/>
  <c r="AG250" i="4"/>
  <c r="P250" i="4"/>
  <c r="O250" i="4"/>
  <c r="BS249" i="4"/>
  <c r="BM249" i="4"/>
  <c r="BL249" i="4"/>
  <c r="BH249" i="4"/>
  <c r="BG249" i="4"/>
  <c r="AQ249" i="4"/>
  <c r="AN249" i="4"/>
  <c r="AL249" i="4"/>
  <c r="AI249" i="4"/>
  <c r="AG249" i="4"/>
  <c r="AT249" i="4" s="1"/>
  <c r="P249" i="4"/>
  <c r="O249" i="4"/>
  <c r="BS248" i="4"/>
  <c r="BM248" i="4"/>
  <c r="BL248" i="4"/>
  <c r="BH248" i="4"/>
  <c r="BG248" i="4"/>
  <c r="AS248" i="4"/>
  <c r="AQ248" i="4"/>
  <c r="AN248" i="4"/>
  <c r="AL248" i="4"/>
  <c r="AI248" i="4"/>
  <c r="AR248" i="4" s="1"/>
  <c r="AG248" i="4"/>
  <c r="AT248" i="4" s="1"/>
  <c r="P248" i="4"/>
  <c r="O248" i="4"/>
  <c r="BS247" i="4"/>
  <c r="BM247" i="4"/>
  <c r="BL247" i="4"/>
  <c r="BH247" i="4"/>
  <c r="BG247" i="4"/>
  <c r="AQ247" i="4"/>
  <c r="AL247" i="4"/>
  <c r="AN247" i="4" s="1"/>
  <c r="AG247" i="4"/>
  <c r="P247" i="4"/>
  <c r="O247" i="4"/>
  <c r="BS246" i="4"/>
  <c r="BM246" i="4"/>
  <c r="BL246" i="4"/>
  <c r="BH246" i="4"/>
  <c r="BG246" i="4"/>
  <c r="AQ246" i="4"/>
  <c r="AN246" i="4"/>
  <c r="AL246" i="4"/>
  <c r="AG246" i="4"/>
  <c r="AT246" i="4" s="1"/>
  <c r="P246" i="4"/>
  <c r="O246" i="4"/>
  <c r="BS245" i="4"/>
  <c r="BM245" i="4"/>
  <c r="BL245" i="4"/>
  <c r="BH245" i="4"/>
  <c r="BG245" i="4"/>
  <c r="AS245" i="4"/>
  <c r="AQ245" i="4"/>
  <c r="AR245" i="4" s="1"/>
  <c r="AN245" i="4"/>
  <c r="AL245" i="4"/>
  <c r="AI245" i="4"/>
  <c r="AG245" i="4"/>
  <c r="P245" i="4"/>
  <c r="O245" i="4"/>
  <c r="BS244" i="4"/>
  <c r="BM244" i="4"/>
  <c r="BL244" i="4"/>
  <c r="BH244" i="4"/>
  <c r="BG244" i="4"/>
  <c r="AQ244" i="4"/>
  <c r="AN244" i="4"/>
  <c r="AL244" i="4"/>
  <c r="AG244" i="4"/>
  <c r="P244" i="4"/>
  <c r="O244" i="4"/>
  <c r="BS243" i="4"/>
  <c r="BM243" i="4"/>
  <c r="BL243" i="4"/>
  <c r="BH243" i="4"/>
  <c r="BG243" i="4"/>
  <c r="AQ243" i="4"/>
  <c r="AN243" i="4"/>
  <c r="AL243" i="4"/>
  <c r="AG243" i="4"/>
  <c r="P243" i="4"/>
  <c r="O243" i="4"/>
  <c r="BS242" i="4"/>
  <c r="BM242" i="4"/>
  <c r="BL242" i="4"/>
  <c r="BH242" i="4"/>
  <c r="BG242" i="4"/>
  <c r="AQ242" i="4"/>
  <c r="AN242" i="4"/>
  <c r="AL242" i="4"/>
  <c r="AG242" i="4"/>
  <c r="AT242" i="4" s="1"/>
  <c r="P242" i="4"/>
  <c r="O242" i="4"/>
  <c r="BS241" i="4"/>
  <c r="BM241" i="4"/>
  <c r="BL241" i="4"/>
  <c r="BH241" i="4"/>
  <c r="BG241" i="4"/>
  <c r="AQ241" i="4"/>
  <c r="AL241" i="4"/>
  <c r="AN241" i="4" s="1"/>
  <c r="AR241" i="4" s="1"/>
  <c r="AI241" i="4"/>
  <c r="AG241" i="4"/>
  <c r="P241" i="4"/>
  <c r="O241" i="4"/>
  <c r="BS240" i="4"/>
  <c r="BM240" i="4"/>
  <c r="BL240" i="4"/>
  <c r="BH240" i="4"/>
  <c r="BG240" i="4"/>
  <c r="AT240" i="4"/>
  <c r="AQ240" i="4"/>
  <c r="AN240" i="4"/>
  <c r="AL240" i="4"/>
  <c r="AG240" i="4"/>
  <c r="AI240" i="4" s="1"/>
  <c r="P240" i="4"/>
  <c r="O240" i="4"/>
  <c r="BS239" i="4"/>
  <c r="BM239" i="4"/>
  <c r="BL239" i="4"/>
  <c r="BH239" i="4"/>
  <c r="BG239" i="4"/>
  <c r="AQ239" i="4"/>
  <c r="AL239" i="4"/>
  <c r="AN239" i="4" s="1"/>
  <c r="AS239" i="4" s="1"/>
  <c r="AI239" i="4"/>
  <c r="AG239" i="4"/>
  <c r="P239" i="4"/>
  <c r="O239" i="4"/>
  <c r="BS238" i="4"/>
  <c r="BM238" i="4"/>
  <c r="BL238" i="4"/>
  <c r="BH238" i="4"/>
  <c r="BG238" i="4"/>
  <c r="AT238" i="4"/>
  <c r="AQ238" i="4"/>
  <c r="AN238" i="4"/>
  <c r="AL238" i="4"/>
  <c r="AI238" i="4"/>
  <c r="AR238" i="4" s="1"/>
  <c r="AG238" i="4"/>
  <c r="P238" i="4"/>
  <c r="O238" i="4"/>
  <c r="BS237" i="4"/>
  <c r="BM237" i="4"/>
  <c r="BL237" i="4"/>
  <c r="BH237" i="4"/>
  <c r="BG237" i="4"/>
  <c r="AQ237" i="4"/>
  <c r="AL237" i="4"/>
  <c r="AN237" i="4" s="1"/>
  <c r="AG237" i="4"/>
  <c r="P237" i="4"/>
  <c r="O237" i="4"/>
  <c r="BS236" i="4"/>
  <c r="BM236" i="4"/>
  <c r="BL236" i="4"/>
  <c r="BH236" i="4"/>
  <c r="BG236" i="4"/>
  <c r="AQ236" i="4"/>
  <c r="AN236" i="4"/>
  <c r="AL236" i="4"/>
  <c r="AG236" i="4"/>
  <c r="P236" i="4"/>
  <c r="O236" i="4"/>
  <c r="BS235" i="4"/>
  <c r="BM235" i="4"/>
  <c r="BL235" i="4"/>
  <c r="BH235" i="4"/>
  <c r="BG235" i="4"/>
  <c r="AQ235" i="4"/>
  <c r="AL235" i="4"/>
  <c r="AN235" i="4" s="1"/>
  <c r="AG235" i="4"/>
  <c r="P235" i="4"/>
  <c r="O235" i="4"/>
  <c r="BS234" i="4"/>
  <c r="BM234" i="4"/>
  <c r="BL234" i="4"/>
  <c r="BH234" i="4"/>
  <c r="BG234" i="4"/>
  <c r="AS234" i="4"/>
  <c r="AR234" i="4"/>
  <c r="AQ234" i="4"/>
  <c r="AT234" i="4" s="1"/>
  <c r="AN234" i="4"/>
  <c r="AL234" i="4"/>
  <c r="AI234" i="4"/>
  <c r="AG234" i="4"/>
  <c r="P234" i="4"/>
  <c r="O234" i="4"/>
  <c r="BS233" i="4"/>
  <c r="BM233" i="4"/>
  <c r="BL233" i="4"/>
  <c r="BH233" i="4"/>
  <c r="BG233" i="4"/>
  <c r="AQ233" i="4"/>
  <c r="AN233" i="4"/>
  <c r="AL233" i="4"/>
  <c r="AG233" i="4"/>
  <c r="AT233" i="4" s="1"/>
  <c r="P233" i="4"/>
  <c r="O233" i="4"/>
  <c r="BS232" i="4"/>
  <c r="BM232" i="4"/>
  <c r="BL232" i="4"/>
  <c r="BH232" i="4"/>
  <c r="BG232" i="4"/>
  <c r="AQ232" i="4"/>
  <c r="AN232" i="4"/>
  <c r="AL232" i="4"/>
  <c r="AG232" i="4"/>
  <c r="AI232" i="4" s="1"/>
  <c r="P232" i="4"/>
  <c r="O232" i="4"/>
  <c r="BS231" i="4"/>
  <c r="BM231" i="4"/>
  <c r="BL231" i="4"/>
  <c r="BH231" i="4"/>
  <c r="BG231" i="4"/>
  <c r="AQ231" i="4"/>
  <c r="AL231" i="4"/>
  <c r="AN231" i="4" s="1"/>
  <c r="AG231" i="4"/>
  <c r="P231" i="4"/>
  <c r="O231" i="4"/>
  <c r="BS230" i="4"/>
  <c r="BM230" i="4"/>
  <c r="BL230" i="4"/>
  <c r="BH230" i="4"/>
  <c r="BG230" i="4"/>
  <c r="AT230" i="4"/>
  <c r="AQ230" i="4"/>
  <c r="AN230" i="4"/>
  <c r="AR230" i="4" s="1"/>
  <c r="AL230" i="4"/>
  <c r="AI230" i="4"/>
  <c r="AS230" i="4" s="1"/>
  <c r="AG230" i="4"/>
  <c r="P230" i="4"/>
  <c r="O230" i="4"/>
  <c r="BS229" i="4"/>
  <c r="BM229" i="4"/>
  <c r="BL229" i="4"/>
  <c r="BH229" i="4"/>
  <c r="BG229" i="4"/>
  <c r="AS229" i="4"/>
  <c r="AQ229" i="4"/>
  <c r="AN229" i="4"/>
  <c r="AL229" i="4"/>
  <c r="AI229" i="4"/>
  <c r="AR229" i="4" s="1"/>
  <c r="AG229" i="4"/>
  <c r="AT229" i="4" s="1"/>
  <c r="P229" i="4"/>
  <c r="O229" i="4"/>
  <c r="BS228" i="4"/>
  <c r="BM228" i="4"/>
  <c r="BL228" i="4"/>
  <c r="BH228" i="4"/>
  <c r="BG228" i="4"/>
  <c r="AQ228" i="4"/>
  <c r="AN228" i="4"/>
  <c r="AL228" i="4"/>
  <c r="AI228" i="4"/>
  <c r="AR228" i="4" s="1"/>
  <c r="AG228" i="4"/>
  <c r="AT228" i="4" s="1"/>
  <c r="P228" i="4"/>
  <c r="O228" i="4"/>
  <c r="BS227" i="4"/>
  <c r="BM227" i="4"/>
  <c r="BL227" i="4"/>
  <c r="BH227" i="4"/>
  <c r="BG227" i="4"/>
  <c r="AQ227" i="4"/>
  <c r="AL227" i="4"/>
  <c r="AN227" i="4" s="1"/>
  <c r="AG227" i="4"/>
  <c r="P227" i="4"/>
  <c r="O227" i="4"/>
  <c r="BS226" i="4"/>
  <c r="BM226" i="4"/>
  <c r="BL226" i="4"/>
  <c r="BH226" i="4"/>
  <c r="BG226" i="4"/>
  <c r="AQ226" i="4"/>
  <c r="AN226" i="4"/>
  <c r="AL226" i="4"/>
  <c r="AI226" i="4"/>
  <c r="AG226" i="4"/>
  <c r="AT226" i="4" s="1"/>
  <c r="P226" i="4"/>
  <c r="O226" i="4"/>
  <c r="BS225" i="4"/>
  <c r="BM225" i="4"/>
  <c r="BL225" i="4"/>
  <c r="BH225" i="4"/>
  <c r="BG225" i="4"/>
  <c r="AS225" i="4"/>
  <c r="AR225" i="4"/>
  <c r="AQ225" i="4"/>
  <c r="AN225" i="4"/>
  <c r="AL225" i="4"/>
  <c r="AI225" i="4"/>
  <c r="AG225" i="4"/>
  <c r="P225" i="4"/>
  <c r="O225" i="4"/>
  <c r="BS224" i="4"/>
  <c r="BM224" i="4"/>
  <c r="BL224" i="4"/>
  <c r="BH224" i="4"/>
  <c r="BG224" i="4"/>
  <c r="AQ224" i="4"/>
  <c r="AN224" i="4"/>
  <c r="AL224" i="4"/>
  <c r="AG224" i="4"/>
  <c r="P224" i="4"/>
  <c r="O224" i="4"/>
  <c r="BS223" i="4"/>
  <c r="BM223" i="4"/>
  <c r="BL223" i="4"/>
  <c r="BH223" i="4"/>
  <c r="BG223" i="4"/>
  <c r="AQ223" i="4"/>
  <c r="AN223" i="4"/>
  <c r="AL223" i="4"/>
  <c r="AG223" i="4"/>
  <c r="P223" i="4"/>
  <c r="O223" i="4"/>
  <c r="BS222" i="4"/>
  <c r="BM222" i="4"/>
  <c r="BL222" i="4"/>
  <c r="BH222" i="4"/>
  <c r="BG222" i="4"/>
  <c r="AQ222" i="4"/>
  <c r="AN222" i="4"/>
  <c r="AL222" i="4"/>
  <c r="AG222" i="4"/>
  <c r="AT222" i="4" s="1"/>
  <c r="P222" i="4"/>
  <c r="O222" i="4"/>
  <c r="BS221" i="4"/>
  <c r="BM221" i="4"/>
  <c r="BL221" i="4"/>
  <c r="BH221" i="4"/>
  <c r="BG221" i="4"/>
  <c r="AQ221" i="4"/>
  <c r="AL221" i="4"/>
  <c r="AN221" i="4" s="1"/>
  <c r="AR221" i="4" s="1"/>
  <c r="AI221" i="4"/>
  <c r="AS221" i="4" s="1"/>
  <c r="AG221" i="4"/>
  <c r="P221" i="4"/>
  <c r="O221" i="4"/>
  <c r="BS220" i="4"/>
  <c r="BM220" i="4"/>
  <c r="BL220" i="4"/>
  <c r="BH220" i="4"/>
  <c r="BG220" i="4"/>
  <c r="AT220" i="4"/>
  <c r="AQ220" i="4"/>
  <c r="AN220" i="4"/>
  <c r="AL220" i="4"/>
  <c r="AG220" i="4"/>
  <c r="AI220" i="4" s="1"/>
  <c r="P220" i="4"/>
  <c r="O220" i="4"/>
  <c r="BS219" i="4"/>
  <c r="BM219" i="4"/>
  <c r="BL219" i="4"/>
  <c r="BH219" i="4"/>
  <c r="BG219" i="4"/>
  <c r="AS219" i="4"/>
  <c r="AQ219" i="4"/>
  <c r="AL219" i="4"/>
  <c r="AN219" i="4" s="1"/>
  <c r="AI219" i="4"/>
  <c r="AR219" i="4" s="1"/>
  <c r="AG219" i="4"/>
  <c r="P219" i="4"/>
  <c r="O219" i="4"/>
  <c r="BS218" i="4"/>
  <c r="BM218" i="4"/>
  <c r="BL218" i="4"/>
  <c r="BH218" i="4"/>
  <c r="BG218" i="4"/>
  <c r="AT218" i="4"/>
  <c r="AS218" i="4"/>
  <c r="AQ218" i="4"/>
  <c r="AN218" i="4"/>
  <c r="AL218" i="4"/>
  <c r="AI218" i="4"/>
  <c r="AR218" i="4" s="1"/>
  <c r="AG218" i="4"/>
  <c r="P218" i="4"/>
  <c r="O218" i="4"/>
  <c r="BS217" i="4"/>
  <c r="BM217" i="4"/>
  <c r="BL217" i="4"/>
  <c r="BH217" i="4"/>
  <c r="BG217" i="4"/>
  <c r="AQ217" i="4"/>
  <c r="AL217" i="4"/>
  <c r="AN217" i="4" s="1"/>
  <c r="AG217" i="4"/>
  <c r="AT217" i="4" s="1"/>
  <c r="P217" i="4"/>
  <c r="O217" i="4"/>
  <c r="BS216" i="4"/>
  <c r="BM216" i="4"/>
  <c r="BL216" i="4"/>
  <c r="BH216" i="4"/>
  <c r="BG216" i="4"/>
  <c r="AQ216" i="4"/>
  <c r="AN216" i="4"/>
  <c r="AL216" i="4"/>
  <c r="AG216" i="4"/>
  <c r="P216" i="4"/>
  <c r="O216" i="4"/>
  <c r="BS215" i="4"/>
  <c r="BM215" i="4"/>
  <c r="BL215" i="4"/>
  <c r="BH215" i="4"/>
  <c r="BG215" i="4"/>
  <c r="AQ215" i="4"/>
  <c r="AL215" i="4"/>
  <c r="AN215" i="4" s="1"/>
  <c r="AG215" i="4"/>
  <c r="P215" i="4"/>
  <c r="O215" i="4"/>
  <c r="BS214" i="4"/>
  <c r="BM214" i="4"/>
  <c r="BL214" i="4"/>
  <c r="BH214" i="4"/>
  <c r="BG214" i="4"/>
  <c r="AS214" i="4"/>
  <c r="AQ214" i="4"/>
  <c r="AT214" i="4" s="1"/>
  <c r="AN214" i="4"/>
  <c r="AL214" i="4"/>
  <c r="AI214" i="4"/>
  <c r="AG214" i="4"/>
  <c r="P214" i="4"/>
  <c r="O214" i="4"/>
  <c r="BS213" i="4"/>
  <c r="BM213" i="4"/>
  <c r="BL213" i="4"/>
  <c r="BH213" i="4"/>
  <c r="BG213" i="4"/>
  <c r="AQ213" i="4"/>
  <c r="AN213" i="4"/>
  <c r="AL213" i="4"/>
  <c r="AG213" i="4"/>
  <c r="AT213" i="4" s="1"/>
  <c r="P213" i="4"/>
  <c r="O213" i="4"/>
  <c r="BS212" i="4"/>
  <c r="BM212" i="4"/>
  <c r="BL212" i="4"/>
  <c r="BH212" i="4"/>
  <c r="BG212" i="4"/>
  <c r="AQ212" i="4"/>
  <c r="AN212" i="4"/>
  <c r="AL212" i="4"/>
  <c r="AG212" i="4"/>
  <c r="AI212" i="4" s="1"/>
  <c r="P212" i="4"/>
  <c r="O212" i="4"/>
  <c r="BS211" i="4"/>
  <c r="BM211" i="4"/>
  <c r="BL211" i="4"/>
  <c r="BH211" i="4"/>
  <c r="BG211" i="4"/>
  <c r="AQ211" i="4"/>
  <c r="AL211" i="4"/>
  <c r="AN211" i="4" s="1"/>
  <c r="AG211" i="4"/>
  <c r="P211" i="4"/>
  <c r="O211" i="4"/>
  <c r="BS210" i="4"/>
  <c r="BM210" i="4"/>
  <c r="BL210" i="4"/>
  <c r="BH210" i="4"/>
  <c r="BG210" i="4"/>
  <c r="AT210" i="4"/>
  <c r="AQ210" i="4"/>
  <c r="AN210" i="4"/>
  <c r="AR210" i="4" s="1"/>
  <c r="AL210" i="4"/>
  <c r="AI210" i="4"/>
  <c r="AG210" i="4"/>
  <c r="P210" i="4"/>
  <c r="O210" i="4"/>
  <c r="BS209" i="4"/>
  <c r="BM209" i="4"/>
  <c r="BL209" i="4"/>
  <c r="BH209" i="4"/>
  <c r="BG209" i="4"/>
  <c r="AS209" i="4"/>
  <c r="AQ209" i="4"/>
  <c r="AN209" i="4"/>
  <c r="AL209" i="4"/>
  <c r="AI209" i="4"/>
  <c r="AR209" i="4" s="1"/>
  <c r="AG209" i="4"/>
  <c r="AT209" i="4" s="1"/>
  <c r="P209" i="4"/>
  <c r="O209" i="4"/>
  <c r="BS208" i="4"/>
  <c r="BM208" i="4"/>
  <c r="BL208" i="4"/>
  <c r="BH208" i="4"/>
  <c r="BG208" i="4"/>
  <c r="AS208" i="4"/>
  <c r="AQ208" i="4"/>
  <c r="AN208" i="4"/>
  <c r="AL208" i="4"/>
  <c r="AI208" i="4"/>
  <c r="AR208" i="4" s="1"/>
  <c r="AG208" i="4"/>
  <c r="AT208" i="4" s="1"/>
  <c r="P208" i="4"/>
  <c r="O208" i="4"/>
  <c r="BS207" i="4"/>
  <c r="BM207" i="4"/>
  <c r="BL207" i="4"/>
  <c r="BH207" i="4"/>
  <c r="BG207" i="4"/>
  <c r="AQ207" i="4"/>
  <c r="AL207" i="4"/>
  <c r="AN207" i="4" s="1"/>
  <c r="AG207" i="4"/>
  <c r="P207" i="4"/>
  <c r="O207" i="4"/>
  <c r="BS206" i="4"/>
  <c r="BM206" i="4"/>
  <c r="BL206" i="4"/>
  <c r="BH206" i="4"/>
  <c r="BG206" i="4"/>
  <c r="AQ206" i="4"/>
  <c r="AN206" i="4"/>
  <c r="AL206" i="4"/>
  <c r="AG206" i="4"/>
  <c r="AT206" i="4" s="1"/>
  <c r="P206" i="4"/>
  <c r="O206" i="4"/>
  <c r="BS205" i="4"/>
  <c r="BM205" i="4"/>
  <c r="BL205" i="4"/>
  <c r="BH205" i="4"/>
  <c r="BG205" i="4"/>
  <c r="AS205" i="4"/>
  <c r="AQ205" i="4"/>
  <c r="AR205" i="4" s="1"/>
  <c r="AN205" i="4"/>
  <c r="AL205" i="4"/>
  <c r="AI205" i="4"/>
  <c r="AG205" i="4"/>
  <c r="P205" i="4"/>
  <c r="O205" i="4"/>
  <c r="BS204" i="4"/>
  <c r="BM204" i="4"/>
  <c r="BL204" i="4"/>
  <c r="BH204" i="4"/>
  <c r="BG204" i="4"/>
  <c r="AQ204" i="4"/>
  <c r="AN204" i="4"/>
  <c r="AL204" i="4"/>
  <c r="AG204" i="4"/>
  <c r="P204" i="4"/>
  <c r="O204" i="4"/>
  <c r="BS203" i="4"/>
  <c r="BM203" i="4"/>
  <c r="BL203" i="4"/>
  <c r="BH203" i="4"/>
  <c r="BG203" i="4"/>
  <c r="AQ203" i="4"/>
  <c r="AN203" i="4"/>
  <c r="AL203" i="4"/>
  <c r="AG203" i="4"/>
  <c r="P203" i="4"/>
  <c r="O203" i="4"/>
  <c r="BS202" i="4"/>
  <c r="BM202" i="4"/>
  <c r="BL202" i="4"/>
  <c r="BH202" i="4"/>
  <c r="BG202" i="4"/>
  <c r="AQ202" i="4"/>
  <c r="AN202" i="4"/>
  <c r="AL202" i="4"/>
  <c r="AG202" i="4"/>
  <c r="AT202" i="4" s="1"/>
  <c r="P202" i="4"/>
  <c r="O202" i="4"/>
  <c r="BS201" i="4"/>
  <c r="BM201" i="4"/>
  <c r="BL201" i="4"/>
  <c r="BH201" i="4"/>
  <c r="BG201" i="4"/>
  <c r="AQ201" i="4"/>
  <c r="AL201" i="4"/>
  <c r="AN201" i="4" s="1"/>
  <c r="AR201" i="4" s="1"/>
  <c r="AI201" i="4"/>
  <c r="AG201" i="4"/>
  <c r="P201" i="4"/>
  <c r="O201" i="4"/>
  <c r="BS200" i="4"/>
  <c r="BM200" i="4"/>
  <c r="BL200" i="4"/>
  <c r="BH200" i="4"/>
  <c r="BG200" i="4"/>
  <c r="AT200" i="4"/>
  <c r="AQ200" i="4"/>
  <c r="AN200" i="4"/>
  <c r="AL200" i="4"/>
  <c r="AG200" i="4"/>
  <c r="AI200" i="4" s="1"/>
  <c r="P200" i="4"/>
  <c r="O200" i="4"/>
  <c r="BS199" i="4"/>
  <c r="BM199" i="4"/>
  <c r="BL199" i="4"/>
  <c r="BH199" i="4"/>
  <c r="BG199" i="4"/>
  <c r="AQ199" i="4"/>
  <c r="AL199" i="4"/>
  <c r="AN199" i="4" s="1"/>
  <c r="AI199" i="4"/>
  <c r="AR199" i="4" s="1"/>
  <c r="AG199" i="4"/>
  <c r="P199" i="4"/>
  <c r="O199" i="4"/>
  <c r="BS198" i="4"/>
  <c r="BM198" i="4"/>
  <c r="BL198" i="4"/>
  <c r="BH198" i="4"/>
  <c r="BG198" i="4"/>
  <c r="AT198" i="4"/>
  <c r="AQ198" i="4"/>
  <c r="AN198" i="4"/>
  <c r="AL198" i="4"/>
  <c r="AI198" i="4"/>
  <c r="AG198" i="4"/>
  <c r="P198" i="4"/>
  <c r="O198" i="4"/>
  <c r="BS197" i="4"/>
  <c r="BM197" i="4"/>
  <c r="BL197" i="4"/>
  <c r="BH197" i="4"/>
  <c r="BG197" i="4"/>
  <c r="AQ197" i="4"/>
  <c r="AL197" i="4"/>
  <c r="AN197" i="4" s="1"/>
  <c r="AG197" i="4"/>
  <c r="AT197" i="4" s="1"/>
  <c r="P197" i="4"/>
  <c r="O197" i="4"/>
  <c r="BS196" i="4"/>
  <c r="BM196" i="4"/>
  <c r="BL196" i="4"/>
  <c r="BH196" i="4"/>
  <c r="BG196" i="4"/>
  <c r="AQ196" i="4"/>
  <c r="AN196" i="4"/>
  <c r="AL196" i="4"/>
  <c r="AG196" i="4"/>
  <c r="P196" i="4"/>
  <c r="O196" i="4"/>
  <c r="BS195" i="4"/>
  <c r="BM195" i="4"/>
  <c r="BL195" i="4"/>
  <c r="BH195" i="4"/>
  <c r="BG195" i="4"/>
  <c r="AQ195" i="4"/>
  <c r="AL195" i="4"/>
  <c r="AN195" i="4" s="1"/>
  <c r="AG195" i="4"/>
  <c r="P195" i="4"/>
  <c r="O195" i="4"/>
  <c r="BS194" i="4"/>
  <c r="BM194" i="4"/>
  <c r="BL194" i="4"/>
  <c r="BH194" i="4"/>
  <c r="BG194" i="4"/>
  <c r="AS194" i="4"/>
  <c r="AQ194" i="4"/>
  <c r="AT194" i="4" s="1"/>
  <c r="AN194" i="4"/>
  <c r="AL194" i="4"/>
  <c r="AI194" i="4"/>
  <c r="AG194" i="4"/>
  <c r="P194" i="4"/>
  <c r="O194" i="4"/>
  <c r="BS193" i="4"/>
  <c r="BM193" i="4"/>
  <c r="BL193" i="4"/>
  <c r="BH193" i="4"/>
  <c r="BG193" i="4"/>
  <c r="AQ193" i="4"/>
  <c r="AN193" i="4"/>
  <c r="AL193" i="4"/>
  <c r="AG193" i="4"/>
  <c r="AT193" i="4" s="1"/>
  <c r="P193" i="4"/>
  <c r="O193" i="4"/>
  <c r="BS192" i="4"/>
  <c r="BM192" i="4"/>
  <c r="BL192" i="4"/>
  <c r="BH192" i="4"/>
  <c r="BG192" i="4"/>
  <c r="AQ192" i="4"/>
  <c r="AN192" i="4"/>
  <c r="AL192" i="4"/>
  <c r="AG192" i="4"/>
  <c r="AI192" i="4" s="1"/>
  <c r="P192" i="4"/>
  <c r="O192" i="4"/>
  <c r="BS191" i="4"/>
  <c r="BM191" i="4"/>
  <c r="BL191" i="4"/>
  <c r="BH191" i="4"/>
  <c r="BG191" i="4"/>
  <c r="AQ191" i="4"/>
  <c r="AL191" i="4"/>
  <c r="AN191" i="4" s="1"/>
  <c r="AG191" i="4"/>
  <c r="P191" i="4"/>
  <c r="O191" i="4"/>
  <c r="BS190" i="4"/>
  <c r="BM190" i="4"/>
  <c r="BL190" i="4"/>
  <c r="BH190" i="4"/>
  <c r="BG190" i="4"/>
  <c r="AT190" i="4"/>
  <c r="AQ190" i="4"/>
  <c r="AN190" i="4"/>
  <c r="AL190" i="4"/>
  <c r="AI190" i="4"/>
  <c r="AS190" i="4" s="1"/>
  <c r="AG190" i="4"/>
  <c r="P190" i="4"/>
  <c r="O190" i="4"/>
  <c r="BS189" i="4"/>
  <c r="BM189" i="4"/>
  <c r="BL189" i="4"/>
  <c r="BH189" i="4"/>
  <c r="BG189" i="4"/>
  <c r="AQ189" i="4"/>
  <c r="AN189" i="4"/>
  <c r="AL189" i="4"/>
  <c r="AI189" i="4"/>
  <c r="AR189" i="4" s="1"/>
  <c r="AG189" i="4"/>
  <c r="AT189" i="4" s="1"/>
  <c r="P189" i="4"/>
  <c r="O189" i="4"/>
  <c r="BS188" i="4"/>
  <c r="BM188" i="4"/>
  <c r="BL188" i="4"/>
  <c r="BH188" i="4"/>
  <c r="BG188" i="4"/>
  <c r="AQ188" i="4"/>
  <c r="AN188" i="4"/>
  <c r="AL188" i="4"/>
  <c r="AI188" i="4"/>
  <c r="AG188" i="4"/>
  <c r="AT188" i="4" s="1"/>
  <c r="P188" i="4"/>
  <c r="O188" i="4"/>
  <c r="BS187" i="4"/>
  <c r="BM187" i="4"/>
  <c r="BL187" i="4"/>
  <c r="BH187" i="4"/>
  <c r="BG187" i="4"/>
  <c r="AQ187" i="4"/>
  <c r="AL187" i="4"/>
  <c r="AN187" i="4" s="1"/>
  <c r="AG187" i="4"/>
  <c r="P187" i="4"/>
  <c r="O187" i="4"/>
  <c r="BS186" i="4"/>
  <c r="BM186" i="4"/>
  <c r="BL186" i="4"/>
  <c r="BH186" i="4"/>
  <c r="BG186" i="4"/>
  <c r="AQ186" i="4"/>
  <c r="AN186" i="4"/>
  <c r="AL186" i="4"/>
  <c r="AG186" i="4"/>
  <c r="AT186" i="4" s="1"/>
  <c r="P186" i="4"/>
  <c r="O186" i="4"/>
  <c r="BS185" i="4"/>
  <c r="BM185" i="4"/>
  <c r="BL185" i="4"/>
  <c r="BH185" i="4"/>
  <c r="BG185" i="4"/>
  <c r="AS185" i="4"/>
  <c r="AQ185" i="4"/>
  <c r="AR185" i="4" s="1"/>
  <c r="AN185" i="4"/>
  <c r="AL185" i="4"/>
  <c r="AI185" i="4"/>
  <c r="AG185" i="4"/>
  <c r="P185" i="4"/>
  <c r="O185" i="4"/>
  <c r="BS184" i="4"/>
  <c r="BM184" i="4"/>
  <c r="BL184" i="4"/>
  <c r="BH184" i="4"/>
  <c r="BG184" i="4"/>
  <c r="AQ184" i="4"/>
  <c r="AN184" i="4"/>
  <c r="AL184" i="4"/>
  <c r="AG184" i="4"/>
  <c r="P184" i="4"/>
  <c r="O184" i="4"/>
  <c r="BS183" i="4"/>
  <c r="BM183" i="4"/>
  <c r="BL183" i="4"/>
  <c r="BH183" i="4"/>
  <c r="BG183" i="4"/>
  <c r="AQ183" i="4"/>
  <c r="AN183" i="4"/>
  <c r="AL183" i="4"/>
  <c r="AG183" i="4"/>
  <c r="P183" i="4"/>
  <c r="O183" i="4"/>
  <c r="BS182" i="4"/>
  <c r="BM182" i="4"/>
  <c r="BL182" i="4"/>
  <c r="BH182" i="4"/>
  <c r="BG182" i="4"/>
  <c r="AQ182" i="4"/>
  <c r="AN182" i="4"/>
  <c r="AL182" i="4"/>
  <c r="AG182" i="4"/>
  <c r="AT182" i="4" s="1"/>
  <c r="P182" i="4"/>
  <c r="O182" i="4"/>
  <c r="BS181" i="4"/>
  <c r="BM181" i="4"/>
  <c r="BL181" i="4"/>
  <c r="BH181" i="4"/>
  <c r="BG181" i="4"/>
  <c r="AQ181" i="4"/>
  <c r="AL181" i="4"/>
  <c r="AN181" i="4" s="1"/>
  <c r="AI181" i="4"/>
  <c r="AG181" i="4"/>
  <c r="P181" i="4"/>
  <c r="O181" i="4"/>
  <c r="BS180" i="4"/>
  <c r="BM180" i="4"/>
  <c r="BL180" i="4"/>
  <c r="BH180" i="4"/>
  <c r="BG180" i="4"/>
  <c r="AT180" i="4"/>
  <c r="AQ180" i="4"/>
  <c r="AN180" i="4"/>
  <c r="AL180" i="4"/>
  <c r="AG180" i="4"/>
  <c r="AI180" i="4" s="1"/>
  <c r="P180" i="4"/>
  <c r="O180" i="4"/>
  <c r="BS179" i="4"/>
  <c r="BM179" i="4"/>
  <c r="BL179" i="4"/>
  <c r="BH179" i="4"/>
  <c r="BG179" i="4"/>
  <c r="AQ179" i="4"/>
  <c r="AL179" i="4"/>
  <c r="AN179" i="4" s="1"/>
  <c r="AS179" i="4" s="1"/>
  <c r="AI179" i="4"/>
  <c r="AG179" i="4"/>
  <c r="P179" i="4"/>
  <c r="O179" i="4"/>
  <c r="BS178" i="4"/>
  <c r="BM178" i="4"/>
  <c r="BL178" i="4"/>
  <c r="BH178" i="4"/>
  <c r="BG178" i="4"/>
  <c r="AT178" i="4"/>
  <c r="AS178" i="4"/>
  <c r="AQ178" i="4"/>
  <c r="AN178" i="4"/>
  <c r="AL178" i="4"/>
  <c r="AI178" i="4"/>
  <c r="AR178" i="4" s="1"/>
  <c r="AG178" i="4"/>
  <c r="P178" i="4"/>
  <c r="O178" i="4"/>
  <c r="BS177" i="4"/>
  <c r="BM177" i="4"/>
  <c r="BL177" i="4"/>
  <c r="BH177" i="4"/>
  <c r="BG177" i="4"/>
  <c r="AR177" i="4"/>
  <c r="AQ177" i="4"/>
  <c r="AL177" i="4"/>
  <c r="AN177" i="4" s="1"/>
  <c r="AI177" i="4"/>
  <c r="AS177" i="4" s="1"/>
  <c r="AG177" i="4"/>
  <c r="AT177" i="4" s="1"/>
  <c r="P177" i="4"/>
  <c r="O177" i="4"/>
  <c r="BS176" i="4"/>
  <c r="BM176" i="4"/>
  <c r="BL176" i="4"/>
  <c r="BH176" i="4"/>
  <c r="BG176" i="4"/>
  <c r="AQ176" i="4"/>
  <c r="AN176" i="4"/>
  <c r="AL176" i="4"/>
  <c r="AG176" i="4"/>
  <c r="P176" i="4"/>
  <c r="O176" i="4"/>
  <c r="BS175" i="4"/>
  <c r="BM175" i="4"/>
  <c r="BL175" i="4"/>
  <c r="BH175" i="4"/>
  <c r="BG175" i="4"/>
  <c r="AQ175" i="4"/>
  <c r="AL175" i="4"/>
  <c r="AN175" i="4" s="1"/>
  <c r="AG175" i="4"/>
  <c r="P175" i="4"/>
  <c r="O175" i="4"/>
  <c r="BS174" i="4"/>
  <c r="BM174" i="4"/>
  <c r="BL174" i="4"/>
  <c r="BH174" i="4"/>
  <c r="BG174" i="4"/>
  <c r="AS174" i="4"/>
  <c r="AR174" i="4"/>
  <c r="AQ174" i="4"/>
  <c r="AT174" i="4" s="1"/>
  <c r="AN174" i="4"/>
  <c r="AL174" i="4"/>
  <c r="AI174" i="4"/>
  <c r="AG174" i="4"/>
  <c r="P174" i="4"/>
  <c r="O174" i="4"/>
  <c r="BS173" i="4"/>
  <c r="BM173" i="4"/>
  <c r="BL173" i="4"/>
  <c r="BH173" i="4"/>
  <c r="BG173" i="4"/>
  <c r="AQ173" i="4"/>
  <c r="AN173" i="4"/>
  <c r="AL173" i="4"/>
  <c r="AG173" i="4"/>
  <c r="AT173" i="4" s="1"/>
  <c r="P173" i="4"/>
  <c r="O173" i="4"/>
  <c r="BS172" i="4"/>
  <c r="BM172" i="4"/>
  <c r="BL172" i="4"/>
  <c r="BH172" i="4"/>
  <c r="BG172" i="4"/>
  <c r="AQ172" i="4"/>
  <c r="AN172" i="4"/>
  <c r="AL172" i="4"/>
  <c r="AG172" i="4"/>
  <c r="AI172" i="4" s="1"/>
  <c r="P172" i="4"/>
  <c r="O172" i="4"/>
  <c r="BS171" i="4"/>
  <c r="BM171" i="4"/>
  <c r="BL171" i="4"/>
  <c r="BH171" i="4"/>
  <c r="BG171" i="4"/>
  <c r="AQ171" i="4"/>
  <c r="AL171" i="4"/>
  <c r="AN171" i="4" s="1"/>
  <c r="AG171" i="4"/>
  <c r="P171" i="4"/>
  <c r="O171" i="4"/>
  <c r="BS170" i="4"/>
  <c r="BM170" i="4"/>
  <c r="BL170" i="4"/>
  <c r="BH170" i="4"/>
  <c r="BG170" i="4"/>
  <c r="AT170" i="4"/>
  <c r="AQ170" i="4"/>
  <c r="AN170" i="4"/>
  <c r="AL170" i="4"/>
  <c r="AI170" i="4"/>
  <c r="AS170" i="4" s="1"/>
  <c r="AG170" i="4"/>
  <c r="P170" i="4"/>
  <c r="O170" i="4"/>
  <c r="BS169" i="4"/>
  <c r="BM169" i="4"/>
  <c r="BL169" i="4"/>
  <c r="BH169" i="4"/>
  <c r="BG169" i="4"/>
  <c r="AQ169" i="4"/>
  <c r="AN169" i="4"/>
  <c r="AL169" i="4"/>
  <c r="AI169" i="4"/>
  <c r="AG169" i="4"/>
  <c r="AT169" i="4" s="1"/>
  <c r="P169" i="4"/>
  <c r="O169" i="4"/>
  <c r="BS168" i="4"/>
  <c r="BM168" i="4"/>
  <c r="BL168" i="4"/>
  <c r="BH168" i="4"/>
  <c r="BG168" i="4"/>
  <c r="AS168" i="4"/>
  <c r="AQ168" i="4"/>
  <c r="AN168" i="4"/>
  <c r="AL168" i="4"/>
  <c r="AI168" i="4"/>
  <c r="AR168" i="4" s="1"/>
  <c r="AG168" i="4"/>
  <c r="AT168" i="4" s="1"/>
  <c r="P168" i="4"/>
  <c r="O168" i="4"/>
  <c r="BS167" i="4"/>
  <c r="BM167" i="4"/>
  <c r="BL167" i="4"/>
  <c r="BH167" i="4"/>
  <c r="BG167" i="4"/>
  <c r="AQ167" i="4"/>
  <c r="AL167" i="4"/>
  <c r="AN167" i="4" s="1"/>
  <c r="AG167" i="4"/>
  <c r="P167" i="4"/>
  <c r="O167" i="4"/>
  <c r="BS166" i="4"/>
  <c r="BM166" i="4"/>
  <c r="BL166" i="4"/>
  <c r="BH166" i="4"/>
  <c r="BG166" i="4"/>
  <c r="AQ166" i="4"/>
  <c r="AN166" i="4"/>
  <c r="AL166" i="4"/>
  <c r="AI166" i="4"/>
  <c r="AS166" i="4" s="1"/>
  <c r="AG166" i="4"/>
  <c r="AT166" i="4" s="1"/>
  <c r="P166" i="4"/>
  <c r="O166" i="4"/>
  <c r="BS165" i="4"/>
  <c r="BM165" i="4"/>
  <c r="BL165" i="4"/>
  <c r="BH165" i="4"/>
  <c r="BG165" i="4"/>
  <c r="AS165" i="4"/>
  <c r="AR165" i="4"/>
  <c r="AQ165" i="4"/>
  <c r="AN165" i="4"/>
  <c r="AL165" i="4"/>
  <c r="AI165" i="4"/>
  <c r="AG165" i="4"/>
  <c r="P165" i="4"/>
  <c r="O165" i="4"/>
  <c r="BS164" i="4"/>
  <c r="BM164" i="4"/>
  <c r="BL164" i="4"/>
  <c r="BH164" i="4"/>
  <c r="BG164" i="4"/>
  <c r="AQ164" i="4"/>
  <c r="AN164" i="4"/>
  <c r="AL164" i="4"/>
  <c r="AG164" i="4"/>
  <c r="P164" i="4"/>
  <c r="O164" i="4"/>
  <c r="BS163" i="4"/>
  <c r="BM163" i="4"/>
  <c r="BL163" i="4"/>
  <c r="BH163" i="4"/>
  <c r="BG163" i="4"/>
  <c r="AQ163" i="4"/>
  <c r="AN163" i="4"/>
  <c r="AL163" i="4"/>
  <c r="AG163" i="4"/>
  <c r="P163" i="4"/>
  <c r="O163" i="4"/>
  <c r="BS162" i="4"/>
  <c r="BM162" i="4"/>
  <c r="BL162" i="4"/>
  <c r="BH162" i="4"/>
  <c r="BG162" i="4"/>
  <c r="AQ162" i="4"/>
  <c r="AN162" i="4"/>
  <c r="AL162" i="4"/>
  <c r="AG162" i="4"/>
  <c r="AT162" i="4" s="1"/>
  <c r="P162" i="4"/>
  <c r="O162" i="4"/>
  <c r="BS161" i="4"/>
  <c r="BM161" i="4"/>
  <c r="BL161" i="4"/>
  <c r="BH161" i="4"/>
  <c r="BG161" i="4"/>
  <c r="AQ161" i="4"/>
  <c r="AN161" i="4"/>
  <c r="AL161" i="4"/>
  <c r="AI161" i="4"/>
  <c r="AG161" i="4"/>
  <c r="P161" i="4"/>
  <c r="O161" i="4"/>
  <c r="BS160" i="4"/>
  <c r="BM160" i="4"/>
  <c r="BL160" i="4"/>
  <c r="BH160" i="4"/>
  <c r="BG160" i="4"/>
  <c r="AT160" i="4"/>
  <c r="AQ160" i="4"/>
  <c r="AN160" i="4"/>
  <c r="AL160" i="4"/>
  <c r="AG160" i="4"/>
  <c r="AI160" i="4" s="1"/>
  <c r="P160" i="4"/>
  <c r="O160" i="4"/>
  <c r="BS159" i="4"/>
  <c r="BM159" i="4"/>
  <c r="BL159" i="4"/>
  <c r="BH159" i="4"/>
  <c r="BG159" i="4"/>
  <c r="AQ159" i="4"/>
  <c r="AL159" i="4"/>
  <c r="AN159" i="4" s="1"/>
  <c r="AI159" i="4"/>
  <c r="AG159" i="4"/>
  <c r="P159" i="4"/>
  <c r="O159" i="4"/>
  <c r="BS158" i="4"/>
  <c r="BM158" i="4"/>
  <c r="BL158" i="4"/>
  <c r="BH158" i="4"/>
  <c r="BG158" i="4"/>
  <c r="AT158" i="4"/>
  <c r="AS158" i="4"/>
  <c r="AQ158" i="4"/>
  <c r="AN158" i="4"/>
  <c r="AL158" i="4"/>
  <c r="AI158" i="4"/>
  <c r="AR158" i="4" s="1"/>
  <c r="AG158" i="4"/>
  <c r="P158" i="4"/>
  <c r="O158" i="4"/>
  <c r="BS157" i="4"/>
  <c r="BM157" i="4"/>
  <c r="BL157" i="4"/>
  <c r="BH157" i="4"/>
  <c r="BG157" i="4"/>
  <c r="AQ157" i="4"/>
  <c r="AL157" i="4"/>
  <c r="AN157" i="4" s="1"/>
  <c r="AG157" i="4"/>
  <c r="AT157" i="4" s="1"/>
  <c r="P157" i="4"/>
  <c r="O157" i="4"/>
  <c r="BS156" i="4"/>
  <c r="BM156" i="4"/>
  <c r="BL156" i="4"/>
  <c r="BH156" i="4"/>
  <c r="BG156" i="4"/>
  <c r="AQ156" i="4"/>
  <c r="AN156" i="4"/>
  <c r="AL156" i="4"/>
  <c r="AG156" i="4"/>
  <c r="P156" i="4"/>
  <c r="O156" i="4"/>
  <c r="BS155" i="4"/>
  <c r="BM155" i="4"/>
  <c r="BL155" i="4"/>
  <c r="BH155" i="4"/>
  <c r="BG155" i="4"/>
  <c r="AQ155" i="4"/>
  <c r="AL155" i="4"/>
  <c r="AN155" i="4" s="1"/>
  <c r="AG155" i="4"/>
  <c r="P155" i="4"/>
  <c r="O155" i="4"/>
  <c r="BS154" i="4"/>
  <c r="BM154" i="4"/>
  <c r="BL154" i="4"/>
  <c r="BH154" i="4"/>
  <c r="BG154" i="4"/>
  <c r="AS154" i="4"/>
  <c r="AR154" i="4"/>
  <c r="AQ154" i="4"/>
  <c r="AT154" i="4" s="1"/>
  <c r="AN154" i="4"/>
  <c r="AL154" i="4"/>
  <c r="AI154" i="4"/>
  <c r="AG154" i="4"/>
  <c r="P154" i="4"/>
  <c r="O154" i="4"/>
  <c r="BS153" i="4"/>
  <c r="BM153" i="4"/>
  <c r="BL153" i="4"/>
  <c r="BH153" i="4"/>
  <c r="BG153" i="4"/>
  <c r="AQ153" i="4"/>
  <c r="AN153" i="4"/>
  <c r="AL153" i="4"/>
  <c r="AG153" i="4"/>
  <c r="AT153" i="4" s="1"/>
  <c r="P153" i="4"/>
  <c r="O153" i="4"/>
  <c r="BS152" i="4"/>
  <c r="BM152" i="4"/>
  <c r="BL152" i="4"/>
  <c r="BH152" i="4"/>
  <c r="BG152" i="4"/>
  <c r="AQ152" i="4"/>
  <c r="AN152" i="4"/>
  <c r="AL152" i="4"/>
  <c r="AG152" i="4"/>
  <c r="AI152" i="4" s="1"/>
  <c r="P152" i="4"/>
  <c r="O152" i="4"/>
  <c r="BS151" i="4"/>
  <c r="BM151" i="4"/>
  <c r="BL151" i="4"/>
  <c r="BH151" i="4"/>
  <c r="BG151" i="4"/>
  <c r="AQ151" i="4"/>
  <c r="AL151" i="4"/>
  <c r="AN151" i="4" s="1"/>
  <c r="AG151" i="4"/>
  <c r="P151" i="4"/>
  <c r="O151" i="4"/>
  <c r="BS150" i="4"/>
  <c r="BM150" i="4"/>
  <c r="BL150" i="4"/>
  <c r="BH150" i="4"/>
  <c r="BG150" i="4"/>
  <c r="AT150" i="4"/>
  <c r="AQ150" i="4"/>
  <c r="AN150" i="4"/>
  <c r="AL150" i="4"/>
  <c r="AI150" i="4"/>
  <c r="AG150" i="4"/>
  <c r="P150" i="4"/>
  <c r="O150" i="4"/>
  <c r="BS149" i="4"/>
  <c r="BM149" i="4"/>
  <c r="BL149" i="4"/>
  <c r="BH149" i="4"/>
  <c r="BG149" i="4"/>
  <c r="AQ149" i="4"/>
  <c r="AN149" i="4"/>
  <c r="AL149" i="4"/>
  <c r="AI149" i="4"/>
  <c r="AG149" i="4"/>
  <c r="AT149" i="4" s="1"/>
  <c r="P149" i="4"/>
  <c r="O149" i="4"/>
  <c r="BS148" i="4"/>
  <c r="BM148" i="4"/>
  <c r="BL148" i="4"/>
  <c r="BH148" i="4"/>
  <c r="BG148" i="4"/>
  <c r="AS148" i="4"/>
  <c r="AQ148" i="4"/>
  <c r="AN148" i="4"/>
  <c r="AL148" i="4"/>
  <c r="AI148" i="4"/>
  <c r="AR148" i="4" s="1"/>
  <c r="AG148" i="4"/>
  <c r="AT148" i="4" s="1"/>
  <c r="P148" i="4"/>
  <c r="O148" i="4"/>
  <c r="BS147" i="4"/>
  <c r="BM147" i="4"/>
  <c r="BL147" i="4"/>
  <c r="BH147" i="4"/>
  <c r="BG147" i="4"/>
  <c r="AQ147" i="4"/>
  <c r="AL147" i="4"/>
  <c r="AN147" i="4" s="1"/>
  <c r="AG147" i="4"/>
  <c r="P147" i="4"/>
  <c r="O147" i="4"/>
  <c r="BS146" i="4"/>
  <c r="BM146" i="4"/>
  <c r="BL146" i="4"/>
  <c r="BH146" i="4"/>
  <c r="BG146" i="4"/>
  <c r="AQ146" i="4"/>
  <c r="AN146" i="4"/>
  <c r="AL146" i="4"/>
  <c r="AI146" i="4"/>
  <c r="AG146" i="4"/>
  <c r="AT146" i="4" s="1"/>
  <c r="P146" i="4"/>
  <c r="O146" i="4"/>
  <c r="BS145" i="4"/>
  <c r="BM145" i="4"/>
  <c r="BL145" i="4"/>
  <c r="BH145" i="4"/>
  <c r="BG145" i="4"/>
  <c r="AS145" i="4"/>
  <c r="AR145" i="4"/>
  <c r="AQ145" i="4"/>
  <c r="AN145" i="4"/>
  <c r="AL145" i="4"/>
  <c r="AI145" i="4"/>
  <c r="AG145" i="4"/>
  <c r="P145" i="4"/>
  <c r="O145" i="4"/>
  <c r="BS144" i="4"/>
  <c r="BM144" i="4"/>
  <c r="BL144" i="4"/>
  <c r="BH144" i="4"/>
  <c r="BG144" i="4"/>
  <c r="AQ144" i="4"/>
  <c r="AN144" i="4"/>
  <c r="AL144" i="4"/>
  <c r="AG144" i="4"/>
  <c r="P144" i="4"/>
  <c r="O144" i="4"/>
  <c r="BS143" i="4"/>
  <c r="BM143" i="4"/>
  <c r="BL143" i="4"/>
  <c r="BH143" i="4"/>
  <c r="BG143" i="4"/>
  <c r="AQ143" i="4"/>
  <c r="AN143" i="4"/>
  <c r="AL143" i="4"/>
  <c r="AG143" i="4"/>
  <c r="P143" i="4"/>
  <c r="O143" i="4"/>
  <c r="BS142" i="4"/>
  <c r="BM142" i="4"/>
  <c r="BL142" i="4"/>
  <c r="BH142" i="4"/>
  <c r="BG142" i="4"/>
  <c r="AQ142" i="4"/>
  <c r="AN142" i="4"/>
  <c r="AL142" i="4"/>
  <c r="AG142" i="4"/>
  <c r="AT142" i="4" s="1"/>
  <c r="P142" i="4"/>
  <c r="O142" i="4"/>
  <c r="BS141" i="4"/>
  <c r="BM141" i="4"/>
  <c r="BL141" i="4"/>
  <c r="BH141" i="4"/>
  <c r="BG141" i="4"/>
  <c r="AQ141" i="4"/>
  <c r="AL141" i="4"/>
  <c r="AN141" i="4" s="1"/>
  <c r="AI141" i="4"/>
  <c r="AG141" i="4"/>
  <c r="P141" i="4"/>
  <c r="O141" i="4"/>
  <c r="BS140" i="4"/>
  <c r="BM140" i="4"/>
  <c r="BL140" i="4"/>
  <c r="BH140" i="4"/>
  <c r="BG140" i="4"/>
  <c r="AT140" i="4"/>
  <c r="AQ140" i="4"/>
  <c r="AN140" i="4"/>
  <c r="AL140" i="4"/>
  <c r="AG140" i="4"/>
  <c r="AI140" i="4" s="1"/>
  <c r="P140" i="4"/>
  <c r="O140" i="4"/>
  <c r="BS139" i="4"/>
  <c r="BM139" i="4"/>
  <c r="BL139" i="4"/>
  <c r="BH139" i="4"/>
  <c r="BG139" i="4"/>
  <c r="AS139" i="4"/>
  <c r="AQ139" i="4"/>
  <c r="AL139" i="4"/>
  <c r="AN139" i="4" s="1"/>
  <c r="AI139" i="4"/>
  <c r="AG139" i="4"/>
  <c r="P139" i="4"/>
  <c r="O139" i="4"/>
  <c r="BS138" i="4"/>
  <c r="BM138" i="4"/>
  <c r="BL138" i="4"/>
  <c r="BH138" i="4"/>
  <c r="BG138" i="4"/>
  <c r="AT138" i="4"/>
  <c r="AQ138" i="4"/>
  <c r="AN138" i="4"/>
  <c r="AL138" i="4"/>
  <c r="AI138" i="4"/>
  <c r="AR138" i="4" s="1"/>
  <c r="AG138" i="4"/>
  <c r="P138" i="4"/>
  <c r="O138" i="4"/>
  <c r="BS137" i="4"/>
  <c r="BM137" i="4"/>
  <c r="BL137" i="4"/>
  <c r="BH137" i="4"/>
  <c r="BG137" i="4"/>
  <c r="AQ137" i="4"/>
  <c r="AL137" i="4"/>
  <c r="AN137" i="4" s="1"/>
  <c r="AS137" i="4" s="1"/>
  <c r="AI137" i="4"/>
  <c r="AG137" i="4"/>
  <c r="AT137" i="4" s="1"/>
  <c r="P137" i="4"/>
  <c r="O137" i="4"/>
  <c r="BS136" i="4"/>
  <c r="BM136" i="4"/>
  <c r="BL136" i="4"/>
  <c r="BH136" i="4"/>
  <c r="BG136" i="4"/>
  <c r="AT136" i="4"/>
  <c r="AS136" i="4"/>
  <c r="AQ136" i="4"/>
  <c r="AN136" i="4"/>
  <c r="AL136" i="4"/>
  <c r="AI136" i="4"/>
  <c r="AR136" i="4" s="1"/>
  <c r="AG136" i="4"/>
  <c r="P136" i="4"/>
  <c r="O136" i="4"/>
  <c r="BS135" i="4"/>
  <c r="BM135" i="4"/>
  <c r="BL135" i="4"/>
  <c r="BH135" i="4"/>
  <c r="BG135" i="4"/>
  <c r="AS135" i="4"/>
  <c r="AQ135" i="4"/>
  <c r="AL135" i="4"/>
  <c r="AN135" i="4" s="1"/>
  <c r="AI135" i="4"/>
  <c r="AR135" i="4" s="1"/>
  <c r="AG135" i="4"/>
  <c r="AT135" i="4" s="1"/>
  <c r="P135" i="4"/>
  <c r="O135" i="4"/>
  <c r="BS134" i="4"/>
  <c r="BM134" i="4"/>
  <c r="BL134" i="4"/>
  <c r="BH134" i="4"/>
  <c r="BG134" i="4"/>
  <c r="AT134" i="4"/>
  <c r="AS134" i="4"/>
  <c r="AQ134" i="4"/>
  <c r="AN134" i="4"/>
  <c r="AL134" i="4"/>
  <c r="AI134" i="4"/>
  <c r="AR134" i="4" s="1"/>
  <c r="AG134" i="4"/>
  <c r="P134" i="4"/>
  <c r="O134" i="4"/>
  <c r="BS133" i="4"/>
  <c r="BM133" i="4"/>
  <c r="BL133" i="4"/>
  <c r="BH133" i="4"/>
  <c r="BG133" i="4"/>
  <c r="AQ133" i="4"/>
  <c r="AL133" i="4"/>
  <c r="AN133" i="4" s="1"/>
  <c r="AI133" i="4"/>
  <c r="AG133" i="4"/>
  <c r="AT133" i="4" s="1"/>
  <c r="P133" i="4"/>
  <c r="O133" i="4"/>
  <c r="BS132" i="4"/>
  <c r="BM132" i="4"/>
  <c r="BL132" i="4"/>
  <c r="BH132" i="4"/>
  <c r="BG132" i="4"/>
  <c r="AT132" i="4"/>
  <c r="AS132" i="4"/>
  <c r="AQ132" i="4"/>
  <c r="AN132" i="4"/>
  <c r="AL132" i="4"/>
  <c r="AI132" i="4"/>
  <c r="AR132" i="4" s="1"/>
  <c r="AG132" i="4"/>
  <c r="P132" i="4"/>
  <c r="O132" i="4"/>
  <c r="BS131" i="4"/>
  <c r="BM131" i="4"/>
  <c r="BL131" i="4"/>
  <c r="BH131" i="4"/>
  <c r="BG131" i="4"/>
  <c r="AQ131" i="4"/>
  <c r="AL131" i="4"/>
  <c r="AN131" i="4" s="1"/>
  <c r="AI131" i="4"/>
  <c r="AR131" i="4" s="1"/>
  <c r="AG131" i="4"/>
  <c r="AT131" i="4" s="1"/>
  <c r="P131" i="4"/>
  <c r="O131" i="4"/>
  <c r="BS130" i="4"/>
  <c r="BM130" i="4"/>
  <c r="BL130" i="4"/>
  <c r="BH130" i="4"/>
  <c r="BG130" i="4"/>
  <c r="AT130" i="4"/>
  <c r="AQ130" i="4"/>
  <c r="AN130" i="4"/>
  <c r="AL130" i="4"/>
  <c r="AI130" i="4"/>
  <c r="AG130" i="4"/>
  <c r="P130" i="4"/>
  <c r="O130" i="4"/>
  <c r="BS129" i="4"/>
  <c r="BM129" i="4"/>
  <c r="BL129" i="4"/>
  <c r="BH129" i="4"/>
  <c r="BG129" i="4"/>
  <c r="AQ129" i="4"/>
  <c r="AL129" i="4"/>
  <c r="AN129" i="4" s="1"/>
  <c r="AS129" i="4" s="1"/>
  <c r="AI129" i="4"/>
  <c r="AG129" i="4"/>
  <c r="P129" i="4"/>
  <c r="O129" i="4"/>
  <c r="BS128" i="4"/>
  <c r="BM128" i="4"/>
  <c r="BL128" i="4"/>
  <c r="BH128" i="4"/>
  <c r="BG128" i="4"/>
  <c r="AT128" i="4"/>
  <c r="AQ128" i="4"/>
  <c r="AN128" i="4"/>
  <c r="AL128" i="4"/>
  <c r="AI128" i="4"/>
  <c r="AR128" i="4" s="1"/>
  <c r="AG128" i="4"/>
  <c r="P128" i="4"/>
  <c r="O128" i="4"/>
  <c r="BS127" i="4"/>
  <c r="BM127" i="4"/>
  <c r="BL127" i="4"/>
  <c r="BH127" i="4"/>
  <c r="BG127" i="4"/>
  <c r="AQ127" i="4"/>
  <c r="AL127" i="4"/>
  <c r="AN127" i="4" s="1"/>
  <c r="AS127" i="4" s="1"/>
  <c r="AI127" i="4"/>
  <c r="AG127" i="4"/>
  <c r="AT127" i="4" s="1"/>
  <c r="P127" i="4"/>
  <c r="O127" i="4"/>
  <c r="BS126" i="4"/>
  <c r="BM126" i="4"/>
  <c r="BL126" i="4"/>
  <c r="BH126" i="4"/>
  <c r="BG126" i="4"/>
  <c r="AT126" i="4"/>
  <c r="AS126" i="4"/>
  <c r="AQ126" i="4"/>
  <c r="AN126" i="4"/>
  <c r="AL126" i="4"/>
  <c r="AI126" i="4"/>
  <c r="AR126" i="4" s="1"/>
  <c r="AG126" i="4"/>
  <c r="P126" i="4"/>
  <c r="O126" i="4"/>
  <c r="BS125" i="4"/>
  <c r="BM125" i="4"/>
  <c r="BL125" i="4"/>
  <c r="BH125" i="4"/>
  <c r="BG125" i="4"/>
  <c r="AS125" i="4"/>
  <c r="AQ125" i="4"/>
  <c r="AL125" i="4"/>
  <c r="AN125" i="4" s="1"/>
  <c r="AI125" i="4"/>
  <c r="AR125" i="4" s="1"/>
  <c r="AG125" i="4"/>
  <c r="AT125" i="4" s="1"/>
  <c r="P125" i="4"/>
  <c r="O125" i="4"/>
  <c r="BS124" i="4"/>
  <c r="BM124" i="4"/>
  <c r="BL124" i="4"/>
  <c r="BH124" i="4"/>
  <c r="BG124" i="4"/>
  <c r="AT124" i="4"/>
  <c r="AS124" i="4"/>
  <c r="AQ124" i="4"/>
  <c r="AN124" i="4"/>
  <c r="AL124" i="4"/>
  <c r="AI124" i="4"/>
  <c r="AR124" i="4" s="1"/>
  <c r="AG124" i="4"/>
  <c r="P124" i="4"/>
  <c r="O124" i="4"/>
  <c r="BS123" i="4"/>
  <c r="BM123" i="4"/>
  <c r="BL123" i="4"/>
  <c r="BH123" i="4"/>
  <c r="BG123" i="4"/>
  <c r="AQ123" i="4"/>
  <c r="AL123" i="4"/>
  <c r="AN123" i="4" s="1"/>
  <c r="AI123" i="4"/>
  <c r="AG123" i="4"/>
  <c r="AT123" i="4" s="1"/>
  <c r="P123" i="4"/>
  <c r="O123" i="4"/>
  <c r="BS122" i="4"/>
  <c r="BM122" i="4"/>
  <c r="BL122" i="4"/>
  <c r="BH122" i="4"/>
  <c r="BG122" i="4"/>
  <c r="AT122" i="4"/>
  <c r="AS122" i="4"/>
  <c r="AQ122" i="4"/>
  <c r="AN122" i="4"/>
  <c r="AL122" i="4"/>
  <c r="AI122" i="4"/>
  <c r="AR122" i="4" s="1"/>
  <c r="AG122" i="4"/>
  <c r="P122" i="4"/>
  <c r="O122" i="4"/>
  <c r="BS121" i="4"/>
  <c r="BM121" i="4"/>
  <c r="BL121" i="4"/>
  <c r="BH121" i="4"/>
  <c r="BG121" i="4"/>
  <c r="AQ121" i="4"/>
  <c r="AL121" i="4"/>
  <c r="AN121" i="4" s="1"/>
  <c r="AI121" i="4"/>
  <c r="AR121" i="4" s="1"/>
  <c r="AG121" i="4"/>
  <c r="AT121" i="4" s="1"/>
  <c r="P121" i="4"/>
  <c r="O121" i="4"/>
  <c r="BS120" i="4"/>
  <c r="BM120" i="4"/>
  <c r="BL120" i="4"/>
  <c r="BH120" i="4"/>
  <c r="BG120" i="4"/>
  <c r="AT120" i="4"/>
  <c r="AQ120" i="4"/>
  <c r="AN120" i="4"/>
  <c r="AL120" i="4"/>
  <c r="AI120" i="4"/>
  <c r="AG120" i="4"/>
  <c r="P120" i="4"/>
  <c r="O120" i="4"/>
  <c r="BS119" i="4"/>
  <c r="BM119" i="4"/>
  <c r="BL119" i="4"/>
  <c r="BH119" i="4"/>
  <c r="BG119" i="4"/>
  <c r="AS119" i="4"/>
  <c r="AQ119" i="4"/>
  <c r="AL119" i="4"/>
  <c r="AN119" i="4" s="1"/>
  <c r="AI119" i="4"/>
  <c r="AG119" i="4"/>
  <c r="P119" i="4"/>
  <c r="O119" i="4"/>
  <c r="BS118" i="4"/>
  <c r="BM118" i="4"/>
  <c r="BL118" i="4"/>
  <c r="BH118" i="4"/>
  <c r="BG118" i="4"/>
  <c r="AT118" i="4"/>
  <c r="AQ118" i="4"/>
  <c r="AN118" i="4"/>
  <c r="AL118" i="4"/>
  <c r="AI118" i="4"/>
  <c r="AR118" i="4" s="1"/>
  <c r="AG118" i="4"/>
  <c r="P118" i="4"/>
  <c r="O118" i="4"/>
  <c r="BS117" i="4"/>
  <c r="BM117" i="4"/>
  <c r="BL117" i="4"/>
  <c r="BH117" i="4"/>
  <c r="BG117" i="4"/>
  <c r="AQ117" i="4"/>
  <c r="AL117" i="4"/>
  <c r="AN117" i="4" s="1"/>
  <c r="AS117" i="4" s="1"/>
  <c r="AI117" i="4"/>
  <c r="AG117" i="4"/>
  <c r="AT117" i="4" s="1"/>
  <c r="P117" i="4"/>
  <c r="O117" i="4"/>
  <c r="BS116" i="4"/>
  <c r="BM116" i="4"/>
  <c r="BL116" i="4"/>
  <c r="BH116" i="4"/>
  <c r="BG116" i="4"/>
  <c r="AT116" i="4"/>
  <c r="AS116" i="4"/>
  <c r="AQ116" i="4"/>
  <c r="AN116" i="4"/>
  <c r="AL116" i="4"/>
  <c r="AI116" i="4"/>
  <c r="AR116" i="4" s="1"/>
  <c r="AG116" i="4"/>
  <c r="P116" i="4"/>
  <c r="O116" i="4"/>
  <c r="BS115" i="4"/>
  <c r="BM115" i="4"/>
  <c r="BL115" i="4"/>
  <c r="BH115" i="4"/>
  <c r="BG115" i="4"/>
  <c r="AS115" i="4"/>
  <c r="AQ115" i="4"/>
  <c r="AL115" i="4"/>
  <c r="AN115" i="4" s="1"/>
  <c r="AI115" i="4"/>
  <c r="AR115" i="4" s="1"/>
  <c r="AG115" i="4"/>
  <c r="AT115" i="4" s="1"/>
  <c r="P115" i="4"/>
  <c r="O115" i="4"/>
  <c r="BS114" i="4"/>
  <c r="BM114" i="4"/>
  <c r="BL114" i="4"/>
  <c r="BH114" i="4"/>
  <c r="BG114" i="4"/>
  <c r="AT114" i="4"/>
  <c r="AS114" i="4"/>
  <c r="AQ114" i="4"/>
  <c r="AN114" i="4"/>
  <c r="AL114" i="4"/>
  <c r="AI114" i="4"/>
  <c r="AR114" i="4" s="1"/>
  <c r="AG114" i="4"/>
  <c r="P114" i="4"/>
  <c r="O114" i="4"/>
  <c r="BS113" i="4"/>
  <c r="BM113" i="4"/>
  <c r="BL113" i="4"/>
  <c r="BH113" i="4"/>
  <c r="BG113" i="4"/>
  <c r="AQ113" i="4"/>
  <c r="AL113" i="4"/>
  <c r="AN113" i="4" s="1"/>
  <c r="AI113" i="4"/>
  <c r="AG113" i="4"/>
  <c r="AT113" i="4" s="1"/>
  <c r="P113" i="4"/>
  <c r="O113" i="4"/>
  <c r="BS112" i="4"/>
  <c r="BM112" i="4"/>
  <c r="BL112" i="4"/>
  <c r="BH112" i="4"/>
  <c r="BG112" i="4"/>
  <c r="AT112" i="4"/>
  <c r="AS112" i="4"/>
  <c r="AQ112" i="4"/>
  <c r="AN112" i="4"/>
  <c r="AL112" i="4"/>
  <c r="AI112" i="4"/>
  <c r="AR112" i="4" s="1"/>
  <c r="AG112" i="4"/>
  <c r="P112" i="4"/>
  <c r="O112" i="4"/>
  <c r="BS111" i="4"/>
  <c r="BM111" i="4"/>
  <c r="BL111" i="4"/>
  <c r="BH111" i="4"/>
  <c r="BG111" i="4"/>
  <c r="AQ111" i="4"/>
  <c r="AL111" i="4"/>
  <c r="AN111" i="4" s="1"/>
  <c r="AI111" i="4"/>
  <c r="AR111" i="4" s="1"/>
  <c r="AG111" i="4"/>
  <c r="AT111" i="4" s="1"/>
  <c r="P111" i="4"/>
  <c r="O111" i="4"/>
  <c r="BS110" i="4"/>
  <c r="BM110" i="4"/>
  <c r="BL110" i="4"/>
  <c r="BH110" i="4"/>
  <c r="BG110" i="4"/>
  <c r="AT110" i="4"/>
  <c r="AQ110" i="4"/>
  <c r="AN110" i="4"/>
  <c r="AL110" i="4"/>
  <c r="AI110" i="4"/>
  <c r="AG110" i="4"/>
  <c r="P110" i="4"/>
  <c r="O110" i="4"/>
  <c r="BS109" i="4"/>
  <c r="BM109" i="4"/>
  <c r="BL109" i="4"/>
  <c r="BH109" i="4"/>
  <c r="BG109" i="4"/>
  <c r="AQ109" i="4"/>
  <c r="AL109" i="4"/>
  <c r="AN109" i="4" s="1"/>
  <c r="AS109" i="4" s="1"/>
  <c r="AI109" i="4"/>
  <c r="AG109" i="4"/>
  <c r="P109" i="4"/>
  <c r="O109" i="4"/>
  <c r="BS108" i="4"/>
  <c r="BM108" i="4"/>
  <c r="BL108" i="4"/>
  <c r="BH108" i="4"/>
  <c r="BG108" i="4"/>
  <c r="AT108" i="4"/>
  <c r="AQ108" i="4"/>
  <c r="AN108" i="4"/>
  <c r="AL108" i="4"/>
  <c r="AI108" i="4"/>
  <c r="AR108" i="4" s="1"/>
  <c r="AG108" i="4"/>
  <c r="P108" i="4"/>
  <c r="O108" i="4"/>
  <c r="BS107" i="4"/>
  <c r="BM107" i="4"/>
  <c r="BL107" i="4"/>
  <c r="BH107" i="4"/>
  <c r="BG107" i="4"/>
  <c r="AQ107" i="4"/>
  <c r="AL107" i="4"/>
  <c r="AN107" i="4" s="1"/>
  <c r="AS107" i="4" s="1"/>
  <c r="AI107" i="4"/>
  <c r="AG107" i="4"/>
  <c r="AT107" i="4" s="1"/>
  <c r="P107" i="4"/>
  <c r="O107" i="4"/>
  <c r="BS106" i="4"/>
  <c r="BM106" i="4"/>
  <c r="BL106" i="4"/>
  <c r="BH106" i="4"/>
  <c r="BG106" i="4"/>
  <c r="AT106" i="4"/>
  <c r="AS106" i="4"/>
  <c r="AQ106" i="4"/>
  <c r="AN106" i="4"/>
  <c r="AL106" i="4"/>
  <c r="AI106" i="4"/>
  <c r="AR106" i="4" s="1"/>
  <c r="AG106" i="4"/>
  <c r="P106" i="4"/>
  <c r="O106" i="4"/>
  <c r="BS105" i="4"/>
  <c r="BM105" i="4"/>
  <c r="BL105" i="4"/>
  <c r="BH105" i="4"/>
  <c r="BG105" i="4"/>
  <c r="AS105" i="4"/>
  <c r="AQ105" i="4"/>
  <c r="AL105" i="4"/>
  <c r="AN105" i="4" s="1"/>
  <c r="AI105" i="4"/>
  <c r="AR105" i="4" s="1"/>
  <c r="AG105" i="4"/>
  <c r="AT105" i="4" s="1"/>
  <c r="P105" i="4"/>
  <c r="O105" i="4"/>
  <c r="BS104" i="4"/>
  <c r="BM104" i="4"/>
  <c r="BL104" i="4"/>
  <c r="BH104" i="4"/>
  <c r="BG104" i="4"/>
  <c r="AT104" i="4"/>
  <c r="AS104" i="4"/>
  <c r="AQ104" i="4"/>
  <c r="AN104" i="4"/>
  <c r="AL104" i="4"/>
  <c r="AI104" i="4"/>
  <c r="AR104" i="4" s="1"/>
  <c r="AG104" i="4"/>
  <c r="P104" i="4"/>
  <c r="O104" i="4"/>
  <c r="BS103" i="4"/>
  <c r="BM103" i="4"/>
  <c r="BL103" i="4"/>
  <c r="BH103" i="4"/>
  <c r="BG103" i="4"/>
  <c r="AQ103" i="4"/>
  <c r="AL103" i="4"/>
  <c r="AN103" i="4" s="1"/>
  <c r="AI103" i="4"/>
  <c r="AG103" i="4"/>
  <c r="AT103" i="4" s="1"/>
  <c r="P103" i="4"/>
  <c r="O103" i="4"/>
  <c r="BS102" i="4"/>
  <c r="BM102" i="4"/>
  <c r="BL102" i="4"/>
  <c r="BH102" i="4"/>
  <c r="BG102" i="4"/>
  <c r="AT102" i="4"/>
  <c r="AS102" i="4"/>
  <c r="AQ102" i="4"/>
  <c r="AN102" i="4"/>
  <c r="AL102" i="4"/>
  <c r="AI102" i="4"/>
  <c r="AR102" i="4" s="1"/>
  <c r="AG102" i="4"/>
  <c r="P102" i="4"/>
  <c r="O102" i="4"/>
  <c r="BS101" i="4"/>
  <c r="BM101" i="4"/>
  <c r="BL101" i="4"/>
  <c r="BH101" i="4"/>
  <c r="BG101" i="4"/>
  <c r="AQ101" i="4"/>
  <c r="AL101" i="4"/>
  <c r="AN101" i="4" s="1"/>
  <c r="AI101" i="4"/>
  <c r="AR101" i="4" s="1"/>
  <c r="AG101" i="4"/>
  <c r="AT101" i="4" s="1"/>
  <c r="P101" i="4"/>
  <c r="O101" i="4"/>
  <c r="BS100" i="4"/>
  <c r="BM100" i="4"/>
  <c r="BL100" i="4"/>
  <c r="BH100" i="4"/>
  <c r="BG100" i="4"/>
  <c r="AT100" i="4"/>
  <c r="AQ100" i="4"/>
  <c r="AN100" i="4"/>
  <c r="AL100" i="4"/>
  <c r="AI100" i="4"/>
  <c r="AG100" i="4"/>
  <c r="P100" i="4"/>
  <c r="O100" i="4"/>
  <c r="BS99" i="4"/>
  <c r="BM99" i="4"/>
  <c r="BL99" i="4"/>
  <c r="BH99" i="4"/>
  <c r="BG99" i="4"/>
  <c r="AS99" i="4"/>
  <c r="AQ99" i="4"/>
  <c r="AL99" i="4"/>
  <c r="AN99" i="4" s="1"/>
  <c r="AI99" i="4"/>
  <c r="AG99" i="4"/>
  <c r="P99" i="4"/>
  <c r="O99" i="4"/>
  <c r="BS98" i="4"/>
  <c r="BM98" i="4"/>
  <c r="BL98" i="4"/>
  <c r="BH98" i="4"/>
  <c r="BG98" i="4"/>
  <c r="AT98" i="4"/>
  <c r="AQ98" i="4"/>
  <c r="AN98" i="4"/>
  <c r="AL98" i="4"/>
  <c r="AI98" i="4"/>
  <c r="AR98" i="4" s="1"/>
  <c r="AG98" i="4"/>
  <c r="P98" i="4"/>
  <c r="O98" i="4"/>
  <c r="BS97" i="4"/>
  <c r="BM97" i="4"/>
  <c r="BL97" i="4"/>
  <c r="BH97" i="4"/>
  <c r="BG97" i="4"/>
  <c r="AQ97" i="4"/>
  <c r="AL97" i="4"/>
  <c r="AN97" i="4" s="1"/>
  <c r="AS97" i="4" s="1"/>
  <c r="AI97" i="4"/>
  <c r="AG97" i="4"/>
  <c r="AT97" i="4" s="1"/>
  <c r="P97" i="4"/>
  <c r="O97" i="4"/>
  <c r="BS96" i="4"/>
  <c r="BM96" i="4"/>
  <c r="BL96" i="4"/>
  <c r="BH96" i="4"/>
  <c r="BG96" i="4"/>
  <c r="AT96" i="4"/>
  <c r="AS96" i="4"/>
  <c r="AQ96" i="4"/>
  <c r="AN96" i="4"/>
  <c r="AL96" i="4"/>
  <c r="AI96" i="4"/>
  <c r="AR96" i="4" s="1"/>
  <c r="AG96" i="4"/>
  <c r="P96" i="4"/>
  <c r="O96" i="4"/>
  <c r="BS95" i="4"/>
  <c r="BM95" i="4"/>
  <c r="BL95" i="4"/>
  <c r="BH95" i="4"/>
  <c r="BG95" i="4"/>
  <c r="AS95" i="4"/>
  <c r="AQ95" i="4"/>
  <c r="AL95" i="4"/>
  <c r="AN95" i="4" s="1"/>
  <c r="AI95" i="4"/>
  <c r="AR95" i="4" s="1"/>
  <c r="AG95" i="4"/>
  <c r="AT95" i="4" s="1"/>
  <c r="P95" i="4"/>
  <c r="O95" i="4"/>
  <c r="BS94" i="4"/>
  <c r="BM94" i="4"/>
  <c r="BL94" i="4"/>
  <c r="BH94" i="4"/>
  <c r="BG94" i="4"/>
  <c r="AT94" i="4"/>
  <c r="AS94" i="4"/>
  <c r="AQ94" i="4"/>
  <c r="AN94" i="4"/>
  <c r="AL94" i="4"/>
  <c r="AI94" i="4"/>
  <c r="AR94" i="4" s="1"/>
  <c r="AG94" i="4"/>
  <c r="P94" i="4"/>
  <c r="O94" i="4"/>
  <c r="BS93" i="4"/>
  <c r="BM93" i="4"/>
  <c r="BL93" i="4"/>
  <c r="BH93" i="4"/>
  <c r="BG93" i="4"/>
  <c r="AQ93" i="4"/>
  <c r="AL93" i="4"/>
  <c r="AN93" i="4" s="1"/>
  <c r="AI93" i="4"/>
  <c r="AG93" i="4"/>
  <c r="AT93" i="4" s="1"/>
  <c r="P93" i="4"/>
  <c r="O93" i="4"/>
  <c r="BS92" i="4"/>
  <c r="BM92" i="4"/>
  <c r="BL92" i="4"/>
  <c r="BH92" i="4"/>
  <c r="BG92" i="4"/>
  <c r="AT92" i="4"/>
  <c r="AS92" i="4"/>
  <c r="AQ92" i="4"/>
  <c r="AN92" i="4"/>
  <c r="AL92" i="4"/>
  <c r="AI92" i="4"/>
  <c r="AR92" i="4" s="1"/>
  <c r="AG92" i="4"/>
  <c r="P92" i="4"/>
  <c r="O92" i="4"/>
  <c r="BS91" i="4"/>
  <c r="BM91" i="4"/>
  <c r="BL91" i="4"/>
  <c r="BH91" i="4"/>
  <c r="BG91" i="4"/>
  <c r="AQ91" i="4"/>
  <c r="AL91" i="4"/>
  <c r="AN91" i="4" s="1"/>
  <c r="AI91" i="4"/>
  <c r="AR91" i="4" s="1"/>
  <c r="AG91" i="4"/>
  <c r="AT91" i="4" s="1"/>
  <c r="P91" i="4"/>
  <c r="O91" i="4"/>
  <c r="BS90" i="4"/>
  <c r="BM90" i="4"/>
  <c r="BL90" i="4"/>
  <c r="BH90" i="4"/>
  <c r="BG90" i="4"/>
  <c r="AT90" i="4"/>
  <c r="AQ90" i="4"/>
  <c r="AN90" i="4"/>
  <c r="AL90" i="4"/>
  <c r="AI90" i="4"/>
  <c r="AG90" i="4"/>
  <c r="P90" i="4"/>
  <c r="O90" i="4"/>
  <c r="BS89" i="4"/>
  <c r="BM89" i="4"/>
  <c r="BL89" i="4"/>
  <c r="BH89" i="4"/>
  <c r="BG89" i="4"/>
  <c r="AQ89" i="4"/>
  <c r="AL89" i="4"/>
  <c r="AN89" i="4" s="1"/>
  <c r="AS89" i="4" s="1"/>
  <c r="AI89" i="4"/>
  <c r="AG89" i="4"/>
  <c r="P89" i="4"/>
  <c r="O89" i="4"/>
  <c r="BS88" i="4"/>
  <c r="BM88" i="4"/>
  <c r="BL88" i="4"/>
  <c r="BH88" i="4"/>
  <c r="BG88" i="4"/>
  <c r="AT88" i="4"/>
  <c r="AQ88" i="4"/>
  <c r="AN88" i="4"/>
  <c r="AL88" i="4"/>
  <c r="AI88" i="4"/>
  <c r="AR88" i="4" s="1"/>
  <c r="AG88" i="4"/>
  <c r="P88" i="4"/>
  <c r="O88" i="4"/>
  <c r="BS87" i="4"/>
  <c r="BM87" i="4"/>
  <c r="BL87" i="4"/>
  <c r="BH87" i="4"/>
  <c r="BG87" i="4"/>
  <c r="AQ87" i="4"/>
  <c r="AL87" i="4"/>
  <c r="AN87" i="4" s="1"/>
  <c r="AS87" i="4" s="1"/>
  <c r="AI87" i="4"/>
  <c r="AG87" i="4"/>
  <c r="AT87" i="4" s="1"/>
  <c r="P87" i="4"/>
  <c r="O87" i="4"/>
  <c r="BS86" i="4"/>
  <c r="BM86" i="4"/>
  <c r="BL86" i="4"/>
  <c r="BH86" i="4"/>
  <c r="BG86" i="4"/>
  <c r="AT86" i="4"/>
  <c r="AS86" i="4"/>
  <c r="AQ86" i="4"/>
  <c r="AN86" i="4"/>
  <c r="AL86" i="4"/>
  <c r="AI86" i="4"/>
  <c r="AR86" i="4" s="1"/>
  <c r="AG86" i="4"/>
  <c r="P86" i="4"/>
  <c r="O86" i="4"/>
  <c r="BS85" i="4"/>
  <c r="BM85" i="4"/>
  <c r="BL85" i="4"/>
  <c r="BH85" i="4"/>
  <c r="BG85" i="4"/>
  <c r="AS85" i="4"/>
  <c r="AQ85" i="4"/>
  <c r="AL85" i="4"/>
  <c r="AN85" i="4" s="1"/>
  <c r="AI85" i="4"/>
  <c r="AR85" i="4" s="1"/>
  <c r="AG85" i="4"/>
  <c r="AT85" i="4" s="1"/>
  <c r="P85" i="4"/>
  <c r="O85" i="4"/>
  <c r="BS84" i="4"/>
  <c r="BM84" i="4"/>
  <c r="BL84" i="4"/>
  <c r="BH84" i="4"/>
  <c r="BG84" i="4"/>
  <c r="AT84" i="4"/>
  <c r="AS84" i="4"/>
  <c r="AQ84" i="4"/>
  <c r="AN84" i="4"/>
  <c r="AL84" i="4"/>
  <c r="AI84" i="4"/>
  <c r="AR84" i="4" s="1"/>
  <c r="AG84" i="4"/>
  <c r="P84" i="4"/>
  <c r="O84" i="4"/>
  <c r="BS83" i="4"/>
  <c r="BM83" i="4"/>
  <c r="BL83" i="4"/>
  <c r="BH83" i="4"/>
  <c r="BG83" i="4"/>
  <c r="AQ83" i="4"/>
  <c r="AL83" i="4"/>
  <c r="AN83" i="4" s="1"/>
  <c r="AI83" i="4"/>
  <c r="AG83" i="4"/>
  <c r="AT83" i="4" s="1"/>
  <c r="P83" i="4"/>
  <c r="O83" i="4"/>
  <c r="BS82" i="4"/>
  <c r="BM82" i="4"/>
  <c r="BL82" i="4"/>
  <c r="BH82" i="4"/>
  <c r="BG82" i="4"/>
  <c r="AT82" i="4"/>
  <c r="AS82" i="4"/>
  <c r="AQ82" i="4"/>
  <c r="AN82" i="4"/>
  <c r="AL82" i="4"/>
  <c r="AI82" i="4"/>
  <c r="AR82" i="4" s="1"/>
  <c r="AG82" i="4"/>
  <c r="P82" i="4"/>
  <c r="O82" i="4"/>
  <c r="BS81" i="4"/>
  <c r="BM81" i="4"/>
  <c r="BL81" i="4"/>
  <c r="BH81" i="4"/>
  <c r="BG81" i="4"/>
  <c r="AQ81" i="4"/>
  <c r="AL81" i="4"/>
  <c r="AN81" i="4" s="1"/>
  <c r="AI81" i="4"/>
  <c r="AR81" i="4" s="1"/>
  <c r="AG81" i="4"/>
  <c r="AT81" i="4" s="1"/>
  <c r="P81" i="4"/>
  <c r="O81" i="4"/>
  <c r="BS80" i="4"/>
  <c r="BM80" i="4"/>
  <c r="BL80" i="4"/>
  <c r="BH80" i="4"/>
  <c r="BG80" i="4"/>
  <c r="AT80" i="4"/>
  <c r="AQ80" i="4"/>
  <c r="AN80" i="4"/>
  <c r="AL80" i="4"/>
  <c r="AI80" i="4"/>
  <c r="AG80" i="4"/>
  <c r="P80" i="4"/>
  <c r="O80" i="4"/>
  <c r="BS79" i="4"/>
  <c r="BM79" i="4"/>
  <c r="BL79" i="4"/>
  <c r="BH79" i="4"/>
  <c r="BG79" i="4"/>
  <c r="AS79" i="4"/>
  <c r="AQ79" i="4"/>
  <c r="AL79" i="4"/>
  <c r="AN79" i="4" s="1"/>
  <c r="AI79" i="4"/>
  <c r="AG79" i="4"/>
  <c r="P79" i="4"/>
  <c r="O79" i="4"/>
  <c r="BS78" i="4"/>
  <c r="BM78" i="4"/>
  <c r="BL78" i="4"/>
  <c r="BH78" i="4"/>
  <c r="BG78" i="4"/>
  <c r="AT78" i="4"/>
  <c r="AQ78" i="4"/>
  <c r="AN78" i="4"/>
  <c r="AL78" i="4"/>
  <c r="AI78" i="4"/>
  <c r="AR78" i="4" s="1"/>
  <c r="AG78" i="4"/>
  <c r="P78" i="4"/>
  <c r="O78" i="4"/>
  <c r="BS77" i="4"/>
  <c r="BM77" i="4"/>
  <c r="BL77" i="4"/>
  <c r="BH77" i="4"/>
  <c r="BG77" i="4"/>
  <c r="AQ77" i="4"/>
  <c r="AL77" i="4"/>
  <c r="AN77" i="4" s="1"/>
  <c r="AS77" i="4" s="1"/>
  <c r="AI77" i="4"/>
  <c r="AG77" i="4"/>
  <c r="AT77" i="4" s="1"/>
  <c r="P77" i="4"/>
  <c r="O77" i="4"/>
  <c r="BS76" i="4"/>
  <c r="BM76" i="4"/>
  <c r="BL76" i="4"/>
  <c r="BH76" i="4"/>
  <c r="BG76" i="4"/>
  <c r="AT76" i="4"/>
  <c r="AS76" i="4"/>
  <c r="AQ76" i="4"/>
  <c r="AN76" i="4"/>
  <c r="AL76" i="4"/>
  <c r="AI76" i="4"/>
  <c r="AR76" i="4" s="1"/>
  <c r="AG76" i="4"/>
  <c r="P76" i="4"/>
  <c r="O76" i="4"/>
  <c r="BS75" i="4"/>
  <c r="BM75" i="4"/>
  <c r="BL75" i="4"/>
  <c r="BH75" i="4"/>
  <c r="BG75" i="4"/>
  <c r="AS75" i="4"/>
  <c r="AQ75" i="4"/>
  <c r="AL75" i="4"/>
  <c r="AN75" i="4" s="1"/>
  <c r="AI75" i="4"/>
  <c r="AR75" i="4" s="1"/>
  <c r="AG75" i="4"/>
  <c r="AT75" i="4" s="1"/>
  <c r="P75" i="4"/>
  <c r="O75" i="4"/>
  <c r="BS74" i="4"/>
  <c r="BM74" i="4"/>
  <c r="BL74" i="4"/>
  <c r="BH74" i="4"/>
  <c r="BG74" i="4"/>
  <c r="AT74" i="4"/>
  <c r="AS74" i="4"/>
  <c r="AQ74" i="4"/>
  <c r="AN74" i="4"/>
  <c r="AL74" i="4"/>
  <c r="AI74" i="4"/>
  <c r="AR74" i="4" s="1"/>
  <c r="AG74" i="4"/>
  <c r="P74" i="4"/>
  <c r="O74" i="4"/>
  <c r="BS73" i="4"/>
  <c r="BM73" i="4"/>
  <c r="BL73" i="4"/>
  <c r="BH73" i="4"/>
  <c r="BG73" i="4"/>
  <c r="AQ73" i="4"/>
  <c r="AL73" i="4"/>
  <c r="AN73" i="4" s="1"/>
  <c r="AI73" i="4"/>
  <c r="AG73" i="4"/>
  <c r="AT73" i="4" s="1"/>
  <c r="P73" i="4"/>
  <c r="O73" i="4"/>
  <c r="BS72" i="4"/>
  <c r="BM72" i="4"/>
  <c r="BL72" i="4"/>
  <c r="BH72" i="4"/>
  <c r="BG72" i="4"/>
  <c r="AT72" i="4"/>
  <c r="AS72" i="4"/>
  <c r="AQ72" i="4"/>
  <c r="AN72" i="4"/>
  <c r="AL72" i="4"/>
  <c r="AI72" i="4"/>
  <c r="AR72" i="4" s="1"/>
  <c r="AG72" i="4"/>
  <c r="P72" i="4"/>
  <c r="O72" i="4"/>
  <c r="BS71" i="4"/>
  <c r="BM71" i="4"/>
  <c r="BL71" i="4"/>
  <c r="BH71" i="4"/>
  <c r="BG71" i="4"/>
  <c r="AQ71" i="4"/>
  <c r="AL71" i="4"/>
  <c r="AN71" i="4" s="1"/>
  <c r="AI71" i="4"/>
  <c r="AG71" i="4"/>
  <c r="AT71" i="4" s="1"/>
  <c r="P71" i="4"/>
  <c r="O71" i="4"/>
  <c r="BS70" i="4"/>
  <c r="BM70" i="4"/>
  <c r="BL70" i="4"/>
  <c r="BH70" i="4"/>
  <c r="BG70" i="4"/>
  <c r="AT70" i="4"/>
  <c r="AQ70" i="4"/>
  <c r="AN70" i="4"/>
  <c r="AL70" i="4"/>
  <c r="AI70" i="4"/>
  <c r="AG70" i="4"/>
  <c r="P70" i="4"/>
  <c r="O70" i="4"/>
  <c r="BS69" i="4"/>
  <c r="BM69" i="4"/>
  <c r="BL69" i="4"/>
  <c r="BH69" i="4"/>
  <c r="BG69" i="4"/>
  <c r="AQ69" i="4"/>
  <c r="AL69" i="4"/>
  <c r="AN69" i="4" s="1"/>
  <c r="AS69" i="4" s="1"/>
  <c r="AI69" i="4"/>
  <c r="AG69" i="4"/>
  <c r="P69" i="4"/>
  <c r="O69" i="4"/>
  <c r="BS68" i="4"/>
  <c r="BM68" i="4"/>
  <c r="BL68" i="4"/>
  <c r="BH68" i="4"/>
  <c r="BG68" i="4"/>
  <c r="AT68" i="4"/>
  <c r="AQ68" i="4"/>
  <c r="AN68" i="4"/>
  <c r="AL68" i="4"/>
  <c r="AI68" i="4"/>
  <c r="AR68" i="4" s="1"/>
  <c r="AG68" i="4"/>
  <c r="P68" i="4"/>
  <c r="O68" i="4"/>
  <c r="BS67" i="4"/>
  <c r="BM67" i="4"/>
  <c r="BL67" i="4"/>
  <c r="BH67" i="4"/>
  <c r="BG67" i="4"/>
  <c r="AQ67" i="4"/>
  <c r="AL67" i="4"/>
  <c r="AN67" i="4" s="1"/>
  <c r="AS67" i="4" s="1"/>
  <c r="AI67" i="4"/>
  <c r="AG67" i="4"/>
  <c r="AT67" i="4" s="1"/>
  <c r="P67" i="4"/>
  <c r="O67" i="4"/>
  <c r="BS66" i="4"/>
  <c r="BM66" i="4"/>
  <c r="BL66" i="4"/>
  <c r="BH66" i="4"/>
  <c r="BG66" i="4"/>
  <c r="AT66" i="4"/>
  <c r="AS66" i="4"/>
  <c r="AQ66" i="4"/>
  <c r="AN66" i="4"/>
  <c r="AL66" i="4"/>
  <c r="AI66" i="4"/>
  <c r="AR66" i="4" s="1"/>
  <c r="AG66" i="4"/>
  <c r="P66" i="4"/>
  <c r="O66" i="4"/>
  <c r="BS65" i="4"/>
  <c r="BM65" i="4"/>
  <c r="BL65" i="4"/>
  <c r="BH65" i="4"/>
  <c r="BG65" i="4"/>
  <c r="AS65" i="4"/>
  <c r="AQ65" i="4"/>
  <c r="AL65" i="4"/>
  <c r="AN65" i="4" s="1"/>
  <c r="AI65" i="4"/>
  <c r="AR65" i="4" s="1"/>
  <c r="AG65" i="4"/>
  <c r="AT65" i="4" s="1"/>
  <c r="P65" i="4"/>
  <c r="O65" i="4"/>
  <c r="BS64" i="4"/>
  <c r="BM64" i="4"/>
  <c r="BL64" i="4"/>
  <c r="BH64" i="4"/>
  <c r="BG64" i="4"/>
  <c r="AT64" i="4"/>
  <c r="AS64" i="4"/>
  <c r="AQ64" i="4"/>
  <c r="AN64" i="4"/>
  <c r="AL64" i="4"/>
  <c r="AI64" i="4"/>
  <c r="AR64" i="4" s="1"/>
  <c r="AG64" i="4"/>
  <c r="P64" i="4"/>
  <c r="O64" i="4"/>
  <c r="BS63" i="4"/>
  <c r="BM63" i="4"/>
  <c r="BL63" i="4"/>
  <c r="BH63" i="4"/>
  <c r="BG63" i="4"/>
  <c r="AQ63" i="4"/>
  <c r="AL63" i="4"/>
  <c r="AN63" i="4" s="1"/>
  <c r="AI63" i="4"/>
  <c r="AG63" i="4"/>
  <c r="AT63" i="4" s="1"/>
  <c r="P63" i="4"/>
  <c r="O63" i="4"/>
  <c r="BS62" i="4"/>
  <c r="BM62" i="4"/>
  <c r="BL62" i="4"/>
  <c r="BH62" i="4"/>
  <c r="BG62" i="4"/>
  <c r="AT62" i="4"/>
  <c r="AS62" i="4"/>
  <c r="AQ62" i="4"/>
  <c r="AN62" i="4"/>
  <c r="AL62" i="4"/>
  <c r="AI62" i="4"/>
  <c r="AR62" i="4" s="1"/>
  <c r="AG62" i="4"/>
  <c r="P62" i="4"/>
  <c r="O62" i="4"/>
  <c r="BS61" i="4"/>
  <c r="BM61" i="4"/>
  <c r="BL61" i="4"/>
  <c r="BH61" i="4"/>
  <c r="BG61" i="4"/>
  <c r="AQ61" i="4"/>
  <c r="AL61" i="4"/>
  <c r="AN61" i="4" s="1"/>
  <c r="AI61" i="4"/>
  <c r="AG61" i="4"/>
  <c r="AT61" i="4" s="1"/>
  <c r="P61" i="4"/>
  <c r="O61" i="4"/>
  <c r="BS60" i="4"/>
  <c r="BM60" i="4"/>
  <c r="BL60" i="4"/>
  <c r="BH60" i="4"/>
  <c r="BG60" i="4"/>
  <c r="AT60" i="4"/>
  <c r="AQ60" i="4"/>
  <c r="AN60" i="4"/>
  <c r="AL60" i="4"/>
  <c r="AI60" i="4"/>
  <c r="AG60" i="4"/>
  <c r="P60" i="4"/>
  <c r="O60" i="4"/>
  <c r="BS59" i="4"/>
  <c r="BM59" i="4"/>
  <c r="BL59" i="4"/>
  <c r="BH59" i="4"/>
  <c r="BG59" i="4"/>
  <c r="AS59" i="4"/>
  <c r="AQ59" i="4"/>
  <c r="AL59" i="4"/>
  <c r="AN59" i="4" s="1"/>
  <c r="AI59" i="4"/>
  <c r="AG59" i="4"/>
  <c r="P59" i="4"/>
  <c r="O59" i="4"/>
  <c r="BS58" i="4"/>
  <c r="BM58" i="4"/>
  <c r="BL58" i="4"/>
  <c r="BH58" i="4"/>
  <c r="BG58" i="4"/>
  <c r="AT58" i="4"/>
  <c r="AQ58" i="4"/>
  <c r="AN58" i="4"/>
  <c r="AL58" i="4"/>
  <c r="AI58" i="4"/>
  <c r="AR58" i="4" s="1"/>
  <c r="AG58" i="4"/>
  <c r="P58" i="4"/>
  <c r="O58" i="4"/>
  <c r="BS57" i="4"/>
  <c r="BM57" i="4"/>
  <c r="BL57" i="4"/>
  <c r="BH57" i="4"/>
  <c r="BG57" i="4"/>
  <c r="AQ57" i="4"/>
  <c r="AL57" i="4"/>
  <c r="AN57" i="4" s="1"/>
  <c r="AS57" i="4" s="1"/>
  <c r="AI57" i="4"/>
  <c r="AG57" i="4"/>
  <c r="AT57" i="4" s="1"/>
  <c r="P57" i="4"/>
  <c r="O57" i="4"/>
  <c r="BS56" i="4"/>
  <c r="BM56" i="4"/>
  <c r="BL56" i="4"/>
  <c r="BH56" i="4"/>
  <c r="BG56" i="4"/>
  <c r="AT56" i="4"/>
  <c r="AS56" i="4"/>
  <c r="AQ56" i="4"/>
  <c r="AN56" i="4"/>
  <c r="AL56" i="4"/>
  <c r="AI56" i="4"/>
  <c r="AR56" i="4" s="1"/>
  <c r="AG56" i="4"/>
  <c r="P56" i="4"/>
  <c r="O56" i="4"/>
  <c r="BS55" i="4"/>
  <c r="BM55" i="4"/>
  <c r="BL55" i="4"/>
  <c r="BH55" i="4"/>
  <c r="BG55" i="4"/>
  <c r="AS55" i="4"/>
  <c r="AQ55" i="4"/>
  <c r="AL55" i="4"/>
  <c r="AN55" i="4" s="1"/>
  <c r="AI55" i="4"/>
  <c r="AR55" i="4" s="1"/>
  <c r="AG55" i="4"/>
  <c r="AT55" i="4" s="1"/>
  <c r="P55" i="4"/>
  <c r="O55" i="4"/>
  <c r="BS54" i="4"/>
  <c r="BM54" i="4"/>
  <c r="BL54" i="4"/>
  <c r="BH54" i="4"/>
  <c r="BG54" i="4"/>
  <c r="AT54" i="4"/>
  <c r="AS54" i="4"/>
  <c r="AQ54" i="4"/>
  <c r="AN54" i="4"/>
  <c r="AL54" i="4"/>
  <c r="AI54" i="4"/>
  <c r="AR54" i="4" s="1"/>
  <c r="AG54" i="4"/>
  <c r="P54" i="4"/>
  <c r="O54" i="4"/>
  <c r="BS53" i="4"/>
  <c r="BM53" i="4"/>
  <c r="BL53" i="4"/>
  <c r="BH53" i="4"/>
  <c r="BG53" i="4"/>
  <c r="AQ53" i="4"/>
  <c r="AL53" i="4"/>
  <c r="AN53" i="4" s="1"/>
  <c r="AI53" i="4"/>
  <c r="AG53" i="4"/>
  <c r="AT53" i="4" s="1"/>
  <c r="P53" i="4"/>
  <c r="O53" i="4"/>
  <c r="BS52" i="4"/>
  <c r="BM52" i="4"/>
  <c r="BL52" i="4"/>
  <c r="BH52" i="4"/>
  <c r="BG52" i="4"/>
  <c r="AT52" i="4"/>
  <c r="AS52" i="4"/>
  <c r="AQ52" i="4"/>
  <c r="AN52" i="4"/>
  <c r="AL52" i="4"/>
  <c r="AI52" i="4"/>
  <c r="AR52" i="4" s="1"/>
  <c r="AG52" i="4"/>
  <c r="P52" i="4"/>
  <c r="O52" i="4"/>
  <c r="BS51" i="4"/>
  <c r="BM51" i="4"/>
  <c r="BL51" i="4"/>
  <c r="BH51" i="4"/>
  <c r="BG51" i="4"/>
  <c r="AQ51" i="4"/>
  <c r="AL51" i="4"/>
  <c r="AN51" i="4" s="1"/>
  <c r="AI51" i="4"/>
  <c r="AG51" i="4"/>
  <c r="AT51" i="4" s="1"/>
  <c r="P51" i="4"/>
  <c r="O51" i="4"/>
  <c r="BS50" i="4"/>
  <c r="BM50" i="4"/>
  <c r="BL50" i="4"/>
  <c r="BH50" i="4"/>
  <c r="BG50" i="4"/>
  <c r="AT50" i="4"/>
  <c r="AQ50" i="4"/>
  <c r="AN50" i="4"/>
  <c r="AL50" i="4"/>
  <c r="AI50" i="4"/>
  <c r="AG50" i="4"/>
  <c r="P50" i="4"/>
  <c r="O50" i="4"/>
  <c r="BS49" i="4"/>
  <c r="BM49" i="4"/>
  <c r="BL49" i="4"/>
  <c r="BH49" i="4"/>
  <c r="BG49" i="4"/>
  <c r="AQ49" i="4"/>
  <c r="AL49" i="4"/>
  <c r="AN49" i="4" s="1"/>
  <c r="AS49" i="4" s="1"/>
  <c r="AI49" i="4"/>
  <c r="AG49" i="4"/>
  <c r="P49" i="4"/>
  <c r="O49" i="4"/>
  <c r="BS48" i="4"/>
  <c r="BM48" i="4"/>
  <c r="BL48" i="4"/>
  <c r="BH48" i="4"/>
  <c r="BG48" i="4"/>
  <c r="AT48" i="4"/>
  <c r="AQ48" i="4"/>
  <c r="AN48" i="4"/>
  <c r="AL48" i="4"/>
  <c r="AI48" i="4"/>
  <c r="AR48" i="4" s="1"/>
  <c r="AG48" i="4"/>
  <c r="P48" i="4"/>
  <c r="O48" i="4"/>
  <c r="BS47" i="4"/>
  <c r="BM47" i="4"/>
  <c r="BL47" i="4"/>
  <c r="BH47" i="4"/>
  <c r="BG47" i="4"/>
  <c r="AQ47" i="4"/>
  <c r="AL47" i="4"/>
  <c r="AN47" i="4" s="1"/>
  <c r="AS47" i="4" s="1"/>
  <c r="AI47" i="4"/>
  <c r="AG47" i="4"/>
  <c r="AT47" i="4" s="1"/>
  <c r="P47" i="4"/>
  <c r="O47" i="4"/>
  <c r="BS46" i="4"/>
  <c r="BM46" i="4"/>
  <c r="BL46" i="4"/>
  <c r="BH46" i="4"/>
  <c r="BG46" i="4"/>
  <c r="AT46" i="4"/>
  <c r="AS46" i="4"/>
  <c r="AQ46" i="4"/>
  <c r="AN46" i="4"/>
  <c r="AL46" i="4"/>
  <c r="AI46" i="4"/>
  <c r="AR46" i="4" s="1"/>
  <c r="AG46" i="4"/>
  <c r="P46" i="4"/>
  <c r="O46" i="4"/>
  <c r="BS45" i="4"/>
  <c r="BM45" i="4"/>
  <c r="BL45" i="4"/>
  <c r="BH45" i="4"/>
  <c r="BG45" i="4"/>
  <c r="AS45" i="4"/>
  <c r="AQ45" i="4"/>
  <c r="AL45" i="4"/>
  <c r="AN45" i="4" s="1"/>
  <c r="AI45" i="4"/>
  <c r="AR45" i="4" s="1"/>
  <c r="AG45" i="4"/>
  <c r="AT45" i="4" s="1"/>
  <c r="P45" i="4"/>
  <c r="O45" i="4"/>
  <c r="BS44" i="4"/>
  <c r="BM44" i="4"/>
  <c r="BL44" i="4"/>
  <c r="BH44" i="4"/>
  <c r="BG44" i="4"/>
  <c r="AT44" i="4"/>
  <c r="AS44" i="4"/>
  <c r="AQ44" i="4"/>
  <c r="AN44" i="4"/>
  <c r="AL44" i="4"/>
  <c r="AI44" i="4"/>
  <c r="AR44" i="4" s="1"/>
  <c r="AG44" i="4"/>
  <c r="P44" i="4"/>
  <c r="O44" i="4"/>
  <c r="BS43" i="4"/>
  <c r="BM43" i="4"/>
  <c r="BL43" i="4"/>
  <c r="BH43" i="4"/>
  <c r="BG43" i="4"/>
  <c r="AQ43" i="4"/>
  <c r="AL43" i="4"/>
  <c r="AN43" i="4" s="1"/>
  <c r="AI43" i="4"/>
  <c r="AG43" i="4"/>
  <c r="AT43" i="4" s="1"/>
  <c r="P43" i="4"/>
  <c r="O43" i="4"/>
  <c r="BS42" i="4"/>
  <c r="BM42" i="4"/>
  <c r="BL42" i="4"/>
  <c r="BH42" i="4"/>
  <c r="BG42" i="4"/>
  <c r="AT42" i="4"/>
  <c r="AS42" i="4"/>
  <c r="AQ42" i="4"/>
  <c r="AN42" i="4"/>
  <c r="AL42" i="4"/>
  <c r="AI42" i="4"/>
  <c r="AR42" i="4" s="1"/>
  <c r="AG42" i="4"/>
  <c r="P42" i="4"/>
  <c r="O42" i="4"/>
  <c r="BS41" i="4"/>
  <c r="BM41" i="4"/>
  <c r="BL41" i="4"/>
  <c r="BH41" i="4"/>
  <c r="BG41" i="4"/>
  <c r="AQ41" i="4"/>
  <c r="AL41" i="4"/>
  <c r="AN41" i="4" s="1"/>
  <c r="AI41" i="4"/>
  <c r="AG41" i="4"/>
  <c r="AT41" i="4" s="1"/>
  <c r="P41" i="4"/>
  <c r="O41" i="4"/>
  <c r="BS40" i="4"/>
  <c r="BM40" i="4"/>
  <c r="BL40" i="4"/>
  <c r="BH40" i="4"/>
  <c r="BG40" i="4"/>
  <c r="AT40" i="4"/>
  <c r="AQ40" i="4"/>
  <c r="AN40" i="4"/>
  <c r="AL40" i="4"/>
  <c r="AI40" i="4"/>
  <c r="AG40" i="4"/>
  <c r="P40" i="4"/>
  <c r="O40" i="4"/>
  <c r="BS39" i="4"/>
  <c r="BM39" i="4"/>
  <c r="BL39" i="4"/>
  <c r="BH39" i="4"/>
  <c r="BG39" i="4"/>
  <c r="AS39" i="4"/>
  <c r="AQ39" i="4"/>
  <c r="AL39" i="4"/>
  <c r="AN39" i="4" s="1"/>
  <c r="AI39" i="4"/>
  <c r="AG39" i="4"/>
  <c r="P39" i="4"/>
  <c r="O39" i="4"/>
  <c r="BS38" i="4"/>
  <c r="BM38" i="4"/>
  <c r="BL38" i="4"/>
  <c r="BH38" i="4"/>
  <c r="BG38" i="4"/>
  <c r="AT38" i="4"/>
  <c r="AQ38" i="4"/>
  <c r="AN38" i="4"/>
  <c r="AL38" i="4"/>
  <c r="AI38" i="4"/>
  <c r="AR38" i="4" s="1"/>
  <c r="AG38" i="4"/>
  <c r="P38" i="4"/>
  <c r="O38" i="4"/>
  <c r="BS37" i="4"/>
  <c r="BM37" i="4"/>
  <c r="BL37" i="4"/>
  <c r="BH37" i="4"/>
  <c r="BG37" i="4"/>
  <c r="AQ37" i="4"/>
  <c r="AL37" i="4"/>
  <c r="AN37" i="4" s="1"/>
  <c r="AS37" i="4" s="1"/>
  <c r="AI37" i="4"/>
  <c r="AG37" i="4"/>
  <c r="AT37" i="4" s="1"/>
  <c r="P37" i="4"/>
  <c r="O37" i="4"/>
  <c r="BS36" i="4"/>
  <c r="BM36" i="4"/>
  <c r="BL36" i="4"/>
  <c r="BH36" i="4"/>
  <c r="BG36" i="4"/>
  <c r="AT36" i="4"/>
  <c r="AS36" i="4"/>
  <c r="AQ36" i="4"/>
  <c r="AN36" i="4"/>
  <c r="AL36" i="4"/>
  <c r="AI36" i="4"/>
  <c r="AR36" i="4" s="1"/>
  <c r="AG36" i="4"/>
  <c r="P36" i="4"/>
  <c r="O36" i="4"/>
  <c r="BS35" i="4"/>
  <c r="BM35" i="4"/>
  <c r="BL35" i="4"/>
  <c r="BH35" i="4"/>
  <c r="BG35" i="4"/>
  <c r="AS35" i="4"/>
  <c r="AQ35" i="4"/>
  <c r="AL35" i="4"/>
  <c r="AN35" i="4" s="1"/>
  <c r="AI35" i="4"/>
  <c r="AR35" i="4" s="1"/>
  <c r="AG35" i="4"/>
  <c r="AT35" i="4" s="1"/>
  <c r="P35" i="4"/>
  <c r="O35" i="4"/>
  <c r="BS34" i="4"/>
  <c r="BM34" i="4"/>
  <c r="BL34" i="4"/>
  <c r="BH34" i="4"/>
  <c r="BG34" i="4"/>
  <c r="AT34" i="4"/>
  <c r="AQ34" i="4"/>
  <c r="AN34" i="4"/>
  <c r="AL34" i="4"/>
  <c r="AI34" i="4"/>
  <c r="AG34" i="4"/>
  <c r="P34" i="4"/>
  <c r="O34" i="4"/>
  <c r="BS33" i="4"/>
  <c r="BM33" i="4"/>
  <c r="BL33" i="4"/>
  <c r="BH33" i="4"/>
  <c r="BG33" i="4"/>
  <c r="AQ33" i="4"/>
  <c r="AL33" i="4"/>
  <c r="AN33" i="4" s="1"/>
  <c r="AI33" i="4"/>
  <c r="AG33" i="4"/>
  <c r="P33" i="4"/>
  <c r="O33" i="4"/>
  <c r="BS32" i="4"/>
  <c r="BM32" i="4"/>
  <c r="BL32" i="4"/>
  <c r="BH32" i="4"/>
  <c r="BG32" i="4"/>
  <c r="AT32" i="4"/>
  <c r="AS32" i="4"/>
  <c r="AQ32" i="4"/>
  <c r="AN32" i="4"/>
  <c r="AL32" i="4"/>
  <c r="AI32" i="4"/>
  <c r="AR32" i="4" s="1"/>
  <c r="AG32" i="4"/>
  <c r="P32" i="4"/>
  <c r="O32" i="4"/>
  <c r="BS31" i="4"/>
  <c r="BM31" i="4"/>
  <c r="BL31" i="4"/>
  <c r="BH31" i="4"/>
  <c r="BG31" i="4"/>
  <c r="AQ31" i="4"/>
  <c r="AL31" i="4"/>
  <c r="AN31" i="4" s="1"/>
  <c r="AG31" i="4"/>
  <c r="P31" i="4"/>
  <c r="O31" i="4"/>
  <c r="BS30" i="4"/>
  <c r="BM30" i="4"/>
  <c r="BL30" i="4"/>
  <c r="BH30" i="4"/>
  <c r="BG30" i="4"/>
  <c r="AT30" i="4"/>
  <c r="AR30" i="4"/>
  <c r="AQ30" i="4"/>
  <c r="AN30" i="4"/>
  <c r="AL30" i="4"/>
  <c r="AI30" i="4"/>
  <c r="AS30" i="4" s="1"/>
  <c r="AG30" i="4"/>
  <c r="P30" i="4"/>
  <c r="O30" i="4"/>
  <c r="BS29" i="4"/>
  <c r="BM29" i="4"/>
  <c r="BL29" i="4"/>
  <c r="BH29" i="4"/>
  <c r="BG29" i="4"/>
  <c r="AQ29" i="4"/>
  <c r="AL29" i="4"/>
  <c r="AN29" i="4" s="1"/>
  <c r="AI29" i="4"/>
  <c r="AG29" i="4"/>
  <c r="P29" i="4"/>
  <c r="O29" i="4"/>
  <c r="BS28" i="4"/>
  <c r="BM28" i="4"/>
  <c r="BL28" i="4"/>
  <c r="BH28" i="4"/>
  <c r="BG28" i="4"/>
  <c r="AT28" i="4"/>
  <c r="AQ28" i="4"/>
  <c r="AN28" i="4"/>
  <c r="AL28" i="4"/>
  <c r="AI28" i="4"/>
  <c r="AG28" i="4"/>
  <c r="P28" i="4"/>
  <c r="O28" i="4"/>
  <c r="BS27" i="4"/>
  <c r="BM27" i="4"/>
  <c r="BL27" i="4"/>
  <c r="BH27" i="4"/>
  <c r="BG27" i="4"/>
  <c r="AQ27" i="4"/>
  <c r="AL27" i="4"/>
  <c r="AN27" i="4" s="1"/>
  <c r="AG27" i="4"/>
  <c r="P27" i="4"/>
  <c r="O27" i="4"/>
  <c r="BS26" i="4"/>
  <c r="BM26" i="4"/>
  <c r="BL26" i="4"/>
  <c r="BH26" i="4"/>
  <c r="BG26" i="4"/>
  <c r="AT26" i="4"/>
  <c r="AQ26" i="4"/>
  <c r="AN26" i="4"/>
  <c r="AL26" i="4"/>
  <c r="AI26" i="4"/>
  <c r="AS26" i="4" s="1"/>
  <c r="AG26" i="4"/>
  <c r="P26" i="4"/>
  <c r="O26" i="4"/>
  <c r="BS25" i="4"/>
  <c r="BM25" i="4"/>
  <c r="BL25" i="4"/>
  <c r="BH25" i="4"/>
  <c r="BG25" i="4"/>
  <c r="AQ25" i="4"/>
  <c r="AL25" i="4"/>
  <c r="AN25" i="4" s="1"/>
  <c r="AG25" i="4"/>
  <c r="AT25" i="4" s="1"/>
  <c r="P25" i="4"/>
  <c r="O25" i="4"/>
  <c r="BS24" i="4"/>
  <c r="BM24" i="4"/>
  <c r="BL24" i="4"/>
  <c r="BH24" i="4"/>
  <c r="BG24" i="4"/>
  <c r="AT24" i="4"/>
  <c r="AS24" i="4"/>
  <c r="AR24" i="4"/>
  <c r="AQ24" i="4"/>
  <c r="AN24" i="4"/>
  <c r="AL24" i="4"/>
  <c r="AI24" i="4"/>
  <c r="AG24" i="4"/>
  <c r="P24" i="4"/>
  <c r="O24" i="4"/>
  <c r="BS23" i="4"/>
  <c r="BM23" i="4"/>
  <c r="BL23" i="4"/>
  <c r="BH23" i="4"/>
  <c r="BG23" i="4"/>
  <c r="AQ23" i="4"/>
  <c r="AL23" i="4"/>
  <c r="AN23" i="4" s="1"/>
  <c r="AG23" i="4"/>
  <c r="AT23" i="4" s="1"/>
  <c r="P23" i="4"/>
  <c r="O23" i="4"/>
  <c r="BS22" i="4"/>
  <c r="BM22" i="4"/>
  <c r="BL22" i="4"/>
  <c r="BH22" i="4"/>
  <c r="BG22" i="4"/>
  <c r="AT22" i="4"/>
  <c r="AQ22" i="4"/>
  <c r="AN22" i="4"/>
  <c r="AL22" i="4"/>
  <c r="AI22" i="4"/>
  <c r="AG22" i="4"/>
  <c r="P22" i="4"/>
  <c r="O22" i="4"/>
  <c r="BS21" i="4"/>
  <c r="BM21" i="4"/>
  <c r="BL21" i="4"/>
  <c r="BH21" i="4"/>
  <c r="BG21" i="4"/>
  <c r="AQ21" i="4"/>
  <c r="AL21" i="4"/>
  <c r="AN21" i="4" s="1"/>
  <c r="AG21" i="4"/>
  <c r="AT21" i="4" s="1"/>
  <c r="P21" i="4"/>
  <c r="O21" i="4"/>
  <c r="BS20" i="4"/>
  <c r="BM20" i="4"/>
  <c r="BL20" i="4"/>
  <c r="BH20" i="4"/>
  <c r="BG20" i="4"/>
  <c r="AT20" i="4"/>
  <c r="AR20" i="4"/>
  <c r="AQ20" i="4"/>
  <c r="AN20" i="4"/>
  <c r="AL20" i="4"/>
  <c r="AI20" i="4"/>
  <c r="AS20" i="4" s="1"/>
  <c r="AG20" i="4"/>
  <c r="P20" i="4"/>
  <c r="O20" i="4"/>
  <c r="BS19" i="4"/>
  <c r="BM19" i="4"/>
  <c r="BL19" i="4"/>
  <c r="BH19" i="4"/>
  <c r="BG19" i="4"/>
  <c r="AQ19" i="4"/>
  <c r="AL19" i="4"/>
  <c r="AN19" i="4" s="1"/>
  <c r="AG19" i="4"/>
  <c r="AT19" i="4" s="1"/>
  <c r="P19" i="4"/>
  <c r="O19" i="4"/>
  <c r="BS18" i="4"/>
  <c r="BM18" i="4"/>
  <c r="BL18" i="4"/>
  <c r="BH18" i="4"/>
  <c r="BG18" i="4"/>
  <c r="AT18" i="4"/>
  <c r="AS18" i="4"/>
  <c r="AR18" i="4"/>
  <c r="AQ18" i="4"/>
  <c r="AN18" i="4"/>
  <c r="AL18" i="4"/>
  <c r="AI18" i="4"/>
  <c r="AG18" i="4"/>
  <c r="P18" i="4"/>
  <c r="O18" i="4"/>
  <c r="BS17" i="4"/>
  <c r="BM17" i="4"/>
  <c r="BL17" i="4"/>
  <c r="BH17" i="4"/>
  <c r="BG17" i="4"/>
  <c r="AQ17" i="4"/>
  <c r="AL17" i="4"/>
  <c r="AN17" i="4" s="1"/>
  <c r="AI17" i="4"/>
  <c r="AR17" i="4" s="1"/>
  <c r="AG17" i="4"/>
  <c r="P17" i="4"/>
  <c r="O17" i="4"/>
  <c r="BS16" i="4"/>
  <c r="BM16" i="4"/>
  <c r="BL16" i="4"/>
  <c r="BH16" i="4"/>
  <c r="BG16" i="4"/>
  <c r="AT16" i="4"/>
  <c r="AQ16" i="4"/>
  <c r="AN16" i="4"/>
  <c r="AL16" i="4"/>
  <c r="AI16" i="4"/>
  <c r="AG16" i="4"/>
  <c r="P16" i="4"/>
  <c r="O16" i="4"/>
  <c r="BS15" i="4"/>
  <c r="BM15" i="4"/>
  <c r="BL15" i="4"/>
  <c r="BH15" i="4"/>
  <c r="BG15" i="4"/>
  <c r="AS15" i="4"/>
  <c r="AQ15" i="4"/>
  <c r="AL15" i="4"/>
  <c r="AN15" i="4" s="1"/>
  <c r="AI15" i="4"/>
  <c r="AR15" i="4" s="1"/>
  <c r="AG15" i="4"/>
  <c r="AT15" i="4" s="1"/>
  <c r="P15" i="4"/>
  <c r="O15" i="4"/>
  <c r="BS14" i="4"/>
  <c r="BM14" i="4"/>
  <c r="BL14" i="4"/>
  <c r="BH14" i="4"/>
  <c r="BG14" i="4"/>
  <c r="AT14" i="4"/>
  <c r="AQ14" i="4"/>
  <c r="AN14" i="4"/>
  <c r="AL14" i="4"/>
  <c r="AI14" i="4"/>
  <c r="AG14" i="4"/>
  <c r="P14" i="4"/>
  <c r="O14" i="4"/>
  <c r="BS13" i="4"/>
  <c r="BM13" i="4"/>
  <c r="BL13" i="4"/>
  <c r="BH13" i="4"/>
  <c r="BG13" i="4"/>
  <c r="AQ13" i="4"/>
  <c r="AL13" i="4"/>
  <c r="AN13" i="4" s="1"/>
  <c r="AI13" i="4"/>
  <c r="AG13" i="4"/>
  <c r="P13" i="4"/>
  <c r="O13" i="4"/>
  <c r="BS12" i="4"/>
  <c r="BM12" i="4"/>
  <c r="BL12" i="4"/>
  <c r="BH12" i="4"/>
  <c r="BG12" i="4"/>
  <c r="AT12" i="4"/>
  <c r="AS12" i="4"/>
  <c r="AQ12" i="4"/>
  <c r="AN12" i="4"/>
  <c r="AL12" i="4"/>
  <c r="AI12" i="4"/>
  <c r="AR12" i="4" s="1"/>
  <c r="AG12" i="4"/>
  <c r="P12" i="4"/>
  <c r="O12" i="4"/>
  <c r="BS11" i="4"/>
  <c r="BM11" i="4"/>
  <c r="BL11" i="4"/>
  <c r="BH11" i="4"/>
  <c r="BG11" i="4"/>
  <c r="AQ11" i="4"/>
  <c r="AL11" i="4"/>
  <c r="AN11" i="4" s="1"/>
  <c r="AG11" i="4"/>
  <c r="P11" i="4"/>
  <c r="O11" i="4"/>
  <c r="BS10" i="4"/>
  <c r="BM10" i="4"/>
  <c r="BL10" i="4"/>
  <c r="BH10" i="4"/>
  <c r="BG10" i="4"/>
  <c r="AT10" i="4"/>
  <c r="AQ10" i="4"/>
  <c r="AN10" i="4"/>
  <c r="AR10" i="4" s="1"/>
  <c r="AL10" i="4"/>
  <c r="AI10" i="4"/>
  <c r="AG10" i="4"/>
  <c r="P10" i="4"/>
  <c r="O10" i="4"/>
  <c r="BS9" i="4"/>
  <c r="BM9" i="4"/>
  <c r="BL9" i="4"/>
  <c r="BH9" i="4"/>
  <c r="BG9" i="4"/>
  <c r="AQ9" i="4"/>
  <c r="AL9" i="4"/>
  <c r="AN9" i="4" s="1"/>
  <c r="AI9" i="4"/>
  <c r="AG9" i="4"/>
  <c r="P9" i="4"/>
  <c r="O9" i="4"/>
  <c r="BS8" i="4"/>
  <c r="BM8" i="4"/>
  <c r="BL8" i="4"/>
  <c r="BH8" i="4"/>
  <c r="BG8" i="4"/>
  <c r="AT8" i="4"/>
  <c r="AQ8" i="4"/>
  <c r="AN8" i="4"/>
  <c r="AL8" i="4"/>
  <c r="AI8" i="4"/>
  <c r="AG8" i="4"/>
  <c r="P8" i="4"/>
  <c r="O8" i="4"/>
  <c r="BS7" i="4"/>
  <c r="BM7" i="4"/>
  <c r="BL7" i="4"/>
  <c r="BH7" i="4"/>
  <c r="BG7" i="4"/>
  <c r="AQ7" i="4"/>
  <c r="AL7" i="4"/>
  <c r="AN7" i="4" s="1"/>
  <c r="AG7" i="4"/>
  <c r="P7" i="4"/>
  <c r="O7" i="4"/>
  <c r="BS6" i="4"/>
  <c r="BM6" i="4"/>
  <c r="BL6" i="4"/>
  <c r="BH6" i="4"/>
  <c r="BG6" i="4"/>
  <c r="AT6" i="4"/>
  <c r="AQ6" i="4"/>
  <c r="AN6" i="4"/>
  <c r="AL6" i="4"/>
  <c r="AI6" i="4"/>
  <c r="AS6" i="4" s="1"/>
  <c r="AG6" i="4"/>
  <c r="P6" i="4"/>
  <c r="O6" i="4"/>
  <c r="BS5" i="4"/>
  <c r="BM5" i="4"/>
  <c r="BL5" i="4"/>
  <c r="BK5" i="4"/>
  <c r="BH5" i="4"/>
  <c r="BG5" i="4"/>
  <c r="AQ5" i="4"/>
  <c r="AN5" i="4"/>
  <c r="AL5" i="4"/>
  <c r="AT5" i="4" s="1"/>
  <c r="AI5" i="4"/>
  <c r="AG5" i="4"/>
  <c r="P5" i="4"/>
  <c r="O5" i="4"/>
  <c r="BS4" i="4"/>
  <c r="BL4" i="4"/>
  <c r="BK4" i="4"/>
  <c r="BM4" i="4" s="1"/>
  <c r="BH4" i="4"/>
  <c r="BG4" i="4"/>
  <c r="AT4" i="4"/>
  <c r="AR4" i="4"/>
  <c r="AQ4" i="4"/>
  <c r="AN4" i="4"/>
  <c r="AL4" i="4"/>
  <c r="AI4" i="4"/>
  <c r="AS4" i="4" s="1"/>
  <c r="AG4" i="4"/>
  <c r="P4" i="4"/>
  <c r="O4" i="4"/>
  <c r="BS3" i="4"/>
  <c r="BM3" i="4"/>
  <c r="BL3" i="4"/>
  <c r="BK3" i="4"/>
  <c r="BH3" i="4"/>
  <c r="BG3" i="4"/>
  <c r="AQ3" i="4"/>
  <c r="AT3" i="4" s="1"/>
  <c r="AN3" i="4"/>
  <c r="AL3" i="4"/>
  <c r="AI3" i="4"/>
  <c r="AG3" i="4"/>
  <c r="P3" i="4"/>
  <c r="O3" i="4"/>
  <c r="BS2" i="4"/>
  <c r="BK2" i="4"/>
  <c r="BM2" i="4" s="1"/>
  <c r="BH2" i="4"/>
  <c r="BG2" i="4"/>
  <c r="AR2" i="4"/>
  <c r="AQ2" i="4"/>
  <c r="AN2" i="4"/>
  <c r="AL2" i="4"/>
  <c r="AG2" i="4"/>
  <c r="AI2" i="4" s="1"/>
  <c r="AS2" i="4" s="1"/>
  <c r="P2" i="4"/>
  <c r="O2" i="4"/>
  <c r="BS300" i="3"/>
  <c r="BM300" i="3"/>
  <c r="BL300" i="3"/>
  <c r="BH300" i="3"/>
  <c r="BG300" i="3"/>
  <c r="AQ300" i="3"/>
  <c r="AL300" i="3"/>
  <c r="AN300" i="3" s="1"/>
  <c r="AG300" i="3"/>
  <c r="P300" i="3"/>
  <c r="O300" i="3"/>
  <c r="BS299" i="3"/>
  <c r="BM299" i="3"/>
  <c r="BL299" i="3"/>
  <c r="BH299" i="3"/>
  <c r="BG299" i="3"/>
  <c r="AQ299" i="3"/>
  <c r="AN299" i="3"/>
  <c r="AL299" i="3"/>
  <c r="AG299" i="3"/>
  <c r="AT299" i="3" s="1"/>
  <c r="P299" i="3"/>
  <c r="O299" i="3"/>
  <c r="BS298" i="3"/>
  <c r="BM298" i="3"/>
  <c r="BL298" i="3"/>
  <c r="BH298" i="3"/>
  <c r="BG298" i="3"/>
  <c r="AQ298" i="3"/>
  <c r="AL298" i="3"/>
  <c r="AN298" i="3" s="1"/>
  <c r="AG298" i="3"/>
  <c r="P298" i="3"/>
  <c r="O298" i="3"/>
  <c r="BS297" i="3"/>
  <c r="BM297" i="3"/>
  <c r="BL297" i="3"/>
  <c r="BH297" i="3"/>
  <c r="BG297" i="3"/>
  <c r="AT297" i="3"/>
  <c r="AR297" i="3"/>
  <c r="AQ297" i="3"/>
  <c r="AN297" i="3"/>
  <c r="AL297" i="3"/>
  <c r="AI297" i="3"/>
  <c r="AS297" i="3" s="1"/>
  <c r="AG297" i="3"/>
  <c r="P297" i="3"/>
  <c r="O297" i="3"/>
  <c r="BS296" i="3"/>
  <c r="BM296" i="3"/>
  <c r="BL296" i="3"/>
  <c r="BH296" i="3"/>
  <c r="BG296" i="3"/>
  <c r="AQ296" i="3"/>
  <c r="AL296" i="3"/>
  <c r="AN296" i="3" s="1"/>
  <c r="AG296" i="3"/>
  <c r="P296" i="3"/>
  <c r="O296" i="3"/>
  <c r="BS295" i="3"/>
  <c r="BM295" i="3"/>
  <c r="BL295" i="3"/>
  <c r="BH295" i="3"/>
  <c r="BG295" i="3"/>
  <c r="AT295" i="3"/>
  <c r="AQ295" i="3"/>
  <c r="AN295" i="3"/>
  <c r="AL295" i="3"/>
  <c r="AI295" i="3"/>
  <c r="AG295" i="3"/>
  <c r="P295" i="3"/>
  <c r="O295" i="3"/>
  <c r="BS294" i="3"/>
  <c r="BM294" i="3"/>
  <c r="BL294" i="3"/>
  <c r="BH294" i="3"/>
  <c r="BG294" i="3"/>
  <c r="AQ294" i="3"/>
  <c r="AL294" i="3"/>
  <c r="AN294" i="3" s="1"/>
  <c r="AG294" i="3"/>
  <c r="P294" i="3"/>
  <c r="O294" i="3"/>
  <c r="BS293" i="3"/>
  <c r="BM293" i="3"/>
  <c r="BL293" i="3"/>
  <c r="BH293" i="3"/>
  <c r="BG293" i="3"/>
  <c r="AQ293" i="3"/>
  <c r="AN293" i="3"/>
  <c r="AL293" i="3"/>
  <c r="AI293" i="3"/>
  <c r="AS293" i="3" s="1"/>
  <c r="AG293" i="3"/>
  <c r="AT293" i="3" s="1"/>
  <c r="P293" i="3"/>
  <c r="O293" i="3"/>
  <c r="BS292" i="3"/>
  <c r="BM292" i="3"/>
  <c r="BL292" i="3"/>
  <c r="BH292" i="3"/>
  <c r="BG292" i="3"/>
  <c r="AQ292" i="3"/>
  <c r="AL292" i="3"/>
  <c r="AN292" i="3" s="1"/>
  <c r="AG292" i="3"/>
  <c r="P292" i="3"/>
  <c r="O292" i="3"/>
  <c r="BS291" i="3"/>
  <c r="BM291" i="3"/>
  <c r="BL291" i="3"/>
  <c r="BH291" i="3"/>
  <c r="BG291" i="3"/>
  <c r="AT291" i="3"/>
  <c r="AQ291" i="3"/>
  <c r="AL291" i="3"/>
  <c r="AN291" i="3" s="1"/>
  <c r="AG291" i="3"/>
  <c r="AI291" i="3" s="1"/>
  <c r="AS291" i="3" s="1"/>
  <c r="P291" i="3"/>
  <c r="O291" i="3"/>
  <c r="BS290" i="3"/>
  <c r="BM290" i="3"/>
  <c r="BL290" i="3"/>
  <c r="BH290" i="3"/>
  <c r="BG290" i="3"/>
  <c r="AQ290" i="3"/>
  <c r="AT290" i="3" s="1"/>
  <c r="AL290" i="3"/>
  <c r="AN290" i="3" s="1"/>
  <c r="AS290" i="3" s="1"/>
  <c r="AG290" i="3"/>
  <c r="AI290" i="3" s="1"/>
  <c r="P290" i="3"/>
  <c r="O290" i="3"/>
  <c r="BS289" i="3"/>
  <c r="BM289" i="3"/>
  <c r="BL289" i="3"/>
  <c r="BH289" i="3"/>
  <c r="BG289" i="3"/>
  <c r="AQ289" i="3"/>
  <c r="AL289" i="3"/>
  <c r="AT289" i="3" s="1"/>
  <c r="AI289" i="3"/>
  <c r="AG289" i="3"/>
  <c r="P289" i="3"/>
  <c r="O289" i="3"/>
  <c r="BS288" i="3"/>
  <c r="BM288" i="3"/>
  <c r="BL288" i="3"/>
  <c r="BH288" i="3"/>
  <c r="BG288" i="3"/>
  <c r="AT288" i="3"/>
  <c r="AS288" i="3"/>
  <c r="AQ288" i="3"/>
  <c r="AL288" i="3"/>
  <c r="AN288" i="3" s="1"/>
  <c r="AG288" i="3"/>
  <c r="AI288" i="3" s="1"/>
  <c r="AR288" i="3" s="1"/>
  <c r="P288" i="3"/>
  <c r="O288" i="3"/>
  <c r="BS287" i="3"/>
  <c r="BM287" i="3"/>
  <c r="BL287" i="3"/>
  <c r="BH287" i="3"/>
  <c r="BG287" i="3"/>
  <c r="AQ287" i="3"/>
  <c r="AL287" i="3"/>
  <c r="AN287" i="3" s="1"/>
  <c r="AG287" i="3"/>
  <c r="P287" i="3"/>
  <c r="O287" i="3"/>
  <c r="BS286" i="3"/>
  <c r="BM286" i="3"/>
  <c r="BL286" i="3"/>
  <c r="BH286" i="3"/>
  <c r="BG286" i="3"/>
  <c r="AR286" i="3"/>
  <c r="AQ286" i="3"/>
  <c r="AT286" i="3" s="1"/>
  <c r="AL286" i="3"/>
  <c r="AN286" i="3" s="1"/>
  <c r="AS286" i="3" s="1"/>
  <c r="AG286" i="3"/>
  <c r="AI286" i="3" s="1"/>
  <c r="P286" i="3"/>
  <c r="O286" i="3"/>
  <c r="BS285" i="3"/>
  <c r="BM285" i="3"/>
  <c r="BL285" i="3"/>
  <c r="BH285" i="3"/>
  <c r="BG285" i="3"/>
  <c r="AT285" i="3"/>
  <c r="AQ285" i="3"/>
  <c r="AL285" i="3"/>
  <c r="AN285" i="3" s="1"/>
  <c r="AR285" i="3" s="1"/>
  <c r="AI285" i="3"/>
  <c r="AG285" i="3"/>
  <c r="P285" i="3"/>
  <c r="O285" i="3"/>
  <c r="BS284" i="3"/>
  <c r="BM284" i="3"/>
  <c r="BL284" i="3"/>
  <c r="BH284" i="3"/>
  <c r="BG284" i="3"/>
  <c r="AQ284" i="3"/>
  <c r="AL284" i="3"/>
  <c r="AN284" i="3" s="1"/>
  <c r="AG284" i="3"/>
  <c r="P284" i="3"/>
  <c r="O284" i="3"/>
  <c r="BS283" i="3"/>
  <c r="BM283" i="3"/>
  <c r="BL283" i="3"/>
  <c r="BH283" i="3"/>
  <c r="BG283" i="3"/>
  <c r="AQ283" i="3"/>
  <c r="AL283" i="3"/>
  <c r="AT283" i="3" s="1"/>
  <c r="AG283" i="3"/>
  <c r="AI283" i="3" s="1"/>
  <c r="P283" i="3"/>
  <c r="O283" i="3"/>
  <c r="BS282" i="3"/>
  <c r="BM282" i="3"/>
  <c r="BL282" i="3"/>
  <c r="BH282" i="3"/>
  <c r="BG282" i="3"/>
  <c r="AT282" i="3"/>
  <c r="AQ282" i="3"/>
  <c r="AL282" i="3"/>
  <c r="AN282" i="3" s="1"/>
  <c r="AG282" i="3"/>
  <c r="AI282" i="3" s="1"/>
  <c r="AS282" i="3" s="1"/>
  <c r="P282" i="3"/>
  <c r="O282" i="3"/>
  <c r="BS281" i="3"/>
  <c r="BM281" i="3"/>
  <c r="BL281" i="3"/>
  <c r="BH281" i="3"/>
  <c r="BG281" i="3"/>
  <c r="AQ281" i="3"/>
  <c r="AN281" i="3"/>
  <c r="AL281" i="3"/>
  <c r="AG281" i="3"/>
  <c r="P281" i="3"/>
  <c r="O281" i="3"/>
  <c r="BS280" i="3"/>
  <c r="BM280" i="3"/>
  <c r="BL280" i="3"/>
  <c r="BH280" i="3"/>
  <c r="BG280" i="3"/>
  <c r="AS280" i="3"/>
  <c r="AQ280" i="3"/>
  <c r="AR280" i="3" s="1"/>
  <c r="AL280" i="3"/>
  <c r="AN280" i="3" s="1"/>
  <c r="AG280" i="3"/>
  <c r="AI280" i="3" s="1"/>
  <c r="P280" i="3"/>
  <c r="O280" i="3"/>
  <c r="BS279" i="3"/>
  <c r="BM279" i="3"/>
  <c r="BL279" i="3"/>
  <c r="BH279" i="3"/>
  <c r="BG279" i="3"/>
  <c r="AT279" i="3"/>
  <c r="AQ279" i="3"/>
  <c r="AL279" i="3"/>
  <c r="AN279" i="3" s="1"/>
  <c r="AG279" i="3"/>
  <c r="AI279" i="3" s="1"/>
  <c r="P279" i="3"/>
  <c r="O279" i="3"/>
  <c r="BS278" i="3"/>
  <c r="BM278" i="3"/>
  <c r="BL278" i="3"/>
  <c r="BH278" i="3"/>
  <c r="BG278" i="3"/>
  <c r="AQ278" i="3"/>
  <c r="AL278" i="3"/>
  <c r="AN278" i="3" s="1"/>
  <c r="AG278" i="3"/>
  <c r="P278" i="3"/>
  <c r="O278" i="3"/>
  <c r="BS277" i="3"/>
  <c r="BM277" i="3"/>
  <c r="BL277" i="3"/>
  <c r="BH277" i="3"/>
  <c r="BG277" i="3"/>
  <c r="AR277" i="3"/>
  <c r="AQ277" i="3"/>
  <c r="AN277" i="3"/>
  <c r="AL277" i="3"/>
  <c r="AG277" i="3"/>
  <c r="AI277" i="3" s="1"/>
  <c r="P277" i="3"/>
  <c r="O277" i="3"/>
  <c r="BS276" i="3"/>
  <c r="BM276" i="3"/>
  <c r="BL276" i="3"/>
  <c r="BH276" i="3"/>
  <c r="BG276" i="3"/>
  <c r="AQ276" i="3"/>
  <c r="AL276" i="3"/>
  <c r="AN276" i="3" s="1"/>
  <c r="AG276" i="3"/>
  <c r="AI276" i="3" s="1"/>
  <c r="AS276" i="3" s="1"/>
  <c r="P276" i="3"/>
  <c r="O276" i="3"/>
  <c r="BS275" i="3"/>
  <c r="BM275" i="3"/>
  <c r="BL275" i="3"/>
  <c r="BH275" i="3"/>
  <c r="BG275" i="3"/>
  <c r="AQ275" i="3"/>
  <c r="AL275" i="3"/>
  <c r="AN275" i="3" s="1"/>
  <c r="AG275" i="3"/>
  <c r="P275" i="3"/>
  <c r="O275" i="3"/>
  <c r="BS274" i="3"/>
  <c r="BM274" i="3"/>
  <c r="BL274" i="3"/>
  <c r="BH274" i="3"/>
  <c r="BG274" i="3"/>
  <c r="AT274" i="3"/>
  <c r="AS274" i="3"/>
  <c r="AR274" i="3"/>
  <c r="AQ274" i="3"/>
  <c r="AL274" i="3"/>
  <c r="AN274" i="3" s="1"/>
  <c r="AG274" i="3"/>
  <c r="AI274" i="3" s="1"/>
  <c r="P274" i="3"/>
  <c r="O274" i="3"/>
  <c r="BS273" i="3"/>
  <c r="BM273" i="3"/>
  <c r="BL273" i="3"/>
  <c r="BH273" i="3"/>
  <c r="BG273" i="3"/>
  <c r="AQ273" i="3"/>
  <c r="AN273" i="3"/>
  <c r="AL273" i="3"/>
  <c r="AI273" i="3"/>
  <c r="AS273" i="3" s="1"/>
  <c r="AG273" i="3"/>
  <c r="AT273" i="3" s="1"/>
  <c r="P273" i="3"/>
  <c r="O273" i="3"/>
  <c r="BS272" i="3"/>
  <c r="BM272" i="3"/>
  <c r="BL272" i="3"/>
  <c r="BH272" i="3"/>
  <c r="BG272" i="3"/>
  <c r="AQ272" i="3"/>
  <c r="AL272" i="3"/>
  <c r="AN272" i="3" s="1"/>
  <c r="AG272" i="3"/>
  <c r="P272" i="3"/>
  <c r="O272" i="3"/>
  <c r="BS271" i="3"/>
  <c r="BM271" i="3"/>
  <c r="BL271" i="3"/>
  <c r="BH271" i="3"/>
  <c r="BG271" i="3"/>
  <c r="AT271" i="3"/>
  <c r="AR271" i="3"/>
  <c r="AQ271" i="3"/>
  <c r="AL271" i="3"/>
  <c r="AN271" i="3" s="1"/>
  <c r="AG271" i="3"/>
  <c r="AI271" i="3" s="1"/>
  <c r="P271" i="3"/>
  <c r="O271" i="3"/>
  <c r="BS270" i="3"/>
  <c r="BM270" i="3"/>
  <c r="BL270" i="3"/>
  <c r="BH270" i="3"/>
  <c r="BG270" i="3"/>
  <c r="AQ270" i="3"/>
  <c r="AT270" i="3" s="1"/>
  <c r="AL270" i="3"/>
  <c r="AN270" i="3" s="1"/>
  <c r="AS270" i="3" s="1"/>
  <c r="AG270" i="3"/>
  <c r="AI270" i="3" s="1"/>
  <c r="P270" i="3"/>
  <c r="O270" i="3"/>
  <c r="BS269" i="3"/>
  <c r="BM269" i="3"/>
  <c r="BL269" i="3"/>
  <c r="BH269" i="3"/>
  <c r="BG269" i="3"/>
  <c r="AQ269" i="3"/>
  <c r="AN269" i="3"/>
  <c r="AL269" i="3"/>
  <c r="AT269" i="3" s="1"/>
  <c r="AI269" i="3"/>
  <c r="AG269" i="3"/>
  <c r="P269" i="3"/>
  <c r="O269" i="3"/>
  <c r="BS268" i="3"/>
  <c r="BM268" i="3"/>
  <c r="BL268" i="3"/>
  <c r="BH268" i="3"/>
  <c r="BG268" i="3"/>
  <c r="AT268" i="3"/>
  <c r="AS268" i="3"/>
  <c r="AQ268" i="3"/>
  <c r="AL268" i="3"/>
  <c r="AN268" i="3" s="1"/>
  <c r="AG268" i="3"/>
  <c r="AI268" i="3" s="1"/>
  <c r="AR268" i="3" s="1"/>
  <c r="P268" i="3"/>
  <c r="O268" i="3"/>
  <c r="BS267" i="3"/>
  <c r="BM267" i="3"/>
  <c r="BL267" i="3"/>
  <c r="BH267" i="3"/>
  <c r="BG267" i="3"/>
  <c r="AQ267" i="3"/>
  <c r="AL267" i="3"/>
  <c r="AN267" i="3" s="1"/>
  <c r="AG267" i="3"/>
  <c r="P267" i="3"/>
  <c r="O267" i="3"/>
  <c r="BS266" i="3"/>
  <c r="BM266" i="3"/>
  <c r="BL266" i="3"/>
  <c r="BH266" i="3"/>
  <c r="BG266" i="3"/>
  <c r="AQ266" i="3"/>
  <c r="AT266" i="3" s="1"/>
  <c r="AL266" i="3"/>
  <c r="AN266" i="3" s="1"/>
  <c r="AS266" i="3" s="1"/>
  <c r="AG266" i="3"/>
  <c r="AI266" i="3" s="1"/>
  <c r="P266" i="3"/>
  <c r="O266" i="3"/>
  <c r="BS265" i="3"/>
  <c r="BM265" i="3"/>
  <c r="BL265" i="3"/>
  <c r="BH265" i="3"/>
  <c r="BG265" i="3"/>
  <c r="AT265" i="3"/>
  <c r="AQ265" i="3"/>
  <c r="AL265" i="3"/>
  <c r="AN265" i="3" s="1"/>
  <c r="AR265" i="3" s="1"/>
  <c r="AI265" i="3"/>
  <c r="AG265" i="3"/>
  <c r="P265" i="3"/>
  <c r="O265" i="3"/>
  <c r="BS264" i="3"/>
  <c r="BM264" i="3"/>
  <c r="BL264" i="3"/>
  <c r="BH264" i="3"/>
  <c r="BG264" i="3"/>
  <c r="AQ264" i="3"/>
  <c r="AL264" i="3"/>
  <c r="AN264" i="3" s="1"/>
  <c r="AG264" i="3"/>
  <c r="P264" i="3"/>
  <c r="O264" i="3"/>
  <c r="BS263" i="3"/>
  <c r="BM263" i="3"/>
  <c r="BL263" i="3"/>
  <c r="BH263" i="3"/>
  <c r="BG263" i="3"/>
  <c r="AQ263" i="3"/>
  <c r="AT263" i="3" s="1"/>
  <c r="AN263" i="3"/>
  <c r="AL263" i="3"/>
  <c r="AG263" i="3"/>
  <c r="AI263" i="3" s="1"/>
  <c r="P263" i="3"/>
  <c r="O263" i="3"/>
  <c r="BS262" i="3"/>
  <c r="BM262" i="3"/>
  <c r="BL262" i="3"/>
  <c r="BH262" i="3"/>
  <c r="BG262" i="3"/>
  <c r="AT262" i="3"/>
  <c r="AQ262" i="3"/>
  <c r="AL262" i="3"/>
  <c r="AN262" i="3" s="1"/>
  <c r="AG262" i="3"/>
  <c r="AI262" i="3" s="1"/>
  <c r="AS262" i="3" s="1"/>
  <c r="P262" i="3"/>
  <c r="O262" i="3"/>
  <c r="BS261" i="3"/>
  <c r="BM261" i="3"/>
  <c r="BL261" i="3"/>
  <c r="BH261" i="3"/>
  <c r="BG261" i="3"/>
  <c r="AQ261" i="3"/>
  <c r="AN261" i="3"/>
  <c r="AL261" i="3"/>
  <c r="AI261" i="3"/>
  <c r="AG261" i="3"/>
  <c r="AT261" i="3" s="1"/>
  <c r="P261" i="3"/>
  <c r="O261" i="3"/>
  <c r="BS260" i="3"/>
  <c r="BM260" i="3"/>
  <c r="BL260" i="3"/>
  <c r="BH260" i="3"/>
  <c r="BG260" i="3"/>
  <c r="AS260" i="3"/>
  <c r="AR260" i="3"/>
  <c r="AQ260" i="3"/>
  <c r="AL260" i="3"/>
  <c r="AN260" i="3" s="1"/>
  <c r="AG260" i="3"/>
  <c r="AI260" i="3" s="1"/>
  <c r="P260" i="3"/>
  <c r="O260" i="3"/>
  <c r="BS259" i="3"/>
  <c r="BM259" i="3"/>
  <c r="BL259" i="3"/>
  <c r="BH259" i="3"/>
  <c r="BG259" i="3"/>
  <c r="AT259" i="3"/>
  <c r="AQ259" i="3"/>
  <c r="AL259" i="3"/>
  <c r="AN259" i="3" s="1"/>
  <c r="AG259" i="3"/>
  <c r="AI259" i="3" s="1"/>
  <c r="P259" i="3"/>
  <c r="O259" i="3"/>
  <c r="BS258" i="3"/>
  <c r="BM258" i="3"/>
  <c r="BL258" i="3"/>
  <c r="BH258" i="3"/>
  <c r="BG258" i="3"/>
  <c r="AQ258" i="3"/>
  <c r="AL258" i="3"/>
  <c r="AN258" i="3" s="1"/>
  <c r="AG258" i="3"/>
  <c r="P258" i="3"/>
  <c r="O258" i="3"/>
  <c r="BS257" i="3"/>
  <c r="BM257" i="3"/>
  <c r="BL257" i="3"/>
  <c r="BH257" i="3"/>
  <c r="BG257" i="3"/>
  <c r="AQ257" i="3"/>
  <c r="AN257" i="3"/>
  <c r="AL257" i="3"/>
  <c r="AG257" i="3"/>
  <c r="AI257" i="3" s="1"/>
  <c r="P257" i="3"/>
  <c r="O257" i="3"/>
  <c r="BS256" i="3"/>
  <c r="BM256" i="3"/>
  <c r="BL256" i="3"/>
  <c r="BH256" i="3"/>
  <c r="BG256" i="3"/>
  <c r="AQ256" i="3"/>
  <c r="AL256" i="3"/>
  <c r="AN256" i="3" s="1"/>
  <c r="AG256" i="3"/>
  <c r="AI256" i="3" s="1"/>
  <c r="AS256" i="3" s="1"/>
  <c r="P256" i="3"/>
  <c r="O256" i="3"/>
  <c r="BS255" i="3"/>
  <c r="BM255" i="3"/>
  <c r="BL255" i="3"/>
  <c r="BH255" i="3"/>
  <c r="BG255" i="3"/>
  <c r="AQ255" i="3"/>
  <c r="AL255" i="3"/>
  <c r="AN255" i="3" s="1"/>
  <c r="AI255" i="3"/>
  <c r="AG255" i="3"/>
  <c r="P255" i="3"/>
  <c r="O255" i="3"/>
  <c r="BS254" i="3"/>
  <c r="BM254" i="3"/>
  <c r="BL254" i="3"/>
  <c r="BH254" i="3"/>
  <c r="BG254" i="3"/>
  <c r="AT254" i="3"/>
  <c r="AS254" i="3"/>
  <c r="AR254" i="3"/>
  <c r="AQ254" i="3"/>
  <c r="AL254" i="3"/>
  <c r="AN254" i="3" s="1"/>
  <c r="AG254" i="3"/>
  <c r="AI254" i="3" s="1"/>
  <c r="P254" i="3"/>
  <c r="O254" i="3"/>
  <c r="BS253" i="3"/>
  <c r="BM253" i="3"/>
  <c r="BL253" i="3"/>
  <c r="BH253" i="3"/>
  <c r="BG253" i="3"/>
  <c r="AQ253" i="3"/>
  <c r="AN253" i="3"/>
  <c r="AL253" i="3"/>
  <c r="AI253" i="3"/>
  <c r="AS253" i="3" s="1"/>
  <c r="AG253" i="3"/>
  <c r="AT253" i="3" s="1"/>
  <c r="P253" i="3"/>
  <c r="O253" i="3"/>
  <c r="BS252" i="3"/>
  <c r="BM252" i="3"/>
  <c r="BL252" i="3"/>
  <c r="BH252" i="3"/>
  <c r="BG252" i="3"/>
  <c r="AQ252" i="3"/>
  <c r="AL252" i="3"/>
  <c r="AN252" i="3" s="1"/>
  <c r="AG252" i="3"/>
  <c r="P252" i="3"/>
  <c r="O252" i="3"/>
  <c r="BS251" i="3"/>
  <c r="BM251" i="3"/>
  <c r="BL251" i="3"/>
  <c r="BH251" i="3"/>
  <c r="BG251" i="3"/>
  <c r="AT251" i="3"/>
  <c r="AQ251" i="3"/>
  <c r="AL251" i="3"/>
  <c r="AN251" i="3" s="1"/>
  <c r="AG251" i="3"/>
  <c r="AI251" i="3" s="1"/>
  <c r="AS251" i="3" s="1"/>
  <c r="P251" i="3"/>
  <c r="O251" i="3"/>
  <c r="BS250" i="3"/>
  <c r="BM250" i="3"/>
  <c r="BL250" i="3"/>
  <c r="BH250" i="3"/>
  <c r="BG250" i="3"/>
  <c r="AQ250" i="3"/>
  <c r="AT250" i="3" s="1"/>
  <c r="AL250" i="3"/>
  <c r="AN250" i="3" s="1"/>
  <c r="AS250" i="3" s="1"/>
  <c r="AG250" i="3"/>
  <c r="AI250" i="3" s="1"/>
  <c r="P250" i="3"/>
  <c r="O250" i="3"/>
  <c r="BS249" i="3"/>
  <c r="BM249" i="3"/>
  <c r="BL249" i="3"/>
  <c r="BH249" i="3"/>
  <c r="BG249" i="3"/>
  <c r="AQ249" i="3"/>
  <c r="AL249" i="3"/>
  <c r="AT249" i="3" s="1"/>
  <c r="AI249" i="3"/>
  <c r="AG249" i="3"/>
  <c r="P249" i="3"/>
  <c r="O249" i="3"/>
  <c r="BS248" i="3"/>
  <c r="BM248" i="3"/>
  <c r="BL248" i="3"/>
  <c r="BH248" i="3"/>
  <c r="BG248" i="3"/>
  <c r="AT248" i="3"/>
  <c r="AS248" i="3"/>
  <c r="AQ248" i="3"/>
  <c r="AL248" i="3"/>
  <c r="AN248" i="3" s="1"/>
  <c r="AG248" i="3"/>
  <c r="AI248" i="3" s="1"/>
  <c r="AR248" i="3" s="1"/>
  <c r="P248" i="3"/>
  <c r="O248" i="3"/>
  <c r="BS247" i="3"/>
  <c r="BM247" i="3"/>
  <c r="BL247" i="3"/>
  <c r="BH247" i="3"/>
  <c r="BG247" i="3"/>
  <c r="AQ247" i="3"/>
  <c r="AL247" i="3"/>
  <c r="AN247" i="3" s="1"/>
  <c r="AG247" i="3"/>
  <c r="P247" i="3"/>
  <c r="O247" i="3"/>
  <c r="BS246" i="3"/>
  <c r="BM246" i="3"/>
  <c r="BL246" i="3"/>
  <c r="BH246" i="3"/>
  <c r="BG246" i="3"/>
  <c r="AR246" i="3"/>
  <c r="AQ246" i="3"/>
  <c r="AT246" i="3" s="1"/>
  <c r="AN246" i="3"/>
  <c r="AL246" i="3"/>
  <c r="AG246" i="3"/>
  <c r="AI246" i="3" s="1"/>
  <c r="AS246" i="3" s="1"/>
  <c r="P246" i="3"/>
  <c r="O246" i="3"/>
  <c r="BS245" i="3"/>
  <c r="BM245" i="3"/>
  <c r="BL245" i="3"/>
  <c r="BH245" i="3"/>
  <c r="BG245" i="3"/>
  <c r="AT245" i="3"/>
  <c r="AQ245" i="3"/>
  <c r="AN245" i="3"/>
  <c r="AL245" i="3"/>
  <c r="AG245" i="3"/>
  <c r="AI245" i="3" s="1"/>
  <c r="P245" i="3"/>
  <c r="O245" i="3"/>
  <c r="BS244" i="3"/>
  <c r="BM244" i="3"/>
  <c r="BL244" i="3"/>
  <c r="BH244" i="3"/>
  <c r="BG244" i="3"/>
  <c r="AQ244" i="3"/>
  <c r="AL244" i="3"/>
  <c r="AN244" i="3" s="1"/>
  <c r="AG244" i="3"/>
  <c r="P244" i="3"/>
  <c r="O244" i="3"/>
  <c r="BS243" i="3"/>
  <c r="BM243" i="3"/>
  <c r="BL243" i="3"/>
  <c r="BH243" i="3"/>
  <c r="BG243" i="3"/>
  <c r="AQ243" i="3"/>
  <c r="AT243" i="3" s="1"/>
  <c r="AL243" i="3"/>
  <c r="AN243" i="3" s="1"/>
  <c r="AG243" i="3"/>
  <c r="AI243" i="3" s="1"/>
  <c r="P243" i="3"/>
  <c r="O243" i="3"/>
  <c r="BS242" i="3"/>
  <c r="BM242" i="3"/>
  <c r="BL242" i="3"/>
  <c r="BH242" i="3"/>
  <c r="BG242" i="3"/>
  <c r="AQ242" i="3"/>
  <c r="AN242" i="3"/>
  <c r="AL242" i="3"/>
  <c r="AG242" i="3"/>
  <c r="P242" i="3"/>
  <c r="O242" i="3"/>
  <c r="BS241" i="3"/>
  <c r="BM241" i="3"/>
  <c r="BL241" i="3"/>
  <c r="BH241" i="3"/>
  <c r="BG241" i="3"/>
  <c r="AQ241" i="3"/>
  <c r="AL241" i="3"/>
  <c r="AN241" i="3" s="1"/>
  <c r="AG241" i="3"/>
  <c r="AI241" i="3" s="1"/>
  <c r="P241" i="3"/>
  <c r="O241" i="3"/>
  <c r="BS240" i="3"/>
  <c r="BM240" i="3"/>
  <c r="BL240" i="3"/>
  <c r="BH240" i="3"/>
  <c r="BG240" i="3"/>
  <c r="AT240" i="3"/>
  <c r="AQ240" i="3"/>
  <c r="AN240" i="3"/>
  <c r="AL240" i="3"/>
  <c r="AG240" i="3"/>
  <c r="AI240" i="3" s="1"/>
  <c r="AS240" i="3" s="1"/>
  <c r="P240" i="3"/>
  <c r="O240" i="3"/>
  <c r="BS239" i="3"/>
  <c r="BM239" i="3"/>
  <c r="BL239" i="3"/>
  <c r="BH239" i="3"/>
  <c r="BG239" i="3"/>
  <c r="AQ239" i="3"/>
  <c r="AL239" i="3"/>
  <c r="AN239" i="3" s="1"/>
  <c r="AG239" i="3"/>
  <c r="AT239" i="3" s="1"/>
  <c r="P239" i="3"/>
  <c r="O239" i="3"/>
  <c r="BS238" i="3"/>
  <c r="BM238" i="3"/>
  <c r="BL238" i="3"/>
  <c r="BH238" i="3"/>
  <c r="BG238" i="3"/>
  <c r="AT238" i="3"/>
  <c r="AR238" i="3"/>
  <c r="AQ238" i="3"/>
  <c r="AL238" i="3"/>
  <c r="AN238" i="3" s="1"/>
  <c r="AS238" i="3" s="1"/>
  <c r="AG238" i="3"/>
  <c r="AI238" i="3" s="1"/>
  <c r="P238" i="3"/>
  <c r="O238" i="3"/>
  <c r="BS237" i="3"/>
  <c r="BM237" i="3"/>
  <c r="BL237" i="3"/>
  <c r="BH237" i="3"/>
  <c r="BG237" i="3"/>
  <c r="AQ237" i="3"/>
  <c r="AL237" i="3"/>
  <c r="AN237" i="3" s="1"/>
  <c r="AG237" i="3"/>
  <c r="P237" i="3"/>
  <c r="O237" i="3"/>
  <c r="BS236" i="3"/>
  <c r="BM236" i="3"/>
  <c r="BL236" i="3"/>
  <c r="BH236" i="3"/>
  <c r="BG236" i="3"/>
  <c r="AQ236" i="3"/>
  <c r="AT236" i="3" s="1"/>
  <c r="AN236" i="3"/>
  <c r="AR236" i="3" s="1"/>
  <c r="AL236" i="3"/>
  <c r="AG236" i="3"/>
  <c r="AI236" i="3" s="1"/>
  <c r="AS236" i="3" s="1"/>
  <c r="P236" i="3"/>
  <c r="O236" i="3"/>
  <c r="BS235" i="3"/>
  <c r="BM235" i="3"/>
  <c r="BL235" i="3"/>
  <c r="BH235" i="3"/>
  <c r="BG235" i="3"/>
  <c r="AT235" i="3"/>
  <c r="AQ235" i="3"/>
  <c r="AN235" i="3"/>
  <c r="AL235" i="3"/>
  <c r="AG235" i="3"/>
  <c r="AI235" i="3" s="1"/>
  <c r="P235" i="3"/>
  <c r="O235" i="3"/>
  <c r="BS234" i="3"/>
  <c r="BM234" i="3"/>
  <c r="BL234" i="3"/>
  <c r="BH234" i="3"/>
  <c r="BG234" i="3"/>
  <c r="AQ234" i="3"/>
  <c r="AN234" i="3"/>
  <c r="AL234" i="3"/>
  <c r="AG234" i="3"/>
  <c r="P234" i="3"/>
  <c r="O234" i="3"/>
  <c r="BS233" i="3"/>
  <c r="BM233" i="3"/>
  <c r="BL233" i="3"/>
  <c r="BH233" i="3"/>
  <c r="BG233" i="3"/>
  <c r="AT233" i="3"/>
  <c r="AR233" i="3"/>
  <c r="AQ233" i="3"/>
  <c r="AL233" i="3"/>
  <c r="AN233" i="3" s="1"/>
  <c r="AI233" i="3"/>
  <c r="AG233" i="3"/>
  <c r="P233" i="3"/>
  <c r="O233" i="3"/>
  <c r="BS232" i="3"/>
  <c r="BM232" i="3"/>
  <c r="BL232" i="3"/>
  <c r="BH232" i="3"/>
  <c r="BG232" i="3"/>
  <c r="AQ232" i="3"/>
  <c r="AN232" i="3"/>
  <c r="AL232" i="3"/>
  <c r="AG232" i="3"/>
  <c r="P232" i="3"/>
  <c r="O232" i="3"/>
  <c r="BS231" i="3"/>
  <c r="BM231" i="3"/>
  <c r="BL231" i="3"/>
  <c r="BH231" i="3"/>
  <c r="BG231" i="3"/>
  <c r="AQ231" i="3"/>
  <c r="AT231" i="3" s="1"/>
  <c r="AL231" i="3"/>
  <c r="AN231" i="3" s="1"/>
  <c r="AG231" i="3"/>
  <c r="AI231" i="3" s="1"/>
  <c r="P231" i="3"/>
  <c r="O231" i="3"/>
  <c r="BS230" i="3"/>
  <c r="BM230" i="3"/>
  <c r="BL230" i="3"/>
  <c r="BH230" i="3"/>
  <c r="BG230" i="3"/>
  <c r="AT230" i="3"/>
  <c r="AQ230" i="3"/>
  <c r="AN230" i="3"/>
  <c r="AL230" i="3"/>
  <c r="AG230" i="3"/>
  <c r="AI230" i="3" s="1"/>
  <c r="AS230" i="3" s="1"/>
  <c r="P230" i="3"/>
  <c r="O230" i="3"/>
  <c r="BS229" i="3"/>
  <c r="BM229" i="3"/>
  <c r="BL229" i="3"/>
  <c r="BH229" i="3"/>
  <c r="BG229" i="3"/>
  <c r="AQ229" i="3"/>
  <c r="AL229" i="3"/>
  <c r="AN229" i="3" s="1"/>
  <c r="AI229" i="3"/>
  <c r="AG229" i="3"/>
  <c r="AT229" i="3" s="1"/>
  <c r="P229" i="3"/>
  <c r="O229" i="3"/>
  <c r="BS228" i="3"/>
  <c r="BM228" i="3"/>
  <c r="BL228" i="3"/>
  <c r="BH228" i="3"/>
  <c r="BG228" i="3"/>
  <c r="AT228" i="3"/>
  <c r="AS228" i="3"/>
  <c r="AR228" i="3"/>
  <c r="AQ228" i="3"/>
  <c r="AL228" i="3"/>
  <c r="AN228" i="3" s="1"/>
  <c r="AG228" i="3"/>
  <c r="AI228" i="3" s="1"/>
  <c r="P228" i="3"/>
  <c r="O228" i="3"/>
  <c r="BS227" i="3"/>
  <c r="BM227" i="3"/>
  <c r="BL227" i="3"/>
  <c r="BH227" i="3"/>
  <c r="BG227" i="3"/>
  <c r="AQ227" i="3"/>
  <c r="AL227" i="3"/>
  <c r="AN227" i="3" s="1"/>
  <c r="AG227" i="3"/>
  <c r="P227" i="3"/>
  <c r="O227" i="3"/>
  <c r="BS226" i="3"/>
  <c r="BM226" i="3"/>
  <c r="BL226" i="3"/>
  <c r="BH226" i="3"/>
  <c r="BG226" i="3"/>
  <c r="AR226" i="3"/>
  <c r="AQ226" i="3"/>
  <c r="AT226" i="3" s="1"/>
  <c r="AN226" i="3"/>
  <c r="AL226" i="3"/>
  <c r="AG226" i="3"/>
  <c r="AI226" i="3" s="1"/>
  <c r="P226" i="3"/>
  <c r="O226" i="3"/>
  <c r="BS225" i="3"/>
  <c r="BM225" i="3"/>
  <c r="BL225" i="3"/>
  <c r="BH225" i="3"/>
  <c r="BG225" i="3"/>
  <c r="AT225" i="3"/>
  <c r="AQ225" i="3"/>
  <c r="AN225" i="3"/>
  <c r="AL225" i="3"/>
  <c r="AG225" i="3"/>
  <c r="AI225" i="3" s="1"/>
  <c r="P225" i="3"/>
  <c r="O225" i="3"/>
  <c r="BS224" i="3"/>
  <c r="BM224" i="3"/>
  <c r="BL224" i="3"/>
  <c r="BH224" i="3"/>
  <c r="BG224" i="3"/>
  <c r="AQ224" i="3"/>
  <c r="AN224" i="3"/>
  <c r="AL224" i="3"/>
  <c r="AG224" i="3"/>
  <c r="P224" i="3"/>
  <c r="O224" i="3"/>
  <c r="BS223" i="3"/>
  <c r="BM223" i="3"/>
  <c r="BL223" i="3"/>
  <c r="BH223" i="3"/>
  <c r="BG223" i="3"/>
  <c r="AQ223" i="3"/>
  <c r="AT223" i="3" s="1"/>
  <c r="AL223" i="3"/>
  <c r="AN223" i="3" s="1"/>
  <c r="AR223" i="3" s="1"/>
  <c r="AI223" i="3"/>
  <c r="AG223" i="3"/>
  <c r="P223" i="3"/>
  <c r="O223" i="3"/>
  <c r="BS222" i="3"/>
  <c r="BM222" i="3"/>
  <c r="BL222" i="3"/>
  <c r="BH222" i="3"/>
  <c r="BG222" i="3"/>
  <c r="AQ222" i="3"/>
  <c r="AN222" i="3"/>
  <c r="AL222" i="3"/>
  <c r="AG222" i="3"/>
  <c r="P222" i="3"/>
  <c r="O222" i="3"/>
  <c r="BS221" i="3"/>
  <c r="BM221" i="3"/>
  <c r="BL221" i="3"/>
  <c r="BH221" i="3"/>
  <c r="BG221" i="3"/>
  <c r="AQ221" i="3"/>
  <c r="AT221" i="3" s="1"/>
  <c r="AL221" i="3"/>
  <c r="AN221" i="3" s="1"/>
  <c r="AG221" i="3"/>
  <c r="AI221" i="3" s="1"/>
  <c r="P221" i="3"/>
  <c r="O221" i="3"/>
  <c r="BS220" i="3"/>
  <c r="BM220" i="3"/>
  <c r="BL220" i="3"/>
  <c r="BH220" i="3"/>
  <c r="BG220" i="3"/>
  <c r="AT220" i="3"/>
  <c r="AQ220" i="3"/>
  <c r="AN220" i="3"/>
  <c r="AL220" i="3"/>
  <c r="AG220" i="3"/>
  <c r="AI220" i="3" s="1"/>
  <c r="AS220" i="3" s="1"/>
  <c r="P220" i="3"/>
  <c r="O220" i="3"/>
  <c r="BS219" i="3"/>
  <c r="BM219" i="3"/>
  <c r="BL219" i="3"/>
  <c r="BH219" i="3"/>
  <c r="BG219" i="3"/>
  <c r="AQ219" i="3"/>
  <c r="AL219" i="3"/>
  <c r="AN219" i="3" s="1"/>
  <c r="AG219" i="3"/>
  <c r="P219" i="3"/>
  <c r="O219" i="3"/>
  <c r="BS218" i="3"/>
  <c r="BM218" i="3"/>
  <c r="BL218" i="3"/>
  <c r="BH218" i="3"/>
  <c r="BG218" i="3"/>
  <c r="AT218" i="3"/>
  <c r="AQ218" i="3"/>
  <c r="AL218" i="3"/>
  <c r="AN218" i="3" s="1"/>
  <c r="AS218" i="3" s="1"/>
  <c r="AG218" i="3"/>
  <c r="AI218" i="3" s="1"/>
  <c r="P218" i="3"/>
  <c r="O218" i="3"/>
  <c r="BS217" i="3"/>
  <c r="BM217" i="3"/>
  <c r="BL217" i="3"/>
  <c r="BH217" i="3"/>
  <c r="BG217" i="3"/>
  <c r="AQ217" i="3"/>
  <c r="AL217" i="3"/>
  <c r="AN217" i="3" s="1"/>
  <c r="AG217" i="3"/>
  <c r="P217" i="3"/>
  <c r="O217" i="3"/>
  <c r="BS216" i="3"/>
  <c r="BM216" i="3"/>
  <c r="BL216" i="3"/>
  <c r="BH216" i="3"/>
  <c r="BG216" i="3"/>
  <c r="AQ216" i="3"/>
  <c r="AT216" i="3" s="1"/>
  <c r="AN216" i="3"/>
  <c r="AR216" i="3" s="1"/>
  <c r="AL216" i="3"/>
  <c r="AG216" i="3"/>
  <c r="AI216" i="3" s="1"/>
  <c r="P216" i="3"/>
  <c r="O216" i="3"/>
  <c r="BS215" i="3"/>
  <c r="BM215" i="3"/>
  <c r="BL215" i="3"/>
  <c r="BH215" i="3"/>
  <c r="BG215" i="3"/>
  <c r="AT215" i="3"/>
  <c r="AQ215" i="3"/>
  <c r="AN215" i="3"/>
  <c r="AL215" i="3"/>
  <c r="AG215" i="3"/>
  <c r="AI215" i="3" s="1"/>
  <c r="P215" i="3"/>
  <c r="O215" i="3"/>
  <c r="BS214" i="3"/>
  <c r="BM214" i="3"/>
  <c r="BL214" i="3"/>
  <c r="BH214" i="3"/>
  <c r="BG214" i="3"/>
  <c r="AQ214" i="3"/>
  <c r="AN214" i="3"/>
  <c r="AL214" i="3"/>
  <c r="AG214" i="3"/>
  <c r="P214" i="3"/>
  <c r="O214" i="3"/>
  <c r="BS213" i="3"/>
  <c r="BM213" i="3"/>
  <c r="BL213" i="3"/>
  <c r="BH213" i="3"/>
  <c r="BG213" i="3"/>
  <c r="AQ213" i="3"/>
  <c r="AT213" i="3" s="1"/>
  <c r="AL213" i="3"/>
  <c r="AN213" i="3" s="1"/>
  <c r="AI213" i="3"/>
  <c r="AG213" i="3"/>
  <c r="P213" i="3"/>
  <c r="O213" i="3"/>
  <c r="BS212" i="3"/>
  <c r="BM212" i="3"/>
  <c r="BL212" i="3"/>
  <c r="BH212" i="3"/>
  <c r="BG212" i="3"/>
  <c r="AQ212" i="3"/>
  <c r="AN212" i="3"/>
  <c r="AL212" i="3"/>
  <c r="AG212" i="3"/>
  <c r="P212" i="3"/>
  <c r="O212" i="3"/>
  <c r="BS211" i="3"/>
  <c r="BM211" i="3"/>
  <c r="BL211" i="3"/>
  <c r="BH211" i="3"/>
  <c r="BG211" i="3"/>
  <c r="AQ211" i="3"/>
  <c r="AL211" i="3"/>
  <c r="AN211" i="3" s="1"/>
  <c r="AG211" i="3"/>
  <c r="AI211" i="3" s="1"/>
  <c r="P211" i="3"/>
  <c r="O211" i="3"/>
  <c r="BS210" i="3"/>
  <c r="BM210" i="3"/>
  <c r="BL210" i="3"/>
  <c r="BH210" i="3"/>
  <c r="BG210" i="3"/>
  <c r="AT210" i="3"/>
  <c r="AQ210" i="3"/>
  <c r="AN210" i="3"/>
  <c r="AL210" i="3"/>
  <c r="AG210" i="3"/>
  <c r="AI210" i="3" s="1"/>
  <c r="AS210" i="3" s="1"/>
  <c r="P210" i="3"/>
  <c r="O210" i="3"/>
  <c r="BS209" i="3"/>
  <c r="BM209" i="3"/>
  <c r="BL209" i="3"/>
  <c r="BH209" i="3"/>
  <c r="BG209" i="3"/>
  <c r="AQ209" i="3"/>
  <c r="AL209" i="3"/>
  <c r="AN209" i="3" s="1"/>
  <c r="AI209" i="3"/>
  <c r="AG209" i="3"/>
  <c r="P209" i="3"/>
  <c r="O209" i="3"/>
  <c r="BS208" i="3"/>
  <c r="BM208" i="3"/>
  <c r="BL208" i="3"/>
  <c r="BH208" i="3"/>
  <c r="BG208" i="3"/>
  <c r="AT208" i="3"/>
  <c r="AQ208" i="3"/>
  <c r="AL208" i="3"/>
  <c r="AN208" i="3" s="1"/>
  <c r="AS208" i="3" s="1"/>
  <c r="AG208" i="3"/>
  <c r="AI208" i="3" s="1"/>
  <c r="P208" i="3"/>
  <c r="O208" i="3"/>
  <c r="BS207" i="3"/>
  <c r="BM207" i="3"/>
  <c r="BL207" i="3"/>
  <c r="BH207" i="3"/>
  <c r="BG207" i="3"/>
  <c r="AQ207" i="3"/>
  <c r="AL207" i="3"/>
  <c r="AN207" i="3" s="1"/>
  <c r="AG207" i="3"/>
  <c r="P207" i="3"/>
  <c r="O207" i="3"/>
  <c r="BS206" i="3"/>
  <c r="BM206" i="3"/>
  <c r="BL206" i="3"/>
  <c r="BH206" i="3"/>
  <c r="BG206" i="3"/>
  <c r="AQ206" i="3"/>
  <c r="AT206" i="3" s="1"/>
  <c r="AN206" i="3"/>
  <c r="AL206" i="3"/>
  <c r="AG206" i="3"/>
  <c r="AI206" i="3" s="1"/>
  <c r="AS206" i="3" s="1"/>
  <c r="P206" i="3"/>
  <c r="O206" i="3"/>
  <c r="BS205" i="3"/>
  <c r="BM205" i="3"/>
  <c r="BL205" i="3"/>
  <c r="BH205" i="3"/>
  <c r="BG205" i="3"/>
  <c r="AT205" i="3"/>
  <c r="AQ205" i="3"/>
  <c r="AN205" i="3"/>
  <c r="AL205" i="3"/>
  <c r="AG205" i="3"/>
  <c r="AI205" i="3" s="1"/>
  <c r="P205" i="3"/>
  <c r="O205" i="3"/>
  <c r="BS204" i="3"/>
  <c r="BM204" i="3"/>
  <c r="BL204" i="3"/>
  <c r="BH204" i="3"/>
  <c r="BG204" i="3"/>
  <c r="AQ204" i="3"/>
  <c r="AL204" i="3"/>
  <c r="AN204" i="3" s="1"/>
  <c r="AG204" i="3"/>
  <c r="P204" i="3"/>
  <c r="O204" i="3"/>
  <c r="BS203" i="3"/>
  <c r="BM203" i="3"/>
  <c r="BL203" i="3"/>
  <c r="BH203" i="3"/>
  <c r="BG203" i="3"/>
  <c r="AR203" i="3"/>
  <c r="AQ203" i="3"/>
  <c r="AT203" i="3" s="1"/>
  <c r="AL203" i="3"/>
  <c r="AN203" i="3" s="1"/>
  <c r="AI203" i="3"/>
  <c r="AG203" i="3"/>
  <c r="P203" i="3"/>
  <c r="O203" i="3"/>
  <c r="BS202" i="3"/>
  <c r="BM202" i="3"/>
  <c r="BL202" i="3"/>
  <c r="BH202" i="3"/>
  <c r="BG202" i="3"/>
  <c r="AQ202" i="3"/>
  <c r="AN202" i="3"/>
  <c r="AL202" i="3"/>
  <c r="AG202" i="3"/>
  <c r="P202" i="3"/>
  <c r="O202" i="3"/>
  <c r="BS201" i="3"/>
  <c r="BM201" i="3"/>
  <c r="BL201" i="3"/>
  <c r="BH201" i="3"/>
  <c r="BG201" i="3"/>
  <c r="AQ201" i="3"/>
  <c r="AL201" i="3"/>
  <c r="AN201" i="3" s="1"/>
  <c r="AG201" i="3"/>
  <c r="AI201" i="3" s="1"/>
  <c r="P201" i="3"/>
  <c r="O201" i="3"/>
  <c r="BS200" i="3"/>
  <c r="BM200" i="3"/>
  <c r="BL200" i="3"/>
  <c r="BH200" i="3"/>
  <c r="BG200" i="3"/>
  <c r="AT200" i="3"/>
  <c r="AQ200" i="3"/>
  <c r="AN200" i="3"/>
  <c r="AL200" i="3"/>
  <c r="AG200" i="3"/>
  <c r="AI200" i="3" s="1"/>
  <c r="AS200" i="3" s="1"/>
  <c r="P200" i="3"/>
  <c r="O200" i="3"/>
  <c r="BS199" i="3"/>
  <c r="BM199" i="3"/>
  <c r="BL199" i="3"/>
  <c r="BH199" i="3"/>
  <c r="BG199" i="3"/>
  <c r="AQ199" i="3"/>
  <c r="AL199" i="3"/>
  <c r="AN199" i="3" s="1"/>
  <c r="AG199" i="3"/>
  <c r="AT199" i="3" s="1"/>
  <c r="P199" i="3"/>
  <c r="O199" i="3"/>
  <c r="BS198" i="3"/>
  <c r="BM198" i="3"/>
  <c r="BL198" i="3"/>
  <c r="BH198" i="3"/>
  <c r="BG198" i="3"/>
  <c r="AT198" i="3"/>
  <c r="AQ198" i="3"/>
  <c r="AL198" i="3"/>
  <c r="AN198" i="3" s="1"/>
  <c r="AG198" i="3"/>
  <c r="AI198" i="3" s="1"/>
  <c r="P198" i="3"/>
  <c r="O198" i="3"/>
  <c r="BS197" i="3"/>
  <c r="BM197" i="3"/>
  <c r="BL197" i="3"/>
  <c r="BH197" i="3"/>
  <c r="BG197" i="3"/>
  <c r="AQ197" i="3"/>
  <c r="AL197" i="3"/>
  <c r="AN197" i="3" s="1"/>
  <c r="AG197" i="3"/>
  <c r="P197" i="3"/>
  <c r="O197" i="3"/>
  <c r="BS196" i="3"/>
  <c r="BM196" i="3"/>
  <c r="BL196" i="3"/>
  <c r="BH196" i="3"/>
  <c r="BG196" i="3"/>
  <c r="AQ196" i="3"/>
  <c r="AT196" i="3" s="1"/>
  <c r="AN196" i="3"/>
  <c r="AL196" i="3"/>
  <c r="AG196" i="3"/>
  <c r="AI196" i="3" s="1"/>
  <c r="P196" i="3"/>
  <c r="O196" i="3"/>
  <c r="BS195" i="3"/>
  <c r="BM195" i="3"/>
  <c r="BL195" i="3"/>
  <c r="BH195" i="3"/>
  <c r="BG195" i="3"/>
  <c r="AT195" i="3"/>
  <c r="AQ195" i="3"/>
  <c r="AN195" i="3"/>
  <c r="AL195" i="3"/>
  <c r="AG195" i="3"/>
  <c r="AI195" i="3" s="1"/>
  <c r="P195" i="3"/>
  <c r="O195" i="3"/>
  <c r="BS194" i="3"/>
  <c r="BM194" i="3"/>
  <c r="BL194" i="3"/>
  <c r="BH194" i="3"/>
  <c r="BG194" i="3"/>
  <c r="AQ194" i="3"/>
  <c r="AN194" i="3"/>
  <c r="AL194" i="3"/>
  <c r="AG194" i="3"/>
  <c r="P194" i="3"/>
  <c r="O194" i="3"/>
  <c r="BS193" i="3"/>
  <c r="BM193" i="3"/>
  <c r="BL193" i="3"/>
  <c r="BH193" i="3"/>
  <c r="BG193" i="3"/>
  <c r="AT193" i="3"/>
  <c r="AQ193" i="3"/>
  <c r="AL193" i="3"/>
  <c r="AN193" i="3" s="1"/>
  <c r="AR193" i="3" s="1"/>
  <c r="AI193" i="3"/>
  <c r="AG193" i="3"/>
  <c r="P193" i="3"/>
  <c r="O193" i="3"/>
  <c r="BS192" i="3"/>
  <c r="BM192" i="3"/>
  <c r="BL192" i="3"/>
  <c r="BH192" i="3"/>
  <c r="BG192" i="3"/>
  <c r="AQ192" i="3"/>
  <c r="AN192" i="3"/>
  <c r="AL192" i="3"/>
  <c r="AG192" i="3"/>
  <c r="P192" i="3"/>
  <c r="O192" i="3"/>
  <c r="BS191" i="3"/>
  <c r="BM191" i="3"/>
  <c r="BL191" i="3"/>
  <c r="BH191" i="3"/>
  <c r="BG191" i="3"/>
  <c r="AQ191" i="3"/>
  <c r="AN191" i="3"/>
  <c r="AL191" i="3"/>
  <c r="AG191" i="3"/>
  <c r="AI191" i="3" s="1"/>
  <c r="P191" i="3"/>
  <c r="O191" i="3"/>
  <c r="BS190" i="3"/>
  <c r="BM190" i="3"/>
  <c r="BL190" i="3"/>
  <c r="BH190" i="3"/>
  <c r="BG190" i="3"/>
  <c r="AT190" i="3"/>
  <c r="AQ190" i="3"/>
  <c r="AN190" i="3"/>
  <c r="AL190" i="3"/>
  <c r="AG190" i="3"/>
  <c r="AI190" i="3" s="1"/>
  <c r="AS190" i="3" s="1"/>
  <c r="P190" i="3"/>
  <c r="O190" i="3"/>
  <c r="BS189" i="3"/>
  <c r="BM189" i="3"/>
  <c r="BL189" i="3"/>
  <c r="BH189" i="3"/>
  <c r="BG189" i="3"/>
  <c r="AQ189" i="3"/>
  <c r="AL189" i="3"/>
  <c r="AN189" i="3" s="1"/>
  <c r="AG189" i="3"/>
  <c r="AT189" i="3" s="1"/>
  <c r="P189" i="3"/>
  <c r="O189" i="3"/>
  <c r="BS188" i="3"/>
  <c r="BM188" i="3"/>
  <c r="BL188" i="3"/>
  <c r="BH188" i="3"/>
  <c r="BG188" i="3"/>
  <c r="AT188" i="3"/>
  <c r="AR188" i="3"/>
  <c r="AQ188" i="3"/>
  <c r="AL188" i="3"/>
  <c r="AN188" i="3" s="1"/>
  <c r="AS188" i="3" s="1"/>
  <c r="AG188" i="3"/>
  <c r="AI188" i="3" s="1"/>
  <c r="P188" i="3"/>
  <c r="O188" i="3"/>
  <c r="BS187" i="3"/>
  <c r="BM187" i="3"/>
  <c r="BL187" i="3"/>
  <c r="BH187" i="3"/>
  <c r="BG187" i="3"/>
  <c r="AQ187" i="3"/>
  <c r="AL187" i="3"/>
  <c r="AN187" i="3" s="1"/>
  <c r="AG187" i="3"/>
  <c r="P187" i="3"/>
  <c r="O187" i="3"/>
  <c r="BS186" i="3"/>
  <c r="BM186" i="3"/>
  <c r="BL186" i="3"/>
  <c r="BH186" i="3"/>
  <c r="BG186" i="3"/>
  <c r="AQ186" i="3"/>
  <c r="AT186" i="3" s="1"/>
  <c r="AN186" i="3"/>
  <c r="AR186" i="3" s="1"/>
  <c r="AL186" i="3"/>
  <c r="AG186" i="3"/>
  <c r="AI186" i="3" s="1"/>
  <c r="AS186" i="3" s="1"/>
  <c r="P186" i="3"/>
  <c r="O186" i="3"/>
  <c r="BS185" i="3"/>
  <c r="BM185" i="3"/>
  <c r="BL185" i="3"/>
  <c r="BH185" i="3"/>
  <c r="BG185" i="3"/>
  <c r="AT185" i="3"/>
  <c r="AQ185" i="3"/>
  <c r="AN185" i="3"/>
  <c r="AL185" i="3"/>
  <c r="AG185" i="3"/>
  <c r="AI185" i="3" s="1"/>
  <c r="P185" i="3"/>
  <c r="O185" i="3"/>
  <c r="BS184" i="3"/>
  <c r="BM184" i="3"/>
  <c r="BL184" i="3"/>
  <c r="BH184" i="3"/>
  <c r="BG184" i="3"/>
  <c r="AQ184" i="3"/>
  <c r="AN184" i="3"/>
  <c r="AL184" i="3"/>
  <c r="AG184" i="3"/>
  <c r="P184" i="3"/>
  <c r="O184" i="3"/>
  <c r="BS183" i="3"/>
  <c r="BM183" i="3"/>
  <c r="BL183" i="3"/>
  <c r="BH183" i="3"/>
  <c r="BG183" i="3"/>
  <c r="AT183" i="3"/>
  <c r="AR183" i="3"/>
  <c r="AQ183" i="3"/>
  <c r="AL183" i="3"/>
  <c r="AN183" i="3" s="1"/>
  <c r="AI183" i="3"/>
  <c r="AG183" i="3"/>
  <c r="P183" i="3"/>
  <c r="O183" i="3"/>
  <c r="BS182" i="3"/>
  <c r="BM182" i="3"/>
  <c r="BL182" i="3"/>
  <c r="BH182" i="3"/>
  <c r="BG182" i="3"/>
  <c r="AQ182" i="3"/>
  <c r="AN182" i="3"/>
  <c r="AL182" i="3"/>
  <c r="AG182" i="3"/>
  <c r="P182" i="3"/>
  <c r="O182" i="3"/>
  <c r="BS181" i="3"/>
  <c r="BM181" i="3"/>
  <c r="BL181" i="3"/>
  <c r="BH181" i="3"/>
  <c r="BG181" i="3"/>
  <c r="AQ181" i="3"/>
  <c r="AT181" i="3" s="1"/>
  <c r="AL181" i="3"/>
  <c r="AN181" i="3" s="1"/>
  <c r="AG181" i="3"/>
  <c r="AI181" i="3" s="1"/>
  <c r="P181" i="3"/>
  <c r="O181" i="3"/>
  <c r="BS180" i="3"/>
  <c r="BM180" i="3"/>
  <c r="BL180" i="3"/>
  <c r="BH180" i="3"/>
  <c r="BG180" i="3"/>
  <c r="AT180" i="3"/>
  <c r="AQ180" i="3"/>
  <c r="AN180" i="3"/>
  <c r="AL180" i="3"/>
  <c r="AG180" i="3"/>
  <c r="AI180" i="3" s="1"/>
  <c r="AS180" i="3" s="1"/>
  <c r="P180" i="3"/>
  <c r="O180" i="3"/>
  <c r="BS179" i="3"/>
  <c r="BM179" i="3"/>
  <c r="BL179" i="3"/>
  <c r="BH179" i="3"/>
  <c r="BG179" i="3"/>
  <c r="AQ179" i="3"/>
  <c r="AL179" i="3"/>
  <c r="AN179" i="3" s="1"/>
  <c r="AG179" i="3"/>
  <c r="AT179" i="3" s="1"/>
  <c r="P179" i="3"/>
  <c r="O179" i="3"/>
  <c r="BS178" i="3"/>
  <c r="BM178" i="3"/>
  <c r="BL178" i="3"/>
  <c r="BH178" i="3"/>
  <c r="BG178" i="3"/>
  <c r="AT178" i="3"/>
  <c r="AS178" i="3"/>
  <c r="AR178" i="3"/>
  <c r="AQ178" i="3"/>
  <c r="AL178" i="3"/>
  <c r="AN178" i="3" s="1"/>
  <c r="AG178" i="3"/>
  <c r="AI178" i="3" s="1"/>
  <c r="P178" i="3"/>
  <c r="O178" i="3"/>
  <c r="BS177" i="3"/>
  <c r="BM177" i="3"/>
  <c r="BL177" i="3"/>
  <c r="BH177" i="3"/>
  <c r="BG177" i="3"/>
  <c r="AQ177" i="3"/>
  <c r="AL177" i="3"/>
  <c r="AN177" i="3" s="1"/>
  <c r="AG177" i="3"/>
  <c r="P177" i="3"/>
  <c r="O177" i="3"/>
  <c r="BS176" i="3"/>
  <c r="BM176" i="3"/>
  <c r="BL176" i="3"/>
  <c r="BH176" i="3"/>
  <c r="BG176" i="3"/>
  <c r="AR176" i="3"/>
  <c r="AQ176" i="3"/>
  <c r="AT176" i="3" s="1"/>
  <c r="AN176" i="3"/>
  <c r="AL176" i="3"/>
  <c r="AG176" i="3"/>
  <c r="AI176" i="3" s="1"/>
  <c r="P176" i="3"/>
  <c r="O176" i="3"/>
  <c r="BS175" i="3"/>
  <c r="BM175" i="3"/>
  <c r="BL175" i="3"/>
  <c r="BH175" i="3"/>
  <c r="BG175" i="3"/>
  <c r="AT175" i="3"/>
  <c r="AQ175" i="3"/>
  <c r="AN175" i="3"/>
  <c r="AL175" i="3"/>
  <c r="AG175" i="3"/>
  <c r="AI175" i="3" s="1"/>
  <c r="P175" i="3"/>
  <c r="O175" i="3"/>
  <c r="BS174" i="3"/>
  <c r="BM174" i="3"/>
  <c r="BL174" i="3"/>
  <c r="BH174" i="3"/>
  <c r="BG174" i="3"/>
  <c r="AQ174" i="3"/>
  <c r="AN174" i="3"/>
  <c r="AL174" i="3"/>
  <c r="AG174" i="3"/>
  <c r="P174" i="3"/>
  <c r="O174" i="3"/>
  <c r="BS173" i="3"/>
  <c r="BM173" i="3"/>
  <c r="BL173" i="3"/>
  <c r="BH173" i="3"/>
  <c r="BG173" i="3"/>
  <c r="AQ173" i="3"/>
  <c r="AT173" i="3" s="1"/>
  <c r="AL173" i="3"/>
  <c r="AN173" i="3" s="1"/>
  <c r="AR173" i="3" s="1"/>
  <c r="AI173" i="3"/>
  <c r="AG173" i="3"/>
  <c r="P173" i="3"/>
  <c r="O173" i="3"/>
  <c r="BS172" i="3"/>
  <c r="BM172" i="3"/>
  <c r="BL172" i="3"/>
  <c r="BH172" i="3"/>
  <c r="BG172" i="3"/>
  <c r="AQ172" i="3"/>
  <c r="AN172" i="3"/>
  <c r="AL172" i="3"/>
  <c r="AG172" i="3"/>
  <c r="P172" i="3"/>
  <c r="O172" i="3"/>
  <c r="BS171" i="3"/>
  <c r="BM171" i="3"/>
  <c r="BL171" i="3"/>
  <c r="BH171" i="3"/>
  <c r="BG171" i="3"/>
  <c r="AQ171" i="3"/>
  <c r="AT171" i="3" s="1"/>
  <c r="AN171" i="3"/>
  <c r="AL171" i="3"/>
  <c r="AG171" i="3"/>
  <c r="AI171" i="3" s="1"/>
  <c r="P171" i="3"/>
  <c r="O171" i="3"/>
  <c r="BS170" i="3"/>
  <c r="BM170" i="3"/>
  <c r="BL170" i="3"/>
  <c r="BH170" i="3"/>
  <c r="BG170" i="3"/>
  <c r="AT170" i="3"/>
  <c r="AQ170" i="3"/>
  <c r="AN170" i="3"/>
  <c r="AL170" i="3"/>
  <c r="AG170" i="3"/>
  <c r="AI170" i="3" s="1"/>
  <c r="AS170" i="3" s="1"/>
  <c r="P170" i="3"/>
  <c r="O170" i="3"/>
  <c r="BS169" i="3"/>
  <c r="BM169" i="3"/>
  <c r="BL169" i="3"/>
  <c r="BH169" i="3"/>
  <c r="BG169" i="3"/>
  <c r="AQ169" i="3"/>
  <c r="AL169" i="3"/>
  <c r="AN169" i="3" s="1"/>
  <c r="AG169" i="3"/>
  <c r="P169" i="3"/>
  <c r="O169" i="3"/>
  <c r="BS168" i="3"/>
  <c r="BM168" i="3"/>
  <c r="BL168" i="3"/>
  <c r="BH168" i="3"/>
  <c r="BG168" i="3"/>
  <c r="AT168" i="3"/>
  <c r="AQ168" i="3"/>
  <c r="AL168" i="3"/>
  <c r="AN168" i="3" s="1"/>
  <c r="AS168" i="3" s="1"/>
  <c r="AG168" i="3"/>
  <c r="AI168" i="3" s="1"/>
  <c r="P168" i="3"/>
  <c r="O168" i="3"/>
  <c r="BS167" i="3"/>
  <c r="BM167" i="3"/>
  <c r="BL167" i="3"/>
  <c r="BH167" i="3"/>
  <c r="BG167" i="3"/>
  <c r="AQ167" i="3"/>
  <c r="AL167" i="3"/>
  <c r="AN167" i="3" s="1"/>
  <c r="AG167" i="3"/>
  <c r="P167" i="3"/>
  <c r="O167" i="3"/>
  <c r="BS166" i="3"/>
  <c r="BM166" i="3"/>
  <c r="BL166" i="3"/>
  <c r="BH166" i="3"/>
  <c r="BG166" i="3"/>
  <c r="AQ166" i="3"/>
  <c r="AT166" i="3" s="1"/>
  <c r="AN166" i="3"/>
  <c r="AR166" i="3" s="1"/>
  <c r="AL166" i="3"/>
  <c r="AG166" i="3"/>
  <c r="AI166" i="3" s="1"/>
  <c r="P166" i="3"/>
  <c r="O166" i="3"/>
  <c r="BS165" i="3"/>
  <c r="BM165" i="3"/>
  <c r="BL165" i="3"/>
  <c r="BH165" i="3"/>
  <c r="BG165" i="3"/>
  <c r="AT165" i="3"/>
  <c r="AQ165" i="3"/>
  <c r="AN165" i="3"/>
  <c r="AL165" i="3"/>
  <c r="AG165" i="3"/>
  <c r="AI165" i="3" s="1"/>
  <c r="P165" i="3"/>
  <c r="O165" i="3"/>
  <c r="BS164" i="3"/>
  <c r="BM164" i="3"/>
  <c r="BL164" i="3"/>
  <c r="BH164" i="3"/>
  <c r="BG164" i="3"/>
  <c r="AQ164" i="3"/>
  <c r="AN164" i="3"/>
  <c r="AL164" i="3"/>
  <c r="AG164" i="3"/>
  <c r="P164" i="3"/>
  <c r="O164" i="3"/>
  <c r="BS163" i="3"/>
  <c r="BM163" i="3"/>
  <c r="BL163" i="3"/>
  <c r="BH163" i="3"/>
  <c r="BG163" i="3"/>
  <c r="AQ163" i="3"/>
  <c r="AT163" i="3" s="1"/>
  <c r="AL163" i="3"/>
  <c r="AN163" i="3" s="1"/>
  <c r="AI163" i="3"/>
  <c r="AG163" i="3"/>
  <c r="P163" i="3"/>
  <c r="O163" i="3"/>
  <c r="BS162" i="3"/>
  <c r="BM162" i="3"/>
  <c r="BL162" i="3"/>
  <c r="BH162" i="3"/>
  <c r="BG162" i="3"/>
  <c r="AQ162" i="3"/>
  <c r="AN162" i="3"/>
  <c r="AL162" i="3"/>
  <c r="AG162" i="3"/>
  <c r="P162" i="3"/>
  <c r="O162" i="3"/>
  <c r="BS161" i="3"/>
  <c r="BM161" i="3"/>
  <c r="BL161" i="3"/>
  <c r="BH161" i="3"/>
  <c r="BG161" i="3"/>
  <c r="AQ161" i="3"/>
  <c r="AL161" i="3"/>
  <c r="AN161" i="3" s="1"/>
  <c r="AG161" i="3"/>
  <c r="AI161" i="3" s="1"/>
  <c r="P161" i="3"/>
  <c r="O161" i="3"/>
  <c r="BS160" i="3"/>
  <c r="BM160" i="3"/>
  <c r="BL160" i="3"/>
  <c r="BH160" i="3"/>
  <c r="BG160" i="3"/>
  <c r="AT160" i="3"/>
  <c r="AQ160" i="3"/>
  <c r="AN160" i="3"/>
  <c r="AL160" i="3"/>
  <c r="AG160" i="3"/>
  <c r="AI160" i="3" s="1"/>
  <c r="AS160" i="3" s="1"/>
  <c r="P160" i="3"/>
  <c r="O160" i="3"/>
  <c r="BS159" i="3"/>
  <c r="BM159" i="3"/>
  <c r="BL159" i="3"/>
  <c r="BH159" i="3"/>
  <c r="BG159" i="3"/>
  <c r="AQ159" i="3"/>
  <c r="AL159" i="3"/>
  <c r="AN159" i="3" s="1"/>
  <c r="AI159" i="3"/>
  <c r="AG159" i="3"/>
  <c r="P159" i="3"/>
  <c r="O159" i="3"/>
  <c r="BS158" i="3"/>
  <c r="BM158" i="3"/>
  <c r="BL158" i="3"/>
  <c r="BH158" i="3"/>
  <c r="BG158" i="3"/>
  <c r="AT158" i="3"/>
  <c r="AQ158" i="3"/>
  <c r="AL158" i="3"/>
  <c r="AN158" i="3" s="1"/>
  <c r="AS158" i="3" s="1"/>
  <c r="AG158" i="3"/>
  <c r="AI158" i="3" s="1"/>
  <c r="P158" i="3"/>
  <c r="O158" i="3"/>
  <c r="BS157" i="3"/>
  <c r="BM157" i="3"/>
  <c r="BL157" i="3"/>
  <c r="BH157" i="3"/>
  <c r="BG157" i="3"/>
  <c r="AQ157" i="3"/>
  <c r="AL157" i="3"/>
  <c r="AN157" i="3" s="1"/>
  <c r="AG157" i="3"/>
  <c r="P157" i="3"/>
  <c r="O157" i="3"/>
  <c r="BS156" i="3"/>
  <c r="BM156" i="3"/>
  <c r="BL156" i="3"/>
  <c r="BH156" i="3"/>
  <c r="BG156" i="3"/>
  <c r="AQ156" i="3"/>
  <c r="AT156" i="3" s="1"/>
  <c r="AN156" i="3"/>
  <c r="AL156" i="3"/>
  <c r="AG156" i="3"/>
  <c r="AI156" i="3" s="1"/>
  <c r="AS156" i="3" s="1"/>
  <c r="P156" i="3"/>
  <c r="O156" i="3"/>
  <c r="BS155" i="3"/>
  <c r="BM155" i="3"/>
  <c r="BL155" i="3"/>
  <c r="BH155" i="3"/>
  <c r="BG155" i="3"/>
  <c r="AT155" i="3"/>
  <c r="AQ155" i="3"/>
  <c r="AN155" i="3"/>
  <c r="AL155" i="3"/>
  <c r="AG155" i="3"/>
  <c r="AI155" i="3" s="1"/>
  <c r="P155" i="3"/>
  <c r="O155" i="3"/>
  <c r="BS154" i="3"/>
  <c r="BM154" i="3"/>
  <c r="BL154" i="3"/>
  <c r="BH154" i="3"/>
  <c r="BG154" i="3"/>
  <c r="AQ154" i="3"/>
  <c r="AL154" i="3"/>
  <c r="AN154" i="3" s="1"/>
  <c r="AG154" i="3"/>
  <c r="P154" i="3"/>
  <c r="O154" i="3"/>
  <c r="BS153" i="3"/>
  <c r="BM153" i="3"/>
  <c r="BL153" i="3"/>
  <c r="BH153" i="3"/>
  <c r="BG153" i="3"/>
  <c r="AQ153" i="3"/>
  <c r="AT153" i="3" s="1"/>
  <c r="AL153" i="3"/>
  <c r="AN153" i="3" s="1"/>
  <c r="AI153" i="3"/>
  <c r="AG153" i="3"/>
  <c r="P153" i="3"/>
  <c r="O153" i="3"/>
  <c r="BS152" i="3"/>
  <c r="BM152" i="3"/>
  <c r="BL152" i="3"/>
  <c r="BH152" i="3"/>
  <c r="BG152" i="3"/>
  <c r="AQ152" i="3"/>
  <c r="AN152" i="3"/>
  <c r="AL152" i="3"/>
  <c r="AG152" i="3"/>
  <c r="P152" i="3"/>
  <c r="O152" i="3"/>
  <c r="BS151" i="3"/>
  <c r="BM151" i="3"/>
  <c r="BL151" i="3"/>
  <c r="BH151" i="3"/>
  <c r="BG151" i="3"/>
  <c r="AQ151" i="3"/>
  <c r="AL151" i="3"/>
  <c r="AN151" i="3" s="1"/>
  <c r="AG151" i="3"/>
  <c r="AI151" i="3" s="1"/>
  <c r="P151" i="3"/>
  <c r="O151" i="3"/>
  <c r="BS150" i="3"/>
  <c r="BM150" i="3"/>
  <c r="BL150" i="3"/>
  <c r="BH150" i="3"/>
  <c r="BG150" i="3"/>
  <c r="AT150" i="3"/>
  <c r="AQ150" i="3"/>
  <c r="AN150" i="3"/>
  <c r="AL150" i="3"/>
  <c r="AG150" i="3"/>
  <c r="AI150" i="3" s="1"/>
  <c r="AS150" i="3" s="1"/>
  <c r="P150" i="3"/>
  <c r="O150" i="3"/>
  <c r="BS149" i="3"/>
  <c r="BM149" i="3"/>
  <c r="BL149" i="3"/>
  <c r="BH149" i="3"/>
  <c r="BG149" i="3"/>
  <c r="AQ149" i="3"/>
  <c r="AL149" i="3"/>
  <c r="AN149" i="3" s="1"/>
  <c r="AG149" i="3"/>
  <c r="AT149" i="3" s="1"/>
  <c r="P149" i="3"/>
  <c r="O149" i="3"/>
  <c r="BS148" i="3"/>
  <c r="BM148" i="3"/>
  <c r="BL148" i="3"/>
  <c r="BH148" i="3"/>
  <c r="BG148" i="3"/>
  <c r="AT148" i="3"/>
  <c r="AS148" i="3"/>
  <c r="AR148" i="3"/>
  <c r="AQ148" i="3"/>
  <c r="AN148" i="3"/>
  <c r="AL148" i="3"/>
  <c r="AG148" i="3"/>
  <c r="AI148" i="3" s="1"/>
  <c r="P148" i="3"/>
  <c r="O148" i="3"/>
  <c r="BS147" i="3"/>
  <c r="BM147" i="3"/>
  <c r="BL147" i="3"/>
  <c r="BH147" i="3"/>
  <c r="BG147" i="3"/>
  <c r="AQ147" i="3"/>
  <c r="AL147" i="3"/>
  <c r="AN147" i="3" s="1"/>
  <c r="AG147" i="3"/>
  <c r="P147" i="3"/>
  <c r="O147" i="3"/>
  <c r="BS146" i="3"/>
  <c r="BM146" i="3"/>
  <c r="BL146" i="3"/>
  <c r="BH146" i="3"/>
  <c r="BG146" i="3"/>
  <c r="AR146" i="3"/>
  <c r="AQ146" i="3"/>
  <c r="AN146" i="3"/>
  <c r="AL146" i="3"/>
  <c r="AG146" i="3"/>
  <c r="AI146" i="3" s="1"/>
  <c r="AS146" i="3" s="1"/>
  <c r="P146" i="3"/>
  <c r="O146" i="3"/>
  <c r="BS145" i="3"/>
  <c r="BM145" i="3"/>
  <c r="BL145" i="3"/>
  <c r="BH145" i="3"/>
  <c r="BG145" i="3"/>
  <c r="AT145" i="3"/>
  <c r="AQ145" i="3"/>
  <c r="AN145" i="3"/>
  <c r="AL145" i="3"/>
  <c r="AG145" i="3"/>
  <c r="AI145" i="3" s="1"/>
  <c r="P145" i="3"/>
  <c r="O145" i="3"/>
  <c r="BS144" i="3"/>
  <c r="BM144" i="3"/>
  <c r="BL144" i="3"/>
  <c r="BH144" i="3"/>
  <c r="BG144" i="3"/>
  <c r="AQ144" i="3"/>
  <c r="AL144" i="3"/>
  <c r="AT144" i="3" s="1"/>
  <c r="AI144" i="3"/>
  <c r="AG144" i="3"/>
  <c r="P144" i="3"/>
  <c r="O144" i="3"/>
  <c r="BS143" i="3"/>
  <c r="BM143" i="3"/>
  <c r="BL143" i="3"/>
  <c r="BH143" i="3"/>
  <c r="BG143" i="3"/>
  <c r="AT143" i="3"/>
  <c r="AQ143" i="3"/>
  <c r="AN143" i="3"/>
  <c r="AL143" i="3"/>
  <c r="AG143" i="3"/>
  <c r="AI143" i="3" s="1"/>
  <c r="AR143" i="3" s="1"/>
  <c r="P143" i="3"/>
  <c r="O143" i="3"/>
  <c r="BS142" i="3"/>
  <c r="BM142" i="3"/>
  <c r="BL142" i="3"/>
  <c r="BH142" i="3"/>
  <c r="BG142" i="3"/>
  <c r="AQ142" i="3"/>
  <c r="AN142" i="3"/>
  <c r="AL142" i="3"/>
  <c r="AT142" i="3" s="1"/>
  <c r="AI142" i="3"/>
  <c r="AG142" i="3"/>
  <c r="P142" i="3"/>
  <c r="O142" i="3"/>
  <c r="BS141" i="3"/>
  <c r="BM141" i="3"/>
  <c r="BL141" i="3"/>
  <c r="BH141" i="3"/>
  <c r="BG141" i="3"/>
  <c r="AT141" i="3"/>
  <c r="AS141" i="3"/>
  <c r="AQ141" i="3"/>
  <c r="AN141" i="3"/>
  <c r="AL141" i="3"/>
  <c r="AG141" i="3"/>
  <c r="AI141" i="3" s="1"/>
  <c r="AR141" i="3" s="1"/>
  <c r="P141" i="3"/>
  <c r="O141" i="3"/>
  <c r="BS140" i="3"/>
  <c r="BM140" i="3"/>
  <c r="BL140" i="3"/>
  <c r="BH140" i="3"/>
  <c r="BG140" i="3"/>
  <c r="AQ140" i="3"/>
  <c r="AL140" i="3"/>
  <c r="AT140" i="3" s="1"/>
  <c r="AI140" i="3"/>
  <c r="AG140" i="3"/>
  <c r="P140" i="3"/>
  <c r="O140" i="3"/>
  <c r="BS139" i="3"/>
  <c r="BM139" i="3"/>
  <c r="BL139" i="3"/>
  <c r="BH139" i="3"/>
  <c r="BG139" i="3"/>
  <c r="AT139" i="3"/>
  <c r="AQ139" i="3"/>
  <c r="AN139" i="3"/>
  <c r="AL139" i="3"/>
  <c r="AG139" i="3"/>
  <c r="AI139" i="3" s="1"/>
  <c r="AR139" i="3" s="1"/>
  <c r="P139" i="3"/>
  <c r="O139" i="3"/>
  <c r="BS138" i="3"/>
  <c r="BM138" i="3"/>
  <c r="BL138" i="3"/>
  <c r="BH138" i="3"/>
  <c r="BG138" i="3"/>
  <c r="AQ138" i="3"/>
  <c r="AN138" i="3"/>
  <c r="AL138" i="3"/>
  <c r="AT138" i="3" s="1"/>
  <c r="AI138" i="3"/>
  <c r="AG138" i="3"/>
  <c r="P138" i="3"/>
  <c r="O138" i="3"/>
  <c r="BS137" i="3"/>
  <c r="BM137" i="3"/>
  <c r="BL137" i="3"/>
  <c r="BH137" i="3"/>
  <c r="BG137" i="3"/>
  <c r="AT137" i="3"/>
  <c r="AS137" i="3"/>
  <c r="AQ137" i="3"/>
  <c r="AN137" i="3"/>
  <c r="AL137" i="3"/>
  <c r="AG137" i="3"/>
  <c r="AI137" i="3" s="1"/>
  <c r="AR137" i="3" s="1"/>
  <c r="P137" i="3"/>
  <c r="O137" i="3"/>
  <c r="BS136" i="3"/>
  <c r="BM136" i="3"/>
  <c r="BL136" i="3"/>
  <c r="BH136" i="3"/>
  <c r="BG136" i="3"/>
  <c r="AQ136" i="3"/>
  <c r="AL136" i="3"/>
  <c r="AT136" i="3" s="1"/>
  <c r="AI136" i="3"/>
  <c r="AG136" i="3"/>
  <c r="P136" i="3"/>
  <c r="O136" i="3"/>
  <c r="BS135" i="3"/>
  <c r="BM135" i="3"/>
  <c r="BL135" i="3"/>
  <c r="BH135" i="3"/>
  <c r="BG135" i="3"/>
  <c r="AT135" i="3"/>
  <c r="AQ135" i="3"/>
  <c r="AN135" i="3"/>
  <c r="AL135" i="3"/>
  <c r="AG135" i="3"/>
  <c r="AI135" i="3" s="1"/>
  <c r="AR135" i="3" s="1"/>
  <c r="P135" i="3"/>
  <c r="O135" i="3"/>
  <c r="BS134" i="3"/>
  <c r="BM134" i="3"/>
  <c r="BL134" i="3"/>
  <c r="BH134" i="3"/>
  <c r="BG134" i="3"/>
  <c r="AQ134" i="3"/>
  <c r="AN134" i="3"/>
  <c r="AL134" i="3"/>
  <c r="AT134" i="3" s="1"/>
  <c r="AI134" i="3"/>
  <c r="AG134" i="3"/>
  <c r="P134" i="3"/>
  <c r="O134" i="3"/>
  <c r="BS133" i="3"/>
  <c r="BM133" i="3"/>
  <c r="BL133" i="3"/>
  <c r="BH133" i="3"/>
  <c r="BG133" i="3"/>
  <c r="AT133" i="3"/>
  <c r="AS133" i="3"/>
  <c r="AQ133" i="3"/>
  <c r="AN133" i="3"/>
  <c r="AL133" i="3"/>
  <c r="AG133" i="3"/>
  <c r="AI133" i="3" s="1"/>
  <c r="AR133" i="3" s="1"/>
  <c r="P133" i="3"/>
  <c r="O133" i="3"/>
  <c r="BS132" i="3"/>
  <c r="BM132" i="3"/>
  <c r="BL132" i="3"/>
  <c r="BH132" i="3"/>
  <c r="BG132" i="3"/>
  <c r="AQ132" i="3"/>
  <c r="AL132" i="3"/>
  <c r="AT132" i="3" s="1"/>
  <c r="AI132" i="3"/>
  <c r="AG132" i="3"/>
  <c r="P132" i="3"/>
  <c r="O132" i="3"/>
  <c r="BS131" i="3"/>
  <c r="BM131" i="3"/>
  <c r="BL131" i="3"/>
  <c r="BH131" i="3"/>
  <c r="BG131" i="3"/>
  <c r="AT131" i="3"/>
  <c r="AQ131" i="3"/>
  <c r="AN131" i="3"/>
  <c r="AL131" i="3"/>
  <c r="AG131" i="3"/>
  <c r="AI131" i="3" s="1"/>
  <c r="AR131" i="3" s="1"/>
  <c r="P131" i="3"/>
  <c r="O131" i="3"/>
  <c r="BS130" i="3"/>
  <c r="BM130" i="3"/>
  <c r="BL130" i="3"/>
  <c r="BH130" i="3"/>
  <c r="BG130" i="3"/>
  <c r="AQ130" i="3"/>
  <c r="AN130" i="3"/>
  <c r="AL130" i="3"/>
  <c r="AT130" i="3" s="1"/>
  <c r="AI130" i="3"/>
  <c r="AG130" i="3"/>
  <c r="P130" i="3"/>
  <c r="O130" i="3"/>
  <c r="BS129" i="3"/>
  <c r="BM129" i="3"/>
  <c r="BL129" i="3"/>
  <c r="BH129" i="3"/>
  <c r="BG129" i="3"/>
  <c r="AT129" i="3"/>
  <c r="AS129" i="3"/>
  <c r="AQ129" i="3"/>
  <c r="AN129" i="3"/>
  <c r="AL129" i="3"/>
  <c r="AG129" i="3"/>
  <c r="AI129" i="3" s="1"/>
  <c r="AR129" i="3" s="1"/>
  <c r="P129" i="3"/>
  <c r="O129" i="3"/>
  <c r="BS128" i="3"/>
  <c r="BM128" i="3"/>
  <c r="BL128" i="3"/>
  <c r="BH128" i="3"/>
  <c r="BG128" i="3"/>
  <c r="AQ128" i="3"/>
  <c r="AL128" i="3"/>
  <c r="AT128" i="3" s="1"/>
  <c r="AI128" i="3"/>
  <c r="AG128" i="3"/>
  <c r="P128" i="3"/>
  <c r="O128" i="3"/>
  <c r="BS127" i="3"/>
  <c r="BM127" i="3"/>
  <c r="BL127" i="3"/>
  <c r="BH127" i="3"/>
  <c r="BG127" i="3"/>
  <c r="AT127" i="3"/>
  <c r="AQ127" i="3"/>
  <c r="AN127" i="3"/>
  <c r="AL127" i="3"/>
  <c r="AG127" i="3"/>
  <c r="AI127" i="3" s="1"/>
  <c r="AR127" i="3" s="1"/>
  <c r="P127" i="3"/>
  <c r="O127" i="3"/>
  <c r="BS126" i="3"/>
  <c r="BM126" i="3"/>
  <c r="BL126" i="3"/>
  <c r="BH126" i="3"/>
  <c r="BG126" i="3"/>
  <c r="AQ126" i="3"/>
  <c r="AN126" i="3"/>
  <c r="AL126" i="3"/>
  <c r="AT126" i="3" s="1"/>
  <c r="AI126" i="3"/>
  <c r="AG126" i="3"/>
  <c r="P126" i="3"/>
  <c r="O126" i="3"/>
  <c r="BS125" i="3"/>
  <c r="BM125" i="3"/>
  <c r="BL125" i="3"/>
  <c r="BH125" i="3"/>
  <c r="BG125" i="3"/>
  <c r="AT125" i="3"/>
  <c r="AS125" i="3"/>
  <c r="AQ125" i="3"/>
  <c r="AN125" i="3"/>
  <c r="AL125" i="3"/>
  <c r="AG125" i="3"/>
  <c r="AI125" i="3" s="1"/>
  <c r="AR125" i="3" s="1"/>
  <c r="P125" i="3"/>
  <c r="O125" i="3"/>
  <c r="BS124" i="3"/>
  <c r="BM124" i="3"/>
  <c r="BL124" i="3"/>
  <c r="BH124" i="3"/>
  <c r="BG124" i="3"/>
  <c r="AQ124" i="3"/>
  <c r="AL124" i="3"/>
  <c r="AT124" i="3" s="1"/>
  <c r="AI124" i="3"/>
  <c r="AG124" i="3"/>
  <c r="P124" i="3"/>
  <c r="O124" i="3"/>
  <c r="BS123" i="3"/>
  <c r="BM123" i="3"/>
  <c r="BL123" i="3"/>
  <c r="BH123" i="3"/>
  <c r="BG123" i="3"/>
  <c r="AT123" i="3"/>
  <c r="AQ123" i="3"/>
  <c r="AN123" i="3"/>
  <c r="AL123" i="3"/>
  <c r="AG123" i="3"/>
  <c r="AI123" i="3" s="1"/>
  <c r="AR123" i="3" s="1"/>
  <c r="P123" i="3"/>
  <c r="O123" i="3"/>
  <c r="BS122" i="3"/>
  <c r="BM122" i="3"/>
  <c r="BL122" i="3"/>
  <c r="BH122" i="3"/>
  <c r="BG122" i="3"/>
  <c r="AQ122" i="3"/>
  <c r="AN122" i="3"/>
  <c r="AL122" i="3"/>
  <c r="AT122" i="3" s="1"/>
  <c r="AI122" i="3"/>
  <c r="AG122" i="3"/>
  <c r="P122" i="3"/>
  <c r="O122" i="3"/>
  <c r="BS121" i="3"/>
  <c r="BM121" i="3"/>
  <c r="BL121" i="3"/>
  <c r="BH121" i="3"/>
  <c r="BG121" i="3"/>
  <c r="AT121" i="3"/>
  <c r="AQ121" i="3"/>
  <c r="AN121" i="3"/>
  <c r="AL121" i="3"/>
  <c r="AG121" i="3"/>
  <c r="AI121" i="3" s="1"/>
  <c r="AR121" i="3" s="1"/>
  <c r="P121" i="3"/>
  <c r="O121" i="3"/>
  <c r="BS120" i="3"/>
  <c r="BM120" i="3"/>
  <c r="BL120" i="3"/>
  <c r="BH120" i="3"/>
  <c r="BG120" i="3"/>
  <c r="AQ120" i="3"/>
  <c r="AL120" i="3"/>
  <c r="AT120" i="3" s="1"/>
  <c r="AI120" i="3"/>
  <c r="AG120" i="3"/>
  <c r="P120" i="3"/>
  <c r="O120" i="3"/>
  <c r="BS119" i="3"/>
  <c r="BM119" i="3"/>
  <c r="BL119" i="3"/>
  <c r="BH119" i="3"/>
  <c r="BG119" i="3"/>
  <c r="AT119" i="3"/>
  <c r="AQ119" i="3"/>
  <c r="AN119" i="3"/>
  <c r="AL119" i="3"/>
  <c r="AG119" i="3"/>
  <c r="AI119" i="3" s="1"/>
  <c r="AR119" i="3" s="1"/>
  <c r="P119" i="3"/>
  <c r="O119" i="3"/>
  <c r="BS118" i="3"/>
  <c r="BM118" i="3"/>
  <c r="BL118" i="3"/>
  <c r="BH118" i="3"/>
  <c r="BG118" i="3"/>
  <c r="AQ118" i="3"/>
  <c r="AN118" i="3"/>
  <c r="AL118" i="3"/>
  <c r="AT118" i="3" s="1"/>
  <c r="AI118" i="3"/>
  <c r="AG118" i="3"/>
  <c r="P118" i="3"/>
  <c r="O118" i="3"/>
  <c r="BS117" i="3"/>
  <c r="BM117" i="3"/>
  <c r="BL117" i="3"/>
  <c r="BH117" i="3"/>
  <c r="BG117" i="3"/>
  <c r="AT117" i="3"/>
  <c r="AQ117" i="3"/>
  <c r="AN117" i="3"/>
  <c r="AL117" i="3"/>
  <c r="AG117" i="3"/>
  <c r="AI117" i="3" s="1"/>
  <c r="AR117" i="3" s="1"/>
  <c r="P117" i="3"/>
  <c r="O117" i="3"/>
  <c r="BS116" i="3"/>
  <c r="BM116" i="3"/>
  <c r="BL116" i="3"/>
  <c r="BH116" i="3"/>
  <c r="BG116" i="3"/>
  <c r="AQ116" i="3"/>
  <c r="AL116" i="3"/>
  <c r="AT116" i="3" s="1"/>
  <c r="AI116" i="3"/>
  <c r="AG116" i="3"/>
  <c r="P116" i="3"/>
  <c r="O116" i="3"/>
  <c r="BS115" i="3"/>
  <c r="BM115" i="3"/>
  <c r="BL115" i="3"/>
  <c r="BH115" i="3"/>
  <c r="BG115" i="3"/>
  <c r="AT115" i="3"/>
  <c r="AQ115" i="3"/>
  <c r="AN115" i="3"/>
  <c r="AL115" i="3"/>
  <c r="AG115" i="3"/>
  <c r="AI115" i="3" s="1"/>
  <c r="AR115" i="3" s="1"/>
  <c r="P115" i="3"/>
  <c r="O115" i="3"/>
  <c r="BS114" i="3"/>
  <c r="BM114" i="3"/>
  <c r="BL114" i="3"/>
  <c r="BH114" i="3"/>
  <c r="BG114" i="3"/>
  <c r="AQ114" i="3"/>
  <c r="AN114" i="3"/>
  <c r="AL114" i="3"/>
  <c r="AT114" i="3" s="1"/>
  <c r="AI114" i="3"/>
  <c r="AG114" i="3"/>
  <c r="P114" i="3"/>
  <c r="O114" i="3"/>
  <c r="BS113" i="3"/>
  <c r="BM113" i="3"/>
  <c r="BL113" i="3"/>
  <c r="BH113" i="3"/>
  <c r="BG113" i="3"/>
  <c r="AT113" i="3"/>
  <c r="AQ113" i="3"/>
  <c r="AN113" i="3"/>
  <c r="AL113" i="3"/>
  <c r="AG113" i="3"/>
  <c r="AI113" i="3" s="1"/>
  <c r="P113" i="3"/>
  <c r="O113" i="3"/>
  <c r="BS112" i="3"/>
  <c r="BM112" i="3"/>
  <c r="BL112" i="3"/>
  <c r="BH112" i="3"/>
  <c r="BG112" i="3"/>
  <c r="AQ112" i="3"/>
  <c r="AL112" i="3"/>
  <c r="AT112" i="3" s="1"/>
  <c r="AI112" i="3"/>
  <c r="AG112" i="3"/>
  <c r="P112" i="3"/>
  <c r="O112" i="3"/>
  <c r="BS111" i="3"/>
  <c r="BM111" i="3"/>
  <c r="BL111" i="3"/>
  <c r="BH111" i="3"/>
  <c r="BG111" i="3"/>
  <c r="AQ111" i="3"/>
  <c r="AT111" i="3" s="1"/>
  <c r="AN111" i="3"/>
  <c r="AL111" i="3"/>
  <c r="AG111" i="3"/>
  <c r="AI111" i="3" s="1"/>
  <c r="AS111" i="3" s="1"/>
  <c r="P111" i="3"/>
  <c r="O111" i="3"/>
  <c r="BS110" i="3"/>
  <c r="BM110" i="3"/>
  <c r="BL110" i="3"/>
  <c r="BH110" i="3"/>
  <c r="BG110" i="3"/>
  <c r="AQ110" i="3"/>
  <c r="AN110" i="3"/>
  <c r="AL110" i="3"/>
  <c r="AT110" i="3" s="1"/>
  <c r="AI110" i="3"/>
  <c r="AG110" i="3"/>
  <c r="P110" i="3"/>
  <c r="O110" i="3"/>
  <c r="BS109" i="3"/>
  <c r="BM109" i="3"/>
  <c r="BL109" i="3"/>
  <c r="BH109" i="3"/>
  <c r="BG109" i="3"/>
  <c r="AT109" i="3"/>
  <c r="AQ109" i="3"/>
  <c r="AN109" i="3"/>
  <c r="AL109" i="3"/>
  <c r="AG109" i="3"/>
  <c r="AI109" i="3" s="1"/>
  <c r="P109" i="3"/>
  <c r="O109" i="3"/>
  <c r="BS108" i="3"/>
  <c r="BM108" i="3"/>
  <c r="BL108" i="3"/>
  <c r="BH108" i="3"/>
  <c r="BG108" i="3"/>
  <c r="AQ108" i="3"/>
  <c r="AT108" i="3" s="1"/>
  <c r="AL108" i="3"/>
  <c r="AN108" i="3" s="1"/>
  <c r="AI108" i="3"/>
  <c r="AG108" i="3"/>
  <c r="P108" i="3"/>
  <c r="O108" i="3"/>
  <c r="BS107" i="3"/>
  <c r="BM107" i="3"/>
  <c r="BL107" i="3"/>
  <c r="BH107" i="3"/>
  <c r="BG107" i="3"/>
  <c r="AQ107" i="3"/>
  <c r="AT107" i="3" s="1"/>
  <c r="AN107" i="3"/>
  <c r="AL107" i="3"/>
  <c r="AG107" i="3"/>
  <c r="AI107" i="3" s="1"/>
  <c r="P107" i="3"/>
  <c r="O107" i="3"/>
  <c r="BS106" i="3"/>
  <c r="BM106" i="3"/>
  <c r="BL106" i="3"/>
  <c r="BH106" i="3"/>
  <c r="BG106" i="3"/>
  <c r="AQ106" i="3"/>
  <c r="AT106" i="3" s="1"/>
  <c r="AN106" i="3"/>
  <c r="AL106" i="3"/>
  <c r="AI106" i="3"/>
  <c r="AG106" i="3"/>
  <c r="P106" i="3"/>
  <c r="O106" i="3"/>
  <c r="BS105" i="3"/>
  <c r="BM105" i="3"/>
  <c r="BL105" i="3"/>
  <c r="BH105" i="3"/>
  <c r="BG105" i="3"/>
  <c r="AT105" i="3"/>
  <c r="AQ105" i="3"/>
  <c r="AN105" i="3"/>
  <c r="AL105" i="3"/>
  <c r="AG105" i="3"/>
  <c r="AI105" i="3" s="1"/>
  <c r="P105" i="3"/>
  <c r="O105" i="3"/>
  <c r="BS104" i="3"/>
  <c r="BM104" i="3"/>
  <c r="BL104" i="3"/>
  <c r="BH104" i="3"/>
  <c r="BG104" i="3"/>
  <c r="AQ104" i="3"/>
  <c r="AT104" i="3" s="1"/>
  <c r="AL104" i="3"/>
  <c r="AN104" i="3" s="1"/>
  <c r="AI104" i="3"/>
  <c r="AG104" i="3"/>
  <c r="P104" i="3"/>
  <c r="O104" i="3"/>
  <c r="BS103" i="3"/>
  <c r="BM103" i="3"/>
  <c r="BL103" i="3"/>
  <c r="BH103" i="3"/>
  <c r="BG103" i="3"/>
  <c r="AQ103" i="3"/>
  <c r="AT103" i="3" s="1"/>
  <c r="AN103" i="3"/>
  <c r="AL103" i="3"/>
  <c r="AG103" i="3"/>
  <c r="AI103" i="3" s="1"/>
  <c r="P103" i="3"/>
  <c r="O103" i="3"/>
  <c r="BS102" i="3"/>
  <c r="BM102" i="3"/>
  <c r="BL102" i="3"/>
  <c r="BH102" i="3"/>
  <c r="BG102" i="3"/>
  <c r="AQ102" i="3"/>
  <c r="AT102" i="3" s="1"/>
  <c r="AN102" i="3"/>
  <c r="AL102" i="3"/>
  <c r="AI102" i="3"/>
  <c r="AG102" i="3"/>
  <c r="P102" i="3"/>
  <c r="O102" i="3"/>
  <c r="BS101" i="3"/>
  <c r="BM101" i="3"/>
  <c r="BL101" i="3"/>
  <c r="BH101" i="3"/>
  <c r="BG101" i="3"/>
  <c r="AT101" i="3"/>
  <c r="AQ101" i="3"/>
  <c r="AN101" i="3"/>
  <c r="AL101" i="3"/>
  <c r="AG101" i="3"/>
  <c r="AI101" i="3" s="1"/>
  <c r="P101" i="3"/>
  <c r="O101" i="3"/>
  <c r="BS100" i="3"/>
  <c r="BM100" i="3"/>
  <c r="BL100" i="3"/>
  <c r="BH100" i="3"/>
  <c r="BG100" i="3"/>
  <c r="AQ100" i="3"/>
  <c r="AT100" i="3" s="1"/>
  <c r="AL100" i="3"/>
  <c r="AN100" i="3" s="1"/>
  <c r="AI100" i="3"/>
  <c r="AG100" i="3"/>
  <c r="P100" i="3"/>
  <c r="O100" i="3"/>
  <c r="BS99" i="3"/>
  <c r="BM99" i="3"/>
  <c r="BL99" i="3"/>
  <c r="BH99" i="3"/>
  <c r="BG99" i="3"/>
  <c r="AQ99" i="3"/>
  <c r="AT99" i="3" s="1"/>
  <c r="AN99" i="3"/>
  <c r="AL99" i="3"/>
  <c r="AG99" i="3"/>
  <c r="AI99" i="3" s="1"/>
  <c r="AS99" i="3" s="1"/>
  <c r="P99" i="3"/>
  <c r="O99" i="3"/>
  <c r="BS98" i="3"/>
  <c r="BM98" i="3"/>
  <c r="BL98" i="3"/>
  <c r="BH98" i="3"/>
  <c r="BG98" i="3"/>
  <c r="AQ98" i="3"/>
  <c r="AT98" i="3" s="1"/>
  <c r="AN98" i="3"/>
  <c r="AL98" i="3"/>
  <c r="AI98" i="3"/>
  <c r="AG98" i="3"/>
  <c r="P98" i="3"/>
  <c r="O98" i="3"/>
  <c r="BS97" i="3"/>
  <c r="BM97" i="3"/>
  <c r="BL97" i="3"/>
  <c r="BH97" i="3"/>
  <c r="BG97" i="3"/>
  <c r="AT97" i="3"/>
  <c r="AQ97" i="3"/>
  <c r="AN97" i="3"/>
  <c r="AL97" i="3"/>
  <c r="AG97" i="3"/>
  <c r="AI97" i="3" s="1"/>
  <c r="P97" i="3"/>
  <c r="O97" i="3"/>
  <c r="BS96" i="3"/>
  <c r="BM96" i="3"/>
  <c r="BL96" i="3"/>
  <c r="BH96" i="3"/>
  <c r="BG96" i="3"/>
  <c r="AQ96" i="3"/>
  <c r="AT96" i="3" s="1"/>
  <c r="AL96" i="3"/>
  <c r="AN96" i="3" s="1"/>
  <c r="AI96" i="3"/>
  <c r="AG96" i="3"/>
  <c r="P96" i="3"/>
  <c r="O96" i="3"/>
  <c r="BS95" i="3"/>
  <c r="BM95" i="3"/>
  <c r="BL95" i="3"/>
  <c r="BH95" i="3"/>
  <c r="BG95" i="3"/>
  <c r="AQ95" i="3"/>
  <c r="AT95" i="3" s="1"/>
  <c r="AN95" i="3"/>
  <c r="AL95" i="3"/>
  <c r="AG95" i="3"/>
  <c r="AI95" i="3" s="1"/>
  <c r="AS95" i="3" s="1"/>
  <c r="P95" i="3"/>
  <c r="O95" i="3"/>
  <c r="BS94" i="3"/>
  <c r="BM94" i="3"/>
  <c r="BL94" i="3"/>
  <c r="BH94" i="3"/>
  <c r="BG94" i="3"/>
  <c r="AQ94" i="3"/>
  <c r="AT94" i="3" s="1"/>
  <c r="AN94" i="3"/>
  <c r="AL94" i="3"/>
  <c r="AI94" i="3"/>
  <c r="AG94" i="3"/>
  <c r="P94" i="3"/>
  <c r="O94" i="3"/>
  <c r="BS93" i="3"/>
  <c r="BM93" i="3"/>
  <c r="BL93" i="3"/>
  <c r="BH93" i="3"/>
  <c r="BG93" i="3"/>
  <c r="AT93" i="3"/>
  <c r="AQ93" i="3"/>
  <c r="AN93" i="3"/>
  <c r="AL93" i="3"/>
  <c r="AG93" i="3"/>
  <c r="AI93" i="3" s="1"/>
  <c r="P93" i="3"/>
  <c r="O93" i="3"/>
  <c r="BS92" i="3"/>
  <c r="BM92" i="3"/>
  <c r="BL92" i="3"/>
  <c r="BH92" i="3"/>
  <c r="BG92" i="3"/>
  <c r="AQ92" i="3"/>
  <c r="AT92" i="3" s="1"/>
  <c r="AL92" i="3"/>
  <c r="AN92" i="3" s="1"/>
  <c r="AI92" i="3"/>
  <c r="AG92" i="3"/>
  <c r="P92" i="3"/>
  <c r="O92" i="3"/>
  <c r="BS91" i="3"/>
  <c r="BM91" i="3"/>
  <c r="BL91" i="3"/>
  <c r="BH91" i="3"/>
  <c r="BG91" i="3"/>
  <c r="AQ91" i="3"/>
  <c r="AT91" i="3" s="1"/>
  <c r="AN91" i="3"/>
  <c r="AL91" i="3"/>
  <c r="AG91" i="3"/>
  <c r="AI91" i="3" s="1"/>
  <c r="AS91" i="3" s="1"/>
  <c r="P91" i="3"/>
  <c r="O91" i="3"/>
  <c r="BS90" i="3"/>
  <c r="BM90" i="3"/>
  <c r="BL90" i="3"/>
  <c r="BH90" i="3"/>
  <c r="BG90" i="3"/>
  <c r="AQ90" i="3"/>
  <c r="AT90" i="3" s="1"/>
  <c r="AN90" i="3"/>
  <c r="AL90" i="3"/>
  <c r="AI90" i="3"/>
  <c r="AG90" i="3"/>
  <c r="P90" i="3"/>
  <c r="O90" i="3"/>
  <c r="BS89" i="3"/>
  <c r="BM89" i="3"/>
  <c r="BL89" i="3"/>
  <c r="BH89" i="3"/>
  <c r="BG89" i="3"/>
  <c r="AT89" i="3"/>
  <c r="AQ89" i="3"/>
  <c r="AN89" i="3"/>
  <c r="AL89" i="3"/>
  <c r="AG89" i="3"/>
  <c r="AI89" i="3" s="1"/>
  <c r="P89" i="3"/>
  <c r="O89" i="3"/>
  <c r="BS88" i="3"/>
  <c r="BM88" i="3"/>
  <c r="BL88" i="3"/>
  <c r="BH88" i="3"/>
  <c r="BG88" i="3"/>
  <c r="AQ88" i="3"/>
  <c r="AN88" i="3"/>
  <c r="AL88" i="3"/>
  <c r="AI88" i="3"/>
  <c r="AS88" i="3" s="1"/>
  <c r="AG88" i="3"/>
  <c r="P88" i="3"/>
  <c r="O88" i="3"/>
  <c r="BS87" i="3"/>
  <c r="BM87" i="3"/>
  <c r="BL87" i="3"/>
  <c r="BH87" i="3"/>
  <c r="BG87" i="3"/>
  <c r="AQ87" i="3"/>
  <c r="AN87" i="3"/>
  <c r="AS87" i="3" s="1"/>
  <c r="AL87" i="3"/>
  <c r="AG87" i="3"/>
  <c r="AI87" i="3" s="1"/>
  <c r="P87" i="3"/>
  <c r="O87" i="3"/>
  <c r="BS86" i="3"/>
  <c r="BM86" i="3"/>
  <c r="BL86" i="3"/>
  <c r="BH86" i="3"/>
  <c r="BG86" i="3"/>
  <c r="AR86" i="3"/>
  <c r="AQ86" i="3"/>
  <c r="AT86" i="3" s="1"/>
  <c r="AN86" i="3"/>
  <c r="AL86" i="3"/>
  <c r="AI86" i="3"/>
  <c r="AS86" i="3" s="1"/>
  <c r="AG86" i="3"/>
  <c r="P86" i="3"/>
  <c r="O86" i="3"/>
  <c r="BS85" i="3"/>
  <c r="BM85" i="3"/>
  <c r="BL85" i="3"/>
  <c r="BH85" i="3"/>
  <c r="BG85" i="3"/>
  <c r="AQ85" i="3"/>
  <c r="AN85" i="3"/>
  <c r="AL85" i="3"/>
  <c r="AG85" i="3"/>
  <c r="AI85" i="3" s="1"/>
  <c r="AR85" i="3" s="1"/>
  <c r="P85" i="3"/>
  <c r="O85" i="3"/>
  <c r="BS84" i="3"/>
  <c r="BM84" i="3"/>
  <c r="BL84" i="3"/>
  <c r="BH84" i="3"/>
  <c r="BG84" i="3"/>
  <c r="AQ84" i="3"/>
  <c r="AL84" i="3"/>
  <c r="AN84" i="3" s="1"/>
  <c r="AI84" i="3"/>
  <c r="AG84" i="3"/>
  <c r="P84" i="3"/>
  <c r="O84" i="3"/>
  <c r="BS83" i="3"/>
  <c r="BM83" i="3"/>
  <c r="BL83" i="3"/>
  <c r="BH83" i="3"/>
  <c r="BG83" i="3"/>
  <c r="AT83" i="3"/>
  <c r="AS83" i="3"/>
  <c r="AQ83" i="3"/>
  <c r="AN83" i="3"/>
  <c r="AL83" i="3"/>
  <c r="AG83" i="3"/>
  <c r="AI83" i="3" s="1"/>
  <c r="P83" i="3"/>
  <c r="O83" i="3"/>
  <c r="BS82" i="3"/>
  <c r="BM82" i="3"/>
  <c r="BL82" i="3"/>
  <c r="BH82" i="3"/>
  <c r="BG82" i="3"/>
  <c r="AQ82" i="3"/>
  <c r="AT82" i="3" s="1"/>
  <c r="AN82" i="3"/>
  <c r="AL82" i="3"/>
  <c r="AI82" i="3"/>
  <c r="AG82" i="3"/>
  <c r="P82" i="3"/>
  <c r="O82" i="3"/>
  <c r="BS81" i="3"/>
  <c r="BM81" i="3"/>
  <c r="BL81" i="3"/>
  <c r="BH81" i="3"/>
  <c r="BG81" i="3"/>
  <c r="AQ81" i="3"/>
  <c r="AN81" i="3"/>
  <c r="AL81" i="3"/>
  <c r="AG81" i="3"/>
  <c r="P81" i="3"/>
  <c r="O81" i="3"/>
  <c r="BS80" i="3"/>
  <c r="BM80" i="3"/>
  <c r="BL80" i="3"/>
  <c r="BH80" i="3"/>
  <c r="BG80" i="3"/>
  <c r="AQ80" i="3"/>
  <c r="AT80" i="3" s="1"/>
  <c r="AN80" i="3"/>
  <c r="AR80" i="3" s="1"/>
  <c r="AL80" i="3"/>
  <c r="AI80" i="3"/>
  <c r="AG80" i="3"/>
  <c r="P80" i="3"/>
  <c r="O80" i="3"/>
  <c r="BS79" i="3"/>
  <c r="BM79" i="3"/>
  <c r="BL79" i="3"/>
  <c r="BH79" i="3"/>
  <c r="BG79" i="3"/>
  <c r="AT79" i="3"/>
  <c r="AQ79" i="3"/>
  <c r="AN79" i="3"/>
  <c r="AL79" i="3"/>
  <c r="AG79" i="3"/>
  <c r="AI79" i="3" s="1"/>
  <c r="P79" i="3"/>
  <c r="O79" i="3"/>
  <c r="BS78" i="3"/>
  <c r="BM78" i="3"/>
  <c r="BL78" i="3"/>
  <c r="BH78" i="3"/>
  <c r="BG78" i="3"/>
  <c r="AQ78" i="3"/>
  <c r="AN78" i="3"/>
  <c r="AL78" i="3"/>
  <c r="AI78" i="3"/>
  <c r="AS78" i="3" s="1"/>
  <c r="AG78" i="3"/>
  <c r="P78" i="3"/>
  <c r="O78" i="3"/>
  <c r="BS77" i="3"/>
  <c r="BM77" i="3"/>
  <c r="BL77" i="3"/>
  <c r="BH77" i="3"/>
  <c r="BG77" i="3"/>
  <c r="AQ77" i="3"/>
  <c r="AN77" i="3"/>
  <c r="AS77" i="3" s="1"/>
  <c r="AL77" i="3"/>
  <c r="AG77" i="3"/>
  <c r="AI77" i="3" s="1"/>
  <c r="P77" i="3"/>
  <c r="O77" i="3"/>
  <c r="BS76" i="3"/>
  <c r="BM76" i="3"/>
  <c r="BL76" i="3"/>
  <c r="BH76" i="3"/>
  <c r="BG76" i="3"/>
  <c r="AR76" i="3"/>
  <c r="AQ76" i="3"/>
  <c r="AT76" i="3" s="1"/>
  <c r="AN76" i="3"/>
  <c r="AL76" i="3"/>
  <c r="AI76" i="3"/>
  <c r="AS76" i="3" s="1"/>
  <c r="AG76" i="3"/>
  <c r="P76" i="3"/>
  <c r="O76" i="3"/>
  <c r="BS75" i="3"/>
  <c r="BM75" i="3"/>
  <c r="BL75" i="3"/>
  <c r="BH75" i="3"/>
  <c r="BG75" i="3"/>
  <c r="AQ75" i="3"/>
  <c r="AN75" i="3"/>
  <c r="AL75" i="3"/>
  <c r="AG75" i="3"/>
  <c r="AI75" i="3" s="1"/>
  <c r="AR75" i="3" s="1"/>
  <c r="P75" i="3"/>
  <c r="O75" i="3"/>
  <c r="BS74" i="3"/>
  <c r="BM74" i="3"/>
  <c r="BL74" i="3"/>
  <c r="BH74" i="3"/>
  <c r="BG74" i="3"/>
  <c r="AQ74" i="3"/>
  <c r="AL74" i="3"/>
  <c r="AN74" i="3" s="1"/>
  <c r="AI74" i="3"/>
  <c r="AG74" i="3"/>
  <c r="P74" i="3"/>
  <c r="O74" i="3"/>
  <c r="BS73" i="3"/>
  <c r="BM73" i="3"/>
  <c r="BL73" i="3"/>
  <c r="BH73" i="3"/>
  <c r="BG73" i="3"/>
  <c r="AT73" i="3"/>
  <c r="AS73" i="3"/>
  <c r="AQ73" i="3"/>
  <c r="AN73" i="3"/>
  <c r="AL73" i="3"/>
  <c r="AG73" i="3"/>
  <c r="AI73" i="3" s="1"/>
  <c r="P73" i="3"/>
  <c r="O73" i="3"/>
  <c r="BS72" i="3"/>
  <c r="BM72" i="3"/>
  <c r="BL72" i="3"/>
  <c r="BH72" i="3"/>
  <c r="BG72" i="3"/>
  <c r="AQ72" i="3"/>
  <c r="AT72" i="3" s="1"/>
  <c r="AN72" i="3"/>
  <c r="AL72" i="3"/>
  <c r="AI72" i="3"/>
  <c r="AG72" i="3"/>
  <c r="P72" i="3"/>
  <c r="O72" i="3"/>
  <c r="BS71" i="3"/>
  <c r="BM71" i="3"/>
  <c r="BL71" i="3"/>
  <c r="BH71" i="3"/>
  <c r="BG71" i="3"/>
  <c r="AQ71" i="3"/>
  <c r="AN71" i="3"/>
  <c r="AL71" i="3"/>
  <c r="AG71" i="3"/>
  <c r="P71" i="3"/>
  <c r="O71" i="3"/>
  <c r="BS70" i="3"/>
  <c r="BM70" i="3"/>
  <c r="BL70" i="3"/>
  <c r="BH70" i="3"/>
  <c r="BG70" i="3"/>
  <c r="AQ70" i="3"/>
  <c r="AT70" i="3" s="1"/>
  <c r="AN70" i="3"/>
  <c r="AR70" i="3" s="1"/>
  <c r="AL70" i="3"/>
  <c r="AI70" i="3"/>
  <c r="AG70" i="3"/>
  <c r="P70" i="3"/>
  <c r="O70" i="3"/>
  <c r="BS69" i="3"/>
  <c r="BM69" i="3"/>
  <c r="BL69" i="3"/>
  <c r="BH69" i="3"/>
  <c r="BG69" i="3"/>
  <c r="AT69" i="3"/>
  <c r="AQ69" i="3"/>
  <c r="AN69" i="3"/>
  <c r="AL69" i="3"/>
  <c r="AI69" i="3"/>
  <c r="AG69" i="3"/>
  <c r="P69" i="3"/>
  <c r="O69" i="3"/>
  <c r="BS68" i="3"/>
  <c r="BM68" i="3"/>
  <c r="BL68" i="3"/>
  <c r="BH68" i="3"/>
  <c r="BG68" i="3"/>
  <c r="AQ68" i="3"/>
  <c r="AT68" i="3" s="1"/>
  <c r="AN68" i="3"/>
  <c r="AL68" i="3"/>
  <c r="AI68" i="3"/>
  <c r="AG68" i="3"/>
  <c r="P68" i="3"/>
  <c r="O68" i="3"/>
  <c r="BS67" i="3"/>
  <c r="BM67" i="3"/>
  <c r="BL67" i="3"/>
  <c r="BH67" i="3"/>
  <c r="BG67" i="3"/>
  <c r="AT67" i="3"/>
  <c r="AQ67" i="3"/>
  <c r="AL67" i="3"/>
  <c r="AN67" i="3" s="1"/>
  <c r="AG67" i="3"/>
  <c r="AI67" i="3" s="1"/>
  <c r="P67" i="3"/>
  <c r="O67" i="3"/>
  <c r="BS66" i="3"/>
  <c r="BM66" i="3"/>
  <c r="BL66" i="3"/>
  <c r="BH66" i="3"/>
  <c r="BG66" i="3"/>
  <c r="AQ66" i="3"/>
  <c r="AL66" i="3"/>
  <c r="AI66" i="3"/>
  <c r="AG66" i="3"/>
  <c r="P66" i="3"/>
  <c r="O66" i="3"/>
  <c r="BS65" i="3"/>
  <c r="BM65" i="3"/>
  <c r="BL65" i="3"/>
  <c r="BH65" i="3"/>
  <c r="BG65" i="3"/>
  <c r="AT65" i="3"/>
  <c r="AS65" i="3"/>
  <c r="AQ65" i="3"/>
  <c r="AN65" i="3"/>
  <c r="AL65" i="3"/>
  <c r="AI65" i="3"/>
  <c r="AR65" i="3" s="1"/>
  <c r="AG65" i="3"/>
  <c r="P65" i="3"/>
  <c r="O65" i="3"/>
  <c r="BS64" i="3"/>
  <c r="BM64" i="3"/>
  <c r="BL64" i="3"/>
  <c r="BH64" i="3"/>
  <c r="BG64" i="3"/>
  <c r="AQ64" i="3"/>
  <c r="AT64" i="3" s="1"/>
  <c r="AL64" i="3"/>
  <c r="AN64" i="3" s="1"/>
  <c r="AI64" i="3"/>
  <c r="AG64" i="3"/>
  <c r="P64" i="3"/>
  <c r="O64" i="3"/>
  <c r="BS63" i="3"/>
  <c r="BM63" i="3"/>
  <c r="BL63" i="3"/>
  <c r="BH63" i="3"/>
  <c r="BG63" i="3"/>
  <c r="AS63" i="3"/>
  <c r="AQ63" i="3"/>
  <c r="AT63" i="3" s="1"/>
  <c r="AN63" i="3"/>
  <c r="AL63" i="3"/>
  <c r="AG63" i="3"/>
  <c r="AI63" i="3" s="1"/>
  <c r="P63" i="3"/>
  <c r="O63" i="3"/>
  <c r="BS62" i="3"/>
  <c r="BM62" i="3"/>
  <c r="BL62" i="3"/>
  <c r="BH62" i="3"/>
  <c r="BG62" i="3"/>
  <c r="AT62" i="3"/>
  <c r="AQ62" i="3"/>
  <c r="AN62" i="3"/>
  <c r="AL62" i="3"/>
  <c r="AI62" i="3"/>
  <c r="AS62" i="3" s="1"/>
  <c r="AG62" i="3"/>
  <c r="P62" i="3"/>
  <c r="O62" i="3"/>
  <c r="BS61" i="3"/>
  <c r="BM61" i="3"/>
  <c r="BL61" i="3"/>
  <c r="BH61" i="3"/>
  <c r="BG61" i="3"/>
  <c r="AQ61" i="3"/>
  <c r="AN61" i="3"/>
  <c r="AS61" i="3" s="1"/>
  <c r="AL61" i="3"/>
  <c r="AI61" i="3"/>
  <c r="AG61" i="3"/>
  <c r="P61" i="3"/>
  <c r="O61" i="3"/>
  <c r="BS60" i="3"/>
  <c r="BM60" i="3"/>
  <c r="BL60" i="3"/>
  <c r="BH60" i="3"/>
  <c r="BG60" i="3"/>
  <c r="AQ60" i="3"/>
  <c r="AT60" i="3" s="1"/>
  <c r="AL60" i="3"/>
  <c r="AN60" i="3" s="1"/>
  <c r="AS60" i="3" s="1"/>
  <c r="AI60" i="3"/>
  <c r="AR60" i="3" s="1"/>
  <c r="AG60" i="3"/>
  <c r="P60" i="3"/>
  <c r="O60" i="3"/>
  <c r="BS59" i="3"/>
  <c r="BM59" i="3"/>
  <c r="BL59" i="3"/>
  <c r="BH59" i="3"/>
  <c r="BG59" i="3"/>
  <c r="AQ59" i="3"/>
  <c r="AL59" i="3"/>
  <c r="AN59" i="3" s="1"/>
  <c r="AI59" i="3"/>
  <c r="AG59" i="3"/>
  <c r="AT59" i="3" s="1"/>
  <c r="P59" i="3"/>
  <c r="O59" i="3"/>
  <c r="BS58" i="3"/>
  <c r="BM58" i="3"/>
  <c r="BL58" i="3"/>
  <c r="BH58" i="3"/>
  <c r="BG58" i="3"/>
  <c r="AT58" i="3"/>
  <c r="AQ58" i="3"/>
  <c r="AN58" i="3"/>
  <c r="AS58" i="3" s="1"/>
  <c r="AL58" i="3"/>
  <c r="AI58" i="3"/>
  <c r="AR58" i="3" s="1"/>
  <c r="AG58" i="3"/>
  <c r="P58" i="3"/>
  <c r="O58" i="3"/>
  <c r="BS57" i="3"/>
  <c r="BM57" i="3"/>
  <c r="BL57" i="3"/>
  <c r="BH57" i="3"/>
  <c r="BG57" i="3"/>
  <c r="AQ57" i="3"/>
  <c r="AL57" i="3"/>
  <c r="AN57" i="3" s="1"/>
  <c r="AI57" i="3"/>
  <c r="AG57" i="3"/>
  <c r="AT57" i="3" s="1"/>
  <c r="P57" i="3"/>
  <c r="O57" i="3"/>
  <c r="BS56" i="3"/>
  <c r="BM56" i="3"/>
  <c r="BL56" i="3"/>
  <c r="BH56" i="3"/>
  <c r="BG56" i="3"/>
  <c r="AT56" i="3"/>
  <c r="AQ56" i="3"/>
  <c r="AL56" i="3"/>
  <c r="AN56" i="3" s="1"/>
  <c r="AI56" i="3"/>
  <c r="AG56" i="3"/>
  <c r="P56" i="3"/>
  <c r="O56" i="3"/>
  <c r="BS55" i="3"/>
  <c r="BM55" i="3"/>
  <c r="BL55" i="3"/>
  <c r="BH55" i="3"/>
  <c r="BG55" i="3"/>
  <c r="AQ55" i="3"/>
  <c r="AL55" i="3"/>
  <c r="AN55" i="3" s="1"/>
  <c r="AG55" i="3"/>
  <c r="AT55" i="3" s="1"/>
  <c r="P55" i="3"/>
  <c r="O55" i="3"/>
  <c r="BS54" i="3"/>
  <c r="BM54" i="3"/>
  <c r="BL54" i="3"/>
  <c r="BH54" i="3"/>
  <c r="BG54" i="3"/>
  <c r="AT54" i="3"/>
  <c r="AS54" i="3"/>
  <c r="AR54" i="3"/>
  <c r="AQ54" i="3"/>
  <c r="AN54" i="3"/>
  <c r="AL54" i="3"/>
  <c r="AI54" i="3"/>
  <c r="AG54" i="3"/>
  <c r="P54" i="3"/>
  <c r="O54" i="3"/>
  <c r="BS53" i="3"/>
  <c r="BM53" i="3"/>
  <c r="BL53" i="3"/>
  <c r="BH53" i="3"/>
  <c r="BG53" i="3"/>
  <c r="AQ53" i="3"/>
  <c r="AN53" i="3"/>
  <c r="AL53" i="3"/>
  <c r="AG53" i="3"/>
  <c r="P53" i="3"/>
  <c r="O53" i="3"/>
  <c r="BS52" i="3"/>
  <c r="BM52" i="3"/>
  <c r="BL52" i="3"/>
  <c r="BH52" i="3"/>
  <c r="BG52" i="3"/>
  <c r="AS52" i="3"/>
  <c r="AQ52" i="3"/>
  <c r="AN52" i="3"/>
  <c r="AL52" i="3"/>
  <c r="AI52" i="3"/>
  <c r="AG52" i="3"/>
  <c r="P52" i="3"/>
  <c r="O52" i="3"/>
  <c r="BS51" i="3"/>
  <c r="BM51" i="3"/>
  <c r="BL51" i="3"/>
  <c r="BH51" i="3"/>
  <c r="BG51" i="3"/>
  <c r="AQ51" i="3"/>
  <c r="AL51" i="3"/>
  <c r="AN51" i="3" s="1"/>
  <c r="AG51" i="3"/>
  <c r="AT51" i="3" s="1"/>
  <c r="P51" i="3"/>
  <c r="O51" i="3"/>
  <c r="BS50" i="3"/>
  <c r="BM50" i="3"/>
  <c r="BL50" i="3"/>
  <c r="BH50" i="3"/>
  <c r="BG50" i="3"/>
  <c r="AQ50" i="3"/>
  <c r="AT50" i="3" s="1"/>
  <c r="AN50" i="3"/>
  <c r="AR50" i="3" s="1"/>
  <c r="AL50" i="3"/>
  <c r="AI50" i="3"/>
  <c r="AS50" i="3" s="1"/>
  <c r="AG50" i="3"/>
  <c r="P50" i="3"/>
  <c r="O50" i="3"/>
  <c r="BS49" i="3"/>
  <c r="BM49" i="3"/>
  <c r="BL49" i="3"/>
  <c r="BH49" i="3"/>
  <c r="BG49" i="3"/>
  <c r="AT49" i="3"/>
  <c r="AQ49" i="3"/>
  <c r="AN49" i="3"/>
  <c r="AL49" i="3"/>
  <c r="AI49" i="3"/>
  <c r="AG49" i="3"/>
  <c r="P49" i="3"/>
  <c r="O49" i="3"/>
  <c r="BS48" i="3"/>
  <c r="BM48" i="3"/>
  <c r="BL48" i="3"/>
  <c r="BH48" i="3"/>
  <c r="BG48" i="3"/>
  <c r="AQ48" i="3"/>
  <c r="AL48" i="3"/>
  <c r="AN48" i="3" s="1"/>
  <c r="AI48" i="3"/>
  <c r="AG48" i="3"/>
  <c r="P48" i="3"/>
  <c r="O48" i="3"/>
  <c r="BS47" i="3"/>
  <c r="BM47" i="3"/>
  <c r="BL47" i="3"/>
  <c r="BH47" i="3"/>
  <c r="BG47" i="3"/>
  <c r="AT47" i="3"/>
  <c r="AQ47" i="3"/>
  <c r="AL47" i="3"/>
  <c r="AN47" i="3" s="1"/>
  <c r="AG47" i="3"/>
  <c r="AI47" i="3" s="1"/>
  <c r="P47" i="3"/>
  <c r="O47" i="3"/>
  <c r="BS46" i="3"/>
  <c r="BM46" i="3"/>
  <c r="BL46" i="3"/>
  <c r="BH46" i="3"/>
  <c r="BG46" i="3"/>
  <c r="AQ46" i="3"/>
  <c r="AL46" i="3"/>
  <c r="AI46" i="3"/>
  <c r="AG46" i="3"/>
  <c r="P46" i="3"/>
  <c r="O46" i="3"/>
  <c r="BS45" i="3"/>
  <c r="BM45" i="3"/>
  <c r="BL45" i="3"/>
  <c r="BH45" i="3"/>
  <c r="BG45" i="3"/>
  <c r="AT45" i="3"/>
  <c r="AS45" i="3"/>
  <c r="AQ45" i="3"/>
  <c r="AN45" i="3"/>
  <c r="AL45" i="3"/>
  <c r="AI45" i="3"/>
  <c r="AG45" i="3"/>
  <c r="P45" i="3"/>
  <c r="O45" i="3"/>
  <c r="BS44" i="3"/>
  <c r="BM44" i="3"/>
  <c r="BL44" i="3"/>
  <c r="BH44" i="3"/>
  <c r="BG44" i="3"/>
  <c r="AQ44" i="3"/>
  <c r="AT44" i="3" s="1"/>
  <c r="AL44" i="3"/>
  <c r="AN44" i="3" s="1"/>
  <c r="AI44" i="3"/>
  <c r="AG44" i="3"/>
  <c r="P44" i="3"/>
  <c r="O44" i="3"/>
  <c r="BS43" i="3"/>
  <c r="BM43" i="3"/>
  <c r="BL43" i="3"/>
  <c r="BH43" i="3"/>
  <c r="BG43" i="3"/>
  <c r="AQ43" i="3"/>
  <c r="AT43" i="3" s="1"/>
  <c r="AN43" i="3"/>
  <c r="AL43" i="3"/>
  <c r="AG43" i="3"/>
  <c r="AI43" i="3" s="1"/>
  <c r="P43" i="3"/>
  <c r="O43" i="3"/>
  <c r="BS42" i="3"/>
  <c r="BM42" i="3"/>
  <c r="BL42" i="3"/>
  <c r="BH42" i="3"/>
  <c r="BG42" i="3"/>
  <c r="AT42" i="3"/>
  <c r="AQ42" i="3"/>
  <c r="AN42" i="3"/>
  <c r="AL42" i="3"/>
  <c r="AI42" i="3"/>
  <c r="AS42" i="3" s="1"/>
  <c r="AG42" i="3"/>
  <c r="P42" i="3"/>
  <c r="O42" i="3"/>
  <c r="BS41" i="3"/>
  <c r="BM41" i="3"/>
  <c r="BL41" i="3"/>
  <c r="BH41" i="3"/>
  <c r="BG41" i="3"/>
  <c r="AQ41" i="3"/>
  <c r="AN41" i="3"/>
  <c r="AS41" i="3" s="1"/>
  <c r="AL41" i="3"/>
  <c r="AI41" i="3"/>
  <c r="AG41" i="3"/>
  <c r="P41" i="3"/>
  <c r="O41" i="3"/>
  <c r="BS40" i="3"/>
  <c r="BM40" i="3"/>
  <c r="BL40" i="3"/>
  <c r="BH40" i="3"/>
  <c r="BG40" i="3"/>
  <c r="AT40" i="3"/>
  <c r="AQ40" i="3"/>
  <c r="AL40" i="3"/>
  <c r="AN40" i="3" s="1"/>
  <c r="AS40" i="3" s="1"/>
  <c r="AI40" i="3"/>
  <c r="AG40" i="3"/>
  <c r="P40" i="3"/>
  <c r="O40" i="3"/>
  <c r="BS39" i="3"/>
  <c r="BM39" i="3"/>
  <c r="BL39" i="3"/>
  <c r="BH39" i="3"/>
  <c r="BG39" i="3"/>
  <c r="AQ39" i="3"/>
  <c r="AT39" i="3" s="1"/>
  <c r="AN39" i="3"/>
  <c r="AL39" i="3"/>
  <c r="AI39" i="3"/>
  <c r="AG39" i="3"/>
  <c r="P39" i="3"/>
  <c r="O39" i="3"/>
  <c r="BS38" i="3"/>
  <c r="BM38" i="3"/>
  <c r="BL38" i="3"/>
  <c r="BH38" i="3"/>
  <c r="BG38" i="3"/>
  <c r="AT38" i="3"/>
  <c r="AS38" i="3"/>
  <c r="AQ38" i="3"/>
  <c r="AN38" i="3"/>
  <c r="AL38" i="3"/>
  <c r="AI38" i="3"/>
  <c r="AR38" i="3" s="1"/>
  <c r="AG38" i="3"/>
  <c r="P38" i="3"/>
  <c r="O38" i="3"/>
  <c r="BS37" i="3"/>
  <c r="BM37" i="3"/>
  <c r="BL37" i="3"/>
  <c r="BH37" i="3"/>
  <c r="BG37" i="3"/>
  <c r="AQ37" i="3"/>
  <c r="AL37" i="3"/>
  <c r="AN37" i="3" s="1"/>
  <c r="AI37" i="3"/>
  <c r="AG37" i="3"/>
  <c r="AT37" i="3" s="1"/>
  <c r="P37" i="3"/>
  <c r="O37" i="3"/>
  <c r="BS36" i="3"/>
  <c r="BM36" i="3"/>
  <c r="BL36" i="3"/>
  <c r="BH36" i="3"/>
  <c r="BG36" i="3"/>
  <c r="AT36" i="3"/>
  <c r="AQ36" i="3"/>
  <c r="AL36" i="3"/>
  <c r="AN36" i="3" s="1"/>
  <c r="AR36" i="3" s="1"/>
  <c r="AI36" i="3"/>
  <c r="AG36" i="3"/>
  <c r="P36" i="3"/>
  <c r="O36" i="3"/>
  <c r="BS35" i="3"/>
  <c r="BM35" i="3"/>
  <c r="BL35" i="3"/>
  <c r="BH35" i="3"/>
  <c r="BG35" i="3"/>
  <c r="AQ35" i="3"/>
  <c r="AL35" i="3"/>
  <c r="AN35" i="3" s="1"/>
  <c r="AG35" i="3"/>
  <c r="AT35" i="3" s="1"/>
  <c r="P35" i="3"/>
  <c r="O35" i="3"/>
  <c r="BS34" i="3"/>
  <c r="BM34" i="3"/>
  <c r="BL34" i="3"/>
  <c r="BH34" i="3"/>
  <c r="BG34" i="3"/>
  <c r="AT34" i="3"/>
  <c r="AS34" i="3"/>
  <c r="AR34" i="3"/>
  <c r="AQ34" i="3"/>
  <c r="AN34" i="3"/>
  <c r="AL34" i="3"/>
  <c r="AI34" i="3"/>
  <c r="AG34" i="3"/>
  <c r="P34" i="3"/>
  <c r="O34" i="3"/>
  <c r="BS33" i="3"/>
  <c r="BM33" i="3"/>
  <c r="BL33" i="3"/>
  <c r="BH33" i="3"/>
  <c r="BG33" i="3"/>
  <c r="AQ33" i="3"/>
  <c r="AN33" i="3"/>
  <c r="AL33" i="3"/>
  <c r="AG33" i="3"/>
  <c r="P33" i="3"/>
  <c r="O33" i="3"/>
  <c r="BS32" i="3"/>
  <c r="BM32" i="3"/>
  <c r="BL32" i="3"/>
  <c r="BH32" i="3"/>
  <c r="BG32" i="3"/>
  <c r="AS32" i="3"/>
  <c r="AQ32" i="3"/>
  <c r="AT32" i="3" s="1"/>
  <c r="AN32" i="3"/>
  <c r="AL32" i="3"/>
  <c r="AI32" i="3"/>
  <c r="AG32" i="3"/>
  <c r="P32" i="3"/>
  <c r="O32" i="3"/>
  <c r="BS31" i="3"/>
  <c r="BM31" i="3"/>
  <c r="BL31" i="3"/>
  <c r="BH31" i="3"/>
  <c r="BG31" i="3"/>
  <c r="AQ31" i="3"/>
  <c r="AL31" i="3"/>
  <c r="AN31" i="3" s="1"/>
  <c r="AG31" i="3"/>
  <c r="AT31" i="3" s="1"/>
  <c r="P31" i="3"/>
  <c r="O31" i="3"/>
  <c r="BS30" i="3"/>
  <c r="BM30" i="3"/>
  <c r="BL30" i="3"/>
  <c r="BH30" i="3"/>
  <c r="BG30" i="3"/>
  <c r="AQ30" i="3"/>
  <c r="AT30" i="3" s="1"/>
  <c r="AN30" i="3"/>
  <c r="AL30" i="3"/>
  <c r="AI30" i="3"/>
  <c r="AS30" i="3" s="1"/>
  <c r="AG30" i="3"/>
  <c r="P30" i="3"/>
  <c r="O30" i="3"/>
  <c r="BS29" i="3"/>
  <c r="BM29" i="3"/>
  <c r="BL29" i="3"/>
  <c r="BH29" i="3"/>
  <c r="BG29" i="3"/>
  <c r="AT29" i="3"/>
  <c r="AQ29" i="3"/>
  <c r="AN29" i="3"/>
  <c r="AL29" i="3"/>
  <c r="AI29" i="3"/>
  <c r="AG29" i="3"/>
  <c r="P29" i="3"/>
  <c r="O29" i="3"/>
  <c r="BS28" i="3"/>
  <c r="BM28" i="3"/>
  <c r="BL28" i="3"/>
  <c r="BH28" i="3"/>
  <c r="BG28" i="3"/>
  <c r="AQ28" i="3"/>
  <c r="AT28" i="3" s="1"/>
  <c r="AL28" i="3"/>
  <c r="AN28" i="3" s="1"/>
  <c r="AI28" i="3"/>
  <c r="AG28" i="3"/>
  <c r="P28" i="3"/>
  <c r="O28" i="3"/>
  <c r="BS27" i="3"/>
  <c r="BM27" i="3"/>
  <c r="BL27" i="3"/>
  <c r="BH27" i="3"/>
  <c r="BG27" i="3"/>
  <c r="AT27" i="3"/>
  <c r="AQ27" i="3"/>
  <c r="AL27" i="3"/>
  <c r="AN27" i="3" s="1"/>
  <c r="AG27" i="3"/>
  <c r="AI27" i="3" s="1"/>
  <c r="P27" i="3"/>
  <c r="O27" i="3"/>
  <c r="BS26" i="3"/>
  <c r="BM26" i="3"/>
  <c r="BL26" i="3"/>
  <c r="BH26" i="3"/>
  <c r="BG26" i="3"/>
  <c r="AQ26" i="3"/>
  <c r="AL26" i="3"/>
  <c r="AI26" i="3"/>
  <c r="AG26" i="3"/>
  <c r="P26" i="3"/>
  <c r="O26" i="3"/>
  <c r="BS25" i="3"/>
  <c r="BM25" i="3"/>
  <c r="BL25" i="3"/>
  <c r="BH25" i="3"/>
  <c r="BG25" i="3"/>
  <c r="AT25" i="3"/>
  <c r="AS25" i="3"/>
  <c r="AQ25" i="3"/>
  <c r="AN25" i="3"/>
  <c r="AL25" i="3"/>
  <c r="AI25" i="3"/>
  <c r="AG25" i="3"/>
  <c r="P25" i="3"/>
  <c r="O25" i="3"/>
  <c r="BS24" i="3"/>
  <c r="BM24" i="3"/>
  <c r="BL24" i="3"/>
  <c r="BH24" i="3"/>
  <c r="BG24" i="3"/>
  <c r="AQ24" i="3"/>
  <c r="AT24" i="3" s="1"/>
  <c r="AL24" i="3"/>
  <c r="AN24" i="3" s="1"/>
  <c r="AI24" i="3"/>
  <c r="AG24" i="3"/>
  <c r="P24" i="3"/>
  <c r="O24" i="3"/>
  <c r="BS23" i="3"/>
  <c r="BM23" i="3"/>
  <c r="BL23" i="3"/>
  <c r="BH23" i="3"/>
  <c r="BG23" i="3"/>
  <c r="AS23" i="3"/>
  <c r="AQ23" i="3"/>
  <c r="AT23" i="3" s="1"/>
  <c r="AN23" i="3"/>
  <c r="AL23" i="3"/>
  <c r="AG23" i="3"/>
  <c r="AI23" i="3" s="1"/>
  <c r="P23" i="3"/>
  <c r="O23" i="3"/>
  <c r="BS22" i="3"/>
  <c r="BM22" i="3"/>
  <c r="BL22" i="3"/>
  <c r="BH22" i="3"/>
  <c r="BG22" i="3"/>
  <c r="AT22" i="3"/>
  <c r="AQ22" i="3"/>
  <c r="AN22" i="3"/>
  <c r="AL22" i="3"/>
  <c r="AI22" i="3"/>
  <c r="AS22" i="3" s="1"/>
  <c r="AG22" i="3"/>
  <c r="P22" i="3"/>
  <c r="O22" i="3"/>
  <c r="BS21" i="3"/>
  <c r="BM21" i="3"/>
  <c r="BL21" i="3"/>
  <c r="BH21" i="3"/>
  <c r="BG21" i="3"/>
  <c r="AQ21" i="3"/>
  <c r="AN21" i="3"/>
  <c r="AS21" i="3" s="1"/>
  <c r="AL21" i="3"/>
  <c r="AI21" i="3"/>
  <c r="AG21" i="3"/>
  <c r="AT21" i="3" s="1"/>
  <c r="P21" i="3"/>
  <c r="O21" i="3"/>
  <c r="BS20" i="3"/>
  <c r="BM20" i="3"/>
  <c r="BL20" i="3"/>
  <c r="BH20" i="3"/>
  <c r="BG20" i="3"/>
  <c r="AT20" i="3"/>
  <c r="AQ20" i="3"/>
  <c r="AL20" i="3"/>
  <c r="AN20" i="3" s="1"/>
  <c r="AI20" i="3"/>
  <c r="AG20" i="3"/>
  <c r="P20" i="3"/>
  <c r="O20" i="3"/>
  <c r="BS19" i="3"/>
  <c r="BM19" i="3"/>
  <c r="BL19" i="3"/>
  <c r="BH19" i="3"/>
  <c r="BG19" i="3"/>
  <c r="AQ19" i="3"/>
  <c r="AL19" i="3"/>
  <c r="AN19" i="3" s="1"/>
  <c r="AI19" i="3"/>
  <c r="AG19" i="3"/>
  <c r="P19" i="3"/>
  <c r="O19" i="3"/>
  <c r="BS18" i="3"/>
  <c r="BM18" i="3"/>
  <c r="BL18" i="3"/>
  <c r="BH18" i="3"/>
  <c r="BG18" i="3"/>
  <c r="AT18" i="3"/>
  <c r="AQ18" i="3"/>
  <c r="AN18" i="3"/>
  <c r="AS18" i="3" s="1"/>
  <c r="AL18" i="3"/>
  <c r="AI18" i="3"/>
  <c r="AR18" i="3" s="1"/>
  <c r="AG18" i="3"/>
  <c r="P18" i="3"/>
  <c r="O18" i="3"/>
  <c r="BS17" i="3"/>
  <c r="BM17" i="3"/>
  <c r="BL17" i="3"/>
  <c r="BH17" i="3"/>
  <c r="BG17" i="3"/>
  <c r="AQ17" i="3"/>
  <c r="AL17" i="3"/>
  <c r="AN17" i="3" s="1"/>
  <c r="AI17" i="3"/>
  <c r="AG17" i="3"/>
  <c r="P17" i="3"/>
  <c r="O17" i="3"/>
  <c r="BS16" i="3"/>
  <c r="BM16" i="3"/>
  <c r="BL16" i="3"/>
  <c r="BH16" i="3"/>
  <c r="BG16" i="3"/>
  <c r="AT16" i="3"/>
  <c r="AS16" i="3"/>
  <c r="AQ16" i="3"/>
  <c r="AL16" i="3"/>
  <c r="AN16" i="3" s="1"/>
  <c r="AR16" i="3" s="1"/>
  <c r="AI16" i="3"/>
  <c r="AG16" i="3"/>
  <c r="P16" i="3"/>
  <c r="O16" i="3"/>
  <c r="BS15" i="3"/>
  <c r="BM15" i="3"/>
  <c r="BL15" i="3"/>
  <c r="BH15" i="3"/>
  <c r="BG15" i="3"/>
  <c r="AQ15" i="3"/>
  <c r="AL15" i="3"/>
  <c r="AN15" i="3" s="1"/>
  <c r="AG15" i="3"/>
  <c r="AT15" i="3" s="1"/>
  <c r="P15" i="3"/>
  <c r="O15" i="3"/>
  <c r="BS14" i="3"/>
  <c r="BM14" i="3"/>
  <c r="BL14" i="3"/>
  <c r="BH14" i="3"/>
  <c r="BG14" i="3"/>
  <c r="AT14" i="3"/>
  <c r="AS14" i="3"/>
  <c r="AR14" i="3"/>
  <c r="AQ14" i="3"/>
  <c r="AN14" i="3"/>
  <c r="AL14" i="3"/>
  <c r="AI14" i="3"/>
  <c r="AG14" i="3"/>
  <c r="P14" i="3"/>
  <c r="O14" i="3"/>
  <c r="BS13" i="3"/>
  <c r="BM13" i="3"/>
  <c r="BL13" i="3"/>
  <c r="BH13" i="3"/>
  <c r="BG13" i="3"/>
  <c r="AQ13" i="3"/>
  <c r="AN13" i="3"/>
  <c r="AL13" i="3"/>
  <c r="AG13" i="3"/>
  <c r="P13" i="3"/>
  <c r="O13" i="3"/>
  <c r="BS12" i="3"/>
  <c r="BM12" i="3"/>
  <c r="BL12" i="3"/>
  <c r="BH12" i="3"/>
  <c r="BG12" i="3"/>
  <c r="AS12" i="3"/>
  <c r="AR12" i="3"/>
  <c r="AQ12" i="3"/>
  <c r="AT12" i="3" s="1"/>
  <c r="AN12" i="3"/>
  <c r="AL12" i="3"/>
  <c r="AI12" i="3"/>
  <c r="AG12" i="3"/>
  <c r="P12" i="3"/>
  <c r="O12" i="3"/>
  <c r="BS11" i="3"/>
  <c r="BM11" i="3"/>
  <c r="BL11" i="3"/>
  <c r="BH11" i="3"/>
  <c r="BG11" i="3"/>
  <c r="AQ11" i="3"/>
  <c r="AL11" i="3"/>
  <c r="AN11" i="3" s="1"/>
  <c r="AG11" i="3"/>
  <c r="AT11" i="3" s="1"/>
  <c r="P11" i="3"/>
  <c r="O11" i="3"/>
  <c r="BS10" i="3"/>
  <c r="BM10" i="3"/>
  <c r="BL10" i="3"/>
  <c r="BH10" i="3"/>
  <c r="BG10" i="3"/>
  <c r="AQ10" i="3"/>
  <c r="AT10" i="3" s="1"/>
  <c r="AN10" i="3"/>
  <c r="AR10" i="3" s="1"/>
  <c r="AL10" i="3"/>
  <c r="AI10" i="3"/>
  <c r="AG10" i="3"/>
  <c r="P10" i="3"/>
  <c r="O10" i="3"/>
  <c r="BS9" i="3"/>
  <c r="BM9" i="3"/>
  <c r="BL9" i="3"/>
  <c r="BH9" i="3"/>
  <c r="BG9" i="3"/>
  <c r="AT9" i="3"/>
  <c r="AQ9" i="3"/>
  <c r="AN9" i="3"/>
  <c r="AL9" i="3"/>
  <c r="AI9" i="3"/>
  <c r="AG9" i="3"/>
  <c r="P9" i="3"/>
  <c r="O9" i="3"/>
  <c r="BS8" i="3"/>
  <c r="BM8" i="3"/>
  <c r="BL8" i="3"/>
  <c r="BH8" i="3"/>
  <c r="BG8" i="3"/>
  <c r="AQ8" i="3"/>
  <c r="AN8" i="3"/>
  <c r="AL8" i="3"/>
  <c r="AI8" i="3"/>
  <c r="AG8" i="3"/>
  <c r="P8" i="3"/>
  <c r="O8" i="3"/>
  <c r="BS7" i="3"/>
  <c r="BM7" i="3"/>
  <c r="BL7" i="3"/>
  <c r="BH7" i="3"/>
  <c r="BG7" i="3"/>
  <c r="AT7" i="3"/>
  <c r="AQ7" i="3"/>
  <c r="AL7" i="3"/>
  <c r="AN7" i="3" s="1"/>
  <c r="AG7" i="3"/>
  <c r="AI7" i="3" s="1"/>
  <c r="P7" i="3"/>
  <c r="O7" i="3"/>
  <c r="BS6" i="3"/>
  <c r="BM6" i="3"/>
  <c r="BL6" i="3"/>
  <c r="BH6" i="3"/>
  <c r="BG6" i="3"/>
  <c r="AQ6" i="3"/>
  <c r="AL6" i="3"/>
  <c r="AI6" i="3"/>
  <c r="AG6" i="3"/>
  <c r="P6" i="3"/>
  <c r="O6" i="3"/>
  <c r="BS5" i="3"/>
  <c r="BM5" i="3"/>
  <c r="BL5" i="3"/>
  <c r="BH5" i="3"/>
  <c r="BG5" i="3"/>
  <c r="AT5" i="3"/>
  <c r="AS5" i="3"/>
  <c r="AQ5" i="3"/>
  <c r="AN5" i="3"/>
  <c r="AL5" i="3"/>
  <c r="AI5" i="3"/>
  <c r="AR5" i="3" s="1"/>
  <c r="AG5" i="3"/>
  <c r="P5" i="3"/>
  <c r="O5" i="3"/>
  <c r="BS4" i="3"/>
  <c r="BM4" i="3"/>
  <c r="BL4" i="3"/>
  <c r="BH4" i="3"/>
  <c r="BG4" i="3"/>
  <c r="AQ4" i="3"/>
  <c r="AL4" i="3"/>
  <c r="AN4" i="3" s="1"/>
  <c r="AG4" i="3"/>
  <c r="AT4" i="3" s="1"/>
  <c r="P4" i="3"/>
  <c r="O4" i="3"/>
  <c r="BS3" i="3"/>
  <c r="BM3" i="3"/>
  <c r="BL3" i="3"/>
  <c r="BH3" i="3"/>
  <c r="BG3" i="3"/>
  <c r="AT3" i="3"/>
  <c r="AS3" i="3"/>
  <c r="AR3" i="3"/>
  <c r="AQ3" i="3"/>
  <c r="AN3" i="3"/>
  <c r="AL3" i="3"/>
  <c r="AI3" i="3"/>
  <c r="AG3" i="3"/>
  <c r="P3" i="3"/>
  <c r="O3" i="3"/>
  <c r="BS2" i="3"/>
  <c r="BM2" i="3"/>
  <c r="BL2" i="3"/>
  <c r="BH2" i="3"/>
  <c r="BG2" i="3"/>
  <c r="AQ2" i="3"/>
  <c r="AL2" i="3"/>
  <c r="AN2" i="3" s="1"/>
  <c r="AG2" i="3"/>
  <c r="AT2" i="3" s="1"/>
  <c r="P2" i="3"/>
  <c r="O2" i="3"/>
  <c r="BS300" i="2"/>
  <c r="BM300" i="2"/>
  <c r="BL300" i="2"/>
  <c r="BH300" i="2"/>
  <c r="BG300" i="2"/>
  <c r="AT300" i="2"/>
  <c r="AS300" i="2"/>
  <c r="AR300" i="2"/>
  <c r="AQ300" i="2"/>
  <c r="AN300" i="2"/>
  <c r="AL300" i="2"/>
  <c r="AI300" i="2"/>
  <c r="AG300" i="2"/>
  <c r="P300" i="2"/>
  <c r="O300" i="2"/>
  <c r="BS299" i="2"/>
  <c r="BM299" i="2"/>
  <c r="BL299" i="2"/>
  <c r="BH299" i="2"/>
  <c r="BG299" i="2"/>
  <c r="AQ299" i="2"/>
  <c r="AL299" i="2"/>
  <c r="AN299" i="2" s="1"/>
  <c r="AI299" i="2"/>
  <c r="AG299" i="2"/>
  <c r="AT299" i="2" s="1"/>
  <c r="P299" i="2"/>
  <c r="O299" i="2"/>
  <c r="BS298" i="2"/>
  <c r="BM298" i="2"/>
  <c r="BL298" i="2"/>
  <c r="BH298" i="2"/>
  <c r="BG298" i="2"/>
  <c r="AT298" i="2"/>
  <c r="AS298" i="2"/>
  <c r="AR298" i="2"/>
  <c r="AQ298" i="2"/>
  <c r="AN298" i="2"/>
  <c r="AL298" i="2"/>
  <c r="AI298" i="2"/>
  <c r="AG298" i="2"/>
  <c r="P298" i="2"/>
  <c r="O298" i="2"/>
  <c r="BS297" i="2"/>
  <c r="BM297" i="2"/>
  <c r="BL297" i="2"/>
  <c r="BH297" i="2"/>
  <c r="BG297" i="2"/>
  <c r="AQ297" i="2"/>
  <c r="AL297" i="2"/>
  <c r="AN297" i="2" s="1"/>
  <c r="AG297" i="2"/>
  <c r="AT297" i="2" s="1"/>
  <c r="P297" i="2"/>
  <c r="O297" i="2"/>
  <c r="BS296" i="2"/>
  <c r="BM296" i="2"/>
  <c r="BL296" i="2"/>
  <c r="BH296" i="2"/>
  <c r="BG296" i="2"/>
  <c r="AT296" i="2"/>
  <c r="AS296" i="2"/>
  <c r="AR296" i="2"/>
  <c r="AQ296" i="2"/>
  <c r="AN296" i="2"/>
  <c r="AL296" i="2"/>
  <c r="AI296" i="2"/>
  <c r="AG296" i="2"/>
  <c r="P296" i="2"/>
  <c r="O296" i="2"/>
  <c r="BS295" i="2"/>
  <c r="BM295" i="2"/>
  <c r="BL295" i="2"/>
  <c r="BH295" i="2"/>
  <c r="BG295" i="2"/>
  <c r="AQ295" i="2"/>
  <c r="AL295" i="2"/>
  <c r="AN295" i="2" s="1"/>
  <c r="AG295" i="2"/>
  <c r="AT295" i="2" s="1"/>
  <c r="P295" i="2"/>
  <c r="O295" i="2"/>
  <c r="BS294" i="2"/>
  <c r="BM294" i="2"/>
  <c r="BL294" i="2"/>
  <c r="BH294" i="2"/>
  <c r="BG294" i="2"/>
  <c r="AT294" i="2"/>
  <c r="AS294" i="2"/>
  <c r="AR294" i="2"/>
  <c r="AQ294" i="2"/>
  <c r="AN294" i="2"/>
  <c r="AL294" i="2"/>
  <c r="AI294" i="2"/>
  <c r="AG294" i="2"/>
  <c r="P294" i="2"/>
  <c r="O294" i="2"/>
  <c r="BS293" i="2"/>
  <c r="BM293" i="2"/>
  <c r="BL293" i="2"/>
  <c r="BH293" i="2"/>
  <c r="BG293" i="2"/>
  <c r="AQ293" i="2"/>
  <c r="AL293" i="2"/>
  <c r="AN293" i="2" s="1"/>
  <c r="AG293" i="2"/>
  <c r="AT293" i="2" s="1"/>
  <c r="P293" i="2"/>
  <c r="O293" i="2"/>
  <c r="BS292" i="2"/>
  <c r="BM292" i="2"/>
  <c r="BL292" i="2"/>
  <c r="BH292" i="2"/>
  <c r="BG292" i="2"/>
  <c r="AT292" i="2"/>
  <c r="AS292" i="2"/>
  <c r="AR292" i="2"/>
  <c r="AQ292" i="2"/>
  <c r="AN292" i="2"/>
  <c r="AL292" i="2"/>
  <c r="AI292" i="2"/>
  <c r="AG292" i="2"/>
  <c r="P292" i="2"/>
  <c r="O292" i="2"/>
  <c r="BS291" i="2"/>
  <c r="BM291" i="2"/>
  <c r="BL291" i="2"/>
  <c r="BH291" i="2"/>
  <c r="BG291" i="2"/>
  <c r="AQ291" i="2"/>
  <c r="AL291" i="2"/>
  <c r="AN291" i="2" s="1"/>
  <c r="AG291" i="2"/>
  <c r="AT291" i="2" s="1"/>
  <c r="P291" i="2"/>
  <c r="O291" i="2"/>
  <c r="BS290" i="2"/>
  <c r="BM290" i="2"/>
  <c r="BL290" i="2"/>
  <c r="BH290" i="2"/>
  <c r="BG290" i="2"/>
  <c r="AT290" i="2"/>
  <c r="AS290" i="2"/>
  <c r="AR290" i="2"/>
  <c r="AQ290" i="2"/>
  <c r="AN290" i="2"/>
  <c r="AL290" i="2"/>
  <c r="AI290" i="2"/>
  <c r="AG290" i="2"/>
  <c r="P290" i="2"/>
  <c r="O290" i="2"/>
  <c r="BS289" i="2"/>
  <c r="BM289" i="2"/>
  <c r="BL289" i="2"/>
  <c r="BH289" i="2"/>
  <c r="BG289" i="2"/>
  <c r="AQ289" i="2"/>
  <c r="AL289" i="2"/>
  <c r="AN289" i="2" s="1"/>
  <c r="AI289" i="2"/>
  <c r="AG289" i="2"/>
  <c r="AT289" i="2" s="1"/>
  <c r="P289" i="2"/>
  <c r="O289" i="2"/>
  <c r="BS288" i="2"/>
  <c r="BM288" i="2"/>
  <c r="BL288" i="2"/>
  <c r="BH288" i="2"/>
  <c r="BG288" i="2"/>
  <c r="AT288" i="2"/>
  <c r="AS288" i="2"/>
  <c r="AR288" i="2"/>
  <c r="AQ288" i="2"/>
  <c r="AN288" i="2"/>
  <c r="AL288" i="2"/>
  <c r="AI288" i="2"/>
  <c r="AG288" i="2"/>
  <c r="P288" i="2"/>
  <c r="O288" i="2"/>
  <c r="BS287" i="2"/>
  <c r="BM287" i="2"/>
  <c r="BL287" i="2"/>
  <c r="BH287" i="2"/>
  <c r="BG287" i="2"/>
  <c r="AQ287" i="2"/>
  <c r="AL287" i="2"/>
  <c r="AN287" i="2" s="1"/>
  <c r="AG287" i="2"/>
  <c r="AT287" i="2" s="1"/>
  <c r="P287" i="2"/>
  <c r="O287" i="2"/>
  <c r="BS286" i="2"/>
  <c r="BM286" i="2"/>
  <c r="BL286" i="2"/>
  <c r="BH286" i="2"/>
  <c r="BG286" i="2"/>
  <c r="AT286" i="2"/>
  <c r="AS286" i="2"/>
  <c r="AR286" i="2"/>
  <c r="AQ286" i="2"/>
  <c r="AN286" i="2"/>
  <c r="AL286" i="2"/>
  <c r="AI286" i="2"/>
  <c r="AG286" i="2"/>
  <c r="P286" i="2"/>
  <c r="O286" i="2"/>
  <c r="BS285" i="2"/>
  <c r="BM285" i="2"/>
  <c r="BL285" i="2"/>
  <c r="BH285" i="2"/>
  <c r="BG285" i="2"/>
  <c r="AQ285" i="2"/>
  <c r="AL285" i="2"/>
  <c r="AN285" i="2" s="1"/>
  <c r="AG285" i="2"/>
  <c r="AT285" i="2" s="1"/>
  <c r="P285" i="2"/>
  <c r="O285" i="2"/>
  <c r="BS284" i="2"/>
  <c r="BM284" i="2"/>
  <c r="BL284" i="2"/>
  <c r="BH284" i="2"/>
  <c r="BG284" i="2"/>
  <c r="AT284" i="2"/>
  <c r="AS284" i="2"/>
  <c r="AR284" i="2"/>
  <c r="AQ284" i="2"/>
  <c r="AN284" i="2"/>
  <c r="AL284" i="2"/>
  <c r="AI284" i="2"/>
  <c r="AG284" i="2"/>
  <c r="P284" i="2"/>
  <c r="O284" i="2"/>
  <c r="BS283" i="2"/>
  <c r="BM283" i="2"/>
  <c r="BL283" i="2"/>
  <c r="BH283" i="2"/>
  <c r="BG283" i="2"/>
  <c r="AQ283" i="2"/>
  <c r="AL283" i="2"/>
  <c r="AN283" i="2" s="1"/>
  <c r="AG283" i="2"/>
  <c r="AT283" i="2" s="1"/>
  <c r="P283" i="2"/>
  <c r="O283" i="2"/>
  <c r="BS282" i="2"/>
  <c r="BM282" i="2"/>
  <c r="BL282" i="2"/>
  <c r="BH282" i="2"/>
  <c r="BG282" i="2"/>
  <c r="AT282" i="2"/>
  <c r="AS282" i="2"/>
  <c r="AR282" i="2"/>
  <c r="AQ282" i="2"/>
  <c r="AN282" i="2"/>
  <c r="AL282" i="2"/>
  <c r="AI282" i="2"/>
  <c r="AG282" i="2"/>
  <c r="P282" i="2"/>
  <c r="O282" i="2"/>
  <c r="BS281" i="2"/>
  <c r="BM281" i="2"/>
  <c r="BL281" i="2"/>
  <c r="BH281" i="2"/>
  <c r="BG281" i="2"/>
  <c r="AQ281" i="2"/>
  <c r="AL281" i="2"/>
  <c r="AN281" i="2" s="1"/>
  <c r="AG281" i="2"/>
  <c r="AT281" i="2" s="1"/>
  <c r="P281" i="2"/>
  <c r="O281" i="2"/>
  <c r="BS280" i="2"/>
  <c r="BM280" i="2"/>
  <c r="BL280" i="2"/>
  <c r="BH280" i="2"/>
  <c r="BG280" i="2"/>
  <c r="AT280" i="2"/>
  <c r="AS280" i="2"/>
  <c r="AR280" i="2"/>
  <c r="AQ280" i="2"/>
  <c r="AN280" i="2"/>
  <c r="AL280" i="2"/>
  <c r="AI280" i="2"/>
  <c r="AG280" i="2"/>
  <c r="P280" i="2"/>
  <c r="O280" i="2"/>
  <c r="BS279" i="2"/>
  <c r="BM279" i="2"/>
  <c r="BL279" i="2"/>
  <c r="BH279" i="2"/>
  <c r="BG279" i="2"/>
  <c r="AQ279" i="2"/>
  <c r="AL279" i="2"/>
  <c r="AN279" i="2" s="1"/>
  <c r="AI279" i="2"/>
  <c r="AG279" i="2"/>
  <c r="AT279" i="2" s="1"/>
  <c r="P279" i="2"/>
  <c r="O279" i="2"/>
  <c r="BS278" i="2"/>
  <c r="BM278" i="2"/>
  <c r="BL278" i="2"/>
  <c r="BH278" i="2"/>
  <c r="BG278" i="2"/>
  <c r="AT278" i="2"/>
  <c r="AS278" i="2"/>
  <c r="AR278" i="2"/>
  <c r="AQ278" i="2"/>
  <c r="AN278" i="2"/>
  <c r="AL278" i="2"/>
  <c r="AI278" i="2"/>
  <c r="AG278" i="2"/>
  <c r="P278" i="2"/>
  <c r="O278" i="2"/>
  <c r="BS277" i="2"/>
  <c r="BM277" i="2"/>
  <c r="BL277" i="2"/>
  <c r="BH277" i="2"/>
  <c r="BG277" i="2"/>
  <c r="AQ277" i="2"/>
  <c r="AL277" i="2"/>
  <c r="AN277" i="2" s="1"/>
  <c r="AG277" i="2"/>
  <c r="AT277" i="2" s="1"/>
  <c r="P277" i="2"/>
  <c r="O277" i="2"/>
  <c r="BS276" i="2"/>
  <c r="BM276" i="2"/>
  <c r="BL276" i="2"/>
  <c r="BH276" i="2"/>
  <c r="BG276" i="2"/>
  <c r="AT276" i="2"/>
  <c r="AS276" i="2"/>
  <c r="AR276" i="2"/>
  <c r="AQ276" i="2"/>
  <c r="AN276" i="2"/>
  <c r="AL276" i="2"/>
  <c r="AI276" i="2"/>
  <c r="AG276" i="2"/>
  <c r="P276" i="2"/>
  <c r="O276" i="2"/>
  <c r="BS275" i="2"/>
  <c r="BM275" i="2"/>
  <c r="BL275" i="2"/>
  <c r="BH275" i="2"/>
  <c r="BG275" i="2"/>
  <c r="AQ275" i="2"/>
  <c r="AL275" i="2"/>
  <c r="AN275" i="2" s="1"/>
  <c r="AG275" i="2"/>
  <c r="AT275" i="2" s="1"/>
  <c r="P275" i="2"/>
  <c r="O275" i="2"/>
  <c r="BS274" i="2"/>
  <c r="BM274" i="2"/>
  <c r="BL274" i="2"/>
  <c r="BH274" i="2"/>
  <c r="BG274" i="2"/>
  <c r="AT274" i="2"/>
  <c r="AS274" i="2"/>
  <c r="AR274" i="2"/>
  <c r="AQ274" i="2"/>
  <c r="AN274" i="2"/>
  <c r="AL274" i="2"/>
  <c r="AI274" i="2"/>
  <c r="AG274" i="2"/>
  <c r="P274" i="2"/>
  <c r="O274" i="2"/>
  <c r="BS273" i="2"/>
  <c r="BM273" i="2"/>
  <c r="BL273" i="2"/>
  <c r="BH273" i="2"/>
  <c r="BG273" i="2"/>
  <c r="AQ273" i="2"/>
  <c r="AL273" i="2"/>
  <c r="AN273" i="2" s="1"/>
  <c r="AG273" i="2"/>
  <c r="AT273" i="2" s="1"/>
  <c r="P273" i="2"/>
  <c r="O273" i="2"/>
  <c r="BS272" i="2"/>
  <c r="BM272" i="2"/>
  <c r="BL272" i="2"/>
  <c r="BH272" i="2"/>
  <c r="BG272" i="2"/>
  <c r="AT272" i="2"/>
  <c r="AS272" i="2"/>
  <c r="AR272" i="2"/>
  <c r="AQ272" i="2"/>
  <c r="AN272" i="2"/>
  <c r="AL272" i="2"/>
  <c r="AI272" i="2"/>
  <c r="AG272" i="2"/>
  <c r="P272" i="2"/>
  <c r="O272" i="2"/>
  <c r="BS271" i="2"/>
  <c r="BM271" i="2"/>
  <c r="BL271" i="2"/>
  <c r="BH271" i="2"/>
  <c r="BG271" i="2"/>
  <c r="AQ271" i="2"/>
  <c r="AL271" i="2"/>
  <c r="AN271" i="2" s="1"/>
  <c r="AG271" i="2"/>
  <c r="AT271" i="2" s="1"/>
  <c r="P271" i="2"/>
  <c r="O271" i="2"/>
  <c r="BS270" i="2"/>
  <c r="BM270" i="2"/>
  <c r="BL270" i="2"/>
  <c r="BH270" i="2"/>
  <c r="BG270" i="2"/>
  <c r="AT270" i="2"/>
  <c r="AS270" i="2"/>
  <c r="AR270" i="2"/>
  <c r="AQ270" i="2"/>
  <c r="AN270" i="2"/>
  <c r="AL270" i="2"/>
  <c r="AI270" i="2"/>
  <c r="AG270" i="2"/>
  <c r="P270" i="2"/>
  <c r="O270" i="2"/>
  <c r="BS269" i="2"/>
  <c r="BM269" i="2"/>
  <c r="BL269" i="2"/>
  <c r="BH269" i="2"/>
  <c r="BG269" i="2"/>
  <c r="AQ269" i="2"/>
  <c r="AL269" i="2"/>
  <c r="AN269" i="2" s="1"/>
  <c r="AI269" i="2"/>
  <c r="AG269" i="2"/>
  <c r="AT269" i="2" s="1"/>
  <c r="P269" i="2"/>
  <c r="O269" i="2"/>
  <c r="BS268" i="2"/>
  <c r="BM268" i="2"/>
  <c r="BL268" i="2"/>
  <c r="BH268" i="2"/>
  <c r="BG268" i="2"/>
  <c r="AT268" i="2"/>
  <c r="AS268" i="2"/>
  <c r="AR268" i="2"/>
  <c r="AQ268" i="2"/>
  <c r="AN268" i="2"/>
  <c r="AL268" i="2"/>
  <c r="AI268" i="2"/>
  <c r="AG268" i="2"/>
  <c r="P268" i="2"/>
  <c r="O268" i="2"/>
  <c r="BS267" i="2"/>
  <c r="BM267" i="2"/>
  <c r="BL267" i="2"/>
  <c r="BH267" i="2"/>
  <c r="BG267" i="2"/>
  <c r="AQ267" i="2"/>
  <c r="AL267" i="2"/>
  <c r="AN267" i="2" s="1"/>
  <c r="AG267" i="2"/>
  <c r="AT267" i="2" s="1"/>
  <c r="P267" i="2"/>
  <c r="O267" i="2"/>
  <c r="BS266" i="2"/>
  <c r="BM266" i="2"/>
  <c r="BL266" i="2"/>
  <c r="BH266" i="2"/>
  <c r="BG266" i="2"/>
  <c r="AT266" i="2"/>
  <c r="AS266" i="2"/>
  <c r="AR266" i="2"/>
  <c r="AQ266" i="2"/>
  <c r="AN266" i="2"/>
  <c r="AL266" i="2"/>
  <c r="AI266" i="2"/>
  <c r="AG266" i="2"/>
  <c r="P266" i="2"/>
  <c r="O266" i="2"/>
  <c r="BS265" i="2"/>
  <c r="BM265" i="2"/>
  <c r="BL265" i="2"/>
  <c r="BH265" i="2"/>
  <c r="BG265" i="2"/>
  <c r="AQ265" i="2"/>
  <c r="AL265" i="2"/>
  <c r="AN265" i="2" s="1"/>
  <c r="AG265" i="2"/>
  <c r="AT265" i="2" s="1"/>
  <c r="P265" i="2"/>
  <c r="O265" i="2"/>
  <c r="BS264" i="2"/>
  <c r="BM264" i="2"/>
  <c r="BL264" i="2"/>
  <c r="BH264" i="2"/>
  <c r="BG264" i="2"/>
  <c r="AT264" i="2"/>
  <c r="AS264" i="2"/>
  <c r="AR264" i="2"/>
  <c r="AQ264" i="2"/>
  <c r="AN264" i="2"/>
  <c r="AL264" i="2"/>
  <c r="AI264" i="2"/>
  <c r="AG264" i="2"/>
  <c r="P264" i="2"/>
  <c r="O264" i="2"/>
  <c r="BS263" i="2"/>
  <c r="BM263" i="2"/>
  <c r="BL263" i="2"/>
  <c r="BH263" i="2"/>
  <c r="BG263" i="2"/>
  <c r="AQ263" i="2"/>
  <c r="AL263" i="2"/>
  <c r="AN263" i="2" s="1"/>
  <c r="AG263" i="2"/>
  <c r="AT263" i="2" s="1"/>
  <c r="P263" i="2"/>
  <c r="O263" i="2"/>
  <c r="BS262" i="2"/>
  <c r="BM262" i="2"/>
  <c r="BL262" i="2"/>
  <c r="BH262" i="2"/>
  <c r="BG262" i="2"/>
  <c r="AT262" i="2"/>
  <c r="AS262" i="2"/>
  <c r="AR262" i="2"/>
  <c r="AQ262" i="2"/>
  <c r="AN262" i="2"/>
  <c r="AL262" i="2"/>
  <c r="AI262" i="2"/>
  <c r="AG262" i="2"/>
  <c r="P262" i="2"/>
  <c r="O262" i="2"/>
  <c r="BS261" i="2"/>
  <c r="BM261" i="2"/>
  <c r="BL261" i="2"/>
  <c r="BH261" i="2"/>
  <c r="BG261" i="2"/>
  <c r="AQ261" i="2"/>
  <c r="AL261" i="2"/>
  <c r="AN261" i="2" s="1"/>
  <c r="AG261" i="2"/>
  <c r="AT261" i="2" s="1"/>
  <c r="P261" i="2"/>
  <c r="O261" i="2"/>
  <c r="BS260" i="2"/>
  <c r="BM260" i="2"/>
  <c r="BL260" i="2"/>
  <c r="BH260" i="2"/>
  <c r="BG260" i="2"/>
  <c r="AT260" i="2"/>
  <c r="AS260" i="2"/>
  <c r="AR260" i="2"/>
  <c r="AQ260" i="2"/>
  <c r="AN260" i="2"/>
  <c r="AL260" i="2"/>
  <c r="AI260" i="2"/>
  <c r="AG260" i="2"/>
  <c r="P260" i="2"/>
  <c r="O260" i="2"/>
  <c r="BS259" i="2"/>
  <c r="BM259" i="2"/>
  <c r="BL259" i="2"/>
  <c r="BH259" i="2"/>
  <c r="BG259" i="2"/>
  <c r="AQ259" i="2"/>
  <c r="AL259" i="2"/>
  <c r="AN259" i="2" s="1"/>
  <c r="AI259" i="2"/>
  <c r="AG259" i="2"/>
  <c r="AT259" i="2" s="1"/>
  <c r="P259" i="2"/>
  <c r="O259" i="2"/>
  <c r="BS258" i="2"/>
  <c r="BM258" i="2"/>
  <c r="BL258" i="2"/>
  <c r="BH258" i="2"/>
  <c r="BG258" i="2"/>
  <c r="AT258" i="2"/>
  <c r="AS258" i="2"/>
  <c r="AR258" i="2"/>
  <c r="AQ258" i="2"/>
  <c r="AN258" i="2"/>
  <c r="AL258" i="2"/>
  <c r="AI258" i="2"/>
  <c r="AG258" i="2"/>
  <c r="P258" i="2"/>
  <c r="O258" i="2"/>
  <c r="BS257" i="2"/>
  <c r="BM257" i="2"/>
  <c r="BL257" i="2"/>
  <c r="BH257" i="2"/>
  <c r="BG257" i="2"/>
  <c r="AQ257" i="2"/>
  <c r="AL257" i="2"/>
  <c r="AN257" i="2" s="1"/>
  <c r="AG257" i="2"/>
  <c r="AT257" i="2" s="1"/>
  <c r="P257" i="2"/>
  <c r="O257" i="2"/>
  <c r="BS256" i="2"/>
  <c r="BM256" i="2"/>
  <c r="BL256" i="2"/>
  <c r="BH256" i="2"/>
  <c r="BG256" i="2"/>
  <c r="AT256" i="2"/>
  <c r="AS256" i="2"/>
  <c r="AR256" i="2"/>
  <c r="AQ256" i="2"/>
  <c r="AN256" i="2"/>
  <c r="AL256" i="2"/>
  <c r="AI256" i="2"/>
  <c r="AG256" i="2"/>
  <c r="P256" i="2"/>
  <c r="O256" i="2"/>
  <c r="BS255" i="2"/>
  <c r="BM255" i="2"/>
  <c r="BL255" i="2"/>
  <c r="BH255" i="2"/>
  <c r="BG255" i="2"/>
  <c r="AQ255" i="2"/>
  <c r="AL255" i="2"/>
  <c r="AN255" i="2" s="1"/>
  <c r="AG255" i="2"/>
  <c r="AT255" i="2" s="1"/>
  <c r="P255" i="2"/>
  <c r="O255" i="2"/>
  <c r="BS254" i="2"/>
  <c r="BM254" i="2"/>
  <c r="BL254" i="2"/>
  <c r="BH254" i="2"/>
  <c r="BG254" i="2"/>
  <c r="AT254" i="2"/>
  <c r="AS254" i="2"/>
  <c r="AR254" i="2"/>
  <c r="AQ254" i="2"/>
  <c r="AN254" i="2"/>
  <c r="AL254" i="2"/>
  <c r="AI254" i="2"/>
  <c r="AG254" i="2"/>
  <c r="P254" i="2"/>
  <c r="O254" i="2"/>
  <c r="BS253" i="2"/>
  <c r="BM253" i="2"/>
  <c r="BL253" i="2"/>
  <c r="BH253" i="2"/>
  <c r="BG253" i="2"/>
  <c r="AQ253" i="2"/>
  <c r="AL253" i="2"/>
  <c r="AN253" i="2" s="1"/>
  <c r="AG253" i="2"/>
  <c r="AT253" i="2" s="1"/>
  <c r="P253" i="2"/>
  <c r="O253" i="2"/>
  <c r="BS252" i="2"/>
  <c r="BM252" i="2"/>
  <c r="BL252" i="2"/>
  <c r="BH252" i="2"/>
  <c r="BG252" i="2"/>
  <c r="AS252" i="2"/>
  <c r="AR252" i="2"/>
  <c r="AQ252" i="2"/>
  <c r="AT252" i="2" s="1"/>
  <c r="AN252" i="2"/>
  <c r="AL252" i="2"/>
  <c r="AI252" i="2"/>
  <c r="AG252" i="2"/>
  <c r="P252" i="2"/>
  <c r="O252" i="2"/>
  <c r="BS251" i="2"/>
  <c r="BM251" i="2"/>
  <c r="BL251" i="2"/>
  <c r="BH251" i="2"/>
  <c r="BG251" i="2"/>
  <c r="AQ251" i="2"/>
  <c r="AL251" i="2"/>
  <c r="AN251" i="2" s="1"/>
  <c r="AG251" i="2"/>
  <c r="P251" i="2"/>
  <c r="O251" i="2"/>
  <c r="BS250" i="2"/>
  <c r="BM250" i="2"/>
  <c r="BL250" i="2"/>
  <c r="BH250" i="2"/>
  <c r="BG250" i="2"/>
  <c r="AS250" i="2"/>
  <c r="AR250" i="2"/>
  <c r="AQ250" i="2"/>
  <c r="AT250" i="2" s="1"/>
  <c r="AN250" i="2"/>
  <c r="AL250" i="2"/>
  <c r="AI250" i="2"/>
  <c r="AG250" i="2"/>
  <c r="P250" i="2"/>
  <c r="O250" i="2"/>
  <c r="BS249" i="2"/>
  <c r="BM249" i="2"/>
  <c r="BL249" i="2"/>
  <c r="BH249" i="2"/>
  <c r="BG249" i="2"/>
  <c r="AQ249" i="2"/>
  <c r="AL249" i="2"/>
  <c r="AN249" i="2" s="1"/>
  <c r="AG249" i="2"/>
  <c r="AT249" i="2" s="1"/>
  <c r="P249" i="2"/>
  <c r="O249" i="2"/>
  <c r="BS248" i="2"/>
  <c r="BM248" i="2"/>
  <c r="BL248" i="2"/>
  <c r="BH248" i="2"/>
  <c r="BG248" i="2"/>
  <c r="AS248" i="2"/>
  <c r="AR248" i="2"/>
  <c r="AQ248" i="2"/>
  <c r="AT248" i="2" s="1"/>
  <c r="AN248" i="2"/>
  <c r="AL248" i="2"/>
  <c r="AI248" i="2"/>
  <c r="AG248" i="2"/>
  <c r="P248" i="2"/>
  <c r="O248" i="2"/>
  <c r="BS247" i="2"/>
  <c r="BM247" i="2"/>
  <c r="BL247" i="2"/>
  <c r="BH247" i="2"/>
  <c r="BG247" i="2"/>
  <c r="AQ247" i="2"/>
  <c r="AL247" i="2"/>
  <c r="AN247" i="2" s="1"/>
  <c r="AG247" i="2"/>
  <c r="P247" i="2"/>
  <c r="O247" i="2"/>
  <c r="BS246" i="2"/>
  <c r="BM246" i="2"/>
  <c r="BL246" i="2"/>
  <c r="BH246" i="2"/>
  <c r="BG246" i="2"/>
  <c r="AS246" i="2"/>
  <c r="AR246" i="2"/>
  <c r="AQ246" i="2"/>
  <c r="AT246" i="2" s="1"/>
  <c r="AN246" i="2"/>
  <c r="AL246" i="2"/>
  <c r="AI246" i="2"/>
  <c r="AG246" i="2"/>
  <c r="P246" i="2"/>
  <c r="O246" i="2"/>
  <c r="BS245" i="2"/>
  <c r="BM245" i="2"/>
  <c r="BL245" i="2"/>
  <c r="BH245" i="2"/>
  <c r="BG245" i="2"/>
  <c r="AQ245" i="2"/>
  <c r="AL245" i="2"/>
  <c r="AN245" i="2" s="1"/>
  <c r="AG245" i="2"/>
  <c r="AT245" i="2" s="1"/>
  <c r="P245" i="2"/>
  <c r="O245" i="2"/>
  <c r="BS244" i="2"/>
  <c r="BM244" i="2"/>
  <c r="BL244" i="2"/>
  <c r="BH244" i="2"/>
  <c r="BG244" i="2"/>
  <c r="AS244" i="2"/>
  <c r="AR244" i="2"/>
  <c r="AQ244" i="2"/>
  <c r="AT244" i="2" s="1"/>
  <c r="AN244" i="2"/>
  <c r="AL244" i="2"/>
  <c r="AI244" i="2"/>
  <c r="AG244" i="2"/>
  <c r="P244" i="2"/>
  <c r="O244" i="2"/>
  <c r="BS243" i="2"/>
  <c r="BM243" i="2"/>
  <c r="BL243" i="2"/>
  <c r="BH243" i="2"/>
  <c r="BG243" i="2"/>
  <c r="AQ243" i="2"/>
  <c r="AL243" i="2"/>
  <c r="AN243" i="2" s="1"/>
  <c r="AG243" i="2"/>
  <c r="P243" i="2"/>
  <c r="O243" i="2"/>
  <c r="BS242" i="2"/>
  <c r="BM242" i="2"/>
  <c r="BL242" i="2"/>
  <c r="BH242" i="2"/>
  <c r="BG242" i="2"/>
  <c r="AS242" i="2"/>
  <c r="AR242" i="2"/>
  <c r="AQ242" i="2"/>
  <c r="AT242" i="2" s="1"/>
  <c r="AN242" i="2"/>
  <c r="AL242" i="2"/>
  <c r="AI242" i="2"/>
  <c r="AG242" i="2"/>
  <c r="P242" i="2"/>
  <c r="O242" i="2"/>
  <c r="BS241" i="2"/>
  <c r="BM241" i="2"/>
  <c r="BL241" i="2"/>
  <c r="BH241" i="2"/>
  <c r="BG241" i="2"/>
  <c r="AQ241" i="2"/>
  <c r="AL241" i="2"/>
  <c r="AN241" i="2" s="1"/>
  <c r="AG241" i="2"/>
  <c r="AT241" i="2" s="1"/>
  <c r="P241" i="2"/>
  <c r="O241" i="2"/>
  <c r="BS240" i="2"/>
  <c r="BM240" i="2"/>
  <c r="BL240" i="2"/>
  <c r="BH240" i="2"/>
  <c r="BG240" i="2"/>
  <c r="AS240" i="2"/>
  <c r="AR240" i="2"/>
  <c r="AQ240" i="2"/>
  <c r="AT240" i="2" s="1"/>
  <c r="AN240" i="2"/>
  <c r="AL240" i="2"/>
  <c r="AI240" i="2"/>
  <c r="AG240" i="2"/>
  <c r="P240" i="2"/>
  <c r="O240" i="2"/>
  <c r="BS239" i="2"/>
  <c r="BM239" i="2"/>
  <c r="BL239" i="2"/>
  <c r="BH239" i="2"/>
  <c r="BG239" i="2"/>
  <c r="AQ239" i="2"/>
  <c r="AL239" i="2"/>
  <c r="AN239" i="2" s="1"/>
  <c r="AG239" i="2"/>
  <c r="P239" i="2"/>
  <c r="O239" i="2"/>
  <c r="BS238" i="2"/>
  <c r="BM238" i="2"/>
  <c r="BL238" i="2"/>
  <c r="BH238" i="2"/>
  <c r="BG238" i="2"/>
  <c r="AS238" i="2"/>
  <c r="AR238" i="2"/>
  <c r="AQ238" i="2"/>
  <c r="AT238" i="2" s="1"/>
  <c r="AN238" i="2"/>
  <c r="AL238" i="2"/>
  <c r="AI238" i="2"/>
  <c r="AG238" i="2"/>
  <c r="P238" i="2"/>
  <c r="O238" i="2"/>
  <c r="BS237" i="2"/>
  <c r="BM237" i="2"/>
  <c r="BL237" i="2"/>
  <c r="BH237" i="2"/>
  <c r="BG237" i="2"/>
  <c r="AQ237" i="2"/>
  <c r="AL237" i="2"/>
  <c r="AN237" i="2" s="1"/>
  <c r="AG237" i="2"/>
  <c r="AT237" i="2" s="1"/>
  <c r="P237" i="2"/>
  <c r="O237" i="2"/>
  <c r="BS236" i="2"/>
  <c r="BM236" i="2"/>
  <c r="BL236" i="2"/>
  <c r="BH236" i="2"/>
  <c r="BG236" i="2"/>
  <c r="AS236" i="2"/>
  <c r="AR236" i="2"/>
  <c r="AQ236" i="2"/>
  <c r="AT236" i="2" s="1"/>
  <c r="AN236" i="2"/>
  <c r="AL236" i="2"/>
  <c r="AI236" i="2"/>
  <c r="AG236" i="2"/>
  <c r="P236" i="2"/>
  <c r="O236" i="2"/>
  <c r="BS235" i="2"/>
  <c r="BM235" i="2"/>
  <c r="BL235" i="2"/>
  <c r="BH235" i="2"/>
  <c r="BG235" i="2"/>
  <c r="AQ235" i="2"/>
  <c r="AL235" i="2"/>
  <c r="AN235" i="2" s="1"/>
  <c r="AG235" i="2"/>
  <c r="P235" i="2"/>
  <c r="O235" i="2"/>
  <c r="BS234" i="2"/>
  <c r="BM234" i="2"/>
  <c r="BL234" i="2"/>
  <c r="BH234" i="2"/>
  <c r="BG234" i="2"/>
  <c r="AS234" i="2"/>
  <c r="AR234" i="2"/>
  <c r="AQ234" i="2"/>
  <c r="AT234" i="2" s="1"/>
  <c r="AN234" i="2"/>
  <c r="AL234" i="2"/>
  <c r="AI234" i="2"/>
  <c r="AG234" i="2"/>
  <c r="P234" i="2"/>
  <c r="O234" i="2"/>
  <c r="BS233" i="2"/>
  <c r="BM233" i="2"/>
  <c r="BL233" i="2"/>
  <c r="BH233" i="2"/>
  <c r="BG233" i="2"/>
  <c r="AQ233" i="2"/>
  <c r="AL233" i="2"/>
  <c r="AN233" i="2" s="1"/>
  <c r="AG233" i="2"/>
  <c r="AT233" i="2" s="1"/>
  <c r="P233" i="2"/>
  <c r="O233" i="2"/>
  <c r="BS232" i="2"/>
  <c r="BM232" i="2"/>
  <c r="BL232" i="2"/>
  <c r="BH232" i="2"/>
  <c r="BG232" i="2"/>
  <c r="AS232" i="2"/>
  <c r="AR232" i="2"/>
  <c r="AQ232" i="2"/>
  <c r="AT232" i="2" s="1"/>
  <c r="AN232" i="2"/>
  <c r="AL232" i="2"/>
  <c r="AI232" i="2"/>
  <c r="AG232" i="2"/>
  <c r="P232" i="2"/>
  <c r="O232" i="2"/>
  <c r="BS231" i="2"/>
  <c r="BM231" i="2"/>
  <c r="BL231" i="2"/>
  <c r="BH231" i="2"/>
  <c r="BG231" i="2"/>
  <c r="AQ231" i="2"/>
  <c r="AL231" i="2"/>
  <c r="AN231" i="2" s="1"/>
  <c r="AG231" i="2"/>
  <c r="P231" i="2"/>
  <c r="O231" i="2"/>
  <c r="BS230" i="2"/>
  <c r="BM230" i="2"/>
  <c r="BL230" i="2"/>
  <c r="BH230" i="2"/>
  <c r="BG230" i="2"/>
  <c r="AS230" i="2"/>
  <c r="AR230" i="2"/>
  <c r="AQ230" i="2"/>
  <c r="AT230" i="2" s="1"/>
  <c r="AN230" i="2"/>
  <c r="AL230" i="2"/>
  <c r="AI230" i="2"/>
  <c r="AG230" i="2"/>
  <c r="P230" i="2"/>
  <c r="O230" i="2"/>
  <c r="BS229" i="2"/>
  <c r="BM229" i="2"/>
  <c r="BL229" i="2"/>
  <c r="BH229" i="2"/>
  <c r="BG229" i="2"/>
  <c r="AQ229" i="2"/>
  <c r="AL229" i="2"/>
  <c r="AN229" i="2" s="1"/>
  <c r="AG229" i="2"/>
  <c r="AT229" i="2" s="1"/>
  <c r="P229" i="2"/>
  <c r="O229" i="2"/>
  <c r="BS228" i="2"/>
  <c r="BM228" i="2"/>
  <c r="BL228" i="2"/>
  <c r="BH228" i="2"/>
  <c r="BG228" i="2"/>
  <c r="AS228" i="2"/>
  <c r="AR228" i="2"/>
  <c r="AQ228" i="2"/>
  <c r="AT228" i="2" s="1"/>
  <c r="AN228" i="2"/>
  <c r="AL228" i="2"/>
  <c r="AI228" i="2"/>
  <c r="AG228" i="2"/>
  <c r="P228" i="2"/>
  <c r="O228" i="2"/>
  <c r="BS227" i="2"/>
  <c r="BM227" i="2"/>
  <c r="BL227" i="2"/>
  <c r="BH227" i="2"/>
  <c r="BG227" i="2"/>
  <c r="AQ227" i="2"/>
  <c r="AL227" i="2"/>
  <c r="AN227" i="2" s="1"/>
  <c r="AG227" i="2"/>
  <c r="P227" i="2"/>
  <c r="O227" i="2"/>
  <c r="BS226" i="2"/>
  <c r="BM226" i="2"/>
  <c r="BL226" i="2"/>
  <c r="BH226" i="2"/>
  <c r="BG226" i="2"/>
  <c r="AS226" i="2"/>
  <c r="AR226" i="2"/>
  <c r="AQ226" i="2"/>
  <c r="AT226" i="2" s="1"/>
  <c r="AN226" i="2"/>
  <c r="AL226" i="2"/>
  <c r="AI226" i="2"/>
  <c r="AG226" i="2"/>
  <c r="P226" i="2"/>
  <c r="O226" i="2"/>
  <c r="BS225" i="2"/>
  <c r="BM225" i="2"/>
  <c r="BL225" i="2"/>
  <c r="BH225" i="2"/>
  <c r="BG225" i="2"/>
  <c r="AQ225" i="2"/>
  <c r="AL225" i="2"/>
  <c r="AN225" i="2" s="1"/>
  <c r="AG225" i="2"/>
  <c r="AT225" i="2" s="1"/>
  <c r="P225" i="2"/>
  <c r="O225" i="2"/>
  <c r="BS224" i="2"/>
  <c r="BM224" i="2"/>
  <c r="BL224" i="2"/>
  <c r="BH224" i="2"/>
  <c r="BG224" i="2"/>
  <c r="AS224" i="2"/>
  <c r="AR224" i="2"/>
  <c r="AQ224" i="2"/>
  <c r="AT224" i="2" s="1"/>
  <c r="AN224" i="2"/>
  <c r="AL224" i="2"/>
  <c r="AI224" i="2"/>
  <c r="AG224" i="2"/>
  <c r="P224" i="2"/>
  <c r="O224" i="2"/>
  <c r="BS223" i="2"/>
  <c r="BM223" i="2"/>
  <c r="BL223" i="2"/>
  <c r="BH223" i="2"/>
  <c r="BG223" i="2"/>
  <c r="AQ223" i="2"/>
  <c r="AL223" i="2"/>
  <c r="AN223" i="2" s="1"/>
  <c r="AG223" i="2"/>
  <c r="P223" i="2"/>
  <c r="O223" i="2"/>
  <c r="BS222" i="2"/>
  <c r="BM222" i="2"/>
  <c r="BL222" i="2"/>
  <c r="BH222" i="2"/>
  <c r="BG222" i="2"/>
  <c r="AS222" i="2"/>
  <c r="AR222" i="2"/>
  <c r="AQ222" i="2"/>
  <c r="AT222" i="2" s="1"/>
  <c r="AN222" i="2"/>
  <c r="AL222" i="2"/>
  <c r="AI222" i="2"/>
  <c r="AG222" i="2"/>
  <c r="P222" i="2"/>
  <c r="O222" i="2"/>
  <c r="BS221" i="2"/>
  <c r="BM221" i="2"/>
  <c r="BL221" i="2"/>
  <c r="BH221" i="2"/>
  <c r="BG221" i="2"/>
  <c r="AQ221" i="2"/>
  <c r="AL221" i="2"/>
  <c r="AN221" i="2" s="1"/>
  <c r="AG221" i="2"/>
  <c r="AT221" i="2" s="1"/>
  <c r="P221" i="2"/>
  <c r="O221" i="2"/>
  <c r="BS220" i="2"/>
  <c r="BM220" i="2"/>
  <c r="BL220" i="2"/>
  <c r="BH220" i="2"/>
  <c r="BG220" i="2"/>
  <c r="AS220" i="2"/>
  <c r="AR220" i="2"/>
  <c r="AQ220" i="2"/>
  <c r="AT220" i="2" s="1"/>
  <c r="AN220" i="2"/>
  <c r="AL220" i="2"/>
  <c r="AI220" i="2"/>
  <c r="AG220" i="2"/>
  <c r="P220" i="2"/>
  <c r="O220" i="2"/>
  <c r="BS219" i="2"/>
  <c r="BM219" i="2"/>
  <c r="BL219" i="2"/>
  <c r="BH219" i="2"/>
  <c r="BG219" i="2"/>
  <c r="AQ219" i="2"/>
  <c r="AL219" i="2"/>
  <c r="AN219" i="2" s="1"/>
  <c r="AG219" i="2"/>
  <c r="P219" i="2"/>
  <c r="O219" i="2"/>
  <c r="BS218" i="2"/>
  <c r="BM218" i="2"/>
  <c r="BL218" i="2"/>
  <c r="BH218" i="2"/>
  <c r="BG218" i="2"/>
  <c r="AS218" i="2"/>
  <c r="AR218" i="2"/>
  <c r="AQ218" i="2"/>
  <c r="AT218" i="2" s="1"/>
  <c r="AN218" i="2"/>
  <c r="AL218" i="2"/>
  <c r="AI218" i="2"/>
  <c r="AG218" i="2"/>
  <c r="P218" i="2"/>
  <c r="O218" i="2"/>
  <c r="BS217" i="2"/>
  <c r="BM217" i="2"/>
  <c r="BL217" i="2"/>
  <c r="BH217" i="2"/>
  <c r="BG217" i="2"/>
  <c r="AQ217" i="2"/>
  <c r="AL217" i="2"/>
  <c r="AN217" i="2" s="1"/>
  <c r="AG217" i="2"/>
  <c r="AT217" i="2" s="1"/>
  <c r="P217" i="2"/>
  <c r="O217" i="2"/>
  <c r="BS216" i="2"/>
  <c r="BM216" i="2"/>
  <c r="BL216" i="2"/>
  <c r="BH216" i="2"/>
  <c r="BG216" i="2"/>
  <c r="AS216" i="2"/>
  <c r="AR216" i="2"/>
  <c r="AQ216" i="2"/>
  <c r="AT216" i="2" s="1"/>
  <c r="AN216" i="2"/>
  <c r="AL216" i="2"/>
  <c r="AI216" i="2"/>
  <c r="AG216" i="2"/>
  <c r="P216" i="2"/>
  <c r="O216" i="2"/>
  <c r="BS215" i="2"/>
  <c r="BM215" i="2"/>
  <c r="BL215" i="2"/>
  <c r="BH215" i="2"/>
  <c r="BG215" i="2"/>
  <c r="AQ215" i="2"/>
  <c r="AL215" i="2"/>
  <c r="AN215" i="2" s="1"/>
  <c r="AG215" i="2"/>
  <c r="P215" i="2"/>
  <c r="O215" i="2"/>
  <c r="BS214" i="2"/>
  <c r="BM214" i="2"/>
  <c r="BL214" i="2"/>
  <c r="BH214" i="2"/>
  <c r="BG214" i="2"/>
  <c r="AS214" i="2"/>
  <c r="AR214" i="2"/>
  <c r="AQ214" i="2"/>
  <c r="AT214" i="2" s="1"/>
  <c r="AN214" i="2"/>
  <c r="AL214" i="2"/>
  <c r="AI214" i="2"/>
  <c r="AG214" i="2"/>
  <c r="P214" i="2"/>
  <c r="O214" i="2"/>
  <c r="BS213" i="2"/>
  <c r="BM213" i="2"/>
  <c r="BL213" i="2"/>
  <c r="BH213" i="2"/>
  <c r="BG213" i="2"/>
  <c r="AQ213" i="2"/>
  <c r="AL213" i="2"/>
  <c r="AN213" i="2" s="1"/>
  <c r="AG213" i="2"/>
  <c r="AT213" i="2" s="1"/>
  <c r="P213" i="2"/>
  <c r="O213" i="2"/>
  <c r="BS212" i="2"/>
  <c r="BM212" i="2"/>
  <c r="BL212" i="2"/>
  <c r="BH212" i="2"/>
  <c r="BG212" i="2"/>
  <c r="AS212" i="2"/>
  <c r="AR212" i="2"/>
  <c r="AQ212" i="2"/>
  <c r="AT212" i="2" s="1"/>
  <c r="AN212" i="2"/>
  <c r="AL212" i="2"/>
  <c r="AI212" i="2"/>
  <c r="AG212" i="2"/>
  <c r="P212" i="2"/>
  <c r="O212" i="2"/>
  <c r="BS211" i="2"/>
  <c r="BM211" i="2"/>
  <c r="BL211" i="2"/>
  <c r="BH211" i="2"/>
  <c r="BG211" i="2"/>
  <c r="AQ211" i="2"/>
  <c r="AL211" i="2"/>
  <c r="AN211" i="2" s="1"/>
  <c r="AG211" i="2"/>
  <c r="P211" i="2"/>
  <c r="O211" i="2"/>
  <c r="BS210" i="2"/>
  <c r="BM210" i="2"/>
  <c r="BL210" i="2"/>
  <c r="BH210" i="2"/>
  <c r="BG210" i="2"/>
  <c r="AS210" i="2"/>
  <c r="AR210" i="2"/>
  <c r="AQ210" i="2"/>
  <c r="AT210" i="2" s="1"/>
  <c r="AN210" i="2"/>
  <c r="AL210" i="2"/>
  <c r="AI210" i="2"/>
  <c r="AG210" i="2"/>
  <c r="P210" i="2"/>
  <c r="O210" i="2"/>
  <c r="BS209" i="2"/>
  <c r="BM209" i="2"/>
  <c r="BL209" i="2"/>
  <c r="BH209" i="2"/>
  <c r="BG209" i="2"/>
  <c r="AQ209" i="2"/>
  <c r="AL209" i="2"/>
  <c r="AN209" i="2" s="1"/>
  <c r="AG209" i="2"/>
  <c r="AT209" i="2" s="1"/>
  <c r="P209" i="2"/>
  <c r="O209" i="2"/>
  <c r="BS208" i="2"/>
  <c r="BM208" i="2"/>
  <c r="BL208" i="2"/>
  <c r="BH208" i="2"/>
  <c r="BG208" i="2"/>
  <c r="AS208" i="2"/>
  <c r="AR208" i="2"/>
  <c r="AQ208" i="2"/>
  <c r="AT208" i="2" s="1"/>
  <c r="AN208" i="2"/>
  <c r="AL208" i="2"/>
  <c r="AI208" i="2"/>
  <c r="AG208" i="2"/>
  <c r="P208" i="2"/>
  <c r="O208" i="2"/>
  <c r="BS207" i="2"/>
  <c r="BM207" i="2"/>
  <c r="BL207" i="2"/>
  <c r="BH207" i="2"/>
  <c r="BG207" i="2"/>
  <c r="AQ207" i="2"/>
  <c r="AL207" i="2"/>
  <c r="AN207" i="2" s="1"/>
  <c r="AG207" i="2"/>
  <c r="P207" i="2"/>
  <c r="O207" i="2"/>
  <c r="BS206" i="2"/>
  <c r="BM206" i="2"/>
  <c r="BL206" i="2"/>
  <c r="BH206" i="2"/>
  <c r="BG206" i="2"/>
  <c r="AS206" i="2"/>
  <c r="AR206" i="2"/>
  <c r="AQ206" i="2"/>
  <c r="AT206" i="2" s="1"/>
  <c r="AN206" i="2"/>
  <c r="AL206" i="2"/>
  <c r="AI206" i="2"/>
  <c r="AG206" i="2"/>
  <c r="P206" i="2"/>
  <c r="O206" i="2"/>
  <c r="BS205" i="2"/>
  <c r="BM205" i="2"/>
  <c r="BL205" i="2"/>
  <c r="BH205" i="2"/>
  <c r="BG205" i="2"/>
  <c r="AQ205" i="2"/>
  <c r="AL205" i="2"/>
  <c r="AN205" i="2" s="1"/>
  <c r="AG205" i="2"/>
  <c r="AT205" i="2" s="1"/>
  <c r="P205" i="2"/>
  <c r="O205" i="2"/>
  <c r="BS204" i="2"/>
  <c r="BM204" i="2"/>
  <c r="BL204" i="2"/>
  <c r="BH204" i="2"/>
  <c r="BG204" i="2"/>
  <c r="AS204" i="2"/>
  <c r="AR204" i="2"/>
  <c r="AQ204" i="2"/>
  <c r="AT204" i="2" s="1"/>
  <c r="AN204" i="2"/>
  <c r="AL204" i="2"/>
  <c r="AI204" i="2"/>
  <c r="AG204" i="2"/>
  <c r="P204" i="2"/>
  <c r="O204" i="2"/>
  <c r="BS203" i="2"/>
  <c r="BM203" i="2"/>
  <c r="BL203" i="2"/>
  <c r="BH203" i="2"/>
  <c r="BG203" i="2"/>
  <c r="AQ203" i="2"/>
  <c r="AL203" i="2"/>
  <c r="AN203" i="2" s="1"/>
  <c r="AG203" i="2"/>
  <c r="P203" i="2"/>
  <c r="O203" i="2"/>
  <c r="BS202" i="2"/>
  <c r="BM202" i="2"/>
  <c r="BL202" i="2"/>
  <c r="BH202" i="2"/>
  <c r="BG202" i="2"/>
  <c r="AS202" i="2"/>
  <c r="AR202" i="2"/>
  <c r="AQ202" i="2"/>
  <c r="AT202" i="2" s="1"/>
  <c r="AN202" i="2"/>
  <c r="AL202" i="2"/>
  <c r="AI202" i="2"/>
  <c r="AG202" i="2"/>
  <c r="P202" i="2"/>
  <c r="O202" i="2"/>
  <c r="BS201" i="2"/>
  <c r="BM201" i="2"/>
  <c r="BL201" i="2"/>
  <c r="BH201" i="2"/>
  <c r="BG201" i="2"/>
  <c r="AQ201" i="2"/>
  <c r="AL201" i="2"/>
  <c r="AN201" i="2" s="1"/>
  <c r="AG201" i="2"/>
  <c r="AT201" i="2" s="1"/>
  <c r="P201" i="2"/>
  <c r="O201" i="2"/>
  <c r="BS200" i="2"/>
  <c r="BM200" i="2"/>
  <c r="BL200" i="2"/>
  <c r="BH200" i="2"/>
  <c r="BG200" i="2"/>
  <c r="AS200" i="2"/>
  <c r="AR200" i="2"/>
  <c r="AQ200" i="2"/>
  <c r="AT200" i="2" s="1"/>
  <c r="AN200" i="2"/>
  <c r="AL200" i="2"/>
  <c r="AI200" i="2"/>
  <c r="AG200" i="2"/>
  <c r="P200" i="2"/>
  <c r="O200" i="2"/>
  <c r="BS199" i="2"/>
  <c r="BM199" i="2"/>
  <c r="BL199" i="2"/>
  <c r="BH199" i="2"/>
  <c r="BG199" i="2"/>
  <c r="AQ199" i="2"/>
  <c r="AL199" i="2"/>
  <c r="AN199" i="2" s="1"/>
  <c r="AG199" i="2"/>
  <c r="P199" i="2"/>
  <c r="O199" i="2"/>
  <c r="BS198" i="2"/>
  <c r="BM198" i="2"/>
  <c r="BL198" i="2"/>
  <c r="BH198" i="2"/>
  <c r="BG198" i="2"/>
  <c r="AS198" i="2"/>
  <c r="AR198" i="2"/>
  <c r="AQ198" i="2"/>
  <c r="AT198" i="2" s="1"/>
  <c r="AN198" i="2"/>
  <c r="AL198" i="2"/>
  <c r="AI198" i="2"/>
  <c r="AG198" i="2"/>
  <c r="P198" i="2"/>
  <c r="O198" i="2"/>
  <c r="BS197" i="2"/>
  <c r="BM197" i="2"/>
  <c r="BL197" i="2"/>
  <c r="BH197" i="2"/>
  <c r="BG197" i="2"/>
  <c r="AQ197" i="2"/>
  <c r="AL197" i="2"/>
  <c r="AN197" i="2" s="1"/>
  <c r="AG197" i="2"/>
  <c r="AT197" i="2" s="1"/>
  <c r="P197" i="2"/>
  <c r="O197" i="2"/>
  <c r="BS196" i="2"/>
  <c r="BM196" i="2"/>
  <c r="BL196" i="2"/>
  <c r="BH196" i="2"/>
  <c r="BG196" i="2"/>
  <c r="AS196" i="2"/>
  <c r="AR196" i="2"/>
  <c r="AQ196" i="2"/>
  <c r="AT196" i="2" s="1"/>
  <c r="AN196" i="2"/>
  <c r="AL196" i="2"/>
  <c r="AI196" i="2"/>
  <c r="AG196" i="2"/>
  <c r="P196" i="2"/>
  <c r="O196" i="2"/>
  <c r="BS195" i="2"/>
  <c r="BM195" i="2"/>
  <c r="BL195" i="2"/>
  <c r="BH195" i="2"/>
  <c r="BG195" i="2"/>
  <c r="AQ195" i="2"/>
  <c r="AL195" i="2"/>
  <c r="AN195" i="2" s="1"/>
  <c r="AG195" i="2"/>
  <c r="P195" i="2"/>
  <c r="O195" i="2"/>
  <c r="BS194" i="2"/>
  <c r="BM194" i="2"/>
  <c r="BL194" i="2"/>
  <c r="BH194" i="2"/>
  <c r="BG194" i="2"/>
  <c r="AS194" i="2"/>
  <c r="AR194" i="2"/>
  <c r="AQ194" i="2"/>
  <c r="AT194" i="2" s="1"/>
  <c r="AN194" i="2"/>
  <c r="AL194" i="2"/>
  <c r="AI194" i="2"/>
  <c r="AG194" i="2"/>
  <c r="P194" i="2"/>
  <c r="O194" i="2"/>
  <c r="BS193" i="2"/>
  <c r="BM193" i="2"/>
  <c r="BL193" i="2"/>
  <c r="BH193" i="2"/>
  <c r="BG193" i="2"/>
  <c r="AQ193" i="2"/>
  <c r="AL193" i="2"/>
  <c r="AN193" i="2" s="1"/>
  <c r="AG193" i="2"/>
  <c r="AT193" i="2" s="1"/>
  <c r="P193" i="2"/>
  <c r="O193" i="2"/>
  <c r="BS192" i="2"/>
  <c r="BM192" i="2"/>
  <c r="BL192" i="2"/>
  <c r="BH192" i="2"/>
  <c r="BG192" i="2"/>
  <c r="AS192" i="2"/>
  <c r="AR192" i="2"/>
  <c r="AQ192" i="2"/>
  <c r="AT192" i="2" s="1"/>
  <c r="AN192" i="2"/>
  <c r="AL192" i="2"/>
  <c r="AI192" i="2"/>
  <c r="AG192" i="2"/>
  <c r="P192" i="2"/>
  <c r="O192" i="2"/>
  <c r="BS191" i="2"/>
  <c r="BM191" i="2"/>
  <c r="BL191" i="2"/>
  <c r="BH191" i="2"/>
  <c r="BG191" i="2"/>
  <c r="AQ191" i="2"/>
  <c r="AL191" i="2"/>
  <c r="AN191" i="2" s="1"/>
  <c r="AG191" i="2"/>
  <c r="P191" i="2"/>
  <c r="O191" i="2"/>
  <c r="BS190" i="2"/>
  <c r="BM190" i="2"/>
  <c r="BL190" i="2"/>
  <c r="BH190" i="2"/>
  <c r="BG190" i="2"/>
  <c r="AS190" i="2"/>
  <c r="AR190" i="2"/>
  <c r="AQ190" i="2"/>
  <c r="AT190" i="2" s="1"/>
  <c r="AN190" i="2"/>
  <c r="AL190" i="2"/>
  <c r="AI190" i="2"/>
  <c r="AG190" i="2"/>
  <c r="P190" i="2"/>
  <c r="O190" i="2"/>
  <c r="BS189" i="2"/>
  <c r="BM189" i="2"/>
  <c r="BL189" i="2"/>
  <c r="BH189" i="2"/>
  <c r="BG189" i="2"/>
  <c r="AQ189" i="2"/>
  <c r="AL189" i="2"/>
  <c r="AN189" i="2" s="1"/>
  <c r="AG189" i="2"/>
  <c r="AT189" i="2" s="1"/>
  <c r="P189" i="2"/>
  <c r="O189" i="2"/>
  <c r="BS188" i="2"/>
  <c r="BM188" i="2"/>
  <c r="BL188" i="2"/>
  <c r="BH188" i="2"/>
  <c r="BG188" i="2"/>
  <c r="AS188" i="2"/>
  <c r="AR188" i="2"/>
  <c r="AQ188" i="2"/>
  <c r="AT188" i="2" s="1"/>
  <c r="AN188" i="2"/>
  <c r="AL188" i="2"/>
  <c r="AI188" i="2"/>
  <c r="AG188" i="2"/>
  <c r="P188" i="2"/>
  <c r="O188" i="2"/>
  <c r="BS187" i="2"/>
  <c r="BM187" i="2"/>
  <c r="BL187" i="2"/>
  <c r="BH187" i="2"/>
  <c r="BG187" i="2"/>
  <c r="AQ187" i="2"/>
  <c r="AL187" i="2"/>
  <c r="AN187" i="2" s="1"/>
  <c r="AG187" i="2"/>
  <c r="P187" i="2"/>
  <c r="O187" i="2"/>
  <c r="BS186" i="2"/>
  <c r="BM186" i="2"/>
  <c r="BL186" i="2"/>
  <c r="BH186" i="2"/>
  <c r="BG186" i="2"/>
  <c r="AS186" i="2"/>
  <c r="AR186" i="2"/>
  <c r="AQ186" i="2"/>
  <c r="AT186" i="2" s="1"/>
  <c r="AN186" i="2"/>
  <c r="AL186" i="2"/>
  <c r="AI186" i="2"/>
  <c r="AG186" i="2"/>
  <c r="P186" i="2"/>
  <c r="O186" i="2"/>
  <c r="BS185" i="2"/>
  <c r="BM185" i="2"/>
  <c r="BL185" i="2"/>
  <c r="BH185" i="2"/>
  <c r="BG185" i="2"/>
  <c r="AQ185" i="2"/>
  <c r="AL185" i="2"/>
  <c r="AN185" i="2" s="1"/>
  <c r="AG185" i="2"/>
  <c r="AT185" i="2" s="1"/>
  <c r="P185" i="2"/>
  <c r="O185" i="2"/>
  <c r="BS184" i="2"/>
  <c r="BM184" i="2"/>
  <c r="BL184" i="2"/>
  <c r="BH184" i="2"/>
  <c r="BG184" i="2"/>
  <c r="AS184" i="2"/>
  <c r="AR184" i="2"/>
  <c r="AQ184" i="2"/>
  <c r="AT184" i="2" s="1"/>
  <c r="AN184" i="2"/>
  <c r="AL184" i="2"/>
  <c r="AI184" i="2"/>
  <c r="AG184" i="2"/>
  <c r="P184" i="2"/>
  <c r="O184" i="2"/>
  <c r="BS183" i="2"/>
  <c r="BM183" i="2"/>
  <c r="BL183" i="2"/>
  <c r="BH183" i="2"/>
  <c r="BG183" i="2"/>
  <c r="AQ183" i="2"/>
  <c r="AL183" i="2"/>
  <c r="AN183" i="2" s="1"/>
  <c r="AG183" i="2"/>
  <c r="P183" i="2"/>
  <c r="O183" i="2"/>
  <c r="BS182" i="2"/>
  <c r="BM182" i="2"/>
  <c r="BL182" i="2"/>
  <c r="BH182" i="2"/>
  <c r="BG182" i="2"/>
  <c r="AS182" i="2"/>
  <c r="AR182" i="2"/>
  <c r="AQ182" i="2"/>
  <c r="AT182" i="2" s="1"/>
  <c r="AN182" i="2"/>
  <c r="AL182" i="2"/>
  <c r="AI182" i="2"/>
  <c r="AG182" i="2"/>
  <c r="P182" i="2"/>
  <c r="O182" i="2"/>
  <c r="BS181" i="2"/>
  <c r="BM181" i="2"/>
  <c r="BL181" i="2"/>
  <c r="BH181" i="2"/>
  <c r="BG181" i="2"/>
  <c r="AQ181" i="2"/>
  <c r="AL181" i="2"/>
  <c r="AN181" i="2" s="1"/>
  <c r="AG181" i="2"/>
  <c r="AT181" i="2" s="1"/>
  <c r="P181" i="2"/>
  <c r="O181" i="2"/>
  <c r="BS180" i="2"/>
  <c r="BM180" i="2"/>
  <c r="BL180" i="2"/>
  <c r="BH180" i="2"/>
  <c r="BG180" i="2"/>
  <c r="AS180" i="2"/>
  <c r="AR180" i="2"/>
  <c r="AQ180" i="2"/>
  <c r="AT180" i="2" s="1"/>
  <c r="AN180" i="2"/>
  <c r="AL180" i="2"/>
  <c r="AI180" i="2"/>
  <c r="AG180" i="2"/>
  <c r="P180" i="2"/>
  <c r="O180" i="2"/>
  <c r="BS179" i="2"/>
  <c r="BM179" i="2"/>
  <c r="BL179" i="2"/>
  <c r="BH179" i="2"/>
  <c r="BG179" i="2"/>
  <c r="AQ179" i="2"/>
  <c r="AL179" i="2"/>
  <c r="AN179" i="2" s="1"/>
  <c r="AG179" i="2"/>
  <c r="P179" i="2"/>
  <c r="O179" i="2"/>
  <c r="BS178" i="2"/>
  <c r="BM178" i="2"/>
  <c r="BL178" i="2"/>
  <c r="BH178" i="2"/>
  <c r="BG178" i="2"/>
  <c r="AS178" i="2"/>
  <c r="AR178" i="2"/>
  <c r="AQ178" i="2"/>
  <c r="AT178" i="2" s="1"/>
  <c r="AN178" i="2"/>
  <c r="AL178" i="2"/>
  <c r="AI178" i="2"/>
  <c r="AG178" i="2"/>
  <c r="P178" i="2"/>
  <c r="O178" i="2"/>
  <c r="BS177" i="2"/>
  <c r="BM177" i="2"/>
  <c r="BL177" i="2"/>
  <c r="BH177" i="2"/>
  <c r="BG177" i="2"/>
  <c r="AQ177" i="2"/>
  <c r="AL177" i="2"/>
  <c r="AN177" i="2" s="1"/>
  <c r="AI177" i="2"/>
  <c r="AG177" i="2"/>
  <c r="AT177" i="2" s="1"/>
  <c r="P177" i="2"/>
  <c r="O177" i="2"/>
  <c r="BS176" i="2"/>
  <c r="BM176" i="2"/>
  <c r="BL176" i="2"/>
  <c r="BH176" i="2"/>
  <c r="BG176" i="2"/>
  <c r="AS176" i="2"/>
  <c r="AR176" i="2"/>
  <c r="AQ176" i="2"/>
  <c r="AT176" i="2" s="1"/>
  <c r="AN176" i="2"/>
  <c r="AL176" i="2"/>
  <c r="AI176" i="2"/>
  <c r="AG176" i="2"/>
  <c r="P176" i="2"/>
  <c r="O176" i="2"/>
  <c r="BS175" i="2"/>
  <c r="BM175" i="2"/>
  <c r="BL175" i="2"/>
  <c r="BH175" i="2"/>
  <c r="BG175" i="2"/>
  <c r="AQ175" i="2"/>
  <c r="AL175" i="2"/>
  <c r="AN175" i="2" s="1"/>
  <c r="AG175" i="2"/>
  <c r="P175" i="2"/>
  <c r="O175" i="2"/>
  <c r="BS174" i="2"/>
  <c r="BM174" i="2"/>
  <c r="BL174" i="2"/>
  <c r="BH174" i="2"/>
  <c r="BG174" i="2"/>
  <c r="AS174" i="2"/>
  <c r="AR174" i="2"/>
  <c r="AQ174" i="2"/>
  <c r="AT174" i="2" s="1"/>
  <c r="AN174" i="2"/>
  <c r="AL174" i="2"/>
  <c r="AI174" i="2"/>
  <c r="AG174" i="2"/>
  <c r="P174" i="2"/>
  <c r="O174" i="2"/>
  <c r="BS173" i="2"/>
  <c r="BM173" i="2"/>
  <c r="BL173" i="2"/>
  <c r="BH173" i="2"/>
  <c r="BG173" i="2"/>
  <c r="AQ173" i="2"/>
  <c r="AL173" i="2"/>
  <c r="AN173" i="2" s="1"/>
  <c r="AI173" i="2"/>
  <c r="AG173" i="2"/>
  <c r="AT173" i="2" s="1"/>
  <c r="P173" i="2"/>
  <c r="O173" i="2"/>
  <c r="BS172" i="2"/>
  <c r="BM172" i="2"/>
  <c r="BL172" i="2"/>
  <c r="BH172" i="2"/>
  <c r="BG172" i="2"/>
  <c r="AS172" i="2"/>
  <c r="AR172" i="2"/>
  <c r="AQ172" i="2"/>
  <c r="AT172" i="2" s="1"/>
  <c r="AN172" i="2"/>
  <c r="AL172" i="2"/>
  <c r="AI172" i="2"/>
  <c r="AG172" i="2"/>
  <c r="P172" i="2"/>
  <c r="O172" i="2"/>
  <c r="BS171" i="2"/>
  <c r="BM171" i="2"/>
  <c r="BL171" i="2"/>
  <c r="BH171" i="2"/>
  <c r="BG171" i="2"/>
  <c r="AQ171" i="2"/>
  <c r="AL171" i="2"/>
  <c r="AN171" i="2" s="1"/>
  <c r="AG171" i="2"/>
  <c r="P171" i="2"/>
  <c r="O171" i="2"/>
  <c r="BS170" i="2"/>
  <c r="BM170" i="2"/>
  <c r="BL170" i="2"/>
  <c r="BH170" i="2"/>
  <c r="BG170" i="2"/>
  <c r="AS170" i="2"/>
  <c r="AR170" i="2"/>
  <c r="AQ170" i="2"/>
  <c r="AT170" i="2" s="1"/>
  <c r="AN170" i="2"/>
  <c r="AL170" i="2"/>
  <c r="AI170" i="2"/>
  <c r="AG170" i="2"/>
  <c r="P170" i="2"/>
  <c r="O170" i="2"/>
  <c r="BS169" i="2"/>
  <c r="BM169" i="2"/>
  <c r="BL169" i="2"/>
  <c r="BH169" i="2"/>
  <c r="BG169" i="2"/>
  <c r="AQ169" i="2"/>
  <c r="AL169" i="2"/>
  <c r="AN169" i="2" s="1"/>
  <c r="AI169" i="2"/>
  <c r="AG169" i="2"/>
  <c r="AT169" i="2" s="1"/>
  <c r="P169" i="2"/>
  <c r="O169" i="2"/>
  <c r="BS168" i="2"/>
  <c r="BM168" i="2"/>
  <c r="BL168" i="2"/>
  <c r="BH168" i="2"/>
  <c r="BG168" i="2"/>
  <c r="AS168" i="2"/>
  <c r="AR168" i="2"/>
  <c r="AQ168" i="2"/>
  <c r="AT168" i="2" s="1"/>
  <c r="AN168" i="2"/>
  <c r="AL168" i="2"/>
  <c r="AI168" i="2"/>
  <c r="AG168" i="2"/>
  <c r="P168" i="2"/>
  <c r="O168" i="2"/>
  <c r="BS167" i="2"/>
  <c r="BM167" i="2"/>
  <c r="BL167" i="2"/>
  <c r="BH167" i="2"/>
  <c r="BG167" i="2"/>
  <c r="AQ167" i="2"/>
  <c r="AL167" i="2"/>
  <c r="AN167" i="2" s="1"/>
  <c r="AG167" i="2"/>
  <c r="P167" i="2"/>
  <c r="O167" i="2"/>
  <c r="BS166" i="2"/>
  <c r="BM166" i="2"/>
  <c r="BL166" i="2"/>
  <c r="BH166" i="2"/>
  <c r="BG166" i="2"/>
  <c r="AS166" i="2"/>
  <c r="AR166" i="2"/>
  <c r="AQ166" i="2"/>
  <c r="AT166" i="2" s="1"/>
  <c r="AN166" i="2"/>
  <c r="AL166" i="2"/>
  <c r="AI166" i="2"/>
  <c r="AG166" i="2"/>
  <c r="P166" i="2"/>
  <c r="O166" i="2"/>
  <c r="BS165" i="2"/>
  <c r="BM165" i="2"/>
  <c r="BL165" i="2"/>
  <c r="BH165" i="2"/>
  <c r="BG165" i="2"/>
  <c r="AQ165" i="2"/>
  <c r="AL165" i="2"/>
  <c r="AN165" i="2" s="1"/>
  <c r="AI165" i="2"/>
  <c r="AG165" i="2"/>
  <c r="AT165" i="2" s="1"/>
  <c r="P165" i="2"/>
  <c r="O165" i="2"/>
  <c r="BS164" i="2"/>
  <c r="BM164" i="2"/>
  <c r="BL164" i="2"/>
  <c r="BH164" i="2"/>
  <c r="BG164" i="2"/>
  <c r="AS164" i="2"/>
  <c r="AR164" i="2"/>
  <c r="AQ164" i="2"/>
  <c r="AT164" i="2" s="1"/>
  <c r="AN164" i="2"/>
  <c r="AL164" i="2"/>
  <c r="AI164" i="2"/>
  <c r="AG164" i="2"/>
  <c r="P164" i="2"/>
  <c r="O164" i="2"/>
  <c r="BS163" i="2"/>
  <c r="BM163" i="2"/>
  <c r="BL163" i="2"/>
  <c r="BH163" i="2"/>
  <c r="BG163" i="2"/>
  <c r="AQ163" i="2"/>
  <c r="AL163" i="2"/>
  <c r="AN163" i="2" s="1"/>
  <c r="AG163" i="2"/>
  <c r="P163" i="2"/>
  <c r="O163" i="2"/>
  <c r="BS162" i="2"/>
  <c r="BM162" i="2"/>
  <c r="BL162" i="2"/>
  <c r="BH162" i="2"/>
  <c r="BG162" i="2"/>
  <c r="AS162" i="2"/>
  <c r="AR162" i="2"/>
  <c r="AQ162" i="2"/>
  <c r="AT162" i="2" s="1"/>
  <c r="AN162" i="2"/>
  <c r="AL162" i="2"/>
  <c r="AI162" i="2"/>
  <c r="AG162" i="2"/>
  <c r="P162" i="2"/>
  <c r="O162" i="2"/>
  <c r="BS161" i="2"/>
  <c r="BM161" i="2"/>
  <c r="BL161" i="2"/>
  <c r="BH161" i="2"/>
  <c r="BG161" i="2"/>
  <c r="AQ161" i="2"/>
  <c r="AL161" i="2"/>
  <c r="AN161" i="2" s="1"/>
  <c r="AI161" i="2"/>
  <c r="AG161" i="2"/>
  <c r="AT161" i="2" s="1"/>
  <c r="P161" i="2"/>
  <c r="O161" i="2"/>
  <c r="BS160" i="2"/>
  <c r="BM160" i="2"/>
  <c r="BL160" i="2"/>
  <c r="BH160" i="2"/>
  <c r="BG160" i="2"/>
  <c r="AS160" i="2"/>
  <c r="AR160" i="2"/>
  <c r="AQ160" i="2"/>
  <c r="AT160" i="2" s="1"/>
  <c r="AN160" i="2"/>
  <c r="AL160" i="2"/>
  <c r="AI160" i="2"/>
  <c r="AG160" i="2"/>
  <c r="P160" i="2"/>
  <c r="O160" i="2"/>
  <c r="BS159" i="2"/>
  <c r="BM159" i="2"/>
  <c r="BL159" i="2"/>
  <c r="BH159" i="2"/>
  <c r="BG159" i="2"/>
  <c r="AQ159" i="2"/>
  <c r="AL159" i="2"/>
  <c r="AN159" i="2" s="1"/>
  <c r="AG159" i="2"/>
  <c r="P159" i="2"/>
  <c r="O159" i="2"/>
  <c r="BS158" i="2"/>
  <c r="BM158" i="2"/>
  <c r="BL158" i="2"/>
  <c r="BH158" i="2"/>
  <c r="BG158" i="2"/>
  <c r="AS158" i="2"/>
  <c r="AR158" i="2"/>
  <c r="AQ158" i="2"/>
  <c r="AT158" i="2" s="1"/>
  <c r="AN158" i="2"/>
  <c r="AL158" i="2"/>
  <c r="AI158" i="2"/>
  <c r="AG158" i="2"/>
  <c r="P158" i="2"/>
  <c r="O158" i="2"/>
  <c r="BS157" i="2"/>
  <c r="BM157" i="2"/>
  <c r="BL157" i="2"/>
  <c r="BH157" i="2"/>
  <c r="BG157" i="2"/>
  <c r="AQ157" i="2"/>
  <c r="AL157" i="2"/>
  <c r="AN157" i="2" s="1"/>
  <c r="AI157" i="2"/>
  <c r="AG157" i="2"/>
  <c r="AT157" i="2" s="1"/>
  <c r="P157" i="2"/>
  <c r="O157" i="2"/>
  <c r="BS156" i="2"/>
  <c r="BM156" i="2"/>
  <c r="BL156" i="2"/>
  <c r="BH156" i="2"/>
  <c r="BG156" i="2"/>
  <c r="AS156" i="2"/>
  <c r="AR156" i="2"/>
  <c r="AQ156" i="2"/>
  <c r="AT156" i="2" s="1"/>
  <c r="AN156" i="2"/>
  <c r="AL156" i="2"/>
  <c r="AI156" i="2"/>
  <c r="AG156" i="2"/>
  <c r="P156" i="2"/>
  <c r="O156" i="2"/>
  <c r="BS155" i="2"/>
  <c r="BM155" i="2"/>
  <c r="BL155" i="2"/>
  <c r="BH155" i="2"/>
  <c r="BG155" i="2"/>
  <c r="AQ155" i="2"/>
  <c r="AL155" i="2"/>
  <c r="AN155" i="2" s="1"/>
  <c r="AG155" i="2"/>
  <c r="P155" i="2"/>
  <c r="O155" i="2"/>
  <c r="BS154" i="2"/>
  <c r="BM154" i="2"/>
  <c r="BL154" i="2"/>
  <c r="BH154" i="2"/>
  <c r="BG154" i="2"/>
  <c r="AS154" i="2"/>
  <c r="AR154" i="2"/>
  <c r="AQ154" i="2"/>
  <c r="AT154" i="2" s="1"/>
  <c r="AN154" i="2"/>
  <c r="AL154" i="2"/>
  <c r="AI154" i="2"/>
  <c r="AG154" i="2"/>
  <c r="P154" i="2"/>
  <c r="O154" i="2"/>
  <c r="BS153" i="2"/>
  <c r="BM153" i="2"/>
  <c r="BL153" i="2"/>
  <c r="BH153" i="2"/>
  <c r="BG153" i="2"/>
  <c r="AQ153" i="2"/>
  <c r="AL153" i="2"/>
  <c r="AN153" i="2" s="1"/>
  <c r="AI153" i="2"/>
  <c r="AG153" i="2"/>
  <c r="AT153" i="2" s="1"/>
  <c r="P153" i="2"/>
  <c r="O153" i="2"/>
  <c r="BS152" i="2"/>
  <c r="BM152" i="2"/>
  <c r="BL152" i="2"/>
  <c r="BH152" i="2"/>
  <c r="BG152" i="2"/>
  <c r="AS152" i="2"/>
  <c r="AR152" i="2"/>
  <c r="AQ152" i="2"/>
  <c r="AT152" i="2" s="1"/>
  <c r="AN152" i="2"/>
  <c r="AL152" i="2"/>
  <c r="AI152" i="2"/>
  <c r="AG152" i="2"/>
  <c r="P152" i="2"/>
  <c r="O152" i="2"/>
  <c r="BS151" i="2"/>
  <c r="BM151" i="2"/>
  <c r="BL151" i="2"/>
  <c r="BH151" i="2"/>
  <c r="BG151" i="2"/>
  <c r="AQ151" i="2"/>
  <c r="AL151" i="2"/>
  <c r="AN151" i="2" s="1"/>
  <c r="AG151" i="2"/>
  <c r="P151" i="2"/>
  <c r="O151" i="2"/>
  <c r="BS150" i="2"/>
  <c r="BM150" i="2"/>
  <c r="BL150" i="2"/>
  <c r="BH150" i="2"/>
  <c r="BG150" i="2"/>
  <c r="AS150" i="2"/>
  <c r="AR150" i="2"/>
  <c r="AQ150" i="2"/>
  <c r="AT150" i="2" s="1"/>
  <c r="AN150" i="2"/>
  <c r="AL150" i="2"/>
  <c r="AI150" i="2"/>
  <c r="AG150" i="2"/>
  <c r="P150" i="2"/>
  <c r="O150" i="2"/>
  <c r="BS149" i="2"/>
  <c r="BM149" i="2"/>
  <c r="BL149" i="2"/>
  <c r="BH149" i="2"/>
  <c r="BG149" i="2"/>
  <c r="AQ149" i="2"/>
  <c r="AL149" i="2"/>
  <c r="AN149" i="2" s="1"/>
  <c r="AI149" i="2"/>
  <c r="AG149" i="2"/>
  <c r="AT149" i="2" s="1"/>
  <c r="P149" i="2"/>
  <c r="O149" i="2"/>
  <c r="BS148" i="2"/>
  <c r="BM148" i="2"/>
  <c r="BL148" i="2"/>
  <c r="BH148" i="2"/>
  <c r="BG148" i="2"/>
  <c r="AS148" i="2"/>
  <c r="AR148" i="2"/>
  <c r="AQ148" i="2"/>
  <c r="AT148" i="2" s="1"/>
  <c r="AN148" i="2"/>
  <c r="AL148" i="2"/>
  <c r="AI148" i="2"/>
  <c r="AG148" i="2"/>
  <c r="P148" i="2"/>
  <c r="O148" i="2"/>
  <c r="BS147" i="2"/>
  <c r="BM147" i="2"/>
  <c r="BL147" i="2"/>
  <c r="BH147" i="2"/>
  <c r="BG147" i="2"/>
  <c r="AQ147" i="2"/>
  <c r="AL147" i="2"/>
  <c r="AN147" i="2" s="1"/>
  <c r="AG147" i="2"/>
  <c r="P147" i="2"/>
  <c r="O147" i="2"/>
  <c r="BS146" i="2"/>
  <c r="BM146" i="2"/>
  <c r="BL146" i="2"/>
  <c r="BH146" i="2"/>
  <c r="BG146" i="2"/>
  <c r="AS146" i="2"/>
  <c r="AR146" i="2"/>
  <c r="AQ146" i="2"/>
  <c r="AT146" i="2" s="1"/>
  <c r="AN146" i="2"/>
  <c r="AL146" i="2"/>
  <c r="AI146" i="2"/>
  <c r="AG146" i="2"/>
  <c r="P146" i="2"/>
  <c r="O146" i="2"/>
  <c r="BS145" i="2"/>
  <c r="BM145" i="2"/>
  <c r="BL145" i="2"/>
  <c r="BH145" i="2"/>
  <c r="BG145" i="2"/>
  <c r="AQ145" i="2"/>
  <c r="AL145" i="2"/>
  <c r="AN145" i="2" s="1"/>
  <c r="AI145" i="2"/>
  <c r="AG145" i="2"/>
  <c r="AT145" i="2" s="1"/>
  <c r="P145" i="2"/>
  <c r="O145" i="2"/>
  <c r="BS144" i="2"/>
  <c r="BM144" i="2"/>
  <c r="BL144" i="2"/>
  <c r="BH144" i="2"/>
  <c r="BG144" i="2"/>
  <c r="AS144" i="2"/>
  <c r="AR144" i="2"/>
  <c r="AQ144" i="2"/>
  <c r="AT144" i="2" s="1"/>
  <c r="AN144" i="2"/>
  <c r="AL144" i="2"/>
  <c r="AI144" i="2"/>
  <c r="AG144" i="2"/>
  <c r="P144" i="2"/>
  <c r="O144" i="2"/>
  <c r="BS143" i="2"/>
  <c r="BM143" i="2"/>
  <c r="BL143" i="2"/>
  <c r="BH143" i="2"/>
  <c r="BG143" i="2"/>
  <c r="AQ143" i="2"/>
  <c r="AL143" i="2"/>
  <c r="AN143" i="2" s="1"/>
  <c r="AG143" i="2"/>
  <c r="P143" i="2"/>
  <c r="O143" i="2"/>
  <c r="BS142" i="2"/>
  <c r="BM142" i="2"/>
  <c r="BL142" i="2"/>
  <c r="BH142" i="2"/>
  <c r="BG142" i="2"/>
  <c r="AS142" i="2"/>
  <c r="AR142" i="2"/>
  <c r="AQ142" i="2"/>
  <c r="AT142" i="2" s="1"/>
  <c r="AN142" i="2"/>
  <c r="AL142" i="2"/>
  <c r="AI142" i="2"/>
  <c r="AG142" i="2"/>
  <c r="P142" i="2"/>
  <c r="O142" i="2"/>
  <c r="BS141" i="2"/>
  <c r="BM141" i="2"/>
  <c r="BL141" i="2"/>
  <c r="BH141" i="2"/>
  <c r="BG141" i="2"/>
  <c r="AQ141" i="2"/>
  <c r="AL141" i="2"/>
  <c r="AN141" i="2" s="1"/>
  <c r="AI141" i="2"/>
  <c r="AG141" i="2"/>
  <c r="AT141" i="2" s="1"/>
  <c r="P141" i="2"/>
  <c r="O141" i="2"/>
  <c r="BS140" i="2"/>
  <c r="BM140" i="2"/>
  <c r="BL140" i="2"/>
  <c r="BH140" i="2"/>
  <c r="BG140" i="2"/>
  <c r="AS140" i="2"/>
  <c r="AR140" i="2"/>
  <c r="AQ140" i="2"/>
  <c r="AT140" i="2" s="1"/>
  <c r="AN140" i="2"/>
  <c r="AL140" i="2"/>
  <c r="AI140" i="2"/>
  <c r="AG140" i="2"/>
  <c r="P140" i="2"/>
  <c r="O140" i="2"/>
  <c r="BS139" i="2"/>
  <c r="BM139" i="2"/>
  <c r="BL139" i="2"/>
  <c r="BH139" i="2"/>
  <c r="BG139" i="2"/>
  <c r="AQ139" i="2"/>
  <c r="AL139" i="2"/>
  <c r="AN139" i="2" s="1"/>
  <c r="AG139" i="2"/>
  <c r="P139" i="2"/>
  <c r="O139" i="2"/>
  <c r="BS138" i="2"/>
  <c r="BM138" i="2"/>
  <c r="BL138" i="2"/>
  <c r="BH138" i="2"/>
  <c r="BG138" i="2"/>
  <c r="AS138" i="2"/>
  <c r="AR138" i="2"/>
  <c r="AQ138" i="2"/>
  <c r="AT138" i="2" s="1"/>
  <c r="AN138" i="2"/>
  <c r="AL138" i="2"/>
  <c r="AI138" i="2"/>
  <c r="AG138" i="2"/>
  <c r="P138" i="2"/>
  <c r="O138" i="2"/>
  <c r="BS137" i="2"/>
  <c r="BM137" i="2"/>
  <c r="BL137" i="2"/>
  <c r="BH137" i="2"/>
  <c r="BG137" i="2"/>
  <c r="AQ137" i="2"/>
  <c r="AL137" i="2"/>
  <c r="AN137" i="2" s="1"/>
  <c r="AI137" i="2"/>
  <c r="AG137" i="2"/>
  <c r="AT137" i="2" s="1"/>
  <c r="P137" i="2"/>
  <c r="O137" i="2"/>
  <c r="BS136" i="2"/>
  <c r="BM136" i="2"/>
  <c r="BL136" i="2"/>
  <c r="BH136" i="2"/>
  <c r="BG136" i="2"/>
  <c r="AS136" i="2"/>
  <c r="AR136" i="2"/>
  <c r="AQ136" i="2"/>
  <c r="AT136" i="2" s="1"/>
  <c r="AN136" i="2"/>
  <c r="AL136" i="2"/>
  <c r="AI136" i="2"/>
  <c r="AG136" i="2"/>
  <c r="P136" i="2"/>
  <c r="O136" i="2"/>
  <c r="BS135" i="2"/>
  <c r="BM135" i="2"/>
  <c r="BL135" i="2"/>
  <c r="BH135" i="2"/>
  <c r="BG135" i="2"/>
  <c r="AQ135" i="2"/>
  <c r="AN135" i="2"/>
  <c r="AL135" i="2"/>
  <c r="AG135" i="2"/>
  <c r="AT135" i="2" s="1"/>
  <c r="P135" i="2"/>
  <c r="O135" i="2"/>
  <c r="BS134" i="2"/>
  <c r="BM134" i="2"/>
  <c r="BL134" i="2"/>
  <c r="BH134" i="2"/>
  <c r="BG134" i="2"/>
  <c r="AS134" i="2"/>
  <c r="AR134" i="2"/>
  <c r="AQ134" i="2"/>
  <c r="AT134" i="2" s="1"/>
  <c r="AN134" i="2"/>
  <c r="AL134" i="2"/>
  <c r="AI134" i="2"/>
  <c r="AG134" i="2"/>
  <c r="P134" i="2"/>
  <c r="O134" i="2"/>
  <c r="BS133" i="2"/>
  <c r="BM133" i="2"/>
  <c r="BL133" i="2"/>
  <c r="BH133" i="2"/>
  <c r="BG133" i="2"/>
  <c r="AQ133" i="2"/>
  <c r="AN133" i="2"/>
  <c r="AL133" i="2"/>
  <c r="AI133" i="2"/>
  <c r="AG133" i="2"/>
  <c r="AT133" i="2" s="1"/>
  <c r="P133" i="2"/>
  <c r="O133" i="2"/>
  <c r="BS132" i="2"/>
  <c r="BM132" i="2"/>
  <c r="BL132" i="2"/>
  <c r="BH132" i="2"/>
  <c r="BG132" i="2"/>
  <c r="AS132" i="2"/>
  <c r="AR132" i="2"/>
  <c r="AQ132" i="2"/>
  <c r="AT132" i="2" s="1"/>
  <c r="AN132" i="2"/>
  <c r="AL132" i="2"/>
  <c r="AI132" i="2"/>
  <c r="AG132" i="2"/>
  <c r="P132" i="2"/>
  <c r="O132" i="2"/>
  <c r="BS131" i="2"/>
  <c r="BM131" i="2"/>
  <c r="BL131" i="2"/>
  <c r="BH131" i="2"/>
  <c r="BG131" i="2"/>
  <c r="AQ131" i="2"/>
  <c r="AN131" i="2"/>
  <c r="AL131" i="2"/>
  <c r="AG131" i="2"/>
  <c r="AT131" i="2" s="1"/>
  <c r="P131" i="2"/>
  <c r="O131" i="2"/>
  <c r="BS130" i="2"/>
  <c r="BM130" i="2"/>
  <c r="BL130" i="2"/>
  <c r="BH130" i="2"/>
  <c r="BG130" i="2"/>
  <c r="AS130" i="2"/>
  <c r="AR130" i="2"/>
  <c r="AQ130" i="2"/>
  <c r="AT130" i="2" s="1"/>
  <c r="AN130" i="2"/>
  <c r="AL130" i="2"/>
  <c r="AI130" i="2"/>
  <c r="AG130" i="2"/>
  <c r="P130" i="2"/>
  <c r="O130" i="2"/>
  <c r="BS129" i="2"/>
  <c r="BM129" i="2"/>
  <c r="BL129" i="2"/>
  <c r="BH129" i="2"/>
  <c r="BG129" i="2"/>
  <c r="AQ129" i="2"/>
  <c r="AN129" i="2"/>
  <c r="AL129" i="2"/>
  <c r="AG129" i="2"/>
  <c r="AT129" i="2" s="1"/>
  <c r="P129" i="2"/>
  <c r="O129" i="2"/>
  <c r="BS128" i="2"/>
  <c r="BM128" i="2"/>
  <c r="BL128" i="2"/>
  <c r="BH128" i="2"/>
  <c r="BG128" i="2"/>
  <c r="AS128" i="2"/>
  <c r="AR128" i="2"/>
  <c r="AQ128" i="2"/>
  <c r="AT128" i="2" s="1"/>
  <c r="AN128" i="2"/>
  <c r="AL128" i="2"/>
  <c r="AI128" i="2"/>
  <c r="AG128" i="2"/>
  <c r="P128" i="2"/>
  <c r="O128" i="2"/>
  <c r="BS127" i="2"/>
  <c r="BM127" i="2"/>
  <c r="BL127" i="2"/>
  <c r="BH127" i="2"/>
  <c r="BG127" i="2"/>
  <c r="AQ127" i="2"/>
  <c r="AN127" i="2"/>
  <c r="AL127" i="2"/>
  <c r="AI127" i="2"/>
  <c r="AG127" i="2"/>
  <c r="AT127" i="2" s="1"/>
  <c r="P127" i="2"/>
  <c r="O127" i="2"/>
  <c r="BS126" i="2"/>
  <c r="BM126" i="2"/>
  <c r="BL126" i="2"/>
  <c r="BH126" i="2"/>
  <c r="BG126" i="2"/>
  <c r="AS126" i="2"/>
  <c r="AR126" i="2"/>
  <c r="AQ126" i="2"/>
  <c r="AT126" i="2" s="1"/>
  <c r="AN126" i="2"/>
  <c r="AL126" i="2"/>
  <c r="AI126" i="2"/>
  <c r="AG126" i="2"/>
  <c r="P126" i="2"/>
  <c r="O126" i="2"/>
  <c r="BS125" i="2"/>
  <c r="BM125" i="2"/>
  <c r="BL125" i="2"/>
  <c r="BH125" i="2"/>
  <c r="BG125" i="2"/>
  <c r="AQ125" i="2"/>
  <c r="AN125" i="2"/>
  <c r="AL125" i="2"/>
  <c r="AG125" i="2"/>
  <c r="AT125" i="2" s="1"/>
  <c r="P125" i="2"/>
  <c r="O125" i="2"/>
  <c r="BS124" i="2"/>
  <c r="BM124" i="2"/>
  <c r="BL124" i="2"/>
  <c r="BH124" i="2"/>
  <c r="BG124" i="2"/>
  <c r="AS124" i="2"/>
  <c r="AR124" i="2"/>
  <c r="AQ124" i="2"/>
  <c r="AT124" i="2" s="1"/>
  <c r="AN124" i="2"/>
  <c r="AL124" i="2"/>
  <c r="AI124" i="2"/>
  <c r="AG124" i="2"/>
  <c r="P124" i="2"/>
  <c r="O124" i="2"/>
  <c r="BS123" i="2"/>
  <c r="BM123" i="2"/>
  <c r="BL123" i="2"/>
  <c r="BH123" i="2"/>
  <c r="BG123" i="2"/>
  <c r="AQ123" i="2"/>
  <c r="AN123" i="2"/>
  <c r="AL123" i="2"/>
  <c r="AI123" i="2"/>
  <c r="AG123" i="2"/>
  <c r="AT123" i="2" s="1"/>
  <c r="P123" i="2"/>
  <c r="O123" i="2"/>
  <c r="BS122" i="2"/>
  <c r="BM122" i="2"/>
  <c r="BL122" i="2"/>
  <c r="BH122" i="2"/>
  <c r="BG122" i="2"/>
  <c r="AS122" i="2"/>
  <c r="AR122" i="2"/>
  <c r="AQ122" i="2"/>
  <c r="AT122" i="2" s="1"/>
  <c r="AN122" i="2"/>
  <c r="AL122" i="2"/>
  <c r="AI122" i="2"/>
  <c r="AG122" i="2"/>
  <c r="P122" i="2"/>
  <c r="O122" i="2"/>
  <c r="BS121" i="2"/>
  <c r="BM121" i="2"/>
  <c r="BL121" i="2"/>
  <c r="BH121" i="2"/>
  <c r="BG121" i="2"/>
  <c r="AQ121" i="2"/>
  <c r="AN121" i="2"/>
  <c r="AL121" i="2"/>
  <c r="AG121" i="2"/>
  <c r="AT121" i="2" s="1"/>
  <c r="P121" i="2"/>
  <c r="O121" i="2"/>
  <c r="BS120" i="2"/>
  <c r="BM120" i="2"/>
  <c r="BL120" i="2"/>
  <c r="BH120" i="2"/>
  <c r="BG120" i="2"/>
  <c r="AS120" i="2"/>
  <c r="AR120" i="2"/>
  <c r="AQ120" i="2"/>
  <c r="AT120" i="2" s="1"/>
  <c r="AN120" i="2"/>
  <c r="AL120" i="2"/>
  <c r="AI120" i="2"/>
  <c r="AG120" i="2"/>
  <c r="P120" i="2"/>
  <c r="O120" i="2"/>
  <c r="BS119" i="2"/>
  <c r="BM119" i="2"/>
  <c r="BL119" i="2"/>
  <c r="BH119" i="2"/>
  <c r="BG119" i="2"/>
  <c r="AQ119" i="2"/>
  <c r="AN119" i="2"/>
  <c r="AL119" i="2"/>
  <c r="AG119" i="2"/>
  <c r="AT119" i="2" s="1"/>
  <c r="P119" i="2"/>
  <c r="O119" i="2"/>
  <c r="BS118" i="2"/>
  <c r="BM118" i="2"/>
  <c r="BL118" i="2"/>
  <c r="BH118" i="2"/>
  <c r="BG118" i="2"/>
  <c r="AS118" i="2"/>
  <c r="AR118" i="2"/>
  <c r="AQ118" i="2"/>
  <c r="AT118" i="2" s="1"/>
  <c r="AN118" i="2"/>
  <c r="AL118" i="2"/>
  <c r="AI118" i="2"/>
  <c r="AG118" i="2"/>
  <c r="P118" i="2"/>
  <c r="O118" i="2"/>
  <c r="BS117" i="2"/>
  <c r="BM117" i="2"/>
  <c r="BL117" i="2"/>
  <c r="BH117" i="2"/>
  <c r="BG117" i="2"/>
  <c r="AQ117" i="2"/>
  <c r="AN117" i="2"/>
  <c r="AL117" i="2"/>
  <c r="AI117" i="2"/>
  <c r="AG117" i="2"/>
  <c r="AT117" i="2" s="1"/>
  <c r="P117" i="2"/>
  <c r="O117" i="2"/>
  <c r="BS116" i="2"/>
  <c r="BM116" i="2"/>
  <c r="BL116" i="2"/>
  <c r="BH116" i="2"/>
  <c r="BG116" i="2"/>
  <c r="AS116" i="2"/>
  <c r="AR116" i="2"/>
  <c r="AQ116" i="2"/>
  <c r="AT116" i="2" s="1"/>
  <c r="AN116" i="2"/>
  <c r="AL116" i="2"/>
  <c r="AI116" i="2"/>
  <c r="AG116" i="2"/>
  <c r="P116" i="2"/>
  <c r="O116" i="2"/>
  <c r="BS115" i="2"/>
  <c r="BM115" i="2"/>
  <c r="BL115" i="2"/>
  <c r="BH115" i="2"/>
  <c r="BG115" i="2"/>
  <c r="AQ115" i="2"/>
  <c r="AN115" i="2"/>
  <c r="AL115" i="2"/>
  <c r="AG115" i="2"/>
  <c r="AT115" i="2" s="1"/>
  <c r="P115" i="2"/>
  <c r="O115" i="2"/>
  <c r="BS114" i="2"/>
  <c r="BM114" i="2"/>
  <c r="BL114" i="2"/>
  <c r="BH114" i="2"/>
  <c r="BG114" i="2"/>
  <c r="AS114" i="2"/>
  <c r="AR114" i="2"/>
  <c r="AQ114" i="2"/>
  <c r="AT114" i="2" s="1"/>
  <c r="AN114" i="2"/>
  <c r="AL114" i="2"/>
  <c r="AI114" i="2"/>
  <c r="AG114" i="2"/>
  <c r="P114" i="2"/>
  <c r="O114" i="2"/>
  <c r="BS113" i="2"/>
  <c r="BM113" i="2"/>
  <c r="BL113" i="2"/>
  <c r="BH113" i="2"/>
  <c r="BG113" i="2"/>
  <c r="AQ113" i="2"/>
  <c r="AN113" i="2"/>
  <c r="AL113" i="2"/>
  <c r="AI113" i="2"/>
  <c r="AG113" i="2"/>
  <c r="AT113" i="2" s="1"/>
  <c r="P113" i="2"/>
  <c r="O113" i="2"/>
  <c r="BS112" i="2"/>
  <c r="BM112" i="2"/>
  <c r="BL112" i="2"/>
  <c r="BH112" i="2"/>
  <c r="BG112" i="2"/>
  <c r="AS112" i="2"/>
  <c r="AR112" i="2"/>
  <c r="AQ112" i="2"/>
  <c r="AT112" i="2" s="1"/>
  <c r="AN112" i="2"/>
  <c r="AL112" i="2"/>
  <c r="AI112" i="2"/>
  <c r="AG112" i="2"/>
  <c r="P112" i="2"/>
  <c r="O112" i="2"/>
  <c r="BS111" i="2"/>
  <c r="BM111" i="2"/>
  <c r="BL111" i="2"/>
  <c r="BH111" i="2"/>
  <c r="BG111" i="2"/>
  <c r="AQ111" i="2"/>
  <c r="AN111" i="2"/>
  <c r="AL111" i="2"/>
  <c r="AG111" i="2"/>
  <c r="AT111" i="2" s="1"/>
  <c r="P111" i="2"/>
  <c r="O111" i="2"/>
  <c r="BS110" i="2"/>
  <c r="BM110" i="2"/>
  <c r="BL110" i="2"/>
  <c r="BH110" i="2"/>
  <c r="BG110" i="2"/>
  <c r="AS110" i="2"/>
  <c r="AR110" i="2"/>
  <c r="AQ110" i="2"/>
  <c r="AT110" i="2" s="1"/>
  <c r="AN110" i="2"/>
  <c r="AL110" i="2"/>
  <c r="AI110" i="2"/>
  <c r="AG110" i="2"/>
  <c r="P110" i="2"/>
  <c r="O110" i="2"/>
  <c r="BS109" i="2"/>
  <c r="BM109" i="2"/>
  <c r="BL109" i="2"/>
  <c r="BH109" i="2"/>
  <c r="BG109" i="2"/>
  <c r="AQ109" i="2"/>
  <c r="AN109" i="2"/>
  <c r="AL109" i="2"/>
  <c r="AG109" i="2"/>
  <c r="AT109" i="2" s="1"/>
  <c r="P109" i="2"/>
  <c r="O109" i="2"/>
  <c r="BS108" i="2"/>
  <c r="BM108" i="2"/>
  <c r="BL108" i="2"/>
  <c r="BH108" i="2"/>
  <c r="BG108" i="2"/>
  <c r="AS108" i="2"/>
  <c r="AR108" i="2"/>
  <c r="AQ108" i="2"/>
  <c r="AT108" i="2" s="1"/>
  <c r="AN108" i="2"/>
  <c r="AL108" i="2"/>
  <c r="AI108" i="2"/>
  <c r="AG108" i="2"/>
  <c r="P108" i="2"/>
  <c r="O108" i="2"/>
  <c r="BS107" i="2"/>
  <c r="BM107" i="2"/>
  <c r="BL107" i="2"/>
  <c r="BH107" i="2"/>
  <c r="BG107" i="2"/>
  <c r="AQ107" i="2"/>
  <c r="AN107" i="2"/>
  <c r="AL107" i="2"/>
  <c r="AI107" i="2"/>
  <c r="AG107" i="2"/>
  <c r="AT107" i="2" s="1"/>
  <c r="P107" i="2"/>
  <c r="O107" i="2"/>
  <c r="BS106" i="2"/>
  <c r="BM106" i="2"/>
  <c r="BL106" i="2"/>
  <c r="BH106" i="2"/>
  <c r="BG106" i="2"/>
  <c r="AS106" i="2"/>
  <c r="AR106" i="2"/>
  <c r="AQ106" i="2"/>
  <c r="AT106" i="2" s="1"/>
  <c r="AN106" i="2"/>
  <c r="AL106" i="2"/>
  <c r="AI106" i="2"/>
  <c r="AG106" i="2"/>
  <c r="P106" i="2"/>
  <c r="O106" i="2"/>
  <c r="BS105" i="2"/>
  <c r="BM105" i="2"/>
  <c r="BL105" i="2"/>
  <c r="BH105" i="2"/>
  <c r="BG105" i="2"/>
  <c r="AQ105" i="2"/>
  <c r="AN105" i="2"/>
  <c r="AL105" i="2"/>
  <c r="AI105" i="2"/>
  <c r="AG105" i="2"/>
  <c r="AT105" i="2" s="1"/>
  <c r="P105" i="2"/>
  <c r="O105" i="2"/>
  <c r="BS104" i="2"/>
  <c r="BM104" i="2"/>
  <c r="BL104" i="2"/>
  <c r="BH104" i="2"/>
  <c r="BG104" i="2"/>
  <c r="AS104" i="2"/>
  <c r="AR104" i="2"/>
  <c r="AQ104" i="2"/>
  <c r="AT104" i="2" s="1"/>
  <c r="AN104" i="2"/>
  <c r="AL104" i="2"/>
  <c r="AI104" i="2"/>
  <c r="AG104" i="2"/>
  <c r="P104" i="2"/>
  <c r="O104" i="2"/>
  <c r="BS103" i="2"/>
  <c r="BM103" i="2"/>
  <c r="BL103" i="2"/>
  <c r="BH103" i="2"/>
  <c r="BG103" i="2"/>
  <c r="AQ103" i="2"/>
  <c r="AN103" i="2"/>
  <c r="AL103" i="2"/>
  <c r="AI103" i="2"/>
  <c r="AG103" i="2"/>
  <c r="AT103" i="2" s="1"/>
  <c r="P103" i="2"/>
  <c r="O103" i="2"/>
  <c r="BS102" i="2"/>
  <c r="BM102" i="2"/>
  <c r="BL102" i="2"/>
  <c r="BH102" i="2"/>
  <c r="BG102" i="2"/>
  <c r="AS102" i="2"/>
  <c r="AR102" i="2"/>
  <c r="AQ102" i="2"/>
  <c r="AT102" i="2" s="1"/>
  <c r="AN102" i="2"/>
  <c r="AL102" i="2"/>
  <c r="AI102" i="2"/>
  <c r="AG102" i="2"/>
  <c r="P102" i="2"/>
  <c r="O102" i="2"/>
  <c r="BS101" i="2"/>
  <c r="BM101" i="2"/>
  <c r="BL101" i="2"/>
  <c r="BH101" i="2"/>
  <c r="BG101" i="2"/>
  <c r="AQ101" i="2"/>
  <c r="AN101" i="2"/>
  <c r="AL101" i="2"/>
  <c r="AG101" i="2"/>
  <c r="AT101" i="2" s="1"/>
  <c r="P101" i="2"/>
  <c r="O101" i="2"/>
  <c r="BS100" i="2"/>
  <c r="BM100" i="2"/>
  <c r="BL100" i="2"/>
  <c r="BH100" i="2"/>
  <c r="BG100" i="2"/>
  <c r="AS100" i="2"/>
  <c r="AR100" i="2"/>
  <c r="AQ100" i="2"/>
  <c r="AT100" i="2" s="1"/>
  <c r="AN100" i="2"/>
  <c r="AL100" i="2"/>
  <c r="AI100" i="2"/>
  <c r="AG100" i="2"/>
  <c r="P100" i="2"/>
  <c r="O100" i="2"/>
  <c r="BS99" i="2"/>
  <c r="BM99" i="2"/>
  <c r="BL99" i="2"/>
  <c r="BH99" i="2"/>
  <c r="BG99" i="2"/>
  <c r="AQ99" i="2"/>
  <c r="AN99" i="2"/>
  <c r="AL99" i="2"/>
  <c r="AG99" i="2"/>
  <c r="AT99" i="2" s="1"/>
  <c r="P99" i="2"/>
  <c r="O99" i="2"/>
  <c r="BS98" i="2"/>
  <c r="BM98" i="2"/>
  <c r="BL98" i="2"/>
  <c r="BH98" i="2"/>
  <c r="BG98" i="2"/>
  <c r="AS98" i="2"/>
  <c r="AR98" i="2"/>
  <c r="AQ98" i="2"/>
  <c r="AT98" i="2" s="1"/>
  <c r="AN98" i="2"/>
  <c r="AL98" i="2"/>
  <c r="AI98" i="2"/>
  <c r="AG98" i="2"/>
  <c r="P98" i="2"/>
  <c r="O98" i="2"/>
  <c r="BS97" i="2"/>
  <c r="BM97" i="2"/>
  <c r="BL97" i="2"/>
  <c r="BH97" i="2"/>
  <c r="BG97" i="2"/>
  <c r="AQ97" i="2"/>
  <c r="AN97" i="2"/>
  <c r="AL97" i="2"/>
  <c r="AI97" i="2"/>
  <c r="AG97" i="2"/>
  <c r="AT97" i="2" s="1"/>
  <c r="P97" i="2"/>
  <c r="O97" i="2"/>
  <c r="BS96" i="2"/>
  <c r="BM96" i="2"/>
  <c r="BL96" i="2"/>
  <c r="BH96" i="2"/>
  <c r="BG96" i="2"/>
  <c r="AS96" i="2"/>
  <c r="AR96" i="2"/>
  <c r="AQ96" i="2"/>
  <c r="AT96" i="2" s="1"/>
  <c r="AN96" i="2"/>
  <c r="AL96" i="2"/>
  <c r="AI96" i="2"/>
  <c r="AG96" i="2"/>
  <c r="P96" i="2"/>
  <c r="O96" i="2"/>
  <c r="BS95" i="2"/>
  <c r="BM95" i="2"/>
  <c r="BL95" i="2"/>
  <c r="BH95" i="2"/>
  <c r="BG95" i="2"/>
  <c r="AQ95" i="2"/>
  <c r="AN95" i="2"/>
  <c r="AL95" i="2"/>
  <c r="AG95" i="2"/>
  <c r="AT95" i="2" s="1"/>
  <c r="P95" i="2"/>
  <c r="O95" i="2"/>
  <c r="BS94" i="2"/>
  <c r="BM94" i="2"/>
  <c r="BL94" i="2"/>
  <c r="BH94" i="2"/>
  <c r="BG94" i="2"/>
  <c r="AS94" i="2"/>
  <c r="AR94" i="2"/>
  <c r="AQ94" i="2"/>
  <c r="AT94" i="2" s="1"/>
  <c r="AN94" i="2"/>
  <c r="AL94" i="2"/>
  <c r="AI94" i="2"/>
  <c r="AG94" i="2"/>
  <c r="P94" i="2"/>
  <c r="O94" i="2"/>
  <c r="BS93" i="2"/>
  <c r="BM93" i="2"/>
  <c r="BL93" i="2"/>
  <c r="BH93" i="2"/>
  <c r="BG93" i="2"/>
  <c r="AQ93" i="2"/>
  <c r="AN93" i="2"/>
  <c r="AL93" i="2"/>
  <c r="AI93" i="2"/>
  <c r="AG93" i="2"/>
  <c r="AT93" i="2" s="1"/>
  <c r="P93" i="2"/>
  <c r="O93" i="2"/>
  <c r="BS92" i="2"/>
  <c r="BM92" i="2"/>
  <c r="BL92" i="2"/>
  <c r="BH92" i="2"/>
  <c r="BG92" i="2"/>
  <c r="AS92" i="2"/>
  <c r="AR92" i="2"/>
  <c r="AQ92" i="2"/>
  <c r="AT92" i="2" s="1"/>
  <c r="AN92" i="2"/>
  <c r="AL92" i="2"/>
  <c r="AI92" i="2"/>
  <c r="AG92" i="2"/>
  <c r="P92" i="2"/>
  <c r="O92" i="2"/>
  <c r="BS91" i="2"/>
  <c r="BM91" i="2"/>
  <c r="BL91" i="2"/>
  <c r="BH91" i="2"/>
  <c r="BG91" i="2"/>
  <c r="AQ91" i="2"/>
  <c r="AN91" i="2"/>
  <c r="AL91" i="2"/>
  <c r="AG91" i="2"/>
  <c r="AT91" i="2" s="1"/>
  <c r="P91" i="2"/>
  <c r="O91" i="2"/>
  <c r="BS90" i="2"/>
  <c r="BM90" i="2"/>
  <c r="BL90" i="2"/>
  <c r="BH90" i="2"/>
  <c r="BG90" i="2"/>
  <c r="AS90" i="2"/>
  <c r="AR90" i="2"/>
  <c r="AQ90" i="2"/>
  <c r="AT90" i="2" s="1"/>
  <c r="AN90" i="2"/>
  <c r="AL90" i="2"/>
  <c r="AI90" i="2"/>
  <c r="AG90" i="2"/>
  <c r="P90" i="2"/>
  <c r="O90" i="2"/>
  <c r="BS89" i="2"/>
  <c r="BM89" i="2"/>
  <c r="BL89" i="2"/>
  <c r="BH89" i="2"/>
  <c r="BG89" i="2"/>
  <c r="AQ89" i="2"/>
  <c r="AN89" i="2"/>
  <c r="AL89" i="2"/>
  <c r="AG89" i="2"/>
  <c r="AT89" i="2" s="1"/>
  <c r="P89" i="2"/>
  <c r="O89" i="2"/>
  <c r="BS88" i="2"/>
  <c r="BM88" i="2"/>
  <c r="BL88" i="2"/>
  <c r="BH88" i="2"/>
  <c r="BG88" i="2"/>
  <c r="AS88" i="2"/>
  <c r="AR88" i="2"/>
  <c r="AQ88" i="2"/>
  <c r="AT88" i="2" s="1"/>
  <c r="AN88" i="2"/>
  <c r="AL88" i="2"/>
  <c r="AI88" i="2"/>
  <c r="AG88" i="2"/>
  <c r="P88" i="2"/>
  <c r="O88" i="2"/>
  <c r="BS87" i="2"/>
  <c r="BM87" i="2"/>
  <c r="BL87" i="2"/>
  <c r="BH87" i="2"/>
  <c r="BG87" i="2"/>
  <c r="AQ87" i="2"/>
  <c r="AN87" i="2"/>
  <c r="AL87" i="2"/>
  <c r="AI87" i="2"/>
  <c r="AG87" i="2"/>
  <c r="AT87" i="2" s="1"/>
  <c r="P87" i="2"/>
  <c r="O87" i="2"/>
  <c r="BS86" i="2"/>
  <c r="BM86" i="2"/>
  <c r="BL86" i="2"/>
  <c r="BH86" i="2"/>
  <c r="BG86" i="2"/>
  <c r="AS86" i="2"/>
  <c r="AR86" i="2"/>
  <c r="AQ86" i="2"/>
  <c r="AT86" i="2" s="1"/>
  <c r="AN86" i="2"/>
  <c r="AL86" i="2"/>
  <c r="AI86" i="2"/>
  <c r="AG86" i="2"/>
  <c r="P86" i="2"/>
  <c r="O86" i="2"/>
  <c r="BS85" i="2"/>
  <c r="BM85" i="2"/>
  <c r="BL85" i="2"/>
  <c r="BH85" i="2"/>
  <c r="BG85" i="2"/>
  <c r="AQ85" i="2"/>
  <c r="AN85" i="2"/>
  <c r="AL85" i="2"/>
  <c r="AG85" i="2"/>
  <c r="AT85" i="2" s="1"/>
  <c r="P85" i="2"/>
  <c r="O85" i="2"/>
  <c r="BS84" i="2"/>
  <c r="BM84" i="2"/>
  <c r="BL84" i="2"/>
  <c r="BH84" i="2"/>
  <c r="BG84" i="2"/>
  <c r="AS84" i="2"/>
  <c r="AR84" i="2"/>
  <c r="AQ84" i="2"/>
  <c r="AT84" i="2" s="1"/>
  <c r="AN84" i="2"/>
  <c r="AL84" i="2"/>
  <c r="AI84" i="2"/>
  <c r="AG84" i="2"/>
  <c r="P84" i="2"/>
  <c r="O84" i="2"/>
  <c r="BS83" i="2"/>
  <c r="BM83" i="2"/>
  <c r="BL83" i="2"/>
  <c r="BH83" i="2"/>
  <c r="BG83" i="2"/>
  <c r="AQ83" i="2"/>
  <c r="AN83" i="2"/>
  <c r="AL83" i="2"/>
  <c r="AG83" i="2"/>
  <c r="AT83" i="2" s="1"/>
  <c r="P83" i="2"/>
  <c r="O83" i="2"/>
  <c r="BS82" i="2"/>
  <c r="BM82" i="2"/>
  <c r="BL82" i="2"/>
  <c r="BH82" i="2"/>
  <c r="BG82" i="2"/>
  <c r="AS82" i="2"/>
  <c r="AR82" i="2"/>
  <c r="AQ82" i="2"/>
  <c r="AT82" i="2" s="1"/>
  <c r="AN82" i="2"/>
  <c r="AL82" i="2"/>
  <c r="AI82" i="2"/>
  <c r="AG82" i="2"/>
  <c r="P82" i="2"/>
  <c r="O82" i="2"/>
  <c r="BS81" i="2"/>
  <c r="BM81" i="2"/>
  <c r="BL81" i="2"/>
  <c r="BH81" i="2"/>
  <c r="BG81" i="2"/>
  <c r="AQ81" i="2"/>
  <c r="AN81" i="2"/>
  <c r="AL81" i="2"/>
  <c r="AG81" i="2"/>
  <c r="AT81" i="2" s="1"/>
  <c r="P81" i="2"/>
  <c r="O81" i="2"/>
  <c r="BS80" i="2"/>
  <c r="BM80" i="2"/>
  <c r="BL80" i="2"/>
  <c r="BH80" i="2"/>
  <c r="BG80" i="2"/>
  <c r="AS80" i="2"/>
  <c r="AR80" i="2"/>
  <c r="AQ80" i="2"/>
  <c r="AT80" i="2" s="1"/>
  <c r="AN80" i="2"/>
  <c r="AL80" i="2"/>
  <c r="AI80" i="2"/>
  <c r="AG80" i="2"/>
  <c r="P80" i="2"/>
  <c r="O80" i="2"/>
  <c r="BS79" i="2"/>
  <c r="BM79" i="2"/>
  <c r="BL79" i="2"/>
  <c r="BH79" i="2"/>
  <c r="BG79" i="2"/>
  <c r="AQ79" i="2"/>
  <c r="AN79" i="2"/>
  <c r="AL79" i="2"/>
  <c r="AG79" i="2"/>
  <c r="AT79" i="2" s="1"/>
  <c r="P79" i="2"/>
  <c r="O79" i="2"/>
  <c r="BS78" i="2"/>
  <c r="BM78" i="2"/>
  <c r="BL78" i="2"/>
  <c r="BH78" i="2"/>
  <c r="BG78" i="2"/>
  <c r="AS78" i="2"/>
  <c r="AR78" i="2"/>
  <c r="AQ78" i="2"/>
  <c r="AT78" i="2" s="1"/>
  <c r="AN78" i="2"/>
  <c r="AL78" i="2"/>
  <c r="AI78" i="2"/>
  <c r="AG78" i="2"/>
  <c r="P78" i="2"/>
  <c r="O78" i="2"/>
  <c r="BS77" i="2"/>
  <c r="BM77" i="2"/>
  <c r="BL77" i="2"/>
  <c r="BH77" i="2"/>
  <c r="BG77" i="2"/>
  <c r="AQ77" i="2"/>
  <c r="AN77" i="2"/>
  <c r="AL77" i="2"/>
  <c r="AI77" i="2"/>
  <c r="AG77" i="2"/>
  <c r="AT77" i="2" s="1"/>
  <c r="P77" i="2"/>
  <c r="O77" i="2"/>
  <c r="BS76" i="2"/>
  <c r="BM76" i="2"/>
  <c r="BL76" i="2"/>
  <c r="BH76" i="2"/>
  <c r="BG76" i="2"/>
  <c r="AS76" i="2"/>
  <c r="AR76" i="2"/>
  <c r="AQ76" i="2"/>
  <c r="AT76" i="2" s="1"/>
  <c r="AN76" i="2"/>
  <c r="AL76" i="2"/>
  <c r="AI76" i="2"/>
  <c r="AG76" i="2"/>
  <c r="P76" i="2"/>
  <c r="O76" i="2"/>
  <c r="BS75" i="2"/>
  <c r="BM75" i="2"/>
  <c r="BL75" i="2"/>
  <c r="BH75" i="2"/>
  <c r="BG75" i="2"/>
  <c r="AQ75" i="2"/>
  <c r="AN75" i="2"/>
  <c r="AL75" i="2"/>
  <c r="AI75" i="2"/>
  <c r="AG75" i="2"/>
  <c r="AT75" i="2" s="1"/>
  <c r="P75" i="2"/>
  <c r="O75" i="2"/>
  <c r="BS74" i="2"/>
  <c r="BM74" i="2"/>
  <c r="BL74" i="2"/>
  <c r="BH74" i="2"/>
  <c r="BG74" i="2"/>
  <c r="AS74" i="2"/>
  <c r="AR74" i="2"/>
  <c r="AQ74" i="2"/>
  <c r="AT74" i="2" s="1"/>
  <c r="AN74" i="2"/>
  <c r="AL74" i="2"/>
  <c r="AI74" i="2"/>
  <c r="AG74" i="2"/>
  <c r="P74" i="2"/>
  <c r="O74" i="2"/>
  <c r="BS73" i="2"/>
  <c r="BM73" i="2"/>
  <c r="BL73" i="2"/>
  <c r="BH73" i="2"/>
  <c r="BG73" i="2"/>
  <c r="AQ73" i="2"/>
  <c r="AN73" i="2"/>
  <c r="AL73" i="2"/>
  <c r="AG73" i="2"/>
  <c r="AT73" i="2" s="1"/>
  <c r="P73" i="2"/>
  <c r="O73" i="2"/>
  <c r="BS72" i="2"/>
  <c r="BM72" i="2"/>
  <c r="BL72" i="2"/>
  <c r="BH72" i="2"/>
  <c r="BG72" i="2"/>
  <c r="AS72" i="2"/>
  <c r="AR72" i="2"/>
  <c r="AQ72" i="2"/>
  <c r="AT72" i="2" s="1"/>
  <c r="AN72" i="2"/>
  <c r="AL72" i="2"/>
  <c r="AI72" i="2"/>
  <c r="AG72" i="2"/>
  <c r="P72" i="2"/>
  <c r="O72" i="2"/>
  <c r="BS71" i="2"/>
  <c r="BM71" i="2"/>
  <c r="BL71" i="2"/>
  <c r="BH71" i="2"/>
  <c r="BG71" i="2"/>
  <c r="AQ71" i="2"/>
  <c r="AN71" i="2"/>
  <c r="AL71" i="2"/>
  <c r="AG71" i="2"/>
  <c r="AT71" i="2" s="1"/>
  <c r="P71" i="2"/>
  <c r="O71" i="2"/>
  <c r="BS70" i="2"/>
  <c r="BM70" i="2"/>
  <c r="BL70" i="2"/>
  <c r="BH70" i="2"/>
  <c r="BG70" i="2"/>
  <c r="AS70" i="2"/>
  <c r="AR70" i="2"/>
  <c r="AQ70" i="2"/>
  <c r="AT70" i="2" s="1"/>
  <c r="AN70" i="2"/>
  <c r="AL70" i="2"/>
  <c r="AI70" i="2"/>
  <c r="AG70" i="2"/>
  <c r="P70" i="2"/>
  <c r="O70" i="2"/>
  <c r="BS69" i="2"/>
  <c r="BM69" i="2"/>
  <c r="BL69" i="2"/>
  <c r="BH69" i="2"/>
  <c r="BG69" i="2"/>
  <c r="AQ69" i="2"/>
  <c r="AN69" i="2"/>
  <c r="AL69" i="2"/>
  <c r="AG69" i="2"/>
  <c r="AT69" i="2" s="1"/>
  <c r="P69" i="2"/>
  <c r="O69" i="2"/>
  <c r="BS68" i="2"/>
  <c r="BM68" i="2"/>
  <c r="BL68" i="2"/>
  <c r="BH68" i="2"/>
  <c r="BG68" i="2"/>
  <c r="AS68" i="2"/>
  <c r="AQ68" i="2"/>
  <c r="AT68" i="2" s="1"/>
  <c r="AN68" i="2"/>
  <c r="AL68" i="2"/>
  <c r="AI68" i="2"/>
  <c r="AG68" i="2"/>
  <c r="P68" i="2"/>
  <c r="O68" i="2"/>
  <c r="BS67" i="2"/>
  <c r="BM67" i="2"/>
  <c r="BL67" i="2"/>
  <c r="BH67" i="2"/>
  <c r="BG67" i="2"/>
  <c r="AS67" i="2"/>
  <c r="AQ67" i="2"/>
  <c r="AN67" i="2"/>
  <c r="AL67" i="2"/>
  <c r="AI67" i="2"/>
  <c r="AR67" i="2" s="1"/>
  <c r="AG67" i="2"/>
  <c r="AT67" i="2" s="1"/>
  <c r="P67" i="2"/>
  <c r="O67" i="2"/>
  <c r="BS66" i="2"/>
  <c r="BM66" i="2"/>
  <c r="BL66" i="2"/>
  <c r="BH66" i="2"/>
  <c r="BG66" i="2"/>
  <c r="AQ66" i="2"/>
  <c r="AT66" i="2" s="1"/>
  <c r="AN66" i="2"/>
  <c r="AL66" i="2"/>
  <c r="AI66" i="2"/>
  <c r="AS66" i="2" s="1"/>
  <c r="AG66" i="2"/>
  <c r="P66" i="2"/>
  <c r="O66" i="2"/>
  <c r="BS65" i="2"/>
  <c r="BM65" i="2"/>
  <c r="BL65" i="2"/>
  <c r="BH65" i="2"/>
  <c r="BG65" i="2"/>
  <c r="AQ65" i="2"/>
  <c r="AN65" i="2"/>
  <c r="AL65" i="2"/>
  <c r="AG65" i="2"/>
  <c r="AT65" i="2" s="1"/>
  <c r="P65" i="2"/>
  <c r="O65" i="2"/>
  <c r="BS64" i="2"/>
  <c r="BM64" i="2"/>
  <c r="BL64" i="2"/>
  <c r="BH64" i="2"/>
  <c r="BG64" i="2"/>
  <c r="AS64" i="2"/>
  <c r="AQ64" i="2"/>
  <c r="AT64" i="2" s="1"/>
  <c r="AN64" i="2"/>
  <c r="AL64" i="2"/>
  <c r="AI64" i="2"/>
  <c r="AR64" i="2" s="1"/>
  <c r="AG64" i="2"/>
  <c r="P64" i="2"/>
  <c r="O64" i="2"/>
  <c r="BS63" i="2"/>
  <c r="BM63" i="2"/>
  <c r="BL63" i="2"/>
  <c r="BH63" i="2"/>
  <c r="BG63" i="2"/>
  <c r="AQ63" i="2"/>
  <c r="AN63" i="2"/>
  <c r="AL63" i="2"/>
  <c r="AG63" i="2"/>
  <c r="P63" i="2"/>
  <c r="O63" i="2"/>
  <c r="BS62" i="2"/>
  <c r="BM62" i="2"/>
  <c r="BL62" i="2"/>
  <c r="BH62" i="2"/>
  <c r="BG62" i="2"/>
  <c r="AS62" i="2"/>
  <c r="AQ62" i="2"/>
  <c r="AN62" i="2"/>
  <c r="AL62" i="2"/>
  <c r="AI62" i="2"/>
  <c r="AG62" i="2"/>
  <c r="P62" i="2"/>
  <c r="O62" i="2"/>
  <c r="BS61" i="2"/>
  <c r="BM61" i="2"/>
  <c r="BL61" i="2"/>
  <c r="BH61" i="2"/>
  <c r="BG61" i="2"/>
  <c r="AQ61" i="2"/>
  <c r="AN61" i="2"/>
  <c r="AL61" i="2"/>
  <c r="AG61" i="2"/>
  <c r="AT61" i="2" s="1"/>
  <c r="P61" i="2"/>
  <c r="O61" i="2"/>
  <c r="BS60" i="2"/>
  <c r="BM60" i="2"/>
  <c r="BL60" i="2"/>
  <c r="BH60" i="2"/>
  <c r="BG60" i="2"/>
  <c r="AQ60" i="2"/>
  <c r="AT60" i="2" s="1"/>
  <c r="AN60" i="2"/>
  <c r="AL60" i="2"/>
  <c r="AI60" i="2"/>
  <c r="AG60" i="2"/>
  <c r="P60" i="2"/>
  <c r="O60" i="2"/>
  <c r="BS59" i="2"/>
  <c r="BM59" i="2"/>
  <c r="BL59" i="2"/>
  <c r="BH59" i="2"/>
  <c r="BG59" i="2"/>
  <c r="AS59" i="2"/>
  <c r="AQ59" i="2"/>
  <c r="AN59" i="2"/>
  <c r="AL59" i="2"/>
  <c r="AI59" i="2"/>
  <c r="AG59" i="2"/>
  <c r="P59" i="2"/>
  <c r="O59" i="2"/>
  <c r="BS58" i="2"/>
  <c r="BM58" i="2"/>
  <c r="BL58" i="2"/>
  <c r="BH58" i="2"/>
  <c r="BG58" i="2"/>
  <c r="AR58" i="2"/>
  <c r="AQ58" i="2"/>
  <c r="AT58" i="2" s="1"/>
  <c r="AN58" i="2"/>
  <c r="AL58" i="2"/>
  <c r="AI58" i="2"/>
  <c r="AS58" i="2" s="1"/>
  <c r="AG58" i="2"/>
  <c r="P58" i="2"/>
  <c r="O58" i="2"/>
  <c r="BS57" i="2"/>
  <c r="BM57" i="2"/>
  <c r="BL57" i="2"/>
  <c r="BH57" i="2"/>
  <c r="BG57" i="2"/>
  <c r="AQ57" i="2"/>
  <c r="AN57" i="2"/>
  <c r="AL57" i="2"/>
  <c r="AG57" i="2"/>
  <c r="AT57" i="2" s="1"/>
  <c r="P57" i="2"/>
  <c r="O57" i="2"/>
  <c r="BS56" i="2"/>
  <c r="BM56" i="2"/>
  <c r="BL56" i="2"/>
  <c r="BH56" i="2"/>
  <c r="BG56" i="2"/>
  <c r="AS56" i="2"/>
  <c r="AQ56" i="2"/>
  <c r="AT56" i="2" s="1"/>
  <c r="AN56" i="2"/>
  <c r="AL56" i="2"/>
  <c r="AI56" i="2"/>
  <c r="AG56" i="2"/>
  <c r="P56" i="2"/>
  <c r="O56" i="2"/>
  <c r="BS55" i="2"/>
  <c r="BM55" i="2"/>
  <c r="BL55" i="2"/>
  <c r="BH55" i="2"/>
  <c r="BG55" i="2"/>
  <c r="AQ55" i="2"/>
  <c r="AN55" i="2"/>
  <c r="AL55" i="2"/>
  <c r="AG55" i="2"/>
  <c r="AT55" i="2" s="1"/>
  <c r="P55" i="2"/>
  <c r="O55" i="2"/>
  <c r="BS54" i="2"/>
  <c r="BM54" i="2"/>
  <c r="BL54" i="2"/>
  <c r="BH54" i="2"/>
  <c r="BG54" i="2"/>
  <c r="AQ54" i="2"/>
  <c r="AT54" i="2" s="1"/>
  <c r="AN54" i="2"/>
  <c r="AL54" i="2"/>
  <c r="AI54" i="2"/>
  <c r="AG54" i="2"/>
  <c r="P54" i="2"/>
  <c r="O54" i="2"/>
  <c r="BS53" i="2"/>
  <c r="BM53" i="2"/>
  <c r="BL53" i="2"/>
  <c r="BH53" i="2"/>
  <c r="BG53" i="2"/>
  <c r="AS53" i="2"/>
  <c r="AQ53" i="2"/>
  <c r="AN53" i="2"/>
  <c r="AL53" i="2"/>
  <c r="AI53" i="2"/>
  <c r="AG53" i="2"/>
  <c r="P53" i="2"/>
  <c r="O53" i="2"/>
  <c r="BS52" i="2"/>
  <c r="BM52" i="2"/>
  <c r="BL52" i="2"/>
  <c r="BH52" i="2"/>
  <c r="BG52" i="2"/>
  <c r="AQ52" i="2"/>
  <c r="AT52" i="2" s="1"/>
  <c r="AN52" i="2"/>
  <c r="AL52" i="2"/>
  <c r="AI52" i="2"/>
  <c r="AS52" i="2" s="1"/>
  <c r="AG52" i="2"/>
  <c r="P52" i="2"/>
  <c r="O52" i="2"/>
  <c r="BS51" i="2"/>
  <c r="BM51" i="2"/>
  <c r="BL51" i="2"/>
  <c r="BH51" i="2"/>
  <c r="BG51" i="2"/>
  <c r="AQ51" i="2"/>
  <c r="AN51" i="2"/>
  <c r="AL51" i="2"/>
  <c r="AI51" i="2"/>
  <c r="AG51" i="2"/>
  <c r="P51" i="2"/>
  <c r="O51" i="2"/>
  <c r="BS50" i="2"/>
  <c r="BM50" i="2"/>
  <c r="BL50" i="2"/>
  <c r="BH50" i="2"/>
  <c r="BG50" i="2"/>
  <c r="AS50" i="2"/>
  <c r="AR50" i="2"/>
  <c r="AQ50" i="2"/>
  <c r="AT50" i="2" s="1"/>
  <c r="AN50" i="2"/>
  <c r="AL50" i="2"/>
  <c r="AI50" i="2"/>
  <c r="AG50" i="2"/>
  <c r="P50" i="2"/>
  <c r="O50" i="2"/>
  <c r="BS49" i="2"/>
  <c r="BM49" i="2"/>
  <c r="BL49" i="2"/>
  <c r="BH49" i="2"/>
  <c r="BG49" i="2"/>
  <c r="AQ49" i="2"/>
  <c r="AN49" i="2"/>
  <c r="AL49" i="2"/>
  <c r="AG49" i="2"/>
  <c r="AT49" i="2" s="1"/>
  <c r="P49" i="2"/>
  <c r="O49" i="2"/>
  <c r="BS48" i="2"/>
  <c r="BM48" i="2"/>
  <c r="BL48" i="2"/>
  <c r="BH48" i="2"/>
  <c r="BG48" i="2"/>
  <c r="AQ48" i="2"/>
  <c r="AT48" i="2" s="1"/>
  <c r="AN48" i="2"/>
  <c r="AL48" i="2"/>
  <c r="AI48" i="2"/>
  <c r="AG48" i="2"/>
  <c r="P48" i="2"/>
  <c r="O48" i="2"/>
  <c r="BS47" i="2"/>
  <c r="BM47" i="2"/>
  <c r="BL47" i="2"/>
  <c r="BH47" i="2"/>
  <c r="BG47" i="2"/>
  <c r="AS47" i="2"/>
  <c r="AQ47" i="2"/>
  <c r="AN47" i="2"/>
  <c r="AL47" i="2"/>
  <c r="AI47" i="2"/>
  <c r="AR47" i="2" s="1"/>
  <c r="AG47" i="2"/>
  <c r="AT47" i="2" s="1"/>
  <c r="P47" i="2"/>
  <c r="O47" i="2"/>
  <c r="BS46" i="2"/>
  <c r="BM46" i="2"/>
  <c r="BL46" i="2"/>
  <c r="BH46" i="2"/>
  <c r="BG46" i="2"/>
  <c r="AQ46" i="2"/>
  <c r="AT46" i="2" s="1"/>
  <c r="AN46" i="2"/>
  <c r="AL46" i="2"/>
  <c r="AI46" i="2"/>
  <c r="AS46" i="2" s="1"/>
  <c r="AG46" i="2"/>
  <c r="P46" i="2"/>
  <c r="O46" i="2"/>
  <c r="BS45" i="2"/>
  <c r="BM45" i="2"/>
  <c r="BL45" i="2"/>
  <c r="BH45" i="2"/>
  <c r="BG45" i="2"/>
  <c r="AQ45" i="2"/>
  <c r="AN45" i="2"/>
  <c r="AL45" i="2"/>
  <c r="AG45" i="2"/>
  <c r="P45" i="2"/>
  <c r="O45" i="2"/>
  <c r="BS44" i="2"/>
  <c r="BM44" i="2"/>
  <c r="BL44" i="2"/>
  <c r="BH44" i="2"/>
  <c r="BG44" i="2"/>
  <c r="AS44" i="2"/>
  <c r="AQ44" i="2"/>
  <c r="AT44" i="2" s="1"/>
  <c r="AN44" i="2"/>
  <c r="AL44" i="2"/>
  <c r="AI44" i="2"/>
  <c r="AR44" i="2" s="1"/>
  <c r="AG44" i="2"/>
  <c r="P44" i="2"/>
  <c r="O44" i="2"/>
  <c r="BS43" i="2"/>
  <c r="BM43" i="2"/>
  <c r="BL43" i="2"/>
  <c r="BH43" i="2"/>
  <c r="BG43" i="2"/>
  <c r="AQ43" i="2"/>
  <c r="AN43" i="2"/>
  <c r="AL43" i="2"/>
  <c r="AG43" i="2"/>
  <c r="P43" i="2"/>
  <c r="O43" i="2"/>
  <c r="BS42" i="2"/>
  <c r="BM42" i="2"/>
  <c r="BL42" i="2"/>
  <c r="BH42" i="2"/>
  <c r="BG42" i="2"/>
  <c r="AQ42" i="2"/>
  <c r="AT42" i="2" s="1"/>
  <c r="AN42" i="2"/>
  <c r="AL42" i="2"/>
  <c r="AI42" i="2"/>
  <c r="AG42" i="2"/>
  <c r="P42" i="2"/>
  <c r="O42" i="2"/>
  <c r="BS41" i="2"/>
  <c r="BM41" i="2"/>
  <c r="BL41" i="2"/>
  <c r="BH41" i="2"/>
  <c r="BG41" i="2"/>
  <c r="AQ41" i="2"/>
  <c r="AN41" i="2"/>
  <c r="AL41" i="2"/>
  <c r="AG41" i="2"/>
  <c r="P41" i="2"/>
  <c r="O41" i="2"/>
  <c r="BS40" i="2"/>
  <c r="BM40" i="2"/>
  <c r="BL40" i="2"/>
  <c r="BH40" i="2"/>
  <c r="BG40" i="2"/>
  <c r="AQ40" i="2"/>
  <c r="AT40" i="2" s="1"/>
  <c r="AN40" i="2"/>
  <c r="AL40" i="2"/>
  <c r="AI40" i="2"/>
  <c r="AG40" i="2"/>
  <c r="P40" i="2"/>
  <c r="O40" i="2"/>
  <c r="BS39" i="2"/>
  <c r="BM39" i="2"/>
  <c r="BL39" i="2"/>
  <c r="BH39" i="2"/>
  <c r="BG39" i="2"/>
  <c r="AS39" i="2"/>
  <c r="AQ39" i="2"/>
  <c r="AN39" i="2"/>
  <c r="AL39" i="2"/>
  <c r="AI39" i="2"/>
  <c r="AG39" i="2"/>
  <c r="P39" i="2"/>
  <c r="O39" i="2"/>
  <c r="BS38" i="2"/>
  <c r="BM38" i="2"/>
  <c r="BL38" i="2"/>
  <c r="BH38" i="2"/>
  <c r="BG38" i="2"/>
  <c r="AR38" i="2"/>
  <c r="AQ38" i="2"/>
  <c r="AT38" i="2" s="1"/>
  <c r="AN38" i="2"/>
  <c r="AL38" i="2"/>
  <c r="AI38" i="2"/>
  <c r="AS38" i="2" s="1"/>
  <c r="AG38" i="2"/>
  <c r="P38" i="2"/>
  <c r="O38" i="2"/>
  <c r="BS37" i="2"/>
  <c r="BM37" i="2"/>
  <c r="BL37" i="2"/>
  <c r="BH37" i="2"/>
  <c r="BG37" i="2"/>
  <c r="AQ37" i="2"/>
  <c r="AN37" i="2"/>
  <c r="AL37" i="2"/>
  <c r="AG37" i="2"/>
  <c r="AT37" i="2" s="1"/>
  <c r="P37" i="2"/>
  <c r="O37" i="2"/>
  <c r="BS36" i="2"/>
  <c r="BM36" i="2"/>
  <c r="BL36" i="2"/>
  <c r="BH36" i="2"/>
  <c r="BG36" i="2"/>
  <c r="AS36" i="2"/>
  <c r="AQ36" i="2"/>
  <c r="AT36" i="2" s="1"/>
  <c r="AN36" i="2"/>
  <c r="AL36" i="2"/>
  <c r="AI36" i="2"/>
  <c r="AG36" i="2"/>
  <c r="P36" i="2"/>
  <c r="O36" i="2"/>
  <c r="BS35" i="2"/>
  <c r="BM35" i="2"/>
  <c r="BL35" i="2"/>
  <c r="BH35" i="2"/>
  <c r="BG35" i="2"/>
  <c r="AQ35" i="2"/>
  <c r="AN35" i="2"/>
  <c r="AL35" i="2"/>
  <c r="AG35" i="2"/>
  <c r="AT35" i="2" s="1"/>
  <c r="P35" i="2"/>
  <c r="O35" i="2"/>
  <c r="BS34" i="2"/>
  <c r="BM34" i="2"/>
  <c r="BL34" i="2"/>
  <c r="BH34" i="2"/>
  <c r="BG34" i="2"/>
  <c r="AQ34" i="2"/>
  <c r="AT34" i="2" s="1"/>
  <c r="AN34" i="2"/>
  <c r="AL34" i="2"/>
  <c r="AI34" i="2"/>
  <c r="AG34" i="2"/>
  <c r="P34" i="2"/>
  <c r="O34" i="2"/>
  <c r="BS33" i="2"/>
  <c r="BM33" i="2"/>
  <c r="BL33" i="2"/>
  <c r="BH33" i="2"/>
  <c r="BG33" i="2"/>
  <c r="AS33" i="2"/>
  <c r="AQ33" i="2"/>
  <c r="AN33" i="2"/>
  <c r="AL33" i="2"/>
  <c r="AI33" i="2"/>
  <c r="AG33" i="2"/>
  <c r="P33" i="2"/>
  <c r="O33" i="2"/>
  <c r="BS32" i="2"/>
  <c r="BM32" i="2"/>
  <c r="BL32" i="2"/>
  <c r="BH32" i="2"/>
  <c r="BG32" i="2"/>
  <c r="AQ32" i="2"/>
  <c r="AT32" i="2" s="1"/>
  <c r="AN32" i="2"/>
  <c r="AL32" i="2"/>
  <c r="AI32" i="2"/>
  <c r="AS32" i="2" s="1"/>
  <c r="AG32" i="2"/>
  <c r="P32" i="2"/>
  <c r="O32" i="2"/>
  <c r="BS31" i="2"/>
  <c r="BM31" i="2"/>
  <c r="BL31" i="2"/>
  <c r="BH31" i="2"/>
  <c r="BG31" i="2"/>
  <c r="AQ31" i="2"/>
  <c r="AN31" i="2"/>
  <c r="AL31" i="2"/>
  <c r="AI31" i="2"/>
  <c r="AG31" i="2"/>
  <c r="P31" i="2"/>
  <c r="O31" i="2"/>
  <c r="BS30" i="2"/>
  <c r="BM30" i="2"/>
  <c r="BL30" i="2"/>
  <c r="BH30" i="2"/>
  <c r="BG30" i="2"/>
  <c r="AS30" i="2"/>
  <c r="AR30" i="2"/>
  <c r="AQ30" i="2"/>
  <c r="AT30" i="2" s="1"/>
  <c r="AN30" i="2"/>
  <c r="AL30" i="2"/>
  <c r="AI30" i="2"/>
  <c r="AG30" i="2"/>
  <c r="P30" i="2"/>
  <c r="O30" i="2"/>
  <c r="BS29" i="2"/>
  <c r="BM29" i="2"/>
  <c r="BL29" i="2"/>
  <c r="BH29" i="2"/>
  <c r="BG29" i="2"/>
  <c r="AQ29" i="2"/>
  <c r="AN29" i="2"/>
  <c r="AL29" i="2"/>
  <c r="AG29" i="2"/>
  <c r="AT29" i="2" s="1"/>
  <c r="P29" i="2"/>
  <c r="O29" i="2"/>
  <c r="BS28" i="2"/>
  <c r="BM28" i="2"/>
  <c r="BL28" i="2"/>
  <c r="BH28" i="2"/>
  <c r="BG28" i="2"/>
  <c r="AQ28" i="2"/>
  <c r="AT28" i="2" s="1"/>
  <c r="AN28" i="2"/>
  <c r="AL28" i="2"/>
  <c r="AI28" i="2"/>
  <c r="AG28" i="2"/>
  <c r="P28" i="2"/>
  <c r="O28" i="2"/>
  <c r="BS27" i="2"/>
  <c r="BM27" i="2"/>
  <c r="BL27" i="2"/>
  <c r="BH27" i="2"/>
  <c r="BG27" i="2"/>
  <c r="AS27" i="2"/>
  <c r="AQ27" i="2"/>
  <c r="AN27" i="2"/>
  <c r="AL27" i="2"/>
  <c r="AI27" i="2"/>
  <c r="AR27" i="2" s="1"/>
  <c r="AG27" i="2"/>
  <c r="AT27" i="2" s="1"/>
  <c r="P27" i="2"/>
  <c r="O27" i="2"/>
  <c r="BS26" i="2"/>
  <c r="BM26" i="2"/>
  <c r="BL26" i="2"/>
  <c r="BH26" i="2"/>
  <c r="BG26" i="2"/>
  <c r="AQ26" i="2"/>
  <c r="AT26" i="2" s="1"/>
  <c r="AN26" i="2"/>
  <c r="AL26" i="2"/>
  <c r="AI26" i="2"/>
  <c r="AS26" i="2" s="1"/>
  <c r="AG26" i="2"/>
  <c r="P26" i="2"/>
  <c r="O26" i="2"/>
  <c r="BS25" i="2"/>
  <c r="BM25" i="2"/>
  <c r="BL25" i="2"/>
  <c r="BH25" i="2"/>
  <c r="BG25" i="2"/>
  <c r="AQ25" i="2"/>
  <c r="AN25" i="2"/>
  <c r="AL25" i="2"/>
  <c r="AG25" i="2"/>
  <c r="P25" i="2"/>
  <c r="O25" i="2"/>
  <c r="BS24" i="2"/>
  <c r="BM24" i="2"/>
  <c r="BL24" i="2"/>
  <c r="BH24" i="2"/>
  <c r="BG24" i="2"/>
  <c r="AS24" i="2"/>
  <c r="AQ24" i="2"/>
  <c r="AT24" i="2" s="1"/>
  <c r="AN24" i="2"/>
  <c r="AL24" i="2"/>
  <c r="AI24" i="2"/>
  <c r="AR24" i="2" s="1"/>
  <c r="AG24" i="2"/>
  <c r="P24" i="2"/>
  <c r="O24" i="2"/>
  <c r="BS23" i="2"/>
  <c r="BM23" i="2"/>
  <c r="BL23" i="2"/>
  <c r="BH23" i="2"/>
  <c r="BG23" i="2"/>
  <c r="AQ23" i="2"/>
  <c r="AN23" i="2"/>
  <c r="AL23" i="2"/>
  <c r="AG23" i="2"/>
  <c r="P23" i="2"/>
  <c r="O23" i="2"/>
  <c r="BS22" i="2"/>
  <c r="BM22" i="2"/>
  <c r="BL22" i="2"/>
  <c r="BH22" i="2"/>
  <c r="BG22" i="2"/>
  <c r="AQ22" i="2"/>
  <c r="AT22" i="2" s="1"/>
  <c r="AN22" i="2"/>
  <c r="AL22" i="2"/>
  <c r="AI22" i="2"/>
  <c r="AG22" i="2"/>
  <c r="P22" i="2"/>
  <c r="O22" i="2"/>
  <c r="BS21" i="2"/>
  <c r="BM21" i="2"/>
  <c r="BL21" i="2"/>
  <c r="BH21" i="2"/>
  <c r="BG21" i="2"/>
  <c r="AQ21" i="2"/>
  <c r="AN21" i="2"/>
  <c r="AL21" i="2"/>
  <c r="AG21" i="2"/>
  <c r="P21" i="2"/>
  <c r="O21" i="2"/>
  <c r="BS20" i="2"/>
  <c r="BM20" i="2"/>
  <c r="BL20" i="2"/>
  <c r="BH20" i="2"/>
  <c r="BG20" i="2"/>
  <c r="AQ20" i="2"/>
  <c r="AT20" i="2" s="1"/>
  <c r="AN20" i="2"/>
  <c r="AL20" i="2"/>
  <c r="AI20" i="2"/>
  <c r="AG20" i="2"/>
  <c r="P20" i="2"/>
  <c r="O20" i="2"/>
  <c r="BS19" i="2"/>
  <c r="BM19" i="2"/>
  <c r="BL19" i="2"/>
  <c r="BH19" i="2"/>
  <c r="BG19" i="2"/>
  <c r="AS19" i="2"/>
  <c r="AQ19" i="2"/>
  <c r="AN19" i="2"/>
  <c r="AL19" i="2"/>
  <c r="AI19" i="2"/>
  <c r="AG19" i="2"/>
  <c r="P19" i="2"/>
  <c r="O19" i="2"/>
  <c r="BS18" i="2"/>
  <c r="BM18" i="2"/>
  <c r="BL18" i="2"/>
  <c r="BH18" i="2"/>
  <c r="BG18" i="2"/>
  <c r="AR18" i="2"/>
  <c r="AQ18" i="2"/>
  <c r="AT18" i="2" s="1"/>
  <c r="AN18" i="2"/>
  <c r="AL18" i="2"/>
  <c r="AI18" i="2"/>
  <c r="AS18" i="2" s="1"/>
  <c r="AG18" i="2"/>
  <c r="P18" i="2"/>
  <c r="O18" i="2"/>
  <c r="BS17" i="2"/>
  <c r="BM17" i="2"/>
  <c r="BL17" i="2"/>
  <c r="BH17" i="2"/>
  <c r="BG17" i="2"/>
  <c r="AQ17" i="2"/>
  <c r="AN17" i="2"/>
  <c r="AL17" i="2"/>
  <c r="AI17" i="2"/>
  <c r="AG17" i="2"/>
  <c r="AT17" i="2" s="1"/>
  <c r="P17" i="2"/>
  <c r="O17" i="2"/>
  <c r="BS16" i="2"/>
  <c r="BM16" i="2"/>
  <c r="BL16" i="2"/>
  <c r="BH16" i="2"/>
  <c r="BG16" i="2"/>
  <c r="AS16" i="2"/>
  <c r="AR16" i="2"/>
  <c r="AQ16" i="2"/>
  <c r="AT16" i="2" s="1"/>
  <c r="AN16" i="2"/>
  <c r="AL16" i="2"/>
  <c r="AI16" i="2"/>
  <c r="AG16" i="2"/>
  <c r="P16" i="2"/>
  <c r="O16" i="2"/>
  <c r="BS15" i="2"/>
  <c r="BM15" i="2"/>
  <c r="BL15" i="2"/>
  <c r="BH15" i="2"/>
  <c r="BG15" i="2"/>
  <c r="AQ15" i="2"/>
  <c r="AN15" i="2"/>
  <c r="AL15" i="2"/>
  <c r="AG15" i="2"/>
  <c r="AT15" i="2" s="1"/>
  <c r="P15" i="2"/>
  <c r="O15" i="2"/>
  <c r="BS14" i="2"/>
  <c r="BM14" i="2"/>
  <c r="BL14" i="2"/>
  <c r="BH14" i="2"/>
  <c r="BG14" i="2"/>
  <c r="AQ14" i="2"/>
  <c r="AT14" i="2" s="1"/>
  <c r="AN14" i="2"/>
  <c r="AL14" i="2"/>
  <c r="AI14" i="2"/>
  <c r="AG14" i="2"/>
  <c r="P14" i="2"/>
  <c r="O14" i="2"/>
  <c r="BS13" i="2"/>
  <c r="BM13" i="2"/>
  <c r="BL13" i="2"/>
  <c r="BH13" i="2"/>
  <c r="BG13" i="2"/>
  <c r="AS13" i="2"/>
  <c r="AQ13" i="2"/>
  <c r="AN13" i="2"/>
  <c r="AL13" i="2"/>
  <c r="AI13" i="2"/>
  <c r="AG13" i="2"/>
  <c r="P13" i="2"/>
  <c r="O13" i="2"/>
  <c r="BS12" i="2"/>
  <c r="BM12" i="2"/>
  <c r="BL12" i="2"/>
  <c r="BH12" i="2"/>
  <c r="BG12" i="2"/>
  <c r="AQ12" i="2"/>
  <c r="AT12" i="2" s="1"/>
  <c r="AN12" i="2"/>
  <c r="AL12" i="2"/>
  <c r="AI12" i="2"/>
  <c r="AS12" i="2" s="1"/>
  <c r="AG12" i="2"/>
  <c r="P12" i="2"/>
  <c r="O12" i="2"/>
  <c r="BS11" i="2"/>
  <c r="BM11" i="2"/>
  <c r="BL11" i="2"/>
  <c r="BH11" i="2"/>
  <c r="BG11" i="2"/>
  <c r="AQ11" i="2"/>
  <c r="AN11" i="2"/>
  <c r="AL11" i="2"/>
  <c r="AI11" i="2"/>
  <c r="AG11" i="2"/>
  <c r="P11" i="2"/>
  <c r="O11" i="2"/>
  <c r="BS10" i="2"/>
  <c r="BM10" i="2"/>
  <c r="BL10" i="2"/>
  <c r="BH10" i="2"/>
  <c r="BG10" i="2"/>
  <c r="AS10" i="2"/>
  <c r="AR10" i="2"/>
  <c r="AQ10" i="2"/>
  <c r="AT10" i="2" s="1"/>
  <c r="AN10" i="2"/>
  <c r="AL10" i="2"/>
  <c r="AI10" i="2"/>
  <c r="AG10" i="2"/>
  <c r="P10" i="2"/>
  <c r="O10" i="2"/>
  <c r="BS9" i="2"/>
  <c r="BM9" i="2"/>
  <c r="BL9" i="2"/>
  <c r="BH9" i="2"/>
  <c r="BG9" i="2"/>
  <c r="AQ9" i="2"/>
  <c r="AN9" i="2"/>
  <c r="AL9" i="2"/>
  <c r="AG9" i="2"/>
  <c r="AT9" i="2" s="1"/>
  <c r="P9" i="2"/>
  <c r="O9" i="2"/>
  <c r="BS8" i="2"/>
  <c r="BM8" i="2"/>
  <c r="BL8" i="2"/>
  <c r="BH8" i="2"/>
  <c r="BG8" i="2"/>
  <c r="AQ8" i="2"/>
  <c r="AT8" i="2" s="1"/>
  <c r="AN8" i="2"/>
  <c r="AL8" i="2"/>
  <c r="AI8" i="2"/>
  <c r="AG8" i="2"/>
  <c r="P8" i="2"/>
  <c r="O8" i="2"/>
  <c r="BS7" i="2"/>
  <c r="BM7" i="2"/>
  <c r="BL7" i="2"/>
  <c r="BH7" i="2"/>
  <c r="BG7" i="2"/>
  <c r="AS7" i="2"/>
  <c r="AQ7" i="2"/>
  <c r="AN7" i="2"/>
  <c r="AL7" i="2"/>
  <c r="AI7" i="2"/>
  <c r="AR7" i="2" s="1"/>
  <c r="AG7" i="2"/>
  <c r="AT7" i="2" s="1"/>
  <c r="P7" i="2"/>
  <c r="O7" i="2"/>
  <c r="BS6" i="2"/>
  <c r="BM6" i="2"/>
  <c r="BL6" i="2"/>
  <c r="BH6" i="2"/>
  <c r="BG6" i="2"/>
  <c r="AQ6" i="2"/>
  <c r="AT6" i="2" s="1"/>
  <c r="AN6" i="2"/>
  <c r="AL6" i="2"/>
  <c r="AI6" i="2"/>
  <c r="AS6" i="2" s="1"/>
  <c r="AG6" i="2"/>
  <c r="P6" i="2"/>
  <c r="O6" i="2"/>
  <c r="BS5" i="2"/>
  <c r="BM5" i="2"/>
  <c r="BL5" i="2"/>
  <c r="BH5" i="2"/>
  <c r="BG5" i="2"/>
  <c r="AQ5" i="2"/>
  <c r="AN5" i="2"/>
  <c r="AL5" i="2"/>
  <c r="AG5" i="2"/>
  <c r="P5" i="2"/>
  <c r="O5" i="2"/>
  <c r="BS4" i="2"/>
  <c r="BM4" i="2"/>
  <c r="BL4" i="2"/>
  <c r="BH4" i="2"/>
  <c r="BG4" i="2"/>
  <c r="AS4" i="2"/>
  <c r="AQ4" i="2"/>
  <c r="AT4" i="2" s="1"/>
  <c r="AN4" i="2"/>
  <c r="AL4" i="2"/>
  <c r="AI4" i="2"/>
  <c r="AR4" i="2" s="1"/>
  <c r="AG4" i="2"/>
  <c r="P4" i="2"/>
  <c r="O4" i="2"/>
  <c r="BS3" i="2"/>
  <c r="BM3" i="2"/>
  <c r="BL3" i="2"/>
  <c r="BH3" i="2"/>
  <c r="BG3" i="2"/>
  <c r="AQ3" i="2"/>
  <c r="AN3" i="2"/>
  <c r="AL3" i="2"/>
  <c r="AG3" i="2"/>
  <c r="P3" i="2"/>
  <c r="O3" i="2"/>
  <c r="BS2" i="2"/>
  <c r="BM2" i="2"/>
  <c r="BL2" i="2"/>
  <c r="BH2" i="2"/>
  <c r="BG2" i="2"/>
  <c r="AQ2" i="2"/>
  <c r="AT2" i="2" s="1"/>
  <c r="AN2" i="2"/>
  <c r="AL2" i="2"/>
  <c r="AI2" i="2"/>
  <c r="AG2" i="2"/>
  <c r="P2" i="2"/>
  <c r="O2" i="2"/>
  <c r="BS300" i="1"/>
  <c r="BM300" i="1"/>
  <c r="BL300" i="1"/>
  <c r="BH300" i="1"/>
  <c r="BG300" i="1"/>
  <c r="AQ300" i="1"/>
  <c r="AN300" i="1"/>
  <c r="AL300" i="1"/>
  <c r="AG300" i="1"/>
  <c r="P300" i="1"/>
  <c r="O300" i="1"/>
  <c r="BS299" i="1"/>
  <c r="BM299" i="1"/>
  <c r="BL299" i="1"/>
  <c r="BH299" i="1"/>
  <c r="BG299" i="1"/>
  <c r="AQ299" i="1"/>
  <c r="AT299" i="1" s="1"/>
  <c r="AN299" i="1"/>
  <c r="AL299" i="1"/>
  <c r="AI299" i="1"/>
  <c r="AG299" i="1"/>
  <c r="P299" i="1"/>
  <c r="O299" i="1"/>
  <c r="BS298" i="1"/>
  <c r="BM298" i="1"/>
  <c r="BL298" i="1"/>
  <c r="BH298" i="1"/>
  <c r="BG298" i="1"/>
  <c r="AS298" i="1"/>
  <c r="AQ298" i="1"/>
  <c r="AN298" i="1"/>
  <c r="AL298" i="1"/>
  <c r="AI298" i="1"/>
  <c r="AG298" i="1"/>
  <c r="P298" i="1"/>
  <c r="O298" i="1"/>
  <c r="BS297" i="1"/>
  <c r="BM297" i="1"/>
  <c r="BL297" i="1"/>
  <c r="BH297" i="1"/>
  <c r="BG297" i="1"/>
  <c r="AR297" i="1"/>
  <c r="AQ297" i="1"/>
  <c r="AT297" i="1" s="1"/>
  <c r="AN297" i="1"/>
  <c r="AL297" i="1"/>
  <c r="AI297" i="1"/>
  <c r="AS297" i="1" s="1"/>
  <c r="AG297" i="1"/>
  <c r="P297" i="1"/>
  <c r="O297" i="1"/>
  <c r="BS296" i="1"/>
  <c r="BM296" i="1"/>
  <c r="BL296" i="1"/>
  <c r="BH296" i="1"/>
  <c r="BG296" i="1"/>
  <c r="AQ296" i="1"/>
  <c r="AN296" i="1"/>
  <c r="AL296" i="1"/>
  <c r="AG296" i="1"/>
  <c r="AT296" i="1" s="1"/>
  <c r="P296" i="1"/>
  <c r="O296" i="1"/>
  <c r="BS295" i="1"/>
  <c r="BM295" i="1"/>
  <c r="BL295" i="1"/>
  <c r="BH295" i="1"/>
  <c r="BG295" i="1"/>
  <c r="AS295" i="1"/>
  <c r="AQ295" i="1"/>
  <c r="AT295" i="1" s="1"/>
  <c r="AN295" i="1"/>
  <c r="AL295" i="1"/>
  <c r="AI295" i="1"/>
  <c r="AG295" i="1"/>
  <c r="P295" i="1"/>
  <c r="O295" i="1"/>
  <c r="BS294" i="1"/>
  <c r="BM294" i="1"/>
  <c r="BL294" i="1"/>
  <c r="BH294" i="1"/>
  <c r="BG294" i="1"/>
  <c r="AQ294" i="1"/>
  <c r="AN294" i="1"/>
  <c r="AL294" i="1"/>
  <c r="AG294" i="1"/>
  <c r="AT294" i="1" s="1"/>
  <c r="P294" i="1"/>
  <c r="O294" i="1"/>
  <c r="BS293" i="1"/>
  <c r="BM293" i="1"/>
  <c r="BL293" i="1"/>
  <c r="BH293" i="1"/>
  <c r="BG293" i="1"/>
  <c r="AQ293" i="1"/>
  <c r="AT293" i="1" s="1"/>
  <c r="AN293" i="1"/>
  <c r="AL293" i="1"/>
  <c r="AI293" i="1"/>
  <c r="AG293" i="1"/>
  <c r="P293" i="1"/>
  <c r="O293" i="1"/>
  <c r="BS292" i="1"/>
  <c r="BM292" i="1"/>
  <c r="BL292" i="1"/>
  <c r="BH292" i="1"/>
  <c r="BG292" i="1"/>
  <c r="AS292" i="1"/>
  <c r="AQ292" i="1"/>
  <c r="AN292" i="1"/>
  <c r="AL292" i="1"/>
  <c r="AI292" i="1"/>
  <c r="AG292" i="1"/>
  <c r="P292" i="1"/>
  <c r="O292" i="1"/>
  <c r="BS291" i="1"/>
  <c r="BM291" i="1"/>
  <c r="BL291" i="1"/>
  <c r="BH291" i="1"/>
  <c r="BG291" i="1"/>
  <c r="AQ291" i="1"/>
  <c r="AT291" i="1" s="1"/>
  <c r="AN291" i="1"/>
  <c r="AL291" i="1"/>
  <c r="AI291" i="1"/>
  <c r="AS291" i="1" s="1"/>
  <c r="AG291" i="1"/>
  <c r="P291" i="1"/>
  <c r="O291" i="1"/>
  <c r="BS290" i="1"/>
  <c r="BM290" i="1"/>
  <c r="BL290" i="1"/>
  <c r="BH290" i="1"/>
  <c r="BG290" i="1"/>
  <c r="AQ290" i="1"/>
  <c r="AN290" i="1"/>
  <c r="AL290" i="1"/>
  <c r="AI290" i="1"/>
  <c r="AG290" i="1"/>
  <c r="P290" i="1"/>
  <c r="O290" i="1"/>
  <c r="BS289" i="1"/>
  <c r="BM289" i="1"/>
  <c r="BL289" i="1"/>
  <c r="BH289" i="1"/>
  <c r="BG289" i="1"/>
  <c r="AS289" i="1"/>
  <c r="AR289" i="1"/>
  <c r="AQ289" i="1"/>
  <c r="AT289" i="1" s="1"/>
  <c r="AN289" i="1"/>
  <c r="AL289" i="1"/>
  <c r="AI289" i="1"/>
  <c r="AG289" i="1"/>
  <c r="P289" i="1"/>
  <c r="O289" i="1"/>
  <c r="BS288" i="1"/>
  <c r="BM288" i="1"/>
  <c r="BL288" i="1"/>
  <c r="BH288" i="1"/>
  <c r="BG288" i="1"/>
  <c r="AQ288" i="1"/>
  <c r="AN288" i="1"/>
  <c r="AL288" i="1"/>
  <c r="AG288" i="1"/>
  <c r="AT288" i="1" s="1"/>
  <c r="P288" i="1"/>
  <c r="O288" i="1"/>
  <c r="BS287" i="1"/>
  <c r="BM287" i="1"/>
  <c r="BL287" i="1"/>
  <c r="BH287" i="1"/>
  <c r="BG287" i="1"/>
  <c r="AQ287" i="1"/>
  <c r="AT287" i="1" s="1"/>
  <c r="AN287" i="1"/>
  <c r="AL287" i="1"/>
  <c r="AI287" i="1"/>
  <c r="AG287" i="1"/>
  <c r="P287" i="1"/>
  <c r="O287" i="1"/>
  <c r="BS286" i="1"/>
  <c r="BM286" i="1"/>
  <c r="BL286" i="1"/>
  <c r="BH286" i="1"/>
  <c r="BG286" i="1"/>
  <c r="AS286" i="1"/>
  <c r="AQ286" i="1"/>
  <c r="AL286" i="1"/>
  <c r="AN286" i="1" s="1"/>
  <c r="AI286" i="1"/>
  <c r="AG286" i="1"/>
  <c r="P286" i="1"/>
  <c r="O286" i="1"/>
  <c r="BS285" i="1"/>
  <c r="BM285" i="1"/>
  <c r="BL285" i="1"/>
  <c r="BH285" i="1"/>
  <c r="BG285" i="1"/>
  <c r="AT285" i="1"/>
  <c r="AQ285" i="1"/>
  <c r="AN285" i="1"/>
  <c r="AL285" i="1"/>
  <c r="AI285" i="1"/>
  <c r="AS285" i="1" s="1"/>
  <c r="AG285" i="1"/>
  <c r="P285" i="1"/>
  <c r="O285" i="1"/>
  <c r="BS284" i="1"/>
  <c r="BM284" i="1"/>
  <c r="BL284" i="1"/>
  <c r="BH284" i="1"/>
  <c r="BG284" i="1"/>
  <c r="AQ284" i="1"/>
  <c r="AL284" i="1"/>
  <c r="AN284" i="1" s="1"/>
  <c r="AI284" i="1"/>
  <c r="AG284" i="1"/>
  <c r="P284" i="1"/>
  <c r="O284" i="1"/>
  <c r="BS283" i="1"/>
  <c r="BM283" i="1"/>
  <c r="BL283" i="1"/>
  <c r="BH283" i="1"/>
  <c r="BG283" i="1"/>
  <c r="AT283" i="1"/>
  <c r="AS283" i="1"/>
  <c r="AQ283" i="1"/>
  <c r="AN283" i="1"/>
  <c r="AL283" i="1"/>
  <c r="AI283" i="1"/>
  <c r="AR283" i="1" s="1"/>
  <c r="AG283" i="1"/>
  <c r="P283" i="1"/>
  <c r="O283" i="1"/>
  <c r="BS282" i="1"/>
  <c r="BM282" i="1"/>
  <c r="BL282" i="1"/>
  <c r="BH282" i="1"/>
  <c r="BG282" i="1"/>
  <c r="AQ282" i="1"/>
  <c r="AL282" i="1"/>
  <c r="AN282" i="1" s="1"/>
  <c r="AG282" i="1"/>
  <c r="AT282" i="1" s="1"/>
  <c r="P282" i="1"/>
  <c r="O282" i="1"/>
  <c r="BS281" i="1"/>
  <c r="BM281" i="1"/>
  <c r="BL281" i="1"/>
  <c r="BH281" i="1"/>
  <c r="BG281" i="1"/>
  <c r="AQ281" i="1"/>
  <c r="AT281" i="1" s="1"/>
  <c r="AN281" i="1"/>
  <c r="AL281" i="1"/>
  <c r="AI281" i="1"/>
  <c r="AG281" i="1"/>
  <c r="P281" i="1"/>
  <c r="O281" i="1"/>
  <c r="BS280" i="1"/>
  <c r="BM280" i="1"/>
  <c r="BL280" i="1"/>
  <c r="BH280" i="1"/>
  <c r="BG280" i="1"/>
  <c r="AQ280" i="1"/>
  <c r="AL280" i="1"/>
  <c r="AN280" i="1" s="1"/>
  <c r="AI280" i="1"/>
  <c r="AG280" i="1"/>
  <c r="P280" i="1"/>
  <c r="O280" i="1"/>
  <c r="BS279" i="1"/>
  <c r="BM279" i="1"/>
  <c r="BL279" i="1"/>
  <c r="BH279" i="1"/>
  <c r="BG279" i="1"/>
  <c r="AT279" i="1"/>
  <c r="AQ279" i="1"/>
  <c r="AN279" i="1"/>
  <c r="AL279" i="1"/>
  <c r="AI279" i="1"/>
  <c r="AG279" i="1"/>
  <c r="P279" i="1"/>
  <c r="O279" i="1"/>
  <c r="BS278" i="1"/>
  <c r="BM278" i="1"/>
  <c r="BL278" i="1"/>
  <c r="BH278" i="1"/>
  <c r="BG278" i="1"/>
  <c r="AQ278" i="1"/>
  <c r="AL278" i="1"/>
  <c r="AN278" i="1" s="1"/>
  <c r="AG278" i="1"/>
  <c r="P278" i="1"/>
  <c r="O278" i="1"/>
  <c r="BS277" i="1"/>
  <c r="BM277" i="1"/>
  <c r="BL277" i="1"/>
  <c r="BH277" i="1"/>
  <c r="BG277" i="1"/>
  <c r="AT277" i="1"/>
  <c r="AR277" i="1"/>
  <c r="AQ277" i="1"/>
  <c r="AN277" i="1"/>
  <c r="AL277" i="1"/>
  <c r="AI277" i="1"/>
  <c r="AS277" i="1" s="1"/>
  <c r="AG277" i="1"/>
  <c r="P277" i="1"/>
  <c r="O277" i="1"/>
  <c r="BS276" i="1"/>
  <c r="BM276" i="1"/>
  <c r="BL276" i="1"/>
  <c r="BH276" i="1"/>
  <c r="BG276" i="1"/>
  <c r="AQ276" i="1"/>
  <c r="AL276" i="1"/>
  <c r="AN276" i="1" s="1"/>
  <c r="AG276" i="1"/>
  <c r="P276" i="1"/>
  <c r="O276" i="1"/>
  <c r="BS275" i="1"/>
  <c r="BM275" i="1"/>
  <c r="BL275" i="1"/>
  <c r="BH275" i="1"/>
  <c r="BG275" i="1"/>
  <c r="AS275" i="1"/>
  <c r="AQ275" i="1"/>
  <c r="AT275" i="1" s="1"/>
  <c r="AN275" i="1"/>
  <c r="AL275" i="1"/>
  <c r="AI275" i="1"/>
  <c r="AG275" i="1"/>
  <c r="P275" i="1"/>
  <c r="O275" i="1"/>
  <c r="BS274" i="1"/>
  <c r="BM274" i="1"/>
  <c r="BL274" i="1"/>
  <c r="BH274" i="1"/>
  <c r="BG274" i="1"/>
  <c r="AQ274" i="1"/>
  <c r="AL274" i="1"/>
  <c r="AN274" i="1" s="1"/>
  <c r="AG274" i="1"/>
  <c r="P274" i="1"/>
  <c r="O274" i="1"/>
  <c r="BS273" i="1"/>
  <c r="BM273" i="1"/>
  <c r="BL273" i="1"/>
  <c r="BH273" i="1"/>
  <c r="BG273" i="1"/>
  <c r="AQ273" i="1"/>
  <c r="AT273" i="1" s="1"/>
  <c r="AN273" i="1"/>
  <c r="AL273" i="1"/>
  <c r="AI273" i="1"/>
  <c r="AG273" i="1"/>
  <c r="P273" i="1"/>
  <c r="O273" i="1"/>
  <c r="BS272" i="1"/>
  <c r="BM272" i="1"/>
  <c r="BL272" i="1"/>
  <c r="BH272" i="1"/>
  <c r="BG272" i="1"/>
  <c r="AS272" i="1"/>
  <c r="AQ272" i="1"/>
  <c r="AL272" i="1"/>
  <c r="AN272" i="1" s="1"/>
  <c r="AI272" i="1"/>
  <c r="AG272" i="1"/>
  <c r="P272" i="1"/>
  <c r="O272" i="1"/>
  <c r="BS271" i="1"/>
  <c r="BM271" i="1"/>
  <c r="BL271" i="1"/>
  <c r="BH271" i="1"/>
  <c r="BG271" i="1"/>
  <c r="AQ271" i="1"/>
  <c r="AT271" i="1" s="1"/>
  <c r="AN271" i="1"/>
  <c r="AL271" i="1"/>
  <c r="AI271" i="1"/>
  <c r="AS271" i="1" s="1"/>
  <c r="AG271" i="1"/>
  <c r="P271" i="1"/>
  <c r="O271" i="1"/>
  <c r="BS270" i="1"/>
  <c r="BM270" i="1"/>
  <c r="BL270" i="1"/>
  <c r="BH270" i="1"/>
  <c r="BG270" i="1"/>
  <c r="AQ270" i="1"/>
  <c r="AL270" i="1"/>
  <c r="AN270" i="1" s="1"/>
  <c r="AG270" i="1"/>
  <c r="AT270" i="1" s="1"/>
  <c r="P270" i="1"/>
  <c r="O270" i="1"/>
  <c r="BS269" i="1"/>
  <c r="BM269" i="1"/>
  <c r="BL269" i="1"/>
  <c r="BH269" i="1"/>
  <c r="BG269" i="1"/>
  <c r="AT269" i="1"/>
  <c r="AS269" i="1"/>
  <c r="AR269" i="1"/>
  <c r="AQ269" i="1"/>
  <c r="AN269" i="1"/>
  <c r="AL269" i="1"/>
  <c r="AI269" i="1"/>
  <c r="AG269" i="1"/>
  <c r="P269" i="1"/>
  <c r="O269" i="1"/>
  <c r="BS268" i="1"/>
  <c r="BM268" i="1"/>
  <c r="BL268" i="1"/>
  <c r="BH268" i="1"/>
  <c r="BG268" i="1"/>
  <c r="AQ268" i="1"/>
  <c r="AL268" i="1"/>
  <c r="AN268" i="1" s="1"/>
  <c r="AG268" i="1"/>
  <c r="AT268" i="1" s="1"/>
  <c r="P268" i="1"/>
  <c r="O268" i="1"/>
  <c r="BS267" i="1"/>
  <c r="BM267" i="1"/>
  <c r="BL267" i="1"/>
  <c r="BH267" i="1"/>
  <c r="BG267" i="1"/>
  <c r="AQ267" i="1"/>
  <c r="AT267" i="1" s="1"/>
  <c r="AN267" i="1"/>
  <c r="AL267" i="1"/>
  <c r="AI267" i="1"/>
  <c r="AG267" i="1"/>
  <c r="P267" i="1"/>
  <c r="O267" i="1"/>
  <c r="BS266" i="1"/>
  <c r="BM266" i="1"/>
  <c r="BL266" i="1"/>
  <c r="BH266" i="1"/>
  <c r="BG266" i="1"/>
  <c r="AS266" i="1"/>
  <c r="AQ266" i="1"/>
  <c r="AL266" i="1"/>
  <c r="AN266" i="1" s="1"/>
  <c r="AI266" i="1"/>
  <c r="AG266" i="1"/>
  <c r="P266" i="1"/>
  <c r="O266" i="1"/>
  <c r="BS265" i="1"/>
  <c r="BM265" i="1"/>
  <c r="BL265" i="1"/>
  <c r="BH265" i="1"/>
  <c r="BG265" i="1"/>
  <c r="AT265" i="1"/>
  <c r="AQ265" i="1"/>
  <c r="AN265" i="1"/>
  <c r="AL265" i="1"/>
  <c r="AI265" i="1"/>
  <c r="AS265" i="1" s="1"/>
  <c r="AG265" i="1"/>
  <c r="P265" i="1"/>
  <c r="O265" i="1"/>
  <c r="BS264" i="1"/>
  <c r="BM264" i="1"/>
  <c r="BL264" i="1"/>
  <c r="BH264" i="1"/>
  <c r="BG264" i="1"/>
  <c r="AQ264" i="1"/>
  <c r="AL264" i="1"/>
  <c r="AN264" i="1" s="1"/>
  <c r="AI264" i="1"/>
  <c r="AG264" i="1"/>
  <c r="P264" i="1"/>
  <c r="O264" i="1"/>
  <c r="BS263" i="1"/>
  <c r="BM263" i="1"/>
  <c r="BL263" i="1"/>
  <c r="BH263" i="1"/>
  <c r="BG263" i="1"/>
  <c r="AT263" i="1"/>
  <c r="AS263" i="1"/>
  <c r="AQ263" i="1"/>
  <c r="AN263" i="1"/>
  <c r="AL263" i="1"/>
  <c r="AI263" i="1"/>
  <c r="AR263" i="1" s="1"/>
  <c r="AG263" i="1"/>
  <c r="P263" i="1"/>
  <c r="O263" i="1"/>
  <c r="BS262" i="1"/>
  <c r="BM262" i="1"/>
  <c r="BL262" i="1"/>
  <c r="BH262" i="1"/>
  <c r="BG262" i="1"/>
  <c r="AQ262" i="1"/>
  <c r="AL262" i="1"/>
  <c r="AN262" i="1" s="1"/>
  <c r="AG262" i="1"/>
  <c r="AT262" i="1" s="1"/>
  <c r="P262" i="1"/>
  <c r="O262" i="1"/>
  <c r="BS261" i="1"/>
  <c r="BM261" i="1"/>
  <c r="BL261" i="1"/>
  <c r="BH261" i="1"/>
  <c r="BG261" i="1"/>
  <c r="AQ261" i="1"/>
  <c r="AT261" i="1" s="1"/>
  <c r="AN261" i="1"/>
  <c r="AR261" i="1" s="1"/>
  <c r="AL261" i="1"/>
  <c r="AI261" i="1"/>
  <c r="AS261" i="1" s="1"/>
  <c r="AG261" i="1"/>
  <c r="P261" i="1"/>
  <c r="O261" i="1"/>
  <c r="BS260" i="1"/>
  <c r="BM260" i="1"/>
  <c r="BL260" i="1"/>
  <c r="BH260" i="1"/>
  <c r="BG260" i="1"/>
  <c r="AQ260" i="1"/>
  <c r="AL260" i="1"/>
  <c r="AN260" i="1" s="1"/>
  <c r="AI260" i="1"/>
  <c r="AG260" i="1"/>
  <c r="P260" i="1"/>
  <c r="O260" i="1"/>
  <c r="BS259" i="1"/>
  <c r="BM259" i="1"/>
  <c r="BL259" i="1"/>
  <c r="BH259" i="1"/>
  <c r="BG259" i="1"/>
  <c r="AT259" i="1"/>
  <c r="AQ259" i="1"/>
  <c r="AN259" i="1"/>
  <c r="AL259" i="1"/>
  <c r="AI259" i="1"/>
  <c r="AG259" i="1"/>
  <c r="P259" i="1"/>
  <c r="O259" i="1"/>
  <c r="BS258" i="1"/>
  <c r="BM258" i="1"/>
  <c r="BL258" i="1"/>
  <c r="BH258" i="1"/>
  <c r="BG258" i="1"/>
  <c r="AQ258" i="1"/>
  <c r="AL258" i="1"/>
  <c r="AN258" i="1" s="1"/>
  <c r="AG258" i="1"/>
  <c r="P258" i="1"/>
  <c r="O258" i="1"/>
  <c r="BS257" i="1"/>
  <c r="BM257" i="1"/>
  <c r="BL257" i="1"/>
  <c r="BH257" i="1"/>
  <c r="BG257" i="1"/>
  <c r="AT257" i="1"/>
  <c r="AR257" i="1"/>
  <c r="AQ257" i="1"/>
  <c r="AN257" i="1"/>
  <c r="AL257" i="1"/>
  <c r="AI257" i="1"/>
  <c r="AS257" i="1" s="1"/>
  <c r="AG257" i="1"/>
  <c r="P257" i="1"/>
  <c r="O257" i="1"/>
  <c r="BS256" i="1"/>
  <c r="BM256" i="1"/>
  <c r="BL256" i="1"/>
  <c r="BH256" i="1"/>
  <c r="BG256" i="1"/>
  <c r="AQ256" i="1"/>
  <c r="AL256" i="1"/>
  <c r="AN256" i="1" s="1"/>
  <c r="AG256" i="1"/>
  <c r="P256" i="1"/>
  <c r="O256" i="1"/>
  <c r="BS255" i="1"/>
  <c r="BM255" i="1"/>
  <c r="BL255" i="1"/>
  <c r="BH255" i="1"/>
  <c r="BG255" i="1"/>
  <c r="AS255" i="1"/>
  <c r="AQ255" i="1"/>
  <c r="AT255" i="1" s="1"/>
  <c r="AN255" i="1"/>
  <c r="AL255" i="1"/>
  <c r="AI255" i="1"/>
  <c r="AG255" i="1"/>
  <c r="P255" i="1"/>
  <c r="O255" i="1"/>
  <c r="BS254" i="1"/>
  <c r="BM254" i="1"/>
  <c r="BL254" i="1"/>
  <c r="BH254" i="1"/>
  <c r="BG254" i="1"/>
  <c r="AQ254" i="1"/>
  <c r="AL254" i="1"/>
  <c r="AN254" i="1" s="1"/>
  <c r="AG254" i="1"/>
  <c r="P254" i="1"/>
  <c r="O254" i="1"/>
  <c r="BS253" i="1"/>
  <c r="BM253" i="1"/>
  <c r="BL253" i="1"/>
  <c r="BH253" i="1"/>
  <c r="BG253" i="1"/>
  <c r="AQ253" i="1"/>
  <c r="AT253" i="1" s="1"/>
  <c r="AN253" i="1"/>
  <c r="AL253" i="1"/>
  <c r="AI253" i="1"/>
  <c r="AG253" i="1"/>
  <c r="P253" i="1"/>
  <c r="O253" i="1"/>
  <c r="BS252" i="1"/>
  <c r="BM252" i="1"/>
  <c r="BL252" i="1"/>
  <c r="BH252" i="1"/>
  <c r="BG252" i="1"/>
  <c r="AS252" i="1"/>
  <c r="AQ252" i="1"/>
  <c r="AL252" i="1"/>
  <c r="AN252" i="1" s="1"/>
  <c r="AI252" i="1"/>
  <c r="AG252" i="1"/>
  <c r="P252" i="1"/>
  <c r="O252" i="1"/>
  <c r="BS251" i="1"/>
  <c r="BM251" i="1"/>
  <c r="BL251" i="1"/>
  <c r="BH251" i="1"/>
  <c r="BG251" i="1"/>
  <c r="AQ251" i="1"/>
  <c r="AT251" i="1" s="1"/>
  <c r="AN251" i="1"/>
  <c r="AL251" i="1"/>
  <c r="AI251" i="1"/>
  <c r="AS251" i="1" s="1"/>
  <c r="AG251" i="1"/>
  <c r="P251" i="1"/>
  <c r="O251" i="1"/>
  <c r="BS250" i="1"/>
  <c r="BM250" i="1"/>
  <c r="BL250" i="1"/>
  <c r="BH250" i="1"/>
  <c r="BG250" i="1"/>
  <c r="AQ250" i="1"/>
  <c r="AL250" i="1"/>
  <c r="AN250" i="1" s="1"/>
  <c r="AI250" i="1"/>
  <c r="AG250" i="1"/>
  <c r="P250" i="1"/>
  <c r="O250" i="1"/>
  <c r="BS249" i="1"/>
  <c r="BM249" i="1"/>
  <c r="BL249" i="1"/>
  <c r="BH249" i="1"/>
  <c r="BG249" i="1"/>
  <c r="AT249" i="1"/>
  <c r="AS249" i="1"/>
  <c r="AQ249" i="1"/>
  <c r="AN249" i="1"/>
  <c r="AL249" i="1"/>
  <c r="AI249" i="1"/>
  <c r="AR249" i="1" s="1"/>
  <c r="AG249" i="1"/>
  <c r="P249" i="1"/>
  <c r="O249" i="1"/>
  <c r="BS248" i="1"/>
  <c r="BM248" i="1"/>
  <c r="BL248" i="1"/>
  <c r="BH248" i="1"/>
  <c r="BG248" i="1"/>
  <c r="AQ248" i="1"/>
  <c r="AL248" i="1"/>
  <c r="AN248" i="1" s="1"/>
  <c r="AG248" i="1"/>
  <c r="P248" i="1"/>
  <c r="O248" i="1"/>
  <c r="BS247" i="1"/>
  <c r="BM247" i="1"/>
  <c r="BL247" i="1"/>
  <c r="BH247" i="1"/>
  <c r="BG247" i="1"/>
  <c r="AS247" i="1"/>
  <c r="AR247" i="1"/>
  <c r="AQ247" i="1"/>
  <c r="AT247" i="1" s="1"/>
  <c r="AN247" i="1"/>
  <c r="AL247" i="1"/>
  <c r="AI247" i="1"/>
  <c r="AG247" i="1"/>
  <c r="P247" i="1"/>
  <c r="O247" i="1"/>
  <c r="BS246" i="1"/>
  <c r="BM246" i="1"/>
  <c r="BL246" i="1"/>
  <c r="BH246" i="1"/>
  <c r="BG246" i="1"/>
  <c r="AQ246" i="1"/>
  <c r="AN246" i="1"/>
  <c r="AL246" i="1"/>
  <c r="AG246" i="1"/>
  <c r="AT246" i="1" s="1"/>
  <c r="P246" i="1"/>
  <c r="O246" i="1"/>
  <c r="BS245" i="1"/>
  <c r="BM245" i="1"/>
  <c r="BL245" i="1"/>
  <c r="BH245" i="1"/>
  <c r="BG245" i="1"/>
  <c r="AQ245" i="1"/>
  <c r="AT245" i="1" s="1"/>
  <c r="AN245" i="1"/>
  <c r="AL245" i="1"/>
  <c r="AI245" i="1"/>
  <c r="AG245" i="1"/>
  <c r="P245" i="1"/>
  <c r="O245" i="1"/>
  <c r="BS244" i="1"/>
  <c r="BM244" i="1"/>
  <c r="BL244" i="1"/>
  <c r="BH244" i="1"/>
  <c r="BG244" i="1"/>
  <c r="AS244" i="1"/>
  <c r="AQ244" i="1"/>
  <c r="AN244" i="1"/>
  <c r="AL244" i="1"/>
  <c r="AI244" i="1"/>
  <c r="AG244" i="1"/>
  <c r="P244" i="1"/>
  <c r="O244" i="1"/>
  <c r="BS243" i="1"/>
  <c r="BM243" i="1"/>
  <c r="BL243" i="1"/>
  <c r="BH243" i="1"/>
  <c r="BG243" i="1"/>
  <c r="AT243" i="1"/>
  <c r="AQ243" i="1"/>
  <c r="AN243" i="1"/>
  <c r="AL243" i="1"/>
  <c r="AI243" i="1"/>
  <c r="AG243" i="1"/>
  <c r="P243" i="1"/>
  <c r="O243" i="1"/>
  <c r="BS242" i="1"/>
  <c r="BM242" i="1"/>
  <c r="BL242" i="1"/>
  <c r="BH242" i="1"/>
  <c r="BG242" i="1"/>
  <c r="AQ242" i="1"/>
  <c r="AN242" i="1"/>
  <c r="AS242" i="1" s="1"/>
  <c r="AL242" i="1"/>
  <c r="AI242" i="1"/>
  <c r="AG242" i="1"/>
  <c r="P242" i="1"/>
  <c r="O242" i="1"/>
  <c r="BS241" i="1"/>
  <c r="BM241" i="1"/>
  <c r="BL241" i="1"/>
  <c r="BH241" i="1"/>
  <c r="BG241" i="1"/>
  <c r="AQ241" i="1"/>
  <c r="AT241" i="1" s="1"/>
  <c r="AN241" i="1"/>
  <c r="AL241" i="1"/>
  <c r="AI241" i="1"/>
  <c r="AS241" i="1" s="1"/>
  <c r="AG241" i="1"/>
  <c r="P241" i="1"/>
  <c r="O241" i="1"/>
  <c r="BS240" i="1"/>
  <c r="BM240" i="1"/>
  <c r="BL240" i="1"/>
  <c r="BH240" i="1"/>
  <c r="BG240" i="1"/>
  <c r="AQ240" i="1"/>
  <c r="AL240" i="1"/>
  <c r="AN240" i="1" s="1"/>
  <c r="AI240" i="1"/>
  <c r="AG240" i="1"/>
  <c r="P240" i="1"/>
  <c r="O240" i="1"/>
  <c r="BS239" i="1"/>
  <c r="BM239" i="1"/>
  <c r="BL239" i="1"/>
  <c r="BH239" i="1"/>
  <c r="BG239" i="1"/>
  <c r="AT239" i="1"/>
  <c r="AS239" i="1"/>
  <c r="AQ239" i="1"/>
  <c r="AN239" i="1"/>
  <c r="AL239" i="1"/>
  <c r="AI239" i="1"/>
  <c r="AR239" i="1" s="1"/>
  <c r="AG239" i="1"/>
  <c r="P239" i="1"/>
  <c r="O239" i="1"/>
  <c r="BS238" i="1"/>
  <c r="BM238" i="1"/>
  <c r="BL238" i="1"/>
  <c r="BH238" i="1"/>
  <c r="BG238" i="1"/>
  <c r="AQ238" i="1"/>
  <c r="AL238" i="1"/>
  <c r="AN238" i="1" s="1"/>
  <c r="AG238" i="1"/>
  <c r="P238" i="1"/>
  <c r="O238" i="1"/>
  <c r="BS237" i="1"/>
  <c r="BM237" i="1"/>
  <c r="BL237" i="1"/>
  <c r="BH237" i="1"/>
  <c r="BG237" i="1"/>
  <c r="AS237" i="1"/>
  <c r="AR237" i="1"/>
  <c r="AQ237" i="1"/>
  <c r="AT237" i="1" s="1"/>
  <c r="AN237" i="1"/>
  <c r="AL237" i="1"/>
  <c r="AI237" i="1"/>
  <c r="AG237" i="1"/>
  <c r="P237" i="1"/>
  <c r="O237" i="1"/>
  <c r="BS236" i="1"/>
  <c r="BM236" i="1"/>
  <c r="BL236" i="1"/>
  <c r="BH236" i="1"/>
  <c r="BG236" i="1"/>
  <c r="AQ236" i="1"/>
  <c r="AN236" i="1"/>
  <c r="AL236" i="1"/>
  <c r="AG236" i="1"/>
  <c r="AT236" i="1" s="1"/>
  <c r="P236" i="1"/>
  <c r="O236" i="1"/>
  <c r="BS235" i="1"/>
  <c r="BM235" i="1"/>
  <c r="BL235" i="1"/>
  <c r="BH235" i="1"/>
  <c r="BG235" i="1"/>
  <c r="AQ235" i="1"/>
  <c r="AT235" i="1" s="1"/>
  <c r="AN235" i="1"/>
  <c r="AL235" i="1"/>
  <c r="AI235" i="1"/>
  <c r="AG235" i="1"/>
  <c r="P235" i="1"/>
  <c r="O235" i="1"/>
  <c r="BS234" i="1"/>
  <c r="BM234" i="1"/>
  <c r="BL234" i="1"/>
  <c r="BH234" i="1"/>
  <c r="BG234" i="1"/>
  <c r="AS234" i="1"/>
  <c r="AQ234" i="1"/>
  <c r="AN234" i="1"/>
  <c r="AL234" i="1"/>
  <c r="AI234" i="1"/>
  <c r="AG234" i="1"/>
  <c r="P234" i="1"/>
  <c r="O234" i="1"/>
  <c r="BS233" i="1"/>
  <c r="BM233" i="1"/>
  <c r="BL233" i="1"/>
  <c r="BH233" i="1"/>
  <c r="BG233" i="1"/>
  <c r="AT233" i="1"/>
  <c r="AQ233" i="1"/>
  <c r="AN233" i="1"/>
  <c r="AL233" i="1"/>
  <c r="AI233" i="1"/>
  <c r="AG233" i="1"/>
  <c r="P233" i="1"/>
  <c r="O233" i="1"/>
  <c r="BS232" i="1"/>
  <c r="BM232" i="1"/>
  <c r="BL232" i="1"/>
  <c r="BH232" i="1"/>
  <c r="BG232" i="1"/>
  <c r="AQ232" i="1"/>
  <c r="AN232" i="1"/>
  <c r="AS232" i="1" s="1"/>
  <c r="AL232" i="1"/>
  <c r="AI232" i="1"/>
  <c r="AG232" i="1"/>
  <c r="P232" i="1"/>
  <c r="O232" i="1"/>
  <c r="BS231" i="1"/>
  <c r="BM231" i="1"/>
  <c r="BL231" i="1"/>
  <c r="BH231" i="1"/>
  <c r="BG231" i="1"/>
  <c r="AQ231" i="1"/>
  <c r="AT231" i="1" s="1"/>
  <c r="AN231" i="1"/>
  <c r="AL231" i="1"/>
  <c r="AI231" i="1"/>
  <c r="AS231" i="1" s="1"/>
  <c r="AG231" i="1"/>
  <c r="P231" i="1"/>
  <c r="O231" i="1"/>
  <c r="BS230" i="1"/>
  <c r="BM230" i="1"/>
  <c r="BL230" i="1"/>
  <c r="BH230" i="1"/>
  <c r="BG230" i="1"/>
  <c r="AQ230" i="1"/>
  <c r="AL230" i="1"/>
  <c r="AN230" i="1" s="1"/>
  <c r="AI230" i="1"/>
  <c r="AG230" i="1"/>
  <c r="P230" i="1"/>
  <c r="O230" i="1"/>
  <c r="BS229" i="1"/>
  <c r="BM229" i="1"/>
  <c r="BL229" i="1"/>
  <c r="BH229" i="1"/>
  <c r="BG229" i="1"/>
  <c r="AT229" i="1"/>
  <c r="AS229" i="1"/>
  <c r="AQ229" i="1"/>
  <c r="AN229" i="1"/>
  <c r="AL229" i="1"/>
  <c r="AI229" i="1"/>
  <c r="AR229" i="1" s="1"/>
  <c r="AG229" i="1"/>
  <c r="P229" i="1"/>
  <c r="O229" i="1"/>
  <c r="BS228" i="1"/>
  <c r="BM228" i="1"/>
  <c r="BL228" i="1"/>
  <c r="BH228" i="1"/>
  <c r="BG228" i="1"/>
  <c r="AQ228" i="1"/>
  <c r="AL228" i="1"/>
  <c r="AN228" i="1" s="1"/>
  <c r="AG228" i="1"/>
  <c r="P228" i="1"/>
  <c r="O228" i="1"/>
  <c r="BS227" i="1"/>
  <c r="BM227" i="1"/>
  <c r="BL227" i="1"/>
  <c r="BH227" i="1"/>
  <c r="BG227" i="1"/>
  <c r="AS227" i="1"/>
  <c r="AQ227" i="1"/>
  <c r="AT227" i="1" s="1"/>
  <c r="AN227" i="1"/>
  <c r="AL227" i="1"/>
  <c r="AI227" i="1"/>
  <c r="AG227" i="1"/>
  <c r="P227" i="1"/>
  <c r="O227" i="1"/>
  <c r="BS226" i="1"/>
  <c r="BM226" i="1"/>
  <c r="BL226" i="1"/>
  <c r="BH226" i="1"/>
  <c r="BG226" i="1"/>
  <c r="AQ226" i="1"/>
  <c r="AN226" i="1"/>
  <c r="AL226" i="1"/>
  <c r="AG226" i="1"/>
  <c r="AT226" i="1" s="1"/>
  <c r="P226" i="1"/>
  <c r="O226" i="1"/>
  <c r="BS225" i="1"/>
  <c r="BM225" i="1"/>
  <c r="BL225" i="1"/>
  <c r="BH225" i="1"/>
  <c r="BG225" i="1"/>
  <c r="AQ225" i="1"/>
  <c r="AT225" i="1" s="1"/>
  <c r="AN225" i="1"/>
  <c r="AL225" i="1"/>
  <c r="AI225" i="1"/>
  <c r="AG225" i="1"/>
  <c r="P225" i="1"/>
  <c r="O225" i="1"/>
  <c r="BS224" i="1"/>
  <c r="BM224" i="1"/>
  <c r="BL224" i="1"/>
  <c r="BH224" i="1"/>
  <c r="BG224" i="1"/>
  <c r="AS224" i="1"/>
  <c r="AQ224" i="1"/>
  <c r="AN224" i="1"/>
  <c r="AL224" i="1"/>
  <c r="AI224" i="1"/>
  <c r="AG224" i="1"/>
  <c r="P224" i="1"/>
  <c r="O224" i="1"/>
  <c r="BS223" i="1"/>
  <c r="BM223" i="1"/>
  <c r="BL223" i="1"/>
  <c r="BH223" i="1"/>
  <c r="BG223" i="1"/>
  <c r="AT223" i="1"/>
  <c r="AQ223" i="1"/>
  <c r="AN223" i="1"/>
  <c r="AL223" i="1"/>
  <c r="AI223" i="1"/>
  <c r="AG223" i="1"/>
  <c r="P223" i="1"/>
  <c r="O223" i="1"/>
  <c r="BS222" i="1"/>
  <c r="BM222" i="1"/>
  <c r="BL222" i="1"/>
  <c r="BH222" i="1"/>
  <c r="BG222" i="1"/>
  <c r="AQ222" i="1"/>
  <c r="AN222" i="1"/>
  <c r="AS222" i="1" s="1"/>
  <c r="AL222" i="1"/>
  <c r="AI222" i="1"/>
  <c r="AG222" i="1"/>
  <c r="P222" i="1"/>
  <c r="O222" i="1"/>
  <c r="BS221" i="1"/>
  <c r="BM221" i="1"/>
  <c r="BL221" i="1"/>
  <c r="BH221" i="1"/>
  <c r="BG221" i="1"/>
  <c r="AQ221" i="1"/>
  <c r="AT221" i="1" s="1"/>
  <c r="AN221" i="1"/>
  <c r="AL221" i="1"/>
  <c r="AI221" i="1"/>
  <c r="AS221" i="1" s="1"/>
  <c r="AG221" i="1"/>
  <c r="P221" i="1"/>
  <c r="O221" i="1"/>
  <c r="BS220" i="1"/>
  <c r="BM220" i="1"/>
  <c r="BL220" i="1"/>
  <c r="BH220" i="1"/>
  <c r="BG220" i="1"/>
  <c r="AQ220" i="1"/>
  <c r="AL220" i="1"/>
  <c r="AN220" i="1" s="1"/>
  <c r="AI220" i="1"/>
  <c r="AG220" i="1"/>
  <c r="P220" i="1"/>
  <c r="O220" i="1"/>
  <c r="BS219" i="1"/>
  <c r="BM219" i="1"/>
  <c r="BL219" i="1"/>
  <c r="BH219" i="1"/>
  <c r="BG219" i="1"/>
  <c r="AT219" i="1"/>
  <c r="AS219" i="1"/>
  <c r="AQ219" i="1"/>
  <c r="AN219" i="1"/>
  <c r="AL219" i="1"/>
  <c r="AI219" i="1"/>
  <c r="AR219" i="1" s="1"/>
  <c r="AG219" i="1"/>
  <c r="P219" i="1"/>
  <c r="O219" i="1"/>
  <c r="BS218" i="1"/>
  <c r="BM218" i="1"/>
  <c r="BL218" i="1"/>
  <c r="BH218" i="1"/>
  <c r="BG218" i="1"/>
  <c r="AQ218" i="1"/>
  <c r="AL218" i="1"/>
  <c r="AN218" i="1" s="1"/>
  <c r="AG218" i="1"/>
  <c r="P218" i="1"/>
  <c r="O218" i="1"/>
  <c r="BS217" i="1"/>
  <c r="BM217" i="1"/>
  <c r="BL217" i="1"/>
  <c r="BH217" i="1"/>
  <c r="BG217" i="1"/>
  <c r="AS217" i="1"/>
  <c r="AQ217" i="1"/>
  <c r="AT217" i="1" s="1"/>
  <c r="AN217" i="1"/>
  <c r="AL217" i="1"/>
  <c r="AI217" i="1"/>
  <c r="AG217" i="1"/>
  <c r="P217" i="1"/>
  <c r="O217" i="1"/>
  <c r="BS216" i="1"/>
  <c r="BM216" i="1"/>
  <c r="BL216" i="1"/>
  <c r="BH216" i="1"/>
  <c r="BG216" i="1"/>
  <c r="AQ216" i="1"/>
  <c r="AN216" i="1"/>
  <c r="AL216" i="1"/>
  <c r="AG216" i="1"/>
  <c r="AT216" i="1" s="1"/>
  <c r="P216" i="1"/>
  <c r="O216" i="1"/>
  <c r="BS215" i="1"/>
  <c r="BM215" i="1"/>
  <c r="BL215" i="1"/>
  <c r="BH215" i="1"/>
  <c r="BG215" i="1"/>
  <c r="AQ215" i="1"/>
  <c r="AT215" i="1" s="1"/>
  <c r="AN215" i="1"/>
  <c r="AL215" i="1"/>
  <c r="AI215" i="1"/>
  <c r="AG215" i="1"/>
  <c r="P215" i="1"/>
  <c r="O215" i="1"/>
  <c r="BS214" i="1"/>
  <c r="BM214" i="1"/>
  <c r="BL214" i="1"/>
  <c r="BH214" i="1"/>
  <c r="BG214" i="1"/>
  <c r="AS214" i="1"/>
  <c r="AQ214" i="1"/>
  <c r="AN214" i="1"/>
  <c r="AL214" i="1"/>
  <c r="AI214" i="1"/>
  <c r="AG214" i="1"/>
  <c r="P214" i="1"/>
  <c r="O214" i="1"/>
  <c r="BS213" i="1"/>
  <c r="BM213" i="1"/>
  <c r="BL213" i="1"/>
  <c r="BH213" i="1"/>
  <c r="BG213" i="1"/>
  <c r="AT213" i="1"/>
  <c r="AQ213" i="1"/>
  <c r="AN213" i="1"/>
  <c r="AL213" i="1"/>
  <c r="AI213" i="1"/>
  <c r="AG213" i="1"/>
  <c r="P213" i="1"/>
  <c r="O213" i="1"/>
  <c r="BS212" i="1"/>
  <c r="BM212" i="1"/>
  <c r="BL212" i="1"/>
  <c r="BH212" i="1"/>
  <c r="BG212" i="1"/>
  <c r="AQ212" i="1"/>
  <c r="AN212" i="1"/>
  <c r="AS212" i="1" s="1"/>
  <c r="AL212" i="1"/>
  <c r="AI212" i="1"/>
  <c r="AG212" i="1"/>
  <c r="P212" i="1"/>
  <c r="O212" i="1"/>
  <c r="BS211" i="1"/>
  <c r="BM211" i="1"/>
  <c r="BL211" i="1"/>
  <c r="BH211" i="1"/>
  <c r="BG211" i="1"/>
  <c r="AQ211" i="1"/>
  <c r="AT211" i="1" s="1"/>
  <c r="AN211" i="1"/>
  <c r="AL211" i="1"/>
  <c r="AI211" i="1"/>
  <c r="AS211" i="1" s="1"/>
  <c r="AG211" i="1"/>
  <c r="P211" i="1"/>
  <c r="O211" i="1"/>
  <c r="BS210" i="1"/>
  <c r="BM210" i="1"/>
  <c r="BL210" i="1"/>
  <c r="BH210" i="1"/>
  <c r="BG210" i="1"/>
  <c r="AQ210" i="1"/>
  <c r="AL210" i="1"/>
  <c r="AN210" i="1" s="1"/>
  <c r="AI210" i="1"/>
  <c r="AG210" i="1"/>
  <c r="P210" i="1"/>
  <c r="O210" i="1"/>
  <c r="BS209" i="1"/>
  <c r="BM209" i="1"/>
  <c r="BL209" i="1"/>
  <c r="BH209" i="1"/>
  <c r="BG209" i="1"/>
  <c r="AT209" i="1"/>
  <c r="AS209" i="1"/>
  <c r="AQ209" i="1"/>
  <c r="AN209" i="1"/>
  <c r="AL209" i="1"/>
  <c r="AI209" i="1"/>
  <c r="AR209" i="1" s="1"/>
  <c r="AG209" i="1"/>
  <c r="P209" i="1"/>
  <c r="O209" i="1"/>
  <c r="BS208" i="1"/>
  <c r="BM208" i="1"/>
  <c r="BL208" i="1"/>
  <c r="BH208" i="1"/>
  <c r="BG208" i="1"/>
  <c r="AQ208" i="1"/>
  <c r="AL208" i="1"/>
  <c r="AN208" i="1" s="1"/>
  <c r="AG208" i="1"/>
  <c r="P208" i="1"/>
  <c r="O208" i="1"/>
  <c r="BS207" i="1"/>
  <c r="BM207" i="1"/>
  <c r="BL207" i="1"/>
  <c r="BH207" i="1"/>
  <c r="BG207" i="1"/>
  <c r="AS207" i="1"/>
  <c r="AQ207" i="1"/>
  <c r="AT207" i="1" s="1"/>
  <c r="AN207" i="1"/>
  <c r="AL207" i="1"/>
  <c r="AI207" i="1"/>
  <c r="AG207" i="1"/>
  <c r="P207" i="1"/>
  <c r="O207" i="1"/>
  <c r="BS206" i="1"/>
  <c r="BM206" i="1"/>
  <c r="BL206" i="1"/>
  <c r="BH206" i="1"/>
  <c r="BG206" i="1"/>
  <c r="AQ206" i="1"/>
  <c r="AN206" i="1"/>
  <c r="AL206" i="1"/>
  <c r="AG206" i="1"/>
  <c r="AT206" i="1" s="1"/>
  <c r="P206" i="1"/>
  <c r="O206" i="1"/>
  <c r="BS205" i="1"/>
  <c r="BM205" i="1"/>
  <c r="BL205" i="1"/>
  <c r="BH205" i="1"/>
  <c r="BG205" i="1"/>
  <c r="AQ205" i="1"/>
  <c r="AT205" i="1" s="1"/>
  <c r="AN205" i="1"/>
  <c r="AL205" i="1"/>
  <c r="AI205" i="1"/>
  <c r="AG205" i="1"/>
  <c r="P205" i="1"/>
  <c r="O205" i="1"/>
  <c r="BS204" i="1"/>
  <c r="BM204" i="1"/>
  <c r="BL204" i="1"/>
  <c r="BH204" i="1"/>
  <c r="BG204" i="1"/>
  <c r="AS204" i="1"/>
  <c r="AQ204" i="1"/>
  <c r="AN204" i="1"/>
  <c r="AL204" i="1"/>
  <c r="AI204" i="1"/>
  <c r="AG204" i="1"/>
  <c r="P204" i="1"/>
  <c r="O204" i="1"/>
  <c r="BS203" i="1"/>
  <c r="BM203" i="1"/>
  <c r="BL203" i="1"/>
  <c r="BH203" i="1"/>
  <c r="BG203" i="1"/>
  <c r="AT203" i="1"/>
  <c r="AQ203" i="1"/>
  <c r="AN203" i="1"/>
  <c r="AL203" i="1"/>
  <c r="AI203" i="1"/>
  <c r="AG203" i="1"/>
  <c r="P203" i="1"/>
  <c r="O203" i="1"/>
  <c r="BS202" i="1"/>
  <c r="BM202" i="1"/>
  <c r="BL202" i="1"/>
  <c r="BH202" i="1"/>
  <c r="BG202" i="1"/>
  <c r="AQ202" i="1"/>
  <c r="AN202" i="1"/>
  <c r="AS202" i="1" s="1"/>
  <c r="AL202" i="1"/>
  <c r="AI202" i="1"/>
  <c r="AG202" i="1"/>
  <c r="P202" i="1"/>
  <c r="O202" i="1"/>
  <c r="BS201" i="1"/>
  <c r="BM201" i="1"/>
  <c r="BL201" i="1"/>
  <c r="BH201" i="1"/>
  <c r="BG201" i="1"/>
  <c r="AQ201" i="1"/>
  <c r="AT201" i="1" s="1"/>
  <c r="AN201" i="1"/>
  <c r="AL201" i="1"/>
  <c r="AI201" i="1"/>
  <c r="AS201" i="1" s="1"/>
  <c r="AG201" i="1"/>
  <c r="P201" i="1"/>
  <c r="O201" i="1"/>
  <c r="BS200" i="1"/>
  <c r="BM200" i="1"/>
  <c r="BL200" i="1"/>
  <c r="BH200" i="1"/>
  <c r="BG200" i="1"/>
  <c r="AQ200" i="1"/>
  <c r="AL200" i="1"/>
  <c r="AN200" i="1" s="1"/>
  <c r="AI200" i="1"/>
  <c r="AG200" i="1"/>
  <c r="P200" i="1"/>
  <c r="O200" i="1"/>
  <c r="BS199" i="1"/>
  <c r="BM199" i="1"/>
  <c r="BL199" i="1"/>
  <c r="BH199" i="1"/>
  <c r="BG199" i="1"/>
  <c r="AT199" i="1"/>
  <c r="AS199" i="1"/>
  <c r="AQ199" i="1"/>
  <c r="AN199" i="1"/>
  <c r="AL199" i="1"/>
  <c r="AI199" i="1"/>
  <c r="AR199" i="1" s="1"/>
  <c r="AG199" i="1"/>
  <c r="P199" i="1"/>
  <c r="O199" i="1"/>
  <c r="BS198" i="1"/>
  <c r="BM198" i="1"/>
  <c r="BL198" i="1"/>
  <c r="BH198" i="1"/>
  <c r="BG198" i="1"/>
  <c r="AQ198" i="1"/>
  <c r="AL198" i="1"/>
  <c r="AN198" i="1" s="1"/>
  <c r="AG198" i="1"/>
  <c r="P198" i="1"/>
  <c r="O198" i="1"/>
  <c r="BS197" i="1"/>
  <c r="BM197" i="1"/>
  <c r="BL197" i="1"/>
  <c r="BH197" i="1"/>
  <c r="BG197" i="1"/>
  <c r="AS197" i="1"/>
  <c r="AR197" i="1"/>
  <c r="AQ197" i="1"/>
  <c r="AT197" i="1" s="1"/>
  <c r="AN197" i="1"/>
  <c r="AL197" i="1"/>
  <c r="AI197" i="1"/>
  <c r="AG197" i="1"/>
  <c r="P197" i="1"/>
  <c r="O197" i="1"/>
  <c r="BS196" i="1"/>
  <c r="BM196" i="1"/>
  <c r="BL196" i="1"/>
  <c r="BH196" i="1"/>
  <c r="BG196" i="1"/>
  <c r="AQ196" i="1"/>
  <c r="AN196" i="1"/>
  <c r="AL196" i="1"/>
  <c r="AG196" i="1"/>
  <c r="AT196" i="1" s="1"/>
  <c r="P196" i="1"/>
  <c r="O196" i="1"/>
  <c r="BS195" i="1"/>
  <c r="BM195" i="1"/>
  <c r="BL195" i="1"/>
  <c r="BH195" i="1"/>
  <c r="BG195" i="1"/>
  <c r="AQ195" i="1"/>
  <c r="AT195" i="1" s="1"/>
  <c r="AN195" i="1"/>
  <c r="AL195" i="1"/>
  <c r="AI195" i="1"/>
  <c r="AG195" i="1"/>
  <c r="P195" i="1"/>
  <c r="O195" i="1"/>
  <c r="BS194" i="1"/>
  <c r="BM194" i="1"/>
  <c r="BL194" i="1"/>
  <c r="BH194" i="1"/>
  <c r="BG194" i="1"/>
  <c r="AS194" i="1"/>
  <c r="AQ194" i="1"/>
  <c r="AN194" i="1"/>
  <c r="AL194" i="1"/>
  <c r="AI194" i="1"/>
  <c r="AG194" i="1"/>
  <c r="P194" i="1"/>
  <c r="O194" i="1"/>
  <c r="BS193" i="1"/>
  <c r="BM193" i="1"/>
  <c r="BL193" i="1"/>
  <c r="BH193" i="1"/>
  <c r="BG193" i="1"/>
  <c r="AT193" i="1"/>
  <c r="AQ193" i="1"/>
  <c r="AN193" i="1"/>
  <c r="AL193" i="1"/>
  <c r="AI193" i="1"/>
  <c r="AG193" i="1"/>
  <c r="P193" i="1"/>
  <c r="O193" i="1"/>
  <c r="BS192" i="1"/>
  <c r="BM192" i="1"/>
  <c r="BL192" i="1"/>
  <c r="BH192" i="1"/>
  <c r="BG192" i="1"/>
  <c r="AQ192" i="1"/>
  <c r="AN192" i="1"/>
  <c r="AS192" i="1" s="1"/>
  <c r="AL192" i="1"/>
  <c r="AI192" i="1"/>
  <c r="AG192" i="1"/>
  <c r="P192" i="1"/>
  <c r="O192" i="1"/>
  <c r="BS191" i="1"/>
  <c r="BM191" i="1"/>
  <c r="BL191" i="1"/>
  <c r="BH191" i="1"/>
  <c r="BG191" i="1"/>
  <c r="AQ191" i="1"/>
  <c r="AT191" i="1" s="1"/>
  <c r="AN191" i="1"/>
  <c r="AL191" i="1"/>
  <c r="AI191" i="1"/>
  <c r="AS191" i="1" s="1"/>
  <c r="AG191" i="1"/>
  <c r="P191" i="1"/>
  <c r="O191" i="1"/>
  <c r="BS190" i="1"/>
  <c r="BM190" i="1"/>
  <c r="BL190" i="1"/>
  <c r="BH190" i="1"/>
  <c r="BG190" i="1"/>
  <c r="AQ190" i="1"/>
  <c r="AL190" i="1"/>
  <c r="AN190" i="1" s="1"/>
  <c r="AI190" i="1"/>
  <c r="AG190" i="1"/>
  <c r="P190" i="1"/>
  <c r="O190" i="1"/>
  <c r="BS189" i="1"/>
  <c r="BM189" i="1"/>
  <c r="BL189" i="1"/>
  <c r="BH189" i="1"/>
  <c r="BG189" i="1"/>
  <c r="AT189" i="1"/>
  <c r="AS189" i="1"/>
  <c r="AQ189" i="1"/>
  <c r="AN189" i="1"/>
  <c r="AL189" i="1"/>
  <c r="AI189" i="1"/>
  <c r="AR189" i="1" s="1"/>
  <c r="AG189" i="1"/>
  <c r="P189" i="1"/>
  <c r="O189" i="1"/>
  <c r="BS188" i="1"/>
  <c r="BM188" i="1"/>
  <c r="BL188" i="1"/>
  <c r="BH188" i="1"/>
  <c r="BG188" i="1"/>
  <c r="AQ188" i="1"/>
  <c r="AL188" i="1"/>
  <c r="AN188" i="1" s="1"/>
  <c r="AG188" i="1"/>
  <c r="P188" i="1"/>
  <c r="O188" i="1"/>
  <c r="BS187" i="1"/>
  <c r="BM187" i="1"/>
  <c r="BL187" i="1"/>
  <c r="BH187" i="1"/>
  <c r="BG187" i="1"/>
  <c r="AS187" i="1"/>
  <c r="AR187" i="1"/>
  <c r="AQ187" i="1"/>
  <c r="AT187" i="1" s="1"/>
  <c r="AN187" i="1"/>
  <c r="AL187" i="1"/>
  <c r="AI187" i="1"/>
  <c r="AG187" i="1"/>
  <c r="P187" i="1"/>
  <c r="O187" i="1"/>
  <c r="BS186" i="1"/>
  <c r="BM186" i="1"/>
  <c r="BL186" i="1"/>
  <c r="BH186" i="1"/>
  <c r="BG186" i="1"/>
  <c r="AQ186" i="1"/>
  <c r="AN186" i="1"/>
  <c r="AL186" i="1"/>
  <c r="AG186" i="1"/>
  <c r="AT186" i="1" s="1"/>
  <c r="P186" i="1"/>
  <c r="O186" i="1"/>
  <c r="BS185" i="1"/>
  <c r="BM185" i="1"/>
  <c r="BL185" i="1"/>
  <c r="BH185" i="1"/>
  <c r="BG185" i="1"/>
  <c r="AQ185" i="1"/>
  <c r="AT185" i="1" s="1"/>
  <c r="AN185" i="1"/>
  <c r="AL185" i="1"/>
  <c r="AI185" i="1"/>
  <c r="AG185" i="1"/>
  <c r="P185" i="1"/>
  <c r="O185" i="1"/>
  <c r="BS184" i="1"/>
  <c r="BM184" i="1"/>
  <c r="BL184" i="1"/>
  <c r="BH184" i="1"/>
  <c r="BG184" i="1"/>
  <c r="AS184" i="1"/>
  <c r="AQ184" i="1"/>
  <c r="AN184" i="1"/>
  <c r="AL184" i="1"/>
  <c r="AI184" i="1"/>
  <c r="AG184" i="1"/>
  <c r="P184" i="1"/>
  <c r="O184" i="1"/>
  <c r="BS183" i="1"/>
  <c r="BM183" i="1"/>
  <c r="BL183" i="1"/>
  <c r="BH183" i="1"/>
  <c r="BG183" i="1"/>
  <c r="AT183" i="1"/>
  <c r="AQ183" i="1"/>
  <c r="AN183" i="1"/>
  <c r="AL183" i="1"/>
  <c r="AI183" i="1"/>
  <c r="AG183" i="1"/>
  <c r="P183" i="1"/>
  <c r="O183" i="1"/>
  <c r="BS182" i="1"/>
  <c r="BM182" i="1"/>
  <c r="BL182" i="1"/>
  <c r="BH182" i="1"/>
  <c r="BG182" i="1"/>
  <c r="AQ182" i="1"/>
  <c r="AN182" i="1"/>
  <c r="AS182" i="1" s="1"/>
  <c r="AL182" i="1"/>
  <c r="AI182" i="1"/>
  <c r="AG182" i="1"/>
  <c r="P182" i="1"/>
  <c r="O182" i="1"/>
  <c r="BS181" i="1"/>
  <c r="BM181" i="1"/>
  <c r="BL181" i="1"/>
  <c r="BH181" i="1"/>
  <c r="BG181" i="1"/>
  <c r="AQ181" i="1"/>
  <c r="AT181" i="1" s="1"/>
  <c r="AN181" i="1"/>
  <c r="AL181" i="1"/>
  <c r="AI181" i="1"/>
  <c r="AS181" i="1" s="1"/>
  <c r="AG181" i="1"/>
  <c r="P181" i="1"/>
  <c r="O181" i="1"/>
  <c r="BS180" i="1"/>
  <c r="BM180" i="1"/>
  <c r="BL180" i="1"/>
  <c r="BH180" i="1"/>
  <c r="BG180" i="1"/>
  <c r="AQ180" i="1"/>
  <c r="AL180" i="1"/>
  <c r="AN180" i="1" s="1"/>
  <c r="AI180" i="1"/>
  <c r="AG180" i="1"/>
  <c r="P180" i="1"/>
  <c r="O180" i="1"/>
  <c r="BS179" i="1"/>
  <c r="BM179" i="1"/>
  <c r="BL179" i="1"/>
  <c r="BH179" i="1"/>
  <c r="BG179" i="1"/>
  <c r="AT179" i="1"/>
  <c r="AS179" i="1"/>
  <c r="AQ179" i="1"/>
  <c r="AN179" i="1"/>
  <c r="AL179" i="1"/>
  <c r="AI179" i="1"/>
  <c r="AR179" i="1" s="1"/>
  <c r="AG179" i="1"/>
  <c r="P179" i="1"/>
  <c r="O179" i="1"/>
  <c r="BS178" i="1"/>
  <c r="BM178" i="1"/>
  <c r="BL178" i="1"/>
  <c r="BH178" i="1"/>
  <c r="BG178" i="1"/>
  <c r="AQ178" i="1"/>
  <c r="AL178" i="1"/>
  <c r="AN178" i="1" s="1"/>
  <c r="AG178" i="1"/>
  <c r="P178" i="1"/>
  <c r="O178" i="1"/>
  <c r="BS177" i="1"/>
  <c r="BM177" i="1"/>
  <c r="BL177" i="1"/>
  <c r="BH177" i="1"/>
  <c r="BG177" i="1"/>
  <c r="AS177" i="1"/>
  <c r="AQ177" i="1"/>
  <c r="AT177" i="1" s="1"/>
  <c r="AN177" i="1"/>
  <c r="AL177" i="1"/>
  <c r="AI177" i="1"/>
  <c r="AG177" i="1"/>
  <c r="P177" i="1"/>
  <c r="O177" i="1"/>
  <c r="BS176" i="1"/>
  <c r="BM176" i="1"/>
  <c r="BL176" i="1"/>
  <c r="BH176" i="1"/>
  <c r="BG176" i="1"/>
  <c r="AQ176" i="1"/>
  <c r="AN176" i="1"/>
  <c r="AL176" i="1"/>
  <c r="AG176" i="1"/>
  <c r="AT176" i="1" s="1"/>
  <c r="P176" i="1"/>
  <c r="O176" i="1"/>
  <c r="BS175" i="1"/>
  <c r="BM175" i="1"/>
  <c r="BL175" i="1"/>
  <c r="BH175" i="1"/>
  <c r="BG175" i="1"/>
  <c r="AQ175" i="1"/>
  <c r="AT175" i="1" s="1"/>
  <c r="AN175" i="1"/>
  <c r="AL175" i="1"/>
  <c r="AI175" i="1"/>
  <c r="AG175" i="1"/>
  <c r="P175" i="1"/>
  <c r="O175" i="1"/>
  <c r="BS174" i="1"/>
  <c r="BM174" i="1"/>
  <c r="BL174" i="1"/>
  <c r="BH174" i="1"/>
  <c r="BG174" i="1"/>
  <c r="AS174" i="1"/>
  <c r="AQ174" i="1"/>
  <c r="AN174" i="1"/>
  <c r="AL174" i="1"/>
  <c r="AI174" i="1"/>
  <c r="AG174" i="1"/>
  <c r="P174" i="1"/>
  <c r="O174" i="1"/>
  <c r="BS173" i="1"/>
  <c r="BM173" i="1"/>
  <c r="BL173" i="1"/>
  <c r="BH173" i="1"/>
  <c r="BG173" i="1"/>
  <c r="AT173" i="1"/>
  <c r="AQ173" i="1"/>
  <c r="AN173" i="1"/>
  <c r="AL173" i="1"/>
  <c r="AI173" i="1"/>
  <c r="AG173" i="1"/>
  <c r="P173" i="1"/>
  <c r="O173" i="1"/>
  <c r="BS172" i="1"/>
  <c r="BM172" i="1"/>
  <c r="BL172" i="1"/>
  <c r="BH172" i="1"/>
  <c r="BG172" i="1"/>
  <c r="AQ172" i="1"/>
  <c r="AN172" i="1"/>
  <c r="AS172" i="1" s="1"/>
  <c r="AL172" i="1"/>
  <c r="AI172" i="1"/>
  <c r="AG172" i="1"/>
  <c r="P172" i="1"/>
  <c r="O172" i="1"/>
  <c r="BS171" i="1"/>
  <c r="BM171" i="1"/>
  <c r="BL171" i="1"/>
  <c r="BH171" i="1"/>
  <c r="BG171" i="1"/>
  <c r="AQ171" i="1"/>
  <c r="AT171" i="1" s="1"/>
  <c r="AN171" i="1"/>
  <c r="AL171" i="1"/>
  <c r="AI171" i="1"/>
  <c r="AS171" i="1" s="1"/>
  <c r="AG171" i="1"/>
  <c r="P171" i="1"/>
  <c r="O171" i="1"/>
  <c r="BS170" i="1"/>
  <c r="BM170" i="1"/>
  <c r="BL170" i="1"/>
  <c r="BH170" i="1"/>
  <c r="BG170" i="1"/>
  <c r="AQ170" i="1"/>
  <c r="AL170" i="1"/>
  <c r="AN170" i="1" s="1"/>
  <c r="AI170" i="1"/>
  <c r="AG170" i="1"/>
  <c r="P170" i="1"/>
  <c r="O170" i="1"/>
  <c r="BS169" i="1"/>
  <c r="BM169" i="1"/>
  <c r="BL169" i="1"/>
  <c r="BH169" i="1"/>
  <c r="BG169" i="1"/>
  <c r="AT169" i="1"/>
  <c r="AS169" i="1"/>
  <c r="AQ169" i="1"/>
  <c r="AN169" i="1"/>
  <c r="AL169" i="1"/>
  <c r="AI169" i="1"/>
  <c r="AR169" i="1" s="1"/>
  <c r="AG169" i="1"/>
  <c r="P169" i="1"/>
  <c r="O169" i="1"/>
  <c r="BS168" i="1"/>
  <c r="BM168" i="1"/>
  <c r="BL168" i="1"/>
  <c r="BH168" i="1"/>
  <c r="BG168" i="1"/>
  <c r="AQ168" i="1"/>
  <c r="AL168" i="1"/>
  <c r="AN168" i="1" s="1"/>
  <c r="AG168" i="1"/>
  <c r="P168" i="1"/>
  <c r="O168" i="1"/>
  <c r="BS167" i="1"/>
  <c r="BM167" i="1"/>
  <c r="BL167" i="1"/>
  <c r="BH167" i="1"/>
  <c r="BG167" i="1"/>
  <c r="AS167" i="1"/>
  <c r="AQ167" i="1"/>
  <c r="AT167" i="1" s="1"/>
  <c r="AN167" i="1"/>
  <c r="AL167" i="1"/>
  <c r="AI167" i="1"/>
  <c r="AG167" i="1"/>
  <c r="P167" i="1"/>
  <c r="O167" i="1"/>
  <c r="BS166" i="1"/>
  <c r="BM166" i="1"/>
  <c r="BL166" i="1"/>
  <c r="BH166" i="1"/>
  <c r="BG166" i="1"/>
  <c r="AQ166" i="1"/>
  <c r="AN166" i="1"/>
  <c r="AL166" i="1"/>
  <c r="AG166" i="1"/>
  <c r="AT166" i="1" s="1"/>
  <c r="P166" i="1"/>
  <c r="O166" i="1"/>
  <c r="BS165" i="1"/>
  <c r="BM165" i="1"/>
  <c r="BL165" i="1"/>
  <c r="BH165" i="1"/>
  <c r="BG165" i="1"/>
  <c r="AQ165" i="1"/>
  <c r="AT165" i="1" s="1"/>
  <c r="AN165" i="1"/>
  <c r="AL165" i="1"/>
  <c r="AI165" i="1"/>
  <c r="AG165" i="1"/>
  <c r="P165" i="1"/>
  <c r="O165" i="1"/>
  <c r="BS164" i="1"/>
  <c r="BM164" i="1"/>
  <c r="BL164" i="1"/>
  <c r="BH164" i="1"/>
  <c r="BG164" i="1"/>
  <c r="AS164" i="1"/>
  <c r="AQ164" i="1"/>
  <c r="AN164" i="1"/>
  <c r="AL164" i="1"/>
  <c r="AI164" i="1"/>
  <c r="AG164" i="1"/>
  <c r="P164" i="1"/>
  <c r="O164" i="1"/>
  <c r="BS163" i="1"/>
  <c r="BM163" i="1"/>
  <c r="BL163" i="1"/>
  <c r="BH163" i="1"/>
  <c r="BG163" i="1"/>
  <c r="AT163" i="1"/>
  <c r="AQ163" i="1"/>
  <c r="AN163" i="1"/>
  <c r="AL163" i="1"/>
  <c r="AI163" i="1"/>
  <c r="AG163" i="1"/>
  <c r="P163" i="1"/>
  <c r="O163" i="1"/>
  <c r="BS162" i="1"/>
  <c r="BM162" i="1"/>
  <c r="BL162" i="1"/>
  <c r="BH162" i="1"/>
  <c r="BG162" i="1"/>
  <c r="AQ162" i="1"/>
  <c r="AN162" i="1"/>
  <c r="AS162" i="1" s="1"/>
  <c r="AL162" i="1"/>
  <c r="AI162" i="1"/>
  <c r="AG162" i="1"/>
  <c r="P162" i="1"/>
  <c r="O162" i="1"/>
  <c r="BS161" i="1"/>
  <c r="BM161" i="1"/>
  <c r="BL161" i="1"/>
  <c r="BH161" i="1"/>
  <c r="BG161" i="1"/>
  <c r="AQ161" i="1"/>
  <c r="AT161" i="1" s="1"/>
  <c r="AN161" i="1"/>
  <c r="AL161" i="1"/>
  <c r="AI161" i="1"/>
  <c r="AS161" i="1" s="1"/>
  <c r="AG161" i="1"/>
  <c r="P161" i="1"/>
  <c r="O161" i="1"/>
  <c r="BS160" i="1"/>
  <c r="BM160" i="1"/>
  <c r="BL160" i="1"/>
  <c r="BH160" i="1"/>
  <c r="BG160" i="1"/>
  <c r="AQ160" i="1"/>
  <c r="AL160" i="1"/>
  <c r="AN160" i="1" s="1"/>
  <c r="AI160" i="1"/>
  <c r="AG160" i="1"/>
  <c r="P160" i="1"/>
  <c r="O160" i="1"/>
  <c r="BS159" i="1"/>
  <c r="BM159" i="1"/>
  <c r="BL159" i="1"/>
  <c r="BH159" i="1"/>
  <c r="BG159" i="1"/>
  <c r="AT159" i="1"/>
  <c r="AS159" i="1"/>
  <c r="AQ159" i="1"/>
  <c r="AN159" i="1"/>
  <c r="AL159" i="1"/>
  <c r="AI159" i="1"/>
  <c r="AR159" i="1" s="1"/>
  <c r="AG159" i="1"/>
  <c r="P159" i="1"/>
  <c r="O159" i="1"/>
  <c r="BS158" i="1"/>
  <c r="BM158" i="1"/>
  <c r="BL158" i="1"/>
  <c r="BH158" i="1"/>
  <c r="BG158" i="1"/>
  <c r="AQ158" i="1"/>
  <c r="AL158" i="1"/>
  <c r="AN158" i="1" s="1"/>
  <c r="AG158" i="1"/>
  <c r="P158" i="1"/>
  <c r="O158" i="1"/>
  <c r="BS157" i="1"/>
  <c r="BM157" i="1"/>
  <c r="BL157" i="1"/>
  <c r="BH157" i="1"/>
  <c r="BG157" i="1"/>
  <c r="AS157" i="1"/>
  <c r="AQ157" i="1"/>
  <c r="AT157" i="1" s="1"/>
  <c r="AN157" i="1"/>
  <c r="AL157" i="1"/>
  <c r="AI157" i="1"/>
  <c r="AG157" i="1"/>
  <c r="P157" i="1"/>
  <c r="O157" i="1"/>
  <c r="BS156" i="1"/>
  <c r="BM156" i="1"/>
  <c r="BL156" i="1"/>
  <c r="BH156" i="1"/>
  <c r="BG156" i="1"/>
  <c r="AQ156" i="1"/>
  <c r="AN156" i="1"/>
  <c r="AL156" i="1"/>
  <c r="AG156" i="1"/>
  <c r="AT156" i="1" s="1"/>
  <c r="P156" i="1"/>
  <c r="O156" i="1"/>
  <c r="BS155" i="1"/>
  <c r="BM155" i="1"/>
  <c r="BL155" i="1"/>
  <c r="BH155" i="1"/>
  <c r="BG155" i="1"/>
  <c r="AQ155" i="1"/>
  <c r="AT155" i="1" s="1"/>
  <c r="AN155" i="1"/>
  <c r="AL155" i="1"/>
  <c r="AI155" i="1"/>
  <c r="AG155" i="1"/>
  <c r="P155" i="1"/>
  <c r="O155" i="1"/>
  <c r="BS154" i="1"/>
  <c r="BM154" i="1"/>
  <c r="BL154" i="1"/>
  <c r="BH154" i="1"/>
  <c r="BG154" i="1"/>
  <c r="AS154" i="1"/>
  <c r="AQ154" i="1"/>
  <c r="AN154" i="1"/>
  <c r="AL154" i="1"/>
  <c r="AI154" i="1"/>
  <c r="AG154" i="1"/>
  <c r="P154" i="1"/>
  <c r="O154" i="1"/>
  <c r="BS153" i="1"/>
  <c r="BM153" i="1"/>
  <c r="BL153" i="1"/>
  <c r="BH153" i="1"/>
  <c r="BG153" i="1"/>
  <c r="AT153" i="1"/>
  <c r="AQ153" i="1"/>
  <c r="AN153" i="1"/>
  <c r="AL153" i="1"/>
  <c r="AI153" i="1"/>
  <c r="AG153" i="1"/>
  <c r="P153" i="1"/>
  <c r="O153" i="1"/>
  <c r="BS152" i="1"/>
  <c r="BM152" i="1"/>
  <c r="BL152" i="1"/>
  <c r="BH152" i="1"/>
  <c r="BG152" i="1"/>
  <c r="AQ152" i="1"/>
  <c r="AN152" i="1"/>
  <c r="AS152" i="1" s="1"/>
  <c r="AL152" i="1"/>
  <c r="AI152" i="1"/>
  <c r="AG152" i="1"/>
  <c r="P152" i="1"/>
  <c r="O152" i="1"/>
  <c r="BS151" i="1"/>
  <c r="BM151" i="1"/>
  <c r="BL151" i="1"/>
  <c r="BH151" i="1"/>
  <c r="BG151" i="1"/>
  <c r="AQ151" i="1"/>
  <c r="AT151" i="1" s="1"/>
  <c r="AN151" i="1"/>
  <c r="AL151" i="1"/>
  <c r="AI151" i="1"/>
  <c r="AS151" i="1" s="1"/>
  <c r="AG151" i="1"/>
  <c r="P151" i="1"/>
  <c r="O151" i="1"/>
  <c r="BS150" i="1"/>
  <c r="BM150" i="1"/>
  <c r="BL150" i="1"/>
  <c r="BH150" i="1"/>
  <c r="BG150" i="1"/>
  <c r="AQ150" i="1"/>
  <c r="AL150" i="1"/>
  <c r="AN150" i="1" s="1"/>
  <c r="AI150" i="1"/>
  <c r="AG150" i="1"/>
  <c r="P150" i="1"/>
  <c r="O150" i="1"/>
  <c r="BS149" i="1"/>
  <c r="BM149" i="1"/>
  <c r="BL149" i="1"/>
  <c r="BH149" i="1"/>
  <c r="BG149" i="1"/>
  <c r="AT149" i="1"/>
  <c r="AS149" i="1"/>
  <c r="AQ149" i="1"/>
  <c r="AN149" i="1"/>
  <c r="AL149" i="1"/>
  <c r="AI149" i="1"/>
  <c r="AR149" i="1" s="1"/>
  <c r="AG149" i="1"/>
  <c r="P149" i="1"/>
  <c r="O149" i="1"/>
  <c r="BS148" i="1"/>
  <c r="BM148" i="1"/>
  <c r="BL148" i="1"/>
  <c r="BH148" i="1"/>
  <c r="BG148" i="1"/>
  <c r="AQ148" i="1"/>
  <c r="AL148" i="1"/>
  <c r="AN148" i="1" s="1"/>
  <c r="AG148" i="1"/>
  <c r="P148" i="1"/>
  <c r="O148" i="1"/>
  <c r="BS147" i="1"/>
  <c r="BM147" i="1"/>
  <c r="BL147" i="1"/>
  <c r="BH147" i="1"/>
  <c r="BG147" i="1"/>
  <c r="AS147" i="1"/>
  <c r="AR147" i="1"/>
  <c r="AQ147" i="1"/>
  <c r="AT147" i="1" s="1"/>
  <c r="AN147" i="1"/>
  <c r="AL147" i="1"/>
  <c r="AI147" i="1"/>
  <c r="AG147" i="1"/>
  <c r="P147" i="1"/>
  <c r="O147" i="1"/>
  <c r="BS146" i="1"/>
  <c r="BM146" i="1"/>
  <c r="BL146" i="1"/>
  <c r="BH146" i="1"/>
  <c r="BG146" i="1"/>
  <c r="AQ146" i="1"/>
  <c r="AN146" i="1"/>
  <c r="AL146" i="1"/>
  <c r="AG146" i="1"/>
  <c r="AT146" i="1" s="1"/>
  <c r="P146" i="1"/>
  <c r="O146" i="1"/>
  <c r="BS145" i="1"/>
  <c r="BM145" i="1"/>
  <c r="BL145" i="1"/>
  <c r="BH145" i="1"/>
  <c r="BG145" i="1"/>
  <c r="AQ145" i="1"/>
  <c r="AT145" i="1" s="1"/>
  <c r="AN145" i="1"/>
  <c r="AL145" i="1"/>
  <c r="AI145" i="1"/>
  <c r="AG145" i="1"/>
  <c r="P145" i="1"/>
  <c r="O145" i="1"/>
  <c r="BS144" i="1"/>
  <c r="BM144" i="1"/>
  <c r="BL144" i="1"/>
  <c r="BH144" i="1"/>
  <c r="BG144" i="1"/>
  <c r="AS144" i="1"/>
  <c r="AQ144" i="1"/>
  <c r="AN144" i="1"/>
  <c r="AL144" i="1"/>
  <c r="AI144" i="1"/>
  <c r="AG144" i="1"/>
  <c r="P144" i="1"/>
  <c r="O144" i="1"/>
  <c r="BS143" i="1"/>
  <c r="BM143" i="1"/>
  <c r="BL143" i="1"/>
  <c r="BH143" i="1"/>
  <c r="BG143" i="1"/>
  <c r="AT143" i="1"/>
  <c r="AQ143" i="1"/>
  <c r="AN143" i="1"/>
  <c r="AL143" i="1"/>
  <c r="AI143" i="1"/>
  <c r="AG143" i="1"/>
  <c r="P143" i="1"/>
  <c r="O143" i="1"/>
  <c r="BS142" i="1"/>
  <c r="BM142" i="1"/>
  <c r="BL142" i="1"/>
  <c r="BH142" i="1"/>
  <c r="BG142" i="1"/>
  <c r="AQ142" i="1"/>
  <c r="AN142" i="1"/>
  <c r="AS142" i="1" s="1"/>
  <c r="AL142" i="1"/>
  <c r="AI142" i="1"/>
  <c r="AG142" i="1"/>
  <c r="P142" i="1"/>
  <c r="O142" i="1"/>
  <c r="BS141" i="1"/>
  <c r="BM141" i="1"/>
  <c r="BL141" i="1"/>
  <c r="BH141" i="1"/>
  <c r="BG141" i="1"/>
  <c r="AQ141" i="1"/>
  <c r="AT141" i="1" s="1"/>
  <c r="AN141" i="1"/>
  <c r="AL141" i="1"/>
  <c r="AI141" i="1"/>
  <c r="AS141" i="1" s="1"/>
  <c r="AG141" i="1"/>
  <c r="P141" i="1"/>
  <c r="O141" i="1"/>
  <c r="BS140" i="1"/>
  <c r="BM140" i="1"/>
  <c r="BL140" i="1"/>
  <c r="BH140" i="1"/>
  <c r="BG140" i="1"/>
  <c r="AQ140" i="1"/>
  <c r="AL140" i="1"/>
  <c r="AN140" i="1" s="1"/>
  <c r="AI140" i="1"/>
  <c r="AG140" i="1"/>
  <c r="P140" i="1"/>
  <c r="O140" i="1"/>
  <c r="BS139" i="1"/>
  <c r="BM139" i="1"/>
  <c r="BL139" i="1"/>
  <c r="BH139" i="1"/>
  <c r="BG139" i="1"/>
  <c r="AT139" i="1"/>
  <c r="AS139" i="1"/>
  <c r="AQ139" i="1"/>
  <c r="AN139" i="1"/>
  <c r="AL139" i="1"/>
  <c r="AI139" i="1"/>
  <c r="AR139" i="1" s="1"/>
  <c r="AG139" i="1"/>
  <c r="P139" i="1"/>
  <c r="O139" i="1"/>
  <c r="BS138" i="1"/>
  <c r="BM138" i="1"/>
  <c r="BL138" i="1"/>
  <c r="BH138" i="1"/>
  <c r="BG138" i="1"/>
  <c r="AQ138" i="1"/>
  <c r="AL138" i="1"/>
  <c r="AN138" i="1" s="1"/>
  <c r="AG138" i="1"/>
  <c r="P138" i="1"/>
  <c r="O138" i="1"/>
  <c r="BS137" i="1"/>
  <c r="BM137" i="1"/>
  <c r="BL137" i="1"/>
  <c r="BH137" i="1"/>
  <c r="BG137" i="1"/>
  <c r="AS137" i="1"/>
  <c r="AR137" i="1"/>
  <c r="AQ137" i="1"/>
  <c r="AT137" i="1" s="1"/>
  <c r="AN137" i="1"/>
  <c r="AL137" i="1"/>
  <c r="AI137" i="1"/>
  <c r="AG137" i="1"/>
  <c r="P137" i="1"/>
  <c r="O137" i="1"/>
  <c r="BS136" i="1"/>
  <c r="BM136" i="1"/>
  <c r="BL136" i="1"/>
  <c r="BH136" i="1"/>
  <c r="BG136" i="1"/>
  <c r="AQ136" i="1"/>
  <c r="AN136" i="1"/>
  <c r="AL136" i="1"/>
  <c r="AG136" i="1"/>
  <c r="AT136" i="1" s="1"/>
  <c r="P136" i="1"/>
  <c r="O136" i="1"/>
  <c r="BS135" i="1"/>
  <c r="BM135" i="1"/>
  <c r="BL135" i="1"/>
  <c r="BH135" i="1"/>
  <c r="BG135" i="1"/>
  <c r="AQ135" i="1"/>
  <c r="AT135" i="1" s="1"/>
  <c r="AN135" i="1"/>
  <c r="AL135" i="1"/>
  <c r="AI135" i="1"/>
  <c r="AG135" i="1"/>
  <c r="P135" i="1"/>
  <c r="O135" i="1"/>
  <c r="BS134" i="1"/>
  <c r="BM134" i="1"/>
  <c r="BL134" i="1"/>
  <c r="BH134" i="1"/>
  <c r="BG134" i="1"/>
  <c r="AS134" i="1"/>
  <c r="AQ134" i="1"/>
  <c r="AN134" i="1"/>
  <c r="AL134" i="1"/>
  <c r="AI134" i="1"/>
  <c r="AG134" i="1"/>
  <c r="P134" i="1"/>
  <c r="O134" i="1"/>
  <c r="BS133" i="1"/>
  <c r="BM133" i="1"/>
  <c r="BL133" i="1"/>
  <c r="BH133" i="1"/>
  <c r="BG133" i="1"/>
  <c r="AT133" i="1"/>
  <c r="AQ133" i="1"/>
  <c r="AN133" i="1"/>
  <c r="AL133" i="1"/>
  <c r="AI133" i="1"/>
  <c r="AG133" i="1"/>
  <c r="P133" i="1"/>
  <c r="O133" i="1"/>
  <c r="BS132" i="1"/>
  <c r="BM132" i="1"/>
  <c r="BL132" i="1"/>
  <c r="BH132" i="1"/>
  <c r="BG132" i="1"/>
  <c r="AQ132" i="1"/>
  <c r="AN132" i="1"/>
  <c r="AS132" i="1" s="1"/>
  <c r="AL132" i="1"/>
  <c r="AI132" i="1"/>
  <c r="AG132" i="1"/>
  <c r="P132" i="1"/>
  <c r="O132" i="1"/>
  <c r="BS131" i="1"/>
  <c r="BM131" i="1"/>
  <c r="BL131" i="1"/>
  <c r="BH131" i="1"/>
  <c r="BG131" i="1"/>
  <c r="AQ131" i="1"/>
  <c r="AT131" i="1" s="1"/>
  <c r="AN131" i="1"/>
  <c r="AL131" i="1"/>
  <c r="AI131" i="1"/>
  <c r="AS131" i="1" s="1"/>
  <c r="AG131" i="1"/>
  <c r="P131" i="1"/>
  <c r="O131" i="1"/>
  <c r="BS130" i="1"/>
  <c r="BM130" i="1"/>
  <c r="BL130" i="1"/>
  <c r="BH130" i="1"/>
  <c r="BG130" i="1"/>
  <c r="AQ130" i="1"/>
  <c r="AL130" i="1"/>
  <c r="AN130" i="1" s="1"/>
  <c r="AI130" i="1"/>
  <c r="AG130" i="1"/>
  <c r="P130" i="1"/>
  <c r="O130" i="1"/>
  <c r="BS129" i="1"/>
  <c r="BM129" i="1"/>
  <c r="BL129" i="1"/>
  <c r="BH129" i="1"/>
  <c r="BG129" i="1"/>
  <c r="AT129" i="1"/>
  <c r="AS129" i="1"/>
  <c r="AQ129" i="1"/>
  <c r="AN129" i="1"/>
  <c r="AL129" i="1"/>
  <c r="AI129" i="1"/>
  <c r="AR129" i="1" s="1"/>
  <c r="AG129" i="1"/>
  <c r="P129" i="1"/>
  <c r="O129" i="1"/>
  <c r="BS128" i="1"/>
  <c r="BM128" i="1"/>
  <c r="BL128" i="1"/>
  <c r="BH128" i="1"/>
  <c r="BG128" i="1"/>
  <c r="AQ128" i="1"/>
  <c r="AL128" i="1"/>
  <c r="AN128" i="1" s="1"/>
  <c r="AG128" i="1"/>
  <c r="P128" i="1"/>
  <c r="O128" i="1"/>
  <c r="BS127" i="1"/>
  <c r="BM127" i="1"/>
  <c r="BL127" i="1"/>
  <c r="BH127" i="1"/>
  <c r="BG127" i="1"/>
  <c r="AS127" i="1"/>
  <c r="AQ127" i="1"/>
  <c r="AT127" i="1" s="1"/>
  <c r="AN127" i="1"/>
  <c r="AL127" i="1"/>
  <c r="AI127" i="1"/>
  <c r="AG127" i="1"/>
  <c r="P127" i="1"/>
  <c r="O127" i="1"/>
  <c r="BS126" i="1"/>
  <c r="BM126" i="1"/>
  <c r="BL126" i="1"/>
  <c r="BH126" i="1"/>
  <c r="BG126" i="1"/>
  <c r="AQ126" i="1"/>
  <c r="AN126" i="1"/>
  <c r="AL126" i="1"/>
  <c r="AG126" i="1"/>
  <c r="AT126" i="1" s="1"/>
  <c r="P126" i="1"/>
  <c r="O126" i="1"/>
  <c r="BS125" i="1"/>
  <c r="BM125" i="1"/>
  <c r="BL125" i="1"/>
  <c r="BH125" i="1"/>
  <c r="BG125" i="1"/>
  <c r="AQ125" i="1"/>
  <c r="AT125" i="1" s="1"/>
  <c r="AN125" i="1"/>
  <c r="AL125" i="1"/>
  <c r="AI125" i="1"/>
  <c r="AG125" i="1"/>
  <c r="P125" i="1"/>
  <c r="O125" i="1"/>
  <c r="BS124" i="1"/>
  <c r="BM124" i="1"/>
  <c r="BL124" i="1"/>
  <c r="BH124" i="1"/>
  <c r="BG124" i="1"/>
  <c r="AS124" i="1"/>
  <c r="AQ124" i="1"/>
  <c r="AN124" i="1"/>
  <c r="AL124" i="1"/>
  <c r="AI124" i="1"/>
  <c r="AG124" i="1"/>
  <c r="P124" i="1"/>
  <c r="O124" i="1"/>
  <c r="BS123" i="1"/>
  <c r="BM123" i="1"/>
  <c r="BL123" i="1"/>
  <c r="BH123" i="1"/>
  <c r="BG123" i="1"/>
  <c r="AT123" i="1"/>
  <c r="AQ123" i="1"/>
  <c r="AN123" i="1"/>
  <c r="AL123" i="1"/>
  <c r="AI123" i="1"/>
  <c r="AG123" i="1"/>
  <c r="P123" i="1"/>
  <c r="O123" i="1"/>
  <c r="BS122" i="1"/>
  <c r="BM122" i="1"/>
  <c r="BL122" i="1"/>
  <c r="BH122" i="1"/>
  <c r="BG122" i="1"/>
  <c r="AQ122" i="1"/>
  <c r="AN122" i="1"/>
  <c r="AS122" i="1" s="1"/>
  <c r="AL122" i="1"/>
  <c r="AI122" i="1"/>
  <c r="AG122" i="1"/>
  <c r="P122" i="1"/>
  <c r="O122" i="1"/>
  <c r="BS121" i="1"/>
  <c r="BM121" i="1"/>
  <c r="BL121" i="1"/>
  <c r="BH121" i="1"/>
  <c r="BG121" i="1"/>
  <c r="AQ121" i="1"/>
  <c r="AT121" i="1" s="1"/>
  <c r="AN121" i="1"/>
  <c r="AL121" i="1"/>
  <c r="AI121" i="1"/>
  <c r="AS121" i="1" s="1"/>
  <c r="AG121" i="1"/>
  <c r="P121" i="1"/>
  <c r="O121" i="1"/>
  <c r="BS120" i="1"/>
  <c r="BM120" i="1"/>
  <c r="BL120" i="1"/>
  <c r="BH120" i="1"/>
  <c r="BG120" i="1"/>
  <c r="AQ120" i="1"/>
  <c r="AL120" i="1"/>
  <c r="AN120" i="1" s="1"/>
  <c r="AI120" i="1"/>
  <c r="AG120" i="1"/>
  <c r="P120" i="1"/>
  <c r="O120" i="1"/>
  <c r="BS119" i="1"/>
  <c r="BM119" i="1"/>
  <c r="BL119" i="1"/>
  <c r="BH119" i="1"/>
  <c r="BG119" i="1"/>
  <c r="AT119" i="1"/>
  <c r="AS119" i="1"/>
  <c r="AQ119" i="1"/>
  <c r="AN119" i="1"/>
  <c r="AL119" i="1"/>
  <c r="AI119" i="1"/>
  <c r="AR119" i="1" s="1"/>
  <c r="AG119" i="1"/>
  <c r="P119" i="1"/>
  <c r="O119" i="1"/>
  <c r="BS118" i="1"/>
  <c r="BM118" i="1"/>
  <c r="BL118" i="1"/>
  <c r="BH118" i="1"/>
  <c r="BG118" i="1"/>
  <c r="AQ118" i="1"/>
  <c r="AL118" i="1"/>
  <c r="AN118" i="1" s="1"/>
  <c r="AG118" i="1"/>
  <c r="P118" i="1"/>
  <c r="O118" i="1"/>
  <c r="BS117" i="1"/>
  <c r="BM117" i="1"/>
  <c r="BL117" i="1"/>
  <c r="BH117" i="1"/>
  <c r="BG117" i="1"/>
  <c r="AS117" i="1"/>
  <c r="AQ117" i="1"/>
  <c r="AT117" i="1" s="1"/>
  <c r="AN117" i="1"/>
  <c r="AL117" i="1"/>
  <c r="AI117" i="1"/>
  <c r="AG117" i="1"/>
  <c r="P117" i="1"/>
  <c r="O117" i="1"/>
  <c r="BS116" i="1"/>
  <c r="BM116" i="1"/>
  <c r="BL116" i="1"/>
  <c r="BH116" i="1"/>
  <c r="BG116" i="1"/>
  <c r="AQ116" i="1"/>
  <c r="AN116" i="1"/>
  <c r="AL116" i="1"/>
  <c r="AG116" i="1"/>
  <c r="AT116" i="1" s="1"/>
  <c r="P116" i="1"/>
  <c r="O116" i="1"/>
  <c r="BS115" i="1"/>
  <c r="BM115" i="1"/>
  <c r="BL115" i="1"/>
  <c r="BH115" i="1"/>
  <c r="BG115" i="1"/>
  <c r="AQ115" i="1"/>
  <c r="AT115" i="1" s="1"/>
  <c r="AN115" i="1"/>
  <c r="AR115" i="1" s="1"/>
  <c r="AL115" i="1"/>
  <c r="AI115" i="1"/>
  <c r="AG115" i="1"/>
  <c r="P115" i="1"/>
  <c r="O115" i="1"/>
  <c r="BS114" i="1"/>
  <c r="BM114" i="1"/>
  <c r="BL114" i="1"/>
  <c r="BH114" i="1"/>
  <c r="BG114" i="1"/>
  <c r="AS114" i="1"/>
  <c r="AQ114" i="1"/>
  <c r="AN114" i="1"/>
  <c r="AL114" i="1"/>
  <c r="AI114" i="1"/>
  <c r="AG114" i="1"/>
  <c r="P114" i="1"/>
  <c r="O114" i="1"/>
  <c r="BS113" i="1"/>
  <c r="BM113" i="1"/>
  <c r="BL113" i="1"/>
  <c r="BH113" i="1"/>
  <c r="BG113" i="1"/>
  <c r="AT113" i="1"/>
  <c r="AQ113" i="1"/>
  <c r="AN113" i="1"/>
  <c r="AL113" i="1"/>
  <c r="AI113" i="1"/>
  <c r="AG113" i="1"/>
  <c r="P113" i="1"/>
  <c r="O113" i="1"/>
  <c r="BS112" i="1"/>
  <c r="BM112" i="1"/>
  <c r="BL112" i="1"/>
  <c r="BH112" i="1"/>
  <c r="BG112" i="1"/>
  <c r="AQ112" i="1"/>
  <c r="AN112" i="1"/>
  <c r="AS112" i="1" s="1"/>
  <c r="AL112" i="1"/>
  <c r="AI112" i="1"/>
  <c r="AG112" i="1"/>
  <c r="P112" i="1"/>
  <c r="O112" i="1"/>
  <c r="BS111" i="1"/>
  <c r="BM111" i="1"/>
  <c r="BL111" i="1"/>
  <c r="BH111" i="1"/>
  <c r="BG111" i="1"/>
  <c r="AQ111" i="1"/>
  <c r="AT111" i="1" s="1"/>
  <c r="AN111" i="1"/>
  <c r="AL111" i="1"/>
  <c r="AI111" i="1"/>
  <c r="AS111" i="1" s="1"/>
  <c r="AG111" i="1"/>
  <c r="P111" i="1"/>
  <c r="O111" i="1"/>
  <c r="BS110" i="1"/>
  <c r="BM110" i="1"/>
  <c r="BL110" i="1"/>
  <c r="BH110" i="1"/>
  <c r="BG110" i="1"/>
  <c r="AQ110" i="1"/>
  <c r="AL110" i="1"/>
  <c r="AN110" i="1" s="1"/>
  <c r="AI110" i="1"/>
  <c r="AG110" i="1"/>
  <c r="P110" i="1"/>
  <c r="O110" i="1"/>
  <c r="BS109" i="1"/>
  <c r="BM109" i="1"/>
  <c r="BL109" i="1"/>
  <c r="BH109" i="1"/>
  <c r="BG109" i="1"/>
  <c r="AT109" i="1"/>
  <c r="AS109" i="1"/>
  <c r="AQ109" i="1"/>
  <c r="AN109" i="1"/>
  <c r="AL109" i="1"/>
  <c r="AI109" i="1"/>
  <c r="AR109" i="1" s="1"/>
  <c r="AG109" i="1"/>
  <c r="P109" i="1"/>
  <c r="O109" i="1"/>
  <c r="BS108" i="1"/>
  <c r="BM108" i="1"/>
  <c r="BL108" i="1"/>
  <c r="BH108" i="1"/>
  <c r="BG108" i="1"/>
  <c r="AQ108" i="1"/>
  <c r="AL108" i="1"/>
  <c r="AN108" i="1" s="1"/>
  <c r="AG108" i="1"/>
  <c r="P108" i="1"/>
  <c r="O108" i="1"/>
  <c r="BS107" i="1"/>
  <c r="BM107" i="1"/>
  <c r="BL107" i="1"/>
  <c r="BH107" i="1"/>
  <c r="BG107" i="1"/>
  <c r="AS107" i="1"/>
  <c r="AQ107" i="1"/>
  <c r="AT107" i="1" s="1"/>
  <c r="AN107" i="1"/>
  <c r="AL107" i="1"/>
  <c r="AI107" i="1"/>
  <c r="AG107" i="1"/>
  <c r="P107" i="1"/>
  <c r="O107" i="1"/>
  <c r="BS106" i="1"/>
  <c r="BM106" i="1"/>
  <c r="BL106" i="1"/>
  <c r="BH106" i="1"/>
  <c r="BG106" i="1"/>
  <c r="AQ106" i="1"/>
  <c r="AN106" i="1"/>
  <c r="AL106" i="1"/>
  <c r="AG106" i="1"/>
  <c r="AT106" i="1" s="1"/>
  <c r="P106" i="1"/>
  <c r="O106" i="1"/>
  <c r="BS105" i="1"/>
  <c r="BM105" i="1"/>
  <c r="BL105" i="1"/>
  <c r="BH105" i="1"/>
  <c r="BG105" i="1"/>
  <c r="AQ105" i="1"/>
  <c r="AT105" i="1" s="1"/>
  <c r="AN105" i="1"/>
  <c r="AR105" i="1" s="1"/>
  <c r="AL105" i="1"/>
  <c r="AI105" i="1"/>
  <c r="AS105" i="1" s="1"/>
  <c r="AG105" i="1"/>
  <c r="P105" i="1"/>
  <c r="O105" i="1"/>
  <c r="BS104" i="1"/>
  <c r="BM104" i="1"/>
  <c r="BL104" i="1"/>
  <c r="BH104" i="1"/>
  <c r="BG104" i="1"/>
  <c r="AS104" i="1"/>
  <c r="AQ104" i="1"/>
  <c r="AN104" i="1"/>
  <c r="AL104" i="1"/>
  <c r="AI104" i="1"/>
  <c r="AG104" i="1"/>
  <c r="P104" i="1"/>
  <c r="O104" i="1"/>
  <c r="BS103" i="1"/>
  <c r="BM103" i="1"/>
  <c r="BL103" i="1"/>
  <c r="BH103" i="1"/>
  <c r="BG103" i="1"/>
  <c r="AT103" i="1"/>
  <c r="AQ103" i="1"/>
  <c r="AN103" i="1"/>
  <c r="AL103" i="1"/>
  <c r="AI103" i="1"/>
  <c r="AG103" i="1"/>
  <c r="P103" i="1"/>
  <c r="O103" i="1"/>
  <c r="BS102" i="1"/>
  <c r="BM102" i="1"/>
  <c r="BL102" i="1"/>
  <c r="BH102" i="1"/>
  <c r="BG102" i="1"/>
  <c r="AQ102" i="1"/>
  <c r="AN102" i="1"/>
  <c r="AS102" i="1" s="1"/>
  <c r="AL102" i="1"/>
  <c r="AI102" i="1"/>
  <c r="AG102" i="1"/>
  <c r="P102" i="1"/>
  <c r="O102" i="1"/>
  <c r="BS101" i="1"/>
  <c r="BM101" i="1"/>
  <c r="BL101" i="1"/>
  <c r="BH101" i="1"/>
  <c r="BG101" i="1"/>
  <c r="AQ101" i="1"/>
  <c r="AT101" i="1" s="1"/>
  <c r="AN101" i="1"/>
  <c r="AL101" i="1"/>
  <c r="AI101" i="1"/>
  <c r="AS101" i="1" s="1"/>
  <c r="AG101" i="1"/>
  <c r="P101" i="1"/>
  <c r="O101" i="1"/>
  <c r="BS100" i="1"/>
  <c r="BM100" i="1"/>
  <c r="BL100" i="1"/>
  <c r="BH100" i="1"/>
  <c r="BG100" i="1"/>
  <c r="AQ100" i="1"/>
  <c r="AL100" i="1"/>
  <c r="AN100" i="1" s="1"/>
  <c r="AI100" i="1"/>
  <c r="AG100" i="1"/>
  <c r="P100" i="1"/>
  <c r="O100" i="1"/>
  <c r="BS99" i="1"/>
  <c r="BM99" i="1"/>
  <c r="BL99" i="1"/>
  <c r="BH99" i="1"/>
  <c r="BG99" i="1"/>
  <c r="AT99" i="1"/>
  <c r="AS99" i="1"/>
  <c r="AQ99" i="1"/>
  <c r="AN99" i="1"/>
  <c r="AL99" i="1"/>
  <c r="AI99" i="1"/>
  <c r="AR99" i="1" s="1"/>
  <c r="AG99" i="1"/>
  <c r="P99" i="1"/>
  <c r="O99" i="1"/>
  <c r="BS98" i="1"/>
  <c r="BM98" i="1"/>
  <c r="BL98" i="1"/>
  <c r="BH98" i="1"/>
  <c r="BG98" i="1"/>
  <c r="AQ98" i="1"/>
  <c r="AL98" i="1"/>
  <c r="AN98" i="1" s="1"/>
  <c r="AG98" i="1"/>
  <c r="P98" i="1"/>
  <c r="O98" i="1"/>
  <c r="BS97" i="1"/>
  <c r="BM97" i="1"/>
  <c r="BL97" i="1"/>
  <c r="BH97" i="1"/>
  <c r="BG97" i="1"/>
  <c r="AS97" i="1"/>
  <c r="AR97" i="1"/>
  <c r="AQ97" i="1"/>
  <c r="AT97" i="1" s="1"/>
  <c r="AN97" i="1"/>
  <c r="AL97" i="1"/>
  <c r="AI97" i="1"/>
  <c r="AG97" i="1"/>
  <c r="P97" i="1"/>
  <c r="O97" i="1"/>
  <c r="BS96" i="1"/>
  <c r="BM96" i="1"/>
  <c r="BL96" i="1"/>
  <c r="BH96" i="1"/>
  <c r="BG96" i="1"/>
  <c r="AQ96" i="1"/>
  <c r="AN96" i="1"/>
  <c r="AL96" i="1"/>
  <c r="AG96" i="1"/>
  <c r="AT96" i="1" s="1"/>
  <c r="P96" i="1"/>
  <c r="O96" i="1"/>
  <c r="BS95" i="1"/>
  <c r="BM95" i="1"/>
  <c r="BL95" i="1"/>
  <c r="BH95" i="1"/>
  <c r="BG95" i="1"/>
  <c r="AQ95" i="1"/>
  <c r="AT95" i="1" s="1"/>
  <c r="AN95" i="1"/>
  <c r="AR95" i="1" s="1"/>
  <c r="AL95" i="1"/>
  <c r="AI95" i="1"/>
  <c r="AS95" i="1" s="1"/>
  <c r="AG95" i="1"/>
  <c r="P95" i="1"/>
  <c r="O95" i="1"/>
  <c r="BS94" i="1"/>
  <c r="BM94" i="1"/>
  <c r="BL94" i="1"/>
  <c r="BH94" i="1"/>
  <c r="BG94" i="1"/>
  <c r="AS94" i="1"/>
  <c r="AQ94" i="1"/>
  <c r="AN94" i="1"/>
  <c r="AL94" i="1"/>
  <c r="AI94" i="1"/>
  <c r="AG94" i="1"/>
  <c r="P94" i="1"/>
  <c r="O94" i="1"/>
  <c r="BS93" i="1"/>
  <c r="BM93" i="1"/>
  <c r="BL93" i="1"/>
  <c r="BH93" i="1"/>
  <c r="BG93" i="1"/>
  <c r="AT93" i="1"/>
  <c r="AQ93" i="1"/>
  <c r="AN93" i="1"/>
  <c r="AL93" i="1"/>
  <c r="AI93" i="1"/>
  <c r="AG93" i="1"/>
  <c r="P93" i="1"/>
  <c r="O93" i="1"/>
  <c r="BS92" i="1"/>
  <c r="BM92" i="1"/>
  <c r="BL92" i="1"/>
  <c r="BH92" i="1"/>
  <c r="BG92" i="1"/>
  <c r="AQ92" i="1"/>
  <c r="AN92" i="1"/>
  <c r="AS92" i="1" s="1"/>
  <c r="AL92" i="1"/>
  <c r="AI92" i="1"/>
  <c r="AG92" i="1"/>
  <c r="P92" i="1"/>
  <c r="O92" i="1"/>
  <c r="BS91" i="1"/>
  <c r="BM91" i="1"/>
  <c r="BL91" i="1"/>
  <c r="BH91" i="1"/>
  <c r="BG91" i="1"/>
  <c r="AQ91" i="1"/>
  <c r="AN91" i="1"/>
  <c r="AL91" i="1"/>
  <c r="AG91" i="1"/>
  <c r="AT91" i="1" s="1"/>
  <c r="P91" i="1"/>
  <c r="O91" i="1"/>
  <c r="BS90" i="1"/>
  <c r="BM90" i="1"/>
  <c r="BL90" i="1"/>
  <c r="BH90" i="1"/>
  <c r="BG90" i="1"/>
  <c r="AQ90" i="1"/>
  <c r="AL90" i="1"/>
  <c r="AN90" i="1" s="1"/>
  <c r="AG90" i="1"/>
  <c r="P90" i="1"/>
  <c r="O90" i="1"/>
  <c r="BS89" i="1"/>
  <c r="BM89" i="1"/>
  <c r="BL89" i="1"/>
  <c r="BH89" i="1"/>
  <c r="BG89" i="1"/>
  <c r="AT89" i="1"/>
  <c r="AQ89" i="1"/>
  <c r="AN89" i="1"/>
  <c r="AL89" i="1"/>
  <c r="AG89" i="1"/>
  <c r="AI89" i="1" s="1"/>
  <c r="P89" i="1"/>
  <c r="O89" i="1"/>
  <c r="BS88" i="1"/>
  <c r="BM88" i="1"/>
  <c r="BL88" i="1"/>
  <c r="BH88" i="1"/>
  <c r="BG88" i="1"/>
  <c r="AQ88" i="1"/>
  <c r="AL88" i="1"/>
  <c r="AN88" i="1" s="1"/>
  <c r="AI88" i="1"/>
  <c r="AG88" i="1"/>
  <c r="P88" i="1"/>
  <c r="O88" i="1"/>
  <c r="BS87" i="1"/>
  <c r="BM87" i="1"/>
  <c r="BL87" i="1"/>
  <c r="BH87" i="1"/>
  <c r="BG87" i="1"/>
  <c r="AT87" i="1"/>
  <c r="AS87" i="1"/>
  <c r="AQ87" i="1"/>
  <c r="AN87" i="1"/>
  <c r="AL87" i="1"/>
  <c r="AI87" i="1"/>
  <c r="AR87" i="1" s="1"/>
  <c r="AG87" i="1"/>
  <c r="P87" i="1"/>
  <c r="O87" i="1"/>
  <c r="BS86" i="1"/>
  <c r="BM86" i="1"/>
  <c r="BL86" i="1"/>
  <c r="BH86" i="1"/>
  <c r="BG86" i="1"/>
  <c r="AQ86" i="1"/>
  <c r="AL86" i="1"/>
  <c r="AN86" i="1" s="1"/>
  <c r="AG86" i="1"/>
  <c r="AT86" i="1" s="1"/>
  <c r="P86" i="1"/>
  <c r="O86" i="1"/>
  <c r="BS85" i="1"/>
  <c r="BM85" i="1"/>
  <c r="BL85" i="1"/>
  <c r="BH85" i="1"/>
  <c r="BG85" i="1"/>
  <c r="AT85" i="1"/>
  <c r="AS85" i="1"/>
  <c r="AR85" i="1"/>
  <c r="AQ85" i="1"/>
  <c r="AN85" i="1"/>
  <c r="AL85" i="1"/>
  <c r="AI85" i="1"/>
  <c r="AG85" i="1"/>
  <c r="P85" i="1"/>
  <c r="O85" i="1"/>
  <c r="BS84" i="1"/>
  <c r="BM84" i="1"/>
  <c r="BL84" i="1"/>
  <c r="BH84" i="1"/>
  <c r="BG84" i="1"/>
  <c r="AQ84" i="1"/>
  <c r="AL84" i="1"/>
  <c r="AN84" i="1" s="1"/>
  <c r="AG84" i="1"/>
  <c r="P84" i="1"/>
  <c r="O84" i="1"/>
  <c r="BS83" i="1"/>
  <c r="BM83" i="1"/>
  <c r="BL83" i="1"/>
  <c r="BH83" i="1"/>
  <c r="BG83" i="1"/>
  <c r="AS83" i="1"/>
  <c r="AR83" i="1"/>
  <c r="AQ83" i="1"/>
  <c r="AT83" i="1" s="1"/>
  <c r="AN83" i="1"/>
  <c r="AL83" i="1"/>
  <c r="AI83" i="1"/>
  <c r="AG83" i="1"/>
  <c r="P83" i="1"/>
  <c r="O83" i="1"/>
  <c r="BS82" i="1"/>
  <c r="BM82" i="1"/>
  <c r="BL82" i="1"/>
  <c r="BH82" i="1"/>
  <c r="BG82" i="1"/>
  <c r="AQ82" i="1"/>
  <c r="AN82" i="1"/>
  <c r="AL82" i="1"/>
  <c r="AG82" i="1"/>
  <c r="AT82" i="1" s="1"/>
  <c r="P82" i="1"/>
  <c r="O82" i="1"/>
  <c r="BS81" i="1"/>
  <c r="BM81" i="1"/>
  <c r="BL81" i="1"/>
  <c r="BH81" i="1"/>
  <c r="BG81" i="1"/>
  <c r="AQ81" i="1"/>
  <c r="AN81" i="1"/>
  <c r="AL81" i="1"/>
  <c r="AI81" i="1"/>
  <c r="AG81" i="1"/>
  <c r="AT81" i="1" s="1"/>
  <c r="P81" i="1"/>
  <c r="O81" i="1"/>
  <c r="BS80" i="1"/>
  <c r="BM80" i="1"/>
  <c r="BL80" i="1"/>
  <c r="BH80" i="1"/>
  <c r="BG80" i="1"/>
  <c r="AQ80" i="1"/>
  <c r="AN80" i="1"/>
  <c r="AL80" i="1"/>
  <c r="AG80" i="1"/>
  <c r="AT80" i="1" s="1"/>
  <c r="P80" i="1"/>
  <c r="O80" i="1"/>
  <c r="BS79" i="1"/>
  <c r="BM79" i="1"/>
  <c r="BL79" i="1"/>
  <c r="BH79" i="1"/>
  <c r="BG79" i="1"/>
  <c r="AQ79" i="1"/>
  <c r="AN79" i="1"/>
  <c r="AL79" i="1"/>
  <c r="AG79" i="1"/>
  <c r="AI79" i="1" s="1"/>
  <c r="P79" i="1"/>
  <c r="O79" i="1"/>
  <c r="BS78" i="1"/>
  <c r="BM78" i="1"/>
  <c r="BL78" i="1"/>
  <c r="BH78" i="1"/>
  <c r="BG78" i="1"/>
  <c r="AS78" i="1"/>
  <c r="AQ78" i="1"/>
  <c r="AN78" i="1"/>
  <c r="AL78" i="1"/>
  <c r="AI78" i="1"/>
  <c r="AR78" i="1" s="1"/>
  <c r="AG78" i="1"/>
  <c r="P78" i="1"/>
  <c r="O78" i="1"/>
  <c r="BS77" i="1"/>
  <c r="BM77" i="1"/>
  <c r="BL77" i="1"/>
  <c r="BH77" i="1"/>
  <c r="BG77" i="1"/>
  <c r="AQ77" i="1"/>
  <c r="AT77" i="1" s="1"/>
  <c r="AN77" i="1"/>
  <c r="AL77" i="1"/>
  <c r="AI77" i="1"/>
  <c r="AG77" i="1"/>
  <c r="P77" i="1"/>
  <c r="O77" i="1"/>
  <c r="BS76" i="1"/>
  <c r="BM76" i="1"/>
  <c r="BL76" i="1"/>
  <c r="BH76" i="1"/>
  <c r="BG76" i="1"/>
  <c r="AS76" i="1"/>
  <c r="AR76" i="1"/>
  <c r="AQ76" i="1"/>
  <c r="AN76" i="1"/>
  <c r="AL76" i="1"/>
  <c r="AI76" i="1"/>
  <c r="AG76" i="1"/>
  <c r="P76" i="1"/>
  <c r="O76" i="1"/>
  <c r="BS75" i="1"/>
  <c r="BM75" i="1"/>
  <c r="BL75" i="1"/>
  <c r="BH75" i="1"/>
  <c r="BG75" i="1"/>
  <c r="AQ75" i="1"/>
  <c r="AN75" i="1"/>
  <c r="AL75" i="1"/>
  <c r="AI75" i="1"/>
  <c r="AG75" i="1"/>
  <c r="AT75" i="1" s="1"/>
  <c r="P75" i="1"/>
  <c r="O75" i="1"/>
  <c r="BS74" i="1"/>
  <c r="BM74" i="1"/>
  <c r="BL74" i="1"/>
  <c r="BH74" i="1"/>
  <c r="BG74" i="1"/>
  <c r="AR74" i="1"/>
  <c r="AQ74" i="1"/>
  <c r="AL74" i="1"/>
  <c r="AN74" i="1" s="1"/>
  <c r="AS74" i="1" s="1"/>
  <c r="AI74" i="1"/>
  <c r="AG74" i="1"/>
  <c r="P74" i="1"/>
  <c r="O74" i="1"/>
  <c r="BS73" i="1"/>
  <c r="BM73" i="1"/>
  <c r="BL73" i="1"/>
  <c r="BH73" i="1"/>
  <c r="BG73" i="1"/>
  <c r="AQ73" i="1"/>
  <c r="AN73" i="1"/>
  <c r="AL73" i="1"/>
  <c r="AG73" i="1"/>
  <c r="P73" i="1"/>
  <c r="O73" i="1"/>
  <c r="BS72" i="1"/>
  <c r="BM72" i="1"/>
  <c r="BL72" i="1"/>
  <c r="BH72" i="1"/>
  <c r="BG72" i="1"/>
  <c r="AQ72" i="1"/>
  <c r="AN72" i="1"/>
  <c r="AL72" i="1"/>
  <c r="AI72" i="1"/>
  <c r="AG72" i="1"/>
  <c r="P72" i="1"/>
  <c r="O72" i="1"/>
  <c r="BS71" i="1"/>
  <c r="BM71" i="1"/>
  <c r="BL71" i="1"/>
  <c r="BH71" i="1"/>
  <c r="BG71" i="1"/>
  <c r="AQ71" i="1"/>
  <c r="AN71" i="1"/>
  <c r="AL71" i="1"/>
  <c r="AG71" i="1"/>
  <c r="AT71" i="1" s="1"/>
  <c r="P71" i="1"/>
  <c r="O71" i="1"/>
  <c r="BS70" i="1"/>
  <c r="BM70" i="1"/>
  <c r="BL70" i="1"/>
  <c r="BH70" i="1"/>
  <c r="BG70" i="1"/>
  <c r="AQ70" i="1"/>
  <c r="AL70" i="1"/>
  <c r="AN70" i="1" s="1"/>
  <c r="AG70" i="1"/>
  <c r="P70" i="1"/>
  <c r="O70" i="1"/>
  <c r="BS69" i="1"/>
  <c r="BM69" i="1"/>
  <c r="BL69" i="1"/>
  <c r="BH69" i="1"/>
  <c r="BG69" i="1"/>
  <c r="AT69" i="1"/>
  <c r="AQ69" i="1"/>
  <c r="AN69" i="1"/>
  <c r="AL69" i="1"/>
  <c r="AG69" i="1"/>
  <c r="AI69" i="1" s="1"/>
  <c r="P69" i="1"/>
  <c r="O69" i="1"/>
  <c r="BS68" i="1"/>
  <c r="BM68" i="1"/>
  <c r="BL68" i="1"/>
  <c r="BH68" i="1"/>
  <c r="BG68" i="1"/>
  <c r="AQ68" i="1"/>
  <c r="AL68" i="1"/>
  <c r="AN68" i="1" s="1"/>
  <c r="AI68" i="1"/>
  <c r="AG68" i="1"/>
  <c r="P68" i="1"/>
  <c r="O68" i="1"/>
  <c r="BS67" i="1"/>
  <c r="BM67" i="1"/>
  <c r="BL67" i="1"/>
  <c r="BH67" i="1"/>
  <c r="BG67" i="1"/>
  <c r="AT67" i="1"/>
  <c r="AS67" i="1"/>
  <c r="AQ67" i="1"/>
  <c r="AN67" i="1"/>
  <c r="AL67" i="1"/>
  <c r="AI67" i="1"/>
  <c r="AR67" i="1" s="1"/>
  <c r="AG67" i="1"/>
  <c r="P67" i="1"/>
  <c r="O67" i="1"/>
  <c r="BS66" i="1"/>
  <c r="BM66" i="1"/>
  <c r="BL66" i="1"/>
  <c r="BH66" i="1"/>
  <c r="BG66" i="1"/>
  <c r="AQ66" i="1"/>
  <c r="AL66" i="1"/>
  <c r="AN66" i="1" s="1"/>
  <c r="AG66" i="1"/>
  <c r="AT66" i="1" s="1"/>
  <c r="P66" i="1"/>
  <c r="O66" i="1"/>
  <c r="BS65" i="1"/>
  <c r="BM65" i="1"/>
  <c r="BL65" i="1"/>
  <c r="BH65" i="1"/>
  <c r="BG65" i="1"/>
  <c r="AT65" i="1"/>
  <c r="AS65" i="1"/>
  <c r="AR65" i="1"/>
  <c r="AQ65" i="1"/>
  <c r="AN65" i="1"/>
  <c r="AL65" i="1"/>
  <c r="AI65" i="1"/>
  <c r="AG65" i="1"/>
  <c r="P65" i="1"/>
  <c r="O65" i="1"/>
  <c r="BS64" i="1"/>
  <c r="BM64" i="1"/>
  <c r="BL64" i="1"/>
  <c r="BH64" i="1"/>
  <c r="BG64" i="1"/>
  <c r="AQ64" i="1"/>
  <c r="AL64" i="1"/>
  <c r="AN64" i="1" s="1"/>
  <c r="AG64" i="1"/>
  <c r="P64" i="1"/>
  <c r="O64" i="1"/>
  <c r="BS63" i="1"/>
  <c r="BM63" i="1"/>
  <c r="BL63" i="1"/>
  <c r="BH63" i="1"/>
  <c r="BG63" i="1"/>
  <c r="AS63" i="1"/>
  <c r="AR63" i="1"/>
  <c r="AQ63" i="1"/>
  <c r="AT63" i="1" s="1"/>
  <c r="AN63" i="1"/>
  <c r="AL63" i="1"/>
  <c r="AI63" i="1"/>
  <c r="AG63" i="1"/>
  <c r="P63" i="1"/>
  <c r="O63" i="1"/>
  <c r="BS62" i="1"/>
  <c r="BM62" i="1"/>
  <c r="BL62" i="1"/>
  <c r="BH62" i="1"/>
  <c r="BG62" i="1"/>
  <c r="AQ62" i="1"/>
  <c r="AN62" i="1"/>
  <c r="AL62" i="1"/>
  <c r="AG62" i="1"/>
  <c r="AT62" i="1" s="1"/>
  <c r="P62" i="1"/>
  <c r="O62" i="1"/>
  <c r="BS61" i="1"/>
  <c r="BM61" i="1"/>
  <c r="BL61" i="1"/>
  <c r="BH61" i="1"/>
  <c r="BG61" i="1"/>
  <c r="AQ61" i="1"/>
  <c r="AN61" i="1"/>
  <c r="AL61" i="1"/>
  <c r="AI61" i="1"/>
  <c r="AG61" i="1"/>
  <c r="AT61" i="1" s="1"/>
  <c r="P61" i="1"/>
  <c r="O61" i="1"/>
  <c r="BS60" i="1"/>
  <c r="BM60" i="1"/>
  <c r="BL60" i="1"/>
  <c r="BH60" i="1"/>
  <c r="BG60" i="1"/>
  <c r="AQ60" i="1"/>
  <c r="AN60" i="1"/>
  <c r="AL60" i="1"/>
  <c r="AG60" i="1"/>
  <c r="AT60" i="1" s="1"/>
  <c r="P60" i="1"/>
  <c r="O60" i="1"/>
  <c r="BS59" i="1"/>
  <c r="BM59" i="1"/>
  <c r="BL59" i="1"/>
  <c r="BH59" i="1"/>
  <c r="BG59" i="1"/>
  <c r="AQ59" i="1"/>
  <c r="AN59" i="1"/>
  <c r="AL59" i="1"/>
  <c r="AG59" i="1"/>
  <c r="AI59" i="1" s="1"/>
  <c r="P59" i="1"/>
  <c r="O59" i="1"/>
  <c r="BS58" i="1"/>
  <c r="BM58" i="1"/>
  <c r="BL58" i="1"/>
  <c r="BH58" i="1"/>
  <c r="BG58" i="1"/>
  <c r="AS58" i="1"/>
  <c r="AQ58" i="1"/>
  <c r="AN58" i="1"/>
  <c r="AL58" i="1"/>
  <c r="AI58" i="1"/>
  <c r="AR58" i="1" s="1"/>
  <c r="AG58" i="1"/>
  <c r="P58" i="1"/>
  <c r="O58" i="1"/>
  <c r="BS57" i="1"/>
  <c r="BM57" i="1"/>
  <c r="BL57" i="1"/>
  <c r="BH57" i="1"/>
  <c r="BG57" i="1"/>
  <c r="AQ57" i="1"/>
  <c r="AT57" i="1" s="1"/>
  <c r="AN57" i="1"/>
  <c r="AL57" i="1"/>
  <c r="AI57" i="1"/>
  <c r="AG57" i="1"/>
  <c r="P57" i="1"/>
  <c r="O57" i="1"/>
  <c r="BS56" i="1"/>
  <c r="BM56" i="1"/>
  <c r="BL56" i="1"/>
  <c r="BH56" i="1"/>
  <c r="BG56" i="1"/>
  <c r="AS56" i="1"/>
  <c r="AR56" i="1"/>
  <c r="AQ56" i="1"/>
  <c r="AN56" i="1"/>
  <c r="AL56" i="1"/>
  <c r="AI56" i="1"/>
  <c r="AG56" i="1"/>
  <c r="P56" i="1"/>
  <c r="O56" i="1"/>
  <c r="BS55" i="1"/>
  <c r="BM55" i="1"/>
  <c r="BL55" i="1"/>
  <c r="BH55" i="1"/>
  <c r="BG55" i="1"/>
  <c r="AQ55" i="1"/>
  <c r="AN55" i="1"/>
  <c r="AL55" i="1"/>
  <c r="AI55" i="1"/>
  <c r="AG55" i="1"/>
  <c r="AT55" i="1" s="1"/>
  <c r="P55" i="1"/>
  <c r="O55" i="1"/>
  <c r="BS54" i="1"/>
  <c r="BM54" i="1"/>
  <c r="BL54" i="1"/>
  <c r="BH54" i="1"/>
  <c r="BG54" i="1"/>
  <c r="AR54" i="1"/>
  <c r="AQ54" i="1"/>
  <c r="AL54" i="1"/>
  <c r="AN54" i="1" s="1"/>
  <c r="AS54" i="1" s="1"/>
  <c r="AI54" i="1"/>
  <c r="AG54" i="1"/>
  <c r="P54" i="1"/>
  <c r="O54" i="1"/>
  <c r="BS53" i="1"/>
  <c r="BM53" i="1"/>
  <c r="BL53" i="1"/>
  <c r="BH53" i="1"/>
  <c r="BG53" i="1"/>
  <c r="AQ53" i="1"/>
  <c r="AN53" i="1"/>
  <c r="AL53" i="1"/>
  <c r="AG53" i="1"/>
  <c r="P53" i="1"/>
  <c r="O53" i="1"/>
  <c r="BS52" i="1"/>
  <c r="BM52" i="1"/>
  <c r="BL52" i="1"/>
  <c r="BH52" i="1"/>
  <c r="BG52" i="1"/>
  <c r="AQ52" i="1"/>
  <c r="AN52" i="1"/>
  <c r="AL52" i="1"/>
  <c r="AI52" i="1"/>
  <c r="AG52" i="1"/>
  <c r="P52" i="1"/>
  <c r="O52" i="1"/>
  <c r="BS51" i="1"/>
  <c r="BM51" i="1"/>
  <c r="BL51" i="1"/>
  <c r="BH51" i="1"/>
  <c r="BG51" i="1"/>
  <c r="AQ51" i="1"/>
  <c r="AN51" i="1"/>
  <c r="AL51" i="1"/>
  <c r="AG51" i="1"/>
  <c r="AT51" i="1" s="1"/>
  <c r="P51" i="1"/>
  <c r="O51" i="1"/>
  <c r="BS50" i="1"/>
  <c r="BM50" i="1"/>
  <c r="BL50" i="1"/>
  <c r="BH50" i="1"/>
  <c r="BG50" i="1"/>
  <c r="AQ50" i="1"/>
  <c r="AL50" i="1"/>
  <c r="AN50" i="1" s="1"/>
  <c r="AG50" i="1"/>
  <c r="P50" i="1"/>
  <c r="O50" i="1"/>
  <c r="BS49" i="1"/>
  <c r="BM49" i="1"/>
  <c r="BL49" i="1"/>
  <c r="BH49" i="1"/>
  <c r="BG49" i="1"/>
  <c r="AT49" i="1"/>
  <c r="AQ49" i="1"/>
  <c r="AN49" i="1"/>
  <c r="AL49" i="1"/>
  <c r="AG49" i="1"/>
  <c r="AI49" i="1" s="1"/>
  <c r="P49" i="1"/>
  <c r="O49" i="1"/>
  <c r="BS48" i="1"/>
  <c r="BM48" i="1"/>
  <c r="BL48" i="1"/>
  <c r="BH48" i="1"/>
  <c r="BG48" i="1"/>
  <c r="AQ48" i="1"/>
  <c r="AL48" i="1"/>
  <c r="AN48" i="1" s="1"/>
  <c r="AI48" i="1"/>
  <c r="AG48" i="1"/>
  <c r="P48" i="1"/>
  <c r="O48" i="1"/>
  <c r="BS47" i="1"/>
  <c r="BM47" i="1"/>
  <c r="BL47" i="1"/>
  <c r="BH47" i="1"/>
  <c r="BG47" i="1"/>
  <c r="AT47" i="1"/>
  <c r="AS47" i="1"/>
  <c r="AQ47" i="1"/>
  <c r="AN47" i="1"/>
  <c r="AL47" i="1"/>
  <c r="AI47" i="1"/>
  <c r="AR47" i="1" s="1"/>
  <c r="AG47" i="1"/>
  <c r="P47" i="1"/>
  <c r="O47" i="1"/>
  <c r="BS46" i="1"/>
  <c r="BM46" i="1"/>
  <c r="BL46" i="1"/>
  <c r="BH46" i="1"/>
  <c r="BG46" i="1"/>
  <c r="AQ46" i="1"/>
  <c r="AL46" i="1"/>
  <c r="AN46" i="1" s="1"/>
  <c r="AG46" i="1"/>
  <c r="AT46" i="1" s="1"/>
  <c r="P46" i="1"/>
  <c r="O46" i="1"/>
  <c r="BS45" i="1"/>
  <c r="BM45" i="1"/>
  <c r="BL45" i="1"/>
  <c r="BH45" i="1"/>
  <c r="BG45" i="1"/>
  <c r="AT45" i="1"/>
  <c r="AS45" i="1"/>
  <c r="AR45" i="1"/>
  <c r="AQ45" i="1"/>
  <c r="AN45" i="1"/>
  <c r="AL45" i="1"/>
  <c r="AI45" i="1"/>
  <c r="AG45" i="1"/>
  <c r="P45" i="1"/>
  <c r="O45" i="1"/>
  <c r="BS44" i="1"/>
  <c r="BM44" i="1"/>
  <c r="BL44" i="1"/>
  <c r="BH44" i="1"/>
  <c r="BG44" i="1"/>
  <c r="AQ44" i="1"/>
  <c r="AL44" i="1"/>
  <c r="AN44" i="1" s="1"/>
  <c r="AG44" i="1"/>
  <c r="P44" i="1"/>
  <c r="O44" i="1"/>
  <c r="BS43" i="1"/>
  <c r="BM43" i="1"/>
  <c r="BL43" i="1"/>
  <c r="BH43" i="1"/>
  <c r="BG43" i="1"/>
  <c r="AS43" i="1"/>
  <c r="AR43" i="1"/>
  <c r="AQ43" i="1"/>
  <c r="AT43" i="1" s="1"/>
  <c r="AN43" i="1"/>
  <c r="AL43" i="1"/>
  <c r="AI43" i="1"/>
  <c r="AG43" i="1"/>
  <c r="P43" i="1"/>
  <c r="O43" i="1"/>
  <c r="BS42" i="1"/>
  <c r="BM42" i="1"/>
  <c r="BL42" i="1"/>
  <c r="BH42" i="1"/>
  <c r="BG42" i="1"/>
  <c r="AQ42" i="1"/>
  <c r="AN42" i="1"/>
  <c r="AL42" i="1"/>
  <c r="AG42" i="1"/>
  <c r="AT42" i="1" s="1"/>
  <c r="P42" i="1"/>
  <c r="O42" i="1"/>
  <c r="BS41" i="1"/>
  <c r="BM41" i="1"/>
  <c r="BL41" i="1"/>
  <c r="BH41" i="1"/>
  <c r="BG41" i="1"/>
  <c r="AQ41" i="1"/>
  <c r="AN41" i="1"/>
  <c r="AL41" i="1"/>
  <c r="AI41" i="1"/>
  <c r="AG41" i="1"/>
  <c r="AT41" i="1" s="1"/>
  <c r="P41" i="1"/>
  <c r="O41" i="1"/>
  <c r="BS40" i="1"/>
  <c r="BM40" i="1"/>
  <c r="BL40" i="1"/>
  <c r="BH40" i="1"/>
  <c r="BG40" i="1"/>
  <c r="AQ40" i="1"/>
  <c r="AN40" i="1"/>
  <c r="AL40" i="1"/>
  <c r="AG40" i="1"/>
  <c r="AT40" i="1" s="1"/>
  <c r="P40" i="1"/>
  <c r="O40" i="1"/>
  <c r="BS39" i="1"/>
  <c r="BM39" i="1"/>
  <c r="BL39" i="1"/>
  <c r="BH39" i="1"/>
  <c r="BG39" i="1"/>
  <c r="AQ39" i="1"/>
  <c r="AN39" i="1"/>
  <c r="AL39" i="1"/>
  <c r="AG39" i="1"/>
  <c r="AI39" i="1" s="1"/>
  <c r="P39" i="1"/>
  <c r="O39" i="1"/>
  <c r="BS38" i="1"/>
  <c r="BM38" i="1"/>
  <c r="BL38" i="1"/>
  <c r="BH38" i="1"/>
  <c r="BG38" i="1"/>
  <c r="AS38" i="1"/>
  <c r="AQ38" i="1"/>
  <c r="AN38" i="1"/>
  <c r="AL38" i="1"/>
  <c r="AI38" i="1"/>
  <c r="AR38" i="1" s="1"/>
  <c r="AG38" i="1"/>
  <c r="P38" i="1"/>
  <c r="O38" i="1"/>
  <c r="BS37" i="1"/>
  <c r="BM37" i="1"/>
  <c r="BL37" i="1"/>
  <c r="BH37" i="1"/>
  <c r="BG37" i="1"/>
  <c r="AQ37" i="1"/>
  <c r="AT37" i="1" s="1"/>
  <c r="AN37" i="1"/>
  <c r="AL37" i="1"/>
  <c r="AI37" i="1"/>
  <c r="AG37" i="1"/>
  <c r="P37" i="1"/>
  <c r="O37" i="1"/>
  <c r="BS36" i="1"/>
  <c r="BM36" i="1"/>
  <c r="BL36" i="1"/>
  <c r="BH36" i="1"/>
  <c r="BG36" i="1"/>
  <c r="AS36" i="1"/>
  <c r="AR36" i="1"/>
  <c r="AQ36" i="1"/>
  <c r="AN36" i="1"/>
  <c r="AL36" i="1"/>
  <c r="AI36" i="1"/>
  <c r="AG36" i="1"/>
  <c r="P36" i="1"/>
  <c r="O36" i="1"/>
  <c r="BS35" i="1"/>
  <c r="BM35" i="1"/>
  <c r="BL35" i="1"/>
  <c r="BH35" i="1"/>
  <c r="BG35" i="1"/>
  <c r="AQ35" i="1"/>
  <c r="AN35" i="1"/>
  <c r="AL35" i="1"/>
  <c r="AI35" i="1"/>
  <c r="AG35" i="1"/>
  <c r="AT35" i="1" s="1"/>
  <c r="P35" i="1"/>
  <c r="O35" i="1"/>
  <c r="BS34" i="1"/>
  <c r="BM34" i="1"/>
  <c r="BL34" i="1"/>
  <c r="BH34" i="1"/>
  <c r="BG34" i="1"/>
  <c r="AR34" i="1"/>
  <c r="AQ34" i="1"/>
  <c r="AL34" i="1"/>
  <c r="AN34" i="1" s="1"/>
  <c r="AS34" i="1" s="1"/>
  <c r="AI34" i="1"/>
  <c r="AG34" i="1"/>
  <c r="P34" i="1"/>
  <c r="O34" i="1"/>
  <c r="BS33" i="1"/>
  <c r="BM33" i="1"/>
  <c r="BL33" i="1"/>
  <c r="BH33" i="1"/>
  <c r="BG33" i="1"/>
  <c r="AQ33" i="1"/>
  <c r="AN33" i="1"/>
  <c r="AL33" i="1"/>
  <c r="AG33" i="1"/>
  <c r="P33" i="1"/>
  <c r="O33" i="1"/>
  <c r="BS32" i="1"/>
  <c r="BM32" i="1"/>
  <c r="BL32" i="1"/>
  <c r="BH32" i="1"/>
  <c r="BG32" i="1"/>
  <c r="AQ32" i="1"/>
  <c r="AN32" i="1"/>
  <c r="AL32" i="1"/>
  <c r="AI32" i="1"/>
  <c r="AG32" i="1"/>
  <c r="P32" i="1"/>
  <c r="O32" i="1"/>
  <c r="BS31" i="1"/>
  <c r="BM31" i="1"/>
  <c r="BL31" i="1"/>
  <c r="BH31" i="1"/>
  <c r="BG31" i="1"/>
  <c r="AQ31" i="1"/>
  <c r="AN31" i="1"/>
  <c r="AL31" i="1"/>
  <c r="AG31" i="1"/>
  <c r="AT31" i="1" s="1"/>
  <c r="P31" i="1"/>
  <c r="O31" i="1"/>
  <c r="BS30" i="1"/>
  <c r="BM30" i="1"/>
  <c r="BL30" i="1"/>
  <c r="BH30" i="1"/>
  <c r="BG30" i="1"/>
  <c r="AQ30" i="1"/>
  <c r="AN30" i="1"/>
  <c r="AL30" i="1"/>
  <c r="AI30" i="1"/>
  <c r="AG30" i="1"/>
  <c r="AT30" i="1" s="1"/>
  <c r="P30" i="1"/>
  <c r="O30" i="1"/>
  <c r="BS29" i="1"/>
  <c r="BM29" i="1"/>
  <c r="BL29" i="1"/>
  <c r="BH29" i="1"/>
  <c r="BG29" i="1"/>
  <c r="AQ29" i="1"/>
  <c r="AN29" i="1"/>
  <c r="AL29" i="1"/>
  <c r="AG29" i="1"/>
  <c r="AT29" i="1" s="1"/>
  <c r="P29" i="1"/>
  <c r="O29" i="1"/>
  <c r="BS28" i="1"/>
  <c r="BM28" i="1"/>
  <c r="BL28" i="1"/>
  <c r="BH28" i="1"/>
  <c r="BG28" i="1"/>
  <c r="AQ28" i="1"/>
  <c r="AN28" i="1"/>
  <c r="AL28" i="1"/>
  <c r="AI28" i="1"/>
  <c r="AG28" i="1"/>
  <c r="P28" i="1"/>
  <c r="O28" i="1"/>
  <c r="BS27" i="1"/>
  <c r="BM27" i="1"/>
  <c r="BL27" i="1"/>
  <c r="BH27" i="1"/>
  <c r="BG27" i="1"/>
  <c r="AQ27" i="1"/>
  <c r="AN27" i="1"/>
  <c r="AL27" i="1"/>
  <c r="AG27" i="1"/>
  <c r="AT27" i="1" s="1"/>
  <c r="P27" i="1"/>
  <c r="O27" i="1"/>
  <c r="BS26" i="1"/>
  <c r="BM26" i="1"/>
  <c r="BL26" i="1"/>
  <c r="BH26" i="1"/>
  <c r="BG26" i="1"/>
  <c r="AQ26" i="1"/>
  <c r="AN26" i="1"/>
  <c r="AL26" i="1"/>
  <c r="AI26" i="1"/>
  <c r="AG26" i="1"/>
  <c r="AT26" i="1" s="1"/>
  <c r="P26" i="1"/>
  <c r="O26" i="1"/>
  <c r="BS25" i="1"/>
  <c r="BM25" i="1"/>
  <c r="BL25" i="1"/>
  <c r="BH25" i="1"/>
  <c r="BG25" i="1"/>
  <c r="AQ25" i="1"/>
  <c r="AN25" i="1"/>
  <c r="AL25" i="1"/>
  <c r="AG25" i="1"/>
  <c r="AT25" i="1" s="1"/>
  <c r="P25" i="1"/>
  <c r="O25" i="1"/>
  <c r="BS24" i="1"/>
  <c r="BM24" i="1"/>
  <c r="BL24" i="1"/>
  <c r="BH24" i="1"/>
  <c r="BG24" i="1"/>
  <c r="AQ24" i="1"/>
  <c r="AN24" i="1"/>
  <c r="AL24" i="1"/>
  <c r="AI24" i="1"/>
  <c r="AG24" i="1"/>
  <c r="AT24" i="1" s="1"/>
  <c r="P24" i="1"/>
  <c r="O24" i="1"/>
  <c r="BS23" i="1"/>
  <c r="BM23" i="1"/>
  <c r="BL23" i="1"/>
  <c r="BH23" i="1"/>
  <c r="BG23" i="1"/>
  <c r="AQ23" i="1"/>
  <c r="AN23" i="1"/>
  <c r="AL23" i="1"/>
  <c r="AG23" i="1"/>
  <c r="AT23" i="1" s="1"/>
  <c r="P23" i="1"/>
  <c r="O23" i="1"/>
  <c r="BS22" i="1"/>
  <c r="BM22" i="1"/>
  <c r="BL22" i="1"/>
  <c r="BH22" i="1"/>
  <c r="BG22" i="1"/>
  <c r="AQ22" i="1"/>
  <c r="AN22" i="1"/>
  <c r="AL22" i="1"/>
  <c r="AI22" i="1"/>
  <c r="AG22" i="1"/>
  <c r="P22" i="1"/>
  <c r="O22" i="1"/>
  <c r="BS21" i="1"/>
  <c r="BM21" i="1"/>
  <c r="BL21" i="1"/>
  <c r="BH21" i="1"/>
  <c r="BG21" i="1"/>
  <c r="AQ21" i="1"/>
  <c r="AN21" i="1"/>
  <c r="AL21" i="1"/>
  <c r="AG21" i="1"/>
  <c r="AT21" i="1" s="1"/>
  <c r="P21" i="1"/>
  <c r="O21" i="1"/>
  <c r="BS20" i="1"/>
  <c r="BM20" i="1"/>
  <c r="BL20" i="1"/>
  <c r="BH20" i="1"/>
  <c r="BG20" i="1"/>
  <c r="AQ20" i="1"/>
  <c r="AN20" i="1"/>
  <c r="AL20" i="1"/>
  <c r="AI20" i="1"/>
  <c r="AG20" i="1"/>
  <c r="P20" i="1"/>
  <c r="O20" i="1"/>
  <c r="BS19" i="1"/>
  <c r="BM19" i="1"/>
  <c r="BL19" i="1"/>
  <c r="BH19" i="1"/>
  <c r="BG19" i="1"/>
  <c r="AQ19" i="1"/>
  <c r="AN19" i="1"/>
  <c r="AL19" i="1"/>
  <c r="AG19" i="1"/>
  <c r="AT19" i="1" s="1"/>
  <c r="P19" i="1"/>
  <c r="O19" i="1"/>
  <c r="BS18" i="1"/>
  <c r="BM18" i="1"/>
  <c r="BL18" i="1"/>
  <c r="BH18" i="1"/>
  <c r="BG18" i="1"/>
  <c r="AQ18" i="1"/>
  <c r="AN18" i="1"/>
  <c r="AL18" i="1"/>
  <c r="AI18" i="1"/>
  <c r="AG18" i="1"/>
  <c r="AT18" i="1" s="1"/>
  <c r="P18" i="1"/>
  <c r="O18" i="1"/>
  <c r="BS17" i="1"/>
  <c r="BM17" i="1"/>
  <c r="BL17" i="1"/>
  <c r="BH17" i="1"/>
  <c r="BG17" i="1"/>
  <c r="AQ17" i="1"/>
  <c r="AN17" i="1"/>
  <c r="AL17" i="1"/>
  <c r="AG17" i="1"/>
  <c r="AT17" i="1" s="1"/>
  <c r="P17" i="1"/>
  <c r="O17" i="1"/>
  <c r="BS16" i="1"/>
  <c r="BM16" i="1"/>
  <c r="BL16" i="1"/>
  <c r="BH16" i="1"/>
  <c r="BG16" i="1"/>
  <c r="AQ16" i="1"/>
  <c r="AN16" i="1"/>
  <c r="AL16" i="1"/>
  <c r="AI16" i="1"/>
  <c r="AG16" i="1"/>
  <c r="AT16" i="1" s="1"/>
  <c r="P16" i="1"/>
  <c r="O16" i="1"/>
  <c r="BS15" i="1"/>
  <c r="BM15" i="1"/>
  <c r="BL15" i="1"/>
  <c r="BH15" i="1"/>
  <c r="BG15" i="1"/>
  <c r="AQ15" i="1"/>
  <c r="AN15" i="1"/>
  <c r="AL15" i="1"/>
  <c r="AG15" i="1"/>
  <c r="AT15" i="1" s="1"/>
  <c r="P15" i="1"/>
  <c r="O15" i="1"/>
  <c r="BS14" i="1"/>
  <c r="BM14" i="1"/>
  <c r="BL14" i="1"/>
  <c r="BH14" i="1"/>
  <c r="BG14" i="1"/>
  <c r="AQ14" i="1"/>
  <c r="AN14" i="1"/>
  <c r="AL14" i="1"/>
  <c r="AI14" i="1"/>
  <c r="AG14" i="1"/>
  <c r="P14" i="1"/>
  <c r="O14" i="1"/>
  <c r="BS13" i="1"/>
  <c r="BM13" i="1"/>
  <c r="BL13" i="1"/>
  <c r="BH13" i="1"/>
  <c r="BG13" i="1"/>
  <c r="AQ13" i="1"/>
  <c r="AN13" i="1"/>
  <c r="AL13" i="1"/>
  <c r="AG13" i="1"/>
  <c r="AT13" i="1" s="1"/>
  <c r="P13" i="1"/>
  <c r="O13" i="1"/>
  <c r="BS12" i="1"/>
  <c r="BM12" i="1"/>
  <c r="BL12" i="1"/>
  <c r="BH12" i="1"/>
  <c r="BG12" i="1"/>
  <c r="AQ12" i="1"/>
  <c r="AN12" i="1"/>
  <c r="AL12" i="1"/>
  <c r="AI12" i="1"/>
  <c r="AG12" i="1"/>
  <c r="P12" i="1"/>
  <c r="O12" i="1"/>
  <c r="BS11" i="1"/>
  <c r="BM11" i="1"/>
  <c r="BL11" i="1"/>
  <c r="BH11" i="1"/>
  <c r="BG11" i="1"/>
  <c r="AQ11" i="1"/>
  <c r="AN11" i="1"/>
  <c r="AL11" i="1"/>
  <c r="AG11" i="1"/>
  <c r="AT11" i="1" s="1"/>
  <c r="P11" i="1"/>
  <c r="O11" i="1"/>
  <c r="BS10" i="1"/>
  <c r="BM10" i="1"/>
  <c r="BL10" i="1"/>
  <c r="BH10" i="1"/>
  <c r="BG10" i="1"/>
  <c r="AQ10" i="1"/>
  <c r="AN10" i="1"/>
  <c r="AL10" i="1"/>
  <c r="AI10" i="1"/>
  <c r="AG10" i="1"/>
  <c r="AT10" i="1" s="1"/>
  <c r="P10" i="1"/>
  <c r="O10" i="1"/>
  <c r="BS9" i="1"/>
  <c r="BM9" i="1"/>
  <c r="BL9" i="1"/>
  <c r="BH9" i="1"/>
  <c r="BG9" i="1"/>
  <c r="AQ9" i="1"/>
  <c r="AN9" i="1"/>
  <c r="AL9" i="1"/>
  <c r="AG9" i="1"/>
  <c r="AT9" i="1" s="1"/>
  <c r="P9" i="1"/>
  <c r="O9" i="1"/>
  <c r="BS8" i="1"/>
  <c r="BM8" i="1"/>
  <c r="BL8" i="1"/>
  <c r="BH8" i="1"/>
  <c r="BG8" i="1"/>
  <c r="AQ8" i="1"/>
  <c r="AN8" i="1"/>
  <c r="AR8" i="1" s="1"/>
  <c r="AL8" i="1"/>
  <c r="AI8" i="1"/>
  <c r="AG8" i="1"/>
  <c r="P8" i="1"/>
  <c r="O8" i="1"/>
  <c r="BS7" i="1"/>
  <c r="BM7" i="1"/>
  <c r="BL7" i="1"/>
  <c r="BH7" i="1"/>
  <c r="BG7" i="1"/>
  <c r="AQ7" i="1"/>
  <c r="AN7" i="1"/>
  <c r="AL7" i="1"/>
  <c r="AG7" i="1"/>
  <c r="AT7" i="1" s="1"/>
  <c r="P7" i="1"/>
  <c r="O7" i="1"/>
  <c r="BS6" i="1"/>
  <c r="BM6" i="1"/>
  <c r="BL6" i="1"/>
  <c r="BH6" i="1"/>
  <c r="BG6" i="1"/>
  <c r="AQ6" i="1"/>
  <c r="AN6" i="1"/>
  <c r="AR6" i="1" s="1"/>
  <c r="AL6" i="1"/>
  <c r="AI6" i="1"/>
  <c r="AG6" i="1"/>
  <c r="AT6" i="1" s="1"/>
  <c r="P6" i="1"/>
  <c r="O6" i="1"/>
  <c r="BS5" i="1"/>
  <c r="BM5" i="1"/>
  <c r="BL5" i="1"/>
  <c r="BH5" i="1"/>
  <c r="BG5" i="1"/>
  <c r="AQ5" i="1"/>
  <c r="AN5" i="1"/>
  <c r="AL5" i="1"/>
  <c r="AG5" i="1"/>
  <c r="AT5" i="1" s="1"/>
  <c r="P5" i="1"/>
  <c r="O5" i="1"/>
  <c r="BS4" i="1"/>
  <c r="BM4" i="1"/>
  <c r="BL4" i="1"/>
  <c r="BH4" i="1"/>
  <c r="BG4" i="1"/>
  <c r="AQ4" i="1"/>
  <c r="AN4" i="1"/>
  <c r="AR4" i="1" s="1"/>
  <c r="AL4" i="1"/>
  <c r="AI4" i="1"/>
  <c r="AS4" i="1" s="1"/>
  <c r="AG4" i="1"/>
  <c r="AT4" i="1" s="1"/>
  <c r="P4" i="1"/>
  <c r="O4" i="1"/>
  <c r="BS3" i="1"/>
  <c r="BM3" i="1"/>
  <c r="BL3" i="1"/>
  <c r="BH3" i="1"/>
  <c r="BG3" i="1"/>
  <c r="AQ3" i="1"/>
  <c r="AN3" i="1"/>
  <c r="AL3" i="1"/>
  <c r="AG3" i="1"/>
  <c r="AT3" i="1" s="1"/>
  <c r="P3" i="1"/>
  <c r="O3" i="1"/>
  <c r="BS2" i="1"/>
  <c r="BM2" i="1"/>
  <c r="BL2" i="1"/>
  <c r="BH2" i="1"/>
  <c r="BG2" i="1"/>
  <c r="AQ2" i="1"/>
  <c r="AN2" i="1"/>
  <c r="AR2" i="1" s="1"/>
  <c r="AL2" i="1"/>
  <c r="AI2" i="1"/>
  <c r="AS2" i="1" s="1"/>
  <c r="AG2" i="1"/>
  <c r="P2" i="1"/>
  <c r="O2" i="1"/>
  <c r="BS300" i="11"/>
  <c r="BM300" i="11"/>
  <c r="BL300" i="11"/>
  <c r="BH300" i="11"/>
  <c r="BG300" i="11"/>
  <c r="AQ300" i="11"/>
  <c r="AN300" i="11"/>
  <c r="AL300" i="11"/>
  <c r="AG300" i="11"/>
  <c r="AT300" i="11" s="1"/>
  <c r="P300" i="11"/>
  <c r="O300" i="11"/>
  <c r="BS299" i="11"/>
  <c r="BM299" i="11"/>
  <c r="BL299" i="11"/>
  <c r="BH299" i="11"/>
  <c r="BG299" i="11"/>
  <c r="AQ299" i="11"/>
  <c r="AN299" i="11"/>
  <c r="AL299" i="11"/>
  <c r="AI299" i="11"/>
  <c r="AG299" i="11"/>
  <c r="P299" i="11"/>
  <c r="O299" i="11"/>
  <c r="BS298" i="11"/>
  <c r="BM298" i="11"/>
  <c r="BL298" i="11"/>
  <c r="BH298" i="11"/>
  <c r="BG298" i="11"/>
  <c r="AQ298" i="11"/>
  <c r="AN298" i="11"/>
  <c r="AL298" i="11"/>
  <c r="AG298" i="11"/>
  <c r="AT298" i="11" s="1"/>
  <c r="P298" i="11"/>
  <c r="O298" i="11"/>
  <c r="BS297" i="11"/>
  <c r="BM297" i="11"/>
  <c r="BL297" i="11"/>
  <c r="BH297" i="11"/>
  <c r="BG297" i="11"/>
  <c r="AQ297" i="11"/>
  <c r="AN297" i="11"/>
  <c r="AR297" i="11" s="1"/>
  <c r="AL297" i="11"/>
  <c r="AI297" i="11"/>
  <c r="AS297" i="11" s="1"/>
  <c r="AG297" i="11"/>
  <c r="AT297" i="11" s="1"/>
  <c r="P297" i="11"/>
  <c r="O297" i="11"/>
  <c r="BS296" i="11"/>
  <c r="BM296" i="11"/>
  <c r="BL296" i="11"/>
  <c r="BH296" i="11"/>
  <c r="BG296" i="11"/>
  <c r="AQ296" i="11"/>
  <c r="AN296" i="11"/>
  <c r="AL296" i="11"/>
  <c r="AG296" i="11"/>
  <c r="AT296" i="11" s="1"/>
  <c r="P296" i="11"/>
  <c r="O296" i="11"/>
  <c r="BS295" i="11"/>
  <c r="BM295" i="11"/>
  <c r="BL295" i="11"/>
  <c r="BH295" i="11"/>
  <c r="BG295" i="11"/>
  <c r="AQ295" i="11"/>
  <c r="AN295" i="11"/>
  <c r="AR295" i="11" s="1"/>
  <c r="AL295" i="11"/>
  <c r="AI295" i="11"/>
  <c r="AS295" i="11" s="1"/>
  <c r="AG295" i="11"/>
  <c r="AT295" i="11" s="1"/>
  <c r="P295" i="11"/>
  <c r="O295" i="11"/>
  <c r="BS294" i="11"/>
  <c r="BM294" i="11"/>
  <c r="BL294" i="11"/>
  <c r="BH294" i="11"/>
  <c r="BG294" i="11"/>
  <c r="AQ294" i="11"/>
  <c r="AN294" i="11"/>
  <c r="AL294" i="11"/>
  <c r="AG294" i="11"/>
  <c r="AT294" i="11" s="1"/>
  <c r="P294" i="11"/>
  <c r="O294" i="11"/>
  <c r="BS293" i="11"/>
  <c r="BM293" i="11"/>
  <c r="BL293" i="11"/>
  <c r="BH293" i="11"/>
  <c r="BG293" i="11"/>
  <c r="AQ293" i="11"/>
  <c r="AN293" i="11"/>
  <c r="AL293" i="11"/>
  <c r="AI293" i="11"/>
  <c r="AG293" i="11"/>
  <c r="P293" i="11"/>
  <c r="O293" i="11"/>
  <c r="BS292" i="11"/>
  <c r="BM292" i="11"/>
  <c r="BL292" i="11"/>
  <c r="BH292" i="11"/>
  <c r="BG292" i="11"/>
  <c r="AQ292" i="11"/>
  <c r="AN292" i="11"/>
  <c r="AL292" i="11"/>
  <c r="AG292" i="11"/>
  <c r="AT292" i="11" s="1"/>
  <c r="P292" i="11"/>
  <c r="O292" i="11"/>
  <c r="BS291" i="11"/>
  <c r="BM291" i="11"/>
  <c r="BL291" i="11"/>
  <c r="BH291" i="11"/>
  <c r="BG291" i="11"/>
  <c r="AQ291" i="11"/>
  <c r="AN291" i="11"/>
  <c r="AL291" i="11"/>
  <c r="AI291" i="11"/>
  <c r="AS291" i="11" s="1"/>
  <c r="AG291" i="11"/>
  <c r="AT291" i="11" s="1"/>
  <c r="P291" i="11"/>
  <c r="O291" i="11"/>
  <c r="BS290" i="11"/>
  <c r="BM290" i="11"/>
  <c r="BL290" i="11"/>
  <c r="BH290" i="11"/>
  <c r="BG290" i="11"/>
  <c r="AQ290" i="11"/>
  <c r="AN290" i="11"/>
  <c r="AL290" i="11"/>
  <c r="AG290" i="11"/>
  <c r="AT290" i="11" s="1"/>
  <c r="P290" i="11"/>
  <c r="O290" i="11"/>
  <c r="BS289" i="11"/>
  <c r="BM289" i="11"/>
  <c r="BL289" i="11"/>
  <c r="BH289" i="11"/>
  <c r="BG289" i="11"/>
  <c r="AQ289" i="11"/>
  <c r="AN289" i="11"/>
  <c r="AR289" i="11" s="1"/>
  <c r="AL289" i="11"/>
  <c r="AI289" i="11"/>
  <c r="AS289" i="11" s="1"/>
  <c r="AG289" i="11"/>
  <c r="AT289" i="11" s="1"/>
  <c r="P289" i="11"/>
  <c r="O289" i="11"/>
  <c r="BS288" i="11"/>
  <c r="BM288" i="11"/>
  <c r="BL288" i="11"/>
  <c r="BH288" i="11"/>
  <c r="BG288" i="11"/>
  <c r="AQ288" i="11"/>
  <c r="AN288" i="11"/>
  <c r="AL288" i="11"/>
  <c r="AG288" i="11"/>
  <c r="AT288" i="11" s="1"/>
  <c r="P288" i="11"/>
  <c r="O288" i="11"/>
  <c r="BS287" i="11"/>
  <c r="BM287" i="11"/>
  <c r="BL287" i="11"/>
  <c r="BH287" i="11"/>
  <c r="BG287" i="11"/>
  <c r="AQ287" i="11"/>
  <c r="AN287" i="11"/>
  <c r="AR287" i="11" s="1"/>
  <c r="AL287" i="11"/>
  <c r="AI287" i="11"/>
  <c r="AG287" i="11"/>
  <c r="P287" i="11"/>
  <c r="O287" i="11"/>
  <c r="BS286" i="11"/>
  <c r="BM286" i="11"/>
  <c r="BL286" i="11"/>
  <c r="BH286" i="11"/>
  <c r="BG286" i="11"/>
  <c r="AQ286" i="11"/>
  <c r="AN286" i="11"/>
  <c r="AL286" i="11"/>
  <c r="AG286" i="11"/>
  <c r="AT286" i="11" s="1"/>
  <c r="P286" i="11"/>
  <c r="O286" i="11"/>
  <c r="BS285" i="11"/>
  <c r="BM285" i="11"/>
  <c r="BL285" i="11"/>
  <c r="BH285" i="11"/>
  <c r="BG285" i="11"/>
  <c r="AQ285" i="11"/>
  <c r="AN285" i="11"/>
  <c r="AR285" i="11" s="1"/>
  <c r="AL285" i="11"/>
  <c r="AI285" i="11"/>
  <c r="AG285" i="11"/>
  <c r="AT285" i="11" s="1"/>
  <c r="P285" i="11"/>
  <c r="O285" i="11"/>
  <c r="BS284" i="11"/>
  <c r="BM284" i="11"/>
  <c r="BL284" i="11"/>
  <c r="BH284" i="11"/>
  <c r="BG284" i="11"/>
  <c r="AQ284" i="11"/>
  <c r="AN284" i="11"/>
  <c r="AL284" i="11"/>
  <c r="AG284" i="11"/>
  <c r="AT284" i="11" s="1"/>
  <c r="P284" i="11"/>
  <c r="O284" i="11"/>
  <c r="BS283" i="11"/>
  <c r="BM283" i="11"/>
  <c r="BL283" i="11"/>
  <c r="BH283" i="11"/>
  <c r="BG283" i="11"/>
  <c r="AQ283" i="11"/>
  <c r="AN283" i="11"/>
  <c r="AR283" i="11" s="1"/>
  <c r="AL283" i="11"/>
  <c r="AI283" i="11"/>
  <c r="AS283" i="11" s="1"/>
  <c r="AG283" i="11"/>
  <c r="AT283" i="11" s="1"/>
  <c r="P283" i="11"/>
  <c r="O283" i="11"/>
  <c r="BS282" i="11"/>
  <c r="BM282" i="11"/>
  <c r="BL282" i="11"/>
  <c r="BH282" i="11"/>
  <c r="BG282" i="11"/>
  <c r="AQ282" i="11"/>
  <c r="AN282" i="11"/>
  <c r="AL282" i="11"/>
  <c r="AG282" i="11"/>
  <c r="AT282" i="11" s="1"/>
  <c r="P282" i="11"/>
  <c r="O282" i="11"/>
  <c r="BS281" i="11"/>
  <c r="BM281" i="11"/>
  <c r="BL281" i="11"/>
  <c r="BH281" i="11"/>
  <c r="BG281" i="11"/>
  <c r="AQ281" i="11"/>
  <c r="AN281" i="11"/>
  <c r="AR281" i="11" s="1"/>
  <c r="AL281" i="11"/>
  <c r="AI281" i="11"/>
  <c r="AS281" i="11" s="1"/>
  <c r="AG281" i="11"/>
  <c r="P281" i="11"/>
  <c r="O281" i="11"/>
  <c r="BS280" i="11"/>
  <c r="BM280" i="11"/>
  <c r="BL280" i="11"/>
  <c r="BH280" i="11"/>
  <c r="BG280" i="11"/>
  <c r="AQ280" i="11"/>
  <c r="AN280" i="11"/>
  <c r="AL280" i="11"/>
  <c r="AG280" i="11"/>
  <c r="AT280" i="11" s="1"/>
  <c r="P280" i="11"/>
  <c r="O280" i="11"/>
  <c r="BS279" i="11"/>
  <c r="BM279" i="11"/>
  <c r="BL279" i="11"/>
  <c r="BH279" i="11"/>
  <c r="BG279" i="11"/>
  <c r="AQ279" i="11"/>
  <c r="AN279" i="11"/>
  <c r="AL279" i="11"/>
  <c r="AI279" i="11"/>
  <c r="AG279" i="11"/>
  <c r="P279" i="11"/>
  <c r="O279" i="11"/>
  <c r="BS278" i="11"/>
  <c r="BM278" i="11"/>
  <c r="BL278" i="11"/>
  <c r="BH278" i="11"/>
  <c r="BG278" i="11"/>
  <c r="AQ278" i="11"/>
  <c r="AN278" i="11"/>
  <c r="AL278" i="11"/>
  <c r="AG278" i="11"/>
  <c r="AT278" i="11" s="1"/>
  <c r="P278" i="11"/>
  <c r="O278" i="11"/>
  <c r="BS277" i="11"/>
  <c r="BM277" i="11"/>
  <c r="BL277" i="11"/>
  <c r="BH277" i="11"/>
  <c r="BG277" i="11"/>
  <c r="AQ277" i="11"/>
  <c r="AN277" i="11"/>
  <c r="AR277" i="11" s="1"/>
  <c r="AL277" i="11"/>
  <c r="AI277" i="11"/>
  <c r="AS277" i="11" s="1"/>
  <c r="AG277" i="11"/>
  <c r="AT277" i="11" s="1"/>
  <c r="P277" i="11"/>
  <c r="O277" i="11"/>
  <c r="BS276" i="11"/>
  <c r="BM276" i="11"/>
  <c r="BL276" i="11"/>
  <c r="BH276" i="11"/>
  <c r="BG276" i="11"/>
  <c r="AQ276" i="11"/>
  <c r="AN276" i="11"/>
  <c r="AL276" i="11"/>
  <c r="AG276" i="11"/>
  <c r="AT276" i="11" s="1"/>
  <c r="P276" i="11"/>
  <c r="O276" i="11"/>
  <c r="BS275" i="11"/>
  <c r="BM275" i="11"/>
  <c r="BL275" i="11"/>
  <c r="BH275" i="11"/>
  <c r="BG275" i="11"/>
  <c r="AQ275" i="11"/>
  <c r="AN275" i="11"/>
  <c r="AR275" i="11" s="1"/>
  <c r="AL275" i="11"/>
  <c r="AI275" i="11"/>
  <c r="AS275" i="11" s="1"/>
  <c r="AG275" i="11"/>
  <c r="AT275" i="11" s="1"/>
  <c r="P275" i="11"/>
  <c r="O275" i="11"/>
  <c r="BS274" i="11"/>
  <c r="BM274" i="11"/>
  <c r="BL274" i="11"/>
  <c r="BH274" i="11"/>
  <c r="BG274" i="11"/>
  <c r="AQ274" i="11"/>
  <c r="AN274" i="11"/>
  <c r="AL274" i="11"/>
  <c r="AG274" i="11"/>
  <c r="AT274" i="11" s="1"/>
  <c r="P274" i="11"/>
  <c r="O274" i="11"/>
  <c r="BS273" i="11"/>
  <c r="BM273" i="11"/>
  <c r="BL273" i="11"/>
  <c r="BH273" i="11"/>
  <c r="BG273" i="11"/>
  <c r="AQ273" i="11"/>
  <c r="AN273" i="11"/>
  <c r="AL273" i="11"/>
  <c r="AI273" i="11"/>
  <c r="AG273" i="11"/>
  <c r="P273" i="11"/>
  <c r="O273" i="11"/>
  <c r="BS272" i="11"/>
  <c r="BM272" i="11"/>
  <c r="BL272" i="11"/>
  <c r="BH272" i="11"/>
  <c r="BG272" i="11"/>
  <c r="AQ272" i="11"/>
  <c r="AN272" i="11"/>
  <c r="AL272" i="11"/>
  <c r="AG272" i="11"/>
  <c r="P272" i="11"/>
  <c r="O272" i="11"/>
  <c r="BS271" i="11"/>
  <c r="BM271" i="11"/>
  <c r="BL271" i="11"/>
  <c r="BH271" i="11"/>
  <c r="BG271" i="11"/>
  <c r="AR271" i="11"/>
  <c r="AQ271" i="11"/>
  <c r="AN271" i="11"/>
  <c r="AL271" i="11"/>
  <c r="AI271" i="11"/>
  <c r="AS271" i="11" s="1"/>
  <c r="AG271" i="11"/>
  <c r="AT271" i="11" s="1"/>
  <c r="P271" i="11"/>
  <c r="O271" i="11"/>
  <c r="BS270" i="11"/>
  <c r="BM270" i="11"/>
  <c r="BL270" i="11"/>
  <c r="BH270" i="11"/>
  <c r="BG270" i="11"/>
  <c r="AQ270" i="11"/>
  <c r="AN270" i="11"/>
  <c r="AL270" i="11"/>
  <c r="AG270" i="11"/>
  <c r="P270" i="11"/>
  <c r="O270" i="11"/>
  <c r="BS269" i="11"/>
  <c r="BM269" i="11"/>
  <c r="BL269" i="11"/>
  <c r="BH269" i="11"/>
  <c r="BG269" i="11"/>
  <c r="AQ269" i="11"/>
  <c r="AN269" i="11"/>
  <c r="AR269" i="11" s="1"/>
  <c r="AL269" i="11"/>
  <c r="AI269" i="11"/>
  <c r="AS269" i="11" s="1"/>
  <c r="AG269" i="11"/>
  <c r="P269" i="11"/>
  <c r="O269" i="11"/>
  <c r="BS268" i="11"/>
  <c r="BM268" i="11"/>
  <c r="BL268" i="11"/>
  <c r="BH268" i="11"/>
  <c r="BG268" i="11"/>
  <c r="AQ268" i="11"/>
  <c r="AN268" i="11"/>
  <c r="AL268" i="11"/>
  <c r="AG268" i="11"/>
  <c r="P268" i="11"/>
  <c r="O268" i="11"/>
  <c r="BS267" i="11"/>
  <c r="BM267" i="11"/>
  <c r="BL267" i="11"/>
  <c r="BH267" i="11"/>
  <c r="BG267" i="11"/>
  <c r="AR267" i="11"/>
  <c r="AQ267" i="11"/>
  <c r="AN267" i="11"/>
  <c r="AL267" i="11"/>
  <c r="AI267" i="11"/>
  <c r="AG267" i="11"/>
  <c r="AT267" i="11" s="1"/>
  <c r="P267" i="11"/>
  <c r="O267" i="11"/>
  <c r="BS266" i="11"/>
  <c r="BM266" i="11"/>
  <c r="BL266" i="11"/>
  <c r="BH266" i="11"/>
  <c r="BG266" i="11"/>
  <c r="AQ266" i="11"/>
  <c r="AN266" i="11"/>
  <c r="AL266" i="11"/>
  <c r="AG266" i="11"/>
  <c r="P266" i="11"/>
  <c r="O266" i="11"/>
  <c r="BS265" i="11"/>
  <c r="BM265" i="11"/>
  <c r="BL265" i="11"/>
  <c r="BH265" i="11"/>
  <c r="BG265" i="11"/>
  <c r="AQ265" i="11"/>
  <c r="AN265" i="11"/>
  <c r="AR265" i="11" s="1"/>
  <c r="AL265" i="11"/>
  <c r="AI265" i="11"/>
  <c r="AS265" i="11" s="1"/>
  <c r="AG265" i="11"/>
  <c r="AT265" i="11" s="1"/>
  <c r="P265" i="11"/>
  <c r="O265" i="11"/>
  <c r="BS264" i="11"/>
  <c r="BM264" i="11"/>
  <c r="BL264" i="11"/>
  <c r="BH264" i="11"/>
  <c r="BG264" i="11"/>
  <c r="AQ264" i="11"/>
  <c r="AN264" i="11"/>
  <c r="AL264" i="11"/>
  <c r="AG264" i="11"/>
  <c r="P264" i="11"/>
  <c r="O264" i="11"/>
  <c r="BS263" i="11"/>
  <c r="BM263" i="11"/>
  <c r="BL263" i="11"/>
  <c r="BH263" i="11"/>
  <c r="BG263" i="11"/>
  <c r="AQ263" i="11"/>
  <c r="AN263" i="11"/>
  <c r="AR263" i="11" s="1"/>
  <c r="AL263" i="11"/>
  <c r="AI263" i="11"/>
  <c r="AG263" i="11"/>
  <c r="P263" i="11"/>
  <c r="O263" i="11"/>
  <c r="BS262" i="11"/>
  <c r="BM262" i="11"/>
  <c r="BL262" i="11"/>
  <c r="BH262" i="11"/>
  <c r="BG262" i="11"/>
  <c r="AQ262" i="11"/>
  <c r="AN262" i="11"/>
  <c r="AL262" i="11"/>
  <c r="AG262" i="11"/>
  <c r="P262" i="11"/>
  <c r="O262" i="11"/>
  <c r="BS261" i="11"/>
  <c r="BM261" i="11"/>
  <c r="BL261" i="11"/>
  <c r="BH261" i="11"/>
  <c r="BG261" i="11"/>
  <c r="AR261" i="11"/>
  <c r="AQ261" i="11"/>
  <c r="AN261" i="11"/>
  <c r="AL261" i="11"/>
  <c r="AI261" i="11"/>
  <c r="AS261" i="11" s="1"/>
  <c r="AG261" i="11"/>
  <c r="AT261" i="11" s="1"/>
  <c r="P261" i="11"/>
  <c r="O261" i="11"/>
  <c r="BS260" i="11"/>
  <c r="BM260" i="11"/>
  <c r="BL260" i="11"/>
  <c r="BH260" i="11"/>
  <c r="BG260" i="11"/>
  <c r="AQ260" i="11"/>
  <c r="AN260" i="11"/>
  <c r="AL260" i="11"/>
  <c r="AG260" i="11"/>
  <c r="P260" i="11"/>
  <c r="O260" i="11"/>
  <c r="BS259" i="11"/>
  <c r="BM259" i="11"/>
  <c r="BL259" i="11"/>
  <c r="BH259" i="11"/>
  <c r="BG259" i="11"/>
  <c r="AQ259" i="11"/>
  <c r="AN259" i="11"/>
  <c r="AR259" i="11" s="1"/>
  <c r="AL259" i="11"/>
  <c r="AI259" i="11"/>
  <c r="AS259" i="11" s="1"/>
  <c r="AG259" i="11"/>
  <c r="P259" i="11"/>
  <c r="O259" i="11"/>
  <c r="BS258" i="11"/>
  <c r="BM258" i="11"/>
  <c r="BL258" i="11"/>
  <c r="BH258" i="11"/>
  <c r="BG258" i="11"/>
  <c r="AQ258" i="11"/>
  <c r="AN258" i="11"/>
  <c r="AL258" i="11"/>
  <c r="AG258" i="11"/>
  <c r="P258" i="11"/>
  <c r="O258" i="11"/>
  <c r="BS257" i="11"/>
  <c r="BM257" i="11"/>
  <c r="BL257" i="11"/>
  <c r="BH257" i="11"/>
  <c r="BG257" i="11"/>
  <c r="AR257" i="11"/>
  <c r="AQ257" i="11"/>
  <c r="AN257" i="11"/>
  <c r="AL257" i="11"/>
  <c r="AI257" i="11"/>
  <c r="AG257" i="11"/>
  <c r="AT257" i="11" s="1"/>
  <c r="P257" i="11"/>
  <c r="O257" i="11"/>
  <c r="BS256" i="11"/>
  <c r="BM256" i="11"/>
  <c r="BL256" i="11"/>
  <c r="BH256" i="11"/>
  <c r="BG256" i="11"/>
  <c r="AQ256" i="11"/>
  <c r="AN256" i="11"/>
  <c r="AL256" i="11"/>
  <c r="AG256" i="11"/>
  <c r="P256" i="11"/>
  <c r="O256" i="11"/>
  <c r="BS255" i="11"/>
  <c r="BM255" i="11"/>
  <c r="BL255" i="11"/>
  <c r="BH255" i="11"/>
  <c r="BG255" i="11"/>
  <c r="AQ255" i="11"/>
  <c r="AN255" i="11"/>
  <c r="AR255" i="11" s="1"/>
  <c r="AL255" i="11"/>
  <c r="AI255" i="11"/>
  <c r="AS255" i="11" s="1"/>
  <c r="AG255" i="11"/>
  <c r="AT255" i="11" s="1"/>
  <c r="P255" i="11"/>
  <c r="O255" i="11"/>
  <c r="BS254" i="11"/>
  <c r="BM254" i="11"/>
  <c r="BL254" i="11"/>
  <c r="BH254" i="11"/>
  <c r="BG254" i="11"/>
  <c r="AQ254" i="11"/>
  <c r="AN254" i="11"/>
  <c r="AL254" i="11"/>
  <c r="AG254" i="11"/>
  <c r="P254" i="11"/>
  <c r="O254" i="11"/>
  <c r="BS253" i="11"/>
  <c r="BM253" i="11"/>
  <c r="BL253" i="11"/>
  <c r="BH253" i="11"/>
  <c r="BG253" i="11"/>
  <c r="AQ253" i="11"/>
  <c r="AN253" i="11"/>
  <c r="AR253" i="11" s="1"/>
  <c r="AL253" i="11"/>
  <c r="AI253" i="11"/>
  <c r="AG253" i="11"/>
  <c r="P253" i="11"/>
  <c r="O253" i="11"/>
  <c r="BS252" i="11"/>
  <c r="BM252" i="11"/>
  <c r="BL252" i="11"/>
  <c r="BH252" i="11"/>
  <c r="BG252" i="11"/>
  <c r="AQ252" i="11"/>
  <c r="AN252" i="11"/>
  <c r="AL252" i="11"/>
  <c r="AG252" i="11"/>
  <c r="P252" i="11"/>
  <c r="O252" i="11"/>
  <c r="BS251" i="11"/>
  <c r="BM251" i="11"/>
  <c r="BL251" i="11"/>
  <c r="BH251" i="11"/>
  <c r="BG251" i="11"/>
  <c r="AR251" i="11"/>
  <c r="AQ251" i="11"/>
  <c r="AN251" i="11"/>
  <c r="AL251" i="11"/>
  <c r="AI251" i="11"/>
  <c r="AS251" i="11" s="1"/>
  <c r="AG251" i="11"/>
  <c r="AT251" i="11" s="1"/>
  <c r="P251" i="11"/>
  <c r="O251" i="11"/>
  <c r="BS250" i="11"/>
  <c r="BM250" i="11"/>
  <c r="BL250" i="11"/>
  <c r="BH250" i="11"/>
  <c r="BG250" i="11"/>
  <c r="AQ250" i="11"/>
  <c r="AN250" i="11"/>
  <c r="AL250" i="11"/>
  <c r="AG250" i="11"/>
  <c r="P250" i="11"/>
  <c r="O250" i="11"/>
  <c r="BS249" i="11"/>
  <c r="BM249" i="11"/>
  <c r="BL249" i="11"/>
  <c r="BH249" i="11"/>
  <c r="BG249" i="11"/>
  <c r="AQ249" i="11"/>
  <c r="AN249" i="11"/>
  <c r="AR249" i="11" s="1"/>
  <c r="AL249" i="11"/>
  <c r="AI249" i="11"/>
  <c r="AS249" i="11" s="1"/>
  <c r="AG249" i="11"/>
  <c r="P249" i="11"/>
  <c r="O249" i="11"/>
  <c r="BS248" i="11"/>
  <c r="BM248" i="11"/>
  <c r="BL248" i="11"/>
  <c r="BH248" i="11"/>
  <c r="BG248" i="11"/>
  <c r="AQ248" i="11"/>
  <c r="AN248" i="11"/>
  <c r="AL248" i="11"/>
  <c r="AG248" i="11"/>
  <c r="P248" i="11"/>
  <c r="O248" i="11"/>
  <c r="BS247" i="11"/>
  <c r="BM247" i="11"/>
  <c r="BL247" i="11"/>
  <c r="BH247" i="11"/>
  <c r="BG247" i="11"/>
  <c r="AR247" i="11"/>
  <c r="AQ247" i="11"/>
  <c r="AN247" i="11"/>
  <c r="AL247" i="11"/>
  <c r="AI247" i="11"/>
  <c r="AG247" i="11"/>
  <c r="AT247" i="11" s="1"/>
  <c r="P247" i="11"/>
  <c r="O247" i="11"/>
  <c r="BS246" i="11"/>
  <c r="BM246" i="11"/>
  <c r="BL246" i="11"/>
  <c r="BH246" i="11"/>
  <c r="BG246" i="11"/>
  <c r="AQ246" i="11"/>
  <c r="AN246" i="11"/>
  <c r="AL246" i="11"/>
  <c r="AG246" i="11"/>
  <c r="P246" i="11"/>
  <c r="O246" i="11"/>
  <c r="BS245" i="11"/>
  <c r="BM245" i="11"/>
  <c r="BL245" i="11"/>
  <c r="BH245" i="11"/>
  <c r="BG245" i="11"/>
  <c r="AQ245" i="11"/>
  <c r="AN245" i="11"/>
  <c r="AR245" i="11" s="1"/>
  <c r="AL245" i="11"/>
  <c r="AI245" i="11"/>
  <c r="AS245" i="11" s="1"/>
  <c r="AG245" i="11"/>
  <c r="AT245" i="11" s="1"/>
  <c r="P245" i="11"/>
  <c r="O245" i="11"/>
  <c r="BS244" i="11"/>
  <c r="BM244" i="11"/>
  <c r="BL244" i="11"/>
  <c r="BH244" i="11"/>
  <c r="BG244" i="11"/>
  <c r="AQ244" i="11"/>
  <c r="AN244" i="11"/>
  <c r="AL244" i="11"/>
  <c r="AG244" i="11"/>
  <c r="P244" i="11"/>
  <c r="O244" i="11"/>
  <c r="BS243" i="11"/>
  <c r="BM243" i="11"/>
  <c r="BL243" i="11"/>
  <c r="BH243" i="11"/>
  <c r="BG243" i="11"/>
  <c r="AQ243" i="11"/>
  <c r="AN243" i="11"/>
  <c r="AR243" i="11" s="1"/>
  <c r="AL243" i="11"/>
  <c r="AI243" i="11"/>
  <c r="AG243" i="11"/>
  <c r="P243" i="11"/>
  <c r="O243" i="11"/>
  <c r="BS242" i="11"/>
  <c r="BM242" i="11"/>
  <c r="BL242" i="11"/>
  <c r="BH242" i="11"/>
  <c r="BG242" i="11"/>
  <c r="AQ242" i="11"/>
  <c r="AN242" i="11"/>
  <c r="AL242" i="11"/>
  <c r="AG242" i="11"/>
  <c r="P242" i="11"/>
  <c r="O242" i="11"/>
  <c r="BS241" i="11"/>
  <c r="BM241" i="11"/>
  <c r="BL241" i="11"/>
  <c r="BH241" i="11"/>
  <c r="BG241" i="11"/>
  <c r="AR241" i="11"/>
  <c r="AQ241" i="11"/>
  <c r="AN241" i="11"/>
  <c r="AL241" i="11"/>
  <c r="AI241" i="11"/>
  <c r="AS241" i="11" s="1"/>
  <c r="AG241" i="11"/>
  <c r="AT241" i="11" s="1"/>
  <c r="P241" i="11"/>
  <c r="O241" i="11"/>
  <c r="BS240" i="11"/>
  <c r="BM240" i="11"/>
  <c r="BL240" i="11"/>
  <c r="BH240" i="11"/>
  <c r="BG240" i="11"/>
  <c r="AQ240" i="11"/>
  <c r="AN240" i="11"/>
  <c r="AL240" i="11"/>
  <c r="AG240" i="11"/>
  <c r="P240" i="11"/>
  <c r="O240" i="11"/>
  <c r="BS239" i="11"/>
  <c r="BM239" i="11"/>
  <c r="BL239" i="11"/>
  <c r="BH239" i="11"/>
  <c r="BG239" i="11"/>
  <c r="AQ239" i="11"/>
  <c r="AN239" i="11"/>
  <c r="AR239" i="11" s="1"/>
  <c r="AL239" i="11"/>
  <c r="AI239" i="11"/>
  <c r="AS239" i="11" s="1"/>
  <c r="AG239" i="11"/>
  <c r="P239" i="11"/>
  <c r="O239" i="11"/>
  <c r="BS238" i="11"/>
  <c r="BM238" i="11"/>
  <c r="BL238" i="11"/>
  <c r="BH238" i="11"/>
  <c r="BG238" i="11"/>
  <c r="AQ238" i="11"/>
  <c r="AN238" i="11"/>
  <c r="AL238" i="11"/>
  <c r="AG238" i="11"/>
  <c r="P238" i="11"/>
  <c r="O238" i="11"/>
  <c r="BS237" i="11"/>
  <c r="BM237" i="11"/>
  <c r="BL237" i="11"/>
  <c r="BH237" i="11"/>
  <c r="BG237" i="11"/>
  <c r="AR237" i="11"/>
  <c r="AQ237" i="11"/>
  <c r="AN237" i="11"/>
  <c r="AL237" i="11"/>
  <c r="AI237" i="11"/>
  <c r="AG237" i="11"/>
  <c r="AT237" i="11" s="1"/>
  <c r="P237" i="11"/>
  <c r="O237" i="11"/>
  <c r="BS236" i="11"/>
  <c r="BM236" i="11"/>
  <c r="BL236" i="11"/>
  <c r="BH236" i="11"/>
  <c r="BG236" i="11"/>
  <c r="AQ236" i="11"/>
  <c r="AN236" i="11"/>
  <c r="AL236" i="11"/>
  <c r="AG236" i="11"/>
  <c r="P236" i="11"/>
  <c r="O236" i="11"/>
  <c r="BS235" i="11"/>
  <c r="BM235" i="11"/>
  <c r="BL235" i="11"/>
  <c r="BH235" i="11"/>
  <c r="BG235" i="11"/>
  <c r="AQ235" i="11"/>
  <c r="AN235" i="11"/>
  <c r="AR235" i="11" s="1"/>
  <c r="AL235" i="11"/>
  <c r="AI235" i="11"/>
  <c r="AS235" i="11" s="1"/>
  <c r="AG235" i="11"/>
  <c r="AT235" i="11" s="1"/>
  <c r="P235" i="11"/>
  <c r="O235" i="11"/>
  <c r="BS234" i="11"/>
  <c r="BM234" i="11"/>
  <c r="BL234" i="11"/>
  <c r="BH234" i="11"/>
  <c r="BG234" i="11"/>
  <c r="AQ234" i="11"/>
  <c r="AN234" i="11"/>
  <c r="AL234" i="11"/>
  <c r="AG234" i="11"/>
  <c r="P234" i="11"/>
  <c r="O234" i="11"/>
  <c r="BS233" i="11"/>
  <c r="BM233" i="11"/>
  <c r="BL233" i="11"/>
  <c r="BH233" i="11"/>
  <c r="BG233" i="11"/>
  <c r="AQ233" i="11"/>
  <c r="AN233" i="11"/>
  <c r="AR233" i="11" s="1"/>
  <c r="AL233" i="11"/>
  <c r="AI233" i="11"/>
  <c r="AG233" i="11"/>
  <c r="P233" i="11"/>
  <c r="O233" i="11"/>
  <c r="BS232" i="11"/>
  <c r="BM232" i="11"/>
  <c r="BL232" i="11"/>
  <c r="BH232" i="11"/>
  <c r="BG232" i="11"/>
  <c r="AQ232" i="11"/>
  <c r="AN232" i="11"/>
  <c r="AL232" i="11"/>
  <c r="AG232" i="11"/>
  <c r="P232" i="11"/>
  <c r="O232" i="11"/>
  <c r="BS231" i="11"/>
  <c r="BM231" i="11"/>
  <c r="BL231" i="11"/>
  <c r="BH231" i="11"/>
  <c r="BG231" i="11"/>
  <c r="AR231" i="11"/>
  <c r="AQ231" i="11"/>
  <c r="AN231" i="11"/>
  <c r="AL231" i="11"/>
  <c r="AI231" i="11"/>
  <c r="AS231" i="11" s="1"/>
  <c r="AG231" i="11"/>
  <c r="AT231" i="11" s="1"/>
  <c r="P231" i="11"/>
  <c r="O231" i="11"/>
  <c r="BS230" i="11"/>
  <c r="BM230" i="11"/>
  <c r="BL230" i="11"/>
  <c r="BH230" i="11"/>
  <c r="BG230" i="11"/>
  <c r="AQ230" i="11"/>
  <c r="AN230" i="11"/>
  <c r="AL230" i="11"/>
  <c r="AG230" i="11"/>
  <c r="P230" i="11"/>
  <c r="O230" i="11"/>
  <c r="BS229" i="11"/>
  <c r="BM229" i="11"/>
  <c r="BL229" i="11"/>
  <c r="BH229" i="11"/>
  <c r="BG229" i="11"/>
  <c r="AQ229" i="11"/>
  <c r="AN229" i="11"/>
  <c r="AR229" i="11" s="1"/>
  <c r="AL229" i="11"/>
  <c r="AI229" i="11"/>
  <c r="AS229" i="11" s="1"/>
  <c r="AG229" i="11"/>
  <c r="P229" i="11"/>
  <c r="O229" i="11"/>
  <c r="BS228" i="11"/>
  <c r="BM228" i="11"/>
  <c r="BL228" i="11"/>
  <c r="BH228" i="11"/>
  <c r="BG228" i="11"/>
  <c r="AQ228" i="11"/>
  <c r="AN228" i="11"/>
  <c r="AL228" i="11"/>
  <c r="AG228" i="11"/>
  <c r="P228" i="11"/>
  <c r="O228" i="11"/>
  <c r="BS227" i="11"/>
  <c r="BM227" i="11"/>
  <c r="BL227" i="11"/>
  <c r="BH227" i="11"/>
  <c r="BG227" i="11"/>
  <c r="AR227" i="11"/>
  <c r="AQ227" i="11"/>
  <c r="AN227" i="11"/>
  <c r="AL227" i="11"/>
  <c r="AI227" i="11"/>
  <c r="AG227" i="11"/>
  <c r="AT227" i="11" s="1"/>
  <c r="P227" i="11"/>
  <c r="O227" i="11"/>
  <c r="BS226" i="11"/>
  <c r="BM226" i="11"/>
  <c r="BL226" i="11"/>
  <c r="BH226" i="11"/>
  <c r="BG226" i="11"/>
  <c r="AQ226" i="11"/>
  <c r="AN226" i="11"/>
  <c r="AL226" i="11"/>
  <c r="AG226" i="11"/>
  <c r="P226" i="11"/>
  <c r="O226" i="11"/>
  <c r="BS225" i="11"/>
  <c r="BM225" i="11"/>
  <c r="BL225" i="11"/>
  <c r="BH225" i="11"/>
  <c r="BG225" i="11"/>
  <c r="AQ225" i="11"/>
  <c r="AN225" i="11"/>
  <c r="AR225" i="11" s="1"/>
  <c r="AL225" i="11"/>
  <c r="AI225" i="11"/>
  <c r="AS225" i="11" s="1"/>
  <c r="AG225" i="11"/>
  <c r="AT225" i="11" s="1"/>
  <c r="P225" i="11"/>
  <c r="O225" i="11"/>
  <c r="BS224" i="11"/>
  <c r="BM224" i="11"/>
  <c r="BL224" i="11"/>
  <c r="BH224" i="11"/>
  <c r="BG224" i="11"/>
  <c r="AQ224" i="11"/>
  <c r="AN224" i="11"/>
  <c r="AL224" i="11"/>
  <c r="AG224" i="11"/>
  <c r="P224" i="11"/>
  <c r="O224" i="11"/>
  <c r="BS223" i="11"/>
  <c r="BM223" i="11"/>
  <c r="BL223" i="11"/>
  <c r="BH223" i="11"/>
  <c r="BG223" i="11"/>
  <c r="AQ223" i="11"/>
  <c r="AN223" i="11"/>
  <c r="AR223" i="11" s="1"/>
  <c r="AL223" i="11"/>
  <c r="AI223" i="11"/>
  <c r="AG223" i="11"/>
  <c r="P223" i="11"/>
  <c r="O223" i="11"/>
  <c r="BS222" i="11"/>
  <c r="BM222" i="11"/>
  <c r="BL222" i="11"/>
  <c r="BH222" i="11"/>
  <c r="BG222" i="11"/>
  <c r="AQ222" i="11"/>
  <c r="AN222" i="11"/>
  <c r="AL222" i="11"/>
  <c r="AG222" i="11"/>
  <c r="P222" i="11"/>
  <c r="O222" i="11"/>
  <c r="BS221" i="11"/>
  <c r="BM221" i="11"/>
  <c r="BL221" i="11"/>
  <c r="BH221" i="11"/>
  <c r="BG221" i="11"/>
  <c r="AR221" i="11"/>
  <c r="AQ221" i="11"/>
  <c r="AN221" i="11"/>
  <c r="AL221" i="11"/>
  <c r="AI221" i="11"/>
  <c r="AS221" i="11" s="1"/>
  <c r="AG221" i="11"/>
  <c r="AT221" i="11" s="1"/>
  <c r="P221" i="11"/>
  <c r="O221" i="11"/>
  <c r="BS220" i="11"/>
  <c r="BM220" i="11"/>
  <c r="BL220" i="11"/>
  <c r="BH220" i="11"/>
  <c r="BG220" i="11"/>
  <c r="AQ220" i="11"/>
  <c r="AN220" i="11"/>
  <c r="AL220" i="11"/>
  <c r="AG220" i="11"/>
  <c r="P220" i="11"/>
  <c r="O220" i="11"/>
  <c r="BS219" i="11"/>
  <c r="BM219" i="11"/>
  <c r="BL219" i="11"/>
  <c r="BH219" i="11"/>
  <c r="BG219" i="11"/>
  <c r="AQ219" i="11"/>
  <c r="AN219" i="11"/>
  <c r="AR219" i="11" s="1"/>
  <c r="AL219" i="11"/>
  <c r="AI219" i="11"/>
  <c r="AS219" i="11" s="1"/>
  <c r="AG219" i="11"/>
  <c r="P219" i="11"/>
  <c r="O219" i="11"/>
  <c r="BS218" i="11"/>
  <c r="BM218" i="11"/>
  <c r="BL218" i="11"/>
  <c r="BH218" i="11"/>
  <c r="BG218" i="11"/>
  <c r="AQ218" i="11"/>
  <c r="AN218" i="11"/>
  <c r="AL218" i="11"/>
  <c r="AG218" i="11"/>
  <c r="P218" i="11"/>
  <c r="O218" i="11"/>
  <c r="BS217" i="11"/>
  <c r="BM217" i="11"/>
  <c r="BL217" i="11"/>
  <c r="BH217" i="11"/>
  <c r="BG217" i="11"/>
  <c r="AR217" i="11"/>
  <c r="AQ217" i="11"/>
  <c r="AN217" i="11"/>
  <c r="AL217" i="11"/>
  <c r="AI217" i="11"/>
  <c r="AG217" i="11"/>
  <c r="AT217" i="11" s="1"/>
  <c r="P217" i="11"/>
  <c r="O217" i="11"/>
  <c r="BS216" i="11"/>
  <c r="BM216" i="11"/>
  <c r="BL216" i="11"/>
  <c r="BH216" i="11"/>
  <c r="BG216" i="11"/>
  <c r="AQ216" i="11"/>
  <c r="AN216" i="11"/>
  <c r="AL216" i="11"/>
  <c r="AG216" i="11"/>
  <c r="P216" i="11"/>
  <c r="O216" i="11"/>
  <c r="BS215" i="11"/>
  <c r="BM215" i="11"/>
  <c r="BL215" i="11"/>
  <c r="BH215" i="11"/>
  <c r="BG215" i="11"/>
  <c r="AQ215" i="11"/>
  <c r="AN215" i="11"/>
  <c r="AR215" i="11" s="1"/>
  <c r="AL215" i="11"/>
  <c r="AI215" i="11"/>
  <c r="AS215" i="11" s="1"/>
  <c r="AG215" i="11"/>
  <c r="AT215" i="11" s="1"/>
  <c r="P215" i="11"/>
  <c r="O215" i="11"/>
  <c r="BS214" i="11"/>
  <c r="BM214" i="11"/>
  <c r="BL214" i="11"/>
  <c r="BH214" i="11"/>
  <c r="BG214" i="11"/>
  <c r="AQ214" i="11"/>
  <c r="AN214" i="11"/>
  <c r="AL214" i="11"/>
  <c r="AG214" i="11"/>
  <c r="P214" i="11"/>
  <c r="O214" i="11"/>
  <c r="BS213" i="11"/>
  <c r="BM213" i="11"/>
  <c r="BL213" i="11"/>
  <c r="BH213" i="11"/>
  <c r="BG213" i="11"/>
  <c r="AQ213" i="11"/>
  <c r="AN213" i="11"/>
  <c r="AR213" i="11" s="1"/>
  <c r="AL213" i="11"/>
  <c r="AI213" i="11"/>
  <c r="AG213" i="11"/>
  <c r="P213" i="11"/>
  <c r="O213" i="11"/>
  <c r="BS212" i="11"/>
  <c r="BM212" i="11"/>
  <c r="BL212" i="11"/>
  <c r="BH212" i="11"/>
  <c r="BG212" i="11"/>
  <c r="AQ212" i="11"/>
  <c r="AN212" i="11"/>
  <c r="AL212" i="11"/>
  <c r="AG212" i="11"/>
  <c r="P212" i="11"/>
  <c r="O212" i="11"/>
  <c r="BS211" i="11"/>
  <c r="BM211" i="11"/>
  <c r="BL211" i="11"/>
  <c r="BH211" i="11"/>
  <c r="BG211" i="11"/>
  <c r="AR211" i="11"/>
  <c r="AQ211" i="11"/>
  <c r="AN211" i="11"/>
  <c r="AL211" i="11"/>
  <c r="AI211" i="11"/>
  <c r="AS211" i="11" s="1"/>
  <c r="AG211" i="11"/>
  <c r="AT211" i="11" s="1"/>
  <c r="P211" i="11"/>
  <c r="O211" i="11"/>
  <c r="BS210" i="11"/>
  <c r="BM210" i="11"/>
  <c r="BL210" i="11"/>
  <c r="BH210" i="11"/>
  <c r="BG210" i="11"/>
  <c r="AQ210" i="11"/>
  <c r="AN210" i="11"/>
  <c r="AL210" i="11"/>
  <c r="AG210" i="11"/>
  <c r="P210" i="11"/>
  <c r="O210" i="11"/>
  <c r="BS209" i="11"/>
  <c r="BM209" i="11"/>
  <c r="BL209" i="11"/>
  <c r="BH209" i="11"/>
  <c r="BG209" i="11"/>
  <c r="AQ209" i="11"/>
  <c r="AN209" i="11"/>
  <c r="AR209" i="11" s="1"/>
  <c r="AL209" i="11"/>
  <c r="AI209" i="11"/>
  <c r="AS209" i="11" s="1"/>
  <c r="AG209" i="11"/>
  <c r="P209" i="11"/>
  <c r="O209" i="11"/>
  <c r="BS208" i="11"/>
  <c r="BM208" i="11"/>
  <c r="BL208" i="11"/>
  <c r="BH208" i="11"/>
  <c r="BG208" i="11"/>
  <c r="AQ208" i="11"/>
  <c r="AN208" i="11"/>
  <c r="AL208" i="11"/>
  <c r="AG208" i="11"/>
  <c r="P208" i="11"/>
  <c r="O208" i="11"/>
  <c r="BS207" i="11"/>
  <c r="BM207" i="11"/>
  <c r="BL207" i="11"/>
  <c r="BH207" i="11"/>
  <c r="BG207" i="11"/>
  <c r="AR207" i="11"/>
  <c r="AQ207" i="11"/>
  <c r="AN207" i="11"/>
  <c r="AL207" i="11"/>
  <c r="AI207" i="11"/>
  <c r="AG207" i="11"/>
  <c r="AT207" i="11" s="1"/>
  <c r="P207" i="11"/>
  <c r="O207" i="11"/>
  <c r="BS206" i="11"/>
  <c r="BM206" i="11"/>
  <c r="BL206" i="11"/>
  <c r="BH206" i="11"/>
  <c r="BG206" i="11"/>
  <c r="AQ206" i="11"/>
  <c r="AN206" i="11"/>
  <c r="AL206" i="11"/>
  <c r="AG206" i="11"/>
  <c r="P206" i="11"/>
  <c r="O206" i="11"/>
  <c r="BS205" i="11"/>
  <c r="BM205" i="11"/>
  <c r="BL205" i="11"/>
  <c r="BH205" i="11"/>
  <c r="BG205" i="11"/>
  <c r="AQ205" i="11"/>
  <c r="AN205" i="11"/>
  <c r="AR205" i="11" s="1"/>
  <c r="AL205" i="11"/>
  <c r="AI205" i="11"/>
  <c r="AS205" i="11" s="1"/>
  <c r="AG205" i="11"/>
  <c r="AT205" i="11" s="1"/>
  <c r="P205" i="11"/>
  <c r="O205" i="11"/>
  <c r="BS204" i="11"/>
  <c r="BM204" i="11"/>
  <c r="BL204" i="11"/>
  <c r="BH204" i="11"/>
  <c r="BG204" i="11"/>
  <c r="AQ204" i="11"/>
  <c r="AN204" i="11"/>
  <c r="AL204" i="11"/>
  <c r="AG204" i="11"/>
  <c r="P204" i="11"/>
  <c r="O204" i="11"/>
  <c r="BS203" i="11"/>
  <c r="BM203" i="11"/>
  <c r="BL203" i="11"/>
  <c r="BH203" i="11"/>
  <c r="BG203" i="11"/>
  <c r="AQ203" i="11"/>
  <c r="AN203" i="11"/>
  <c r="AR203" i="11" s="1"/>
  <c r="AL203" i="11"/>
  <c r="AI203" i="11"/>
  <c r="AG203" i="11"/>
  <c r="P203" i="11"/>
  <c r="O203" i="11"/>
  <c r="BS202" i="11"/>
  <c r="BM202" i="11"/>
  <c r="BL202" i="11"/>
  <c r="BH202" i="11"/>
  <c r="BG202" i="11"/>
  <c r="AQ202" i="11"/>
  <c r="AN202" i="11"/>
  <c r="AL202" i="11"/>
  <c r="AG202" i="11"/>
  <c r="P202" i="11"/>
  <c r="O202" i="11"/>
  <c r="BS201" i="11"/>
  <c r="BM201" i="11"/>
  <c r="BL201" i="11"/>
  <c r="BH201" i="11"/>
  <c r="BG201" i="11"/>
  <c r="AR201" i="11"/>
  <c r="AQ201" i="11"/>
  <c r="AN201" i="11"/>
  <c r="AL201" i="11"/>
  <c r="AI201" i="11"/>
  <c r="AS201" i="11" s="1"/>
  <c r="AG201" i="11"/>
  <c r="AT201" i="11" s="1"/>
  <c r="P201" i="11"/>
  <c r="O201" i="11"/>
  <c r="BS200" i="11"/>
  <c r="BM200" i="11"/>
  <c r="BL200" i="11"/>
  <c r="BH200" i="11"/>
  <c r="BG200" i="11"/>
  <c r="AQ200" i="11"/>
  <c r="AN200" i="11"/>
  <c r="AL200" i="11"/>
  <c r="AG200" i="11"/>
  <c r="P200" i="11"/>
  <c r="O200" i="11"/>
  <c r="BS199" i="11"/>
  <c r="BM199" i="11"/>
  <c r="BL199" i="11"/>
  <c r="BH199" i="11"/>
  <c r="BG199" i="11"/>
  <c r="AQ199" i="11"/>
  <c r="AN199" i="11"/>
  <c r="AR199" i="11" s="1"/>
  <c r="AL199" i="11"/>
  <c r="AI199" i="11"/>
  <c r="AS199" i="11" s="1"/>
  <c r="AG199" i="11"/>
  <c r="P199" i="11"/>
  <c r="O199" i="11"/>
  <c r="BS198" i="11"/>
  <c r="BM198" i="11"/>
  <c r="BL198" i="11"/>
  <c r="BH198" i="11"/>
  <c r="BG198" i="11"/>
  <c r="AQ198" i="11"/>
  <c r="AN198" i="11"/>
  <c r="AL198" i="11"/>
  <c r="AG198" i="11"/>
  <c r="P198" i="11"/>
  <c r="O198" i="11"/>
  <c r="BS197" i="11"/>
  <c r="BM197" i="11"/>
  <c r="BL197" i="11"/>
  <c r="BH197" i="11"/>
  <c r="BG197" i="11"/>
  <c r="AR197" i="11"/>
  <c r="AQ197" i="11"/>
  <c r="AN197" i="11"/>
  <c r="AL197" i="11"/>
  <c r="AI197" i="11"/>
  <c r="AG197" i="11"/>
  <c r="AT197" i="11" s="1"/>
  <c r="P197" i="11"/>
  <c r="O197" i="11"/>
  <c r="BS196" i="11"/>
  <c r="BM196" i="11"/>
  <c r="BL196" i="11"/>
  <c r="BH196" i="11"/>
  <c r="BG196" i="11"/>
  <c r="AQ196" i="11"/>
  <c r="AN196" i="11"/>
  <c r="AL196" i="11"/>
  <c r="AG196" i="11"/>
  <c r="P196" i="11"/>
  <c r="O196" i="11"/>
  <c r="BS195" i="11"/>
  <c r="BM195" i="11"/>
  <c r="BL195" i="11"/>
  <c r="BH195" i="11"/>
  <c r="BG195" i="11"/>
  <c r="AQ195" i="11"/>
  <c r="AN195" i="11"/>
  <c r="AR195" i="11" s="1"/>
  <c r="AL195" i="11"/>
  <c r="AI195" i="11"/>
  <c r="AS195" i="11" s="1"/>
  <c r="AG195" i="11"/>
  <c r="AT195" i="11" s="1"/>
  <c r="P195" i="11"/>
  <c r="O195" i="11"/>
  <c r="BS194" i="11"/>
  <c r="BM194" i="11"/>
  <c r="BL194" i="11"/>
  <c r="BH194" i="11"/>
  <c r="BG194" i="11"/>
  <c r="AQ194" i="11"/>
  <c r="AN194" i="11"/>
  <c r="AL194" i="11"/>
  <c r="AG194" i="11"/>
  <c r="P194" i="11"/>
  <c r="O194" i="11"/>
  <c r="BS193" i="11"/>
  <c r="BM193" i="11"/>
  <c r="BL193" i="11"/>
  <c r="BH193" i="11"/>
  <c r="BG193" i="11"/>
  <c r="AQ193" i="11"/>
  <c r="AN193" i="11"/>
  <c r="AR193" i="11" s="1"/>
  <c r="AL193" i="11"/>
  <c r="AI193" i="11"/>
  <c r="AG193" i="11"/>
  <c r="P193" i="11"/>
  <c r="O193" i="11"/>
  <c r="BS192" i="11"/>
  <c r="BM192" i="11"/>
  <c r="BL192" i="11"/>
  <c r="BH192" i="11"/>
  <c r="BG192" i="11"/>
  <c r="AQ192" i="11"/>
  <c r="AN192" i="11"/>
  <c r="AL192" i="11"/>
  <c r="AG192" i="11"/>
  <c r="P192" i="11"/>
  <c r="O192" i="11"/>
  <c r="BS191" i="11"/>
  <c r="BM191" i="11"/>
  <c r="BL191" i="11"/>
  <c r="BH191" i="11"/>
  <c r="BG191" i="11"/>
  <c r="AR191" i="11"/>
  <c r="AQ191" i="11"/>
  <c r="AN191" i="11"/>
  <c r="AL191" i="11"/>
  <c r="AI191" i="11"/>
  <c r="AS191" i="11" s="1"/>
  <c r="AG191" i="11"/>
  <c r="AT191" i="11" s="1"/>
  <c r="P191" i="11"/>
  <c r="O191" i="11"/>
  <c r="BS190" i="11"/>
  <c r="BM190" i="11"/>
  <c r="BL190" i="11"/>
  <c r="BH190" i="11"/>
  <c r="BG190" i="11"/>
  <c r="AQ190" i="11"/>
  <c r="AN190" i="11"/>
  <c r="AL190" i="11"/>
  <c r="AG190" i="11"/>
  <c r="P190" i="11"/>
  <c r="O190" i="11"/>
  <c r="BS189" i="11"/>
  <c r="BM189" i="11"/>
  <c r="BL189" i="11"/>
  <c r="BH189" i="11"/>
  <c r="BG189" i="11"/>
  <c r="AQ189" i="11"/>
  <c r="AN189" i="11"/>
  <c r="AR189" i="11" s="1"/>
  <c r="AL189" i="11"/>
  <c r="AI189" i="11"/>
  <c r="AS189" i="11" s="1"/>
  <c r="AG189" i="11"/>
  <c r="P189" i="11"/>
  <c r="O189" i="11"/>
  <c r="BS188" i="11"/>
  <c r="BM188" i="11"/>
  <c r="BL188" i="11"/>
  <c r="BH188" i="11"/>
  <c r="BG188" i="11"/>
  <c r="AQ188" i="11"/>
  <c r="AN188" i="11"/>
  <c r="AL188" i="11"/>
  <c r="AG188" i="11"/>
  <c r="P188" i="11"/>
  <c r="O188" i="11"/>
  <c r="BS187" i="11"/>
  <c r="BM187" i="11"/>
  <c r="BL187" i="11"/>
  <c r="BH187" i="11"/>
  <c r="BG187" i="11"/>
  <c r="AR187" i="11"/>
  <c r="AQ187" i="11"/>
  <c r="AN187" i="11"/>
  <c r="AL187" i="11"/>
  <c r="AI187" i="11"/>
  <c r="AG187" i="11"/>
  <c r="AT187" i="11" s="1"/>
  <c r="P187" i="11"/>
  <c r="O187" i="11"/>
  <c r="BS186" i="11"/>
  <c r="BM186" i="11"/>
  <c r="BL186" i="11"/>
  <c r="BH186" i="11"/>
  <c r="BG186" i="11"/>
  <c r="AQ186" i="11"/>
  <c r="AN186" i="11"/>
  <c r="AL186" i="11"/>
  <c r="AG186" i="11"/>
  <c r="P186" i="11"/>
  <c r="O186" i="11"/>
  <c r="BS185" i="11"/>
  <c r="BM185" i="11"/>
  <c r="BL185" i="11"/>
  <c r="BH185" i="11"/>
  <c r="BG185" i="11"/>
  <c r="AQ185" i="11"/>
  <c r="AN185" i="11"/>
  <c r="AR185" i="11" s="1"/>
  <c r="AL185" i="11"/>
  <c r="AI185" i="11"/>
  <c r="AS185" i="11" s="1"/>
  <c r="AG185" i="11"/>
  <c r="AT185" i="11" s="1"/>
  <c r="P185" i="11"/>
  <c r="O185" i="11"/>
  <c r="BS184" i="11"/>
  <c r="BM184" i="11"/>
  <c r="BL184" i="11"/>
  <c r="BH184" i="11"/>
  <c r="BG184" i="11"/>
  <c r="AQ184" i="11"/>
  <c r="AN184" i="11"/>
  <c r="AL184" i="11"/>
  <c r="AG184" i="11"/>
  <c r="P184" i="11"/>
  <c r="O184" i="11"/>
  <c r="BS183" i="11"/>
  <c r="BM183" i="11"/>
  <c r="BL183" i="11"/>
  <c r="BH183" i="11"/>
  <c r="BG183" i="11"/>
  <c r="AQ183" i="11"/>
  <c r="AN183" i="11"/>
  <c r="AR183" i="11" s="1"/>
  <c r="AL183" i="11"/>
  <c r="AI183" i="11"/>
  <c r="AG183" i="11"/>
  <c r="P183" i="11"/>
  <c r="O183" i="11"/>
  <c r="BS182" i="11"/>
  <c r="BM182" i="11"/>
  <c r="BL182" i="11"/>
  <c r="BH182" i="11"/>
  <c r="BG182" i="11"/>
  <c r="AQ182" i="11"/>
  <c r="AN182" i="11"/>
  <c r="AL182" i="11"/>
  <c r="AG182" i="11"/>
  <c r="P182" i="11"/>
  <c r="O182" i="11"/>
  <c r="BS181" i="11"/>
  <c r="BM181" i="11"/>
  <c r="BL181" i="11"/>
  <c r="BH181" i="11"/>
  <c r="BG181" i="11"/>
  <c r="AR181" i="11"/>
  <c r="AQ181" i="11"/>
  <c r="AN181" i="11"/>
  <c r="AL181" i="11"/>
  <c r="AI181" i="11"/>
  <c r="AS181" i="11" s="1"/>
  <c r="AG181" i="11"/>
  <c r="AT181" i="11" s="1"/>
  <c r="P181" i="11"/>
  <c r="O181" i="11"/>
  <c r="BS180" i="11"/>
  <c r="BM180" i="11"/>
  <c r="BL180" i="11"/>
  <c r="BH180" i="11"/>
  <c r="BG180" i="11"/>
  <c r="AQ180" i="11"/>
  <c r="AN180" i="11"/>
  <c r="AL180" i="11"/>
  <c r="AG180" i="11"/>
  <c r="P180" i="11"/>
  <c r="O180" i="11"/>
  <c r="BS179" i="11"/>
  <c r="BM179" i="11"/>
  <c r="BL179" i="11"/>
  <c r="BH179" i="11"/>
  <c r="BG179" i="11"/>
  <c r="AQ179" i="11"/>
  <c r="AN179" i="11"/>
  <c r="AR179" i="11" s="1"/>
  <c r="AL179" i="11"/>
  <c r="AI179" i="11"/>
  <c r="AS179" i="11" s="1"/>
  <c r="AG179" i="11"/>
  <c r="P179" i="11"/>
  <c r="O179" i="11"/>
  <c r="BS178" i="11"/>
  <c r="BM178" i="11"/>
  <c r="BL178" i="11"/>
  <c r="BH178" i="11"/>
  <c r="BG178" i="11"/>
  <c r="AQ178" i="11"/>
  <c r="AN178" i="11"/>
  <c r="AL178" i="11"/>
  <c r="AG178" i="11"/>
  <c r="P178" i="11"/>
  <c r="O178" i="11"/>
  <c r="BS177" i="11"/>
  <c r="BM177" i="11"/>
  <c r="BL177" i="11"/>
  <c r="BH177" i="11"/>
  <c r="BG177" i="11"/>
  <c r="AR177" i="11"/>
  <c r="AQ177" i="11"/>
  <c r="AN177" i="11"/>
  <c r="AL177" i="11"/>
  <c r="AI177" i="11"/>
  <c r="AG177" i="11"/>
  <c r="AT177" i="11" s="1"/>
  <c r="P177" i="11"/>
  <c r="O177" i="11"/>
  <c r="BS176" i="11"/>
  <c r="BM176" i="11"/>
  <c r="BL176" i="11"/>
  <c r="BH176" i="11"/>
  <c r="BG176" i="11"/>
  <c r="AQ176" i="11"/>
  <c r="AN176" i="11"/>
  <c r="AL176" i="11"/>
  <c r="AG176" i="11"/>
  <c r="P176" i="11"/>
  <c r="O176" i="11"/>
  <c r="BS175" i="11"/>
  <c r="BM175" i="11"/>
  <c r="BL175" i="11"/>
  <c r="BH175" i="11"/>
  <c r="BG175" i="11"/>
  <c r="AQ175" i="11"/>
  <c r="AN175" i="11"/>
  <c r="AR175" i="11" s="1"/>
  <c r="AL175" i="11"/>
  <c r="AI175" i="11"/>
  <c r="AS175" i="11" s="1"/>
  <c r="AG175" i="11"/>
  <c r="AT175" i="11" s="1"/>
  <c r="P175" i="11"/>
  <c r="O175" i="11"/>
  <c r="BS174" i="11"/>
  <c r="BM174" i="11"/>
  <c r="BL174" i="11"/>
  <c r="BH174" i="11"/>
  <c r="BG174" i="11"/>
  <c r="AQ174" i="11"/>
  <c r="AN174" i="11"/>
  <c r="AL174" i="11"/>
  <c r="AG174" i="11"/>
  <c r="P174" i="11"/>
  <c r="O174" i="11"/>
  <c r="BS173" i="11"/>
  <c r="BM173" i="11"/>
  <c r="BL173" i="11"/>
  <c r="BH173" i="11"/>
  <c r="BG173" i="11"/>
  <c r="AQ173" i="11"/>
  <c r="AN173" i="11"/>
  <c r="AR173" i="11" s="1"/>
  <c r="AL173" i="11"/>
  <c r="AI173" i="11"/>
  <c r="AG173" i="11"/>
  <c r="P173" i="11"/>
  <c r="O173" i="11"/>
  <c r="BS172" i="11"/>
  <c r="BM172" i="11"/>
  <c r="BL172" i="11"/>
  <c r="BH172" i="11"/>
  <c r="BG172" i="11"/>
  <c r="AQ172" i="11"/>
  <c r="AN172" i="11"/>
  <c r="AL172" i="11"/>
  <c r="AG172" i="11"/>
  <c r="P172" i="11"/>
  <c r="O172" i="11"/>
  <c r="BS171" i="11"/>
  <c r="BM171" i="11"/>
  <c r="BL171" i="11"/>
  <c r="BH171" i="11"/>
  <c r="BG171" i="11"/>
  <c r="AR171" i="11"/>
  <c r="AQ171" i="11"/>
  <c r="AN171" i="11"/>
  <c r="AL171" i="11"/>
  <c r="AI171" i="11"/>
  <c r="AS171" i="11" s="1"/>
  <c r="AG171" i="11"/>
  <c r="AT171" i="11" s="1"/>
  <c r="P171" i="11"/>
  <c r="O171" i="11"/>
  <c r="BS170" i="11"/>
  <c r="BM170" i="11"/>
  <c r="BL170" i="11"/>
  <c r="BH170" i="11"/>
  <c r="BG170" i="11"/>
  <c r="AQ170" i="11"/>
  <c r="AN170" i="11"/>
  <c r="AL170" i="11"/>
  <c r="AG170" i="11"/>
  <c r="P170" i="11"/>
  <c r="O170" i="11"/>
  <c r="BS169" i="11"/>
  <c r="BM169" i="11"/>
  <c r="BL169" i="11"/>
  <c r="BH169" i="11"/>
  <c r="BG169" i="11"/>
  <c r="AQ169" i="11"/>
  <c r="AN169" i="11"/>
  <c r="AR169" i="11" s="1"/>
  <c r="AL169" i="11"/>
  <c r="AI169" i="11"/>
  <c r="AS169" i="11" s="1"/>
  <c r="AG169" i="11"/>
  <c r="P169" i="11"/>
  <c r="O169" i="11"/>
  <c r="BS168" i="11"/>
  <c r="BM168" i="11"/>
  <c r="BL168" i="11"/>
  <c r="BH168" i="11"/>
  <c r="BG168" i="11"/>
  <c r="AQ168" i="11"/>
  <c r="AN168" i="11"/>
  <c r="AL168" i="11"/>
  <c r="AG168" i="11"/>
  <c r="P168" i="11"/>
  <c r="O168" i="11"/>
  <c r="BS167" i="11"/>
  <c r="BM167" i="11"/>
  <c r="BL167" i="11"/>
  <c r="BH167" i="11"/>
  <c r="BG167" i="11"/>
  <c r="AR167" i="11"/>
  <c r="AQ167" i="11"/>
  <c r="AN167" i="11"/>
  <c r="AL167" i="11"/>
  <c r="AI167" i="11"/>
  <c r="AG167" i="11"/>
  <c r="AT167" i="11" s="1"/>
  <c r="P167" i="11"/>
  <c r="O167" i="11"/>
  <c r="BS166" i="11"/>
  <c r="BM166" i="11"/>
  <c r="BL166" i="11"/>
  <c r="BH166" i="11"/>
  <c r="BG166" i="11"/>
  <c r="AQ166" i="11"/>
  <c r="AN166" i="11"/>
  <c r="AL166" i="11"/>
  <c r="AG166" i="11"/>
  <c r="P166" i="11"/>
  <c r="O166" i="11"/>
  <c r="BS165" i="11"/>
  <c r="BM165" i="11"/>
  <c r="BL165" i="11"/>
  <c r="BH165" i="11"/>
  <c r="BG165" i="11"/>
  <c r="AQ165" i="11"/>
  <c r="AN165" i="11"/>
  <c r="AR165" i="11" s="1"/>
  <c r="AL165" i="11"/>
  <c r="AI165" i="11"/>
  <c r="AS165" i="11" s="1"/>
  <c r="AG165" i="11"/>
  <c r="AT165" i="11" s="1"/>
  <c r="P165" i="11"/>
  <c r="O165" i="11"/>
  <c r="BS164" i="11"/>
  <c r="BM164" i="11"/>
  <c r="BL164" i="11"/>
  <c r="BH164" i="11"/>
  <c r="BG164" i="11"/>
  <c r="AQ164" i="11"/>
  <c r="AN164" i="11"/>
  <c r="AL164" i="11"/>
  <c r="AG164" i="11"/>
  <c r="P164" i="11"/>
  <c r="O164" i="11"/>
  <c r="BS163" i="11"/>
  <c r="BM163" i="11"/>
  <c r="BL163" i="11"/>
  <c r="BH163" i="11"/>
  <c r="BG163" i="11"/>
  <c r="AQ163" i="11"/>
  <c r="AN163" i="11"/>
  <c r="AR163" i="11" s="1"/>
  <c r="AL163" i="11"/>
  <c r="AI163" i="11"/>
  <c r="AG163" i="11"/>
  <c r="P163" i="11"/>
  <c r="O163" i="11"/>
  <c r="BS162" i="11"/>
  <c r="BM162" i="11"/>
  <c r="BL162" i="11"/>
  <c r="BH162" i="11"/>
  <c r="BG162" i="11"/>
  <c r="AQ162" i="11"/>
  <c r="AN162" i="11"/>
  <c r="AL162" i="11"/>
  <c r="AG162" i="11"/>
  <c r="P162" i="11"/>
  <c r="O162" i="11"/>
  <c r="BS161" i="11"/>
  <c r="BM161" i="11"/>
  <c r="BL161" i="11"/>
  <c r="BH161" i="11"/>
  <c r="BG161" i="11"/>
  <c r="AR161" i="11"/>
  <c r="AQ161" i="11"/>
  <c r="AN161" i="11"/>
  <c r="AL161" i="11"/>
  <c r="AI161" i="11"/>
  <c r="AS161" i="11" s="1"/>
  <c r="AG161" i="11"/>
  <c r="AT161" i="11" s="1"/>
  <c r="P161" i="11"/>
  <c r="O161" i="11"/>
  <c r="BS160" i="11"/>
  <c r="BM160" i="11"/>
  <c r="BL160" i="11"/>
  <c r="BH160" i="11"/>
  <c r="BG160" i="11"/>
  <c r="AQ160" i="11"/>
  <c r="AN160" i="11"/>
  <c r="AL160" i="11"/>
  <c r="AG160" i="11"/>
  <c r="P160" i="11"/>
  <c r="O160" i="11"/>
  <c r="BS159" i="11"/>
  <c r="BM159" i="11"/>
  <c r="BL159" i="11"/>
  <c r="BH159" i="11"/>
  <c r="BG159" i="11"/>
  <c r="AQ159" i="11"/>
  <c r="AN159" i="11"/>
  <c r="AR159" i="11" s="1"/>
  <c r="AL159" i="11"/>
  <c r="AI159" i="11"/>
  <c r="AS159" i="11" s="1"/>
  <c r="AG159" i="11"/>
  <c r="P159" i="11"/>
  <c r="O159" i="11"/>
  <c r="BS158" i="11"/>
  <c r="BM158" i="11"/>
  <c r="BL158" i="11"/>
  <c r="BH158" i="11"/>
  <c r="BG158" i="11"/>
  <c r="AQ158" i="11"/>
  <c r="AN158" i="11"/>
  <c r="AL158" i="11"/>
  <c r="AG158" i="11"/>
  <c r="P158" i="11"/>
  <c r="O158" i="11"/>
  <c r="BS157" i="11"/>
  <c r="BM157" i="11"/>
  <c r="BL157" i="11"/>
  <c r="BH157" i="11"/>
  <c r="BG157" i="11"/>
  <c r="AR157" i="11"/>
  <c r="AQ157" i="11"/>
  <c r="AN157" i="11"/>
  <c r="AL157" i="11"/>
  <c r="AI157" i="11"/>
  <c r="AG157" i="11"/>
  <c r="AT157" i="11" s="1"/>
  <c r="P157" i="11"/>
  <c r="O157" i="11"/>
  <c r="BS156" i="11"/>
  <c r="BM156" i="11"/>
  <c r="BL156" i="11"/>
  <c r="BH156" i="11"/>
  <c r="BG156" i="11"/>
  <c r="AQ156" i="11"/>
  <c r="AN156" i="11"/>
  <c r="AL156" i="11"/>
  <c r="AG156" i="11"/>
  <c r="P156" i="11"/>
  <c r="O156" i="11"/>
  <c r="BS155" i="11"/>
  <c r="BM155" i="11"/>
  <c r="BL155" i="11"/>
  <c r="BH155" i="11"/>
  <c r="BG155" i="11"/>
  <c r="AQ155" i="11"/>
  <c r="AN155" i="11"/>
  <c r="AL155" i="11"/>
  <c r="AI155" i="11"/>
  <c r="AS155" i="11" s="1"/>
  <c r="AG155" i="11"/>
  <c r="AT155" i="11" s="1"/>
  <c r="P155" i="11"/>
  <c r="O155" i="11"/>
  <c r="BS154" i="11"/>
  <c r="BM154" i="11"/>
  <c r="BL154" i="11"/>
  <c r="BH154" i="11"/>
  <c r="BG154" i="11"/>
  <c r="AQ154" i="11"/>
  <c r="AN154" i="11"/>
  <c r="AL154" i="11"/>
  <c r="AG154" i="11"/>
  <c r="P154" i="11"/>
  <c r="O154" i="11"/>
  <c r="BS153" i="11"/>
  <c r="BM153" i="11"/>
  <c r="BL153" i="11"/>
  <c r="BH153" i="11"/>
  <c r="BG153" i="11"/>
  <c r="AR153" i="11"/>
  <c r="AQ153" i="11"/>
  <c r="AN153" i="11"/>
  <c r="AL153" i="11"/>
  <c r="AI153" i="11"/>
  <c r="AG153" i="11"/>
  <c r="AT153" i="11" s="1"/>
  <c r="P153" i="11"/>
  <c r="O153" i="11"/>
  <c r="BS152" i="11"/>
  <c r="BM152" i="11"/>
  <c r="BL152" i="11"/>
  <c r="BH152" i="11"/>
  <c r="BG152" i="11"/>
  <c r="AQ152" i="11"/>
  <c r="AN152" i="11"/>
  <c r="AL152" i="11"/>
  <c r="AG152" i="11"/>
  <c r="P152" i="11"/>
  <c r="O152" i="11"/>
  <c r="BS151" i="11"/>
  <c r="BM151" i="11"/>
  <c r="BL151" i="11"/>
  <c r="BH151" i="11"/>
  <c r="BG151" i="11"/>
  <c r="AQ151" i="11"/>
  <c r="AN151" i="11"/>
  <c r="AL151" i="11"/>
  <c r="AI151" i="11"/>
  <c r="AS151" i="11" s="1"/>
  <c r="AG151" i="11"/>
  <c r="AT151" i="11" s="1"/>
  <c r="P151" i="11"/>
  <c r="O151" i="11"/>
  <c r="BS150" i="11"/>
  <c r="BM150" i="11"/>
  <c r="BL150" i="11"/>
  <c r="BH150" i="11"/>
  <c r="BG150" i="11"/>
  <c r="AQ150" i="11"/>
  <c r="AN150" i="11"/>
  <c r="AL150" i="11"/>
  <c r="AG150" i="11"/>
  <c r="P150" i="11"/>
  <c r="O150" i="11"/>
  <c r="BS149" i="11"/>
  <c r="BM149" i="11"/>
  <c r="BL149" i="11"/>
  <c r="BH149" i="11"/>
  <c r="BG149" i="11"/>
  <c r="AR149" i="11"/>
  <c r="AQ149" i="11"/>
  <c r="AN149" i="11"/>
  <c r="AL149" i="11"/>
  <c r="AI149" i="11"/>
  <c r="AG149" i="11"/>
  <c r="AT149" i="11" s="1"/>
  <c r="P149" i="11"/>
  <c r="O149" i="11"/>
  <c r="BS148" i="11"/>
  <c r="BM148" i="11"/>
  <c r="BL148" i="11"/>
  <c r="BH148" i="11"/>
  <c r="BG148" i="11"/>
  <c r="AQ148" i="11"/>
  <c r="AN148" i="11"/>
  <c r="AL148" i="11"/>
  <c r="AG148" i="11"/>
  <c r="P148" i="11"/>
  <c r="O148" i="11"/>
  <c r="BS147" i="11"/>
  <c r="BM147" i="11"/>
  <c r="BL147" i="11"/>
  <c r="BH147" i="11"/>
  <c r="BG147" i="11"/>
  <c r="AQ147" i="11"/>
  <c r="AN147" i="11"/>
  <c r="AL147" i="11"/>
  <c r="AI147" i="11"/>
  <c r="AS147" i="11" s="1"/>
  <c r="AG147" i="11"/>
  <c r="AT147" i="11" s="1"/>
  <c r="P147" i="11"/>
  <c r="O147" i="11"/>
  <c r="BS146" i="11"/>
  <c r="BM146" i="11"/>
  <c r="BL146" i="11"/>
  <c r="BH146" i="11"/>
  <c r="BG146" i="11"/>
  <c r="AQ146" i="11"/>
  <c r="AN146" i="11"/>
  <c r="AL146" i="11"/>
  <c r="AG146" i="11"/>
  <c r="P146" i="11"/>
  <c r="O146" i="11"/>
  <c r="BS145" i="11"/>
  <c r="BM145" i="11"/>
  <c r="BL145" i="11"/>
  <c r="BH145" i="11"/>
  <c r="BG145" i="11"/>
  <c r="AR145" i="11"/>
  <c r="AQ145" i="11"/>
  <c r="AN145" i="11"/>
  <c r="AL145" i="11"/>
  <c r="AI145" i="11"/>
  <c r="AG145" i="11"/>
  <c r="AT145" i="11" s="1"/>
  <c r="P145" i="11"/>
  <c r="O145" i="11"/>
  <c r="BS144" i="11"/>
  <c r="BM144" i="11"/>
  <c r="BL144" i="11"/>
  <c r="BH144" i="11"/>
  <c r="BG144" i="11"/>
  <c r="AQ144" i="11"/>
  <c r="AN144" i="11"/>
  <c r="AL144" i="11"/>
  <c r="AG144" i="11"/>
  <c r="P144" i="11"/>
  <c r="O144" i="11"/>
  <c r="BS143" i="11"/>
  <c r="BM143" i="11"/>
  <c r="BL143" i="11"/>
  <c r="BH143" i="11"/>
  <c r="BG143" i="11"/>
  <c r="AQ143" i="11"/>
  <c r="AN143" i="11"/>
  <c r="AL143" i="11"/>
  <c r="AI143" i="11"/>
  <c r="AS143" i="11" s="1"/>
  <c r="AG143" i="11"/>
  <c r="AT143" i="11" s="1"/>
  <c r="P143" i="11"/>
  <c r="O143" i="11"/>
  <c r="BS142" i="11"/>
  <c r="BM142" i="11"/>
  <c r="BL142" i="11"/>
  <c r="BH142" i="11"/>
  <c r="BG142" i="11"/>
  <c r="AQ142" i="11"/>
  <c r="AN142" i="11"/>
  <c r="AL142" i="11"/>
  <c r="AG142" i="11"/>
  <c r="P142" i="11"/>
  <c r="O142" i="11"/>
  <c r="BS141" i="11"/>
  <c r="BM141" i="11"/>
  <c r="BL141" i="11"/>
  <c r="BH141" i="11"/>
  <c r="BG141" i="11"/>
  <c r="AR141" i="11"/>
  <c r="AQ141" i="11"/>
  <c r="AN141" i="11"/>
  <c r="AL141" i="11"/>
  <c r="AI141" i="11"/>
  <c r="AG141" i="11"/>
  <c r="AT141" i="11" s="1"/>
  <c r="P141" i="11"/>
  <c r="O141" i="11"/>
  <c r="BS140" i="11"/>
  <c r="BM140" i="11"/>
  <c r="BL140" i="11"/>
  <c r="BH140" i="11"/>
  <c r="BG140" i="11"/>
  <c r="AQ140" i="11"/>
  <c r="AN140" i="11"/>
  <c r="AL140" i="11"/>
  <c r="AG140" i="11"/>
  <c r="P140" i="11"/>
  <c r="O140" i="11"/>
  <c r="BS139" i="11"/>
  <c r="BM139" i="11"/>
  <c r="BL139" i="11"/>
  <c r="BH139" i="11"/>
  <c r="BG139" i="11"/>
  <c r="AQ139" i="11"/>
  <c r="AN139" i="11"/>
  <c r="AL139" i="11"/>
  <c r="AI139" i="11"/>
  <c r="AS139" i="11" s="1"/>
  <c r="AG139" i="11"/>
  <c r="AT139" i="11" s="1"/>
  <c r="P139" i="11"/>
  <c r="O139" i="11"/>
  <c r="BS138" i="11"/>
  <c r="BM138" i="11"/>
  <c r="BL138" i="11"/>
  <c r="BH138" i="11"/>
  <c r="BG138" i="11"/>
  <c r="AQ138" i="11"/>
  <c r="AN138" i="11"/>
  <c r="AL138" i="11"/>
  <c r="AG138" i="11"/>
  <c r="P138" i="11"/>
  <c r="O138" i="11"/>
  <c r="BS137" i="11"/>
  <c r="BM137" i="11"/>
  <c r="BL137" i="11"/>
  <c r="BH137" i="11"/>
  <c r="BG137" i="11"/>
  <c r="AR137" i="11"/>
  <c r="AQ137" i="11"/>
  <c r="AN137" i="11"/>
  <c r="AL137" i="11"/>
  <c r="AI137" i="11"/>
  <c r="AG137" i="11"/>
  <c r="AT137" i="11" s="1"/>
  <c r="P137" i="11"/>
  <c r="O137" i="11"/>
  <c r="BS136" i="11"/>
  <c r="BM136" i="11"/>
  <c r="BL136" i="11"/>
  <c r="BH136" i="11"/>
  <c r="BG136" i="11"/>
  <c r="AQ136" i="11"/>
  <c r="AN136" i="11"/>
  <c r="AL136" i="11"/>
  <c r="AG136" i="11"/>
  <c r="P136" i="11"/>
  <c r="O136" i="11"/>
  <c r="BS135" i="11"/>
  <c r="BM135" i="11"/>
  <c r="BL135" i="11"/>
  <c r="BH135" i="11"/>
  <c r="BG135" i="11"/>
  <c r="AQ135" i="11"/>
  <c r="AN135" i="11"/>
  <c r="AL135" i="11"/>
  <c r="AI135" i="11"/>
  <c r="AS135" i="11" s="1"/>
  <c r="AG135" i="11"/>
  <c r="AT135" i="11" s="1"/>
  <c r="P135" i="11"/>
  <c r="O135" i="11"/>
  <c r="BS134" i="11"/>
  <c r="BM134" i="11"/>
  <c r="BL134" i="11"/>
  <c r="BH134" i="11"/>
  <c r="BG134" i="11"/>
  <c r="AQ134" i="11"/>
  <c r="AN134" i="11"/>
  <c r="AL134" i="11"/>
  <c r="AG134" i="11"/>
  <c r="P134" i="11"/>
  <c r="O134" i="11"/>
  <c r="BS133" i="11"/>
  <c r="BM133" i="11"/>
  <c r="BL133" i="11"/>
  <c r="BH133" i="11"/>
  <c r="BG133" i="11"/>
  <c r="AR133" i="11"/>
  <c r="AQ133" i="11"/>
  <c r="AN133" i="11"/>
  <c r="AL133" i="11"/>
  <c r="AI133" i="11"/>
  <c r="AG133" i="11"/>
  <c r="AT133" i="11" s="1"/>
  <c r="P133" i="11"/>
  <c r="O133" i="11"/>
  <c r="BS132" i="11"/>
  <c r="BM132" i="11"/>
  <c r="BL132" i="11"/>
  <c r="BH132" i="11"/>
  <c r="BG132" i="11"/>
  <c r="AQ132" i="11"/>
  <c r="AN132" i="11"/>
  <c r="AL132" i="11"/>
  <c r="AG132" i="11"/>
  <c r="P132" i="11"/>
  <c r="O132" i="11"/>
  <c r="BS131" i="11"/>
  <c r="BM131" i="11"/>
  <c r="BL131" i="11"/>
  <c r="BH131" i="11"/>
  <c r="BG131" i="11"/>
  <c r="AQ131" i="11"/>
  <c r="AN131" i="11"/>
  <c r="AL131" i="11"/>
  <c r="AI131" i="11"/>
  <c r="AS131" i="11" s="1"/>
  <c r="AG131" i="11"/>
  <c r="AT131" i="11" s="1"/>
  <c r="P131" i="11"/>
  <c r="O131" i="11"/>
  <c r="BS130" i="11"/>
  <c r="BM130" i="11"/>
  <c r="BL130" i="11"/>
  <c r="BH130" i="11"/>
  <c r="BG130" i="11"/>
  <c r="AQ130" i="11"/>
  <c r="AN130" i="11"/>
  <c r="AL130" i="11"/>
  <c r="AG130" i="11"/>
  <c r="P130" i="11"/>
  <c r="O130" i="11"/>
  <c r="BS129" i="11"/>
  <c r="BM129" i="11"/>
  <c r="BL129" i="11"/>
  <c r="BH129" i="11"/>
  <c r="BG129" i="11"/>
  <c r="AR129" i="11"/>
  <c r="AQ129" i="11"/>
  <c r="AN129" i="11"/>
  <c r="AL129" i="11"/>
  <c r="AI129" i="11"/>
  <c r="AG129" i="11"/>
  <c r="AT129" i="11" s="1"/>
  <c r="P129" i="11"/>
  <c r="O129" i="11"/>
  <c r="BS128" i="11"/>
  <c r="BM128" i="11"/>
  <c r="BL128" i="11"/>
  <c r="BH128" i="11"/>
  <c r="BG128" i="11"/>
  <c r="AQ128" i="11"/>
  <c r="AN128" i="11"/>
  <c r="AL128" i="11"/>
  <c r="AG128" i="11"/>
  <c r="P128" i="11"/>
  <c r="O128" i="11"/>
  <c r="BS127" i="11"/>
  <c r="BM127" i="11"/>
  <c r="BL127" i="11"/>
  <c r="BH127" i="11"/>
  <c r="BG127" i="11"/>
  <c r="AQ127" i="11"/>
  <c r="AN127" i="11"/>
  <c r="AL127" i="11"/>
  <c r="AI127" i="11"/>
  <c r="AS127" i="11" s="1"/>
  <c r="AG127" i="11"/>
  <c r="AT127" i="11" s="1"/>
  <c r="P127" i="11"/>
  <c r="O127" i="11"/>
  <c r="BS126" i="11"/>
  <c r="BM126" i="11"/>
  <c r="BL126" i="11"/>
  <c r="BH126" i="11"/>
  <c r="BG126" i="11"/>
  <c r="AQ126" i="11"/>
  <c r="AN126" i="11"/>
  <c r="AL126" i="11"/>
  <c r="AG126" i="11"/>
  <c r="P126" i="11"/>
  <c r="O126" i="11"/>
  <c r="BS125" i="11"/>
  <c r="BM125" i="11"/>
  <c r="BL125" i="11"/>
  <c r="BH125" i="11"/>
  <c r="BG125" i="11"/>
  <c r="AR125" i="11"/>
  <c r="AQ125" i="11"/>
  <c r="AN125" i="11"/>
  <c r="AL125" i="11"/>
  <c r="AI125" i="11"/>
  <c r="AG125" i="11"/>
  <c r="AT125" i="11" s="1"/>
  <c r="P125" i="11"/>
  <c r="O125" i="11"/>
  <c r="BS124" i="11"/>
  <c r="BM124" i="11"/>
  <c r="BL124" i="11"/>
  <c r="BH124" i="11"/>
  <c r="BG124" i="11"/>
  <c r="AQ124" i="11"/>
  <c r="AN124" i="11"/>
  <c r="AL124" i="11"/>
  <c r="AG124" i="11"/>
  <c r="P124" i="11"/>
  <c r="O124" i="11"/>
  <c r="BS123" i="11"/>
  <c r="BM123" i="11"/>
  <c r="BL123" i="11"/>
  <c r="BH123" i="11"/>
  <c r="BG123" i="11"/>
  <c r="AQ123" i="11"/>
  <c r="AN123" i="11"/>
  <c r="AL123" i="11"/>
  <c r="AI123" i="11"/>
  <c r="AS123" i="11" s="1"/>
  <c r="AG123" i="11"/>
  <c r="AT123" i="11" s="1"/>
  <c r="P123" i="11"/>
  <c r="O123" i="11"/>
  <c r="BS122" i="11"/>
  <c r="BM122" i="11"/>
  <c r="BL122" i="11"/>
  <c r="BH122" i="11"/>
  <c r="BG122" i="11"/>
  <c r="AQ122" i="11"/>
  <c r="AN122" i="11"/>
  <c r="AL122" i="11"/>
  <c r="AG122" i="11"/>
  <c r="P122" i="11"/>
  <c r="O122" i="11"/>
  <c r="BS121" i="11"/>
  <c r="BM121" i="11"/>
  <c r="BL121" i="11"/>
  <c r="BH121" i="11"/>
  <c r="BG121" i="11"/>
  <c r="AR121" i="11"/>
  <c r="AQ121" i="11"/>
  <c r="AN121" i="11"/>
  <c r="AL121" i="11"/>
  <c r="AI121" i="11"/>
  <c r="AG121" i="11"/>
  <c r="AT121" i="11" s="1"/>
  <c r="P121" i="11"/>
  <c r="O121" i="11"/>
  <c r="BS120" i="11"/>
  <c r="BM120" i="11"/>
  <c r="BL120" i="11"/>
  <c r="BH120" i="11"/>
  <c r="BG120" i="11"/>
  <c r="AQ120" i="11"/>
  <c r="AN120" i="11"/>
  <c r="AL120" i="11"/>
  <c r="AG120" i="11"/>
  <c r="P120" i="11"/>
  <c r="O120" i="11"/>
  <c r="BS119" i="11"/>
  <c r="BM119" i="11"/>
  <c r="BL119" i="11"/>
  <c r="BH119" i="11"/>
  <c r="BG119" i="11"/>
  <c r="AQ119" i="11"/>
  <c r="AN119" i="11"/>
  <c r="AL119" i="11"/>
  <c r="AI119" i="11"/>
  <c r="AS119" i="11" s="1"/>
  <c r="AG119" i="11"/>
  <c r="AT119" i="11" s="1"/>
  <c r="P119" i="11"/>
  <c r="O119" i="11"/>
  <c r="BS118" i="11"/>
  <c r="BM118" i="11"/>
  <c r="BL118" i="11"/>
  <c r="BH118" i="11"/>
  <c r="BG118" i="11"/>
  <c r="AQ118" i="11"/>
  <c r="AN118" i="11"/>
  <c r="AL118" i="11"/>
  <c r="AG118" i="11"/>
  <c r="P118" i="11"/>
  <c r="O118" i="11"/>
  <c r="BS117" i="11"/>
  <c r="BM117" i="11"/>
  <c r="BL117" i="11"/>
  <c r="BH117" i="11"/>
  <c r="BG117" i="11"/>
  <c r="AR117" i="11"/>
  <c r="AQ117" i="11"/>
  <c r="AN117" i="11"/>
  <c r="AL117" i="11"/>
  <c r="AI117" i="11"/>
  <c r="AG117" i="11"/>
  <c r="AT117" i="11" s="1"/>
  <c r="P117" i="11"/>
  <c r="O117" i="11"/>
  <c r="BS116" i="11"/>
  <c r="BM116" i="11"/>
  <c r="BL116" i="11"/>
  <c r="BH116" i="11"/>
  <c r="BG116" i="11"/>
  <c r="AQ116" i="11"/>
  <c r="AN116" i="11"/>
  <c r="AL116" i="11"/>
  <c r="AG116" i="11"/>
  <c r="P116" i="11"/>
  <c r="O116" i="11"/>
  <c r="BS115" i="11"/>
  <c r="BM115" i="11"/>
  <c r="BL115" i="11"/>
  <c r="BH115" i="11"/>
  <c r="BG115" i="11"/>
  <c r="AQ115" i="11"/>
  <c r="AN115" i="11"/>
  <c r="AL115" i="11"/>
  <c r="AI115" i="11"/>
  <c r="AS115" i="11" s="1"/>
  <c r="AG115" i="11"/>
  <c r="AT115" i="11" s="1"/>
  <c r="P115" i="11"/>
  <c r="O115" i="11"/>
  <c r="BS114" i="11"/>
  <c r="BM114" i="11"/>
  <c r="BL114" i="11"/>
  <c r="BH114" i="11"/>
  <c r="BG114" i="11"/>
  <c r="AQ114" i="11"/>
  <c r="AN114" i="11"/>
  <c r="AL114" i="11"/>
  <c r="AG114" i="11"/>
  <c r="P114" i="11"/>
  <c r="O114" i="11"/>
  <c r="BS113" i="11"/>
  <c r="BM113" i="11"/>
  <c r="BL113" i="11"/>
  <c r="BH113" i="11"/>
  <c r="BG113" i="11"/>
  <c r="AR113" i="11"/>
  <c r="AQ113" i="11"/>
  <c r="AN113" i="11"/>
  <c r="AL113" i="11"/>
  <c r="AI113" i="11"/>
  <c r="AG113" i="11"/>
  <c r="AT113" i="11" s="1"/>
  <c r="P113" i="11"/>
  <c r="O113" i="11"/>
  <c r="BS112" i="11"/>
  <c r="BM112" i="11"/>
  <c r="BL112" i="11"/>
  <c r="BH112" i="11"/>
  <c r="BG112" i="11"/>
  <c r="AQ112" i="11"/>
  <c r="AN112" i="11"/>
  <c r="AL112" i="11"/>
  <c r="AG112" i="11"/>
  <c r="P112" i="11"/>
  <c r="O112" i="11"/>
  <c r="BS111" i="11"/>
  <c r="BM111" i="11"/>
  <c r="BL111" i="11"/>
  <c r="BH111" i="11"/>
  <c r="BG111" i="11"/>
  <c r="AQ111" i="11"/>
  <c r="AN111" i="11"/>
  <c r="AL111" i="11"/>
  <c r="AI111" i="11"/>
  <c r="AS111" i="11" s="1"/>
  <c r="AG111" i="11"/>
  <c r="AT111" i="11" s="1"/>
  <c r="P111" i="11"/>
  <c r="O111" i="11"/>
  <c r="BS110" i="11"/>
  <c r="BM110" i="11"/>
  <c r="BL110" i="11"/>
  <c r="BH110" i="11"/>
  <c r="BG110" i="11"/>
  <c r="AQ110" i="11"/>
  <c r="AN110" i="11"/>
  <c r="AL110" i="11"/>
  <c r="AG110" i="11"/>
  <c r="P110" i="11"/>
  <c r="O110" i="11"/>
  <c r="BS109" i="11"/>
  <c r="BM109" i="11"/>
  <c r="BL109" i="11"/>
  <c r="BH109" i="11"/>
  <c r="BG109" i="11"/>
  <c r="AR109" i="11"/>
  <c r="AQ109" i="11"/>
  <c r="AN109" i="11"/>
  <c r="AL109" i="11"/>
  <c r="AI109" i="11"/>
  <c r="AG109" i="11"/>
  <c r="AT109" i="11" s="1"/>
  <c r="P109" i="11"/>
  <c r="O109" i="11"/>
  <c r="BS108" i="11"/>
  <c r="BM108" i="11"/>
  <c r="BL108" i="11"/>
  <c r="BH108" i="11"/>
  <c r="BG108" i="11"/>
  <c r="AQ108" i="11"/>
  <c r="AN108" i="11"/>
  <c r="AL108" i="11"/>
  <c r="AG108" i="11"/>
  <c r="P108" i="11"/>
  <c r="O108" i="11"/>
  <c r="BS107" i="11"/>
  <c r="BM107" i="11"/>
  <c r="BL107" i="11"/>
  <c r="BH107" i="11"/>
  <c r="BG107" i="11"/>
  <c r="AQ107" i="11"/>
  <c r="AN107" i="11"/>
  <c r="AL107" i="11"/>
  <c r="AI107" i="11"/>
  <c r="AS107" i="11" s="1"/>
  <c r="AG107" i="11"/>
  <c r="AT107" i="11" s="1"/>
  <c r="P107" i="11"/>
  <c r="O107" i="11"/>
  <c r="BS106" i="11"/>
  <c r="BM106" i="11"/>
  <c r="BL106" i="11"/>
  <c r="BH106" i="11"/>
  <c r="BG106" i="11"/>
  <c r="AQ106" i="11"/>
  <c r="AN106" i="11"/>
  <c r="AL106" i="11"/>
  <c r="AG106" i="11"/>
  <c r="P106" i="11"/>
  <c r="O106" i="11"/>
  <c r="BS105" i="11"/>
  <c r="BM105" i="11"/>
  <c r="BL105" i="11"/>
  <c r="BH105" i="11"/>
  <c r="BG105" i="11"/>
  <c r="AR105" i="11"/>
  <c r="AQ105" i="11"/>
  <c r="AN105" i="11"/>
  <c r="AL105" i="11"/>
  <c r="AI105" i="11"/>
  <c r="AG105" i="11"/>
  <c r="AT105" i="11" s="1"/>
  <c r="P105" i="11"/>
  <c r="O105" i="11"/>
  <c r="BS104" i="11"/>
  <c r="BM104" i="11"/>
  <c r="BL104" i="11"/>
  <c r="BH104" i="11"/>
  <c r="BG104" i="11"/>
  <c r="AQ104" i="11"/>
  <c r="AN104" i="11"/>
  <c r="AL104" i="11"/>
  <c r="AG104" i="11"/>
  <c r="P104" i="11"/>
  <c r="O104" i="11"/>
  <c r="BS103" i="11"/>
  <c r="BM103" i="11"/>
  <c r="BL103" i="11"/>
  <c r="BH103" i="11"/>
  <c r="BG103" i="11"/>
  <c r="AQ103" i="11"/>
  <c r="AN103" i="11"/>
  <c r="AL103" i="11"/>
  <c r="AI103" i="11"/>
  <c r="AS103" i="11" s="1"/>
  <c r="AG103" i="11"/>
  <c r="AT103" i="11" s="1"/>
  <c r="P103" i="11"/>
  <c r="O103" i="11"/>
  <c r="BS102" i="11"/>
  <c r="BM102" i="11"/>
  <c r="BL102" i="11"/>
  <c r="BH102" i="11"/>
  <c r="BG102" i="11"/>
  <c r="AQ102" i="11"/>
  <c r="AN102" i="11"/>
  <c r="AL102" i="11"/>
  <c r="AG102" i="11"/>
  <c r="P102" i="11"/>
  <c r="O102" i="11"/>
  <c r="BS101" i="11"/>
  <c r="BM101" i="11"/>
  <c r="BL101" i="11"/>
  <c r="BH101" i="11"/>
  <c r="BG101" i="11"/>
  <c r="AR101" i="11"/>
  <c r="AQ101" i="11"/>
  <c r="AN101" i="11"/>
  <c r="AL101" i="11"/>
  <c r="AI101" i="11"/>
  <c r="AG101" i="11"/>
  <c r="AT101" i="11" s="1"/>
  <c r="P101" i="11"/>
  <c r="O101" i="11"/>
  <c r="BS100" i="11"/>
  <c r="BM100" i="11"/>
  <c r="BL100" i="11"/>
  <c r="BH100" i="11"/>
  <c r="BG100" i="11"/>
  <c r="AQ100" i="11"/>
  <c r="AN100" i="11"/>
  <c r="AL100" i="11"/>
  <c r="AG100" i="11"/>
  <c r="P100" i="11"/>
  <c r="O100" i="11"/>
  <c r="BS99" i="11"/>
  <c r="BM99" i="11"/>
  <c r="BL99" i="11"/>
  <c r="BH99" i="11"/>
  <c r="BG99" i="11"/>
  <c r="AQ99" i="11"/>
  <c r="AN99" i="11"/>
  <c r="AL99" i="11"/>
  <c r="AI99" i="11"/>
  <c r="AS99" i="11" s="1"/>
  <c r="AG99" i="11"/>
  <c r="AT99" i="11" s="1"/>
  <c r="P99" i="11"/>
  <c r="O99" i="11"/>
  <c r="BS98" i="11"/>
  <c r="BM98" i="11"/>
  <c r="BL98" i="11"/>
  <c r="BH98" i="11"/>
  <c r="BG98" i="11"/>
  <c r="AQ98" i="11"/>
  <c r="AN98" i="11"/>
  <c r="AL98" i="11"/>
  <c r="AG98" i="11"/>
  <c r="P98" i="11"/>
  <c r="O98" i="11"/>
  <c r="BS97" i="11"/>
  <c r="BM97" i="11"/>
  <c r="BL97" i="11"/>
  <c r="BH97" i="11"/>
  <c r="BG97" i="11"/>
  <c r="AR97" i="11"/>
  <c r="AQ97" i="11"/>
  <c r="AN97" i="11"/>
  <c r="AL97" i="11"/>
  <c r="AI97" i="11"/>
  <c r="AG97" i="11"/>
  <c r="AT97" i="11" s="1"/>
  <c r="P97" i="11"/>
  <c r="O97" i="11"/>
  <c r="BS96" i="11"/>
  <c r="BM96" i="11"/>
  <c r="BL96" i="11"/>
  <c r="BH96" i="11"/>
  <c r="BG96" i="11"/>
  <c r="AQ96" i="11"/>
  <c r="AN96" i="11"/>
  <c r="AL96" i="11"/>
  <c r="AG96" i="11"/>
  <c r="P96" i="11"/>
  <c r="O96" i="11"/>
  <c r="BS95" i="11"/>
  <c r="BM95" i="11"/>
  <c r="BL95" i="11"/>
  <c r="BH95" i="11"/>
  <c r="BG95" i="11"/>
  <c r="AQ95" i="11"/>
  <c r="AN95" i="11"/>
  <c r="AL95" i="11"/>
  <c r="AI95" i="11"/>
  <c r="AS95" i="11" s="1"/>
  <c r="AG95" i="11"/>
  <c r="AT95" i="11" s="1"/>
  <c r="P95" i="11"/>
  <c r="O95" i="11"/>
  <c r="BS94" i="11"/>
  <c r="BM94" i="11"/>
  <c r="BL94" i="11"/>
  <c r="BH94" i="11"/>
  <c r="BG94" i="11"/>
  <c r="AQ94" i="11"/>
  <c r="AN94" i="11"/>
  <c r="AL94" i="11"/>
  <c r="AG94" i="11"/>
  <c r="P94" i="11"/>
  <c r="O94" i="11"/>
  <c r="BS93" i="11"/>
  <c r="BM93" i="11"/>
  <c r="BL93" i="11"/>
  <c r="BH93" i="11"/>
  <c r="BG93" i="11"/>
  <c r="AR93" i="11"/>
  <c r="AQ93" i="11"/>
  <c r="AN93" i="11"/>
  <c r="AL93" i="11"/>
  <c r="AI93" i="11"/>
  <c r="AG93" i="11"/>
  <c r="AT93" i="11" s="1"/>
  <c r="P93" i="11"/>
  <c r="O93" i="11"/>
  <c r="BS92" i="11"/>
  <c r="BM92" i="11"/>
  <c r="BL92" i="11"/>
  <c r="BH92" i="11"/>
  <c r="BG92" i="11"/>
  <c r="AQ92" i="11"/>
  <c r="AN92" i="11"/>
  <c r="AL92" i="11"/>
  <c r="AG92" i="11"/>
  <c r="P92" i="11"/>
  <c r="O92" i="11"/>
  <c r="BS91" i="11"/>
  <c r="BM91" i="11"/>
  <c r="BL91" i="11"/>
  <c r="BH91" i="11"/>
  <c r="BG91" i="11"/>
  <c r="AQ91" i="11"/>
  <c r="AN91" i="11"/>
  <c r="AL91" i="11"/>
  <c r="AI91" i="11"/>
  <c r="AS91" i="11" s="1"/>
  <c r="AG91" i="11"/>
  <c r="P91" i="11"/>
  <c r="O91" i="11"/>
  <c r="BS90" i="11"/>
  <c r="BM90" i="11"/>
  <c r="BL90" i="11"/>
  <c r="BH90" i="11"/>
  <c r="BG90" i="11"/>
  <c r="AQ90" i="11"/>
  <c r="AN90" i="11"/>
  <c r="AL90" i="11"/>
  <c r="AG90" i="11"/>
  <c r="P90" i="11"/>
  <c r="O90" i="11"/>
  <c r="BS89" i="11"/>
  <c r="BM89" i="11"/>
  <c r="BL89" i="11"/>
  <c r="BH89" i="11"/>
  <c r="BG89" i="11"/>
  <c r="AS89" i="11"/>
  <c r="AQ89" i="11"/>
  <c r="AN89" i="11"/>
  <c r="AL89" i="11"/>
  <c r="AI89" i="11"/>
  <c r="AR89" i="11" s="1"/>
  <c r="AG89" i="11"/>
  <c r="AT89" i="11" s="1"/>
  <c r="P89" i="11"/>
  <c r="O89" i="11"/>
  <c r="BS88" i="11"/>
  <c r="BM88" i="11"/>
  <c r="BL88" i="11"/>
  <c r="BH88" i="11"/>
  <c r="BG88" i="11"/>
  <c r="AQ88" i="11"/>
  <c r="AN88" i="11"/>
  <c r="AL88" i="11"/>
  <c r="AI88" i="11"/>
  <c r="AR88" i="11" s="1"/>
  <c r="AG88" i="11"/>
  <c r="P88" i="11"/>
  <c r="O88" i="11"/>
  <c r="BS87" i="11"/>
  <c r="BM87" i="11"/>
  <c r="BL87" i="11"/>
  <c r="BH87" i="11"/>
  <c r="BG87" i="11"/>
  <c r="AS87" i="11"/>
  <c r="AR87" i="11"/>
  <c r="AQ87" i="11"/>
  <c r="AN87" i="11"/>
  <c r="AL87" i="11"/>
  <c r="AI87" i="11"/>
  <c r="AG87" i="11"/>
  <c r="AT87" i="11" s="1"/>
  <c r="P87" i="11"/>
  <c r="O87" i="11"/>
  <c r="BS86" i="11"/>
  <c r="BM86" i="11"/>
  <c r="BL86" i="11"/>
  <c r="BH86" i="11"/>
  <c r="BG86" i="11"/>
  <c r="AQ86" i="11"/>
  <c r="AN86" i="11"/>
  <c r="AL86" i="11"/>
  <c r="AG86" i="11"/>
  <c r="AT86" i="11" s="1"/>
  <c r="P86" i="11"/>
  <c r="O86" i="11"/>
  <c r="BS85" i="11"/>
  <c r="BM85" i="11"/>
  <c r="BL85" i="11"/>
  <c r="BH85" i="11"/>
  <c r="BG85" i="11"/>
  <c r="AQ85" i="11"/>
  <c r="AN85" i="11"/>
  <c r="AS85" i="11" s="1"/>
  <c r="AL85" i="11"/>
  <c r="AI85" i="11"/>
  <c r="AG85" i="11"/>
  <c r="AT85" i="11" s="1"/>
  <c r="P85" i="11"/>
  <c r="O85" i="11"/>
  <c r="BS84" i="11"/>
  <c r="BM84" i="11"/>
  <c r="BL84" i="11"/>
  <c r="BH84" i="11"/>
  <c r="BG84" i="11"/>
  <c r="AS84" i="11"/>
  <c r="AQ84" i="11"/>
  <c r="AN84" i="11"/>
  <c r="AL84" i="11"/>
  <c r="AI84" i="11"/>
  <c r="AG84" i="11"/>
  <c r="AT84" i="11" s="1"/>
  <c r="P84" i="11"/>
  <c r="O84" i="11"/>
  <c r="BS83" i="11"/>
  <c r="BM83" i="11"/>
  <c r="BL83" i="11"/>
  <c r="BH83" i="11"/>
  <c r="BG83" i="11"/>
  <c r="AQ83" i="11"/>
  <c r="AN83" i="11"/>
  <c r="AL83" i="11"/>
  <c r="AI83" i="11"/>
  <c r="AS83" i="11" s="1"/>
  <c r="AG83" i="11"/>
  <c r="AT83" i="11" s="1"/>
  <c r="P83" i="11"/>
  <c r="O83" i="11"/>
  <c r="BS82" i="11"/>
  <c r="BM82" i="11"/>
  <c r="BL82" i="11"/>
  <c r="BH82" i="11"/>
  <c r="BG82" i="11"/>
  <c r="AQ82" i="11"/>
  <c r="AN82" i="11"/>
  <c r="AL82" i="11"/>
  <c r="AG82" i="11"/>
  <c r="AT82" i="11" s="1"/>
  <c r="P82" i="11"/>
  <c r="O82" i="11"/>
  <c r="BS81" i="11"/>
  <c r="BM81" i="11"/>
  <c r="BL81" i="11"/>
  <c r="BH81" i="11"/>
  <c r="BG81" i="11"/>
  <c r="AS81" i="11"/>
  <c r="AQ81" i="11"/>
  <c r="AN81" i="11"/>
  <c r="AL81" i="11"/>
  <c r="AI81" i="11"/>
  <c r="AR81" i="11" s="1"/>
  <c r="AG81" i="11"/>
  <c r="P81" i="11"/>
  <c r="O81" i="11"/>
  <c r="BS80" i="11"/>
  <c r="BM80" i="11"/>
  <c r="BL80" i="11"/>
  <c r="BH80" i="11"/>
  <c r="BG80" i="11"/>
  <c r="AQ80" i="11"/>
  <c r="AN80" i="11"/>
  <c r="AL80" i="11"/>
  <c r="AG80" i="11"/>
  <c r="AT80" i="11" s="1"/>
  <c r="P80" i="11"/>
  <c r="O80" i="11"/>
  <c r="BS79" i="11"/>
  <c r="BM79" i="11"/>
  <c r="BL79" i="11"/>
  <c r="BH79" i="11"/>
  <c r="BG79" i="11"/>
  <c r="AQ79" i="11"/>
  <c r="AN79" i="11"/>
  <c r="AL79" i="11"/>
  <c r="AI79" i="11"/>
  <c r="AS79" i="11" s="1"/>
  <c r="AG79" i="11"/>
  <c r="P79" i="11"/>
  <c r="O79" i="11"/>
  <c r="BS78" i="11"/>
  <c r="BM78" i="11"/>
  <c r="BL78" i="11"/>
  <c r="BH78" i="11"/>
  <c r="BG78" i="11"/>
  <c r="AR78" i="11"/>
  <c r="AQ78" i="11"/>
  <c r="AN78" i="11"/>
  <c r="AL78" i="11"/>
  <c r="AI78" i="11"/>
  <c r="AS78" i="11" s="1"/>
  <c r="AG78" i="11"/>
  <c r="AT78" i="11" s="1"/>
  <c r="P78" i="11"/>
  <c r="O78" i="11"/>
  <c r="BS77" i="11"/>
  <c r="BM77" i="11"/>
  <c r="BL77" i="11"/>
  <c r="BH77" i="11"/>
  <c r="BG77" i="11"/>
  <c r="AQ77" i="11"/>
  <c r="AN77" i="11"/>
  <c r="AL77" i="11"/>
  <c r="AI77" i="11"/>
  <c r="AS77" i="11" s="1"/>
  <c r="AG77" i="11"/>
  <c r="P77" i="11"/>
  <c r="O77" i="11"/>
  <c r="BS76" i="11"/>
  <c r="BM76" i="11"/>
  <c r="BL76" i="11"/>
  <c r="BH76" i="11"/>
  <c r="BG76" i="11"/>
  <c r="AS76" i="11"/>
  <c r="AR76" i="11"/>
  <c r="AQ76" i="11"/>
  <c r="AN76" i="11"/>
  <c r="AL76" i="11"/>
  <c r="AI76" i="11"/>
  <c r="AG76" i="11"/>
  <c r="AT76" i="11" s="1"/>
  <c r="P76" i="11"/>
  <c r="O76" i="11"/>
  <c r="BS75" i="11"/>
  <c r="BM75" i="11"/>
  <c r="BL75" i="11"/>
  <c r="BH75" i="11"/>
  <c r="BG75" i="11"/>
  <c r="AQ75" i="11"/>
  <c r="AN75" i="11"/>
  <c r="AL75" i="11"/>
  <c r="AG75" i="11"/>
  <c r="AT75" i="11" s="1"/>
  <c r="P75" i="11"/>
  <c r="O75" i="11"/>
  <c r="BS74" i="11"/>
  <c r="BM74" i="11"/>
  <c r="BL74" i="11"/>
  <c r="BH74" i="11"/>
  <c r="BG74" i="11"/>
  <c r="AQ74" i="11"/>
  <c r="AN74" i="11"/>
  <c r="AL74" i="11"/>
  <c r="AI74" i="11"/>
  <c r="AS74" i="11" s="1"/>
  <c r="AG74" i="11"/>
  <c r="P74" i="11"/>
  <c r="O74" i="11"/>
  <c r="BS73" i="11"/>
  <c r="BM73" i="11"/>
  <c r="BL73" i="11"/>
  <c r="BH73" i="11"/>
  <c r="BG73" i="11"/>
  <c r="AR73" i="11"/>
  <c r="AQ73" i="11"/>
  <c r="AN73" i="11"/>
  <c r="AL73" i="11"/>
  <c r="AI73" i="11"/>
  <c r="AS73" i="11" s="1"/>
  <c r="AG73" i="11"/>
  <c r="AT73" i="11" s="1"/>
  <c r="P73" i="11"/>
  <c r="O73" i="11"/>
  <c r="BS72" i="11"/>
  <c r="BM72" i="11"/>
  <c r="BL72" i="11"/>
  <c r="BH72" i="11"/>
  <c r="BG72" i="11"/>
  <c r="AQ72" i="11"/>
  <c r="AN72" i="11"/>
  <c r="AL72" i="11"/>
  <c r="AI72" i="11"/>
  <c r="AS72" i="11" s="1"/>
  <c r="AG72" i="11"/>
  <c r="P72" i="11"/>
  <c r="O72" i="11"/>
  <c r="BS71" i="11"/>
  <c r="BM71" i="11"/>
  <c r="BL71" i="11"/>
  <c r="BH71" i="11"/>
  <c r="BG71" i="11"/>
  <c r="AS71" i="11"/>
  <c r="AR71" i="11"/>
  <c r="AQ71" i="11"/>
  <c r="AN71" i="11"/>
  <c r="AL71" i="11"/>
  <c r="AI71" i="11"/>
  <c r="AG71" i="11"/>
  <c r="AT71" i="11" s="1"/>
  <c r="P71" i="11"/>
  <c r="O71" i="11"/>
  <c r="BS70" i="11"/>
  <c r="BM70" i="11"/>
  <c r="BL70" i="11"/>
  <c r="BH70" i="11"/>
  <c r="BG70" i="11"/>
  <c r="AQ70" i="11"/>
  <c r="AN70" i="11"/>
  <c r="AL70" i="11"/>
  <c r="AG70" i="11"/>
  <c r="AT70" i="11" s="1"/>
  <c r="P70" i="11"/>
  <c r="O70" i="11"/>
  <c r="BS69" i="11"/>
  <c r="BM69" i="11"/>
  <c r="BL69" i="11"/>
  <c r="BH69" i="11"/>
  <c r="BG69" i="11"/>
  <c r="AQ69" i="11"/>
  <c r="AN69" i="11"/>
  <c r="AL69" i="11"/>
  <c r="AI69" i="11"/>
  <c r="AS69" i="11" s="1"/>
  <c r="AG69" i="11"/>
  <c r="P69" i="11"/>
  <c r="O69" i="11"/>
  <c r="BS68" i="11"/>
  <c r="BM68" i="11"/>
  <c r="BL68" i="11"/>
  <c r="BH68" i="11"/>
  <c r="BG68" i="11"/>
  <c r="AR68" i="11"/>
  <c r="AQ68" i="11"/>
  <c r="AN68" i="11"/>
  <c r="AL68" i="11"/>
  <c r="AI68" i="11"/>
  <c r="AS68" i="11" s="1"/>
  <c r="AG68" i="11"/>
  <c r="AT68" i="11" s="1"/>
  <c r="P68" i="11"/>
  <c r="O68" i="11"/>
  <c r="BS67" i="11"/>
  <c r="BM67" i="11"/>
  <c r="BL67" i="11"/>
  <c r="BH67" i="11"/>
  <c r="BG67" i="11"/>
  <c r="AQ67" i="11"/>
  <c r="AN67" i="11"/>
  <c r="AL67" i="11"/>
  <c r="AI67" i="11"/>
  <c r="AS67" i="11" s="1"/>
  <c r="AG67" i="11"/>
  <c r="P67" i="11"/>
  <c r="O67" i="11"/>
  <c r="BS66" i="11"/>
  <c r="BM66" i="11"/>
  <c r="BL66" i="11"/>
  <c r="BH66" i="11"/>
  <c r="BG66" i="11"/>
  <c r="AS66" i="11"/>
  <c r="AR66" i="11"/>
  <c r="AQ66" i="11"/>
  <c r="AN66" i="11"/>
  <c r="AL66" i="11"/>
  <c r="AI66" i="11"/>
  <c r="AG66" i="11"/>
  <c r="AT66" i="11" s="1"/>
  <c r="P66" i="11"/>
  <c r="O66" i="11"/>
  <c r="BS65" i="11"/>
  <c r="BM65" i="11"/>
  <c r="BL65" i="11"/>
  <c r="BH65" i="11"/>
  <c r="BG65" i="11"/>
  <c r="AQ65" i="11"/>
  <c r="AN65" i="11"/>
  <c r="AL65" i="11"/>
  <c r="AG65" i="11"/>
  <c r="AT65" i="11" s="1"/>
  <c r="P65" i="11"/>
  <c r="O65" i="11"/>
  <c r="BS64" i="11"/>
  <c r="BM64" i="11"/>
  <c r="BL64" i="11"/>
  <c r="BH64" i="11"/>
  <c r="BG64" i="11"/>
  <c r="AQ64" i="11"/>
  <c r="AN64" i="11"/>
  <c r="AL64" i="11"/>
  <c r="AI64" i="11"/>
  <c r="AS64" i="11" s="1"/>
  <c r="AG64" i="11"/>
  <c r="P64" i="11"/>
  <c r="O64" i="11"/>
  <c r="BS63" i="11"/>
  <c r="BM63" i="11"/>
  <c r="BL63" i="11"/>
  <c r="BH63" i="11"/>
  <c r="BG63" i="11"/>
  <c r="AR63" i="11"/>
  <c r="AQ63" i="11"/>
  <c r="AN63" i="11"/>
  <c r="AL63" i="11"/>
  <c r="AI63" i="11"/>
  <c r="AS63" i="11" s="1"/>
  <c r="AG63" i="11"/>
  <c r="AT63" i="11" s="1"/>
  <c r="P63" i="11"/>
  <c r="O63" i="11"/>
  <c r="BS62" i="11"/>
  <c r="BM62" i="11"/>
  <c r="BL62" i="11"/>
  <c r="BH62" i="11"/>
  <c r="BG62" i="11"/>
  <c r="AQ62" i="11"/>
  <c r="AN62" i="11"/>
  <c r="AL62" i="11"/>
  <c r="AI62" i="11"/>
  <c r="AS62" i="11" s="1"/>
  <c r="AG62" i="11"/>
  <c r="P62" i="11"/>
  <c r="O62" i="11"/>
  <c r="BS61" i="11"/>
  <c r="BM61" i="11"/>
  <c r="BL61" i="11"/>
  <c r="BH61" i="11"/>
  <c r="BG61" i="11"/>
  <c r="AS61" i="11"/>
  <c r="AR61" i="11"/>
  <c r="AQ61" i="11"/>
  <c r="AN61" i="11"/>
  <c r="AL61" i="11"/>
  <c r="AI61" i="11"/>
  <c r="AG61" i="11"/>
  <c r="AT61" i="11" s="1"/>
  <c r="P61" i="11"/>
  <c r="O61" i="11"/>
  <c r="BS60" i="11"/>
  <c r="BM60" i="11"/>
  <c r="BL60" i="11"/>
  <c r="BH60" i="11"/>
  <c r="BG60" i="11"/>
  <c r="AQ60" i="11"/>
  <c r="AN60" i="11"/>
  <c r="AL60" i="11"/>
  <c r="AG60" i="11"/>
  <c r="AT60" i="11" s="1"/>
  <c r="P60" i="11"/>
  <c r="O60" i="11"/>
  <c r="BS59" i="11"/>
  <c r="BM59" i="11"/>
  <c r="BL59" i="11"/>
  <c r="BH59" i="11"/>
  <c r="BG59" i="11"/>
  <c r="AQ59" i="11"/>
  <c r="AN59" i="11"/>
  <c r="AL59" i="11"/>
  <c r="AI59" i="11"/>
  <c r="AS59" i="11" s="1"/>
  <c r="AG59" i="11"/>
  <c r="P59" i="11"/>
  <c r="O59" i="11"/>
  <c r="BS58" i="11"/>
  <c r="BM58" i="11"/>
  <c r="BL58" i="11"/>
  <c r="BH58" i="11"/>
  <c r="BG58" i="11"/>
  <c r="AR58" i="11"/>
  <c r="AQ58" i="11"/>
  <c r="AN58" i="11"/>
  <c r="AL58" i="11"/>
  <c r="AI58" i="11"/>
  <c r="AS58" i="11" s="1"/>
  <c r="AG58" i="11"/>
  <c r="AT58" i="11" s="1"/>
  <c r="P58" i="11"/>
  <c r="O58" i="11"/>
  <c r="BS57" i="11"/>
  <c r="BM57" i="11"/>
  <c r="BL57" i="11"/>
  <c r="BH57" i="11"/>
  <c r="BG57" i="11"/>
  <c r="AQ57" i="11"/>
  <c r="AN57" i="11"/>
  <c r="AL57" i="11"/>
  <c r="AI57" i="11"/>
  <c r="AS57" i="11" s="1"/>
  <c r="AG57" i="11"/>
  <c r="P57" i="11"/>
  <c r="O57" i="11"/>
  <c r="BS56" i="11"/>
  <c r="BM56" i="11"/>
  <c r="BL56" i="11"/>
  <c r="BH56" i="11"/>
  <c r="BG56" i="11"/>
  <c r="AS56" i="11"/>
  <c r="AR56" i="11"/>
  <c r="AQ56" i="11"/>
  <c r="AN56" i="11"/>
  <c r="AL56" i="11"/>
  <c r="AI56" i="11"/>
  <c r="AG56" i="11"/>
  <c r="AT56" i="11" s="1"/>
  <c r="P56" i="11"/>
  <c r="O56" i="11"/>
  <c r="BS55" i="11"/>
  <c r="BM55" i="11"/>
  <c r="BL55" i="11"/>
  <c r="BH55" i="11"/>
  <c r="BG55" i="11"/>
  <c r="AQ55" i="11"/>
  <c r="AN55" i="11"/>
  <c r="AL55" i="11"/>
  <c r="AG55" i="11"/>
  <c r="AT55" i="11" s="1"/>
  <c r="P55" i="11"/>
  <c r="O55" i="11"/>
  <c r="BS54" i="11"/>
  <c r="BM54" i="11"/>
  <c r="BL54" i="11"/>
  <c r="BH54" i="11"/>
  <c r="BG54" i="11"/>
  <c r="AQ54" i="11"/>
  <c r="AN54" i="11"/>
  <c r="AL54" i="11"/>
  <c r="AI54" i="11"/>
  <c r="AS54" i="11" s="1"/>
  <c r="AG54" i="11"/>
  <c r="P54" i="11"/>
  <c r="O54" i="11"/>
  <c r="BS53" i="11"/>
  <c r="BM53" i="11"/>
  <c r="BL53" i="11"/>
  <c r="BH53" i="11"/>
  <c r="BG53" i="11"/>
  <c r="AR53" i="11"/>
  <c r="AQ53" i="11"/>
  <c r="AN53" i="11"/>
  <c r="AL53" i="11"/>
  <c r="AI53" i="11"/>
  <c r="AS53" i="11" s="1"/>
  <c r="AG53" i="11"/>
  <c r="AT53" i="11" s="1"/>
  <c r="P53" i="11"/>
  <c r="O53" i="11"/>
  <c r="BS52" i="11"/>
  <c r="BM52" i="11"/>
  <c r="BL52" i="11"/>
  <c r="BH52" i="11"/>
  <c r="BG52" i="11"/>
  <c r="AQ52" i="11"/>
  <c r="AN52" i="11"/>
  <c r="AL52" i="11"/>
  <c r="AI52" i="11"/>
  <c r="AS52" i="11" s="1"/>
  <c r="AG52" i="11"/>
  <c r="P52" i="11"/>
  <c r="O52" i="11"/>
  <c r="BS51" i="11"/>
  <c r="BM51" i="11"/>
  <c r="BL51" i="11"/>
  <c r="BH51" i="11"/>
  <c r="BG51" i="11"/>
  <c r="AS51" i="11"/>
  <c r="AR51" i="11"/>
  <c r="AQ51" i="11"/>
  <c r="AN51" i="11"/>
  <c r="AL51" i="11"/>
  <c r="AI51" i="11"/>
  <c r="AG51" i="11"/>
  <c r="AT51" i="11" s="1"/>
  <c r="P51" i="11"/>
  <c r="O51" i="11"/>
  <c r="BS50" i="11"/>
  <c r="BM50" i="11"/>
  <c r="BL50" i="11"/>
  <c r="BH50" i="11"/>
  <c r="BG50" i="11"/>
  <c r="AQ50" i="11"/>
  <c r="AN50" i="11"/>
  <c r="AL50" i="11"/>
  <c r="AG50" i="11"/>
  <c r="AT50" i="11" s="1"/>
  <c r="P50" i="11"/>
  <c r="O50" i="11"/>
  <c r="BS49" i="11"/>
  <c r="BM49" i="11"/>
  <c r="BL49" i="11"/>
  <c r="BH49" i="11"/>
  <c r="BG49" i="11"/>
  <c r="AQ49" i="11"/>
  <c r="AN49" i="11"/>
  <c r="AL49" i="11"/>
  <c r="AI49" i="11"/>
  <c r="AS49" i="11" s="1"/>
  <c r="AG49" i="11"/>
  <c r="P49" i="11"/>
  <c r="O49" i="11"/>
  <c r="BS48" i="11"/>
  <c r="BM48" i="11"/>
  <c r="BL48" i="11"/>
  <c r="BH48" i="11"/>
  <c r="BG48" i="11"/>
  <c r="AR48" i="11"/>
  <c r="AQ48" i="11"/>
  <c r="AN48" i="11"/>
  <c r="AL48" i="11"/>
  <c r="AI48" i="11"/>
  <c r="AS48" i="11" s="1"/>
  <c r="AG48" i="11"/>
  <c r="AT48" i="11" s="1"/>
  <c r="P48" i="11"/>
  <c r="O48" i="11"/>
  <c r="BS47" i="11"/>
  <c r="BM47" i="11"/>
  <c r="BL47" i="11"/>
  <c r="BH47" i="11"/>
  <c r="BG47" i="11"/>
  <c r="AQ47" i="11"/>
  <c r="AN47" i="11"/>
  <c r="AL47" i="11"/>
  <c r="AI47" i="11"/>
  <c r="AS47" i="11" s="1"/>
  <c r="AG47" i="11"/>
  <c r="P47" i="11"/>
  <c r="O47" i="11"/>
  <c r="BS46" i="11"/>
  <c r="BM46" i="11"/>
  <c r="BL46" i="11"/>
  <c r="BH46" i="11"/>
  <c r="BG46" i="11"/>
  <c r="AS46" i="11"/>
  <c r="AR46" i="11"/>
  <c r="AQ46" i="11"/>
  <c r="AN46" i="11"/>
  <c r="AL46" i="11"/>
  <c r="AI46" i="11"/>
  <c r="AG46" i="11"/>
  <c r="AT46" i="11" s="1"/>
  <c r="P46" i="11"/>
  <c r="O46" i="11"/>
  <c r="BS45" i="11"/>
  <c r="BM45" i="11"/>
  <c r="BL45" i="11"/>
  <c r="BH45" i="11"/>
  <c r="BG45" i="11"/>
  <c r="AQ45" i="11"/>
  <c r="AN45" i="11"/>
  <c r="AL45" i="11"/>
  <c r="AG45" i="11"/>
  <c r="AT45" i="11" s="1"/>
  <c r="P45" i="11"/>
  <c r="O45" i="11"/>
  <c r="BS44" i="11"/>
  <c r="BM44" i="11"/>
  <c r="BL44" i="11"/>
  <c r="BH44" i="11"/>
  <c r="BG44" i="11"/>
  <c r="AQ44" i="11"/>
  <c r="AN44" i="11"/>
  <c r="AL44" i="11"/>
  <c r="AI44" i="11"/>
  <c r="AS44" i="11" s="1"/>
  <c r="AG44" i="11"/>
  <c r="P44" i="11"/>
  <c r="O44" i="11"/>
  <c r="BS43" i="11"/>
  <c r="BM43" i="11"/>
  <c r="BL43" i="11"/>
  <c r="BH43" i="11"/>
  <c r="BG43" i="11"/>
  <c r="AR43" i="11"/>
  <c r="AQ43" i="11"/>
  <c r="AN43" i="11"/>
  <c r="AL43" i="11"/>
  <c r="AI43" i="11"/>
  <c r="AS43" i="11" s="1"/>
  <c r="AG43" i="11"/>
  <c r="AT43" i="11" s="1"/>
  <c r="P43" i="11"/>
  <c r="O43" i="11"/>
  <c r="BS42" i="11"/>
  <c r="BM42" i="11"/>
  <c r="BL42" i="11"/>
  <c r="BH42" i="11"/>
  <c r="BG42" i="11"/>
  <c r="AQ42" i="11"/>
  <c r="AN42" i="11"/>
  <c r="AL42" i="11"/>
  <c r="AI42" i="11"/>
  <c r="AS42" i="11" s="1"/>
  <c r="AG42" i="11"/>
  <c r="P42" i="11"/>
  <c r="O42" i="11"/>
  <c r="BS41" i="11"/>
  <c r="BM41" i="11"/>
  <c r="BL41" i="11"/>
  <c r="BH41" i="11"/>
  <c r="BG41" i="11"/>
  <c r="AS41" i="11"/>
  <c r="AR41" i="11"/>
  <c r="AQ41" i="11"/>
  <c r="AN41" i="11"/>
  <c r="AL41" i="11"/>
  <c r="AI41" i="11"/>
  <c r="AG41" i="11"/>
  <c r="AT41" i="11" s="1"/>
  <c r="P41" i="11"/>
  <c r="O41" i="11"/>
  <c r="BS40" i="11"/>
  <c r="BM40" i="11"/>
  <c r="BL40" i="11"/>
  <c r="BH40" i="11"/>
  <c r="BG40" i="11"/>
  <c r="AQ40" i="11"/>
  <c r="AN40" i="11"/>
  <c r="AL40" i="11"/>
  <c r="AG40" i="11"/>
  <c r="AT40" i="11" s="1"/>
  <c r="P40" i="11"/>
  <c r="O40" i="11"/>
  <c r="BS39" i="11"/>
  <c r="BM39" i="11"/>
  <c r="BL39" i="11"/>
  <c r="BH39" i="11"/>
  <c r="BG39" i="11"/>
  <c r="AQ39" i="11"/>
  <c r="AN39" i="11"/>
  <c r="AL39" i="11"/>
  <c r="AI39" i="11"/>
  <c r="AS39" i="11" s="1"/>
  <c r="AG39" i="11"/>
  <c r="P39" i="11"/>
  <c r="O39" i="11"/>
  <c r="BS38" i="11"/>
  <c r="BM38" i="11"/>
  <c r="BL38" i="11"/>
  <c r="BH38" i="11"/>
  <c r="BG38" i="11"/>
  <c r="AR38" i="11"/>
  <c r="AQ38" i="11"/>
  <c r="AN38" i="11"/>
  <c r="AL38" i="11"/>
  <c r="AI38" i="11"/>
  <c r="AS38" i="11" s="1"/>
  <c r="AG38" i="11"/>
  <c r="AT38" i="11" s="1"/>
  <c r="P38" i="11"/>
  <c r="O38" i="11"/>
  <c r="BS37" i="11"/>
  <c r="BM37" i="11"/>
  <c r="BL37" i="11"/>
  <c r="BH37" i="11"/>
  <c r="BG37" i="11"/>
  <c r="AQ37" i="11"/>
  <c r="AN37" i="11"/>
  <c r="AL37" i="11"/>
  <c r="AI37" i="11"/>
  <c r="AS37" i="11" s="1"/>
  <c r="AG37" i="11"/>
  <c r="P37" i="11"/>
  <c r="O37" i="11"/>
  <c r="BS36" i="11"/>
  <c r="BM36" i="11"/>
  <c r="BL36" i="11"/>
  <c r="BH36" i="11"/>
  <c r="BG36" i="11"/>
  <c r="AS36" i="11"/>
  <c r="AR36" i="11"/>
  <c r="AQ36" i="11"/>
  <c r="AN36" i="11"/>
  <c r="AL36" i="11"/>
  <c r="AI36" i="11"/>
  <c r="AG36" i="11"/>
  <c r="AT36" i="11" s="1"/>
  <c r="P36" i="11"/>
  <c r="O36" i="11"/>
  <c r="BS35" i="11"/>
  <c r="BM35" i="11"/>
  <c r="BL35" i="11"/>
  <c r="BH35" i="11"/>
  <c r="BG35" i="11"/>
  <c r="AQ35" i="11"/>
  <c r="AN35" i="11"/>
  <c r="AL35" i="11"/>
  <c r="AG35" i="11"/>
  <c r="AT35" i="11" s="1"/>
  <c r="P35" i="11"/>
  <c r="O35" i="11"/>
  <c r="BS34" i="11"/>
  <c r="BM34" i="11"/>
  <c r="BL34" i="11"/>
  <c r="BH34" i="11"/>
  <c r="BG34" i="11"/>
  <c r="AQ34" i="11"/>
  <c r="AN34" i="11"/>
  <c r="AL34" i="11"/>
  <c r="AI34" i="11"/>
  <c r="AS34" i="11" s="1"/>
  <c r="AG34" i="11"/>
  <c r="P34" i="11"/>
  <c r="O34" i="11"/>
  <c r="BS33" i="11"/>
  <c r="BM33" i="11"/>
  <c r="BL33" i="11"/>
  <c r="BH33" i="11"/>
  <c r="BG33" i="11"/>
  <c r="AR33" i="11"/>
  <c r="AQ33" i="11"/>
  <c r="AN33" i="11"/>
  <c r="AL33" i="11"/>
  <c r="AI33" i="11"/>
  <c r="AS33" i="11" s="1"/>
  <c r="AG33" i="11"/>
  <c r="AT33" i="11" s="1"/>
  <c r="P33" i="11"/>
  <c r="O33" i="11"/>
  <c r="BS32" i="11"/>
  <c r="BM32" i="11"/>
  <c r="BL32" i="11"/>
  <c r="BH32" i="11"/>
  <c r="BG32" i="11"/>
  <c r="AQ32" i="11"/>
  <c r="AN32" i="11"/>
  <c r="AL32" i="11"/>
  <c r="AI32" i="11"/>
  <c r="AS32" i="11" s="1"/>
  <c r="AG32" i="11"/>
  <c r="P32" i="11"/>
  <c r="O32" i="11"/>
  <c r="BS31" i="11"/>
  <c r="BM31" i="11"/>
  <c r="BL31" i="11"/>
  <c r="BH31" i="11"/>
  <c r="BG31" i="11"/>
  <c r="AS31" i="11"/>
  <c r="AR31" i="11"/>
  <c r="AQ31" i="11"/>
  <c r="AN31" i="11"/>
  <c r="AL31" i="11"/>
  <c r="AI31" i="11"/>
  <c r="AG31" i="11"/>
  <c r="AT31" i="11" s="1"/>
  <c r="P31" i="11"/>
  <c r="O31" i="11"/>
  <c r="BS30" i="11"/>
  <c r="BM30" i="11"/>
  <c r="BL30" i="11"/>
  <c r="BH30" i="11"/>
  <c r="BG30" i="11"/>
  <c r="AQ30" i="11"/>
  <c r="AN30" i="11"/>
  <c r="AL30" i="11"/>
  <c r="AG30" i="11"/>
  <c r="AT30" i="11" s="1"/>
  <c r="P30" i="11"/>
  <c r="O30" i="11"/>
  <c r="BS29" i="11"/>
  <c r="BM29" i="11"/>
  <c r="BL29" i="11"/>
  <c r="BH29" i="11"/>
  <c r="BG29" i="11"/>
  <c r="AQ29" i="11"/>
  <c r="AN29" i="11"/>
  <c r="AL29" i="11"/>
  <c r="AI29" i="11"/>
  <c r="AS29" i="11" s="1"/>
  <c r="AG29" i="11"/>
  <c r="P29" i="11"/>
  <c r="O29" i="11"/>
  <c r="BS28" i="11"/>
  <c r="BM28" i="11"/>
  <c r="BL28" i="11"/>
  <c r="BH28" i="11"/>
  <c r="BG28" i="11"/>
  <c r="AR28" i="11"/>
  <c r="AQ28" i="11"/>
  <c r="AN28" i="11"/>
  <c r="AL28" i="11"/>
  <c r="AI28" i="11"/>
  <c r="AS28" i="11" s="1"/>
  <c r="AG28" i="11"/>
  <c r="AT28" i="11" s="1"/>
  <c r="P28" i="11"/>
  <c r="O28" i="11"/>
  <c r="BS27" i="11"/>
  <c r="BM27" i="11"/>
  <c r="BL27" i="11"/>
  <c r="BH27" i="11"/>
  <c r="BG27" i="11"/>
  <c r="AQ27" i="11"/>
  <c r="AN27" i="11"/>
  <c r="AL27" i="11"/>
  <c r="AI27" i="11"/>
  <c r="AS27" i="11" s="1"/>
  <c r="AG27" i="11"/>
  <c r="P27" i="11"/>
  <c r="O27" i="11"/>
  <c r="BS26" i="11"/>
  <c r="BM26" i="11"/>
  <c r="BL26" i="11"/>
  <c r="BH26" i="11"/>
  <c r="BG26" i="11"/>
  <c r="AQ26" i="11"/>
  <c r="AN26" i="11"/>
  <c r="AL26" i="11"/>
  <c r="AG26" i="11"/>
  <c r="AT26" i="11" s="1"/>
  <c r="P26" i="11"/>
  <c r="O26" i="11"/>
  <c r="BS25" i="11"/>
  <c r="BM25" i="11"/>
  <c r="BL25" i="11"/>
  <c r="BH25" i="11"/>
  <c r="BG25" i="11"/>
  <c r="AQ25" i="11"/>
  <c r="AN25" i="11"/>
  <c r="AL25" i="11"/>
  <c r="AG25" i="11"/>
  <c r="AT25" i="11" s="1"/>
  <c r="P25" i="11"/>
  <c r="O25" i="11"/>
  <c r="BS24" i="11"/>
  <c r="BM24" i="11"/>
  <c r="BL24" i="11"/>
  <c r="BH24" i="11"/>
  <c r="BG24" i="11"/>
  <c r="AQ24" i="11"/>
  <c r="AN24" i="11"/>
  <c r="AL24" i="11"/>
  <c r="AI24" i="11"/>
  <c r="AS24" i="11" s="1"/>
  <c r="AG24" i="11"/>
  <c r="P24" i="11"/>
  <c r="O24" i="11"/>
  <c r="BS23" i="11"/>
  <c r="BM23" i="11"/>
  <c r="BL23" i="11"/>
  <c r="BH23" i="11"/>
  <c r="BG23" i="11"/>
  <c r="AR23" i="11"/>
  <c r="AQ23" i="11"/>
  <c r="AN23" i="11"/>
  <c r="AL23" i="11"/>
  <c r="AI23" i="11"/>
  <c r="AS23" i="11" s="1"/>
  <c r="AG23" i="11"/>
  <c r="AT23" i="11" s="1"/>
  <c r="P23" i="11"/>
  <c r="O23" i="11"/>
  <c r="BS22" i="11"/>
  <c r="BM22" i="11"/>
  <c r="BL22" i="11"/>
  <c r="BH22" i="11"/>
  <c r="BG22" i="11"/>
  <c r="AQ22" i="11"/>
  <c r="AN22" i="11"/>
  <c r="AL22" i="11"/>
  <c r="AI22" i="11"/>
  <c r="AS22" i="11" s="1"/>
  <c r="AG22" i="11"/>
  <c r="P22" i="11"/>
  <c r="O22" i="11"/>
  <c r="BS21" i="11"/>
  <c r="BM21" i="11"/>
  <c r="BL21" i="11"/>
  <c r="BH21" i="11"/>
  <c r="BG21" i="11"/>
  <c r="AQ21" i="11"/>
  <c r="AN21" i="11"/>
  <c r="AL21" i="11"/>
  <c r="AG21" i="11"/>
  <c r="AT21" i="11" s="1"/>
  <c r="P21" i="11"/>
  <c r="O21" i="11"/>
  <c r="BS20" i="11"/>
  <c r="BM20" i="11"/>
  <c r="BL20" i="11"/>
  <c r="BH20" i="11"/>
  <c r="BG20" i="11"/>
  <c r="AQ20" i="11"/>
  <c r="AN20" i="11"/>
  <c r="AL20" i="11"/>
  <c r="AG20" i="11"/>
  <c r="AT20" i="11" s="1"/>
  <c r="P20" i="11"/>
  <c r="O20" i="11"/>
  <c r="BS19" i="11"/>
  <c r="BM19" i="11"/>
  <c r="BL19" i="11"/>
  <c r="BH19" i="11"/>
  <c r="BG19" i="11"/>
  <c r="AQ19" i="11"/>
  <c r="AN19" i="11"/>
  <c r="AL19" i="11"/>
  <c r="AI19" i="11"/>
  <c r="AS19" i="11" s="1"/>
  <c r="AG19" i="11"/>
  <c r="P19" i="11"/>
  <c r="O19" i="11"/>
  <c r="BS18" i="11"/>
  <c r="BM18" i="11"/>
  <c r="BL18" i="11"/>
  <c r="BH18" i="11"/>
  <c r="BG18" i="11"/>
  <c r="AR18" i="11"/>
  <c r="AQ18" i="11"/>
  <c r="AN18" i="11"/>
  <c r="AL18" i="11"/>
  <c r="AI18" i="11"/>
  <c r="AS18" i="11" s="1"/>
  <c r="AG18" i="11"/>
  <c r="AT18" i="11" s="1"/>
  <c r="P18" i="11"/>
  <c r="O18" i="11"/>
  <c r="BS17" i="11"/>
  <c r="BM17" i="11"/>
  <c r="BL17" i="11"/>
  <c r="BH17" i="11"/>
  <c r="BG17" i="11"/>
  <c r="AQ17" i="11"/>
  <c r="AN17" i="11"/>
  <c r="AL17" i="11"/>
  <c r="AI17" i="11"/>
  <c r="AS17" i="11" s="1"/>
  <c r="AG17" i="11"/>
  <c r="P17" i="11"/>
  <c r="O17" i="11"/>
  <c r="BS16" i="11"/>
  <c r="BM16" i="11"/>
  <c r="BL16" i="11"/>
  <c r="BH16" i="11"/>
  <c r="BG16" i="11"/>
  <c r="AQ16" i="11"/>
  <c r="AN16" i="11"/>
  <c r="AL16" i="11"/>
  <c r="AG16" i="11"/>
  <c r="AT16" i="11" s="1"/>
  <c r="P16" i="11"/>
  <c r="O16" i="11"/>
  <c r="BS15" i="11"/>
  <c r="BM15" i="11"/>
  <c r="BL15" i="11"/>
  <c r="BH15" i="11"/>
  <c r="BG15" i="11"/>
  <c r="AQ15" i="11"/>
  <c r="AN15" i="11"/>
  <c r="AL15" i="11"/>
  <c r="AG15" i="11"/>
  <c r="AT15" i="11" s="1"/>
  <c r="P15" i="11"/>
  <c r="O15" i="11"/>
  <c r="BS14" i="11"/>
  <c r="BM14" i="11"/>
  <c r="BL14" i="11"/>
  <c r="BH14" i="11"/>
  <c r="BG14" i="11"/>
  <c r="AQ14" i="11"/>
  <c r="AN14" i="11"/>
  <c r="AL14" i="11"/>
  <c r="AI14" i="11"/>
  <c r="AS14" i="11" s="1"/>
  <c r="AG14" i="11"/>
  <c r="P14" i="11"/>
  <c r="O14" i="11"/>
  <c r="BS13" i="11"/>
  <c r="BM13" i="11"/>
  <c r="BL13" i="11"/>
  <c r="BH13" i="11"/>
  <c r="BG13" i="11"/>
  <c r="AR13" i="11"/>
  <c r="AQ13" i="11"/>
  <c r="AN13" i="11"/>
  <c r="AL13" i="11"/>
  <c r="AI13" i="11"/>
  <c r="AS13" i="11" s="1"/>
  <c r="AG13" i="11"/>
  <c r="AT13" i="11" s="1"/>
  <c r="P13" i="11"/>
  <c r="O13" i="11"/>
  <c r="BS12" i="11"/>
  <c r="BM12" i="11"/>
  <c r="BL12" i="11"/>
  <c r="BH12" i="11"/>
  <c r="BG12" i="11"/>
  <c r="AQ12" i="11"/>
  <c r="AN12" i="11"/>
  <c r="AL12" i="11"/>
  <c r="AI12" i="11"/>
  <c r="AS12" i="11" s="1"/>
  <c r="AG12" i="11"/>
  <c r="P12" i="11"/>
  <c r="O12" i="11"/>
  <c r="BS11" i="11"/>
  <c r="BM11" i="11"/>
  <c r="BL11" i="11"/>
  <c r="BH11" i="11"/>
  <c r="BG11" i="11"/>
  <c r="AQ11" i="11"/>
  <c r="AN11" i="11"/>
  <c r="AL11" i="11"/>
  <c r="AG11" i="11"/>
  <c r="AT11" i="11" s="1"/>
  <c r="P11" i="11"/>
  <c r="O11" i="11"/>
  <c r="BS10" i="11"/>
  <c r="BM10" i="11"/>
  <c r="BL10" i="11"/>
  <c r="BH10" i="11"/>
  <c r="BG10" i="11"/>
  <c r="AQ10" i="11"/>
  <c r="AN10" i="11"/>
  <c r="AL10" i="11"/>
  <c r="AG10" i="11"/>
  <c r="AT10" i="11" s="1"/>
  <c r="P10" i="11"/>
  <c r="O10" i="11"/>
  <c r="BS9" i="11"/>
  <c r="BM9" i="11"/>
  <c r="BL9" i="11"/>
  <c r="BH9" i="11"/>
  <c r="BG9" i="11"/>
  <c r="AQ9" i="11"/>
  <c r="AN9" i="11"/>
  <c r="AL9" i="11"/>
  <c r="AI9" i="11"/>
  <c r="AS9" i="11" s="1"/>
  <c r="AG9" i="11"/>
  <c r="P9" i="11"/>
  <c r="O9" i="11"/>
  <c r="BS8" i="11"/>
  <c r="BM8" i="11"/>
  <c r="BL8" i="11"/>
  <c r="BH8" i="11"/>
  <c r="BG8" i="11"/>
  <c r="AR8" i="11"/>
  <c r="AQ8" i="11"/>
  <c r="AN8" i="11"/>
  <c r="AL8" i="11"/>
  <c r="AI8" i="11"/>
  <c r="AS8" i="11" s="1"/>
  <c r="AG8" i="11"/>
  <c r="AT8" i="11" s="1"/>
  <c r="P8" i="11"/>
  <c r="O8" i="11"/>
  <c r="BS7" i="11"/>
  <c r="BM7" i="11"/>
  <c r="BL7" i="11"/>
  <c r="BH7" i="11"/>
  <c r="BG7" i="11"/>
  <c r="AQ7" i="11"/>
  <c r="AN7" i="11"/>
  <c r="AL7" i="11"/>
  <c r="AI7" i="11"/>
  <c r="AS7" i="11" s="1"/>
  <c r="AG7" i="11"/>
  <c r="P7" i="11"/>
  <c r="O7" i="11"/>
  <c r="BS6" i="11"/>
  <c r="BM6" i="11"/>
  <c r="BL6" i="11"/>
  <c r="BH6" i="11"/>
  <c r="BG6" i="11"/>
  <c r="AQ6" i="11"/>
  <c r="AN6" i="11"/>
  <c r="AL6" i="11"/>
  <c r="AG6" i="11"/>
  <c r="AT6" i="11" s="1"/>
  <c r="P6" i="11"/>
  <c r="O6" i="11"/>
  <c r="BS5" i="11"/>
  <c r="BM5" i="11"/>
  <c r="BL5" i="11"/>
  <c r="BH5" i="11"/>
  <c r="BG5" i="11"/>
  <c r="AQ5" i="11"/>
  <c r="AN5" i="11"/>
  <c r="AL5" i="11"/>
  <c r="AG5" i="11"/>
  <c r="AT5" i="11" s="1"/>
  <c r="P5" i="11"/>
  <c r="O5" i="11"/>
  <c r="BS4" i="11"/>
  <c r="BM4" i="11"/>
  <c r="BL4" i="11"/>
  <c r="BH4" i="11"/>
  <c r="BG4" i="11"/>
  <c r="AQ4" i="11"/>
  <c r="AN4" i="11"/>
  <c r="AL4" i="11"/>
  <c r="AI4" i="11"/>
  <c r="AS4" i="11" s="1"/>
  <c r="AG4" i="11"/>
  <c r="P4" i="11"/>
  <c r="O4" i="11"/>
  <c r="BS3" i="11"/>
  <c r="BM3" i="11"/>
  <c r="BL3" i="11"/>
  <c r="BH3" i="11"/>
  <c r="BG3" i="11"/>
  <c r="AQ3" i="11"/>
  <c r="AN3" i="11"/>
  <c r="AL3" i="11"/>
  <c r="AI3" i="11"/>
  <c r="AS3" i="11" s="1"/>
  <c r="AG3" i="11"/>
  <c r="AT3" i="11" s="1"/>
  <c r="P3" i="11"/>
  <c r="O3" i="11"/>
  <c r="AR3" i="11" l="1"/>
  <c r="AT208" i="1"/>
  <c r="AI208" i="1"/>
  <c r="AS213" i="1"/>
  <c r="AR213" i="1"/>
  <c r="AS225" i="1"/>
  <c r="AR225" i="1"/>
  <c r="AT207" i="2"/>
  <c r="AI207" i="2"/>
  <c r="AR4" i="11"/>
  <c r="AI5" i="11"/>
  <c r="AR9" i="11"/>
  <c r="AI10" i="11"/>
  <c r="AR14" i="11"/>
  <c r="AI15" i="11"/>
  <c r="AR19" i="11"/>
  <c r="AI20" i="11"/>
  <c r="AR24" i="11"/>
  <c r="AI25" i="11"/>
  <c r="AR29" i="11"/>
  <c r="AI30" i="11"/>
  <c r="AR34" i="11"/>
  <c r="AI35" i="11"/>
  <c r="AR39" i="11"/>
  <c r="AI40" i="11"/>
  <c r="AR44" i="11"/>
  <c r="AI45" i="11"/>
  <c r="AR49" i="11"/>
  <c r="AI50" i="11"/>
  <c r="AR54" i="11"/>
  <c r="AI55" i="11"/>
  <c r="AR59" i="11"/>
  <c r="AI60" i="11"/>
  <c r="AR64" i="11"/>
  <c r="AI65" i="11"/>
  <c r="AR69" i="11"/>
  <c r="AI70" i="11"/>
  <c r="AR74" i="11"/>
  <c r="AI75" i="11"/>
  <c r="AR79" i="11"/>
  <c r="AI80" i="11"/>
  <c r="AT160" i="11"/>
  <c r="AI160" i="11"/>
  <c r="AT170" i="11"/>
  <c r="AI170" i="11"/>
  <c r="AT180" i="11"/>
  <c r="AI180" i="11"/>
  <c r="AT190" i="11"/>
  <c r="AI190" i="11"/>
  <c r="AT200" i="11"/>
  <c r="AI200" i="11"/>
  <c r="AT210" i="11"/>
  <c r="AI210" i="11"/>
  <c r="AT220" i="11"/>
  <c r="AI220" i="11"/>
  <c r="AT230" i="11"/>
  <c r="AI230" i="11"/>
  <c r="AT240" i="11"/>
  <c r="AI240" i="11"/>
  <c r="AT250" i="11"/>
  <c r="AI250" i="11"/>
  <c r="AT260" i="11"/>
  <c r="AI260" i="11"/>
  <c r="AT270" i="11"/>
  <c r="AI270" i="11"/>
  <c r="AS22" i="1"/>
  <c r="AR22" i="1"/>
  <c r="AR107" i="1"/>
  <c r="AR140" i="1"/>
  <c r="AS140" i="1"/>
  <c r="AR157" i="1"/>
  <c r="AR190" i="1"/>
  <c r="AS190" i="1"/>
  <c r="AR207" i="1"/>
  <c r="AR240" i="1"/>
  <c r="AS240" i="1"/>
  <c r="AI270" i="1"/>
  <c r="AT276" i="1"/>
  <c r="AI276" i="1"/>
  <c r="AS299" i="1"/>
  <c r="AR299" i="1"/>
  <c r="AR36" i="2"/>
  <c r="AI37" i="2"/>
  <c r="AR51" i="2"/>
  <c r="AS51" i="2"/>
  <c r="AT151" i="2"/>
  <c r="AI151" i="2"/>
  <c r="AI271" i="2"/>
  <c r="AI15" i="3"/>
  <c r="AR67" i="3"/>
  <c r="AS67" i="3"/>
  <c r="AS28" i="1"/>
  <c r="AR28" i="1"/>
  <c r="AT108" i="1"/>
  <c r="AI108" i="1"/>
  <c r="AS113" i="1"/>
  <c r="AR113" i="1"/>
  <c r="AS125" i="1"/>
  <c r="AR125" i="1"/>
  <c r="AS163" i="1"/>
  <c r="AR163" i="1"/>
  <c r="AS14" i="2"/>
  <c r="AR14" i="2"/>
  <c r="AS22" i="2"/>
  <c r="AR22" i="2"/>
  <c r="AS105" i="2"/>
  <c r="AR105" i="2"/>
  <c r="AT227" i="2"/>
  <c r="AI227" i="2"/>
  <c r="AT247" i="2"/>
  <c r="AI247" i="2"/>
  <c r="AR85" i="11"/>
  <c r="AI86" i="11"/>
  <c r="AT92" i="11"/>
  <c r="AI92" i="11"/>
  <c r="AT96" i="11"/>
  <c r="AI96" i="11"/>
  <c r="AT100" i="11"/>
  <c r="AI100" i="11"/>
  <c r="AT104" i="11"/>
  <c r="AI104" i="11"/>
  <c r="AT108" i="11"/>
  <c r="AI108" i="11"/>
  <c r="AT112" i="11"/>
  <c r="AI112" i="11"/>
  <c r="AT116" i="11"/>
  <c r="AI116" i="11"/>
  <c r="AT120" i="11"/>
  <c r="AI120" i="11"/>
  <c r="AT124" i="11"/>
  <c r="AI124" i="11"/>
  <c r="AT128" i="11"/>
  <c r="AI128" i="11"/>
  <c r="AT132" i="11"/>
  <c r="AI132" i="11"/>
  <c r="AT136" i="11"/>
  <c r="AI136" i="11"/>
  <c r="AT140" i="11"/>
  <c r="AI140" i="11"/>
  <c r="AT144" i="11"/>
  <c r="AI144" i="11"/>
  <c r="AT148" i="11"/>
  <c r="AI148" i="11"/>
  <c r="AT152" i="11"/>
  <c r="AI152" i="11"/>
  <c r="AT156" i="11"/>
  <c r="AI156" i="11"/>
  <c r="AS16" i="1"/>
  <c r="AR16" i="1"/>
  <c r="AT118" i="1"/>
  <c r="AI118" i="1"/>
  <c r="AS123" i="1"/>
  <c r="AR123" i="1"/>
  <c r="AS135" i="1"/>
  <c r="AR135" i="1"/>
  <c r="AT168" i="1"/>
  <c r="AI168" i="1"/>
  <c r="AS173" i="1"/>
  <c r="AR173" i="1"/>
  <c r="AS185" i="1"/>
  <c r="AR185" i="1"/>
  <c r="AT218" i="1"/>
  <c r="AI218" i="1"/>
  <c r="AS223" i="1"/>
  <c r="AR223" i="1"/>
  <c r="AS235" i="1"/>
  <c r="AR235" i="1"/>
  <c r="AR275" i="1"/>
  <c r="AS281" i="1"/>
  <c r="AR281" i="1"/>
  <c r="AS28" i="2"/>
  <c r="AR28" i="2"/>
  <c r="AI95" i="2"/>
  <c r="AT147" i="2"/>
  <c r="AI147" i="2"/>
  <c r="AT183" i="2"/>
  <c r="AI183" i="2"/>
  <c r="AT203" i="2"/>
  <c r="AI203" i="2"/>
  <c r="AT223" i="2"/>
  <c r="AI223" i="2"/>
  <c r="AT243" i="2"/>
  <c r="AI243" i="2"/>
  <c r="AI2" i="3"/>
  <c r="AR56" i="3"/>
  <c r="AS56" i="3"/>
  <c r="AR123" i="5"/>
  <c r="AS123" i="5"/>
  <c r="AR266" i="5"/>
  <c r="AS266" i="5"/>
  <c r="AS220" i="6"/>
  <c r="AR220" i="6"/>
  <c r="AS221" i="6"/>
  <c r="AR221" i="6"/>
  <c r="AS155" i="3"/>
  <c r="AR155" i="3"/>
  <c r="AR7" i="11"/>
  <c r="AR12" i="11"/>
  <c r="AR17" i="11"/>
  <c r="AR22" i="11"/>
  <c r="AR27" i="11"/>
  <c r="AR32" i="11"/>
  <c r="AR37" i="11"/>
  <c r="AR42" i="11"/>
  <c r="AR47" i="11"/>
  <c r="AR52" i="11"/>
  <c r="AR57" i="11"/>
  <c r="AR62" i="11"/>
  <c r="AR67" i="11"/>
  <c r="AR72" i="11"/>
  <c r="AR77" i="11"/>
  <c r="AT81" i="11"/>
  <c r="AS88" i="11"/>
  <c r="AR91" i="11"/>
  <c r="AT166" i="11"/>
  <c r="AI166" i="11"/>
  <c r="AT176" i="11"/>
  <c r="AI176" i="11"/>
  <c r="AT186" i="11"/>
  <c r="AI186" i="11"/>
  <c r="AT196" i="11"/>
  <c r="AI196" i="11"/>
  <c r="AT206" i="11"/>
  <c r="AI206" i="11"/>
  <c r="AT216" i="11"/>
  <c r="AI216" i="11"/>
  <c r="AT226" i="11"/>
  <c r="AI226" i="11"/>
  <c r="AT236" i="11"/>
  <c r="AI236" i="11"/>
  <c r="AT246" i="11"/>
  <c r="AI246" i="11"/>
  <c r="AT256" i="11"/>
  <c r="AI256" i="11"/>
  <c r="AT266" i="11"/>
  <c r="AI266" i="11"/>
  <c r="AS10" i="1"/>
  <c r="AR10" i="1"/>
  <c r="AT12" i="1"/>
  <c r="AS30" i="1"/>
  <c r="AR30" i="1"/>
  <c r="AR100" i="1"/>
  <c r="AS100" i="1"/>
  <c r="AR117" i="1"/>
  <c r="AR150" i="1"/>
  <c r="AS150" i="1"/>
  <c r="AR167" i="1"/>
  <c r="AR200" i="1"/>
  <c r="AS200" i="1"/>
  <c r="AR217" i="1"/>
  <c r="AR250" i="1"/>
  <c r="AS250" i="1"/>
  <c r="AT256" i="1"/>
  <c r="AI256" i="1"/>
  <c r="AR295" i="1"/>
  <c r="AI296" i="1"/>
  <c r="AR11" i="2"/>
  <c r="AS11" i="2"/>
  <c r="AT43" i="2"/>
  <c r="AI43" i="2"/>
  <c r="AS60" i="2"/>
  <c r="AR60" i="2"/>
  <c r="AT143" i="2"/>
  <c r="AI143" i="2"/>
  <c r="AS28" i="4"/>
  <c r="AR28" i="4"/>
  <c r="AR53" i="4"/>
  <c r="AS53" i="4"/>
  <c r="AT155" i="2"/>
  <c r="AI155" i="2"/>
  <c r="AS24" i="3"/>
  <c r="AR24" i="3"/>
  <c r="AR95" i="11"/>
  <c r="AR99" i="11"/>
  <c r="AR103" i="11"/>
  <c r="AR107" i="11"/>
  <c r="AR111" i="11"/>
  <c r="AR115" i="11"/>
  <c r="AR119" i="11"/>
  <c r="AR123" i="11"/>
  <c r="AR127" i="11"/>
  <c r="AR131" i="11"/>
  <c r="AR135" i="11"/>
  <c r="AR139" i="11"/>
  <c r="AR143" i="11"/>
  <c r="AR147" i="11"/>
  <c r="AR151" i="11"/>
  <c r="AR155" i="11"/>
  <c r="AS24" i="1"/>
  <c r="AR24" i="1"/>
  <c r="AS41" i="1"/>
  <c r="AR41" i="1"/>
  <c r="AI46" i="1"/>
  <c r="AS61" i="1"/>
  <c r="AR61" i="1"/>
  <c r="AI66" i="1"/>
  <c r="AS81" i="1"/>
  <c r="AR81" i="1"/>
  <c r="AI86" i="1"/>
  <c r="AT128" i="1"/>
  <c r="AI128" i="1"/>
  <c r="AS133" i="1"/>
  <c r="AR133" i="1"/>
  <c r="AS145" i="1"/>
  <c r="AR145" i="1"/>
  <c r="AT178" i="1"/>
  <c r="AI178" i="1"/>
  <c r="AS183" i="1"/>
  <c r="AR183" i="1"/>
  <c r="AS195" i="1"/>
  <c r="AR195" i="1"/>
  <c r="AT228" i="1"/>
  <c r="AI228" i="1"/>
  <c r="AS233" i="1"/>
  <c r="AR233" i="1"/>
  <c r="AS245" i="1"/>
  <c r="AR245" i="1"/>
  <c r="AR255" i="1"/>
  <c r="AS287" i="1"/>
  <c r="AR287" i="1"/>
  <c r="AS34" i="2"/>
  <c r="AR34" i="2"/>
  <c r="AS42" i="2"/>
  <c r="AR42" i="2"/>
  <c r="AI85" i="2"/>
  <c r="AI135" i="2"/>
  <c r="AT139" i="2"/>
  <c r="AI139" i="2"/>
  <c r="AT179" i="2"/>
  <c r="AI179" i="2"/>
  <c r="AT199" i="2"/>
  <c r="AI199" i="2"/>
  <c r="AT219" i="2"/>
  <c r="AI219" i="2"/>
  <c r="AT239" i="2"/>
  <c r="AI239" i="2"/>
  <c r="AI261" i="2"/>
  <c r="AT53" i="3"/>
  <c r="AI53" i="3"/>
  <c r="AI6" i="11"/>
  <c r="AI11" i="11"/>
  <c r="AI16" i="11"/>
  <c r="AI21" i="11"/>
  <c r="AI26" i="11"/>
  <c r="AR83" i="11"/>
  <c r="AR84" i="11"/>
  <c r="AT90" i="11"/>
  <c r="AS93" i="11"/>
  <c r="AS97" i="11"/>
  <c r="AS101" i="11"/>
  <c r="AS105" i="11"/>
  <c r="AS109" i="11"/>
  <c r="AS113" i="11"/>
  <c r="AS117" i="11"/>
  <c r="AS121" i="11"/>
  <c r="AS125" i="11"/>
  <c r="AS129" i="11"/>
  <c r="AS133" i="11"/>
  <c r="AS137" i="11"/>
  <c r="AS141" i="11"/>
  <c r="AS145" i="11"/>
  <c r="AS149" i="11"/>
  <c r="AS153" i="11"/>
  <c r="AS157" i="11"/>
  <c r="AT162" i="11"/>
  <c r="AI162" i="11"/>
  <c r="AS167" i="11"/>
  <c r="AT172" i="11"/>
  <c r="AI172" i="11"/>
  <c r="AS177" i="11"/>
  <c r="AT182" i="11"/>
  <c r="AI182" i="11"/>
  <c r="AS187" i="11"/>
  <c r="AT192" i="11"/>
  <c r="AI192" i="11"/>
  <c r="AS197" i="11"/>
  <c r="AT202" i="11"/>
  <c r="AI202" i="11"/>
  <c r="AS207" i="11"/>
  <c r="AT212" i="11"/>
  <c r="AI212" i="11"/>
  <c r="AS217" i="11"/>
  <c r="AT222" i="11"/>
  <c r="AI222" i="11"/>
  <c r="AS227" i="11"/>
  <c r="AT232" i="11"/>
  <c r="AI232" i="11"/>
  <c r="AS237" i="11"/>
  <c r="AT242" i="11"/>
  <c r="AI242" i="11"/>
  <c r="AS247" i="11"/>
  <c r="AT252" i="11"/>
  <c r="AI252" i="11"/>
  <c r="AS257" i="11"/>
  <c r="AT262" i="11"/>
  <c r="AI262" i="11"/>
  <c r="AS267" i="11"/>
  <c r="AT272" i="11"/>
  <c r="AI272" i="11"/>
  <c r="AT279" i="11"/>
  <c r="AS285" i="11"/>
  <c r="AT299" i="11"/>
  <c r="AS6" i="1"/>
  <c r="AS18" i="1"/>
  <c r="AR18" i="1"/>
  <c r="AT20" i="1"/>
  <c r="AT33" i="1"/>
  <c r="AI33" i="1"/>
  <c r="AS37" i="1"/>
  <c r="AR37" i="1"/>
  <c r="AT53" i="1"/>
  <c r="AI53" i="1"/>
  <c r="AS57" i="1"/>
  <c r="AR57" i="1"/>
  <c r="AT73" i="1"/>
  <c r="AI73" i="1"/>
  <c r="AS77" i="1"/>
  <c r="AR77" i="1"/>
  <c r="AR110" i="1"/>
  <c r="AS110" i="1"/>
  <c r="AR127" i="1"/>
  <c r="AR160" i="1"/>
  <c r="AS160" i="1"/>
  <c r="AR177" i="1"/>
  <c r="AR210" i="1"/>
  <c r="AS210" i="1"/>
  <c r="AR227" i="1"/>
  <c r="AT3" i="2"/>
  <c r="AI3" i="2"/>
  <c r="AS20" i="2"/>
  <c r="AR20" i="2"/>
  <c r="AR56" i="2"/>
  <c r="AI57" i="2"/>
  <c r="AT175" i="2"/>
  <c r="AI175" i="2"/>
  <c r="AI291" i="2"/>
  <c r="AT46" i="3"/>
  <c r="AN46" i="3"/>
  <c r="AT52" i="3"/>
  <c r="AR52" i="3"/>
  <c r="AT187" i="2"/>
  <c r="AI187" i="2"/>
  <c r="AT4" i="11"/>
  <c r="AT9" i="11"/>
  <c r="AT14" i="11"/>
  <c r="AT19" i="11"/>
  <c r="AT24" i="11"/>
  <c r="AT29" i="11"/>
  <c r="AT34" i="11"/>
  <c r="AT39" i="11"/>
  <c r="AT44" i="11"/>
  <c r="AT49" i="11"/>
  <c r="AT54" i="11"/>
  <c r="AT59" i="11"/>
  <c r="AT64" i="11"/>
  <c r="AT69" i="11"/>
  <c r="AT74" i="11"/>
  <c r="AT79" i="11"/>
  <c r="AI90" i="11"/>
  <c r="AT163" i="11"/>
  <c r="AT173" i="11"/>
  <c r="AT183" i="11"/>
  <c r="AT193" i="11"/>
  <c r="AT203" i="11"/>
  <c r="AT213" i="11"/>
  <c r="AT223" i="11"/>
  <c r="AT233" i="11"/>
  <c r="AT243" i="11"/>
  <c r="AT253" i="11"/>
  <c r="AT263" i="11"/>
  <c r="AT273" i="11"/>
  <c r="AS279" i="11"/>
  <c r="AR291" i="11"/>
  <c r="AT293" i="11"/>
  <c r="AS299" i="11"/>
  <c r="AS12" i="1"/>
  <c r="AR12" i="1"/>
  <c r="AT14" i="1"/>
  <c r="AS32" i="1"/>
  <c r="AR32" i="1"/>
  <c r="AS52" i="1"/>
  <c r="AR52" i="1"/>
  <c r="AS72" i="1"/>
  <c r="AR72" i="1"/>
  <c r="AS93" i="1"/>
  <c r="AR93" i="1"/>
  <c r="AS115" i="1"/>
  <c r="AT138" i="1"/>
  <c r="AI138" i="1"/>
  <c r="AS143" i="1"/>
  <c r="AR143" i="1"/>
  <c r="AS155" i="1"/>
  <c r="AR155" i="1"/>
  <c r="AT188" i="1"/>
  <c r="AI188" i="1"/>
  <c r="AS193" i="1"/>
  <c r="AR193" i="1"/>
  <c r="AS205" i="1"/>
  <c r="AR205" i="1"/>
  <c r="AT238" i="1"/>
  <c r="AI238" i="1"/>
  <c r="AS243" i="1"/>
  <c r="AR243" i="1"/>
  <c r="AS267" i="1"/>
  <c r="AR267" i="1"/>
  <c r="AS273" i="1"/>
  <c r="AR273" i="1"/>
  <c r="AS279" i="1"/>
  <c r="AR279" i="1"/>
  <c r="AR284" i="1"/>
  <c r="AS284" i="1"/>
  <c r="AS293" i="1"/>
  <c r="AR293" i="1"/>
  <c r="AS2" i="2"/>
  <c r="AR2" i="2"/>
  <c r="AS48" i="2"/>
  <c r="AR48" i="2"/>
  <c r="AI125" i="2"/>
  <c r="AT171" i="2"/>
  <c r="AI171" i="2"/>
  <c r="AT195" i="2"/>
  <c r="AI195" i="2"/>
  <c r="AT215" i="2"/>
  <c r="AI215" i="2"/>
  <c r="AT235" i="2"/>
  <c r="AI235" i="2"/>
  <c r="AS48" i="3"/>
  <c r="AT158" i="1"/>
  <c r="AI158" i="1"/>
  <c r="AS175" i="1"/>
  <c r="AR175" i="1"/>
  <c r="AI154" i="3"/>
  <c r="AT154" i="3"/>
  <c r="AT94" i="11"/>
  <c r="AI94" i="11"/>
  <c r="AT98" i="11"/>
  <c r="AI98" i="11"/>
  <c r="AT102" i="11"/>
  <c r="AI102" i="11"/>
  <c r="AT106" i="11"/>
  <c r="AI106" i="11"/>
  <c r="AT110" i="11"/>
  <c r="AI110" i="11"/>
  <c r="AT114" i="11"/>
  <c r="AI114" i="11"/>
  <c r="AT118" i="11"/>
  <c r="AI118" i="11"/>
  <c r="AT122" i="11"/>
  <c r="AI122" i="11"/>
  <c r="AT126" i="11"/>
  <c r="AI126" i="11"/>
  <c r="AT130" i="11"/>
  <c r="AI130" i="11"/>
  <c r="AT134" i="11"/>
  <c r="AI134" i="11"/>
  <c r="AT138" i="11"/>
  <c r="AI138" i="11"/>
  <c r="AT142" i="11"/>
  <c r="AI142" i="11"/>
  <c r="AT146" i="11"/>
  <c r="AI146" i="11"/>
  <c r="AT150" i="11"/>
  <c r="AI150" i="11"/>
  <c r="AT154" i="11"/>
  <c r="AI154" i="11"/>
  <c r="AT158" i="11"/>
  <c r="AI158" i="11"/>
  <c r="AS163" i="11"/>
  <c r="AT168" i="11"/>
  <c r="AI168" i="11"/>
  <c r="AS173" i="11"/>
  <c r="AT178" i="11"/>
  <c r="AI178" i="11"/>
  <c r="AS183" i="11"/>
  <c r="AT188" i="11"/>
  <c r="AI188" i="11"/>
  <c r="AS193" i="11"/>
  <c r="AT198" i="11"/>
  <c r="AI198" i="11"/>
  <c r="AS203" i="11"/>
  <c r="AT208" i="11"/>
  <c r="AI208" i="11"/>
  <c r="AS213" i="11"/>
  <c r="AT218" i="11"/>
  <c r="AI218" i="11"/>
  <c r="AS223" i="11"/>
  <c r="AT228" i="11"/>
  <c r="AI228" i="11"/>
  <c r="AS233" i="11"/>
  <c r="AT238" i="11"/>
  <c r="AI238" i="11"/>
  <c r="AS243" i="11"/>
  <c r="AT248" i="11"/>
  <c r="AI248" i="11"/>
  <c r="AS253" i="11"/>
  <c r="AT258" i="11"/>
  <c r="AI258" i="11"/>
  <c r="AS263" i="11"/>
  <c r="AT268" i="11"/>
  <c r="AI268" i="11"/>
  <c r="AS273" i="11"/>
  <c r="AT287" i="11"/>
  <c r="AS293" i="11"/>
  <c r="AT8" i="1"/>
  <c r="AS26" i="1"/>
  <c r="AR26" i="1"/>
  <c r="AT28" i="1"/>
  <c r="AR120" i="1"/>
  <c r="AS120" i="1"/>
  <c r="AR170" i="1"/>
  <c r="AS170" i="1"/>
  <c r="AR220" i="1"/>
  <c r="AS220" i="1"/>
  <c r="AR17" i="2"/>
  <c r="AS17" i="2"/>
  <c r="AR31" i="2"/>
  <c r="AS31" i="2"/>
  <c r="AS75" i="2"/>
  <c r="AR75" i="2"/>
  <c r="AT167" i="2"/>
  <c r="AI167" i="2"/>
  <c r="AR43" i="3"/>
  <c r="AS43" i="3"/>
  <c r="AI242" i="3"/>
  <c r="AT242" i="3"/>
  <c r="AT281" i="3"/>
  <c r="AI281" i="3"/>
  <c r="AT7" i="11"/>
  <c r="AT12" i="11"/>
  <c r="AT17" i="11"/>
  <c r="AT22" i="11"/>
  <c r="AT27" i="11"/>
  <c r="AT32" i="11"/>
  <c r="AT37" i="11"/>
  <c r="AT42" i="11"/>
  <c r="AT47" i="11"/>
  <c r="AT52" i="11"/>
  <c r="AT57" i="11"/>
  <c r="AT62" i="11"/>
  <c r="AT67" i="11"/>
  <c r="AT72" i="11"/>
  <c r="AT77" i="11"/>
  <c r="AI82" i="11"/>
  <c r="AT88" i="11"/>
  <c r="AT91" i="11"/>
  <c r="AT159" i="11"/>
  <c r="AT169" i="11"/>
  <c r="AT179" i="11"/>
  <c r="AT189" i="11"/>
  <c r="AT199" i="11"/>
  <c r="AT209" i="11"/>
  <c r="AT219" i="11"/>
  <c r="AT229" i="11"/>
  <c r="AT239" i="11"/>
  <c r="AT249" i="11"/>
  <c r="AT259" i="11"/>
  <c r="AT269" i="11"/>
  <c r="AR279" i="11"/>
  <c r="AT281" i="11"/>
  <c r="AS287" i="11"/>
  <c r="AR299" i="11"/>
  <c r="AT2" i="1"/>
  <c r="AS8" i="1"/>
  <c r="AS20" i="1"/>
  <c r="AR20" i="1"/>
  <c r="AT22" i="1"/>
  <c r="AT44" i="1"/>
  <c r="AI44" i="1"/>
  <c r="AT64" i="1"/>
  <c r="AI64" i="1"/>
  <c r="AT84" i="1"/>
  <c r="AI84" i="1"/>
  <c r="AT98" i="1"/>
  <c r="AI98" i="1"/>
  <c r="AS103" i="1"/>
  <c r="AR103" i="1"/>
  <c r="AT148" i="1"/>
  <c r="AI148" i="1"/>
  <c r="AS153" i="1"/>
  <c r="AR153" i="1"/>
  <c r="AS165" i="1"/>
  <c r="AR165" i="1"/>
  <c r="AT198" i="1"/>
  <c r="AI198" i="1"/>
  <c r="AS203" i="1"/>
  <c r="AR203" i="1"/>
  <c r="AS215" i="1"/>
  <c r="AR215" i="1"/>
  <c r="AT248" i="1"/>
  <c r="AI248" i="1"/>
  <c r="AS253" i="1"/>
  <c r="AR253" i="1"/>
  <c r="AS259" i="1"/>
  <c r="AR259" i="1"/>
  <c r="AR264" i="1"/>
  <c r="AS264" i="1"/>
  <c r="AS8" i="2"/>
  <c r="AR8" i="2"/>
  <c r="AS54" i="2"/>
  <c r="AR54" i="2"/>
  <c r="AT63" i="2"/>
  <c r="AI63" i="2"/>
  <c r="AI115" i="2"/>
  <c r="AT163" i="2"/>
  <c r="AI163" i="2"/>
  <c r="AT191" i="2"/>
  <c r="AI191" i="2"/>
  <c r="AT211" i="2"/>
  <c r="AI211" i="2"/>
  <c r="AT231" i="2"/>
  <c r="AI231" i="2"/>
  <c r="AT251" i="2"/>
  <c r="AI251" i="2"/>
  <c r="AI281" i="2"/>
  <c r="AT217" i="3"/>
  <c r="AI217" i="3"/>
  <c r="AS243" i="3"/>
  <c r="AR243" i="3"/>
  <c r="AT164" i="11"/>
  <c r="AI164" i="11"/>
  <c r="AT174" i="11"/>
  <c r="AI174" i="11"/>
  <c r="AT184" i="11"/>
  <c r="AI184" i="11"/>
  <c r="AT194" i="11"/>
  <c r="AI194" i="11"/>
  <c r="AT204" i="11"/>
  <c r="AI204" i="11"/>
  <c r="AT214" i="11"/>
  <c r="AI214" i="11"/>
  <c r="AT224" i="11"/>
  <c r="AI224" i="11"/>
  <c r="AT234" i="11"/>
  <c r="AI234" i="11"/>
  <c r="AT244" i="11"/>
  <c r="AI244" i="11"/>
  <c r="AT254" i="11"/>
  <c r="AI254" i="11"/>
  <c r="AT264" i="11"/>
  <c r="AI264" i="11"/>
  <c r="AR273" i="11"/>
  <c r="AR293" i="11"/>
  <c r="AS14" i="1"/>
  <c r="AR14" i="1"/>
  <c r="AS35" i="1"/>
  <c r="AR35" i="1"/>
  <c r="AS39" i="1"/>
  <c r="AR39" i="1"/>
  <c r="AS48" i="1"/>
  <c r="AR48" i="1"/>
  <c r="AS49" i="1"/>
  <c r="AR49" i="1"/>
  <c r="AS55" i="1"/>
  <c r="AR55" i="1"/>
  <c r="AS59" i="1"/>
  <c r="AR59" i="1"/>
  <c r="AS68" i="1"/>
  <c r="AR68" i="1"/>
  <c r="AS69" i="1"/>
  <c r="AR69" i="1"/>
  <c r="AS75" i="1"/>
  <c r="AR75" i="1"/>
  <c r="AS79" i="1"/>
  <c r="AR79" i="1"/>
  <c r="AS88" i="1"/>
  <c r="AR88" i="1"/>
  <c r="AS89" i="1"/>
  <c r="AR89" i="1"/>
  <c r="AR130" i="1"/>
  <c r="AS130" i="1"/>
  <c r="AR180" i="1"/>
  <c r="AS180" i="1"/>
  <c r="AR230" i="1"/>
  <c r="AS230" i="1"/>
  <c r="AR290" i="1"/>
  <c r="AS290" i="1"/>
  <c r="AT23" i="2"/>
  <c r="AI23" i="2"/>
  <c r="AS40" i="2"/>
  <c r="AR40" i="2"/>
  <c r="AT62" i="2"/>
  <c r="AR62" i="2"/>
  <c r="AT159" i="2"/>
  <c r="AI159" i="2"/>
  <c r="AR14" i="5"/>
  <c r="AS14" i="5"/>
  <c r="AR106" i="5"/>
  <c r="AS106" i="5"/>
  <c r="AR114" i="5"/>
  <c r="AS114" i="5"/>
  <c r="AR143" i="5"/>
  <c r="AS143" i="5"/>
  <c r="AS35" i="6"/>
  <c r="AR35" i="6"/>
  <c r="AR36" i="6"/>
  <c r="AS36" i="6"/>
  <c r="AT254" i="6"/>
  <c r="AI254" i="6"/>
  <c r="AS288" i="6"/>
  <c r="AR288" i="6"/>
  <c r="AS289" i="6"/>
  <c r="AR289" i="6"/>
  <c r="AI296" i="10"/>
  <c r="AT296" i="10"/>
  <c r="AT108" i="7"/>
  <c r="AI108" i="7"/>
  <c r="AR7" i="3"/>
  <c r="AS7" i="3"/>
  <c r="AT19" i="3"/>
  <c r="AS20" i="3"/>
  <c r="AR20" i="3"/>
  <c r="AR57" i="3"/>
  <c r="AS57" i="3"/>
  <c r="AT66" i="3"/>
  <c r="AN66" i="3"/>
  <c r="AS66" i="3" s="1"/>
  <c r="AI274" i="11"/>
  <c r="AI276" i="11"/>
  <c r="AI278" i="11"/>
  <c r="AI280" i="11"/>
  <c r="AI282" i="11"/>
  <c r="AI284" i="11"/>
  <c r="AI286" i="11"/>
  <c r="AI288" i="11"/>
  <c r="AI290" i="11"/>
  <c r="AI292" i="11"/>
  <c r="AI294" i="11"/>
  <c r="AI296" i="11"/>
  <c r="AI298" i="11"/>
  <c r="AI300" i="11"/>
  <c r="AI3" i="1"/>
  <c r="AI5" i="1"/>
  <c r="AI7" i="1"/>
  <c r="AI9" i="1"/>
  <c r="AI11" i="1"/>
  <c r="AI13" i="1"/>
  <c r="AI15" i="1"/>
  <c r="AI17" i="1"/>
  <c r="AI19" i="1"/>
  <c r="AI21" i="1"/>
  <c r="AI23" i="1"/>
  <c r="AI25" i="1"/>
  <c r="AI27" i="1"/>
  <c r="AI29" i="1"/>
  <c r="AI31" i="1"/>
  <c r="AI42" i="1"/>
  <c r="AI51" i="1"/>
  <c r="AI62" i="1"/>
  <c r="AI71" i="1"/>
  <c r="AI82" i="1"/>
  <c r="AI91" i="1"/>
  <c r="AI262" i="1"/>
  <c r="AI282" i="1"/>
  <c r="AI288" i="1"/>
  <c r="AI9" i="2"/>
  <c r="AI29" i="2"/>
  <c r="AI49" i="2"/>
  <c r="AR68" i="2"/>
  <c r="AI69" i="2"/>
  <c r="AI79" i="2"/>
  <c r="AI89" i="2"/>
  <c r="AI99" i="2"/>
  <c r="AI109" i="2"/>
  <c r="AI119" i="2"/>
  <c r="AI129" i="2"/>
  <c r="AI255" i="2"/>
  <c r="AI265" i="2"/>
  <c r="AI275" i="2"/>
  <c r="AI285" i="2"/>
  <c r="AI295" i="2"/>
  <c r="AT6" i="3"/>
  <c r="AN6" i="3"/>
  <c r="AS6" i="3" s="1"/>
  <c r="AS39" i="3"/>
  <c r="AR63" i="3"/>
  <c r="AS68" i="3"/>
  <c r="AS103" i="3"/>
  <c r="AR153" i="3"/>
  <c r="AS198" i="3"/>
  <c r="AR198" i="3"/>
  <c r="AT11" i="4"/>
  <c r="AI11" i="4"/>
  <c r="AI19" i="4"/>
  <c r="AT255" i="4"/>
  <c r="AI255" i="4"/>
  <c r="AI256" i="4"/>
  <c r="AT256" i="4"/>
  <c r="AT38" i="1"/>
  <c r="AI40" i="1"/>
  <c r="AT58" i="1"/>
  <c r="AI60" i="1"/>
  <c r="AT78" i="1"/>
  <c r="AI80" i="1"/>
  <c r="AI96" i="1"/>
  <c r="AI106" i="1"/>
  <c r="AI116" i="1"/>
  <c r="AI126" i="1"/>
  <c r="AI136" i="1"/>
  <c r="AI146" i="1"/>
  <c r="AI156" i="1"/>
  <c r="AI166" i="1"/>
  <c r="AI176" i="1"/>
  <c r="AI186" i="1"/>
  <c r="AI196" i="1"/>
  <c r="AI206" i="1"/>
  <c r="AI216" i="1"/>
  <c r="AI226" i="1"/>
  <c r="AI236" i="1"/>
  <c r="AI246" i="1"/>
  <c r="AT254" i="1"/>
  <c r="AI268" i="1"/>
  <c r="AT274" i="1"/>
  <c r="AI294" i="1"/>
  <c r="AT300" i="1"/>
  <c r="AI15" i="2"/>
  <c r="AT21" i="2"/>
  <c r="AI35" i="2"/>
  <c r="AT41" i="2"/>
  <c r="AI55" i="2"/>
  <c r="AS8" i="3"/>
  <c r="AT13" i="3"/>
  <c r="AI13" i="3"/>
  <c r="AT17" i="3"/>
  <c r="AR30" i="3"/>
  <c r="AI35" i="3"/>
  <c r="AS44" i="3"/>
  <c r="AR44" i="3"/>
  <c r="AT48" i="3"/>
  <c r="AS84" i="3"/>
  <c r="AR84" i="3"/>
  <c r="AT167" i="3"/>
  <c r="AI167" i="3"/>
  <c r="AI192" i="3"/>
  <c r="AT192" i="3"/>
  <c r="AR196" i="3"/>
  <c r="AS3" i="4"/>
  <c r="AR3" i="4"/>
  <c r="AT184" i="4"/>
  <c r="AI184" i="4"/>
  <c r="AR249" i="4"/>
  <c r="AS249" i="4"/>
  <c r="AT254" i="4"/>
  <c r="AR254" i="4"/>
  <c r="AT36" i="1"/>
  <c r="AT39" i="1"/>
  <c r="AT56" i="1"/>
  <c r="AT59" i="1"/>
  <c r="AT76" i="1"/>
  <c r="AT79" i="1"/>
  <c r="AT94" i="1"/>
  <c r="AT104" i="1"/>
  <c r="AT114" i="1"/>
  <c r="AT124" i="1"/>
  <c r="AT134" i="1"/>
  <c r="AT144" i="1"/>
  <c r="AT154" i="1"/>
  <c r="AT164" i="1"/>
  <c r="AT174" i="1"/>
  <c r="AT184" i="1"/>
  <c r="AT194" i="1"/>
  <c r="AT204" i="1"/>
  <c r="AT214" i="1"/>
  <c r="AT224" i="1"/>
  <c r="AT234" i="1"/>
  <c r="AT244" i="1"/>
  <c r="AI254" i="1"/>
  <c r="AT260" i="1"/>
  <c r="AI274" i="1"/>
  <c r="AT280" i="1"/>
  <c r="AI300" i="1"/>
  <c r="AI21" i="2"/>
  <c r="AI41" i="2"/>
  <c r="AI61" i="2"/>
  <c r="AI73" i="2"/>
  <c r="AI83" i="2"/>
  <c r="AS93" i="2"/>
  <c r="AR93" i="2"/>
  <c r="AS103" i="2"/>
  <c r="AR103" i="2"/>
  <c r="AS113" i="2"/>
  <c r="AR113" i="2"/>
  <c r="AS123" i="2"/>
  <c r="AR123" i="2"/>
  <c r="AS133" i="2"/>
  <c r="AR133" i="2"/>
  <c r="AS259" i="2"/>
  <c r="AR259" i="2"/>
  <c r="AS269" i="2"/>
  <c r="AR269" i="2"/>
  <c r="AS279" i="2"/>
  <c r="AR279" i="2"/>
  <c r="AS289" i="2"/>
  <c r="AR289" i="2"/>
  <c r="AS299" i="2"/>
  <c r="AR299" i="2"/>
  <c r="AR17" i="3"/>
  <c r="AS17" i="3"/>
  <c r="AS26" i="3"/>
  <c r="AR27" i="3"/>
  <c r="AS27" i="3"/>
  <c r="AR40" i="3"/>
  <c r="AS211" i="3"/>
  <c r="AR211" i="3"/>
  <c r="AS229" i="3"/>
  <c r="AR229" i="3"/>
  <c r="AS255" i="3"/>
  <c r="AR255" i="3"/>
  <c r="AS257" i="3"/>
  <c r="AR257" i="3"/>
  <c r="AT34" i="1"/>
  <c r="AT54" i="1"/>
  <c r="AT74" i="1"/>
  <c r="AR94" i="1"/>
  <c r="AR104" i="1"/>
  <c r="AR114" i="1"/>
  <c r="AR124" i="1"/>
  <c r="AR134" i="1"/>
  <c r="AR144" i="1"/>
  <c r="AR154" i="1"/>
  <c r="AR164" i="1"/>
  <c r="AR174" i="1"/>
  <c r="AR184" i="1"/>
  <c r="AR194" i="1"/>
  <c r="AR204" i="1"/>
  <c r="AR214" i="1"/>
  <c r="AR224" i="1"/>
  <c r="AR234" i="1"/>
  <c r="AR244" i="1"/>
  <c r="AR260" i="1"/>
  <c r="AR265" i="1"/>
  <c r="AT266" i="1"/>
  <c r="AR280" i="1"/>
  <c r="AR285" i="1"/>
  <c r="AT286" i="1"/>
  <c r="AT292" i="1"/>
  <c r="AR6" i="2"/>
  <c r="AT13" i="2"/>
  <c r="AR26" i="2"/>
  <c r="AT33" i="2"/>
  <c r="AR46" i="2"/>
  <c r="AT53" i="2"/>
  <c r="AR66" i="2"/>
  <c r="AT26" i="3"/>
  <c r="AN26" i="3"/>
  <c r="AR26" i="3" s="1"/>
  <c r="AT41" i="3"/>
  <c r="AS59" i="3"/>
  <c r="AS64" i="3"/>
  <c r="AR64" i="3"/>
  <c r="AS74" i="3"/>
  <c r="AR74" i="3"/>
  <c r="AR133" i="4"/>
  <c r="AS133" i="4"/>
  <c r="AT237" i="4"/>
  <c r="AI237" i="4"/>
  <c r="AT32" i="1"/>
  <c r="AT52" i="1"/>
  <c r="AT72" i="1"/>
  <c r="AT92" i="1"/>
  <c r="AR101" i="1"/>
  <c r="AT102" i="1"/>
  <c r="AR111" i="1"/>
  <c r="AT112" i="1"/>
  <c r="AR121" i="1"/>
  <c r="AT122" i="1"/>
  <c r="AR131" i="1"/>
  <c r="AT132" i="1"/>
  <c r="AR141" i="1"/>
  <c r="AT142" i="1"/>
  <c r="AR151" i="1"/>
  <c r="AT152" i="1"/>
  <c r="AR161" i="1"/>
  <c r="AT162" i="1"/>
  <c r="AR171" i="1"/>
  <c r="AT172" i="1"/>
  <c r="AR181" i="1"/>
  <c r="AT182" i="1"/>
  <c r="AR191" i="1"/>
  <c r="AT192" i="1"/>
  <c r="AR201" i="1"/>
  <c r="AT202" i="1"/>
  <c r="AR211" i="1"/>
  <c r="AT212" i="1"/>
  <c r="AR221" i="1"/>
  <c r="AT222" i="1"/>
  <c r="AR231" i="1"/>
  <c r="AT232" i="1"/>
  <c r="AR241" i="1"/>
  <c r="AT242" i="1"/>
  <c r="AR251" i="1"/>
  <c r="AT252" i="1"/>
  <c r="AR266" i="1"/>
  <c r="AR271" i="1"/>
  <c r="AT272" i="1"/>
  <c r="AR286" i="1"/>
  <c r="AR291" i="1"/>
  <c r="AR292" i="1"/>
  <c r="AT298" i="1"/>
  <c r="AR12" i="2"/>
  <c r="AR13" i="2"/>
  <c r="AT19" i="2"/>
  <c r="AR32" i="2"/>
  <c r="AR33" i="2"/>
  <c r="AT39" i="2"/>
  <c r="AR52" i="2"/>
  <c r="AR53" i="2"/>
  <c r="AT59" i="2"/>
  <c r="AS77" i="2"/>
  <c r="AR77" i="2"/>
  <c r="AS87" i="2"/>
  <c r="AR87" i="2"/>
  <c r="AS97" i="2"/>
  <c r="AR97" i="2"/>
  <c r="AS107" i="2"/>
  <c r="AR107" i="2"/>
  <c r="AS117" i="2"/>
  <c r="AR117" i="2"/>
  <c r="AS127" i="2"/>
  <c r="AR127" i="2"/>
  <c r="AS137" i="2"/>
  <c r="AR137" i="2"/>
  <c r="AS141" i="2"/>
  <c r="AR141" i="2"/>
  <c r="AS145" i="2"/>
  <c r="AR145" i="2"/>
  <c r="AS149" i="2"/>
  <c r="AR149" i="2"/>
  <c r="AS153" i="2"/>
  <c r="AR153" i="2"/>
  <c r="AS157" i="2"/>
  <c r="AR157" i="2"/>
  <c r="AS161" i="2"/>
  <c r="AR161" i="2"/>
  <c r="AS165" i="2"/>
  <c r="AR165" i="2"/>
  <c r="AS169" i="2"/>
  <c r="AR169" i="2"/>
  <c r="AS173" i="2"/>
  <c r="AR173" i="2"/>
  <c r="AS177" i="2"/>
  <c r="AR177" i="2"/>
  <c r="AI181" i="2"/>
  <c r="AI185" i="2"/>
  <c r="AI189" i="2"/>
  <c r="AI193" i="2"/>
  <c r="AI197" i="2"/>
  <c r="AI201" i="2"/>
  <c r="AI205" i="2"/>
  <c r="AI209" i="2"/>
  <c r="AI213" i="2"/>
  <c r="AI217" i="2"/>
  <c r="AI221" i="2"/>
  <c r="AI225" i="2"/>
  <c r="AI229" i="2"/>
  <c r="AI233" i="2"/>
  <c r="AI237" i="2"/>
  <c r="AI241" i="2"/>
  <c r="AI245" i="2"/>
  <c r="AI249" i="2"/>
  <c r="AI253" i="2"/>
  <c r="AI263" i="2"/>
  <c r="AI273" i="2"/>
  <c r="AI283" i="2"/>
  <c r="AI293" i="2"/>
  <c r="AI4" i="3"/>
  <c r="AT8" i="3"/>
  <c r="AR23" i="3"/>
  <c r="AS28" i="3"/>
  <c r="AT33" i="3"/>
  <c r="AI33" i="3"/>
  <c r="AI81" i="3"/>
  <c r="AT81" i="3"/>
  <c r="AR113" i="4"/>
  <c r="AS113" i="4"/>
  <c r="AT50" i="1"/>
  <c r="AT70" i="1"/>
  <c r="AT90" i="1"/>
  <c r="AR92" i="1"/>
  <c r="AR102" i="1"/>
  <c r="AR112" i="1"/>
  <c r="AR122" i="1"/>
  <c r="AR132" i="1"/>
  <c r="AR142" i="1"/>
  <c r="AR152" i="1"/>
  <c r="AR162" i="1"/>
  <c r="AR172" i="1"/>
  <c r="AR182" i="1"/>
  <c r="AR192" i="1"/>
  <c r="AR202" i="1"/>
  <c r="AR212" i="1"/>
  <c r="AR222" i="1"/>
  <c r="AR232" i="1"/>
  <c r="AR242" i="1"/>
  <c r="AR252" i="1"/>
  <c r="AT258" i="1"/>
  <c r="AR272" i="1"/>
  <c r="AT278" i="1"/>
  <c r="AR298" i="1"/>
  <c r="AT5" i="2"/>
  <c r="AR19" i="2"/>
  <c r="AT25" i="2"/>
  <c r="AR39" i="2"/>
  <c r="AT45" i="2"/>
  <c r="AR59" i="2"/>
  <c r="AR32" i="3"/>
  <c r="AS36" i="3"/>
  <c r="AR37" i="3"/>
  <c r="AS37" i="3"/>
  <c r="AI55" i="3"/>
  <c r="AT61" i="3"/>
  <c r="AS161" i="3"/>
  <c r="AR161" i="3"/>
  <c r="AI204" i="3"/>
  <c r="AT204" i="3"/>
  <c r="AS205" i="3"/>
  <c r="AR205" i="3"/>
  <c r="AR249" i="3"/>
  <c r="AR93" i="4"/>
  <c r="AS93" i="4"/>
  <c r="AT48" i="1"/>
  <c r="AI50" i="1"/>
  <c r="AT68" i="1"/>
  <c r="AI70" i="1"/>
  <c r="AT88" i="1"/>
  <c r="AI90" i="1"/>
  <c r="AT100" i="1"/>
  <c r="AT110" i="1"/>
  <c r="AT120" i="1"/>
  <c r="AT130" i="1"/>
  <c r="AT140" i="1"/>
  <c r="AT150" i="1"/>
  <c r="AT160" i="1"/>
  <c r="AT170" i="1"/>
  <c r="AT180" i="1"/>
  <c r="AT190" i="1"/>
  <c r="AT200" i="1"/>
  <c r="AT210" i="1"/>
  <c r="AT220" i="1"/>
  <c r="AT230" i="1"/>
  <c r="AT240" i="1"/>
  <c r="AT250" i="1"/>
  <c r="AI258" i="1"/>
  <c r="AS260" i="1"/>
  <c r="AT264" i="1"/>
  <c r="AI278" i="1"/>
  <c r="AS280" i="1"/>
  <c r="AT284" i="1"/>
  <c r="AT290" i="1"/>
  <c r="AI5" i="2"/>
  <c r="AT11" i="2"/>
  <c r="AI25" i="2"/>
  <c r="AT31" i="2"/>
  <c r="AI45" i="2"/>
  <c r="AT51" i="2"/>
  <c r="AI65" i="2"/>
  <c r="AI71" i="2"/>
  <c r="AI81" i="2"/>
  <c r="AI91" i="2"/>
  <c r="AI101" i="2"/>
  <c r="AI111" i="2"/>
  <c r="AI121" i="2"/>
  <c r="AI131" i="2"/>
  <c r="AI257" i="2"/>
  <c r="AI267" i="2"/>
  <c r="AI277" i="2"/>
  <c r="AI287" i="2"/>
  <c r="AI297" i="2"/>
  <c r="AS10" i="3"/>
  <c r="AS19" i="3"/>
  <c r="AS46" i="3"/>
  <c r="AR46" i="3"/>
  <c r="AR47" i="3"/>
  <c r="AS47" i="3"/>
  <c r="AI71" i="3"/>
  <c r="AT71" i="3"/>
  <c r="AS107" i="3"/>
  <c r="AI179" i="3"/>
  <c r="AR73" i="4"/>
  <c r="AS73" i="4"/>
  <c r="AI162" i="3"/>
  <c r="AT162" i="3"/>
  <c r="AI174" i="3"/>
  <c r="AT174" i="3"/>
  <c r="AT191" i="3"/>
  <c r="AI212" i="3"/>
  <c r="AT212" i="3"/>
  <c r="AI224" i="3"/>
  <c r="AT224" i="3"/>
  <c r="AT241" i="3"/>
  <c r="AI258" i="3"/>
  <c r="AT258" i="3"/>
  <c r="AS259" i="3"/>
  <c r="AR259" i="3"/>
  <c r="AR33" i="4"/>
  <c r="AS33" i="4"/>
  <c r="AR299" i="4"/>
  <c r="AS299" i="4"/>
  <c r="AR73" i="5"/>
  <c r="AS73" i="5"/>
  <c r="AR83" i="5"/>
  <c r="AS83" i="5"/>
  <c r="AR93" i="5"/>
  <c r="AS93" i="5"/>
  <c r="AR271" i="5"/>
  <c r="AS271" i="5"/>
  <c r="AR296" i="5"/>
  <c r="AS296" i="5"/>
  <c r="AT103" i="6"/>
  <c r="AI103" i="6"/>
  <c r="AS128" i="6"/>
  <c r="AR128" i="6"/>
  <c r="AR8" i="3"/>
  <c r="AI11" i="3"/>
  <c r="AR28" i="3"/>
  <c r="AI31" i="3"/>
  <c r="AR48" i="3"/>
  <c r="AI51" i="3"/>
  <c r="AR68" i="3"/>
  <c r="AT74" i="3"/>
  <c r="AT77" i="3"/>
  <c r="AT84" i="3"/>
  <c r="AT87" i="3"/>
  <c r="AS92" i="3"/>
  <c r="AR92" i="3"/>
  <c r="AS96" i="3"/>
  <c r="AR96" i="3"/>
  <c r="AS100" i="3"/>
  <c r="AR100" i="3"/>
  <c r="AS104" i="3"/>
  <c r="AR104" i="3"/>
  <c r="AS108" i="3"/>
  <c r="AR108" i="3"/>
  <c r="AS115" i="3"/>
  <c r="AS116" i="3"/>
  <c r="AR116" i="3"/>
  <c r="AS119" i="3"/>
  <c r="AR120" i="3"/>
  <c r="AS123" i="3"/>
  <c r="AS127" i="3"/>
  <c r="AS131" i="3"/>
  <c r="AS132" i="3"/>
  <c r="AR132" i="3"/>
  <c r="AS135" i="3"/>
  <c r="AR136" i="3"/>
  <c r="AS139" i="3"/>
  <c r="AS143" i="3"/>
  <c r="AI149" i="3"/>
  <c r="AS175" i="3"/>
  <c r="AR175" i="3"/>
  <c r="AS181" i="3"/>
  <c r="AR181" i="3"/>
  <c r="AT187" i="3"/>
  <c r="AI187" i="3"/>
  <c r="AI199" i="3"/>
  <c r="AS225" i="3"/>
  <c r="AR225" i="3"/>
  <c r="AS231" i="3"/>
  <c r="AR231" i="3"/>
  <c r="AT237" i="3"/>
  <c r="AI237" i="3"/>
  <c r="AI244" i="3"/>
  <c r="AT244" i="3"/>
  <c r="AN249" i="3"/>
  <c r="AS249" i="3" s="1"/>
  <c r="AT267" i="3"/>
  <c r="AI267" i="3"/>
  <c r="AN289" i="3"/>
  <c r="AS289" i="3" s="1"/>
  <c r="AS34" i="4"/>
  <c r="AR34" i="4"/>
  <c r="AR50" i="4"/>
  <c r="AS50" i="4"/>
  <c r="AR70" i="4"/>
  <c r="AS70" i="4"/>
  <c r="AR90" i="4"/>
  <c r="AS90" i="4"/>
  <c r="AR110" i="4"/>
  <c r="AS110" i="4"/>
  <c r="AR130" i="4"/>
  <c r="AS130" i="4"/>
  <c r="AR149" i="4"/>
  <c r="AS149" i="4"/>
  <c r="AT155" i="4"/>
  <c r="AI155" i="4"/>
  <c r="AI156" i="4"/>
  <c r="AT156" i="4"/>
  <c r="AT204" i="4"/>
  <c r="AI204" i="4"/>
  <c r="AR246" i="5"/>
  <c r="AS246" i="5"/>
  <c r="AR254" i="5"/>
  <c r="AS254" i="5"/>
  <c r="AR263" i="5"/>
  <c r="AS263" i="5"/>
  <c r="AR9" i="3"/>
  <c r="AR29" i="3"/>
  <c r="AR49" i="3"/>
  <c r="AR69" i="3"/>
  <c r="AS72" i="3"/>
  <c r="AR79" i="3"/>
  <c r="AS82" i="3"/>
  <c r="AR89" i="3"/>
  <c r="AR93" i="3"/>
  <c r="AR97" i="3"/>
  <c r="AR101" i="3"/>
  <c r="AR105" i="3"/>
  <c r="AR109" i="3"/>
  <c r="AR113" i="3"/>
  <c r="AS145" i="3"/>
  <c r="AR145" i="3"/>
  <c r="AT161" i="3"/>
  <c r="AR168" i="3"/>
  <c r="AT169" i="3"/>
  <c r="AI182" i="3"/>
  <c r="AT182" i="3"/>
  <c r="AI194" i="3"/>
  <c r="AT194" i="3"/>
  <c r="AT211" i="3"/>
  <c r="AR218" i="3"/>
  <c r="AT219" i="3"/>
  <c r="AI232" i="3"/>
  <c r="AT232" i="3"/>
  <c r="AS245" i="3"/>
  <c r="AR245" i="3"/>
  <c r="AI252" i="3"/>
  <c r="AT252" i="3"/>
  <c r="AT275" i="3"/>
  <c r="AI284" i="3"/>
  <c r="AT284" i="3"/>
  <c r="AI292" i="3"/>
  <c r="AT292" i="3"/>
  <c r="AS8" i="4"/>
  <c r="AR8" i="4"/>
  <c r="AS16" i="4"/>
  <c r="AR16" i="4"/>
  <c r="AR198" i="4"/>
  <c r="AS198" i="4"/>
  <c r="AS226" i="4"/>
  <c r="AR226" i="4"/>
  <c r="AR64" i="5"/>
  <c r="AS64" i="5"/>
  <c r="AR226" i="5"/>
  <c r="AS226" i="5"/>
  <c r="AR234" i="5"/>
  <c r="AS234" i="5"/>
  <c r="AT78" i="3"/>
  <c r="AT88" i="3"/>
  <c r="AN112" i="3"/>
  <c r="AS112" i="3" s="1"/>
  <c r="AN116" i="3"/>
  <c r="AN120" i="3"/>
  <c r="AS120" i="3" s="1"/>
  <c r="AN124" i="3"/>
  <c r="AS124" i="3" s="1"/>
  <c r="AN128" i="3"/>
  <c r="AS128" i="3" s="1"/>
  <c r="AN132" i="3"/>
  <c r="AN136" i="3"/>
  <c r="AS136" i="3" s="1"/>
  <c r="AN140" i="3"/>
  <c r="AR140" i="3" s="1"/>
  <c r="AN144" i="3"/>
  <c r="AS144" i="3" s="1"/>
  <c r="AS151" i="3"/>
  <c r="AR151" i="3"/>
  <c r="AT157" i="3"/>
  <c r="AI157" i="3"/>
  <c r="AI169" i="3"/>
  <c r="AS176" i="3"/>
  <c r="AS195" i="3"/>
  <c r="AR195" i="3"/>
  <c r="AS201" i="3"/>
  <c r="AR201" i="3"/>
  <c r="AT207" i="3"/>
  <c r="AI207" i="3"/>
  <c r="AI219" i="3"/>
  <c r="AS226" i="3"/>
  <c r="AR251" i="3"/>
  <c r="AR266" i="3"/>
  <c r="AI275" i="3"/>
  <c r="AS277" i="3"/>
  <c r="AN283" i="3"/>
  <c r="AS283" i="3" s="1"/>
  <c r="AR291" i="3"/>
  <c r="AI25" i="4"/>
  <c r="AT227" i="4"/>
  <c r="AI227" i="4"/>
  <c r="AS240" i="4"/>
  <c r="AR240" i="4"/>
  <c r="AR269" i="4"/>
  <c r="AS269" i="4"/>
  <c r="AS295" i="4"/>
  <c r="AR295" i="4"/>
  <c r="AR206" i="5"/>
  <c r="AS206" i="5"/>
  <c r="AR214" i="5"/>
  <c r="AS214" i="5"/>
  <c r="AR243" i="5"/>
  <c r="AS243" i="5"/>
  <c r="AR22" i="3"/>
  <c r="AR25" i="3"/>
  <c r="AR42" i="3"/>
  <c r="AR45" i="3"/>
  <c r="AR62" i="3"/>
  <c r="AR73" i="3"/>
  <c r="AS75" i="3"/>
  <c r="AR78" i="3"/>
  <c r="AR83" i="3"/>
  <c r="AS85" i="3"/>
  <c r="AR88" i="3"/>
  <c r="AI152" i="3"/>
  <c r="AT152" i="3"/>
  <c r="AI164" i="3"/>
  <c r="AT164" i="3"/>
  <c r="AI202" i="3"/>
  <c r="AT202" i="3"/>
  <c r="AI214" i="3"/>
  <c r="AT214" i="3"/>
  <c r="AS261" i="3"/>
  <c r="AR261" i="3"/>
  <c r="AS269" i="3"/>
  <c r="AR269" i="3"/>
  <c r="AR13" i="4"/>
  <c r="AS13" i="4"/>
  <c r="AR43" i="4"/>
  <c r="AS43" i="4"/>
  <c r="AR63" i="4"/>
  <c r="AS63" i="4"/>
  <c r="AR83" i="4"/>
  <c r="AS83" i="4"/>
  <c r="AR103" i="4"/>
  <c r="AS103" i="4"/>
  <c r="AR123" i="4"/>
  <c r="AS123" i="4"/>
  <c r="AI246" i="4"/>
  <c r="AR37" i="5"/>
  <c r="AS37" i="5"/>
  <c r="AR47" i="5"/>
  <c r="AS47" i="5"/>
  <c r="AR186" i="5"/>
  <c r="AS186" i="5"/>
  <c r="AR194" i="5"/>
  <c r="AS194" i="5"/>
  <c r="AR223" i="5"/>
  <c r="AS223" i="5"/>
  <c r="AT75" i="3"/>
  <c r="AT85" i="3"/>
  <c r="AR156" i="3"/>
  <c r="AR163" i="3"/>
  <c r="AS165" i="3"/>
  <c r="AR165" i="3"/>
  <c r="AS171" i="3"/>
  <c r="AR171" i="3"/>
  <c r="AT177" i="3"/>
  <c r="AI177" i="3"/>
  <c r="AI189" i="3"/>
  <c r="AS196" i="3"/>
  <c r="AR206" i="3"/>
  <c r="AR213" i="3"/>
  <c r="AS215" i="3"/>
  <c r="AR215" i="3"/>
  <c r="AS221" i="3"/>
  <c r="AR221" i="3"/>
  <c r="AT227" i="3"/>
  <c r="AI227" i="3"/>
  <c r="AI239" i="3"/>
  <c r="AS271" i="3"/>
  <c r="AI278" i="3"/>
  <c r="AT278" i="3"/>
  <c r="AS279" i="3"/>
  <c r="AR279" i="3"/>
  <c r="AI299" i="3"/>
  <c r="AS5" i="4"/>
  <c r="AR5" i="4"/>
  <c r="AS14" i="4"/>
  <c r="AR14" i="4"/>
  <c r="AS22" i="4"/>
  <c r="AR22" i="4"/>
  <c r="AT31" i="4"/>
  <c r="AI31" i="4"/>
  <c r="AS140" i="4"/>
  <c r="AR140" i="4"/>
  <c r="AR169" i="4"/>
  <c r="AS169" i="4"/>
  <c r="AI217" i="4"/>
  <c r="AR259" i="4"/>
  <c r="AS259" i="4"/>
  <c r="AS260" i="4"/>
  <c r="AR260" i="4"/>
  <c r="AT284" i="4"/>
  <c r="AI284" i="4"/>
  <c r="AS289" i="4"/>
  <c r="AI290" i="4"/>
  <c r="AT290" i="4"/>
  <c r="AR166" i="5"/>
  <c r="AS166" i="5"/>
  <c r="AR174" i="5"/>
  <c r="AS174" i="5"/>
  <c r="AR203" i="5"/>
  <c r="AS203" i="5"/>
  <c r="AS9" i="3"/>
  <c r="AR21" i="3"/>
  <c r="AS29" i="3"/>
  <c r="AR41" i="3"/>
  <c r="AS49" i="3"/>
  <c r="AR61" i="3"/>
  <c r="AS69" i="3"/>
  <c r="AS70" i="3"/>
  <c r="AR72" i="3"/>
  <c r="AR77" i="3"/>
  <c r="AS79" i="3"/>
  <c r="AS80" i="3"/>
  <c r="AR82" i="3"/>
  <c r="AR87" i="3"/>
  <c r="AS89" i="3"/>
  <c r="AS90" i="3"/>
  <c r="AR90" i="3"/>
  <c r="AS93" i="3"/>
  <c r="AS94" i="3"/>
  <c r="AR94" i="3"/>
  <c r="AS97" i="3"/>
  <c r="AS98" i="3"/>
  <c r="AR98" i="3"/>
  <c r="AS101" i="3"/>
  <c r="AS102" i="3"/>
  <c r="AR102" i="3"/>
  <c r="AS105" i="3"/>
  <c r="AS106" i="3"/>
  <c r="AR106" i="3"/>
  <c r="AS109" i="3"/>
  <c r="AS110" i="3"/>
  <c r="AR110" i="3"/>
  <c r="AS113" i="3"/>
  <c r="AS114" i="3"/>
  <c r="AR114" i="3"/>
  <c r="AS117" i="3"/>
  <c r="AS118" i="3"/>
  <c r="AR118" i="3"/>
  <c r="AS121" i="3"/>
  <c r="AS122" i="3"/>
  <c r="AR122" i="3"/>
  <c r="AS126" i="3"/>
  <c r="AR126" i="3"/>
  <c r="AS130" i="3"/>
  <c r="AR130" i="3"/>
  <c r="AS134" i="3"/>
  <c r="AR134" i="3"/>
  <c r="AS138" i="3"/>
  <c r="AR138" i="3"/>
  <c r="AS142" i="3"/>
  <c r="AR142" i="3"/>
  <c r="AT147" i="3"/>
  <c r="AI147" i="3"/>
  <c r="AT151" i="3"/>
  <c r="AR158" i="3"/>
  <c r="AT159" i="3"/>
  <c r="AI172" i="3"/>
  <c r="AT172" i="3"/>
  <c r="AI184" i="3"/>
  <c r="AT184" i="3"/>
  <c r="AT201" i="3"/>
  <c r="AR208" i="3"/>
  <c r="AT209" i="3"/>
  <c r="AI222" i="3"/>
  <c r="AT222" i="3"/>
  <c r="AI234" i="3"/>
  <c r="AT234" i="3"/>
  <c r="AT247" i="3"/>
  <c r="AI247" i="3"/>
  <c r="AS263" i="3"/>
  <c r="AR263" i="3"/>
  <c r="AT287" i="3"/>
  <c r="AI287" i="3"/>
  <c r="AS10" i="4"/>
  <c r="AR40" i="4"/>
  <c r="AS40" i="4"/>
  <c r="AR60" i="4"/>
  <c r="AS60" i="4"/>
  <c r="AR80" i="4"/>
  <c r="AS80" i="4"/>
  <c r="AR100" i="4"/>
  <c r="AS100" i="4"/>
  <c r="AR120" i="4"/>
  <c r="AS120" i="4"/>
  <c r="AS146" i="4"/>
  <c r="AR146" i="4"/>
  <c r="AS212" i="4"/>
  <c r="AR212" i="4"/>
  <c r="AR23" i="5"/>
  <c r="AS23" i="5"/>
  <c r="AR146" i="5"/>
  <c r="AS146" i="5"/>
  <c r="AR154" i="5"/>
  <c r="AS154" i="5"/>
  <c r="AR183" i="5"/>
  <c r="AS183" i="5"/>
  <c r="AR19" i="3"/>
  <c r="AR39" i="3"/>
  <c r="AR59" i="3"/>
  <c r="AR91" i="3"/>
  <c r="AR95" i="3"/>
  <c r="AR99" i="3"/>
  <c r="AR103" i="3"/>
  <c r="AR107" i="3"/>
  <c r="AR111" i="3"/>
  <c r="AS159" i="3"/>
  <c r="AR159" i="3"/>
  <c r="AS166" i="3"/>
  <c r="AS185" i="3"/>
  <c r="AR185" i="3"/>
  <c r="AS191" i="3"/>
  <c r="AR191" i="3"/>
  <c r="AT197" i="3"/>
  <c r="AI197" i="3"/>
  <c r="AS209" i="3"/>
  <c r="AR209" i="3"/>
  <c r="AS216" i="3"/>
  <c r="AS235" i="3"/>
  <c r="AR235" i="3"/>
  <c r="AS241" i="3"/>
  <c r="AR241" i="3"/>
  <c r="AT255" i="3"/>
  <c r="AI264" i="3"/>
  <c r="AT264" i="3"/>
  <c r="AI272" i="3"/>
  <c r="AT272" i="3"/>
  <c r="AS295" i="3"/>
  <c r="AR295" i="3"/>
  <c r="AR159" i="4"/>
  <c r="AS159" i="4"/>
  <c r="AS160" i="4"/>
  <c r="AR160" i="4"/>
  <c r="AR188" i="4"/>
  <c r="AS188" i="4"/>
  <c r="AT207" i="4"/>
  <c r="AI207" i="4"/>
  <c r="AR126" i="5"/>
  <c r="AS126" i="5"/>
  <c r="AR134" i="5"/>
  <c r="AS134" i="5"/>
  <c r="AR163" i="5"/>
  <c r="AS163" i="5"/>
  <c r="AT257" i="3"/>
  <c r="AT260" i="3"/>
  <c r="AT277" i="3"/>
  <c r="AT280" i="3"/>
  <c r="AI296" i="3"/>
  <c r="AT296" i="3"/>
  <c r="AT2" i="4"/>
  <c r="AT17" i="4"/>
  <c r="AR37" i="4"/>
  <c r="AR47" i="4"/>
  <c r="AR57" i="4"/>
  <c r="AR67" i="4"/>
  <c r="AR77" i="4"/>
  <c r="AR87" i="4"/>
  <c r="AR97" i="4"/>
  <c r="AR107" i="4"/>
  <c r="AR117" i="4"/>
  <c r="AR127" i="4"/>
  <c r="AR137" i="4"/>
  <c r="AS141" i="4"/>
  <c r="AS150" i="4"/>
  <c r="AT175" i="4"/>
  <c r="AI175" i="4"/>
  <c r="AI176" i="4"/>
  <c r="AT176" i="4"/>
  <c r="AR179" i="4"/>
  <c r="AS232" i="4"/>
  <c r="AR232" i="4"/>
  <c r="AS241" i="4"/>
  <c r="AS250" i="4"/>
  <c r="AT275" i="4"/>
  <c r="AI275" i="4"/>
  <c r="AI276" i="4"/>
  <c r="AT276" i="4"/>
  <c r="AR279" i="4"/>
  <c r="AR296" i="4"/>
  <c r="AS296" i="4"/>
  <c r="AR24" i="5"/>
  <c r="AS24" i="5"/>
  <c r="AR60" i="5"/>
  <c r="AR74" i="5"/>
  <c r="AS74" i="5"/>
  <c r="AR111" i="5"/>
  <c r="AS111" i="5"/>
  <c r="AR131" i="5"/>
  <c r="AS131" i="5"/>
  <c r="AR151" i="5"/>
  <c r="AS151" i="5"/>
  <c r="AR171" i="5"/>
  <c r="AS171" i="5"/>
  <c r="AR191" i="5"/>
  <c r="AS191" i="5"/>
  <c r="AR211" i="5"/>
  <c r="AS211" i="5"/>
  <c r="AR231" i="5"/>
  <c r="AS231" i="5"/>
  <c r="AR251" i="5"/>
  <c r="AS251" i="5"/>
  <c r="AR284" i="5"/>
  <c r="AS284" i="5"/>
  <c r="AS25" i="6"/>
  <c r="AR25" i="6"/>
  <c r="AR26" i="6"/>
  <c r="AS26" i="6"/>
  <c r="AS92" i="6"/>
  <c r="AR92" i="6"/>
  <c r="AT146" i="3"/>
  <c r="AT147" i="4"/>
  <c r="AI147" i="4"/>
  <c r="AS180" i="4"/>
  <c r="AR180" i="4"/>
  <c r="AT224" i="4"/>
  <c r="AI224" i="4"/>
  <c r="AT247" i="4"/>
  <c r="AI247" i="4"/>
  <c r="AS280" i="4"/>
  <c r="AR280" i="4"/>
  <c r="AR7" i="5"/>
  <c r="AS7" i="5"/>
  <c r="AR20" i="5"/>
  <c r="AR84" i="5"/>
  <c r="AS84" i="5"/>
  <c r="AR276" i="5"/>
  <c r="AS276" i="5"/>
  <c r="AI300" i="3"/>
  <c r="AT300" i="3"/>
  <c r="AT9" i="4"/>
  <c r="AI23" i="4"/>
  <c r="AT29" i="4"/>
  <c r="AR41" i="4"/>
  <c r="AR51" i="4"/>
  <c r="AR61" i="4"/>
  <c r="AR71" i="4"/>
  <c r="AS152" i="4"/>
  <c r="AR152" i="4"/>
  <c r="AI157" i="4"/>
  <c r="AS161" i="4"/>
  <c r="AT195" i="4"/>
  <c r="AI195" i="4"/>
  <c r="AI196" i="4"/>
  <c r="AT196" i="4"/>
  <c r="AS252" i="4"/>
  <c r="AR252" i="4"/>
  <c r="AI257" i="4"/>
  <c r="AR286" i="4"/>
  <c r="AS286" i="4"/>
  <c r="AR34" i="5"/>
  <c r="AS34" i="5"/>
  <c r="AR94" i="5"/>
  <c r="AS94" i="5"/>
  <c r="AR264" i="5"/>
  <c r="AS264" i="5"/>
  <c r="AR281" i="5"/>
  <c r="AS281" i="5"/>
  <c r="AS81" i="6"/>
  <c r="AR81" i="6"/>
  <c r="AR250" i="3"/>
  <c r="AS265" i="3"/>
  <c r="AR270" i="3"/>
  <c r="AS285" i="3"/>
  <c r="AR290" i="3"/>
  <c r="AR9" i="4"/>
  <c r="AR29" i="4"/>
  <c r="AT144" i="4"/>
  <c r="AI144" i="4"/>
  <c r="AT167" i="4"/>
  <c r="AI167" i="4"/>
  <c r="AI186" i="4"/>
  <c r="AR194" i="4"/>
  <c r="AS200" i="4"/>
  <c r="AR200" i="4"/>
  <c r="AT244" i="4"/>
  <c r="AI244" i="4"/>
  <c r="AT267" i="4"/>
  <c r="AI267" i="4"/>
  <c r="AR57" i="5"/>
  <c r="AS57" i="5"/>
  <c r="AR66" i="5"/>
  <c r="AS66" i="5"/>
  <c r="AR71" i="5"/>
  <c r="AS71" i="5"/>
  <c r="AR104" i="5"/>
  <c r="AS104" i="5"/>
  <c r="AR116" i="5"/>
  <c r="AS116" i="5"/>
  <c r="AR124" i="5"/>
  <c r="AS124" i="5"/>
  <c r="AR136" i="5"/>
  <c r="AS136" i="5"/>
  <c r="AR144" i="5"/>
  <c r="AS144" i="5"/>
  <c r="AR156" i="5"/>
  <c r="AS156" i="5"/>
  <c r="AR164" i="5"/>
  <c r="AS164" i="5"/>
  <c r="AR176" i="5"/>
  <c r="AS176" i="5"/>
  <c r="AR184" i="5"/>
  <c r="AS184" i="5"/>
  <c r="AR196" i="5"/>
  <c r="AS196" i="5"/>
  <c r="AR204" i="5"/>
  <c r="AS204" i="5"/>
  <c r="AR216" i="5"/>
  <c r="AS216" i="5"/>
  <c r="AR224" i="5"/>
  <c r="AS224" i="5"/>
  <c r="AR236" i="5"/>
  <c r="AS236" i="5"/>
  <c r="AR244" i="5"/>
  <c r="AS244" i="5"/>
  <c r="AR256" i="5"/>
  <c r="AS256" i="5"/>
  <c r="AS15" i="6"/>
  <c r="AR15" i="6"/>
  <c r="AR16" i="6"/>
  <c r="AS16" i="6"/>
  <c r="AR60" i="6"/>
  <c r="AS60" i="6"/>
  <c r="AS75" i="6"/>
  <c r="AR75" i="6"/>
  <c r="AR76" i="6"/>
  <c r="AS76" i="6"/>
  <c r="AS153" i="3"/>
  <c r="AS163" i="3"/>
  <c r="AS173" i="3"/>
  <c r="AS183" i="3"/>
  <c r="AS193" i="3"/>
  <c r="AS203" i="3"/>
  <c r="AS213" i="3"/>
  <c r="AS223" i="3"/>
  <c r="AS233" i="3"/>
  <c r="AR256" i="3"/>
  <c r="AR276" i="3"/>
  <c r="AI294" i="3"/>
  <c r="AT294" i="3"/>
  <c r="BL2" i="4"/>
  <c r="AS17" i="4"/>
  <c r="AS172" i="4"/>
  <c r="AR172" i="4"/>
  <c r="AS181" i="4"/>
  <c r="AT215" i="4"/>
  <c r="AI215" i="4"/>
  <c r="AI216" i="4"/>
  <c r="AT216" i="4"/>
  <c r="AS272" i="4"/>
  <c r="AR272" i="4"/>
  <c r="AI277" i="4"/>
  <c r="AS281" i="4"/>
  <c r="AS291" i="4"/>
  <c r="AR17" i="5"/>
  <c r="AS17" i="5"/>
  <c r="AS20" i="5"/>
  <c r="AR44" i="5"/>
  <c r="AS44" i="5"/>
  <c r="AR76" i="5"/>
  <c r="AS76" i="5"/>
  <c r="AR81" i="5"/>
  <c r="AS81" i="5"/>
  <c r="AR261" i="5"/>
  <c r="AS261" i="5"/>
  <c r="AR294" i="5"/>
  <c r="AS294" i="5"/>
  <c r="AR150" i="3"/>
  <c r="AR160" i="3"/>
  <c r="AR170" i="3"/>
  <c r="AR180" i="3"/>
  <c r="AR190" i="3"/>
  <c r="AR200" i="3"/>
  <c r="AR210" i="3"/>
  <c r="AR220" i="3"/>
  <c r="AR230" i="3"/>
  <c r="AR240" i="3"/>
  <c r="AR253" i="3"/>
  <c r="AR262" i="3"/>
  <c r="AR273" i="3"/>
  <c r="AR282" i="3"/>
  <c r="AR293" i="3"/>
  <c r="AR6" i="4"/>
  <c r="AT7" i="4"/>
  <c r="AI21" i="4"/>
  <c r="AR26" i="4"/>
  <c r="AT27" i="4"/>
  <c r="AT39" i="4"/>
  <c r="AS41" i="4"/>
  <c r="AT49" i="4"/>
  <c r="AS51" i="4"/>
  <c r="AT59" i="4"/>
  <c r="AS61" i="4"/>
  <c r="AT69" i="4"/>
  <c r="AS71" i="4"/>
  <c r="AT79" i="4"/>
  <c r="AS81" i="4"/>
  <c r="AT89" i="4"/>
  <c r="AS91" i="4"/>
  <c r="AT99" i="4"/>
  <c r="AS101" i="4"/>
  <c r="AT109" i="4"/>
  <c r="AS111" i="4"/>
  <c r="AT119" i="4"/>
  <c r="AS121" i="4"/>
  <c r="AT129" i="4"/>
  <c r="AS131" i="4"/>
  <c r="AT164" i="4"/>
  <c r="AI164" i="4"/>
  <c r="AR166" i="4"/>
  <c r="AT187" i="4"/>
  <c r="AI187" i="4"/>
  <c r="AS189" i="4"/>
  <c r="AS199" i="4"/>
  <c r="AI206" i="4"/>
  <c r="AR214" i="4"/>
  <c r="AS220" i="4"/>
  <c r="AR220" i="4"/>
  <c r="AT264" i="4"/>
  <c r="AI264" i="4"/>
  <c r="AR266" i="4"/>
  <c r="AR288" i="4"/>
  <c r="AS288" i="4"/>
  <c r="AT294" i="4"/>
  <c r="AI294" i="4"/>
  <c r="AR27" i="5"/>
  <c r="AS27" i="5"/>
  <c r="AS43" i="5"/>
  <c r="AR86" i="5"/>
  <c r="AS86" i="5"/>
  <c r="AR91" i="5"/>
  <c r="AS91" i="5"/>
  <c r="AR121" i="5"/>
  <c r="AS121" i="5"/>
  <c r="AR141" i="5"/>
  <c r="AS141" i="5"/>
  <c r="AR161" i="5"/>
  <c r="AS161" i="5"/>
  <c r="AR181" i="5"/>
  <c r="AS181" i="5"/>
  <c r="AR201" i="5"/>
  <c r="AS201" i="5"/>
  <c r="AR221" i="5"/>
  <c r="AS221" i="5"/>
  <c r="AR241" i="5"/>
  <c r="AS241" i="5"/>
  <c r="AR286" i="5"/>
  <c r="AS286" i="5"/>
  <c r="AR40" i="6"/>
  <c r="AS40" i="6"/>
  <c r="AS55" i="6"/>
  <c r="AR55" i="6"/>
  <c r="AR56" i="6"/>
  <c r="AS56" i="6"/>
  <c r="AT256" i="3"/>
  <c r="AT276" i="3"/>
  <c r="AI298" i="3"/>
  <c r="AT298" i="3"/>
  <c r="AI7" i="4"/>
  <c r="AS9" i="4"/>
  <c r="AT13" i="4"/>
  <c r="AI27" i="4"/>
  <c r="AS29" i="4"/>
  <c r="AT33" i="4"/>
  <c r="AS38" i="4"/>
  <c r="AR39" i="4"/>
  <c r="AS48" i="4"/>
  <c r="AR49" i="4"/>
  <c r="AS58" i="4"/>
  <c r="AR59" i="4"/>
  <c r="AS68" i="4"/>
  <c r="AR69" i="4"/>
  <c r="AS78" i="4"/>
  <c r="AR79" i="4"/>
  <c r="AS88" i="4"/>
  <c r="AR89" i="4"/>
  <c r="AS98" i="4"/>
  <c r="AR99" i="4"/>
  <c r="AS108" i="4"/>
  <c r="AR109" i="4"/>
  <c r="AS118" i="4"/>
  <c r="AR119" i="4"/>
  <c r="AS128" i="4"/>
  <c r="AR129" i="4"/>
  <c r="AS138" i="4"/>
  <c r="AR139" i="4"/>
  <c r="AS192" i="4"/>
  <c r="AR192" i="4"/>
  <c r="AI197" i="4"/>
  <c r="AS201" i="4"/>
  <c r="AS210" i="4"/>
  <c r="AS228" i="4"/>
  <c r="AT235" i="4"/>
  <c r="AI235" i="4"/>
  <c r="AI236" i="4"/>
  <c r="AT236" i="4"/>
  <c r="AS238" i="4"/>
  <c r="AR239" i="4"/>
  <c r="AT289" i="4"/>
  <c r="AS293" i="4"/>
  <c r="AR293" i="4"/>
  <c r="AR4" i="5"/>
  <c r="AS4" i="5"/>
  <c r="AR54" i="5"/>
  <c r="AS54" i="5"/>
  <c r="AR96" i="5"/>
  <c r="AS96" i="5"/>
  <c r="AR101" i="5"/>
  <c r="AS101" i="5"/>
  <c r="AS273" i="5"/>
  <c r="AR274" i="5"/>
  <c r="AS274" i="5"/>
  <c r="AR291" i="5"/>
  <c r="AS291" i="5"/>
  <c r="AS5" i="6"/>
  <c r="AR5" i="6"/>
  <c r="AR6" i="6"/>
  <c r="AS6" i="6"/>
  <c r="AR6" i="5"/>
  <c r="AR9" i="5"/>
  <c r="AR26" i="5"/>
  <c r="AR29" i="5"/>
  <c r="AR46" i="5"/>
  <c r="AR49" i="5"/>
  <c r="AT70" i="5"/>
  <c r="AT80" i="5"/>
  <c r="AT90" i="5"/>
  <c r="AT100" i="5"/>
  <c r="AT110" i="5"/>
  <c r="AT120" i="5"/>
  <c r="AT130" i="5"/>
  <c r="AT140" i="5"/>
  <c r="AT150" i="5"/>
  <c r="AT160" i="5"/>
  <c r="AT170" i="5"/>
  <c r="AT180" i="5"/>
  <c r="AT190" i="5"/>
  <c r="AT200" i="5"/>
  <c r="AT210" i="5"/>
  <c r="AT220" i="5"/>
  <c r="AS41" i="6"/>
  <c r="AR41" i="6"/>
  <c r="AS61" i="6"/>
  <c r="AR61" i="6"/>
  <c r="AR86" i="6"/>
  <c r="AS86" i="6"/>
  <c r="AS122" i="6"/>
  <c r="AR122" i="6"/>
  <c r="AS165" i="7"/>
  <c r="AR165" i="7"/>
  <c r="AR197" i="9"/>
  <c r="AS197" i="9"/>
  <c r="AI242" i="9"/>
  <c r="AT242" i="9"/>
  <c r="AS243" i="9"/>
  <c r="AR243" i="9"/>
  <c r="AR141" i="4"/>
  <c r="AI142" i="4"/>
  <c r="AR150" i="4"/>
  <c r="AT151" i="4"/>
  <c r="AI153" i="4"/>
  <c r="AR161" i="4"/>
  <c r="AI162" i="4"/>
  <c r="AR170" i="4"/>
  <c r="AT171" i="4"/>
  <c r="AI173" i="4"/>
  <c r="AR181" i="4"/>
  <c r="AI182" i="4"/>
  <c r="AR190" i="4"/>
  <c r="AT191" i="4"/>
  <c r="AI193" i="4"/>
  <c r="AI202" i="4"/>
  <c r="AT211" i="4"/>
  <c r="AI213" i="4"/>
  <c r="AI222" i="4"/>
  <c r="AT231" i="4"/>
  <c r="AI233" i="4"/>
  <c r="AI242" i="4"/>
  <c r="AT251" i="4"/>
  <c r="AI253" i="4"/>
  <c r="AI262" i="4"/>
  <c r="AT271" i="4"/>
  <c r="AI273" i="4"/>
  <c r="AI282" i="4"/>
  <c r="AT287" i="4"/>
  <c r="AT288" i="4"/>
  <c r="AT297" i="4"/>
  <c r="AR12" i="5"/>
  <c r="AR15" i="5"/>
  <c r="AT18" i="5"/>
  <c r="AR32" i="5"/>
  <c r="AR35" i="5"/>
  <c r="AT38" i="5"/>
  <c r="AR52" i="5"/>
  <c r="AT58" i="5"/>
  <c r="AR70" i="5"/>
  <c r="AR80" i="5"/>
  <c r="AR90" i="5"/>
  <c r="AR100" i="5"/>
  <c r="AR110" i="5"/>
  <c r="AR120" i="5"/>
  <c r="AR130" i="5"/>
  <c r="AR140" i="5"/>
  <c r="AR150" i="5"/>
  <c r="AR160" i="5"/>
  <c r="AR170" i="5"/>
  <c r="AR180" i="5"/>
  <c r="AR190" i="5"/>
  <c r="AR200" i="5"/>
  <c r="AR210" i="5"/>
  <c r="AR220" i="5"/>
  <c r="AR230" i="5"/>
  <c r="AR240" i="5"/>
  <c r="AR250" i="5"/>
  <c r="AR260" i="5"/>
  <c r="AR270" i="5"/>
  <c r="AR280" i="5"/>
  <c r="AR290" i="5"/>
  <c r="AS300" i="5"/>
  <c r="AR300" i="5"/>
  <c r="AS11" i="6"/>
  <c r="AR11" i="6"/>
  <c r="AS21" i="6"/>
  <c r="AR21" i="6"/>
  <c r="AS31" i="6"/>
  <c r="AR31" i="6"/>
  <c r="AR46" i="6"/>
  <c r="AS46" i="6"/>
  <c r="AR66" i="6"/>
  <c r="AS66" i="6"/>
  <c r="AS71" i="6"/>
  <c r="AS162" i="6"/>
  <c r="AR162" i="6"/>
  <c r="AS200" i="6"/>
  <c r="AR200" i="6"/>
  <c r="AS201" i="6"/>
  <c r="AR201" i="6"/>
  <c r="AT224" i="6"/>
  <c r="AI224" i="6"/>
  <c r="AI151" i="4"/>
  <c r="AT152" i="4"/>
  <c r="AI171" i="4"/>
  <c r="AT172" i="4"/>
  <c r="AI191" i="4"/>
  <c r="AT192" i="4"/>
  <c r="AI211" i="4"/>
  <c r="AT212" i="4"/>
  <c r="AI231" i="4"/>
  <c r="AT232" i="4"/>
  <c r="AI251" i="4"/>
  <c r="AT252" i="4"/>
  <c r="AI271" i="4"/>
  <c r="AT272" i="4"/>
  <c r="AI292" i="4"/>
  <c r="AR297" i="4"/>
  <c r="AR300" i="4"/>
  <c r="AR18" i="5"/>
  <c r="AR21" i="5"/>
  <c r="AR38" i="5"/>
  <c r="AR41" i="5"/>
  <c r="AR58" i="5"/>
  <c r="AR61" i="5"/>
  <c r="AT64" i="5"/>
  <c r="AT74" i="5"/>
  <c r="AT84" i="5"/>
  <c r="AT94" i="5"/>
  <c r="AT104" i="5"/>
  <c r="AT114" i="5"/>
  <c r="AT124" i="5"/>
  <c r="AT134" i="5"/>
  <c r="AT144" i="5"/>
  <c r="AT154" i="5"/>
  <c r="AT164" i="5"/>
  <c r="AT174" i="5"/>
  <c r="AT184" i="5"/>
  <c r="AT194" i="5"/>
  <c r="AT204" i="5"/>
  <c r="AT214" i="5"/>
  <c r="AT51" i="6"/>
  <c r="AN51" i="6"/>
  <c r="AR51" i="6" s="1"/>
  <c r="AT71" i="6"/>
  <c r="AN71" i="6"/>
  <c r="AR88" i="6"/>
  <c r="AI157" i="6"/>
  <c r="AT157" i="6"/>
  <c r="AS7" i="6"/>
  <c r="AR7" i="6"/>
  <c r="AS17" i="6"/>
  <c r="AR17" i="6"/>
  <c r="AS27" i="6"/>
  <c r="AR27" i="6"/>
  <c r="AT38" i="6"/>
  <c r="AI38" i="6"/>
  <c r="AT58" i="6"/>
  <c r="AI58" i="6"/>
  <c r="AT78" i="6"/>
  <c r="AI78" i="6"/>
  <c r="AI95" i="6"/>
  <c r="AT95" i="6"/>
  <c r="AT204" i="6"/>
  <c r="AI204" i="6"/>
  <c r="AT145" i="4"/>
  <c r="AT165" i="4"/>
  <c r="AT185" i="4"/>
  <c r="AT205" i="4"/>
  <c r="AT225" i="4"/>
  <c r="AT245" i="4"/>
  <c r="AT265" i="4"/>
  <c r="AR289" i="4"/>
  <c r="AS6" i="5"/>
  <c r="AS9" i="5"/>
  <c r="AR10" i="5"/>
  <c r="AR13" i="5"/>
  <c r="AT16" i="5"/>
  <c r="AS26" i="5"/>
  <c r="AS29" i="5"/>
  <c r="AR30" i="5"/>
  <c r="AR33" i="5"/>
  <c r="AT36" i="5"/>
  <c r="AS46" i="5"/>
  <c r="AS49" i="5"/>
  <c r="AR50" i="5"/>
  <c r="AR53" i="5"/>
  <c r="AT56" i="5"/>
  <c r="AT68" i="5"/>
  <c r="AS70" i="5"/>
  <c r="AT78" i="5"/>
  <c r="AS80" i="5"/>
  <c r="AT88" i="5"/>
  <c r="AS90" i="5"/>
  <c r="AT98" i="5"/>
  <c r="AS100" i="5"/>
  <c r="AT108" i="5"/>
  <c r="AS110" i="5"/>
  <c r="AT118" i="5"/>
  <c r="AS120" i="5"/>
  <c r="AT128" i="5"/>
  <c r="AS130" i="5"/>
  <c r="AT138" i="5"/>
  <c r="AS140" i="5"/>
  <c r="AT148" i="5"/>
  <c r="AS150" i="5"/>
  <c r="AT158" i="5"/>
  <c r="AS160" i="5"/>
  <c r="AT168" i="5"/>
  <c r="AS170" i="5"/>
  <c r="AT178" i="5"/>
  <c r="AS180" i="5"/>
  <c r="AT188" i="5"/>
  <c r="AS190" i="5"/>
  <c r="AT198" i="5"/>
  <c r="AS200" i="5"/>
  <c r="AT208" i="5"/>
  <c r="AS210" i="5"/>
  <c r="AT218" i="5"/>
  <c r="AS220" i="5"/>
  <c r="AS230" i="5"/>
  <c r="AS240" i="5"/>
  <c r="AS250" i="5"/>
  <c r="AS260" i="5"/>
  <c r="AS270" i="5"/>
  <c r="AS280" i="5"/>
  <c r="AS290" i="5"/>
  <c r="AT37" i="6"/>
  <c r="AT57" i="6"/>
  <c r="AT77" i="6"/>
  <c r="AT84" i="6"/>
  <c r="AI84" i="6"/>
  <c r="AR89" i="6"/>
  <c r="AT96" i="6"/>
  <c r="AI96" i="6"/>
  <c r="AT143" i="4"/>
  <c r="AT163" i="4"/>
  <c r="AT183" i="4"/>
  <c r="AT203" i="4"/>
  <c r="AT223" i="4"/>
  <c r="AT243" i="4"/>
  <c r="AT263" i="4"/>
  <c r="AT283" i="4"/>
  <c r="AT293" i="4"/>
  <c r="AR298" i="4"/>
  <c r="AT2" i="5"/>
  <c r="AR16" i="5"/>
  <c r="AR19" i="5"/>
  <c r="AT22" i="5"/>
  <c r="AR36" i="5"/>
  <c r="AR39" i="5"/>
  <c r="AT42" i="5"/>
  <c r="AR56" i="5"/>
  <c r="AR59" i="5"/>
  <c r="AT62" i="5"/>
  <c r="AR65" i="5"/>
  <c r="AR75" i="5"/>
  <c r="AR85" i="5"/>
  <c r="AR95" i="5"/>
  <c r="AS257" i="5"/>
  <c r="AS267" i="5"/>
  <c r="AS277" i="5"/>
  <c r="AS287" i="5"/>
  <c r="AS297" i="5"/>
  <c r="AS2" i="6"/>
  <c r="AS3" i="6"/>
  <c r="AR3" i="6"/>
  <c r="AS12" i="6"/>
  <c r="AS13" i="6"/>
  <c r="AR13" i="6"/>
  <c r="AS22" i="6"/>
  <c r="AS23" i="6"/>
  <c r="AR23" i="6"/>
  <c r="AS32" i="6"/>
  <c r="AS33" i="6"/>
  <c r="AR33" i="6"/>
  <c r="AR37" i="6"/>
  <c r="AT44" i="6"/>
  <c r="AI44" i="6"/>
  <c r="AR57" i="6"/>
  <c r="AT64" i="6"/>
  <c r="AI64" i="6"/>
  <c r="AR77" i="6"/>
  <c r="AS88" i="6"/>
  <c r="AS292" i="6"/>
  <c r="AR292" i="6"/>
  <c r="AS293" i="6"/>
  <c r="AR293" i="6"/>
  <c r="AS33" i="7"/>
  <c r="AR33" i="7"/>
  <c r="AS34" i="7"/>
  <c r="AR34" i="7"/>
  <c r="AS63" i="7"/>
  <c r="AR63" i="7"/>
  <c r="AS65" i="7"/>
  <c r="AR65" i="7"/>
  <c r="AT141" i="4"/>
  <c r="AI143" i="4"/>
  <c r="AT161" i="4"/>
  <c r="AI163" i="4"/>
  <c r="AT181" i="4"/>
  <c r="AI183" i="4"/>
  <c r="AT201" i="4"/>
  <c r="AI203" i="4"/>
  <c r="AT221" i="4"/>
  <c r="AI223" i="4"/>
  <c r="AT241" i="4"/>
  <c r="AI243" i="4"/>
  <c r="AT261" i="4"/>
  <c r="AI263" i="4"/>
  <c r="AT281" i="4"/>
  <c r="AI283" i="4"/>
  <c r="AS297" i="4"/>
  <c r="AS300" i="4"/>
  <c r="AR2" i="5"/>
  <c r="AR5" i="5"/>
  <c r="AT8" i="5"/>
  <c r="AS18" i="5"/>
  <c r="AS21" i="5"/>
  <c r="AR22" i="5"/>
  <c r="AR25" i="5"/>
  <c r="AT28" i="5"/>
  <c r="AS38" i="5"/>
  <c r="AS41" i="5"/>
  <c r="AR42" i="5"/>
  <c r="AR45" i="5"/>
  <c r="AT48" i="5"/>
  <c r="AS58" i="5"/>
  <c r="AS61" i="5"/>
  <c r="AR62" i="5"/>
  <c r="AT72" i="5"/>
  <c r="AT82" i="5"/>
  <c r="AT92" i="5"/>
  <c r="AT102" i="5"/>
  <c r="AT112" i="5"/>
  <c r="AT122" i="5"/>
  <c r="AT132" i="5"/>
  <c r="AT142" i="5"/>
  <c r="AT152" i="5"/>
  <c r="AT162" i="5"/>
  <c r="AT172" i="5"/>
  <c r="AT182" i="5"/>
  <c r="AT192" i="5"/>
  <c r="AT202" i="5"/>
  <c r="AT212" i="5"/>
  <c r="AT222" i="5"/>
  <c r="AT108" i="6"/>
  <c r="AI108" i="6"/>
  <c r="AT134" i="6"/>
  <c r="AI134" i="6"/>
  <c r="AS139" i="6"/>
  <c r="AR139" i="6"/>
  <c r="AT139" i="4"/>
  <c r="AT159" i="4"/>
  <c r="AT179" i="4"/>
  <c r="AT199" i="4"/>
  <c r="AT219" i="4"/>
  <c r="AT239" i="4"/>
  <c r="AT259" i="4"/>
  <c r="AT279" i="4"/>
  <c r="AT291" i="4"/>
  <c r="AR8" i="5"/>
  <c r="AR11" i="5"/>
  <c r="AT14" i="5"/>
  <c r="AR28" i="5"/>
  <c r="AR31" i="5"/>
  <c r="AT34" i="5"/>
  <c r="AR48" i="5"/>
  <c r="AR51" i="5"/>
  <c r="AT54" i="5"/>
  <c r="AR69" i="5"/>
  <c r="AR72" i="5"/>
  <c r="AR79" i="5"/>
  <c r="AR82" i="5"/>
  <c r="AR89" i="5"/>
  <c r="AR92" i="5"/>
  <c r="AR99" i="5"/>
  <c r="AR102" i="5"/>
  <c r="AR112" i="5"/>
  <c r="AR122" i="5"/>
  <c r="AR132" i="5"/>
  <c r="AR142" i="5"/>
  <c r="AR152" i="5"/>
  <c r="AR162" i="5"/>
  <c r="AR172" i="5"/>
  <c r="AR182" i="5"/>
  <c r="AR192" i="5"/>
  <c r="AR202" i="5"/>
  <c r="AR212" i="5"/>
  <c r="AR222" i="5"/>
  <c r="AR232" i="5"/>
  <c r="AR242" i="5"/>
  <c r="AR252" i="5"/>
  <c r="AR262" i="5"/>
  <c r="AR272" i="5"/>
  <c r="AR282" i="5"/>
  <c r="AR292" i="5"/>
  <c r="AS8" i="6"/>
  <c r="AS9" i="6"/>
  <c r="AR9" i="6"/>
  <c r="AS18" i="6"/>
  <c r="AS19" i="6"/>
  <c r="AR19" i="6"/>
  <c r="AS28" i="6"/>
  <c r="AS29" i="6"/>
  <c r="AR29" i="6"/>
  <c r="AS49" i="6"/>
  <c r="AR49" i="6"/>
  <c r="AS69" i="6"/>
  <c r="AR69" i="6"/>
  <c r="AR80" i="6"/>
  <c r="AS80" i="6"/>
  <c r="AR173" i="6"/>
  <c r="AS240" i="6"/>
  <c r="AR240" i="6"/>
  <c r="AS241" i="6"/>
  <c r="AR241" i="6"/>
  <c r="AT113" i="7"/>
  <c r="AI113" i="7"/>
  <c r="AT98" i="6"/>
  <c r="AS116" i="6"/>
  <c r="AR116" i="6"/>
  <c r="AS133" i="6"/>
  <c r="AS203" i="6"/>
  <c r="AS223" i="6"/>
  <c r="AS264" i="6"/>
  <c r="AR264" i="6"/>
  <c r="AS265" i="6"/>
  <c r="AR265" i="6"/>
  <c r="AS5" i="7"/>
  <c r="AR5" i="7"/>
  <c r="AS6" i="7"/>
  <c r="AR6" i="7"/>
  <c r="AS45" i="7"/>
  <c r="AR45" i="7"/>
  <c r="AS46" i="7"/>
  <c r="AR46" i="7"/>
  <c r="AT84" i="7"/>
  <c r="AI84" i="7"/>
  <c r="AT184" i="7"/>
  <c r="AI184" i="7"/>
  <c r="AS20" i="8"/>
  <c r="AR20" i="8"/>
  <c r="AS267" i="9"/>
  <c r="AR267" i="9"/>
  <c r="AT297" i="9"/>
  <c r="AI297" i="9"/>
  <c r="AT112" i="10"/>
  <c r="AI112" i="10"/>
  <c r="AI42" i="6"/>
  <c r="AI62" i="6"/>
  <c r="AI82" i="6"/>
  <c r="AI98" i="6"/>
  <c r="AI117" i="6"/>
  <c r="AT117" i="6"/>
  <c r="AI145" i="6"/>
  <c r="AT145" i="6"/>
  <c r="AI151" i="6"/>
  <c r="AT151" i="6"/>
  <c r="AS156" i="6"/>
  <c r="AR156" i="6"/>
  <c r="AI168" i="6"/>
  <c r="AT174" i="6"/>
  <c r="AI174" i="6"/>
  <c r="AS179" i="6"/>
  <c r="AR179" i="6"/>
  <c r="AI185" i="6"/>
  <c r="AT185" i="6"/>
  <c r="AI191" i="6"/>
  <c r="AT191" i="6"/>
  <c r="AS197" i="6"/>
  <c r="AR197" i="6"/>
  <c r="AS217" i="6"/>
  <c r="AR217" i="6"/>
  <c r="AS237" i="6"/>
  <c r="AR237" i="6"/>
  <c r="AS276" i="6"/>
  <c r="AR276" i="6"/>
  <c r="AS277" i="6"/>
  <c r="AR277" i="6"/>
  <c r="AS17" i="7"/>
  <c r="AR17" i="7"/>
  <c r="AS18" i="7"/>
  <c r="AR18" i="7"/>
  <c r="AS57" i="7"/>
  <c r="AR57" i="7"/>
  <c r="AS83" i="7"/>
  <c r="AR83" i="7"/>
  <c r="AS85" i="7"/>
  <c r="AR85" i="7"/>
  <c r="AT133" i="7"/>
  <c r="AI133" i="7"/>
  <c r="AS185" i="7"/>
  <c r="AR185" i="7"/>
  <c r="AS284" i="7"/>
  <c r="AR284" i="7"/>
  <c r="AI8" i="8"/>
  <c r="AS9" i="8"/>
  <c r="AR9" i="8"/>
  <c r="AI165" i="9"/>
  <c r="AR187" i="9"/>
  <c r="AS187" i="9"/>
  <c r="AT241" i="9"/>
  <c r="AS257" i="9"/>
  <c r="AR257" i="9"/>
  <c r="AS29" i="7"/>
  <c r="AR29" i="7"/>
  <c r="AS30" i="7"/>
  <c r="AR30" i="7"/>
  <c r="AT104" i="7"/>
  <c r="AI104" i="7"/>
  <c r="AI128" i="7"/>
  <c r="AS224" i="7"/>
  <c r="AR224" i="7"/>
  <c r="AS254" i="7"/>
  <c r="AR254" i="7"/>
  <c r="AT136" i="8"/>
  <c r="AI136" i="8"/>
  <c r="AT48" i="6"/>
  <c r="AT68" i="6"/>
  <c r="AT88" i="6"/>
  <c r="AR99" i="6"/>
  <c r="AT118" i="6"/>
  <c r="AI118" i="6"/>
  <c r="AT121" i="6"/>
  <c r="AS260" i="6"/>
  <c r="AR260" i="6"/>
  <c r="AS261" i="6"/>
  <c r="AR261" i="6"/>
  <c r="AS300" i="6"/>
  <c r="AR300" i="6"/>
  <c r="AS2" i="7"/>
  <c r="AR2" i="7"/>
  <c r="AS41" i="7"/>
  <c r="AR41" i="7"/>
  <c r="AS42" i="7"/>
  <c r="AR42" i="7"/>
  <c r="AS105" i="7"/>
  <c r="AR105" i="7"/>
  <c r="AT153" i="7"/>
  <c r="AI153" i="7"/>
  <c r="AR53" i="6"/>
  <c r="AR73" i="6"/>
  <c r="AN89" i="6"/>
  <c r="AS89" i="6" s="1"/>
  <c r="AS153" i="6"/>
  <c r="AI210" i="6"/>
  <c r="AS211" i="6"/>
  <c r="AR211" i="6"/>
  <c r="AI230" i="6"/>
  <c r="AS231" i="6"/>
  <c r="AR231" i="6"/>
  <c r="AT244" i="6"/>
  <c r="AI244" i="6"/>
  <c r="AS272" i="6"/>
  <c r="AR272" i="6"/>
  <c r="AS273" i="6"/>
  <c r="AR273" i="6"/>
  <c r="AS13" i="7"/>
  <c r="AR13" i="7"/>
  <c r="AS14" i="7"/>
  <c r="AR14" i="7"/>
  <c r="AS53" i="7"/>
  <c r="AR53" i="7"/>
  <c r="AS54" i="7"/>
  <c r="AR54" i="7"/>
  <c r="AT124" i="7"/>
  <c r="AI124" i="7"/>
  <c r="AI148" i="7"/>
  <c r="AR54" i="6"/>
  <c r="AR71" i="6"/>
  <c r="AR74" i="6"/>
  <c r="AS93" i="6"/>
  <c r="AS109" i="6"/>
  <c r="AR112" i="6"/>
  <c r="AT114" i="6"/>
  <c r="AI114" i="6"/>
  <c r="AS125" i="6"/>
  <c r="AR125" i="6"/>
  <c r="AI165" i="6"/>
  <c r="AT165" i="6"/>
  <c r="AI171" i="6"/>
  <c r="AT171" i="6"/>
  <c r="AS193" i="6"/>
  <c r="AS213" i="6"/>
  <c r="AS233" i="6"/>
  <c r="AT250" i="6"/>
  <c r="AS284" i="6"/>
  <c r="AR284" i="6"/>
  <c r="AS285" i="6"/>
  <c r="AR285" i="6"/>
  <c r="AS25" i="7"/>
  <c r="AR25" i="7"/>
  <c r="AS26" i="7"/>
  <c r="AR26" i="7"/>
  <c r="AT73" i="7"/>
  <c r="AI73" i="7"/>
  <c r="AS125" i="7"/>
  <c r="AR125" i="7"/>
  <c r="AT173" i="7"/>
  <c r="AI173" i="7"/>
  <c r="AR202" i="7"/>
  <c r="AS202" i="7"/>
  <c r="AS207" i="7"/>
  <c r="AR207" i="7"/>
  <c r="AR212" i="7"/>
  <c r="AS212" i="7"/>
  <c r="AR52" i="6"/>
  <c r="AR72" i="6"/>
  <c r="AT90" i="6"/>
  <c r="AS105" i="6"/>
  <c r="AR105" i="6"/>
  <c r="AS119" i="6"/>
  <c r="AR119" i="6"/>
  <c r="AT154" i="6"/>
  <c r="AI154" i="6"/>
  <c r="AS159" i="6"/>
  <c r="AR159" i="6"/>
  <c r="AS176" i="6"/>
  <c r="AR176" i="6"/>
  <c r="AS207" i="6"/>
  <c r="AR207" i="6"/>
  <c r="AS227" i="6"/>
  <c r="AR227" i="6"/>
  <c r="AI250" i="6"/>
  <c r="AS251" i="6"/>
  <c r="AR251" i="6"/>
  <c r="AS257" i="6"/>
  <c r="AR257" i="6"/>
  <c r="AS296" i="6"/>
  <c r="AR296" i="6"/>
  <c r="AS297" i="6"/>
  <c r="AR297" i="6"/>
  <c r="AS37" i="7"/>
  <c r="AR37" i="7"/>
  <c r="AS38" i="7"/>
  <c r="AR38" i="7"/>
  <c r="AI68" i="7"/>
  <c r="AT144" i="7"/>
  <c r="AI144" i="7"/>
  <c r="AI168" i="7"/>
  <c r="AR50" i="6"/>
  <c r="AR70" i="6"/>
  <c r="AR90" i="6"/>
  <c r="AS100" i="6"/>
  <c r="AR100" i="6"/>
  <c r="AI131" i="6"/>
  <c r="AT131" i="6"/>
  <c r="AS136" i="6"/>
  <c r="AR136" i="6"/>
  <c r="AT142" i="6"/>
  <c r="AS148" i="6"/>
  <c r="AR148" i="6"/>
  <c r="AI177" i="6"/>
  <c r="AT177" i="6"/>
  <c r="AS182" i="6"/>
  <c r="AR182" i="6"/>
  <c r="AS188" i="6"/>
  <c r="AR188" i="6"/>
  <c r="AT194" i="6"/>
  <c r="AI194" i="6"/>
  <c r="AT214" i="6"/>
  <c r="AI214" i="6"/>
  <c r="AT234" i="6"/>
  <c r="AI234" i="6"/>
  <c r="AS268" i="6"/>
  <c r="AR268" i="6"/>
  <c r="AS269" i="6"/>
  <c r="AR269" i="6"/>
  <c r="AS9" i="7"/>
  <c r="AR9" i="7"/>
  <c r="AS10" i="7"/>
  <c r="AR10" i="7"/>
  <c r="AS49" i="7"/>
  <c r="AR49" i="7"/>
  <c r="AS50" i="7"/>
  <c r="AR50" i="7"/>
  <c r="AT88" i="7"/>
  <c r="AT93" i="7"/>
  <c r="AI93" i="7"/>
  <c r="AS145" i="7"/>
  <c r="AR145" i="7"/>
  <c r="AT188" i="7"/>
  <c r="AT193" i="7"/>
  <c r="AI193" i="7"/>
  <c r="AS30" i="8"/>
  <c r="AR30" i="8"/>
  <c r="AR91" i="6"/>
  <c r="AT94" i="6"/>
  <c r="AI94" i="6"/>
  <c r="AI111" i="6"/>
  <c r="AT111" i="6"/>
  <c r="AI137" i="6"/>
  <c r="AT137" i="6"/>
  <c r="AI142" i="6"/>
  <c r="AT200" i="6"/>
  <c r="AT220" i="6"/>
  <c r="AT240" i="6"/>
  <c r="AS247" i="6"/>
  <c r="AR247" i="6"/>
  <c r="AS280" i="6"/>
  <c r="AR280" i="6"/>
  <c r="AS281" i="6"/>
  <c r="AR281" i="6"/>
  <c r="AS21" i="7"/>
  <c r="AR21" i="7"/>
  <c r="AS22" i="7"/>
  <c r="AR22" i="7"/>
  <c r="AT64" i="7"/>
  <c r="AI64" i="7"/>
  <c r="AI88" i="7"/>
  <c r="AT164" i="7"/>
  <c r="AI164" i="7"/>
  <c r="AI188" i="7"/>
  <c r="AT40" i="8"/>
  <c r="AT92" i="6"/>
  <c r="AT107" i="6"/>
  <c r="AT120" i="6"/>
  <c r="AT127" i="6"/>
  <c r="AT140" i="6"/>
  <c r="AT147" i="6"/>
  <c r="AT160" i="6"/>
  <c r="AT167" i="6"/>
  <c r="AT180" i="6"/>
  <c r="AT187" i="6"/>
  <c r="AT200" i="7"/>
  <c r="AI200" i="7"/>
  <c r="AT244" i="7"/>
  <c r="BM5" i="8"/>
  <c r="BL5" i="8"/>
  <c r="AS91" i="8"/>
  <c r="AR91" i="8"/>
  <c r="AT121" i="8"/>
  <c r="AI121" i="8"/>
  <c r="AT43" i="9"/>
  <c r="AI43" i="9"/>
  <c r="AT68" i="9"/>
  <c r="AI68" i="9"/>
  <c r="AS153" i="9"/>
  <c r="AR153" i="9"/>
  <c r="AT106" i="6"/>
  <c r="AS120" i="6"/>
  <c r="AT126" i="6"/>
  <c r="AS140" i="6"/>
  <c r="AT146" i="6"/>
  <c r="AS160" i="6"/>
  <c r="AT166" i="6"/>
  <c r="AS180" i="6"/>
  <c r="AT186" i="6"/>
  <c r="AT198" i="6"/>
  <c r="AT208" i="6"/>
  <c r="AT218" i="6"/>
  <c r="AT228" i="6"/>
  <c r="AT238" i="6"/>
  <c r="AT248" i="6"/>
  <c r="AT258" i="6"/>
  <c r="AT262" i="6"/>
  <c r="AT266" i="6"/>
  <c r="AT270" i="6"/>
  <c r="AT274" i="6"/>
  <c r="AT278" i="6"/>
  <c r="AT282" i="6"/>
  <c r="AT286" i="6"/>
  <c r="AT290" i="6"/>
  <c r="AT294" i="6"/>
  <c r="AT298" i="6"/>
  <c r="AT3" i="7"/>
  <c r="AT7" i="7"/>
  <c r="AT11" i="7"/>
  <c r="AT15" i="7"/>
  <c r="AT19" i="7"/>
  <c r="AT23" i="7"/>
  <c r="AT27" i="7"/>
  <c r="AT31" i="7"/>
  <c r="AT35" i="7"/>
  <c r="AT39" i="7"/>
  <c r="AT43" i="7"/>
  <c r="AT47" i="7"/>
  <c r="AT51" i="7"/>
  <c r="AT55" i="7"/>
  <c r="AS59" i="7"/>
  <c r="AR59" i="7"/>
  <c r="AS79" i="7"/>
  <c r="AR79" i="7"/>
  <c r="AS99" i="7"/>
  <c r="AR99" i="7"/>
  <c r="AS119" i="7"/>
  <c r="AR119" i="7"/>
  <c r="AS139" i="7"/>
  <c r="AR139" i="7"/>
  <c r="AS159" i="7"/>
  <c r="AR159" i="7"/>
  <c r="AS179" i="7"/>
  <c r="AR179" i="7"/>
  <c r="AT218" i="7"/>
  <c r="AS244" i="7"/>
  <c r="AR244" i="7"/>
  <c r="AT274" i="7"/>
  <c r="AT20" i="8"/>
  <c r="AS83" i="8"/>
  <c r="AR83" i="8"/>
  <c r="AS92" i="8"/>
  <c r="AR92" i="8"/>
  <c r="AS101" i="8"/>
  <c r="AR101" i="8"/>
  <c r="AS110" i="8"/>
  <c r="AR110" i="8"/>
  <c r="AS111" i="8"/>
  <c r="AR111" i="8"/>
  <c r="AS120" i="8"/>
  <c r="AR120" i="8"/>
  <c r="AS44" i="9"/>
  <c r="AR44" i="9"/>
  <c r="AS106" i="6"/>
  <c r="AS126" i="6"/>
  <c r="AS146" i="6"/>
  <c r="AS166" i="6"/>
  <c r="AS186" i="6"/>
  <c r="AS198" i="6"/>
  <c r="AR198" i="6"/>
  <c r="AS208" i="6"/>
  <c r="AR208" i="6"/>
  <c r="AS218" i="6"/>
  <c r="AR218" i="6"/>
  <c r="AS228" i="6"/>
  <c r="AR228" i="6"/>
  <c r="AS238" i="6"/>
  <c r="AR238" i="6"/>
  <c r="AS248" i="6"/>
  <c r="AR248" i="6"/>
  <c r="AS258" i="6"/>
  <c r="AR258" i="6"/>
  <c r="AS262" i="6"/>
  <c r="AR262" i="6"/>
  <c r="AS266" i="6"/>
  <c r="AR266" i="6"/>
  <c r="AS270" i="6"/>
  <c r="AR270" i="6"/>
  <c r="AS274" i="6"/>
  <c r="AR274" i="6"/>
  <c r="AS278" i="6"/>
  <c r="AR278" i="6"/>
  <c r="AS282" i="6"/>
  <c r="AR282" i="6"/>
  <c r="AS286" i="6"/>
  <c r="AR286" i="6"/>
  <c r="AS290" i="6"/>
  <c r="AR290" i="6"/>
  <c r="AS294" i="6"/>
  <c r="AR294" i="6"/>
  <c r="AS298" i="6"/>
  <c r="AR298" i="6"/>
  <c r="AS3" i="7"/>
  <c r="AR3" i="7"/>
  <c r="AS7" i="7"/>
  <c r="AR7" i="7"/>
  <c r="AS11" i="7"/>
  <c r="AR11" i="7"/>
  <c r="AS15" i="7"/>
  <c r="AR15" i="7"/>
  <c r="AS19" i="7"/>
  <c r="AR19" i="7"/>
  <c r="AS23" i="7"/>
  <c r="AR23" i="7"/>
  <c r="AS27" i="7"/>
  <c r="AR27" i="7"/>
  <c r="AS31" i="7"/>
  <c r="AR31" i="7"/>
  <c r="AS35" i="7"/>
  <c r="AR35" i="7"/>
  <c r="AS39" i="7"/>
  <c r="AR39" i="7"/>
  <c r="AS43" i="7"/>
  <c r="AR43" i="7"/>
  <c r="AS47" i="7"/>
  <c r="AR47" i="7"/>
  <c r="AS51" i="7"/>
  <c r="AR51" i="7"/>
  <c r="AS55" i="7"/>
  <c r="AR55" i="7"/>
  <c r="AS75" i="7"/>
  <c r="AR75" i="7"/>
  <c r="AS95" i="7"/>
  <c r="AR95" i="7"/>
  <c r="AS115" i="7"/>
  <c r="AR115" i="7"/>
  <c r="AS135" i="7"/>
  <c r="AR135" i="7"/>
  <c r="AS155" i="7"/>
  <c r="AR155" i="7"/>
  <c r="AS175" i="7"/>
  <c r="AR175" i="7"/>
  <c r="AS195" i="7"/>
  <c r="AR195" i="7"/>
  <c r="AT210" i="7"/>
  <c r="AI210" i="7"/>
  <c r="AR218" i="7"/>
  <c r="AS218" i="7"/>
  <c r="AS274" i="7"/>
  <c r="AR274" i="7"/>
  <c r="AS75" i="8"/>
  <c r="AR75" i="8"/>
  <c r="AS84" i="8"/>
  <c r="AR84" i="8"/>
  <c r="AR100" i="8"/>
  <c r="AR28" i="9"/>
  <c r="AS28" i="9"/>
  <c r="BL39" i="9"/>
  <c r="AS132" i="6"/>
  <c r="AT138" i="6"/>
  <c r="AS152" i="6"/>
  <c r="AT158" i="6"/>
  <c r="AS66" i="7"/>
  <c r="AR66" i="7"/>
  <c r="AS70" i="7"/>
  <c r="AR70" i="7"/>
  <c r="AS86" i="7"/>
  <c r="AR86" i="7"/>
  <c r="AS90" i="7"/>
  <c r="AR90" i="7"/>
  <c r="AS106" i="7"/>
  <c r="AR106" i="7"/>
  <c r="AS110" i="7"/>
  <c r="AR110" i="7"/>
  <c r="AS126" i="7"/>
  <c r="AR126" i="7"/>
  <c r="AS130" i="7"/>
  <c r="AR130" i="7"/>
  <c r="AS146" i="7"/>
  <c r="AR146" i="7"/>
  <c r="AS150" i="7"/>
  <c r="AR150" i="7"/>
  <c r="AS166" i="7"/>
  <c r="AR166" i="7"/>
  <c r="AS170" i="7"/>
  <c r="AR170" i="7"/>
  <c r="AS186" i="7"/>
  <c r="AR186" i="7"/>
  <c r="AS190" i="7"/>
  <c r="AR190" i="7"/>
  <c r="AS205" i="7"/>
  <c r="AR205" i="7"/>
  <c r="AS16" i="8"/>
  <c r="AR16" i="8"/>
  <c r="AS17" i="8"/>
  <c r="AR17" i="8"/>
  <c r="AS67" i="8"/>
  <c r="AR67" i="8"/>
  <c r="AS76" i="8"/>
  <c r="AR76" i="8"/>
  <c r="AS219" i="8"/>
  <c r="AR219" i="8"/>
  <c r="AR220" i="8"/>
  <c r="AS220" i="8"/>
  <c r="BM26" i="9"/>
  <c r="BL26" i="9"/>
  <c r="AT104" i="6"/>
  <c r="AR123" i="6"/>
  <c r="AT124" i="6"/>
  <c r="AI138" i="6"/>
  <c r="AR143" i="6"/>
  <c r="AT144" i="6"/>
  <c r="AI158" i="6"/>
  <c r="AR163" i="6"/>
  <c r="AT164" i="6"/>
  <c r="AI178" i="6"/>
  <c r="AI202" i="6"/>
  <c r="AI212" i="6"/>
  <c r="AI222" i="6"/>
  <c r="AI232" i="6"/>
  <c r="AI242" i="6"/>
  <c r="AI252" i="6"/>
  <c r="AS61" i="7"/>
  <c r="AR61" i="7"/>
  <c r="AS71" i="7"/>
  <c r="AR71" i="7"/>
  <c r="AS81" i="7"/>
  <c r="AR81" i="7"/>
  <c r="AS91" i="7"/>
  <c r="AR91" i="7"/>
  <c r="AS101" i="7"/>
  <c r="AR101" i="7"/>
  <c r="AS111" i="7"/>
  <c r="AR111" i="7"/>
  <c r="AS121" i="7"/>
  <c r="AR121" i="7"/>
  <c r="AS131" i="7"/>
  <c r="AR131" i="7"/>
  <c r="AS141" i="7"/>
  <c r="AR141" i="7"/>
  <c r="AS151" i="7"/>
  <c r="AR151" i="7"/>
  <c r="AS161" i="7"/>
  <c r="AR161" i="7"/>
  <c r="AS171" i="7"/>
  <c r="AR171" i="7"/>
  <c r="AS181" i="7"/>
  <c r="AR181" i="7"/>
  <c r="AS191" i="7"/>
  <c r="AR191" i="7"/>
  <c r="AR209" i="7"/>
  <c r="AS234" i="7"/>
  <c r="AR234" i="7"/>
  <c r="AT3" i="8"/>
  <c r="AI3" i="8"/>
  <c r="AS59" i="8"/>
  <c r="AR59" i="8"/>
  <c r="AS68" i="8"/>
  <c r="AR68" i="8"/>
  <c r="AS173" i="8"/>
  <c r="AR173" i="8"/>
  <c r="AR174" i="8"/>
  <c r="AS174" i="8"/>
  <c r="AT102" i="6"/>
  <c r="AS104" i="6"/>
  <c r="AT110" i="6"/>
  <c r="AR120" i="6"/>
  <c r="AI124" i="6"/>
  <c r="AR129" i="6"/>
  <c r="AT130" i="6"/>
  <c r="AR140" i="6"/>
  <c r="AI144" i="6"/>
  <c r="AR149" i="6"/>
  <c r="AT150" i="6"/>
  <c r="AR160" i="6"/>
  <c r="AI164" i="6"/>
  <c r="AR169" i="6"/>
  <c r="AT170" i="6"/>
  <c r="AR180" i="6"/>
  <c r="AS184" i="6"/>
  <c r="AR189" i="6"/>
  <c r="AT190" i="6"/>
  <c r="AR195" i="6"/>
  <c r="AT196" i="6"/>
  <c r="AR205" i="6"/>
  <c r="AT206" i="6"/>
  <c r="AR215" i="6"/>
  <c r="AT216" i="6"/>
  <c r="AR225" i="6"/>
  <c r="AT226" i="6"/>
  <c r="AR235" i="6"/>
  <c r="AT236" i="6"/>
  <c r="AR245" i="6"/>
  <c r="AT246" i="6"/>
  <c r="AR255" i="6"/>
  <c r="AT256" i="6"/>
  <c r="AT63" i="7"/>
  <c r="AS197" i="7"/>
  <c r="AR197" i="7"/>
  <c r="AR215" i="7"/>
  <c r="AS215" i="7"/>
  <c r="AS264" i="7"/>
  <c r="AR264" i="7"/>
  <c r="AT294" i="7"/>
  <c r="AT12" i="8"/>
  <c r="AS50" i="8"/>
  <c r="AR50" i="8"/>
  <c r="AS60" i="8"/>
  <c r="AR60" i="8"/>
  <c r="AR204" i="8"/>
  <c r="AS204" i="8"/>
  <c r="AT100" i="6"/>
  <c r="AI102" i="6"/>
  <c r="AR106" i="6"/>
  <c r="AI110" i="6"/>
  <c r="AT116" i="6"/>
  <c r="AT123" i="6"/>
  <c r="AR126" i="6"/>
  <c r="AI130" i="6"/>
  <c r="AT136" i="6"/>
  <c r="AT143" i="6"/>
  <c r="AR146" i="6"/>
  <c r="AI150" i="6"/>
  <c r="AT156" i="6"/>
  <c r="AT163" i="6"/>
  <c r="AR166" i="6"/>
  <c r="AI170" i="6"/>
  <c r="AT176" i="6"/>
  <c r="AT183" i="6"/>
  <c r="AR186" i="6"/>
  <c r="AI190" i="6"/>
  <c r="AI196" i="6"/>
  <c r="AI206" i="6"/>
  <c r="AI216" i="6"/>
  <c r="AI226" i="6"/>
  <c r="AI236" i="6"/>
  <c r="AI246" i="6"/>
  <c r="AI256" i="6"/>
  <c r="AT260" i="6"/>
  <c r="AT264" i="6"/>
  <c r="AT268" i="6"/>
  <c r="AT272" i="6"/>
  <c r="AT276" i="6"/>
  <c r="AT280" i="6"/>
  <c r="AT284" i="6"/>
  <c r="AT288" i="6"/>
  <c r="AT292" i="6"/>
  <c r="AT296" i="6"/>
  <c r="AT300" i="6"/>
  <c r="AT5" i="7"/>
  <c r="AT9" i="7"/>
  <c r="AT13" i="7"/>
  <c r="AT17" i="7"/>
  <c r="AT21" i="7"/>
  <c r="AT25" i="7"/>
  <c r="AT29" i="7"/>
  <c r="AT33" i="7"/>
  <c r="AT37" i="7"/>
  <c r="AT41" i="7"/>
  <c r="AT45" i="7"/>
  <c r="AT49" i="7"/>
  <c r="AT53" i="7"/>
  <c r="AT57" i="7"/>
  <c r="AI77" i="7"/>
  <c r="AI97" i="7"/>
  <c r="AS103" i="7"/>
  <c r="AI117" i="7"/>
  <c r="AS123" i="7"/>
  <c r="AI137" i="7"/>
  <c r="AS143" i="7"/>
  <c r="AI157" i="7"/>
  <c r="AS163" i="7"/>
  <c r="AI177" i="7"/>
  <c r="AS183" i="7"/>
  <c r="AT202" i="7"/>
  <c r="AS294" i="7"/>
  <c r="AR294" i="7"/>
  <c r="AI12" i="8"/>
  <c r="AS13" i="8"/>
  <c r="AR13" i="8"/>
  <c r="AS40" i="8"/>
  <c r="AR40" i="8"/>
  <c r="AI168" i="8"/>
  <c r="AS228" i="7"/>
  <c r="AR228" i="7"/>
  <c r="AS238" i="7"/>
  <c r="AR238" i="7"/>
  <c r="AS248" i="7"/>
  <c r="AR248" i="7"/>
  <c r="AS258" i="7"/>
  <c r="AR258" i="7"/>
  <c r="AS268" i="7"/>
  <c r="AR268" i="7"/>
  <c r="AS278" i="7"/>
  <c r="AR278" i="7"/>
  <c r="AS288" i="7"/>
  <c r="AR288" i="7"/>
  <c r="AS298" i="7"/>
  <c r="AR298" i="7"/>
  <c r="AT59" i="8"/>
  <c r="AT29" i="9"/>
  <c r="AI29" i="9"/>
  <c r="AR136" i="9"/>
  <c r="AS136" i="9"/>
  <c r="AT60" i="7"/>
  <c r="AI62" i="7"/>
  <c r="AT80" i="7"/>
  <c r="AI82" i="7"/>
  <c r="AT100" i="7"/>
  <c r="AI102" i="7"/>
  <c r="AT120" i="7"/>
  <c r="AI122" i="7"/>
  <c r="AT140" i="7"/>
  <c r="AI142" i="7"/>
  <c r="AT160" i="7"/>
  <c r="AI162" i="7"/>
  <c r="AT180" i="7"/>
  <c r="AI182" i="7"/>
  <c r="AT198" i="7"/>
  <c r="AT208" i="7"/>
  <c r="AR216" i="7"/>
  <c r="AT222" i="7"/>
  <c r="AT232" i="7"/>
  <c r="AT242" i="7"/>
  <c r="AT252" i="7"/>
  <c r="AT262" i="7"/>
  <c r="AT272" i="7"/>
  <c r="AT282" i="7"/>
  <c r="AT292" i="7"/>
  <c r="AI23" i="8"/>
  <c r="AS25" i="8"/>
  <c r="AR25" i="8"/>
  <c r="AT33" i="8"/>
  <c r="AT43" i="8"/>
  <c r="AT53" i="8"/>
  <c r="AI131" i="8"/>
  <c r="AR132" i="8"/>
  <c r="AS132" i="8"/>
  <c r="AS163" i="8"/>
  <c r="AR163" i="8"/>
  <c r="AR164" i="8"/>
  <c r="AS164" i="8"/>
  <c r="AS175" i="8"/>
  <c r="AR175" i="8"/>
  <c r="AI194" i="8"/>
  <c r="AT194" i="8"/>
  <c r="AS271" i="8"/>
  <c r="AS272" i="8"/>
  <c r="AR272" i="8"/>
  <c r="AT61" i="7"/>
  <c r="AT81" i="7"/>
  <c r="AT101" i="7"/>
  <c r="AT121" i="7"/>
  <c r="AT141" i="7"/>
  <c r="AT161" i="7"/>
  <c r="AT181" i="7"/>
  <c r="AR198" i="7"/>
  <c r="AR208" i="7"/>
  <c r="AS222" i="7"/>
  <c r="AR222" i="7"/>
  <c r="AR229" i="7"/>
  <c r="AS232" i="7"/>
  <c r="AR232" i="7"/>
  <c r="AS242" i="7"/>
  <c r="AR242" i="7"/>
  <c r="AS252" i="7"/>
  <c r="AR252" i="7"/>
  <c r="AS262" i="7"/>
  <c r="AR262" i="7"/>
  <c r="AS272" i="7"/>
  <c r="AR272" i="7"/>
  <c r="AS282" i="7"/>
  <c r="AR282" i="7"/>
  <c r="AS292" i="7"/>
  <c r="AR292" i="7"/>
  <c r="AS33" i="8"/>
  <c r="AR33" i="8"/>
  <c r="AS35" i="8"/>
  <c r="AR35" i="8"/>
  <c r="AS43" i="8"/>
  <c r="AR43" i="8"/>
  <c r="AS45" i="8"/>
  <c r="AR45" i="8"/>
  <c r="AS53" i="8"/>
  <c r="AR53" i="8"/>
  <c r="AS55" i="8"/>
  <c r="AR55" i="8"/>
  <c r="AS63" i="8"/>
  <c r="AR63" i="8"/>
  <c r="AS71" i="8"/>
  <c r="AR71" i="8"/>
  <c r="AS79" i="8"/>
  <c r="AR79" i="8"/>
  <c r="AS87" i="8"/>
  <c r="AR87" i="8"/>
  <c r="AS95" i="8"/>
  <c r="AR95" i="8"/>
  <c r="AT147" i="8"/>
  <c r="AI147" i="8"/>
  <c r="AS148" i="8"/>
  <c r="AR148" i="8"/>
  <c r="AS266" i="8"/>
  <c r="AR266" i="8"/>
  <c r="AS292" i="8"/>
  <c r="AR292" i="8"/>
  <c r="AS15" i="9"/>
  <c r="AR15" i="9"/>
  <c r="AI58" i="7"/>
  <c r="AT76" i="7"/>
  <c r="AI78" i="7"/>
  <c r="AT96" i="7"/>
  <c r="AI98" i="7"/>
  <c r="AT116" i="7"/>
  <c r="AI118" i="7"/>
  <c r="AT136" i="7"/>
  <c r="AI138" i="7"/>
  <c r="AT156" i="7"/>
  <c r="AI158" i="7"/>
  <c r="AT176" i="7"/>
  <c r="AI178" i="7"/>
  <c r="AT196" i="7"/>
  <c r="AT206" i="7"/>
  <c r="AR211" i="7"/>
  <c r="AT214" i="7"/>
  <c r="AT226" i="7"/>
  <c r="AT236" i="7"/>
  <c r="AT246" i="7"/>
  <c r="AT256" i="7"/>
  <c r="AT266" i="7"/>
  <c r="AT276" i="7"/>
  <c r="AT286" i="7"/>
  <c r="AT296" i="7"/>
  <c r="AT5" i="8"/>
  <c r="AI5" i="8"/>
  <c r="AS6" i="8"/>
  <c r="AR6" i="8"/>
  <c r="AI10" i="8"/>
  <c r="AI14" i="8"/>
  <c r="AI18" i="8"/>
  <c r="AT27" i="8"/>
  <c r="AI27" i="8"/>
  <c r="AS64" i="8"/>
  <c r="AR64" i="8"/>
  <c r="AS72" i="8"/>
  <c r="AR72" i="8"/>
  <c r="AS80" i="8"/>
  <c r="AR80" i="8"/>
  <c r="AS88" i="8"/>
  <c r="AR88" i="8"/>
  <c r="AS96" i="8"/>
  <c r="AR96" i="8"/>
  <c r="AS105" i="8"/>
  <c r="AR105" i="8"/>
  <c r="AS155" i="8"/>
  <c r="AR155" i="8"/>
  <c r="AI190" i="8"/>
  <c r="AT190" i="8"/>
  <c r="AT74" i="7"/>
  <c r="AI76" i="7"/>
  <c r="AT94" i="7"/>
  <c r="AI96" i="7"/>
  <c r="AT114" i="7"/>
  <c r="AI116" i="7"/>
  <c r="AT134" i="7"/>
  <c r="AI136" i="7"/>
  <c r="AT154" i="7"/>
  <c r="AI156" i="7"/>
  <c r="AT174" i="7"/>
  <c r="AI176" i="7"/>
  <c r="AT194" i="7"/>
  <c r="AI196" i="7"/>
  <c r="AI206" i="7"/>
  <c r="AS213" i="7"/>
  <c r="AR214" i="7"/>
  <c r="AR217" i="7"/>
  <c r="AT220" i="7"/>
  <c r="AR223" i="7"/>
  <c r="AS226" i="7"/>
  <c r="AR226" i="7"/>
  <c r="AS236" i="7"/>
  <c r="AR236" i="7"/>
  <c r="AS246" i="7"/>
  <c r="AR246" i="7"/>
  <c r="AS256" i="7"/>
  <c r="AR256" i="7"/>
  <c r="AS266" i="7"/>
  <c r="AR266" i="7"/>
  <c r="AS276" i="7"/>
  <c r="AR276" i="7"/>
  <c r="AS286" i="7"/>
  <c r="AR286" i="7"/>
  <c r="AS296" i="7"/>
  <c r="AR296" i="7"/>
  <c r="AT26" i="8"/>
  <c r="AT37" i="8"/>
  <c r="AI37" i="8"/>
  <c r="AT47" i="8"/>
  <c r="AI47" i="8"/>
  <c r="AT57" i="8"/>
  <c r="AI57" i="8"/>
  <c r="AS106" i="8"/>
  <c r="AR106" i="8"/>
  <c r="AS115" i="8"/>
  <c r="AR115" i="8"/>
  <c r="AR146" i="8"/>
  <c r="AT158" i="8"/>
  <c r="AI158" i="8"/>
  <c r="AS242" i="8"/>
  <c r="AR242" i="8"/>
  <c r="AT72" i="7"/>
  <c r="AT92" i="7"/>
  <c r="AT112" i="7"/>
  <c r="AT132" i="7"/>
  <c r="AT152" i="7"/>
  <c r="AT172" i="7"/>
  <c r="AT192" i="7"/>
  <c r="AT204" i="7"/>
  <c r="AR220" i="7"/>
  <c r="AT230" i="7"/>
  <c r="AT240" i="7"/>
  <c r="AT250" i="7"/>
  <c r="AT260" i="7"/>
  <c r="AT270" i="7"/>
  <c r="AT280" i="7"/>
  <c r="AT290" i="7"/>
  <c r="AS300" i="7"/>
  <c r="AR300" i="7"/>
  <c r="AS116" i="8"/>
  <c r="AR116" i="8"/>
  <c r="AS125" i="8"/>
  <c r="AR125" i="8"/>
  <c r="AS157" i="8"/>
  <c r="AR157" i="8"/>
  <c r="AS165" i="8"/>
  <c r="AR165" i="8"/>
  <c r="AR180" i="8"/>
  <c r="AS180" i="8"/>
  <c r="AR224" i="8"/>
  <c r="AS224" i="8"/>
  <c r="AT70" i="7"/>
  <c r="AI72" i="7"/>
  <c r="AT90" i="7"/>
  <c r="AI92" i="7"/>
  <c r="AT110" i="7"/>
  <c r="AI112" i="7"/>
  <c r="AT130" i="7"/>
  <c r="AI132" i="7"/>
  <c r="AT150" i="7"/>
  <c r="AI152" i="7"/>
  <c r="AT170" i="7"/>
  <c r="AI172" i="7"/>
  <c r="AT190" i="7"/>
  <c r="AI192" i="7"/>
  <c r="AS198" i="7"/>
  <c r="AI204" i="7"/>
  <c r="AS208" i="7"/>
  <c r="AT212" i="7"/>
  <c r="AR227" i="7"/>
  <c r="AS230" i="7"/>
  <c r="AR230" i="7"/>
  <c r="AS240" i="7"/>
  <c r="AR240" i="7"/>
  <c r="AS250" i="7"/>
  <c r="AR250" i="7"/>
  <c r="AS260" i="7"/>
  <c r="AR260" i="7"/>
  <c r="AS270" i="7"/>
  <c r="AR270" i="7"/>
  <c r="AS280" i="7"/>
  <c r="AR280" i="7"/>
  <c r="AS290" i="7"/>
  <c r="AR290" i="7"/>
  <c r="AS29" i="8"/>
  <c r="AR29" i="8"/>
  <c r="AR36" i="8"/>
  <c r="AS39" i="8"/>
  <c r="AR39" i="8"/>
  <c r="AR46" i="8"/>
  <c r="AS49" i="8"/>
  <c r="AR49" i="8"/>
  <c r="AR56" i="8"/>
  <c r="AS126" i="8"/>
  <c r="AR126" i="8"/>
  <c r="AT29" i="8"/>
  <c r="AT39" i="8"/>
  <c r="AT49" i="8"/>
  <c r="AS153" i="8"/>
  <c r="AR153" i="8"/>
  <c r="AI200" i="8"/>
  <c r="AT200" i="8"/>
  <c r="AS215" i="8"/>
  <c r="AR215" i="8"/>
  <c r="AS236" i="8"/>
  <c r="AR236" i="8"/>
  <c r="AT265" i="8"/>
  <c r="AS286" i="8"/>
  <c r="AR286" i="8"/>
  <c r="AT6" i="9"/>
  <c r="AI6" i="9"/>
  <c r="AS14" i="9"/>
  <c r="AR14" i="9"/>
  <c r="AS67" i="9"/>
  <c r="AR67" i="9"/>
  <c r="AR147" i="9"/>
  <c r="AS147" i="9"/>
  <c r="AI148" i="9"/>
  <c r="AT148" i="9"/>
  <c r="AI21" i="8"/>
  <c r="AT61" i="8"/>
  <c r="AT65" i="8"/>
  <c r="AT69" i="8"/>
  <c r="AI97" i="8"/>
  <c r="AI107" i="8"/>
  <c r="AI117" i="8"/>
  <c r="AI127" i="8"/>
  <c r="AS142" i="8"/>
  <c r="AR142" i="8"/>
  <c r="AI149" i="8"/>
  <c r="AS154" i="8"/>
  <c r="AR154" i="8"/>
  <c r="AR170" i="8"/>
  <c r="AS170" i="8"/>
  <c r="AT176" i="8"/>
  <c r="AI176" i="8"/>
  <c r="AS181" i="8"/>
  <c r="AR216" i="8"/>
  <c r="AS216" i="8"/>
  <c r="AS262" i="8"/>
  <c r="AR262" i="8"/>
  <c r="BM21" i="9"/>
  <c r="BL21" i="9"/>
  <c r="AR38" i="9"/>
  <c r="AS38" i="9"/>
  <c r="AS62" i="9"/>
  <c r="AR62" i="9"/>
  <c r="AR86" i="9"/>
  <c r="AS86" i="9"/>
  <c r="AS130" i="9"/>
  <c r="AR130" i="9"/>
  <c r="AT6" i="8"/>
  <c r="AS31" i="8"/>
  <c r="AR31" i="8"/>
  <c r="AS41" i="8"/>
  <c r="AR41" i="8"/>
  <c r="AS51" i="8"/>
  <c r="AR51" i="8"/>
  <c r="AS61" i="8"/>
  <c r="AR61" i="8"/>
  <c r="AS65" i="8"/>
  <c r="AR65" i="8"/>
  <c r="AS69" i="8"/>
  <c r="AR69" i="8"/>
  <c r="AS73" i="8"/>
  <c r="AR73" i="8"/>
  <c r="AS77" i="8"/>
  <c r="AR77" i="8"/>
  <c r="AS81" i="8"/>
  <c r="AR81" i="8"/>
  <c r="AS85" i="8"/>
  <c r="AR85" i="8"/>
  <c r="AS89" i="8"/>
  <c r="AR89" i="8"/>
  <c r="AS93" i="8"/>
  <c r="AR93" i="8"/>
  <c r="AS138" i="8"/>
  <c r="AR138" i="8"/>
  <c r="AS211" i="8"/>
  <c r="AR211" i="8"/>
  <c r="AS231" i="8"/>
  <c r="AR231" i="8"/>
  <c r="AT235" i="8"/>
  <c r="AS256" i="8"/>
  <c r="AR256" i="8"/>
  <c r="AT285" i="8"/>
  <c r="AT5" i="9"/>
  <c r="AR5" i="9"/>
  <c r="AI24" i="9"/>
  <c r="AS56" i="9"/>
  <c r="AR56" i="9"/>
  <c r="AR106" i="9"/>
  <c r="AS106" i="9"/>
  <c r="AI112" i="9"/>
  <c r="AR24" i="8"/>
  <c r="AR34" i="8"/>
  <c r="AR44" i="8"/>
  <c r="AR54" i="8"/>
  <c r="AR102" i="8"/>
  <c r="AI103" i="8"/>
  <c r="AR112" i="8"/>
  <c r="AI113" i="8"/>
  <c r="AR122" i="8"/>
  <c r="AI123" i="8"/>
  <c r="AS133" i="8"/>
  <c r="AR133" i="8"/>
  <c r="AR137" i="8"/>
  <c r="AS144" i="8"/>
  <c r="AR144" i="8"/>
  <c r="AR160" i="8"/>
  <c r="AS160" i="8"/>
  <c r="AT166" i="8"/>
  <c r="AI166" i="8"/>
  <c r="AR212" i="8"/>
  <c r="AS212" i="8"/>
  <c r="AR232" i="8"/>
  <c r="AS232" i="8"/>
  <c r="AS282" i="8"/>
  <c r="AR282" i="8"/>
  <c r="AR33" i="9"/>
  <c r="AS33" i="9"/>
  <c r="AT57" i="9"/>
  <c r="AI57" i="9"/>
  <c r="AR128" i="8"/>
  <c r="AI129" i="8"/>
  <c r="AS134" i="8"/>
  <c r="AR134" i="8"/>
  <c r="AS187" i="8"/>
  <c r="AR187" i="8"/>
  <c r="AS207" i="8"/>
  <c r="AR207" i="8"/>
  <c r="AS227" i="8"/>
  <c r="AR227" i="8"/>
  <c r="AT255" i="8"/>
  <c r="AS276" i="8"/>
  <c r="AR276" i="8"/>
  <c r="AS10" i="9"/>
  <c r="AR10" i="9"/>
  <c r="AT11" i="9"/>
  <c r="AI11" i="9"/>
  <c r="AT49" i="9"/>
  <c r="AI49" i="9"/>
  <c r="AI82" i="9"/>
  <c r="AR100" i="9"/>
  <c r="AR38" i="8"/>
  <c r="AR48" i="8"/>
  <c r="AR98" i="8"/>
  <c r="AS99" i="8"/>
  <c r="AR99" i="8"/>
  <c r="AR108" i="8"/>
  <c r="AS109" i="8"/>
  <c r="AR109" i="8"/>
  <c r="AR118" i="8"/>
  <c r="AS119" i="8"/>
  <c r="AR119" i="8"/>
  <c r="AR150" i="8"/>
  <c r="AT151" i="8"/>
  <c r="AT156" i="8"/>
  <c r="AI156" i="8"/>
  <c r="AR162" i="8"/>
  <c r="AS183" i="8"/>
  <c r="AR183" i="8"/>
  <c r="AS197" i="8"/>
  <c r="AR197" i="8"/>
  <c r="AR208" i="8"/>
  <c r="AS208" i="8"/>
  <c r="AR228" i="8"/>
  <c r="AS228" i="8"/>
  <c r="AS252" i="8"/>
  <c r="AR252" i="8"/>
  <c r="AT19" i="9"/>
  <c r="AS20" i="9"/>
  <c r="AR20" i="9"/>
  <c r="BM31" i="9"/>
  <c r="BL31" i="9"/>
  <c r="AS50" i="9"/>
  <c r="AR50" i="9"/>
  <c r="AT63" i="8"/>
  <c r="AT67" i="8"/>
  <c r="AT71" i="8"/>
  <c r="AT75" i="8"/>
  <c r="AT79" i="8"/>
  <c r="AT83" i="8"/>
  <c r="AT87" i="8"/>
  <c r="AT91" i="8"/>
  <c r="AI140" i="8"/>
  <c r="AI151" i="8"/>
  <c r="AT173" i="8"/>
  <c r="AI178" i="8"/>
  <c r="AI184" i="8"/>
  <c r="AT184" i="8"/>
  <c r="AS193" i="8"/>
  <c r="AR193" i="8"/>
  <c r="AS203" i="8"/>
  <c r="AR203" i="8"/>
  <c r="AS223" i="8"/>
  <c r="AR223" i="8"/>
  <c r="AS246" i="8"/>
  <c r="AR246" i="8"/>
  <c r="AT275" i="8"/>
  <c r="AS296" i="8"/>
  <c r="AR296" i="8"/>
  <c r="AI19" i="9"/>
  <c r="AT193" i="8"/>
  <c r="AT203" i="8"/>
  <c r="AT207" i="8"/>
  <c r="AT211" i="8"/>
  <c r="AT215" i="8"/>
  <c r="AT219" i="8"/>
  <c r="AT223" i="8"/>
  <c r="AT227" i="8"/>
  <c r="AT231" i="8"/>
  <c r="AS237" i="8"/>
  <c r="AS247" i="8"/>
  <c r="AS257" i="8"/>
  <c r="AS267" i="8"/>
  <c r="AS277" i="8"/>
  <c r="AS287" i="8"/>
  <c r="AS297" i="8"/>
  <c r="AS12" i="9"/>
  <c r="AT16" i="9"/>
  <c r="AI16" i="9"/>
  <c r="BM36" i="9"/>
  <c r="BL36" i="9"/>
  <c r="AT51" i="9"/>
  <c r="AI51" i="9"/>
  <c r="AS92" i="9"/>
  <c r="AR92" i="9"/>
  <c r="AT119" i="9"/>
  <c r="AI119" i="9"/>
  <c r="AS120" i="9"/>
  <c r="AR120" i="9"/>
  <c r="AS161" i="9"/>
  <c r="AR161" i="9"/>
  <c r="AI145" i="8"/>
  <c r="AS201" i="8"/>
  <c r="AS238" i="8"/>
  <c r="AR238" i="8"/>
  <c r="AT241" i="8"/>
  <c r="AS248" i="8"/>
  <c r="AR248" i="8"/>
  <c r="AT251" i="8"/>
  <c r="AS258" i="8"/>
  <c r="AR258" i="8"/>
  <c r="AT261" i="8"/>
  <c r="AS268" i="8"/>
  <c r="AR268" i="8"/>
  <c r="AT271" i="8"/>
  <c r="AS278" i="8"/>
  <c r="AR278" i="8"/>
  <c r="AT281" i="8"/>
  <c r="AS288" i="8"/>
  <c r="AR288" i="8"/>
  <c r="AT291" i="8"/>
  <c r="AS298" i="8"/>
  <c r="AR298" i="8"/>
  <c r="AT2" i="9"/>
  <c r="BL4" i="9"/>
  <c r="AS17" i="9"/>
  <c r="AT21" i="9"/>
  <c r="AI21" i="9"/>
  <c r="AI34" i="9"/>
  <c r="AT45" i="9"/>
  <c r="AI45" i="9"/>
  <c r="AS73" i="9"/>
  <c r="AR73" i="9"/>
  <c r="AT74" i="9"/>
  <c r="AI74" i="9"/>
  <c r="AT79" i="9"/>
  <c r="AI79" i="9"/>
  <c r="AR97" i="9"/>
  <c r="AS97" i="9"/>
  <c r="AS118" i="9"/>
  <c r="AR118" i="9"/>
  <c r="AR157" i="9"/>
  <c r="AS157" i="9"/>
  <c r="AI143" i="8"/>
  <c r="AT144" i="8"/>
  <c r="AT197" i="8"/>
  <c r="AS205" i="8"/>
  <c r="AR205" i="8"/>
  <c r="AS209" i="8"/>
  <c r="AR209" i="8"/>
  <c r="AS213" i="8"/>
  <c r="AR213" i="8"/>
  <c r="AS217" i="8"/>
  <c r="AR217" i="8"/>
  <c r="AS221" i="8"/>
  <c r="AR221" i="8"/>
  <c r="AS225" i="8"/>
  <c r="AR225" i="8"/>
  <c r="AS229" i="8"/>
  <c r="AR229" i="8"/>
  <c r="AS233" i="8"/>
  <c r="AR233" i="8"/>
  <c r="AS243" i="8"/>
  <c r="AS253" i="8"/>
  <c r="AS263" i="8"/>
  <c r="AS273" i="8"/>
  <c r="AS283" i="8"/>
  <c r="AS293" i="8"/>
  <c r="AT7" i="9"/>
  <c r="BL9" i="9"/>
  <c r="AS22" i="9"/>
  <c r="AT26" i="9"/>
  <c r="AI26" i="9"/>
  <c r="AI39" i="9"/>
  <c r="AI59" i="9"/>
  <c r="AT59" i="9"/>
  <c r="AR64" i="9"/>
  <c r="AS88" i="9"/>
  <c r="AR88" i="9"/>
  <c r="AS98" i="9"/>
  <c r="AR98" i="9"/>
  <c r="AT145" i="9"/>
  <c r="AI145" i="9"/>
  <c r="AS210" i="9"/>
  <c r="AR210" i="9"/>
  <c r="AT139" i="8"/>
  <c r="AI141" i="8"/>
  <c r="AT157" i="8"/>
  <c r="AT167" i="8"/>
  <c r="AT177" i="8"/>
  <c r="AR182" i="8"/>
  <c r="AS185" i="8"/>
  <c r="AR192" i="8"/>
  <c r="AS195" i="8"/>
  <c r="AR202" i="8"/>
  <c r="AR206" i="8"/>
  <c r="AR210" i="8"/>
  <c r="AR214" i="8"/>
  <c r="AR218" i="8"/>
  <c r="AR222" i="8"/>
  <c r="AR226" i="8"/>
  <c r="AR230" i="8"/>
  <c r="AS234" i="8"/>
  <c r="AR234" i="8"/>
  <c r="AT237" i="8"/>
  <c r="AS244" i="8"/>
  <c r="AR244" i="8"/>
  <c r="AT247" i="8"/>
  <c r="AS254" i="8"/>
  <c r="AR254" i="8"/>
  <c r="AT257" i="8"/>
  <c r="AS264" i="8"/>
  <c r="AR264" i="8"/>
  <c r="AT267" i="8"/>
  <c r="AS274" i="8"/>
  <c r="AR274" i="8"/>
  <c r="AT277" i="8"/>
  <c r="AS284" i="8"/>
  <c r="AR284" i="8"/>
  <c r="AT287" i="8"/>
  <c r="AS294" i="8"/>
  <c r="AR294" i="8"/>
  <c r="AT297" i="8"/>
  <c r="AT12" i="9"/>
  <c r="BL14" i="9"/>
  <c r="AT31" i="9"/>
  <c r="AI31" i="9"/>
  <c r="AT53" i="9"/>
  <c r="AI53" i="9"/>
  <c r="AI65" i="9"/>
  <c r="AT65" i="9"/>
  <c r="AR78" i="9"/>
  <c r="AI84" i="9"/>
  <c r="AI103" i="9"/>
  <c r="AT115" i="9"/>
  <c r="AI115" i="9"/>
  <c r="AT139" i="9"/>
  <c r="AI139" i="9"/>
  <c r="AR140" i="9"/>
  <c r="AS140" i="9"/>
  <c r="AI202" i="9"/>
  <c r="AT202" i="9"/>
  <c r="AT137" i="8"/>
  <c r="AI139" i="8"/>
  <c r="AR161" i="8"/>
  <c r="AR171" i="8"/>
  <c r="AR181" i="8"/>
  <c r="AT189" i="8"/>
  <c r="AT201" i="8"/>
  <c r="AS239" i="8"/>
  <c r="AS249" i="8"/>
  <c r="AS259" i="8"/>
  <c r="AS269" i="8"/>
  <c r="AS279" i="8"/>
  <c r="AS289" i="8"/>
  <c r="AS299" i="8"/>
  <c r="AS3" i="9"/>
  <c r="BM6" i="9"/>
  <c r="BL6" i="9"/>
  <c r="AT17" i="9"/>
  <c r="BL19" i="9"/>
  <c r="AR25" i="9"/>
  <c r="AS32" i="9"/>
  <c r="AT36" i="9"/>
  <c r="AI36" i="9"/>
  <c r="AT47" i="9"/>
  <c r="AI47" i="9"/>
  <c r="AS70" i="9"/>
  <c r="AR70" i="9"/>
  <c r="AR114" i="9"/>
  <c r="AS179" i="9"/>
  <c r="AR179" i="9"/>
  <c r="AT135" i="8"/>
  <c r="AT155" i="8"/>
  <c r="AT165" i="8"/>
  <c r="AT175" i="8"/>
  <c r="AR186" i="8"/>
  <c r="AS188" i="8"/>
  <c r="AS189" i="8"/>
  <c r="AR191" i="8"/>
  <c r="AR196" i="8"/>
  <c r="AS198" i="8"/>
  <c r="AS199" i="8"/>
  <c r="AR201" i="8"/>
  <c r="AT233" i="8"/>
  <c r="AS240" i="8"/>
  <c r="AR240" i="8"/>
  <c r="AT243" i="8"/>
  <c r="AS250" i="8"/>
  <c r="AR250" i="8"/>
  <c r="AT253" i="8"/>
  <c r="AS260" i="8"/>
  <c r="AR260" i="8"/>
  <c r="AT263" i="8"/>
  <c r="AS270" i="8"/>
  <c r="AR270" i="8"/>
  <c r="AT273" i="8"/>
  <c r="AS280" i="8"/>
  <c r="AR280" i="8"/>
  <c r="AT283" i="8"/>
  <c r="AS290" i="8"/>
  <c r="AR290" i="8"/>
  <c r="AT293" i="8"/>
  <c r="AS300" i="8"/>
  <c r="AR300" i="8"/>
  <c r="AS4" i="9"/>
  <c r="AR4" i="9"/>
  <c r="AS8" i="9"/>
  <c r="AT9" i="9"/>
  <c r="BM11" i="9"/>
  <c r="BL11" i="9"/>
  <c r="AT22" i="9"/>
  <c r="AR30" i="9"/>
  <c r="AS37" i="9"/>
  <c r="AT41" i="9"/>
  <c r="AI41" i="9"/>
  <c r="AS48" i="9"/>
  <c r="AR52" i="9"/>
  <c r="AT71" i="9"/>
  <c r="AI71" i="9"/>
  <c r="AS76" i="9"/>
  <c r="AR76" i="9"/>
  <c r="AR94" i="9"/>
  <c r="AS95" i="9"/>
  <c r="AR95" i="9"/>
  <c r="AT133" i="8"/>
  <c r="AI135" i="8"/>
  <c r="AT153" i="8"/>
  <c r="AT183" i="8"/>
  <c r="AT188" i="8"/>
  <c r="AT195" i="8"/>
  <c r="AT198" i="8"/>
  <c r="AS235" i="8"/>
  <c r="AS245" i="8"/>
  <c r="AS255" i="8"/>
  <c r="AS265" i="8"/>
  <c r="AS275" i="8"/>
  <c r="AS285" i="8"/>
  <c r="AS295" i="8"/>
  <c r="AI9" i="9"/>
  <c r="AS13" i="9"/>
  <c r="AT14" i="9"/>
  <c r="BM16" i="9"/>
  <c r="BL16" i="9"/>
  <c r="AT27" i="9"/>
  <c r="AS42" i="9"/>
  <c r="AR46" i="9"/>
  <c r="AT55" i="9"/>
  <c r="AI55" i="9"/>
  <c r="AR81" i="9"/>
  <c r="AT101" i="9"/>
  <c r="AI101" i="9"/>
  <c r="AT123" i="9"/>
  <c r="AI123" i="9"/>
  <c r="AI124" i="9"/>
  <c r="AT124" i="9"/>
  <c r="AT154" i="9"/>
  <c r="AI154" i="9"/>
  <c r="AS169" i="9"/>
  <c r="AR169" i="9"/>
  <c r="AS193" i="9"/>
  <c r="AR193" i="9"/>
  <c r="AS195" i="9"/>
  <c r="AS196" i="9"/>
  <c r="AR196" i="9"/>
  <c r="AR235" i="8"/>
  <c r="AR237" i="8"/>
  <c r="AR239" i="8"/>
  <c r="AR241" i="8"/>
  <c r="AR243" i="8"/>
  <c r="AR245" i="8"/>
  <c r="AR247" i="8"/>
  <c r="AR249" i="8"/>
  <c r="AR251" i="8"/>
  <c r="AR253" i="8"/>
  <c r="AR255" i="8"/>
  <c r="AR257" i="8"/>
  <c r="AR259" i="8"/>
  <c r="AR261" i="8"/>
  <c r="AR263" i="8"/>
  <c r="AR265" i="8"/>
  <c r="AR267" i="8"/>
  <c r="AR269" i="8"/>
  <c r="AR271" i="8"/>
  <c r="AR273" i="8"/>
  <c r="AR275" i="8"/>
  <c r="AR277" i="8"/>
  <c r="AR279" i="8"/>
  <c r="AR281" i="8"/>
  <c r="AR283" i="8"/>
  <c r="AR285" i="8"/>
  <c r="AR287" i="8"/>
  <c r="AR289" i="8"/>
  <c r="AR291" i="8"/>
  <c r="AR293" i="8"/>
  <c r="AR295" i="8"/>
  <c r="AR297" i="8"/>
  <c r="AR299" i="8"/>
  <c r="AR2" i="9"/>
  <c r="AR7" i="9"/>
  <c r="AT10" i="9"/>
  <c r="AR12" i="9"/>
  <c r="AT15" i="9"/>
  <c r="AR17" i="9"/>
  <c r="AT20" i="9"/>
  <c r="AR22" i="9"/>
  <c r="AT25" i="9"/>
  <c r="AR27" i="9"/>
  <c r="AT30" i="9"/>
  <c r="AR32" i="9"/>
  <c r="AT35" i="9"/>
  <c r="AR37" i="9"/>
  <c r="AT40" i="9"/>
  <c r="AT132" i="9"/>
  <c r="AI132" i="9"/>
  <c r="AS141" i="9"/>
  <c r="AR141" i="9"/>
  <c r="AS170" i="9"/>
  <c r="AR170" i="9"/>
  <c r="AT204" i="9"/>
  <c r="AI204" i="9"/>
  <c r="AR225" i="9"/>
  <c r="AS225" i="9"/>
  <c r="AT42" i="9"/>
  <c r="AT44" i="9"/>
  <c r="AT46" i="9"/>
  <c r="AT48" i="9"/>
  <c r="AT50" i="9"/>
  <c r="AT52" i="9"/>
  <c r="AT54" i="9"/>
  <c r="AT56" i="9"/>
  <c r="AT60" i="9"/>
  <c r="AI90" i="9"/>
  <c r="AI93" i="9"/>
  <c r="AS128" i="9"/>
  <c r="AR128" i="9"/>
  <c r="AS171" i="9"/>
  <c r="AS172" i="9"/>
  <c r="AR172" i="9"/>
  <c r="AS180" i="9"/>
  <c r="AR180" i="9"/>
  <c r="AS203" i="9"/>
  <c r="AR203" i="9"/>
  <c r="AS205" i="9"/>
  <c r="AS206" i="9"/>
  <c r="AR206" i="9"/>
  <c r="AS212" i="9"/>
  <c r="AR212" i="9"/>
  <c r="AS60" i="9"/>
  <c r="AT66" i="9"/>
  <c r="AT72" i="9"/>
  <c r="AT85" i="9"/>
  <c r="AT155" i="9"/>
  <c r="AI155" i="9"/>
  <c r="AS182" i="9"/>
  <c r="AR182" i="9"/>
  <c r="AR189" i="9"/>
  <c r="AS190" i="9"/>
  <c r="AR190" i="9"/>
  <c r="AR219" i="9"/>
  <c r="AS220" i="9"/>
  <c r="AR220" i="9"/>
  <c r="AR250" i="9"/>
  <c r="AS250" i="9"/>
  <c r="AS66" i="9"/>
  <c r="AR77" i="9"/>
  <c r="AT83" i="9"/>
  <c r="AT91" i="9"/>
  <c r="AI91" i="9"/>
  <c r="AT99" i="9"/>
  <c r="AI121" i="9"/>
  <c r="AI125" i="9"/>
  <c r="AS127" i="9"/>
  <c r="AS150" i="9"/>
  <c r="AR150" i="9"/>
  <c r="AS192" i="9"/>
  <c r="AR192" i="9"/>
  <c r="AN269" i="9"/>
  <c r="AS269" i="9" s="1"/>
  <c r="AT269" i="9"/>
  <c r="AT277" i="9"/>
  <c r="AI277" i="9"/>
  <c r="AT43" i="10"/>
  <c r="AI43" i="10"/>
  <c r="BL5" i="9"/>
  <c r="BL10" i="9"/>
  <c r="BL15" i="9"/>
  <c r="BL20" i="9"/>
  <c r="BL25" i="9"/>
  <c r="BL30" i="9"/>
  <c r="BL35" i="9"/>
  <c r="BL40" i="9"/>
  <c r="AT58" i="9"/>
  <c r="AT75" i="9"/>
  <c r="AI83" i="9"/>
  <c r="AI99" i="9"/>
  <c r="AR104" i="9"/>
  <c r="AT105" i="9"/>
  <c r="AT111" i="9"/>
  <c r="AI111" i="9"/>
  <c r="AS116" i="9"/>
  <c r="AI134" i="9"/>
  <c r="AR162" i="9"/>
  <c r="AT163" i="9"/>
  <c r="AI163" i="9"/>
  <c r="AI164" i="9"/>
  <c r="AT164" i="9"/>
  <c r="AT174" i="9"/>
  <c r="AI174" i="9"/>
  <c r="AR199" i="9"/>
  <c r="AS200" i="9"/>
  <c r="AR200" i="9"/>
  <c r="AT214" i="9"/>
  <c r="AI214" i="9"/>
  <c r="AN259" i="9"/>
  <c r="AT259" i="9"/>
  <c r="AT260" i="9"/>
  <c r="AN260" i="9"/>
  <c r="AR260" i="9" s="1"/>
  <c r="AS262" i="9"/>
  <c r="AR262" i="9"/>
  <c r="AT263" i="9"/>
  <c r="AI263" i="9"/>
  <c r="AS264" i="9"/>
  <c r="AS265" i="9"/>
  <c r="AR265" i="9"/>
  <c r="AT289" i="9"/>
  <c r="AI289" i="9"/>
  <c r="BM22" i="10"/>
  <c r="BL22" i="10"/>
  <c r="AI58" i="9"/>
  <c r="AT64" i="9"/>
  <c r="AI75" i="9"/>
  <c r="AT81" i="9"/>
  <c r="AI105" i="9"/>
  <c r="AT128" i="9"/>
  <c r="AR133" i="9"/>
  <c r="AR156" i="9"/>
  <c r="AT159" i="9"/>
  <c r="AI159" i="9"/>
  <c r="AR160" i="9"/>
  <c r="AS166" i="9"/>
  <c r="AR167" i="9"/>
  <c r="AT172" i="9"/>
  <c r="AS173" i="9"/>
  <c r="AR173" i="9"/>
  <c r="AS175" i="9"/>
  <c r="AS176" i="9"/>
  <c r="AR176" i="9"/>
  <c r="AT184" i="9"/>
  <c r="AI184" i="9"/>
  <c r="AS207" i="9"/>
  <c r="AT212" i="9"/>
  <c r="AS213" i="9"/>
  <c r="AR213" i="9"/>
  <c r="AS215" i="9"/>
  <c r="AS216" i="9"/>
  <c r="AR216" i="9"/>
  <c r="AS253" i="9"/>
  <c r="AR253" i="9"/>
  <c r="AS254" i="9"/>
  <c r="AS255" i="9"/>
  <c r="AR255" i="9"/>
  <c r="AS64" i="9"/>
  <c r="AT70" i="9"/>
  <c r="AT73" i="9"/>
  <c r="AS81" i="9"/>
  <c r="AT92" i="9"/>
  <c r="AT97" i="9"/>
  <c r="AT104" i="9"/>
  <c r="AS108" i="9"/>
  <c r="AR108" i="9"/>
  <c r="AR110" i="9"/>
  <c r="AT135" i="9"/>
  <c r="AI135" i="9"/>
  <c r="AS137" i="9"/>
  <c r="AT143" i="9"/>
  <c r="AI143" i="9"/>
  <c r="AI144" i="9"/>
  <c r="AT144" i="9"/>
  <c r="AT152" i="9"/>
  <c r="AI152" i="9"/>
  <c r="AR177" i="9"/>
  <c r="AT182" i="9"/>
  <c r="AS183" i="9"/>
  <c r="AR183" i="9"/>
  <c r="AS185" i="9"/>
  <c r="AS186" i="9"/>
  <c r="AR186" i="9"/>
  <c r="AT194" i="9"/>
  <c r="AI194" i="9"/>
  <c r="AR217" i="9"/>
  <c r="AS222" i="9"/>
  <c r="AR222" i="9"/>
  <c r="AS230" i="9"/>
  <c r="AR230" i="9"/>
  <c r="AS238" i="9"/>
  <c r="AR238" i="9"/>
  <c r="AR221" i="9"/>
  <c r="AI236" i="9"/>
  <c r="AT236" i="9"/>
  <c r="AT254" i="9"/>
  <c r="AN254" i="9"/>
  <c r="AT264" i="9"/>
  <c r="AN264" i="9"/>
  <c r="AT2" i="10"/>
  <c r="AI2" i="10"/>
  <c r="AT19" i="10"/>
  <c r="AI19" i="10"/>
  <c r="AS20" i="10"/>
  <c r="AR20" i="10"/>
  <c r="AS226" i="9"/>
  <c r="AR226" i="9"/>
  <c r="AT273" i="9"/>
  <c r="AI273" i="9"/>
  <c r="AS274" i="9"/>
  <c r="AS101" i="10"/>
  <c r="AR101" i="10"/>
  <c r="AT120" i="9"/>
  <c r="AT140" i="9"/>
  <c r="AT160" i="9"/>
  <c r="AI168" i="9"/>
  <c r="AI178" i="9"/>
  <c r="AI188" i="9"/>
  <c r="AS198" i="9"/>
  <c r="AR198" i="9"/>
  <c r="AS208" i="9"/>
  <c r="AR208" i="9"/>
  <c r="AS218" i="9"/>
  <c r="AR218" i="9"/>
  <c r="AR227" i="9"/>
  <c r="AT232" i="9"/>
  <c r="AI232" i="9"/>
  <c r="AT237" i="9"/>
  <c r="AI237" i="9"/>
  <c r="AT245" i="9"/>
  <c r="AI245" i="9"/>
  <c r="AT285" i="9"/>
  <c r="AI285" i="9"/>
  <c r="AS286" i="9"/>
  <c r="AS39" i="10"/>
  <c r="AR39" i="10"/>
  <c r="AT113" i="9"/>
  <c r="AT133" i="9"/>
  <c r="AT153" i="9"/>
  <c r="AR171" i="9"/>
  <c r="AR181" i="9"/>
  <c r="AR191" i="9"/>
  <c r="AR201" i="9"/>
  <c r="AR211" i="9"/>
  <c r="AS221" i="9"/>
  <c r="AR223" i="9"/>
  <c r="AS251" i="9"/>
  <c r="AR251" i="9"/>
  <c r="AS31" i="10"/>
  <c r="AR31" i="10"/>
  <c r="AI63" i="10"/>
  <c r="AT63" i="10"/>
  <c r="AT131" i="9"/>
  <c r="AT151" i="9"/>
  <c r="AS228" i="9"/>
  <c r="AR228" i="9"/>
  <c r="AR233" i="9"/>
  <c r="AI234" i="9"/>
  <c r="AT239" i="9"/>
  <c r="AT281" i="9"/>
  <c r="AI281" i="9"/>
  <c r="AS32" i="10"/>
  <c r="AR32" i="10"/>
  <c r="AI57" i="10"/>
  <c r="AT57" i="10"/>
  <c r="AI70" i="10"/>
  <c r="AT70" i="10"/>
  <c r="AT89" i="9"/>
  <c r="AT109" i="9"/>
  <c r="AT129" i="9"/>
  <c r="AI131" i="9"/>
  <c r="AT149" i="9"/>
  <c r="AI151" i="9"/>
  <c r="AR175" i="9"/>
  <c r="AR185" i="9"/>
  <c r="AR195" i="9"/>
  <c r="AR205" i="9"/>
  <c r="AR215" i="9"/>
  <c r="AS227" i="9"/>
  <c r="AR229" i="9"/>
  <c r="AI239" i="9"/>
  <c r="AS240" i="9"/>
  <c r="AR240" i="9"/>
  <c r="AS247" i="9"/>
  <c r="AR247" i="9"/>
  <c r="AT293" i="9"/>
  <c r="AI293" i="9"/>
  <c r="AS129" i="10"/>
  <c r="AR129" i="10"/>
  <c r="AT87" i="9"/>
  <c r="AI89" i="9"/>
  <c r="AT107" i="9"/>
  <c r="AI109" i="9"/>
  <c r="AT127" i="9"/>
  <c r="AT147" i="9"/>
  <c r="AI149" i="9"/>
  <c r="AT167" i="9"/>
  <c r="AS224" i="9"/>
  <c r="AR224" i="9"/>
  <c r="AS241" i="9"/>
  <c r="AI248" i="9"/>
  <c r="AT248" i="9"/>
  <c r="AT253" i="9"/>
  <c r="AS259" i="9"/>
  <c r="AR259" i="9"/>
  <c r="AS260" i="9"/>
  <c r="AS261" i="9"/>
  <c r="AR261" i="9"/>
  <c r="AR270" i="9"/>
  <c r="AS271" i="9"/>
  <c r="AR271" i="9"/>
  <c r="AT24" i="10"/>
  <c r="AI24" i="10"/>
  <c r="AS25" i="10"/>
  <c r="AR25" i="10"/>
  <c r="AI71" i="10"/>
  <c r="AT71" i="10"/>
  <c r="AT102" i="10"/>
  <c r="AI102" i="10"/>
  <c r="AN270" i="9"/>
  <c r="AS270" i="9" s="1"/>
  <c r="BM4" i="10"/>
  <c r="BL4" i="10"/>
  <c r="AI7" i="10"/>
  <c r="AS29" i="10"/>
  <c r="AS33" i="10"/>
  <c r="AR33" i="10"/>
  <c r="AI48" i="10"/>
  <c r="AS89" i="10"/>
  <c r="AR89" i="10"/>
  <c r="AI158" i="10"/>
  <c r="AT283" i="10"/>
  <c r="AI283" i="10"/>
  <c r="AT8" i="10"/>
  <c r="BM9" i="10"/>
  <c r="BL9" i="10"/>
  <c r="AI12" i="10"/>
  <c r="AI37" i="10"/>
  <c r="AS82" i="10"/>
  <c r="AR82" i="10"/>
  <c r="AS96" i="10"/>
  <c r="AR96" i="10"/>
  <c r="AS97" i="10"/>
  <c r="AR97" i="10"/>
  <c r="AI125" i="10"/>
  <c r="AT149" i="10"/>
  <c r="AI149" i="10"/>
  <c r="AT169" i="9"/>
  <c r="AT171" i="9"/>
  <c r="AT173" i="9"/>
  <c r="AT175" i="9"/>
  <c r="AT177" i="9"/>
  <c r="AT179" i="9"/>
  <c r="AT181" i="9"/>
  <c r="AT183" i="9"/>
  <c r="AT185" i="9"/>
  <c r="AT187" i="9"/>
  <c r="AT189" i="9"/>
  <c r="AT191" i="9"/>
  <c r="AT193" i="9"/>
  <c r="AT195" i="9"/>
  <c r="AT197" i="9"/>
  <c r="AT199" i="9"/>
  <c r="AT201" i="9"/>
  <c r="AT203" i="9"/>
  <c r="AT205" i="9"/>
  <c r="AT207" i="9"/>
  <c r="AT209" i="9"/>
  <c r="AT211" i="9"/>
  <c r="AT213" i="9"/>
  <c r="AT215" i="9"/>
  <c r="AT217" i="9"/>
  <c r="AT219" i="9"/>
  <c r="AT221" i="9"/>
  <c r="AT223" i="9"/>
  <c r="AT225" i="9"/>
  <c r="AT227" i="9"/>
  <c r="AT229" i="9"/>
  <c r="AT250" i="9"/>
  <c r="AT13" i="10"/>
  <c r="BM14" i="10"/>
  <c r="BL14" i="10"/>
  <c r="AI17" i="10"/>
  <c r="AT22" i="10"/>
  <c r="AN29" i="10"/>
  <c r="AR29" i="10" s="1"/>
  <c r="AI54" i="10"/>
  <c r="AT60" i="10"/>
  <c r="AI60" i="10"/>
  <c r="AI66" i="10"/>
  <c r="AT66" i="10"/>
  <c r="AS83" i="10"/>
  <c r="AR83" i="10"/>
  <c r="AS90" i="10"/>
  <c r="AR90" i="10"/>
  <c r="AR274" i="9"/>
  <c r="AT275" i="9"/>
  <c r="AR278" i="9"/>
  <c r="AT279" i="9"/>
  <c r="AR282" i="9"/>
  <c r="AT283" i="9"/>
  <c r="AR286" i="9"/>
  <c r="AT287" i="9"/>
  <c r="AR290" i="9"/>
  <c r="AT291" i="9"/>
  <c r="AR294" i="9"/>
  <c r="AT295" i="9"/>
  <c r="AR298" i="9"/>
  <c r="AT299" i="9"/>
  <c r="AT18" i="10"/>
  <c r="BM19" i="10"/>
  <c r="BL19" i="10"/>
  <c r="AI22" i="10"/>
  <c r="AI67" i="10"/>
  <c r="AT67" i="10"/>
  <c r="AS115" i="10"/>
  <c r="AR115" i="10"/>
  <c r="AS121" i="10"/>
  <c r="AR121" i="10"/>
  <c r="AS207" i="10"/>
  <c r="AR207" i="10"/>
  <c r="AR254" i="9"/>
  <c r="AR264" i="9"/>
  <c r="AS275" i="9"/>
  <c r="AR275" i="9"/>
  <c r="AS279" i="9"/>
  <c r="AR279" i="9"/>
  <c r="AS283" i="9"/>
  <c r="AR283" i="9"/>
  <c r="AS287" i="9"/>
  <c r="AR287" i="9"/>
  <c r="AS291" i="9"/>
  <c r="AR291" i="9"/>
  <c r="AS295" i="9"/>
  <c r="AR295" i="9"/>
  <c r="AS299" i="9"/>
  <c r="AR299" i="9"/>
  <c r="AT4" i="10"/>
  <c r="AI4" i="10"/>
  <c r="AS5" i="10"/>
  <c r="AR5" i="10"/>
  <c r="AT23" i="10"/>
  <c r="BM24" i="10"/>
  <c r="BL24" i="10"/>
  <c r="AS27" i="10"/>
  <c r="AR27" i="10"/>
  <c r="AT41" i="10"/>
  <c r="AI41" i="10"/>
  <c r="AS45" i="10"/>
  <c r="AR45" i="10"/>
  <c r="AT208" i="10"/>
  <c r="AI208" i="10"/>
  <c r="BL2" i="10"/>
  <c r="AT9" i="10"/>
  <c r="AI9" i="10"/>
  <c r="AS10" i="10"/>
  <c r="AR10" i="10"/>
  <c r="BL39" i="10"/>
  <c r="AS76" i="10"/>
  <c r="AR76" i="10"/>
  <c r="AS77" i="10"/>
  <c r="AR77" i="10"/>
  <c r="AI137" i="10"/>
  <c r="AT261" i="9"/>
  <c r="AT271" i="9"/>
  <c r="AT14" i="10"/>
  <c r="AI14" i="10"/>
  <c r="AS15" i="10"/>
  <c r="AR15" i="10"/>
  <c r="AT35" i="10"/>
  <c r="AN35" i="10"/>
  <c r="AR35" i="10" s="1"/>
  <c r="AS42" i="10"/>
  <c r="AI51" i="10"/>
  <c r="AT51" i="10"/>
  <c r="AS62" i="10"/>
  <c r="AR62" i="10"/>
  <c r="AS111" i="10"/>
  <c r="AR111" i="10"/>
  <c r="AI185" i="10"/>
  <c r="AT185" i="10"/>
  <c r="AT46" i="10"/>
  <c r="AT53" i="10"/>
  <c r="AS84" i="10"/>
  <c r="AR84" i="10"/>
  <c r="AS91" i="10"/>
  <c r="AR91" i="10"/>
  <c r="AT122" i="10"/>
  <c r="AI122" i="10"/>
  <c r="AS142" i="10"/>
  <c r="AR142" i="10"/>
  <c r="AR180" i="10"/>
  <c r="AS180" i="10"/>
  <c r="AS202" i="10"/>
  <c r="AS46" i="10"/>
  <c r="AT52" i="10"/>
  <c r="AT59" i="10"/>
  <c r="AS72" i="10"/>
  <c r="AS78" i="10"/>
  <c r="AR78" i="10"/>
  <c r="AS85" i="10"/>
  <c r="AR85" i="10"/>
  <c r="AT156" i="10"/>
  <c r="AI156" i="10"/>
  <c r="AS198" i="10"/>
  <c r="AR198" i="10"/>
  <c r="AT5" i="10"/>
  <c r="AT10" i="10"/>
  <c r="AT15" i="10"/>
  <c r="AT20" i="10"/>
  <c r="AT25" i="10"/>
  <c r="BL32" i="10"/>
  <c r="AI52" i="10"/>
  <c r="AT58" i="10"/>
  <c r="AI64" i="10"/>
  <c r="AT64" i="10"/>
  <c r="AI68" i="10"/>
  <c r="AT68" i="10"/>
  <c r="AS79" i="10"/>
  <c r="AR79" i="10"/>
  <c r="AS92" i="10"/>
  <c r="AR92" i="10"/>
  <c r="AT99" i="10"/>
  <c r="AI99" i="10"/>
  <c r="AT108" i="10"/>
  <c r="AI108" i="10"/>
  <c r="AI165" i="10"/>
  <c r="AT165" i="10"/>
  <c r="AR192" i="10"/>
  <c r="AT44" i="10"/>
  <c r="AI58" i="10"/>
  <c r="AS73" i="10"/>
  <c r="AR73" i="10"/>
  <c r="AS86" i="10"/>
  <c r="AR86" i="10"/>
  <c r="AS93" i="10"/>
  <c r="AR93" i="10"/>
  <c r="AT100" i="10"/>
  <c r="AI100" i="10"/>
  <c r="AT118" i="10"/>
  <c r="AI118" i="10"/>
  <c r="AT130" i="10"/>
  <c r="AS139" i="10"/>
  <c r="AR139" i="10"/>
  <c r="AR164" i="10"/>
  <c r="AT166" i="10"/>
  <c r="AI166" i="10"/>
  <c r="AI216" i="10"/>
  <c r="AT216" i="10"/>
  <c r="AT42" i="10"/>
  <c r="AS44" i="10"/>
  <c r="AT50" i="10"/>
  <c r="AS80" i="10"/>
  <c r="AR80" i="10"/>
  <c r="AS87" i="10"/>
  <c r="AR87" i="10"/>
  <c r="AT110" i="10"/>
  <c r="AI110" i="10"/>
  <c r="AS130" i="10"/>
  <c r="AR130" i="10"/>
  <c r="AS151" i="10"/>
  <c r="AR151" i="10"/>
  <c r="AI177" i="10"/>
  <c r="AR210" i="10"/>
  <c r="AS210" i="10"/>
  <c r="AT269" i="10"/>
  <c r="AI269" i="10"/>
  <c r="AS50" i="10"/>
  <c r="AT56" i="10"/>
  <c r="AS74" i="10"/>
  <c r="AR74" i="10"/>
  <c r="AS81" i="10"/>
  <c r="AR81" i="10"/>
  <c r="AS94" i="10"/>
  <c r="AR94" i="10"/>
  <c r="AT120" i="10"/>
  <c r="AI120" i="10"/>
  <c r="AT146" i="10"/>
  <c r="AI146" i="10"/>
  <c r="AR189" i="10"/>
  <c r="AS189" i="10"/>
  <c r="AT49" i="10"/>
  <c r="AI56" i="10"/>
  <c r="AT62" i="10"/>
  <c r="AS75" i="10"/>
  <c r="AR75" i="10"/>
  <c r="AS88" i="10"/>
  <c r="AR88" i="10"/>
  <c r="AS95" i="10"/>
  <c r="AR95" i="10"/>
  <c r="AI105" i="10"/>
  <c r="AR113" i="10"/>
  <c r="AI128" i="10"/>
  <c r="AR172" i="10"/>
  <c r="AS184" i="10"/>
  <c r="AS143" i="10"/>
  <c r="AR143" i="10"/>
  <c r="AR152" i="10"/>
  <c r="AT186" i="10"/>
  <c r="AI186" i="10"/>
  <c r="AS203" i="10"/>
  <c r="AR203" i="10"/>
  <c r="AS225" i="10"/>
  <c r="AR225" i="10"/>
  <c r="AI230" i="10"/>
  <c r="AT230" i="10"/>
  <c r="AT106" i="10"/>
  <c r="AI106" i="10"/>
  <c r="AI109" i="10"/>
  <c r="AT116" i="10"/>
  <c r="AI116" i="10"/>
  <c r="AI119" i="10"/>
  <c r="AT126" i="10"/>
  <c r="AI126" i="10"/>
  <c r="AR131" i="10"/>
  <c r="AT134" i="10"/>
  <c r="AI134" i="10"/>
  <c r="AT140" i="10"/>
  <c r="AS173" i="10"/>
  <c r="AR181" i="10"/>
  <c r="AR193" i="10"/>
  <c r="AI219" i="10"/>
  <c r="AT219" i="10"/>
  <c r="AS291" i="10"/>
  <c r="AR291" i="10"/>
  <c r="AT72" i="10"/>
  <c r="AT74" i="10"/>
  <c r="AT76" i="10"/>
  <c r="AT78" i="10"/>
  <c r="AT80" i="10"/>
  <c r="AT82" i="10"/>
  <c r="AT84" i="10"/>
  <c r="AT86" i="10"/>
  <c r="AT88" i="10"/>
  <c r="AT90" i="10"/>
  <c r="AT92" i="10"/>
  <c r="AT94" i="10"/>
  <c r="AT96" i="10"/>
  <c r="AT135" i="10"/>
  <c r="AI135" i="10"/>
  <c r="AI140" i="10"/>
  <c r="AI147" i="10"/>
  <c r="AI167" i="10"/>
  <c r="AI178" i="10"/>
  <c r="AR212" i="10"/>
  <c r="AS277" i="10"/>
  <c r="AR277" i="10"/>
  <c r="AT175" i="10"/>
  <c r="AI175" i="10"/>
  <c r="AT196" i="10"/>
  <c r="AI196" i="10"/>
  <c r="AI205" i="10"/>
  <c r="AT205" i="10"/>
  <c r="AI278" i="10"/>
  <c r="AT278" i="10"/>
  <c r="AM2" i="13"/>
  <c r="AI2" i="13"/>
  <c r="AK2" i="13" s="1"/>
  <c r="AT107" i="10"/>
  <c r="AT117" i="10"/>
  <c r="AT127" i="10"/>
  <c r="AI138" i="10"/>
  <c r="AT143" i="10"/>
  <c r="AI163" i="10"/>
  <c r="AT163" i="10"/>
  <c r="AS169" i="10"/>
  <c r="AR170" i="10"/>
  <c r="AS182" i="10"/>
  <c r="AT197" i="10"/>
  <c r="AI197" i="10"/>
  <c r="AS199" i="10"/>
  <c r="AR200" i="10"/>
  <c r="AR204" i="10"/>
  <c r="AT98" i="10"/>
  <c r="AT104" i="10"/>
  <c r="AI104" i="10"/>
  <c r="AS107" i="10"/>
  <c r="AT114" i="10"/>
  <c r="AI114" i="10"/>
  <c r="AS117" i="10"/>
  <c r="AT124" i="10"/>
  <c r="AI124" i="10"/>
  <c r="AR132" i="10"/>
  <c r="AT136" i="10"/>
  <c r="AR141" i="10"/>
  <c r="AT145" i="10"/>
  <c r="AT148" i="10"/>
  <c r="AT154" i="10"/>
  <c r="AI154" i="10"/>
  <c r="AT160" i="10"/>
  <c r="AT176" i="10"/>
  <c r="AI176" i="10"/>
  <c r="AS183" i="10"/>
  <c r="AR183" i="10"/>
  <c r="AT188" i="10"/>
  <c r="AI188" i="10"/>
  <c r="AS191" i="10"/>
  <c r="AT215" i="10"/>
  <c r="AS227" i="10"/>
  <c r="AR227" i="10"/>
  <c r="AS287" i="10"/>
  <c r="AR287" i="10"/>
  <c r="AI98" i="10"/>
  <c r="AT101" i="10"/>
  <c r="AT111" i="10"/>
  <c r="AT121" i="10"/>
  <c r="AI136" i="10"/>
  <c r="AI145" i="10"/>
  <c r="AI148" i="10"/>
  <c r="AT155" i="10"/>
  <c r="AI155" i="10"/>
  <c r="AI160" i="10"/>
  <c r="AS164" i="10"/>
  <c r="AI168" i="10"/>
  <c r="AS171" i="10"/>
  <c r="AS190" i="10"/>
  <c r="AI220" i="10"/>
  <c r="AT220" i="10"/>
  <c r="AI280" i="10"/>
  <c r="AT280" i="10"/>
  <c r="AK6" i="13"/>
  <c r="AL6" i="13"/>
  <c r="AT206" i="10"/>
  <c r="AI226" i="10"/>
  <c r="AT226" i="10"/>
  <c r="AI272" i="10"/>
  <c r="AT272" i="10"/>
  <c r="AI276" i="10"/>
  <c r="AT276" i="10"/>
  <c r="AT281" i="10"/>
  <c r="AI281" i="10"/>
  <c r="AL75" i="13"/>
  <c r="AK78" i="13"/>
  <c r="AL78" i="13"/>
  <c r="AL155" i="13"/>
  <c r="AL199" i="13"/>
  <c r="AT144" i="10"/>
  <c r="AT164" i="10"/>
  <c r="AT184" i="10"/>
  <c r="AI195" i="10"/>
  <c r="AT204" i="10"/>
  <c r="AI206" i="10"/>
  <c r="AI215" i="10"/>
  <c r="AI229" i="10"/>
  <c r="AI232" i="10"/>
  <c r="AT232" i="10"/>
  <c r="AI236" i="10"/>
  <c r="AT236" i="10"/>
  <c r="AI240" i="10"/>
  <c r="AT240" i="10"/>
  <c r="AI244" i="10"/>
  <c r="AT244" i="10"/>
  <c r="AI248" i="10"/>
  <c r="AT248" i="10"/>
  <c r="AI252" i="10"/>
  <c r="AT252" i="10"/>
  <c r="AI256" i="10"/>
  <c r="AT256" i="10"/>
  <c r="AI260" i="10"/>
  <c r="AT260" i="10"/>
  <c r="AI264" i="10"/>
  <c r="AT264" i="10"/>
  <c r="AI268" i="10"/>
  <c r="AT268" i="10"/>
  <c r="AT279" i="10"/>
  <c r="AI289" i="10"/>
  <c r="AL3" i="13"/>
  <c r="AK3" i="13"/>
  <c r="AL19" i="13"/>
  <c r="AK34" i="13"/>
  <c r="AL34" i="13"/>
  <c r="AT142" i="10"/>
  <c r="AT162" i="10"/>
  <c r="AT182" i="10"/>
  <c r="AT202" i="10"/>
  <c r="AI218" i="10"/>
  <c r="AT218" i="10"/>
  <c r="AT225" i="10"/>
  <c r="AS273" i="10"/>
  <c r="AT295" i="10"/>
  <c r="AL33" i="13"/>
  <c r="AK33" i="13"/>
  <c r="AK40" i="13"/>
  <c r="AL40" i="13"/>
  <c r="AL55" i="13"/>
  <c r="AL149" i="13"/>
  <c r="AT180" i="10"/>
  <c r="AT183" i="10"/>
  <c r="AT200" i="10"/>
  <c r="AT203" i="10"/>
  <c r="AR217" i="10"/>
  <c r="AS221" i="10"/>
  <c r="AI224" i="10"/>
  <c r="AT224" i="10"/>
  <c r="AS233" i="10"/>
  <c r="AS237" i="10"/>
  <c r="AS241" i="10"/>
  <c r="AS245" i="10"/>
  <c r="AS249" i="10"/>
  <c r="AS253" i="10"/>
  <c r="AS257" i="10"/>
  <c r="AS261" i="10"/>
  <c r="AS265" i="10"/>
  <c r="AI286" i="10"/>
  <c r="AT286" i="10"/>
  <c r="AS295" i="10"/>
  <c r="AR295" i="10"/>
  <c r="AL25" i="13"/>
  <c r="AM18" i="13"/>
  <c r="AI18" i="13"/>
  <c r="AT174" i="10"/>
  <c r="AT194" i="10"/>
  <c r="AT214" i="10"/>
  <c r="AI222" i="10"/>
  <c r="AT222" i="10"/>
  <c r="AI234" i="10"/>
  <c r="AT234" i="10"/>
  <c r="AI238" i="10"/>
  <c r="AT238" i="10"/>
  <c r="AI242" i="10"/>
  <c r="AT242" i="10"/>
  <c r="AI246" i="10"/>
  <c r="AT246" i="10"/>
  <c r="AI250" i="10"/>
  <c r="AT250" i="10"/>
  <c r="AI254" i="10"/>
  <c r="AT254" i="10"/>
  <c r="AI258" i="10"/>
  <c r="AT258" i="10"/>
  <c r="AI262" i="10"/>
  <c r="AT262" i="10"/>
  <c r="AI266" i="10"/>
  <c r="AT266" i="10"/>
  <c r="AT132" i="10"/>
  <c r="AT152" i="10"/>
  <c r="AR162" i="10"/>
  <c r="AR171" i="10"/>
  <c r="AT172" i="10"/>
  <c r="AI174" i="10"/>
  <c r="AR182" i="10"/>
  <c r="AR191" i="10"/>
  <c r="AT192" i="10"/>
  <c r="AI194" i="10"/>
  <c r="AR202" i="10"/>
  <c r="AR211" i="10"/>
  <c r="AT212" i="10"/>
  <c r="AI214" i="10"/>
  <c r="AR221" i="10"/>
  <c r="AI228" i="10"/>
  <c r="AT228" i="10"/>
  <c r="AR233" i="10"/>
  <c r="AR237" i="10"/>
  <c r="AR241" i="10"/>
  <c r="AR245" i="10"/>
  <c r="AR249" i="10"/>
  <c r="AR253" i="10"/>
  <c r="AR257" i="10"/>
  <c r="AR261" i="10"/>
  <c r="AR265" i="10"/>
  <c r="AI288" i="10"/>
  <c r="AT288" i="10"/>
  <c r="AM8" i="13"/>
  <c r="AI8" i="13"/>
  <c r="AL8" i="13" s="1"/>
  <c r="AT150" i="10"/>
  <c r="AT170" i="10"/>
  <c r="AT190" i="10"/>
  <c r="AT210" i="10"/>
  <c r="AS231" i="10"/>
  <c r="AT233" i="10"/>
  <c r="AS235" i="10"/>
  <c r="AT237" i="10"/>
  <c r="AS239" i="10"/>
  <c r="AT241" i="10"/>
  <c r="AS243" i="10"/>
  <c r="AT245" i="10"/>
  <c r="AS247" i="10"/>
  <c r="AT249" i="10"/>
  <c r="AS251" i="10"/>
  <c r="AT253" i="10"/>
  <c r="AS255" i="10"/>
  <c r="AT257" i="10"/>
  <c r="AS259" i="10"/>
  <c r="AT261" i="10"/>
  <c r="AS263" i="10"/>
  <c r="AT265" i="10"/>
  <c r="AS267" i="10"/>
  <c r="AI271" i="10"/>
  <c r="AT271" i="10"/>
  <c r="AS275" i="10"/>
  <c r="AR275" i="10"/>
  <c r="AI292" i="10"/>
  <c r="AT292" i="10"/>
  <c r="AT293" i="10"/>
  <c r="AI293" i="10"/>
  <c r="AL94" i="13"/>
  <c r="AK140" i="13"/>
  <c r="AL219" i="13"/>
  <c r="AI284" i="10"/>
  <c r="AT284" i="10"/>
  <c r="AL39" i="13"/>
  <c r="AK39" i="13"/>
  <c r="AK84" i="13"/>
  <c r="AL105" i="13"/>
  <c r="AI270" i="10"/>
  <c r="AT270" i="10"/>
  <c r="AI290" i="10"/>
  <c r="AT290" i="10"/>
  <c r="AI300" i="10"/>
  <c r="AT300" i="10"/>
  <c r="AL2" i="13"/>
  <c r="AK8" i="13"/>
  <c r="AL24" i="13"/>
  <c r="AK53" i="13"/>
  <c r="AL53" i="13"/>
  <c r="AL169" i="13"/>
  <c r="AM24" i="13"/>
  <c r="AI24" i="13"/>
  <c r="AK103" i="13"/>
  <c r="AL103" i="13"/>
  <c r="AI282" i="10"/>
  <c r="AT282" i="10"/>
  <c r="AI294" i="10"/>
  <c r="AT294" i="10"/>
  <c r="AL4" i="13"/>
  <c r="AL5" i="13"/>
  <c r="AK5" i="13"/>
  <c r="AM30" i="13"/>
  <c r="AI30" i="13"/>
  <c r="AL30" i="13" s="1"/>
  <c r="AK90" i="13"/>
  <c r="AL144" i="13"/>
  <c r="AL44" i="13"/>
  <c r="AL49" i="13"/>
  <c r="AK128" i="13"/>
  <c r="AL128" i="13"/>
  <c r="AI274" i="10"/>
  <c r="AT274" i="10"/>
  <c r="AI298" i="10"/>
  <c r="AT298" i="10"/>
  <c r="AK28" i="13"/>
  <c r="AL28" i="13"/>
  <c r="AL200" i="13"/>
  <c r="AL205" i="13"/>
  <c r="AM5" i="13"/>
  <c r="AI23" i="13"/>
  <c r="AI29" i="13"/>
  <c r="AI35" i="13"/>
  <c r="AL211" i="13"/>
  <c r="AL245" i="13"/>
  <c r="AL280" i="13"/>
  <c r="AK54" i="13"/>
  <c r="AK60" i="13"/>
  <c r="AK67" i="13"/>
  <c r="AK73" i="13"/>
  <c r="AK79" i="13"/>
  <c r="AK85" i="13"/>
  <c r="AK92" i="13"/>
  <c r="AK98" i="13"/>
  <c r="AK104" i="13"/>
  <c r="AK110" i="13"/>
  <c r="AK117" i="13"/>
  <c r="AK123" i="13"/>
  <c r="AK129" i="13"/>
  <c r="AK135" i="13"/>
  <c r="AK142" i="13"/>
  <c r="AK148" i="13"/>
  <c r="AK154" i="13"/>
  <c r="AK160" i="13"/>
  <c r="AK167" i="13"/>
  <c r="AK173" i="13"/>
  <c r="AK179" i="13"/>
  <c r="AK185" i="13"/>
  <c r="AK192" i="13"/>
  <c r="AK198" i="13"/>
  <c r="AK204" i="13"/>
  <c r="AK210" i="13"/>
  <c r="AK217" i="13"/>
  <c r="AL255" i="13"/>
  <c r="AL31" i="13"/>
  <c r="AI36" i="13"/>
  <c r="AK36" i="13" s="1"/>
  <c r="AI43" i="13"/>
  <c r="AI49" i="13"/>
  <c r="AI55" i="13"/>
  <c r="AI61" i="13"/>
  <c r="AL61" i="13" s="1"/>
  <c r="AI68" i="13"/>
  <c r="AI74" i="13"/>
  <c r="AL74" i="13" s="1"/>
  <c r="AI80" i="13"/>
  <c r="AL80" i="13" s="1"/>
  <c r="AL81" i="13"/>
  <c r="AI86" i="13"/>
  <c r="AL86" i="13" s="1"/>
  <c r="AI93" i="13"/>
  <c r="AI99" i="13"/>
  <c r="AL99" i="13" s="1"/>
  <c r="AI105" i="13"/>
  <c r="AI111" i="13"/>
  <c r="AL111" i="13" s="1"/>
  <c r="AI118" i="13"/>
  <c r="AI124" i="13"/>
  <c r="AL124" i="13" s="1"/>
  <c r="AI130" i="13"/>
  <c r="AK130" i="13" s="1"/>
  <c r="AI136" i="13"/>
  <c r="AL136" i="13" s="1"/>
  <c r="AI143" i="13"/>
  <c r="AI149" i="13"/>
  <c r="AI155" i="13"/>
  <c r="AI161" i="13"/>
  <c r="AL161" i="13" s="1"/>
  <c r="AI168" i="13"/>
  <c r="AI174" i="13"/>
  <c r="AK174" i="13" s="1"/>
  <c r="AI180" i="13"/>
  <c r="AK180" i="13" s="1"/>
  <c r="AI186" i="13"/>
  <c r="AK186" i="13" s="1"/>
  <c r="AI193" i="13"/>
  <c r="AI199" i="13"/>
  <c r="AI205" i="13"/>
  <c r="AL206" i="13"/>
  <c r="AI211" i="13"/>
  <c r="AI218" i="13"/>
  <c r="AL230" i="13"/>
  <c r="AL265" i="13"/>
  <c r="AL290" i="13"/>
  <c r="AI13" i="13"/>
  <c r="AL13" i="13" s="1"/>
  <c r="AK24" i="13"/>
  <c r="AK37" i="13"/>
  <c r="AM42" i="13"/>
  <c r="AK49" i="13"/>
  <c r="AK55" i="13"/>
  <c r="AK61" i="13"/>
  <c r="AK62" i="13"/>
  <c r="AM67" i="13"/>
  <c r="AK87" i="13"/>
  <c r="AM92" i="13"/>
  <c r="AK99" i="13"/>
  <c r="AK105" i="13"/>
  <c r="AK111" i="13"/>
  <c r="AK112" i="13"/>
  <c r="AM117" i="13"/>
  <c r="AK137" i="13"/>
  <c r="AM142" i="13"/>
  <c r="AK149" i="13"/>
  <c r="AK155" i="13"/>
  <c r="AK161" i="13"/>
  <c r="AK162" i="13"/>
  <c r="AM167" i="13"/>
  <c r="AK187" i="13"/>
  <c r="AM192" i="13"/>
  <c r="AK199" i="13"/>
  <c r="AK205" i="13"/>
  <c r="AK211" i="13"/>
  <c r="AK212" i="13"/>
  <c r="AM217" i="13"/>
  <c r="AI19" i="13"/>
  <c r="AK19" i="13" s="1"/>
  <c r="AI25" i="13"/>
  <c r="AI31" i="13"/>
  <c r="AI38" i="13"/>
  <c r="AI44" i="13"/>
  <c r="AK44" i="13" s="1"/>
  <c r="AI50" i="13"/>
  <c r="AL50" i="13" s="1"/>
  <c r="AI56" i="13"/>
  <c r="AL56" i="13" s="1"/>
  <c r="AI63" i="13"/>
  <c r="AI69" i="13"/>
  <c r="AL69" i="13" s="1"/>
  <c r="AI75" i="13"/>
  <c r="AI81" i="13"/>
  <c r="AI88" i="13"/>
  <c r="AI94" i="13"/>
  <c r="AK94" i="13" s="1"/>
  <c r="AI100" i="13"/>
  <c r="AL100" i="13" s="1"/>
  <c r="AI106" i="13"/>
  <c r="AL106" i="13" s="1"/>
  <c r="AI113" i="13"/>
  <c r="AI119" i="13"/>
  <c r="AK119" i="13" s="1"/>
  <c r="AI125" i="13"/>
  <c r="AL125" i="13" s="1"/>
  <c r="AI131" i="13"/>
  <c r="AL131" i="13" s="1"/>
  <c r="AI138" i="13"/>
  <c r="AI144" i="13"/>
  <c r="AI150" i="13"/>
  <c r="AL150" i="13" s="1"/>
  <c r="AI156" i="13"/>
  <c r="AL156" i="13" s="1"/>
  <c r="AI163" i="13"/>
  <c r="AI169" i="13"/>
  <c r="AI175" i="13"/>
  <c r="AL175" i="13" s="1"/>
  <c r="AI181" i="13"/>
  <c r="AL181" i="13" s="1"/>
  <c r="AI188" i="13"/>
  <c r="AI194" i="13"/>
  <c r="AK194" i="13" s="1"/>
  <c r="AI200" i="13"/>
  <c r="AK200" i="13" s="1"/>
  <c r="AL201" i="13"/>
  <c r="AI206" i="13"/>
  <c r="AI213" i="13"/>
  <c r="AI219" i="13"/>
  <c r="AL240" i="13"/>
  <c r="AL300" i="13"/>
  <c r="AK25" i="13"/>
  <c r="AK31" i="13"/>
  <c r="AM37" i="13"/>
  <c r="AK57" i="13"/>
  <c r="AM62" i="13"/>
  <c r="AK75" i="13"/>
  <c r="AK81" i="13"/>
  <c r="AK82" i="13"/>
  <c r="AM87" i="13"/>
  <c r="AK107" i="13"/>
  <c r="AM112" i="13"/>
  <c r="AK125" i="13"/>
  <c r="AK132" i="13"/>
  <c r="AM137" i="13"/>
  <c r="AK144" i="13"/>
  <c r="AK150" i="13"/>
  <c r="AK156" i="13"/>
  <c r="AK157" i="13"/>
  <c r="AM162" i="13"/>
  <c r="AK169" i="13"/>
  <c r="AK175" i="13"/>
  <c r="AK182" i="13"/>
  <c r="AM187" i="13"/>
  <c r="AK206" i="13"/>
  <c r="AK207" i="13"/>
  <c r="AM212" i="13"/>
  <c r="AK219" i="13"/>
  <c r="AK228" i="13"/>
  <c r="AK263" i="13"/>
  <c r="AK288" i="13"/>
  <c r="AK9" i="13"/>
  <c r="AK14" i="13"/>
  <c r="AI20" i="13"/>
  <c r="AL21" i="13"/>
  <c r="AI26" i="13"/>
  <c r="AK26" i="13" s="1"/>
  <c r="AL46" i="13"/>
  <c r="AL71" i="13"/>
  <c r="AL96" i="13"/>
  <c r="AL121" i="13"/>
  <c r="AL146" i="13"/>
  <c r="AL171" i="13"/>
  <c r="AL196" i="13"/>
  <c r="AL221" i="13"/>
  <c r="AL250" i="13"/>
  <c r="AK27" i="13"/>
  <c r="AK95" i="13"/>
  <c r="AK108" i="13"/>
  <c r="AK114" i="13"/>
  <c r="AK120" i="13"/>
  <c r="AK126" i="13"/>
  <c r="AK133" i="13"/>
  <c r="AK139" i="13"/>
  <c r="AK145" i="13"/>
  <c r="AK164" i="13"/>
  <c r="AK170" i="13"/>
  <c r="AK176" i="13"/>
  <c r="AK189" i="13"/>
  <c r="AK195" i="13"/>
  <c r="AK214" i="13"/>
  <c r="AK220" i="13"/>
  <c r="AK10" i="13"/>
  <c r="AK15" i="13"/>
  <c r="AL41" i="13"/>
  <c r="AL66" i="13"/>
  <c r="AL91" i="13"/>
  <c r="AL116" i="13"/>
  <c r="AL141" i="13"/>
  <c r="AL166" i="13"/>
  <c r="AL191" i="13"/>
  <c r="AL216" i="13"/>
  <c r="AL223" i="13"/>
  <c r="AL270" i="13"/>
  <c r="AL295" i="13"/>
  <c r="AM52" i="13"/>
  <c r="AK71" i="13"/>
  <c r="AM77" i="13"/>
  <c r="AK96" i="13"/>
  <c r="AM102" i="13"/>
  <c r="AK121" i="13"/>
  <c r="AM127" i="13"/>
  <c r="AK146" i="13"/>
  <c r="AM152" i="13"/>
  <c r="AK171" i="13"/>
  <c r="AM177" i="13"/>
  <c r="AK196" i="13"/>
  <c r="AM202" i="13"/>
  <c r="AK221" i="13"/>
  <c r="AM224" i="13"/>
  <c r="AI224" i="13"/>
  <c r="AL224" i="13" s="1"/>
  <c r="AK248" i="13"/>
  <c r="AK258" i="13"/>
  <c r="AK283" i="13"/>
  <c r="AM228" i="13"/>
  <c r="AK229" i="13"/>
  <c r="AM233" i="13"/>
  <c r="AK234" i="13"/>
  <c r="AM238" i="13"/>
  <c r="AK239" i="13"/>
  <c r="AM243" i="13"/>
  <c r="AK244" i="13"/>
  <c r="AM248" i="13"/>
  <c r="AK249" i="13"/>
  <c r="AM253" i="13"/>
  <c r="AK254" i="13"/>
  <c r="AM258" i="13"/>
  <c r="AK259" i="13"/>
  <c r="AM263" i="13"/>
  <c r="AK264" i="13"/>
  <c r="AM268" i="13"/>
  <c r="AK269" i="13"/>
  <c r="AM273" i="13"/>
  <c r="AK274" i="13"/>
  <c r="AM278" i="13"/>
  <c r="AK279" i="13"/>
  <c r="AM283" i="13"/>
  <c r="AK284" i="13"/>
  <c r="AM288" i="13"/>
  <c r="AK289" i="13"/>
  <c r="AM293" i="13"/>
  <c r="AK294" i="13"/>
  <c r="AM298" i="13"/>
  <c r="AI225" i="13"/>
  <c r="AL225" i="13" s="1"/>
  <c r="AI230" i="13"/>
  <c r="AK230" i="13" s="1"/>
  <c r="AI235" i="13"/>
  <c r="AK235" i="13" s="1"/>
  <c r="AI240" i="13"/>
  <c r="AI245" i="13"/>
  <c r="AI250" i="13"/>
  <c r="AI255" i="13"/>
  <c r="AI260" i="13"/>
  <c r="AL260" i="13" s="1"/>
  <c r="AI265" i="13"/>
  <c r="AK265" i="13" s="1"/>
  <c r="AI270" i="13"/>
  <c r="AK270" i="13" s="1"/>
  <c r="AI275" i="13"/>
  <c r="AK275" i="13" s="1"/>
  <c r="AI280" i="13"/>
  <c r="AK280" i="13" s="1"/>
  <c r="AI285" i="13"/>
  <c r="AL285" i="13" s="1"/>
  <c r="AI290" i="13"/>
  <c r="AI295" i="13"/>
  <c r="AI300" i="13"/>
  <c r="AK240" i="13"/>
  <c r="AK245" i="13"/>
  <c r="AK250" i="13"/>
  <c r="AK255" i="13"/>
  <c r="AK290" i="13"/>
  <c r="AK295" i="13"/>
  <c r="AK300" i="13"/>
  <c r="AK251" i="13"/>
  <c r="AK256" i="13"/>
  <c r="AK69" i="13" l="1"/>
  <c r="AL113" i="13"/>
  <c r="AK113" i="13"/>
  <c r="AS254" i="10"/>
  <c r="AR254" i="10"/>
  <c r="AS256" i="10"/>
  <c r="AR256" i="10"/>
  <c r="AS194" i="9"/>
  <c r="AR194" i="9"/>
  <c r="AS184" i="9"/>
  <c r="AR184" i="9"/>
  <c r="AS111" i="9"/>
  <c r="AR111" i="9"/>
  <c r="AS53" i="9"/>
  <c r="AR53" i="9"/>
  <c r="AS232" i="10"/>
  <c r="AR232" i="10"/>
  <c r="AL174" i="13"/>
  <c r="AS276" i="10"/>
  <c r="AR276" i="10"/>
  <c r="AS145" i="10"/>
  <c r="AR145" i="10"/>
  <c r="AS175" i="10"/>
  <c r="AR175" i="10"/>
  <c r="AS109" i="10"/>
  <c r="AR109" i="10"/>
  <c r="AS100" i="10"/>
  <c r="AR100" i="10"/>
  <c r="AS122" i="10"/>
  <c r="AR122" i="10"/>
  <c r="AK260" i="13"/>
  <c r="AL138" i="13"/>
  <c r="AK138" i="13"/>
  <c r="AK124" i="13"/>
  <c r="AK74" i="13"/>
  <c r="AL193" i="13"/>
  <c r="AK193" i="13"/>
  <c r="AL143" i="13"/>
  <c r="AK143" i="13"/>
  <c r="AL93" i="13"/>
  <c r="AK93" i="13"/>
  <c r="AL43" i="13"/>
  <c r="AK43" i="13"/>
  <c r="AL36" i="13"/>
  <c r="AR294" i="10"/>
  <c r="AS294" i="10"/>
  <c r="AS288" i="10"/>
  <c r="AR288" i="10"/>
  <c r="AS262" i="10"/>
  <c r="AR262" i="10"/>
  <c r="AS242" i="10"/>
  <c r="AR242" i="10"/>
  <c r="AL18" i="13"/>
  <c r="AK18" i="13"/>
  <c r="AS264" i="10"/>
  <c r="AR264" i="10"/>
  <c r="AS244" i="10"/>
  <c r="AR244" i="10"/>
  <c r="AS226" i="10"/>
  <c r="AR226" i="10"/>
  <c r="AS168" i="10"/>
  <c r="AR168" i="10"/>
  <c r="AS163" i="10"/>
  <c r="AR163" i="10"/>
  <c r="AR230" i="10"/>
  <c r="AS230" i="10"/>
  <c r="AS64" i="10"/>
  <c r="AR64" i="10"/>
  <c r="AS125" i="10"/>
  <c r="AR125" i="10"/>
  <c r="AS237" i="9"/>
  <c r="AR237" i="9"/>
  <c r="AS273" i="9"/>
  <c r="AR273" i="9"/>
  <c r="AS135" i="9"/>
  <c r="AR135" i="9"/>
  <c r="AS105" i="9"/>
  <c r="AR105" i="9"/>
  <c r="AS214" i="9"/>
  <c r="AR214" i="9"/>
  <c r="AS43" i="10"/>
  <c r="AR43" i="10"/>
  <c r="AS90" i="9"/>
  <c r="AR90" i="9"/>
  <c r="AS84" i="9"/>
  <c r="AR84" i="9"/>
  <c r="AS145" i="9"/>
  <c r="AR145" i="9"/>
  <c r="AS26" i="9"/>
  <c r="AR26" i="9"/>
  <c r="AS51" i="9"/>
  <c r="AR51" i="9"/>
  <c r="AS140" i="8"/>
  <c r="AR140" i="8"/>
  <c r="AR176" i="8"/>
  <c r="AS176" i="8"/>
  <c r="AS117" i="8"/>
  <c r="AR117" i="8"/>
  <c r="AS5" i="8"/>
  <c r="AR5" i="8"/>
  <c r="AS118" i="7"/>
  <c r="AR118" i="7"/>
  <c r="AS142" i="7"/>
  <c r="AR142" i="7"/>
  <c r="AS77" i="7"/>
  <c r="AR77" i="7"/>
  <c r="AS216" i="6"/>
  <c r="AR216" i="6"/>
  <c r="AS121" i="8"/>
  <c r="AR121" i="8"/>
  <c r="AS188" i="7"/>
  <c r="AR188" i="7"/>
  <c r="AS177" i="6"/>
  <c r="AR177" i="6"/>
  <c r="AS118" i="6"/>
  <c r="AR118" i="6"/>
  <c r="AS174" i="6"/>
  <c r="AR174" i="6"/>
  <c r="AS117" i="6"/>
  <c r="AR117" i="6"/>
  <c r="AS203" i="4"/>
  <c r="AR203" i="4"/>
  <c r="AS204" i="6"/>
  <c r="AR204" i="6"/>
  <c r="AS202" i="4"/>
  <c r="AR202" i="4"/>
  <c r="AR27" i="4"/>
  <c r="AS27" i="4"/>
  <c r="AR187" i="4"/>
  <c r="AS187" i="4"/>
  <c r="AS277" i="4"/>
  <c r="AR277" i="4"/>
  <c r="AS186" i="4"/>
  <c r="AR186" i="4"/>
  <c r="AR23" i="4"/>
  <c r="AS23" i="4"/>
  <c r="AR31" i="4"/>
  <c r="AS31" i="4"/>
  <c r="AS140" i="3"/>
  <c r="AR112" i="3"/>
  <c r="AR71" i="3"/>
  <c r="AS71" i="3"/>
  <c r="AS267" i="2"/>
  <c r="AR267" i="2"/>
  <c r="AS4" i="3"/>
  <c r="AR4" i="3"/>
  <c r="AS233" i="2"/>
  <c r="AR233" i="2"/>
  <c r="AS193" i="2"/>
  <c r="AR193" i="2"/>
  <c r="AS237" i="4"/>
  <c r="AR237" i="4"/>
  <c r="AS83" i="2"/>
  <c r="AR83" i="2"/>
  <c r="AR35" i="3"/>
  <c r="AS35" i="3"/>
  <c r="AR15" i="2"/>
  <c r="AS15" i="2"/>
  <c r="AR206" i="1"/>
  <c r="AS206" i="1"/>
  <c r="AR106" i="1"/>
  <c r="AS106" i="1"/>
  <c r="AS255" i="4"/>
  <c r="AR255" i="4"/>
  <c r="AS119" i="2"/>
  <c r="AR119" i="2"/>
  <c r="AR288" i="1"/>
  <c r="AS288" i="1"/>
  <c r="AS29" i="1"/>
  <c r="AR29" i="1"/>
  <c r="AS9" i="1"/>
  <c r="AR9" i="1"/>
  <c r="AS288" i="11"/>
  <c r="AR288" i="11"/>
  <c r="AS163" i="2"/>
  <c r="AR163" i="2"/>
  <c r="AS188" i="11"/>
  <c r="AR188" i="11"/>
  <c r="AS235" i="2"/>
  <c r="AR235" i="2"/>
  <c r="AS33" i="1"/>
  <c r="AR33" i="1"/>
  <c r="AS202" i="11"/>
  <c r="AR202" i="11"/>
  <c r="AS139" i="2"/>
  <c r="AR139" i="2"/>
  <c r="AS226" i="11"/>
  <c r="AR226" i="11"/>
  <c r="AS176" i="11"/>
  <c r="AR176" i="11"/>
  <c r="AS203" i="2"/>
  <c r="AR203" i="2"/>
  <c r="AR140" i="11"/>
  <c r="AS140" i="11"/>
  <c r="AR120" i="11"/>
  <c r="AS120" i="11"/>
  <c r="AR100" i="11"/>
  <c r="AS100" i="11"/>
  <c r="AS227" i="2"/>
  <c r="AR227" i="2"/>
  <c r="AR66" i="3"/>
  <c r="AS250" i="11"/>
  <c r="AR250" i="11"/>
  <c r="AS200" i="11"/>
  <c r="AR200" i="11"/>
  <c r="AR80" i="11"/>
  <c r="AS80" i="11"/>
  <c r="AS55" i="11"/>
  <c r="AR55" i="11"/>
  <c r="AS30" i="11"/>
  <c r="AR30" i="11"/>
  <c r="AS5" i="11"/>
  <c r="AR5" i="11"/>
  <c r="AS234" i="9"/>
  <c r="AR234" i="9"/>
  <c r="AS188" i="9"/>
  <c r="AR188" i="9"/>
  <c r="AS125" i="9"/>
  <c r="AR125" i="9"/>
  <c r="AS101" i="9"/>
  <c r="AR101" i="9"/>
  <c r="AS145" i="8"/>
  <c r="AR145" i="8"/>
  <c r="AS129" i="8"/>
  <c r="AR129" i="8"/>
  <c r="AS107" i="8"/>
  <c r="AR107" i="8"/>
  <c r="AS192" i="7"/>
  <c r="AR192" i="7"/>
  <c r="AS92" i="7"/>
  <c r="AR92" i="7"/>
  <c r="AR116" i="7"/>
  <c r="AS116" i="7"/>
  <c r="AR168" i="8"/>
  <c r="AS168" i="8"/>
  <c r="AS177" i="7"/>
  <c r="AR177" i="7"/>
  <c r="AS206" i="6"/>
  <c r="AR206" i="6"/>
  <c r="AS150" i="6"/>
  <c r="AR150" i="6"/>
  <c r="AS102" i="6"/>
  <c r="AR102" i="6"/>
  <c r="AS158" i="6"/>
  <c r="AR158" i="6"/>
  <c r="AS164" i="7"/>
  <c r="AR164" i="7"/>
  <c r="AS137" i="6"/>
  <c r="AR137" i="6"/>
  <c r="AS214" i="6"/>
  <c r="AR214" i="6"/>
  <c r="AS244" i="6"/>
  <c r="AR244" i="6"/>
  <c r="AR98" i="6"/>
  <c r="AS98" i="6"/>
  <c r="AS251" i="4"/>
  <c r="AR251" i="4"/>
  <c r="AS151" i="4"/>
  <c r="AR151" i="4"/>
  <c r="AS262" i="4"/>
  <c r="AR262" i="4"/>
  <c r="AS193" i="4"/>
  <c r="AR193" i="4"/>
  <c r="AS153" i="4"/>
  <c r="AR153" i="4"/>
  <c r="AR167" i="4"/>
  <c r="AS167" i="4"/>
  <c r="AS247" i="3"/>
  <c r="AR247" i="3"/>
  <c r="AS184" i="3"/>
  <c r="AR184" i="3"/>
  <c r="AS169" i="3"/>
  <c r="AR169" i="3"/>
  <c r="AS232" i="3"/>
  <c r="AR232" i="3"/>
  <c r="AS244" i="3"/>
  <c r="AR244" i="3"/>
  <c r="AR124" i="3"/>
  <c r="AR11" i="3"/>
  <c r="AS11" i="3"/>
  <c r="AS257" i="2"/>
  <c r="AR257" i="2"/>
  <c r="AR45" i="2"/>
  <c r="AS45" i="2"/>
  <c r="AS70" i="1"/>
  <c r="AR70" i="1"/>
  <c r="AS293" i="2"/>
  <c r="AR293" i="2"/>
  <c r="AS229" i="2"/>
  <c r="AR229" i="2"/>
  <c r="AS189" i="2"/>
  <c r="AR189" i="2"/>
  <c r="AS73" i="2"/>
  <c r="AR73" i="2"/>
  <c r="AR196" i="1"/>
  <c r="AS196" i="1"/>
  <c r="AR96" i="1"/>
  <c r="AS96" i="1"/>
  <c r="AS109" i="2"/>
  <c r="AR109" i="2"/>
  <c r="AR282" i="1"/>
  <c r="AS282" i="1"/>
  <c r="AS27" i="1"/>
  <c r="AR27" i="1"/>
  <c r="AS7" i="1"/>
  <c r="AR7" i="1"/>
  <c r="AS286" i="11"/>
  <c r="AR286" i="11"/>
  <c r="AS159" i="2"/>
  <c r="AR159" i="2"/>
  <c r="AS234" i="11"/>
  <c r="AR234" i="11"/>
  <c r="AS184" i="11"/>
  <c r="AR184" i="11"/>
  <c r="AS281" i="2"/>
  <c r="AR281" i="2"/>
  <c r="AR198" i="1"/>
  <c r="AS198" i="1"/>
  <c r="AR98" i="1"/>
  <c r="AS98" i="1"/>
  <c r="AS218" i="11"/>
  <c r="AR218" i="11"/>
  <c r="AR154" i="11"/>
  <c r="AS154" i="11"/>
  <c r="AR134" i="11"/>
  <c r="AS134" i="11"/>
  <c r="AR114" i="11"/>
  <c r="AS114" i="11"/>
  <c r="AR94" i="11"/>
  <c r="AS94" i="11"/>
  <c r="AR188" i="1"/>
  <c r="AS188" i="1"/>
  <c r="AS232" i="11"/>
  <c r="AR232" i="11"/>
  <c r="AS261" i="2"/>
  <c r="AR261" i="2"/>
  <c r="AR178" i="1"/>
  <c r="AS178" i="1"/>
  <c r="AS300" i="10"/>
  <c r="AR300" i="10"/>
  <c r="AS228" i="10"/>
  <c r="AR228" i="10"/>
  <c r="AS174" i="10"/>
  <c r="AR174" i="10"/>
  <c r="AS195" i="10"/>
  <c r="AR195" i="10"/>
  <c r="AS98" i="10"/>
  <c r="AR98" i="10"/>
  <c r="AR278" i="10"/>
  <c r="AS278" i="10"/>
  <c r="AS178" i="10"/>
  <c r="AR178" i="10"/>
  <c r="AS126" i="10"/>
  <c r="AR126" i="10"/>
  <c r="AS99" i="10"/>
  <c r="AR99" i="10"/>
  <c r="AS156" i="10"/>
  <c r="AR156" i="10"/>
  <c r="AS51" i="10"/>
  <c r="AR51" i="10"/>
  <c r="AS137" i="10"/>
  <c r="AR137" i="10"/>
  <c r="AS9" i="10"/>
  <c r="AR9" i="10"/>
  <c r="AK181" i="13"/>
  <c r="AK131" i="13"/>
  <c r="AL188" i="13"/>
  <c r="AK188" i="13"/>
  <c r="AL63" i="13"/>
  <c r="AK63" i="13"/>
  <c r="AL29" i="13"/>
  <c r="AK29" i="13"/>
  <c r="AS282" i="10"/>
  <c r="AR282" i="10"/>
  <c r="AS284" i="10"/>
  <c r="AR284" i="10"/>
  <c r="AS258" i="10"/>
  <c r="AR258" i="10"/>
  <c r="AS238" i="10"/>
  <c r="AR238" i="10"/>
  <c r="AS260" i="10"/>
  <c r="AR260" i="10"/>
  <c r="AS240" i="10"/>
  <c r="AR240" i="10"/>
  <c r="AR160" i="10"/>
  <c r="AS160" i="10"/>
  <c r="AS176" i="10"/>
  <c r="AR176" i="10"/>
  <c r="AS124" i="10"/>
  <c r="AR124" i="10"/>
  <c r="AS138" i="10"/>
  <c r="AR138" i="10"/>
  <c r="AR167" i="10"/>
  <c r="AS167" i="10"/>
  <c r="AS128" i="10"/>
  <c r="AR128" i="10"/>
  <c r="AS56" i="10"/>
  <c r="AR56" i="10"/>
  <c r="AS177" i="10"/>
  <c r="AR177" i="10"/>
  <c r="AS52" i="10"/>
  <c r="AR52" i="10"/>
  <c r="AS67" i="10"/>
  <c r="AR67" i="10"/>
  <c r="AS17" i="10"/>
  <c r="AR17" i="10"/>
  <c r="AS283" i="10"/>
  <c r="AR283" i="10"/>
  <c r="AS7" i="10"/>
  <c r="AR7" i="10"/>
  <c r="AS24" i="10"/>
  <c r="AR24" i="10"/>
  <c r="AS293" i="9"/>
  <c r="AR293" i="9"/>
  <c r="AS232" i="9"/>
  <c r="AR232" i="9"/>
  <c r="AS178" i="9"/>
  <c r="AR178" i="9"/>
  <c r="AS75" i="9"/>
  <c r="AR75" i="9"/>
  <c r="AS263" i="9"/>
  <c r="AR263" i="9"/>
  <c r="AS134" i="9"/>
  <c r="AR134" i="9"/>
  <c r="AS277" i="9"/>
  <c r="AR277" i="9"/>
  <c r="AS121" i="9"/>
  <c r="AR121" i="9"/>
  <c r="AS204" i="9"/>
  <c r="AR204" i="9"/>
  <c r="AS202" i="9"/>
  <c r="AR202" i="9"/>
  <c r="AS45" i="9"/>
  <c r="AR45" i="9"/>
  <c r="AS123" i="8"/>
  <c r="AR123" i="8"/>
  <c r="AR112" i="9"/>
  <c r="AS112" i="9"/>
  <c r="AS97" i="8"/>
  <c r="AR97" i="8"/>
  <c r="AR206" i="7"/>
  <c r="AS206" i="7"/>
  <c r="AS98" i="7"/>
  <c r="AR98" i="7"/>
  <c r="AS122" i="7"/>
  <c r="AR122" i="7"/>
  <c r="AS29" i="9"/>
  <c r="AR29" i="9"/>
  <c r="AS196" i="6"/>
  <c r="AR196" i="6"/>
  <c r="AS144" i="6"/>
  <c r="AR144" i="6"/>
  <c r="AS252" i="6"/>
  <c r="AR252" i="6"/>
  <c r="AS171" i="6"/>
  <c r="AR171" i="6"/>
  <c r="AS128" i="7"/>
  <c r="AR128" i="7"/>
  <c r="AS133" i="7"/>
  <c r="AR133" i="7"/>
  <c r="AS168" i="6"/>
  <c r="AR168" i="6"/>
  <c r="AR82" i="6"/>
  <c r="AS82" i="6"/>
  <c r="AS283" i="4"/>
  <c r="AR283" i="4"/>
  <c r="AS183" i="4"/>
  <c r="AR183" i="4"/>
  <c r="AR64" i="6"/>
  <c r="AS64" i="6"/>
  <c r="AS224" i="6"/>
  <c r="AR224" i="6"/>
  <c r="AS253" i="4"/>
  <c r="AR253" i="4"/>
  <c r="AS264" i="4"/>
  <c r="AR264" i="4"/>
  <c r="AS157" i="4"/>
  <c r="AR157" i="4"/>
  <c r="AS278" i="3"/>
  <c r="AR278" i="3"/>
  <c r="AS157" i="3"/>
  <c r="AR157" i="3"/>
  <c r="AS292" i="3"/>
  <c r="AR292" i="3"/>
  <c r="AS237" i="3"/>
  <c r="AR237" i="3"/>
  <c r="AS174" i="3"/>
  <c r="AR174" i="3"/>
  <c r="AS131" i="2"/>
  <c r="AR131" i="2"/>
  <c r="AR258" i="1"/>
  <c r="AS258" i="1"/>
  <c r="AS204" i="3"/>
  <c r="AR204" i="3"/>
  <c r="AS283" i="2"/>
  <c r="AR283" i="2"/>
  <c r="AS225" i="2"/>
  <c r="AR225" i="2"/>
  <c r="AS185" i="2"/>
  <c r="AR185" i="2"/>
  <c r="AR61" i="2"/>
  <c r="AS61" i="2"/>
  <c r="AS192" i="3"/>
  <c r="AR192" i="3"/>
  <c r="AR294" i="1"/>
  <c r="AS294" i="1"/>
  <c r="AR186" i="1"/>
  <c r="AS186" i="1"/>
  <c r="AS80" i="1"/>
  <c r="AR80" i="1"/>
  <c r="AR19" i="4"/>
  <c r="AS19" i="4"/>
  <c r="AS99" i="2"/>
  <c r="AR99" i="2"/>
  <c r="AR262" i="1"/>
  <c r="AS262" i="1"/>
  <c r="AS25" i="1"/>
  <c r="AR25" i="1"/>
  <c r="AS5" i="1"/>
  <c r="AR5" i="1"/>
  <c r="AS284" i="11"/>
  <c r="AR284" i="11"/>
  <c r="AS296" i="10"/>
  <c r="AR296" i="10"/>
  <c r="AS251" i="2"/>
  <c r="AR251" i="2"/>
  <c r="AS115" i="2"/>
  <c r="AR115" i="2"/>
  <c r="AR82" i="11"/>
  <c r="AS82" i="11"/>
  <c r="AS242" i="3"/>
  <c r="AR242" i="3"/>
  <c r="AS248" i="11"/>
  <c r="AR248" i="11"/>
  <c r="AS215" i="2"/>
  <c r="AR215" i="2"/>
  <c r="AS291" i="2"/>
  <c r="AR291" i="2"/>
  <c r="AS73" i="1"/>
  <c r="AR73" i="1"/>
  <c r="AS262" i="11"/>
  <c r="AR262" i="11"/>
  <c r="AS162" i="11"/>
  <c r="AR162" i="11"/>
  <c r="AS239" i="2"/>
  <c r="AR239" i="2"/>
  <c r="AS135" i="2"/>
  <c r="AR135" i="2"/>
  <c r="AS66" i="1"/>
  <c r="AR66" i="1"/>
  <c r="AR296" i="1"/>
  <c r="AS296" i="1"/>
  <c r="AS266" i="11"/>
  <c r="AR266" i="11"/>
  <c r="AS216" i="11"/>
  <c r="AR216" i="11"/>
  <c r="AS166" i="11"/>
  <c r="AR166" i="11"/>
  <c r="AS183" i="2"/>
  <c r="AR183" i="2"/>
  <c r="AR168" i="1"/>
  <c r="AS168" i="1"/>
  <c r="AR156" i="11"/>
  <c r="AS156" i="11"/>
  <c r="AR136" i="11"/>
  <c r="AS136" i="11"/>
  <c r="AR116" i="11"/>
  <c r="AS116" i="11"/>
  <c r="AR96" i="11"/>
  <c r="AS96" i="11"/>
  <c r="AR15" i="3"/>
  <c r="AS15" i="3"/>
  <c r="AR276" i="1"/>
  <c r="AS276" i="1"/>
  <c r="AS240" i="11"/>
  <c r="AR240" i="11"/>
  <c r="AS190" i="11"/>
  <c r="AR190" i="11"/>
  <c r="AS75" i="11"/>
  <c r="AR75" i="11"/>
  <c r="AS50" i="11"/>
  <c r="AR50" i="11"/>
  <c r="AS25" i="11"/>
  <c r="AR25" i="11"/>
  <c r="AS207" i="2"/>
  <c r="AR207" i="2"/>
  <c r="AL23" i="13"/>
  <c r="AK23" i="13"/>
  <c r="AS298" i="10"/>
  <c r="AR298" i="10"/>
  <c r="AL130" i="13"/>
  <c r="AL119" i="13"/>
  <c r="AS290" i="10"/>
  <c r="AR290" i="10"/>
  <c r="AS271" i="10"/>
  <c r="AR271" i="10"/>
  <c r="AS214" i="10"/>
  <c r="AR214" i="10"/>
  <c r="AS281" i="10"/>
  <c r="AR281" i="10"/>
  <c r="AS155" i="10"/>
  <c r="AR155" i="10"/>
  <c r="AS205" i="10"/>
  <c r="AR205" i="10"/>
  <c r="AR147" i="10"/>
  <c r="AS147" i="10"/>
  <c r="AS219" i="10"/>
  <c r="AR219" i="10"/>
  <c r="AS119" i="10"/>
  <c r="AR119" i="10"/>
  <c r="AS22" i="10"/>
  <c r="AR22" i="10"/>
  <c r="AS149" i="9"/>
  <c r="AR149" i="9"/>
  <c r="AS70" i="10"/>
  <c r="AR70" i="10"/>
  <c r="AS168" i="9"/>
  <c r="AR168" i="9"/>
  <c r="AS152" i="9"/>
  <c r="AR152" i="9"/>
  <c r="AS9" i="9"/>
  <c r="AR9" i="9"/>
  <c r="AS71" i="9"/>
  <c r="AR71" i="9"/>
  <c r="AS65" i="9"/>
  <c r="AR65" i="9"/>
  <c r="AS19" i="9"/>
  <c r="AR19" i="9"/>
  <c r="AS82" i="9"/>
  <c r="AR82" i="9"/>
  <c r="AS57" i="9"/>
  <c r="AR57" i="9"/>
  <c r="AR166" i="8"/>
  <c r="AS166" i="8"/>
  <c r="AS172" i="7"/>
  <c r="AR172" i="7"/>
  <c r="AS72" i="7"/>
  <c r="AR72" i="7"/>
  <c r="AR196" i="7"/>
  <c r="AS196" i="7"/>
  <c r="AR96" i="7"/>
  <c r="AS96" i="7"/>
  <c r="AS27" i="8"/>
  <c r="AR27" i="8"/>
  <c r="AS157" i="7"/>
  <c r="AR157" i="7"/>
  <c r="AS190" i="6"/>
  <c r="AR190" i="6"/>
  <c r="AS242" i="6"/>
  <c r="AR242" i="6"/>
  <c r="AS88" i="7"/>
  <c r="AR88" i="7"/>
  <c r="AR111" i="6"/>
  <c r="AS111" i="6"/>
  <c r="AS194" i="6"/>
  <c r="AR194" i="6"/>
  <c r="AS168" i="7"/>
  <c r="AR168" i="7"/>
  <c r="AS173" i="7"/>
  <c r="AR173" i="7"/>
  <c r="AS153" i="7"/>
  <c r="AR153" i="7"/>
  <c r="AS104" i="7"/>
  <c r="AR104" i="7"/>
  <c r="AR62" i="6"/>
  <c r="AS62" i="6"/>
  <c r="AS184" i="7"/>
  <c r="AR184" i="7"/>
  <c r="AR84" i="6"/>
  <c r="AS84" i="6"/>
  <c r="AS95" i="6"/>
  <c r="AR95" i="6"/>
  <c r="AS231" i="4"/>
  <c r="AR231" i="4"/>
  <c r="AS51" i="6"/>
  <c r="AS197" i="4"/>
  <c r="AR197" i="4"/>
  <c r="AR7" i="4"/>
  <c r="AS7" i="4"/>
  <c r="AS164" i="4"/>
  <c r="AR164" i="4"/>
  <c r="AR294" i="3"/>
  <c r="AS294" i="3"/>
  <c r="AR267" i="4"/>
  <c r="AS267" i="4"/>
  <c r="AS144" i="4"/>
  <c r="AR144" i="4"/>
  <c r="AS300" i="3"/>
  <c r="AR300" i="3"/>
  <c r="AS247" i="4"/>
  <c r="AR247" i="4"/>
  <c r="AS296" i="3"/>
  <c r="AR296" i="3"/>
  <c r="AS172" i="3"/>
  <c r="AR172" i="3"/>
  <c r="AS214" i="3"/>
  <c r="AR214" i="3"/>
  <c r="AS227" i="4"/>
  <c r="AR227" i="4"/>
  <c r="AS219" i="3"/>
  <c r="AR219" i="3"/>
  <c r="AS121" i="2"/>
  <c r="AR121" i="2"/>
  <c r="AR25" i="2"/>
  <c r="AS25" i="2"/>
  <c r="AS50" i="1"/>
  <c r="AR50" i="1"/>
  <c r="AS273" i="2"/>
  <c r="AR273" i="2"/>
  <c r="AS221" i="2"/>
  <c r="AR221" i="2"/>
  <c r="AS181" i="2"/>
  <c r="AR181" i="2"/>
  <c r="AR41" i="2"/>
  <c r="AS41" i="2"/>
  <c r="AS167" i="3"/>
  <c r="AR167" i="3"/>
  <c r="AR13" i="3"/>
  <c r="AS13" i="3"/>
  <c r="AR176" i="1"/>
  <c r="AS176" i="1"/>
  <c r="AR11" i="4"/>
  <c r="AS11" i="4"/>
  <c r="AS89" i="2"/>
  <c r="AR89" i="2"/>
  <c r="AS91" i="1"/>
  <c r="AR91" i="1"/>
  <c r="AS23" i="1"/>
  <c r="AR23" i="1"/>
  <c r="AS3" i="1"/>
  <c r="AR3" i="1"/>
  <c r="AS282" i="11"/>
  <c r="AR282" i="11"/>
  <c r="AS224" i="11"/>
  <c r="AR224" i="11"/>
  <c r="AS174" i="11"/>
  <c r="AR174" i="11"/>
  <c r="AR63" i="2"/>
  <c r="AS63" i="2"/>
  <c r="AS84" i="1"/>
  <c r="AR84" i="1"/>
  <c r="AS178" i="11"/>
  <c r="AR178" i="11"/>
  <c r="AR150" i="11"/>
  <c r="AS150" i="11"/>
  <c r="AR130" i="11"/>
  <c r="AS130" i="11"/>
  <c r="AR110" i="11"/>
  <c r="AS110" i="11"/>
  <c r="AS175" i="2"/>
  <c r="AR175" i="2"/>
  <c r="AS192" i="11"/>
  <c r="AR192" i="11"/>
  <c r="AS85" i="2"/>
  <c r="AR85" i="2"/>
  <c r="AS271" i="2"/>
  <c r="AR271" i="2"/>
  <c r="AL235" i="13"/>
  <c r="AL275" i="13"/>
  <c r="AS113" i="8"/>
  <c r="AR113" i="8"/>
  <c r="AS178" i="7"/>
  <c r="AR178" i="7"/>
  <c r="AS78" i="7"/>
  <c r="AR78" i="7"/>
  <c r="AS23" i="8"/>
  <c r="AR23" i="8"/>
  <c r="AS232" i="6"/>
  <c r="AR232" i="6"/>
  <c r="AS138" i="6"/>
  <c r="AR138" i="6"/>
  <c r="AS64" i="7"/>
  <c r="AR64" i="7"/>
  <c r="AR94" i="6"/>
  <c r="AS94" i="6"/>
  <c r="AS93" i="7"/>
  <c r="AR93" i="7"/>
  <c r="AS144" i="7"/>
  <c r="AR144" i="7"/>
  <c r="AS165" i="6"/>
  <c r="AR165" i="6"/>
  <c r="AS165" i="9"/>
  <c r="AR165" i="9"/>
  <c r="AR42" i="6"/>
  <c r="AS42" i="6"/>
  <c r="AS134" i="6"/>
  <c r="AR134" i="6"/>
  <c r="AS263" i="4"/>
  <c r="AR263" i="4"/>
  <c r="AS163" i="4"/>
  <c r="AR163" i="4"/>
  <c r="AR78" i="6"/>
  <c r="AS78" i="6"/>
  <c r="AS242" i="4"/>
  <c r="AR242" i="4"/>
  <c r="AS182" i="4"/>
  <c r="AR182" i="4"/>
  <c r="AS142" i="4"/>
  <c r="AR142" i="4"/>
  <c r="AS216" i="4"/>
  <c r="AR216" i="4"/>
  <c r="AS257" i="4"/>
  <c r="AR257" i="4"/>
  <c r="AS176" i="4"/>
  <c r="AR176" i="4"/>
  <c r="AS207" i="4"/>
  <c r="AR207" i="4"/>
  <c r="AS234" i="3"/>
  <c r="AR234" i="3"/>
  <c r="AS239" i="3"/>
  <c r="AR239" i="3"/>
  <c r="AS189" i="3"/>
  <c r="AR189" i="3"/>
  <c r="AS207" i="3"/>
  <c r="AR207" i="3"/>
  <c r="AS284" i="3"/>
  <c r="AR284" i="3"/>
  <c r="AS204" i="4"/>
  <c r="AR204" i="4"/>
  <c r="AS258" i="3"/>
  <c r="AR258" i="3"/>
  <c r="AS162" i="3"/>
  <c r="AR162" i="3"/>
  <c r="AS111" i="2"/>
  <c r="AR111" i="2"/>
  <c r="AR81" i="3"/>
  <c r="AS81" i="3"/>
  <c r="AS263" i="2"/>
  <c r="AR263" i="2"/>
  <c r="AS217" i="2"/>
  <c r="AR217" i="2"/>
  <c r="AR21" i="2"/>
  <c r="AS21" i="2"/>
  <c r="AR268" i="1"/>
  <c r="AS268" i="1"/>
  <c r="AR166" i="1"/>
  <c r="AS166" i="1"/>
  <c r="AS60" i="1"/>
  <c r="AR60" i="1"/>
  <c r="AS295" i="2"/>
  <c r="AR295" i="2"/>
  <c r="AS79" i="2"/>
  <c r="AR79" i="2"/>
  <c r="AS82" i="1"/>
  <c r="AR82" i="1"/>
  <c r="AS21" i="1"/>
  <c r="AR21" i="1"/>
  <c r="AS300" i="11"/>
  <c r="AR300" i="11"/>
  <c r="AS280" i="11"/>
  <c r="AR280" i="11"/>
  <c r="AS231" i="2"/>
  <c r="AR231" i="2"/>
  <c r="AS208" i="11"/>
  <c r="AR208" i="11"/>
  <c r="AS154" i="3"/>
  <c r="AR154" i="3"/>
  <c r="AS195" i="2"/>
  <c r="AR195" i="2"/>
  <c r="AS187" i="2"/>
  <c r="AR187" i="2"/>
  <c r="AS222" i="11"/>
  <c r="AR222" i="11"/>
  <c r="AR26" i="11"/>
  <c r="AS26" i="11"/>
  <c r="AS219" i="2"/>
  <c r="AR219" i="2"/>
  <c r="AS143" i="2"/>
  <c r="AR143" i="2"/>
  <c r="AR256" i="1"/>
  <c r="AS256" i="1"/>
  <c r="AS256" i="11"/>
  <c r="AR256" i="11"/>
  <c r="AS206" i="11"/>
  <c r="AR206" i="11"/>
  <c r="AS147" i="2"/>
  <c r="AR147" i="2"/>
  <c r="AR152" i="11"/>
  <c r="AS152" i="11"/>
  <c r="AR132" i="11"/>
  <c r="AS132" i="11"/>
  <c r="AR112" i="11"/>
  <c r="AS112" i="11"/>
  <c r="AR92" i="11"/>
  <c r="AS92" i="11"/>
  <c r="AR108" i="1"/>
  <c r="AS108" i="1"/>
  <c r="AS151" i="2"/>
  <c r="AR151" i="2"/>
  <c r="AR270" i="1"/>
  <c r="AS270" i="1"/>
  <c r="AS230" i="11"/>
  <c r="AR230" i="11"/>
  <c r="AS180" i="11"/>
  <c r="AR180" i="11"/>
  <c r="AS70" i="11"/>
  <c r="AR70" i="11"/>
  <c r="AS45" i="11"/>
  <c r="AR45" i="11"/>
  <c r="AS20" i="11"/>
  <c r="AR20" i="11"/>
  <c r="AS49" i="9"/>
  <c r="AR49" i="9"/>
  <c r="AS102" i="7"/>
  <c r="AR102" i="7"/>
  <c r="AK285" i="13"/>
  <c r="AK224" i="13"/>
  <c r="AL218" i="13"/>
  <c r="AK218" i="13"/>
  <c r="AL168" i="13"/>
  <c r="AK168" i="13"/>
  <c r="AL118" i="13"/>
  <c r="AK118" i="13"/>
  <c r="AL68" i="13"/>
  <c r="AK68" i="13"/>
  <c r="AS274" i="10"/>
  <c r="AR274" i="10"/>
  <c r="AR270" i="10"/>
  <c r="AS270" i="10"/>
  <c r="AS218" i="10"/>
  <c r="AR218" i="10"/>
  <c r="AS289" i="10"/>
  <c r="AR289" i="10"/>
  <c r="AS280" i="10"/>
  <c r="AR280" i="10"/>
  <c r="AS148" i="10"/>
  <c r="AR148" i="10"/>
  <c r="AS154" i="10"/>
  <c r="AR154" i="10"/>
  <c r="AS114" i="10"/>
  <c r="AR114" i="10"/>
  <c r="AR135" i="10"/>
  <c r="AS135" i="10"/>
  <c r="AS186" i="10"/>
  <c r="AR186" i="10"/>
  <c r="AS185" i="10"/>
  <c r="AR185" i="10"/>
  <c r="AS57" i="10"/>
  <c r="AR57" i="10"/>
  <c r="AS236" i="9"/>
  <c r="AR236" i="9"/>
  <c r="AS159" i="9"/>
  <c r="AR159" i="9"/>
  <c r="AS174" i="9"/>
  <c r="AR174" i="9"/>
  <c r="AS154" i="9"/>
  <c r="AR154" i="9"/>
  <c r="AS139" i="9"/>
  <c r="AR139" i="9"/>
  <c r="AS21" i="9"/>
  <c r="AR21" i="9"/>
  <c r="AS6" i="9"/>
  <c r="AR6" i="9"/>
  <c r="AR200" i="8"/>
  <c r="AS200" i="8"/>
  <c r="AS152" i="7"/>
  <c r="AR152" i="7"/>
  <c r="AR176" i="7"/>
  <c r="AS176" i="7"/>
  <c r="AR76" i="7"/>
  <c r="AS76" i="7"/>
  <c r="AS18" i="8"/>
  <c r="AR18" i="8"/>
  <c r="AS147" i="8"/>
  <c r="AR147" i="8"/>
  <c r="AS137" i="7"/>
  <c r="AR137" i="7"/>
  <c r="AS130" i="6"/>
  <c r="AR130" i="6"/>
  <c r="AS222" i="6"/>
  <c r="AR222" i="6"/>
  <c r="AS230" i="6"/>
  <c r="AR230" i="6"/>
  <c r="AS191" i="6"/>
  <c r="AR191" i="6"/>
  <c r="AS112" i="10"/>
  <c r="AR112" i="10"/>
  <c r="AS84" i="7"/>
  <c r="AR84" i="7"/>
  <c r="AS113" i="7"/>
  <c r="AR113" i="7"/>
  <c r="AR44" i="6"/>
  <c r="AS44" i="6"/>
  <c r="AS211" i="4"/>
  <c r="AR211" i="4"/>
  <c r="AS233" i="4"/>
  <c r="AR233" i="4"/>
  <c r="AS298" i="3"/>
  <c r="AR298" i="3"/>
  <c r="AS215" i="4"/>
  <c r="AR215" i="4"/>
  <c r="AS244" i="4"/>
  <c r="AR244" i="4"/>
  <c r="AS224" i="4"/>
  <c r="AR224" i="4"/>
  <c r="AS276" i="4"/>
  <c r="AR276" i="4"/>
  <c r="AS175" i="4"/>
  <c r="AR175" i="4"/>
  <c r="AS272" i="3"/>
  <c r="AR272" i="3"/>
  <c r="AS217" i="4"/>
  <c r="AR217" i="4"/>
  <c r="AS227" i="3"/>
  <c r="AR227" i="3"/>
  <c r="AS177" i="3"/>
  <c r="AR177" i="3"/>
  <c r="AS246" i="4"/>
  <c r="AR246" i="4"/>
  <c r="AS202" i="3"/>
  <c r="AR202" i="3"/>
  <c r="AR25" i="4"/>
  <c r="AS25" i="4"/>
  <c r="AR283" i="3"/>
  <c r="AS149" i="3"/>
  <c r="AR149" i="3"/>
  <c r="AS103" i="6"/>
  <c r="AR103" i="6"/>
  <c r="AS101" i="2"/>
  <c r="AR101" i="2"/>
  <c r="AR5" i="2"/>
  <c r="AS5" i="2"/>
  <c r="AR33" i="3"/>
  <c r="AS33" i="3"/>
  <c r="AS253" i="2"/>
  <c r="AR253" i="2"/>
  <c r="AS213" i="2"/>
  <c r="AR213" i="2"/>
  <c r="AR300" i="1"/>
  <c r="AS300" i="1"/>
  <c r="AR156" i="1"/>
  <c r="AS156" i="1"/>
  <c r="AS285" i="2"/>
  <c r="AR285" i="2"/>
  <c r="AS69" i="2"/>
  <c r="AR69" i="2"/>
  <c r="AS71" i="1"/>
  <c r="AR71" i="1"/>
  <c r="AS19" i="1"/>
  <c r="AR19" i="1"/>
  <c r="AS298" i="11"/>
  <c r="AR298" i="11"/>
  <c r="AS278" i="11"/>
  <c r="AR278" i="11"/>
  <c r="AS264" i="11"/>
  <c r="AR264" i="11"/>
  <c r="AS214" i="11"/>
  <c r="AR214" i="11"/>
  <c r="AS164" i="11"/>
  <c r="AR164" i="11"/>
  <c r="AR248" i="1"/>
  <c r="AS248" i="1"/>
  <c r="AS64" i="1"/>
  <c r="AR64" i="1"/>
  <c r="AS167" i="2"/>
  <c r="AR167" i="2"/>
  <c r="AS238" i="11"/>
  <c r="AR238" i="11"/>
  <c r="AR146" i="11"/>
  <c r="AS146" i="11"/>
  <c r="AR126" i="11"/>
  <c r="AS126" i="11"/>
  <c r="AR106" i="11"/>
  <c r="AS106" i="11"/>
  <c r="AR238" i="1"/>
  <c r="AS238" i="1"/>
  <c r="AR57" i="2"/>
  <c r="AS57" i="2"/>
  <c r="AS252" i="11"/>
  <c r="AR252" i="11"/>
  <c r="AR21" i="11"/>
  <c r="AS21" i="11"/>
  <c r="AR228" i="1"/>
  <c r="AS228" i="1"/>
  <c r="AS46" i="1"/>
  <c r="AR46" i="1"/>
  <c r="AS2" i="3"/>
  <c r="AR2" i="3"/>
  <c r="AR140" i="10"/>
  <c r="AS140" i="10"/>
  <c r="AS105" i="10"/>
  <c r="AR105" i="10"/>
  <c r="AS118" i="10"/>
  <c r="AR118" i="10"/>
  <c r="AS158" i="10"/>
  <c r="AR158" i="10"/>
  <c r="AS16" i="9"/>
  <c r="AR16" i="9"/>
  <c r="AS285" i="9"/>
  <c r="AR285" i="9"/>
  <c r="AS31" i="9"/>
  <c r="AR31" i="9"/>
  <c r="AS141" i="8"/>
  <c r="AR141" i="8"/>
  <c r="AS79" i="9"/>
  <c r="AR79" i="9"/>
  <c r="AS11" i="9"/>
  <c r="AR11" i="9"/>
  <c r="AS103" i="8"/>
  <c r="AR103" i="8"/>
  <c r="AS149" i="8"/>
  <c r="AR149" i="8"/>
  <c r="AS21" i="8"/>
  <c r="AR21" i="8"/>
  <c r="AS47" i="8"/>
  <c r="AR47" i="8"/>
  <c r="AS14" i="8"/>
  <c r="AR14" i="8"/>
  <c r="AS158" i="7"/>
  <c r="AR158" i="7"/>
  <c r="AS58" i="7"/>
  <c r="AR58" i="7"/>
  <c r="AS182" i="7"/>
  <c r="AR182" i="7"/>
  <c r="AS82" i="7"/>
  <c r="AR82" i="7"/>
  <c r="AS12" i="8"/>
  <c r="AR12" i="8"/>
  <c r="AS256" i="6"/>
  <c r="AR256" i="6"/>
  <c r="AS124" i="6"/>
  <c r="AR124" i="6"/>
  <c r="AS212" i="6"/>
  <c r="AR212" i="6"/>
  <c r="AS68" i="9"/>
  <c r="AR68" i="9"/>
  <c r="AS68" i="7"/>
  <c r="AR68" i="7"/>
  <c r="AS148" i="7"/>
  <c r="AR148" i="7"/>
  <c r="AS136" i="8"/>
  <c r="AR136" i="8"/>
  <c r="AS151" i="6"/>
  <c r="AR151" i="6"/>
  <c r="AS108" i="6"/>
  <c r="AR108" i="6"/>
  <c r="AS243" i="4"/>
  <c r="AR243" i="4"/>
  <c r="AS143" i="4"/>
  <c r="AR143" i="4"/>
  <c r="AR58" i="6"/>
  <c r="AS58" i="6"/>
  <c r="AS173" i="4"/>
  <c r="AR173" i="4"/>
  <c r="AS275" i="4"/>
  <c r="AR275" i="4"/>
  <c r="AS197" i="3"/>
  <c r="AR197" i="3"/>
  <c r="AS222" i="3"/>
  <c r="AR222" i="3"/>
  <c r="AS194" i="3"/>
  <c r="AR194" i="3"/>
  <c r="AR144" i="3"/>
  <c r="AS91" i="2"/>
  <c r="AR91" i="2"/>
  <c r="AR55" i="3"/>
  <c r="AS55" i="3"/>
  <c r="AS249" i="2"/>
  <c r="AR249" i="2"/>
  <c r="AS209" i="2"/>
  <c r="AR209" i="2"/>
  <c r="AS184" i="4"/>
  <c r="AR184" i="4"/>
  <c r="AR55" i="2"/>
  <c r="AS55" i="2"/>
  <c r="AR246" i="1"/>
  <c r="AS246" i="1"/>
  <c r="AR146" i="1"/>
  <c r="AS146" i="1"/>
  <c r="AS40" i="1"/>
  <c r="AR40" i="1"/>
  <c r="AS275" i="2"/>
  <c r="AR275" i="2"/>
  <c r="AS62" i="1"/>
  <c r="AR62" i="1"/>
  <c r="AS17" i="1"/>
  <c r="AR17" i="1"/>
  <c r="AS296" i="11"/>
  <c r="AR296" i="11"/>
  <c r="AS276" i="11"/>
  <c r="AR276" i="11"/>
  <c r="AS211" i="2"/>
  <c r="AR211" i="2"/>
  <c r="AS268" i="11"/>
  <c r="AR268" i="11"/>
  <c r="AS168" i="11"/>
  <c r="AR168" i="11"/>
  <c r="AS171" i="2"/>
  <c r="AR171" i="2"/>
  <c r="AR289" i="3"/>
  <c r="AS53" i="1"/>
  <c r="AR53" i="1"/>
  <c r="AS182" i="11"/>
  <c r="AR182" i="11"/>
  <c r="AR16" i="11"/>
  <c r="AS16" i="11"/>
  <c r="AS199" i="2"/>
  <c r="AR199" i="2"/>
  <c r="AS246" i="11"/>
  <c r="AR246" i="11"/>
  <c r="AS196" i="11"/>
  <c r="AR196" i="11"/>
  <c r="AS243" i="2"/>
  <c r="AR243" i="2"/>
  <c r="AS95" i="2"/>
  <c r="AR95" i="2"/>
  <c r="AR218" i="1"/>
  <c r="AS218" i="1"/>
  <c r="AR148" i="11"/>
  <c r="AS148" i="11"/>
  <c r="AR128" i="11"/>
  <c r="AS128" i="11"/>
  <c r="AR108" i="11"/>
  <c r="AS108" i="11"/>
  <c r="AR86" i="11"/>
  <c r="AS86" i="11"/>
  <c r="AS270" i="11"/>
  <c r="AR270" i="11"/>
  <c r="AS220" i="11"/>
  <c r="AR220" i="11"/>
  <c r="AS170" i="11"/>
  <c r="AR170" i="11"/>
  <c r="AS65" i="11"/>
  <c r="AR65" i="11"/>
  <c r="AS40" i="11"/>
  <c r="AR40" i="11"/>
  <c r="AS15" i="11"/>
  <c r="AR15" i="11"/>
  <c r="AL35" i="13"/>
  <c r="AK35" i="13"/>
  <c r="AL186" i="13"/>
  <c r="AS234" i="10"/>
  <c r="AR234" i="10"/>
  <c r="AS236" i="10"/>
  <c r="AR236" i="10"/>
  <c r="AS197" i="10"/>
  <c r="AR197" i="10"/>
  <c r="AS196" i="10"/>
  <c r="AR196" i="10"/>
  <c r="AS58" i="10"/>
  <c r="AR58" i="10"/>
  <c r="AS208" i="10"/>
  <c r="AR208" i="10"/>
  <c r="AS34" i="9"/>
  <c r="AR34" i="9"/>
  <c r="AL194" i="13"/>
  <c r="AK13" i="13"/>
  <c r="AS146" i="10"/>
  <c r="AR146" i="10"/>
  <c r="AS47" i="9"/>
  <c r="AR47" i="9"/>
  <c r="AS119" i="9"/>
  <c r="AR119" i="9"/>
  <c r="AR184" i="8"/>
  <c r="AS184" i="8"/>
  <c r="AK225" i="13"/>
  <c r="AL213" i="13"/>
  <c r="AK213" i="13"/>
  <c r="AS194" i="10"/>
  <c r="AR194" i="10"/>
  <c r="AS224" i="10"/>
  <c r="AR224" i="10"/>
  <c r="AS143" i="9"/>
  <c r="AR143" i="9"/>
  <c r="AS289" i="9"/>
  <c r="AR289" i="9"/>
  <c r="AS41" i="9"/>
  <c r="AR41" i="9"/>
  <c r="AS115" i="9"/>
  <c r="AR115" i="9"/>
  <c r="AS24" i="9"/>
  <c r="AR24" i="9"/>
  <c r="AS132" i="7"/>
  <c r="AR132" i="7"/>
  <c r="AR158" i="8"/>
  <c r="AS158" i="8"/>
  <c r="AR156" i="7"/>
  <c r="AS156" i="7"/>
  <c r="AS10" i="8"/>
  <c r="AR10" i="8"/>
  <c r="AS117" i="7"/>
  <c r="AR117" i="7"/>
  <c r="AS246" i="6"/>
  <c r="AR246" i="6"/>
  <c r="AS170" i="6"/>
  <c r="AR170" i="6"/>
  <c r="AS202" i="6"/>
  <c r="AR202" i="6"/>
  <c r="AR200" i="7"/>
  <c r="AS200" i="7"/>
  <c r="AS131" i="6"/>
  <c r="AR131" i="6"/>
  <c r="AS73" i="7"/>
  <c r="AR73" i="7"/>
  <c r="AS114" i="6"/>
  <c r="AR114" i="6"/>
  <c r="AS124" i="7"/>
  <c r="AR124" i="7"/>
  <c r="AS8" i="8"/>
  <c r="AR8" i="8"/>
  <c r="AS185" i="6"/>
  <c r="AR185" i="6"/>
  <c r="AS297" i="9"/>
  <c r="AR297" i="9"/>
  <c r="AS157" i="6"/>
  <c r="AR157" i="6"/>
  <c r="AR292" i="4"/>
  <c r="AS292" i="4"/>
  <c r="AS191" i="4"/>
  <c r="AR191" i="4"/>
  <c r="AS222" i="4"/>
  <c r="AR222" i="4"/>
  <c r="AS236" i="4"/>
  <c r="AR236" i="4"/>
  <c r="AR294" i="4"/>
  <c r="AS294" i="4"/>
  <c r="AS206" i="4"/>
  <c r="AR206" i="4"/>
  <c r="AR21" i="4"/>
  <c r="AS21" i="4"/>
  <c r="AS264" i="3"/>
  <c r="AR264" i="3"/>
  <c r="AS287" i="3"/>
  <c r="AR287" i="3"/>
  <c r="AS147" i="3"/>
  <c r="AR147" i="3"/>
  <c r="AR290" i="4"/>
  <c r="AS290" i="4"/>
  <c r="AS164" i="3"/>
  <c r="AR164" i="3"/>
  <c r="AS252" i="3"/>
  <c r="AR252" i="3"/>
  <c r="AS156" i="4"/>
  <c r="AR156" i="4"/>
  <c r="AS267" i="3"/>
  <c r="AR267" i="3"/>
  <c r="AR51" i="3"/>
  <c r="AS51" i="3"/>
  <c r="AS224" i="3"/>
  <c r="AR224" i="3"/>
  <c r="AS179" i="3"/>
  <c r="AR179" i="3"/>
  <c r="AS297" i="2"/>
  <c r="AR297" i="2"/>
  <c r="AS81" i="2"/>
  <c r="AR81" i="2"/>
  <c r="AS245" i="2"/>
  <c r="AR245" i="2"/>
  <c r="AS205" i="2"/>
  <c r="AR205" i="2"/>
  <c r="AR274" i="1"/>
  <c r="AS274" i="1"/>
  <c r="AR236" i="1"/>
  <c r="AS236" i="1"/>
  <c r="AR136" i="1"/>
  <c r="AS136" i="1"/>
  <c r="AS265" i="2"/>
  <c r="AR265" i="2"/>
  <c r="AR49" i="2"/>
  <c r="AS49" i="2"/>
  <c r="AS51" i="1"/>
  <c r="AR51" i="1"/>
  <c r="AS15" i="1"/>
  <c r="AR15" i="1"/>
  <c r="AS294" i="11"/>
  <c r="AR294" i="11"/>
  <c r="AS274" i="11"/>
  <c r="AR274" i="11"/>
  <c r="AR6" i="3"/>
  <c r="AS254" i="6"/>
  <c r="AR254" i="6"/>
  <c r="AR23" i="2"/>
  <c r="AS23" i="2"/>
  <c r="AS254" i="11"/>
  <c r="AR254" i="11"/>
  <c r="AS204" i="11"/>
  <c r="AR204" i="11"/>
  <c r="AR148" i="1"/>
  <c r="AS148" i="1"/>
  <c r="AS44" i="1"/>
  <c r="AR44" i="1"/>
  <c r="AS198" i="11"/>
  <c r="AR198" i="11"/>
  <c r="AR142" i="11"/>
  <c r="AS142" i="11"/>
  <c r="AR122" i="11"/>
  <c r="AS122" i="11"/>
  <c r="AR102" i="11"/>
  <c r="AS102" i="11"/>
  <c r="AR158" i="1"/>
  <c r="AS158" i="1"/>
  <c r="AR138" i="1"/>
  <c r="AS138" i="1"/>
  <c r="AR90" i="11"/>
  <c r="AS90" i="11"/>
  <c r="AS212" i="11"/>
  <c r="AR212" i="11"/>
  <c r="AR11" i="11"/>
  <c r="AS11" i="11"/>
  <c r="AR128" i="1"/>
  <c r="AS128" i="1"/>
  <c r="AS57" i="8"/>
  <c r="AR57" i="8"/>
  <c r="AL163" i="13"/>
  <c r="AK163" i="13"/>
  <c r="AS19" i="10"/>
  <c r="AR19" i="10"/>
  <c r="AS144" i="9"/>
  <c r="AR144" i="9"/>
  <c r="AS135" i="8"/>
  <c r="AR135" i="8"/>
  <c r="AS229" i="10"/>
  <c r="AR229" i="10"/>
  <c r="AS136" i="10"/>
  <c r="AR136" i="10"/>
  <c r="AS106" i="10"/>
  <c r="AR106" i="10"/>
  <c r="AS60" i="10"/>
  <c r="AR60" i="10"/>
  <c r="AS37" i="10"/>
  <c r="AR37" i="10"/>
  <c r="AS48" i="10"/>
  <c r="AR48" i="10"/>
  <c r="AR178" i="8"/>
  <c r="AS178" i="8"/>
  <c r="AR156" i="8"/>
  <c r="AS156" i="8"/>
  <c r="AL20" i="13"/>
  <c r="AK20" i="13"/>
  <c r="AK100" i="13"/>
  <c r="AK50" i="13"/>
  <c r="AL88" i="13"/>
  <c r="AK88" i="13"/>
  <c r="AL26" i="13"/>
  <c r="AK136" i="13"/>
  <c r="AK86" i="13"/>
  <c r="AS266" i="10"/>
  <c r="AR266" i="10"/>
  <c r="AS246" i="10"/>
  <c r="AR246" i="10"/>
  <c r="AS268" i="10"/>
  <c r="AR268" i="10"/>
  <c r="AS248" i="10"/>
  <c r="AR248" i="10"/>
  <c r="AS215" i="10"/>
  <c r="AR215" i="10"/>
  <c r="AS272" i="10"/>
  <c r="AR272" i="10"/>
  <c r="AS188" i="10"/>
  <c r="AR188" i="10"/>
  <c r="AS104" i="10"/>
  <c r="AR104" i="10"/>
  <c r="AS134" i="10"/>
  <c r="AR134" i="10"/>
  <c r="AS120" i="10"/>
  <c r="AR120" i="10"/>
  <c r="AS269" i="10"/>
  <c r="AR269" i="10"/>
  <c r="AS166" i="10"/>
  <c r="AR166" i="10"/>
  <c r="AS165" i="10"/>
  <c r="AR165" i="10"/>
  <c r="AS68" i="10"/>
  <c r="AR68" i="10"/>
  <c r="AS35" i="10"/>
  <c r="AS41" i="10"/>
  <c r="AR41" i="10"/>
  <c r="AR149" i="10"/>
  <c r="AS149" i="10"/>
  <c r="AS12" i="10"/>
  <c r="AR12" i="10"/>
  <c r="AR269" i="9"/>
  <c r="AS248" i="9"/>
  <c r="AR248" i="9"/>
  <c r="AS89" i="9"/>
  <c r="AR89" i="9"/>
  <c r="AS239" i="9"/>
  <c r="AR239" i="9"/>
  <c r="AR131" i="9"/>
  <c r="AS131" i="9"/>
  <c r="AS281" i="9"/>
  <c r="AR281" i="9"/>
  <c r="AS63" i="10"/>
  <c r="AR63" i="10"/>
  <c r="AS245" i="9"/>
  <c r="AR245" i="9"/>
  <c r="AS2" i="10"/>
  <c r="AR2" i="10"/>
  <c r="AS164" i="9"/>
  <c r="AR164" i="9"/>
  <c r="AS99" i="9"/>
  <c r="AR99" i="9"/>
  <c r="AS132" i="9"/>
  <c r="AR132" i="9"/>
  <c r="AS124" i="9"/>
  <c r="AR124" i="9"/>
  <c r="AS36" i="9"/>
  <c r="AR36" i="9"/>
  <c r="AS59" i="9"/>
  <c r="AR59" i="9"/>
  <c r="AS74" i="9"/>
  <c r="AR74" i="9"/>
  <c r="AS148" i="9"/>
  <c r="AR148" i="9"/>
  <c r="AS37" i="8"/>
  <c r="AR37" i="8"/>
  <c r="AR190" i="8"/>
  <c r="AS190" i="8"/>
  <c r="AS138" i="7"/>
  <c r="AR138" i="7"/>
  <c r="AS131" i="8"/>
  <c r="AR131" i="8"/>
  <c r="AS162" i="7"/>
  <c r="AR162" i="7"/>
  <c r="AS62" i="7"/>
  <c r="AR62" i="7"/>
  <c r="AS236" i="6"/>
  <c r="AR236" i="6"/>
  <c r="AS164" i="6"/>
  <c r="AR164" i="6"/>
  <c r="AS178" i="6"/>
  <c r="AR178" i="6"/>
  <c r="AR210" i="7"/>
  <c r="AS210" i="7"/>
  <c r="AS43" i="9"/>
  <c r="AR43" i="9"/>
  <c r="AS154" i="6"/>
  <c r="AR154" i="6"/>
  <c r="AS210" i="6"/>
  <c r="AR210" i="6"/>
  <c r="AS145" i="6"/>
  <c r="AR145" i="6"/>
  <c r="AS223" i="4"/>
  <c r="AR223" i="4"/>
  <c r="AR38" i="6"/>
  <c r="AS38" i="6"/>
  <c r="AS282" i="4"/>
  <c r="AR282" i="4"/>
  <c r="AS213" i="4"/>
  <c r="AR213" i="4"/>
  <c r="AS235" i="4"/>
  <c r="AR235" i="4"/>
  <c r="AR196" i="4"/>
  <c r="AS196" i="4"/>
  <c r="AS299" i="3"/>
  <c r="AR299" i="3"/>
  <c r="AS182" i="3"/>
  <c r="AR182" i="3"/>
  <c r="AS155" i="4"/>
  <c r="AR155" i="4"/>
  <c r="AS199" i="3"/>
  <c r="AR199" i="3"/>
  <c r="AR128" i="3"/>
  <c r="AS287" i="2"/>
  <c r="AR287" i="2"/>
  <c r="AS71" i="2"/>
  <c r="AR71" i="2"/>
  <c r="AS241" i="2"/>
  <c r="AR241" i="2"/>
  <c r="AS201" i="2"/>
  <c r="AR201" i="2"/>
  <c r="AR35" i="2"/>
  <c r="AS35" i="2"/>
  <c r="AR226" i="1"/>
  <c r="AS226" i="1"/>
  <c r="AR126" i="1"/>
  <c r="AS126" i="1"/>
  <c r="AS255" i="2"/>
  <c r="AR255" i="2"/>
  <c r="AR29" i="2"/>
  <c r="AS29" i="2"/>
  <c r="AS42" i="1"/>
  <c r="AR42" i="1"/>
  <c r="AS13" i="1"/>
  <c r="AR13" i="1"/>
  <c r="AS292" i="11"/>
  <c r="AR292" i="11"/>
  <c r="AS191" i="2"/>
  <c r="AR191" i="2"/>
  <c r="AS228" i="11"/>
  <c r="AR228" i="11"/>
  <c r="AS125" i="2"/>
  <c r="AR125" i="2"/>
  <c r="AS242" i="11"/>
  <c r="AR242" i="11"/>
  <c r="AR6" i="11"/>
  <c r="AS6" i="11"/>
  <c r="AS179" i="2"/>
  <c r="AR179" i="2"/>
  <c r="AS155" i="2"/>
  <c r="AR155" i="2"/>
  <c r="AR43" i="2"/>
  <c r="AS43" i="2"/>
  <c r="AS236" i="11"/>
  <c r="AR236" i="11"/>
  <c r="AS186" i="11"/>
  <c r="AR186" i="11"/>
  <c r="AS223" i="2"/>
  <c r="AR223" i="2"/>
  <c r="AR118" i="1"/>
  <c r="AS118" i="1"/>
  <c r="AR144" i="11"/>
  <c r="AS144" i="11"/>
  <c r="AR124" i="11"/>
  <c r="AS124" i="11"/>
  <c r="AR104" i="11"/>
  <c r="AS104" i="11"/>
  <c r="AS247" i="2"/>
  <c r="AR247" i="2"/>
  <c r="AR37" i="2"/>
  <c r="AS37" i="2"/>
  <c r="AS260" i="11"/>
  <c r="AR260" i="11"/>
  <c r="AS210" i="11"/>
  <c r="AR210" i="11"/>
  <c r="AS160" i="11"/>
  <c r="AR160" i="11"/>
  <c r="AS60" i="11"/>
  <c r="AR60" i="11"/>
  <c r="AS35" i="11"/>
  <c r="AR35" i="11"/>
  <c r="AS10" i="11"/>
  <c r="AR10" i="11"/>
  <c r="AR208" i="1"/>
  <c r="AS208" i="1"/>
  <c r="AS116" i="10"/>
  <c r="AR116" i="10"/>
  <c r="AS58" i="9"/>
  <c r="AR58" i="9"/>
  <c r="AS91" i="9"/>
  <c r="AR91" i="9"/>
  <c r="AS55" i="9"/>
  <c r="AR55" i="9"/>
  <c r="AL38" i="13"/>
  <c r="AK38" i="13"/>
  <c r="AL180" i="13"/>
  <c r="AS293" i="10"/>
  <c r="AR293" i="10"/>
  <c r="AS250" i="10"/>
  <c r="AR250" i="10"/>
  <c r="AS222" i="10"/>
  <c r="AR222" i="10"/>
  <c r="AR286" i="10"/>
  <c r="AS286" i="10"/>
  <c r="AS252" i="10"/>
  <c r="AR252" i="10"/>
  <c r="AS66" i="10"/>
  <c r="AR66" i="10"/>
  <c r="AS102" i="10"/>
  <c r="AR102" i="10"/>
  <c r="AS109" i="9"/>
  <c r="AR109" i="9"/>
  <c r="AR151" i="9"/>
  <c r="AS151" i="9"/>
  <c r="AK106" i="13"/>
  <c r="AK56" i="13"/>
  <c r="AR220" i="10"/>
  <c r="AS220" i="10"/>
  <c r="AR110" i="10"/>
  <c r="AS110" i="10"/>
  <c r="AS216" i="10"/>
  <c r="AR216" i="10"/>
  <c r="AS14" i="10"/>
  <c r="AR14" i="10"/>
  <c r="AS4" i="10"/>
  <c r="AR4" i="10"/>
  <c r="AK80" i="13"/>
  <c r="AK30" i="13"/>
  <c r="AS292" i="10"/>
  <c r="AR292" i="10"/>
  <c r="AS206" i="10"/>
  <c r="AR206" i="10"/>
  <c r="AS108" i="10"/>
  <c r="AR108" i="10"/>
  <c r="AS54" i="10"/>
  <c r="AR54" i="10"/>
  <c r="AS71" i="10"/>
  <c r="AR71" i="10"/>
  <c r="AS163" i="9"/>
  <c r="AR163" i="9"/>
  <c r="AS83" i="9"/>
  <c r="AR83" i="9"/>
  <c r="AS155" i="9"/>
  <c r="AR155" i="9"/>
  <c r="AS93" i="9"/>
  <c r="AR93" i="9"/>
  <c r="AS123" i="9"/>
  <c r="AR123" i="9"/>
  <c r="AR139" i="8"/>
  <c r="AS139" i="8"/>
  <c r="AR103" i="9"/>
  <c r="AS103" i="9"/>
  <c r="AS39" i="9"/>
  <c r="AR39" i="9"/>
  <c r="AR143" i="8"/>
  <c r="AS143" i="8"/>
  <c r="AS151" i="8"/>
  <c r="AR151" i="8"/>
  <c r="AS127" i="8"/>
  <c r="AR127" i="8"/>
  <c r="AR204" i="7"/>
  <c r="AS204" i="7"/>
  <c r="AS112" i="7"/>
  <c r="AR112" i="7"/>
  <c r="AR136" i="7"/>
  <c r="AS136" i="7"/>
  <c r="AR194" i="8"/>
  <c r="AS194" i="8"/>
  <c r="AS97" i="7"/>
  <c r="AR97" i="7"/>
  <c r="AS226" i="6"/>
  <c r="AR226" i="6"/>
  <c r="AS110" i="6"/>
  <c r="AR110" i="6"/>
  <c r="AS3" i="8"/>
  <c r="AR3" i="8"/>
  <c r="AS142" i="6"/>
  <c r="AR142" i="6"/>
  <c r="AS193" i="7"/>
  <c r="AR193" i="7"/>
  <c r="AS234" i="6"/>
  <c r="AR234" i="6"/>
  <c r="AS250" i="6"/>
  <c r="AR250" i="6"/>
  <c r="AS96" i="6"/>
  <c r="AR96" i="6"/>
  <c r="AS271" i="4"/>
  <c r="AR271" i="4"/>
  <c r="AS171" i="4"/>
  <c r="AR171" i="4"/>
  <c r="AS273" i="4"/>
  <c r="AR273" i="4"/>
  <c r="AS162" i="4"/>
  <c r="AR162" i="4"/>
  <c r="AS242" i="9"/>
  <c r="AR242" i="9"/>
  <c r="AS195" i="4"/>
  <c r="AR195" i="4"/>
  <c r="AS147" i="4"/>
  <c r="AR147" i="4"/>
  <c r="AR284" i="4"/>
  <c r="AS284" i="4"/>
  <c r="AS152" i="3"/>
  <c r="AR152" i="3"/>
  <c r="AS275" i="3"/>
  <c r="AR275" i="3"/>
  <c r="AS187" i="3"/>
  <c r="AR187" i="3"/>
  <c r="AR31" i="3"/>
  <c r="AS31" i="3"/>
  <c r="AS212" i="3"/>
  <c r="AR212" i="3"/>
  <c r="AS277" i="2"/>
  <c r="AR277" i="2"/>
  <c r="AR65" i="2"/>
  <c r="AS65" i="2"/>
  <c r="AR278" i="1"/>
  <c r="AS278" i="1"/>
  <c r="AS90" i="1"/>
  <c r="AR90" i="1"/>
  <c r="AS237" i="2"/>
  <c r="AR237" i="2"/>
  <c r="AS197" i="2"/>
  <c r="AR197" i="2"/>
  <c r="AR254" i="1"/>
  <c r="AS254" i="1"/>
  <c r="AR216" i="1"/>
  <c r="AS216" i="1"/>
  <c r="AR116" i="1"/>
  <c r="AS116" i="1"/>
  <c r="AS256" i="4"/>
  <c r="AR256" i="4"/>
  <c r="AS129" i="2"/>
  <c r="AR129" i="2"/>
  <c r="AR9" i="2"/>
  <c r="AS9" i="2"/>
  <c r="AS31" i="1"/>
  <c r="AR31" i="1"/>
  <c r="AS11" i="1"/>
  <c r="AR11" i="1"/>
  <c r="AS290" i="11"/>
  <c r="AR290" i="11"/>
  <c r="AS108" i="7"/>
  <c r="AR108" i="7"/>
  <c r="AS244" i="11"/>
  <c r="AR244" i="11"/>
  <c r="AS194" i="11"/>
  <c r="AR194" i="11"/>
  <c r="AS217" i="3"/>
  <c r="AR217" i="3"/>
  <c r="AS281" i="3"/>
  <c r="AR281" i="3"/>
  <c r="AS258" i="11"/>
  <c r="AR258" i="11"/>
  <c r="AS158" i="11"/>
  <c r="AR158" i="11"/>
  <c r="AR138" i="11"/>
  <c r="AS138" i="11"/>
  <c r="AR118" i="11"/>
  <c r="AS118" i="11"/>
  <c r="AR98" i="11"/>
  <c r="AS98" i="11"/>
  <c r="AR3" i="2"/>
  <c r="AS3" i="2"/>
  <c r="AS272" i="11"/>
  <c r="AR272" i="11"/>
  <c r="AS172" i="11"/>
  <c r="AR172" i="11"/>
  <c r="AR53" i="3"/>
  <c r="AS53" i="3"/>
  <c r="AS86" i="1"/>
  <c r="AR86" i="1"/>
</calcChain>
</file>

<file path=xl/sharedStrings.xml><?xml version="1.0" encoding="utf-8"?>
<sst xmlns="http://schemas.openxmlformats.org/spreadsheetml/2006/main" count="18079" uniqueCount="4428">
  <si>
    <t>Don {not in Banner}</t>
  </si>
  <si>
    <t>Mismatching {not in Banner}</t>
  </si>
  <si>
    <t>Dept/Prog Admin {not in Banner}</t>
  </si>
  <si>
    <t>Mona {not in Banner}</t>
  </si>
  <si>
    <t>Karen {not in Banner}</t>
  </si>
  <si>
    <t>DONE {not in Banner}</t>
  </si>
  <si>
    <t>Notes {not in Banner}</t>
  </si>
  <si>
    <t>CRN sorted {not in Banner}</t>
  </si>
  <si>
    <t>CRN</t>
  </si>
  <si>
    <t>Attribute {not in Banner}</t>
  </si>
  <si>
    <t>Subject</t>
  </si>
  <si>
    <t>Course Number {Crse Num}</t>
  </si>
  <si>
    <t>Course Section {Seq Crse Num}</t>
  </si>
  <si>
    <t>Program {not in Banner}</t>
  </si>
  <si>
    <t>Catalog Title</t>
  </si>
  <si>
    <t>Section Title</t>
  </si>
  <si>
    <t>Crosslist Details {not in Banner}</t>
  </si>
  <si>
    <t>X Lst</t>
  </si>
  <si>
    <t>Campus {Ssasect Campus}</t>
  </si>
  <si>
    <t>Campus Restriction {Camp Restr CC}</t>
  </si>
  <si>
    <t>Schedule Type {not in Banner}</t>
  </si>
  <si>
    <t>Instruction Method {Inst Method}</t>
  </si>
  <si>
    <t>Level {Level SC}</t>
  </si>
  <si>
    <t>Part-Of-Term</t>
  </si>
  <si>
    <t>Credit Catalog {Cat Crs}</t>
  </si>
  <si>
    <t>Credits {Sect Crs}</t>
  </si>
  <si>
    <t>Faculty Load / Contract Credits {not in Banner}</t>
  </si>
  <si>
    <t>Enrollment Cap {Max Enrl}</t>
  </si>
  <si>
    <t>Meeting Type</t>
  </si>
  <si>
    <t>Semester Start Date {Soaterm Start Date}</t>
  </si>
  <si>
    <t>Pre-work Start Date {not in Banner}</t>
  </si>
  <si>
    <t>Pre-work End Date {not in Banner}</t>
  </si>
  <si>
    <t>pre-work # of weeks {not in Banner}</t>
  </si>
  <si>
    <t>pre-work hours/week {not in Banner}</t>
  </si>
  <si>
    <t>pre-work hours/period {not in Banner}</t>
  </si>
  <si>
    <t>Intensive Period Start Date {Meet Start Date}</t>
  </si>
  <si>
    <t>Intensive Period End Date {Meet End Date}</t>
  </si>
  <si>
    <t>intensive # of weeks {not in Banner}</t>
  </si>
  <si>
    <t>intensive hours/week {not in Banner}</t>
  </si>
  <si>
    <t>intensive hours/period {not in Banner}</t>
  </si>
  <si>
    <t>Post-work Start Date {not in Banner}</t>
  </si>
  <si>
    <t>Post-work End Date {not in Banner}</t>
  </si>
  <si>
    <t>post-work # of weeks {not in Banner}</t>
  </si>
  <si>
    <t>post-work hours/week {not in Banner}</t>
  </si>
  <si>
    <t>post-work hours/period {not in Banner}</t>
  </si>
  <si>
    <t>sum of weeks (for check) {not in Banner}</t>
  </si>
  <si>
    <t>total contract hours {not in Banner}</t>
  </si>
  <si>
    <t>Semester End Date {Soaterm End Date}</t>
  </si>
  <si>
    <t>Course Beginning Time {Meet Beg Time}</t>
  </si>
  <si>
    <t>Course Ending Time {Meet End Time}</t>
  </si>
  <si>
    <t>SUN</t>
  </si>
  <si>
    <t>MON</t>
  </si>
  <si>
    <t>TUE</t>
  </si>
  <si>
    <t>WED</t>
  </si>
  <si>
    <t>THU</t>
  </si>
  <si>
    <t>FRI</t>
  </si>
  <si>
    <t>SAT</t>
  </si>
  <si>
    <t>Weeks</t>
  </si>
  <si>
    <t>Fiscal Year {not in Banner}</t>
  </si>
  <si>
    <t>Semester {not in Banner}</t>
  </si>
  <si>
    <t>Room {Meet Room}</t>
  </si>
  <si>
    <t>Building {Meet Bldg}</t>
  </si>
  <si>
    <t>Instructor Name {Instr Name}</t>
  </si>
  <si>
    <t>Instructor Email {Instr Email}</t>
  </si>
  <si>
    <t>Instructor ID {Instr ID}</t>
  </si>
  <si>
    <t>Remote Employee {not in Banner}</t>
  </si>
  <si>
    <t>% Responsibility</t>
  </si>
  <si>
    <t>load/contract {not in Banner}</t>
  </si>
  <si>
    <t>Reason for Contract {not in Banner}</t>
  </si>
  <si>
    <t>costs per credit {not in Banner}</t>
  </si>
  <si>
    <t>total costs {not in Banner}</t>
  </si>
  <si>
    <t>dept budget {not in Banner}</t>
  </si>
  <si>
    <t>account to be charged {not in Banner}</t>
  </si>
  <si>
    <t>SEM Department {Scacrse Dept}</t>
  </si>
  <si>
    <t>dean email</t>
  </si>
  <si>
    <t>VP finance email</t>
  </si>
  <si>
    <t>HR email</t>
  </si>
  <si>
    <t>Fee Amount {Fees Amt}</t>
  </si>
  <si>
    <t>Fee Code {Detl Code}</t>
  </si>
  <si>
    <t>Fee Type</t>
  </si>
  <si>
    <t>Fee Level</t>
  </si>
  <si>
    <t>Fee Ind</t>
  </si>
  <si>
    <t>Fee Term</t>
  </si>
  <si>
    <t>Activity Date</t>
  </si>
  <si>
    <t>Status</t>
  </si>
  <si>
    <t>Bill Hrs</t>
  </si>
  <si>
    <t>Sect Sch Type</t>
  </si>
  <si>
    <t>Prerequisites {Preq Areas}</t>
  </si>
  <si>
    <t>Link Ind</t>
  </si>
  <si>
    <t>Integration Code</t>
  </si>
  <si>
    <t>Link Conn</t>
  </si>
  <si>
    <t>Crs Attr</t>
  </si>
  <si>
    <t>Comments</t>
  </si>
  <si>
    <t>Major Restr</t>
  </si>
  <si>
    <t>Scacrse College</t>
  </si>
  <si>
    <t>Enrolled</t>
  </si>
  <si>
    <t>Waitlist Capacity</t>
  </si>
  <si>
    <t>Primary Ind</t>
  </si>
  <si>
    <t>Override</t>
  </si>
  <si>
    <t>1st Date Reg Opens</t>
  </si>
  <si>
    <t>Last Date Reg Opens</t>
  </si>
  <si>
    <t>OL Range From Date</t>
  </si>
  <si>
    <t>OL Range To Date</t>
  </si>
  <si>
    <t>OL Numb Units</t>
  </si>
  <si>
    <t>OL Duration Code</t>
  </si>
  <si>
    <t>Grade Mode</t>
  </si>
  <si>
    <t>Gradable Ind</t>
  </si>
  <si>
    <t>Tuit Waiver</t>
  </si>
  <si>
    <t>Course Override {Meet Override}</t>
  </si>
  <si>
    <t>Lvl Res Ind</t>
  </si>
  <si>
    <t>Cmp Res Ind</t>
  </si>
  <si>
    <t>Rate Code</t>
  </si>
  <si>
    <t>Cohort Code</t>
  </si>
  <si>
    <t>St Attr Code</t>
  </si>
  <si>
    <t>Coll SC</t>
  </si>
  <si>
    <t>DegC SC</t>
  </si>
  <si>
    <t>Prog SC</t>
  </si>
  <si>
    <t>FOS Type</t>
  </si>
  <si>
    <t>Special Approval {Special Apvl}</t>
  </si>
  <si>
    <t>Term Code</t>
  </si>
  <si>
    <t>Camp SC</t>
  </si>
  <si>
    <t>Abar, Emmanuel M.</t>
  </si>
  <si>
    <t>Antic, Radisa</t>
  </si>
  <si>
    <t>Augsburger, Daniel E.</t>
  </si>
  <si>
    <t>Barbosa, Rodrigo d.</t>
  </si>
  <si>
    <t>Barna, Jan</t>
  </si>
  <si>
    <t>Burton, Kevin M.</t>
  </si>
  <si>
    <t>Chow, Christie Chui-Shan</t>
  </si>
  <si>
    <t>Damsteegt, P Gerard</t>
  </si>
  <si>
    <t>Figueroa, Victor F.</t>
  </si>
  <si>
    <t>Gameti, Yvonne Y.</t>
  </si>
  <si>
    <t>Garcia Zarate, Heber E.</t>
  </si>
  <si>
    <t>Kaiser, Angelika</t>
  </si>
  <si>
    <t>Kaiser, Denis</t>
  </si>
  <si>
    <t>Louw, Eric A.</t>
  </si>
  <si>
    <t>Park, Jungkyu</t>
  </si>
  <si>
    <t>Rodrigues, Gerson C.</t>
  </si>
  <si>
    <t>Rosario, Antonio M.</t>
  </si>
  <si>
    <t>Steger, Walter E.</t>
  </si>
  <si>
    <t>Toscano, Steven M.</t>
  </si>
  <si>
    <t>Allen, Shirley M.</t>
  </si>
  <si>
    <t>Beagles, Kathleen A.</t>
  </si>
  <si>
    <t>Consuegra, Claudio J.</t>
  </si>
  <si>
    <t>Davis, Desiree E.</t>
  </si>
  <si>
    <t>Duany, Efrain</t>
  </si>
  <si>
    <t>Espinosa, Jose M.</t>
  </si>
  <si>
    <t>Fraser, Jasmine J.</t>
  </si>
  <si>
    <t>Freed, Kristina M.</t>
  </si>
  <si>
    <t>Gilles, Allens</t>
  </si>
  <si>
    <t>Hamilton, Lloyd M.</t>
  </si>
  <si>
    <t>Joseph, Ainsworth E.</t>
  </si>
  <si>
    <t>Martin, Benjamin L.</t>
  </si>
  <si>
    <t>Mayer, Jorge R.</t>
  </si>
  <si>
    <t>Moore, Richard A.</t>
  </si>
  <si>
    <t>Ramos, Israel</t>
  </si>
  <si>
    <t>Reddy, Ashley C.</t>
  </si>
  <si>
    <t>Reinert, Katia G.</t>
  </si>
  <si>
    <t>Sedlacek, David</t>
  </si>
  <si>
    <t>Ward, Scott R.</t>
  </si>
  <si>
    <t>Fernandez-Gibbs, Jharony E.</t>
  </si>
  <si>
    <t>Peguero Colon, Samuel</t>
  </si>
  <si>
    <t>Fox, Curtis A.</t>
  </si>
  <si>
    <t>Lopez, Elim J.</t>
  </si>
  <si>
    <t>Maxson, Benjamin C.</t>
  </si>
  <si>
    <t>Oliver, Wilbert H.</t>
  </si>
  <si>
    <t>Olivo, Dionisio</t>
  </si>
  <si>
    <t>Swanson, H Peter</t>
  </si>
  <si>
    <t>Walshe, Allan R.</t>
  </si>
  <si>
    <t>Aguiar, Adenilton T.</t>
  </si>
  <si>
    <t>Agustin, Alfredo G.</t>
  </si>
  <si>
    <t>Badenas, Roberto D.</t>
  </si>
  <si>
    <t>Borda, Guilherme L.</t>
  </si>
  <si>
    <t>Choi, Phuichun R.</t>
  </si>
  <si>
    <t>Cortez, Felix H.</t>
  </si>
  <si>
    <t>Ferreira, Jonatas L.</t>
  </si>
  <si>
    <t>Festa, Sergio R.</t>
  </si>
  <si>
    <t>Gallos, Erhard H.</t>
  </si>
  <si>
    <t>Gallusz, Laszlo</t>
  </si>
  <si>
    <t>Grzeskowiak, Adam</t>
  </si>
  <si>
    <t>Hernandez, Angel M.</t>
  </si>
  <si>
    <t>Huss, Rajan P.</t>
  </si>
  <si>
    <t>Johnston, Robert M.</t>
  </si>
  <si>
    <t>Kondrat, Stanislav</t>
  </si>
  <si>
    <t>Kostyuk, Oleg</t>
  </si>
  <si>
    <t>Kuryliak, Bohdan</t>
  </si>
  <si>
    <t>Kwon, Timothy B.</t>
  </si>
  <si>
    <t>Lichtenwalter, Larry L.</t>
  </si>
  <si>
    <t>Moral Hernandez, Manuel A.</t>
  </si>
  <si>
    <t>Mot, Laurentiu F.</t>
  </si>
  <si>
    <t>Munoz, Jose Y.</t>
  </si>
  <si>
    <t>Munoz, Ruben A.</t>
  </si>
  <si>
    <t>Nunes, Leonardo G.</t>
  </si>
  <si>
    <t>Papaioannou, Kim G.</t>
  </si>
  <si>
    <t>Phillip, Mario N.</t>
  </si>
  <si>
    <t>Reeve, Teresa L.</t>
  </si>
  <si>
    <t>Richards, W Larry</t>
  </si>
  <si>
    <t>Stefanovic, Ranko</t>
  </si>
  <si>
    <t>Vine, Cedric E.</t>
  </si>
  <si>
    <t>Baez Garcia, Enrique</t>
  </si>
  <si>
    <t>Baker, Leslie S.</t>
  </si>
  <si>
    <t>Bates, Robert D.</t>
  </si>
  <si>
    <t>Beaulieu, Stephane A.</t>
  </si>
  <si>
    <t>Bediako, Daniel K.</t>
  </si>
  <si>
    <t>Breja, Alexandru</t>
  </si>
  <si>
    <t>Broy, Trisha E.</t>
  </si>
  <si>
    <t>Doukhan, Jacques B.</t>
  </si>
  <si>
    <t>Emswiler, Elizabeth</t>
  </si>
  <si>
    <t>Gane, Constance E.</t>
  </si>
  <si>
    <t>Glanz, Oliver</t>
  </si>
  <si>
    <t>Gordan, Daniel M.</t>
  </si>
  <si>
    <t>Gregor, Paul Z.</t>
  </si>
  <si>
    <t>Groda, Johnny</t>
  </si>
  <si>
    <t>Hudon, Jeffrey P.</t>
  </si>
  <si>
    <t>Ionescu, Laurentiu Gabriel</t>
  </si>
  <si>
    <t>Jankovic, Slavisa</t>
  </si>
  <si>
    <t>McGuire-Moushon, Joni A.</t>
  </si>
  <si>
    <t>Moody, Jacob A.</t>
  </si>
  <si>
    <t>Morrow, Laura K.</t>
  </si>
  <si>
    <t>Nam, Daegeuk</t>
  </si>
  <si>
    <t>Ngo, Kim Chai</t>
  </si>
  <si>
    <t>Olariu, Daniel</t>
  </si>
  <si>
    <t>Prestes Neto, Flavio</t>
  </si>
  <si>
    <t>Rivas Santini, Abelardo J.</t>
  </si>
  <si>
    <t>Rojas, Ronald</t>
  </si>
  <si>
    <t>Ruiz Araica, Roger D.</t>
  </si>
  <si>
    <t>Skinner, Jerome L.</t>
  </si>
  <si>
    <t>Sung, Sion</t>
  </si>
  <si>
    <t>Tollerton, Evelyn Y.</t>
  </si>
  <si>
    <t>Wiens, Roman</t>
  </si>
  <si>
    <t>Arias-Quintero, Jose A.</t>
  </si>
  <si>
    <t>Bell, Ora M.</t>
  </si>
  <si>
    <t>Braun, Erlo</t>
  </si>
  <si>
    <t>Bullon, Alejandro</t>
  </si>
  <si>
    <t>Canals, Ramon J.</t>
  </si>
  <si>
    <t>Cauley, Michael F.</t>
  </si>
  <si>
    <t>Cauley, Michael R.</t>
  </si>
  <si>
    <t>Ceballos, Mario E.</t>
  </si>
  <si>
    <t>Choque Fernandez, Juan</t>
  </si>
  <si>
    <t>Evans, Tommy L.</t>
  </si>
  <si>
    <t>Li, Angela H.</t>
  </si>
  <si>
    <t>Liang, Onn</t>
  </si>
  <si>
    <t>Oudri, Gerardo</t>
  </si>
  <si>
    <t>Patterson, Stanley E.</t>
  </si>
  <si>
    <t>Penno, David K.</t>
  </si>
  <si>
    <t>Ramirez, Johnny</t>
  </si>
  <si>
    <t>Rico, Jorge E.</t>
  </si>
  <si>
    <t>Saravia, Yohalmo A.</t>
  </si>
  <si>
    <t>Schmidt, Eduard E.</t>
  </si>
  <si>
    <t>Sorajjakool, Siroj</t>
  </si>
  <si>
    <t>Wagener Smith, Anthony</t>
  </si>
  <si>
    <t>Williams, Hyveth M.</t>
  </si>
  <si>
    <t>Anderson, Paul S.</t>
  </si>
  <si>
    <t>Barcelo, Saul</t>
  </si>
  <si>
    <t>Coralie, Alain G.</t>
  </si>
  <si>
    <t>Crews, Heather L.</t>
  </si>
  <si>
    <t>Ferreira, Sandy Y.</t>
  </si>
  <si>
    <t>Galeniece, Anna</t>
  </si>
  <si>
    <t>Grant, Vaughan K.</t>
  </si>
  <si>
    <t>Grys, John W.</t>
  </si>
  <si>
    <t>Jaeger, Victor A.</t>
  </si>
  <si>
    <t>Kissinger, Evelyn G.</t>
  </si>
  <si>
    <t>Ledesma, Janet</t>
  </si>
  <si>
    <t>Lewis, Michael L.</t>
  </si>
  <si>
    <t>Madding, Timothy E.</t>
  </si>
  <si>
    <t>Martin, Allan D.</t>
  </si>
  <si>
    <t>McLean, Errol N.</t>
  </si>
  <si>
    <t>Ming, Marilyn D.</t>
  </si>
  <si>
    <t>Morales, Xavier</t>
  </si>
  <si>
    <t>Ramos Escobar, Walter</t>
  </si>
  <si>
    <t>Rojas, Hugo E.</t>
  </si>
  <si>
    <t>Taiwo, Moses O.</t>
  </si>
  <si>
    <t>Thordarson, Throstur B.</t>
  </si>
  <si>
    <t>Trecartin, Shannon M.</t>
  </si>
  <si>
    <t>Tsui, Terry M.</t>
  </si>
  <si>
    <t>Vatel, Marie S.</t>
  </si>
  <si>
    <t>Wellington, Rohann D.</t>
  </si>
  <si>
    <t>Wood, H Stanley</t>
  </si>
  <si>
    <t>Young, Dustin R.</t>
  </si>
  <si>
    <t>Alexe, Cristina A.</t>
  </si>
  <si>
    <t>Andvik, Lidvar</t>
  </si>
  <si>
    <t>Arena, Timothy J.</t>
  </si>
  <si>
    <t>Baldwin, John T.</t>
  </si>
  <si>
    <t>Bentancur, Ricardo</t>
  </si>
  <si>
    <t>Canale, Fernando</t>
  </si>
  <si>
    <t>Covrig, Duane M.</t>
  </si>
  <si>
    <t>Dei, Daniel</t>
  </si>
  <si>
    <t>Drew, Arlyn S.</t>
  </si>
  <si>
    <t>Dupertuis, Atilio R.</t>
  </si>
  <si>
    <t>Duran Royo, Noemi</t>
  </si>
  <si>
    <t>Gibbs, Nathaniel</t>
  </si>
  <si>
    <t>Hanna, Martin F.</t>
  </si>
  <si>
    <t>Jankiewicz, Darius W.</t>
  </si>
  <si>
    <t>Kis, Miroslav M.</t>
  </si>
  <si>
    <t>Kormos, Erik</t>
  </si>
  <si>
    <t>Koval, Bohdan</t>
  </si>
  <si>
    <t>Peckham, John C.</t>
  </si>
  <si>
    <t>Plantak, Zorislav</t>
  </si>
  <si>
    <t>Razmerita, Gheorghe</t>
  </si>
  <si>
    <t>Rodrigues, Adriani M.</t>
  </si>
  <si>
    <t>Sciarabba, Davide</t>
  </si>
  <si>
    <t>Szallos-Farkas, Zoltan</t>
  </si>
  <si>
    <t>Terreros, Marco T.</t>
  </si>
  <si>
    <t>Tornalejo, Remwil R.</t>
  </si>
  <si>
    <t>Wetterlin, Cory D.</t>
  </si>
  <si>
    <t>Zaitsev, Eugene V.</t>
  </si>
  <si>
    <t>Bauer, Bruce L.</t>
  </si>
  <si>
    <t>Cincala, Petr</t>
  </si>
  <si>
    <t>Dementyev, Vadim</t>
  </si>
  <si>
    <t>Doss, Cheryl D.</t>
  </si>
  <si>
    <t>Doss, Gorden R.</t>
  </si>
  <si>
    <t>Drumi, Iurii N.</t>
  </si>
  <si>
    <t>Duffis Gordon, Daniel M.</t>
  </si>
  <si>
    <t>Dybdahl, Jon L.</t>
  </si>
  <si>
    <t>Dybdahl, Paul B.</t>
  </si>
  <si>
    <t>Goya Rozas, Ignacio</t>
  </si>
  <si>
    <t>Guerrero Romero, Abraham I.</t>
  </si>
  <si>
    <t>Guirguis, Youssry L.</t>
  </si>
  <si>
    <t>Hunter, Claval I.</t>
  </si>
  <si>
    <t>Ialyshev, Kemil K.</t>
  </si>
  <si>
    <t>Insom, Surachet</t>
  </si>
  <si>
    <t>Krause, Gary D.</t>
  </si>
  <si>
    <t>Kuhn, Wagner</t>
  </si>
  <si>
    <t>Maier, Rudolf</t>
  </si>
  <si>
    <t>McEdward, Richard E.</t>
  </si>
  <si>
    <t>Mercado, Carmelo</t>
  </si>
  <si>
    <t>Merklin, Lester P.</t>
  </si>
  <si>
    <t>Namoradze, Sergo</t>
  </si>
  <si>
    <t>Onongha, Kelvin O.</t>
  </si>
  <si>
    <t>Osindo, Oscar</t>
  </si>
  <si>
    <t>Phillips, Gabriela F.</t>
  </si>
  <si>
    <t>Tompkins, Andrew J.</t>
  </si>
  <si>
    <t>William, Michelet</t>
  </si>
  <si>
    <t>Zhanikaev, Makhti K.</t>
  </si>
  <si>
    <t>Zubkov, Pavel A.</t>
  </si>
  <si>
    <t>Blue, Katrina B.</t>
  </si>
  <si>
    <t>Burt, Merlin D.</t>
  </si>
  <si>
    <t>Camarena, Carlos C.</t>
  </si>
  <si>
    <t>Case, Steve W.</t>
  </si>
  <si>
    <t>Davidson, JoAnn</t>
  </si>
  <si>
    <t>Davidson, Richard M.</t>
  </si>
  <si>
    <t>Fortin, Denis</t>
  </si>
  <si>
    <t>Galenieks, Eriks</t>
  </si>
  <si>
    <t>Gane, Roy E.</t>
  </si>
  <si>
    <t>Gaton, Roy G.</t>
  </si>
  <si>
    <t>Goncalves, Kleber D.</t>
  </si>
  <si>
    <t>Green, Esther</t>
  </si>
  <si>
    <t>Hall, Kenley D.</t>
  </si>
  <si>
    <t>Hernandez, Abner F.</t>
  </si>
  <si>
    <t>Hucks, Willie E.</t>
  </si>
  <si>
    <t>Irizarry De La Cruz, Iriann M.</t>
  </si>
  <si>
    <t>Jeroncic, Ante</t>
  </si>
  <si>
    <t>Kidder, S Joseph</t>
  </si>
  <si>
    <t>Korchuk, Viacheslav I.</t>
  </si>
  <si>
    <t>Kwon, Sung K.</t>
  </si>
  <si>
    <t>Machado, Carlos A.</t>
  </si>
  <si>
    <t>Matthews, John V.</t>
  </si>
  <si>
    <t>Miller, Nicholas P.</t>
  </si>
  <si>
    <t>Moon, Jerry A.</t>
  </si>
  <si>
    <t>Moskala, Jiri</t>
  </si>
  <si>
    <t>Muran, Alexej</t>
  </si>
  <si>
    <t>Nogueira, Lincoln</t>
  </si>
  <si>
    <t>Norton, Ricardo</t>
  </si>
  <si>
    <t>O'Reggio, Trevor E.</t>
  </si>
  <si>
    <t>Ortiz, Luis F.</t>
  </si>
  <si>
    <t>Pagan, Samuel</t>
  </si>
  <si>
    <t>Paquini, Rogelio</t>
  </si>
  <si>
    <t>Petrishchev, Anton</t>
  </si>
  <si>
    <t>Ponyatovsky, Felix</t>
  </si>
  <si>
    <t>Quispe, Gluder</t>
  </si>
  <si>
    <t>Ray, Paul J.</t>
  </si>
  <si>
    <t>Reeve, John W.</t>
  </si>
  <si>
    <t>Richards, Natasha A.</t>
  </si>
  <si>
    <t>Sanou, Boubakar</t>
  </si>
  <si>
    <t>Shepherd, Thomas R.</t>
  </si>
  <si>
    <t>Valenzuela, Alfonso</t>
  </si>
  <si>
    <t>Williams, David A.</t>
  </si>
  <si>
    <t>Yeagley, Stephen T.</t>
  </si>
  <si>
    <t>Younker, Randall W.</t>
  </si>
  <si>
    <t>✓</t>
  </si>
  <si>
    <t>New Class</t>
  </si>
  <si>
    <t>1043-01</t>
  </si>
  <si>
    <t>1043</t>
  </si>
  <si>
    <t>ANEA</t>
  </si>
  <si>
    <t>503</t>
  </si>
  <si>
    <t>0</t>
  </si>
  <si>
    <t>MDIV</t>
  </si>
  <si>
    <t>009</t>
  </si>
  <si>
    <t>Blended Learning</t>
  </si>
  <si>
    <t>ASYNC</t>
  </si>
  <si>
    <t>DO</t>
  </si>
  <si>
    <t>1</t>
  </si>
  <si>
    <t>CLAS</t>
  </si>
  <si>
    <t>04-MAY-25</t>
  </si>
  <si>
    <t>01-JUN-25</t>
  </si>
  <si>
    <t>01-AUG-25</t>
  </si>
  <si>
    <t>40</t>
  </si>
  <si>
    <t>109</t>
  </si>
  <si>
    <t>0800</t>
  </si>
  <si>
    <t>1020</t>
  </si>
  <si>
    <t>S</t>
  </si>
  <si>
    <t>M</t>
  </si>
  <si>
    <t>T</t>
  </si>
  <si>
    <t>W</t>
  </si>
  <si>
    <t>R</t>
  </si>
  <si>
    <t>12</t>
  </si>
  <si>
    <t>118</t>
  </si>
  <si>
    <t>Bell Hall [BH]</t>
  </si>
  <si>
    <t>yes</t>
  </si>
  <si>
    <t>100</t>
  </si>
  <si>
    <t>load</t>
  </si>
  <si>
    <t>Teacher loads are full</t>
  </si>
  <si>
    <t>1000</t>
  </si>
  <si>
    <t>CHIS: 11-1100-9120-70</t>
  </si>
  <si>
    <t>CHIS</t>
  </si>
  <si>
    <t>moskala@andrews.edu</t>
  </si>
  <si>
    <t>valencia@andrews.edu</t>
  </si>
  <si>
    <t>employment@andrews.edu</t>
  </si>
  <si>
    <t>-633</t>
  </si>
  <si>
    <t>EAB4</t>
  </si>
  <si>
    <t>BILL</t>
  </si>
  <si>
    <t>202531</t>
  </si>
  <si>
    <t>01-JUL-25</t>
  </si>
  <si>
    <t>A</t>
  </si>
  <si>
    <t>P-ANEA830</t>
  </si>
  <si>
    <t>A1</t>
  </si>
  <si>
    <t>MOODL</t>
  </si>
  <si>
    <t>ADVN</t>
  </si>
  <si>
    <t>70</t>
  </si>
  <si>
    <t>Y</t>
  </si>
  <si>
    <t>O</t>
  </si>
  <si>
    <t>03-FEB-25</t>
  </si>
  <si>
    <t>DAYS</t>
  </si>
  <si>
    <t>X</t>
  </si>
  <si>
    <t>N</t>
  </si>
  <si>
    <t>MSCID</t>
  </si>
  <si>
    <t>MAJOR</t>
  </si>
  <si>
    <t>I</t>
  </si>
  <si>
    <t>🔔</t>
  </si>
  <si>
    <t>Delete Class</t>
  </si>
  <si>
    <t>1044-01</t>
  </si>
  <si>
    <t>1044</t>
  </si>
  <si>
    <t>504</t>
  </si>
  <si>
    <t>001</t>
  </si>
  <si>
    <t>MDIV-FL</t>
  </si>
  <si>
    <t>028</t>
  </si>
  <si>
    <t>7</t>
  </si>
  <si>
    <t>Equivalency Assessment</t>
  </si>
  <si>
    <t>EXAM</t>
  </si>
  <si>
    <t>FP</t>
  </si>
  <si>
    <t>2</t>
  </si>
  <si>
    <t>0,2</t>
  </si>
  <si>
    <t>POST</t>
  </si>
  <si>
    <t>07-JUL-25</t>
  </si>
  <si>
    <t>02-JUL-25</t>
  </si>
  <si>
    <t>03-JUL-25</t>
  </si>
  <si>
    <t>0830</t>
  </si>
  <si>
    <t>1120</t>
  </si>
  <si>
    <t>3</t>
  </si>
  <si>
    <t>120</t>
  </si>
  <si>
    <t>Buller Hall [BUL]</t>
  </si>
  <si>
    <t>no</t>
  </si>
  <si>
    <t>34</t>
  </si>
  <si>
    <t>contract</t>
  </si>
  <si>
    <t>Teacher overload</t>
  </si>
  <si>
    <t>1050</t>
  </si>
  <si>
    <t>PATH: 11-1150-9120-70</t>
  </si>
  <si>
    <t>DSLE</t>
  </si>
  <si>
    <t>-922</t>
  </si>
  <si>
    <t>EAR2</t>
  </si>
  <si>
    <t>FLAT</t>
  </si>
  <si>
    <t>BL</t>
  </si>
  <si>
    <t>P-CHIS624</t>
  </si>
  <si>
    <t>T1</t>
  </si>
  <si>
    <t>ADVN,THEO</t>
  </si>
  <si>
    <t>11-MAY-25</t>
  </si>
  <si>
    <t>12-MAY-25</t>
  </si>
  <si>
    <t>160</t>
  </si>
  <si>
    <t>IT</t>
  </si>
  <si>
    <t>Title</t>
  </si>
  <si>
    <t>1045-01</t>
  </si>
  <si>
    <t>1045</t>
  </si>
  <si>
    <t>505</t>
  </si>
  <si>
    <t>002</t>
  </si>
  <si>
    <t>MAPM-HISP</t>
  </si>
  <si>
    <t>044</t>
  </si>
  <si>
    <t>9OM</t>
  </si>
  <si>
    <t>9</t>
  </si>
  <si>
    <t>Independent</t>
  </si>
  <si>
    <t>INTEN</t>
  </si>
  <si>
    <t>MA</t>
  </si>
  <si>
    <t>0,3</t>
  </si>
  <si>
    <t>10</t>
  </si>
  <si>
    <t>PRE</t>
  </si>
  <si>
    <t>09-JUN-25</t>
  </si>
  <si>
    <t>02-JUN-25</t>
  </si>
  <si>
    <t>04-JUL-25</t>
  </si>
  <si>
    <t>1330</t>
  </si>
  <si>
    <t>1200</t>
  </si>
  <si>
    <t>4</t>
  </si>
  <si>
    <t>153</t>
  </si>
  <si>
    <t>Chan Shun Hall [CSH]</t>
  </si>
  <si>
    <t>50</t>
  </si>
  <si>
    <t>load x-list</t>
  </si>
  <si>
    <t>Subject-matter expert</t>
  </si>
  <si>
    <t>MSSN: 11-1200-9120-70</t>
  </si>
  <si>
    <t>GSEM</t>
  </si>
  <si>
    <t>1267</t>
  </si>
  <si>
    <t>ES12</t>
  </si>
  <si>
    <t>01-MAY-25</t>
  </si>
  <si>
    <t>EA</t>
  </si>
  <si>
    <t>P-CHIS674</t>
  </si>
  <si>
    <t>ARHA,CLAS,JEWS,NTBG</t>
  </si>
  <si>
    <t>15-JUN-25</t>
  </si>
  <si>
    <t>16-JUN-25</t>
  </si>
  <si>
    <t>180</t>
  </si>
  <si>
    <t>RC</t>
  </si>
  <si>
    <t>Add X-List</t>
  </si>
  <si>
    <t>1047-01</t>
  </si>
  <si>
    <t>1047</t>
  </si>
  <si>
    <t>506</t>
  </si>
  <si>
    <t>003</t>
  </si>
  <si>
    <t>MAPM-ENGL</t>
  </si>
  <si>
    <t>061</t>
  </si>
  <si>
    <t>ZOM</t>
  </si>
  <si>
    <t>Int, Online</t>
  </si>
  <si>
    <t>SYNC</t>
  </si>
  <si>
    <t>Q</t>
  </si>
  <si>
    <t>0-3</t>
  </si>
  <si>
    <t>15</t>
  </si>
  <si>
    <t>TOUR</t>
  </si>
  <si>
    <t>01-NOV-25</t>
  </si>
  <si>
    <t>06-JUN-25</t>
  </si>
  <si>
    <t>1400</t>
  </si>
  <si>
    <t>1220</t>
  </si>
  <si>
    <t>8</t>
  </si>
  <si>
    <t>N108</t>
  </si>
  <si>
    <t>Griggs Hall A [GHA]</t>
  </si>
  <si>
    <t>contract x-list</t>
  </si>
  <si>
    <t>_DIS: 11-1200-9120-70-120011</t>
  </si>
  <si>
    <t>NTST</t>
  </si>
  <si>
    <t>130</t>
  </si>
  <si>
    <t>ES30</t>
  </si>
  <si>
    <t>P-NTST658</t>
  </si>
  <si>
    <t>CH1</t>
  </si>
  <si>
    <t>11</t>
  </si>
  <si>
    <t>18-MAY-25</t>
  </si>
  <si>
    <t>19-MAY-25</t>
  </si>
  <si>
    <t>290</t>
  </si>
  <si>
    <t>Delete X-List</t>
  </si>
  <si>
    <t>1050-01</t>
  </si>
  <si>
    <t>MSSN</t>
  </si>
  <si>
    <t>507</t>
  </si>
  <si>
    <t>004</t>
  </si>
  <si>
    <t>MAR-NAD</t>
  </si>
  <si>
    <t>086</t>
  </si>
  <si>
    <t>·­</t>
  </si>
  <si>
    <t>Z</t>
  </si>
  <si>
    <t>Lecture</t>
  </si>
  <si>
    <t>18</t>
  </si>
  <si>
    <t>WEB</t>
  </si>
  <si>
    <t>14-JUL-25</t>
  </si>
  <si>
    <t>02-DEC-25</t>
  </si>
  <si>
    <t>1430</t>
  </si>
  <si>
    <t>N110</t>
  </si>
  <si>
    <t>Griggs Hall B [GHB]</t>
  </si>
  <si>
    <t>continuous</t>
  </si>
  <si>
    <t>NTST: 11-1250-9120-70</t>
  </si>
  <si>
    <t>OTST</t>
  </si>
  <si>
    <t>1471</t>
  </si>
  <si>
    <t>ESCF</t>
  </si>
  <si>
    <t>P-NTST668</t>
  </si>
  <si>
    <t>CH1,REFM</t>
  </si>
  <si>
    <t>21-JUN-25</t>
  </si>
  <si>
    <t>22-JUN-25</t>
  </si>
  <si>
    <t>26-JUN-25</t>
  </si>
  <si>
    <t>90</t>
  </si>
  <si>
    <t>Sp. Approval</t>
  </si>
  <si>
    <t>1050-02</t>
  </si>
  <si>
    <t>510</t>
  </si>
  <si>
    <t>006</t>
  </si>
  <si>
    <t>MAR-INT</t>
  </si>
  <si>
    <t>087</t>
  </si>
  <si>
    <t>Lecture/Lab</t>
  </si>
  <si>
    <t>1-10</t>
  </si>
  <si>
    <t>5</t>
  </si>
  <si>
    <t>20</t>
  </si>
  <si>
    <t>17-JUN-25</t>
  </si>
  <si>
    <t>24-JUN-25</t>
  </si>
  <si>
    <t>1520</t>
  </si>
  <si>
    <t>N150</t>
  </si>
  <si>
    <t>Horn Museum [HORN]</t>
  </si>
  <si>
    <t>OTST: 11-1300-9120-70</t>
  </si>
  <si>
    <t>PATH</t>
  </si>
  <si>
    <t>ESM1</t>
  </si>
  <si>
    <t>P-OTST552</t>
  </si>
  <si>
    <t>CHAP,HITH,REFM</t>
  </si>
  <si>
    <t>13</t>
  </si>
  <si>
    <t>25-MAY-25</t>
  </si>
  <si>
    <t>26-MAY-25</t>
  </si>
  <si>
    <t>Campus 7 Restr.</t>
  </si>
  <si>
    <t>1120-01</t>
  </si>
  <si>
    <t>1123</t>
  </si>
  <si>
    <t>520</t>
  </si>
  <si>
    <t>031</t>
  </si>
  <si>
    <t>MAYYAM</t>
  </si>
  <si>
    <t>088</t>
  </si>
  <si>
    <t>Music Organization</t>
  </si>
  <si>
    <t>INPERSON</t>
  </si>
  <si>
    <t>1-12</t>
  </si>
  <si>
    <t>25</t>
  </si>
  <si>
    <t>03-DEC-25</t>
  </si>
  <si>
    <t>25-JUN-25</t>
  </si>
  <si>
    <t>1620</t>
  </si>
  <si>
    <t>N235</t>
  </si>
  <si>
    <t>James White Library [JWL]</t>
  </si>
  <si>
    <t>DSLE: 11-1320-9120-70</t>
  </si>
  <si>
    <t>THCP</t>
  </si>
  <si>
    <t>45</t>
  </si>
  <si>
    <t>ESM3</t>
  </si>
  <si>
    <t>03-JUN-25</t>
  </si>
  <si>
    <t>P</t>
  </si>
  <si>
    <t>P-OTST664</t>
  </si>
  <si>
    <t>CHAP,PACC,PACO</t>
  </si>
  <si>
    <t>14</t>
  </si>
  <si>
    <t>27-JUN-25</t>
  </si>
  <si>
    <t>Remove C7 Restr.</t>
  </si>
  <si>
    <t>1123-01</t>
  </si>
  <si>
    <t>1124</t>
  </si>
  <si>
    <t>523</t>
  </si>
  <si>
    <t>038</t>
  </si>
  <si>
    <t>089</t>
  </si>
  <si>
    <t>Practicum</t>
  </si>
  <si>
    <t>EGW Cert</t>
  </si>
  <si>
    <t>1-13</t>
  </si>
  <si>
    <t>30</t>
  </si>
  <si>
    <t>05-JUL-25</t>
  </si>
  <si>
    <t>31-JUL-25</t>
  </si>
  <si>
    <t>1700</t>
  </si>
  <si>
    <t>N310</t>
  </si>
  <si>
    <t>Johnson Gym [JGYM]</t>
  </si>
  <si>
    <t>THST: 11-1350-9120-70</t>
  </si>
  <si>
    <t>WMIS</t>
  </si>
  <si>
    <t>929</t>
  </si>
  <si>
    <t>ESM4</t>
  </si>
  <si>
    <t>03-OCT-25</t>
  </si>
  <si>
    <t>P-OTST940</t>
  </si>
  <si>
    <t>CHGE,CHPL,EVAN</t>
  </si>
  <si>
    <t>Progr. Restr.</t>
  </si>
  <si>
    <t>1123-02</t>
  </si>
  <si>
    <t>1148</t>
  </si>
  <si>
    <t>THST</t>
  </si>
  <si>
    <t>530</t>
  </si>
  <si>
    <t>040</t>
  </si>
  <si>
    <t>DIS</t>
  </si>
  <si>
    <t>093</t>
  </si>
  <si>
    <t>Seminar</t>
  </si>
  <si>
    <t>MAPM_HISP</t>
  </si>
  <si>
    <t>1-3</t>
  </si>
  <si>
    <t>35</t>
  </si>
  <si>
    <t>05-JUN-25</t>
  </si>
  <si>
    <t>1720</t>
  </si>
  <si>
    <t>N335</t>
  </si>
  <si>
    <t>Nethery Hall [NH]</t>
  </si>
  <si>
    <t>DMIN: 11-1170-9120-70-1170*</t>
  </si>
  <si>
    <t>ESTD</t>
  </si>
  <si>
    <t>04-AUG-25</t>
  </si>
  <si>
    <t>CHGE,EVAN</t>
  </si>
  <si>
    <t>16</t>
  </si>
  <si>
    <t>Credits</t>
  </si>
  <si>
    <t>1123-03</t>
  </si>
  <si>
    <t>1149</t>
  </si>
  <si>
    <t>536</t>
  </si>
  <si>
    <t>041</t>
  </si>
  <si>
    <t>DMIN</t>
  </si>
  <si>
    <t>104</t>
  </si>
  <si>
    <t>Workshop</t>
  </si>
  <si>
    <t>MAPM_ENGL</t>
  </si>
  <si>
    <t>1-4</t>
  </si>
  <si>
    <t>36</t>
  </si>
  <si>
    <t>04-JUN-25</t>
  </si>
  <si>
    <t>1730</t>
  </si>
  <si>
    <t>S120</t>
  </si>
  <si>
    <t>Pioneer Memorial Church [PMC]</t>
  </si>
  <si>
    <t>ESTM</t>
  </si>
  <si>
    <t>CHGE,HLEV,HLMN,PACC</t>
  </si>
  <si>
    <t>17</t>
  </si>
  <si>
    <t>Cap</t>
  </si>
  <si>
    <t>1124-01</t>
  </si>
  <si>
    <t>1150</t>
  </si>
  <si>
    <t>537</t>
  </si>
  <si>
    <t>042</t>
  </si>
  <si>
    <t>PHD/THD</t>
  </si>
  <si>
    <t>126</t>
  </si>
  <si>
    <t>MAR_INT</t>
  </si>
  <si>
    <t>1-5</t>
  </si>
  <si>
    <t>S215</t>
  </si>
  <si>
    <t>Seminary Building / Lake Union [SEM]</t>
  </si>
  <si>
    <t>CHLP</t>
  </si>
  <si>
    <t>Day</t>
  </si>
  <si>
    <t>1124-02</t>
  </si>
  <si>
    <t>1151</t>
  </si>
  <si>
    <t>538</t>
  </si>
  <si>
    <t>043</t>
  </si>
  <si>
    <t>PHD-RelEd</t>
  </si>
  <si>
    <t>128</t>
  </si>
  <si>
    <t>MAR_NAD</t>
  </si>
  <si>
    <t>1-6</t>
  </si>
  <si>
    <t>07-JUN-25</t>
  </si>
  <si>
    <t>S340</t>
  </si>
  <si>
    <t>Wellness Center [ACW]</t>
  </si>
  <si>
    <t>05-MAY-25</t>
  </si>
  <si>
    <t>EVAN</t>
  </si>
  <si>
    <t>19</t>
  </si>
  <si>
    <t>Time</t>
  </si>
  <si>
    <t>1124-03</t>
  </si>
  <si>
    <t>1154</t>
  </si>
  <si>
    <t>539</t>
  </si>
  <si>
    <t>POSTDOC</t>
  </si>
  <si>
    <t>129</t>
  </si>
  <si>
    <t>1-8</t>
  </si>
  <si>
    <t>08-JUN-25</t>
  </si>
  <si>
    <t>Advent Health University [OCFLAH]</t>
  </si>
  <si>
    <t>06-AUG-25</t>
  </si>
  <si>
    <t>EXEG</t>
  </si>
  <si>
    <t>Room</t>
  </si>
  <si>
    <t>1148-01</t>
  </si>
  <si>
    <t>1155</t>
  </si>
  <si>
    <t>540</t>
  </si>
  <si>
    <t>045</t>
  </si>
  <si>
    <t>EGW-Cert</t>
  </si>
  <si>
    <t>132</t>
  </si>
  <si>
    <t>1-9</t>
  </si>
  <si>
    <t>999</t>
  </si>
  <si>
    <t>07-NOV-25</t>
  </si>
  <si>
    <t>Thailand (Asia-Pacific Int Univ AIU) [OCTHA]</t>
  </si>
  <si>
    <t>06-JUL-25</t>
  </si>
  <si>
    <t>FT</t>
  </si>
  <si>
    <t>Location</t>
  </si>
  <si>
    <t>1149-01</t>
  </si>
  <si>
    <t>1159</t>
  </si>
  <si>
    <t>541</t>
  </si>
  <si>
    <t>055</t>
  </si>
  <si>
    <t>133</t>
  </si>
  <si>
    <t>1.5,2</t>
  </si>
  <si>
    <t>10-AUG-25</t>
  </si>
  <si>
    <t>Canadian Union (Burman University) [OCCABU]</t>
  </si>
  <si>
    <t>HITH</t>
  </si>
  <si>
    <t>22</t>
  </si>
  <si>
    <t>Instructor</t>
  </si>
  <si>
    <t>1150-01</t>
  </si>
  <si>
    <t>1160</t>
  </si>
  <si>
    <t>543</t>
  </si>
  <si>
    <t>065</t>
  </si>
  <si>
    <t>136</t>
  </si>
  <si>
    <t>10-JUN-25</t>
  </si>
  <si>
    <t>09-AUG-25</t>
  </si>
  <si>
    <t>Centro Univ Adv de Sao Paulo [OCBRA1]</t>
  </si>
  <si>
    <t>06-MAY-25</t>
  </si>
  <si>
    <t>HT</t>
  </si>
  <si>
    <t>23</t>
  </si>
  <si>
    <t>Add Fee</t>
  </si>
  <si>
    <t>1151-01</t>
  </si>
  <si>
    <t>1161</t>
  </si>
  <si>
    <t>546</t>
  </si>
  <si>
    <t>069</t>
  </si>
  <si>
    <t>137</t>
  </si>
  <si>
    <t>2,3</t>
  </si>
  <si>
    <t>Florida Conference of SDA [OCFLFC]</t>
  </si>
  <si>
    <t>07-AUG-25</t>
  </si>
  <si>
    <t>LLIT</t>
  </si>
  <si>
    <t>24</t>
  </si>
  <si>
    <t>Remove Fee</t>
  </si>
  <si>
    <t>1151-02</t>
  </si>
  <si>
    <t>1162</t>
  </si>
  <si>
    <t>549</t>
  </si>
  <si>
    <t>079</t>
  </si>
  <si>
    <t>138</t>
  </si>
  <si>
    <t>2-12</t>
  </si>
  <si>
    <t>13-JUL-25</t>
  </si>
  <si>
    <t>10-OCT-25</t>
  </si>
  <si>
    <t>Southern Union / Forest Lake SDA Church [OCFLFL]</t>
  </si>
  <si>
    <t>07-MAY-25</t>
  </si>
  <si>
    <t>NTBG</t>
  </si>
  <si>
    <t>1151-03</t>
  </si>
  <si>
    <t>1169</t>
  </si>
  <si>
    <t>551</t>
  </si>
  <si>
    <t>091</t>
  </si>
  <si>
    <t>146</t>
  </si>
  <si>
    <t>2-4</t>
  </si>
  <si>
    <t>13-MAY-25</t>
  </si>
  <si>
    <t>12-JUL-25</t>
  </si>
  <si>
    <t>Hong Kong Adventist College [OCCHK]</t>
  </si>
  <si>
    <t>08-JUL-25</t>
  </si>
  <si>
    <t>NTTH,PAUL,THEO</t>
  </si>
  <si>
    <t>26</t>
  </si>
  <si>
    <t>1151-04</t>
  </si>
  <si>
    <t>1170</t>
  </si>
  <si>
    <t>552</t>
  </si>
  <si>
    <t>092</t>
  </si>
  <si>
    <t>147</t>
  </si>
  <si>
    <t>2-8</t>
  </si>
  <si>
    <t>Loma Linda University [OCCALL]</t>
  </si>
  <si>
    <t>NTTH,SYNG,THEO</t>
  </si>
  <si>
    <t>27</t>
  </si>
  <si>
    <t>1154-01</t>
  </si>
  <si>
    <t>1171</t>
  </si>
  <si>
    <t>556</t>
  </si>
  <si>
    <t>095</t>
  </si>
  <si>
    <t>314</t>
  </si>
  <si>
    <t>14-JUN-25</t>
  </si>
  <si>
    <t>13-JUN-25</t>
  </si>
  <si>
    <t>Newbold College [OCGBR]</t>
  </si>
  <si>
    <t>08-MAY-25</t>
  </si>
  <si>
    <t>NTTH,THEO</t>
  </si>
  <si>
    <t>29</t>
  </si>
  <si>
    <t>1155-01</t>
  </si>
  <si>
    <t>1175</t>
  </si>
  <si>
    <t>557</t>
  </si>
  <si>
    <t>101</t>
  </si>
  <si>
    <t>315</t>
  </si>
  <si>
    <t>3,4</t>
  </si>
  <si>
    <t>15-AUG-25</t>
  </si>
  <si>
    <t>14-AUG-25</t>
  </si>
  <si>
    <t>Columbia Union / North American Division of SDA [OCMDND]</t>
  </si>
  <si>
    <t>09-APR-25</t>
  </si>
  <si>
    <t>OTHA</t>
  </si>
  <si>
    <t>1159-01</t>
  </si>
  <si>
    <t>1176</t>
  </si>
  <si>
    <t>560</t>
  </si>
  <si>
    <t>102</t>
  </si>
  <si>
    <t>316</t>
  </si>
  <si>
    <t>3-6</t>
  </si>
  <si>
    <t>North Pacific Union Conference [OCWANP]</t>
  </si>
  <si>
    <t>09-JUL-25</t>
  </si>
  <si>
    <t>PACC</t>
  </si>
  <si>
    <t>1160-01</t>
  </si>
  <si>
    <t>1177</t>
  </si>
  <si>
    <t>562</t>
  </si>
  <si>
    <t>103</t>
  </si>
  <si>
    <t>318</t>
  </si>
  <si>
    <t>4,5</t>
  </si>
  <si>
    <t>16-AUG-25</t>
  </si>
  <si>
    <t>Atlantic Union / Northern New England Conf [OCMENE]</t>
  </si>
  <si>
    <t>PREA,PWOR</t>
  </si>
  <si>
    <t>37</t>
  </si>
  <si>
    <t>1161-01</t>
  </si>
  <si>
    <t>1178</t>
  </si>
  <si>
    <t>567</t>
  </si>
  <si>
    <t>319</t>
  </si>
  <si>
    <t>5,6</t>
  </si>
  <si>
    <t>17-AUG-25</t>
  </si>
  <si>
    <t>17-JUL-25</t>
  </si>
  <si>
    <t>Southwestern Union / Oklahoma City Central [OCOKOC]</t>
  </si>
  <si>
    <t>09-MAY-25</t>
  </si>
  <si>
    <t>SMUS</t>
  </si>
  <si>
    <t>1162-01</t>
  </si>
  <si>
    <t>1180</t>
  </si>
  <si>
    <t>570</t>
  </si>
  <si>
    <t>105</t>
  </si>
  <si>
    <t>321</t>
  </si>
  <si>
    <t>Poland/Baltic States (Polish Senior College Theo&amp;Hum) [OCPOL]</t>
  </si>
  <si>
    <t>SYTH</t>
  </si>
  <si>
    <t>43</t>
  </si>
  <si>
    <t>1162-02</t>
  </si>
  <si>
    <t>571</t>
  </si>
  <si>
    <t>106</t>
  </si>
  <si>
    <t>322</t>
  </si>
  <si>
    <t>18-JUL-25</t>
  </si>
  <si>
    <t>17-MAY-25</t>
  </si>
  <si>
    <t>Pacific Union (Southeastern California Conf) [OCCASC]</t>
  </si>
  <si>
    <t>THEO</t>
  </si>
  <si>
    <t>1162-03</t>
  </si>
  <si>
    <t>1223</t>
  </si>
  <si>
    <t>574</t>
  </si>
  <si>
    <t>107</t>
  </si>
  <si>
    <t>323</t>
  </si>
  <si>
    <t>18-JUN-25</t>
  </si>
  <si>
    <t>Taiwan Adventist College [OCTWN]</t>
  </si>
  <si>
    <t>12-AUG-25</t>
  </si>
  <si>
    <t>51</t>
  </si>
  <si>
    <t>1162-04</t>
  </si>
  <si>
    <t>1235</t>
  </si>
  <si>
    <t>584</t>
  </si>
  <si>
    <t>108</t>
  </si>
  <si>
    <t>325</t>
  </si>
  <si>
    <t>19-JUL-25</t>
  </si>
  <si>
    <t>Ukrainan Adv Center Higher ED [OCUKR]</t>
  </si>
  <si>
    <t>12-JUN-25</t>
  </si>
  <si>
    <t>6</t>
  </si>
  <si>
    <t>1169-01</t>
  </si>
  <si>
    <t>1277</t>
  </si>
  <si>
    <t>588</t>
  </si>
  <si>
    <t>127</t>
  </si>
  <si>
    <t>326</t>
  </si>
  <si>
    <t>19-JUN-25</t>
  </si>
  <si>
    <t>Mid-American Union / Union College [OCNEUC]</t>
  </si>
  <si>
    <t>1170-01</t>
  </si>
  <si>
    <t>1279</t>
  </si>
  <si>
    <t>600</t>
  </si>
  <si>
    <t>327</t>
  </si>
  <si>
    <t>20-JUL-25</t>
  </si>
  <si>
    <t>Univ Adventista del Plata [OCARG]</t>
  </si>
  <si>
    <t>1171-01</t>
  </si>
  <si>
    <t>1305</t>
  </si>
  <si>
    <t>604</t>
  </si>
  <si>
    <t>328</t>
  </si>
  <si>
    <t>20-JUN-25</t>
  </si>
  <si>
    <t>Universitatea Adventus din Cer [OCROU]</t>
  </si>
  <si>
    <t>1171-02</t>
  </si>
  <si>
    <t>1309</t>
  </si>
  <si>
    <t>605</t>
  </si>
  <si>
    <t>131</t>
  </si>
  <si>
    <t>329</t>
  </si>
  <si>
    <t>21-JUL-25</t>
  </si>
  <si>
    <t>21-AUG-25</t>
  </si>
  <si>
    <t>Zaokski Theo Seminary [OCRUS]</t>
  </si>
  <si>
    <t>14-APR-25</t>
  </si>
  <si>
    <t>1171-03</t>
  </si>
  <si>
    <t>1311</t>
  </si>
  <si>
    <t>606</t>
  </si>
  <si>
    <t>330</t>
  </si>
  <si>
    <t>14-FEB-25</t>
  </si>
  <si>
    <t>1171-04</t>
  </si>
  <si>
    <t>1999</t>
  </si>
  <si>
    <t>607</t>
  </si>
  <si>
    <t>331</t>
  </si>
  <si>
    <t>22-AUG-25</t>
  </si>
  <si>
    <t>1175-01</t>
  </si>
  <si>
    <t>2005</t>
  </si>
  <si>
    <t>611</t>
  </si>
  <si>
    <t>201</t>
  </si>
  <si>
    <t>332</t>
  </si>
  <si>
    <t>22-MAY-25</t>
  </si>
  <si>
    <t>14-MAY-25</t>
  </si>
  <si>
    <t>1176-01</t>
  </si>
  <si>
    <t>2008</t>
  </si>
  <si>
    <t>612</t>
  </si>
  <si>
    <t>995</t>
  </si>
  <si>
    <t>333</t>
  </si>
  <si>
    <t>23-JUN-25</t>
  </si>
  <si>
    <t>22-NOV-25</t>
  </si>
  <si>
    <t>15-JUL-25</t>
  </si>
  <si>
    <t>1177-01</t>
  </si>
  <si>
    <t>2013</t>
  </si>
  <si>
    <t>614</t>
  </si>
  <si>
    <t>996</t>
  </si>
  <si>
    <t>334</t>
  </si>
  <si>
    <t>23-MAY-25</t>
  </si>
  <si>
    <t>15-MAY-25</t>
  </si>
  <si>
    <t>1178-01</t>
  </si>
  <si>
    <t>2022</t>
  </si>
  <si>
    <t>616</t>
  </si>
  <si>
    <t>997</t>
  </si>
  <si>
    <t>335</t>
  </si>
  <si>
    <t>24-MAY-25</t>
  </si>
  <si>
    <t>24-JUL-25</t>
  </si>
  <si>
    <t>16-APR-25</t>
  </si>
  <si>
    <t>1178-02</t>
  </si>
  <si>
    <t>2024</t>
  </si>
  <si>
    <t>618</t>
  </si>
  <si>
    <t>998</t>
  </si>
  <si>
    <t>336</t>
  </si>
  <si>
    <t>25-JUL-25</t>
  </si>
  <si>
    <t>17-APR-25</t>
  </si>
  <si>
    <t>1178-03</t>
  </si>
  <si>
    <t>2161</t>
  </si>
  <si>
    <t>620</t>
  </si>
  <si>
    <t>337</t>
  </si>
  <si>
    <t>1178-04</t>
  </si>
  <si>
    <t>2173</t>
  </si>
  <si>
    <t>624</t>
  </si>
  <si>
    <t>338</t>
  </si>
  <si>
    <t>25-FEB-26</t>
  </si>
  <si>
    <t>18-APR-25</t>
  </si>
  <si>
    <t>1180-01</t>
  </si>
  <si>
    <t>2199</t>
  </si>
  <si>
    <t>628</t>
  </si>
  <si>
    <t>339</t>
  </si>
  <si>
    <t>1220-01</t>
  </si>
  <si>
    <t>2200</t>
  </si>
  <si>
    <t>630</t>
  </si>
  <si>
    <t>346</t>
  </si>
  <si>
    <t>27-MAY-25</t>
  </si>
  <si>
    <t>19-AUG-25</t>
  </si>
  <si>
    <t>1223-01</t>
  </si>
  <si>
    <t>2204</t>
  </si>
  <si>
    <t>634</t>
  </si>
  <si>
    <t>28-JUL-25</t>
  </si>
  <si>
    <t>27-JAN-26</t>
  </si>
  <si>
    <t>1223-02</t>
  </si>
  <si>
    <t>2212</t>
  </si>
  <si>
    <t>635</t>
  </si>
  <si>
    <t>28-JUN-25</t>
  </si>
  <si>
    <t>27-JUL-25</t>
  </si>
  <si>
    <t>1235-01</t>
  </si>
  <si>
    <t>2214</t>
  </si>
  <si>
    <t>637</t>
  </si>
  <si>
    <t>30-MAY-25</t>
  </si>
  <si>
    <t>1277-01</t>
  </si>
  <si>
    <t>2216</t>
  </si>
  <si>
    <t>639</t>
  </si>
  <si>
    <t>31-MAY-25</t>
  </si>
  <si>
    <t>29-MAY-25</t>
  </si>
  <si>
    <t>20-MAR-25</t>
  </si>
  <si>
    <t>1279-01</t>
  </si>
  <si>
    <t>2217</t>
  </si>
  <si>
    <t>640</t>
  </si>
  <si>
    <t>20-MAY-25</t>
  </si>
  <si>
    <t>1305-01</t>
  </si>
  <si>
    <t>2218</t>
  </si>
  <si>
    <t>641</t>
  </si>
  <si>
    <t>21-APR-25</t>
  </si>
  <si>
    <t>1309-01</t>
  </si>
  <si>
    <t>2219</t>
  </si>
  <si>
    <t>645</t>
  </si>
  <si>
    <t>21-FEB-25</t>
  </si>
  <si>
    <t>1311-01</t>
  </si>
  <si>
    <t>2220</t>
  </si>
  <si>
    <t>652</t>
  </si>
  <si>
    <t>1999-01</t>
  </si>
  <si>
    <t>2221</t>
  </si>
  <si>
    <t>655</t>
  </si>
  <si>
    <t>21-MAY-25</t>
  </si>
  <si>
    <t>1999-02</t>
  </si>
  <si>
    <t>2241</t>
  </si>
  <si>
    <t>656</t>
  </si>
  <si>
    <t>22-JUL-25</t>
  </si>
  <si>
    <t>2005-01</t>
  </si>
  <si>
    <t>2252</t>
  </si>
  <si>
    <t>658</t>
  </si>
  <si>
    <t>2008-01</t>
  </si>
  <si>
    <t>2259</t>
  </si>
  <si>
    <t>660</t>
  </si>
  <si>
    <t>2013-01</t>
  </si>
  <si>
    <t>2260</t>
  </si>
  <si>
    <t>664</t>
  </si>
  <si>
    <t>23-APR-25</t>
  </si>
  <si>
    <t>2022-01</t>
  </si>
  <si>
    <t>2261</t>
  </si>
  <si>
    <t>668</t>
  </si>
  <si>
    <t>23-JUL-25</t>
  </si>
  <si>
    <t>2022-02</t>
  </si>
  <si>
    <t>2265</t>
  </si>
  <si>
    <t>670</t>
  </si>
  <si>
    <t>2024-01</t>
  </si>
  <si>
    <t>2267</t>
  </si>
  <si>
    <t>674</t>
  </si>
  <si>
    <t>24-APR-25</t>
  </si>
  <si>
    <t>2024-02</t>
  </si>
  <si>
    <t>2270</t>
  </si>
  <si>
    <t>676</t>
  </si>
  <si>
    <t>25-APR-25</t>
  </si>
  <si>
    <t>2161-01</t>
  </si>
  <si>
    <t>2271</t>
  </si>
  <si>
    <t>678</t>
  </si>
  <si>
    <t>2173-01</t>
  </si>
  <si>
    <t>2293</t>
  </si>
  <si>
    <t>680</t>
  </si>
  <si>
    <t>26-AUG-25</t>
  </si>
  <si>
    <t>2199-01</t>
  </si>
  <si>
    <t>2301</t>
  </si>
  <si>
    <t>684</t>
  </si>
  <si>
    <t>2200-01</t>
  </si>
  <si>
    <t>2302</t>
  </si>
  <si>
    <t>685</t>
  </si>
  <si>
    <t>2204-01</t>
  </si>
  <si>
    <t>2310</t>
  </si>
  <si>
    <t>686</t>
  </si>
  <si>
    <t>27-APR-25</t>
  </si>
  <si>
    <t>2212-01</t>
  </si>
  <si>
    <t>2384</t>
  </si>
  <si>
    <t>688</t>
  </si>
  <si>
    <t>27-JAN-25</t>
  </si>
  <si>
    <t>2214-01</t>
  </si>
  <si>
    <t>2385</t>
  </si>
  <si>
    <t>690</t>
  </si>
  <si>
    <t>2216-01</t>
  </si>
  <si>
    <t>2394</t>
  </si>
  <si>
    <t>695</t>
  </si>
  <si>
    <t>27-MAR-25</t>
  </si>
  <si>
    <t>2217-01</t>
  </si>
  <si>
    <t>2395</t>
  </si>
  <si>
    <t>697</t>
  </si>
  <si>
    <t>2218-01</t>
  </si>
  <si>
    <t>2396</t>
  </si>
  <si>
    <t>699</t>
  </si>
  <si>
    <t>28-APR-25</t>
  </si>
  <si>
    <t>2219-01</t>
  </si>
  <si>
    <t>2397</t>
  </si>
  <si>
    <t>788</t>
  </si>
  <si>
    <t>28-MAR-25</t>
  </si>
  <si>
    <t>2220-01</t>
  </si>
  <si>
    <t>2398</t>
  </si>
  <si>
    <t>796</t>
  </si>
  <si>
    <t>28-MAY-25</t>
  </si>
  <si>
    <t>2220-02</t>
  </si>
  <si>
    <t>2399</t>
  </si>
  <si>
    <t>805</t>
  </si>
  <si>
    <t>29-APR-25</t>
  </si>
  <si>
    <t>2220-03</t>
  </si>
  <si>
    <t>2404</t>
  </si>
  <si>
    <t>806</t>
  </si>
  <si>
    <t>2221-01</t>
  </si>
  <si>
    <t>2411</t>
  </si>
  <si>
    <t>827</t>
  </si>
  <si>
    <t>30-APR-25</t>
  </si>
  <si>
    <t>2221-02</t>
  </si>
  <si>
    <t>2462</t>
  </si>
  <si>
    <t>830</t>
  </si>
  <si>
    <t>30-JUL-25</t>
  </si>
  <si>
    <t>2221-03</t>
  </si>
  <si>
    <t>2490</t>
  </si>
  <si>
    <t>835</t>
  </si>
  <si>
    <t>30-JUN-25</t>
  </si>
  <si>
    <t>2241-01</t>
  </si>
  <si>
    <t>2492</t>
  </si>
  <si>
    <t>837</t>
  </si>
  <si>
    <t>2252-01</t>
  </si>
  <si>
    <t>2509</t>
  </si>
  <si>
    <t>840</t>
  </si>
  <si>
    <t>31-MAR-25</t>
  </si>
  <si>
    <t>2259-01</t>
  </si>
  <si>
    <t>2519</t>
  </si>
  <si>
    <t>844</t>
  </si>
  <si>
    <t>2259-02</t>
  </si>
  <si>
    <t>2535</t>
  </si>
  <si>
    <t>854</t>
  </si>
  <si>
    <t>2260-01</t>
  </si>
  <si>
    <t>2550</t>
  </si>
  <si>
    <t>870</t>
  </si>
  <si>
    <t>2260-02</t>
  </si>
  <si>
    <t>2580</t>
  </si>
  <si>
    <t>878</t>
  </si>
  <si>
    <t>2261-01</t>
  </si>
  <si>
    <t>2612</t>
  </si>
  <si>
    <t>880</t>
  </si>
  <si>
    <t>2261-02</t>
  </si>
  <si>
    <t>2694</t>
  </si>
  <si>
    <t>885</t>
  </si>
  <si>
    <t>2265-01</t>
  </si>
  <si>
    <t>2695</t>
  </si>
  <si>
    <t>888</t>
  </si>
  <si>
    <t>2265-02</t>
  </si>
  <si>
    <t>2696</t>
  </si>
  <si>
    <t>890</t>
  </si>
  <si>
    <t>2267-01</t>
  </si>
  <si>
    <t>2699</t>
  </si>
  <si>
    <t>891</t>
  </si>
  <si>
    <t>2270-01</t>
  </si>
  <si>
    <t>2700</t>
  </si>
  <si>
    <t>892</t>
  </si>
  <si>
    <t>2271-01</t>
  </si>
  <si>
    <t>2701</t>
  </si>
  <si>
    <t>895</t>
  </si>
  <si>
    <t>2293-01</t>
  </si>
  <si>
    <t>2702</t>
  </si>
  <si>
    <t>896</t>
  </si>
  <si>
    <t>2301-01</t>
  </si>
  <si>
    <t>2704</t>
  </si>
  <si>
    <t>897</t>
  </si>
  <si>
    <t>2301-02</t>
  </si>
  <si>
    <t>2735</t>
  </si>
  <si>
    <t>898</t>
  </si>
  <si>
    <t>2301-03</t>
  </si>
  <si>
    <t>2736</t>
  </si>
  <si>
    <t>899</t>
  </si>
  <si>
    <t>2302-01</t>
  </si>
  <si>
    <t>2739</t>
  </si>
  <si>
    <t>940</t>
  </si>
  <si>
    <t>2302-02</t>
  </si>
  <si>
    <t>2740</t>
  </si>
  <si>
    <t>945</t>
  </si>
  <si>
    <t>2302-03</t>
  </si>
  <si>
    <t>2741</t>
  </si>
  <si>
    <t>990</t>
  </si>
  <si>
    <t>2310-01</t>
  </si>
  <si>
    <t>2742</t>
  </si>
  <si>
    <t>994</t>
  </si>
  <si>
    <t>2310-02</t>
  </si>
  <si>
    <t>2743</t>
  </si>
  <si>
    <t>2384-01</t>
  </si>
  <si>
    <t>2749</t>
  </si>
  <si>
    <t>2385-01</t>
  </si>
  <si>
    <t>2789</t>
  </si>
  <si>
    <t>2385-02</t>
  </si>
  <si>
    <t>2790</t>
  </si>
  <si>
    <t>2394-01</t>
  </si>
  <si>
    <t>2791</t>
  </si>
  <si>
    <t>2395-01</t>
  </si>
  <si>
    <t>2793</t>
  </si>
  <si>
    <t>2396-01</t>
  </si>
  <si>
    <t>2796</t>
  </si>
  <si>
    <t>2396-02</t>
  </si>
  <si>
    <t>2802</t>
  </si>
  <si>
    <t>2397-01</t>
  </si>
  <si>
    <t>2804</t>
  </si>
  <si>
    <t>2397-02</t>
  </si>
  <si>
    <t>2805</t>
  </si>
  <si>
    <t>2398-01</t>
  </si>
  <si>
    <t>2806</t>
  </si>
  <si>
    <t>2398-02</t>
  </si>
  <si>
    <t>2807</t>
  </si>
  <si>
    <t>2399-01</t>
  </si>
  <si>
    <t>2808</t>
  </si>
  <si>
    <t>2399-02</t>
  </si>
  <si>
    <t>2809</t>
  </si>
  <si>
    <t>2404-01</t>
  </si>
  <si>
    <t>2813</t>
  </si>
  <si>
    <t>2404-02</t>
  </si>
  <si>
    <t>2814</t>
  </si>
  <si>
    <t>2411-01</t>
  </si>
  <si>
    <t>2818</t>
  </si>
  <si>
    <t>2411-02</t>
  </si>
  <si>
    <t>2819</t>
  </si>
  <si>
    <t>2462-01</t>
  </si>
  <si>
    <t>282</t>
  </si>
  <si>
    <t>2490-01</t>
  </si>
  <si>
    <t>2820</t>
  </si>
  <si>
    <t>2492-01</t>
  </si>
  <si>
    <t>2822</t>
  </si>
  <si>
    <t>2509-01</t>
  </si>
  <si>
    <t>2826</t>
  </si>
  <si>
    <t>2519-01</t>
  </si>
  <si>
    <t>2827</t>
  </si>
  <si>
    <t>2535-01</t>
  </si>
  <si>
    <t>283</t>
  </si>
  <si>
    <t>2550-01</t>
  </si>
  <si>
    <t>2835</t>
  </si>
  <si>
    <t>2580-01</t>
  </si>
  <si>
    <t>2836</t>
  </si>
  <si>
    <t>2612-01</t>
  </si>
  <si>
    <t>2838</t>
  </si>
  <si>
    <t>2694-01</t>
  </si>
  <si>
    <t>2841</t>
  </si>
  <si>
    <t>2694-02</t>
  </si>
  <si>
    <t>2847</t>
  </si>
  <si>
    <t>2695-01</t>
  </si>
  <si>
    <t>2852</t>
  </si>
  <si>
    <t>2696-01</t>
  </si>
  <si>
    <t>2855</t>
  </si>
  <si>
    <t>2699-01</t>
  </si>
  <si>
    <t>2856</t>
  </si>
  <si>
    <t>2699-02</t>
  </si>
  <si>
    <t>2859</t>
  </si>
  <si>
    <t>2700-01</t>
  </si>
  <si>
    <t>2860</t>
  </si>
  <si>
    <t>2701-01</t>
  </si>
  <si>
    <t>2865</t>
  </si>
  <si>
    <t>2702-01</t>
  </si>
  <si>
    <t>2871</t>
  </si>
  <si>
    <t>2704-01</t>
  </si>
  <si>
    <t>2879</t>
  </si>
  <si>
    <t>2704-02</t>
  </si>
  <si>
    <t>3057</t>
  </si>
  <si>
    <t>2704-03</t>
  </si>
  <si>
    <t>3073</t>
  </si>
  <si>
    <t>2735-01</t>
  </si>
  <si>
    <t>3079</t>
  </si>
  <si>
    <t>2735-02</t>
  </si>
  <si>
    <t>3080</t>
  </si>
  <si>
    <t>2735-03</t>
  </si>
  <si>
    <t>3097</t>
  </si>
  <si>
    <t>2735-04</t>
  </si>
  <si>
    <t>3106</t>
  </si>
  <si>
    <t>2735-05</t>
  </si>
  <si>
    <t>3109</t>
  </si>
  <si>
    <t>2735-06</t>
  </si>
  <si>
    <t>3125</t>
  </si>
  <si>
    <t>2736-01</t>
  </si>
  <si>
    <t>3163</t>
  </si>
  <si>
    <t>2736-02</t>
  </si>
  <si>
    <t>3184</t>
  </si>
  <si>
    <t>2739-01</t>
  </si>
  <si>
    <t>3185</t>
  </si>
  <si>
    <t>2740-01</t>
  </si>
  <si>
    <t>3186</t>
  </si>
  <si>
    <t>2740-02</t>
  </si>
  <si>
    <t>3188</t>
  </si>
  <si>
    <t>2741-01</t>
  </si>
  <si>
    <t>3189</t>
  </si>
  <si>
    <t>2742-01</t>
  </si>
  <si>
    <t>3261</t>
  </si>
  <si>
    <t>2743-01</t>
  </si>
  <si>
    <t>3262</t>
  </si>
  <si>
    <t>2743-02</t>
  </si>
  <si>
    <t>3264</t>
  </si>
  <si>
    <t>2749-01</t>
  </si>
  <si>
    <t>3265</t>
  </si>
  <si>
    <t>2789-01</t>
  </si>
  <si>
    <t>3266</t>
  </si>
  <si>
    <t>2789-02</t>
  </si>
  <si>
    <t>3267</t>
  </si>
  <si>
    <t>2790-01</t>
  </si>
  <si>
    <t>3268</t>
  </si>
  <si>
    <t>2791-01</t>
  </si>
  <si>
    <t>3269</t>
  </si>
  <si>
    <t>2793-01</t>
  </si>
  <si>
    <t>3270</t>
  </si>
  <si>
    <t>2796-01</t>
  </si>
  <si>
    <t>3271</t>
  </si>
  <si>
    <t>2802-01</t>
  </si>
  <si>
    <t>3272</t>
  </si>
  <si>
    <t>2802-02</t>
  </si>
  <si>
    <t>3273</t>
  </si>
  <si>
    <t>2804-01</t>
  </si>
  <si>
    <t>3274</t>
  </si>
  <si>
    <t>2804-02</t>
  </si>
  <si>
    <t>3275</t>
  </si>
  <si>
    <t>2805-01</t>
  </si>
  <si>
    <t>3278</t>
  </si>
  <si>
    <t>2805-02</t>
  </si>
  <si>
    <t>3279</t>
  </si>
  <si>
    <t>2806-01</t>
  </si>
  <si>
    <t>3284</t>
  </si>
  <si>
    <t>2806-02</t>
  </si>
  <si>
    <t>3285</t>
  </si>
  <si>
    <t>2807-01</t>
  </si>
  <si>
    <t>3286</t>
  </si>
  <si>
    <t>2808-01</t>
  </si>
  <si>
    <t>3287</t>
  </si>
  <si>
    <t>2808-02</t>
  </si>
  <si>
    <t>3288</t>
  </si>
  <si>
    <t>2809-01</t>
  </si>
  <si>
    <t>3289</t>
  </si>
  <si>
    <t>2809-02</t>
  </si>
  <si>
    <t>2813-01</t>
  </si>
  <si>
    <t>3290</t>
  </si>
  <si>
    <t>2813-02</t>
  </si>
  <si>
    <t>3291</t>
  </si>
  <si>
    <t>2814-01</t>
  </si>
  <si>
    <t>3292</t>
  </si>
  <si>
    <t>2818-01</t>
  </si>
  <si>
    <t>3293</t>
  </si>
  <si>
    <t>2819-01</t>
  </si>
  <si>
    <t>3294</t>
  </si>
  <si>
    <t>282-01</t>
  </si>
  <si>
    <t>3295</t>
  </si>
  <si>
    <t>2820-01</t>
  </si>
  <si>
    <t>3296</t>
  </si>
  <si>
    <t>2822-01</t>
  </si>
  <si>
    <t>3297</t>
  </si>
  <si>
    <t>2826-01</t>
  </si>
  <si>
    <t>3298</t>
  </si>
  <si>
    <t>2827-01</t>
  </si>
  <si>
    <t>3299</t>
  </si>
  <si>
    <t>283-01</t>
  </si>
  <si>
    <t>2835-01</t>
  </si>
  <si>
    <t>3300</t>
  </si>
  <si>
    <t>2835-02</t>
  </si>
  <si>
    <t>3301</t>
  </si>
  <si>
    <t>2836-01</t>
  </si>
  <si>
    <t>3302</t>
  </si>
  <si>
    <t>2836-02</t>
  </si>
  <si>
    <t>3303</t>
  </si>
  <si>
    <t>2838-01</t>
  </si>
  <si>
    <t>3304</t>
  </si>
  <si>
    <t>2838-02</t>
  </si>
  <si>
    <t>3305</t>
  </si>
  <si>
    <t>2841-01</t>
  </si>
  <si>
    <t>3306</t>
  </si>
  <si>
    <t>2847-01</t>
  </si>
  <si>
    <t>3307</t>
  </si>
  <si>
    <t>2852-01</t>
  </si>
  <si>
    <t>3308</t>
  </si>
  <si>
    <t>2855-01</t>
  </si>
  <si>
    <t>3309</t>
  </si>
  <si>
    <t>2855-02</t>
  </si>
  <si>
    <t>2856-01</t>
  </si>
  <si>
    <t>3310</t>
  </si>
  <si>
    <t>2859-01</t>
  </si>
  <si>
    <t>3311</t>
  </si>
  <si>
    <t>2860-01</t>
  </si>
  <si>
    <t>3312</t>
  </si>
  <si>
    <t>2865-01</t>
  </si>
  <si>
    <t>3313</t>
  </si>
  <si>
    <t>2871-01</t>
  </si>
  <si>
    <t>3314</t>
  </si>
  <si>
    <t>2879-01</t>
  </si>
  <si>
    <t>3315</t>
  </si>
  <si>
    <t>3057-01</t>
  </si>
  <si>
    <t>3316</t>
  </si>
  <si>
    <t>3073-01</t>
  </si>
  <si>
    <t>3317</t>
  </si>
  <si>
    <t>3073-02</t>
  </si>
  <si>
    <t>3318</t>
  </si>
  <si>
    <t>3073-03</t>
  </si>
  <si>
    <t>3319</t>
  </si>
  <si>
    <t>3073-04</t>
  </si>
  <si>
    <t>3079-01</t>
  </si>
  <si>
    <t>3320</t>
  </si>
  <si>
    <t>3080-01</t>
  </si>
  <si>
    <t>3321</t>
  </si>
  <si>
    <t>3097-01</t>
  </si>
  <si>
    <t>3322</t>
  </si>
  <si>
    <t>3097-02</t>
  </si>
  <si>
    <t>3323</t>
  </si>
  <si>
    <t>3106-01</t>
  </si>
  <si>
    <t>3109-01</t>
  </si>
  <si>
    <t>3125-01</t>
  </si>
  <si>
    <t>3125-02</t>
  </si>
  <si>
    <t>3163-01</t>
  </si>
  <si>
    <t>3362</t>
  </si>
  <si>
    <t>3184-01</t>
  </si>
  <si>
    <t>3363</t>
  </si>
  <si>
    <t>3184-02</t>
  </si>
  <si>
    <t>3364</t>
  </si>
  <si>
    <t>3184-03</t>
  </si>
  <si>
    <t>3365</t>
  </si>
  <si>
    <t>3185-01</t>
  </si>
  <si>
    <t>3366</t>
  </si>
  <si>
    <t>3185-02</t>
  </si>
  <si>
    <t>3367</t>
  </si>
  <si>
    <t>3185-03</t>
  </si>
  <si>
    <t>3368</t>
  </si>
  <si>
    <t>3186-01</t>
  </si>
  <si>
    <t>3369</t>
  </si>
  <si>
    <t>3186-02</t>
  </si>
  <si>
    <t>3186-03</t>
  </si>
  <si>
    <t>3370</t>
  </si>
  <si>
    <t>3188-01</t>
  </si>
  <si>
    <t>3371</t>
  </si>
  <si>
    <t>3188-02</t>
  </si>
  <si>
    <t>3373</t>
  </si>
  <si>
    <t>3188-03</t>
  </si>
  <si>
    <t>3374</t>
  </si>
  <si>
    <t>3189-01</t>
  </si>
  <si>
    <t>3375</t>
  </si>
  <si>
    <t>3189-02</t>
  </si>
  <si>
    <t>3376</t>
  </si>
  <si>
    <t>3189-03</t>
  </si>
  <si>
    <t>3377</t>
  </si>
  <si>
    <t>3261-01</t>
  </si>
  <si>
    <t>3378</t>
  </si>
  <si>
    <t>3261-02</t>
  </si>
  <si>
    <t>3379</t>
  </si>
  <si>
    <t>3262-01</t>
  </si>
  <si>
    <t>3262-02</t>
  </si>
  <si>
    <t>3380</t>
  </si>
  <si>
    <t>3264-01</t>
  </si>
  <si>
    <t>3381</t>
  </si>
  <si>
    <t>3264-02</t>
  </si>
  <si>
    <t>3382</t>
  </si>
  <si>
    <t>3265-01</t>
  </si>
  <si>
    <t>3383</t>
  </si>
  <si>
    <t>3265-02</t>
  </si>
  <si>
    <t>3384</t>
  </si>
  <si>
    <t>3265-03</t>
  </si>
  <si>
    <t>3385</t>
  </si>
  <si>
    <t>3265-04</t>
  </si>
  <si>
    <t>3386</t>
  </si>
  <si>
    <t>3266-01</t>
  </si>
  <si>
    <t>3387</t>
  </si>
  <si>
    <t>3267-01</t>
  </si>
  <si>
    <t>3388</t>
  </si>
  <si>
    <t>3267-02</t>
  </si>
  <si>
    <t>3389</t>
  </si>
  <si>
    <t>3268-01</t>
  </si>
  <si>
    <t>3268-02</t>
  </si>
  <si>
    <t>3391</t>
  </si>
  <si>
    <t>3269-01</t>
  </si>
  <si>
    <t>3392</t>
  </si>
  <si>
    <t>3269-02</t>
  </si>
  <si>
    <t>3393</t>
  </si>
  <si>
    <t>3270-01</t>
  </si>
  <si>
    <t>3394</t>
  </si>
  <si>
    <t>3270-02</t>
  </si>
  <si>
    <t>3395</t>
  </si>
  <si>
    <t>3271-01</t>
  </si>
  <si>
    <t>3396</t>
  </si>
  <si>
    <t>3271-02</t>
  </si>
  <si>
    <t>3397</t>
  </si>
  <si>
    <t>3272-01</t>
  </si>
  <si>
    <t>3398</t>
  </si>
  <si>
    <t>3273-01</t>
  </si>
  <si>
    <t>3399</t>
  </si>
  <si>
    <t>3273-02</t>
  </si>
  <si>
    <t>340</t>
  </si>
  <si>
    <t>3273-03</t>
  </si>
  <si>
    <t>3400</t>
  </si>
  <si>
    <t>3273-04</t>
  </si>
  <si>
    <t>3401</t>
  </si>
  <si>
    <t>3273-05</t>
  </si>
  <si>
    <t>3402</t>
  </si>
  <si>
    <t>3274-01</t>
  </si>
  <si>
    <t>3404</t>
  </si>
  <si>
    <t>3274-02</t>
  </si>
  <si>
    <t>3405</t>
  </si>
  <si>
    <t>3275-01</t>
  </si>
  <si>
    <t>3406</t>
  </si>
  <si>
    <t>3275-02</t>
  </si>
  <si>
    <t>341</t>
  </si>
  <si>
    <t>3278-01</t>
  </si>
  <si>
    <t>3415</t>
  </si>
  <si>
    <t>3278-02</t>
  </si>
  <si>
    <t>3419</t>
  </si>
  <si>
    <t>3278-03</t>
  </si>
  <si>
    <t>342</t>
  </si>
  <si>
    <t>3279-01</t>
  </si>
  <si>
    <t>3420</t>
  </si>
  <si>
    <t>3279-02</t>
  </si>
  <si>
    <t>3421</t>
  </si>
  <si>
    <t>3284-01</t>
  </si>
  <si>
    <t>343</t>
  </si>
  <si>
    <t>3284-02</t>
  </si>
  <si>
    <t>344</t>
  </si>
  <si>
    <t>3284-03</t>
  </si>
  <si>
    <t>345</t>
  </si>
  <si>
    <t>3285-01</t>
  </si>
  <si>
    <t>3451</t>
  </si>
  <si>
    <t>3285-02</t>
  </si>
  <si>
    <t>3452</t>
  </si>
  <si>
    <t>3285-03</t>
  </si>
  <si>
    <t>3453</t>
  </si>
  <si>
    <t>3286-01</t>
  </si>
  <si>
    <t>3286-02</t>
  </si>
  <si>
    <t>347</t>
  </si>
  <si>
    <t>3286-03</t>
  </si>
  <si>
    <t>349</t>
  </si>
  <si>
    <t>3287-01</t>
  </si>
  <si>
    <t>350</t>
  </si>
  <si>
    <t>3287-02</t>
  </si>
  <si>
    <t>351</t>
  </si>
  <si>
    <t>3287-03</t>
  </si>
  <si>
    <t>352</t>
  </si>
  <si>
    <t>3288-01</t>
  </si>
  <si>
    <t>3528</t>
  </si>
  <si>
    <t>3288-02</t>
  </si>
  <si>
    <t>3531</t>
  </si>
  <si>
    <t>3288-03</t>
  </si>
  <si>
    <t>3549</t>
  </si>
  <si>
    <t>3289-01</t>
  </si>
  <si>
    <t>356</t>
  </si>
  <si>
    <t>3289-02</t>
  </si>
  <si>
    <t>357</t>
  </si>
  <si>
    <t>3289-03</t>
  </si>
  <si>
    <t>360</t>
  </si>
  <si>
    <t>329-01</t>
  </si>
  <si>
    <t>361</t>
  </si>
  <si>
    <t>3290-01</t>
  </si>
  <si>
    <t>448</t>
  </si>
  <si>
    <t>3290-02</t>
  </si>
  <si>
    <t>449</t>
  </si>
  <si>
    <t>3290-03</t>
  </si>
  <si>
    <t>516</t>
  </si>
  <si>
    <t>3291-01</t>
  </si>
  <si>
    <t>517</t>
  </si>
  <si>
    <t>3291-02</t>
  </si>
  <si>
    <t>519</t>
  </si>
  <si>
    <t>3291-03</t>
  </si>
  <si>
    <t>3292-01</t>
  </si>
  <si>
    <t>524</t>
  </si>
  <si>
    <t>3292-02</t>
  </si>
  <si>
    <t>643</t>
  </si>
  <si>
    <t>3293-01</t>
  </si>
  <si>
    <t>646</t>
  </si>
  <si>
    <t>3293-02</t>
  </si>
  <si>
    <t>647</t>
  </si>
  <si>
    <t>3294-01</t>
  </si>
  <si>
    <t>648</t>
  </si>
  <si>
    <t>3294-02</t>
  </si>
  <si>
    <t>650</t>
  </si>
  <si>
    <t>3295-01</t>
  </si>
  <si>
    <t>651</t>
  </si>
  <si>
    <t>3295-02</t>
  </si>
  <si>
    <t>653</t>
  </si>
  <si>
    <t>3296-01</t>
  </si>
  <si>
    <t>654</t>
  </si>
  <si>
    <t>3296-02</t>
  </si>
  <si>
    <t>3297-01</t>
  </si>
  <si>
    <t>3297-02</t>
  </si>
  <si>
    <t>657</t>
  </si>
  <si>
    <t>3297-03</t>
  </si>
  <si>
    <t>3297-04</t>
  </si>
  <si>
    <t>659</t>
  </si>
  <si>
    <t>3298-01</t>
  </si>
  <si>
    <t>3298-02</t>
  </si>
  <si>
    <t>663</t>
  </si>
  <si>
    <t>3299-01</t>
  </si>
  <si>
    <t>3299-02</t>
  </si>
  <si>
    <t>665</t>
  </si>
  <si>
    <t>3299-03</t>
  </si>
  <si>
    <t>666</t>
  </si>
  <si>
    <t>330-01</t>
  </si>
  <si>
    <t>667</t>
  </si>
  <si>
    <t>3300-01</t>
  </si>
  <si>
    <t>3301-01</t>
  </si>
  <si>
    <t>669</t>
  </si>
  <si>
    <t>3302-01</t>
  </si>
  <si>
    <t>3302-02</t>
  </si>
  <si>
    <t>671</t>
  </si>
  <si>
    <t>3303-01</t>
  </si>
  <si>
    <t>672</t>
  </si>
  <si>
    <t>3303-02</t>
  </si>
  <si>
    <t>673</t>
  </si>
  <si>
    <t>3304-01</t>
  </si>
  <si>
    <t>3305-01</t>
  </si>
  <si>
    <t>675</t>
  </si>
  <si>
    <t>3305-02</t>
  </si>
  <si>
    <t>3306-01</t>
  </si>
  <si>
    <t>677</t>
  </si>
  <si>
    <t>3307-01</t>
  </si>
  <si>
    <t>3307-02</t>
  </si>
  <si>
    <t>679</t>
  </si>
  <si>
    <t>3308-01</t>
  </si>
  <si>
    <t>3309-01</t>
  </si>
  <si>
    <t>681</t>
  </si>
  <si>
    <t>331-01</t>
  </si>
  <si>
    <t>682</t>
  </si>
  <si>
    <t>3310-01</t>
  </si>
  <si>
    <t>3310-02</t>
  </si>
  <si>
    <t>701</t>
  </si>
  <si>
    <t>3311-01</t>
  </si>
  <si>
    <t>704</t>
  </si>
  <si>
    <t>3312-01</t>
  </si>
  <si>
    <t>706</t>
  </si>
  <si>
    <t>3312-02</t>
  </si>
  <si>
    <t>707</t>
  </si>
  <si>
    <t>3313-01</t>
  </si>
  <si>
    <t>709</t>
  </si>
  <si>
    <t>3313-02</t>
  </si>
  <si>
    <t>712</t>
  </si>
  <si>
    <t>3314-01</t>
  </si>
  <si>
    <t>718</t>
  </si>
  <si>
    <t>3314-02</t>
  </si>
  <si>
    <t>719</t>
  </si>
  <si>
    <t>3314-03</t>
  </si>
  <si>
    <t>731</t>
  </si>
  <si>
    <t>3314-04</t>
  </si>
  <si>
    <t>741</t>
  </si>
  <si>
    <t>3314-05</t>
  </si>
  <si>
    <t>742</t>
  </si>
  <si>
    <t>3314-06</t>
  </si>
  <si>
    <t>743</t>
  </si>
  <si>
    <t>3314-07</t>
  </si>
  <si>
    <t>744</t>
  </si>
  <si>
    <t>3314-08</t>
  </si>
  <si>
    <t>764</t>
  </si>
  <si>
    <t>3314-09</t>
  </si>
  <si>
    <t>765</t>
  </si>
  <si>
    <t>3314-10</t>
  </si>
  <si>
    <t>841</t>
  </si>
  <si>
    <t>3314-11</t>
  </si>
  <si>
    <t>843</t>
  </si>
  <si>
    <t>3314-12</t>
  </si>
  <si>
    <t>849</t>
  </si>
  <si>
    <t>3315-01</t>
  </si>
  <si>
    <t>850</t>
  </si>
  <si>
    <t>3315-02</t>
  </si>
  <si>
    <t>851</t>
  </si>
  <si>
    <t>3315-03</t>
  </si>
  <si>
    <t>852</t>
  </si>
  <si>
    <t>3316-01</t>
  </si>
  <si>
    <t>853</t>
  </si>
  <si>
    <t>3317-01</t>
  </si>
  <si>
    <t>3317-02</t>
  </si>
  <si>
    <t>857</t>
  </si>
  <si>
    <t>3317-03</t>
  </si>
  <si>
    <t>3318-01</t>
  </si>
  <si>
    <t>3318-02</t>
  </si>
  <si>
    <t>3318-03</t>
  </si>
  <si>
    <t>3319-01</t>
  </si>
  <si>
    <t>332-01</t>
  </si>
  <si>
    <t>3320-01</t>
  </si>
  <si>
    <t>3320-02</t>
  </si>
  <si>
    <t>3321-01</t>
  </si>
  <si>
    <t>3321-02</t>
  </si>
  <si>
    <t>3322-01</t>
  </si>
  <si>
    <t>3322-02</t>
  </si>
  <si>
    <t>3323-01</t>
  </si>
  <si>
    <t>3323-02</t>
  </si>
  <si>
    <t>333-01</t>
  </si>
  <si>
    <t>334-01</t>
  </si>
  <si>
    <t>335-01</t>
  </si>
  <si>
    <t>336-01</t>
  </si>
  <si>
    <t>3362-01</t>
  </si>
  <si>
    <t>3362-02</t>
  </si>
  <si>
    <t>3363-01</t>
  </si>
  <si>
    <t>3364-01</t>
  </si>
  <si>
    <t>3364-02</t>
  </si>
  <si>
    <t>3365-01</t>
  </si>
  <si>
    <t>3366-01</t>
  </si>
  <si>
    <t>3367-01</t>
  </si>
  <si>
    <t>3367-02</t>
  </si>
  <si>
    <t>3368-01</t>
  </si>
  <si>
    <t>3368-02</t>
  </si>
  <si>
    <t>3369-01</t>
  </si>
  <si>
    <t>3369-02</t>
  </si>
  <si>
    <t>337-01</t>
  </si>
  <si>
    <t>3370-01</t>
  </si>
  <si>
    <t>3370-02</t>
  </si>
  <si>
    <t>3371-01</t>
  </si>
  <si>
    <t>3371-02</t>
  </si>
  <si>
    <t>3373-01</t>
  </si>
  <si>
    <t>3374-01</t>
  </si>
  <si>
    <t>3375-01</t>
  </si>
  <si>
    <t>3376-01</t>
  </si>
  <si>
    <t>3377-01</t>
  </si>
  <si>
    <t>3378-01</t>
  </si>
  <si>
    <t>3379-01</t>
  </si>
  <si>
    <t>338-01</t>
  </si>
  <si>
    <t>3380-01</t>
  </si>
  <si>
    <t>3381-01</t>
  </si>
  <si>
    <t>3382-01</t>
  </si>
  <si>
    <t>3383-01</t>
  </si>
  <si>
    <t>3384-01</t>
  </si>
  <si>
    <t>3385-01</t>
  </si>
  <si>
    <t>3385-02</t>
  </si>
  <si>
    <t>3386-01</t>
  </si>
  <si>
    <t>3386-02</t>
  </si>
  <si>
    <t>3387-01</t>
  </si>
  <si>
    <t>3388-01</t>
  </si>
  <si>
    <t>3388-02</t>
  </si>
  <si>
    <t>3389-01</t>
  </si>
  <si>
    <t>339-01</t>
  </si>
  <si>
    <t>3391-01</t>
  </si>
  <si>
    <t>3391-02</t>
  </si>
  <si>
    <t>3392-01</t>
  </si>
  <si>
    <t>3392-02</t>
  </si>
  <si>
    <t>3393-01</t>
  </si>
  <si>
    <t>3394-01</t>
  </si>
  <si>
    <t>3394-02</t>
  </si>
  <si>
    <t>3395-01</t>
  </si>
  <si>
    <t>3396-01</t>
  </si>
  <si>
    <t>3396-02</t>
  </si>
  <si>
    <t>3397-01</t>
  </si>
  <si>
    <t>3397-02</t>
  </si>
  <si>
    <t>3398-01</t>
  </si>
  <si>
    <t>3398-02</t>
  </si>
  <si>
    <t>3399-01</t>
  </si>
  <si>
    <t>3399-02</t>
  </si>
  <si>
    <t>340-01</t>
  </si>
  <si>
    <t>3400-01</t>
  </si>
  <si>
    <t>3400-02</t>
  </si>
  <si>
    <t>3401-01</t>
  </si>
  <si>
    <t>3402-01</t>
  </si>
  <si>
    <t>3404-01</t>
  </si>
  <si>
    <t>3405-01</t>
  </si>
  <si>
    <t>3406-01</t>
  </si>
  <si>
    <t>341-01</t>
  </si>
  <si>
    <t>3415-01</t>
  </si>
  <si>
    <t>3419-01</t>
  </si>
  <si>
    <t>3419-02</t>
  </si>
  <si>
    <t>342-01</t>
  </si>
  <si>
    <t>3420-01</t>
  </si>
  <si>
    <t>3420-02</t>
  </si>
  <si>
    <t>3421-01</t>
  </si>
  <si>
    <t>343-01</t>
  </si>
  <si>
    <t>344-01</t>
  </si>
  <si>
    <t>345-01</t>
  </si>
  <si>
    <t>3451-01</t>
  </si>
  <si>
    <t>3451-02</t>
  </si>
  <si>
    <t>3451-03</t>
  </si>
  <si>
    <t>3451-04</t>
  </si>
  <si>
    <t>3451-05</t>
  </si>
  <si>
    <t>3452-01</t>
  </si>
  <si>
    <t>3453-01</t>
  </si>
  <si>
    <t>346-01</t>
  </si>
  <si>
    <t>347-01</t>
  </si>
  <si>
    <t>349-01</t>
  </si>
  <si>
    <t>350-01</t>
  </si>
  <si>
    <t>351-01</t>
  </si>
  <si>
    <t>352-01</t>
  </si>
  <si>
    <t>3528-01</t>
  </si>
  <si>
    <t>3528-02</t>
  </si>
  <si>
    <t>3528-03</t>
  </si>
  <si>
    <t>3528-04</t>
  </si>
  <si>
    <t>3528-05</t>
  </si>
  <si>
    <t>3528-06</t>
  </si>
  <si>
    <t>3528-07</t>
  </si>
  <si>
    <t>3528-08</t>
  </si>
  <si>
    <t>3528-09</t>
  </si>
  <si>
    <t>3528-10</t>
  </si>
  <si>
    <t>3531-01</t>
  </si>
  <si>
    <t>3549-01</t>
  </si>
  <si>
    <t>356-01</t>
  </si>
  <si>
    <t>357-01</t>
  </si>
  <si>
    <t>360-01</t>
  </si>
  <si>
    <t>361-01</t>
  </si>
  <si>
    <t>361-02</t>
  </si>
  <si>
    <t>448-01</t>
  </si>
  <si>
    <t>448-02</t>
  </si>
  <si>
    <t>449-01</t>
  </si>
  <si>
    <t>516-01</t>
  </si>
  <si>
    <t>517-01</t>
  </si>
  <si>
    <t>519-01</t>
  </si>
  <si>
    <t>520-01</t>
  </si>
  <si>
    <t>520-02</t>
  </si>
  <si>
    <t>520-03</t>
  </si>
  <si>
    <t>524-01</t>
  </si>
  <si>
    <t>524-02</t>
  </si>
  <si>
    <t>524-03</t>
  </si>
  <si>
    <t>643-01</t>
  </si>
  <si>
    <t>646-01</t>
  </si>
  <si>
    <t>647-01</t>
  </si>
  <si>
    <t>648-01</t>
  </si>
  <si>
    <t>650-01</t>
  </si>
  <si>
    <t>651-01</t>
  </si>
  <si>
    <t>653-01</t>
  </si>
  <si>
    <t>654-01</t>
  </si>
  <si>
    <t>655-01</t>
  </si>
  <si>
    <t>656-01</t>
  </si>
  <si>
    <t>657-01</t>
  </si>
  <si>
    <t>658-01</t>
  </si>
  <si>
    <t>659-01</t>
  </si>
  <si>
    <t>660-01</t>
  </si>
  <si>
    <t>663-01</t>
  </si>
  <si>
    <t>664-01</t>
  </si>
  <si>
    <t>665-01</t>
  </si>
  <si>
    <t>666-01</t>
  </si>
  <si>
    <t>667-01</t>
  </si>
  <si>
    <t>668-01</t>
  </si>
  <si>
    <t>669-01</t>
  </si>
  <si>
    <t>670-01</t>
  </si>
  <si>
    <t>671-01</t>
  </si>
  <si>
    <t>672-01</t>
  </si>
  <si>
    <t>673-01</t>
  </si>
  <si>
    <t>674-01</t>
  </si>
  <si>
    <t>675-01</t>
  </si>
  <si>
    <t>676-01</t>
  </si>
  <si>
    <t>677-01</t>
  </si>
  <si>
    <t>677-02</t>
  </si>
  <si>
    <t>677-03</t>
  </si>
  <si>
    <t>677-04</t>
  </si>
  <si>
    <t>678-01</t>
  </si>
  <si>
    <t>679-01</t>
  </si>
  <si>
    <t>680-01</t>
  </si>
  <si>
    <t>681-01</t>
  </si>
  <si>
    <t>682-01</t>
  </si>
  <si>
    <t>697-01</t>
  </si>
  <si>
    <t>697-02</t>
  </si>
  <si>
    <t>701-01</t>
  </si>
  <si>
    <t>704-01</t>
  </si>
  <si>
    <t>704-02</t>
  </si>
  <si>
    <t>706-01</t>
  </si>
  <si>
    <t>706-02</t>
  </si>
  <si>
    <t>706-03</t>
  </si>
  <si>
    <t>706-04</t>
  </si>
  <si>
    <t>707-01</t>
  </si>
  <si>
    <t>707-02</t>
  </si>
  <si>
    <t>709-01</t>
  </si>
  <si>
    <t>709-02</t>
  </si>
  <si>
    <t>712-01</t>
  </si>
  <si>
    <t>712-02</t>
  </si>
  <si>
    <t>718-01</t>
  </si>
  <si>
    <t>718-02</t>
  </si>
  <si>
    <t>719-01</t>
  </si>
  <si>
    <t>719-02</t>
  </si>
  <si>
    <t>719-03</t>
  </si>
  <si>
    <t>719-04</t>
  </si>
  <si>
    <t>731-01</t>
  </si>
  <si>
    <t>731-02</t>
  </si>
  <si>
    <t>741-01</t>
  </si>
  <si>
    <t>742-01</t>
  </si>
  <si>
    <t>743-01</t>
  </si>
  <si>
    <t>744-01</t>
  </si>
  <si>
    <t>764-01</t>
  </si>
  <si>
    <t>765-01</t>
  </si>
  <si>
    <t>841-01</t>
  </si>
  <si>
    <t>841-02</t>
  </si>
  <si>
    <t>843-01</t>
  </si>
  <si>
    <t>843-02</t>
  </si>
  <si>
    <t>849-01</t>
  </si>
  <si>
    <t>850-01</t>
  </si>
  <si>
    <t>851-01</t>
  </si>
  <si>
    <t>852-01</t>
  </si>
  <si>
    <t>853-01</t>
  </si>
  <si>
    <t>854-01</t>
  </si>
  <si>
    <t>857-01</t>
  </si>
  <si>
    <t>Faculty Name</t>
  </si>
  <si>
    <t>ID#</t>
  </si>
  <si>
    <t>email</t>
  </si>
  <si>
    <t>000114991</t>
  </si>
  <si>
    <t>abar@andrews.edu</t>
  </si>
  <si>
    <t>000042516</t>
  </si>
  <si>
    <t>radisa@andrews.edu</t>
  </si>
  <si>
    <t>000003539</t>
  </si>
  <si>
    <t>augsburg@andrews.edu</t>
  </si>
  <si>
    <t>000141959</t>
  </si>
  <si>
    <t>degaliza@andrews.edu</t>
  </si>
  <si>
    <t>000107673</t>
  </si>
  <si>
    <t>barna@andrews.edu</t>
  </si>
  <si>
    <t>000148286</t>
  </si>
  <si>
    <t>burtonk@andrews.edu</t>
  </si>
  <si>
    <t>000232177</t>
  </si>
  <si>
    <t>christiechu@andrews.edu</t>
  </si>
  <si>
    <t>000009168</t>
  </si>
  <si>
    <t>damsteeg@andrews.edu</t>
  </si>
  <si>
    <t>000055527</t>
  </si>
  <si>
    <t>figuerov@andrews.edu</t>
  </si>
  <si>
    <t>000239625</t>
  </si>
  <si>
    <t>gameti@andrews.edu</t>
  </si>
  <si>
    <t>000147941</t>
  </si>
  <si>
    <t>heber@andrews.edu</t>
  </si>
  <si>
    <t>000143159</t>
  </si>
  <si>
    <t>angelika@andrews.edu</t>
  </si>
  <si>
    <t>000134382</t>
  </si>
  <si>
    <t>denis@andrews.edu</t>
  </si>
  <si>
    <t>000160504</t>
  </si>
  <si>
    <t>louw@andrews.edu</t>
  </si>
  <si>
    <t>000122429</t>
  </si>
  <si>
    <t>jungkyu@andrews.edu</t>
  </si>
  <si>
    <t>000093682</t>
  </si>
  <si>
    <t>gersoncr@andrews.edu</t>
  </si>
  <si>
    <t>000074158</t>
  </si>
  <si>
    <t>arosario@andrews.edu</t>
  </si>
  <si>
    <t>000064286</t>
  </si>
  <si>
    <t>steger@andrews.edu</t>
  </si>
  <si>
    <t>000138178</t>
  </si>
  <si>
    <t>toscano@andrews.edu</t>
  </si>
  <si>
    <t>000062024</t>
  </si>
  <si>
    <t>ashirley@andrews.edu</t>
  </si>
  <si>
    <t>000041794</t>
  </si>
  <si>
    <t>beaglesk@andrews.edu</t>
  </si>
  <si>
    <t>000041530</t>
  </si>
  <si>
    <t>consuegr@andrews.edu</t>
  </si>
  <si>
    <t>000111875</t>
  </si>
  <si>
    <t>desireed@andrews.edu</t>
  </si>
  <si>
    <t>000117365</t>
  </si>
  <si>
    <t>duany@andrews.edu</t>
  </si>
  <si>
    <t>000032088</t>
  </si>
  <si>
    <t>josee@andrews.edu</t>
  </si>
  <si>
    <t>000129106</t>
  </si>
  <si>
    <t>fraserj@andrews.edu</t>
  </si>
  <si>
    <t>000067653</t>
  </si>
  <si>
    <t>tyrrell@andrews.edu</t>
  </si>
  <si>
    <t>000129689</t>
  </si>
  <si>
    <t>gilles@andrews.edu</t>
  </si>
  <si>
    <t>000062449</t>
  </si>
  <si>
    <t>hamiltol@andrews.edu</t>
  </si>
  <si>
    <t>000079312</t>
  </si>
  <si>
    <t>ainsworj@andrews.edu</t>
  </si>
  <si>
    <t>000155484</t>
  </si>
  <si>
    <t>benjaminm@andrews.edu</t>
  </si>
  <si>
    <t>000049082</t>
  </si>
  <si>
    <t>jorgem@andrews.edu</t>
  </si>
  <si>
    <t>000054389</t>
  </si>
  <si>
    <t>mooreri@andrews.edu</t>
  </si>
  <si>
    <t>000111021</t>
  </si>
  <si>
    <t>ramosi@andrews.edu</t>
  </si>
  <si>
    <t>000159825</t>
  </si>
  <si>
    <t>reddy@andrews.edu</t>
  </si>
  <si>
    <t>000195832</t>
  </si>
  <si>
    <t>reinert@andrews.edu</t>
  </si>
  <si>
    <t>000142355</t>
  </si>
  <si>
    <t>sedlacek@andrews.edu</t>
  </si>
  <si>
    <t>000077973</t>
  </si>
  <si>
    <t>sward@andrews.edu</t>
  </si>
  <si>
    <t>000140039</t>
  </si>
  <si>
    <t>jharony@andrews.edu</t>
  </si>
  <si>
    <t>000130089</t>
  </si>
  <si>
    <t>pegueroc@andrews.edu</t>
  </si>
  <si>
    <t>000062042</t>
  </si>
  <si>
    <t>curtisf@andrews.edu</t>
  </si>
  <si>
    <t>000132146</t>
  </si>
  <si>
    <t>elim@andrews.edu</t>
  </si>
  <si>
    <t>000025977</t>
  </si>
  <si>
    <t>maxson@andrews.edu</t>
  </si>
  <si>
    <t>000034125</t>
  </si>
  <si>
    <t>wilberto@andrews.edu</t>
  </si>
  <si>
    <t>000046389</t>
  </si>
  <si>
    <t>olivo@andrews.edu</t>
  </si>
  <si>
    <t>000031571</t>
  </si>
  <si>
    <t>swansonp@andrews.edu</t>
  </si>
  <si>
    <t>000136308</t>
  </si>
  <si>
    <t>walshe@andrews.edu</t>
  </si>
  <si>
    <t>000160279</t>
  </si>
  <si>
    <t>adenilton@andrews.edu</t>
  </si>
  <si>
    <t>000240618</t>
  </si>
  <si>
    <t>agustina@andrews.edu</t>
  </si>
  <si>
    <t>000035367</t>
  </si>
  <si>
    <t>badenasr@andrews.edu</t>
  </si>
  <si>
    <t>000150924</t>
  </si>
  <si>
    <t>borda@andrews.edu</t>
  </si>
  <si>
    <t>000036676</t>
  </si>
  <si>
    <t>choir@andrews.edu</t>
  </si>
  <si>
    <t>000110700</t>
  </si>
  <si>
    <t>fcortez@andrews.edu</t>
  </si>
  <si>
    <t>000159708</t>
  </si>
  <si>
    <t>jonatas@andrews.edu</t>
  </si>
  <si>
    <t>000159784</t>
  </si>
  <si>
    <t>festa@andrews.edu</t>
  </si>
  <si>
    <t>000068119</t>
  </si>
  <si>
    <t>gallos@andrews.edu</t>
  </si>
  <si>
    <t>000203949</t>
  </si>
  <si>
    <t>gallusz@andrews.edu</t>
  </si>
  <si>
    <t>000204006</t>
  </si>
  <si>
    <t>grzeskowiak@andrews.edu</t>
  </si>
  <si>
    <t>000025476</t>
  </si>
  <si>
    <t>ahernandez@andrews.edu</t>
  </si>
  <si>
    <t>000141225</t>
  </si>
  <si>
    <t>huss@andrews.edu</t>
  </si>
  <si>
    <t>000003908</t>
  </si>
  <si>
    <t>bobjohn@andrews.edu</t>
  </si>
  <si>
    <t>000119532</t>
  </si>
  <si>
    <t>kondrat@andrews.edu</t>
  </si>
  <si>
    <t>000159768</t>
  </si>
  <si>
    <t>kostyuk@andrews.edu</t>
  </si>
  <si>
    <t>000200888</t>
  </si>
  <si>
    <t>bkuryliak@andrews.edu</t>
  </si>
  <si>
    <t>000146533</t>
  </si>
  <si>
    <t>beett@andrews.edu</t>
  </si>
  <si>
    <t>000024733</t>
  </si>
  <si>
    <t>lichtenw@andrews.edu</t>
  </si>
  <si>
    <t>000105885</t>
  </si>
  <si>
    <t>moral@andrews.edu</t>
  </si>
  <si>
    <t>000115113</t>
  </si>
  <si>
    <t>laurentiu@andrews.edu</t>
  </si>
  <si>
    <t>000073761</t>
  </si>
  <si>
    <t>munozj@andrews.edu</t>
  </si>
  <si>
    <t>000064060</t>
  </si>
  <si>
    <t>rmunoz@andrews.edu</t>
  </si>
  <si>
    <t>000138706</t>
  </si>
  <si>
    <t>nunesl@andrews.edu</t>
  </si>
  <si>
    <t>000050429</t>
  </si>
  <si>
    <t>papaioannou@andrews.edu</t>
  </si>
  <si>
    <t>000108446</t>
  </si>
  <si>
    <t>mariop@andrews.edu</t>
  </si>
  <si>
    <t>000050236</t>
  </si>
  <si>
    <t>tlreeve@andrews.edu</t>
  </si>
  <si>
    <t>000008252</t>
  </si>
  <si>
    <t>000057767</t>
  </si>
  <si>
    <t>ranko@andrews.edu</t>
  </si>
  <si>
    <t>000093509</t>
  </si>
  <si>
    <t>cvine@andrews.edu</t>
  </si>
  <si>
    <t>000118530</t>
  </si>
  <si>
    <t>baezgarc@andrews.edu</t>
  </si>
  <si>
    <t>000067622</t>
  </si>
  <si>
    <t>lsbakerjr@andrews.edu</t>
  </si>
  <si>
    <t>000095796</t>
  </si>
  <si>
    <t>bates@andrews.edu</t>
  </si>
  <si>
    <t>000132272</t>
  </si>
  <si>
    <t>beaulies@andrews.edu</t>
  </si>
  <si>
    <t>000246964</t>
  </si>
  <si>
    <t>000068116</t>
  </si>
  <si>
    <t>brejaal@andrews.edu</t>
  </si>
  <si>
    <t>000088405</t>
  </si>
  <si>
    <t>trisha@andrews.edu</t>
  </si>
  <si>
    <t>000027289</t>
  </si>
  <si>
    <t>doukhanj@andrews.edu</t>
  </si>
  <si>
    <t>000205980</t>
  </si>
  <si>
    <t>emswiler@andrews.edu</t>
  </si>
  <si>
    <t>000074605</t>
  </si>
  <si>
    <t>cgane@andrews.edu</t>
  </si>
  <si>
    <t>000162826</t>
  </si>
  <si>
    <t>glanz@andrews.edu</t>
  </si>
  <si>
    <t>000155573</t>
  </si>
  <si>
    <t>danielgordan@andrews.edu</t>
  </si>
  <si>
    <t>000052867</t>
  </si>
  <si>
    <t>pgregor@andrews.edu</t>
  </si>
  <si>
    <t>000102157</t>
  </si>
  <si>
    <t>johnny@andrews.edu</t>
  </si>
  <si>
    <t>000133678</t>
  </si>
  <si>
    <t>hudon@andrews.edu</t>
  </si>
  <si>
    <t>000190055</t>
  </si>
  <si>
    <t>laurentiuga@andrews.edu</t>
  </si>
  <si>
    <t>000138176</t>
  </si>
  <si>
    <t>jankovic@andrews.edu</t>
  </si>
  <si>
    <t>000118224</t>
  </si>
  <si>
    <t>mcguirej@andrews.edu</t>
  </si>
  <si>
    <t>000141338</t>
  </si>
  <si>
    <t>moody@andrews.edu</t>
  </si>
  <si>
    <t>000112615</t>
  </si>
  <si>
    <t>morrowl@andrews.edu</t>
  </si>
  <si>
    <t>000032749</t>
  </si>
  <si>
    <t>000212413</t>
  </si>
  <si>
    <t>kimchai@andrews.edu</t>
  </si>
  <si>
    <t>000163538</t>
  </si>
  <si>
    <t>olariu@andrews.edu</t>
  </si>
  <si>
    <t>000136415</t>
  </si>
  <si>
    <t>neto@andrews.edu</t>
  </si>
  <si>
    <t>000133197</t>
  </si>
  <si>
    <t>abelardo@andrews.edu</t>
  </si>
  <si>
    <t>000124643</t>
  </si>
  <si>
    <t>rojasr@andrews.edu</t>
  </si>
  <si>
    <t>000148578</t>
  </si>
  <si>
    <t>ruizr@andrews.edu</t>
  </si>
  <si>
    <t>000117063</t>
  </si>
  <si>
    <t>skinnerj@andrews.edu</t>
  </si>
  <si>
    <t>000117882</t>
  </si>
  <si>
    <t>sion@andrews.edu</t>
  </si>
  <si>
    <t>000117327</t>
  </si>
  <si>
    <t>tollerto@andrews.edu</t>
  </si>
  <si>
    <t>000160271</t>
  </si>
  <si>
    <t>wiens@andrews.edu</t>
  </si>
  <si>
    <t>000099625</t>
  </si>
  <si>
    <t>ariasqui@andrews.edu</t>
  </si>
  <si>
    <t>000015518</t>
  </si>
  <si>
    <t>sjbell@andrews.edu</t>
  </si>
  <si>
    <t>000137172</t>
  </si>
  <si>
    <t>erlo@andrews.edu</t>
  </si>
  <si>
    <t>000181820</t>
  </si>
  <si>
    <t>alejandrob@andrews.edu</t>
  </si>
  <si>
    <t>000051912</t>
  </si>
  <si>
    <t>canals@andrews.edu</t>
  </si>
  <si>
    <t>000025417</t>
  </si>
  <si>
    <t>cauleym@andrews.edu</t>
  </si>
  <si>
    <t>000107141</t>
  </si>
  <si>
    <t>cauley@andrews.edu</t>
  </si>
  <si>
    <t>000039066</t>
  </si>
  <si>
    <t>ceballom@andrews.edu</t>
  </si>
  <si>
    <t>000127674</t>
  </si>
  <si>
    <t>choque@andrews.edu</t>
  </si>
  <si>
    <t>000063105</t>
  </si>
  <si>
    <t>tevans@andrews.edu</t>
  </si>
  <si>
    <t>000225367</t>
  </si>
  <si>
    <t>angelal@andrews.edu</t>
  </si>
  <si>
    <t>000035691</t>
  </si>
  <si>
    <t>lianga@andrews.edu</t>
  </si>
  <si>
    <t>000077975</t>
  </si>
  <si>
    <t>oudri@andrews.edu</t>
  </si>
  <si>
    <t>000030103</t>
  </si>
  <si>
    <t>patterss@andrews.edu</t>
  </si>
  <si>
    <t>000041639</t>
  </si>
  <si>
    <t>penno@andrews.edu</t>
  </si>
  <si>
    <t>000030856</t>
  </si>
  <si>
    <t>johnnyr@andrews.edu</t>
  </si>
  <si>
    <t>000051411</t>
  </si>
  <si>
    <t>rico@andrews.edu</t>
  </si>
  <si>
    <t>000046397</t>
  </si>
  <si>
    <t>saravia@andrews.edu</t>
  </si>
  <si>
    <t>000041813</t>
  </si>
  <si>
    <t>eschmidt@andrews.edu</t>
  </si>
  <si>
    <t>000050631</t>
  </si>
  <si>
    <t>siroj@andrews.edu</t>
  </si>
  <si>
    <t>000118859</t>
  </si>
  <si>
    <t>wagenersmith@andrews.edu</t>
  </si>
  <si>
    <t>000049271</t>
  </si>
  <si>
    <t>hyveth@andrews.edu</t>
  </si>
  <si>
    <t>000048877</t>
  </si>
  <si>
    <t>panderson@andrews.edu</t>
  </si>
  <si>
    <t>000233478</t>
  </si>
  <si>
    <t>000076162</t>
  </si>
  <si>
    <t>coralie@andrews.edu</t>
  </si>
  <si>
    <t>000052089</t>
  </si>
  <si>
    <t>crewsh@andrews.edu</t>
  </si>
  <si>
    <t>000155280</t>
  </si>
  <si>
    <t>ferreirajim@andrews.edu</t>
  </si>
  <si>
    <t>000078997</t>
  </si>
  <si>
    <t>galeniec@andrews.edu</t>
  </si>
  <si>
    <t>000054097</t>
  </si>
  <si>
    <t>vaughang@andrews.edu</t>
  </si>
  <si>
    <t>000038918</t>
  </si>
  <si>
    <t>jgrys@andrews.edu</t>
  </si>
  <si>
    <t>000115524</t>
  </si>
  <si>
    <t>jaeger@andrews.edu</t>
  </si>
  <si>
    <t>000031535</t>
  </si>
  <si>
    <t>evelynk@andrews.edu</t>
  </si>
  <si>
    <t>000043873</t>
  </si>
  <si>
    <t>jledesma@andrews.edu</t>
  </si>
  <si>
    <t>000096645</t>
  </si>
  <si>
    <t>lewismi@andrews.edu</t>
  </si>
  <si>
    <t>000069917</t>
  </si>
  <si>
    <t>madding@andrews.edu</t>
  </si>
  <si>
    <t>000090518</t>
  </si>
  <si>
    <t>000049564</t>
  </si>
  <si>
    <t>mcleane@andrews.edu</t>
  </si>
  <si>
    <t>000126678</t>
  </si>
  <si>
    <t>ming@andrews.edu</t>
  </si>
  <si>
    <t>000139876</t>
  </si>
  <si>
    <t>moralesx@andrews.edu</t>
  </si>
  <si>
    <t>000155460</t>
  </si>
  <si>
    <t>ramosescoba@andrews.edu</t>
  </si>
  <si>
    <t>000095431</t>
  </si>
  <si>
    <t>elir@andrews.edu</t>
  </si>
  <si>
    <t>000051532</t>
  </si>
  <si>
    <t>taiwo@andrews.edu</t>
  </si>
  <si>
    <t>000028045</t>
  </si>
  <si>
    <t>throstur@andrews.edu</t>
  </si>
  <si>
    <t>000133204</t>
  </si>
  <si>
    <t>trecarts@andrews.edu</t>
  </si>
  <si>
    <t>000120498</t>
  </si>
  <si>
    <t>tsui@andrews.edu</t>
  </si>
  <si>
    <t>000074539</t>
  </si>
  <si>
    <t>vatelm@andrews.edu</t>
  </si>
  <si>
    <t>000110327</t>
  </si>
  <si>
    <t>rohann@andrews.edu</t>
  </si>
  <si>
    <t>000241606</t>
  </si>
  <si>
    <t>woodh@andrews.edu</t>
  </si>
  <si>
    <t>000234751</t>
  </si>
  <si>
    <t>dustiny@andrews.edu</t>
  </si>
  <si>
    <t>000134154</t>
  </si>
  <si>
    <t>alexe@andrews.edu</t>
  </si>
  <si>
    <t>000148465</t>
  </si>
  <si>
    <t>lidvar@andrews.edu</t>
  </si>
  <si>
    <t>000148323</t>
  </si>
  <si>
    <t>arena@andrews.edu</t>
  </si>
  <si>
    <t>000001902</t>
  </si>
  <si>
    <t>baldwin@andrews.edu</t>
  </si>
  <si>
    <t>000193021</t>
  </si>
  <si>
    <t>bentancur@andrews.edu</t>
  </si>
  <si>
    <t>000033285</t>
  </si>
  <si>
    <t>canale@andrews.edu</t>
  </si>
  <si>
    <t>000125642</t>
  </si>
  <si>
    <t>covrig@andrews.edu</t>
  </si>
  <si>
    <t>000214349</t>
  </si>
  <si>
    <t>dei@andrews.edu</t>
  </si>
  <si>
    <t>000043384</t>
  </si>
  <si>
    <t>drewa@andrews.edu</t>
  </si>
  <si>
    <t>000001928</t>
  </si>
  <si>
    <t>dupera@andrews.edu</t>
  </si>
  <si>
    <t>000210558</t>
  </si>
  <si>
    <t>duranroyo@andrews.edu</t>
  </si>
  <si>
    <t>000146529</t>
  </si>
  <si>
    <t>gibbsn@andrews.edu</t>
  </si>
  <si>
    <t>000057080</t>
  </si>
  <si>
    <t>mhanna@andrews.edu</t>
  </si>
  <si>
    <t>000069427</t>
  </si>
  <si>
    <t>darius@andrews.edu</t>
  </si>
  <si>
    <t>000022704</t>
  </si>
  <si>
    <t>000207932</t>
  </si>
  <si>
    <t>kormos@andrews.edu</t>
  </si>
  <si>
    <t>000163303</t>
  </si>
  <si>
    <t>koval@andrews.edu</t>
  </si>
  <si>
    <t>000116996</t>
  </si>
  <si>
    <t>jpeckham@andrews.edu</t>
  </si>
  <si>
    <t>000104055</t>
  </si>
  <si>
    <t>zplantak@andrews.edu</t>
  </si>
  <si>
    <t>000087063</t>
  </si>
  <si>
    <t>razmerita@andrews.edu</t>
  </si>
  <si>
    <t>000145425</t>
  </si>
  <si>
    <t>adriani@andrews.edu</t>
  </si>
  <si>
    <t>000138600</t>
  </si>
  <si>
    <t>sciarabb@andrews.edu</t>
  </si>
  <si>
    <t>000067911</t>
  </si>
  <si>
    <t>zoltan@andrews.edu</t>
  </si>
  <si>
    <t>000054615</t>
  </si>
  <si>
    <t>terreros@andrews.edu</t>
  </si>
  <si>
    <t>000208503</t>
  </si>
  <si>
    <t>tornalejo@andrews.edu</t>
  </si>
  <si>
    <t>000095321</t>
  </si>
  <si>
    <t>wetterli@andrews.edu</t>
  </si>
  <si>
    <t>000065636</t>
  </si>
  <si>
    <t>eugenez@andrews.edu</t>
  </si>
  <si>
    <t>000003023</t>
  </si>
  <si>
    <t>bbauer@andrews.edu</t>
  </si>
  <si>
    <t>000074406</t>
  </si>
  <si>
    <t>cincala@andrews.edu</t>
  </si>
  <si>
    <t>000121343</t>
  </si>
  <si>
    <t>dementyev@andrews.edu</t>
  </si>
  <si>
    <t>000011280</t>
  </si>
  <si>
    <t>dossc@andrews.edu</t>
  </si>
  <si>
    <t>000016109</t>
  </si>
  <si>
    <t>dossg@andrews.edu</t>
  </si>
  <si>
    <t>000092262</t>
  </si>
  <si>
    <t>drumi@andrews.edu</t>
  </si>
  <si>
    <t>000159832</t>
  </si>
  <si>
    <t>duffisgordo@andrews.edu</t>
  </si>
  <si>
    <t>000006149</t>
  </si>
  <si>
    <t>dybdahl@andrews.edu</t>
  </si>
  <si>
    <t>000069738</t>
  </si>
  <si>
    <t>dybdahlp@andrews.edu</t>
  </si>
  <si>
    <t>000151900</t>
  </si>
  <si>
    <t>goya@andrews.edu</t>
  </si>
  <si>
    <t>000134376</t>
  </si>
  <si>
    <t>abrahamg@andrews.edu</t>
  </si>
  <si>
    <t>000229579</t>
  </si>
  <si>
    <t>youssry@andrews.edu</t>
  </si>
  <si>
    <t>000124366</t>
  </si>
  <si>
    <t>claval@andrews.edu</t>
  </si>
  <si>
    <t>000123480</t>
  </si>
  <si>
    <t>yalyshev@andrews.edu</t>
  </si>
  <si>
    <t>000089320</t>
  </si>
  <si>
    <t>surachet@andrews.edu</t>
  </si>
  <si>
    <t>000231151</t>
  </si>
  <si>
    <t>gkrause@andrews.edu</t>
  </si>
  <si>
    <t>000067555</t>
  </si>
  <si>
    <t>kuhn@andrews.edu</t>
  </si>
  <si>
    <t>000019537</t>
  </si>
  <si>
    <t>rmaier@andrews.edu</t>
  </si>
  <si>
    <t>000062229</t>
  </si>
  <si>
    <t>mcedward@andrews.edu</t>
  </si>
  <si>
    <t>000016682</t>
  </si>
  <si>
    <t>cmercado@andrews.edu</t>
  </si>
  <si>
    <t>000019722</t>
  </si>
  <si>
    <t>lmerklin@andrews.edu</t>
  </si>
  <si>
    <t>000112386</t>
  </si>
  <si>
    <t>sergo@andrews.edu</t>
  </si>
  <si>
    <t>000056502</t>
  </si>
  <si>
    <t>onongha@andrews.edu</t>
  </si>
  <si>
    <t>000160575</t>
  </si>
  <si>
    <t>osindo@andrews.edu</t>
  </si>
  <si>
    <t>000144385</t>
  </si>
  <si>
    <t>profetadep@andrews.edu</t>
  </si>
  <si>
    <t>000122109</t>
  </si>
  <si>
    <t>tompkina@andrews.edu</t>
  </si>
  <si>
    <t>000089121</t>
  </si>
  <si>
    <t>micheletw@andrews.edu</t>
  </si>
  <si>
    <t>000160361</t>
  </si>
  <si>
    <t>makhti@andrews.edu</t>
  </si>
  <si>
    <t>000126778</t>
  </si>
  <si>
    <t>zubkov@andrews.edu</t>
  </si>
  <si>
    <t>000133676</t>
  </si>
  <si>
    <t>large@andrews.edu</t>
  </si>
  <si>
    <t>000049061</t>
  </si>
  <si>
    <t>burt@andrews.edu</t>
  </si>
  <si>
    <t>000036675</t>
  </si>
  <si>
    <t>ccarlos@andrews.edu</t>
  </si>
  <si>
    <t>000040389</t>
  </si>
  <si>
    <t>steve@andrews.edu</t>
  </si>
  <si>
    <t>000012454</t>
  </si>
  <si>
    <t>jad@andrews.edu</t>
  </si>
  <si>
    <t>000012107</t>
  </si>
  <si>
    <t>davidson@andrews.edu</t>
  </si>
  <si>
    <t>000043638</t>
  </si>
  <si>
    <t>fortind@andrews.edu</t>
  </si>
  <si>
    <t>000077101</t>
  </si>
  <si>
    <t>egalen@andrews.edu</t>
  </si>
  <si>
    <t>000008963</t>
  </si>
  <si>
    <t>gane@andrews.edu</t>
  </si>
  <si>
    <t>000048477</t>
  </si>
  <si>
    <t>royg@andrews.edu</t>
  </si>
  <si>
    <t>000078571</t>
  </si>
  <si>
    <t>kleber@andrews.edu</t>
  </si>
  <si>
    <t>000212555</t>
  </si>
  <si>
    <t>egreen@andrews.edu</t>
  </si>
  <si>
    <t>000069431</t>
  </si>
  <si>
    <t>kenley@andrews.edu</t>
  </si>
  <si>
    <t>000149024</t>
  </si>
  <si>
    <t>abnerh@andrews.edu</t>
  </si>
  <si>
    <t>000048969</t>
  </si>
  <si>
    <t>hucks@andrews.edu</t>
  </si>
  <si>
    <t>000140394</t>
  </si>
  <si>
    <t>irizarry@andrews.edu</t>
  </si>
  <si>
    <t>000066942</t>
  </si>
  <si>
    <t>jeroncic@andrews.edu</t>
  </si>
  <si>
    <t>000039170</t>
  </si>
  <si>
    <t>kiddersj@andrews.edu</t>
  </si>
  <si>
    <t>000097153</t>
  </si>
  <si>
    <t>korchuk@andrews.edu</t>
  </si>
  <si>
    <t>000073236</t>
  </si>
  <si>
    <t>kwons@andrews.edu</t>
  </si>
  <si>
    <t>000117818</t>
  </si>
  <si>
    <t>machado@andrews.edu</t>
  </si>
  <si>
    <t>000021462</t>
  </si>
  <si>
    <t>johnmatt@andrews.edu</t>
  </si>
  <si>
    <t>000050696</t>
  </si>
  <si>
    <t>nicholas@andrews.edu</t>
  </si>
  <si>
    <t>000018492</t>
  </si>
  <si>
    <t>jmoon@andrews.edu</t>
  </si>
  <si>
    <t>000036790</t>
  </si>
  <si>
    <t>000118655</t>
  </si>
  <si>
    <t>muran@andrews.edu</t>
  </si>
  <si>
    <t>000086036</t>
  </si>
  <si>
    <t>nogueirl@andrews.edu</t>
  </si>
  <si>
    <t>000033967</t>
  </si>
  <si>
    <t>ricardo@andrews.edu</t>
  </si>
  <si>
    <t>000035762</t>
  </si>
  <si>
    <t>toreggio@andrews.edu</t>
  </si>
  <si>
    <t>000069315</t>
  </si>
  <si>
    <t>ortizl@andrews.edu</t>
  </si>
  <si>
    <t>000067278</t>
  </si>
  <si>
    <t>pagan@andrews.edu</t>
  </si>
  <si>
    <t>000105171</t>
  </si>
  <si>
    <t>rpaquini@andrews.edu</t>
  </si>
  <si>
    <t>000116224</t>
  </si>
  <si>
    <t>petrisch@andrews.edu</t>
  </si>
  <si>
    <t>000116220</t>
  </si>
  <si>
    <t>ponyatov@andrews.edu</t>
  </si>
  <si>
    <t>000122528</t>
  </si>
  <si>
    <t>gluder@andrews.edu</t>
  </si>
  <si>
    <t>000029934</t>
  </si>
  <si>
    <t>rayp@andrews.edu</t>
  </si>
  <si>
    <t>000049018</t>
  </si>
  <si>
    <t>jreeve@andrews.edu</t>
  </si>
  <si>
    <t>000230576</t>
  </si>
  <si>
    <t>richardsn@andrews.edu</t>
  </si>
  <si>
    <t>000098144</t>
  </si>
  <si>
    <t>sanou@andrews.edu</t>
  </si>
  <si>
    <t>000033676</t>
  </si>
  <si>
    <t>trs@andrews.edu</t>
  </si>
  <si>
    <t>000033969</t>
  </si>
  <si>
    <t>vale@andrews.edu</t>
  </si>
  <si>
    <t>000124996</t>
  </si>
  <si>
    <t>wdavid@andrews.edu</t>
  </si>
  <si>
    <t>000041250</t>
  </si>
  <si>
    <t>yeagley@andrews.edu</t>
  </si>
  <si>
    <t>000042559</t>
  </si>
  <si>
    <t>younker@andrews.edu</t>
  </si>
  <si>
    <t>Lookup Key</t>
  </si>
  <si>
    <t>Tch Adv Hist &amp; Life/Write EGW</t>
  </si>
  <si>
    <t>CHIS672</t>
  </si>
  <si>
    <t>Development SDA Theology</t>
  </si>
  <si>
    <t>CHIS674</t>
  </si>
  <si>
    <t>DSRE</t>
  </si>
  <si>
    <t>Philosphcl Foundtns for Prof</t>
  </si>
  <si>
    <t>DSRE606</t>
  </si>
  <si>
    <t>Top:</t>
  </si>
  <si>
    <t>Top:Sprtlty&amp;TchngBblK-12Methds</t>
  </si>
  <si>
    <t>DSRE676</t>
  </si>
  <si>
    <t>Topics in</t>
  </si>
  <si>
    <t>Topics in Advanced Greek</t>
  </si>
  <si>
    <t>NTST885</t>
  </si>
  <si>
    <t>Top:Spiritlty&amp;Tch Bible K-12 M</t>
  </si>
  <si>
    <t>Research Design in Mission</t>
  </si>
  <si>
    <t>MSSN854</t>
  </si>
  <si>
    <t>Wkshp:Natural Rem/Hydrotherapy</t>
  </si>
  <si>
    <t>GSEM648</t>
  </si>
  <si>
    <t>Iss in E G White Studies</t>
  </si>
  <si>
    <t>GSEM534</t>
  </si>
  <si>
    <t>Social Policy</t>
  </si>
  <si>
    <t>DSRE657</t>
  </si>
  <si>
    <t>Reaching the Secular Mind</t>
  </si>
  <si>
    <t>DSRE669</t>
  </si>
  <si>
    <t>DSLE657</t>
  </si>
  <si>
    <t>Fndtns of Biblicl Spirituality</t>
  </si>
  <si>
    <t>DSLE541</t>
  </si>
  <si>
    <t>Worship:Word &amp; Music</t>
  </si>
  <si>
    <t>PATH523</t>
  </si>
  <si>
    <t>CHMN</t>
  </si>
  <si>
    <t>Perspectives in Church Mrkting</t>
  </si>
  <si>
    <t>CHMN574</t>
  </si>
  <si>
    <t>Issu in Origins</t>
  </si>
  <si>
    <t>GSEM539</t>
  </si>
  <si>
    <t>Christian Social Ethics</t>
  </si>
  <si>
    <t>THST634</t>
  </si>
  <si>
    <t>Pastoral Counseling</t>
  </si>
  <si>
    <t>CHMN555</t>
  </si>
  <si>
    <t>Theo of the English NT:</t>
  </si>
  <si>
    <t>NTST567</t>
  </si>
  <si>
    <t>CHMN523</t>
  </si>
  <si>
    <t>Church Grwth&amp; Equipping Pastor</t>
  </si>
  <si>
    <t>CHMN539</t>
  </si>
  <si>
    <t>Biblical Hebrew I</t>
  </si>
  <si>
    <t>OTST551</t>
  </si>
  <si>
    <t>Biblical Hebrew II</t>
  </si>
  <si>
    <t>OTST552</t>
  </si>
  <si>
    <t>Colloquium:</t>
  </si>
  <si>
    <t>Coll:Pathfinder Leadership</t>
  </si>
  <si>
    <t>GSEM505</t>
  </si>
  <si>
    <t>Meth OT Exegesis (Hebw)</t>
  </si>
  <si>
    <t>OTST628</t>
  </si>
  <si>
    <t>Sem in Old Testament Theology</t>
  </si>
  <si>
    <t>OTST620</t>
  </si>
  <si>
    <t>Marriage, Fam&amp;Interprsnl Reltn</t>
  </si>
  <si>
    <t>DSLE503</t>
  </si>
  <si>
    <t>Theo of the English NT</t>
  </si>
  <si>
    <t>Church Grwth&amp; Equipping Leader</t>
  </si>
  <si>
    <t>PATH539</t>
  </si>
  <si>
    <t>Family as Center for Dscplshp</t>
  </si>
  <si>
    <t>DSRE749</t>
  </si>
  <si>
    <t>Survey of Church History</t>
  </si>
  <si>
    <t>CHIS505</t>
  </si>
  <si>
    <t>Studies in Daniel (Engl)</t>
  </si>
  <si>
    <t>OTST546</t>
  </si>
  <si>
    <t>Res, Method &amp; Theory in Arch</t>
  </si>
  <si>
    <t>ANEA640</t>
  </si>
  <si>
    <t>Near Eastern Archaeology</t>
  </si>
  <si>
    <t>ANEA810</t>
  </si>
  <si>
    <t>Sem Arch &amp; Hist of Antiquity</t>
  </si>
  <si>
    <t>ANEA615</t>
  </si>
  <si>
    <t>Sem Adv Arch&amp;Hist of Antiquity</t>
  </si>
  <si>
    <t>ANEA940</t>
  </si>
  <si>
    <t>Adv Resrch, Methd&amp;Thry in Arch</t>
  </si>
  <si>
    <t>ANEA840</t>
  </si>
  <si>
    <t>Bib. Lands &amp; Exploration</t>
  </si>
  <si>
    <t>ANEA624</t>
  </si>
  <si>
    <t>Historical Geog Anc Near East</t>
  </si>
  <si>
    <t>ANEA805</t>
  </si>
  <si>
    <t>Colloquium: Poverty Simulation</t>
  </si>
  <si>
    <t>Christian Persp on Prof Ethics</t>
  </si>
  <si>
    <t>DSRE635</t>
  </si>
  <si>
    <t>Death &amp; Grief Contemp Society</t>
  </si>
  <si>
    <t>CHMN516</t>
  </si>
  <si>
    <t>Death &amp; Grief</t>
  </si>
  <si>
    <t>PATH516</t>
  </si>
  <si>
    <t>DSLE635</t>
  </si>
  <si>
    <t>Church History to 1500</t>
  </si>
  <si>
    <t>CHIS506</t>
  </si>
  <si>
    <t>Theo&amp;Hist Perspectve Discplshp</t>
  </si>
  <si>
    <t>DSRE705</t>
  </si>
  <si>
    <t>DMin Prof Dissertation Sem</t>
  </si>
  <si>
    <t>GSEM790</t>
  </si>
  <si>
    <t>Spiritual&amp;Theo Found Ministry</t>
  </si>
  <si>
    <t>GSEM706</t>
  </si>
  <si>
    <t>DMin Prof Dissertation</t>
  </si>
  <si>
    <t>GSEM796</t>
  </si>
  <si>
    <t>DMin Prof Dissertation Cont</t>
  </si>
  <si>
    <t>GSEM788</t>
  </si>
  <si>
    <t>Effective Strategic Growth</t>
  </si>
  <si>
    <t>CHMN763</t>
  </si>
  <si>
    <t>Top:Dscplshp  Wrldvw Trnsfrmtn</t>
  </si>
  <si>
    <t>MSSN795</t>
  </si>
  <si>
    <t>DMin Research Methods Sem</t>
  </si>
  <si>
    <t>GSEM793</t>
  </si>
  <si>
    <t>Leading Growth</t>
  </si>
  <si>
    <t>CHMN779</t>
  </si>
  <si>
    <t>PATH779</t>
  </si>
  <si>
    <t>Top:Sanctuary Doctrine</t>
  </si>
  <si>
    <t>THST695</t>
  </si>
  <si>
    <t>Ministry to Youth&amp;Yng Adlt</t>
  </si>
  <si>
    <t>DSRE534</t>
  </si>
  <si>
    <t>DSRE503</t>
  </si>
  <si>
    <t>Christian Witness&amp;Wrld Relgns</t>
  </si>
  <si>
    <t>MSSN561</t>
  </si>
  <si>
    <t>Christn Lead in a Chnging Wrld</t>
  </si>
  <si>
    <t>CHMN543</t>
  </si>
  <si>
    <t>Rdngs in Acts&amp;General Epistles</t>
  </si>
  <si>
    <t>NTST537</t>
  </si>
  <si>
    <t>Seminar in Preaching</t>
  </si>
  <si>
    <t>CHMN637</t>
  </si>
  <si>
    <t>Intro to Old Testmnt Theology</t>
  </si>
  <si>
    <t>OTST520</t>
  </si>
  <si>
    <t>DSRE541</t>
  </si>
  <si>
    <t>PATH543</t>
  </si>
  <si>
    <t>Mission in Cultrl&amp;Rlgs Contxt</t>
  </si>
  <si>
    <t>MSSN546</t>
  </si>
  <si>
    <t>Studies in Pauline Writings</t>
  </si>
  <si>
    <t>NTST535</t>
  </si>
  <si>
    <t>PATH637</t>
  </si>
  <si>
    <t>Doctrine of Salvation</t>
  </si>
  <si>
    <t>THST640</t>
  </si>
  <si>
    <t>Doctrine of the Sanctuary</t>
  </si>
  <si>
    <t>GSEM530</t>
  </si>
  <si>
    <t>DSLE534</t>
  </si>
  <si>
    <t>Top in Urban Min:</t>
  </si>
  <si>
    <t>Top in Urban Min</t>
  </si>
  <si>
    <t>PATH715</t>
  </si>
  <si>
    <t>Studies in Hebrews</t>
  </si>
  <si>
    <t>NTST538</t>
  </si>
  <si>
    <t>Church Intergeneratnl Contexts</t>
  </si>
  <si>
    <t>CHMN707</t>
  </si>
  <si>
    <t>Relationl Dynamics&amp;IGEN Church</t>
  </si>
  <si>
    <t>CHMN751</t>
  </si>
  <si>
    <t>DSLE705</t>
  </si>
  <si>
    <t>PATH707</t>
  </si>
  <si>
    <t>PATH751</t>
  </si>
  <si>
    <t>Mssn-Shaped Church Planting</t>
  </si>
  <si>
    <t>CHMN606</t>
  </si>
  <si>
    <t>Stud in the Pentateuch (Engl)</t>
  </si>
  <si>
    <t>OTST566</t>
  </si>
  <si>
    <t>Adv Ldshp Competencies</t>
  </si>
  <si>
    <t>CHMN760</t>
  </si>
  <si>
    <t>Transfrm Lead&amp;Org Sys Thinking</t>
  </si>
  <si>
    <t>CHMN713</t>
  </si>
  <si>
    <t>Hisp/Amer Culture &amp; Challenges</t>
  </si>
  <si>
    <t>CHMN525</t>
  </si>
  <si>
    <t>Readings in Prophets (Engl)</t>
  </si>
  <si>
    <t>OTST556</t>
  </si>
  <si>
    <t>Sem Hst Select Christn Doct</t>
  </si>
  <si>
    <t>CHIS659</t>
  </si>
  <si>
    <t>Leading&amp;Managing Church Org</t>
  </si>
  <si>
    <t>CHMN780</t>
  </si>
  <si>
    <t>Innovative Evangelism</t>
  </si>
  <si>
    <t>CHMN623</t>
  </si>
  <si>
    <t>Topics in Ministry</t>
  </si>
  <si>
    <t>CHMN517</t>
  </si>
  <si>
    <t>Teaching for Discipleship</t>
  </si>
  <si>
    <t>DSLE610</t>
  </si>
  <si>
    <t>Bilingual Ministry</t>
  </si>
  <si>
    <t>PATH538</t>
  </si>
  <si>
    <t>PATH525</t>
  </si>
  <si>
    <t>Christn Respns to Human Needs</t>
  </si>
  <si>
    <t>MSSN505</t>
  </si>
  <si>
    <t>Building Syst &amp; Leading Mvmts</t>
  </si>
  <si>
    <t>PATH753</t>
  </si>
  <si>
    <t>PATH517</t>
  </si>
  <si>
    <t>Archaeology and the Bible</t>
  </si>
  <si>
    <t>ANEA510</t>
  </si>
  <si>
    <t>Transformational Leadership</t>
  </si>
  <si>
    <t>PATH712</t>
  </si>
  <si>
    <t>Christian Leadership</t>
  </si>
  <si>
    <t>PATH747</t>
  </si>
  <si>
    <t>Studies in Prophets (Engl)</t>
  </si>
  <si>
    <t>Theo of the Engl NT: NT Ethics</t>
  </si>
  <si>
    <t>Masters Comprehensive Exam</t>
  </si>
  <si>
    <t>GSEM680</t>
  </si>
  <si>
    <t>Hist of Seventh-day Adv Theo</t>
  </si>
  <si>
    <t>CHIS574</t>
  </si>
  <si>
    <t>Issues in Ellen G White Stdies</t>
  </si>
  <si>
    <t>CHIS624</t>
  </si>
  <si>
    <t>Topics in Min: Pastorl Counsel</t>
  </si>
  <si>
    <t>Marriage and Family</t>
  </si>
  <si>
    <t>CHMN546</t>
  </si>
  <si>
    <t>Methods in Biblical &amp; Theo Res</t>
  </si>
  <si>
    <t>GSEM520</t>
  </si>
  <si>
    <t>Top in Advnt St _____</t>
  </si>
  <si>
    <t>Top in Adv St:Advntsm in China</t>
  </si>
  <si>
    <t>CHIS696</t>
  </si>
  <si>
    <t>Doctrine of God</t>
  </si>
  <si>
    <t>THST616</t>
  </si>
  <si>
    <t>Readings in Revelation</t>
  </si>
  <si>
    <t>NTST539</t>
  </si>
  <si>
    <t>Topics:</t>
  </si>
  <si>
    <t>Topics: Urban Mission</t>
  </si>
  <si>
    <t>MSSN695</t>
  </si>
  <si>
    <t>THST540</t>
  </si>
  <si>
    <t>Master's Degree Contin</t>
  </si>
  <si>
    <t>GSEM688</t>
  </si>
  <si>
    <t>Conflict Management</t>
  </si>
  <si>
    <t>CHMN526</t>
  </si>
  <si>
    <t>Theory&amp;Rsrch in Chaplaincy</t>
  </si>
  <si>
    <t>CHMN787</t>
  </si>
  <si>
    <t>Discipling Leaders for Mission</t>
  </si>
  <si>
    <t>CHMN714</t>
  </si>
  <si>
    <t>Health Care Leadership</t>
  </si>
  <si>
    <t>PATH773</t>
  </si>
  <si>
    <t>PATH760</t>
  </si>
  <si>
    <t>Clinical Issues in Care&amp;Counsl</t>
  </si>
  <si>
    <t>PATH786</t>
  </si>
  <si>
    <t>PATH780</t>
  </si>
  <si>
    <t>Foundtns of Biblical Counsel</t>
  </si>
  <si>
    <t>DSLE651</t>
  </si>
  <si>
    <t>Profssnl Pract in Chaplaincy</t>
  </si>
  <si>
    <t>PATH788</t>
  </si>
  <si>
    <t>Organizational Leadership</t>
  </si>
  <si>
    <t>PATH777</t>
  </si>
  <si>
    <t>Beginning Greek</t>
  </si>
  <si>
    <t>NTST551</t>
  </si>
  <si>
    <t>Ministry Among Immigrants</t>
  </si>
  <si>
    <t>MSSN645</t>
  </si>
  <si>
    <t>Rev, Insp &amp; Hermeneutics</t>
  </si>
  <si>
    <t>THST611</t>
  </si>
  <si>
    <t>Intermediate Greek</t>
  </si>
  <si>
    <t>NTST552</t>
  </si>
  <si>
    <t>Theology of the Old Testament</t>
  </si>
  <si>
    <t>OTST619</t>
  </si>
  <si>
    <t>Families in Society</t>
  </si>
  <si>
    <t>DSRE655</t>
  </si>
  <si>
    <t>DSRE610</t>
  </si>
  <si>
    <t>DSRE651</t>
  </si>
  <si>
    <t>Sem in Historical Theology:</t>
  </si>
  <si>
    <t>THST656</t>
  </si>
  <si>
    <t>Hispanic-Amer Church History</t>
  </si>
  <si>
    <t>CHIS567</t>
  </si>
  <si>
    <t>Research Methods</t>
  </si>
  <si>
    <t>GSEM620</t>
  </si>
  <si>
    <t>Theo of Engl NT:Revelation</t>
  </si>
  <si>
    <t>PATH606</t>
  </si>
  <si>
    <t>Theo&amp;Soc Sc Fnd ME/MC Miss&amp;Min</t>
  </si>
  <si>
    <t>CHMN723</t>
  </si>
  <si>
    <t>Urban Church Leadership&amp;Mgmt</t>
  </si>
  <si>
    <t>PATH776</t>
  </si>
  <si>
    <t>Church Multiplication</t>
  </si>
  <si>
    <t>PATH742</t>
  </si>
  <si>
    <t>Disciple-making and Evangel</t>
  </si>
  <si>
    <t>PATH754</t>
  </si>
  <si>
    <t>Top in NT Backgrounds</t>
  </si>
  <si>
    <t>Top: Hermeneutics</t>
  </si>
  <si>
    <t>NTST695</t>
  </si>
  <si>
    <t>Readings in the Gospels</t>
  </si>
  <si>
    <t>NTST536</t>
  </si>
  <si>
    <t>Roman Catholic Life &amp; Thought</t>
  </si>
  <si>
    <t>THST627</t>
  </si>
  <si>
    <t>Hist of Sabbath &amp; Sunday</t>
  </si>
  <si>
    <t>CHIS680</t>
  </si>
  <si>
    <t>Mobilizing Laity Minstry Evang</t>
  </si>
  <si>
    <t>CHMN566</t>
  </si>
  <si>
    <t>CHMN538</t>
  </si>
  <si>
    <t>Human Nature &amp; Destiny</t>
  </si>
  <si>
    <t>THST647</t>
  </si>
  <si>
    <t>Evang Small Groups</t>
  </si>
  <si>
    <t>PATH656</t>
  </si>
  <si>
    <t>Mobilizing for Evang Min</t>
  </si>
  <si>
    <t>PATH604</t>
  </si>
  <si>
    <t>Organizatnl Comm &amp; Mass Media</t>
  </si>
  <si>
    <t>PATH734</t>
  </si>
  <si>
    <t>Comm &amp; Media Min Fdns</t>
  </si>
  <si>
    <t>PATH722</t>
  </si>
  <si>
    <t>Studies in the Gospels</t>
  </si>
  <si>
    <t>Studies in the Gospels:Mark</t>
  </si>
  <si>
    <t>PATH555</t>
  </si>
  <si>
    <t>Hist of SDA Theology</t>
  </si>
  <si>
    <t>CHMN656</t>
  </si>
  <si>
    <t>Public Evangelism (Hispanic)</t>
  </si>
  <si>
    <t>CHMN514</t>
  </si>
  <si>
    <t>Theo of the English NT:Ethics</t>
  </si>
  <si>
    <t>PATH514</t>
  </si>
  <si>
    <t>Intro to Biblical Hermeneutics</t>
  </si>
  <si>
    <t>GSEM515</t>
  </si>
  <si>
    <t>Research Project</t>
  </si>
  <si>
    <t>GSEM695</t>
  </si>
  <si>
    <t>Thesis for MA Degree</t>
  </si>
  <si>
    <t>GSEM697</t>
  </si>
  <si>
    <t>Contemporary Iss in Mission</t>
  </si>
  <si>
    <t>MSSN635</t>
  </si>
  <si>
    <t>MA Thesis</t>
  </si>
  <si>
    <t>Topics:Urban Mission</t>
  </si>
  <si>
    <t>Historcl Resrch&amp;Historiography</t>
  </si>
  <si>
    <t>CHIS628</t>
  </si>
  <si>
    <t>Top: Contemp Issues in Mission</t>
  </si>
  <si>
    <t>Top: Hist of Christian Mission</t>
  </si>
  <si>
    <t>Revelation</t>
  </si>
  <si>
    <t>Judaism &amp; the New Testament</t>
  </si>
  <si>
    <t>NTST684</t>
  </si>
  <si>
    <t>Grt Controversy, Cov, Law, Sab</t>
  </si>
  <si>
    <t>GSEM628</t>
  </si>
  <si>
    <t>Theo Eng NT:Parousia</t>
  </si>
  <si>
    <t>Principles&amp;Methods of Theology</t>
  </si>
  <si>
    <t>THST619</t>
  </si>
  <si>
    <t>The Early Church to AD 604</t>
  </si>
  <si>
    <t>CHIS600</t>
  </si>
  <si>
    <t>Science &amp; Religion</t>
  </si>
  <si>
    <t>THST678</t>
  </si>
  <si>
    <t>Church Growth</t>
  </si>
  <si>
    <t>PATH541</t>
  </si>
  <si>
    <t>Witn People Another Rlg:</t>
  </si>
  <si>
    <t>MSSN660</t>
  </si>
  <si>
    <t>Strategy Development I</t>
  </si>
  <si>
    <t>MSSN741</t>
  </si>
  <si>
    <t>Cultural &amp; Relg Analysis I</t>
  </si>
  <si>
    <t>MSSN731</t>
  </si>
  <si>
    <t>Mission to the Cities</t>
  </si>
  <si>
    <t>MSSN618</t>
  </si>
  <si>
    <t>Doctrine of the Holy Spirit</t>
  </si>
  <si>
    <t>THST639</t>
  </si>
  <si>
    <t>Top:Islamic Culture &amp; Society</t>
  </si>
  <si>
    <t>Topics:Hindu Culture &amp; Society</t>
  </si>
  <si>
    <t>Top:Biblical and Quranic Stud</t>
  </si>
  <si>
    <t>Top:Biblical&amp; Buddhism Studies</t>
  </si>
  <si>
    <t>Reformation Theology</t>
  </si>
  <si>
    <t>CHIS634</t>
  </si>
  <si>
    <t>Stdies in Acts&amp;General Epstles</t>
  </si>
  <si>
    <t>Top:Buddhism Culture and Socty</t>
  </si>
  <si>
    <t>Doctrine of the Church</t>
  </si>
  <si>
    <t>THST615</t>
  </si>
  <si>
    <t>Contemp Adventst Theolgcl Iss</t>
  </si>
  <si>
    <t>THST623</t>
  </si>
  <si>
    <t>Field Evang. Preach. &amp; Pract.</t>
  </si>
  <si>
    <t>PATH634</t>
  </si>
  <si>
    <t>Readings in the OT (English)</t>
  </si>
  <si>
    <t>OTST570</t>
  </si>
  <si>
    <t>Preaching from the Old Testmnt</t>
  </si>
  <si>
    <t>PATH607</t>
  </si>
  <si>
    <t>Greco-Roman World</t>
  </si>
  <si>
    <t>NTST680</t>
  </si>
  <si>
    <t>Protestant Theologicl Heritage</t>
  </si>
  <si>
    <t>THST624</t>
  </si>
  <si>
    <t>Spiritual Nurture of Children</t>
  </si>
  <si>
    <t>DSRE678</t>
  </si>
  <si>
    <t>Strategies World Mission</t>
  </si>
  <si>
    <t>MSSN685</t>
  </si>
  <si>
    <t>CHMN607</t>
  </si>
  <si>
    <t>Theo Engl NT:Love,Marriage&amp;Div</t>
  </si>
  <si>
    <t>Hist of Christian Mission</t>
  </si>
  <si>
    <t>MSSN676</t>
  </si>
  <si>
    <t>Christian Personal Ethics</t>
  </si>
  <si>
    <t>THST600</t>
  </si>
  <si>
    <t>CHMN604</t>
  </si>
  <si>
    <t>Doctrine of Christ</t>
  </si>
  <si>
    <t>THST630</t>
  </si>
  <si>
    <t>Health&amp;Lifestyle Transformatn</t>
  </si>
  <si>
    <t>CHMN567</t>
  </si>
  <si>
    <t>Tools for Pastor's Spouse</t>
  </si>
  <si>
    <t>CHMN508</t>
  </si>
  <si>
    <t>Sem Adv OT Exegesis</t>
  </si>
  <si>
    <t>OTST940</t>
  </si>
  <si>
    <t>Biblical Preaching</t>
  </si>
  <si>
    <t>CHMN505</t>
  </si>
  <si>
    <t>Sem in Greek Exegesis</t>
  </si>
  <si>
    <t>NTST678</t>
  </si>
  <si>
    <t>Field Evangelistic Preaching</t>
  </si>
  <si>
    <t>CHMN631</t>
  </si>
  <si>
    <t>Pentateuch (Hebrew)</t>
  </si>
  <si>
    <t>OTST664</t>
  </si>
  <si>
    <t>Church &amp; Personal Finance</t>
  </si>
  <si>
    <t>CHMN529</t>
  </si>
  <si>
    <t>Intro Exeg&amp;Theo2:Acts&amp;Epistles</t>
  </si>
  <si>
    <t>NTST543</t>
  </si>
  <si>
    <t>Fostering Spiritual Growth</t>
  </si>
  <si>
    <t>DSRE630</t>
  </si>
  <si>
    <t>Yth&amp;Yng Adlt in Contmp Culture</t>
  </si>
  <si>
    <t>DSRE608</t>
  </si>
  <si>
    <t>Adv Yth&amp;Yng Adlt Min Ldrshp</t>
  </si>
  <si>
    <t>DSRE564</t>
  </si>
  <si>
    <t>Sem in Biblical Theology</t>
  </si>
  <si>
    <t>OTST945</t>
  </si>
  <si>
    <t>Rdgs in Ecclesiastical Latin</t>
  </si>
  <si>
    <t>CHIS614</t>
  </si>
  <si>
    <t>Contextualized Preaching</t>
  </si>
  <si>
    <t>CHMN632</t>
  </si>
  <si>
    <t>Hist of Christian Spirituality</t>
  </si>
  <si>
    <t>CHIS629</t>
  </si>
  <si>
    <t>Foundatns of Pastoral Ministry</t>
  </si>
  <si>
    <t>CHMN552</t>
  </si>
  <si>
    <t>Internal Dynamics of Families</t>
  </si>
  <si>
    <t>DSRE658</t>
  </si>
  <si>
    <t>Top in New Testmnt Theo:</t>
  </si>
  <si>
    <t>NT Top:Suffering, Death &amp; Res</t>
  </si>
  <si>
    <t>NTST667</t>
  </si>
  <si>
    <t>Adv Studies Gospels:</t>
  </si>
  <si>
    <t>Adv Studies Gospels:Mark</t>
  </si>
  <si>
    <t>NTST655</t>
  </si>
  <si>
    <t>Modern Christian Theology</t>
  </si>
  <si>
    <t>THST626</t>
  </si>
  <si>
    <t>Principles of Christian Ethics</t>
  </si>
  <si>
    <t>THST550</t>
  </si>
  <si>
    <t>Christian Theology II</t>
  </si>
  <si>
    <t>THST522</t>
  </si>
  <si>
    <t>Advent Hist,Life&amp;Writings EGW</t>
  </si>
  <si>
    <t>CHIS504</t>
  </si>
  <si>
    <t>Understanding Christian World</t>
  </si>
  <si>
    <t>THST510</t>
  </si>
  <si>
    <t>Church and Society</t>
  </si>
  <si>
    <t>THST660</t>
  </si>
  <si>
    <t>Apologetics in Evangelism</t>
  </si>
  <si>
    <t>CHMN587</t>
  </si>
  <si>
    <t>Writings</t>
  </si>
  <si>
    <t>OTST558</t>
  </si>
  <si>
    <t>Contemp Adv Theol Issues</t>
  </si>
  <si>
    <t>GSEM626</t>
  </si>
  <si>
    <t>Prophets</t>
  </si>
  <si>
    <t>OTST555</t>
  </si>
  <si>
    <t>Preaching frm Daniel or Rev</t>
  </si>
  <si>
    <t>Preaching frm Rev</t>
  </si>
  <si>
    <t>CHMN614</t>
  </si>
  <si>
    <t>Issues in Daniel &amp; Revelation</t>
  </si>
  <si>
    <t>GSEM627</t>
  </si>
  <si>
    <t>The Church &amp; Social Issues</t>
  </si>
  <si>
    <t>CHMN553</t>
  </si>
  <si>
    <t>The Pastor, Church &amp; Civil Law</t>
  </si>
  <si>
    <t>CHMN683</t>
  </si>
  <si>
    <t>Develop Prophetic Interpretatn</t>
  </si>
  <si>
    <t>CHIS686</t>
  </si>
  <si>
    <t>Studies in OT Exegesis</t>
  </si>
  <si>
    <t>OTST639</t>
  </si>
  <si>
    <t>CHIS683</t>
  </si>
  <si>
    <t>Exegesis of the English NT:</t>
  </si>
  <si>
    <t>NTST550</t>
  </si>
  <si>
    <t>Ancient Near Eastern Lang</t>
  </si>
  <si>
    <t>ANEA612</t>
  </si>
  <si>
    <t>Counseling Youth &amp; Young Adult</t>
  </si>
  <si>
    <t>DSRE656</t>
  </si>
  <si>
    <t>Jewish Life &amp; Thought</t>
  </si>
  <si>
    <t>OTST627</t>
  </si>
  <si>
    <t>Personal Evangelistic Ministry</t>
  </si>
  <si>
    <t>CHMN536</t>
  </si>
  <si>
    <t>History of Philosophy</t>
  </si>
  <si>
    <t>THST676</t>
  </si>
  <si>
    <t>Daniel &amp; Revelation</t>
  </si>
  <si>
    <t>GSEM511</t>
  </si>
  <si>
    <t>Sem in NT Backgrnds</t>
  </si>
  <si>
    <t>NTST920</t>
  </si>
  <si>
    <t>Hist of Relg in America</t>
  </si>
  <si>
    <t>CHIS660</t>
  </si>
  <si>
    <t>Church History 1500 to Present</t>
  </si>
  <si>
    <t>CHIS507</t>
  </si>
  <si>
    <t>Intro Exeg&amp;Theo 3:Pauline Writ</t>
  </si>
  <si>
    <t>NTST509</t>
  </si>
  <si>
    <t>New Testament Backgrounds</t>
  </si>
  <si>
    <t>NTST515</t>
  </si>
  <si>
    <t>Bible Lands&amp; Their Exploration</t>
  </si>
  <si>
    <t>ANEA514</t>
  </si>
  <si>
    <t>Early Christian Theology</t>
  </si>
  <si>
    <t>THST625</t>
  </si>
  <si>
    <t>Topics:Families in Society</t>
  </si>
  <si>
    <t>THST608</t>
  </si>
  <si>
    <t>Topics:Research Methods</t>
  </si>
  <si>
    <t>Rev, Inspir &amp; Herm</t>
  </si>
  <si>
    <t>GSEM510</t>
  </si>
  <si>
    <t>NT Textl Criticism&amp;Canon Form</t>
  </si>
  <si>
    <t>NTST606</t>
  </si>
  <si>
    <t>Biblical Eschatology</t>
  </si>
  <si>
    <t>THST637</t>
  </si>
  <si>
    <t>Sem in NT Exegesis &amp; Hermn:</t>
  </si>
  <si>
    <t>Sem NT Exgsis &amp; Hermn:1&amp;2 Tim</t>
  </si>
  <si>
    <t>NTST940</t>
  </si>
  <si>
    <t>Sem in Biblcl Theo:Eschatology</t>
  </si>
  <si>
    <t>NTST945</t>
  </si>
  <si>
    <t>Seminar in Church History:</t>
  </si>
  <si>
    <t>CHIS940</t>
  </si>
  <si>
    <t>Sem NT Exgsis &amp; Hrmn:Galatians</t>
  </si>
  <si>
    <t>Sem NT Backgrnds:Greco Rom Rel</t>
  </si>
  <si>
    <t>Sem Ancient Near Est Lang:</t>
  </si>
  <si>
    <t>OTST658</t>
  </si>
  <si>
    <t>Field Evangelistic Preach Prac</t>
  </si>
  <si>
    <t>CHMN662</t>
  </si>
  <si>
    <t>Daniel</t>
  </si>
  <si>
    <t>OTST674</t>
  </si>
  <si>
    <t>Parenting Educ &amp; Guidance</t>
  </si>
  <si>
    <t>DSRE679</t>
  </si>
  <si>
    <t>Wkshp:Health Min. in Chng Wld</t>
  </si>
  <si>
    <t>Seminary Chorus</t>
  </si>
  <si>
    <t>CHMN588</t>
  </si>
  <si>
    <t>Black Preaching</t>
  </si>
  <si>
    <t>CHMN627</t>
  </si>
  <si>
    <t>Readings in the Septuagint</t>
  </si>
  <si>
    <t>NTST644</t>
  </si>
  <si>
    <t>History&amp;Theology of Ecumenism</t>
  </si>
  <si>
    <t>THST629</t>
  </si>
  <si>
    <t>The Bible and Biblical History</t>
  </si>
  <si>
    <t>GSEM525</t>
  </si>
  <si>
    <t>Teaching Religion in College</t>
  </si>
  <si>
    <t>GSEM860</t>
  </si>
  <si>
    <t>Ministry to At-Risk Youth</t>
  </si>
  <si>
    <t>DSRE626</t>
  </si>
  <si>
    <t>Seminar in Youth Ministry</t>
  </si>
  <si>
    <t>DSRE636</t>
  </si>
  <si>
    <t>Biblical Hebrew III</t>
  </si>
  <si>
    <t>OTST625</t>
  </si>
  <si>
    <t>Preaching from the New Testmnt</t>
  </si>
  <si>
    <t>CHMN600</t>
  </si>
  <si>
    <t>Modern Church History</t>
  </si>
  <si>
    <t>CHIS665</t>
  </si>
  <si>
    <t>Reformation:</t>
  </si>
  <si>
    <t>CHIS640</t>
  </si>
  <si>
    <t>Survey of the Pentateuch</t>
  </si>
  <si>
    <t>OTST565</t>
  </si>
  <si>
    <t>Adv Studies Pauline Wrtg:</t>
  </si>
  <si>
    <t>NTST658</t>
  </si>
  <si>
    <t>Eschatology</t>
  </si>
  <si>
    <t>NTST647</t>
  </si>
  <si>
    <t>Intro Exeg&amp;Theo 1:Gospels</t>
  </si>
  <si>
    <t>NTST510</t>
  </si>
  <si>
    <t>Field Evangelism: Chaplaincy</t>
  </si>
  <si>
    <t>CHMN644</t>
  </si>
  <si>
    <t>Adv Pastoral Counseling</t>
  </si>
  <si>
    <t>CHMN665</t>
  </si>
  <si>
    <t>Field Evangelism</t>
  </si>
  <si>
    <t>CHMN562</t>
  </si>
  <si>
    <t>THST964</t>
  </si>
  <si>
    <t>Foundations in Religious Educ</t>
  </si>
  <si>
    <t>DSRE605</t>
  </si>
  <si>
    <t>Sem NT Backgrnds:Greek &amp; Roman</t>
  </si>
  <si>
    <t>NTST689</t>
  </si>
  <si>
    <t>Sem History of Mission</t>
  </si>
  <si>
    <t>MSSN827</t>
  </si>
  <si>
    <t>Love, Marriage and Divorce</t>
  </si>
  <si>
    <t>NTST613</t>
  </si>
  <si>
    <t>Human Sexuality</t>
  </si>
  <si>
    <t>DSRE659</t>
  </si>
  <si>
    <t>Prch Literary Forms of Bible</t>
  </si>
  <si>
    <t>CHMN633</t>
  </si>
  <si>
    <t>New Testament Ethics</t>
  </si>
  <si>
    <t>NTST668</t>
  </si>
  <si>
    <t>Adv Greek Grammar &amp; Syntax</t>
  </si>
  <si>
    <t>NTST608</t>
  </si>
  <si>
    <t>Contemporary Theology</t>
  </si>
  <si>
    <t>THST628</t>
  </si>
  <si>
    <t>New Testament Archaeology</t>
  </si>
  <si>
    <t>NTST615</t>
  </si>
  <si>
    <t>Theological Ethics</t>
  </si>
  <si>
    <t>THST644</t>
  </si>
  <si>
    <t>PhD-ThD Diss Prop Prep</t>
  </si>
  <si>
    <t>GSEM844</t>
  </si>
  <si>
    <t>Prep for Comprehensive Exams</t>
  </si>
  <si>
    <t>GSEM880</t>
  </si>
  <si>
    <t>Doctoral Degr Continuation</t>
  </si>
  <si>
    <t>GSEM888</t>
  </si>
  <si>
    <t>PhD-ThD Dissertation</t>
  </si>
  <si>
    <t>GSEM995</t>
  </si>
  <si>
    <t>Hebrews</t>
  </si>
  <si>
    <t>NTST645</t>
  </si>
  <si>
    <t>Top NT Theo:Dscp Synoptic Gosp</t>
  </si>
  <si>
    <t>Adv Studies Gospels:Matthew</t>
  </si>
  <si>
    <t>Master of Divinity Thesis</t>
  </si>
  <si>
    <t>GSEM698</t>
  </si>
  <si>
    <t>Sem in Systematic Theology:</t>
  </si>
  <si>
    <t>THST940</t>
  </si>
  <si>
    <t>The Works of God</t>
  </si>
  <si>
    <t>THST617</t>
  </si>
  <si>
    <t>Top NT Theo:NT New Covenants</t>
  </si>
  <si>
    <t>Major Prophets:</t>
  </si>
  <si>
    <t>OTST686</t>
  </si>
  <si>
    <t>Theology of E. G. White</t>
  </si>
  <si>
    <t>THST809</t>
  </si>
  <si>
    <t>Top: Theology of E.G. White</t>
  </si>
  <si>
    <t>Holistic Small Groups</t>
  </si>
  <si>
    <t>Preaching from Daniel</t>
  </si>
  <si>
    <t>PhD-ThD Diss Proposal Sem</t>
  </si>
  <si>
    <t>GSEM854</t>
  </si>
  <si>
    <t>Field Evang Prching Practicum</t>
  </si>
  <si>
    <t>Revelation, Inspiratn&amp;Herment</t>
  </si>
  <si>
    <t>DSRE860</t>
  </si>
  <si>
    <t>The Bible &amp; Biblical History</t>
  </si>
  <si>
    <t>Jesus in Recent Scholarshp</t>
  </si>
  <si>
    <t>NTST676</t>
  </si>
  <si>
    <t>The Holy Spirit in the NT</t>
  </si>
  <si>
    <t>NTST628</t>
  </si>
  <si>
    <t>Intro to Chaplaincy Min</t>
  </si>
  <si>
    <t>CHMN507</t>
  </si>
  <si>
    <t>DSRE507</t>
  </si>
  <si>
    <t>Pentateuch</t>
  </si>
  <si>
    <t>Top: Greco-Roman Religions</t>
  </si>
  <si>
    <t>Hist of the Ancient Near East</t>
  </si>
  <si>
    <t>ANEA604</t>
  </si>
  <si>
    <t>Archaeology of Palestine</t>
  </si>
  <si>
    <t>ANEA614</t>
  </si>
  <si>
    <t>Adv Stdy Pauline Wrtg: Romans</t>
  </si>
  <si>
    <t>Wkshp:Natural Rem/Hydro</t>
  </si>
  <si>
    <t>Sem in Theological Issues:</t>
  </si>
  <si>
    <t>THST649</t>
  </si>
  <si>
    <t>Christian Theology I</t>
  </si>
  <si>
    <t>THST521</t>
  </si>
  <si>
    <t>Stewardshp, Church &amp; Pers Res</t>
  </si>
  <si>
    <t>CHMN524</t>
  </si>
  <si>
    <t>Adv Studies Gospels: John</t>
  </si>
  <si>
    <t>Engl Reformatn &amp; Rise Puritnsm</t>
  </si>
  <si>
    <t>CHIS650</t>
  </si>
  <si>
    <t>Contextualized Preaching:Youth</t>
  </si>
  <si>
    <t>Bib &amp; Theo Hermeneutics</t>
  </si>
  <si>
    <t>GSEM915</t>
  </si>
  <si>
    <t>SemNTExe&amp;Herm:John</t>
  </si>
  <si>
    <t>Topics:Dctrn Chrch&amp;Mssn</t>
  </si>
  <si>
    <t>Suffering, Death&amp;Resurrection</t>
  </si>
  <si>
    <t>NTST614</t>
  </si>
  <si>
    <t>Theology of Synoptic Gospels</t>
  </si>
  <si>
    <t>NTST630</t>
  </si>
  <si>
    <t>Sem Phil Theology&amp;Ethics:</t>
  </si>
  <si>
    <t>THST659</t>
  </si>
  <si>
    <t>Adv Stds Pauline Wrtg:1THS</t>
  </si>
  <si>
    <t>Preaching from Revelation</t>
  </si>
  <si>
    <t>Sem. in Hist. Theo:Authority</t>
  </si>
  <si>
    <t>Seminar in Ethics:</t>
  </si>
  <si>
    <t>THST966</t>
  </si>
  <si>
    <t>Topics in Church History:</t>
  </si>
  <si>
    <t>CHIS695</t>
  </si>
  <si>
    <t>Christian Professional Ethics</t>
  </si>
  <si>
    <t>THST643</t>
  </si>
  <si>
    <t>Adv Fostering Spiritual Growth</t>
  </si>
  <si>
    <t>DSRE830</t>
  </si>
  <si>
    <t>Sem OT Exegesis</t>
  </si>
  <si>
    <t>OTST680</t>
  </si>
  <si>
    <t>Doctrine of Sabbath</t>
  </si>
  <si>
    <t>Topics in:</t>
  </si>
  <si>
    <t>Topics in Preaching</t>
  </si>
  <si>
    <t>CHMN885</t>
  </si>
  <si>
    <t>Preaching frm Revelation</t>
  </si>
  <si>
    <t>Topics in:Leadership</t>
  </si>
  <si>
    <t>Topics in:Preaching</t>
  </si>
  <si>
    <t>Sem Historical Theo:Sacraments</t>
  </si>
  <si>
    <t>A History of Preaching</t>
  </si>
  <si>
    <t>CHMN744</t>
  </si>
  <si>
    <t>PhD-ThD Comp Exams</t>
  </si>
  <si>
    <t>GSEM885</t>
  </si>
  <si>
    <t>Topics in Hebrews</t>
  </si>
  <si>
    <t>Reformatn:Radical Reformation</t>
  </si>
  <si>
    <t>Topics in Salvation</t>
  </si>
  <si>
    <t>THST885</t>
  </si>
  <si>
    <t>Top:Contemporary Theology</t>
  </si>
  <si>
    <t>Top:Doctrine of Holy Spirit</t>
  </si>
  <si>
    <t>Top: in Ecumenism</t>
  </si>
  <si>
    <t>CHMN634</t>
  </si>
  <si>
    <t>Issues Urban Ch. Leadshp</t>
  </si>
  <si>
    <t>CHMN535</t>
  </si>
  <si>
    <t>Top:Hon,Patrnage,Knship&amp;Purity</t>
  </si>
  <si>
    <t>Top:Holy Spirit in the NT</t>
  </si>
  <si>
    <t>Topics in Eschatology</t>
  </si>
  <si>
    <t>PhD-ThD Colloquium</t>
  </si>
  <si>
    <t>GSEM810</t>
  </si>
  <si>
    <t>Preaching frm Daniel</t>
  </si>
  <si>
    <t>Top:Doctrine of Christ</t>
  </si>
  <si>
    <t>History of Worship and Liturgy</t>
  </si>
  <si>
    <t>CHIS689</t>
  </si>
  <si>
    <t>Top:History of Philosophy</t>
  </si>
  <si>
    <t>Top:Doctrine of the Sabbath</t>
  </si>
  <si>
    <t>Top:Prtstnt Thlgcl Heritage</t>
  </si>
  <si>
    <t>Adv Studies:</t>
  </si>
  <si>
    <t>AdvStds:Collaborative Ministry</t>
  </si>
  <si>
    <t>DSRE870</t>
  </si>
  <si>
    <t>Top:Doctrine of the Church</t>
  </si>
  <si>
    <t>Top: I Thessalonians</t>
  </si>
  <si>
    <t>Sem in NT Exgsis &amp; Hermn:Rvltn</t>
  </si>
  <si>
    <t>Top:Theological Ethics</t>
  </si>
  <si>
    <t>Studies in Church History</t>
  </si>
  <si>
    <t>CHIS685</t>
  </si>
  <si>
    <t>Death &amp; Grief in Society</t>
  </si>
  <si>
    <t>New Covenant</t>
  </si>
  <si>
    <t>NTST624</t>
  </si>
  <si>
    <t>Top:Prncpls &amp; Mthds of Thlgy</t>
  </si>
  <si>
    <t>Top:The Works of Christ</t>
  </si>
  <si>
    <t>Sacred Mus Afri-Amer Traditn</t>
  </si>
  <si>
    <t>CHMN629</t>
  </si>
  <si>
    <t>Adv Stds Pauline Wrtg:1Thessal</t>
  </si>
  <si>
    <t>Collaboratv Min:Schl,Chrch,Com</t>
  </si>
  <si>
    <t>DSRE615</t>
  </si>
  <si>
    <t>Top:Doctrine of God</t>
  </si>
  <si>
    <t>Top:Biblical Eschatology</t>
  </si>
  <si>
    <t>Theology Hebrew Scriptures</t>
  </si>
  <si>
    <t>OTST835</t>
  </si>
  <si>
    <t>Preach Literary Forms of Bible</t>
  </si>
  <si>
    <t>CHMN748</t>
  </si>
  <si>
    <t>Trauma&amp;Adv Crisis Intervention</t>
  </si>
  <si>
    <t>CHMN643</t>
  </si>
  <si>
    <t>Theologicl Found Christian Tch</t>
  </si>
  <si>
    <t>DSRE850</t>
  </si>
  <si>
    <t>CHMN776</t>
  </si>
  <si>
    <t>Ministry to Fam in Context</t>
  </si>
  <si>
    <t>DSRE747</t>
  </si>
  <si>
    <t>Top:Doctrine of Salvation</t>
  </si>
  <si>
    <t>Sem Theo:The Problem of Evil</t>
  </si>
  <si>
    <t>Top:Christian Prof Ethics</t>
  </si>
  <si>
    <t>Top: Josephus</t>
  </si>
  <si>
    <t>Theology of Mission</t>
  </si>
  <si>
    <t>MSSN610</t>
  </si>
  <si>
    <t>Hist of American Relg Thought</t>
  </si>
  <si>
    <t>CHIS664</t>
  </si>
  <si>
    <t>Topics in Revelation</t>
  </si>
  <si>
    <t>Top:Intertestamental Literatur</t>
  </si>
  <si>
    <t>Principles of Hermeneutics</t>
  </si>
  <si>
    <t>OTST685</t>
  </si>
  <si>
    <t>Survey of the Old Testament</t>
  </si>
  <si>
    <t>OTST500</t>
  </si>
  <si>
    <t>Topics in : Dead Sea Scrolls</t>
  </si>
  <si>
    <t>OTST885</t>
  </si>
  <si>
    <t>OTST614</t>
  </si>
  <si>
    <t>Sem Theology of Mission</t>
  </si>
  <si>
    <t>MSSN826</t>
  </si>
  <si>
    <t>Top:Theo of Pauline Epistles</t>
  </si>
  <si>
    <t>Revelation, Inspiratn&amp;Herm</t>
  </si>
  <si>
    <t>Topics in: Daniel</t>
  </si>
  <si>
    <t>Phil &amp; Ethics in Chaplaincy</t>
  </si>
  <si>
    <t>CHMN549</t>
  </si>
  <si>
    <t>NTST648</t>
  </si>
  <si>
    <t>THST605</t>
  </si>
  <si>
    <t>Adv Studies General Epistles:</t>
  </si>
  <si>
    <t>NTST653</t>
  </si>
  <si>
    <t>Minor Prophets</t>
  </si>
  <si>
    <t>OTST675</t>
  </si>
  <si>
    <t>Intertestamental Literature</t>
  </si>
  <si>
    <t>OTST634</t>
  </si>
  <si>
    <t>Issues in Origins</t>
  </si>
  <si>
    <t>THST635</t>
  </si>
  <si>
    <t>Theology of Pauline Epistles</t>
  </si>
  <si>
    <t>NTST634</t>
  </si>
  <si>
    <t>Hist of GC, Cov, Law&amp;Sabbath</t>
  </si>
  <si>
    <t>CHIS638</t>
  </si>
  <si>
    <t>Gr Con, Cov, Law &amp; Sabbath</t>
  </si>
  <si>
    <t>NTST650</t>
  </si>
  <si>
    <t>Sem in Hist Theo:Sacraments</t>
  </si>
  <si>
    <t>Topics in: Matthew</t>
  </si>
  <si>
    <t>Media Ministry</t>
  </si>
  <si>
    <t>CHMN609</t>
  </si>
  <si>
    <t>Top: Early Christian Theology</t>
  </si>
  <si>
    <t>Top: Romans</t>
  </si>
  <si>
    <t>Top: Judiasm in the NT</t>
  </si>
  <si>
    <t>Topics:Strtgs for  World Missn</t>
  </si>
  <si>
    <t>Sem in Hellenistic Greek</t>
  </si>
  <si>
    <t>NTST696</t>
  </si>
  <si>
    <t>Topics in: Hellenistic Greek</t>
  </si>
  <si>
    <t>Top:Issues in Orgins</t>
  </si>
  <si>
    <t>OTST510</t>
  </si>
  <si>
    <t>Chrch Grwth&amp; Eqppng Pstr:_____</t>
  </si>
  <si>
    <t>Top:Gr Controvrsy,Cov,Law,Sabb</t>
  </si>
  <si>
    <t>Top:Seminar in other Religions</t>
  </si>
  <si>
    <t>Topics:Eschatology</t>
  </si>
  <si>
    <t>Top:Hist &amp; Theo of Ecumenism</t>
  </si>
  <si>
    <t>The Works of Christ</t>
  </si>
  <si>
    <t>THST618</t>
  </si>
  <si>
    <t>Spec Approaches to Evan:</t>
  </si>
  <si>
    <t>Spec Appr to Evan:Coachng Mssn</t>
  </si>
  <si>
    <t>CHMN586</t>
  </si>
  <si>
    <t>Colloquium:Research &amp; Writing</t>
  </si>
  <si>
    <t>Top:Protestant Theo Heritage</t>
  </si>
  <si>
    <t>Top: Works of Christ</t>
  </si>
  <si>
    <t>Adv Studies Gospels: Mark</t>
  </si>
  <si>
    <t>St Chrch Hstry:Rdg Bbl 500CE</t>
  </si>
  <si>
    <t>Intro to the New Testament</t>
  </si>
  <si>
    <t>NTST520</t>
  </si>
  <si>
    <t>Intro to Revelation</t>
  </si>
  <si>
    <t>NTST530</t>
  </si>
  <si>
    <t>History of Relg Liberty</t>
  </si>
  <si>
    <t>CHIS668</t>
  </si>
  <si>
    <t>Coloq:Intercultur Understandng</t>
  </si>
  <si>
    <t>Coll:HopeFilled Financial Mgmt</t>
  </si>
  <si>
    <t>Top: Rev, Insp &amp; Hermeneutics</t>
  </si>
  <si>
    <t>Tpcs in :NW Semitic Inscriptin</t>
  </si>
  <si>
    <t>Wrkshp:Ntrl Intrvntns&amp;Hydrthrp</t>
  </si>
  <si>
    <t>Hist &amp; Theo Adventist Worshp</t>
  </si>
  <si>
    <t>CHMN654</t>
  </si>
  <si>
    <t>Top:Princpl &amp; Meth of Theo</t>
  </si>
  <si>
    <t>Top:Christian Personal Ethics</t>
  </si>
  <si>
    <t>Psalms/Wisdom Lit (Hebrew)</t>
  </si>
  <si>
    <t>OTST668</t>
  </si>
  <si>
    <t>Top:Suffrng,Death&amp;Resurrection</t>
  </si>
  <si>
    <t>Contemporary Trends</t>
  </si>
  <si>
    <t>CHIS688</t>
  </si>
  <si>
    <t>Adv Stud Pauline Wrtg: Romans</t>
  </si>
  <si>
    <t>Seminar:Hist Christian Spirit</t>
  </si>
  <si>
    <t>Witn People Another Rlg:Islam</t>
  </si>
  <si>
    <t>Sem in Phil, Theo &amp; Ethics:</t>
  </si>
  <si>
    <t>THST814</t>
  </si>
  <si>
    <t>Topics:Hebrew</t>
  </si>
  <si>
    <t>Sem CHIS:Nat Theo &amp; Moral Phil</t>
  </si>
  <si>
    <t>Topics in : Minor Prophets</t>
  </si>
  <si>
    <t>Top:Christian Social Ethics</t>
  </si>
  <si>
    <t>MSSN885</t>
  </si>
  <si>
    <t>Topics in:AncntNrEstrnLanguags</t>
  </si>
  <si>
    <t>Top CHIS:Nat Theo Moral Phi</t>
  </si>
  <si>
    <t>Topics in :Biblical Aramaic</t>
  </si>
  <si>
    <t>Topics:Revelation</t>
  </si>
  <si>
    <t>Topics in:ChrstnRspnsHumnNeeds</t>
  </si>
  <si>
    <t>Bible Lands &amp; Their Exploraton</t>
  </si>
  <si>
    <t>OTST514</t>
  </si>
  <si>
    <t>History of the SDA Church</t>
  </si>
  <si>
    <t>CHIS570</t>
  </si>
  <si>
    <t>Life &amp; Writings of E. G. White</t>
  </si>
  <si>
    <t>CHIS571</t>
  </si>
  <si>
    <t>Topics in :Biblical Hebrew III</t>
  </si>
  <si>
    <t>Topics in: Pentateuch</t>
  </si>
  <si>
    <t>Coll:Academic Survival&amp;Success</t>
  </si>
  <si>
    <t>DSRE758</t>
  </si>
  <si>
    <t>Ch Growth&amp;Discipleshp Urban Ch</t>
  </si>
  <si>
    <t>CHMN778</t>
  </si>
  <si>
    <t>DMin Prof. Dissertation Cont</t>
  </si>
  <si>
    <t>Intro to Ecclesiastical Latin</t>
  </si>
  <si>
    <t>CHIS612</t>
  </si>
  <si>
    <t>Topics in Holy Spirit in theNT</t>
  </si>
  <si>
    <t>Top: Issues in Origins</t>
  </si>
  <si>
    <t>Top:Mssn in Cultrl&amp;RlgsContext</t>
  </si>
  <si>
    <t>Top: RC Life &amp; Thought</t>
  </si>
  <si>
    <t>Top: Biblical Eschatology</t>
  </si>
  <si>
    <t>Top: Doctrine of Holy Spirit</t>
  </si>
  <si>
    <t>StChHist:RdgBible Chrstns&amp;Jews</t>
  </si>
  <si>
    <t>Top:Rom Catholic Life&amp;Thought</t>
  </si>
  <si>
    <t>Sem: History of Inspiration</t>
  </si>
  <si>
    <t>Top:Cross-Cultural Leadership</t>
  </si>
  <si>
    <t>Topics in : Psalms</t>
  </si>
  <si>
    <t>Top:Sem in Theology of Mission</t>
  </si>
  <si>
    <t>Topics in : Daniel</t>
  </si>
  <si>
    <t>Personal &amp; Fam Finance</t>
  </si>
  <si>
    <t>DSRE652</t>
  </si>
  <si>
    <t>Gr Cntrvrsy, Cov, Law, Sabbath</t>
  </si>
  <si>
    <t>OTST610</t>
  </si>
  <si>
    <t>Coll: Exeg Use of Bib Software</t>
  </si>
  <si>
    <t>Practicum Clin Pastoral Educ</t>
  </si>
  <si>
    <t>CHMN557</t>
  </si>
  <si>
    <t>Top: Theology of Mission</t>
  </si>
  <si>
    <t>Cnstrcts of Corp Min Discpl</t>
  </si>
  <si>
    <t>DSRE709</t>
  </si>
  <si>
    <t>Biblical Aramaic</t>
  </si>
  <si>
    <t>OTST654</t>
  </si>
  <si>
    <t>DIS Dissertation Continuation</t>
  </si>
  <si>
    <t>MSSN888</t>
  </si>
  <si>
    <t>StChHist:Hist of Inspiration</t>
  </si>
  <si>
    <t>Top:Disciplshp &amp; Wrldvw Transf</t>
  </si>
  <si>
    <t>AdvSt: Teach for Disc Life Spa</t>
  </si>
  <si>
    <t>Sem Hist Theo: Justification</t>
  </si>
  <si>
    <t>Top:Curr Issues in Mission</t>
  </si>
  <si>
    <t>Synthesis in Relg Education</t>
  </si>
  <si>
    <t>DSRE950</t>
  </si>
  <si>
    <t>Ethics and the Good Life</t>
  </si>
  <si>
    <t>THST633</t>
  </si>
  <si>
    <t>Top: Christian Personal Ethics</t>
  </si>
  <si>
    <t>Top: Great Cont, Cov. Law, Sab</t>
  </si>
  <si>
    <t>Top: Holy Sprt in the New Test</t>
  </si>
  <si>
    <t>Top:Grt Ctrvsy, Cvnt, Law&amp; Sab</t>
  </si>
  <si>
    <t>Topics in: Greco-Roman World</t>
  </si>
  <si>
    <t>Top:NT Textl Crtsm&amp; Canon Form</t>
  </si>
  <si>
    <t>Top:Theo of Pauline Writings</t>
  </si>
  <si>
    <t>PATH588</t>
  </si>
  <si>
    <t>Topics in: Ugaritic</t>
  </si>
  <si>
    <t>Top: Hebrew III</t>
  </si>
  <si>
    <t>Top: Interc Theology &amp; Mission</t>
  </si>
  <si>
    <t>Sem: Sabbth as Dctrne &amp; Blesng</t>
  </si>
  <si>
    <t>Sem in CHIS: Historiography</t>
  </si>
  <si>
    <t>Hist of Christian Worship Mus</t>
  </si>
  <si>
    <t>PATH602</t>
  </si>
  <si>
    <t>Gender and Leadership</t>
  </si>
  <si>
    <t>PATH782</t>
  </si>
  <si>
    <t>DSLE656</t>
  </si>
  <si>
    <t>Top:Intrcultral Theol&amp; Mission</t>
  </si>
  <si>
    <t>DSLE615</t>
  </si>
  <si>
    <t>PATH526</t>
  </si>
  <si>
    <t>In-Ministry Continuation</t>
  </si>
  <si>
    <t>GSEM588</t>
  </si>
  <si>
    <t>Preach. Biblical Prophecies</t>
  </si>
  <si>
    <t>PATH601</t>
  </si>
  <si>
    <t>SemAdv OT Exeg: Minor Prophets</t>
  </si>
  <si>
    <t>Pract Clinl Past Educ:</t>
  </si>
  <si>
    <t>PATH557</t>
  </si>
  <si>
    <t>DSLE850</t>
  </si>
  <si>
    <t>Challenge 2nd&amp;3rd Generations</t>
  </si>
  <si>
    <t>PATH762</t>
  </si>
  <si>
    <t>Top:Readings in the Septuagint</t>
  </si>
  <si>
    <t>DSLE659</t>
  </si>
  <si>
    <t>Family Dynamics and Sexuality</t>
  </si>
  <si>
    <t>DSLE748</t>
  </si>
  <si>
    <t>PATH505</t>
  </si>
  <si>
    <t>PATH552</t>
  </si>
  <si>
    <t>CHMN712</t>
  </si>
  <si>
    <t>Top:Rom Catholic Life&amp; Thought</t>
  </si>
  <si>
    <t>PATH553</t>
  </si>
  <si>
    <t>Coll:Adventsm: Bib Soc Justice</t>
  </si>
  <si>
    <t>PATH549</t>
  </si>
  <si>
    <t>OTST660</t>
  </si>
  <si>
    <t>PATH507</t>
  </si>
  <si>
    <t>Wholistic Healthcare Ministry</t>
  </si>
  <si>
    <t>PATH761</t>
  </si>
  <si>
    <t>PATH787</t>
  </si>
  <si>
    <t>Coll: Pre-Advent Judgement</t>
  </si>
  <si>
    <t>DSLE679</t>
  </si>
  <si>
    <t>Coll:Sexl Integr for Pastors</t>
  </si>
  <si>
    <t>Coll:Destigmtzing Mentl Health</t>
  </si>
  <si>
    <t>Current Issues in Mission</t>
  </si>
  <si>
    <t>MSSN805</t>
  </si>
  <si>
    <t>Disciplshp&amp;Worldvw Transfrmatn</t>
  </si>
  <si>
    <t>MSSN870</t>
  </si>
  <si>
    <t>Urban Context Mission/Ministry</t>
  </si>
  <si>
    <t>MSSN835</t>
  </si>
  <si>
    <t>Topics in Matthew</t>
  </si>
  <si>
    <t>Topics in Holy Spirit in NT</t>
  </si>
  <si>
    <t>Seminar in Adventist Studies:</t>
  </si>
  <si>
    <t>SemAdvSt:History of the Trinty</t>
  </si>
  <si>
    <t>CHIS944</t>
  </si>
  <si>
    <t>Bib Theo&amp;Spiritl Found Mssn</t>
  </si>
  <si>
    <t>MSSN806</t>
  </si>
  <si>
    <t>Research Methods in Miss&amp;Min</t>
  </si>
  <si>
    <t>MSSN840</t>
  </si>
  <si>
    <t>History of Mission</t>
  </si>
  <si>
    <t>MSSN837</t>
  </si>
  <si>
    <t>StChHist:Linguist Theologians</t>
  </si>
  <si>
    <t>OTST854</t>
  </si>
  <si>
    <t>Top:NT Text. Crit. &amp;Canon Form</t>
  </si>
  <si>
    <t>DSLE606</t>
  </si>
  <si>
    <t>Topics in Galatians</t>
  </si>
  <si>
    <t>Topics in NT Ethics</t>
  </si>
  <si>
    <t>Topics in Greco-Roman World</t>
  </si>
  <si>
    <t>PATH643</t>
  </si>
  <si>
    <t>DSLE608</t>
  </si>
  <si>
    <t>Adv Studies Gospels: Matthew</t>
  </si>
  <si>
    <t>Coll:Climate Chng &amp; SDA Resp</t>
  </si>
  <si>
    <t>Sem His Theo: Theo of EGW</t>
  </si>
  <si>
    <t>Top: Doctrine of Salvation</t>
  </si>
  <si>
    <t>StChHist:Histry of the Trinity</t>
  </si>
  <si>
    <t>DSLE669</t>
  </si>
  <si>
    <t>Coll: Innovative Y&amp;YA Evang</t>
  </si>
  <si>
    <t>Top: Revelation, Inspirat&amp;Herm</t>
  </si>
  <si>
    <t>Topics in:Healing&amp; Deliverance</t>
  </si>
  <si>
    <t>Major Prophets:Jeremiah</t>
  </si>
  <si>
    <t>Adv St Pauline Wrtg: Galatians</t>
  </si>
  <si>
    <t>Sem Adv OT Exegesis:Pentateuch</t>
  </si>
  <si>
    <t>Top:Healing &amp; Deliverance</t>
  </si>
  <si>
    <t>DSLE709</t>
  </si>
  <si>
    <t>Studies in Daniel (Esp)</t>
  </si>
  <si>
    <t>Gen Sem Top:</t>
  </si>
  <si>
    <t>Gen Sem Top:Bibcl Hermeneutics</t>
  </si>
  <si>
    <t>GSEM685</t>
  </si>
  <si>
    <t>Hear&amp;Respond God Thrgh Life</t>
  </si>
  <si>
    <t>PATH783</t>
  </si>
  <si>
    <t>SemChHist:Linguist Theologians</t>
  </si>
  <si>
    <t>Top:Linguistics for Theolgians</t>
  </si>
  <si>
    <t>Top in Chrch Hist:Early Church</t>
  </si>
  <si>
    <t>CHIS880</t>
  </si>
  <si>
    <t>Topics: Dev of SDA Theology</t>
  </si>
  <si>
    <t>CHIS885</t>
  </si>
  <si>
    <t>Topics in: Bblical Hebrew III</t>
  </si>
  <si>
    <t>Ministry to Older Adults</t>
  </si>
  <si>
    <t>DSLE677</t>
  </si>
  <si>
    <t>Topics in: OT Exegesis</t>
  </si>
  <si>
    <t>Topics in Judaism and the NT</t>
  </si>
  <si>
    <t>OTST612</t>
  </si>
  <si>
    <t>DSLE655</t>
  </si>
  <si>
    <t>PATH627</t>
  </si>
  <si>
    <t>Topics in: Akkadian</t>
  </si>
  <si>
    <t>Top: Principles&amp;Methods of The</t>
  </si>
  <si>
    <t>DSLE749</t>
  </si>
  <si>
    <t>Pract Clinl Past Educ:Clinical</t>
  </si>
  <si>
    <t>The Church in the City</t>
  </si>
  <si>
    <t>PATH774</t>
  </si>
  <si>
    <t>PATH778</t>
  </si>
  <si>
    <t>PATH744</t>
  </si>
  <si>
    <t>DMin Professional Portfolio</t>
  </si>
  <si>
    <t>GSEM785</t>
  </si>
  <si>
    <t>Adv Clin Pastoral Eductn</t>
  </si>
  <si>
    <t>PATH739</t>
  </si>
  <si>
    <t>Adv Studies:Collab Ministries</t>
  </si>
  <si>
    <t>DSLE870</t>
  </si>
  <si>
    <t>Top Church Hist: Martin Luther</t>
  </si>
  <si>
    <t>Mission Strategy &amp; Leadership</t>
  </si>
  <si>
    <t>MSSN834</t>
  </si>
  <si>
    <t>OTST810</t>
  </si>
  <si>
    <t>DSLE652</t>
  </si>
  <si>
    <t>PATH562</t>
  </si>
  <si>
    <t>CPE</t>
  </si>
  <si>
    <t>CPE: Clinical</t>
  </si>
  <si>
    <t>PATH554</t>
  </si>
  <si>
    <t>NTST808</t>
  </si>
  <si>
    <t>Topics in Textual Criticism</t>
  </si>
  <si>
    <t>Top: Roman Catholic Thought</t>
  </si>
  <si>
    <t>Sem Rev&amp;Insp: Narrative Theo</t>
  </si>
  <si>
    <t>Intergenerational Ministry</t>
  </si>
  <si>
    <t>DSLE607</t>
  </si>
  <si>
    <t>SemAdv OT Exeg: Proverbs</t>
  </si>
  <si>
    <t>CreatngCollctvImpctProjctMngm</t>
  </si>
  <si>
    <t>MSSN625</t>
  </si>
  <si>
    <t>Sem Adv OT Exeg:Major Prophets</t>
  </si>
  <si>
    <t>Evangelistic Preaching</t>
  </si>
  <si>
    <t>PATH603</t>
  </si>
  <si>
    <t>CPE: Urban</t>
  </si>
  <si>
    <t>Discipling Young Adults</t>
  </si>
  <si>
    <t>DSLE564</t>
  </si>
  <si>
    <t>Seminar:</t>
  </si>
  <si>
    <t>Sem: Reaching the Secular Mind</t>
  </si>
  <si>
    <t>DSLE930</t>
  </si>
  <si>
    <t>Contextualized Preaching:</t>
  </si>
  <si>
    <t>PATH632</t>
  </si>
  <si>
    <t>Top:Doctrin of the Holy Spirit</t>
  </si>
  <si>
    <t>Sem Thel Iss: Narrative Theo</t>
  </si>
  <si>
    <t>Top: Gr Con, Cov, Law&amp; Sabbath</t>
  </si>
  <si>
    <t>Top:Judaism &amp;the New Testament</t>
  </si>
  <si>
    <t>Reformation: Martin Luther</t>
  </si>
  <si>
    <t>Coll:Getting Publishd/Staying</t>
  </si>
  <si>
    <t>Diversity,Cult.,Intel,Leadrshp</t>
  </si>
  <si>
    <t>MSSN632</t>
  </si>
  <si>
    <t>Coll: Creation Care &amp; SDAs</t>
  </si>
  <si>
    <t>PATH567</t>
  </si>
  <si>
    <t>PATH654</t>
  </si>
  <si>
    <t>Coll: Master Guide Toolbox</t>
  </si>
  <si>
    <t>PATH536</t>
  </si>
  <si>
    <t>Top CHIS: Hist of Sab&amp;Sun</t>
  </si>
  <si>
    <t>PATH748</t>
  </si>
  <si>
    <t>PATH609</t>
  </si>
  <si>
    <t>Issues in Discipleship</t>
  </si>
  <si>
    <t>PATH710</t>
  </si>
  <si>
    <t>Coll:Pride&amp;Humlty for Rel Ldrs</t>
  </si>
  <si>
    <t>Top: Doctrine of Christ</t>
  </si>
  <si>
    <t>Top:AdvSt Paulne Wrt:Galatians</t>
  </si>
  <si>
    <t>Sem Hist of Sabbath &amp; Sunday</t>
  </si>
  <si>
    <t>CHIS684</t>
  </si>
  <si>
    <t>St CHIS:Hist&amp; Theo Adv Worship</t>
  </si>
  <si>
    <t>Top in CH:Hist of Sab&amp;Sunday</t>
  </si>
  <si>
    <t>Top: Hist of Philosophy</t>
  </si>
  <si>
    <t>Adv Archaeology of NT Period</t>
  </si>
  <si>
    <t>ANEA815</t>
  </si>
  <si>
    <t>ICISF Certification for Crisis</t>
  </si>
  <si>
    <t>MSSN655</t>
  </si>
  <si>
    <t>Top:Witness inSecular Society</t>
  </si>
  <si>
    <t>Mission Education &amp; Training</t>
  </si>
  <si>
    <t>MSSN880</t>
  </si>
  <si>
    <t>MSSN820</t>
  </si>
  <si>
    <t>Sem in Other Religions</t>
  </si>
  <si>
    <t>MSSN829</t>
  </si>
  <si>
    <t>Mission &amp; the Social Sciences</t>
  </si>
  <si>
    <t>MSSN838</t>
  </si>
  <si>
    <t>DSLE830</t>
  </si>
  <si>
    <t>Advanced Admin Practices</t>
  </si>
  <si>
    <t>PATH781</t>
  </si>
  <si>
    <t>Cont Preach:Youth&amp; Young Adult</t>
  </si>
  <si>
    <t>Sem:</t>
  </si>
  <si>
    <t>MSSN810</t>
  </si>
  <si>
    <t>Topics in NT Archaeology</t>
  </si>
  <si>
    <t>Top in Chrch Hist:Rlgn in Amer</t>
  </si>
  <si>
    <t>OTST615</t>
  </si>
  <si>
    <t>Top: Dead Sea Scrolls</t>
  </si>
  <si>
    <t>Top:Iss in Ellen G White Stdis</t>
  </si>
  <si>
    <t>Topics in: Biblical Hebrew III</t>
  </si>
  <si>
    <t>Top:Doctrine of Church</t>
  </si>
  <si>
    <t>Topics in Dev of SDA Theology</t>
  </si>
  <si>
    <t>Topics in: Great Controvery</t>
  </si>
  <si>
    <t>Topics Grt Cont, Cov, Law, Sab</t>
  </si>
  <si>
    <t>Hist of Ancnt Near East :Egypt</t>
  </si>
  <si>
    <t>OTST604</t>
  </si>
  <si>
    <t>Top: Contemporary Theo</t>
  </si>
  <si>
    <t>DSLE678</t>
  </si>
  <si>
    <t>Major Prophets: Isaiah</t>
  </si>
  <si>
    <t>Sem Adv OT Exeg:  Pentateuch</t>
  </si>
  <si>
    <t>NT Archaeology</t>
  </si>
  <si>
    <t>ANEA625</t>
  </si>
  <si>
    <t>Top: Modern Christian Theology</t>
  </si>
  <si>
    <t>Top: Theological Ethics</t>
  </si>
  <si>
    <t>Topics In:</t>
  </si>
  <si>
    <t>Top:Hist Ancnt Near East:Egypt</t>
  </si>
  <si>
    <t>ANEA885</t>
  </si>
  <si>
    <t>Top in Dead Sea Scrolls</t>
  </si>
  <si>
    <t>Prchg OT/NT for Max Impact</t>
  </si>
  <si>
    <t>PATH633</t>
  </si>
  <si>
    <t>Urban Ministry Project</t>
  </si>
  <si>
    <t>MSSN667</t>
  </si>
  <si>
    <t>DMin Prof Dissertn Sem (Span)</t>
  </si>
  <si>
    <t>Top:Hist of Ancnt Near E-Egypt</t>
  </si>
  <si>
    <t>Coll:Healing from Abuse inChrc</t>
  </si>
  <si>
    <t>Coll: Faith in Film</t>
  </si>
  <si>
    <t>Discipling Youth</t>
  </si>
  <si>
    <t>DSLE636</t>
  </si>
  <si>
    <t>Cont Preach:Multi-Ethnc/Racial</t>
  </si>
  <si>
    <t>Coll:Writing Wisely-Princ Acad</t>
  </si>
  <si>
    <t>SemAdv OT Exeg: Pentateuch</t>
  </si>
  <si>
    <t>Top: Hist of Cntemp Pr &amp; Wrshp</t>
  </si>
  <si>
    <t>Coll:ElMinchin Creative Y Evan</t>
  </si>
  <si>
    <t>Top: Doctrine of God</t>
  </si>
  <si>
    <t>Sem EGW &amp; Lts/Mss Annotation</t>
  </si>
  <si>
    <t>Synth in Discipleship Life Ed</t>
  </si>
  <si>
    <t>DSLE950</t>
  </si>
  <si>
    <t>Textural Criticism</t>
  </si>
  <si>
    <t>OTST820</t>
  </si>
  <si>
    <t>Top: Hist of Cont Praise &amp;Wrsh</t>
  </si>
  <si>
    <t>Cntxtlzd Prchng: Multi Eth Rac</t>
  </si>
  <si>
    <t>St EGW &amp; Lts/Mss Annotation</t>
  </si>
  <si>
    <t>Major Prophets: Exegesis</t>
  </si>
  <si>
    <t>Discipling At-Risk Youth</t>
  </si>
  <si>
    <t>DSLE626</t>
  </si>
  <si>
    <t>Coll:150th Annivers. Mssn Conf</t>
  </si>
  <si>
    <t>Coll: Effective Soc. Media Min</t>
  </si>
  <si>
    <t>Top: Hst of Ctmp Prs &amp; Wrshp</t>
  </si>
  <si>
    <t>CHIS828</t>
  </si>
  <si>
    <t>Coll: Securing Your Calling</t>
  </si>
  <si>
    <t>Coll: Mentoring for Church Rev</t>
  </si>
  <si>
    <t>Prophetic Preach in Worship</t>
  </si>
  <si>
    <t>PATH743</t>
  </si>
  <si>
    <t>Psalms/Wisdom Literature</t>
  </si>
  <si>
    <t>Top:AdvSt Paulne Wrt:Romans</t>
  </si>
  <si>
    <t>Topics in Romans</t>
  </si>
  <si>
    <t>Top: Modern Philosophy</t>
  </si>
  <si>
    <t>Topics: Modern Philosophy</t>
  </si>
  <si>
    <t>Psalms/Wisdom Lit</t>
  </si>
  <si>
    <t>Postdoctoral Seminar</t>
  </si>
  <si>
    <t>GSEM990</t>
  </si>
  <si>
    <t>Top:Healing&amp;Deliverance in Mss</t>
  </si>
  <si>
    <t>Adv St Pauline Wrtg: Romans</t>
  </si>
  <si>
    <t>Top CHIS: Early Chch to AD 604</t>
  </si>
  <si>
    <t>ANE Lang: Akkadian</t>
  </si>
  <si>
    <t>DSLE860</t>
  </si>
  <si>
    <t>Stdis n CHIS:Chrstn Wrshp Mus</t>
  </si>
  <si>
    <t>Hist. Res. &amp; Historiography</t>
  </si>
  <si>
    <t>CHIS814</t>
  </si>
  <si>
    <t>Top:Hist of ANE Msptmia</t>
  </si>
  <si>
    <t>Topics in:Judaism and the NT</t>
  </si>
  <si>
    <t>Top: Ethics and the Good Life</t>
  </si>
  <si>
    <t>Sem n Adv Arch &amp; Hst f Antqty</t>
  </si>
  <si>
    <t>Sem Hist of Inter of Gen</t>
  </si>
  <si>
    <t>Sem in Adv Hst of ANE: Msptmia</t>
  </si>
  <si>
    <t>Hist of ANE: Mesopotamia</t>
  </si>
  <si>
    <t>Topics in:Revelation</t>
  </si>
  <si>
    <t>Top: Intercultural Theology</t>
  </si>
  <si>
    <t>Top: Hist of ANE:  Mesopotamia</t>
  </si>
  <si>
    <t>ANE Lang: Top Akkadian</t>
  </si>
  <si>
    <t>Top: Hist&amp;Theo of Ecumenism</t>
  </si>
  <si>
    <t>DSLE658</t>
  </si>
  <si>
    <t>Topics in:Biblical Aramaic</t>
  </si>
  <si>
    <t>Directed Rdg in Old Testmt</t>
  </si>
  <si>
    <t>Directed Rdg in OT: Akkadian</t>
  </si>
  <si>
    <t>OTST890</t>
  </si>
  <si>
    <t>Coll:Comm Engag Past. Min</t>
  </si>
  <si>
    <t>Coaching for Mission</t>
  </si>
  <si>
    <t>PATH613</t>
  </si>
  <si>
    <t>Coll: Finances for Pastors</t>
  </si>
  <si>
    <t>Coll: D3 Re-Imagining Disc.Mak</t>
  </si>
  <si>
    <t>Synthesis in DSLE</t>
  </si>
  <si>
    <t>Foundations in DSLE</t>
  </si>
  <si>
    <t>DSLE605</t>
  </si>
  <si>
    <t>Coll:</t>
  </si>
  <si>
    <t>Sem in NT Theology &amp; Ethics</t>
  </si>
  <si>
    <t>NTST679</t>
  </si>
  <si>
    <t>Hist of the ANE Mesopotamia</t>
  </si>
  <si>
    <t>Top:Roman Cath Life &amp; Thought</t>
  </si>
  <si>
    <t>Top: Doctrine of the Church</t>
  </si>
  <si>
    <t>Topics in Adv Stud in Matthew</t>
  </si>
  <si>
    <t>Topics in Diversity, Cultures</t>
  </si>
  <si>
    <t>Advanced Campus Ministry</t>
  </si>
  <si>
    <t>DSLE664</t>
  </si>
  <si>
    <t>Sem in Church Hist:</t>
  </si>
  <si>
    <t>Coll: Writing Wisely</t>
  </si>
  <si>
    <t>CPE: Campus</t>
  </si>
  <si>
    <t>Modern Philosophy</t>
  </si>
  <si>
    <t>THST682</t>
  </si>
  <si>
    <t>Seminar in Church History</t>
  </si>
  <si>
    <t>Sem:Armi-Wesley&amp;Adventist Sote</t>
  </si>
  <si>
    <t>CHIS682</t>
  </si>
  <si>
    <t>Ministry of Music</t>
  </si>
  <si>
    <t>PATH590</t>
  </si>
  <si>
    <t>Minor Prophets Exegesis</t>
  </si>
  <si>
    <t>Historical Books (Hebrew)</t>
  </si>
  <si>
    <t>OTST666</t>
  </si>
  <si>
    <t>Field Practicum:________</t>
  </si>
  <si>
    <t>DSLE680</t>
  </si>
  <si>
    <t>Adv Scholarly &amp; Prof Dev</t>
  </si>
  <si>
    <t>DSLE878</t>
  </si>
  <si>
    <t>Directed Rdg Historical Theo</t>
  </si>
  <si>
    <t>THST895</t>
  </si>
  <si>
    <t>Directed Rdg Christian Ethics</t>
  </si>
  <si>
    <t>THST896</t>
  </si>
  <si>
    <t>Ind Stdy:</t>
  </si>
  <si>
    <t>CHMN690</t>
  </si>
  <si>
    <t>Directed Rdgs in Church Min</t>
  </si>
  <si>
    <t>CHMN890</t>
  </si>
  <si>
    <t>Ind St:</t>
  </si>
  <si>
    <t>CHIS690</t>
  </si>
  <si>
    <t>Field Practicum</t>
  </si>
  <si>
    <t>CHMN660</t>
  </si>
  <si>
    <t>Directed Rdg in Church History</t>
  </si>
  <si>
    <t>CHIS890</t>
  </si>
  <si>
    <t>Directed Rdg Adventist Studies</t>
  </si>
  <si>
    <t>CHIS895</t>
  </si>
  <si>
    <t>THST690</t>
  </si>
  <si>
    <t>DSRE690</t>
  </si>
  <si>
    <t>OTST545</t>
  </si>
  <si>
    <t>NTST690</t>
  </si>
  <si>
    <t>Directed Rdg in New Testament</t>
  </si>
  <si>
    <t>NTST890</t>
  </si>
  <si>
    <t>DSRE680</t>
  </si>
  <si>
    <t>DirRdg Syst Theo:</t>
  </si>
  <si>
    <t>THST890</t>
  </si>
  <si>
    <t>OTST690</t>
  </si>
  <si>
    <t>Exegesis of Eng NT:Revelation</t>
  </si>
  <si>
    <t>Independent Study</t>
  </si>
  <si>
    <t>ANEA690</t>
  </si>
  <si>
    <t>Directed Rdg in Hist&amp;Arch St</t>
  </si>
  <si>
    <t>ANEA890</t>
  </si>
  <si>
    <t>Directed Studies</t>
  </si>
  <si>
    <t>ANEA695</t>
  </si>
  <si>
    <t>DMin Program Orientation</t>
  </si>
  <si>
    <t>GSEM700</t>
  </si>
  <si>
    <t>Topics:Sanctuary Doctrine</t>
  </si>
  <si>
    <t>MSSN690</t>
  </si>
  <si>
    <t>Doctoral Dissertation</t>
  </si>
  <si>
    <t>DSRE995</t>
  </si>
  <si>
    <t>Field Practicum:MAYYAM</t>
  </si>
  <si>
    <t>DSRE660</t>
  </si>
  <si>
    <t>Sem:Hist Resrch&amp;Historiography</t>
  </si>
  <si>
    <t>DSRE878</t>
  </si>
  <si>
    <t>Field Practicum:Leadership</t>
  </si>
  <si>
    <t>Sem Social Sciences&amp;Mission</t>
  </si>
  <si>
    <t>MSSN828</t>
  </si>
  <si>
    <t>Adv Holistic Small Groups</t>
  </si>
  <si>
    <t>CHMN669</t>
  </si>
  <si>
    <t>Sem Philosophical Theology:</t>
  </si>
  <si>
    <t>THST935</t>
  </si>
  <si>
    <t>Exegsis Eng NT:Pauline Writing</t>
  </si>
  <si>
    <t>Readings in the OT:Daniel</t>
  </si>
  <si>
    <t>Sem Exgsis/Herm:Nartiv Anlysis</t>
  </si>
  <si>
    <t>Scholarly and Professional Dev</t>
  </si>
  <si>
    <t>DSRE620</t>
  </si>
  <si>
    <t>Field Practicum:</t>
  </si>
  <si>
    <t>DSRE885</t>
  </si>
  <si>
    <t>Practicum Past Care&amp;Counseling</t>
  </si>
  <si>
    <t>CHMN659</t>
  </si>
  <si>
    <t>Adv Ministerial Development</t>
  </si>
  <si>
    <t>CHMN560</t>
  </si>
  <si>
    <t>Formatn Evangelistic Strategy</t>
  </si>
  <si>
    <t>CHMN767</t>
  </si>
  <si>
    <t>Practicum Military Chaplaincy</t>
  </si>
  <si>
    <t>CHMN641</t>
  </si>
  <si>
    <t>PhD (Rel Education) Prog Cont</t>
  </si>
  <si>
    <t>DSRE880</t>
  </si>
  <si>
    <t>Directed Rdgs Church in Min</t>
  </si>
  <si>
    <t>Directed Rdgs Mission Studies</t>
  </si>
  <si>
    <t>MSSN890</t>
  </si>
  <si>
    <t>NTST525</t>
  </si>
  <si>
    <t>Ind:Spiritual &amp; Theo Found Min</t>
  </si>
  <si>
    <t>GSEM797</t>
  </si>
  <si>
    <t>Wrkshp:Word &amp; Music</t>
  </si>
  <si>
    <t>Postdoctoral Research Project</t>
  </si>
  <si>
    <t>GSEM898</t>
  </si>
  <si>
    <t>Ind:DMin Project Seminar</t>
  </si>
  <si>
    <t>Ind Study:DMin Project Seminar</t>
  </si>
  <si>
    <t>Int Mid East Lang, Culture&amp;Hst</t>
  </si>
  <si>
    <t>OTST515</t>
  </si>
  <si>
    <t>DMin Program Continuation</t>
  </si>
  <si>
    <t>GSEM789</t>
  </si>
  <si>
    <t>Adv Arch Field Work</t>
  </si>
  <si>
    <t>ANEA830</t>
  </si>
  <si>
    <t>Sp App to Evan:Naturl Ch Dev</t>
  </si>
  <si>
    <t>Sp App to Evan:Bi-Voctnl Ch Pl</t>
  </si>
  <si>
    <t>CHMN774</t>
  </si>
  <si>
    <t>History &amp; Strategy of Mission</t>
  </si>
  <si>
    <t>MSSN727</t>
  </si>
  <si>
    <t>Wkshp:NAD Ministerial Conventn</t>
  </si>
  <si>
    <t>Principles of Stewardship</t>
  </si>
  <si>
    <t>CHMN575</t>
  </si>
  <si>
    <t>Workshop:Advanced SEEDS</t>
  </si>
  <si>
    <t>Workshop:SEEDS</t>
  </si>
  <si>
    <t>Pers Pract Dis&amp;Bibl Spirtualty</t>
  </si>
  <si>
    <t>DSRE707</t>
  </si>
  <si>
    <t>Archaeological Field Work</t>
  </si>
  <si>
    <t>ANEA630</t>
  </si>
  <si>
    <t>Top:Greco-Roman Religions</t>
  </si>
  <si>
    <t>DSRE664</t>
  </si>
  <si>
    <t>Church History Study Tour</t>
  </si>
  <si>
    <t>GSEM678</t>
  </si>
  <si>
    <t>Ind St:Stdies in Chrch History</t>
  </si>
  <si>
    <t>Ind St:Church Hist Study Tour</t>
  </si>
  <si>
    <t>Dir St:</t>
  </si>
  <si>
    <t>OTST695</t>
  </si>
  <si>
    <t>Church &amp; Urban Community</t>
  </si>
  <si>
    <t>CHMN540</t>
  </si>
  <si>
    <t>Ind St:Adventist Heritage</t>
  </si>
  <si>
    <t>Bibl, Theo&amp;Sprtl Fndtn of Miss</t>
  </si>
  <si>
    <t>MSSN706</t>
  </si>
  <si>
    <t>Rdngs Proph(Engl):Esther</t>
  </si>
  <si>
    <t>Seminar in Leadership</t>
  </si>
  <si>
    <t>CHMN638</t>
  </si>
  <si>
    <t>Ind St:DMin Project Seminar</t>
  </si>
  <si>
    <t>CHMN743</t>
  </si>
  <si>
    <t>Wrkshp:Prep for Mission Servic</t>
  </si>
  <si>
    <t>Readings Engl OT:Prophets</t>
  </si>
  <si>
    <t>Sem in Greek Exeg:1-2 Peter</t>
  </si>
  <si>
    <t>Ind:Great Contrvrsy Chr Hist</t>
  </si>
  <si>
    <t>Applied Research</t>
  </si>
  <si>
    <t>DSRE887</t>
  </si>
  <si>
    <t>Adv Youth&amp;Young Adult Min</t>
  </si>
  <si>
    <t>DSRE765</t>
  </si>
  <si>
    <t>Theo of Eng NT:Ecclesiology</t>
  </si>
  <si>
    <t>IndSt:Formatnn Evangelst Strat</t>
  </si>
  <si>
    <t>Rdngs in the OT (Engl):Daniel</t>
  </si>
  <si>
    <t>Witn Ppl Other Rlg:Pstmdrn &amp; S</t>
  </si>
  <si>
    <t>Guided Study Tour Bible Lands</t>
  </si>
  <si>
    <t>GSEM670</t>
  </si>
  <si>
    <t>IndSt:Internal Dynamics Family</t>
  </si>
  <si>
    <t>Ind St:CHIS Study Tour</t>
  </si>
  <si>
    <t>Ind St:Church Growth/Disc Urba</t>
  </si>
  <si>
    <t>Mentoring&amp;Coaching Discipleshp</t>
  </si>
  <si>
    <t>DSRE708</t>
  </si>
  <si>
    <t>Drctd Rdg Old Tstmnt Stds</t>
  </si>
  <si>
    <t>CHMN747</t>
  </si>
  <si>
    <t>Top:Philosophcal Found.</t>
  </si>
  <si>
    <t>Rdngs int the Pauline Writings</t>
  </si>
  <si>
    <t>Workshop:Worship Word &amp; Music</t>
  </si>
  <si>
    <t>Relg Experience in Adolescence</t>
  </si>
  <si>
    <t>DSRE619</t>
  </si>
  <si>
    <t>CHMN786</t>
  </si>
  <si>
    <t>Ind St:Spir&amp;Theo Found Ministr</t>
  </si>
  <si>
    <t>Ind St:Pauline Writings</t>
  </si>
  <si>
    <t>Mssn Church in West Culture</t>
  </si>
  <si>
    <t>CHMN704</t>
  </si>
  <si>
    <t>Ind St:Church History Tour</t>
  </si>
  <si>
    <t>Theological Field Education</t>
  </si>
  <si>
    <t>Workshop: Advanced SEEDS</t>
  </si>
  <si>
    <t>Studies Old Testament Issues</t>
  </si>
  <si>
    <t>OTST659</t>
  </si>
  <si>
    <t>MSSN728</t>
  </si>
  <si>
    <t>Top:World Religions (Emphasis)</t>
  </si>
  <si>
    <t>Paleo-Christian Archaeology</t>
  </si>
  <si>
    <t>ANEA613</t>
  </si>
  <si>
    <t>Mission to the World</t>
  </si>
  <si>
    <t>MSSN525</t>
  </si>
  <si>
    <t>Ind St:Sprtl Theo Fndatns Min</t>
  </si>
  <si>
    <t>Field Practicum: Leadership</t>
  </si>
  <si>
    <t>Workshop: SEEDS</t>
  </si>
  <si>
    <t>DSRE748</t>
  </si>
  <si>
    <t>Readings in the Eng OT:Daniel</t>
  </si>
  <si>
    <t>Marriage &amp; Family</t>
  </si>
  <si>
    <t>DSRE546</t>
  </si>
  <si>
    <t>Leadership Development</t>
  </si>
  <si>
    <t>CHMN630</t>
  </si>
  <si>
    <t>Relg &amp; the Black Experience</t>
  </si>
  <si>
    <t>CHMN548</t>
  </si>
  <si>
    <t>Wrkshp:Preparation for Mission</t>
  </si>
  <si>
    <t>Top:Theology of E.G. White</t>
  </si>
  <si>
    <t>Sem in Pastoral Counseling</t>
  </si>
  <si>
    <t>CHMN640</t>
  </si>
  <si>
    <t>Ind St:Christian Ethics</t>
  </si>
  <si>
    <t>Seminar in Theological Issues</t>
  </si>
  <si>
    <t>Cross-Cultural Communication</t>
  </si>
  <si>
    <t>CHMN585</t>
  </si>
  <si>
    <t>Sem in Systematic Theology</t>
  </si>
  <si>
    <t>Semr Gr Exe:Narrative Analysis</t>
  </si>
  <si>
    <t>Postmodernism &amp; the Church</t>
  </si>
  <si>
    <t>THST667</t>
  </si>
  <si>
    <t>Topics:Theology of Culture</t>
  </si>
  <si>
    <t>Theo Engl NT:Eccesiology</t>
  </si>
  <si>
    <t>Study Tour:</t>
  </si>
  <si>
    <t>GSEM675</t>
  </si>
  <si>
    <t>TheoEngNT:Imm &amp; Delay Parousia</t>
  </si>
  <si>
    <t>Spec Approach to Evan:Coaching</t>
  </si>
  <si>
    <t>Sem Hist Theo:Auth. in Church</t>
  </si>
  <si>
    <t>SemExe/Hrm:ErlyJwshChristns&amp;NT</t>
  </si>
  <si>
    <t>Topics: Mission Studies</t>
  </si>
  <si>
    <t>Topics:Strategies in Mission</t>
  </si>
  <si>
    <t>Seminar in New Test Bckgrnds</t>
  </si>
  <si>
    <t>Sem Strategies&amp;Dev in Mission</t>
  </si>
  <si>
    <t>MSSN830</t>
  </si>
  <si>
    <t>Workshop:Hlth Mnstry Chng Wrld</t>
  </si>
  <si>
    <t>Field Practicum:Religious Ed</t>
  </si>
  <si>
    <t>Topics:Incarnational Mssn Thlg</t>
  </si>
  <si>
    <t>Topics: Missionary Kids</t>
  </si>
  <si>
    <t>Ind St: Missionary Kids</t>
  </si>
  <si>
    <t>Ind St:Theology of Mission</t>
  </si>
  <si>
    <t>Ind St:The Changing Church</t>
  </si>
  <si>
    <t>Persp on Yth Min Ldrshp Strat</t>
  </si>
  <si>
    <t>DSRE721</t>
  </si>
  <si>
    <t>Workshop:Prep for Missions</t>
  </si>
  <si>
    <t>SemGrExe:Erly Jwsh Christns&amp;NT</t>
  </si>
  <si>
    <t>Top:Jesus &amp; Recent Arch Disc</t>
  </si>
  <si>
    <t>Chaplain as Leader</t>
  </si>
  <si>
    <t>CHMN648</t>
  </si>
  <si>
    <t>Ind St:Hist of Adventist Theo</t>
  </si>
  <si>
    <t>Old Testament&amp;Its Translation</t>
  </si>
  <si>
    <t>OTST640</t>
  </si>
  <si>
    <t>Discplshp &amp; Wrldvw Transfrmtn</t>
  </si>
  <si>
    <t>MSSN770</t>
  </si>
  <si>
    <t>Top: Mission Research</t>
  </si>
  <si>
    <t>Practicum Miltary Chaplaincy</t>
  </si>
  <si>
    <t>Top: Urban Mission</t>
  </si>
  <si>
    <t>Spec Apps to Evan:Nat Chrch Dv</t>
  </si>
  <si>
    <t>Adv Stud:Qualitative Research</t>
  </si>
  <si>
    <t>Spec Approaches Evan:Coaching</t>
  </si>
  <si>
    <t>Topics in Leadership</t>
  </si>
  <si>
    <t>Topics:Social Sciences&amp;Mission</t>
  </si>
  <si>
    <t>Ind:Spiritl/Theo Found for Min</t>
  </si>
  <si>
    <t>Ind St:StudiesInChurchHistory</t>
  </si>
  <si>
    <t>Topics:Urban Contexts for Mssn</t>
  </si>
  <si>
    <t>Wrkshp:HealthMngmntChngngWrld</t>
  </si>
  <si>
    <t>Topics in Adventist Studies</t>
  </si>
  <si>
    <t>Ind St:Church History</t>
  </si>
  <si>
    <t>CHIS891</t>
  </si>
  <si>
    <t>Indpndnt Study:Advntst History</t>
  </si>
  <si>
    <t>CHIS892</t>
  </si>
  <si>
    <t>Sem Development SDA Doctrines</t>
  </si>
  <si>
    <t>CHIS974</t>
  </si>
  <si>
    <t>CHMN897</t>
  </si>
  <si>
    <t>Seminar Theory &amp; Praxis</t>
  </si>
  <si>
    <t>CHMN905</t>
  </si>
  <si>
    <t>CHMN940</t>
  </si>
  <si>
    <t>Top:Yth&amp;YngAdult Marriage&amp;Fam</t>
  </si>
  <si>
    <t>Ind. Study:</t>
  </si>
  <si>
    <t>Ind. Study:Nrrtv Thry&amp;Anlyss</t>
  </si>
  <si>
    <t>NTST897</t>
  </si>
  <si>
    <t>Jerusalem in the Time of Jesus</t>
  </si>
  <si>
    <t>NTST636</t>
  </si>
  <si>
    <t>Directed Rdg in Systmtic Theo</t>
  </si>
  <si>
    <t>Spec Appr to Evan:Natur.Ch.Dev</t>
  </si>
  <si>
    <t>Coptic</t>
  </si>
  <si>
    <t>NTST665</t>
  </si>
  <si>
    <t>Adv Stds:Teaching Rlgn College</t>
  </si>
  <si>
    <t>Adv Stds:Spiritual Formation</t>
  </si>
  <si>
    <t>Readings in Daniel (Engl)</t>
  </si>
  <si>
    <t>Topics in:Witness Sec/Post Peo</t>
  </si>
  <si>
    <t>Ind St:Social Sciences&amp;Mission</t>
  </si>
  <si>
    <t>MSSN897</t>
  </si>
  <si>
    <t>Ind St:Church &amp; Social Issues</t>
  </si>
  <si>
    <t>Ind St:Wtnss Pstmdrn&amp;Secular</t>
  </si>
  <si>
    <t>StdsChrchHstry:ChrstnsJews500C</t>
  </si>
  <si>
    <t>Topics:Witnss Seclr&amp;Pstmdrn Pp</t>
  </si>
  <si>
    <t>Ind St:Chrstn Wtnss&amp;Wrld Rlgns</t>
  </si>
  <si>
    <t>Top:Works of Christ</t>
  </si>
  <si>
    <t>Learning Professional Expernce</t>
  </si>
  <si>
    <t>CHMN568</t>
  </si>
  <si>
    <t>Philosophy,Theology, &amp; Ethics</t>
  </si>
  <si>
    <t>Seminar in Evangelism</t>
  </si>
  <si>
    <t>CHMN639</t>
  </si>
  <si>
    <t>Sem:Mssn Strtgy &amp; Ldrshp</t>
  </si>
  <si>
    <t>Topics in:Mission Ed &amp; Train</t>
  </si>
  <si>
    <t>Ind St:Cntmp Iss Rel Ed&amp; Disc</t>
  </si>
  <si>
    <t>Ind. Study: Matthew</t>
  </si>
  <si>
    <t>Ind St:Bblcl &amp; Theo Hrmntcs</t>
  </si>
  <si>
    <t>THST897</t>
  </si>
  <si>
    <t>MSSN780</t>
  </si>
  <si>
    <t>Sem:Mission Leadership</t>
  </si>
  <si>
    <t>Sem: Church &amp; Social Issues</t>
  </si>
  <si>
    <t>Dir Rdg NT:Judiasm &amp; the NT</t>
  </si>
  <si>
    <t>Ind St:Chrstn Wtnss &amp; Wrld Rlg</t>
  </si>
  <si>
    <t>Ind St:Fnd of Bblcl Sprtlty</t>
  </si>
  <si>
    <t>Ind St:Tchng for Discipleship</t>
  </si>
  <si>
    <t>Ind St:Hx of SDA Theology</t>
  </si>
  <si>
    <t>Ind St:Hstry of Sabbath&amp;Sunday</t>
  </si>
  <si>
    <t>Top:Philosophical Fnd Prof</t>
  </si>
  <si>
    <t>Dir Rdg in NT:Hermeneutics</t>
  </si>
  <si>
    <t>Ind St: Counseling YYA</t>
  </si>
  <si>
    <t>Top:Marriage Fam&amp;Intrpsnl Rel</t>
  </si>
  <si>
    <t>Adv Studies: Synthesis</t>
  </si>
  <si>
    <t>Apprches Evan:Chrch Pant Conf</t>
  </si>
  <si>
    <t>Ind St:Studies in Church Hist</t>
  </si>
  <si>
    <t>Ind St:History of SDA Theology</t>
  </si>
  <si>
    <t>Ind St: Jewish Life &amp; Thought</t>
  </si>
  <si>
    <t>Ind St: Church History</t>
  </si>
  <si>
    <t>Independent Study:</t>
  </si>
  <si>
    <t>Topics in: Witness to Muslims</t>
  </si>
  <si>
    <t>Top:Contemp Topics in Rel Ed</t>
  </si>
  <si>
    <t>Adv Studies:SpiritualFormation</t>
  </si>
  <si>
    <t>Top: Daniel</t>
  </si>
  <si>
    <t>Sem Theo&amp;Ethics:Postmod Ethics</t>
  </si>
  <si>
    <t>Field Evangelism: Y &amp; YA Min</t>
  </si>
  <si>
    <t>CHMN617</t>
  </si>
  <si>
    <t>Cllqm:Urbn &amp; Mssn &amp; Mnstry Cng</t>
  </si>
  <si>
    <t>Adv Studies:Collaborative Min</t>
  </si>
  <si>
    <t>Directed Rdg in NT:</t>
  </si>
  <si>
    <t>Sem Ethics:Postmodern Ethics</t>
  </si>
  <si>
    <t>Ind St:CrssCulturalComm&amp;Missin</t>
  </si>
  <si>
    <t>Cllqm:Dmn Effct-Empwrng Chldrn</t>
  </si>
  <si>
    <t>Cllqum:Yth Mnstry:Dscplng Ldrs</t>
  </si>
  <si>
    <t>Coll:Dmn Effct-Empwrng Chldrn</t>
  </si>
  <si>
    <t xml:space="preserve"> Idp Stdy:Mssn Cltrl&amp;RlgsCntxt</t>
  </si>
  <si>
    <t>Ind Stdy:Moral Exmplrty in Rev</t>
  </si>
  <si>
    <t>Ind. Study: Advanced Greek</t>
  </si>
  <si>
    <t>Colloq:Transforming Worldview</t>
  </si>
  <si>
    <t>Ind St:Dvlpmnt SDA Theology</t>
  </si>
  <si>
    <t>Topics in : Biblical Narrative</t>
  </si>
  <si>
    <t>Sem SysTheo:Biblical Narrative</t>
  </si>
  <si>
    <t>Wrkshp:AUMusic&amp;Wrshp Cnfrnc</t>
  </si>
  <si>
    <t>Directed Readings</t>
  </si>
  <si>
    <t>Top:Christology</t>
  </si>
  <si>
    <t>Directed Rdg in OT: Aramaic</t>
  </si>
  <si>
    <t>Ind St: Mission &amp; Other Relgns</t>
  </si>
  <si>
    <t>Ind St:Strat for World Mission</t>
  </si>
  <si>
    <t>Ind St: Mission Field Research</t>
  </si>
  <si>
    <t>Ind St:Strtgs for Wrld Mission</t>
  </si>
  <si>
    <t>Ind St:Theology &amp; Peace Build</t>
  </si>
  <si>
    <t>OTST895</t>
  </si>
  <si>
    <t>Topics in:Strtgs of World Mssn</t>
  </si>
  <si>
    <t>SemTheoIss:Biblical Narratives</t>
  </si>
  <si>
    <t>CHMN773</t>
  </si>
  <si>
    <t>Adv St:Narrative Curriculum</t>
  </si>
  <si>
    <t>Ind St: Issues in Origins</t>
  </si>
  <si>
    <t>Ind St: Hebrew II</t>
  </si>
  <si>
    <t>Top: Eschatology</t>
  </si>
  <si>
    <t>Topics:Urban Context</t>
  </si>
  <si>
    <t>Tpcs Mnstry:ChrchGrwth&amp;EqpPstr</t>
  </si>
  <si>
    <t>Discipling Congregational Ldrs</t>
  </si>
  <si>
    <t>CHMN752</t>
  </si>
  <si>
    <t>Sem: World Religions</t>
  </si>
  <si>
    <t>Colloq:AU Rise Up Against Abus</t>
  </si>
  <si>
    <t>Coloq:Mental Health&amp;Depression</t>
  </si>
  <si>
    <t>Ind St:Crstn Rspns Human Needs</t>
  </si>
  <si>
    <t>Colloquium:Urban Miss&amp;Min</t>
  </si>
  <si>
    <t>Field Pract: Religious Educatn</t>
  </si>
  <si>
    <t>Ind St:Church History Study</t>
  </si>
  <si>
    <t>Ind St:History SDA Development</t>
  </si>
  <si>
    <t>Ind St:Stud in Church History</t>
  </si>
  <si>
    <t>Sem: Other Religions</t>
  </si>
  <si>
    <t>Colloquium:NAD End it Now Conf</t>
  </si>
  <si>
    <t>Ind St: Adventist Heritage</t>
  </si>
  <si>
    <t>DMiss Dissertation</t>
  </si>
  <si>
    <t>MSSN899</t>
  </si>
  <si>
    <t>Top:Mission Cultur&amp;Rel Context</t>
  </si>
  <si>
    <t>Prof Development Practicum</t>
  </si>
  <si>
    <t>CHMN556</t>
  </si>
  <si>
    <t>Workshop:Coaching</t>
  </si>
  <si>
    <t>Colloquium:Master Guide</t>
  </si>
  <si>
    <t>Adv Stds:Thlgcal Fndtns Chrstn</t>
  </si>
  <si>
    <t>CollabMin: Part in Disc&amp;Mssn</t>
  </si>
  <si>
    <t>DSRE616</t>
  </si>
  <si>
    <t>Ind St:Y&amp;YA Cntmprry Cltr</t>
  </si>
  <si>
    <t>Ind St:Mnstry to At Risk Youth</t>
  </si>
  <si>
    <t>Field Practicum: Religious Ed</t>
  </si>
  <si>
    <t>Top: Contemporary Theology</t>
  </si>
  <si>
    <t>Colloquim:Advntst Lrnng Cmmnts</t>
  </si>
  <si>
    <t>Top: History of Philosophy</t>
  </si>
  <si>
    <t>Adv Stds:Ethical Lead&amp;Org Intg</t>
  </si>
  <si>
    <t>Adv Stds:Dssrttn Ltrtr Review</t>
  </si>
  <si>
    <t>Ind St: History of Mission</t>
  </si>
  <si>
    <t>Contextualized Prchng: Spanish</t>
  </si>
  <si>
    <t>Top:Rdgs in the Septuagint</t>
  </si>
  <si>
    <t>Ind St: Biblical Spirituality</t>
  </si>
  <si>
    <t>Adv Studies:DscplshpAdvntEduc</t>
  </si>
  <si>
    <t>Ind St:Chrstn Rspnss Hmn Needs</t>
  </si>
  <si>
    <t>Colloquium:End It Now</t>
  </si>
  <si>
    <t>Ind St:Prep Cross-cult Workers</t>
  </si>
  <si>
    <t>Ind St: Minor Prophets</t>
  </si>
  <si>
    <t>Ind St:Field Rsrch for Mission</t>
  </si>
  <si>
    <t>Coll:Deal Biblicly w/Demonzatn</t>
  </si>
  <si>
    <t>CHMN541</t>
  </si>
  <si>
    <t>Ind St:Advntst Stds Research</t>
  </si>
  <si>
    <t>Colloquium:Jesus &amp; Politics</t>
  </si>
  <si>
    <t>New Student Orientation</t>
  </si>
  <si>
    <t>GSEM501</t>
  </si>
  <si>
    <t>Ind St:Scnctuary Typology</t>
  </si>
  <si>
    <t>Ind St:Black Theodicy</t>
  </si>
  <si>
    <t>Found of Philosophical Ethics</t>
  </si>
  <si>
    <t>THST622</t>
  </si>
  <si>
    <t>Assmnt Treatmt Victim Violence</t>
  </si>
  <si>
    <t>DSRE543</t>
  </si>
  <si>
    <t>Coll:Club Ministries Evangelsm</t>
  </si>
  <si>
    <t>Adv Stds:ChrstnFormtn&amp;Dscplshp</t>
  </si>
  <si>
    <t>Top: Theology of the OT</t>
  </si>
  <si>
    <t>Adv Studies:Synthesis Rel Ed</t>
  </si>
  <si>
    <t>Ind St: Research Methods</t>
  </si>
  <si>
    <t>Ind St:Relief Dvlpmnt&amp;Holistic</t>
  </si>
  <si>
    <t>Top:ChrstnFormation&amp;Discplship</t>
  </si>
  <si>
    <t>Ind St: Pentateuch</t>
  </si>
  <si>
    <t>CHMN601</t>
  </si>
  <si>
    <t>Topics in Rel Ed &amp; Discipline</t>
  </si>
  <si>
    <t>Adv Studies: Applied Research</t>
  </si>
  <si>
    <t>Adv Stud: Dissert Lit Review</t>
  </si>
  <si>
    <t>Sem Sys Theo:Ling for Theolog</t>
  </si>
  <si>
    <t>Sem Sys Theo: Christ-cent Meth</t>
  </si>
  <si>
    <t>AdvStudies:Biblical Counseling</t>
  </si>
  <si>
    <t>Contextualized Preach: Youth</t>
  </si>
  <si>
    <t>AdvSt:Teach for Disc Life Span</t>
  </si>
  <si>
    <t>Ind St: Intro to Chaplaincy</t>
  </si>
  <si>
    <t>Ind St:Teaching for Disciplesh</t>
  </si>
  <si>
    <t>Dissertation:Literature Review</t>
  </si>
  <si>
    <t>DSRE994</t>
  </si>
  <si>
    <t>Ind Stdy:Hlth &amp; Lfstyle Transf</t>
  </si>
  <si>
    <t>ANEA895</t>
  </si>
  <si>
    <t>Ind St:TeachingforDiscipleship</t>
  </si>
  <si>
    <t>IndSty in Adv St:</t>
  </si>
  <si>
    <t>CHMN602</t>
  </si>
  <si>
    <t>Ind Stdy: Coaching for Mission</t>
  </si>
  <si>
    <t>CHMN613</t>
  </si>
  <si>
    <t>DIS Dissertation</t>
  </si>
  <si>
    <t>Coll:Pathfinder Lead Train</t>
  </si>
  <si>
    <t>Coll: Pathf Minist for Pastors</t>
  </si>
  <si>
    <t>Coll:ACS:Post-Disaster Sup Rec</t>
  </si>
  <si>
    <t>Ind St: Youth Ministry</t>
  </si>
  <si>
    <t>CHMN603</t>
  </si>
  <si>
    <t>Coll: Adv Learning Community</t>
  </si>
  <si>
    <t>Top:Theology of New Testament</t>
  </si>
  <si>
    <t>PATH690</t>
  </si>
  <si>
    <t>PATH890</t>
  </si>
  <si>
    <t>Ind St: Mitry to At-Risk Youth</t>
  </si>
  <si>
    <t>DSLE690</t>
  </si>
  <si>
    <t>Coll: Rsrch Lib &amp; Writ Sklls</t>
  </si>
  <si>
    <t>PATH660</t>
  </si>
  <si>
    <t>PATH641</t>
  </si>
  <si>
    <t>PATH556</t>
  </si>
  <si>
    <t>Colloquium: Intro to Trauma</t>
  </si>
  <si>
    <t>Coll: Ellen White Issues Symp</t>
  </si>
  <si>
    <t>Adv Studies Gospels:John</t>
  </si>
  <si>
    <t>Coll: Pathfinder Lead Training</t>
  </si>
  <si>
    <t>Ind St: Daniel &amp; Revelation</t>
  </si>
  <si>
    <t>Top:Dscpl Mak &amp; Evang 21st Cnt</t>
  </si>
  <si>
    <t>Top:Urb Ctxts for Mssn&amp; Mintry</t>
  </si>
  <si>
    <t>Field Practicum:Religious Educ</t>
  </si>
  <si>
    <t>Top:Rsrch Design&amp; Diss Propsal</t>
  </si>
  <si>
    <t>Top:Theology of Mission</t>
  </si>
  <si>
    <t>Top: Dscplshp&amp; Wrldview Transf</t>
  </si>
  <si>
    <t>Studies in Revelation</t>
  </si>
  <si>
    <t>Ind St: Doctrine of Christ</t>
  </si>
  <si>
    <t>Ind St:Millerite&amp; Sab Adv Hist</t>
  </si>
  <si>
    <t>Cross-Cultural Ldshp Developmt</t>
  </si>
  <si>
    <t>MSSN630</t>
  </si>
  <si>
    <t>Ind St: Early Church</t>
  </si>
  <si>
    <t>Ind St:Min Youth &amp; Young Adult</t>
  </si>
  <si>
    <t>Ind St:Personal Evangelism</t>
  </si>
  <si>
    <t>Coll:Forgivness:Reaching Peace</t>
  </si>
  <si>
    <t>NTST635</t>
  </si>
  <si>
    <t>AdvStud PaulWrtg:Pastoral Epis</t>
  </si>
  <si>
    <t>Ind St: Dev of SDA Theology</t>
  </si>
  <si>
    <t>Top:Adv Greek Grammr&amp; Sintax</t>
  </si>
  <si>
    <t>Topics in John</t>
  </si>
  <si>
    <t>Topics in Pastoral Epistles</t>
  </si>
  <si>
    <t>Dir Rdg in OT: Biblcl Typology</t>
  </si>
  <si>
    <t>DirRdg in OT:Innr Bib Int&amp;Herm</t>
  </si>
  <si>
    <t>Ind St: Contextual Theology</t>
  </si>
  <si>
    <t>IndStdy:Bib&amp; Theo Hermeneutics</t>
  </si>
  <si>
    <t>Field Practicum: MAYYAM</t>
  </si>
  <si>
    <t>DSLE660</t>
  </si>
  <si>
    <t>Topcs in:Mission to the Cities</t>
  </si>
  <si>
    <t>Topics: Mission to the Cities</t>
  </si>
  <si>
    <t>Fndtns in Religious Education</t>
  </si>
  <si>
    <t>Top: Human Nature &amp; Destiny</t>
  </si>
  <si>
    <t>Top: New Testament Archaeology</t>
  </si>
  <si>
    <t>DSLE616</t>
  </si>
  <si>
    <t>Ind St: NT Exegesis</t>
  </si>
  <si>
    <t>Ind St:NT Backgrounds</t>
  </si>
  <si>
    <t>Ind. Study: NT Exegesis</t>
  </si>
  <si>
    <t>Dir Rdg Phil, Theo, &amp; Ethics</t>
  </si>
  <si>
    <t>Ind St: Princ of Christ Ethics</t>
  </si>
  <si>
    <t>Ind St: Hebrews</t>
  </si>
  <si>
    <t>Ind St:Stud in Disc&amp;Lfspn Educ</t>
  </si>
  <si>
    <t>Ind St:DMin Dissert Project</t>
  </si>
  <si>
    <t>Ind St:Spiritual &amp; Theol Found</t>
  </si>
  <si>
    <t>Ind St:Rchng the Secular Mind</t>
  </si>
  <si>
    <t>Ind St:Effective Strategic Grw</t>
  </si>
  <si>
    <t>Top:Modern Christian Theology</t>
  </si>
  <si>
    <t>Ind St: Studies in OT Exegesis</t>
  </si>
  <si>
    <t>DSLE620</t>
  </si>
  <si>
    <t>Ind St:Contemporary Theology</t>
  </si>
  <si>
    <t>Ind St:Ethics and Theology</t>
  </si>
  <si>
    <t>Top:Revelation, Inspiratn&amp;Herm</t>
  </si>
  <si>
    <t>Top: Witnessing to Muslims</t>
  </si>
  <si>
    <t>Coll:Min&amp;Apolgtcs in Seclr Age</t>
  </si>
  <si>
    <t>The Changing Church</t>
  </si>
  <si>
    <t>PATH709</t>
  </si>
  <si>
    <t>PATH560</t>
  </si>
  <si>
    <t>IndSt:Int Dynmcs of the Family</t>
  </si>
  <si>
    <t>Coll:NAD EndItNow Smt on Abuse</t>
  </si>
  <si>
    <t>Ind St:Early Christian Lit</t>
  </si>
  <si>
    <t>Ind St:Early Christian Literat</t>
  </si>
  <si>
    <t>Ind St: NT Backgrounds</t>
  </si>
  <si>
    <t>Ind St: CHIS to 1500</t>
  </si>
  <si>
    <t>IndSt:Early Church Backgrounds</t>
  </si>
  <si>
    <t>DSLE994</t>
  </si>
  <si>
    <t>Independent Study: Text-Fabric</t>
  </si>
  <si>
    <t>Sem Syst Theo: Sabb Doctr&amp;Bles</t>
  </si>
  <si>
    <t>Tops in Grt Cont, Cvnt, Lw&amp;Sab</t>
  </si>
  <si>
    <t>Ind St: Eschatology</t>
  </si>
  <si>
    <t>Ind St:  Mission</t>
  </si>
  <si>
    <t>IndSt: AI's Influence on Theol</t>
  </si>
  <si>
    <t>IndSdy:Contextualized Preachng</t>
  </si>
  <si>
    <t>Ind St: Grt Con, Cov, Law, Sab</t>
  </si>
  <si>
    <t>IndSty:Armin&amp;Wesleyn Hist&amp;Theo</t>
  </si>
  <si>
    <t>Ind St: Sem in Youth Ministry</t>
  </si>
  <si>
    <t>IndSt: Hist of Missn Melanesia</t>
  </si>
  <si>
    <t>FldPract:Best Pract Disc Lifsp</t>
  </si>
  <si>
    <t>DSLE885</t>
  </si>
  <si>
    <t>DSLE887</t>
  </si>
  <si>
    <t>Strategies for World Mission</t>
  </si>
  <si>
    <t>IndSt:Doctrine ofthe Sanctuary</t>
  </si>
  <si>
    <t>DirRdg inSystTheo:Doctr of God</t>
  </si>
  <si>
    <t>Sem Syst Theo: Faith, Reason&amp;M</t>
  </si>
  <si>
    <t>DirRdg inSystTheo:Theodocy</t>
  </si>
  <si>
    <t>Ind Study: Ancient Pottery</t>
  </si>
  <si>
    <t>Ind St: Daniel</t>
  </si>
  <si>
    <t>DSLE995</t>
  </si>
  <si>
    <t>IndStdy:Field Evang Preaching</t>
  </si>
  <si>
    <t>PhD (DSLE) Prog Cont</t>
  </si>
  <si>
    <t>DSLE880</t>
  </si>
  <si>
    <t>Ind St: Witnessing to Muslims</t>
  </si>
  <si>
    <t>Ind St: Revelation</t>
  </si>
  <si>
    <t>Ind Stdy: Field Evangelism</t>
  </si>
  <si>
    <t>Thesis</t>
  </si>
  <si>
    <t>DSLE699</t>
  </si>
  <si>
    <t>Ind Study:NT Backgrounds</t>
  </si>
  <si>
    <t>Ind Study: NT Exegesis</t>
  </si>
  <si>
    <t>Ind Stdy: Church Growth</t>
  </si>
  <si>
    <t>Field Practicum: Academic</t>
  </si>
  <si>
    <t>DSLE681</t>
  </si>
  <si>
    <t>Coll: Rsrch, Lib &amp; Writ. Sklls</t>
  </si>
  <si>
    <t>IndSty:Hist of Prophtc Interpr</t>
  </si>
  <si>
    <t>IndSt:Found of Bibcl Counselng</t>
  </si>
  <si>
    <t>IndSt:Advntst Ledrshp Comptncy</t>
  </si>
  <si>
    <t>Fld Pract:Disaster Resp Train</t>
  </si>
  <si>
    <t>Ind St: Dissertation Proposal</t>
  </si>
  <si>
    <t>Topics in Adventist History</t>
  </si>
  <si>
    <t>IndSdy:Prechng Biblcl Prophecy</t>
  </si>
  <si>
    <t>St: History of SDA Theo</t>
  </si>
  <si>
    <t>IndSt:Millrite&amp;Early SabAd Hst</t>
  </si>
  <si>
    <t>Ind St: Humanity of Christ</t>
  </si>
  <si>
    <t>Ind St:Diss.Pro.Prep.Mission</t>
  </si>
  <si>
    <t>Ind St: Und Christ'n World</t>
  </si>
  <si>
    <t>IndSt:Great Cont Cov Law Sabbh</t>
  </si>
  <si>
    <t>Wrksp:2022 Ministrl Convention</t>
  </si>
  <si>
    <t>IndSt:Sffrng, Death&amp; Resurrctn</t>
  </si>
  <si>
    <t>Ind St: Hist Cov, Law, Sab</t>
  </si>
  <si>
    <t>Wholistic Health &amp; Aging</t>
  </si>
  <si>
    <t>DSLE661</t>
  </si>
  <si>
    <t>Coll:Bibl Resp to Demonization</t>
  </si>
  <si>
    <t>Field Practicum:MA RELED</t>
  </si>
  <si>
    <t>Ind St:Adv Biblical Archeology</t>
  </si>
  <si>
    <t>IndSt:Marriage,Fam&amp;Intrprs Rel</t>
  </si>
  <si>
    <t>Coll:Life in the Blender</t>
  </si>
  <si>
    <t>IndSt:Doctrin of the Sanctuary</t>
  </si>
  <si>
    <t>Ind Stdy:Topics in Emotions</t>
  </si>
  <si>
    <t>Top: Modern Christian Theo</t>
  </si>
  <si>
    <t>Sem. Hist Moral Phil&amp;Nat Theo</t>
  </si>
  <si>
    <t>Top: Social World of the NT</t>
  </si>
  <si>
    <t>Ind St: Leadership</t>
  </si>
  <si>
    <t>Directed Reading:</t>
  </si>
  <si>
    <t>DirRd:Synt in Discpl &amp;Lfspn Ed</t>
  </si>
  <si>
    <t>DSLE890</t>
  </si>
  <si>
    <t>AdvSt:Min toYouth &amp;Young Adult</t>
  </si>
  <si>
    <t>IndSt:Int Dynamics of Families</t>
  </si>
  <si>
    <t>Coll: Journey to Wholeness</t>
  </si>
  <si>
    <t>Ind St: Older Adult Ministry</t>
  </si>
  <si>
    <t>IndSt:Doctrn of theHoly Spirit</t>
  </si>
  <si>
    <t>Ministry to Children</t>
  </si>
  <si>
    <t>DSLE675</t>
  </si>
  <si>
    <t>Dir Rdg: Emotns in Minor Proph</t>
  </si>
  <si>
    <t>Indep Study: Septuagint</t>
  </si>
  <si>
    <t>Ind Sty:Dissertn Proposal Prep</t>
  </si>
  <si>
    <t>Development of SDA Lifestyle</t>
  </si>
  <si>
    <t>CHIS673</t>
  </si>
  <si>
    <t>Ind St: His of GGCLS</t>
  </si>
  <si>
    <t>DMiss Dissertatn Continuation</t>
  </si>
  <si>
    <t>Dir Rdg:Justice of God&amp; Pnshmt</t>
  </si>
  <si>
    <t>Ind St: Christian Ethics</t>
  </si>
  <si>
    <t>DirRdg Chr Ethics:Histrcl Theo</t>
  </si>
  <si>
    <t>Pract:CPE</t>
  </si>
  <si>
    <t>Topics in:Narrative Theology</t>
  </si>
  <si>
    <t>Topics in: OT Theology</t>
  </si>
  <si>
    <t>Dir Readings:</t>
  </si>
  <si>
    <t>Sem:Missi to Postmodems&amp;Secula</t>
  </si>
  <si>
    <t>Top:Cross-Cultl Ldshp Developm</t>
  </si>
  <si>
    <t>Top:Creating Collective Impact</t>
  </si>
  <si>
    <t>Top:CreatngCo Impact&amp;ProjMgmnt</t>
  </si>
  <si>
    <t>IndSt:Intrgenerational Minstry</t>
  </si>
  <si>
    <t>IndSt:Fnd of Bblcl Spirtuality</t>
  </si>
  <si>
    <t>Cultural Concerns</t>
  </si>
  <si>
    <t>DSLE685</t>
  </si>
  <si>
    <t>Adv St:Reachng the Seculr Mind</t>
  </si>
  <si>
    <t>Topics AdvSt: Archival Researc</t>
  </si>
  <si>
    <t>IndSt:Devlpmnt of SDA Theology</t>
  </si>
  <si>
    <t>DSLE546</t>
  </si>
  <si>
    <t>Sem Adv St:Tchng Adv Hist&amp; EGW</t>
  </si>
  <si>
    <t>Coll:Trauma, Healng&amp; Divin Lov</t>
  </si>
  <si>
    <t>InSt:IntrcultrlThelgy&amp;DigtlSpa</t>
  </si>
  <si>
    <t>IndSdy:Dscp in Synoptic Gospls</t>
  </si>
  <si>
    <t>Ind Sty: OT Backgrounds</t>
  </si>
  <si>
    <t>Ind Sty: OT Archaeology</t>
  </si>
  <si>
    <t>Top: Disc in Synoptic Gospels</t>
  </si>
  <si>
    <t>Dir Rdg Mssn Stu: Digital Comm</t>
  </si>
  <si>
    <t>DirRdg MssnStu:Digital Dscplsp</t>
  </si>
  <si>
    <t>IndSty:Exeg in Book of Ezekiel</t>
  </si>
  <si>
    <t>IndSt: Dev of SDA Theo</t>
  </si>
  <si>
    <t>Top: The Bible &amp; Human Needs</t>
  </si>
  <si>
    <t>IndSt:Ellen White’s Life&amp;Wrtng</t>
  </si>
  <si>
    <t>IndStdy:Old Testament Exegesis</t>
  </si>
  <si>
    <t>StChHist: Hist Cont Prse&amp;Wrsp</t>
  </si>
  <si>
    <t>DirRdg in Old Testament: Humor</t>
  </si>
  <si>
    <t>Dir Rdg in OT:Typ, Esch&amp; Sanct</t>
  </si>
  <si>
    <t>Sem: Theological Exegesis</t>
  </si>
  <si>
    <t>CHIS: Hist Cont Prse&amp;Wrsp</t>
  </si>
  <si>
    <t>IndSt:New Testmnt and Rhetoric</t>
  </si>
  <si>
    <t>IndStdy: Bible Translation</t>
  </si>
  <si>
    <t>IndSt:Disc in Synoptic Gospels</t>
  </si>
  <si>
    <t>Ind Stdy:Gospel of Matthew</t>
  </si>
  <si>
    <t>Ind Stdy:Restoration of Israel</t>
  </si>
  <si>
    <t>Dir Rdg:</t>
  </si>
  <si>
    <t>Ind St: Dev of SDA Theo</t>
  </si>
  <si>
    <t>Coll:Theistic Evol&amp; the Bible</t>
  </si>
  <si>
    <t>Ind St: Theo of the OT</t>
  </si>
  <si>
    <t>OTST630</t>
  </si>
  <si>
    <t>IndSt:Topics in Wrld Religions</t>
  </si>
  <si>
    <t>Top:ResearchDesigninMission</t>
  </si>
  <si>
    <t>Top:Bib Theo&amp;Spiritl Mission</t>
  </si>
  <si>
    <t>AdvStu:Bbcl&amp; Theo Hermeneutics</t>
  </si>
  <si>
    <t>Topics CHIS: Church Middle Age</t>
  </si>
  <si>
    <t>Top:Hist&amp;Spirt Blk/Wh Adv Wrsp</t>
  </si>
  <si>
    <t>Sem AdvSt: Theo of EGW</t>
  </si>
  <si>
    <t>St in CHIS: EGW &amp; Advent Rsrch</t>
  </si>
  <si>
    <t>Top AdvSt: EGW &amp; Advent Rsrch</t>
  </si>
  <si>
    <t>Top AdvSt: Fund of Arch Practc</t>
  </si>
  <si>
    <t>Topics in 1st Gen Adv Pioneers</t>
  </si>
  <si>
    <t>Top in CHIS:Archival Mgmt</t>
  </si>
  <si>
    <t>Top:Hist of GC, Cov, Law&amp;Sabb</t>
  </si>
  <si>
    <t>Seminar in Adventist Studies</t>
  </si>
  <si>
    <t>CHIS645</t>
  </si>
  <si>
    <t>Sem Adv St: Theology of EGW</t>
  </si>
  <si>
    <t>St CHIS: EGW &amp; Adv Research</t>
  </si>
  <si>
    <t>Ind St: Gr Cont, Cov, Law, Sab</t>
  </si>
  <si>
    <t>Ind St:Ethics&amp;the Good Life</t>
  </si>
  <si>
    <t>Top: Hum Nature&amp;Destiny</t>
  </si>
  <si>
    <t>IndSt:Conv Pattern Chrstn Theo</t>
  </si>
  <si>
    <t>IndSt:</t>
  </si>
  <si>
    <t>Cultural &amp; Relg Analysis II</t>
  </si>
  <si>
    <t>MSSN732</t>
  </si>
  <si>
    <t>Strategy Development II</t>
  </si>
  <si>
    <t>MSSN742</t>
  </si>
  <si>
    <t>Ind St:GSEM706 Sp&amp;Theo Foundts</t>
  </si>
  <si>
    <t>Sem:Discipl&amp;WorldvTransfrmatn</t>
  </si>
  <si>
    <t>Coll:Families&amp; Emotionl Health</t>
  </si>
  <si>
    <t>IndSt:DSRE708 Ment&amp;Coach Dscpl</t>
  </si>
  <si>
    <t>PATH897</t>
  </si>
  <si>
    <t>SemAdvOTExeg:Psalms/Wisdom Lt</t>
  </si>
  <si>
    <t>Top in NT Backgrounds:Josephus</t>
  </si>
  <si>
    <t>Coll: NAD Summit on Abuse</t>
  </si>
  <si>
    <t>DirRg:Ancnt Israelite Sacrifcs</t>
  </si>
  <si>
    <t>IndSt:Sacrif Trms in Leviticus</t>
  </si>
  <si>
    <t>Directed Rdgs:Chrstian Mission</t>
  </si>
  <si>
    <t>Dir Rdg in Christian Thought</t>
  </si>
  <si>
    <t>Ind. Study: Paul &amp; Jerusalem</t>
  </si>
  <si>
    <t>Top: Christianity Mid East</t>
  </si>
  <si>
    <t>Dir Rdg in NT: Paul &amp; Judaism</t>
  </si>
  <si>
    <t>IndSt: Catholic Sacrament Theo</t>
  </si>
  <si>
    <t>IndSt: Knowledge &amp; Ignorance</t>
  </si>
  <si>
    <t>Ind St: Theo of Hebrews</t>
  </si>
  <si>
    <t>Coll:Ellen White Issues Sympm</t>
  </si>
  <si>
    <t>DirRdg: Dev of SDA Theology</t>
  </si>
  <si>
    <t>Top:Christianity Mid East</t>
  </si>
  <si>
    <t>Ind St: Remnant Theology</t>
  </si>
  <si>
    <t>IndSty inAdv St:Diss Prop Prep</t>
  </si>
  <si>
    <t>DirRdg: Dev of SDA Doctrines</t>
  </si>
  <si>
    <t>DirRdg: Amer Religious History</t>
  </si>
  <si>
    <t>Ind St: Trinity in Adventism</t>
  </si>
  <si>
    <t>DirRdg: Luther and the Jews</t>
  </si>
  <si>
    <t>IndSt: Conspiracy Theories</t>
  </si>
  <si>
    <t>DirRdg Arch Early Baptisteries</t>
  </si>
  <si>
    <t>DirRdg Early Chrch Sacrdotalsm</t>
  </si>
  <si>
    <t>Studies in Daniel</t>
  </si>
  <si>
    <t>Sem:Sotrlgy of Arminius&amp;Wesley</t>
  </si>
  <si>
    <t>Ind St: American Prophets</t>
  </si>
  <si>
    <t>Sem: Soter of Arminius&amp;Wesley</t>
  </si>
  <si>
    <t>Ministry among Immigrants</t>
  </si>
  <si>
    <t>SemHisTheo:Lead inEarly Church</t>
  </si>
  <si>
    <t>Top: Rev, Insp, &amp; Hermeneutics</t>
  </si>
  <si>
    <t>DirRdg Early Ch Historiagraphy</t>
  </si>
  <si>
    <t>Sem In NT Theo:Theo of Hebrews</t>
  </si>
  <si>
    <t>Ind St:Hebrews - Text Analysis</t>
  </si>
  <si>
    <t>Ind St: Adv OT Exegesis-Theodi</t>
  </si>
  <si>
    <t>Historical Books</t>
  </si>
  <si>
    <t>Adv Archaeology of Palestine</t>
  </si>
  <si>
    <t>ANEA814</t>
  </si>
  <si>
    <t>Ind St: Christian Theo II</t>
  </si>
  <si>
    <t>Dir Rdg Ch Eth: Christn Ethics</t>
  </si>
  <si>
    <t>Top in: Adventist Studies</t>
  </si>
  <si>
    <t>Ind St:Fdns of Bibl Spirituaty</t>
  </si>
  <si>
    <t>Dir Rdg Mssn Stu:</t>
  </si>
  <si>
    <t>DirRdg MssnStu:</t>
  </si>
  <si>
    <t>Reaching Out</t>
  </si>
  <si>
    <t>DSLE670</t>
  </si>
  <si>
    <t>Ind St: Christian Theology 2</t>
  </si>
  <si>
    <t>Colloquium: Church Security</t>
  </si>
  <si>
    <t>Ind St:Church Grwth&amp;Discip Urb</t>
  </si>
  <si>
    <t>Ind Study: Doctrine of God</t>
  </si>
  <si>
    <t>Sem: Hist of Interpret. Gen1&amp;2</t>
  </si>
  <si>
    <t>Ind St: Studies in Church Hist</t>
  </si>
  <si>
    <t>Top:Intertestamntal Literature</t>
  </si>
  <si>
    <t>Top: Intertestamental Literatu</t>
  </si>
  <si>
    <t>Top:Chrstn Persp on Prof Ethcs</t>
  </si>
  <si>
    <t>DSLE676</t>
  </si>
  <si>
    <t>Ind St: Issues in EGW Studies</t>
  </si>
  <si>
    <t>Ind St: Religion in America</t>
  </si>
  <si>
    <t>DirRdCHIS: Readings in Early C</t>
  </si>
  <si>
    <t>IndSt:Soteriology Arminius&amp;Wes</t>
  </si>
  <si>
    <t>DirRd: Dev SDA Theo&amp; Lifestyle</t>
  </si>
  <si>
    <t>IndSt: Dissertation Proposal</t>
  </si>
  <si>
    <t>Ind St Dissertation Proposal</t>
  </si>
  <si>
    <t>Top:Theophany in the Psalms</t>
  </si>
  <si>
    <t>DirRd: Protest&amp;Arminian Theo</t>
  </si>
  <si>
    <t>Ind St: Theodicy</t>
  </si>
  <si>
    <t>DirRd:Hist&amp; Archeology Studies</t>
  </si>
  <si>
    <t>DirRd in OT Theophany in Psalm</t>
  </si>
  <si>
    <t>Ind St Laodicean Msg &amp; 1888</t>
  </si>
  <si>
    <t>Ind St: Biblical Hebrew III</t>
  </si>
  <si>
    <t>DirRdCHIS: Oberman on Med &amp; Re</t>
  </si>
  <si>
    <t>IndSt: Chr. Witness &amp; World Re</t>
  </si>
  <si>
    <t>St in Adv St: Soteriologies</t>
  </si>
  <si>
    <t>DirRdg NT:Theo Pauline Epistls</t>
  </si>
  <si>
    <t>Ind St Systematic Theo</t>
  </si>
  <si>
    <t>DirRdg in OT History &amp; Archae</t>
  </si>
  <si>
    <t>Ind St: Reception of Monogenes</t>
  </si>
  <si>
    <t>Dir Rdg in OT:</t>
  </si>
  <si>
    <t>Dir Rdg in OT:Arch&amp; Theo of OT</t>
  </si>
  <si>
    <t>Ind St: Postmodernism</t>
  </si>
  <si>
    <t>DirRdg:Theo Mssnl Hermeneutics</t>
  </si>
  <si>
    <t>IndSt:Revltn Insprtn Hermnutic</t>
  </si>
  <si>
    <t>Ministry of Reconciliation</t>
  </si>
  <si>
    <t>MSSN644</t>
  </si>
  <si>
    <t>Ind St: Dev. of SDA Theo</t>
  </si>
  <si>
    <t>Ind Stdy:Personal Evang Mnstry</t>
  </si>
  <si>
    <t>Coll:  NAD Summit on Abuse</t>
  </si>
  <si>
    <t>Coll: Church Security</t>
  </si>
  <si>
    <t>Sem:Creator Creation Interactn</t>
  </si>
  <si>
    <t>Colloquium: PELC Conference</t>
  </si>
  <si>
    <t>IndSt:EGW Sabb Theology</t>
  </si>
  <si>
    <t>IndSty:Diss Proposal</t>
  </si>
  <si>
    <t>Ind Stdy:Princ of Hermeneutcs</t>
  </si>
  <si>
    <t>Ind Stdy:Survy of the Pentatch</t>
  </si>
  <si>
    <t>Ind Stdy:Meth of OT Exegesisd</t>
  </si>
  <si>
    <t>Ind St:Rev Insp Herm</t>
  </si>
  <si>
    <t>Ind St:Srvy of the Pentateuch</t>
  </si>
  <si>
    <t>Ind St:Prin of Hermeneutics</t>
  </si>
  <si>
    <t>Ind St:Meth of OT Exegesis</t>
  </si>
  <si>
    <t>Ind St</t>
  </si>
  <si>
    <t>Field Practicum:Fam Life Ed</t>
  </si>
  <si>
    <t>IndSt:Monogenes Acnt Greek Lit</t>
  </si>
  <si>
    <t>Ind St:NT Theology &amp; Ethics</t>
  </si>
  <si>
    <t>Dir Rdg in the OT-Thdcy in OT</t>
  </si>
  <si>
    <t>Ind St:Grt Contrv, Cov La, Sab</t>
  </si>
  <si>
    <t>Ind Stdy:OT Exegesis</t>
  </si>
  <si>
    <t>DrRdgChEth: Epist&amp;Ethics</t>
  </si>
  <si>
    <t>Dir Rdgs n the OT Histry &amp; Arc</t>
  </si>
  <si>
    <t>Dir Rdgs in the OT- History &amp;</t>
  </si>
  <si>
    <t>Ind St: Begotteness in Adv</t>
  </si>
  <si>
    <t>DrRdgChEth:Theo, Phil, Ethics</t>
  </si>
  <si>
    <t>Ind St: Prch Biblical Prophecy</t>
  </si>
  <si>
    <t>Dir Rdgs:Txtl Trdtns f Gn 3</t>
  </si>
  <si>
    <t>Ind Stdy: Death &amp; Grief</t>
  </si>
  <si>
    <t>Ind St:Cross Cult Lead Dev</t>
  </si>
  <si>
    <t>Ind St:Advncd Stds n the Gspls</t>
  </si>
  <si>
    <t>Intcultral Min &amp; Mission</t>
  </si>
  <si>
    <t>Dir Rdgs in OT Archlgy &amp; Thlgy</t>
  </si>
  <si>
    <t>Coll:Securing Your Calling</t>
  </si>
  <si>
    <t>Top: EGW &amp; Adv Research</t>
  </si>
  <si>
    <t>Coll: Ellen White Issues Sympm</t>
  </si>
  <si>
    <t>Ind St:DMin Dssn</t>
  </si>
  <si>
    <t>Prep for Cross-Cultrl Workers</t>
  </si>
  <si>
    <t>MSSN584</t>
  </si>
  <si>
    <t>Workshop:Prep Mssn Srvc</t>
  </si>
  <si>
    <t>Workshop: Prep Mssn Srvc</t>
  </si>
  <si>
    <t>Directed Rdgs</t>
  </si>
  <si>
    <t>DirRdg:</t>
  </si>
  <si>
    <t>IndSt:Apoclypt Wrtngs Early Ch</t>
  </si>
  <si>
    <t>Top: ICISF Certif for Crisis</t>
  </si>
  <si>
    <t>TopicsCHIS: Protest Theo Herit</t>
  </si>
  <si>
    <t>Ind St: Greco Roman World</t>
  </si>
  <si>
    <t>DirRdg NT</t>
  </si>
  <si>
    <t>Top:Protest Theologic Heritage</t>
  </si>
  <si>
    <t>Top: Hist of ANE: Mesopotamia</t>
  </si>
  <si>
    <t>DirRdg in OT</t>
  </si>
  <si>
    <t>Ind St:Sprtl Nurtr f Chldrn</t>
  </si>
  <si>
    <t>Topics CHIS: Martin Luther</t>
  </si>
  <si>
    <t>Top in CHIS: Reform Theology</t>
  </si>
  <si>
    <t>Ind St:Reform Philosoph &amp; Theo</t>
  </si>
  <si>
    <t>Ind St: Holy Spirit in the NT</t>
  </si>
  <si>
    <t>Reformation:Reform Theology</t>
  </si>
  <si>
    <t>Ind St: Dev. of SDA Theology</t>
  </si>
  <si>
    <t>IndepStud:Intergenerationl Min</t>
  </si>
  <si>
    <t>Ind St:Counseling Youth &amp; Y Ad</t>
  </si>
  <si>
    <t>Top:Buddhism Culture &amp; Society</t>
  </si>
  <si>
    <t>Ind St:Devlmnt of SDA Theology</t>
  </si>
  <si>
    <t>Ind St: Historical Books</t>
  </si>
  <si>
    <t>Reform-Martin Luther</t>
  </si>
  <si>
    <t>Ind St: Urban Context MSSN</t>
  </si>
  <si>
    <t>Ind St: Early Church to AD 604</t>
  </si>
  <si>
    <t>Top NT Exegesis:</t>
  </si>
  <si>
    <t>NTST646</t>
  </si>
  <si>
    <t>Topics in: Hebrews</t>
  </si>
  <si>
    <t>Ind St: Worship: Word &amp; Music</t>
  </si>
  <si>
    <t>Ind St:Textual Criticism</t>
  </si>
  <si>
    <t>Top:Histography</t>
  </si>
  <si>
    <t>Stud in the Pentateuch</t>
  </si>
  <si>
    <t>DirRdg:Gen SDA Hst in Cntxt</t>
  </si>
  <si>
    <t>Ind St: Intergenerational Mini</t>
  </si>
  <si>
    <t>Ind St:Erly Christn Theolgns</t>
  </si>
  <si>
    <t>Topics in:Biblical Hebrew III</t>
  </si>
  <si>
    <t>DirRdg: Phil, Theo, Ethics</t>
  </si>
  <si>
    <t>DirRdgSyst Theo:Philsph Theol</t>
  </si>
  <si>
    <t>Directed Rdg in Septuagint</t>
  </si>
  <si>
    <t>Sem Adv OT Exeg: Pentateuch</t>
  </si>
  <si>
    <t>Sem in Adv His f ANE: Msptmia</t>
  </si>
  <si>
    <t>DirRdg: Phil, Theology &amp; Ethic</t>
  </si>
  <si>
    <t>Ind St:Min to Yth &amp; Yng Adlt</t>
  </si>
  <si>
    <t>Field Practicum: Professional</t>
  </si>
  <si>
    <t>DSLE662</t>
  </si>
  <si>
    <t>Ind St: OT Exegesis</t>
  </si>
  <si>
    <t>Ind. St:  Studies in OT Exeges</t>
  </si>
  <si>
    <t>Topics in:Reaings in Septuagnt</t>
  </si>
  <si>
    <t>Ind St: ANE Lang - Akkadian</t>
  </si>
  <si>
    <t>Ind St:Dev of SDA Theology</t>
  </si>
  <si>
    <t>Top:Mssn in Cultural &amp; religs</t>
  </si>
  <si>
    <t>Ind St:Mssn in Cult &amp; rel Cntx</t>
  </si>
  <si>
    <t>Ind St:Sem in NT Theo &amp; Ethics</t>
  </si>
  <si>
    <t>Topics in: NT Theol &amp; Ethics</t>
  </si>
  <si>
    <t>Topics in:NT Theolgy &amp; Ethics</t>
  </si>
  <si>
    <t>Topics in:Mission Studies</t>
  </si>
  <si>
    <t>Coll:Thrive: Mntl Health Campu</t>
  </si>
  <si>
    <t>DMin Prof Dissertation (Ch 1)</t>
  </si>
  <si>
    <t>History of SDA Theology</t>
  </si>
  <si>
    <t>Ind St: Grt Cont, Cov Law, Sab</t>
  </si>
  <si>
    <t>Media Development</t>
  </si>
  <si>
    <t>Media Dev &amp; Eqpng Lcal Ldrs</t>
  </si>
  <si>
    <t>PATH732</t>
  </si>
  <si>
    <t>IndSt:Grt Cnt, Cov Law, Sbbth</t>
  </si>
  <si>
    <t>GSEM690</t>
  </si>
  <si>
    <t>Ind St: Fdns of Bibl Spir</t>
  </si>
  <si>
    <t>DMin Prof Dissertation (Ch 4)</t>
  </si>
  <si>
    <t>Coll: Master Guide Tolbox</t>
  </si>
  <si>
    <t>Ind St:Grt Contr Cov Law, Sabb</t>
  </si>
  <si>
    <t>IndSty:</t>
  </si>
  <si>
    <t>DrRdgChEth:</t>
  </si>
  <si>
    <t>Dir Rdgs</t>
  </si>
  <si>
    <t>Dir Rdg</t>
  </si>
  <si>
    <t>Dir Rdg in the OT</t>
  </si>
  <si>
    <t>IndSt:Relationship to Muslims</t>
  </si>
  <si>
    <t>Topics in Intectual Theology</t>
  </si>
  <si>
    <t>Topics: Sem Inter Cultural The</t>
  </si>
  <si>
    <t>Sem EGW &amp; Adv Research</t>
  </si>
  <si>
    <t>Ind St Hist &amp; Theo of Sabbath</t>
  </si>
  <si>
    <t>IndSt MssninCultural&amp; ReligsCo</t>
  </si>
  <si>
    <t>DMin Prof Dissertation (Cha 2</t>
  </si>
  <si>
    <t>5/11/2026</t>
  </si>
  <si>
    <t>5/15/2026</t>
  </si>
  <si>
    <t>5/18/2026</t>
  </si>
  <si>
    <t>5/22/2026</t>
  </si>
  <si>
    <t>5/25/2026</t>
  </si>
  <si>
    <t>8/21/2026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</si>
</sst>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2"/>
      <color rgb="FF26221F"/>
      <name val="Arial"/>
      <family val="2"/>
    </font>
    <font>
      <sz val="12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2"/>
      <color rgb="FF26221F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DEBF7"/>
        <bgColor rgb="FFDDEBF7"/>
      </patternFill>
    </fill>
    <fill>
      <patternFill patternType="solid">
        <fgColor rgb="FF00B0F0"/>
        <bgColor rgb="FF00B0F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6">
    <xf numFmtId="0" fontId="0" fillId="0" borderId="0" xfId="0"/>
    <xf numFmtId="0" fontId="8" fillId="3" borderId="1" xfId="0" applyFont="1" applyFill="1" applyBorder="1" applyAlignment="1">
      <alignment horizontal="center" textRotation="90" wrapText="1"/>
    </xf>
    <xf numFmtId="0" fontId="9" fillId="3" borderId="1" xfId="0" applyFont="1" applyFill="1" applyBorder="1" applyAlignment="1">
      <alignment horizontal="center" textRotation="90" wrapText="1"/>
    </xf>
    <xf numFmtId="0" fontId="8" fillId="4" borderId="1" xfId="0" applyFont="1" applyFill="1" applyBorder="1" applyAlignment="1">
      <alignment horizontal="center" textRotation="90" wrapText="1"/>
    </xf>
    <xf numFmtId="0" fontId="8" fillId="2" borderId="1" xfId="0" applyFont="1" applyFill="1" applyBorder="1" applyAlignment="1">
      <alignment horizontal="center" textRotation="90" wrapText="1"/>
    </xf>
    <xf numFmtId="0" fontId="10" fillId="0" borderId="0" xfId="0" applyFont="1" applyAlignment="1">
      <alignment horizontal="center" textRotation="90"/>
    </xf>
    <xf numFmtId="49" fontId="13" fillId="0" borderId="2" xfId="0" applyNumberFormat="1" applyFont="1" applyBorder="1" applyAlignment="1">
      <alignment horizontal="center" vertical="center"/>
    </xf>
    <xf numFmtId="49" fontId="14" fillId="0" borderId="2" xfId="0" applyNumberFormat="1" applyFont="1" applyBorder="1"/>
    <xf numFmtId="49" fontId="10" fillId="0" borderId="2" xfId="0" applyNumberFormat="1" applyFont="1" applyBorder="1"/>
    <xf numFmtId="49" fontId="11" fillId="0" borderId="2" xfId="0" applyNumberFormat="1" applyFont="1" applyBorder="1"/>
    <xf numFmtId="49" fontId="10" fillId="0" borderId="2" xfId="2" applyNumberFormat="1" applyFont="1" applyBorder="1" applyAlignment="1">
      <alignment horizontal="left"/>
    </xf>
    <xf numFmtId="49" fontId="10" fillId="0" borderId="2" xfId="0" applyNumberFormat="1" applyFont="1" applyBorder="1" applyAlignment="1">
      <alignment horizontal="left"/>
    </xf>
    <xf numFmtId="0" fontId="10" fillId="0" borderId="2" xfId="0" applyFont="1" applyBorder="1"/>
    <xf numFmtId="49" fontId="12" fillId="0" borderId="2" xfId="1" applyNumberFormat="1" applyFont="1" applyBorder="1"/>
    <xf numFmtId="0" fontId="14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/>
    </xf>
    <xf numFmtId="0" fontId="14" fillId="0" borderId="2" xfId="0" applyFont="1" applyBorder="1"/>
    <xf numFmtId="0" fontId="8" fillId="2" borderId="0" xfId="0" applyFont="1" applyFill="1" applyAlignment="1">
      <alignment horizontal="center" textRotation="90" wrapText="1"/>
    </xf>
    <xf numFmtId="49" fontId="6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/>
    <xf numFmtId="49" fontId="3" fillId="0" borderId="2" xfId="0" applyNumberFormat="1" applyFont="1" applyBorder="1"/>
    <xf numFmtId="49" fontId="4" fillId="0" borderId="2" xfId="0" applyNumberFormat="1" applyFont="1" applyBorder="1"/>
    <xf numFmtId="49" fontId="3" fillId="0" borderId="2" xfId="2" applyNumberFormat="1" applyFont="1" applyBorder="1" applyAlignment="1">
      <alignment horizontal="left"/>
    </xf>
    <xf numFmtId="49" fontId="3" fillId="0" borderId="2" xfId="0" applyNumberFormat="1" applyFont="1" applyBorder="1" applyAlignment="1">
      <alignment horizontal="left"/>
    </xf>
    <xf numFmtId="0" fontId="3" fillId="0" borderId="2" xfId="0" applyFont="1" applyBorder="1"/>
    <xf numFmtId="49" fontId="5" fillId="0" borderId="2" xfId="1" applyNumberFormat="1" applyFont="1" applyBorder="1"/>
  </cellXfs>
  <cellStyles count="3">
    <cellStyle name="Hyperlink" xfId="1" builtinId="8"/>
    <cellStyle name="Normal" xfId="0" builtinId="0"/>
    <cellStyle name="Normal 2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veandrews-my.sharepoint.com/personal/glanz_andrews_edu/Documents/0000_EfficiencyWithIT/SmartSeminary/DonSheet/DonSheet_default_sample_v20260506_formulas.xlsx" TargetMode="External"/><Relationship Id="rId1" Type="http://schemas.openxmlformats.org/officeDocument/2006/relationships/externalLinkPath" Target="DonSheet_default_sample_v20260506_formul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IS"/>
      <sheetName val="DSLE"/>
      <sheetName val="GSEM"/>
      <sheetName val="MSSN"/>
      <sheetName val="NTST"/>
      <sheetName val="OTST"/>
      <sheetName val="PATH"/>
      <sheetName val="THST"/>
      <sheetName val="MDivHISP_MAPmENGL_MAPmHISP"/>
      <sheetName val="MA_Religion"/>
      <sheetName val="DMIN"/>
      <sheetName val="InstructorMap"/>
      <sheetName val="DropDownMenu"/>
      <sheetName val="_names_lookup"/>
      <sheetName val="_courses_loo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Faculty Name</v>
          </cell>
          <cell r="B1" t="str">
            <v>ID#</v>
          </cell>
          <cell r="C1" t="str">
            <v>email</v>
          </cell>
        </row>
        <row r="2">
          <cell r="A2" t="str">
            <v>Abar, Emmanuel M.</v>
          </cell>
          <cell r="B2" t="str">
            <v>000114991</v>
          </cell>
          <cell r="C2" t="str">
            <v>abar@andrews.edu</v>
          </cell>
        </row>
        <row r="3">
          <cell r="A3" t="str">
            <v>Antic, Radisa</v>
          </cell>
          <cell r="B3" t="str">
            <v>000042516</v>
          </cell>
          <cell r="C3" t="str">
            <v>radisa@andrews.edu</v>
          </cell>
        </row>
        <row r="4">
          <cell r="A4" t="str">
            <v>Augsburger, Daniel E.</v>
          </cell>
          <cell r="B4" t="str">
            <v>000003539</v>
          </cell>
          <cell r="C4" t="str">
            <v>augsburg@andrews.edu</v>
          </cell>
        </row>
        <row r="5">
          <cell r="A5" t="str">
            <v>Barbosa, Rodrigo d.</v>
          </cell>
          <cell r="B5" t="str">
            <v>000141959</v>
          </cell>
          <cell r="C5" t="str">
            <v>degaliza@andrews.edu</v>
          </cell>
        </row>
        <row r="6">
          <cell r="A6" t="str">
            <v>Barna, Jan</v>
          </cell>
          <cell r="B6" t="str">
            <v>000107673</v>
          </cell>
          <cell r="C6" t="str">
            <v>barna@andrews.edu</v>
          </cell>
        </row>
        <row r="7">
          <cell r="A7" t="str">
            <v>Burton, Kevin M.</v>
          </cell>
          <cell r="B7" t="str">
            <v>000148286</v>
          </cell>
          <cell r="C7" t="str">
            <v>burtonk@andrews.edu</v>
          </cell>
        </row>
        <row r="8">
          <cell r="A8" t="str">
            <v>Chow, Christie Chui-Shan</v>
          </cell>
          <cell r="B8" t="str">
            <v>000232177</v>
          </cell>
          <cell r="C8" t="str">
            <v>christiechu@andrews.edu</v>
          </cell>
        </row>
        <row r="9">
          <cell r="A9" t="str">
            <v>Damsteegt, P Gerard</v>
          </cell>
          <cell r="B9" t="str">
            <v>000009168</v>
          </cell>
          <cell r="C9" t="str">
            <v>damsteeg@andrews.edu</v>
          </cell>
        </row>
        <row r="10">
          <cell r="A10" t="str">
            <v>Figueroa, Victor F.</v>
          </cell>
          <cell r="B10" t="str">
            <v>000055527</v>
          </cell>
          <cell r="C10" t="str">
            <v>figuerov@andrews.edu</v>
          </cell>
        </row>
        <row r="11">
          <cell r="A11" t="str">
            <v>Gameti, Yvonne Y.</v>
          </cell>
          <cell r="B11" t="str">
            <v>000239625</v>
          </cell>
          <cell r="C11" t="str">
            <v>gameti@andrews.edu</v>
          </cell>
        </row>
        <row r="12">
          <cell r="A12" t="str">
            <v>Garcia Zarate, Heber E.</v>
          </cell>
          <cell r="B12" t="str">
            <v>000147941</v>
          </cell>
          <cell r="C12" t="str">
            <v>heber@andrews.edu</v>
          </cell>
        </row>
        <row r="13">
          <cell r="A13" t="str">
            <v>Kaiser, Angelika</v>
          </cell>
          <cell r="B13" t="str">
            <v>000143159</v>
          </cell>
          <cell r="C13" t="str">
            <v>angelika@andrews.edu</v>
          </cell>
        </row>
        <row r="14">
          <cell r="A14" t="str">
            <v>Kaiser, Denis</v>
          </cell>
          <cell r="B14" t="str">
            <v>000134382</v>
          </cell>
          <cell r="C14" t="str">
            <v>denis@andrews.edu</v>
          </cell>
        </row>
        <row r="15">
          <cell r="A15" t="str">
            <v>Louw, Eric A.</v>
          </cell>
          <cell r="B15" t="str">
            <v>000160504</v>
          </cell>
          <cell r="C15" t="str">
            <v>louw@andrews.edu</v>
          </cell>
        </row>
        <row r="16">
          <cell r="A16" t="str">
            <v>Park, Jungkyu</v>
          </cell>
          <cell r="B16" t="str">
            <v>000122429</v>
          </cell>
          <cell r="C16" t="str">
            <v>jungkyu@andrews.edu</v>
          </cell>
        </row>
        <row r="17">
          <cell r="A17" t="str">
            <v>Rodrigues, Gerson C.</v>
          </cell>
          <cell r="B17" t="str">
            <v>000093682</v>
          </cell>
          <cell r="C17" t="str">
            <v>gersoncr@andrews.edu</v>
          </cell>
        </row>
        <row r="18">
          <cell r="A18" t="str">
            <v>Rosario, Antonio M.</v>
          </cell>
          <cell r="B18" t="str">
            <v>000074158</v>
          </cell>
          <cell r="C18" t="str">
            <v>arosario@andrews.edu</v>
          </cell>
        </row>
        <row r="19">
          <cell r="A19" t="str">
            <v>Steger, Walter E.</v>
          </cell>
          <cell r="B19" t="str">
            <v>000064286</v>
          </cell>
          <cell r="C19" t="str">
            <v>steger@andrews.edu</v>
          </cell>
        </row>
        <row r="20">
          <cell r="A20" t="str">
            <v>Toscano, Steven M.</v>
          </cell>
          <cell r="B20" t="str">
            <v>000138178</v>
          </cell>
          <cell r="C20" t="str">
            <v>toscano@andrews.edu</v>
          </cell>
        </row>
        <row r="21">
          <cell r="A21" t="str">
            <v>Allen, Shirley M.</v>
          </cell>
          <cell r="B21" t="str">
            <v>000062024</v>
          </cell>
          <cell r="C21" t="str">
            <v>ashirley@andrews.edu</v>
          </cell>
        </row>
        <row r="22">
          <cell r="A22" t="str">
            <v>Beagles, Kathleen A.</v>
          </cell>
          <cell r="B22" t="str">
            <v>000041794</v>
          </cell>
          <cell r="C22" t="str">
            <v>beaglesk@andrews.edu</v>
          </cell>
        </row>
        <row r="23">
          <cell r="A23" t="str">
            <v>Consuegra, Claudio J.</v>
          </cell>
          <cell r="B23" t="str">
            <v>000041530</v>
          </cell>
          <cell r="C23" t="str">
            <v>consuegr@andrews.edu</v>
          </cell>
        </row>
        <row r="24">
          <cell r="A24" t="str">
            <v>Davis, Desiree E.</v>
          </cell>
          <cell r="B24" t="str">
            <v>000111875</v>
          </cell>
          <cell r="C24" t="str">
            <v>desireed@andrews.edu</v>
          </cell>
        </row>
        <row r="25">
          <cell r="A25" t="str">
            <v>Duany, Efrain</v>
          </cell>
          <cell r="B25" t="str">
            <v>000117365</v>
          </cell>
          <cell r="C25" t="str">
            <v>duany@andrews.edu</v>
          </cell>
        </row>
        <row r="26">
          <cell r="A26" t="str">
            <v>Espinosa, Jose M.</v>
          </cell>
          <cell r="B26" t="str">
            <v>000032088</v>
          </cell>
          <cell r="C26" t="str">
            <v>josee@andrews.edu</v>
          </cell>
        </row>
        <row r="27">
          <cell r="A27" t="str">
            <v>Fraser, Jasmine J.</v>
          </cell>
          <cell r="B27" t="str">
            <v>000129106</v>
          </cell>
          <cell r="C27" t="str">
            <v>fraserj@andrews.edu</v>
          </cell>
        </row>
        <row r="28">
          <cell r="A28" t="str">
            <v>Freed, Kristina M.</v>
          </cell>
          <cell r="B28" t="str">
            <v>000067653</v>
          </cell>
          <cell r="C28" t="str">
            <v>tyrrell@andrews.edu</v>
          </cell>
        </row>
        <row r="29">
          <cell r="A29" t="str">
            <v>Gilles, Allens</v>
          </cell>
          <cell r="B29" t="str">
            <v>000129689</v>
          </cell>
          <cell r="C29" t="str">
            <v>gilles@andrews.edu</v>
          </cell>
        </row>
        <row r="30">
          <cell r="A30" t="str">
            <v>Hamilton, Lloyd M.</v>
          </cell>
          <cell r="B30" t="str">
            <v>000062449</v>
          </cell>
          <cell r="C30" t="str">
            <v>hamiltol@andrews.edu</v>
          </cell>
        </row>
        <row r="31">
          <cell r="A31" t="str">
            <v>Joseph, Ainsworth E.</v>
          </cell>
          <cell r="B31" t="str">
            <v>000079312</v>
          </cell>
          <cell r="C31" t="str">
            <v>ainsworj@andrews.edu</v>
          </cell>
        </row>
        <row r="32">
          <cell r="A32" t="str">
            <v>Martin, Benjamin L.</v>
          </cell>
          <cell r="B32" t="str">
            <v>000155484</v>
          </cell>
          <cell r="C32" t="str">
            <v>benjaminm@andrews.edu</v>
          </cell>
        </row>
        <row r="33">
          <cell r="A33" t="str">
            <v>Mayer, Jorge R.</v>
          </cell>
          <cell r="B33" t="str">
            <v>000049082</v>
          </cell>
          <cell r="C33" t="str">
            <v>jorgem@andrews.edu</v>
          </cell>
        </row>
        <row r="34">
          <cell r="A34" t="str">
            <v>Moore, Richard A.</v>
          </cell>
          <cell r="B34" t="str">
            <v>000054389</v>
          </cell>
          <cell r="C34" t="str">
            <v>mooreri@andrews.edu</v>
          </cell>
        </row>
        <row r="35">
          <cell r="A35" t="str">
            <v>Ramos, Israel</v>
          </cell>
          <cell r="B35" t="str">
            <v>000111021</v>
          </cell>
          <cell r="C35" t="str">
            <v>ramosi@andrews.edu</v>
          </cell>
        </row>
        <row r="36">
          <cell r="A36" t="str">
            <v>Reddy, Ashley C.</v>
          </cell>
          <cell r="B36" t="str">
            <v>000159825</v>
          </cell>
          <cell r="C36" t="str">
            <v>reddy@andrews.edu</v>
          </cell>
        </row>
        <row r="37">
          <cell r="A37" t="str">
            <v>Reinert, Katia G.</v>
          </cell>
          <cell r="B37" t="str">
            <v>000195832</v>
          </cell>
          <cell r="C37" t="str">
            <v>reinert@andrews.edu</v>
          </cell>
        </row>
        <row r="38">
          <cell r="A38" t="str">
            <v>Sedlacek, David</v>
          </cell>
          <cell r="B38" t="str">
            <v>000142355</v>
          </cell>
          <cell r="C38" t="str">
            <v>sedlacek@andrews.edu</v>
          </cell>
        </row>
        <row r="39">
          <cell r="A39" t="str">
            <v>Ward, Scott R.</v>
          </cell>
          <cell r="B39" t="str">
            <v>000077973</v>
          </cell>
          <cell r="C39" t="str">
            <v>sward@andrews.edu</v>
          </cell>
        </row>
        <row r="40">
          <cell r="A40" t="str">
            <v>Fernandez-Gibbs, Jharony E.</v>
          </cell>
          <cell r="B40" t="str">
            <v>000140039</v>
          </cell>
          <cell r="C40" t="str">
            <v>jharony@andrews.edu</v>
          </cell>
        </row>
        <row r="41">
          <cell r="A41" t="str">
            <v>Peguero Colon, Samuel</v>
          </cell>
          <cell r="B41" t="str">
            <v>000130089</v>
          </cell>
          <cell r="C41" t="str">
            <v>pegueroc@andrews.edu</v>
          </cell>
        </row>
        <row r="42">
          <cell r="A42" t="str">
            <v>Fox, Curtis A.</v>
          </cell>
          <cell r="B42" t="str">
            <v>000062042</v>
          </cell>
          <cell r="C42" t="str">
            <v>curtisf@andrews.edu</v>
          </cell>
        </row>
        <row r="43">
          <cell r="A43" t="str">
            <v>Lopez, Elim J.</v>
          </cell>
          <cell r="B43" t="str">
            <v>000132146</v>
          </cell>
          <cell r="C43" t="str">
            <v>elim@andrews.edu</v>
          </cell>
        </row>
        <row r="44">
          <cell r="A44" t="str">
            <v>Maxson, Benjamin C.</v>
          </cell>
          <cell r="B44" t="str">
            <v>000025977</v>
          </cell>
          <cell r="C44" t="str">
            <v>maxson@andrews.edu</v>
          </cell>
        </row>
        <row r="45">
          <cell r="A45" t="str">
            <v>Oliver, Wilbert H.</v>
          </cell>
          <cell r="B45" t="str">
            <v>000034125</v>
          </cell>
          <cell r="C45" t="str">
            <v>wilberto@andrews.edu</v>
          </cell>
        </row>
        <row r="46">
          <cell r="A46" t="str">
            <v>Olivo, Dionisio</v>
          </cell>
          <cell r="B46" t="str">
            <v>000046389</v>
          </cell>
          <cell r="C46" t="str">
            <v>olivo@andrews.edu</v>
          </cell>
        </row>
        <row r="47">
          <cell r="A47" t="str">
            <v>Swanson, H Peter</v>
          </cell>
          <cell r="B47" t="str">
            <v>000031571</v>
          </cell>
          <cell r="C47" t="str">
            <v>swansonp@andrews.edu</v>
          </cell>
        </row>
        <row r="48">
          <cell r="A48" t="str">
            <v>Walshe, Allan R.</v>
          </cell>
          <cell r="B48" t="str">
            <v>000136308</v>
          </cell>
          <cell r="C48" t="str">
            <v>walshe@andrews.edu</v>
          </cell>
        </row>
        <row r="49">
          <cell r="A49" t="str">
            <v>Aguiar, Adenilton T.</v>
          </cell>
          <cell r="B49" t="str">
            <v>000160279</v>
          </cell>
          <cell r="C49" t="str">
            <v>adenilton@andrews.edu</v>
          </cell>
        </row>
        <row r="50">
          <cell r="A50" t="str">
            <v>Agustin, Alfredo G.</v>
          </cell>
          <cell r="B50" t="str">
            <v>000240618</v>
          </cell>
          <cell r="C50" t="str">
            <v>agustina@andrews.edu</v>
          </cell>
        </row>
        <row r="51">
          <cell r="A51" t="str">
            <v>Badenas, Roberto D.</v>
          </cell>
          <cell r="B51" t="str">
            <v>000035367</v>
          </cell>
          <cell r="C51" t="str">
            <v>badenasr@andrews.edu</v>
          </cell>
        </row>
        <row r="52">
          <cell r="A52" t="str">
            <v>Borda, Guilherme L.</v>
          </cell>
          <cell r="B52" t="str">
            <v>000150924</v>
          </cell>
          <cell r="C52" t="str">
            <v>borda@andrews.edu</v>
          </cell>
        </row>
        <row r="53">
          <cell r="A53" t="str">
            <v>Choi, Phuichun R.</v>
          </cell>
          <cell r="B53" t="str">
            <v>000036676</v>
          </cell>
          <cell r="C53" t="str">
            <v>choir@andrews.edu</v>
          </cell>
        </row>
        <row r="54">
          <cell r="A54" t="str">
            <v>Cortez, Felix H.</v>
          </cell>
          <cell r="B54" t="str">
            <v>000110700</v>
          </cell>
          <cell r="C54" t="str">
            <v>fcortez@andrews.edu</v>
          </cell>
        </row>
        <row r="55">
          <cell r="A55" t="str">
            <v>Ferreira, Jonatas L.</v>
          </cell>
          <cell r="B55" t="str">
            <v>000159708</v>
          </cell>
          <cell r="C55" t="str">
            <v>jonatas@andrews.edu</v>
          </cell>
        </row>
        <row r="56">
          <cell r="A56" t="str">
            <v>Festa, Sergio R.</v>
          </cell>
          <cell r="B56" t="str">
            <v>000159784</v>
          </cell>
          <cell r="C56" t="str">
            <v>festa@andrews.edu</v>
          </cell>
        </row>
        <row r="57">
          <cell r="A57" t="str">
            <v>Gallos, Erhard H.</v>
          </cell>
          <cell r="B57" t="str">
            <v>000068119</v>
          </cell>
          <cell r="C57" t="str">
            <v>gallos@andrews.edu</v>
          </cell>
        </row>
        <row r="58">
          <cell r="A58" t="str">
            <v>Gallusz, Laszlo</v>
          </cell>
          <cell r="B58" t="str">
            <v>000203949</v>
          </cell>
          <cell r="C58" t="str">
            <v>gallusz@andrews.edu</v>
          </cell>
        </row>
        <row r="59">
          <cell r="A59" t="str">
            <v>Grzeskowiak, Adam</v>
          </cell>
          <cell r="B59" t="str">
            <v>000204006</v>
          </cell>
          <cell r="C59" t="str">
            <v>grzeskowiak@andrews.edu</v>
          </cell>
        </row>
        <row r="60">
          <cell r="A60" t="str">
            <v>Hernandez, Angel M.</v>
          </cell>
          <cell r="B60" t="str">
            <v>000025476</v>
          </cell>
          <cell r="C60" t="str">
            <v>ahernandez@andrews.edu</v>
          </cell>
        </row>
        <row r="61">
          <cell r="A61" t="str">
            <v>Huss, Rajan P.</v>
          </cell>
          <cell r="B61" t="str">
            <v>000141225</v>
          </cell>
          <cell r="C61" t="str">
            <v>huss@andrews.edu</v>
          </cell>
        </row>
        <row r="62">
          <cell r="A62" t="str">
            <v>Johnston, Robert M.</v>
          </cell>
          <cell r="B62" t="str">
            <v>000003908</v>
          </cell>
          <cell r="C62" t="str">
            <v>bobjohn@andrews.edu</v>
          </cell>
        </row>
        <row r="63">
          <cell r="A63" t="str">
            <v>Kondrat, Stanislav</v>
          </cell>
          <cell r="B63" t="str">
            <v>000119532</v>
          </cell>
          <cell r="C63" t="str">
            <v>kondrat@andrews.edu</v>
          </cell>
        </row>
        <row r="64">
          <cell r="A64" t="str">
            <v>Kostyuk, Oleg</v>
          </cell>
          <cell r="B64" t="str">
            <v>000159768</v>
          </cell>
          <cell r="C64" t="str">
            <v>kostyuk@andrews.edu</v>
          </cell>
        </row>
        <row r="65">
          <cell r="A65" t="str">
            <v>Kuryliak, Bohdan</v>
          </cell>
          <cell r="B65" t="str">
            <v>000200888</v>
          </cell>
          <cell r="C65" t="str">
            <v>bkuryliak@andrews.edu</v>
          </cell>
        </row>
        <row r="66">
          <cell r="A66" t="str">
            <v>Kwon, Timothy B.</v>
          </cell>
          <cell r="B66" t="str">
            <v>000146533</v>
          </cell>
          <cell r="C66" t="str">
            <v>beett@andrews.edu</v>
          </cell>
        </row>
        <row r="67">
          <cell r="A67" t="str">
            <v>Lichtenwalter, Larry L.</v>
          </cell>
          <cell r="B67" t="str">
            <v>000024733</v>
          </cell>
          <cell r="C67" t="str">
            <v>lichtenw@andrews.edu</v>
          </cell>
        </row>
        <row r="68">
          <cell r="A68" t="str">
            <v>Moral Hernandez, Manuel A.</v>
          </cell>
          <cell r="B68" t="str">
            <v>000105885</v>
          </cell>
          <cell r="C68" t="str">
            <v>moral@andrews.edu</v>
          </cell>
        </row>
        <row r="69">
          <cell r="A69" t="str">
            <v>Mot, Laurentiu F.</v>
          </cell>
          <cell r="B69" t="str">
            <v>000115113</v>
          </cell>
          <cell r="C69" t="str">
            <v>laurentiu@andrews.edu</v>
          </cell>
        </row>
        <row r="70">
          <cell r="A70" t="str">
            <v>Munoz, Jose Y.</v>
          </cell>
          <cell r="B70" t="str">
            <v>000073761</v>
          </cell>
          <cell r="C70" t="str">
            <v>munozj@andrews.edu</v>
          </cell>
        </row>
        <row r="71">
          <cell r="A71" t="str">
            <v>Munoz, Ruben A.</v>
          </cell>
          <cell r="B71" t="str">
            <v>000064060</v>
          </cell>
          <cell r="C71" t="str">
            <v>rmunoz@andrews.edu</v>
          </cell>
        </row>
        <row r="72">
          <cell r="A72" t="str">
            <v>Nunes, Leonardo G.</v>
          </cell>
          <cell r="B72" t="str">
            <v>000138706</v>
          </cell>
          <cell r="C72" t="str">
            <v>nunesl@andrews.edu</v>
          </cell>
        </row>
        <row r="73">
          <cell r="A73" t="str">
            <v>Papaioannou, Kim G.</v>
          </cell>
          <cell r="B73" t="str">
            <v>000050429</v>
          </cell>
          <cell r="C73" t="str">
            <v>papaioannou@andrews.edu</v>
          </cell>
        </row>
        <row r="74">
          <cell r="A74" t="str">
            <v>Phillip, Mario N.</v>
          </cell>
          <cell r="B74" t="str">
            <v>000108446</v>
          </cell>
          <cell r="C74" t="str">
            <v>mariop@andrews.edu</v>
          </cell>
        </row>
        <row r="75">
          <cell r="A75" t="str">
            <v>Reeve, Teresa L.</v>
          </cell>
          <cell r="B75" t="str">
            <v>000050236</v>
          </cell>
          <cell r="C75" t="str">
            <v>tlreeve@andrews.edu</v>
          </cell>
        </row>
        <row r="76">
          <cell r="A76" t="str">
            <v>Richards, W Larry</v>
          </cell>
          <cell r="B76" t="str">
            <v>000008252</v>
          </cell>
        </row>
        <row r="77">
          <cell r="A77" t="str">
            <v>Stefanovic, Ranko</v>
          </cell>
          <cell r="B77" t="str">
            <v>000057767</v>
          </cell>
          <cell r="C77" t="str">
            <v>ranko@andrews.edu</v>
          </cell>
        </row>
        <row r="78">
          <cell r="A78" t="str">
            <v>Vine, Cedric E.</v>
          </cell>
          <cell r="B78" t="str">
            <v>000093509</v>
          </cell>
          <cell r="C78" t="str">
            <v>cvine@andrews.edu</v>
          </cell>
        </row>
        <row r="79">
          <cell r="A79" t="str">
            <v>Baez Garcia, Enrique</v>
          </cell>
          <cell r="B79" t="str">
            <v>000118530</v>
          </cell>
          <cell r="C79" t="str">
            <v>baezgarc@andrews.edu</v>
          </cell>
        </row>
        <row r="80">
          <cell r="A80" t="str">
            <v>Baker, Leslie S.</v>
          </cell>
          <cell r="B80" t="str">
            <v>000067622</v>
          </cell>
          <cell r="C80" t="str">
            <v>lsbakerjr@andrews.edu</v>
          </cell>
        </row>
        <row r="81">
          <cell r="A81" t="str">
            <v>Bates, Robert D.</v>
          </cell>
          <cell r="B81" t="str">
            <v>000095796</v>
          </cell>
          <cell r="C81" t="str">
            <v>bates@andrews.edu</v>
          </cell>
        </row>
        <row r="82">
          <cell r="A82" t="str">
            <v>Beaulieu, Stephane A.</v>
          </cell>
          <cell r="B82" t="str">
            <v>000132272</v>
          </cell>
          <cell r="C82" t="str">
            <v>beaulies@andrews.edu</v>
          </cell>
        </row>
        <row r="83">
          <cell r="A83" t="str">
            <v>Bediako, Daniel K.</v>
          </cell>
          <cell r="B83" t="str">
            <v>000246964</v>
          </cell>
        </row>
        <row r="84">
          <cell r="A84" t="str">
            <v>Breja, Alexandru</v>
          </cell>
          <cell r="B84" t="str">
            <v>000068116</v>
          </cell>
          <cell r="C84" t="str">
            <v>brejaal@andrews.edu</v>
          </cell>
        </row>
        <row r="85">
          <cell r="A85" t="str">
            <v>Broy, Trisha E.</v>
          </cell>
          <cell r="B85" t="str">
            <v>000088405</v>
          </cell>
          <cell r="C85" t="str">
            <v>trisha@andrews.edu</v>
          </cell>
        </row>
        <row r="86">
          <cell r="A86" t="str">
            <v>Doukhan, Jacques B.</v>
          </cell>
          <cell r="B86" t="str">
            <v>000027289</v>
          </cell>
          <cell r="C86" t="str">
            <v>doukhanj@andrews.edu</v>
          </cell>
        </row>
        <row r="87">
          <cell r="A87" t="str">
            <v>Emswiler, Elizabeth</v>
          </cell>
          <cell r="B87" t="str">
            <v>000205980</v>
          </cell>
          <cell r="C87" t="str">
            <v>emswiler@andrews.edu</v>
          </cell>
        </row>
        <row r="88">
          <cell r="A88" t="str">
            <v>Gane, Constance E.</v>
          </cell>
          <cell r="B88" t="str">
            <v>000074605</v>
          </cell>
          <cell r="C88" t="str">
            <v>cgane@andrews.edu</v>
          </cell>
        </row>
        <row r="89">
          <cell r="A89" t="str">
            <v>Glanz, Oliver</v>
          </cell>
          <cell r="B89" t="str">
            <v>000162826</v>
          </cell>
          <cell r="C89" t="str">
            <v>glanz@andrews.edu</v>
          </cell>
        </row>
        <row r="90">
          <cell r="A90" t="str">
            <v>Gordan, Daniel M.</v>
          </cell>
          <cell r="B90" t="str">
            <v>000155573</v>
          </cell>
          <cell r="C90" t="str">
            <v>danielgordan@andrews.edu</v>
          </cell>
        </row>
        <row r="91">
          <cell r="A91" t="str">
            <v>Gregor, Paul Z.</v>
          </cell>
          <cell r="B91" t="str">
            <v>000052867</v>
          </cell>
          <cell r="C91" t="str">
            <v>pgregor@andrews.edu</v>
          </cell>
        </row>
        <row r="92">
          <cell r="A92" t="str">
            <v>Groda, Johnny</v>
          </cell>
          <cell r="B92" t="str">
            <v>000102157</v>
          </cell>
          <cell r="C92" t="str">
            <v>johnny@andrews.edu</v>
          </cell>
        </row>
        <row r="93">
          <cell r="A93" t="str">
            <v>Hudon, Jeffrey P.</v>
          </cell>
          <cell r="B93" t="str">
            <v>000133678</v>
          </cell>
          <cell r="C93" t="str">
            <v>hudon@andrews.edu</v>
          </cell>
        </row>
        <row r="94">
          <cell r="A94" t="str">
            <v>Ionescu, Laurentiu Gabriel</v>
          </cell>
          <cell r="B94" t="str">
            <v>000190055</v>
          </cell>
          <cell r="C94" t="str">
            <v>laurentiuga@andrews.edu</v>
          </cell>
        </row>
        <row r="95">
          <cell r="A95" t="str">
            <v>Jankovic, Slavisa</v>
          </cell>
          <cell r="B95" t="str">
            <v>000138176</v>
          </cell>
          <cell r="C95" t="str">
            <v>jankovic@andrews.edu</v>
          </cell>
        </row>
        <row r="96">
          <cell r="A96" t="str">
            <v>McGuire-Moushon, Joni A.</v>
          </cell>
          <cell r="B96" t="str">
            <v>000118224</v>
          </cell>
          <cell r="C96" t="str">
            <v>mcguirej@andrews.edu</v>
          </cell>
        </row>
        <row r="97">
          <cell r="A97" t="str">
            <v>Moody, Jacob A.</v>
          </cell>
          <cell r="B97" t="str">
            <v>000141338</v>
          </cell>
          <cell r="C97" t="str">
            <v>moody@andrews.edu</v>
          </cell>
        </row>
        <row r="98">
          <cell r="A98" t="str">
            <v>Morrow, Laura K.</v>
          </cell>
          <cell r="B98" t="str">
            <v>000112615</v>
          </cell>
          <cell r="C98" t="str">
            <v>morrowl@andrews.edu</v>
          </cell>
        </row>
        <row r="99">
          <cell r="A99" t="str">
            <v>Nam, Daegeuk</v>
          </cell>
          <cell r="B99" t="str">
            <v>000032749</v>
          </cell>
        </row>
        <row r="100">
          <cell r="A100" t="str">
            <v>Ngo, Kim Chai</v>
          </cell>
          <cell r="B100" t="str">
            <v>000212413</v>
          </cell>
          <cell r="C100" t="str">
            <v>kimchai@andrews.edu</v>
          </cell>
        </row>
        <row r="101">
          <cell r="A101" t="str">
            <v>Olariu, Daniel</v>
          </cell>
          <cell r="B101" t="str">
            <v>000163538</v>
          </cell>
          <cell r="C101" t="str">
            <v>olariu@andrews.edu</v>
          </cell>
        </row>
        <row r="102">
          <cell r="A102" t="str">
            <v>Prestes Neto, Flavio</v>
          </cell>
          <cell r="B102" t="str">
            <v>000136415</v>
          </cell>
          <cell r="C102" t="str">
            <v>neto@andrews.edu</v>
          </cell>
        </row>
        <row r="103">
          <cell r="A103" t="str">
            <v>Rivas Santini, Abelardo J.</v>
          </cell>
          <cell r="B103" t="str">
            <v>000133197</v>
          </cell>
          <cell r="C103" t="str">
            <v>abelardo@andrews.edu</v>
          </cell>
        </row>
        <row r="104">
          <cell r="A104" t="str">
            <v>Rojas, Ronald</v>
          </cell>
          <cell r="B104" t="str">
            <v>000124643</v>
          </cell>
          <cell r="C104" t="str">
            <v>rojasr@andrews.edu</v>
          </cell>
        </row>
        <row r="105">
          <cell r="A105" t="str">
            <v>Ruiz Araica, Roger D.</v>
          </cell>
          <cell r="B105" t="str">
            <v>000148578</v>
          </cell>
          <cell r="C105" t="str">
            <v>ruizr@andrews.edu</v>
          </cell>
        </row>
        <row r="106">
          <cell r="A106" t="str">
            <v>Skinner, Jerome L.</v>
          </cell>
          <cell r="B106" t="str">
            <v>000117063</v>
          </cell>
          <cell r="C106" t="str">
            <v>skinnerj@andrews.edu</v>
          </cell>
        </row>
        <row r="107">
          <cell r="A107" t="str">
            <v>Sung, Sion</v>
          </cell>
          <cell r="B107" t="str">
            <v>000117882</v>
          </cell>
          <cell r="C107" t="str">
            <v>sion@andrews.edu</v>
          </cell>
        </row>
        <row r="108">
          <cell r="A108" t="str">
            <v>Tollerton, Evelyn Y.</v>
          </cell>
          <cell r="B108" t="str">
            <v>000117327</v>
          </cell>
          <cell r="C108" t="str">
            <v>tollerto@andrews.edu</v>
          </cell>
        </row>
        <row r="109">
          <cell r="A109" t="str">
            <v>Wiens, Roman</v>
          </cell>
          <cell r="B109" t="str">
            <v>000160271</v>
          </cell>
          <cell r="C109" t="str">
            <v>wiens@andrews.edu</v>
          </cell>
        </row>
        <row r="110">
          <cell r="A110" t="str">
            <v>Arias-Quintero, Jose A.</v>
          </cell>
          <cell r="B110" t="str">
            <v>000099625</v>
          </cell>
          <cell r="C110" t="str">
            <v>ariasqui@andrews.edu</v>
          </cell>
        </row>
        <row r="111">
          <cell r="A111" t="str">
            <v>Bell, Ora M.</v>
          </cell>
          <cell r="B111" t="str">
            <v>000015518</v>
          </cell>
          <cell r="C111" t="str">
            <v>sjbell@andrews.edu</v>
          </cell>
        </row>
        <row r="112">
          <cell r="A112" t="str">
            <v>Braun, Erlo</v>
          </cell>
          <cell r="B112" t="str">
            <v>000137172</v>
          </cell>
          <cell r="C112" t="str">
            <v>erlo@andrews.edu</v>
          </cell>
        </row>
        <row r="113">
          <cell r="A113" t="str">
            <v>Bullon, Alejandro</v>
          </cell>
          <cell r="B113" t="str">
            <v>000181820</v>
          </cell>
          <cell r="C113" t="str">
            <v>alejandrob@andrews.edu</v>
          </cell>
        </row>
        <row r="114">
          <cell r="A114" t="str">
            <v>Canals, Ramon J.</v>
          </cell>
          <cell r="B114" t="str">
            <v>000051912</v>
          </cell>
          <cell r="C114" t="str">
            <v>canals@andrews.edu</v>
          </cell>
        </row>
        <row r="115">
          <cell r="A115" t="str">
            <v>Cauley, Michael F.</v>
          </cell>
          <cell r="B115" t="str">
            <v>000025417</v>
          </cell>
          <cell r="C115" t="str">
            <v>cauleym@andrews.edu</v>
          </cell>
        </row>
        <row r="116">
          <cell r="A116" t="str">
            <v>Cauley, Michael R.</v>
          </cell>
          <cell r="B116" t="str">
            <v>000107141</v>
          </cell>
          <cell r="C116" t="str">
            <v>cauley@andrews.edu</v>
          </cell>
        </row>
        <row r="117">
          <cell r="A117" t="str">
            <v>Ceballos, Mario E.</v>
          </cell>
          <cell r="B117" t="str">
            <v>000039066</v>
          </cell>
          <cell r="C117" t="str">
            <v>ceballom@andrews.edu</v>
          </cell>
        </row>
        <row r="118">
          <cell r="A118" t="str">
            <v>Choque Fernandez, Juan</v>
          </cell>
          <cell r="B118" t="str">
            <v>000127674</v>
          </cell>
          <cell r="C118" t="str">
            <v>choque@andrews.edu</v>
          </cell>
        </row>
        <row r="119">
          <cell r="A119" t="str">
            <v>Evans, Tommy L.</v>
          </cell>
          <cell r="B119" t="str">
            <v>000063105</v>
          </cell>
          <cell r="C119" t="str">
            <v>tevans@andrews.edu</v>
          </cell>
        </row>
        <row r="120">
          <cell r="A120" t="str">
            <v>Li, Angela H.</v>
          </cell>
          <cell r="B120" t="str">
            <v>000225367</v>
          </cell>
          <cell r="C120" t="str">
            <v>angelal@andrews.edu</v>
          </cell>
        </row>
        <row r="121">
          <cell r="A121" t="str">
            <v>Liang, Onn</v>
          </cell>
          <cell r="B121" t="str">
            <v>000035691</v>
          </cell>
          <cell r="C121" t="str">
            <v>lianga@andrews.edu</v>
          </cell>
        </row>
        <row r="122">
          <cell r="A122" t="str">
            <v>Oudri, Gerardo</v>
          </cell>
          <cell r="B122" t="str">
            <v>000077975</v>
          </cell>
          <cell r="C122" t="str">
            <v>oudri@andrews.edu</v>
          </cell>
        </row>
        <row r="123">
          <cell r="A123" t="str">
            <v>Patterson, Stanley E.</v>
          </cell>
          <cell r="B123" t="str">
            <v>000030103</v>
          </cell>
          <cell r="C123" t="str">
            <v>patterss@andrews.edu</v>
          </cell>
        </row>
        <row r="124">
          <cell r="A124" t="str">
            <v>Penno, David K.</v>
          </cell>
          <cell r="B124" t="str">
            <v>000041639</v>
          </cell>
          <cell r="C124" t="str">
            <v>penno@andrews.edu</v>
          </cell>
        </row>
        <row r="125">
          <cell r="A125" t="str">
            <v>Ramirez, Johnny</v>
          </cell>
          <cell r="B125" t="str">
            <v>000030856</v>
          </cell>
          <cell r="C125" t="str">
            <v>johnnyr@andrews.edu</v>
          </cell>
        </row>
        <row r="126">
          <cell r="A126" t="str">
            <v>Rico, Jorge E.</v>
          </cell>
          <cell r="B126" t="str">
            <v>000051411</v>
          </cell>
          <cell r="C126" t="str">
            <v>rico@andrews.edu</v>
          </cell>
        </row>
        <row r="127">
          <cell r="A127" t="str">
            <v>Saravia, Yohalmo A.</v>
          </cell>
          <cell r="B127" t="str">
            <v>000046397</v>
          </cell>
          <cell r="C127" t="str">
            <v>saravia@andrews.edu</v>
          </cell>
        </row>
        <row r="128">
          <cell r="A128" t="str">
            <v>Schmidt, Eduard E.</v>
          </cell>
          <cell r="B128" t="str">
            <v>000041813</v>
          </cell>
          <cell r="C128" t="str">
            <v>eschmidt@andrews.edu</v>
          </cell>
        </row>
        <row r="129">
          <cell r="A129" t="str">
            <v>Sorajjakool, Siroj</v>
          </cell>
          <cell r="B129" t="str">
            <v>000050631</v>
          </cell>
          <cell r="C129" t="str">
            <v>siroj@andrews.edu</v>
          </cell>
        </row>
        <row r="130">
          <cell r="A130" t="str">
            <v>Wagener Smith, Anthony</v>
          </cell>
          <cell r="B130" t="str">
            <v>000118859</v>
          </cell>
          <cell r="C130" t="str">
            <v>wagenersmith@andrews.edu</v>
          </cell>
        </row>
        <row r="131">
          <cell r="A131" t="str">
            <v>Williams, Hyveth M.</v>
          </cell>
          <cell r="B131" t="str">
            <v>000049271</v>
          </cell>
          <cell r="C131" t="str">
            <v>hyveth@andrews.edu</v>
          </cell>
        </row>
        <row r="132">
          <cell r="A132" t="str">
            <v>Anderson, Paul S.</v>
          </cell>
          <cell r="B132" t="str">
            <v>000048877</v>
          </cell>
          <cell r="C132" t="str">
            <v>panderson@andrews.edu</v>
          </cell>
        </row>
        <row r="133">
          <cell r="A133" t="str">
            <v>Barcelo, Saul</v>
          </cell>
          <cell r="B133" t="str">
            <v>000233478</v>
          </cell>
        </row>
        <row r="134">
          <cell r="A134" t="str">
            <v>Coralie, Alain G.</v>
          </cell>
          <cell r="B134" t="str">
            <v>000076162</v>
          </cell>
          <cell r="C134" t="str">
            <v>coralie@andrews.edu</v>
          </cell>
        </row>
        <row r="135">
          <cell r="A135" t="str">
            <v>Crews, Heather L.</v>
          </cell>
          <cell r="B135" t="str">
            <v>000052089</v>
          </cell>
          <cell r="C135" t="str">
            <v>crewsh@andrews.edu</v>
          </cell>
        </row>
        <row r="136">
          <cell r="A136" t="str">
            <v>Ferreira, Sandy Y.</v>
          </cell>
          <cell r="B136" t="str">
            <v>000155280</v>
          </cell>
          <cell r="C136" t="str">
            <v>ferreirajim@andrews.edu</v>
          </cell>
        </row>
        <row r="137">
          <cell r="A137" t="str">
            <v>Galeniece, Anna</v>
          </cell>
          <cell r="B137" t="str">
            <v>000078997</v>
          </cell>
          <cell r="C137" t="str">
            <v>galeniec@andrews.edu</v>
          </cell>
        </row>
        <row r="138">
          <cell r="A138" t="str">
            <v>Grant, Vaughan K.</v>
          </cell>
          <cell r="B138" t="str">
            <v>000054097</v>
          </cell>
          <cell r="C138" t="str">
            <v>vaughang@andrews.edu</v>
          </cell>
        </row>
        <row r="139">
          <cell r="A139" t="str">
            <v>Grys, John W.</v>
          </cell>
          <cell r="B139" t="str">
            <v>000038918</v>
          </cell>
          <cell r="C139" t="str">
            <v>jgrys@andrews.edu</v>
          </cell>
        </row>
        <row r="140">
          <cell r="A140" t="str">
            <v>Jaeger, Victor A.</v>
          </cell>
          <cell r="B140" t="str">
            <v>000115524</v>
          </cell>
          <cell r="C140" t="str">
            <v>jaeger@andrews.edu</v>
          </cell>
        </row>
        <row r="141">
          <cell r="A141" t="str">
            <v>Kissinger, Evelyn G.</v>
          </cell>
          <cell r="B141" t="str">
            <v>000031535</v>
          </cell>
          <cell r="C141" t="str">
            <v>evelynk@andrews.edu</v>
          </cell>
        </row>
        <row r="142">
          <cell r="A142" t="str">
            <v>Ledesma, Janet</v>
          </cell>
          <cell r="B142" t="str">
            <v>000043873</v>
          </cell>
          <cell r="C142" t="str">
            <v>jledesma@andrews.edu</v>
          </cell>
        </row>
        <row r="143">
          <cell r="A143" t="str">
            <v>Lewis, Michael L.</v>
          </cell>
          <cell r="B143" t="str">
            <v>000096645</v>
          </cell>
          <cell r="C143" t="str">
            <v>lewismi@andrews.edu</v>
          </cell>
        </row>
        <row r="144">
          <cell r="A144" t="str">
            <v>Madding, Timothy E.</v>
          </cell>
          <cell r="B144" t="str">
            <v>000069917</v>
          </cell>
          <cell r="C144" t="str">
            <v>madding@andrews.edu</v>
          </cell>
        </row>
        <row r="145">
          <cell r="A145" t="str">
            <v>Martin, Allan D.</v>
          </cell>
          <cell r="B145" t="str">
            <v>000090518</v>
          </cell>
        </row>
        <row r="146">
          <cell r="A146" t="str">
            <v>McLean, Errol N.</v>
          </cell>
          <cell r="B146" t="str">
            <v>000049564</v>
          </cell>
          <cell r="C146" t="str">
            <v>mcleane@andrews.edu</v>
          </cell>
        </row>
        <row r="147">
          <cell r="A147" t="str">
            <v>Ming, Marilyn D.</v>
          </cell>
          <cell r="B147" t="str">
            <v>000126678</v>
          </cell>
          <cell r="C147" t="str">
            <v>ming@andrews.edu</v>
          </cell>
        </row>
        <row r="148">
          <cell r="A148" t="str">
            <v>Morales, Xavier</v>
          </cell>
          <cell r="B148" t="str">
            <v>000139876</v>
          </cell>
          <cell r="C148" t="str">
            <v>moralesx@andrews.edu</v>
          </cell>
        </row>
        <row r="149">
          <cell r="A149" t="str">
            <v>Ramos Escobar, Walter</v>
          </cell>
          <cell r="B149" t="str">
            <v>000155460</v>
          </cell>
          <cell r="C149" t="str">
            <v>ramosescoba@andrews.edu</v>
          </cell>
        </row>
        <row r="150">
          <cell r="A150" t="str">
            <v>Rojas, Hugo E.</v>
          </cell>
          <cell r="B150" t="str">
            <v>000095431</v>
          </cell>
          <cell r="C150" t="str">
            <v>elir@andrews.edu</v>
          </cell>
        </row>
        <row r="151">
          <cell r="A151" t="str">
            <v>Taiwo, Moses O.</v>
          </cell>
          <cell r="B151" t="str">
            <v>000051532</v>
          </cell>
          <cell r="C151" t="str">
            <v>taiwo@andrews.edu</v>
          </cell>
        </row>
        <row r="152">
          <cell r="A152" t="str">
            <v>Thordarson, Throstur B.</v>
          </cell>
          <cell r="B152" t="str">
            <v>000028045</v>
          </cell>
          <cell r="C152" t="str">
            <v>throstur@andrews.edu</v>
          </cell>
        </row>
        <row r="153">
          <cell r="A153" t="str">
            <v>Trecartin, Shannon M.</v>
          </cell>
          <cell r="B153" t="str">
            <v>000133204</v>
          </cell>
          <cell r="C153" t="str">
            <v>trecarts@andrews.edu</v>
          </cell>
        </row>
        <row r="154">
          <cell r="A154" t="str">
            <v>Tsui, Terry M.</v>
          </cell>
          <cell r="B154" t="str">
            <v>000120498</v>
          </cell>
          <cell r="C154" t="str">
            <v>tsui@andrews.edu</v>
          </cell>
        </row>
        <row r="155">
          <cell r="A155" t="str">
            <v>Vatel, Marie S.</v>
          </cell>
          <cell r="B155" t="str">
            <v>000074539</v>
          </cell>
          <cell r="C155" t="str">
            <v>vatelm@andrews.edu</v>
          </cell>
        </row>
        <row r="156">
          <cell r="A156" t="str">
            <v>Wellington, Rohann D.</v>
          </cell>
          <cell r="B156" t="str">
            <v>000110327</v>
          </cell>
          <cell r="C156" t="str">
            <v>rohann@andrews.edu</v>
          </cell>
        </row>
        <row r="157">
          <cell r="A157" t="str">
            <v>Wood, H Stanley</v>
          </cell>
          <cell r="B157" t="str">
            <v>000241606</v>
          </cell>
          <cell r="C157" t="str">
            <v>woodh@andrews.edu</v>
          </cell>
        </row>
        <row r="158">
          <cell r="A158" t="str">
            <v>Young, Dustin R.</v>
          </cell>
          <cell r="B158" t="str">
            <v>000234751</v>
          </cell>
          <cell r="C158" t="str">
            <v>dustiny@andrews.edu</v>
          </cell>
        </row>
        <row r="159">
          <cell r="A159" t="str">
            <v>Alexe, Cristina A.</v>
          </cell>
          <cell r="B159" t="str">
            <v>000134154</v>
          </cell>
          <cell r="C159" t="str">
            <v>alexe@andrews.edu</v>
          </cell>
        </row>
        <row r="160">
          <cell r="A160" t="str">
            <v>Andvik, Lidvar</v>
          </cell>
          <cell r="B160" t="str">
            <v>000148465</v>
          </cell>
          <cell r="C160" t="str">
            <v>lidvar@andrews.edu</v>
          </cell>
        </row>
        <row r="161">
          <cell r="A161" t="str">
            <v>Arena, Timothy J.</v>
          </cell>
          <cell r="B161" t="str">
            <v>000148323</v>
          </cell>
          <cell r="C161" t="str">
            <v>arena@andrews.edu</v>
          </cell>
        </row>
        <row r="162">
          <cell r="A162" t="str">
            <v>Baldwin, John T.</v>
          </cell>
          <cell r="B162" t="str">
            <v>000001902</v>
          </cell>
          <cell r="C162" t="str">
            <v>baldwin@andrews.edu</v>
          </cell>
        </row>
        <row r="163">
          <cell r="A163" t="str">
            <v>Bentancur, Ricardo</v>
          </cell>
          <cell r="B163" t="str">
            <v>000193021</v>
          </cell>
          <cell r="C163" t="str">
            <v>bentancur@andrews.edu</v>
          </cell>
        </row>
        <row r="164">
          <cell r="A164" t="str">
            <v>Canale, Fernando</v>
          </cell>
          <cell r="B164" t="str">
            <v>000033285</v>
          </cell>
          <cell r="C164" t="str">
            <v>canale@andrews.edu</v>
          </cell>
        </row>
        <row r="165">
          <cell r="A165" t="str">
            <v>Covrig, Duane M.</v>
          </cell>
          <cell r="B165" t="str">
            <v>000125642</v>
          </cell>
          <cell r="C165" t="str">
            <v>covrig@andrews.edu</v>
          </cell>
        </row>
        <row r="166">
          <cell r="A166" t="str">
            <v>Dei, Daniel</v>
          </cell>
          <cell r="B166" t="str">
            <v>000214349</v>
          </cell>
          <cell r="C166" t="str">
            <v>dei@andrews.edu</v>
          </cell>
        </row>
        <row r="167">
          <cell r="A167" t="str">
            <v>Drew, Arlyn S.</v>
          </cell>
          <cell r="B167" t="str">
            <v>000043384</v>
          </cell>
          <cell r="C167" t="str">
            <v>drewa@andrews.edu</v>
          </cell>
        </row>
        <row r="168">
          <cell r="A168" t="str">
            <v>Dupertuis, Atilio R.</v>
          </cell>
          <cell r="B168" t="str">
            <v>000001928</v>
          </cell>
          <cell r="C168" t="str">
            <v>dupera@andrews.edu</v>
          </cell>
        </row>
        <row r="169">
          <cell r="A169" t="str">
            <v>Duran Royo, Noemi</v>
          </cell>
          <cell r="B169" t="str">
            <v>000210558</v>
          </cell>
          <cell r="C169" t="str">
            <v>duranroyo@andrews.edu</v>
          </cell>
        </row>
        <row r="170">
          <cell r="A170" t="str">
            <v>Gibbs, Nathaniel</v>
          </cell>
          <cell r="B170" t="str">
            <v>000146529</v>
          </cell>
          <cell r="C170" t="str">
            <v>gibbsn@andrews.edu</v>
          </cell>
        </row>
        <row r="171">
          <cell r="A171" t="str">
            <v>Hanna, Martin F.</v>
          </cell>
          <cell r="B171" t="str">
            <v>000057080</v>
          </cell>
          <cell r="C171" t="str">
            <v>mhanna@andrews.edu</v>
          </cell>
        </row>
        <row r="172">
          <cell r="A172" t="str">
            <v>Jankiewicz, Darius W.</v>
          </cell>
          <cell r="B172" t="str">
            <v>000069427</v>
          </cell>
          <cell r="C172" t="str">
            <v>darius@andrews.edu</v>
          </cell>
        </row>
        <row r="173">
          <cell r="A173" t="str">
            <v>Kis, Miroslav M.</v>
          </cell>
          <cell r="B173" t="str">
            <v>000022704</v>
          </cell>
        </row>
        <row r="174">
          <cell r="A174" t="str">
            <v>Kormos, Erik</v>
          </cell>
          <cell r="B174" t="str">
            <v>000207932</v>
          </cell>
          <cell r="C174" t="str">
            <v>kormos@andrews.edu</v>
          </cell>
        </row>
        <row r="175">
          <cell r="A175" t="str">
            <v>Koval, Bohdan</v>
          </cell>
          <cell r="B175" t="str">
            <v>000163303</v>
          </cell>
          <cell r="C175" t="str">
            <v>koval@andrews.edu</v>
          </cell>
        </row>
        <row r="176">
          <cell r="A176" t="str">
            <v>Peckham, John C.</v>
          </cell>
          <cell r="B176" t="str">
            <v>000116996</v>
          </cell>
          <cell r="C176" t="str">
            <v>jpeckham@andrews.edu</v>
          </cell>
        </row>
        <row r="177">
          <cell r="A177" t="str">
            <v>Plantak, Zorislav</v>
          </cell>
          <cell r="B177" t="str">
            <v>000104055</v>
          </cell>
          <cell r="C177" t="str">
            <v>zplantak@andrews.edu</v>
          </cell>
        </row>
        <row r="178">
          <cell r="A178" t="str">
            <v>Razmerita, Gheorghe</v>
          </cell>
          <cell r="B178" t="str">
            <v>000087063</v>
          </cell>
          <cell r="C178" t="str">
            <v>razmerita@andrews.edu</v>
          </cell>
        </row>
        <row r="179">
          <cell r="A179" t="str">
            <v>Rodrigues, Adriani M.</v>
          </cell>
          <cell r="B179" t="str">
            <v>000145425</v>
          </cell>
          <cell r="C179" t="str">
            <v>adriani@andrews.edu</v>
          </cell>
        </row>
        <row r="180">
          <cell r="A180" t="str">
            <v>Sciarabba, Davide</v>
          </cell>
          <cell r="B180" t="str">
            <v>000138600</v>
          </cell>
          <cell r="C180" t="str">
            <v>sciarabb@andrews.edu</v>
          </cell>
        </row>
        <row r="181">
          <cell r="A181" t="str">
            <v>Szallos-Farkas, Zoltan</v>
          </cell>
          <cell r="B181" t="str">
            <v>000067911</v>
          </cell>
          <cell r="C181" t="str">
            <v>zoltan@andrews.edu</v>
          </cell>
        </row>
        <row r="182">
          <cell r="A182" t="str">
            <v>Terreros, Marco T.</v>
          </cell>
          <cell r="B182" t="str">
            <v>000054615</v>
          </cell>
          <cell r="C182" t="str">
            <v>terreros@andrews.edu</v>
          </cell>
        </row>
        <row r="183">
          <cell r="A183" t="str">
            <v>Tornalejo, Remwil R.</v>
          </cell>
          <cell r="B183" t="str">
            <v>000208503</v>
          </cell>
          <cell r="C183" t="str">
            <v>tornalejo@andrews.edu</v>
          </cell>
        </row>
        <row r="184">
          <cell r="A184" t="str">
            <v>Wetterlin, Cory D.</v>
          </cell>
          <cell r="B184" t="str">
            <v>000095321</v>
          </cell>
          <cell r="C184" t="str">
            <v>wetterli@andrews.edu</v>
          </cell>
        </row>
        <row r="185">
          <cell r="A185" t="str">
            <v>Zaitsev, Eugene V.</v>
          </cell>
          <cell r="B185" t="str">
            <v>000065636</v>
          </cell>
          <cell r="C185" t="str">
            <v>eugenez@andrews.edu</v>
          </cell>
        </row>
        <row r="186">
          <cell r="A186" t="str">
            <v>Bauer, Bruce L.</v>
          </cell>
          <cell r="B186" t="str">
            <v>000003023</v>
          </cell>
          <cell r="C186" t="str">
            <v>bbauer@andrews.edu</v>
          </cell>
        </row>
        <row r="187">
          <cell r="A187" t="str">
            <v>Cincala, Petr</v>
          </cell>
          <cell r="B187" t="str">
            <v>000074406</v>
          </cell>
          <cell r="C187" t="str">
            <v>cincala@andrews.edu</v>
          </cell>
        </row>
        <row r="188">
          <cell r="A188" t="str">
            <v>Dementyev, Vadim</v>
          </cell>
          <cell r="B188" t="str">
            <v>000121343</v>
          </cell>
          <cell r="C188" t="str">
            <v>dementyev@andrews.edu</v>
          </cell>
        </row>
        <row r="189">
          <cell r="A189" t="str">
            <v>Doss, Cheryl D.</v>
          </cell>
          <cell r="B189" t="str">
            <v>000011280</v>
          </cell>
          <cell r="C189" t="str">
            <v>dossc@andrews.edu</v>
          </cell>
        </row>
        <row r="190">
          <cell r="A190" t="str">
            <v>Doss, Gorden R.</v>
          </cell>
          <cell r="B190" t="str">
            <v>000016109</v>
          </cell>
          <cell r="C190" t="str">
            <v>dossg@andrews.edu</v>
          </cell>
        </row>
        <row r="191">
          <cell r="A191" t="str">
            <v>Drumi, Iurii N.</v>
          </cell>
          <cell r="B191" t="str">
            <v>000092262</v>
          </cell>
          <cell r="C191" t="str">
            <v>drumi@andrews.edu</v>
          </cell>
        </row>
        <row r="192">
          <cell r="A192" t="str">
            <v>Duffis Gordon, Daniel M.</v>
          </cell>
          <cell r="B192" t="str">
            <v>000159832</v>
          </cell>
          <cell r="C192" t="str">
            <v>duffisgordo@andrews.edu</v>
          </cell>
        </row>
        <row r="193">
          <cell r="A193" t="str">
            <v>Dybdahl, Jon L.</v>
          </cell>
          <cell r="B193" t="str">
            <v>000006149</v>
          </cell>
          <cell r="C193" t="str">
            <v>dybdahl@andrews.edu</v>
          </cell>
        </row>
        <row r="194">
          <cell r="A194" t="str">
            <v>Dybdahl, Paul B.</v>
          </cell>
          <cell r="B194" t="str">
            <v>000069738</v>
          </cell>
          <cell r="C194" t="str">
            <v>dybdahlp@andrews.edu</v>
          </cell>
        </row>
        <row r="195">
          <cell r="A195" t="str">
            <v>Goya Rozas, Ignacio</v>
          </cell>
          <cell r="B195" t="str">
            <v>000151900</v>
          </cell>
          <cell r="C195" t="str">
            <v>goya@andrews.edu</v>
          </cell>
        </row>
        <row r="196">
          <cell r="A196" t="str">
            <v>Guerrero Romero, Abraham I.</v>
          </cell>
          <cell r="B196" t="str">
            <v>000134376</v>
          </cell>
          <cell r="C196" t="str">
            <v>abrahamg@andrews.edu</v>
          </cell>
        </row>
        <row r="197">
          <cell r="A197" t="str">
            <v>Guirguis, Youssry L.</v>
          </cell>
          <cell r="B197" t="str">
            <v>000229579</v>
          </cell>
          <cell r="C197" t="str">
            <v>youssry@andrews.edu</v>
          </cell>
        </row>
        <row r="198">
          <cell r="A198" t="str">
            <v>Hunter, Claval I.</v>
          </cell>
          <cell r="B198" t="str">
            <v>000124366</v>
          </cell>
          <cell r="C198" t="str">
            <v>claval@andrews.edu</v>
          </cell>
        </row>
        <row r="199">
          <cell r="A199" t="str">
            <v>Ialyshev, Kemil K.</v>
          </cell>
          <cell r="B199" t="str">
            <v>000123480</v>
          </cell>
          <cell r="C199" t="str">
            <v>yalyshev@andrews.edu</v>
          </cell>
        </row>
        <row r="200">
          <cell r="A200" t="str">
            <v>Insom, Surachet</v>
          </cell>
          <cell r="B200" t="str">
            <v>000089320</v>
          </cell>
          <cell r="C200" t="str">
            <v>surachet@andrews.edu</v>
          </cell>
        </row>
        <row r="201">
          <cell r="A201" t="str">
            <v>Krause, Gary D.</v>
          </cell>
          <cell r="B201" t="str">
            <v>000231151</v>
          </cell>
          <cell r="C201" t="str">
            <v>gkrause@andrews.edu</v>
          </cell>
        </row>
        <row r="202">
          <cell r="A202" t="str">
            <v>Kuhn, Wagner</v>
          </cell>
          <cell r="B202" t="str">
            <v>000067555</v>
          </cell>
          <cell r="C202" t="str">
            <v>kuhn@andrews.edu</v>
          </cell>
        </row>
        <row r="203">
          <cell r="A203" t="str">
            <v>Maier, Rudolf</v>
          </cell>
          <cell r="B203" t="str">
            <v>000019537</v>
          </cell>
          <cell r="C203" t="str">
            <v>rmaier@andrews.edu</v>
          </cell>
        </row>
        <row r="204">
          <cell r="A204" t="str">
            <v>McEdward, Richard E.</v>
          </cell>
          <cell r="B204" t="str">
            <v>000062229</v>
          </cell>
          <cell r="C204" t="str">
            <v>mcedward@andrews.edu</v>
          </cell>
        </row>
        <row r="205">
          <cell r="A205" t="str">
            <v>Mercado, Carmelo</v>
          </cell>
          <cell r="B205" t="str">
            <v>000016682</v>
          </cell>
          <cell r="C205" t="str">
            <v>cmercado@andrews.edu</v>
          </cell>
        </row>
        <row r="206">
          <cell r="A206" t="str">
            <v>Merklin, Lester P.</v>
          </cell>
          <cell r="B206" t="str">
            <v>000019722</v>
          </cell>
          <cell r="C206" t="str">
            <v>lmerklin@andrews.edu</v>
          </cell>
        </row>
        <row r="207">
          <cell r="A207" t="str">
            <v>Namoradze, Sergo</v>
          </cell>
          <cell r="B207" t="str">
            <v>000112386</v>
          </cell>
          <cell r="C207" t="str">
            <v>sergo@andrews.edu</v>
          </cell>
        </row>
        <row r="208">
          <cell r="A208" t="str">
            <v>Onongha, Kelvin O.</v>
          </cell>
          <cell r="B208" t="str">
            <v>000056502</v>
          </cell>
          <cell r="C208" t="str">
            <v>onongha@andrews.edu</v>
          </cell>
        </row>
        <row r="209">
          <cell r="A209" t="str">
            <v>Osindo, Oscar</v>
          </cell>
          <cell r="B209" t="str">
            <v>000160575</v>
          </cell>
          <cell r="C209" t="str">
            <v>osindo@andrews.edu</v>
          </cell>
        </row>
        <row r="210">
          <cell r="A210" t="str">
            <v>Phillips, Gabriela F.</v>
          </cell>
          <cell r="B210" t="str">
            <v>000144385</v>
          </cell>
          <cell r="C210" t="str">
            <v>profetadep@andrews.edu</v>
          </cell>
        </row>
        <row r="211">
          <cell r="A211" t="str">
            <v>Tompkins, Andrew J.</v>
          </cell>
          <cell r="B211" t="str">
            <v>000122109</v>
          </cell>
          <cell r="C211" t="str">
            <v>tompkina@andrews.edu</v>
          </cell>
        </row>
        <row r="212">
          <cell r="A212" t="str">
            <v>William, Michelet</v>
          </cell>
          <cell r="B212" t="str">
            <v>000089121</v>
          </cell>
          <cell r="C212" t="str">
            <v>micheletw@andrews.edu</v>
          </cell>
        </row>
        <row r="213">
          <cell r="A213" t="str">
            <v>Zhanikaev, Makhti K.</v>
          </cell>
          <cell r="B213" t="str">
            <v>000160361</v>
          </cell>
          <cell r="C213" t="str">
            <v>makhti@andrews.edu</v>
          </cell>
        </row>
        <row r="214">
          <cell r="A214" t="str">
            <v>Zubkov, Pavel A.</v>
          </cell>
          <cell r="B214" t="str">
            <v>000126778</v>
          </cell>
          <cell r="C214" t="str">
            <v>zubkov@andrews.edu</v>
          </cell>
        </row>
        <row r="215">
          <cell r="A215" t="str">
            <v>Blue, Katrina B.</v>
          </cell>
          <cell r="B215" t="str">
            <v>000133676</v>
          </cell>
          <cell r="C215" t="str">
            <v>large@andrews.edu</v>
          </cell>
        </row>
        <row r="216">
          <cell r="A216" t="str">
            <v>Blue, Katrina B.</v>
          </cell>
          <cell r="B216" t="str">
            <v>000133676</v>
          </cell>
          <cell r="C216" t="str">
            <v>large@andrews.edu</v>
          </cell>
        </row>
        <row r="217">
          <cell r="A217" t="str">
            <v>Burt, Merlin D.</v>
          </cell>
          <cell r="B217" t="str">
            <v>000049061</v>
          </cell>
          <cell r="C217" t="str">
            <v>burt@andrews.edu</v>
          </cell>
        </row>
        <row r="218">
          <cell r="A218" t="str">
            <v>Camarena, Carlos C.</v>
          </cell>
          <cell r="B218" t="str">
            <v>000036675</v>
          </cell>
          <cell r="C218" t="str">
            <v>ccarlos@andrews.edu</v>
          </cell>
        </row>
        <row r="219">
          <cell r="A219" t="str">
            <v>Camarena, Carlos C.</v>
          </cell>
          <cell r="B219" t="str">
            <v>000036675</v>
          </cell>
          <cell r="C219" t="str">
            <v>ccarlos@andrews.edu</v>
          </cell>
        </row>
        <row r="220">
          <cell r="A220" t="str">
            <v>Case, Steve W.</v>
          </cell>
          <cell r="B220" t="str">
            <v>000040389</v>
          </cell>
          <cell r="C220" t="str">
            <v>steve@andrews.edu</v>
          </cell>
        </row>
        <row r="221">
          <cell r="A221" t="str">
            <v>Case, Steve W.</v>
          </cell>
          <cell r="B221" t="str">
            <v>000040389</v>
          </cell>
          <cell r="C221" t="str">
            <v>steve@andrews.edu</v>
          </cell>
        </row>
        <row r="222">
          <cell r="A222" t="str">
            <v>Davidson, JoAnn</v>
          </cell>
          <cell r="B222" t="str">
            <v>000012454</v>
          </cell>
          <cell r="C222" t="str">
            <v>jad@andrews.edu</v>
          </cell>
        </row>
        <row r="223">
          <cell r="A223" t="str">
            <v>Davidson, Richard M.</v>
          </cell>
          <cell r="B223" t="str">
            <v>000012107</v>
          </cell>
          <cell r="C223" t="str">
            <v>davidson@andrews.edu</v>
          </cell>
        </row>
        <row r="224">
          <cell r="A224" t="str">
            <v>Fortin, Denis</v>
          </cell>
          <cell r="B224" t="str">
            <v>000043638</v>
          </cell>
          <cell r="C224" t="str">
            <v>fortind@andrews.edu</v>
          </cell>
        </row>
        <row r="225">
          <cell r="A225" t="str">
            <v>Galenieks, Eriks</v>
          </cell>
          <cell r="B225" t="str">
            <v>000077101</v>
          </cell>
          <cell r="C225" t="str">
            <v>egalen@andrews.edu</v>
          </cell>
        </row>
        <row r="226">
          <cell r="A226" t="str">
            <v>Gane, Roy E.</v>
          </cell>
          <cell r="B226" t="str">
            <v>000008963</v>
          </cell>
          <cell r="C226" t="str">
            <v>gane@andrews.edu</v>
          </cell>
        </row>
        <row r="227">
          <cell r="A227" t="str">
            <v>Gaton, Roy G.</v>
          </cell>
          <cell r="B227" t="str">
            <v>000048477</v>
          </cell>
          <cell r="C227" t="str">
            <v>royg@andrews.edu</v>
          </cell>
        </row>
        <row r="228">
          <cell r="A228" t="str">
            <v>Goncalves, Kleber D.</v>
          </cell>
          <cell r="B228" t="str">
            <v>000078571</v>
          </cell>
          <cell r="C228" t="str">
            <v>kleber@andrews.edu</v>
          </cell>
        </row>
        <row r="229">
          <cell r="A229" t="str">
            <v>Green, Esther</v>
          </cell>
          <cell r="B229" t="str">
            <v>000212555</v>
          </cell>
          <cell r="C229" t="str">
            <v>egreen@andrews.edu</v>
          </cell>
        </row>
        <row r="230">
          <cell r="A230" t="str">
            <v>Hall, Kenley D.</v>
          </cell>
          <cell r="B230" t="str">
            <v>000069431</v>
          </cell>
          <cell r="C230" t="str">
            <v>kenley@andrews.edu</v>
          </cell>
        </row>
        <row r="231">
          <cell r="A231" t="str">
            <v>Hernandez, Abner F.</v>
          </cell>
          <cell r="B231" t="str">
            <v>000149024</v>
          </cell>
          <cell r="C231" t="str">
            <v>abnerh@andrews.edu</v>
          </cell>
        </row>
        <row r="232">
          <cell r="A232" t="str">
            <v>Hucks, Willie E.</v>
          </cell>
          <cell r="B232" t="str">
            <v>000048969</v>
          </cell>
          <cell r="C232" t="str">
            <v>hucks@andrews.edu</v>
          </cell>
        </row>
        <row r="233">
          <cell r="A233" t="str">
            <v>Irizarry De La Cruz, Iriann M.</v>
          </cell>
          <cell r="B233" t="str">
            <v>000140394</v>
          </cell>
          <cell r="C233" t="str">
            <v>irizarry@andrews.edu</v>
          </cell>
        </row>
        <row r="234">
          <cell r="A234" t="str">
            <v>Jeroncic, Ante</v>
          </cell>
          <cell r="B234" t="str">
            <v>000066942</v>
          </cell>
          <cell r="C234" t="str">
            <v>jeroncic@andrews.edu</v>
          </cell>
        </row>
        <row r="235">
          <cell r="A235" t="str">
            <v>Kidder, S Joseph</v>
          </cell>
          <cell r="B235" t="str">
            <v>000039170</v>
          </cell>
          <cell r="C235" t="str">
            <v>kiddersj@andrews.edu</v>
          </cell>
        </row>
        <row r="236">
          <cell r="A236" t="str">
            <v>Korchuk, Viacheslav I.</v>
          </cell>
          <cell r="B236" t="str">
            <v>000097153</v>
          </cell>
          <cell r="C236" t="str">
            <v>korchuk@andrews.edu</v>
          </cell>
        </row>
        <row r="237">
          <cell r="A237" t="str">
            <v>Kwon, Sung K.</v>
          </cell>
          <cell r="B237" t="str">
            <v>000073236</v>
          </cell>
          <cell r="C237" t="str">
            <v>kwons@andrews.edu</v>
          </cell>
        </row>
        <row r="238">
          <cell r="A238" t="str">
            <v>Machado, Carlos A.</v>
          </cell>
          <cell r="B238" t="str">
            <v>000117818</v>
          </cell>
          <cell r="C238" t="str">
            <v>machado@andrews.edu</v>
          </cell>
        </row>
        <row r="239">
          <cell r="A239" t="str">
            <v>Matthews, John V.</v>
          </cell>
          <cell r="B239" t="str">
            <v>000021462</v>
          </cell>
          <cell r="C239" t="str">
            <v>johnmatt@andrews.edu</v>
          </cell>
        </row>
        <row r="240">
          <cell r="A240" t="str">
            <v>Miller, Nicholas P.</v>
          </cell>
          <cell r="B240" t="str">
            <v>000050696</v>
          </cell>
          <cell r="C240" t="str">
            <v>nicholas@andrews.edu</v>
          </cell>
        </row>
        <row r="241">
          <cell r="A241" t="str">
            <v>Moon, Jerry A.</v>
          </cell>
          <cell r="B241" t="str">
            <v>000018492</v>
          </cell>
          <cell r="C241" t="str">
            <v>jmoon@andrews.edu</v>
          </cell>
        </row>
        <row r="242">
          <cell r="A242" t="str">
            <v>Moskala, Jiri</v>
          </cell>
          <cell r="B242" t="str">
            <v>000036790</v>
          </cell>
          <cell r="C242" t="str">
            <v>moskala@andrews.edu</v>
          </cell>
        </row>
        <row r="243">
          <cell r="A243" t="str">
            <v>Muran, Alexej</v>
          </cell>
          <cell r="B243" t="str">
            <v>000118655</v>
          </cell>
          <cell r="C243" t="str">
            <v>muran@andrews.edu</v>
          </cell>
        </row>
        <row r="244">
          <cell r="A244" t="str">
            <v>Nogueira, Lincoln</v>
          </cell>
          <cell r="B244" t="str">
            <v>000086036</v>
          </cell>
          <cell r="C244" t="str">
            <v>nogueirl@andrews.edu</v>
          </cell>
        </row>
        <row r="245">
          <cell r="A245" t="str">
            <v>Norton, Ricardo</v>
          </cell>
          <cell r="B245" t="str">
            <v>000033967</v>
          </cell>
          <cell r="C245" t="str">
            <v>ricardo@andrews.edu</v>
          </cell>
        </row>
        <row r="246">
          <cell r="A246" t="str">
            <v>O'Reggio, Trevor E.</v>
          </cell>
          <cell r="B246" t="str">
            <v>000035762</v>
          </cell>
          <cell r="C246" t="str">
            <v>toreggio@andrews.edu</v>
          </cell>
        </row>
        <row r="247">
          <cell r="A247" t="str">
            <v>Ortiz, Luis F.</v>
          </cell>
          <cell r="B247" t="str">
            <v>000069315</v>
          </cell>
          <cell r="C247" t="str">
            <v>ortizl@andrews.edu</v>
          </cell>
        </row>
        <row r="248">
          <cell r="A248" t="str">
            <v>Pagan, Samuel</v>
          </cell>
          <cell r="B248" t="str">
            <v>000067278</v>
          </cell>
          <cell r="C248" t="str">
            <v>pagan@andrews.edu</v>
          </cell>
        </row>
        <row r="249">
          <cell r="A249" t="str">
            <v>Paquini, Rogelio</v>
          </cell>
          <cell r="B249" t="str">
            <v>000105171</v>
          </cell>
          <cell r="C249" t="str">
            <v>rpaquini@andrews.edu</v>
          </cell>
        </row>
        <row r="250">
          <cell r="A250" t="str">
            <v>Petrishchev, Anton</v>
          </cell>
          <cell r="B250" t="str">
            <v>000116224</v>
          </cell>
          <cell r="C250" t="str">
            <v>petrisch@andrews.edu</v>
          </cell>
        </row>
        <row r="251">
          <cell r="A251" t="str">
            <v>Ponyatovsky, Felix</v>
          </cell>
          <cell r="B251" t="str">
            <v>000116220</v>
          </cell>
          <cell r="C251" t="str">
            <v>ponyatov@andrews.edu</v>
          </cell>
        </row>
        <row r="252">
          <cell r="A252" t="str">
            <v>Quispe, Gluder</v>
          </cell>
          <cell r="B252" t="str">
            <v>000122528</v>
          </cell>
          <cell r="C252" t="str">
            <v>gluder@andrews.edu</v>
          </cell>
        </row>
        <row r="253">
          <cell r="A253" t="str">
            <v>Ray, Paul J.</v>
          </cell>
          <cell r="B253" t="str">
            <v>000029934</v>
          </cell>
          <cell r="C253" t="str">
            <v>rayp@andrews.edu</v>
          </cell>
        </row>
        <row r="254">
          <cell r="A254" t="str">
            <v>Reeve, John W.</v>
          </cell>
          <cell r="B254" t="str">
            <v>000049018</v>
          </cell>
          <cell r="C254" t="str">
            <v>jreeve@andrews.edu</v>
          </cell>
        </row>
        <row r="255">
          <cell r="A255" t="str">
            <v>Richards, Natasha A.</v>
          </cell>
          <cell r="B255" t="str">
            <v>000230576</v>
          </cell>
          <cell r="C255" t="str">
            <v>richardsn@andrews.edu</v>
          </cell>
        </row>
        <row r="256">
          <cell r="A256" t="str">
            <v>Sanou, Boubakar</v>
          </cell>
          <cell r="B256" t="str">
            <v>000098144</v>
          </cell>
          <cell r="C256" t="str">
            <v>sanou@andrews.edu</v>
          </cell>
        </row>
        <row r="257">
          <cell r="A257" t="str">
            <v>Shepherd, Thomas R.</v>
          </cell>
          <cell r="B257" t="str">
            <v>000033676</v>
          </cell>
          <cell r="C257" t="str">
            <v>trs@andrews.edu</v>
          </cell>
        </row>
        <row r="258">
          <cell r="A258" t="str">
            <v>Valenzuela, Alfonso</v>
          </cell>
          <cell r="B258" t="str">
            <v>000033969</v>
          </cell>
          <cell r="C258" t="str">
            <v>vale@andrews.edu</v>
          </cell>
        </row>
        <row r="259">
          <cell r="A259" t="str">
            <v>Williams, David A.</v>
          </cell>
          <cell r="B259" t="str">
            <v>000124996</v>
          </cell>
          <cell r="C259" t="str">
            <v>wdavid@andrews.edu</v>
          </cell>
        </row>
        <row r="260">
          <cell r="A260" t="str">
            <v>Yeagley, Stephen T.</v>
          </cell>
          <cell r="B260" t="str">
            <v>000041250</v>
          </cell>
          <cell r="C260" t="str">
            <v>yeagley@andrews.edu</v>
          </cell>
        </row>
        <row r="261">
          <cell r="A261" t="str">
            <v>Younker, Randall W.</v>
          </cell>
          <cell r="B261" t="str">
            <v>000042559</v>
          </cell>
          <cell r="C261" t="str">
            <v>younker@andrews.edu</v>
          </cell>
        </row>
      </sheetData>
      <sheetData sheetId="14">
        <row r="1">
          <cell r="C1" t="str">
            <v>Catalog Title</v>
          </cell>
          <cell r="D1" t="str">
            <v>Section Title</v>
          </cell>
          <cell r="E1" t="str">
            <v>Lookup Key</v>
          </cell>
        </row>
        <row r="2">
          <cell r="C2" t="str">
            <v>Tch Adv Hist &amp; Life/Write EGW</v>
          </cell>
          <cell r="E2" t="str">
            <v>CHIS672</v>
          </cell>
        </row>
        <row r="3">
          <cell r="C3" t="str">
            <v>Development SDA Theology</v>
          </cell>
          <cell r="E3" t="str">
            <v>CHIS674</v>
          </cell>
        </row>
        <row r="4">
          <cell r="C4" t="str">
            <v>Philosphcl Foundtns for Prof</v>
          </cell>
          <cell r="D4" t="str">
            <v>Philosphcl Foundtns for Prof</v>
          </cell>
          <cell r="E4" t="str">
            <v>DSRE606</v>
          </cell>
        </row>
        <row r="5">
          <cell r="C5" t="str">
            <v>Philosphcl Foundtns for Prof</v>
          </cell>
          <cell r="E5" t="str">
            <v>DSRE606</v>
          </cell>
        </row>
        <row r="6">
          <cell r="C6" t="str">
            <v>Top:</v>
          </cell>
          <cell r="D6" t="str">
            <v>Top:Sprtlty&amp;TchngBblK-12Methds</v>
          </cell>
          <cell r="E6" t="str">
            <v>DSRE676</v>
          </cell>
        </row>
        <row r="7">
          <cell r="C7" t="str">
            <v>Topics in</v>
          </cell>
          <cell r="D7" t="str">
            <v>Topics in Advanced Greek</v>
          </cell>
          <cell r="E7" t="str">
            <v>NTST885</v>
          </cell>
        </row>
        <row r="8">
          <cell r="C8" t="str">
            <v>Top:</v>
          </cell>
          <cell r="D8" t="str">
            <v>Top:Spiritlty&amp;Tch Bible K-12 M</v>
          </cell>
          <cell r="E8" t="str">
            <v>DSRE676</v>
          </cell>
        </row>
        <row r="9">
          <cell r="C9" t="str">
            <v>Research Design in Mission</v>
          </cell>
          <cell r="E9" t="str">
            <v>MSSN854</v>
          </cell>
        </row>
        <row r="10">
          <cell r="C10" t="str">
            <v>Workshop</v>
          </cell>
          <cell r="D10" t="str">
            <v>Wkshp:Natural Rem/Hydrotherapy</v>
          </cell>
          <cell r="E10" t="str">
            <v>GSEM648</v>
          </cell>
        </row>
        <row r="11">
          <cell r="C11" t="str">
            <v>Iss in E G White Studies</v>
          </cell>
          <cell r="E11" t="str">
            <v>GSEM534</v>
          </cell>
        </row>
        <row r="12">
          <cell r="C12" t="str">
            <v>Social Policy</v>
          </cell>
          <cell r="E12" t="str">
            <v>DSRE657</v>
          </cell>
        </row>
        <row r="13">
          <cell r="C13" t="str">
            <v>Reaching the Secular Mind</v>
          </cell>
          <cell r="E13" t="str">
            <v>DSRE669</v>
          </cell>
        </row>
        <row r="14">
          <cell r="C14" t="str">
            <v>Social Policy</v>
          </cell>
          <cell r="D14" t="str">
            <v>Social Policy</v>
          </cell>
          <cell r="E14" t="str">
            <v>DSLE657</v>
          </cell>
        </row>
        <row r="15">
          <cell r="C15" t="str">
            <v>Fndtns of Biblicl Spirituality</v>
          </cell>
          <cell r="E15" t="str">
            <v>DSLE541</v>
          </cell>
        </row>
        <row r="16">
          <cell r="C16" t="str">
            <v>Fndtns of Biblicl Spirituality</v>
          </cell>
          <cell r="E16" t="str">
            <v>DSLE541</v>
          </cell>
        </row>
        <row r="17">
          <cell r="C17" t="str">
            <v>Worship:Word &amp; Music</v>
          </cell>
          <cell r="E17" t="str">
            <v>PATH523</v>
          </cell>
        </row>
        <row r="18">
          <cell r="C18" t="str">
            <v>Perspectives in Church Mrkting</v>
          </cell>
          <cell r="E18" t="str">
            <v>CHMN574</v>
          </cell>
        </row>
        <row r="19">
          <cell r="C19" t="str">
            <v>Issu in Origins</v>
          </cell>
          <cell r="E19" t="str">
            <v>GSEM539</v>
          </cell>
        </row>
        <row r="20">
          <cell r="C20" t="str">
            <v>Christian Social Ethics</v>
          </cell>
          <cell r="E20" t="str">
            <v>THST634</v>
          </cell>
        </row>
        <row r="21">
          <cell r="C21" t="str">
            <v>Pastoral Counseling</v>
          </cell>
          <cell r="E21" t="str">
            <v>CHMN555</v>
          </cell>
        </row>
        <row r="22">
          <cell r="C22" t="str">
            <v>Theo of the English NT:</v>
          </cell>
          <cell r="E22" t="str">
            <v>NTST567</v>
          </cell>
        </row>
        <row r="23">
          <cell r="C23" t="str">
            <v>Worship:Word &amp; Music</v>
          </cell>
          <cell r="E23" t="str">
            <v>CHMN523</v>
          </cell>
        </row>
        <row r="24">
          <cell r="C24" t="str">
            <v>Church Grwth&amp; Equipping Pastor</v>
          </cell>
          <cell r="E24" t="str">
            <v>CHMN539</v>
          </cell>
        </row>
        <row r="25">
          <cell r="C25" t="str">
            <v>Church Grwth&amp; Equipping Pastor</v>
          </cell>
          <cell r="E25" t="str">
            <v>CHMN539</v>
          </cell>
        </row>
        <row r="26">
          <cell r="C26" t="str">
            <v>Worship:Word &amp; Music</v>
          </cell>
          <cell r="E26" t="str">
            <v>CHMN523</v>
          </cell>
        </row>
        <row r="27">
          <cell r="C27" t="str">
            <v>Worship:Word &amp; Music</v>
          </cell>
          <cell r="E27" t="str">
            <v>CHMN523</v>
          </cell>
        </row>
        <row r="28">
          <cell r="C28" t="str">
            <v>Biblical Hebrew I</v>
          </cell>
          <cell r="E28" t="str">
            <v>OTST551</v>
          </cell>
        </row>
        <row r="29">
          <cell r="C29" t="str">
            <v>Biblical Hebrew II</v>
          </cell>
          <cell r="E29" t="str">
            <v>OTST552</v>
          </cell>
        </row>
        <row r="30">
          <cell r="C30" t="str">
            <v>Colloquium:</v>
          </cell>
          <cell r="D30" t="str">
            <v>Coll:Pathfinder Leadership</v>
          </cell>
          <cell r="E30" t="str">
            <v>GSEM505</v>
          </cell>
        </row>
        <row r="31">
          <cell r="C31" t="str">
            <v>Meth OT Exegesis (Hebw)</v>
          </cell>
          <cell r="E31" t="str">
            <v>OTST628</v>
          </cell>
        </row>
        <row r="32">
          <cell r="C32" t="str">
            <v>Sem in Old Testament Theology</v>
          </cell>
          <cell r="E32" t="str">
            <v>OTST620</v>
          </cell>
        </row>
        <row r="33">
          <cell r="C33" t="str">
            <v>Marriage, Fam&amp;Interprsnl Reltn</v>
          </cell>
          <cell r="E33" t="str">
            <v>DSLE503</v>
          </cell>
        </row>
        <row r="34">
          <cell r="C34" t="str">
            <v>Theo of the English NT:</v>
          </cell>
          <cell r="D34" t="str">
            <v>Theo of the English NT</v>
          </cell>
          <cell r="E34" t="str">
            <v>NTST567</v>
          </cell>
        </row>
        <row r="35">
          <cell r="C35" t="str">
            <v>Church Grwth&amp; Equipping Leader</v>
          </cell>
          <cell r="E35" t="str">
            <v>PATH539</v>
          </cell>
        </row>
        <row r="36">
          <cell r="C36" t="str">
            <v>Worship:Word &amp; Music</v>
          </cell>
          <cell r="E36" t="str">
            <v>PATH523</v>
          </cell>
        </row>
        <row r="37">
          <cell r="C37" t="str">
            <v>Family as Center for Dscplshp</v>
          </cell>
          <cell r="E37" t="str">
            <v>DSRE749</v>
          </cell>
        </row>
        <row r="38">
          <cell r="C38" t="str">
            <v>Survey of Church History</v>
          </cell>
          <cell r="E38" t="str">
            <v>CHIS505</v>
          </cell>
        </row>
        <row r="39">
          <cell r="C39" t="str">
            <v>Studies in Daniel (Engl)</v>
          </cell>
          <cell r="E39" t="str">
            <v>OTST546</v>
          </cell>
        </row>
        <row r="40">
          <cell r="C40" t="str">
            <v>Res, Method &amp; Theory in Arch</v>
          </cell>
          <cell r="E40" t="str">
            <v>ANEA640</v>
          </cell>
        </row>
        <row r="41">
          <cell r="C41" t="str">
            <v>Near Eastern Archaeology</v>
          </cell>
          <cell r="E41" t="str">
            <v>ANEA810</v>
          </cell>
        </row>
        <row r="42">
          <cell r="C42" t="str">
            <v>Sem Arch &amp; Hist of Antiquity</v>
          </cell>
          <cell r="E42" t="str">
            <v>ANEA615</v>
          </cell>
        </row>
        <row r="43">
          <cell r="C43" t="str">
            <v>Sem Adv Arch&amp;Hist of Antiquity</v>
          </cell>
          <cell r="E43" t="str">
            <v>ANEA940</v>
          </cell>
        </row>
        <row r="44">
          <cell r="C44" t="str">
            <v>Adv Resrch, Methd&amp;Thry in Arch</v>
          </cell>
          <cell r="E44" t="str">
            <v>ANEA840</v>
          </cell>
        </row>
        <row r="45">
          <cell r="C45" t="str">
            <v>Bib. Lands &amp; Exploration</v>
          </cell>
          <cell r="E45" t="str">
            <v>ANEA624</v>
          </cell>
        </row>
        <row r="46">
          <cell r="C46" t="str">
            <v>Historical Geog Anc Near East</v>
          </cell>
          <cell r="E46" t="str">
            <v>ANEA805</v>
          </cell>
        </row>
        <row r="47">
          <cell r="C47" t="str">
            <v>Colloquium:</v>
          </cell>
          <cell r="D47" t="str">
            <v>Colloquium: Poverty Simulation</v>
          </cell>
          <cell r="E47" t="str">
            <v>GSEM505</v>
          </cell>
        </row>
        <row r="48">
          <cell r="C48" t="str">
            <v>Christian Persp on Prof Ethics</v>
          </cell>
          <cell r="E48" t="str">
            <v>DSRE635</v>
          </cell>
        </row>
        <row r="49">
          <cell r="C49" t="str">
            <v>Social Policy</v>
          </cell>
          <cell r="D49" t="str">
            <v>Social Policy</v>
          </cell>
          <cell r="E49" t="str">
            <v>DSRE657</v>
          </cell>
        </row>
        <row r="50">
          <cell r="C50" t="str">
            <v>Social Policy</v>
          </cell>
          <cell r="D50" t="str">
            <v>Social Policy</v>
          </cell>
          <cell r="E50" t="str">
            <v>DSRE657</v>
          </cell>
        </row>
        <row r="51">
          <cell r="C51" t="str">
            <v>Death &amp; Grief Contemp Society</v>
          </cell>
          <cell r="E51" t="str">
            <v>CHMN516</v>
          </cell>
        </row>
        <row r="52">
          <cell r="C52" t="str">
            <v>Death &amp; Grief Contemp Society</v>
          </cell>
          <cell r="D52" t="str">
            <v>Death &amp; Grief</v>
          </cell>
          <cell r="E52" t="str">
            <v>CHMN516</v>
          </cell>
        </row>
        <row r="53">
          <cell r="C53" t="str">
            <v>Christian Persp on Prof Ethics</v>
          </cell>
          <cell r="D53" t="str">
            <v>Christian Persp on Prof Ethics</v>
          </cell>
          <cell r="E53" t="str">
            <v>DSRE635</v>
          </cell>
        </row>
        <row r="54">
          <cell r="C54" t="str">
            <v>Death &amp; Grief Contemp Society</v>
          </cell>
          <cell r="D54" t="str">
            <v>Death &amp; Grief Contemp Society</v>
          </cell>
          <cell r="E54" t="str">
            <v>CHMN516</v>
          </cell>
        </row>
        <row r="55">
          <cell r="C55" t="str">
            <v>Death &amp; Grief Contemp Society</v>
          </cell>
          <cell r="D55" t="str">
            <v>Death &amp; Grief Contemp Society</v>
          </cell>
          <cell r="E55" t="str">
            <v>PATH516</v>
          </cell>
        </row>
        <row r="56">
          <cell r="C56" t="str">
            <v>Christian Persp on Prof Ethics</v>
          </cell>
          <cell r="D56" t="str">
            <v>Christian Persp on Prof Ethics</v>
          </cell>
          <cell r="E56" t="str">
            <v>DSLE635</v>
          </cell>
        </row>
        <row r="57">
          <cell r="C57" t="str">
            <v>Social Policy</v>
          </cell>
          <cell r="E57" t="str">
            <v>DSLE657</v>
          </cell>
        </row>
        <row r="58">
          <cell r="C58" t="str">
            <v>Church History to 1500</v>
          </cell>
          <cell r="E58" t="str">
            <v>CHIS506</v>
          </cell>
        </row>
        <row r="59">
          <cell r="C59" t="str">
            <v>Theo&amp;Hist Perspectve Discplshp</v>
          </cell>
          <cell r="E59" t="str">
            <v>DSRE705</v>
          </cell>
        </row>
        <row r="60">
          <cell r="C60" t="str">
            <v>DMin Prof Dissertation Sem</v>
          </cell>
          <cell r="E60" t="str">
            <v>GSEM790</v>
          </cell>
        </row>
        <row r="61">
          <cell r="C61" t="str">
            <v>Spiritual&amp;Theo Found Ministry</v>
          </cell>
          <cell r="E61" t="str">
            <v>GSEM706</v>
          </cell>
        </row>
        <row r="62">
          <cell r="C62" t="str">
            <v>DMin Prof Dissertation</v>
          </cell>
          <cell r="E62" t="str">
            <v>GSEM796</v>
          </cell>
        </row>
        <row r="63">
          <cell r="C63" t="str">
            <v>DMin Prof Dissertation Cont</v>
          </cell>
          <cell r="E63" t="str">
            <v>GSEM788</v>
          </cell>
        </row>
        <row r="64">
          <cell r="C64" t="str">
            <v>DMin Prof Dissertation</v>
          </cell>
          <cell r="E64" t="str">
            <v>GSEM796</v>
          </cell>
        </row>
        <row r="65">
          <cell r="C65" t="str">
            <v>Effective Strategic Growth</v>
          </cell>
          <cell r="E65" t="str">
            <v>CHMN763</v>
          </cell>
        </row>
        <row r="66">
          <cell r="C66" t="str">
            <v>Top:</v>
          </cell>
          <cell r="D66" t="str">
            <v>Top:Dscplshp  Wrldvw Trnsfrmtn</v>
          </cell>
          <cell r="E66" t="str">
            <v>MSSN795</v>
          </cell>
        </row>
        <row r="67">
          <cell r="C67" t="str">
            <v>DMin Research Methods Sem</v>
          </cell>
          <cell r="E67" t="str">
            <v>GSEM793</v>
          </cell>
        </row>
        <row r="68">
          <cell r="C68" t="str">
            <v>Leading Growth</v>
          </cell>
          <cell r="E68" t="str">
            <v>CHMN779</v>
          </cell>
        </row>
        <row r="69">
          <cell r="C69" t="str">
            <v>Leading Growth</v>
          </cell>
          <cell r="E69" t="str">
            <v>PATH779</v>
          </cell>
        </row>
        <row r="70">
          <cell r="C70" t="str">
            <v>Church Grwth&amp; Equipping Pastor</v>
          </cell>
          <cell r="E70" t="str">
            <v>CHMN539</v>
          </cell>
        </row>
        <row r="71">
          <cell r="C71" t="str">
            <v>Top:</v>
          </cell>
          <cell r="D71" t="str">
            <v>Top:Sanctuary Doctrine</v>
          </cell>
          <cell r="E71" t="str">
            <v>THST695</v>
          </cell>
        </row>
        <row r="72">
          <cell r="C72" t="str">
            <v>Ministry to Youth&amp;Yng Adlt</v>
          </cell>
          <cell r="E72" t="str">
            <v>DSRE534</v>
          </cell>
        </row>
        <row r="73">
          <cell r="C73" t="str">
            <v>Marriage, Fam&amp;Interprsnl Reltn</v>
          </cell>
          <cell r="E73" t="str">
            <v>DSRE503</v>
          </cell>
        </row>
        <row r="74">
          <cell r="C74" t="str">
            <v>Marriage, Fam&amp;Interprsnl Reltn</v>
          </cell>
          <cell r="E74" t="str">
            <v>DSRE503</v>
          </cell>
        </row>
        <row r="75">
          <cell r="C75" t="str">
            <v>Ministry to Youth&amp;Yng Adlt</v>
          </cell>
          <cell r="E75" t="str">
            <v>DSRE534</v>
          </cell>
        </row>
        <row r="76">
          <cell r="C76" t="str">
            <v>Church Grwth&amp; Equipping Pastor</v>
          </cell>
          <cell r="E76" t="str">
            <v>CHMN539</v>
          </cell>
        </row>
        <row r="77">
          <cell r="C77" t="str">
            <v>Top:</v>
          </cell>
          <cell r="D77" t="str">
            <v>Top:Sanctuary Doctrine</v>
          </cell>
          <cell r="E77" t="str">
            <v>THST695</v>
          </cell>
        </row>
        <row r="78">
          <cell r="C78" t="str">
            <v>Christian Witness&amp;Wrld Relgns</v>
          </cell>
          <cell r="E78" t="str">
            <v>MSSN561</v>
          </cell>
        </row>
        <row r="79">
          <cell r="C79" t="str">
            <v>Christn Lead in a Chnging Wrld</v>
          </cell>
          <cell r="E79" t="str">
            <v>CHMN543</v>
          </cell>
        </row>
        <row r="80">
          <cell r="C80" t="str">
            <v>Survey of Church History</v>
          </cell>
          <cell r="E80" t="str">
            <v>CHIS505</v>
          </cell>
        </row>
        <row r="81">
          <cell r="C81" t="str">
            <v>Rdngs in Acts&amp;General Epistles</v>
          </cell>
          <cell r="E81" t="str">
            <v>NTST537</v>
          </cell>
        </row>
        <row r="82">
          <cell r="C82" t="str">
            <v>Seminar in Preaching</v>
          </cell>
          <cell r="E82" t="str">
            <v>CHMN637</v>
          </cell>
        </row>
        <row r="83">
          <cell r="C83" t="str">
            <v>Intro to Old Testmnt Theology</v>
          </cell>
          <cell r="E83" t="str">
            <v>OTST520</v>
          </cell>
        </row>
        <row r="84">
          <cell r="C84" t="str">
            <v>Fndtns of Biblicl Spirituality</v>
          </cell>
          <cell r="E84" t="str">
            <v>DSRE541</v>
          </cell>
        </row>
        <row r="85">
          <cell r="C85" t="str">
            <v>Theo of the English NT:</v>
          </cell>
          <cell r="E85" t="str">
            <v>NTST567</v>
          </cell>
        </row>
        <row r="86">
          <cell r="C86" t="str">
            <v>Worship:Word &amp; Music</v>
          </cell>
          <cell r="E86" t="str">
            <v>CHMN523</v>
          </cell>
        </row>
        <row r="87">
          <cell r="C87" t="str">
            <v>Development SDA Theology</v>
          </cell>
          <cell r="E87" t="str">
            <v>CHIS674</v>
          </cell>
        </row>
        <row r="88">
          <cell r="C88" t="str">
            <v>Christn Lead in a Chnging Wrld</v>
          </cell>
          <cell r="E88" t="str">
            <v>PATH543</v>
          </cell>
        </row>
        <row r="89">
          <cell r="C89" t="str">
            <v>Mission in Cultrl&amp;Rlgs Contxt</v>
          </cell>
          <cell r="E89" t="str">
            <v>MSSN546</v>
          </cell>
        </row>
        <row r="90">
          <cell r="C90" t="str">
            <v>Studies in Pauline Writings</v>
          </cell>
          <cell r="E90" t="str">
            <v>NTST535</v>
          </cell>
        </row>
        <row r="91">
          <cell r="C91" t="str">
            <v>Seminar in Preaching</v>
          </cell>
          <cell r="E91" t="str">
            <v>PATH637</v>
          </cell>
        </row>
        <row r="92">
          <cell r="C92" t="str">
            <v>Doctrine of Salvation</v>
          </cell>
          <cell r="E92" t="str">
            <v>THST640</v>
          </cell>
        </row>
        <row r="93">
          <cell r="C93" t="str">
            <v>Studies in Daniel (Engl)</v>
          </cell>
          <cell r="E93" t="str">
            <v>OTST546</v>
          </cell>
        </row>
        <row r="94">
          <cell r="C94" t="str">
            <v>Marriage, Fam&amp;Interprsnl Reltn</v>
          </cell>
          <cell r="E94" t="str">
            <v>DSLE503</v>
          </cell>
        </row>
        <row r="95">
          <cell r="C95" t="str">
            <v>Church Grwth&amp; Equipping Leader</v>
          </cell>
          <cell r="E95" t="str">
            <v>PATH539</v>
          </cell>
        </row>
        <row r="96">
          <cell r="C96" t="str">
            <v>Doctrine of the Sanctuary</v>
          </cell>
          <cell r="E96" t="str">
            <v>GSEM530</v>
          </cell>
        </row>
        <row r="97">
          <cell r="C97" t="str">
            <v>Ministry to Youth&amp;Yng Adlt</v>
          </cell>
          <cell r="E97" t="str">
            <v>DSLE534</v>
          </cell>
        </row>
        <row r="98">
          <cell r="C98" t="str">
            <v>DMin Research Methods Sem</v>
          </cell>
          <cell r="E98" t="str">
            <v>GSEM793</v>
          </cell>
        </row>
        <row r="99">
          <cell r="C99" t="str">
            <v>Top in Urban Min:</v>
          </cell>
          <cell r="D99" t="str">
            <v>Top in Urban Min</v>
          </cell>
          <cell r="E99" t="str">
            <v>PATH715</v>
          </cell>
        </row>
        <row r="100">
          <cell r="C100" t="str">
            <v>Studies in Hebrews</v>
          </cell>
          <cell r="E100" t="str">
            <v>NTST538</v>
          </cell>
        </row>
        <row r="101">
          <cell r="C101" t="str">
            <v>Church Intergeneratnl Contexts</v>
          </cell>
          <cell r="E101" t="str">
            <v>CHMN707</v>
          </cell>
        </row>
        <row r="102">
          <cell r="C102" t="str">
            <v>Relationl Dynamics&amp;IGEN Church</v>
          </cell>
          <cell r="E102" t="str">
            <v>CHMN751</v>
          </cell>
        </row>
        <row r="103">
          <cell r="C103" t="str">
            <v>Theo&amp;Hist Perspectve Discplshp</v>
          </cell>
          <cell r="E103" t="str">
            <v>DSLE705</v>
          </cell>
        </row>
        <row r="104">
          <cell r="C104" t="str">
            <v>Church Intergeneratnl Contexts</v>
          </cell>
          <cell r="E104" t="str">
            <v>PATH707</v>
          </cell>
        </row>
        <row r="105">
          <cell r="C105" t="str">
            <v>Relationl Dynamics&amp;IGEN Church</v>
          </cell>
          <cell r="E105" t="str">
            <v>PATH751</v>
          </cell>
        </row>
        <row r="106">
          <cell r="C106" t="str">
            <v>Mssn-Shaped Church Planting</v>
          </cell>
          <cell r="E106" t="str">
            <v>CHMN606</v>
          </cell>
        </row>
        <row r="107">
          <cell r="C107" t="str">
            <v>Ministry to Youth&amp;Yng Adlt</v>
          </cell>
          <cell r="E107" t="str">
            <v>DSRE534</v>
          </cell>
        </row>
        <row r="108">
          <cell r="C108" t="str">
            <v>Mission in Cultrl&amp;Rlgs Contxt</v>
          </cell>
          <cell r="E108" t="str">
            <v>MSSN546</v>
          </cell>
        </row>
        <row r="109">
          <cell r="C109" t="str">
            <v>Seminar in Preaching</v>
          </cell>
          <cell r="E109" t="str">
            <v>CHMN637</v>
          </cell>
        </row>
        <row r="110">
          <cell r="C110" t="str">
            <v>Seminar in Preaching</v>
          </cell>
          <cell r="E110" t="str">
            <v>CHMN637</v>
          </cell>
        </row>
        <row r="111">
          <cell r="C111" t="str">
            <v>Development SDA Theology</v>
          </cell>
          <cell r="E111" t="str">
            <v>CHIS674</v>
          </cell>
        </row>
        <row r="112">
          <cell r="C112" t="str">
            <v>Stud in the Pentateuch (Engl)</v>
          </cell>
          <cell r="E112" t="str">
            <v>OTST566</v>
          </cell>
        </row>
        <row r="113">
          <cell r="C113" t="str">
            <v>Christn Lead in a Chnging Wrld</v>
          </cell>
          <cell r="E113" t="str">
            <v>CHMN543</v>
          </cell>
        </row>
        <row r="114">
          <cell r="C114" t="str">
            <v>Stud in the Pentateuch (Engl)</v>
          </cell>
          <cell r="E114" t="str">
            <v>OTST566</v>
          </cell>
        </row>
        <row r="115">
          <cell r="C115" t="str">
            <v>Development SDA Theology</v>
          </cell>
          <cell r="E115" t="str">
            <v>CHIS674</v>
          </cell>
        </row>
        <row r="116">
          <cell r="C116" t="str">
            <v>Adv Ldshp Competencies</v>
          </cell>
          <cell r="E116" t="str">
            <v>CHMN760</v>
          </cell>
        </row>
        <row r="117">
          <cell r="C117" t="str">
            <v>Mission in Cultrl&amp;Rlgs Contxt</v>
          </cell>
          <cell r="E117" t="str">
            <v>MSSN546</v>
          </cell>
        </row>
        <row r="118">
          <cell r="C118" t="str">
            <v>Transfrm Lead&amp;Org Sys Thinking</v>
          </cell>
          <cell r="E118" t="str">
            <v>CHMN713</v>
          </cell>
        </row>
        <row r="119">
          <cell r="C119" t="str">
            <v>Theo of the English NT:</v>
          </cell>
          <cell r="E119" t="str">
            <v>NTST567</v>
          </cell>
        </row>
        <row r="120">
          <cell r="C120" t="str">
            <v>Hisp/Amer Culture &amp; Challenges</v>
          </cell>
          <cell r="E120" t="str">
            <v>CHMN525</v>
          </cell>
        </row>
        <row r="121">
          <cell r="C121" t="str">
            <v>Readings in Prophets (Engl)</v>
          </cell>
          <cell r="E121" t="str">
            <v>OTST556</v>
          </cell>
        </row>
        <row r="122">
          <cell r="C122" t="str">
            <v>Survey of Church History</v>
          </cell>
          <cell r="E122" t="str">
            <v>CHIS505</v>
          </cell>
        </row>
        <row r="123">
          <cell r="C123" t="str">
            <v>Sem Hst Select Christn Doct</v>
          </cell>
          <cell r="E123" t="str">
            <v>CHIS659</v>
          </cell>
        </row>
        <row r="124">
          <cell r="C124" t="str">
            <v>Church Grwth&amp; Equipping Pastor</v>
          </cell>
          <cell r="E124" t="str">
            <v>CHMN539</v>
          </cell>
        </row>
        <row r="125">
          <cell r="C125" t="str">
            <v>Leading&amp;Managing Church Org</v>
          </cell>
          <cell r="E125" t="str">
            <v>CHMN780</v>
          </cell>
        </row>
        <row r="126">
          <cell r="C126" t="str">
            <v>Studies in Pauline Writings</v>
          </cell>
          <cell r="E126" t="str">
            <v>NTST535</v>
          </cell>
        </row>
        <row r="127">
          <cell r="C127" t="str">
            <v>Innovative Evangelism</v>
          </cell>
          <cell r="E127" t="str">
            <v>CHMN623</v>
          </cell>
        </row>
        <row r="128">
          <cell r="C128" t="str">
            <v>Intro to Old Testmnt Theology</v>
          </cell>
          <cell r="E128" t="str">
            <v>OTST520</v>
          </cell>
        </row>
        <row r="129">
          <cell r="C129" t="str">
            <v>Doctrine of Salvation</v>
          </cell>
          <cell r="E129" t="str">
            <v>THST640</v>
          </cell>
        </row>
        <row r="130">
          <cell r="C130" t="str">
            <v>Marriage, Fam&amp;Interprsnl Reltn</v>
          </cell>
          <cell r="E130" t="str">
            <v>DSRE503</v>
          </cell>
        </row>
        <row r="131">
          <cell r="C131" t="str">
            <v>Leading Growth</v>
          </cell>
          <cell r="E131" t="str">
            <v>CHMN779</v>
          </cell>
        </row>
        <row r="132">
          <cell r="C132" t="str">
            <v>Topics in Ministry</v>
          </cell>
          <cell r="E132" t="str">
            <v>CHMN517</v>
          </cell>
        </row>
        <row r="133">
          <cell r="C133" t="str">
            <v>Doctrine of the Sanctuary</v>
          </cell>
          <cell r="E133" t="str">
            <v>GSEM530</v>
          </cell>
        </row>
        <row r="134">
          <cell r="C134" t="str">
            <v>Christn Lead in a Chnging Wrld</v>
          </cell>
          <cell r="E134" t="str">
            <v>CHMN543</v>
          </cell>
        </row>
        <row r="135">
          <cell r="C135" t="str">
            <v>Marriage, Fam&amp;Interprsnl Reltn</v>
          </cell>
          <cell r="E135" t="str">
            <v>DSLE503</v>
          </cell>
        </row>
        <row r="136">
          <cell r="C136" t="str">
            <v>Studies in Pauline Writings</v>
          </cell>
          <cell r="E136" t="str">
            <v>NTST535</v>
          </cell>
        </row>
        <row r="137">
          <cell r="C137" t="str">
            <v>Stud in the Pentateuch (Engl)</v>
          </cell>
          <cell r="E137" t="str">
            <v>OTST566</v>
          </cell>
        </row>
        <row r="138">
          <cell r="C138" t="str">
            <v>Teaching for Discipleship</v>
          </cell>
          <cell r="E138" t="str">
            <v>DSLE610</v>
          </cell>
        </row>
        <row r="139">
          <cell r="C139" t="str">
            <v>Bilingual Ministry</v>
          </cell>
          <cell r="E139" t="str">
            <v>PATH538</v>
          </cell>
        </row>
        <row r="140">
          <cell r="C140" t="str">
            <v>Hisp/Amer Culture &amp; Challenges</v>
          </cell>
          <cell r="E140" t="str">
            <v>PATH525</v>
          </cell>
        </row>
        <row r="141">
          <cell r="C141" t="str">
            <v>Christn Respns to Human Needs</v>
          </cell>
          <cell r="E141" t="str">
            <v>MSSN505</v>
          </cell>
        </row>
        <row r="142">
          <cell r="C142" t="str">
            <v>Building Syst &amp; Leading Mvmts</v>
          </cell>
          <cell r="E142" t="str">
            <v>PATH753</v>
          </cell>
        </row>
        <row r="143">
          <cell r="C143" t="str">
            <v>Church Grwth&amp; Equipping Leader</v>
          </cell>
          <cell r="E143" t="str">
            <v>PATH539</v>
          </cell>
        </row>
        <row r="144">
          <cell r="C144" t="str">
            <v>Development SDA Theology</v>
          </cell>
          <cell r="E144" t="str">
            <v>CHIS674</v>
          </cell>
        </row>
        <row r="145">
          <cell r="C145" t="str">
            <v>Topics in Ministry</v>
          </cell>
          <cell r="E145" t="str">
            <v>PATH517</v>
          </cell>
        </row>
        <row r="146">
          <cell r="C146" t="str">
            <v>Archaeology and the Bible</v>
          </cell>
          <cell r="E146" t="str">
            <v>ANEA510</v>
          </cell>
        </row>
        <row r="147">
          <cell r="C147" t="str">
            <v>Development SDA Theology</v>
          </cell>
          <cell r="E147" t="str">
            <v>CHIS674</v>
          </cell>
        </row>
        <row r="148">
          <cell r="C148" t="str">
            <v>Transformational Leadership</v>
          </cell>
          <cell r="E148" t="str">
            <v>PATH712</v>
          </cell>
        </row>
        <row r="149">
          <cell r="C149" t="str">
            <v>Christian Leadership</v>
          </cell>
          <cell r="E149" t="str">
            <v>PATH747</v>
          </cell>
        </row>
        <row r="150">
          <cell r="C150" t="str">
            <v>Studies in Prophets (Engl)</v>
          </cell>
          <cell r="E150" t="str">
            <v>OTST556</v>
          </cell>
        </row>
        <row r="151">
          <cell r="C151" t="str">
            <v>Christn Lead in a Chnging Wrld</v>
          </cell>
          <cell r="E151" t="str">
            <v>PATH543</v>
          </cell>
        </row>
        <row r="152">
          <cell r="C152" t="str">
            <v>Seminar in Preaching</v>
          </cell>
          <cell r="E152" t="str">
            <v>PATH637</v>
          </cell>
        </row>
        <row r="153">
          <cell r="C153" t="str">
            <v>Theo of the English NT:</v>
          </cell>
          <cell r="D153" t="str">
            <v>Theo of the Engl NT: NT Ethics</v>
          </cell>
          <cell r="E153" t="str">
            <v>NTST567</v>
          </cell>
        </row>
        <row r="154">
          <cell r="C154" t="str">
            <v>Death &amp; Grief Contemp Society</v>
          </cell>
          <cell r="E154" t="str">
            <v>CHMN516</v>
          </cell>
        </row>
        <row r="155">
          <cell r="C155" t="str">
            <v>Masters Comprehensive Exam</v>
          </cell>
          <cell r="E155" t="str">
            <v>GSEM680</v>
          </cell>
        </row>
        <row r="156">
          <cell r="C156" t="str">
            <v>Hist of Seventh-day Adv Theo</v>
          </cell>
          <cell r="E156" t="str">
            <v>CHIS574</v>
          </cell>
        </row>
        <row r="157">
          <cell r="C157" t="str">
            <v>Issues in Ellen G White Stdies</v>
          </cell>
          <cell r="E157" t="str">
            <v>CHIS624</v>
          </cell>
        </row>
        <row r="158">
          <cell r="C158" t="str">
            <v>Topics in Ministry</v>
          </cell>
          <cell r="D158" t="str">
            <v>Topics in Min: Pastorl Counsel</v>
          </cell>
          <cell r="E158" t="str">
            <v>CHMN517</v>
          </cell>
        </row>
        <row r="159">
          <cell r="C159" t="str">
            <v>Marriage and Family</v>
          </cell>
          <cell r="E159" t="str">
            <v>CHMN546</v>
          </cell>
        </row>
        <row r="160">
          <cell r="C160" t="str">
            <v>Methods in Biblical &amp; Theo Res</v>
          </cell>
          <cell r="E160" t="str">
            <v>GSEM520</v>
          </cell>
        </row>
        <row r="161">
          <cell r="C161" t="str">
            <v>Studies in Prophets (Engl)</v>
          </cell>
          <cell r="E161" t="str">
            <v>OTST556</v>
          </cell>
        </row>
        <row r="162">
          <cell r="C162" t="str">
            <v>Studies in Daniel (Engl)</v>
          </cell>
          <cell r="E162" t="str">
            <v>OTST546</v>
          </cell>
        </row>
        <row r="163">
          <cell r="C163" t="str">
            <v>Top in Advnt St _____</v>
          </cell>
          <cell r="D163" t="str">
            <v>Top in Adv St:Advntsm in China</v>
          </cell>
          <cell r="E163" t="str">
            <v>CHIS696</v>
          </cell>
        </row>
        <row r="164">
          <cell r="C164" t="str">
            <v>Doctrine of God</v>
          </cell>
          <cell r="E164" t="str">
            <v>THST616</v>
          </cell>
        </row>
        <row r="165">
          <cell r="C165" t="str">
            <v>Readings in Revelation</v>
          </cell>
          <cell r="E165" t="str">
            <v>NTST539</v>
          </cell>
        </row>
        <row r="166">
          <cell r="C166" t="str">
            <v>Topics:</v>
          </cell>
          <cell r="D166" t="str">
            <v>Topics: Urban Mission</v>
          </cell>
          <cell r="E166" t="str">
            <v>MSSN695</v>
          </cell>
        </row>
        <row r="167">
          <cell r="C167" t="str">
            <v>Doctrine of Salvation</v>
          </cell>
          <cell r="E167" t="str">
            <v>THST540</v>
          </cell>
        </row>
        <row r="168">
          <cell r="C168" t="str">
            <v>Master's Degree Contin</v>
          </cell>
          <cell r="E168" t="str">
            <v>GSEM688</v>
          </cell>
        </row>
        <row r="169">
          <cell r="C169" t="str">
            <v>Conflict Management</v>
          </cell>
          <cell r="E169" t="str">
            <v>CHMN526</v>
          </cell>
        </row>
        <row r="170">
          <cell r="C170" t="str">
            <v>Theory&amp;Rsrch in Chaplaincy</v>
          </cell>
          <cell r="E170" t="str">
            <v>CHMN787</v>
          </cell>
        </row>
        <row r="171">
          <cell r="C171" t="str">
            <v>Discipling Leaders for Mission</v>
          </cell>
          <cell r="E171" t="str">
            <v>CHMN714</v>
          </cell>
        </row>
        <row r="172">
          <cell r="C172" t="str">
            <v>Theo&amp;Hist Perspectve Discplshp</v>
          </cell>
          <cell r="E172" t="str">
            <v>DSRE705</v>
          </cell>
        </row>
        <row r="173">
          <cell r="C173" t="str">
            <v>DMin Prof Dissertation Sem</v>
          </cell>
          <cell r="E173" t="str">
            <v>GSEM790</v>
          </cell>
        </row>
        <row r="174">
          <cell r="C174" t="str">
            <v>Health Care Leadership</v>
          </cell>
          <cell r="E174" t="str">
            <v>PATH773</v>
          </cell>
        </row>
        <row r="175">
          <cell r="C175" t="str">
            <v>Adv Ldshp Competencies</v>
          </cell>
          <cell r="E175" t="str">
            <v>PATH760</v>
          </cell>
        </row>
        <row r="176">
          <cell r="C176" t="str">
            <v>Clinical Issues in Care&amp;Counsl</v>
          </cell>
          <cell r="E176" t="str">
            <v>PATH786</v>
          </cell>
        </row>
        <row r="177">
          <cell r="C177" t="str">
            <v>Leading&amp;Managing Church Org</v>
          </cell>
          <cell r="E177" t="str">
            <v>PATH780</v>
          </cell>
        </row>
        <row r="178">
          <cell r="C178" t="str">
            <v>Biblical Hebrew II</v>
          </cell>
          <cell r="E178" t="str">
            <v>OTST552</v>
          </cell>
        </row>
        <row r="179">
          <cell r="C179" t="str">
            <v>Foundtns of Biblical Counsel</v>
          </cell>
          <cell r="E179" t="str">
            <v>DSLE651</v>
          </cell>
        </row>
        <row r="180">
          <cell r="C180" t="str">
            <v>Profssnl Pract in Chaplaincy</v>
          </cell>
          <cell r="E180" t="str">
            <v>PATH788</v>
          </cell>
        </row>
        <row r="181">
          <cell r="C181" t="str">
            <v>Organizational Leadership</v>
          </cell>
          <cell r="E181" t="str">
            <v>PATH777</v>
          </cell>
        </row>
        <row r="182">
          <cell r="C182" t="str">
            <v>Worship:Word &amp; Music</v>
          </cell>
          <cell r="E182" t="str">
            <v>PATH523</v>
          </cell>
        </row>
        <row r="183">
          <cell r="C183" t="str">
            <v>Biblical Hebrew I</v>
          </cell>
          <cell r="E183" t="str">
            <v>OTST551</v>
          </cell>
        </row>
        <row r="184">
          <cell r="C184" t="str">
            <v>Beginning Greek</v>
          </cell>
          <cell r="E184" t="str">
            <v>NTST551</v>
          </cell>
        </row>
        <row r="185">
          <cell r="C185" t="str">
            <v>Ministry Among Immigrants</v>
          </cell>
          <cell r="E185" t="str">
            <v>MSSN645</v>
          </cell>
        </row>
        <row r="186">
          <cell r="C186" t="str">
            <v>Rev, Insp &amp; Hermeneutics</v>
          </cell>
          <cell r="E186" t="str">
            <v>THST611</v>
          </cell>
        </row>
        <row r="187">
          <cell r="C187" t="str">
            <v>Intermediate Greek</v>
          </cell>
          <cell r="E187" t="str">
            <v>NTST552</v>
          </cell>
        </row>
        <row r="188">
          <cell r="C188" t="str">
            <v>Issues in Ellen G White Stdies</v>
          </cell>
          <cell r="E188" t="str">
            <v>CHIS624</v>
          </cell>
        </row>
        <row r="189">
          <cell r="C189" t="str">
            <v>Theology of the Old Testament</v>
          </cell>
          <cell r="E189" t="str">
            <v>OTST619</v>
          </cell>
        </row>
        <row r="190">
          <cell r="C190" t="str">
            <v>Ministry to Youth&amp;Yng Adlt</v>
          </cell>
          <cell r="E190" t="str">
            <v>DSRE534</v>
          </cell>
        </row>
        <row r="191">
          <cell r="C191" t="str">
            <v>Seminar in Preaching</v>
          </cell>
          <cell r="E191" t="str">
            <v>CHMN637</v>
          </cell>
        </row>
        <row r="192">
          <cell r="C192" t="str">
            <v>Families in Society</v>
          </cell>
          <cell r="E192" t="str">
            <v>DSRE655</v>
          </cell>
        </row>
        <row r="193">
          <cell r="C193" t="str">
            <v>Teaching for Discipleship</v>
          </cell>
          <cell r="E193" t="str">
            <v>DSRE610</v>
          </cell>
        </row>
        <row r="194">
          <cell r="C194" t="str">
            <v>Ministry to Youth&amp;Yng Adlt</v>
          </cell>
          <cell r="E194" t="str">
            <v>DSRE534</v>
          </cell>
        </row>
        <row r="195">
          <cell r="C195" t="str">
            <v>Seminar in Preaching</v>
          </cell>
          <cell r="E195" t="str">
            <v>CHMN637</v>
          </cell>
        </row>
        <row r="196">
          <cell r="C196" t="str">
            <v>Marriage, Fam&amp;Interprsnl Reltn</v>
          </cell>
          <cell r="E196" t="str">
            <v>DSRE503</v>
          </cell>
        </row>
        <row r="197">
          <cell r="C197" t="str">
            <v>Foundtns of Biblical Counsel</v>
          </cell>
          <cell r="E197" t="str">
            <v>DSRE651</v>
          </cell>
        </row>
        <row r="198">
          <cell r="C198" t="str">
            <v>Rdngs in Acts&amp;General Epistles</v>
          </cell>
          <cell r="E198" t="str">
            <v>NTST537</v>
          </cell>
        </row>
        <row r="199">
          <cell r="C199" t="str">
            <v>Christn Lead in a Chnging Wrld</v>
          </cell>
          <cell r="E199" t="str">
            <v>CHMN543</v>
          </cell>
        </row>
        <row r="200">
          <cell r="C200" t="str">
            <v>Top:</v>
          </cell>
          <cell r="D200" t="str">
            <v>Top:Sanctuary Doctrine</v>
          </cell>
          <cell r="E200" t="str">
            <v>THST695</v>
          </cell>
        </row>
        <row r="201">
          <cell r="C201" t="str">
            <v>Sem in Historical Theology:</v>
          </cell>
          <cell r="E201" t="str">
            <v>THST656</v>
          </cell>
        </row>
        <row r="202">
          <cell r="C202" t="str">
            <v>Topics in Ministry</v>
          </cell>
          <cell r="E202" t="str">
            <v>CHMN517</v>
          </cell>
        </row>
        <row r="203">
          <cell r="C203" t="str">
            <v>Mission in Cultrl&amp;Rlgs Contxt</v>
          </cell>
          <cell r="E203" t="str">
            <v>MSSN546</v>
          </cell>
        </row>
        <row r="204">
          <cell r="C204" t="str">
            <v>Theo of the English NT:</v>
          </cell>
          <cell r="E204" t="str">
            <v>NTST567</v>
          </cell>
        </row>
        <row r="205">
          <cell r="C205" t="str">
            <v>Survey of Church History</v>
          </cell>
          <cell r="E205" t="str">
            <v>CHIS505</v>
          </cell>
        </row>
        <row r="206">
          <cell r="C206" t="str">
            <v>Studies in Daniel (Engl)</v>
          </cell>
          <cell r="E206" t="str">
            <v>OTST546</v>
          </cell>
        </row>
        <row r="207">
          <cell r="C207" t="str">
            <v>Hispanic-Amer Church History</v>
          </cell>
          <cell r="E207" t="str">
            <v>CHIS567</v>
          </cell>
        </row>
        <row r="208">
          <cell r="C208" t="str">
            <v>Church Grwth&amp; Equipping Pastor</v>
          </cell>
          <cell r="D208" t="str">
            <v>Church Grwth&amp; Equipping Leader</v>
          </cell>
          <cell r="E208" t="str">
            <v>CHMN539</v>
          </cell>
        </row>
        <row r="209">
          <cell r="C209" t="str">
            <v>Studies in Pauline Writings</v>
          </cell>
          <cell r="E209" t="str">
            <v>NTST535</v>
          </cell>
        </row>
        <row r="210">
          <cell r="C210" t="str">
            <v>Development SDA Theology</v>
          </cell>
          <cell r="E210" t="str">
            <v>CHIS674</v>
          </cell>
        </row>
        <row r="211">
          <cell r="C211" t="str">
            <v>Development SDA Theology</v>
          </cell>
          <cell r="E211" t="str">
            <v>CHIS674</v>
          </cell>
        </row>
        <row r="212">
          <cell r="C212" t="str">
            <v>Archaeology and the Bible</v>
          </cell>
          <cell r="E212" t="str">
            <v>ANEA510</v>
          </cell>
        </row>
        <row r="213">
          <cell r="C213" t="str">
            <v>Studies in Prophets (Engl)</v>
          </cell>
          <cell r="E213" t="str">
            <v>OTST556</v>
          </cell>
        </row>
        <row r="214">
          <cell r="C214" t="str">
            <v>Research Methods</v>
          </cell>
          <cell r="E214" t="str">
            <v>GSEM620</v>
          </cell>
        </row>
        <row r="215">
          <cell r="C215" t="str">
            <v>Christn Lead in a Chnging Wrld</v>
          </cell>
          <cell r="E215" t="str">
            <v>PATH543</v>
          </cell>
        </row>
        <row r="216">
          <cell r="C216" t="str">
            <v>Doctrine of the Sanctuary</v>
          </cell>
          <cell r="E216" t="str">
            <v>GSEM530</v>
          </cell>
        </row>
        <row r="217">
          <cell r="C217" t="str">
            <v>Fndtns of Biblicl Spirituality</v>
          </cell>
          <cell r="E217" t="str">
            <v>DSLE541</v>
          </cell>
        </row>
        <row r="218">
          <cell r="C218" t="str">
            <v>Theo of the English NT:</v>
          </cell>
          <cell r="D218" t="str">
            <v>Theo of Engl NT:Revelation</v>
          </cell>
          <cell r="E218" t="str">
            <v>NTST567</v>
          </cell>
        </row>
        <row r="219">
          <cell r="C219" t="str">
            <v>Topics in Ministry</v>
          </cell>
          <cell r="E219" t="str">
            <v>PATH517</v>
          </cell>
        </row>
        <row r="220">
          <cell r="C220" t="str">
            <v>Seminar in Preaching</v>
          </cell>
          <cell r="E220" t="str">
            <v>PATH637</v>
          </cell>
        </row>
        <row r="221">
          <cell r="C221" t="str">
            <v>Marriage, Fam&amp;Interprsnl Reltn</v>
          </cell>
          <cell r="E221" t="str">
            <v>DSLE503</v>
          </cell>
        </row>
        <row r="222">
          <cell r="C222" t="str">
            <v>Bilingual Ministry</v>
          </cell>
          <cell r="E222" t="str">
            <v>PATH538</v>
          </cell>
        </row>
        <row r="223">
          <cell r="C223" t="str">
            <v>Ministry to Youth&amp;Yng Adlt</v>
          </cell>
          <cell r="E223" t="str">
            <v>DSLE534</v>
          </cell>
        </row>
        <row r="224">
          <cell r="C224" t="str">
            <v>Mssn-Shaped Church Planting</v>
          </cell>
          <cell r="E224" t="str">
            <v>PATH606</v>
          </cell>
        </row>
        <row r="225">
          <cell r="C225" t="str">
            <v>Intro to Old Testmnt Theology</v>
          </cell>
          <cell r="E225" t="str">
            <v>OTST520</v>
          </cell>
        </row>
        <row r="226">
          <cell r="C226" t="str">
            <v>Teaching for Discipleship</v>
          </cell>
          <cell r="E226" t="str">
            <v>DSLE610</v>
          </cell>
        </row>
        <row r="227">
          <cell r="C227" t="str">
            <v>Studies in Hebrews</v>
          </cell>
          <cell r="E227" t="str">
            <v>NTST538</v>
          </cell>
        </row>
        <row r="228">
          <cell r="C228" t="str">
            <v>Theo&amp;Soc Sc Fnd ME/MC Miss&amp;Min</v>
          </cell>
          <cell r="E228" t="str">
            <v>CHMN723</v>
          </cell>
        </row>
        <row r="229">
          <cell r="C229" t="str">
            <v>DMin Prof Dissertation Sem</v>
          </cell>
          <cell r="E229" t="str">
            <v>GSEM790</v>
          </cell>
        </row>
        <row r="230">
          <cell r="C230" t="str">
            <v>Spiritual&amp;Theo Found Ministry</v>
          </cell>
          <cell r="E230" t="str">
            <v>GSEM706</v>
          </cell>
        </row>
        <row r="231">
          <cell r="C231" t="str">
            <v>DMin Prof Dissertation</v>
          </cell>
          <cell r="E231" t="str">
            <v>GSEM796</v>
          </cell>
        </row>
        <row r="232">
          <cell r="C232" t="str">
            <v>Urban Church Leadership&amp;Mgmt</v>
          </cell>
          <cell r="E232" t="str">
            <v>PATH776</v>
          </cell>
        </row>
        <row r="233">
          <cell r="C233" t="str">
            <v>DMin Prof Dissertation Cont</v>
          </cell>
          <cell r="E233" t="str">
            <v>GSEM788</v>
          </cell>
        </row>
        <row r="234">
          <cell r="C234" t="str">
            <v>Church Multiplication</v>
          </cell>
          <cell r="E234" t="str">
            <v>PATH742</v>
          </cell>
        </row>
        <row r="235">
          <cell r="C235" t="str">
            <v>Disciple-making and Evangel</v>
          </cell>
          <cell r="E235" t="str">
            <v>PATH754</v>
          </cell>
        </row>
        <row r="236">
          <cell r="C236" t="str">
            <v>Building Syst &amp; Leading Mvmts</v>
          </cell>
          <cell r="E236" t="str">
            <v>PATH753</v>
          </cell>
        </row>
        <row r="237">
          <cell r="C237" t="str">
            <v>Christian Leadership</v>
          </cell>
          <cell r="E237" t="str">
            <v>PATH747</v>
          </cell>
        </row>
        <row r="238">
          <cell r="C238" t="str">
            <v>Top in NT Backgrounds</v>
          </cell>
          <cell r="D238" t="str">
            <v>Top: Hermeneutics</v>
          </cell>
          <cell r="E238" t="str">
            <v>NTST695</v>
          </cell>
        </row>
        <row r="239">
          <cell r="C239" t="str">
            <v>Methods in Biblical &amp; Theo Res</v>
          </cell>
          <cell r="E239" t="str">
            <v>GSEM520</v>
          </cell>
        </row>
        <row r="240">
          <cell r="C240" t="str">
            <v>Stud in the Pentateuch (Engl)</v>
          </cell>
          <cell r="E240" t="str">
            <v>OTST566</v>
          </cell>
        </row>
        <row r="241">
          <cell r="C241" t="str">
            <v>Readings in the Gospels</v>
          </cell>
          <cell r="E241" t="str">
            <v>NTST536</v>
          </cell>
        </row>
        <row r="242">
          <cell r="C242" t="str">
            <v>Marriage, Fam&amp;Interprsnl Reltn</v>
          </cell>
          <cell r="E242" t="str">
            <v>DSRE503</v>
          </cell>
        </row>
        <row r="243">
          <cell r="C243" t="str">
            <v>Roman Catholic Life &amp; Thought</v>
          </cell>
          <cell r="E243" t="str">
            <v>THST627</v>
          </cell>
        </row>
        <row r="244">
          <cell r="C244" t="str">
            <v>Development SDA Theology</v>
          </cell>
          <cell r="E244" t="str">
            <v>CHIS674</v>
          </cell>
        </row>
        <row r="245">
          <cell r="C245" t="str">
            <v>Archaeology and the Bible</v>
          </cell>
          <cell r="E245" t="str">
            <v>ANEA510</v>
          </cell>
        </row>
        <row r="246">
          <cell r="C246" t="str">
            <v>Doctrine of the Sanctuary</v>
          </cell>
          <cell r="E246" t="str">
            <v>GSEM530</v>
          </cell>
        </row>
        <row r="247">
          <cell r="C247" t="str">
            <v>Christn Lead in a Chnging Wrld</v>
          </cell>
          <cell r="E247" t="str">
            <v>CHMN543</v>
          </cell>
        </row>
        <row r="248">
          <cell r="C248" t="str">
            <v>Studies in Pauline Writings</v>
          </cell>
          <cell r="E248" t="str">
            <v>NTST535</v>
          </cell>
        </row>
        <row r="249">
          <cell r="C249" t="str">
            <v>Mission in Cultrl&amp;Rlgs Contxt</v>
          </cell>
          <cell r="E249" t="str">
            <v>MSSN546</v>
          </cell>
        </row>
        <row r="250">
          <cell r="C250" t="str">
            <v>Theo of the English NT:</v>
          </cell>
          <cell r="E250" t="str">
            <v>NTST567</v>
          </cell>
        </row>
        <row r="251">
          <cell r="C251" t="str">
            <v>Survey of Church History</v>
          </cell>
          <cell r="E251" t="str">
            <v>CHIS505</v>
          </cell>
        </row>
        <row r="252">
          <cell r="C252" t="str">
            <v>Mission in Cultrl&amp;Rlgs Contxt</v>
          </cell>
          <cell r="E252" t="str">
            <v>MSSN546</v>
          </cell>
        </row>
        <row r="253">
          <cell r="C253" t="str">
            <v>Theo of the English NT:</v>
          </cell>
          <cell r="E253" t="str">
            <v>NTST567</v>
          </cell>
        </row>
        <row r="254">
          <cell r="C254" t="str">
            <v>Studies in Daniel (Engl)</v>
          </cell>
          <cell r="E254" t="str">
            <v>OTST546</v>
          </cell>
        </row>
        <row r="255">
          <cell r="C255" t="str">
            <v>Studies in Daniel (Engl)</v>
          </cell>
          <cell r="E255" t="str">
            <v>OTST546</v>
          </cell>
        </row>
        <row r="256">
          <cell r="C256" t="str">
            <v>Hist of Sabbath &amp; Sunday</v>
          </cell>
          <cell r="E256" t="str">
            <v>CHIS680</v>
          </cell>
        </row>
        <row r="257">
          <cell r="C257" t="str">
            <v>Marriage, Fam&amp;Interprsnl Reltn</v>
          </cell>
          <cell r="E257" t="str">
            <v>DSRE503</v>
          </cell>
        </row>
        <row r="258">
          <cell r="C258" t="str">
            <v>Mssn-Shaped Church Planting</v>
          </cell>
          <cell r="E258" t="str">
            <v>CHMN606</v>
          </cell>
        </row>
        <row r="259">
          <cell r="C259" t="str">
            <v>Seminar in Preaching</v>
          </cell>
          <cell r="E259" t="str">
            <v>CHMN637</v>
          </cell>
        </row>
        <row r="260">
          <cell r="C260" t="str">
            <v>Mobilizing Laity Minstry Evang</v>
          </cell>
          <cell r="E260" t="str">
            <v>CHMN566</v>
          </cell>
        </row>
        <row r="261">
          <cell r="C261" t="str">
            <v>Ministry to Youth&amp;Yng Adlt</v>
          </cell>
          <cell r="E261" t="str">
            <v>DSRE534</v>
          </cell>
        </row>
        <row r="262">
          <cell r="C262" t="str">
            <v>Christian Social Ethics</v>
          </cell>
          <cell r="E262" t="str">
            <v>THST634</v>
          </cell>
        </row>
        <row r="263">
          <cell r="C263" t="str">
            <v>Rdngs in Acts&amp;General Epistles</v>
          </cell>
          <cell r="E263" t="str">
            <v>NTST537</v>
          </cell>
        </row>
        <row r="264">
          <cell r="C264" t="str">
            <v>Bilingual Ministry</v>
          </cell>
          <cell r="E264" t="str">
            <v>CHMN538</v>
          </cell>
        </row>
        <row r="265">
          <cell r="C265" t="str">
            <v>Church Grwth&amp; Equipping Pastor</v>
          </cell>
          <cell r="E265" t="str">
            <v>CHMN539</v>
          </cell>
        </row>
        <row r="266">
          <cell r="C266" t="str">
            <v>Church Grwth&amp; Equipping Pastor</v>
          </cell>
          <cell r="E266" t="str">
            <v>CHMN539</v>
          </cell>
        </row>
        <row r="267">
          <cell r="C267" t="str">
            <v>Hispanic-Amer Church History</v>
          </cell>
          <cell r="E267" t="str">
            <v>CHIS567</v>
          </cell>
        </row>
        <row r="268">
          <cell r="C268" t="str">
            <v>Christn Lead in a Chnging Wrld</v>
          </cell>
          <cell r="E268" t="str">
            <v>CHMN543</v>
          </cell>
        </row>
        <row r="269">
          <cell r="C269" t="str">
            <v>Marriage, Fam&amp;Interprsnl Reltn</v>
          </cell>
          <cell r="E269" t="str">
            <v>DSLE503</v>
          </cell>
        </row>
        <row r="270">
          <cell r="C270" t="str">
            <v>Human Nature &amp; Destiny</v>
          </cell>
          <cell r="E270" t="str">
            <v>THST647</v>
          </cell>
        </row>
        <row r="271">
          <cell r="C271" t="str">
            <v>Seminar in Preaching</v>
          </cell>
          <cell r="E271" t="str">
            <v>PATH637</v>
          </cell>
        </row>
        <row r="272">
          <cell r="C272" t="str">
            <v>Evang Small Groups</v>
          </cell>
          <cell r="E272" t="str">
            <v>PATH656</v>
          </cell>
        </row>
        <row r="273">
          <cell r="C273" t="str">
            <v>Ministry to Youth&amp;Yng Adlt</v>
          </cell>
          <cell r="E273" t="str">
            <v>DSLE534</v>
          </cell>
        </row>
        <row r="274">
          <cell r="C274" t="str">
            <v>Mobilizing for Evang Min</v>
          </cell>
          <cell r="E274" t="str">
            <v>PATH604</v>
          </cell>
        </row>
        <row r="275">
          <cell r="C275" t="str">
            <v>Doctrine of Salvation</v>
          </cell>
          <cell r="E275" t="str">
            <v>THST640</v>
          </cell>
        </row>
        <row r="276">
          <cell r="C276" t="str">
            <v>Survey of Church History</v>
          </cell>
          <cell r="E276" t="str">
            <v>CHIS505</v>
          </cell>
        </row>
        <row r="277">
          <cell r="C277" t="str">
            <v>Research Methods</v>
          </cell>
          <cell r="E277" t="str">
            <v>GSEM620</v>
          </cell>
        </row>
        <row r="278">
          <cell r="C278" t="str">
            <v>Mission in Cultrl&amp;Rlgs Contxt</v>
          </cell>
          <cell r="E278" t="str">
            <v>MSSN546</v>
          </cell>
        </row>
        <row r="279">
          <cell r="C279" t="str">
            <v>Organizatnl Comm &amp; Mass Media</v>
          </cell>
          <cell r="E279" t="str">
            <v>PATH734</v>
          </cell>
        </row>
        <row r="280">
          <cell r="C280" t="str">
            <v>Stud in the Pentateuch (Engl)</v>
          </cell>
          <cell r="E280" t="str">
            <v>OTST566</v>
          </cell>
        </row>
        <row r="281">
          <cell r="C281" t="str">
            <v>Comm &amp; Media Min Fdns</v>
          </cell>
          <cell r="E281" t="str">
            <v>PATH722</v>
          </cell>
        </row>
        <row r="282">
          <cell r="C282" t="str">
            <v>Doctrine of God</v>
          </cell>
          <cell r="E282" t="str">
            <v>THST616</v>
          </cell>
        </row>
        <row r="283">
          <cell r="C283" t="str">
            <v>Studies in Daniel (Engl)</v>
          </cell>
          <cell r="E283" t="str">
            <v>OTST546</v>
          </cell>
        </row>
        <row r="284">
          <cell r="C284" t="str">
            <v>Studies in the Gospels</v>
          </cell>
          <cell r="D284" t="str">
            <v>Studies in the Gospels:Mark</v>
          </cell>
          <cell r="E284" t="str">
            <v>NTST536</v>
          </cell>
        </row>
        <row r="285">
          <cell r="C285" t="str">
            <v>Church Grwth&amp; Equipping Leader</v>
          </cell>
          <cell r="E285" t="str">
            <v>PATH539</v>
          </cell>
        </row>
        <row r="286">
          <cell r="C286" t="str">
            <v>Bilingual Ministry</v>
          </cell>
          <cell r="E286" t="str">
            <v>PATH538</v>
          </cell>
        </row>
        <row r="287">
          <cell r="C287" t="str">
            <v>Pastoral Counseling</v>
          </cell>
          <cell r="E287" t="str">
            <v>PATH555</v>
          </cell>
        </row>
        <row r="288">
          <cell r="C288" t="str">
            <v>Hist of Sabbath &amp; Sunday</v>
          </cell>
          <cell r="E288" t="str">
            <v>CHIS680</v>
          </cell>
        </row>
        <row r="289">
          <cell r="C289" t="str">
            <v>Christn Lead in a Chnging Wrld</v>
          </cell>
          <cell r="E289" t="str">
            <v>PATH543</v>
          </cell>
        </row>
        <row r="290">
          <cell r="C290" t="str">
            <v>Intro to Old Testmnt Theology</v>
          </cell>
          <cell r="E290" t="str">
            <v>OTST520</v>
          </cell>
        </row>
        <row r="291">
          <cell r="C291" t="str">
            <v>Hist of SDA Theology</v>
          </cell>
          <cell r="E291" t="str">
            <v>CHIS574</v>
          </cell>
        </row>
        <row r="292">
          <cell r="C292" t="str">
            <v>Survey of Church History</v>
          </cell>
          <cell r="E292" t="str">
            <v>CHIS505</v>
          </cell>
        </row>
        <row r="293">
          <cell r="C293" t="str">
            <v>Intro to Old Testmnt Theology</v>
          </cell>
          <cell r="E293" t="str">
            <v>OTST520</v>
          </cell>
        </row>
        <row r="294">
          <cell r="C294" t="str">
            <v>Survey of Church History</v>
          </cell>
          <cell r="E294" t="str">
            <v>CHIS505</v>
          </cell>
        </row>
        <row r="295">
          <cell r="C295" t="str">
            <v>Evang Small Groups</v>
          </cell>
          <cell r="E295" t="str">
            <v>CHMN656</v>
          </cell>
        </row>
        <row r="296">
          <cell r="C296" t="str">
            <v>Studies in Pauline Writings</v>
          </cell>
          <cell r="E296" t="str">
            <v>NTST535</v>
          </cell>
        </row>
        <row r="297">
          <cell r="C297" t="str">
            <v>Intro to Old Testmnt Theology</v>
          </cell>
          <cell r="E297" t="str">
            <v>OTST520</v>
          </cell>
        </row>
        <row r="298">
          <cell r="C298" t="str">
            <v>Hispanic-Amer Church History</v>
          </cell>
          <cell r="E298" t="str">
            <v>CHIS567</v>
          </cell>
        </row>
        <row r="299">
          <cell r="C299" t="str">
            <v>Innovative Evangelism</v>
          </cell>
          <cell r="E299" t="str">
            <v>CHMN623</v>
          </cell>
        </row>
        <row r="300">
          <cell r="C300" t="str">
            <v>Christn Lead in a Chnging Wrld</v>
          </cell>
          <cell r="E300" t="str">
            <v>CHMN543</v>
          </cell>
        </row>
        <row r="301">
          <cell r="C301" t="str">
            <v>Innovative Evangelism</v>
          </cell>
          <cell r="E301" t="str">
            <v>CHMN623</v>
          </cell>
        </row>
        <row r="302">
          <cell r="C302" t="str">
            <v>Studies in Pauline Writings</v>
          </cell>
          <cell r="E302" t="str">
            <v>NTST535</v>
          </cell>
        </row>
        <row r="303">
          <cell r="C303" t="str">
            <v>Public Evangelism (Hispanic)</v>
          </cell>
          <cell r="E303" t="str">
            <v>CHMN514</v>
          </cell>
        </row>
        <row r="304">
          <cell r="C304" t="str">
            <v>Christn Respns to Human Needs</v>
          </cell>
          <cell r="E304" t="str">
            <v>MSSN505</v>
          </cell>
        </row>
        <row r="305">
          <cell r="C305" t="str">
            <v>Ministry to Youth&amp;Yng Adlt</v>
          </cell>
          <cell r="E305" t="str">
            <v>DSRE534</v>
          </cell>
        </row>
        <row r="306">
          <cell r="C306" t="str">
            <v>Ministry to Youth&amp;Yng Adlt</v>
          </cell>
          <cell r="E306" t="str">
            <v>DSRE534</v>
          </cell>
        </row>
        <row r="307">
          <cell r="C307" t="str">
            <v>Seminar in Preaching</v>
          </cell>
          <cell r="E307" t="str">
            <v>CHMN637</v>
          </cell>
        </row>
        <row r="308">
          <cell r="C308" t="str">
            <v>Readings in Revelation</v>
          </cell>
          <cell r="E308" t="str">
            <v>NTST539</v>
          </cell>
        </row>
        <row r="309">
          <cell r="C309" t="str">
            <v>Research Methods</v>
          </cell>
          <cell r="E309" t="str">
            <v>GSEM620</v>
          </cell>
        </row>
        <row r="310">
          <cell r="C310" t="str">
            <v>Stud in the Pentateuch (Engl)</v>
          </cell>
          <cell r="E310" t="str">
            <v>OTST566</v>
          </cell>
        </row>
        <row r="311">
          <cell r="C311" t="str">
            <v>Development SDA Theology</v>
          </cell>
          <cell r="E311" t="str">
            <v>CHIS674</v>
          </cell>
        </row>
        <row r="312">
          <cell r="C312" t="str">
            <v>Christn Lead in a Chnging Wrld</v>
          </cell>
          <cell r="E312" t="str">
            <v>CHMN543</v>
          </cell>
        </row>
        <row r="313">
          <cell r="C313" t="str">
            <v>Doctrine of the Sanctuary</v>
          </cell>
          <cell r="E313" t="str">
            <v>GSEM530</v>
          </cell>
        </row>
        <row r="314">
          <cell r="C314" t="str">
            <v>Mission in Cultrl&amp;Rlgs Contxt</v>
          </cell>
          <cell r="E314" t="str">
            <v>MSSN546</v>
          </cell>
        </row>
        <row r="315">
          <cell r="C315" t="str">
            <v>Theo of the English NT:</v>
          </cell>
          <cell r="E315" t="str">
            <v>NTST567</v>
          </cell>
        </row>
        <row r="316">
          <cell r="C316" t="str">
            <v>Topics in Ministry</v>
          </cell>
          <cell r="E316" t="str">
            <v>CHMN517</v>
          </cell>
        </row>
        <row r="317">
          <cell r="C317" t="str">
            <v>Sem in Historical Theology:</v>
          </cell>
          <cell r="E317" t="str">
            <v>THST656</v>
          </cell>
        </row>
        <row r="318">
          <cell r="C318" t="str">
            <v>Marriage, Fam&amp;Interprsnl Reltn</v>
          </cell>
          <cell r="E318" t="str">
            <v>DSRE503</v>
          </cell>
        </row>
        <row r="319">
          <cell r="C319" t="str">
            <v>Doctrine of Salvation</v>
          </cell>
          <cell r="E319" t="str">
            <v>THST640</v>
          </cell>
        </row>
        <row r="320">
          <cell r="C320" t="str">
            <v>Evang Small Groups</v>
          </cell>
          <cell r="E320" t="str">
            <v>PATH656</v>
          </cell>
        </row>
        <row r="321">
          <cell r="C321" t="str">
            <v>Seminar in Preaching</v>
          </cell>
          <cell r="E321" t="str">
            <v>PATH637</v>
          </cell>
        </row>
        <row r="322">
          <cell r="C322" t="str">
            <v>Studies in the Gospels</v>
          </cell>
          <cell r="E322" t="str">
            <v>NTST536</v>
          </cell>
        </row>
        <row r="323">
          <cell r="C323" t="str">
            <v>Ministry to Youth&amp;Yng Adlt</v>
          </cell>
          <cell r="E323" t="str">
            <v>DSLE534</v>
          </cell>
        </row>
        <row r="324">
          <cell r="C324" t="str">
            <v>Archaeology and the Bible</v>
          </cell>
          <cell r="E324" t="str">
            <v>ANEA510</v>
          </cell>
        </row>
        <row r="325">
          <cell r="C325" t="str">
            <v>Hispanic-Amer Church History</v>
          </cell>
          <cell r="E325" t="str">
            <v>CHIS567</v>
          </cell>
        </row>
        <row r="326">
          <cell r="C326" t="str">
            <v>Christn Lead in a Chnging Wrld</v>
          </cell>
          <cell r="E326" t="str">
            <v>PATH543</v>
          </cell>
        </row>
        <row r="327">
          <cell r="C327" t="str">
            <v>Studies in Pauline Writings</v>
          </cell>
          <cell r="E327" t="str">
            <v>NTST535</v>
          </cell>
        </row>
        <row r="328">
          <cell r="C328" t="str">
            <v>Church Grwth&amp; Equipping Leader</v>
          </cell>
          <cell r="E328" t="str">
            <v>PATH539</v>
          </cell>
        </row>
        <row r="329">
          <cell r="C329" t="str">
            <v>Bilingual Ministry</v>
          </cell>
          <cell r="E329" t="str">
            <v>PATH538</v>
          </cell>
        </row>
        <row r="330">
          <cell r="C330" t="str">
            <v>Marriage, Fam&amp;Interprsnl Reltn</v>
          </cell>
          <cell r="E330" t="str">
            <v>DSLE503</v>
          </cell>
        </row>
        <row r="331">
          <cell r="C331" t="str">
            <v>Human Nature &amp; Destiny</v>
          </cell>
          <cell r="E331" t="str">
            <v>THST647</v>
          </cell>
        </row>
        <row r="332">
          <cell r="C332" t="str">
            <v>Christn Respns to Human Needs</v>
          </cell>
          <cell r="E332" t="str">
            <v>MSSN505</v>
          </cell>
        </row>
        <row r="333">
          <cell r="C333" t="str">
            <v>Christn Lead in a Chnging Wrld</v>
          </cell>
          <cell r="E333" t="str">
            <v>CHMN543</v>
          </cell>
        </row>
        <row r="334">
          <cell r="C334" t="str">
            <v>Top:</v>
          </cell>
          <cell r="D334" t="str">
            <v>Top:Sanctuary Doctrine</v>
          </cell>
          <cell r="E334" t="str">
            <v>THST695</v>
          </cell>
        </row>
        <row r="335">
          <cell r="C335" t="str">
            <v>Christian Witness&amp;Wrld Relgns</v>
          </cell>
          <cell r="E335" t="str">
            <v>MSSN561</v>
          </cell>
        </row>
        <row r="336">
          <cell r="C336" t="str">
            <v>Christian Witness&amp;Wrld Relgns</v>
          </cell>
          <cell r="E336" t="str">
            <v>MSSN561</v>
          </cell>
        </row>
        <row r="337">
          <cell r="C337" t="str">
            <v>Christn Lead in a Chnging Wrld</v>
          </cell>
          <cell r="E337" t="str">
            <v>CHMN543</v>
          </cell>
        </row>
        <row r="338">
          <cell r="C338" t="str">
            <v>Theo of the English NT:</v>
          </cell>
          <cell r="D338" t="str">
            <v>Theo of the English NT:Ethics</v>
          </cell>
          <cell r="E338" t="str">
            <v>NTST567</v>
          </cell>
        </row>
        <row r="339">
          <cell r="C339" t="str">
            <v>Theo of the English NT:</v>
          </cell>
          <cell r="D339" t="str">
            <v>Theo of the English NT:Ethics</v>
          </cell>
          <cell r="E339" t="str">
            <v>NTST567</v>
          </cell>
        </row>
        <row r="340">
          <cell r="C340" t="str">
            <v>Innovative Evangelism</v>
          </cell>
          <cell r="E340" t="str">
            <v>CHMN623</v>
          </cell>
        </row>
        <row r="341">
          <cell r="C341" t="str">
            <v>Studies in Pauline Writings</v>
          </cell>
          <cell r="E341" t="str">
            <v>NTST535</v>
          </cell>
        </row>
        <row r="342">
          <cell r="C342" t="str">
            <v>Marriage, Fam&amp;Interprsnl Reltn</v>
          </cell>
          <cell r="E342" t="str">
            <v>DSRE503</v>
          </cell>
        </row>
        <row r="343">
          <cell r="C343" t="str">
            <v>Doctrine of Salvation</v>
          </cell>
          <cell r="E343" t="str">
            <v>THST540</v>
          </cell>
        </row>
        <row r="344">
          <cell r="C344" t="str">
            <v>Ministry to Youth&amp;Yng Adlt</v>
          </cell>
          <cell r="E344" t="str">
            <v>DSRE534</v>
          </cell>
        </row>
        <row r="345">
          <cell r="C345" t="str">
            <v>Development SDA Theology</v>
          </cell>
          <cell r="E345" t="str">
            <v>CHIS674</v>
          </cell>
        </row>
        <row r="346">
          <cell r="C346" t="str">
            <v>Intro to Old Testmnt Theology</v>
          </cell>
          <cell r="E346" t="str">
            <v>OTST520</v>
          </cell>
        </row>
        <row r="347">
          <cell r="C347" t="str">
            <v>Stud in the Pentateuch (Engl)</v>
          </cell>
          <cell r="E347" t="str">
            <v>OTST566</v>
          </cell>
        </row>
        <row r="348">
          <cell r="C348" t="str">
            <v>Survey of Church History</v>
          </cell>
          <cell r="E348" t="str">
            <v>CHIS505</v>
          </cell>
        </row>
        <row r="349">
          <cell r="C349" t="str">
            <v>Church Grwth&amp; Equipping Leader</v>
          </cell>
          <cell r="E349" t="str">
            <v>PATH539</v>
          </cell>
        </row>
        <row r="350">
          <cell r="C350" t="str">
            <v>Studies in Hebrews</v>
          </cell>
          <cell r="E350" t="str">
            <v>NTST538</v>
          </cell>
        </row>
        <row r="351">
          <cell r="C351" t="str">
            <v>Doctrine of Salvation</v>
          </cell>
          <cell r="E351" t="str">
            <v>THST640</v>
          </cell>
        </row>
        <row r="352">
          <cell r="C352" t="str">
            <v>Marriage, Fam&amp;Interprsnl Reltn</v>
          </cell>
          <cell r="E352" t="str">
            <v>DSLE503</v>
          </cell>
        </row>
        <row r="353">
          <cell r="C353" t="str">
            <v>Seminar in Preaching</v>
          </cell>
          <cell r="E353" t="str">
            <v>PATH637</v>
          </cell>
        </row>
        <row r="354">
          <cell r="C354" t="str">
            <v>Ministry to Youth&amp;Yng Adlt</v>
          </cell>
          <cell r="E354" t="str">
            <v>DSLE534</v>
          </cell>
        </row>
        <row r="355">
          <cell r="C355" t="str">
            <v>Mission in Cultrl&amp;Rlgs Contxt</v>
          </cell>
          <cell r="E355" t="str">
            <v>MSSN546</v>
          </cell>
        </row>
        <row r="356">
          <cell r="C356" t="str">
            <v>Theo of the English NT:</v>
          </cell>
          <cell r="D356" t="str">
            <v>Theo of the Engl NT: NT Ethics</v>
          </cell>
          <cell r="E356" t="str">
            <v>NTST567</v>
          </cell>
        </row>
        <row r="357">
          <cell r="C357" t="str">
            <v>Studies in Pauline Writings</v>
          </cell>
          <cell r="E357" t="str">
            <v>NTST535</v>
          </cell>
        </row>
        <row r="358">
          <cell r="C358" t="str">
            <v>Survey of Church History</v>
          </cell>
          <cell r="E358" t="str">
            <v>CHIS505</v>
          </cell>
        </row>
        <row r="359">
          <cell r="C359" t="str">
            <v>Hisp/Amer Culture &amp; Challenges</v>
          </cell>
          <cell r="E359" t="str">
            <v>CHMN525</v>
          </cell>
        </row>
        <row r="360">
          <cell r="C360" t="str">
            <v>Stud in the Pentateuch (Engl)</v>
          </cell>
          <cell r="E360" t="str">
            <v>OTST566</v>
          </cell>
        </row>
        <row r="361">
          <cell r="C361" t="str">
            <v>Church Grwth&amp; Equipping Pastor</v>
          </cell>
          <cell r="D361" t="str">
            <v>Church Grwth&amp; Equipping Leader</v>
          </cell>
          <cell r="E361" t="str">
            <v>CHMN539</v>
          </cell>
        </row>
        <row r="362">
          <cell r="C362" t="str">
            <v>Hispanic-Amer Church History</v>
          </cell>
          <cell r="E362" t="str">
            <v>CHIS567</v>
          </cell>
        </row>
        <row r="363">
          <cell r="C363" t="str">
            <v>Marriage, Fam&amp;Interprsnl Reltn</v>
          </cell>
          <cell r="E363" t="str">
            <v>DSLE503</v>
          </cell>
        </row>
        <row r="364">
          <cell r="C364" t="str">
            <v>Development SDA Theology</v>
          </cell>
          <cell r="E364" t="str">
            <v>CHIS674</v>
          </cell>
        </row>
        <row r="365">
          <cell r="C365" t="str">
            <v>Intro to Old Testmnt Theology</v>
          </cell>
          <cell r="E365" t="str">
            <v>OTST520</v>
          </cell>
        </row>
        <row r="366">
          <cell r="C366" t="str">
            <v>Public Evangelism (Hispanic)</v>
          </cell>
          <cell r="E366" t="str">
            <v>PATH514</v>
          </cell>
        </row>
        <row r="367">
          <cell r="C367" t="str">
            <v>Christn Lead in a Chnging Wrld</v>
          </cell>
          <cell r="E367" t="str">
            <v>PATH543</v>
          </cell>
        </row>
        <row r="368">
          <cell r="C368" t="str">
            <v>Doctrine of the Sanctuary</v>
          </cell>
          <cell r="E368" t="str">
            <v>GSEM530</v>
          </cell>
        </row>
        <row r="369">
          <cell r="C369" t="str">
            <v>Research Methods</v>
          </cell>
          <cell r="E369" t="str">
            <v>GSEM620</v>
          </cell>
        </row>
        <row r="370">
          <cell r="C370" t="str">
            <v>Sem Hst Select Christn Doct</v>
          </cell>
          <cell r="E370" t="str">
            <v>CHIS659</v>
          </cell>
        </row>
        <row r="371">
          <cell r="C371" t="str">
            <v>Intro to Biblical Hermeneutics</v>
          </cell>
          <cell r="E371" t="str">
            <v>GSEM515</v>
          </cell>
        </row>
        <row r="372">
          <cell r="C372" t="str">
            <v>Evang Small Groups</v>
          </cell>
          <cell r="E372" t="str">
            <v>PATH656</v>
          </cell>
        </row>
        <row r="373">
          <cell r="C373" t="str">
            <v>Ministry to Youth&amp;Yng Adlt</v>
          </cell>
          <cell r="E373" t="str">
            <v>DSLE534</v>
          </cell>
        </row>
        <row r="374">
          <cell r="C374" t="str">
            <v>Seminar in Preaching</v>
          </cell>
          <cell r="E374" t="str">
            <v>PATH637</v>
          </cell>
        </row>
        <row r="375">
          <cell r="C375" t="str">
            <v>Bilingual Ministry</v>
          </cell>
          <cell r="E375" t="str">
            <v>PATH538</v>
          </cell>
        </row>
        <row r="376">
          <cell r="C376" t="str">
            <v>Readings in Revelation</v>
          </cell>
          <cell r="E376" t="str">
            <v>NTST539</v>
          </cell>
        </row>
        <row r="377">
          <cell r="C377" t="str">
            <v>Archaeology and the Bible</v>
          </cell>
          <cell r="E377" t="str">
            <v>ANEA510</v>
          </cell>
        </row>
        <row r="378">
          <cell r="C378" t="str">
            <v>Hist of SDA Theology</v>
          </cell>
          <cell r="E378" t="str">
            <v>CHIS574</v>
          </cell>
        </row>
        <row r="379">
          <cell r="C379" t="str">
            <v>Mission in Cultrl&amp;Rlgs Contxt</v>
          </cell>
          <cell r="E379" t="str">
            <v>MSSN546</v>
          </cell>
        </row>
        <row r="380">
          <cell r="C380" t="str">
            <v>Theo of the English NT:</v>
          </cell>
          <cell r="E380" t="str">
            <v>NTST567</v>
          </cell>
        </row>
        <row r="381">
          <cell r="C381" t="str">
            <v>Research Project</v>
          </cell>
          <cell r="E381" t="str">
            <v>GSEM695</v>
          </cell>
        </row>
        <row r="382">
          <cell r="C382" t="str">
            <v>Master's Degree Contin</v>
          </cell>
          <cell r="E382" t="str">
            <v>GSEM688</v>
          </cell>
        </row>
        <row r="383">
          <cell r="C383" t="str">
            <v>Masters Comprehensive Exam</v>
          </cell>
          <cell r="E383" t="str">
            <v>GSEM680</v>
          </cell>
        </row>
        <row r="384">
          <cell r="C384" t="str">
            <v>Readings in Revelation</v>
          </cell>
          <cell r="E384" t="str">
            <v>NTST539</v>
          </cell>
        </row>
        <row r="385">
          <cell r="C385" t="str">
            <v>Thesis for MA Degree</v>
          </cell>
          <cell r="E385" t="str">
            <v>GSEM697</v>
          </cell>
        </row>
        <row r="386">
          <cell r="C386" t="str">
            <v>Master's Degree Contin</v>
          </cell>
          <cell r="E386" t="str">
            <v>GSEM688</v>
          </cell>
        </row>
        <row r="387">
          <cell r="C387" t="str">
            <v>Hist of Seventh-day Adv Theo</v>
          </cell>
          <cell r="E387" t="str">
            <v>CHIS574</v>
          </cell>
        </row>
        <row r="388">
          <cell r="C388" t="str">
            <v>Contemporary Iss in Mission</v>
          </cell>
          <cell r="E388" t="str">
            <v>MSSN635</v>
          </cell>
        </row>
        <row r="389">
          <cell r="C389" t="str">
            <v>MA Thesis</v>
          </cell>
          <cell r="E389" t="str">
            <v>GSEM697</v>
          </cell>
        </row>
        <row r="390">
          <cell r="C390" t="str">
            <v>Readings in the Gospels</v>
          </cell>
          <cell r="E390" t="str">
            <v>NTST536</v>
          </cell>
        </row>
        <row r="391">
          <cell r="C391" t="str">
            <v>Ministry to Youth&amp;Yng Adlt</v>
          </cell>
          <cell r="E391" t="str">
            <v>DSRE534</v>
          </cell>
        </row>
        <row r="392">
          <cell r="C392" t="str">
            <v>Stud in the Pentateuch (Engl)</v>
          </cell>
          <cell r="E392" t="str">
            <v>OTST566</v>
          </cell>
        </row>
        <row r="393">
          <cell r="C393" t="str">
            <v>Doctrine of the Sanctuary</v>
          </cell>
          <cell r="E393" t="str">
            <v>GSEM530</v>
          </cell>
        </row>
        <row r="394">
          <cell r="C394" t="str">
            <v>Topics:</v>
          </cell>
          <cell r="D394" t="str">
            <v>Topics:Urban Mission</v>
          </cell>
          <cell r="E394" t="str">
            <v>MSSN695</v>
          </cell>
        </row>
        <row r="395">
          <cell r="C395" t="str">
            <v>Development SDA Theology</v>
          </cell>
          <cell r="E395" t="str">
            <v>CHIS674</v>
          </cell>
        </row>
        <row r="396">
          <cell r="C396" t="str">
            <v>Historcl Resrch&amp;Historiography</v>
          </cell>
          <cell r="E396" t="str">
            <v>CHIS628</v>
          </cell>
        </row>
        <row r="397">
          <cell r="C397" t="str">
            <v>Tch Adv Hist &amp; Life/Write EGW</v>
          </cell>
          <cell r="E397" t="str">
            <v>CHIS672</v>
          </cell>
        </row>
        <row r="398">
          <cell r="C398" t="str">
            <v>Methods in Biblical &amp; Theo Res</v>
          </cell>
          <cell r="E398" t="str">
            <v>GSEM520</v>
          </cell>
        </row>
        <row r="399">
          <cell r="C399" t="str">
            <v>Doctrine of Salvation</v>
          </cell>
          <cell r="E399" t="str">
            <v>THST540</v>
          </cell>
        </row>
        <row r="400">
          <cell r="C400" t="str">
            <v>Rdngs in Acts&amp;General Epistles</v>
          </cell>
          <cell r="E400" t="str">
            <v>NTST537</v>
          </cell>
        </row>
        <row r="401">
          <cell r="C401" t="str">
            <v>Topics:</v>
          </cell>
          <cell r="D401" t="str">
            <v>Top: Contemp Issues in Mission</v>
          </cell>
          <cell r="E401" t="str">
            <v>MSSN695</v>
          </cell>
        </row>
        <row r="402">
          <cell r="C402" t="str">
            <v>Topics:</v>
          </cell>
          <cell r="D402" t="str">
            <v>Top: Hist of Christian Mission</v>
          </cell>
          <cell r="E402" t="str">
            <v>MSSN695</v>
          </cell>
        </row>
        <row r="403">
          <cell r="C403" t="str">
            <v>Doctrine of God</v>
          </cell>
          <cell r="E403" t="str">
            <v>THST616</v>
          </cell>
        </row>
        <row r="404">
          <cell r="C404" t="str">
            <v>Studies in the Gospels</v>
          </cell>
          <cell r="E404" t="str">
            <v>NTST536</v>
          </cell>
        </row>
        <row r="405">
          <cell r="C405" t="str">
            <v>Studies in Daniel (Engl)</v>
          </cell>
          <cell r="E405" t="str">
            <v>OTST546</v>
          </cell>
        </row>
        <row r="406">
          <cell r="C406" t="str">
            <v>Readings in Revelation</v>
          </cell>
          <cell r="D406" t="str">
            <v>Revelation</v>
          </cell>
          <cell r="E406" t="str">
            <v>NTST539</v>
          </cell>
        </row>
        <row r="407">
          <cell r="C407" t="str">
            <v>Issues in Ellen G White Stdies</v>
          </cell>
          <cell r="E407" t="str">
            <v>CHIS624</v>
          </cell>
        </row>
        <row r="408">
          <cell r="C408" t="str">
            <v>Hist of SDA Theology</v>
          </cell>
          <cell r="E408" t="str">
            <v>CHIS574</v>
          </cell>
        </row>
        <row r="409">
          <cell r="C409" t="str">
            <v>Judaism &amp; the New Testament</v>
          </cell>
          <cell r="E409" t="str">
            <v>NTST684</v>
          </cell>
        </row>
        <row r="410">
          <cell r="C410" t="str">
            <v>Grt Controversy, Cov, Law, Sab</v>
          </cell>
          <cell r="E410" t="str">
            <v>GSEM628</v>
          </cell>
        </row>
        <row r="411">
          <cell r="C411" t="str">
            <v>Doctrine of the Sanctuary</v>
          </cell>
          <cell r="E411" t="str">
            <v>GSEM530</v>
          </cell>
        </row>
        <row r="412">
          <cell r="C412" t="str">
            <v>Conflict Management</v>
          </cell>
          <cell r="E412" t="str">
            <v>CHMN526</v>
          </cell>
        </row>
        <row r="413">
          <cell r="C413" t="str">
            <v>Theo of the English NT:</v>
          </cell>
          <cell r="D413" t="str">
            <v>Theo Eng NT:Parousia</v>
          </cell>
          <cell r="E413" t="str">
            <v>NTST567</v>
          </cell>
        </row>
        <row r="414">
          <cell r="C414" t="str">
            <v>Studies in Pauline Writings</v>
          </cell>
          <cell r="E414" t="str">
            <v>NTST535</v>
          </cell>
        </row>
        <row r="415">
          <cell r="C415" t="str">
            <v>Doctrine of Salvation</v>
          </cell>
          <cell r="E415" t="str">
            <v>THST540</v>
          </cell>
        </row>
        <row r="416">
          <cell r="C416" t="str">
            <v>Iss in E G White Studies</v>
          </cell>
          <cell r="E416" t="str">
            <v>GSEM534</v>
          </cell>
        </row>
        <row r="417">
          <cell r="C417" t="str">
            <v>Stud in the Pentateuch (Engl)</v>
          </cell>
          <cell r="E417" t="str">
            <v>OTST566</v>
          </cell>
        </row>
        <row r="418">
          <cell r="C418" t="str">
            <v>Research Methods</v>
          </cell>
          <cell r="E418" t="str">
            <v>GSEM620</v>
          </cell>
        </row>
        <row r="419">
          <cell r="C419" t="str">
            <v>Hist of SDA Theology</v>
          </cell>
          <cell r="E419" t="str">
            <v>CHIS574</v>
          </cell>
        </row>
        <row r="420">
          <cell r="C420" t="str">
            <v>Doctrine of God</v>
          </cell>
          <cell r="E420" t="str">
            <v>THST616</v>
          </cell>
        </row>
        <row r="421">
          <cell r="C421" t="str">
            <v>Studies in Daniel (Engl)</v>
          </cell>
          <cell r="E421" t="str">
            <v>OTST546</v>
          </cell>
        </row>
        <row r="422">
          <cell r="C422" t="str">
            <v>Studies in the Gospels</v>
          </cell>
          <cell r="E422" t="str">
            <v>NTST536</v>
          </cell>
        </row>
        <row r="423">
          <cell r="C423" t="str">
            <v>Principles&amp;Methods of Theology</v>
          </cell>
          <cell r="E423" t="str">
            <v>THST619</v>
          </cell>
        </row>
        <row r="424">
          <cell r="C424" t="str">
            <v>Master's Degree Contin</v>
          </cell>
          <cell r="E424" t="str">
            <v>GSEM688</v>
          </cell>
        </row>
        <row r="425">
          <cell r="C425" t="str">
            <v>Research Project</v>
          </cell>
          <cell r="E425" t="str">
            <v>GSEM695</v>
          </cell>
        </row>
        <row r="426">
          <cell r="C426" t="str">
            <v>The Early Church to AD 604</v>
          </cell>
          <cell r="E426" t="str">
            <v>CHIS600</v>
          </cell>
        </row>
        <row r="427">
          <cell r="C427" t="str">
            <v>Readings in Revelation</v>
          </cell>
          <cell r="E427" t="str">
            <v>NTST539</v>
          </cell>
        </row>
        <row r="428">
          <cell r="C428" t="str">
            <v>MA Thesis</v>
          </cell>
          <cell r="E428" t="str">
            <v>GSEM697</v>
          </cell>
        </row>
        <row r="429">
          <cell r="C429" t="str">
            <v>Readings in the Gospels</v>
          </cell>
          <cell r="E429" t="str">
            <v>NTST536</v>
          </cell>
        </row>
        <row r="430">
          <cell r="C430" t="str">
            <v>Readings in Prophets (Engl)</v>
          </cell>
          <cell r="E430" t="str">
            <v>OTST556</v>
          </cell>
        </row>
        <row r="431">
          <cell r="C431" t="str">
            <v>Methods in Biblical &amp; Theo Res</v>
          </cell>
          <cell r="E431" t="str">
            <v>GSEM520</v>
          </cell>
        </row>
        <row r="432">
          <cell r="C432" t="str">
            <v>Hist of Seventh-day Adv Theo</v>
          </cell>
          <cell r="E432" t="str">
            <v>CHIS574</v>
          </cell>
        </row>
        <row r="433">
          <cell r="C433" t="str">
            <v>Masters Comprehensive Exam</v>
          </cell>
          <cell r="E433" t="str">
            <v>GSEM680</v>
          </cell>
        </row>
        <row r="434">
          <cell r="C434" t="str">
            <v>Topics in Ministry</v>
          </cell>
          <cell r="E434" t="str">
            <v>CHMN517</v>
          </cell>
        </row>
        <row r="435">
          <cell r="C435" t="str">
            <v>Christn Lead in a Chnging Wrld</v>
          </cell>
          <cell r="E435" t="str">
            <v>CHMN543</v>
          </cell>
        </row>
        <row r="436">
          <cell r="C436" t="str">
            <v>Science &amp; Religion</v>
          </cell>
          <cell r="E436" t="str">
            <v>THST678</v>
          </cell>
        </row>
        <row r="437">
          <cell r="C437" t="str">
            <v>Studies in Hebrews</v>
          </cell>
          <cell r="E437" t="str">
            <v>NTST538</v>
          </cell>
        </row>
        <row r="438">
          <cell r="C438" t="str">
            <v>Fndtns of Biblicl Spirituality</v>
          </cell>
          <cell r="E438" t="str">
            <v>DSRE541</v>
          </cell>
        </row>
        <row r="439">
          <cell r="C439" t="str">
            <v>Issues in Ellen G White Stdies</v>
          </cell>
          <cell r="E439" t="str">
            <v>CHIS624</v>
          </cell>
        </row>
        <row r="440">
          <cell r="C440" t="str">
            <v>Thesis for MA Degree</v>
          </cell>
          <cell r="E440" t="str">
            <v>GSEM697</v>
          </cell>
        </row>
        <row r="441">
          <cell r="C441" t="str">
            <v>Theo of the English NT:</v>
          </cell>
          <cell r="E441" t="str">
            <v>NTST567</v>
          </cell>
        </row>
        <row r="442">
          <cell r="C442" t="str">
            <v>Studies in Prophets (Engl)</v>
          </cell>
          <cell r="E442" t="str">
            <v>OTST556</v>
          </cell>
        </row>
        <row r="443">
          <cell r="C443" t="str">
            <v>Fndtns of Biblicl Spirituality</v>
          </cell>
          <cell r="E443" t="str">
            <v>DSLE541</v>
          </cell>
        </row>
        <row r="444">
          <cell r="C444" t="str">
            <v>Christn Lead in a Chnging Wrld</v>
          </cell>
          <cell r="E444" t="str">
            <v>PATH543</v>
          </cell>
        </row>
        <row r="445">
          <cell r="C445" t="str">
            <v>Church Growth</v>
          </cell>
          <cell r="E445" t="str">
            <v>PATH541</v>
          </cell>
        </row>
        <row r="446">
          <cell r="C446" t="str">
            <v>DMin Prof Dissertation Sem</v>
          </cell>
          <cell r="E446" t="str">
            <v>GSEM790</v>
          </cell>
        </row>
        <row r="447">
          <cell r="C447" t="str">
            <v>Doctrine of Salvation</v>
          </cell>
          <cell r="E447" t="str">
            <v>THST540</v>
          </cell>
        </row>
        <row r="448">
          <cell r="C448" t="str">
            <v>Doctrine of God</v>
          </cell>
          <cell r="E448" t="str">
            <v>THST616</v>
          </cell>
        </row>
        <row r="449">
          <cell r="C449" t="str">
            <v>Stud in the Pentateuch (Engl)</v>
          </cell>
          <cell r="E449" t="str">
            <v>OTST566</v>
          </cell>
        </row>
        <row r="450">
          <cell r="C450" t="str">
            <v>Witn People Another Rlg:</v>
          </cell>
          <cell r="E450" t="str">
            <v>MSSN660</v>
          </cell>
        </row>
        <row r="451">
          <cell r="C451" t="str">
            <v>Research Project</v>
          </cell>
          <cell r="E451" t="str">
            <v>GSEM695</v>
          </cell>
        </row>
        <row r="452">
          <cell r="C452" t="str">
            <v>Master's Degree Contin</v>
          </cell>
          <cell r="E452" t="str">
            <v>GSEM688</v>
          </cell>
        </row>
        <row r="453">
          <cell r="C453" t="str">
            <v>Studies in Hebrews</v>
          </cell>
          <cell r="E453" t="str">
            <v>NTST538</v>
          </cell>
        </row>
        <row r="454">
          <cell r="C454" t="str">
            <v>Doctrine of the Sanctuary</v>
          </cell>
          <cell r="E454" t="str">
            <v>GSEM530</v>
          </cell>
        </row>
        <row r="455">
          <cell r="C455" t="str">
            <v>Masters Comprehensive Exam</v>
          </cell>
          <cell r="E455" t="str">
            <v>GSEM680</v>
          </cell>
        </row>
        <row r="456">
          <cell r="C456" t="str">
            <v>MA Thesis</v>
          </cell>
          <cell r="E456" t="str">
            <v>GSEM697</v>
          </cell>
        </row>
        <row r="457">
          <cell r="C457" t="str">
            <v>Strategy Development I</v>
          </cell>
          <cell r="E457" t="str">
            <v>MSSN741</v>
          </cell>
        </row>
        <row r="458">
          <cell r="C458" t="str">
            <v>Cultural &amp; Relg Analysis I</v>
          </cell>
          <cell r="E458" t="str">
            <v>MSSN731</v>
          </cell>
        </row>
        <row r="459">
          <cell r="C459" t="str">
            <v>Christn Lead in a Chnging Wrld</v>
          </cell>
          <cell r="E459" t="str">
            <v>CHMN543</v>
          </cell>
        </row>
        <row r="460">
          <cell r="C460" t="str">
            <v>Conflict Management</v>
          </cell>
          <cell r="E460" t="str">
            <v>CHMN526</v>
          </cell>
        </row>
        <row r="461">
          <cell r="C461" t="str">
            <v>Readings in the Gospels</v>
          </cell>
          <cell r="E461" t="str">
            <v>NTST536</v>
          </cell>
        </row>
        <row r="462">
          <cell r="C462" t="str">
            <v>Methods in Biblical &amp; Theo Res</v>
          </cell>
          <cell r="E462" t="str">
            <v>GSEM520</v>
          </cell>
        </row>
        <row r="463">
          <cell r="C463" t="str">
            <v>Thesis for MA Degree</v>
          </cell>
          <cell r="E463" t="str">
            <v>GSEM697</v>
          </cell>
        </row>
        <row r="464">
          <cell r="C464" t="str">
            <v>Studies in Daniel (Engl)</v>
          </cell>
          <cell r="E464" t="str">
            <v>OTST546</v>
          </cell>
        </row>
        <row r="465">
          <cell r="C465" t="str">
            <v>Studies in Prophets (Engl)</v>
          </cell>
          <cell r="E465" t="str">
            <v>OTST556</v>
          </cell>
        </row>
        <row r="466">
          <cell r="C466" t="str">
            <v>Mission in Cultrl&amp;Rlgs Contxt</v>
          </cell>
          <cell r="E466" t="str">
            <v>MSSN546</v>
          </cell>
        </row>
        <row r="467">
          <cell r="C467" t="str">
            <v>Studies in Pauline Writings</v>
          </cell>
          <cell r="E467" t="str">
            <v>NTST535</v>
          </cell>
        </row>
        <row r="468">
          <cell r="C468" t="str">
            <v>DMin Prof Dissertation</v>
          </cell>
          <cell r="E468" t="str">
            <v>GSEM796</v>
          </cell>
        </row>
        <row r="469">
          <cell r="C469" t="str">
            <v>Theo of the English NT:</v>
          </cell>
          <cell r="E469" t="str">
            <v>NTST567</v>
          </cell>
        </row>
        <row r="470">
          <cell r="C470" t="str">
            <v>DMin Prof Dissertation Cont</v>
          </cell>
          <cell r="E470" t="str">
            <v>GSEM788</v>
          </cell>
        </row>
        <row r="471">
          <cell r="C471" t="str">
            <v>Mission to the Cities</v>
          </cell>
          <cell r="E471" t="str">
            <v>MSSN618</v>
          </cell>
        </row>
        <row r="472">
          <cell r="C472" t="str">
            <v>Doctrine of the Holy Spirit</v>
          </cell>
          <cell r="E472" t="str">
            <v>THST639</v>
          </cell>
        </row>
        <row r="473">
          <cell r="C473" t="str">
            <v>Studies in the Gospels</v>
          </cell>
          <cell r="E473" t="str">
            <v>NTST536</v>
          </cell>
        </row>
        <row r="474">
          <cell r="C474" t="str">
            <v>Hist of Seventh-day Adv Theo</v>
          </cell>
          <cell r="E474" t="str">
            <v>CHIS574</v>
          </cell>
        </row>
        <row r="475">
          <cell r="C475" t="str">
            <v>Issues in Ellen G White Stdies</v>
          </cell>
          <cell r="E475" t="str">
            <v>CHIS624</v>
          </cell>
        </row>
        <row r="476">
          <cell r="C476" t="str">
            <v>Topics:</v>
          </cell>
          <cell r="D476" t="str">
            <v>Top:Islamic Culture &amp; Society</v>
          </cell>
          <cell r="E476" t="str">
            <v>MSSN695</v>
          </cell>
        </row>
        <row r="477">
          <cell r="C477" t="str">
            <v>Masters Comprehensive Exam</v>
          </cell>
          <cell r="E477" t="str">
            <v>GSEM680</v>
          </cell>
        </row>
        <row r="478">
          <cell r="C478" t="str">
            <v>Master's Degree Contin</v>
          </cell>
          <cell r="E478" t="str">
            <v>GSEM688</v>
          </cell>
        </row>
        <row r="479">
          <cell r="C479" t="str">
            <v>Research Project</v>
          </cell>
          <cell r="E479" t="str">
            <v>GSEM695</v>
          </cell>
        </row>
        <row r="480">
          <cell r="C480" t="str">
            <v>Thesis for MA Degree</v>
          </cell>
          <cell r="E480" t="str">
            <v>GSEM697</v>
          </cell>
        </row>
        <row r="481">
          <cell r="C481" t="str">
            <v>Doctrine of God</v>
          </cell>
          <cell r="E481" t="str">
            <v>THST616</v>
          </cell>
        </row>
        <row r="482">
          <cell r="C482" t="str">
            <v>Doctrine of Salvation</v>
          </cell>
          <cell r="E482" t="str">
            <v>THST540</v>
          </cell>
        </row>
        <row r="483">
          <cell r="C483" t="str">
            <v>Topics:</v>
          </cell>
          <cell r="D483" t="str">
            <v>Topics:Hindu Culture &amp; Society</v>
          </cell>
          <cell r="E483" t="str">
            <v>MSSN695</v>
          </cell>
        </row>
        <row r="484">
          <cell r="C484" t="str">
            <v>Stud in the Pentateuch (Engl)</v>
          </cell>
          <cell r="E484" t="str">
            <v>OTST566</v>
          </cell>
        </row>
        <row r="485">
          <cell r="C485" t="str">
            <v>Topics:</v>
          </cell>
          <cell r="D485" t="str">
            <v>Top:Biblical and Quranic Stud</v>
          </cell>
          <cell r="E485" t="str">
            <v>MSSN695</v>
          </cell>
        </row>
        <row r="486">
          <cell r="C486" t="str">
            <v>Studies in Prophets (Engl)</v>
          </cell>
          <cell r="E486" t="str">
            <v>OTST556</v>
          </cell>
        </row>
        <row r="487">
          <cell r="C487" t="str">
            <v>Doctrine of the Sanctuary</v>
          </cell>
          <cell r="E487" t="str">
            <v>GSEM530</v>
          </cell>
        </row>
        <row r="488">
          <cell r="C488" t="str">
            <v>Contemporary Iss in Mission</v>
          </cell>
          <cell r="E488" t="str">
            <v>MSSN635</v>
          </cell>
        </row>
        <row r="489">
          <cell r="C489" t="str">
            <v>Methods in Biblical &amp; Theo Res</v>
          </cell>
          <cell r="E489" t="str">
            <v>GSEM520</v>
          </cell>
        </row>
        <row r="490">
          <cell r="C490" t="str">
            <v>Topics:</v>
          </cell>
          <cell r="D490" t="str">
            <v>Top:Biblical&amp; Buddhism Studies</v>
          </cell>
          <cell r="E490" t="str">
            <v>MSSN695</v>
          </cell>
        </row>
        <row r="491">
          <cell r="C491" t="str">
            <v>Reformation Theology</v>
          </cell>
          <cell r="E491" t="str">
            <v>CHIS634</v>
          </cell>
        </row>
        <row r="492">
          <cell r="C492" t="str">
            <v>Marriage, Fam&amp;Interprsnl Reltn</v>
          </cell>
          <cell r="E492" t="str">
            <v>DSLE503</v>
          </cell>
        </row>
        <row r="493">
          <cell r="C493" t="str">
            <v>Studies in Daniel (Engl)</v>
          </cell>
          <cell r="E493" t="str">
            <v>OTST546</v>
          </cell>
        </row>
        <row r="494">
          <cell r="C494" t="str">
            <v>Master's Degree Contin</v>
          </cell>
          <cell r="E494" t="str">
            <v>GSEM688</v>
          </cell>
        </row>
        <row r="495">
          <cell r="C495" t="str">
            <v>Rdngs in Acts&amp;General Epistles</v>
          </cell>
          <cell r="D495" t="str">
            <v>Stdies in Acts&amp;General Epstles</v>
          </cell>
          <cell r="E495" t="str">
            <v>NTST537</v>
          </cell>
        </row>
        <row r="496">
          <cell r="C496" t="str">
            <v>Studies in the Gospels</v>
          </cell>
          <cell r="E496" t="str">
            <v>NTST536</v>
          </cell>
        </row>
        <row r="497">
          <cell r="C497" t="str">
            <v>Topics:</v>
          </cell>
          <cell r="D497" t="str">
            <v>Top:Buddhism Culture and Socty</v>
          </cell>
          <cell r="E497" t="str">
            <v>MSSN695</v>
          </cell>
        </row>
        <row r="498">
          <cell r="C498" t="str">
            <v>Topics:</v>
          </cell>
          <cell r="D498" t="str">
            <v>Top:Buddhism Culture and Socty</v>
          </cell>
          <cell r="E498" t="str">
            <v>MSSN695</v>
          </cell>
        </row>
        <row r="499">
          <cell r="C499" t="str">
            <v>Readings in Revelation</v>
          </cell>
          <cell r="E499" t="str">
            <v>NTST539</v>
          </cell>
        </row>
        <row r="500">
          <cell r="C500" t="str">
            <v>MA Thesis</v>
          </cell>
          <cell r="E500" t="str">
            <v>GSEM697</v>
          </cell>
        </row>
        <row r="501">
          <cell r="C501" t="str">
            <v>Research Project</v>
          </cell>
          <cell r="E501" t="str">
            <v>GSEM695</v>
          </cell>
        </row>
        <row r="502">
          <cell r="C502" t="str">
            <v>Stud in the Pentateuch (Engl)</v>
          </cell>
          <cell r="E502" t="str">
            <v>OTST566</v>
          </cell>
        </row>
        <row r="503">
          <cell r="C503" t="str">
            <v>Christian Social Ethics</v>
          </cell>
          <cell r="E503" t="str">
            <v>THST634</v>
          </cell>
        </row>
        <row r="504">
          <cell r="C504" t="str">
            <v>Methods in Biblical &amp; Theo Res</v>
          </cell>
          <cell r="E504" t="str">
            <v>GSEM520</v>
          </cell>
        </row>
        <row r="505">
          <cell r="C505" t="str">
            <v>Doctrine of Salvation</v>
          </cell>
          <cell r="E505" t="str">
            <v>THST540</v>
          </cell>
        </row>
        <row r="506">
          <cell r="C506" t="str">
            <v>Masters Comprehensive Exam</v>
          </cell>
          <cell r="E506" t="str">
            <v>GSEM680</v>
          </cell>
        </row>
        <row r="507">
          <cell r="C507" t="str">
            <v>Master's Degree Contin</v>
          </cell>
          <cell r="E507" t="str">
            <v>GSEM688</v>
          </cell>
        </row>
        <row r="508">
          <cell r="C508" t="str">
            <v>Studies in Hebrews</v>
          </cell>
          <cell r="E508" t="str">
            <v>NTST538</v>
          </cell>
        </row>
        <row r="509">
          <cell r="C509" t="str">
            <v>Doctrine of the Sanctuary</v>
          </cell>
          <cell r="E509" t="str">
            <v>GSEM530</v>
          </cell>
        </row>
        <row r="510">
          <cell r="C510" t="str">
            <v>Issues in Ellen G White Stdies</v>
          </cell>
          <cell r="E510" t="str">
            <v>CHIS624</v>
          </cell>
        </row>
        <row r="511">
          <cell r="C511" t="str">
            <v>Development SDA Theology</v>
          </cell>
          <cell r="E511" t="str">
            <v>CHIS674</v>
          </cell>
        </row>
        <row r="512">
          <cell r="C512" t="str">
            <v>Doctrine of the Church</v>
          </cell>
          <cell r="E512" t="str">
            <v>THST615</v>
          </cell>
        </row>
        <row r="513">
          <cell r="C513" t="str">
            <v>Contemp Adventst Theolgcl Iss</v>
          </cell>
          <cell r="E513" t="str">
            <v>THST623</v>
          </cell>
        </row>
        <row r="514">
          <cell r="C514" t="str">
            <v>Studies in Daniel (Engl)</v>
          </cell>
          <cell r="E514" t="str">
            <v>OTST546</v>
          </cell>
        </row>
        <row r="515">
          <cell r="C515" t="str">
            <v>Readings in Prophets (Engl)</v>
          </cell>
          <cell r="E515" t="str">
            <v>OTST556</v>
          </cell>
        </row>
        <row r="516">
          <cell r="C516" t="str">
            <v>Thesis for MA Degree</v>
          </cell>
          <cell r="E516" t="str">
            <v>GSEM697</v>
          </cell>
        </row>
        <row r="517">
          <cell r="C517" t="str">
            <v>Hist of Seventh-day Adv Theo</v>
          </cell>
          <cell r="E517" t="str">
            <v>CHIS574</v>
          </cell>
        </row>
        <row r="518">
          <cell r="C518" t="str">
            <v>Field Evang. Preach. &amp; Pract.</v>
          </cell>
          <cell r="E518" t="str">
            <v>PATH634</v>
          </cell>
        </row>
        <row r="519">
          <cell r="C519" t="str">
            <v>Theo of the English NT:</v>
          </cell>
          <cell r="E519" t="str">
            <v>NTST567</v>
          </cell>
        </row>
        <row r="520">
          <cell r="C520" t="str">
            <v>Readings in the OT (English)</v>
          </cell>
          <cell r="E520" t="str">
            <v>OTST570</v>
          </cell>
        </row>
        <row r="521">
          <cell r="C521" t="str">
            <v>Intro to Old Testmnt Theology</v>
          </cell>
          <cell r="E521" t="str">
            <v>OTST520</v>
          </cell>
        </row>
        <row r="522">
          <cell r="C522" t="str">
            <v>Preaching from the Old Testmnt</v>
          </cell>
          <cell r="E522" t="str">
            <v>PATH607</v>
          </cell>
        </row>
        <row r="523">
          <cell r="C523" t="str">
            <v>Greco-Roman World</v>
          </cell>
          <cell r="E523" t="str">
            <v>NTST680</v>
          </cell>
        </row>
        <row r="524">
          <cell r="C524" t="str">
            <v>Studies in Pauline Writings</v>
          </cell>
          <cell r="E524" t="str">
            <v>NTST535</v>
          </cell>
        </row>
        <row r="525">
          <cell r="C525" t="str">
            <v>Innovative Evangelism</v>
          </cell>
          <cell r="E525" t="str">
            <v>CHMN623</v>
          </cell>
        </row>
        <row r="526">
          <cell r="C526" t="str">
            <v>Marriage, Fam&amp;Interprsnl Reltn</v>
          </cell>
          <cell r="E526" t="str">
            <v>DSRE503</v>
          </cell>
        </row>
        <row r="527">
          <cell r="C527" t="str">
            <v>Protestant Theologicl Heritage</v>
          </cell>
          <cell r="E527" t="str">
            <v>THST624</v>
          </cell>
        </row>
        <row r="528">
          <cell r="C528" t="str">
            <v>Protestant Theologicl Heritage</v>
          </cell>
          <cell r="E528" t="str">
            <v>THST624</v>
          </cell>
        </row>
        <row r="529">
          <cell r="C529" t="str">
            <v>Marriage, Fam&amp;Interprsnl Reltn</v>
          </cell>
          <cell r="E529" t="str">
            <v>DSRE503</v>
          </cell>
        </row>
        <row r="530">
          <cell r="C530" t="str">
            <v>Development SDA Theology</v>
          </cell>
          <cell r="E530" t="str">
            <v>CHIS674</v>
          </cell>
        </row>
        <row r="531">
          <cell r="C531" t="str">
            <v>Archaeology and the Bible</v>
          </cell>
          <cell r="E531" t="str">
            <v>ANEA510</v>
          </cell>
        </row>
        <row r="532">
          <cell r="C532" t="str">
            <v>Sem in Historical Theology:</v>
          </cell>
          <cell r="E532" t="str">
            <v>THST656</v>
          </cell>
        </row>
        <row r="533">
          <cell r="C533" t="str">
            <v>Doctrine of the Sanctuary</v>
          </cell>
          <cell r="E533" t="str">
            <v>GSEM530</v>
          </cell>
        </row>
        <row r="534">
          <cell r="C534" t="str">
            <v>Public Evangelism (Hispanic)</v>
          </cell>
          <cell r="E534" t="str">
            <v>CHMN514</v>
          </cell>
        </row>
        <row r="535">
          <cell r="C535" t="str">
            <v>Christn Lead in a Chnging Wrld</v>
          </cell>
          <cell r="E535" t="str">
            <v>CHMN543</v>
          </cell>
        </row>
        <row r="536">
          <cell r="C536" t="str">
            <v>Theo of the English NT:</v>
          </cell>
          <cell r="E536" t="str">
            <v>NTST567</v>
          </cell>
        </row>
        <row r="537">
          <cell r="C537" t="str">
            <v>Mission in Cultrl&amp;Rlgs Contxt</v>
          </cell>
          <cell r="E537" t="str">
            <v>MSSN546</v>
          </cell>
        </row>
        <row r="538">
          <cell r="C538" t="str">
            <v>Mission in Cultrl&amp;Rlgs Contxt</v>
          </cell>
          <cell r="E538" t="str">
            <v>MSSN546</v>
          </cell>
        </row>
        <row r="539">
          <cell r="C539" t="str">
            <v>Seminar in Preaching</v>
          </cell>
          <cell r="E539" t="str">
            <v>CHMN637</v>
          </cell>
        </row>
        <row r="540">
          <cell r="C540" t="str">
            <v>Studies in Daniel (Engl)</v>
          </cell>
          <cell r="E540" t="str">
            <v>OTST546</v>
          </cell>
        </row>
        <row r="541">
          <cell r="C541" t="str">
            <v>Studies in Prophets (Engl)</v>
          </cell>
          <cell r="E541" t="str">
            <v>OTST556</v>
          </cell>
        </row>
        <row r="542">
          <cell r="C542" t="str">
            <v>Ministry to Youth&amp;Yng Adlt</v>
          </cell>
          <cell r="E542" t="str">
            <v>DSRE534</v>
          </cell>
        </row>
        <row r="543">
          <cell r="C543" t="str">
            <v>Spiritual Nurture of Children</v>
          </cell>
          <cell r="E543" t="str">
            <v>DSRE678</v>
          </cell>
        </row>
        <row r="544">
          <cell r="C544" t="str">
            <v>Iss in E G White Studies</v>
          </cell>
          <cell r="E544" t="str">
            <v>GSEM534</v>
          </cell>
        </row>
        <row r="545">
          <cell r="C545" t="str">
            <v>Strategies World Mission</v>
          </cell>
          <cell r="E545" t="str">
            <v>MSSN685</v>
          </cell>
        </row>
        <row r="546">
          <cell r="C546" t="str">
            <v>Masters Comprehensive Exam</v>
          </cell>
          <cell r="E546" t="str">
            <v>GSEM680</v>
          </cell>
        </row>
        <row r="547">
          <cell r="C547" t="str">
            <v>MA Thesis</v>
          </cell>
          <cell r="E547" t="str">
            <v>GSEM697</v>
          </cell>
        </row>
        <row r="548">
          <cell r="C548" t="str">
            <v>Research Project</v>
          </cell>
          <cell r="E548" t="str">
            <v>GSEM695</v>
          </cell>
        </row>
        <row r="549">
          <cell r="C549" t="str">
            <v>Preaching from the Old Testmnt</v>
          </cell>
          <cell r="E549" t="str">
            <v>CHMN607</v>
          </cell>
        </row>
        <row r="550">
          <cell r="C550" t="str">
            <v>Studies in Pauline Writings</v>
          </cell>
          <cell r="E550" t="str">
            <v>NTST535</v>
          </cell>
        </row>
        <row r="551">
          <cell r="C551" t="str">
            <v>Methods in Biblical &amp; Theo Res</v>
          </cell>
          <cell r="E551" t="str">
            <v>GSEM520</v>
          </cell>
        </row>
        <row r="552">
          <cell r="C552" t="str">
            <v>Readings in Revelation</v>
          </cell>
          <cell r="E552" t="str">
            <v>NTST539</v>
          </cell>
        </row>
        <row r="553">
          <cell r="C553" t="str">
            <v>Theo of the English NT:</v>
          </cell>
          <cell r="D553" t="str">
            <v>Theo Engl NT:Love,Marriage&amp;Div</v>
          </cell>
          <cell r="E553" t="str">
            <v>NTST567</v>
          </cell>
        </row>
        <row r="554">
          <cell r="C554" t="str">
            <v>Contemporary Iss in Mission</v>
          </cell>
          <cell r="E554" t="str">
            <v>MSSN635</v>
          </cell>
        </row>
        <row r="555">
          <cell r="C555" t="str">
            <v>Doctrine of God</v>
          </cell>
          <cell r="E555" t="str">
            <v>THST616</v>
          </cell>
        </row>
        <row r="556">
          <cell r="C556" t="str">
            <v>Issues in Ellen G White Stdies</v>
          </cell>
          <cell r="E556" t="str">
            <v>CHIS624</v>
          </cell>
        </row>
        <row r="557">
          <cell r="C557" t="str">
            <v>Master's Degree Contin</v>
          </cell>
          <cell r="E557" t="str">
            <v>GSEM688</v>
          </cell>
        </row>
        <row r="558">
          <cell r="C558" t="str">
            <v>Thesis for MA Degree</v>
          </cell>
          <cell r="E558" t="str">
            <v>GSEM697</v>
          </cell>
        </row>
        <row r="559">
          <cell r="C559" t="str">
            <v>Conflict Management</v>
          </cell>
          <cell r="E559" t="str">
            <v>CHMN526</v>
          </cell>
        </row>
        <row r="560">
          <cell r="C560" t="str">
            <v>Studies in Daniel (Engl)</v>
          </cell>
          <cell r="E560" t="str">
            <v>OTST546</v>
          </cell>
        </row>
        <row r="561">
          <cell r="C561" t="str">
            <v>Doctrine of the Sanctuary</v>
          </cell>
          <cell r="E561" t="str">
            <v>GSEM530</v>
          </cell>
        </row>
        <row r="562">
          <cell r="C562" t="str">
            <v>Doctrine of Salvation</v>
          </cell>
          <cell r="E562" t="str">
            <v>THST540</v>
          </cell>
        </row>
        <row r="563">
          <cell r="C563" t="str">
            <v>Master's Degree Contin</v>
          </cell>
          <cell r="E563" t="str">
            <v>GSEM688</v>
          </cell>
        </row>
        <row r="564">
          <cell r="C564" t="str">
            <v>Hist of Christian Mission</v>
          </cell>
          <cell r="E564" t="str">
            <v>MSSN676</v>
          </cell>
        </row>
        <row r="565">
          <cell r="C565" t="str">
            <v>Hist of Seventh-day Adv Theo</v>
          </cell>
          <cell r="E565" t="str">
            <v>CHIS574</v>
          </cell>
        </row>
        <row r="566">
          <cell r="C566" t="str">
            <v>Stud in the Pentateuch (Engl)</v>
          </cell>
          <cell r="E566" t="str">
            <v>OTST566</v>
          </cell>
        </row>
        <row r="567">
          <cell r="C567" t="str">
            <v>Greco-Roman World</v>
          </cell>
          <cell r="E567" t="str">
            <v>NTST680</v>
          </cell>
        </row>
        <row r="568">
          <cell r="C568" t="str">
            <v>Rdngs in Acts&amp;General Epistles</v>
          </cell>
          <cell r="E568" t="str">
            <v>NTST537</v>
          </cell>
        </row>
        <row r="569">
          <cell r="C569" t="str">
            <v>DMin Prof Dissertation Sem</v>
          </cell>
          <cell r="E569" t="str">
            <v>GSEM790</v>
          </cell>
        </row>
        <row r="570">
          <cell r="C570" t="str">
            <v>Cultural &amp; Relg Analysis I</v>
          </cell>
          <cell r="E570" t="str">
            <v>MSSN731</v>
          </cell>
        </row>
        <row r="571">
          <cell r="C571" t="str">
            <v>Strategy Development I</v>
          </cell>
          <cell r="E571" t="str">
            <v>MSSN741</v>
          </cell>
        </row>
        <row r="572">
          <cell r="C572" t="str">
            <v>DMin Prof Dissertation</v>
          </cell>
          <cell r="E572" t="str">
            <v>GSEM796</v>
          </cell>
        </row>
        <row r="573">
          <cell r="C573" t="str">
            <v>Theo of the English NT:</v>
          </cell>
          <cell r="E573" t="str">
            <v>NTST567</v>
          </cell>
        </row>
        <row r="574">
          <cell r="C574" t="str">
            <v>DMin Research Methods Sem</v>
          </cell>
          <cell r="E574" t="str">
            <v>GSEM793</v>
          </cell>
        </row>
        <row r="575">
          <cell r="C575" t="str">
            <v>Development SDA Theology</v>
          </cell>
          <cell r="E575" t="str">
            <v>CHIS674</v>
          </cell>
        </row>
        <row r="576">
          <cell r="C576" t="str">
            <v>Studies in Daniel (Engl)</v>
          </cell>
          <cell r="E576" t="str">
            <v>OTST546</v>
          </cell>
        </row>
        <row r="577">
          <cell r="C577" t="str">
            <v>Pastoral Counseling</v>
          </cell>
          <cell r="E577" t="str">
            <v>CHMN555</v>
          </cell>
        </row>
        <row r="578">
          <cell r="C578" t="str">
            <v>Studies in the Gospels</v>
          </cell>
          <cell r="E578" t="str">
            <v>NTST536</v>
          </cell>
        </row>
        <row r="579">
          <cell r="C579" t="str">
            <v>Top:</v>
          </cell>
          <cell r="D579" t="str">
            <v>Top:Sanctuary Doctrine</v>
          </cell>
          <cell r="E579" t="str">
            <v>THST695</v>
          </cell>
        </row>
        <row r="580">
          <cell r="C580" t="str">
            <v>Christn Lead in a Chnging Wrld</v>
          </cell>
          <cell r="E580" t="str">
            <v>CHMN543</v>
          </cell>
        </row>
        <row r="581">
          <cell r="C581" t="str">
            <v>Development SDA Theology</v>
          </cell>
          <cell r="E581" t="str">
            <v>CHIS674</v>
          </cell>
        </row>
        <row r="582">
          <cell r="C582" t="str">
            <v>Sem in Historical Theology:</v>
          </cell>
          <cell r="E582" t="str">
            <v>THST656</v>
          </cell>
        </row>
        <row r="583">
          <cell r="C583" t="str">
            <v>Top:</v>
          </cell>
          <cell r="D583" t="str">
            <v>Top:Sanctuary Doctrine</v>
          </cell>
          <cell r="E583" t="str">
            <v>THST695</v>
          </cell>
        </row>
        <row r="584">
          <cell r="C584" t="str">
            <v>Christn Lead in a Chnging Wrld</v>
          </cell>
          <cell r="E584" t="str">
            <v>CHMN543</v>
          </cell>
        </row>
        <row r="585">
          <cell r="C585" t="str">
            <v>Studies in Daniel (Engl)</v>
          </cell>
          <cell r="E585" t="str">
            <v>OTST546</v>
          </cell>
        </row>
        <row r="586">
          <cell r="C586" t="str">
            <v>Hispanic-Amer Church History</v>
          </cell>
          <cell r="E586" t="str">
            <v>CHIS567</v>
          </cell>
        </row>
        <row r="587">
          <cell r="C587" t="str">
            <v>Readings in Prophets (Engl)</v>
          </cell>
          <cell r="E587" t="str">
            <v>OTST556</v>
          </cell>
        </row>
        <row r="588">
          <cell r="C588" t="str">
            <v>Evang Small Groups</v>
          </cell>
          <cell r="E588" t="str">
            <v>CHMN656</v>
          </cell>
        </row>
        <row r="589">
          <cell r="C589" t="str">
            <v>Survey of Church History</v>
          </cell>
          <cell r="E589" t="str">
            <v>CHIS505</v>
          </cell>
        </row>
        <row r="590">
          <cell r="C590" t="str">
            <v>Archaeology and the Bible</v>
          </cell>
          <cell r="E590" t="str">
            <v>ANEA510</v>
          </cell>
        </row>
        <row r="591">
          <cell r="C591" t="str">
            <v>Teaching for Discipleship</v>
          </cell>
          <cell r="E591" t="str">
            <v>DSRE610</v>
          </cell>
        </row>
        <row r="592">
          <cell r="C592" t="str">
            <v>Christian Personal Ethics</v>
          </cell>
          <cell r="E592" t="str">
            <v>THST600</v>
          </cell>
        </row>
        <row r="593">
          <cell r="C593" t="str">
            <v>Rdngs in Acts&amp;General Epistles</v>
          </cell>
          <cell r="E593" t="str">
            <v>NTST537</v>
          </cell>
        </row>
        <row r="594">
          <cell r="C594" t="str">
            <v>Christn Lead in a Chnging Wrld</v>
          </cell>
          <cell r="E594" t="str">
            <v>CHMN543</v>
          </cell>
        </row>
        <row r="595">
          <cell r="C595" t="str">
            <v>Church Grwth&amp; Equipping Pastor</v>
          </cell>
          <cell r="E595" t="str">
            <v>CHMN539</v>
          </cell>
        </row>
        <row r="596">
          <cell r="C596" t="str">
            <v>Research Methods</v>
          </cell>
          <cell r="E596" t="str">
            <v>GSEM620</v>
          </cell>
        </row>
        <row r="597">
          <cell r="C597" t="str">
            <v>Ministry to Youth&amp;Yng Adlt</v>
          </cell>
          <cell r="E597" t="str">
            <v>DSRE534</v>
          </cell>
        </row>
        <row r="598">
          <cell r="C598" t="str">
            <v>Protestant Theologicl Heritage</v>
          </cell>
          <cell r="E598" t="str">
            <v>THST624</v>
          </cell>
        </row>
        <row r="599">
          <cell r="C599" t="str">
            <v>Marriage, Fam&amp;Interprsnl Reltn</v>
          </cell>
          <cell r="E599" t="str">
            <v>DSRE503</v>
          </cell>
        </row>
        <row r="600">
          <cell r="C600" t="str">
            <v>Studies in Pauline Writings</v>
          </cell>
          <cell r="E600" t="str">
            <v>NTST535</v>
          </cell>
        </row>
        <row r="601">
          <cell r="C601" t="str">
            <v>Seminar in Preaching</v>
          </cell>
          <cell r="E601" t="str">
            <v>CHMN637</v>
          </cell>
        </row>
        <row r="602">
          <cell r="C602" t="str">
            <v>Research Methods</v>
          </cell>
          <cell r="E602" t="str">
            <v>GSEM620</v>
          </cell>
        </row>
        <row r="603">
          <cell r="C603" t="str">
            <v>Sem in Historical Theology:</v>
          </cell>
          <cell r="E603" t="str">
            <v>THST656</v>
          </cell>
        </row>
        <row r="604">
          <cell r="C604" t="str">
            <v>Mobilizing for Evang Min</v>
          </cell>
          <cell r="E604" t="str">
            <v>CHMN604</v>
          </cell>
        </row>
        <row r="605">
          <cell r="C605" t="str">
            <v>Mission in Cultrl&amp;Rlgs Contxt</v>
          </cell>
          <cell r="E605" t="str">
            <v>MSSN546</v>
          </cell>
        </row>
        <row r="606">
          <cell r="C606" t="str">
            <v>Theo of the English NT:</v>
          </cell>
          <cell r="E606" t="str">
            <v>NTST567</v>
          </cell>
        </row>
        <row r="607">
          <cell r="C607" t="str">
            <v>Mission in Cultrl&amp;Rlgs Contxt</v>
          </cell>
          <cell r="E607" t="str">
            <v>MSSN546</v>
          </cell>
        </row>
        <row r="608">
          <cell r="C608" t="str">
            <v>Studies in Daniel (Engl)</v>
          </cell>
          <cell r="E608" t="str">
            <v>OTST546</v>
          </cell>
        </row>
        <row r="609">
          <cell r="C609" t="str">
            <v>Bilingual Ministry</v>
          </cell>
          <cell r="E609" t="str">
            <v>PATH538</v>
          </cell>
        </row>
        <row r="610">
          <cell r="C610" t="str">
            <v>Sem in Historical Theology:</v>
          </cell>
          <cell r="E610" t="str">
            <v>THST656</v>
          </cell>
        </row>
        <row r="611">
          <cell r="C611" t="str">
            <v>Stud in the Pentateuch (Engl)</v>
          </cell>
          <cell r="E611" t="str">
            <v>OTST566</v>
          </cell>
        </row>
        <row r="612">
          <cell r="C612" t="str">
            <v>Christn Lead in a Chnging Wrld</v>
          </cell>
          <cell r="E612" t="str">
            <v>PATH543</v>
          </cell>
        </row>
        <row r="613">
          <cell r="C613" t="str">
            <v>Studies in Pauline Writings</v>
          </cell>
          <cell r="E613" t="str">
            <v>NTST535</v>
          </cell>
        </row>
        <row r="614">
          <cell r="C614" t="str">
            <v>Church Grwth&amp; Equipping Leader</v>
          </cell>
          <cell r="E614" t="str">
            <v>PATH539</v>
          </cell>
        </row>
        <row r="615">
          <cell r="C615" t="str">
            <v>Ministry to Youth&amp;Yng Adlt</v>
          </cell>
          <cell r="E615" t="str">
            <v>DSLE534</v>
          </cell>
        </row>
        <row r="616">
          <cell r="C616" t="str">
            <v>Marriage, Fam&amp;Interprsnl Reltn</v>
          </cell>
          <cell r="E616" t="str">
            <v>DSLE503</v>
          </cell>
        </row>
        <row r="617">
          <cell r="C617" t="str">
            <v>Doctrine of the Sanctuary</v>
          </cell>
          <cell r="E617" t="str">
            <v>GSEM530</v>
          </cell>
        </row>
        <row r="618">
          <cell r="C618" t="str">
            <v>Mssn-Shaped Church Planting</v>
          </cell>
          <cell r="E618" t="str">
            <v>PATH606</v>
          </cell>
        </row>
        <row r="619">
          <cell r="C619" t="str">
            <v>Studies in Prophets (Engl)</v>
          </cell>
          <cell r="E619" t="str">
            <v>OTST556</v>
          </cell>
        </row>
        <row r="620">
          <cell r="C620" t="str">
            <v>Hist of Sabbath &amp; Sunday</v>
          </cell>
          <cell r="E620" t="str">
            <v>CHIS680</v>
          </cell>
        </row>
        <row r="621">
          <cell r="C621" t="str">
            <v>Seminar in Preaching</v>
          </cell>
          <cell r="E621" t="str">
            <v>PATH637</v>
          </cell>
        </row>
        <row r="622">
          <cell r="C622" t="str">
            <v>Marriage, Fam&amp;Interprsnl Reltn</v>
          </cell>
          <cell r="E622" t="str">
            <v>DSLE503</v>
          </cell>
        </row>
        <row r="623">
          <cell r="C623" t="str">
            <v>Doctrine of Christ</v>
          </cell>
          <cell r="E623" t="str">
            <v>THST630</v>
          </cell>
        </row>
        <row r="624">
          <cell r="C624" t="str">
            <v>Doctrine of Salvation</v>
          </cell>
          <cell r="E624" t="str">
            <v>THST640</v>
          </cell>
        </row>
        <row r="625">
          <cell r="C625" t="str">
            <v>Health&amp;Lifestyle Transformatn</v>
          </cell>
          <cell r="E625" t="str">
            <v>CHMN567</v>
          </cell>
        </row>
        <row r="626">
          <cell r="C626" t="str">
            <v>Tools for Pastor's Spouse</v>
          </cell>
          <cell r="E626" t="str">
            <v>CHMN508</v>
          </cell>
        </row>
        <row r="627">
          <cell r="C627" t="str">
            <v>Sem Adv OT Exegesis</v>
          </cell>
          <cell r="E627" t="str">
            <v>OTST940</v>
          </cell>
        </row>
        <row r="628">
          <cell r="C628" t="str">
            <v>Biblical Preaching</v>
          </cell>
          <cell r="E628" t="str">
            <v>CHMN505</v>
          </cell>
        </row>
        <row r="629">
          <cell r="C629" t="str">
            <v>Sem in Greek Exegesis</v>
          </cell>
          <cell r="E629" t="str">
            <v>NTST678</v>
          </cell>
        </row>
        <row r="630">
          <cell r="C630" t="str">
            <v>Field Evangelistic Preaching</v>
          </cell>
          <cell r="E630" t="str">
            <v>CHMN631</v>
          </cell>
        </row>
        <row r="631">
          <cell r="C631" t="str">
            <v>Pentateuch (Hebrew)</v>
          </cell>
          <cell r="E631" t="str">
            <v>OTST664</v>
          </cell>
        </row>
        <row r="632">
          <cell r="C632" t="str">
            <v>Hist of Christian Mission</v>
          </cell>
          <cell r="E632" t="str">
            <v>MSSN676</v>
          </cell>
        </row>
        <row r="633">
          <cell r="C633" t="str">
            <v>Church &amp; Personal Finance</v>
          </cell>
          <cell r="E633" t="str">
            <v>CHMN529</v>
          </cell>
        </row>
        <row r="634">
          <cell r="C634" t="str">
            <v>Intro Exeg&amp;Theo2:Acts&amp;Epistles</v>
          </cell>
          <cell r="E634" t="str">
            <v>NTST543</v>
          </cell>
        </row>
        <row r="635">
          <cell r="C635" t="str">
            <v>Pastoral Counseling</v>
          </cell>
          <cell r="E635" t="str">
            <v>CHMN555</v>
          </cell>
        </row>
        <row r="636">
          <cell r="C636" t="str">
            <v>Field Evangelistic Preaching</v>
          </cell>
          <cell r="E636" t="str">
            <v>CHMN631</v>
          </cell>
        </row>
        <row r="637">
          <cell r="C637" t="str">
            <v>Fostering Spiritual Growth</v>
          </cell>
          <cell r="E637" t="str">
            <v>DSRE630</v>
          </cell>
        </row>
        <row r="638">
          <cell r="C638" t="str">
            <v>Yth&amp;Yng Adlt in Contmp Culture</v>
          </cell>
          <cell r="E638" t="str">
            <v>DSRE608</v>
          </cell>
        </row>
        <row r="639">
          <cell r="C639" t="str">
            <v>Biblical Preaching</v>
          </cell>
          <cell r="E639" t="str">
            <v>CHMN505</v>
          </cell>
        </row>
        <row r="640">
          <cell r="C640" t="str">
            <v>Adv Yth&amp;Yng Adlt Min Ldrshp</v>
          </cell>
          <cell r="E640" t="str">
            <v>DSRE564</v>
          </cell>
        </row>
        <row r="641">
          <cell r="C641" t="str">
            <v>Church Grwth&amp; Equipping Pastor</v>
          </cell>
          <cell r="E641" t="str">
            <v>CHMN539</v>
          </cell>
        </row>
        <row r="642">
          <cell r="C642" t="str">
            <v>Sem in Biblical Theology</v>
          </cell>
          <cell r="E642" t="str">
            <v>OTST945</v>
          </cell>
        </row>
        <row r="643">
          <cell r="C643" t="str">
            <v>Intermediate Greek</v>
          </cell>
          <cell r="E643" t="str">
            <v>NTST552</v>
          </cell>
        </row>
        <row r="644">
          <cell r="C644" t="str">
            <v>Marriage, Fam&amp;Interprsnl Reltn</v>
          </cell>
          <cell r="E644" t="str">
            <v>DSRE503</v>
          </cell>
        </row>
        <row r="645">
          <cell r="C645" t="str">
            <v>Rdgs in Ecclesiastical Latin</v>
          </cell>
          <cell r="E645" t="str">
            <v>CHIS614</v>
          </cell>
        </row>
        <row r="646">
          <cell r="C646" t="str">
            <v>Contextualized Preaching</v>
          </cell>
          <cell r="E646" t="str">
            <v>CHMN632</v>
          </cell>
        </row>
        <row r="647">
          <cell r="C647" t="str">
            <v>Ministry to Youth&amp;Yng Adlt</v>
          </cell>
          <cell r="E647" t="str">
            <v>DSRE534</v>
          </cell>
        </row>
        <row r="648">
          <cell r="C648" t="str">
            <v>Hist of Christian Spirituality</v>
          </cell>
          <cell r="E648" t="str">
            <v>CHIS629</v>
          </cell>
        </row>
        <row r="649">
          <cell r="C649" t="str">
            <v>Preaching from the Old Testmnt</v>
          </cell>
          <cell r="E649" t="str">
            <v>CHMN607</v>
          </cell>
        </row>
        <row r="650">
          <cell r="C650" t="str">
            <v>Field Evangelistic Preaching</v>
          </cell>
          <cell r="E650" t="str">
            <v>CHMN631</v>
          </cell>
        </row>
        <row r="651">
          <cell r="C651" t="str">
            <v>Foundatns of Pastoral Ministry</v>
          </cell>
          <cell r="E651" t="str">
            <v>CHMN552</v>
          </cell>
        </row>
        <row r="652">
          <cell r="C652" t="str">
            <v>Marriage, Fam&amp;Interprsnl Reltn</v>
          </cell>
          <cell r="E652" t="str">
            <v>DSRE503</v>
          </cell>
        </row>
        <row r="653">
          <cell r="C653" t="str">
            <v>Internal Dynamics of Families</v>
          </cell>
          <cell r="E653" t="str">
            <v>DSRE658</v>
          </cell>
        </row>
        <row r="654">
          <cell r="C654" t="str">
            <v>Christn Lead in a Chnging Wrld</v>
          </cell>
          <cell r="E654" t="str">
            <v>CHMN543</v>
          </cell>
        </row>
        <row r="655">
          <cell r="C655" t="str">
            <v>Doctrine of Salvation</v>
          </cell>
          <cell r="E655" t="str">
            <v>THST540</v>
          </cell>
        </row>
        <row r="656">
          <cell r="C656" t="str">
            <v>Intermediate Greek</v>
          </cell>
          <cell r="E656" t="str">
            <v>NTST552</v>
          </cell>
        </row>
        <row r="657">
          <cell r="C657" t="str">
            <v>Intermediate Greek</v>
          </cell>
          <cell r="E657" t="str">
            <v>NTST552</v>
          </cell>
        </row>
        <row r="658">
          <cell r="C658" t="str">
            <v>Top in New Testmnt Theo:</v>
          </cell>
          <cell r="D658" t="str">
            <v>NT Top:Suffering, Death &amp; Res</v>
          </cell>
          <cell r="E658" t="str">
            <v>NTST667</v>
          </cell>
        </row>
        <row r="659">
          <cell r="C659" t="str">
            <v>Adv Studies Gospels:</v>
          </cell>
          <cell r="D659" t="str">
            <v>Adv Studies Gospels:Mark</v>
          </cell>
          <cell r="E659" t="str">
            <v>NTST655</v>
          </cell>
        </row>
        <row r="660">
          <cell r="C660" t="str">
            <v>Doctrine of the Sanctuary</v>
          </cell>
          <cell r="E660" t="str">
            <v>GSEM530</v>
          </cell>
        </row>
        <row r="661">
          <cell r="C661" t="str">
            <v>Modern Christian Theology</v>
          </cell>
          <cell r="E661" t="str">
            <v>THST626</v>
          </cell>
        </row>
        <row r="662">
          <cell r="C662" t="str">
            <v>Principles of Christian Ethics</v>
          </cell>
          <cell r="E662" t="str">
            <v>THST550</v>
          </cell>
        </row>
        <row r="663">
          <cell r="C663" t="str">
            <v>Christian Theology II</v>
          </cell>
          <cell r="E663" t="str">
            <v>THST522</v>
          </cell>
        </row>
        <row r="664">
          <cell r="C664" t="str">
            <v>Advent Hist,Life&amp;Writings EGW</v>
          </cell>
          <cell r="E664" t="str">
            <v>CHIS504</v>
          </cell>
        </row>
        <row r="665">
          <cell r="C665" t="str">
            <v>Church Grwth&amp; Equipping Pastor</v>
          </cell>
          <cell r="E665" t="str">
            <v>CHMN539</v>
          </cell>
        </row>
        <row r="666">
          <cell r="C666" t="str">
            <v>Understanding Christian World</v>
          </cell>
          <cell r="E666" t="str">
            <v>THST510</v>
          </cell>
        </row>
        <row r="667">
          <cell r="C667" t="str">
            <v>Biblical Hebrew II</v>
          </cell>
          <cell r="E667" t="str">
            <v>OTST552</v>
          </cell>
        </row>
        <row r="668">
          <cell r="C668" t="str">
            <v>Roman Catholic Life &amp; Thought</v>
          </cell>
          <cell r="E668" t="str">
            <v>THST627</v>
          </cell>
        </row>
        <row r="669">
          <cell r="C669" t="str">
            <v>Human Nature &amp; Destiny</v>
          </cell>
          <cell r="E669" t="str">
            <v>THST647</v>
          </cell>
        </row>
        <row r="670">
          <cell r="C670" t="str">
            <v>Church and Society</v>
          </cell>
          <cell r="E670" t="str">
            <v>THST660</v>
          </cell>
        </row>
        <row r="671">
          <cell r="C671" t="str">
            <v>Theology of the Old Testament</v>
          </cell>
          <cell r="E671" t="str">
            <v>OTST619</v>
          </cell>
        </row>
        <row r="672">
          <cell r="C672" t="str">
            <v>Evang Small Groups</v>
          </cell>
          <cell r="E672" t="str">
            <v>CHMN656</v>
          </cell>
        </row>
        <row r="673">
          <cell r="C673" t="str">
            <v>Seminar in Preaching</v>
          </cell>
          <cell r="E673" t="str">
            <v>CHMN637</v>
          </cell>
        </row>
        <row r="674">
          <cell r="C674" t="str">
            <v>Teaching for Discipleship</v>
          </cell>
          <cell r="E674" t="str">
            <v>DSRE610</v>
          </cell>
        </row>
        <row r="675">
          <cell r="C675" t="str">
            <v>Apologetics in Evangelism</v>
          </cell>
          <cell r="E675" t="str">
            <v>CHMN587</v>
          </cell>
        </row>
        <row r="676">
          <cell r="C676" t="str">
            <v>Doctrine of the Sanctuary</v>
          </cell>
          <cell r="E676" t="str">
            <v>GSEM530</v>
          </cell>
        </row>
        <row r="677">
          <cell r="C677" t="str">
            <v>Hist of Christian Spirituality</v>
          </cell>
          <cell r="E677" t="str">
            <v>CHIS629</v>
          </cell>
        </row>
        <row r="678">
          <cell r="C678" t="str">
            <v>Intro Exeg&amp;Theo2:Acts&amp;Epistles</v>
          </cell>
          <cell r="E678" t="str">
            <v>NTST543</v>
          </cell>
        </row>
        <row r="679">
          <cell r="C679" t="str">
            <v>Writings</v>
          </cell>
          <cell r="E679" t="str">
            <v>OTST558</v>
          </cell>
        </row>
        <row r="680">
          <cell r="C680" t="str">
            <v>Contemp Adv Theol Issues</v>
          </cell>
          <cell r="E680" t="str">
            <v>GSEM626</v>
          </cell>
        </row>
        <row r="681">
          <cell r="C681" t="str">
            <v>Sem in Historical Theology:</v>
          </cell>
          <cell r="E681" t="str">
            <v>THST656</v>
          </cell>
        </row>
        <row r="682">
          <cell r="C682" t="str">
            <v>Biblical Hebrew II</v>
          </cell>
          <cell r="E682" t="str">
            <v>OTST552</v>
          </cell>
        </row>
        <row r="683">
          <cell r="C683" t="str">
            <v>Development SDA Theology</v>
          </cell>
          <cell r="E683" t="str">
            <v>CHIS674</v>
          </cell>
        </row>
        <row r="684">
          <cell r="C684" t="str">
            <v>Prophets</v>
          </cell>
          <cell r="E684" t="str">
            <v>OTST555</v>
          </cell>
        </row>
        <row r="685">
          <cell r="C685" t="str">
            <v>Greco-Roman World</v>
          </cell>
          <cell r="E685" t="str">
            <v>NTST680</v>
          </cell>
        </row>
        <row r="686">
          <cell r="C686" t="str">
            <v>Preaching frm Daniel or Rev</v>
          </cell>
          <cell r="D686" t="str">
            <v>Preaching frm Rev</v>
          </cell>
          <cell r="E686" t="str">
            <v>CHMN614</v>
          </cell>
        </row>
        <row r="687">
          <cell r="C687" t="str">
            <v>Issues in Daniel &amp; Revelation</v>
          </cell>
          <cell r="E687" t="str">
            <v>GSEM627</v>
          </cell>
        </row>
        <row r="688">
          <cell r="C688" t="str">
            <v>Archaeology and the Bible</v>
          </cell>
          <cell r="E688" t="str">
            <v>ANEA510</v>
          </cell>
        </row>
        <row r="689">
          <cell r="C689" t="str">
            <v>Evang Small Groups</v>
          </cell>
          <cell r="E689" t="str">
            <v>CHMN656</v>
          </cell>
        </row>
        <row r="690">
          <cell r="C690" t="str">
            <v>Biblical Hebrew II</v>
          </cell>
          <cell r="E690" t="str">
            <v>OTST552</v>
          </cell>
        </row>
        <row r="691">
          <cell r="C691" t="str">
            <v>The Church &amp; Social Issues</v>
          </cell>
          <cell r="E691" t="str">
            <v>CHMN553</v>
          </cell>
        </row>
        <row r="692">
          <cell r="C692" t="str">
            <v>Church Grwth&amp; Equipping Pastor</v>
          </cell>
          <cell r="E692" t="str">
            <v>CHMN539</v>
          </cell>
        </row>
        <row r="693">
          <cell r="C693" t="str">
            <v>Mission in Cultrl&amp;Rlgs Contxt</v>
          </cell>
          <cell r="E693" t="str">
            <v>MSSN546</v>
          </cell>
        </row>
        <row r="694">
          <cell r="C694" t="str">
            <v>The Pastor, Church &amp; Civil Law</v>
          </cell>
          <cell r="E694" t="str">
            <v>CHMN683</v>
          </cell>
        </row>
        <row r="695">
          <cell r="C695" t="str">
            <v>Foundtns of Biblical Counsel</v>
          </cell>
          <cell r="E695" t="str">
            <v>DSRE651</v>
          </cell>
        </row>
        <row r="696">
          <cell r="C696" t="str">
            <v>Develop Prophetic Interpretatn</v>
          </cell>
          <cell r="E696" t="str">
            <v>CHIS686</v>
          </cell>
        </row>
        <row r="697">
          <cell r="C697" t="str">
            <v>Studies in OT Exegesis</v>
          </cell>
          <cell r="E697" t="str">
            <v>OTST639</v>
          </cell>
        </row>
        <row r="698">
          <cell r="C698" t="str">
            <v>The Pastor, Church &amp; Civil Law</v>
          </cell>
          <cell r="E698" t="str">
            <v>CHIS683</v>
          </cell>
        </row>
        <row r="699">
          <cell r="C699" t="str">
            <v>Exegesis of the English NT:</v>
          </cell>
          <cell r="E699" t="str">
            <v>NTST550</v>
          </cell>
        </row>
        <row r="700">
          <cell r="C700" t="str">
            <v>Christian Witness&amp;Wrld Relgns</v>
          </cell>
          <cell r="E700" t="str">
            <v>MSSN561</v>
          </cell>
        </row>
        <row r="701">
          <cell r="C701" t="str">
            <v>Ancient Near Eastern Lang</v>
          </cell>
          <cell r="E701" t="str">
            <v>ANEA612</v>
          </cell>
        </row>
        <row r="702">
          <cell r="C702" t="str">
            <v>Counseling Youth &amp; Young Adult</v>
          </cell>
          <cell r="E702" t="str">
            <v>DSRE656</v>
          </cell>
        </row>
        <row r="703">
          <cell r="C703" t="str">
            <v>Jewish Life &amp; Thought</v>
          </cell>
          <cell r="E703" t="str">
            <v>OTST627</v>
          </cell>
        </row>
        <row r="704">
          <cell r="C704" t="str">
            <v>Protestant Theologicl Heritage</v>
          </cell>
          <cell r="E704" t="str">
            <v>THST624</v>
          </cell>
        </row>
        <row r="705">
          <cell r="C705" t="str">
            <v>Personal Evangelistic Ministry</v>
          </cell>
          <cell r="E705" t="str">
            <v>CHMN536</v>
          </cell>
        </row>
        <row r="706">
          <cell r="C706" t="str">
            <v>History of Philosophy</v>
          </cell>
          <cell r="E706" t="str">
            <v>THST676</v>
          </cell>
        </row>
        <row r="707">
          <cell r="C707" t="str">
            <v>Daniel &amp; Revelation</v>
          </cell>
          <cell r="E707" t="str">
            <v>GSEM511</v>
          </cell>
        </row>
        <row r="708">
          <cell r="C708" t="str">
            <v>Sem in NT Backgrnds</v>
          </cell>
          <cell r="E708" t="str">
            <v>NTST920</v>
          </cell>
        </row>
        <row r="709">
          <cell r="C709" t="str">
            <v>Hist of Relg in America</v>
          </cell>
          <cell r="E709" t="str">
            <v>CHIS660</v>
          </cell>
        </row>
        <row r="710">
          <cell r="C710" t="str">
            <v>Church History 1500 to Present</v>
          </cell>
          <cell r="E710" t="str">
            <v>CHIS507</v>
          </cell>
        </row>
        <row r="711">
          <cell r="C711" t="str">
            <v>Intro Exeg&amp;Theo 3:Pauline Writ</v>
          </cell>
          <cell r="E711" t="str">
            <v>NTST509</v>
          </cell>
        </row>
        <row r="712">
          <cell r="C712" t="str">
            <v>New Testament Backgrounds</v>
          </cell>
          <cell r="E712" t="str">
            <v>NTST515</v>
          </cell>
        </row>
        <row r="713">
          <cell r="C713" t="str">
            <v>Biblical Hebrew I</v>
          </cell>
          <cell r="E713" t="str">
            <v>OTST551</v>
          </cell>
        </row>
        <row r="714">
          <cell r="C714" t="str">
            <v>Bible Lands&amp; Their Exploration</v>
          </cell>
          <cell r="E714" t="str">
            <v>ANEA514</v>
          </cell>
        </row>
        <row r="715">
          <cell r="C715" t="str">
            <v>Early Christian Theology</v>
          </cell>
          <cell r="E715" t="str">
            <v>THST625</v>
          </cell>
        </row>
        <row r="716">
          <cell r="C716" t="str">
            <v>Top:</v>
          </cell>
          <cell r="D716" t="str">
            <v>Topics:Families in Society</v>
          </cell>
          <cell r="E716" t="str">
            <v>DSRE676</v>
          </cell>
        </row>
        <row r="717">
          <cell r="C717" t="str">
            <v>Beginning Greek</v>
          </cell>
          <cell r="E717" t="str">
            <v>NTST551</v>
          </cell>
        </row>
        <row r="718">
          <cell r="C718" t="str">
            <v>Principles&amp;Methods of Theology</v>
          </cell>
          <cell r="E718" t="str">
            <v>THST619</v>
          </cell>
        </row>
        <row r="719">
          <cell r="C719" t="str">
            <v>Grt Controversy, Cov, Law, Sab</v>
          </cell>
          <cell r="E719" t="str">
            <v>THST608</v>
          </cell>
        </row>
        <row r="720">
          <cell r="C720" t="str">
            <v>Top:</v>
          </cell>
          <cell r="D720" t="str">
            <v>Topics:Research Methods</v>
          </cell>
          <cell r="E720" t="str">
            <v>DSRE676</v>
          </cell>
        </row>
        <row r="721">
          <cell r="C721" t="str">
            <v>Rev, Inspir &amp; Herm</v>
          </cell>
          <cell r="E721" t="str">
            <v>GSEM510</v>
          </cell>
        </row>
        <row r="722">
          <cell r="C722" t="str">
            <v>NT Textl Criticism&amp;Canon Form</v>
          </cell>
          <cell r="E722" t="str">
            <v>NTST606</v>
          </cell>
        </row>
        <row r="723">
          <cell r="C723" t="str">
            <v>Biblical Eschatology</v>
          </cell>
          <cell r="E723" t="str">
            <v>THST637</v>
          </cell>
        </row>
        <row r="724">
          <cell r="C724" t="str">
            <v>Sem in NT Exegesis &amp; Hermn:</v>
          </cell>
          <cell r="D724" t="str">
            <v>Sem NT Exgsis &amp; Hermn:1&amp;2 Tim</v>
          </cell>
          <cell r="E724" t="str">
            <v>NTST940</v>
          </cell>
        </row>
        <row r="725">
          <cell r="C725" t="str">
            <v>Sem in Biblical Theology</v>
          </cell>
          <cell r="D725" t="str">
            <v>Sem in Biblcl Theo:Eschatology</v>
          </cell>
          <cell r="E725" t="str">
            <v>NTST945</v>
          </cell>
        </row>
        <row r="726">
          <cell r="C726" t="str">
            <v>Seminar in Church History:</v>
          </cell>
          <cell r="E726" t="str">
            <v>CHIS940</v>
          </cell>
        </row>
        <row r="727">
          <cell r="C727" t="str">
            <v>Sem in NT Exegesis &amp; Hermn:</v>
          </cell>
          <cell r="D727" t="str">
            <v>Sem NT Exgsis &amp; Hrmn:Galatians</v>
          </cell>
          <cell r="E727" t="str">
            <v>NTST940</v>
          </cell>
        </row>
        <row r="728">
          <cell r="C728" t="str">
            <v>Sem in NT Backgrnds</v>
          </cell>
          <cell r="D728" t="str">
            <v>Sem NT Backgrnds:Greco Rom Rel</v>
          </cell>
          <cell r="E728" t="str">
            <v>NTST920</v>
          </cell>
        </row>
        <row r="729">
          <cell r="C729" t="str">
            <v>Near Eastern Archaeology</v>
          </cell>
          <cell r="E729" t="str">
            <v>ANEA810</v>
          </cell>
        </row>
        <row r="730">
          <cell r="C730" t="str">
            <v>Sem Ancient Near Est Lang:</v>
          </cell>
          <cell r="E730" t="str">
            <v>OTST658</v>
          </cell>
        </row>
        <row r="731">
          <cell r="C731" t="str">
            <v>Field Evangelistic Preach Prac</v>
          </cell>
          <cell r="E731" t="str">
            <v>CHMN662</v>
          </cell>
        </row>
        <row r="732">
          <cell r="C732" t="str">
            <v>Daniel</v>
          </cell>
          <cell r="E732" t="str">
            <v>OTST674</v>
          </cell>
        </row>
        <row r="733">
          <cell r="C733" t="str">
            <v>Parenting Educ &amp; Guidance</v>
          </cell>
          <cell r="E733" t="str">
            <v>DSRE679</v>
          </cell>
        </row>
        <row r="734">
          <cell r="C734" t="str">
            <v>Workshop</v>
          </cell>
          <cell r="D734" t="str">
            <v>Wkshp:Health Min. in Chng Wld</v>
          </cell>
          <cell r="E734" t="str">
            <v>GSEM648</v>
          </cell>
        </row>
        <row r="735">
          <cell r="C735" t="str">
            <v>Seminary Chorus</v>
          </cell>
          <cell r="E735" t="str">
            <v>CHMN588</v>
          </cell>
        </row>
        <row r="736">
          <cell r="C736" t="str">
            <v>Black Preaching</v>
          </cell>
          <cell r="E736" t="str">
            <v>CHMN627</v>
          </cell>
        </row>
        <row r="737">
          <cell r="C737" t="str">
            <v>Readings in the Septuagint</v>
          </cell>
          <cell r="E737" t="str">
            <v>NTST644</v>
          </cell>
        </row>
        <row r="738">
          <cell r="C738" t="str">
            <v>Christn Lead in a Chnging Wrld</v>
          </cell>
          <cell r="E738" t="str">
            <v>CHMN543</v>
          </cell>
        </row>
        <row r="739">
          <cell r="C739" t="str">
            <v>History&amp;Theology of Ecumenism</v>
          </cell>
          <cell r="E739" t="str">
            <v>THST629</v>
          </cell>
        </row>
        <row r="740">
          <cell r="C740" t="str">
            <v>Beginning Greek</v>
          </cell>
          <cell r="E740" t="str">
            <v>NTST551</v>
          </cell>
        </row>
        <row r="741">
          <cell r="C741" t="str">
            <v>Fndtns of Biblicl Spirituality</v>
          </cell>
          <cell r="E741" t="str">
            <v>DSRE541</v>
          </cell>
        </row>
        <row r="742">
          <cell r="C742" t="str">
            <v>Christn Respns to Human Needs</v>
          </cell>
          <cell r="E742" t="str">
            <v>MSSN505</v>
          </cell>
        </row>
        <row r="743">
          <cell r="C743" t="str">
            <v>Doctrine of the Church</v>
          </cell>
          <cell r="E743" t="str">
            <v>THST615</v>
          </cell>
        </row>
        <row r="744">
          <cell r="C744" t="str">
            <v>Fndtns of Biblicl Spirituality</v>
          </cell>
          <cell r="E744" t="str">
            <v>DSRE541</v>
          </cell>
        </row>
        <row r="745">
          <cell r="C745" t="str">
            <v>The Bible and Biblical History</v>
          </cell>
          <cell r="E745" t="str">
            <v>GSEM525</v>
          </cell>
        </row>
        <row r="746">
          <cell r="C746" t="str">
            <v>Teaching Religion in College</v>
          </cell>
          <cell r="E746" t="str">
            <v>GSEM860</v>
          </cell>
        </row>
        <row r="747">
          <cell r="C747" t="str">
            <v>Ministry to At-Risk Youth</v>
          </cell>
          <cell r="E747" t="str">
            <v>DSRE626</v>
          </cell>
        </row>
        <row r="748">
          <cell r="C748" t="str">
            <v>Conflict Management</v>
          </cell>
          <cell r="E748" t="str">
            <v>CHMN526</v>
          </cell>
        </row>
        <row r="749">
          <cell r="C749" t="str">
            <v>Seminar in Youth Ministry</v>
          </cell>
          <cell r="E749" t="str">
            <v>DSRE636</v>
          </cell>
        </row>
        <row r="750">
          <cell r="C750" t="str">
            <v>Preaching frm Daniel or Rev</v>
          </cell>
          <cell r="E750" t="str">
            <v>CHMN614</v>
          </cell>
        </row>
        <row r="751">
          <cell r="C751" t="str">
            <v>Biblical Hebrew III</v>
          </cell>
          <cell r="E751" t="str">
            <v>OTST625</v>
          </cell>
        </row>
        <row r="752">
          <cell r="C752" t="str">
            <v>Fndtns of Biblicl Spirituality</v>
          </cell>
          <cell r="E752" t="str">
            <v>DSRE541</v>
          </cell>
        </row>
        <row r="753">
          <cell r="C753" t="str">
            <v>The Bible and Biblical History</v>
          </cell>
          <cell r="E753" t="str">
            <v>GSEM525</v>
          </cell>
        </row>
        <row r="754">
          <cell r="C754" t="str">
            <v>Preaching from the New Testmnt</v>
          </cell>
          <cell r="E754" t="str">
            <v>CHMN600</v>
          </cell>
        </row>
        <row r="755">
          <cell r="C755" t="str">
            <v>Hist of Sabbath &amp; Sunday</v>
          </cell>
          <cell r="E755" t="str">
            <v>CHIS680</v>
          </cell>
        </row>
        <row r="756">
          <cell r="C756" t="str">
            <v>Modern Church History</v>
          </cell>
          <cell r="E756" t="str">
            <v>CHIS665</v>
          </cell>
        </row>
        <row r="757">
          <cell r="C757" t="str">
            <v>Reformation:</v>
          </cell>
          <cell r="E757" t="str">
            <v>CHIS640</v>
          </cell>
        </row>
        <row r="758">
          <cell r="C758" t="str">
            <v>Beginning Greek</v>
          </cell>
          <cell r="E758" t="str">
            <v>NTST551</v>
          </cell>
        </row>
        <row r="759">
          <cell r="C759" t="str">
            <v>Survey of the Pentateuch</v>
          </cell>
          <cell r="E759" t="str">
            <v>OTST565</v>
          </cell>
        </row>
        <row r="760">
          <cell r="C760" t="str">
            <v>Adv Studies Pauline Wrtg:</v>
          </cell>
          <cell r="E760" t="str">
            <v>NTST658</v>
          </cell>
        </row>
        <row r="761">
          <cell r="C761" t="str">
            <v>Foundatns of Pastoral Ministry</v>
          </cell>
          <cell r="E761" t="str">
            <v>CHMN552</v>
          </cell>
        </row>
        <row r="762">
          <cell r="C762" t="str">
            <v>Research Methods</v>
          </cell>
          <cell r="E762" t="str">
            <v>GSEM620</v>
          </cell>
        </row>
        <row r="763">
          <cell r="C763" t="str">
            <v>Biblical Hebrew I</v>
          </cell>
          <cell r="E763" t="str">
            <v>OTST551</v>
          </cell>
        </row>
        <row r="764">
          <cell r="C764" t="str">
            <v>Eschatology</v>
          </cell>
          <cell r="E764" t="str">
            <v>NTST647</v>
          </cell>
        </row>
        <row r="765">
          <cell r="C765" t="str">
            <v>Intro Exeg&amp;Theo 1:Gospels</v>
          </cell>
          <cell r="E765" t="str">
            <v>NTST510</v>
          </cell>
        </row>
        <row r="766">
          <cell r="C766" t="str">
            <v>Biblical Hebrew I</v>
          </cell>
          <cell r="E766" t="str">
            <v>OTST551</v>
          </cell>
        </row>
        <row r="767">
          <cell r="C767" t="str">
            <v>Rev, Inspir &amp; Herm</v>
          </cell>
          <cell r="E767" t="str">
            <v>GSEM510</v>
          </cell>
        </row>
        <row r="768">
          <cell r="C768" t="str">
            <v>Field Evangelism: Chaplaincy</v>
          </cell>
          <cell r="E768" t="str">
            <v>CHMN644</v>
          </cell>
        </row>
        <row r="769">
          <cell r="C769" t="str">
            <v>Adv Pastoral Counseling</v>
          </cell>
          <cell r="E769" t="str">
            <v>CHMN665</v>
          </cell>
        </row>
        <row r="770">
          <cell r="C770" t="str">
            <v>Field Evangelism</v>
          </cell>
          <cell r="E770" t="str">
            <v>CHMN562</v>
          </cell>
        </row>
        <row r="771">
          <cell r="C771" t="str">
            <v>Field Evangelistic Preaching</v>
          </cell>
          <cell r="E771" t="str">
            <v>CHMN631</v>
          </cell>
        </row>
        <row r="772">
          <cell r="C772" t="str">
            <v>Sem in NT Exegesis &amp; Hermn:</v>
          </cell>
          <cell r="E772" t="str">
            <v>NTST940</v>
          </cell>
        </row>
        <row r="773">
          <cell r="C773" t="str">
            <v>Sem in Historical Theology:</v>
          </cell>
          <cell r="E773" t="str">
            <v>THST964</v>
          </cell>
        </row>
        <row r="774">
          <cell r="C774" t="str">
            <v>Foundations in Religious Educ</v>
          </cell>
          <cell r="E774" t="str">
            <v>DSRE605</v>
          </cell>
        </row>
        <row r="775">
          <cell r="C775" t="str">
            <v>Sem in NT Backgrnds</v>
          </cell>
          <cell r="D775" t="str">
            <v>Sem NT Backgrnds:Greek &amp; Roman</v>
          </cell>
          <cell r="E775" t="str">
            <v>NTST689</v>
          </cell>
        </row>
        <row r="776">
          <cell r="C776" t="str">
            <v>Sem History of Mission</v>
          </cell>
          <cell r="E776" t="str">
            <v>MSSN827</v>
          </cell>
        </row>
        <row r="777">
          <cell r="C777" t="str">
            <v>Love, Marriage and Divorce</v>
          </cell>
          <cell r="E777" t="str">
            <v>NTST613</v>
          </cell>
        </row>
        <row r="778">
          <cell r="C778" t="str">
            <v>Human Sexuality</v>
          </cell>
          <cell r="E778" t="str">
            <v>DSRE659</v>
          </cell>
        </row>
        <row r="779">
          <cell r="C779" t="str">
            <v>Prch Literary Forms of Bible</v>
          </cell>
          <cell r="E779" t="str">
            <v>CHMN633</v>
          </cell>
        </row>
        <row r="780">
          <cell r="C780" t="str">
            <v>New Testament Ethics</v>
          </cell>
          <cell r="E780" t="str">
            <v>NTST668</v>
          </cell>
        </row>
        <row r="781">
          <cell r="C781" t="str">
            <v>Adv Greek Grammar &amp; Syntax</v>
          </cell>
          <cell r="E781" t="str">
            <v>NTST608</v>
          </cell>
        </row>
        <row r="782">
          <cell r="C782" t="str">
            <v>Doctrine of Christ</v>
          </cell>
          <cell r="E782" t="str">
            <v>THST630</v>
          </cell>
        </row>
        <row r="783">
          <cell r="C783" t="str">
            <v>Fndtns of Biblicl Spirituality</v>
          </cell>
          <cell r="E783" t="str">
            <v>DSRE541</v>
          </cell>
        </row>
        <row r="784">
          <cell r="C784" t="str">
            <v>Contemporary Theology</v>
          </cell>
          <cell r="E784" t="str">
            <v>THST628</v>
          </cell>
        </row>
        <row r="785">
          <cell r="C785" t="str">
            <v>Sem Arch &amp; Hist of Antiquity</v>
          </cell>
          <cell r="E785" t="str">
            <v>ANEA615</v>
          </cell>
        </row>
        <row r="786">
          <cell r="C786" t="str">
            <v>New Testament Archaeology</v>
          </cell>
          <cell r="E786" t="str">
            <v>NTST615</v>
          </cell>
        </row>
        <row r="787">
          <cell r="C787" t="str">
            <v>Theological Ethics</v>
          </cell>
          <cell r="E787" t="str">
            <v>THST644</v>
          </cell>
        </row>
        <row r="788">
          <cell r="C788" t="str">
            <v>Spiritual Nurture of Children</v>
          </cell>
          <cell r="E788" t="str">
            <v>DSRE678</v>
          </cell>
        </row>
        <row r="789">
          <cell r="C789" t="str">
            <v>PhD-ThD Diss Prop Prep</v>
          </cell>
          <cell r="D789" t="str">
            <v>PhD-ThD Diss Prop Prep</v>
          </cell>
          <cell r="E789" t="str">
            <v>GSEM844</v>
          </cell>
        </row>
        <row r="790">
          <cell r="C790" t="str">
            <v>Prep for Comprehensive Exams</v>
          </cell>
          <cell r="D790" t="str">
            <v>Prep for Comprehensive Exams</v>
          </cell>
          <cell r="E790" t="str">
            <v>GSEM880</v>
          </cell>
        </row>
        <row r="791">
          <cell r="C791" t="str">
            <v>Doctoral Degr Continuation</v>
          </cell>
          <cell r="D791" t="str">
            <v>Doctoral Degr Continuation</v>
          </cell>
          <cell r="E791" t="str">
            <v>GSEM888</v>
          </cell>
        </row>
        <row r="792">
          <cell r="C792" t="str">
            <v>PhD-ThD Dissertation</v>
          </cell>
          <cell r="D792" t="str">
            <v>PhD-ThD Dissertation</v>
          </cell>
          <cell r="E792" t="str">
            <v>GSEM995</v>
          </cell>
        </row>
        <row r="793">
          <cell r="C793" t="str">
            <v>Sem Adv OT Exegesis</v>
          </cell>
          <cell r="E793" t="str">
            <v>OTST940</v>
          </cell>
        </row>
        <row r="794">
          <cell r="C794" t="str">
            <v>Hebrews</v>
          </cell>
          <cell r="E794" t="str">
            <v>NTST645</v>
          </cell>
        </row>
        <row r="795">
          <cell r="C795" t="str">
            <v>Top in New Testmnt Theo:</v>
          </cell>
          <cell r="D795" t="str">
            <v>Top NT Theo:Dscp Synoptic Gosp</v>
          </cell>
          <cell r="E795" t="str">
            <v>NTST667</v>
          </cell>
        </row>
        <row r="796">
          <cell r="C796" t="str">
            <v>Adv Studies Gospels:</v>
          </cell>
          <cell r="D796" t="str">
            <v>Adv Studies Gospels:Matthew</v>
          </cell>
          <cell r="E796" t="str">
            <v>NTST655</v>
          </cell>
        </row>
        <row r="797">
          <cell r="C797" t="str">
            <v>Master of Divinity Thesis</v>
          </cell>
          <cell r="D797" t="str">
            <v>Master of Divinity Thesis</v>
          </cell>
          <cell r="E797" t="str">
            <v>GSEM698</v>
          </cell>
        </row>
        <row r="798">
          <cell r="C798" t="str">
            <v>Science &amp; Religion</v>
          </cell>
          <cell r="E798" t="str">
            <v>THST678</v>
          </cell>
        </row>
        <row r="799">
          <cell r="C799" t="str">
            <v>Sem in Systematic Theology:</v>
          </cell>
          <cell r="E799" t="str">
            <v>THST940</v>
          </cell>
        </row>
        <row r="800">
          <cell r="C800" t="str">
            <v>Sem in NT Backgrnds</v>
          </cell>
          <cell r="E800" t="str">
            <v>NTST689</v>
          </cell>
        </row>
        <row r="801">
          <cell r="C801" t="str">
            <v>Sem in NT Exegesis &amp; Hermn:</v>
          </cell>
          <cell r="E801" t="str">
            <v>NTST940</v>
          </cell>
        </row>
        <row r="802">
          <cell r="C802" t="str">
            <v>Develop Prophetic Interpretatn</v>
          </cell>
          <cell r="D802" t="str">
            <v>Develop Prophetic Interpretatn</v>
          </cell>
          <cell r="E802" t="str">
            <v>CHIS686</v>
          </cell>
        </row>
        <row r="803">
          <cell r="C803" t="str">
            <v>Sem in Biblical Theology</v>
          </cell>
          <cell r="E803" t="str">
            <v>NTST945</v>
          </cell>
        </row>
        <row r="804">
          <cell r="C804" t="str">
            <v>Protestant Theologicl Heritage</v>
          </cell>
          <cell r="D804" t="str">
            <v>Protestant Theologicl Heritage</v>
          </cell>
          <cell r="E804" t="str">
            <v>THST624</v>
          </cell>
        </row>
        <row r="805">
          <cell r="C805" t="str">
            <v>Development SDA Theology</v>
          </cell>
          <cell r="D805" t="str">
            <v>Development SDA Theology</v>
          </cell>
          <cell r="E805" t="str">
            <v>CHIS674</v>
          </cell>
        </row>
        <row r="806">
          <cell r="C806" t="str">
            <v>Personal Evangelistic Ministry</v>
          </cell>
          <cell r="D806" t="str">
            <v>Personal Evangelistic Ministry</v>
          </cell>
          <cell r="E806" t="str">
            <v>CHMN536</v>
          </cell>
        </row>
        <row r="807">
          <cell r="C807" t="str">
            <v>Understanding Christian World</v>
          </cell>
          <cell r="D807" t="str">
            <v>Understanding Christian World</v>
          </cell>
          <cell r="E807" t="str">
            <v>THST510</v>
          </cell>
        </row>
        <row r="808">
          <cell r="C808" t="str">
            <v>Doctrine of Salvation</v>
          </cell>
          <cell r="D808" t="str">
            <v>Doctrine of Salvation</v>
          </cell>
          <cell r="E808" t="str">
            <v>THST540</v>
          </cell>
        </row>
        <row r="809">
          <cell r="C809" t="str">
            <v>Hist of Relg in America</v>
          </cell>
          <cell r="D809" t="str">
            <v>Hist of Relg in America</v>
          </cell>
          <cell r="E809" t="str">
            <v>CHIS660</v>
          </cell>
        </row>
        <row r="810">
          <cell r="C810" t="str">
            <v>Judaism &amp; the New Testament</v>
          </cell>
          <cell r="E810" t="str">
            <v>NTST684</v>
          </cell>
        </row>
        <row r="811">
          <cell r="C811" t="str">
            <v>Doctrine of God</v>
          </cell>
          <cell r="E811" t="str">
            <v>THST616</v>
          </cell>
        </row>
        <row r="812">
          <cell r="C812" t="str">
            <v>The Works of God</v>
          </cell>
          <cell r="E812" t="str">
            <v>THST617</v>
          </cell>
        </row>
        <row r="813">
          <cell r="C813" t="str">
            <v>Top in New Testmnt Theo:</v>
          </cell>
          <cell r="D813" t="str">
            <v>Top NT Theo:NT New Covenants</v>
          </cell>
          <cell r="E813" t="str">
            <v>NTST667</v>
          </cell>
        </row>
        <row r="814">
          <cell r="C814" t="str">
            <v>Contemp Adv Theol Issues</v>
          </cell>
          <cell r="D814" t="str">
            <v>Contemp Adventst Theolgcl Iss</v>
          </cell>
          <cell r="E814" t="str">
            <v>GSEM626</v>
          </cell>
        </row>
        <row r="815">
          <cell r="C815" t="str">
            <v>Principles of Christian Ethics</v>
          </cell>
          <cell r="D815" t="str">
            <v>Principles of Christian Ethics</v>
          </cell>
          <cell r="E815" t="str">
            <v>THST550</v>
          </cell>
        </row>
        <row r="816">
          <cell r="C816" t="str">
            <v>Major Prophets:</v>
          </cell>
          <cell r="E816" t="str">
            <v>OTST686</v>
          </cell>
        </row>
        <row r="817">
          <cell r="C817" t="str">
            <v>Prep for Comprehensive Exams</v>
          </cell>
          <cell r="D817" t="str">
            <v>Prep for Comprehensive Exams</v>
          </cell>
          <cell r="E817" t="str">
            <v>GSEM880</v>
          </cell>
        </row>
        <row r="818">
          <cell r="C818" t="str">
            <v>Historcl Resrch&amp;Historiography</v>
          </cell>
          <cell r="E818" t="str">
            <v>CHIS628</v>
          </cell>
        </row>
        <row r="819">
          <cell r="C819" t="str">
            <v>Theology of E. G. White</v>
          </cell>
          <cell r="D819" t="str">
            <v>Theology of E. G. White</v>
          </cell>
          <cell r="E819" t="str">
            <v>THST809</v>
          </cell>
        </row>
        <row r="820">
          <cell r="C820" t="str">
            <v>Studies in the Gospels</v>
          </cell>
          <cell r="E820" t="str">
            <v>NTST536</v>
          </cell>
        </row>
        <row r="821">
          <cell r="C821" t="str">
            <v>Biblical Preaching</v>
          </cell>
          <cell r="D821" t="str">
            <v>Biblical Preaching</v>
          </cell>
          <cell r="E821" t="str">
            <v>CHMN505</v>
          </cell>
        </row>
        <row r="822">
          <cell r="C822" t="str">
            <v>Sem Adv OT Exegesis</v>
          </cell>
          <cell r="D822" t="str">
            <v>Sem Adv OT Exegesis</v>
          </cell>
          <cell r="E822" t="str">
            <v>OTST940</v>
          </cell>
        </row>
        <row r="823">
          <cell r="C823" t="str">
            <v>Sem Adv OT Exegesis</v>
          </cell>
          <cell r="E823" t="str">
            <v>OTST940</v>
          </cell>
        </row>
        <row r="824">
          <cell r="C824" t="str">
            <v>Top:</v>
          </cell>
          <cell r="D824" t="str">
            <v>Top: Theology of E.G. White</v>
          </cell>
          <cell r="E824" t="str">
            <v>THST695</v>
          </cell>
        </row>
        <row r="825">
          <cell r="C825" t="str">
            <v>Evang Small Groups</v>
          </cell>
          <cell r="D825" t="str">
            <v>Holistic Small Groups</v>
          </cell>
          <cell r="E825" t="str">
            <v>CHMN656</v>
          </cell>
        </row>
        <row r="826">
          <cell r="C826" t="str">
            <v>Preaching frm Daniel or Rev</v>
          </cell>
          <cell r="D826" t="str">
            <v>Preaching from Daniel</v>
          </cell>
          <cell r="E826" t="str">
            <v>CHMN614</v>
          </cell>
        </row>
        <row r="827">
          <cell r="C827" t="str">
            <v>PhD-ThD Diss Proposal Sem</v>
          </cell>
          <cell r="D827" t="str">
            <v>PhD-ThD Diss Proposal Sem</v>
          </cell>
          <cell r="E827" t="str">
            <v>GSEM854</v>
          </cell>
        </row>
        <row r="828">
          <cell r="C828" t="str">
            <v>Field Evangelistic Preach Prac</v>
          </cell>
          <cell r="D828" t="str">
            <v>Field Evang Prching Practicum</v>
          </cell>
          <cell r="E828" t="str">
            <v>CHMN662</v>
          </cell>
        </row>
        <row r="829">
          <cell r="C829" t="str">
            <v>Black Preaching</v>
          </cell>
          <cell r="D829" t="str">
            <v>Black Preaching</v>
          </cell>
          <cell r="E829" t="str">
            <v>CHMN627</v>
          </cell>
        </row>
        <row r="830">
          <cell r="C830" t="str">
            <v>Rev, Inspir &amp; Herm</v>
          </cell>
          <cell r="D830" t="str">
            <v>Revelation, Inspiratn&amp;Herment</v>
          </cell>
          <cell r="E830" t="str">
            <v>GSEM510</v>
          </cell>
        </row>
        <row r="831">
          <cell r="C831" t="str">
            <v>Field Evangelistic Preaching</v>
          </cell>
          <cell r="D831" t="str">
            <v>Field Evangelistic Preaching</v>
          </cell>
          <cell r="E831" t="str">
            <v>CHMN631</v>
          </cell>
        </row>
        <row r="832">
          <cell r="C832" t="str">
            <v>PhD-ThD Dissertation</v>
          </cell>
          <cell r="D832" t="str">
            <v>PhD-ThD Dissertation</v>
          </cell>
          <cell r="E832" t="str">
            <v>GSEM995</v>
          </cell>
        </row>
        <row r="833">
          <cell r="C833" t="str">
            <v>Christian Personal Ethics</v>
          </cell>
          <cell r="E833" t="str">
            <v>THST600</v>
          </cell>
        </row>
        <row r="834">
          <cell r="C834" t="str">
            <v>Christn Lead in a Chnging Wrld</v>
          </cell>
          <cell r="D834" t="str">
            <v>Christn Lead in a Chnging Wrld</v>
          </cell>
          <cell r="E834" t="str">
            <v>CHMN543</v>
          </cell>
        </row>
        <row r="835">
          <cell r="C835" t="str">
            <v>Teaching Religion in College</v>
          </cell>
          <cell r="D835" t="str">
            <v>Teaching Religion in College</v>
          </cell>
          <cell r="E835" t="str">
            <v>DSRE860</v>
          </cell>
        </row>
        <row r="836">
          <cell r="C836" t="str">
            <v>Evang Small Groups</v>
          </cell>
          <cell r="D836" t="str">
            <v>Holistic Small Groups</v>
          </cell>
          <cell r="E836" t="str">
            <v>CHMN656</v>
          </cell>
        </row>
        <row r="837">
          <cell r="C837" t="str">
            <v>Sem in Old Testament Theology</v>
          </cell>
          <cell r="D837" t="str">
            <v>Sem in Old Testament Theology</v>
          </cell>
          <cell r="E837" t="str">
            <v>OTST620</v>
          </cell>
        </row>
        <row r="838">
          <cell r="C838" t="str">
            <v>Field Evangelistic Preaching</v>
          </cell>
          <cell r="D838" t="str">
            <v>Field Evangelistic Preaching</v>
          </cell>
          <cell r="E838" t="str">
            <v>CHMN631</v>
          </cell>
        </row>
        <row r="839">
          <cell r="C839" t="str">
            <v>PhD-ThD Diss Prop Prep</v>
          </cell>
          <cell r="D839" t="str">
            <v>PhD-ThD Diss Prop Prep</v>
          </cell>
          <cell r="E839" t="str">
            <v>GSEM844</v>
          </cell>
        </row>
        <row r="840">
          <cell r="C840" t="str">
            <v>PhD-ThD Diss Prop Prep</v>
          </cell>
          <cell r="D840" t="str">
            <v>PhD-ThD Diss Prop Prep</v>
          </cell>
          <cell r="E840" t="str">
            <v>GSEM844</v>
          </cell>
        </row>
        <row r="841">
          <cell r="C841" t="str">
            <v>Prep for Comprehensive Exams</v>
          </cell>
          <cell r="D841" t="str">
            <v>Prep for Comprehensive Exams</v>
          </cell>
          <cell r="E841" t="str">
            <v>GSEM880</v>
          </cell>
        </row>
        <row r="842">
          <cell r="C842" t="str">
            <v>Conflict Management</v>
          </cell>
          <cell r="D842" t="str">
            <v>Conflict Management</v>
          </cell>
          <cell r="E842" t="str">
            <v>CHMN526</v>
          </cell>
        </row>
        <row r="843">
          <cell r="C843" t="str">
            <v>Preaching from the New Testmnt</v>
          </cell>
          <cell r="D843" t="str">
            <v>Preaching from the New Testmnt</v>
          </cell>
          <cell r="E843" t="str">
            <v>CHMN600</v>
          </cell>
        </row>
        <row r="844">
          <cell r="C844" t="str">
            <v>Biblical Preaching</v>
          </cell>
          <cell r="D844" t="str">
            <v>Biblical Preaching</v>
          </cell>
          <cell r="E844" t="str">
            <v>CHMN505</v>
          </cell>
        </row>
        <row r="845">
          <cell r="C845" t="str">
            <v>The Bible and Biblical History</v>
          </cell>
          <cell r="D845" t="str">
            <v>The Bible &amp; Biblical History</v>
          </cell>
          <cell r="E845" t="str">
            <v>GSEM525</v>
          </cell>
        </row>
        <row r="846">
          <cell r="C846" t="str">
            <v>Pentateuch (Hebrew)</v>
          </cell>
          <cell r="D846" t="str">
            <v>Pentateuch (Hebrew)</v>
          </cell>
          <cell r="E846" t="str">
            <v>OTST664</v>
          </cell>
        </row>
        <row r="847">
          <cell r="C847" t="str">
            <v>Jesus in Recent Scholarshp</v>
          </cell>
          <cell r="E847" t="str">
            <v>NTST676</v>
          </cell>
        </row>
        <row r="848">
          <cell r="C848" t="str">
            <v>PhD-ThD Dissertation</v>
          </cell>
          <cell r="D848" t="str">
            <v>PhD-ThD Dissertation</v>
          </cell>
          <cell r="E848" t="str">
            <v>GSEM995</v>
          </cell>
        </row>
        <row r="849">
          <cell r="C849" t="str">
            <v>Doctoral Degr Continuation</v>
          </cell>
          <cell r="D849" t="str">
            <v>Doctoral Degr Continuation</v>
          </cell>
          <cell r="E849" t="str">
            <v>GSEM888</v>
          </cell>
        </row>
        <row r="850">
          <cell r="C850" t="str">
            <v>The Holy Spirit in the NT</v>
          </cell>
          <cell r="E850" t="str">
            <v>NTST628</v>
          </cell>
        </row>
        <row r="851">
          <cell r="C851" t="str">
            <v>Rev, Inspir &amp; Herm</v>
          </cell>
          <cell r="D851" t="str">
            <v>Revelation, Inspiratn&amp;Herment</v>
          </cell>
          <cell r="E851" t="str">
            <v>GSEM510</v>
          </cell>
        </row>
        <row r="852">
          <cell r="C852" t="str">
            <v>Intro to Chaplaincy Min</v>
          </cell>
          <cell r="E852" t="str">
            <v>CHMN507</v>
          </cell>
        </row>
        <row r="853">
          <cell r="C853" t="str">
            <v>Intro to Chaplaincy Min</v>
          </cell>
          <cell r="E853" t="str">
            <v>DSRE507</v>
          </cell>
        </row>
        <row r="854">
          <cell r="C854" t="str">
            <v>Doctoral Degr Continuation</v>
          </cell>
          <cell r="D854" t="str">
            <v>Doctoral Degr Continuation</v>
          </cell>
          <cell r="E854" t="str">
            <v>GSEM888</v>
          </cell>
        </row>
        <row r="855">
          <cell r="C855" t="str">
            <v>Survey of the Pentateuch</v>
          </cell>
          <cell r="D855" t="str">
            <v>Pentateuch</v>
          </cell>
          <cell r="E855" t="str">
            <v>OTST565</v>
          </cell>
        </row>
        <row r="856">
          <cell r="C856" t="str">
            <v>Biblical Hebrew I</v>
          </cell>
          <cell r="D856" t="str">
            <v>Biblical Hebrew I</v>
          </cell>
          <cell r="E856" t="str">
            <v>OTST551</v>
          </cell>
        </row>
        <row r="857">
          <cell r="C857" t="str">
            <v>Families in Society</v>
          </cell>
          <cell r="E857" t="str">
            <v>DSRE655</v>
          </cell>
        </row>
        <row r="858">
          <cell r="C858" t="str">
            <v>Top in NT Backgrounds</v>
          </cell>
          <cell r="D858" t="str">
            <v>Top: Greco-Roman Religions</v>
          </cell>
          <cell r="E858" t="str">
            <v>NTST695</v>
          </cell>
        </row>
        <row r="859">
          <cell r="C859" t="str">
            <v>Biblical Hebrew II</v>
          </cell>
          <cell r="D859" t="str">
            <v>Biblical Hebrew II</v>
          </cell>
          <cell r="E859" t="str">
            <v>OTST552</v>
          </cell>
        </row>
        <row r="860">
          <cell r="C860" t="str">
            <v>Hist of the Ancient Near East</v>
          </cell>
          <cell r="E860" t="str">
            <v>ANEA604</v>
          </cell>
        </row>
        <row r="861">
          <cell r="C861" t="str">
            <v>Archaeology of Palestine</v>
          </cell>
          <cell r="E861" t="str">
            <v>ANEA614</v>
          </cell>
        </row>
        <row r="862">
          <cell r="C862" t="str">
            <v>Adv Studies Pauline Wrtg:</v>
          </cell>
          <cell r="D862" t="str">
            <v>Adv Stdy Pauline Wrtg: Romans</v>
          </cell>
          <cell r="E862" t="str">
            <v>NTST658</v>
          </cell>
        </row>
        <row r="863">
          <cell r="C863" t="str">
            <v>Biblical Hebrew I</v>
          </cell>
          <cell r="D863" t="str">
            <v>Biblical Hebrew I</v>
          </cell>
          <cell r="E863" t="str">
            <v>OTST551</v>
          </cell>
        </row>
        <row r="864">
          <cell r="C864" t="str">
            <v>The Bible and Biblical History</v>
          </cell>
          <cell r="D864" t="str">
            <v>The Bible &amp; Biblical History</v>
          </cell>
          <cell r="E864" t="str">
            <v>GSEM525</v>
          </cell>
        </row>
        <row r="865">
          <cell r="C865" t="str">
            <v>Workshop</v>
          </cell>
          <cell r="D865" t="str">
            <v>Wkshp:Natural Rem/Hydro</v>
          </cell>
          <cell r="E865" t="str">
            <v>GSEM648</v>
          </cell>
        </row>
        <row r="866">
          <cell r="C866" t="str">
            <v>The Early Church to AD 604</v>
          </cell>
          <cell r="E866" t="str">
            <v>CHIS600</v>
          </cell>
        </row>
        <row r="867">
          <cell r="C867" t="str">
            <v>Sem in Theological Issues:</v>
          </cell>
          <cell r="E867" t="str">
            <v>THST649</v>
          </cell>
        </row>
        <row r="868">
          <cell r="C868" t="str">
            <v>Christian Theology I</v>
          </cell>
          <cell r="E868" t="str">
            <v>THST521</v>
          </cell>
        </row>
        <row r="869">
          <cell r="C869" t="str">
            <v>Stewardshp, Church &amp; Pers Res</v>
          </cell>
          <cell r="E869" t="str">
            <v>CHMN524</v>
          </cell>
        </row>
        <row r="870">
          <cell r="C870" t="str">
            <v>Adv Studies Gospels:</v>
          </cell>
          <cell r="D870" t="str">
            <v>Adv Studies Gospels: John</v>
          </cell>
          <cell r="E870" t="str">
            <v>NTST655</v>
          </cell>
        </row>
        <row r="871">
          <cell r="C871" t="str">
            <v>Engl Reformatn &amp; Rise Puritnsm</v>
          </cell>
          <cell r="E871" t="str">
            <v>CHIS650</v>
          </cell>
        </row>
        <row r="872">
          <cell r="C872" t="str">
            <v>Contextualized Preaching</v>
          </cell>
          <cell r="D872" t="str">
            <v>Contextualized Preaching:Youth</v>
          </cell>
          <cell r="E872" t="str">
            <v>CHMN632</v>
          </cell>
        </row>
        <row r="873">
          <cell r="C873" t="str">
            <v>Bib &amp; Theo Hermeneutics</v>
          </cell>
          <cell r="D873" t="str">
            <v>Bib &amp; Theo Hermeneutics</v>
          </cell>
          <cell r="E873" t="str">
            <v>GSEM915</v>
          </cell>
        </row>
        <row r="874">
          <cell r="C874" t="str">
            <v>Sem in NT Exegesis &amp; Hermn:</v>
          </cell>
          <cell r="D874" t="str">
            <v>SemNTExe&amp;Herm:John</v>
          </cell>
          <cell r="E874" t="str">
            <v>NTST940</v>
          </cell>
        </row>
        <row r="875">
          <cell r="C875" t="str">
            <v>Topics:</v>
          </cell>
          <cell r="D875" t="str">
            <v>Topics:Dctrn Chrch&amp;Mssn</v>
          </cell>
          <cell r="E875" t="str">
            <v>MSSN695</v>
          </cell>
        </row>
        <row r="876">
          <cell r="C876" t="str">
            <v>Suffering, Death&amp;Resurrection</v>
          </cell>
          <cell r="E876" t="str">
            <v>NTST614</v>
          </cell>
        </row>
        <row r="877">
          <cell r="C877" t="str">
            <v>Theology of Synoptic Gospels</v>
          </cell>
          <cell r="E877" t="str">
            <v>NTST630</v>
          </cell>
        </row>
        <row r="878">
          <cell r="C878" t="str">
            <v>Sem Phil Theology&amp;Ethics:</v>
          </cell>
          <cell r="E878" t="str">
            <v>THST659</v>
          </cell>
        </row>
        <row r="879">
          <cell r="C879" t="str">
            <v>Adv Studies Pauline Wrtg:</v>
          </cell>
          <cell r="D879" t="str">
            <v>Adv Stds Pauline Wrtg:1THS</v>
          </cell>
          <cell r="E879" t="str">
            <v>NTST658</v>
          </cell>
        </row>
        <row r="880">
          <cell r="C880" t="str">
            <v>Reaching the Secular Mind</v>
          </cell>
          <cell r="D880" t="str">
            <v>Reaching the Secular Mind</v>
          </cell>
          <cell r="E880" t="str">
            <v>DSRE669</v>
          </cell>
        </row>
        <row r="881">
          <cell r="C881" t="str">
            <v>Preaching frm Daniel or Rev</v>
          </cell>
          <cell r="D881" t="str">
            <v>Preaching from Revelation</v>
          </cell>
          <cell r="E881" t="str">
            <v>CHMN614</v>
          </cell>
        </row>
        <row r="882">
          <cell r="C882" t="str">
            <v>Sem in Historical Theology:</v>
          </cell>
          <cell r="D882" t="str">
            <v>Sem. in Hist. Theo:Authority</v>
          </cell>
          <cell r="E882" t="str">
            <v>THST656</v>
          </cell>
        </row>
        <row r="883">
          <cell r="C883" t="str">
            <v>Seminar in Ethics:</v>
          </cell>
          <cell r="E883" t="str">
            <v>THST966</v>
          </cell>
        </row>
        <row r="884">
          <cell r="C884" t="str">
            <v>Topics in Church History:</v>
          </cell>
          <cell r="E884" t="str">
            <v>CHIS695</v>
          </cell>
        </row>
        <row r="885">
          <cell r="C885" t="str">
            <v>Studies in Pauline Writings</v>
          </cell>
          <cell r="E885" t="str">
            <v>NTST535</v>
          </cell>
        </row>
        <row r="886">
          <cell r="C886" t="str">
            <v>Teaching Religion in College</v>
          </cell>
          <cell r="E886" t="str">
            <v>DSRE860</v>
          </cell>
        </row>
        <row r="887">
          <cell r="C887" t="str">
            <v>Christian Professional Ethics</v>
          </cell>
          <cell r="E887" t="str">
            <v>THST643</v>
          </cell>
        </row>
        <row r="888">
          <cell r="C888" t="str">
            <v>Marriage, Fam&amp;Interprsnl Reltn</v>
          </cell>
          <cell r="D888" t="str">
            <v>Marriage, Fam&amp;Interprsnl Reltn</v>
          </cell>
          <cell r="E888" t="str">
            <v>DSRE503</v>
          </cell>
        </row>
        <row r="889">
          <cell r="C889" t="str">
            <v>Adv Fostering Spiritual Growth</v>
          </cell>
          <cell r="E889" t="str">
            <v>DSRE830</v>
          </cell>
        </row>
        <row r="890">
          <cell r="C890" t="str">
            <v>Sem OT Exegesis</v>
          </cell>
          <cell r="E890" t="str">
            <v>OTST680</v>
          </cell>
        </row>
        <row r="891">
          <cell r="C891" t="str">
            <v>Grt Controversy, Cov, Law, Sab</v>
          </cell>
          <cell r="D891" t="str">
            <v>Doctrine of Sabbath</v>
          </cell>
          <cell r="E891" t="str">
            <v>THST608</v>
          </cell>
        </row>
        <row r="892">
          <cell r="C892" t="str">
            <v>Principles&amp;Methods of Theology</v>
          </cell>
          <cell r="D892" t="str">
            <v>Principles&amp;Methods of Theology</v>
          </cell>
          <cell r="E892" t="str">
            <v>THST619</v>
          </cell>
        </row>
        <row r="893">
          <cell r="C893" t="str">
            <v>Topics in:</v>
          </cell>
          <cell r="D893" t="str">
            <v>Topics in Preaching</v>
          </cell>
          <cell r="E893" t="str">
            <v>CHMN885</v>
          </cell>
        </row>
        <row r="894">
          <cell r="C894" t="str">
            <v>Preaching frm Daniel or Rev</v>
          </cell>
          <cell r="D894" t="str">
            <v>Preaching frm Revelation</v>
          </cell>
          <cell r="E894" t="str">
            <v>CHMN614</v>
          </cell>
        </row>
        <row r="895">
          <cell r="C895" t="str">
            <v>Mission in Cultrl&amp;Rlgs Contxt</v>
          </cell>
          <cell r="D895" t="str">
            <v>Mission in Cultrl&amp;Rlgs Contxt</v>
          </cell>
          <cell r="E895" t="str">
            <v>MSSN546</v>
          </cell>
        </row>
        <row r="896">
          <cell r="C896" t="str">
            <v>Topics in:</v>
          </cell>
          <cell r="D896" t="str">
            <v>Topics in:Leadership</v>
          </cell>
          <cell r="E896" t="str">
            <v>CHMN885</v>
          </cell>
        </row>
        <row r="897">
          <cell r="C897" t="str">
            <v>Topics in:</v>
          </cell>
          <cell r="D897" t="str">
            <v>Topics in:Preaching</v>
          </cell>
          <cell r="E897" t="str">
            <v>CHMN885</v>
          </cell>
        </row>
        <row r="898">
          <cell r="C898" t="str">
            <v>Church History 1500 to Present</v>
          </cell>
          <cell r="D898" t="str">
            <v>Church History 1500 to Present</v>
          </cell>
          <cell r="E898" t="str">
            <v>CHIS507</v>
          </cell>
        </row>
        <row r="899">
          <cell r="C899" t="str">
            <v>Church History to 1500</v>
          </cell>
          <cell r="D899" t="str">
            <v>Church History to 1500</v>
          </cell>
          <cell r="E899" t="str">
            <v>CHIS506</v>
          </cell>
        </row>
        <row r="900">
          <cell r="C900" t="str">
            <v>Early Christian Theology</v>
          </cell>
          <cell r="D900" t="str">
            <v>Early Christian Theology</v>
          </cell>
          <cell r="E900" t="str">
            <v>THST625</v>
          </cell>
        </row>
        <row r="901">
          <cell r="C901" t="str">
            <v>Beginning Greek</v>
          </cell>
          <cell r="D901" t="str">
            <v>Beginning Greek</v>
          </cell>
          <cell r="E901" t="str">
            <v>NTST551</v>
          </cell>
        </row>
        <row r="902">
          <cell r="C902" t="str">
            <v>Sem in Historical Theology:</v>
          </cell>
          <cell r="D902" t="str">
            <v>Sem Historical Theo:Sacraments</v>
          </cell>
          <cell r="E902" t="str">
            <v>THST656</v>
          </cell>
        </row>
        <row r="903">
          <cell r="C903" t="str">
            <v>Theo&amp;Soc Sc Fnd ME/MC Miss&amp;Min</v>
          </cell>
          <cell r="E903" t="str">
            <v>CHMN723</v>
          </cell>
        </row>
        <row r="904">
          <cell r="C904" t="str">
            <v>DMin Prof Dissertation Sem</v>
          </cell>
          <cell r="E904" t="str">
            <v>GSEM790</v>
          </cell>
        </row>
        <row r="905">
          <cell r="C905" t="str">
            <v>Biblical Eschatology</v>
          </cell>
          <cell r="D905" t="str">
            <v>Biblical Eschatology</v>
          </cell>
          <cell r="E905" t="str">
            <v>THST637</v>
          </cell>
        </row>
        <row r="906">
          <cell r="C906" t="str">
            <v>Biblical Hebrew I</v>
          </cell>
          <cell r="D906" t="str">
            <v>Biblical Hebrew I</v>
          </cell>
          <cell r="E906" t="str">
            <v>OTST551</v>
          </cell>
        </row>
        <row r="907">
          <cell r="C907" t="str">
            <v>Iss in E G White Studies</v>
          </cell>
          <cell r="D907" t="str">
            <v>Issues in Ellen G White Stdies</v>
          </cell>
          <cell r="E907" t="str">
            <v>GSEM534</v>
          </cell>
        </row>
        <row r="908">
          <cell r="C908" t="str">
            <v>Daniel</v>
          </cell>
          <cell r="D908" t="str">
            <v>Daniel</v>
          </cell>
          <cell r="E908" t="str">
            <v>OTST674</v>
          </cell>
        </row>
        <row r="909">
          <cell r="C909" t="str">
            <v>A History of Preaching</v>
          </cell>
          <cell r="E909" t="str">
            <v>CHMN744</v>
          </cell>
        </row>
        <row r="910">
          <cell r="C910" t="str">
            <v>Archaeology and the Bible</v>
          </cell>
          <cell r="D910" t="str">
            <v>Archaeology and the Bible</v>
          </cell>
          <cell r="E910" t="str">
            <v>ANEA510</v>
          </cell>
        </row>
        <row r="911">
          <cell r="C911" t="str">
            <v>Meth OT Exegesis (Hebw)</v>
          </cell>
          <cell r="D911" t="str">
            <v>Meth OT Exegesis (Hebw)</v>
          </cell>
          <cell r="E911" t="str">
            <v>OTST628</v>
          </cell>
        </row>
        <row r="912">
          <cell r="C912" t="str">
            <v>PhD-ThD Comp Exams</v>
          </cell>
          <cell r="E912" t="str">
            <v>GSEM885</v>
          </cell>
        </row>
        <row r="913">
          <cell r="C913" t="str">
            <v>PhD-ThD Diss Prop Prep</v>
          </cell>
          <cell r="E913" t="str">
            <v>GSEM844</v>
          </cell>
        </row>
        <row r="914">
          <cell r="C914" t="str">
            <v>PhD-ThD Diss Prop Prep</v>
          </cell>
          <cell r="E914" t="str">
            <v>GSEM844</v>
          </cell>
        </row>
        <row r="915">
          <cell r="C915" t="str">
            <v>Doctoral Degr Continuation</v>
          </cell>
          <cell r="E915" t="str">
            <v>GSEM888</v>
          </cell>
        </row>
        <row r="916">
          <cell r="C916" t="str">
            <v>PhD-ThD Dissertation</v>
          </cell>
          <cell r="E916" t="str">
            <v>GSEM995</v>
          </cell>
        </row>
        <row r="917">
          <cell r="C917" t="str">
            <v>Topics in</v>
          </cell>
          <cell r="D917" t="str">
            <v>Topics in Hebrews</v>
          </cell>
          <cell r="E917" t="str">
            <v>NTST885</v>
          </cell>
        </row>
        <row r="918">
          <cell r="C918" t="str">
            <v>Reformation:</v>
          </cell>
          <cell r="D918" t="str">
            <v>Reformatn:Radical Reformation</v>
          </cell>
          <cell r="E918" t="str">
            <v>CHIS640</v>
          </cell>
        </row>
        <row r="919">
          <cell r="C919" t="str">
            <v>Sem in Historical Theology:</v>
          </cell>
          <cell r="D919" t="str">
            <v>Sem Historical Theo:Sacraments</v>
          </cell>
          <cell r="E919" t="str">
            <v>THST964</v>
          </cell>
        </row>
        <row r="920">
          <cell r="C920" t="str">
            <v>Top:</v>
          </cell>
          <cell r="D920" t="str">
            <v>Topics in Salvation</v>
          </cell>
          <cell r="E920" t="str">
            <v>THST885</v>
          </cell>
        </row>
        <row r="921">
          <cell r="C921" t="str">
            <v>PhD-ThD Comp Exams</v>
          </cell>
          <cell r="E921" t="str">
            <v>GSEM885</v>
          </cell>
        </row>
        <row r="922">
          <cell r="C922" t="str">
            <v>Teaching Religion in College</v>
          </cell>
          <cell r="D922" t="str">
            <v>Teaching Religion in College</v>
          </cell>
          <cell r="E922" t="str">
            <v>GSEM860</v>
          </cell>
        </row>
        <row r="923">
          <cell r="C923" t="str">
            <v>Top:</v>
          </cell>
          <cell r="D923" t="str">
            <v>Top:Contemporary Theology</v>
          </cell>
          <cell r="E923" t="str">
            <v>THST885</v>
          </cell>
        </row>
        <row r="924">
          <cell r="C924" t="str">
            <v>Top:</v>
          </cell>
          <cell r="D924" t="str">
            <v>Top:Doctrine of Holy Spirit</v>
          </cell>
          <cell r="E924" t="str">
            <v>THST885</v>
          </cell>
        </row>
        <row r="925">
          <cell r="C925" t="str">
            <v>Top:</v>
          </cell>
          <cell r="D925" t="str">
            <v>Top: in Ecumenism</v>
          </cell>
          <cell r="E925" t="str">
            <v>THST885</v>
          </cell>
        </row>
        <row r="926">
          <cell r="C926" t="str">
            <v>PhD-ThD Dissertation</v>
          </cell>
          <cell r="E926" t="str">
            <v>GSEM995</v>
          </cell>
        </row>
        <row r="927">
          <cell r="C927" t="str">
            <v>Field Evang. Preach. &amp; Pract.</v>
          </cell>
          <cell r="E927" t="str">
            <v>CHMN634</v>
          </cell>
        </row>
        <row r="928">
          <cell r="C928" t="str">
            <v>Sem Arch &amp; Hist of Antiquity</v>
          </cell>
          <cell r="D928" t="str">
            <v>Sem Arch &amp; Hist of Antiquity</v>
          </cell>
          <cell r="E928" t="str">
            <v>ANEA615</v>
          </cell>
        </row>
        <row r="929">
          <cell r="C929" t="str">
            <v>PhD-ThD Dissertation</v>
          </cell>
          <cell r="E929" t="str">
            <v>GSEM995</v>
          </cell>
        </row>
        <row r="930">
          <cell r="C930" t="str">
            <v>Issues Urban Ch. Leadshp</v>
          </cell>
          <cell r="E930" t="str">
            <v>CHMN535</v>
          </cell>
        </row>
        <row r="931">
          <cell r="C931" t="str">
            <v>Top in NT Backgrounds</v>
          </cell>
          <cell r="D931" t="str">
            <v>Top:Hon,Patrnage,Knship&amp;Purity</v>
          </cell>
          <cell r="E931" t="str">
            <v>NTST695</v>
          </cell>
        </row>
        <row r="932">
          <cell r="C932" t="str">
            <v>Topics in</v>
          </cell>
          <cell r="D932" t="str">
            <v>Top:Holy Spirit in the NT</v>
          </cell>
          <cell r="E932" t="str">
            <v>NTST885</v>
          </cell>
        </row>
        <row r="933">
          <cell r="C933" t="str">
            <v>Topics in</v>
          </cell>
          <cell r="D933" t="str">
            <v>Topics in Eschatology</v>
          </cell>
          <cell r="E933" t="str">
            <v>NTST885</v>
          </cell>
        </row>
        <row r="934">
          <cell r="C934" t="str">
            <v>PhD-ThD Colloquium</v>
          </cell>
          <cell r="E934" t="str">
            <v>GSEM810</v>
          </cell>
        </row>
        <row r="935">
          <cell r="C935" t="str">
            <v>Preaching frm Daniel or Rev</v>
          </cell>
          <cell r="D935" t="str">
            <v>Preaching frm Daniel</v>
          </cell>
          <cell r="E935" t="str">
            <v>CHMN614</v>
          </cell>
        </row>
        <row r="936">
          <cell r="C936" t="str">
            <v>Top:</v>
          </cell>
          <cell r="D936" t="str">
            <v>Top:Doctrine of Christ</v>
          </cell>
          <cell r="E936" t="str">
            <v>THST885</v>
          </cell>
        </row>
        <row r="937">
          <cell r="C937" t="str">
            <v>History of Worship and Liturgy</v>
          </cell>
          <cell r="E937" t="str">
            <v>CHIS689</v>
          </cell>
        </row>
        <row r="938">
          <cell r="C938" t="str">
            <v>Top:</v>
          </cell>
          <cell r="D938" t="str">
            <v>Roman Catholic Life &amp; Thought</v>
          </cell>
          <cell r="E938" t="str">
            <v>THST885</v>
          </cell>
        </row>
        <row r="939">
          <cell r="C939" t="str">
            <v>Top:</v>
          </cell>
          <cell r="D939" t="str">
            <v>Top:History of Philosophy</v>
          </cell>
          <cell r="E939" t="str">
            <v>THST885</v>
          </cell>
        </row>
        <row r="940">
          <cell r="C940" t="str">
            <v>Top:</v>
          </cell>
          <cell r="D940" t="str">
            <v>Top:Doctrine of the Sabbath</v>
          </cell>
          <cell r="E940" t="str">
            <v>THST885</v>
          </cell>
        </row>
        <row r="941">
          <cell r="C941" t="str">
            <v>Top:</v>
          </cell>
          <cell r="D941" t="str">
            <v>Top:Prtstnt Thlgcl Heritage</v>
          </cell>
          <cell r="E941" t="str">
            <v>THST885</v>
          </cell>
        </row>
        <row r="942">
          <cell r="C942" t="str">
            <v>Prch Literary Forms of Bible</v>
          </cell>
          <cell r="D942" t="str">
            <v>Prch Literary Forms of Bible</v>
          </cell>
          <cell r="E942" t="str">
            <v>CHMN633</v>
          </cell>
        </row>
        <row r="943">
          <cell r="C943" t="str">
            <v>Adv Studies:</v>
          </cell>
          <cell r="D943" t="str">
            <v>AdvStds:Collaborative Ministry</v>
          </cell>
          <cell r="E943" t="str">
            <v>DSRE870</v>
          </cell>
        </row>
        <row r="944">
          <cell r="C944" t="str">
            <v>Top:</v>
          </cell>
          <cell r="D944" t="str">
            <v>Top:Doctrine of the Church</v>
          </cell>
          <cell r="E944" t="str">
            <v>THST885</v>
          </cell>
        </row>
        <row r="945">
          <cell r="C945" t="str">
            <v>Topics in</v>
          </cell>
          <cell r="D945" t="str">
            <v>Top: I Thessalonians</v>
          </cell>
          <cell r="E945" t="str">
            <v>NTST885</v>
          </cell>
        </row>
        <row r="946">
          <cell r="C946" t="str">
            <v>Sem in NT Exegesis &amp; Hermn:</v>
          </cell>
          <cell r="D946" t="str">
            <v>Sem in NT Exgsis &amp; Hermn:Rvltn</v>
          </cell>
          <cell r="E946" t="str">
            <v>NTST940</v>
          </cell>
        </row>
        <row r="947">
          <cell r="C947" t="str">
            <v>Sem OT Exegesis</v>
          </cell>
          <cell r="D947" t="str">
            <v>Sem OT Exegesis</v>
          </cell>
          <cell r="E947" t="str">
            <v>OTST680</v>
          </cell>
        </row>
        <row r="948">
          <cell r="C948" t="str">
            <v>Top:</v>
          </cell>
          <cell r="D948" t="str">
            <v>Top:Theological Ethics</v>
          </cell>
          <cell r="E948" t="str">
            <v>THST885</v>
          </cell>
        </row>
        <row r="949">
          <cell r="C949" t="str">
            <v>Field Evang. Preach. &amp; Pract.</v>
          </cell>
          <cell r="E949" t="str">
            <v>CHMN634</v>
          </cell>
        </row>
        <row r="950">
          <cell r="C950" t="str">
            <v>Studies in Church History</v>
          </cell>
          <cell r="E950" t="str">
            <v>CHIS685</v>
          </cell>
        </row>
        <row r="951">
          <cell r="C951" t="str">
            <v>Death &amp; Grief Contemp Society</v>
          </cell>
          <cell r="D951" t="str">
            <v>Death &amp; Grief in Society</v>
          </cell>
          <cell r="E951" t="str">
            <v>CHMN516</v>
          </cell>
        </row>
        <row r="952">
          <cell r="C952" t="str">
            <v>Field Evang. Preach. &amp; Pract.</v>
          </cell>
          <cell r="E952" t="str">
            <v>CHMN634</v>
          </cell>
        </row>
        <row r="953">
          <cell r="C953" t="str">
            <v>Christian Witness&amp;Wrld Relgns</v>
          </cell>
          <cell r="E953" t="str">
            <v>MSSN561</v>
          </cell>
        </row>
        <row r="954">
          <cell r="C954" t="str">
            <v>New Covenant</v>
          </cell>
          <cell r="E954" t="str">
            <v>NTST624</v>
          </cell>
        </row>
        <row r="955">
          <cell r="C955" t="str">
            <v>Top:</v>
          </cell>
          <cell r="D955" t="str">
            <v>Top:Prncpls &amp; Mthds of Thlgy</v>
          </cell>
          <cell r="E955" t="str">
            <v>THST885</v>
          </cell>
        </row>
        <row r="956">
          <cell r="C956" t="str">
            <v>Top:</v>
          </cell>
          <cell r="D956" t="str">
            <v>Top:The Works of Christ</v>
          </cell>
          <cell r="E956" t="str">
            <v>THST885</v>
          </cell>
        </row>
        <row r="957">
          <cell r="C957" t="str">
            <v>Top:</v>
          </cell>
          <cell r="D957" t="str">
            <v>Top:Contemporary Theology</v>
          </cell>
          <cell r="E957" t="str">
            <v>THST885</v>
          </cell>
        </row>
        <row r="958">
          <cell r="C958" t="str">
            <v>Sacred Mus Afri-Amer Traditn</v>
          </cell>
          <cell r="E958" t="str">
            <v>CHMN629</v>
          </cell>
        </row>
        <row r="959">
          <cell r="C959" t="str">
            <v>Adv Studies Pauline Wrtg:</v>
          </cell>
          <cell r="D959" t="str">
            <v>Adv Stds Pauline Wrtg:1Thessal</v>
          </cell>
          <cell r="E959" t="str">
            <v>NTST658</v>
          </cell>
        </row>
        <row r="960">
          <cell r="C960" t="str">
            <v>Collaboratv Min:Schl,Chrch,Com</v>
          </cell>
          <cell r="E960" t="str">
            <v>DSRE615</v>
          </cell>
        </row>
        <row r="961">
          <cell r="C961" t="str">
            <v>Collaboratv Min:Schl,Chrch,Com</v>
          </cell>
          <cell r="E961" t="str">
            <v>DSRE615</v>
          </cell>
        </row>
        <row r="962">
          <cell r="C962" t="str">
            <v>Prophets</v>
          </cell>
          <cell r="D962" t="str">
            <v>Prophets</v>
          </cell>
          <cell r="E962" t="str">
            <v>OTST555</v>
          </cell>
        </row>
        <row r="963">
          <cell r="C963" t="str">
            <v>Spiritual&amp;Theo Found Ministry</v>
          </cell>
          <cell r="E963" t="str">
            <v>GSEM706</v>
          </cell>
        </row>
        <row r="964">
          <cell r="C964" t="str">
            <v>Workshop</v>
          </cell>
          <cell r="E964" t="str">
            <v>GSEM648</v>
          </cell>
        </row>
        <row r="965">
          <cell r="C965" t="str">
            <v>Top:</v>
          </cell>
          <cell r="D965" t="str">
            <v>Top:Doctrine of God</v>
          </cell>
          <cell r="E965" t="str">
            <v>THST885</v>
          </cell>
        </row>
        <row r="966">
          <cell r="C966" t="str">
            <v>Top:</v>
          </cell>
          <cell r="D966" t="str">
            <v>Top:Biblical Eschatology</v>
          </cell>
          <cell r="E966" t="str">
            <v>THST885</v>
          </cell>
        </row>
        <row r="967">
          <cell r="C967" t="str">
            <v>Theology Hebrew Scriptures</v>
          </cell>
          <cell r="E967" t="str">
            <v>OTST835</v>
          </cell>
        </row>
        <row r="968">
          <cell r="C968" t="str">
            <v>Preach Literary Forms of Bible</v>
          </cell>
          <cell r="E968" t="str">
            <v>CHMN748</v>
          </cell>
        </row>
        <row r="969">
          <cell r="C969" t="str">
            <v>Mssn-Shaped Church Planting</v>
          </cell>
          <cell r="E969" t="str">
            <v>CHMN606</v>
          </cell>
        </row>
        <row r="970">
          <cell r="C970" t="str">
            <v>Trauma&amp;Adv Crisis Intervention</v>
          </cell>
          <cell r="E970" t="str">
            <v>CHMN643</v>
          </cell>
        </row>
        <row r="971">
          <cell r="C971" t="str">
            <v>Development SDA Theology</v>
          </cell>
          <cell r="E971" t="str">
            <v>CHIS674</v>
          </cell>
        </row>
        <row r="972">
          <cell r="C972" t="str">
            <v>Theologicl Found Christian Tch</v>
          </cell>
          <cell r="E972" t="str">
            <v>DSRE850</v>
          </cell>
        </row>
        <row r="973">
          <cell r="C973" t="str">
            <v>Urban Church Leadership&amp;Mgmt</v>
          </cell>
          <cell r="E973" t="str">
            <v>CHMN776</v>
          </cell>
        </row>
        <row r="974">
          <cell r="C974" t="str">
            <v>Ministry to Fam in Context</v>
          </cell>
          <cell r="E974" t="str">
            <v>DSRE747</v>
          </cell>
        </row>
        <row r="975">
          <cell r="C975" t="str">
            <v>DMin Prof Dissertation Sem</v>
          </cell>
          <cell r="E975" t="str">
            <v>GSEM790</v>
          </cell>
        </row>
        <row r="976">
          <cell r="C976" t="str">
            <v>Top:</v>
          </cell>
          <cell r="D976" t="str">
            <v>Top:Doctrine of Salvation</v>
          </cell>
          <cell r="E976" t="str">
            <v>THST885</v>
          </cell>
        </row>
        <row r="977">
          <cell r="C977" t="str">
            <v>Sem in Systematic Theology:</v>
          </cell>
          <cell r="D977" t="str">
            <v>Sem Theo:The Problem of Evil</v>
          </cell>
          <cell r="E977" t="str">
            <v>THST940</v>
          </cell>
        </row>
        <row r="978">
          <cell r="C978" t="str">
            <v>Top:</v>
          </cell>
          <cell r="D978" t="str">
            <v>Top:Christian Prof Ethics</v>
          </cell>
          <cell r="E978" t="str">
            <v>THST885</v>
          </cell>
        </row>
        <row r="979">
          <cell r="C979" t="str">
            <v>PhD-ThD Diss Proposal Sem</v>
          </cell>
          <cell r="E979" t="str">
            <v>GSEM854</v>
          </cell>
        </row>
        <row r="980">
          <cell r="C980" t="str">
            <v>Topics in</v>
          </cell>
          <cell r="D980" t="str">
            <v>Top: Josephus</v>
          </cell>
          <cell r="E980" t="str">
            <v>NTST885</v>
          </cell>
        </row>
        <row r="981">
          <cell r="C981" t="str">
            <v>Theology of Mission</v>
          </cell>
          <cell r="E981" t="str">
            <v>MSSN610</v>
          </cell>
        </row>
        <row r="982">
          <cell r="C982" t="str">
            <v>Hist of American Relg Thought</v>
          </cell>
          <cell r="E982" t="str">
            <v>CHIS664</v>
          </cell>
        </row>
        <row r="983">
          <cell r="C983" t="str">
            <v>Doctoral Degr Continuation</v>
          </cell>
          <cell r="E983" t="str">
            <v>GSEM888</v>
          </cell>
        </row>
        <row r="984">
          <cell r="C984" t="str">
            <v>Topics in</v>
          </cell>
          <cell r="D984" t="str">
            <v>Topics in Revelation</v>
          </cell>
          <cell r="E984" t="str">
            <v>NTST885</v>
          </cell>
        </row>
        <row r="985">
          <cell r="C985" t="str">
            <v>Collaboratv Min:Schl,Chrch,Com</v>
          </cell>
          <cell r="D985" t="str">
            <v>Collaboratv Min:Schl,Chrch,Com</v>
          </cell>
          <cell r="E985" t="str">
            <v>DSRE615</v>
          </cell>
        </row>
        <row r="986">
          <cell r="C986" t="str">
            <v>Topics in</v>
          </cell>
          <cell r="D986" t="str">
            <v>Top:Intertestamental Literatur</v>
          </cell>
          <cell r="E986" t="str">
            <v>NTST885</v>
          </cell>
        </row>
        <row r="987">
          <cell r="C987" t="str">
            <v>Families in Society</v>
          </cell>
          <cell r="D987" t="str">
            <v>Families in Society</v>
          </cell>
          <cell r="E987" t="str">
            <v>DSRE655</v>
          </cell>
        </row>
        <row r="988">
          <cell r="C988" t="str">
            <v>Principles of Hermeneutics</v>
          </cell>
          <cell r="E988" t="str">
            <v>OTST685</v>
          </cell>
        </row>
        <row r="989">
          <cell r="C989" t="str">
            <v>Survey of the Old Testament</v>
          </cell>
          <cell r="E989" t="str">
            <v>OTST500</v>
          </cell>
        </row>
        <row r="990">
          <cell r="C990" t="str">
            <v>Collaboratv Min:Schl,Chrch,Com</v>
          </cell>
          <cell r="E990" t="str">
            <v>DSRE615</v>
          </cell>
        </row>
        <row r="991">
          <cell r="C991" t="str">
            <v>Topics in:</v>
          </cell>
          <cell r="D991" t="str">
            <v>Topics in : Dead Sea Scrolls</v>
          </cell>
          <cell r="E991" t="str">
            <v>OTST885</v>
          </cell>
        </row>
        <row r="992">
          <cell r="C992" t="str">
            <v>Archaeology of Palestine</v>
          </cell>
          <cell r="E992" t="str">
            <v>OTST614</v>
          </cell>
        </row>
        <row r="993">
          <cell r="C993" t="str">
            <v>Ministry to Youth&amp;Yng Adlt</v>
          </cell>
          <cell r="D993" t="str">
            <v>Ministry to Youth&amp;Yng Adlt</v>
          </cell>
          <cell r="E993" t="str">
            <v>DSRE534</v>
          </cell>
        </row>
        <row r="994">
          <cell r="C994" t="str">
            <v>Sem Theology of Mission</v>
          </cell>
          <cell r="E994" t="str">
            <v>MSSN826</v>
          </cell>
        </row>
        <row r="995">
          <cell r="C995" t="str">
            <v>Contemp Adventst Theolgcl Iss</v>
          </cell>
          <cell r="E995" t="str">
            <v>THST623</v>
          </cell>
        </row>
        <row r="996">
          <cell r="C996" t="str">
            <v>Topics in</v>
          </cell>
          <cell r="D996" t="str">
            <v>Top:Theo of Pauline Epistles</v>
          </cell>
          <cell r="E996" t="str">
            <v>NTST885</v>
          </cell>
        </row>
        <row r="997">
          <cell r="C997" t="str">
            <v>Revelation, Inspiratn&amp;Herm</v>
          </cell>
          <cell r="E997" t="str">
            <v>THST611</v>
          </cell>
        </row>
        <row r="998">
          <cell r="C998" t="str">
            <v>Ministry to Youth&amp;Yng Adlt</v>
          </cell>
          <cell r="D998" t="str">
            <v>Ministry to Youth&amp;Yng Adlt</v>
          </cell>
          <cell r="E998" t="str">
            <v>DSRE534</v>
          </cell>
        </row>
        <row r="999">
          <cell r="C999" t="str">
            <v>Topics in:</v>
          </cell>
          <cell r="D999" t="str">
            <v>Topics in: Daniel</v>
          </cell>
          <cell r="E999" t="str">
            <v>OTST885</v>
          </cell>
        </row>
        <row r="1000">
          <cell r="C1000" t="str">
            <v>Phil &amp; Ethics in Chaplaincy</v>
          </cell>
          <cell r="E1000" t="str">
            <v>CHMN549</v>
          </cell>
        </row>
        <row r="1001">
          <cell r="C1001" t="str">
            <v>Collaboratv Min:Schl,Chrch,Com</v>
          </cell>
          <cell r="D1001" t="str">
            <v>Collaboratv Min:Schl,Chrch,Com</v>
          </cell>
          <cell r="E1001" t="str">
            <v>DSRE615</v>
          </cell>
        </row>
        <row r="1002">
          <cell r="C1002" t="str">
            <v>Revelation</v>
          </cell>
          <cell r="E1002" t="str">
            <v>NTST648</v>
          </cell>
        </row>
        <row r="1003">
          <cell r="C1003" t="str">
            <v>Principles of Christian Ethics</v>
          </cell>
          <cell r="E1003" t="str">
            <v>THST605</v>
          </cell>
        </row>
        <row r="1004">
          <cell r="C1004" t="str">
            <v>PhD-ThD Diss Prop Prep</v>
          </cell>
          <cell r="E1004" t="str">
            <v>GSEM844</v>
          </cell>
        </row>
        <row r="1005">
          <cell r="C1005" t="str">
            <v>Adv Studies General Epistles:</v>
          </cell>
          <cell r="E1005" t="str">
            <v>NTST653</v>
          </cell>
        </row>
        <row r="1006">
          <cell r="C1006" t="str">
            <v>Masters Comprehensive Exam</v>
          </cell>
          <cell r="E1006" t="str">
            <v>GSEM680</v>
          </cell>
        </row>
        <row r="1007">
          <cell r="C1007" t="str">
            <v>Master's Degree Contin</v>
          </cell>
          <cell r="E1007" t="str">
            <v>GSEM688</v>
          </cell>
        </row>
        <row r="1008">
          <cell r="C1008" t="str">
            <v>The Bible &amp; Biblical History</v>
          </cell>
          <cell r="E1008" t="str">
            <v>GSEM525</v>
          </cell>
        </row>
        <row r="1009">
          <cell r="C1009" t="str">
            <v>Doctoral Degr Continuation</v>
          </cell>
          <cell r="E1009" t="str">
            <v>GSEM888</v>
          </cell>
        </row>
        <row r="1010">
          <cell r="C1010" t="str">
            <v>Minor Prophets</v>
          </cell>
          <cell r="E1010" t="str">
            <v>OTST675</v>
          </cell>
        </row>
        <row r="1011">
          <cell r="C1011" t="str">
            <v>Top in NT Backgrounds</v>
          </cell>
          <cell r="E1011" t="str">
            <v>NTST695</v>
          </cell>
        </row>
        <row r="1012">
          <cell r="C1012" t="str">
            <v>Intertestamental Literature</v>
          </cell>
          <cell r="E1012" t="str">
            <v>OTST634</v>
          </cell>
        </row>
        <row r="1013">
          <cell r="C1013" t="str">
            <v>Bilingual Ministry</v>
          </cell>
          <cell r="E1013" t="str">
            <v>CHMN538</v>
          </cell>
        </row>
        <row r="1014">
          <cell r="C1014" t="str">
            <v>Revelation, Inspiratn&amp;Herm</v>
          </cell>
          <cell r="E1014" t="str">
            <v>THST611</v>
          </cell>
        </row>
        <row r="1015">
          <cell r="C1015" t="str">
            <v>Pastoral Counseling</v>
          </cell>
          <cell r="E1015" t="str">
            <v>CHMN555</v>
          </cell>
        </row>
        <row r="1016">
          <cell r="C1016" t="str">
            <v>Issues in Origins</v>
          </cell>
          <cell r="E1016" t="str">
            <v>THST635</v>
          </cell>
        </row>
        <row r="1017">
          <cell r="C1017" t="str">
            <v>Hist of American Relg Thought</v>
          </cell>
          <cell r="D1017" t="str">
            <v>Hist of American Relg Thought</v>
          </cell>
          <cell r="E1017" t="str">
            <v>CHIS664</v>
          </cell>
        </row>
        <row r="1018">
          <cell r="C1018" t="str">
            <v>Mobilizing for Evang Min</v>
          </cell>
          <cell r="E1018" t="str">
            <v>CHMN604</v>
          </cell>
        </row>
        <row r="1019">
          <cell r="C1019" t="str">
            <v>Doctrine of Salvation</v>
          </cell>
          <cell r="E1019" t="str">
            <v>THST640</v>
          </cell>
        </row>
        <row r="1020">
          <cell r="C1020" t="str">
            <v>Theology of Pauline Epistles</v>
          </cell>
          <cell r="E1020" t="str">
            <v>NTST634</v>
          </cell>
        </row>
        <row r="1021">
          <cell r="C1021" t="str">
            <v>Hist of GC, Cov, Law&amp;Sabbath</v>
          </cell>
          <cell r="E1021" t="str">
            <v>CHIS638</v>
          </cell>
        </row>
        <row r="1022">
          <cell r="C1022" t="str">
            <v>Sem in Theological Issues:</v>
          </cell>
          <cell r="D1022" t="str">
            <v>Sem Theo:The Problem of Evil</v>
          </cell>
          <cell r="E1022" t="str">
            <v>THST649</v>
          </cell>
        </row>
        <row r="1023">
          <cell r="C1023" t="str">
            <v>Church Grwth&amp; Equipping Pastor</v>
          </cell>
          <cell r="E1023" t="str">
            <v>CHMN539</v>
          </cell>
        </row>
        <row r="1024">
          <cell r="C1024" t="str">
            <v>Gr Con, Cov, Law &amp; Sabbath</v>
          </cell>
          <cell r="E1024" t="str">
            <v>NTST650</v>
          </cell>
        </row>
        <row r="1025">
          <cell r="C1025" t="str">
            <v>Fndtns of Biblicl Spirituality</v>
          </cell>
          <cell r="D1025" t="str">
            <v>Fndtns of Biblicl Spirituality</v>
          </cell>
          <cell r="E1025" t="str">
            <v>DSRE541</v>
          </cell>
        </row>
        <row r="1026">
          <cell r="C1026" t="str">
            <v>Revelation</v>
          </cell>
          <cell r="E1026" t="str">
            <v>NTST648</v>
          </cell>
        </row>
        <row r="1027">
          <cell r="C1027" t="str">
            <v>Sem in Historical Theology:</v>
          </cell>
          <cell r="D1027" t="str">
            <v>Sem in Hist Theo:Sacraments</v>
          </cell>
          <cell r="E1027" t="str">
            <v>THST964</v>
          </cell>
        </row>
        <row r="1028">
          <cell r="C1028" t="str">
            <v>Pentateuch</v>
          </cell>
          <cell r="E1028" t="str">
            <v>OTST565</v>
          </cell>
        </row>
        <row r="1029">
          <cell r="C1029" t="str">
            <v>Topics in</v>
          </cell>
          <cell r="D1029" t="str">
            <v>Topics in: Matthew</v>
          </cell>
          <cell r="E1029" t="str">
            <v>NTST885</v>
          </cell>
        </row>
        <row r="1030">
          <cell r="C1030" t="str">
            <v>Media Ministry</v>
          </cell>
          <cell r="E1030" t="str">
            <v>CHMN609</v>
          </cell>
        </row>
        <row r="1031">
          <cell r="C1031" t="str">
            <v>Top:</v>
          </cell>
          <cell r="D1031" t="str">
            <v>Top: Early Christian Theology</v>
          </cell>
          <cell r="E1031" t="str">
            <v>THST885</v>
          </cell>
        </row>
        <row r="1032">
          <cell r="C1032" t="str">
            <v>Topics in</v>
          </cell>
          <cell r="D1032" t="str">
            <v>Top: Romans</v>
          </cell>
          <cell r="E1032" t="str">
            <v>NTST885</v>
          </cell>
        </row>
        <row r="1033">
          <cell r="C1033" t="str">
            <v>Topics in</v>
          </cell>
          <cell r="D1033" t="str">
            <v>Top: Judiasm in the NT</v>
          </cell>
          <cell r="E1033" t="str">
            <v>NTST885</v>
          </cell>
        </row>
        <row r="1034">
          <cell r="C1034" t="str">
            <v>Top:</v>
          </cell>
          <cell r="D1034" t="str">
            <v>Top:Doctrine of Holy Spirit</v>
          </cell>
          <cell r="E1034" t="str">
            <v>THST885</v>
          </cell>
        </row>
        <row r="1035">
          <cell r="C1035" t="str">
            <v>Topics:</v>
          </cell>
          <cell r="D1035" t="str">
            <v>Topics:Strtgs for  World Missn</v>
          </cell>
          <cell r="E1035" t="str">
            <v>MSSN695</v>
          </cell>
        </row>
        <row r="1036">
          <cell r="C1036" t="str">
            <v>Strategies World Mission</v>
          </cell>
          <cell r="E1036" t="str">
            <v>MSSN685</v>
          </cell>
        </row>
        <row r="1037">
          <cell r="C1037" t="str">
            <v>Collaboratv Min:Schl,Chrch,Com</v>
          </cell>
          <cell r="D1037" t="str">
            <v>Collaboratv Min:Schl,Chrch,Com</v>
          </cell>
          <cell r="E1037" t="str">
            <v>DSRE615</v>
          </cell>
        </row>
        <row r="1038">
          <cell r="C1038" t="str">
            <v>Sem Adv OT Exegesis</v>
          </cell>
          <cell r="E1038" t="str">
            <v>OTST940</v>
          </cell>
        </row>
        <row r="1039">
          <cell r="C1039" t="str">
            <v>Sem in Hellenistic Greek</v>
          </cell>
          <cell r="E1039" t="str">
            <v>NTST696</v>
          </cell>
        </row>
        <row r="1040">
          <cell r="C1040" t="str">
            <v>Topics in</v>
          </cell>
          <cell r="D1040" t="str">
            <v>Topics in: Hellenistic Greek</v>
          </cell>
          <cell r="E1040" t="str">
            <v>NTST885</v>
          </cell>
        </row>
        <row r="1041">
          <cell r="C1041" t="str">
            <v>Sem in Historical Theology:</v>
          </cell>
          <cell r="D1041" t="str">
            <v>Sem in Hist Theo:Sacraments</v>
          </cell>
          <cell r="E1041" t="str">
            <v>THST656</v>
          </cell>
        </row>
        <row r="1042">
          <cell r="C1042" t="str">
            <v>Top:</v>
          </cell>
          <cell r="D1042" t="str">
            <v>Top:Issues in Orgins</v>
          </cell>
          <cell r="E1042" t="str">
            <v>THST885</v>
          </cell>
        </row>
        <row r="1043">
          <cell r="C1043" t="str">
            <v>Archaeology and the Bible</v>
          </cell>
          <cell r="E1043" t="str">
            <v>OTST510</v>
          </cell>
        </row>
        <row r="1044">
          <cell r="C1044" t="str">
            <v>Church Grwth&amp; Equipping Pastor</v>
          </cell>
          <cell r="D1044" t="str">
            <v>Chrch Grwth&amp; Eqppng Pstr:_____</v>
          </cell>
          <cell r="E1044" t="str">
            <v>CHMN539</v>
          </cell>
        </row>
        <row r="1045">
          <cell r="C1045" t="str">
            <v>Top:</v>
          </cell>
          <cell r="D1045" t="str">
            <v>Top:Gr Controvrsy,Cov,Law,Sabb</v>
          </cell>
          <cell r="E1045" t="str">
            <v>THST885</v>
          </cell>
        </row>
        <row r="1046">
          <cell r="C1046" t="str">
            <v>Top:</v>
          </cell>
          <cell r="D1046" t="str">
            <v>Top:Doctrine of Salvation</v>
          </cell>
          <cell r="E1046" t="str">
            <v>THST885</v>
          </cell>
        </row>
        <row r="1047">
          <cell r="C1047" t="str">
            <v>Topics:</v>
          </cell>
          <cell r="D1047" t="str">
            <v>Top:Seminar in other Religions</v>
          </cell>
          <cell r="E1047" t="str">
            <v>MSSN695</v>
          </cell>
        </row>
        <row r="1048">
          <cell r="C1048" t="str">
            <v>PhD-ThD Diss Prop Prep</v>
          </cell>
          <cell r="D1048" t="str">
            <v>PhD-ThD Diss Prop Prep</v>
          </cell>
          <cell r="E1048" t="str">
            <v>GSEM844</v>
          </cell>
        </row>
        <row r="1049">
          <cell r="C1049" t="str">
            <v>PhD-ThD Comp Exams</v>
          </cell>
          <cell r="D1049" t="str">
            <v>PhD-ThD Comp Exams</v>
          </cell>
          <cell r="E1049" t="str">
            <v>GSEM885</v>
          </cell>
        </row>
        <row r="1050">
          <cell r="C1050" t="str">
            <v>Doctoral Degr Continuation</v>
          </cell>
          <cell r="D1050" t="str">
            <v>Doctoral Degr Continuation</v>
          </cell>
          <cell r="E1050" t="str">
            <v>GSEM888</v>
          </cell>
        </row>
        <row r="1051">
          <cell r="C1051" t="str">
            <v>Topics in</v>
          </cell>
          <cell r="D1051" t="str">
            <v>Topics:Eschatology</v>
          </cell>
          <cell r="E1051" t="str">
            <v>NTST885</v>
          </cell>
        </row>
        <row r="1052">
          <cell r="C1052" t="str">
            <v>Top:</v>
          </cell>
          <cell r="D1052" t="str">
            <v>Top:Hist &amp; Theo of Ecumenism</v>
          </cell>
          <cell r="E1052" t="str">
            <v>THST885</v>
          </cell>
        </row>
        <row r="1053">
          <cell r="C1053" t="str">
            <v>Topics in</v>
          </cell>
          <cell r="D1053" t="str">
            <v>Topics in</v>
          </cell>
          <cell r="E1053" t="str">
            <v>NTST885</v>
          </cell>
        </row>
        <row r="1054">
          <cell r="C1054" t="str">
            <v>The Works of Christ</v>
          </cell>
          <cell r="E1054" t="str">
            <v>THST618</v>
          </cell>
        </row>
        <row r="1055">
          <cell r="C1055" t="str">
            <v>Spec Approaches to Evan:</v>
          </cell>
          <cell r="D1055" t="str">
            <v>Spec Appr to Evan:Coachng Mssn</v>
          </cell>
          <cell r="E1055" t="str">
            <v>CHMN586</v>
          </cell>
        </row>
        <row r="1056">
          <cell r="C1056" t="str">
            <v>Colloquium:</v>
          </cell>
          <cell r="D1056" t="str">
            <v>Colloquium:Research &amp; Writing</v>
          </cell>
          <cell r="E1056" t="str">
            <v>GSEM505</v>
          </cell>
        </row>
        <row r="1057">
          <cell r="C1057" t="str">
            <v>Top:</v>
          </cell>
          <cell r="D1057" t="str">
            <v>Top:Protestant Theo Heritage</v>
          </cell>
          <cell r="E1057" t="str">
            <v>THST885</v>
          </cell>
        </row>
        <row r="1058">
          <cell r="C1058" t="str">
            <v>Doctrine of the Holy Spirit</v>
          </cell>
          <cell r="E1058" t="str">
            <v>THST639</v>
          </cell>
        </row>
        <row r="1059">
          <cell r="C1059" t="str">
            <v>Top:</v>
          </cell>
          <cell r="D1059" t="str">
            <v>Top: Works of Christ</v>
          </cell>
          <cell r="E1059" t="str">
            <v>THST885</v>
          </cell>
        </row>
        <row r="1060">
          <cell r="C1060" t="str">
            <v>Adv Studies Gospels:</v>
          </cell>
          <cell r="D1060" t="str">
            <v>Adv Studies Gospels: Mark</v>
          </cell>
          <cell r="E1060" t="str">
            <v>NTST655</v>
          </cell>
        </row>
        <row r="1061">
          <cell r="C1061" t="str">
            <v>Studies in Church History</v>
          </cell>
          <cell r="D1061" t="str">
            <v>St Chrch Hstry:Rdg Bbl 500CE</v>
          </cell>
          <cell r="E1061" t="str">
            <v>CHIS685</v>
          </cell>
        </row>
        <row r="1062">
          <cell r="C1062" t="str">
            <v>Adv Yth&amp;Yng Adlt Min Ldrshp</v>
          </cell>
          <cell r="D1062" t="str">
            <v>Adv Yth&amp;Yng Adlt Min Ldrshp</v>
          </cell>
          <cell r="E1062" t="str">
            <v>DSRE564</v>
          </cell>
        </row>
        <row r="1063">
          <cell r="C1063" t="str">
            <v>Intro to the New Testament</v>
          </cell>
          <cell r="E1063" t="str">
            <v>NTST520</v>
          </cell>
        </row>
        <row r="1064">
          <cell r="C1064" t="str">
            <v>Intro to Revelation</v>
          </cell>
          <cell r="E1064" t="str">
            <v>NTST530</v>
          </cell>
        </row>
        <row r="1065">
          <cell r="C1065" t="str">
            <v>The Early Church to AD 604</v>
          </cell>
          <cell r="E1065" t="str">
            <v>CHIS600</v>
          </cell>
        </row>
        <row r="1066">
          <cell r="C1066" t="str">
            <v>History of Relg Liberty</v>
          </cell>
          <cell r="E1066" t="str">
            <v>CHIS668</v>
          </cell>
        </row>
        <row r="1067">
          <cell r="C1067" t="str">
            <v>Colloquium:</v>
          </cell>
          <cell r="D1067" t="str">
            <v>Coloq:Intercultur Understandng</v>
          </cell>
          <cell r="E1067" t="str">
            <v>GSEM505</v>
          </cell>
        </row>
        <row r="1068">
          <cell r="C1068" t="str">
            <v>Colloquium:</v>
          </cell>
          <cell r="D1068" t="str">
            <v>Coll:HopeFilled Financial Mgmt</v>
          </cell>
          <cell r="E1068" t="str">
            <v>GSEM505</v>
          </cell>
        </row>
        <row r="1069">
          <cell r="C1069" t="str">
            <v>Reformation:</v>
          </cell>
          <cell r="E1069" t="str">
            <v>CHIS640</v>
          </cell>
        </row>
        <row r="1070">
          <cell r="C1070" t="str">
            <v>Top:</v>
          </cell>
          <cell r="D1070" t="str">
            <v>Top: Rev, Insp &amp; Hermeneutics</v>
          </cell>
          <cell r="E1070" t="str">
            <v>THST885</v>
          </cell>
        </row>
        <row r="1071">
          <cell r="C1071" t="str">
            <v>Church History to 1500</v>
          </cell>
          <cell r="E1071" t="str">
            <v>CHIS506</v>
          </cell>
        </row>
        <row r="1072">
          <cell r="C1072" t="str">
            <v>Church History 1500 to Present</v>
          </cell>
          <cell r="E1072" t="str">
            <v>CHIS507</v>
          </cell>
        </row>
        <row r="1073">
          <cell r="C1073" t="str">
            <v>Topics in:</v>
          </cell>
          <cell r="D1073" t="str">
            <v>Tpcs in :NW Semitic Inscriptin</v>
          </cell>
          <cell r="E1073" t="str">
            <v>OTST885</v>
          </cell>
        </row>
        <row r="1074">
          <cell r="C1074" t="str">
            <v>Workshop</v>
          </cell>
          <cell r="D1074" t="str">
            <v>Wrkshp:Ntrl Intrvntns&amp;Hydrthrp</v>
          </cell>
          <cell r="E1074" t="str">
            <v>GSEM648</v>
          </cell>
        </row>
        <row r="1075">
          <cell r="C1075" t="str">
            <v>Hist &amp; Theo Adventist Worshp</v>
          </cell>
          <cell r="E1075" t="str">
            <v>CHMN654</v>
          </cell>
        </row>
        <row r="1076">
          <cell r="C1076" t="str">
            <v>Top:</v>
          </cell>
          <cell r="D1076" t="str">
            <v>Top:Princpl &amp; Meth of Theo</v>
          </cell>
          <cell r="E1076" t="str">
            <v>THST885</v>
          </cell>
        </row>
        <row r="1077">
          <cell r="C1077" t="str">
            <v>Daniel</v>
          </cell>
          <cell r="D1077" t="str">
            <v>Daniel</v>
          </cell>
          <cell r="E1077" t="str">
            <v>OTST674</v>
          </cell>
        </row>
        <row r="1078">
          <cell r="C1078" t="str">
            <v>Top:</v>
          </cell>
          <cell r="D1078" t="str">
            <v>Top:Christian Personal Ethics</v>
          </cell>
          <cell r="E1078" t="str">
            <v>THST885</v>
          </cell>
        </row>
        <row r="1079">
          <cell r="C1079" t="str">
            <v>Principles of Christian Ethics</v>
          </cell>
          <cell r="D1079" t="str">
            <v>Principles of Christian Ethics</v>
          </cell>
          <cell r="E1079" t="str">
            <v>THST605</v>
          </cell>
        </row>
        <row r="1080">
          <cell r="C1080" t="str">
            <v>Psalms/Wisdom Lit (Hebrew)</v>
          </cell>
          <cell r="E1080" t="str">
            <v>OTST668</v>
          </cell>
        </row>
        <row r="1081">
          <cell r="C1081" t="str">
            <v>Topics in</v>
          </cell>
          <cell r="D1081" t="str">
            <v>Top:Suffrng,Death&amp;Resurrection</v>
          </cell>
          <cell r="E1081" t="str">
            <v>NTST885</v>
          </cell>
        </row>
        <row r="1082">
          <cell r="C1082" t="str">
            <v>Contemporary Trends</v>
          </cell>
          <cell r="E1082" t="str">
            <v>CHIS688</v>
          </cell>
        </row>
        <row r="1083">
          <cell r="C1083" t="str">
            <v>Adv Studies Pauline Wrtg:</v>
          </cell>
          <cell r="D1083" t="str">
            <v>Adv Stud Pauline Wrtg: Romans</v>
          </cell>
          <cell r="E1083" t="str">
            <v>NTST658</v>
          </cell>
        </row>
        <row r="1084">
          <cell r="C1084" t="str">
            <v>Issues in Ellen G White Stdies</v>
          </cell>
          <cell r="E1084" t="str">
            <v>CHIS624</v>
          </cell>
        </row>
        <row r="1085">
          <cell r="C1085" t="str">
            <v>Christian Personal Ethics</v>
          </cell>
          <cell r="D1085" t="str">
            <v>Christian Personal Ethics</v>
          </cell>
          <cell r="E1085" t="str">
            <v>THST600</v>
          </cell>
        </row>
        <row r="1086">
          <cell r="C1086" t="str">
            <v>Bib &amp; Theo Hermeneutics</v>
          </cell>
          <cell r="E1086" t="str">
            <v>GSEM915</v>
          </cell>
        </row>
        <row r="1087">
          <cell r="C1087" t="str">
            <v>Seminar in Church History:</v>
          </cell>
          <cell r="D1087" t="str">
            <v>Seminar:Hist Christian Spirit</v>
          </cell>
          <cell r="E1087" t="str">
            <v>CHIS940</v>
          </cell>
        </row>
        <row r="1088">
          <cell r="C1088" t="str">
            <v>Witn People Another Rlg:</v>
          </cell>
          <cell r="D1088" t="str">
            <v>Witn People Another Rlg:Islam</v>
          </cell>
          <cell r="E1088" t="str">
            <v>MSSN660</v>
          </cell>
        </row>
        <row r="1089">
          <cell r="C1089" t="str">
            <v>Marriage, Fam&amp;Interprsnl Reltn</v>
          </cell>
          <cell r="E1089" t="str">
            <v>DSRE503</v>
          </cell>
        </row>
        <row r="1090">
          <cell r="C1090" t="str">
            <v>PhD-ThD Comp Exams</v>
          </cell>
          <cell r="D1090" t="str">
            <v>PhD-ThD Comp Exams</v>
          </cell>
          <cell r="E1090" t="str">
            <v>GSEM885</v>
          </cell>
        </row>
        <row r="1091">
          <cell r="C1091" t="str">
            <v>Sem in Phil, Theo &amp; Ethics:</v>
          </cell>
          <cell r="E1091" t="str">
            <v>THST814</v>
          </cell>
        </row>
        <row r="1092">
          <cell r="C1092" t="str">
            <v>Prep for Comprehensive Exams</v>
          </cell>
          <cell r="D1092" t="str">
            <v>Prep for Comprehensive Exams</v>
          </cell>
          <cell r="E1092" t="str">
            <v>GSEM880</v>
          </cell>
        </row>
        <row r="1093">
          <cell r="C1093" t="str">
            <v>Topics in</v>
          </cell>
          <cell r="D1093" t="str">
            <v>Topics:Hebrew</v>
          </cell>
          <cell r="E1093" t="str">
            <v>NTST885</v>
          </cell>
        </row>
        <row r="1094">
          <cell r="C1094" t="str">
            <v>Seminar in Church History:</v>
          </cell>
          <cell r="D1094" t="str">
            <v>Sem CHIS:Nat Theo &amp; Moral Phil</v>
          </cell>
          <cell r="E1094" t="str">
            <v>CHIS940</v>
          </cell>
        </row>
        <row r="1095">
          <cell r="C1095" t="str">
            <v>Topics in:</v>
          </cell>
          <cell r="D1095" t="str">
            <v>Topics in : Minor Prophets</v>
          </cell>
          <cell r="E1095" t="str">
            <v>OTST885</v>
          </cell>
        </row>
        <row r="1096">
          <cell r="C1096" t="str">
            <v>Contextualized Preaching</v>
          </cell>
          <cell r="D1096" t="str">
            <v>Contextualized Preaching</v>
          </cell>
          <cell r="E1096" t="str">
            <v>CHMN632</v>
          </cell>
        </row>
        <row r="1097">
          <cell r="C1097" t="str">
            <v>Doctoral Degr Continuation</v>
          </cell>
          <cell r="D1097" t="str">
            <v>Doctoral Degr Continuation</v>
          </cell>
          <cell r="E1097" t="str">
            <v>GSEM888</v>
          </cell>
        </row>
        <row r="1098">
          <cell r="C1098" t="str">
            <v>PhD-ThD Dissertation</v>
          </cell>
          <cell r="D1098" t="str">
            <v>PhD-ThD Dissertation</v>
          </cell>
          <cell r="E1098" t="str">
            <v>GSEM995</v>
          </cell>
        </row>
        <row r="1099">
          <cell r="C1099" t="str">
            <v>Topics in:</v>
          </cell>
          <cell r="D1099" t="str">
            <v>Top:Christian Social Ethics</v>
          </cell>
          <cell r="E1099" t="str">
            <v>MSSN885</v>
          </cell>
        </row>
        <row r="1100">
          <cell r="C1100" t="str">
            <v>Topics in:</v>
          </cell>
          <cell r="D1100" t="str">
            <v>Topics in:AncntNrEstrnLanguags</v>
          </cell>
          <cell r="E1100" t="str">
            <v>OTST885</v>
          </cell>
        </row>
        <row r="1101">
          <cell r="C1101" t="str">
            <v>Top:</v>
          </cell>
          <cell r="D1101" t="str">
            <v>Top:Doctrine of God</v>
          </cell>
          <cell r="E1101" t="str">
            <v>THST885</v>
          </cell>
        </row>
        <row r="1102">
          <cell r="C1102" t="str">
            <v>Topics in</v>
          </cell>
          <cell r="D1102" t="str">
            <v>Top:Theo of Pauline Epistles</v>
          </cell>
          <cell r="E1102" t="str">
            <v>NTST885</v>
          </cell>
        </row>
        <row r="1103">
          <cell r="C1103" t="str">
            <v>Topics in Church History:</v>
          </cell>
          <cell r="D1103" t="str">
            <v>Top CHIS:Nat Theo Moral Phi</v>
          </cell>
          <cell r="E1103" t="str">
            <v>CHIS695</v>
          </cell>
        </row>
        <row r="1104">
          <cell r="C1104" t="str">
            <v>Issues in Origins</v>
          </cell>
          <cell r="D1104" t="str">
            <v>Issues in Origins</v>
          </cell>
          <cell r="E1104" t="str">
            <v>THST635</v>
          </cell>
        </row>
        <row r="1105">
          <cell r="C1105" t="str">
            <v>Topics in:</v>
          </cell>
          <cell r="D1105" t="str">
            <v>Topics in :Biblical Aramaic</v>
          </cell>
          <cell r="E1105" t="str">
            <v>OTST885</v>
          </cell>
        </row>
        <row r="1106">
          <cell r="C1106" t="str">
            <v>Topics in</v>
          </cell>
          <cell r="D1106" t="str">
            <v>Topics:Revelation</v>
          </cell>
          <cell r="E1106" t="str">
            <v>NTST885</v>
          </cell>
        </row>
        <row r="1107">
          <cell r="C1107" t="str">
            <v>Topics in:</v>
          </cell>
          <cell r="D1107" t="str">
            <v>Topics in:ChrstnRspnsHumnNeeds</v>
          </cell>
          <cell r="E1107" t="str">
            <v>MSSN885</v>
          </cell>
        </row>
        <row r="1108">
          <cell r="C1108" t="str">
            <v>Bible Lands &amp; Their Exploraton</v>
          </cell>
          <cell r="D1108" t="str">
            <v>Bible Lands &amp; Their Exploraton</v>
          </cell>
          <cell r="E1108" t="str">
            <v>OTST514</v>
          </cell>
        </row>
        <row r="1109">
          <cell r="C1109" t="str">
            <v>Biblical Hebrew III</v>
          </cell>
          <cell r="D1109" t="str">
            <v>Biblical Hebrew III</v>
          </cell>
          <cell r="E1109" t="str">
            <v>OTST625</v>
          </cell>
        </row>
        <row r="1110">
          <cell r="C1110" t="str">
            <v>PhD-ThD Dissertation</v>
          </cell>
          <cell r="D1110" t="str">
            <v>PhD-ThD Dissertation</v>
          </cell>
          <cell r="E1110" t="str">
            <v>GSEM995</v>
          </cell>
        </row>
        <row r="1111">
          <cell r="C1111" t="str">
            <v>History of the SDA Church</v>
          </cell>
          <cell r="D1111" t="str">
            <v>History of the SDA Church</v>
          </cell>
          <cell r="E1111" t="str">
            <v>CHIS570</v>
          </cell>
        </row>
        <row r="1112">
          <cell r="C1112" t="str">
            <v>Life &amp; Writings of E. G. White</v>
          </cell>
          <cell r="D1112" t="str">
            <v>Life &amp; Writings of E. G. White</v>
          </cell>
          <cell r="E1112" t="str">
            <v>CHIS571</v>
          </cell>
        </row>
        <row r="1113">
          <cell r="C1113" t="str">
            <v>Worship:Word &amp; Music</v>
          </cell>
          <cell r="D1113" t="str">
            <v>Worship:Word &amp; Music</v>
          </cell>
          <cell r="E1113" t="str">
            <v>CHMN523</v>
          </cell>
        </row>
        <row r="1114">
          <cell r="C1114" t="str">
            <v>Topics in:</v>
          </cell>
          <cell r="D1114" t="str">
            <v>Topics in :Biblical Hebrew III</v>
          </cell>
          <cell r="E1114" t="str">
            <v>OTST885</v>
          </cell>
        </row>
        <row r="1115">
          <cell r="C1115" t="str">
            <v>Topics in:</v>
          </cell>
          <cell r="D1115" t="str">
            <v>Topics in: Pentateuch</v>
          </cell>
          <cell r="E1115" t="str">
            <v>OTST885</v>
          </cell>
        </row>
        <row r="1116">
          <cell r="C1116" t="str">
            <v>Colloquium:</v>
          </cell>
          <cell r="D1116" t="str">
            <v>Coll:Academic Survival&amp;Success</v>
          </cell>
          <cell r="E1116" t="str">
            <v>GSEM505</v>
          </cell>
        </row>
        <row r="1117">
          <cell r="C1117" t="str">
            <v>Doctrine of God</v>
          </cell>
          <cell r="D1117" t="str">
            <v>Doctrine of God</v>
          </cell>
          <cell r="E1117" t="str">
            <v>THST616</v>
          </cell>
        </row>
        <row r="1118">
          <cell r="C1118" t="str">
            <v>Media Ministry</v>
          </cell>
          <cell r="D1118" t="str">
            <v>Media Ministry</v>
          </cell>
          <cell r="E1118" t="str">
            <v>CHMN609</v>
          </cell>
        </row>
        <row r="1119">
          <cell r="C1119" t="str">
            <v>Top:</v>
          </cell>
          <cell r="D1119" t="str">
            <v>Top:Christian Social Ethics</v>
          </cell>
          <cell r="E1119" t="str">
            <v>THST885</v>
          </cell>
        </row>
        <row r="1120">
          <cell r="C1120" t="str">
            <v>Christian Theology I</v>
          </cell>
          <cell r="D1120" t="str">
            <v>Christian Theology I</v>
          </cell>
          <cell r="E1120" t="str">
            <v>THST521</v>
          </cell>
        </row>
        <row r="1121">
          <cell r="C1121" t="str">
            <v>Prep for Comprehensive Exams</v>
          </cell>
          <cell r="D1121" t="str">
            <v>Prep for Comprehensive Exams</v>
          </cell>
          <cell r="E1121" t="str">
            <v>GSEM880</v>
          </cell>
        </row>
        <row r="1122">
          <cell r="C1122" t="str">
            <v>Revelation</v>
          </cell>
          <cell r="D1122" t="str">
            <v>Revelation</v>
          </cell>
          <cell r="E1122" t="str">
            <v>NTST648</v>
          </cell>
        </row>
        <row r="1123">
          <cell r="C1123" t="str">
            <v>Internal Dynamics of Families</v>
          </cell>
          <cell r="E1123" t="str">
            <v>DSRE758</v>
          </cell>
        </row>
        <row r="1124">
          <cell r="C1124" t="str">
            <v>Church Grwth&amp; Equipping Pastor</v>
          </cell>
          <cell r="D1124" t="str">
            <v>Church Grwth&amp; Equipping Leader</v>
          </cell>
          <cell r="E1124" t="str">
            <v>CHMN539</v>
          </cell>
        </row>
        <row r="1125">
          <cell r="C1125" t="str">
            <v>Ch Growth&amp;Discipleshp Urban Ch</v>
          </cell>
          <cell r="E1125" t="str">
            <v>CHMN778</v>
          </cell>
        </row>
        <row r="1126">
          <cell r="C1126" t="str">
            <v>Seminary Chorus</v>
          </cell>
          <cell r="D1126" t="str">
            <v>Seminary Chorus</v>
          </cell>
          <cell r="E1126" t="str">
            <v>CHMN588</v>
          </cell>
        </row>
        <row r="1127">
          <cell r="C1127" t="str">
            <v>DMin Prof. Dissertation Cont</v>
          </cell>
          <cell r="E1127" t="str">
            <v>GSEM788</v>
          </cell>
        </row>
        <row r="1128">
          <cell r="C1128" t="str">
            <v>Field Evang. Preach. &amp; Pract.</v>
          </cell>
          <cell r="D1128" t="str">
            <v>Field Evang. Preach. &amp; Pract.</v>
          </cell>
          <cell r="E1128" t="str">
            <v>CHMN634</v>
          </cell>
        </row>
        <row r="1129">
          <cell r="C1129" t="str">
            <v>Theology of the Old Testament</v>
          </cell>
          <cell r="D1129" t="str">
            <v>Theology of the Old Testament</v>
          </cell>
          <cell r="E1129" t="str">
            <v>OTST619</v>
          </cell>
        </row>
        <row r="1130">
          <cell r="C1130" t="str">
            <v>Adv Ldshp Competencies</v>
          </cell>
          <cell r="E1130" t="str">
            <v>CHMN760</v>
          </cell>
        </row>
        <row r="1131">
          <cell r="C1131" t="str">
            <v>Research Methods</v>
          </cell>
          <cell r="E1131" t="str">
            <v>GSEM620</v>
          </cell>
        </row>
        <row r="1132">
          <cell r="C1132" t="str">
            <v>Stud in the Pentateuch (Engl)</v>
          </cell>
          <cell r="E1132" t="str">
            <v>OTST566</v>
          </cell>
        </row>
        <row r="1133">
          <cell r="C1133" t="str">
            <v>The Church &amp; Social Issues</v>
          </cell>
          <cell r="D1133" t="str">
            <v>The Church &amp; Social Issues</v>
          </cell>
          <cell r="E1133" t="str">
            <v>CHMN553</v>
          </cell>
        </row>
        <row r="1134">
          <cell r="C1134" t="str">
            <v>DMin Prof. Dissertation Cont</v>
          </cell>
          <cell r="E1134" t="str">
            <v>GSEM788</v>
          </cell>
        </row>
        <row r="1135">
          <cell r="C1135" t="str">
            <v>Ministry to Youth&amp;Yng Adlt</v>
          </cell>
          <cell r="E1135" t="str">
            <v>DSRE534</v>
          </cell>
        </row>
        <row r="1136">
          <cell r="C1136" t="str">
            <v>The Bible &amp; Biblical History</v>
          </cell>
          <cell r="E1136" t="str">
            <v>GSEM525</v>
          </cell>
        </row>
        <row r="1137">
          <cell r="C1137" t="str">
            <v>Intro to Ecclesiastical Latin</v>
          </cell>
          <cell r="E1137" t="str">
            <v>CHIS612</v>
          </cell>
        </row>
        <row r="1138">
          <cell r="C1138" t="str">
            <v>Revelation, Inspiratn&amp;Herm</v>
          </cell>
          <cell r="D1138" t="str">
            <v>Revelation, Inspiratn&amp;Herm</v>
          </cell>
          <cell r="E1138" t="str">
            <v>THST611</v>
          </cell>
        </row>
        <row r="1139">
          <cell r="C1139" t="str">
            <v>Marriage, Fam&amp;Interprsnl Reltn</v>
          </cell>
          <cell r="D1139" t="str">
            <v>Marriage, Fam&amp;Interprsnl Reltn</v>
          </cell>
          <cell r="E1139" t="str">
            <v>DSRE503</v>
          </cell>
        </row>
        <row r="1140">
          <cell r="C1140" t="str">
            <v>Church Grwth&amp; Equipping Pastor</v>
          </cell>
          <cell r="D1140" t="str">
            <v>Church Grwth&amp; Equipping Leader</v>
          </cell>
          <cell r="E1140" t="str">
            <v>CHMN539</v>
          </cell>
        </row>
        <row r="1141">
          <cell r="C1141" t="str">
            <v>Doctrine of Salvation</v>
          </cell>
          <cell r="D1141" t="str">
            <v>Doctrine of Salvation</v>
          </cell>
          <cell r="E1141" t="str">
            <v>THST640</v>
          </cell>
        </row>
        <row r="1142">
          <cell r="C1142" t="str">
            <v>Topics in</v>
          </cell>
          <cell r="D1142" t="str">
            <v>Topics in Holy Spirit in theNT</v>
          </cell>
          <cell r="E1142" t="str">
            <v>NTST885</v>
          </cell>
        </row>
        <row r="1143">
          <cell r="C1143" t="str">
            <v>Top:</v>
          </cell>
          <cell r="D1143" t="str">
            <v>Top: Issues in Origins</v>
          </cell>
          <cell r="E1143" t="str">
            <v>THST885</v>
          </cell>
        </row>
        <row r="1144">
          <cell r="C1144" t="str">
            <v>Topics:</v>
          </cell>
          <cell r="D1144" t="str">
            <v>Top:Mssn in Cultrl&amp;RlgsContext</v>
          </cell>
          <cell r="E1144" t="str">
            <v>MSSN695</v>
          </cell>
        </row>
        <row r="1145">
          <cell r="C1145" t="str">
            <v>Biblical Hebrew II</v>
          </cell>
          <cell r="E1145" t="str">
            <v>OTST552</v>
          </cell>
        </row>
        <row r="1146">
          <cell r="C1146" t="str">
            <v>Top:</v>
          </cell>
          <cell r="D1146" t="str">
            <v>Top: RC Life &amp; Thought</v>
          </cell>
          <cell r="E1146" t="str">
            <v>THST885</v>
          </cell>
        </row>
        <row r="1147">
          <cell r="C1147" t="str">
            <v>Top:</v>
          </cell>
          <cell r="D1147" t="str">
            <v>Top: Biblical Eschatology</v>
          </cell>
          <cell r="E1147" t="str">
            <v>THST885</v>
          </cell>
        </row>
        <row r="1148">
          <cell r="C1148" t="str">
            <v>Topics in</v>
          </cell>
          <cell r="E1148" t="str">
            <v>NTST885</v>
          </cell>
        </row>
        <row r="1149">
          <cell r="C1149" t="str">
            <v>Topics in</v>
          </cell>
          <cell r="D1149" t="str">
            <v>Topics in</v>
          </cell>
          <cell r="E1149" t="str">
            <v>NTST885</v>
          </cell>
        </row>
        <row r="1150">
          <cell r="C1150" t="str">
            <v>Yth&amp;Yng Adlt in Contmp Culture</v>
          </cell>
          <cell r="D1150" t="str">
            <v>Yth&amp;Yng Adlt in Contmp Culture</v>
          </cell>
          <cell r="E1150" t="str">
            <v>DSRE608</v>
          </cell>
        </row>
        <row r="1151">
          <cell r="C1151" t="str">
            <v>Top:</v>
          </cell>
          <cell r="D1151" t="str">
            <v>Top: Doctrine of Holy Spirit</v>
          </cell>
          <cell r="E1151" t="str">
            <v>THST885</v>
          </cell>
        </row>
        <row r="1152">
          <cell r="C1152" t="str">
            <v>Studies in Church History</v>
          </cell>
          <cell r="D1152" t="str">
            <v>StChHist:RdgBible Chrstns&amp;Jews</v>
          </cell>
          <cell r="E1152" t="str">
            <v>CHIS685</v>
          </cell>
        </row>
        <row r="1153">
          <cell r="C1153" t="str">
            <v>Top:</v>
          </cell>
          <cell r="D1153" t="str">
            <v>Top:Rom Catholic Life&amp;Thought</v>
          </cell>
          <cell r="E1153" t="str">
            <v>THST885</v>
          </cell>
        </row>
        <row r="1154">
          <cell r="C1154" t="str">
            <v>Seminar in Church History:</v>
          </cell>
          <cell r="D1154" t="str">
            <v>Sem: History of Inspiration</v>
          </cell>
          <cell r="E1154" t="str">
            <v>CHIS940</v>
          </cell>
        </row>
        <row r="1155">
          <cell r="C1155" t="str">
            <v>Top:</v>
          </cell>
          <cell r="D1155" t="str">
            <v>Top:Protestant Theo Heritage</v>
          </cell>
          <cell r="E1155" t="str">
            <v>THST885</v>
          </cell>
        </row>
        <row r="1156">
          <cell r="C1156" t="str">
            <v>Sem in Biblical Theology</v>
          </cell>
          <cell r="E1156" t="str">
            <v>OTST945</v>
          </cell>
        </row>
        <row r="1157">
          <cell r="C1157" t="str">
            <v>Topics:</v>
          </cell>
          <cell r="D1157" t="str">
            <v>Top:Cross-Cultural Leadership</v>
          </cell>
          <cell r="E1157" t="str">
            <v>MSSN695</v>
          </cell>
        </row>
        <row r="1158">
          <cell r="C1158" t="str">
            <v>Topics in:</v>
          </cell>
          <cell r="D1158" t="str">
            <v>Topics in : Psalms</v>
          </cell>
          <cell r="E1158" t="str">
            <v>OTST885</v>
          </cell>
        </row>
        <row r="1159">
          <cell r="C1159" t="str">
            <v>Topics in:</v>
          </cell>
          <cell r="D1159" t="str">
            <v>Top:Sem in Theology of Mission</v>
          </cell>
          <cell r="E1159" t="str">
            <v>MSSN885</v>
          </cell>
        </row>
        <row r="1160">
          <cell r="C1160" t="str">
            <v>Bib &amp; Theo Hermeneutics</v>
          </cell>
          <cell r="E1160" t="str">
            <v>GSEM915</v>
          </cell>
        </row>
        <row r="1161">
          <cell r="C1161" t="str">
            <v>Topics in:</v>
          </cell>
          <cell r="D1161" t="str">
            <v>Topics in : Daniel</v>
          </cell>
          <cell r="E1161" t="str">
            <v>OTST885</v>
          </cell>
        </row>
        <row r="1162">
          <cell r="C1162" t="str">
            <v>Theo of the English NT:</v>
          </cell>
          <cell r="E1162" t="str">
            <v>NTST567</v>
          </cell>
        </row>
        <row r="1163">
          <cell r="C1163" t="str">
            <v>Personal &amp; Fam Finance</v>
          </cell>
          <cell r="E1163" t="str">
            <v>DSRE652</v>
          </cell>
        </row>
        <row r="1164">
          <cell r="C1164" t="str">
            <v>Gr Cntrvrsy, Cov, Law, Sabbath</v>
          </cell>
          <cell r="E1164" t="str">
            <v>OTST610</v>
          </cell>
        </row>
        <row r="1165">
          <cell r="C1165" t="str">
            <v>Psalms/Wisdom Lit (Hebrew)</v>
          </cell>
          <cell r="D1165" t="str">
            <v>Psalms/Wisdom Lit (Hebrew)</v>
          </cell>
          <cell r="E1165" t="str">
            <v>OTST668</v>
          </cell>
        </row>
        <row r="1166">
          <cell r="C1166" t="str">
            <v>Colloquium:</v>
          </cell>
          <cell r="D1166" t="str">
            <v>Coll: Exeg Use of Bib Software</v>
          </cell>
          <cell r="E1166" t="str">
            <v>GSEM505</v>
          </cell>
        </row>
        <row r="1167">
          <cell r="C1167" t="str">
            <v>PhD-ThD Colloquium</v>
          </cell>
          <cell r="E1167" t="str">
            <v>GSEM810</v>
          </cell>
        </row>
        <row r="1168">
          <cell r="C1168" t="str">
            <v>Practicum Clin Pastoral Educ</v>
          </cell>
          <cell r="E1168" t="str">
            <v>CHMN557</v>
          </cell>
        </row>
        <row r="1169">
          <cell r="C1169" t="str">
            <v>Sem in Old Testament Theology</v>
          </cell>
          <cell r="E1169" t="str">
            <v>OTST620</v>
          </cell>
        </row>
        <row r="1170">
          <cell r="C1170" t="str">
            <v>Topics:</v>
          </cell>
          <cell r="D1170" t="str">
            <v>Top: Theology of Mission</v>
          </cell>
          <cell r="E1170" t="str">
            <v>MSSN695</v>
          </cell>
        </row>
        <row r="1171">
          <cell r="C1171" t="str">
            <v>Gr Con, Cov, Law &amp; Sabbath</v>
          </cell>
          <cell r="D1171" t="str">
            <v>Gr Con, Cov, Law &amp; Sabbath</v>
          </cell>
          <cell r="E1171" t="str">
            <v>NTST650</v>
          </cell>
        </row>
        <row r="1172">
          <cell r="C1172" t="str">
            <v>Cnstrcts of Corp Min Discpl</v>
          </cell>
          <cell r="E1172" t="str">
            <v>DSRE709</v>
          </cell>
        </row>
        <row r="1173">
          <cell r="C1173" t="str">
            <v>Biblical Aramaic</v>
          </cell>
          <cell r="E1173" t="str">
            <v>OTST654</v>
          </cell>
        </row>
        <row r="1174">
          <cell r="C1174" t="str">
            <v>Rev, Insp &amp; Hermeneutics</v>
          </cell>
          <cell r="E1174" t="str">
            <v>THST611</v>
          </cell>
        </row>
        <row r="1175">
          <cell r="C1175" t="str">
            <v>DIS Dissertation Continuation</v>
          </cell>
          <cell r="E1175" t="str">
            <v>MSSN888</v>
          </cell>
        </row>
        <row r="1176">
          <cell r="C1176" t="str">
            <v>Studies in Church History</v>
          </cell>
          <cell r="D1176" t="str">
            <v>StChHist:Hist of Inspiration</v>
          </cell>
          <cell r="E1176" t="str">
            <v>CHIS685</v>
          </cell>
        </row>
        <row r="1177">
          <cell r="C1177" t="str">
            <v>Doctrine of the Sanctuary</v>
          </cell>
          <cell r="D1177" t="str">
            <v>Doctrine of the Sanctuary</v>
          </cell>
          <cell r="E1177" t="str">
            <v>GSEM530</v>
          </cell>
        </row>
        <row r="1178">
          <cell r="C1178" t="str">
            <v>Issues in Ellen G White Stdies</v>
          </cell>
          <cell r="D1178" t="str">
            <v>Issues in Ellen G White Stdies</v>
          </cell>
          <cell r="E1178" t="str">
            <v>CHIS624</v>
          </cell>
        </row>
        <row r="1179">
          <cell r="C1179" t="str">
            <v>Top:</v>
          </cell>
          <cell r="D1179" t="str">
            <v>Top:Disciplshp &amp; Wrldvw Transf</v>
          </cell>
          <cell r="E1179" t="str">
            <v>MSSN795</v>
          </cell>
        </row>
        <row r="1180">
          <cell r="C1180" t="str">
            <v>Adv Studies:</v>
          </cell>
          <cell r="D1180" t="str">
            <v>AdvSt: Teach for Disc Life Spa</v>
          </cell>
          <cell r="E1180" t="str">
            <v>DSRE870</v>
          </cell>
        </row>
        <row r="1181">
          <cell r="C1181" t="str">
            <v>Sem in Historical Theology:</v>
          </cell>
          <cell r="D1181" t="str">
            <v>Sem Hist Theo: Justification</v>
          </cell>
          <cell r="E1181" t="str">
            <v>THST656</v>
          </cell>
        </row>
        <row r="1182">
          <cell r="C1182" t="str">
            <v>Topics in:</v>
          </cell>
          <cell r="D1182" t="str">
            <v>Top:Curr Issues in Mission</v>
          </cell>
          <cell r="E1182" t="str">
            <v>MSSN885</v>
          </cell>
        </row>
        <row r="1183">
          <cell r="C1183" t="str">
            <v>Synthesis in Relg Education</v>
          </cell>
          <cell r="E1183" t="str">
            <v>DSRE950</v>
          </cell>
        </row>
        <row r="1184">
          <cell r="C1184" t="str">
            <v>Ethics and the Good Life</v>
          </cell>
          <cell r="E1184" t="str">
            <v>THST633</v>
          </cell>
        </row>
        <row r="1185">
          <cell r="C1185" t="str">
            <v>Mission in Cultrl&amp;Rlgs Contxt</v>
          </cell>
          <cell r="E1185" t="str">
            <v>MSSN546</v>
          </cell>
        </row>
        <row r="1186">
          <cell r="C1186" t="str">
            <v>Top:</v>
          </cell>
          <cell r="D1186" t="str">
            <v>Top: Biblical Eschatology</v>
          </cell>
          <cell r="E1186" t="str">
            <v>THST885</v>
          </cell>
        </row>
        <row r="1187">
          <cell r="C1187" t="str">
            <v>Top:</v>
          </cell>
          <cell r="D1187" t="str">
            <v>Top: Christian Personal Ethics</v>
          </cell>
          <cell r="E1187" t="str">
            <v>THST885</v>
          </cell>
        </row>
        <row r="1188">
          <cell r="C1188" t="str">
            <v>Topics in</v>
          </cell>
          <cell r="D1188" t="str">
            <v>Topics in</v>
          </cell>
          <cell r="E1188" t="str">
            <v>NTST885</v>
          </cell>
        </row>
        <row r="1189">
          <cell r="C1189" t="str">
            <v>Topics in</v>
          </cell>
          <cell r="D1189" t="str">
            <v>Topics in</v>
          </cell>
          <cell r="E1189" t="str">
            <v>NTST885</v>
          </cell>
        </row>
        <row r="1190">
          <cell r="C1190" t="str">
            <v>Ministry to Youth&amp;Yng Adlt</v>
          </cell>
          <cell r="E1190" t="str">
            <v>DSRE534</v>
          </cell>
        </row>
        <row r="1191">
          <cell r="C1191" t="str">
            <v>History of the SDA Church</v>
          </cell>
          <cell r="E1191" t="str">
            <v>CHIS570</v>
          </cell>
        </row>
        <row r="1192">
          <cell r="C1192" t="str">
            <v>Life &amp; Writings of E. G. White</v>
          </cell>
          <cell r="E1192" t="str">
            <v>CHIS571</v>
          </cell>
        </row>
        <row r="1193">
          <cell r="C1193" t="str">
            <v>New Testament Ethics</v>
          </cell>
          <cell r="D1193" t="str">
            <v>New Testament Ethics</v>
          </cell>
          <cell r="E1193" t="str">
            <v>NTST668</v>
          </cell>
        </row>
        <row r="1194">
          <cell r="C1194" t="str">
            <v>Rdngs in Acts&amp;General Epistles</v>
          </cell>
          <cell r="E1194" t="str">
            <v>NTST537</v>
          </cell>
        </row>
        <row r="1195">
          <cell r="C1195" t="str">
            <v>Top:</v>
          </cell>
          <cell r="D1195" t="str">
            <v>Top: Great Cont, Cov. Law, Sab</v>
          </cell>
          <cell r="E1195" t="str">
            <v>THST885</v>
          </cell>
        </row>
        <row r="1196">
          <cell r="C1196" t="str">
            <v>Topics in</v>
          </cell>
          <cell r="E1196" t="str">
            <v>NTST885</v>
          </cell>
        </row>
        <row r="1197">
          <cell r="C1197" t="str">
            <v>Fndtns of Biblicl Spirituality</v>
          </cell>
          <cell r="E1197" t="str">
            <v>DSRE541</v>
          </cell>
        </row>
        <row r="1198">
          <cell r="C1198" t="str">
            <v>Topics in</v>
          </cell>
          <cell r="D1198" t="str">
            <v>Topics in Revelation</v>
          </cell>
          <cell r="E1198" t="str">
            <v>NTST885</v>
          </cell>
        </row>
        <row r="1199">
          <cell r="C1199" t="str">
            <v>Topics in</v>
          </cell>
          <cell r="D1199" t="str">
            <v>Top: Holy Sprt in the New Test</v>
          </cell>
          <cell r="E1199" t="str">
            <v>NTST885</v>
          </cell>
        </row>
        <row r="1200">
          <cell r="C1200" t="str">
            <v>Topics in</v>
          </cell>
          <cell r="D1200" t="str">
            <v>Top:Grt Ctrvsy, Cvnt, Law&amp; Sab</v>
          </cell>
          <cell r="E1200" t="str">
            <v>NTST885</v>
          </cell>
        </row>
        <row r="1201">
          <cell r="C1201" t="str">
            <v>Topics in</v>
          </cell>
          <cell r="D1201" t="str">
            <v>Topics in: Greco-Roman World</v>
          </cell>
          <cell r="E1201" t="str">
            <v>NTST885</v>
          </cell>
        </row>
        <row r="1202">
          <cell r="C1202" t="str">
            <v>Topics in</v>
          </cell>
          <cell r="D1202" t="str">
            <v>Top:NT Textl Crtsm&amp; Canon Form</v>
          </cell>
          <cell r="E1202" t="str">
            <v>NTST885</v>
          </cell>
        </row>
        <row r="1203">
          <cell r="C1203" t="str">
            <v>Sem in Historical Theology:</v>
          </cell>
          <cell r="E1203" t="str">
            <v>THST656</v>
          </cell>
        </row>
        <row r="1204">
          <cell r="C1204" t="str">
            <v>Topics in</v>
          </cell>
          <cell r="D1204" t="str">
            <v>Top:Theo of Pauline Writings</v>
          </cell>
          <cell r="E1204" t="str">
            <v>NTST885</v>
          </cell>
        </row>
        <row r="1205">
          <cell r="C1205" t="str">
            <v>Topics in</v>
          </cell>
          <cell r="D1205" t="str">
            <v>Topics in Hebrews</v>
          </cell>
          <cell r="E1205" t="str">
            <v>NTST885</v>
          </cell>
        </row>
        <row r="1206">
          <cell r="C1206" t="str">
            <v>Seminary Chorus</v>
          </cell>
          <cell r="E1206" t="str">
            <v>PATH588</v>
          </cell>
        </row>
        <row r="1207">
          <cell r="C1207" t="str">
            <v>Topics in:</v>
          </cell>
          <cell r="D1207" t="str">
            <v>Topics in: Ugaritic</v>
          </cell>
          <cell r="E1207" t="str">
            <v>OTST885</v>
          </cell>
        </row>
        <row r="1208">
          <cell r="C1208" t="str">
            <v>Topics in:</v>
          </cell>
          <cell r="D1208" t="str">
            <v>Top: Hebrew III</v>
          </cell>
          <cell r="E1208" t="str">
            <v>OTST885</v>
          </cell>
        </row>
        <row r="1209">
          <cell r="C1209" t="str">
            <v>Topics in:</v>
          </cell>
          <cell r="D1209" t="str">
            <v>Top: Interc Theology &amp; Mission</v>
          </cell>
          <cell r="E1209" t="str">
            <v>MSSN885</v>
          </cell>
        </row>
        <row r="1210">
          <cell r="C1210" t="str">
            <v>Sem in Systematic Theology:</v>
          </cell>
          <cell r="D1210" t="str">
            <v>Sem: Sabbth as Dctrne &amp; Blesng</v>
          </cell>
          <cell r="E1210" t="str">
            <v>THST940</v>
          </cell>
        </row>
        <row r="1211">
          <cell r="C1211" t="str">
            <v>Christian Social Ethics</v>
          </cell>
          <cell r="D1211" t="str">
            <v>Christian Social Ethics</v>
          </cell>
          <cell r="E1211" t="str">
            <v>THST634</v>
          </cell>
        </row>
        <row r="1212">
          <cell r="C1212" t="str">
            <v>Seminar in Church History:</v>
          </cell>
          <cell r="D1212" t="str">
            <v>Sem in CHIS: Historiography</v>
          </cell>
          <cell r="E1212" t="str">
            <v>CHIS940</v>
          </cell>
        </row>
        <row r="1213">
          <cell r="C1213" t="str">
            <v>Hist of Christian Worship Mus</v>
          </cell>
          <cell r="E1213" t="str">
            <v>PATH602</v>
          </cell>
        </row>
        <row r="1214">
          <cell r="C1214" t="str">
            <v>Transformational Leadership</v>
          </cell>
          <cell r="E1214" t="str">
            <v>PATH712</v>
          </cell>
        </row>
        <row r="1215">
          <cell r="C1215" t="str">
            <v>Gender and Leadership</v>
          </cell>
          <cell r="E1215" t="str">
            <v>PATH782</v>
          </cell>
        </row>
        <row r="1216">
          <cell r="C1216" t="str">
            <v>Counseling Youth &amp; Young Adult</v>
          </cell>
          <cell r="E1216" t="str">
            <v>DSLE656</v>
          </cell>
        </row>
        <row r="1217">
          <cell r="C1217" t="str">
            <v>Topics:</v>
          </cell>
          <cell r="D1217" t="str">
            <v>Top:Intrcultral Theol&amp; Mission</v>
          </cell>
          <cell r="E1217" t="str">
            <v>MSSN695</v>
          </cell>
        </row>
        <row r="1218">
          <cell r="C1218" t="str">
            <v>Collaboratv Min:Schl,Chrch,Com</v>
          </cell>
          <cell r="D1218" t="str">
            <v>Collaboratv Min:Schl,Chrch,Com</v>
          </cell>
          <cell r="E1218" t="str">
            <v>DSLE615</v>
          </cell>
        </row>
        <row r="1219">
          <cell r="C1219" t="str">
            <v>Top:</v>
          </cell>
          <cell r="D1219" t="str">
            <v>Top:Christian Social Ethics</v>
          </cell>
          <cell r="E1219" t="str">
            <v>THST885</v>
          </cell>
        </row>
        <row r="1220">
          <cell r="C1220" t="str">
            <v>Top:</v>
          </cell>
          <cell r="D1220" t="str">
            <v>Top:Contemporary Theology</v>
          </cell>
          <cell r="E1220" t="str">
            <v>THST885</v>
          </cell>
        </row>
        <row r="1221">
          <cell r="C1221" t="str">
            <v>Conflict Management</v>
          </cell>
          <cell r="D1221" t="str">
            <v>Conflict Management</v>
          </cell>
          <cell r="E1221" t="str">
            <v>PATH526</v>
          </cell>
        </row>
        <row r="1222">
          <cell r="C1222" t="str">
            <v>In-Ministry Continuation</v>
          </cell>
          <cell r="E1222" t="str">
            <v>GSEM588</v>
          </cell>
        </row>
        <row r="1223">
          <cell r="C1223" t="str">
            <v>Doctrine of the Sanctuary</v>
          </cell>
          <cell r="D1223" t="str">
            <v>Doctrine of the Sanctuary</v>
          </cell>
          <cell r="E1223" t="str">
            <v>GSEM530</v>
          </cell>
        </row>
        <row r="1224">
          <cell r="C1224" t="str">
            <v>Sem in Historical Theology:</v>
          </cell>
          <cell r="D1224" t="str">
            <v>Sem Hist Theo: Justification</v>
          </cell>
          <cell r="E1224" t="str">
            <v>THST964</v>
          </cell>
        </row>
        <row r="1225">
          <cell r="C1225" t="str">
            <v>Preach. Biblical Prophecies</v>
          </cell>
          <cell r="E1225" t="str">
            <v>PATH601</v>
          </cell>
        </row>
        <row r="1226">
          <cell r="C1226" t="str">
            <v>Sem Adv OT Exegesis</v>
          </cell>
          <cell r="D1226" t="str">
            <v>SemAdv OT Exeg: Minor Prophets</v>
          </cell>
          <cell r="E1226" t="str">
            <v>OTST940</v>
          </cell>
        </row>
        <row r="1227">
          <cell r="C1227" t="str">
            <v>Pract Clinl Past Educ:</v>
          </cell>
          <cell r="D1227" t="str">
            <v>Practicum Clin Pastoral Educ</v>
          </cell>
          <cell r="E1227" t="str">
            <v>PATH557</v>
          </cell>
        </row>
        <row r="1228">
          <cell r="C1228" t="str">
            <v>Worship:Word &amp; Music</v>
          </cell>
          <cell r="D1228" t="str">
            <v>Worship:Word &amp; Music</v>
          </cell>
          <cell r="E1228" t="str">
            <v>PATH523</v>
          </cell>
        </row>
        <row r="1229">
          <cell r="C1229" t="str">
            <v>Theologicl Found Christian Tch</v>
          </cell>
          <cell r="E1229" t="str">
            <v>DSLE850</v>
          </cell>
        </row>
        <row r="1230">
          <cell r="C1230" t="str">
            <v>Challenge 2nd&amp;3rd Generations</v>
          </cell>
          <cell r="E1230" t="str">
            <v>PATH762</v>
          </cell>
        </row>
        <row r="1231">
          <cell r="C1231" t="str">
            <v>Topics in:</v>
          </cell>
          <cell r="D1231" t="str">
            <v>Top:Readings in the Septuagint</v>
          </cell>
          <cell r="E1231" t="str">
            <v>OTST885</v>
          </cell>
        </row>
        <row r="1232">
          <cell r="C1232" t="str">
            <v>Human Sexuality</v>
          </cell>
          <cell r="E1232" t="str">
            <v>DSLE659</v>
          </cell>
        </row>
        <row r="1233">
          <cell r="C1233" t="str">
            <v>Family Dynamics and Sexuality</v>
          </cell>
          <cell r="E1233" t="str">
            <v>DSLE748</v>
          </cell>
        </row>
        <row r="1234">
          <cell r="C1234" t="str">
            <v>DMin Research Methods Sem</v>
          </cell>
          <cell r="E1234" t="str">
            <v>GSEM793</v>
          </cell>
        </row>
        <row r="1235">
          <cell r="C1235" t="str">
            <v>Pastoral Counseling</v>
          </cell>
          <cell r="D1235" t="str">
            <v>Pastoral Counseling</v>
          </cell>
          <cell r="E1235" t="str">
            <v>PATH555</v>
          </cell>
        </row>
        <row r="1236">
          <cell r="C1236" t="str">
            <v>Pastoral Counseling</v>
          </cell>
          <cell r="E1236" t="str">
            <v>PATH555</v>
          </cell>
        </row>
        <row r="1237">
          <cell r="C1237" t="str">
            <v>Collaboratv Min:Schl,Chrch,Com</v>
          </cell>
          <cell r="E1237" t="str">
            <v>DSLE615</v>
          </cell>
        </row>
        <row r="1238">
          <cell r="C1238" t="str">
            <v>Ministry to Youth&amp;Yng Adlt</v>
          </cell>
          <cell r="E1238" t="str">
            <v>DSLE534</v>
          </cell>
        </row>
        <row r="1239">
          <cell r="C1239" t="str">
            <v>Hispanic-Amer Church History</v>
          </cell>
          <cell r="E1239" t="str">
            <v>CHIS567</v>
          </cell>
        </row>
        <row r="1240">
          <cell r="C1240" t="str">
            <v>Fndtns of Biblicl Spirituality</v>
          </cell>
          <cell r="E1240" t="str">
            <v>DSLE541</v>
          </cell>
        </row>
        <row r="1241">
          <cell r="C1241" t="str">
            <v>Fndtns of Biblicl Spirituality</v>
          </cell>
          <cell r="D1241" t="str">
            <v>Fndtns of Biblicl Spirituality</v>
          </cell>
          <cell r="E1241" t="str">
            <v>DSLE541</v>
          </cell>
        </row>
        <row r="1242">
          <cell r="C1242" t="str">
            <v>Ministry to Youth&amp;Yng Adlt</v>
          </cell>
          <cell r="E1242" t="str">
            <v>DSLE534</v>
          </cell>
        </row>
        <row r="1243">
          <cell r="C1243" t="str">
            <v>Biblical Preaching</v>
          </cell>
          <cell r="E1243" t="str">
            <v>PATH505</v>
          </cell>
        </row>
        <row r="1244">
          <cell r="C1244" t="str">
            <v>Foundatns of Pastoral Ministry</v>
          </cell>
          <cell r="D1244" t="str">
            <v>Foundatns of Pastoral Ministry</v>
          </cell>
          <cell r="E1244" t="str">
            <v>PATH552</v>
          </cell>
        </row>
        <row r="1245">
          <cell r="C1245" t="str">
            <v>Transformational Leadership</v>
          </cell>
          <cell r="E1245" t="str">
            <v>CHMN712</v>
          </cell>
        </row>
        <row r="1246">
          <cell r="C1246" t="str">
            <v>Top:</v>
          </cell>
          <cell r="D1246" t="str">
            <v>Top:Rom Catholic Life&amp; Thought</v>
          </cell>
          <cell r="E1246" t="str">
            <v>THST885</v>
          </cell>
        </row>
        <row r="1247">
          <cell r="C1247" t="str">
            <v>Christn Lead in a Chnging Wrld</v>
          </cell>
          <cell r="E1247" t="str">
            <v>PATH543</v>
          </cell>
        </row>
        <row r="1248">
          <cell r="C1248" t="str">
            <v>Church Grwth&amp; Equipping Leader</v>
          </cell>
          <cell r="E1248" t="str">
            <v>PATH539</v>
          </cell>
        </row>
        <row r="1249">
          <cell r="C1249" t="str">
            <v>The Church &amp; Social Issues</v>
          </cell>
          <cell r="E1249" t="str">
            <v>PATH553</v>
          </cell>
        </row>
        <row r="1250">
          <cell r="C1250" t="str">
            <v>Colloquium:</v>
          </cell>
          <cell r="D1250" t="str">
            <v>Coll:Adventsm: Bib Soc Justice</v>
          </cell>
          <cell r="E1250" t="str">
            <v>GSEM505</v>
          </cell>
        </row>
        <row r="1251">
          <cell r="C1251" t="str">
            <v>Phil &amp; Ethics in Chaplaincy</v>
          </cell>
          <cell r="D1251" t="str">
            <v>Phil &amp; Ethics in Chaplaincy</v>
          </cell>
          <cell r="E1251" t="str">
            <v>PATH549</v>
          </cell>
        </row>
        <row r="1252">
          <cell r="C1252" t="str">
            <v>Readings in the Septuagint</v>
          </cell>
          <cell r="E1252" t="str">
            <v>OTST660</v>
          </cell>
        </row>
        <row r="1253">
          <cell r="C1253" t="str">
            <v>Intro to Chaplaincy Min</v>
          </cell>
          <cell r="E1253" t="str">
            <v>PATH507</v>
          </cell>
        </row>
        <row r="1254">
          <cell r="C1254" t="str">
            <v>Mssn-Shaped Church Planting</v>
          </cell>
          <cell r="E1254" t="str">
            <v>PATH606</v>
          </cell>
        </row>
        <row r="1255">
          <cell r="C1255" t="str">
            <v>Wholistic Healthcare Ministry</v>
          </cell>
          <cell r="E1255" t="str">
            <v>PATH761</v>
          </cell>
        </row>
        <row r="1256">
          <cell r="C1256" t="str">
            <v>Theory&amp;Rsrch in Chaplaincy</v>
          </cell>
          <cell r="E1256" t="str">
            <v>PATH787</v>
          </cell>
        </row>
        <row r="1257">
          <cell r="C1257" t="str">
            <v>Colloquium:</v>
          </cell>
          <cell r="D1257" t="str">
            <v>Coll: Pre-Advent Judgement</v>
          </cell>
          <cell r="E1257" t="str">
            <v>GSEM505</v>
          </cell>
        </row>
        <row r="1258">
          <cell r="C1258" t="str">
            <v>Fndtns of Biblicl Spirituality</v>
          </cell>
          <cell r="D1258" t="str">
            <v>Fndtns of Biblicl Spirituality</v>
          </cell>
          <cell r="E1258" t="str">
            <v>DSLE541</v>
          </cell>
        </row>
        <row r="1259">
          <cell r="C1259" t="str">
            <v>Marriage, Fam&amp;Interprsnl Reltn</v>
          </cell>
          <cell r="D1259" t="str">
            <v>Marriage, Fam&amp;Interprsnl Reltn</v>
          </cell>
          <cell r="E1259" t="str">
            <v>DSLE503</v>
          </cell>
        </row>
        <row r="1260">
          <cell r="C1260" t="str">
            <v>Parenting Educ &amp; Guidance</v>
          </cell>
          <cell r="E1260" t="str">
            <v>DSLE679</v>
          </cell>
        </row>
        <row r="1261">
          <cell r="C1261" t="str">
            <v>Colloquium:</v>
          </cell>
          <cell r="D1261" t="str">
            <v>Coll:Sexl Integr for Pastors</v>
          </cell>
          <cell r="E1261" t="str">
            <v>GSEM505</v>
          </cell>
        </row>
        <row r="1262">
          <cell r="C1262" t="str">
            <v>Colloquium:</v>
          </cell>
          <cell r="D1262" t="str">
            <v>Coll:Destigmtzing Mentl Health</v>
          </cell>
          <cell r="E1262" t="str">
            <v>GSEM505</v>
          </cell>
        </row>
        <row r="1263">
          <cell r="C1263" t="str">
            <v>Current Issues in Mission</v>
          </cell>
          <cell r="E1263" t="str">
            <v>MSSN805</v>
          </cell>
        </row>
        <row r="1264">
          <cell r="C1264" t="str">
            <v>Disciplshp&amp;Worldvw Transfrmatn</v>
          </cell>
          <cell r="E1264" t="str">
            <v>MSSN870</v>
          </cell>
        </row>
        <row r="1265">
          <cell r="C1265" t="str">
            <v>Urban Context Mission/Ministry</v>
          </cell>
          <cell r="E1265" t="str">
            <v>MSSN835</v>
          </cell>
        </row>
        <row r="1266">
          <cell r="C1266" t="str">
            <v>Research Design in Mission</v>
          </cell>
          <cell r="E1266" t="str">
            <v>MSSN854</v>
          </cell>
        </row>
        <row r="1267">
          <cell r="C1267" t="str">
            <v>Topics in</v>
          </cell>
          <cell r="D1267" t="str">
            <v>Topics in Matthew</v>
          </cell>
          <cell r="E1267" t="str">
            <v>NTST885</v>
          </cell>
        </row>
        <row r="1268">
          <cell r="C1268" t="str">
            <v>Topics in</v>
          </cell>
          <cell r="D1268" t="str">
            <v>Topics in Holy Spirit in NT</v>
          </cell>
          <cell r="E1268" t="str">
            <v>NTST885</v>
          </cell>
        </row>
        <row r="1269">
          <cell r="C1269" t="str">
            <v>Seminar in Adventist Studies:</v>
          </cell>
          <cell r="D1269" t="str">
            <v>SemAdvSt:History of the Trinty</v>
          </cell>
          <cell r="E1269" t="str">
            <v>CHIS944</v>
          </cell>
        </row>
        <row r="1270">
          <cell r="C1270" t="str">
            <v>Bib Theo&amp;Spiritl Found Mssn</v>
          </cell>
          <cell r="E1270" t="str">
            <v>MSSN806</v>
          </cell>
        </row>
        <row r="1271">
          <cell r="C1271" t="str">
            <v>Research Methods in Miss&amp;Min</v>
          </cell>
          <cell r="E1271" t="str">
            <v>MSSN840</v>
          </cell>
        </row>
        <row r="1272">
          <cell r="C1272" t="str">
            <v>History of Mission</v>
          </cell>
          <cell r="E1272" t="str">
            <v>MSSN837</v>
          </cell>
        </row>
        <row r="1273">
          <cell r="C1273" t="str">
            <v>Pract Clinl Past Educ:</v>
          </cell>
          <cell r="E1273" t="str">
            <v>PATH557</v>
          </cell>
        </row>
        <row r="1274">
          <cell r="C1274" t="str">
            <v>Studies in Church History</v>
          </cell>
          <cell r="D1274" t="str">
            <v>StChHist:Linguist Theologians</v>
          </cell>
          <cell r="E1274" t="str">
            <v>CHIS685</v>
          </cell>
        </row>
        <row r="1275">
          <cell r="C1275" t="str">
            <v>Topics in</v>
          </cell>
          <cell r="D1275" t="str">
            <v>Topics in Revelation</v>
          </cell>
          <cell r="E1275" t="str">
            <v>NTST885</v>
          </cell>
        </row>
        <row r="1276">
          <cell r="C1276" t="str">
            <v>Biblical Aramaic</v>
          </cell>
          <cell r="E1276" t="str">
            <v>OTST854</v>
          </cell>
        </row>
        <row r="1277">
          <cell r="C1277" t="str">
            <v>Topics in</v>
          </cell>
          <cell r="D1277" t="str">
            <v>Top:NT Text. Crit. &amp;Canon Form</v>
          </cell>
          <cell r="E1277" t="str">
            <v>NTST885</v>
          </cell>
        </row>
        <row r="1278">
          <cell r="C1278" t="str">
            <v>Top:</v>
          </cell>
          <cell r="D1278" t="str">
            <v>Top: Biblical Eschatology</v>
          </cell>
          <cell r="E1278" t="str">
            <v>THST885</v>
          </cell>
        </row>
        <row r="1279">
          <cell r="C1279" t="str">
            <v>Field Evang. Preach. &amp; Pract.</v>
          </cell>
          <cell r="E1279" t="str">
            <v>PATH634</v>
          </cell>
        </row>
        <row r="1280">
          <cell r="C1280" t="str">
            <v>Philosphcl Foundtns for Prof</v>
          </cell>
          <cell r="E1280" t="str">
            <v>DSLE606</v>
          </cell>
        </row>
        <row r="1281">
          <cell r="C1281" t="str">
            <v>Ministry to Youth&amp;Yng Adlt</v>
          </cell>
          <cell r="E1281" t="str">
            <v>DSLE534</v>
          </cell>
        </row>
        <row r="1282">
          <cell r="C1282" t="str">
            <v>Topics in</v>
          </cell>
          <cell r="D1282" t="str">
            <v>Topics in Galatians</v>
          </cell>
          <cell r="E1282" t="str">
            <v>NTST885</v>
          </cell>
        </row>
        <row r="1283">
          <cell r="C1283" t="str">
            <v>Topics in</v>
          </cell>
          <cell r="D1283" t="str">
            <v>Topics in NT Ethics</v>
          </cell>
          <cell r="E1283" t="str">
            <v>NTST885</v>
          </cell>
        </row>
        <row r="1284">
          <cell r="C1284" t="str">
            <v>Topics in</v>
          </cell>
          <cell r="D1284" t="str">
            <v>Topics in Greco-Roman World</v>
          </cell>
          <cell r="E1284" t="str">
            <v>NTST885</v>
          </cell>
        </row>
        <row r="1285">
          <cell r="C1285" t="str">
            <v>Trauma&amp;Adv Crisis Intervention</v>
          </cell>
          <cell r="E1285" t="str">
            <v>PATH643</v>
          </cell>
        </row>
        <row r="1286">
          <cell r="C1286" t="str">
            <v>Collaboratv Min:Schl,Chrch,Com</v>
          </cell>
          <cell r="E1286" t="str">
            <v>DSLE615</v>
          </cell>
        </row>
        <row r="1287">
          <cell r="C1287" t="str">
            <v>Marriage, Fam&amp;Interprsnl Reltn</v>
          </cell>
          <cell r="E1287" t="str">
            <v>DSLE503</v>
          </cell>
        </row>
        <row r="1288">
          <cell r="C1288" t="str">
            <v>Foundtns of Biblical Counsel</v>
          </cell>
          <cell r="E1288" t="str">
            <v>DSLE651</v>
          </cell>
        </row>
        <row r="1289">
          <cell r="C1289" t="str">
            <v>Yth&amp;Yng Adlt in Contmp Culture</v>
          </cell>
          <cell r="E1289" t="str">
            <v>DSLE608</v>
          </cell>
        </row>
        <row r="1290">
          <cell r="C1290" t="str">
            <v>Adv Studies Gospels:</v>
          </cell>
          <cell r="D1290" t="str">
            <v>Adv Studies Gospels: Matthew</v>
          </cell>
          <cell r="E1290" t="str">
            <v>NTST655</v>
          </cell>
        </row>
        <row r="1291">
          <cell r="C1291" t="str">
            <v>Teaching for Discipleship</v>
          </cell>
          <cell r="E1291" t="str">
            <v>DSLE610</v>
          </cell>
        </row>
        <row r="1292">
          <cell r="C1292" t="str">
            <v>Urban Context Mission/Ministry</v>
          </cell>
          <cell r="D1292" t="str">
            <v>Urban Context Mission/Ministry</v>
          </cell>
          <cell r="E1292" t="str">
            <v>MSSN835</v>
          </cell>
        </row>
        <row r="1293">
          <cell r="C1293" t="str">
            <v>Colloquium:</v>
          </cell>
          <cell r="D1293" t="str">
            <v>Coll:Climate Chng &amp; SDA Resp</v>
          </cell>
          <cell r="E1293" t="str">
            <v>GSEM505</v>
          </cell>
        </row>
        <row r="1294">
          <cell r="C1294" t="str">
            <v>Sem in Historical Theology:</v>
          </cell>
          <cell r="D1294" t="str">
            <v>Sem His Theo: Theo of EGW</v>
          </cell>
          <cell r="E1294" t="str">
            <v>THST656</v>
          </cell>
        </row>
        <row r="1295">
          <cell r="C1295" t="str">
            <v>Top:</v>
          </cell>
          <cell r="D1295" t="str">
            <v>Top: Doctrine of Salvation</v>
          </cell>
          <cell r="E1295" t="str">
            <v>THST885</v>
          </cell>
        </row>
        <row r="1296">
          <cell r="C1296" t="str">
            <v>Studies in Church History</v>
          </cell>
          <cell r="D1296" t="str">
            <v>StChHist:Histry of the Trinity</v>
          </cell>
          <cell r="E1296" t="str">
            <v>CHIS685</v>
          </cell>
        </row>
        <row r="1297">
          <cell r="C1297" t="str">
            <v>History of Mission</v>
          </cell>
          <cell r="E1297" t="str">
            <v>MSSN837</v>
          </cell>
        </row>
        <row r="1298">
          <cell r="C1298" t="str">
            <v>Topics in:</v>
          </cell>
          <cell r="D1298" t="str">
            <v>Topics in: Daniel</v>
          </cell>
          <cell r="E1298" t="str">
            <v>OTST885</v>
          </cell>
        </row>
        <row r="1299">
          <cell r="C1299" t="str">
            <v>Reaching the Secular Mind</v>
          </cell>
          <cell r="E1299" t="str">
            <v>DSLE669</v>
          </cell>
        </row>
        <row r="1300">
          <cell r="C1300" t="str">
            <v>Colloquium:</v>
          </cell>
          <cell r="D1300" t="str">
            <v>Coll: Innovative Y&amp;YA Evang</v>
          </cell>
          <cell r="E1300" t="str">
            <v>GSEM505</v>
          </cell>
        </row>
        <row r="1301">
          <cell r="C1301" t="str">
            <v>Top:</v>
          </cell>
          <cell r="D1301" t="str">
            <v>Top: Revelation, Inspirat&amp;Herm</v>
          </cell>
          <cell r="E1301" t="str">
            <v>THST885</v>
          </cell>
        </row>
        <row r="1302">
          <cell r="C1302" t="str">
            <v>Foundatns of Pastoral Ministry</v>
          </cell>
          <cell r="E1302" t="str">
            <v>PATH552</v>
          </cell>
        </row>
        <row r="1303">
          <cell r="C1303" t="str">
            <v>Topics in:</v>
          </cell>
          <cell r="D1303" t="str">
            <v>Topics in:Healing&amp; Deliverance</v>
          </cell>
          <cell r="E1303" t="str">
            <v>MSSN885</v>
          </cell>
        </row>
        <row r="1304">
          <cell r="C1304" t="str">
            <v>Major Prophets:</v>
          </cell>
          <cell r="D1304" t="str">
            <v>Major Prophets:Jeremiah</v>
          </cell>
          <cell r="E1304" t="str">
            <v>OTST686</v>
          </cell>
        </row>
        <row r="1305">
          <cell r="C1305" t="str">
            <v>DMin Prof Dissertation</v>
          </cell>
          <cell r="E1305" t="str">
            <v>GSEM796</v>
          </cell>
        </row>
        <row r="1306">
          <cell r="C1306" t="str">
            <v>In-Ministry Continuation</v>
          </cell>
          <cell r="E1306" t="str">
            <v>GSEM588</v>
          </cell>
        </row>
        <row r="1307">
          <cell r="C1307" t="str">
            <v>Readings in Revelation</v>
          </cell>
          <cell r="E1307" t="str">
            <v>NTST539</v>
          </cell>
        </row>
        <row r="1308">
          <cell r="C1308" t="str">
            <v>Adv Studies Pauline Wrtg:</v>
          </cell>
          <cell r="D1308" t="str">
            <v>Adv St Pauline Wrtg: Galatians</v>
          </cell>
          <cell r="E1308" t="str">
            <v>NTST658</v>
          </cell>
        </row>
        <row r="1309">
          <cell r="C1309" t="str">
            <v>Marriage, Fam&amp;Interprsnl Reltn</v>
          </cell>
          <cell r="E1309" t="str">
            <v>DSLE503</v>
          </cell>
        </row>
        <row r="1310">
          <cell r="C1310" t="str">
            <v>Sem Adv OT Exegesis</v>
          </cell>
          <cell r="D1310" t="str">
            <v>Sem Adv OT Exegesis:Pentateuch</v>
          </cell>
          <cell r="E1310" t="str">
            <v>OTST940</v>
          </cell>
        </row>
        <row r="1311">
          <cell r="C1311" t="str">
            <v>Topics:</v>
          </cell>
          <cell r="D1311" t="str">
            <v>Top:Healing &amp; Deliverance</v>
          </cell>
          <cell r="E1311" t="str">
            <v>MSSN695</v>
          </cell>
        </row>
        <row r="1312">
          <cell r="C1312" t="str">
            <v>Cnstrcts of Corp Min Discpl</v>
          </cell>
          <cell r="E1312" t="str">
            <v>DSLE709</v>
          </cell>
        </row>
        <row r="1313">
          <cell r="C1313" t="str">
            <v>Studies in Daniel (Engl)</v>
          </cell>
          <cell r="D1313" t="str">
            <v>Studies in Daniel (Esp)</v>
          </cell>
          <cell r="E1313" t="str">
            <v>OTST546</v>
          </cell>
        </row>
        <row r="1314">
          <cell r="C1314" t="str">
            <v>Gen Sem Top:</v>
          </cell>
          <cell r="D1314" t="str">
            <v>Gen Sem Top:Bibcl Hermeneutics</v>
          </cell>
          <cell r="E1314" t="str">
            <v>GSEM685</v>
          </cell>
        </row>
        <row r="1315">
          <cell r="C1315" t="str">
            <v>Sem Adv OT Exegesis</v>
          </cell>
          <cell r="D1315" t="str">
            <v>Sem Adv OT Exegesis</v>
          </cell>
          <cell r="E1315" t="str">
            <v>OTST940</v>
          </cell>
        </row>
        <row r="1316">
          <cell r="C1316" t="str">
            <v>Hear&amp;Respond God Thrgh Life</v>
          </cell>
          <cell r="E1316" t="str">
            <v>PATH783</v>
          </cell>
        </row>
        <row r="1317">
          <cell r="C1317" t="str">
            <v>Seminar in Church History:</v>
          </cell>
          <cell r="D1317" t="str">
            <v>SemChHist:Linguist Theologians</v>
          </cell>
          <cell r="E1317" t="str">
            <v>CHIS940</v>
          </cell>
        </row>
        <row r="1318">
          <cell r="C1318" t="str">
            <v>Topics in:</v>
          </cell>
          <cell r="D1318" t="str">
            <v>Top:Linguistics for Theolgians</v>
          </cell>
          <cell r="E1318" t="str">
            <v>OTST885</v>
          </cell>
        </row>
        <row r="1319">
          <cell r="C1319" t="str">
            <v>Topics in Church History:</v>
          </cell>
          <cell r="D1319" t="str">
            <v>Top in Chrch Hist:Early Church</v>
          </cell>
          <cell r="E1319" t="str">
            <v>CHIS880</v>
          </cell>
        </row>
        <row r="1320">
          <cell r="C1320" t="str">
            <v>Topics in</v>
          </cell>
          <cell r="D1320" t="str">
            <v>Topics: Dev of SDA Theology</v>
          </cell>
          <cell r="E1320" t="str">
            <v>CHIS885</v>
          </cell>
        </row>
        <row r="1321">
          <cell r="C1321" t="str">
            <v>Topics in:</v>
          </cell>
          <cell r="D1321" t="str">
            <v>Topics in: Bblical Hebrew III</v>
          </cell>
          <cell r="E1321" t="str">
            <v>OTST885</v>
          </cell>
        </row>
        <row r="1322">
          <cell r="C1322" t="str">
            <v>Theology of E. G. White</v>
          </cell>
          <cell r="E1322" t="str">
            <v>THST809</v>
          </cell>
        </row>
        <row r="1323">
          <cell r="C1323" t="str">
            <v>Ministry to Older Adults</v>
          </cell>
          <cell r="E1323" t="str">
            <v>DSLE677</v>
          </cell>
        </row>
        <row r="1324">
          <cell r="C1324" t="str">
            <v>Topics in:</v>
          </cell>
          <cell r="D1324" t="str">
            <v>Topics in: OT Exegesis</v>
          </cell>
          <cell r="E1324" t="str">
            <v>OTST885</v>
          </cell>
        </row>
        <row r="1325">
          <cell r="C1325" t="str">
            <v>Topics in</v>
          </cell>
          <cell r="D1325" t="str">
            <v>Topics in Judaism and the NT</v>
          </cell>
          <cell r="E1325" t="str">
            <v>NTST885</v>
          </cell>
        </row>
        <row r="1326">
          <cell r="C1326" t="str">
            <v>Ancient Near Eastern Lang</v>
          </cell>
          <cell r="E1326" t="str">
            <v>OTST612</v>
          </cell>
        </row>
        <row r="1327">
          <cell r="C1327" t="str">
            <v>Topics in</v>
          </cell>
          <cell r="D1327" t="str">
            <v>Topics in Eschatology</v>
          </cell>
          <cell r="E1327" t="str">
            <v>NTST885</v>
          </cell>
        </row>
        <row r="1328">
          <cell r="C1328" t="str">
            <v>Mission to the Cities</v>
          </cell>
          <cell r="E1328" t="str">
            <v>MSSN618</v>
          </cell>
        </row>
        <row r="1329">
          <cell r="C1329" t="str">
            <v>Families in Society</v>
          </cell>
          <cell r="E1329" t="str">
            <v>DSLE655</v>
          </cell>
        </row>
        <row r="1330">
          <cell r="C1330" t="str">
            <v>Fndtns of Biblicl Spirituality</v>
          </cell>
          <cell r="E1330" t="str">
            <v>DSLE541</v>
          </cell>
        </row>
        <row r="1331">
          <cell r="C1331" t="str">
            <v>Black Preaching</v>
          </cell>
          <cell r="E1331" t="str">
            <v>PATH627</v>
          </cell>
        </row>
        <row r="1332">
          <cell r="C1332" t="str">
            <v>Death &amp; Grief Contemp Society</v>
          </cell>
          <cell r="E1332" t="str">
            <v>PATH516</v>
          </cell>
        </row>
        <row r="1333">
          <cell r="C1333" t="str">
            <v>Pastoral Counseling</v>
          </cell>
          <cell r="E1333" t="str">
            <v>PATH555</v>
          </cell>
        </row>
        <row r="1334">
          <cell r="C1334" t="str">
            <v>DMin Prof Dissertation</v>
          </cell>
          <cell r="E1334" t="str">
            <v>GSEM796</v>
          </cell>
        </row>
        <row r="1335">
          <cell r="C1335" t="str">
            <v>Topics in:</v>
          </cell>
          <cell r="D1335" t="str">
            <v>Topics in: Akkadian</v>
          </cell>
          <cell r="E1335" t="str">
            <v>OTST885</v>
          </cell>
        </row>
        <row r="1336">
          <cell r="C1336" t="str">
            <v>Top:</v>
          </cell>
          <cell r="D1336" t="str">
            <v>Top: Principles&amp;Methods of The</v>
          </cell>
          <cell r="E1336" t="str">
            <v>THST885</v>
          </cell>
        </row>
        <row r="1337">
          <cell r="C1337" t="str">
            <v>Family as Center for Dscplshp</v>
          </cell>
          <cell r="E1337" t="str">
            <v>DSLE749</v>
          </cell>
        </row>
        <row r="1338">
          <cell r="C1338" t="str">
            <v>Pract Clinl Past Educ:</v>
          </cell>
          <cell r="D1338" t="str">
            <v>Pract Clinl Past Educ:Clinical</v>
          </cell>
          <cell r="E1338" t="str">
            <v>PATH557</v>
          </cell>
        </row>
        <row r="1339">
          <cell r="C1339" t="str">
            <v>The Church in the City</v>
          </cell>
          <cell r="E1339" t="str">
            <v>PATH774</v>
          </cell>
        </row>
        <row r="1340">
          <cell r="C1340" t="str">
            <v>Ch Growth&amp;Discipleshp Urban Ch</v>
          </cell>
          <cell r="E1340" t="str">
            <v>PATH778</v>
          </cell>
        </row>
        <row r="1341">
          <cell r="C1341" t="str">
            <v>A History of Preaching</v>
          </cell>
          <cell r="E1341" t="str">
            <v>PATH744</v>
          </cell>
        </row>
        <row r="1342">
          <cell r="C1342" t="str">
            <v>DMin Professional Portfolio</v>
          </cell>
          <cell r="E1342" t="str">
            <v>GSEM785</v>
          </cell>
        </row>
        <row r="1343">
          <cell r="C1343" t="str">
            <v>Adv Clin Pastoral Eductn</v>
          </cell>
          <cell r="E1343" t="str">
            <v>PATH739</v>
          </cell>
        </row>
        <row r="1344">
          <cell r="C1344" t="str">
            <v>Adv Studies:</v>
          </cell>
          <cell r="D1344" t="str">
            <v>Adv Studies:Collab Ministries</v>
          </cell>
          <cell r="E1344" t="str">
            <v>DSLE870</v>
          </cell>
        </row>
        <row r="1345">
          <cell r="C1345" t="str">
            <v>Topics in Church History:</v>
          </cell>
          <cell r="D1345" t="str">
            <v>Top Church Hist: Martin Luther</v>
          </cell>
          <cell r="E1345" t="str">
            <v>CHIS880</v>
          </cell>
        </row>
        <row r="1346">
          <cell r="C1346" t="str">
            <v>Urban Context Mission/Ministry</v>
          </cell>
          <cell r="E1346" t="str">
            <v>MSSN835</v>
          </cell>
        </row>
        <row r="1347">
          <cell r="C1347" t="str">
            <v>Mission Strategy &amp; Leadership</v>
          </cell>
          <cell r="E1347" t="str">
            <v>MSSN834</v>
          </cell>
        </row>
        <row r="1348">
          <cell r="C1348" t="str">
            <v>Near Eastern Archaeology</v>
          </cell>
          <cell r="E1348" t="str">
            <v>OTST810</v>
          </cell>
        </row>
        <row r="1349">
          <cell r="C1349" t="str">
            <v>Personal &amp; Fam Finance</v>
          </cell>
          <cell r="E1349" t="str">
            <v>DSLE652</v>
          </cell>
        </row>
        <row r="1350">
          <cell r="C1350" t="str">
            <v>Field Evangelism</v>
          </cell>
          <cell r="E1350" t="str">
            <v>PATH562</v>
          </cell>
        </row>
        <row r="1351">
          <cell r="C1351" t="str">
            <v>CPE</v>
          </cell>
          <cell r="D1351" t="str">
            <v>CPE: Clinical</v>
          </cell>
          <cell r="E1351" t="str">
            <v>PATH554</v>
          </cell>
        </row>
        <row r="1352">
          <cell r="C1352" t="str">
            <v>Adv Greek Grammar &amp; Syntax</v>
          </cell>
          <cell r="E1352" t="str">
            <v>NTST808</v>
          </cell>
        </row>
        <row r="1353">
          <cell r="C1353" t="str">
            <v>Topics in</v>
          </cell>
          <cell r="D1353" t="str">
            <v>Topics in Textual Criticism</v>
          </cell>
          <cell r="E1353" t="str">
            <v>NTST885</v>
          </cell>
        </row>
        <row r="1354">
          <cell r="C1354" t="str">
            <v>Top:</v>
          </cell>
          <cell r="D1354" t="str">
            <v>Top: Roman Catholic Thought</v>
          </cell>
          <cell r="E1354" t="str">
            <v>THST885</v>
          </cell>
        </row>
        <row r="1355">
          <cell r="C1355" t="str">
            <v>Sem in Systematic Theology:</v>
          </cell>
          <cell r="D1355" t="str">
            <v>Sem Rev&amp;Insp: Narrative Theo</v>
          </cell>
          <cell r="E1355" t="str">
            <v>THST940</v>
          </cell>
        </row>
        <row r="1356">
          <cell r="C1356" t="str">
            <v>Intergenerational Ministry</v>
          </cell>
          <cell r="E1356" t="str">
            <v>DSLE607</v>
          </cell>
        </row>
        <row r="1357">
          <cell r="C1357" t="str">
            <v>Sem Adv OT Exegesis</v>
          </cell>
          <cell r="D1357" t="str">
            <v>SemAdv OT Exeg: Proverbs</v>
          </cell>
          <cell r="E1357" t="str">
            <v>OTST940</v>
          </cell>
        </row>
        <row r="1358">
          <cell r="C1358" t="str">
            <v>CreatngCollctvImpctProjctMngm</v>
          </cell>
          <cell r="E1358" t="str">
            <v>MSSN625</v>
          </cell>
        </row>
        <row r="1359">
          <cell r="C1359" t="str">
            <v>Sem Adv OT Exegesis</v>
          </cell>
          <cell r="D1359" t="str">
            <v>Sem Adv OT Exeg:Major Prophets</v>
          </cell>
          <cell r="E1359" t="str">
            <v>OTST940</v>
          </cell>
        </row>
        <row r="1360">
          <cell r="C1360" t="str">
            <v>Evangelistic Preaching</v>
          </cell>
          <cell r="E1360" t="str">
            <v>PATH603</v>
          </cell>
        </row>
        <row r="1361">
          <cell r="C1361" t="str">
            <v>CPE</v>
          </cell>
          <cell r="D1361" t="str">
            <v>CPE: Urban</v>
          </cell>
          <cell r="E1361" t="str">
            <v>PATH554</v>
          </cell>
        </row>
        <row r="1362">
          <cell r="C1362" t="str">
            <v>Discipling Young Adults</v>
          </cell>
          <cell r="E1362" t="str">
            <v>DSLE564</v>
          </cell>
        </row>
        <row r="1363">
          <cell r="C1363" t="str">
            <v>Seminar:</v>
          </cell>
          <cell r="D1363" t="str">
            <v>Sem: Reaching the Secular Mind</v>
          </cell>
          <cell r="E1363" t="str">
            <v>DSLE930</v>
          </cell>
        </row>
        <row r="1364">
          <cell r="C1364" t="str">
            <v>PhD-ThD Colloquium</v>
          </cell>
          <cell r="D1364" t="str">
            <v>PhD-ThD Colloquium</v>
          </cell>
          <cell r="E1364" t="str">
            <v>GSEM810</v>
          </cell>
        </row>
        <row r="1365">
          <cell r="C1365" t="str">
            <v>Contextualized Preaching:</v>
          </cell>
          <cell r="D1365" t="str">
            <v>Contextualized Preaching:Youth</v>
          </cell>
          <cell r="E1365" t="str">
            <v>PATH632</v>
          </cell>
        </row>
        <row r="1366">
          <cell r="C1366" t="str">
            <v>Top:</v>
          </cell>
          <cell r="D1366" t="str">
            <v>Top:Doctrin of the Holy Spirit</v>
          </cell>
          <cell r="E1366" t="str">
            <v>THST885</v>
          </cell>
        </row>
        <row r="1367">
          <cell r="C1367" t="str">
            <v>Sem in Theological Issues:</v>
          </cell>
          <cell r="D1367" t="str">
            <v>Sem Thel Iss: Narrative Theo</v>
          </cell>
          <cell r="E1367" t="str">
            <v>THST649</v>
          </cell>
        </row>
        <row r="1368">
          <cell r="C1368" t="str">
            <v>Seminar in Preaching</v>
          </cell>
          <cell r="E1368" t="str">
            <v>PATH637</v>
          </cell>
        </row>
        <row r="1369">
          <cell r="C1369" t="str">
            <v>Topics in</v>
          </cell>
          <cell r="D1369" t="str">
            <v>Top: Gr Con, Cov, Law&amp; Sabbath</v>
          </cell>
          <cell r="E1369" t="str">
            <v>NTST885</v>
          </cell>
        </row>
        <row r="1370">
          <cell r="C1370" t="str">
            <v>Topics in</v>
          </cell>
          <cell r="D1370" t="str">
            <v>Top:Judaism &amp;the New Testament</v>
          </cell>
          <cell r="E1370" t="str">
            <v>NTST885</v>
          </cell>
        </row>
        <row r="1371">
          <cell r="C1371" t="str">
            <v>Reformation:</v>
          </cell>
          <cell r="D1371" t="str">
            <v>Reformation: Martin Luther</v>
          </cell>
          <cell r="E1371" t="str">
            <v>CHIS640</v>
          </cell>
        </row>
        <row r="1372">
          <cell r="C1372" t="str">
            <v>Contextualized Preaching:</v>
          </cell>
          <cell r="D1372" t="str">
            <v>Contextualized Preaching:Youth</v>
          </cell>
          <cell r="E1372" t="str">
            <v>PATH632</v>
          </cell>
        </row>
        <row r="1373">
          <cell r="C1373" t="str">
            <v>Doctrine of the Sanctuary</v>
          </cell>
          <cell r="E1373" t="str">
            <v>GSEM530</v>
          </cell>
        </row>
        <row r="1374">
          <cell r="C1374" t="str">
            <v>Colloquium:</v>
          </cell>
          <cell r="D1374" t="str">
            <v>Coll:Getting Publishd/Staying</v>
          </cell>
          <cell r="E1374" t="str">
            <v>GSEM505</v>
          </cell>
        </row>
        <row r="1375">
          <cell r="C1375" t="str">
            <v>Seminar in Preaching</v>
          </cell>
          <cell r="E1375" t="str">
            <v>PATH637</v>
          </cell>
        </row>
        <row r="1376">
          <cell r="C1376" t="str">
            <v>Diversity,Cult.,Intel,Leadrshp</v>
          </cell>
          <cell r="E1376" t="str">
            <v>MSSN632</v>
          </cell>
        </row>
        <row r="1377">
          <cell r="C1377" t="str">
            <v>Collaboratv Min:Schl,Chrch,Com</v>
          </cell>
          <cell r="E1377" t="str">
            <v>DSLE615</v>
          </cell>
        </row>
        <row r="1378">
          <cell r="C1378" t="str">
            <v>Colloquium:</v>
          </cell>
          <cell r="D1378" t="str">
            <v>Coll: Creation Care &amp; SDAs</v>
          </cell>
          <cell r="E1378" t="str">
            <v>GSEM505</v>
          </cell>
        </row>
        <row r="1379">
          <cell r="C1379" t="str">
            <v>Health&amp;Lifestyle Transformatn</v>
          </cell>
          <cell r="E1379" t="str">
            <v>PATH567</v>
          </cell>
        </row>
        <row r="1380">
          <cell r="C1380" t="str">
            <v>Hist &amp; Theo Adventist Worshp</v>
          </cell>
          <cell r="E1380" t="str">
            <v>PATH654</v>
          </cell>
        </row>
        <row r="1381">
          <cell r="C1381" t="str">
            <v>Colloquium:</v>
          </cell>
          <cell r="D1381" t="str">
            <v>Coll: Master Guide Toolbox</v>
          </cell>
          <cell r="E1381" t="str">
            <v>GSEM505</v>
          </cell>
        </row>
        <row r="1382">
          <cell r="C1382" t="str">
            <v>Personal Evangelistic Ministry</v>
          </cell>
          <cell r="E1382" t="str">
            <v>PATH536</v>
          </cell>
        </row>
        <row r="1383">
          <cell r="C1383" t="str">
            <v>Topics in Church History:</v>
          </cell>
          <cell r="D1383" t="str">
            <v>Top CHIS: Hist of Sab&amp;Sun</v>
          </cell>
          <cell r="E1383" t="str">
            <v>CHIS880</v>
          </cell>
        </row>
        <row r="1384">
          <cell r="C1384" t="str">
            <v>Evang Small Groups</v>
          </cell>
          <cell r="E1384" t="str">
            <v>PATH656</v>
          </cell>
        </row>
        <row r="1385">
          <cell r="C1385" t="str">
            <v>Church Multiplication</v>
          </cell>
          <cell r="E1385" t="str">
            <v>PATH742</v>
          </cell>
        </row>
        <row r="1386">
          <cell r="C1386" t="str">
            <v>Urban Church Leadership&amp;Mgmt</v>
          </cell>
          <cell r="E1386" t="str">
            <v>PATH776</v>
          </cell>
        </row>
        <row r="1387">
          <cell r="C1387" t="str">
            <v>Preach Literary Forms of Bible</v>
          </cell>
          <cell r="E1387" t="str">
            <v>PATH748</v>
          </cell>
        </row>
        <row r="1388">
          <cell r="C1388" t="str">
            <v>DMin Prof Dissertation</v>
          </cell>
          <cell r="E1388" t="str">
            <v>GSEM796</v>
          </cell>
        </row>
        <row r="1389">
          <cell r="C1389" t="str">
            <v>Media Ministry</v>
          </cell>
          <cell r="E1389" t="str">
            <v>PATH609</v>
          </cell>
        </row>
        <row r="1390">
          <cell r="C1390" t="str">
            <v>Issues in Discipleship</v>
          </cell>
          <cell r="E1390" t="str">
            <v>PATH710</v>
          </cell>
        </row>
        <row r="1391">
          <cell r="C1391" t="str">
            <v>Colloquium:</v>
          </cell>
          <cell r="D1391" t="str">
            <v>Coll:Pride&amp;Humlty for Rel Ldrs</v>
          </cell>
          <cell r="E1391" t="str">
            <v>GSEM505</v>
          </cell>
        </row>
        <row r="1392">
          <cell r="C1392" t="str">
            <v>Top:</v>
          </cell>
          <cell r="D1392" t="str">
            <v>Top: Doctrine of Christ</v>
          </cell>
          <cell r="E1392" t="str">
            <v>THST885</v>
          </cell>
        </row>
        <row r="1393">
          <cell r="C1393" t="str">
            <v>Topics in</v>
          </cell>
          <cell r="D1393" t="str">
            <v>Top:AdvSt Paulne Wrt:Galatians</v>
          </cell>
          <cell r="E1393" t="str">
            <v>NTST885</v>
          </cell>
        </row>
        <row r="1394">
          <cell r="C1394" t="str">
            <v>Sem Hist of Sabbath &amp; Sunday</v>
          </cell>
          <cell r="E1394" t="str">
            <v>CHIS684</v>
          </cell>
        </row>
        <row r="1395">
          <cell r="C1395" t="str">
            <v>Studies in Church History</v>
          </cell>
          <cell r="D1395" t="str">
            <v>St CHIS:Hist&amp; Theo Adv Worship</v>
          </cell>
          <cell r="E1395" t="str">
            <v>CHIS685</v>
          </cell>
        </row>
        <row r="1396">
          <cell r="C1396" t="str">
            <v>Topics in Church History:</v>
          </cell>
          <cell r="D1396" t="str">
            <v>Top in CH:Hist of Sab&amp;Sunday</v>
          </cell>
          <cell r="E1396" t="str">
            <v>CHIS695</v>
          </cell>
        </row>
        <row r="1397">
          <cell r="C1397" t="str">
            <v>Teaching for Discipleship</v>
          </cell>
          <cell r="E1397" t="str">
            <v>DSLE610</v>
          </cell>
        </row>
        <row r="1398">
          <cell r="C1398" t="str">
            <v>Top:</v>
          </cell>
          <cell r="D1398" t="str">
            <v>Top: Hist of Philosophy</v>
          </cell>
          <cell r="E1398" t="str">
            <v>THST885</v>
          </cell>
        </row>
        <row r="1399">
          <cell r="C1399" t="str">
            <v>Adv Archaeology of NT Period</v>
          </cell>
          <cell r="E1399" t="str">
            <v>ANEA815</v>
          </cell>
        </row>
        <row r="1400">
          <cell r="C1400" t="str">
            <v>ICISF Certification for Crisis</v>
          </cell>
          <cell r="E1400" t="str">
            <v>MSSN655</v>
          </cell>
        </row>
        <row r="1401">
          <cell r="C1401" t="str">
            <v>Topics:</v>
          </cell>
          <cell r="D1401" t="str">
            <v>Top:Witness inSecular Society</v>
          </cell>
          <cell r="E1401" t="str">
            <v>MSSN695</v>
          </cell>
        </row>
        <row r="1402">
          <cell r="C1402" t="str">
            <v>Adv Greek Grammar &amp; Syntax</v>
          </cell>
          <cell r="E1402" t="str">
            <v>NTST608</v>
          </cell>
        </row>
        <row r="1403">
          <cell r="C1403" t="str">
            <v>Sem Adv OT Exegesis</v>
          </cell>
          <cell r="E1403" t="str">
            <v>OTST940</v>
          </cell>
        </row>
        <row r="1404">
          <cell r="C1404" t="str">
            <v>Mission Education &amp; Training</v>
          </cell>
          <cell r="E1404" t="str">
            <v>MSSN880</v>
          </cell>
        </row>
        <row r="1405">
          <cell r="C1405" t="str">
            <v>The Church &amp; Social Issues</v>
          </cell>
          <cell r="E1405" t="str">
            <v>MSSN820</v>
          </cell>
        </row>
        <row r="1406">
          <cell r="C1406" t="str">
            <v>Sem in Other Religions</v>
          </cell>
          <cell r="E1406" t="str">
            <v>MSSN829</v>
          </cell>
        </row>
        <row r="1407">
          <cell r="C1407" t="str">
            <v>Mission &amp; the Social Sciences</v>
          </cell>
          <cell r="E1407" t="str">
            <v>MSSN838</v>
          </cell>
        </row>
        <row r="1408">
          <cell r="C1408" t="str">
            <v>Research Methods in Miss&amp;Min</v>
          </cell>
          <cell r="E1408" t="str">
            <v>MSSN840</v>
          </cell>
        </row>
        <row r="1409">
          <cell r="C1409" t="str">
            <v>Phil &amp; Ethics in Chaplaincy</v>
          </cell>
          <cell r="E1409" t="str">
            <v>PATH549</v>
          </cell>
        </row>
        <row r="1410">
          <cell r="C1410" t="str">
            <v>DMin Prof Dissertation Cont</v>
          </cell>
          <cell r="E1410" t="str">
            <v>GSEM788</v>
          </cell>
        </row>
        <row r="1411">
          <cell r="C1411" t="str">
            <v>Adv Fostering Spiritual Growth</v>
          </cell>
          <cell r="E1411" t="str">
            <v>DSLE830</v>
          </cell>
        </row>
        <row r="1412">
          <cell r="C1412" t="str">
            <v>Advanced Admin Practices</v>
          </cell>
          <cell r="E1412" t="str">
            <v>PATH781</v>
          </cell>
        </row>
        <row r="1413">
          <cell r="C1413" t="str">
            <v>Contextualized Preaching:</v>
          </cell>
          <cell r="D1413" t="str">
            <v>Cont Preach:Youth&amp; Young Adult</v>
          </cell>
          <cell r="E1413" t="str">
            <v>PATH632</v>
          </cell>
        </row>
        <row r="1414">
          <cell r="C1414" t="str">
            <v>Sem:</v>
          </cell>
          <cell r="D1414" t="str">
            <v>Top:</v>
          </cell>
          <cell r="E1414" t="str">
            <v>MSSN810</v>
          </cell>
        </row>
        <row r="1415">
          <cell r="C1415" t="str">
            <v>CPE</v>
          </cell>
          <cell r="E1415" t="str">
            <v>PATH554</v>
          </cell>
        </row>
        <row r="1416">
          <cell r="C1416" t="str">
            <v>Topics in</v>
          </cell>
          <cell r="D1416" t="str">
            <v>Topics in NT Archaeology</v>
          </cell>
          <cell r="E1416" t="str">
            <v>NTST885</v>
          </cell>
        </row>
        <row r="1417">
          <cell r="C1417" t="str">
            <v>Topics in Church History:</v>
          </cell>
          <cell r="D1417" t="str">
            <v>Top in Chrch Hist:Rlgn in Amer</v>
          </cell>
          <cell r="E1417" t="str">
            <v>CHIS880</v>
          </cell>
        </row>
        <row r="1418">
          <cell r="C1418" t="str">
            <v>Sem Arch &amp; Hist of Antiquity</v>
          </cell>
          <cell r="E1418" t="str">
            <v>ANEA615</v>
          </cell>
        </row>
        <row r="1419">
          <cell r="C1419" t="str">
            <v>Sem Arch &amp; Hist of Antiquity</v>
          </cell>
          <cell r="E1419" t="str">
            <v>OTST615</v>
          </cell>
        </row>
        <row r="1420">
          <cell r="C1420" t="str">
            <v>Topics in:</v>
          </cell>
          <cell r="D1420" t="str">
            <v>Top: Dead Sea Scrolls</v>
          </cell>
          <cell r="E1420" t="str">
            <v>OTST885</v>
          </cell>
        </row>
        <row r="1421">
          <cell r="C1421" t="str">
            <v>CPE</v>
          </cell>
          <cell r="E1421" t="str">
            <v>PATH554</v>
          </cell>
        </row>
        <row r="1422">
          <cell r="C1422" t="str">
            <v>Topics in</v>
          </cell>
          <cell r="D1422" t="str">
            <v>Top:Iss in Ellen G White Stdis</v>
          </cell>
          <cell r="E1422" t="str">
            <v>CHIS885</v>
          </cell>
        </row>
        <row r="1423">
          <cell r="C1423" t="str">
            <v>Topics in:</v>
          </cell>
          <cell r="D1423" t="str">
            <v>Topics in: Biblical Hebrew III</v>
          </cell>
          <cell r="E1423" t="str">
            <v>OTST885</v>
          </cell>
        </row>
        <row r="1424">
          <cell r="C1424" t="str">
            <v>Top:</v>
          </cell>
          <cell r="D1424" t="str">
            <v>Top:Doctrine of Church</v>
          </cell>
          <cell r="E1424" t="str">
            <v>THST885</v>
          </cell>
        </row>
        <row r="1425">
          <cell r="C1425" t="str">
            <v>Topics in</v>
          </cell>
          <cell r="D1425" t="str">
            <v>Topics in Dev of SDA Theology</v>
          </cell>
          <cell r="E1425" t="str">
            <v>CHIS885</v>
          </cell>
        </row>
        <row r="1426">
          <cell r="C1426" t="str">
            <v>Topics in:</v>
          </cell>
          <cell r="D1426" t="str">
            <v>Topics in: Great Controvery</v>
          </cell>
          <cell r="E1426" t="str">
            <v>OTST885</v>
          </cell>
        </row>
        <row r="1427">
          <cell r="C1427" t="str">
            <v>Topics in</v>
          </cell>
          <cell r="D1427" t="str">
            <v>Topics Grt Cont, Cov, Law, Sab</v>
          </cell>
          <cell r="E1427" t="str">
            <v>CHIS885</v>
          </cell>
        </row>
        <row r="1428">
          <cell r="C1428" t="str">
            <v>Hist of the Ancient Near East</v>
          </cell>
          <cell r="D1428" t="str">
            <v>Hist of Ancnt Near East :Egypt</v>
          </cell>
          <cell r="E1428" t="str">
            <v>OTST604</v>
          </cell>
        </row>
        <row r="1429">
          <cell r="C1429" t="str">
            <v>Top:</v>
          </cell>
          <cell r="D1429" t="str">
            <v>Top: Contemporary Theo</v>
          </cell>
          <cell r="E1429" t="str">
            <v>THST885</v>
          </cell>
        </row>
        <row r="1430">
          <cell r="C1430" t="str">
            <v>Spiritual Nurture of Children</v>
          </cell>
          <cell r="E1430" t="str">
            <v>DSLE678</v>
          </cell>
        </row>
        <row r="1431">
          <cell r="C1431" t="str">
            <v>Major Prophets:</v>
          </cell>
          <cell r="D1431" t="str">
            <v>Major Prophets: Isaiah</v>
          </cell>
          <cell r="E1431" t="str">
            <v>OTST686</v>
          </cell>
        </row>
        <row r="1432">
          <cell r="C1432" t="str">
            <v>Sem Adv OT Exegesis</v>
          </cell>
          <cell r="D1432" t="str">
            <v>Sem Adv OT Exeg:  Pentateuch</v>
          </cell>
          <cell r="E1432" t="str">
            <v>OTST940</v>
          </cell>
        </row>
        <row r="1433">
          <cell r="C1433" t="str">
            <v>NT Archaeology</v>
          </cell>
          <cell r="E1433" t="str">
            <v>ANEA625</v>
          </cell>
        </row>
        <row r="1434">
          <cell r="C1434" t="str">
            <v>Top:</v>
          </cell>
          <cell r="D1434" t="str">
            <v>Top: Modern Christian Theology</v>
          </cell>
          <cell r="E1434" t="str">
            <v>THST885</v>
          </cell>
        </row>
        <row r="1435">
          <cell r="C1435" t="str">
            <v>Top:</v>
          </cell>
          <cell r="D1435" t="str">
            <v>Top: Theological Ethics</v>
          </cell>
          <cell r="E1435" t="str">
            <v>THST885</v>
          </cell>
        </row>
        <row r="1436">
          <cell r="C1436" t="str">
            <v>Topics In:</v>
          </cell>
          <cell r="D1436" t="str">
            <v>Top:Hist Ancnt Near East:Egypt</v>
          </cell>
          <cell r="E1436" t="str">
            <v>ANEA885</v>
          </cell>
        </row>
        <row r="1437">
          <cell r="C1437" t="str">
            <v>Topics In:</v>
          </cell>
          <cell r="D1437" t="str">
            <v>Top in Dead Sea Scrolls</v>
          </cell>
          <cell r="E1437" t="str">
            <v>ANEA885</v>
          </cell>
        </row>
        <row r="1438">
          <cell r="C1438" t="str">
            <v>Prchg OT/NT for Max Impact</v>
          </cell>
          <cell r="E1438" t="str">
            <v>PATH633</v>
          </cell>
        </row>
        <row r="1439">
          <cell r="C1439" t="str">
            <v>Urban Ministry Project</v>
          </cell>
          <cell r="E1439" t="str">
            <v>MSSN667</v>
          </cell>
        </row>
        <row r="1440">
          <cell r="C1440" t="str">
            <v>Theo&amp;Hist Perspectve Discplshp</v>
          </cell>
          <cell r="E1440" t="str">
            <v>DSLE705</v>
          </cell>
        </row>
        <row r="1441">
          <cell r="C1441" t="str">
            <v>DMin Prof Dissertation Sem</v>
          </cell>
          <cell r="D1441" t="str">
            <v>DMin Prof Dissertn Sem (Span)</v>
          </cell>
          <cell r="E1441" t="str">
            <v>GSEM790</v>
          </cell>
        </row>
        <row r="1442">
          <cell r="C1442" t="str">
            <v>Topics in:</v>
          </cell>
          <cell r="D1442" t="str">
            <v>Top:Hist of Ancnt Near E-Egypt</v>
          </cell>
          <cell r="E1442" t="str">
            <v>OTST885</v>
          </cell>
        </row>
        <row r="1443">
          <cell r="C1443" t="str">
            <v>Adv Ldshp Competencies</v>
          </cell>
          <cell r="E1443" t="str">
            <v>PATH760</v>
          </cell>
        </row>
        <row r="1444">
          <cell r="C1444" t="str">
            <v>Christian Leadership</v>
          </cell>
          <cell r="E1444" t="str">
            <v>PATH747</v>
          </cell>
        </row>
        <row r="1445">
          <cell r="C1445" t="str">
            <v>Hist of the Ancient Near East</v>
          </cell>
          <cell r="D1445" t="str">
            <v>Hist of Ancnt Near East :Egypt</v>
          </cell>
          <cell r="E1445" t="str">
            <v>ANEA604</v>
          </cell>
        </row>
        <row r="1446">
          <cell r="C1446" t="str">
            <v>Colloquium:</v>
          </cell>
          <cell r="D1446" t="str">
            <v>Coll: Master Guide Toolbox</v>
          </cell>
          <cell r="E1446" t="str">
            <v>GSEM505</v>
          </cell>
        </row>
        <row r="1447">
          <cell r="C1447" t="str">
            <v>Christn Lead in a Chnging Wrld</v>
          </cell>
          <cell r="E1447" t="str">
            <v>PATH543</v>
          </cell>
        </row>
        <row r="1448">
          <cell r="C1448" t="str">
            <v>Colloquium:</v>
          </cell>
          <cell r="D1448" t="str">
            <v>Coll:Healing from Abuse inChrc</v>
          </cell>
          <cell r="E1448" t="str">
            <v>GSEM505</v>
          </cell>
        </row>
        <row r="1449">
          <cell r="C1449" t="str">
            <v>Public Evangelism (Hispanic)</v>
          </cell>
          <cell r="E1449" t="str">
            <v>PATH514</v>
          </cell>
        </row>
        <row r="1450">
          <cell r="C1450" t="str">
            <v>Topics in</v>
          </cell>
          <cell r="D1450" t="str">
            <v>Topics in Revelation</v>
          </cell>
          <cell r="E1450" t="str">
            <v>NTST885</v>
          </cell>
        </row>
        <row r="1451">
          <cell r="C1451" t="str">
            <v>Colloquium:</v>
          </cell>
          <cell r="D1451" t="str">
            <v>Coll: Faith in Film</v>
          </cell>
          <cell r="E1451" t="str">
            <v>GSEM505</v>
          </cell>
        </row>
        <row r="1452">
          <cell r="C1452" t="str">
            <v>Discipling Youth</v>
          </cell>
          <cell r="E1452" t="str">
            <v>DSLE636</v>
          </cell>
        </row>
        <row r="1453">
          <cell r="C1453" t="str">
            <v>Contextualized Preaching:</v>
          </cell>
          <cell r="D1453" t="str">
            <v>Cont Preach:Multi-Ethnc/Racial</v>
          </cell>
          <cell r="E1453" t="str">
            <v>PATH632</v>
          </cell>
        </row>
        <row r="1454">
          <cell r="C1454" t="str">
            <v>Colloquium:</v>
          </cell>
          <cell r="D1454" t="str">
            <v>Coll:Writing Wisely-Princ Acad</v>
          </cell>
          <cell r="E1454" t="str">
            <v>GSEM505</v>
          </cell>
        </row>
        <row r="1455">
          <cell r="C1455" t="str">
            <v>Sem Adv OT Exegesis</v>
          </cell>
          <cell r="D1455" t="str">
            <v>SemAdv OT Exeg: Pentateuch</v>
          </cell>
          <cell r="E1455" t="str">
            <v>OTST940</v>
          </cell>
        </row>
        <row r="1456">
          <cell r="C1456" t="str">
            <v>Studies in Church History</v>
          </cell>
          <cell r="D1456" t="str">
            <v>Top: Hist of Cntemp Pr &amp; Wrshp</v>
          </cell>
          <cell r="E1456" t="str">
            <v>CHIS685</v>
          </cell>
        </row>
        <row r="1457">
          <cell r="C1457" t="str">
            <v>Colloquium:</v>
          </cell>
          <cell r="D1457" t="str">
            <v>Coll:ElMinchin Creative Y Evan</v>
          </cell>
          <cell r="E1457" t="str">
            <v>GSEM505</v>
          </cell>
        </row>
        <row r="1458">
          <cell r="C1458" t="str">
            <v>Top:</v>
          </cell>
          <cell r="D1458" t="str">
            <v>Top: Doctrine of God</v>
          </cell>
          <cell r="E1458" t="str">
            <v>THST885</v>
          </cell>
        </row>
        <row r="1459">
          <cell r="C1459" t="str">
            <v>Top:</v>
          </cell>
          <cell r="D1459" t="str">
            <v>Top: Doctrine of Christ</v>
          </cell>
          <cell r="E1459" t="str">
            <v>THST885</v>
          </cell>
        </row>
        <row r="1460">
          <cell r="C1460" t="str">
            <v>Grt Controversy, Cov, Law, Sab</v>
          </cell>
          <cell r="E1460" t="str">
            <v>GSEM628</v>
          </cell>
        </row>
        <row r="1461">
          <cell r="C1461" t="str">
            <v>Seminar in Church History:</v>
          </cell>
          <cell r="D1461" t="str">
            <v>Sem EGW &amp; Lts/Mss Annotation</v>
          </cell>
          <cell r="E1461" t="str">
            <v>CHIS940</v>
          </cell>
        </row>
        <row r="1462">
          <cell r="C1462" t="str">
            <v>DMin Prof Dissertation Sem</v>
          </cell>
          <cell r="E1462" t="str">
            <v>GSEM790</v>
          </cell>
        </row>
        <row r="1463">
          <cell r="C1463" t="str">
            <v>Synth in Discipleship Life Ed</v>
          </cell>
          <cell r="E1463" t="str">
            <v>DSLE950</v>
          </cell>
        </row>
        <row r="1464">
          <cell r="C1464" t="str">
            <v>Textural Criticism</v>
          </cell>
          <cell r="E1464" t="str">
            <v>OTST820</v>
          </cell>
        </row>
        <row r="1465">
          <cell r="C1465" t="str">
            <v>Topics in Church History:</v>
          </cell>
          <cell r="D1465" t="str">
            <v>Top: Hist of Cont Praise &amp;Wrsh</v>
          </cell>
          <cell r="E1465" t="str">
            <v>CHIS880</v>
          </cell>
        </row>
        <row r="1466">
          <cell r="C1466" t="str">
            <v>Revelation</v>
          </cell>
          <cell r="E1466" t="str">
            <v>NTST648</v>
          </cell>
        </row>
        <row r="1467">
          <cell r="C1467" t="str">
            <v>Contextualized Preaching:</v>
          </cell>
          <cell r="D1467" t="str">
            <v>Cntxtlzd Prchng: Multi Eth Rac</v>
          </cell>
          <cell r="E1467" t="str">
            <v>PATH632</v>
          </cell>
        </row>
        <row r="1468">
          <cell r="C1468" t="str">
            <v>Sem in Biblical Theology</v>
          </cell>
          <cell r="E1468" t="str">
            <v>OTST945</v>
          </cell>
        </row>
        <row r="1469">
          <cell r="C1469" t="str">
            <v>Field Evangelism</v>
          </cell>
          <cell r="E1469" t="str">
            <v>PATH562</v>
          </cell>
        </row>
        <row r="1470">
          <cell r="C1470" t="str">
            <v>Studies in Church History</v>
          </cell>
          <cell r="D1470" t="str">
            <v>St EGW &amp; Lts/Mss Annotation</v>
          </cell>
          <cell r="E1470" t="str">
            <v>CHIS685</v>
          </cell>
        </row>
        <row r="1471">
          <cell r="C1471" t="str">
            <v>Major Prophets:</v>
          </cell>
          <cell r="D1471" t="str">
            <v>Major Prophets: Exegesis</v>
          </cell>
          <cell r="E1471" t="str">
            <v>OTST686</v>
          </cell>
        </row>
        <row r="1472">
          <cell r="C1472" t="str">
            <v>Studies in Church History</v>
          </cell>
          <cell r="D1472" t="str">
            <v>St EGW &amp; Lts/Mss Annotation</v>
          </cell>
          <cell r="E1472" t="str">
            <v>CHIS685</v>
          </cell>
        </row>
        <row r="1473">
          <cell r="C1473" t="str">
            <v>Discipling At-Risk Youth</v>
          </cell>
          <cell r="E1473" t="str">
            <v>DSLE626</v>
          </cell>
        </row>
        <row r="1474">
          <cell r="C1474" t="str">
            <v>Colloquium:</v>
          </cell>
          <cell r="D1474" t="str">
            <v>Coll: Creation Care &amp; SDAs</v>
          </cell>
          <cell r="E1474" t="str">
            <v>GSEM505</v>
          </cell>
        </row>
        <row r="1475">
          <cell r="C1475" t="str">
            <v>Field Evangelism</v>
          </cell>
          <cell r="E1475" t="str">
            <v>PATH562</v>
          </cell>
        </row>
        <row r="1476">
          <cell r="C1476" t="str">
            <v>Colloquium:</v>
          </cell>
          <cell r="D1476" t="str">
            <v>Coll:150th Annivers. Mssn Conf</v>
          </cell>
          <cell r="E1476" t="str">
            <v>GSEM505</v>
          </cell>
        </row>
        <row r="1477">
          <cell r="C1477" t="str">
            <v>Colloquium:</v>
          </cell>
          <cell r="D1477" t="str">
            <v>Coll: Effective Soc. Media Min</v>
          </cell>
          <cell r="E1477" t="str">
            <v>GSEM505</v>
          </cell>
        </row>
        <row r="1478">
          <cell r="C1478" t="str">
            <v>Studies in Church History</v>
          </cell>
          <cell r="D1478" t="str">
            <v>Top: Hst of Ctmp Prs &amp; Wrshp</v>
          </cell>
          <cell r="E1478" t="str">
            <v>CHIS685</v>
          </cell>
        </row>
        <row r="1479">
          <cell r="C1479" t="str">
            <v>Development SDA Theology</v>
          </cell>
          <cell r="E1479" t="str">
            <v>CHIS674</v>
          </cell>
        </row>
        <row r="1480">
          <cell r="C1480" t="str">
            <v>Disciple-making and Evangel</v>
          </cell>
          <cell r="E1480" t="str">
            <v>PATH754</v>
          </cell>
        </row>
        <row r="1481">
          <cell r="C1481" t="str">
            <v>Rdgs in Ecclesiastical Latin</v>
          </cell>
          <cell r="E1481" t="str">
            <v>CHIS828</v>
          </cell>
        </row>
        <row r="1482">
          <cell r="C1482" t="str">
            <v>Colloquium:</v>
          </cell>
          <cell r="D1482" t="str">
            <v>Coll: Securing Your Calling</v>
          </cell>
          <cell r="E1482" t="str">
            <v>GSEM505</v>
          </cell>
        </row>
        <row r="1483">
          <cell r="C1483" t="str">
            <v>Colloquium:</v>
          </cell>
          <cell r="D1483" t="str">
            <v>Coll: Mentoring for Church Rev</v>
          </cell>
          <cell r="E1483" t="str">
            <v>GSEM505</v>
          </cell>
        </row>
        <row r="1484">
          <cell r="C1484" t="str">
            <v>Grt Controversy, Cov, Law, Sab</v>
          </cell>
          <cell r="E1484" t="str">
            <v>GSEM628</v>
          </cell>
        </row>
        <row r="1485">
          <cell r="C1485" t="str">
            <v>Prophetic Preach in Worship</v>
          </cell>
          <cell r="E1485" t="str">
            <v>PATH743</v>
          </cell>
        </row>
        <row r="1486">
          <cell r="C1486" t="str">
            <v>Sem Adv OT Exegesis</v>
          </cell>
          <cell r="D1486" t="str">
            <v>Psalms/Wisdom Literature</v>
          </cell>
          <cell r="E1486" t="str">
            <v>OTST940</v>
          </cell>
        </row>
        <row r="1487">
          <cell r="C1487" t="str">
            <v>Top:</v>
          </cell>
          <cell r="D1487" t="str">
            <v>Top: Doctrine of God</v>
          </cell>
          <cell r="E1487" t="str">
            <v>THST885</v>
          </cell>
        </row>
        <row r="1488">
          <cell r="C1488" t="str">
            <v>Topics in</v>
          </cell>
          <cell r="D1488" t="str">
            <v>Top:AdvSt Paulne Wrt:Romans</v>
          </cell>
          <cell r="E1488" t="str">
            <v>NTST885</v>
          </cell>
        </row>
        <row r="1489">
          <cell r="C1489" t="str">
            <v>Topics in</v>
          </cell>
          <cell r="D1489" t="str">
            <v>Topics in Romans</v>
          </cell>
          <cell r="E1489" t="str">
            <v>NTST885</v>
          </cell>
        </row>
        <row r="1490">
          <cell r="C1490" t="str">
            <v>Top:</v>
          </cell>
          <cell r="D1490" t="str">
            <v>Top: Modern Philosophy</v>
          </cell>
          <cell r="E1490" t="str">
            <v>THST885</v>
          </cell>
        </row>
        <row r="1491">
          <cell r="C1491" t="str">
            <v>Mobilizing for Evang Min</v>
          </cell>
          <cell r="E1491" t="str">
            <v>PATH604</v>
          </cell>
        </row>
        <row r="1492">
          <cell r="C1492" t="str">
            <v>Church Grwth&amp; Equipping Leader</v>
          </cell>
          <cell r="E1492" t="str">
            <v>PATH539</v>
          </cell>
        </row>
        <row r="1493">
          <cell r="C1493" t="str">
            <v>Doctrine of Salvation</v>
          </cell>
          <cell r="E1493" t="str">
            <v>THST640</v>
          </cell>
        </row>
        <row r="1494">
          <cell r="C1494" t="str">
            <v>Topics in</v>
          </cell>
          <cell r="D1494" t="str">
            <v>Top:</v>
          </cell>
          <cell r="E1494" t="str">
            <v>CHIS885</v>
          </cell>
        </row>
        <row r="1495">
          <cell r="C1495" t="str">
            <v>Top:</v>
          </cell>
          <cell r="D1495" t="str">
            <v>Topics: Modern Philosophy</v>
          </cell>
          <cell r="E1495" t="str">
            <v>THST695</v>
          </cell>
        </row>
        <row r="1496">
          <cell r="C1496" t="str">
            <v>Bib Theo&amp;Spiritl Found Mssn</v>
          </cell>
          <cell r="E1496" t="str">
            <v>MSSN806</v>
          </cell>
        </row>
        <row r="1497">
          <cell r="C1497" t="str">
            <v>Disciplshp&amp;Worldvw Transfrmatn</v>
          </cell>
          <cell r="E1497" t="str">
            <v>MSSN870</v>
          </cell>
        </row>
        <row r="1498">
          <cell r="C1498" t="str">
            <v>Current Issues in Mission</v>
          </cell>
          <cell r="E1498" t="str">
            <v>MSSN805</v>
          </cell>
        </row>
        <row r="1499">
          <cell r="C1499" t="str">
            <v>Psalms/Wisdom Lit (Hebrew)</v>
          </cell>
          <cell r="D1499" t="str">
            <v>Psalms/Wisdom Lit</v>
          </cell>
          <cell r="E1499" t="str">
            <v>OTST668</v>
          </cell>
        </row>
        <row r="1500">
          <cell r="C1500" t="str">
            <v>Postdoctoral Seminar</v>
          </cell>
          <cell r="E1500" t="str">
            <v>GSEM990</v>
          </cell>
        </row>
        <row r="1501">
          <cell r="C1501" t="str">
            <v>Topics:</v>
          </cell>
          <cell r="D1501" t="str">
            <v>Top:Healing&amp;Deliverance in Mss</v>
          </cell>
          <cell r="E1501" t="str">
            <v>MSSN695</v>
          </cell>
        </row>
        <row r="1502">
          <cell r="C1502" t="str">
            <v>Adv Studies Pauline Wrtg:</v>
          </cell>
          <cell r="D1502" t="str">
            <v>Adv St Pauline Wrtg: Romans</v>
          </cell>
          <cell r="E1502" t="str">
            <v>NTST658</v>
          </cell>
        </row>
        <row r="1503">
          <cell r="C1503" t="str">
            <v>Topics in Church History:</v>
          </cell>
          <cell r="D1503" t="str">
            <v>Top CHIS: Early Chch to AD 604</v>
          </cell>
          <cell r="E1503" t="str">
            <v>CHIS880</v>
          </cell>
        </row>
        <row r="1504">
          <cell r="C1504" t="str">
            <v>Ancient Near Eastern Lang</v>
          </cell>
          <cell r="D1504" t="str">
            <v>ANE Lang: Akkadian</v>
          </cell>
          <cell r="E1504" t="str">
            <v>ANEA612</v>
          </cell>
        </row>
        <row r="1505">
          <cell r="C1505" t="str">
            <v>Teaching Religion in College</v>
          </cell>
          <cell r="E1505" t="str">
            <v>DSLE860</v>
          </cell>
        </row>
        <row r="1506">
          <cell r="C1506" t="str">
            <v>The Early Church to AD 604</v>
          </cell>
          <cell r="E1506" t="str">
            <v>CHIS600</v>
          </cell>
        </row>
        <row r="1507">
          <cell r="C1507" t="str">
            <v>Studies in Church History</v>
          </cell>
          <cell r="D1507" t="str">
            <v>Stdis n CHIS:Chrstn Wrshp Mus</v>
          </cell>
          <cell r="E1507" t="str">
            <v>CHIS685</v>
          </cell>
        </row>
        <row r="1508">
          <cell r="C1508" t="str">
            <v>Historcl Resrch&amp;Historiography</v>
          </cell>
          <cell r="E1508" t="str">
            <v>CHIS628</v>
          </cell>
        </row>
        <row r="1509">
          <cell r="C1509" t="str">
            <v>Hist. Res. &amp; Historiography</v>
          </cell>
          <cell r="E1509" t="str">
            <v>CHIS814</v>
          </cell>
        </row>
        <row r="1510">
          <cell r="C1510" t="str">
            <v>Topics in:</v>
          </cell>
          <cell r="D1510" t="str">
            <v>Top:Hist of ANE Msptmia</v>
          </cell>
          <cell r="E1510" t="str">
            <v>OTST885</v>
          </cell>
        </row>
        <row r="1511">
          <cell r="C1511" t="str">
            <v>Topics in</v>
          </cell>
          <cell r="D1511" t="str">
            <v>Topics in:Judaism and the NT</v>
          </cell>
          <cell r="E1511" t="str">
            <v>NTST885</v>
          </cell>
        </row>
        <row r="1512">
          <cell r="C1512" t="str">
            <v>Top:</v>
          </cell>
          <cell r="D1512" t="str">
            <v>Top: Ethics and the Good Life</v>
          </cell>
          <cell r="E1512" t="str">
            <v>THST885</v>
          </cell>
        </row>
        <row r="1513">
          <cell r="C1513" t="str">
            <v>Sem Adv OT Exegesis</v>
          </cell>
          <cell r="D1513" t="str">
            <v>Sem n Adv Arch &amp; Hst f Antqty</v>
          </cell>
          <cell r="E1513" t="str">
            <v>OTST940</v>
          </cell>
        </row>
        <row r="1514">
          <cell r="C1514" t="str">
            <v>Studies in Church History</v>
          </cell>
          <cell r="D1514" t="str">
            <v>Sem Hist of Inter of Gen</v>
          </cell>
          <cell r="E1514" t="str">
            <v>CHIS685</v>
          </cell>
        </row>
        <row r="1515">
          <cell r="C1515" t="str">
            <v>Sem Adv OT Exegesis</v>
          </cell>
          <cell r="D1515" t="str">
            <v>Sem in Adv Hst of ANE: Msptmia</v>
          </cell>
          <cell r="E1515" t="str">
            <v>OTST940</v>
          </cell>
        </row>
        <row r="1516">
          <cell r="C1516" t="str">
            <v>Hist of the Ancient Near East</v>
          </cell>
          <cell r="D1516" t="str">
            <v>Hist of ANE: Mesopotamia</v>
          </cell>
          <cell r="E1516" t="str">
            <v>ANEA604</v>
          </cell>
        </row>
        <row r="1517">
          <cell r="C1517" t="str">
            <v>Topics in</v>
          </cell>
          <cell r="D1517" t="str">
            <v>Topics in:Revelation</v>
          </cell>
          <cell r="E1517" t="str">
            <v>NTST885</v>
          </cell>
        </row>
        <row r="1518">
          <cell r="C1518" t="str">
            <v>Topics:</v>
          </cell>
          <cell r="D1518" t="str">
            <v>Top: Intercultural Theology</v>
          </cell>
          <cell r="E1518" t="str">
            <v>MSSN695</v>
          </cell>
        </row>
        <row r="1519">
          <cell r="C1519" t="str">
            <v>Topics In:</v>
          </cell>
          <cell r="D1519" t="str">
            <v>Top: Hist of ANE:  Mesopotamia</v>
          </cell>
          <cell r="E1519" t="str">
            <v>ANEA885</v>
          </cell>
        </row>
        <row r="1520">
          <cell r="C1520" t="str">
            <v>Ancient Near Eastern Lang</v>
          </cell>
          <cell r="D1520" t="str">
            <v>ANE Lang: Top Akkadian</v>
          </cell>
          <cell r="E1520" t="str">
            <v>OTST612</v>
          </cell>
        </row>
        <row r="1521">
          <cell r="C1521" t="str">
            <v>Top:</v>
          </cell>
          <cell r="D1521" t="str">
            <v>Top: Hist&amp;Theo of Ecumenism</v>
          </cell>
          <cell r="E1521" t="str">
            <v>THST885</v>
          </cell>
        </row>
        <row r="1522">
          <cell r="C1522" t="str">
            <v>Internal Dynamics of Families</v>
          </cell>
          <cell r="E1522" t="str">
            <v>DSLE658</v>
          </cell>
        </row>
        <row r="1523">
          <cell r="C1523" t="str">
            <v>Topics in:</v>
          </cell>
          <cell r="D1523" t="str">
            <v>Topics in: Akkadian</v>
          </cell>
          <cell r="E1523" t="str">
            <v>OTST885</v>
          </cell>
        </row>
        <row r="1524">
          <cell r="C1524" t="str">
            <v>Topics in:</v>
          </cell>
          <cell r="D1524" t="str">
            <v>Topics in:Biblical Aramaic</v>
          </cell>
          <cell r="E1524" t="str">
            <v>OTST885</v>
          </cell>
        </row>
        <row r="1525">
          <cell r="C1525" t="str">
            <v>Seminar in Church History:</v>
          </cell>
          <cell r="D1525" t="str">
            <v>Sem Hist of Inter of Gen</v>
          </cell>
          <cell r="E1525" t="str">
            <v>CHIS940</v>
          </cell>
        </row>
        <row r="1526">
          <cell r="C1526" t="str">
            <v>Directed Rdg in Old Testmt</v>
          </cell>
          <cell r="D1526" t="str">
            <v>Directed Rdg in OT: Akkadian</v>
          </cell>
          <cell r="E1526" t="str">
            <v>OTST890</v>
          </cell>
        </row>
        <row r="1527">
          <cell r="C1527" t="str">
            <v>Colloquium:</v>
          </cell>
          <cell r="D1527" t="str">
            <v>Coll:Comm Engag Past. Min</v>
          </cell>
          <cell r="E1527" t="str">
            <v>GSEM505</v>
          </cell>
        </row>
        <row r="1528">
          <cell r="C1528" t="str">
            <v>Coaching for Mission</v>
          </cell>
          <cell r="E1528" t="str">
            <v>PATH613</v>
          </cell>
        </row>
        <row r="1529">
          <cell r="C1529" t="str">
            <v>Studies in Church History</v>
          </cell>
          <cell r="D1529" t="str">
            <v>Stdis n CHIS:Chrstn Wrshp Mus</v>
          </cell>
          <cell r="E1529" t="str">
            <v>CHIS685</v>
          </cell>
        </row>
        <row r="1530">
          <cell r="C1530" t="str">
            <v>Colloquium:</v>
          </cell>
          <cell r="D1530" t="str">
            <v>Coll: Finances for Pastors</v>
          </cell>
          <cell r="E1530" t="str">
            <v>GSEM505</v>
          </cell>
        </row>
        <row r="1531">
          <cell r="C1531" t="str">
            <v>Ministry Among Immigrants</v>
          </cell>
          <cell r="E1531" t="str">
            <v>MSSN645</v>
          </cell>
        </row>
        <row r="1532">
          <cell r="C1532" t="str">
            <v>Seminar in Church History:</v>
          </cell>
          <cell r="E1532" t="str">
            <v>CHIS940</v>
          </cell>
        </row>
        <row r="1533">
          <cell r="C1533" t="str">
            <v>Colloquium:</v>
          </cell>
          <cell r="D1533" t="str">
            <v>Coll: D3 Re-Imagining Disc.Mak</v>
          </cell>
          <cell r="E1533" t="str">
            <v>GSEM505</v>
          </cell>
        </row>
        <row r="1534">
          <cell r="C1534" t="str">
            <v>Synth in Discipleship Life Ed</v>
          </cell>
          <cell r="D1534" t="str">
            <v>Synthesis in DSLE</v>
          </cell>
          <cell r="E1534" t="str">
            <v>DSLE950</v>
          </cell>
        </row>
        <row r="1535">
          <cell r="C1535" t="str">
            <v>Foundations in DSLE</v>
          </cell>
          <cell r="E1535" t="str">
            <v>DSLE605</v>
          </cell>
        </row>
        <row r="1536">
          <cell r="C1536" t="str">
            <v>Colloquium:</v>
          </cell>
          <cell r="D1536" t="str">
            <v>Coll:</v>
          </cell>
          <cell r="E1536" t="str">
            <v>GSEM505</v>
          </cell>
        </row>
        <row r="1537">
          <cell r="C1537" t="str">
            <v>Colloquium:</v>
          </cell>
          <cell r="D1537" t="str">
            <v>Coll:</v>
          </cell>
          <cell r="E1537" t="str">
            <v>GSEM505</v>
          </cell>
        </row>
        <row r="1538">
          <cell r="C1538" t="str">
            <v>Colloquium:</v>
          </cell>
          <cell r="D1538" t="str">
            <v>Coll:</v>
          </cell>
          <cell r="E1538" t="str">
            <v>GSEM505</v>
          </cell>
        </row>
        <row r="1539">
          <cell r="C1539" t="str">
            <v>Sem in NT Theology &amp; Ethics</v>
          </cell>
          <cell r="E1539" t="str">
            <v>NTST679</v>
          </cell>
        </row>
        <row r="1540">
          <cell r="C1540" t="str">
            <v>Hist of the Ancient Near East</v>
          </cell>
          <cell r="D1540" t="str">
            <v>Hist of the ANE Mesopotamia</v>
          </cell>
          <cell r="E1540" t="str">
            <v>OTST604</v>
          </cell>
        </row>
        <row r="1541">
          <cell r="C1541" t="str">
            <v>Top:</v>
          </cell>
          <cell r="D1541" t="str">
            <v>Top:Roman Cath Life &amp; Thought</v>
          </cell>
          <cell r="E1541" t="str">
            <v>THST885</v>
          </cell>
        </row>
        <row r="1542">
          <cell r="C1542" t="str">
            <v>Top:</v>
          </cell>
          <cell r="D1542" t="str">
            <v>Top: Doctrine of the Church</v>
          </cell>
          <cell r="E1542" t="str">
            <v>THST885</v>
          </cell>
        </row>
        <row r="1543">
          <cell r="C1543" t="str">
            <v>Topics in</v>
          </cell>
          <cell r="D1543" t="str">
            <v>Topics in Adv Stud in Matthew</v>
          </cell>
          <cell r="E1543" t="str">
            <v>NTST885</v>
          </cell>
        </row>
        <row r="1544">
          <cell r="C1544" t="str">
            <v>Sem Arch &amp; Hist of Antiquity</v>
          </cell>
          <cell r="E1544" t="str">
            <v>OTST615</v>
          </cell>
        </row>
        <row r="1545">
          <cell r="C1545" t="str">
            <v>Topics in:</v>
          </cell>
          <cell r="D1545" t="str">
            <v>Topics in Diversity, Cultures</v>
          </cell>
          <cell r="E1545" t="str">
            <v>MSSN885</v>
          </cell>
        </row>
        <row r="1546">
          <cell r="C1546" t="str">
            <v>Advanced Campus Ministry</v>
          </cell>
          <cell r="E1546" t="str">
            <v>DSLE664</v>
          </cell>
        </row>
        <row r="1547">
          <cell r="C1547" t="str">
            <v>Studies in Church History</v>
          </cell>
          <cell r="D1547" t="str">
            <v>Sem in Church Hist:</v>
          </cell>
          <cell r="E1547" t="str">
            <v>CHIS685</v>
          </cell>
        </row>
        <row r="1548">
          <cell r="C1548" t="str">
            <v>Colloquium:</v>
          </cell>
          <cell r="D1548" t="str">
            <v>Coll: Writing Wisely</v>
          </cell>
          <cell r="E1548" t="str">
            <v>GSEM505</v>
          </cell>
        </row>
        <row r="1549">
          <cell r="C1549" t="str">
            <v>CPE</v>
          </cell>
          <cell r="D1549" t="str">
            <v>CPE: Campus</v>
          </cell>
          <cell r="E1549" t="str">
            <v>PATH554</v>
          </cell>
        </row>
        <row r="1550">
          <cell r="C1550" t="str">
            <v>Modern Philosophy</v>
          </cell>
          <cell r="E1550" t="str">
            <v>THST682</v>
          </cell>
        </row>
        <row r="1551">
          <cell r="C1551" t="str">
            <v>Seminar in Church History</v>
          </cell>
          <cell r="D1551" t="str">
            <v>Sem:Armi-Wesley&amp;Adventist Sote</v>
          </cell>
          <cell r="E1551" t="str">
            <v>CHIS682</v>
          </cell>
        </row>
        <row r="1552">
          <cell r="C1552" t="str">
            <v>Seminar in Church History:</v>
          </cell>
          <cell r="D1552" t="str">
            <v>Sem:Armi-Wesley&amp;Adventist Sote</v>
          </cell>
          <cell r="E1552" t="str">
            <v>CHIS940</v>
          </cell>
        </row>
        <row r="1553">
          <cell r="C1553" t="str">
            <v>Sem in Historical Theology:</v>
          </cell>
          <cell r="D1553" t="str">
            <v>Sem:Armi-Wesley&amp;Adventist Sote</v>
          </cell>
          <cell r="E1553" t="str">
            <v>THST964</v>
          </cell>
        </row>
        <row r="1554">
          <cell r="C1554" t="str">
            <v>Ministry of Music</v>
          </cell>
          <cell r="E1554" t="str">
            <v>PATH590</v>
          </cell>
        </row>
        <row r="1555">
          <cell r="C1555" t="str">
            <v>Minor Prophets</v>
          </cell>
          <cell r="D1555" t="str">
            <v>Minor Prophets Exegesis</v>
          </cell>
          <cell r="E1555" t="str">
            <v>OTST675</v>
          </cell>
        </row>
        <row r="1556">
          <cell r="C1556" t="str">
            <v>PhD-ThD Diss Proposal Sem</v>
          </cell>
          <cell r="E1556" t="str">
            <v>GSEM854</v>
          </cell>
        </row>
        <row r="1557">
          <cell r="C1557" t="str">
            <v>Hist of Relg in America</v>
          </cell>
          <cell r="E1557" t="str">
            <v>CHIS660</v>
          </cell>
        </row>
        <row r="1558">
          <cell r="C1558" t="str">
            <v>Pastoral Counseling</v>
          </cell>
          <cell r="E1558" t="str">
            <v>PATH555</v>
          </cell>
        </row>
        <row r="1559">
          <cell r="C1559" t="str">
            <v>Historical Books (Hebrew)</v>
          </cell>
          <cell r="E1559" t="str">
            <v>OTST666</v>
          </cell>
        </row>
        <row r="1560">
          <cell r="C1560" t="str">
            <v>Field Practicum:________</v>
          </cell>
          <cell r="E1560" t="str">
            <v>DSLE680</v>
          </cell>
        </row>
        <row r="1561">
          <cell r="C1561" t="str">
            <v>Adv Scholarly &amp; Prof Dev</v>
          </cell>
          <cell r="E1561" t="str">
            <v>DSLE878</v>
          </cell>
        </row>
        <row r="1562">
          <cell r="C1562" t="str">
            <v>Master of Divinity Thesis</v>
          </cell>
          <cell r="E1562" t="str">
            <v>GSEM698</v>
          </cell>
        </row>
        <row r="1563">
          <cell r="C1563" t="str">
            <v>Top:</v>
          </cell>
          <cell r="E1563" t="str">
            <v>THST695</v>
          </cell>
        </row>
        <row r="1564">
          <cell r="C1564" t="str">
            <v>Directed Rdg Historical Theo</v>
          </cell>
          <cell r="E1564" t="str">
            <v>THST895</v>
          </cell>
        </row>
        <row r="1565">
          <cell r="C1565" t="str">
            <v>Directed Rdg Christian Ethics</v>
          </cell>
          <cell r="E1565" t="str">
            <v>THST896</v>
          </cell>
        </row>
        <row r="1566">
          <cell r="C1566" t="str">
            <v>Ind Stdy:</v>
          </cell>
          <cell r="E1566" t="str">
            <v>CHMN690</v>
          </cell>
        </row>
        <row r="1567">
          <cell r="C1567" t="str">
            <v>Ind Stdy:</v>
          </cell>
          <cell r="E1567" t="str">
            <v>CHMN690</v>
          </cell>
        </row>
        <row r="1568">
          <cell r="C1568" t="str">
            <v>Ind Stdy:</v>
          </cell>
          <cell r="E1568" t="str">
            <v>CHMN690</v>
          </cell>
        </row>
        <row r="1569">
          <cell r="C1569" t="str">
            <v>Ind Stdy:</v>
          </cell>
          <cell r="E1569" t="str">
            <v>CHMN690</v>
          </cell>
        </row>
        <row r="1570">
          <cell r="C1570" t="str">
            <v>Ind Stdy:</v>
          </cell>
          <cell r="E1570" t="str">
            <v>CHMN690</v>
          </cell>
        </row>
        <row r="1571">
          <cell r="C1571" t="str">
            <v>Ind Stdy:</v>
          </cell>
          <cell r="E1571" t="str">
            <v>CHMN690</v>
          </cell>
        </row>
        <row r="1572">
          <cell r="C1572" t="str">
            <v>Ind Stdy:</v>
          </cell>
          <cell r="E1572" t="str">
            <v>CHMN690</v>
          </cell>
        </row>
        <row r="1573">
          <cell r="C1573" t="str">
            <v>Ind Stdy:</v>
          </cell>
          <cell r="E1573" t="str">
            <v>CHMN690</v>
          </cell>
        </row>
        <row r="1574">
          <cell r="C1574" t="str">
            <v>Ind Stdy:</v>
          </cell>
          <cell r="E1574" t="str">
            <v>CHMN690</v>
          </cell>
        </row>
        <row r="1575">
          <cell r="C1575" t="str">
            <v>Ind Stdy:</v>
          </cell>
          <cell r="E1575" t="str">
            <v>CHMN690</v>
          </cell>
        </row>
        <row r="1576">
          <cell r="C1576" t="str">
            <v>Ind Stdy:</v>
          </cell>
          <cell r="E1576" t="str">
            <v>CHMN690</v>
          </cell>
        </row>
        <row r="1577">
          <cell r="C1577" t="str">
            <v>Directed Rdgs in Church Min</v>
          </cell>
          <cell r="E1577" t="str">
            <v>CHMN890</v>
          </cell>
        </row>
        <row r="1578">
          <cell r="C1578" t="str">
            <v>Directed Rdgs in Church Min</v>
          </cell>
          <cell r="E1578" t="str">
            <v>CHMN890</v>
          </cell>
        </row>
        <row r="1579">
          <cell r="C1579" t="str">
            <v>Directed Rdgs in Church Min</v>
          </cell>
          <cell r="E1579" t="str">
            <v>CHMN890</v>
          </cell>
        </row>
        <row r="1580">
          <cell r="C1580" t="str">
            <v>Directed Rdgs in Church Min</v>
          </cell>
          <cell r="E1580" t="str">
            <v>CHMN890</v>
          </cell>
        </row>
        <row r="1581">
          <cell r="C1581" t="str">
            <v>Directed Rdgs in Church Min</v>
          </cell>
          <cell r="E1581" t="str">
            <v>CHMN890</v>
          </cell>
        </row>
        <row r="1582">
          <cell r="C1582" t="str">
            <v>Directed Rdgs in Church Min</v>
          </cell>
          <cell r="E1582" t="str">
            <v>CHMN890</v>
          </cell>
        </row>
        <row r="1583">
          <cell r="C1583" t="str">
            <v>Directed Rdgs in Church Min</v>
          </cell>
          <cell r="E1583" t="str">
            <v>CHMN890</v>
          </cell>
        </row>
        <row r="1584">
          <cell r="C1584" t="str">
            <v>Directed Rdgs in Church Min</v>
          </cell>
          <cell r="E1584" t="str">
            <v>CHMN890</v>
          </cell>
        </row>
        <row r="1585">
          <cell r="C1585" t="str">
            <v>Directed Rdgs in Church Min</v>
          </cell>
          <cell r="E1585" t="str">
            <v>CHMN890</v>
          </cell>
        </row>
        <row r="1586">
          <cell r="C1586" t="str">
            <v>Directed Rdgs in Church Min</v>
          </cell>
          <cell r="E1586" t="str">
            <v>CHMN890</v>
          </cell>
        </row>
        <row r="1587">
          <cell r="C1587" t="str">
            <v>Directed Rdgs in Church Min</v>
          </cell>
          <cell r="E1587" t="str">
            <v>CHMN890</v>
          </cell>
        </row>
        <row r="1588">
          <cell r="C1588" t="str">
            <v>Directed Rdgs in Church Min</v>
          </cell>
          <cell r="E1588" t="str">
            <v>CHMN890</v>
          </cell>
        </row>
        <row r="1589">
          <cell r="C1589" t="str">
            <v>Directed Rdgs in Church Min</v>
          </cell>
          <cell r="E1589" t="str">
            <v>CHMN890</v>
          </cell>
        </row>
        <row r="1590">
          <cell r="C1590" t="str">
            <v>Directed Rdgs in Church Min</v>
          </cell>
          <cell r="E1590" t="str">
            <v>CHMN890</v>
          </cell>
        </row>
        <row r="1591">
          <cell r="C1591" t="str">
            <v>Directed Rdgs in Church Min</v>
          </cell>
          <cell r="E1591" t="str">
            <v>CHMN890</v>
          </cell>
        </row>
        <row r="1592">
          <cell r="C1592" t="str">
            <v>Directed Rdgs in Church Min</v>
          </cell>
          <cell r="E1592" t="str">
            <v>CHMN890</v>
          </cell>
        </row>
        <row r="1593">
          <cell r="C1593" t="str">
            <v>Directed Rdgs in Church Min</v>
          </cell>
          <cell r="E1593" t="str">
            <v>CHMN890</v>
          </cell>
        </row>
        <row r="1594">
          <cell r="C1594" t="str">
            <v>Directed Rdgs in Church Min</v>
          </cell>
          <cell r="E1594" t="str">
            <v>CHMN890</v>
          </cell>
        </row>
        <row r="1595">
          <cell r="C1595" t="str">
            <v>Ind St:</v>
          </cell>
          <cell r="E1595" t="str">
            <v>CHIS690</v>
          </cell>
        </row>
        <row r="1596">
          <cell r="C1596" t="str">
            <v>Ind St:</v>
          </cell>
          <cell r="E1596" t="str">
            <v>CHIS690</v>
          </cell>
        </row>
        <row r="1597">
          <cell r="C1597" t="str">
            <v>Field Practicum</v>
          </cell>
          <cell r="E1597" t="str">
            <v>CHMN660</v>
          </cell>
        </row>
        <row r="1598">
          <cell r="C1598" t="str">
            <v>Topics in Church History:</v>
          </cell>
          <cell r="E1598" t="str">
            <v>CHIS695</v>
          </cell>
        </row>
        <row r="1599">
          <cell r="C1599" t="str">
            <v>Topics in Church History:</v>
          </cell>
          <cell r="E1599" t="str">
            <v>CHIS695</v>
          </cell>
        </row>
        <row r="1600">
          <cell r="C1600" t="str">
            <v>Topics in Church History:</v>
          </cell>
          <cell r="E1600" t="str">
            <v>CHIS695</v>
          </cell>
        </row>
        <row r="1601">
          <cell r="C1601" t="str">
            <v>Topics in Church History:</v>
          </cell>
          <cell r="E1601" t="str">
            <v>CHIS695</v>
          </cell>
        </row>
        <row r="1602">
          <cell r="C1602" t="str">
            <v>Topics in Church History:</v>
          </cell>
          <cell r="E1602" t="str">
            <v>CHIS695</v>
          </cell>
        </row>
        <row r="1603">
          <cell r="C1603" t="str">
            <v>Topics in Church History:</v>
          </cell>
          <cell r="E1603" t="str">
            <v>CHIS695</v>
          </cell>
        </row>
        <row r="1604">
          <cell r="C1604" t="str">
            <v>Topics in Church History:</v>
          </cell>
          <cell r="E1604" t="str">
            <v>CHIS695</v>
          </cell>
        </row>
        <row r="1605">
          <cell r="C1605" t="str">
            <v>Topics in Church History:</v>
          </cell>
          <cell r="E1605" t="str">
            <v>CHIS695</v>
          </cell>
        </row>
        <row r="1606">
          <cell r="C1606" t="str">
            <v>Directed Rdg in Church History</v>
          </cell>
          <cell r="E1606" t="str">
            <v>CHIS890</v>
          </cell>
        </row>
        <row r="1607">
          <cell r="C1607" t="str">
            <v>Directed Rdg in Church History</v>
          </cell>
          <cell r="E1607" t="str">
            <v>CHIS890</v>
          </cell>
        </row>
        <row r="1608">
          <cell r="C1608" t="str">
            <v>Directed Rdg in Church History</v>
          </cell>
          <cell r="E1608" t="str">
            <v>CHIS890</v>
          </cell>
        </row>
        <row r="1609">
          <cell r="C1609" t="str">
            <v>Directed Rdg in Church History</v>
          </cell>
          <cell r="E1609" t="str">
            <v>CHIS890</v>
          </cell>
        </row>
        <row r="1610">
          <cell r="C1610" t="str">
            <v>Directed Rdg in Church History</v>
          </cell>
          <cell r="E1610" t="str">
            <v>CHIS890</v>
          </cell>
        </row>
        <row r="1611">
          <cell r="C1611" t="str">
            <v>Directed Rdg in Church History</v>
          </cell>
          <cell r="E1611" t="str">
            <v>CHIS890</v>
          </cell>
        </row>
        <row r="1612">
          <cell r="C1612" t="str">
            <v>Directed Rdg Adventist Studies</v>
          </cell>
          <cell r="E1612" t="str">
            <v>CHIS895</v>
          </cell>
        </row>
        <row r="1613">
          <cell r="C1613" t="str">
            <v>Directed Rdg Adventist Studies</v>
          </cell>
          <cell r="E1613" t="str">
            <v>CHIS895</v>
          </cell>
        </row>
        <row r="1614">
          <cell r="C1614" t="str">
            <v>Directed Rdg Adventist Studies</v>
          </cell>
          <cell r="E1614" t="str">
            <v>CHIS895</v>
          </cell>
        </row>
        <row r="1615">
          <cell r="C1615" t="str">
            <v>Directed Rdg Adventist Studies</v>
          </cell>
          <cell r="E1615" t="str">
            <v>CHIS895</v>
          </cell>
        </row>
        <row r="1616">
          <cell r="C1616" t="str">
            <v>Directed Rdg Adventist Studies</v>
          </cell>
          <cell r="E1616" t="str">
            <v>CHIS895</v>
          </cell>
        </row>
        <row r="1617">
          <cell r="C1617" t="str">
            <v>Directed Rdg Adventist Studies</v>
          </cell>
          <cell r="E1617" t="str">
            <v>CHIS895</v>
          </cell>
        </row>
        <row r="1618">
          <cell r="C1618" t="str">
            <v>Directed Rdg Adventist Studies</v>
          </cell>
          <cell r="E1618" t="str">
            <v>CHIS895</v>
          </cell>
        </row>
        <row r="1619">
          <cell r="C1619" t="str">
            <v>Directed Rdg Adventist Studies</v>
          </cell>
          <cell r="E1619" t="str">
            <v>CHIS895</v>
          </cell>
        </row>
        <row r="1620">
          <cell r="C1620" t="str">
            <v>Ind St:</v>
          </cell>
          <cell r="E1620" t="str">
            <v>THST690</v>
          </cell>
        </row>
        <row r="1621">
          <cell r="C1621" t="str">
            <v>Ind St:</v>
          </cell>
          <cell r="E1621" t="str">
            <v>THST690</v>
          </cell>
        </row>
        <row r="1622">
          <cell r="C1622" t="str">
            <v>Ind St:</v>
          </cell>
          <cell r="E1622" t="str">
            <v>THST690</v>
          </cell>
        </row>
        <row r="1623">
          <cell r="C1623" t="str">
            <v>Ind St:</v>
          </cell>
          <cell r="E1623" t="str">
            <v>THST690</v>
          </cell>
        </row>
        <row r="1624">
          <cell r="C1624" t="str">
            <v>Ind St:</v>
          </cell>
          <cell r="E1624" t="str">
            <v>THST690</v>
          </cell>
        </row>
        <row r="1625">
          <cell r="C1625" t="str">
            <v>Ind St:</v>
          </cell>
          <cell r="E1625" t="str">
            <v>THST690</v>
          </cell>
        </row>
        <row r="1626">
          <cell r="C1626" t="str">
            <v>Ind St:</v>
          </cell>
          <cell r="E1626" t="str">
            <v>THST690</v>
          </cell>
        </row>
        <row r="1627">
          <cell r="C1627" t="str">
            <v>Ind St:</v>
          </cell>
          <cell r="E1627" t="str">
            <v>DSRE690</v>
          </cell>
        </row>
        <row r="1628">
          <cell r="C1628" t="str">
            <v>Ind St:</v>
          </cell>
          <cell r="E1628" t="str">
            <v>DSRE690</v>
          </cell>
        </row>
        <row r="1629">
          <cell r="C1629" t="str">
            <v>Ind St:</v>
          </cell>
          <cell r="E1629" t="str">
            <v>DSRE690</v>
          </cell>
        </row>
        <row r="1630">
          <cell r="C1630" t="str">
            <v>Field Practicum</v>
          </cell>
          <cell r="E1630" t="str">
            <v>CHMN660</v>
          </cell>
        </row>
        <row r="1631">
          <cell r="C1631" t="str">
            <v>Field Practicum</v>
          </cell>
          <cell r="E1631" t="str">
            <v>CHMN660</v>
          </cell>
        </row>
        <row r="1632">
          <cell r="C1632" t="str">
            <v>Daniel</v>
          </cell>
          <cell r="E1632" t="str">
            <v>OTST545</v>
          </cell>
        </row>
        <row r="1633">
          <cell r="C1633" t="str">
            <v>Topics in Ministry</v>
          </cell>
          <cell r="E1633" t="str">
            <v>CHMN517</v>
          </cell>
        </row>
        <row r="1634">
          <cell r="C1634" t="str">
            <v>Mobilizing Laity Minstry Evang</v>
          </cell>
          <cell r="E1634" t="str">
            <v>CHMN566</v>
          </cell>
        </row>
        <row r="1635">
          <cell r="C1635" t="str">
            <v>Ind St:</v>
          </cell>
          <cell r="E1635" t="str">
            <v>NTST690</v>
          </cell>
        </row>
        <row r="1636">
          <cell r="C1636" t="str">
            <v>Ind St:</v>
          </cell>
          <cell r="E1636" t="str">
            <v>NTST690</v>
          </cell>
        </row>
        <row r="1637">
          <cell r="C1637" t="str">
            <v>Ind St:</v>
          </cell>
          <cell r="E1637" t="str">
            <v>NTST690</v>
          </cell>
        </row>
        <row r="1638">
          <cell r="C1638" t="str">
            <v>Ind St:</v>
          </cell>
          <cell r="E1638" t="str">
            <v>NTST690</v>
          </cell>
        </row>
        <row r="1639">
          <cell r="C1639" t="str">
            <v>Ind St:</v>
          </cell>
          <cell r="E1639" t="str">
            <v>NTST690</v>
          </cell>
        </row>
        <row r="1640">
          <cell r="C1640" t="str">
            <v>Ind St:</v>
          </cell>
          <cell r="E1640" t="str">
            <v>NTST690</v>
          </cell>
        </row>
        <row r="1641">
          <cell r="C1641" t="str">
            <v>Directed Rdg in New Testament</v>
          </cell>
          <cell r="E1641" t="str">
            <v>NTST890</v>
          </cell>
        </row>
        <row r="1642">
          <cell r="C1642" t="str">
            <v>Directed Rdg in New Testament</v>
          </cell>
          <cell r="E1642" t="str">
            <v>NTST890</v>
          </cell>
        </row>
        <row r="1643">
          <cell r="C1643" t="str">
            <v>Directed Rdg in New Testament</v>
          </cell>
          <cell r="E1643" t="str">
            <v>NTST890</v>
          </cell>
        </row>
        <row r="1644">
          <cell r="C1644" t="str">
            <v>Directed Rdg in New Testament</v>
          </cell>
          <cell r="E1644" t="str">
            <v>NTST890</v>
          </cell>
        </row>
        <row r="1645">
          <cell r="C1645" t="str">
            <v>Directed Rdg in New Testament</v>
          </cell>
          <cell r="E1645" t="str">
            <v>NTST890</v>
          </cell>
        </row>
        <row r="1646">
          <cell r="C1646" t="str">
            <v>Field Practicum:________</v>
          </cell>
          <cell r="E1646" t="str">
            <v>DSRE680</v>
          </cell>
        </row>
        <row r="1647">
          <cell r="C1647" t="str">
            <v>PhD-ThD Dissertation</v>
          </cell>
          <cell r="E1647" t="str">
            <v>GSEM995</v>
          </cell>
        </row>
        <row r="1648">
          <cell r="C1648" t="str">
            <v>DirRdg Syst Theo:</v>
          </cell>
          <cell r="E1648" t="str">
            <v>THST890</v>
          </cell>
        </row>
        <row r="1649">
          <cell r="C1649" t="str">
            <v>DirRdg Syst Theo:</v>
          </cell>
          <cell r="E1649" t="str">
            <v>THST890</v>
          </cell>
        </row>
        <row r="1650">
          <cell r="C1650" t="str">
            <v>DirRdg Syst Theo:</v>
          </cell>
          <cell r="E1650" t="str">
            <v>THST890</v>
          </cell>
        </row>
        <row r="1651">
          <cell r="C1651" t="str">
            <v>DirRdg Syst Theo:</v>
          </cell>
          <cell r="E1651" t="str">
            <v>THST890</v>
          </cell>
        </row>
        <row r="1652">
          <cell r="C1652" t="str">
            <v>DirRdg Syst Theo:</v>
          </cell>
          <cell r="E1652" t="str">
            <v>THST890</v>
          </cell>
        </row>
        <row r="1653">
          <cell r="C1653" t="str">
            <v>DirRdg Syst Theo:</v>
          </cell>
          <cell r="E1653" t="str">
            <v>THST890</v>
          </cell>
        </row>
        <row r="1654">
          <cell r="C1654" t="str">
            <v>DirRdg Syst Theo:</v>
          </cell>
          <cell r="E1654" t="str">
            <v>THST890</v>
          </cell>
        </row>
        <row r="1655">
          <cell r="C1655" t="str">
            <v>DirRdg Syst Theo:</v>
          </cell>
          <cell r="E1655" t="str">
            <v>THST890</v>
          </cell>
        </row>
        <row r="1656">
          <cell r="C1656" t="str">
            <v>Ind Stdy:</v>
          </cell>
          <cell r="E1656" t="str">
            <v>CHMN690</v>
          </cell>
        </row>
        <row r="1657">
          <cell r="C1657" t="str">
            <v>Rev, Inspir &amp; Herm</v>
          </cell>
          <cell r="E1657" t="str">
            <v>GSEM510</v>
          </cell>
        </row>
        <row r="1658">
          <cell r="C1658" t="str">
            <v>Seminar in Youth Ministry</v>
          </cell>
          <cell r="E1658" t="str">
            <v>DSRE636</v>
          </cell>
        </row>
        <row r="1659">
          <cell r="C1659" t="str">
            <v>PhD-ThD Dissertation</v>
          </cell>
          <cell r="E1659" t="str">
            <v>GSEM995</v>
          </cell>
        </row>
        <row r="1660">
          <cell r="C1660" t="str">
            <v>Ind St:</v>
          </cell>
          <cell r="E1660" t="str">
            <v>OTST690</v>
          </cell>
        </row>
        <row r="1661">
          <cell r="C1661" t="str">
            <v>Ind St:</v>
          </cell>
          <cell r="E1661" t="str">
            <v>OTST690</v>
          </cell>
        </row>
        <row r="1662">
          <cell r="C1662" t="str">
            <v>Ind St:</v>
          </cell>
          <cell r="E1662" t="str">
            <v>OTST690</v>
          </cell>
        </row>
        <row r="1663">
          <cell r="C1663" t="str">
            <v>Ind St:</v>
          </cell>
          <cell r="E1663" t="str">
            <v>OTST690</v>
          </cell>
        </row>
        <row r="1664">
          <cell r="C1664" t="str">
            <v>Directed Rdg in Old Testmt</v>
          </cell>
          <cell r="E1664" t="str">
            <v>OTST890</v>
          </cell>
        </row>
        <row r="1665">
          <cell r="C1665" t="str">
            <v>Directed Rdg in Old Testmt</v>
          </cell>
          <cell r="E1665" t="str">
            <v>OTST890</v>
          </cell>
        </row>
        <row r="1666">
          <cell r="C1666" t="str">
            <v>Directed Rdg in Old Testmt</v>
          </cell>
          <cell r="E1666" t="str">
            <v>OTST890</v>
          </cell>
        </row>
        <row r="1667">
          <cell r="C1667" t="str">
            <v>Directed Rdg in Old Testmt</v>
          </cell>
          <cell r="E1667" t="str">
            <v>OTST890</v>
          </cell>
        </row>
        <row r="1668">
          <cell r="C1668" t="str">
            <v>Directed Rdg in Old Testmt</v>
          </cell>
          <cell r="E1668" t="str">
            <v>OTST890</v>
          </cell>
        </row>
        <row r="1669">
          <cell r="C1669" t="str">
            <v>Directed Rdg in Old Testmt</v>
          </cell>
          <cell r="E1669" t="str">
            <v>OTST890</v>
          </cell>
        </row>
        <row r="1670">
          <cell r="C1670" t="str">
            <v>Directed Rdg in Old Testmt</v>
          </cell>
          <cell r="E1670" t="str">
            <v>OTST890</v>
          </cell>
        </row>
        <row r="1671">
          <cell r="C1671" t="str">
            <v>Exegesis of the English NT:</v>
          </cell>
          <cell r="D1671" t="str">
            <v>Exegesis of Eng NT:Revelation</v>
          </cell>
          <cell r="E1671" t="str">
            <v>NTST550</v>
          </cell>
        </row>
        <row r="1672">
          <cell r="C1672" t="str">
            <v>PhD-ThD Dissertation</v>
          </cell>
          <cell r="E1672" t="str">
            <v>GSEM995</v>
          </cell>
        </row>
        <row r="1673">
          <cell r="C1673" t="str">
            <v>Adv Studies:</v>
          </cell>
          <cell r="E1673" t="str">
            <v>DSRE870</v>
          </cell>
        </row>
        <row r="1674">
          <cell r="C1674" t="str">
            <v>Independent Study</v>
          </cell>
          <cell r="E1674" t="str">
            <v>ANEA690</v>
          </cell>
        </row>
        <row r="1675">
          <cell r="C1675" t="str">
            <v>Independent Study</v>
          </cell>
          <cell r="E1675" t="str">
            <v>ANEA690</v>
          </cell>
        </row>
        <row r="1676">
          <cell r="C1676" t="str">
            <v>Independent Study</v>
          </cell>
          <cell r="E1676" t="str">
            <v>ANEA690</v>
          </cell>
        </row>
        <row r="1677">
          <cell r="C1677" t="str">
            <v>Independent Study</v>
          </cell>
          <cell r="E1677" t="str">
            <v>ANEA690</v>
          </cell>
        </row>
        <row r="1678">
          <cell r="C1678" t="str">
            <v>Independent Study</v>
          </cell>
          <cell r="E1678" t="str">
            <v>ANEA690</v>
          </cell>
        </row>
        <row r="1679">
          <cell r="C1679" t="str">
            <v>Independent Study</v>
          </cell>
          <cell r="E1679" t="str">
            <v>ANEA690</v>
          </cell>
        </row>
        <row r="1680">
          <cell r="C1680" t="str">
            <v>Independent Study</v>
          </cell>
          <cell r="E1680" t="str">
            <v>ANEA690</v>
          </cell>
        </row>
        <row r="1681">
          <cell r="C1681" t="str">
            <v>Independent Study</v>
          </cell>
          <cell r="E1681" t="str">
            <v>ANEA690</v>
          </cell>
        </row>
        <row r="1682">
          <cell r="C1682" t="str">
            <v>Directed Rdg in Hist&amp;Arch St</v>
          </cell>
          <cell r="E1682" t="str">
            <v>ANEA890</v>
          </cell>
        </row>
        <row r="1683">
          <cell r="C1683" t="str">
            <v>Directed Rdg in Hist&amp;Arch St</v>
          </cell>
          <cell r="E1683" t="str">
            <v>ANEA890</v>
          </cell>
        </row>
        <row r="1684">
          <cell r="C1684" t="str">
            <v>Directed Rdg in Hist&amp;Arch St</v>
          </cell>
          <cell r="E1684" t="str">
            <v>ANEA890</v>
          </cell>
        </row>
        <row r="1685">
          <cell r="C1685" t="str">
            <v>Directed Rdg in Hist&amp;Arch St</v>
          </cell>
          <cell r="E1685" t="str">
            <v>ANEA890</v>
          </cell>
        </row>
        <row r="1686">
          <cell r="C1686" t="str">
            <v>Directed Studies</v>
          </cell>
          <cell r="E1686" t="str">
            <v>ANEA695</v>
          </cell>
        </row>
        <row r="1687">
          <cell r="C1687" t="str">
            <v>Directed Studies</v>
          </cell>
          <cell r="E1687" t="str">
            <v>ANEA695</v>
          </cell>
        </row>
        <row r="1688">
          <cell r="C1688" t="str">
            <v>Directed Studies</v>
          </cell>
          <cell r="E1688" t="str">
            <v>ANEA695</v>
          </cell>
        </row>
        <row r="1689">
          <cell r="C1689" t="str">
            <v>Directed Studies</v>
          </cell>
          <cell r="E1689" t="str">
            <v>ANEA695</v>
          </cell>
        </row>
        <row r="1690">
          <cell r="C1690" t="str">
            <v>Directed Studies</v>
          </cell>
          <cell r="E1690" t="str">
            <v>ANEA695</v>
          </cell>
        </row>
        <row r="1691">
          <cell r="C1691" t="str">
            <v>Directed Studies</v>
          </cell>
          <cell r="E1691" t="str">
            <v>ANEA695</v>
          </cell>
        </row>
        <row r="1692">
          <cell r="C1692" t="str">
            <v>Directed Studies</v>
          </cell>
          <cell r="E1692" t="str">
            <v>ANEA695</v>
          </cell>
        </row>
        <row r="1693">
          <cell r="C1693" t="str">
            <v>DMin Prof Dissertation Sem</v>
          </cell>
          <cell r="E1693" t="str">
            <v>GSEM790</v>
          </cell>
        </row>
        <row r="1694">
          <cell r="C1694" t="str">
            <v>DMin Program Orientation</v>
          </cell>
          <cell r="E1694" t="str">
            <v>GSEM700</v>
          </cell>
        </row>
        <row r="1695">
          <cell r="C1695" t="str">
            <v>DMin Prof Dissertation Cont</v>
          </cell>
          <cell r="E1695" t="str">
            <v>GSEM788</v>
          </cell>
        </row>
        <row r="1696">
          <cell r="C1696" t="str">
            <v>Development SDA Theology</v>
          </cell>
          <cell r="E1696" t="str">
            <v>CHIS674</v>
          </cell>
        </row>
        <row r="1697">
          <cell r="C1697" t="str">
            <v>Marriage, Fam&amp;Interprsnl Reltn</v>
          </cell>
          <cell r="E1697" t="str">
            <v>DSRE503</v>
          </cell>
        </row>
        <row r="1698">
          <cell r="C1698" t="str">
            <v>Survey of Church History</v>
          </cell>
          <cell r="E1698" t="str">
            <v>CHIS505</v>
          </cell>
        </row>
        <row r="1699">
          <cell r="C1699" t="str">
            <v>Theo of the English NT:</v>
          </cell>
          <cell r="E1699" t="str">
            <v>NTST567</v>
          </cell>
        </row>
        <row r="1700">
          <cell r="C1700" t="str">
            <v>Readings in the OT (English)</v>
          </cell>
          <cell r="E1700" t="str">
            <v>OTST570</v>
          </cell>
        </row>
        <row r="1701">
          <cell r="C1701" t="str">
            <v>Christn Lead in a Chnging Wrld</v>
          </cell>
          <cell r="E1701" t="str">
            <v>CHMN543</v>
          </cell>
        </row>
        <row r="1702">
          <cell r="C1702" t="str">
            <v>Top:</v>
          </cell>
          <cell r="D1702" t="str">
            <v>Topics:Sanctuary Doctrine</v>
          </cell>
          <cell r="E1702" t="str">
            <v>THST695</v>
          </cell>
        </row>
        <row r="1703">
          <cell r="C1703" t="str">
            <v>Archaeology and the Bible</v>
          </cell>
          <cell r="E1703" t="str">
            <v>ANEA510</v>
          </cell>
        </row>
        <row r="1704">
          <cell r="C1704" t="str">
            <v>Archaeology and the Bible</v>
          </cell>
          <cell r="E1704" t="str">
            <v>ANEA510</v>
          </cell>
        </row>
        <row r="1705">
          <cell r="C1705" t="str">
            <v>Seminar in Preaching</v>
          </cell>
          <cell r="E1705" t="str">
            <v>CHMN637</v>
          </cell>
        </row>
        <row r="1706">
          <cell r="C1706" t="str">
            <v>Ministry to Youth&amp;Yng Adlt</v>
          </cell>
          <cell r="E1706" t="str">
            <v>DSRE534</v>
          </cell>
        </row>
        <row r="1707">
          <cell r="C1707" t="str">
            <v>Roman Catholic Life &amp; Thought</v>
          </cell>
          <cell r="E1707" t="str">
            <v>THST627</v>
          </cell>
        </row>
        <row r="1708">
          <cell r="C1708" t="str">
            <v>Innovative Evangelism</v>
          </cell>
          <cell r="E1708" t="str">
            <v>CHMN623</v>
          </cell>
        </row>
        <row r="1709">
          <cell r="C1709" t="str">
            <v>Exegesis of the English NT:</v>
          </cell>
          <cell r="E1709" t="str">
            <v>NTST550</v>
          </cell>
        </row>
        <row r="1710">
          <cell r="C1710" t="str">
            <v>Directed Rdg in Church History</v>
          </cell>
          <cell r="E1710" t="str">
            <v>CHIS890</v>
          </cell>
        </row>
        <row r="1711">
          <cell r="C1711" t="str">
            <v>PhD-ThD Dissertation</v>
          </cell>
          <cell r="E1711" t="str">
            <v>GSEM995</v>
          </cell>
        </row>
        <row r="1712">
          <cell r="C1712" t="str">
            <v>Principles&amp;Methods of Theology</v>
          </cell>
          <cell r="E1712" t="str">
            <v>THST619</v>
          </cell>
        </row>
        <row r="1713">
          <cell r="C1713" t="str">
            <v>Directed Rdg in Old Testmt</v>
          </cell>
          <cell r="E1713" t="str">
            <v>OTST890</v>
          </cell>
        </row>
        <row r="1714">
          <cell r="C1714" t="str">
            <v>Ind St:</v>
          </cell>
          <cell r="E1714" t="str">
            <v>MSSN690</v>
          </cell>
        </row>
        <row r="1715">
          <cell r="C1715" t="str">
            <v>PhD-ThD Dissertation</v>
          </cell>
          <cell r="E1715" t="str">
            <v>GSEM995</v>
          </cell>
        </row>
        <row r="1716">
          <cell r="C1716" t="str">
            <v>Directed Rdg in New Testament</v>
          </cell>
          <cell r="E1716" t="str">
            <v>NTST890</v>
          </cell>
        </row>
        <row r="1717">
          <cell r="C1717" t="str">
            <v>Directed Rdg in New Testament</v>
          </cell>
          <cell r="E1717" t="str">
            <v>NTST890</v>
          </cell>
        </row>
        <row r="1718">
          <cell r="C1718" t="str">
            <v>Doctrine of the Sanctuary</v>
          </cell>
          <cell r="E1718" t="str">
            <v>GSEM530</v>
          </cell>
        </row>
        <row r="1719">
          <cell r="C1719" t="str">
            <v>Ind St:</v>
          </cell>
          <cell r="E1719" t="str">
            <v>CHIS690</v>
          </cell>
        </row>
        <row r="1720">
          <cell r="C1720" t="str">
            <v>Conflict Management</v>
          </cell>
          <cell r="E1720" t="str">
            <v>CHMN526</v>
          </cell>
        </row>
        <row r="1721">
          <cell r="C1721" t="str">
            <v>Issu in Origins</v>
          </cell>
          <cell r="E1721" t="str">
            <v>GSEM539</v>
          </cell>
        </row>
        <row r="1722">
          <cell r="C1722" t="str">
            <v>PhD-ThD Dissertation</v>
          </cell>
          <cell r="E1722" t="str">
            <v>GSEM995</v>
          </cell>
        </row>
        <row r="1723">
          <cell r="C1723" t="str">
            <v>Ind St:</v>
          </cell>
          <cell r="E1723" t="str">
            <v>CHIS690</v>
          </cell>
        </row>
        <row r="1724">
          <cell r="C1724" t="str">
            <v>Ind St:</v>
          </cell>
          <cell r="E1724" t="str">
            <v>CHIS690</v>
          </cell>
        </row>
        <row r="1725">
          <cell r="C1725" t="str">
            <v>DirRdg Syst Theo:</v>
          </cell>
          <cell r="E1725" t="str">
            <v>THST890</v>
          </cell>
        </row>
        <row r="1726">
          <cell r="C1726" t="str">
            <v>Ind St:</v>
          </cell>
          <cell r="E1726" t="str">
            <v>DSRE690</v>
          </cell>
        </row>
        <row r="1727">
          <cell r="C1727" t="str">
            <v>Field Evangelistic Preach Prac</v>
          </cell>
          <cell r="E1727" t="str">
            <v>CHMN662</v>
          </cell>
        </row>
        <row r="1728">
          <cell r="C1728" t="str">
            <v>PhD-ThD Dissertation</v>
          </cell>
          <cell r="E1728" t="str">
            <v>GSEM995</v>
          </cell>
        </row>
        <row r="1729">
          <cell r="C1729" t="str">
            <v>PhD-ThD Dissertation</v>
          </cell>
          <cell r="E1729" t="str">
            <v>GSEM995</v>
          </cell>
        </row>
        <row r="1730">
          <cell r="C1730" t="str">
            <v>Directed Rdg in Hist&amp;Arch St</v>
          </cell>
          <cell r="E1730" t="str">
            <v>ANEA890</v>
          </cell>
        </row>
        <row r="1731">
          <cell r="C1731" t="str">
            <v>Doctoral Dissertation</v>
          </cell>
          <cell r="E1731" t="str">
            <v>DSRE995</v>
          </cell>
        </row>
        <row r="1732">
          <cell r="C1732" t="str">
            <v>Field Practicum:MAYYAM</v>
          </cell>
          <cell r="E1732" t="str">
            <v>DSRE660</v>
          </cell>
        </row>
        <row r="1733">
          <cell r="C1733" t="str">
            <v>Directed Rdg in Hist&amp;Arch St</v>
          </cell>
          <cell r="E1733" t="str">
            <v>ANEA890</v>
          </cell>
        </row>
        <row r="1734">
          <cell r="C1734" t="str">
            <v>Directed Rdg in Church History</v>
          </cell>
          <cell r="E1734" t="str">
            <v>CHIS890</v>
          </cell>
        </row>
        <row r="1735">
          <cell r="C1735" t="str">
            <v>Seminar in Church History:</v>
          </cell>
          <cell r="D1735" t="str">
            <v>Sem:Hist Resrch&amp;Historiography</v>
          </cell>
          <cell r="E1735" t="str">
            <v>CHIS940</v>
          </cell>
        </row>
        <row r="1736">
          <cell r="C1736" t="str">
            <v>Adv Scholarly &amp; Prof Dev</v>
          </cell>
          <cell r="E1736" t="str">
            <v>DSRE878</v>
          </cell>
        </row>
        <row r="1737">
          <cell r="C1737" t="str">
            <v>Understanding Christian World</v>
          </cell>
          <cell r="E1737" t="str">
            <v>THST510</v>
          </cell>
        </row>
        <row r="1738">
          <cell r="C1738" t="str">
            <v>Doctrine of God</v>
          </cell>
          <cell r="E1738" t="str">
            <v>THST616</v>
          </cell>
        </row>
        <row r="1739">
          <cell r="C1739" t="str">
            <v>Field Practicum:________</v>
          </cell>
          <cell r="D1739" t="str">
            <v>Field Practicum:Leadership</v>
          </cell>
          <cell r="E1739" t="str">
            <v>DSRE680</v>
          </cell>
        </row>
        <row r="1740">
          <cell r="C1740" t="str">
            <v>Ind St:</v>
          </cell>
          <cell r="E1740" t="str">
            <v>NTST690</v>
          </cell>
        </row>
        <row r="1741">
          <cell r="C1741" t="str">
            <v>PhD-ThD Dissertation</v>
          </cell>
          <cell r="E1741" t="str">
            <v>GSEM995</v>
          </cell>
        </row>
        <row r="1742">
          <cell r="C1742" t="str">
            <v>DirRdg Syst Theo:</v>
          </cell>
          <cell r="E1742" t="str">
            <v>THST890</v>
          </cell>
        </row>
        <row r="1743">
          <cell r="C1743" t="str">
            <v>Ind St:</v>
          </cell>
          <cell r="E1743" t="str">
            <v>OTST690</v>
          </cell>
        </row>
        <row r="1744">
          <cell r="C1744" t="str">
            <v>Archaeology and the Bible</v>
          </cell>
          <cell r="E1744" t="str">
            <v>ANEA510</v>
          </cell>
        </row>
        <row r="1745">
          <cell r="C1745" t="str">
            <v>New Testament Backgrounds</v>
          </cell>
          <cell r="E1745" t="str">
            <v>NTST515</v>
          </cell>
        </row>
        <row r="1746">
          <cell r="C1746" t="str">
            <v>Field Evangelistic Preach Prac</v>
          </cell>
          <cell r="E1746" t="str">
            <v>CHMN662</v>
          </cell>
        </row>
        <row r="1747">
          <cell r="C1747" t="str">
            <v>Daniel &amp; Revelation</v>
          </cell>
          <cell r="E1747" t="str">
            <v>GSEM511</v>
          </cell>
        </row>
        <row r="1748">
          <cell r="C1748" t="str">
            <v>Ind Stdy:</v>
          </cell>
          <cell r="E1748" t="str">
            <v>CHMN690</v>
          </cell>
        </row>
        <row r="1749">
          <cell r="C1749" t="str">
            <v>Sem Social Sciences&amp;Mission</v>
          </cell>
          <cell r="E1749" t="str">
            <v>MSSN828</v>
          </cell>
        </row>
        <row r="1750">
          <cell r="C1750" t="str">
            <v>Iss in E G White Studies</v>
          </cell>
          <cell r="E1750" t="str">
            <v>GSEM534</v>
          </cell>
        </row>
        <row r="1751">
          <cell r="C1751" t="str">
            <v>Prep for Comprehensive Exams</v>
          </cell>
          <cell r="E1751" t="str">
            <v>GSEM880</v>
          </cell>
        </row>
        <row r="1752">
          <cell r="C1752" t="str">
            <v>Adv Holistic Small Groups</v>
          </cell>
          <cell r="E1752" t="str">
            <v>CHMN669</v>
          </cell>
        </row>
        <row r="1753">
          <cell r="C1753" t="str">
            <v>Personal Evangelistic Ministry</v>
          </cell>
          <cell r="E1753" t="str">
            <v>CHMN536</v>
          </cell>
        </row>
        <row r="1754">
          <cell r="C1754" t="str">
            <v>Foundatns of Pastoral Ministry</v>
          </cell>
          <cell r="E1754" t="str">
            <v>CHMN552</v>
          </cell>
        </row>
        <row r="1755">
          <cell r="C1755" t="str">
            <v>Contemp Adv Theol Issues</v>
          </cell>
          <cell r="E1755" t="str">
            <v>GSEM626</v>
          </cell>
        </row>
        <row r="1756">
          <cell r="C1756" t="str">
            <v>Practicum Clin Pastoral Educ</v>
          </cell>
          <cell r="E1756" t="str">
            <v>CHMN557</v>
          </cell>
        </row>
        <row r="1757">
          <cell r="C1757" t="str">
            <v>Intermediate Greek</v>
          </cell>
          <cell r="E1757" t="str">
            <v>NTST552</v>
          </cell>
        </row>
        <row r="1758">
          <cell r="C1758" t="str">
            <v>Sem Philosophical Theology:</v>
          </cell>
          <cell r="E1758" t="str">
            <v>THST935</v>
          </cell>
        </row>
        <row r="1759">
          <cell r="C1759" t="str">
            <v>Ind St:</v>
          </cell>
          <cell r="E1759" t="str">
            <v>CHIS690</v>
          </cell>
        </row>
        <row r="1760">
          <cell r="C1760" t="str">
            <v>Exegesis of the English NT:</v>
          </cell>
          <cell r="D1760" t="str">
            <v>Exegsis Eng NT:Pauline Writing</v>
          </cell>
          <cell r="E1760" t="str">
            <v>NTST550</v>
          </cell>
        </row>
        <row r="1761">
          <cell r="C1761" t="str">
            <v>Readings in the OT (English)</v>
          </cell>
          <cell r="D1761" t="str">
            <v>Readings in the OT:Daniel</v>
          </cell>
          <cell r="E1761" t="str">
            <v>OTST570</v>
          </cell>
        </row>
        <row r="1762">
          <cell r="C1762" t="str">
            <v>Witn People Another Rlg:</v>
          </cell>
          <cell r="E1762" t="str">
            <v>MSSN660</v>
          </cell>
        </row>
        <row r="1763">
          <cell r="C1763" t="str">
            <v>Ind St:</v>
          </cell>
          <cell r="E1763" t="str">
            <v>THST690</v>
          </cell>
        </row>
        <row r="1764">
          <cell r="C1764" t="str">
            <v>Thesis for MA Degree</v>
          </cell>
          <cell r="E1764" t="str">
            <v>GSEM697</v>
          </cell>
        </row>
        <row r="1765">
          <cell r="C1765" t="str">
            <v>Ind St:</v>
          </cell>
          <cell r="E1765" t="str">
            <v>CHIS690</v>
          </cell>
        </row>
        <row r="1766">
          <cell r="C1766" t="str">
            <v>Sem in NT Exegesis &amp; Hermn:</v>
          </cell>
          <cell r="D1766" t="str">
            <v>Sem Exgsis/Herm:Nartiv Anlysis</v>
          </cell>
          <cell r="E1766" t="str">
            <v>NTST940</v>
          </cell>
        </row>
        <row r="1767">
          <cell r="C1767" t="str">
            <v>Directed Rdg in New Testament</v>
          </cell>
          <cell r="E1767" t="str">
            <v>NTST890</v>
          </cell>
        </row>
        <row r="1768">
          <cell r="C1768" t="str">
            <v>Field Practicum:________</v>
          </cell>
          <cell r="D1768" t="str">
            <v>Field Practicum:Leadership</v>
          </cell>
          <cell r="E1768" t="str">
            <v>DSRE680</v>
          </cell>
        </row>
        <row r="1769">
          <cell r="C1769" t="str">
            <v>Scholarly and Professional Dev</v>
          </cell>
          <cell r="E1769" t="str">
            <v>DSRE620</v>
          </cell>
        </row>
        <row r="1770">
          <cell r="C1770" t="str">
            <v>The Early Church to AD 604</v>
          </cell>
          <cell r="E1770" t="str">
            <v>CHIS600</v>
          </cell>
        </row>
        <row r="1771">
          <cell r="C1771" t="str">
            <v>Development SDA Theology</v>
          </cell>
          <cell r="E1771" t="str">
            <v>CHIS674</v>
          </cell>
        </row>
        <row r="1772">
          <cell r="C1772" t="str">
            <v>Field Practicum:</v>
          </cell>
          <cell r="E1772" t="str">
            <v>DSRE885</v>
          </cell>
        </row>
        <row r="1773">
          <cell r="C1773" t="str">
            <v>Field Practicum:________</v>
          </cell>
          <cell r="D1773" t="str">
            <v>Field Practicum:Leadership</v>
          </cell>
          <cell r="E1773" t="str">
            <v>DSRE680</v>
          </cell>
        </row>
        <row r="1774">
          <cell r="C1774" t="str">
            <v>Masters Comprehensive Exam</v>
          </cell>
          <cell r="E1774" t="str">
            <v>GSEM680</v>
          </cell>
        </row>
        <row r="1775">
          <cell r="C1775" t="str">
            <v>Ind Stdy:</v>
          </cell>
          <cell r="E1775" t="str">
            <v>CHMN690</v>
          </cell>
        </row>
        <row r="1776">
          <cell r="C1776" t="str">
            <v>Ind St:</v>
          </cell>
          <cell r="E1776" t="str">
            <v>DSRE690</v>
          </cell>
        </row>
        <row r="1777">
          <cell r="C1777" t="str">
            <v>Ministry to At-Risk Youth</v>
          </cell>
          <cell r="E1777" t="str">
            <v>DSRE626</v>
          </cell>
        </row>
        <row r="1778">
          <cell r="C1778" t="str">
            <v>Ind St:</v>
          </cell>
          <cell r="E1778" t="str">
            <v>NTST690</v>
          </cell>
        </row>
        <row r="1779">
          <cell r="C1779" t="str">
            <v>Practicum Past Care&amp;Counseling</v>
          </cell>
          <cell r="E1779" t="str">
            <v>CHMN659</v>
          </cell>
        </row>
        <row r="1780">
          <cell r="C1780" t="str">
            <v>Ind St:</v>
          </cell>
          <cell r="E1780" t="str">
            <v>DSRE690</v>
          </cell>
        </row>
        <row r="1781">
          <cell r="C1781" t="str">
            <v>Adv Ministerial Development</v>
          </cell>
          <cell r="E1781" t="str">
            <v>CHMN560</v>
          </cell>
        </row>
        <row r="1782">
          <cell r="C1782" t="str">
            <v>Formatn Evangelistic Strategy</v>
          </cell>
          <cell r="E1782" t="str">
            <v>CHMN767</v>
          </cell>
        </row>
        <row r="1783">
          <cell r="C1783" t="str">
            <v>Field Practicum:________</v>
          </cell>
          <cell r="E1783" t="str">
            <v>DSRE680</v>
          </cell>
        </row>
        <row r="1784">
          <cell r="C1784" t="str">
            <v>Practicum Military Chaplaincy</v>
          </cell>
          <cell r="E1784" t="str">
            <v>CHMN641</v>
          </cell>
        </row>
        <row r="1785">
          <cell r="C1785" t="str">
            <v>PhD (Rel Education) Prog Cont</v>
          </cell>
          <cell r="E1785" t="str">
            <v>DSRE880</v>
          </cell>
        </row>
        <row r="1786">
          <cell r="C1786" t="str">
            <v>Ind Stdy:</v>
          </cell>
          <cell r="E1786" t="str">
            <v>CHMN690</v>
          </cell>
        </row>
        <row r="1787">
          <cell r="C1787" t="str">
            <v>Doctoral Dissertation</v>
          </cell>
          <cell r="E1787" t="str">
            <v>DSRE995</v>
          </cell>
        </row>
        <row r="1788">
          <cell r="C1788" t="str">
            <v>Christn Lead in a Chnging Wrld</v>
          </cell>
          <cell r="E1788" t="str">
            <v>CHMN543</v>
          </cell>
        </row>
        <row r="1789">
          <cell r="C1789" t="str">
            <v>Field Evangelistic Preach Prac</v>
          </cell>
          <cell r="E1789" t="str">
            <v>CHMN662</v>
          </cell>
        </row>
        <row r="1790">
          <cell r="C1790" t="str">
            <v>Adv Ldshp Competencies</v>
          </cell>
          <cell r="E1790" t="str">
            <v>CHMN760</v>
          </cell>
        </row>
        <row r="1791">
          <cell r="C1791" t="str">
            <v>DMin Prof Dissertation</v>
          </cell>
          <cell r="E1791" t="str">
            <v>GSEM796</v>
          </cell>
        </row>
        <row r="1792">
          <cell r="C1792" t="str">
            <v>Ind Stdy:</v>
          </cell>
          <cell r="E1792" t="str">
            <v>CHMN690</v>
          </cell>
        </row>
        <row r="1793">
          <cell r="C1793" t="str">
            <v>Ind Stdy:</v>
          </cell>
          <cell r="E1793" t="str">
            <v>CHMN690</v>
          </cell>
        </row>
        <row r="1794">
          <cell r="C1794" t="str">
            <v>Ind Stdy:</v>
          </cell>
          <cell r="E1794" t="str">
            <v>CHMN690</v>
          </cell>
        </row>
        <row r="1795">
          <cell r="C1795" t="str">
            <v>Directed Rdgs in Church Min</v>
          </cell>
          <cell r="D1795" t="str">
            <v>Directed Rdgs Church in Min</v>
          </cell>
          <cell r="E1795" t="str">
            <v>CHMN890</v>
          </cell>
        </row>
        <row r="1796">
          <cell r="C1796" t="str">
            <v>Ind St:</v>
          </cell>
          <cell r="E1796" t="str">
            <v>CHIS690</v>
          </cell>
        </row>
        <row r="1797">
          <cell r="C1797" t="str">
            <v>Topics in Church History:</v>
          </cell>
          <cell r="E1797" t="str">
            <v>CHIS695</v>
          </cell>
        </row>
        <row r="1798">
          <cell r="C1798" t="str">
            <v>Directed Rdg in Church History</v>
          </cell>
          <cell r="E1798" t="str">
            <v>CHIS890</v>
          </cell>
        </row>
        <row r="1799">
          <cell r="C1799" t="str">
            <v>Directed Rdg Adventist Studies</v>
          </cell>
          <cell r="E1799" t="str">
            <v>CHIS895</v>
          </cell>
        </row>
        <row r="1800">
          <cell r="C1800" t="str">
            <v>Doctoral Dissertation</v>
          </cell>
          <cell r="E1800" t="str">
            <v>DSRE995</v>
          </cell>
        </row>
        <row r="1801">
          <cell r="C1801" t="str">
            <v>Doctoral Dissertation</v>
          </cell>
          <cell r="E1801" t="str">
            <v>DSRE995</v>
          </cell>
        </row>
        <row r="1802">
          <cell r="C1802" t="str">
            <v>Doctoral Dissertation</v>
          </cell>
          <cell r="E1802" t="str">
            <v>DSRE995</v>
          </cell>
        </row>
        <row r="1803">
          <cell r="C1803" t="str">
            <v>Ind St:</v>
          </cell>
          <cell r="E1803" t="str">
            <v>THST690</v>
          </cell>
        </row>
        <row r="1804">
          <cell r="C1804" t="str">
            <v>Ind St:</v>
          </cell>
          <cell r="E1804" t="str">
            <v>THST690</v>
          </cell>
        </row>
        <row r="1805">
          <cell r="C1805" t="str">
            <v>Top:</v>
          </cell>
          <cell r="E1805" t="str">
            <v>THST695</v>
          </cell>
        </row>
        <row r="1806">
          <cell r="C1806" t="str">
            <v>Top:</v>
          </cell>
          <cell r="E1806" t="str">
            <v>THST695</v>
          </cell>
        </row>
        <row r="1807">
          <cell r="C1807" t="str">
            <v>Top:</v>
          </cell>
          <cell r="E1807" t="str">
            <v>THST695</v>
          </cell>
        </row>
        <row r="1808">
          <cell r="C1808" t="str">
            <v>Top:</v>
          </cell>
          <cell r="E1808" t="str">
            <v>THST695</v>
          </cell>
        </row>
        <row r="1809">
          <cell r="C1809" t="str">
            <v>Top:</v>
          </cell>
          <cell r="E1809" t="str">
            <v>THST695</v>
          </cell>
        </row>
        <row r="1810">
          <cell r="C1810" t="str">
            <v>Top:</v>
          </cell>
          <cell r="E1810" t="str">
            <v>THST695</v>
          </cell>
        </row>
        <row r="1811">
          <cell r="C1811" t="str">
            <v>Top:</v>
          </cell>
          <cell r="E1811" t="str">
            <v>THST695</v>
          </cell>
        </row>
        <row r="1812">
          <cell r="C1812" t="str">
            <v>Top:</v>
          </cell>
          <cell r="E1812" t="str">
            <v>THST695</v>
          </cell>
        </row>
        <row r="1813">
          <cell r="C1813" t="str">
            <v>Directed Rdg Historical Theo</v>
          </cell>
          <cell r="E1813" t="str">
            <v>THST895</v>
          </cell>
        </row>
        <row r="1814">
          <cell r="C1814" t="str">
            <v>Directed Rdg Historical Theo</v>
          </cell>
          <cell r="E1814" t="str">
            <v>THST895</v>
          </cell>
        </row>
        <row r="1815">
          <cell r="C1815" t="str">
            <v>Directed Rdg Historical Theo</v>
          </cell>
          <cell r="E1815" t="str">
            <v>THST895</v>
          </cell>
        </row>
        <row r="1816">
          <cell r="C1816" t="str">
            <v>Directed Rdg Historical Theo</v>
          </cell>
          <cell r="E1816" t="str">
            <v>THST895</v>
          </cell>
        </row>
        <row r="1817">
          <cell r="C1817" t="str">
            <v>Directed Rdg Historical Theo</v>
          </cell>
          <cell r="E1817" t="str">
            <v>THST895</v>
          </cell>
        </row>
        <row r="1818">
          <cell r="C1818" t="str">
            <v>Directed Rdg Historical Theo</v>
          </cell>
          <cell r="E1818" t="str">
            <v>THST895</v>
          </cell>
        </row>
        <row r="1819">
          <cell r="C1819" t="str">
            <v>Directed Rdg Historical Theo</v>
          </cell>
          <cell r="E1819" t="str">
            <v>THST895</v>
          </cell>
        </row>
        <row r="1820">
          <cell r="C1820" t="str">
            <v>Directed Rdg Historical Theo</v>
          </cell>
          <cell r="E1820" t="str">
            <v>THST895</v>
          </cell>
        </row>
        <row r="1821">
          <cell r="C1821" t="str">
            <v>Directed Rdg Christian Ethics</v>
          </cell>
          <cell r="E1821" t="str">
            <v>THST896</v>
          </cell>
        </row>
        <row r="1822">
          <cell r="C1822" t="str">
            <v>Directed Rdg Christian Ethics</v>
          </cell>
          <cell r="E1822" t="str">
            <v>THST896</v>
          </cell>
        </row>
        <row r="1823">
          <cell r="C1823" t="str">
            <v>Directed Rdg Christian Ethics</v>
          </cell>
          <cell r="E1823" t="str">
            <v>THST896</v>
          </cell>
        </row>
        <row r="1824">
          <cell r="C1824" t="str">
            <v>Directed Rdg Christian Ethics</v>
          </cell>
          <cell r="E1824" t="str">
            <v>THST896</v>
          </cell>
        </row>
        <row r="1825">
          <cell r="C1825" t="str">
            <v>Directed Rdg Christian Ethics</v>
          </cell>
          <cell r="E1825" t="str">
            <v>THST896</v>
          </cell>
        </row>
        <row r="1826">
          <cell r="C1826" t="str">
            <v>Directed Rdg Christian Ethics</v>
          </cell>
          <cell r="E1826" t="str">
            <v>THST896</v>
          </cell>
        </row>
        <row r="1827">
          <cell r="C1827" t="str">
            <v>Directed Rdg Christian Ethics</v>
          </cell>
          <cell r="E1827" t="str">
            <v>THST896</v>
          </cell>
        </row>
        <row r="1828">
          <cell r="C1828" t="str">
            <v>Directed Rdg Christian Ethics</v>
          </cell>
          <cell r="E1828" t="str">
            <v>THST896</v>
          </cell>
        </row>
        <row r="1829">
          <cell r="C1829" t="str">
            <v>Field Practicum</v>
          </cell>
          <cell r="E1829" t="str">
            <v>CHMN660</v>
          </cell>
        </row>
        <row r="1830">
          <cell r="C1830" t="str">
            <v>Ind St:</v>
          </cell>
          <cell r="E1830" t="str">
            <v>MSSN690</v>
          </cell>
        </row>
        <row r="1831">
          <cell r="C1831" t="str">
            <v>Ind St:</v>
          </cell>
          <cell r="E1831" t="str">
            <v>MSSN690</v>
          </cell>
        </row>
        <row r="1832">
          <cell r="C1832" t="str">
            <v>Ind St:</v>
          </cell>
          <cell r="E1832" t="str">
            <v>MSSN690</v>
          </cell>
        </row>
        <row r="1833">
          <cell r="C1833" t="str">
            <v>Directed Rdgs Mission Studies</v>
          </cell>
          <cell r="E1833" t="str">
            <v>MSSN890</v>
          </cell>
        </row>
        <row r="1834">
          <cell r="C1834" t="str">
            <v>Directed Rdgs Mission Studies</v>
          </cell>
          <cell r="E1834" t="str">
            <v>MSSN890</v>
          </cell>
        </row>
        <row r="1835">
          <cell r="C1835" t="str">
            <v>Directed Rdgs Mission Studies</v>
          </cell>
          <cell r="E1835" t="str">
            <v>MSSN890</v>
          </cell>
        </row>
        <row r="1836">
          <cell r="C1836" t="str">
            <v>Directed Rdgs Mission Studies</v>
          </cell>
          <cell r="E1836" t="str">
            <v>MSSN890</v>
          </cell>
        </row>
        <row r="1837">
          <cell r="C1837" t="str">
            <v>Directed Rdgs Mission Studies</v>
          </cell>
          <cell r="E1837" t="str">
            <v>MSSN890</v>
          </cell>
        </row>
        <row r="1838">
          <cell r="C1838" t="str">
            <v>PhD-ThD Dissertation</v>
          </cell>
          <cell r="E1838" t="str">
            <v>GSEM995</v>
          </cell>
        </row>
        <row r="1839">
          <cell r="C1839" t="str">
            <v>Topics:</v>
          </cell>
          <cell r="E1839" t="str">
            <v>MSSN695</v>
          </cell>
        </row>
        <row r="1840">
          <cell r="C1840" t="str">
            <v>Topics:</v>
          </cell>
          <cell r="E1840" t="str">
            <v>MSSN695</v>
          </cell>
        </row>
        <row r="1841">
          <cell r="C1841" t="str">
            <v>Topics:</v>
          </cell>
          <cell r="E1841" t="str">
            <v>MSSN695</v>
          </cell>
        </row>
        <row r="1842">
          <cell r="C1842" t="str">
            <v>Topics:</v>
          </cell>
          <cell r="E1842" t="str">
            <v>MSSN695</v>
          </cell>
        </row>
        <row r="1843">
          <cell r="C1843" t="str">
            <v>PhD-ThD Dissertation</v>
          </cell>
          <cell r="E1843" t="str">
            <v>GSEM995</v>
          </cell>
        </row>
        <row r="1844">
          <cell r="C1844" t="str">
            <v>PhD-ThD Dissertation</v>
          </cell>
          <cell r="E1844" t="str">
            <v>GSEM995</v>
          </cell>
        </row>
        <row r="1845">
          <cell r="C1845" t="str">
            <v>PhD-ThD Dissertation</v>
          </cell>
          <cell r="E1845" t="str">
            <v>GSEM995</v>
          </cell>
        </row>
        <row r="1846">
          <cell r="C1846" t="str">
            <v>Ind St:</v>
          </cell>
          <cell r="E1846" t="str">
            <v>OTST690</v>
          </cell>
        </row>
        <row r="1847">
          <cell r="C1847" t="str">
            <v>Revelation</v>
          </cell>
          <cell r="E1847" t="str">
            <v>NTST525</v>
          </cell>
        </row>
        <row r="1848">
          <cell r="C1848" t="str">
            <v>Doctrine of the Holy Spirit</v>
          </cell>
          <cell r="E1848" t="str">
            <v>THST639</v>
          </cell>
        </row>
        <row r="1849">
          <cell r="C1849" t="str">
            <v>Field Evangelism</v>
          </cell>
          <cell r="E1849" t="str">
            <v>CHMN562</v>
          </cell>
        </row>
        <row r="1850">
          <cell r="C1850" t="str">
            <v>PhD-ThD Dissertation</v>
          </cell>
          <cell r="E1850" t="str">
            <v>GSEM995</v>
          </cell>
        </row>
        <row r="1851">
          <cell r="C1851" t="str">
            <v>In-Ministry Continuation</v>
          </cell>
          <cell r="E1851" t="str">
            <v>GSEM588</v>
          </cell>
        </row>
        <row r="1852">
          <cell r="C1852" t="str">
            <v>Field Evangelistic Preach Prac</v>
          </cell>
          <cell r="E1852" t="str">
            <v>CHMN662</v>
          </cell>
        </row>
        <row r="1853">
          <cell r="C1853" t="str">
            <v>Fndtns of Biblicl Spirituality</v>
          </cell>
          <cell r="E1853" t="str">
            <v>DSRE541</v>
          </cell>
        </row>
        <row r="1854">
          <cell r="C1854" t="str">
            <v>Ind St:</v>
          </cell>
          <cell r="D1854" t="str">
            <v>Ind:Spiritual &amp; Theo Found Min</v>
          </cell>
          <cell r="E1854" t="str">
            <v>GSEM797</v>
          </cell>
        </row>
        <row r="1855">
          <cell r="C1855" t="str">
            <v>New Testament Archaeology</v>
          </cell>
          <cell r="E1855" t="str">
            <v>NTST615</v>
          </cell>
        </row>
        <row r="1856">
          <cell r="C1856" t="str">
            <v>Ind St:</v>
          </cell>
          <cell r="E1856" t="str">
            <v>OTST690</v>
          </cell>
        </row>
        <row r="1857">
          <cell r="C1857" t="str">
            <v>Directed Rdg in Hist&amp;Arch St</v>
          </cell>
          <cell r="E1857" t="str">
            <v>ANEA890</v>
          </cell>
        </row>
        <row r="1858">
          <cell r="C1858" t="str">
            <v>Intro Exeg&amp;Theo 3:Pauline Writ</v>
          </cell>
          <cell r="E1858" t="str">
            <v>NTST509</v>
          </cell>
        </row>
        <row r="1859">
          <cell r="C1859" t="str">
            <v>Biblical Hebrew I</v>
          </cell>
          <cell r="E1859" t="str">
            <v>OTST551</v>
          </cell>
        </row>
        <row r="1860">
          <cell r="C1860" t="str">
            <v>Beginning Greek</v>
          </cell>
          <cell r="E1860" t="str">
            <v>NTST551</v>
          </cell>
        </row>
        <row r="1861">
          <cell r="C1861" t="str">
            <v>Mobilizing Laity Minstry Evang</v>
          </cell>
          <cell r="E1861" t="str">
            <v>CHMN566</v>
          </cell>
        </row>
        <row r="1862">
          <cell r="C1862" t="str">
            <v>Workshop</v>
          </cell>
          <cell r="D1862" t="str">
            <v>Wrkshp:Word &amp; Music</v>
          </cell>
          <cell r="E1862" t="str">
            <v>GSEM648</v>
          </cell>
        </row>
        <row r="1863">
          <cell r="C1863" t="str">
            <v>Mission in Cultrl&amp;Rlgs Contxt</v>
          </cell>
          <cell r="E1863" t="str">
            <v>MSSN546</v>
          </cell>
        </row>
        <row r="1864">
          <cell r="C1864" t="str">
            <v>Postdoctoral Research Project</v>
          </cell>
          <cell r="E1864" t="str">
            <v>GSEM898</v>
          </cell>
        </row>
        <row r="1865">
          <cell r="C1865" t="str">
            <v>Postdoctoral Seminar</v>
          </cell>
          <cell r="E1865" t="str">
            <v>GSEM990</v>
          </cell>
        </row>
        <row r="1866">
          <cell r="C1866" t="str">
            <v>Ind St:</v>
          </cell>
          <cell r="E1866" t="str">
            <v>OTST690</v>
          </cell>
        </row>
        <row r="1867">
          <cell r="C1867" t="str">
            <v>Ind St:</v>
          </cell>
          <cell r="D1867" t="str">
            <v>Ind:DMin Project Seminar</v>
          </cell>
          <cell r="E1867" t="str">
            <v>GSEM797</v>
          </cell>
        </row>
        <row r="1868">
          <cell r="C1868" t="str">
            <v>Ind St:</v>
          </cell>
          <cell r="D1868" t="str">
            <v>Ind Study:DMin Project Seminar</v>
          </cell>
          <cell r="E1868" t="str">
            <v>GSEM797</v>
          </cell>
        </row>
        <row r="1869">
          <cell r="C1869" t="str">
            <v>Int Mid East Lang, Culture&amp;Hst</v>
          </cell>
          <cell r="E1869" t="str">
            <v>OTST515</v>
          </cell>
        </row>
        <row r="1870">
          <cell r="C1870" t="str">
            <v>DMin Program Continuation</v>
          </cell>
          <cell r="E1870" t="str">
            <v>GSEM789</v>
          </cell>
        </row>
        <row r="1871">
          <cell r="C1871" t="str">
            <v>Directed Rdg in Hist&amp;Arch St</v>
          </cell>
          <cell r="E1871" t="str">
            <v>ANEA890</v>
          </cell>
        </row>
        <row r="1872">
          <cell r="C1872" t="str">
            <v>Bilingual Ministry</v>
          </cell>
          <cell r="E1872" t="str">
            <v>CHMN538</v>
          </cell>
        </row>
        <row r="1873">
          <cell r="C1873" t="str">
            <v>Adv Arch Field Work</v>
          </cell>
          <cell r="E1873" t="str">
            <v>ANEA830</v>
          </cell>
        </row>
        <row r="1874">
          <cell r="C1874" t="str">
            <v>Sem in Historical Theology:</v>
          </cell>
          <cell r="E1874" t="str">
            <v>THST656</v>
          </cell>
        </row>
        <row r="1875">
          <cell r="C1875" t="str">
            <v>Hispanic-Amer Church History</v>
          </cell>
          <cell r="E1875" t="str">
            <v>CHIS567</v>
          </cell>
        </row>
        <row r="1876">
          <cell r="C1876" t="str">
            <v>Christn Lead in a Chnging Wrld</v>
          </cell>
          <cell r="E1876" t="str">
            <v>CHMN543</v>
          </cell>
        </row>
        <row r="1877">
          <cell r="C1877" t="str">
            <v>Roman Catholic Life &amp; Thought</v>
          </cell>
          <cell r="E1877" t="str">
            <v>THST627</v>
          </cell>
        </row>
        <row r="1878">
          <cell r="C1878" t="str">
            <v>Survey of Church History</v>
          </cell>
          <cell r="E1878" t="str">
            <v>CHIS505</v>
          </cell>
        </row>
        <row r="1879">
          <cell r="C1879" t="str">
            <v>Prep for Comprehensive Exams</v>
          </cell>
          <cell r="E1879" t="str">
            <v>GSEM880</v>
          </cell>
        </row>
        <row r="1880">
          <cell r="C1880" t="str">
            <v>PhD-ThD Dissertation</v>
          </cell>
          <cell r="E1880" t="str">
            <v>GSEM995</v>
          </cell>
        </row>
        <row r="1881">
          <cell r="C1881" t="str">
            <v>Spec Approaches to Evan:</v>
          </cell>
          <cell r="D1881" t="str">
            <v>Sp App to Evan:Naturl Ch Dev</v>
          </cell>
          <cell r="E1881" t="str">
            <v>CHMN586</v>
          </cell>
        </row>
        <row r="1882">
          <cell r="C1882" t="str">
            <v>Spec Approaches to Evan:</v>
          </cell>
          <cell r="D1882" t="str">
            <v>Sp App to Evan:Bi-Voctnl Ch Pl</v>
          </cell>
          <cell r="E1882" t="str">
            <v>CHMN586</v>
          </cell>
        </row>
        <row r="1883">
          <cell r="C1883" t="str">
            <v>Adv Arch Field Work</v>
          </cell>
          <cell r="E1883" t="str">
            <v>ANEA830</v>
          </cell>
        </row>
        <row r="1884">
          <cell r="C1884" t="str">
            <v>Near Eastern Archaeology</v>
          </cell>
          <cell r="E1884" t="str">
            <v>ANEA810</v>
          </cell>
        </row>
        <row r="1885">
          <cell r="C1885" t="str">
            <v>Readings in the OT (English)</v>
          </cell>
          <cell r="E1885" t="str">
            <v>OTST570</v>
          </cell>
        </row>
        <row r="1886">
          <cell r="C1886" t="str">
            <v>Christian Witness&amp;Wrld Relgns</v>
          </cell>
          <cell r="E1886" t="str">
            <v>MSSN561</v>
          </cell>
        </row>
        <row r="1887">
          <cell r="C1887" t="str">
            <v>Exegesis of the English NT:</v>
          </cell>
          <cell r="E1887" t="str">
            <v>NTST550</v>
          </cell>
        </row>
        <row r="1888">
          <cell r="C1888" t="str">
            <v>Worship:Word &amp; Music</v>
          </cell>
          <cell r="E1888" t="str">
            <v>CHMN523</v>
          </cell>
        </row>
        <row r="1889">
          <cell r="C1889" t="str">
            <v>Topics:</v>
          </cell>
          <cell r="E1889" t="str">
            <v>MSSN695</v>
          </cell>
        </row>
        <row r="1890">
          <cell r="C1890" t="str">
            <v>Ind St:</v>
          </cell>
          <cell r="E1890" t="str">
            <v>MSSN690</v>
          </cell>
        </row>
        <row r="1891">
          <cell r="C1891" t="str">
            <v>Ind St:</v>
          </cell>
          <cell r="E1891" t="str">
            <v>CHIS690</v>
          </cell>
        </row>
        <row r="1892">
          <cell r="C1892" t="str">
            <v>Readings in the OT (English)</v>
          </cell>
          <cell r="E1892" t="str">
            <v>OTST570</v>
          </cell>
        </row>
        <row r="1893">
          <cell r="C1893" t="str">
            <v>The Church in the City</v>
          </cell>
          <cell r="E1893" t="str">
            <v>CHMN774</v>
          </cell>
        </row>
        <row r="1894">
          <cell r="C1894" t="str">
            <v>History &amp; Strategy of Mission</v>
          </cell>
          <cell r="E1894" t="str">
            <v>MSSN727</v>
          </cell>
        </row>
        <row r="1895">
          <cell r="C1895" t="str">
            <v>Directed Rdg in Old Testmt</v>
          </cell>
          <cell r="E1895" t="str">
            <v>OTST890</v>
          </cell>
        </row>
        <row r="1896">
          <cell r="C1896" t="str">
            <v>Workshop</v>
          </cell>
          <cell r="D1896" t="str">
            <v>Wkshp:NAD Ministerial Conventn</v>
          </cell>
          <cell r="E1896" t="str">
            <v>GSEM648</v>
          </cell>
        </row>
        <row r="1897">
          <cell r="C1897" t="str">
            <v>Principles of Stewardship</v>
          </cell>
          <cell r="E1897" t="str">
            <v>CHMN575</v>
          </cell>
        </row>
        <row r="1898">
          <cell r="C1898" t="str">
            <v>Exegesis of the English NT:</v>
          </cell>
          <cell r="E1898" t="str">
            <v>NTST550</v>
          </cell>
        </row>
        <row r="1899">
          <cell r="C1899" t="str">
            <v>Fndtns of Biblicl Spirituality</v>
          </cell>
          <cell r="E1899" t="str">
            <v>DSRE541</v>
          </cell>
        </row>
        <row r="1900">
          <cell r="C1900" t="str">
            <v>Prep for Comprehensive Exams</v>
          </cell>
          <cell r="E1900" t="str">
            <v>GSEM880</v>
          </cell>
        </row>
        <row r="1901">
          <cell r="C1901" t="str">
            <v>Workshop</v>
          </cell>
          <cell r="D1901" t="str">
            <v>Workshop:Advanced SEEDS</v>
          </cell>
          <cell r="E1901" t="str">
            <v>GSEM648</v>
          </cell>
        </row>
        <row r="1902">
          <cell r="C1902" t="str">
            <v>Doctoral Dissertation</v>
          </cell>
          <cell r="E1902" t="str">
            <v>DSRE995</v>
          </cell>
        </row>
        <row r="1903">
          <cell r="C1903" t="str">
            <v>Formatn Evangelistic Strategy</v>
          </cell>
          <cell r="E1903" t="str">
            <v>CHMN767</v>
          </cell>
        </row>
        <row r="1904">
          <cell r="C1904" t="str">
            <v>Workshop</v>
          </cell>
          <cell r="D1904" t="str">
            <v>Workshop:SEEDS</v>
          </cell>
          <cell r="E1904" t="str">
            <v>GSEM648</v>
          </cell>
        </row>
        <row r="1905">
          <cell r="C1905" t="str">
            <v>Biblical Hebrew II</v>
          </cell>
          <cell r="E1905" t="str">
            <v>OTST552</v>
          </cell>
        </row>
        <row r="1906">
          <cell r="C1906" t="str">
            <v>Pers Pract Dis&amp;Bibl Spirtualty</v>
          </cell>
          <cell r="E1906" t="str">
            <v>DSRE707</v>
          </cell>
        </row>
        <row r="1907">
          <cell r="C1907" t="str">
            <v>Studies in OT Exegesis</v>
          </cell>
          <cell r="E1907" t="str">
            <v>OTST639</v>
          </cell>
        </row>
        <row r="1908">
          <cell r="C1908" t="str">
            <v>Ch Growth&amp;Discipleshp Urban Ch</v>
          </cell>
          <cell r="E1908" t="str">
            <v>CHMN778</v>
          </cell>
        </row>
        <row r="1909">
          <cell r="C1909" t="str">
            <v>DMin Prof Dissertation</v>
          </cell>
          <cell r="E1909" t="str">
            <v>GSEM796</v>
          </cell>
        </row>
        <row r="1910">
          <cell r="C1910" t="str">
            <v>Marriage, Fam&amp;Interprsnl Reltn</v>
          </cell>
          <cell r="E1910" t="str">
            <v>DSRE503</v>
          </cell>
        </row>
        <row r="1911">
          <cell r="C1911" t="str">
            <v>Archaeological Field Work</v>
          </cell>
          <cell r="E1911" t="str">
            <v>ANEA630</v>
          </cell>
        </row>
        <row r="1912">
          <cell r="C1912" t="str">
            <v>Directed Rdg Adventist Studies</v>
          </cell>
          <cell r="E1912" t="str">
            <v>CHIS895</v>
          </cell>
        </row>
        <row r="1913">
          <cell r="C1913" t="str">
            <v>Top in NT Backgrounds</v>
          </cell>
          <cell r="D1913" t="str">
            <v>Top:Greco-Roman Religions</v>
          </cell>
          <cell r="E1913" t="str">
            <v>NTST695</v>
          </cell>
        </row>
        <row r="1914">
          <cell r="C1914" t="str">
            <v>Master's Degree Contin</v>
          </cell>
          <cell r="E1914" t="str">
            <v>GSEM688</v>
          </cell>
        </row>
        <row r="1915">
          <cell r="C1915" t="str">
            <v>Exegesis of the English NT:</v>
          </cell>
          <cell r="E1915" t="str">
            <v>NTST550</v>
          </cell>
        </row>
        <row r="1916">
          <cell r="C1916" t="str">
            <v>Bible Lands&amp; Their Exploration</v>
          </cell>
          <cell r="E1916" t="str">
            <v>ANEA514</v>
          </cell>
        </row>
        <row r="1917">
          <cell r="C1917" t="str">
            <v>Archaeological Field Work</v>
          </cell>
          <cell r="E1917" t="str">
            <v>ANEA630</v>
          </cell>
        </row>
        <row r="1918">
          <cell r="C1918" t="str">
            <v>Advanced Campus Ministry</v>
          </cell>
          <cell r="E1918" t="str">
            <v>DSRE664</v>
          </cell>
        </row>
        <row r="1919">
          <cell r="C1919" t="str">
            <v>Doctoral Dissertation</v>
          </cell>
          <cell r="E1919" t="str">
            <v>DSRE995</v>
          </cell>
        </row>
        <row r="1920">
          <cell r="C1920" t="str">
            <v>Church History Study Tour</v>
          </cell>
          <cell r="E1920" t="str">
            <v>GSEM678</v>
          </cell>
        </row>
        <row r="1921">
          <cell r="C1921" t="str">
            <v>Ind St:</v>
          </cell>
          <cell r="D1921" t="str">
            <v>Ind St:Stdies in Chrch History</v>
          </cell>
          <cell r="E1921" t="str">
            <v>CHIS690</v>
          </cell>
        </row>
        <row r="1922">
          <cell r="C1922" t="str">
            <v>Directed Rdg in Hist&amp;Arch St</v>
          </cell>
          <cell r="E1922" t="str">
            <v>ANEA890</v>
          </cell>
        </row>
        <row r="1923">
          <cell r="C1923" t="str">
            <v>DMin Prof Dissertation Cont</v>
          </cell>
          <cell r="E1923" t="str">
            <v>GSEM788</v>
          </cell>
        </row>
        <row r="1924">
          <cell r="C1924" t="str">
            <v>Ind St:</v>
          </cell>
          <cell r="D1924" t="str">
            <v>Ind St:Church Hist Study Tour</v>
          </cell>
          <cell r="E1924" t="str">
            <v>CHIS690</v>
          </cell>
        </row>
        <row r="1925">
          <cell r="C1925" t="str">
            <v>PhD-ThD Diss Prop Prep</v>
          </cell>
          <cell r="E1925" t="str">
            <v>GSEM844</v>
          </cell>
        </row>
        <row r="1926">
          <cell r="C1926" t="str">
            <v>Scholarly and Professional Dev</v>
          </cell>
          <cell r="E1926" t="str">
            <v>DSRE620</v>
          </cell>
        </row>
        <row r="1927">
          <cell r="C1927" t="str">
            <v>Directed Rdg Historical Theo</v>
          </cell>
          <cell r="E1927" t="str">
            <v>THST895</v>
          </cell>
        </row>
        <row r="1928">
          <cell r="C1928" t="str">
            <v>Spec Approaches to Evan:</v>
          </cell>
          <cell r="E1928" t="str">
            <v>CHMN586</v>
          </cell>
        </row>
        <row r="1929">
          <cell r="C1929" t="str">
            <v>Dir St:</v>
          </cell>
          <cell r="E1929" t="str">
            <v>OTST695</v>
          </cell>
        </row>
        <row r="1930">
          <cell r="C1930" t="str">
            <v>Survey of Church History</v>
          </cell>
          <cell r="E1930" t="str">
            <v>CHIS505</v>
          </cell>
        </row>
        <row r="1931">
          <cell r="C1931" t="str">
            <v>Sem in Theological Issues:</v>
          </cell>
          <cell r="E1931" t="str">
            <v>THST649</v>
          </cell>
        </row>
        <row r="1932">
          <cell r="C1932" t="str">
            <v>Top:</v>
          </cell>
          <cell r="D1932" t="str">
            <v>Top:Sanctuary Doctrine</v>
          </cell>
          <cell r="E1932" t="str">
            <v>THST695</v>
          </cell>
        </row>
        <row r="1933">
          <cell r="C1933" t="str">
            <v>Christn Lead in a Chnging Wrld</v>
          </cell>
          <cell r="E1933" t="str">
            <v>CHMN543</v>
          </cell>
        </row>
        <row r="1934">
          <cell r="C1934" t="str">
            <v>Theo of the English NT:</v>
          </cell>
          <cell r="E1934" t="str">
            <v>NTST567</v>
          </cell>
        </row>
        <row r="1935">
          <cell r="C1935" t="str">
            <v>Worship:Word &amp; Music</v>
          </cell>
          <cell r="E1935" t="str">
            <v>CHMN523</v>
          </cell>
        </row>
        <row r="1936">
          <cell r="C1936" t="str">
            <v>Development SDA Theology</v>
          </cell>
          <cell r="E1936" t="str">
            <v>CHIS674</v>
          </cell>
        </row>
        <row r="1937">
          <cell r="C1937" t="str">
            <v>Archaeology and the Bible</v>
          </cell>
          <cell r="E1937" t="str">
            <v>ANEA510</v>
          </cell>
        </row>
        <row r="1938">
          <cell r="C1938" t="str">
            <v>Ministry to Youth&amp;Yng Adlt</v>
          </cell>
          <cell r="E1938" t="str">
            <v>DSRE534</v>
          </cell>
        </row>
        <row r="1939">
          <cell r="C1939" t="str">
            <v>Seminar in Preaching</v>
          </cell>
          <cell r="E1939" t="str">
            <v>CHMN637</v>
          </cell>
        </row>
        <row r="1940">
          <cell r="C1940" t="str">
            <v>Early Christian Theology</v>
          </cell>
          <cell r="E1940" t="str">
            <v>THST625</v>
          </cell>
        </row>
        <row r="1941">
          <cell r="C1941" t="str">
            <v>Marriage, Fam&amp;Interprsnl Reltn</v>
          </cell>
          <cell r="E1941" t="str">
            <v>DSRE503</v>
          </cell>
        </row>
        <row r="1942">
          <cell r="C1942" t="str">
            <v>Studies in the Gospels</v>
          </cell>
          <cell r="E1942" t="str">
            <v>NTST536</v>
          </cell>
        </row>
        <row r="1943">
          <cell r="C1943" t="str">
            <v>Church Grwth&amp; Equipping Pastor</v>
          </cell>
          <cell r="E1943" t="str">
            <v>CHMN539</v>
          </cell>
        </row>
        <row r="1944">
          <cell r="C1944" t="str">
            <v>Studies in Daniel (Engl)</v>
          </cell>
          <cell r="E1944" t="str">
            <v>OTST546</v>
          </cell>
        </row>
        <row r="1945">
          <cell r="C1945" t="str">
            <v>Theo of the English NT:</v>
          </cell>
          <cell r="E1945" t="str">
            <v>NTST567</v>
          </cell>
        </row>
        <row r="1946">
          <cell r="C1946" t="str">
            <v>Ind St:</v>
          </cell>
          <cell r="E1946" t="str">
            <v>OTST690</v>
          </cell>
        </row>
        <row r="1947">
          <cell r="C1947" t="str">
            <v>Ind St:</v>
          </cell>
          <cell r="E1947" t="str">
            <v>OTST690</v>
          </cell>
        </row>
        <row r="1948">
          <cell r="C1948" t="str">
            <v>Sem in Old Testament Theology</v>
          </cell>
          <cell r="E1948" t="str">
            <v>OTST620</v>
          </cell>
        </row>
        <row r="1949">
          <cell r="C1949" t="str">
            <v>Church &amp; Urban Community</v>
          </cell>
          <cell r="E1949" t="str">
            <v>CHMN540</v>
          </cell>
        </row>
        <row r="1950">
          <cell r="C1950" t="str">
            <v>Mission in Cultrl&amp;Rlgs Contxt</v>
          </cell>
          <cell r="E1950" t="str">
            <v>MSSN546</v>
          </cell>
        </row>
        <row r="1951">
          <cell r="C1951" t="str">
            <v>Directed Rdg in Church History</v>
          </cell>
          <cell r="E1951" t="str">
            <v>CHIS890</v>
          </cell>
        </row>
        <row r="1952">
          <cell r="C1952" t="str">
            <v>Ind St:</v>
          </cell>
          <cell r="D1952" t="str">
            <v>Ind St:Adventist Heritage</v>
          </cell>
          <cell r="E1952" t="str">
            <v>CHIS690</v>
          </cell>
        </row>
        <row r="1953">
          <cell r="C1953" t="str">
            <v>Bibl, Theo&amp;Sprtl Fndtn of Miss</v>
          </cell>
          <cell r="E1953" t="str">
            <v>MSSN706</v>
          </cell>
        </row>
        <row r="1954">
          <cell r="C1954" t="str">
            <v>Teaching for Discipleship</v>
          </cell>
          <cell r="E1954" t="str">
            <v>DSRE610</v>
          </cell>
        </row>
        <row r="1955">
          <cell r="C1955" t="str">
            <v>Science &amp; Religion</v>
          </cell>
          <cell r="E1955" t="str">
            <v>THST678</v>
          </cell>
        </row>
        <row r="1956">
          <cell r="C1956" t="str">
            <v>Studies in Prophets (Engl)</v>
          </cell>
          <cell r="D1956" t="str">
            <v>Rdngs Proph(Engl):Esther</v>
          </cell>
          <cell r="E1956" t="str">
            <v>OTST556</v>
          </cell>
        </row>
        <row r="1957">
          <cell r="C1957" t="str">
            <v>Archaeology and the Bible</v>
          </cell>
          <cell r="E1957" t="str">
            <v>ANEA510</v>
          </cell>
        </row>
        <row r="1958">
          <cell r="C1958" t="str">
            <v>Church Grwth&amp; Equipping Pastor</v>
          </cell>
          <cell r="E1958" t="str">
            <v>CHMN539</v>
          </cell>
        </row>
        <row r="1959">
          <cell r="C1959" t="str">
            <v>Stud in the Pentateuch (Engl)</v>
          </cell>
          <cell r="E1959" t="str">
            <v>OTST566</v>
          </cell>
        </row>
        <row r="1960">
          <cell r="C1960" t="str">
            <v>Marriage, Fam&amp;Interprsnl Reltn</v>
          </cell>
          <cell r="E1960" t="str">
            <v>DSRE503</v>
          </cell>
        </row>
        <row r="1961">
          <cell r="C1961" t="str">
            <v>Survey of Church History</v>
          </cell>
          <cell r="E1961" t="str">
            <v>CHIS505</v>
          </cell>
        </row>
        <row r="1962">
          <cell r="C1962" t="str">
            <v>Seminar in Leadership</v>
          </cell>
          <cell r="E1962" t="str">
            <v>CHMN638</v>
          </cell>
        </row>
        <row r="1963">
          <cell r="C1963" t="str">
            <v>Ind St:</v>
          </cell>
          <cell r="D1963" t="str">
            <v>Ind St:DMin Project Seminar</v>
          </cell>
          <cell r="E1963" t="str">
            <v>GSEM797</v>
          </cell>
        </row>
        <row r="1964">
          <cell r="C1964" t="str">
            <v>Prophetic Preach in Worship</v>
          </cell>
          <cell r="E1964" t="str">
            <v>CHMN743</v>
          </cell>
        </row>
        <row r="1965">
          <cell r="C1965" t="str">
            <v>Workshop</v>
          </cell>
          <cell r="D1965" t="str">
            <v>Wrkshp:Prep for Mission Servic</v>
          </cell>
          <cell r="E1965" t="str">
            <v>GSEM648</v>
          </cell>
        </row>
        <row r="1966">
          <cell r="C1966" t="str">
            <v>Readings in the OT (English)</v>
          </cell>
          <cell r="D1966" t="str">
            <v>Readings Engl OT:Prophets</v>
          </cell>
          <cell r="E1966" t="str">
            <v>OTST570</v>
          </cell>
        </row>
        <row r="1967">
          <cell r="C1967" t="str">
            <v>Sem in Greek Exegesis</v>
          </cell>
          <cell r="D1967" t="str">
            <v>Sem in Greek Exeg:1-2 Peter</v>
          </cell>
          <cell r="E1967" t="str">
            <v>NTST678</v>
          </cell>
        </row>
        <row r="1968">
          <cell r="C1968" t="str">
            <v>Ind St:</v>
          </cell>
          <cell r="D1968" t="str">
            <v>Ind:Great Contrvrsy Chr Hist</v>
          </cell>
          <cell r="E1968" t="str">
            <v>CHIS690</v>
          </cell>
        </row>
        <row r="1969">
          <cell r="C1969" t="str">
            <v>Spec Approaches to Evan:</v>
          </cell>
          <cell r="E1969" t="str">
            <v>CHMN586</v>
          </cell>
        </row>
        <row r="1970">
          <cell r="C1970" t="str">
            <v>Jesus in Recent Scholarshp</v>
          </cell>
          <cell r="E1970" t="str">
            <v>NTST676</v>
          </cell>
        </row>
        <row r="1971">
          <cell r="C1971" t="str">
            <v>Intro Exeg&amp;Theo 1:Gospels</v>
          </cell>
          <cell r="E1971" t="str">
            <v>NTST510</v>
          </cell>
        </row>
        <row r="1972">
          <cell r="C1972" t="str">
            <v>Adv Studies Pauline Wrtg:</v>
          </cell>
          <cell r="E1972" t="str">
            <v>NTST658</v>
          </cell>
        </row>
        <row r="1973">
          <cell r="C1973" t="str">
            <v>Intro Exeg&amp;Theo 3:Pauline Writ</v>
          </cell>
          <cell r="E1973" t="str">
            <v>NTST509</v>
          </cell>
        </row>
        <row r="1974">
          <cell r="C1974" t="str">
            <v>Sem in Biblical Theology</v>
          </cell>
          <cell r="E1974" t="str">
            <v>NTST945</v>
          </cell>
        </row>
        <row r="1975">
          <cell r="C1975" t="str">
            <v>Sem in NT Exegesis &amp; Hermn:</v>
          </cell>
          <cell r="E1975" t="str">
            <v>NTST940</v>
          </cell>
        </row>
        <row r="1976">
          <cell r="C1976" t="str">
            <v>Applied Research</v>
          </cell>
          <cell r="E1976" t="str">
            <v>DSRE887</v>
          </cell>
        </row>
        <row r="1977">
          <cell r="C1977" t="str">
            <v>Adv Scholarly &amp; Prof Dev</v>
          </cell>
          <cell r="E1977" t="str">
            <v>DSRE878</v>
          </cell>
        </row>
        <row r="1978">
          <cell r="C1978" t="str">
            <v>Applied Research</v>
          </cell>
          <cell r="E1978" t="str">
            <v>DSRE887</v>
          </cell>
        </row>
        <row r="1979">
          <cell r="C1979" t="str">
            <v>Field Practicum:________</v>
          </cell>
          <cell r="E1979" t="str">
            <v>DSRE680</v>
          </cell>
        </row>
        <row r="1980">
          <cell r="C1980" t="str">
            <v>Directed Studies</v>
          </cell>
          <cell r="E1980" t="str">
            <v>ANEA695</v>
          </cell>
        </row>
        <row r="1981">
          <cell r="C1981" t="str">
            <v>Adv Youth&amp;Young Adult Min</v>
          </cell>
          <cell r="E1981" t="str">
            <v>DSRE765</v>
          </cell>
        </row>
        <row r="1982">
          <cell r="C1982" t="str">
            <v>Christian Witness&amp;Wrld Relgns</v>
          </cell>
          <cell r="E1982" t="str">
            <v>MSSN561</v>
          </cell>
        </row>
        <row r="1983">
          <cell r="C1983" t="str">
            <v>Roman Catholic Life &amp; Thought</v>
          </cell>
          <cell r="E1983" t="str">
            <v>THST627</v>
          </cell>
        </row>
        <row r="1984">
          <cell r="C1984" t="str">
            <v>Theo of the English NT:</v>
          </cell>
          <cell r="D1984" t="str">
            <v>Theo of Eng NT:Ecclesiology</v>
          </cell>
          <cell r="E1984" t="str">
            <v>NTST567</v>
          </cell>
        </row>
        <row r="1985">
          <cell r="C1985" t="str">
            <v>Ind St:</v>
          </cell>
          <cell r="D1985" t="str">
            <v>IndSt:Formatnn Evangelst Strat</v>
          </cell>
          <cell r="E1985" t="str">
            <v>GSEM797</v>
          </cell>
        </row>
        <row r="1986">
          <cell r="C1986" t="str">
            <v>PhD-ThD Dissertation</v>
          </cell>
          <cell r="E1986" t="str">
            <v>GSEM995</v>
          </cell>
        </row>
        <row r="1987">
          <cell r="C1987" t="str">
            <v>PhD-ThD Dissertation</v>
          </cell>
          <cell r="E1987" t="str">
            <v>GSEM995</v>
          </cell>
        </row>
        <row r="1988">
          <cell r="C1988" t="str">
            <v>Readings in the OT (English)</v>
          </cell>
          <cell r="D1988" t="str">
            <v>Rdngs in the OT (Engl):Daniel</v>
          </cell>
          <cell r="E1988" t="str">
            <v>OTST570</v>
          </cell>
        </row>
        <row r="1989">
          <cell r="C1989" t="str">
            <v>Hist of Relg in America</v>
          </cell>
          <cell r="E1989" t="str">
            <v>CHIS660</v>
          </cell>
        </row>
        <row r="1990">
          <cell r="C1990" t="str">
            <v>Sem in NT Exegesis &amp; Hermn:</v>
          </cell>
          <cell r="E1990" t="str">
            <v>NTST940</v>
          </cell>
        </row>
        <row r="1991">
          <cell r="C1991" t="str">
            <v>Christn Lead in a Chnging Wrld</v>
          </cell>
          <cell r="E1991" t="str">
            <v>CHMN543</v>
          </cell>
        </row>
        <row r="1992">
          <cell r="C1992" t="str">
            <v>PhD-ThD Dissertation</v>
          </cell>
          <cell r="E1992" t="str">
            <v>GSEM995</v>
          </cell>
        </row>
        <row r="1993">
          <cell r="C1993" t="str">
            <v>Field Practicum:</v>
          </cell>
          <cell r="E1993" t="str">
            <v>DSRE885</v>
          </cell>
        </row>
        <row r="1994">
          <cell r="C1994" t="str">
            <v>Field Evangelistic Preaching</v>
          </cell>
          <cell r="E1994" t="str">
            <v>CHMN631</v>
          </cell>
        </row>
        <row r="1995">
          <cell r="C1995" t="str">
            <v>Independent Study</v>
          </cell>
          <cell r="E1995" t="str">
            <v>ANEA690</v>
          </cell>
        </row>
        <row r="1996">
          <cell r="C1996" t="str">
            <v>Christn Lead in a Chnging Wrld</v>
          </cell>
          <cell r="E1996" t="str">
            <v>CHMN543</v>
          </cell>
        </row>
        <row r="1997">
          <cell r="C1997" t="str">
            <v>PhD-ThD Dissertation</v>
          </cell>
          <cell r="E1997" t="str">
            <v>GSEM995</v>
          </cell>
        </row>
        <row r="1998">
          <cell r="C1998" t="str">
            <v>Witn People Another Rlg:</v>
          </cell>
          <cell r="D1998" t="str">
            <v>Witn Ppl Other Rlg:Pstmdrn &amp; S</v>
          </cell>
          <cell r="E1998" t="str">
            <v>MSSN660</v>
          </cell>
        </row>
        <row r="1999">
          <cell r="C1999" t="str">
            <v>Leading&amp;Managing Church Org</v>
          </cell>
          <cell r="E1999" t="str">
            <v>CHMN780</v>
          </cell>
        </row>
        <row r="2000">
          <cell r="C2000" t="str">
            <v>Guided Study Tour Bible Lands</v>
          </cell>
          <cell r="E2000" t="str">
            <v>GSEM670</v>
          </cell>
        </row>
        <row r="2001">
          <cell r="C2001" t="str">
            <v>Archaeology and the Bible</v>
          </cell>
          <cell r="E2001" t="str">
            <v>ANEA510</v>
          </cell>
        </row>
        <row r="2002">
          <cell r="C2002" t="str">
            <v>Ind St:</v>
          </cell>
          <cell r="E2002" t="str">
            <v>GSEM797</v>
          </cell>
        </row>
        <row r="2003">
          <cell r="C2003" t="str">
            <v>Ind St:</v>
          </cell>
          <cell r="D2003" t="str">
            <v>IndSt:Internal Dynamics Family</v>
          </cell>
          <cell r="E2003" t="str">
            <v>GSEM797</v>
          </cell>
        </row>
        <row r="2004">
          <cell r="C2004" t="str">
            <v>PhD (Rel Education) Prog Cont</v>
          </cell>
          <cell r="E2004" t="str">
            <v>DSRE880</v>
          </cell>
        </row>
        <row r="2005">
          <cell r="C2005" t="str">
            <v>Directed Rdg in Hist&amp;Arch St</v>
          </cell>
          <cell r="E2005" t="str">
            <v>ANEA890</v>
          </cell>
        </row>
        <row r="2006">
          <cell r="C2006" t="str">
            <v>Directed Studies</v>
          </cell>
          <cell r="E2006" t="str">
            <v>ANEA695</v>
          </cell>
        </row>
        <row r="2007">
          <cell r="C2007" t="str">
            <v>Independent Study</v>
          </cell>
          <cell r="E2007" t="str">
            <v>ANEA690</v>
          </cell>
        </row>
        <row r="2008">
          <cell r="C2008" t="str">
            <v>Ind St:</v>
          </cell>
          <cell r="E2008" t="str">
            <v>MSSN690</v>
          </cell>
        </row>
        <row r="2009">
          <cell r="C2009" t="str">
            <v>Directed Rdgs Mission Studies</v>
          </cell>
          <cell r="E2009" t="str">
            <v>MSSN890</v>
          </cell>
        </row>
        <row r="2010">
          <cell r="C2010" t="str">
            <v>Topics:</v>
          </cell>
          <cell r="E2010" t="str">
            <v>MSSN695</v>
          </cell>
        </row>
        <row r="2011">
          <cell r="C2011" t="str">
            <v>Directed Rdg in New Testament</v>
          </cell>
          <cell r="E2011" t="str">
            <v>NTST890</v>
          </cell>
        </row>
        <row r="2012">
          <cell r="C2012" t="str">
            <v>Ind St:</v>
          </cell>
          <cell r="D2012" t="str">
            <v>Ind St:CHIS Study Tour</v>
          </cell>
          <cell r="E2012" t="str">
            <v>CHIS690</v>
          </cell>
        </row>
        <row r="2013">
          <cell r="C2013" t="str">
            <v>Roman Catholic Life &amp; Thought</v>
          </cell>
          <cell r="E2013" t="str">
            <v>THST627</v>
          </cell>
        </row>
        <row r="2014">
          <cell r="C2014" t="str">
            <v>Marriage, Fam&amp;Interprsnl Reltn</v>
          </cell>
          <cell r="E2014" t="str">
            <v>DSRE503</v>
          </cell>
        </row>
        <row r="2015">
          <cell r="C2015" t="str">
            <v>Ind St:</v>
          </cell>
          <cell r="D2015" t="str">
            <v>Ind St:</v>
          </cell>
          <cell r="E2015" t="str">
            <v>CHIS690</v>
          </cell>
        </row>
        <row r="2016">
          <cell r="C2016" t="str">
            <v>Ind St:</v>
          </cell>
          <cell r="D2016" t="str">
            <v>Ind St:</v>
          </cell>
          <cell r="E2016" t="str">
            <v>CHIS690</v>
          </cell>
        </row>
        <row r="2017">
          <cell r="C2017" t="str">
            <v>Topics in Church History:</v>
          </cell>
          <cell r="D2017" t="str">
            <v>Topics in Church History:</v>
          </cell>
          <cell r="E2017" t="str">
            <v>CHIS695</v>
          </cell>
        </row>
        <row r="2018">
          <cell r="C2018" t="str">
            <v>Topics in Church History:</v>
          </cell>
          <cell r="D2018" t="str">
            <v>Topics in Church History:</v>
          </cell>
          <cell r="E2018" t="str">
            <v>CHIS695</v>
          </cell>
        </row>
        <row r="2019">
          <cell r="C2019" t="str">
            <v>Topics in Church History:</v>
          </cell>
          <cell r="D2019" t="str">
            <v>Topics in Church History:</v>
          </cell>
          <cell r="E2019" t="str">
            <v>CHIS695</v>
          </cell>
        </row>
        <row r="2020">
          <cell r="C2020" t="str">
            <v>Topics in Church History:</v>
          </cell>
          <cell r="D2020" t="str">
            <v>Topics in Church History:</v>
          </cell>
          <cell r="E2020" t="str">
            <v>CHIS695</v>
          </cell>
        </row>
        <row r="2021">
          <cell r="C2021" t="str">
            <v>Directed Rdg in Church History</v>
          </cell>
          <cell r="D2021" t="str">
            <v>Directed Rdg in Church History</v>
          </cell>
          <cell r="E2021" t="str">
            <v>CHIS890</v>
          </cell>
        </row>
        <row r="2022">
          <cell r="C2022" t="str">
            <v>Directed Rdg in Church History</v>
          </cell>
          <cell r="D2022" t="str">
            <v>Directed Rdg in Church History</v>
          </cell>
          <cell r="E2022" t="str">
            <v>CHIS890</v>
          </cell>
        </row>
        <row r="2023">
          <cell r="C2023" t="str">
            <v>Directed Rdg in Church History</v>
          </cell>
          <cell r="D2023" t="str">
            <v>Directed Rdg in Church History</v>
          </cell>
          <cell r="E2023" t="str">
            <v>CHIS890</v>
          </cell>
        </row>
        <row r="2024">
          <cell r="C2024" t="str">
            <v>Directed Rdg in Church History</v>
          </cell>
          <cell r="D2024" t="str">
            <v>Directed Rdg in Church History</v>
          </cell>
          <cell r="E2024" t="str">
            <v>CHIS890</v>
          </cell>
        </row>
        <row r="2025">
          <cell r="C2025" t="str">
            <v>Directed Rdg in Church History</v>
          </cell>
          <cell r="D2025" t="str">
            <v>Directed Rdg in Church History</v>
          </cell>
          <cell r="E2025" t="str">
            <v>CHIS890</v>
          </cell>
        </row>
        <row r="2026">
          <cell r="C2026" t="str">
            <v>Directed Rdg Adventist Studies</v>
          </cell>
          <cell r="D2026" t="str">
            <v>Directed Rdg Adventist Studies</v>
          </cell>
          <cell r="E2026" t="str">
            <v>CHIS895</v>
          </cell>
        </row>
        <row r="2027">
          <cell r="C2027" t="str">
            <v>Directed Rdg Adventist Studies</v>
          </cell>
          <cell r="D2027" t="str">
            <v>Directed Rdg Adventist Studies</v>
          </cell>
          <cell r="E2027" t="str">
            <v>CHIS895</v>
          </cell>
        </row>
        <row r="2028">
          <cell r="C2028" t="str">
            <v>Directed Rdg Adventist Studies</v>
          </cell>
          <cell r="D2028" t="str">
            <v>Directed Rdg Adventist Studies</v>
          </cell>
          <cell r="E2028" t="str">
            <v>CHIS895</v>
          </cell>
        </row>
        <row r="2029">
          <cell r="C2029" t="str">
            <v>Directed Rdg Adventist Studies</v>
          </cell>
          <cell r="D2029" t="str">
            <v>Directed Rdg Adventist Studies</v>
          </cell>
          <cell r="E2029" t="str">
            <v>CHIS895</v>
          </cell>
        </row>
        <row r="2030">
          <cell r="C2030" t="str">
            <v>Directed Rdg Adventist Studies</v>
          </cell>
          <cell r="D2030" t="str">
            <v>Directed Rdg Adventist Studies</v>
          </cell>
          <cell r="E2030" t="str">
            <v>CHIS895</v>
          </cell>
        </row>
        <row r="2031">
          <cell r="C2031" t="str">
            <v>Field Practicum</v>
          </cell>
          <cell r="D2031" t="str">
            <v>Field Practicum</v>
          </cell>
          <cell r="E2031" t="str">
            <v>CHMN660</v>
          </cell>
        </row>
        <row r="2032">
          <cell r="C2032" t="str">
            <v>Field Evangelistic Preach Prac</v>
          </cell>
          <cell r="D2032" t="str">
            <v>Field Evang Prching Practicum</v>
          </cell>
          <cell r="E2032" t="str">
            <v>CHMN662</v>
          </cell>
        </row>
        <row r="2033">
          <cell r="C2033" t="str">
            <v>Spiritual&amp;Theo Found Ministry</v>
          </cell>
          <cell r="E2033" t="str">
            <v>GSEM706</v>
          </cell>
        </row>
        <row r="2034">
          <cell r="C2034" t="str">
            <v>Scholarly and Professional Dev</v>
          </cell>
          <cell r="D2034" t="str">
            <v>Scholarly and Professional Dev</v>
          </cell>
          <cell r="E2034" t="str">
            <v>DSRE620</v>
          </cell>
        </row>
        <row r="2035">
          <cell r="C2035" t="str">
            <v>Adv Scholarly &amp; Prof Dev</v>
          </cell>
          <cell r="D2035" t="str">
            <v>Adv Scholarly &amp; Prof Dev</v>
          </cell>
          <cell r="E2035" t="str">
            <v>DSRE878</v>
          </cell>
        </row>
        <row r="2036">
          <cell r="C2036" t="str">
            <v>Field Practicum:</v>
          </cell>
          <cell r="D2036" t="str">
            <v>Field Practicum:</v>
          </cell>
          <cell r="E2036" t="str">
            <v>DSRE885</v>
          </cell>
        </row>
        <row r="2037">
          <cell r="C2037" t="str">
            <v>Ind St:</v>
          </cell>
          <cell r="D2037" t="str">
            <v>Ind St:</v>
          </cell>
          <cell r="E2037" t="str">
            <v>NTST690</v>
          </cell>
        </row>
        <row r="2038">
          <cell r="C2038" t="str">
            <v>Ind St:</v>
          </cell>
          <cell r="D2038" t="str">
            <v>Ind St:</v>
          </cell>
          <cell r="E2038" t="str">
            <v>NTST690</v>
          </cell>
        </row>
        <row r="2039">
          <cell r="C2039" t="str">
            <v>Ind St:</v>
          </cell>
          <cell r="D2039" t="str">
            <v>Ind St:</v>
          </cell>
          <cell r="E2039" t="str">
            <v>NTST690</v>
          </cell>
        </row>
        <row r="2040">
          <cell r="C2040" t="str">
            <v>Ind St:</v>
          </cell>
          <cell r="D2040" t="str">
            <v>Ind St:</v>
          </cell>
          <cell r="E2040" t="str">
            <v>NTST690</v>
          </cell>
        </row>
        <row r="2041">
          <cell r="C2041" t="str">
            <v>Directed Rdg in New Testament</v>
          </cell>
          <cell r="D2041" t="str">
            <v>Directed Rdg in New Testament</v>
          </cell>
          <cell r="E2041" t="str">
            <v>NTST890</v>
          </cell>
        </row>
        <row r="2042">
          <cell r="C2042" t="str">
            <v>Directed Rdg in New Testament</v>
          </cell>
          <cell r="D2042" t="str">
            <v>Directed Rdg in New Testament</v>
          </cell>
          <cell r="E2042" t="str">
            <v>NTST890</v>
          </cell>
        </row>
        <row r="2043">
          <cell r="C2043" t="str">
            <v>Directed Rdg in New Testament</v>
          </cell>
          <cell r="D2043" t="str">
            <v>Directed Rdg in New Testament</v>
          </cell>
          <cell r="E2043" t="str">
            <v>NTST890</v>
          </cell>
        </row>
        <row r="2044">
          <cell r="C2044" t="str">
            <v>Directed Rdg in New Testament</v>
          </cell>
          <cell r="D2044" t="str">
            <v>Directed Rdg in New Testament</v>
          </cell>
          <cell r="E2044" t="str">
            <v>NTST890</v>
          </cell>
        </row>
        <row r="2045">
          <cell r="C2045" t="str">
            <v>Directed Rdg in New Testament</v>
          </cell>
          <cell r="D2045" t="str">
            <v>Directed Rdg in New Testament</v>
          </cell>
          <cell r="E2045" t="str">
            <v>NTST890</v>
          </cell>
        </row>
        <row r="2046">
          <cell r="C2046" t="str">
            <v>Readings in the OT (English)</v>
          </cell>
          <cell r="D2046" t="str">
            <v>Readings in the OT (English)</v>
          </cell>
          <cell r="E2046" t="str">
            <v>OTST570</v>
          </cell>
        </row>
        <row r="2047">
          <cell r="C2047" t="str">
            <v>Ind St:</v>
          </cell>
          <cell r="D2047" t="str">
            <v>Ind St:Church Growth/Disc Urba</v>
          </cell>
          <cell r="E2047" t="str">
            <v>GSEM797</v>
          </cell>
        </row>
        <row r="2048">
          <cell r="C2048" t="str">
            <v>Mentoring&amp;Coaching Discipleshp</v>
          </cell>
          <cell r="E2048" t="str">
            <v>DSRE708</v>
          </cell>
        </row>
        <row r="2049">
          <cell r="C2049" t="str">
            <v>Directed Studies</v>
          </cell>
          <cell r="E2049" t="str">
            <v>ANEA695</v>
          </cell>
        </row>
        <row r="2050">
          <cell r="C2050" t="str">
            <v>Ind St:</v>
          </cell>
          <cell r="E2050" t="str">
            <v>THST690</v>
          </cell>
        </row>
        <row r="2051">
          <cell r="C2051" t="str">
            <v>Independent Study</v>
          </cell>
          <cell r="E2051" t="str">
            <v>ANEA690</v>
          </cell>
        </row>
        <row r="2052">
          <cell r="C2052" t="str">
            <v>Directed Rdg in Old Testmt</v>
          </cell>
          <cell r="D2052" t="str">
            <v>Drctd Rdg Old Tstmnt Stds</v>
          </cell>
          <cell r="E2052" t="str">
            <v>OTST890</v>
          </cell>
        </row>
        <row r="2053">
          <cell r="C2053" t="str">
            <v>Directed Rdg in Hist&amp;Arch St</v>
          </cell>
          <cell r="E2053" t="str">
            <v>ANEA890</v>
          </cell>
        </row>
        <row r="2054">
          <cell r="C2054" t="str">
            <v>Directed Studies</v>
          </cell>
          <cell r="E2054" t="str">
            <v>ANEA695</v>
          </cell>
        </row>
        <row r="2055">
          <cell r="C2055" t="str">
            <v>Directed Rdg in Old Testmt</v>
          </cell>
          <cell r="E2055" t="str">
            <v>OTST890</v>
          </cell>
        </row>
        <row r="2056">
          <cell r="C2056" t="str">
            <v>Research Methods</v>
          </cell>
          <cell r="E2056" t="str">
            <v>GSEM620</v>
          </cell>
        </row>
        <row r="2057">
          <cell r="C2057" t="str">
            <v>Leading&amp;Managing Church Org</v>
          </cell>
          <cell r="E2057" t="str">
            <v>CHMN780</v>
          </cell>
        </row>
        <row r="2058">
          <cell r="C2058" t="str">
            <v>Biblical Eschatology</v>
          </cell>
          <cell r="E2058" t="str">
            <v>THST637</v>
          </cell>
        </row>
        <row r="2059">
          <cell r="C2059" t="str">
            <v>Survey of Church History</v>
          </cell>
          <cell r="E2059" t="str">
            <v>CHIS505</v>
          </cell>
        </row>
        <row r="2060">
          <cell r="C2060" t="str">
            <v>Marriage, Fam&amp;Interprsnl Reltn</v>
          </cell>
          <cell r="E2060" t="str">
            <v>DSRE503</v>
          </cell>
        </row>
        <row r="2061">
          <cell r="C2061" t="str">
            <v>Sem in Historical Theology:</v>
          </cell>
          <cell r="E2061" t="str">
            <v>THST656</v>
          </cell>
        </row>
        <row r="2062">
          <cell r="C2062" t="str">
            <v>Development SDA Theology</v>
          </cell>
          <cell r="E2062" t="str">
            <v>CHIS674</v>
          </cell>
        </row>
        <row r="2063">
          <cell r="C2063" t="str">
            <v>Hisp/Amer Culture &amp; Challenges</v>
          </cell>
          <cell r="E2063" t="str">
            <v>CHMN525</v>
          </cell>
        </row>
        <row r="2064">
          <cell r="C2064" t="str">
            <v>Fndtns of Biblicl Spirituality</v>
          </cell>
          <cell r="E2064" t="str">
            <v>DSRE541</v>
          </cell>
        </row>
        <row r="2065">
          <cell r="C2065" t="str">
            <v>Hispanic-Amer Church History</v>
          </cell>
          <cell r="E2065" t="str">
            <v>CHIS567</v>
          </cell>
        </row>
        <row r="2066">
          <cell r="C2066" t="str">
            <v>Independent Study</v>
          </cell>
          <cell r="D2066" t="str">
            <v>Independent Study</v>
          </cell>
          <cell r="E2066" t="str">
            <v>ANEA690</v>
          </cell>
        </row>
        <row r="2067">
          <cell r="C2067" t="str">
            <v>Independent Study</v>
          </cell>
          <cell r="D2067" t="str">
            <v>Independent Study</v>
          </cell>
          <cell r="E2067" t="str">
            <v>ANEA690</v>
          </cell>
        </row>
        <row r="2068">
          <cell r="C2068" t="str">
            <v>Independent Study</v>
          </cell>
          <cell r="D2068" t="str">
            <v>Independent Study</v>
          </cell>
          <cell r="E2068" t="str">
            <v>ANEA690</v>
          </cell>
        </row>
        <row r="2069">
          <cell r="C2069" t="str">
            <v>Independent Study</v>
          </cell>
          <cell r="D2069" t="str">
            <v>Independent Study</v>
          </cell>
          <cell r="E2069" t="str">
            <v>ANEA690</v>
          </cell>
        </row>
        <row r="2070">
          <cell r="C2070" t="str">
            <v>Independent Study</v>
          </cell>
          <cell r="D2070" t="str">
            <v>Independent Study</v>
          </cell>
          <cell r="E2070" t="str">
            <v>ANEA690</v>
          </cell>
        </row>
        <row r="2071">
          <cell r="C2071" t="str">
            <v>Independent Study</v>
          </cell>
          <cell r="D2071" t="str">
            <v>Independent Study</v>
          </cell>
          <cell r="E2071" t="str">
            <v>ANEA690</v>
          </cell>
        </row>
        <row r="2072">
          <cell r="C2072" t="str">
            <v>Independent Study</v>
          </cell>
          <cell r="D2072" t="str">
            <v>Independent Study</v>
          </cell>
          <cell r="E2072" t="str">
            <v>ANEA690</v>
          </cell>
        </row>
        <row r="2073">
          <cell r="C2073" t="str">
            <v>Directed Rdg in Hist&amp;Arch St</v>
          </cell>
          <cell r="D2073" t="str">
            <v>Directed Rdg in Hist&amp;Arch St</v>
          </cell>
          <cell r="E2073" t="str">
            <v>ANEA890</v>
          </cell>
        </row>
        <row r="2074">
          <cell r="C2074" t="str">
            <v>Directed Rdg in Hist&amp;Arch St</v>
          </cell>
          <cell r="D2074" t="str">
            <v>Directed Rdg in Hist&amp;Arch St</v>
          </cell>
          <cell r="E2074" t="str">
            <v>ANEA890</v>
          </cell>
        </row>
        <row r="2075">
          <cell r="C2075" t="str">
            <v>Ind St:</v>
          </cell>
          <cell r="D2075" t="str">
            <v>Ind St:</v>
          </cell>
          <cell r="E2075" t="str">
            <v>CHIS690</v>
          </cell>
        </row>
        <row r="2076">
          <cell r="C2076" t="str">
            <v>Ind St:</v>
          </cell>
          <cell r="D2076" t="str">
            <v>Ind St:</v>
          </cell>
          <cell r="E2076" t="str">
            <v>CHIS690</v>
          </cell>
        </row>
        <row r="2077">
          <cell r="C2077" t="str">
            <v>Ind St:</v>
          </cell>
          <cell r="D2077" t="str">
            <v>Ind St:</v>
          </cell>
          <cell r="E2077" t="str">
            <v>CHIS690</v>
          </cell>
        </row>
        <row r="2078">
          <cell r="C2078" t="str">
            <v>Ind St:</v>
          </cell>
          <cell r="D2078" t="str">
            <v>Ind St:</v>
          </cell>
          <cell r="E2078" t="str">
            <v>CHIS690</v>
          </cell>
        </row>
        <row r="2079">
          <cell r="C2079" t="str">
            <v>Ind St:</v>
          </cell>
          <cell r="D2079" t="str">
            <v>Ind St:</v>
          </cell>
          <cell r="E2079" t="str">
            <v>CHIS690</v>
          </cell>
        </row>
        <row r="2080">
          <cell r="C2080" t="str">
            <v>Directed Rdg in Church History</v>
          </cell>
          <cell r="D2080" t="str">
            <v>Directed Rdg in Church History</v>
          </cell>
          <cell r="E2080" t="str">
            <v>CHIS890</v>
          </cell>
        </row>
        <row r="2081">
          <cell r="C2081" t="str">
            <v>Directed Rdg in Church History</v>
          </cell>
          <cell r="D2081" t="str">
            <v>Directed Rdg in Church History</v>
          </cell>
          <cell r="E2081" t="str">
            <v>CHIS890</v>
          </cell>
        </row>
        <row r="2082">
          <cell r="C2082" t="str">
            <v>Directed Rdg Adventist Studies</v>
          </cell>
          <cell r="D2082" t="str">
            <v>Directed Rdg Adventist Studies</v>
          </cell>
          <cell r="E2082" t="str">
            <v>CHIS895</v>
          </cell>
        </row>
        <row r="2083">
          <cell r="C2083" t="str">
            <v>Directed Rdg Adventist Studies</v>
          </cell>
          <cell r="D2083" t="str">
            <v>Directed Rdg Adventist Studies</v>
          </cell>
          <cell r="E2083" t="str">
            <v>CHIS895</v>
          </cell>
        </row>
        <row r="2084">
          <cell r="C2084" t="str">
            <v>Directed Rdg Adventist Studies</v>
          </cell>
          <cell r="D2084" t="str">
            <v>Directed Rdg Adventist Studies</v>
          </cell>
          <cell r="E2084" t="str">
            <v>CHIS895</v>
          </cell>
        </row>
        <row r="2085">
          <cell r="C2085" t="str">
            <v>Ind Stdy:</v>
          </cell>
          <cell r="D2085" t="str">
            <v>Independent Study</v>
          </cell>
          <cell r="E2085" t="str">
            <v>CHMN690</v>
          </cell>
        </row>
        <row r="2086">
          <cell r="C2086" t="str">
            <v>Ind Stdy:</v>
          </cell>
          <cell r="D2086" t="str">
            <v>Independent Study</v>
          </cell>
          <cell r="E2086" t="str">
            <v>CHMN690</v>
          </cell>
        </row>
        <row r="2087">
          <cell r="C2087" t="str">
            <v>Ind Stdy:</v>
          </cell>
          <cell r="D2087" t="str">
            <v>Independent Study</v>
          </cell>
          <cell r="E2087" t="str">
            <v>CHMN690</v>
          </cell>
        </row>
        <row r="2088">
          <cell r="C2088" t="str">
            <v>Ind Stdy:</v>
          </cell>
          <cell r="D2088" t="str">
            <v>Independent Study</v>
          </cell>
          <cell r="E2088" t="str">
            <v>CHMN690</v>
          </cell>
        </row>
        <row r="2089">
          <cell r="C2089" t="str">
            <v>Ind Stdy:</v>
          </cell>
          <cell r="D2089" t="str">
            <v>Independent Study</v>
          </cell>
          <cell r="E2089" t="str">
            <v>CHMN690</v>
          </cell>
        </row>
        <row r="2090">
          <cell r="C2090" t="str">
            <v>Ind Stdy:</v>
          </cell>
          <cell r="D2090" t="str">
            <v>Independent Study</v>
          </cell>
          <cell r="E2090" t="str">
            <v>CHMN690</v>
          </cell>
        </row>
        <row r="2091">
          <cell r="C2091" t="str">
            <v>Directed Rdgs in Church Min</v>
          </cell>
          <cell r="D2091" t="str">
            <v>Directed Rdgs in Church Min</v>
          </cell>
          <cell r="E2091" t="str">
            <v>CHMN890</v>
          </cell>
        </row>
        <row r="2092">
          <cell r="C2092" t="str">
            <v>Directed Rdgs in Church Min</v>
          </cell>
          <cell r="D2092" t="str">
            <v>Directed Rdgs in Church Min</v>
          </cell>
          <cell r="E2092" t="str">
            <v>CHMN890</v>
          </cell>
        </row>
        <row r="2093">
          <cell r="C2093" t="str">
            <v>Directed Rdgs in Church Min</v>
          </cell>
          <cell r="D2093" t="str">
            <v>Directed Rdgs in Church Min</v>
          </cell>
          <cell r="E2093" t="str">
            <v>CHMN890</v>
          </cell>
        </row>
        <row r="2094">
          <cell r="C2094" t="str">
            <v>Directed Rdgs in Church Min</v>
          </cell>
          <cell r="D2094" t="str">
            <v>Directed Rdgs in Church Min</v>
          </cell>
          <cell r="E2094" t="str">
            <v>CHMN890</v>
          </cell>
        </row>
        <row r="2095">
          <cell r="C2095" t="str">
            <v>Directed Rdgs in Church Min</v>
          </cell>
          <cell r="D2095" t="str">
            <v>Directed Rdgs in Church Min</v>
          </cell>
          <cell r="E2095" t="str">
            <v>CHMN890</v>
          </cell>
        </row>
        <row r="2096">
          <cell r="C2096" t="str">
            <v>Directed Rdgs in Church Min</v>
          </cell>
          <cell r="D2096" t="str">
            <v>Directed Rdgs in Church Min</v>
          </cell>
          <cell r="E2096" t="str">
            <v>CHMN890</v>
          </cell>
        </row>
        <row r="2097">
          <cell r="C2097" t="str">
            <v>Directed Rdgs in Church Min</v>
          </cell>
          <cell r="D2097" t="str">
            <v>Directed Rdgs in Church Min</v>
          </cell>
          <cell r="E2097" t="str">
            <v>CHMN890</v>
          </cell>
        </row>
        <row r="2098">
          <cell r="C2098" t="str">
            <v>Directed Rdgs in Church Min</v>
          </cell>
          <cell r="D2098" t="str">
            <v>Directed Rdgs in Church Min</v>
          </cell>
          <cell r="E2098" t="str">
            <v>CHMN890</v>
          </cell>
        </row>
        <row r="2099">
          <cell r="C2099" t="str">
            <v>Directed Rdgs in Church Min</v>
          </cell>
          <cell r="D2099" t="str">
            <v>Directed Rdgs in Church Min</v>
          </cell>
          <cell r="E2099" t="str">
            <v>CHMN890</v>
          </cell>
        </row>
        <row r="2100">
          <cell r="C2100" t="str">
            <v>Directed Rdgs in Church Min</v>
          </cell>
          <cell r="D2100" t="str">
            <v>Directed Rdgs in Church Min</v>
          </cell>
          <cell r="E2100" t="str">
            <v>CHMN890</v>
          </cell>
        </row>
        <row r="2101">
          <cell r="C2101" t="str">
            <v>Directed Rdgs in Church Min</v>
          </cell>
          <cell r="D2101" t="str">
            <v>Directed Rdgs in Church Min</v>
          </cell>
          <cell r="E2101" t="str">
            <v>CHMN890</v>
          </cell>
        </row>
        <row r="2102">
          <cell r="C2102" t="str">
            <v>Ind St:</v>
          </cell>
          <cell r="D2102" t="str">
            <v>Ind St:</v>
          </cell>
          <cell r="E2102" t="str">
            <v>DSRE690</v>
          </cell>
        </row>
        <row r="2103">
          <cell r="C2103" t="str">
            <v>Ind St:</v>
          </cell>
          <cell r="D2103" t="str">
            <v>Ind St:</v>
          </cell>
          <cell r="E2103" t="str">
            <v>DSRE690</v>
          </cell>
        </row>
        <row r="2104">
          <cell r="C2104" t="str">
            <v>Ind St:</v>
          </cell>
          <cell r="D2104" t="str">
            <v>Ind St:</v>
          </cell>
          <cell r="E2104" t="str">
            <v>DSRE690</v>
          </cell>
        </row>
        <row r="2105">
          <cell r="C2105" t="str">
            <v>Ind St:</v>
          </cell>
          <cell r="D2105" t="str">
            <v>Ind St:</v>
          </cell>
          <cell r="E2105" t="str">
            <v>DSRE690</v>
          </cell>
        </row>
        <row r="2106">
          <cell r="C2106" t="str">
            <v>Applied Research</v>
          </cell>
          <cell r="D2106" t="str">
            <v>Applied Research</v>
          </cell>
          <cell r="E2106" t="str">
            <v>DSRE887</v>
          </cell>
        </row>
        <row r="2107">
          <cell r="C2107" t="str">
            <v>Ind St:</v>
          </cell>
          <cell r="D2107" t="str">
            <v>Ind St:</v>
          </cell>
          <cell r="E2107" t="str">
            <v>NTST690</v>
          </cell>
        </row>
        <row r="2108">
          <cell r="C2108" t="str">
            <v>Ind St:</v>
          </cell>
          <cell r="D2108" t="str">
            <v>Ind St:</v>
          </cell>
          <cell r="E2108" t="str">
            <v>NTST690</v>
          </cell>
        </row>
        <row r="2109">
          <cell r="C2109" t="str">
            <v>Directed Rdg in New Testament</v>
          </cell>
          <cell r="D2109" t="str">
            <v>Directed Rdg in New Testament</v>
          </cell>
          <cell r="E2109" t="str">
            <v>NTST890</v>
          </cell>
        </row>
        <row r="2110">
          <cell r="C2110" t="str">
            <v>Ind St:</v>
          </cell>
          <cell r="D2110" t="str">
            <v>Ind St:</v>
          </cell>
          <cell r="E2110" t="str">
            <v>OTST690</v>
          </cell>
        </row>
        <row r="2111">
          <cell r="C2111" t="str">
            <v>Minor Prophets</v>
          </cell>
          <cell r="E2111" t="str">
            <v>OTST675</v>
          </cell>
        </row>
        <row r="2112">
          <cell r="C2112" t="str">
            <v>Prophets</v>
          </cell>
          <cell r="E2112" t="str">
            <v>OTST555</v>
          </cell>
        </row>
        <row r="2113">
          <cell r="C2113" t="str">
            <v>Ind St:</v>
          </cell>
          <cell r="D2113" t="str">
            <v>Ind St:</v>
          </cell>
          <cell r="E2113" t="str">
            <v>CHIS690</v>
          </cell>
        </row>
        <row r="2114">
          <cell r="C2114" t="str">
            <v>Topics in Church History:</v>
          </cell>
          <cell r="D2114" t="str">
            <v>Topics in Church History:</v>
          </cell>
          <cell r="E2114" t="str">
            <v>CHIS695</v>
          </cell>
        </row>
        <row r="2115">
          <cell r="C2115" t="str">
            <v>Topics in Church History:</v>
          </cell>
          <cell r="D2115" t="str">
            <v>Topics in Church History:</v>
          </cell>
          <cell r="E2115" t="str">
            <v>CHIS695</v>
          </cell>
        </row>
        <row r="2116">
          <cell r="C2116" t="str">
            <v>Topics in Church History:</v>
          </cell>
          <cell r="D2116" t="str">
            <v>Topics in Church History:</v>
          </cell>
          <cell r="E2116" t="str">
            <v>CHIS695</v>
          </cell>
        </row>
        <row r="2117">
          <cell r="C2117" t="str">
            <v>Topics in Church History:</v>
          </cell>
          <cell r="D2117" t="str">
            <v>Topics in Church History:</v>
          </cell>
          <cell r="E2117" t="str">
            <v>CHIS695</v>
          </cell>
        </row>
        <row r="2118">
          <cell r="C2118" t="str">
            <v>Directed Rdg in Church History</v>
          </cell>
          <cell r="D2118" t="str">
            <v>Directed Rdg in Church History</v>
          </cell>
          <cell r="E2118" t="str">
            <v>CHIS890</v>
          </cell>
        </row>
        <row r="2119">
          <cell r="C2119" t="str">
            <v>Seminar in Church History:</v>
          </cell>
          <cell r="D2119" t="str">
            <v>Seminar</v>
          </cell>
          <cell r="E2119" t="str">
            <v>CHIS940</v>
          </cell>
        </row>
        <row r="2120">
          <cell r="C2120" t="str">
            <v>Ind Stdy:</v>
          </cell>
          <cell r="D2120" t="str">
            <v>Independent Study</v>
          </cell>
          <cell r="E2120" t="str">
            <v>CHMN690</v>
          </cell>
        </row>
        <row r="2121">
          <cell r="C2121" t="str">
            <v>Ind Stdy:</v>
          </cell>
          <cell r="D2121" t="str">
            <v>Independent Study</v>
          </cell>
          <cell r="E2121" t="str">
            <v>CHMN690</v>
          </cell>
        </row>
        <row r="2122">
          <cell r="C2122" t="str">
            <v>Ind Stdy:</v>
          </cell>
          <cell r="D2122" t="str">
            <v>Independent Study</v>
          </cell>
          <cell r="E2122" t="str">
            <v>CHMN690</v>
          </cell>
        </row>
        <row r="2123">
          <cell r="C2123" t="str">
            <v>Ind Stdy:</v>
          </cell>
          <cell r="D2123" t="str">
            <v>Independent Study</v>
          </cell>
          <cell r="E2123" t="str">
            <v>CHMN690</v>
          </cell>
        </row>
        <row r="2124">
          <cell r="C2124" t="str">
            <v>Directed Rdgs in Church Min</v>
          </cell>
          <cell r="D2124" t="str">
            <v>Directed Rdgs in Church Min</v>
          </cell>
          <cell r="E2124" t="str">
            <v>CHMN890</v>
          </cell>
        </row>
        <row r="2125">
          <cell r="C2125" t="str">
            <v>Adv Studies:</v>
          </cell>
          <cell r="D2125" t="str">
            <v>Adv Studies:</v>
          </cell>
          <cell r="E2125" t="str">
            <v>DSRE870</v>
          </cell>
        </row>
        <row r="2126">
          <cell r="C2126" t="str">
            <v>PhD (Rel Education) Prog Cont</v>
          </cell>
          <cell r="D2126" t="str">
            <v>PhD (Rel Education) Prog Cont</v>
          </cell>
          <cell r="E2126" t="str">
            <v>DSRE880</v>
          </cell>
        </row>
        <row r="2127">
          <cell r="C2127" t="str">
            <v>Ind St:</v>
          </cell>
          <cell r="D2127" t="str">
            <v>Ind St:</v>
          </cell>
          <cell r="E2127" t="str">
            <v>NTST690</v>
          </cell>
        </row>
        <row r="2128">
          <cell r="C2128" t="str">
            <v>Christian Leadership</v>
          </cell>
          <cell r="E2128" t="str">
            <v>CHMN747</v>
          </cell>
        </row>
        <row r="2129">
          <cell r="C2129" t="str">
            <v>Top:</v>
          </cell>
          <cell r="E2129" t="str">
            <v>DSRE676</v>
          </cell>
        </row>
        <row r="2130">
          <cell r="C2130" t="str">
            <v>Studies in Pauline Writings</v>
          </cell>
          <cell r="E2130" t="str">
            <v>NTST535</v>
          </cell>
        </row>
        <row r="2131">
          <cell r="C2131" t="str">
            <v>Top:</v>
          </cell>
          <cell r="D2131" t="str">
            <v>Top:Philosophcal Found.</v>
          </cell>
          <cell r="E2131" t="str">
            <v>DSRE676</v>
          </cell>
        </row>
        <row r="2132">
          <cell r="C2132" t="str">
            <v>Studies in Pauline Writings</v>
          </cell>
          <cell r="D2132" t="str">
            <v>Rdngs int the Pauline Writings</v>
          </cell>
          <cell r="E2132" t="str">
            <v>NTST535</v>
          </cell>
        </row>
        <row r="2133">
          <cell r="C2133" t="str">
            <v>Church Grwth&amp; Equipping Pastor</v>
          </cell>
          <cell r="E2133" t="str">
            <v>CHMN539</v>
          </cell>
        </row>
        <row r="2134">
          <cell r="C2134" t="str">
            <v>Directed Rdgs in Church Min</v>
          </cell>
          <cell r="D2134" t="str">
            <v>Directed Rdgs in Church Min</v>
          </cell>
          <cell r="E2134" t="str">
            <v>CHMN890</v>
          </cell>
        </row>
        <row r="2135">
          <cell r="C2135" t="str">
            <v>Revelation</v>
          </cell>
          <cell r="D2135" t="str">
            <v>Revelation</v>
          </cell>
          <cell r="E2135" t="str">
            <v>NTST525</v>
          </cell>
        </row>
        <row r="2136">
          <cell r="C2136" t="str">
            <v>Daniel</v>
          </cell>
          <cell r="D2136" t="str">
            <v>Daniel</v>
          </cell>
          <cell r="E2136" t="str">
            <v>OTST545</v>
          </cell>
        </row>
        <row r="2137">
          <cell r="C2137" t="str">
            <v>New Testament Archaeology</v>
          </cell>
          <cell r="E2137" t="str">
            <v>NTST615</v>
          </cell>
        </row>
        <row r="2138">
          <cell r="C2138" t="str">
            <v>Independent Study</v>
          </cell>
          <cell r="E2138" t="str">
            <v>ANEA690</v>
          </cell>
        </row>
        <row r="2139">
          <cell r="C2139" t="str">
            <v>DMin Prof Dissertation Sem</v>
          </cell>
          <cell r="E2139" t="str">
            <v>GSEM790</v>
          </cell>
        </row>
        <row r="2140">
          <cell r="C2140" t="str">
            <v>Development SDA Theology</v>
          </cell>
          <cell r="E2140" t="str">
            <v>CHIS674</v>
          </cell>
        </row>
        <row r="2141">
          <cell r="C2141" t="str">
            <v>Field Practicum</v>
          </cell>
          <cell r="D2141" t="str">
            <v>Field Practicum</v>
          </cell>
          <cell r="E2141" t="str">
            <v>CHMN660</v>
          </cell>
        </row>
        <row r="2142">
          <cell r="C2142" t="str">
            <v>Seminar in Preaching</v>
          </cell>
          <cell r="E2142" t="str">
            <v>CHMN637</v>
          </cell>
        </row>
        <row r="2143">
          <cell r="C2143" t="str">
            <v>Stud in the Pentateuch (Engl)</v>
          </cell>
          <cell r="E2143" t="str">
            <v>OTST566</v>
          </cell>
        </row>
        <row r="2144">
          <cell r="C2144" t="str">
            <v>Workshop</v>
          </cell>
          <cell r="D2144" t="str">
            <v>Workshop:Worship Word &amp; Music</v>
          </cell>
          <cell r="E2144" t="str">
            <v>GSEM648</v>
          </cell>
        </row>
        <row r="2145">
          <cell r="C2145" t="str">
            <v>Ministry to Youth&amp;Yng Adlt</v>
          </cell>
          <cell r="E2145" t="str">
            <v>DSRE534</v>
          </cell>
        </row>
        <row r="2146">
          <cell r="C2146" t="str">
            <v>Relg Experience in Adolescence</v>
          </cell>
          <cell r="E2146" t="str">
            <v>DSRE619</v>
          </cell>
        </row>
        <row r="2147">
          <cell r="C2147" t="str">
            <v>Directed Rdgs in Church Min</v>
          </cell>
          <cell r="E2147" t="str">
            <v>CHMN890</v>
          </cell>
        </row>
        <row r="2148">
          <cell r="C2148" t="str">
            <v>Clinical Issues in Care&amp;Counsl</v>
          </cell>
          <cell r="E2148" t="str">
            <v>CHMN786</v>
          </cell>
        </row>
        <row r="2149">
          <cell r="C2149" t="str">
            <v>Survey of Church History</v>
          </cell>
          <cell r="E2149" t="str">
            <v>CHIS505</v>
          </cell>
        </row>
        <row r="2150">
          <cell r="C2150" t="str">
            <v>Archaeological Field Work</v>
          </cell>
          <cell r="E2150" t="str">
            <v>ANEA630</v>
          </cell>
        </row>
        <row r="2151">
          <cell r="C2151" t="str">
            <v>Ind St:</v>
          </cell>
          <cell r="E2151" t="str">
            <v>OTST690</v>
          </cell>
        </row>
        <row r="2152">
          <cell r="C2152" t="str">
            <v>Roman Catholic Life &amp; Thought</v>
          </cell>
          <cell r="E2152" t="str">
            <v>THST627</v>
          </cell>
        </row>
        <row r="2153">
          <cell r="C2153" t="str">
            <v>Doctrine of Salvation</v>
          </cell>
          <cell r="E2153" t="str">
            <v>THST540</v>
          </cell>
        </row>
        <row r="2154">
          <cell r="C2154" t="str">
            <v>Ministry to Youth&amp;Yng Adlt</v>
          </cell>
          <cell r="E2154" t="str">
            <v>DSRE534</v>
          </cell>
        </row>
        <row r="2155">
          <cell r="C2155" t="str">
            <v>Seminar in Preaching</v>
          </cell>
          <cell r="E2155" t="str">
            <v>CHMN637</v>
          </cell>
        </row>
        <row r="2156">
          <cell r="C2156" t="str">
            <v>Ind St:</v>
          </cell>
          <cell r="D2156" t="str">
            <v>Ind St:Spir&amp;Theo Found Ministr</v>
          </cell>
          <cell r="E2156" t="str">
            <v>GSEM797</v>
          </cell>
        </row>
        <row r="2157">
          <cell r="C2157" t="str">
            <v>Adv Ldshp Competencies</v>
          </cell>
          <cell r="E2157" t="str">
            <v>CHMN760</v>
          </cell>
        </row>
        <row r="2158">
          <cell r="C2158" t="str">
            <v>Ind St:</v>
          </cell>
          <cell r="D2158" t="str">
            <v>Ind St:Pauline Writings</v>
          </cell>
          <cell r="E2158" t="str">
            <v>NTST690</v>
          </cell>
        </row>
        <row r="2159">
          <cell r="C2159" t="str">
            <v>Development SDA Theology</v>
          </cell>
          <cell r="E2159" t="str">
            <v>CHIS674</v>
          </cell>
        </row>
        <row r="2160">
          <cell r="C2160" t="str">
            <v>Sem Social Sciences&amp;Mission</v>
          </cell>
          <cell r="D2160" t="str">
            <v>Sem Social Sciences&amp;Mission</v>
          </cell>
          <cell r="E2160" t="str">
            <v>MSSN828</v>
          </cell>
        </row>
        <row r="2161">
          <cell r="C2161" t="str">
            <v>Mssn Church in West Culture</v>
          </cell>
          <cell r="E2161" t="str">
            <v>CHMN704</v>
          </cell>
        </row>
        <row r="2162">
          <cell r="C2162" t="str">
            <v>DMin Prof Dissertation Sem</v>
          </cell>
          <cell r="E2162" t="str">
            <v>GSEM790</v>
          </cell>
        </row>
        <row r="2163">
          <cell r="C2163" t="str">
            <v>Studies in Hebrews</v>
          </cell>
          <cell r="E2163" t="str">
            <v>NTST538</v>
          </cell>
        </row>
        <row r="2164">
          <cell r="C2164" t="str">
            <v>Ind St:</v>
          </cell>
          <cell r="D2164" t="str">
            <v>Ind St:Church History Tour</v>
          </cell>
          <cell r="E2164" t="str">
            <v>CHIS690</v>
          </cell>
        </row>
        <row r="2165">
          <cell r="C2165" t="str">
            <v>Int Mid East Lang, Culture&amp;Hst</v>
          </cell>
          <cell r="E2165" t="str">
            <v>OTST515</v>
          </cell>
        </row>
        <row r="2166">
          <cell r="C2166" t="str">
            <v>Christian Personal Ethics</v>
          </cell>
          <cell r="E2166" t="str">
            <v>THST600</v>
          </cell>
        </row>
        <row r="2167">
          <cell r="C2167" t="str">
            <v>Directed Rdg in New Testament</v>
          </cell>
          <cell r="D2167" t="str">
            <v>Directed Rdg in New Testament</v>
          </cell>
          <cell r="E2167" t="str">
            <v>NTST890</v>
          </cell>
        </row>
        <row r="2168">
          <cell r="C2168" t="str">
            <v>Exegesis of the English NT:</v>
          </cell>
          <cell r="E2168" t="str">
            <v>NTST550</v>
          </cell>
        </row>
        <row r="2169">
          <cell r="C2169" t="str">
            <v>Adv Ministerial Development</v>
          </cell>
          <cell r="D2169" t="str">
            <v>Theological Field Education</v>
          </cell>
          <cell r="E2169" t="str">
            <v>CHMN560</v>
          </cell>
        </row>
        <row r="2170">
          <cell r="C2170" t="str">
            <v>Field Evangelistic Preach Prac</v>
          </cell>
          <cell r="D2170" t="str">
            <v>Field Evang Prching Practicum</v>
          </cell>
          <cell r="E2170" t="str">
            <v>CHMN662</v>
          </cell>
        </row>
        <row r="2171">
          <cell r="C2171" t="str">
            <v>Workshop</v>
          </cell>
          <cell r="D2171" t="str">
            <v>Workshop: Advanced SEEDS</v>
          </cell>
          <cell r="E2171" t="str">
            <v>GSEM648</v>
          </cell>
        </row>
        <row r="2172">
          <cell r="C2172" t="str">
            <v>Studies Old Testament Issues</v>
          </cell>
          <cell r="E2172" t="str">
            <v>OTST659</v>
          </cell>
        </row>
        <row r="2173">
          <cell r="C2173" t="str">
            <v>Archaeology and the Bible</v>
          </cell>
          <cell r="E2173" t="str">
            <v>ANEA510</v>
          </cell>
        </row>
        <row r="2174">
          <cell r="C2174" t="str">
            <v>Mission &amp; the Social Sciences</v>
          </cell>
          <cell r="E2174" t="str">
            <v>MSSN728</v>
          </cell>
        </row>
        <row r="2175">
          <cell r="C2175" t="str">
            <v>Top:</v>
          </cell>
          <cell r="D2175" t="str">
            <v>Top:World Religions (Emphasis)</v>
          </cell>
          <cell r="E2175" t="str">
            <v>MSSN795</v>
          </cell>
        </row>
        <row r="2176">
          <cell r="C2176" t="str">
            <v>Paleo-Christian Archaeology</v>
          </cell>
          <cell r="E2176" t="str">
            <v>ANEA613</v>
          </cell>
        </row>
        <row r="2177">
          <cell r="C2177" t="str">
            <v>Field Evangelism</v>
          </cell>
          <cell r="E2177" t="str">
            <v>CHMN562</v>
          </cell>
        </row>
        <row r="2178">
          <cell r="C2178" t="str">
            <v>Exegesis of the English NT:</v>
          </cell>
          <cell r="E2178" t="str">
            <v>NTST550</v>
          </cell>
        </row>
        <row r="2179">
          <cell r="C2179" t="str">
            <v>Pastoral Counseling</v>
          </cell>
          <cell r="E2179" t="str">
            <v>CHMN555</v>
          </cell>
        </row>
        <row r="2180">
          <cell r="C2180" t="str">
            <v>Readings in the OT (English)</v>
          </cell>
          <cell r="E2180" t="str">
            <v>OTST570</v>
          </cell>
        </row>
        <row r="2181">
          <cell r="C2181" t="str">
            <v>Doctrine of Salvation</v>
          </cell>
          <cell r="E2181" t="str">
            <v>THST540</v>
          </cell>
        </row>
        <row r="2182">
          <cell r="C2182" t="str">
            <v>Hist of Christian Mission</v>
          </cell>
          <cell r="E2182" t="str">
            <v>MSSN676</v>
          </cell>
        </row>
        <row r="2183">
          <cell r="C2183" t="str">
            <v>Research Project</v>
          </cell>
          <cell r="E2183" t="str">
            <v>GSEM695</v>
          </cell>
        </row>
        <row r="2184">
          <cell r="C2184" t="str">
            <v>Ind St:</v>
          </cell>
          <cell r="E2184" t="str">
            <v>MSSN690</v>
          </cell>
        </row>
        <row r="2185">
          <cell r="C2185" t="str">
            <v>Witn People Another Rlg:</v>
          </cell>
          <cell r="E2185" t="str">
            <v>MSSN660</v>
          </cell>
        </row>
        <row r="2186">
          <cell r="C2186" t="str">
            <v>Mission to the World</v>
          </cell>
          <cell r="E2186" t="str">
            <v>MSSN525</v>
          </cell>
        </row>
        <row r="2187">
          <cell r="C2187" t="str">
            <v>Mission to the Cities</v>
          </cell>
          <cell r="E2187" t="str">
            <v>MSSN618</v>
          </cell>
        </row>
        <row r="2188">
          <cell r="C2188" t="str">
            <v>Theology of Mission</v>
          </cell>
          <cell r="E2188" t="str">
            <v>MSSN610</v>
          </cell>
        </row>
        <row r="2189">
          <cell r="C2189" t="str">
            <v>Public Evangelism (Hispanic)</v>
          </cell>
          <cell r="E2189" t="str">
            <v>CHMN514</v>
          </cell>
        </row>
        <row r="2190">
          <cell r="C2190" t="str">
            <v>Leading Growth</v>
          </cell>
          <cell r="E2190" t="str">
            <v>CHMN779</v>
          </cell>
        </row>
        <row r="2191">
          <cell r="C2191" t="str">
            <v>Public Evangelism (Hispanic)</v>
          </cell>
          <cell r="E2191" t="str">
            <v>CHMN514</v>
          </cell>
        </row>
        <row r="2192">
          <cell r="C2192" t="str">
            <v>Ind St:</v>
          </cell>
          <cell r="D2192" t="str">
            <v>Ind St:Sprtl Theo Fndatns Min</v>
          </cell>
          <cell r="E2192" t="str">
            <v>GSEM797</v>
          </cell>
        </row>
        <row r="2193">
          <cell r="C2193" t="str">
            <v>Ind Stdy:</v>
          </cell>
          <cell r="E2193" t="str">
            <v>CHMN690</v>
          </cell>
        </row>
        <row r="2194">
          <cell r="C2194" t="str">
            <v>DMin Prof Dissertation Cont</v>
          </cell>
          <cell r="E2194" t="str">
            <v>GSEM788</v>
          </cell>
        </row>
        <row r="2195">
          <cell r="C2195" t="str">
            <v>Field Practicum:________</v>
          </cell>
          <cell r="D2195" t="str">
            <v>Field Practicum: Leadership</v>
          </cell>
          <cell r="E2195" t="str">
            <v>DSRE680</v>
          </cell>
        </row>
        <row r="2196">
          <cell r="C2196" t="str">
            <v>Conflict Management</v>
          </cell>
          <cell r="E2196" t="str">
            <v>CHMN526</v>
          </cell>
        </row>
        <row r="2197">
          <cell r="C2197" t="str">
            <v>Public Evangelism (Hispanic)</v>
          </cell>
          <cell r="E2197" t="str">
            <v>CHMN514</v>
          </cell>
        </row>
        <row r="2198">
          <cell r="C2198" t="str">
            <v>Ministry to Youth&amp;Yng Adlt</v>
          </cell>
          <cell r="E2198" t="str">
            <v>DSRE534</v>
          </cell>
        </row>
        <row r="2199">
          <cell r="C2199" t="str">
            <v>Church Grwth&amp; Equipping Pastor</v>
          </cell>
          <cell r="E2199" t="str">
            <v>CHMN539</v>
          </cell>
        </row>
        <row r="2200">
          <cell r="C2200" t="str">
            <v>PhD-ThD Dissertation</v>
          </cell>
          <cell r="E2200" t="str">
            <v>GSEM995</v>
          </cell>
        </row>
        <row r="2201">
          <cell r="C2201" t="str">
            <v>Ind St:</v>
          </cell>
          <cell r="D2201" t="str">
            <v>Ind St:</v>
          </cell>
          <cell r="E2201" t="str">
            <v>OTST690</v>
          </cell>
        </row>
        <row r="2202">
          <cell r="C2202" t="str">
            <v>Ind St:</v>
          </cell>
          <cell r="E2202" t="str">
            <v>THST690</v>
          </cell>
        </row>
        <row r="2203">
          <cell r="C2203" t="str">
            <v>Ind St:</v>
          </cell>
          <cell r="E2203" t="str">
            <v>CHIS690</v>
          </cell>
        </row>
        <row r="2204">
          <cell r="C2204" t="str">
            <v>Ind St:</v>
          </cell>
          <cell r="E2204" t="str">
            <v>OTST690</v>
          </cell>
        </row>
        <row r="2205">
          <cell r="C2205" t="str">
            <v>Ind St:</v>
          </cell>
          <cell r="E2205" t="str">
            <v>NTST690</v>
          </cell>
        </row>
        <row r="2206">
          <cell r="C2206" t="str">
            <v>Top:</v>
          </cell>
          <cell r="D2206" t="str">
            <v>Top:Sanctuary Doctrine</v>
          </cell>
          <cell r="E2206" t="str">
            <v>THST695</v>
          </cell>
        </row>
        <row r="2207">
          <cell r="C2207" t="str">
            <v>Workshop</v>
          </cell>
          <cell r="D2207" t="str">
            <v>Workshop: SEEDS</v>
          </cell>
          <cell r="E2207" t="str">
            <v>GSEM648</v>
          </cell>
        </row>
        <row r="2208">
          <cell r="C2208" t="str">
            <v>Christian Witness&amp;Wrld Relgns</v>
          </cell>
          <cell r="E2208" t="str">
            <v>MSSN561</v>
          </cell>
        </row>
        <row r="2209">
          <cell r="C2209" t="str">
            <v>Fndtns of Biblicl Spirituality</v>
          </cell>
          <cell r="E2209" t="str">
            <v>DSRE541</v>
          </cell>
        </row>
        <row r="2210">
          <cell r="C2210" t="str">
            <v>Top:</v>
          </cell>
          <cell r="D2210" t="str">
            <v>Topics:Sanctuary Doctrine</v>
          </cell>
          <cell r="E2210" t="str">
            <v>THST695</v>
          </cell>
        </row>
        <row r="2211">
          <cell r="C2211" t="str">
            <v>Seminar in Preaching</v>
          </cell>
          <cell r="E2211" t="str">
            <v>CHMN637</v>
          </cell>
        </row>
        <row r="2212">
          <cell r="C2212" t="str">
            <v>Exegesis of the English NT:</v>
          </cell>
          <cell r="E2212" t="str">
            <v>NTST550</v>
          </cell>
        </row>
        <row r="2213">
          <cell r="C2213" t="str">
            <v>Innovative Evangelism</v>
          </cell>
          <cell r="E2213" t="str">
            <v>CHMN623</v>
          </cell>
        </row>
        <row r="2214">
          <cell r="C2214" t="str">
            <v>Adv Ministerial Development</v>
          </cell>
          <cell r="E2214" t="str">
            <v>CHMN560</v>
          </cell>
        </row>
        <row r="2215">
          <cell r="C2215" t="str">
            <v>Family Dynamics and Sexuality</v>
          </cell>
          <cell r="E2215" t="str">
            <v>DSRE748</v>
          </cell>
        </row>
        <row r="2216">
          <cell r="C2216" t="str">
            <v>Field Evangelism</v>
          </cell>
          <cell r="E2216" t="str">
            <v>CHMN562</v>
          </cell>
        </row>
        <row r="2217">
          <cell r="C2217" t="str">
            <v>Readings in the OT (English)</v>
          </cell>
          <cell r="D2217" t="str">
            <v>Readings in the Eng OT:Daniel</v>
          </cell>
          <cell r="E2217" t="str">
            <v>OTST570</v>
          </cell>
        </row>
        <row r="2218">
          <cell r="C2218" t="str">
            <v>Studies in Daniel (Engl)</v>
          </cell>
          <cell r="E2218" t="str">
            <v>OTST546</v>
          </cell>
        </row>
        <row r="2219">
          <cell r="C2219" t="str">
            <v>Internal Dynamics of Families</v>
          </cell>
          <cell r="E2219" t="str">
            <v>DSRE658</v>
          </cell>
        </row>
        <row r="2220">
          <cell r="C2220" t="str">
            <v>Marriage &amp; Family</v>
          </cell>
          <cell r="E2220" t="str">
            <v>DSRE546</v>
          </cell>
        </row>
        <row r="2221">
          <cell r="C2221" t="str">
            <v>Teaching for Discipleship</v>
          </cell>
          <cell r="E2221" t="str">
            <v>DSRE610</v>
          </cell>
        </row>
        <row r="2222">
          <cell r="C2222" t="str">
            <v>Human Nature &amp; Destiny</v>
          </cell>
          <cell r="E2222" t="str">
            <v>THST647</v>
          </cell>
        </row>
        <row r="2223">
          <cell r="C2223" t="str">
            <v>Doctoral Dissertation</v>
          </cell>
          <cell r="D2223" t="str">
            <v>Doctoral Dissertation</v>
          </cell>
          <cell r="E2223" t="str">
            <v>DSRE995</v>
          </cell>
        </row>
        <row r="2224">
          <cell r="C2224" t="str">
            <v>The Early Church to AD 604</v>
          </cell>
          <cell r="D2224" t="str">
            <v>The Early Church to AD 604</v>
          </cell>
          <cell r="E2224" t="str">
            <v>CHIS600</v>
          </cell>
        </row>
        <row r="2225">
          <cell r="C2225" t="str">
            <v>Advent Hist,Life&amp;Writings EGW</v>
          </cell>
          <cell r="E2225" t="str">
            <v>CHIS504</v>
          </cell>
        </row>
        <row r="2226">
          <cell r="C2226" t="str">
            <v>Human Nature &amp; Destiny</v>
          </cell>
          <cell r="E2226" t="str">
            <v>THST647</v>
          </cell>
        </row>
        <row r="2227">
          <cell r="C2227" t="str">
            <v>Leadership Development</v>
          </cell>
          <cell r="E2227" t="str">
            <v>CHMN630</v>
          </cell>
        </row>
        <row r="2228">
          <cell r="C2228" t="str">
            <v>Relg &amp; the Black Experience</v>
          </cell>
          <cell r="E2228" t="str">
            <v>CHMN548</v>
          </cell>
        </row>
        <row r="2229">
          <cell r="C2229" t="str">
            <v>Biblical Hebrew I</v>
          </cell>
          <cell r="D2229" t="str">
            <v>Biblical Hebrew I</v>
          </cell>
          <cell r="E2229" t="str">
            <v>OTST551</v>
          </cell>
        </row>
        <row r="2230">
          <cell r="C2230" t="str">
            <v>Workshop</v>
          </cell>
          <cell r="D2230" t="str">
            <v>Wrkshp:Preparation for Mission</v>
          </cell>
          <cell r="E2230" t="str">
            <v>GSEM648</v>
          </cell>
        </row>
        <row r="2231">
          <cell r="C2231" t="str">
            <v>Top:</v>
          </cell>
          <cell r="D2231" t="str">
            <v>Top:Theology of E.G. White</v>
          </cell>
          <cell r="E2231" t="str">
            <v>THST695</v>
          </cell>
        </row>
        <row r="2232">
          <cell r="C2232" t="str">
            <v>Sem Theology of Mission</v>
          </cell>
          <cell r="D2232" t="str">
            <v>Sem Theology of Mission</v>
          </cell>
          <cell r="E2232" t="str">
            <v>MSSN826</v>
          </cell>
        </row>
        <row r="2233">
          <cell r="C2233" t="str">
            <v>Sem in Pastoral Counseling</v>
          </cell>
          <cell r="E2233" t="str">
            <v>CHMN640</v>
          </cell>
        </row>
        <row r="2234">
          <cell r="C2234" t="str">
            <v>Ind St:</v>
          </cell>
          <cell r="E2234" t="str">
            <v>THST690</v>
          </cell>
        </row>
        <row r="2235">
          <cell r="C2235" t="str">
            <v>Ind St:</v>
          </cell>
          <cell r="D2235" t="str">
            <v>Ind St:Christian Ethics</v>
          </cell>
          <cell r="E2235" t="str">
            <v>THST690</v>
          </cell>
        </row>
        <row r="2236">
          <cell r="C2236" t="str">
            <v>Ind St:</v>
          </cell>
          <cell r="E2236" t="str">
            <v>THST690</v>
          </cell>
        </row>
        <row r="2237">
          <cell r="C2237" t="str">
            <v>Sem in Systematic Theology:</v>
          </cell>
          <cell r="E2237" t="str">
            <v>THST940</v>
          </cell>
        </row>
        <row r="2238">
          <cell r="C2238" t="str">
            <v>Ministry to At-Risk Youth</v>
          </cell>
          <cell r="D2238" t="str">
            <v>Ministry to At-Risk Youth</v>
          </cell>
          <cell r="E2238" t="str">
            <v>DSRE626</v>
          </cell>
        </row>
        <row r="2239">
          <cell r="C2239" t="str">
            <v>Sem in Theological Issues:</v>
          </cell>
          <cell r="D2239" t="str">
            <v>Seminar in Theological Issues</v>
          </cell>
          <cell r="E2239" t="str">
            <v>THST649</v>
          </cell>
        </row>
        <row r="2240">
          <cell r="C2240" t="str">
            <v>Foundatns of Pastoral Ministry</v>
          </cell>
          <cell r="E2240" t="str">
            <v>CHMN552</v>
          </cell>
        </row>
        <row r="2241">
          <cell r="C2241" t="str">
            <v>Intermediate Greek</v>
          </cell>
          <cell r="E2241" t="str">
            <v>NTST552</v>
          </cell>
        </row>
        <row r="2242">
          <cell r="C2242" t="str">
            <v>Cross-Cultural Communication</v>
          </cell>
          <cell r="E2242" t="str">
            <v>CHMN585</v>
          </cell>
        </row>
        <row r="2243">
          <cell r="C2243" t="str">
            <v>Parenting Educ &amp; Guidance</v>
          </cell>
          <cell r="E2243" t="str">
            <v>DSRE679</v>
          </cell>
        </row>
        <row r="2244">
          <cell r="C2244" t="str">
            <v>Conflict Management</v>
          </cell>
          <cell r="D2244" t="str">
            <v>Conflict Management</v>
          </cell>
          <cell r="E2244" t="str">
            <v>CHMN526</v>
          </cell>
        </row>
        <row r="2245">
          <cell r="C2245" t="str">
            <v>Sem in Systematic Theology:</v>
          </cell>
          <cell r="D2245" t="str">
            <v>Sem in Systematic Theology</v>
          </cell>
          <cell r="E2245" t="str">
            <v>THST940</v>
          </cell>
        </row>
        <row r="2246">
          <cell r="C2246" t="str">
            <v>Advent Hist,Life&amp;Writings EGW</v>
          </cell>
          <cell r="E2246" t="str">
            <v>CHIS504</v>
          </cell>
        </row>
        <row r="2247">
          <cell r="C2247" t="str">
            <v>Studies in Church History</v>
          </cell>
          <cell r="E2247" t="str">
            <v>CHIS685</v>
          </cell>
        </row>
        <row r="2248">
          <cell r="C2248" t="str">
            <v>Christn Lead in a Chnging Wrld</v>
          </cell>
          <cell r="D2248" t="str">
            <v>Christn Lead in a Chnging Wrld</v>
          </cell>
          <cell r="E2248" t="str">
            <v>CHMN543</v>
          </cell>
        </row>
        <row r="2249">
          <cell r="C2249" t="str">
            <v>Beginning Greek</v>
          </cell>
          <cell r="E2249" t="str">
            <v>NTST551</v>
          </cell>
        </row>
        <row r="2250">
          <cell r="C2250" t="str">
            <v>Foundatns of Pastoral Ministry</v>
          </cell>
          <cell r="E2250" t="str">
            <v>CHMN552</v>
          </cell>
        </row>
        <row r="2251">
          <cell r="C2251" t="str">
            <v>Sem in Greek Exegesis</v>
          </cell>
          <cell r="D2251" t="str">
            <v>Semr Gr Exe:Narrative Analysis</v>
          </cell>
          <cell r="E2251" t="str">
            <v>NTST678</v>
          </cell>
        </row>
        <row r="2252">
          <cell r="C2252" t="str">
            <v>Contemporary Theology</v>
          </cell>
          <cell r="E2252" t="str">
            <v>THST628</v>
          </cell>
        </row>
        <row r="2253">
          <cell r="C2253" t="str">
            <v>Church Grwth&amp; Equipping Pastor</v>
          </cell>
          <cell r="D2253" t="str">
            <v>Church Grwth&amp; Equipping Pastor</v>
          </cell>
          <cell r="E2253" t="str">
            <v>CHMN539</v>
          </cell>
        </row>
        <row r="2254">
          <cell r="C2254" t="str">
            <v>The Bible and Biblical History</v>
          </cell>
          <cell r="E2254" t="str">
            <v>GSEM525</v>
          </cell>
        </row>
        <row r="2255">
          <cell r="C2255" t="str">
            <v>Postmodernism &amp; the Church</v>
          </cell>
          <cell r="E2255" t="str">
            <v>THST667</v>
          </cell>
        </row>
        <row r="2256">
          <cell r="C2256" t="str">
            <v>Field Practicum:MAYYAM</v>
          </cell>
          <cell r="D2256" t="str">
            <v>Field Practicum:MAYYAM</v>
          </cell>
          <cell r="E2256" t="str">
            <v>DSRE660</v>
          </cell>
        </row>
        <row r="2257">
          <cell r="C2257" t="str">
            <v>Studies in Prophets (Engl)</v>
          </cell>
          <cell r="D2257" t="str">
            <v>Rdngs Proph(Engl):Esther</v>
          </cell>
          <cell r="E2257" t="str">
            <v>OTST556</v>
          </cell>
        </row>
        <row r="2258">
          <cell r="C2258" t="str">
            <v>Doctrine of Salvation</v>
          </cell>
          <cell r="E2258" t="str">
            <v>THST540</v>
          </cell>
        </row>
        <row r="2259">
          <cell r="C2259" t="str">
            <v>Leadership Development</v>
          </cell>
          <cell r="E2259" t="str">
            <v>CHMN630</v>
          </cell>
        </row>
        <row r="2260">
          <cell r="C2260" t="str">
            <v>Mobilizing Laity Minstry Evang</v>
          </cell>
          <cell r="D2260" t="str">
            <v>Mobilizing Laity Minstry Evang</v>
          </cell>
          <cell r="E2260" t="str">
            <v>CHMN566</v>
          </cell>
        </row>
        <row r="2261">
          <cell r="C2261" t="str">
            <v>Methods in Biblical &amp; Theo Res</v>
          </cell>
          <cell r="E2261" t="str">
            <v>GSEM520</v>
          </cell>
        </row>
        <row r="2262">
          <cell r="C2262" t="str">
            <v>Contemporary Theology</v>
          </cell>
          <cell r="E2262" t="str">
            <v>THST628</v>
          </cell>
        </row>
        <row r="2263">
          <cell r="C2263" t="str">
            <v>Topics:</v>
          </cell>
          <cell r="D2263" t="str">
            <v>Topics:Theology of Culture</v>
          </cell>
          <cell r="E2263" t="str">
            <v>MSSN695</v>
          </cell>
        </row>
        <row r="2264">
          <cell r="C2264" t="str">
            <v>Readings in Revelation</v>
          </cell>
          <cell r="E2264" t="str">
            <v>NTST539</v>
          </cell>
        </row>
        <row r="2265">
          <cell r="C2265" t="str">
            <v>Research Methods</v>
          </cell>
          <cell r="E2265" t="str">
            <v>GSEM620</v>
          </cell>
        </row>
        <row r="2266">
          <cell r="C2266" t="str">
            <v>Ind St:</v>
          </cell>
          <cell r="E2266" t="str">
            <v>THST690</v>
          </cell>
        </row>
        <row r="2267">
          <cell r="C2267" t="str">
            <v>Studies in Hebrews</v>
          </cell>
          <cell r="E2267" t="str">
            <v>NTST538</v>
          </cell>
        </row>
        <row r="2268">
          <cell r="C2268" t="str">
            <v>Field Practicum</v>
          </cell>
          <cell r="D2268" t="str">
            <v>Field Practicum</v>
          </cell>
          <cell r="E2268" t="str">
            <v>CHMN660</v>
          </cell>
        </row>
        <row r="2269">
          <cell r="C2269" t="str">
            <v>Worship:Word &amp; Music</v>
          </cell>
          <cell r="E2269" t="str">
            <v>CHMN523</v>
          </cell>
        </row>
        <row r="2270">
          <cell r="C2270" t="str">
            <v>Studies in the Gospels</v>
          </cell>
          <cell r="E2270" t="str">
            <v>NTST536</v>
          </cell>
        </row>
        <row r="2271">
          <cell r="C2271" t="str">
            <v>Theo of the English NT:</v>
          </cell>
          <cell r="D2271" t="str">
            <v>Theo Engl NT:Eccesiology</v>
          </cell>
          <cell r="E2271" t="str">
            <v>NTST567</v>
          </cell>
        </row>
        <row r="2272">
          <cell r="C2272" t="str">
            <v>Early Christian Theology</v>
          </cell>
          <cell r="E2272" t="str">
            <v>THST625</v>
          </cell>
        </row>
        <row r="2273">
          <cell r="C2273" t="str">
            <v>Directed Rdgs Mission Studies</v>
          </cell>
          <cell r="E2273" t="str">
            <v>MSSN890</v>
          </cell>
        </row>
        <row r="2274">
          <cell r="C2274" t="str">
            <v>Study Tour:</v>
          </cell>
          <cell r="E2274" t="str">
            <v>GSEM675</v>
          </cell>
        </row>
        <row r="2275">
          <cell r="C2275" t="str">
            <v>Marriage, Fam&amp;Interprsnl Reltn</v>
          </cell>
          <cell r="E2275" t="str">
            <v>DSRE503</v>
          </cell>
        </row>
        <row r="2276">
          <cell r="C2276" t="str">
            <v>Grt Controversy, Cov, Law, Sab</v>
          </cell>
          <cell r="E2276" t="str">
            <v>THST608</v>
          </cell>
        </row>
        <row r="2277">
          <cell r="C2277" t="str">
            <v>Ministry to Youth&amp;Yng Adlt</v>
          </cell>
          <cell r="E2277" t="str">
            <v>DSRE534</v>
          </cell>
        </row>
        <row r="2278">
          <cell r="C2278" t="str">
            <v>Theo of the English NT:</v>
          </cell>
          <cell r="D2278" t="str">
            <v>TheoEngNT:Imm &amp; Delay Parousia</v>
          </cell>
          <cell r="E2278" t="str">
            <v>NTST567</v>
          </cell>
        </row>
        <row r="2279">
          <cell r="C2279" t="str">
            <v>Seminar in Preaching</v>
          </cell>
          <cell r="E2279" t="str">
            <v>CHMN637</v>
          </cell>
        </row>
        <row r="2280">
          <cell r="C2280" t="str">
            <v>Archaeology and the Bible</v>
          </cell>
          <cell r="E2280" t="str">
            <v>ANEA510</v>
          </cell>
        </row>
        <row r="2281">
          <cell r="C2281" t="str">
            <v>Ind Stdy:</v>
          </cell>
          <cell r="D2281" t="str">
            <v>Independent Study</v>
          </cell>
          <cell r="E2281" t="str">
            <v>CHMN690</v>
          </cell>
        </row>
        <row r="2282">
          <cell r="C2282" t="str">
            <v>Seminar in Preaching</v>
          </cell>
          <cell r="E2282" t="str">
            <v>CHMN637</v>
          </cell>
        </row>
        <row r="2283">
          <cell r="C2283" t="str">
            <v>Spec Approaches to Evan:</v>
          </cell>
          <cell r="D2283" t="str">
            <v>Spec Approach to Evan:Coaching</v>
          </cell>
          <cell r="E2283" t="str">
            <v>CHMN586</v>
          </cell>
        </row>
        <row r="2284">
          <cell r="C2284" t="str">
            <v>Directed Rdg in Old Testmt</v>
          </cell>
          <cell r="E2284" t="str">
            <v>OTST890</v>
          </cell>
        </row>
        <row r="2285">
          <cell r="C2285" t="str">
            <v>Directed Rdg in Old Testmt</v>
          </cell>
          <cell r="E2285" t="str">
            <v>OTST890</v>
          </cell>
        </row>
        <row r="2286">
          <cell r="C2286" t="str">
            <v>Adv Holistic Small Groups</v>
          </cell>
          <cell r="D2286" t="str">
            <v>Adv Holistic Small Groups</v>
          </cell>
          <cell r="E2286" t="str">
            <v>CHMN669</v>
          </cell>
        </row>
        <row r="2287">
          <cell r="C2287" t="str">
            <v>Top:</v>
          </cell>
          <cell r="D2287" t="str">
            <v>Top:Sanctuary Doctrine</v>
          </cell>
          <cell r="E2287" t="str">
            <v>THST695</v>
          </cell>
        </row>
        <row r="2288">
          <cell r="C2288" t="str">
            <v>Understanding Christian World</v>
          </cell>
          <cell r="D2288" t="str">
            <v>Understanding Christian World</v>
          </cell>
          <cell r="E2288" t="str">
            <v>THST510</v>
          </cell>
        </row>
        <row r="2289">
          <cell r="C2289" t="str">
            <v>Sem in Historical Theology:</v>
          </cell>
          <cell r="D2289" t="str">
            <v>Sem Hist Theo:Auth. in Church</v>
          </cell>
          <cell r="E2289" t="str">
            <v>THST964</v>
          </cell>
        </row>
        <row r="2290">
          <cell r="C2290" t="str">
            <v>New Testament Backgrounds</v>
          </cell>
          <cell r="D2290" t="str">
            <v>New Testament Backgrounds</v>
          </cell>
          <cell r="E2290" t="str">
            <v>NTST515</v>
          </cell>
        </row>
        <row r="2291">
          <cell r="C2291" t="str">
            <v>Doctrine of the Holy Spirit</v>
          </cell>
          <cell r="D2291" t="str">
            <v>Doctrine of the Holy Spirit</v>
          </cell>
          <cell r="E2291" t="str">
            <v>THST639</v>
          </cell>
        </row>
        <row r="2292">
          <cell r="C2292" t="str">
            <v>Sem in NT Exegesis &amp; Hermn:</v>
          </cell>
          <cell r="D2292" t="str">
            <v>SemExe/Hrm:ErlyJwshChristns&amp;NT</v>
          </cell>
          <cell r="E2292" t="str">
            <v>NTST940</v>
          </cell>
        </row>
        <row r="2293">
          <cell r="C2293" t="str">
            <v>Sem in Biblical Theology</v>
          </cell>
          <cell r="D2293" t="str">
            <v>Sem in Biblical Theology</v>
          </cell>
          <cell r="E2293" t="str">
            <v>NTST945</v>
          </cell>
        </row>
        <row r="2294">
          <cell r="C2294" t="str">
            <v>Intro Exeg&amp;Theo 3:Pauline Writ</v>
          </cell>
          <cell r="D2294" t="str">
            <v>Intro Exeg&amp;Theo 3:Pauline Writ</v>
          </cell>
          <cell r="E2294" t="str">
            <v>NTST509</v>
          </cell>
        </row>
        <row r="2295">
          <cell r="C2295" t="str">
            <v>Contemp Adv Theol Issues</v>
          </cell>
          <cell r="D2295" t="str">
            <v>Contemp Adventst Theolgcl Iss</v>
          </cell>
          <cell r="E2295" t="str">
            <v>GSEM626</v>
          </cell>
        </row>
        <row r="2296">
          <cell r="C2296" t="str">
            <v>Intro Exeg&amp;Theo2:Acts&amp;Epistles</v>
          </cell>
          <cell r="D2296" t="str">
            <v>Intro Exeg&amp;Theo2:Acts&amp;Epistles</v>
          </cell>
          <cell r="E2296" t="str">
            <v>NTST543</v>
          </cell>
        </row>
        <row r="2297">
          <cell r="C2297" t="str">
            <v>Topics:</v>
          </cell>
          <cell r="D2297" t="str">
            <v>Topics: Mission Studies</v>
          </cell>
          <cell r="E2297" t="str">
            <v>MSSN695</v>
          </cell>
        </row>
        <row r="2298">
          <cell r="C2298" t="str">
            <v>Topics:</v>
          </cell>
          <cell r="D2298" t="str">
            <v>Topics:Strategies in Mission</v>
          </cell>
          <cell r="E2298" t="str">
            <v>MSSN695</v>
          </cell>
        </row>
        <row r="2299">
          <cell r="C2299" t="str">
            <v>Daniel</v>
          </cell>
          <cell r="E2299" t="str">
            <v>OTST674</v>
          </cell>
        </row>
        <row r="2300">
          <cell r="C2300" t="str">
            <v>Sem in NT Backgrnds</v>
          </cell>
          <cell r="D2300" t="str">
            <v>Seminar in New Test Bckgrnds</v>
          </cell>
          <cell r="E2300" t="str">
            <v>NTST920</v>
          </cell>
        </row>
        <row r="2301">
          <cell r="C2301" t="str">
            <v>Sem Strategies&amp;Dev in Mission</v>
          </cell>
          <cell r="E2301" t="str">
            <v>MSSN830</v>
          </cell>
        </row>
        <row r="2302">
          <cell r="C2302" t="str">
            <v>Thesis for MA Degree</v>
          </cell>
          <cell r="E2302" t="str">
            <v>GSEM697</v>
          </cell>
        </row>
        <row r="2303">
          <cell r="C2303" t="str">
            <v>Workshop</v>
          </cell>
          <cell r="D2303" t="str">
            <v>Workshop:Hlth Mnstry Chng Wrld</v>
          </cell>
          <cell r="E2303" t="str">
            <v>GSEM648</v>
          </cell>
        </row>
        <row r="2304">
          <cell r="C2304" t="str">
            <v>Christn Lead in a Chnging Wrld</v>
          </cell>
          <cell r="E2304" t="str">
            <v>CHMN543</v>
          </cell>
        </row>
        <row r="2305">
          <cell r="C2305" t="str">
            <v>Science &amp; Religion</v>
          </cell>
          <cell r="E2305" t="str">
            <v>THST678</v>
          </cell>
        </row>
        <row r="2306">
          <cell r="C2306" t="str">
            <v>Ind St:</v>
          </cell>
          <cell r="E2306" t="str">
            <v>DSRE690</v>
          </cell>
        </row>
        <row r="2307">
          <cell r="C2307" t="str">
            <v>Ind St:</v>
          </cell>
          <cell r="E2307" t="str">
            <v>DSRE690</v>
          </cell>
        </row>
        <row r="2308">
          <cell r="C2308" t="str">
            <v>Field Practicum:________</v>
          </cell>
          <cell r="D2308" t="str">
            <v>Field Practicum:Religious Ed</v>
          </cell>
          <cell r="E2308" t="str">
            <v>DSRE680</v>
          </cell>
        </row>
        <row r="2309">
          <cell r="C2309" t="str">
            <v>Master of Divinity Thesis</v>
          </cell>
          <cell r="D2309" t="str">
            <v>Master of Divinity Thesis</v>
          </cell>
          <cell r="E2309" t="str">
            <v>GSEM698</v>
          </cell>
        </row>
        <row r="2310">
          <cell r="C2310" t="str">
            <v>Ind St:</v>
          </cell>
          <cell r="D2310" t="str">
            <v>Ind St:</v>
          </cell>
          <cell r="E2310" t="str">
            <v>MSSN690</v>
          </cell>
        </row>
        <row r="2311">
          <cell r="C2311" t="str">
            <v>Ind St:</v>
          </cell>
          <cell r="D2311" t="str">
            <v>Ind St:</v>
          </cell>
          <cell r="E2311" t="str">
            <v>MSSN690</v>
          </cell>
        </row>
        <row r="2312">
          <cell r="C2312" t="str">
            <v>Ind St:</v>
          </cell>
          <cell r="D2312" t="str">
            <v>Ind St:</v>
          </cell>
          <cell r="E2312" t="str">
            <v>MSSN690</v>
          </cell>
        </row>
        <row r="2313">
          <cell r="C2313" t="str">
            <v>Directed Rdgs Mission Studies</v>
          </cell>
          <cell r="D2313" t="str">
            <v>Directed Rdgs Mission Studies</v>
          </cell>
          <cell r="E2313" t="str">
            <v>MSSN890</v>
          </cell>
        </row>
        <row r="2314">
          <cell r="C2314" t="str">
            <v>Directed Rdgs Mission Studies</v>
          </cell>
          <cell r="D2314" t="str">
            <v>Directed Rdgs Mission Studies</v>
          </cell>
          <cell r="E2314" t="str">
            <v>MSSN890</v>
          </cell>
        </row>
        <row r="2315">
          <cell r="C2315" t="str">
            <v>Directed Rdgs Mission Studies</v>
          </cell>
          <cell r="D2315" t="str">
            <v>Directed Rdgs Mission Studies</v>
          </cell>
          <cell r="E2315" t="str">
            <v>MSSN890</v>
          </cell>
        </row>
        <row r="2316">
          <cell r="C2316" t="str">
            <v>Directed Rdgs Mission Studies</v>
          </cell>
          <cell r="D2316" t="str">
            <v>Directed Rdgs Mission Studies</v>
          </cell>
          <cell r="E2316" t="str">
            <v>MSSN890</v>
          </cell>
        </row>
        <row r="2317">
          <cell r="C2317" t="str">
            <v>Ind St:</v>
          </cell>
          <cell r="D2317" t="str">
            <v>Ind St:</v>
          </cell>
          <cell r="E2317" t="str">
            <v>THST690</v>
          </cell>
        </row>
        <row r="2318">
          <cell r="C2318" t="str">
            <v>Ind St:</v>
          </cell>
          <cell r="D2318" t="str">
            <v>Ind St:</v>
          </cell>
          <cell r="E2318" t="str">
            <v>THST690</v>
          </cell>
        </row>
        <row r="2319">
          <cell r="C2319" t="str">
            <v>Ind St:</v>
          </cell>
          <cell r="D2319" t="str">
            <v>Ind St:</v>
          </cell>
          <cell r="E2319" t="str">
            <v>THST690</v>
          </cell>
        </row>
        <row r="2320">
          <cell r="C2320" t="str">
            <v>Ind St:</v>
          </cell>
          <cell r="D2320" t="str">
            <v>Ind St:</v>
          </cell>
          <cell r="E2320" t="str">
            <v>THST690</v>
          </cell>
        </row>
        <row r="2321">
          <cell r="C2321" t="str">
            <v>Ind St:</v>
          </cell>
          <cell r="D2321" t="str">
            <v>Ind St:</v>
          </cell>
          <cell r="E2321" t="str">
            <v>THST690</v>
          </cell>
        </row>
        <row r="2322">
          <cell r="C2322" t="str">
            <v>Ind St:</v>
          </cell>
          <cell r="D2322" t="str">
            <v>Ind St:</v>
          </cell>
          <cell r="E2322" t="str">
            <v>THST690</v>
          </cell>
        </row>
        <row r="2323">
          <cell r="C2323" t="str">
            <v>Topics:</v>
          </cell>
          <cell r="D2323" t="str">
            <v>Topics:Incarnational Mssn Thlg</v>
          </cell>
          <cell r="E2323" t="str">
            <v>MSSN695</v>
          </cell>
        </row>
        <row r="2324">
          <cell r="C2324" t="str">
            <v>Topics:</v>
          </cell>
          <cell r="D2324" t="str">
            <v>Topics: Missionary Kids</v>
          </cell>
          <cell r="E2324" t="str">
            <v>MSSN695</v>
          </cell>
        </row>
        <row r="2325">
          <cell r="C2325" t="str">
            <v>Ind St:</v>
          </cell>
          <cell r="D2325" t="str">
            <v>Ind St: Missionary Kids</v>
          </cell>
          <cell r="E2325" t="str">
            <v>MSSN690</v>
          </cell>
        </row>
        <row r="2326">
          <cell r="C2326" t="str">
            <v>Ind St:</v>
          </cell>
          <cell r="D2326" t="str">
            <v>Ind St:Theology of Mission</v>
          </cell>
          <cell r="E2326" t="str">
            <v>MSSN690</v>
          </cell>
        </row>
        <row r="2327">
          <cell r="C2327" t="str">
            <v>Ind St:</v>
          </cell>
          <cell r="D2327" t="str">
            <v>Ind St:The Changing Church</v>
          </cell>
          <cell r="E2327" t="str">
            <v>GSEM797</v>
          </cell>
        </row>
        <row r="2328">
          <cell r="C2328" t="str">
            <v>Persp on Yth Min Ldrshp Strat</v>
          </cell>
          <cell r="E2328" t="str">
            <v>DSRE721</v>
          </cell>
        </row>
        <row r="2329">
          <cell r="C2329" t="str">
            <v>Workshop</v>
          </cell>
          <cell r="D2329" t="str">
            <v>Workshop:Prep for Missions</v>
          </cell>
          <cell r="E2329" t="str">
            <v>GSEM648</v>
          </cell>
        </row>
        <row r="2330">
          <cell r="C2330" t="str">
            <v>Workshop</v>
          </cell>
          <cell r="D2330" t="str">
            <v>Workshop:Prep for Missions</v>
          </cell>
          <cell r="E2330" t="str">
            <v>GSEM648</v>
          </cell>
        </row>
        <row r="2331">
          <cell r="C2331" t="str">
            <v>Sem in Greek Exegesis</v>
          </cell>
          <cell r="D2331" t="str">
            <v>SemGrExe:Erly Jwsh Christns&amp;NT</v>
          </cell>
          <cell r="E2331" t="str">
            <v>NTST678</v>
          </cell>
        </row>
        <row r="2332">
          <cell r="C2332" t="str">
            <v>Top in NT Backgrounds</v>
          </cell>
          <cell r="D2332" t="str">
            <v>Top:Jesus &amp; Recent Arch Disc</v>
          </cell>
          <cell r="E2332" t="str">
            <v>NTST695</v>
          </cell>
        </row>
        <row r="2333">
          <cell r="C2333" t="str">
            <v>Church Grwth&amp; Equipping Pastor</v>
          </cell>
          <cell r="E2333" t="str">
            <v>CHMN539</v>
          </cell>
        </row>
        <row r="2334">
          <cell r="C2334" t="str">
            <v>Thesis for MA Degree</v>
          </cell>
          <cell r="E2334" t="str">
            <v>GSEM697</v>
          </cell>
        </row>
        <row r="2335">
          <cell r="C2335" t="str">
            <v>Seminar in Preaching</v>
          </cell>
          <cell r="E2335" t="str">
            <v>CHMN637</v>
          </cell>
        </row>
        <row r="2336">
          <cell r="C2336" t="str">
            <v>Top:</v>
          </cell>
          <cell r="D2336" t="str">
            <v>Top:Sanctuary Doctrine</v>
          </cell>
          <cell r="E2336" t="str">
            <v>THST695</v>
          </cell>
        </row>
        <row r="2337">
          <cell r="C2337" t="str">
            <v>Mission in Cultrl&amp;Rlgs Contxt</v>
          </cell>
          <cell r="D2337" t="str">
            <v>Mission in Cultrl&amp;Rlgs Contxt</v>
          </cell>
          <cell r="E2337" t="str">
            <v>MSSN546</v>
          </cell>
        </row>
        <row r="2338">
          <cell r="C2338" t="str">
            <v>Bilingual Ministry</v>
          </cell>
          <cell r="E2338" t="str">
            <v>CHMN538</v>
          </cell>
        </row>
        <row r="2339">
          <cell r="C2339" t="str">
            <v>Church Grwth&amp; Equipping Pastor</v>
          </cell>
          <cell r="E2339" t="str">
            <v>CHMN539</v>
          </cell>
        </row>
        <row r="2340">
          <cell r="C2340" t="str">
            <v>Theology of Pauline Epistles</v>
          </cell>
          <cell r="D2340" t="str">
            <v>Theology of Pauline Epistles</v>
          </cell>
          <cell r="E2340" t="str">
            <v>NTST634</v>
          </cell>
        </row>
        <row r="2341">
          <cell r="C2341" t="str">
            <v>Intro Exeg&amp;Theo 3:Pauline Writ</v>
          </cell>
          <cell r="D2341" t="str">
            <v>Intro Exeg&amp;Theo 3:Pauline Writ</v>
          </cell>
          <cell r="E2341" t="str">
            <v>NTST509</v>
          </cell>
        </row>
        <row r="2342">
          <cell r="C2342" t="str">
            <v>Ind St:</v>
          </cell>
          <cell r="E2342" t="str">
            <v>CHIS690</v>
          </cell>
        </row>
        <row r="2343">
          <cell r="C2343" t="str">
            <v>Leading&amp;Managing Church Org</v>
          </cell>
          <cell r="E2343" t="str">
            <v>CHMN780</v>
          </cell>
        </row>
        <row r="2344">
          <cell r="C2344" t="str">
            <v>Effective Strategic Growth</v>
          </cell>
          <cell r="E2344" t="str">
            <v>CHMN763</v>
          </cell>
        </row>
        <row r="2345">
          <cell r="C2345" t="str">
            <v>Chaplain as Leader</v>
          </cell>
          <cell r="E2345" t="str">
            <v>CHMN648</v>
          </cell>
        </row>
        <row r="2346">
          <cell r="C2346" t="str">
            <v>Church Grwth&amp; Equipping Pastor</v>
          </cell>
          <cell r="E2346" t="str">
            <v>CHMN539</v>
          </cell>
        </row>
        <row r="2347">
          <cell r="C2347" t="str">
            <v>Christian Leadership</v>
          </cell>
          <cell r="E2347" t="str">
            <v>CHMN747</v>
          </cell>
        </row>
        <row r="2348">
          <cell r="C2348" t="str">
            <v>Ind St:</v>
          </cell>
          <cell r="D2348" t="str">
            <v>Ind St:Hist of Adventist Theo</v>
          </cell>
          <cell r="E2348" t="str">
            <v>CHIS690</v>
          </cell>
        </row>
        <row r="2349">
          <cell r="C2349" t="str">
            <v>Rev, Inspir &amp; Herm</v>
          </cell>
          <cell r="D2349" t="str">
            <v>Revelation, Inspiratn&amp;Herment</v>
          </cell>
          <cell r="E2349" t="str">
            <v>GSEM510</v>
          </cell>
        </row>
        <row r="2350">
          <cell r="C2350" t="str">
            <v>Field Practicum:________</v>
          </cell>
          <cell r="D2350" t="str">
            <v>Field Practicum:Religious Ed</v>
          </cell>
          <cell r="E2350" t="str">
            <v>DSRE680</v>
          </cell>
        </row>
        <row r="2351">
          <cell r="C2351" t="str">
            <v>Hebrews</v>
          </cell>
          <cell r="E2351" t="str">
            <v>NTST645</v>
          </cell>
        </row>
        <row r="2352">
          <cell r="C2352" t="str">
            <v>Old Testament&amp;Its Translation</v>
          </cell>
          <cell r="E2352" t="str">
            <v>OTST640</v>
          </cell>
        </row>
        <row r="2353">
          <cell r="C2353" t="str">
            <v>Issu in Origins</v>
          </cell>
          <cell r="D2353" t="str">
            <v>Issues in Origins</v>
          </cell>
          <cell r="E2353" t="str">
            <v>GSEM539</v>
          </cell>
        </row>
        <row r="2354">
          <cell r="C2354" t="str">
            <v>DMin Prof Dissertation Sem</v>
          </cell>
          <cell r="E2354" t="str">
            <v>GSEM790</v>
          </cell>
        </row>
        <row r="2355">
          <cell r="C2355" t="str">
            <v>Discplshp &amp; Wrldvw Transfrmtn</v>
          </cell>
          <cell r="E2355" t="str">
            <v>MSSN770</v>
          </cell>
        </row>
        <row r="2356">
          <cell r="C2356" t="str">
            <v>Top:</v>
          </cell>
          <cell r="D2356" t="str">
            <v>Top: Mission Research</v>
          </cell>
          <cell r="E2356" t="str">
            <v>MSSN795</v>
          </cell>
        </row>
        <row r="2357">
          <cell r="C2357" t="str">
            <v>Ind St:</v>
          </cell>
          <cell r="D2357" t="str">
            <v>Ind St:</v>
          </cell>
          <cell r="E2357" t="str">
            <v>MSSN690</v>
          </cell>
        </row>
        <row r="2358">
          <cell r="C2358" t="str">
            <v>Directed Rdgs Mission Studies</v>
          </cell>
          <cell r="D2358" t="str">
            <v>Directed Rdgs Mission Studies</v>
          </cell>
          <cell r="E2358" t="str">
            <v>MSSN890</v>
          </cell>
        </row>
        <row r="2359">
          <cell r="C2359" t="str">
            <v>Directed Rdgs Mission Studies</v>
          </cell>
          <cell r="D2359" t="str">
            <v>Directed Rdgs Mission Studies</v>
          </cell>
          <cell r="E2359" t="str">
            <v>MSSN890</v>
          </cell>
        </row>
        <row r="2360">
          <cell r="C2360" t="str">
            <v>Archaeology and the Bible</v>
          </cell>
          <cell r="E2360" t="str">
            <v>ANEA510</v>
          </cell>
        </row>
        <row r="2361">
          <cell r="C2361" t="str">
            <v>Practicum Military Chaplaincy</v>
          </cell>
          <cell r="D2361" t="str">
            <v>Practicum Miltary Chaplaincy</v>
          </cell>
          <cell r="E2361" t="str">
            <v>CHMN641</v>
          </cell>
        </row>
        <row r="2362">
          <cell r="C2362" t="str">
            <v>Top:</v>
          </cell>
          <cell r="D2362" t="str">
            <v>Top: Urban Mission</v>
          </cell>
          <cell r="E2362" t="str">
            <v>MSSN795</v>
          </cell>
        </row>
        <row r="2363">
          <cell r="C2363" t="str">
            <v>Master's Degree Contin</v>
          </cell>
          <cell r="E2363" t="str">
            <v>GSEM688</v>
          </cell>
        </row>
        <row r="2364">
          <cell r="C2364" t="str">
            <v>Thesis for MA Degree</v>
          </cell>
          <cell r="E2364" t="str">
            <v>GSEM697</v>
          </cell>
        </row>
        <row r="2365">
          <cell r="C2365" t="str">
            <v>Research Project</v>
          </cell>
          <cell r="E2365" t="str">
            <v>GSEM695</v>
          </cell>
        </row>
        <row r="2366">
          <cell r="C2366" t="str">
            <v>Masters Comprehensive Exam</v>
          </cell>
          <cell r="E2366" t="str">
            <v>GSEM680</v>
          </cell>
        </row>
        <row r="2367">
          <cell r="C2367" t="str">
            <v>Ind St:</v>
          </cell>
          <cell r="E2367" t="str">
            <v>DSRE690</v>
          </cell>
        </row>
        <row r="2368">
          <cell r="C2368" t="str">
            <v>Archaeological Field Work</v>
          </cell>
          <cell r="E2368" t="str">
            <v>ANEA630</v>
          </cell>
        </row>
        <row r="2369">
          <cell r="C2369" t="str">
            <v>Transfrm Lead&amp;Org Sys Thinking</v>
          </cell>
          <cell r="E2369" t="str">
            <v>CHMN713</v>
          </cell>
        </row>
        <row r="2370">
          <cell r="C2370" t="str">
            <v>Spec Approaches to Evan:</v>
          </cell>
          <cell r="D2370" t="str">
            <v>Spec Apps to Evan:Nat Chrch Dv</v>
          </cell>
          <cell r="E2370" t="str">
            <v>CHMN586</v>
          </cell>
        </row>
        <row r="2371">
          <cell r="C2371" t="str">
            <v>Paleo-Christian Archaeology</v>
          </cell>
          <cell r="E2371" t="str">
            <v>ANEA613</v>
          </cell>
        </row>
        <row r="2372">
          <cell r="C2372" t="str">
            <v>Ind St:</v>
          </cell>
          <cell r="E2372" t="str">
            <v>DSRE690</v>
          </cell>
        </row>
        <row r="2373">
          <cell r="C2373" t="str">
            <v>Ind St:</v>
          </cell>
          <cell r="E2373" t="str">
            <v>DSRE690</v>
          </cell>
        </row>
        <row r="2374">
          <cell r="C2374" t="str">
            <v>Adv Studies:</v>
          </cell>
          <cell r="D2374" t="str">
            <v>Adv Stud:Qualitative Research</v>
          </cell>
          <cell r="E2374" t="str">
            <v>DSRE870</v>
          </cell>
        </row>
        <row r="2375">
          <cell r="C2375" t="str">
            <v>Iss in E G White Studies</v>
          </cell>
          <cell r="D2375" t="str">
            <v>Issues in Ellen G White Stdies</v>
          </cell>
          <cell r="E2375" t="str">
            <v>GSEM534</v>
          </cell>
        </row>
        <row r="2376">
          <cell r="C2376" t="str">
            <v>Spec Approaches to Evan:</v>
          </cell>
          <cell r="D2376" t="str">
            <v>Spec Approaches Evan:Coaching</v>
          </cell>
          <cell r="E2376" t="str">
            <v>CHMN586</v>
          </cell>
        </row>
        <row r="2377">
          <cell r="C2377" t="str">
            <v>Adv Arch Field Work</v>
          </cell>
          <cell r="E2377" t="str">
            <v>ANEA830</v>
          </cell>
        </row>
        <row r="2378">
          <cell r="C2378" t="str">
            <v>Daniel &amp; Revelation</v>
          </cell>
          <cell r="D2378" t="str">
            <v>Daniel &amp; Revelation</v>
          </cell>
          <cell r="E2378" t="str">
            <v>GSEM511</v>
          </cell>
        </row>
        <row r="2379">
          <cell r="C2379" t="str">
            <v>Doctrine of the Sanctuary</v>
          </cell>
          <cell r="D2379" t="str">
            <v>Doctrine of the Sanctuary</v>
          </cell>
          <cell r="E2379" t="str">
            <v>GSEM530</v>
          </cell>
        </row>
        <row r="2380">
          <cell r="C2380" t="str">
            <v>Topics in:</v>
          </cell>
          <cell r="D2380" t="str">
            <v>Topics in Leadership</v>
          </cell>
          <cell r="E2380" t="str">
            <v>CHMN885</v>
          </cell>
        </row>
        <row r="2381">
          <cell r="C2381" t="str">
            <v>Ind St:</v>
          </cell>
          <cell r="D2381" t="str">
            <v>Ind St:DMin Project Seminar</v>
          </cell>
          <cell r="E2381" t="str">
            <v>GSEM797</v>
          </cell>
        </row>
        <row r="2382">
          <cell r="C2382" t="str">
            <v>Bibl, Theo&amp;Sprtl Fndtn of Miss</v>
          </cell>
          <cell r="E2382" t="str">
            <v>MSSN706</v>
          </cell>
        </row>
        <row r="2383">
          <cell r="C2383" t="str">
            <v>Field Evangelism</v>
          </cell>
          <cell r="E2383" t="str">
            <v>CHMN562</v>
          </cell>
        </row>
        <row r="2384">
          <cell r="C2384" t="str">
            <v>Theory&amp;Rsrch in Chaplaincy</v>
          </cell>
          <cell r="E2384" t="str">
            <v>CHMN787</v>
          </cell>
        </row>
        <row r="2385">
          <cell r="C2385" t="str">
            <v>Topics:</v>
          </cell>
          <cell r="D2385" t="str">
            <v>Topics:Social Sciences&amp;Mission</v>
          </cell>
          <cell r="E2385" t="str">
            <v>MSSN695</v>
          </cell>
        </row>
        <row r="2386">
          <cell r="C2386" t="str">
            <v>Sem History of Mission</v>
          </cell>
          <cell r="D2386" t="str">
            <v>Sem History of Mission</v>
          </cell>
          <cell r="E2386" t="str">
            <v>MSSN827</v>
          </cell>
        </row>
        <row r="2387">
          <cell r="C2387" t="str">
            <v>Development SDA Theology</v>
          </cell>
          <cell r="D2387" t="str">
            <v>Development SDA Theology</v>
          </cell>
          <cell r="E2387" t="str">
            <v>CHIS674</v>
          </cell>
        </row>
        <row r="2388">
          <cell r="C2388" t="str">
            <v>Hist of SDA Theology</v>
          </cell>
          <cell r="E2388" t="str">
            <v>CHIS574</v>
          </cell>
        </row>
        <row r="2389">
          <cell r="C2389" t="str">
            <v>Ch Growth&amp;Discipleshp Urban Ch</v>
          </cell>
          <cell r="E2389" t="str">
            <v>CHMN778</v>
          </cell>
        </row>
        <row r="2390">
          <cell r="C2390" t="str">
            <v>Archaeology and the Bible</v>
          </cell>
          <cell r="E2390" t="str">
            <v>ANEA510</v>
          </cell>
        </row>
        <row r="2391">
          <cell r="C2391" t="str">
            <v>Hist of SDA Theology</v>
          </cell>
          <cell r="E2391" t="str">
            <v>CHIS574</v>
          </cell>
        </row>
        <row r="2392">
          <cell r="C2392" t="str">
            <v>Iss in E G White Studies</v>
          </cell>
          <cell r="E2392" t="str">
            <v>GSEM534</v>
          </cell>
        </row>
        <row r="2393">
          <cell r="C2393" t="str">
            <v>Ind St:</v>
          </cell>
          <cell r="E2393" t="str">
            <v>CHIS690</v>
          </cell>
        </row>
        <row r="2394">
          <cell r="C2394" t="str">
            <v>Contemporary Theology</v>
          </cell>
          <cell r="E2394" t="str">
            <v>THST628</v>
          </cell>
        </row>
        <row r="2395">
          <cell r="C2395" t="str">
            <v>Christian Witness&amp;Wrld Relgns</v>
          </cell>
          <cell r="E2395" t="str">
            <v>MSSN561</v>
          </cell>
        </row>
        <row r="2396">
          <cell r="C2396" t="str">
            <v>Theo of the English NT:</v>
          </cell>
          <cell r="D2396" t="str">
            <v>Theo of Eng NT:Ecclesiology</v>
          </cell>
          <cell r="E2396" t="str">
            <v>NTST567</v>
          </cell>
        </row>
        <row r="2397">
          <cell r="C2397" t="str">
            <v>Top:</v>
          </cell>
          <cell r="D2397" t="str">
            <v>Top:Sanctuary Doctrine</v>
          </cell>
          <cell r="E2397" t="str">
            <v>THST695</v>
          </cell>
        </row>
        <row r="2398">
          <cell r="C2398" t="str">
            <v>Studies in the Gospels</v>
          </cell>
          <cell r="E2398" t="str">
            <v>NTST536</v>
          </cell>
        </row>
        <row r="2399">
          <cell r="C2399" t="str">
            <v>Practicum Clin Pastoral Educ</v>
          </cell>
          <cell r="D2399" t="str">
            <v>Practicum Clin Pastoral Educ</v>
          </cell>
          <cell r="E2399" t="str">
            <v>CHMN557</v>
          </cell>
        </row>
        <row r="2400">
          <cell r="C2400" t="str">
            <v>Ind St:</v>
          </cell>
          <cell r="E2400" t="str">
            <v>CHIS690</v>
          </cell>
        </row>
        <row r="2401">
          <cell r="C2401" t="str">
            <v>Ind St:</v>
          </cell>
          <cell r="D2401" t="str">
            <v>Ind St:Theology of Mission</v>
          </cell>
          <cell r="E2401" t="str">
            <v>MSSN690</v>
          </cell>
        </row>
        <row r="2402">
          <cell r="C2402" t="str">
            <v>Archaeology and the Bible</v>
          </cell>
          <cell r="E2402" t="str">
            <v>ANEA510</v>
          </cell>
        </row>
        <row r="2403">
          <cell r="C2403" t="str">
            <v>Archaeology and the Bible</v>
          </cell>
          <cell r="D2403" t="str">
            <v>Archaeology and the Bible</v>
          </cell>
          <cell r="E2403" t="str">
            <v>ANEA510</v>
          </cell>
        </row>
        <row r="2404">
          <cell r="C2404" t="str">
            <v>Ind St:</v>
          </cell>
          <cell r="D2404" t="str">
            <v>Ind:Spiritl/Theo Found for Min</v>
          </cell>
          <cell r="E2404" t="str">
            <v>GSEM797</v>
          </cell>
        </row>
        <row r="2405">
          <cell r="C2405" t="str">
            <v>Social Policy</v>
          </cell>
          <cell r="E2405" t="str">
            <v>DSRE657</v>
          </cell>
        </row>
        <row r="2406">
          <cell r="C2406" t="str">
            <v>Directed Rdgs Mission Studies</v>
          </cell>
          <cell r="D2406" t="str">
            <v>Directed Rdgs Mission Studies</v>
          </cell>
          <cell r="E2406" t="str">
            <v>MSSN890</v>
          </cell>
        </row>
        <row r="2407">
          <cell r="C2407" t="str">
            <v>Studies in the Gospels</v>
          </cell>
          <cell r="E2407" t="str">
            <v>NTST536</v>
          </cell>
        </row>
        <row r="2408">
          <cell r="C2408" t="str">
            <v>Ind St:</v>
          </cell>
          <cell r="D2408" t="str">
            <v>Ind St:StudiesInChurchHistory</v>
          </cell>
          <cell r="E2408" t="str">
            <v>CHIS690</v>
          </cell>
        </row>
        <row r="2409">
          <cell r="C2409" t="str">
            <v>Topics:</v>
          </cell>
          <cell r="D2409" t="str">
            <v>Topics:Urban Contexts for Mssn</v>
          </cell>
          <cell r="E2409" t="str">
            <v>MSSN695</v>
          </cell>
        </row>
        <row r="2410">
          <cell r="C2410" t="str">
            <v>Sem in Other Religions</v>
          </cell>
          <cell r="D2410" t="str">
            <v>Sem in Other Religions</v>
          </cell>
          <cell r="E2410" t="str">
            <v>MSSN829</v>
          </cell>
        </row>
        <row r="2411">
          <cell r="C2411" t="str">
            <v>Workshop</v>
          </cell>
          <cell r="D2411" t="str">
            <v>Wrkshp:HealthMngmntChngngWrld</v>
          </cell>
          <cell r="E2411" t="str">
            <v>GSEM648</v>
          </cell>
        </row>
        <row r="2412">
          <cell r="C2412" t="str">
            <v>Topics in Church History:</v>
          </cell>
          <cell r="E2412" t="str">
            <v>CHIS880</v>
          </cell>
        </row>
        <row r="2413">
          <cell r="C2413" t="str">
            <v>Topics in</v>
          </cell>
          <cell r="D2413" t="str">
            <v>Topics in Adventist Studies</v>
          </cell>
          <cell r="E2413" t="str">
            <v>CHIS885</v>
          </cell>
        </row>
        <row r="2414">
          <cell r="C2414" t="str">
            <v>Ind St:</v>
          </cell>
          <cell r="D2414" t="str">
            <v>Ind St:Church History</v>
          </cell>
          <cell r="E2414" t="str">
            <v>CHIS891</v>
          </cell>
        </row>
        <row r="2415">
          <cell r="C2415" t="str">
            <v>Ind St:</v>
          </cell>
          <cell r="D2415" t="str">
            <v>Indpndnt Study:Advntst History</v>
          </cell>
          <cell r="E2415" t="str">
            <v>CHIS892</v>
          </cell>
        </row>
        <row r="2416">
          <cell r="C2416" t="str">
            <v>Sem Development SDA Doctrines</v>
          </cell>
          <cell r="E2416" t="str">
            <v>CHIS974</v>
          </cell>
        </row>
        <row r="2417">
          <cell r="C2417" t="str">
            <v>Ind St:</v>
          </cell>
          <cell r="E2417" t="str">
            <v>CHMN897</v>
          </cell>
        </row>
        <row r="2418">
          <cell r="C2418" t="str">
            <v>Seminar Theory &amp; Praxis</v>
          </cell>
          <cell r="E2418" t="str">
            <v>CHMN905</v>
          </cell>
        </row>
        <row r="2419">
          <cell r="C2419" t="str">
            <v>Development SDA Theology</v>
          </cell>
          <cell r="E2419" t="str">
            <v>CHIS674</v>
          </cell>
        </row>
        <row r="2420">
          <cell r="C2420" t="str">
            <v>Sem:</v>
          </cell>
          <cell r="E2420" t="str">
            <v>CHMN940</v>
          </cell>
        </row>
        <row r="2421">
          <cell r="C2421" t="str">
            <v>Seminar in Adventist Studies:</v>
          </cell>
          <cell r="E2421" t="str">
            <v>CHIS944</v>
          </cell>
        </row>
        <row r="2422">
          <cell r="C2422" t="str">
            <v>Top:</v>
          </cell>
          <cell r="D2422" t="str">
            <v>Top:Yth&amp;YngAdult Marriage&amp;Fam</v>
          </cell>
          <cell r="E2422" t="str">
            <v>DSRE676</v>
          </cell>
        </row>
        <row r="2423">
          <cell r="C2423" t="str">
            <v>Ind. Study:</v>
          </cell>
          <cell r="D2423" t="str">
            <v>Ind. Study:Nrrtv Thry&amp;Anlyss</v>
          </cell>
          <cell r="E2423" t="str">
            <v>NTST897</v>
          </cell>
        </row>
        <row r="2424">
          <cell r="C2424" t="str">
            <v>Jerusalem in the Time of Jesus</v>
          </cell>
          <cell r="E2424" t="str">
            <v>NTST636</v>
          </cell>
        </row>
        <row r="2425">
          <cell r="C2425" t="str">
            <v>MA Thesis</v>
          </cell>
          <cell r="E2425" t="str">
            <v>GSEM697</v>
          </cell>
        </row>
        <row r="2426">
          <cell r="C2426" t="str">
            <v>Top in New Testmnt Theo:</v>
          </cell>
          <cell r="E2426" t="str">
            <v>NTST667</v>
          </cell>
        </row>
        <row r="2427">
          <cell r="C2427" t="str">
            <v>Directed Rdg in Systmtic Theo</v>
          </cell>
          <cell r="E2427" t="str">
            <v>THST890</v>
          </cell>
        </row>
        <row r="2428">
          <cell r="C2428" t="str">
            <v>Directed Rdg in Systmtic Theo</v>
          </cell>
          <cell r="E2428" t="str">
            <v>THST890</v>
          </cell>
        </row>
        <row r="2429">
          <cell r="C2429" t="str">
            <v>Spec Approaches to Evan:</v>
          </cell>
          <cell r="D2429" t="str">
            <v>Spec Appr to Evan:Natur.Ch.Dev</v>
          </cell>
          <cell r="E2429" t="str">
            <v>CHMN586</v>
          </cell>
        </row>
        <row r="2430">
          <cell r="C2430" t="str">
            <v>Directed Rdg in Systmtic Theo</v>
          </cell>
          <cell r="E2430" t="str">
            <v>THST890</v>
          </cell>
        </row>
        <row r="2431">
          <cell r="C2431" t="str">
            <v>Directed Rdg in Systmtic Theo</v>
          </cell>
          <cell r="E2431" t="str">
            <v>THST890</v>
          </cell>
        </row>
        <row r="2432">
          <cell r="C2432" t="str">
            <v>Studies in Hebrews</v>
          </cell>
          <cell r="E2432" t="str">
            <v>NTST538</v>
          </cell>
        </row>
        <row r="2433">
          <cell r="C2433" t="str">
            <v>Doctrine of Salvation</v>
          </cell>
          <cell r="E2433" t="str">
            <v>THST540</v>
          </cell>
        </row>
        <row r="2434">
          <cell r="C2434" t="str">
            <v>Judaism &amp; the New Testament</v>
          </cell>
          <cell r="E2434" t="str">
            <v>NTST684</v>
          </cell>
        </row>
        <row r="2435">
          <cell r="C2435" t="str">
            <v>Coptic</v>
          </cell>
          <cell r="E2435" t="str">
            <v>NTST665</v>
          </cell>
        </row>
        <row r="2436">
          <cell r="C2436" t="str">
            <v>Ind St:</v>
          </cell>
          <cell r="E2436" t="str">
            <v>CHIS690</v>
          </cell>
        </row>
        <row r="2437">
          <cell r="C2437" t="str">
            <v>Ind Stdy:</v>
          </cell>
          <cell r="D2437" t="str">
            <v>Independent Study</v>
          </cell>
          <cell r="E2437" t="str">
            <v>CHMN690</v>
          </cell>
        </row>
        <row r="2438">
          <cell r="C2438" t="str">
            <v>Directed Rdg in Systmtic Theo</v>
          </cell>
          <cell r="D2438" t="str">
            <v>Directed Rdg in Systmtic Theo</v>
          </cell>
          <cell r="E2438" t="str">
            <v>THST890</v>
          </cell>
        </row>
        <row r="2439">
          <cell r="C2439" t="str">
            <v>Directed Rdg in Systmtic Theo</v>
          </cell>
          <cell r="D2439" t="str">
            <v>Directed Rdg in Systmtic Theo</v>
          </cell>
          <cell r="E2439" t="str">
            <v>THST890</v>
          </cell>
        </row>
        <row r="2440">
          <cell r="C2440" t="str">
            <v>Directed Rdg in Systmtic Theo</v>
          </cell>
          <cell r="D2440" t="str">
            <v>Directed Rdg in Systmtic Theo</v>
          </cell>
          <cell r="E2440" t="str">
            <v>THST890</v>
          </cell>
        </row>
        <row r="2441">
          <cell r="C2441" t="str">
            <v>Directed Rdg in Systmtic Theo</v>
          </cell>
          <cell r="D2441" t="str">
            <v>Directed Rdg in Systmtic Theo</v>
          </cell>
          <cell r="E2441" t="str">
            <v>THST890</v>
          </cell>
        </row>
        <row r="2442">
          <cell r="C2442" t="str">
            <v>Directed Rdg Historical Theo</v>
          </cell>
          <cell r="D2442" t="str">
            <v>Directed Rdg Historical Theo</v>
          </cell>
          <cell r="E2442" t="str">
            <v>THST895</v>
          </cell>
        </row>
        <row r="2443">
          <cell r="C2443" t="str">
            <v>Directed Rdg in Systmtic Theo</v>
          </cell>
          <cell r="E2443" t="str">
            <v>THST890</v>
          </cell>
        </row>
        <row r="2444">
          <cell r="C2444" t="str">
            <v>Directed Rdg in Systmtic Theo</v>
          </cell>
          <cell r="E2444" t="str">
            <v>THST890</v>
          </cell>
        </row>
        <row r="2445">
          <cell r="C2445" t="str">
            <v>Adv Studies:</v>
          </cell>
          <cell r="D2445" t="str">
            <v>Adv Stds:Teaching Rlgn College</v>
          </cell>
          <cell r="E2445" t="str">
            <v>DSRE870</v>
          </cell>
        </row>
        <row r="2446">
          <cell r="C2446" t="str">
            <v>PhD-ThD Comp Exams</v>
          </cell>
          <cell r="E2446" t="str">
            <v>GSEM885</v>
          </cell>
        </row>
        <row r="2447">
          <cell r="C2447" t="str">
            <v>Rdngs in Acts&amp;General Epistles</v>
          </cell>
          <cell r="E2447" t="str">
            <v>NTST537</v>
          </cell>
        </row>
        <row r="2448">
          <cell r="C2448" t="str">
            <v>Intro Exeg&amp;Theo2:Acts&amp;Epistles</v>
          </cell>
          <cell r="E2448" t="str">
            <v>NTST543</v>
          </cell>
        </row>
        <row r="2449">
          <cell r="C2449" t="str">
            <v>New Testament Backgrounds</v>
          </cell>
          <cell r="E2449" t="str">
            <v>NTST515</v>
          </cell>
        </row>
        <row r="2450">
          <cell r="C2450" t="str">
            <v>Guided Study Tour Bible Lands</v>
          </cell>
          <cell r="E2450" t="str">
            <v>GSEM670</v>
          </cell>
        </row>
        <row r="2451">
          <cell r="C2451" t="str">
            <v>Sem in NT Backgrnds</v>
          </cell>
          <cell r="E2451" t="str">
            <v>NTST920</v>
          </cell>
        </row>
        <row r="2452">
          <cell r="C2452" t="str">
            <v>Greco-Roman World</v>
          </cell>
          <cell r="E2452" t="str">
            <v>NTST680</v>
          </cell>
        </row>
        <row r="2453">
          <cell r="C2453" t="str">
            <v>Directed Rdg in Systmtic Theo</v>
          </cell>
          <cell r="E2453" t="str">
            <v>THST890</v>
          </cell>
        </row>
        <row r="2454">
          <cell r="C2454" t="str">
            <v>Top in New Testmnt Theo:</v>
          </cell>
          <cell r="E2454" t="str">
            <v>NTST667</v>
          </cell>
        </row>
        <row r="2455">
          <cell r="C2455" t="str">
            <v>Adv Studies:</v>
          </cell>
          <cell r="D2455" t="str">
            <v>Adv Stds:Spiritual Formation</v>
          </cell>
          <cell r="E2455" t="str">
            <v>DSRE870</v>
          </cell>
        </row>
        <row r="2456">
          <cell r="C2456" t="str">
            <v>Studies in Daniel (Engl)</v>
          </cell>
          <cell r="D2456" t="str">
            <v>Readings in Daniel (Engl)</v>
          </cell>
          <cell r="E2456" t="str">
            <v>OTST546</v>
          </cell>
        </row>
        <row r="2457">
          <cell r="C2457" t="str">
            <v>Topics in:</v>
          </cell>
          <cell r="D2457" t="str">
            <v>Topics in:Witness Sec/Post Peo</v>
          </cell>
          <cell r="E2457" t="str">
            <v>MSSN885</v>
          </cell>
        </row>
        <row r="2458">
          <cell r="C2458" t="str">
            <v>Ind St:</v>
          </cell>
          <cell r="E2458" t="str">
            <v>DSRE690</v>
          </cell>
        </row>
        <row r="2459">
          <cell r="C2459" t="str">
            <v>Ind St:</v>
          </cell>
          <cell r="D2459" t="str">
            <v>Ind St:Social Sciences&amp;Mission</v>
          </cell>
          <cell r="E2459" t="str">
            <v>MSSN897</v>
          </cell>
        </row>
        <row r="2460">
          <cell r="C2460" t="str">
            <v>Ind St:</v>
          </cell>
          <cell r="D2460" t="str">
            <v>Ind St:Church &amp; Social Issues</v>
          </cell>
          <cell r="E2460" t="str">
            <v>MSSN897</v>
          </cell>
        </row>
        <row r="2461">
          <cell r="C2461" t="str">
            <v>Directed Rdg in Systmtic Theo</v>
          </cell>
          <cell r="E2461" t="str">
            <v>THST890</v>
          </cell>
        </row>
        <row r="2462">
          <cell r="C2462" t="str">
            <v>Ind St:</v>
          </cell>
          <cell r="D2462" t="str">
            <v>Ind St:Wtnss Pstmdrn&amp;Secular</v>
          </cell>
          <cell r="E2462" t="str">
            <v>MSSN690</v>
          </cell>
        </row>
        <row r="2463">
          <cell r="C2463" t="str">
            <v>Topics in Church History:</v>
          </cell>
          <cell r="D2463" t="str">
            <v>StdsChrchHstry:ChrstnsJews500C</v>
          </cell>
          <cell r="E2463" t="str">
            <v>CHIS695</v>
          </cell>
        </row>
        <row r="2464">
          <cell r="C2464" t="str">
            <v>Topics:</v>
          </cell>
          <cell r="D2464" t="str">
            <v>Topics:Witnss Seclr&amp;Pstmdrn Pp</v>
          </cell>
          <cell r="E2464" t="str">
            <v>MSSN695</v>
          </cell>
        </row>
        <row r="2465">
          <cell r="C2465" t="str">
            <v>Ind. Study:</v>
          </cell>
          <cell r="E2465" t="str">
            <v>NTST897</v>
          </cell>
        </row>
        <row r="2466">
          <cell r="C2466" t="str">
            <v>Ind St:</v>
          </cell>
          <cell r="D2466" t="str">
            <v>Ind St:Chrstn Wtnss&amp;Wrld Rlgns</v>
          </cell>
          <cell r="E2466" t="str">
            <v>MSSN690</v>
          </cell>
        </row>
        <row r="2467">
          <cell r="C2467" t="str">
            <v>Ind St:</v>
          </cell>
          <cell r="D2467" t="str">
            <v>Ind St:</v>
          </cell>
          <cell r="E2467" t="str">
            <v>DSRE690</v>
          </cell>
        </row>
        <row r="2468">
          <cell r="C2468" t="str">
            <v>Directed Rdgs in Church Min</v>
          </cell>
          <cell r="D2468" t="str">
            <v>Directed Rdgs in Church Min</v>
          </cell>
          <cell r="E2468" t="str">
            <v>CHMN890</v>
          </cell>
        </row>
        <row r="2469">
          <cell r="C2469" t="str">
            <v>Top:</v>
          </cell>
          <cell r="D2469" t="str">
            <v>Top:Works of Christ</v>
          </cell>
          <cell r="E2469" t="str">
            <v>THST885</v>
          </cell>
        </row>
        <row r="2470">
          <cell r="C2470" t="str">
            <v>Near Eastern Archaeology</v>
          </cell>
          <cell r="E2470" t="str">
            <v>ANEA810</v>
          </cell>
        </row>
        <row r="2471">
          <cell r="C2471" t="str">
            <v>Field Practicum:________</v>
          </cell>
          <cell r="D2471" t="str">
            <v>Field Practicum:________</v>
          </cell>
          <cell r="E2471" t="str">
            <v>DSRE680</v>
          </cell>
        </row>
        <row r="2472">
          <cell r="C2472" t="str">
            <v>PhD-ThD Comp Exams</v>
          </cell>
          <cell r="D2472" t="str">
            <v>PhD-ThD Comp Exams</v>
          </cell>
          <cell r="E2472" t="str">
            <v>GSEM885</v>
          </cell>
        </row>
        <row r="2473">
          <cell r="C2473" t="str">
            <v>Issues in Ellen G White Stdies</v>
          </cell>
          <cell r="E2473" t="str">
            <v>CHIS624</v>
          </cell>
        </row>
        <row r="2474">
          <cell r="C2474" t="str">
            <v>Hebrews</v>
          </cell>
          <cell r="D2474" t="str">
            <v>Hebrews</v>
          </cell>
          <cell r="E2474" t="str">
            <v>NTST645</v>
          </cell>
        </row>
        <row r="2475">
          <cell r="C2475" t="str">
            <v>Readings in the Gospels</v>
          </cell>
          <cell r="E2475" t="str">
            <v>NTST536</v>
          </cell>
        </row>
        <row r="2476">
          <cell r="C2476" t="str">
            <v>Learning Professional Expernce</v>
          </cell>
          <cell r="E2476" t="str">
            <v>CHMN568</v>
          </cell>
        </row>
        <row r="2477">
          <cell r="C2477" t="str">
            <v>Practicum Clin Pastoral Educ</v>
          </cell>
          <cell r="E2477" t="str">
            <v>CHMN557</v>
          </cell>
        </row>
        <row r="2478">
          <cell r="C2478" t="str">
            <v>Biblical Hebrew II</v>
          </cell>
          <cell r="D2478" t="str">
            <v>Biblical Hebrew II</v>
          </cell>
          <cell r="E2478" t="str">
            <v>OTST552</v>
          </cell>
        </row>
        <row r="2479">
          <cell r="C2479" t="str">
            <v>Topics in Ministry</v>
          </cell>
          <cell r="E2479" t="str">
            <v>CHMN517</v>
          </cell>
        </row>
        <row r="2480">
          <cell r="C2480" t="str">
            <v>Independent Study</v>
          </cell>
          <cell r="E2480" t="str">
            <v>ANEA690</v>
          </cell>
        </row>
        <row r="2481">
          <cell r="C2481" t="str">
            <v>Directed Rdg Christian Ethics</v>
          </cell>
          <cell r="D2481" t="str">
            <v>Philosophy,Theology, &amp; Ethics</v>
          </cell>
          <cell r="E2481" t="str">
            <v>THST896</v>
          </cell>
        </row>
        <row r="2482">
          <cell r="C2482" t="str">
            <v>Adv Ministerial Development</v>
          </cell>
          <cell r="D2482" t="str">
            <v>Theological Field Education</v>
          </cell>
          <cell r="E2482" t="str">
            <v>CHMN560</v>
          </cell>
        </row>
        <row r="2483">
          <cell r="C2483" t="str">
            <v>MA Thesis</v>
          </cell>
          <cell r="E2483" t="str">
            <v>GSEM697</v>
          </cell>
        </row>
        <row r="2484">
          <cell r="C2484" t="str">
            <v>Seminar in Evangelism</v>
          </cell>
          <cell r="E2484" t="str">
            <v>CHMN639</v>
          </cell>
        </row>
        <row r="2485">
          <cell r="C2485" t="str">
            <v>Sem:</v>
          </cell>
          <cell r="D2485" t="str">
            <v>Sem:Mssn Strtgy &amp; Ldrshp</v>
          </cell>
          <cell r="E2485" t="str">
            <v>MSSN810</v>
          </cell>
        </row>
        <row r="2486">
          <cell r="C2486" t="str">
            <v>Topics in:</v>
          </cell>
          <cell r="D2486" t="str">
            <v>Topics in:Mission Ed &amp; Train</v>
          </cell>
          <cell r="E2486" t="str">
            <v>MSSN885</v>
          </cell>
        </row>
        <row r="2487">
          <cell r="C2487" t="str">
            <v>Hist of Seventh-day Adv Theo</v>
          </cell>
          <cell r="E2487" t="str">
            <v>CHIS574</v>
          </cell>
        </row>
        <row r="2488">
          <cell r="C2488" t="str">
            <v>Readings in Revelation</v>
          </cell>
          <cell r="D2488" t="str">
            <v>Readings in Revelation</v>
          </cell>
          <cell r="E2488" t="str">
            <v>NTST539</v>
          </cell>
        </row>
        <row r="2489">
          <cell r="C2489" t="str">
            <v>Ind St:</v>
          </cell>
          <cell r="D2489" t="str">
            <v>Ind St:Cntmp Iss Rel Ed&amp; Disc</v>
          </cell>
          <cell r="E2489" t="str">
            <v>DSRE690</v>
          </cell>
        </row>
        <row r="2490">
          <cell r="C2490" t="str">
            <v>Ind. Study:</v>
          </cell>
          <cell r="D2490" t="str">
            <v>Ind. Study: Matthew</v>
          </cell>
          <cell r="E2490" t="str">
            <v>NTST897</v>
          </cell>
        </row>
        <row r="2491">
          <cell r="C2491" t="str">
            <v>Directed Rdg Historical Theo</v>
          </cell>
          <cell r="D2491" t="str">
            <v>Directed Rdg Historical Theo</v>
          </cell>
          <cell r="E2491" t="str">
            <v>THST895</v>
          </cell>
        </row>
        <row r="2492">
          <cell r="C2492" t="str">
            <v>Doctrine of Salvation</v>
          </cell>
          <cell r="D2492" t="str">
            <v>Doctrine of Salvation</v>
          </cell>
          <cell r="E2492" t="str">
            <v>THST540</v>
          </cell>
        </row>
        <row r="2493">
          <cell r="C2493" t="str">
            <v>Ind St:</v>
          </cell>
          <cell r="D2493" t="str">
            <v>Ind St:Bblcl &amp; Theo Hrmntcs</v>
          </cell>
          <cell r="E2493" t="str">
            <v>THST897</v>
          </cell>
        </row>
        <row r="2494">
          <cell r="C2494" t="str">
            <v>Int Mid East Lang, Culture&amp;Hst</v>
          </cell>
          <cell r="E2494" t="str">
            <v>OTST515</v>
          </cell>
        </row>
        <row r="2495">
          <cell r="C2495" t="str">
            <v>Ind St:</v>
          </cell>
          <cell r="E2495" t="str">
            <v>OTST690</v>
          </cell>
        </row>
        <row r="2496">
          <cell r="C2496" t="str">
            <v>Mission Education &amp; Training</v>
          </cell>
          <cell r="E2496" t="str">
            <v>MSSN780</v>
          </cell>
        </row>
        <row r="2497">
          <cell r="C2497" t="str">
            <v>Sem:</v>
          </cell>
          <cell r="D2497" t="str">
            <v>Sem:Mission Leadership</v>
          </cell>
          <cell r="E2497" t="str">
            <v>MSSN810</v>
          </cell>
        </row>
        <row r="2498">
          <cell r="C2498" t="str">
            <v>Sem:</v>
          </cell>
          <cell r="D2498" t="str">
            <v>Sem: Church &amp; Social Issues</v>
          </cell>
          <cell r="E2498" t="str">
            <v>MSSN810</v>
          </cell>
        </row>
        <row r="2499">
          <cell r="C2499" t="str">
            <v>Directed Rdg in New Testament</v>
          </cell>
          <cell r="D2499" t="str">
            <v>Dir Rdg NT:Judiasm &amp; the NT</v>
          </cell>
          <cell r="E2499" t="str">
            <v>NTST890</v>
          </cell>
        </row>
        <row r="2500">
          <cell r="C2500" t="str">
            <v>Church Grwth&amp; Equipping Pastor</v>
          </cell>
          <cell r="D2500" t="str">
            <v>Church Grwth&amp; Equipping Pastor</v>
          </cell>
          <cell r="E2500" t="str">
            <v>CHMN539</v>
          </cell>
        </row>
        <row r="2501">
          <cell r="C2501" t="str">
            <v>Biblical Hebrew I</v>
          </cell>
          <cell r="E2501" t="str">
            <v>OTST551</v>
          </cell>
        </row>
        <row r="2502">
          <cell r="C2502" t="str">
            <v>Ind Stdy:</v>
          </cell>
          <cell r="D2502" t="str">
            <v>Independent Study</v>
          </cell>
          <cell r="E2502" t="str">
            <v>CHMN690</v>
          </cell>
        </row>
        <row r="2503">
          <cell r="C2503" t="str">
            <v>Advanced Campus Ministry</v>
          </cell>
          <cell r="D2503" t="str">
            <v>Advanced Campus Ministry</v>
          </cell>
          <cell r="E2503" t="str">
            <v>DSRE664</v>
          </cell>
        </row>
        <row r="2504">
          <cell r="C2504" t="str">
            <v>New Testament Backgrounds</v>
          </cell>
          <cell r="D2504" t="str">
            <v>New Testament Backgrounds</v>
          </cell>
          <cell r="E2504" t="str">
            <v>NTST515</v>
          </cell>
        </row>
        <row r="2505">
          <cell r="C2505" t="str">
            <v>Adv Arch Field Work</v>
          </cell>
          <cell r="E2505" t="str">
            <v>ANEA830</v>
          </cell>
        </row>
        <row r="2506">
          <cell r="C2506" t="str">
            <v>Ind St:</v>
          </cell>
          <cell r="D2506" t="str">
            <v>Ind St:Chrstn Wtnss &amp; Wrld Rlg</v>
          </cell>
          <cell r="E2506" t="str">
            <v>MSSN690</v>
          </cell>
        </row>
        <row r="2507">
          <cell r="C2507" t="str">
            <v>Ind St:</v>
          </cell>
          <cell r="D2507" t="str">
            <v>Ind St:Fnd of Bblcl Sprtlty</v>
          </cell>
          <cell r="E2507" t="str">
            <v>DSRE690</v>
          </cell>
        </row>
        <row r="2508">
          <cell r="C2508" t="str">
            <v>Ind St:</v>
          </cell>
          <cell r="D2508" t="str">
            <v>Ind St:Tchng for Discipleship</v>
          </cell>
          <cell r="E2508" t="str">
            <v>DSRE690</v>
          </cell>
        </row>
        <row r="2509">
          <cell r="C2509" t="str">
            <v>Ind St:</v>
          </cell>
          <cell r="D2509" t="str">
            <v>Ind St:Hx of SDA Theology</v>
          </cell>
          <cell r="E2509" t="str">
            <v>CHIS690</v>
          </cell>
        </row>
        <row r="2510">
          <cell r="C2510" t="str">
            <v>Ind St:</v>
          </cell>
          <cell r="D2510" t="str">
            <v>Ind St:Hstry of Sabbath&amp;Sunday</v>
          </cell>
          <cell r="E2510" t="str">
            <v>CHIS690</v>
          </cell>
        </row>
        <row r="2511">
          <cell r="C2511" t="str">
            <v>Church History 1500 to Present</v>
          </cell>
          <cell r="E2511" t="str">
            <v>CHIS507</v>
          </cell>
        </row>
        <row r="2512">
          <cell r="C2512" t="str">
            <v>Church History to 1500</v>
          </cell>
          <cell r="E2512" t="str">
            <v>CHIS506</v>
          </cell>
        </row>
        <row r="2513">
          <cell r="C2513" t="str">
            <v>Top:</v>
          </cell>
          <cell r="D2513" t="str">
            <v>Top:Philosophical Fnd Prof</v>
          </cell>
          <cell r="E2513" t="str">
            <v>DSRE676</v>
          </cell>
        </row>
        <row r="2514">
          <cell r="C2514" t="str">
            <v>Directed Rdg in New Testament</v>
          </cell>
          <cell r="D2514" t="str">
            <v>Dir Rdg in NT:Hermeneutics</v>
          </cell>
          <cell r="E2514" t="str">
            <v>NTST890</v>
          </cell>
        </row>
        <row r="2515">
          <cell r="C2515" t="str">
            <v>Ind St:</v>
          </cell>
          <cell r="D2515" t="str">
            <v>Ind St: Counseling YYA</v>
          </cell>
          <cell r="E2515" t="str">
            <v>DSRE690</v>
          </cell>
        </row>
        <row r="2516">
          <cell r="C2516" t="str">
            <v>Top:</v>
          </cell>
          <cell r="D2516" t="str">
            <v>Top:Marriage Fam&amp;Intrpsnl Rel</v>
          </cell>
          <cell r="E2516" t="str">
            <v>DSRE676</v>
          </cell>
        </row>
        <row r="2517">
          <cell r="C2517" t="str">
            <v>Adv Studies:</v>
          </cell>
          <cell r="D2517" t="str">
            <v>Adv Studies: Synthesis</v>
          </cell>
          <cell r="E2517" t="str">
            <v>DSRE870</v>
          </cell>
        </row>
        <row r="2518">
          <cell r="C2518" t="str">
            <v>Field Evangelism</v>
          </cell>
          <cell r="D2518" t="str">
            <v>Field Evangelism</v>
          </cell>
          <cell r="E2518" t="str">
            <v>CHMN562</v>
          </cell>
        </row>
        <row r="2519">
          <cell r="C2519" t="str">
            <v>Spec Approaches to Evan:</v>
          </cell>
          <cell r="D2519" t="str">
            <v>Apprches Evan:Chrch Pant Conf</v>
          </cell>
          <cell r="E2519" t="str">
            <v>CHMN586</v>
          </cell>
        </row>
        <row r="2520">
          <cell r="C2520" t="str">
            <v>Field Evangelism</v>
          </cell>
          <cell r="E2520" t="str">
            <v>CHMN562</v>
          </cell>
        </row>
        <row r="2521">
          <cell r="C2521" t="str">
            <v>Field Evangelism: Chaplaincy</v>
          </cell>
          <cell r="E2521" t="str">
            <v>CHMN644</v>
          </cell>
        </row>
        <row r="2522">
          <cell r="C2522" t="str">
            <v>Ministry to Youth&amp;Yng Adlt</v>
          </cell>
          <cell r="E2522" t="str">
            <v>DSRE534</v>
          </cell>
        </row>
        <row r="2523">
          <cell r="C2523" t="str">
            <v>Ministry to Youth&amp;Yng Adlt</v>
          </cell>
          <cell r="E2523" t="str">
            <v>DSRE534</v>
          </cell>
        </row>
        <row r="2524">
          <cell r="C2524" t="str">
            <v>Stud in the Pentateuch (Engl)</v>
          </cell>
          <cell r="E2524" t="str">
            <v>OTST566</v>
          </cell>
        </row>
        <row r="2525">
          <cell r="C2525" t="str">
            <v>Field Practicum:MAYYAM</v>
          </cell>
          <cell r="E2525" t="str">
            <v>DSRE660</v>
          </cell>
        </row>
        <row r="2526">
          <cell r="C2526" t="str">
            <v>Practicum Military Chaplaincy</v>
          </cell>
          <cell r="E2526" t="str">
            <v>CHMN641</v>
          </cell>
        </row>
        <row r="2527">
          <cell r="C2527" t="str">
            <v>Ind St:</v>
          </cell>
          <cell r="D2527" t="str">
            <v>Ind St:Studies in Church Hist</v>
          </cell>
          <cell r="E2527" t="str">
            <v>CHIS690</v>
          </cell>
        </row>
        <row r="2528">
          <cell r="C2528" t="str">
            <v>Ind St:</v>
          </cell>
          <cell r="D2528" t="str">
            <v>Ind St:History of SDA Theology</v>
          </cell>
          <cell r="E2528" t="str">
            <v>CHIS690</v>
          </cell>
        </row>
        <row r="2529">
          <cell r="C2529" t="str">
            <v>Ind St:</v>
          </cell>
          <cell r="D2529" t="str">
            <v>Ind St: Jewish Life &amp; Thought</v>
          </cell>
          <cell r="E2529" t="str">
            <v>OTST690</v>
          </cell>
        </row>
        <row r="2530">
          <cell r="C2530" t="str">
            <v>Ind St:</v>
          </cell>
          <cell r="D2530" t="str">
            <v>Ind St: Church History</v>
          </cell>
          <cell r="E2530" t="str">
            <v>CHIS690</v>
          </cell>
        </row>
        <row r="2531">
          <cell r="C2531" t="str">
            <v>Beginning Greek</v>
          </cell>
          <cell r="D2531" t="str">
            <v>Beginning Greek</v>
          </cell>
          <cell r="E2531" t="str">
            <v>NTST551</v>
          </cell>
        </row>
        <row r="2532">
          <cell r="C2532" t="str">
            <v>Doctrine of Salvation</v>
          </cell>
          <cell r="E2532" t="str">
            <v>THST640</v>
          </cell>
        </row>
        <row r="2533">
          <cell r="C2533" t="str">
            <v>Field Evangelism</v>
          </cell>
          <cell r="D2533" t="str">
            <v>Field Evangelism</v>
          </cell>
          <cell r="E2533" t="str">
            <v>CHMN562</v>
          </cell>
        </row>
        <row r="2534">
          <cell r="C2534" t="str">
            <v>Independent Study:</v>
          </cell>
          <cell r="E2534" t="str">
            <v>CHIS892</v>
          </cell>
        </row>
        <row r="2535">
          <cell r="C2535" t="str">
            <v>Topics in:</v>
          </cell>
          <cell r="D2535" t="str">
            <v>Topics in: Witness to Muslims</v>
          </cell>
          <cell r="E2535" t="str">
            <v>MSSN885</v>
          </cell>
        </row>
        <row r="2536">
          <cell r="C2536" t="str">
            <v>Field Practicum:________</v>
          </cell>
          <cell r="D2536" t="str">
            <v>Field Practicum: Leadership</v>
          </cell>
          <cell r="E2536" t="str">
            <v>DSRE680</v>
          </cell>
        </row>
        <row r="2537">
          <cell r="C2537" t="str">
            <v>Field Practicum:________</v>
          </cell>
          <cell r="D2537" t="str">
            <v>Field Practicum:________</v>
          </cell>
          <cell r="E2537" t="str">
            <v>DSRE680</v>
          </cell>
        </row>
        <row r="2538">
          <cell r="C2538" t="str">
            <v>Top:</v>
          </cell>
          <cell r="D2538" t="str">
            <v>Top:Contemp Topics in Rel Ed</v>
          </cell>
          <cell r="E2538" t="str">
            <v>DSRE676</v>
          </cell>
        </row>
        <row r="2539">
          <cell r="C2539" t="str">
            <v>Adv Studies:</v>
          </cell>
          <cell r="D2539" t="str">
            <v>Adv Studies:SpiritualFormation</v>
          </cell>
          <cell r="E2539" t="str">
            <v>DSRE870</v>
          </cell>
        </row>
        <row r="2540">
          <cell r="C2540" t="str">
            <v>Topics in:</v>
          </cell>
          <cell r="D2540" t="str">
            <v>Top: Daniel</v>
          </cell>
          <cell r="E2540" t="str">
            <v>OTST885</v>
          </cell>
        </row>
        <row r="2541">
          <cell r="C2541" t="str">
            <v>Adv Ministerial Development</v>
          </cell>
          <cell r="E2541" t="str">
            <v>CHMN560</v>
          </cell>
        </row>
        <row r="2542">
          <cell r="C2542" t="str">
            <v>Sem Phil Theology&amp;Ethics:</v>
          </cell>
          <cell r="D2542" t="str">
            <v>Sem Theo&amp;Ethics:Postmod Ethics</v>
          </cell>
          <cell r="E2542" t="str">
            <v>THST659</v>
          </cell>
        </row>
        <row r="2543">
          <cell r="C2543" t="str">
            <v>Field Evangelism: Y &amp; YA Min</v>
          </cell>
          <cell r="E2543" t="str">
            <v>CHMN617</v>
          </cell>
        </row>
        <row r="2544">
          <cell r="C2544" t="str">
            <v>Field Evangelism: Y &amp; YA Min</v>
          </cell>
          <cell r="E2544" t="str">
            <v>CHMN617</v>
          </cell>
        </row>
        <row r="2545">
          <cell r="C2545" t="str">
            <v>Directed Rdg in Hist&amp;Arch St</v>
          </cell>
          <cell r="E2545" t="str">
            <v>ANEA890</v>
          </cell>
        </row>
        <row r="2546">
          <cell r="C2546" t="str">
            <v>Contextualized Preaching</v>
          </cell>
          <cell r="E2546" t="str">
            <v>CHMN632</v>
          </cell>
        </row>
        <row r="2547">
          <cell r="C2547" t="str">
            <v>Topics in:</v>
          </cell>
          <cell r="D2547" t="str">
            <v>Topics in :Biblical Hebrew III</v>
          </cell>
          <cell r="E2547" t="str">
            <v>OTST885</v>
          </cell>
        </row>
        <row r="2548">
          <cell r="C2548" t="str">
            <v>Contemp Adventst Theolgcl Iss</v>
          </cell>
          <cell r="E2548" t="str">
            <v>THST623</v>
          </cell>
        </row>
        <row r="2549">
          <cell r="C2549" t="str">
            <v>Colloquium:</v>
          </cell>
          <cell r="D2549" t="str">
            <v>Cllqm:Urbn &amp; Mssn &amp; Mnstry Cng</v>
          </cell>
          <cell r="E2549" t="str">
            <v>GSEM505</v>
          </cell>
        </row>
        <row r="2550">
          <cell r="C2550" t="str">
            <v>Directed Rdg in Church History</v>
          </cell>
          <cell r="E2550" t="str">
            <v>CHIS890</v>
          </cell>
        </row>
        <row r="2551">
          <cell r="C2551" t="str">
            <v>Adv Studies:</v>
          </cell>
          <cell r="D2551" t="str">
            <v>Adv Studies:Collaborative Min</v>
          </cell>
          <cell r="E2551" t="str">
            <v>DSRE870</v>
          </cell>
        </row>
        <row r="2552">
          <cell r="C2552" t="str">
            <v>Jewish Life &amp; Thought</v>
          </cell>
          <cell r="E2552" t="str">
            <v>OTST627</v>
          </cell>
        </row>
        <row r="2553">
          <cell r="C2553" t="str">
            <v>Near Eastern Archaeology</v>
          </cell>
          <cell r="E2553" t="str">
            <v>ANEA810</v>
          </cell>
        </row>
        <row r="2554">
          <cell r="C2554" t="str">
            <v>Adv Ministerial Development</v>
          </cell>
          <cell r="D2554" t="str">
            <v>Theological Field Education</v>
          </cell>
          <cell r="E2554" t="str">
            <v>CHMN560</v>
          </cell>
        </row>
        <row r="2555">
          <cell r="C2555" t="str">
            <v>Readings in Prophets (Engl)</v>
          </cell>
          <cell r="E2555" t="str">
            <v>OTST556</v>
          </cell>
        </row>
        <row r="2556">
          <cell r="C2556" t="str">
            <v>Directed Rdg in New Testament</v>
          </cell>
          <cell r="D2556" t="str">
            <v>Directed Rdg in NT:</v>
          </cell>
          <cell r="E2556" t="str">
            <v>NTST890</v>
          </cell>
        </row>
        <row r="2557">
          <cell r="C2557" t="str">
            <v>Seminar in Ethics:</v>
          </cell>
          <cell r="D2557" t="str">
            <v>Sem Ethics:Postmodern Ethics</v>
          </cell>
          <cell r="E2557" t="str">
            <v>THST966</v>
          </cell>
        </row>
        <row r="2558">
          <cell r="C2558" t="str">
            <v>Readings in Revelation</v>
          </cell>
          <cell r="E2558" t="str">
            <v>NTST539</v>
          </cell>
        </row>
        <row r="2559">
          <cell r="C2559" t="str">
            <v>Revelation, Inspiratn&amp;Herm</v>
          </cell>
          <cell r="E2559" t="str">
            <v>THST611</v>
          </cell>
        </row>
        <row r="2560">
          <cell r="C2560" t="str">
            <v>Issues in Ellen G White Stdies</v>
          </cell>
          <cell r="E2560" t="str">
            <v>CHIS624</v>
          </cell>
        </row>
        <row r="2561">
          <cell r="C2561" t="str">
            <v>Adv Ministerial Development</v>
          </cell>
          <cell r="E2561" t="str">
            <v>CHMN560</v>
          </cell>
        </row>
        <row r="2562">
          <cell r="C2562" t="str">
            <v>Ind St:</v>
          </cell>
          <cell r="D2562" t="str">
            <v>Ind St:CrssCulturalComm&amp;Missin</v>
          </cell>
          <cell r="E2562" t="str">
            <v>MSSN690</v>
          </cell>
        </row>
        <row r="2563">
          <cell r="C2563" t="str">
            <v>Colloquium:</v>
          </cell>
          <cell r="D2563" t="str">
            <v>Cllqm:Dmn Effct-Empwrng Chldrn</v>
          </cell>
          <cell r="E2563" t="str">
            <v>GSEM505</v>
          </cell>
        </row>
        <row r="2564">
          <cell r="C2564" t="str">
            <v>Colloquium:</v>
          </cell>
          <cell r="D2564" t="str">
            <v>Cllqum:Yth Mnstry:Dscplng Ldrs</v>
          </cell>
          <cell r="E2564" t="str">
            <v>GSEM505</v>
          </cell>
        </row>
        <row r="2565">
          <cell r="C2565" t="str">
            <v>Colloquium:</v>
          </cell>
          <cell r="D2565" t="str">
            <v>Coll:Dmn Effct-Empwrng Chldrn</v>
          </cell>
          <cell r="E2565" t="str">
            <v>GSEM505</v>
          </cell>
        </row>
        <row r="2566">
          <cell r="C2566" t="str">
            <v>Theo&amp;Hist Perspectve Discplshp</v>
          </cell>
          <cell r="E2566" t="str">
            <v>DSRE705</v>
          </cell>
        </row>
        <row r="2567">
          <cell r="C2567" t="str">
            <v>Issues in Origins</v>
          </cell>
          <cell r="E2567" t="str">
            <v>THST635</v>
          </cell>
        </row>
        <row r="2568">
          <cell r="C2568" t="str">
            <v>Ind St:</v>
          </cell>
          <cell r="D2568" t="str">
            <v xml:space="preserve"> Idp Stdy:Mssn Cltrl&amp;RlgsCntxt</v>
          </cell>
          <cell r="E2568" t="str">
            <v>MSSN690</v>
          </cell>
        </row>
        <row r="2569">
          <cell r="C2569" t="str">
            <v>Studies in Hebrews</v>
          </cell>
          <cell r="E2569" t="str">
            <v>NTST538</v>
          </cell>
        </row>
        <row r="2570">
          <cell r="C2570" t="str">
            <v>Principles&amp;Methods of Theology</v>
          </cell>
          <cell r="E2570" t="str">
            <v>THST619</v>
          </cell>
        </row>
        <row r="2571">
          <cell r="C2571" t="str">
            <v>Ind. Study:</v>
          </cell>
          <cell r="E2571" t="str">
            <v>NTST897</v>
          </cell>
        </row>
        <row r="2572">
          <cell r="C2572" t="str">
            <v>Ind. Study:</v>
          </cell>
          <cell r="D2572" t="str">
            <v>Ind Stdy:Moral Exmplrty in Rev</v>
          </cell>
          <cell r="E2572" t="str">
            <v>NTST897</v>
          </cell>
        </row>
        <row r="2573">
          <cell r="C2573" t="str">
            <v>Ind. Study:</v>
          </cell>
          <cell r="D2573" t="str">
            <v>Ind. Study: Advanced Greek</v>
          </cell>
          <cell r="E2573" t="str">
            <v>NTST897</v>
          </cell>
        </row>
        <row r="2574">
          <cell r="C2574" t="str">
            <v>Theology of the Old Testament</v>
          </cell>
          <cell r="E2574" t="str">
            <v>OTST619</v>
          </cell>
        </row>
        <row r="2575">
          <cell r="C2575" t="str">
            <v>Research Project</v>
          </cell>
          <cell r="E2575" t="str">
            <v>GSEM695</v>
          </cell>
        </row>
        <row r="2576">
          <cell r="C2576" t="str">
            <v>PhD-ThD Comp Exams</v>
          </cell>
          <cell r="D2576" t="str">
            <v>PhD-ThD Comp Exams</v>
          </cell>
          <cell r="E2576" t="str">
            <v>GSEM885</v>
          </cell>
        </row>
        <row r="2577">
          <cell r="C2577" t="str">
            <v>Colloquium:</v>
          </cell>
          <cell r="D2577" t="str">
            <v>Colloq:Transforming Worldview</v>
          </cell>
          <cell r="E2577" t="str">
            <v>GSEM505</v>
          </cell>
        </row>
        <row r="2578">
          <cell r="C2578" t="str">
            <v>Ind St:</v>
          </cell>
          <cell r="E2578" t="str">
            <v>CHIS690</v>
          </cell>
        </row>
        <row r="2579">
          <cell r="C2579" t="str">
            <v>Ind St:</v>
          </cell>
          <cell r="D2579" t="str">
            <v>Ind St:Dvlpmnt SDA Theology</v>
          </cell>
          <cell r="E2579" t="str">
            <v>CHIS690</v>
          </cell>
        </row>
        <row r="2580">
          <cell r="C2580" t="str">
            <v>Church Grwth&amp; Equipping Pastor</v>
          </cell>
          <cell r="E2580" t="str">
            <v>CHMN539</v>
          </cell>
        </row>
        <row r="2581">
          <cell r="C2581" t="str">
            <v>Worship:Word &amp; Music</v>
          </cell>
          <cell r="E2581" t="str">
            <v>CHMN523</v>
          </cell>
        </row>
        <row r="2582">
          <cell r="C2582" t="str">
            <v>Topics in:</v>
          </cell>
          <cell r="D2582" t="str">
            <v>Topics in : Biblical Narrative</v>
          </cell>
          <cell r="E2582" t="str">
            <v>OTST885</v>
          </cell>
        </row>
        <row r="2583">
          <cell r="C2583" t="str">
            <v>Readings in Prophets (Engl)</v>
          </cell>
          <cell r="D2583" t="str">
            <v>Readings in Prophets (Engl)</v>
          </cell>
          <cell r="E2583" t="str">
            <v>OTST556</v>
          </cell>
        </row>
        <row r="2584">
          <cell r="C2584" t="str">
            <v>Marriage, Fam&amp;Interprsnl Reltn</v>
          </cell>
          <cell r="D2584" t="str">
            <v>Marriage, Fam&amp;Interprsnl Reltn</v>
          </cell>
          <cell r="E2584" t="str">
            <v>DSRE503</v>
          </cell>
        </row>
        <row r="2585">
          <cell r="C2585" t="str">
            <v>Adv Studies Gospels:</v>
          </cell>
          <cell r="D2585" t="str">
            <v>Adv Studies Gospels: Mark</v>
          </cell>
          <cell r="E2585" t="str">
            <v>NTST655</v>
          </cell>
        </row>
        <row r="2586">
          <cell r="C2586" t="str">
            <v>PhD-ThD Comp Exams</v>
          </cell>
          <cell r="D2586" t="str">
            <v>PhD-ThD Comp Exams</v>
          </cell>
          <cell r="E2586" t="str">
            <v>GSEM885</v>
          </cell>
        </row>
        <row r="2587">
          <cell r="C2587" t="str">
            <v>Sem in Systematic Theology:</v>
          </cell>
          <cell r="D2587" t="str">
            <v>Sem SysTheo:Biblical Narrative</v>
          </cell>
          <cell r="E2587" t="str">
            <v>THST940</v>
          </cell>
        </row>
        <row r="2588">
          <cell r="C2588" t="str">
            <v>Workshop</v>
          </cell>
          <cell r="D2588" t="str">
            <v>Wrkshp:AUMusic&amp;Wrshp Cnfrnc</v>
          </cell>
          <cell r="E2588" t="str">
            <v>GSEM648</v>
          </cell>
        </row>
        <row r="2589">
          <cell r="C2589" t="str">
            <v>Directed Rdgs in Church Min</v>
          </cell>
          <cell r="D2589" t="str">
            <v>Directed Readings</v>
          </cell>
          <cell r="E2589" t="str">
            <v>CHMN890</v>
          </cell>
        </row>
        <row r="2590">
          <cell r="C2590" t="str">
            <v>Top:</v>
          </cell>
          <cell r="D2590" t="str">
            <v>Top:Christology</v>
          </cell>
          <cell r="E2590" t="str">
            <v>THST695</v>
          </cell>
        </row>
        <row r="2591">
          <cell r="C2591" t="str">
            <v>Directed Rdgs Mission Studies</v>
          </cell>
          <cell r="E2591" t="str">
            <v>MSSN890</v>
          </cell>
        </row>
        <row r="2592">
          <cell r="C2592" t="str">
            <v>Directed Rdg in Old Testmt</v>
          </cell>
          <cell r="D2592" t="str">
            <v>Directed Rdg in OT: Aramaic</v>
          </cell>
          <cell r="E2592" t="str">
            <v>OTST890</v>
          </cell>
        </row>
        <row r="2593">
          <cell r="C2593" t="str">
            <v>Directed Rdgs Mission Studies</v>
          </cell>
          <cell r="E2593" t="str">
            <v>MSSN890</v>
          </cell>
        </row>
        <row r="2594">
          <cell r="C2594" t="str">
            <v>Intermediate Greek</v>
          </cell>
          <cell r="E2594" t="str">
            <v>NTST552</v>
          </cell>
        </row>
        <row r="2595">
          <cell r="C2595" t="str">
            <v>Philosphcl Foundtns for Prof</v>
          </cell>
          <cell r="E2595" t="str">
            <v>DSRE606</v>
          </cell>
        </row>
        <row r="2596">
          <cell r="C2596" t="str">
            <v>Adv Studies Gospels:</v>
          </cell>
          <cell r="D2596" t="str">
            <v>Adv Studies Gospels: Matthew</v>
          </cell>
          <cell r="E2596" t="str">
            <v>NTST655</v>
          </cell>
        </row>
        <row r="2597">
          <cell r="C2597" t="str">
            <v>Ind St:</v>
          </cell>
          <cell r="D2597" t="str">
            <v>Ind St: Mission &amp; Other Relgns</v>
          </cell>
          <cell r="E2597" t="str">
            <v>MSSN690</v>
          </cell>
        </row>
        <row r="2598">
          <cell r="C2598" t="str">
            <v>Ind St:</v>
          </cell>
          <cell r="D2598" t="str">
            <v>Ind St:Strat for World Mission</v>
          </cell>
          <cell r="E2598" t="str">
            <v>MSSN690</v>
          </cell>
        </row>
        <row r="2599">
          <cell r="C2599" t="str">
            <v>Biblical Preaching</v>
          </cell>
          <cell r="D2599" t="str">
            <v>Biblical Preaching</v>
          </cell>
          <cell r="E2599" t="str">
            <v>CHMN505</v>
          </cell>
        </row>
        <row r="2600">
          <cell r="C2600" t="str">
            <v>Ind St:</v>
          </cell>
          <cell r="D2600" t="str">
            <v>Ind St: Mission Field Research</v>
          </cell>
          <cell r="E2600" t="str">
            <v>MSSN897</v>
          </cell>
        </row>
        <row r="2601">
          <cell r="C2601" t="str">
            <v>Ind St:</v>
          </cell>
          <cell r="E2601" t="str">
            <v>THST897</v>
          </cell>
        </row>
        <row r="2602">
          <cell r="C2602" t="str">
            <v>Doctoral Degr Continuation</v>
          </cell>
          <cell r="E2602" t="str">
            <v>GSEM888</v>
          </cell>
        </row>
        <row r="2603">
          <cell r="C2603" t="str">
            <v>Ind St:</v>
          </cell>
          <cell r="D2603" t="str">
            <v>Ind St:Strtgs for Wrld Mission</v>
          </cell>
          <cell r="E2603" t="str">
            <v>MSSN690</v>
          </cell>
        </row>
        <row r="2604">
          <cell r="C2604" t="str">
            <v>Ind St:</v>
          </cell>
          <cell r="D2604" t="str">
            <v>Ind St:Theology &amp; Peace Build</v>
          </cell>
          <cell r="E2604" t="str">
            <v>THST897</v>
          </cell>
        </row>
        <row r="2605">
          <cell r="C2605" t="str">
            <v>Independent Study:</v>
          </cell>
          <cell r="E2605" t="str">
            <v>OTST895</v>
          </cell>
        </row>
        <row r="2606">
          <cell r="C2606" t="str">
            <v>Readings in the Gospels</v>
          </cell>
          <cell r="D2606" t="str">
            <v>Readings in the Gospels</v>
          </cell>
          <cell r="E2606" t="str">
            <v>NTST536</v>
          </cell>
        </row>
        <row r="2607">
          <cell r="C2607" t="str">
            <v>Archaeology and the Bible</v>
          </cell>
          <cell r="E2607" t="str">
            <v>OTST510</v>
          </cell>
        </row>
        <row r="2608">
          <cell r="C2608" t="str">
            <v>Topics in:</v>
          </cell>
          <cell r="D2608" t="str">
            <v>Topics in:Strtgs of World Mssn</v>
          </cell>
          <cell r="E2608" t="str">
            <v>MSSN885</v>
          </cell>
        </row>
        <row r="2609">
          <cell r="C2609" t="str">
            <v>Sem in Theological Issues:</v>
          </cell>
          <cell r="D2609" t="str">
            <v>SemTheoIss:Biblical Narratives</v>
          </cell>
          <cell r="E2609" t="str">
            <v>THST649</v>
          </cell>
        </row>
        <row r="2610">
          <cell r="C2610" t="str">
            <v>Health Care Leadership</v>
          </cell>
          <cell r="E2610" t="str">
            <v>CHMN773</v>
          </cell>
        </row>
        <row r="2611">
          <cell r="C2611" t="str">
            <v>Ind. Study:</v>
          </cell>
          <cell r="E2611" t="str">
            <v>NTST897</v>
          </cell>
        </row>
        <row r="2612">
          <cell r="C2612" t="str">
            <v>Ind. Study:</v>
          </cell>
          <cell r="E2612" t="str">
            <v>NTST897</v>
          </cell>
        </row>
        <row r="2613">
          <cell r="C2613" t="str">
            <v>Ind. Study:</v>
          </cell>
          <cell r="E2613" t="str">
            <v>NTST897</v>
          </cell>
        </row>
        <row r="2614">
          <cell r="C2614" t="str">
            <v>Ind. Study:</v>
          </cell>
          <cell r="E2614" t="str">
            <v>NTST897</v>
          </cell>
        </row>
        <row r="2615">
          <cell r="C2615" t="str">
            <v>Ind. Study:</v>
          </cell>
          <cell r="E2615" t="str">
            <v>NTST897</v>
          </cell>
        </row>
        <row r="2616">
          <cell r="C2616" t="str">
            <v>Adv Studies:</v>
          </cell>
          <cell r="D2616" t="str">
            <v>Adv St:Narrative Curriculum</v>
          </cell>
          <cell r="E2616" t="str">
            <v>DSRE870</v>
          </cell>
        </row>
        <row r="2617">
          <cell r="C2617" t="str">
            <v>Ind St:</v>
          </cell>
          <cell r="D2617" t="str">
            <v>Ind St: Issues in Origins</v>
          </cell>
          <cell r="E2617" t="str">
            <v>THST897</v>
          </cell>
        </row>
        <row r="2618">
          <cell r="C2618" t="str">
            <v>Biblical Hebrew II</v>
          </cell>
          <cell r="E2618" t="str">
            <v>OTST552</v>
          </cell>
        </row>
        <row r="2619">
          <cell r="C2619" t="str">
            <v>Ind St:</v>
          </cell>
          <cell r="D2619" t="str">
            <v>Ind St: Hebrew II</v>
          </cell>
          <cell r="E2619" t="str">
            <v>OTST690</v>
          </cell>
        </row>
        <row r="2620">
          <cell r="C2620" t="str">
            <v>Directed Rdgs in Church Min</v>
          </cell>
          <cell r="D2620" t="str">
            <v>Directed Rdgs in Church Min</v>
          </cell>
          <cell r="E2620" t="str">
            <v>CHMN890</v>
          </cell>
        </row>
        <row r="2621">
          <cell r="C2621" t="str">
            <v>Topics in</v>
          </cell>
          <cell r="D2621" t="str">
            <v>Top: Eschatology</v>
          </cell>
          <cell r="E2621" t="str">
            <v>NTST885</v>
          </cell>
        </row>
        <row r="2622">
          <cell r="C2622" t="str">
            <v>Topics:</v>
          </cell>
          <cell r="D2622" t="str">
            <v>Topics:Urban Context</v>
          </cell>
          <cell r="E2622" t="str">
            <v>MSSN695</v>
          </cell>
        </row>
        <row r="2623">
          <cell r="C2623" t="str">
            <v>Doctrine of Salvation</v>
          </cell>
          <cell r="D2623" t="str">
            <v>Doctrine of Salvation</v>
          </cell>
          <cell r="E2623" t="str">
            <v>THST640</v>
          </cell>
        </row>
        <row r="2624">
          <cell r="C2624" t="str">
            <v>Topics in Ministry</v>
          </cell>
          <cell r="D2624" t="str">
            <v>Tpcs Mnstry:ChrchGrwth&amp;EqpPstr</v>
          </cell>
          <cell r="E2624" t="str">
            <v>CHMN517</v>
          </cell>
        </row>
        <row r="2625">
          <cell r="C2625" t="str">
            <v>Discipling Congregational Ldrs</v>
          </cell>
          <cell r="E2625" t="str">
            <v>CHMN752</v>
          </cell>
        </row>
        <row r="2626">
          <cell r="C2626" t="str">
            <v>Ind Stdy:</v>
          </cell>
          <cell r="D2626" t="str">
            <v>Ind Stdy:</v>
          </cell>
          <cell r="E2626" t="str">
            <v>CHMN690</v>
          </cell>
        </row>
        <row r="2627">
          <cell r="C2627" t="str">
            <v>Ind Stdy:</v>
          </cell>
          <cell r="D2627" t="str">
            <v>Ind Stdy:</v>
          </cell>
          <cell r="E2627" t="str">
            <v>CHMN690</v>
          </cell>
        </row>
        <row r="2628">
          <cell r="C2628" t="str">
            <v>Ind Stdy:</v>
          </cell>
          <cell r="D2628" t="str">
            <v>Ind Stdy:</v>
          </cell>
          <cell r="E2628" t="str">
            <v>CHMN690</v>
          </cell>
        </row>
        <row r="2629">
          <cell r="C2629" t="str">
            <v>Ind Stdy:</v>
          </cell>
          <cell r="D2629" t="str">
            <v>Ind Stdy:</v>
          </cell>
          <cell r="E2629" t="str">
            <v>CHMN690</v>
          </cell>
        </row>
        <row r="2630">
          <cell r="C2630" t="str">
            <v>Ind Stdy:</v>
          </cell>
          <cell r="D2630" t="str">
            <v>Ind Stdy:</v>
          </cell>
          <cell r="E2630" t="str">
            <v>CHMN690</v>
          </cell>
        </row>
        <row r="2631">
          <cell r="C2631" t="str">
            <v>Ind Stdy:</v>
          </cell>
          <cell r="D2631" t="str">
            <v>Ind Stdy:</v>
          </cell>
          <cell r="E2631" t="str">
            <v>CHMN690</v>
          </cell>
        </row>
        <row r="2632">
          <cell r="C2632" t="str">
            <v>Ind Stdy:</v>
          </cell>
          <cell r="D2632" t="str">
            <v>Ind Stdy:</v>
          </cell>
          <cell r="E2632" t="str">
            <v>CHMN690</v>
          </cell>
        </row>
        <row r="2633">
          <cell r="C2633" t="str">
            <v>Ind Stdy:</v>
          </cell>
          <cell r="D2633" t="str">
            <v>Ind Stdy:</v>
          </cell>
          <cell r="E2633" t="str">
            <v>CHMN690</v>
          </cell>
        </row>
        <row r="2634">
          <cell r="C2634" t="str">
            <v>Ind Stdy:</v>
          </cell>
          <cell r="D2634" t="str">
            <v>Ind Stdy:</v>
          </cell>
          <cell r="E2634" t="str">
            <v>CHMN690</v>
          </cell>
        </row>
        <row r="2635">
          <cell r="C2635" t="str">
            <v>Ind. Study:</v>
          </cell>
          <cell r="D2635" t="str">
            <v>Ind. Study:</v>
          </cell>
          <cell r="E2635" t="str">
            <v>NTST897</v>
          </cell>
        </row>
        <row r="2636">
          <cell r="C2636" t="str">
            <v>Ind. Study:</v>
          </cell>
          <cell r="D2636" t="str">
            <v>Ind. Study:</v>
          </cell>
          <cell r="E2636" t="str">
            <v>NTST897</v>
          </cell>
        </row>
        <row r="2637">
          <cell r="C2637" t="str">
            <v>Ind. Study:</v>
          </cell>
          <cell r="D2637" t="str">
            <v>Ind. Study:</v>
          </cell>
          <cell r="E2637" t="str">
            <v>NTST897</v>
          </cell>
        </row>
        <row r="2638">
          <cell r="C2638" t="str">
            <v>Ind. Study:</v>
          </cell>
          <cell r="D2638" t="str">
            <v>Ind. Study:</v>
          </cell>
          <cell r="E2638" t="str">
            <v>NTST897</v>
          </cell>
        </row>
        <row r="2639">
          <cell r="C2639" t="str">
            <v>Ind. Study:</v>
          </cell>
          <cell r="D2639" t="str">
            <v>Ind. Study:</v>
          </cell>
          <cell r="E2639" t="str">
            <v>NTST897</v>
          </cell>
        </row>
        <row r="2640">
          <cell r="C2640" t="str">
            <v>Ind Stdy:</v>
          </cell>
          <cell r="D2640" t="str">
            <v>Ind Stdy:</v>
          </cell>
          <cell r="E2640" t="str">
            <v>CHMN690</v>
          </cell>
        </row>
        <row r="2641">
          <cell r="C2641" t="str">
            <v>Ind Stdy:</v>
          </cell>
          <cell r="D2641" t="str">
            <v>Ind Stdy:</v>
          </cell>
          <cell r="E2641" t="str">
            <v>CHMN690</v>
          </cell>
        </row>
        <row r="2642">
          <cell r="C2642" t="str">
            <v>PhD-ThD Comp Exams</v>
          </cell>
          <cell r="D2642" t="str">
            <v>PhD-ThD Comp Exams</v>
          </cell>
          <cell r="E2642" t="str">
            <v>GSEM885</v>
          </cell>
        </row>
        <row r="2643">
          <cell r="C2643" t="str">
            <v>Ind. Study:</v>
          </cell>
          <cell r="D2643" t="str">
            <v>Ind. Study:</v>
          </cell>
          <cell r="E2643" t="str">
            <v>NTST897</v>
          </cell>
        </row>
        <row r="2644">
          <cell r="C2644" t="str">
            <v>Ind. Study:</v>
          </cell>
          <cell r="D2644" t="str">
            <v>Ind. Study:</v>
          </cell>
          <cell r="E2644" t="str">
            <v>NTST897</v>
          </cell>
        </row>
        <row r="2645">
          <cell r="C2645" t="str">
            <v>Ind Stdy:</v>
          </cell>
          <cell r="D2645" t="str">
            <v>Ind Stdy:</v>
          </cell>
          <cell r="E2645" t="str">
            <v>CHMN690</v>
          </cell>
        </row>
        <row r="2646">
          <cell r="C2646" t="str">
            <v>Issues in Origins</v>
          </cell>
          <cell r="E2646" t="str">
            <v>THST635</v>
          </cell>
        </row>
        <row r="2647">
          <cell r="C2647" t="str">
            <v>Sem:</v>
          </cell>
          <cell r="D2647" t="str">
            <v>Sem: World Religions</v>
          </cell>
          <cell r="E2647" t="str">
            <v>MSSN810</v>
          </cell>
        </row>
        <row r="2648">
          <cell r="C2648" t="str">
            <v>Ministry to At-Risk Youth</v>
          </cell>
          <cell r="D2648" t="str">
            <v>Ministry to At-Risk Youth</v>
          </cell>
          <cell r="E2648" t="str">
            <v>DSRE626</v>
          </cell>
        </row>
        <row r="2649">
          <cell r="C2649" t="str">
            <v>Colloquium:</v>
          </cell>
          <cell r="D2649" t="str">
            <v>Colloq:AU Rise Up Against Abus</v>
          </cell>
          <cell r="E2649" t="str">
            <v>GSEM505</v>
          </cell>
        </row>
        <row r="2650">
          <cell r="C2650" t="str">
            <v>Colloquium:</v>
          </cell>
          <cell r="D2650" t="str">
            <v>Coloq:Mental Health&amp;Depression</v>
          </cell>
          <cell r="E2650" t="str">
            <v>GSEM505</v>
          </cell>
        </row>
        <row r="2651">
          <cell r="C2651" t="str">
            <v>Ind St:</v>
          </cell>
          <cell r="D2651" t="str">
            <v>Ind St:Crstn Rspns Human Needs</v>
          </cell>
          <cell r="E2651" t="str">
            <v>MSSN690</v>
          </cell>
        </row>
        <row r="2652">
          <cell r="C2652" t="str">
            <v>Fndtns of Biblicl Spirituality</v>
          </cell>
          <cell r="E2652" t="str">
            <v>DSRE541</v>
          </cell>
        </row>
        <row r="2653">
          <cell r="C2653" t="str">
            <v>Colloquium:</v>
          </cell>
          <cell r="D2653" t="str">
            <v>Colloquium:Urban Miss&amp;Min</v>
          </cell>
          <cell r="E2653" t="str">
            <v>GSEM505</v>
          </cell>
        </row>
        <row r="2654">
          <cell r="C2654" t="str">
            <v>Workshop</v>
          </cell>
          <cell r="D2654" t="str">
            <v>Wrkshp:Preparation for Mission</v>
          </cell>
          <cell r="E2654" t="str">
            <v>GSEM648</v>
          </cell>
        </row>
        <row r="2655">
          <cell r="C2655" t="str">
            <v>Ind St:</v>
          </cell>
          <cell r="E2655" t="str">
            <v>CHIS690</v>
          </cell>
        </row>
        <row r="2656">
          <cell r="C2656" t="str">
            <v>Intermediate Greek</v>
          </cell>
          <cell r="D2656" t="str">
            <v>Intermediate Greek</v>
          </cell>
          <cell r="E2656" t="str">
            <v>NTST552</v>
          </cell>
        </row>
        <row r="2657">
          <cell r="C2657" t="str">
            <v>Colloquium:</v>
          </cell>
          <cell r="D2657" t="str">
            <v>Coll:HopeFilled Financial Mgmt</v>
          </cell>
          <cell r="E2657" t="str">
            <v>GSEM505</v>
          </cell>
        </row>
        <row r="2658">
          <cell r="C2658" t="str">
            <v>PhD-ThD Diss Prop Prep</v>
          </cell>
          <cell r="E2658" t="str">
            <v>GSEM844</v>
          </cell>
        </row>
        <row r="2659">
          <cell r="C2659" t="str">
            <v>Prep for Comprehensive Exams</v>
          </cell>
          <cell r="E2659" t="str">
            <v>GSEM880</v>
          </cell>
        </row>
        <row r="2660">
          <cell r="C2660" t="str">
            <v>PhD-ThD Comp Exams</v>
          </cell>
          <cell r="E2660" t="str">
            <v>GSEM885</v>
          </cell>
        </row>
        <row r="2661">
          <cell r="C2661" t="str">
            <v>Doctoral Degr Continuation</v>
          </cell>
          <cell r="E2661" t="str">
            <v>GSEM888</v>
          </cell>
        </row>
        <row r="2662">
          <cell r="C2662" t="str">
            <v>Doctoral Degr Continuation</v>
          </cell>
          <cell r="E2662" t="str">
            <v>GSEM888</v>
          </cell>
        </row>
        <row r="2663">
          <cell r="C2663" t="str">
            <v>Contemp Adventst Theolgcl Iss</v>
          </cell>
          <cell r="D2663" t="str">
            <v>Contemp Adventst Theolgcl Iss</v>
          </cell>
          <cell r="E2663" t="str">
            <v>THST623</v>
          </cell>
        </row>
        <row r="2664">
          <cell r="C2664" t="str">
            <v>PhD-ThD Comp Exams</v>
          </cell>
          <cell r="E2664" t="str">
            <v>GSEM885</v>
          </cell>
        </row>
        <row r="2665">
          <cell r="C2665" t="str">
            <v>Bilingual Ministry</v>
          </cell>
          <cell r="E2665" t="str">
            <v>CHMN538</v>
          </cell>
        </row>
        <row r="2666">
          <cell r="C2666" t="str">
            <v>Archaeology and the Bible</v>
          </cell>
          <cell r="D2666" t="str">
            <v>Archaeology and the Bible</v>
          </cell>
          <cell r="E2666" t="str">
            <v>OTST510</v>
          </cell>
        </row>
        <row r="2667">
          <cell r="C2667" t="str">
            <v>In-Ministry Continuation</v>
          </cell>
          <cell r="D2667" t="str">
            <v>In-Ministry Continuation</v>
          </cell>
          <cell r="E2667" t="str">
            <v>GSEM588</v>
          </cell>
        </row>
        <row r="2668">
          <cell r="C2668" t="str">
            <v>Prep for Comprehensive Exams</v>
          </cell>
          <cell r="E2668" t="str">
            <v>GSEM880</v>
          </cell>
        </row>
        <row r="2669">
          <cell r="C2669" t="str">
            <v>Field Practicum:________</v>
          </cell>
          <cell r="D2669" t="str">
            <v>Field Pract: Religious Educatn</v>
          </cell>
          <cell r="E2669" t="str">
            <v>DSRE680</v>
          </cell>
        </row>
        <row r="2670">
          <cell r="C2670" t="str">
            <v>Roman Catholic Life &amp; Thought</v>
          </cell>
          <cell r="D2670" t="str">
            <v>Roman Catholic Life &amp; Thought</v>
          </cell>
          <cell r="E2670" t="str">
            <v>THST627</v>
          </cell>
        </row>
        <row r="2671">
          <cell r="C2671" t="str">
            <v>Jewish Life &amp; Thought</v>
          </cell>
          <cell r="D2671" t="str">
            <v>Jewish Life &amp; Thought</v>
          </cell>
          <cell r="E2671" t="str">
            <v>OTST627</v>
          </cell>
        </row>
        <row r="2672">
          <cell r="C2672" t="str">
            <v>Revelation, Inspiratn&amp;Herm</v>
          </cell>
          <cell r="D2672" t="str">
            <v>Revelation, Inspiratn&amp;Herm</v>
          </cell>
          <cell r="E2672" t="str">
            <v>THST611</v>
          </cell>
        </row>
        <row r="2673">
          <cell r="C2673" t="str">
            <v>Issues in Ellen G White Stdies</v>
          </cell>
          <cell r="D2673" t="str">
            <v>Issues in Ellen G White Stdies</v>
          </cell>
          <cell r="E2673" t="str">
            <v>CHIS624</v>
          </cell>
        </row>
        <row r="2674">
          <cell r="C2674" t="str">
            <v>Doctoral Degr Continuation</v>
          </cell>
          <cell r="E2674" t="str">
            <v>GSEM888</v>
          </cell>
        </row>
        <row r="2675">
          <cell r="C2675" t="str">
            <v>Ind St:</v>
          </cell>
          <cell r="D2675" t="str">
            <v>Ind St:Church History Study</v>
          </cell>
          <cell r="E2675" t="str">
            <v>CHIS690</v>
          </cell>
        </row>
        <row r="2676">
          <cell r="C2676" t="str">
            <v>Ind St:</v>
          </cell>
          <cell r="D2676" t="str">
            <v>Ind St:History SDA Development</v>
          </cell>
          <cell r="E2676" t="str">
            <v>CHIS690</v>
          </cell>
        </row>
        <row r="2677">
          <cell r="C2677" t="str">
            <v>Ind St:</v>
          </cell>
          <cell r="D2677" t="str">
            <v>Ind St:Stud in Church History</v>
          </cell>
          <cell r="E2677" t="str">
            <v>CHIS690</v>
          </cell>
        </row>
        <row r="2678">
          <cell r="C2678" t="str">
            <v>Intermediate Greek</v>
          </cell>
          <cell r="D2678" t="str">
            <v>Intermediate Greek</v>
          </cell>
          <cell r="E2678" t="str">
            <v>NTST552</v>
          </cell>
        </row>
        <row r="2679">
          <cell r="C2679" t="str">
            <v>Issues in Origins</v>
          </cell>
          <cell r="D2679" t="str">
            <v>Issues in Origins</v>
          </cell>
          <cell r="E2679" t="str">
            <v>THST635</v>
          </cell>
        </row>
        <row r="2680">
          <cell r="C2680" t="str">
            <v>Principles&amp;Methods of Theology</v>
          </cell>
          <cell r="D2680" t="str">
            <v>Principles&amp;Methods of Theology</v>
          </cell>
          <cell r="E2680" t="str">
            <v>THST619</v>
          </cell>
        </row>
        <row r="2681">
          <cell r="C2681" t="str">
            <v>Sem:</v>
          </cell>
          <cell r="D2681" t="str">
            <v>Sem: Other Religions</v>
          </cell>
          <cell r="E2681" t="str">
            <v>MSSN810</v>
          </cell>
        </row>
        <row r="2682">
          <cell r="C2682" t="str">
            <v>Advanced Campus Ministry</v>
          </cell>
          <cell r="E2682" t="str">
            <v>DSRE664</v>
          </cell>
        </row>
        <row r="2683">
          <cell r="C2683" t="str">
            <v>Colloquium:</v>
          </cell>
          <cell r="D2683" t="str">
            <v>Colloquium:NAD End it Now Conf</v>
          </cell>
          <cell r="E2683" t="str">
            <v>GSEM505</v>
          </cell>
        </row>
        <row r="2684">
          <cell r="C2684" t="str">
            <v>PhD-ThD Diss Prop Prep</v>
          </cell>
          <cell r="E2684" t="str">
            <v>GSEM844</v>
          </cell>
        </row>
        <row r="2685">
          <cell r="C2685" t="str">
            <v>Teaching for Discipleship</v>
          </cell>
          <cell r="E2685" t="str">
            <v>DSRE610</v>
          </cell>
        </row>
        <row r="2686">
          <cell r="C2686" t="str">
            <v>Field Practicum:MAYYAM</v>
          </cell>
          <cell r="E2686" t="str">
            <v>DSRE660</v>
          </cell>
        </row>
        <row r="2687">
          <cell r="C2687" t="str">
            <v>Biblical Hebrew II</v>
          </cell>
          <cell r="D2687" t="str">
            <v>Biblical Hebrew II</v>
          </cell>
          <cell r="E2687" t="str">
            <v>OTST552</v>
          </cell>
        </row>
        <row r="2688">
          <cell r="C2688" t="str">
            <v>PhD-ThD Comp Exams</v>
          </cell>
          <cell r="E2688" t="str">
            <v>GSEM885</v>
          </cell>
        </row>
        <row r="2689">
          <cell r="C2689" t="str">
            <v>Church History Study Tour</v>
          </cell>
          <cell r="E2689" t="str">
            <v>GSEM678</v>
          </cell>
        </row>
        <row r="2690">
          <cell r="C2690" t="str">
            <v>Ind St:</v>
          </cell>
          <cell r="D2690" t="str">
            <v>Ind St: Adventist Heritage</v>
          </cell>
          <cell r="E2690" t="str">
            <v>CHIS690</v>
          </cell>
        </row>
        <row r="2691">
          <cell r="C2691" t="str">
            <v>DMiss Dissertation</v>
          </cell>
          <cell r="E2691" t="str">
            <v>MSSN899</v>
          </cell>
        </row>
        <row r="2692">
          <cell r="C2692" t="str">
            <v>Topics:</v>
          </cell>
          <cell r="D2692" t="str">
            <v>Top:Mission Cultur&amp;Rel Context</v>
          </cell>
          <cell r="E2692" t="str">
            <v>MSSN695</v>
          </cell>
        </row>
        <row r="2693">
          <cell r="C2693" t="str">
            <v>Worship:Word &amp; Music</v>
          </cell>
          <cell r="D2693" t="str">
            <v>Worship:Word &amp; Music</v>
          </cell>
          <cell r="E2693" t="str">
            <v>CHMN523</v>
          </cell>
        </row>
        <row r="2694">
          <cell r="C2694" t="str">
            <v>Prof Development Practicum</v>
          </cell>
          <cell r="E2694" t="str">
            <v>CHMN556</v>
          </cell>
        </row>
        <row r="2695">
          <cell r="C2695" t="str">
            <v>Workshop</v>
          </cell>
          <cell r="D2695" t="str">
            <v>Workshop:Coaching</v>
          </cell>
          <cell r="E2695" t="str">
            <v>GSEM648</v>
          </cell>
        </row>
        <row r="2696">
          <cell r="C2696" t="str">
            <v>Colloquium:</v>
          </cell>
          <cell r="D2696" t="str">
            <v>Colloquium:Master Guide</v>
          </cell>
          <cell r="E2696" t="str">
            <v>GSEM505</v>
          </cell>
        </row>
        <row r="2697">
          <cell r="C2697" t="str">
            <v>Prep for Comprehensive Exams</v>
          </cell>
          <cell r="E2697" t="str">
            <v>GSEM880</v>
          </cell>
        </row>
        <row r="2698">
          <cell r="C2698" t="str">
            <v>Adv Studies:</v>
          </cell>
          <cell r="D2698" t="str">
            <v>Adv Stds:Thlgcal Fndtns Chrstn</v>
          </cell>
          <cell r="E2698" t="str">
            <v>DSRE870</v>
          </cell>
        </row>
        <row r="2699">
          <cell r="C2699" t="str">
            <v>Bilingual Ministry</v>
          </cell>
          <cell r="E2699" t="str">
            <v>CHMN538</v>
          </cell>
        </row>
        <row r="2700">
          <cell r="C2700" t="str">
            <v>CollabMin: Part in Disc&amp;Mssn</v>
          </cell>
          <cell r="E2700" t="str">
            <v>DSRE616</v>
          </cell>
        </row>
        <row r="2701">
          <cell r="C2701" t="str">
            <v>PhD-ThD Diss Prop Prep</v>
          </cell>
          <cell r="E2701" t="str">
            <v>GSEM844</v>
          </cell>
        </row>
        <row r="2702">
          <cell r="C2702" t="str">
            <v>Ind St:</v>
          </cell>
          <cell r="D2702" t="str">
            <v>Ind St:Y&amp;YA Cntmprry Cltr</v>
          </cell>
          <cell r="E2702" t="str">
            <v>DSRE690</v>
          </cell>
        </row>
        <row r="2703">
          <cell r="C2703" t="str">
            <v>Ind St:</v>
          </cell>
          <cell r="D2703" t="str">
            <v>Ind St:Mnstry to At Risk Youth</v>
          </cell>
          <cell r="E2703" t="str">
            <v>DSRE690</v>
          </cell>
        </row>
        <row r="2704">
          <cell r="C2704" t="str">
            <v>Field Practicum:</v>
          </cell>
          <cell r="D2704" t="str">
            <v>Field Practicum: Religious Ed</v>
          </cell>
          <cell r="E2704" t="str">
            <v>DSRE885</v>
          </cell>
        </row>
        <row r="2705">
          <cell r="C2705" t="str">
            <v>Fndtns of Biblicl Spirituality</v>
          </cell>
          <cell r="E2705" t="str">
            <v>DSRE541</v>
          </cell>
        </row>
        <row r="2706">
          <cell r="C2706" t="str">
            <v>Development SDA Theology</v>
          </cell>
          <cell r="E2706" t="str">
            <v>CHIS674</v>
          </cell>
        </row>
        <row r="2707">
          <cell r="C2707" t="str">
            <v>Studies in Hebrews</v>
          </cell>
          <cell r="E2707" t="str">
            <v>NTST538</v>
          </cell>
        </row>
        <row r="2708">
          <cell r="C2708" t="str">
            <v>Top:</v>
          </cell>
          <cell r="D2708" t="str">
            <v>Top: Contemporary Theology</v>
          </cell>
          <cell r="E2708" t="str">
            <v>THST885</v>
          </cell>
        </row>
        <row r="2709">
          <cell r="C2709" t="str">
            <v>Colloquium:</v>
          </cell>
          <cell r="D2709" t="str">
            <v>Colloquim:Advntst Lrnng Cmmnts</v>
          </cell>
          <cell r="E2709" t="str">
            <v>GSEM505</v>
          </cell>
        </row>
        <row r="2710">
          <cell r="C2710" t="str">
            <v>Top:</v>
          </cell>
          <cell r="D2710" t="str">
            <v>Top: History of Philosophy</v>
          </cell>
          <cell r="E2710" t="str">
            <v>THST885</v>
          </cell>
        </row>
        <row r="2711">
          <cell r="C2711" t="str">
            <v>Adv Studies:</v>
          </cell>
          <cell r="D2711" t="str">
            <v>Adv Stds:Ethical Lead&amp;Org Intg</v>
          </cell>
          <cell r="E2711" t="str">
            <v>DSRE870</v>
          </cell>
        </row>
        <row r="2712">
          <cell r="C2712" t="str">
            <v>Adv Studies:</v>
          </cell>
          <cell r="D2712" t="str">
            <v>Adv Stds:Dssrttn Ltrtr Review</v>
          </cell>
          <cell r="E2712" t="str">
            <v>DSRE870</v>
          </cell>
        </row>
        <row r="2713">
          <cell r="C2713" t="str">
            <v>Ind St:</v>
          </cell>
          <cell r="D2713" t="str">
            <v>Ind St: History of Mission</v>
          </cell>
          <cell r="E2713" t="str">
            <v>MSSN897</v>
          </cell>
        </row>
        <row r="2714">
          <cell r="C2714" t="str">
            <v>Readings in the Gospels</v>
          </cell>
          <cell r="E2714" t="str">
            <v>NTST536</v>
          </cell>
        </row>
        <row r="2715">
          <cell r="C2715" t="str">
            <v>PhD-ThD Diss Prop Prep</v>
          </cell>
          <cell r="D2715" t="str">
            <v>PhD-ThD Diss Prop Prep</v>
          </cell>
          <cell r="E2715" t="str">
            <v>GSEM844</v>
          </cell>
        </row>
        <row r="2716">
          <cell r="C2716" t="str">
            <v>Contextualized Preaching</v>
          </cell>
          <cell r="D2716" t="str">
            <v>Contextualized Prchng: Spanish</v>
          </cell>
          <cell r="E2716" t="str">
            <v>CHMN632</v>
          </cell>
        </row>
        <row r="2717">
          <cell r="C2717" t="str">
            <v>Principles of Christian Ethics</v>
          </cell>
          <cell r="E2717" t="str">
            <v>THST550</v>
          </cell>
        </row>
        <row r="2718">
          <cell r="C2718" t="str">
            <v>Ind St:</v>
          </cell>
          <cell r="D2718" t="str">
            <v>Ind St: Adventist Heritage</v>
          </cell>
          <cell r="E2718" t="str">
            <v>CHIS690</v>
          </cell>
        </row>
        <row r="2719">
          <cell r="C2719" t="str">
            <v>DMiss Dissertation</v>
          </cell>
          <cell r="E2719" t="str">
            <v>MSSN899</v>
          </cell>
        </row>
        <row r="2720">
          <cell r="C2720" t="str">
            <v>Sem in Systematic Theology:</v>
          </cell>
          <cell r="D2720" t="str">
            <v>Sem in Systematic Theology:</v>
          </cell>
          <cell r="E2720" t="str">
            <v>THST940</v>
          </cell>
        </row>
        <row r="2721">
          <cell r="C2721" t="str">
            <v>Topics in</v>
          </cell>
          <cell r="D2721" t="str">
            <v>Top:Rdgs in the Septuagint</v>
          </cell>
          <cell r="E2721" t="str">
            <v>NTST885</v>
          </cell>
        </row>
        <row r="2722">
          <cell r="C2722" t="str">
            <v>Ind St:</v>
          </cell>
          <cell r="D2722" t="str">
            <v>Ind St: Biblical Spirituality</v>
          </cell>
          <cell r="E2722" t="str">
            <v>DSRE690</v>
          </cell>
        </row>
        <row r="2723">
          <cell r="C2723" t="str">
            <v>Adv Studies:</v>
          </cell>
          <cell r="D2723" t="str">
            <v>Adv Studies:DscplshpAdvntEduc</v>
          </cell>
          <cell r="E2723" t="str">
            <v>DSRE870</v>
          </cell>
        </row>
        <row r="2724">
          <cell r="C2724" t="str">
            <v>Prep for Comprehensive Exams</v>
          </cell>
          <cell r="E2724" t="str">
            <v>GSEM880</v>
          </cell>
        </row>
        <row r="2725">
          <cell r="C2725" t="str">
            <v>PhD-ThD Comp Exams</v>
          </cell>
          <cell r="E2725" t="str">
            <v>GSEM885</v>
          </cell>
        </row>
        <row r="2726">
          <cell r="C2726" t="str">
            <v>Stud in the Pentateuch (Engl)</v>
          </cell>
          <cell r="D2726" t="str">
            <v>Stud in the Pentateuch (Engl)</v>
          </cell>
          <cell r="E2726" t="str">
            <v>OTST566</v>
          </cell>
        </row>
        <row r="2727">
          <cell r="C2727" t="str">
            <v>Ind St:</v>
          </cell>
          <cell r="D2727" t="str">
            <v>Ind St:Chrstn Rspnss Hmn Needs</v>
          </cell>
          <cell r="E2727" t="str">
            <v>MSSN690</v>
          </cell>
        </row>
        <row r="2728">
          <cell r="C2728" t="str">
            <v>Church History Study Tour</v>
          </cell>
          <cell r="D2728" t="str">
            <v>Church History Study Tour</v>
          </cell>
          <cell r="E2728" t="str">
            <v>GSEM678</v>
          </cell>
        </row>
        <row r="2729">
          <cell r="C2729" t="str">
            <v>Sem in Theological Issues:</v>
          </cell>
          <cell r="D2729" t="str">
            <v>Sem in Theological Issues:</v>
          </cell>
          <cell r="E2729" t="str">
            <v>THST649</v>
          </cell>
        </row>
        <row r="2730">
          <cell r="C2730" t="str">
            <v>PhD-ThD Diss Prop Prep</v>
          </cell>
          <cell r="E2730" t="str">
            <v>GSEM844</v>
          </cell>
        </row>
        <row r="2731">
          <cell r="C2731" t="str">
            <v>Ind Stdy:</v>
          </cell>
          <cell r="D2731" t="str">
            <v>Ind Stdy:</v>
          </cell>
          <cell r="E2731" t="str">
            <v>CHMN690</v>
          </cell>
        </row>
        <row r="2732">
          <cell r="C2732" t="str">
            <v>Seminar in Church History:</v>
          </cell>
          <cell r="D2732" t="str">
            <v>StChHist:Linguist Theologians</v>
          </cell>
          <cell r="E2732" t="str">
            <v>CHIS940</v>
          </cell>
        </row>
        <row r="2733">
          <cell r="C2733" t="str">
            <v>Colloquium:</v>
          </cell>
          <cell r="D2733" t="str">
            <v>Colloquium:End It Now</v>
          </cell>
          <cell r="E2733" t="str">
            <v>GSEM505</v>
          </cell>
        </row>
        <row r="2734">
          <cell r="C2734" t="str">
            <v>Foundations in Religious Educ</v>
          </cell>
          <cell r="E2734" t="str">
            <v>DSRE605</v>
          </cell>
        </row>
        <row r="2735">
          <cell r="C2735" t="str">
            <v>Ind St:</v>
          </cell>
          <cell r="D2735" t="str">
            <v>Ind St:Prep Cross-cult Workers</v>
          </cell>
          <cell r="E2735" t="str">
            <v>MSSN690</v>
          </cell>
        </row>
        <row r="2736">
          <cell r="C2736" t="str">
            <v>Ind St:</v>
          </cell>
          <cell r="D2736" t="str">
            <v>Ind St: Minor Prophets</v>
          </cell>
          <cell r="E2736" t="str">
            <v>OTST690</v>
          </cell>
        </row>
        <row r="2737">
          <cell r="C2737" t="str">
            <v>Ind St:</v>
          </cell>
          <cell r="D2737" t="str">
            <v>Ind St:Field Rsrch for Mission</v>
          </cell>
          <cell r="E2737" t="str">
            <v>MSSN897</v>
          </cell>
        </row>
        <row r="2738">
          <cell r="C2738" t="str">
            <v>Top:</v>
          </cell>
          <cell r="D2738" t="str">
            <v>Top: Contemporary Theology</v>
          </cell>
          <cell r="E2738" t="str">
            <v>THST885</v>
          </cell>
        </row>
        <row r="2739">
          <cell r="C2739" t="str">
            <v>Colloquium:</v>
          </cell>
          <cell r="D2739" t="str">
            <v>Coll:Deal Biblicly w/Demonzatn</v>
          </cell>
          <cell r="E2739" t="str">
            <v>GSEM505</v>
          </cell>
        </row>
        <row r="2740">
          <cell r="C2740" t="str">
            <v>Doctoral Degr Continuation</v>
          </cell>
          <cell r="E2740" t="str">
            <v>GSEM888</v>
          </cell>
        </row>
        <row r="2741">
          <cell r="C2741" t="str">
            <v>Church Growth</v>
          </cell>
          <cell r="E2741" t="str">
            <v>CHMN541</v>
          </cell>
        </row>
        <row r="2742">
          <cell r="C2742" t="str">
            <v>Principles of Christian Ethics</v>
          </cell>
          <cell r="E2742" t="str">
            <v>THST550</v>
          </cell>
        </row>
        <row r="2743">
          <cell r="C2743" t="str">
            <v>Church Grwth&amp; Equipping Pastor</v>
          </cell>
          <cell r="D2743" t="str">
            <v>Church Grwth&amp; Equipping Leader</v>
          </cell>
          <cell r="E2743" t="str">
            <v>CHMN539</v>
          </cell>
        </row>
        <row r="2744">
          <cell r="C2744" t="str">
            <v>Ind St:</v>
          </cell>
          <cell r="D2744" t="str">
            <v>Ind St:Advntst Stds Research</v>
          </cell>
          <cell r="E2744" t="str">
            <v>CHIS690</v>
          </cell>
        </row>
        <row r="2745">
          <cell r="C2745" t="str">
            <v>Colloquium:</v>
          </cell>
          <cell r="D2745" t="str">
            <v>Colloquium:Jesus &amp; Politics</v>
          </cell>
          <cell r="E2745" t="str">
            <v>GSEM505</v>
          </cell>
        </row>
        <row r="2746">
          <cell r="C2746" t="str">
            <v>Health&amp;Lifestyle Transformatn</v>
          </cell>
          <cell r="D2746" t="str">
            <v>Health&amp;Lifestyle Transformatn</v>
          </cell>
          <cell r="E2746" t="str">
            <v>CHMN567</v>
          </cell>
        </row>
        <row r="2747">
          <cell r="C2747" t="str">
            <v>New Student Orientation</v>
          </cell>
          <cell r="E2747" t="str">
            <v>GSEM501</v>
          </cell>
        </row>
        <row r="2748">
          <cell r="C2748" t="str">
            <v>Marriage, Fam&amp;Interprsnl Reltn</v>
          </cell>
          <cell r="E2748" t="str">
            <v>DSRE503</v>
          </cell>
        </row>
        <row r="2749">
          <cell r="C2749" t="str">
            <v>Ind St:</v>
          </cell>
          <cell r="D2749" t="str">
            <v>Ind St:Scnctuary Typology</v>
          </cell>
          <cell r="E2749" t="str">
            <v>THST897</v>
          </cell>
        </row>
        <row r="2750">
          <cell r="C2750" t="str">
            <v>Ind St:</v>
          </cell>
          <cell r="D2750" t="str">
            <v>Ind St:Black Theodicy</v>
          </cell>
          <cell r="E2750" t="str">
            <v>THST897</v>
          </cell>
        </row>
        <row r="2751">
          <cell r="C2751" t="str">
            <v>Research Project</v>
          </cell>
          <cell r="E2751" t="str">
            <v>GSEM695</v>
          </cell>
        </row>
        <row r="2752">
          <cell r="C2752" t="str">
            <v>Found of Philosophical Ethics</v>
          </cell>
          <cell r="E2752" t="str">
            <v>THST622</v>
          </cell>
        </row>
        <row r="2753">
          <cell r="C2753" t="str">
            <v>Postdoctoral Seminar</v>
          </cell>
          <cell r="E2753" t="str">
            <v>GSEM990</v>
          </cell>
        </row>
        <row r="2754">
          <cell r="C2754" t="str">
            <v>Assmnt Treatmt Victim Violence</v>
          </cell>
          <cell r="E2754" t="str">
            <v>DSRE543</v>
          </cell>
        </row>
        <row r="2755">
          <cell r="C2755" t="str">
            <v>Postdoctoral Research Project</v>
          </cell>
          <cell r="E2755" t="str">
            <v>GSEM898</v>
          </cell>
        </row>
        <row r="2756">
          <cell r="C2756" t="str">
            <v>Practicum Military Chaplaincy</v>
          </cell>
          <cell r="D2756" t="str">
            <v>Practicum Military Chaplaincy</v>
          </cell>
          <cell r="E2756" t="str">
            <v>CHMN641</v>
          </cell>
        </row>
        <row r="2757">
          <cell r="C2757" t="str">
            <v>Doctrine of God</v>
          </cell>
          <cell r="E2757" t="str">
            <v>THST616</v>
          </cell>
        </row>
        <row r="2758">
          <cell r="C2758" t="str">
            <v>Colloquium:</v>
          </cell>
          <cell r="D2758" t="str">
            <v>Coll:Club Ministries Evangelsm</v>
          </cell>
          <cell r="E2758" t="str">
            <v>GSEM505</v>
          </cell>
        </row>
        <row r="2759">
          <cell r="C2759" t="str">
            <v>Hist of Seventh-day Adv Theo</v>
          </cell>
          <cell r="E2759" t="str">
            <v>CHIS574</v>
          </cell>
        </row>
        <row r="2760">
          <cell r="C2760" t="str">
            <v>Studies in Daniel (Engl)</v>
          </cell>
          <cell r="D2760" t="str">
            <v>Studies in Daniel (Engl)</v>
          </cell>
          <cell r="E2760" t="str">
            <v>OTST546</v>
          </cell>
        </row>
        <row r="2761">
          <cell r="C2761" t="str">
            <v>Adv Studies:</v>
          </cell>
          <cell r="D2761" t="str">
            <v>Adv Stds:ChrstnFormtn&amp;Dscplshp</v>
          </cell>
          <cell r="E2761" t="str">
            <v>DSRE870</v>
          </cell>
        </row>
        <row r="2762">
          <cell r="C2762" t="str">
            <v>Topics in:</v>
          </cell>
          <cell r="D2762" t="str">
            <v>Top: Theology of the OT</v>
          </cell>
          <cell r="E2762" t="str">
            <v>OTST885</v>
          </cell>
        </row>
        <row r="2763">
          <cell r="C2763" t="str">
            <v>Adv Studies:</v>
          </cell>
          <cell r="D2763" t="str">
            <v>Adv Studies:Synthesis Rel Ed</v>
          </cell>
          <cell r="E2763" t="str">
            <v>DSRE870</v>
          </cell>
        </row>
        <row r="2764">
          <cell r="C2764" t="str">
            <v>Ind St:</v>
          </cell>
          <cell r="D2764" t="str">
            <v>Ind St: Research Methods</v>
          </cell>
          <cell r="E2764" t="str">
            <v>CHIS690</v>
          </cell>
        </row>
        <row r="2765">
          <cell r="C2765" t="str">
            <v>Pentateuch</v>
          </cell>
          <cell r="E2765" t="str">
            <v>OTST565</v>
          </cell>
        </row>
        <row r="2766">
          <cell r="C2766" t="str">
            <v>Readings in Prophets (Engl)</v>
          </cell>
          <cell r="D2766" t="str">
            <v>Studies in Prophets (Engl)</v>
          </cell>
          <cell r="E2766" t="str">
            <v>OTST556</v>
          </cell>
        </row>
        <row r="2767">
          <cell r="C2767" t="str">
            <v>Ind St:</v>
          </cell>
          <cell r="D2767" t="str">
            <v>Ind St:Relief Dvlpmnt&amp;Holistic</v>
          </cell>
          <cell r="E2767" t="str">
            <v>MSSN690</v>
          </cell>
        </row>
        <row r="2768">
          <cell r="C2768" t="str">
            <v>Top:</v>
          </cell>
          <cell r="D2768" t="str">
            <v>Top:ChrstnFormation&amp;Discplship</v>
          </cell>
          <cell r="E2768" t="str">
            <v>DSRE676</v>
          </cell>
        </row>
        <row r="2769">
          <cell r="C2769" t="str">
            <v>Ind St:</v>
          </cell>
          <cell r="D2769" t="str">
            <v>Ind St: Pentateuch</v>
          </cell>
          <cell r="E2769" t="str">
            <v>OTST690</v>
          </cell>
        </row>
        <row r="2770">
          <cell r="C2770" t="str">
            <v>Church Growth</v>
          </cell>
          <cell r="D2770" t="str">
            <v>Church Growth</v>
          </cell>
          <cell r="E2770" t="str">
            <v>CHMN541</v>
          </cell>
        </row>
        <row r="2771">
          <cell r="C2771" t="str">
            <v>CollabMin: Part in Disc&amp;Mssn</v>
          </cell>
          <cell r="D2771" t="str">
            <v>CollabMin: Part in Disc&amp;Mssn</v>
          </cell>
          <cell r="E2771" t="str">
            <v>DSRE616</v>
          </cell>
        </row>
        <row r="2772">
          <cell r="C2772" t="str">
            <v>Historcl Resrch&amp;Historiography</v>
          </cell>
          <cell r="D2772" t="str">
            <v>Historcl Resrch&amp;Historiography</v>
          </cell>
          <cell r="E2772" t="str">
            <v>CHIS628</v>
          </cell>
        </row>
        <row r="2773">
          <cell r="C2773" t="str">
            <v>Preach. Biblical Prophecies</v>
          </cell>
          <cell r="E2773" t="str">
            <v>CHMN601</v>
          </cell>
        </row>
        <row r="2774">
          <cell r="C2774" t="str">
            <v>Foundations in Religious Educ</v>
          </cell>
          <cell r="D2774" t="str">
            <v>Topics in Rel Ed &amp; Discipline</v>
          </cell>
          <cell r="E2774" t="str">
            <v>DSRE605</v>
          </cell>
        </row>
        <row r="2775">
          <cell r="C2775" t="str">
            <v>Seminar in Preaching</v>
          </cell>
          <cell r="E2775" t="str">
            <v>CHMN637</v>
          </cell>
        </row>
        <row r="2776">
          <cell r="C2776" t="str">
            <v>Field Practicum:MAYYAM</v>
          </cell>
          <cell r="E2776" t="str">
            <v>DSRE660</v>
          </cell>
        </row>
        <row r="2777">
          <cell r="C2777" t="str">
            <v>Mission in Cultrl&amp;Rlgs Contxt</v>
          </cell>
          <cell r="E2777" t="str">
            <v>MSSN546</v>
          </cell>
        </row>
        <row r="2778">
          <cell r="C2778" t="str">
            <v>Development SDA Theology</v>
          </cell>
          <cell r="E2778" t="str">
            <v>CHIS674</v>
          </cell>
        </row>
        <row r="2779">
          <cell r="C2779" t="str">
            <v>Doctrine of the Sanctuary</v>
          </cell>
          <cell r="E2779" t="str">
            <v>GSEM530</v>
          </cell>
        </row>
        <row r="2780">
          <cell r="C2780" t="str">
            <v>Sem in Historical Theology:</v>
          </cell>
          <cell r="E2780" t="str">
            <v>THST964</v>
          </cell>
        </row>
        <row r="2781">
          <cell r="C2781" t="str">
            <v>Innovative Evangelism</v>
          </cell>
          <cell r="E2781" t="str">
            <v>CHMN623</v>
          </cell>
        </row>
        <row r="2782">
          <cell r="C2782" t="str">
            <v>PhD-ThD Comp Exams</v>
          </cell>
          <cell r="D2782" t="str">
            <v>PhD-ThD Comp Exams</v>
          </cell>
          <cell r="E2782" t="str">
            <v>GSEM885</v>
          </cell>
        </row>
        <row r="2783">
          <cell r="C2783" t="str">
            <v>Masters Comprehensive Exam</v>
          </cell>
          <cell r="E2783" t="str">
            <v>GSEM680</v>
          </cell>
        </row>
        <row r="2784">
          <cell r="C2784" t="str">
            <v>Research Project</v>
          </cell>
          <cell r="E2784" t="str">
            <v>GSEM695</v>
          </cell>
        </row>
        <row r="2785">
          <cell r="C2785" t="str">
            <v>Masters Comprehensive Exam</v>
          </cell>
          <cell r="E2785" t="str">
            <v>GSEM680</v>
          </cell>
        </row>
        <row r="2786">
          <cell r="C2786" t="str">
            <v>Master's Degree Contin</v>
          </cell>
          <cell r="E2786" t="str">
            <v>GSEM688</v>
          </cell>
        </row>
        <row r="2787">
          <cell r="C2787" t="str">
            <v>Research Project</v>
          </cell>
          <cell r="E2787" t="str">
            <v>GSEM695</v>
          </cell>
        </row>
        <row r="2788">
          <cell r="C2788" t="str">
            <v>Thesis for MA Degree</v>
          </cell>
          <cell r="E2788" t="str">
            <v>GSEM697</v>
          </cell>
        </row>
        <row r="2789">
          <cell r="C2789" t="str">
            <v>Sem in Theological Issues:</v>
          </cell>
          <cell r="D2789" t="str">
            <v>Sem in Systematic Theology</v>
          </cell>
          <cell r="E2789" t="str">
            <v>THST649</v>
          </cell>
        </row>
        <row r="2790">
          <cell r="C2790" t="str">
            <v>Studies in the Gospels</v>
          </cell>
          <cell r="D2790" t="str">
            <v>Studies in the Gospels</v>
          </cell>
          <cell r="E2790" t="str">
            <v>NTST536</v>
          </cell>
        </row>
        <row r="2791">
          <cell r="C2791" t="str">
            <v>Thesis for MA Degree</v>
          </cell>
          <cell r="E2791" t="str">
            <v>GSEM697</v>
          </cell>
        </row>
        <row r="2792">
          <cell r="C2792" t="str">
            <v>Death &amp; Grief Contemp Society</v>
          </cell>
          <cell r="E2792" t="str">
            <v>CHMN516</v>
          </cell>
        </row>
        <row r="2793">
          <cell r="C2793" t="str">
            <v>Theo of the English NT:</v>
          </cell>
          <cell r="E2793" t="str">
            <v>NTST567</v>
          </cell>
        </row>
        <row r="2794">
          <cell r="C2794" t="str">
            <v>Church Grwth&amp; Equipping Pastor</v>
          </cell>
          <cell r="D2794" t="str">
            <v>Church Grwth&amp; Equipping Leader</v>
          </cell>
          <cell r="E2794" t="str">
            <v>CHMN539</v>
          </cell>
        </row>
        <row r="2795">
          <cell r="C2795" t="str">
            <v>Issues in Ellen G White Stdies</v>
          </cell>
          <cell r="D2795" t="str">
            <v>Issues in Ellen G White Stdies</v>
          </cell>
          <cell r="E2795" t="str">
            <v>CHIS624</v>
          </cell>
        </row>
        <row r="2796">
          <cell r="C2796" t="str">
            <v>Topics in:</v>
          </cell>
          <cell r="D2796" t="str">
            <v>Top:Cross-Cultural Leadership</v>
          </cell>
          <cell r="E2796" t="str">
            <v>MSSN885</v>
          </cell>
        </row>
        <row r="2797">
          <cell r="C2797" t="str">
            <v>Adv Studies:</v>
          </cell>
          <cell r="D2797" t="str">
            <v>Adv Studies: Applied Research</v>
          </cell>
          <cell r="E2797" t="str">
            <v>DSRE870</v>
          </cell>
        </row>
        <row r="2798">
          <cell r="C2798" t="str">
            <v>Adv Studies:</v>
          </cell>
          <cell r="D2798" t="str">
            <v>Adv Stud: Dissert Lit Review</v>
          </cell>
          <cell r="E2798" t="str">
            <v>DSRE870</v>
          </cell>
        </row>
        <row r="2799">
          <cell r="C2799" t="str">
            <v>Hist of Seventh-day Adv Theo</v>
          </cell>
          <cell r="D2799" t="str">
            <v>Hist of Seventh-day Adv Theo</v>
          </cell>
          <cell r="E2799" t="str">
            <v>CHIS574</v>
          </cell>
        </row>
        <row r="2800">
          <cell r="C2800" t="str">
            <v>Sem in Theological Issues:</v>
          </cell>
          <cell r="D2800" t="str">
            <v>Sem Rev&amp;Insp: Narrative Theo</v>
          </cell>
          <cell r="E2800" t="str">
            <v>THST649</v>
          </cell>
        </row>
        <row r="2801">
          <cell r="C2801" t="str">
            <v>Studies in Prophets (Engl)</v>
          </cell>
          <cell r="D2801" t="str">
            <v>Studies in Prophets (Engl)</v>
          </cell>
          <cell r="E2801" t="str">
            <v>OTST556</v>
          </cell>
        </row>
        <row r="2802">
          <cell r="C2802" t="str">
            <v>Seminar in Church History:</v>
          </cell>
          <cell r="E2802" t="str">
            <v>CHIS940</v>
          </cell>
        </row>
        <row r="2803">
          <cell r="C2803" t="str">
            <v>Sem in Systematic Theology:</v>
          </cell>
          <cell r="D2803" t="str">
            <v>Sem Sys Theo:Ling for Theolog</v>
          </cell>
          <cell r="E2803" t="str">
            <v>THST940</v>
          </cell>
        </row>
        <row r="2804">
          <cell r="C2804" t="str">
            <v>Master's Degree Contin</v>
          </cell>
          <cell r="E2804" t="str">
            <v>GSEM688</v>
          </cell>
        </row>
        <row r="2805">
          <cell r="C2805" t="str">
            <v>DIS Dissertation Continuation</v>
          </cell>
          <cell r="E2805" t="str">
            <v>MSSN888</v>
          </cell>
        </row>
        <row r="2806">
          <cell r="C2806" t="str">
            <v>Sem in Systematic Theology:</v>
          </cell>
          <cell r="D2806" t="str">
            <v>Sem Sys Theo: Christ-cent Meth</v>
          </cell>
          <cell r="E2806" t="str">
            <v>THST940</v>
          </cell>
        </row>
        <row r="2807">
          <cell r="C2807" t="str">
            <v>Postdoctoral Research Project</v>
          </cell>
          <cell r="E2807" t="str">
            <v>GSEM898</v>
          </cell>
        </row>
        <row r="2808">
          <cell r="C2808" t="str">
            <v>Postdoctoral Seminar</v>
          </cell>
          <cell r="E2808" t="str">
            <v>GSEM990</v>
          </cell>
        </row>
        <row r="2809">
          <cell r="C2809" t="str">
            <v>Adv Studies:</v>
          </cell>
          <cell r="D2809" t="str">
            <v>AdvStudies:Biblical Counseling</v>
          </cell>
          <cell r="E2809" t="str">
            <v>DSRE870</v>
          </cell>
        </row>
        <row r="2810">
          <cell r="C2810" t="str">
            <v>Contextualized Preaching</v>
          </cell>
          <cell r="D2810" t="str">
            <v>Contextualized Preach: Youth</v>
          </cell>
          <cell r="E2810" t="str">
            <v>CHMN632</v>
          </cell>
        </row>
        <row r="2811">
          <cell r="C2811" t="str">
            <v>Field Evangelism</v>
          </cell>
          <cell r="E2811" t="str">
            <v>CHMN562</v>
          </cell>
        </row>
        <row r="2812">
          <cell r="C2812" t="str">
            <v>Practicum Military Chaplaincy</v>
          </cell>
          <cell r="E2812" t="str">
            <v>CHMN641</v>
          </cell>
        </row>
        <row r="2813">
          <cell r="C2813" t="str">
            <v>Practicum Clin Pastoral Educ</v>
          </cell>
          <cell r="E2813" t="str">
            <v>CHMN557</v>
          </cell>
        </row>
        <row r="2814">
          <cell r="C2814" t="str">
            <v>Adv Studies:</v>
          </cell>
          <cell r="D2814" t="str">
            <v>AdvSt:Teach for Disc Life Span</v>
          </cell>
          <cell r="E2814" t="str">
            <v>DSRE870</v>
          </cell>
        </row>
        <row r="2815">
          <cell r="C2815" t="str">
            <v>Ind St:</v>
          </cell>
          <cell r="E2815" t="str">
            <v>THST897</v>
          </cell>
        </row>
        <row r="2816">
          <cell r="C2816" t="str">
            <v>Ind Stdy:</v>
          </cell>
          <cell r="D2816" t="str">
            <v>Ind St: Intro to Chaplaincy</v>
          </cell>
          <cell r="E2816" t="str">
            <v>CHMN690</v>
          </cell>
        </row>
        <row r="2817">
          <cell r="C2817" t="str">
            <v>Ind St:</v>
          </cell>
          <cell r="D2817" t="str">
            <v>Ind St:Teaching for Disciplesh</v>
          </cell>
          <cell r="E2817" t="str">
            <v>DSRE690</v>
          </cell>
        </row>
        <row r="2818">
          <cell r="C2818" t="str">
            <v>Methods in Biblical &amp; Theo Res</v>
          </cell>
          <cell r="D2818" t="str">
            <v>Methods in Biblical &amp; Theo Res</v>
          </cell>
          <cell r="E2818" t="str">
            <v>GSEM520</v>
          </cell>
        </row>
        <row r="2819">
          <cell r="C2819" t="str">
            <v>Dissertation:Literature Review</v>
          </cell>
          <cell r="E2819" t="str">
            <v>DSRE994</v>
          </cell>
        </row>
        <row r="2820">
          <cell r="C2820" t="str">
            <v>Applied Research</v>
          </cell>
          <cell r="E2820" t="str">
            <v>DSRE887</v>
          </cell>
        </row>
        <row r="2821">
          <cell r="C2821" t="str">
            <v>Principles of Christian Ethics</v>
          </cell>
          <cell r="E2821" t="str">
            <v>THST605</v>
          </cell>
        </row>
        <row r="2822">
          <cell r="C2822" t="str">
            <v>Ind Stdy:</v>
          </cell>
          <cell r="D2822" t="str">
            <v>Ind Stdy:Hlth &amp; Lfstyle Transf</v>
          </cell>
          <cell r="E2822" t="str">
            <v>CHMN690</v>
          </cell>
        </row>
        <row r="2823">
          <cell r="C2823" t="str">
            <v>Ind St:</v>
          </cell>
          <cell r="E2823" t="str">
            <v>ANEA895</v>
          </cell>
        </row>
        <row r="2824">
          <cell r="C2824" t="str">
            <v>Ind St:</v>
          </cell>
          <cell r="E2824" t="str">
            <v>ANEA895</v>
          </cell>
        </row>
        <row r="2825">
          <cell r="C2825" t="str">
            <v>Field Practicum</v>
          </cell>
          <cell r="E2825" t="str">
            <v>CHMN660</v>
          </cell>
        </row>
        <row r="2826">
          <cell r="C2826" t="str">
            <v>PhD (Rel Education) Prog Cont</v>
          </cell>
          <cell r="E2826" t="str">
            <v>DSRE880</v>
          </cell>
        </row>
        <row r="2827">
          <cell r="C2827" t="str">
            <v>Top:</v>
          </cell>
          <cell r="D2827" t="str">
            <v>Top:Spiritlty&amp;Tch Bible K-12 M</v>
          </cell>
          <cell r="E2827" t="str">
            <v>DSRE676</v>
          </cell>
        </row>
        <row r="2828">
          <cell r="C2828" t="str">
            <v>Rev, Insp &amp; Hermeneutics</v>
          </cell>
          <cell r="D2828" t="str">
            <v>Revelation, Inspiratn&amp;Herm</v>
          </cell>
          <cell r="E2828" t="str">
            <v>THST611</v>
          </cell>
        </row>
        <row r="2829">
          <cell r="C2829" t="str">
            <v>Ind St:</v>
          </cell>
          <cell r="D2829" t="str">
            <v>Ind St:TeachingforDiscipleship</v>
          </cell>
          <cell r="E2829" t="str">
            <v>DSRE690</v>
          </cell>
        </row>
        <row r="2830">
          <cell r="C2830" t="str">
            <v>Field Evangelism</v>
          </cell>
          <cell r="E2830" t="str">
            <v>CHMN562</v>
          </cell>
        </row>
        <row r="2831">
          <cell r="C2831" t="str">
            <v>Survey of the Old Testament</v>
          </cell>
          <cell r="E2831" t="str">
            <v>OTST500</v>
          </cell>
        </row>
        <row r="2832">
          <cell r="C2832" t="str">
            <v>Postdoctoral Research Project</v>
          </cell>
          <cell r="D2832" t="str">
            <v>Postdoctoral Research Project</v>
          </cell>
          <cell r="E2832" t="str">
            <v>GSEM898</v>
          </cell>
        </row>
        <row r="2833">
          <cell r="C2833" t="str">
            <v>Postdoctoral Seminar</v>
          </cell>
          <cell r="D2833" t="str">
            <v>Postdoctoral Seminar</v>
          </cell>
          <cell r="E2833" t="str">
            <v>GSEM990</v>
          </cell>
        </row>
        <row r="2834">
          <cell r="C2834" t="str">
            <v>IndSty in Adv St:</v>
          </cell>
          <cell r="E2834" t="str">
            <v>CHIS892</v>
          </cell>
        </row>
        <row r="2835">
          <cell r="C2835" t="str">
            <v>Hist of Christian Worship Mus</v>
          </cell>
          <cell r="E2835" t="str">
            <v>CHMN602</v>
          </cell>
        </row>
        <row r="2836">
          <cell r="C2836" t="str">
            <v>Archaeological Field Work</v>
          </cell>
          <cell r="E2836" t="str">
            <v>ANEA630</v>
          </cell>
        </row>
        <row r="2837">
          <cell r="C2837" t="str">
            <v>Ind Stdy:</v>
          </cell>
          <cell r="D2837" t="str">
            <v>Ind Stdy: Coaching for Mission</v>
          </cell>
          <cell r="E2837" t="str">
            <v>CHMN690</v>
          </cell>
        </row>
        <row r="2838">
          <cell r="C2838" t="str">
            <v>Scholarly and Professional Dev</v>
          </cell>
          <cell r="E2838" t="str">
            <v>DSRE620</v>
          </cell>
        </row>
        <row r="2839">
          <cell r="C2839" t="str">
            <v>Coaching for Mission</v>
          </cell>
          <cell r="E2839" t="str">
            <v>CHMN613</v>
          </cell>
        </row>
        <row r="2840">
          <cell r="C2840" t="str">
            <v>PhD-ThD Dissertation</v>
          </cell>
          <cell r="D2840" t="str">
            <v>PhD-ThD Dissertation</v>
          </cell>
          <cell r="E2840" t="str">
            <v>GSEM995</v>
          </cell>
        </row>
        <row r="2841">
          <cell r="C2841" t="str">
            <v>DIS Dissertation</v>
          </cell>
          <cell r="E2841" t="str">
            <v>MSSN899</v>
          </cell>
        </row>
        <row r="2842">
          <cell r="C2842" t="str">
            <v>Colloquium:</v>
          </cell>
          <cell r="D2842" t="str">
            <v>Coll:Pathfinder Lead Train</v>
          </cell>
          <cell r="E2842" t="str">
            <v>GSEM505</v>
          </cell>
        </row>
        <row r="2843">
          <cell r="C2843" t="str">
            <v>Ministry to Youth&amp;Yng Adlt</v>
          </cell>
          <cell r="E2843" t="str">
            <v>DSRE534</v>
          </cell>
        </row>
        <row r="2844">
          <cell r="C2844" t="str">
            <v>Research Project</v>
          </cell>
          <cell r="D2844" t="str">
            <v>Research Project</v>
          </cell>
          <cell r="E2844" t="str">
            <v>GSEM695</v>
          </cell>
        </row>
        <row r="2845">
          <cell r="C2845" t="str">
            <v>Colloquium:</v>
          </cell>
          <cell r="D2845" t="str">
            <v>Coll: Pathf Minist for Pastors</v>
          </cell>
          <cell r="E2845" t="str">
            <v>GSEM505</v>
          </cell>
        </row>
        <row r="2846">
          <cell r="C2846" t="str">
            <v>Seminar in Preaching</v>
          </cell>
          <cell r="E2846" t="str">
            <v>CHMN637</v>
          </cell>
        </row>
        <row r="2847">
          <cell r="C2847" t="str">
            <v>Major Prophets:</v>
          </cell>
          <cell r="E2847" t="str">
            <v>OTST686</v>
          </cell>
        </row>
        <row r="2848">
          <cell r="C2848" t="str">
            <v>Field Practicum</v>
          </cell>
          <cell r="E2848" t="str">
            <v>CHMN660</v>
          </cell>
        </row>
        <row r="2849">
          <cell r="C2849" t="str">
            <v>Survey of the Pentateuch</v>
          </cell>
          <cell r="E2849" t="str">
            <v>OTST565</v>
          </cell>
        </row>
        <row r="2850">
          <cell r="C2850" t="str">
            <v>Colloquium:</v>
          </cell>
          <cell r="D2850" t="str">
            <v>Coll:ACS:Post-Disaster Sup Rec</v>
          </cell>
          <cell r="E2850" t="str">
            <v>GSEM505</v>
          </cell>
        </row>
        <row r="2851">
          <cell r="C2851" t="str">
            <v>Fndtns of Biblicl Spirituality</v>
          </cell>
          <cell r="D2851" t="str">
            <v>Fndtns of Biblicl Spirituality</v>
          </cell>
          <cell r="E2851" t="str">
            <v>DSRE541</v>
          </cell>
        </row>
        <row r="2852">
          <cell r="C2852" t="str">
            <v>Ind St:</v>
          </cell>
          <cell r="D2852" t="str">
            <v>Ind St: Youth Ministry</v>
          </cell>
          <cell r="E2852" t="str">
            <v>DSRE690</v>
          </cell>
        </row>
        <row r="2853">
          <cell r="C2853" t="str">
            <v>Adv Ministerial Development</v>
          </cell>
          <cell r="E2853" t="str">
            <v>CHMN560</v>
          </cell>
        </row>
        <row r="2854">
          <cell r="C2854" t="str">
            <v>Evangelistic Preaching</v>
          </cell>
          <cell r="E2854" t="str">
            <v>CHMN603</v>
          </cell>
        </row>
        <row r="2855">
          <cell r="C2855" t="str">
            <v>Colloquium:</v>
          </cell>
          <cell r="D2855" t="str">
            <v>Coll: Adv Learning Community</v>
          </cell>
          <cell r="E2855" t="str">
            <v>GSEM505</v>
          </cell>
        </row>
        <row r="2856">
          <cell r="C2856" t="str">
            <v>New Student Orientation</v>
          </cell>
          <cell r="E2856" t="str">
            <v>GSEM501</v>
          </cell>
        </row>
        <row r="2857">
          <cell r="C2857" t="str">
            <v>Top in NT Backgrounds</v>
          </cell>
          <cell r="D2857" t="str">
            <v>Top:Theology of New Testament</v>
          </cell>
          <cell r="E2857" t="str">
            <v>NTST695</v>
          </cell>
        </row>
        <row r="2858">
          <cell r="C2858" t="str">
            <v>Church Growth</v>
          </cell>
          <cell r="D2858" t="str">
            <v>Church Growth</v>
          </cell>
          <cell r="E2858" t="str">
            <v>PATH541</v>
          </cell>
        </row>
        <row r="2859">
          <cell r="C2859" t="str">
            <v>Ind Stdy:</v>
          </cell>
          <cell r="D2859" t="str">
            <v>Ind Stdy:</v>
          </cell>
          <cell r="E2859" t="str">
            <v>PATH690</v>
          </cell>
        </row>
        <row r="2860">
          <cell r="C2860" t="str">
            <v>Ind Stdy:</v>
          </cell>
          <cell r="D2860" t="str">
            <v>Ind Stdy:</v>
          </cell>
          <cell r="E2860" t="str">
            <v>PATH690</v>
          </cell>
        </row>
        <row r="2861">
          <cell r="C2861" t="str">
            <v>Ind Stdy:</v>
          </cell>
          <cell r="D2861" t="str">
            <v>Ind Stdy:</v>
          </cell>
          <cell r="E2861" t="str">
            <v>PATH690</v>
          </cell>
        </row>
        <row r="2862">
          <cell r="C2862" t="str">
            <v>Ind Stdy:</v>
          </cell>
          <cell r="D2862" t="str">
            <v>Ind Stdy:</v>
          </cell>
          <cell r="E2862" t="str">
            <v>PATH690</v>
          </cell>
        </row>
        <row r="2863">
          <cell r="C2863" t="str">
            <v>Ind Stdy:</v>
          </cell>
          <cell r="D2863" t="str">
            <v>Ind Stdy:</v>
          </cell>
          <cell r="E2863" t="str">
            <v>PATH690</v>
          </cell>
        </row>
        <row r="2864">
          <cell r="C2864" t="str">
            <v>Ind Stdy:</v>
          </cell>
          <cell r="D2864" t="str">
            <v>Ind Stdy:</v>
          </cell>
          <cell r="E2864" t="str">
            <v>PATH690</v>
          </cell>
        </row>
        <row r="2865">
          <cell r="C2865" t="str">
            <v>Ind Stdy:</v>
          </cell>
          <cell r="D2865" t="str">
            <v>Ind Stdy:</v>
          </cell>
          <cell r="E2865" t="str">
            <v>PATH690</v>
          </cell>
        </row>
        <row r="2866">
          <cell r="C2866" t="str">
            <v>Ind Stdy:</v>
          </cell>
          <cell r="D2866" t="str">
            <v>Ind Stdy:</v>
          </cell>
          <cell r="E2866" t="str">
            <v>PATH690</v>
          </cell>
        </row>
        <row r="2867">
          <cell r="C2867" t="str">
            <v>Directed Rdgs in Church Min</v>
          </cell>
          <cell r="D2867" t="str">
            <v>Directed Rdgs in Church Min</v>
          </cell>
          <cell r="E2867" t="str">
            <v>PATH890</v>
          </cell>
        </row>
        <row r="2868">
          <cell r="C2868" t="str">
            <v>DIS Dissertation</v>
          </cell>
          <cell r="D2868" t="str">
            <v>DMiss Dissertation</v>
          </cell>
          <cell r="E2868" t="str">
            <v>MSSN899</v>
          </cell>
        </row>
        <row r="2869">
          <cell r="C2869" t="str">
            <v>Advanced Campus Ministry</v>
          </cell>
          <cell r="E2869" t="str">
            <v>DSLE664</v>
          </cell>
        </row>
        <row r="2870">
          <cell r="C2870" t="str">
            <v>Ind St:</v>
          </cell>
          <cell r="D2870" t="str">
            <v>Ind St: Mitry to At-Risk Youth</v>
          </cell>
          <cell r="E2870" t="str">
            <v>DSLE690</v>
          </cell>
        </row>
        <row r="2871">
          <cell r="C2871" t="str">
            <v>Directed Rdgs in Church Min</v>
          </cell>
          <cell r="E2871" t="str">
            <v>PATH890</v>
          </cell>
        </row>
        <row r="2872">
          <cell r="C2872" t="str">
            <v>Directed Rdgs in Church Min</v>
          </cell>
          <cell r="E2872" t="str">
            <v>PATH890</v>
          </cell>
        </row>
        <row r="2873">
          <cell r="C2873" t="str">
            <v>Directed Rdgs in Church Min</v>
          </cell>
          <cell r="E2873" t="str">
            <v>PATH890</v>
          </cell>
        </row>
        <row r="2874">
          <cell r="C2874" t="str">
            <v>Directed Rdgs in Church Min</v>
          </cell>
          <cell r="E2874" t="str">
            <v>PATH890</v>
          </cell>
        </row>
        <row r="2875">
          <cell r="C2875" t="str">
            <v>Directed Rdgs in Church Min</v>
          </cell>
          <cell r="E2875" t="str">
            <v>PATH890</v>
          </cell>
        </row>
        <row r="2876">
          <cell r="C2876" t="str">
            <v>Directed Rdgs in Church Min</v>
          </cell>
          <cell r="E2876" t="str">
            <v>PATH890</v>
          </cell>
        </row>
        <row r="2877">
          <cell r="C2877" t="str">
            <v>Directed Rdgs in Church Min</v>
          </cell>
          <cell r="E2877" t="str">
            <v>PATH890</v>
          </cell>
        </row>
        <row r="2878">
          <cell r="C2878" t="str">
            <v>Directed Rdgs in Church Min</v>
          </cell>
          <cell r="E2878" t="str">
            <v>PATH890</v>
          </cell>
        </row>
        <row r="2879">
          <cell r="C2879" t="str">
            <v>Directed Rdgs in Church Min</v>
          </cell>
          <cell r="E2879" t="str">
            <v>PATH890</v>
          </cell>
        </row>
        <row r="2880">
          <cell r="C2880" t="str">
            <v>Directed Rdgs in Church Min</v>
          </cell>
          <cell r="E2880" t="str">
            <v>PATH890</v>
          </cell>
        </row>
        <row r="2881">
          <cell r="C2881" t="str">
            <v>Colloquium:</v>
          </cell>
          <cell r="D2881" t="str">
            <v>Coll: Rsrch Lib &amp; Writ Sklls</v>
          </cell>
          <cell r="E2881" t="str">
            <v>GSEM505</v>
          </cell>
        </row>
        <row r="2882">
          <cell r="C2882" t="str">
            <v>Field Practicum:</v>
          </cell>
          <cell r="E2882" t="str">
            <v>PATH660</v>
          </cell>
        </row>
        <row r="2883">
          <cell r="C2883" t="str">
            <v>Practicum Military Chaplaincy</v>
          </cell>
          <cell r="E2883" t="str">
            <v>PATH641</v>
          </cell>
        </row>
        <row r="2884">
          <cell r="C2884" t="str">
            <v>Prof Development Practicum</v>
          </cell>
          <cell r="E2884" t="str">
            <v>PATH556</v>
          </cell>
        </row>
        <row r="2885">
          <cell r="C2885" t="str">
            <v>Transformational Leadership</v>
          </cell>
          <cell r="E2885" t="str">
            <v>CHMN712</v>
          </cell>
        </row>
        <row r="2886">
          <cell r="C2886" t="str">
            <v>Biblical Preaching</v>
          </cell>
          <cell r="E2886" t="str">
            <v>CHMN505</v>
          </cell>
        </row>
        <row r="2887">
          <cell r="C2887" t="str">
            <v>Mission in Cultrl&amp;Rlgs Contxt</v>
          </cell>
          <cell r="E2887" t="str">
            <v>MSSN546</v>
          </cell>
        </row>
        <row r="2888">
          <cell r="C2888" t="str">
            <v>Colloquium:</v>
          </cell>
          <cell r="D2888" t="str">
            <v>Colloquium: Intro to Trauma</v>
          </cell>
          <cell r="E2888" t="str">
            <v>GSEM505</v>
          </cell>
        </row>
        <row r="2889">
          <cell r="C2889" t="str">
            <v>Colloquium:</v>
          </cell>
          <cell r="D2889" t="str">
            <v>Coll: Ellen White Issues Symp</v>
          </cell>
          <cell r="E2889" t="str">
            <v>GSEM505</v>
          </cell>
        </row>
        <row r="2890">
          <cell r="C2890" t="str">
            <v>Adv Studies Gospels:</v>
          </cell>
          <cell r="D2890" t="str">
            <v>Adv Studies Gospels:John</v>
          </cell>
          <cell r="E2890" t="str">
            <v>NTST655</v>
          </cell>
        </row>
        <row r="2891">
          <cell r="C2891" t="str">
            <v>Colloquium:</v>
          </cell>
          <cell r="D2891" t="str">
            <v>Coll: Pathfinder Lead Training</v>
          </cell>
          <cell r="E2891" t="str">
            <v>GSEM505</v>
          </cell>
        </row>
        <row r="2892">
          <cell r="C2892" t="str">
            <v>Strategies World Mission</v>
          </cell>
          <cell r="E2892" t="str">
            <v>MSSN685</v>
          </cell>
        </row>
        <row r="2893">
          <cell r="C2893" t="str">
            <v>Death &amp; Grief Contemp Society</v>
          </cell>
          <cell r="D2893" t="str">
            <v>Death &amp; Grief Contemp Society</v>
          </cell>
          <cell r="E2893" t="str">
            <v>CHMN516</v>
          </cell>
        </row>
        <row r="2894">
          <cell r="C2894" t="str">
            <v>History of the SDA Church</v>
          </cell>
          <cell r="E2894" t="str">
            <v>CHIS570</v>
          </cell>
        </row>
        <row r="2895">
          <cell r="C2895" t="str">
            <v>Thesis for MA Degree</v>
          </cell>
          <cell r="D2895" t="str">
            <v>MA Thesis</v>
          </cell>
          <cell r="E2895" t="str">
            <v>GSEM697</v>
          </cell>
        </row>
        <row r="2896">
          <cell r="C2896" t="str">
            <v>Life &amp; Writings of E. G. White</v>
          </cell>
          <cell r="E2896" t="str">
            <v>CHIS571</v>
          </cell>
        </row>
        <row r="2897">
          <cell r="C2897" t="str">
            <v>Ind St:</v>
          </cell>
          <cell r="D2897" t="str">
            <v>Ind St: Daniel &amp; Revelation</v>
          </cell>
          <cell r="E2897" t="str">
            <v>OTST690</v>
          </cell>
        </row>
        <row r="2898">
          <cell r="C2898" t="str">
            <v>Prof Development Practicum</v>
          </cell>
          <cell r="E2898" t="str">
            <v>CHMN556</v>
          </cell>
        </row>
        <row r="2899">
          <cell r="C2899" t="str">
            <v>Topics in:</v>
          </cell>
          <cell r="D2899" t="str">
            <v>Top:Dscpl Mak &amp; Evang 21st Cnt</v>
          </cell>
          <cell r="E2899" t="str">
            <v>CHMN885</v>
          </cell>
        </row>
        <row r="2900">
          <cell r="C2900" t="str">
            <v>Topics in:</v>
          </cell>
          <cell r="D2900" t="str">
            <v>Top:Dscpl Mak &amp; Evang 21st Cnt</v>
          </cell>
          <cell r="E2900" t="str">
            <v>CHMN885</v>
          </cell>
        </row>
        <row r="2901">
          <cell r="C2901" t="str">
            <v>Foundations in Religious Educ</v>
          </cell>
          <cell r="D2901" t="str">
            <v>Foundations in Religious Educ</v>
          </cell>
          <cell r="E2901" t="str">
            <v>DSRE605</v>
          </cell>
        </row>
        <row r="2902">
          <cell r="C2902" t="str">
            <v>Topics in:</v>
          </cell>
          <cell r="D2902" t="str">
            <v>Top:Urb Ctxts for Mssn&amp; Mintry</v>
          </cell>
          <cell r="E2902" t="str">
            <v>MSSN885</v>
          </cell>
        </row>
        <row r="2903">
          <cell r="C2903" t="str">
            <v>Directed Rdgs in Church Min</v>
          </cell>
          <cell r="E2903" t="str">
            <v>PATH890</v>
          </cell>
        </row>
        <row r="2904">
          <cell r="C2904" t="str">
            <v>Field Practicum:________</v>
          </cell>
          <cell r="D2904" t="str">
            <v>Field Practicum:Religious Educ</v>
          </cell>
          <cell r="E2904" t="str">
            <v>DSRE680</v>
          </cell>
        </row>
        <row r="2905">
          <cell r="C2905" t="str">
            <v>Colloquium:</v>
          </cell>
          <cell r="D2905" t="str">
            <v>Coll: Adv Learning Community</v>
          </cell>
          <cell r="E2905" t="str">
            <v>GSEM505</v>
          </cell>
        </row>
        <row r="2906">
          <cell r="C2906" t="str">
            <v>Doctrine of God</v>
          </cell>
          <cell r="D2906" t="str">
            <v>Doctrine of God</v>
          </cell>
          <cell r="E2906" t="str">
            <v>THST616</v>
          </cell>
        </row>
        <row r="2907">
          <cell r="C2907" t="str">
            <v>Topics in:</v>
          </cell>
          <cell r="D2907" t="str">
            <v>Top:Rsrch Design&amp; Diss Propsal</v>
          </cell>
          <cell r="E2907" t="str">
            <v>MSSN885</v>
          </cell>
        </row>
        <row r="2908">
          <cell r="C2908" t="str">
            <v>Survey of the Pentateuch</v>
          </cell>
          <cell r="D2908" t="str">
            <v>Pentateuch</v>
          </cell>
          <cell r="E2908" t="str">
            <v>OTST565</v>
          </cell>
        </row>
        <row r="2909">
          <cell r="C2909" t="str">
            <v>Church History 1500 to Present</v>
          </cell>
          <cell r="E2909" t="str">
            <v>CHIS507</v>
          </cell>
        </row>
        <row r="2910">
          <cell r="C2910" t="str">
            <v>Independent Study:</v>
          </cell>
          <cell r="E2910" t="str">
            <v>OTST895</v>
          </cell>
        </row>
        <row r="2911">
          <cell r="C2911" t="str">
            <v>Master's Degree Contin</v>
          </cell>
          <cell r="D2911" t="str">
            <v>Master's Degree Contin</v>
          </cell>
          <cell r="E2911" t="str">
            <v>GSEM688</v>
          </cell>
        </row>
        <row r="2912">
          <cell r="C2912" t="str">
            <v>Survey of the Old Testament</v>
          </cell>
          <cell r="E2912" t="str">
            <v>OTST500</v>
          </cell>
        </row>
        <row r="2913">
          <cell r="C2913" t="str">
            <v>Pentateuch (Hebrew)</v>
          </cell>
          <cell r="E2913" t="str">
            <v>OTST664</v>
          </cell>
        </row>
        <row r="2914">
          <cell r="C2914" t="str">
            <v>Directed Rdg in Systmtic Theo</v>
          </cell>
          <cell r="E2914" t="str">
            <v>THST890</v>
          </cell>
        </row>
        <row r="2915">
          <cell r="C2915" t="str">
            <v>In-Ministry Continuation</v>
          </cell>
          <cell r="D2915" t="str">
            <v>In-Ministry Continuation</v>
          </cell>
          <cell r="E2915" t="str">
            <v>GSEM588</v>
          </cell>
        </row>
        <row r="2916">
          <cell r="C2916" t="str">
            <v>Principles of Christian Ethics</v>
          </cell>
          <cell r="D2916" t="str">
            <v>Principles of Christian Ethics</v>
          </cell>
          <cell r="E2916" t="str">
            <v>THST605</v>
          </cell>
        </row>
        <row r="2917">
          <cell r="C2917" t="str">
            <v>Topics in:</v>
          </cell>
          <cell r="D2917" t="str">
            <v>Top:Theology of Mission</v>
          </cell>
          <cell r="E2917" t="str">
            <v>MSSN885</v>
          </cell>
        </row>
        <row r="2918">
          <cell r="C2918" t="str">
            <v>Trauma&amp;Adv Crisis Intervention</v>
          </cell>
          <cell r="E2918" t="str">
            <v>CHMN643</v>
          </cell>
        </row>
        <row r="2919">
          <cell r="C2919" t="str">
            <v>Sem in Old Testament Theology</v>
          </cell>
          <cell r="E2919" t="str">
            <v>OTST620</v>
          </cell>
        </row>
        <row r="2920">
          <cell r="C2920" t="str">
            <v>Independent Study:</v>
          </cell>
          <cell r="E2920" t="str">
            <v>OTST895</v>
          </cell>
        </row>
        <row r="2921">
          <cell r="C2921" t="str">
            <v>Directed Rdg Adventist Studies</v>
          </cell>
          <cell r="E2921" t="str">
            <v>CHIS895</v>
          </cell>
        </row>
        <row r="2922">
          <cell r="C2922" t="str">
            <v>Dissertation:Literature Review</v>
          </cell>
          <cell r="E2922" t="str">
            <v>DSRE994</v>
          </cell>
        </row>
        <row r="2923">
          <cell r="C2923" t="str">
            <v>Topics in:</v>
          </cell>
          <cell r="D2923" t="str">
            <v>Top: Dscplshp&amp; Wrldview Transf</v>
          </cell>
          <cell r="E2923" t="str">
            <v>MSSN885</v>
          </cell>
        </row>
        <row r="2924">
          <cell r="C2924" t="str">
            <v>Readings in Revelation</v>
          </cell>
          <cell r="D2924" t="str">
            <v>Studies in Revelation</v>
          </cell>
          <cell r="E2924" t="str">
            <v>NTST539</v>
          </cell>
        </row>
        <row r="2925">
          <cell r="C2925" t="str">
            <v>Studies in Prophets (Engl)</v>
          </cell>
          <cell r="E2925" t="str">
            <v>OTST556</v>
          </cell>
        </row>
        <row r="2926">
          <cell r="C2926" t="str">
            <v>Ind St:</v>
          </cell>
          <cell r="D2926" t="str">
            <v>Ind St:Christian Ethics</v>
          </cell>
          <cell r="E2926" t="str">
            <v>THST690</v>
          </cell>
        </row>
        <row r="2927">
          <cell r="C2927" t="str">
            <v>Ind St:</v>
          </cell>
          <cell r="D2927" t="str">
            <v>Ind St: Doctrine of Christ</v>
          </cell>
          <cell r="E2927" t="str">
            <v>THST690</v>
          </cell>
        </row>
        <row r="2928">
          <cell r="C2928" t="str">
            <v>Ind St:</v>
          </cell>
          <cell r="D2928" t="str">
            <v>Ind St:Millerite&amp; Sab Adv Hist</v>
          </cell>
          <cell r="E2928" t="str">
            <v>CHIS690</v>
          </cell>
        </row>
        <row r="2929">
          <cell r="C2929" t="str">
            <v>History of the SDA Church</v>
          </cell>
          <cell r="D2929" t="str">
            <v>History of the SDA Church</v>
          </cell>
          <cell r="E2929" t="str">
            <v>CHIS570</v>
          </cell>
        </row>
        <row r="2930">
          <cell r="C2930" t="str">
            <v>Top:</v>
          </cell>
          <cell r="E2930" t="str">
            <v>THST885</v>
          </cell>
        </row>
        <row r="2931">
          <cell r="C2931" t="str">
            <v>Cross-Cultural Ldshp Developmt</v>
          </cell>
          <cell r="E2931" t="str">
            <v>MSSN630</v>
          </cell>
        </row>
        <row r="2932">
          <cell r="C2932" t="str">
            <v>Ind St:</v>
          </cell>
          <cell r="D2932" t="str">
            <v>Ind St: Early Church</v>
          </cell>
          <cell r="E2932" t="str">
            <v>CHIS690</v>
          </cell>
        </row>
        <row r="2933">
          <cell r="C2933" t="str">
            <v>Survey of the Old Testament</v>
          </cell>
          <cell r="D2933" t="str">
            <v>Survey of the Old Testament</v>
          </cell>
          <cell r="E2933" t="str">
            <v>OTST500</v>
          </cell>
        </row>
        <row r="2934">
          <cell r="C2934" t="str">
            <v>Daniel</v>
          </cell>
          <cell r="D2934" t="str">
            <v>Daniel</v>
          </cell>
          <cell r="E2934" t="str">
            <v>OTST674</v>
          </cell>
        </row>
        <row r="2935">
          <cell r="C2935" t="str">
            <v>Topics in</v>
          </cell>
          <cell r="D2935" t="str">
            <v>Topics in Eschatology</v>
          </cell>
          <cell r="E2935" t="str">
            <v>NTST885</v>
          </cell>
        </row>
        <row r="2936">
          <cell r="C2936" t="str">
            <v>Phil &amp; Ethics in Chaplaincy</v>
          </cell>
          <cell r="E2936" t="str">
            <v>PATH549</v>
          </cell>
        </row>
        <row r="2937">
          <cell r="C2937" t="str">
            <v>Teaching Religion in College</v>
          </cell>
          <cell r="E2937" t="str">
            <v>GSEM860</v>
          </cell>
        </row>
        <row r="2938">
          <cell r="C2938" t="str">
            <v>Current Issues in Mission</v>
          </cell>
          <cell r="E2938" t="str">
            <v>MSSN805</v>
          </cell>
        </row>
        <row r="2939">
          <cell r="C2939" t="str">
            <v>Disciplshp&amp;Worldvw Transfrmatn</v>
          </cell>
          <cell r="E2939" t="str">
            <v>MSSN870</v>
          </cell>
        </row>
        <row r="2940">
          <cell r="C2940" t="str">
            <v>Urban Context Mission/Ministry</v>
          </cell>
          <cell r="E2940" t="str">
            <v>MSSN835</v>
          </cell>
        </row>
        <row r="2941">
          <cell r="C2941" t="str">
            <v>Research Design in Mission</v>
          </cell>
          <cell r="E2941" t="str">
            <v>MSSN854</v>
          </cell>
        </row>
        <row r="2942">
          <cell r="C2942" t="str">
            <v>Research Methods in Miss&amp;Min</v>
          </cell>
          <cell r="E2942" t="str">
            <v>MSSN840</v>
          </cell>
        </row>
        <row r="2943">
          <cell r="C2943" t="str">
            <v>Bib Theo&amp;Spiritl Found Mssn</v>
          </cell>
          <cell r="E2943" t="str">
            <v>MSSN806</v>
          </cell>
        </row>
        <row r="2944">
          <cell r="C2944" t="str">
            <v>History of Mission</v>
          </cell>
          <cell r="E2944" t="str">
            <v>MSSN837</v>
          </cell>
        </row>
        <row r="2945">
          <cell r="C2945" t="str">
            <v>Adv Scholarly &amp; Prof Dev</v>
          </cell>
          <cell r="E2945" t="str">
            <v>DSLE878</v>
          </cell>
        </row>
        <row r="2946">
          <cell r="C2946" t="str">
            <v>Life &amp; Writings of E. G. White</v>
          </cell>
          <cell r="D2946" t="str">
            <v>Life &amp; Writings of E. G. White</v>
          </cell>
          <cell r="E2946" t="str">
            <v>CHIS571</v>
          </cell>
        </row>
        <row r="2947">
          <cell r="C2947" t="str">
            <v>Ind St:</v>
          </cell>
          <cell r="D2947" t="str">
            <v>Ind St:Min Youth &amp; Young Adult</v>
          </cell>
          <cell r="E2947" t="str">
            <v>DSRE690</v>
          </cell>
        </row>
        <row r="2948">
          <cell r="C2948" t="str">
            <v>Ind Stdy:</v>
          </cell>
          <cell r="D2948" t="str">
            <v>Ind St:Personal Evangelism</v>
          </cell>
          <cell r="E2948" t="str">
            <v>CHMN690</v>
          </cell>
        </row>
        <row r="2949">
          <cell r="C2949" t="str">
            <v>Colloquium:</v>
          </cell>
          <cell r="D2949" t="str">
            <v>Coll:Forgivness:Reaching Peace</v>
          </cell>
          <cell r="E2949" t="str">
            <v>GSEM505</v>
          </cell>
        </row>
        <row r="2950">
          <cell r="C2950" t="str">
            <v>Intertestamental Literature</v>
          </cell>
          <cell r="E2950" t="str">
            <v>NTST635</v>
          </cell>
        </row>
        <row r="2951">
          <cell r="C2951" t="str">
            <v>Adv Studies Pauline Wrtg:</v>
          </cell>
          <cell r="D2951" t="str">
            <v>AdvStud PaulWrtg:Pastoral Epis</v>
          </cell>
          <cell r="E2951" t="str">
            <v>NTST658</v>
          </cell>
        </row>
        <row r="2952">
          <cell r="C2952" t="str">
            <v>Field Practicum</v>
          </cell>
          <cell r="E2952" t="str">
            <v>CHMN660</v>
          </cell>
        </row>
        <row r="2953">
          <cell r="C2953" t="str">
            <v>Master's Degree Contin</v>
          </cell>
          <cell r="E2953" t="str">
            <v>GSEM688</v>
          </cell>
        </row>
        <row r="2954">
          <cell r="C2954" t="str">
            <v>Research Project</v>
          </cell>
          <cell r="E2954" t="str">
            <v>GSEM695</v>
          </cell>
        </row>
        <row r="2955">
          <cell r="C2955" t="str">
            <v>Thesis for MA Degree</v>
          </cell>
          <cell r="E2955" t="str">
            <v>GSEM697</v>
          </cell>
        </row>
        <row r="2956">
          <cell r="C2956" t="str">
            <v>Ind St:</v>
          </cell>
          <cell r="D2956" t="str">
            <v>Ind St: Dev of SDA Theology</v>
          </cell>
          <cell r="E2956" t="str">
            <v>CHIS690</v>
          </cell>
        </row>
        <row r="2957">
          <cell r="C2957" t="str">
            <v>Major Prophets:</v>
          </cell>
          <cell r="D2957" t="str">
            <v>Major Prophets:</v>
          </cell>
          <cell r="E2957" t="str">
            <v>OTST686</v>
          </cell>
        </row>
        <row r="2958">
          <cell r="C2958" t="str">
            <v>Topics in</v>
          </cell>
          <cell r="D2958" t="str">
            <v>Top:Adv Greek Grammr&amp; Sintax</v>
          </cell>
          <cell r="E2958" t="str">
            <v>NTST885</v>
          </cell>
        </row>
        <row r="2959">
          <cell r="C2959" t="str">
            <v>Topics in</v>
          </cell>
          <cell r="D2959" t="str">
            <v>Topics in John</v>
          </cell>
          <cell r="E2959" t="str">
            <v>NTST885</v>
          </cell>
        </row>
        <row r="2960">
          <cell r="C2960" t="str">
            <v>Topics in</v>
          </cell>
          <cell r="D2960" t="str">
            <v>Topics in Pastoral Epistles</v>
          </cell>
          <cell r="E2960" t="str">
            <v>NTST885</v>
          </cell>
        </row>
        <row r="2961">
          <cell r="C2961" t="str">
            <v>Directed Rdg in Old Testmt</v>
          </cell>
          <cell r="D2961" t="str">
            <v>Dir Rdg in OT: Biblcl Typology</v>
          </cell>
          <cell r="E2961" t="str">
            <v>OTST890</v>
          </cell>
        </row>
        <row r="2962">
          <cell r="C2962" t="str">
            <v>Directed Rdg in Old Testmt</v>
          </cell>
          <cell r="D2962" t="str">
            <v>DirRdg in OT:Innr Bib Int&amp;Herm</v>
          </cell>
          <cell r="E2962" t="str">
            <v>OTST890</v>
          </cell>
        </row>
        <row r="2963">
          <cell r="C2963" t="str">
            <v>Ind St:</v>
          </cell>
          <cell r="D2963" t="str">
            <v>Ind St: Contextual Theology</v>
          </cell>
          <cell r="E2963" t="str">
            <v>MSSN897</v>
          </cell>
        </row>
        <row r="2964">
          <cell r="C2964" t="str">
            <v>Field Practicum:</v>
          </cell>
          <cell r="D2964" t="str">
            <v>Field Practicum:Religious Educ</v>
          </cell>
          <cell r="E2964" t="str">
            <v>DSLE680</v>
          </cell>
        </row>
        <row r="2965">
          <cell r="C2965" t="str">
            <v>Theology of the Old Testament</v>
          </cell>
          <cell r="E2965" t="str">
            <v>OTST619</v>
          </cell>
        </row>
        <row r="2966">
          <cell r="C2966" t="str">
            <v>Independent Study:</v>
          </cell>
          <cell r="D2966" t="str">
            <v>IndStdy:Bib&amp; Theo Hermeneutics</v>
          </cell>
          <cell r="E2966" t="str">
            <v>OTST895</v>
          </cell>
        </row>
        <row r="2967">
          <cell r="C2967" t="str">
            <v>Trauma&amp;Adv Crisis Intervention</v>
          </cell>
          <cell r="E2967" t="str">
            <v>PATH643</v>
          </cell>
        </row>
        <row r="2968">
          <cell r="C2968" t="str">
            <v>Field Practicum: MAYYAM</v>
          </cell>
          <cell r="D2968" t="str">
            <v>Field Practicum:MAYYAM</v>
          </cell>
          <cell r="E2968" t="str">
            <v>DSLE660</v>
          </cell>
        </row>
        <row r="2969">
          <cell r="C2969" t="str">
            <v>Topics in:</v>
          </cell>
          <cell r="D2969" t="str">
            <v>Topcs in:Mission to the Cities</v>
          </cell>
          <cell r="E2969" t="str">
            <v>MSSN885</v>
          </cell>
        </row>
        <row r="2970">
          <cell r="C2970" t="str">
            <v>PhD-ThD Diss Prop Prep</v>
          </cell>
          <cell r="D2970" t="str">
            <v>PhD-ThD Diss Prop Prep</v>
          </cell>
          <cell r="E2970" t="str">
            <v>GSEM844</v>
          </cell>
        </row>
        <row r="2971">
          <cell r="C2971" t="str">
            <v>Church Grwth&amp; Equipping Leader</v>
          </cell>
          <cell r="D2971" t="str">
            <v>Church Grwth&amp; Equipping Pastor</v>
          </cell>
          <cell r="E2971" t="str">
            <v>PATH539</v>
          </cell>
        </row>
        <row r="2972">
          <cell r="C2972" t="str">
            <v>Topics:</v>
          </cell>
          <cell r="D2972" t="str">
            <v>Topics: Mission to the Cities</v>
          </cell>
          <cell r="E2972" t="str">
            <v>MSSN695</v>
          </cell>
        </row>
        <row r="2973">
          <cell r="C2973" t="str">
            <v>Topics in</v>
          </cell>
          <cell r="D2973" t="str">
            <v>Top:Readings in the Septuagint</v>
          </cell>
          <cell r="E2973" t="str">
            <v>NTST885</v>
          </cell>
        </row>
        <row r="2974">
          <cell r="C2974" t="str">
            <v>Ministry to At-Risk Youth</v>
          </cell>
          <cell r="D2974" t="str">
            <v>Ministry to At-Risk Youth</v>
          </cell>
          <cell r="E2974" t="str">
            <v>DSLE626</v>
          </cell>
        </row>
        <row r="2975">
          <cell r="C2975" t="str">
            <v>Foundations in DSLE</v>
          </cell>
          <cell r="D2975" t="str">
            <v>Fndtns in Religious Education</v>
          </cell>
          <cell r="E2975" t="str">
            <v>DSLE605</v>
          </cell>
        </row>
        <row r="2976">
          <cell r="C2976" t="str">
            <v>Top:</v>
          </cell>
          <cell r="D2976" t="str">
            <v>Top: Human Nature &amp; Destiny</v>
          </cell>
          <cell r="E2976" t="str">
            <v>THST885</v>
          </cell>
        </row>
        <row r="2977">
          <cell r="C2977" t="str">
            <v>Topics in</v>
          </cell>
          <cell r="D2977" t="str">
            <v>Top: New Testament Archaeology</v>
          </cell>
          <cell r="E2977" t="str">
            <v>NTST885</v>
          </cell>
        </row>
        <row r="2978">
          <cell r="C2978" t="str">
            <v>Christn Lead in a Chnging Wrld</v>
          </cell>
          <cell r="E2978" t="str">
            <v>PATH543</v>
          </cell>
        </row>
        <row r="2979">
          <cell r="C2979" t="str">
            <v>Contextualized Preaching:</v>
          </cell>
          <cell r="E2979" t="str">
            <v>PATH632</v>
          </cell>
        </row>
        <row r="2980">
          <cell r="C2980" t="str">
            <v>Ind St:</v>
          </cell>
          <cell r="D2980" t="str">
            <v>Ind St: Early Church</v>
          </cell>
          <cell r="E2980" t="str">
            <v>CHIS690</v>
          </cell>
        </row>
        <row r="2981">
          <cell r="C2981" t="str">
            <v>Death &amp; Grief Contemp Society</v>
          </cell>
          <cell r="D2981" t="str">
            <v>Death &amp; Grief Contemp Society</v>
          </cell>
          <cell r="E2981" t="str">
            <v>PATH516</v>
          </cell>
        </row>
        <row r="2982">
          <cell r="C2982" t="str">
            <v>CollabMin: Part in Disc&amp;Mssn</v>
          </cell>
          <cell r="D2982" t="str">
            <v>CollabMin: Part in Disc&amp;Mssn</v>
          </cell>
          <cell r="E2982" t="str">
            <v>DSLE616</v>
          </cell>
        </row>
        <row r="2983">
          <cell r="C2983" t="str">
            <v>Christn Lead in a Chnging Wrld</v>
          </cell>
          <cell r="E2983" t="str">
            <v>PATH543</v>
          </cell>
        </row>
        <row r="2984">
          <cell r="C2984" t="str">
            <v>DIS Dissertation</v>
          </cell>
          <cell r="E2984" t="str">
            <v>MSSN899</v>
          </cell>
        </row>
        <row r="2985">
          <cell r="C2985" t="str">
            <v>Ind St:</v>
          </cell>
          <cell r="D2985" t="str">
            <v>Ind St: NT Exegesis</v>
          </cell>
          <cell r="E2985" t="str">
            <v>NTST690</v>
          </cell>
        </row>
        <row r="2986">
          <cell r="C2986" t="str">
            <v>Ind St:</v>
          </cell>
          <cell r="D2986" t="str">
            <v>Ind St:NT Backgrounds</v>
          </cell>
          <cell r="E2986" t="str">
            <v>NTST690</v>
          </cell>
        </row>
        <row r="2987">
          <cell r="C2987" t="str">
            <v>Ind. Study:</v>
          </cell>
          <cell r="D2987" t="str">
            <v>Ind. Study: NT Exegesis</v>
          </cell>
          <cell r="E2987" t="str">
            <v>NTST897</v>
          </cell>
        </row>
        <row r="2988">
          <cell r="C2988" t="str">
            <v>Field Practicum:</v>
          </cell>
          <cell r="E2988" t="str">
            <v>PATH660</v>
          </cell>
        </row>
        <row r="2989">
          <cell r="C2989" t="str">
            <v>Directed Rdg Christian Ethics</v>
          </cell>
          <cell r="D2989" t="str">
            <v>Dir Rdg Phil, Theo, &amp; Ethics</v>
          </cell>
          <cell r="E2989" t="str">
            <v>THST896</v>
          </cell>
        </row>
        <row r="2990">
          <cell r="C2990" t="str">
            <v>Ind Stdy:</v>
          </cell>
          <cell r="D2990" t="str">
            <v>Ind Stdy:</v>
          </cell>
          <cell r="E2990" t="str">
            <v>PATH690</v>
          </cell>
        </row>
        <row r="2991">
          <cell r="C2991" t="str">
            <v>Seminar in Youth Ministry</v>
          </cell>
          <cell r="E2991" t="str">
            <v>DSLE636</v>
          </cell>
        </row>
        <row r="2992">
          <cell r="C2992" t="str">
            <v>Pract Clinl Past Educ:</v>
          </cell>
          <cell r="E2992" t="str">
            <v>PATH557</v>
          </cell>
        </row>
        <row r="2993">
          <cell r="C2993" t="str">
            <v>Ind St:</v>
          </cell>
          <cell r="D2993" t="str">
            <v>Ind St: Princ of Christ Ethics</v>
          </cell>
          <cell r="E2993" t="str">
            <v>THST690</v>
          </cell>
        </row>
        <row r="2994">
          <cell r="C2994" t="str">
            <v>Ind St:</v>
          </cell>
          <cell r="D2994" t="str">
            <v>Ind St: Hebrews</v>
          </cell>
          <cell r="E2994" t="str">
            <v>NTST690</v>
          </cell>
        </row>
        <row r="2995">
          <cell r="C2995" t="str">
            <v>Conflict Management</v>
          </cell>
          <cell r="E2995" t="str">
            <v>PATH526</v>
          </cell>
        </row>
        <row r="2996">
          <cell r="C2996" t="str">
            <v>Topics in Ministry</v>
          </cell>
          <cell r="E2996" t="str">
            <v>PATH517</v>
          </cell>
        </row>
        <row r="2997">
          <cell r="C2997" t="str">
            <v>Pastoral Counseling</v>
          </cell>
          <cell r="E2997" t="str">
            <v>PATH555</v>
          </cell>
        </row>
        <row r="2998">
          <cell r="C2998" t="str">
            <v>Ind St:</v>
          </cell>
          <cell r="D2998" t="str">
            <v>Ind St:Stud in Disc&amp;Lfspn Educ</v>
          </cell>
          <cell r="E2998" t="str">
            <v>DSLE690</v>
          </cell>
        </row>
        <row r="2999">
          <cell r="C2999" t="str">
            <v>Ind St:</v>
          </cell>
          <cell r="D2999" t="str">
            <v>Ind St:DMin Dissert Project</v>
          </cell>
          <cell r="E2999" t="str">
            <v>GSEM797</v>
          </cell>
        </row>
        <row r="3000">
          <cell r="C3000" t="str">
            <v>Ind St:</v>
          </cell>
          <cell r="D3000" t="str">
            <v>Ind St:Spiritual &amp; Theol Found</v>
          </cell>
          <cell r="E3000" t="str">
            <v>GSEM797</v>
          </cell>
        </row>
        <row r="3001">
          <cell r="C3001" t="str">
            <v>Practicum Military Chaplaincy</v>
          </cell>
          <cell r="E3001" t="str">
            <v>PATH641</v>
          </cell>
        </row>
        <row r="3002">
          <cell r="C3002" t="str">
            <v>Ind St:</v>
          </cell>
          <cell r="D3002" t="str">
            <v>Ind St:Rchng the Secular Mind</v>
          </cell>
          <cell r="E3002" t="str">
            <v>DSLE690</v>
          </cell>
        </row>
        <row r="3003">
          <cell r="C3003" t="str">
            <v>Ind St:</v>
          </cell>
          <cell r="D3003" t="str">
            <v>Ind St:Effective Strategic Grw</v>
          </cell>
          <cell r="E3003" t="str">
            <v>GSEM797</v>
          </cell>
        </row>
        <row r="3004">
          <cell r="C3004" t="str">
            <v>Doctoral Degr Continuation</v>
          </cell>
          <cell r="D3004" t="str">
            <v>Doctoral Degr Continuation</v>
          </cell>
          <cell r="E3004" t="str">
            <v>GSEM888</v>
          </cell>
        </row>
        <row r="3005">
          <cell r="C3005" t="str">
            <v>Worship:Word &amp; Music</v>
          </cell>
          <cell r="D3005" t="str">
            <v>Worship:Word &amp; Music</v>
          </cell>
          <cell r="E3005" t="str">
            <v>PATH523</v>
          </cell>
        </row>
        <row r="3006">
          <cell r="C3006" t="str">
            <v>Top:</v>
          </cell>
          <cell r="D3006" t="str">
            <v>Top:Modern Christian Theology</v>
          </cell>
          <cell r="E3006" t="str">
            <v>THST885</v>
          </cell>
        </row>
        <row r="3007">
          <cell r="C3007" t="str">
            <v>Prep for Comprehensive Exams</v>
          </cell>
          <cell r="D3007" t="str">
            <v>Prep for Comprehensive Exams</v>
          </cell>
          <cell r="E3007" t="str">
            <v>GSEM880</v>
          </cell>
        </row>
        <row r="3008">
          <cell r="C3008" t="str">
            <v>Ind St:</v>
          </cell>
          <cell r="D3008" t="str">
            <v>Ind St: Studies in OT Exegesis</v>
          </cell>
          <cell r="E3008" t="str">
            <v>OTST690</v>
          </cell>
        </row>
        <row r="3009">
          <cell r="C3009" t="str">
            <v>Scholarly and Professional Dev</v>
          </cell>
          <cell r="E3009" t="str">
            <v>DSLE620</v>
          </cell>
        </row>
        <row r="3010">
          <cell r="C3010" t="str">
            <v>Pract Clinl Past Educ:</v>
          </cell>
          <cell r="E3010" t="str">
            <v>PATH557</v>
          </cell>
        </row>
        <row r="3011">
          <cell r="C3011" t="str">
            <v>Ind St:</v>
          </cell>
          <cell r="D3011" t="str">
            <v>Ind St:Contemporary Theology</v>
          </cell>
          <cell r="E3011" t="str">
            <v>THST897</v>
          </cell>
        </row>
        <row r="3012">
          <cell r="C3012" t="str">
            <v>Ind St:</v>
          </cell>
          <cell r="D3012" t="str">
            <v>Ind St:Ethics and Theology</v>
          </cell>
          <cell r="E3012" t="str">
            <v>THST897</v>
          </cell>
        </row>
        <row r="3013">
          <cell r="C3013" t="str">
            <v>Ind Stdy:</v>
          </cell>
          <cell r="E3013" t="str">
            <v>PATH690</v>
          </cell>
        </row>
        <row r="3014">
          <cell r="C3014" t="str">
            <v>Ind Stdy:</v>
          </cell>
          <cell r="E3014" t="str">
            <v>PATH690</v>
          </cell>
        </row>
        <row r="3015">
          <cell r="C3015" t="str">
            <v>Ind Stdy:</v>
          </cell>
          <cell r="E3015" t="str">
            <v>PATH690</v>
          </cell>
        </row>
        <row r="3016">
          <cell r="C3016" t="str">
            <v>Ind Stdy:</v>
          </cell>
          <cell r="E3016" t="str">
            <v>PATH690</v>
          </cell>
        </row>
        <row r="3017">
          <cell r="C3017" t="str">
            <v>Ind Stdy:</v>
          </cell>
          <cell r="E3017" t="str">
            <v>PATH690</v>
          </cell>
        </row>
        <row r="3018">
          <cell r="C3018" t="str">
            <v>Ind Stdy:</v>
          </cell>
          <cell r="E3018" t="str">
            <v>PATH690</v>
          </cell>
        </row>
        <row r="3019">
          <cell r="C3019" t="str">
            <v>Ind Stdy:</v>
          </cell>
          <cell r="E3019" t="str">
            <v>PATH690</v>
          </cell>
        </row>
        <row r="3020">
          <cell r="C3020" t="str">
            <v>Ind Stdy:</v>
          </cell>
          <cell r="E3020" t="str">
            <v>PATH690</v>
          </cell>
        </row>
        <row r="3021">
          <cell r="C3021" t="str">
            <v>Ind Stdy:</v>
          </cell>
          <cell r="E3021" t="str">
            <v>PATH690</v>
          </cell>
        </row>
        <row r="3022">
          <cell r="C3022" t="str">
            <v>Church Grwth&amp; Equipping Leader</v>
          </cell>
          <cell r="E3022" t="str">
            <v>PATH539</v>
          </cell>
        </row>
        <row r="3023">
          <cell r="C3023" t="str">
            <v>Prof Development Practicum</v>
          </cell>
          <cell r="E3023" t="str">
            <v>PATH556</v>
          </cell>
        </row>
        <row r="3024">
          <cell r="C3024" t="str">
            <v>Top:</v>
          </cell>
          <cell r="D3024" t="str">
            <v>Top:Revelation, Inspiratn&amp;Herm</v>
          </cell>
          <cell r="E3024" t="str">
            <v>THST885</v>
          </cell>
        </row>
        <row r="3025">
          <cell r="C3025" t="str">
            <v>Topics in:</v>
          </cell>
          <cell r="D3025" t="str">
            <v>Top: Witnessing to Muslims</v>
          </cell>
          <cell r="E3025" t="str">
            <v>MSSN885</v>
          </cell>
        </row>
        <row r="3026">
          <cell r="C3026" t="str">
            <v>DMin Prof Dissertation Cont</v>
          </cell>
          <cell r="E3026" t="str">
            <v>GSEM788</v>
          </cell>
        </row>
        <row r="3027">
          <cell r="C3027" t="str">
            <v>Biblical Preaching</v>
          </cell>
          <cell r="E3027" t="str">
            <v>PATH505</v>
          </cell>
        </row>
        <row r="3028">
          <cell r="C3028" t="str">
            <v>Studies in Daniel (Engl)</v>
          </cell>
          <cell r="E3028" t="str">
            <v>OTST546</v>
          </cell>
        </row>
        <row r="3029">
          <cell r="C3029" t="str">
            <v>Colloquium:</v>
          </cell>
          <cell r="D3029" t="str">
            <v>Coll:Min&amp;Apolgtcs in Seclr Age</v>
          </cell>
          <cell r="E3029" t="str">
            <v>GSEM505</v>
          </cell>
        </row>
        <row r="3030">
          <cell r="C3030" t="str">
            <v>Philosphcl Foundtns for Prof</v>
          </cell>
          <cell r="E3030" t="str">
            <v>DSLE606</v>
          </cell>
        </row>
        <row r="3031">
          <cell r="C3031" t="str">
            <v>The Changing Church</v>
          </cell>
          <cell r="E3031" t="str">
            <v>PATH709</v>
          </cell>
        </row>
        <row r="3032">
          <cell r="C3032" t="str">
            <v>Mobilizing for Evang Min</v>
          </cell>
          <cell r="D3032" t="str">
            <v>Mobilizing for Evang Min</v>
          </cell>
          <cell r="E3032" t="str">
            <v>PATH604</v>
          </cell>
        </row>
        <row r="3033">
          <cell r="C3033" t="str">
            <v>Adv Ministerial Development</v>
          </cell>
          <cell r="E3033" t="str">
            <v>PATH560</v>
          </cell>
        </row>
        <row r="3034">
          <cell r="C3034" t="str">
            <v>Fndtns of Biblicl Spirituality</v>
          </cell>
          <cell r="E3034" t="str">
            <v>DSLE541</v>
          </cell>
        </row>
        <row r="3035">
          <cell r="C3035" t="str">
            <v>Independent Study:</v>
          </cell>
          <cell r="D3035" t="str">
            <v>Independent Study:</v>
          </cell>
          <cell r="E3035" t="str">
            <v>OTST895</v>
          </cell>
        </row>
        <row r="3036">
          <cell r="C3036" t="str">
            <v>Ind St:</v>
          </cell>
          <cell r="D3036" t="str">
            <v>IndSt:Int Dynmcs of the Family</v>
          </cell>
          <cell r="E3036" t="str">
            <v>DSLE690</v>
          </cell>
        </row>
        <row r="3037">
          <cell r="C3037" t="str">
            <v>Colloquium:</v>
          </cell>
          <cell r="D3037" t="str">
            <v>Coll:NAD EndItNow Smt on Abuse</v>
          </cell>
          <cell r="E3037" t="str">
            <v>GSEM505</v>
          </cell>
        </row>
        <row r="3038">
          <cell r="C3038" t="str">
            <v>Field Practicum:</v>
          </cell>
          <cell r="E3038" t="str">
            <v>PATH660</v>
          </cell>
        </row>
        <row r="3039">
          <cell r="C3039" t="str">
            <v>Ind St:</v>
          </cell>
          <cell r="D3039" t="str">
            <v>Ind St:Early Christian Lit</v>
          </cell>
          <cell r="E3039" t="str">
            <v>CHIS690</v>
          </cell>
        </row>
        <row r="3040">
          <cell r="C3040" t="str">
            <v>Ind St:</v>
          </cell>
          <cell r="D3040" t="str">
            <v>Ind St:Early Christian Literat</v>
          </cell>
          <cell r="E3040" t="str">
            <v>CHIS891</v>
          </cell>
        </row>
        <row r="3041">
          <cell r="C3041" t="str">
            <v>Ind. Study:</v>
          </cell>
          <cell r="D3041" t="str">
            <v>Ind St: NT Backgrounds</v>
          </cell>
          <cell r="E3041" t="str">
            <v>NTST897</v>
          </cell>
        </row>
        <row r="3042">
          <cell r="C3042" t="str">
            <v>CollabMin: Part in Disc&amp;Mssn</v>
          </cell>
          <cell r="E3042" t="str">
            <v>DSLE616</v>
          </cell>
        </row>
        <row r="3043">
          <cell r="C3043" t="str">
            <v>Ind St:</v>
          </cell>
          <cell r="D3043" t="str">
            <v>Ind St: CHIS to 1500</v>
          </cell>
          <cell r="E3043" t="str">
            <v>CHIS690</v>
          </cell>
        </row>
        <row r="3044">
          <cell r="C3044" t="str">
            <v>Marriage, Fam&amp;Interprsnl Reltn</v>
          </cell>
          <cell r="E3044" t="str">
            <v>DSLE503</v>
          </cell>
        </row>
        <row r="3045">
          <cell r="C3045" t="str">
            <v>Scholarly and Professional Dev</v>
          </cell>
          <cell r="E3045" t="str">
            <v>DSLE620</v>
          </cell>
        </row>
        <row r="3046">
          <cell r="C3046" t="str">
            <v>Studies in the Gospels</v>
          </cell>
          <cell r="E3046" t="str">
            <v>NTST536</v>
          </cell>
        </row>
        <row r="3047">
          <cell r="C3047" t="str">
            <v>Church Grwth&amp; Equipping Leader</v>
          </cell>
          <cell r="E3047" t="str">
            <v>PATH539</v>
          </cell>
        </row>
        <row r="3048">
          <cell r="C3048" t="str">
            <v>Ind St:</v>
          </cell>
          <cell r="D3048" t="str">
            <v>IndSt:Early Church Backgrounds</v>
          </cell>
          <cell r="E3048" t="str">
            <v>CHIS891</v>
          </cell>
        </row>
        <row r="3049">
          <cell r="C3049" t="str">
            <v>Dissertation:Literature Review</v>
          </cell>
          <cell r="E3049" t="str">
            <v>DSLE994</v>
          </cell>
        </row>
        <row r="3050">
          <cell r="C3050" t="str">
            <v>Independent Study:</v>
          </cell>
          <cell r="D3050" t="str">
            <v>Independent Study: Text-Fabric</v>
          </cell>
          <cell r="E3050" t="str">
            <v>OTST895</v>
          </cell>
        </row>
        <row r="3051">
          <cell r="C3051" t="str">
            <v>Seminar in Youth Ministry</v>
          </cell>
          <cell r="E3051" t="str">
            <v>DSLE636</v>
          </cell>
        </row>
        <row r="3052">
          <cell r="C3052" t="str">
            <v>Topics:</v>
          </cell>
          <cell r="D3052" t="str">
            <v>Top:Mission Cultur&amp;Rel Context</v>
          </cell>
          <cell r="E3052" t="str">
            <v>MSSN695</v>
          </cell>
        </row>
        <row r="3053">
          <cell r="C3053" t="str">
            <v>Church Growth</v>
          </cell>
          <cell r="E3053" t="str">
            <v>PATH541</v>
          </cell>
        </row>
        <row r="3054">
          <cell r="C3054" t="str">
            <v>Foundations in DSLE</v>
          </cell>
          <cell r="E3054" t="str">
            <v>DSLE605</v>
          </cell>
        </row>
        <row r="3055">
          <cell r="C3055" t="str">
            <v>Contextualized Preaching:</v>
          </cell>
          <cell r="E3055" t="str">
            <v>PATH632</v>
          </cell>
        </row>
        <row r="3056">
          <cell r="C3056" t="str">
            <v>Sem in Systematic Theology:</v>
          </cell>
          <cell r="D3056" t="str">
            <v>Sem Syst Theo: Sabb Doctr&amp;Bles</v>
          </cell>
          <cell r="E3056" t="str">
            <v>THST940</v>
          </cell>
        </row>
        <row r="3057">
          <cell r="C3057" t="str">
            <v>Field Evangelism</v>
          </cell>
          <cell r="E3057" t="str">
            <v>PATH562</v>
          </cell>
        </row>
        <row r="3058">
          <cell r="C3058" t="str">
            <v>Topics in</v>
          </cell>
          <cell r="D3058" t="str">
            <v>Tops in Grt Cont, Cvnt, Lw&amp;Sab</v>
          </cell>
          <cell r="E3058" t="str">
            <v>NTST885</v>
          </cell>
        </row>
        <row r="3059">
          <cell r="C3059" t="str">
            <v>Topics in:</v>
          </cell>
          <cell r="D3059" t="str">
            <v>Top:Rsrch Design&amp; Diss Propsal</v>
          </cell>
          <cell r="E3059" t="str">
            <v>MSSN885</v>
          </cell>
        </row>
        <row r="3060">
          <cell r="C3060" t="str">
            <v>Ind St:</v>
          </cell>
          <cell r="D3060" t="str">
            <v>Ind St: Eschatology</v>
          </cell>
          <cell r="E3060" t="str">
            <v>NTST690</v>
          </cell>
        </row>
        <row r="3061">
          <cell r="C3061" t="str">
            <v>Ind St:</v>
          </cell>
          <cell r="D3061" t="str">
            <v>Ind St:  Mission</v>
          </cell>
          <cell r="E3061" t="str">
            <v>MSSN897</v>
          </cell>
        </row>
        <row r="3062">
          <cell r="C3062" t="str">
            <v>Ind St:</v>
          </cell>
          <cell r="D3062" t="str">
            <v>Ind St: NT Backgrounds</v>
          </cell>
          <cell r="E3062" t="str">
            <v>NTST690</v>
          </cell>
        </row>
        <row r="3063">
          <cell r="C3063" t="str">
            <v>Field Practicum: MAYYAM</v>
          </cell>
          <cell r="E3063" t="str">
            <v>DSLE660</v>
          </cell>
        </row>
        <row r="3064">
          <cell r="C3064" t="str">
            <v>Church History Study Tour</v>
          </cell>
          <cell r="E3064" t="str">
            <v>GSEM678</v>
          </cell>
        </row>
        <row r="3065">
          <cell r="C3065" t="str">
            <v>Ind St:</v>
          </cell>
          <cell r="D3065" t="str">
            <v>IndSt: AI's Influence on Theol</v>
          </cell>
          <cell r="E3065" t="str">
            <v>THST897</v>
          </cell>
        </row>
        <row r="3066">
          <cell r="C3066" t="str">
            <v>Topics in Church History:</v>
          </cell>
          <cell r="D3066" t="str">
            <v>Top in Chrch Hist:Early Church</v>
          </cell>
          <cell r="E3066" t="str">
            <v>CHIS695</v>
          </cell>
        </row>
        <row r="3067">
          <cell r="C3067" t="str">
            <v>Ind Stdy:</v>
          </cell>
          <cell r="D3067" t="str">
            <v>IndSdy:Contextualized Preachng</v>
          </cell>
          <cell r="E3067" t="str">
            <v>PATH690</v>
          </cell>
        </row>
        <row r="3068">
          <cell r="C3068" t="str">
            <v>Ind St:</v>
          </cell>
          <cell r="D3068" t="str">
            <v>Ind St: Grt Con, Cov, Law, Sab</v>
          </cell>
          <cell r="E3068" t="str">
            <v>NTST690</v>
          </cell>
        </row>
        <row r="3069">
          <cell r="C3069" t="str">
            <v>Rev, Insp &amp; Hermeneutics</v>
          </cell>
          <cell r="E3069" t="str">
            <v>THST611</v>
          </cell>
        </row>
        <row r="3070">
          <cell r="C3070" t="str">
            <v>Church Grwth&amp; Equipping Leader</v>
          </cell>
          <cell r="E3070" t="str">
            <v>PATH539</v>
          </cell>
        </row>
        <row r="3071">
          <cell r="C3071" t="str">
            <v>IndSty in Adv St:</v>
          </cell>
          <cell r="D3071" t="str">
            <v>IndSty:Armin&amp;Wesleyn Hist&amp;Theo</v>
          </cell>
          <cell r="E3071" t="str">
            <v>CHIS892</v>
          </cell>
        </row>
        <row r="3072">
          <cell r="C3072" t="str">
            <v>Sem in Biblical Theology</v>
          </cell>
          <cell r="E3072" t="str">
            <v>OTST945</v>
          </cell>
        </row>
        <row r="3073">
          <cell r="C3073" t="str">
            <v>Ind St:</v>
          </cell>
          <cell r="D3073" t="str">
            <v>Ind St: Sem in Youth Ministry</v>
          </cell>
          <cell r="E3073" t="str">
            <v>DSLE690</v>
          </cell>
        </row>
        <row r="3074">
          <cell r="C3074" t="str">
            <v>Biblical Preaching</v>
          </cell>
          <cell r="E3074" t="str">
            <v>PATH505</v>
          </cell>
        </row>
        <row r="3075">
          <cell r="C3075" t="str">
            <v>Ind St:</v>
          </cell>
          <cell r="D3075" t="str">
            <v>IndSt: Hist of Missn Melanesia</v>
          </cell>
          <cell r="E3075" t="str">
            <v>MSSN897</v>
          </cell>
        </row>
        <row r="3076">
          <cell r="C3076" t="str">
            <v>Field Practicum:</v>
          </cell>
          <cell r="D3076" t="str">
            <v>FldPract:Best Pract Disc Lifsp</v>
          </cell>
          <cell r="E3076" t="str">
            <v>DSLE885</v>
          </cell>
        </row>
        <row r="3077">
          <cell r="C3077" t="str">
            <v>Applied Research</v>
          </cell>
          <cell r="E3077" t="str">
            <v>DSLE887</v>
          </cell>
        </row>
        <row r="3078">
          <cell r="C3078" t="str">
            <v>Major Prophets:</v>
          </cell>
          <cell r="D3078" t="str">
            <v>Major Prophets:Jeremiah</v>
          </cell>
          <cell r="E3078" t="str">
            <v>OTST686</v>
          </cell>
        </row>
        <row r="3079">
          <cell r="C3079" t="str">
            <v>Colloquium:</v>
          </cell>
          <cell r="D3079" t="str">
            <v>Coll: Pathfinder Lead Training</v>
          </cell>
          <cell r="E3079" t="str">
            <v>GSEM505</v>
          </cell>
        </row>
        <row r="3080">
          <cell r="C3080" t="str">
            <v>Adv Yth&amp;Yng Adlt Min Ldrshp</v>
          </cell>
          <cell r="E3080" t="str">
            <v>DSLE564</v>
          </cell>
        </row>
        <row r="3081">
          <cell r="C3081" t="str">
            <v>Worship:Word &amp; Music</v>
          </cell>
          <cell r="E3081" t="str">
            <v>PATH523</v>
          </cell>
        </row>
        <row r="3082">
          <cell r="C3082" t="str">
            <v>Strategies World Mission</v>
          </cell>
          <cell r="D3082" t="str">
            <v>Strategies for World Mission</v>
          </cell>
          <cell r="E3082" t="str">
            <v>MSSN685</v>
          </cell>
        </row>
        <row r="3083">
          <cell r="C3083" t="str">
            <v>Ind St:</v>
          </cell>
          <cell r="D3083" t="str">
            <v>IndSt:Doctrine ofthe Sanctuary</v>
          </cell>
          <cell r="E3083" t="str">
            <v>OTST690</v>
          </cell>
        </row>
        <row r="3084">
          <cell r="C3084" t="str">
            <v>Directed Rdg in Systmtic Theo</v>
          </cell>
          <cell r="D3084" t="str">
            <v>DirRdg inSystTheo:Doctr of God</v>
          </cell>
          <cell r="E3084" t="str">
            <v>THST890</v>
          </cell>
        </row>
        <row r="3085">
          <cell r="C3085" t="str">
            <v>Sem in Systematic Theology:</v>
          </cell>
          <cell r="D3085" t="str">
            <v>Sem Syst Theo: Faith, Reason&amp;M</v>
          </cell>
          <cell r="E3085" t="str">
            <v>THST940</v>
          </cell>
        </row>
        <row r="3086">
          <cell r="C3086" t="str">
            <v>Directed Rdg in Systmtic Theo</v>
          </cell>
          <cell r="D3086" t="str">
            <v>DirRdg inSystTheo:Theodocy</v>
          </cell>
          <cell r="E3086" t="str">
            <v>THST890</v>
          </cell>
        </row>
        <row r="3087">
          <cell r="C3087" t="str">
            <v>Independent Study</v>
          </cell>
          <cell r="D3087" t="str">
            <v>Ind Study: Ancient Pottery</v>
          </cell>
          <cell r="E3087" t="str">
            <v>ANEA690</v>
          </cell>
        </row>
        <row r="3088">
          <cell r="C3088" t="str">
            <v>Ind St:</v>
          </cell>
          <cell r="D3088" t="str">
            <v>Ind St: Daniel</v>
          </cell>
          <cell r="E3088" t="str">
            <v>OTST690</v>
          </cell>
        </row>
        <row r="3089">
          <cell r="C3089" t="str">
            <v>Doctoral Dissertation</v>
          </cell>
          <cell r="E3089" t="str">
            <v>DSLE995</v>
          </cell>
        </row>
        <row r="3090">
          <cell r="C3090" t="str">
            <v>Ind St:</v>
          </cell>
          <cell r="D3090" t="str">
            <v>Ind St: NT Exegesis</v>
          </cell>
          <cell r="E3090" t="str">
            <v>NTST690</v>
          </cell>
        </row>
        <row r="3091">
          <cell r="C3091" t="str">
            <v>Death &amp; Grief Contemp Society</v>
          </cell>
          <cell r="E3091" t="str">
            <v>PATH516</v>
          </cell>
        </row>
        <row r="3092">
          <cell r="C3092" t="str">
            <v>Christn Lead in a Chnging Wrld</v>
          </cell>
          <cell r="E3092" t="str">
            <v>PATH543</v>
          </cell>
        </row>
        <row r="3093">
          <cell r="C3093" t="str">
            <v>Ind Stdy:</v>
          </cell>
          <cell r="E3093" t="str">
            <v>PATH690</v>
          </cell>
        </row>
        <row r="3094">
          <cell r="C3094" t="str">
            <v>Postdoctoral Research Project</v>
          </cell>
          <cell r="D3094" t="str">
            <v>Postdoctoral Research Project</v>
          </cell>
          <cell r="E3094" t="str">
            <v>GSEM898</v>
          </cell>
        </row>
        <row r="3095">
          <cell r="C3095" t="str">
            <v>Ind Stdy:</v>
          </cell>
          <cell r="D3095" t="str">
            <v>IndStdy:Field Evang Preaching</v>
          </cell>
          <cell r="E3095" t="str">
            <v>PATH690</v>
          </cell>
        </row>
        <row r="3096">
          <cell r="C3096" t="str">
            <v>Sem in Theological Issues:</v>
          </cell>
          <cell r="D3096" t="str">
            <v>Sem Syst Theo: Sabb Doctr&amp;Bles</v>
          </cell>
          <cell r="E3096" t="str">
            <v>THST649</v>
          </cell>
        </row>
        <row r="3097">
          <cell r="C3097" t="str">
            <v>Field Practicum:</v>
          </cell>
          <cell r="E3097" t="str">
            <v>PATH660</v>
          </cell>
        </row>
        <row r="3098">
          <cell r="C3098" t="str">
            <v>Studies in Prophets (Engl)</v>
          </cell>
          <cell r="E3098" t="str">
            <v>OTST556</v>
          </cell>
        </row>
        <row r="3099">
          <cell r="C3099" t="str">
            <v>Topics:</v>
          </cell>
          <cell r="D3099" t="str">
            <v>Top: Witnessing to Muslims</v>
          </cell>
          <cell r="E3099" t="str">
            <v>MSSN695</v>
          </cell>
        </row>
        <row r="3100">
          <cell r="C3100" t="str">
            <v>Scholarly and Professional Dev</v>
          </cell>
          <cell r="D3100" t="str">
            <v>Scholarly and Professional Dev</v>
          </cell>
          <cell r="E3100" t="str">
            <v>DSLE620</v>
          </cell>
        </row>
        <row r="3101">
          <cell r="C3101" t="str">
            <v>Field Practicum:</v>
          </cell>
          <cell r="D3101" t="str">
            <v>Field Practicum:________</v>
          </cell>
          <cell r="E3101" t="str">
            <v>DSLE680</v>
          </cell>
        </row>
        <row r="3102">
          <cell r="C3102" t="str">
            <v>Field Practicum:</v>
          </cell>
          <cell r="D3102" t="str">
            <v>Field Practicum:________</v>
          </cell>
          <cell r="E3102" t="str">
            <v>DSLE680</v>
          </cell>
        </row>
        <row r="3103">
          <cell r="C3103" t="str">
            <v>Adv Scholarly &amp; Prof Dev</v>
          </cell>
          <cell r="D3103" t="str">
            <v>Adv Scholarly &amp; Prof Dev</v>
          </cell>
          <cell r="E3103" t="str">
            <v>DSLE878</v>
          </cell>
        </row>
        <row r="3104">
          <cell r="C3104" t="str">
            <v>PhD (DSLE) Prog Cont</v>
          </cell>
          <cell r="D3104" t="str">
            <v>PhD (Rel Education) Prog Cont</v>
          </cell>
          <cell r="E3104" t="str">
            <v>DSLE880</v>
          </cell>
        </row>
        <row r="3105">
          <cell r="C3105" t="str">
            <v>Field Practicum:</v>
          </cell>
          <cell r="D3105" t="str">
            <v>Field Practicum:</v>
          </cell>
          <cell r="E3105" t="str">
            <v>DSLE885</v>
          </cell>
        </row>
        <row r="3106">
          <cell r="C3106" t="str">
            <v>Applied Research</v>
          </cell>
          <cell r="D3106" t="str">
            <v>Applied Research</v>
          </cell>
          <cell r="E3106" t="str">
            <v>DSLE887</v>
          </cell>
        </row>
        <row r="3107">
          <cell r="C3107" t="str">
            <v>Doctrine of the Church</v>
          </cell>
          <cell r="E3107" t="str">
            <v>THST615</v>
          </cell>
        </row>
        <row r="3108">
          <cell r="C3108" t="str">
            <v>Ind St:</v>
          </cell>
          <cell r="D3108" t="str">
            <v>Ind St: Witnessing to Muslims</v>
          </cell>
          <cell r="E3108" t="str">
            <v>MSSN690</v>
          </cell>
        </row>
        <row r="3109">
          <cell r="C3109" t="str">
            <v>Directed Rdgs in Church Min</v>
          </cell>
          <cell r="E3109" t="str">
            <v>PATH890</v>
          </cell>
        </row>
        <row r="3110">
          <cell r="C3110" t="str">
            <v>Adv Studies:</v>
          </cell>
          <cell r="E3110" t="str">
            <v>DSLE870</v>
          </cell>
        </row>
        <row r="3111">
          <cell r="C3111" t="str">
            <v>Ind St:</v>
          </cell>
          <cell r="D3111" t="str">
            <v>Ind St: Revelation</v>
          </cell>
          <cell r="E3111" t="str">
            <v>NTST690</v>
          </cell>
        </row>
        <row r="3112">
          <cell r="C3112" t="str">
            <v>Ind Stdy:</v>
          </cell>
          <cell r="D3112" t="str">
            <v>Ind Stdy: Field Evangelism</v>
          </cell>
          <cell r="E3112" t="str">
            <v>PATH690</v>
          </cell>
        </row>
        <row r="3113">
          <cell r="C3113" t="str">
            <v>Directed Rdgs in Church Min</v>
          </cell>
          <cell r="D3113" t="str">
            <v>Directed Rdgs in Church Min</v>
          </cell>
          <cell r="E3113" t="str">
            <v>PATH890</v>
          </cell>
        </row>
        <row r="3114">
          <cell r="C3114" t="str">
            <v>Directed Rdgs in Church Min</v>
          </cell>
          <cell r="D3114" t="str">
            <v>Directed Rdgs in Church Min</v>
          </cell>
          <cell r="E3114" t="str">
            <v>PATH890</v>
          </cell>
        </row>
        <row r="3115">
          <cell r="C3115" t="str">
            <v>Directed Rdgs in Church Min</v>
          </cell>
          <cell r="D3115" t="str">
            <v>Directed Rdgs in Church Min</v>
          </cell>
          <cell r="E3115" t="str">
            <v>PATH890</v>
          </cell>
        </row>
        <row r="3116">
          <cell r="C3116" t="str">
            <v>Directed Rdgs in Church Min</v>
          </cell>
          <cell r="D3116" t="str">
            <v>Directed Rdgs in Church Min</v>
          </cell>
          <cell r="E3116" t="str">
            <v>PATH890</v>
          </cell>
        </row>
        <row r="3117">
          <cell r="C3117" t="str">
            <v>Directed Rdgs in Church Min</v>
          </cell>
          <cell r="D3117" t="str">
            <v>Directed Rdgs in Church Min</v>
          </cell>
          <cell r="E3117" t="str">
            <v>PATH890</v>
          </cell>
        </row>
        <row r="3118">
          <cell r="C3118" t="str">
            <v>Directed Rdgs in Church Min</v>
          </cell>
          <cell r="D3118" t="str">
            <v>Directed Rdgs in Church Min</v>
          </cell>
          <cell r="E3118" t="str">
            <v>PATH890</v>
          </cell>
        </row>
        <row r="3119">
          <cell r="C3119" t="str">
            <v>Directed Rdgs in Church Min</v>
          </cell>
          <cell r="D3119" t="str">
            <v>Directed Rdgs in Church Min</v>
          </cell>
          <cell r="E3119" t="str">
            <v>PATH890</v>
          </cell>
        </row>
        <row r="3120">
          <cell r="C3120" t="str">
            <v>Directed Rdgs in Church Min</v>
          </cell>
          <cell r="D3120" t="str">
            <v>Directed Rdgs in Church Min</v>
          </cell>
          <cell r="E3120" t="str">
            <v>PATH890</v>
          </cell>
        </row>
        <row r="3121">
          <cell r="C3121" t="str">
            <v>Directed Rdgs in Church Min</v>
          </cell>
          <cell r="D3121" t="str">
            <v>Directed Rdgs in Church Min</v>
          </cell>
          <cell r="E3121" t="str">
            <v>PATH890</v>
          </cell>
        </row>
        <row r="3122">
          <cell r="C3122" t="str">
            <v>Directed Rdgs in Church Min</v>
          </cell>
          <cell r="D3122" t="str">
            <v>Directed Rdgs in Church Min</v>
          </cell>
          <cell r="E3122" t="str">
            <v>PATH890</v>
          </cell>
        </row>
        <row r="3123">
          <cell r="C3123" t="str">
            <v>Research Project</v>
          </cell>
          <cell r="D3123" t="str">
            <v>Research Project</v>
          </cell>
          <cell r="E3123" t="str">
            <v>GSEM695</v>
          </cell>
        </row>
        <row r="3124">
          <cell r="C3124" t="str">
            <v>Masters Comprehensive Exam</v>
          </cell>
          <cell r="D3124" t="str">
            <v>Masters Comprehensive Exam</v>
          </cell>
          <cell r="E3124" t="str">
            <v>GSEM680</v>
          </cell>
        </row>
        <row r="3125">
          <cell r="C3125" t="str">
            <v>Master's Degree Contin</v>
          </cell>
          <cell r="D3125" t="str">
            <v>Master's Degree Contin</v>
          </cell>
          <cell r="E3125" t="str">
            <v>GSEM688</v>
          </cell>
        </row>
        <row r="3126">
          <cell r="C3126" t="str">
            <v>Thesis for MA Degree</v>
          </cell>
          <cell r="D3126" t="str">
            <v>MA Thesis</v>
          </cell>
          <cell r="E3126" t="str">
            <v>GSEM697</v>
          </cell>
        </row>
        <row r="3127">
          <cell r="C3127" t="str">
            <v>Research Project</v>
          </cell>
          <cell r="D3127" t="str">
            <v>Research Project</v>
          </cell>
          <cell r="E3127" t="str">
            <v>GSEM695</v>
          </cell>
        </row>
        <row r="3128">
          <cell r="C3128" t="str">
            <v>PhD (DSLE) Prog Cont</v>
          </cell>
          <cell r="D3128" t="str">
            <v>PhD (DSLE) Prog Cont</v>
          </cell>
          <cell r="E3128" t="str">
            <v>DSLE880</v>
          </cell>
        </row>
        <row r="3129">
          <cell r="C3129" t="str">
            <v>Scholarly and Professional Dev</v>
          </cell>
          <cell r="D3129" t="str">
            <v>Scholarly and Professional Dev</v>
          </cell>
          <cell r="E3129" t="str">
            <v>DSLE620</v>
          </cell>
        </row>
        <row r="3130">
          <cell r="C3130" t="str">
            <v>Dissertation:Literature Review</v>
          </cell>
          <cell r="D3130" t="str">
            <v>Dissertation:Literature Review</v>
          </cell>
          <cell r="E3130" t="str">
            <v>DSLE994</v>
          </cell>
        </row>
        <row r="3131">
          <cell r="C3131" t="str">
            <v>Ind. Study:</v>
          </cell>
          <cell r="D3131" t="str">
            <v>Ind. Study:</v>
          </cell>
          <cell r="E3131" t="str">
            <v>NTST897</v>
          </cell>
        </row>
        <row r="3132">
          <cell r="C3132" t="str">
            <v>Ind Stdy:</v>
          </cell>
          <cell r="D3132" t="str">
            <v>Ind Stdy:</v>
          </cell>
          <cell r="E3132" t="str">
            <v>PATH690</v>
          </cell>
        </row>
        <row r="3133">
          <cell r="C3133" t="str">
            <v>Ind Stdy:</v>
          </cell>
          <cell r="D3133" t="str">
            <v>Ind Stdy:</v>
          </cell>
          <cell r="E3133" t="str">
            <v>PATH690</v>
          </cell>
        </row>
        <row r="3134">
          <cell r="C3134" t="str">
            <v>Ind Stdy:</v>
          </cell>
          <cell r="D3134" t="str">
            <v>Ind Stdy:</v>
          </cell>
          <cell r="E3134" t="str">
            <v>PATH690</v>
          </cell>
        </row>
        <row r="3135">
          <cell r="C3135" t="str">
            <v>Thesis</v>
          </cell>
          <cell r="E3135" t="str">
            <v>DSLE699</v>
          </cell>
        </row>
        <row r="3136">
          <cell r="C3136" t="str">
            <v>Studies in the Gospels</v>
          </cell>
          <cell r="E3136" t="str">
            <v>NTST536</v>
          </cell>
        </row>
        <row r="3137">
          <cell r="C3137" t="str">
            <v>Topics in</v>
          </cell>
          <cell r="E3137" t="str">
            <v>NTST885</v>
          </cell>
        </row>
        <row r="3138">
          <cell r="C3138" t="str">
            <v>Ind St:</v>
          </cell>
          <cell r="D3138" t="str">
            <v>Ind Study:NT Backgrounds</v>
          </cell>
          <cell r="E3138" t="str">
            <v>NTST690</v>
          </cell>
        </row>
        <row r="3139">
          <cell r="C3139" t="str">
            <v>Ind St:</v>
          </cell>
          <cell r="D3139" t="str">
            <v>Ind Study: NT Exegesis</v>
          </cell>
          <cell r="E3139" t="str">
            <v>NTST690</v>
          </cell>
        </row>
        <row r="3140">
          <cell r="C3140" t="str">
            <v>DMin Prof Dissertation Sem</v>
          </cell>
          <cell r="E3140" t="str">
            <v>GSEM790</v>
          </cell>
        </row>
        <row r="3141">
          <cell r="C3141" t="str">
            <v>DMin Research Methods Sem</v>
          </cell>
          <cell r="E3141" t="str">
            <v>GSEM793</v>
          </cell>
        </row>
        <row r="3142">
          <cell r="C3142" t="str">
            <v>Spiritual&amp;Theo Found Ministry</v>
          </cell>
          <cell r="E3142" t="str">
            <v>GSEM706</v>
          </cell>
        </row>
        <row r="3143">
          <cell r="C3143" t="str">
            <v>DMin Prof Dissertation Sem</v>
          </cell>
          <cell r="E3143" t="str">
            <v>GSEM790</v>
          </cell>
        </row>
        <row r="3144">
          <cell r="C3144" t="str">
            <v>DMin Research Methods Sem</v>
          </cell>
          <cell r="E3144" t="str">
            <v>GSEM793</v>
          </cell>
        </row>
        <row r="3145">
          <cell r="C3145" t="str">
            <v>Spiritual&amp;Theo Found Ministry</v>
          </cell>
          <cell r="E3145" t="str">
            <v>GSEM706</v>
          </cell>
        </row>
        <row r="3146">
          <cell r="C3146" t="str">
            <v>Seminar in Preaching</v>
          </cell>
          <cell r="E3146" t="str">
            <v>PATH637</v>
          </cell>
        </row>
        <row r="3147">
          <cell r="C3147" t="str">
            <v>Ind Stdy:</v>
          </cell>
          <cell r="D3147" t="str">
            <v>Ind Stdy: Church Growth</v>
          </cell>
          <cell r="E3147" t="str">
            <v>PATH690</v>
          </cell>
        </row>
        <row r="3148">
          <cell r="C3148" t="str">
            <v>Top:</v>
          </cell>
          <cell r="D3148" t="str">
            <v>Top: Doctrine of Holy Spirit</v>
          </cell>
          <cell r="E3148" t="str">
            <v>THST885</v>
          </cell>
        </row>
        <row r="3149">
          <cell r="C3149" t="str">
            <v>Field Evangelism</v>
          </cell>
          <cell r="E3149" t="str">
            <v>PATH562</v>
          </cell>
        </row>
        <row r="3150">
          <cell r="C3150" t="str">
            <v>Field Practicum: Academic</v>
          </cell>
          <cell r="E3150" t="str">
            <v>DSLE681</v>
          </cell>
        </row>
        <row r="3151">
          <cell r="C3151" t="str">
            <v>Adv Ministerial Development</v>
          </cell>
          <cell r="E3151" t="str">
            <v>PATH560</v>
          </cell>
        </row>
        <row r="3152">
          <cell r="C3152" t="str">
            <v>Colloquium:</v>
          </cell>
          <cell r="D3152" t="str">
            <v>Coll: Ellen White Issues Symp</v>
          </cell>
          <cell r="E3152" t="str">
            <v>GSEM505</v>
          </cell>
        </row>
        <row r="3153">
          <cell r="C3153" t="str">
            <v>Colloquium:</v>
          </cell>
          <cell r="D3153" t="str">
            <v>Coll: Rsrch, Lib &amp; Writ. Sklls</v>
          </cell>
          <cell r="E3153" t="str">
            <v>GSEM505</v>
          </cell>
        </row>
        <row r="3154">
          <cell r="C3154" t="str">
            <v>Ind St:</v>
          </cell>
          <cell r="D3154" t="str">
            <v>Ind St:Fnd of Bblcl Sprtlty</v>
          </cell>
          <cell r="E3154" t="str">
            <v>DSLE690</v>
          </cell>
        </row>
        <row r="3155">
          <cell r="C3155" t="str">
            <v>Christian Persp on Prof Ethics</v>
          </cell>
          <cell r="E3155" t="str">
            <v>DSLE635</v>
          </cell>
        </row>
        <row r="3156">
          <cell r="C3156" t="str">
            <v>IndSty in Adv St:</v>
          </cell>
          <cell r="D3156" t="str">
            <v>IndSty:Hist of Prophtc Interpr</v>
          </cell>
          <cell r="E3156" t="str">
            <v>CHIS892</v>
          </cell>
        </row>
        <row r="3157">
          <cell r="C3157" t="str">
            <v>Ind St:</v>
          </cell>
          <cell r="D3157" t="str">
            <v>IndSt:Found of Bibcl Counselng</v>
          </cell>
          <cell r="E3157" t="str">
            <v>DSLE690</v>
          </cell>
        </row>
        <row r="3158">
          <cell r="C3158" t="str">
            <v>Sem in Theological Issues:</v>
          </cell>
          <cell r="D3158" t="str">
            <v>Sem Syst Theo: Faith, Reason&amp;M</v>
          </cell>
          <cell r="E3158" t="str">
            <v>THST649</v>
          </cell>
        </row>
        <row r="3159">
          <cell r="C3159" t="str">
            <v>Colloquium:</v>
          </cell>
          <cell r="D3159" t="str">
            <v>Coll: Adv Learning Community</v>
          </cell>
          <cell r="E3159" t="str">
            <v>GSEM505</v>
          </cell>
        </row>
        <row r="3160">
          <cell r="C3160" t="str">
            <v>Pract Clinl Past Educ:</v>
          </cell>
          <cell r="E3160" t="str">
            <v>PATH557</v>
          </cell>
        </row>
        <row r="3161">
          <cell r="C3161" t="str">
            <v>Ind St:</v>
          </cell>
          <cell r="D3161" t="str">
            <v>IndSt:Advntst Ledrshp Comptncy</v>
          </cell>
          <cell r="E3161" t="str">
            <v>GSEM797</v>
          </cell>
        </row>
        <row r="3162">
          <cell r="C3162" t="str">
            <v>Life &amp; Writings of E. G. White</v>
          </cell>
          <cell r="E3162" t="str">
            <v>CHIS571</v>
          </cell>
        </row>
        <row r="3163">
          <cell r="C3163" t="str">
            <v>PhD-ThD Dissertation</v>
          </cell>
          <cell r="D3163" t="str">
            <v>PhD-ThD Dissertation</v>
          </cell>
          <cell r="E3163" t="str">
            <v>GSEM995</v>
          </cell>
        </row>
        <row r="3164">
          <cell r="C3164" t="str">
            <v>Field Practicum:</v>
          </cell>
          <cell r="D3164" t="str">
            <v>Fld Pract:Disaster Resp Train</v>
          </cell>
          <cell r="E3164" t="str">
            <v>PATH660</v>
          </cell>
        </row>
        <row r="3165">
          <cell r="C3165" t="str">
            <v>Conflict Management</v>
          </cell>
          <cell r="D3165" t="str">
            <v>Conflict Management</v>
          </cell>
          <cell r="E3165" t="str">
            <v>PATH526</v>
          </cell>
        </row>
        <row r="3166">
          <cell r="C3166" t="str">
            <v>Ind St:</v>
          </cell>
          <cell r="D3166" t="str">
            <v>Ind St: Dissertation Proposal</v>
          </cell>
          <cell r="E3166" t="str">
            <v>THST897</v>
          </cell>
        </row>
        <row r="3167">
          <cell r="C3167" t="str">
            <v>History of the SDA Church</v>
          </cell>
          <cell r="E3167" t="str">
            <v>CHIS570</v>
          </cell>
        </row>
        <row r="3168">
          <cell r="C3168" t="str">
            <v>Topics in</v>
          </cell>
          <cell r="D3168" t="str">
            <v>Topics in Adventist History</v>
          </cell>
          <cell r="E3168" t="str">
            <v>CHIS885</v>
          </cell>
        </row>
        <row r="3169">
          <cell r="C3169" t="str">
            <v>Intro to Revelation</v>
          </cell>
          <cell r="E3169" t="str">
            <v>NTST530</v>
          </cell>
        </row>
        <row r="3170">
          <cell r="C3170" t="str">
            <v>Ind Stdy:</v>
          </cell>
          <cell r="D3170" t="str">
            <v>IndSdy:Prechng Biblcl Prophecy</v>
          </cell>
          <cell r="E3170" t="str">
            <v>PATH690</v>
          </cell>
        </row>
        <row r="3171">
          <cell r="C3171" t="str">
            <v>Ind St:</v>
          </cell>
          <cell r="D3171" t="str">
            <v>St: History of SDA Theo</v>
          </cell>
          <cell r="E3171" t="str">
            <v>CHIS690</v>
          </cell>
        </row>
        <row r="3172">
          <cell r="C3172" t="str">
            <v>Ind St:</v>
          </cell>
          <cell r="D3172" t="str">
            <v>IndSt:Millrite&amp;Early SabAd Hst</v>
          </cell>
          <cell r="E3172" t="str">
            <v>CHIS690</v>
          </cell>
        </row>
        <row r="3173">
          <cell r="C3173" t="str">
            <v>Ind St:</v>
          </cell>
          <cell r="D3173" t="str">
            <v>Ind St: Humanity of Christ</v>
          </cell>
          <cell r="E3173" t="str">
            <v>CHIS690</v>
          </cell>
        </row>
        <row r="3174">
          <cell r="C3174" t="str">
            <v>Colloquium:</v>
          </cell>
          <cell r="D3174" t="str">
            <v>Coll: Pathfinder Lead Training</v>
          </cell>
          <cell r="E3174" t="str">
            <v>GSEM505</v>
          </cell>
        </row>
        <row r="3175">
          <cell r="C3175" t="str">
            <v>Ind St:</v>
          </cell>
          <cell r="D3175" t="str">
            <v>Ind St:Diss.Pro.Prep.Mission</v>
          </cell>
          <cell r="E3175" t="str">
            <v>MSSN897</v>
          </cell>
        </row>
        <row r="3176">
          <cell r="C3176" t="str">
            <v>Ministry to At-Risk Youth</v>
          </cell>
          <cell r="E3176" t="str">
            <v>DSLE626</v>
          </cell>
        </row>
        <row r="3177">
          <cell r="C3177" t="str">
            <v>Ind St:</v>
          </cell>
          <cell r="D3177" t="str">
            <v>Ind St: Und Christ'n World</v>
          </cell>
          <cell r="E3177" t="str">
            <v>THST690</v>
          </cell>
        </row>
        <row r="3178">
          <cell r="C3178" t="str">
            <v>Ind St:</v>
          </cell>
          <cell r="D3178" t="str">
            <v>IndSt:Great Cont Cov Law Sabbh</v>
          </cell>
          <cell r="E3178" t="str">
            <v>THST690</v>
          </cell>
        </row>
        <row r="3179">
          <cell r="C3179" t="str">
            <v>Workshop</v>
          </cell>
          <cell r="D3179" t="str">
            <v>Wrksp:2022 Ministrl Convention</v>
          </cell>
          <cell r="E3179" t="str">
            <v>GSEM648</v>
          </cell>
        </row>
        <row r="3180">
          <cell r="C3180" t="str">
            <v>Foundatns of Pastoral Ministry</v>
          </cell>
          <cell r="E3180" t="str">
            <v>PATH552</v>
          </cell>
        </row>
        <row r="3181">
          <cell r="C3181" t="str">
            <v>Colloquium:</v>
          </cell>
          <cell r="D3181" t="str">
            <v>Coll: Adv Learning Community</v>
          </cell>
          <cell r="E3181" t="str">
            <v>GSEM505</v>
          </cell>
        </row>
        <row r="3182">
          <cell r="C3182" t="str">
            <v>Ind St:</v>
          </cell>
          <cell r="D3182" t="str">
            <v>IndSt:Sffrng, Death&amp; Resurrctn</v>
          </cell>
          <cell r="E3182" t="str">
            <v>NTST690</v>
          </cell>
        </row>
        <row r="3183">
          <cell r="C3183" t="str">
            <v>Dissertation:Literature Review</v>
          </cell>
          <cell r="D3183" t="str">
            <v>Dissertation:Literature Review</v>
          </cell>
          <cell r="E3183" t="str">
            <v>DSLE994</v>
          </cell>
        </row>
        <row r="3184">
          <cell r="C3184" t="str">
            <v>Ind St:</v>
          </cell>
          <cell r="D3184" t="str">
            <v>Ind St: Hist Cov, Law, Sab</v>
          </cell>
          <cell r="E3184" t="str">
            <v>CHIS690</v>
          </cell>
        </row>
        <row r="3185">
          <cell r="C3185" t="str">
            <v>Church History to 1500</v>
          </cell>
          <cell r="E3185" t="str">
            <v>CHIS506</v>
          </cell>
        </row>
        <row r="3186">
          <cell r="C3186" t="str">
            <v>Wholistic Health &amp; Aging</v>
          </cell>
          <cell r="E3186" t="str">
            <v>DSLE661</v>
          </cell>
        </row>
        <row r="3187">
          <cell r="C3187" t="str">
            <v>Colloquium:</v>
          </cell>
          <cell r="D3187" t="str">
            <v>Coll:Bibl Resp to Demonization</v>
          </cell>
          <cell r="E3187" t="str">
            <v>GSEM505</v>
          </cell>
        </row>
        <row r="3188">
          <cell r="C3188" t="str">
            <v>Field Practicum:</v>
          </cell>
          <cell r="E3188" t="str">
            <v>DSLE885</v>
          </cell>
        </row>
        <row r="3189">
          <cell r="C3189" t="str">
            <v>Ind Stdy:</v>
          </cell>
          <cell r="E3189" t="str">
            <v>PATH690</v>
          </cell>
        </row>
        <row r="3190">
          <cell r="C3190" t="str">
            <v>Ind Stdy:</v>
          </cell>
          <cell r="E3190" t="str">
            <v>PATH690</v>
          </cell>
        </row>
        <row r="3191">
          <cell r="C3191" t="str">
            <v>Seminar in Youth Ministry</v>
          </cell>
          <cell r="E3191" t="str">
            <v>DSLE636</v>
          </cell>
        </row>
        <row r="3192">
          <cell r="C3192" t="str">
            <v>Field Practicum:</v>
          </cell>
          <cell r="D3192" t="str">
            <v>Field Practicum:MA RELED</v>
          </cell>
          <cell r="E3192" t="str">
            <v>DSLE680</v>
          </cell>
        </row>
        <row r="3193">
          <cell r="C3193" t="str">
            <v>Field Practicum:</v>
          </cell>
          <cell r="D3193" t="str">
            <v>Field Practicum:MA RELED</v>
          </cell>
          <cell r="E3193" t="str">
            <v>DSLE680</v>
          </cell>
        </row>
        <row r="3194">
          <cell r="C3194" t="str">
            <v>Field Practicum: MAYYAM</v>
          </cell>
          <cell r="E3194" t="str">
            <v>DSLE660</v>
          </cell>
        </row>
        <row r="3195">
          <cell r="C3195" t="str">
            <v>Ind St:</v>
          </cell>
          <cell r="D3195" t="str">
            <v>Ind St:Adv Biblical Archeology</v>
          </cell>
          <cell r="E3195" t="str">
            <v>ANEA895</v>
          </cell>
        </row>
        <row r="3196">
          <cell r="C3196" t="str">
            <v>Ind St:</v>
          </cell>
          <cell r="D3196" t="str">
            <v>IndSt:Marriage,Fam&amp;Intrprs Rel</v>
          </cell>
          <cell r="E3196" t="str">
            <v>DSLE690</v>
          </cell>
        </row>
        <row r="3197">
          <cell r="C3197" t="str">
            <v>Colloquium:</v>
          </cell>
          <cell r="D3197" t="str">
            <v>Coll:Life in the Blender</v>
          </cell>
          <cell r="E3197" t="str">
            <v>GSEM505</v>
          </cell>
        </row>
        <row r="3198">
          <cell r="C3198" t="str">
            <v>Ind St:</v>
          </cell>
          <cell r="D3198" t="str">
            <v>IndSt:Doctrin of the Sanctuary</v>
          </cell>
          <cell r="E3198" t="str">
            <v>OTST690</v>
          </cell>
        </row>
        <row r="3199">
          <cell r="C3199" t="str">
            <v>Independent Study:</v>
          </cell>
          <cell r="D3199" t="str">
            <v>Ind Stdy:Topics in Emotions</v>
          </cell>
          <cell r="E3199" t="str">
            <v>OTST895</v>
          </cell>
        </row>
        <row r="3200">
          <cell r="C3200" t="str">
            <v>Top:</v>
          </cell>
          <cell r="D3200" t="str">
            <v>Top: Modern Christian Theo</v>
          </cell>
          <cell r="E3200" t="str">
            <v>THST885</v>
          </cell>
        </row>
        <row r="3201">
          <cell r="C3201" t="str">
            <v>Top:</v>
          </cell>
          <cell r="D3201" t="str">
            <v>Top: Doctrine of God</v>
          </cell>
          <cell r="E3201" t="str">
            <v>THST885</v>
          </cell>
        </row>
        <row r="3202">
          <cell r="C3202" t="str">
            <v>Sem in Historical Theology:</v>
          </cell>
          <cell r="D3202" t="str">
            <v>Sem. Hist Moral Phil&amp;Nat Theo</v>
          </cell>
          <cell r="E3202" t="str">
            <v>THST964</v>
          </cell>
        </row>
        <row r="3203">
          <cell r="C3203" t="str">
            <v>Seminar in Church History:</v>
          </cell>
          <cell r="D3203" t="str">
            <v>Sem. Hist Moral Phil&amp;Nat Theo</v>
          </cell>
          <cell r="E3203" t="str">
            <v>CHIS940</v>
          </cell>
        </row>
        <row r="3204">
          <cell r="C3204" t="str">
            <v>Topics in</v>
          </cell>
          <cell r="D3204" t="str">
            <v>Top: Social World of the NT</v>
          </cell>
          <cell r="E3204" t="str">
            <v>NTST885</v>
          </cell>
        </row>
        <row r="3205">
          <cell r="C3205" t="str">
            <v>Ind St:</v>
          </cell>
          <cell r="D3205" t="str">
            <v>Ind St: Leadership</v>
          </cell>
          <cell r="E3205" t="str">
            <v>DSLE690</v>
          </cell>
        </row>
        <row r="3206">
          <cell r="C3206" t="str">
            <v>Directed Reading:</v>
          </cell>
          <cell r="D3206" t="str">
            <v>DirRd:Synt in Discpl &amp;Lfspn Ed</v>
          </cell>
          <cell r="E3206" t="str">
            <v>DSLE890</v>
          </cell>
        </row>
        <row r="3207">
          <cell r="C3207" t="str">
            <v>Adv Studies:</v>
          </cell>
          <cell r="D3207" t="str">
            <v>AdvSt:Min toYouth &amp;Young Adult</v>
          </cell>
          <cell r="E3207" t="str">
            <v>DSLE870</v>
          </cell>
        </row>
        <row r="3208">
          <cell r="C3208" t="str">
            <v>Internal Dynamics of Families</v>
          </cell>
          <cell r="E3208" t="str">
            <v>DSLE658</v>
          </cell>
        </row>
        <row r="3209">
          <cell r="C3209" t="str">
            <v>Survey of Church History</v>
          </cell>
          <cell r="E3209" t="str">
            <v>CHIS505</v>
          </cell>
        </row>
        <row r="3210">
          <cell r="C3210" t="str">
            <v>Phil &amp; Ethics in Chaplaincy</v>
          </cell>
          <cell r="D3210" t="str">
            <v>Phil &amp; Ethics in Chaplaincy</v>
          </cell>
          <cell r="E3210" t="str">
            <v>PATH549</v>
          </cell>
        </row>
        <row r="3211">
          <cell r="C3211" t="str">
            <v>Families in Society</v>
          </cell>
          <cell r="E3211" t="str">
            <v>DSLE655</v>
          </cell>
        </row>
        <row r="3212">
          <cell r="C3212" t="str">
            <v>Topics in</v>
          </cell>
          <cell r="D3212" t="str">
            <v>Topics in Eschatology</v>
          </cell>
          <cell r="E3212" t="str">
            <v>NTST885</v>
          </cell>
        </row>
        <row r="3213">
          <cell r="C3213" t="str">
            <v>Ind St:</v>
          </cell>
          <cell r="D3213" t="str">
            <v>IndSt:Int Dynamics of Families</v>
          </cell>
          <cell r="E3213" t="str">
            <v>DSLE690</v>
          </cell>
        </row>
        <row r="3214">
          <cell r="C3214" t="str">
            <v>Colloquium:</v>
          </cell>
          <cell r="D3214" t="str">
            <v>Coll: Journey to Wholeness</v>
          </cell>
          <cell r="E3214" t="str">
            <v>GSEM505</v>
          </cell>
        </row>
        <row r="3215">
          <cell r="C3215" t="str">
            <v>Colloquium:</v>
          </cell>
          <cell r="D3215" t="str">
            <v>Coll: Pathfinder Lead Training</v>
          </cell>
          <cell r="E3215" t="str">
            <v>GSEM505</v>
          </cell>
        </row>
        <row r="3216">
          <cell r="C3216" t="str">
            <v>Colloquium:</v>
          </cell>
          <cell r="D3216" t="str">
            <v>Coll: Adv Learning Community</v>
          </cell>
          <cell r="E3216" t="str">
            <v>GSEM505</v>
          </cell>
        </row>
        <row r="3217">
          <cell r="C3217" t="str">
            <v>Christian Witness&amp;Wrld Relgns</v>
          </cell>
          <cell r="E3217" t="str">
            <v>MSSN561</v>
          </cell>
        </row>
        <row r="3218">
          <cell r="C3218" t="str">
            <v>Doctoral Dissertation</v>
          </cell>
          <cell r="D3218" t="str">
            <v>Doctoral Dissertation</v>
          </cell>
          <cell r="E3218" t="str">
            <v>DSLE995</v>
          </cell>
        </row>
        <row r="3219">
          <cell r="C3219" t="str">
            <v>Historical Geog Anc Near East</v>
          </cell>
          <cell r="E3219" t="str">
            <v>ANEA805</v>
          </cell>
        </row>
        <row r="3220">
          <cell r="C3220" t="str">
            <v>Principles of Hermeneutics</v>
          </cell>
          <cell r="E3220" t="str">
            <v>OTST685</v>
          </cell>
        </row>
        <row r="3221">
          <cell r="C3221" t="str">
            <v>Ind St:</v>
          </cell>
          <cell r="D3221" t="str">
            <v>Ind St: Older Adult Ministry</v>
          </cell>
          <cell r="E3221" t="str">
            <v>DSLE690</v>
          </cell>
        </row>
        <row r="3222">
          <cell r="C3222" t="str">
            <v>Spiritual Nurture of Children</v>
          </cell>
          <cell r="E3222" t="str">
            <v>DSLE678</v>
          </cell>
        </row>
        <row r="3223">
          <cell r="C3223" t="str">
            <v>Hist of Christian Worship Mus</v>
          </cell>
          <cell r="E3223" t="str">
            <v>PATH602</v>
          </cell>
        </row>
        <row r="3224">
          <cell r="C3224" t="str">
            <v>Trauma&amp;Adv Crisis Intervention</v>
          </cell>
          <cell r="D3224" t="str">
            <v>Trauma&amp;Adv Crisis Intervention</v>
          </cell>
          <cell r="E3224" t="str">
            <v>PATH643</v>
          </cell>
        </row>
        <row r="3225">
          <cell r="C3225" t="str">
            <v>Conflict Management</v>
          </cell>
          <cell r="E3225" t="str">
            <v>PATH526</v>
          </cell>
        </row>
        <row r="3226">
          <cell r="C3226" t="str">
            <v>Seminar in Church History</v>
          </cell>
          <cell r="D3226" t="str">
            <v>Sem. Hist Moral Phil&amp;Nat Theo</v>
          </cell>
          <cell r="E3226" t="str">
            <v>CHIS682</v>
          </cell>
        </row>
        <row r="3227">
          <cell r="C3227" t="str">
            <v>Ministry to Older Adults</v>
          </cell>
          <cell r="E3227" t="str">
            <v>DSLE677</v>
          </cell>
        </row>
        <row r="3228">
          <cell r="C3228" t="str">
            <v>Intro to Chaplaincy Min</v>
          </cell>
          <cell r="E3228" t="str">
            <v>PATH507</v>
          </cell>
        </row>
        <row r="3229">
          <cell r="C3229" t="str">
            <v>Ind St:</v>
          </cell>
          <cell r="D3229" t="str">
            <v>IndSt:Doctrn of theHoly Spirit</v>
          </cell>
          <cell r="E3229" t="str">
            <v>THST690</v>
          </cell>
        </row>
        <row r="3230">
          <cell r="C3230" t="str">
            <v>Bib. Lands &amp; Exploration</v>
          </cell>
          <cell r="E3230" t="str">
            <v>ANEA624</v>
          </cell>
        </row>
        <row r="3231">
          <cell r="C3231" t="str">
            <v>Ministry to Children</v>
          </cell>
          <cell r="E3231" t="str">
            <v>DSLE675</v>
          </cell>
        </row>
        <row r="3232">
          <cell r="C3232" t="str">
            <v>Dissertation:Literature Review</v>
          </cell>
          <cell r="E3232" t="str">
            <v>DSLE994</v>
          </cell>
        </row>
        <row r="3233">
          <cell r="C3233" t="str">
            <v>Directed Rdg in Old Testmt</v>
          </cell>
          <cell r="D3233" t="str">
            <v>Dir Rdg: Emotns in Minor Proph</v>
          </cell>
          <cell r="E3233" t="str">
            <v>OTST890</v>
          </cell>
        </row>
        <row r="3234">
          <cell r="C3234" t="str">
            <v>Independent Study:</v>
          </cell>
          <cell r="D3234" t="str">
            <v>Indep Study: Septuagint</v>
          </cell>
          <cell r="E3234" t="str">
            <v>OTST895</v>
          </cell>
        </row>
        <row r="3235">
          <cell r="C3235" t="str">
            <v>Survey of the Pentateuch</v>
          </cell>
          <cell r="E3235" t="str">
            <v>OTST565</v>
          </cell>
        </row>
        <row r="3236">
          <cell r="C3236" t="str">
            <v>Independent Study:</v>
          </cell>
          <cell r="D3236" t="str">
            <v>Ind Sty:Dissertn Proposal Prep</v>
          </cell>
          <cell r="E3236" t="str">
            <v>OTST895</v>
          </cell>
        </row>
        <row r="3237">
          <cell r="C3237" t="str">
            <v>Church History 1500 to Present</v>
          </cell>
          <cell r="D3237" t="str">
            <v>Church History 1500 to Present</v>
          </cell>
          <cell r="E3237" t="str">
            <v>CHIS507</v>
          </cell>
        </row>
        <row r="3238">
          <cell r="C3238" t="str">
            <v>Development of SDA Lifestyle</v>
          </cell>
          <cell r="E3238" t="str">
            <v>CHIS673</v>
          </cell>
        </row>
        <row r="3239">
          <cell r="C3239" t="str">
            <v>Modern Christian Theology</v>
          </cell>
          <cell r="E3239" t="str">
            <v>THST626</v>
          </cell>
        </row>
        <row r="3240">
          <cell r="C3240" t="str">
            <v>Ind St:</v>
          </cell>
          <cell r="D3240" t="str">
            <v>Ind St: His of GGCLS</v>
          </cell>
          <cell r="E3240" t="str">
            <v>CHIS690</v>
          </cell>
        </row>
        <row r="3241">
          <cell r="C3241" t="str">
            <v>Master's Degree Contin</v>
          </cell>
          <cell r="D3241" t="str">
            <v>Master's Degree Contin</v>
          </cell>
          <cell r="E3241" t="str">
            <v>GSEM688</v>
          </cell>
        </row>
        <row r="3242">
          <cell r="C3242" t="str">
            <v>DIS Dissertation Continuation</v>
          </cell>
          <cell r="D3242" t="str">
            <v>DMiss Dissertatn Continuation</v>
          </cell>
          <cell r="E3242" t="str">
            <v>MSSN888</v>
          </cell>
        </row>
        <row r="3243">
          <cell r="C3243" t="str">
            <v>Directed Rdg in Old Testmt</v>
          </cell>
          <cell r="D3243" t="str">
            <v>Dir Rdg:Justice of God&amp; Pnshmt</v>
          </cell>
          <cell r="E3243" t="str">
            <v>OTST890</v>
          </cell>
        </row>
        <row r="3244">
          <cell r="C3244" t="str">
            <v>Field Evangelism</v>
          </cell>
          <cell r="E3244" t="str">
            <v>PATH562</v>
          </cell>
        </row>
        <row r="3245">
          <cell r="C3245" t="str">
            <v>Daniel</v>
          </cell>
          <cell r="E3245" t="str">
            <v>OTST674</v>
          </cell>
        </row>
        <row r="3246">
          <cell r="C3246" t="str">
            <v>PhD (DSLE) Prog Cont</v>
          </cell>
          <cell r="D3246" t="str">
            <v>PhD (DSLE) Prog Cont</v>
          </cell>
          <cell r="E3246" t="str">
            <v>DSLE880</v>
          </cell>
        </row>
        <row r="3247">
          <cell r="C3247" t="str">
            <v>Doctoral Degr Continuation</v>
          </cell>
          <cell r="D3247" t="str">
            <v>Doctoral Degr Continuation</v>
          </cell>
          <cell r="E3247" t="str">
            <v>GSEM888</v>
          </cell>
        </row>
        <row r="3248">
          <cell r="C3248" t="str">
            <v>Ind St:</v>
          </cell>
          <cell r="D3248" t="str">
            <v>Ind St: Christian Ethics</v>
          </cell>
          <cell r="E3248" t="str">
            <v>THST690</v>
          </cell>
        </row>
        <row r="3249">
          <cell r="C3249" t="str">
            <v>Strategy Development I</v>
          </cell>
          <cell r="E3249" t="str">
            <v>MSSN741</v>
          </cell>
        </row>
        <row r="3250">
          <cell r="C3250" t="str">
            <v>Cultural &amp; Relg Analysis I</v>
          </cell>
          <cell r="E3250" t="str">
            <v>MSSN731</v>
          </cell>
        </row>
        <row r="3251">
          <cell r="C3251" t="str">
            <v>Directed Rdg Christian Ethics</v>
          </cell>
          <cell r="D3251" t="str">
            <v>DirRdg Chr Ethics:Histrcl Theo</v>
          </cell>
          <cell r="E3251" t="str">
            <v>THST896</v>
          </cell>
        </row>
        <row r="3252">
          <cell r="C3252" t="str">
            <v>Thesis</v>
          </cell>
          <cell r="E3252" t="str">
            <v>DSLE699</v>
          </cell>
        </row>
        <row r="3253">
          <cell r="C3253" t="str">
            <v>Pract Clinl Past Educ:</v>
          </cell>
          <cell r="E3253" t="str">
            <v>PATH557</v>
          </cell>
        </row>
        <row r="3254">
          <cell r="C3254" t="str">
            <v>Pract Clinl Past Educ:</v>
          </cell>
          <cell r="E3254" t="str">
            <v>PATH557</v>
          </cell>
        </row>
        <row r="3255">
          <cell r="C3255" t="str">
            <v>Mobilizing for Evang Min</v>
          </cell>
          <cell r="E3255" t="str">
            <v>PATH604</v>
          </cell>
        </row>
        <row r="3256">
          <cell r="C3256" t="str">
            <v>Pract Clinl Past Educ:</v>
          </cell>
          <cell r="D3256" t="str">
            <v>Pract:CPE</v>
          </cell>
          <cell r="E3256" t="str">
            <v>PATH557</v>
          </cell>
        </row>
        <row r="3257">
          <cell r="C3257" t="str">
            <v>Archaeology and the Bible</v>
          </cell>
          <cell r="E3257" t="str">
            <v>ANEA510</v>
          </cell>
        </row>
        <row r="3258">
          <cell r="C3258" t="str">
            <v>Archaeology and the Bible</v>
          </cell>
          <cell r="E3258" t="str">
            <v>ANEA510</v>
          </cell>
        </row>
        <row r="3259">
          <cell r="C3259" t="str">
            <v>Survey of the Old Testament</v>
          </cell>
          <cell r="E3259" t="str">
            <v>OTST500</v>
          </cell>
        </row>
        <row r="3260">
          <cell r="C3260" t="str">
            <v>Biblical Hebrew II</v>
          </cell>
          <cell r="E3260" t="str">
            <v>OTST552</v>
          </cell>
        </row>
        <row r="3261">
          <cell r="C3261" t="str">
            <v>Stud in the Pentateuch (Engl)</v>
          </cell>
          <cell r="E3261" t="str">
            <v>OTST566</v>
          </cell>
        </row>
        <row r="3262">
          <cell r="C3262" t="str">
            <v>Studies in OT Exegesis</v>
          </cell>
          <cell r="E3262" t="str">
            <v>OTST639</v>
          </cell>
        </row>
        <row r="3263">
          <cell r="C3263" t="str">
            <v>Minor Prophets</v>
          </cell>
          <cell r="E3263" t="str">
            <v>OTST675</v>
          </cell>
        </row>
        <row r="3264">
          <cell r="C3264" t="str">
            <v>Topics in:</v>
          </cell>
          <cell r="D3264" t="str">
            <v>Topics in: Daniel</v>
          </cell>
          <cell r="E3264" t="str">
            <v>OTST885</v>
          </cell>
        </row>
        <row r="3265">
          <cell r="C3265" t="str">
            <v>Topics in:</v>
          </cell>
          <cell r="D3265" t="str">
            <v>Topics in:Narrative Theology</v>
          </cell>
          <cell r="E3265" t="str">
            <v>OTST885</v>
          </cell>
        </row>
        <row r="3266">
          <cell r="C3266" t="str">
            <v>Topics in:</v>
          </cell>
          <cell r="D3266" t="str">
            <v>Topics in: OT Theology</v>
          </cell>
          <cell r="E3266" t="str">
            <v>OTST885</v>
          </cell>
        </row>
        <row r="3267">
          <cell r="C3267" t="str">
            <v>DirRdg Syst Theo:</v>
          </cell>
          <cell r="D3267" t="str">
            <v>Dir Readings:</v>
          </cell>
          <cell r="E3267" t="str">
            <v>THST890</v>
          </cell>
        </row>
        <row r="3268">
          <cell r="C3268" t="str">
            <v>Development of SDA Lifestyle</v>
          </cell>
          <cell r="E3268" t="str">
            <v>CHIS673</v>
          </cell>
        </row>
        <row r="3269">
          <cell r="C3269" t="str">
            <v>Seminar in Adventist Studies:</v>
          </cell>
          <cell r="E3269" t="str">
            <v>CHIS944</v>
          </cell>
        </row>
        <row r="3270">
          <cell r="C3270" t="str">
            <v>Issues in Ellen G White Stdies</v>
          </cell>
          <cell r="E3270" t="str">
            <v>CHIS624</v>
          </cell>
        </row>
        <row r="3271">
          <cell r="C3271" t="str">
            <v>Historcl Resrch&amp;Historiography</v>
          </cell>
          <cell r="E3271" t="str">
            <v>CHIS628</v>
          </cell>
        </row>
        <row r="3272">
          <cell r="C3272" t="str">
            <v>Ind St:</v>
          </cell>
          <cell r="E3272" t="str">
            <v>CHIS891</v>
          </cell>
        </row>
        <row r="3273">
          <cell r="C3273" t="str">
            <v>Ind St:</v>
          </cell>
          <cell r="E3273" t="str">
            <v>CHIS891</v>
          </cell>
        </row>
        <row r="3274">
          <cell r="C3274" t="str">
            <v>Cross-Cultural Ldshp Developmt</v>
          </cell>
          <cell r="E3274" t="str">
            <v>MSSN630</v>
          </cell>
        </row>
        <row r="3275">
          <cell r="C3275" t="str">
            <v>Sem:</v>
          </cell>
          <cell r="D3275" t="str">
            <v>Sem:Missi to Postmodems&amp;Secula</v>
          </cell>
          <cell r="E3275" t="str">
            <v>MSSN810</v>
          </cell>
        </row>
        <row r="3276">
          <cell r="C3276" t="str">
            <v>Topics in:</v>
          </cell>
          <cell r="D3276" t="str">
            <v>Top:Cross-Cultl Ldshp Developm</v>
          </cell>
          <cell r="E3276" t="str">
            <v>MSSN885</v>
          </cell>
        </row>
        <row r="3277">
          <cell r="C3277" t="str">
            <v>Topics:</v>
          </cell>
          <cell r="D3277" t="str">
            <v>Top:Creating Collective Impact</v>
          </cell>
          <cell r="E3277" t="str">
            <v>MSSN695</v>
          </cell>
        </row>
        <row r="3278">
          <cell r="C3278" t="str">
            <v>Topics:</v>
          </cell>
          <cell r="D3278" t="str">
            <v>Top:CreatngCo Impact&amp;ProjMgmnt</v>
          </cell>
          <cell r="E3278" t="str">
            <v>MSSN695</v>
          </cell>
        </row>
        <row r="3279">
          <cell r="C3279" t="str">
            <v>Marriage, Fam&amp;Interprsnl Reltn</v>
          </cell>
          <cell r="E3279" t="str">
            <v>DSLE503</v>
          </cell>
        </row>
        <row r="3280">
          <cell r="C3280" t="str">
            <v>Ministry to Youth&amp;Yng Adlt</v>
          </cell>
          <cell r="E3280" t="str">
            <v>DSLE534</v>
          </cell>
        </row>
        <row r="3281">
          <cell r="C3281" t="str">
            <v>Ministry to Youth&amp;Yng Adlt</v>
          </cell>
          <cell r="E3281" t="str">
            <v>DSLE534</v>
          </cell>
        </row>
        <row r="3282">
          <cell r="C3282" t="str">
            <v>Fndtns of Biblicl Spirituality</v>
          </cell>
          <cell r="E3282" t="str">
            <v>DSLE541</v>
          </cell>
        </row>
        <row r="3283">
          <cell r="C3283" t="str">
            <v>Yth&amp;Yng Adlt in Contmp Culture</v>
          </cell>
          <cell r="E3283" t="str">
            <v>DSLE608</v>
          </cell>
        </row>
        <row r="3284">
          <cell r="C3284" t="str">
            <v>Teaching for Discipleship</v>
          </cell>
          <cell r="E3284" t="str">
            <v>DSLE610</v>
          </cell>
        </row>
        <row r="3285">
          <cell r="C3285" t="str">
            <v>Foundtns of Biblical Counsel</v>
          </cell>
          <cell r="E3285" t="str">
            <v>DSLE651</v>
          </cell>
        </row>
        <row r="3286">
          <cell r="C3286" t="str">
            <v>Ind St:</v>
          </cell>
          <cell r="E3286" t="str">
            <v>DSLE690</v>
          </cell>
        </row>
        <row r="3287">
          <cell r="C3287" t="str">
            <v>Ind St:</v>
          </cell>
          <cell r="E3287" t="str">
            <v>DSLE690</v>
          </cell>
        </row>
        <row r="3288">
          <cell r="C3288" t="str">
            <v>Ind St:</v>
          </cell>
          <cell r="E3288" t="str">
            <v>DSLE690</v>
          </cell>
        </row>
        <row r="3289">
          <cell r="C3289" t="str">
            <v>Ind St:</v>
          </cell>
          <cell r="D3289" t="str">
            <v>IndSt:Intrgenerational Minstry</v>
          </cell>
          <cell r="E3289" t="str">
            <v>DSLE690</v>
          </cell>
        </row>
        <row r="3290">
          <cell r="C3290" t="str">
            <v>Ind St:</v>
          </cell>
          <cell r="D3290" t="str">
            <v>IndSt:Fnd of Bblcl Spirtuality</v>
          </cell>
          <cell r="E3290" t="str">
            <v>DSLE690</v>
          </cell>
        </row>
        <row r="3291">
          <cell r="C3291" t="str">
            <v>Cnstrcts of Corp Min Discpl</v>
          </cell>
          <cell r="E3291" t="str">
            <v>DSLE709</v>
          </cell>
        </row>
        <row r="3292">
          <cell r="C3292" t="str">
            <v>Adv Studies:</v>
          </cell>
          <cell r="E3292" t="str">
            <v>DSLE870</v>
          </cell>
        </row>
        <row r="3293">
          <cell r="C3293" t="str">
            <v>Field Practicum:</v>
          </cell>
          <cell r="E3293" t="str">
            <v>DSLE885</v>
          </cell>
        </row>
        <row r="3294">
          <cell r="C3294" t="str">
            <v>Applied Research</v>
          </cell>
          <cell r="E3294" t="str">
            <v>DSLE887</v>
          </cell>
        </row>
        <row r="3295">
          <cell r="C3295" t="str">
            <v>Cultural Concerns</v>
          </cell>
          <cell r="E3295" t="str">
            <v>DSLE685</v>
          </cell>
        </row>
        <row r="3296">
          <cell r="C3296" t="str">
            <v>Hebrews</v>
          </cell>
          <cell r="E3296" t="str">
            <v>NTST645</v>
          </cell>
        </row>
        <row r="3297">
          <cell r="C3297" t="str">
            <v>Gr Con, Cov, Law &amp; Sabbath</v>
          </cell>
          <cell r="E3297" t="str">
            <v>NTST650</v>
          </cell>
        </row>
        <row r="3298">
          <cell r="C3298" t="str">
            <v>Topics in</v>
          </cell>
          <cell r="D3298" t="str">
            <v>Top: Gr Con, Cov, Law&amp; Sabbath</v>
          </cell>
          <cell r="E3298" t="str">
            <v>NTST885</v>
          </cell>
        </row>
        <row r="3299">
          <cell r="C3299" t="str">
            <v>Foundtns of Biblical Counsel</v>
          </cell>
          <cell r="E3299" t="str">
            <v>DSLE651</v>
          </cell>
        </row>
        <row r="3300">
          <cell r="C3300" t="str">
            <v>Fndtns of Biblicl Spirituality</v>
          </cell>
          <cell r="E3300" t="str">
            <v>DSLE541</v>
          </cell>
        </row>
        <row r="3301">
          <cell r="C3301" t="str">
            <v>Hist of Sabbath &amp; Sunday</v>
          </cell>
          <cell r="E3301" t="str">
            <v>CHIS680</v>
          </cell>
        </row>
        <row r="3302">
          <cell r="C3302" t="str">
            <v>In-Ministry Continuation</v>
          </cell>
          <cell r="E3302" t="str">
            <v>GSEM588</v>
          </cell>
        </row>
        <row r="3303">
          <cell r="C3303" t="str">
            <v>Rdngs in Acts&amp;General Epistles</v>
          </cell>
          <cell r="E3303" t="str">
            <v>NTST537</v>
          </cell>
        </row>
        <row r="3304">
          <cell r="C3304" t="str">
            <v>Adv Studies:</v>
          </cell>
          <cell r="D3304" t="str">
            <v>Adv St:Reachng the Seculr Mind</v>
          </cell>
          <cell r="E3304" t="str">
            <v>DSLE870</v>
          </cell>
        </row>
        <row r="3305">
          <cell r="C3305" t="str">
            <v>Top in Advnt St _____</v>
          </cell>
          <cell r="D3305" t="str">
            <v>Topics AdvSt: Archival Researc</v>
          </cell>
          <cell r="E3305" t="str">
            <v>CHIS696</v>
          </cell>
        </row>
        <row r="3306">
          <cell r="C3306" t="str">
            <v>Doctrine of God</v>
          </cell>
          <cell r="E3306" t="str">
            <v>THST616</v>
          </cell>
        </row>
        <row r="3307">
          <cell r="C3307" t="str">
            <v>Ind St:</v>
          </cell>
          <cell r="D3307" t="str">
            <v>IndSt:Devlpmnt of SDA Theology</v>
          </cell>
          <cell r="E3307" t="str">
            <v>CHIS690</v>
          </cell>
        </row>
        <row r="3308">
          <cell r="C3308" t="str">
            <v>Marriage &amp; Family</v>
          </cell>
          <cell r="E3308" t="str">
            <v>DSLE546</v>
          </cell>
        </row>
        <row r="3309">
          <cell r="C3309" t="str">
            <v>Doctrine of the Sanctuary</v>
          </cell>
          <cell r="E3309" t="str">
            <v>GSEM530</v>
          </cell>
        </row>
        <row r="3310">
          <cell r="C3310" t="str">
            <v>Diversity,Cult.,Intel,Leadrshp</v>
          </cell>
          <cell r="E3310" t="str">
            <v>MSSN632</v>
          </cell>
        </row>
        <row r="3311">
          <cell r="C3311" t="str">
            <v>Discipling Youth</v>
          </cell>
          <cell r="E3311" t="str">
            <v>DSLE636</v>
          </cell>
        </row>
        <row r="3312">
          <cell r="C3312" t="str">
            <v>Tch Adv Hist &amp; Life/Write EGW</v>
          </cell>
          <cell r="D3312" t="str">
            <v>Sem Adv St:Tchng Adv Hist&amp; EGW</v>
          </cell>
          <cell r="E3312" t="str">
            <v>CHIS672</v>
          </cell>
        </row>
        <row r="3313">
          <cell r="C3313" t="str">
            <v>Field Practicum:</v>
          </cell>
          <cell r="D3313" t="str">
            <v>Field Practicum:MA RELED</v>
          </cell>
          <cell r="E3313" t="str">
            <v>DSLE680</v>
          </cell>
        </row>
        <row r="3314">
          <cell r="C3314" t="str">
            <v>DMin Prof Dissertation Cont</v>
          </cell>
          <cell r="E3314" t="str">
            <v>GSEM788</v>
          </cell>
        </row>
        <row r="3315">
          <cell r="C3315" t="str">
            <v>Colloquium:</v>
          </cell>
          <cell r="D3315" t="str">
            <v>Coll:Trauma, Healng&amp; Divin Lov</v>
          </cell>
          <cell r="E3315" t="str">
            <v>GSEM505</v>
          </cell>
        </row>
        <row r="3316">
          <cell r="C3316" t="str">
            <v>Colloquium:</v>
          </cell>
          <cell r="D3316" t="str">
            <v>Coll: Adv Learning Community</v>
          </cell>
          <cell r="E3316" t="str">
            <v>GSEM505</v>
          </cell>
        </row>
        <row r="3317">
          <cell r="C3317" t="str">
            <v>Field Practicum:</v>
          </cell>
          <cell r="E3317" t="str">
            <v>PATH660</v>
          </cell>
        </row>
        <row r="3318">
          <cell r="C3318" t="str">
            <v>Personal &amp; Fam Finance</v>
          </cell>
          <cell r="E3318" t="str">
            <v>DSLE652</v>
          </cell>
        </row>
        <row r="3319">
          <cell r="C3319" t="str">
            <v>DMin Research Methods Sem</v>
          </cell>
          <cell r="E3319" t="str">
            <v>GSEM793</v>
          </cell>
        </row>
        <row r="3320">
          <cell r="C3320" t="str">
            <v>CreatngCollctvImpctProjctMngm</v>
          </cell>
          <cell r="E3320" t="str">
            <v>MSSN625</v>
          </cell>
        </row>
        <row r="3321">
          <cell r="C3321" t="str">
            <v>Ind St:</v>
          </cell>
          <cell r="D3321" t="str">
            <v>InSt:IntrcultrlThelgy&amp;DigtlSpa</v>
          </cell>
          <cell r="E3321" t="str">
            <v>MSSN897</v>
          </cell>
        </row>
        <row r="3322">
          <cell r="C3322" t="str">
            <v>Ind. Study:</v>
          </cell>
          <cell r="D3322" t="str">
            <v>IndSdy:Dscp in Synoptic Gospls</v>
          </cell>
          <cell r="E3322" t="str">
            <v>NTST897</v>
          </cell>
        </row>
        <row r="3323">
          <cell r="C3323" t="str">
            <v>Directed Rdg in Hist&amp;Arch St</v>
          </cell>
          <cell r="E3323" t="str">
            <v>ANEA890</v>
          </cell>
        </row>
        <row r="3324">
          <cell r="C3324" t="str">
            <v>Archaeology and the Bible</v>
          </cell>
          <cell r="E3324" t="str">
            <v>OTST510</v>
          </cell>
        </row>
        <row r="3325">
          <cell r="C3325" t="str">
            <v>Independent Study:</v>
          </cell>
          <cell r="D3325" t="str">
            <v>Ind Sty: OT Backgrounds</v>
          </cell>
          <cell r="E3325" t="str">
            <v>OTST895</v>
          </cell>
        </row>
        <row r="3326">
          <cell r="C3326" t="str">
            <v>Independent Study:</v>
          </cell>
          <cell r="D3326" t="str">
            <v>Ind Sty: OT Archaeology</v>
          </cell>
          <cell r="E3326" t="str">
            <v>OTST895</v>
          </cell>
        </row>
        <row r="3327">
          <cell r="C3327" t="str">
            <v>Field Practicum: MAYYAM</v>
          </cell>
          <cell r="E3327" t="str">
            <v>DSLE660</v>
          </cell>
        </row>
        <row r="3328">
          <cell r="C3328" t="str">
            <v>Foundatns of Pastoral Ministry</v>
          </cell>
          <cell r="E3328" t="str">
            <v>PATH552</v>
          </cell>
        </row>
        <row r="3329">
          <cell r="C3329" t="str">
            <v>Marriage, Fam&amp;Interprsnl Reltn</v>
          </cell>
          <cell r="E3329" t="str">
            <v>DSLE503</v>
          </cell>
        </row>
        <row r="3330">
          <cell r="C3330" t="str">
            <v>Topics in</v>
          </cell>
          <cell r="D3330" t="str">
            <v>Top: Disc in Synoptic Gospels</v>
          </cell>
          <cell r="E3330" t="str">
            <v>NTST885</v>
          </cell>
        </row>
        <row r="3331">
          <cell r="C3331" t="str">
            <v>Directed Rdgs Mission Studies</v>
          </cell>
          <cell r="D3331" t="str">
            <v>Dir Rdg Mssn Stu: Digital Comm</v>
          </cell>
          <cell r="E3331" t="str">
            <v>MSSN890</v>
          </cell>
        </row>
        <row r="3332">
          <cell r="C3332" t="str">
            <v>Judaism &amp; the New Testament</v>
          </cell>
          <cell r="E3332" t="str">
            <v>NTST684</v>
          </cell>
        </row>
        <row r="3333">
          <cell r="C3333" t="str">
            <v>Directed Rdgs Mission Studies</v>
          </cell>
          <cell r="D3333" t="str">
            <v>DirRdg MssnStu:Digital Dscplsp</v>
          </cell>
          <cell r="E3333" t="str">
            <v>MSSN890</v>
          </cell>
        </row>
        <row r="3334">
          <cell r="C3334" t="str">
            <v>Independent Study:</v>
          </cell>
          <cell r="D3334" t="str">
            <v>IndSty:Exeg in Book of Ezekiel</v>
          </cell>
          <cell r="E3334" t="str">
            <v>OTST895</v>
          </cell>
        </row>
        <row r="3335">
          <cell r="C3335" t="str">
            <v>Discipling At-Risk Youth</v>
          </cell>
          <cell r="E3335" t="str">
            <v>DSLE626</v>
          </cell>
        </row>
        <row r="3336">
          <cell r="C3336" t="str">
            <v>Doctoral Degr Continuation</v>
          </cell>
          <cell r="E3336" t="str">
            <v>GSEM888</v>
          </cell>
        </row>
        <row r="3337">
          <cell r="C3337" t="str">
            <v>IndSty in Adv St:</v>
          </cell>
          <cell r="D3337" t="str">
            <v>IndSt: Dev of SDA Theo</v>
          </cell>
          <cell r="E3337" t="str">
            <v>CHIS892</v>
          </cell>
        </row>
        <row r="3338">
          <cell r="C3338" t="str">
            <v>Fndtns of Biblicl Spirituality</v>
          </cell>
          <cell r="E3338" t="str">
            <v>DSLE541</v>
          </cell>
        </row>
        <row r="3339">
          <cell r="C3339" t="str">
            <v>Mission in Cultrl&amp;Rlgs Contxt</v>
          </cell>
          <cell r="E3339" t="str">
            <v>MSSN546</v>
          </cell>
        </row>
        <row r="3340">
          <cell r="C3340" t="str">
            <v>Topics:</v>
          </cell>
          <cell r="D3340" t="str">
            <v>Top: The Bible &amp; Human Needs</v>
          </cell>
          <cell r="E3340" t="str">
            <v>MSSN695</v>
          </cell>
        </row>
        <row r="3341">
          <cell r="C3341" t="str">
            <v>Current Issues in Mission</v>
          </cell>
          <cell r="E3341" t="str">
            <v>MSSN805</v>
          </cell>
        </row>
        <row r="3342">
          <cell r="C3342" t="str">
            <v>Disciplshp&amp;Worldvw Transfrmatn</v>
          </cell>
          <cell r="E3342" t="str">
            <v>MSSN870</v>
          </cell>
        </row>
        <row r="3343">
          <cell r="C3343" t="str">
            <v>Urban Context Mission/Ministry</v>
          </cell>
          <cell r="E3343" t="str">
            <v>MSSN835</v>
          </cell>
        </row>
        <row r="3344">
          <cell r="C3344" t="str">
            <v>Research Methods in Miss&amp;Min</v>
          </cell>
          <cell r="E3344" t="str">
            <v>MSSN840</v>
          </cell>
        </row>
        <row r="3345">
          <cell r="C3345" t="str">
            <v>Research Design in Mission</v>
          </cell>
          <cell r="E3345" t="str">
            <v>MSSN854</v>
          </cell>
        </row>
        <row r="3346">
          <cell r="C3346" t="str">
            <v>Bib Theo&amp;Spiritl Found Mssn</v>
          </cell>
          <cell r="E3346" t="str">
            <v>MSSN806</v>
          </cell>
        </row>
        <row r="3347">
          <cell r="C3347" t="str">
            <v>History of Mission</v>
          </cell>
          <cell r="E3347" t="str">
            <v>MSSN837</v>
          </cell>
        </row>
        <row r="3348">
          <cell r="C3348" t="str">
            <v>Ministry to Youth&amp;Yng Adlt</v>
          </cell>
          <cell r="E3348" t="str">
            <v>DSLE534</v>
          </cell>
        </row>
        <row r="3349">
          <cell r="C3349" t="str">
            <v>Adv Ministerial Development</v>
          </cell>
          <cell r="E3349" t="str">
            <v>PATH560</v>
          </cell>
        </row>
        <row r="3350">
          <cell r="C3350" t="str">
            <v>Collaboratv Min:Schl,Chrch,Com</v>
          </cell>
          <cell r="E3350" t="str">
            <v>DSLE615</v>
          </cell>
        </row>
        <row r="3351">
          <cell r="C3351" t="str">
            <v>IndSty in Adv St:</v>
          </cell>
          <cell r="D3351" t="str">
            <v>IndSt:Ellen White’s Life&amp;Wrtng</v>
          </cell>
          <cell r="E3351" t="str">
            <v>CHIS892</v>
          </cell>
        </row>
        <row r="3352">
          <cell r="C3352" t="str">
            <v>Independent Study:</v>
          </cell>
          <cell r="D3352" t="str">
            <v>IndStdy:Old Testament Exegesis</v>
          </cell>
          <cell r="E3352" t="str">
            <v>OTST895</v>
          </cell>
        </row>
        <row r="3353">
          <cell r="C3353" t="str">
            <v>Mission to the Cities</v>
          </cell>
          <cell r="E3353" t="str">
            <v>MSSN618</v>
          </cell>
        </row>
        <row r="3354">
          <cell r="C3354" t="str">
            <v>Mission in Cultrl&amp;Rlgs Contxt</v>
          </cell>
          <cell r="E3354" t="str">
            <v>MSSN546</v>
          </cell>
        </row>
        <row r="3355">
          <cell r="C3355" t="str">
            <v>Media Ministry</v>
          </cell>
          <cell r="E3355" t="str">
            <v>PATH609</v>
          </cell>
        </row>
        <row r="3356">
          <cell r="C3356" t="str">
            <v>Studies in Church History</v>
          </cell>
          <cell r="D3356" t="str">
            <v>StChHist: Hist Cont Prse&amp;Wrsp</v>
          </cell>
          <cell r="E3356" t="str">
            <v>CHIS685</v>
          </cell>
        </row>
        <row r="3357">
          <cell r="C3357" t="str">
            <v>Directed Rdg in Old Testmt</v>
          </cell>
          <cell r="D3357" t="str">
            <v>DirRdg in Old Testament: Humor</v>
          </cell>
          <cell r="E3357" t="str">
            <v>OTST890</v>
          </cell>
        </row>
        <row r="3358">
          <cell r="C3358" t="str">
            <v>Intro to the New Testament</v>
          </cell>
          <cell r="E3358" t="str">
            <v>NTST520</v>
          </cell>
        </row>
        <row r="3359">
          <cell r="C3359" t="str">
            <v>Collaboratv Min:Schl,Chrch,Com</v>
          </cell>
          <cell r="E3359" t="str">
            <v>DSLE615</v>
          </cell>
        </row>
        <row r="3360">
          <cell r="C3360" t="str">
            <v>Health&amp;Lifestyle Transformatn</v>
          </cell>
          <cell r="E3360" t="str">
            <v>PATH567</v>
          </cell>
        </row>
        <row r="3361">
          <cell r="C3361" t="str">
            <v>Theology of Synoptic Gospels</v>
          </cell>
          <cell r="E3361" t="str">
            <v>NTST630</v>
          </cell>
        </row>
        <row r="3362">
          <cell r="C3362" t="str">
            <v>Gr Con, Cov, Law &amp; Sabbath</v>
          </cell>
          <cell r="E3362" t="str">
            <v>NTST650</v>
          </cell>
        </row>
        <row r="3363">
          <cell r="C3363" t="str">
            <v>Directed Rdg in Old Testmt</v>
          </cell>
          <cell r="D3363" t="str">
            <v>Dir Rdg in OT:Typ, Esch&amp; Sanct</v>
          </cell>
          <cell r="E3363" t="str">
            <v>OTST890</v>
          </cell>
        </row>
        <row r="3364">
          <cell r="C3364" t="str">
            <v>Sem in Systematic Theology:</v>
          </cell>
          <cell r="D3364" t="str">
            <v>Sem: Theological Exegesis</v>
          </cell>
          <cell r="E3364" t="str">
            <v>THST940</v>
          </cell>
        </row>
        <row r="3365">
          <cell r="C3365" t="str">
            <v>The Church &amp; Social Issues</v>
          </cell>
          <cell r="E3365" t="str">
            <v>PATH553</v>
          </cell>
        </row>
        <row r="3366">
          <cell r="C3366" t="str">
            <v>Sem in Theological Issues:</v>
          </cell>
          <cell r="D3366" t="str">
            <v>Sem: Theological Exegesis</v>
          </cell>
          <cell r="E3366" t="str">
            <v>THST649</v>
          </cell>
        </row>
        <row r="3367">
          <cell r="C3367" t="str">
            <v>Sem Adv Arch&amp;Hist of Antiquity</v>
          </cell>
          <cell r="E3367" t="str">
            <v>ANEA940</v>
          </cell>
        </row>
        <row r="3368">
          <cell r="C3368" t="str">
            <v>Sem Development SDA Doctrines</v>
          </cell>
          <cell r="E3368" t="str">
            <v>CHIS974</v>
          </cell>
        </row>
        <row r="3369">
          <cell r="C3369" t="str">
            <v>DIS Dissertation Continuation</v>
          </cell>
          <cell r="D3369" t="str">
            <v>DMiss Dissertatn Continuation</v>
          </cell>
          <cell r="E3369" t="str">
            <v>MSSN888</v>
          </cell>
        </row>
        <row r="3370">
          <cell r="C3370" t="str">
            <v>Topics in Church History:</v>
          </cell>
          <cell r="D3370" t="str">
            <v>CHIS: Hist Cont Prse&amp;Wrsp</v>
          </cell>
          <cell r="E3370" t="str">
            <v>CHIS880</v>
          </cell>
        </row>
        <row r="3371">
          <cell r="C3371" t="str">
            <v>Ind. Study:</v>
          </cell>
          <cell r="D3371" t="str">
            <v>IndSt:New Testmnt and Rhetoric</v>
          </cell>
          <cell r="E3371" t="str">
            <v>NTST897</v>
          </cell>
        </row>
        <row r="3372">
          <cell r="C3372" t="str">
            <v>Field Evangelism</v>
          </cell>
          <cell r="E3372" t="str">
            <v>PATH562</v>
          </cell>
        </row>
        <row r="3373">
          <cell r="C3373" t="str">
            <v>Independent Study:</v>
          </cell>
          <cell r="D3373" t="str">
            <v>IndStdy: Bible Translation</v>
          </cell>
          <cell r="E3373" t="str">
            <v>OTST895</v>
          </cell>
        </row>
        <row r="3374">
          <cell r="C3374" t="str">
            <v>Doctoral Dissertation</v>
          </cell>
          <cell r="E3374" t="str">
            <v>DSLE995</v>
          </cell>
        </row>
        <row r="3375">
          <cell r="C3375" t="str">
            <v>Discipling Young Adults</v>
          </cell>
          <cell r="E3375" t="str">
            <v>DSLE564</v>
          </cell>
        </row>
        <row r="3376">
          <cell r="C3376" t="str">
            <v>Yth&amp;Yng Adlt in Contmp Culture</v>
          </cell>
          <cell r="E3376" t="str">
            <v>DSLE608</v>
          </cell>
        </row>
        <row r="3377">
          <cell r="C3377" t="str">
            <v>Ind. Study:</v>
          </cell>
          <cell r="D3377" t="str">
            <v>IndSt:Disc in Synoptic Gospels</v>
          </cell>
          <cell r="E3377" t="str">
            <v>NTST897</v>
          </cell>
        </row>
        <row r="3378">
          <cell r="C3378" t="str">
            <v>Health&amp;Lifestyle Transformatn</v>
          </cell>
          <cell r="E3378" t="str">
            <v>PATH567</v>
          </cell>
        </row>
        <row r="3379">
          <cell r="C3379" t="str">
            <v>Ind St:</v>
          </cell>
          <cell r="E3379" t="str">
            <v>GSEM797</v>
          </cell>
        </row>
        <row r="3380">
          <cell r="C3380" t="str">
            <v>Colloquium:</v>
          </cell>
          <cell r="D3380" t="str">
            <v>Coll: Creation Care &amp; SDAs</v>
          </cell>
          <cell r="E3380" t="str">
            <v>GSEM505</v>
          </cell>
        </row>
        <row r="3381">
          <cell r="C3381" t="str">
            <v>Ind. Study:</v>
          </cell>
          <cell r="D3381" t="str">
            <v>Ind Stdy:Gospel of Matthew</v>
          </cell>
          <cell r="E3381" t="str">
            <v>NTST897</v>
          </cell>
        </row>
        <row r="3382">
          <cell r="C3382" t="str">
            <v>Ind. Study:</v>
          </cell>
          <cell r="D3382" t="str">
            <v>Ind Stdy:Restoration of Israel</v>
          </cell>
          <cell r="E3382" t="str">
            <v>NTST897</v>
          </cell>
        </row>
        <row r="3383">
          <cell r="C3383" t="str">
            <v>Christn Lead in a Chnging Wrld</v>
          </cell>
          <cell r="D3383" t="str">
            <v>Christn Lead in a Chnging Wrld</v>
          </cell>
          <cell r="E3383" t="str">
            <v>PATH543</v>
          </cell>
        </row>
        <row r="3384">
          <cell r="C3384" t="str">
            <v>Directed Rdg in Hist&amp;Arch St</v>
          </cell>
          <cell r="D3384" t="str">
            <v>Dir Rdg:</v>
          </cell>
          <cell r="E3384" t="str">
            <v>ANEA890</v>
          </cell>
        </row>
        <row r="3385">
          <cell r="C3385" t="str">
            <v>Pastoral Counseling</v>
          </cell>
          <cell r="E3385" t="str">
            <v>PATH555</v>
          </cell>
        </row>
        <row r="3386">
          <cell r="C3386" t="str">
            <v>Intro to Old Testmnt Theology</v>
          </cell>
          <cell r="E3386" t="str">
            <v>OTST520</v>
          </cell>
        </row>
        <row r="3387">
          <cell r="C3387" t="str">
            <v>Ind St:</v>
          </cell>
          <cell r="D3387" t="str">
            <v>Ind St: Dev of SDA Theo</v>
          </cell>
          <cell r="E3387" t="str">
            <v>CHIS690</v>
          </cell>
        </row>
        <row r="3388">
          <cell r="C3388" t="str">
            <v>Intro to Biblical Hermeneutics</v>
          </cell>
          <cell r="E3388" t="str">
            <v>GSEM515</v>
          </cell>
        </row>
        <row r="3389">
          <cell r="C3389" t="str">
            <v>Master's Degree Contin</v>
          </cell>
          <cell r="E3389" t="str">
            <v>GSEM688</v>
          </cell>
        </row>
        <row r="3390">
          <cell r="C3390" t="str">
            <v>Teaching for Discipleship</v>
          </cell>
          <cell r="E3390" t="str">
            <v>DSLE610</v>
          </cell>
        </row>
        <row r="3391">
          <cell r="C3391" t="str">
            <v>Colloquium:</v>
          </cell>
          <cell r="D3391" t="str">
            <v>Coll:Theistic Evol&amp; the Bible</v>
          </cell>
          <cell r="E3391" t="str">
            <v>GSEM505</v>
          </cell>
        </row>
        <row r="3392">
          <cell r="C3392" t="str">
            <v>Theology of the Old Testament</v>
          </cell>
          <cell r="E3392" t="str">
            <v>OTST619</v>
          </cell>
        </row>
        <row r="3393">
          <cell r="C3393" t="str">
            <v>Pentateuch (Hebrew)</v>
          </cell>
          <cell r="E3393" t="str">
            <v>OTST664</v>
          </cell>
        </row>
        <row r="3394">
          <cell r="C3394" t="str">
            <v>Daniel</v>
          </cell>
          <cell r="E3394" t="str">
            <v>OTST674</v>
          </cell>
        </row>
        <row r="3395">
          <cell r="C3395" t="str">
            <v>Stud in the Pentateuch (Engl)</v>
          </cell>
          <cell r="E3395" t="str">
            <v>OTST566</v>
          </cell>
        </row>
        <row r="3396">
          <cell r="C3396" t="str">
            <v>Minor Prophets</v>
          </cell>
          <cell r="E3396" t="str">
            <v>OTST675</v>
          </cell>
        </row>
        <row r="3397">
          <cell r="C3397" t="str">
            <v>Archaeology and the Bible</v>
          </cell>
          <cell r="E3397" t="str">
            <v>ANEA510</v>
          </cell>
        </row>
        <row r="3398">
          <cell r="C3398" t="str">
            <v>Archaeology and the Bible</v>
          </cell>
          <cell r="E3398" t="str">
            <v>OTST510</v>
          </cell>
        </row>
        <row r="3399">
          <cell r="C3399" t="str">
            <v>Ind St:</v>
          </cell>
          <cell r="D3399" t="str">
            <v>Ind St: Theo of the OT</v>
          </cell>
          <cell r="E3399" t="str">
            <v>OTST690</v>
          </cell>
        </row>
        <row r="3400">
          <cell r="C3400" t="str">
            <v>Archaeological Field Work</v>
          </cell>
          <cell r="E3400" t="str">
            <v>OTST630</v>
          </cell>
        </row>
        <row r="3401">
          <cell r="C3401" t="str">
            <v>Ind St:</v>
          </cell>
          <cell r="D3401" t="str">
            <v>IndSt:Topics in Wrld Religions</v>
          </cell>
          <cell r="E3401" t="str">
            <v>MSSN690</v>
          </cell>
        </row>
        <row r="3402">
          <cell r="C3402" t="str">
            <v>New Testament Ethics</v>
          </cell>
          <cell r="E3402" t="str">
            <v>NTST668</v>
          </cell>
        </row>
        <row r="3403">
          <cell r="C3403" t="str">
            <v>Mission in Cultrl&amp;Rlgs Contxt</v>
          </cell>
          <cell r="E3403" t="str">
            <v>MSSN546</v>
          </cell>
        </row>
        <row r="3404">
          <cell r="C3404" t="str">
            <v>Topics in:</v>
          </cell>
          <cell r="D3404" t="str">
            <v>Top: The Bible &amp; Human Needs</v>
          </cell>
          <cell r="E3404" t="str">
            <v>MSSN885</v>
          </cell>
        </row>
        <row r="3405">
          <cell r="C3405" t="str">
            <v>Topics in:</v>
          </cell>
          <cell r="D3405" t="str">
            <v>Top:ResearchDesigninMission</v>
          </cell>
          <cell r="E3405" t="str">
            <v>MSSN885</v>
          </cell>
        </row>
        <row r="3406">
          <cell r="C3406" t="str">
            <v>Topics in:</v>
          </cell>
          <cell r="D3406" t="str">
            <v>Top:Bib Theo&amp;Spiritl Mission</v>
          </cell>
          <cell r="E3406" t="str">
            <v>MSSN885</v>
          </cell>
        </row>
        <row r="3407">
          <cell r="C3407" t="str">
            <v>Bilingual Ministry</v>
          </cell>
          <cell r="E3407" t="str">
            <v>PATH538</v>
          </cell>
        </row>
        <row r="3408">
          <cell r="C3408" t="str">
            <v>Mssn-Shaped Church Planting</v>
          </cell>
          <cell r="E3408" t="str">
            <v>PATH606</v>
          </cell>
        </row>
        <row r="3409">
          <cell r="C3409" t="str">
            <v>Adv Studies:</v>
          </cell>
          <cell r="D3409" t="str">
            <v>AdvStu:Bbcl&amp; Theo Hermeneutics</v>
          </cell>
          <cell r="E3409" t="str">
            <v>DSLE870</v>
          </cell>
        </row>
        <row r="3410">
          <cell r="C3410" t="str">
            <v>PhD (DSLE) Prog Cont</v>
          </cell>
          <cell r="D3410" t="str">
            <v>PhD (Rel Education) Prog Cont</v>
          </cell>
          <cell r="E3410" t="str">
            <v>DSLE880</v>
          </cell>
        </row>
        <row r="3411">
          <cell r="C3411" t="str">
            <v>Development SDA Theology</v>
          </cell>
          <cell r="E3411" t="str">
            <v>CHIS674</v>
          </cell>
        </row>
        <row r="3412">
          <cell r="C3412" t="str">
            <v>Topics in Church History:</v>
          </cell>
          <cell r="D3412" t="str">
            <v>Topics CHIS: Church Middle Age</v>
          </cell>
          <cell r="E3412" t="str">
            <v>CHIS880</v>
          </cell>
        </row>
        <row r="3413">
          <cell r="C3413" t="str">
            <v>Topics in Church History:</v>
          </cell>
          <cell r="D3413" t="str">
            <v>Top:Hist&amp;Spirt Blk/Wh Adv Wrsp</v>
          </cell>
          <cell r="E3413" t="str">
            <v>CHIS880</v>
          </cell>
        </row>
        <row r="3414">
          <cell r="C3414" t="str">
            <v>Hist of Seventh-day Adv Theo</v>
          </cell>
          <cell r="E3414" t="str">
            <v>CHIS574</v>
          </cell>
        </row>
        <row r="3415">
          <cell r="C3415" t="str">
            <v>Issues in Ellen G White Stdies</v>
          </cell>
          <cell r="E3415" t="str">
            <v>CHIS624</v>
          </cell>
        </row>
        <row r="3416">
          <cell r="C3416" t="str">
            <v>Hist of GC, Cov, Law&amp;Sabbath</v>
          </cell>
          <cell r="E3416" t="str">
            <v>CHIS638</v>
          </cell>
        </row>
        <row r="3417">
          <cell r="C3417" t="str">
            <v>The Pastor, Church &amp; Civil Law</v>
          </cell>
          <cell r="E3417" t="str">
            <v>CHIS683</v>
          </cell>
        </row>
        <row r="3418">
          <cell r="C3418" t="str">
            <v>Seminar in Adventist Studies:</v>
          </cell>
          <cell r="D3418" t="str">
            <v>Sem AdvSt: Theo of EGW</v>
          </cell>
          <cell r="E3418" t="str">
            <v>CHIS944</v>
          </cell>
        </row>
        <row r="3419">
          <cell r="C3419" t="str">
            <v>Studies in Church History</v>
          </cell>
          <cell r="D3419" t="str">
            <v>St in CHIS: EGW &amp; Advent Rsrch</v>
          </cell>
          <cell r="E3419" t="str">
            <v>CHIS685</v>
          </cell>
        </row>
        <row r="3420">
          <cell r="C3420" t="str">
            <v>Topics in</v>
          </cell>
          <cell r="D3420" t="str">
            <v>Top AdvSt: EGW &amp; Advent Rsrch</v>
          </cell>
          <cell r="E3420" t="str">
            <v>CHIS885</v>
          </cell>
        </row>
        <row r="3421">
          <cell r="C3421" t="str">
            <v>Topics in</v>
          </cell>
          <cell r="D3421" t="str">
            <v>Top AdvSt: Fund of Arch Practc</v>
          </cell>
          <cell r="E3421" t="str">
            <v>CHIS885</v>
          </cell>
        </row>
        <row r="3422">
          <cell r="C3422" t="str">
            <v>Topics in</v>
          </cell>
          <cell r="D3422" t="str">
            <v>Topics in 1st Gen Adv Pioneers</v>
          </cell>
          <cell r="E3422" t="str">
            <v>CHIS885</v>
          </cell>
        </row>
        <row r="3423">
          <cell r="C3423" t="str">
            <v>Topics in Church History:</v>
          </cell>
          <cell r="D3423" t="str">
            <v>Top in CHIS:Archival Mgmt</v>
          </cell>
          <cell r="E3423" t="str">
            <v>CHIS695</v>
          </cell>
        </row>
        <row r="3424">
          <cell r="C3424" t="str">
            <v>Topics in Church History:</v>
          </cell>
          <cell r="D3424" t="str">
            <v>Top:Hist of GC, Cov, Law&amp;Sabb</v>
          </cell>
          <cell r="E3424" t="str">
            <v>CHIS880</v>
          </cell>
        </row>
        <row r="3425">
          <cell r="C3425" t="str">
            <v>Seminar in Adventist Studies</v>
          </cell>
          <cell r="D3425" t="str">
            <v>Sem AdvSt: Theo of EGW</v>
          </cell>
          <cell r="E3425" t="str">
            <v>CHIS645</v>
          </cell>
        </row>
        <row r="3426">
          <cell r="C3426" t="str">
            <v>Seminar in Adventist Studies</v>
          </cell>
          <cell r="D3426" t="str">
            <v>Sem Adv St: Theology of EGW</v>
          </cell>
          <cell r="E3426" t="str">
            <v>CHIS645</v>
          </cell>
        </row>
        <row r="3427">
          <cell r="C3427" t="str">
            <v>Studies in Church History</v>
          </cell>
          <cell r="D3427" t="str">
            <v>St CHIS: EGW &amp; Adv Research</v>
          </cell>
          <cell r="E3427" t="str">
            <v>CHIS685</v>
          </cell>
        </row>
        <row r="3428">
          <cell r="C3428" t="str">
            <v>Ind St:</v>
          </cell>
          <cell r="D3428" t="str">
            <v>Ind St: Gr Cont, Cov, Law, Sab</v>
          </cell>
          <cell r="E3428" t="str">
            <v>THST690</v>
          </cell>
        </row>
        <row r="3429">
          <cell r="C3429" t="str">
            <v>Human Nature &amp; Destiny</v>
          </cell>
          <cell r="E3429" t="str">
            <v>THST647</v>
          </cell>
        </row>
        <row r="3430">
          <cell r="C3430" t="str">
            <v>Ind St:</v>
          </cell>
          <cell r="D3430" t="str">
            <v>Ind St:Ethics&amp;the Good Life</v>
          </cell>
          <cell r="E3430" t="str">
            <v>THST690</v>
          </cell>
        </row>
        <row r="3431">
          <cell r="C3431" t="str">
            <v>Top:</v>
          </cell>
          <cell r="D3431" t="str">
            <v>Top: Doctrine of God</v>
          </cell>
          <cell r="E3431" t="str">
            <v>THST885</v>
          </cell>
        </row>
        <row r="3432">
          <cell r="C3432" t="str">
            <v>Top:</v>
          </cell>
          <cell r="D3432" t="str">
            <v>Top: Hum Nature&amp;Destiny</v>
          </cell>
          <cell r="E3432" t="str">
            <v>THST885</v>
          </cell>
        </row>
        <row r="3433">
          <cell r="C3433" t="str">
            <v>Ind St:</v>
          </cell>
          <cell r="D3433" t="str">
            <v>IndSt:Conv Pattern Chrstn Theo</v>
          </cell>
          <cell r="E3433" t="str">
            <v>THST897</v>
          </cell>
        </row>
        <row r="3434">
          <cell r="C3434" t="str">
            <v>Ind St:</v>
          </cell>
          <cell r="D3434" t="str">
            <v>IndSt:</v>
          </cell>
          <cell r="E3434" t="str">
            <v>THST690</v>
          </cell>
        </row>
        <row r="3435">
          <cell r="C3435" t="str">
            <v>Cultural &amp; Relg Analysis II</v>
          </cell>
          <cell r="E3435" t="str">
            <v>MSSN732</v>
          </cell>
        </row>
        <row r="3436">
          <cell r="C3436" t="str">
            <v>Strategy Development II</v>
          </cell>
          <cell r="E3436" t="str">
            <v>MSSN742</v>
          </cell>
        </row>
        <row r="3437">
          <cell r="C3437" t="str">
            <v>Thesis for MA Degree</v>
          </cell>
          <cell r="D3437" t="str">
            <v>MA Thesis</v>
          </cell>
          <cell r="E3437" t="str">
            <v>GSEM697</v>
          </cell>
        </row>
        <row r="3438">
          <cell r="C3438" t="str">
            <v>Ind St:</v>
          </cell>
          <cell r="D3438" t="str">
            <v>Ind St:GSEM706 Sp&amp;Theo Foundts</v>
          </cell>
          <cell r="E3438" t="str">
            <v>GSEM797</v>
          </cell>
        </row>
        <row r="3439">
          <cell r="C3439" t="str">
            <v>Sem:</v>
          </cell>
          <cell r="D3439" t="str">
            <v>Sem:Discipl&amp;WorldvTransfrmatn</v>
          </cell>
          <cell r="E3439" t="str">
            <v>MSSN810</v>
          </cell>
        </row>
        <row r="3440">
          <cell r="C3440" t="str">
            <v>Colloquium:</v>
          </cell>
          <cell r="D3440" t="str">
            <v>Coll:Families&amp; Emotionl Health</v>
          </cell>
          <cell r="E3440" t="str">
            <v>GSEM505</v>
          </cell>
        </row>
        <row r="3441">
          <cell r="C3441" t="str">
            <v>Ind St:</v>
          </cell>
          <cell r="D3441" t="str">
            <v>IndSt:DSRE708 Ment&amp;Coach Dscpl</v>
          </cell>
          <cell r="E3441" t="str">
            <v>GSEM797</v>
          </cell>
        </row>
        <row r="3442">
          <cell r="C3442" t="str">
            <v>Ind St:</v>
          </cell>
          <cell r="E3442" t="str">
            <v>PATH897</v>
          </cell>
        </row>
        <row r="3443">
          <cell r="C3443" t="str">
            <v>Sem Adv OT Exegesis</v>
          </cell>
          <cell r="E3443" t="str">
            <v>OTST940</v>
          </cell>
        </row>
        <row r="3444">
          <cell r="C3444" t="str">
            <v>Sem in Biblical Theology</v>
          </cell>
          <cell r="E3444" t="str">
            <v>OTST945</v>
          </cell>
        </row>
        <row r="3445">
          <cell r="C3445" t="str">
            <v>Masters Comprehensive Exam</v>
          </cell>
          <cell r="E3445" t="str">
            <v>GSEM680</v>
          </cell>
        </row>
        <row r="3446">
          <cell r="C3446" t="str">
            <v>Colloquium:</v>
          </cell>
          <cell r="D3446" t="str">
            <v>Coll: Adv Learning Community</v>
          </cell>
          <cell r="E3446" t="str">
            <v>GSEM505</v>
          </cell>
        </row>
        <row r="3447">
          <cell r="C3447" t="str">
            <v>Sem Adv OT Exegesis</v>
          </cell>
          <cell r="D3447" t="str">
            <v>SemAdvOTExeg:Psalms/Wisdom Lt</v>
          </cell>
          <cell r="E3447" t="str">
            <v>OTST940</v>
          </cell>
        </row>
        <row r="3448">
          <cell r="C3448" t="str">
            <v>Studies in Daniel (Engl)</v>
          </cell>
          <cell r="E3448" t="str">
            <v>OTST546</v>
          </cell>
        </row>
        <row r="3449">
          <cell r="C3449" t="str">
            <v>Worship:Word &amp; Music</v>
          </cell>
          <cell r="E3449" t="str">
            <v>PATH523</v>
          </cell>
        </row>
        <row r="3450">
          <cell r="C3450" t="str">
            <v>Biblical Preaching</v>
          </cell>
          <cell r="D3450" t="str">
            <v>Biblical Preaching</v>
          </cell>
          <cell r="E3450" t="str">
            <v>PATH505</v>
          </cell>
        </row>
        <row r="3451">
          <cell r="C3451" t="str">
            <v>Archaeological Field Work</v>
          </cell>
          <cell r="E3451" t="str">
            <v>OTST630</v>
          </cell>
        </row>
        <row r="3452">
          <cell r="C3452" t="str">
            <v>Personal Evangelistic Ministry</v>
          </cell>
          <cell r="E3452" t="str">
            <v>PATH536</v>
          </cell>
        </row>
        <row r="3453">
          <cell r="C3453" t="str">
            <v>Christian Theology I</v>
          </cell>
          <cell r="E3453" t="str">
            <v>THST521</v>
          </cell>
        </row>
        <row r="3454">
          <cell r="C3454" t="str">
            <v>Top in NT Backgrounds</v>
          </cell>
          <cell r="D3454" t="str">
            <v>Top: Josephus</v>
          </cell>
          <cell r="E3454" t="str">
            <v>NTST695</v>
          </cell>
        </row>
        <row r="3455">
          <cell r="C3455" t="str">
            <v>Top in NT Backgrounds</v>
          </cell>
          <cell r="D3455" t="str">
            <v>Top in NT Backgrounds:Josephus</v>
          </cell>
          <cell r="E3455" t="str">
            <v>NTST695</v>
          </cell>
        </row>
        <row r="3456">
          <cell r="C3456" t="str">
            <v>Colloquium:</v>
          </cell>
          <cell r="D3456" t="str">
            <v>Coll:Pride&amp;Humlty for Rel Ldrs</v>
          </cell>
          <cell r="E3456" t="str">
            <v>GSEM505</v>
          </cell>
        </row>
        <row r="3457">
          <cell r="C3457" t="str">
            <v>Colloquium:</v>
          </cell>
          <cell r="D3457" t="str">
            <v>Coll: NAD Summit on Abuse</v>
          </cell>
          <cell r="E3457" t="str">
            <v>GSEM505</v>
          </cell>
        </row>
        <row r="3458">
          <cell r="C3458" t="str">
            <v>Studies in Prophets (Engl)</v>
          </cell>
          <cell r="E3458" t="str">
            <v>OTST556</v>
          </cell>
        </row>
        <row r="3459">
          <cell r="C3459" t="str">
            <v>Directed Rdg in Old Testmt</v>
          </cell>
          <cell r="D3459" t="str">
            <v>DirRg:Ancnt Israelite Sacrifcs</v>
          </cell>
          <cell r="E3459" t="str">
            <v>OTST890</v>
          </cell>
        </row>
        <row r="3460">
          <cell r="C3460" t="str">
            <v>Independent Study:</v>
          </cell>
          <cell r="D3460" t="str">
            <v>IndSt:Sacrif Trms in Leviticus</v>
          </cell>
          <cell r="E3460" t="str">
            <v>OTST895</v>
          </cell>
        </row>
        <row r="3461">
          <cell r="C3461" t="str">
            <v>Directed Rdgs Mission Studies</v>
          </cell>
          <cell r="D3461" t="str">
            <v>Directed Rdgs:Chrstian Mission</v>
          </cell>
          <cell r="E3461" t="str">
            <v>MSSN890</v>
          </cell>
        </row>
        <row r="3462">
          <cell r="C3462" t="str">
            <v>Directed Rdg Historical Theo</v>
          </cell>
          <cell r="D3462" t="str">
            <v>Dir Rdg in Christian Thought</v>
          </cell>
          <cell r="E3462" t="str">
            <v>THST895</v>
          </cell>
        </row>
        <row r="3463">
          <cell r="C3463" t="str">
            <v>Ind. Study:</v>
          </cell>
          <cell r="D3463" t="str">
            <v>Ind. Study: Paul &amp; Jerusalem</v>
          </cell>
          <cell r="E3463" t="str">
            <v>NTST897</v>
          </cell>
        </row>
        <row r="3464">
          <cell r="C3464" t="str">
            <v>Top:</v>
          </cell>
          <cell r="D3464" t="str">
            <v>Top: Christianity Mid East</v>
          </cell>
          <cell r="E3464" t="str">
            <v>THST885</v>
          </cell>
        </row>
        <row r="3465">
          <cell r="C3465" t="str">
            <v>Directed Rdg in New Testament</v>
          </cell>
          <cell r="D3465" t="str">
            <v>Dir Rdg in NT: Paul &amp; Judaism</v>
          </cell>
          <cell r="E3465" t="str">
            <v>NTST890</v>
          </cell>
        </row>
        <row r="3466">
          <cell r="C3466" t="str">
            <v>Field Practicum: MAYYAM</v>
          </cell>
          <cell r="E3466" t="str">
            <v>DSLE660</v>
          </cell>
        </row>
        <row r="3467">
          <cell r="C3467" t="str">
            <v>Ind St:</v>
          </cell>
          <cell r="D3467" t="str">
            <v>IndSt: Catholic Sacrament Theo</v>
          </cell>
          <cell r="E3467" t="str">
            <v>THST897</v>
          </cell>
        </row>
        <row r="3468">
          <cell r="C3468" t="str">
            <v>Ind St:</v>
          </cell>
          <cell r="D3468" t="str">
            <v>IndSt: Knowledge &amp; Ignorance</v>
          </cell>
          <cell r="E3468" t="str">
            <v>THST897</v>
          </cell>
        </row>
        <row r="3469">
          <cell r="C3469" t="str">
            <v>Ind St:</v>
          </cell>
          <cell r="D3469" t="str">
            <v>Ind St: Theo of Hebrews</v>
          </cell>
          <cell r="E3469" t="str">
            <v>NTST690</v>
          </cell>
        </row>
        <row r="3470">
          <cell r="C3470" t="str">
            <v>Colloquium:</v>
          </cell>
          <cell r="D3470" t="str">
            <v>Coll:Ellen White Issues Sympm</v>
          </cell>
          <cell r="E3470" t="str">
            <v>GSEM505</v>
          </cell>
        </row>
        <row r="3471">
          <cell r="C3471" t="str">
            <v>Directed Rdg Adventist Studies</v>
          </cell>
          <cell r="D3471" t="str">
            <v>DirRdg: Dev of SDA Theology</v>
          </cell>
          <cell r="E3471" t="str">
            <v>CHIS895</v>
          </cell>
        </row>
        <row r="3472">
          <cell r="C3472" t="str">
            <v>Top in NT Backgrounds</v>
          </cell>
          <cell r="E3472" t="str">
            <v>NTST695</v>
          </cell>
        </row>
        <row r="3473">
          <cell r="C3473" t="str">
            <v>Top:</v>
          </cell>
          <cell r="D3473" t="str">
            <v>Top:Christianity Mid East</v>
          </cell>
          <cell r="E3473" t="str">
            <v>THST695</v>
          </cell>
        </row>
        <row r="3474">
          <cell r="C3474" t="str">
            <v>Ind St:</v>
          </cell>
          <cell r="D3474" t="str">
            <v>Ind St: Remnant Theology</v>
          </cell>
          <cell r="E3474" t="str">
            <v>CHIS891</v>
          </cell>
        </row>
        <row r="3475">
          <cell r="C3475" t="str">
            <v>Principles of Hermeneutics</v>
          </cell>
          <cell r="E3475" t="str">
            <v>OTST685</v>
          </cell>
        </row>
        <row r="3476">
          <cell r="C3476" t="str">
            <v>Sem Adv OT Exegesis</v>
          </cell>
          <cell r="E3476" t="str">
            <v>OTST940</v>
          </cell>
        </row>
        <row r="3477">
          <cell r="C3477" t="str">
            <v>Fndtns of Biblicl Spirituality</v>
          </cell>
          <cell r="E3477" t="str">
            <v>DSLE541</v>
          </cell>
        </row>
        <row r="3478">
          <cell r="C3478" t="str">
            <v>Major Prophets:</v>
          </cell>
          <cell r="D3478" t="str">
            <v>Major Prophets: Isaiah</v>
          </cell>
          <cell r="E3478" t="str">
            <v>OTST686</v>
          </cell>
        </row>
        <row r="3479">
          <cell r="C3479" t="str">
            <v>IndSty in Adv St:</v>
          </cell>
          <cell r="D3479" t="str">
            <v>IndSty inAdv St:Diss Prop Prep</v>
          </cell>
          <cell r="E3479" t="str">
            <v>CHIS892</v>
          </cell>
        </row>
        <row r="3480">
          <cell r="C3480" t="str">
            <v>Directed Rdg Adventist Studies</v>
          </cell>
          <cell r="D3480" t="str">
            <v>DirRdg: Dev of SDA Doctrines</v>
          </cell>
          <cell r="E3480" t="str">
            <v>CHIS895</v>
          </cell>
        </row>
        <row r="3481">
          <cell r="C3481" t="str">
            <v>Directed Rdg in Church History</v>
          </cell>
          <cell r="D3481" t="str">
            <v>DirRdg: Amer Religious History</v>
          </cell>
          <cell r="E3481" t="str">
            <v>CHIS890</v>
          </cell>
        </row>
        <row r="3482">
          <cell r="C3482" t="str">
            <v>Hist &amp; Theo Adventist Worshp</v>
          </cell>
          <cell r="E3482" t="str">
            <v>PATH654</v>
          </cell>
        </row>
        <row r="3483">
          <cell r="C3483" t="str">
            <v>Ind St:</v>
          </cell>
          <cell r="D3483" t="str">
            <v>Ind St: Trinity in Adventism</v>
          </cell>
          <cell r="E3483" t="str">
            <v>CHIS690</v>
          </cell>
        </row>
        <row r="3484">
          <cell r="C3484" t="str">
            <v>Directed Rdg in Church History</v>
          </cell>
          <cell r="D3484" t="str">
            <v>DirRdg: Luther and the Jews</v>
          </cell>
          <cell r="E3484" t="str">
            <v>CHIS890</v>
          </cell>
        </row>
        <row r="3485">
          <cell r="C3485" t="str">
            <v>Ind St:</v>
          </cell>
          <cell r="D3485" t="str">
            <v>IndSt: Conspiracy Theories</v>
          </cell>
          <cell r="E3485" t="str">
            <v>CHIS891</v>
          </cell>
        </row>
        <row r="3486">
          <cell r="C3486" t="str">
            <v>Directed Rdg in Church History</v>
          </cell>
          <cell r="D3486" t="str">
            <v>DirRdg Arch Early Baptisteries</v>
          </cell>
          <cell r="E3486" t="str">
            <v>CHIS890</v>
          </cell>
        </row>
        <row r="3487">
          <cell r="C3487" t="str">
            <v>Meth OT Exegesis (Hebw)</v>
          </cell>
          <cell r="E3487" t="str">
            <v>OTST628</v>
          </cell>
        </row>
        <row r="3488">
          <cell r="C3488" t="str">
            <v>Studies in Church History</v>
          </cell>
          <cell r="D3488" t="str">
            <v>St CHIS:Hist&amp; Theo Adv Worship</v>
          </cell>
          <cell r="E3488" t="str">
            <v>CHIS685</v>
          </cell>
        </row>
        <row r="3489">
          <cell r="C3489" t="str">
            <v>Sem Hist of Sabbath &amp; Sunday</v>
          </cell>
          <cell r="E3489" t="str">
            <v>CHIS684</v>
          </cell>
        </row>
        <row r="3490">
          <cell r="C3490" t="str">
            <v>Topics in Church History:</v>
          </cell>
          <cell r="D3490" t="str">
            <v>Top in CH:Hist of Sab&amp;Sunday</v>
          </cell>
          <cell r="E3490" t="str">
            <v>CHIS695</v>
          </cell>
        </row>
        <row r="3491">
          <cell r="C3491" t="str">
            <v>Beginning Greek</v>
          </cell>
          <cell r="E3491" t="str">
            <v>NTST551</v>
          </cell>
        </row>
        <row r="3492">
          <cell r="C3492" t="str">
            <v>Grt Controversy, Cov, Law, Sab</v>
          </cell>
          <cell r="E3492" t="str">
            <v>THST608</v>
          </cell>
        </row>
        <row r="3493">
          <cell r="C3493" t="str">
            <v>Meth OT Exegesis (Hebw)</v>
          </cell>
          <cell r="E3493" t="str">
            <v>OTST628</v>
          </cell>
        </row>
        <row r="3494">
          <cell r="C3494" t="str">
            <v>Theology of Pauline Epistles</v>
          </cell>
          <cell r="E3494" t="str">
            <v>NTST634</v>
          </cell>
        </row>
        <row r="3495">
          <cell r="C3495" t="str">
            <v>Sem Social Sciences&amp;Mission</v>
          </cell>
          <cell r="E3495" t="str">
            <v>MSSN828</v>
          </cell>
        </row>
        <row r="3496">
          <cell r="C3496" t="str">
            <v>Directed Rdg in Church History</v>
          </cell>
          <cell r="D3496" t="str">
            <v>DirRdg Early Chrch Sacrdotalsm</v>
          </cell>
          <cell r="E3496" t="str">
            <v>CHIS890</v>
          </cell>
        </row>
        <row r="3497">
          <cell r="C3497" t="str">
            <v>Marriage, Fam&amp;Interprsnl Reltn</v>
          </cell>
          <cell r="E3497" t="str">
            <v>DSLE503</v>
          </cell>
        </row>
        <row r="3498">
          <cell r="C3498" t="str">
            <v>Doctrine of Christ</v>
          </cell>
          <cell r="E3498" t="str">
            <v>THST630</v>
          </cell>
        </row>
        <row r="3499">
          <cell r="C3499" t="str">
            <v>Studies in Hebrews</v>
          </cell>
          <cell r="E3499" t="str">
            <v>NTST538</v>
          </cell>
        </row>
        <row r="3500">
          <cell r="C3500" t="str">
            <v>Research Methods</v>
          </cell>
          <cell r="E3500" t="str">
            <v>GSEM620</v>
          </cell>
        </row>
        <row r="3501">
          <cell r="C3501" t="str">
            <v>Human Nature &amp; Destiny</v>
          </cell>
          <cell r="E3501" t="str">
            <v>THST647</v>
          </cell>
        </row>
        <row r="3502">
          <cell r="C3502" t="str">
            <v>Studies in Daniel (Engl)</v>
          </cell>
          <cell r="D3502" t="str">
            <v>Studies in Daniel</v>
          </cell>
          <cell r="E3502" t="str">
            <v>OTST546</v>
          </cell>
        </row>
        <row r="3503">
          <cell r="C3503" t="str">
            <v>Church Grwth&amp; Equipping Leader</v>
          </cell>
          <cell r="E3503" t="str">
            <v>PATH539</v>
          </cell>
        </row>
        <row r="3504">
          <cell r="C3504" t="str">
            <v>Seminar in Church History</v>
          </cell>
          <cell r="D3504" t="str">
            <v>Sem:Sotrlgy of Arminius&amp;Wesley</v>
          </cell>
          <cell r="E3504" t="str">
            <v>CHIS682</v>
          </cell>
        </row>
        <row r="3505">
          <cell r="C3505" t="str">
            <v>Ind St:</v>
          </cell>
          <cell r="D3505" t="str">
            <v>Ind St: American Prophets</v>
          </cell>
          <cell r="E3505" t="str">
            <v>CHIS891</v>
          </cell>
        </row>
        <row r="3506">
          <cell r="C3506" t="str">
            <v>Seminar in Church History:</v>
          </cell>
          <cell r="D3506" t="str">
            <v>Sem: Soter of Arminius&amp;Wesley</v>
          </cell>
          <cell r="E3506" t="str">
            <v>CHIS940</v>
          </cell>
        </row>
        <row r="3507">
          <cell r="C3507" t="str">
            <v>Fndtns of Biblicl Spirituality</v>
          </cell>
          <cell r="E3507" t="str">
            <v>DSLE541</v>
          </cell>
        </row>
        <row r="3508">
          <cell r="C3508" t="str">
            <v>Human Sexuality</v>
          </cell>
          <cell r="E3508" t="str">
            <v>DSLE659</v>
          </cell>
        </row>
        <row r="3509">
          <cell r="C3509" t="str">
            <v>Parenting Educ &amp; Guidance</v>
          </cell>
          <cell r="E3509" t="str">
            <v>DSLE679</v>
          </cell>
        </row>
        <row r="3510">
          <cell r="C3510" t="str">
            <v>Ministry Among Immigrants</v>
          </cell>
          <cell r="D3510" t="str">
            <v>Ministry among Immigrants</v>
          </cell>
          <cell r="E3510" t="str">
            <v>MSSN645</v>
          </cell>
        </row>
        <row r="3511">
          <cell r="C3511" t="str">
            <v>Topics:</v>
          </cell>
          <cell r="D3511" t="str">
            <v>Top: Intercultural Theology</v>
          </cell>
          <cell r="E3511" t="str">
            <v>MSSN695</v>
          </cell>
        </row>
        <row r="3512">
          <cell r="C3512" t="str">
            <v>Sem in Historical Theology:</v>
          </cell>
          <cell r="D3512" t="str">
            <v>SemHisTheo:Lead inEarly Church</v>
          </cell>
          <cell r="E3512" t="str">
            <v>THST656</v>
          </cell>
        </row>
        <row r="3513">
          <cell r="C3513" t="str">
            <v>Intro to Ecclesiastical Latin</v>
          </cell>
          <cell r="E3513" t="str">
            <v>CHIS612</v>
          </cell>
        </row>
        <row r="3514">
          <cell r="C3514" t="str">
            <v>Rdgs in Ecclesiastical Latin</v>
          </cell>
          <cell r="E3514" t="str">
            <v>CHIS614</v>
          </cell>
        </row>
        <row r="3515">
          <cell r="C3515" t="str">
            <v>Adv Studies Pauline Wrtg:</v>
          </cell>
          <cell r="D3515" t="str">
            <v>Adv St Pauline Wrtg: Galatians</v>
          </cell>
          <cell r="E3515" t="str">
            <v>NTST658</v>
          </cell>
        </row>
        <row r="3516">
          <cell r="C3516" t="str">
            <v>Intro to Chaplaincy Min</v>
          </cell>
          <cell r="E3516" t="str">
            <v>PATH507</v>
          </cell>
        </row>
        <row r="3517">
          <cell r="C3517" t="str">
            <v>Field Evangelism</v>
          </cell>
          <cell r="E3517" t="str">
            <v>PATH562</v>
          </cell>
        </row>
        <row r="3518">
          <cell r="C3518" t="str">
            <v>Intro to Ecclesiastical Latin</v>
          </cell>
          <cell r="E3518" t="str">
            <v>CHIS612</v>
          </cell>
        </row>
        <row r="3519">
          <cell r="C3519" t="str">
            <v>Field Evangelism</v>
          </cell>
          <cell r="E3519" t="str">
            <v>PATH562</v>
          </cell>
        </row>
        <row r="3520">
          <cell r="C3520" t="str">
            <v>Field Practicum:</v>
          </cell>
          <cell r="E3520" t="str">
            <v>PATH660</v>
          </cell>
        </row>
        <row r="3521">
          <cell r="C3521" t="str">
            <v>Top:</v>
          </cell>
          <cell r="D3521" t="str">
            <v>Top: Rev, Insp, &amp; Hermeneutics</v>
          </cell>
          <cell r="E3521" t="str">
            <v>THST885</v>
          </cell>
        </row>
        <row r="3522">
          <cell r="C3522" t="str">
            <v>Ind St:</v>
          </cell>
          <cell r="D3522" t="str">
            <v>Ind St: Doctrine of Christ</v>
          </cell>
          <cell r="E3522" t="str">
            <v>THST897</v>
          </cell>
        </row>
        <row r="3523">
          <cell r="C3523" t="str">
            <v>Hist of Christian Mission</v>
          </cell>
          <cell r="E3523" t="str">
            <v>MSSN676</v>
          </cell>
        </row>
        <row r="3524">
          <cell r="C3524" t="str">
            <v>History of Philosophy</v>
          </cell>
          <cell r="E3524" t="str">
            <v>THST676</v>
          </cell>
        </row>
        <row r="3525">
          <cell r="C3525" t="str">
            <v>Directed Rdg in Church History</v>
          </cell>
          <cell r="D3525" t="str">
            <v>DirRdg Early Ch Historiagraphy</v>
          </cell>
          <cell r="E3525" t="str">
            <v>CHIS890</v>
          </cell>
        </row>
        <row r="3526">
          <cell r="C3526" t="str">
            <v>Fndtns of Biblicl Spirituality</v>
          </cell>
          <cell r="E3526" t="str">
            <v>DSLE541</v>
          </cell>
        </row>
        <row r="3527">
          <cell r="C3527" t="str">
            <v>Fndtns of Biblicl Spirituality</v>
          </cell>
          <cell r="E3527" t="str">
            <v>DSLE541</v>
          </cell>
        </row>
        <row r="3528">
          <cell r="C3528" t="str">
            <v>Adv Fostering Spiritual Growth</v>
          </cell>
          <cell r="E3528" t="str">
            <v>DSLE830</v>
          </cell>
        </row>
        <row r="3529">
          <cell r="C3529" t="str">
            <v>Christian Witness&amp;Wrld Relgns</v>
          </cell>
          <cell r="E3529" t="str">
            <v>MSSN561</v>
          </cell>
        </row>
        <row r="3530">
          <cell r="C3530" t="str">
            <v>Sem in NT Theology &amp; Ethics</v>
          </cell>
          <cell r="D3530" t="str">
            <v>Sem In NT Theo:Theo of Hebrews</v>
          </cell>
          <cell r="E3530" t="str">
            <v>NTST679</v>
          </cell>
        </row>
        <row r="3531">
          <cell r="C3531" t="str">
            <v>Sem in NT Theology &amp; Ethics</v>
          </cell>
          <cell r="E3531" t="str">
            <v>NTST679</v>
          </cell>
        </row>
        <row r="3532">
          <cell r="C3532" t="str">
            <v>Ind. Study:</v>
          </cell>
          <cell r="D3532" t="str">
            <v>Ind St:Hebrews - Text Analysis</v>
          </cell>
          <cell r="E3532" t="str">
            <v>NTST897</v>
          </cell>
        </row>
        <row r="3533">
          <cell r="C3533" t="str">
            <v>Independent Study:</v>
          </cell>
          <cell r="D3533" t="str">
            <v>Ind St: Adv OT Exegesis-Theodi</v>
          </cell>
          <cell r="E3533" t="str">
            <v>OTST895</v>
          </cell>
        </row>
        <row r="3534">
          <cell r="C3534" t="str">
            <v>Historical Books (Hebrew)</v>
          </cell>
          <cell r="D3534" t="str">
            <v>Historical Books</v>
          </cell>
          <cell r="E3534" t="str">
            <v>OTST666</v>
          </cell>
        </row>
        <row r="3535">
          <cell r="C3535" t="str">
            <v>Adv Archaeology of Palestine</v>
          </cell>
          <cell r="E3535" t="str">
            <v>ANEA814</v>
          </cell>
        </row>
        <row r="3536">
          <cell r="C3536" t="str">
            <v>Ind St:</v>
          </cell>
          <cell r="D3536" t="str">
            <v>Ind St: Christian Theo II</v>
          </cell>
          <cell r="E3536" t="str">
            <v>THST690</v>
          </cell>
        </row>
        <row r="3537">
          <cell r="C3537" t="str">
            <v>Directed Rdg Christian Ethics</v>
          </cell>
          <cell r="D3537" t="str">
            <v>Dir Rdg Ch Eth: Christn Ethics</v>
          </cell>
          <cell r="E3537" t="str">
            <v>THST896</v>
          </cell>
        </row>
        <row r="3538">
          <cell r="C3538" t="str">
            <v>Biblical Hebrew I</v>
          </cell>
          <cell r="E3538" t="str">
            <v>OTST551</v>
          </cell>
        </row>
        <row r="3539">
          <cell r="C3539" t="str">
            <v>DMin Prof Dissertation Cont</v>
          </cell>
          <cell r="E3539" t="str">
            <v>GSEM788</v>
          </cell>
        </row>
        <row r="3540">
          <cell r="C3540" t="str">
            <v>DMin Prof Dissertation Cont</v>
          </cell>
          <cell r="E3540" t="str">
            <v>GSEM788</v>
          </cell>
        </row>
        <row r="3541">
          <cell r="C3541" t="str">
            <v>Topics in</v>
          </cell>
          <cell r="D3541" t="str">
            <v>Top in: Adventist Studies</v>
          </cell>
          <cell r="E3541" t="str">
            <v>CHIS885</v>
          </cell>
        </row>
        <row r="3542">
          <cell r="C3542" t="str">
            <v>Ind St:</v>
          </cell>
          <cell r="D3542" t="str">
            <v>Ind St:Fdns of Bibl Spirituaty</v>
          </cell>
          <cell r="E3542" t="str">
            <v>DSLE690</v>
          </cell>
        </row>
        <row r="3543">
          <cell r="C3543" t="str">
            <v>Rdgs in Ecclesiastical Latin</v>
          </cell>
          <cell r="E3543" t="str">
            <v>CHIS614</v>
          </cell>
        </row>
        <row r="3544">
          <cell r="C3544" t="str">
            <v>Ind St:</v>
          </cell>
          <cell r="D3544" t="str">
            <v>IndSt:</v>
          </cell>
          <cell r="E3544" t="str">
            <v>CHIS690</v>
          </cell>
        </row>
        <row r="3545">
          <cell r="C3545" t="str">
            <v>IndSty in Adv St:</v>
          </cell>
          <cell r="D3545" t="str">
            <v>IndSt:</v>
          </cell>
          <cell r="E3545" t="str">
            <v>CHIS892</v>
          </cell>
        </row>
        <row r="3546">
          <cell r="C3546" t="str">
            <v>Directed Rdgs Mission Studies</v>
          </cell>
          <cell r="D3546" t="str">
            <v>Dir Rdg Mssn Stu:</v>
          </cell>
          <cell r="E3546" t="str">
            <v>MSSN890</v>
          </cell>
        </row>
        <row r="3547">
          <cell r="C3547" t="str">
            <v>Directed Rdgs Mission Studies</v>
          </cell>
          <cell r="D3547" t="str">
            <v>DirRdg MssnStu:</v>
          </cell>
          <cell r="E3547" t="str">
            <v>MSSN890</v>
          </cell>
        </row>
        <row r="3548">
          <cell r="C3548" t="str">
            <v>NT Archaeology</v>
          </cell>
          <cell r="E3548" t="str">
            <v>ANEA625</v>
          </cell>
        </row>
        <row r="3549">
          <cell r="C3549" t="str">
            <v>Reaching Out</v>
          </cell>
          <cell r="E3549" t="str">
            <v>DSLE670</v>
          </cell>
        </row>
        <row r="3550">
          <cell r="C3550" t="str">
            <v>Sem in Old Testament Theology</v>
          </cell>
          <cell r="E3550" t="str">
            <v>OTST620</v>
          </cell>
        </row>
        <row r="3551">
          <cell r="C3551" t="str">
            <v>Sem in Historical Theology:</v>
          </cell>
          <cell r="D3551" t="str">
            <v>SemHisTheo:Lead inEarly Church</v>
          </cell>
          <cell r="E3551" t="str">
            <v>THST964</v>
          </cell>
        </row>
        <row r="3552">
          <cell r="C3552" t="str">
            <v>Topics:</v>
          </cell>
          <cell r="D3552" t="str">
            <v>Top:</v>
          </cell>
          <cell r="E3552" t="str">
            <v>MSSN695</v>
          </cell>
        </row>
        <row r="3553">
          <cell r="C3553" t="str">
            <v>Ind St:</v>
          </cell>
          <cell r="E3553" t="str">
            <v>THST897</v>
          </cell>
        </row>
        <row r="3554">
          <cell r="C3554" t="str">
            <v>Ind St:</v>
          </cell>
          <cell r="D3554" t="str">
            <v>Ind St: Christian Theology 2</v>
          </cell>
          <cell r="E3554" t="str">
            <v>THST690</v>
          </cell>
        </row>
        <row r="3555">
          <cell r="C3555" t="str">
            <v>Greco-Roman World</v>
          </cell>
          <cell r="E3555" t="str">
            <v>NTST680</v>
          </cell>
        </row>
        <row r="3556">
          <cell r="C3556" t="str">
            <v>Sem in Other Religions</v>
          </cell>
          <cell r="E3556" t="str">
            <v>MSSN829</v>
          </cell>
        </row>
        <row r="3557">
          <cell r="C3557" t="str">
            <v>Seminar in Adventist Studies</v>
          </cell>
          <cell r="E3557" t="str">
            <v>CHIS645</v>
          </cell>
        </row>
        <row r="3558">
          <cell r="C3558" t="str">
            <v>Studies in Church History</v>
          </cell>
          <cell r="E3558" t="str">
            <v>CHIS685</v>
          </cell>
        </row>
        <row r="3559">
          <cell r="C3559" t="str">
            <v>Colloquium:</v>
          </cell>
          <cell r="D3559" t="str">
            <v>Colloquium: Church Security</v>
          </cell>
          <cell r="E3559" t="str">
            <v>GSEM505</v>
          </cell>
        </row>
        <row r="3560">
          <cell r="C3560" t="str">
            <v>Phil &amp; Ethics in Chaplaincy</v>
          </cell>
          <cell r="E3560" t="str">
            <v>PATH549</v>
          </cell>
        </row>
        <row r="3561">
          <cell r="C3561" t="str">
            <v>Ind. Study:</v>
          </cell>
          <cell r="E3561" t="str">
            <v>NTST897</v>
          </cell>
        </row>
        <row r="3562">
          <cell r="C3562" t="str">
            <v>Ind. Study:</v>
          </cell>
          <cell r="D3562" t="str">
            <v>IndSt:</v>
          </cell>
          <cell r="E3562" t="str">
            <v>NTST897</v>
          </cell>
        </row>
        <row r="3563">
          <cell r="C3563" t="str">
            <v>The Early Church to AD 604</v>
          </cell>
          <cell r="E3563" t="str">
            <v>CHIS600</v>
          </cell>
        </row>
        <row r="3564">
          <cell r="C3564" t="str">
            <v>Directed Rdg in Old Testmt</v>
          </cell>
          <cell r="E3564" t="str">
            <v>OTST890</v>
          </cell>
        </row>
        <row r="3565">
          <cell r="C3565" t="str">
            <v>Sem in Biblical Theology</v>
          </cell>
          <cell r="E3565" t="str">
            <v>OTST945</v>
          </cell>
        </row>
        <row r="3566">
          <cell r="C3566" t="str">
            <v>Intro to Revelation</v>
          </cell>
          <cell r="E3566" t="str">
            <v>NTST530</v>
          </cell>
        </row>
        <row r="3567">
          <cell r="C3567" t="str">
            <v>Ind St:</v>
          </cell>
          <cell r="D3567" t="str">
            <v>Ind St:Church Grwth&amp;Discip Urb</v>
          </cell>
          <cell r="E3567" t="str">
            <v>GSEM797</v>
          </cell>
        </row>
        <row r="3568">
          <cell r="C3568" t="str">
            <v>Doctrine of Christ</v>
          </cell>
          <cell r="E3568" t="str">
            <v>THST630</v>
          </cell>
        </row>
        <row r="3569">
          <cell r="C3569" t="str">
            <v>Evang Small Groups</v>
          </cell>
          <cell r="E3569" t="str">
            <v>PATH656</v>
          </cell>
        </row>
        <row r="3570">
          <cell r="C3570" t="str">
            <v>Ind St:</v>
          </cell>
          <cell r="D3570" t="str">
            <v>Ind Study: Doctrine of God</v>
          </cell>
          <cell r="E3570" t="str">
            <v>THST690</v>
          </cell>
        </row>
        <row r="3571">
          <cell r="C3571" t="str">
            <v>Colloquium:</v>
          </cell>
          <cell r="D3571" t="str">
            <v>Coll: NAD Summit on Abuse</v>
          </cell>
          <cell r="E3571" t="str">
            <v>GSEM505</v>
          </cell>
        </row>
        <row r="3572">
          <cell r="C3572" t="str">
            <v>Mssn-Shaped Church Planting</v>
          </cell>
          <cell r="E3572" t="str">
            <v>PATH606</v>
          </cell>
        </row>
        <row r="3573">
          <cell r="C3573" t="str">
            <v>Seminar in Church History:</v>
          </cell>
          <cell r="D3573" t="str">
            <v>Sem: Hist of Interpret. Gen1&amp;2</v>
          </cell>
          <cell r="E3573" t="str">
            <v>CHIS940</v>
          </cell>
        </row>
        <row r="3574">
          <cell r="C3574" t="str">
            <v>Urban Ministry Project</v>
          </cell>
          <cell r="E3574" t="str">
            <v>MSSN667</v>
          </cell>
        </row>
        <row r="3575">
          <cell r="C3575" t="str">
            <v>Ind Stdy:</v>
          </cell>
          <cell r="D3575" t="str">
            <v>Ind St: Studies in Church Hist</v>
          </cell>
          <cell r="E3575" t="str">
            <v>PATH690</v>
          </cell>
        </row>
        <row r="3576">
          <cell r="C3576" t="str">
            <v>Christn Respns to Human Needs</v>
          </cell>
          <cell r="E3576" t="str">
            <v>MSSN505</v>
          </cell>
        </row>
        <row r="3577">
          <cell r="C3577" t="str">
            <v>Spiritual Nurture of Children</v>
          </cell>
          <cell r="E3577" t="str">
            <v>DSLE678</v>
          </cell>
        </row>
        <row r="3578">
          <cell r="C3578" t="str">
            <v>Intertestamental Literature</v>
          </cell>
          <cell r="D3578" t="str">
            <v>Top:Intertestamntal Literature</v>
          </cell>
          <cell r="E3578" t="str">
            <v>OTST634</v>
          </cell>
        </row>
        <row r="3579">
          <cell r="C3579" t="str">
            <v>Readings in the Septuagint</v>
          </cell>
          <cell r="D3579" t="str">
            <v>Top:Intertestamntal Literature</v>
          </cell>
          <cell r="E3579" t="str">
            <v>OTST660</v>
          </cell>
        </row>
        <row r="3580">
          <cell r="C3580" t="str">
            <v>Topics in:</v>
          </cell>
          <cell r="D3580" t="str">
            <v>Top: Intertestamental Literatu</v>
          </cell>
          <cell r="E3580" t="str">
            <v>OTST885</v>
          </cell>
        </row>
        <row r="3581">
          <cell r="C3581" t="str">
            <v>Top:</v>
          </cell>
          <cell r="D3581" t="str">
            <v>Top:Chrstn Persp on Prof Ethcs</v>
          </cell>
          <cell r="E3581" t="str">
            <v>DSLE676</v>
          </cell>
        </row>
        <row r="3582">
          <cell r="C3582" t="str">
            <v>Contextualized Preaching:</v>
          </cell>
          <cell r="D3582" t="str">
            <v>Cont Preach:Multi-Ethnc/Racial</v>
          </cell>
          <cell r="E3582" t="str">
            <v>PATH632</v>
          </cell>
        </row>
        <row r="3583">
          <cell r="C3583" t="str">
            <v>Ind St:</v>
          </cell>
          <cell r="D3583" t="str">
            <v>Ind St: Issues in EGW Studies</v>
          </cell>
          <cell r="E3583" t="str">
            <v>CHIS690</v>
          </cell>
        </row>
        <row r="3584">
          <cell r="C3584" t="str">
            <v>Ind St:</v>
          </cell>
          <cell r="D3584" t="str">
            <v>Ind St: Religion in America</v>
          </cell>
          <cell r="E3584" t="str">
            <v>CHIS690</v>
          </cell>
        </row>
        <row r="3585">
          <cell r="C3585" t="str">
            <v>Directed Rdg in Church History</v>
          </cell>
          <cell r="D3585" t="str">
            <v>DirRdCHIS: Readings in Early C</v>
          </cell>
          <cell r="E3585" t="str">
            <v>CHIS890</v>
          </cell>
        </row>
        <row r="3586">
          <cell r="C3586" t="str">
            <v>Topics in</v>
          </cell>
          <cell r="D3586" t="str">
            <v>Top: Theological Ethics</v>
          </cell>
          <cell r="E3586" t="str">
            <v>CHIS885</v>
          </cell>
        </row>
        <row r="3587">
          <cell r="C3587" t="str">
            <v>Ind St:</v>
          </cell>
          <cell r="D3587" t="str">
            <v>IndSt:Soteriology Arminius&amp;Wes</v>
          </cell>
          <cell r="E3587" t="str">
            <v>CHIS891</v>
          </cell>
        </row>
        <row r="3588">
          <cell r="C3588" t="str">
            <v>Directed Rdg Adventist Studies</v>
          </cell>
          <cell r="D3588" t="str">
            <v>DirRd: Dev SDA Theo&amp; Lifestyle</v>
          </cell>
          <cell r="E3588" t="str">
            <v>CHIS895</v>
          </cell>
        </row>
        <row r="3589">
          <cell r="C3589" t="str">
            <v>Doctrine of the Sanctuary</v>
          </cell>
          <cell r="E3589" t="str">
            <v>GSEM530</v>
          </cell>
        </row>
        <row r="3590">
          <cell r="C3590" t="str">
            <v>Ind St:</v>
          </cell>
          <cell r="D3590" t="str">
            <v>IndSt: Dissertation Proposal</v>
          </cell>
          <cell r="E3590" t="str">
            <v>CHIS891</v>
          </cell>
        </row>
        <row r="3591">
          <cell r="C3591" t="str">
            <v>Ind St:</v>
          </cell>
          <cell r="D3591" t="str">
            <v>Ind St Dissertation Proposal</v>
          </cell>
          <cell r="E3591" t="str">
            <v>THST897</v>
          </cell>
        </row>
        <row r="3592">
          <cell r="C3592" t="str">
            <v>Topics:</v>
          </cell>
          <cell r="D3592" t="str">
            <v>Top:</v>
          </cell>
          <cell r="E3592" t="str">
            <v>MSSN695</v>
          </cell>
        </row>
        <row r="3593">
          <cell r="C3593" t="str">
            <v>Topics in:</v>
          </cell>
          <cell r="D3593" t="str">
            <v>Top:Theophany in the Psalms</v>
          </cell>
          <cell r="E3593" t="str">
            <v>OTST885</v>
          </cell>
        </row>
        <row r="3594">
          <cell r="C3594" t="str">
            <v>Directed Rdg in Church History</v>
          </cell>
          <cell r="D3594" t="str">
            <v>DirRd: Protest&amp;Arminian Theo</v>
          </cell>
          <cell r="E3594" t="str">
            <v>CHIS890</v>
          </cell>
        </row>
        <row r="3595">
          <cell r="C3595" t="str">
            <v>Ind St:</v>
          </cell>
          <cell r="D3595" t="str">
            <v>Ind St: Theodicy</v>
          </cell>
          <cell r="E3595" t="str">
            <v>THST897</v>
          </cell>
        </row>
        <row r="3596">
          <cell r="C3596" t="str">
            <v>Counseling Youth &amp; Young Adult</v>
          </cell>
          <cell r="E3596" t="str">
            <v>DSLE656</v>
          </cell>
        </row>
        <row r="3597">
          <cell r="C3597" t="str">
            <v>IndSty in Adv St:</v>
          </cell>
          <cell r="E3597" t="str">
            <v>CHIS892</v>
          </cell>
        </row>
        <row r="3598">
          <cell r="C3598" t="str">
            <v>Near Eastern Archaeology</v>
          </cell>
          <cell r="E3598" t="str">
            <v>ANEA810</v>
          </cell>
        </row>
        <row r="3599">
          <cell r="C3599" t="str">
            <v>Ancient Near Eastern Lang</v>
          </cell>
          <cell r="E3599" t="str">
            <v>ANEA612</v>
          </cell>
        </row>
        <row r="3600">
          <cell r="C3600" t="str">
            <v>Directed Rdg in Hist&amp;Arch St</v>
          </cell>
          <cell r="D3600" t="str">
            <v>DirRd:Hist&amp; Archeology Studies</v>
          </cell>
          <cell r="E3600" t="str">
            <v>ANEA890</v>
          </cell>
        </row>
        <row r="3601">
          <cell r="C3601" t="str">
            <v>Sem Arch &amp; Hist of Antiquity</v>
          </cell>
          <cell r="E3601" t="str">
            <v>ANEA615</v>
          </cell>
        </row>
        <row r="3602">
          <cell r="C3602" t="str">
            <v>Ancient Near Eastern Lang</v>
          </cell>
          <cell r="E3602" t="str">
            <v>OTST612</v>
          </cell>
        </row>
        <row r="3603">
          <cell r="C3603" t="str">
            <v>Sem Arch &amp; Hist of Antiquity</v>
          </cell>
          <cell r="E3603" t="str">
            <v>OTST615</v>
          </cell>
        </row>
        <row r="3604">
          <cell r="C3604" t="str">
            <v>Pentateuch (Hebrew)</v>
          </cell>
          <cell r="E3604" t="str">
            <v>OTST664</v>
          </cell>
        </row>
        <row r="3605">
          <cell r="C3605" t="str">
            <v>Directed Rdg in Old Testmt</v>
          </cell>
          <cell r="D3605" t="str">
            <v>DirRd in OT Theophany in Psalm</v>
          </cell>
          <cell r="E3605" t="str">
            <v>OTST890</v>
          </cell>
        </row>
        <row r="3606">
          <cell r="C3606" t="str">
            <v>Ind St:</v>
          </cell>
          <cell r="D3606" t="str">
            <v>Ind St Laodicean Msg &amp; 1888</v>
          </cell>
          <cell r="E3606" t="str">
            <v>THST897</v>
          </cell>
        </row>
        <row r="3607">
          <cell r="C3607" t="str">
            <v>Ind St:</v>
          </cell>
          <cell r="D3607" t="str">
            <v>Ind St: Religion in America</v>
          </cell>
          <cell r="E3607" t="str">
            <v>CHIS891</v>
          </cell>
        </row>
        <row r="3608">
          <cell r="C3608" t="str">
            <v>Modern Christian Theology</v>
          </cell>
          <cell r="E3608" t="str">
            <v>THST626</v>
          </cell>
        </row>
        <row r="3609">
          <cell r="C3609" t="str">
            <v>Ind St:</v>
          </cell>
          <cell r="D3609" t="str">
            <v>Ind St: Biblical Hebrew III</v>
          </cell>
          <cell r="E3609" t="str">
            <v>OTST690</v>
          </cell>
        </row>
        <row r="3610">
          <cell r="C3610" t="str">
            <v>Directed Rdg in Church History</v>
          </cell>
          <cell r="D3610" t="str">
            <v>DirRdCHIS: Oberman on Med &amp; Re</v>
          </cell>
          <cell r="E3610" t="str">
            <v>CHIS890</v>
          </cell>
        </row>
        <row r="3611">
          <cell r="C3611" t="str">
            <v>IndSty in Adv St:</v>
          </cell>
          <cell r="D3611" t="str">
            <v>Ind St Laodicean Msg &amp; 1888</v>
          </cell>
          <cell r="E3611" t="str">
            <v>CHIS892</v>
          </cell>
        </row>
        <row r="3612">
          <cell r="C3612" t="str">
            <v>Ind St:</v>
          </cell>
          <cell r="D3612" t="str">
            <v>IndSt: Chr. Witness &amp; World Re</v>
          </cell>
          <cell r="E3612" t="str">
            <v>MSSN690</v>
          </cell>
        </row>
        <row r="3613">
          <cell r="C3613" t="str">
            <v>Topics in</v>
          </cell>
          <cell r="D3613" t="str">
            <v>Topics in Eschatology</v>
          </cell>
          <cell r="E3613" t="str">
            <v>NTST885</v>
          </cell>
        </row>
        <row r="3614">
          <cell r="C3614" t="str">
            <v>IndSty in Adv St:</v>
          </cell>
          <cell r="D3614" t="str">
            <v>St in Adv St: Soteriologies</v>
          </cell>
          <cell r="E3614" t="str">
            <v>CHIS892</v>
          </cell>
        </row>
        <row r="3615">
          <cell r="C3615" t="str">
            <v>Top:</v>
          </cell>
          <cell r="D3615" t="str">
            <v>Top:Doctrine of Church</v>
          </cell>
          <cell r="E3615" t="str">
            <v>THST885</v>
          </cell>
        </row>
        <row r="3616">
          <cell r="C3616" t="str">
            <v>Topics In:</v>
          </cell>
          <cell r="D3616" t="str">
            <v>Top in Dead Sea Scrolls</v>
          </cell>
          <cell r="E3616" t="str">
            <v>ANEA885</v>
          </cell>
        </row>
        <row r="3617">
          <cell r="C3617" t="str">
            <v>Directed Rdg in New Testament</v>
          </cell>
          <cell r="D3617" t="str">
            <v>DirRdg NT:Theo Pauline Epistls</v>
          </cell>
          <cell r="E3617" t="str">
            <v>NTST890</v>
          </cell>
        </row>
        <row r="3618">
          <cell r="C3618" t="str">
            <v>Ind St:</v>
          </cell>
          <cell r="D3618" t="str">
            <v>Ind St Systematic Theo</v>
          </cell>
          <cell r="E3618" t="str">
            <v>THST897</v>
          </cell>
        </row>
        <row r="3619">
          <cell r="C3619" t="str">
            <v>Topics in</v>
          </cell>
          <cell r="D3619" t="str">
            <v>Topics in NT Archaeology</v>
          </cell>
          <cell r="E3619" t="str">
            <v>NTST885</v>
          </cell>
        </row>
        <row r="3620">
          <cell r="C3620" t="str">
            <v>Directed Rdg in Old Testmt</v>
          </cell>
          <cell r="D3620" t="str">
            <v>DirRdg in OT History &amp; Archae</v>
          </cell>
          <cell r="E3620" t="str">
            <v>OTST890</v>
          </cell>
        </row>
        <row r="3621">
          <cell r="C3621" t="str">
            <v>Ind St:</v>
          </cell>
          <cell r="D3621" t="str">
            <v>Ind St: Reception of Monogenes</v>
          </cell>
          <cell r="E3621" t="str">
            <v>CHIS891</v>
          </cell>
        </row>
        <row r="3622">
          <cell r="C3622" t="str">
            <v>Doctrine of the Church</v>
          </cell>
          <cell r="E3622" t="str">
            <v>THST615</v>
          </cell>
        </row>
        <row r="3623">
          <cell r="C3623" t="str">
            <v>Sem in Old Testament Theology</v>
          </cell>
          <cell r="E3623" t="str">
            <v>OTST620</v>
          </cell>
        </row>
        <row r="3624">
          <cell r="C3624" t="str">
            <v>Doctrine of the Sanctuary</v>
          </cell>
          <cell r="E3624" t="str">
            <v>GSEM530</v>
          </cell>
        </row>
        <row r="3625">
          <cell r="C3625" t="str">
            <v>Directed Rdg in Old Testmt</v>
          </cell>
          <cell r="D3625" t="str">
            <v>Dir Rdg in OT:</v>
          </cell>
          <cell r="E3625" t="str">
            <v>OTST890</v>
          </cell>
        </row>
        <row r="3626">
          <cell r="C3626" t="str">
            <v>Christn Lead in a Chnging Wrld</v>
          </cell>
          <cell r="E3626" t="str">
            <v>PATH543</v>
          </cell>
        </row>
        <row r="3627">
          <cell r="C3627" t="str">
            <v>Research Methods</v>
          </cell>
          <cell r="E3627" t="str">
            <v>GSEM620</v>
          </cell>
        </row>
        <row r="3628">
          <cell r="C3628" t="str">
            <v>Directed Rdg in Old Testmt</v>
          </cell>
          <cell r="D3628" t="str">
            <v>Dir Rdg in OT:Arch&amp; Theo of OT</v>
          </cell>
          <cell r="E3628" t="str">
            <v>OTST890</v>
          </cell>
        </row>
        <row r="3629">
          <cell r="C3629" t="str">
            <v>Families in Society</v>
          </cell>
          <cell r="E3629" t="str">
            <v>DSLE655</v>
          </cell>
        </row>
        <row r="3630">
          <cell r="C3630" t="str">
            <v>DIS Dissertation</v>
          </cell>
          <cell r="D3630" t="str">
            <v>DMiss Dissertation</v>
          </cell>
          <cell r="E3630" t="str">
            <v>MSSN899</v>
          </cell>
        </row>
        <row r="3631">
          <cell r="C3631" t="str">
            <v>Biblical Hebrew III</v>
          </cell>
          <cell r="E3631" t="str">
            <v>OTST625</v>
          </cell>
        </row>
        <row r="3632">
          <cell r="C3632" t="str">
            <v>Hist of the Ancient Near East</v>
          </cell>
          <cell r="E3632" t="str">
            <v>ANEA604</v>
          </cell>
        </row>
        <row r="3633">
          <cell r="C3633" t="str">
            <v>Directed Rdg in Old Testmt</v>
          </cell>
          <cell r="D3633" t="str">
            <v>Dir Rdg in OT:</v>
          </cell>
          <cell r="E3633" t="str">
            <v>OTST890</v>
          </cell>
        </row>
        <row r="3634">
          <cell r="C3634" t="str">
            <v>Worship:Word &amp; Music</v>
          </cell>
          <cell r="E3634" t="str">
            <v>PATH523</v>
          </cell>
        </row>
        <row r="3635">
          <cell r="C3635" t="str">
            <v>Counseling Youth &amp; Young Adult</v>
          </cell>
          <cell r="E3635" t="str">
            <v>DSLE656</v>
          </cell>
        </row>
        <row r="3636">
          <cell r="C3636" t="str">
            <v>Grt Controversy, Cov, Law, Sab</v>
          </cell>
          <cell r="E3636" t="str">
            <v>GSEM628</v>
          </cell>
        </row>
        <row r="3637">
          <cell r="C3637" t="str">
            <v>Ind St:</v>
          </cell>
          <cell r="D3637" t="str">
            <v>Ind St: Postmodernism</v>
          </cell>
          <cell r="E3637" t="str">
            <v>THST897</v>
          </cell>
        </row>
        <row r="3638">
          <cell r="C3638" t="str">
            <v>Colloquium:</v>
          </cell>
          <cell r="D3638" t="str">
            <v>Coll:Writing Wisely-Princ Acad</v>
          </cell>
          <cell r="E3638" t="str">
            <v>GSEM505</v>
          </cell>
        </row>
        <row r="3639">
          <cell r="C3639" t="str">
            <v>Theological Ethics</v>
          </cell>
          <cell r="E3639" t="str">
            <v>THST644</v>
          </cell>
        </row>
        <row r="3640">
          <cell r="C3640" t="str">
            <v>New Testament Archaeology</v>
          </cell>
          <cell r="E3640" t="str">
            <v>NTST615</v>
          </cell>
        </row>
        <row r="3641">
          <cell r="C3641" t="str">
            <v>Directed Rdgs Mission Studies</v>
          </cell>
          <cell r="D3641" t="str">
            <v>DirRdg:Theo Mssnl Hermeneutics</v>
          </cell>
          <cell r="E3641" t="str">
            <v>MSSN890</v>
          </cell>
        </row>
        <row r="3642">
          <cell r="C3642" t="str">
            <v>Field Evangelism</v>
          </cell>
          <cell r="E3642" t="str">
            <v>PATH562</v>
          </cell>
        </row>
        <row r="3643">
          <cell r="C3643" t="str">
            <v>Evang Small Groups</v>
          </cell>
          <cell r="E3643" t="str">
            <v>PATH656</v>
          </cell>
        </row>
        <row r="3644">
          <cell r="C3644" t="str">
            <v>Eschatology</v>
          </cell>
          <cell r="E3644" t="str">
            <v>NTST647</v>
          </cell>
        </row>
        <row r="3645">
          <cell r="C3645" t="str">
            <v>Pentateuch (Hebrew)</v>
          </cell>
          <cell r="E3645" t="str">
            <v>OTST664</v>
          </cell>
        </row>
        <row r="3646">
          <cell r="C3646" t="str">
            <v>Hist of the Ancient Near East</v>
          </cell>
          <cell r="E3646" t="str">
            <v>OTST604</v>
          </cell>
        </row>
        <row r="3647">
          <cell r="C3647" t="str">
            <v>Trauma&amp;Adv Crisis Intervention</v>
          </cell>
          <cell r="E3647" t="str">
            <v>PATH643</v>
          </cell>
        </row>
        <row r="3648">
          <cell r="C3648" t="str">
            <v>Christian Theology I</v>
          </cell>
          <cell r="E3648" t="str">
            <v>THST521</v>
          </cell>
        </row>
        <row r="3649">
          <cell r="C3649" t="str">
            <v>Ind St:</v>
          </cell>
          <cell r="D3649" t="str">
            <v>IndSt:Revltn Insprtn Hermnutic</v>
          </cell>
          <cell r="E3649" t="str">
            <v>THST690</v>
          </cell>
        </row>
        <row r="3650">
          <cell r="C3650" t="str">
            <v>Contextualized Preaching:</v>
          </cell>
          <cell r="D3650" t="str">
            <v>Cont Preach:Youth&amp; Young Adult</v>
          </cell>
          <cell r="E3650" t="str">
            <v>PATH632</v>
          </cell>
        </row>
        <row r="3651">
          <cell r="C3651" t="str">
            <v>PhD (DSLE) Prog Cont</v>
          </cell>
          <cell r="E3651" t="str">
            <v>DSLE880</v>
          </cell>
        </row>
        <row r="3652">
          <cell r="C3652" t="str">
            <v>Major Prophets:</v>
          </cell>
          <cell r="D3652" t="str">
            <v>Major Prophets: Exegesis</v>
          </cell>
          <cell r="E3652" t="str">
            <v>OTST686</v>
          </cell>
        </row>
        <row r="3653">
          <cell r="C3653" t="str">
            <v>Major Prophets:</v>
          </cell>
          <cell r="D3653" t="str">
            <v>Major Prophets: Exegesis</v>
          </cell>
          <cell r="E3653" t="str">
            <v>OTST686</v>
          </cell>
        </row>
        <row r="3654">
          <cell r="C3654" t="str">
            <v>Ministry to Youth&amp;Yng Adlt</v>
          </cell>
          <cell r="E3654" t="str">
            <v>DSLE534</v>
          </cell>
        </row>
        <row r="3655">
          <cell r="C3655" t="str">
            <v>Contextualized Preaching:</v>
          </cell>
          <cell r="D3655" t="str">
            <v>Cont Preach:Youth&amp; Young Adult</v>
          </cell>
          <cell r="E3655" t="str">
            <v>PATH632</v>
          </cell>
        </row>
        <row r="3656">
          <cell r="C3656" t="str">
            <v>Discipling Youth</v>
          </cell>
          <cell r="E3656" t="str">
            <v>DSLE636</v>
          </cell>
        </row>
        <row r="3657">
          <cell r="C3657" t="str">
            <v>Topics in</v>
          </cell>
          <cell r="D3657" t="str">
            <v>Topics in Textual Criticism</v>
          </cell>
          <cell r="E3657" t="str">
            <v>NTST885</v>
          </cell>
        </row>
        <row r="3658">
          <cell r="C3658" t="str">
            <v>Synth in Discipleship Life Ed</v>
          </cell>
          <cell r="D3658" t="str">
            <v>Synthesis in DSLE</v>
          </cell>
          <cell r="E3658" t="str">
            <v>DSLE950</v>
          </cell>
        </row>
        <row r="3659">
          <cell r="C3659" t="str">
            <v>Church History to 1500</v>
          </cell>
          <cell r="E3659" t="str">
            <v>CHIS506</v>
          </cell>
        </row>
        <row r="3660">
          <cell r="C3660" t="str">
            <v>Ministry of Reconciliation</v>
          </cell>
          <cell r="E3660" t="str">
            <v>MSSN644</v>
          </cell>
        </row>
        <row r="3661">
          <cell r="C3661" t="str">
            <v>Mssn-Shaped Church Planting</v>
          </cell>
          <cell r="E3661" t="str">
            <v>PATH606</v>
          </cell>
        </row>
        <row r="3662">
          <cell r="C3662" t="str">
            <v>Colloquium:</v>
          </cell>
          <cell r="D3662" t="str">
            <v>Coll:ElMinchin Creative Y Evan</v>
          </cell>
          <cell r="E3662" t="str">
            <v>GSEM505</v>
          </cell>
        </row>
        <row r="3663">
          <cell r="C3663" t="str">
            <v>Ind St:</v>
          </cell>
          <cell r="D3663" t="str">
            <v>Ind St: Dev. of SDA Theo</v>
          </cell>
          <cell r="E3663" t="str">
            <v>CHIS690</v>
          </cell>
        </row>
        <row r="3664">
          <cell r="C3664" t="str">
            <v>Personal Evangelistic Ministry</v>
          </cell>
          <cell r="E3664" t="str">
            <v>PATH536</v>
          </cell>
        </row>
        <row r="3665">
          <cell r="C3665" t="str">
            <v>Rev, Insp &amp; Hermeneutics</v>
          </cell>
          <cell r="E3665" t="str">
            <v>THST611</v>
          </cell>
        </row>
        <row r="3666">
          <cell r="C3666" t="str">
            <v>Studies in Church History</v>
          </cell>
          <cell r="D3666" t="str">
            <v>Top: Hist of Cntemp Pr &amp; Wrshp</v>
          </cell>
          <cell r="E3666" t="str">
            <v>CHIS685</v>
          </cell>
        </row>
        <row r="3667">
          <cell r="C3667" t="str">
            <v>Pastoral Counseling</v>
          </cell>
          <cell r="E3667" t="str">
            <v>PATH555</v>
          </cell>
        </row>
        <row r="3668">
          <cell r="C3668" t="str">
            <v>Sem Adv OT Exegesis</v>
          </cell>
          <cell r="E3668" t="str">
            <v>OTST940</v>
          </cell>
        </row>
        <row r="3669">
          <cell r="C3669" t="str">
            <v>Historical Books (Hebrew)</v>
          </cell>
          <cell r="E3669" t="str">
            <v>OTST666</v>
          </cell>
        </row>
        <row r="3670">
          <cell r="C3670" t="str">
            <v>Ind Stdy:</v>
          </cell>
          <cell r="D3670" t="str">
            <v>Ind Stdy:Personal Evang Mnstry</v>
          </cell>
          <cell r="E3670" t="str">
            <v>PATH690</v>
          </cell>
        </row>
        <row r="3671">
          <cell r="C3671" t="str">
            <v>Colloquium:</v>
          </cell>
          <cell r="D3671" t="str">
            <v>Coll:  NAD Summit on Abuse</v>
          </cell>
          <cell r="E3671" t="str">
            <v>GSEM505</v>
          </cell>
        </row>
        <row r="3672">
          <cell r="C3672" t="str">
            <v>Colloquium:</v>
          </cell>
          <cell r="D3672" t="str">
            <v>Coll: Church Security</v>
          </cell>
          <cell r="E3672" t="str">
            <v>GSEM505</v>
          </cell>
        </row>
        <row r="3673">
          <cell r="C3673" t="str">
            <v>Sem in Systematic Theology:</v>
          </cell>
          <cell r="D3673" t="str">
            <v>Sem:Creator Creation Interactn</v>
          </cell>
          <cell r="E3673" t="str">
            <v>THST940</v>
          </cell>
        </row>
        <row r="3674">
          <cell r="C3674" t="str">
            <v>Colloquium:</v>
          </cell>
          <cell r="D3674" t="str">
            <v>Colloquium: PELC Conference</v>
          </cell>
          <cell r="E3674" t="str">
            <v>GSEM505</v>
          </cell>
        </row>
        <row r="3675">
          <cell r="C3675" t="str">
            <v>Field Practicum: Academic</v>
          </cell>
          <cell r="E3675" t="str">
            <v>DSLE681</v>
          </cell>
        </row>
        <row r="3676">
          <cell r="C3676" t="str">
            <v>Beginning Greek</v>
          </cell>
          <cell r="E3676" t="str">
            <v>NTST551</v>
          </cell>
        </row>
        <row r="3677">
          <cell r="C3677" t="str">
            <v>Intermediate Greek</v>
          </cell>
          <cell r="E3677" t="str">
            <v>NTST552</v>
          </cell>
        </row>
        <row r="3678">
          <cell r="C3678" t="str">
            <v>IndSty in Adv St:</v>
          </cell>
          <cell r="D3678" t="str">
            <v>IndSt:EGW Sabb Theology</v>
          </cell>
          <cell r="E3678" t="str">
            <v>CHIS892</v>
          </cell>
        </row>
        <row r="3679">
          <cell r="C3679" t="str">
            <v>IndSty in Adv St:</v>
          </cell>
          <cell r="D3679" t="str">
            <v>IndSty:Diss Proposal</v>
          </cell>
          <cell r="E3679" t="str">
            <v>CHIS892</v>
          </cell>
        </row>
        <row r="3680">
          <cell r="C3680" t="str">
            <v>Revelation</v>
          </cell>
          <cell r="E3680" t="str">
            <v>NTST648</v>
          </cell>
        </row>
        <row r="3681">
          <cell r="C3681" t="str">
            <v>Adv Studies Gospels:</v>
          </cell>
          <cell r="D3681" t="str">
            <v>Adv Studies Gospels:Matthew</v>
          </cell>
          <cell r="E3681" t="str">
            <v>NTST655</v>
          </cell>
        </row>
        <row r="3682">
          <cell r="C3682" t="str">
            <v>Grt Controversy, Cov, Law, Sab</v>
          </cell>
          <cell r="E3682" t="str">
            <v>GSEM628</v>
          </cell>
        </row>
        <row r="3683">
          <cell r="C3683" t="str">
            <v>Ind Stdy:</v>
          </cell>
          <cell r="D3683" t="str">
            <v>Ind Stdy:Princ of Hermeneutcs</v>
          </cell>
          <cell r="E3683" t="str">
            <v>PATH690</v>
          </cell>
        </row>
        <row r="3684">
          <cell r="C3684" t="str">
            <v>Ind Stdy:</v>
          </cell>
          <cell r="D3684" t="str">
            <v>Ind Stdy:Survy of the Pentatch</v>
          </cell>
          <cell r="E3684" t="str">
            <v>PATH690</v>
          </cell>
        </row>
        <row r="3685">
          <cell r="C3685" t="str">
            <v>Ind Stdy:</v>
          </cell>
          <cell r="D3685" t="str">
            <v>Ind Stdy:Meth of OT Exegesisd</v>
          </cell>
          <cell r="E3685" t="str">
            <v>PATH690</v>
          </cell>
        </row>
        <row r="3686">
          <cell r="C3686" t="str">
            <v>Ind St:</v>
          </cell>
          <cell r="D3686" t="str">
            <v>Ind St:Rev Insp Herm</v>
          </cell>
          <cell r="E3686" t="str">
            <v>THST690</v>
          </cell>
        </row>
        <row r="3687">
          <cell r="C3687" t="str">
            <v>Ind St:</v>
          </cell>
          <cell r="D3687" t="str">
            <v>Ind St:Srvy of the Pentateuch</v>
          </cell>
          <cell r="E3687" t="str">
            <v>OTST690</v>
          </cell>
        </row>
        <row r="3688">
          <cell r="C3688" t="str">
            <v>Ind St:</v>
          </cell>
          <cell r="D3688" t="str">
            <v>Ind St:Prin of Hermeneutics</v>
          </cell>
          <cell r="E3688" t="str">
            <v>OTST690</v>
          </cell>
        </row>
        <row r="3689">
          <cell r="C3689" t="str">
            <v>Ind St:</v>
          </cell>
          <cell r="D3689" t="str">
            <v>Ind St:Meth of OT Exegesis</v>
          </cell>
          <cell r="E3689" t="str">
            <v>OTST690</v>
          </cell>
        </row>
        <row r="3690">
          <cell r="C3690" t="str">
            <v>Topics in</v>
          </cell>
          <cell r="D3690" t="str">
            <v>Topics in Adv Stud in Matthew</v>
          </cell>
          <cell r="E3690" t="str">
            <v>NTST885</v>
          </cell>
        </row>
        <row r="3691">
          <cell r="C3691" t="str">
            <v>Discipling Young Adults</v>
          </cell>
          <cell r="E3691" t="str">
            <v>DSLE564</v>
          </cell>
        </row>
        <row r="3692">
          <cell r="C3692" t="str">
            <v>Textural Criticism</v>
          </cell>
          <cell r="E3692" t="str">
            <v>OTST820</v>
          </cell>
        </row>
        <row r="3693">
          <cell r="C3693" t="str">
            <v>Ind St:</v>
          </cell>
          <cell r="D3693" t="str">
            <v>Ind St</v>
          </cell>
          <cell r="E3693" t="str">
            <v>CHIS891</v>
          </cell>
        </row>
        <row r="3694">
          <cell r="C3694" t="str">
            <v>Death &amp; Grief Contemp Society</v>
          </cell>
          <cell r="E3694" t="str">
            <v>PATH516</v>
          </cell>
        </row>
        <row r="3695">
          <cell r="C3695" t="str">
            <v>Field Practicum: Academic</v>
          </cell>
          <cell r="D3695" t="str">
            <v>Field Practicum:Fam Life Ed</v>
          </cell>
          <cell r="E3695" t="str">
            <v>DSLE681</v>
          </cell>
        </row>
        <row r="3696">
          <cell r="C3696" t="str">
            <v>Ind St:</v>
          </cell>
          <cell r="D3696" t="str">
            <v>IndSt:Monogenes Acnt Greek Lit</v>
          </cell>
          <cell r="E3696" t="str">
            <v>CHIS891</v>
          </cell>
        </row>
        <row r="3697">
          <cell r="C3697" t="str">
            <v>Intro to the New Testament</v>
          </cell>
          <cell r="E3697" t="str">
            <v>NTST520</v>
          </cell>
        </row>
        <row r="3698">
          <cell r="C3698" t="str">
            <v>Grt Controversy, Cov, Law, Sab</v>
          </cell>
          <cell r="E3698" t="str">
            <v>GSEM628</v>
          </cell>
        </row>
        <row r="3699">
          <cell r="C3699" t="str">
            <v>Field Evang. Preach. &amp; Pract.</v>
          </cell>
          <cell r="E3699" t="str">
            <v>PATH634</v>
          </cell>
        </row>
        <row r="3700">
          <cell r="C3700" t="str">
            <v>Ind St:</v>
          </cell>
          <cell r="D3700" t="str">
            <v>Ind St:NT Theology &amp; Ethics</v>
          </cell>
          <cell r="E3700" t="str">
            <v>NTST690</v>
          </cell>
        </row>
        <row r="3701">
          <cell r="C3701" t="str">
            <v>Ind St:</v>
          </cell>
          <cell r="D3701" t="str">
            <v>Ind St: Dissertation Proposal</v>
          </cell>
          <cell r="E3701" t="str">
            <v>THST897</v>
          </cell>
        </row>
        <row r="3702">
          <cell r="C3702" t="str">
            <v>Church History 1500 to Present</v>
          </cell>
          <cell r="E3702" t="str">
            <v>CHIS507</v>
          </cell>
        </row>
        <row r="3703">
          <cell r="C3703" t="str">
            <v>Issues in Ellen G White Stdies</v>
          </cell>
          <cell r="E3703" t="str">
            <v>CHIS624</v>
          </cell>
        </row>
        <row r="3704">
          <cell r="C3704" t="str">
            <v>Development SDA Theology</v>
          </cell>
          <cell r="E3704" t="str">
            <v>CHIS674</v>
          </cell>
        </row>
        <row r="3705">
          <cell r="C3705" t="str">
            <v>Directed Rdg in Old Testmt</v>
          </cell>
          <cell r="D3705" t="str">
            <v>Dir Rdg in the OT-Thdcy in OT</v>
          </cell>
          <cell r="E3705" t="str">
            <v>OTST890</v>
          </cell>
        </row>
        <row r="3706">
          <cell r="C3706" t="str">
            <v>Ind St:</v>
          </cell>
          <cell r="D3706" t="str">
            <v>Ind St:Grt Contrv, Cov La, Sab</v>
          </cell>
          <cell r="E3706" t="str">
            <v>THST690</v>
          </cell>
        </row>
        <row r="3707">
          <cell r="C3707" t="str">
            <v>Independent Study:</v>
          </cell>
          <cell r="D3707" t="str">
            <v>Ind Stdy:OT Exegesis</v>
          </cell>
          <cell r="E3707" t="str">
            <v>OTST895</v>
          </cell>
        </row>
        <row r="3708">
          <cell r="C3708" t="str">
            <v>Ministry of Reconciliation</v>
          </cell>
          <cell r="E3708" t="str">
            <v>MSSN644</v>
          </cell>
        </row>
        <row r="3709">
          <cell r="C3709" t="str">
            <v>Directed Rdg Christian Ethics</v>
          </cell>
          <cell r="D3709" t="str">
            <v>DrRdgChEth: Epist&amp;Ethics</v>
          </cell>
          <cell r="E3709" t="str">
            <v>THST896</v>
          </cell>
        </row>
        <row r="3710">
          <cell r="C3710" t="str">
            <v>Theology of Synoptic Gospels</v>
          </cell>
          <cell r="E3710" t="str">
            <v>NTST630</v>
          </cell>
        </row>
        <row r="3711">
          <cell r="C3711" t="str">
            <v>Directed Rdg in Hist&amp;Arch St</v>
          </cell>
          <cell r="D3711" t="str">
            <v>Dir Rdgs n the OT Histry &amp; Arc</v>
          </cell>
          <cell r="E3711" t="str">
            <v>ANEA890</v>
          </cell>
        </row>
        <row r="3712">
          <cell r="C3712" t="str">
            <v>Contextualized Preaching:</v>
          </cell>
          <cell r="D3712" t="str">
            <v>Cntxtlzd Prchng: Multi Eth Rac</v>
          </cell>
          <cell r="E3712" t="str">
            <v>PATH632</v>
          </cell>
        </row>
        <row r="3713">
          <cell r="C3713" t="str">
            <v>Topics in</v>
          </cell>
          <cell r="D3713" t="str">
            <v>Topics in Revelation</v>
          </cell>
          <cell r="E3713" t="str">
            <v>NTST885</v>
          </cell>
        </row>
        <row r="3714">
          <cell r="C3714" t="str">
            <v>Directed Rdg in Hist&amp;Arch St</v>
          </cell>
          <cell r="D3714" t="str">
            <v>Dir Rdgs in the OT- History &amp;</v>
          </cell>
          <cell r="E3714" t="str">
            <v>ANEA890</v>
          </cell>
        </row>
        <row r="3715">
          <cell r="C3715" t="str">
            <v>IndSty in Adv St:</v>
          </cell>
          <cell r="D3715" t="str">
            <v>Ind St: Begotteness in Adv</v>
          </cell>
          <cell r="E3715" t="str">
            <v>CHIS892</v>
          </cell>
        </row>
        <row r="3716">
          <cell r="C3716" t="str">
            <v>Directed Rdg Christian Ethics</v>
          </cell>
          <cell r="D3716" t="str">
            <v>DrRdgChEth:Theo, Phil, Ethics</v>
          </cell>
          <cell r="E3716" t="str">
            <v>THST896</v>
          </cell>
        </row>
        <row r="3717">
          <cell r="C3717" t="str">
            <v>Ind Stdy:</v>
          </cell>
          <cell r="D3717" t="str">
            <v>Ind St: Prch Biblical Prophecy</v>
          </cell>
          <cell r="E3717" t="str">
            <v>PATH690</v>
          </cell>
        </row>
        <row r="3718">
          <cell r="C3718" t="str">
            <v>Directed Rdg in Old Testmt</v>
          </cell>
          <cell r="D3718" t="str">
            <v>Dir Rdgs:Txtl Trdtns f Gn 3</v>
          </cell>
          <cell r="E3718" t="str">
            <v>OTST890</v>
          </cell>
        </row>
        <row r="3719">
          <cell r="C3719" t="str">
            <v>Ind Stdy:</v>
          </cell>
          <cell r="D3719" t="str">
            <v>Ind Stdy: Death &amp; Grief</v>
          </cell>
          <cell r="E3719" t="str">
            <v>PATH690</v>
          </cell>
        </row>
        <row r="3720">
          <cell r="C3720" t="str">
            <v>Biblical Preaching</v>
          </cell>
          <cell r="E3720" t="str">
            <v>PATH505</v>
          </cell>
        </row>
        <row r="3721">
          <cell r="C3721" t="str">
            <v>Doctrine of God</v>
          </cell>
          <cell r="E3721" t="str">
            <v>THST616</v>
          </cell>
        </row>
        <row r="3722">
          <cell r="C3722" t="str">
            <v>Ind St:</v>
          </cell>
          <cell r="D3722" t="str">
            <v>Ind St:Cross Cult Lead Dev</v>
          </cell>
          <cell r="E3722" t="str">
            <v>MSSN690</v>
          </cell>
        </row>
        <row r="3723">
          <cell r="C3723" t="str">
            <v>Discipling At-Risk Youth</v>
          </cell>
          <cell r="E3723" t="str">
            <v>DSLE626</v>
          </cell>
        </row>
        <row r="3724">
          <cell r="C3724" t="str">
            <v>Colloquium:</v>
          </cell>
          <cell r="D3724" t="str">
            <v>Coll: Effective Soc. Media Min</v>
          </cell>
          <cell r="E3724" t="str">
            <v>GSEM505</v>
          </cell>
        </row>
        <row r="3725">
          <cell r="C3725" t="str">
            <v>Colloquium:</v>
          </cell>
          <cell r="D3725" t="str">
            <v>Coll: Mentoring for Church Rev</v>
          </cell>
          <cell r="E3725" t="str">
            <v>GSEM505</v>
          </cell>
        </row>
        <row r="3726">
          <cell r="C3726" t="str">
            <v>Ind St:</v>
          </cell>
          <cell r="D3726" t="str">
            <v>Ind St:Advncd Stds n the Gspls</v>
          </cell>
          <cell r="E3726" t="str">
            <v>NTST690</v>
          </cell>
        </row>
        <row r="3727">
          <cell r="C3727" t="str">
            <v>Adv Studies Gospels:</v>
          </cell>
          <cell r="D3727" t="str">
            <v>Adv Studies Gospels: Matthew</v>
          </cell>
          <cell r="E3727" t="str">
            <v>NTST655</v>
          </cell>
        </row>
        <row r="3728">
          <cell r="C3728" t="str">
            <v>Topics:</v>
          </cell>
          <cell r="D3728" t="str">
            <v>Intcultral Min &amp; Mission</v>
          </cell>
          <cell r="E3728" t="str">
            <v>MSSN695</v>
          </cell>
        </row>
        <row r="3729">
          <cell r="C3729" t="str">
            <v>Directed Rdg in Old Testmt</v>
          </cell>
          <cell r="D3729" t="str">
            <v>Dir Rdgs in OT Archlgy &amp; Thlgy</v>
          </cell>
          <cell r="E3729" t="str">
            <v>OTST890</v>
          </cell>
        </row>
        <row r="3730">
          <cell r="C3730" t="str">
            <v>Adv Greek Grammar &amp; Syntax</v>
          </cell>
          <cell r="E3730" t="str">
            <v>NTST808</v>
          </cell>
        </row>
        <row r="3731">
          <cell r="C3731" t="str">
            <v>Ind. Study:</v>
          </cell>
          <cell r="D3731" t="str">
            <v>IndSt:</v>
          </cell>
          <cell r="E3731" t="str">
            <v>NTST897</v>
          </cell>
        </row>
        <row r="3732">
          <cell r="C3732" t="str">
            <v>Topics in</v>
          </cell>
          <cell r="D3732" t="str">
            <v>Top: Gr Con, Cov, Law&amp; Sabbath</v>
          </cell>
          <cell r="E3732" t="str">
            <v>NTST885</v>
          </cell>
        </row>
        <row r="3733">
          <cell r="C3733" t="str">
            <v>Sem in Theological Issues:</v>
          </cell>
          <cell r="D3733" t="str">
            <v>Sem:Creator Creation Interactn</v>
          </cell>
          <cell r="E3733" t="str">
            <v>THST649</v>
          </cell>
        </row>
        <row r="3734">
          <cell r="C3734" t="str">
            <v>Issues in Origins</v>
          </cell>
          <cell r="E3734" t="str">
            <v>THST635</v>
          </cell>
        </row>
        <row r="3735">
          <cell r="C3735" t="str">
            <v>Colloquium:</v>
          </cell>
          <cell r="D3735" t="str">
            <v>Coll:Securing Your Calling</v>
          </cell>
          <cell r="E3735" t="str">
            <v>GSEM505</v>
          </cell>
        </row>
        <row r="3736">
          <cell r="C3736" t="str">
            <v>History of the SDA Church</v>
          </cell>
          <cell r="E3736" t="str">
            <v>CHIS570</v>
          </cell>
        </row>
        <row r="3737">
          <cell r="C3737" t="str">
            <v>Life &amp; Writings of E. G. White</v>
          </cell>
          <cell r="E3737" t="str">
            <v>CHIS571</v>
          </cell>
        </row>
        <row r="3738">
          <cell r="C3738" t="str">
            <v>Protestant Theologicl Heritage</v>
          </cell>
          <cell r="E3738" t="str">
            <v>THST624</v>
          </cell>
        </row>
        <row r="3739">
          <cell r="C3739" t="str">
            <v>The Holy Spirit in the NT</v>
          </cell>
          <cell r="E3739" t="str">
            <v>NTST628</v>
          </cell>
        </row>
        <row r="3740">
          <cell r="C3740" t="str">
            <v>Topics:</v>
          </cell>
          <cell r="D3740" t="str">
            <v>Intcultral Min &amp; Mission</v>
          </cell>
          <cell r="E3740" t="str">
            <v>MSSN695</v>
          </cell>
        </row>
        <row r="3741">
          <cell r="C3741" t="str">
            <v>DMin Prof Dissertation</v>
          </cell>
          <cell r="E3741" t="str">
            <v>GSEM796</v>
          </cell>
        </row>
        <row r="3742">
          <cell r="C3742" t="str">
            <v>Development SDA Theology</v>
          </cell>
          <cell r="E3742" t="str">
            <v>CHIS674</v>
          </cell>
        </row>
        <row r="3743">
          <cell r="C3743" t="str">
            <v>Studies in Church History</v>
          </cell>
          <cell r="D3743" t="str">
            <v>Top: EGW &amp; Adv Research</v>
          </cell>
          <cell r="E3743" t="str">
            <v>CHIS685</v>
          </cell>
        </row>
        <row r="3744">
          <cell r="C3744" t="str">
            <v>Social Policy</v>
          </cell>
          <cell r="E3744" t="str">
            <v>DSLE657</v>
          </cell>
        </row>
        <row r="3745">
          <cell r="C3745" t="str">
            <v>Psalms/Wisdom Lit (Hebrew)</v>
          </cell>
          <cell r="E3745" t="str">
            <v>OTST668</v>
          </cell>
        </row>
        <row r="3746">
          <cell r="C3746" t="str">
            <v>Theology of the Old Testament</v>
          </cell>
          <cell r="E3746" t="str">
            <v>OTST619</v>
          </cell>
        </row>
        <row r="3747">
          <cell r="C3747" t="str">
            <v>Colloquium:</v>
          </cell>
          <cell r="D3747" t="str">
            <v>Coll: Master Guide Toolbox</v>
          </cell>
          <cell r="E3747" t="str">
            <v>GSEM505</v>
          </cell>
        </row>
        <row r="3748">
          <cell r="C3748" t="str">
            <v>Colloquium:</v>
          </cell>
          <cell r="D3748" t="str">
            <v>Coll: Ellen White Issues Sympm</v>
          </cell>
          <cell r="E3748" t="str">
            <v>GSEM505</v>
          </cell>
        </row>
        <row r="3749">
          <cell r="C3749" t="str">
            <v>Contextualized Preaching:</v>
          </cell>
          <cell r="D3749" t="str">
            <v>Cntxtlzd Prchng: Multi Eth Rac</v>
          </cell>
          <cell r="E3749" t="str">
            <v>PATH632</v>
          </cell>
        </row>
        <row r="3750">
          <cell r="C3750" t="str">
            <v>Christian Theology II</v>
          </cell>
          <cell r="E3750" t="str">
            <v>THST522</v>
          </cell>
        </row>
        <row r="3751">
          <cell r="C3751" t="str">
            <v>Studies in Church History</v>
          </cell>
          <cell r="D3751" t="str">
            <v>Top: Hist of Cntemp Pr &amp; Wrshp</v>
          </cell>
          <cell r="E3751" t="str">
            <v>CHIS685</v>
          </cell>
        </row>
        <row r="3752">
          <cell r="C3752" t="str">
            <v>DMin Prof Dissertation</v>
          </cell>
          <cell r="E3752" t="str">
            <v>GSEM796</v>
          </cell>
        </row>
        <row r="3753">
          <cell r="C3753" t="str">
            <v>Ind St:</v>
          </cell>
          <cell r="D3753" t="str">
            <v>Ind St:DMin Dssn</v>
          </cell>
          <cell r="E3753" t="str">
            <v>GSEM797</v>
          </cell>
        </row>
        <row r="3754">
          <cell r="C3754" t="str">
            <v>Prep for Cross-Cultrl Workers</v>
          </cell>
          <cell r="E3754" t="str">
            <v>MSSN584</v>
          </cell>
        </row>
        <row r="3755">
          <cell r="C3755" t="str">
            <v>Workshop</v>
          </cell>
          <cell r="D3755" t="str">
            <v>Workshop:Prep Mssn Srvc</v>
          </cell>
          <cell r="E3755" t="str">
            <v>GSEM648</v>
          </cell>
        </row>
        <row r="3756">
          <cell r="C3756" t="str">
            <v>Workshop</v>
          </cell>
          <cell r="D3756" t="str">
            <v>Workshop: Prep Mssn Srvc</v>
          </cell>
          <cell r="E3756" t="str">
            <v>GSEM648</v>
          </cell>
        </row>
        <row r="3757">
          <cell r="C3757" t="str">
            <v>Prep for Cross-Cultrl Workers</v>
          </cell>
          <cell r="E3757" t="str">
            <v>MSSN584</v>
          </cell>
        </row>
        <row r="3758">
          <cell r="C3758" t="str">
            <v>Directed Rdgs Mission Studies</v>
          </cell>
          <cell r="D3758" t="str">
            <v>Directed Rdgs</v>
          </cell>
          <cell r="E3758" t="str">
            <v>MSSN890</v>
          </cell>
        </row>
        <row r="3759">
          <cell r="C3759" t="str">
            <v>Ind St:</v>
          </cell>
          <cell r="E3759" t="str">
            <v>CHIS892</v>
          </cell>
        </row>
        <row r="3760">
          <cell r="C3760" t="str">
            <v>Ind St:</v>
          </cell>
          <cell r="D3760" t="str">
            <v>IndSt:</v>
          </cell>
          <cell r="E3760" t="str">
            <v>CHIS892</v>
          </cell>
        </row>
        <row r="3761">
          <cell r="C3761" t="str">
            <v>Hist of SDA Theology</v>
          </cell>
          <cell r="E3761" t="str">
            <v>CHIS574</v>
          </cell>
        </row>
        <row r="3762">
          <cell r="C3762" t="str">
            <v>Directed Rdg in Church History</v>
          </cell>
          <cell r="D3762" t="str">
            <v>DirRdg:</v>
          </cell>
          <cell r="E3762" t="str">
            <v>CHIS890</v>
          </cell>
        </row>
        <row r="3763">
          <cell r="C3763" t="str">
            <v>Directed Rdg in Church History</v>
          </cell>
          <cell r="D3763" t="str">
            <v>DirRdg:</v>
          </cell>
          <cell r="E3763" t="str">
            <v>CHIS890</v>
          </cell>
        </row>
        <row r="3764">
          <cell r="C3764" t="str">
            <v>Ind St:</v>
          </cell>
          <cell r="D3764" t="str">
            <v>IndSt:</v>
          </cell>
          <cell r="E3764" t="str">
            <v>CHIS891</v>
          </cell>
        </row>
        <row r="3765">
          <cell r="C3765" t="str">
            <v>Ind St:</v>
          </cell>
          <cell r="E3765" t="str">
            <v>CHIS891</v>
          </cell>
        </row>
        <row r="3766">
          <cell r="C3766" t="str">
            <v>Ind St:</v>
          </cell>
          <cell r="E3766" t="str">
            <v>CHIS892</v>
          </cell>
        </row>
        <row r="3767">
          <cell r="C3767" t="str">
            <v>Directed Rdg Adventist Studies</v>
          </cell>
          <cell r="D3767" t="str">
            <v>DirRdg:</v>
          </cell>
          <cell r="E3767" t="str">
            <v>CHIS895</v>
          </cell>
        </row>
        <row r="3768">
          <cell r="C3768" t="str">
            <v>Sem Adv OT Exegesis</v>
          </cell>
          <cell r="D3768" t="str">
            <v>Psalms/Wisdom Literature</v>
          </cell>
          <cell r="E3768" t="str">
            <v>OTST940</v>
          </cell>
        </row>
        <row r="3769">
          <cell r="C3769" t="str">
            <v>Ind St:</v>
          </cell>
          <cell r="D3769" t="str">
            <v>IndSt:Apoclypt Wrtngs Early Ch</v>
          </cell>
          <cell r="E3769" t="str">
            <v>CHIS891</v>
          </cell>
        </row>
        <row r="3770">
          <cell r="C3770" t="str">
            <v>Topics:</v>
          </cell>
          <cell r="D3770" t="str">
            <v>Top: ICISF Certif for Crisis</v>
          </cell>
          <cell r="E3770" t="str">
            <v>MSSN695</v>
          </cell>
        </row>
        <row r="3771">
          <cell r="C3771" t="str">
            <v>Sem Adv OT Exegesis</v>
          </cell>
          <cell r="E3771" t="str">
            <v>OTST940</v>
          </cell>
        </row>
        <row r="3772">
          <cell r="C3772" t="str">
            <v>Topics in Church History:</v>
          </cell>
          <cell r="D3772" t="str">
            <v>TopicsCHIS: Protest Theo Herit</v>
          </cell>
          <cell r="E3772" t="str">
            <v>CHIS880</v>
          </cell>
        </row>
        <row r="3773">
          <cell r="C3773" t="str">
            <v>Ind St:</v>
          </cell>
          <cell r="D3773" t="str">
            <v>Ind St: Greco Roman World</v>
          </cell>
          <cell r="E3773" t="str">
            <v>NTST690</v>
          </cell>
        </row>
        <row r="3774">
          <cell r="C3774" t="str">
            <v>Ind St:</v>
          </cell>
          <cell r="D3774" t="str">
            <v>Ind St Laodicean Msg &amp; 1888</v>
          </cell>
          <cell r="E3774" t="str">
            <v>CHIS892</v>
          </cell>
        </row>
        <row r="3775">
          <cell r="C3775" t="str">
            <v>Directed Rdg in New Testament</v>
          </cell>
          <cell r="D3775" t="str">
            <v>DirRdg NT</v>
          </cell>
          <cell r="E3775" t="str">
            <v>NTST890</v>
          </cell>
        </row>
        <row r="3776">
          <cell r="C3776" t="str">
            <v>Dir St:</v>
          </cell>
          <cell r="E3776" t="str">
            <v>OTST695</v>
          </cell>
        </row>
        <row r="3777">
          <cell r="C3777" t="str">
            <v>Top:</v>
          </cell>
          <cell r="D3777" t="str">
            <v>Top:Protest Theologic Heritage</v>
          </cell>
          <cell r="E3777" t="str">
            <v>THST885</v>
          </cell>
        </row>
        <row r="3778">
          <cell r="C3778" t="str">
            <v>Historical Geog Anc Near East</v>
          </cell>
          <cell r="E3778" t="str">
            <v>ANEA805</v>
          </cell>
        </row>
        <row r="3779">
          <cell r="C3779" t="str">
            <v>Topics in:</v>
          </cell>
          <cell r="D3779" t="str">
            <v>Top: Hist of ANE: Mesopotamia</v>
          </cell>
          <cell r="E3779" t="str">
            <v>OTST885</v>
          </cell>
        </row>
        <row r="3780">
          <cell r="C3780" t="str">
            <v>Directed Rdg in Old Testmt</v>
          </cell>
          <cell r="D3780" t="str">
            <v>DirRdg in OT</v>
          </cell>
          <cell r="E3780" t="str">
            <v>OTST890</v>
          </cell>
        </row>
        <row r="3781">
          <cell r="C3781" t="str">
            <v>Directed Rdg in Old Testmt</v>
          </cell>
          <cell r="D3781" t="str">
            <v>DirRdg in OT</v>
          </cell>
          <cell r="E3781" t="str">
            <v>OTST890</v>
          </cell>
        </row>
        <row r="3782">
          <cell r="C3782" t="str">
            <v>Church History 1500 to Present</v>
          </cell>
          <cell r="E3782" t="str">
            <v>CHIS507</v>
          </cell>
        </row>
        <row r="3783">
          <cell r="C3783" t="str">
            <v>Ind St:</v>
          </cell>
          <cell r="D3783" t="str">
            <v>Ind St:Sprtl Nurtr f Chldrn</v>
          </cell>
          <cell r="E3783" t="str">
            <v>DSLE690</v>
          </cell>
        </row>
        <row r="3784">
          <cell r="C3784" t="str">
            <v>Topics in Church History:</v>
          </cell>
          <cell r="D3784" t="str">
            <v>Topics CHIS: Martin Luther</v>
          </cell>
          <cell r="E3784" t="str">
            <v>CHIS880</v>
          </cell>
        </row>
        <row r="3785">
          <cell r="C3785" t="str">
            <v>Topics in Church History:</v>
          </cell>
          <cell r="D3785" t="str">
            <v>Top in CHIS: Reform Theology</v>
          </cell>
          <cell r="E3785" t="str">
            <v>CHIS880</v>
          </cell>
        </row>
        <row r="3786">
          <cell r="C3786" t="str">
            <v>Directed Rdg in Church History</v>
          </cell>
          <cell r="E3786" t="str">
            <v>CHIS890</v>
          </cell>
        </row>
        <row r="3787">
          <cell r="C3787" t="str">
            <v>Development SDA Theology</v>
          </cell>
          <cell r="E3787" t="str">
            <v>CHIS674</v>
          </cell>
        </row>
        <row r="3788">
          <cell r="C3788" t="str">
            <v>Development SDA Theology</v>
          </cell>
          <cell r="E3788" t="str">
            <v>CHIS674</v>
          </cell>
        </row>
        <row r="3789">
          <cell r="C3789" t="str">
            <v>Ind St:</v>
          </cell>
          <cell r="D3789" t="str">
            <v>Ind St:Reform Philosoph &amp; Theo</v>
          </cell>
          <cell r="E3789" t="str">
            <v>THST897</v>
          </cell>
        </row>
        <row r="3790">
          <cell r="C3790" t="str">
            <v>Ind St:</v>
          </cell>
          <cell r="D3790" t="str">
            <v>Ind St: Holy Spirit in the NT</v>
          </cell>
          <cell r="E3790" t="str">
            <v>NTST690</v>
          </cell>
        </row>
        <row r="3791">
          <cell r="C3791" t="str">
            <v>Reformation:</v>
          </cell>
          <cell r="D3791" t="str">
            <v>Reformation:Reform Theology</v>
          </cell>
          <cell r="E3791" t="str">
            <v>CHIS640</v>
          </cell>
        </row>
        <row r="3792">
          <cell r="C3792" t="str">
            <v>Pentateuch (Hebrew)</v>
          </cell>
          <cell r="D3792" t="str">
            <v>Pentateuch</v>
          </cell>
          <cell r="E3792" t="str">
            <v>OTST664</v>
          </cell>
        </row>
        <row r="3793">
          <cell r="C3793" t="str">
            <v>Sem in Old Testament Theology</v>
          </cell>
          <cell r="E3793" t="str">
            <v>OTST620</v>
          </cell>
        </row>
        <row r="3794">
          <cell r="C3794" t="str">
            <v>Archaeology and the Bible</v>
          </cell>
          <cell r="E3794" t="str">
            <v>OTST510</v>
          </cell>
        </row>
        <row r="3795">
          <cell r="C3795" t="str">
            <v>Studies in Church History</v>
          </cell>
          <cell r="E3795" t="str">
            <v>CHIS685</v>
          </cell>
        </row>
        <row r="3796">
          <cell r="C3796" t="str">
            <v>Ind St:</v>
          </cell>
          <cell r="D3796" t="str">
            <v>Ind St: Dev. of SDA Theology</v>
          </cell>
          <cell r="E3796" t="str">
            <v>CHIS690</v>
          </cell>
        </row>
        <row r="3797">
          <cell r="C3797" t="str">
            <v>Ind St:</v>
          </cell>
          <cell r="D3797" t="str">
            <v>Ind St: Dev. of SDA Theology</v>
          </cell>
          <cell r="E3797" t="str">
            <v>CHIS690</v>
          </cell>
        </row>
        <row r="3798">
          <cell r="C3798" t="str">
            <v>Grt Controversy, Cov, Law, Sab</v>
          </cell>
          <cell r="E3798" t="str">
            <v>GSEM628</v>
          </cell>
        </row>
        <row r="3799">
          <cell r="C3799" t="str">
            <v>Intergenerational Ministry</v>
          </cell>
          <cell r="D3799" t="str">
            <v>IndepStud:Intergenerationl Min</v>
          </cell>
          <cell r="E3799" t="str">
            <v>DSLE607</v>
          </cell>
        </row>
        <row r="3800">
          <cell r="C3800" t="str">
            <v>Counseling Youth &amp; Young Adult</v>
          </cell>
          <cell r="D3800" t="str">
            <v>Ind St:Counseling Youth &amp; Y Ad</v>
          </cell>
          <cell r="E3800" t="str">
            <v>DSLE656</v>
          </cell>
        </row>
        <row r="3801">
          <cell r="C3801" t="str">
            <v>Topics:</v>
          </cell>
          <cell r="D3801" t="str">
            <v>Top:Buddhism Culture &amp; Society</v>
          </cell>
          <cell r="E3801" t="str">
            <v>MSSN695</v>
          </cell>
        </row>
        <row r="3802">
          <cell r="C3802" t="str">
            <v>New Testament Ethics</v>
          </cell>
          <cell r="E3802" t="str">
            <v>NTST668</v>
          </cell>
        </row>
        <row r="3803">
          <cell r="C3803" t="str">
            <v>Grt Controversy, Cov, Law, Sab</v>
          </cell>
          <cell r="E3803" t="str">
            <v>GSEM628</v>
          </cell>
        </row>
        <row r="3804">
          <cell r="C3804" t="str">
            <v>Ind St:</v>
          </cell>
          <cell r="D3804" t="str">
            <v>Ind St:Devlmnt of SDA Theology</v>
          </cell>
          <cell r="E3804" t="str">
            <v>CHIS690</v>
          </cell>
        </row>
        <row r="3805">
          <cell r="C3805" t="str">
            <v>Ind St:</v>
          </cell>
          <cell r="D3805" t="str">
            <v>Ind St: Historical Books</v>
          </cell>
          <cell r="E3805" t="str">
            <v>OTST690</v>
          </cell>
        </row>
        <row r="3806">
          <cell r="C3806" t="str">
            <v>Christn Respns to Human Needs</v>
          </cell>
          <cell r="E3806" t="str">
            <v>MSSN505</v>
          </cell>
        </row>
        <row r="3807">
          <cell r="C3807" t="str">
            <v>Development SDA Theology</v>
          </cell>
          <cell r="E3807" t="str">
            <v>CHIS674</v>
          </cell>
        </row>
        <row r="3808">
          <cell r="C3808" t="str">
            <v>Development SDA Theology</v>
          </cell>
          <cell r="E3808" t="str">
            <v>CHIS674</v>
          </cell>
        </row>
        <row r="3809">
          <cell r="C3809" t="str">
            <v>Church History Study Tour</v>
          </cell>
          <cell r="E3809" t="str">
            <v>GSEM678</v>
          </cell>
        </row>
        <row r="3810">
          <cell r="C3810" t="str">
            <v>Reformation:</v>
          </cell>
          <cell r="D3810" t="str">
            <v>Reformation:Reform Theology</v>
          </cell>
          <cell r="E3810" t="str">
            <v>CHIS640</v>
          </cell>
        </row>
        <row r="3811">
          <cell r="C3811" t="str">
            <v>Reformation:</v>
          </cell>
          <cell r="D3811" t="str">
            <v>Reform-Martin Luther</v>
          </cell>
          <cell r="E3811" t="str">
            <v>CHIS640</v>
          </cell>
        </row>
        <row r="3812">
          <cell r="C3812" t="str">
            <v>Directed Rdg in Church History</v>
          </cell>
          <cell r="D3812" t="str">
            <v>Dir Rdg:</v>
          </cell>
          <cell r="E3812" t="str">
            <v>CHIS890</v>
          </cell>
        </row>
        <row r="3813">
          <cell r="C3813" t="str">
            <v>Directed Rdg in Church History</v>
          </cell>
          <cell r="D3813" t="str">
            <v>Dir Rdg:</v>
          </cell>
          <cell r="E3813" t="str">
            <v>CHIS890</v>
          </cell>
        </row>
        <row r="3814">
          <cell r="C3814" t="str">
            <v>Directed Rdg in Church History</v>
          </cell>
          <cell r="D3814" t="str">
            <v>Dir Rdg:</v>
          </cell>
          <cell r="E3814" t="str">
            <v>CHIS890</v>
          </cell>
        </row>
        <row r="3815">
          <cell r="C3815" t="str">
            <v>Directed Rdg in Church History</v>
          </cell>
          <cell r="D3815" t="str">
            <v>Dir Rdg:</v>
          </cell>
          <cell r="E3815" t="str">
            <v>CHIS890</v>
          </cell>
        </row>
        <row r="3816">
          <cell r="C3816" t="str">
            <v>Directed Rdg Adventist Studies</v>
          </cell>
          <cell r="D3816" t="str">
            <v>Dir Rdg:</v>
          </cell>
          <cell r="E3816" t="str">
            <v>CHIS895</v>
          </cell>
        </row>
        <row r="3817">
          <cell r="C3817" t="str">
            <v>Ind St:</v>
          </cell>
          <cell r="E3817" t="str">
            <v>CHIS891</v>
          </cell>
        </row>
        <row r="3818">
          <cell r="C3818" t="str">
            <v>Ind St:</v>
          </cell>
          <cell r="E3818" t="str">
            <v>CHIS892</v>
          </cell>
        </row>
        <row r="3819">
          <cell r="C3819" t="str">
            <v>Church History to 1500</v>
          </cell>
          <cell r="E3819" t="str">
            <v>CHIS506</v>
          </cell>
        </row>
        <row r="3820">
          <cell r="C3820" t="str">
            <v>Seminar in Preaching</v>
          </cell>
          <cell r="E3820" t="str">
            <v>PATH637</v>
          </cell>
        </row>
        <row r="3821">
          <cell r="C3821" t="str">
            <v>Ind St:</v>
          </cell>
          <cell r="D3821" t="str">
            <v>IndSt:</v>
          </cell>
          <cell r="E3821" t="str">
            <v>MSSN690</v>
          </cell>
        </row>
        <row r="3822">
          <cell r="C3822" t="str">
            <v>Hist of the Ancient Near East</v>
          </cell>
          <cell r="D3822" t="str">
            <v>Hist of the ANE Mesopotamia</v>
          </cell>
          <cell r="E3822" t="str">
            <v>ANEA604</v>
          </cell>
        </row>
        <row r="3823">
          <cell r="C3823" t="str">
            <v>Adv Studies Pauline Wrtg:</v>
          </cell>
          <cell r="D3823" t="str">
            <v>Adv St Pauline Wrtg: Romans</v>
          </cell>
          <cell r="E3823" t="str">
            <v>NTST658</v>
          </cell>
        </row>
        <row r="3824">
          <cell r="C3824" t="str">
            <v>Reformation:</v>
          </cell>
          <cell r="D3824" t="str">
            <v>Reform-Martin Luther</v>
          </cell>
          <cell r="E3824" t="str">
            <v>CHIS640</v>
          </cell>
        </row>
        <row r="3825">
          <cell r="C3825" t="str">
            <v>Psalms/Wisdom Lit (Hebrew)</v>
          </cell>
          <cell r="D3825" t="str">
            <v>Psalms/Wisdom Lit</v>
          </cell>
          <cell r="E3825" t="str">
            <v>OTST668</v>
          </cell>
        </row>
        <row r="3826">
          <cell r="C3826" t="str">
            <v>Top:</v>
          </cell>
          <cell r="D3826" t="str">
            <v>Topics: Modern Philosophy</v>
          </cell>
          <cell r="E3826" t="str">
            <v>THST695</v>
          </cell>
        </row>
        <row r="3827">
          <cell r="C3827" t="str">
            <v>Grt Controversy, Cov, Law, Sab</v>
          </cell>
          <cell r="E3827" t="str">
            <v>GSEM628</v>
          </cell>
        </row>
        <row r="3828">
          <cell r="C3828" t="str">
            <v>Directed Rdgs Mission Studies</v>
          </cell>
          <cell r="D3828" t="str">
            <v>Directed Rdgs</v>
          </cell>
          <cell r="E3828" t="str">
            <v>MSSN890</v>
          </cell>
        </row>
        <row r="3829">
          <cell r="C3829" t="str">
            <v>Theology of Synoptic Gospels</v>
          </cell>
          <cell r="E3829" t="str">
            <v>NTST630</v>
          </cell>
        </row>
        <row r="3830">
          <cell r="C3830" t="str">
            <v>Archaeology and the Bible</v>
          </cell>
          <cell r="E3830" t="str">
            <v>ANEA510</v>
          </cell>
        </row>
        <row r="3831">
          <cell r="C3831" t="str">
            <v>Ind Stdy:</v>
          </cell>
          <cell r="D3831" t="str">
            <v>Ind St:</v>
          </cell>
          <cell r="E3831" t="str">
            <v>PATH690</v>
          </cell>
        </row>
        <row r="3832">
          <cell r="C3832" t="str">
            <v>Top:</v>
          </cell>
          <cell r="E3832" t="str">
            <v>THST885</v>
          </cell>
        </row>
        <row r="3833">
          <cell r="C3833" t="str">
            <v>Theologicl Found Christian Tch</v>
          </cell>
          <cell r="E3833" t="str">
            <v>DSLE850</v>
          </cell>
        </row>
        <row r="3834">
          <cell r="C3834" t="str">
            <v>Ind St:</v>
          </cell>
          <cell r="D3834" t="str">
            <v>Ind St: Urban Context MSSN</v>
          </cell>
          <cell r="E3834" t="str">
            <v>MSSN897</v>
          </cell>
        </row>
        <row r="3835">
          <cell r="C3835" t="str">
            <v>Ind St:</v>
          </cell>
          <cell r="D3835" t="str">
            <v>Ind St: Dev. of SDA Theology</v>
          </cell>
          <cell r="E3835" t="str">
            <v>CHIS690</v>
          </cell>
        </row>
        <row r="3836">
          <cell r="C3836" t="str">
            <v>Ind St:</v>
          </cell>
          <cell r="D3836" t="str">
            <v>Ind St: Early Church to AD 604</v>
          </cell>
          <cell r="E3836" t="str">
            <v>CHIS690</v>
          </cell>
        </row>
        <row r="3837">
          <cell r="C3837" t="str">
            <v>Studies in OT Exegesis</v>
          </cell>
          <cell r="E3837" t="str">
            <v>OTST639</v>
          </cell>
        </row>
        <row r="3838">
          <cell r="C3838" t="str">
            <v>The Early Church to AD 604</v>
          </cell>
          <cell r="E3838" t="str">
            <v>CHIS600</v>
          </cell>
        </row>
        <row r="3839">
          <cell r="C3839" t="str">
            <v>Seminar in Preaching</v>
          </cell>
          <cell r="E3839" t="str">
            <v>PATH637</v>
          </cell>
        </row>
        <row r="3840">
          <cell r="C3840" t="str">
            <v>Bilingual Ministry</v>
          </cell>
          <cell r="E3840" t="str">
            <v>PATH538</v>
          </cell>
        </row>
        <row r="3841">
          <cell r="C3841" t="str">
            <v>Marriage, Fam&amp;Interprsnl Reltn</v>
          </cell>
          <cell r="E3841" t="str">
            <v>DSLE503</v>
          </cell>
        </row>
        <row r="3842">
          <cell r="C3842" t="str">
            <v>Studies in Hebrews</v>
          </cell>
          <cell r="E3842" t="str">
            <v>NTST538</v>
          </cell>
        </row>
        <row r="3843">
          <cell r="C3843" t="str">
            <v>Public Evangelism (Hispanic)</v>
          </cell>
          <cell r="E3843" t="str">
            <v>PATH514</v>
          </cell>
        </row>
        <row r="3844">
          <cell r="C3844" t="str">
            <v>Marriage, Fam&amp;Interprsnl Reltn</v>
          </cell>
          <cell r="E3844" t="str">
            <v>DSLE503</v>
          </cell>
        </row>
        <row r="3845">
          <cell r="C3845" t="str">
            <v>Sem Hst Select Christn Doct</v>
          </cell>
          <cell r="E3845" t="str">
            <v>CHIS659</v>
          </cell>
        </row>
        <row r="3846">
          <cell r="C3846" t="str">
            <v>Christn Respns to Human Needs</v>
          </cell>
          <cell r="E3846" t="str">
            <v>MSSN505</v>
          </cell>
        </row>
        <row r="3847">
          <cell r="C3847" t="str">
            <v>Readings in Revelation</v>
          </cell>
          <cell r="E3847" t="str">
            <v>NTST539</v>
          </cell>
        </row>
        <row r="3848">
          <cell r="C3848" t="str">
            <v>Studies in Church History</v>
          </cell>
          <cell r="D3848" t="str">
            <v>Sem Hist of Inter of Gen</v>
          </cell>
          <cell r="E3848" t="str">
            <v>CHIS685</v>
          </cell>
        </row>
        <row r="3849">
          <cell r="C3849" t="str">
            <v>Studies in Church History</v>
          </cell>
          <cell r="D3849" t="str">
            <v>Sem Hist of Inter of Gen</v>
          </cell>
          <cell r="E3849" t="str">
            <v>CHIS685</v>
          </cell>
        </row>
        <row r="3850">
          <cell r="C3850" t="str">
            <v>Seminar in Church History:</v>
          </cell>
          <cell r="D3850" t="str">
            <v>Sem Hist of Inter of Gen</v>
          </cell>
          <cell r="E3850" t="str">
            <v>CHIS940</v>
          </cell>
        </row>
        <row r="3851">
          <cell r="C3851" t="str">
            <v>Studies in Church History</v>
          </cell>
          <cell r="D3851" t="str">
            <v>Sem Hist of Inter of Gen</v>
          </cell>
          <cell r="E3851" t="str">
            <v>CHIS685</v>
          </cell>
        </row>
        <row r="3852">
          <cell r="C3852" t="str">
            <v>Studies in Church History</v>
          </cell>
          <cell r="D3852" t="str">
            <v>Stdis n CHIS:Chrstn Wrshp Mus</v>
          </cell>
          <cell r="E3852" t="str">
            <v>CHIS685</v>
          </cell>
        </row>
        <row r="3853">
          <cell r="C3853" t="str">
            <v>Sem Theology of Mission</v>
          </cell>
          <cell r="E3853" t="str">
            <v>MSSN826</v>
          </cell>
        </row>
        <row r="3854">
          <cell r="C3854" t="str">
            <v>Topics in</v>
          </cell>
          <cell r="D3854" t="str">
            <v>Topics in NT Archaeology</v>
          </cell>
          <cell r="E3854" t="str">
            <v>NTST885</v>
          </cell>
        </row>
        <row r="3855">
          <cell r="C3855" t="str">
            <v>Greco-Roman World</v>
          </cell>
          <cell r="E3855" t="str">
            <v>NTST680</v>
          </cell>
        </row>
        <row r="3856">
          <cell r="C3856" t="str">
            <v>Stud in the Pentateuch (Engl)</v>
          </cell>
          <cell r="E3856" t="str">
            <v>OTST566</v>
          </cell>
        </row>
        <row r="3857">
          <cell r="C3857" t="str">
            <v>Doctrine of the Sanctuary</v>
          </cell>
          <cell r="E3857" t="str">
            <v>GSEM530</v>
          </cell>
        </row>
        <row r="3858">
          <cell r="C3858" t="str">
            <v>Top NT Exegesis:</v>
          </cell>
          <cell r="E3858" t="str">
            <v>NTST646</v>
          </cell>
        </row>
        <row r="3859">
          <cell r="C3859" t="str">
            <v>Judaism &amp; the New Testament</v>
          </cell>
          <cell r="E3859" t="str">
            <v>NTST684</v>
          </cell>
        </row>
        <row r="3860">
          <cell r="C3860" t="str">
            <v>Protestant Theologicl Heritage</v>
          </cell>
          <cell r="E3860" t="str">
            <v>THST624</v>
          </cell>
        </row>
        <row r="3861">
          <cell r="C3861" t="str">
            <v>Topics in</v>
          </cell>
          <cell r="D3861" t="str">
            <v>Topics in: Hebrews</v>
          </cell>
          <cell r="E3861" t="str">
            <v>NTST885</v>
          </cell>
        </row>
        <row r="3862">
          <cell r="C3862" t="str">
            <v>Hist of Christian Worship Mus</v>
          </cell>
          <cell r="E3862" t="str">
            <v>PATH602</v>
          </cell>
        </row>
        <row r="3863">
          <cell r="C3863" t="str">
            <v>Parenting Educ &amp; Guidance</v>
          </cell>
          <cell r="E3863" t="str">
            <v>DSLE679</v>
          </cell>
        </row>
        <row r="3864">
          <cell r="C3864" t="str">
            <v>Ind Stdy:</v>
          </cell>
          <cell r="D3864" t="str">
            <v>Ind St: Worship: Word &amp; Music</v>
          </cell>
          <cell r="E3864" t="str">
            <v>PATH690</v>
          </cell>
        </row>
        <row r="3865">
          <cell r="C3865" t="str">
            <v>Topics in</v>
          </cell>
          <cell r="D3865" t="str">
            <v>Topics in Eschatology</v>
          </cell>
          <cell r="E3865" t="str">
            <v>NTST885</v>
          </cell>
        </row>
        <row r="3866">
          <cell r="C3866" t="str">
            <v>Directed Rdgs Mission Studies</v>
          </cell>
          <cell r="D3866" t="str">
            <v>DirRdg:</v>
          </cell>
          <cell r="E3866" t="str">
            <v>MSSN890</v>
          </cell>
        </row>
        <row r="3867">
          <cell r="C3867" t="str">
            <v>Internal Dynamics of Families</v>
          </cell>
          <cell r="E3867" t="str">
            <v>DSLE658</v>
          </cell>
        </row>
        <row r="3868">
          <cell r="C3868" t="str">
            <v>Ethics and the Good Life</v>
          </cell>
          <cell r="E3868" t="str">
            <v>THST633</v>
          </cell>
        </row>
        <row r="3869">
          <cell r="C3869" t="str">
            <v>Topics in</v>
          </cell>
          <cell r="D3869" t="str">
            <v>Topics in: Hebrews</v>
          </cell>
          <cell r="E3869" t="str">
            <v>NTST885</v>
          </cell>
        </row>
        <row r="3870">
          <cell r="C3870" t="str">
            <v>Doctrine of the Sanctuary</v>
          </cell>
          <cell r="E3870" t="str">
            <v>GSEM530</v>
          </cell>
        </row>
        <row r="3871">
          <cell r="C3871" t="str">
            <v>Biblical Hebrew I</v>
          </cell>
          <cell r="E3871" t="str">
            <v>OTST551</v>
          </cell>
        </row>
        <row r="3872">
          <cell r="C3872" t="str">
            <v>Topics In:</v>
          </cell>
          <cell r="D3872" t="str">
            <v>Top: Hist of ANE:  Mesopotamia</v>
          </cell>
          <cell r="E3872" t="str">
            <v>ANEA885</v>
          </cell>
        </row>
        <row r="3873">
          <cell r="C3873" t="str">
            <v>Ind St:</v>
          </cell>
          <cell r="D3873" t="str">
            <v>Ind St:Textual Criticism</v>
          </cell>
          <cell r="E3873" t="str">
            <v>OTST690</v>
          </cell>
        </row>
        <row r="3874">
          <cell r="C3874" t="str">
            <v>Topics in Church History:</v>
          </cell>
          <cell r="D3874" t="str">
            <v>Top:Histography</v>
          </cell>
          <cell r="E3874" t="str">
            <v>CHIS880</v>
          </cell>
        </row>
        <row r="3875">
          <cell r="C3875" t="str">
            <v>Directed Rdg in Old Testmt</v>
          </cell>
          <cell r="D3875" t="str">
            <v>DirRdg in OT</v>
          </cell>
          <cell r="E3875" t="str">
            <v>OTST890</v>
          </cell>
        </row>
        <row r="3876">
          <cell r="C3876" t="str">
            <v>Stud in the Pentateuch (Engl)</v>
          </cell>
          <cell r="D3876" t="str">
            <v>Stud in the Pentateuch</v>
          </cell>
          <cell r="E3876" t="str">
            <v>OTST566</v>
          </cell>
        </row>
        <row r="3877">
          <cell r="C3877" t="str">
            <v>Directed Rdg Adventist Studies</v>
          </cell>
          <cell r="D3877" t="str">
            <v>DirRdg:Gen SDA Hst in Cntxt</v>
          </cell>
          <cell r="E3877" t="str">
            <v>CHIS895</v>
          </cell>
        </row>
        <row r="3878">
          <cell r="C3878" t="str">
            <v>Ind St:</v>
          </cell>
          <cell r="D3878" t="str">
            <v>Ind St: Intergenerational Mini</v>
          </cell>
          <cell r="E3878" t="str">
            <v>DSLE690</v>
          </cell>
        </row>
        <row r="3879">
          <cell r="C3879" t="str">
            <v>Ind St:</v>
          </cell>
          <cell r="D3879" t="str">
            <v>Ind St:Erly Christn Theolgns</v>
          </cell>
          <cell r="E3879" t="str">
            <v>CHIS690</v>
          </cell>
        </row>
        <row r="3880">
          <cell r="C3880" t="str">
            <v>Top:</v>
          </cell>
          <cell r="D3880" t="str">
            <v>Top: Ethics and the Good Life</v>
          </cell>
          <cell r="E3880" t="str">
            <v>THST885</v>
          </cell>
        </row>
        <row r="3881">
          <cell r="C3881" t="str">
            <v>Topics in:</v>
          </cell>
          <cell r="D3881" t="str">
            <v>Topics in:Biblical Hebrew III</v>
          </cell>
          <cell r="E3881" t="str">
            <v>OTST885</v>
          </cell>
        </row>
        <row r="3882">
          <cell r="C3882" t="str">
            <v>Studies in Church History</v>
          </cell>
          <cell r="D3882" t="str">
            <v>Stdis n CHIS:Chrstn Wrshp Mus</v>
          </cell>
          <cell r="E3882" t="str">
            <v>CHIS685</v>
          </cell>
        </row>
        <row r="3883">
          <cell r="C3883" t="str">
            <v>Directed Rdg Christian Ethics</v>
          </cell>
          <cell r="D3883" t="str">
            <v>DirRdg: Phil, Theo, Ethics</v>
          </cell>
          <cell r="E3883" t="str">
            <v>THST896</v>
          </cell>
        </row>
        <row r="3884">
          <cell r="C3884" t="str">
            <v>DirRdg Syst Theo:</v>
          </cell>
          <cell r="D3884" t="str">
            <v>DirRdgSyst Theo:Philsph Theol</v>
          </cell>
          <cell r="E3884" t="str">
            <v>THST890</v>
          </cell>
        </row>
        <row r="3885">
          <cell r="C3885" t="str">
            <v>Directed Reading:</v>
          </cell>
          <cell r="E3885" t="str">
            <v>DSLE890</v>
          </cell>
        </row>
        <row r="3886">
          <cell r="C3886" t="str">
            <v>Seminar:</v>
          </cell>
          <cell r="E3886" t="str">
            <v>DSLE930</v>
          </cell>
        </row>
        <row r="3887">
          <cell r="C3887" t="str">
            <v>Hist of SDA Theology</v>
          </cell>
          <cell r="E3887" t="str">
            <v>CHIS574</v>
          </cell>
        </row>
        <row r="3888">
          <cell r="C3888" t="str">
            <v>Readings in the Septuagint</v>
          </cell>
          <cell r="E3888" t="str">
            <v>OTST660</v>
          </cell>
        </row>
        <row r="3889">
          <cell r="C3889" t="str">
            <v>Bib. Lands &amp; Exploration</v>
          </cell>
          <cell r="E3889" t="str">
            <v>ANEA624</v>
          </cell>
        </row>
        <row r="3890">
          <cell r="C3890" t="str">
            <v>Directed Rdg in Old Testmt</v>
          </cell>
          <cell r="D3890" t="str">
            <v>Directed Rdg in Septuagint</v>
          </cell>
          <cell r="E3890" t="str">
            <v>OTST890</v>
          </cell>
        </row>
        <row r="3891">
          <cell r="C3891" t="str">
            <v>Sem Adv OT Exegesis</v>
          </cell>
          <cell r="D3891" t="str">
            <v>Sem Adv OT Exeg: Pentateuch</v>
          </cell>
          <cell r="E3891" t="str">
            <v>OTST940</v>
          </cell>
        </row>
        <row r="3892">
          <cell r="C3892" t="str">
            <v>Sem Adv OT Exegesis</v>
          </cell>
          <cell r="D3892" t="str">
            <v>Sem in Adv His f ANE: Msptmia</v>
          </cell>
          <cell r="E3892" t="str">
            <v>OTST940</v>
          </cell>
        </row>
        <row r="3893">
          <cell r="C3893" t="str">
            <v>Directed Rdg Christian Ethics</v>
          </cell>
          <cell r="D3893" t="str">
            <v>DirRdg: Phil, Theology &amp; Ethic</v>
          </cell>
          <cell r="E3893" t="str">
            <v>THST896</v>
          </cell>
        </row>
        <row r="3894">
          <cell r="C3894" t="str">
            <v>Ind St:</v>
          </cell>
          <cell r="D3894" t="str">
            <v>Ind St:Min to Yth &amp; Yng Adlt</v>
          </cell>
          <cell r="E3894" t="str">
            <v>DSLE690</v>
          </cell>
        </row>
        <row r="3895">
          <cell r="C3895" t="str">
            <v>Field Practicum: Professional</v>
          </cell>
          <cell r="E3895" t="str">
            <v>DSLE662</v>
          </cell>
        </row>
        <row r="3896">
          <cell r="C3896" t="str">
            <v>Directed Rdgs Mission Studies</v>
          </cell>
          <cell r="D3896" t="str">
            <v>DirRdg:</v>
          </cell>
          <cell r="E3896" t="str">
            <v>MSSN890</v>
          </cell>
        </row>
        <row r="3897">
          <cell r="C3897" t="str">
            <v>Ind St:</v>
          </cell>
          <cell r="D3897" t="str">
            <v>Ind St: OT Exegesis</v>
          </cell>
          <cell r="E3897" t="str">
            <v>OTST690</v>
          </cell>
        </row>
        <row r="3898">
          <cell r="C3898" t="str">
            <v>Directed Rdg in Old Testmt</v>
          </cell>
          <cell r="D3898" t="str">
            <v>Ind. St:  Studies in OT Exeges</v>
          </cell>
          <cell r="E3898" t="str">
            <v>OTST890</v>
          </cell>
        </row>
        <row r="3899">
          <cell r="C3899" t="str">
            <v>Top:</v>
          </cell>
          <cell r="D3899" t="str">
            <v>Top: Ethics and the Good Life</v>
          </cell>
          <cell r="E3899" t="str">
            <v>THST885</v>
          </cell>
        </row>
        <row r="3900">
          <cell r="C3900" t="str">
            <v>Topics in:</v>
          </cell>
          <cell r="D3900" t="str">
            <v>Topics in:Reaings in Septuagnt</v>
          </cell>
          <cell r="E3900" t="str">
            <v>OTST885</v>
          </cell>
        </row>
        <row r="3901">
          <cell r="C3901" t="str">
            <v>Independent Study</v>
          </cell>
          <cell r="D3901" t="str">
            <v>Ind St: ANE Lang - Akkadian</v>
          </cell>
          <cell r="E3901" t="str">
            <v>ANEA690</v>
          </cell>
        </row>
        <row r="3902">
          <cell r="C3902" t="str">
            <v>Ind St:</v>
          </cell>
          <cell r="D3902" t="str">
            <v>Ind St:Dev of SDA Theology</v>
          </cell>
          <cell r="E3902" t="str">
            <v>CHIS690</v>
          </cell>
        </row>
        <row r="3903">
          <cell r="C3903" t="str">
            <v>Topics:</v>
          </cell>
          <cell r="D3903" t="str">
            <v>Top:Mssn in Cultural &amp; religs</v>
          </cell>
          <cell r="E3903" t="str">
            <v>MSSN695</v>
          </cell>
        </row>
        <row r="3904">
          <cell r="C3904" t="str">
            <v>Ind St:</v>
          </cell>
          <cell r="D3904" t="str">
            <v>Ind St:Mssn in Cult &amp; rel Cntx</v>
          </cell>
          <cell r="E3904" t="str">
            <v>MSSN690</v>
          </cell>
        </row>
        <row r="3905">
          <cell r="C3905" t="str">
            <v>Colloquium:</v>
          </cell>
          <cell r="D3905" t="str">
            <v>Coll: Finances for Pastors</v>
          </cell>
          <cell r="E3905" t="str">
            <v>GSEM505</v>
          </cell>
        </row>
        <row r="3906">
          <cell r="C3906" t="str">
            <v>Ind St:</v>
          </cell>
          <cell r="D3906" t="str">
            <v>Ind St:Sem in NT Theo &amp; Ethics</v>
          </cell>
          <cell r="E3906" t="str">
            <v>NTST690</v>
          </cell>
        </row>
        <row r="3907">
          <cell r="C3907" t="str">
            <v>Directed Rdgs Mission Studies</v>
          </cell>
          <cell r="D3907" t="str">
            <v>DirRdg:</v>
          </cell>
          <cell r="E3907" t="str">
            <v>MSSN890</v>
          </cell>
        </row>
        <row r="3908">
          <cell r="C3908" t="str">
            <v>Contemporary Theology</v>
          </cell>
          <cell r="E3908" t="str">
            <v>THST628</v>
          </cell>
        </row>
        <row r="3909">
          <cell r="C3909" t="str">
            <v>Theology of Synoptic Gospels</v>
          </cell>
          <cell r="E3909" t="str">
            <v>NTST630</v>
          </cell>
        </row>
        <row r="3910">
          <cell r="C3910" t="str">
            <v>Ministry Among Immigrants</v>
          </cell>
          <cell r="E3910" t="str">
            <v>MSSN645</v>
          </cell>
        </row>
        <row r="3911">
          <cell r="C3911" t="str">
            <v>Topics in</v>
          </cell>
          <cell r="D3911" t="str">
            <v>Topics in: NT Theol &amp; Ethics</v>
          </cell>
          <cell r="E3911" t="str">
            <v>NTST885</v>
          </cell>
        </row>
        <row r="3912">
          <cell r="C3912" t="str">
            <v>Topics in</v>
          </cell>
          <cell r="D3912" t="str">
            <v>Topics in:NT Theolgy &amp; Ethics</v>
          </cell>
          <cell r="E3912" t="str">
            <v>NTST885</v>
          </cell>
        </row>
        <row r="3913">
          <cell r="C3913" t="str">
            <v>Topics in:</v>
          </cell>
          <cell r="D3913" t="str">
            <v>Topics in:Mission Studies</v>
          </cell>
          <cell r="E3913" t="str">
            <v>MSSN885</v>
          </cell>
        </row>
        <row r="3914">
          <cell r="C3914" t="str">
            <v>Hist of SDA Theology</v>
          </cell>
          <cell r="E3914" t="str">
            <v>CHIS574</v>
          </cell>
        </row>
        <row r="3915">
          <cell r="C3915" t="str">
            <v>Colloquium:</v>
          </cell>
          <cell r="D3915" t="str">
            <v>Coll:Thrive: Mntl Health Campu</v>
          </cell>
          <cell r="E3915" t="str">
            <v>GSEM505</v>
          </cell>
        </row>
        <row r="3916">
          <cell r="C3916" t="str">
            <v>Hist of the Ancient Near East</v>
          </cell>
          <cell r="D3916" t="str">
            <v>Hist of the ANE Mesopotamia</v>
          </cell>
          <cell r="E3916" t="str">
            <v>OTST604</v>
          </cell>
        </row>
        <row r="3917">
          <cell r="C3917" t="str">
            <v>Sem:</v>
          </cell>
          <cell r="D3917" t="str">
            <v>Top:</v>
          </cell>
          <cell r="E3917" t="str">
            <v>MSSN810</v>
          </cell>
        </row>
        <row r="3918">
          <cell r="C3918" t="str">
            <v>Readings in Revelation</v>
          </cell>
          <cell r="E3918" t="str">
            <v>NTST539</v>
          </cell>
        </row>
        <row r="3919">
          <cell r="C3919" t="str">
            <v>Leading&amp;Managing Church Org</v>
          </cell>
          <cell r="E3919" t="str">
            <v>PATH780</v>
          </cell>
        </row>
        <row r="3920">
          <cell r="C3920" t="str">
            <v>DMin Prof Dissertation</v>
          </cell>
          <cell r="D3920" t="str">
            <v>DMin Prof Dissertation (Ch 1)</v>
          </cell>
          <cell r="E3920" t="str">
            <v>GSEM796</v>
          </cell>
        </row>
        <row r="3921">
          <cell r="C3921" t="str">
            <v>Hist of SDA Theology</v>
          </cell>
          <cell r="D3921" t="str">
            <v>History of SDA Theology</v>
          </cell>
          <cell r="E3921" t="str">
            <v>CHIS574</v>
          </cell>
        </row>
        <row r="3922">
          <cell r="C3922" t="str">
            <v>Ind St:</v>
          </cell>
          <cell r="D3922" t="str">
            <v>Ind St: Grt Cont, Cov Law, Sab</v>
          </cell>
          <cell r="E3922" t="str">
            <v>THST690</v>
          </cell>
        </row>
        <row r="3923">
          <cell r="C3923" t="str">
            <v>Media Development</v>
          </cell>
          <cell r="D3923" t="str">
            <v>Media Dev &amp; Eqpng Lcal Ldrs</v>
          </cell>
          <cell r="E3923" t="str">
            <v>PATH732</v>
          </cell>
        </row>
        <row r="3924">
          <cell r="C3924" t="str">
            <v>Theologicl Found Christian Tch</v>
          </cell>
          <cell r="E3924" t="str">
            <v>DSLE850</v>
          </cell>
        </row>
        <row r="3925">
          <cell r="C3925" t="str">
            <v>Ind St:</v>
          </cell>
          <cell r="D3925" t="str">
            <v>IndSt:Grt Cnt, Cov Law, Sbbth</v>
          </cell>
          <cell r="E3925" t="str">
            <v>GSEM690</v>
          </cell>
        </row>
        <row r="3926">
          <cell r="C3926" t="str">
            <v>Colloquium:</v>
          </cell>
          <cell r="D3926" t="str">
            <v>Coll: Finances for Pastors</v>
          </cell>
          <cell r="E3926" t="str">
            <v>GSEM505</v>
          </cell>
        </row>
        <row r="3927">
          <cell r="C3927" t="str">
            <v>Ind St:</v>
          </cell>
          <cell r="D3927" t="str">
            <v>Ind St: Fdns of Bibl Spir</v>
          </cell>
          <cell r="E3927" t="str">
            <v>DSLE690</v>
          </cell>
        </row>
        <row r="3928">
          <cell r="C3928" t="str">
            <v>DMin Prof Dissertation</v>
          </cell>
          <cell r="D3928" t="str">
            <v>DMin Prof Dissertation (Ch 4)</v>
          </cell>
          <cell r="E3928" t="str">
            <v>GSEM796</v>
          </cell>
        </row>
        <row r="3929">
          <cell r="C3929" t="str">
            <v>Studies in Hebrews</v>
          </cell>
          <cell r="E3929" t="str">
            <v>NTST538</v>
          </cell>
        </row>
        <row r="3930">
          <cell r="C3930" t="str">
            <v>Colloquium:</v>
          </cell>
          <cell r="D3930" t="str">
            <v>Coll: Master Guide Tolbox</v>
          </cell>
          <cell r="E3930" t="str">
            <v>GSEM505</v>
          </cell>
        </row>
        <row r="3931">
          <cell r="C3931" t="str">
            <v>DMin Research Methods Sem</v>
          </cell>
          <cell r="E3931" t="str">
            <v>GSEM793</v>
          </cell>
        </row>
        <row r="3932">
          <cell r="C3932" t="str">
            <v>Issues in Discipleship</v>
          </cell>
          <cell r="E3932" t="str">
            <v>PATH710</v>
          </cell>
        </row>
        <row r="3933">
          <cell r="C3933" t="str">
            <v>Ind St:</v>
          </cell>
          <cell r="D3933" t="str">
            <v>Ind St:Grt Contr Cov Law, Sabb</v>
          </cell>
          <cell r="E3933" t="str">
            <v>NTST690</v>
          </cell>
        </row>
        <row r="3934">
          <cell r="C3934" t="str">
            <v>Human Nature &amp; Destiny</v>
          </cell>
          <cell r="E3934" t="str">
            <v>THST647</v>
          </cell>
        </row>
        <row r="3935">
          <cell r="C3935" t="str">
            <v>Greco-Roman World</v>
          </cell>
          <cell r="E3935" t="str">
            <v>NTST680</v>
          </cell>
        </row>
        <row r="3936">
          <cell r="C3936" t="str">
            <v>Sem Hst Select Christn Doct</v>
          </cell>
          <cell r="E3936" t="str">
            <v>CHIS659</v>
          </cell>
        </row>
        <row r="3937">
          <cell r="C3937" t="str">
            <v>Stud in the Pentateuch (Engl)</v>
          </cell>
          <cell r="D3937" t="str">
            <v>Stud in the Pentateuch</v>
          </cell>
          <cell r="E3937" t="str">
            <v>OTST566</v>
          </cell>
        </row>
        <row r="3938">
          <cell r="C3938" t="str">
            <v>Hist of SDA Theology</v>
          </cell>
          <cell r="E3938" t="str">
            <v>CHIS574</v>
          </cell>
        </row>
        <row r="3939">
          <cell r="C3939" t="str">
            <v>Hist of SDA Theology</v>
          </cell>
          <cell r="E3939" t="str">
            <v>CHIS574</v>
          </cell>
        </row>
        <row r="3940">
          <cell r="C3940" t="str">
            <v>Wholistic Healthcare Ministry</v>
          </cell>
          <cell r="E3940" t="str">
            <v>PATH761</v>
          </cell>
        </row>
        <row r="3941">
          <cell r="C3941" t="str">
            <v>Colloquium:</v>
          </cell>
          <cell r="D3941" t="str">
            <v>Coll: D3 Re-Imagining Disc.Mak</v>
          </cell>
          <cell r="E3941" t="str">
            <v>GSEM505</v>
          </cell>
        </row>
        <row r="3942">
          <cell r="C3942" t="str">
            <v>Ind St:</v>
          </cell>
          <cell r="D3942" t="str">
            <v>IndSt:</v>
          </cell>
          <cell r="E3942" t="str">
            <v>CHIS891</v>
          </cell>
        </row>
        <row r="3943">
          <cell r="C3943" t="str">
            <v>Ind St:</v>
          </cell>
          <cell r="D3943" t="str">
            <v>IndSty:</v>
          </cell>
          <cell r="E3943" t="str">
            <v>CHIS892</v>
          </cell>
        </row>
        <row r="3944">
          <cell r="C3944" t="str">
            <v>Seminar in Church History:</v>
          </cell>
          <cell r="E3944" t="str">
            <v>CHIS940</v>
          </cell>
        </row>
        <row r="3945">
          <cell r="C3945" t="str">
            <v>Human Sexuality</v>
          </cell>
          <cell r="E3945" t="str">
            <v>DSLE659</v>
          </cell>
        </row>
        <row r="3946">
          <cell r="C3946" t="str">
            <v>Reaching the Secular Mind</v>
          </cell>
          <cell r="E3946" t="str">
            <v>DSLE669</v>
          </cell>
        </row>
        <row r="3947">
          <cell r="C3947" t="str">
            <v>Colloquium:</v>
          </cell>
          <cell r="D3947" t="str">
            <v>Coll:</v>
          </cell>
          <cell r="E3947" t="str">
            <v>GSEM505</v>
          </cell>
        </row>
        <row r="3948">
          <cell r="C3948" t="str">
            <v>Colloquium:</v>
          </cell>
          <cell r="D3948" t="str">
            <v>Coll:</v>
          </cell>
          <cell r="E3948" t="str">
            <v>GSEM505</v>
          </cell>
        </row>
        <row r="3949">
          <cell r="C3949" t="str">
            <v>Colloquium:</v>
          </cell>
          <cell r="D3949" t="str">
            <v>Coll:</v>
          </cell>
          <cell r="E3949" t="str">
            <v>GSEM505</v>
          </cell>
        </row>
        <row r="3950">
          <cell r="C3950" t="str">
            <v>Colloquium:</v>
          </cell>
          <cell r="D3950" t="str">
            <v>Coll:</v>
          </cell>
          <cell r="E3950" t="str">
            <v>GSEM505</v>
          </cell>
        </row>
        <row r="3951">
          <cell r="C3951" t="str">
            <v>Directed Rdg Christian Ethics</v>
          </cell>
          <cell r="D3951" t="str">
            <v>DrRdgChEth:</v>
          </cell>
          <cell r="E3951" t="str">
            <v>THST896</v>
          </cell>
        </row>
        <row r="3952">
          <cell r="C3952" t="str">
            <v>Ind St:</v>
          </cell>
          <cell r="E3952" t="str">
            <v>THST897</v>
          </cell>
        </row>
        <row r="3953">
          <cell r="C3953" t="str">
            <v>Top:</v>
          </cell>
          <cell r="D3953" t="str">
            <v>Top:Roman Cath Life &amp; Thought</v>
          </cell>
          <cell r="E3953" t="str">
            <v>THST885</v>
          </cell>
        </row>
        <row r="3954">
          <cell r="C3954" t="str">
            <v>Ind St:</v>
          </cell>
          <cell r="E3954" t="str">
            <v>THST897</v>
          </cell>
        </row>
        <row r="3955">
          <cell r="C3955" t="str">
            <v>Ind St:</v>
          </cell>
          <cell r="E3955" t="str">
            <v>THST897</v>
          </cell>
        </row>
        <row r="3956">
          <cell r="C3956" t="str">
            <v>Sem Adv OT Exegesis</v>
          </cell>
          <cell r="E3956" t="str">
            <v>OTST940</v>
          </cell>
        </row>
        <row r="3957">
          <cell r="C3957" t="str">
            <v>Sem Adv Arch&amp;Hist of Antiquity</v>
          </cell>
          <cell r="E3957" t="str">
            <v>ANEA940</v>
          </cell>
        </row>
        <row r="3958">
          <cell r="C3958" t="str">
            <v>Ind St:</v>
          </cell>
          <cell r="E3958" t="str">
            <v>OTST690</v>
          </cell>
        </row>
        <row r="3959">
          <cell r="C3959" t="str">
            <v>Ind St:</v>
          </cell>
          <cell r="E3959" t="str">
            <v>OTST690</v>
          </cell>
        </row>
        <row r="3960">
          <cell r="C3960" t="str">
            <v>Ind St:</v>
          </cell>
          <cell r="E3960" t="str">
            <v>OTST690</v>
          </cell>
        </row>
        <row r="3961">
          <cell r="C3961" t="str">
            <v>Ind St:</v>
          </cell>
          <cell r="E3961" t="str">
            <v>OTST690</v>
          </cell>
        </row>
        <row r="3962">
          <cell r="C3962" t="str">
            <v>Independent Study:</v>
          </cell>
          <cell r="E3962" t="str">
            <v>OTST895</v>
          </cell>
        </row>
        <row r="3963">
          <cell r="C3963" t="str">
            <v>Independent Study:</v>
          </cell>
          <cell r="E3963" t="str">
            <v>OTST895</v>
          </cell>
        </row>
        <row r="3964">
          <cell r="C3964" t="str">
            <v>Independent Study:</v>
          </cell>
          <cell r="E3964" t="str">
            <v>OTST895</v>
          </cell>
        </row>
        <row r="3965">
          <cell r="C3965" t="str">
            <v>Independent Study:</v>
          </cell>
          <cell r="E3965" t="str">
            <v>OTST895</v>
          </cell>
        </row>
        <row r="3966">
          <cell r="C3966" t="str">
            <v>Directed Rdg in Old Testmt</v>
          </cell>
          <cell r="D3966" t="str">
            <v>Dir Rdgs</v>
          </cell>
          <cell r="E3966" t="str">
            <v>OTST890</v>
          </cell>
        </row>
        <row r="3967">
          <cell r="C3967" t="str">
            <v>Directed Rdg in Old Testmt</v>
          </cell>
          <cell r="D3967" t="str">
            <v>Dir Rdg</v>
          </cell>
          <cell r="E3967" t="str">
            <v>OTST890</v>
          </cell>
        </row>
        <row r="3968">
          <cell r="C3968" t="str">
            <v>Directed Rdg in Old Testmt</v>
          </cell>
          <cell r="D3968" t="str">
            <v>Dir Rdgs</v>
          </cell>
          <cell r="E3968" t="str">
            <v>OTST890</v>
          </cell>
        </row>
        <row r="3969">
          <cell r="C3969" t="str">
            <v>Near Eastern Archaeology</v>
          </cell>
          <cell r="E3969" t="str">
            <v>OTST810</v>
          </cell>
        </row>
        <row r="3970">
          <cell r="C3970" t="str">
            <v>Directed Rdg in Old Testmt</v>
          </cell>
          <cell r="D3970" t="str">
            <v>Dir Rdgs in OT Archlgy &amp; Thlgy</v>
          </cell>
          <cell r="E3970" t="str">
            <v>OTST890</v>
          </cell>
        </row>
        <row r="3971">
          <cell r="C3971" t="str">
            <v>Directed Rdg in Old Testmt</v>
          </cell>
          <cell r="D3971" t="str">
            <v>Dir Rdg in the OT</v>
          </cell>
          <cell r="E3971" t="str">
            <v>OTST890</v>
          </cell>
        </row>
        <row r="3972">
          <cell r="C3972" t="str">
            <v>Topics in</v>
          </cell>
          <cell r="D3972" t="str">
            <v>Topics in Adv Stud in Matthew</v>
          </cell>
          <cell r="E3972" t="str">
            <v>NTST885</v>
          </cell>
        </row>
        <row r="3973">
          <cell r="C3973" t="str">
            <v>Ind St:</v>
          </cell>
          <cell r="E3973" t="str">
            <v>CHIS892</v>
          </cell>
        </row>
        <row r="3974">
          <cell r="C3974" t="str">
            <v>Ind St:</v>
          </cell>
          <cell r="D3974" t="str">
            <v>IndSt:</v>
          </cell>
          <cell r="E3974" t="str">
            <v>CHIS892</v>
          </cell>
        </row>
        <row r="3975">
          <cell r="C3975" t="str">
            <v>Top:</v>
          </cell>
          <cell r="D3975" t="str">
            <v>Top:Doctrine of Christ</v>
          </cell>
          <cell r="E3975" t="str">
            <v>THST885</v>
          </cell>
        </row>
        <row r="3976">
          <cell r="C3976" t="str">
            <v>Ind St:</v>
          </cell>
          <cell r="D3976" t="str">
            <v>IndSt:Relationship to Muslims</v>
          </cell>
          <cell r="E3976" t="str">
            <v>MSSN897</v>
          </cell>
        </row>
        <row r="3977">
          <cell r="C3977" t="str">
            <v>Topics:</v>
          </cell>
          <cell r="D3977" t="str">
            <v>Topics in Intectual Theology</v>
          </cell>
          <cell r="E3977" t="str">
            <v>MSSN695</v>
          </cell>
        </row>
        <row r="3978">
          <cell r="C3978" t="str">
            <v>Sem:</v>
          </cell>
          <cell r="D3978" t="str">
            <v>Topics: Sem Inter Cultural The</v>
          </cell>
          <cell r="E3978" t="str">
            <v>MSSN810</v>
          </cell>
        </row>
        <row r="3979">
          <cell r="C3979" t="str">
            <v>Intergenerational Ministry</v>
          </cell>
          <cell r="E3979" t="str">
            <v>DSLE607</v>
          </cell>
        </row>
        <row r="3980">
          <cell r="C3980" t="str">
            <v>Ind St:</v>
          </cell>
          <cell r="E3980" t="str">
            <v>OTST690</v>
          </cell>
        </row>
        <row r="3981">
          <cell r="C3981" t="str">
            <v>NT Textl Criticism&amp;Canon Form</v>
          </cell>
          <cell r="E3981" t="str">
            <v>NTST606</v>
          </cell>
        </row>
        <row r="3982">
          <cell r="C3982" t="str">
            <v>Studies in Church History</v>
          </cell>
          <cell r="D3982" t="str">
            <v>Sem EGW &amp; Adv Research</v>
          </cell>
          <cell r="E3982" t="str">
            <v>CHIS685</v>
          </cell>
        </row>
        <row r="3983">
          <cell r="C3983" t="str">
            <v>Studies in Church History</v>
          </cell>
          <cell r="D3983" t="str">
            <v>Sem in Church Hist:</v>
          </cell>
          <cell r="E3983" t="str">
            <v>CHIS685</v>
          </cell>
        </row>
        <row r="3984">
          <cell r="C3984" t="str">
            <v>Colloquium:</v>
          </cell>
          <cell r="D3984" t="str">
            <v>Coll: Writing Wisely</v>
          </cell>
          <cell r="E3984" t="str">
            <v>GSEM505</v>
          </cell>
        </row>
        <row r="3985">
          <cell r="C3985" t="str">
            <v>Reaching the Secular Mind</v>
          </cell>
          <cell r="E3985" t="str">
            <v>DSLE669</v>
          </cell>
        </row>
        <row r="3986">
          <cell r="C3986" t="str">
            <v>Ind St:</v>
          </cell>
          <cell r="D3986" t="str">
            <v>Ind St Hist &amp; Theo of Sabbath</v>
          </cell>
          <cell r="E3986" t="str">
            <v>CHIS891</v>
          </cell>
        </row>
        <row r="3987">
          <cell r="C3987" t="str">
            <v>Ind St:</v>
          </cell>
          <cell r="D3987" t="str">
            <v>IndSt MssninCultural&amp; ReligsCo</v>
          </cell>
          <cell r="E3987" t="str">
            <v>MSSN690</v>
          </cell>
        </row>
        <row r="3988">
          <cell r="C3988" t="str">
            <v>Seminar in Church History:</v>
          </cell>
          <cell r="D3988" t="str">
            <v>Sem:Armi-Wesley&amp;Adventist Sote</v>
          </cell>
          <cell r="E3988" t="str">
            <v>CHIS940</v>
          </cell>
        </row>
        <row r="3989">
          <cell r="C3989" t="str">
            <v>Sem in Historical Theology:</v>
          </cell>
          <cell r="D3989" t="str">
            <v>Sem:Armi-Wesley&amp;Adventist Sote</v>
          </cell>
          <cell r="E3989" t="str">
            <v>THST964</v>
          </cell>
        </row>
        <row r="3990">
          <cell r="C3990" t="str">
            <v>Transformational Leadership</v>
          </cell>
          <cell r="E3990" t="str">
            <v>PATH712</v>
          </cell>
        </row>
        <row r="3991">
          <cell r="C3991" t="str">
            <v>DMin Research Methods Sem</v>
          </cell>
          <cell r="E3991" t="str">
            <v>GSEM793</v>
          </cell>
        </row>
        <row r="3992">
          <cell r="C3992" t="str">
            <v>DMin Prof Dissertation</v>
          </cell>
          <cell r="D3992" t="str">
            <v>DMin Prof Dissertation (Cha 2</v>
          </cell>
          <cell r="E3992" t="str">
            <v>GSEM796</v>
          </cell>
        </row>
        <row r="3993">
          <cell r="C3993" t="str">
            <v>Sem Arch &amp; Hist of Antiquity</v>
          </cell>
          <cell r="E3993" t="str">
            <v>OTST615</v>
          </cell>
        </row>
        <row r="3994">
          <cell r="C3994" t="str">
            <v>Intergenerational Ministry</v>
          </cell>
          <cell r="E3994" t="str">
            <v>DSLE607</v>
          </cell>
        </row>
        <row r="3995">
          <cell r="C3995" t="str">
            <v>Roman Catholic Life &amp; Thought</v>
          </cell>
          <cell r="E3995" t="str">
            <v>THST627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Right="0"/>
  </sheetPr>
  <dimension ref="A1:DR300"/>
  <sheetViews>
    <sheetView workbookViewId="0">
      <pane xSplit="7" ySplit="1" topLeftCell="H2" activePane="bottomRight" state="frozen"/>
      <selection pane="topRight"/>
      <selection pane="bottomLeft"/>
      <selection pane="bottomRight" activeCell="G10" sqref="G10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3" width="4" customWidth="1"/>
    <col min="14" max="14" width="12" customWidth="1"/>
    <col min="15" max="16" width="25" customWidth="1"/>
    <col min="17" max="17" width="4" customWidth="1"/>
    <col min="18" max="20" width="4" customWidth="1" outlineLevel="1"/>
    <col min="21" max="21" width="15" customWidth="1" outlineLevel="1"/>
    <col min="22" max="22" width="10" customWidth="1" outlineLevel="1"/>
    <col min="23" max="28" width="4" customWidth="1" outlineLevel="1"/>
    <col min="29" max="29" width="5" customWidth="1"/>
    <col min="30" max="32" width="10" customWidth="1" outlineLevel="1"/>
    <col min="33" max="35" width="4" customWidth="1" outlineLevel="1"/>
    <col min="36" max="37" width="10" customWidth="1" outlineLevel="1"/>
    <col min="38" max="40" width="4" customWidth="1" outlineLevel="1"/>
    <col min="41" max="42" width="10" customWidth="1" outlineLevel="1"/>
    <col min="43" max="47" width="4" customWidth="1" outlineLevel="1"/>
    <col min="48" max="48" width="10" customWidth="1" outlineLevel="1"/>
    <col min="49" max="49" width="5" customWidth="1" outlineLevel="1"/>
    <col min="50" max="50" width="5" customWidth="1"/>
    <col min="51" max="59" width="4" customWidth="1" outlineLevel="1"/>
    <col min="60" max="60" width="7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4" customWidth="1" outlineLevel="1"/>
    <col min="68" max="68" width="12" customWidth="1" outlineLevel="1"/>
    <col min="69" max="69" width="20" customWidth="1" outlineLevel="1"/>
    <col min="70" max="70" width="5" customWidth="1" outlineLevel="1"/>
    <col min="71" max="72" width="4" customWidth="1" outlineLevel="1"/>
    <col min="73" max="73" width="25" customWidth="1" outlineLevel="1"/>
    <col min="74" max="74" width="5" customWidth="1" outlineLevel="1"/>
    <col min="75" max="75" width="20" customWidth="1"/>
    <col min="76" max="77" width="20" customWidth="1" outlineLevel="1"/>
    <col min="78" max="83" width="4" customWidth="1" outlineLevel="1"/>
    <col min="84" max="84" width="4" customWidth="1"/>
    <col min="85" max="121" width="4" customWidth="1" outlineLevel="1"/>
    <col min="122" max="122" width="4" customWidth="1"/>
  </cols>
  <sheetData>
    <row r="1" spans="1:122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1" t="s">
        <v>35</v>
      </c>
      <c r="AK1" s="1" t="s">
        <v>36</v>
      </c>
      <c r="AL1" s="3" t="s">
        <v>37</v>
      </c>
      <c r="AM1" s="3" t="s">
        <v>38</v>
      </c>
      <c r="AN1" s="3" t="s">
        <v>39</v>
      </c>
      <c r="AO1" s="1" t="s">
        <v>40</v>
      </c>
      <c r="AP1" s="1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 t="s">
        <v>65</v>
      </c>
      <c r="BO1" s="1" t="s">
        <v>66</v>
      </c>
      <c r="BP1" s="1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5"/>
    </row>
    <row r="2" spans="1:122" ht="16" customHeight="1" x14ac:dyDescent="0.2">
      <c r="A2" s="6"/>
      <c r="B2" s="6"/>
      <c r="C2" s="6"/>
      <c r="D2" s="6"/>
      <c r="E2" s="6"/>
      <c r="F2" s="6"/>
      <c r="G2" s="7"/>
      <c r="H2" s="8"/>
      <c r="I2" s="8"/>
      <c r="J2" s="8"/>
      <c r="K2" s="8"/>
      <c r="L2" s="8"/>
      <c r="M2" s="8"/>
      <c r="N2" s="8"/>
      <c r="O2" s="9" t="str">
        <f>IFERROR(INDEX(_courses_lookup!$C:$C,MATCH(K2&amp;L2,_courses_lookup!$E:$E,0)),"")</f>
        <v/>
      </c>
      <c r="P2" s="8" t="str">
        <f>IFERROR(INDEX(_courses_lookup!$D:$D,MATCH(K2&amp;L2,_courses_lookup!$E:$E,0)),"")</f>
        <v/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 t="str">
        <f t="shared" ref="AG2:AG65" si="0">IF(AND(AE2&lt;&gt;"",AF2&lt;&gt;""),ROUNDUP((AF2-AE2)/7,0),"")</f>
        <v/>
      </c>
      <c r="AH2" s="8"/>
      <c r="AI2" s="8" t="str">
        <f t="shared" ref="AI2:AI65" si="1">IFERROR(IF(AG2*AH2=0,"",AG2*AH2),"")</f>
        <v/>
      </c>
      <c r="AJ2" s="8"/>
      <c r="AK2" s="8"/>
      <c r="AL2" s="8" t="str">
        <f t="shared" ref="AL2:AL65" si="2">IF(AND(AJ2&lt;&gt;"",AK2&lt;&gt;""),ROUNDUP((AK2-AJ2)/7,0),"")</f>
        <v/>
      </c>
      <c r="AM2" s="8"/>
      <c r="AN2" s="8" t="str">
        <f t="shared" ref="AN2:AN65" si="3">IFERROR(IF(AL2*AM2=0,"",AL2*AM2),"")</f>
        <v/>
      </c>
      <c r="AO2" s="8"/>
      <c r="AP2" s="8"/>
      <c r="AQ2" s="8" t="str">
        <f t="shared" ref="AQ2:AQ65" si="4">IF(AND(AO2&lt;&gt;"",AP2&lt;&gt;""),ROUNDUP((AP2-AO2)/7,0),"")</f>
        <v/>
      </c>
      <c r="AR2" s="8" t="str">
        <f t="shared" ref="AR2:AR65" si="5">IFERROR(IF((AU2-(AI2+AN2))/AQ2=0,"",ROUNDUP((AU2-(AI2+AN2))/AQ2,0)),"")</f>
        <v/>
      </c>
      <c r="AS2" s="8" t="str">
        <f t="shared" ref="AS2:AS65" si="6">IFERROR(IF((AU2-(AI2+AN2))=0,"",(AU2-(AI2+AN2))),"")</f>
        <v/>
      </c>
      <c r="AT2" s="8" t="str">
        <f t="shared" ref="AT2:AT65" si="7">IF(AND(AG2="",AQ2=""),AL2,IF(SUM(AG2,AL2,AQ2)=0,"",SUM(AG2,AL2,AQ2)))</f>
        <v/>
      </c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 t="str">
        <f t="shared" ref="BG2:BG65" si="8">IF(AD2="","",YEAR(AD2)+IF(MONTH(AD2)&gt;=5,1,0))</f>
        <v/>
      </c>
      <c r="BH2" s="8" t="str">
        <f t="shared" ref="BH2:BH65" si="9">IF(AD2="","",IF(AND(MONTH(AD2)=8,DAY(AD2)&gt;=15),"Fall",IF(MONTH(AD2)&gt;8,"Fall",IF(MONTH(AD2)=5,"Summer",IF(MONTH(AD2)=1,"Spring","")))))</f>
        <v/>
      </c>
      <c r="BI2" s="8"/>
      <c r="BJ2" s="8"/>
      <c r="BK2" s="8"/>
      <c r="BL2" s="10" t="str">
        <f>IFERROR(INDEX(_names_lookup!$C:$C,MATCH(BK2,_names_lookup!$A:$A,0)),"")</f>
        <v/>
      </c>
      <c r="BM2" s="10" t="str">
        <f>IFERROR(INDEX(_names_lookup!$B:$B,MATCH(BK2,_names_lookup!$A:$A,0)),"")</f>
        <v/>
      </c>
      <c r="BN2" s="11"/>
      <c r="BO2" s="11"/>
      <c r="BP2" s="8"/>
      <c r="BQ2" s="8"/>
      <c r="BR2" s="8"/>
      <c r="BS2" s="8" t="str">
        <f t="shared" ref="BS2:BS65" si="10">IFERROR(IF(BR2*AA2=0,"",BR2*AA2),"")</f>
        <v/>
      </c>
      <c r="BT2" s="12"/>
      <c r="BU2" s="8"/>
      <c r="BV2" s="8"/>
      <c r="BW2" s="8"/>
      <c r="BX2" s="13"/>
      <c r="BY2" s="13"/>
      <c r="BZ2" s="13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12"/>
      <c r="DH2" s="12"/>
      <c r="DI2" s="8"/>
      <c r="DJ2" s="8"/>
      <c r="DK2" s="8"/>
      <c r="DL2" s="8"/>
      <c r="DM2" s="8"/>
      <c r="DN2" s="8"/>
      <c r="DO2" s="8"/>
      <c r="DP2" s="8"/>
      <c r="DQ2" s="8"/>
      <c r="DR2" s="8"/>
    </row>
    <row r="3" spans="1:122" ht="16" customHeight="1" x14ac:dyDescent="0.2">
      <c r="A3" s="6"/>
      <c r="B3" s="6"/>
      <c r="C3" s="6"/>
      <c r="D3" s="6"/>
      <c r="E3" s="6"/>
      <c r="F3" s="6"/>
      <c r="G3" s="7"/>
      <c r="H3" s="8"/>
      <c r="I3" s="8"/>
      <c r="J3" s="8"/>
      <c r="K3" s="8"/>
      <c r="L3" s="8"/>
      <c r="M3" s="8"/>
      <c r="N3" s="8"/>
      <c r="O3" s="9" t="str">
        <f>IFERROR(INDEX(_courses_lookup!$C:$C,MATCH(K3&amp;L3,_courses_lookup!$E:$E,0)),"")</f>
        <v/>
      </c>
      <c r="P3" s="8" t="str">
        <f>IFERROR(INDEX(_courses_lookup!$D:$D,MATCH(K3&amp;L3,_courses_lookup!$E:$E,0)),"")</f>
        <v/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 t="str">
        <f t="shared" si="0"/>
        <v/>
      </c>
      <c r="AH3" s="8"/>
      <c r="AI3" s="8" t="str">
        <f t="shared" si="1"/>
        <v/>
      </c>
      <c r="AJ3" s="8"/>
      <c r="AK3" s="8"/>
      <c r="AL3" s="8" t="str">
        <f t="shared" si="2"/>
        <v/>
      </c>
      <c r="AM3" s="8"/>
      <c r="AN3" s="8" t="str">
        <f t="shared" si="3"/>
        <v/>
      </c>
      <c r="AO3" s="8"/>
      <c r="AP3" s="8"/>
      <c r="AQ3" s="8" t="str">
        <f t="shared" si="4"/>
        <v/>
      </c>
      <c r="AR3" s="8" t="str">
        <f t="shared" si="5"/>
        <v/>
      </c>
      <c r="AS3" s="8" t="str">
        <f t="shared" si="6"/>
        <v/>
      </c>
      <c r="AT3" s="8" t="str">
        <f t="shared" si="7"/>
        <v/>
      </c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 t="str">
        <f t="shared" si="8"/>
        <v/>
      </c>
      <c r="BH3" s="8" t="str">
        <f t="shared" si="9"/>
        <v/>
      </c>
      <c r="BI3" s="8"/>
      <c r="BJ3" s="8"/>
      <c r="BK3" s="8"/>
      <c r="BL3" s="10" t="str">
        <f>IFERROR(INDEX(_names_lookup!$C:$C,MATCH(BK3,_names_lookup!$A:$A,0)),"")</f>
        <v/>
      </c>
      <c r="BM3" s="10" t="str">
        <f>IFERROR(INDEX(_names_lookup!$B:$B,MATCH(BK3,_names_lookup!$A:$A,0)),"")</f>
        <v/>
      </c>
      <c r="BN3" s="11"/>
      <c r="BO3" s="11"/>
      <c r="BP3" s="8"/>
      <c r="BQ3" s="8"/>
      <c r="BR3" s="8"/>
      <c r="BS3" s="8" t="str">
        <f t="shared" si="10"/>
        <v/>
      </c>
      <c r="BT3" s="12"/>
      <c r="BU3" s="8"/>
      <c r="BV3" s="8"/>
      <c r="BW3" s="8"/>
      <c r="BX3" s="12"/>
      <c r="BY3" s="12"/>
      <c r="BZ3" s="12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</row>
    <row r="4" spans="1:122" ht="16" customHeight="1" x14ac:dyDescent="0.2">
      <c r="A4" s="14"/>
      <c r="B4" s="14"/>
      <c r="C4" s="14"/>
      <c r="D4" s="14"/>
      <c r="E4" s="14"/>
      <c r="F4" s="14"/>
      <c r="G4" s="7"/>
      <c r="H4" s="8"/>
      <c r="I4" s="8"/>
      <c r="J4" s="8"/>
      <c r="K4" s="8"/>
      <c r="L4" s="8"/>
      <c r="M4" s="8"/>
      <c r="N4" s="8"/>
      <c r="O4" s="9" t="str">
        <f>IFERROR(INDEX(_courses_lookup!$C:$C,MATCH(K4&amp;L4,_courses_lookup!$E:$E,0)),"")</f>
        <v/>
      </c>
      <c r="P4" s="8" t="str">
        <f>IFERROR(INDEX(_courses_lookup!$D:$D,MATCH(K4&amp;L4,_courses_lookup!$E:$E,0)),"")</f>
        <v/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 t="str">
        <f t="shared" si="0"/>
        <v/>
      </c>
      <c r="AH4" s="8"/>
      <c r="AI4" s="8" t="str">
        <f t="shared" si="1"/>
        <v/>
      </c>
      <c r="AJ4" s="8"/>
      <c r="AK4" s="8"/>
      <c r="AL4" s="8" t="str">
        <f t="shared" si="2"/>
        <v/>
      </c>
      <c r="AM4" s="8"/>
      <c r="AN4" s="8" t="str">
        <f t="shared" si="3"/>
        <v/>
      </c>
      <c r="AO4" s="8"/>
      <c r="AP4" s="8"/>
      <c r="AQ4" s="8" t="str">
        <f t="shared" si="4"/>
        <v/>
      </c>
      <c r="AR4" s="8" t="str">
        <f t="shared" si="5"/>
        <v/>
      </c>
      <c r="AS4" s="8" t="str">
        <f t="shared" si="6"/>
        <v/>
      </c>
      <c r="AT4" s="8" t="str">
        <f t="shared" si="7"/>
        <v/>
      </c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 t="str">
        <f t="shared" si="8"/>
        <v/>
      </c>
      <c r="BH4" s="8" t="str">
        <f t="shared" si="9"/>
        <v/>
      </c>
      <c r="BI4" s="8"/>
      <c r="BJ4" s="8"/>
      <c r="BK4" s="8"/>
      <c r="BL4" s="10" t="str">
        <f>IFERROR(INDEX(_names_lookup!$C:$C,MATCH(BK4,_names_lookup!$A:$A,0)),"")</f>
        <v/>
      </c>
      <c r="BM4" s="10" t="str">
        <f>IFERROR(INDEX(_names_lookup!$B:$B,MATCH(BK4,_names_lookup!$A:$A,0)),"")</f>
        <v/>
      </c>
      <c r="BN4" s="11"/>
      <c r="BO4" s="15"/>
      <c r="BP4" s="8"/>
      <c r="BQ4" s="8"/>
      <c r="BR4" s="8"/>
      <c r="BS4" s="12" t="str">
        <f t="shared" si="10"/>
        <v/>
      </c>
      <c r="BT4" s="12"/>
      <c r="BU4" s="12"/>
      <c r="BV4" s="8"/>
      <c r="BW4" s="8"/>
      <c r="BX4" s="12"/>
      <c r="BY4" s="12"/>
      <c r="BZ4" s="12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12"/>
      <c r="DR4" s="12"/>
    </row>
    <row r="5" spans="1:122" ht="16" customHeight="1" x14ac:dyDescent="0.2">
      <c r="A5" s="14"/>
      <c r="B5" s="14"/>
      <c r="C5" s="14"/>
      <c r="D5" s="14"/>
      <c r="E5" s="14"/>
      <c r="F5" s="14"/>
      <c r="G5" s="7"/>
      <c r="H5" s="8"/>
      <c r="I5" s="8"/>
      <c r="J5" s="8"/>
      <c r="K5" s="8"/>
      <c r="L5" s="8"/>
      <c r="M5" s="8"/>
      <c r="N5" s="8"/>
      <c r="O5" s="9" t="str">
        <f>IFERROR(INDEX(_courses_lookup!$C:$C,MATCH(K5&amp;L5,_courses_lookup!$E:$E,0)),"")</f>
        <v/>
      </c>
      <c r="P5" s="8" t="str">
        <f>IFERROR(INDEX(_courses_lookup!$D:$D,MATCH(K5&amp;L5,_courses_lookup!$E:$E,0)),"")</f>
        <v/>
      </c>
      <c r="Q5" s="8"/>
      <c r="R5" s="8"/>
      <c r="S5" s="8"/>
      <c r="T5" s="8"/>
      <c r="U5" s="8"/>
      <c r="V5" s="8"/>
      <c r="W5" s="8"/>
      <c r="X5" s="12"/>
      <c r="Y5" s="8"/>
      <c r="Z5" s="8"/>
      <c r="AA5" s="8"/>
      <c r="AB5" s="8"/>
      <c r="AC5" s="8"/>
      <c r="AD5" s="8"/>
      <c r="AE5" s="8"/>
      <c r="AF5" s="8"/>
      <c r="AG5" s="8" t="str">
        <f t="shared" si="0"/>
        <v/>
      </c>
      <c r="AH5" s="8"/>
      <c r="AI5" s="8" t="str">
        <f t="shared" si="1"/>
        <v/>
      </c>
      <c r="AJ5" s="8"/>
      <c r="AK5" s="8"/>
      <c r="AL5" s="8" t="str">
        <f t="shared" si="2"/>
        <v/>
      </c>
      <c r="AM5" s="8"/>
      <c r="AN5" s="8" t="str">
        <f t="shared" si="3"/>
        <v/>
      </c>
      <c r="AO5" s="8"/>
      <c r="AP5" s="8"/>
      <c r="AQ5" s="8" t="str">
        <f t="shared" si="4"/>
        <v/>
      </c>
      <c r="AR5" s="8" t="str">
        <f t="shared" si="5"/>
        <v/>
      </c>
      <c r="AS5" s="8" t="str">
        <f t="shared" si="6"/>
        <v/>
      </c>
      <c r="AT5" s="8" t="str">
        <f t="shared" si="7"/>
        <v/>
      </c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 t="str">
        <f t="shared" si="8"/>
        <v/>
      </c>
      <c r="BH5" s="8" t="str">
        <f t="shared" si="9"/>
        <v/>
      </c>
      <c r="BI5" s="12"/>
      <c r="BJ5" s="8"/>
      <c r="BK5" s="8"/>
      <c r="BL5" s="10" t="str">
        <f>IFERROR(INDEX(_names_lookup!$C:$C,MATCH(BK5,_names_lookup!$A:$A,0)),"")</f>
        <v/>
      </c>
      <c r="BM5" s="10" t="str">
        <f>IFERROR(INDEX(_names_lookup!$B:$B,MATCH(BK5,_names_lookup!$A:$A,0)),"")</f>
        <v/>
      </c>
      <c r="BN5" s="11"/>
      <c r="BO5" s="15"/>
      <c r="BP5" s="12"/>
      <c r="BQ5" s="8"/>
      <c r="BR5" s="12"/>
      <c r="BS5" s="12" t="str">
        <f t="shared" si="10"/>
        <v/>
      </c>
      <c r="BT5" s="12"/>
      <c r="BU5" s="12"/>
      <c r="BV5" s="8"/>
      <c r="BW5" s="8"/>
      <c r="BX5" s="12"/>
      <c r="BY5" s="12"/>
      <c r="BZ5" s="12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12"/>
      <c r="DR5" s="12"/>
    </row>
    <row r="6" spans="1:122" ht="16" customHeight="1" x14ac:dyDescent="0.2">
      <c r="A6" s="14"/>
      <c r="B6" s="14"/>
      <c r="C6" s="14"/>
      <c r="D6" s="14"/>
      <c r="E6" s="14"/>
      <c r="F6" s="14"/>
      <c r="G6" s="7"/>
      <c r="H6" s="8"/>
      <c r="I6" s="8"/>
      <c r="J6" s="8"/>
      <c r="K6" s="8"/>
      <c r="L6" s="8"/>
      <c r="M6" s="8"/>
      <c r="N6" s="8"/>
      <c r="O6" s="9" t="str">
        <f>IFERROR(INDEX(_courses_lookup!$C:$C,MATCH(K6&amp;L6,_courses_lookup!$E:$E,0)),"")</f>
        <v/>
      </c>
      <c r="P6" s="8" t="str">
        <f>IFERROR(INDEX(_courses_lookup!$D:$D,MATCH(K6&amp;L6,_courses_lookup!$E:$E,0)),"")</f>
        <v/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 t="str">
        <f t="shared" si="0"/>
        <v/>
      </c>
      <c r="AH6" s="8"/>
      <c r="AI6" s="8" t="str">
        <f t="shared" si="1"/>
        <v/>
      </c>
      <c r="AJ6" s="8"/>
      <c r="AK6" s="8"/>
      <c r="AL6" s="8" t="str">
        <f t="shared" si="2"/>
        <v/>
      </c>
      <c r="AM6" s="8"/>
      <c r="AN6" s="8" t="str">
        <f t="shared" si="3"/>
        <v/>
      </c>
      <c r="AO6" s="8"/>
      <c r="AP6" s="8"/>
      <c r="AQ6" s="8" t="str">
        <f t="shared" si="4"/>
        <v/>
      </c>
      <c r="AR6" s="8" t="str">
        <f t="shared" si="5"/>
        <v/>
      </c>
      <c r="AS6" s="8" t="str">
        <f t="shared" si="6"/>
        <v/>
      </c>
      <c r="AT6" s="8" t="str">
        <f t="shared" si="7"/>
        <v/>
      </c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 t="str">
        <f t="shared" si="8"/>
        <v/>
      </c>
      <c r="BH6" s="8" t="str">
        <f t="shared" si="9"/>
        <v/>
      </c>
      <c r="BI6" s="12"/>
      <c r="BJ6" s="8"/>
      <c r="BK6" s="8"/>
      <c r="BL6" s="10" t="str">
        <f>IFERROR(INDEX(_names_lookup!$C:$C,MATCH(BK6,_names_lookup!$A:$A,0)),"")</f>
        <v/>
      </c>
      <c r="BM6" s="10" t="str">
        <f>IFERROR(INDEX(_names_lookup!$B:$B,MATCH(BK6,_names_lookup!$A:$A,0)),"")</f>
        <v/>
      </c>
      <c r="BN6" s="11"/>
      <c r="BO6" s="15"/>
      <c r="BP6" s="12"/>
      <c r="BQ6" s="11"/>
      <c r="BR6" s="12"/>
      <c r="BS6" s="12" t="str">
        <f t="shared" si="10"/>
        <v/>
      </c>
      <c r="BT6" s="12"/>
      <c r="BU6" s="12"/>
      <c r="BV6" s="8"/>
      <c r="BW6" s="8"/>
      <c r="BX6" s="12"/>
      <c r="BY6" s="12"/>
      <c r="BZ6" s="12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12"/>
      <c r="DR6" s="12"/>
    </row>
    <row r="7" spans="1:122" ht="16" customHeight="1" x14ac:dyDescent="0.2">
      <c r="A7" s="14"/>
      <c r="B7" s="14"/>
      <c r="C7" s="14"/>
      <c r="D7" s="14"/>
      <c r="E7" s="14"/>
      <c r="F7" s="14"/>
      <c r="G7" s="7"/>
      <c r="H7" s="8"/>
      <c r="I7" s="8"/>
      <c r="J7" s="8"/>
      <c r="K7" s="8"/>
      <c r="L7" s="8"/>
      <c r="M7" s="8"/>
      <c r="N7" s="8"/>
      <c r="O7" s="9" t="str">
        <f>IFERROR(INDEX(_courses_lookup!$C:$C,MATCH(K7&amp;L7,_courses_lookup!$E:$E,0)),"")</f>
        <v/>
      </c>
      <c r="P7" s="8" t="str">
        <f>IFERROR(INDEX(_courses_lookup!$D:$D,MATCH(K7&amp;L7,_courses_lookup!$E:$E,0)),"")</f>
        <v/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 t="str">
        <f t="shared" si="0"/>
        <v/>
      </c>
      <c r="AH7" s="8"/>
      <c r="AI7" s="8" t="str">
        <f t="shared" si="1"/>
        <v/>
      </c>
      <c r="AJ7" s="8"/>
      <c r="AK7" s="8"/>
      <c r="AL7" s="8" t="str">
        <f t="shared" si="2"/>
        <v/>
      </c>
      <c r="AM7" s="8"/>
      <c r="AN7" s="8" t="str">
        <f t="shared" si="3"/>
        <v/>
      </c>
      <c r="AO7" s="8"/>
      <c r="AP7" s="8"/>
      <c r="AQ7" s="8" t="str">
        <f t="shared" si="4"/>
        <v/>
      </c>
      <c r="AR7" s="8" t="str">
        <f t="shared" si="5"/>
        <v/>
      </c>
      <c r="AS7" s="8" t="str">
        <f t="shared" si="6"/>
        <v/>
      </c>
      <c r="AT7" s="8" t="str">
        <f t="shared" si="7"/>
        <v/>
      </c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 t="str">
        <f t="shared" si="8"/>
        <v/>
      </c>
      <c r="BH7" s="8" t="str">
        <f t="shared" si="9"/>
        <v/>
      </c>
      <c r="BI7" s="12"/>
      <c r="BJ7" s="8"/>
      <c r="BK7" s="8"/>
      <c r="BL7" s="10" t="str">
        <f>IFERROR(INDEX(_names_lookup!$C:$C,MATCH(BK7,_names_lookup!$A:$A,0)),"")</f>
        <v/>
      </c>
      <c r="BM7" s="10" t="str">
        <f>IFERROR(INDEX(_names_lookup!$B:$B,MATCH(BK7,_names_lookup!$A:$A,0)),"")</f>
        <v/>
      </c>
      <c r="BN7" s="11"/>
      <c r="BO7" s="15"/>
      <c r="BP7" s="12"/>
      <c r="BQ7" s="12"/>
      <c r="BR7" s="12"/>
      <c r="BS7" s="12" t="str">
        <f t="shared" si="10"/>
        <v/>
      </c>
      <c r="BT7" s="12"/>
      <c r="BU7" s="12"/>
      <c r="BV7" s="8"/>
      <c r="BW7" s="8"/>
      <c r="BX7" s="12"/>
      <c r="BY7" s="12"/>
      <c r="BZ7" s="12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12"/>
      <c r="DR7" s="12"/>
    </row>
    <row r="8" spans="1:122" ht="16" customHeight="1" x14ac:dyDescent="0.2">
      <c r="A8" s="14"/>
      <c r="B8" s="14"/>
      <c r="C8" s="14"/>
      <c r="D8" s="14"/>
      <c r="E8" s="14"/>
      <c r="F8" s="14"/>
      <c r="G8" s="7"/>
      <c r="H8" s="8"/>
      <c r="I8" s="8"/>
      <c r="J8" s="8"/>
      <c r="K8" s="8"/>
      <c r="L8" s="8"/>
      <c r="M8" s="8"/>
      <c r="N8" s="8"/>
      <c r="O8" s="9" t="str">
        <f>IFERROR(INDEX(_courses_lookup!$C:$C,MATCH(K8&amp;L8,_courses_lookup!$E:$E,0)),"")</f>
        <v/>
      </c>
      <c r="P8" s="8" t="str">
        <f>IFERROR(INDEX(_courses_lookup!$D:$D,MATCH(K8&amp;L8,_courses_lookup!$E:$E,0)),"")</f>
        <v/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 t="str">
        <f t="shared" si="0"/>
        <v/>
      </c>
      <c r="AH8" s="8"/>
      <c r="AI8" s="8" t="str">
        <f t="shared" si="1"/>
        <v/>
      </c>
      <c r="AJ8" s="8"/>
      <c r="AK8" s="8"/>
      <c r="AL8" s="8" t="str">
        <f t="shared" si="2"/>
        <v/>
      </c>
      <c r="AM8" s="8"/>
      <c r="AN8" s="8" t="str">
        <f t="shared" si="3"/>
        <v/>
      </c>
      <c r="AO8" s="8"/>
      <c r="AP8" s="8"/>
      <c r="AQ8" s="8" t="str">
        <f t="shared" si="4"/>
        <v/>
      </c>
      <c r="AR8" s="8" t="str">
        <f t="shared" si="5"/>
        <v/>
      </c>
      <c r="AS8" s="8" t="str">
        <f t="shared" si="6"/>
        <v/>
      </c>
      <c r="AT8" s="8" t="str">
        <f t="shared" si="7"/>
        <v/>
      </c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 t="str">
        <f t="shared" si="8"/>
        <v/>
      </c>
      <c r="BH8" s="8" t="str">
        <f t="shared" si="9"/>
        <v/>
      </c>
      <c r="BI8" s="12"/>
      <c r="BJ8" s="8"/>
      <c r="BK8" s="8"/>
      <c r="BL8" s="10" t="str">
        <f>IFERROR(INDEX(_names_lookup!$C:$C,MATCH(BK8,_names_lookup!$A:$A,0)),"")</f>
        <v/>
      </c>
      <c r="BM8" s="10" t="str">
        <f>IFERROR(INDEX(_names_lookup!$B:$B,MATCH(BK8,_names_lookup!$A:$A,0)),"")</f>
        <v/>
      </c>
      <c r="BN8" s="11"/>
      <c r="BO8" s="15"/>
      <c r="BP8" s="12"/>
      <c r="BQ8" s="12"/>
      <c r="BR8" s="12"/>
      <c r="BS8" s="12" t="str">
        <f t="shared" si="10"/>
        <v/>
      </c>
      <c r="BT8" s="12"/>
      <c r="BU8" s="12"/>
      <c r="BV8" s="8"/>
      <c r="BW8" s="8"/>
      <c r="BX8" s="12"/>
      <c r="BY8" s="12"/>
      <c r="BZ8" s="12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12"/>
      <c r="DR8" s="12"/>
    </row>
    <row r="9" spans="1:122" ht="16" customHeight="1" x14ac:dyDescent="0.2">
      <c r="A9" s="14"/>
      <c r="B9" s="14"/>
      <c r="C9" s="14"/>
      <c r="D9" s="14"/>
      <c r="E9" s="14"/>
      <c r="F9" s="14"/>
      <c r="G9" s="7"/>
      <c r="H9" s="8"/>
      <c r="I9" s="8"/>
      <c r="J9" s="8"/>
      <c r="K9" s="8"/>
      <c r="L9" s="8"/>
      <c r="M9" s="8"/>
      <c r="N9" s="8"/>
      <c r="O9" s="9" t="str">
        <f>IFERROR(INDEX(_courses_lookup!$C:$C,MATCH(K9&amp;L9,_courses_lookup!$E:$E,0)),"")</f>
        <v/>
      </c>
      <c r="P9" s="8" t="str">
        <f>IFERROR(INDEX(_courses_lookup!$D:$D,MATCH(K9&amp;L9,_courses_lookup!$E:$E,0)),"")</f>
        <v/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 t="str">
        <f t="shared" si="0"/>
        <v/>
      </c>
      <c r="AH9" s="8"/>
      <c r="AI9" s="8" t="str">
        <f t="shared" si="1"/>
        <v/>
      </c>
      <c r="AJ9" s="8"/>
      <c r="AK9" s="8"/>
      <c r="AL9" s="8" t="str">
        <f t="shared" si="2"/>
        <v/>
      </c>
      <c r="AM9" s="8"/>
      <c r="AN9" s="8" t="str">
        <f t="shared" si="3"/>
        <v/>
      </c>
      <c r="AO9" s="8"/>
      <c r="AP9" s="8"/>
      <c r="AQ9" s="8" t="str">
        <f t="shared" si="4"/>
        <v/>
      </c>
      <c r="AR9" s="8" t="str">
        <f t="shared" si="5"/>
        <v/>
      </c>
      <c r="AS9" s="8" t="str">
        <f t="shared" si="6"/>
        <v/>
      </c>
      <c r="AT9" s="8" t="str">
        <f t="shared" si="7"/>
        <v/>
      </c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 t="str">
        <f t="shared" si="8"/>
        <v/>
      </c>
      <c r="BH9" s="8" t="str">
        <f t="shared" si="9"/>
        <v/>
      </c>
      <c r="BI9" s="12"/>
      <c r="BJ9" s="8"/>
      <c r="BK9" s="8"/>
      <c r="BL9" s="10" t="str">
        <f>IFERROR(INDEX(_names_lookup!$C:$C,MATCH(BK9,_names_lookup!$A:$A,0)),"")</f>
        <v/>
      </c>
      <c r="BM9" s="10" t="str">
        <f>IFERROR(INDEX(_names_lookup!$B:$B,MATCH(BK9,_names_lookup!$A:$A,0)),"")</f>
        <v/>
      </c>
      <c r="BN9" s="11"/>
      <c r="BO9" s="15"/>
      <c r="BP9" s="12"/>
      <c r="BQ9" s="12"/>
      <c r="BR9" s="12"/>
      <c r="BS9" s="12" t="str">
        <f t="shared" si="10"/>
        <v/>
      </c>
      <c r="BT9" s="12"/>
      <c r="BU9" s="12"/>
      <c r="BV9" s="8"/>
      <c r="BW9" s="8"/>
      <c r="BX9" s="12"/>
      <c r="BY9" s="12"/>
      <c r="BZ9" s="12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12"/>
      <c r="DR9" s="12"/>
    </row>
    <row r="10" spans="1:122" ht="16" customHeight="1" x14ac:dyDescent="0.2">
      <c r="A10" s="14"/>
      <c r="B10" s="14"/>
      <c r="C10" s="14"/>
      <c r="D10" s="14"/>
      <c r="E10" s="14"/>
      <c r="F10" s="14"/>
      <c r="G10" s="7"/>
      <c r="H10" s="8"/>
      <c r="I10" s="8"/>
      <c r="J10" s="8"/>
      <c r="K10" s="8"/>
      <c r="L10" s="8"/>
      <c r="M10" s="8"/>
      <c r="N10" s="8"/>
      <c r="O10" s="9" t="str">
        <f>IFERROR(INDEX(_courses_lookup!$C:$C,MATCH(K10&amp;L10,_courses_lookup!$E:$E,0)),"")</f>
        <v/>
      </c>
      <c r="P10" s="8" t="str">
        <f>IFERROR(INDEX(_courses_lookup!$D:$D,MATCH(K10&amp;L10,_courses_lookup!$E:$E,0)),"")</f>
        <v/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 t="str">
        <f t="shared" si="0"/>
        <v/>
      </c>
      <c r="AH10" s="8"/>
      <c r="AI10" s="8" t="str">
        <f t="shared" si="1"/>
        <v/>
      </c>
      <c r="AJ10" s="8"/>
      <c r="AK10" s="8"/>
      <c r="AL10" s="8" t="str">
        <f t="shared" si="2"/>
        <v/>
      </c>
      <c r="AM10" s="8"/>
      <c r="AN10" s="8" t="str">
        <f t="shared" si="3"/>
        <v/>
      </c>
      <c r="AO10" s="8"/>
      <c r="AP10" s="8"/>
      <c r="AQ10" s="8" t="str">
        <f t="shared" si="4"/>
        <v/>
      </c>
      <c r="AR10" s="8" t="str">
        <f t="shared" si="5"/>
        <v/>
      </c>
      <c r="AS10" s="8" t="str">
        <f t="shared" si="6"/>
        <v/>
      </c>
      <c r="AT10" s="8" t="str">
        <f t="shared" si="7"/>
        <v/>
      </c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 t="str">
        <f t="shared" si="8"/>
        <v/>
      </c>
      <c r="BH10" s="8" t="str">
        <f t="shared" si="9"/>
        <v/>
      </c>
      <c r="BI10" s="12"/>
      <c r="BJ10" s="8"/>
      <c r="BK10" s="8"/>
      <c r="BL10" s="10" t="str">
        <f>IFERROR(INDEX(_names_lookup!$C:$C,MATCH(BK10,_names_lookup!$A:$A,0)),"")</f>
        <v/>
      </c>
      <c r="BM10" s="10" t="str">
        <f>IFERROR(INDEX(_names_lookup!$B:$B,MATCH(BK10,_names_lookup!$A:$A,0)),"")</f>
        <v/>
      </c>
      <c r="BN10" s="11"/>
      <c r="BO10" s="15"/>
      <c r="BP10" s="12"/>
      <c r="BQ10" s="12"/>
      <c r="BR10" s="12"/>
      <c r="BS10" s="12" t="str">
        <f t="shared" si="10"/>
        <v/>
      </c>
      <c r="BT10" s="12"/>
      <c r="BU10" s="12"/>
      <c r="BV10" s="8"/>
      <c r="BW10" s="8"/>
      <c r="BX10" s="12"/>
      <c r="BY10" s="12"/>
      <c r="BZ10" s="12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12"/>
      <c r="DR10" s="12"/>
    </row>
    <row r="11" spans="1:122" ht="16" customHeight="1" x14ac:dyDescent="0.2">
      <c r="A11" s="14"/>
      <c r="B11" s="14"/>
      <c r="C11" s="14"/>
      <c r="D11" s="14"/>
      <c r="E11" s="14"/>
      <c r="F11" s="14"/>
      <c r="G11" s="7"/>
      <c r="H11" s="8"/>
      <c r="I11" s="8"/>
      <c r="J11" s="8"/>
      <c r="K11" s="8"/>
      <c r="L11" s="8"/>
      <c r="M11" s="8"/>
      <c r="N11" s="8"/>
      <c r="O11" s="9" t="str">
        <f>IFERROR(INDEX(_courses_lookup!$C:$C,MATCH(K11&amp;L11,_courses_lookup!$E:$E,0)),"")</f>
        <v/>
      </c>
      <c r="P11" s="8" t="str">
        <f>IFERROR(INDEX(_courses_lookup!$D:$D,MATCH(K11&amp;L11,_courses_lookup!$E:$E,0)),"")</f>
        <v/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 t="str">
        <f t="shared" si="0"/>
        <v/>
      </c>
      <c r="AH11" s="8"/>
      <c r="AI11" s="8" t="str">
        <f t="shared" si="1"/>
        <v/>
      </c>
      <c r="AJ11" s="8"/>
      <c r="AK11" s="8"/>
      <c r="AL11" s="8" t="str">
        <f t="shared" si="2"/>
        <v/>
      </c>
      <c r="AM11" s="8"/>
      <c r="AN11" s="8" t="str">
        <f t="shared" si="3"/>
        <v/>
      </c>
      <c r="AO11" s="8"/>
      <c r="AP11" s="8"/>
      <c r="AQ11" s="8" t="str">
        <f t="shared" si="4"/>
        <v/>
      </c>
      <c r="AR11" s="8" t="str">
        <f t="shared" si="5"/>
        <v/>
      </c>
      <c r="AS11" s="8" t="str">
        <f t="shared" si="6"/>
        <v/>
      </c>
      <c r="AT11" s="8" t="str">
        <f t="shared" si="7"/>
        <v/>
      </c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 t="str">
        <f t="shared" si="8"/>
        <v/>
      </c>
      <c r="BH11" s="8" t="str">
        <f t="shared" si="9"/>
        <v/>
      </c>
      <c r="BI11" s="12"/>
      <c r="BJ11" s="8"/>
      <c r="BK11" s="8"/>
      <c r="BL11" s="10" t="str">
        <f>IFERROR(INDEX(_names_lookup!$C:$C,MATCH(BK11,_names_lookup!$A:$A,0)),"")</f>
        <v/>
      </c>
      <c r="BM11" s="10" t="str">
        <f>IFERROR(INDEX(_names_lookup!$B:$B,MATCH(BK11,_names_lookup!$A:$A,0)),"")</f>
        <v/>
      </c>
      <c r="BN11" s="11"/>
      <c r="BO11" s="15"/>
      <c r="BP11" s="12"/>
      <c r="BQ11" s="12"/>
      <c r="BR11" s="12"/>
      <c r="BS11" s="12" t="str">
        <f t="shared" si="10"/>
        <v/>
      </c>
      <c r="BT11" s="12"/>
      <c r="BU11" s="12"/>
      <c r="BV11" s="8"/>
      <c r="BW11" s="8"/>
      <c r="BX11" s="12"/>
      <c r="BY11" s="12"/>
      <c r="BZ11" s="12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12"/>
      <c r="DR11" s="12"/>
    </row>
    <row r="12" spans="1:122" ht="16" customHeight="1" x14ac:dyDescent="0.2">
      <c r="A12" s="14"/>
      <c r="B12" s="14"/>
      <c r="C12" s="14"/>
      <c r="D12" s="14"/>
      <c r="E12" s="14"/>
      <c r="F12" s="14"/>
      <c r="G12" s="7"/>
      <c r="H12" s="8"/>
      <c r="I12" s="8"/>
      <c r="J12" s="8"/>
      <c r="K12" s="8"/>
      <c r="L12" s="8"/>
      <c r="M12" s="8"/>
      <c r="N12" s="8"/>
      <c r="O12" s="9" t="str">
        <f>IFERROR(INDEX(_courses_lookup!$C:$C,MATCH(K12&amp;L12,_courses_lookup!$E:$E,0)),"")</f>
        <v/>
      </c>
      <c r="P12" s="8" t="str">
        <f>IFERROR(INDEX(_courses_lookup!$D:$D,MATCH(K12&amp;L12,_courses_lookup!$E:$E,0)),"")</f>
        <v/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 t="str">
        <f t="shared" si="0"/>
        <v/>
      </c>
      <c r="AH12" s="8"/>
      <c r="AI12" s="8" t="str">
        <f t="shared" si="1"/>
        <v/>
      </c>
      <c r="AJ12" s="8"/>
      <c r="AK12" s="8"/>
      <c r="AL12" s="8" t="str">
        <f t="shared" si="2"/>
        <v/>
      </c>
      <c r="AM12" s="8"/>
      <c r="AN12" s="8" t="str">
        <f t="shared" si="3"/>
        <v/>
      </c>
      <c r="AO12" s="8"/>
      <c r="AP12" s="8"/>
      <c r="AQ12" s="8" t="str">
        <f t="shared" si="4"/>
        <v/>
      </c>
      <c r="AR12" s="8" t="str">
        <f t="shared" si="5"/>
        <v/>
      </c>
      <c r="AS12" s="8" t="str">
        <f t="shared" si="6"/>
        <v/>
      </c>
      <c r="AT12" s="8" t="str">
        <f t="shared" si="7"/>
        <v/>
      </c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 t="str">
        <f t="shared" si="8"/>
        <v/>
      </c>
      <c r="BH12" s="8" t="str">
        <f t="shared" si="9"/>
        <v/>
      </c>
      <c r="BI12" s="12"/>
      <c r="BJ12" s="8"/>
      <c r="BK12" s="8"/>
      <c r="BL12" s="10" t="str">
        <f>IFERROR(INDEX(_names_lookup!$C:$C,MATCH(BK12,_names_lookup!$A:$A,0)),"")</f>
        <v/>
      </c>
      <c r="BM12" s="10" t="str">
        <f>IFERROR(INDEX(_names_lookup!$B:$B,MATCH(BK12,_names_lookup!$A:$A,0)),"")</f>
        <v/>
      </c>
      <c r="BN12" s="11"/>
      <c r="BO12" s="15"/>
      <c r="BP12" s="12"/>
      <c r="BQ12" s="12"/>
      <c r="BR12" s="12"/>
      <c r="BS12" s="12" t="str">
        <f t="shared" si="10"/>
        <v/>
      </c>
      <c r="BT12" s="12"/>
      <c r="BU12" s="12"/>
      <c r="BV12" s="12"/>
      <c r="BW12" s="8"/>
      <c r="BX12" s="12"/>
      <c r="BY12" s="12"/>
      <c r="BZ12" s="12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12"/>
      <c r="DR12" s="12"/>
    </row>
    <row r="13" spans="1:122" ht="16" customHeight="1" x14ac:dyDescent="0.2">
      <c r="A13" s="14"/>
      <c r="B13" s="14"/>
      <c r="C13" s="14"/>
      <c r="D13" s="14"/>
      <c r="E13" s="14"/>
      <c r="F13" s="14"/>
      <c r="G13" s="7"/>
      <c r="H13" s="8"/>
      <c r="I13" s="8"/>
      <c r="J13" s="8"/>
      <c r="K13" s="8"/>
      <c r="L13" s="8"/>
      <c r="M13" s="8"/>
      <c r="N13" s="8"/>
      <c r="O13" s="9" t="str">
        <f>IFERROR(INDEX(_courses_lookup!$C:$C,MATCH(K13&amp;L13,_courses_lookup!$E:$E,0)),"")</f>
        <v/>
      </c>
      <c r="P13" s="8" t="str">
        <f>IFERROR(INDEX(_courses_lookup!$D:$D,MATCH(K13&amp;L13,_courses_lookup!$E:$E,0)),"")</f>
        <v/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 t="str">
        <f t="shared" si="0"/>
        <v/>
      </c>
      <c r="AH13" s="8"/>
      <c r="AI13" s="8" t="str">
        <f t="shared" si="1"/>
        <v/>
      </c>
      <c r="AJ13" s="8"/>
      <c r="AK13" s="8"/>
      <c r="AL13" s="8" t="str">
        <f t="shared" si="2"/>
        <v/>
      </c>
      <c r="AM13" s="8"/>
      <c r="AN13" s="8" t="str">
        <f t="shared" si="3"/>
        <v/>
      </c>
      <c r="AO13" s="8"/>
      <c r="AP13" s="8"/>
      <c r="AQ13" s="8" t="str">
        <f t="shared" si="4"/>
        <v/>
      </c>
      <c r="AR13" s="8" t="str">
        <f t="shared" si="5"/>
        <v/>
      </c>
      <c r="AS13" s="8" t="str">
        <f t="shared" si="6"/>
        <v/>
      </c>
      <c r="AT13" s="8" t="str">
        <f t="shared" si="7"/>
        <v/>
      </c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 t="str">
        <f t="shared" si="8"/>
        <v/>
      </c>
      <c r="BH13" s="8" t="str">
        <f t="shared" si="9"/>
        <v/>
      </c>
      <c r="BI13" s="12"/>
      <c r="BJ13" s="8"/>
      <c r="BK13" s="8"/>
      <c r="BL13" s="10" t="str">
        <f>IFERROR(INDEX(_names_lookup!$C:$C,MATCH(BK13,_names_lookup!$A:$A,0)),"")</f>
        <v/>
      </c>
      <c r="BM13" s="10" t="str">
        <f>IFERROR(INDEX(_names_lookup!$B:$B,MATCH(BK13,_names_lookup!$A:$A,0)),"")</f>
        <v/>
      </c>
      <c r="BN13" s="11"/>
      <c r="BO13" s="15"/>
      <c r="BP13" s="12"/>
      <c r="BQ13" s="12"/>
      <c r="BR13" s="12"/>
      <c r="BS13" s="12" t="str">
        <f t="shared" si="10"/>
        <v/>
      </c>
      <c r="BT13" s="12"/>
      <c r="BU13" s="12"/>
      <c r="BV13" s="12"/>
      <c r="BW13" s="8"/>
      <c r="BX13" s="12"/>
      <c r="BY13" s="12"/>
      <c r="BZ13" s="12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12"/>
      <c r="DR13" s="12"/>
    </row>
    <row r="14" spans="1:122" ht="16" customHeight="1" x14ac:dyDescent="0.2">
      <c r="A14" s="14"/>
      <c r="B14" s="14"/>
      <c r="C14" s="14"/>
      <c r="D14" s="14"/>
      <c r="E14" s="14"/>
      <c r="F14" s="14"/>
      <c r="G14" s="7"/>
      <c r="H14" s="8"/>
      <c r="I14" s="8"/>
      <c r="J14" s="8"/>
      <c r="K14" s="8"/>
      <c r="L14" s="8"/>
      <c r="M14" s="8"/>
      <c r="N14" s="8"/>
      <c r="O14" s="9" t="str">
        <f>IFERROR(INDEX(_courses_lookup!$C:$C,MATCH(K14&amp;L14,_courses_lookup!$E:$E,0)),"")</f>
        <v/>
      </c>
      <c r="P14" s="8" t="str">
        <f>IFERROR(INDEX(_courses_lookup!$D:$D,MATCH(K14&amp;L14,_courses_lookup!$E:$E,0)),"")</f>
        <v/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 t="str">
        <f t="shared" si="0"/>
        <v/>
      </c>
      <c r="AH14" s="8"/>
      <c r="AI14" s="8" t="str">
        <f t="shared" si="1"/>
        <v/>
      </c>
      <c r="AJ14" s="8"/>
      <c r="AK14" s="8"/>
      <c r="AL14" s="8" t="str">
        <f t="shared" si="2"/>
        <v/>
      </c>
      <c r="AM14" s="8"/>
      <c r="AN14" s="8" t="str">
        <f t="shared" si="3"/>
        <v/>
      </c>
      <c r="AO14" s="8"/>
      <c r="AP14" s="8"/>
      <c r="AQ14" s="8" t="str">
        <f t="shared" si="4"/>
        <v/>
      </c>
      <c r="AR14" s="8" t="str">
        <f t="shared" si="5"/>
        <v/>
      </c>
      <c r="AS14" s="8" t="str">
        <f t="shared" si="6"/>
        <v/>
      </c>
      <c r="AT14" s="8" t="str">
        <f t="shared" si="7"/>
        <v/>
      </c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 t="str">
        <f t="shared" si="8"/>
        <v/>
      </c>
      <c r="BH14" s="8" t="str">
        <f t="shared" si="9"/>
        <v/>
      </c>
      <c r="BI14" s="12"/>
      <c r="BJ14" s="8"/>
      <c r="BK14" s="8"/>
      <c r="BL14" s="10" t="str">
        <f>IFERROR(INDEX(_names_lookup!$C:$C,MATCH(BK14,_names_lookup!$A:$A,0)),"")</f>
        <v/>
      </c>
      <c r="BM14" s="10" t="str">
        <f>IFERROR(INDEX(_names_lookup!$B:$B,MATCH(BK14,_names_lookup!$A:$A,0)),"")</f>
        <v/>
      </c>
      <c r="BN14" s="11"/>
      <c r="BO14" s="15"/>
      <c r="BP14" s="12"/>
      <c r="BQ14" s="12"/>
      <c r="BR14" s="12"/>
      <c r="BS14" s="12" t="str">
        <f t="shared" si="10"/>
        <v/>
      </c>
      <c r="BT14" s="12"/>
      <c r="BU14" s="12"/>
      <c r="BV14" s="12"/>
      <c r="BW14" s="8"/>
      <c r="BX14" s="12"/>
      <c r="BY14" s="12"/>
      <c r="BZ14" s="12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12"/>
      <c r="DR14" s="12"/>
    </row>
    <row r="15" spans="1:122" ht="16" customHeight="1" x14ac:dyDescent="0.2">
      <c r="A15" s="14"/>
      <c r="B15" s="14"/>
      <c r="C15" s="14"/>
      <c r="D15" s="14"/>
      <c r="E15" s="14"/>
      <c r="F15" s="14"/>
      <c r="G15" s="7"/>
      <c r="H15" s="8"/>
      <c r="I15" s="8"/>
      <c r="J15" s="8"/>
      <c r="K15" s="8"/>
      <c r="L15" s="8"/>
      <c r="M15" s="8"/>
      <c r="N15" s="8"/>
      <c r="O15" s="9" t="str">
        <f>IFERROR(INDEX(_courses_lookup!$C:$C,MATCH(K15&amp;L15,_courses_lookup!$E:$E,0)),"")</f>
        <v/>
      </c>
      <c r="P15" s="8" t="str">
        <f>IFERROR(INDEX(_courses_lookup!$D:$D,MATCH(K15&amp;L15,_courses_lookup!$E:$E,0)),"")</f>
        <v/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 t="str">
        <f t="shared" si="0"/>
        <v/>
      </c>
      <c r="AH15" s="8"/>
      <c r="AI15" s="8" t="str">
        <f t="shared" si="1"/>
        <v/>
      </c>
      <c r="AJ15" s="8"/>
      <c r="AK15" s="8"/>
      <c r="AL15" s="8" t="str">
        <f t="shared" si="2"/>
        <v/>
      </c>
      <c r="AM15" s="8"/>
      <c r="AN15" s="8" t="str">
        <f t="shared" si="3"/>
        <v/>
      </c>
      <c r="AO15" s="8"/>
      <c r="AP15" s="8"/>
      <c r="AQ15" s="8" t="str">
        <f t="shared" si="4"/>
        <v/>
      </c>
      <c r="AR15" s="8" t="str">
        <f t="shared" si="5"/>
        <v/>
      </c>
      <c r="AS15" s="8" t="str">
        <f t="shared" si="6"/>
        <v/>
      </c>
      <c r="AT15" s="8" t="str">
        <f t="shared" si="7"/>
        <v/>
      </c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 t="str">
        <f t="shared" si="8"/>
        <v/>
      </c>
      <c r="BH15" s="8" t="str">
        <f t="shared" si="9"/>
        <v/>
      </c>
      <c r="BI15" s="12"/>
      <c r="BJ15" s="8"/>
      <c r="BK15" s="8"/>
      <c r="BL15" s="10" t="str">
        <f>IFERROR(INDEX(_names_lookup!$C:$C,MATCH(BK15,_names_lookup!$A:$A,0)),"")</f>
        <v/>
      </c>
      <c r="BM15" s="10" t="str">
        <f>IFERROR(INDEX(_names_lookup!$B:$B,MATCH(BK15,_names_lookup!$A:$A,0)),"")</f>
        <v/>
      </c>
      <c r="BN15" s="11"/>
      <c r="BO15" s="15"/>
      <c r="BP15" s="12"/>
      <c r="BQ15" s="12"/>
      <c r="BR15" s="12"/>
      <c r="BS15" s="12" t="str">
        <f t="shared" si="10"/>
        <v/>
      </c>
      <c r="BT15" s="12"/>
      <c r="BU15" s="12"/>
      <c r="BV15" s="12"/>
      <c r="BW15" s="8"/>
      <c r="BX15" s="12"/>
      <c r="BY15" s="12"/>
      <c r="BZ15" s="12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12"/>
      <c r="DR15" s="12"/>
    </row>
    <row r="16" spans="1:122" ht="16" customHeight="1" x14ac:dyDescent="0.2">
      <c r="A16" s="14"/>
      <c r="B16" s="14"/>
      <c r="C16" s="14"/>
      <c r="D16" s="14"/>
      <c r="E16" s="14"/>
      <c r="F16" s="14"/>
      <c r="G16" s="7"/>
      <c r="H16" s="8"/>
      <c r="I16" s="8"/>
      <c r="J16" s="8"/>
      <c r="K16" s="8"/>
      <c r="L16" s="8"/>
      <c r="M16" s="8"/>
      <c r="N16" s="8"/>
      <c r="O16" s="12" t="str">
        <f>IFERROR(INDEX(_courses_lookup!$C:$C,MATCH(K16&amp;L16,_courses_lookup!$E:$E,0)),"")</f>
        <v/>
      </c>
      <c r="P16" s="8" t="str">
        <f>IFERROR(INDEX(_courses_lookup!$D:$D,MATCH(K16&amp;L16,_courses_lookup!$E:$E,0)),"")</f>
        <v/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 t="str">
        <f t="shared" si="0"/>
        <v/>
      </c>
      <c r="AH16" s="8"/>
      <c r="AI16" s="8" t="str">
        <f t="shared" si="1"/>
        <v/>
      </c>
      <c r="AJ16" s="8"/>
      <c r="AK16" s="8"/>
      <c r="AL16" s="8" t="str">
        <f t="shared" si="2"/>
        <v/>
      </c>
      <c r="AM16" s="8"/>
      <c r="AN16" s="8" t="str">
        <f t="shared" si="3"/>
        <v/>
      </c>
      <c r="AO16" s="8"/>
      <c r="AP16" s="8"/>
      <c r="AQ16" s="8" t="str">
        <f t="shared" si="4"/>
        <v/>
      </c>
      <c r="AR16" s="8" t="str">
        <f t="shared" si="5"/>
        <v/>
      </c>
      <c r="AS16" s="8" t="str">
        <f t="shared" si="6"/>
        <v/>
      </c>
      <c r="AT16" s="8" t="str">
        <f t="shared" si="7"/>
        <v/>
      </c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 t="str">
        <f t="shared" si="8"/>
        <v/>
      </c>
      <c r="BH16" s="8" t="str">
        <f t="shared" si="9"/>
        <v/>
      </c>
      <c r="BI16" s="12"/>
      <c r="BJ16" s="8"/>
      <c r="BK16" s="8"/>
      <c r="BL16" s="10" t="str">
        <f>IFERROR(INDEX(_names_lookup!$C:$C,MATCH(BK16,_names_lookup!$A:$A,0)),"")</f>
        <v/>
      </c>
      <c r="BM16" s="10" t="str">
        <f>IFERROR(INDEX(_names_lookup!$B:$B,MATCH(BK16,_names_lookup!$A:$A,0)),"")</f>
        <v/>
      </c>
      <c r="BN16" s="11"/>
      <c r="BO16" s="15"/>
      <c r="BP16" s="12"/>
      <c r="BQ16" s="12"/>
      <c r="BR16" s="12"/>
      <c r="BS16" s="12" t="str">
        <f t="shared" si="10"/>
        <v/>
      </c>
      <c r="BT16" s="12"/>
      <c r="BU16" s="12"/>
      <c r="BV16" s="12"/>
      <c r="BW16" s="8"/>
      <c r="BX16" s="12"/>
      <c r="BY16" s="12"/>
      <c r="BZ16" s="12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12"/>
      <c r="DR16" s="12"/>
    </row>
    <row r="17" spans="1:122" ht="16" customHeight="1" x14ac:dyDescent="0.2">
      <c r="A17" s="14"/>
      <c r="B17" s="14"/>
      <c r="C17" s="14"/>
      <c r="D17" s="14"/>
      <c r="E17" s="14"/>
      <c r="F17" s="14"/>
      <c r="G17" s="7"/>
      <c r="H17" s="8"/>
      <c r="I17" s="8"/>
      <c r="J17" s="8"/>
      <c r="K17" s="8"/>
      <c r="L17" s="8"/>
      <c r="M17" s="8"/>
      <c r="N17" s="8"/>
      <c r="O17" s="8" t="str">
        <f>IFERROR(INDEX(_courses_lookup!$C:$C,MATCH(K17&amp;L17,_courses_lookup!$E:$E,0)),"")</f>
        <v/>
      </c>
      <c r="P17" s="8" t="str">
        <f>IFERROR(INDEX(_courses_lookup!$D:$D,MATCH(K17&amp;L17,_courses_lookup!$E:$E,0)),"")</f>
        <v/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 t="str">
        <f t="shared" si="0"/>
        <v/>
      </c>
      <c r="AH17" s="8"/>
      <c r="AI17" s="8" t="str">
        <f t="shared" si="1"/>
        <v/>
      </c>
      <c r="AJ17" s="8"/>
      <c r="AK17" s="8"/>
      <c r="AL17" s="8" t="str">
        <f t="shared" si="2"/>
        <v/>
      </c>
      <c r="AM17" s="8"/>
      <c r="AN17" s="8" t="str">
        <f t="shared" si="3"/>
        <v/>
      </c>
      <c r="AO17" s="8"/>
      <c r="AP17" s="8"/>
      <c r="AQ17" s="8" t="str">
        <f t="shared" si="4"/>
        <v/>
      </c>
      <c r="AR17" s="8" t="str">
        <f t="shared" si="5"/>
        <v/>
      </c>
      <c r="AS17" s="8" t="str">
        <f t="shared" si="6"/>
        <v/>
      </c>
      <c r="AT17" s="8" t="str">
        <f t="shared" si="7"/>
        <v/>
      </c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 t="str">
        <f t="shared" si="8"/>
        <v/>
      </c>
      <c r="BH17" s="8" t="str">
        <f t="shared" si="9"/>
        <v/>
      </c>
      <c r="BI17" s="12"/>
      <c r="BJ17" s="8"/>
      <c r="BK17" s="8"/>
      <c r="BL17" s="10" t="str">
        <f>IFERROR(INDEX(_names_lookup!$C:$C,MATCH(BK17,_names_lookup!$A:$A,0)),"")</f>
        <v/>
      </c>
      <c r="BM17" s="10" t="str">
        <f>IFERROR(INDEX(_names_lookup!$B:$B,MATCH(BK17,_names_lookup!$A:$A,0)),"")</f>
        <v/>
      </c>
      <c r="BN17" s="11"/>
      <c r="BO17" s="15"/>
      <c r="BP17" s="12"/>
      <c r="BQ17" s="12"/>
      <c r="BR17" s="12"/>
      <c r="BS17" s="12" t="str">
        <f t="shared" si="10"/>
        <v/>
      </c>
      <c r="BT17" s="12"/>
      <c r="BU17" s="12"/>
      <c r="BV17" s="12"/>
      <c r="BW17" s="8"/>
      <c r="BX17" s="12"/>
      <c r="BY17" s="12"/>
      <c r="BZ17" s="12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12"/>
      <c r="DR17" s="12"/>
    </row>
    <row r="18" spans="1:122" ht="16" customHeight="1" x14ac:dyDescent="0.2">
      <c r="A18" s="14"/>
      <c r="B18" s="14"/>
      <c r="C18" s="14"/>
      <c r="D18" s="14"/>
      <c r="E18" s="14"/>
      <c r="F18" s="14"/>
      <c r="G18" s="7"/>
      <c r="H18" s="8"/>
      <c r="I18" s="8"/>
      <c r="J18" s="8"/>
      <c r="K18" s="8"/>
      <c r="L18" s="8"/>
      <c r="M18" s="8"/>
      <c r="N18" s="8"/>
      <c r="O18" s="8" t="str">
        <f>IFERROR(INDEX(_courses_lookup!$C:$C,MATCH(K18&amp;L18,_courses_lookup!$E:$E,0)),"")</f>
        <v/>
      </c>
      <c r="P18" s="8" t="str">
        <f>IFERROR(INDEX(_courses_lookup!$D:$D,MATCH(K18&amp;L18,_courses_lookup!$E:$E,0)),"")</f>
        <v/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 t="str">
        <f t="shared" si="0"/>
        <v/>
      </c>
      <c r="AH18" s="8"/>
      <c r="AI18" s="8" t="str">
        <f t="shared" si="1"/>
        <v/>
      </c>
      <c r="AJ18" s="8"/>
      <c r="AK18" s="8"/>
      <c r="AL18" s="8" t="str">
        <f t="shared" si="2"/>
        <v/>
      </c>
      <c r="AM18" s="8"/>
      <c r="AN18" s="8" t="str">
        <f t="shared" si="3"/>
        <v/>
      </c>
      <c r="AO18" s="8"/>
      <c r="AP18" s="8"/>
      <c r="AQ18" s="8" t="str">
        <f t="shared" si="4"/>
        <v/>
      </c>
      <c r="AR18" s="8" t="str">
        <f t="shared" si="5"/>
        <v/>
      </c>
      <c r="AS18" s="8" t="str">
        <f t="shared" si="6"/>
        <v/>
      </c>
      <c r="AT18" s="8" t="str">
        <f t="shared" si="7"/>
        <v/>
      </c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 t="str">
        <f t="shared" si="8"/>
        <v/>
      </c>
      <c r="BH18" s="8" t="str">
        <f t="shared" si="9"/>
        <v/>
      </c>
      <c r="BI18" s="12"/>
      <c r="BJ18" s="8"/>
      <c r="BK18" s="8"/>
      <c r="BL18" s="10" t="str">
        <f>IFERROR(INDEX(_names_lookup!$C:$C,MATCH(BK18,_names_lookup!$A:$A,0)),"")</f>
        <v/>
      </c>
      <c r="BM18" s="10" t="str">
        <f>IFERROR(INDEX(_names_lookup!$B:$B,MATCH(BK18,_names_lookup!$A:$A,0)),"")</f>
        <v/>
      </c>
      <c r="BN18" s="11"/>
      <c r="BO18" s="15"/>
      <c r="BP18" s="12"/>
      <c r="BQ18" s="12"/>
      <c r="BR18" s="12"/>
      <c r="BS18" s="12" t="str">
        <f t="shared" si="10"/>
        <v/>
      </c>
      <c r="BT18" s="12"/>
      <c r="BU18" s="12"/>
      <c r="BV18" s="12"/>
      <c r="BW18" s="8"/>
      <c r="BX18" s="12"/>
      <c r="BY18" s="12"/>
      <c r="BZ18" s="12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12"/>
      <c r="DR18" s="12"/>
    </row>
    <row r="19" spans="1:122" x14ac:dyDescent="0.2">
      <c r="O19" t="str">
        <f>IFERROR(INDEX(_courses_lookup!$C:$C,MATCH(K19&amp;L19,_courses_lookup!$E:$E,0)),"")</f>
        <v/>
      </c>
      <c r="P19" t="str">
        <f>IFERROR(INDEX(_courses_lookup!$D:$D,MATCH(K19&amp;L19,_courses_lookup!$E:$E,0)),"")</f>
        <v/>
      </c>
      <c r="AG19" t="str">
        <f t="shared" si="0"/>
        <v/>
      </c>
      <c r="AI19" t="str">
        <f t="shared" si="1"/>
        <v/>
      </c>
      <c r="AL19" t="str">
        <f t="shared" si="2"/>
        <v/>
      </c>
      <c r="AN19" t="str">
        <f t="shared" si="3"/>
        <v/>
      </c>
      <c r="AQ19" t="str">
        <f t="shared" si="4"/>
        <v/>
      </c>
      <c r="AR19" t="str">
        <f t="shared" si="5"/>
        <v/>
      </c>
      <c r="AS19" t="str">
        <f t="shared" si="6"/>
        <v/>
      </c>
      <c r="AT19" t="str">
        <f t="shared" si="7"/>
        <v/>
      </c>
      <c r="BG19" t="str">
        <f t="shared" si="8"/>
        <v/>
      </c>
      <c r="BH19" t="str">
        <f t="shared" si="9"/>
        <v/>
      </c>
      <c r="BL19" t="str">
        <f>IFERROR(INDEX(_names_lookup!$C:$C,MATCH(BK19,_names_lookup!$A:$A,0)),"")</f>
        <v/>
      </c>
      <c r="BM19" t="str">
        <f>IFERROR(INDEX(_names_lookup!$B:$B,MATCH(BK19,_names_lookup!$A:$A,0)),"")</f>
        <v/>
      </c>
      <c r="BS19" t="str">
        <f t="shared" si="10"/>
        <v/>
      </c>
    </row>
    <row r="20" spans="1:122" x14ac:dyDescent="0.2">
      <c r="O20" t="str">
        <f>IFERROR(INDEX(_courses_lookup!$C:$C,MATCH(K20&amp;L20,_courses_lookup!$E:$E,0)),"")</f>
        <v/>
      </c>
      <c r="P20" t="str">
        <f>IFERROR(INDEX(_courses_lookup!$D:$D,MATCH(K20&amp;L20,_courses_lookup!$E:$E,0)),"")</f>
        <v/>
      </c>
      <c r="AG20" t="str">
        <f t="shared" si="0"/>
        <v/>
      </c>
      <c r="AI20" t="str">
        <f t="shared" si="1"/>
        <v/>
      </c>
      <c r="AL20" t="str">
        <f t="shared" si="2"/>
        <v/>
      </c>
      <c r="AN20" t="str">
        <f t="shared" si="3"/>
        <v/>
      </c>
      <c r="AQ20" t="str">
        <f t="shared" si="4"/>
        <v/>
      </c>
      <c r="AR20" t="str">
        <f t="shared" si="5"/>
        <v/>
      </c>
      <c r="AS20" t="str">
        <f t="shared" si="6"/>
        <v/>
      </c>
      <c r="AT20" t="str">
        <f t="shared" si="7"/>
        <v/>
      </c>
      <c r="BG20" t="str">
        <f t="shared" si="8"/>
        <v/>
      </c>
      <c r="BH20" t="str">
        <f t="shared" si="9"/>
        <v/>
      </c>
      <c r="BL20" t="str">
        <f>IFERROR(INDEX(_names_lookup!$C:$C,MATCH(BK20,_names_lookup!$A:$A,0)),"")</f>
        <v/>
      </c>
      <c r="BM20" t="str">
        <f>IFERROR(INDEX(_names_lookup!$B:$B,MATCH(BK20,_names_lookup!$A:$A,0)),"")</f>
        <v/>
      </c>
      <c r="BS20" t="str">
        <f t="shared" si="10"/>
        <v/>
      </c>
    </row>
    <row r="21" spans="1:122" x14ac:dyDescent="0.2">
      <c r="O21" t="str">
        <f>IFERROR(INDEX(_courses_lookup!$C:$C,MATCH(K21&amp;L21,_courses_lookup!$E:$E,0)),"")</f>
        <v/>
      </c>
      <c r="P21" t="str">
        <f>IFERROR(INDEX(_courses_lookup!$D:$D,MATCH(K21&amp;L21,_courses_lookup!$E:$E,0)),"")</f>
        <v/>
      </c>
      <c r="AG21" t="str">
        <f t="shared" si="0"/>
        <v/>
      </c>
      <c r="AI21" t="str">
        <f t="shared" si="1"/>
        <v/>
      </c>
      <c r="AL21" t="str">
        <f t="shared" si="2"/>
        <v/>
      </c>
      <c r="AN21" t="str">
        <f t="shared" si="3"/>
        <v/>
      </c>
      <c r="AQ21" t="str">
        <f t="shared" si="4"/>
        <v/>
      </c>
      <c r="AR21" t="str">
        <f t="shared" si="5"/>
        <v/>
      </c>
      <c r="AS21" t="str">
        <f t="shared" si="6"/>
        <v/>
      </c>
      <c r="AT21" t="str">
        <f t="shared" si="7"/>
        <v/>
      </c>
      <c r="BG21" t="str">
        <f t="shared" si="8"/>
        <v/>
      </c>
      <c r="BH21" t="str">
        <f t="shared" si="9"/>
        <v/>
      </c>
      <c r="BL21" t="str">
        <f>IFERROR(INDEX(_names_lookup!$C:$C,MATCH(BK21,_names_lookup!$A:$A,0)),"")</f>
        <v/>
      </c>
      <c r="BM21" t="str">
        <f>IFERROR(INDEX(_names_lookup!$B:$B,MATCH(BK21,_names_lookup!$A:$A,0)),"")</f>
        <v/>
      </c>
      <c r="BS21" t="str">
        <f t="shared" si="10"/>
        <v/>
      </c>
    </row>
    <row r="22" spans="1:122" x14ac:dyDescent="0.2">
      <c r="O22" t="str">
        <f>IFERROR(INDEX(_courses_lookup!$C:$C,MATCH(K22&amp;L22,_courses_lookup!$E:$E,0)),"")</f>
        <v/>
      </c>
      <c r="P22" t="str">
        <f>IFERROR(INDEX(_courses_lookup!$D:$D,MATCH(K22&amp;L22,_courses_lookup!$E:$E,0)),"")</f>
        <v/>
      </c>
      <c r="AG22" t="str">
        <f t="shared" si="0"/>
        <v/>
      </c>
      <c r="AI22" t="str">
        <f t="shared" si="1"/>
        <v/>
      </c>
      <c r="AL22" t="str">
        <f t="shared" si="2"/>
        <v/>
      </c>
      <c r="AN22" t="str">
        <f t="shared" si="3"/>
        <v/>
      </c>
      <c r="AQ22" t="str">
        <f t="shared" si="4"/>
        <v/>
      </c>
      <c r="AR22" t="str">
        <f t="shared" si="5"/>
        <v/>
      </c>
      <c r="AS22" t="str">
        <f t="shared" si="6"/>
        <v/>
      </c>
      <c r="AT22" t="str">
        <f t="shared" si="7"/>
        <v/>
      </c>
      <c r="BG22" t="str">
        <f t="shared" si="8"/>
        <v/>
      </c>
      <c r="BH22" t="str">
        <f t="shared" si="9"/>
        <v/>
      </c>
      <c r="BL22" t="str">
        <f>IFERROR(INDEX(_names_lookup!$C:$C,MATCH(BK22,_names_lookup!$A:$A,0)),"")</f>
        <v/>
      </c>
      <c r="BM22" t="str">
        <f>IFERROR(INDEX(_names_lookup!$B:$B,MATCH(BK22,_names_lookup!$A:$A,0)),"")</f>
        <v/>
      </c>
      <c r="BS22" t="str">
        <f t="shared" si="10"/>
        <v/>
      </c>
    </row>
    <row r="23" spans="1:122" x14ac:dyDescent="0.2">
      <c r="O23" t="str">
        <f>IFERROR(INDEX(_courses_lookup!$C:$C,MATCH(K23&amp;L23,_courses_lookup!$E:$E,0)),"")</f>
        <v/>
      </c>
      <c r="P23" t="str">
        <f>IFERROR(INDEX(_courses_lookup!$D:$D,MATCH(K23&amp;L23,_courses_lookup!$E:$E,0)),"")</f>
        <v/>
      </c>
      <c r="AG23" t="str">
        <f t="shared" si="0"/>
        <v/>
      </c>
      <c r="AI23" t="str">
        <f t="shared" si="1"/>
        <v/>
      </c>
      <c r="AL23" t="str">
        <f t="shared" si="2"/>
        <v/>
      </c>
      <c r="AN23" t="str">
        <f t="shared" si="3"/>
        <v/>
      </c>
      <c r="AQ23" t="str">
        <f t="shared" si="4"/>
        <v/>
      </c>
      <c r="AR23" t="str">
        <f t="shared" si="5"/>
        <v/>
      </c>
      <c r="AS23" t="str">
        <f t="shared" si="6"/>
        <v/>
      </c>
      <c r="AT23" t="str">
        <f t="shared" si="7"/>
        <v/>
      </c>
      <c r="BG23" t="str">
        <f t="shared" si="8"/>
        <v/>
      </c>
      <c r="BH23" t="str">
        <f t="shared" si="9"/>
        <v/>
      </c>
      <c r="BL23" t="str">
        <f>IFERROR(INDEX(_names_lookup!$C:$C,MATCH(BK23,_names_lookup!$A:$A,0)),"")</f>
        <v/>
      </c>
      <c r="BM23" t="str">
        <f>IFERROR(INDEX(_names_lookup!$B:$B,MATCH(BK23,_names_lookup!$A:$A,0)),"")</f>
        <v/>
      </c>
      <c r="BS23" t="str">
        <f t="shared" si="10"/>
        <v/>
      </c>
    </row>
    <row r="24" spans="1:122" x14ac:dyDescent="0.2">
      <c r="O24" t="str">
        <f>IFERROR(INDEX(_courses_lookup!$C:$C,MATCH(K24&amp;L24,_courses_lookup!$E:$E,0)),"")</f>
        <v/>
      </c>
      <c r="P24" t="str">
        <f>IFERROR(INDEX(_courses_lookup!$D:$D,MATCH(K24&amp;L24,_courses_lookup!$E:$E,0)),"")</f>
        <v/>
      </c>
      <c r="AG24" t="str">
        <f t="shared" si="0"/>
        <v/>
      </c>
      <c r="AI24" t="str">
        <f t="shared" si="1"/>
        <v/>
      </c>
      <c r="AL24" t="str">
        <f t="shared" si="2"/>
        <v/>
      </c>
      <c r="AN24" t="str">
        <f t="shared" si="3"/>
        <v/>
      </c>
      <c r="AQ24" t="str">
        <f t="shared" si="4"/>
        <v/>
      </c>
      <c r="AR24" t="str">
        <f t="shared" si="5"/>
        <v/>
      </c>
      <c r="AS24" t="str">
        <f t="shared" si="6"/>
        <v/>
      </c>
      <c r="AT24" t="str">
        <f t="shared" si="7"/>
        <v/>
      </c>
      <c r="BG24" t="str">
        <f t="shared" si="8"/>
        <v/>
      </c>
      <c r="BH24" t="str">
        <f t="shared" si="9"/>
        <v/>
      </c>
      <c r="BL24" t="str">
        <f>IFERROR(INDEX(_names_lookup!$C:$C,MATCH(BK24,_names_lookup!$A:$A,0)),"")</f>
        <v/>
      </c>
      <c r="BM24" t="str">
        <f>IFERROR(INDEX(_names_lookup!$B:$B,MATCH(BK24,_names_lookup!$A:$A,0)),"")</f>
        <v/>
      </c>
      <c r="BS24" t="str">
        <f t="shared" si="10"/>
        <v/>
      </c>
    </row>
    <row r="25" spans="1:122" x14ac:dyDescent="0.2">
      <c r="O25" t="str">
        <f>IFERROR(INDEX(_courses_lookup!$C:$C,MATCH(K25&amp;L25,_courses_lookup!$E:$E,0)),"")</f>
        <v/>
      </c>
      <c r="P25" t="str">
        <f>IFERROR(INDEX(_courses_lookup!$D:$D,MATCH(K25&amp;L25,_courses_lookup!$E:$E,0)),"")</f>
        <v/>
      </c>
      <c r="AG25" t="str">
        <f t="shared" si="0"/>
        <v/>
      </c>
      <c r="AI25" t="str">
        <f t="shared" si="1"/>
        <v/>
      </c>
      <c r="AL25" t="str">
        <f t="shared" si="2"/>
        <v/>
      </c>
      <c r="AN25" t="str">
        <f t="shared" si="3"/>
        <v/>
      </c>
      <c r="AQ25" t="str">
        <f t="shared" si="4"/>
        <v/>
      </c>
      <c r="AR25" t="str">
        <f t="shared" si="5"/>
        <v/>
      </c>
      <c r="AS25" t="str">
        <f t="shared" si="6"/>
        <v/>
      </c>
      <c r="AT25" t="str">
        <f t="shared" si="7"/>
        <v/>
      </c>
      <c r="BG25" t="str">
        <f t="shared" si="8"/>
        <v/>
      </c>
      <c r="BH25" t="str">
        <f t="shared" si="9"/>
        <v/>
      </c>
      <c r="BL25" t="str">
        <f>IFERROR(INDEX(_names_lookup!$C:$C,MATCH(BK25,_names_lookup!$A:$A,0)),"")</f>
        <v/>
      </c>
      <c r="BM25" t="str">
        <f>IFERROR(INDEX(_names_lookup!$B:$B,MATCH(BK25,_names_lookup!$A:$A,0)),"")</f>
        <v/>
      </c>
      <c r="BS25" t="str">
        <f t="shared" si="10"/>
        <v/>
      </c>
    </row>
    <row r="26" spans="1:122" x14ac:dyDescent="0.2">
      <c r="O26" t="str">
        <f>IFERROR(INDEX(_courses_lookup!$C:$C,MATCH(K26&amp;L26,_courses_lookup!$E:$E,0)),"")</f>
        <v/>
      </c>
      <c r="P26" t="str">
        <f>IFERROR(INDEX(_courses_lookup!$D:$D,MATCH(K26&amp;L26,_courses_lookup!$E:$E,0)),"")</f>
        <v/>
      </c>
      <c r="AG26" t="str">
        <f t="shared" si="0"/>
        <v/>
      </c>
      <c r="AI26" t="str">
        <f t="shared" si="1"/>
        <v/>
      </c>
      <c r="AL26" t="str">
        <f t="shared" si="2"/>
        <v/>
      </c>
      <c r="AN26" t="str">
        <f t="shared" si="3"/>
        <v/>
      </c>
      <c r="AQ26" t="str">
        <f t="shared" si="4"/>
        <v/>
      </c>
      <c r="AR26" t="str">
        <f t="shared" si="5"/>
        <v/>
      </c>
      <c r="AS26" t="str">
        <f t="shared" si="6"/>
        <v/>
      </c>
      <c r="AT26" t="str">
        <f t="shared" si="7"/>
        <v/>
      </c>
      <c r="BG26" t="str">
        <f t="shared" si="8"/>
        <v/>
      </c>
      <c r="BH26" t="str">
        <f t="shared" si="9"/>
        <v/>
      </c>
      <c r="BL26" t="str">
        <f>IFERROR(INDEX(_names_lookup!$C:$C,MATCH(BK26,_names_lookup!$A:$A,0)),"")</f>
        <v/>
      </c>
      <c r="BM26" t="str">
        <f>IFERROR(INDEX(_names_lookup!$B:$B,MATCH(BK26,_names_lookup!$A:$A,0)),"")</f>
        <v/>
      </c>
      <c r="BS26" t="str">
        <f t="shared" si="10"/>
        <v/>
      </c>
    </row>
    <row r="27" spans="1:122" x14ac:dyDescent="0.2">
      <c r="O27" t="str">
        <f>IFERROR(INDEX(_courses_lookup!$C:$C,MATCH(K27&amp;L27,_courses_lookup!$E:$E,0)),"")</f>
        <v/>
      </c>
      <c r="P27" t="str">
        <f>IFERROR(INDEX(_courses_lookup!$D:$D,MATCH(K27&amp;L27,_courses_lookup!$E:$E,0)),"")</f>
        <v/>
      </c>
      <c r="AG27" t="str">
        <f t="shared" si="0"/>
        <v/>
      </c>
      <c r="AI27" t="str">
        <f t="shared" si="1"/>
        <v/>
      </c>
      <c r="AL27" t="str">
        <f t="shared" si="2"/>
        <v/>
      </c>
      <c r="AN27" t="str">
        <f t="shared" si="3"/>
        <v/>
      </c>
      <c r="AQ27" t="str">
        <f t="shared" si="4"/>
        <v/>
      </c>
      <c r="AR27" t="str">
        <f t="shared" si="5"/>
        <v/>
      </c>
      <c r="AS27" t="str">
        <f t="shared" si="6"/>
        <v/>
      </c>
      <c r="AT27" t="str">
        <f t="shared" si="7"/>
        <v/>
      </c>
      <c r="BG27" t="str">
        <f t="shared" si="8"/>
        <v/>
      </c>
      <c r="BH27" t="str">
        <f t="shared" si="9"/>
        <v/>
      </c>
      <c r="BL27" t="str">
        <f>IFERROR(INDEX(_names_lookup!$C:$C,MATCH(BK27,_names_lookup!$A:$A,0)),"")</f>
        <v/>
      </c>
      <c r="BM27" t="str">
        <f>IFERROR(INDEX(_names_lookup!$B:$B,MATCH(BK27,_names_lookup!$A:$A,0)),"")</f>
        <v/>
      </c>
      <c r="BS27" t="str">
        <f t="shared" si="10"/>
        <v/>
      </c>
    </row>
    <row r="28" spans="1:122" x14ac:dyDescent="0.2">
      <c r="O28" t="str">
        <f>IFERROR(INDEX(_courses_lookup!$C:$C,MATCH(K28&amp;L28,_courses_lookup!$E:$E,0)),"")</f>
        <v/>
      </c>
      <c r="P28" t="str">
        <f>IFERROR(INDEX(_courses_lookup!$D:$D,MATCH(K28&amp;L28,_courses_lookup!$E:$E,0)),"")</f>
        <v/>
      </c>
      <c r="AG28" t="str">
        <f t="shared" si="0"/>
        <v/>
      </c>
      <c r="AI28" t="str">
        <f t="shared" si="1"/>
        <v/>
      </c>
      <c r="AL28" t="str">
        <f t="shared" si="2"/>
        <v/>
      </c>
      <c r="AN28" t="str">
        <f t="shared" si="3"/>
        <v/>
      </c>
      <c r="AQ28" t="str">
        <f t="shared" si="4"/>
        <v/>
      </c>
      <c r="AR28" t="str">
        <f t="shared" si="5"/>
        <v/>
      </c>
      <c r="AS28" t="str">
        <f t="shared" si="6"/>
        <v/>
      </c>
      <c r="AT28" t="str">
        <f t="shared" si="7"/>
        <v/>
      </c>
      <c r="BG28" t="str">
        <f t="shared" si="8"/>
        <v/>
      </c>
      <c r="BH28" t="str">
        <f t="shared" si="9"/>
        <v/>
      </c>
      <c r="BL28" t="str">
        <f>IFERROR(INDEX(_names_lookup!$C:$C,MATCH(BK28,_names_lookup!$A:$A,0)),"")</f>
        <v/>
      </c>
      <c r="BM28" t="str">
        <f>IFERROR(INDEX(_names_lookup!$B:$B,MATCH(BK28,_names_lookup!$A:$A,0)),"")</f>
        <v/>
      </c>
      <c r="BS28" t="str">
        <f t="shared" si="10"/>
        <v/>
      </c>
    </row>
    <row r="29" spans="1:122" x14ac:dyDescent="0.2">
      <c r="O29" t="str">
        <f>IFERROR(INDEX(_courses_lookup!$C:$C,MATCH(K29&amp;L29,_courses_lookup!$E:$E,0)),"")</f>
        <v/>
      </c>
      <c r="P29" t="str">
        <f>IFERROR(INDEX(_courses_lookup!$D:$D,MATCH(K29&amp;L29,_courses_lookup!$E:$E,0)),"")</f>
        <v/>
      </c>
      <c r="AG29" t="str">
        <f t="shared" si="0"/>
        <v/>
      </c>
      <c r="AI29" t="str">
        <f t="shared" si="1"/>
        <v/>
      </c>
      <c r="AL29" t="str">
        <f t="shared" si="2"/>
        <v/>
      </c>
      <c r="AN29" t="str">
        <f t="shared" si="3"/>
        <v/>
      </c>
      <c r="AQ29" t="str">
        <f t="shared" si="4"/>
        <v/>
      </c>
      <c r="AR29" t="str">
        <f t="shared" si="5"/>
        <v/>
      </c>
      <c r="AS29" t="str">
        <f t="shared" si="6"/>
        <v/>
      </c>
      <c r="AT29" t="str">
        <f t="shared" si="7"/>
        <v/>
      </c>
      <c r="BG29" t="str">
        <f t="shared" si="8"/>
        <v/>
      </c>
      <c r="BH29" t="str">
        <f t="shared" si="9"/>
        <v/>
      </c>
      <c r="BL29" t="str">
        <f>IFERROR(INDEX(_names_lookup!$C:$C,MATCH(BK29,_names_lookup!$A:$A,0)),"")</f>
        <v/>
      </c>
      <c r="BM29" t="str">
        <f>IFERROR(INDEX(_names_lookup!$B:$B,MATCH(BK29,_names_lookup!$A:$A,0)),"")</f>
        <v/>
      </c>
      <c r="BS29" t="str">
        <f t="shared" si="10"/>
        <v/>
      </c>
    </row>
    <row r="30" spans="1:122" x14ac:dyDescent="0.2">
      <c r="O30" t="str">
        <f>IFERROR(INDEX(_courses_lookup!$C:$C,MATCH(K30&amp;L30,_courses_lookup!$E:$E,0)),"")</f>
        <v/>
      </c>
      <c r="P30" t="str">
        <f>IFERROR(INDEX(_courses_lookup!$D:$D,MATCH(K30&amp;L30,_courses_lookup!$E:$E,0)),"")</f>
        <v/>
      </c>
      <c r="AG30" t="str">
        <f t="shared" si="0"/>
        <v/>
      </c>
      <c r="AI30" t="str">
        <f t="shared" si="1"/>
        <v/>
      </c>
      <c r="AL30" t="str">
        <f t="shared" si="2"/>
        <v/>
      </c>
      <c r="AN30" t="str">
        <f t="shared" si="3"/>
        <v/>
      </c>
      <c r="AQ30" t="str">
        <f t="shared" si="4"/>
        <v/>
      </c>
      <c r="AR30" t="str">
        <f t="shared" si="5"/>
        <v/>
      </c>
      <c r="AS30" t="str">
        <f t="shared" si="6"/>
        <v/>
      </c>
      <c r="AT30" t="str">
        <f t="shared" si="7"/>
        <v/>
      </c>
      <c r="BG30" t="str">
        <f t="shared" si="8"/>
        <v/>
      </c>
      <c r="BH30" t="str">
        <f t="shared" si="9"/>
        <v/>
      </c>
      <c r="BL30" t="str">
        <f>IFERROR(INDEX(_names_lookup!$C:$C,MATCH(BK30,_names_lookup!$A:$A,0)),"")</f>
        <v/>
      </c>
      <c r="BM30" t="str">
        <f>IFERROR(INDEX(_names_lookup!$B:$B,MATCH(BK30,_names_lookup!$A:$A,0)),"")</f>
        <v/>
      </c>
      <c r="BS30" t="str">
        <f t="shared" si="10"/>
        <v/>
      </c>
    </row>
    <row r="31" spans="1:122" x14ac:dyDescent="0.2">
      <c r="O31" t="str">
        <f>IFERROR(INDEX(_courses_lookup!$C:$C,MATCH(K31&amp;L31,_courses_lookup!$E:$E,0)),"")</f>
        <v/>
      </c>
      <c r="P31" t="str">
        <f>IFERROR(INDEX(_courses_lookup!$D:$D,MATCH(K31&amp;L31,_courses_lookup!$E:$E,0)),"")</f>
        <v/>
      </c>
      <c r="AG31" t="str">
        <f t="shared" si="0"/>
        <v/>
      </c>
      <c r="AI31" t="str">
        <f t="shared" si="1"/>
        <v/>
      </c>
      <c r="AL31" t="str">
        <f t="shared" si="2"/>
        <v/>
      </c>
      <c r="AN31" t="str">
        <f t="shared" si="3"/>
        <v/>
      </c>
      <c r="AQ31" t="str">
        <f t="shared" si="4"/>
        <v/>
      </c>
      <c r="AR31" t="str">
        <f t="shared" si="5"/>
        <v/>
      </c>
      <c r="AS31" t="str">
        <f t="shared" si="6"/>
        <v/>
      </c>
      <c r="AT31" t="str">
        <f t="shared" si="7"/>
        <v/>
      </c>
      <c r="BG31" t="str">
        <f t="shared" si="8"/>
        <v/>
      </c>
      <c r="BH31" t="str">
        <f t="shared" si="9"/>
        <v/>
      </c>
      <c r="BL31" t="str">
        <f>IFERROR(INDEX(_names_lookup!$C:$C,MATCH(BK31,_names_lookup!$A:$A,0)),"")</f>
        <v/>
      </c>
      <c r="BM31" t="str">
        <f>IFERROR(INDEX(_names_lookup!$B:$B,MATCH(BK31,_names_lookup!$A:$A,0)),"")</f>
        <v/>
      </c>
      <c r="BS31" t="str">
        <f t="shared" si="10"/>
        <v/>
      </c>
    </row>
    <row r="32" spans="1:122" x14ac:dyDescent="0.2">
      <c r="O32" t="str">
        <f>IFERROR(INDEX(_courses_lookup!$C:$C,MATCH(K32&amp;L32,_courses_lookup!$E:$E,0)),"")</f>
        <v/>
      </c>
      <c r="P32" t="str">
        <f>IFERROR(INDEX(_courses_lookup!$D:$D,MATCH(K32&amp;L32,_courses_lookup!$E:$E,0)),"")</f>
        <v/>
      </c>
      <c r="AG32" t="str">
        <f t="shared" si="0"/>
        <v/>
      </c>
      <c r="AI32" t="str">
        <f t="shared" si="1"/>
        <v/>
      </c>
      <c r="AL32" t="str">
        <f t="shared" si="2"/>
        <v/>
      </c>
      <c r="AN32" t="str">
        <f t="shared" si="3"/>
        <v/>
      </c>
      <c r="AQ32" t="str">
        <f t="shared" si="4"/>
        <v/>
      </c>
      <c r="AR32" t="str">
        <f t="shared" si="5"/>
        <v/>
      </c>
      <c r="AS32" t="str">
        <f t="shared" si="6"/>
        <v/>
      </c>
      <c r="AT32" t="str">
        <f t="shared" si="7"/>
        <v/>
      </c>
      <c r="BG32" t="str">
        <f t="shared" si="8"/>
        <v/>
      </c>
      <c r="BH32" t="str">
        <f t="shared" si="9"/>
        <v/>
      </c>
      <c r="BL32" t="str">
        <f>IFERROR(INDEX(_names_lookup!$C:$C,MATCH(BK32,_names_lookup!$A:$A,0)),"")</f>
        <v/>
      </c>
      <c r="BM32" t="str">
        <f>IFERROR(INDEX(_names_lookup!$B:$B,MATCH(BK32,_names_lookup!$A:$A,0)),"")</f>
        <v/>
      </c>
      <c r="BS32" t="str">
        <f t="shared" si="10"/>
        <v/>
      </c>
    </row>
    <row r="33" spans="15:71" x14ac:dyDescent="0.2">
      <c r="O33" t="str">
        <f>IFERROR(INDEX(_courses_lookup!$C:$C,MATCH(K33&amp;L33,_courses_lookup!$E:$E,0)),"")</f>
        <v/>
      </c>
      <c r="P33" t="str">
        <f>IFERROR(INDEX(_courses_lookup!$D:$D,MATCH(K33&amp;L33,_courses_lookup!$E:$E,0)),"")</f>
        <v/>
      </c>
      <c r="AG33" t="str">
        <f t="shared" si="0"/>
        <v/>
      </c>
      <c r="AI33" t="str">
        <f t="shared" si="1"/>
        <v/>
      </c>
      <c r="AL33" t="str">
        <f t="shared" si="2"/>
        <v/>
      </c>
      <c r="AN33" t="str">
        <f t="shared" si="3"/>
        <v/>
      </c>
      <c r="AQ33" t="str">
        <f t="shared" si="4"/>
        <v/>
      </c>
      <c r="AR33" t="str">
        <f t="shared" si="5"/>
        <v/>
      </c>
      <c r="AS33" t="str">
        <f t="shared" si="6"/>
        <v/>
      </c>
      <c r="AT33" t="str">
        <f t="shared" si="7"/>
        <v/>
      </c>
      <c r="BG33" t="str">
        <f t="shared" si="8"/>
        <v/>
      </c>
      <c r="BH33" t="str">
        <f t="shared" si="9"/>
        <v/>
      </c>
      <c r="BL33" t="str">
        <f>IFERROR(INDEX(_names_lookup!$C:$C,MATCH(BK33,_names_lookup!$A:$A,0)),"")</f>
        <v/>
      </c>
      <c r="BM33" t="str">
        <f>IFERROR(INDEX(_names_lookup!$B:$B,MATCH(BK33,_names_lookup!$A:$A,0)),"")</f>
        <v/>
      </c>
      <c r="BS33" t="str">
        <f t="shared" si="10"/>
        <v/>
      </c>
    </row>
    <row r="34" spans="15:71" x14ac:dyDescent="0.2">
      <c r="O34" t="str">
        <f>IFERROR(INDEX(_courses_lookup!$C:$C,MATCH(K34&amp;L34,_courses_lookup!$E:$E,0)),"")</f>
        <v/>
      </c>
      <c r="P34" t="str">
        <f>IFERROR(INDEX(_courses_lookup!$D:$D,MATCH(K34&amp;L34,_courses_lookup!$E:$E,0)),"")</f>
        <v/>
      </c>
      <c r="AG34" t="str">
        <f t="shared" si="0"/>
        <v/>
      </c>
      <c r="AI34" t="str">
        <f t="shared" si="1"/>
        <v/>
      </c>
      <c r="AL34" t="str">
        <f t="shared" si="2"/>
        <v/>
      </c>
      <c r="AN34" t="str">
        <f t="shared" si="3"/>
        <v/>
      </c>
      <c r="AQ34" t="str">
        <f t="shared" si="4"/>
        <v/>
      </c>
      <c r="AR34" t="str">
        <f t="shared" si="5"/>
        <v/>
      </c>
      <c r="AS34" t="str">
        <f t="shared" si="6"/>
        <v/>
      </c>
      <c r="AT34" t="str">
        <f t="shared" si="7"/>
        <v/>
      </c>
      <c r="BG34" t="str">
        <f t="shared" si="8"/>
        <v/>
      </c>
      <c r="BH34" t="str">
        <f t="shared" si="9"/>
        <v/>
      </c>
      <c r="BL34" t="str">
        <f>IFERROR(INDEX(_names_lookup!$C:$C,MATCH(BK34,_names_lookup!$A:$A,0)),"")</f>
        <v/>
      </c>
      <c r="BM34" t="str">
        <f>IFERROR(INDEX(_names_lookup!$B:$B,MATCH(BK34,_names_lookup!$A:$A,0)),"")</f>
        <v/>
      </c>
      <c r="BS34" t="str">
        <f t="shared" si="10"/>
        <v/>
      </c>
    </row>
    <row r="35" spans="15:71" x14ac:dyDescent="0.2">
      <c r="O35" t="str">
        <f>IFERROR(INDEX(_courses_lookup!$C:$C,MATCH(K35&amp;L35,_courses_lookup!$E:$E,0)),"")</f>
        <v/>
      </c>
      <c r="P35" t="str">
        <f>IFERROR(INDEX(_courses_lookup!$D:$D,MATCH(K35&amp;L35,_courses_lookup!$E:$E,0)),"")</f>
        <v/>
      </c>
      <c r="AG35" t="str">
        <f t="shared" si="0"/>
        <v/>
      </c>
      <c r="AI35" t="str">
        <f t="shared" si="1"/>
        <v/>
      </c>
      <c r="AL35" t="str">
        <f t="shared" si="2"/>
        <v/>
      </c>
      <c r="AN35" t="str">
        <f t="shared" si="3"/>
        <v/>
      </c>
      <c r="AQ35" t="str">
        <f t="shared" si="4"/>
        <v/>
      </c>
      <c r="AR35" t="str">
        <f t="shared" si="5"/>
        <v/>
      </c>
      <c r="AS35" t="str">
        <f t="shared" si="6"/>
        <v/>
      </c>
      <c r="AT35" t="str">
        <f t="shared" si="7"/>
        <v/>
      </c>
      <c r="BG35" t="str">
        <f t="shared" si="8"/>
        <v/>
      </c>
      <c r="BH35" t="str">
        <f t="shared" si="9"/>
        <v/>
      </c>
      <c r="BL35" t="str">
        <f>IFERROR(INDEX(_names_lookup!$C:$C,MATCH(BK35,_names_lookup!$A:$A,0)),"")</f>
        <v/>
      </c>
      <c r="BM35" t="str">
        <f>IFERROR(INDEX(_names_lookup!$B:$B,MATCH(BK35,_names_lookup!$A:$A,0)),"")</f>
        <v/>
      </c>
      <c r="BS35" t="str">
        <f t="shared" si="10"/>
        <v/>
      </c>
    </row>
    <row r="36" spans="15:71" x14ac:dyDescent="0.2">
      <c r="O36" t="str">
        <f>IFERROR(INDEX(_courses_lookup!$C:$C,MATCH(K36&amp;L36,_courses_lookup!$E:$E,0)),"")</f>
        <v/>
      </c>
      <c r="P36" t="str">
        <f>IFERROR(INDEX(_courses_lookup!$D:$D,MATCH(K36&amp;L36,_courses_lookup!$E:$E,0)),"")</f>
        <v/>
      </c>
      <c r="AG36" t="str">
        <f t="shared" si="0"/>
        <v/>
      </c>
      <c r="AI36" t="str">
        <f t="shared" si="1"/>
        <v/>
      </c>
      <c r="AL36" t="str">
        <f t="shared" si="2"/>
        <v/>
      </c>
      <c r="AN36" t="str">
        <f t="shared" si="3"/>
        <v/>
      </c>
      <c r="AQ36" t="str">
        <f t="shared" si="4"/>
        <v/>
      </c>
      <c r="AR36" t="str">
        <f t="shared" si="5"/>
        <v/>
      </c>
      <c r="AS36" t="str">
        <f t="shared" si="6"/>
        <v/>
      </c>
      <c r="AT36" t="str">
        <f t="shared" si="7"/>
        <v/>
      </c>
      <c r="BG36" t="str">
        <f t="shared" si="8"/>
        <v/>
      </c>
      <c r="BH36" t="str">
        <f t="shared" si="9"/>
        <v/>
      </c>
      <c r="BL36" t="str">
        <f>IFERROR(INDEX(_names_lookup!$C:$C,MATCH(BK36,_names_lookup!$A:$A,0)),"")</f>
        <v/>
      </c>
      <c r="BM36" t="str">
        <f>IFERROR(INDEX(_names_lookup!$B:$B,MATCH(BK36,_names_lookup!$A:$A,0)),"")</f>
        <v/>
      </c>
      <c r="BS36" t="str">
        <f t="shared" si="10"/>
        <v/>
      </c>
    </row>
    <row r="37" spans="15:71" x14ac:dyDescent="0.2">
      <c r="O37" t="str">
        <f>IFERROR(INDEX(_courses_lookup!$C:$C,MATCH(K37&amp;L37,_courses_lookup!$E:$E,0)),"")</f>
        <v/>
      </c>
      <c r="P37" t="str">
        <f>IFERROR(INDEX(_courses_lookup!$D:$D,MATCH(K37&amp;L37,_courses_lookup!$E:$E,0)),"")</f>
        <v/>
      </c>
      <c r="AG37" t="str">
        <f t="shared" si="0"/>
        <v/>
      </c>
      <c r="AI37" t="str">
        <f t="shared" si="1"/>
        <v/>
      </c>
      <c r="AL37" t="str">
        <f t="shared" si="2"/>
        <v/>
      </c>
      <c r="AN37" t="str">
        <f t="shared" si="3"/>
        <v/>
      </c>
      <c r="AQ37" t="str">
        <f t="shared" si="4"/>
        <v/>
      </c>
      <c r="AR37" t="str">
        <f t="shared" si="5"/>
        <v/>
      </c>
      <c r="AS37" t="str">
        <f t="shared" si="6"/>
        <v/>
      </c>
      <c r="AT37" t="str">
        <f t="shared" si="7"/>
        <v/>
      </c>
      <c r="BG37" t="str">
        <f t="shared" si="8"/>
        <v/>
      </c>
      <c r="BH37" t="str">
        <f t="shared" si="9"/>
        <v/>
      </c>
      <c r="BL37" t="str">
        <f>IFERROR(INDEX(_names_lookup!$C:$C,MATCH(BK37,_names_lookup!$A:$A,0)),"")</f>
        <v/>
      </c>
      <c r="BM37" t="str">
        <f>IFERROR(INDEX(_names_lookup!$B:$B,MATCH(BK37,_names_lookup!$A:$A,0)),"")</f>
        <v/>
      </c>
      <c r="BS37" t="str">
        <f t="shared" si="10"/>
        <v/>
      </c>
    </row>
    <row r="38" spans="15:71" x14ac:dyDescent="0.2">
      <c r="O38" t="str">
        <f>IFERROR(INDEX(_courses_lookup!$C:$C,MATCH(K38&amp;L38,_courses_lookup!$E:$E,0)),"")</f>
        <v/>
      </c>
      <c r="P38" t="str">
        <f>IFERROR(INDEX(_courses_lookup!$D:$D,MATCH(K38&amp;L38,_courses_lookup!$E:$E,0)),"")</f>
        <v/>
      </c>
      <c r="AG38" t="str">
        <f t="shared" si="0"/>
        <v/>
      </c>
      <c r="AI38" t="str">
        <f t="shared" si="1"/>
        <v/>
      </c>
      <c r="AL38" t="str">
        <f t="shared" si="2"/>
        <v/>
      </c>
      <c r="AN38" t="str">
        <f t="shared" si="3"/>
        <v/>
      </c>
      <c r="AQ38" t="str">
        <f t="shared" si="4"/>
        <v/>
      </c>
      <c r="AR38" t="str">
        <f t="shared" si="5"/>
        <v/>
      </c>
      <c r="AS38" t="str">
        <f t="shared" si="6"/>
        <v/>
      </c>
      <c r="AT38" t="str">
        <f t="shared" si="7"/>
        <v/>
      </c>
      <c r="BG38" t="str">
        <f t="shared" si="8"/>
        <v/>
      </c>
      <c r="BH38" t="str">
        <f t="shared" si="9"/>
        <v/>
      </c>
      <c r="BL38" t="str">
        <f>IFERROR(INDEX(_names_lookup!$C:$C,MATCH(BK38,_names_lookup!$A:$A,0)),"")</f>
        <v/>
      </c>
      <c r="BM38" t="str">
        <f>IFERROR(INDEX(_names_lookup!$B:$B,MATCH(BK38,_names_lookup!$A:$A,0)),"")</f>
        <v/>
      </c>
      <c r="BS38" t="str">
        <f t="shared" si="10"/>
        <v/>
      </c>
    </row>
    <row r="39" spans="15:71" x14ac:dyDescent="0.2">
      <c r="O39" t="str">
        <f>IFERROR(INDEX(_courses_lookup!$C:$C,MATCH(K39&amp;L39,_courses_lookup!$E:$E,0)),"")</f>
        <v/>
      </c>
      <c r="P39" t="str">
        <f>IFERROR(INDEX(_courses_lookup!$D:$D,MATCH(K39&amp;L39,_courses_lookup!$E:$E,0)),"")</f>
        <v/>
      </c>
      <c r="AG39" t="str">
        <f t="shared" si="0"/>
        <v/>
      </c>
      <c r="AI39" t="str">
        <f t="shared" si="1"/>
        <v/>
      </c>
      <c r="AL39" t="str">
        <f t="shared" si="2"/>
        <v/>
      </c>
      <c r="AN39" t="str">
        <f t="shared" si="3"/>
        <v/>
      </c>
      <c r="AQ39" t="str">
        <f t="shared" si="4"/>
        <v/>
      </c>
      <c r="AR39" t="str">
        <f t="shared" si="5"/>
        <v/>
      </c>
      <c r="AS39" t="str">
        <f t="shared" si="6"/>
        <v/>
      </c>
      <c r="AT39" t="str">
        <f t="shared" si="7"/>
        <v/>
      </c>
      <c r="BG39" t="str">
        <f t="shared" si="8"/>
        <v/>
      </c>
      <c r="BH39" t="str">
        <f t="shared" si="9"/>
        <v/>
      </c>
      <c r="BL39" t="str">
        <f>IFERROR(INDEX(_names_lookup!$C:$C,MATCH(BK39,_names_lookup!$A:$A,0)),"")</f>
        <v/>
      </c>
      <c r="BM39" t="str">
        <f>IFERROR(INDEX(_names_lookup!$B:$B,MATCH(BK39,_names_lookup!$A:$A,0)),"")</f>
        <v/>
      </c>
      <c r="BS39" t="str">
        <f t="shared" si="10"/>
        <v/>
      </c>
    </row>
    <row r="40" spans="15:71" x14ac:dyDescent="0.2">
      <c r="O40" t="str">
        <f>IFERROR(INDEX(_courses_lookup!$C:$C,MATCH(K40&amp;L40,_courses_lookup!$E:$E,0)),"")</f>
        <v/>
      </c>
      <c r="P40" t="str">
        <f>IFERROR(INDEX(_courses_lookup!$D:$D,MATCH(K40&amp;L40,_courses_lookup!$E:$E,0)),"")</f>
        <v/>
      </c>
      <c r="AG40" t="str">
        <f t="shared" si="0"/>
        <v/>
      </c>
      <c r="AI40" t="str">
        <f t="shared" si="1"/>
        <v/>
      </c>
      <c r="AL40" t="str">
        <f t="shared" si="2"/>
        <v/>
      </c>
      <c r="AN40" t="str">
        <f t="shared" si="3"/>
        <v/>
      </c>
      <c r="AQ40" t="str">
        <f t="shared" si="4"/>
        <v/>
      </c>
      <c r="AR40" t="str">
        <f t="shared" si="5"/>
        <v/>
      </c>
      <c r="AS40" t="str">
        <f t="shared" si="6"/>
        <v/>
      </c>
      <c r="AT40" t="str">
        <f t="shared" si="7"/>
        <v/>
      </c>
      <c r="BG40" t="str">
        <f t="shared" si="8"/>
        <v/>
      </c>
      <c r="BH40" t="str">
        <f t="shared" si="9"/>
        <v/>
      </c>
      <c r="BL40" t="str">
        <f>IFERROR(INDEX(_names_lookup!$C:$C,MATCH(BK40,_names_lookup!$A:$A,0)),"")</f>
        <v/>
      </c>
      <c r="BM40" t="str">
        <f>IFERROR(INDEX(_names_lookup!$B:$B,MATCH(BK40,_names_lookup!$A:$A,0)),"")</f>
        <v/>
      </c>
      <c r="BS40" t="str">
        <f t="shared" si="10"/>
        <v/>
      </c>
    </row>
    <row r="41" spans="15:71" x14ac:dyDescent="0.2">
      <c r="O41" t="str">
        <f>IFERROR(INDEX(_courses_lookup!$C:$C,MATCH(K41&amp;L41,_courses_lookup!$E:$E,0)),"")</f>
        <v/>
      </c>
      <c r="P41" t="str">
        <f>IFERROR(INDEX(_courses_lookup!$D:$D,MATCH(K41&amp;L41,_courses_lookup!$E:$E,0)),"")</f>
        <v/>
      </c>
      <c r="AG41" t="str">
        <f t="shared" si="0"/>
        <v/>
      </c>
      <c r="AI41" t="str">
        <f t="shared" si="1"/>
        <v/>
      </c>
      <c r="AL41" t="str">
        <f t="shared" si="2"/>
        <v/>
      </c>
      <c r="AN41" t="str">
        <f t="shared" si="3"/>
        <v/>
      </c>
      <c r="AQ41" t="str">
        <f t="shared" si="4"/>
        <v/>
      </c>
      <c r="AR41" t="str">
        <f t="shared" si="5"/>
        <v/>
      </c>
      <c r="AS41" t="str">
        <f t="shared" si="6"/>
        <v/>
      </c>
      <c r="AT41" t="str">
        <f t="shared" si="7"/>
        <v/>
      </c>
      <c r="BG41" t="str">
        <f t="shared" si="8"/>
        <v/>
      </c>
      <c r="BH41" t="str">
        <f t="shared" si="9"/>
        <v/>
      </c>
      <c r="BL41" t="str">
        <f>IFERROR(INDEX(_names_lookup!$C:$C,MATCH(BK41,_names_lookup!$A:$A,0)),"")</f>
        <v/>
      </c>
      <c r="BM41" t="str">
        <f>IFERROR(INDEX(_names_lookup!$B:$B,MATCH(BK41,_names_lookup!$A:$A,0)),"")</f>
        <v/>
      </c>
      <c r="BS41" t="str">
        <f t="shared" si="10"/>
        <v/>
      </c>
    </row>
    <row r="42" spans="15:71" x14ac:dyDescent="0.2">
      <c r="O42" t="str">
        <f>IFERROR(INDEX(_courses_lookup!$C:$C,MATCH(K42&amp;L42,_courses_lookup!$E:$E,0)),"")</f>
        <v/>
      </c>
      <c r="P42" t="str">
        <f>IFERROR(INDEX(_courses_lookup!$D:$D,MATCH(K42&amp;L42,_courses_lookup!$E:$E,0)),"")</f>
        <v/>
      </c>
      <c r="AG42" t="str">
        <f t="shared" si="0"/>
        <v/>
      </c>
      <c r="AI42" t="str">
        <f t="shared" si="1"/>
        <v/>
      </c>
      <c r="AL42" t="str">
        <f t="shared" si="2"/>
        <v/>
      </c>
      <c r="AN42" t="str">
        <f t="shared" si="3"/>
        <v/>
      </c>
      <c r="AQ42" t="str">
        <f t="shared" si="4"/>
        <v/>
      </c>
      <c r="AR42" t="str">
        <f t="shared" si="5"/>
        <v/>
      </c>
      <c r="AS42" t="str">
        <f t="shared" si="6"/>
        <v/>
      </c>
      <c r="AT42" t="str">
        <f t="shared" si="7"/>
        <v/>
      </c>
      <c r="BG42" t="str">
        <f t="shared" si="8"/>
        <v/>
      </c>
      <c r="BH42" t="str">
        <f t="shared" si="9"/>
        <v/>
      </c>
      <c r="BL42" t="str">
        <f>IFERROR(INDEX(_names_lookup!$C:$C,MATCH(BK42,_names_lookup!$A:$A,0)),"")</f>
        <v/>
      </c>
      <c r="BM42" t="str">
        <f>IFERROR(INDEX(_names_lookup!$B:$B,MATCH(BK42,_names_lookup!$A:$A,0)),"")</f>
        <v/>
      </c>
      <c r="BS42" t="str">
        <f t="shared" si="10"/>
        <v/>
      </c>
    </row>
    <row r="43" spans="15:71" x14ac:dyDescent="0.2">
      <c r="O43" t="str">
        <f>IFERROR(INDEX(_courses_lookup!$C:$C,MATCH(K43&amp;L43,_courses_lookup!$E:$E,0)),"")</f>
        <v/>
      </c>
      <c r="P43" t="str">
        <f>IFERROR(INDEX(_courses_lookup!$D:$D,MATCH(K43&amp;L43,_courses_lookup!$E:$E,0)),"")</f>
        <v/>
      </c>
      <c r="AG43" t="str">
        <f t="shared" si="0"/>
        <v/>
      </c>
      <c r="AI43" t="str">
        <f t="shared" si="1"/>
        <v/>
      </c>
      <c r="AL43" t="str">
        <f t="shared" si="2"/>
        <v/>
      </c>
      <c r="AN43" t="str">
        <f t="shared" si="3"/>
        <v/>
      </c>
      <c r="AQ43" t="str">
        <f t="shared" si="4"/>
        <v/>
      </c>
      <c r="AR43" t="str">
        <f t="shared" si="5"/>
        <v/>
      </c>
      <c r="AS43" t="str">
        <f t="shared" si="6"/>
        <v/>
      </c>
      <c r="AT43" t="str">
        <f t="shared" si="7"/>
        <v/>
      </c>
      <c r="BG43" t="str">
        <f t="shared" si="8"/>
        <v/>
      </c>
      <c r="BH43" t="str">
        <f t="shared" si="9"/>
        <v/>
      </c>
      <c r="BL43" t="str">
        <f>IFERROR(INDEX(_names_lookup!$C:$C,MATCH(BK43,_names_lookup!$A:$A,0)),"")</f>
        <v/>
      </c>
      <c r="BM43" t="str">
        <f>IFERROR(INDEX(_names_lookup!$B:$B,MATCH(BK43,_names_lookup!$A:$A,0)),"")</f>
        <v/>
      </c>
      <c r="BS43" t="str">
        <f t="shared" si="10"/>
        <v/>
      </c>
    </row>
    <row r="44" spans="15:71" x14ac:dyDescent="0.2">
      <c r="O44" t="str">
        <f>IFERROR(INDEX(_courses_lookup!$C:$C,MATCH(K44&amp;L44,_courses_lookup!$E:$E,0)),"")</f>
        <v/>
      </c>
      <c r="P44" t="str">
        <f>IFERROR(INDEX(_courses_lookup!$D:$D,MATCH(K44&amp;L44,_courses_lookup!$E:$E,0)),"")</f>
        <v/>
      </c>
      <c r="AG44" t="str">
        <f t="shared" si="0"/>
        <v/>
      </c>
      <c r="AI44" t="str">
        <f t="shared" si="1"/>
        <v/>
      </c>
      <c r="AL44" t="str">
        <f t="shared" si="2"/>
        <v/>
      </c>
      <c r="AN44" t="str">
        <f t="shared" si="3"/>
        <v/>
      </c>
      <c r="AQ44" t="str">
        <f t="shared" si="4"/>
        <v/>
      </c>
      <c r="AR44" t="str">
        <f t="shared" si="5"/>
        <v/>
      </c>
      <c r="AS44" t="str">
        <f t="shared" si="6"/>
        <v/>
      </c>
      <c r="AT44" t="str">
        <f t="shared" si="7"/>
        <v/>
      </c>
      <c r="BG44" t="str">
        <f t="shared" si="8"/>
        <v/>
      </c>
      <c r="BH44" t="str">
        <f t="shared" si="9"/>
        <v/>
      </c>
      <c r="BL44" t="str">
        <f>IFERROR(INDEX(_names_lookup!$C:$C,MATCH(BK44,_names_lookup!$A:$A,0)),"")</f>
        <v/>
      </c>
      <c r="BM44" t="str">
        <f>IFERROR(INDEX(_names_lookup!$B:$B,MATCH(BK44,_names_lookup!$A:$A,0)),"")</f>
        <v/>
      </c>
      <c r="BS44" t="str">
        <f t="shared" si="10"/>
        <v/>
      </c>
    </row>
    <row r="45" spans="15:71" x14ac:dyDescent="0.2">
      <c r="O45" t="str">
        <f>IFERROR(INDEX(_courses_lookup!$C:$C,MATCH(K45&amp;L45,_courses_lookup!$E:$E,0)),"")</f>
        <v/>
      </c>
      <c r="P45" t="str">
        <f>IFERROR(INDEX(_courses_lookup!$D:$D,MATCH(K45&amp;L45,_courses_lookup!$E:$E,0)),"")</f>
        <v/>
      </c>
      <c r="AG45" t="str">
        <f t="shared" si="0"/>
        <v/>
      </c>
      <c r="AI45" t="str">
        <f t="shared" si="1"/>
        <v/>
      </c>
      <c r="AL45" t="str">
        <f t="shared" si="2"/>
        <v/>
      </c>
      <c r="AN45" t="str">
        <f t="shared" si="3"/>
        <v/>
      </c>
      <c r="AQ45" t="str">
        <f t="shared" si="4"/>
        <v/>
      </c>
      <c r="AR45" t="str">
        <f t="shared" si="5"/>
        <v/>
      </c>
      <c r="AS45" t="str">
        <f t="shared" si="6"/>
        <v/>
      </c>
      <c r="AT45" t="str">
        <f t="shared" si="7"/>
        <v/>
      </c>
      <c r="BG45" t="str">
        <f t="shared" si="8"/>
        <v/>
      </c>
      <c r="BH45" t="str">
        <f t="shared" si="9"/>
        <v/>
      </c>
      <c r="BL45" t="str">
        <f>IFERROR(INDEX(_names_lookup!$C:$C,MATCH(BK45,_names_lookup!$A:$A,0)),"")</f>
        <v/>
      </c>
      <c r="BM45" t="str">
        <f>IFERROR(INDEX(_names_lookup!$B:$B,MATCH(BK45,_names_lookup!$A:$A,0)),"")</f>
        <v/>
      </c>
      <c r="BS45" t="str">
        <f t="shared" si="10"/>
        <v/>
      </c>
    </row>
    <row r="46" spans="15:71" x14ac:dyDescent="0.2">
      <c r="O46" t="str">
        <f>IFERROR(INDEX(_courses_lookup!$C:$C,MATCH(K46&amp;L46,_courses_lookup!$E:$E,0)),"")</f>
        <v/>
      </c>
      <c r="P46" t="str">
        <f>IFERROR(INDEX(_courses_lookup!$D:$D,MATCH(K46&amp;L46,_courses_lookup!$E:$E,0)),"")</f>
        <v/>
      </c>
      <c r="AG46" t="str">
        <f t="shared" si="0"/>
        <v/>
      </c>
      <c r="AI46" t="str">
        <f t="shared" si="1"/>
        <v/>
      </c>
      <c r="AL46" t="str">
        <f t="shared" si="2"/>
        <v/>
      </c>
      <c r="AN46" t="str">
        <f t="shared" si="3"/>
        <v/>
      </c>
      <c r="AQ46" t="str">
        <f t="shared" si="4"/>
        <v/>
      </c>
      <c r="AR46" t="str">
        <f t="shared" si="5"/>
        <v/>
      </c>
      <c r="AS46" t="str">
        <f t="shared" si="6"/>
        <v/>
      </c>
      <c r="AT46" t="str">
        <f t="shared" si="7"/>
        <v/>
      </c>
      <c r="BG46" t="str">
        <f t="shared" si="8"/>
        <v/>
      </c>
      <c r="BH46" t="str">
        <f t="shared" si="9"/>
        <v/>
      </c>
      <c r="BL46" t="str">
        <f>IFERROR(INDEX(_names_lookup!$C:$C,MATCH(BK46,_names_lookup!$A:$A,0)),"")</f>
        <v/>
      </c>
      <c r="BM46" t="str">
        <f>IFERROR(INDEX(_names_lookup!$B:$B,MATCH(BK46,_names_lookup!$A:$A,0)),"")</f>
        <v/>
      </c>
      <c r="BS46" t="str">
        <f t="shared" si="10"/>
        <v/>
      </c>
    </row>
    <row r="47" spans="15:71" x14ac:dyDescent="0.2">
      <c r="O47" t="str">
        <f>IFERROR(INDEX(_courses_lookup!$C:$C,MATCH(K47&amp;L47,_courses_lookup!$E:$E,0)),"")</f>
        <v/>
      </c>
      <c r="P47" t="str">
        <f>IFERROR(INDEX(_courses_lookup!$D:$D,MATCH(K47&amp;L47,_courses_lookup!$E:$E,0)),"")</f>
        <v/>
      </c>
      <c r="AG47" t="str">
        <f t="shared" si="0"/>
        <v/>
      </c>
      <c r="AI47" t="str">
        <f t="shared" si="1"/>
        <v/>
      </c>
      <c r="AL47" t="str">
        <f t="shared" si="2"/>
        <v/>
      </c>
      <c r="AN47" t="str">
        <f t="shared" si="3"/>
        <v/>
      </c>
      <c r="AQ47" t="str">
        <f t="shared" si="4"/>
        <v/>
      </c>
      <c r="AR47" t="str">
        <f t="shared" si="5"/>
        <v/>
      </c>
      <c r="AS47" t="str">
        <f t="shared" si="6"/>
        <v/>
      </c>
      <c r="AT47" t="str">
        <f t="shared" si="7"/>
        <v/>
      </c>
      <c r="BG47" t="str">
        <f t="shared" si="8"/>
        <v/>
      </c>
      <c r="BH47" t="str">
        <f t="shared" si="9"/>
        <v/>
      </c>
      <c r="BL47" t="str">
        <f>IFERROR(INDEX(_names_lookup!$C:$C,MATCH(BK47,_names_lookup!$A:$A,0)),"")</f>
        <v/>
      </c>
      <c r="BM47" t="str">
        <f>IFERROR(INDEX(_names_lookup!$B:$B,MATCH(BK47,_names_lookup!$A:$A,0)),"")</f>
        <v/>
      </c>
      <c r="BS47" t="str">
        <f t="shared" si="10"/>
        <v/>
      </c>
    </row>
    <row r="48" spans="15:71" x14ac:dyDescent="0.2">
      <c r="O48" t="str">
        <f>IFERROR(INDEX(_courses_lookup!$C:$C,MATCH(K48&amp;L48,_courses_lookup!$E:$E,0)),"")</f>
        <v/>
      </c>
      <c r="P48" t="str">
        <f>IFERROR(INDEX(_courses_lookup!$D:$D,MATCH(K48&amp;L48,_courses_lookup!$E:$E,0)),"")</f>
        <v/>
      </c>
      <c r="AG48" t="str">
        <f t="shared" si="0"/>
        <v/>
      </c>
      <c r="AI48" t="str">
        <f t="shared" si="1"/>
        <v/>
      </c>
      <c r="AL48" t="str">
        <f t="shared" si="2"/>
        <v/>
      </c>
      <c r="AN48" t="str">
        <f t="shared" si="3"/>
        <v/>
      </c>
      <c r="AQ48" t="str">
        <f t="shared" si="4"/>
        <v/>
      </c>
      <c r="AR48" t="str">
        <f t="shared" si="5"/>
        <v/>
      </c>
      <c r="AS48" t="str">
        <f t="shared" si="6"/>
        <v/>
      </c>
      <c r="AT48" t="str">
        <f t="shared" si="7"/>
        <v/>
      </c>
      <c r="BG48" t="str">
        <f t="shared" si="8"/>
        <v/>
      </c>
      <c r="BH48" t="str">
        <f t="shared" si="9"/>
        <v/>
      </c>
      <c r="BL48" t="str">
        <f>IFERROR(INDEX(_names_lookup!$C:$C,MATCH(BK48,_names_lookup!$A:$A,0)),"")</f>
        <v/>
      </c>
      <c r="BM48" t="str">
        <f>IFERROR(INDEX(_names_lookup!$B:$B,MATCH(BK48,_names_lookup!$A:$A,0)),"")</f>
        <v/>
      </c>
      <c r="BS48" t="str">
        <f t="shared" si="10"/>
        <v/>
      </c>
    </row>
    <row r="49" spans="15:71" x14ac:dyDescent="0.2">
      <c r="O49" t="str">
        <f>IFERROR(INDEX(_courses_lookup!$C:$C,MATCH(K49&amp;L49,_courses_lookup!$E:$E,0)),"")</f>
        <v/>
      </c>
      <c r="P49" t="str">
        <f>IFERROR(INDEX(_courses_lookup!$D:$D,MATCH(K49&amp;L49,_courses_lookup!$E:$E,0)),"")</f>
        <v/>
      </c>
      <c r="AG49" t="str">
        <f t="shared" si="0"/>
        <v/>
      </c>
      <c r="AI49" t="str">
        <f t="shared" si="1"/>
        <v/>
      </c>
      <c r="AL49" t="str">
        <f t="shared" si="2"/>
        <v/>
      </c>
      <c r="AN49" t="str">
        <f t="shared" si="3"/>
        <v/>
      </c>
      <c r="AQ49" t="str">
        <f t="shared" si="4"/>
        <v/>
      </c>
      <c r="AR49" t="str">
        <f t="shared" si="5"/>
        <v/>
      </c>
      <c r="AS49" t="str">
        <f t="shared" si="6"/>
        <v/>
      </c>
      <c r="AT49" t="str">
        <f t="shared" si="7"/>
        <v/>
      </c>
      <c r="BG49" t="str">
        <f t="shared" si="8"/>
        <v/>
      </c>
      <c r="BH49" t="str">
        <f t="shared" si="9"/>
        <v/>
      </c>
      <c r="BL49" t="str">
        <f>IFERROR(INDEX(_names_lookup!$C:$C,MATCH(BK49,_names_lookup!$A:$A,0)),"")</f>
        <v/>
      </c>
      <c r="BM49" t="str">
        <f>IFERROR(INDEX(_names_lookup!$B:$B,MATCH(BK49,_names_lookup!$A:$A,0)),"")</f>
        <v/>
      </c>
      <c r="BS49" t="str">
        <f t="shared" si="10"/>
        <v/>
      </c>
    </row>
    <row r="50" spans="15:71" x14ac:dyDescent="0.2">
      <c r="O50" t="str">
        <f>IFERROR(INDEX(_courses_lookup!$C:$C,MATCH(K50&amp;L50,_courses_lookup!$E:$E,0)),"")</f>
        <v/>
      </c>
      <c r="P50" t="str">
        <f>IFERROR(INDEX(_courses_lookup!$D:$D,MATCH(K50&amp;L50,_courses_lookup!$E:$E,0)),"")</f>
        <v/>
      </c>
      <c r="AG50" t="str">
        <f t="shared" si="0"/>
        <v/>
      </c>
      <c r="AI50" t="str">
        <f t="shared" si="1"/>
        <v/>
      </c>
      <c r="AL50" t="str">
        <f t="shared" si="2"/>
        <v/>
      </c>
      <c r="AN50" t="str">
        <f t="shared" si="3"/>
        <v/>
      </c>
      <c r="AQ50" t="str">
        <f t="shared" si="4"/>
        <v/>
      </c>
      <c r="AR50" t="str">
        <f t="shared" si="5"/>
        <v/>
      </c>
      <c r="AS50" t="str">
        <f t="shared" si="6"/>
        <v/>
      </c>
      <c r="AT50" t="str">
        <f t="shared" si="7"/>
        <v/>
      </c>
      <c r="BG50" t="str">
        <f t="shared" si="8"/>
        <v/>
      </c>
      <c r="BH50" t="str">
        <f t="shared" si="9"/>
        <v/>
      </c>
      <c r="BL50" t="str">
        <f>IFERROR(INDEX(_names_lookup!$C:$C,MATCH(BK50,_names_lookup!$A:$A,0)),"")</f>
        <v/>
      </c>
      <c r="BM50" t="str">
        <f>IFERROR(INDEX(_names_lookup!$B:$B,MATCH(BK50,_names_lookup!$A:$A,0)),"")</f>
        <v/>
      </c>
      <c r="BS50" t="str">
        <f t="shared" si="10"/>
        <v/>
      </c>
    </row>
    <row r="51" spans="15:71" x14ac:dyDescent="0.2">
      <c r="O51" t="str">
        <f>IFERROR(INDEX(_courses_lookup!$C:$C,MATCH(K51&amp;L51,_courses_lookup!$E:$E,0)),"")</f>
        <v/>
      </c>
      <c r="P51" t="str">
        <f>IFERROR(INDEX(_courses_lookup!$D:$D,MATCH(K51&amp;L51,_courses_lookup!$E:$E,0)),"")</f>
        <v/>
      </c>
      <c r="AG51" t="str">
        <f t="shared" si="0"/>
        <v/>
      </c>
      <c r="AI51" t="str">
        <f t="shared" si="1"/>
        <v/>
      </c>
      <c r="AL51" t="str">
        <f t="shared" si="2"/>
        <v/>
      </c>
      <c r="AN51" t="str">
        <f t="shared" si="3"/>
        <v/>
      </c>
      <c r="AQ51" t="str">
        <f t="shared" si="4"/>
        <v/>
      </c>
      <c r="AR51" t="str">
        <f t="shared" si="5"/>
        <v/>
      </c>
      <c r="AS51" t="str">
        <f t="shared" si="6"/>
        <v/>
      </c>
      <c r="AT51" t="str">
        <f t="shared" si="7"/>
        <v/>
      </c>
      <c r="BG51" t="str">
        <f t="shared" si="8"/>
        <v/>
      </c>
      <c r="BH51" t="str">
        <f t="shared" si="9"/>
        <v/>
      </c>
      <c r="BL51" t="str">
        <f>IFERROR(INDEX(_names_lookup!$C:$C,MATCH(BK51,_names_lookup!$A:$A,0)),"")</f>
        <v/>
      </c>
      <c r="BM51" t="str">
        <f>IFERROR(INDEX(_names_lookup!$B:$B,MATCH(BK51,_names_lookup!$A:$A,0)),"")</f>
        <v/>
      </c>
      <c r="BS51" t="str">
        <f t="shared" si="10"/>
        <v/>
      </c>
    </row>
    <row r="52" spans="15:71" x14ac:dyDescent="0.2">
      <c r="O52" t="str">
        <f>IFERROR(INDEX(_courses_lookup!$C:$C,MATCH(K52&amp;L52,_courses_lookup!$E:$E,0)),"")</f>
        <v/>
      </c>
      <c r="P52" t="str">
        <f>IFERROR(INDEX(_courses_lookup!$D:$D,MATCH(K52&amp;L52,_courses_lookup!$E:$E,0)),"")</f>
        <v/>
      </c>
      <c r="AG52" t="str">
        <f t="shared" si="0"/>
        <v/>
      </c>
      <c r="AI52" t="str">
        <f t="shared" si="1"/>
        <v/>
      </c>
      <c r="AL52" t="str">
        <f t="shared" si="2"/>
        <v/>
      </c>
      <c r="AN52" t="str">
        <f t="shared" si="3"/>
        <v/>
      </c>
      <c r="AQ52" t="str">
        <f t="shared" si="4"/>
        <v/>
      </c>
      <c r="AR52" t="str">
        <f t="shared" si="5"/>
        <v/>
      </c>
      <c r="AS52" t="str">
        <f t="shared" si="6"/>
        <v/>
      </c>
      <c r="AT52" t="str">
        <f t="shared" si="7"/>
        <v/>
      </c>
      <c r="BG52" t="str">
        <f t="shared" si="8"/>
        <v/>
      </c>
      <c r="BH52" t="str">
        <f t="shared" si="9"/>
        <v/>
      </c>
      <c r="BL52" t="str">
        <f>IFERROR(INDEX(_names_lookup!$C:$C,MATCH(BK52,_names_lookup!$A:$A,0)),"")</f>
        <v/>
      </c>
      <c r="BM52" t="str">
        <f>IFERROR(INDEX(_names_lookup!$B:$B,MATCH(BK52,_names_lookup!$A:$A,0)),"")</f>
        <v/>
      </c>
      <c r="BS52" t="str">
        <f t="shared" si="10"/>
        <v/>
      </c>
    </row>
    <row r="53" spans="15:71" x14ac:dyDescent="0.2">
      <c r="O53" t="str">
        <f>IFERROR(INDEX(_courses_lookup!$C:$C,MATCH(K53&amp;L53,_courses_lookup!$E:$E,0)),"")</f>
        <v/>
      </c>
      <c r="P53" t="str">
        <f>IFERROR(INDEX(_courses_lookup!$D:$D,MATCH(K53&amp;L53,_courses_lookup!$E:$E,0)),"")</f>
        <v/>
      </c>
      <c r="AG53" t="str">
        <f t="shared" si="0"/>
        <v/>
      </c>
      <c r="AI53" t="str">
        <f t="shared" si="1"/>
        <v/>
      </c>
      <c r="AL53" t="str">
        <f t="shared" si="2"/>
        <v/>
      </c>
      <c r="AN53" t="str">
        <f t="shared" si="3"/>
        <v/>
      </c>
      <c r="AQ53" t="str">
        <f t="shared" si="4"/>
        <v/>
      </c>
      <c r="AR53" t="str">
        <f t="shared" si="5"/>
        <v/>
      </c>
      <c r="AS53" t="str">
        <f t="shared" si="6"/>
        <v/>
      </c>
      <c r="AT53" t="str">
        <f t="shared" si="7"/>
        <v/>
      </c>
      <c r="BG53" t="str">
        <f t="shared" si="8"/>
        <v/>
      </c>
      <c r="BH53" t="str">
        <f t="shared" si="9"/>
        <v/>
      </c>
      <c r="BL53" t="str">
        <f>IFERROR(INDEX(_names_lookup!$C:$C,MATCH(BK53,_names_lookup!$A:$A,0)),"")</f>
        <v/>
      </c>
      <c r="BM53" t="str">
        <f>IFERROR(INDEX(_names_lookup!$B:$B,MATCH(BK53,_names_lookup!$A:$A,0)),"")</f>
        <v/>
      </c>
      <c r="BS53" t="str">
        <f t="shared" si="10"/>
        <v/>
      </c>
    </row>
    <row r="54" spans="15:71" x14ac:dyDescent="0.2">
      <c r="O54" t="str">
        <f>IFERROR(INDEX(_courses_lookup!$C:$C,MATCH(K54&amp;L54,_courses_lookup!$E:$E,0)),"")</f>
        <v/>
      </c>
      <c r="P54" t="str">
        <f>IFERROR(INDEX(_courses_lookup!$D:$D,MATCH(K54&amp;L54,_courses_lookup!$E:$E,0)),"")</f>
        <v/>
      </c>
      <c r="AG54" t="str">
        <f t="shared" si="0"/>
        <v/>
      </c>
      <c r="AI54" t="str">
        <f t="shared" si="1"/>
        <v/>
      </c>
      <c r="AL54" t="str">
        <f t="shared" si="2"/>
        <v/>
      </c>
      <c r="AN54" t="str">
        <f t="shared" si="3"/>
        <v/>
      </c>
      <c r="AQ54" t="str">
        <f t="shared" si="4"/>
        <v/>
      </c>
      <c r="AR54" t="str">
        <f t="shared" si="5"/>
        <v/>
      </c>
      <c r="AS54" t="str">
        <f t="shared" si="6"/>
        <v/>
      </c>
      <c r="AT54" t="str">
        <f t="shared" si="7"/>
        <v/>
      </c>
      <c r="BG54" t="str">
        <f t="shared" si="8"/>
        <v/>
      </c>
      <c r="BH54" t="str">
        <f t="shared" si="9"/>
        <v/>
      </c>
      <c r="BL54" t="str">
        <f>IFERROR(INDEX(_names_lookup!$C:$C,MATCH(BK54,_names_lookup!$A:$A,0)),"")</f>
        <v/>
      </c>
      <c r="BM54" t="str">
        <f>IFERROR(INDEX(_names_lookup!$B:$B,MATCH(BK54,_names_lookup!$A:$A,0)),"")</f>
        <v/>
      </c>
      <c r="BS54" t="str">
        <f t="shared" si="10"/>
        <v/>
      </c>
    </row>
    <row r="55" spans="15:71" x14ac:dyDescent="0.2">
      <c r="O55" t="str">
        <f>IFERROR(INDEX(_courses_lookup!$C:$C,MATCH(K55&amp;L55,_courses_lookup!$E:$E,0)),"")</f>
        <v/>
      </c>
      <c r="P55" t="str">
        <f>IFERROR(INDEX(_courses_lookup!$D:$D,MATCH(K55&amp;L55,_courses_lookup!$E:$E,0)),"")</f>
        <v/>
      </c>
      <c r="AG55" t="str">
        <f t="shared" si="0"/>
        <v/>
      </c>
      <c r="AI55" t="str">
        <f t="shared" si="1"/>
        <v/>
      </c>
      <c r="AL55" t="str">
        <f t="shared" si="2"/>
        <v/>
      </c>
      <c r="AN55" t="str">
        <f t="shared" si="3"/>
        <v/>
      </c>
      <c r="AQ55" t="str">
        <f t="shared" si="4"/>
        <v/>
      </c>
      <c r="AR55" t="str">
        <f t="shared" si="5"/>
        <v/>
      </c>
      <c r="AS55" t="str">
        <f t="shared" si="6"/>
        <v/>
      </c>
      <c r="AT55" t="str">
        <f t="shared" si="7"/>
        <v/>
      </c>
      <c r="BG55" t="str">
        <f t="shared" si="8"/>
        <v/>
      </c>
      <c r="BH55" t="str">
        <f t="shared" si="9"/>
        <v/>
      </c>
      <c r="BL55" t="str">
        <f>IFERROR(INDEX(_names_lookup!$C:$C,MATCH(BK55,_names_lookup!$A:$A,0)),"")</f>
        <v/>
      </c>
      <c r="BM55" t="str">
        <f>IFERROR(INDEX(_names_lookup!$B:$B,MATCH(BK55,_names_lookup!$A:$A,0)),"")</f>
        <v/>
      </c>
      <c r="BS55" t="str">
        <f t="shared" si="10"/>
        <v/>
      </c>
    </row>
    <row r="56" spans="15:71" x14ac:dyDescent="0.2">
      <c r="O56" t="str">
        <f>IFERROR(INDEX(_courses_lookup!$C:$C,MATCH(K56&amp;L56,_courses_lookup!$E:$E,0)),"")</f>
        <v/>
      </c>
      <c r="P56" t="str">
        <f>IFERROR(INDEX(_courses_lookup!$D:$D,MATCH(K56&amp;L56,_courses_lookup!$E:$E,0)),"")</f>
        <v/>
      </c>
      <c r="AG56" t="str">
        <f t="shared" si="0"/>
        <v/>
      </c>
      <c r="AI56" t="str">
        <f t="shared" si="1"/>
        <v/>
      </c>
      <c r="AL56" t="str">
        <f t="shared" si="2"/>
        <v/>
      </c>
      <c r="AN56" t="str">
        <f t="shared" si="3"/>
        <v/>
      </c>
      <c r="AQ56" t="str">
        <f t="shared" si="4"/>
        <v/>
      </c>
      <c r="AR56" t="str">
        <f t="shared" si="5"/>
        <v/>
      </c>
      <c r="AS56" t="str">
        <f t="shared" si="6"/>
        <v/>
      </c>
      <c r="AT56" t="str">
        <f t="shared" si="7"/>
        <v/>
      </c>
      <c r="BG56" t="str">
        <f t="shared" si="8"/>
        <v/>
      </c>
      <c r="BH56" t="str">
        <f t="shared" si="9"/>
        <v/>
      </c>
      <c r="BL56" t="str">
        <f>IFERROR(INDEX(_names_lookup!$C:$C,MATCH(BK56,_names_lookup!$A:$A,0)),"")</f>
        <v/>
      </c>
      <c r="BM56" t="str">
        <f>IFERROR(INDEX(_names_lookup!$B:$B,MATCH(BK56,_names_lookup!$A:$A,0)),"")</f>
        <v/>
      </c>
      <c r="BS56" t="str">
        <f t="shared" si="10"/>
        <v/>
      </c>
    </row>
    <row r="57" spans="15:71" x14ac:dyDescent="0.2">
      <c r="O57" t="str">
        <f>IFERROR(INDEX(_courses_lookup!$C:$C,MATCH(K57&amp;L57,_courses_lookup!$E:$E,0)),"")</f>
        <v/>
      </c>
      <c r="P57" t="str">
        <f>IFERROR(INDEX(_courses_lookup!$D:$D,MATCH(K57&amp;L57,_courses_lookup!$E:$E,0)),"")</f>
        <v/>
      </c>
      <c r="AG57" t="str">
        <f t="shared" si="0"/>
        <v/>
      </c>
      <c r="AI57" t="str">
        <f t="shared" si="1"/>
        <v/>
      </c>
      <c r="AL57" t="str">
        <f t="shared" si="2"/>
        <v/>
      </c>
      <c r="AN57" t="str">
        <f t="shared" si="3"/>
        <v/>
      </c>
      <c r="AQ57" t="str">
        <f t="shared" si="4"/>
        <v/>
      </c>
      <c r="AR57" t="str">
        <f t="shared" si="5"/>
        <v/>
      </c>
      <c r="AS57" t="str">
        <f t="shared" si="6"/>
        <v/>
      </c>
      <c r="AT57" t="str">
        <f t="shared" si="7"/>
        <v/>
      </c>
      <c r="BG57" t="str">
        <f t="shared" si="8"/>
        <v/>
      </c>
      <c r="BH57" t="str">
        <f t="shared" si="9"/>
        <v/>
      </c>
      <c r="BL57" t="str">
        <f>IFERROR(INDEX(_names_lookup!$C:$C,MATCH(BK57,_names_lookup!$A:$A,0)),"")</f>
        <v/>
      </c>
      <c r="BM57" t="str">
        <f>IFERROR(INDEX(_names_lookup!$B:$B,MATCH(BK57,_names_lookup!$A:$A,0)),"")</f>
        <v/>
      </c>
      <c r="BS57" t="str">
        <f t="shared" si="10"/>
        <v/>
      </c>
    </row>
    <row r="58" spans="15:71" x14ac:dyDescent="0.2">
      <c r="O58" t="str">
        <f>IFERROR(INDEX(_courses_lookup!$C:$C,MATCH(K58&amp;L58,_courses_lookup!$E:$E,0)),"")</f>
        <v/>
      </c>
      <c r="P58" t="str">
        <f>IFERROR(INDEX(_courses_lookup!$D:$D,MATCH(K58&amp;L58,_courses_lookup!$E:$E,0)),"")</f>
        <v/>
      </c>
      <c r="AG58" t="str">
        <f t="shared" si="0"/>
        <v/>
      </c>
      <c r="AI58" t="str">
        <f t="shared" si="1"/>
        <v/>
      </c>
      <c r="AL58" t="str">
        <f t="shared" si="2"/>
        <v/>
      </c>
      <c r="AN58" t="str">
        <f t="shared" si="3"/>
        <v/>
      </c>
      <c r="AQ58" t="str">
        <f t="shared" si="4"/>
        <v/>
      </c>
      <c r="AR58" t="str">
        <f t="shared" si="5"/>
        <v/>
      </c>
      <c r="AS58" t="str">
        <f t="shared" si="6"/>
        <v/>
      </c>
      <c r="AT58" t="str">
        <f t="shared" si="7"/>
        <v/>
      </c>
      <c r="BG58" t="str">
        <f t="shared" si="8"/>
        <v/>
      </c>
      <c r="BH58" t="str">
        <f t="shared" si="9"/>
        <v/>
      </c>
      <c r="BL58" t="str">
        <f>IFERROR(INDEX(_names_lookup!$C:$C,MATCH(BK58,_names_lookup!$A:$A,0)),"")</f>
        <v/>
      </c>
      <c r="BM58" t="str">
        <f>IFERROR(INDEX(_names_lookup!$B:$B,MATCH(BK58,_names_lookup!$A:$A,0)),"")</f>
        <v/>
      </c>
      <c r="BS58" t="str">
        <f t="shared" si="10"/>
        <v/>
      </c>
    </row>
    <row r="59" spans="15:71" x14ac:dyDescent="0.2">
      <c r="O59" t="str">
        <f>IFERROR(INDEX(_courses_lookup!$C:$C,MATCH(K59&amp;L59,_courses_lookup!$E:$E,0)),"")</f>
        <v/>
      </c>
      <c r="P59" t="str">
        <f>IFERROR(INDEX(_courses_lookup!$D:$D,MATCH(K59&amp;L59,_courses_lookup!$E:$E,0)),"")</f>
        <v/>
      </c>
      <c r="AG59" t="str">
        <f t="shared" si="0"/>
        <v/>
      </c>
      <c r="AI59" t="str">
        <f t="shared" si="1"/>
        <v/>
      </c>
      <c r="AL59" t="str">
        <f t="shared" si="2"/>
        <v/>
      </c>
      <c r="AN59" t="str">
        <f t="shared" si="3"/>
        <v/>
      </c>
      <c r="AQ59" t="str">
        <f t="shared" si="4"/>
        <v/>
      </c>
      <c r="AR59" t="str">
        <f t="shared" si="5"/>
        <v/>
      </c>
      <c r="AS59" t="str">
        <f t="shared" si="6"/>
        <v/>
      </c>
      <c r="AT59" t="str">
        <f t="shared" si="7"/>
        <v/>
      </c>
      <c r="BG59" t="str">
        <f t="shared" si="8"/>
        <v/>
      </c>
      <c r="BH59" t="str">
        <f t="shared" si="9"/>
        <v/>
      </c>
      <c r="BL59" t="str">
        <f>IFERROR(INDEX(_names_lookup!$C:$C,MATCH(BK59,_names_lookup!$A:$A,0)),"")</f>
        <v/>
      </c>
      <c r="BM59" t="str">
        <f>IFERROR(INDEX(_names_lookup!$B:$B,MATCH(BK59,_names_lookup!$A:$A,0)),"")</f>
        <v/>
      </c>
      <c r="BS59" t="str">
        <f t="shared" si="10"/>
        <v/>
      </c>
    </row>
    <row r="60" spans="15:71" x14ac:dyDescent="0.2">
      <c r="O60" t="str">
        <f>IFERROR(INDEX(_courses_lookup!$C:$C,MATCH(K60&amp;L60,_courses_lookup!$E:$E,0)),"")</f>
        <v/>
      </c>
      <c r="P60" t="str">
        <f>IFERROR(INDEX(_courses_lookup!$D:$D,MATCH(K60&amp;L60,_courses_lookup!$E:$E,0)),"")</f>
        <v/>
      </c>
      <c r="AG60" t="str">
        <f t="shared" si="0"/>
        <v/>
      </c>
      <c r="AI60" t="str">
        <f t="shared" si="1"/>
        <v/>
      </c>
      <c r="AL60" t="str">
        <f t="shared" si="2"/>
        <v/>
      </c>
      <c r="AN60" t="str">
        <f t="shared" si="3"/>
        <v/>
      </c>
      <c r="AQ60" t="str">
        <f t="shared" si="4"/>
        <v/>
      </c>
      <c r="AR60" t="str">
        <f t="shared" si="5"/>
        <v/>
      </c>
      <c r="AS60" t="str">
        <f t="shared" si="6"/>
        <v/>
      </c>
      <c r="AT60" t="str">
        <f t="shared" si="7"/>
        <v/>
      </c>
      <c r="BG60" t="str">
        <f t="shared" si="8"/>
        <v/>
      </c>
      <c r="BH60" t="str">
        <f t="shared" si="9"/>
        <v/>
      </c>
      <c r="BL60" t="str">
        <f>IFERROR(INDEX(_names_lookup!$C:$C,MATCH(BK60,_names_lookup!$A:$A,0)),"")</f>
        <v/>
      </c>
      <c r="BM60" t="str">
        <f>IFERROR(INDEX(_names_lookup!$B:$B,MATCH(BK60,_names_lookup!$A:$A,0)),"")</f>
        <v/>
      </c>
      <c r="BS60" t="str">
        <f t="shared" si="10"/>
        <v/>
      </c>
    </row>
    <row r="61" spans="15:71" x14ac:dyDescent="0.2">
      <c r="O61" t="str">
        <f>IFERROR(INDEX(_courses_lookup!$C:$C,MATCH(K61&amp;L61,_courses_lookup!$E:$E,0)),"")</f>
        <v/>
      </c>
      <c r="P61" t="str">
        <f>IFERROR(INDEX(_courses_lookup!$D:$D,MATCH(K61&amp;L61,_courses_lookup!$E:$E,0)),"")</f>
        <v/>
      </c>
      <c r="AG61" t="str">
        <f t="shared" si="0"/>
        <v/>
      </c>
      <c r="AI61" t="str">
        <f t="shared" si="1"/>
        <v/>
      </c>
      <c r="AL61" t="str">
        <f t="shared" si="2"/>
        <v/>
      </c>
      <c r="AN61" t="str">
        <f t="shared" si="3"/>
        <v/>
      </c>
      <c r="AQ61" t="str">
        <f t="shared" si="4"/>
        <v/>
      </c>
      <c r="AR61" t="str">
        <f t="shared" si="5"/>
        <v/>
      </c>
      <c r="AS61" t="str">
        <f t="shared" si="6"/>
        <v/>
      </c>
      <c r="AT61" t="str">
        <f t="shared" si="7"/>
        <v/>
      </c>
      <c r="BG61" t="str">
        <f t="shared" si="8"/>
        <v/>
      </c>
      <c r="BH61" t="str">
        <f t="shared" si="9"/>
        <v/>
      </c>
      <c r="BL61" t="str">
        <f>IFERROR(INDEX(_names_lookup!$C:$C,MATCH(BK61,_names_lookup!$A:$A,0)),"")</f>
        <v/>
      </c>
      <c r="BM61" t="str">
        <f>IFERROR(INDEX(_names_lookup!$B:$B,MATCH(BK61,_names_lookup!$A:$A,0)),"")</f>
        <v/>
      </c>
      <c r="BS61" t="str">
        <f t="shared" si="10"/>
        <v/>
      </c>
    </row>
    <row r="62" spans="15:71" x14ac:dyDescent="0.2">
      <c r="O62" t="str">
        <f>IFERROR(INDEX(_courses_lookup!$C:$C,MATCH(K62&amp;L62,_courses_lookup!$E:$E,0)),"")</f>
        <v/>
      </c>
      <c r="P62" t="str">
        <f>IFERROR(INDEX(_courses_lookup!$D:$D,MATCH(K62&amp;L62,_courses_lookup!$E:$E,0)),"")</f>
        <v/>
      </c>
      <c r="AG62" t="str">
        <f t="shared" si="0"/>
        <v/>
      </c>
      <c r="AI62" t="str">
        <f t="shared" si="1"/>
        <v/>
      </c>
      <c r="AL62" t="str">
        <f t="shared" si="2"/>
        <v/>
      </c>
      <c r="AN62" t="str">
        <f t="shared" si="3"/>
        <v/>
      </c>
      <c r="AQ62" t="str">
        <f t="shared" si="4"/>
        <v/>
      </c>
      <c r="AR62" t="str">
        <f t="shared" si="5"/>
        <v/>
      </c>
      <c r="AS62" t="str">
        <f t="shared" si="6"/>
        <v/>
      </c>
      <c r="AT62" t="str">
        <f t="shared" si="7"/>
        <v/>
      </c>
      <c r="BG62" t="str">
        <f t="shared" si="8"/>
        <v/>
      </c>
      <c r="BH62" t="str">
        <f t="shared" si="9"/>
        <v/>
      </c>
      <c r="BL62" t="str">
        <f>IFERROR(INDEX(_names_lookup!$C:$C,MATCH(BK62,_names_lookup!$A:$A,0)),"")</f>
        <v/>
      </c>
      <c r="BM62" t="str">
        <f>IFERROR(INDEX(_names_lookup!$B:$B,MATCH(BK62,_names_lookup!$A:$A,0)),"")</f>
        <v/>
      </c>
      <c r="BS62" t="str">
        <f t="shared" si="10"/>
        <v/>
      </c>
    </row>
    <row r="63" spans="15:71" x14ac:dyDescent="0.2">
      <c r="O63" t="str">
        <f>IFERROR(INDEX(_courses_lookup!$C:$C,MATCH(K63&amp;L63,_courses_lookup!$E:$E,0)),"")</f>
        <v/>
      </c>
      <c r="P63" t="str">
        <f>IFERROR(INDEX(_courses_lookup!$D:$D,MATCH(K63&amp;L63,_courses_lookup!$E:$E,0)),"")</f>
        <v/>
      </c>
      <c r="AG63" t="str">
        <f t="shared" si="0"/>
        <v/>
      </c>
      <c r="AI63" t="str">
        <f t="shared" si="1"/>
        <v/>
      </c>
      <c r="AL63" t="str">
        <f t="shared" si="2"/>
        <v/>
      </c>
      <c r="AN63" t="str">
        <f t="shared" si="3"/>
        <v/>
      </c>
      <c r="AQ63" t="str">
        <f t="shared" si="4"/>
        <v/>
      </c>
      <c r="AR63" t="str">
        <f t="shared" si="5"/>
        <v/>
      </c>
      <c r="AS63" t="str">
        <f t="shared" si="6"/>
        <v/>
      </c>
      <c r="AT63" t="str">
        <f t="shared" si="7"/>
        <v/>
      </c>
      <c r="BG63" t="str">
        <f t="shared" si="8"/>
        <v/>
      </c>
      <c r="BH63" t="str">
        <f t="shared" si="9"/>
        <v/>
      </c>
      <c r="BL63" t="str">
        <f>IFERROR(INDEX(_names_lookup!$C:$C,MATCH(BK63,_names_lookup!$A:$A,0)),"")</f>
        <v/>
      </c>
      <c r="BM63" t="str">
        <f>IFERROR(INDEX(_names_lookup!$B:$B,MATCH(BK63,_names_lookup!$A:$A,0)),"")</f>
        <v/>
      </c>
      <c r="BS63" t="str">
        <f t="shared" si="10"/>
        <v/>
      </c>
    </row>
    <row r="64" spans="15:71" x14ac:dyDescent="0.2">
      <c r="O64" t="str">
        <f>IFERROR(INDEX(_courses_lookup!$C:$C,MATCH(K64&amp;L64,_courses_lookup!$E:$E,0)),"")</f>
        <v/>
      </c>
      <c r="P64" t="str">
        <f>IFERROR(INDEX(_courses_lookup!$D:$D,MATCH(K64&amp;L64,_courses_lookup!$E:$E,0)),"")</f>
        <v/>
      </c>
      <c r="AG64" t="str">
        <f t="shared" si="0"/>
        <v/>
      </c>
      <c r="AI64" t="str">
        <f t="shared" si="1"/>
        <v/>
      </c>
      <c r="AL64" t="str">
        <f t="shared" si="2"/>
        <v/>
      </c>
      <c r="AN64" t="str">
        <f t="shared" si="3"/>
        <v/>
      </c>
      <c r="AQ64" t="str">
        <f t="shared" si="4"/>
        <v/>
      </c>
      <c r="AR64" t="str">
        <f t="shared" si="5"/>
        <v/>
      </c>
      <c r="AS64" t="str">
        <f t="shared" si="6"/>
        <v/>
      </c>
      <c r="AT64" t="str">
        <f t="shared" si="7"/>
        <v/>
      </c>
      <c r="BG64" t="str">
        <f t="shared" si="8"/>
        <v/>
      </c>
      <c r="BH64" t="str">
        <f t="shared" si="9"/>
        <v/>
      </c>
      <c r="BL64" t="str">
        <f>IFERROR(INDEX(_names_lookup!$C:$C,MATCH(BK64,_names_lookup!$A:$A,0)),"")</f>
        <v/>
      </c>
      <c r="BM64" t="str">
        <f>IFERROR(INDEX(_names_lookup!$B:$B,MATCH(BK64,_names_lookup!$A:$A,0)),"")</f>
        <v/>
      </c>
      <c r="BS64" t="str">
        <f t="shared" si="10"/>
        <v/>
      </c>
    </row>
    <row r="65" spans="15:71" x14ac:dyDescent="0.2">
      <c r="O65" t="str">
        <f>IFERROR(INDEX(_courses_lookup!$C:$C,MATCH(K65&amp;L65,_courses_lookup!$E:$E,0)),"")</f>
        <v/>
      </c>
      <c r="P65" t="str">
        <f>IFERROR(INDEX(_courses_lookup!$D:$D,MATCH(K65&amp;L65,_courses_lookup!$E:$E,0)),"")</f>
        <v/>
      </c>
      <c r="AG65" t="str">
        <f t="shared" si="0"/>
        <v/>
      </c>
      <c r="AI65" t="str">
        <f t="shared" si="1"/>
        <v/>
      </c>
      <c r="AL65" t="str">
        <f t="shared" si="2"/>
        <v/>
      </c>
      <c r="AN65" t="str">
        <f t="shared" si="3"/>
        <v/>
      </c>
      <c r="AQ65" t="str">
        <f t="shared" si="4"/>
        <v/>
      </c>
      <c r="AR65" t="str">
        <f t="shared" si="5"/>
        <v/>
      </c>
      <c r="AS65" t="str">
        <f t="shared" si="6"/>
        <v/>
      </c>
      <c r="AT65" t="str">
        <f t="shared" si="7"/>
        <v/>
      </c>
      <c r="BG65" t="str">
        <f t="shared" si="8"/>
        <v/>
      </c>
      <c r="BH65" t="str">
        <f t="shared" si="9"/>
        <v/>
      </c>
      <c r="BL65" t="str">
        <f>IFERROR(INDEX(_names_lookup!$C:$C,MATCH(BK65,_names_lookup!$A:$A,0)),"")</f>
        <v/>
      </c>
      <c r="BM65" t="str">
        <f>IFERROR(INDEX(_names_lookup!$B:$B,MATCH(BK65,_names_lookup!$A:$A,0)),"")</f>
        <v/>
      </c>
      <c r="BS65" t="str">
        <f t="shared" si="10"/>
        <v/>
      </c>
    </row>
    <row r="66" spans="15:71" x14ac:dyDescent="0.2">
      <c r="O66" t="str">
        <f>IFERROR(INDEX(_courses_lookup!$C:$C,MATCH(K66&amp;L66,_courses_lookup!$E:$E,0)),"")</f>
        <v/>
      </c>
      <c r="P66" t="str">
        <f>IFERROR(INDEX(_courses_lookup!$D:$D,MATCH(K66&amp;L66,_courses_lookup!$E:$E,0)),"")</f>
        <v/>
      </c>
      <c r="AG66" t="str">
        <f t="shared" ref="AG66:AG129" si="11">IF(AND(AE66&lt;&gt;"",AF66&lt;&gt;""),ROUNDUP((AF66-AE66)/7,0),"")</f>
        <v/>
      </c>
      <c r="AI66" t="str">
        <f t="shared" ref="AI66:AI129" si="12">IFERROR(IF(AG66*AH66=0,"",AG66*AH66),"")</f>
        <v/>
      </c>
      <c r="AL66" t="str">
        <f t="shared" ref="AL66:AL129" si="13">IF(AND(AJ66&lt;&gt;"",AK66&lt;&gt;""),ROUNDUP((AK66-AJ66)/7,0),"")</f>
        <v/>
      </c>
      <c r="AN66" t="str">
        <f t="shared" ref="AN66:AN129" si="14">IFERROR(IF(AL66*AM66=0,"",AL66*AM66),"")</f>
        <v/>
      </c>
      <c r="AQ66" t="str">
        <f t="shared" ref="AQ66:AQ129" si="15">IF(AND(AO66&lt;&gt;"",AP66&lt;&gt;""),ROUNDUP((AP66-AO66)/7,0),"")</f>
        <v/>
      </c>
      <c r="AR66" t="str">
        <f t="shared" ref="AR66:AR129" si="16">IFERROR(IF((AU66-(AI66+AN66))/AQ66=0,"",ROUNDUP((AU66-(AI66+AN66))/AQ66,0)),"")</f>
        <v/>
      </c>
      <c r="AS66" t="str">
        <f t="shared" ref="AS66:AS129" si="17">IFERROR(IF((AU66-(AI66+AN66))=0,"",(AU66-(AI66+AN66))),"")</f>
        <v/>
      </c>
      <c r="AT66" t="str">
        <f t="shared" ref="AT66:AT129" si="18">IF(AND(AG66="",AQ66=""),AL66,IF(SUM(AG66,AL66,AQ66)=0,"",SUM(AG66,AL66,AQ66)))</f>
        <v/>
      </c>
      <c r="BG66" t="str">
        <f t="shared" ref="BG66:BG129" si="19">IF(AD66="","",YEAR(AD66)+IF(MONTH(AD66)&gt;=5,1,0))</f>
        <v/>
      </c>
      <c r="BH66" t="str">
        <f t="shared" ref="BH66:BH129" si="20">IF(AD66="","",IF(AND(MONTH(AD66)=8,DAY(AD66)&gt;=15),"Fall",IF(MONTH(AD66)&gt;8,"Fall",IF(MONTH(AD66)=5,"Summer",IF(MONTH(AD66)=1,"Spring","")))))</f>
        <v/>
      </c>
      <c r="BL66" t="str">
        <f>IFERROR(INDEX(_names_lookup!$C:$C,MATCH(BK66,_names_lookup!$A:$A,0)),"")</f>
        <v/>
      </c>
      <c r="BM66" t="str">
        <f>IFERROR(INDEX(_names_lookup!$B:$B,MATCH(BK66,_names_lookup!$A:$A,0)),"")</f>
        <v/>
      </c>
      <c r="BS66" t="str">
        <f t="shared" ref="BS66:BS129" si="21">IFERROR(IF(BR66*AA66=0,"",BR66*AA66),"")</f>
        <v/>
      </c>
    </row>
    <row r="67" spans="15:71" x14ac:dyDescent="0.2">
      <c r="O67" t="str">
        <f>IFERROR(INDEX(_courses_lookup!$C:$C,MATCH(K67&amp;L67,_courses_lookup!$E:$E,0)),"")</f>
        <v/>
      </c>
      <c r="P67" t="str">
        <f>IFERROR(INDEX(_courses_lookup!$D:$D,MATCH(K67&amp;L67,_courses_lookup!$E:$E,0)),"")</f>
        <v/>
      </c>
      <c r="AG67" t="str">
        <f t="shared" si="11"/>
        <v/>
      </c>
      <c r="AI67" t="str">
        <f t="shared" si="12"/>
        <v/>
      </c>
      <c r="AL67" t="str">
        <f t="shared" si="13"/>
        <v/>
      </c>
      <c r="AN67" t="str">
        <f t="shared" si="14"/>
        <v/>
      </c>
      <c r="AQ67" t="str">
        <f t="shared" si="15"/>
        <v/>
      </c>
      <c r="AR67" t="str">
        <f t="shared" si="16"/>
        <v/>
      </c>
      <c r="AS67" t="str">
        <f t="shared" si="17"/>
        <v/>
      </c>
      <c r="AT67" t="str">
        <f t="shared" si="18"/>
        <v/>
      </c>
      <c r="BG67" t="str">
        <f t="shared" si="19"/>
        <v/>
      </c>
      <c r="BH67" t="str">
        <f t="shared" si="20"/>
        <v/>
      </c>
      <c r="BL67" t="str">
        <f>IFERROR(INDEX(_names_lookup!$C:$C,MATCH(BK67,_names_lookup!$A:$A,0)),"")</f>
        <v/>
      </c>
      <c r="BM67" t="str">
        <f>IFERROR(INDEX(_names_lookup!$B:$B,MATCH(BK67,_names_lookup!$A:$A,0)),"")</f>
        <v/>
      </c>
      <c r="BS67" t="str">
        <f t="shared" si="21"/>
        <v/>
      </c>
    </row>
    <row r="68" spans="15:71" x14ac:dyDescent="0.2">
      <c r="O68" t="str">
        <f>IFERROR(INDEX(_courses_lookup!$C:$C,MATCH(K68&amp;L68,_courses_lookup!$E:$E,0)),"")</f>
        <v/>
      </c>
      <c r="P68" t="str">
        <f>IFERROR(INDEX(_courses_lookup!$D:$D,MATCH(K68&amp;L68,_courses_lookup!$E:$E,0)),"")</f>
        <v/>
      </c>
      <c r="AG68" t="str">
        <f t="shared" si="11"/>
        <v/>
      </c>
      <c r="AI68" t="str">
        <f t="shared" si="12"/>
        <v/>
      </c>
      <c r="AL68" t="str">
        <f t="shared" si="13"/>
        <v/>
      </c>
      <c r="AN68" t="str">
        <f t="shared" si="14"/>
        <v/>
      </c>
      <c r="AQ68" t="str">
        <f t="shared" si="15"/>
        <v/>
      </c>
      <c r="AR68" t="str">
        <f t="shared" si="16"/>
        <v/>
      </c>
      <c r="AS68" t="str">
        <f t="shared" si="17"/>
        <v/>
      </c>
      <c r="AT68" t="str">
        <f t="shared" si="18"/>
        <v/>
      </c>
      <c r="BG68" t="str">
        <f t="shared" si="19"/>
        <v/>
      </c>
      <c r="BH68" t="str">
        <f t="shared" si="20"/>
        <v/>
      </c>
      <c r="BL68" t="str">
        <f>IFERROR(INDEX(_names_lookup!$C:$C,MATCH(BK68,_names_lookup!$A:$A,0)),"")</f>
        <v/>
      </c>
      <c r="BM68" t="str">
        <f>IFERROR(INDEX(_names_lookup!$B:$B,MATCH(BK68,_names_lookup!$A:$A,0)),"")</f>
        <v/>
      </c>
      <c r="BS68" t="str">
        <f t="shared" si="21"/>
        <v/>
      </c>
    </row>
    <row r="69" spans="15:71" x14ac:dyDescent="0.2">
      <c r="O69" t="str">
        <f>IFERROR(INDEX(_courses_lookup!$C:$C,MATCH(K69&amp;L69,_courses_lookup!$E:$E,0)),"")</f>
        <v/>
      </c>
      <c r="P69" t="str">
        <f>IFERROR(INDEX(_courses_lookup!$D:$D,MATCH(K69&amp;L69,_courses_lookup!$E:$E,0)),"")</f>
        <v/>
      </c>
      <c r="AG69" t="str">
        <f t="shared" si="11"/>
        <v/>
      </c>
      <c r="AI69" t="str">
        <f t="shared" si="12"/>
        <v/>
      </c>
      <c r="AL69" t="str">
        <f t="shared" si="13"/>
        <v/>
      </c>
      <c r="AN69" t="str">
        <f t="shared" si="14"/>
        <v/>
      </c>
      <c r="AQ69" t="str">
        <f t="shared" si="15"/>
        <v/>
      </c>
      <c r="AR69" t="str">
        <f t="shared" si="16"/>
        <v/>
      </c>
      <c r="AS69" t="str">
        <f t="shared" si="17"/>
        <v/>
      </c>
      <c r="AT69" t="str">
        <f t="shared" si="18"/>
        <v/>
      </c>
      <c r="BG69" t="str">
        <f t="shared" si="19"/>
        <v/>
      </c>
      <c r="BH69" t="str">
        <f t="shared" si="20"/>
        <v/>
      </c>
      <c r="BL69" t="str">
        <f>IFERROR(INDEX(_names_lookup!$C:$C,MATCH(BK69,_names_lookup!$A:$A,0)),"")</f>
        <v/>
      </c>
      <c r="BM69" t="str">
        <f>IFERROR(INDEX(_names_lookup!$B:$B,MATCH(BK69,_names_lookup!$A:$A,0)),"")</f>
        <v/>
      </c>
      <c r="BS69" t="str">
        <f t="shared" si="21"/>
        <v/>
      </c>
    </row>
    <row r="70" spans="15:71" x14ac:dyDescent="0.2">
      <c r="O70" t="str">
        <f>IFERROR(INDEX(_courses_lookup!$C:$C,MATCH(K70&amp;L70,_courses_lookup!$E:$E,0)),"")</f>
        <v/>
      </c>
      <c r="P70" t="str">
        <f>IFERROR(INDEX(_courses_lookup!$D:$D,MATCH(K70&amp;L70,_courses_lookup!$E:$E,0)),"")</f>
        <v/>
      </c>
      <c r="AG70" t="str">
        <f t="shared" si="11"/>
        <v/>
      </c>
      <c r="AI70" t="str">
        <f t="shared" si="12"/>
        <v/>
      </c>
      <c r="AL70" t="str">
        <f t="shared" si="13"/>
        <v/>
      </c>
      <c r="AN70" t="str">
        <f t="shared" si="14"/>
        <v/>
      </c>
      <c r="AQ70" t="str">
        <f t="shared" si="15"/>
        <v/>
      </c>
      <c r="AR70" t="str">
        <f t="shared" si="16"/>
        <v/>
      </c>
      <c r="AS70" t="str">
        <f t="shared" si="17"/>
        <v/>
      </c>
      <c r="AT70" t="str">
        <f t="shared" si="18"/>
        <v/>
      </c>
      <c r="BG70" t="str">
        <f t="shared" si="19"/>
        <v/>
      </c>
      <c r="BH70" t="str">
        <f t="shared" si="20"/>
        <v/>
      </c>
      <c r="BL70" t="str">
        <f>IFERROR(INDEX(_names_lookup!$C:$C,MATCH(BK70,_names_lookup!$A:$A,0)),"")</f>
        <v/>
      </c>
      <c r="BM70" t="str">
        <f>IFERROR(INDEX(_names_lookup!$B:$B,MATCH(BK70,_names_lookup!$A:$A,0)),"")</f>
        <v/>
      </c>
      <c r="BS70" t="str">
        <f t="shared" si="21"/>
        <v/>
      </c>
    </row>
    <row r="71" spans="15:71" x14ac:dyDescent="0.2">
      <c r="O71" t="str">
        <f>IFERROR(INDEX(_courses_lookup!$C:$C,MATCH(K71&amp;L71,_courses_lookup!$E:$E,0)),"")</f>
        <v/>
      </c>
      <c r="P71" t="str">
        <f>IFERROR(INDEX(_courses_lookup!$D:$D,MATCH(K71&amp;L71,_courses_lookup!$E:$E,0)),"")</f>
        <v/>
      </c>
      <c r="AG71" t="str">
        <f t="shared" si="11"/>
        <v/>
      </c>
      <c r="AI71" t="str">
        <f t="shared" si="12"/>
        <v/>
      </c>
      <c r="AL71" t="str">
        <f t="shared" si="13"/>
        <v/>
      </c>
      <c r="AN71" t="str">
        <f t="shared" si="14"/>
        <v/>
      </c>
      <c r="AQ71" t="str">
        <f t="shared" si="15"/>
        <v/>
      </c>
      <c r="AR71" t="str">
        <f t="shared" si="16"/>
        <v/>
      </c>
      <c r="AS71" t="str">
        <f t="shared" si="17"/>
        <v/>
      </c>
      <c r="AT71" t="str">
        <f t="shared" si="18"/>
        <v/>
      </c>
      <c r="BG71" t="str">
        <f t="shared" si="19"/>
        <v/>
      </c>
      <c r="BH71" t="str">
        <f t="shared" si="20"/>
        <v/>
      </c>
      <c r="BL71" t="str">
        <f>IFERROR(INDEX(_names_lookup!$C:$C,MATCH(BK71,_names_lookup!$A:$A,0)),"")</f>
        <v/>
      </c>
      <c r="BM71" t="str">
        <f>IFERROR(INDEX(_names_lookup!$B:$B,MATCH(BK71,_names_lookup!$A:$A,0)),"")</f>
        <v/>
      </c>
      <c r="BS71" t="str">
        <f t="shared" si="21"/>
        <v/>
      </c>
    </row>
    <row r="72" spans="15:71" x14ac:dyDescent="0.2">
      <c r="O72" t="str">
        <f>IFERROR(INDEX(_courses_lookup!$C:$C,MATCH(K72&amp;L72,_courses_lookup!$E:$E,0)),"")</f>
        <v/>
      </c>
      <c r="P72" t="str">
        <f>IFERROR(INDEX(_courses_lookup!$D:$D,MATCH(K72&amp;L72,_courses_lookup!$E:$E,0)),"")</f>
        <v/>
      </c>
      <c r="AG72" t="str">
        <f t="shared" si="11"/>
        <v/>
      </c>
      <c r="AI72" t="str">
        <f t="shared" si="12"/>
        <v/>
      </c>
      <c r="AL72" t="str">
        <f t="shared" si="13"/>
        <v/>
      </c>
      <c r="AN72" t="str">
        <f t="shared" si="14"/>
        <v/>
      </c>
      <c r="AQ72" t="str">
        <f t="shared" si="15"/>
        <v/>
      </c>
      <c r="AR72" t="str">
        <f t="shared" si="16"/>
        <v/>
      </c>
      <c r="AS72" t="str">
        <f t="shared" si="17"/>
        <v/>
      </c>
      <c r="AT72" t="str">
        <f t="shared" si="18"/>
        <v/>
      </c>
      <c r="BG72" t="str">
        <f t="shared" si="19"/>
        <v/>
      </c>
      <c r="BH72" t="str">
        <f t="shared" si="20"/>
        <v/>
      </c>
      <c r="BL72" t="str">
        <f>IFERROR(INDEX(_names_lookup!$C:$C,MATCH(BK72,_names_lookup!$A:$A,0)),"")</f>
        <v/>
      </c>
      <c r="BM72" t="str">
        <f>IFERROR(INDEX(_names_lookup!$B:$B,MATCH(BK72,_names_lookup!$A:$A,0)),"")</f>
        <v/>
      </c>
      <c r="BS72" t="str">
        <f t="shared" si="21"/>
        <v/>
      </c>
    </row>
    <row r="73" spans="15:71" x14ac:dyDescent="0.2">
      <c r="O73" t="str">
        <f>IFERROR(INDEX(_courses_lookup!$C:$C,MATCH(K73&amp;L73,_courses_lookup!$E:$E,0)),"")</f>
        <v/>
      </c>
      <c r="P73" t="str">
        <f>IFERROR(INDEX(_courses_lookup!$D:$D,MATCH(K73&amp;L73,_courses_lookup!$E:$E,0)),"")</f>
        <v/>
      </c>
      <c r="AG73" t="str">
        <f t="shared" si="11"/>
        <v/>
      </c>
      <c r="AI73" t="str">
        <f t="shared" si="12"/>
        <v/>
      </c>
      <c r="AL73" t="str">
        <f t="shared" si="13"/>
        <v/>
      </c>
      <c r="AN73" t="str">
        <f t="shared" si="14"/>
        <v/>
      </c>
      <c r="AQ73" t="str">
        <f t="shared" si="15"/>
        <v/>
      </c>
      <c r="AR73" t="str">
        <f t="shared" si="16"/>
        <v/>
      </c>
      <c r="AS73" t="str">
        <f t="shared" si="17"/>
        <v/>
      </c>
      <c r="AT73" t="str">
        <f t="shared" si="18"/>
        <v/>
      </c>
      <c r="BG73" t="str">
        <f t="shared" si="19"/>
        <v/>
      </c>
      <c r="BH73" t="str">
        <f t="shared" si="20"/>
        <v/>
      </c>
      <c r="BL73" t="str">
        <f>IFERROR(INDEX(_names_lookup!$C:$C,MATCH(BK73,_names_lookup!$A:$A,0)),"")</f>
        <v/>
      </c>
      <c r="BM73" t="str">
        <f>IFERROR(INDEX(_names_lookup!$B:$B,MATCH(BK73,_names_lookup!$A:$A,0)),"")</f>
        <v/>
      </c>
      <c r="BS73" t="str">
        <f t="shared" si="21"/>
        <v/>
      </c>
    </row>
    <row r="74" spans="15:71" x14ac:dyDescent="0.2">
      <c r="O74" t="str">
        <f>IFERROR(INDEX(_courses_lookup!$C:$C,MATCH(K74&amp;L74,_courses_lookup!$E:$E,0)),"")</f>
        <v/>
      </c>
      <c r="P74" t="str">
        <f>IFERROR(INDEX(_courses_lookup!$D:$D,MATCH(K74&amp;L74,_courses_lookup!$E:$E,0)),"")</f>
        <v/>
      </c>
      <c r="AG74" t="str">
        <f t="shared" si="11"/>
        <v/>
      </c>
      <c r="AI74" t="str">
        <f t="shared" si="12"/>
        <v/>
      </c>
      <c r="AL74" t="str">
        <f t="shared" si="13"/>
        <v/>
      </c>
      <c r="AN74" t="str">
        <f t="shared" si="14"/>
        <v/>
      </c>
      <c r="AQ74" t="str">
        <f t="shared" si="15"/>
        <v/>
      </c>
      <c r="AR74" t="str">
        <f t="shared" si="16"/>
        <v/>
      </c>
      <c r="AS74" t="str">
        <f t="shared" si="17"/>
        <v/>
      </c>
      <c r="AT74" t="str">
        <f t="shared" si="18"/>
        <v/>
      </c>
      <c r="BG74" t="str">
        <f t="shared" si="19"/>
        <v/>
      </c>
      <c r="BH74" t="str">
        <f t="shared" si="20"/>
        <v/>
      </c>
      <c r="BL74" t="str">
        <f>IFERROR(INDEX(_names_lookup!$C:$C,MATCH(BK74,_names_lookup!$A:$A,0)),"")</f>
        <v/>
      </c>
      <c r="BM74" t="str">
        <f>IFERROR(INDEX(_names_lookup!$B:$B,MATCH(BK74,_names_lookup!$A:$A,0)),"")</f>
        <v/>
      </c>
      <c r="BS74" t="str">
        <f t="shared" si="21"/>
        <v/>
      </c>
    </row>
    <row r="75" spans="15:71" x14ac:dyDescent="0.2">
      <c r="O75" t="str">
        <f>IFERROR(INDEX(_courses_lookup!$C:$C,MATCH(K75&amp;L75,_courses_lookup!$E:$E,0)),"")</f>
        <v/>
      </c>
      <c r="P75" t="str">
        <f>IFERROR(INDEX(_courses_lookup!$D:$D,MATCH(K75&amp;L75,_courses_lookup!$E:$E,0)),"")</f>
        <v/>
      </c>
      <c r="AG75" t="str">
        <f t="shared" si="11"/>
        <v/>
      </c>
      <c r="AI75" t="str">
        <f t="shared" si="12"/>
        <v/>
      </c>
      <c r="AL75" t="str">
        <f t="shared" si="13"/>
        <v/>
      </c>
      <c r="AN75" t="str">
        <f t="shared" si="14"/>
        <v/>
      </c>
      <c r="AQ75" t="str">
        <f t="shared" si="15"/>
        <v/>
      </c>
      <c r="AR75" t="str">
        <f t="shared" si="16"/>
        <v/>
      </c>
      <c r="AS75" t="str">
        <f t="shared" si="17"/>
        <v/>
      </c>
      <c r="AT75" t="str">
        <f t="shared" si="18"/>
        <v/>
      </c>
      <c r="BG75" t="str">
        <f t="shared" si="19"/>
        <v/>
      </c>
      <c r="BH75" t="str">
        <f t="shared" si="20"/>
        <v/>
      </c>
      <c r="BL75" t="str">
        <f>IFERROR(INDEX(_names_lookup!$C:$C,MATCH(BK75,_names_lookup!$A:$A,0)),"")</f>
        <v/>
      </c>
      <c r="BM75" t="str">
        <f>IFERROR(INDEX(_names_lookup!$B:$B,MATCH(BK75,_names_lookup!$A:$A,0)),"")</f>
        <v/>
      </c>
      <c r="BS75" t="str">
        <f t="shared" si="21"/>
        <v/>
      </c>
    </row>
    <row r="76" spans="15:71" x14ac:dyDescent="0.2">
      <c r="O76" t="str">
        <f>IFERROR(INDEX(_courses_lookup!$C:$C,MATCH(K76&amp;L76,_courses_lookup!$E:$E,0)),"")</f>
        <v/>
      </c>
      <c r="P76" t="str">
        <f>IFERROR(INDEX(_courses_lookup!$D:$D,MATCH(K76&amp;L76,_courses_lookup!$E:$E,0)),"")</f>
        <v/>
      </c>
      <c r="AG76" t="str">
        <f t="shared" si="11"/>
        <v/>
      </c>
      <c r="AI76" t="str">
        <f t="shared" si="12"/>
        <v/>
      </c>
      <c r="AL76" t="str">
        <f t="shared" si="13"/>
        <v/>
      </c>
      <c r="AN76" t="str">
        <f t="shared" si="14"/>
        <v/>
      </c>
      <c r="AQ76" t="str">
        <f t="shared" si="15"/>
        <v/>
      </c>
      <c r="AR76" t="str">
        <f t="shared" si="16"/>
        <v/>
      </c>
      <c r="AS76" t="str">
        <f t="shared" si="17"/>
        <v/>
      </c>
      <c r="AT76" t="str">
        <f t="shared" si="18"/>
        <v/>
      </c>
      <c r="BG76" t="str">
        <f t="shared" si="19"/>
        <v/>
      </c>
      <c r="BH76" t="str">
        <f t="shared" si="20"/>
        <v/>
      </c>
      <c r="BL76" t="str">
        <f>IFERROR(INDEX(_names_lookup!$C:$C,MATCH(BK76,_names_lookup!$A:$A,0)),"")</f>
        <v/>
      </c>
      <c r="BM76" t="str">
        <f>IFERROR(INDEX(_names_lookup!$B:$B,MATCH(BK76,_names_lookup!$A:$A,0)),"")</f>
        <v/>
      </c>
      <c r="BS76" t="str">
        <f t="shared" si="21"/>
        <v/>
      </c>
    </row>
    <row r="77" spans="15:71" x14ac:dyDescent="0.2">
      <c r="O77" t="str">
        <f>IFERROR(INDEX(_courses_lookup!$C:$C,MATCH(K77&amp;L77,_courses_lookup!$E:$E,0)),"")</f>
        <v/>
      </c>
      <c r="P77" t="str">
        <f>IFERROR(INDEX(_courses_lookup!$D:$D,MATCH(K77&amp;L77,_courses_lookup!$E:$E,0)),"")</f>
        <v/>
      </c>
      <c r="AG77" t="str">
        <f t="shared" si="11"/>
        <v/>
      </c>
      <c r="AI77" t="str">
        <f t="shared" si="12"/>
        <v/>
      </c>
      <c r="AL77" t="str">
        <f t="shared" si="13"/>
        <v/>
      </c>
      <c r="AN77" t="str">
        <f t="shared" si="14"/>
        <v/>
      </c>
      <c r="AQ77" t="str">
        <f t="shared" si="15"/>
        <v/>
      </c>
      <c r="AR77" t="str">
        <f t="shared" si="16"/>
        <v/>
      </c>
      <c r="AS77" t="str">
        <f t="shared" si="17"/>
        <v/>
      </c>
      <c r="AT77" t="str">
        <f t="shared" si="18"/>
        <v/>
      </c>
      <c r="BG77" t="str">
        <f t="shared" si="19"/>
        <v/>
      </c>
      <c r="BH77" t="str">
        <f t="shared" si="20"/>
        <v/>
      </c>
      <c r="BL77" t="str">
        <f>IFERROR(INDEX(_names_lookup!$C:$C,MATCH(BK77,_names_lookup!$A:$A,0)),"")</f>
        <v/>
      </c>
      <c r="BM77" t="str">
        <f>IFERROR(INDEX(_names_lookup!$B:$B,MATCH(BK77,_names_lookup!$A:$A,0)),"")</f>
        <v/>
      </c>
      <c r="BS77" t="str">
        <f t="shared" si="21"/>
        <v/>
      </c>
    </row>
    <row r="78" spans="15:71" x14ac:dyDescent="0.2">
      <c r="O78" t="str">
        <f>IFERROR(INDEX(_courses_lookup!$C:$C,MATCH(K78&amp;L78,_courses_lookup!$E:$E,0)),"")</f>
        <v/>
      </c>
      <c r="P78" t="str">
        <f>IFERROR(INDEX(_courses_lookup!$D:$D,MATCH(K78&amp;L78,_courses_lookup!$E:$E,0)),"")</f>
        <v/>
      </c>
      <c r="AG78" t="str">
        <f t="shared" si="11"/>
        <v/>
      </c>
      <c r="AI78" t="str">
        <f t="shared" si="12"/>
        <v/>
      </c>
      <c r="AL78" t="str">
        <f t="shared" si="13"/>
        <v/>
      </c>
      <c r="AN78" t="str">
        <f t="shared" si="14"/>
        <v/>
      </c>
      <c r="AQ78" t="str">
        <f t="shared" si="15"/>
        <v/>
      </c>
      <c r="AR78" t="str">
        <f t="shared" si="16"/>
        <v/>
      </c>
      <c r="AS78" t="str">
        <f t="shared" si="17"/>
        <v/>
      </c>
      <c r="AT78" t="str">
        <f t="shared" si="18"/>
        <v/>
      </c>
      <c r="BG78" t="str">
        <f t="shared" si="19"/>
        <v/>
      </c>
      <c r="BH78" t="str">
        <f t="shared" si="20"/>
        <v/>
      </c>
      <c r="BL78" t="str">
        <f>IFERROR(INDEX(_names_lookup!$C:$C,MATCH(BK78,_names_lookup!$A:$A,0)),"")</f>
        <v/>
      </c>
      <c r="BM78" t="str">
        <f>IFERROR(INDEX(_names_lookup!$B:$B,MATCH(BK78,_names_lookup!$A:$A,0)),"")</f>
        <v/>
      </c>
      <c r="BS78" t="str">
        <f t="shared" si="21"/>
        <v/>
      </c>
    </row>
    <row r="79" spans="15:71" x14ac:dyDescent="0.2">
      <c r="O79" t="str">
        <f>IFERROR(INDEX(_courses_lookup!$C:$C,MATCH(K79&amp;L79,_courses_lookup!$E:$E,0)),"")</f>
        <v/>
      </c>
      <c r="P79" t="str">
        <f>IFERROR(INDEX(_courses_lookup!$D:$D,MATCH(K79&amp;L79,_courses_lookup!$E:$E,0)),"")</f>
        <v/>
      </c>
      <c r="AG79" t="str">
        <f t="shared" si="11"/>
        <v/>
      </c>
      <c r="AI79" t="str">
        <f t="shared" si="12"/>
        <v/>
      </c>
      <c r="AL79" t="str">
        <f t="shared" si="13"/>
        <v/>
      </c>
      <c r="AN79" t="str">
        <f t="shared" si="14"/>
        <v/>
      </c>
      <c r="AQ79" t="str">
        <f t="shared" si="15"/>
        <v/>
      </c>
      <c r="AR79" t="str">
        <f t="shared" si="16"/>
        <v/>
      </c>
      <c r="AS79" t="str">
        <f t="shared" si="17"/>
        <v/>
      </c>
      <c r="AT79" t="str">
        <f t="shared" si="18"/>
        <v/>
      </c>
      <c r="BG79" t="str">
        <f t="shared" si="19"/>
        <v/>
      </c>
      <c r="BH79" t="str">
        <f t="shared" si="20"/>
        <v/>
      </c>
      <c r="BL79" t="str">
        <f>IFERROR(INDEX(_names_lookup!$C:$C,MATCH(BK79,_names_lookup!$A:$A,0)),"")</f>
        <v/>
      </c>
      <c r="BM79" t="str">
        <f>IFERROR(INDEX(_names_lookup!$B:$B,MATCH(BK79,_names_lookup!$A:$A,0)),"")</f>
        <v/>
      </c>
      <c r="BS79" t="str">
        <f t="shared" si="21"/>
        <v/>
      </c>
    </row>
    <row r="80" spans="15:71" x14ac:dyDescent="0.2">
      <c r="O80" t="str">
        <f>IFERROR(INDEX(_courses_lookup!$C:$C,MATCH(K80&amp;L80,_courses_lookup!$E:$E,0)),"")</f>
        <v/>
      </c>
      <c r="P80" t="str">
        <f>IFERROR(INDEX(_courses_lookup!$D:$D,MATCH(K80&amp;L80,_courses_lookup!$E:$E,0)),"")</f>
        <v/>
      </c>
      <c r="AG80" t="str">
        <f t="shared" si="11"/>
        <v/>
      </c>
      <c r="AI80" t="str">
        <f t="shared" si="12"/>
        <v/>
      </c>
      <c r="AL80" t="str">
        <f t="shared" si="13"/>
        <v/>
      </c>
      <c r="AN80" t="str">
        <f t="shared" si="14"/>
        <v/>
      </c>
      <c r="AQ80" t="str">
        <f t="shared" si="15"/>
        <v/>
      </c>
      <c r="AR80" t="str">
        <f t="shared" si="16"/>
        <v/>
      </c>
      <c r="AS80" t="str">
        <f t="shared" si="17"/>
        <v/>
      </c>
      <c r="AT80" t="str">
        <f t="shared" si="18"/>
        <v/>
      </c>
      <c r="BG80" t="str">
        <f t="shared" si="19"/>
        <v/>
      </c>
      <c r="BH80" t="str">
        <f t="shared" si="20"/>
        <v/>
      </c>
      <c r="BL80" t="str">
        <f>IFERROR(INDEX(_names_lookup!$C:$C,MATCH(BK80,_names_lookup!$A:$A,0)),"")</f>
        <v/>
      </c>
      <c r="BM80" t="str">
        <f>IFERROR(INDEX(_names_lookup!$B:$B,MATCH(BK80,_names_lookup!$A:$A,0)),"")</f>
        <v/>
      </c>
      <c r="BS80" t="str">
        <f t="shared" si="21"/>
        <v/>
      </c>
    </row>
    <row r="81" spans="15:71" x14ac:dyDescent="0.2">
      <c r="O81" t="str">
        <f>IFERROR(INDEX(_courses_lookup!$C:$C,MATCH(K81&amp;L81,_courses_lookup!$E:$E,0)),"")</f>
        <v/>
      </c>
      <c r="P81" t="str">
        <f>IFERROR(INDEX(_courses_lookup!$D:$D,MATCH(K81&amp;L81,_courses_lookup!$E:$E,0)),"")</f>
        <v/>
      </c>
      <c r="AG81" t="str">
        <f t="shared" si="11"/>
        <v/>
      </c>
      <c r="AI81" t="str">
        <f t="shared" si="12"/>
        <v/>
      </c>
      <c r="AL81" t="str">
        <f t="shared" si="13"/>
        <v/>
      </c>
      <c r="AN81" t="str">
        <f t="shared" si="14"/>
        <v/>
      </c>
      <c r="AQ81" t="str">
        <f t="shared" si="15"/>
        <v/>
      </c>
      <c r="AR81" t="str">
        <f t="shared" si="16"/>
        <v/>
      </c>
      <c r="AS81" t="str">
        <f t="shared" si="17"/>
        <v/>
      </c>
      <c r="AT81" t="str">
        <f t="shared" si="18"/>
        <v/>
      </c>
      <c r="BG81" t="str">
        <f t="shared" si="19"/>
        <v/>
      </c>
      <c r="BH81" t="str">
        <f t="shared" si="20"/>
        <v/>
      </c>
      <c r="BL81" t="str">
        <f>IFERROR(INDEX(_names_lookup!$C:$C,MATCH(BK81,_names_lookup!$A:$A,0)),"")</f>
        <v/>
      </c>
      <c r="BM81" t="str">
        <f>IFERROR(INDEX(_names_lookup!$B:$B,MATCH(BK81,_names_lookup!$A:$A,0)),"")</f>
        <v/>
      </c>
      <c r="BS81" t="str">
        <f t="shared" si="21"/>
        <v/>
      </c>
    </row>
    <row r="82" spans="15:71" x14ac:dyDescent="0.2">
      <c r="O82" t="str">
        <f>IFERROR(INDEX(_courses_lookup!$C:$C,MATCH(K82&amp;L82,_courses_lookup!$E:$E,0)),"")</f>
        <v/>
      </c>
      <c r="P82" t="str">
        <f>IFERROR(INDEX(_courses_lookup!$D:$D,MATCH(K82&amp;L82,_courses_lookup!$E:$E,0)),"")</f>
        <v/>
      </c>
      <c r="AG82" t="str">
        <f t="shared" si="11"/>
        <v/>
      </c>
      <c r="AI82" t="str">
        <f t="shared" si="12"/>
        <v/>
      </c>
      <c r="AL82" t="str">
        <f t="shared" si="13"/>
        <v/>
      </c>
      <c r="AN82" t="str">
        <f t="shared" si="14"/>
        <v/>
      </c>
      <c r="AQ82" t="str">
        <f t="shared" si="15"/>
        <v/>
      </c>
      <c r="AR82" t="str">
        <f t="shared" si="16"/>
        <v/>
      </c>
      <c r="AS82" t="str">
        <f t="shared" si="17"/>
        <v/>
      </c>
      <c r="AT82" t="str">
        <f t="shared" si="18"/>
        <v/>
      </c>
      <c r="BG82" t="str">
        <f t="shared" si="19"/>
        <v/>
      </c>
      <c r="BH82" t="str">
        <f t="shared" si="20"/>
        <v/>
      </c>
      <c r="BL82" t="str">
        <f>IFERROR(INDEX(_names_lookup!$C:$C,MATCH(BK82,_names_lookup!$A:$A,0)),"")</f>
        <v/>
      </c>
      <c r="BM82" t="str">
        <f>IFERROR(INDEX(_names_lookup!$B:$B,MATCH(BK82,_names_lookup!$A:$A,0)),"")</f>
        <v/>
      </c>
      <c r="BS82" t="str">
        <f t="shared" si="21"/>
        <v/>
      </c>
    </row>
    <row r="83" spans="15:71" x14ac:dyDescent="0.2">
      <c r="O83" t="str">
        <f>IFERROR(INDEX(_courses_lookup!$C:$C,MATCH(K83&amp;L83,_courses_lookup!$E:$E,0)),"")</f>
        <v/>
      </c>
      <c r="P83" t="str">
        <f>IFERROR(INDEX(_courses_lookup!$D:$D,MATCH(K83&amp;L83,_courses_lookup!$E:$E,0)),"")</f>
        <v/>
      </c>
      <c r="AG83" t="str">
        <f t="shared" si="11"/>
        <v/>
      </c>
      <c r="AI83" t="str">
        <f t="shared" si="12"/>
        <v/>
      </c>
      <c r="AL83" t="str">
        <f t="shared" si="13"/>
        <v/>
      </c>
      <c r="AN83" t="str">
        <f t="shared" si="14"/>
        <v/>
      </c>
      <c r="AQ83" t="str">
        <f t="shared" si="15"/>
        <v/>
      </c>
      <c r="AR83" t="str">
        <f t="shared" si="16"/>
        <v/>
      </c>
      <c r="AS83" t="str">
        <f t="shared" si="17"/>
        <v/>
      </c>
      <c r="AT83" t="str">
        <f t="shared" si="18"/>
        <v/>
      </c>
      <c r="BG83" t="str">
        <f t="shared" si="19"/>
        <v/>
      </c>
      <c r="BH83" t="str">
        <f t="shared" si="20"/>
        <v/>
      </c>
      <c r="BL83" t="str">
        <f>IFERROR(INDEX(_names_lookup!$C:$C,MATCH(BK83,_names_lookup!$A:$A,0)),"")</f>
        <v/>
      </c>
      <c r="BM83" t="str">
        <f>IFERROR(INDEX(_names_lookup!$B:$B,MATCH(BK83,_names_lookup!$A:$A,0)),"")</f>
        <v/>
      </c>
      <c r="BS83" t="str">
        <f t="shared" si="21"/>
        <v/>
      </c>
    </row>
    <row r="84" spans="15:71" x14ac:dyDescent="0.2">
      <c r="O84" t="str">
        <f>IFERROR(INDEX(_courses_lookup!$C:$C,MATCH(K84&amp;L84,_courses_lookup!$E:$E,0)),"")</f>
        <v/>
      </c>
      <c r="P84" t="str">
        <f>IFERROR(INDEX(_courses_lookup!$D:$D,MATCH(K84&amp;L84,_courses_lookup!$E:$E,0)),"")</f>
        <v/>
      </c>
      <c r="AG84" t="str">
        <f t="shared" si="11"/>
        <v/>
      </c>
      <c r="AI84" t="str">
        <f t="shared" si="12"/>
        <v/>
      </c>
      <c r="AL84" t="str">
        <f t="shared" si="13"/>
        <v/>
      </c>
      <c r="AN84" t="str">
        <f t="shared" si="14"/>
        <v/>
      </c>
      <c r="AQ84" t="str">
        <f t="shared" si="15"/>
        <v/>
      </c>
      <c r="AR84" t="str">
        <f t="shared" si="16"/>
        <v/>
      </c>
      <c r="AS84" t="str">
        <f t="shared" si="17"/>
        <v/>
      </c>
      <c r="AT84" t="str">
        <f t="shared" si="18"/>
        <v/>
      </c>
      <c r="BG84" t="str">
        <f t="shared" si="19"/>
        <v/>
      </c>
      <c r="BH84" t="str">
        <f t="shared" si="20"/>
        <v/>
      </c>
      <c r="BL84" t="str">
        <f>IFERROR(INDEX(_names_lookup!$C:$C,MATCH(BK84,_names_lookup!$A:$A,0)),"")</f>
        <v/>
      </c>
      <c r="BM84" t="str">
        <f>IFERROR(INDEX(_names_lookup!$B:$B,MATCH(BK84,_names_lookup!$A:$A,0)),"")</f>
        <v/>
      </c>
      <c r="BS84" t="str">
        <f t="shared" si="21"/>
        <v/>
      </c>
    </row>
    <row r="85" spans="15:71" x14ac:dyDescent="0.2">
      <c r="O85" t="str">
        <f>IFERROR(INDEX(_courses_lookup!$C:$C,MATCH(K85&amp;L85,_courses_lookup!$E:$E,0)),"")</f>
        <v/>
      </c>
      <c r="P85" t="str">
        <f>IFERROR(INDEX(_courses_lookup!$D:$D,MATCH(K85&amp;L85,_courses_lookup!$E:$E,0)),"")</f>
        <v/>
      </c>
      <c r="AG85" t="str">
        <f t="shared" si="11"/>
        <v/>
      </c>
      <c r="AI85" t="str">
        <f t="shared" si="12"/>
        <v/>
      </c>
      <c r="AL85" t="str">
        <f t="shared" si="13"/>
        <v/>
      </c>
      <c r="AN85" t="str">
        <f t="shared" si="14"/>
        <v/>
      </c>
      <c r="AQ85" t="str">
        <f t="shared" si="15"/>
        <v/>
      </c>
      <c r="AR85" t="str">
        <f t="shared" si="16"/>
        <v/>
      </c>
      <c r="AS85" t="str">
        <f t="shared" si="17"/>
        <v/>
      </c>
      <c r="AT85" t="str">
        <f t="shared" si="18"/>
        <v/>
      </c>
      <c r="BG85" t="str">
        <f t="shared" si="19"/>
        <v/>
      </c>
      <c r="BH85" t="str">
        <f t="shared" si="20"/>
        <v/>
      </c>
      <c r="BL85" t="str">
        <f>IFERROR(INDEX(_names_lookup!$C:$C,MATCH(BK85,_names_lookup!$A:$A,0)),"")</f>
        <v/>
      </c>
      <c r="BM85" t="str">
        <f>IFERROR(INDEX(_names_lookup!$B:$B,MATCH(BK85,_names_lookup!$A:$A,0)),"")</f>
        <v/>
      </c>
      <c r="BS85" t="str">
        <f t="shared" si="21"/>
        <v/>
      </c>
    </row>
    <row r="86" spans="15:71" x14ac:dyDescent="0.2">
      <c r="O86" t="str">
        <f>IFERROR(INDEX(_courses_lookup!$C:$C,MATCH(K86&amp;L86,_courses_lookup!$E:$E,0)),"")</f>
        <v/>
      </c>
      <c r="P86" t="str">
        <f>IFERROR(INDEX(_courses_lookup!$D:$D,MATCH(K86&amp;L86,_courses_lookup!$E:$E,0)),"")</f>
        <v/>
      </c>
      <c r="AG86" t="str">
        <f t="shared" si="11"/>
        <v/>
      </c>
      <c r="AI86" t="str">
        <f t="shared" si="12"/>
        <v/>
      </c>
      <c r="AL86" t="str">
        <f t="shared" si="13"/>
        <v/>
      </c>
      <c r="AN86" t="str">
        <f t="shared" si="14"/>
        <v/>
      </c>
      <c r="AQ86" t="str">
        <f t="shared" si="15"/>
        <v/>
      </c>
      <c r="AR86" t="str">
        <f t="shared" si="16"/>
        <v/>
      </c>
      <c r="AS86" t="str">
        <f t="shared" si="17"/>
        <v/>
      </c>
      <c r="AT86" t="str">
        <f t="shared" si="18"/>
        <v/>
      </c>
      <c r="BG86" t="str">
        <f t="shared" si="19"/>
        <v/>
      </c>
      <c r="BH86" t="str">
        <f t="shared" si="20"/>
        <v/>
      </c>
      <c r="BL86" t="str">
        <f>IFERROR(INDEX(_names_lookup!$C:$C,MATCH(BK86,_names_lookup!$A:$A,0)),"")</f>
        <v/>
      </c>
      <c r="BM86" t="str">
        <f>IFERROR(INDEX(_names_lookup!$B:$B,MATCH(BK86,_names_lookup!$A:$A,0)),"")</f>
        <v/>
      </c>
      <c r="BS86" t="str">
        <f t="shared" si="21"/>
        <v/>
      </c>
    </row>
    <row r="87" spans="15:71" x14ac:dyDescent="0.2">
      <c r="O87" t="str">
        <f>IFERROR(INDEX(_courses_lookup!$C:$C,MATCH(K87&amp;L87,_courses_lookup!$E:$E,0)),"")</f>
        <v/>
      </c>
      <c r="P87" t="str">
        <f>IFERROR(INDEX(_courses_lookup!$D:$D,MATCH(K87&amp;L87,_courses_lookup!$E:$E,0)),"")</f>
        <v/>
      </c>
      <c r="AG87" t="str">
        <f t="shared" si="11"/>
        <v/>
      </c>
      <c r="AI87" t="str">
        <f t="shared" si="12"/>
        <v/>
      </c>
      <c r="AL87" t="str">
        <f t="shared" si="13"/>
        <v/>
      </c>
      <c r="AN87" t="str">
        <f t="shared" si="14"/>
        <v/>
      </c>
      <c r="AQ87" t="str">
        <f t="shared" si="15"/>
        <v/>
      </c>
      <c r="AR87" t="str">
        <f t="shared" si="16"/>
        <v/>
      </c>
      <c r="AS87" t="str">
        <f t="shared" si="17"/>
        <v/>
      </c>
      <c r="AT87" t="str">
        <f t="shared" si="18"/>
        <v/>
      </c>
      <c r="BG87" t="str">
        <f t="shared" si="19"/>
        <v/>
      </c>
      <c r="BH87" t="str">
        <f t="shared" si="20"/>
        <v/>
      </c>
      <c r="BL87" t="str">
        <f>IFERROR(INDEX(_names_lookup!$C:$C,MATCH(BK87,_names_lookup!$A:$A,0)),"")</f>
        <v/>
      </c>
      <c r="BM87" t="str">
        <f>IFERROR(INDEX(_names_lookup!$B:$B,MATCH(BK87,_names_lookup!$A:$A,0)),"")</f>
        <v/>
      </c>
      <c r="BS87" t="str">
        <f t="shared" si="21"/>
        <v/>
      </c>
    </row>
    <row r="88" spans="15:71" x14ac:dyDescent="0.2">
      <c r="O88" t="str">
        <f>IFERROR(INDEX(_courses_lookup!$C:$C,MATCH(K88&amp;L88,_courses_lookup!$E:$E,0)),"")</f>
        <v/>
      </c>
      <c r="P88" t="str">
        <f>IFERROR(INDEX(_courses_lookup!$D:$D,MATCH(K88&amp;L88,_courses_lookup!$E:$E,0)),"")</f>
        <v/>
      </c>
      <c r="AG88" t="str">
        <f t="shared" si="11"/>
        <v/>
      </c>
      <c r="AI88" t="str">
        <f t="shared" si="12"/>
        <v/>
      </c>
      <c r="AL88" t="str">
        <f t="shared" si="13"/>
        <v/>
      </c>
      <c r="AN88" t="str">
        <f t="shared" si="14"/>
        <v/>
      </c>
      <c r="AQ88" t="str">
        <f t="shared" si="15"/>
        <v/>
      </c>
      <c r="AR88" t="str">
        <f t="shared" si="16"/>
        <v/>
      </c>
      <c r="AS88" t="str">
        <f t="shared" si="17"/>
        <v/>
      </c>
      <c r="AT88" t="str">
        <f t="shared" si="18"/>
        <v/>
      </c>
      <c r="BG88" t="str">
        <f t="shared" si="19"/>
        <v/>
      </c>
      <c r="BH88" t="str">
        <f t="shared" si="20"/>
        <v/>
      </c>
      <c r="BL88" t="str">
        <f>IFERROR(INDEX(_names_lookup!$C:$C,MATCH(BK88,_names_lookup!$A:$A,0)),"")</f>
        <v/>
      </c>
      <c r="BM88" t="str">
        <f>IFERROR(INDEX(_names_lookup!$B:$B,MATCH(BK88,_names_lookup!$A:$A,0)),"")</f>
        <v/>
      </c>
      <c r="BS88" t="str">
        <f t="shared" si="21"/>
        <v/>
      </c>
    </row>
    <row r="89" spans="15:71" x14ac:dyDescent="0.2">
      <c r="O89" t="str">
        <f>IFERROR(INDEX(_courses_lookup!$C:$C,MATCH(K89&amp;L89,_courses_lookup!$E:$E,0)),"")</f>
        <v/>
      </c>
      <c r="P89" t="str">
        <f>IFERROR(INDEX(_courses_lookup!$D:$D,MATCH(K89&amp;L89,_courses_lookup!$E:$E,0)),"")</f>
        <v/>
      </c>
      <c r="AG89" t="str">
        <f t="shared" si="11"/>
        <v/>
      </c>
      <c r="AI89" t="str">
        <f t="shared" si="12"/>
        <v/>
      </c>
      <c r="AL89" t="str">
        <f t="shared" si="13"/>
        <v/>
      </c>
      <c r="AN89" t="str">
        <f t="shared" si="14"/>
        <v/>
      </c>
      <c r="AQ89" t="str">
        <f t="shared" si="15"/>
        <v/>
      </c>
      <c r="AR89" t="str">
        <f t="shared" si="16"/>
        <v/>
      </c>
      <c r="AS89" t="str">
        <f t="shared" si="17"/>
        <v/>
      </c>
      <c r="AT89" t="str">
        <f t="shared" si="18"/>
        <v/>
      </c>
      <c r="BG89" t="str">
        <f t="shared" si="19"/>
        <v/>
      </c>
      <c r="BH89" t="str">
        <f t="shared" si="20"/>
        <v/>
      </c>
      <c r="BL89" t="str">
        <f>IFERROR(INDEX(_names_lookup!$C:$C,MATCH(BK89,_names_lookup!$A:$A,0)),"")</f>
        <v/>
      </c>
      <c r="BM89" t="str">
        <f>IFERROR(INDEX(_names_lookup!$B:$B,MATCH(BK89,_names_lookup!$A:$A,0)),"")</f>
        <v/>
      </c>
      <c r="BS89" t="str">
        <f t="shared" si="21"/>
        <v/>
      </c>
    </row>
    <row r="90" spans="15:71" x14ac:dyDescent="0.2">
      <c r="O90" t="str">
        <f>IFERROR(INDEX(_courses_lookup!$C:$C,MATCH(K90&amp;L90,_courses_lookup!$E:$E,0)),"")</f>
        <v/>
      </c>
      <c r="P90" t="str">
        <f>IFERROR(INDEX(_courses_lookup!$D:$D,MATCH(K90&amp;L90,_courses_lookup!$E:$E,0)),"")</f>
        <v/>
      </c>
      <c r="AG90" t="str">
        <f t="shared" si="11"/>
        <v/>
      </c>
      <c r="AI90" t="str">
        <f t="shared" si="12"/>
        <v/>
      </c>
      <c r="AL90" t="str">
        <f t="shared" si="13"/>
        <v/>
      </c>
      <c r="AN90" t="str">
        <f t="shared" si="14"/>
        <v/>
      </c>
      <c r="AQ90" t="str">
        <f t="shared" si="15"/>
        <v/>
      </c>
      <c r="AR90" t="str">
        <f t="shared" si="16"/>
        <v/>
      </c>
      <c r="AS90" t="str">
        <f t="shared" si="17"/>
        <v/>
      </c>
      <c r="AT90" t="str">
        <f t="shared" si="18"/>
        <v/>
      </c>
      <c r="BG90" t="str">
        <f t="shared" si="19"/>
        <v/>
      </c>
      <c r="BH90" t="str">
        <f t="shared" si="20"/>
        <v/>
      </c>
      <c r="BL90" t="str">
        <f>IFERROR(INDEX(_names_lookup!$C:$C,MATCH(BK90,_names_lookup!$A:$A,0)),"")</f>
        <v/>
      </c>
      <c r="BM90" t="str">
        <f>IFERROR(INDEX(_names_lookup!$B:$B,MATCH(BK90,_names_lookup!$A:$A,0)),"")</f>
        <v/>
      </c>
      <c r="BS90" t="str">
        <f t="shared" si="21"/>
        <v/>
      </c>
    </row>
    <row r="91" spans="15:71" x14ac:dyDescent="0.2">
      <c r="O91" t="str">
        <f>IFERROR(INDEX(_courses_lookup!$C:$C,MATCH(K91&amp;L91,_courses_lookup!$E:$E,0)),"")</f>
        <v/>
      </c>
      <c r="P91" t="str">
        <f>IFERROR(INDEX(_courses_lookup!$D:$D,MATCH(K91&amp;L91,_courses_lookup!$E:$E,0)),"")</f>
        <v/>
      </c>
      <c r="AG91" t="str">
        <f t="shared" si="11"/>
        <v/>
      </c>
      <c r="AI91" t="str">
        <f t="shared" si="12"/>
        <v/>
      </c>
      <c r="AL91" t="str">
        <f t="shared" si="13"/>
        <v/>
      </c>
      <c r="AN91" t="str">
        <f t="shared" si="14"/>
        <v/>
      </c>
      <c r="AQ91" t="str">
        <f t="shared" si="15"/>
        <v/>
      </c>
      <c r="AR91" t="str">
        <f t="shared" si="16"/>
        <v/>
      </c>
      <c r="AS91" t="str">
        <f t="shared" si="17"/>
        <v/>
      </c>
      <c r="AT91" t="str">
        <f t="shared" si="18"/>
        <v/>
      </c>
      <c r="BG91" t="str">
        <f t="shared" si="19"/>
        <v/>
      </c>
      <c r="BH91" t="str">
        <f t="shared" si="20"/>
        <v/>
      </c>
      <c r="BL91" t="str">
        <f>IFERROR(INDEX(_names_lookup!$C:$C,MATCH(BK91,_names_lookup!$A:$A,0)),"")</f>
        <v/>
      </c>
      <c r="BM91" t="str">
        <f>IFERROR(INDEX(_names_lookup!$B:$B,MATCH(BK91,_names_lookup!$A:$A,0)),"")</f>
        <v/>
      </c>
      <c r="BS91" t="str">
        <f t="shared" si="21"/>
        <v/>
      </c>
    </row>
    <row r="92" spans="15:71" x14ac:dyDescent="0.2">
      <c r="O92" t="str">
        <f>IFERROR(INDEX(_courses_lookup!$C:$C,MATCH(K92&amp;L92,_courses_lookup!$E:$E,0)),"")</f>
        <v/>
      </c>
      <c r="P92" t="str">
        <f>IFERROR(INDEX(_courses_lookup!$D:$D,MATCH(K92&amp;L92,_courses_lookup!$E:$E,0)),"")</f>
        <v/>
      </c>
      <c r="AG92" t="str">
        <f t="shared" si="11"/>
        <v/>
      </c>
      <c r="AI92" t="str">
        <f t="shared" si="12"/>
        <v/>
      </c>
      <c r="AL92" t="str">
        <f t="shared" si="13"/>
        <v/>
      </c>
      <c r="AN92" t="str">
        <f t="shared" si="14"/>
        <v/>
      </c>
      <c r="AQ92" t="str">
        <f t="shared" si="15"/>
        <v/>
      </c>
      <c r="AR92" t="str">
        <f t="shared" si="16"/>
        <v/>
      </c>
      <c r="AS92" t="str">
        <f t="shared" si="17"/>
        <v/>
      </c>
      <c r="AT92" t="str">
        <f t="shared" si="18"/>
        <v/>
      </c>
      <c r="BG92" t="str">
        <f t="shared" si="19"/>
        <v/>
      </c>
      <c r="BH92" t="str">
        <f t="shared" si="20"/>
        <v/>
      </c>
      <c r="BL92" t="str">
        <f>IFERROR(INDEX(_names_lookup!$C:$C,MATCH(BK92,_names_lookup!$A:$A,0)),"")</f>
        <v/>
      </c>
      <c r="BM92" t="str">
        <f>IFERROR(INDEX(_names_lookup!$B:$B,MATCH(BK92,_names_lookup!$A:$A,0)),"")</f>
        <v/>
      </c>
      <c r="BS92" t="str">
        <f t="shared" si="21"/>
        <v/>
      </c>
    </row>
    <row r="93" spans="15:71" x14ac:dyDescent="0.2">
      <c r="O93" t="str">
        <f>IFERROR(INDEX(_courses_lookup!$C:$C,MATCH(K93&amp;L93,_courses_lookup!$E:$E,0)),"")</f>
        <v/>
      </c>
      <c r="P93" t="str">
        <f>IFERROR(INDEX(_courses_lookup!$D:$D,MATCH(K93&amp;L93,_courses_lookup!$E:$E,0)),"")</f>
        <v/>
      </c>
      <c r="AG93" t="str">
        <f t="shared" si="11"/>
        <v/>
      </c>
      <c r="AI93" t="str">
        <f t="shared" si="12"/>
        <v/>
      </c>
      <c r="AL93" t="str">
        <f t="shared" si="13"/>
        <v/>
      </c>
      <c r="AN93" t="str">
        <f t="shared" si="14"/>
        <v/>
      </c>
      <c r="AQ93" t="str">
        <f t="shared" si="15"/>
        <v/>
      </c>
      <c r="AR93" t="str">
        <f t="shared" si="16"/>
        <v/>
      </c>
      <c r="AS93" t="str">
        <f t="shared" si="17"/>
        <v/>
      </c>
      <c r="AT93" t="str">
        <f t="shared" si="18"/>
        <v/>
      </c>
      <c r="BG93" t="str">
        <f t="shared" si="19"/>
        <v/>
      </c>
      <c r="BH93" t="str">
        <f t="shared" si="20"/>
        <v/>
      </c>
      <c r="BL93" t="str">
        <f>IFERROR(INDEX(_names_lookup!$C:$C,MATCH(BK93,_names_lookup!$A:$A,0)),"")</f>
        <v/>
      </c>
      <c r="BM93" t="str">
        <f>IFERROR(INDEX(_names_lookup!$B:$B,MATCH(BK93,_names_lookup!$A:$A,0)),"")</f>
        <v/>
      </c>
      <c r="BS93" t="str">
        <f t="shared" si="21"/>
        <v/>
      </c>
    </row>
    <row r="94" spans="15:71" x14ac:dyDescent="0.2">
      <c r="O94" t="str">
        <f>IFERROR(INDEX(_courses_lookup!$C:$C,MATCH(K94&amp;L94,_courses_lookup!$E:$E,0)),"")</f>
        <v/>
      </c>
      <c r="P94" t="str">
        <f>IFERROR(INDEX(_courses_lookup!$D:$D,MATCH(K94&amp;L94,_courses_lookup!$E:$E,0)),"")</f>
        <v/>
      </c>
      <c r="AG94" t="str">
        <f t="shared" si="11"/>
        <v/>
      </c>
      <c r="AI94" t="str">
        <f t="shared" si="12"/>
        <v/>
      </c>
      <c r="AL94" t="str">
        <f t="shared" si="13"/>
        <v/>
      </c>
      <c r="AN94" t="str">
        <f t="shared" si="14"/>
        <v/>
      </c>
      <c r="AQ94" t="str">
        <f t="shared" si="15"/>
        <v/>
      </c>
      <c r="AR94" t="str">
        <f t="shared" si="16"/>
        <v/>
      </c>
      <c r="AS94" t="str">
        <f t="shared" si="17"/>
        <v/>
      </c>
      <c r="AT94" t="str">
        <f t="shared" si="18"/>
        <v/>
      </c>
      <c r="BG94" t="str">
        <f t="shared" si="19"/>
        <v/>
      </c>
      <c r="BH94" t="str">
        <f t="shared" si="20"/>
        <v/>
      </c>
      <c r="BL94" t="str">
        <f>IFERROR(INDEX(_names_lookup!$C:$C,MATCH(BK94,_names_lookup!$A:$A,0)),"")</f>
        <v/>
      </c>
      <c r="BM94" t="str">
        <f>IFERROR(INDEX(_names_lookup!$B:$B,MATCH(BK94,_names_lookup!$A:$A,0)),"")</f>
        <v/>
      </c>
      <c r="BS94" t="str">
        <f t="shared" si="21"/>
        <v/>
      </c>
    </row>
    <row r="95" spans="15:71" x14ac:dyDescent="0.2">
      <c r="O95" t="str">
        <f>IFERROR(INDEX(_courses_lookup!$C:$C,MATCH(K95&amp;L95,_courses_lookup!$E:$E,0)),"")</f>
        <v/>
      </c>
      <c r="P95" t="str">
        <f>IFERROR(INDEX(_courses_lookup!$D:$D,MATCH(K95&amp;L95,_courses_lookup!$E:$E,0)),"")</f>
        <v/>
      </c>
      <c r="AG95" t="str">
        <f t="shared" si="11"/>
        <v/>
      </c>
      <c r="AI95" t="str">
        <f t="shared" si="12"/>
        <v/>
      </c>
      <c r="AL95" t="str">
        <f t="shared" si="13"/>
        <v/>
      </c>
      <c r="AN95" t="str">
        <f t="shared" si="14"/>
        <v/>
      </c>
      <c r="AQ95" t="str">
        <f t="shared" si="15"/>
        <v/>
      </c>
      <c r="AR95" t="str">
        <f t="shared" si="16"/>
        <v/>
      </c>
      <c r="AS95" t="str">
        <f t="shared" si="17"/>
        <v/>
      </c>
      <c r="AT95" t="str">
        <f t="shared" si="18"/>
        <v/>
      </c>
      <c r="BG95" t="str">
        <f t="shared" si="19"/>
        <v/>
      </c>
      <c r="BH95" t="str">
        <f t="shared" si="20"/>
        <v/>
      </c>
      <c r="BL95" t="str">
        <f>IFERROR(INDEX(_names_lookup!$C:$C,MATCH(BK95,_names_lookup!$A:$A,0)),"")</f>
        <v/>
      </c>
      <c r="BM95" t="str">
        <f>IFERROR(INDEX(_names_lookup!$B:$B,MATCH(BK95,_names_lookup!$A:$A,0)),"")</f>
        <v/>
      </c>
      <c r="BS95" t="str">
        <f t="shared" si="21"/>
        <v/>
      </c>
    </row>
    <row r="96" spans="15:71" x14ac:dyDescent="0.2">
      <c r="O96" t="str">
        <f>IFERROR(INDEX(_courses_lookup!$C:$C,MATCH(K96&amp;L96,_courses_lookup!$E:$E,0)),"")</f>
        <v/>
      </c>
      <c r="P96" t="str">
        <f>IFERROR(INDEX(_courses_lookup!$D:$D,MATCH(K96&amp;L96,_courses_lookup!$E:$E,0)),"")</f>
        <v/>
      </c>
      <c r="AG96" t="str">
        <f t="shared" si="11"/>
        <v/>
      </c>
      <c r="AI96" t="str">
        <f t="shared" si="12"/>
        <v/>
      </c>
      <c r="AL96" t="str">
        <f t="shared" si="13"/>
        <v/>
      </c>
      <c r="AN96" t="str">
        <f t="shared" si="14"/>
        <v/>
      </c>
      <c r="AQ96" t="str">
        <f t="shared" si="15"/>
        <v/>
      </c>
      <c r="AR96" t="str">
        <f t="shared" si="16"/>
        <v/>
      </c>
      <c r="AS96" t="str">
        <f t="shared" si="17"/>
        <v/>
      </c>
      <c r="AT96" t="str">
        <f t="shared" si="18"/>
        <v/>
      </c>
      <c r="BG96" t="str">
        <f t="shared" si="19"/>
        <v/>
      </c>
      <c r="BH96" t="str">
        <f t="shared" si="20"/>
        <v/>
      </c>
      <c r="BL96" t="str">
        <f>IFERROR(INDEX(_names_lookup!$C:$C,MATCH(BK96,_names_lookup!$A:$A,0)),"")</f>
        <v/>
      </c>
      <c r="BM96" t="str">
        <f>IFERROR(INDEX(_names_lookup!$B:$B,MATCH(BK96,_names_lookup!$A:$A,0)),"")</f>
        <v/>
      </c>
      <c r="BS96" t="str">
        <f t="shared" si="21"/>
        <v/>
      </c>
    </row>
    <row r="97" spans="15:71" x14ac:dyDescent="0.2">
      <c r="O97" t="str">
        <f>IFERROR(INDEX(_courses_lookup!$C:$C,MATCH(K97&amp;L97,_courses_lookup!$E:$E,0)),"")</f>
        <v/>
      </c>
      <c r="P97" t="str">
        <f>IFERROR(INDEX(_courses_lookup!$D:$D,MATCH(K97&amp;L97,_courses_lookup!$E:$E,0)),"")</f>
        <v/>
      </c>
      <c r="AG97" t="str">
        <f t="shared" si="11"/>
        <v/>
      </c>
      <c r="AI97" t="str">
        <f t="shared" si="12"/>
        <v/>
      </c>
      <c r="AL97" t="str">
        <f t="shared" si="13"/>
        <v/>
      </c>
      <c r="AN97" t="str">
        <f t="shared" si="14"/>
        <v/>
      </c>
      <c r="AQ97" t="str">
        <f t="shared" si="15"/>
        <v/>
      </c>
      <c r="AR97" t="str">
        <f t="shared" si="16"/>
        <v/>
      </c>
      <c r="AS97" t="str">
        <f t="shared" si="17"/>
        <v/>
      </c>
      <c r="AT97" t="str">
        <f t="shared" si="18"/>
        <v/>
      </c>
      <c r="BG97" t="str">
        <f t="shared" si="19"/>
        <v/>
      </c>
      <c r="BH97" t="str">
        <f t="shared" si="20"/>
        <v/>
      </c>
      <c r="BL97" t="str">
        <f>IFERROR(INDEX(_names_lookup!$C:$C,MATCH(BK97,_names_lookup!$A:$A,0)),"")</f>
        <v/>
      </c>
      <c r="BM97" t="str">
        <f>IFERROR(INDEX(_names_lookup!$B:$B,MATCH(BK97,_names_lookup!$A:$A,0)),"")</f>
        <v/>
      </c>
      <c r="BS97" t="str">
        <f t="shared" si="21"/>
        <v/>
      </c>
    </row>
    <row r="98" spans="15:71" x14ac:dyDescent="0.2">
      <c r="O98" t="str">
        <f>IFERROR(INDEX(_courses_lookup!$C:$C,MATCH(K98&amp;L98,_courses_lookup!$E:$E,0)),"")</f>
        <v/>
      </c>
      <c r="P98" t="str">
        <f>IFERROR(INDEX(_courses_lookup!$D:$D,MATCH(K98&amp;L98,_courses_lookup!$E:$E,0)),"")</f>
        <v/>
      </c>
      <c r="AG98" t="str">
        <f t="shared" si="11"/>
        <v/>
      </c>
      <c r="AI98" t="str">
        <f t="shared" si="12"/>
        <v/>
      </c>
      <c r="AL98" t="str">
        <f t="shared" si="13"/>
        <v/>
      </c>
      <c r="AN98" t="str">
        <f t="shared" si="14"/>
        <v/>
      </c>
      <c r="AQ98" t="str">
        <f t="shared" si="15"/>
        <v/>
      </c>
      <c r="AR98" t="str">
        <f t="shared" si="16"/>
        <v/>
      </c>
      <c r="AS98" t="str">
        <f t="shared" si="17"/>
        <v/>
      </c>
      <c r="AT98" t="str">
        <f t="shared" si="18"/>
        <v/>
      </c>
      <c r="BG98" t="str">
        <f t="shared" si="19"/>
        <v/>
      </c>
      <c r="BH98" t="str">
        <f t="shared" si="20"/>
        <v/>
      </c>
      <c r="BL98" t="str">
        <f>IFERROR(INDEX(_names_lookup!$C:$C,MATCH(BK98,_names_lookup!$A:$A,0)),"")</f>
        <v/>
      </c>
      <c r="BM98" t="str">
        <f>IFERROR(INDEX(_names_lookup!$B:$B,MATCH(BK98,_names_lookup!$A:$A,0)),"")</f>
        <v/>
      </c>
      <c r="BS98" t="str">
        <f t="shared" si="21"/>
        <v/>
      </c>
    </row>
    <row r="99" spans="15:71" x14ac:dyDescent="0.2">
      <c r="O99" t="str">
        <f>IFERROR(INDEX(_courses_lookup!$C:$C,MATCH(K99&amp;L99,_courses_lookup!$E:$E,0)),"")</f>
        <v/>
      </c>
      <c r="P99" t="str">
        <f>IFERROR(INDEX(_courses_lookup!$D:$D,MATCH(K99&amp;L99,_courses_lookup!$E:$E,0)),"")</f>
        <v/>
      </c>
      <c r="AG99" t="str">
        <f t="shared" si="11"/>
        <v/>
      </c>
      <c r="AI99" t="str">
        <f t="shared" si="12"/>
        <v/>
      </c>
      <c r="AL99" t="str">
        <f t="shared" si="13"/>
        <v/>
      </c>
      <c r="AN99" t="str">
        <f t="shared" si="14"/>
        <v/>
      </c>
      <c r="AQ99" t="str">
        <f t="shared" si="15"/>
        <v/>
      </c>
      <c r="AR99" t="str">
        <f t="shared" si="16"/>
        <v/>
      </c>
      <c r="AS99" t="str">
        <f t="shared" si="17"/>
        <v/>
      </c>
      <c r="AT99" t="str">
        <f t="shared" si="18"/>
        <v/>
      </c>
      <c r="BG99" t="str">
        <f t="shared" si="19"/>
        <v/>
      </c>
      <c r="BH99" t="str">
        <f t="shared" si="20"/>
        <v/>
      </c>
      <c r="BL99" t="str">
        <f>IFERROR(INDEX(_names_lookup!$C:$C,MATCH(BK99,_names_lookup!$A:$A,0)),"")</f>
        <v/>
      </c>
      <c r="BM99" t="str">
        <f>IFERROR(INDEX(_names_lookup!$B:$B,MATCH(BK99,_names_lookup!$A:$A,0)),"")</f>
        <v/>
      </c>
      <c r="BS99" t="str">
        <f t="shared" si="21"/>
        <v/>
      </c>
    </row>
    <row r="100" spans="15:71" x14ac:dyDescent="0.2">
      <c r="O100" t="str">
        <f>IFERROR(INDEX(_courses_lookup!$C:$C,MATCH(K100&amp;L100,_courses_lookup!$E:$E,0)),"")</f>
        <v/>
      </c>
      <c r="P100" t="str">
        <f>IFERROR(INDEX(_courses_lookup!$D:$D,MATCH(K100&amp;L100,_courses_lookup!$E:$E,0)),"")</f>
        <v/>
      </c>
      <c r="AG100" t="str">
        <f t="shared" si="11"/>
        <v/>
      </c>
      <c r="AI100" t="str">
        <f t="shared" si="12"/>
        <v/>
      </c>
      <c r="AL100" t="str">
        <f t="shared" si="13"/>
        <v/>
      </c>
      <c r="AN100" t="str">
        <f t="shared" si="14"/>
        <v/>
      </c>
      <c r="AQ100" t="str">
        <f t="shared" si="15"/>
        <v/>
      </c>
      <c r="AR100" t="str">
        <f t="shared" si="16"/>
        <v/>
      </c>
      <c r="AS100" t="str">
        <f t="shared" si="17"/>
        <v/>
      </c>
      <c r="AT100" t="str">
        <f t="shared" si="18"/>
        <v/>
      </c>
      <c r="BG100" t="str">
        <f t="shared" si="19"/>
        <v/>
      </c>
      <c r="BH100" t="str">
        <f t="shared" si="20"/>
        <v/>
      </c>
      <c r="BL100" t="str">
        <f>IFERROR(INDEX(_names_lookup!$C:$C,MATCH(BK100,_names_lookup!$A:$A,0)),"")</f>
        <v/>
      </c>
      <c r="BM100" t="str">
        <f>IFERROR(INDEX(_names_lookup!$B:$B,MATCH(BK100,_names_lookup!$A:$A,0)),"")</f>
        <v/>
      </c>
      <c r="BS100" t="str">
        <f t="shared" si="21"/>
        <v/>
      </c>
    </row>
    <row r="101" spans="15:71" x14ac:dyDescent="0.2">
      <c r="O101" t="str">
        <f>IFERROR(INDEX(_courses_lookup!$C:$C,MATCH(K101&amp;L101,_courses_lookup!$E:$E,0)),"")</f>
        <v/>
      </c>
      <c r="P101" t="str">
        <f>IFERROR(INDEX(_courses_lookup!$D:$D,MATCH(K101&amp;L101,_courses_lookup!$E:$E,0)),"")</f>
        <v/>
      </c>
      <c r="AG101" t="str">
        <f t="shared" si="11"/>
        <v/>
      </c>
      <c r="AI101" t="str">
        <f t="shared" si="12"/>
        <v/>
      </c>
      <c r="AL101" t="str">
        <f t="shared" si="13"/>
        <v/>
      </c>
      <c r="AN101" t="str">
        <f t="shared" si="14"/>
        <v/>
      </c>
      <c r="AQ101" t="str">
        <f t="shared" si="15"/>
        <v/>
      </c>
      <c r="AR101" t="str">
        <f t="shared" si="16"/>
        <v/>
      </c>
      <c r="AS101" t="str">
        <f t="shared" si="17"/>
        <v/>
      </c>
      <c r="AT101" t="str">
        <f t="shared" si="18"/>
        <v/>
      </c>
      <c r="BG101" t="str">
        <f t="shared" si="19"/>
        <v/>
      </c>
      <c r="BH101" t="str">
        <f t="shared" si="20"/>
        <v/>
      </c>
      <c r="BL101" t="str">
        <f>IFERROR(INDEX(_names_lookup!$C:$C,MATCH(BK101,_names_lookup!$A:$A,0)),"")</f>
        <v/>
      </c>
      <c r="BM101" t="str">
        <f>IFERROR(INDEX(_names_lookup!$B:$B,MATCH(BK101,_names_lookup!$A:$A,0)),"")</f>
        <v/>
      </c>
      <c r="BS101" t="str">
        <f t="shared" si="21"/>
        <v/>
      </c>
    </row>
    <row r="102" spans="15:71" x14ac:dyDescent="0.2">
      <c r="O102" t="str">
        <f>IFERROR(INDEX(_courses_lookup!$C:$C,MATCH(K102&amp;L102,_courses_lookup!$E:$E,0)),"")</f>
        <v/>
      </c>
      <c r="P102" t="str">
        <f>IFERROR(INDEX(_courses_lookup!$D:$D,MATCH(K102&amp;L102,_courses_lookup!$E:$E,0)),"")</f>
        <v/>
      </c>
      <c r="AG102" t="str">
        <f t="shared" si="11"/>
        <v/>
      </c>
      <c r="AI102" t="str">
        <f t="shared" si="12"/>
        <v/>
      </c>
      <c r="AL102" t="str">
        <f t="shared" si="13"/>
        <v/>
      </c>
      <c r="AN102" t="str">
        <f t="shared" si="14"/>
        <v/>
      </c>
      <c r="AQ102" t="str">
        <f t="shared" si="15"/>
        <v/>
      </c>
      <c r="AR102" t="str">
        <f t="shared" si="16"/>
        <v/>
      </c>
      <c r="AS102" t="str">
        <f t="shared" si="17"/>
        <v/>
      </c>
      <c r="AT102" t="str">
        <f t="shared" si="18"/>
        <v/>
      </c>
      <c r="BG102" t="str">
        <f t="shared" si="19"/>
        <v/>
      </c>
      <c r="BH102" t="str">
        <f t="shared" si="20"/>
        <v/>
      </c>
      <c r="BL102" t="str">
        <f>IFERROR(INDEX(_names_lookup!$C:$C,MATCH(BK102,_names_lookup!$A:$A,0)),"")</f>
        <v/>
      </c>
      <c r="BM102" t="str">
        <f>IFERROR(INDEX(_names_lookup!$B:$B,MATCH(BK102,_names_lookup!$A:$A,0)),"")</f>
        <v/>
      </c>
      <c r="BS102" t="str">
        <f t="shared" si="21"/>
        <v/>
      </c>
    </row>
    <row r="103" spans="15:71" x14ac:dyDescent="0.2">
      <c r="O103" t="str">
        <f>IFERROR(INDEX(_courses_lookup!$C:$C,MATCH(K103&amp;L103,_courses_lookup!$E:$E,0)),"")</f>
        <v/>
      </c>
      <c r="P103" t="str">
        <f>IFERROR(INDEX(_courses_lookup!$D:$D,MATCH(K103&amp;L103,_courses_lookup!$E:$E,0)),"")</f>
        <v/>
      </c>
      <c r="AG103" t="str">
        <f t="shared" si="11"/>
        <v/>
      </c>
      <c r="AI103" t="str">
        <f t="shared" si="12"/>
        <v/>
      </c>
      <c r="AL103" t="str">
        <f t="shared" si="13"/>
        <v/>
      </c>
      <c r="AN103" t="str">
        <f t="shared" si="14"/>
        <v/>
      </c>
      <c r="AQ103" t="str">
        <f t="shared" si="15"/>
        <v/>
      </c>
      <c r="AR103" t="str">
        <f t="shared" si="16"/>
        <v/>
      </c>
      <c r="AS103" t="str">
        <f t="shared" si="17"/>
        <v/>
      </c>
      <c r="AT103" t="str">
        <f t="shared" si="18"/>
        <v/>
      </c>
      <c r="BG103" t="str">
        <f t="shared" si="19"/>
        <v/>
      </c>
      <c r="BH103" t="str">
        <f t="shared" si="20"/>
        <v/>
      </c>
      <c r="BL103" t="str">
        <f>IFERROR(INDEX(_names_lookup!$C:$C,MATCH(BK103,_names_lookup!$A:$A,0)),"")</f>
        <v/>
      </c>
      <c r="BM103" t="str">
        <f>IFERROR(INDEX(_names_lookup!$B:$B,MATCH(BK103,_names_lookup!$A:$A,0)),"")</f>
        <v/>
      </c>
      <c r="BS103" t="str">
        <f t="shared" si="21"/>
        <v/>
      </c>
    </row>
    <row r="104" spans="15:71" x14ac:dyDescent="0.2">
      <c r="O104" t="str">
        <f>IFERROR(INDEX(_courses_lookup!$C:$C,MATCH(K104&amp;L104,_courses_lookup!$E:$E,0)),"")</f>
        <v/>
      </c>
      <c r="P104" t="str">
        <f>IFERROR(INDEX(_courses_lookup!$D:$D,MATCH(K104&amp;L104,_courses_lookup!$E:$E,0)),"")</f>
        <v/>
      </c>
      <c r="AG104" t="str">
        <f t="shared" si="11"/>
        <v/>
      </c>
      <c r="AI104" t="str">
        <f t="shared" si="12"/>
        <v/>
      </c>
      <c r="AL104" t="str">
        <f t="shared" si="13"/>
        <v/>
      </c>
      <c r="AN104" t="str">
        <f t="shared" si="14"/>
        <v/>
      </c>
      <c r="AQ104" t="str">
        <f t="shared" si="15"/>
        <v/>
      </c>
      <c r="AR104" t="str">
        <f t="shared" si="16"/>
        <v/>
      </c>
      <c r="AS104" t="str">
        <f t="shared" si="17"/>
        <v/>
      </c>
      <c r="AT104" t="str">
        <f t="shared" si="18"/>
        <v/>
      </c>
      <c r="BG104" t="str">
        <f t="shared" si="19"/>
        <v/>
      </c>
      <c r="BH104" t="str">
        <f t="shared" si="20"/>
        <v/>
      </c>
      <c r="BL104" t="str">
        <f>IFERROR(INDEX(_names_lookup!$C:$C,MATCH(BK104,_names_lookup!$A:$A,0)),"")</f>
        <v/>
      </c>
      <c r="BM104" t="str">
        <f>IFERROR(INDEX(_names_lookup!$B:$B,MATCH(BK104,_names_lookup!$A:$A,0)),"")</f>
        <v/>
      </c>
      <c r="BS104" t="str">
        <f t="shared" si="21"/>
        <v/>
      </c>
    </row>
    <row r="105" spans="15:71" x14ac:dyDescent="0.2">
      <c r="O105" t="str">
        <f>IFERROR(INDEX(_courses_lookup!$C:$C,MATCH(K105&amp;L105,_courses_lookup!$E:$E,0)),"")</f>
        <v/>
      </c>
      <c r="P105" t="str">
        <f>IFERROR(INDEX(_courses_lookup!$D:$D,MATCH(K105&amp;L105,_courses_lookup!$E:$E,0)),"")</f>
        <v/>
      </c>
      <c r="AG105" t="str">
        <f t="shared" si="11"/>
        <v/>
      </c>
      <c r="AI105" t="str">
        <f t="shared" si="12"/>
        <v/>
      </c>
      <c r="AL105" t="str">
        <f t="shared" si="13"/>
        <v/>
      </c>
      <c r="AN105" t="str">
        <f t="shared" si="14"/>
        <v/>
      </c>
      <c r="AQ105" t="str">
        <f t="shared" si="15"/>
        <v/>
      </c>
      <c r="AR105" t="str">
        <f t="shared" si="16"/>
        <v/>
      </c>
      <c r="AS105" t="str">
        <f t="shared" si="17"/>
        <v/>
      </c>
      <c r="AT105" t="str">
        <f t="shared" si="18"/>
        <v/>
      </c>
      <c r="BG105" t="str">
        <f t="shared" si="19"/>
        <v/>
      </c>
      <c r="BH105" t="str">
        <f t="shared" si="20"/>
        <v/>
      </c>
      <c r="BL105" t="str">
        <f>IFERROR(INDEX(_names_lookup!$C:$C,MATCH(BK105,_names_lookup!$A:$A,0)),"")</f>
        <v/>
      </c>
      <c r="BM105" t="str">
        <f>IFERROR(INDEX(_names_lookup!$B:$B,MATCH(BK105,_names_lookup!$A:$A,0)),"")</f>
        <v/>
      </c>
      <c r="BS105" t="str">
        <f t="shared" si="21"/>
        <v/>
      </c>
    </row>
    <row r="106" spans="15:71" x14ac:dyDescent="0.2">
      <c r="O106" t="str">
        <f>IFERROR(INDEX(_courses_lookup!$C:$C,MATCH(K106&amp;L106,_courses_lookup!$E:$E,0)),"")</f>
        <v/>
      </c>
      <c r="P106" t="str">
        <f>IFERROR(INDEX(_courses_lookup!$D:$D,MATCH(K106&amp;L106,_courses_lookup!$E:$E,0)),"")</f>
        <v/>
      </c>
      <c r="AG106" t="str">
        <f t="shared" si="11"/>
        <v/>
      </c>
      <c r="AI106" t="str">
        <f t="shared" si="12"/>
        <v/>
      </c>
      <c r="AL106" t="str">
        <f t="shared" si="13"/>
        <v/>
      </c>
      <c r="AN106" t="str">
        <f t="shared" si="14"/>
        <v/>
      </c>
      <c r="AQ106" t="str">
        <f t="shared" si="15"/>
        <v/>
      </c>
      <c r="AR106" t="str">
        <f t="shared" si="16"/>
        <v/>
      </c>
      <c r="AS106" t="str">
        <f t="shared" si="17"/>
        <v/>
      </c>
      <c r="AT106" t="str">
        <f t="shared" si="18"/>
        <v/>
      </c>
      <c r="BG106" t="str">
        <f t="shared" si="19"/>
        <v/>
      </c>
      <c r="BH106" t="str">
        <f t="shared" si="20"/>
        <v/>
      </c>
      <c r="BL106" t="str">
        <f>IFERROR(INDEX(_names_lookup!$C:$C,MATCH(BK106,_names_lookup!$A:$A,0)),"")</f>
        <v/>
      </c>
      <c r="BM106" t="str">
        <f>IFERROR(INDEX(_names_lookup!$B:$B,MATCH(BK106,_names_lookup!$A:$A,0)),"")</f>
        <v/>
      </c>
      <c r="BS106" t="str">
        <f t="shared" si="21"/>
        <v/>
      </c>
    </row>
    <row r="107" spans="15:71" x14ac:dyDescent="0.2">
      <c r="O107" t="str">
        <f>IFERROR(INDEX(_courses_lookup!$C:$C,MATCH(K107&amp;L107,_courses_lookup!$E:$E,0)),"")</f>
        <v/>
      </c>
      <c r="P107" t="str">
        <f>IFERROR(INDEX(_courses_lookup!$D:$D,MATCH(K107&amp;L107,_courses_lookup!$E:$E,0)),"")</f>
        <v/>
      </c>
      <c r="AG107" t="str">
        <f t="shared" si="11"/>
        <v/>
      </c>
      <c r="AI107" t="str">
        <f t="shared" si="12"/>
        <v/>
      </c>
      <c r="AL107" t="str">
        <f t="shared" si="13"/>
        <v/>
      </c>
      <c r="AN107" t="str">
        <f t="shared" si="14"/>
        <v/>
      </c>
      <c r="AQ107" t="str">
        <f t="shared" si="15"/>
        <v/>
      </c>
      <c r="AR107" t="str">
        <f t="shared" si="16"/>
        <v/>
      </c>
      <c r="AS107" t="str">
        <f t="shared" si="17"/>
        <v/>
      </c>
      <c r="AT107" t="str">
        <f t="shared" si="18"/>
        <v/>
      </c>
      <c r="BG107" t="str">
        <f t="shared" si="19"/>
        <v/>
      </c>
      <c r="BH107" t="str">
        <f t="shared" si="20"/>
        <v/>
      </c>
      <c r="BL107" t="str">
        <f>IFERROR(INDEX(_names_lookup!$C:$C,MATCH(BK107,_names_lookup!$A:$A,0)),"")</f>
        <v/>
      </c>
      <c r="BM107" t="str">
        <f>IFERROR(INDEX(_names_lookup!$B:$B,MATCH(BK107,_names_lookup!$A:$A,0)),"")</f>
        <v/>
      </c>
      <c r="BS107" t="str">
        <f t="shared" si="21"/>
        <v/>
      </c>
    </row>
    <row r="108" spans="15:71" x14ac:dyDescent="0.2">
      <c r="O108" t="str">
        <f>IFERROR(INDEX(_courses_lookup!$C:$C,MATCH(K108&amp;L108,_courses_lookup!$E:$E,0)),"")</f>
        <v/>
      </c>
      <c r="P108" t="str">
        <f>IFERROR(INDEX(_courses_lookup!$D:$D,MATCH(K108&amp;L108,_courses_lookup!$E:$E,0)),"")</f>
        <v/>
      </c>
      <c r="AG108" t="str">
        <f t="shared" si="11"/>
        <v/>
      </c>
      <c r="AI108" t="str">
        <f t="shared" si="12"/>
        <v/>
      </c>
      <c r="AL108" t="str">
        <f t="shared" si="13"/>
        <v/>
      </c>
      <c r="AN108" t="str">
        <f t="shared" si="14"/>
        <v/>
      </c>
      <c r="AQ108" t="str">
        <f t="shared" si="15"/>
        <v/>
      </c>
      <c r="AR108" t="str">
        <f t="shared" si="16"/>
        <v/>
      </c>
      <c r="AS108" t="str">
        <f t="shared" si="17"/>
        <v/>
      </c>
      <c r="AT108" t="str">
        <f t="shared" si="18"/>
        <v/>
      </c>
      <c r="BG108" t="str">
        <f t="shared" si="19"/>
        <v/>
      </c>
      <c r="BH108" t="str">
        <f t="shared" si="20"/>
        <v/>
      </c>
      <c r="BL108" t="str">
        <f>IFERROR(INDEX(_names_lookup!$C:$C,MATCH(BK108,_names_lookup!$A:$A,0)),"")</f>
        <v/>
      </c>
      <c r="BM108" t="str">
        <f>IFERROR(INDEX(_names_lookup!$B:$B,MATCH(BK108,_names_lookup!$A:$A,0)),"")</f>
        <v/>
      </c>
      <c r="BS108" t="str">
        <f t="shared" si="21"/>
        <v/>
      </c>
    </row>
    <row r="109" spans="15:71" x14ac:dyDescent="0.2">
      <c r="O109" t="str">
        <f>IFERROR(INDEX(_courses_lookup!$C:$C,MATCH(K109&amp;L109,_courses_lookup!$E:$E,0)),"")</f>
        <v/>
      </c>
      <c r="P109" t="str">
        <f>IFERROR(INDEX(_courses_lookup!$D:$D,MATCH(K109&amp;L109,_courses_lookup!$E:$E,0)),"")</f>
        <v/>
      </c>
      <c r="AG109" t="str">
        <f t="shared" si="11"/>
        <v/>
      </c>
      <c r="AI109" t="str">
        <f t="shared" si="12"/>
        <v/>
      </c>
      <c r="AL109" t="str">
        <f t="shared" si="13"/>
        <v/>
      </c>
      <c r="AN109" t="str">
        <f t="shared" si="14"/>
        <v/>
      </c>
      <c r="AQ109" t="str">
        <f t="shared" si="15"/>
        <v/>
      </c>
      <c r="AR109" t="str">
        <f t="shared" si="16"/>
        <v/>
      </c>
      <c r="AS109" t="str">
        <f t="shared" si="17"/>
        <v/>
      </c>
      <c r="AT109" t="str">
        <f t="shared" si="18"/>
        <v/>
      </c>
      <c r="BG109" t="str">
        <f t="shared" si="19"/>
        <v/>
      </c>
      <c r="BH109" t="str">
        <f t="shared" si="20"/>
        <v/>
      </c>
      <c r="BL109" t="str">
        <f>IFERROR(INDEX(_names_lookup!$C:$C,MATCH(BK109,_names_lookup!$A:$A,0)),"")</f>
        <v/>
      </c>
      <c r="BM109" t="str">
        <f>IFERROR(INDEX(_names_lookup!$B:$B,MATCH(BK109,_names_lookup!$A:$A,0)),"")</f>
        <v/>
      </c>
      <c r="BS109" t="str">
        <f t="shared" si="21"/>
        <v/>
      </c>
    </row>
    <row r="110" spans="15:71" x14ac:dyDescent="0.2">
      <c r="O110" t="str">
        <f>IFERROR(INDEX(_courses_lookup!$C:$C,MATCH(K110&amp;L110,_courses_lookup!$E:$E,0)),"")</f>
        <v/>
      </c>
      <c r="P110" t="str">
        <f>IFERROR(INDEX(_courses_lookup!$D:$D,MATCH(K110&amp;L110,_courses_lookup!$E:$E,0)),"")</f>
        <v/>
      </c>
      <c r="AG110" t="str">
        <f t="shared" si="11"/>
        <v/>
      </c>
      <c r="AI110" t="str">
        <f t="shared" si="12"/>
        <v/>
      </c>
      <c r="AL110" t="str">
        <f t="shared" si="13"/>
        <v/>
      </c>
      <c r="AN110" t="str">
        <f t="shared" si="14"/>
        <v/>
      </c>
      <c r="AQ110" t="str">
        <f t="shared" si="15"/>
        <v/>
      </c>
      <c r="AR110" t="str">
        <f t="shared" si="16"/>
        <v/>
      </c>
      <c r="AS110" t="str">
        <f t="shared" si="17"/>
        <v/>
      </c>
      <c r="AT110" t="str">
        <f t="shared" si="18"/>
        <v/>
      </c>
      <c r="BG110" t="str">
        <f t="shared" si="19"/>
        <v/>
      </c>
      <c r="BH110" t="str">
        <f t="shared" si="20"/>
        <v/>
      </c>
      <c r="BL110" t="str">
        <f>IFERROR(INDEX(_names_lookup!$C:$C,MATCH(BK110,_names_lookup!$A:$A,0)),"")</f>
        <v/>
      </c>
      <c r="BM110" t="str">
        <f>IFERROR(INDEX(_names_lookup!$B:$B,MATCH(BK110,_names_lookup!$A:$A,0)),"")</f>
        <v/>
      </c>
      <c r="BS110" t="str">
        <f t="shared" si="21"/>
        <v/>
      </c>
    </row>
    <row r="111" spans="15:71" x14ac:dyDescent="0.2">
      <c r="O111" t="str">
        <f>IFERROR(INDEX(_courses_lookup!$C:$C,MATCH(K111&amp;L111,_courses_lookup!$E:$E,0)),"")</f>
        <v/>
      </c>
      <c r="P111" t="str">
        <f>IFERROR(INDEX(_courses_lookup!$D:$D,MATCH(K111&amp;L111,_courses_lookup!$E:$E,0)),"")</f>
        <v/>
      </c>
      <c r="AG111" t="str">
        <f t="shared" si="11"/>
        <v/>
      </c>
      <c r="AI111" t="str">
        <f t="shared" si="12"/>
        <v/>
      </c>
      <c r="AL111" t="str">
        <f t="shared" si="13"/>
        <v/>
      </c>
      <c r="AN111" t="str">
        <f t="shared" si="14"/>
        <v/>
      </c>
      <c r="AQ111" t="str">
        <f t="shared" si="15"/>
        <v/>
      </c>
      <c r="AR111" t="str">
        <f t="shared" si="16"/>
        <v/>
      </c>
      <c r="AS111" t="str">
        <f t="shared" si="17"/>
        <v/>
      </c>
      <c r="AT111" t="str">
        <f t="shared" si="18"/>
        <v/>
      </c>
      <c r="BG111" t="str">
        <f t="shared" si="19"/>
        <v/>
      </c>
      <c r="BH111" t="str">
        <f t="shared" si="20"/>
        <v/>
      </c>
      <c r="BL111" t="str">
        <f>IFERROR(INDEX(_names_lookup!$C:$C,MATCH(BK111,_names_lookup!$A:$A,0)),"")</f>
        <v/>
      </c>
      <c r="BM111" t="str">
        <f>IFERROR(INDEX(_names_lookup!$B:$B,MATCH(BK111,_names_lookup!$A:$A,0)),"")</f>
        <v/>
      </c>
      <c r="BS111" t="str">
        <f t="shared" si="21"/>
        <v/>
      </c>
    </row>
    <row r="112" spans="15:71" x14ac:dyDescent="0.2">
      <c r="O112" t="str">
        <f>IFERROR(INDEX(_courses_lookup!$C:$C,MATCH(K112&amp;L112,_courses_lookup!$E:$E,0)),"")</f>
        <v/>
      </c>
      <c r="P112" t="str">
        <f>IFERROR(INDEX(_courses_lookup!$D:$D,MATCH(K112&amp;L112,_courses_lookup!$E:$E,0)),"")</f>
        <v/>
      </c>
      <c r="AG112" t="str">
        <f t="shared" si="11"/>
        <v/>
      </c>
      <c r="AI112" t="str">
        <f t="shared" si="12"/>
        <v/>
      </c>
      <c r="AL112" t="str">
        <f t="shared" si="13"/>
        <v/>
      </c>
      <c r="AN112" t="str">
        <f t="shared" si="14"/>
        <v/>
      </c>
      <c r="AQ112" t="str">
        <f t="shared" si="15"/>
        <v/>
      </c>
      <c r="AR112" t="str">
        <f t="shared" si="16"/>
        <v/>
      </c>
      <c r="AS112" t="str">
        <f t="shared" si="17"/>
        <v/>
      </c>
      <c r="AT112" t="str">
        <f t="shared" si="18"/>
        <v/>
      </c>
      <c r="BG112" t="str">
        <f t="shared" si="19"/>
        <v/>
      </c>
      <c r="BH112" t="str">
        <f t="shared" si="20"/>
        <v/>
      </c>
      <c r="BL112" t="str">
        <f>IFERROR(INDEX(_names_lookup!$C:$C,MATCH(BK112,_names_lookup!$A:$A,0)),"")</f>
        <v/>
      </c>
      <c r="BM112" t="str">
        <f>IFERROR(INDEX(_names_lookup!$B:$B,MATCH(BK112,_names_lookup!$A:$A,0)),"")</f>
        <v/>
      </c>
      <c r="BS112" t="str">
        <f t="shared" si="21"/>
        <v/>
      </c>
    </row>
    <row r="113" spans="15:71" x14ac:dyDescent="0.2">
      <c r="O113" t="str">
        <f>IFERROR(INDEX(_courses_lookup!$C:$C,MATCH(K113&amp;L113,_courses_lookup!$E:$E,0)),"")</f>
        <v/>
      </c>
      <c r="P113" t="str">
        <f>IFERROR(INDEX(_courses_lookup!$D:$D,MATCH(K113&amp;L113,_courses_lookup!$E:$E,0)),"")</f>
        <v/>
      </c>
      <c r="AG113" t="str">
        <f t="shared" si="11"/>
        <v/>
      </c>
      <c r="AI113" t="str">
        <f t="shared" si="12"/>
        <v/>
      </c>
      <c r="AL113" t="str">
        <f t="shared" si="13"/>
        <v/>
      </c>
      <c r="AN113" t="str">
        <f t="shared" si="14"/>
        <v/>
      </c>
      <c r="AQ113" t="str">
        <f t="shared" si="15"/>
        <v/>
      </c>
      <c r="AR113" t="str">
        <f t="shared" si="16"/>
        <v/>
      </c>
      <c r="AS113" t="str">
        <f t="shared" si="17"/>
        <v/>
      </c>
      <c r="AT113" t="str">
        <f t="shared" si="18"/>
        <v/>
      </c>
      <c r="BG113" t="str">
        <f t="shared" si="19"/>
        <v/>
      </c>
      <c r="BH113" t="str">
        <f t="shared" si="20"/>
        <v/>
      </c>
      <c r="BL113" t="str">
        <f>IFERROR(INDEX(_names_lookup!$C:$C,MATCH(BK113,_names_lookup!$A:$A,0)),"")</f>
        <v/>
      </c>
      <c r="BM113" t="str">
        <f>IFERROR(INDEX(_names_lookup!$B:$B,MATCH(BK113,_names_lookup!$A:$A,0)),"")</f>
        <v/>
      </c>
      <c r="BS113" t="str">
        <f t="shared" si="21"/>
        <v/>
      </c>
    </row>
    <row r="114" spans="15:71" x14ac:dyDescent="0.2">
      <c r="O114" t="str">
        <f>IFERROR(INDEX(_courses_lookup!$C:$C,MATCH(K114&amp;L114,_courses_lookup!$E:$E,0)),"")</f>
        <v/>
      </c>
      <c r="P114" t="str">
        <f>IFERROR(INDEX(_courses_lookup!$D:$D,MATCH(K114&amp;L114,_courses_lookup!$E:$E,0)),"")</f>
        <v/>
      </c>
      <c r="AG114" t="str">
        <f t="shared" si="11"/>
        <v/>
      </c>
      <c r="AI114" t="str">
        <f t="shared" si="12"/>
        <v/>
      </c>
      <c r="AL114" t="str">
        <f t="shared" si="13"/>
        <v/>
      </c>
      <c r="AN114" t="str">
        <f t="shared" si="14"/>
        <v/>
      </c>
      <c r="AQ114" t="str">
        <f t="shared" si="15"/>
        <v/>
      </c>
      <c r="AR114" t="str">
        <f t="shared" si="16"/>
        <v/>
      </c>
      <c r="AS114" t="str">
        <f t="shared" si="17"/>
        <v/>
      </c>
      <c r="AT114" t="str">
        <f t="shared" si="18"/>
        <v/>
      </c>
      <c r="BG114" t="str">
        <f t="shared" si="19"/>
        <v/>
      </c>
      <c r="BH114" t="str">
        <f t="shared" si="20"/>
        <v/>
      </c>
      <c r="BL114" t="str">
        <f>IFERROR(INDEX(_names_lookup!$C:$C,MATCH(BK114,_names_lookup!$A:$A,0)),"")</f>
        <v/>
      </c>
      <c r="BM114" t="str">
        <f>IFERROR(INDEX(_names_lookup!$B:$B,MATCH(BK114,_names_lookup!$A:$A,0)),"")</f>
        <v/>
      </c>
      <c r="BS114" t="str">
        <f t="shared" si="21"/>
        <v/>
      </c>
    </row>
    <row r="115" spans="15:71" x14ac:dyDescent="0.2">
      <c r="O115" t="str">
        <f>IFERROR(INDEX(_courses_lookup!$C:$C,MATCH(K115&amp;L115,_courses_lookup!$E:$E,0)),"")</f>
        <v/>
      </c>
      <c r="P115" t="str">
        <f>IFERROR(INDEX(_courses_lookup!$D:$D,MATCH(K115&amp;L115,_courses_lookup!$E:$E,0)),"")</f>
        <v/>
      </c>
      <c r="AG115" t="str">
        <f t="shared" si="11"/>
        <v/>
      </c>
      <c r="AI115" t="str">
        <f t="shared" si="12"/>
        <v/>
      </c>
      <c r="AL115" t="str">
        <f t="shared" si="13"/>
        <v/>
      </c>
      <c r="AN115" t="str">
        <f t="shared" si="14"/>
        <v/>
      </c>
      <c r="AQ115" t="str">
        <f t="shared" si="15"/>
        <v/>
      </c>
      <c r="AR115" t="str">
        <f t="shared" si="16"/>
        <v/>
      </c>
      <c r="AS115" t="str">
        <f t="shared" si="17"/>
        <v/>
      </c>
      <c r="AT115" t="str">
        <f t="shared" si="18"/>
        <v/>
      </c>
      <c r="BG115" t="str">
        <f t="shared" si="19"/>
        <v/>
      </c>
      <c r="BH115" t="str">
        <f t="shared" si="20"/>
        <v/>
      </c>
      <c r="BL115" t="str">
        <f>IFERROR(INDEX(_names_lookup!$C:$C,MATCH(BK115,_names_lookup!$A:$A,0)),"")</f>
        <v/>
      </c>
      <c r="BM115" t="str">
        <f>IFERROR(INDEX(_names_lookup!$B:$B,MATCH(BK115,_names_lookup!$A:$A,0)),"")</f>
        <v/>
      </c>
      <c r="BS115" t="str">
        <f t="shared" si="21"/>
        <v/>
      </c>
    </row>
    <row r="116" spans="15:71" x14ac:dyDescent="0.2">
      <c r="O116" t="str">
        <f>IFERROR(INDEX(_courses_lookup!$C:$C,MATCH(K116&amp;L116,_courses_lookup!$E:$E,0)),"")</f>
        <v/>
      </c>
      <c r="P116" t="str">
        <f>IFERROR(INDEX(_courses_lookup!$D:$D,MATCH(K116&amp;L116,_courses_lookup!$E:$E,0)),"")</f>
        <v/>
      </c>
      <c r="AG116" t="str">
        <f t="shared" si="11"/>
        <v/>
      </c>
      <c r="AI116" t="str">
        <f t="shared" si="12"/>
        <v/>
      </c>
      <c r="AL116" t="str">
        <f t="shared" si="13"/>
        <v/>
      </c>
      <c r="AN116" t="str">
        <f t="shared" si="14"/>
        <v/>
      </c>
      <c r="AQ116" t="str">
        <f t="shared" si="15"/>
        <v/>
      </c>
      <c r="AR116" t="str">
        <f t="shared" si="16"/>
        <v/>
      </c>
      <c r="AS116" t="str">
        <f t="shared" si="17"/>
        <v/>
      </c>
      <c r="AT116" t="str">
        <f t="shared" si="18"/>
        <v/>
      </c>
      <c r="BG116" t="str">
        <f t="shared" si="19"/>
        <v/>
      </c>
      <c r="BH116" t="str">
        <f t="shared" si="20"/>
        <v/>
      </c>
      <c r="BL116" t="str">
        <f>IFERROR(INDEX(_names_lookup!$C:$C,MATCH(BK116,_names_lookup!$A:$A,0)),"")</f>
        <v/>
      </c>
      <c r="BM116" t="str">
        <f>IFERROR(INDEX(_names_lookup!$B:$B,MATCH(BK116,_names_lookup!$A:$A,0)),"")</f>
        <v/>
      </c>
      <c r="BS116" t="str">
        <f t="shared" si="21"/>
        <v/>
      </c>
    </row>
    <row r="117" spans="15:71" x14ac:dyDescent="0.2">
      <c r="O117" t="str">
        <f>IFERROR(INDEX(_courses_lookup!$C:$C,MATCH(K117&amp;L117,_courses_lookup!$E:$E,0)),"")</f>
        <v/>
      </c>
      <c r="P117" t="str">
        <f>IFERROR(INDEX(_courses_lookup!$D:$D,MATCH(K117&amp;L117,_courses_lookup!$E:$E,0)),"")</f>
        <v/>
      </c>
      <c r="AG117" t="str">
        <f t="shared" si="11"/>
        <v/>
      </c>
      <c r="AI117" t="str">
        <f t="shared" si="12"/>
        <v/>
      </c>
      <c r="AL117" t="str">
        <f t="shared" si="13"/>
        <v/>
      </c>
      <c r="AN117" t="str">
        <f t="shared" si="14"/>
        <v/>
      </c>
      <c r="AQ117" t="str">
        <f t="shared" si="15"/>
        <v/>
      </c>
      <c r="AR117" t="str">
        <f t="shared" si="16"/>
        <v/>
      </c>
      <c r="AS117" t="str">
        <f t="shared" si="17"/>
        <v/>
      </c>
      <c r="AT117" t="str">
        <f t="shared" si="18"/>
        <v/>
      </c>
      <c r="BG117" t="str">
        <f t="shared" si="19"/>
        <v/>
      </c>
      <c r="BH117" t="str">
        <f t="shared" si="20"/>
        <v/>
      </c>
      <c r="BL117" t="str">
        <f>IFERROR(INDEX(_names_lookup!$C:$C,MATCH(BK117,_names_lookup!$A:$A,0)),"")</f>
        <v/>
      </c>
      <c r="BM117" t="str">
        <f>IFERROR(INDEX(_names_lookup!$B:$B,MATCH(BK117,_names_lookup!$A:$A,0)),"")</f>
        <v/>
      </c>
      <c r="BS117" t="str">
        <f t="shared" si="21"/>
        <v/>
      </c>
    </row>
    <row r="118" spans="15:71" x14ac:dyDescent="0.2">
      <c r="O118" t="str">
        <f>IFERROR(INDEX(_courses_lookup!$C:$C,MATCH(K118&amp;L118,_courses_lookup!$E:$E,0)),"")</f>
        <v/>
      </c>
      <c r="P118" t="str">
        <f>IFERROR(INDEX(_courses_lookup!$D:$D,MATCH(K118&amp;L118,_courses_lookup!$E:$E,0)),"")</f>
        <v/>
      </c>
      <c r="AG118" t="str">
        <f t="shared" si="11"/>
        <v/>
      </c>
      <c r="AI118" t="str">
        <f t="shared" si="12"/>
        <v/>
      </c>
      <c r="AL118" t="str">
        <f t="shared" si="13"/>
        <v/>
      </c>
      <c r="AN118" t="str">
        <f t="shared" si="14"/>
        <v/>
      </c>
      <c r="AQ118" t="str">
        <f t="shared" si="15"/>
        <v/>
      </c>
      <c r="AR118" t="str">
        <f t="shared" si="16"/>
        <v/>
      </c>
      <c r="AS118" t="str">
        <f t="shared" si="17"/>
        <v/>
      </c>
      <c r="AT118" t="str">
        <f t="shared" si="18"/>
        <v/>
      </c>
      <c r="BG118" t="str">
        <f t="shared" si="19"/>
        <v/>
      </c>
      <c r="BH118" t="str">
        <f t="shared" si="20"/>
        <v/>
      </c>
      <c r="BL118" t="str">
        <f>IFERROR(INDEX(_names_lookup!$C:$C,MATCH(BK118,_names_lookup!$A:$A,0)),"")</f>
        <v/>
      </c>
      <c r="BM118" t="str">
        <f>IFERROR(INDEX(_names_lookup!$B:$B,MATCH(BK118,_names_lookup!$A:$A,0)),"")</f>
        <v/>
      </c>
      <c r="BS118" t="str">
        <f t="shared" si="21"/>
        <v/>
      </c>
    </row>
    <row r="119" spans="15:71" x14ac:dyDescent="0.2">
      <c r="O119" t="str">
        <f>IFERROR(INDEX(_courses_lookup!$C:$C,MATCH(K119&amp;L119,_courses_lookup!$E:$E,0)),"")</f>
        <v/>
      </c>
      <c r="P119" t="str">
        <f>IFERROR(INDEX(_courses_lookup!$D:$D,MATCH(K119&amp;L119,_courses_lookup!$E:$E,0)),"")</f>
        <v/>
      </c>
      <c r="AG119" t="str">
        <f t="shared" si="11"/>
        <v/>
      </c>
      <c r="AI119" t="str">
        <f t="shared" si="12"/>
        <v/>
      </c>
      <c r="AL119" t="str">
        <f t="shared" si="13"/>
        <v/>
      </c>
      <c r="AN119" t="str">
        <f t="shared" si="14"/>
        <v/>
      </c>
      <c r="AQ119" t="str">
        <f t="shared" si="15"/>
        <v/>
      </c>
      <c r="AR119" t="str">
        <f t="shared" si="16"/>
        <v/>
      </c>
      <c r="AS119" t="str">
        <f t="shared" si="17"/>
        <v/>
      </c>
      <c r="AT119" t="str">
        <f t="shared" si="18"/>
        <v/>
      </c>
      <c r="BG119" t="str">
        <f t="shared" si="19"/>
        <v/>
      </c>
      <c r="BH119" t="str">
        <f t="shared" si="20"/>
        <v/>
      </c>
      <c r="BL119" t="str">
        <f>IFERROR(INDEX(_names_lookup!$C:$C,MATCH(BK119,_names_lookup!$A:$A,0)),"")</f>
        <v/>
      </c>
      <c r="BM119" t="str">
        <f>IFERROR(INDEX(_names_lookup!$B:$B,MATCH(BK119,_names_lookup!$A:$A,0)),"")</f>
        <v/>
      </c>
      <c r="BS119" t="str">
        <f t="shared" si="21"/>
        <v/>
      </c>
    </row>
    <row r="120" spans="15:71" x14ac:dyDescent="0.2">
      <c r="O120" t="str">
        <f>IFERROR(INDEX(_courses_lookup!$C:$C,MATCH(K120&amp;L120,_courses_lookup!$E:$E,0)),"")</f>
        <v/>
      </c>
      <c r="P120" t="str">
        <f>IFERROR(INDEX(_courses_lookup!$D:$D,MATCH(K120&amp;L120,_courses_lookup!$E:$E,0)),"")</f>
        <v/>
      </c>
      <c r="AG120" t="str">
        <f t="shared" si="11"/>
        <v/>
      </c>
      <c r="AI120" t="str">
        <f t="shared" si="12"/>
        <v/>
      </c>
      <c r="AL120" t="str">
        <f t="shared" si="13"/>
        <v/>
      </c>
      <c r="AN120" t="str">
        <f t="shared" si="14"/>
        <v/>
      </c>
      <c r="AQ120" t="str">
        <f t="shared" si="15"/>
        <v/>
      </c>
      <c r="AR120" t="str">
        <f t="shared" si="16"/>
        <v/>
      </c>
      <c r="AS120" t="str">
        <f t="shared" si="17"/>
        <v/>
      </c>
      <c r="AT120" t="str">
        <f t="shared" si="18"/>
        <v/>
      </c>
      <c r="BG120" t="str">
        <f t="shared" si="19"/>
        <v/>
      </c>
      <c r="BH120" t="str">
        <f t="shared" si="20"/>
        <v/>
      </c>
      <c r="BL120" t="str">
        <f>IFERROR(INDEX(_names_lookup!$C:$C,MATCH(BK120,_names_lookup!$A:$A,0)),"")</f>
        <v/>
      </c>
      <c r="BM120" t="str">
        <f>IFERROR(INDEX(_names_lookup!$B:$B,MATCH(BK120,_names_lookup!$A:$A,0)),"")</f>
        <v/>
      </c>
      <c r="BS120" t="str">
        <f t="shared" si="21"/>
        <v/>
      </c>
    </row>
    <row r="121" spans="15:71" x14ac:dyDescent="0.2">
      <c r="O121" t="str">
        <f>IFERROR(INDEX(_courses_lookup!$C:$C,MATCH(K121&amp;L121,_courses_lookup!$E:$E,0)),"")</f>
        <v/>
      </c>
      <c r="P121" t="str">
        <f>IFERROR(INDEX(_courses_lookup!$D:$D,MATCH(K121&amp;L121,_courses_lookup!$E:$E,0)),"")</f>
        <v/>
      </c>
      <c r="AG121" t="str">
        <f t="shared" si="11"/>
        <v/>
      </c>
      <c r="AI121" t="str">
        <f t="shared" si="12"/>
        <v/>
      </c>
      <c r="AL121" t="str">
        <f t="shared" si="13"/>
        <v/>
      </c>
      <c r="AN121" t="str">
        <f t="shared" si="14"/>
        <v/>
      </c>
      <c r="AQ121" t="str">
        <f t="shared" si="15"/>
        <v/>
      </c>
      <c r="AR121" t="str">
        <f t="shared" si="16"/>
        <v/>
      </c>
      <c r="AS121" t="str">
        <f t="shared" si="17"/>
        <v/>
      </c>
      <c r="AT121" t="str">
        <f t="shared" si="18"/>
        <v/>
      </c>
      <c r="BG121" t="str">
        <f t="shared" si="19"/>
        <v/>
      </c>
      <c r="BH121" t="str">
        <f t="shared" si="20"/>
        <v/>
      </c>
      <c r="BL121" t="str">
        <f>IFERROR(INDEX(_names_lookup!$C:$C,MATCH(BK121,_names_lookup!$A:$A,0)),"")</f>
        <v/>
      </c>
      <c r="BM121" t="str">
        <f>IFERROR(INDEX(_names_lookup!$B:$B,MATCH(BK121,_names_lookup!$A:$A,0)),"")</f>
        <v/>
      </c>
      <c r="BS121" t="str">
        <f t="shared" si="21"/>
        <v/>
      </c>
    </row>
    <row r="122" spans="15:71" x14ac:dyDescent="0.2">
      <c r="O122" t="str">
        <f>IFERROR(INDEX(_courses_lookup!$C:$C,MATCH(K122&amp;L122,_courses_lookup!$E:$E,0)),"")</f>
        <v/>
      </c>
      <c r="P122" t="str">
        <f>IFERROR(INDEX(_courses_lookup!$D:$D,MATCH(K122&amp;L122,_courses_lookup!$E:$E,0)),"")</f>
        <v/>
      </c>
      <c r="AG122" t="str">
        <f t="shared" si="11"/>
        <v/>
      </c>
      <c r="AI122" t="str">
        <f t="shared" si="12"/>
        <v/>
      </c>
      <c r="AL122" t="str">
        <f t="shared" si="13"/>
        <v/>
      </c>
      <c r="AN122" t="str">
        <f t="shared" si="14"/>
        <v/>
      </c>
      <c r="AQ122" t="str">
        <f t="shared" si="15"/>
        <v/>
      </c>
      <c r="AR122" t="str">
        <f t="shared" si="16"/>
        <v/>
      </c>
      <c r="AS122" t="str">
        <f t="shared" si="17"/>
        <v/>
      </c>
      <c r="AT122" t="str">
        <f t="shared" si="18"/>
        <v/>
      </c>
      <c r="BG122" t="str">
        <f t="shared" si="19"/>
        <v/>
      </c>
      <c r="BH122" t="str">
        <f t="shared" si="20"/>
        <v/>
      </c>
      <c r="BL122" t="str">
        <f>IFERROR(INDEX(_names_lookup!$C:$C,MATCH(BK122,_names_lookup!$A:$A,0)),"")</f>
        <v/>
      </c>
      <c r="BM122" t="str">
        <f>IFERROR(INDEX(_names_lookup!$B:$B,MATCH(BK122,_names_lookup!$A:$A,0)),"")</f>
        <v/>
      </c>
      <c r="BS122" t="str">
        <f t="shared" si="21"/>
        <v/>
      </c>
    </row>
    <row r="123" spans="15:71" x14ac:dyDescent="0.2">
      <c r="O123" t="str">
        <f>IFERROR(INDEX(_courses_lookup!$C:$C,MATCH(K123&amp;L123,_courses_lookup!$E:$E,0)),"")</f>
        <v/>
      </c>
      <c r="P123" t="str">
        <f>IFERROR(INDEX(_courses_lookup!$D:$D,MATCH(K123&amp;L123,_courses_lookup!$E:$E,0)),"")</f>
        <v/>
      </c>
      <c r="AG123" t="str">
        <f t="shared" si="11"/>
        <v/>
      </c>
      <c r="AI123" t="str">
        <f t="shared" si="12"/>
        <v/>
      </c>
      <c r="AL123" t="str">
        <f t="shared" si="13"/>
        <v/>
      </c>
      <c r="AN123" t="str">
        <f t="shared" si="14"/>
        <v/>
      </c>
      <c r="AQ123" t="str">
        <f t="shared" si="15"/>
        <v/>
      </c>
      <c r="AR123" t="str">
        <f t="shared" si="16"/>
        <v/>
      </c>
      <c r="AS123" t="str">
        <f t="shared" si="17"/>
        <v/>
      </c>
      <c r="AT123" t="str">
        <f t="shared" si="18"/>
        <v/>
      </c>
      <c r="BG123" t="str">
        <f t="shared" si="19"/>
        <v/>
      </c>
      <c r="BH123" t="str">
        <f t="shared" si="20"/>
        <v/>
      </c>
      <c r="BL123" t="str">
        <f>IFERROR(INDEX(_names_lookup!$C:$C,MATCH(BK123,_names_lookup!$A:$A,0)),"")</f>
        <v/>
      </c>
      <c r="BM123" t="str">
        <f>IFERROR(INDEX(_names_lookup!$B:$B,MATCH(BK123,_names_lookup!$A:$A,0)),"")</f>
        <v/>
      </c>
      <c r="BS123" t="str">
        <f t="shared" si="21"/>
        <v/>
      </c>
    </row>
    <row r="124" spans="15:71" x14ac:dyDescent="0.2">
      <c r="O124" t="str">
        <f>IFERROR(INDEX(_courses_lookup!$C:$C,MATCH(K124&amp;L124,_courses_lookup!$E:$E,0)),"")</f>
        <v/>
      </c>
      <c r="P124" t="str">
        <f>IFERROR(INDEX(_courses_lookup!$D:$D,MATCH(K124&amp;L124,_courses_lookup!$E:$E,0)),"")</f>
        <v/>
      </c>
      <c r="AG124" t="str">
        <f t="shared" si="11"/>
        <v/>
      </c>
      <c r="AI124" t="str">
        <f t="shared" si="12"/>
        <v/>
      </c>
      <c r="AL124" t="str">
        <f t="shared" si="13"/>
        <v/>
      </c>
      <c r="AN124" t="str">
        <f t="shared" si="14"/>
        <v/>
      </c>
      <c r="AQ124" t="str">
        <f t="shared" si="15"/>
        <v/>
      </c>
      <c r="AR124" t="str">
        <f t="shared" si="16"/>
        <v/>
      </c>
      <c r="AS124" t="str">
        <f t="shared" si="17"/>
        <v/>
      </c>
      <c r="AT124" t="str">
        <f t="shared" si="18"/>
        <v/>
      </c>
      <c r="BG124" t="str">
        <f t="shared" si="19"/>
        <v/>
      </c>
      <c r="BH124" t="str">
        <f t="shared" si="20"/>
        <v/>
      </c>
      <c r="BL124" t="str">
        <f>IFERROR(INDEX(_names_lookup!$C:$C,MATCH(BK124,_names_lookup!$A:$A,0)),"")</f>
        <v/>
      </c>
      <c r="BM124" t="str">
        <f>IFERROR(INDEX(_names_lookup!$B:$B,MATCH(BK124,_names_lookup!$A:$A,0)),"")</f>
        <v/>
      </c>
      <c r="BS124" t="str">
        <f t="shared" si="21"/>
        <v/>
      </c>
    </row>
    <row r="125" spans="15:71" x14ac:dyDescent="0.2">
      <c r="O125" t="str">
        <f>IFERROR(INDEX(_courses_lookup!$C:$C,MATCH(K125&amp;L125,_courses_lookup!$E:$E,0)),"")</f>
        <v/>
      </c>
      <c r="P125" t="str">
        <f>IFERROR(INDEX(_courses_lookup!$D:$D,MATCH(K125&amp;L125,_courses_lookup!$E:$E,0)),"")</f>
        <v/>
      </c>
      <c r="AG125" t="str">
        <f t="shared" si="11"/>
        <v/>
      </c>
      <c r="AI125" t="str">
        <f t="shared" si="12"/>
        <v/>
      </c>
      <c r="AL125" t="str">
        <f t="shared" si="13"/>
        <v/>
      </c>
      <c r="AN125" t="str">
        <f t="shared" si="14"/>
        <v/>
      </c>
      <c r="AQ125" t="str">
        <f t="shared" si="15"/>
        <v/>
      </c>
      <c r="AR125" t="str">
        <f t="shared" si="16"/>
        <v/>
      </c>
      <c r="AS125" t="str">
        <f t="shared" si="17"/>
        <v/>
      </c>
      <c r="AT125" t="str">
        <f t="shared" si="18"/>
        <v/>
      </c>
      <c r="BG125" t="str">
        <f t="shared" si="19"/>
        <v/>
      </c>
      <c r="BH125" t="str">
        <f t="shared" si="20"/>
        <v/>
      </c>
      <c r="BL125" t="str">
        <f>IFERROR(INDEX(_names_lookup!$C:$C,MATCH(BK125,_names_lookup!$A:$A,0)),"")</f>
        <v/>
      </c>
      <c r="BM125" t="str">
        <f>IFERROR(INDEX(_names_lookup!$B:$B,MATCH(BK125,_names_lookup!$A:$A,0)),"")</f>
        <v/>
      </c>
      <c r="BS125" t="str">
        <f t="shared" si="21"/>
        <v/>
      </c>
    </row>
    <row r="126" spans="15:71" x14ac:dyDescent="0.2">
      <c r="O126" t="str">
        <f>IFERROR(INDEX(_courses_lookup!$C:$C,MATCH(K126&amp;L126,_courses_lookup!$E:$E,0)),"")</f>
        <v/>
      </c>
      <c r="P126" t="str">
        <f>IFERROR(INDEX(_courses_lookup!$D:$D,MATCH(K126&amp;L126,_courses_lookup!$E:$E,0)),"")</f>
        <v/>
      </c>
      <c r="AG126" t="str">
        <f t="shared" si="11"/>
        <v/>
      </c>
      <c r="AI126" t="str">
        <f t="shared" si="12"/>
        <v/>
      </c>
      <c r="AL126" t="str">
        <f t="shared" si="13"/>
        <v/>
      </c>
      <c r="AN126" t="str">
        <f t="shared" si="14"/>
        <v/>
      </c>
      <c r="AQ126" t="str">
        <f t="shared" si="15"/>
        <v/>
      </c>
      <c r="AR126" t="str">
        <f t="shared" si="16"/>
        <v/>
      </c>
      <c r="AS126" t="str">
        <f t="shared" si="17"/>
        <v/>
      </c>
      <c r="AT126" t="str">
        <f t="shared" si="18"/>
        <v/>
      </c>
      <c r="BG126" t="str">
        <f t="shared" si="19"/>
        <v/>
      </c>
      <c r="BH126" t="str">
        <f t="shared" si="20"/>
        <v/>
      </c>
      <c r="BL126" t="str">
        <f>IFERROR(INDEX(_names_lookup!$C:$C,MATCH(BK126,_names_lookup!$A:$A,0)),"")</f>
        <v/>
      </c>
      <c r="BM126" t="str">
        <f>IFERROR(INDEX(_names_lookup!$B:$B,MATCH(BK126,_names_lookup!$A:$A,0)),"")</f>
        <v/>
      </c>
      <c r="BS126" t="str">
        <f t="shared" si="21"/>
        <v/>
      </c>
    </row>
    <row r="127" spans="15:71" x14ac:dyDescent="0.2">
      <c r="O127" t="str">
        <f>IFERROR(INDEX(_courses_lookup!$C:$C,MATCH(K127&amp;L127,_courses_lookup!$E:$E,0)),"")</f>
        <v/>
      </c>
      <c r="P127" t="str">
        <f>IFERROR(INDEX(_courses_lookup!$D:$D,MATCH(K127&amp;L127,_courses_lookup!$E:$E,0)),"")</f>
        <v/>
      </c>
      <c r="AG127" t="str">
        <f t="shared" si="11"/>
        <v/>
      </c>
      <c r="AI127" t="str">
        <f t="shared" si="12"/>
        <v/>
      </c>
      <c r="AL127" t="str">
        <f t="shared" si="13"/>
        <v/>
      </c>
      <c r="AN127" t="str">
        <f t="shared" si="14"/>
        <v/>
      </c>
      <c r="AQ127" t="str">
        <f t="shared" si="15"/>
        <v/>
      </c>
      <c r="AR127" t="str">
        <f t="shared" si="16"/>
        <v/>
      </c>
      <c r="AS127" t="str">
        <f t="shared" si="17"/>
        <v/>
      </c>
      <c r="AT127" t="str">
        <f t="shared" si="18"/>
        <v/>
      </c>
      <c r="BG127" t="str">
        <f t="shared" si="19"/>
        <v/>
      </c>
      <c r="BH127" t="str">
        <f t="shared" si="20"/>
        <v/>
      </c>
      <c r="BL127" t="str">
        <f>IFERROR(INDEX(_names_lookup!$C:$C,MATCH(BK127,_names_lookup!$A:$A,0)),"")</f>
        <v/>
      </c>
      <c r="BM127" t="str">
        <f>IFERROR(INDEX(_names_lookup!$B:$B,MATCH(BK127,_names_lookup!$A:$A,0)),"")</f>
        <v/>
      </c>
      <c r="BS127" t="str">
        <f t="shared" si="21"/>
        <v/>
      </c>
    </row>
    <row r="128" spans="15:71" x14ac:dyDescent="0.2">
      <c r="O128" t="str">
        <f>IFERROR(INDEX(_courses_lookup!$C:$C,MATCH(K128&amp;L128,_courses_lookup!$E:$E,0)),"")</f>
        <v/>
      </c>
      <c r="P128" t="str">
        <f>IFERROR(INDEX(_courses_lookup!$D:$D,MATCH(K128&amp;L128,_courses_lookup!$E:$E,0)),"")</f>
        <v/>
      </c>
      <c r="AG128" t="str">
        <f t="shared" si="11"/>
        <v/>
      </c>
      <c r="AI128" t="str">
        <f t="shared" si="12"/>
        <v/>
      </c>
      <c r="AL128" t="str">
        <f t="shared" si="13"/>
        <v/>
      </c>
      <c r="AN128" t="str">
        <f t="shared" si="14"/>
        <v/>
      </c>
      <c r="AQ128" t="str">
        <f t="shared" si="15"/>
        <v/>
      </c>
      <c r="AR128" t="str">
        <f t="shared" si="16"/>
        <v/>
      </c>
      <c r="AS128" t="str">
        <f t="shared" si="17"/>
        <v/>
      </c>
      <c r="AT128" t="str">
        <f t="shared" si="18"/>
        <v/>
      </c>
      <c r="BG128" t="str">
        <f t="shared" si="19"/>
        <v/>
      </c>
      <c r="BH128" t="str">
        <f t="shared" si="20"/>
        <v/>
      </c>
      <c r="BL128" t="str">
        <f>IFERROR(INDEX(_names_lookup!$C:$C,MATCH(BK128,_names_lookup!$A:$A,0)),"")</f>
        <v/>
      </c>
      <c r="BM128" t="str">
        <f>IFERROR(INDEX(_names_lookup!$B:$B,MATCH(BK128,_names_lookup!$A:$A,0)),"")</f>
        <v/>
      </c>
      <c r="BS128" t="str">
        <f t="shared" si="21"/>
        <v/>
      </c>
    </row>
    <row r="129" spans="15:71" x14ac:dyDescent="0.2">
      <c r="O129" t="str">
        <f>IFERROR(INDEX(_courses_lookup!$C:$C,MATCH(K129&amp;L129,_courses_lookup!$E:$E,0)),"")</f>
        <v/>
      </c>
      <c r="P129" t="str">
        <f>IFERROR(INDEX(_courses_lookup!$D:$D,MATCH(K129&amp;L129,_courses_lookup!$E:$E,0)),"")</f>
        <v/>
      </c>
      <c r="AG129" t="str">
        <f t="shared" si="11"/>
        <v/>
      </c>
      <c r="AI129" t="str">
        <f t="shared" si="12"/>
        <v/>
      </c>
      <c r="AL129" t="str">
        <f t="shared" si="13"/>
        <v/>
      </c>
      <c r="AN129" t="str">
        <f t="shared" si="14"/>
        <v/>
      </c>
      <c r="AQ129" t="str">
        <f t="shared" si="15"/>
        <v/>
      </c>
      <c r="AR129" t="str">
        <f t="shared" si="16"/>
        <v/>
      </c>
      <c r="AS129" t="str">
        <f t="shared" si="17"/>
        <v/>
      </c>
      <c r="AT129" t="str">
        <f t="shared" si="18"/>
        <v/>
      </c>
      <c r="BG129" t="str">
        <f t="shared" si="19"/>
        <v/>
      </c>
      <c r="BH129" t="str">
        <f t="shared" si="20"/>
        <v/>
      </c>
      <c r="BL129" t="str">
        <f>IFERROR(INDEX(_names_lookup!$C:$C,MATCH(BK129,_names_lookup!$A:$A,0)),"")</f>
        <v/>
      </c>
      <c r="BM129" t="str">
        <f>IFERROR(INDEX(_names_lookup!$B:$B,MATCH(BK129,_names_lookup!$A:$A,0)),"")</f>
        <v/>
      </c>
      <c r="BS129" t="str">
        <f t="shared" si="21"/>
        <v/>
      </c>
    </row>
    <row r="130" spans="15:71" x14ac:dyDescent="0.2">
      <c r="O130" t="str">
        <f>IFERROR(INDEX(_courses_lookup!$C:$C,MATCH(K130&amp;L130,_courses_lookup!$E:$E,0)),"")</f>
        <v/>
      </c>
      <c r="P130" t="str">
        <f>IFERROR(INDEX(_courses_lookup!$D:$D,MATCH(K130&amp;L130,_courses_lookup!$E:$E,0)),"")</f>
        <v/>
      </c>
      <c r="AG130" t="str">
        <f t="shared" ref="AG130:AG193" si="22">IF(AND(AE130&lt;&gt;"",AF130&lt;&gt;""),ROUNDUP((AF130-AE130)/7,0),"")</f>
        <v/>
      </c>
      <c r="AI130" t="str">
        <f t="shared" ref="AI130:AI193" si="23">IFERROR(IF(AG130*AH130=0,"",AG130*AH130),"")</f>
        <v/>
      </c>
      <c r="AL130" t="str">
        <f t="shared" ref="AL130:AL193" si="24">IF(AND(AJ130&lt;&gt;"",AK130&lt;&gt;""),ROUNDUP((AK130-AJ130)/7,0),"")</f>
        <v/>
      </c>
      <c r="AN130" t="str">
        <f t="shared" ref="AN130:AN193" si="25">IFERROR(IF(AL130*AM130=0,"",AL130*AM130),"")</f>
        <v/>
      </c>
      <c r="AQ130" t="str">
        <f t="shared" ref="AQ130:AQ193" si="26">IF(AND(AO130&lt;&gt;"",AP130&lt;&gt;""),ROUNDUP((AP130-AO130)/7,0),"")</f>
        <v/>
      </c>
      <c r="AR130" t="str">
        <f t="shared" ref="AR130:AR193" si="27">IFERROR(IF((AU130-(AI130+AN130))/AQ130=0,"",ROUNDUP((AU130-(AI130+AN130))/AQ130,0)),"")</f>
        <v/>
      </c>
      <c r="AS130" t="str">
        <f t="shared" ref="AS130:AS193" si="28">IFERROR(IF((AU130-(AI130+AN130))=0,"",(AU130-(AI130+AN130))),"")</f>
        <v/>
      </c>
      <c r="AT130" t="str">
        <f t="shared" ref="AT130:AT193" si="29">IF(AND(AG130="",AQ130=""),AL130,IF(SUM(AG130,AL130,AQ130)=0,"",SUM(AG130,AL130,AQ130)))</f>
        <v/>
      </c>
      <c r="BG130" t="str">
        <f t="shared" ref="BG130:BG193" si="30">IF(AD130="","",YEAR(AD130)+IF(MONTH(AD130)&gt;=5,1,0))</f>
        <v/>
      </c>
      <c r="BH130" t="str">
        <f t="shared" ref="BH130:BH193" si="31">IF(AD130="","",IF(AND(MONTH(AD130)=8,DAY(AD130)&gt;=15),"Fall",IF(MONTH(AD130)&gt;8,"Fall",IF(MONTH(AD130)=5,"Summer",IF(MONTH(AD130)=1,"Spring","")))))</f>
        <v/>
      </c>
      <c r="BL130" t="str">
        <f>IFERROR(INDEX(_names_lookup!$C:$C,MATCH(BK130,_names_lookup!$A:$A,0)),"")</f>
        <v/>
      </c>
      <c r="BM130" t="str">
        <f>IFERROR(INDEX(_names_lookup!$B:$B,MATCH(BK130,_names_lookup!$A:$A,0)),"")</f>
        <v/>
      </c>
      <c r="BS130" t="str">
        <f t="shared" ref="BS130:BS193" si="32">IFERROR(IF(BR130*AA130=0,"",BR130*AA130),"")</f>
        <v/>
      </c>
    </row>
    <row r="131" spans="15:71" x14ac:dyDescent="0.2">
      <c r="O131" t="str">
        <f>IFERROR(INDEX(_courses_lookup!$C:$C,MATCH(K131&amp;L131,_courses_lookup!$E:$E,0)),"")</f>
        <v/>
      </c>
      <c r="P131" t="str">
        <f>IFERROR(INDEX(_courses_lookup!$D:$D,MATCH(K131&amp;L131,_courses_lookup!$E:$E,0)),"")</f>
        <v/>
      </c>
      <c r="AG131" t="str">
        <f t="shared" si="22"/>
        <v/>
      </c>
      <c r="AI131" t="str">
        <f t="shared" si="23"/>
        <v/>
      </c>
      <c r="AL131" t="str">
        <f t="shared" si="24"/>
        <v/>
      </c>
      <c r="AN131" t="str">
        <f t="shared" si="25"/>
        <v/>
      </c>
      <c r="AQ131" t="str">
        <f t="shared" si="26"/>
        <v/>
      </c>
      <c r="AR131" t="str">
        <f t="shared" si="27"/>
        <v/>
      </c>
      <c r="AS131" t="str">
        <f t="shared" si="28"/>
        <v/>
      </c>
      <c r="AT131" t="str">
        <f t="shared" si="29"/>
        <v/>
      </c>
      <c r="BG131" t="str">
        <f t="shared" si="30"/>
        <v/>
      </c>
      <c r="BH131" t="str">
        <f t="shared" si="31"/>
        <v/>
      </c>
      <c r="BL131" t="str">
        <f>IFERROR(INDEX(_names_lookup!$C:$C,MATCH(BK131,_names_lookup!$A:$A,0)),"")</f>
        <v/>
      </c>
      <c r="BM131" t="str">
        <f>IFERROR(INDEX(_names_lookup!$B:$B,MATCH(BK131,_names_lookup!$A:$A,0)),"")</f>
        <v/>
      </c>
      <c r="BS131" t="str">
        <f t="shared" si="32"/>
        <v/>
      </c>
    </row>
    <row r="132" spans="15:71" x14ac:dyDescent="0.2">
      <c r="O132" t="str">
        <f>IFERROR(INDEX(_courses_lookup!$C:$C,MATCH(K132&amp;L132,_courses_lookup!$E:$E,0)),"")</f>
        <v/>
      </c>
      <c r="P132" t="str">
        <f>IFERROR(INDEX(_courses_lookup!$D:$D,MATCH(K132&amp;L132,_courses_lookup!$E:$E,0)),"")</f>
        <v/>
      </c>
      <c r="AG132" t="str">
        <f t="shared" si="22"/>
        <v/>
      </c>
      <c r="AI132" t="str">
        <f t="shared" si="23"/>
        <v/>
      </c>
      <c r="AL132" t="str">
        <f t="shared" si="24"/>
        <v/>
      </c>
      <c r="AN132" t="str">
        <f t="shared" si="25"/>
        <v/>
      </c>
      <c r="AQ132" t="str">
        <f t="shared" si="26"/>
        <v/>
      </c>
      <c r="AR132" t="str">
        <f t="shared" si="27"/>
        <v/>
      </c>
      <c r="AS132" t="str">
        <f t="shared" si="28"/>
        <v/>
      </c>
      <c r="AT132" t="str">
        <f t="shared" si="29"/>
        <v/>
      </c>
      <c r="BG132" t="str">
        <f t="shared" si="30"/>
        <v/>
      </c>
      <c r="BH132" t="str">
        <f t="shared" si="31"/>
        <v/>
      </c>
      <c r="BL132" t="str">
        <f>IFERROR(INDEX(_names_lookup!$C:$C,MATCH(BK132,_names_lookup!$A:$A,0)),"")</f>
        <v/>
      </c>
      <c r="BM132" t="str">
        <f>IFERROR(INDEX(_names_lookup!$B:$B,MATCH(BK132,_names_lookup!$A:$A,0)),"")</f>
        <v/>
      </c>
      <c r="BS132" t="str">
        <f t="shared" si="32"/>
        <v/>
      </c>
    </row>
    <row r="133" spans="15:71" x14ac:dyDescent="0.2">
      <c r="O133" t="str">
        <f>IFERROR(INDEX(_courses_lookup!$C:$C,MATCH(K133&amp;L133,_courses_lookup!$E:$E,0)),"")</f>
        <v/>
      </c>
      <c r="P133" t="str">
        <f>IFERROR(INDEX(_courses_lookup!$D:$D,MATCH(K133&amp;L133,_courses_lookup!$E:$E,0)),"")</f>
        <v/>
      </c>
      <c r="AG133" t="str">
        <f t="shared" si="22"/>
        <v/>
      </c>
      <c r="AI133" t="str">
        <f t="shared" si="23"/>
        <v/>
      </c>
      <c r="AL133" t="str">
        <f t="shared" si="24"/>
        <v/>
      </c>
      <c r="AN133" t="str">
        <f t="shared" si="25"/>
        <v/>
      </c>
      <c r="AQ133" t="str">
        <f t="shared" si="26"/>
        <v/>
      </c>
      <c r="AR133" t="str">
        <f t="shared" si="27"/>
        <v/>
      </c>
      <c r="AS133" t="str">
        <f t="shared" si="28"/>
        <v/>
      </c>
      <c r="AT133" t="str">
        <f t="shared" si="29"/>
        <v/>
      </c>
      <c r="BG133" t="str">
        <f t="shared" si="30"/>
        <v/>
      </c>
      <c r="BH133" t="str">
        <f t="shared" si="31"/>
        <v/>
      </c>
      <c r="BL133" t="str">
        <f>IFERROR(INDEX(_names_lookup!$C:$C,MATCH(BK133,_names_lookup!$A:$A,0)),"")</f>
        <v/>
      </c>
      <c r="BM133" t="str">
        <f>IFERROR(INDEX(_names_lookup!$B:$B,MATCH(BK133,_names_lookup!$A:$A,0)),"")</f>
        <v/>
      </c>
      <c r="BS133" t="str">
        <f t="shared" si="32"/>
        <v/>
      </c>
    </row>
    <row r="134" spans="15:71" x14ac:dyDescent="0.2">
      <c r="O134" t="str">
        <f>IFERROR(INDEX(_courses_lookup!$C:$C,MATCH(K134&amp;L134,_courses_lookup!$E:$E,0)),"")</f>
        <v/>
      </c>
      <c r="P134" t="str">
        <f>IFERROR(INDEX(_courses_lookup!$D:$D,MATCH(K134&amp;L134,_courses_lookup!$E:$E,0)),"")</f>
        <v/>
      </c>
      <c r="AG134" t="str">
        <f t="shared" si="22"/>
        <v/>
      </c>
      <c r="AI134" t="str">
        <f t="shared" si="23"/>
        <v/>
      </c>
      <c r="AL134" t="str">
        <f t="shared" si="24"/>
        <v/>
      </c>
      <c r="AN134" t="str">
        <f t="shared" si="25"/>
        <v/>
      </c>
      <c r="AQ134" t="str">
        <f t="shared" si="26"/>
        <v/>
      </c>
      <c r="AR134" t="str">
        <f t="shared" si="27"/>
        <v/>
      </c>
      <c r="AS134" t="str">
        <f t="shared" si="28"/>
        <v/>
      </c>
      <c r="AT134" t="str">
        <f t="shared" si="29"/>
        <v/>
      </c>
      <c r="BG134" t="str">
        <f t="shared" si="30"/>
        <v/>
      </c>
      <c r="BH134" t="str">
        <f t="shared" si="31"/>
        <v/>
      </c>
      <c r="BL134" t="str">
        <f>IFERROR(INDEX(_names_lookup!$C:$C,MATCH(BK134,_names_lookup!$A:$A,0)),"")</f>
        <v/>
      </c>
      <c r="BM134" t="str">
        <f>IFERROR(INDEX(_names_lookup!$B:$B,MATCH(BK134,_names_lookup!$A:$A,0)),"")</f>
        <v/>
      </c>
      <c r="BS134" t="str">
        <f t="shared" si="32"/>
        <v/>
      </c>
    </row>
    <row r="135" spans="15:71" x14ac:dyDescent="0.2">
      <c r="O135" t="str">
        <f>IFERROR(INDEX(_courses_lookup!$C:$C,MATCH(K135&amp;L135,_courses_lookup!$E:$E,0)),"")</f>
        <v/>
      </c>
      <c r="P135" t="str">
        <f>IFERROR(INDEX(_courses_lookup!$D:$D,MATCH(K135&amp;L135,_courses_lookup!$E:$E,0)),"")</f>
        <v/>
      </c>
      <c r="AG135" t="str">
        <f t="shared" si="22"/>
        <v/>
      </c>
      <c r="AI135" t="str">
        <f t="shared" si="23"/>
        <v/>
      </c>
      <c r="AL135" t="str">
        <f t="shared" si="24"/>
        <v/>
      </c>
      <c r="AN135" t="str">
        <f t="shared" si="25"/>
        <v/>
      </c>
      <c r="AQ135" t="str">
        <f t="shared" si="26"/>
        <v/>
      </c>
      <c r="AR135" t="str">
        <f t="shared" si="27"/>
        <v/>
      </c>
      <c r="AS135" t="str">
        <f t="shared" si="28"/>
        <v/>
      </c>
      <c r="AT135" t="str">
        <f t="shared" si="29"/>
        <v/>
      </c>
      <c r="BG135" t="str">
        <f t="shared" si="30"/>
        <v/>
      </c>
      <c r="BH135" t="str">
        <f t="shared" si="31"/>
        <v/>
      </c>
      <c r="BL135" t="str">
        <f>IFERROR(INDEX(_names_lookup!$C:$C,MATCH(BK135,_names_lookup!$A:$A,0)),"")</f>
        <v/>
      </c>
      <c r="BM135" t="str">
        <f>IFERROR(INDEX(_names_lookup!$B:$B,MATCH(BK135,_names_lookup!$A:$A,0)),"")</f>
        <v/>
      </c>
      <c r="BS135" t="str">
        <f t="shared" si="32"/>
        <v/>
      </c>
    </row>
    <row r="136" spans="15:71" x14ac:dyDescent="0.2">
      <c r="O136" t="str">
        <f>IFERROR(INDEX(_courses_lookup!$C:$C,MATCH(K136&amp;L136,_courses_lookup!$E:$E,0)),"")</f>
        <v/>
      </c>
      <c r="P136" t="str">
        <f>IFERROR(INDEX(_courses_lookup!$D:$D,MATCH(K136&amp;L136,_courses_lookup!$E:$E,0)),"")</f>
        <v/>
      </c>
      <c r="AG136" t="str">
        <f t="shared" si="22"/>
        <v/>
      </c>
      <c r="AI136" t="str">
        <f t="shared" si="23"/>
        <v/>
      </c>
      <c r="AL136" t="str">
        <f t="shared" si="24"/>
        <v/>
      </c>
      <c r="AN136" t="str">
        <f t="shared" si="25"/>
        <v/>
      </c>
      <c r="AQ136" t="str">
        <f t="shared" si="26"/>
        <v/>
      </c>
      <c r="AR136" t="str">
        <f t="shared" si="27"/>
        <v/>
      </c>
      <c r="AS136" t="str">
        <f t="shared" si="28"/>
        <v/>
      </c>
      <c r="AT136" t="str">
        <f t="shared" si="29"/>
        <v/>
      </c>
      <c r="BG136" t="str">
        <f t="shared" si="30"/>
        <v/>
      </c>
      <c r="BH136" t="str">
        <f t="shared" si="31"/>
        <v/>
      </c>
      <c r="BL136" t="str">
        <f>IFERROR(INDEX(_names_lookup!$C:$C,MATCH(BK136,_names_lookup!$A:$A,0)),"")</f>
        <v/>
      </c>
      <c r="BM136" t="str">
        <f>IFERROR(INDEX(_names_lookup!$B:$B,MATCH(BK136,_names_lookup!$A:$A,0)),"")</f>
        <v/>
      </c>
      <c r="BS136" t="str">
        <f t="shared" si="32"/>
        <v/>
      </c>
    </row>
    <row r="137" spans="15:71" x14ac:dyDescent="0.2">
      <c r="O137" t="str">
        <f>IFERROR(INDEX(_courses_lookup!$C:$C,MATCH(K137&amp;L137,_courses_lookup!$E:$E,0)),"")</f>
        <v/>
      </c>
      <c r="P137" t="str">
        <f>IFERROR(INDEX(_courses_lookup!$D:$D,MATCH(K137&amp;L137,_courses_lookup!$E:$E,0)),"")</f>
        <v/>
      </c>
      <c r="AG137" t="str">
        <f t="shared" si="22"/>
        <v/>
      </c>
      <c r="AI137" t="str">
        <f t="shared" si="23"/>
        <v/>
      </c>
      <c r="AL137" t="str">
        <f t="shared" si="24"/>
        <v/>
      </c>
      <c r="AN137" t="str">
        <f t="shared" si="25"/>
        <v/>
      </c>
      <c r="AQ137" t="str">
        <f t="shared" si="26"/>
        <v/>
      </c>
      <c r="AR137" t="str">
        <f t="shared" si="27"/>
        <v/>
      </c>
      <c r="AS137" t="str">
        <f t="shared" si="28"/>
        <v/>
      </c>
      <c r="AT137" t="str">
        <f t="shared" si="29"/>
        <v/>
      </c>
      <c r="BG137" t="str">
        <f t="shared" si="30"/>
        <v/>
      </c>
      <c r="BH137" t="str">
        <f t="shared" si="31"/>
        <v/>
      </c>
      <c r="BL137" t="str">
        <f>IFERROR(INDEX(_names_lookup!$C:$C,MATCH(BK137,_names_lookup!$A:$A,0)),"")</f>
        <v/>
      </c>
      <c r="BM137" t="str">
        <f>IFERROR(INDEX(_names_lookup!$B:$B,MATCH(BK137,_names_lookup!$A:$A,0)),"")</f>
        <v/>
      </c>
      <c r="BS137" t="str">
        <f t="shared" si="32"/>
        <v/>
      </c>
    </row>
    <row r="138" spans="15:71" x14ac:dyDescent="0.2">
      <c r="O138" t="str">
        <f>IFERROR(INDEX(_courses_lookup!$C:$C,MATCH(K138&amp;L138,_courses_lookup!$E:$E,0)),"")</f>
        <v/>
      </c>
      <c r="P138" t="str">
        <f>IFERROR(INDEX(_courses_lookup!$D:$D,MATCH(K138&amp;L138,_courses_lookup!$E:$E,0)),"")</f>
        <v/>
      </c>
      <c r="AG138" t="str">
        <f t="shared" si="22"/>
        <v/>
      </c>
      <c r="AI138" t="str">
        <f t="shared" si="23"/>
        <v/>
      </c>
      <c r="AL138" t="str">
        <f t="shared" si="24"/>
        <v/>
      </c>
      <c r="AN138" t="str">
        <f t="shared" si="25"/>
        <v/>
      </c>
      <c r="AQ138" t="str">
        <f t="shared" si="26"/>
        <v/>
      </c>
      <c r="AR138" t="str">
        <f t="shared" si="27"/>
        <v/>
      </c>
      <c r="AS138" t="str">
        <f t="shared" si="28"/>
        <v/>
      </c>
      <c r="AT138" t="str">
        <f t="shared" si="29"/>
        <v/>
      </c>
      <c r="BG138" t="str">
        <f t="shared" si="30"/>
        <v/>
      </c>
      <c r="BH138" t="str">
        <f t="shared" si="31"/>
        <v/>
      </c>
      <c r="BL138" t="str">
        <f>IFERROR(INDEX(_names_lookup!$C:$C,MATCH(BK138,_names_lookup!$A:$A,0)),"")</f>
        <v/>
      </c>
      <c r="BM138" t="str">
        <f>IFERROR(INDEX(_names_lookup!$B:$B,MATCH(BK138,_names_lookup!$A:$A,0)),"")</f>
        <v/>
      </c>
      <c r="BS138" t="str">
        <f t="shared" si="32"/>
        <v/>
      </c>
    </row>
    <row r="139" spans="15:71" x14ac:dyDescent="0.2">
      <c r="O139" t="str">
        <f>IFERROR(INDEX(_courses_lookup!$C:$C,MATCH(K139&amp;L139,_courses_lookup!$E:$E,0)),"")</f>
        <v/>
      </c>
      <c r="P139" t="str">
        <f>IFERROR(INDEX(_courses_lookup!$D:$D,MATCH(K139&amp;L139,_courses_lookup!$E:$E,0)),"")</f>
        <v/>
      </c>
      <c r="AG139" t="str">
        <f t="shared" si="22"/>
        <v/>
      </c>
      <c r="AI139" t="str">
        <f t="shared" si="23"/>
        <v/>
      </c>
      <c r="AL139" t="str">
        <f t="shared" si="24"/>
        <v/>
      </c>
      <c r="AN139" t="str">
        <f t="shared" si="25"/>
        <v/>
      </c>
      <c r="AQ139" t="str">
        <f t="shared" si="26"/>
        <v/>
      </c>
      <c r="AR139" t="str">
        <f t="shared" si="27"/>
        <v/>
      </c>
      <c r="AS139" t="str">
        <f t="shared" si="28"/>
        <v/>
      </c>
      <c r="AT139" t="str">
        <f t="shared" si="29"/>
        <v/>
      </c>
      <c r="BG139" t="str">
        <f t="shared" si="30"/>
        <v/>
      </c>
      <c r="BH139" t="str">
        <f t="shared" si="31"/>
        <v/>
      </c>
      <c r="BL139" t="str">
        <f>IFERROR(INDEX(_names_lookup!$C:$C,MATCH(BK139,_names_lookup!$A:$A,0)),"")</f>
        <v/>
      </c>
      <c r="BM139" t="str">
        <f>IFERROR(INDEX(_names_lookup!$B:$B,MATCH(BK139,_names_lookup!$A:$A,0)),"")</f>
        <v/>
      </c>
      <c r="BS139" t="str">
        <f t="shared" si="32"/>
        <v/>
      </c>
    </row>
    <row r="140" spans="15:71" x14ac:dyDescent="0.2">
      <c r="O140" t="str">
        <f>IFERROR(INDEX(_courses_lookup!$C:$C,MATCH(K140&amp;L140,_courses_lookup!$E:$E,0)),"")</f>
        <v/>
      </c>
      <c r="P140" t="str">
        <f>IFERROR(INDEX(_courses_lookup!$D:$D,MATCH(K140&amp;L140,_courses_lookup!$E:$E,0)),"")</f>
        <v/>
      </c>
      <c r="AG140" t="str">
        <f t="shared" si="22"/>
        <v/>
      </c>
      <c r="AI140" t="str">
        <f t="shared" si="23"/>
        <v/>
      </c>
      <c r="AL140" t="str">
        <f t="shared" si="24"/>
        <v/>
      </c>
      <c r="AN140" t="str">
        <f t="shared" si="25"/>
        <v/>
      </c>
      <c r="AQ140" t="str">
        <f t="shared" si="26"/>
        <v/>
      </c>
      <c r="AR140" t="str">
        <f t="shared" si="27"/>
        <v/>
      </c>
      <c r="AS140" t="str">
        <f t="shared" si="28"/>
        <v/>
      </c>
      <c r="AT140" t="str">
        <f t="shared" si="29"/>
        <v/>
      </c>
      <c r="BG140" t="str">
        <f t="shared" si="30"/>
        <v/>
      </c>
      <c r="BH140" t="str">
        <f t="shared" si="31"/>
        <v/>
      </c>
      <c r="BL140" t="str">
        <f>IFERROR(INDEX(_names_lookup!$C:$C,MATCH(BK140,_names_lookup!$A:$A,0)),"")</f>
        <v/>
      </c>
      <c r="BM140" t="str">
        <f>IFERROR(INDEX(_names_lookup!$B:$B,MATCH(BK140,_names_lookup!$A:$A,0)),"")</f>
        <v/>
      </c>
      <c r="BS140" t="str">
        <f t="shared" si="32"/>
        <v/>
      </c>
    </row>
    <row r="141" spans="15:71" x14ac:dyDescent="0.2">
      <c r="O141" t="str">
        <f>IFERROR(INDEX(_courses_lookup!$C:$C,MATCH(K141&amp;L141,_courses_lookup!$E:$E,0)),"")</f>
        <v/>
      </c>
      <c r="P141" t="str">
        <f>IFERROR(INDEX(_courses_lookup!$D:$D,MATCH(K141&amp;L141,_courses_lookup!$E:$E,0)),"")</f>
        <v/>
      </c>
      <c r="AG141" t="str">
        <f t="shared" si="22"/>
        <v/>
      </c>
      <c r="AI141" t="str">
        <f t="shared" si="23"/>
        <v/>
      </c>
      <c r="AL141" t="str">
        <f t="shared" si="24"/>
        <v/>
      </c>
      <c r="AN141" t="str">
        <f t="shared" si="25"/>
        <v/>
      </c>
      <c r="AQ141" t="str">
        <f t="shared" si="26"/>
        <v/>
      </c>
      <c r="AR141" t="str">
        <f t="shared" si="27"/>
        <v/>
      </c>
      <c r="AS141" t="str">
        <f t="shared" si="28"/>
        <v/>
      </c>
      <c r="AT141" t="str">
        <f t="shared" si="29"/>
        <v/>
      </c>
      <c r="BG141" t="str">
        <f t="shared" si="30"/>
        <v/>
      </c>
      <c r="BH141" t="str">
        <f t="shared" si="31"/>
        <v/>
      </c>
      <c r="BL141" t="str">
        <f>IFERROR(INDEX(_names_lookup!$C:$C,MATCH(BK141,_names_lookup!$A:$A,0)),"")</f>
        <v/>
      </c>
      <c r="BM141" t="str">
        <f>IFERROR(INDEX(_names_lookup!$B:$B,MATCH(BK141,_names_lookup!$A:$A,0)),"")</f>
        <v/>
      </c>
      <c r="BS141" t="str">
        <f t="shared" si="32"/>
        <v/>
      </c>
    </row>
    <row r="142" spans="15:71" x14ac:dyDescent="0.2">
      <c r="O142" t="str">
        <f>IFERROR(INDEX(_courses_lookup!$C:$C,MATCH(K142&amp;L142,_courses_lookup!$E:$E,0)),"")</f>
        <v/>
      </c>
      <c r="P142" t="str">
        <f>IFERROR(INDEX(_courses_lookup!$D:$D,MATCH(K142&amp;L142,_courses_lookup!$E:$E,0)),"")</f>
        <v/>
      </c>
      <c r="AG142" t="str">
        <f t="shared" si="22"/>
        <v/>
      </c>
      <c r="AI142" t="str">
        <f t="shared" si="23"/>
        <v/>
      </c>
      <c r="AL142" t="str">
        <f t="shared" si="24"/>
        <v/>
      </c>
      <c r="AN142" t="str">
        <f t="shared" si="25"/>
        <v/>
      </c>
      <c r="AQ142" t="str">
        <f t="shared" si="26"/>
        <v/>
      </c>
      <c r="AR142" t="str">
        <f t="shared" si="27"/>
        <v/>
      </c>
      <c r="AS142" t="str">
        <f t="shared" si="28"/>
        <v/>
      </c>
      <c r="AT142" t="str">
        <f t="shared" si="29"/>
        <v/>
      </c>
      <c r="BG142" t="str">
        <f t="shared" si="30"/>
        <v/>
      </c>
      <c r="BH142" t="str">
        <f t="shared" si="31"/>
        <v/>
      </c>
      <c r="BL142" t="str">
        <f>IFERROR(INDEX(_names_lookup!$C:$C,MATCH(BK142,_names_lookup!$A:$A,0)),"")</f>
        <v/>
      </c>
      <c r="BM142" t="str">
        <f>IFERROR(INDEX(_names_lookup!$B:$B,MATCH(BK142,_names_lookup!$A:$A,0)),"")</f>
        <v/>
      </c>
      <c r="BS142" t="str">
        <f t="shared" si="32"/>
        <v/>
      </c>
    </row>
    <row r="143" spans="15:71" x14ac:dyDescent="0.2">
      <c r="O143" t="str">
        <f>IFERROR(INDEX(_courses_lookup!$C:$C,MATCH(K143&amp;L143,_courses_lookup!$E:$E,0)),"")</f>
        <v/>
      </c>
      <c r="P143" t="str">
        <f>IFERROR(INDEX(_courses_lookup!$D:$D,MATCH(K143&amp;L143,_courses_lookup!$E:$E,0)),"")</f>
        <v/>
      </c>
      <c r="AG143" t="str">
        <f t="shared" si="22"/>
        <v/>
      </c>
      <c r="AI143" t="str">
        <f t="shared" si="23"/>
        <v/>
      </c>
      <c r="AL143" t="str">
        <f t="shared" si="24"/>
        <v/>
      </c>
      <c r="AN143" t="str">
        <f t="shared" si="25"/>
        <v/>
      </c>
      <c r="AQ143" t="str">
        <f t="shared" si="26"/>
        <v/>
      </c>
      <c r="AR143" t="str">
        <f t="shared" si="27"/>
        <v/>
      </c>
      <c r="AS143" t="str">
        <f t="shared" si="28"/>
        <v/>
      </c>
      <c r="AT143" t="str">
        <f t="shared" si="29"/>
        <v/>
      </c>
      <c r="BG143" t="str">
        <f t="shared" si="30"/>
        <v/>
      </c>
      <c r="BH143" t="str">
        <f t="shared" si="31"/>
        <v/>
      </c>
      <c r="BL143" t="str">
        <f>IFERROR(INDEX(_names_lookup!$C:$C,MATCH(BK143,_names_lookup!$A:$A,0)),"")</f>
        <v/>
      </c>
      <c r="BM143" t="str">
        <f>IFERROR(INDEX(_names_lookup!$B:$B,MATCH(BK143,_names_lookup!$A:$A,0)),"")</f>
        <v/>
      </c>
      <c r="BS143" t="str">
        <f t="shared" si="32"/>
        <v/>
      </c>
    </row>
    <row r="144" spans="15:71" x14ac:dyDescent="0.2">
      <c r="O144" t="str">
        <f>IFERROR(INDEX(_courses_lookup!$C:$C,MATCH(K144&amp;L144,_courses_lookup!$E:$E,0)),"")</f>
        <v/>
      </c>
      <c r="P144" t="str">
        <f>IFERROR(INDEX(_courses_lookup!$D:$D,MATCH(K144&amp;L144,_courses_lookup!$E:$E,0)),"")</f>
        <v/>
      </c>
      <c r="AG144" t="str">
        <f t="shared" si="22"/>
        <v/>
      </c>
      <c r="AI144" t="str">
        <f t="shared" si="23"/>
        <v/>
      </c>
      <c r="AL144" t="str">
        <f t="shared" si="24"/>
        <v/>
      </c>
      <c r="AN144" t="str">
        <f t="shared" si="25"/>
        <v/>
      </c>
      <c r="AQ144" t="str">
        <f t="shared" si="26"/>
        <v/>
      </c>
      <c r="AR144" t="str">
        <f t="shared" si="27"/>
        <v/>
      </c>
      <c r="AS144" t="str">
        <f t="shared" si="28"/>
        <v/>
      </c>
      <c r="AT144" t="str">
        <f t="shared" si="29"/>
        <v/>
      </c>
      <c r="BG144" t="str">
        <f t="shared" si="30"/>
        <v/>
      </c>
      <c r="BH144" t="str">
        <f t="shared" si="31"/>
        <v/>
      </c>
      <c r="BL144" t="str">
        <f>IFERROR(INDEX(_names_lookup!$C:$C,MATCH(BK144,_names_lookup!$A:$A,0)),"")</f>
        <v/>
      </c>
      <c r="BM144" t="str">
        <f>IFERROR(INDEX(_names_lookup!$B:$B,MATCH(BK144,_names_lookup!$A:$A,0)),"")</f>
        <v/>
      </c>
      <c r="BS144" t="str">
        <f t="shared" si="32"/>
        <v/>
      </c>
    </row>
    <row r="145" spans="15:71" x14ac:dyDescent="0.2">
      <c r="O145" t="str">
        <f>IFERROR(INDEX(_courses_lookup!$C:$C,MATCH(K145&amp;L145,_courses_lookup!$E:$E,0)),"")</f>
        <v/>
      </c>
      <c r="P145" t="str">
        <f>IFERROR(INDEX(_courses_lookup!$D:$D,MATCH(K145&amp;L145,_courses_lookup!$E:$E,0)),"")</f>
        <v/>
      </c>
      <c r="AG145" t="str">
        <f t="shared" si="22"/>
        <v/>
      </c>
      <c r="AI145" t="str">
        <f t="shared" si="23"/>
        <v/>
      </c>
      <c r="AL145" t="str">
        <f t="shared" si="24"/>
        <v/>
      </c>
      <c r="AN145" t="str">
        <f t="shared" si="25"/>
        <v/>
      </c>
      <c r="AQ145" t="str">
        <f t="shared" si="26"/>
        <v/>
      </c>
      <c r="AR145" t="str">
        <f t="shared" si="27"/>
        <v/>
      </c>
      <c r="AS145" t="str">
        <f t="shared" si="28"/>
        <v/>
      </c>
      <c r="AT145" t="str">
        <f t="shared" si="29"/>
        <v/>
      </c>
      <c r="BG145" t="str">
        <f t="shared" si="30"/>
        <v/>
      </c>
      <c r="BH145" t="str">
        <f t="shared" si="31"/>
        <v/>
      </c>
      <c r="BL145" t="str">
        <f>IFERROR(INDEX(_names_lookup!$C:$C,MATCH(BK145,_names_lookup!$A:$A,0)),"")</f>
        <v/>
      </c>
      <c r="BM145" t="str">
        <f>IFERROR(INDEX(_names_lookup!$B:$B,MATCH(BK145,_names_lookup!$A:$A,0)),"")</f>
        <v/>
      </c>
      <c r="BS145" t="str">
        <f t="shared" si="32"/>
        <v/>
      </c>
    </row>
    <row r="146" spans="15:71" x14ac:dyDescent="0.2">
      <c r="O146" t="str">
        <f>IFERROR(INDEX(_courses_lookup!$C:$C,MATCH(K146&amp;L146,_courses_lookup!$E:$E,0)),"")</f>
        <v/>
      </c>
      <c r="P146" t="str">
        <f>IFERROR(INDEX(_courses_lookup!$D:$D,MATCH(K146&amp;L146,_courses_lookup!$E:$E,0)),"")</f>
        <v/>
      </c>
      <c r="AG146" t="str">
        <f t="shared" si="22"/>
        <v/>
      </c>
      <c r="AI146" t="str">
        <f t="shared" si="23"/>
        <v/>
      </c>
      <c r="AL146" t="str">
        <f t="shared" si="24"/>
        <v/>
      </c>
      <c r="AN146" t="str">
        <f t="shared" si="25"/>
        <v/>
      </c>
      <c r="AQ146" t="str">
        <f t="shared" si="26"/>
        <v/>
      </c>
      <c r="AR146" t="str">
        <f t="shared" si="27"/>
        <v/>
      </c>
      <c r="AS146" t="str">
        <f t="shared" si="28"/>
        <v/>
      </c>
      <c r="AT146" t="str">
        <f t="shared" si="29"/>
        <v/>
      </c>
      <c r="BG146" t="str">
        <f t="shared" si="30"/>
        <v/>
      </c>
      <c r="BH146" t="str">
        <f t="shared" si="31"/>
        <v/>
      </c>
      <c r="BL146" t="str">
        <f>IFERROR(INDEX(_names_lookup!$C:$C,MATCH(BK146,_names_lookup!$A:$A,0)),"")</f>
        <v/>
      </c>
      <c r="BM146" t="str">
        <f>IFERROR(INDEX(_names_lookup!$B:$B,MATCH(BK146,_names_lookup!$A:$A,0)),"")</f>
        <v/>
      </c>
      <c r="BS146" t="str">
        <f t="shared" si="32"/>
        <v/>
      </c>
    </row>
    <row r="147" spans="15:71" x14ac:dyDescent="0.2">
      <c r="O147" t="str">
        <f>IFERROR(INDEX(_courses_lookup!$C:$C,MATCH(K147&amp;L147,_courses_lookup!$E:$E,0)),"")</f>
        <v/>
      </c>
      <c r="P147" t="str">
        <f>IFERROR(INDEX(_courses_lookup!$D:$D,MATCH(K147&amp;L147,_courses_lookup!$E:$E,0)),"")</f>
        <v/>
      </c>
      <c r="AG147" t="str">
        <f t="shared" si="22"/>
        <v/>
      </c>
      <c r="AI147" t="str">
        <f t="shared" si="23"/>
        <v/>
      </c>
      <c r="AL147" t="str">
        <f t="shared" si="24"/>
        <v/>
      </c>
      <c r="AN147" t="str">
        <f t="shared" si="25"/>
        <v/>
      </c>
      <c r="AQ147" t="str">
        <f t="shared" si="26"/>
        <v/>
      </c>
      <c r="AR147" t="str">
        <f t="shared" si="27"/>
        <v/>
      </c>
      <c r="AS147" t="str">
        <f t="shared" si="28"/>
        <v/>
      </c>
      <c r="AT147" t="str">
        <f t="shared" si="29"/>
        <v/>
      </c>
      <c r="BG147" t="str">
        <f t="shared" si="30"/>
        <v/>
      </c>
      <c r="BH147" t="str">
        <f t="shared" si="31"/>
        <v/>
      </c>
      <c r="BL147" t="str">
        <f>IFERROR(INDEX(_names_lookup!$C:$C,MATCH(BK147,_names_lookup!$A:$A,0)),"")</f>
        <v/>
      </c>
      <c r="BM147" t="str">
        <f>IFERROR(INDEX(_names_lookup!$B:$B,MATCH(BK147,_names_lookup!$A:$A,0)),"")</f>
        <v/>
      </c>
      <c r="BS147" t="str">
        <f t="shared" si="32"/>
        <v/>
      </c>
    </row>
    <row r="148" spans="15:71" x14ac:dyDescent="0.2">
      <c r="O148" t="str">
        <f>IFERROR(INDEX(_courses_lookup!$C:$C,MATCH(K148&amp;L148,_courses_lookup!$E:$E,0)),"")</f>
        <v/>
      </c>
      <c r="P148" t="str">
        <f>IFERROR(INDEX(_courses_lookup!$D:$D,MATCH(K148&amp;L148,_courses_lookup!$E:$E,0)),"")</f>
        <v/>
      </c>
      <c r="AG148" t="str">
        <f t="shared" si="22"/>
        <v/>
      </c>
      <c r="AI148" t="str">
        <f t="shared" si="23"/>
        <v/>
      </c>
      <c r="AL148" t="str">
        <f t="shared" si="24"/>
        <v/>
      </c>
      <c r="AN148" t="str">
        <f t="shared" si="25"/>
        <v/>
      </c>
      <c r="AQ148" t="str">
        <f t="shared" si="26"/>
        <v/>
      </c>
      <c r="AR148" t="str">
        <f t="shared" si="27"/>
        <v/>
      </c>
      <c r="AS148" t="str">
        <f t="shared" si="28"/>
        <v/>
      </c>
      <c r="AT148" t="str">
        <f t="shared" si="29"/>
        <v/>
      </c>
      <c r="BG148" t="str">
        <f t="shared" si="30"/>
        <v/>
      </c>
      <c r="BH148" t="str">
        <f t="shared" si="31"/>
        <v/>
      </c>
      <c r="BL148" t="str">
        <f>IFERROR(INDEX(_names_lookup!$C:$C,MATCH(BK148,_names_lookup!$A:$A,0)),"")</f>
        <v/>
      </c>
      <c r="BM148" t="str">
        <f>IFERROR(INDEX(_names_lookup!$B:$B,MATCH(BK148,_names_lookup!$A:$A,0)),"")</f>
        <v/>
      </c>
      <c r="BS148" t="str">
        <f t="shared" si="32"/>
        <v/>
      </c>
    </row>
    <row r="149" spans="15:71" x14ac:dyDescent="0.2">
      <c r="O149" t="str">
        <f>IFERROR(INDEX(_courses_lookup!$C:$C,MATCH(K149&amp;L149,_courses_lookup!$E:$E,0)),"")</f>
        <v/>
      </c>
      <c r="P149" t="str">
        <f>IFERROR(INDEX(_courses_lookup!$D:$D,MATCH(K149&amp;L149,_courses_lookup!$E:$E,0)),"")</f>
        <v/>
      </c>
      <c r="AG149" t="str">
        <f t="shared" si="22"/>
        <v/>
      </c>
      <c r="AI149" t="str">
        <f t="shared" si="23"/>
        <v/>
      </c>
      <c r="AL149" t="str">
        <f t="shared" si="24"/>
        <v/>
      </c>
      <c r="AN149" t="str">
        <f t="shared" si="25"/>
        <v/>
      </c>
      <c r="AQ149" t="str">
        <f t="shared" si="26"/>
        <v/>
      </c>
      <c r="AR149" t="str">
        <f t="shared" si="27"/>
        <v/>
      </c>
      <c r="AS149" t="str">
        <f t="shared" si="28"/>
        <v/>
      </c>
      <c r="AT149" t="str">
        <f t="shared" si="29"/>
        <v/>
      </c>
      <c r="BG149" t="str">
        <f t="shared" si="30"/>
        <v/>
      </c>
      <c r="BH149" t="str">
        <f t="shared" si="31"/>
        <v/>
      </c>
      <c r="BL149" t="str">
        <f>IFERROR(INDEX(_names_lookup!$C:$C,MATCH(BK149,_names_lookup!$A:$A,0)),"")</f>
        <v/>
      </c>
      <c r="BM149" t="str">
        <f>IFERROR(INDEX(_names_lookup!$B:$B,MATCH(BK149,_names_lookup!$A:$A,0)),"")</f>
        <v/>
      </c>
      <c r="BS149" t="str">
        <f t="shared" si="32"/>
        <v/>
      </c>
    </row>
    <row r="150" spans="15:71" x14ac:dyDescent="0.2">
      <c r="O150" t="str">
        <f>IFERROR(INDEX(_courses_lookup!$C:$C,MATCH(K150&amp;L150,_courses_lookup!$E:$E,0)),"")</f>
        <v/>
      </c>
      <c r="P150" t="str">
        <f>IFERROR(INDEX(_courses_lookup!$D:$D,MATCH(K150&amp;L150,_courses_lookup!$E:$E,0)),"")</f>
        <v/>
      </c>
      <c r="AG150" t="str">
        <f t="shared" si="22"/>
        <v/>
      </c>
      <c r="AI150" t="str">
        <f t="shared" si="23"/>
        <v/>
      </c>
      <c r="AL150" t="str">
        <f t="shared" si="24"/>
        <v/>
      </c>
      <c r="AN150" t="str">
        <f t="shared" si="25"/>
        <v/>
      </c>
      <c r="AQ150" t="str">
        <f t="shared" si="26"/>
        <v/>
      </c>
      <c r="AR150" t="str">
        <f t="shared" si="27"/>
        <v/>
      </c>
      <c r="AS150" t="str">
        <f t="shared" si="28"/>
        <v/>
      </c>
      <c r="AT150" t="str">
        <f t="shared" si="29"/>
        <v/>
      </c>
      <c r="BG150" t="str">
        <f t="shared" si="30"/>
        <v/>
      </c>
      <c r="BH150" t="str">
        <f t="shared" si="31"/>
        <v/>
      </c>
      <c r="BL150" t="str">
        <f>IFERROR(INDEX(_names_lookup!$C:$C,MATCH(BK150,_names_lookup!$A:$A,0)),"")</f>
        <v/>
      </c>
      <c r="BM150" t="str">
        <f>IFERROR(INDEX(_names_lookup!$B:$B,MATCH(BK150,_names_lookup!$A:$A,0)),"")</f>
        <v/>
      </c>
      <c r="BS150" t="str">
        <f t="shared" si="32"/>
        <v/>
      </c>
    </row>
    <row r="151" spans="15:71" x14ac:dyDescent="0.2">
      <c r="O151" t="str">
        <f>IFERROR(INDEX(_courses_lookup!$C:$C,MATCH(K151&amp;L151,_courses_lookup!$E:$E,0)),"")</f>
        <v/>
      </c>
      <c r="P151" t="str">
        <f>IFERROR(INDEX(_courses_lookup!$D:$D,MATCH(K151&amp;L151,_courses_lookup!$E:$E,0)),"")</f>
        <v/>
      </c>
      <c r="AG151" t="str">
        <f t="shared" si="22"/>
        <v/>
      </c>
      <c r="AI151" t="str">
        <f t="shared" si="23"/>
        <v/>
      </c>
      <c r="AL151" t="str">
        <f t="shared" si="24"/>
        <v/>
      </c>
      <c r="AN151" t="str">
        <f t="shared" si="25"/>
        <v/>
      </c>
      <c r="AQ151" t="str">
        <f t="shared" si="26"/>
        <v/>
      </c>
      <c r="AR151" t="str">
        <f t="shared" si="27"/>
        <v/>
      </c>
      <c r="AS151" t="str">
        <f t="shared" si="28"/>
        <v/>
      </c>
      <c r="AT151" t="str">
        <f t="shared" si="29"/>
        <v/>
      </c>
      <c r="BG151" t="str">
        <f t="shared" si="30"/>
        <v/>
      </c>
      <c r="BH151" t="str">
        <f t="shared" si="31"/>
        <v/>
      </c>
      <c r="BL151" t="str">
        <f>IFERROR(INDEX(_names_lookup!$C:$C,MATCH(BK151,_names_lookup!$A:$A,0)),"")</f>
        <v/>
      </c>
      <c r="BM151" t="str">
        <f>IFERROR(INDEX(_names_lookup!$B:$B,MATCH(BK151,_names_lookup!$A:$A,0)),"")</f>
        <v/>
      </c>
      <c r="BS151" t="str">
        <f t="shared" si="32"/>
        <v/>
      </c>
    </row>
    <row r="152" spans="15:71" x14ac:dyDescent="0.2">
      <c r="O152" t="str">
        <f>IFERROR(INDEX(_courses_lookup!$C:$C,MATCH(K152&amp;L152,_courses_lookup!$E:$E,0)),"")</f>
        <v/>
      </c>
      <c r="P152" t="str">
        <f>IFERROR(INDEX(_courses_lookup!$D:$D,MATCH(K152&amp;L152,_courses_lookup!$E:$E,0)),"")</f>
        <v/>
      </c>
      <c r="AG152" t="str">
        <f t="shared" si="22"/>
        <v/>
      </c>
      <c r="AI152" t="str">
        <f t="shared" si="23"/>
        <v/>
      </c>
      <c r="AL152" t="str">
        <f t="shared" si="24"/>
        <v/>
      </c>
      <c r="AN152" t="str">
        <f t="shared" si="25"/>
        <v/>
      </c>
      <c r="AQ152" t="str">
        <f t="shared" si="26"/>
        <v/>
      </c>
      <c r="AR152" t="str">
        <f t="shared" si="27"/>
        <v/>
      </c>
      <c r="AS152" t="str">
        <f t="shared" si="28"/>
        <v/>
      </c>
      <c r="AT152" t="str">
        <f t="shared" si="29"/>
        <v/>
      </c>
      <c r="BG152" t="str">
        <f t="shared" si="30"/>
        <v/>
      </c>
      <c r="BH152" t="str">
        <f t="shared" si="31"/>
        <v/>
      </c>
      <c r="BL152" t="str">
        <f>IFERROR(INDEX(_names_lookup!$C:$C,MATCH(BK152,_names_lookup!$A:$A,0)),"")</f>
        <v/>
      </c>
      <c r="BM152" t="str">
        <f>IFERROR(INDEX(_names_lookup!$B:$B,MATCH(BK152,_names_lookup!$A:$A,0)),"")</f>
        <v/>
      </c>
      <c r="BS152" t="str">
        <f t="shared" si="32"/>
        <v/>
      </c>
    </row>
    <row r="153" spans="15:71" x14ac:dyDescent="0.2">
      <c r="O153" t="str">
        <f>IFERROR(INDEX(_courses_lookup!$C:$C,MATCH(K153&amp;L153,_courses_lookup!$E:$E,0)),"")</f>
        <v/>
      </c>
      <c r="P153" t="str">
        <f>IFERROR(INDEX(_courses_lookup!$D:$D,MATCH(K153&amp;L153,_courses_lookup!$E:$E,0)),"")</f>
        <v/>
      </c>
      <c r="AG153" t="str">
        <f t="shared" si="22"/>
        <v/>
      </c>
      <c r="AI153" t="str">
        <f t="shared" si="23"/>
        <v/>
      </c>
      <c r="AL153" t="str">
        <f t="shared" si="24"/>
        <v/>
      </c>
      <c r="AN153" t="str">
        <f t="shared" si="25"/>
        <v/>
      </c>
      <c r="AQ153" t="str">
        <f t="shared" si="26"/>
        <v/>
      </c>
      <c r="AR153" t="str">
        <f t="shared" si="27"/>
        <v/>
      </c>
      <c r="AS153" t="str">
        <f t="shared" si="28"/>
        <v/>
      </c>
      <c r="AT153" t="str">
        <f t="shared" si="29"/>
        <v/>
      </c>
      <c r="BG153" t="str">
        <f t="shared" si="30"/>
        <v/>
      </c>
      <c r="BH153" t="str">
        <f t="shared" si="31"/>
        <v/>
      </c>
      <c r="BL153" t="str">
        <f>IFERROR(INDEX(_names_lookup!$C:$C,MATCH(BK153,_names_lookup!$A:$A,0)),"")</f>
        <v/>
      </c>
      <c r="BM153" t="str">
        <f>IFERROR(INDEX(_names_lookup!$B:$B,MATCH(BK153,_names_lookup!$A:$A,0)),"")</f>
        <v/>
      </c>
      <c r="BS153" t="str">
        <f t="shared" si="32"/>
        <v/>
      </c>
    </row>
    <row r="154" spans="15:71" x14ac:dyDescent="0.2">
      <c r="O154" t="str">
        <f>IFERROR(INDEX(_courses_lookup!$C:$C,MATCH(K154&amp;L154,_courses_lookup!$E:$E,0)),"")</f>
        <v/>
      </c>
      <c r="P154" t="str">
        <f>IFERROR(INDEX(_courses_lookup!$D:$D,MATCH(K154&amp;L154,_courses_lookup!$E:$E,0)),"")</f>
        <v/>
      </c>
      <c r="AG154" t="str">
        <f t="shared" si="22"/>
        <v/>
      </c>
      <c r="AI154" t="str">
        <f t="shared" si="23"/>
        <v/>
      </c>
      <c r="AL154" t="str">
        <f t="shared" si="24"/>
        <v/>
      </c>
      <c r="AN154" t="str">
        <f t="shared" si="25"/>
        <v/>
      </c>
      <c r="AQ154" t="str">
        <f t="shared" si="26"/>
        <v/>
      </c>
      <c r="AR154" t="str">
        <f t="shared" si="27"/>
        <v/>
      </c>
      <c r="AS154" t="str">
        <f t="shared" si="28"/>
        <v/>
      </c>
      <c r="AT154" t="str">
        <f t="shared" si="29"/>
        <v/>
      </c>
      <c r="BG154" t="str">
        <f t="shared" si="30"/>
        <v/>
      </c>
      <c r="BH154" t="str">
        <f t="shared" si="31"/>
        <v/>
      </c>
      <c r="BL154" t="str">
        <f>IFERROR(INDEX(_names_lookup!$C:$C,MATCH(BK154,_names_lookup!$A:$A,0)),"")</f>
        <v/>
      </c>
      <c r="BM154" t="str">
        <f>IFERROR(INDEX(_names_lookup!$B:$B,MATCH(BK154,_names_lookup!$A:$A,0)),"")</f>
        <v/>
      </c>
      <c r="BS154" t="str">
        <f t="shared" si="32"/>
        <v/>
      </c>
    </row>
    <row r="155" spans="15:71" x14ac:dyDescent="0.2">
      <c r="O155" t="str">
        <f>IFERROR(INDEX(_courses_lookup!$C:$C,MATCH(K155&amp;L155,_courses_lookup!$E:$E,0)),"")</f>
        <v/>
      </c>
      <c r="P155" t="str">
        <f>IFERROR(INDEX(_courses_lookup!$D:$D,MATCH(K155&amp;L155,_courses_lookup!$E:$E,0)),"")</f>
        <v/>
      </c>
      <c r="AG155" t="str">
        <f t="shared" si="22"/>
        <v/>
      </c>
      <c r="AI155" t="str">
        <f t="shared" si="23"/>
        <v/>
      </c>
      <c r="AL155" t="str">
        <f t="shared" si="24"/>
        <v/>
      </c>
      <c r="AN155" t="str">
        <f t="shared" si="25"/>
        <v/>
      </c>
      <c r="AQ155" t="str">
        <f t="shared" si="26"/>
        <v/>
      </c>
      <c r="AR155" t="str">
        <f t="shared" si="27"/>
        <v/>
      </c>
      <c r="AS155" t="str">
        <f t="shared" si="28"/>
        <v/>
      </c>
      <c r="AT155" t="str">
        <f t="shared" si="29"/>
        <v/>
      </c>
      <c r="BG155" t="str">
        <f t="shared" si="30"/>
        <v/>
      </c>
      <c r="BH155" t="str">
        <f t="shared" si="31"/>
        <v/>
      </c>
      <c r="BL155" t="str">
        <f>IFERROR(INDEX(_names_lookup!$C:$C,MATCH(BK155,_names_lookup!$A:$A,0)),"")</f>
        <v/>
      </c>
      <c r="BM155" t="str">
        <f>IFERROR(INDEX(_names_lookup!$B:$B,MATCH(BK155,_names_lookup!$A:$A,0)),"")</f>
        <v/>
      </c>
      <c r="BS155" t="str">
        <f t="shared" si="32"/>
        <v/>
      </c>
    </row>
    <row r="156" spans="15:71" x14ac:dyDescent="0.2">
      <c r="O156" t="str">
        <f>IFERROR(INDEX(_courses_lookup!$C:$C,MATCH(K156&amp;L156,_courses_lookup!$E:$E,0)),"")</f>
        <v/>
      </c>
      <c r="P156" t="str">
        <f>IFERROR(INDEX(_courses_lookup!$D:$D,MATCH(K156&amp;L156,_courses_lookup!$E:$E,0)),"")</f>
        <v/>
      </c>
      <c r="AG156" t="str">
        <f t="shared" si="22"/>
        <v/>
      </c>
      <c r="AI156" t="str">
        <f t="shared" si="23"/>
        <v/>
      </c>
      <c r="AL156" t="str">
        <f t="shared" si="24"/>
        <v/>
      </c>
      <c r="AN156" t="str">
        <f t="shared" si="25"/>
        <v/>
      </c>
      <c r="AQ156" t="str">
        <f t="shared" si="26"/>
        <v/>
      </c>
      <c r="AR156" t="str">
        <f t="shared" si="27"/>
        <v/>
      </c>
      <c r="AS156" t="str">
        <f t="shared" si="28"/>
        <v/>
      </c>
      <c r="AT156" t="str">
        <f t="shared" si="29"/>
        <v/>
      </c>
      <c r="BG156" t="str">
        <f t="shared" si="30"/>
        <v/>
      </c>
      <c r="BH156" t="str">
        <f t="shared" si="31"/>
        <v/>
      </c>
      <c r="BL156" t="str">
        <f>IFERROR(INDEX(_names_lookup!$C:$C,MATCH(BK156,_names_lookup!$A:$A,0)),"")</f>
        <v/>
      </c>
      <c r="BM156" t="str">
        <f>IFERROR(INDEX(_names_lookup!$B:$B,MATCH(BK156,_names_lookup!$A:$A,0)),"")</f>
        <v/>
      </c>
      <c r="BS156" t="str">
        <f t="shared" si="32"/>
        <v/>
      </c>
    </row>
    <row r="157" spans="15:71" x14ac:dyDescent="0.2">
      <c r="O157" t="str">
        <f>IFERROR(INDEX(_courses_lookup!$C:$C,MATCH(K157&amp;L157,_courses_lookup!$E:$E,0)),"")</f>
        <v/>
      </c>
      <c r="P157" t="str">
        <f>IFERROR(INDEX(_courses_lookup!$D:$D,MATCH(K157&amp;L157,_courses_lookup!$E:$E,0)),"")</f>
        <v/>
      </c>
      <c r="AG157" t="str">
        <f t="shared" si="22"/>
        <v/>
      </c>
      <c r="AI157" t="str">
        <f t="shared" si="23"/>
        <v/>
      </c>
      <c r="AL157" t="str">
        <f t="shared" si="24"/>
        <v/>
      </c>
      <c r="AN157" t="str">
        <f t="shared" si="25"/>
        <v/>
      </c>
      <c r="AQ157" t="str">
        <f t="shared" si="26"/>
        <v/>
      </c>
      <c r="AR157" t="str">
        <f t="shared" si="27"/>
        <v/>
      </c>
      <c r="AS157" t="str">
        <f t="shared" si="28"/>
        <v/>
      </c>
      <c r="AT157" t="str">
        <f t="shared" si="29"/>
        <v/>
      </c>
      <c r="BG157" t="str">
        <f t="shared" si="30"/>
        <v/>
      </c>
      <c r="BH157" t="str">
        <f t="shared" si="31"/>
        <v/>
      </c>
      <c r="BL157" t="str">
        <f>IFERROR(INDEX(_names_lookup!$C:$C,MATCH(BK157,_names_lookup!$A:$A,0)),"")</f>
        <v/>
      </c>
      <c r="BM157" t="str">
        <f>IFERROR(INDEX(_names_lookup!$B:$B,MATCH(BK157,_names_lookup!$A:$A,0)),"")</f>
        <v/>
      </c>
      <c r="BS157" t="str">
        <f t="shared" si="32"/>
        <v/>
      </c>
    </row>
    <row r="158" spans="15:71" x14ac:dyDescent="0.2">
      <c r="O158" t="str">
        <f>IFERROR(INDEX(_courses_lookup!$C:$C,MATCH(K158&amp;L158,_courses_lookup!$E:$E,0)),"")</f>
        <v/>
      </c>
      <c r="P158" t="str">
        <f>IFERROR(INDEX(_courses_lookup!$D:$D,MATCH(K158&amp;L158,_courses_lookup!$E:$E,0)),"")</f>
        <v/>
      </c>
      <c r="AG158" t="str">
        <f t="shared" si="22"/>
        <v/>
      </c>
      <c r="AI158" t="str">
        <f t="shared" si="23"/>
        <v/>
      </c>
      <c r="AL158" t="str">
        <f t="shared" si="24"/>
        <v/>
      </c>
      <c r="AN158" t="str">
        <f t="shared" si="25"/>
        <v/>
      </c>
      <c r="AQ158" t="str">
        <f t="shared" si="26"/>
        <v/>
      </c>
      <c r="AR158" t="str">
        <f t="shared" si="27"/>
        <v/>
      </c>
      <c r="AS158" t="str">
        <f t="shared" si="28"/>
        <v/>
      </c>
      <c r="AT158" t="str">
        <f t="shared" si="29"/>
        <v/>
      </c>
      <c r="BG158" t="str">
        <f t="shared" si="30"/>
        <v/>
      </c>
      <c r="BH158" t="str">
        <f t="shared" si="31"/>
        <v/>
      </c>
      <c r="BL158" t="str">
        <f>IFERROR(INDEX(_names_lookup!$C:$C,MATCH(BK158,_names_lookup!$A:$A,0)),"")</f>
        <v/>
      </c>
      <c r="BM158" t="str">
        <f>IFERROR(INDEX(_names_lookup!$B:$B,MATCH(BK158,_names_lookup!$A:$A,0)),"")</f>
        <v/>
      </c>
      <c r="BS158" t="str">
        <f t="shared" si="32"/>
        <v/>
      </c>
    </row>
    <row r="159" spans="15:71" x14ac:dyDescent="0.2">
      <c r="O159" t="str">
        <f>IFERROR(INDEX(_courses_lookup!$C:$C,MATCH(K159&amp;L159,_courses_lookup!$E:$E,0)),"")</f>
        <v/>
      </c>
      <c r="P159" t="str">
        <f>IFERROR(INDEX(_courses_lookup!$D:$D,MATCH(K159&amp;L159,_courses_lookup!$E:$E,0)),"")</f>
        <v/>
      </c>
      <c r="AG159" t="str">
        <f t="shared" si="22"/>
        <v/>
      </c>
      <c r="AI159" t="str">
        <f t="shared" si="23"/>
        <v/>
      </c>
      <c r="AL159" t="str">
        <f t="shared" si="24"/>
        <v/>
      </c>
      <c r="AN159" t="str">
        <f t="shared" si="25"/>
        <v/>
      </c>
      <c r="AQ159" t="str">
        <f t="shared" si="26"/>
        <v/>
      </c>
      <c r="AR159" t="str">
        <f t="shared" si="27"/>
        <v/>
      </c>
      <c r="AS159" t="str">
        <f t="shared" si="28"/>
        <v/>
      </c>
      <c r="AT159" t="str">
        <f t="shared" si="29"/>
        <v/>
      </c>
      <c r="BG159" t="str">
        <f t="shared" si="30"/>
        <v/>
      </c>
      <c r="BH159" t="str">
        <f t="shared" si="31"/>
        <v/>
      </c>
      <c r="BL159" t="str">
        <f>IFERROR(INDEX(_names_lookup!$C:$C,MATCH(BK159,_names_lookup!$A:$A,0)),"")</f>
        <v/>
      </c>
      <c r="BM159" t="str">
        <f>IFERROR(INDEX(_names_lookup!$B:$B,MATCH(BK159,_names_lookup!$A:$A,0)),"")</f>
        <v/>
      </c>
      <c r="BS159" t="str">
        <f t="shared" si="32"/>
        <v/>
      </c>
    </row>
    <row r="160" spans="15:71" x14ac:dyDescent="0.2">
      <c r="O160" t="str">
        <f>IFERROR(INDEX(_courses_lookup!$C:$C,MATCH(K160&amp;L160,_courses_lookup!$E:$E,0)),"")</f>
        <v/>
      </c>
      <c r="P160" t="str">
        <f>IFERROR(INDEX(_courses_lookup!$D:$D,MATCH(K160&amp;L160,_courses_lookup!$E:$E,0)),"")</f>
        <v/>
      </c>
      <c r="AG160" t="str">
        <f t="shared" si="22"/>
        <v/>
      </c>
      <c r="AI160" t="str">
        <f t="shared" si="23"/>
        <v/>
      </c>
      <c r="AL160" t="str">
        <f t="shared" si="24"/>
        <v/>
      </c>
      <c r="AN160" t="str">
        <f t="shared" si="25"/>
        <v/>
      </c>
      <c r="AQ160" t="str">
        <f t="shared" si="26"/>
        <v/>
      </c>
      <c r="AR160" t="str">
        <f t="shared" si="27"/>
        <v/>
      </c>
      <c r="AS160" t="str">
        <f t="shared" si="28"/>
        <v/>
      </c>
      <c r="AT160" t="str">
        <f t="shared" si="29"/>
        <v/>
      </c>
      <c r="BG160" t="str">
        <f t="shared" si="30"/>
        <v/>
      </c>
      <c r="BH160" t="str">
        <f t="shared" si="31"/>
        <v/>
      </c>
      <c r="BL160" t="str">
        <f>IFERROR(INDEX(_names_lookup!$C:$C,MATCH(BK160,_names_lookup!$A:$A,0)),"")</f>
        <v/>
      </c>
      <c r="BM160" t="str">
        <f>IFERROR(INDEX(_names_lookup!$B:$B,MATCH(BK160,_names_lookup!$A:$A,0)),"")</f>
        <v/>
      </c>
      <c r="BS160" t="str">
        <f t="shared" si="32"/>
        <v/>
      </c>
    </row>
    <row r="161" spans="15:71" x14ac:dyDescent="0.2">
      <c r="O161" t="str">
        <f>IFERROR(INDEX(_courses_lookup!$C:$C,MATCH(K161&amp;L161,_courses_lookup!$E:$E,0)),"")</f>
        <v/>
      </c>
      <c r="P161" t="str">
        <f>IFERROR(INDEX(_courses_lookup!$D:$D,MATCH(K161&amp;L161,_courses_lookup!$E:$E,0)),"")</f>
        <v/>
      </c>
      <c r="AG161" t="str">
        <f t="shared" si="22"/>
        <v/>
      </c>
      <c r="AI161" t="str">
        <f t="shared" si="23"/>
        <v/>
      </c>
      <c r="AL161" t="str">
        <f t="shared" si="24"/>
        <v/>
      </c>
      <c r="AN161" t="str">
        <f t="shared" si="25"/>
        <v/>
      </c>
      <c r="AQ161" t="str">
        <f t="shared" si="26"/>
        <v/>
      </c>
      <c r="AR161" t="str">
        <f t="shared" si="27"/>
        <v/>
      </c>
      <c r="AS161" t="str">
        <f t="shared" si="28"/>
        <v/>
      </c>
      <c r="AT161" t="str">
        <f t="shared" si="29"/>
        <v/>
      </c>
      <c r="BG161" t="str">
        <f t="shared" si="30"/>
        <v/>
      </c>
      <c r="BH161" t="str">
        <f t="shared" si="31"/>
        <v/>
      </c>
      <c r="BL161" t="str">
        <f>IFERROR(INDEX(_names_lookup!$C:$C,MATCH(BK161,_names_lookup!$A:$A,0)),"")</f>
        <v/>
      </c>
      <c r="BM161" t="str">
        <f>IFERROR(INDEX(_names_lookup!$B:$B,MATCH(BK161,_names_lookup!$A:$A,0)),"")</f>
        <v/>
      </c>
      <c r="BS161" t="str">
        <f t="shared" si="32"/>
        <v/>
      </c>
    </row>
    <row r="162" spans="15:71" x14ac:dyDescent="0.2">
      <c r="O162" t="str">
        <f>IFERROR(INDEX(_courses_lookup!$C:$C,MATCH(K162&amp;L162,_courses_lookup!$E:$E,0)),"")</f>
        <v/>
      </c>
      <c r="P162" t="str">
        <f>IFERROR(INDEX(_courses_lookup!$D:$D,MATCH(K162&amp;L162,_courses_lookup!$E:$E,0)),"")</f>
        <v/>
      </c>
      <c r="AG162" t="str">
        <f t="shared" si="22"/>
        <v/>
      </c>
      <c r="AI162" t="str">
        <f t="shared" si="23"/>
        <v/>
      </c>
      <c r="AL162" t="str">
        <f t="shared" si="24"/>
        <v/>
      </c>
      <c r="AN162" t="str">
        <f t="shared" si="25"/>
        <v/>
      </c>
      <c r="AQ162" t="str">
        <f t="shared" si="26"/>
        <v/>
      </c>
      <c r="AR162" t="str">
        <f t="shared" si="27"/>
        <v/>
      </c>
      <c r="AS162" t="str">
        <f t="shared" si="28"/>
        <v/>
      </c>
      <c r="AT162" t="str">
        <f t="shared" si="29"/>
        <v/>
      </c>
      <c r="BG162" t="str">
        <f t="shared" si="30"/>
        <v/>
      </c>
      <c r="BH162" t="str">
        <f t="shared" si="31"/>
        <v/>
      </c>
      <c r="BL162" t="str">
        <f>IFERROR(INDEX(_names_lookup!$C:$C,MATCH(BK162,_names_lookup!$A:$A,0)),"")</f>
        <v/>
      </c>
      <c r="BM162" t="str">
        <f>IFERROR(INDEX(_names_lookup!$B:$B,MATCH(BK162,_names_lookup!$A:$A,0)),"")</f>
        <v/>
      </c>
      <c r="BS162" t="str">
        <f t="shared" si="32"/>
        <v/>
      </c>
    </row>
    <row r="163" spans="15:71" x14ac:dyDescent="0.2">
      <c r="O163" t="str">
        <f>IFERROR(INDEX(_courses_lookup!$C:$C,MATCH(K163&amp;L163,_courses_lookup!$E:$E,0)),"")</f>
        <v/>
      </c>
      <c r="P163" t="str">
        <f>IFERROR(INDEX(_courses_lookup!$D:$D,MATCH(K163&amp;L163,_courses_lookup!$E:$E,0)),"")</f>
        <v/>
      </c>
      <c r="AG163" t="str">
        <f t="shared" si="22"/>
        <v/>
      </c>
      <c r="AI163" t="str">
        <f t="shared" si="23"/>
        <v/>
      </c>
      <c r="AL163" t="str">
        <f t="shared" si="24"/>
        <v/>
      </c>
      <c r="AN163" t="str">
        <f t="shared" si="25"/>
        <v/>
      </c>
      <c r="AQ163" t="str">
        <f t="shared" si="26"/>
        <v/>
      </c>
      <c r="AR163" t="str">
        <f t="shared" si="27"/>
        <v/>
      </c>
      <c r="AS163" t="str">
        <f t="shared" si="28"/>
        <v/>
      </c>
      <c r="AT163" t="str">
        <f t="shared" si="29"/>
        <v/>
      </c>
      <c r="BG163" t="str">
        <f t="shared" si="30"/>
        <v/>
      </c>
      <c r="BH163" t="str">
        <f t="shared" si="31"/>
        <v/>
      </c>
      <c r="BL163" t="str">
        <f>IFERROR(INDEX(_names_lookup!$C:$C,MATCH(BK163,_names_lookup!$A:$A,0)),"")</f>
        <v/>
      </c>
      <c r="BM163" t="str">
        <f>IFERROR(INDEX(_names_lookup!$B:$B,MATCH(BK163,_names_lookup!$A:$A,0)),"")</f>
        <v/>
      </c>
      <c r="BS163" t="str">
        <f t="shared" si="32"/>
        <v/>
      </c>
    </row>
    <row r="164" spans="15:71" x14ac:dyDescent="0.2">
      <c r="O164" t="str">
        <f>IFERROR(INDEX(_courses_lookup!$C:$C,MATCH(K164&amp;L164,_courses_lookup!$E:$E,0)),"")</f>
        <v/>
      </c>
      <c r="P164" t="str">
        <f>IFERROR(INDEX(_courses_lookup!$D:$D,MATCH(K164&amp;L164,_courses_lookup!$E:$E,0)),"")</f>
        <v/>
      </c>
      <c r="AG164" t="str">
        <f t="shared" si="22"/>
        <v/>
      </c>
      <c r="AI164" t="str">
        <f t="shared" si="23"/>
        <v/>
      </c>
      <c r="AL164" t="str">
        <f t="shared" si="24"/>
        <v/>
      </c>
      <c r="AN164" t="str">
        <f t="shared" si="25"/>
        <v/>
      </c>
      <c r="AQ164" t="str">
        <f t="shared" si="26"/>
        <v/>
      </c>
      <c r="AR164" t="str">
        <f t="shared" si="27"/>
        <v/>
      </c>
      <c r="AS164" t="str">
        <f t="shared" si="28"/>
        <v/>
      </c>
      <c r="AT164" t="str">
        <f t="shared" si="29"/>
        <v/>
      </c>
      <c r="BG164" t="str">
        <f t="shared" si="30"/>
        <v/>
      </c>
      <c r="BH164" t="str">
        <f t="shared" si="31"/>
        <v/>
      </c>
      <c r="BL164" t="str">
        <f>IFERROR(INDEX(_names_lookup!$C:$C,MATCH(BK164,_names_lookup!$A:$A,0)),"")</f>
        <v/>
      </c>
      <c r="BM164" t="str">
        <f>IFERROR(INDEX(_names_lookup!$B:$B,MATCH(BK164,_names_lookup!$A:$A,0)),"")</f>
        <v/>
      </c>
      <c r="BS164" t="str">
        <f t="shared" si="32"/>
        <v/>
      </c>
    </row>
    <row r="165" spans="15:71" x14ac:dyDescent="0.2">
      <c r="O165" t="str">
        <f>IFERROR(INDEX(_courses_lookup!$C:$C,MATCH(K165&amp;L165,_courses_lookup!$E:$E,0)),"")</f>
        <v/>
      </c>
      <c r="P165" t="str">
        <f>IFERROR(INDEX(_courses_lookup!$D:$D,MATCH(K165&amp;L165,_courses_lookup!$E:$E,0)),"")</f>
        <v/>
      </c>
      <c r="AG165" t="str">
        <f t="shared" si="22"/>
        <v/>
      </c>
      <c r="AI165" t="str">
        <f t="shared" si="23"/>
        <v/>
      </c>
      <c r="AL165" t="str">
        <f t="shared" si="24"/>
        <v/>
      </c>
      <c r="AN165" t="str">
        <f t="shared" si="25"/>
        <v/>
      </c>
      <c r="AQ165" t="str">
        <f t="shared" si="26"/>
        <v/>
      </c>
      <c r="AR165" t="str">
        <f t="shared" si="27"/>
        <v/>
      </c>
      <c r="AS165" t="str">
        <f t="shared" si="28"/>
        <v/>
      </c>
      <c r="AT165" t="str">
        <f t="shared" si="29"/>
        <v/>
      </c>
      <c r="BG165" t="str">
        <f t="shared" si="30"/>
        <v/>
      </c>
      <c r="BH165" t="str">
        <f t="shared" si="31"/>
        <v/>
      </c>
      <c r="BL165" t="str">
        <f>IFERROR(INDEX(_names_lookup!$C:$C,MATCH(BK165,_names_lookup!$A:$A,0)),"")</f>
        <v/>
      </c>
      <c r="BM165" t="str">
        <f>IFERROR(INDEX(_names_lookup!$B:$B,MATCH(BK165,_names_lookup!$A:$A,0)),"")</f>
        <v/>
      </c>
      <c r="BS165" t="str">
        <f t="shared" si="32"/>
        <v/>
      </c>
    </row>
    <row r="166" spans="15:71" x14ac:dyDescent="0.2">
      <c r="O166" t="str">
        <f>IFERROR(INDEX(_courses_lookup!$C:$C,MATCH(K166&amp;L166,_courses_lookup!$E:$E,0)),"")</f>
        <v/>
      </c>
      <c r="P166" t="str">
        <f>IFERROR(INDEX(_courses_lookup!$D:$D,MATCH(K166&amp;L166,_courses_lookup!$E:$E,0)),"")</f>
        <v/>
      </c>
      <c r="AG166" t="str">
        <f t="shared" si="22"/>
        <v/>
      </c>
      <c r="AI166" t="str">
        <f t="shared" si="23"/>
        <v/>
      </c>
      <c r="AL166" t="str">
        <f t="shared" si="24"/>
        <v/>
      </c>
      <c r="AN166" t="str">
        <f t="shared" si="25"/>
        <v/>
      </c>
      <c r="AQ166" t="str">
        <f t="shared" si="26"/>
        <v/>
      </c>
      <c r="AR166" t="str">
        <f t="shared" si="27"/>
        <v/>
      </c>
      <c r="AS166" t="str">
        <f t="shared" si="28"/>
        <v/>
      </c>
      <c r="AT166" t="str">
        <f t="shared" si="29"/>
        <v/>
      </c>
      <c r="BG166" t="str">
        <f t="shared" si="30"/>
        <v/>
      </c>
      <c r="BH166" t="str">
        <f t="shared" si="31"/>
        <v/>
      </c>
      <c r="BL166" t="str">
        <f>IFERROR(INDEX(_names_lookup!$C:$C,MATCH(BK166,_names_lookup!$A:$A,0)),"")</f>
        <v/>
      </c>
      <c r="BM166" t="str">
        <f>IFERROR(INDEX(_names_lookup!$B:$B,MATCH(BK166,_names_lookup!$A:$A,0)),"")</f>
        <v/>
      </c>
      <c r="BS166" t="str">
        <f t="shared" si="32"/>
        <v/>
      </c>
    </row>
    <row r="167" spans="15:71" x14ac:dyDescent="0.2">
      <c r="O167" t="str">
        <f>IFERROR(INDEX(_courses_lookup!$C:$C,MATCH(K167&amp;L167,_courses_lookup!$E:$E,0)),"")</f>
        <v/>
      </c>
      <c r="P167" t="str">
        <f>IFERROR(INDEX(_courses_lookup!$D:$D,MATCH(K167&amp;L167,_courses_lookup!$E:$E,0)),"")</f>
        <v/>
      </c>
      <c r="AG167" t="str">
        <f t="shared" si="22"/>
        <v/>
      </c>
      <c r="AI167" t="str">
        <f t="shared" si="23"/>
        <v/>
      </c>
      <c r="AL167" t="str">
        <f t="shared" si="24"/>
        <v/>
      </c>
      <c r="AN167" t="str">
        <f t="shared" si="25"/>
        <v/>
      </c>
      <c r="AQ167" t="str">
        <f t="shared" si="26"/>
        <v/>
      </c>
      <c r="AR167" t="str">
        <f t="shared" si="27"/>
        <v/>
      </c>
      <c r="AS167" t="str">
        <f t="shared" si="28"/>
        <v/>
      </c>
      <c r="AT167" t="str">
        <f t="shared" si="29"/>
        <v/>
      </c>
      <c r="BG167" t="str">
        <f t="shared" si="30"/>
        <v/>
      </c>
      <c r="BH167" t="str">
        <f t="shared" si="31"/>
        <v/>
      </c>
      <c r="BL167" t="str">
        <f>IFERROR(INDEX(_names_lookup!$C:$C,MATCH(BK167,_names_lookup!$A:$A,0)),"")</f>
        <v/>
      </c>
      <c r="BM167" t="str">
        <f>IFERROR(INDEX(_names_lookup!$B:$B,MATCH(BK167,_names_lookup!$A:$A,0)),"")</f>
        <v/>
      </c>
      <c r="BS167" t="str">
        <f t="shared" si="32"/>
        <v/>
      </c>
    </row>
    <row r="168" spans="15:71" x14ac:dyDescent="0.2">
      <c r="O168" t="str">
        <f>IFERROR(INDEX(_courses_lookup!$C:$C,MATCH(K168&amp;L168,_courses_lookup!$E:$E,0)),"")</f>
        <v/>
      </c>
      <c r="P168" t="str">
        <f>IFERROR(INDEX(_courses_lookup!$D:$D,MATCH(K168&amp;L168,_courses_lookup!$E:$E,0)),"")</f>
        <v/>
      </c>
      <c r="AG168" t="str">
        <f t="shared" si="22"/>
        <v/>
      </c>
      <c r="AI168" t="str">
        <f t="shared" si="23"/>
        <v/>
      </c>
      <c r="AL168" t="str">
        <f t="shared" si="24"/>
        <v/>
      </c>
      <c r="AN168" t="str">
        <f t="shared" si="25"/>
        <v/>
      </c>
      <c r="AQ168" t="str">
        <f t="shared" si="26"/>
        <v/>
      </c>
      <c r="AR168" t="str">
        <f t="shared" si="27"/>
        <v/>
      </c>
      <c r="AS168" t="str">
        <f t="shared" si="28"/>
        <v/>
      </c>
      <c r="AT168" t="str">
        <f t="shared" si="29"/>
        <v/>
      </c>
      <c r="BG168" t="str">
        <f t="shared" si="30"/>
        <v/>
      </c>
      <c r="BH168" t="str">
        <f t="shared" si="31"/>
        <v/>
      </c>
      <c r="BL168" t="str">
        <f>IFERROR(INDEX(_names_lookup!$C:$C,MATCH(BK168,_names_lookup!$A:$A,0)),"")</f>
        <v/>
      </c>
      <c r="BM168" t="str">
        <f>IFERROR(INDEX(_names_lookup!$B:$B,MATCH(BK168,_names_lookup!$A:$A,0)),"")</f>
        <v/>
      </c>
      <c r="BS168" t="str">
        <f t="shared" si="32"/>
        <v/>
      </c>
    </row>
    <row r="169" spans="15:71" x14ac:dyDescent="0.2">
      <c r="O169" t="str">
        <f>IFERROR(INDEX(_courses_lookup!$C:$C,MATCH(K169&amp;L169,_courses_lookup!$E:$E,0)),"")</f>
        <v/>
      </c>
      <c r="P169" t="str">
        <f>IFERROR(INDEX(_courses_lookup!$D:$D,MATCH(K169&amp;L169,_courses_lookup!$E:$E,0)),"")</f>
        <v/>
      </c>
      <c r="AG169" t="str">
        <f t="shared" si="22"/>
        <v/>
      </c>
      <c r="AI169" t="str">
        <f t="shared" si="23"/>
        <v/>
      </c>
      <c r="AL169" t="str">
        <f t="shared" si="24"/>
        <v/>
      </c>
      <c r="AN169" t="str">
        <f t="shared" si="25"/>
        <v/>
      </c>
      <c r="AQ169" t="str">
        <f t="shared" si="26"/>
        <v/>
      </c>
      <c r="AR169" t="str">
        <f t="shared" si="27"/>
        <v/>
      </c>
      <c r="AS169" t="str">
        <f t="shared" si="28"/>
        <v/>
      </c>
      <c r="AT169" t="str">
        <f t="shared" si="29"/>
        <v/>
      </c>
      <c r="BG169" t="str">
        <f t="shared" si="30"/>
        <v/>
      </c>
      <c r="BH169" t="str">
        <f t="shared" si="31"/>
        <v/>
      </c>
      <c r="BL169" t="str">
        <f>IFERROR(INDEX(_names_lookup!$C:$C,MATCH(BK169,_names_lookup!$A:$A,0)),"")</f>
        <v/>
      </c>
      <c r="BM169" t="str">
        <f>IFERROR(INDEX(_names_lookup!$B:$B,MATCH(BK169,_names_lookup!$A:$A,0)),"")</f>
        <v/>
      </c>
      <c r="BS169" t="str">
        <f t="shared" si="32"/>
        <v/>
      </c>
    </row>
    <row r="170" spans="15:71" x14ac:dyDescent="0.2">
      <c r="O170" t="str">
        <f>IFERROR(INDEX(_courses_lookup!$C:$C,MATCH(K170&amp;L170,_courses_lookup!$E:$E,0)),"")</f>
        <v/>
      </c>
      <c r="P170" t="str">
        <f>IFERROR(INDEX(_courses_lookup!$D:$D,MATCH(K170&amp;L170,_courses_lookup!$E:$E,0)),"")</f>
        <v/>
      </c>
      <c r="AG170" t="str">
        <f t="shared" si="22"/>
        <v/>
      </c>
      <c r="AI170" t="str">
        <f t="shared" si="23"/>
        <v/>
      </c>
      <c r="AL170" t="str">
        <f t="shared" si="24"/>
        <v/>
      </c>
      <c r="AN170" t="str">
        <f t="shared" si="25"/>
        <v/>
      </c>
      <c r="AQ170" t="str">
        <f t="shared" si="26"/>
        <v/>
      </c>
      <c r="AR170" t="str">
        <f t="shared" si="27"/>
        <v/>
      </c>
      <c r="AS170" t="str">
        <f t="shared" si="28"/>
        <v/>
      </c>
      <c r="AT170" t="str">
        <f t="shared" si="29"/>
        <v/>
      </c>
      <c r="BG170" t="str">
        <f t="shared" si="30"/>
        <v/>
      </c>
      <c r="BH170" t="str">
        <f t="shared" si="31"/>
        <v/>
      </c>
      <c r="BL170" t="str">
        <f>IFERROR(INDEX(_names_lookup!$C:$C,MATCH(BK170,_names_lookup!$A:$A,0)),"")</f>
        <v/>
      </c>
      <c r="BM170" t="str">
        <f>IFERROR(INDEX(_names_lookup!$B:$B,MATCH(BK170,_names_lookup!$A:$A,0)),"")</f>
        <v/>
      </c>
      <c r="BS170" t="str">
        <f t="shared" si="32"/>
        <v/>
      </c>
    </row>
    <row r="171" spans="15:71" x14ac:dyDescent="0.2">
      <c r="O171" t="str">
        <f>IFERROR(INDEX(_courses_lookup!$C:$C,MATCH(K171&amp;L171,_courses_lookup!$E:$E,0)),"")</f>
        <v/>
      </c>
      <c r="P171" t="str">
        <f>IFERROR(INDEX(_courses_lookup!$D:$D,MATCH(K171&amp;L171,_courses_lookup!$E:$E,0)),"")</f>
        <v/>
      </c>
      <c r="AG171" t="str">
        <f t="shared" si="22"/>
        <v/>
      </c>
      <c r="AI171" t="str">
        <f t="shared" si="23"/>
        <v/>
      </c>
      <c r="AL171" t="str">
        <f t="shared" si="24"/>
        <v/>
      </c>
      <c r="AN171" t="str">
        <f t="shared" si="25"/>
        <v/>
      </c>
      <c r="AQ171" t="str">
        <f t="shared" si="26"/>
        <v/>
      </c>
      <c r="AR171" t="str">
        <f t="shared" si="27"/>
        <v/>
      </c>
      <c r="AS171" t="str">
        <f t="shared" si="28"/>
        <v/>
      </c>
      <c r="AT171" t="str">
        <f t="shared" si="29"/>
        <v/>
      </c>
      <c r="BG171" t="str">
        <f t="shared" si="30"/>
        <v/>
      </c>
      <c r="BH171" t="str">
        <f t="shared" si="31"/>
        <v/>
      </c>
      <c r="BL171" t="str">
        <f>IFERROR(INDEX(_names_lookup!$C:$C,MATCH(BK171,_names_lookup!$A:$A,0)),"")</f>
        <v/>
      </c>
      <c r="BM171" t="str">
        <f>IFERROR(INDEX(_names_lookup!$B:$B,MATCH(BK171,_names_lookup!$A:$A,0)),"")</f>
        <v/>
      </c>
      <c r="BS171" t="str">
        <f t="shared" si="32"/>
        <v/>
      </c>
    </row>
    <row r="172" spans="15:71" x14ac:dyDescent="0.2">
      <c r="O172" t="str">
        <f>IFERROR(INDEX(_courses_lookup!$C:$C,MATCH(K172&amp;L172,_courses_lookup!$E:$E,0)),"")</f>
        <v/>
      </c>
      <c r="P172" t="str">
        <f>IFERROR(INDEX(_courses_lookup!$D:$D,MATCH(K172&amp;L172,_courses_lookup!$E:$E,0)),"")</f>
        <v/>
      </c>
      <c r="AG172" t="str">
        <f t="shared" si="22"/>
        <v/>
      </c>
      <c r="AI172" t="str">
        <f t="shared" si="23"/>
        <v/>
      </c>
      <c r="AL172" t="str">
        <f t="shared" si="24"/>
        <v/>
      </c>
      <c r="AN172" t="str">
        <f t="shared" si="25"/>
        <v/>
      </c>
      <c r="AQ172" t="str">
        <f t="shared" si="26"/>
        <v/>
      </c>
      <c r="AR172" t="str">
        <f t="shared" si="27"/>
        <v/>
      </c>
      <c r="AS172" t="str">
        <f t="shared" si="28"/>
        <v/>
      </c>
      <c r="AT172" t="str">
        <f t="shared" si="29"/>
        <v/>
      </c>
      <c r="BG172" t="str">
        <f t="shared" si="30"/>
        <v/>
      </c>
      <c r="BH172" t="str">
        <f t="shared" si="31"/>
        <v/>
      </c>
      <c r="BL172" t="str">
        <f>IFERROR(INDEX(_names_lookup!$C:$C,MATCH(BK172,_names_lookup!$A:$A,0)),"")</f>
        <v/>
      </c>
      <c r="BM172" t="str">
        <f>IFERROR(INDEX(_names_lookup!$B:$B,MATCH(BK172,_names_lookup!$A:$A,0)),"")</f>
        <v/>
      </c>
      <c r="BS172" t="str">
        <f t="shared" si="32"/>
        <v/>
      </c>
    </row>
    <row r="173" spans="15:71" x14ac:dyDescent="0.2">
      <c r="O173" t="str">
        <f>IFERROR(INDEX(_courses_lookup!$C:$C,MATCH(K173&amp;L173,_courses_lookup!$E:$E,0)),"")</f>
        <v/>
      </c>
      <c r="P173" t="str">
        <f>IFERROR(INDEX(_courses_lookup!$D:$D,MATCH(K173&amp;L173,_courses_lookup!$E:$E,0)),"")</f>
        <v/>
      </c>
      <c r="AG173" t="str">
        <f t="shared" si="22"/>
        <v/>
      </c>
      <c r="AI173" t="str">
        <f t="shared" si="23"/>
        <v/>
      </c>
      <c r="AL173" t="str">
        <f t="shared" si="24"/>
        <v/>
      </c>
      <c r="AN173" t="str">
        <f t="shared" si="25"/>
        <v/>
      </c>
      <c r="AQ173" t="str">
        <f t="shared" si="26"/>
        <v/>
      </c>
      <c r="AR173" t="str">
        <f t="shared" si="27"/>
        <v/>
      </c>
      <c r="AS173" t="str">
        <f t="shared" si="28"/>
        <v/>
      </c>
      <c r="AT173" t="str">
        <f t="shared" si="29"/>
        <v/>
      </c>
      <c r="BG173" t="str">
        <f t="shared" si="30"/>
        <v/>
      </c>
      <c r="BH173" t="str">
        <f t="shared" si="31"/>
        <v/>
      </c>
      <c r="BL173" t="str">
        <f>IFERROR(INDEX(_names_lookup!$C:$C,MATCH(BK173,_names_lookup!$A:$A,0)),"")</f>
        <v/>
      </c>
      <c r="BM173" t="str">
        <f>IFERROR(INDEX(_names_lookup!$B:$B,MATCH(BK173,_names_lookup!$A:$A,0)),"")</f>
        <v/>
      </c>
      <c r="BS173" t="str">
        <f t="shared" si="32"/>
        <v/>
      </c>
    </row>
    <row r="174" spans="15:71" x14ac:dyDescent="0.2">
      <c r="O174" t="str">
        <f>IFERROR(INDEX(_courses_lookup!$C:$C,MATCH(K174&amp;L174,_courses_lookup!$E:$E,0)),"")</f>
        <v/>
      </c>
      <c r="P174" t="str">
        <f>IFERROR(INDEX(_courses_lookup!$D:$D,MATCH(K174&amp;L174,_courses_lookup!$E:$E,0)),"")</f>
        <v/>
      </c>
      <c r="AG174" t="str">
        <f t="shared" si="22"/>
        <v/>
      </c>
      <c r="AI174" t="str">
        <f t="shared" si="23"/>
        <v/>
      </c>
      <c r="AL174" t="str">
        <f t="shared" si="24"/>
        <v/>
      </c>
      <c r="AN174" t="str">
        <f t="shared" si="25"/>
        <v/>
      </c>
      <c r="AQ174" t="str">
        <f t="shared" si="26"/>
        <v/>
      </c>
      <c r="AR174" t="str">
        <f t="shared" si="27"/>
        <v/>
      </c>
      <c r="AS174" t="str">
        <f t="shared" si="28"/>
        <v/>
      </c>
      <c r="AT174" t="str">
        <f t="shared" si="29"/>
        <v/>
      </c>
      <c r="BG174" t="str">
        <f t="shared" si="30"/>
        <v/>
      </c>
      <c r="BH174" t="str">
        <f t="shared" si="31"/>
        <v/>
      </c>
      <c r="BL174" t="str">
        <f>IFERROR(INDEX(_names_lookup!$C:$C,MATCH(BK174,_names_lookup!$A:$A,0)),"")</f>
        <v/>
      </c>
      <c r="BM174" t="str">
        <f>IFERROR(INDEX(_names_lookup!$B:$B,MATCH(BK174,_names_lookup!$A:$A,0)),"")</f>
        <v/>
      </c>
      <c r="BS174" t="str">
        <f t="shared" si="32"/>
        <v/>
      </c>
    </row>
    <row r="175" spans="15:71" x14ac:dyDescent="0.2">
      <c r="O175" t="str">
        <f>IFERROR(INDEX(_courses_lookup!$C:$C,MATCH(K175&amp;L175,_courses_lookup!$E:$E,0)),"")</f>
        <v/>
      </c>
      <c r="P175" t="str">
        <f>IFERROR(INDEX(_courses_lookup!$D:$D,MATCH(K175&amp;L175,_courses_lookup!$E:$E,0)),"")</f>
        <v/>
      </c>
      <c r="AG175" t="str">
        <f t="shared" si="22"/>
        <v/>
      </c>
      <c r="AI175" t="str">
        <f t="shared" si="23"/>
        <v/>
      </c>
      <c r="AL175" t="str">
        <f t="shared" si="24"/>
        <v/>
      </c>
      <c r="AN175" t="str">
        <f t="shared" si="25"/>
        <v/>
      </c>
      <c r="AQ175" t="str">
        <f t="shared" si="26"/>
        <v/>
      </c>
      <c r="AR175" t="str">
        <f t="shared" si="27"/>
        <v/>
      </c>
      <c r="AS175" t="str">
        <f t="shared" si="28"/>
        <v/>
      </c>
      <c r="AT175" t="str">
        <f t="shared" si="29"/>
        <v/>
      </c>
      <c r="BG175" t="str">
        <f t="shared" si="30"/>
        <v/>
      </c>
      <c r="BH175" t="str">
        <f t="shared" si="31"/>
        <v/>
      </c>
      <c r="BL175" t="str">
        <f>IFERROR(INDEX(_names_lookup!$C:$C,MATCH(BK175,_names_lookup!$A:$A,0)),"")</f>
        <v/>
      </c>
      <c r="BM175" t="str">
        <f>IFERROR(INDEX(_names_lookup!$B:$B,MATCH(BK175,_names_lookup!$A:$A,0)),"")</f>
        <v/>
      </c>
      <c r="BS175" t="str">
        <f t="shared" si="32"/>
        <v/>
      </c>
    </row>
    <row r="176" spans="15:71" x14ac:dyDescent="0.2">
      <c r="O176" t="str">
        <f>IFERROR(INDEX(_courses_lookup!$C:$C,MATCH(K176&amp;L176,_courses_lookup!$E:$E,0)),"")</f>
        <v/>
      </c>
      <c r="P176" t="str">
        <f>IFERROR(INDEX(_courses_lookup!$D:$D,MATCH(K176&amp;L176,_courses_lookup!$E:$E,0)),"")</f>
        <v/>
      </c>
      <c r="AG176" t="str">
        <f t="shared" si="22"/>
        <v/>
      </c>
      <c r="AI176" t="str">
        <f t="shared" si="23"/>
        <v/>
      </c>
      <c r="AL176" t="str">
        <f t="shared" si="24"/>
        <v/>
      </c>
      <c r="AN176" t="str">
        <f t="shared" si="25"/>
        <v/>
      </c>
      <c r="AQ176" t="str">
        <f t="shared" si="26"/>
        <v/>
      </c>
      <c r="AR176" t="str">
        <f t="shared" si="27"/>
        <v/>
      </c>
      <c r="AS176" t="str">
        <f t="shared" si="28"/>
        <v/>
      </c>
      <c r="AT176" t="str">
        <f t="shared" si="29"/>
        <v/>
      </c>
      <c r="BG176" t="str">
        <f t="shared" si="30"/>
        <v/>
      </c>
      <c r="BH176" t="str">
        <f t="shared" si="31"/>
        <v/>
      </c>
      <c r="BL176" t="str">
        <f>IFERROR(INDEX(_names_lookup!$C:$C,MATCH(BK176,_names_lookup!$A:$A,0)),"")</f>
        <v/>
      </c>
      <c r="BM176" t="str">
        <f>IFERROR(INDEX(_names_lookup!$B:$B,MATCH(BK176,_names_lookup!$A:$A,0)),"")</f>
        <v/>
      </c>
      <c r="BS176" t="str">
        <f t="shared" si="32"/>
        <v/>
      </c>
    </row>
    <row r="177" spans="15:71" x14ac:dyDescent="0.2">
      <c r="O177" t="str">
        <f>IFERROR(INDEX(_courses_lookup!$C:$C,MATCH(K177&amp;L177,_courses_lookup!$E:$E,0)),"")</f>
        <v/>
      </c>
      <c r="P177" t="str">
        <f>IFERROR(INDEX(_courses_lookup!$D:$D,MATCH(K177&amp;L177,_courses_lookup!$E:$E,0)),"")</f>
        <v/>
      </c>
      <c r="AG177" t="str">
        <f t="shared" si="22"/>
        <v/>
      </c>
      <c r="AI177" t="str">
        <f t="shared" si="23"/>
        <v/>
      </c>
      <c r="AL177" t="str">
        <f t="shared" si="24"/>
        <v/>
      </c>
      <c r="AN177" t="str">
        <f t="shared" si="25"/>
        <v/>
      </c>
      <c r="AQ177" t="str">
        <f t="shared" si="26"/>
        <v/>
      </c>
      <c r="AR177" t="str">
        <f t="shared" si="27"/>
        <v/>
      </c>
      <c r="AS177" t="str">
        <f t="shared" si="28"/>
        <v/>
      </c>
      <c r="AT177" t="str">
        <f t="shared" si="29"/>
        <v/>
      </c>
      <c r="BG177" t="str">
        <f t="shared" si="30"/>
        <v/>
      </c>
      <c r="BH177" t="str">
        <f t="shared" si="31"/>
        <v/>
      </c>
      <c r="BL177" t="str">
        <f>IFERROR(INDEX(_names_lookup!$C:$C,MATCH(BK177,_names_lookup!$A:$A,0)),"")</f>
        <v/>
      </c>
      <c r="BM177" t="str">
        <f>IFERROR(INDEX(_names_lookup!$B:$B,MATCH(BK177,_names_lookup!$A:$A,0)),"")</f>
        <v/>
      </c>
      <c r="BS177" t="str">
        <f t="shared" si="32"/>
        <v/>
      </c>
    </row>
    <row r="178" spans="15:71" x14ac:dyDescent="0.2">
      <c r="O178" t="str">
        <f>IFERROR(INDEX(_courses_lookup!$C:$C,MATCH(K178&amp;L178,_courses_lookup!$E:$E,0)),"")</f>
        <v/>
      </c>
      <c r="P178" t="str">
        <f>IFERROR(INDEX(_courses_lookup!$D:$D,MATCH(K178&amp;L178,_courses_lookup!$E:$E,0)),"")</f>
        <v/>
      </c>
      <c r="AG178" t="str">
        <f t="shared" si="22"/>
        <v/>
      </c>
      <c r="AI178" t="str">
        <f t="shared" si="23"/>
        <v/>
      </c>
      <c r="AL178" t="str">
        <f t="shared" si="24"/>
        <v/>
      </c>
      <c r="AN178" t="str">
        <f t="shared" si="25"/>
        <v/>
      </c>
      <c r="AQ178" t="str">
        <f t="shared" si="26"/>
        <v/>
      </c>
      <c r="AR178" t="str">
        <f t="shared" si="27"/>
        <v/>
      </c>
      <c r="AS178" t="str">
        <f t="shared" si="28"/>
        <v/>
      </c>
      <c r="AT178" t="str">
        <f t="shared" si="29"/>
        <v/>
      </c>
      <c r="BG178" t="str">
        <f t="shared" si="30"/>
        <v/>
      </c>
      <c r="BH178" t="str">
        <f t="shared" si="31"/>
        <v/>
      </c>
      <c r="BL178" t="str">
        <f>IFERROR(INDEX(_names_lookup!$C:$C,MATCH(BK178,_names_lookup!$A:$A,0)),"")</f>
        <v/>
      </c>
      <c r="BM178" t="str">
        <f>IFERROR(INDEX(_names_lookup!$B:$B,MATCH(BK178,_names_lookup!$A:$A,0)),"")</f>
        <v/>
      </c>
      <c r="BS178" t="str">
        <f t="shared" si="32"/>
        <v/>
      </c>
    </row>
    <row r="179" spans="15:71" x14ac:dyDescent="0.2">
      <c r="O179" t="str">
        <f>IFERROR(INDEX(_courses_lookup!$C:$C,MATCH(K179&amp;L179,_courses_lookup!$E:$E,0)),"")</f>
        <v/>
      </c>
      <c r="P179" t="str">
        <f>IFERROR(INDEX(_courses_lookup!$D:$D,MATCH(K179&amp;L179,_courses_lookup!$E:$E,0)),"")</f>
        <v/>
      </c>
      <c r="AG179" t="str">
        <f t="shared" si="22"/>
        <v/>
      </c>
      <c r="AI179" t="str">
        <f t="shared" si="23"/>
        <v/>
      </c>
      <c r="AL179" t="str">
        <f t="shared" si="24"/>
        <v/>
      </c>
      <c r="AN179" t="str">
        <f t="shared" si="25"/>
        <v/>
      </c>
      <c r="AQ179" t="str">
        <f t="shared" si="26"/>
        <v/>
      </c>
      <c r="AR179" t="str">
        <f t="shared" si="27"/>
        <v/>
      </c>
      <c r="AS179" t="str">
        <f t="shared" si="28"/>
        <v/>
      </c>
      <c r="AT179" t="str">
        <f t="shared" si="29"/>
        <v/>
      </c>
      <c r="BG179" t="str">
        <f t="shared" si="30"/>
        <v/>
      </c>
      <c r="BH179" t="str">
        <f t="shared" si="31"/>
        <v/>
      </c>
      <c r="BL179" t="str">
        <f>IFERROR(INDEX(_names_lookup!$C:$C,MATCH(BK179,_names_lookup!$A:$A,0)),"")</f>
        <v/>
      </c>
      <c r="BM179" t="str">
        <f>IFERROR(INDEX(_names_lookup!$B:$B,MATCH(BK179,_names_lookup!$A:$A,0)),"")</f>
        <v/>
      </c>
      <c r="BS179" t="str">
        <f t="shared" si="32"/>
        <v/>
      </c>
    </row>
    <row r="180" spans="15:71" x14ac:dyDescent="0.2">
      <c r="O180" t="str">
        <f>IFERROR(INDEX(_courses_lookup!$C:$C,MATCH(K180&amp;L180,_courses_lookup!$E:$E,0)),"")</f>
        <v/>
      </c>
      <c r="P180" t="str">
        <f>IFERROR(INDEX(_courses_lookup!$D:$D,MATCH(K180&amp;L180,_courses_lookup!$E:$E,0)),"")</f>
        <v/>
      </c>
      <c r="AG180" t="str">
        <f t="shared" si="22"/>
        <v/>
      </c>
      <c r="AI180" t="str">
        <f t="shared" si="23"/>
        <v/>
      </c>
      <c r="AL180" t="str">
        <f t="shared" si="24"/>
        <v/>
      </c>
      <c r="AN180" t="str">
        <f t="shared" si="25"/>
        <v/>
      </c>
      <c r="AQ180" t="str">
        <f t="shared" si="26"/>
        <v/>
      </c>
      <c r="AR180" t="str">
        <f t="shared" si="27"/>
        <v/>
      </c>
      <c r="AS180" t="str">
        <f t="shared" si="28"/>
        <v/>
      </c>
      <c r="AT180" t="str">
        <f t="shared" si="29"/>
        <v/>
      </c>
      <c r="BG180" t="str">
        <f t="shared" si="30"/>
        <v/>
      </c>
      <c r="BH180" t="str">
        <f t="shared" si="31"/>
        <v/>
      </c>
      <c r="BL180" t="str">
        <f>IFERROR(INDEX(_names_lookup!$C:$C,MATCH(BK180,_names_lookup!$A:$A,0)),"")</f>
        <v/>
      </c>
      <c r="BM180" t="str">
        <f>IFERROR(INDEX(_names_lookup!$B:$B,MATCH(BK180,_names_lookup!$A:$A,0)),"")</f>
        <v/>
      </c>
      <c r="BS180" t="str">
        <f t="shared" si="32"/>
        <v/>
      </c>
    </row>
    <row r="181" spans="15:71" x14ac:dyDescent="0.2">
      <c r="O181" t="str">
        <f>IFERROR(INDEX(_courses_lookup!$C:$C,MATCH(K181&amp;L181,_courses_lookup!$E:$E,0)),"")</f>
        <v/>
      </c>
      <c r="P181" t="str">
        <f>IFERROR(INDEX(_courses_lookup!$D:$D,MATCH(K181&amp;L181,_courses_lookup!$E:$E,0)),"")</f>
        <v/>
      </c>
      <c r="AG181" t="str">
        <f t="shared" si="22"/>
        <v/>
      </c>
      <c r="AI181" t="str">
        <f t="shared" si="23"/>
        <v/>
      </c>
      <c r="AL181" t="str">
        <f t="shared" si="24"/>
        <v/>
      </c>
      <c r="AN181" t="str">
        <f t="shared" si="25"/>
        <v/>
      </c>
      <c r="AQ181" t="str">
        <f t="shared" si="26"/>
        <v/>
      </c>
      <c r="AR181" t="str">
        <f t="shared" si="27"/>
        <v/>
      </c>
      <c r="AS181" t="str">
        <f t="shared" si="28"/>
        <v/>
      </c>
      <c r="AT181" t="str">
        <f t="shared" si="29"/>
        <v/>
      </c>
      <c r="BG181" t="str">
        <f t="shared" si="30"/>
        <v/>
      </c>
      <c r="BH181" t="str">
        <f t="shared" si="31"/>
        <v/>
      </c>
      <c r="BL181" t="str">
        <f>IFERROR(INDEX(_names_lookup!$C:$C,MATCH(BK181,_names_lookup!$A:$A,0)),"")</f>
        <v/>
      </c>
      <c r="BM181" t="str">
        <f>IFERROR(INDEX(_names_lookup!$B:$B,MATCH(BK181,_names_lookup!$A:$A,0)),"")</f>
        <v/>
      </c>
      <c r="BS181" t="str">
        <f t="shared" si="32"/>
        <v/>
      </c>
    </row>
    <row r="182" spans="15:71" x14ac:dyDescent="0.2">
      <c r="O182" t="str">
        <f>IFERROR(INDEX(_courses_lookup!$C:$C,MATCH(K182&amp;L182,_courses_lookup!$E:$E,0)),"")</f>
        <v/>
      </c>
      <c r="P182" t="str">
        <f>IFERROR(INDEX(_courses_lookup!$D:$D,MATCH(K182&amp;L182,_courses_lookup!$E:$E,0)),"")</f>
        <v/>
      </c>
      <c r="AG182" t="str">
        <f t="shared" si="22"/>
        <v/>
      </c>
      <c r="AI182" t="str">
        <f t="shared" si="23"/>
        <v/>
      </c>
      <c r="AL182" t="str">
        <f t="shared" si="24"/>
        <v/>
      </c>
      <c r="AN182" t="str">
        <f t="shared" si="25"/>
        <v/>
      </c>
      <c r="AQ182" t="str">
        <f t="shared" si="26"/>
        <v/>
      </c>
      <c r="AR182" t="str">
        <f t="shared" si="27"/>
        <v/>
      </c>
      <c r="AS182" t="str">
        <f t="shared" si="28"/>
        <v/>
      </c>
      <c r="AT182" t="str">
        <f t="shared" si="29"/>
        <v/>
      </c>
      <c r="BG182" t="str">
        <f t="shared" si="30"/>
        <v/>
      </c>
      <c r="BH182" t="str">
        <f t="shared" si="31"/>
        <v/>
      </c>
      <c r="BL182" t="str">
        <f>IFERROR(INDEX(_names_lookup!$C:$C,MATCH(BK182,_names_lookup!$A:$A,0)),"")</f>
        <v/>
      </c>
      <c r="BM182" t="str">
        <f>IFERROR(INDEX(_names_lookup!$B:$B,MATCH(BK182,_names_lookup!$A:$A,0)),"")</f>
        <v/>
      </c>
      <c r="BS182" t="str">
        <f t="shared" si="32"/>
        <v/>
      </c>
    </row>
    <row r="183" spans="15:71" x14ac:dyDescent="0.2">
      <c r="O183" t="str">
        <f>IFERROR(INDEX(_courses_lookup!$C:$C,MATCH(K183&amp;L183,_courses_lookup!$E:$E,0)),"")</f>
        <v/>
      </c>
      <c r="P183" t="str">
        <f>IFERROR(INDEX(_courses_lookup!$D:$D,MATCH(K183&amp;L183,_courses_lookup!$E:$E,0)),"")</f>
        <v/>
      </c>
      <c r="AG183" t="str">
        <f t="shared" si="22"/>
        <v/>
      </c>
      <c r="AI183" t="str">
        <f t="shared" si="23"/>
        <v/>
      </c>
      <c r="AL183" t="str">
        <f t="shared" si="24"/>
        <v/>
      </c>
      <c r="AN183" t="str">
        <f t="shared" si="25"/>
        <v/>
      </c>
      <c r="AQ183" t="str">
        <f t="shared" si="26"/>
        <v/>
      </c>
      <c r="AR183" t="str">
        <f t="shared" si="27"/>
        <v/>
      </c>
      <c r="AS183" t="str">
        <f t="shared" si="28"/>
        <v/>
      </c>
      <c r="AT183" t="str">
        <f t="shared" si="29"/>
        <v/>
      </c>
      <c r="BG183" t="str">
        <f t="shared" si="30"/>
        <v/>
      </c>
      <c r="BH183" t="str">
        <f t="shared" si="31"/>
        <v/>
      </c>
      <c r="BL183" t="str">
        <f>IFERROR(INDEX(_names_lookup!$C:$C,MATCH(BK183,_names_lookup!$A:$A,0)),"")</f>
        <v/>
      </c>
      <c r="BM183" t="str">
        <f>IFERROR(INDEX(_names_lookup!$B:$B,MATCH(BK183,_names_lookup!$A:$A,0)),"")</f>
        <v/>
      </c>
      <c r="BS183" t="str">
        <f t="shared" si="32"/>
        <v/>
      </c>
    </row>
    <row r="184" spans="15:71" x14ac:dyDescent="0.2">
      <c r="O184" t="str">
        <f>IFERROR(INDEX(_courses_lookup!$C:$C,MATCH(K184&amp;L184,_courses_lookup!$E:$E,0)),"")</f>
        <v/>
      </c>
      <c r="P184" t="str">
        <f>IFERROR(INDEX(_courses_lookup!$D:$D,MATCH(K184&amp;L184,_courses_lookup!$E:$E,0)),"")</f>
        <v/>
      </c>
      <c r="AG184" t="str">
        <f t="shared" si="22"/>
        <v/>
      </c>
      <c r="AI184" t="str">
        <f t="shared" si="23"/>
        <v/>
      </c>
      <c r="AL184" t="str">
        <f t="shared" si="24"/>
        <v/>
      </c>
      <c r="AN184" t="str">
        <f t="shared" si="25"/>
        <v/>
      </c>
      <c r="AQ184" t="str">
        <f t="shared" si="26"/>
        <v/>
      </c>
      <c r="AR184" t="str">
        <f t="shared" si="27"/>
        <v/>
      </c>
      <c r="AS184" t="str">
        <f t="shared" si="28"/>
        <v/>
      </c>
      <c r="AT184" t="str">
        <f t="shared" si="29"/>
        <v/>
      </c>
      <c r="BG184" t="str">
        <f t="shared" si="30"/>
        <v/>
      </c>
      <c r="BH184" t="str">
        <f t="shared" si="31"/>
        <v/>
      </c>
      <c r="BL184" t="str">
        <f>IFERROR(INDEX(_names_lookup!$C:$C,MATCH(BK184,_names_lookup!$A:$A,0)),"")</f>
        <v/>
      </c>
      <c r="BM184" t="str">
        <f>IFERROR(INDEX(_names_lookup!$B:$B,MATCH(BK184,_names_lookup!$A:$A,0)),"")</f>
        <v/>
      </c>
      <c r="BS184" t="str">
        <f t="shared" si="32"/>
        <v/>
      </c>
    </row>
    <row r="185" spans="15:71" x14ac:dyDescent="0.2">
      <c r="O185" t="str">
        <f>IFERROR(INDEX(_courses_lookup!$C:$C,MATCH(K185&amp;L185,_courses_lookup!$E:$E,0)),"")</f>
        <v/>
      </c>
      <c r="P185" t="str">
        <f>IFERROR(INDEX(_courses_lookup!$D:$D,MATCH(K185&amp;L185,_courses_lookup!$E:$E,0)),"")</f>
        <v/>
      </c>
      <c r="AG185" t="str">
        <f t="shared" si="22"/>
        <v/>
      </c>
      <c r="AI185" t="str">
        <f t="shared" si="23"/>
        <v/>
      </c>
      <c r="AL185" t="str">
        <f t="shared" si="24"/>
        <v/>
      </c>
      <c r="AN185" t="str">
        <f t="shared" si="25"/>
        <v/>
      </c>
      <c r="AQ185" t="str">
        <f t="shared" si="26"/>
        <v/>
      </c>
      <c r="AR185" t="str">
        <f t="shared" si="27"/>
        <v/>
      </c>
      <c r="AS185" t="str">
        <f t="shared" si="28"/>
        <v/>
      </c>
      <c r="AT185" t="str">
        <f t="shared" si="29"/>
        <v/>
      </c>
      <c r="BG185" t="str">
        <f t="shared" si="30"/>
        <v/>
      </c>
      <c r="BH185" t="str">
        <f t="shared" si="31"/>
        <v/>
      </c>
      <c r="BL185" t="str">
        <f>IFERROR(INDEX(_names_lookup!$C:$C,MATCH(BK185,_names_lookup!$A:$A,0)),"")</f>
        <v/>
      </c>
      <c r="BM185" t="str">
        <f>IFERROR(INDEX(_names_lookup!$B:$B,MATCH(BK185,_names_lookup!$A:$A,0)),"")</f>
        <v/>
      </c>
      <c r="BS185" t="str">
        <f t="shared" si="32"/>
        <v/>
      </c>
    </row>
    <row r="186" spans="15:71" x14ac:dyDescent="0.2">
      <c r="O186" t="str">
        <f>IFERROR(INDEX(_courses_lookup!$C:$C,MATCH(K186&amp;L186,_courses_lookup!$E:$E,0)),"")</f>
        <v/>
      </c>
      <c r="P186" t="str">
        <f>IFERROR(INDEX(_courses_lookup!$D:$D,MATCH(K186&amp;L186,_courses_lookup!$E:$E,0)),"")</f>
        <v/>
      </c>
      <c r="AG186" t="str">
        <f t="shared" si="22"/>
        <v/>
      </c>
      <c r="AI186" t="str">
        <f t="shared" si="23"/>
        <v/>
      </c>
      <c r="AL186" t="str">
        <f t="shared" si="24"/>
        <v/>
      </c>
      <c r="AN186" t="str">
        <f t="shared" si="25"/>
        <v/>
      </c>
      <c r="AQ186" t="str">
        <f t="shared" si="26"/>
        <v/>
      </c>
      <c r="AR186" t="str">
        <f t="shared" si="27"/>
        <v/>
      </c>
      <c r="AS186" t="str">
        <f t="shared" si="28"/>
        <v/>
      </c>
      <c r="AT186" t="str">
        <f t="shared" si="29"/>
        <v/>
      </c>
      <c r="BG186" t="str">
        <f t="shared" si="30"/>
        <v/>
      </c>
      <c r="BH186" t="str">
        <f t="shared" si="31"/>
        <v/>
      </c>
      <c r="BL186" t="str">
        <f>IFERROR(INDEX(_names_lookup!$C:$C,MATCH(BK186,_names_lookup!$A:$A,0)),"")</f>
        <v/>
      </c>
      <c r="BM186" t="str">
        <f>IFERROR(INDEX(_names_lookup!$B:$B,MATCH(BK186,_names_lookup!$A:$A,0)),"")</f>
        <v/>
      </c>
      <c r="BS186" t="str">
        <f t="shared" si="32"/>
        <v/>
      </c>
    </row>
    <row r="187" spans="15:71" x14ac:dyDescent="0.2">
      <c r="O187" t="str">
        <f>IFERROR(INDEX(_courses_lookup!$C:$C,MATCH(K187&amp;L187,_courses_lookup!$E:$E,0)),"")</f>
        <v/>
      </c>
      <c r="P187" t="str">
        <f>IFERROR(INDEX(_courses_lookup!$D:$D,MATCH(K187&amp;L187,_courses_lookup!$E:$E,0)),"")</f>
        <v/>
      </c>
      <c r="AG187" t="str">
        <f t="shared" si="22"/>
        <v/>
      </c>
      <c r="AI187" t="str">
        <f t="shared" si="23"/>
        <v/>
      </c>
      <c r="AL187" t="str">
        <f t="shared" si="24"/>
        <v/>
      </c>
      <c r="AN187" t="str">
        <f t="shared" si="25"/>
        <v/>
      </c>
      <c r="AQ187" t="str">
        <f t="shared" si="26"/>
        <v/>
      </c>
      <c r="AR187" t="str">
        <f t="shared" si="27"/>
        <v/>
      </c>
      <c r="AS187" t="str">
        <f t="shared" si="28"/>
        <v/>
      </c>
      <c r="AT187" t="str">
        <f t="shared" si="29"/>
        <v/>
      </c>
      <c r="BG187" t="str">
        <f t="shared" si="30"/>
        <v/>
      </c>
      <c r="BH187" t="str">
        <f t="shared" si="31"/>
        <v/>
      </c>
      <c r="BL187" t="str">
        <f>IFERROR(INDEX(_names_lookup!$C:$C,MATCH(BK187,_names_lookup!$A:$A,0)),"")</f>
        <v/>
      </c>
      <c r="BM187" t="str">
        <f>IFERROR(INDEX(_names_lookup!$B:$B,MATCH(BK187,_names_lookup!$A:$A,0)),"")</f>
        <v/>
      </c>
      <c r="BS187" t="str">
        <f t="shared" si="32"/>
        <v/>
      </c>
    </row>
    <row r="188" spans="15:71" x14ac:dyDescent="0.2">
      <c r="O188" t="str">
        <f>IFERROR(INDEX(_courses_lookup!$C:$C,MATCH(K188&amp;L188,_courses_lookup!$E:$E,0)),"")</f>
        <v/>
      </c>
      <c r="P188" t="str">
        <f>IFERROR(INDEX(_courses_lookup!$D:$D,MATCH(K188&amp;L188,_courses_lookup!$E:$E,0)),"")</f>
        <v/>
      </c>
      <c r="AG188" t="str">
        <f t="shared" si="22"/>
        <v/>
      </c>
      <c r="AI188" t="str">
        <f t="shared" si="23"/>
        <v/>
      </c>
      <c r="AL188" t="str">
        <f t="shared" si="24"/>
        <v/>
      </c>
      <c r="AN188" t="str">
        <f t="shared" si="25"/>
        <v/>
      </c>
      <c r="AQ188" t="str">
        <f t="shared" si="26"/>
        <v/>
      </c>
      <c r="AR188" t="str">
        <f t="shared" si="27"/>
        <v/>
      </c>
      <c r="AS188" t="str">
        <f t="shared" si="28"/>
        <v/>
      </c>
      <c r="AT188" t="str">
        <f t="shared" si="29"/>
        <v/>
      </c>
      <c r="BG188" t="str">
        <f t="shared" si="30"/>
        <v/>
      </c>
      <c r="BH188" t="str">
        <f t="shared" si="31"/>
        <v/>
      </c>
      <c r="BL188" t="str">
        <f>IFERROR(INDEX(_names_lookup!$C:$C,MATCH(BK188,_names_lookup!$A:$A,0)),"")</f>
        <v/>
      </c>
      <c r="BM188" t="str">
        <f>IFERROR(INDEX(_names_lookup!$B:$B,MATCH(BK188,_names_lookup!$A:$A,0)),"")</f>
        <v/>
      </c>
      <c r="BS188" t="str">
        <f t="shared" si="32"/>
        <v/>
      </c>
    </row>
    <row r="189" spans="15:71" x14ac:dyDescent="0.2">
      <c r="O189" t="str">
        <f>IFERROR(INDEX(_courses_lookup!$C:$C,MATCH(K189&amp;L189,_courses_lookup!$E:$E,0)),"")</f>
        <v/>
      </c>
      <c r="P189" t="str">
        <f>IFERROR(INDEX(_courses_lookup!$D:$D,MATCH(K189&amp;L189,_courses_lookup!$E:$E,0)),"")</f>
        <v/>
      </c>
      <c r="AG189" t="str">
        <f t="shared" si="22"/>
        <v/>
      </c>
      <c r="AI189" t="str">
        <f t="shared" si="23"/>
        <v/>
      </c>
      <c r="AL189" t="str">
        <f t="shared" si="24"/>
        <v/>
      </c>
      <c r="AN189" t="str">
        <f t="shared" si="25"/>
        <v/>
      </c>
      <c r="AQ189" t="str">
        <f t="shared" si="26"/>
        <v/>
      </c>
      <c r="AR189" t="str">
        <f t="shared" si="27"/>
        <v/>
      </c>
      <c r="AS189" t="str">
        <f t="shared" si="28"/>
        <v/>
      </c>
      <c r="AT189" t="str">
        <f t="shared" si="29"/>
        <v/>
      </c>
      <c r="BG189" t="str">
        <f t="shared" si="30"/>
        <v/>
      </c>
      <c r="BH189" t="str">
        <f t="shared" si="31"/>
        <v/>
      </c>
      <c r="BL189" t="str">
        <f>IFERROR(INDEX(_names_lookup!$C:$C,MATCH(BK189,_names_lookup!$A:$A,0)),"")</f>
        <v/>
      </c>
      <c r="BM189" t="str">
        <f>IFERROR(INDEX(_names_lookup!$B:$B,MATCH(BK189,_names_lookup!$A:$A,0)),"")</f>
        <v/>
      </c>
      <c r="BS189" t="str">
        <f t="shared" si="32"/>
        <v/>
      </c>
    </row>
    <row r="190" spans="15:71" x14ac:dyDescent="0.2">
      <c r="O190" t="str">
        <f>IFERROR(INDEX(_courses_lookup!$C:$C,MATCH(K190&amp;L190,_courses_lookup!$E:$E,0)),"")</f>
        <v/>
      </c>
      <c r="P190" t="str">
        <f>IFERROR(INDEX(_courses_lookup!$D:$D,MATCH(K190&amp;L190,_courses_lookup!$E:$E,0)),"")</f>
        <v/>
      </c>
      <c r="AG190" t="str">
        <f t="shared" si="22"/>
        <v/>
      </c>
      <c r="AI190" t="str">
        <f t="shared" si="23"/>
        <v/>
      </c>
      <c r="AL190" t="str">
        <f t="shared" si="24"/>
        <v/>
      </c>
      <c r="AN190" t="str">
        <f t="shared" si="25"/>
        <v/>
      </c>
      <c r="AQ190" t="str">
        <f t="shared" si="26"/>
        <v/>
      </c>
      <c r="AR190" t="str">
        <f t="shared" si="27"/>
        <v/>
      </c>
      <c r="AS190" t="str">
        <f t="shared" si="28"/>
        <v/>
      </c>
      <c r="AT190" t="str">
        <f t="shared" si="29"/>
        <v/>
      </c>
      <c r="BG190" t="str">
        <f t="shared" si="30"/>
        <v/>
      </c>
      <c r="BH190" t="str">
        <f t="shared" si="31"/>
        <v/>
      </c>
      <c r="BL190" t="str">
        <f>IFERROR(INDEX(_names_lookup!$C:$C,MATCH(BK190,_names_lookup!$A:$A,0)),"")</f>
        <v/>
      </c>
      <c r="BM190" t="str">
        <f>IFERROR(INDEX(_names_lookup!$B:$B,MATCH(BK190,_names_lookup!$A:$A,0)),"")</f>
        <v/>
      </c>
      <c r="BS190" t="str">
        <f t="shared" si="32"/>
        <v/>
      </c>
    </row>
    <row r="191" spans="15:71" x14ac:dyDescent="0.2">
      <c r="O191" t="str">
        <f>IFERROR(INDEX(_courses_lookup!$C:$C,MATCH(K191&amp;L191,_courses_lookup!$E:$E,0)),"")</f>
        <v/>
      </c>
      <c r="P191" t="str">
        <f>IFERROR(INDEX(_courses_lookup!$D:$D,MATCH(K191&amp;L191,_courses_lookup!$E:$E,0)),"")</f>
        <v/>
      </c>
      <c r="AG191" t="str">
        <f t="shared" si="22"/>
        <v/>
      </c>
      <c r="AI191" t="str">
        <f t="shared" si="23"/>
        <v/>
      </c>
      <c r="AL191" t="str">
        <f t="shared" si="24"/>
        <v/>
      </c>
      <c r="AN191" t="str">
        <f t="shared" si="25"/>
        <v/>
      </c>
      <c r="AQ191" t="str">
        <f t="shared" si="26"/>
        <v/>
      </c>
      <c r="AR191" t="str">
        <f t="shared" si="27"/>
        <v/>
      </c>
      <c r="AS191" t="str">
        <f t="shared" si="28"/>
        <v/>
      </c>
      <c r="AT191" t="str">
        <f t="shared" si="29"/>
        <v/>
      </c>
      <c r="BG191" t="str">
        <f t="shared" si="30"/>
        <v/>
      </c>
      <c r="BH191" t="str">
        <f t="shared" si="31"/>
        <v/>
      </c>
      <c r="BL191" t="str">
        <f>IFERROR(INDEX(_names_lookup!$C:$C,MATCH(BK191,_names_lookup!$A:$A,0)),"")</f>
        <v/>
      </c>
      <c r="BM191" t="str">
        <f>IFERROR(INDEX(_names_lookup!$B:$B,MATCH(BK191,_names_lookup!$A:$A,0)),"")</f>
        <v/>
      </c>
      <c r="BS191" t="str">
        <f t="shared" si="32"/>
        <v/>
      </c>
    </row>
    <row r="192" spans="15:71" x14ac:dyDescent="0.2">
      <c r="O192" t="str">
        <f>IFERROR(INDEX(_courses_lookup!$C:$C,MATCH(K192&amp;L192,_courses_lookup!$E:$E,0)),"")</f>
        <v/>
      </c>
      <c r="P192" t="str">
        <f>IFERROR(INDEX(_courses_lookup!$D:$D,MATCH(K192&amp;L192,_courses_lookup!$E:$E,0)),"")</f>
        <v/>
      </c>
      <c r="AG192" t="str">
        <f t="shared" si="22"/>
        <v/>
      </c>
      <c r="AI192" t="str">
        <f t="shared" si="23"/>
        <v/>
      </c>
      <c r="AL192" t="str">
        <f t="shared" si="24"/>
        <v/>
      </c>
      <c r="AN192" t="str">
        <f t="shared" si="25"/>
        <v/>
      </c>
      <c r="AQ192" t="str">
        <f t="shared" si="26"/>
        <v/>
      </c>
      <c r="AR192" t="str">
        <f t="shared" si="27"/>
        <v/>
      </c>
      <c r="AS192" t="str">
        <f t="shared" si="28"/>
        <v/>
      </c>
      <c r="AT192" t="str">
        <f t="shared" si="29"/>
        <v/>
      </c>
      <c r="BG192" t="str">
        <f t="shared" si="30"/>
        <v/>
      </c>
      <c r="BH192" t="str">
        <f t="shared" si="31"/>
        <v/>
      </c>
      <c r="BL192" t="str">
        <f>IFERROR(INDEX(_names_lookup!$C:$C,MATCH(BK192,_names_lookup!$A:$A,0)),"")</f>
        <v/>
      </c>
      <c r="BM192" t="str">
        <f>IFERROR(INDEX(_names_lookup!$B:$B,MATCH(BK192,_names_lookup!$A:$A,0)),"")</f>
        <v/>
      </c>
      <c r="BS192" t="str">
        <f t="shared" si="32"/>
        <v/>
      </c>
    </row>
    <row r="193" spans="15:71" x14ac:dyDescent="0.2">
      <c r="O193" t="str">
        <f>IFERROR(INDEX(_courses_lookup!$C:$C,MATCH(K193&amp;L193,_courses_lookup!$E:$E,0)),"")</f>
        <v/>
      </c>
      <c r="P193" t="str">
        <f>IFERROR(INDEX(_courses_lookup!$D:$D,MATCH(K193&amp;L193,_courses_lookup!$E:$E,0)),"")</f>
        <v/>
      </c>
      <c r="AG193" t="str">
        <f t="shared" si="22"/>
        <v/>
      </c>
      <c r="AI193" t="str">
        <f t="shared" si="23"/>
        <v/>
      </c>
      <c r="AL193" t="str">
        <f t="shared" si="24"/>
        <v/>
      </c>
      <c r="AN193" t="str">
        <f t="shared" si="25"/>
        <v/>
      </c>
      <c r="AQ193" t="str">
        <f t="shared" si="26"/>
        <v/>
      </c>
      <c r="AR193" t="str">
        <f t="shared" si="27"/>
        <v/>
      </c>
      <c r="AS193" t="str">
        <f t="shared" si="28"/>
        <v/>
      </c>
      <c r="AT193" t="str">
        <f t="shared" si="29"/>
        <v/>
      </c>
      <c r="BG193" t="str">
        <f t="shared" si="30"/>
        <v/>
      </c>
      <c r="BH193" t="str">
        <f t="shared" si="31"/>
        <v/>
      </c>
      <c r="BL193" t="str">
        <f>IFERROR(INDEX(_names_lookup!$C:$C,MATCH(BK193,_names_lookup!$A:$A,0)),"")</f>
        <v/>
      </c>
      <c r="BM193" t="str">
        <f>IFERROR(INDEX(_names_lookup!$B:$B,MATCH(BK193,_names_lookup!$A:$A,0)),"")</f>
        <v/>
      </c>
      <c r="BS193" t="str">
        <f t="shared" si="32"/>
        <v/>
      </c>
    </row>
    <row r="194" spans="15:71" x14ac:dyDescent="0.2">
      <c r="O194" t="str">
        <f>IFERROR(INDEX(_courses_lookup!$C:$C,MATCH(K194&amp;L194,_courses_lookup!$E:$E,0)),"")</f>
        <v/>
      </c>
      <c r="P194" t="str">
        <f>IFERROR(INDEX(_courses_lookup!$D:$D,MATCH(K194&amp;L194,_courses_lookup!$E:$E,0)),"")</f>
        <v/>
      </c>
      <c r="AG194" t="str">
        <f t="shared" ref="AG194:AG257" si="33">IF(AND(AE194&lt;&gt;"",AF194&lt;&gt;""),ROUNDUP((AF194-AE194)/7,0),"")</f>
        <v/>
      </c>
      <c r="AI194" t="str">
        <f t="shared" ref="AI194:AI257" si="34">IFERROR(IF(AG194*AH194=0,"",AG194*AH194),"")</f>
        <v/>
      </c>
      <c r="AL194" t="str">
        <f t="shared" ref="AL194:AL257" si="35">IF(AND(AJ194&lt;&gt;"",AK194&lt;&gt;""),ROUNDUP((AK194-AJ194)/7,0),"")</f>
        <v/>
      </c>
      <c r="AN194" t="str">
        <f t="shared" ref="AN194:AN257" si="36">IFERROR(IF(AL194*AM194=0,"",AL194*AM194),"")</f>
        <v/>
      </c>
      <c r="AQ194" t="str">
        <f t="shared" ref="AQ194:AQ257" si="37">IF(AND(AO194&lt;&gt;"",AP194&lt;&gt;""),ROUNDUP((AP194-AO194)/7,0),"")</f>
        <v/>
      </c>
      <c r="AR194" t="str">
        <f t="shared" ref="AR194:AR257" si="38">IFERROR(IF((AU194-(AI194+AN194))/AQ194=0,"",ROUNDUP((AU194-(AI194+AN194))/AQ194,0)),"")</f>
        <v/>
      </c>
      <c r="AS194" t="str">
        <f t="shared" ref="AS194:AS257" si="39">IFERROR(IF((AU194-(AI194+AN194))=0,"",(AU194-(AI194+AN194))),"")</f>
        <v/>
      </c>
      <c r="AT194" t="str">
        <f t="shared" ref="AT194:AT257" si="40">IF(AND(AG194="",AQ194=""),AL194,IF(SUM(AG194,AL194,AQ194)=0,"",SUM(AG194,AL194,AQ194)))</f>
        <v/>
      </c>
      <c r="BG194" t="str">
        <f t="shared" ref="BG194:BG257" si="41">IF(AD194="","",YEAR(AD194)+IF(MONTH(AD194)&gt;=5,1,0))</f>
        <v/>
      </c>
      <c r="BH194" t="str">
        <f t="shared" ref="BH194:BH257" si="42">IF(AD194="","",IF(AND(MONTH(AD194)=8,DAY(AD194)&gt;=15),"Fall",IF(MONTH(AD194)&gt;8,"Fall",IF(MONTH(AD194)=5,"Summer",IF(MONTH(AD194)=1,"Spring","")))))</f>
        <v/>
      </c>
      <c r="BL194" t="str">
        <f>IFERROR(INDEX(_names_lookup!$C:$C,MATCH(BK194,_names_lookup!$A:$A,0)),"")</f>
        <v/>
      </c>
      <c r="BM194" t="str">
        <f>IFERROR(INDEX(_names_lookup!$B:$B,MATCH(BK194,_names_lookup!$A:$A,0)),"")</f>
        <v/>
      </c>
      <c r="BS194" t="str">
        <f t="shared" ref="BS194:BS257" si="43">IFERROR(IF(BR194*AA194=0,"",BR194*AA194),"")</f>
        <v/>
      </c>
    </row>
    <row r="195" spans="15:71" x14ac:dyDescent="0.2">
      <c r="O195" t="str">
        <f>IFERROR(INDEX(_courses_lookup!$C:$C,MATCH(K195&amp;L195,_courses_lookup!$E:$E,0)),"")</f>
        <v/>
      </c>
      <c r="P195" t="str">
        <f>IFERROR(INDEX(_courses_lookup!$D:$D,MATCH(K195&amp;L195,_courses_lookup!$E:$E,0)),"")</f>
        <v/>
      </c>
      <c r="AG195" t="str">
        <f t="shared" si="33"/>
        <v/>
      </c>
      <c r="AI195" t="str">
        <f t="shared" si="34"/>
        <v/>
      </c>
      <c r="AL195" t="str">
        <f t="shared" si="35"/>
        <v/>
      </c>
      <c r="AN195" t="str">
        <f t="shared" si="36"/>
        <v/>
      </c>
      <c r="AQ195" t="str">
        <f t="shared" si="37"/>
        <v/>
      </c>
      <c r="AR195" t="str">
        <f t="shared" si="38"/>
        <v/>
      </c>
      <c r="AS195" t="str">
        <f t="shared" si="39"/>
        <v/>
      </c>
      <c r="AT195" t="str">
        <f t="shared" si="40"/>
        <v/>
      </c>
      <c r="BG195" t="str">
        <f t="shared" si="41"/>
        <v/>
      </c>
      <c r="BH195" t="str">
        <f t="shared" si="42"/>
        <v/>
      </c>
      <c r="BL195" t="str">
        <f>IFERROR(INDEX(_names_lookup!$C:$C,MATCH(BK195,_names_lookup!$A:$A,0)),"")</f>
        <v/>
      </c>
      <c r="BM195" t="str">
        <f>IFERROR(INDEX(_names_lookup!$B:$B,MATCH(BK195,_names_lookup!$A:$A,0)),"")</f>
        <v/>
      </c>
      <c r="BS195" t="str">
        <f t="shared" si="43"/>
        <v/>
      </c>
    </row>
    <row r="196" spans="15:71" x14ac:dyDescent="0.2">
      <c r="O196" t="str">
        <f>IFERROR(INDEX(_courses_lookup!$C:$C,MATCH(K196&amp;L196,_courses_lookup!$E:$E,0)),"")</f>
        <v/>
      </c>
      <c r="P196" t="str">
        <f>IFERROR(INDEX(_courses_lookup!$D:$D,MATCH(K196&amp;L196,_courses_lookup!$E:$E,0)),"")</f>
        <v/>
      </c>
      <c r="AG196" t="str">
        <f t="shared" si="33"/>
        <v/>
      </c>
      <c r="AI196" t="str">
        <f t="shared" si="34"/>
        <v/>
      </c>
      <c r="AL196" t="str">
        <f t="shared" si="35"/>
        <v/>
      </c>
      <c r="AN196" t="str">
        <f t="shared" si="36"/>
        <v/>
      </c>
      <c r="AQ196" t="str">
        <f t="shared" si="37"/>
        <v/>
      </c>
      <c r="AR196" t="str">
        <f t="shared" si="38"/>
        <v/>
      </c>
      <c r="AS196" t="str">
        <f t="shared" si="39"/>
        <v/>
      </c>
      <c r="AT196" t="str">
        <f t="shared" si="40"/>
        <v/>
      </c>
      <c r="BG196" t="str">
        <f t="shared" si="41"/>
        <v/>
      </c>
      <c r="BH196" t="str">
        <f t="shared" si="42"/>
        <v/>
      </c>
      <c r="BL196" t="str">
        <f>IFERROR(INDEX(_names_lookup!$C:$C,MATCH(BK196,_names_lookup!$A:$A,0)),"")</f>
        <v/>
      </c>
      <c r="BM196" t="str">
        <f>IFERROR(INDEX(_names_lookup!$B:$B,MATCH(BK196,_names_lookup!$A:$A,0)),"")</f>
        <v/>
      </c>
      <c r="BS196" t="str">
        <f t="shared" si="43"/>
        <v/>
      </c>
    </row>
    <row r="197" spans="15:71" x14ac:dyDescent="0.2">
      <c r="O197" t="str">
        <f>IFERROR(INDEX(_courses_lookup!$C:$C,MATCH(K197&amp;L197,_courses_lookup!$E:$E,0)),"")</f>
        <v/>
      </c>
      <c r="P197" t="str">
        <f>IFERROR(INDEX(_courses_lookup!$D:$D,MATCH(K197&amp;L197,_courses_lookup!$E:$E,0)),"")</f>
        <v/>
      </c>
      <c r="AG197" t="str">
        <f t="shared" si="33"/>
        <v/>
      </c>
      <c r="AI197" t="str">
        <f t="shared" si="34"/>
        <v/>
      </c>
      <c r="AL197" t="str">
        <f t="shared" si="35"/>
        <v/>
      </c>
      <c r="AN197" t="str">
        <f t="shared" si="36"/>
        <v/>
      </c>
      <c r="AQ197" t="str">
        <f t="shared" si="37"/>
        <v/>
      </c>
      <c r="AR197" t="str">
        <f t="shared" si="38"/>
        <v/>
      </c>
      <c r="AS197" t="str">
        <f t="shared" si="39"/>
        <v/>
      </c>
      <c r="AT197" t="str">
        <f t="shared" si="40"/>
        <v/>
      </c>
      <c r="BG197" t="str">
        <f t="shared" si="41"/>
        <v/>
      </c>
      <c r="BH197" t="str">
        <f t="shared" si="42"/>
        <v/>
      </c>
      <c r="BL197" t="str">
        <f>IFERROR(INDEX(_names_lookup!$C:$C,MATCH(BK197,_names_lookup!$A:$A,0)),"")</f>
        <v/>
      </c>
      <c r="BM197" t="str">
        <f>IFERROR(INDEX(_names_lookup!$B:$B,MATCH(BK197,_names_lookup!$A:$A,0)),"")</f>
        <v/>
      </c>
      <c r="BS197" t="str">
        <f t="shared" si="43"/>
        <v/>
      </c>
    </row>
    <row r="198" spans="15:71" x14ac:dyDescent="0.2">
      <c r="O198" t="str">
        <f>IFERROR(INDEX(_courses_lookup!$C:$C,MATCH(K198&amp;L198,_courses_lookup!$E:$E,0)),"")</f>
        <v/>
      </c>
      <c r="P198" t="str">
        <f>IFERROR(INDEX(_courses_lookup!$D:$D,MATCH(K198&amp;L198,_courses_lookup!$E:$E,0)),"")</f>
        <v/>
      </c>
      <c r="AG198" t="str">
        <f t="shared" si="33"/>
        <v/>
      </c>
      <c r="AI198" t="str">
        <f t="shared" si="34"/>
        <v/>
      </c>
      <c r="AL198" t="str">
        <f t="shared" si="35"/>
        <v/>
      </c>
      <c r="AN198" t="str">
        <f t="shared" si="36"/>
        <v/>
      </c>
      <c r="AQ198" t="str">
        <f t="shared" si="37"/>
        <v/>
      </c>
      <c r="AR198" t="str">
        <f t="shared" si="38"/>
        <v/>
      </c>
      <c r="AS198" t="str">
        <f t="shared" si="39"/>
        <v/>
      </c>
      <c r="AT198" t="str">
        <f t="shared" si="40"/>
        <v/>
      </c>
      <c r="BG198" t="str">
        <f t="shared" si="41"/>
        <v/>
      </c>
      <c r="BH198" t="str">
        <f t="shared" si="42"/>
        <v/>
      </c>
      <c r="BL198" t="str">
        <f>IFERROR(INDEX(_names_lookup!$C:$C,MATCH(BK198,_names_lookup!$A:$A,0)),"")</f>
        <v/>
      </c>
      <c r="BM198" t="str">
        <f>IFERROR(INDEX(_names_lookup!$B:$B,MATCH(BK198,_names_lookup!$A:$A,0)),"")</f>
        <v/>
      </c>
      <c r="BS198" t="str">
        <f t="shared" si="43"/>
        <v/>
      </c>
    </row>
    <row r="199" spans="15:71" x14ac:dyDescent="0.2">
      <c r="O199" t="str">
        <f>IFERROR(INDEX(_courses_lookup!$C:$C,MATCH(K199&amp;L199,_courses_lookup!$E:$E,0)),"")</f>
        <v/>
      </c>
      <c r="P199" t="str">
        <f>IFERROR(INDEX(_courses_lookup!$D:$D,MATCH(K199&amp;L199,_courses_lookup!$E:$E,0)),"")</f>
        <v/>
      </c>
      <c r="AG199" t="str">
        <f t="shared" si="33"/>
        <v/>
      </c>
      <c r="AI199" t="str">
        <f t="shared" si="34"/>
        <v/>
      </c>
      <c r="AL199" t="str">
        <f t="shared" si="35"/>
        <v/>
      </c>
      <c r="AN199" t="str">
        <f t="shared" si="36"/>
        <v/>
      </c>
      <c r="AQ199" t="str">
        <f t="shared" si="37"/>
        <v/>
      </c>
      <c r="AR199" t="str">
        <f t="shared" si="38"/>
        <v/>
      </c>
      <c r="AS199" t="str">
        <f t="shared" si="39"/>
        <v/>
      </c>
      <c r="AT199" t="str">
        <f t="shared" si="40"/>
        <v/>
      </c>
      <c r="BG199" t="str">
        <f t="shared" si="41"/>
        <v/>
      </c>
      <c r="BH199" t="str">
        <f t="shared" si="42"/>
        <v/>
      </c>
      <c r="BL199" t="str">
        <f>IFERROR(INDEX(_names_lookup!$C:$C,MATCH(BK199,_names_lookup!$A:$A,0)),"")</f>
        <v/>
      </c>
      <c r="BM199" t="str">
        <f>IFERROR(INDEX(_names_lookup!$B:$B,MATCH(BK199,_names_lookup!$A:$A,0)),"")</f>
        <v/>
      </c>
      <c r="BS199" t="str">
        <f t="shared" si="43"/>
        <v/>
      </c>
    </row>
    <row r="200" spans="15:71" x14ac:dyDescent="0.2">
      <c r="O200" t="str">
        <f>IFERROR(INDEX(_courses_lookup!$C:$C,MATCH(K200&amp;L200,_courses_lookup!$E:$E,0)),"")</f>
        <v/>
      </c>
      <c r="P200" t="str">
        <f>IFERROR(INDEX(_courses_lookup!$D:$D,MATCH(K200&amp;L200,_courses_lookup!$E:$E,0)),"")</f>
        <v/>
      </c>
      <c r="AG200" t="str">
        <f t="shared" si="33"/>
        <v/>
      </c>
      <c r="AI200" t="str">
        <f t="shared" si="34"/>
        <v/>
      </c>
      <c r="AL200" t="str">
        <f t="shared" si="35"/>
        <v/>
      </c>
      <c r="AN200" t="str">
        <f t="shared" si="36"/>
        <v/>
      </c>
      <c r="AQ200" t="str">
        <f t="shared" si="37"/>
        <v/>
      </c>
      <c r="AR200" t="str">
        <f t="shared" si="38"/>
        <v/>
      </c>
      <c r="AS200" t="str">
        <f t="shared" si="39"/>
        <v/>
      </c>
      <c r="AT200" t="str">
        <f t="shared" si="40"/>
        <v/>
      </c>
      <c r="BG200" t="str">
        <f t="shared" si="41"/>
        <v/>
      </c>
      <c r="BH200" t="str">
        <f t="shared" si="42"/>
        <v/>
      </c>
      <c r="BL200" t="str">
        <f>IFERROR(INDEX(_names_lookup!$C:$C,MATCH(BK200,_names_lookup!$A:$A,0)),"")</f>
        <v/>
      </c>
      <c r="BM200" t="str">
        <f>IFERROR(INDEX(_names_lookup!$B:$B,MATCH(BK200,_names_lookup!$A:$A,0)),"")</f>
        <v/>
      </c>
      <c r="BS200" t="str">
        <f t="shared" si="43"/>
        <v/>
      </c>
    </row>
    <row r="201" spans="15:71" x14ac:dyDescent="0.2">
      <c r="O201" t="str">
        <f>IFERROR(INDEX(_courses_lookup!$C:$C,MATCH(K201&amp;L201,_courses_lookup!$E:$E,0)),"")</f>
        <v/>
      </c>
      <c r="P201" t="str">
        <f>IFERROR(INDEX(_courses_lookup!$D:$D,MATCH(K201&amp;L201,_courses_lookup!$E:$E,0)),"")</f>
        <v/>
      </c>
      <c r="AG201" t="str">
        <f t="shared" si="33"/>
        <v/>
      </c>
      <c r="AI201" t="str">
        <f t="shared" si="34"/>
        <v/>
      </c>
      <c r="AL201" t="str">
        <f t="shared" si="35"/>
        <v/>
      </c>
      <c r="AN201" t="str">
        <f t="shared" si="36"/>
        <v/>
      </c>
      <c r="AQ201" t="str">
        <f t="shared" si="37"/>
        <v/>
      </c>
      <c r="AR201" t="str">
        <f t="shared" si="38"/>
        <v/>
      </c>
      <c r="AS201" t="str">
        <f t="shared" si="39"/>
        <v/>
      </c>
      <c r="AT201" t="str">
        <f t="shared" si="40"/>
        <v/>
      </c>
      <c r="BG201" t="str">
        <f t="shared" si="41"/>
        <v/>
      </c>
      <c r="BH201" t="str">
        <f t="shared" si="42"/>
        <v/>
      </c>
      <c r="BL201" t="str">
        <f>IFERROR(INDEX(_names_lookup!$C:$C,MATCH(BK201,_names_lookup!$A:$A,0)),"")</f>
        <v/>
      </c>
      <c r="BM201" t="str">
        <f>IFERROR(INDEX(_names_lookup!$B:$B,MATCH(BK201,_names_lookup!$A:$A,0)),"")</f>
        <v/>
      </c>
      <c r="BS201" t="str">
        <f t="shared" si="43"/>
        <v/>
      </c>
    </row>
    <row r="202" spans="15:71" x14ac:dyDescent="0.2">
      <c r="O202" t="str">
        <f>IFERROR(INDEX(_courses_lookup!$C:$C,MATCH(K202&amp;L202,_courses_lookup!$E:$E,0)),"")</f>
        <v/>
      </c>
      <c r="P202" t="str">
        <f>IFERROR(INDEX(_courses_lookup!$D:$D,MATCH(K202&amp;L202,_courses_lookup!$E:$E,0)),"")</f>
        <v/>
      </c>
      <c r="AG202" t="str">
        <f t="shared" si="33"/>
        <v/>
      </c>
      <c r="AI202" t="str">
        <f t="shared" si="34"/>
        <v/>
      </c>
      <c r="AL202" t="str">
        <f t="shared" si="35"/>
        <v/>
      </c>
      <c r="AN202" t="str">
        <f t="shared" si="36"/>
        <v/>
      </c>
      <c r="AQ202" t="str">
        <f t="shared" si="37"/>
        <v/>
      </c>
      <c r="AR202" t="str">
        <f t="shared" si="38"/>
        <v/>
      </c>
      <c r="AS202" t="str">
        <f t="shared" si="39"/>
        <v/>
      </c>
      <c r="AT202" t="str">
        <f t="shared" si="40"/>
        <v/>
      </c>
      <c r="BG202" t="str">
        <f t="shared" si="41"/>
        <v/>
      </c>
      <c r="BH202" t="str">
        <f t="shared" si="42"/>
        <v/>
      </c>
      <c r="BL202" t="str">
        <f>IFERROR(INDEX(_names_lookup!$C:$C,MATCH(BK202,_names_lookup!$A:$A,0)),"")</f>
        <v/>
      </c>
      <c r="BM202" t="str">
        <f>IFERROR(INDEX(_names_lookup!$B:$B,MATCH(BK202,_names_lookup!$A:$A,0)),"")</f>
        <v/>
      </c>
      <c r="BS202" t="str">
        <f t="shared" si="43"/>
        <v/>
      </c>
    </row>
    <row r="203" spans="15:71" x14ac:dyDescent="0.2">
      <c r="O203" t="str">
        <f>IFERROR(INDEX(_courses_lookup!$C:$C,MATCH(K203&amp;L203,_courses_lookup!$E:$E,0)),"")</f>
        <v/>
      </c>
      <c r="P203" t="str">
        <f>IFERROR(INDEX(_courses_lookup!$D:$D,MATCH(K203&amp;L203,_courses_lookup!$E:$E,0)),"")</f>
        <v/>
      </c>
      <c r="AG203" t="str">
        <f t="shared" si="33"/>
        <v/>
      </c>
      <c r="AI203" t="str">
        <f t="shared" si="34"/>
        <v/>
      </c>
      <c r="AL203" t="str">
        <f t="shared" si="35"/>
        <v/>
      </c>
      <c r="AN203" t="str">
        <f t="shared" si="36"/>
        <v/>
      </c>
      <c r="AQ203" t="str">
        <f t="shared" si="37"/>
        <v/>
      </c>
      <c r="AR203" t="str">
        <f t="shared" si="38"/>
        <v/>
      </c>
      <c r="AS203" t="str">
        <f t="shared" si="39"/>
        <v/>
      </c>
      <c r="AT203" t="str">
        <f t="shared" si="40"/>
        <v/>
      </c>
      <c r="BG203" t="str">
        <f t="shared" si="41"/>
        <v/>
      </c>
      <c r="BH203" t="str">
        <f t="shared" si="42"/>
        <v/>
      </c>
      <c r="BL203" t="str">
        <f>IFERROR(INDEX(_names_lookup!$C:$C,MATCH(BK203,_names_lookup!$A:$A,0)),"")</f>
        <v/>
      </c>
      <c r="BM203" t="str">
        <f>IFERROR(INDEX(_names_lookup!$B:$B,MATCH(BK203,_names_lookup!$A:$A,0)),"")</f>
        <v/>
      </c>
      <c r="BS203" t="str">
        <f t="shared" si="43"/>
        <v/>
      </c>
    </row>
    <row r="204" spans="15:71" x14ac:dyDescent="0.2">
      <c r="O204" t="str">
        <f>IFERROR(INDEX(_courses_lookup!$C:$C,MATCH(K204&amp;L204,_courses_lookup!$E:$E,0)),"")</f>
        <v/>
      </c>
      <c r="P204" t="str">
        <f>IFERROR(INDEX(_courses_lookup!$D:$D,MATCH(K204&amp;L204,_courses_lookup!$E:$E,0)),"")</f>
        <v/>
      </c>
      <c r="AG204" t="str">
        <f t="shared" si="33"/>
        <v/>
      </c>
      <c r="AI204" t="str">
        <f t="shared" si="34"/>
        <v/>
      </c>
      <c r="AL204" t="str">
        <f t="shared" si="35"/>
        <v/>
      </c>
      <c r="AN204" t="str">
        <f t="shared" si="36"/>
        <v/>
      </c>
      <c r="AQ204" t="str">
        <f t="shared" si="37"/>
        <v/>
      </c>
      <c r="AR204" t="str">
        <f t="shared" si="38"/>
        <v/>
      </c>
      <c r="AS204" t="str">
        <f t="shared" si="39"/>
        <v/>
      </c>
      <c r="AT204" t="str">
        <f t="shared" si="40"/>
        <v/>
      </c>
      <c r="BG204" t="str">
        <f t="shared" si="41"/>
        <v/>
      </c>
      <c r="BH204" t="str">
        <f t="shared" si="42"/>
        <v/>
      </c>
      <c r="BL204" t="str">
        <f>IFERROR(INDEX(_names_lookup!$C:$C,MATCH(BK204,_names_lookup!$A:$A,0)),"")</f>
        <v/>
      </c>
      <c r="BM204" t="str">
        <f>IFERROR(INDEX(_names_lookup!$B:$B,MATCH(BK204,_names_lookup!$A:$A,0)),"")</f>
        <v/>
      </c>
      <c r="BS204" t="str">
        <f t="shared" si="43"/>
        <v/>
      </c>
    </row>
    <row r="205" spans="15:71" x14ac:dyDescent="0.2">
      <c r="O205" t="str">
        <f>IFERROR(INDEX(_courses_lookup!$C:$C,MATCH(K205&amp;L205,_courses_lookup!$E:$E,0)),"")</f>
        <v/>
      </c>
      <c r="P205" t="str">
        <f>IFERROR(INDEX(_courses_lookup!$D:$D,MATCH(K205&amp;L205,_courses_lookup!$E:$E,0)),"")</f>
        <v/>
      </c>
      <c r="AG205" t="str">
        <f t="shared" si="33"/>
        <v/>
      </c>
      <c r="AI205" t="str">
        <f t="shared" si="34"/>
        <v/>
      </c>
      <c r="AL205" t="str">
        <f t="shared" si="35"/>
        <v/>
      </c>
      <c r="AN205" t="str">
        <f t="shared" si="36"/>
        <v/>
      </c>
      <c r="AQ205" t="str">
        <f t="shared" si="37"/>
        <v/>
      </c>
      <c r="AR205" t="str">
        <f t="shared" si="38"/>
        <v/>
      </c>
      <c r="AS205" t="str">
        <f t="shared" si="39"/>
        <v/>
      </c>
      <c r="AT205" t="str">
        <f t="shared" si="40"/>
        <v/>
      </c>
      <c r="BG205" t="str">
        <f t="shared" si="41"/>
        <v/>
      </c>
      <c r="BH205" t="str">
        <f t="shared" si="42"/>
        <v/>
      </c>
      <c r="BL205" t="str">
        <f>IFERROR(INDEX(_names_lookup!$C:$C,MATCH(BK205,_names_lookup!$A:$A,0)),"")</f>
        <v/>
      </c>
      <c r="BM205" t="str">
        <f>IFERROR(INDEX(_names_lookup!$B:$B,MATCH(BK205,_names_lookup!$A:$A,0)),"")</f>
        <v/>
      </c>
      <c r="BS205" t="str">
        <f t="shared" si="43"/>
        <v/>
      </c>
    </row>
    <row r="206" spans="15:71" x14ac:dyDescent="0.2">
      <c r="O206" t="str">
        <f>IFERROR(INDEX(_courses_lookup!$C:$C,MATCH(K206&amp;L206,_courses_lookup!$E:$E,0)),"")</f>
        <v/>
      </c>
      <c r="P206" t="str">
        <f>IFERROR(INDEX(_courses_lookup!$D:$D,MATCH(K206&amp;L206,_courses_lookup!$E:$E,0)),"")</f>
        <v/>
      </c>
      <c r="AG206" t="str">
        <f t="shared" si="33"/>
        <v/>
      </c>
      <c r="AI206" t="str">
        <f t="shared" si="34"/>
        <v/>
      </c>
      <c r="AL206" t="str">
        <f t="shared" si="35"/>
        <v/>
      </c>
      <c r="AN206" t="str">
        <f t="shared" si="36"/>
        <v/>
      </c>
      <c r="AQ206" t="str">
        <f t="shared" si="37"/>
        <v/>
      </c>
      <c r="AR206" t="str">
        <f t="shared" si="38"/>
        <v/>
      </c>
      <c r="AS206" t="str">
        <f t="shared" si="39"/>
        <v/>
      </c>
      <c r="AT206" t="str">
        <f t="shared" si="40"/>
        <v/>
      </c>
      <c r="BG206" t="str">
        <f t="shared" si="41"/>
        <v/>
      </c>
      <c r="BH206" t="str">
        <f t="shared" si="42"/>
        <v/>
      </c>
      <c r="BL206" t="str">
        <f>IFERROR(INDEX(_names_lookup!$C:$C,MATCH(BK206,_names_lookup!$A:$A,0)),"")</f>
        <v/>
      </c>
      <c r="BM206" t="str">
        <f>IFERROR(INDEX(_names_lookup!$B:$B,MATCH(BK206,_names_lookup!$A:$A,0)),"")</f>
        <v/>
      </c>
      <c r="BS206" t="str">
        <f t="shared" si="43"/>
        <v/>
      </c>
    </row>
    <row r="207" spans="15:71" x14ac:dyDescent="0.2">
      <c r="O207" t="str">
        <f>IFERROR(INDEX(_courses_lookup!$C:$C,MATCH(K207&amp;L207,_courses_lookup!$E:$E,0)),"")</f>
        <v/>
      </c>
      <c r="P207" t="str">
        <f>IFERROR(INDEX(_courses_lookup!$D:$D,MATCH(K207&amp;L207,_courses_lookup!$E:$E,0)),"")</f>
        <v/>
      </c>
      <c r="AG207" t="str">
        <f t="shared" si="33"/>
        <v/>
      </c>
      <c r="AI207" t="str">
        <f t="shared" si="34"/>
        <v/>
      </c>
      <c r="AL207" t="str">
        <f t="shared" si="35"/>
        <v/>
      </c>
      <c r="AN207" t="str">
        <f t="shared" si="36"/>
        <v/>
      </c>
      <c r="AQ207" t="str">
        <f t="shared" si="37"/>
        <v/>
      </c>
      <c r="AR207" t="str">
        <f t="shared" si="38"/>
        <v/>
      </c>
      <c r="AS207" t="str">
        <f t="shared" si="39"/>
        <v/>
      </c>
      <c r="AT207" t="str">
        <f t="shared" si="40"/>
        <v/>
      </c>
      <c r="BG207" t="str">
        <f t="shared" si="41"/>
        <v/>
      </c>
      <c r="BH207" t="str">
        <f t="shared" si="42"/>
        <v/>
      </c>
      <c r="BL207" t="str">
        <f>IFERROR(INDEX(_names_lookup!$C:$C,MATCH(BK207,_names_lookup!$A:$A,0)),"")</f>
        <v/>
      </c>
      <c r="BM207" t="str">
        <f>IFERROR(INDEX(_names_lookup!$B:$B,MATCH(BK207,_names_lookup!$A:$A,0)),"")</f>
        <v/>
      </c>
      <c r="BS207" t="str">
        <f t="shared" si="43"/>
        <v/>
      </c>
    </row>
    <row r="208" spans="15:71" x14ac:dyDescent="0.2">
      <c r="O208" t="str">
        <f>IFERROR(INDEX(_courses_lookup!$C:$C,MATCH(K208&amp;L208,_courses_lookup!$E:$E,0)),"")</f>
        <v/>
      </c>
      <c r="P208" t="str">
        <f>IFERROR(INDEX(_courses_lookup!$D:$D,MATCH(K208&amp;L208,_courses_lookup!$E:$E,0)),"")</f>
        <v/>
      </c>
      <c r="AG208" t="str">
        <f t="shared" si="33"/>
        <v/>
      </c>
      <c r="AI208" t="str">
        <f t="shared" si="34"/>
        <v/>
      </c>
      <c r="AL208" t="str">
        <f t="shared" si="35"/>
        <v/>
      </c>
      <c r="AN208" t="str">
        <f t="shared" si="36"/>
        <v/>
      </c>
      <c r="AQ208" t="str">
        <f t="shared" si="37"/>
        <v/>
      </c>
      <c r="AR208" t="str">
        <f t="shared" si="38"/>
        <v/>
      </c>
      <c r="AS208" t="str">
        <f t="shared" si="39"/>
        <v/>
      </c>
      <c r="AT208" t="str">
        <f t="shared" si="40"/>
        <v/>
      </c>
      <c r="BG208" t="str">
        <f t="shared" si="41"/>
        <v/>
      </c>
      <c r="BH208" t="str">
        <f t="shared" si="42"/>
        <v/>
      </c>
      <c r="BL208" t="str">
        <f>IFERROR(INDEX(_names_lookup!$C:$C,MATCH(BK208,_names_lookup!$A:$A,0)),"")</f>
        <v/>
      </c>
      <c r="BM208" t="str">
        <f>IFERROR(INDEX(_names_lookup!$B:$B,MATCH(BK208,_names_lookup!$A:$A,0)),"")</f>
        <v/>
      </c>
      <c r="BS208" t="str">
        <f t="shared" si="43"/>
        <v/>
      </c>
    </row>
    <row r="209" spans="15:71" x14ac:dyDescent="0.2">
      <c r="O209" t="str">
        <f>IFERROR(INDEX(_courses_lookup!$C:$C,MATCH(K209&amp;L209,_courses_lookup!$E:$E,0)),"")</f>
        <v/>
      </c>
      <c r="P209" t="str">
        <f>IFERROR(INDEX(_courses_lookup!$D:$D,MATCH(K209&amp;L209,_courses_lookup!$E:$E,0)),"")</f>
        <v/>
      </c>
      <c r="AG209" t="str">
        <f t="shared" si="33"/>
        <v/>
      </c>
      <c r="AI209" t="str">
        <f t="shared" si="34"/>
        <v/>
      </c>
      <c r="AL209" t="str">
        <f t="shared" si="35"/>
        <v/>
      </c>
      <c r="AN209" t="str">
        <f t="shared" si="36"/>
        <v/>
      </c>
      <c r="AQ209" t="str">
        <f t="shared" si="37"/>
        <v/>
      </c>
      <c r="AR209" t="str">
        <f t="shared" si="38"/>
        <v/>
      </c>
      <c r="AS209" t="str">
        <f t="shared" si="39"/>
        <v/>
      </c>
      <c r="AT209" t="str">
        <f t="shared" si="40"/>
        <v/>
      </c>
      <c r="BG209" t="str">
        <f t="shared" si="41"/>
        <v/>
      </c>
      <c r="BH209" t="str">
        <f t="shared" si="42"/>
        <v/>
      </c>
      <c r="BL209" t="str">
        <f>IFERROR(INDEX(_names_lookup!$C:$C,MATCH(BK209,_names_lookup!$A:$A,0)),"")</f>
        <v/>
      </c>
      <c r="BM209" t="str">
        <f>IFERROR(INDEX(_names_lookup!$B:$B,MATCH(BK209,_names_lookup!$A:$A,0)),"")</f>
        <v/>
      </c>
      <c r="BS209" t="str">
        <f t="shared" si="43"/>
        <v/>
      </c>
    </row>
    <row r="210" spans="15:71" x14ac:dyDescent="0.2">
      <c r="O210" t="str">
        <f>IFERROR(INDEX(_courses_lookup!$C:$C,MATCH(K210&amp;L210,_courses_lookup!$E:$E,0)),"")</f>
        <v/>
      </c>
      <c r="P210" t="str">
        <f>IFERROR(INDEX(_courses_lookup!$D:$D,MATCH(K210&amp;L210,_courses_lookup!$E:$E,0)),"")</f>
        <v/>
      </c>
      <c r="AG210" t="str">
        <f t="shared" si="33"/>
        <v/>
      </c>
      <c r="AI210" t="str">
        <f t="shared" si="34"/>
        <v/>
      </c>
      <c r="AL210" t="str">
        <f t="shared" si="35"/>
        <v/>
      </c>
      <c r="AN210" t="str">
        <f t="shared" si="36"/>
        <v/>
      </c>
      <c r="AQ210" t="str">
        <f t="shared" si="37"/>
        <v/>
      </c>
      <c r="AR210" t="str">
        <f t="shared" si="38"/>
        <v/>
      </c>
      <c r="AS210" t="str">
        <f t="shared" si="39"/>
        <v/>
      </c>
      <c r="AT210" t="str">
        <f t="shared" si="40"/>
        <v/>
      </c>
      <c r="BG210" t="str">
        <f t="shared" si="41"/>
        <v/>
      </c>
      <c r="BH210" t="str">
        <f t="shared" si="42"/>
        <v/>
      </c>
      <c r="BL210" t="str">
        <f>IFERROR(INDEX(_names_lookup!$C:$C,MATCH(BK210,_names_lookup!$A:$A,0)),"")</f>
        <v/>
      </c>
      <c r="BM210" t="str">
        <f>IFERROR(INDEX(_names_lookup!$B:$B,MATCH(BK210,_names_lookup!$A:$A,0)),"")</f>
        <v/>
      </c>
      <c r="BS210" t="str">
        <f t="shared" si="43"/>
        <v/>
      </c>
    </row>
    <row r="211" spans="15:71" x14ac:dyDescent="0.2">
      <c r="O211" t="str">
        <f>IFERROR(INDEX(_courses_lookup!$C:$C,MATCH(K211&amp;L211,_courses_lookup!$E:$E,0)),"")</f>
        <v/>
      </c>
      <c r="P211" t="str">
        <f>IFERROR(INDEX(_courses_lookup!$D:$D,MATCH(K211&amp;L211,_courses_lookup!$E:$E,0)),"")</f>
        <v/>
      </c>
      <c r="AG211" t="str">
        <f t="shared" si="33"/>
        <v/>
      </c>
      <c r="AI211" t="str">
        <f t="shared" si="34"/>
        <v/>
      </c>
      <c r="AL211" t="str">
        <f t="shared" si="35"/>
        <v/>
      </c>
      <c r="AN211" t="str">
        <f t="shared" si="36"/>
        <v/>
      </c>
      <c r="AQ211" t="str">
        <f t="shared" si="37"/>
        <v/>
      </c>
      <c r="AR211" t="str">
        <f t="shared" si="38"/>
        <v/>
      </c>
      <c r="AS211" t="str">
        <f t="shared" si="39"/>
        <v/>
      </c>
      <c r="AT211" t="str">
        <f t="shared" si="40"/>
        <v/>
      </c>
      <c r="BG211" t="str">
        <f t="shared" si="41"/>
        <v/>
      </c>
      <c r="BH211" t="str">
        <f t="shared" si="42"/>
        <v/>
      </c>
      <c r="BL211" t="str">
        <f>IFERROR(INDEX(_names_lookup!$C:$C,MATCH(BK211,_names_lookup!$A:$A,0)),"")</f>
        <v/>
      </c>
      <c r="BM211" t="str">
        <f>IFERROR(INDEX(_names_lookup!$B:$B,MATCH(BK211,_names_lookup!$A:$A,0)),"")</f>
        <v/>
      </c>
      <c r="BS211" t="str">
        <f t="shared" si="43"/>
        <v/>
      </c>
    </row>
    <row r="212" spans="15:71" x14ac:dyDescent="0.2">
      <c r="O212" t="str">
        <f>IFERROR(INDEX(_courses_lookup!$C:$C,MATCH(K212&amp;L212,_courses_lookup!$E:$E,0)),"")</f>
        <v/>
      </c>
      <c r="P212" t="str">
        <f>IFERROR(INDEX(_courses_lookup!$D:$D,MATCH(K212&amp;L212,_courses_lookup!$E:$E,0)),"")</f>
        <v/>
      </c>
      <c r="AG212" t="str">
        <f t="shared" si="33"/>
        <v/>
      </c>
      <c r="AI212" t="str">
        <f t="shared" si="34"/>
        <v/>
      </c>
      <c r="AL212" t="str">
        <f t="shared" si="35"/>
        <v/>
      </c>
      <c r="AN212" t="str">
        <f t="shared" si="36"/>
        <v/>
      </c>
      <c r="AQ212" t="str">
        <f t="shared" si="37"/>
        <v/>
      </c>
      <c r="AR212" t="str">
        <f t="shared" si="38"/>
        <v/>
      </c>
      <c r="AS212" t="str">
        <f t="shared" si="39"/>
        <v/>
      </c>
      <c r="AT212" t="str">
        <f t="shared" si="40"/>
        <v/>
      </c>
      <c r="BG212" t="str">
        <f t="shared" si="41"/>
        <v/>
      </c>
      <c r="BH212" t="str">
        <f t="shared" si="42"/>
        <v/>
      </c>
      <c r="BL212" t="str">
        <f>IFERROR(INDEX(_names_lookup!$C:$C,MATCH(BK212,_names_lookup!$A:$A,0)),"")</f>
        <v/>
      </c>
      <c r="BM212" t="str">
        <f>IFERROR(INDEX(_names_lookup!$B:$B,MATCH(BK212,_names_lookup!$A:$A,0)),"")</f>
        <v/>
      </c>
      <c r="BS212" t="str">
        <f t="shared" si="43"/>
        <v/>
      </c>
    </row>
    <row r="213" spans="15:71" x14ac:dyDescent="0.2">
      <c r="O213" t="str">
        <f>IFERROR(INDEX(_courses_lookup!$C:$C,MATCH(K213&amp;L213,_courses_lookup!$E:$E,0)),"")</f>
        <v/>
      </c>
      <c r="P213" t="str">
        <f>IFERROR(INDEX(_courses_lookup!$D:$D,MATCH(K213&amp;L213,_courses_lookup!$E:$E,0)),"")</f>
        <v/>
      </c>
      <c r="AG213" t="str">
        <f t="shared" si="33"/>
        <v/>
      </c>
      <c r="AI213" t="str">
        <f t="shared" si="34"/>
        <v/>
      </c>
      <c r="AL213" t="str">
        <f t="shared" si="35"/>
        <v/>
      </c>
      <c r="AN213" t="str">
        <f t="shared" si="36"/>
        <v/>
      </c>
      <c r="AQ213" t="str">
        <f t="shared" si="37"/>
        <v/>
      </c>
      <c r="AR213" t="str">
        <f t="shared" si="38"/>
        <v/>
      </c>
      <c r="AS213" t="str">
        <f t="shared" si="39"/>
        <v/>
      </c>
      <c r="AT213" t="str">
        <f t="shared" si="40"/>
        <v/>
      </c>
      <c r="BG213" t="str">
        <f t="shared" si="41"/>
        <v/>
      </c>
      <c r="BH213" t="str">
        <f t="shared" si="42"/>
        <v/>
      </c>
      <c r="BL213" t="str">
        <f>IFERROR(INDEX(_names_lookup!$C:$C,MATCH(BK213,_names_lookup!$A:$A,0)),"")</f>
        <v/>
      </c>
      <c r="BM213" t="str">
        <f>IFERROR(INDEX(_names_lookup!$B:$B,MATCH(BK213,_names_lookup!$A:$A,0)),"")</f>
        <v/>
      </c>
      <c r="BS213" t="str">
        <f t="shared" si="43"/>
        <v/>
      </c>
    </row>
    <row r="214" spans="15:71" x14ac:dyDescent="0.2">
      <c r="O214" t="str">
        <f>IFERROR(INDEX(_courses_lookup!$C:$C,MATCH(K214&amp;L214,_courses_lookup!$E:$E,0)),"")</f>
        <v/>
      </c>
      <c r="P214" t="str">
        <f>IFERROR(INDEX(_courses_lookup!$D:$D,MATCH(K214&amp;L214,_courses_lookup!$E:$E,0)),"")</f>
        <v/>
      </c>
      <c r="AG214" t="str">
        <f t="shared" si="33"/>
        <v/>
      </c>
      <c r="AI214" t="str">
        <f t="shared" si="34"/>
        <v/>
      </c>
      <c r="AL214" t="str">
        <f t="shared" si="35"/>
        <v/>
      </c>
      <c r="AN214" t="str">
        <f t="shared" si="36"/>
        <v/>
      </c>
      <c r="AQ214" t="str">
        <f t="shared" si="37"/>
        <v/>
      </c>
      <c r="AR214" t="str">
        <f t="shared" si="38"/>
        <v/>
      </c>
      <c r="AS214" t="str">
        <f t="shared" si="39"/>
        <v/>
      </c>
      <c r="AT214" t="str">
        <f t="shared" si="40"/>
        <v/>
      </c>
      <c r="BG214" t="str">
        <f t="shared" si="41"/>
        <v/>
      </c>
      <c r="BH214" t="str">
        <f t="shared" si="42"/>
        <v/>
      </c>
      <c r="BL214" t="str">
        <f>IFERROR(INDEX(_names_lookup!$C:$C,MATCH(BK214,_names_lookup!$A:$A,0)),"")</f>
        <v/>
      </c>
      <c r="BM214" t="str">
        <f>IFERROR(INDEX(_names_lookup!$B:$B,MATCH(BK214,_names_lookup!$A:$A,0)),"")</f>
        <v/>
      </c>
      <c r="BS214" t="str">
        <f t="shared" si="43"/>
        <v/>
      </c>
    </row>
    <row r="215" spans="15:71" x14ac:dyDescent="0.2">
      <c r="O215" t="str">
        <f>IFERROR(INDEX(_courses_lookup!$C:$C,MATCH(K215&amp;L215,_courses_lookup!$E:$E,0)),"")</f>
        <v/>
      </c>
      <c r="P215" t="str">
        <f>IFERROR(INDEX(_courses_lookup!$D:$D,MATCH(K215&amp;L215,_courses_lookup!$E:$E,0)),"")</f>
        <v/>
      </c>
      <c r="AG215" t="str">
        <f t="shared" si="33"/>
        <v/>
      </c>
      <c r="AI215" t="str">
        <f t="shared" si="34"/>
        <v/>
      </c>
      <c r="AL215" t="str">
        <f t="shared" si="35"/>
        <v/>
      </c>
      <c r="AN215" t="str">
        <f t="shared" si="36"/>
        <v/>
      </c>
      <c r="AQ215" t="str">
        <f t="shared" si="37"/>
        <v/>
      </c>
      <c r="AR215" t="str">
        <f t="shared" si="38"/>
        <v/>
      </c>
      <c r="AS215" t="str">
        <f t="shared" si="39"/>
        <v/>
      </c>
      <c r="AT215" t="str">
        <f t="shared" si="40"/>
        <v/>
      </c>
      <c r="BG215" t="str">
        <f t="shared" si="41"/>
        <v/>
      </c>
      <c r="BH215" t="str">
        <f t="shared" si="42"/>
        <v/>
      </c>
      <c r="BL215" t="str">
        <f>IFERROR(INDEX(_names_lookup!$C:$C,MATCH(BK215,_names_lookup!$A:$A,0)),"")</f>
        <v/>
      </c>
      <c r="BM215" t="str">
        <f>IFERROR(INDEX(_names_lookup!$B:$B,MATCH(BK215,_names_lookup!$A:$A,0)),"")</f>
        <v/>
      </c>
      <c r="BS215" t="str">
        <f t="shared" si="43"/>
        <v/>
      </c>
    </row>
    <row r="216" spans="15:71" x14ac:dyDescent="0.2">
      <c r="O216" t="str">
        <f>IFERROR(INDEX(_courses_lookup!$C:$C,MATCH(K216&amp;L216,_courses_lookup!$E:$E,0)),"")</f>
        <v/>
      </c>
      <c r="P216" t="str">
        <f>IFERROR(INDEX(_courses_lookup!$D:$D,MATCH(K216&amp;L216,_courses_lookup!$E:$E,0)),"")</f>
        <v/>
      </c>
      <c r="AG216" t="str">
        <f t="shared" si="33"/>
        <v/>
      </c>
      <c r="AI216" t="str">
        <f t="shared" si="34"/>
        <v/>
      </c>
      <c r="AL216" t="str">
        <f t="shared" si="35"/>
        <v/>
      </c>
      <c r="AN216" t="str">
        <f t="shared" si="36"/>
        <v/>
      </c>
      <c r="AQ216" t="str">
        <f t="shared" si="37"/>
        <v/>
      </c>
      <c r="AR216" t="str">
        <f t="shared" si="38"/>
        <v/>
      </c>
      <c r="AS216" t="str">
        <f t="shared" si="39"/>
        <v/>
      </c>
      <c r="AT216" t="str">
        <f t="shared" si="40"/>
        <v/>
      </c>
      <c r="BG216" t="str">
        <f t="shared" si="41"/>
        <v/>
      </c>
      <c r="BH216" t="str">
        <f t="shared" si="42"/>
        <v/>
      </c>
      <c r="BL216" t="str">
        <f>IFERROR(INDEX(_names_lookup!$C:$C,MATCH(BK216,_names_lookup!$A:$A,0)),"")</f>
        <v/>
      </c>
      <c r="BM216" t="str">
        <f>IFERROR(INDEX(_names_lookup!$B:$B,MATCH(BK216,_names_lookup!$A:$A,0)),"")</f>
        <v/>
      </c>
      <c r="BS216" t="str">
        <f t="shared" si="43"/>
        <v/>
      </c>
    </row>
    <row r="217" spans="15:71" x14ac:dyDescent="0.2">
      <c r="O217" t="str">
        <f>IFERROR(INDEX(_courses_lookup!$C:$C,MATCH(K217&amp;L217,_courses_lookup!$E:$E,0)),"")</f>
        <v/>
      </c>
      <c r="P217" t="str">
        <f>IFERROR(INDEX(_courses_lookup!$D:$D,MATCH(K217&amp;L217,_courses_lookup!$E:$E,0)),"")</f>
        <v/>
      </c>
      <c r="AG217" t="str">
        <f t="shared" si="33"/>
        <v/>
      </c>
      <c r="AI217" t="str">
        <f t="shared" si="34"/>
        <v/>
      </c>
      <c r="AL217" t="str">
        <f t="shared" si="35"/>
        <v/>
      </c>
      <c r="AN217" t="str">
        <f t="shared" si="36"/>
        <v/>
      </c>
      <c r="AQ217" t="str">
        <f t="shared" si="37"/>
        <v/>
      </c>
      <c r="AR217" t="str">
        <f t="shared" si="38"/>
        <v/>
      </c>
      <c r="AS217" t="str">
        <f t="shared" si="39"/>
        <v/>
      </c>
      <c r="AT217" t="str">
        <f t="shared" si="40"/>
        <v/>
      </c>
      <c r="BG217" t="str">
        <f t="shared" si="41"/>
        <v/>
      </c>
      <c r="BH217" t="str">
        <f t="shared" si="42"/>
        <v/>
      </c>
      <c r="BL217" t="str">
        <f>IFERROR(INDEX(_names_lookup!$C:$C,MATCH(BK217,_names_lookup!$A:$A,0)),"")</f>
        <v/>
      </c>
      <c r="BM217" t="str">
        <f>IFERROR(INDEX(_names_lookup!$B:$B,MATCH(BK217,_names_lookup!$A:$A,0)),"")</f>
        <v/>
      </c>
      <c r="BS217" t="str">
        <f t="shared" si="43"/>
        <v/>
      </c>
    </row>
    <row r="218" spans="15:71" x14ac:dyDescent="0.2">
      <c r="O218" t="str">
        <f>IFERROR(INDEX(_courses_lookup!$C:$C,MATCH(K218&amp;L218,_courses_lookup!$E:$E,0)),"")</f>
        <v/>
      </c>
      <c r="P218" t="str">
        <f>IFERROR(INDEX(_courses_lookup!$D:$D,MATCH(K218&amp;L218,_courses_lookup!$E:$E,0)),"")</f>
        <v/>
      </c>
      <c r="AG218" t="str">
        <f t="shared" si="33"/>
        <v/>
      </c>
      <c r="AI218" t="str">
        <f t="shared" si="34"/>
        <v/>
      </c>
      <c r="AL218" t="str">
        <f t="shared" si="35"/>
        <v/>
      </c>
      <c r="AN218" t="str">
        <f t="shared" si="36"/>
        <v/>
      </c>
      <c r="AQ218" t="str">
        <f t="shared" si="37"/>
        <v/>
      </c>
      <c r="AR218" t="str">
        <f t="shared" si="38"/>
        <v/>
      </c>
      <c r="AS218" t="str">
        <f t="shared" si="39"/>
        <v/>
      </c>
      <c r="AT218" t="str">
        <f t="shared" si="40"/>
        <v/>
      </c>
      <c r="BG218" t="str">
        <f t="shared" si="41"/>
        <v/>
      </c>
      <c r="BH218" t="str">
        <f t="shared" si="42"/>
        <v/>
      </c>
      <c r="BL218" t="str">
        <f>IFERROR(INDEX(_names_lookup!$C:$C,MATCH(BK218,_names_lookup!$A:$A,0)),"")</f>
        <v/>
      </c>
      <c r="BM218" t="str">
        <f>IFERROR(INDEX(_names_lookup!$B:$B,MATCH(BK218,_names_lookup!$A:$A,0)),"")</f>
        <v/>
      </c>
      <c r="BS218" t="str">
        <f t="shared" si="43"/>
        <v/>
      </c>
    </row>
    <row r="219" spans="15:71" x14ac:dyDescent="0.2">
      <c r="O219" t="str">
        <f>IFERROR(INDEX(_courses_lookup!$C:$C,MATCH(K219&amp;L219,_courses_lookup!$E:$E,0)),"")</f>
        <v/>
      </c>
      <c r="P219" t="str">
        <f>IFERROR(INDEX(_courses_lookup!$D:$D,MATCH(K219&amp;L219,_courses_lookup!$E:$E,0)),"")</f>
        <v/>
      </c>
      <c r="AG219" t="str">
        <f t="shared" si="33"/>
        <v/>
      </c>
      <c r="AI219" t="str">
        <f t="shared" si="34"/>
        <v/>
      </c>
      <c r="AL219" t="str">
        <f t="shared" si="35"/>
        <v/>
      </c>
      <c r="AN219" t="str">
        <f t="shared" si="36"/>
        <v/>
      </c>
      <c r="AQ219" t="str">
        <f t="shared" si="37"/>
        <v/>
      </c>
      <c r="AR219" t="str">
        <f t="shared" si="38"/>
        <v/>
      </c>
      <c r="AS219" t="str">
        <f t="shared" si="39"/>
        <v/>
      </c>
      <c r="AT219" t="str">
        <f t="shared" si="40"/>
        <v/>
      </c>
      <c r="BG219" t="str">
        <f t="shared" si="41"/>
        <v/>
      </c>
      <c r="BH219" t="str">
        <f t="shared" si="42"/>
        <v/>
      </c>
      <c r="BL219" t="str">
        <f>IFERROR(INDEX(_names_lookup!$C:$C,MATCH(BK219,_names_lookup!$A:$A,0)),"")</f>
        <v/>
      </c>
      <c r="BM219" t="str">
        <f>IFERROR(INDEX(_names_lookup!$B:$B,MATCH(BK219,_names_lookup!$A:$A,0)),"")</f>
        <v/>
      </c>
      <c r="BS219" t="str">
        <f t="shared" si="43"/>
        <v/>
      </c>
    </row>
    <row r="220" spans="15:71" x14ac:dyDescent="0.2">
      <c r="O220" t="str">
        <f>IFERROR(INDEX(_courses_lookup!$C:$C,MATCH(K220&amp;L220,_courses_lookup!$E:$E,0)),"")</f>
        <v/>
      </c>
      <c r="P220" t="str">
        <f>IFERROR(INDEX(_courses_lookup!$D:$D,MATCH(K220&amp;L220,_courses_lookup!$E:$E,0)),"")</f>
        <v/>
      </c>
      <c r="AG220" t="str">
        <f t="shared" si="33"/>
        <v/>
      </c>
      <c r="AI220" t="str">
        <f t="shared" si="34"/>
        <v/>
      </c>
      <c r="AL220" t="str">
        <f t="shared" si="35"/>
        <v/>
      </c>
      <c r="AN220" t="str">
        <f t="shared" si="36"/>
        <v/>
      </c>
      <c r="AQ220" t="str">
        <f t="shared" si="37"/>
        <v/>
      </c>
      <c r="AR220" t="str">
        <f t="shared" si="38"/>
        <v/>
      </c>
      <c r="AS220" t="str">
        <f t="shared" si="39"/>
        <v/>
      </c>
      <c r="AT220" t="str">
        <f t="shared" si="40"/>
        <v/>
      </c>
      <c r="BG220" t="str">
        <f t="shared" si="41"/>
        <v/>
      </c>
      <c r="BH220" t="str">
        <f t="shared" si="42"/>
        <v/>
      </c>
      <c r="BL220" t="str">
        <f>IFERROR(INDEX(_names_lookup!$C:$C,MATCH(BK220,_names_lookup!$A:$A,0)),"")</f>
        <v/>
      </c>
      <c r="BM220" t="str">
        <f>IFERROR(INDEX(_names_lookup!$B:$B,MATCH(BK220,_names_lookup!$A:$A,0)),"")</f>
        <v/>
      </c>
      <c r="BS220" t="str">
        <f t="shared" si="43"/>
        <v/>
      </c>
    </row>
    <row r="221" spans="15:71" x14ac:dyDescent="0.2">
      <c r="O221" t="str">
        <f>IFERROR(INDEX(_courses_lookup!$C:$C,MATCH(K221&amp;L221,_courses_lookup!$E:$E,0)),"")</f>
        <v/>
      </c>
      <c r="P221" t="str">
        <f>IFERROR(INDEX(_courses_lookup!$D:$D,MATCH(K221&amp;L221,_courses_lookup!$E:$E,0)),"")</f>
        <v/>
      </c>
      <c r="AG221" t="str">
        <f t="shared" si="33"/>
        <v/>
      </c>
      <c r="AI221" t="str">
        <f t="shared" si="34"/>
        <v/>
      </c>
      <c r="AL221" t="str">
        <f t="shared" si="35"/>
        <v/>
      </c>
      <c r="AN221" t="str">
        <f t="shared" si="36"/>
        <v/>
      </c>
      <c r="AQ221" t="str">
        <f t="shared" si="37"/>
        <v/>
      </c>
      <c r="AR221" t="str">
        <f t="shared" si="38"/>
        <v/>
      </c>
      <c r="AS221" t="str">
        <f t="shared" si="39"/>
        <v/>
      </c>
      <c r="AT221" t="str">
        <f t="shared" si="40"/>
        <v/>
      </c>
      <c r="BG221" t="str">
        <f t="shared" si="41"/>
        <v/>
      </c>
      <c r="BH221" t="str">
        <f t="shared" si="42"/>
        <v/>
      </c>
      <c r="BL221" t="str">
        <f>IFERROR(INDEX(_names_lookup!$C:$C,MATCH(BK221,_names_lookup!$A:$A,0)),"")</f>
        <v/>
      </c>
      <c r="BM221" t="str">
        <f>IFERROR(INDEX(_names_lookup!$B:$B,MATCH(BK221,_names_lookup!$A:$A,0)),"")</f>
        <v/>
      </c>
      <c r="BS221" t="str">
        <f t="shared" si="43"/>
        <v/>
      </c>
    </row>
    <row r="222" spans="15:71" x14ac:dyDescent="0.2">
      <c r="O222" t="str">
        <f>IFERROR(INDEX(_courses_lookup!$C:$C,MATCH(K222&amp;L222,_courses_lookup!$E:$E,0)),"")</f>
        <v/>
      </c>
      <c r="P222" t="str">
        <f>IFERROR(INDEX(_courses_lookup!$D:$D,MATCH(K222&amp;L222,_courses_lookup!$E:$E,0)),"")</f>
        <v/>
      </c>
      <c r="AG222" t="str">
        <f t="shared" si="33"/>
        <v/>
      </c>
      <c r="AI222" t="str">
        <f t="shared" si="34"/>
        <v/>
      </c>
      <c r="AL222" t="str">
        <f t="shared" si="35"/>
        <v/>
      </c>
      <c r="AN222" t="str">
        <f t="shared" si="36"/>
        <v/>
      </c>
      <c r="AQ222" t="str">
        <f t="shared" si="37"/>
        <v/>
      </c>
      <c r="AR222" t="str">
        <f t="shared" si="38"/>
        <v/>
      </c>
      <c r="AS222" t="str">
        <f t="shared" si="39"/>
        <v/>
      </c>
      <c r="AT222" t="str">
        <f t="shared" si="40"/>
        <v/>
      </c>
      <c r="BG222" t="str">
        <f t="shared" si="41"/>
        <v/>
      </c>
      <c r="BH222" t="str">
        <f t="shared" si="42"/>
        <v/>
      </c>
      <c r="BL222" t="str">
        <f>IFERROR(INDEX(_names_lookup!$C:$C,MATCH(BK222,_names_lookup!$A:$A,0)),"")</f>
        <v/>
      </c>
      <c r="BM222" t="str">
        <f>IFERROR(INDEX(_names_lookup!$B:$B,MATCH(BK222,_names_lookup!$A:$A,0)),"")</f>
        <v/>
      </c>
      <c r="BS222" t="str">
        <f t="shared" si="43"/>
        <v/>
      </c>
    </row>
    <row r="223" spans="15:71" x14ac:dyDescent="0.2">
      <c r="O223" t="str">
        <f>IFERROR(INDEX(_courses_lookup!$C:$C,MATCH(K223&amp;L223,_courses_lookup!$E:$E,0)),"")</f>
        <v/>
      </c>
      <c r="P223" t="str">
        <f>IFERROR(INDEX(_courses_lookup!$D:$D,MATCH(K223&amp;L223,_courses_lookup!$E:$E,0)),"")</f>
        <v/>
      </c>
      <c r="AG223" t="str">
        <f t="shared" si="33"/>
        <v/>
      </c>
      <c r="AI223" t="str">
        <f t="shared" si="34"/>
        <v/>
      </c>
      <c r="AL223" t="str">
        <f t="shared" si="35"/>
        <v/>
      </c>
      <c r="AN223" t="str">
        <f t="shared" si="36"/>
        <v/>
      </c>
      <c r="AQ223" t="str">
        <f t="shared" si="37"/>
        <v/>
      </c>
      <c r="AR223" t="str">
        <f t="shared" si="38"/>
        <v/>
      </c>
      <c r="AS223" t="str">
        <f t="shared" si="39"/>
        <v/>
      </c>
      <c r="AT223" t="str">
        <f t="shared" si="40"/>
        <v/>
      </c>
      <c r="BG223" t="str">
        <f t="shared" si="41"/>
        <v/>
      </c>
      <c r="BH223" t="str">
        <f t="shared" si="42"/>
        <v/>
      </c>
      <c r="BL223" t="str">
        <f>IFERROR(INDEX(_names_lookup!$C:$C,MATCH(BK223,_names_lookup!$A:$A,0)),"")</f>
        <v/>
      </c>
      <c r="BM223" t="str">
        <f>IFERROR(INDEX(_names_lookup!$B:$B,MATCH(BK223,_names_lookup!$A:$A,0)),"")</f>
        <v/>
      </c>
      <c r="BS223" t="str">
        <f t="shared" si="43"/>
        <v/>
      </c>
    </row>
    <row r="224" spans="15:71" x14ac:dyDescent="0.2">
      <c r="O224" t="str">
        <f>IFERROR(INDEX(_courses_lookup!$C:$C,MATCH(K224&amp;L224,_courses_lookup!$E:$E,0)),"")</f>
        <v/>
      </c>
      <c r="P224" t="str">
        <f>IFERROR(INDEX(_courses_lookup!$D:$D,MATCH(K224&amp;L224,_courses_lookup!$E:$E,0)),"")</f>
        <v/>
      </c>
      <c r="AG224" t="str">
        <f t="shared" si="33"/>
        <v/>
      </c>
      <c r="AI224" t="str">
        <f t="shared" si="34"/>
        <v/>
      </c>
      <c r="AL224" t="str">
        <f t="shared" si="35"/>
        <v/>
      </c>
      <c r="AN224" t="str">
        <f t="shared" si="36"/>
        <v/>
      </c>
      <c r="AQ224" t="str">
        <f t="shared" si="37"/>
        <v/>
      </c>
      <c r="AR224" t="str">
        <f t="shared" si="38"/>
        <v/>
      </c>
      <c r="AS224" t="str">
        <f t="shared" si="39"/>
        <v/>
      </c>
      <c r="AT224" t="str">
        <f t="shared" si="40"/>
        <v/>
      </c>
      <c r="BG224" t="str">
        <f t="shared" si="41"/>
        <v/>
      </c>
      <c r="BH224" t="str">
        <f t="shared" si="42"/>
        <v/>
      </c>
      <c r="BL224" t="str">
        <f>IFERROR(INDEX(_names_lookup!$C:$C,MATCH(BK224,_names_lookup!$A:$A,0)),"")</f>
        <v/>
      </c>
      <c r="BM224" t="str">
        <f>IFERROR(INDEX(_names_lookup!$B:$B,MATCH(BK224,_names_lookup!$A:$A,0)),"")</f>
        <v/>
      </c>
      <c r="BS224" t="str">
        <f t="shared" si="43"/>
        <v/>
      </c>
    </row>
    <row r="225" spans="15:71" x14ac:dyDescent="0.2">
      <c r="O225" t="str">
        <f>IFERROR(INDEX(_courses_lookup!$C:$C,MATCH(K225&amp;L225,_courses_lookup!$E:$E,0)),"")</f>
        <v/>
      </c>
      <c r="P225" t="str">
        <f>IFERROR(INDEX(_courses_lookup!$D:$D,MATCH(K225&amp;L225,_courses_lookup!$E:$E,0)),"")</f>
        <v/>
      </c>
      <c r="AG225" t="str">
        <f t="shared" si="33"/>
        <v/>
      </c>
      <c r="AI225" t="str">
        <f t="shared" si="34"/>
        <v/>
      </c>
      <c r="AL225" t="str">
        <f t="shared" si="35"/>
        <v/>
      </c>
      <c r="AN225" t="str">
        <f t="shared" si="36"/>
        <v/>
      </c>
      <c r="AQ225" t="str">
        <f t="shared" si="37"/>
        <v/>
      </c>
      <c r="AR225" t="str">
        <f t="shared" si="38"/>
        <v/>
      </c>
      <c r="AS225" t="str">
        <f t="shared" si="39"/>
        <v/>
      </c>
      <c r="AT225" t="str">
        <f t="shared" si="40"/>
        <v/>
      </c>
      <c r="BG225" t="str">
        <f t="shared" si="41"/>
        <v/>
      </c>
      <c r="BH225" t="str">
        <f t="shared" si="42"/>
        <v/>
      </c>
      <c r="BL225" t="str">
        <f>IFERROR(INDEX(_names_lookup!$C:$C,MATCH(BK225,_names_lookup!$A:$A,0)),"")</f>
        <v/>
      </c>
      <c r="BM225" t="str">
        <f>IFERROR(INDEX(_names_lookup!$B:$B,MATCH(BK225,_names_lookup!$A:$A,0)),"")</f>
        <v/>
      </c>
      <c r="BS225" t="str">
        <f t="shared" si="43"/>
        <v/>
      </c>
    </row>
    <row r="226" spans="15:71" x14ac:dyDescent="0.2">
      <c r="O226" t="str">
        <f>IFERROR(INDEX(_courses_lookup!$C:$C,MATCH(K226&amp;L226,_courses_lookup!$E:$E,0)),"")</f>
        <v/>
      </c>
      <c r="P226" t="str">
        <f>IFERROR(INDEX(_courses_lookup!$D:$D,MATCH(K226&amp;L226,_courses_lookup!$E:$E,0)),"")</f>
        <v/>
      </c>
      <c r="AG226" t="str">
        <f t="shared" si="33"/>
        <v/>
      </c>
      <c r="AI226" t="str">
        <f t="shared" si="34"/>
        <v/>
      </c>
      <c r="AL226" t="str">
        <f t="shared" si="35"/>
        <v/>
      </c>
      <c r="AN226" t="str">
        <f t="shared" si="36"/>
        <v/>
      </c>
      <c r="AQ226" t="str">
        <f t="shared" si="37"/>
        <v/>
      </c>
      <c r="AR226" t="str">
        <f t="shared" si="38"/>
        <v/>
      </c>
      <c r="AS226" t="str">
        <f t="shared" si="39"/>
        <v/>
      </c>
      <c r="AT226" t="str">
        <f t="shared" si="40"/>
        <v/>
      </c>
      <c r="BG226" t="str">
        <f t="shared" si="41"/>
        <v/>
      </c>
      <c r="BH226" t="str">
        <f t="shared" si="42"/>
        <v/>
      </c>
      <c r="BL226" t="str">
        <f>IFERROR(INDEX(_names_lookup!$C:$C,MATCH(BK226,_names_lookup!$A:$A,0)),"")</f>
        <v/>
      </c>
      <c r="BM226" t="str">
        <f>IFERROR(INDEX(_names_lookup!$B:$B,MATCH(BK226,_names_lookup!$A:$A,0)),"")</f>
        <v/>
      </c>
      <c r="BS226" t="str">
        <f t="shared" si="43"/>
        <v/>
      </c>
    </row>
    <row r="227" spans="15:71" x14ac:dyDescent="0.2">
      <c r="O227" t="str">
        <f>IFERROR(INDEX(_courses_lookup!$C:$C,MATCH(K227&amp;L227,_courses_lookup!$E:$E,0)),"")</f>
        <v/>
      </c>
      <c r="P227" t="str">
        <f>IFERROR(INDEX(_courses_lookup!$D:$D,MATCH(K227&amp;L227,_courses_lookup!$E:$E,0)),"")</f>
        <v/>
      </c>
      <c r="AG227" t="str">
        <f t="shared" si="33"/>
        <v/>
      </c>
      <c r="AI227" t="str">
        <f t="shared" si="34"/>
        <v/>
      </c>
      <c r="AL227" t="str">
        <f t="shared" si="35"/>
        <v/>
      </c>
      <c r="AN227" t="str">
        <f t="shared" si="36"/>
        <v/>
      </c>
      <c r="AQ227" t="str">
        <f t="shared" si="37"/>
        <v/>
      </c>
      <c r="AR227" t="str">
        <f t="shared" si="38"/>
        <v/>
      </c>
      <c r="AS227" t="str">
        <f t="shared" si="39"/>
        <v/>
      </c>
      <c r="AT227" t="str">
        <f t="shared" si="40"/>
        <v/>
      </c>
      <c r="BG227" t="str">
        <f t="shared" si="41"/>
        <v/>
      </c>
      <c r="BH227" t="str">
        <f t="shared" si="42"/>
        <v/>
      </c>
      <c r="BL227" t="str">
        <f>IFERROR(INDEX(_names_lookup!$C:$C,MATCH(BK227,_names_lookup!$A:$A,0)),"")</f>
        <v/>
      </c>
      <c r="BM227" t="str">
        <f>IFERROR(INDEX(_names_lookup!$B:$B,MATCH(BK227,_names_lookup!$A:$A,0)),"")</f>
        <v/>
      </c>
      <c r="BS227" t="str">
        <f t="shared" si="43"/>
        <v/>
      </c>
    </row>
    <row r="228" spans="15:71" x14ac:dyDescent="0.2">
      <c r="O228" t="str">
        <f>IFERROR(INDEX(_courses_lookup!$C:$C,MATCH(K228&amp;L228,_courses_lookup!$E:$E,0)),"")</f>
        <v/>
      </c>
      <c r="P228" t="str">
        <f>IFERROR(INDEX(_courses_lookup!$D:$D,MATCH(K228&amp;L228,_courses_lookup!$E:$E,0)),"")</f>
        <v/>
      </c>
      <c r="AG228" t="str">
        <f t="shared" si="33"/>
        <v/>
      </c>
      <c r="AI228" t="str">
        <f t="shared" si="34"/>
        <v/>
      </c>
      <c r="AL228" t="str">
        <f t="shared" si="35"/>
        <v/>
      </c>
      <c r="AN228" t="str">
        <f t="shared" si="36"/>
        <v/>
      </c>
      <c r="AQ228" t="str">
        <f t="shared" si="37"/>
        <v/>
      </c>
      <c r="AR228" t="str">
        <f t="shared" si="38"/>
        <v/>
      </c>
      <c r="AS228" t="str">
        <f t="shared" si="39"/>
        <v/>
      </c>
      <c r="AT228" t="str">
        <f t="shared" si="40"/>
        <v/>
      </c>
      <c r="BG228" t="str">
        <f t="shared" si="41"/>
        <v/>
      </c>
      <c r="BH228" t="str">
        <f t="shared" si="42"/>
        <v/>
      </c>
      <c r="BL228" t="str">
        <f>IFERROR(INDEX(_names_lookup!$C:$C,MATCH(BK228,_names_lookup!$A:$A,0)),"")</f>
        <v/>
      </c>
      <c r="BM228" t="str">
        <f>IFERROR(INDEX(_names_lookup!$B:$B,MATCH(BK228,_names_lookup!$A:$A,0)),"")</f>
        <v/>
      </c>
      <c r="BS228" t="str">
        <f t="shared" si="43"/>
        <v/>
      </c>
    </row>
    <row r="229" spans="15:71" x14ac:dyDescent="0.2">
      <c r="O229" t="str">
        <f>IFERROR(INDEX(_courses_lookup!$C:$C,MATCH(K229&amp;L229,_courses_lookup!$E:$E,0)),"")</f>
        <v/>
      </c>
      <c r="P229" t="str">
        <f>IFERROR(INDEX(_courses_lookup!$D:$D,MATCH(K229&amp;L229,_courses_lookup!$E:$E,0)),"")</f>
        <v/>
      </c>
      <c r="AG229" t="str">
        <f t="shared" si="33"/>
        <v/>
      </c>
      <c r="AI229" t="str">
        <f t="shared" si="34"/>
        <v/>
      </c>
      <c r="AL229" t="str">
        <f t="shared" si="35"/>
        <v/>
      </c>
      <c r="AN229" t="str">
        <f t="shared" si="36"/>
        <v/>
      </c>
      <c r="AQ229" t="str">
        <f t="shared" si="37"/>
        <v/>
      </c>
      <c r="AR229" t="str">
        <f t="shared" si="38"/>
        <v/>
      </c>
      <c r="AS229" t="str">
        <f t="shared" si="39"/>
        <v/>
      </c>
      <c r="AT229" t="str">
        <f t="shared" si="40"/>
        <v/>
      </c>
      <c r="BG229" t="str">
        <f t="shared" si="41"/>
        <v/>
      </c>
      <c r="BH229" t="str">
        <f t="shared" si="42"/>
        <v/>
      </c>
      <c r="BL229" t="str">
        <f>IFERROR(INDEX(_names_lookup!$C:$C,MATCH(BK229,_names_lookup!$A:$A,0)),"")</f>
        <v/>
      </c>
      <c r="BM229" t="str">
        <f>IFERROR(INDEX(_names_lookup!$B:$B,MATCH(BK229,_names_lookup!$A:$A,0)),"")</f>
        <v/>
      </c>
      <c r="BS229" t="str">
        <f t="shared" si="43"/>
        <v/>
      </c>
    </row>
    <row r="230" spans="15:71" x14ac:dyDescent="0.2">
      <c r="O230" t="str">
        <f>IFERROR(INDEX(_courses_lookup!$C:$C,MATCH(K230&amp;L230,_courses_lookup!$E:$E,0)),"")</f>
        <v/>
      </c>
      <c r="P230" t="str">
        <f>IFERROR(INDEX(_courses_lookup!$D:$D,MATCH(K230&amp;L230,_courses_lookup!$E:$E,0)),"")</f>
        <v/>
      </c>
      <c r="AG230" t="str">
        <f t="shared" si="33"/>
        <v/>
      </c>
      <c r="AI230" t="str">
        <f t="shared" si="34"/>
        <v/>
      </c>
      <c r="AL230" t="str">
        <f t="shared" si="35"/>
        <v/>
      </c>
      <c r="AN230" t="str">
        <f t="shared" si="36"/>
        <v/>
      </c>
      <c r="AQ230" t="str">
        <f t="shared" si="37"/>
        <v/>
      </c>
      <c r="AR230" t="str">
        <f t="shared" si="38"/>
        <v/>
      </c>
      <c r="AS230" t="str">
        <f t="shared" si="39"/>
        <v/>
      </c>
      <c r="AT230" t="str">
        <f t="shared" si="40"/>
        <v/>
      </c>
      <c r="BG230" t="str">
        <f t="shared" si="41"/>
        <v/>
      </c>
      <c r="BH230" t="str">
        <f t="shared" si="42"/>
        <v/>
      </c>
      <c r="BL230" t="str">
        <f>IFERROR(INDEX(_names_lookup!$C:$C,MATCH(BK230,_names_lookup!$A:$A,0)),"")</f>
        <v/>
      </c>
      <c r="BM230" t="str">
        <f>IFERROR(INDEX(_names_lookup!$B:$B,MATCH(BK230,_names_lookup!$A:$A,0)),"")</f>
        <v/>
      </c>
      <c r="BS230" t="str">
        <f t="shared" si="43"/>
        <v/>
      </c>
    </row>
    <row r="231" spans="15:71" x14ac:dyDescent="0.2">
      <c r="O231" t="str">
        <f>IFERROR(INDEX(_courses_lookup!$C:$C,MATCH(K231&amp;L231,_courses_lookup!$E:$E,0)),"")</f>
        <v/>
      </c>
      <c r="P231" t="str">
        <f>IFERROR(INDEX(_courses_lookup!$D:$D,MATCH(K231&amp;L231,_courses_lookup!$E:$E,0)),"")</f>
        <v/>
      </c>
      <c r="AG231" t="str">
        <f t="shared" si="33"/>
        <v/>
      </c>
      <c r="AI231" t="str">
        <f t="shared" si="34"/>
        <v/>
      </c>
      <c r="AL231" t="str">
        <f t="shared" si="35"/>
        <v/>
      </c>
      <c r="AN231" t="str">
        <f t="shared" si="36"/>
        <v/>
      </c>
      <c r="AQ231" t="str">
        <f t="shared" si="37"/>
        <v/>
      </c>
      <c r="AR231" t="str">
        <f t="shared" si="38"/>
        <v/>
      </c>
      <c r="AS231" t="str">
        <f t="shared" si="39"/>
        <v/>
      </c>
      <c r="AT231" t="str">
        <f t="shared" si="40"/>
        <v/>
      </c>
      <c r="BG231" t="str">
        <f t="shared" si="41"/>
        <v/>
      </c>
      <c r="BH231" t="str">
        <f t="shared" si="42"/>
        <v/>
      </c>
      <c r="BL231" t="str">
        <f>IFERROR(INDEX(_names_lookup!$C:$C,MATCH(BK231,_names_lookup!$A:$A,0)),"")</f>
        <v/>
      </c>
      <c r="BM231" t="str">
        <f>IFERROR(INDEX(_names_lookup!$B:$B,MATCH(BK231,_names_lookup!$A:$A,0)),"")</f>
        <v/>
      </c>
      <c r="BS231" t="str">
        <f t="shared" si="43"/>
        <v/>
      </c>
    </row>
    <row r="232" spans="15:71" x14ac:dyDescent="0.2">
      <c r="O232" t="str">
        <f>IFERROR(INDEX(_courses_lookup!$C:$C,MATCH(K232&amp;L232,_courses_lookup!$E:$E,0)),"")</f>
        <v/>
      </c>
      <c r="P232" t="str">
        <f>IFERROR(INDEX(_courses_lookup!$D:$D,MATCH(K232&amp;L232,_courses_lookup!$E:$E,0)),"")</f>
        <v/>
      </c>
      <c r="AG232" t="str">
        <f t="shared" si="33"/>
        <v/>
      </c>
      <c r="AI232" t="str">
        <f t="shared" si="34"/>
        <v/>
      </c>
      <c r="AL232" t="str">
        <f t="shared" si="35"/>
        <v/>
      </c>
      <c r="AN232" t="str">
        <f t="shared" si="36"/>
        <v/>
      </c>
      <c r="AQ232" t="str">
        <f t="shared" si="37"/>
        <v/>
      </c>
      <c r="AR232" t="str">
        <f t="shared" si="38"/>
        <v/>
      </c>
      <c r="AS232" t="str">
        <f t="shared" si="39"/>
        <v/>
      </c>
      <c r="AT232" t="str">
        <f t="shared" si="40"/>
        <v/>
      </c>
      <c r="BG232" t="str">
        <f t="shared" si="41"/>
        <v/>
      </c>
      <c r="BH232" t="str">
        <f t="shared" si="42"/>
        <v/>
      </c>
      <c r="BL232" t="str">
        <f>IFERROR(INDEX(_names_lookup!$C:$C,MATCH(BK232,_names_lookup!$A:$A,0)),"")</f>
        <v/>
      </c>
      <c r="BM232" t="str">
        <f>IFERROR(INDEX(_names_lookup!$B:$B,MATCH(BK232,_names_lookup!$A:$A,0)),"")</f>
        <v/>
      </c>
      <c r="BS232" t="str">
        <f t="shared" si="43"/>
        <v/>
      </c>
    </row>
    <row r="233" spans="15:71" x14ac:dyDescent="0.2">
      <c r="O233" t="str">
        <f>IFERROR(INDEX(_courses_lookup!$C:$C,MATCH(K233&amp;L233,_courses_lookup!$E:$E,0)),"")</f>
        <v/>
      </c>
      <c r="P233" t="str">
        <f>IFERROR(INDEX(_courses_lookup!$D:$D,MATCH(K233&amp;L233,_courses_lookup!$E:$E,0)),"")</f>
        <v/>
      </c>
      <c r="AG233" t="str">
        <f t="shared" si="33"/>
        <v/>
      </c>
      <c r="AI233" t="str">
        <f t="shared" si="34"/>
        <v/>
      </c>
      <c r="AL233" t="str">
        <f t="shared" si="35"/>
        <v/>
      </c>
      <c r="AN233" t="str">
        <f t="shared" si="36"/>
        <v/>
      </c>
      <c r="AQ233" t="str">
        <f t="shared" si="37"/>
        <v/>
      </c>
      <c r="AR233" t="str">
        <f t="shared" si="38"/>
        <v/>
      </c>
      <c r="AS233" t="str">
        <f t="shared" si="39"/>
        <v/>
      </c>
      <c r="AT233" t="str">
        <f t="shared" si="40"/>
        <v/>
      </c>
      <c r="BG233" t="str">
        <f t="shared" si="41"/>
        <v/>
      </c>
      <c r="BH233" t="str">
        <f t="shared" si="42"/>
        <v/>
      </c>
      <c r="BL233" t="str">
        <f>IFERROR(INDEX(_names_lookup!$C:$C,MATCH(BK233,_names_lookup!$A:$A,0)),"")</f>
        <v/>
      </c>
      <c r="BM233" t="str">
        <f>IFERROR(INDEX(_names_lookup!$B:$B,MATCH(BK233,_names_lookup!$A:$A,0)),"")</f>
        <v/>
      </c>
      <c r="BS233" t="str">
        <f t="shared" si="43"/>
        <v/>
      </c>
    </row>
    <row r="234" spans="15:71" x14ac:dyDescent="0.2">
      <c r="O234" t="str">
        <f>IFERROR(INDEX(_courses_lookup!$C:$C,MATCH(K234&amp;L234,_courses_lookup!$E:$E,0)),"")</f>
        <v/>
      </c>
      <c r="P234" t="str">
        <f>IFERROR(INDEX(_courses_lookup!$D:$D,MATCH(K234&amp;L234,_courses_lookup!$E:$E,0)),"")</f>
        <v/>
      </c>
      <c r="AG234" t="str">
        <f t="shared" si="33"/>
        <v/>
      </c>
      <c r="AI234" t="str">
        <f t="shared" si="34"/>
        <v/>
      </c>
      <c r="AL234" t="str">
        <f t="shared" si="35"/>
        <v/>
      </c>
      <c r="AN234" t="str">
        <f t="shared" si="36"/>
        <v/>
      </c>
      <c r="AQ234" t="str">
        <f t="shared" si="37"/>
        <v/>
      </c>
      <c r="AR234" t="str">
        <f t="shared" si="38"/>
        <v/>
      </c>
      <c r="AS234" t="str">
        <f t="shared" si="39"/>
        <v/>
      </c>
      <c r="AT234" t="str">
        <f t="shared" si="40"/>
        <v/>
      </c>
      <c r="BG234" t="str">
        <f t="shared" si="41"/>
        <v/>
      </c>
      <c r="BH234" t="str">
        <f t="shared" si="42"/>
        <v/>
      </c>
      <c r="BL234" t="str">
        <f>IFERROR(INDEX(_names_lookup!$C:$C,MATCH(BK234,_names_lookup!$A:$A,0)),"")</f>
        <v/>
      </c>
      <c r="BM234" t="str">
        <f>IFERROR(INDEX(_names_lookup!$B:$B,MATCH(BK234,_names_lookup!$A:$A,0)),"")</f>
        <v/>
      </c>
      <c r="BS234" t="str">
        <f t="shared" si="43"/>
        <v/>
      </c>
    </row>
    <row r="235" spans="15:71" x14ac:dyDescent="0.2">
      <c r="O235" t="str">
        <f>IFERROR(INDEX(_courses_lookup!$C:$C,MATCH(K235&amp;L235,_courses_lookup!$E:$E,0)),"")</f>
        <v/>
      </c>
      <c r="P235" t="str">
        <f>IFERROR(INDEX(_courses_lookup!$D:$D,MATCH(K235&amp;L235,_courses_lookup!$E:$E,0)),"")</f>
        <v/>
      </c>
      <c r="AG235" t="str">
        <f t="shared" si="33"/>
        <v/>
      </c>
      <c r="AI235" t="str">
        <f t="shared" si="34"/>
        <v/>
      </c>
      <c r="AL235" t="str">
        <f t="shared" si="35"/>
        <v/>
      </c>
      <c r="AN235" t="str">
        <f t="shared" si="36"/>
        <v/>
      </c>
      <c r="AQ235" t="str">
        <f t="shared" si="37"/>
        <v/>
      </c>
      <c r="AR235" t="str">
        <f t="shared" si="38"/>
        <v/>
      </c>
      <c r="AS235" t="str">
        <f t="shared" si="39"/>
        <v/>
      </c>
      <c r="AT235" t="str">
        <f t="shared" si="40"/>
        <v/>
      </c>
      <c r="BG235" t="str">
        <f t="shared" si="41"/>
        <v/>
      </c>
      <c r="BH235" t="str">
        <f t="shared" si="42"/>
        <v/>
      </c>
      <c r="BL235" t="str">
        <f>IFERROR(INDEX(_names_lookup!$C:$C,MATCH(BK235,_names_lookup!$A:$A,0)),"")</f>
        <v/>
      </c>
      <c r="BM235" t="str">
        <f>IFERROR(INDEX(_names_lookup!$B:$B,MATCH(BK235,_names_lookup!$A:$A,0)),"")</f>
        <v/>
      </c>
      <c r="BS235" t="str">
        <f t="shared" si="43"/>
        <v/>
      </c>
    </row>
    <row r="236" spans="15:71" x14ac:dyDescent="0.2">
      <c r="O236" t="str">
        <f>IFERROR(INDEX(_courses_lookup!$C:$C,MATCH(K236&amp;L236,_courses_lookup!$E:$E,0)),"")</f>
        <v/>
      </c>
      <c r="P236" t="str">
        <f>IFERROR(INDEX(_courses_lookup!$D:$D,MATCH(K236&amp;L236,_courses_lookup!$E:$E,0)),"")</f>
        <v/>
      </c>
      <c r="AG236" t="str">
        <f t="shared" si="33"/>
        <v/>
      </c>
      <c r="AI236" t="str">
        <f t="shared" si="34"/>
        <v/>
      </c>
      <c r="AL236" t="str">
        <f t="shared" si="35"/>
        <v/>
      </c>
      <c r="AN236" t="str">
        <f t="shared" si="36"/>
        <v/>
      </c>
      <c r="AQ236" t="str">
        <f t="shared" si="37"/>
        <v/>
      </c>
      <c r="AR236" t="str">
        <f t="shared" si="38"/>
        <v/>
      </c>
      <c r="AS236" t="str">
        <f t="shared" si="39"/>
        <v/>
      </c>
      <c r="AT236" t="str">
        <f t="shared" si="40"/>
        <v/>
      </c>
      <c r="BG236" t="str">
        <f t="shared" si="41"/>
        <v/>
      </c>
      <c r="BH236" t="str">
        <f t="shared" si="42"/>
        <v/>
      </c>
      <c r="BL236" t="str">
        <f>IFERROR(INDEX(_names_lookup!$C:$C,MATCH(BK236,_names_lookup!$A:$A,0)),"")</f>
        <v/>
      </c>
      <c r="BM236" t="str">
        <f>IFERROR(INDEX(_names_lookup!$B:$B,MATCH(BK236,_names_lookup!$A:$A,0)),"")</f>
        <v/>
      </c>
      <c r="BS236" t="str">
        <f t="shared" si="43"/>
        <v/>
      </c>
    </row>
    <row r="237" spans="15:71" x14ac:dyDescent="0.2">
      <c r="O237" t="str">
        <f>IFERROR(INDEX(_courses_lookup!$C:$C,MATCH(K237&amp;L237,_courses_lookup!$E:$E,0)),"")</f>
        <v/>
      </c>
      <c r="P237" t="str">
        <f>IFERROR(INDEX(_courses_lookup!$D:$D,MATCH(K237&amp;L237,_courses_lookup!$E:$E,0)),"")</f>
        <v/>
      </c>
      <c r="AG237" t="str">
        <f t="shared" si="33"/>
        <v/>
      </c>
      <c r="AI237" t="str">
        <f t="shared" si="34"/>
        <v/>
      </c>
      <c r="AL237" t="str">
        <f t="shared" si="35"/>
        <v/>
      </c>
      <c r="AN237" t="str">
        <f t="shared" si="36"/>
        <v/>
      </c>
      <c r="AQ237" t="str">
        <f t="shared" si="37"/>
        <v/>
      </c>
      <c r="AR237" t="str">
        <f t="shared" si="38"/>
        <v/>
      </c>
      <c r="AS237" t="str">
        <f t="shared" si="39"/>
        <v/>
      </c>
      <c r="AT237" t="str">
        <f t="shared" si="40"/>
        <v/>
      </c>
      <c r="BG237" t="str">
        <f t="shared" si="41"/>
        <v/>
      </c>
      <c r="BH237" t="str">
        <f t="shared" si="42"/>
        <v/>
      </c>
      <c r="BL237" t="str">
        <f>IFERROR(INDEX(_names_lookup!$C:$C,MATCH(BK237,_names_lookup!$A:$A,0)),"")</f>
        <v/>
      </c>
      <c r="BM237" t="str">
        <f>IFERROR(INDEX(_names_lookup!$B:$B,MATCH(BK237,_names_lookup!$A:$A,0)),"")</f>
        <v/>
      </c>
      <c r="BS237" t="str">
        <f t="shared" si="43"/>
        <v/>
      </c>
    </row>
    <row r="238" spans="15:71" x14ac:dyDescent="0.2">
      <c r="O238" t="str">
        <f>IFERROR(INDEX(_courses_lookup!$C:$C,MATCH(K238&amp;L238,_courses_lookup!$E:$E,0)),"")</f>
        <v/>
      </c>
      <c r="P238" t="str">
        <f>IFERROR(INDEX(_courses_lookup!$D:$D,MATCH(K238&amp;L238,_courses_lookup!$E:$E,0)),"")</f>
        <v/>
      </c>
      <c r="AG238" t="str">
        <f t="shared" si="33"/>
        <v/>
      </c>
      <c r="AI238" t="str">
        <f t="shared" si="34"/>
        <v/>
      </c>
      <c r="AL238" t="str">
        <f t="shared" si="35"/>
        <v/>
      </c>
      <c r="AN238" t="str">
        <f t="shared" si="36"/>
        <v/>
      </c>
      <c r="AQ238" t="str">
        <f t="shared" si="37"/>
        <v/>
      </c>
      <c r="AR238" t="str">
        <f t="shared" si="38"/>
        <v/>
      </c>
      <c r="AS238" t="str">
        <f t="shared" si="39"/>
        <v/>
      </c>
      <c r="AT238" t="str">
        <f t="shared" si="40"/>
        <v/>
      </c>
      <c r="BG238" t="str">
        <f t="shared" si="41"/>
        <v/>
      </c>
      <c r="BH238" t="str">
        <f t="shared" si="42"/>
        <v/>
      </c>
      <c r="BL238" t="str">
        <f>IFERROR(INDEX(_names_lookup!$C:$C,MATCH(BK238,_names_lookup!$A:$A,0)),"")</f>
        <v/>
      </c>
      <c r="BM238" t="str">
        <f>IFERROR(INDEX(_names_lookup!$B:$B,MATCH(BK238,_names_lookup!$A:$A,0)),"")</f>
        <v/>
      </c>
      <c r="BS238" t="str">
        <f t="shared" si="43"/>
        <v/>
      </c>
    </row>
    <row r="239" spans="15:71" x14ac:dyDescent="0.2">
      <c r="O239" t="str">
        <f>IFERROR(INDEX(_courses_lookup!$C:$C,MATCH(K239&amp;L239,_courses_lookup!$E:$E,0)),"")</f>
        <v/>
      </c>
      <c r="P239" t="str">
        <f>IFERROR(INDEX(_courses_lookup!$D:$D,MATCH(K239&amp;L239,_courses_lookup!$E:$E,0)),"")</f>
        <v/>
      </c>
      <c r="AG239" t="str">
        <f t="shared" si="33"/>
        <v/>
      </c>
      <c r="AI239" t="str">
        <f t="shared" si="34"/>
        <v/>
      </c>
      <c r="AL239" t="str">
        <f t="shared" si="35"/>
        <v/>
      </c>
      <c r="AN239" t="str">
        <f t="shared" si="36"/>
        <v/>
      </c>
      <c r="AQ239" t="str">
        <f t="shared" si="37"/>
        <v/>
      </c>
      <c r="AR239" t="str">
        <f t="shared" si="38"/>
        <v/>
      </c>
      <c r="AS239" t="str">
        <f t="shared" si="39"/>
        <v/>
      </c>
      <c r="AT239" t="str">
        <f t="shared" si="40"/>
        <v/>
      </c>
      <c r="BG239" t="str">
        <f t="shared" si="41"/>
        <v/>
      </c>
      <c r="BH239" t="str">
        <f t="shared" si="42"/>
        <v/>
      </c>
      <c r="BL239" t="str">
        <f>IFERROR(INDEX(_names_lookup!$C:$C,MATCH(BK239,_names_lookup!$A:$A,0)),"")</f>
        <v/>
      </c>
      <c r="BM239" t="str">
        <f>IFERROR(INDEX(_names_lookup!$B:$B,MATCH(BK239,_names_lookup!$A:$A,0)),"")</f>
        <v/>
      </c>
      <c r="BS239" t="str">
        <f t="shared" si="43"/>
        <v/>
      </c>
    </row>
    <row r="240" spans="15:71" x14ac:dyDescent="0.2">
      <c r="O240" t="str">
        <f>IFERROR(INDEX(_courses_lookup!$C:$C,MATCH(K240&amp;L240,_courses_lookup!$E:$E,0)),"")</f>
        <v/>
      </c>
      <c r="P240" t="str">
        <f>IFERROR(INDEX(_courses_lookup!$D:$D,MATCH(K240&amp;L240,_courses_lookup!$E:$E,0)),"")</f>
        <v/>
      </c>
      <c r="AG240" t="str">
        <f t="shared" si="33"/>
        <v/>
      </c>
      <c r="AI240" t="str">
        <f t="shared" si="34"/>
        <v/>
      </c>
      <c r="AL240" t="str">
        <f t="shared" si="35"/>
        <v/>
      </c>
      <c r="AN240" t="str">
        <f t="shared" si="36"/>
        <v/>
      </c>
      <c r="AQ240" t="str">
        <f t="shared" si="37"/>
        <v/>
      </c>
      <c r="AR240" t="str">
        <f t="shared" si="38"/>
        <v/>
      </c>
      <c r="AS240" t="str">
        <f t="shared" si="39"/>
        <v/>
      </c>
      <c r="AT240" t="str">
        <f t="shared" si="40"/>
        <v/>
      </c>
      <c r="BG240" t="str">
        <f t="shared" si="41"/>
        <v/>
      </c>
      <c r="BH240" t="str">
        <f t="shared" si="42"/>
        <v/>
      </c>
      <c r="BL240" t="str">
        <f>IFERROR(INDEX(_names_lookup!$C:$C,MATCH(BK240,_names_lookup!$A:$A,0)),"")</f>
        <v/>
      </c>
      <c r="BM240" t="str">
        <f>IFERROR(INDEX(_names_lookup!$B:$B,MATCH(BK240,_names_lookup!$A:$A,0)),"")</f>
        <v/>
      </c>
      <c r="BS240" t="str">
        <f t="shared" si="43"/>
        <v/>
      </c>
    </row>
    <row r="241" spans="15:71" x14ac:dyDescent="0.2">
      <c r="O241" t="str">
        <f>IFERROR(INDEX(_courses_lookup!$C:$C,MATCH(K241&amp;L241,_courses_lookup!$E:$E,0)),"")</f>
        <v/>
      </c>
      <c r="P241" t="str">
        <f>IFERROR(INDEX(_courses_lookup!$D:$D,MATCH(K241&amp;L241,_courses_lookup!$E:$E,0)),"")</f>
        <v/>
      </c>
      <c r="AG241" t="str">
        <f t="shared" si="33"/>
        <v/>
      </c>
      <c r="AI241" t="str">
        <f t="shared" si="34"/>
        <v/>
      </c>
      <c r="AL241" t="str">
        <f t="shared" si="35"/>
        <v/>
      </c>
      <c r="AN241" t="str">
        <f t="shared" si="36"/>
        <v/>
      </c>
      <c r="AQ241" t="str">
        <f t="shared" si="37"/>
        <v/>
      </c>
      <c r="AR241" t="str">
        <f t="shared" si="38"/>
        <v/>
      </c>
      <c r="AS241" t="str">
        <f t="shared" si="39"/>
        <v/>
      </c>
      <c r="AT241" t="str">
        <f t="shared" si="40"/>
        <v/>
      </c>
      <c r="BG241" t="str">
        <f t="shared" si="41"/>
        <v/>
      </c>
      <c r="BH241" t="str">
        <f t="shared" si="42"/>
        <v/>
      </c>
      <c r="BL241" t="str">
        <f>IFERROR(INDEX(_names_lookup!$C:$C,MATCH(BK241,_names_lookup!$A:$A,0)),"")</f>
        <v/>
      </c>
      <c r="BM241" t="str">
        <f>IFERROR(INDEX(_names_lookup!$B:$B,MATCH(BK241,_names_lookup!$A:$A,0)),"")</f>
        <v/>
      </c>
      <c r="BS241" t="str">
        <f t="shared" si="43"/>
        <v/>
      </c>
    </row>
    <row r="242" spans="15:71" x14ac:dyDescent="0.2">
      <c r="O242" t="str">
        <f>IFERROR(INDEX(_courses_lookup!$C:$C,MATCH(K242&amp;L242,_courses_lookup!$E:$E,0)),"")</f>
        <v/>
      </c>
      <c r="P242" t="str">
        <f>IFERROR(INDEX(_courses_lookup!$D:$D,MATCH(K242&amp;L242,_courses_lookup!$E:$E,0)),"")</f>
        <v/>
      </c>
      <c r="AG242" t="str">
        <f t="shared" si="33"/>
        <v/>
      </c>
      <c r="AI242" t="str">
        <f t="shared" si="34"/>
        <v/>
      </c>
      <c r="AL242" t="str">
        <f t="shared" si="35"/>
        <v/>
      </c>
      <c r="AN242" t="str">
        <f t="shared" si="36"/>
        <v/>
      </c>
      <c r="AQ242" t="str">
        <f t="shared" si="37"/>
        <v/>
      </c>
      <c r="AR242" t="str">
        <f t="shared" si="38"/>
        <v/>
      </c>
      <c r="AS242" t="str">
        <f t="shared" si="39"/>
        <v/>
      </c>
      <c r="AT242" t="str">
        <f t="shared" si="40"/>
        <v/>
      </c>
      <c r="BG242" t="str">
        <f t="shared" si="41"/>
        <v/>
      </c>
      <c r="BH242" t="str">
        <f t="shared" si="42"/>
        <v/>
      </c>
      <c r="BL242" t="str">
        <f>IFERROR(INDEX(_names_lookup!$C:$C,MATCH(BK242,_names_lookup!$A:$A,0)),"")</f>
        <v/>
      </c>
      <c r="BM242" t="str">
        <f>IFERROR(INDEX(_names_lookup!$B:$B,MATCH(BK242,_names_lookup!$A:$A,0)),"")</f>
        <v/>
      </c>
      <c r="BS242" t="str">
        <f t="shared" si="43"/>
        <v/>
      </c>
    </row>
    <row r="243" spans="15:71" x14ac:dyDescent="0.2">
      <c r="O243" t="str">
        <f>IFERROR(INDEX(_courses_lookup!$C:$C,MATCH(K243&amp;L243,_courses_lookup!$E:$E,0)),"")</f>
        <v/>
      </c>
      <c r="P243" t="str">
        <f>IFERROR(INDEX(_courses_lookup!$D:$D,MATCH(K243&amp;L243,_courses_lookup!$E:$E,0)),"")</f>
        <v/>
      </c>
      <c r="AG243" t="str">
        <f t="shared" si="33"/>
        <v/>
      </c>
      <c r="AI243" t="str">
        <f t="shared" si="34"/>
        <v/>
      </c>
      <c r="AL243" t="str">
        <f t="shared" si="35"/>
        <v/>
      </c>
      <c r="AN243" t="str">
        <f t="shared" si="36"/>
        <v/>
      </c>
      <c r="AQ243" t="str">
        <f t="shared" si="37"/>
        <v/>
      </c>
      <c r="AR243" t="str">
        <f t="shared" si="38"/>
        <v/>
      </c>
      <c r="AS243" t="str">
        <f t="shared" si="39"/>
        <v/>
      </c>
      <c r="AT243" t="str">
        <f t="shared" si="40"/>
        <v/>
      </c>
      <c r="BG243" t="str">
        <f t="shared" si="41"/>
        <v/>
      </c>
      <c r="BH243" t="str">
        <f t="shared" si="42"/>
        <v/>
      </c>
      <c r="BL243" t="str">
        <f>IFERROR(INDEX(_names_lookup!$C:$C,MATCH(BK243,_names_lookup!$A:$A,0)),"")</f>
        <v/>
      </c>
      <c r="BM243" t="str">
        <f>IFERROR(INDEX(_names_lookup!$B:$B,MATCH(BK243,_names_lookup!$A:$A,0)),"")</f>
        <v/>
      </c>
      <c r="BS243" t="str">
        <f t="shared" si="43"/>
        <v/>
      </c>
    </row>
    <row r="244" spans="15:71" x14ac:dyDescent="0.2">
      <c r="O244" t="str">
        <f>IFERROR(INDEX(_courses_lookup!$C:$C,MATCH(K244&amp;L244,_courses_lookup!$E:$E,0)),"")</f>
        <v/>
      </c>
      <c r="P244" t="str">
        <f>IFERROR(INDEX(_courses_lookup!$D:$D,MATCH(K244&amp;L244,_courses_lookup!$E:$E,0)),"")</f>
        <v/>
      </c>
      <c r="AG244" t="str">
        <f t="shared" si="33"/>
        <v/>
      </c>
      <c r="AI244" t="str">
        <f t="shared" si="34"/>
        <v/>
      </c>
      <c r="AL244" t="str">
        <f t="shared" si="35"/>
        <v/>
      </c>
      <c r="AN244" t="str">
        <f t="shared" si="36"/>
        <v/>
      </c>
      <c r="AQ244" t="str">
        <f t="shared" si="37"/>
        <v/>
      </c>
      <c r="AR244" t="str">
        <f t="shared" si="38"/>
        <v/>
      </c>
      <c r="AS244" t="str">
        <f t="shared" si="39"/>
        <v/>
      </c>
      <c r="AT244" t="str">
        <f t="shared" si="40"/>
        <v/>
      </c>
      <c r="BG244" t="str">
        <f t="shared" si="41"/>
        <v/>
      </c>
      <c r="BH244" t="str">
        <f t="shared" si="42"/>
        <v/>
      </c>
      <c r="BL244" t="str">
        <f>IFERROR(INDEX(_names_lookup!$C:$C,MATCH(BK244,_names_lookup!$A:$A,0)),"")</f>
        <v/>
      </c>
      <c r="BM244" t="str">
        <f>IFERROR(INDEX(_names_lookup!$B:$B,MATCH(BK244,_names_lookup!$A:$A,0)),"")</f>
        <v/>
      </c>
      <c r="BS244" t="str">
        <f t="shared" si="43"/>
        <v/>
      </c>
    </row>
    <row r="245" spans="15:71" x14ac:dyDescent="0.2">
      <c r="O245" t="str">
        <f>IFERROR(INDEX(_courses_lookup!$C:$C,MATCH(K245&amp;L245,_courses_lookup!$E:$E,0)),"")</f>
        <v/>
      </c>
      <c r="P245" t="str">
        <f>IFERROR(INDEX(_courses_lookup!$D:$D,MATCH(K245&amp;L245,_courses_lookup!$E:$E,0)),"")</f>
        <v/>
      </c>
      <c r="AG245" t="str">
        <f t="shared" si="33"/>
        <v/>
      </c>
      <c r="AI245" t="str">
        <f t="shared" si="34"/>
        <v/>
      </c>
      <c r="AL245" t="str">
        <f t="shared" si="35"/>
        <v/>
      </c>
      <c r="AN245" t="str">
        <f t="shared" si="36"/>
        <v/>
      </c>
      <c r="AQ245" t="str">
        <f t="shared" si="37"/>
        <v/>
      </c>
      <c r="AR245" t="str">
        <f t="shared" si="38"/>
        <v/>
      </c>
      <c r="AS245" t="str">
        <f t="shared" si="39"/>
        <v/>
      </c>
      <c r="AT245" t="str">
        <f t="shared" si="40"/>
        <v/>
      </c>
      <c r="BG245" t="str">
        <f t="shared" si="41"/>
        <v/>
      </c>
      <c r="BH245" t="str">
        <f t="shared" si="42"/>
        <v/>
      </c>
      <c r="BL245" t="str">
        <f>IFERROR(INDEX(_names_lookup!$C:$C,MATCH(BK245,_names_lookup!$A:$A,0)),"")</f>
        <v/>
      </c>
      <c r="BM245" t="str">
        <f>IFERROR(INDEX(_names_lookup!$B:$B,MATCH(BK245,_names_lookup!$A:$A,0)),"")</f>
        <v/>
      </c>
      <c r="BS245" t="str">
        <f t="shared" si="43"/>
        <v/>
      </c>
    </row>
    <row r="246" spans="15:71" x14ac:dyDescent="0.2">
      <c r="O246" t="str">
        <f>IFERROR(INDEX(_courses_lookup!$C:$C,MATCH(K246&amp;L246,_courses_lookup!$E:$E,0)),"")</f>
        <v/>
      </c>
      <c r="P246" t="str">
        <f>IFERROR(INDEX(_courses_lookup!$D:$D,MATCH(K246&amp;L246,_courses_lookup!$E:$E,0)),"")</f>
        <v/>
      </c>
      <c r="AG246" t="str">
        <f t="shared" si="33"/>
        <v/>
      </c>
      <c r="AI246" t="str">
        <f t="shared" si="34"/>
        <v/>
      </c>
      <c r="AL246" t="str">
        <f t="shared" si="35"/>
        <v/>
      </c>
      <c r="AN246" t="str">
        <f t="shared" si="36"/>
        <v/>
      </c>
      <c r="AQ246" t="str">
        <f t="shared" si="37"/>
        <v/>
      </c>
      <c r="AR246" t="str">
        <f t="shared" si="38"/>
        <v/>
      </c>
      <c r="AS246" t="str">
        <f t="shared" si="39"/>
        <v/>
      </c>
      <c r="AT246" t="str">
        <f t="shared" si="40"/>
        <v/>
      </c>
      <c r="BG246" t="str">
        <f t="shared" si="41"/>
        <v/>
      </c>
      <c r="BH246" t="str">
        <f t="shared" si="42"/>
        <v/>
      </c>
      <c r="BL246" t="str">
        <f>IFERROR(INDEX(_names_lookup!$C:$C,MATCH(BK246,_names_lookup!$A:$A,0)),"")</f>
        <v/>
      </c>
      <c r="BM246" t="str">
        <f>IFERROR(INDEX(_names_lookup!$B:$B,MATCH(BK246,_names_lookup!$A:$A,0)),"")</f>
        <v/>
      </c>
      <c r="BS246" t="str">
        <f t="shared" si="43"/>
        <v/>
      </c>
    </row>
    <row r="247" spans="15:71" x14ac:dyDescent="0.2">
      <c r="O247" t="str">
        <f>IFERROR(INDEX(_courses_lookup!$C:$C,MATCH(K247&amp;L247,_courses_lookup!$E:$E,0)),"")</f>
        <v/>
      </c>
      <c r="P247" t="str">
        <f>IFERROR(INDEX(_courses_lookup!$D:$D,MATCH(K247&amp;L247,_courses_lookup!$E:$E,0)),"")</f>
        <v/>
      </c>
      <c r="AG247" t="str">
        <f t="shared" si="33"/>
        <v/>
      </c>
      <c r="AI247" t="str">
        <f t="shared" si="34"/>
        <v/>
      </c>
      <c r="AL247" t="str">
        <f t="shared" si="35"/>
        <v/>
      </c>
      <c r="AN247" t="str">
        <f t="shared" si="36"/>
        <v/>
      </c>
      <c r="AQ247" t="str">
        <f t="shared" si="37"/>
        <v/>
      </c>
      <c r="AR247" t="str">
        <f t="shared" si="38"/>
        <v/>
      </c>
      <c r="AS247" t="str">
        <f t="shared" si="39"/>
        <v/>
      </c>
      <c r="AT247" t="str">
        <f t="shared" si="40"/>
        <v/>
      </c>
      <c r="BG247" t="str">
        <f t="shared" si="41"/>
        <v/>
      </c>
      <c r="BH247" t="str">
        <f t="shared" si="42"/>
        <v/>
      </c>
      <c r="BL247" t="str">
        <f>IFERROR(INDEX(_names_lookup!$C:$C,MATCH(BK247,_names_lookup!$A:$A,0)),"")</f>
        <v/>
      </c>
      <c r="BM247" t="str">
        <f>IFERROR(INDEX(_names_lookup!$B:$B,MATCH(BK247,_names_lookup!$A:$A,0)),"")</f>
        <v/>
      </c>
      <c r="BS247" t="str">
        <f t="shared" si="43"/>
        <v/>
      </c>
    </row>
    <row r="248" spans="15:71" x14ac:dyDescent="0.2">
      <c r="O248" t="str">
        <f>IFERROR(INDEX(_courses_lookup!$C:$C,MATCH(K248&amp;L248,_courses_lookup!$E:$E,0)),"")</f>
        <v/>
      </c>
      <c r="P248" t="str">
        <f>IFERROR(INDEX(_courses_lookup!$D:$D,MATCH(K248&amp;L248,_courses_lookup!$E:$E,0)),"")</f>
        <v/>
      </c>
      <c r="AG248" t="str">
        <f t="shared" si="33"/>
        <v/>
      </c>
      <c r="AI248" t="str">
        <f t="shared" si="34"/>
        <v/>
      </c>
      <c r="AL248" t="str">
        <f t="shared" si="35"/>
        <v/>
      </c>
      <c r="AN248" t="str">
        <f t="shared" si="36"/>
        <v/>
      </c>
      <c r="AQ248" t="str">
        <f t="shared" si="37"/>
        <v/>
      </c>
      <c r="AR248" t="str">
        <f t="shared" si="38"/>
        <v/>
      </c>
      <c r="AS248" t="str">
        <f t="shared" si="39"/>
        <v/>
      </c>
      <c r="AT248" t="str">
        <f t="shared" si="40"/>
        <v/>
      </c>
      <c r="BG248" t="str">
        <f t="shared" si="41"/>
        <v/>
      </c>
      <c r="BH248" t="str">
        <f t="shared" si="42"/>
        <v/>
      </c>
      <c r="BL248" t="str">
        <f>IFERROR(INDEX(_names_lookup!$C:$C,MATCH(BK248,_names_lookup!$A:$A,0)),"")</f>
        <v/>
      </c>
      <c r="BM248" t="str">
        <f>IFERROR(INDEX(_names_lookup!$B:$B,MATCH(BK248,_names_lookup!$A:$A,0)),"")</f>
        <v/>
      </c>
      <c r="BS248" t="str">
        <f t="shared" si="43"/>
        <v/>
      </c>
    </row>
    <row r="249" spans="15:71" x14ac:dyDescent="0.2">
      <c r="O249" t="str">
        <f>IFERROR(INDEX(_courses_lookup!$C:$C,MATCH(K249&amp;L249,_courses_lookup!$E:$E,0)),"")</f>
        <v/>
      </c>
      <c r="P249" t="str">
        <f>IFERROR(INDEX(_courses_lookup!$D:$D,MATCH(K249&amp;L249,_courses_lookup!$E:$E,0)),"")</f>
        <v/>
      </c>
      <c r="AG249" t="str">
        <f t="shared" si="33"/>
        <v/>
      </c>
      <c r="AI249" t="str">
        <f t="shared" si="34"/>
        <v/>
      </c>
      <c r="AL249" t="str">
        <f t="shared" si="35"/>
        <v/>
      </c>
      <c r="AN249" t="str">
        <f t="shared" si="36"/>
        <v/>
      </c>
      <c r="AQ249" t="str">
        <f t="shared" si="37"/>
        <v/>
      </c>
      <c r="AR249" t="str">
        <f t="shared" si="38"/>
        <v/>
      </c>
      <c r="AS249" t="str">
        <f t="shared" si="39"/>
        <v/>
      </c>
      <c r="AT249" t="str">
        <f t="shared" si="40"/>
        <v/>
      </c>
      <c r="BG249" t="str">
        <f t="shared" si="41"/>
        <v/>
      </c>
      <c r="BH249" t="str">
        <f t="shared" si="42"/>
        <v/>
      </c>
      <c r="BL249" t="str">
        <f>IFERROR(INDEX(_names_lookup!$C:$C,MATCH(BK249,_names_lookup!$A:$A,0)),"")</f>
        <v/>
      </c>
      <c r="BM249" t="str">
        <f>IFERROR(INDEX(_names_lookup!$B:$B,MATCH(BK249,_names_lookup!$A:$A,0)),"")</f>
        <v/>
      </c>
      <c r="BS249" t="str">
        <f t="shared" si="43"/>
        <v/>
      </c>
    </row>
    <row r="250" spans="15:71" x14ac:dyDescent="0.2">
      <c r="O250" t="str">
        <f>IFERROR(INDEX(_courses_lookup!$C:$C,MATCH(K250&amp;L250,_courses_lookup!$E:$E,0)),"")</f>
        <v/>
      </c>
      <c r="P250" t="str">
        <f>IFERROR(INDEX(_courses_lookup!$D:$D,MATCH(K250&amp;L250,_courses_lookup!$E:$E,0)),"")</f>
        <v/>
      </c>
      <c r="AG250" t="str">
        <f t="shared" si="33"/>
        <v/>
      </c>
      <c r="AI250" t="str">
        <f t="shared" si="34"/>
        <v/>
      </c>
      <c r="AL250" t="str">
        <f t="shared" si="35"/>
        <v/>
      </c>
      <c r="AN250" t="str">
        <f t="shared" si="36"/>
        <v/>
      </c>
      <c r="AQ250" t="str">
        <f t="shared" si="37"/>
        <v/>
      </c>
      <c r="AR250" t="str">
        <f t="shared" si="38"/>
        <v/>
      </c>
      <c r="AS250" t="str">
        <f t="shared" si="39"/>
        <v/>
      </c>
      <c r="AT250" t="str">
        <f t="shared" si="40"/>
        <v/>
      </c>
      <c r="BG250" t="str">
        <f t="shared" si="41"/>
        <v/>
      </c>
      <c r="BH250" t="str">
        <f t="shared" si="42"/>
        <v/>
      </c>
      <c r="BL250" t="str">
        <f>IFERROR(INDEX(_names_lookup!$C:$C,MATCH(BK250,_names_lookup!$A:$A,0)),"")</f>
        <v/>
      </c>
      <c r="BM250" t="str">
        <f>IFERROR(INDEX(_names_lookup!$B:$B,MATCH(BK250,_names_lookup!$A:$A,0)),"")</f>
        <v/>
      </c>
      <c r="BS250" t="str">
        <f t="shared" si="43"/>
        <v/>
      </c>
    </row>
    <row r="251" spans="15:71" x14ac:dyDescent="0.2">
      <c r="O251" t="str">
        <f>IFERROR(INDEX(_courses_lookup!$C:$C,MATCH(K251&amp;L251,_courses_lookup!$E:$E,0)),"")</f>
        <v/>
      </c>
      <c r="P251" t="str">
        <f>IFERROR(INDEX(_courses_lookup!$D:$D,MATCH(K251&amp;L251,_courses_lookup!$E:$E,0)),"")</f>
        <v/>
      </c>
      <c r="AG251" t="str">
        <f t="shared" si="33"/>
        <v/>
      </c>
      <c r="AI251" t="str">
        <f t="shared" si="34"/>
        <v/>
      </c>
      <c r="AL251" t="str">
        <f t="shared" si="35"/>
        <v/>
      </c>
      <c r="AN251" t="str">
        <f t="shared" si="36"/>
        <v/>
      </c>
      <c r="AQ251" t="str">
        <f t="shared" si="37"/>
        <v/>
      </c>
      <c r="AR251" t="str">
        <f t="shared" si="38"/>
        <v/>
      </c>
      <c r="AS251" t="str">
        <f t="shared" si="39"/>
        <v/>
      </c>
      <c r="AT251" t="str">
        <f t="shared" si="40"/>
        <v/>
      </c>
      <c r="BG251" t="str">
        <f t="shared" si="41"/>
        <v/>
      </c>
      <c r="BH251" t="str">
        <f t="shared" si="42"/>
        <v/>
      </c>
      <c r="BL251" t="str">
        <f>IFERROR(INDEX(_names_lookup!$C:$C,MATCH(BK251,_names_lookup!$A:$A,0)),"")</f>
        <v/>
      </c>
      <c r="BM251" t="str">
        <f>IFERROR(INDEX(_names_lookup!$B:$B,MATCH(BK251,_names_lookup!$A:$A,0)),"")</f>
        <v/>
      </c>
      <c r="BS251" t="str">
        <f t="shared" si="43"/>
        <v/>
      </c>
    </row>
    <row r="252" spans="15:71" x14ac:dyDescent="0.2">
      <c r="O252" t="str">
        <f>IFERROR(INDEX(_courses_lookup!$C:$C,MATCH(K252&amp;L252,_courses_lookup!$E:$E,0)),"")</f>
        <v/>
      </c>
      <c r="P252" t="str">
        <f>IFERROR(INDEX(_courses_lookup!$D:$D,MATCH(K252&amp;L252,_courses_lookup!$E:$E,0)),"")</f>
        <v/>
      </c>
      <c r="AG252" t="str">
        <f t="shared" si="33"/>
        <v/>
      </c>
      <c r="AI252" t="str">
        <f t="shared" si="34"/>
        <v/>
      </c>
      <c r="AL252" t="str">
        <f t="shared" si="35"/>
        <v/>
      </c>
      <c r="AN252" t="str">
        <f t="shared" si="36"/>
        <v/>
      </c>
      <c r="AQ252" t="str">
        <f t="shared" si="37"/>
        <v/>
      </c>
      <c r="AR252" t="str">
        <f t="shared" si="38"/>
        <v/>
      </c>
      <c r="AS252" t="str">
        <f t="shared" si="39"/>
        <v/>
      </c>
      <c r="AT252" t="str">
        <f t="shared" si="40"/>
        <v/>
      </c>
      <c r="BG252" t="str">
        <f t="shared" si="41"/>
        <v/>
      </c>
      <c r="BH252" t="str">
        <f t="shared" si="42"/>
        <v/>
      </c>
      <c r="BL252" t="str">
        <f>IFERROR(INDEX(_names_lookup!$C:$C,MATCH(BK252,_names_lookup!$A:$A,0)),"")</f>
        <v/>
      </c>
      <c r="BM252" t="str">
        <f>IFERROR(INDEX(_names_lookup!$B:$B,MATCH(BK252,_names_lookup!$A:$A,0)),"")</f>
        <v/>
      </c>
      <c r="BS252" t="str">
        <f t="shared" si="43"/>
        <v/>
      </c>
    </row>
    <row r="253" spans="15:71" x14ac:dyDescent="0.2">
      <c r="O253" t="str">
        <f>IFERROR(INDEX(_courses_lookup!$C:$C,MATCH(K253&amp;L253,_courses_lookup!$E:$E,0)),"")</f>
        <v/>
      </c>
      <c r="P253" t="str">
        <f>IFERROR(INDEX(_courses_lookup!$D:$D,MATCH(K253&amp;L253,_courses_lookup!$E:$E,0)),"")</f>
        <v/>
      </c>
      <c r="AG253" t="str">
        <f t="shared" si="33"/>
        <v/>
      </c>
      <c r="AI253" t="str">
        <f t="shared" si="34"/>
        <v/>
      </c>
      <c r="AL253" t="str">
        <f t="shared" si="35"/>
        <v/>
      </c>
      <c r="AN253" t="str">
        <f t="shared" si="36"/>
        <v/>
      </c>
      <c r="AQ253" t="str">
        <f t="shared" si="37"/>
        <v/>
      </c>
      <c r="AR253" t="str">
        <f t="shared" si="38"/>
        <v/>
      </c>
      <c r="AS253" t="str">
        <f t="shared" si="39"/>
        <v/>
      </c>
      <c r="AT253" t="str">
        <f t="shared" si="40"/>
        <v/>
      </c>
      <c r="BG253" t="str">
        <f t="shared" si="41"/>
        <v/>
      </c>
      <c r="BH253" t="str">
        <f t="shared" si="42"/>
        <v/>
      </c>
      <c r="BL253" t="str">
        <f>IFERROR(INDEX(_names_lookup!$C:$C,MATCH(BK253,_names_lookup!$A:$A,0)),"")</f>
        <v/>
      </c>
      <c r="BM253" t="str">
        <f>IFERROR(INDEX(_names_lookup!$B:$B,MATCH(BK253,_names_lookup!$A:$A,0)),"")</f>
        <v/>
      </c>
      <c r="BS253" t="str">
        <f t="shared" si="43"/>
        <v/>
      </c>
    </row>
    <row r="254" spans="15:71" x14ac:dyDescent="0.2">
      <c r="O254" t="str">
        <f>IFERROR(INDEX(_courses_lookup!$C:$C,MATCH(K254&amp;L254,_courses_lookup!$E:$E,0)),"")</f>
        <v/>
      </c>
      <c r="P254" t="str">
        <f>IFERROR(INDEX(_courses_lookup!$D:$D,MATCH(K254&amp;L254,_courses_lookup!$E:$E,0)),"")</f>
        <v/>
      </c>
      <c r="AG254" t="str">
        <f t="shared" si="33"/>
        <v/>
      </c>
      <c r="AI254" t="str">
        <f t="shared" si="34"/>
        <v/>
      </c>
      <c r="AL254" t="str">
        <f t="shared" si="35"/>
        <v/>
      </c>
      <c r="AN254" t="str">
        <f t="shared" si="36"/>
        <v/>
      </c>
      <c r="AQ254" t="str">
        <f t="shared" si="37"/>
        <v/>
      </c>
      <c r="AR254" t="str">
        <f t="shared" si="38"/>
        <v/>
      </c>
      <c r="AS254" t="str">
        <f t="shared" si="39"/>
        <v/>
      </c>
      <c r="AT254" t="str">
        <f t="shared" si="40"/>
        <v/>
      </c>
      <c r="BG254" t="str">
        <f t="shared" si="41"/>
        <v/>
      </c>
      <c r="BH254" t="str">
        <f t="shared" si="42"/>
        <v/>
      </c>
      <c r="BL254" t="str">
        <f>IFERROR(INDEX(_names_lookup!$C:$C,MATCH(BK254,_names_lookup!$A:$A,0)),"")</f>
        <v/>
      </c>
      <c r="BM254" t="str">
        <f>IFERROR(INDEX(_names_lookup!$B:$B,MATCH(BK254,_names_lookup!$A:$A,0)),"")</f>
        <v/>
      </c>
      <c r="BS254" t="str">
        <f t="shared" si="43"/>
        <v/>
      </c>
    </row>
    <row r="255" spans="15:71" x14ac:dyDescent="0.2">
      <c r="O255" t="str">
        <f>IFERROR(INDEX(_courses_lookup!$C:$C,MATCH(K255&amp;L255,_courses_lookup!$E:$E,0)),"")</f>
        <v/>
      </c>
      <c r="P255" t="str">
        <f>IFERROR(INDEX(_courses_lookup!$D:$D,MATCH(K255&amp;L255,_courses_lookup!$E:$E,0)),"")</f>
        <v/>
      </c>
      <c r="AG255" t="str">
        <f t="shared" si="33"/>
        <v/>
      </c>
      <c r="AI255" t="str">
        <f t="shared" si="34"/>
        <v/>
      </c>
      <c r="AL255" t="str">
        <f t="shared" si="35"/>
        <v/>
      </c>
      <c r="AN255" t="str">
        <f t="shared" si="36"/>
        <v/>
      </c>
      <c r="AQ255" t="str">
        <f t="shared" si="37"/>
        <v/>
      </c>
      <c r="AR255" t="str">
        <f t="shared" si="38"/>
        <v/>
      </c>
      <c r="AS255" t="str">
        <f t="shared" si="39"/>
        <v/>
      </c>
      <c r="AT255" t="str">
        <f t="shared" si="40"/>
        <v/>
      </c>
      <c r="BG255" t="str">
        <f t="shared" si="41"/>
        <v/>
      </c>
      <c r="BH255" t="str">
        <f t="shared" si="42"/>
        <v/>
      </c>
      <c r="BL255" t="str">
        <f>IFERROR(INDEX(_names_lookup!$C:$C,MATCH(BK255,_names_lookup!$A:$A,0)),"")</f>
        <v/>
      </c>
      <c r="BM255" t="str">
        <f>IFERROR(INDEX(_names_lookup!$B:$B,MATCH(BK255,_names_lookup!$A:$A,0)),"")</f>
        <v/>
      </c>
      <c r="BS255" t="str">
        <f t="shared" si="43"/>
        <v/>
      </c>
    </row>
    <row r="256" spans="15:71" x14ac:dyDescent="0.2">
      <c r="O256" t="str">
        <f>IFERROR(INDEX(_courses_lookup!$C:$C,MATCH(K256&amp;L256,_courses_lookup!$E:$E,0)),"")</f>
        <v/>
      </c>
      <c r="P256" t="str">
        <f>IFERROR(INDEX(_courses_lookup!$D:$D,MATCH(K256&amp;L256,_courses_lookup!$E:$E,0)),"")</f>
        <v/>
      </c>
      <c r="AG256" t="str">
        <f t="shared" si="33"/>
        <v/>
      </c>
      <c r="AI256" t="str">
        <f t="shared" si="34"/>
        <v/>
      </c>
      <c r="AL256" t="str">
        <f t="shared" si="35"/>
        <v/>
      </c>
      <c r="AN256" t="str">
        <f t="shared" si="36"/>
        <v/>
      </c>
      <c r="AQ256" t="str">
        <f t="shared" si="37"/>
        <v/>
      </c>
      <c r="AR256" t="str">
        <f t="shared" si="38"/>
        <v/>
      </c>
      <c r="AS256" t="str">
        <f t="shared" si="39"/>
        <v/>
      </c>
      <c r="AT256" t="str">
        <f t="shared" si="40"/>
        <v/>
      </c>
      <c r="BG256" t="str">
        <f t="shared" si="41"/>
        <v/>
      </c>
      <c r="BH256" t="str">
        <f t="shared" si="42"/>
        <v/>
      </c>
      <c r="BL256" t="str">
        <f>IFERROR(INDEX(_names_lookup!$C:$C,MATCH(BK256,_names_lookup!$A:$A,0)),"")</f>
        <v/>
      </c>
      <c r="BM256" t="str">
        <f>IFERROR(INDEX(_names_lookup!$B:$B,MATCH(BK256,_names_lookup!$A:$A,0)),"")</f>
        <v/>
      </c>
      <c r="BS256" t="str">
        <f t="shared" si="43"/>
        <v/>
      </c>
    </row>
    <row r="257" spans="15:71" x14ac:dyDescent="0.2">
      <c r="O257" t="str">
        <f>IFERROR(INDEX(_courses_lookup!$C:$C,MATCH(K257&amp;L257,_courses_lookup!$E:$E,0)),"")</f>
        <v/>
      </c>
      <c r="P257" t="str">
        <f>IFERROR(INDEX(_courses_lookup!$D:$D,MATCH(K257&amp;L257,_courses_lookup!$E:$E,0)),"")</f>
        <v/>
      </c>
      <c r="AG257" t="str">
        <f t="shared" si="33"/>
        <v/>
      </c>
      <c r="AI257" t="str">
        <f t="shared" si="34"/>
        <v/>
      </c>
      <c r="AL257" t="str">
        <f t="shared" si="35"/>
        <v/>
      </c>
      <c r="AN257" t="str">
        <f t="shared" si="36"/>
        <v/>
      </c>
      <c r="AQ257" t="str">
        <f t="shared" si="37"/>
        <v/>
      </c>
      <c r="AR257" t="str">
        <f t="shared" si="38"/>
        <v/>
      </c>
      <c r="AS257" t="str">
        <f t="shared" si="39"/>
        <v/>
      </c>
      <c r="AT257" t="str">
        <f t="shared" si="40"/>
        <v/>
      </c>
      <c r="BG257" t="str">
        <f t="shared" si="41"/>
        <v/>
      </c>
      <c r="BH257" t="str">
        <f t="shared" si="42"/>
        <v/>
      </c>
      <c r="BL257" t="str">
        <f>IFERROR(INDEX(_names_lookup!$C:$C,MATCH(BK257,_names_lookup!$A:$A,0)),"")</f>
        <v/>
      </c>
      <c r="BM257" t="str">
        <f>IFERROR(INDEX(_names_lookup!$B:$B,MATCH(BK257,_names_lookup!$A:$A,0)),"")</f>
        <v/>
      </c>
      <c r="BS257" t="str">
        <f t="shared" si="43"/>
        <v/>
      </c>
    </row>
    <row r="258" spans="15:71" x14ac:dyDescent="0.2">
      <c r="O258" t="str">
        <f>IFERROR(INDEX(_courses_lookup!$C:$C,MATCH(K258&amp;L258,_courses_lookup!$E:$E,0)),"")</f>
        <v/>
      </c>
      <c r="P258" t="str">
        <f>IFERROR(INDEX(_courses_lookup!$D:$D,MATCH(K258&amp;L258,_courses_lookup!$E:$E,0)),"")</f>
        <v/>
      </c>
      <c r="AG258" t="str">
        <f t="shared" ref="AG258:AG321" si="44">IF(AND(AE258&lt;&gt;"",AF258&lt;&gt;""),ROUNDUP((AF258-AE258)/7,0),"")</f>
        <v/>
      </c>
      <c r="AI258" t="str">
        <f t="shared" ref="AI258:AI321" si="45">IFERROR(IF(AG258*AH258=0,"",AG258*AH258),"")</f>
        <v/>
      </c>
      <c r="AL258" t="str">
        <f t="shared" ref="AL258:AL321" si="46">IF(AND(AJ258&lt;&gt;"",AK258&lt;&gt;""),ROUNDUP((AK258-AJ258)/7,0),"")</f>
        <v/>
      </c>
      <c r="AN258" t="str">
        <f t="shared" ref="AN258:AN321" si="47">IFERROR(IF(AL258*AM258=0,"",AL258*AM258),"")</f>
        <v/>
      </c>
      <c r="AQ258" t="str">
        <f t="shared" ref="AQ258:AQ321" si="48">IF(AND(AO258&lt;&gt;"",AP258&lt;&gt;""),ROUNDUP((AP258-AO258)/7,0),"")</f>
        <v/>
      </c>
      <c r="AR258" t="str">
        <f t="shared" ref="AR258:AR321" si="49">IFERROR(IF((AU258-(AI258+AN258))/AQ258=0,"",ROUNDUP((AU258-(AI258+AN258))/AQ258,0)),"")</f>
        <v/>
      </c>
      <c r="AS258" t="str">
        <f t="shared" ref="AS258:AS300" si="50">IFERROR(IF((AU258-(AI258+AN258))=0,"",(AU258-(AI258+AN258))),"")</f>
        <v/>
      </c>
      <c r="AT258" t="str">
        <f t="shared" ref="AT258:AT300" si="51">IF(AND(AG258="",AQ258=""),AL258,IF(SUM(AG258,AL258,AQ258)=0,"",SUM(AG258,AL258,AQ258)))</f>
        <v/>
      </c>
      <c r="BG258" t="str">
        <f t="shared" ref="BG258:BG300" si="52">IF(AD258="","",YEAR(AD258)+IF(MONTH(AD258)&gt;=5,1,0))</f>
        <v/>
      </c>
      <c r="BH258" t="str">
        <f t="shared" ref="BH258:BH300" si="53">IF(AD258="","",IF(AND(MONTH(AD258)=8,DAY(AD258)&gt;=15),"Fall",IF(MONTH(AD258)&gt;8,"Fall",IF(MONTH(AD258)=5,"Summer",IF(MONTH(AD258)=1,"Spring","")))))</f>
        <v/>
      </c>
      <c r="BL258" t="str">
        <f>IFERROR(INDEX(_names_lookup!$C:$C,MATCH(BK258,_names_lookup!$A:$A,0)),"")</f>
        <v/>
      </c>
      <c r="BM258" t="str">
        <f>IFERROR(INDEX(_names_lookup!$B:$B,MATCH(BK258,_names_lookup!$A:$A,0)),"")</f>
        <v/>
      </c>
      <c r="BS258" t="str">
        <f t="shared" ref="BS258:BS321" si="54">IFERROR(IF(BR258*AA258=0,"",BR258*AA258),"")</f>
        <v/>
      </c>
    </row>
    <row r="259" spans="15:71" x14ac:dyDescent="0.2">
      <c r="O259" t="str">
        <f>IFERROR(INDEX(_courses_lookup!$C:$C,MATCH(K259&amp;L259,_courses_lookup!$E:$E,0)),"")</f>
        <v/>
      </c>
      <c r="P259" t="str">
        <f>IFERROR(INDEX(_courses_lookup!$D:$D,MATCH(K259&amp;L259,_courses_lookup!$E:$E,0)),"")</f>
        <v/>
      </c>
      <c r="AG259" t="str">
        <f t="shared" si="44"/>
        <v/>
      </c>
      <c r="AI259" t="str">
        <f t="shared" si="45"/>
        <v/>
      </c>
      <c r="AL259" t="str">
        <f t="shared" si="46"/>
        <v/>
      </c>
      <c r="AN259" t="str">
        <f t="shared" si="47"/>
        <v/>
      </c>
      <c r="AQ259" t="str">
        <f t="shared" si="48"/>
        <v/>
      </c>
      <c r="AR259" t="str">
        <f t="shared" si="49"/>
        <v/>
      </c>
      <c r="AS259" t="str">
        <f t="shared" si="50"/>
        <v/>
      </c>
      <c r="AT259" t="str">
        <f t="shared" si="51"/>
        <v/>
      </c>
      <c r="BG259" t="str">
        <f t="shared" si="52"/>
        <v/>
      </c>
      <c r="BH259" t="str">
        <f t="shared" si="53"/>
        <v/>
      </c>
      <c r="BL259" t="str">
        <f>IFERROR(INDEX(_names_lookup!$C:$C,MATCH(BK259,_names_lookup!$A:$A,0)),"")</f>
        <v/>
      </c>
      <c r="BM259" t="str">
        <f>IFERROR(INDEX(_names_lookup!$B:$B,MATCH(BK259,_names_lookup!$A:$A,0)),"")</f>
        <v/>
      </c>
      <c r="BS259" t="str">
        <f t="shared" si="54"/>
        <v/>
      </c>
    </row>
    <row r="260" spans="15:71" x14ac:dyDescent="0.2">
      <c r="O260" t="str">
        <f>IFERROR(INDEX(_courses_lookup!$C:$C,MATCH(K260&amp;L260,_courses_lookup!$E:$E,0)),"")</f>
        <v/>
      </c>
      <c r="P260" t="str">
        <f>IFERROR(INDEX(_courses_lookup!$D:$D,MATCH(K260&amp;L260,_courses_lookup!$E:$E,0)),"")</f>
        <v/>
      </c>
      <c r="AG260" t="str">
        <f t="shared" si="44"/>
        <v/>
      </c>
      <c r="AI260" t="str">
        <f t="shared" si="45"/>
        <v/>
      </c>
      <c r="AL260" t="str">
        <f t="shared" si="46"/>
        <v/>
      </c>
      <c r="AN260" t="str">
        <f t="shared" si="47"/>
        <v/>
      </c>
      <c r="AQ260" t="str">
        <f t="shared" si="48"/>
        <v/>
      </c>
      <c r="AR260" t="str">
        <f t="shared" si="49"/>
        <v/>
      </c>
      <c r="AS260" t="str">
        <f t="shared" si="50"/>
        <v/>
      </c>
      <c r="AT260" t="str">
        <f t="shared" si="51"/>
        <v/>
      </c>
      <c r="BG260" t="str">
        <f t="shared" si="52"/>
        <v/>
      </c>
      <c r="BH260" t="str">
        <f t="shared" si="53"/>
        <v/>
      </c>
      <c r="BL260" t="str">
        <f>IFERROR(INDEX(_names_lookup!$C:$C,MATCH(BK260,_names_lookup!$A:$A,0)),"")</f>
        <v/>
      </c>
      <c r="BM260" t="str">
        <f>IFERROR(INDEX(_names_lookup!$B:$B,MATCH(BK260,_names_lookup!$A:$A,0)),"")</f>
        <v/>
      </c>
      <c r="BS260" t="str">
        <f t="shared" si="54"/>
        <v/>
      </c>
    </row>
    <row r="261" spans="15:71" x14ac:dyDescent="0.2">
      <c r="O261" t="str">
        <f>IFERROR(INDEX(_courses_lookup!$C:$C,MATCH(K261&amp;L261,_courses_lookup!$E:$E,0)),"")</f>
        <v/>
      </c>
      <c r="P261" t="str">
        <f>IFERROR(INDEX(_courses_lookup!$D:$D,MATCH(K261&amp;L261,_courses_lookup!$E:$E,0)),"")</f>
        <v/>
      </c>
      <c r="AG261" t="str">
        <f t="shared" si="44"/>
        <v/>
      </c>
      <c r="AI261" t="str">
        <f t="shared" si="45"/>
        <v/>
      </c>
      <c r="AL261" t="str">
        <f t="shared" si="46"/>
        <v/>
      </c>
      <c r="AN261" t="str">
        <f t="shared" si="47"/>
        <v/>
      </c>
      <c r="AQ261" t="str">
        <f t="shared" si="48"/>
        <v/>
      </c>
      <c r="AR261" t="str">
        <f t="shared" si="49"/>
        <v/>
      </c>
      <c r="AS261" t="str">
        <f t="shared" si="50"/>
        <v/>
      </c>
      <c r="AT261" t="str">
        <f t="shared" si="51"/>
        <v/>
      </c>
      <c r="BG261" t="str">
        <f t="shared" si="52"/>
        <v/>
      </c>
      <c r="BH261" t="str">
        <f t="shared" si="53"/>
        <v/>
      </c>
      <c r="BL261" t="str">
        <f>IFERROR(INDEX(_names_lookup!$C:$C,MATCH(BK261,_names_lookup!$A:$A,0)),"")</f>
        <v/>
      </c>
      <c r="BM261" t="str">
        <f>IFERROR(INDEX(_names_lookup!$B:$B,MATCH(BK261,_names_lookup!$A:$A,0)),"")</f>
        <v/>
      </c>
      <c r="BS261" t="str">
        <f t="shared" si="54"/>
        <v/>
      </c>
    </row>
    <row r="262" spans="15:71" x14ac:dyDescent="0.2">
      <c r="O262" t="str">
        <f>IFERROR(INDEX(_courses_lookup!$C:$C,MATCH(K262&amp;L262,_courses_lookup!$E:$E,0)),"")</f>
        <v/>
      </c>
      <c r="P262" t="str">
        <f>IFERROR(INDEX(_courses_lookup!$D:$D,MATCH(K262&amp;L262,_courses_lookup!$E:$E,0)),"")</f>
        <v/>
      </c>
      <c r="AG262" t="str">
        <f t="shared" si="44"/>
        <v/>
      </c>
      <c r="AI262" t="str">
        <f t="shared" si="45"/>
        <v/>
      </c>
      <c r="AL262" t="str">
        <f t="shared" si="46"/>
        <v/>
      </c>
      <c r="AN262" t="str">
        <f t="shared" si="47"/>
        <v/>
      </c>
      <c r="AQ262" t="str">
        <f t="shared" si="48"/>
        <v/>
      </c>
      <c r="AR262" t="str">
        <f t="shared" si="49"/>
        <v/>
      </c>
      <c r="AS262" t="str">
        <f t="shared" si="50"/>
        <v/>
      </c>
      <c r="AT262" t="str">
        <f t="shared" si="51"/>
        <v/>
      </c>
      <c r="BG262" t="str">
        <f t="shared" si="52"/>
        <v/>
      </c>
      <c r="BH262" t="str">
        <f t="shared" si="53"/>
        <v/>
      </c>
      <c r="BL262" t="str">
        <f>IFERROR(INDEX(_names_lookup!$C:$C,MATCH(BK262,_names_lookup!$A:$A,0)),"")</f>
        <v/>
      </c>
      <c r="BM262" t="str">
        <f>IFERROR(INDEX(_names_lookup!$B:$B,MATCH(BK262,_names_lookup!$A:$A,0)),"")</f>
        <v/>
      </c>
      <c r="BS262" t="str">
        <f t="shared" si="54"/>
        <v/>
      </c>
    </row>
    <row r="263" spans="15:71" x14ac:dyDescent="0.2">
      <c r="O263" t="str">
        <f>IFERROR(INDEX(_courses_lookup!$C:$C,MATCH(K263&amp;L263,_courses_lookup!$E:$E,0)),"")</f>
        <v/>
      </c>
      <c r="P263" t="str">
        <f>IFERROR(INDEX(_courses_lookup!$D:$D,MATCH(K263&amp;L263,_courses_lookup!$E:$E,0)),"")</f>
        <v/>
      </c>
      <c r="AG263" t="str">
        <f t="shared" si="44"/>
        <v/>
      </c>
      <c r="AI263" t="str">
        <f t="shared" si="45"/>
        <v/>
      </c>
      <c r="AL263" t="str">
        <f t="shared" si="46"/>
        <v/>
      </c>
      <c r="AN263" t="str">
        <f t="shared" si="47"/>
        <v/>
      </c>
      <c r="AQ263" t="str">
        <f t="shared" si="48"/>
        <v/>
      </c>
      <c r="AR263" t="str">
        <f t="shared" si="49"/>
        <v/>
      </c>
      <c r="AS263" t="str">
        <f t="shared" si="50"/>
        <v/>
      </c>
      <c r="AT263" t="str">
        <f t="shared" si="51"/>
        <v/>
      </c>
      <c r="BG263" t="str">
        <f t="shared" si="52"/>
        <v/>
      </c>
      <c r="BH263" t="str">
        <f t="shared" si="53"/>
        <v/>
      </c>
      <c r="BL263" t="str">
        <f>IFERROR(INDEX(_names_lookup!$C:$C,MATCH(BK263,_names_lookup!$A:$A,0)),"")</f>
        <v/>
      </c>
      <c r="BM263" t="str">
        <f>IFERROR(INDEX(_names_lookup!$B:$B,MATCH(BK263,_names_lookup!$A:$A,0)),"")</f>
        <v/>
      </c>
      <c r="BS263" t="str">
        <f t="shared" si="54"/>
        <v/>
      </c>
    </row>
    <row r="264" spans="15:71" x14ac:dyDescent="0.2">
      <c r="O264" t="str">
        <f>IFERROR(INDEX(_courses_lookup!$C:$C,MATCH(K264&amp;L264,_courses_lookup!$E:$E,0)),"")</f>
        <v/>
      </c>
      <c r="P264" t="str">
        <f>IFERROR(INDEX(_courses_lookup!$D:$D,MATCH(K264&amp;L264,_courses_lookup!$E:$E,0)),"")</f>
        <v/>
      </c>
      <c r="AG264" t="str">
        <f t="shared" si="44"/>
        <v/>
      </c>
      <c r="AI264" t="str">
        <f t="shared" si="45"/>
        <v/>
      </c>
      <c r="AL264" t="str">
        <f t="shared" si="46"/>
        <v/>
      </c>
      <c r="AN264" t="str">
        <f t="shared" si="47"/>
        <v/>
      </c>
      <c r="AQ264" t="str">
        <f t="shared" si="48"/>
        <v/>
      </c>
      <c r="AR264" t="str">
        <f t="shared" si="49"/>
        <v/>
      </c>
      <c r="AS264" t="str">
        <f t="shared" si="50"/>
        <v/>
      </c>
      <c r="AT264" t="str">
        <f t="shared" si="51"/>
        <v/>
      </c>
      <c r="BG264" t="str">
        <f t="shared" si="52"/>
        <v/>
      </c>
      <c r="BH264" t="str">
        <f t="shared" si="53"/>
        <v/>
      </c>
      <c r="BL264" t="str">
        <f>IFERROR(INDEX(_names_lookup!$C:$C,MATCH(BK264,_names_lookup!$A:$A,0)),"")</f>
        <v/>
      </c>
      <c r="BM264" t="str">
        <f>IFERROR(INDEX(_names_lookup!$B:$B,MATCH(BK264,_names_lookup!$A:$A,0)),"")</f>
        <v/>
      </c>
      <c r="BS264" t="str">
        <f t="shared" si="54"/>
        <v/>
      </c>
    </row>
    <row r="265" spans="15:71" x14ac:dyDescent="0.2">
      <c r="O265" t="str">
        <f>IFERROR(INDEX(_courses_lookup!$C:$C,MATCH(K265&amp;L265,_courses_lookup!$E:$E,0)),"")</f>
        <v/>
      </c>
      <c r="P265" t="str">
        <f>IFERROR(INDEX(_courses_lookup!$D:$D,MATCH(K265&amp;L265,_courses_lookup!$E:$E,0)),"")</f>
        <v/>
      </c>
      <c r="AG265" t="str">
        <f t="shared" si="44"/>
        <v/>
      </c>
      <c r="AI265" t="str">
        <f t="shared" si="45"/>
        <v/>
      </c>
      <c r="AL265" t="str">
        <f t="shared" si="46"/>
        <v/>
      </c>
      <c r="AN265" t="str">
        <f t="shared" si="47"/>
        <v/>
      </c>
      <c r="AQ265" t="str">
        <f t="shared" si="48"/>
        <v/>
      </c>
      <c r="AR265" t="str">
        <f t="shared" si="49"/>
        <v/>
      </c>
      <c r="AS265" t="str">
        <f t="shared" si="50"/>
        <v/>
      </c>
      <c r="AT265" t="str">
        <f t="shared" si="51"/>
        <v/>
      </c>
      <c r="BG265" t="str">
        <f t="shared" si="52"/>
        <v/>
      </c>
      <c r="BH265" t="str">
        <f t="shared" si="53"/>
        <v/>
      </c>
      <c r="BL265" t="str">
        <f>IFERROR(INDEX(_names_lookup!$C:$C,MATCH(BK265,_names_lookup!$A:$A,0)),"")</f>
        <v/>
      </c>
      <c r="BM265" t="str">
        <f>IFERROR(INDEX(_names_lookup!$B:$B,MATCH(BK265,_names_lookup!$A:$A,0)),"")</f>
        <v/>
      </c>
      <c r="BS265" t="str">
        <f t="shared" si="54"/>
        <v/>
      </c>
    </row>
    <row r="266" spans="15:71" x14ac:dyDescent="0.2">
      <c r="O266" t="str">
        <f>IFERROR(INDEX(_courses_lookup!$C:$C,MATCH(K266&amp;L266,_courses_lookup!$E:$E,0)),"")</f>
        <v/>
      </c>
      <c r="P266" t="str">
        <f>IFERROR(INDEX(_courses_lookup!$D:$D,MATCH(K266&amp;L266,_courses_lookup!$E:$E,0)),"")</f>
        <v/>
      </c>
      <c r="AG266" t="str">
        <f t="shared" si="44"/>
        <v/>
      </c>
      <c r="AI266" t="str">
        <f t="shared" si="45"/>
        <v/>
      </c>
      <c r="AL266" t="str">
        <f t="shared" si="46"/>
        <v/>
      </c>
      <c r="AN266" t="str">
        <f t="shared" si="47"/>
        <v/>
      </c>
      <c r="AQ266" t="str">
        <f t="shared" si="48"/>
        <v/>
      </c>
      <c r="AR266" t="str">
        <f t="shared" si="49"/>
        <v/>
      </c>
      <c r="AS266" t="str">
        <f t="shared" si="50"/>
        <v/>
      </c>
      <c r="AT266" t="str">
        <f t="shared" si="51"/>
        <v/>
      </c>
      <c r="BG266" t="str">
        <f t="shared" si="52"/>
        <v/>
      </c>
      <c r="BH266" t="str">
        <f t="shared" si="53"/>
        <v/>
      </c>
      <c r="BL266" t="str">
        <f>IFERROR(INDEX(_names_lookup!$C:$C,MATCH(BK266,_names_lookup!$A:$A,0)),"")</f>
        <v/>
      </c>
      <c r="BM266" t="str">
        <f>IFERROR(INDEX(_names_lookup!$B:$B,MATCH(BK266,_names_lookup!$A:$A,0)),"")</f>
        <v/>
      </c>
      <c r="BS266" t="str">
        <f t="shared" si="54"/>
        <v/>
      </c>
    </row>
    <row r="267" spans="15:71" x14ac:dyDescent="0.2">
      <c r="O267" t="str">
        <f>IFERROR(INDEX(_courses_lookup!$C:$C,MATCH(K267&amp;L267,_courses_lookup!$E:$E,0)),"")</f>
        <v/>
      </c>
      <c r="P267" t="str">
        <f>IFERROR(INDEX(_courses_lookup!$D:$D,MATCH(K267&amp;L267,_courses_lookup!$E:$E,0)),"")</f>
        <v/>
      </c>
      <c r="AG267" t="str">
        <f t="shared" si="44"/>
        <v/>
      </c>
      <c r="AI267" t="str">
        <f t="shared" si="45"/>
        <v/>
      </c>
      <c r="AL267" t="str">
        <f t="shared" si="46"/>
        <v/>
      </c>
      <c r="AN267" t="str">
        <f t="shared" si="47"/>
        <v/>
      </c>
      <c r="AQ267" t="str">
        <f t="shared" si="48"/>
        <v/>
      </c>
      <c r="AR267" t="str">
        <f t="shared" si="49"/>
        <v/>
      </c>
      <c r="AS267" t="str">
        <f t="shared" si="50"/>
        <v/>
      </c>
      <c r="AT267" t="str">
        <f t="shared" si="51"/>
        <v/>
      </c>
      <c r="BG267" t="str">
        <f t="shared" si="52"/>
        <v/>
      </c>
      <c r="BH267" t="str">
        <f t="shared" si="53"/>
        <v/>
      </c>
      <c r="BL267" t="str">
        <f>IFERROR(INDEX(_names_lookup!$C:$C,MATCH(BK267,_names_lookup!$A:$A,0)),"")</f>
        <v/>
      </c>
      <c r="BM267" t="str">
        <f>IFERROR(INDEX(_names_lookup!$B:$B,MATCH(BK267,_names_lookup!$A:$A,0)),"")</f>
        <v/>
      </c>
      <c r="BS267" t="str">
        <f t="shared" si="54"/>
        <v/>
      </c>
    </row>
    <row r="268" spans="15:71" x14ac:dyDescent="0.2">
      <c r="O268" t="str">
        <f>IFERROR(INDEX(_courses_lookup!$C:$C,MATCH(K268&amp;L268,_courses_lookup!$E:$E,0)),"")</f>
        <v/>
      </c>
      <c r="P268" t="str">
        <f>IFERROR(INDEX(_courses_lookup!$D:$D,MATCH(K268&amp;L268,_courses_lookup!$E:$E,0)),"")</f>
        <v/>
      </c>
      <c r="AG268" t="str">
        <f t="shared" si="44"/>
        <v/>
      </c>
      <c r="AI268" t="str">
        <f t="shared" si="45"/>
        <v/>
      </c>
      <c r="AL268" t="str">
        <f t="shared" si="46"/>
        <v/>
      </c>
      <c r="AN268" t="str">
        <f t="shared" si="47"/>
        <v/>
      </c>
      <c r="AQ268" t="str">
        <f t="shared" si="48"/>
        <v/>
      </c>
      <c r="AR268" t="str">
        <f t="shared" si="49"/>
        <v/>
      </c>
      <c r="AS268" t="str">
        <f t="shared" si="50"/>
        <v/>
      </c>
      <c r="AT268" t="str">
        <f t="shared" si="51"/>
        <v/>
      </c>
      <c r="BG268" t="str">
        <f t="shared" si="52"/>
        <v/>
      </c>
      <c r="BH268" t="str">
        <f t="shared" si="53"/>
        <v/>
      </c>
      <c r="BL268" t="str">
        <f>IFERROR(INDEX(_names_lookup!$C:$C,MATCH(BK268,_names_lookup!$A:$A,0)),"")</f>
        <v/>
      </c>
      <c r="BM268" t="str">
        <f>IFERROR(INDEX(_names_lookup!$B:$B,MATCH(BK268,_names_lookup!$A:$A,0)),"")</f>
        <v/>
      </c>
      <c r="BS268" t="str">
        <f t="shared" si="54"/>
        <v/>
      </c>
    </row>
    <row r="269" spans="15:71" x14ac:dyDescent="0.2">
      <c r="O269" t="str">
        <f>IFERROR(INDEX(_courses_lookup!$C:$C,MATCH(K269&amp;L269,_courses_lookup!$E:$E,0)),"")</f>
        <v/>
      </c>
      <c r="P269" t="str">
        <f>IFERROR(INDEX(_courses_lookup!$D:$D,MATCH(K269&amp;L269,_courses_lookup!$E:$E,0)),"")</f>
        <v/>
      </c>
      <c r="AG269" t="str">
        <f t="shared" si="44"/>
        <v/>
      </c>
      <c r="AI269" t="str">
        <f t="shared" si="45"/>
        <v/>
      </c>
      <c r="AL269" t="str">
        <f t="shared" si="46"/>
        <v/>
      </c>
      <c r="AN269" t="str">
        <f t="shared" si="47"/>
        <v/>
      </c>
      <c r="AQ269" t="str">
        <f t="shared" si="48"/>
        <v/>
      </c>
      <c r="AR269" t="str">
        <f t="shared" si="49"/>
        <v/>
      </c>
      <c r="AS269" t="str">
        <f t="shared" si="50"/>
        <v/>
      </c>
      <c r="AT269" t="str">
        <f t="shared" si="51"/>
        <v/>
      </c>
      <c r="BG269" t="str">
        <f t="shared" si="52"/>
        <v/>
      </c>
      <c r="BH269" t="str">
        <f t="shared" si="53"/>
        <v/>
      </c>
      <c r="BL269" t="str">
        <f>IFERROR(INDEX(_names_lookup!$C:$C,MATCH(BK269,_names_lookup!$A:$A,0)),"")</f>
        <v/>
      </c>
      <c r="BM269" t="str">
        <f>IFERROR(INDEX(_names_lookup!$B:$B,MATCH(BK269,_names_lookup!$A:$A,0)),"")</f>
        <v/>
      </c>
      <c r="BS269" t="str">
        <f t="shared" si="54"/>
        <v/>
      </c>
    </row>
    <row r="270" spans="15:71" x14ac:dyDescent="0.2">
      <c r="O270" t="str">
        <f>IFERROR(INDEX(_courses_lookup!$C:$C,MATCH(K270&amp;L270,_courses_lookup!$E:$E,0)),"")</f>
        <v/>
      </c>
      <c r="P270" t="str">
        <f>IFERROR(INDEX(_courses_lookup!$D:$D,MATCH(K270&amp;L270,_courses_lookup!$E:$E,0)),"")</f>
        <v/>
      </c>
      <c r="AG270" t="str">
        <f t="shared" si="44"/>
        <v/>
      </c>
      <c r="AI270" t="str">
        <f t="shared" si="45"/>
        <v/>
      </c>
      <c r="AL270" t="str">
        <f t="shared" si="46"/>
        <v/>
      </c>
      <c r="AN270" t="str">
        <f t="shared" si="47"/>
        <v/>
      </c>
      <c r="AQ270" t="str">
        <f t="shared" si="48"/>
        <v/>
      </c>
      <c r="AR270" t="str">
        <f t="shared" si="49"/>
        <v/>
      </c>
      <c r="AS270" t="str">
        <f t="shared" si="50"/>
        <v/>
      </c>
      <c r="AT270" t="str">
        <f t="shared" si="51"/>
        <v/>
      </c>
      <c r="BG270" t="str">
        <f t="shared" si="52"/>
        <v/>
      </c>
      <c r="BH270" t="str">
        <f t="shared" si="53"/>
        <v/>
      </c>
      <c r="BL270" t="str">
        <f>IFERROR(INDEX(_names_lookup!$C:$C,MATCH(BK270,_names_lookup!$A:$A,0)),"")</f>
        <v/>
      </c>
      <c r="BM270" t="str">
        <f>IFERROR(INDEX(_names_lookup!$B:$B,MATCH(BK270,_names_lookup!$A:$A,0)),"")</f>
        <v/>
      </c>
      <c r="BS270" t="str">
        <f t="shared" si="54"/>
        <v/>
      </c>
    </row>
    <row r="271" spans="15:71" x14ac:dyDescent="0.2">
      <c r="O271" t="str">
        <f>IFERROR(INDEX(_courses_lookup!$C:$C,MATCH(K271&amp;L271,_courses_lookup!$E:$E,0)),"")</f>
        <v/>
      </c>
      <c r="P271" t="str">
        <f>IFERROR(INDEX(_courses_lookup!$D:$D,MATCH(K271&amp;L271,_courses_lookup!$E:$E,0)),"")</f>
        <v/>
      </c>
      <c r="AG271" t="str">
        <f t="shared" si="44"/>
        <v/>
      </c>
      <c r="AI271" t="str">
        <f t="shared" si="45"/>
        <v/>
      </c>
      <c r="AL271" t="str">
        <f t="shared" si="46"/>
        <v/>
      </c>
      <c r="AN271" t="str">
        <f t="shared" si="47"/>
        <v/>
      </c>
      <c r="AQ271" t="str">
        <f t="shared" si="48"/>
        <v/>
      </c>
      <c r="AR271" t="str">
        <f t="shared" si="49"/>
        <v/>
      </c>
      <c r="AS271" t="str">
        <f t="shared" si="50"/>
        <v/>
      </c>
      <c r="AT271" t="str">
        <f t="shared" si="51"/>
        <v/>
      </c>
      <c r="BG271" t="str">
        <f t="shared" si="52"/>
        <v/>
      </c>
      <c r="BH271" t="str">
        <f t="shared" si="53"/>
        <v/>
      </c>
      <c r="BL271" t="str">
        <f>IFERROR(INDEX(_names_lookup!$C:$C,MATCH(BK271,_names_lookup!$A:$A,0)),"")</f>
        <v/>
      </c>
      <c r="BM271" t="str">
        <f>IFERROR(INDEX(_names_lookup!$B:$B,MATCH(BK271,_names_lookup!$A:$A,0)),"")</f>
        <v/>
      </c>
      <c r="BS271" t="str">
        <f t="shared" si="54"/>
        <v/>
      </c>
    </row>
    <row r="272" spans="15:71" x14ac:dyDescent="0.2">
      <c r="O272" t="str">
        <f>IFERROR(INDEX(_courses_lookup!$C:$C,MATCH(K272&amp;L272,_courses_lookup!$E:$E,0)),"")</f>
        <v/>
      </c>
      <c r="P272" t="str">
        <f>IFERROR(INDEX(_courses_lookup!$D:$D,MATCH(K272&amp;L272,_courses_lookup!$E:$E,0)),"")</f>
        <v/>
      </c>
      <c r="AG272" t="str">
        <f t="shared" si="44"/>
        <v/>
      </c>
      <c r="AI272" t="str">
        <f t="shared" si="45"/>
        <v/>
      </c>
      <c r="AL272" t="str">
        <f t="shared" si="46"/>
        <v/>
      </c>
      <c r="AN272" t="str">
        <f t="shared" si="47"/>
        <v/>
      </c>
      <c r="AQ272" t="str">
        <f t="shared" si="48"/>
        <v/>
      </c>
      <c r="AR272" t="str">
        <f t="shared" si="49"/>
        <v/>
      </c>
      <c r="AS272" t="str">
        <f t="shared" si="50"/>
        <v/>
      </c>
      <c r="AT272" t="str">
        <f t="shared" si="51"/>
        <v/>
      </c>
      <c r="BG272" t="str">
        <f t="shared" si="52"/>
        <v/>
      </c>
      <c r="BH272" t="str">
        <f t="shared" si="53"/>
        <v/>
      </c>
      <c r="BL272" t="str">
        <f>IFERROR(INDEX(_names_lookup!$C:$C,MATCH(BK272,_names_lookup!$A:$A,0)),"")</f>
        <v/>
      </c>
      <c r="BM272" t="str">
        <f>IFERROR(INDEX(_names_lookup!$B:$B,MATCH(BK272,_names_lookup!$A:$A,0)),"")</f>
        <v/>
      </c>
      <c r="BS272" t="str">
        <f t="shared" si="54"/>
        <v/>
      </c>
    </row>
    <row r="273" spans="15:71" x14ac:dyDescent="0.2">
      <c r="O273" t="str">
        <f>IFERROR(INDEX(_courses_lookup!$C:$C,MATCH(K273&amp;L273,_courses_lookup!$E:$E,0)),"")</f>
        <v/>
      </c>
      <c r="P273" t="str">
        <f>IFERROR(INDEX(_courses_lookup!$D:$D,MATCH(K273&amp;L273,_courses_lookup!$E:$E,0)),"")</f>
        <v/>
      </c>
      <c r="AG273" t="str">
        <f t="shared" si="44"/>
        <v/>
      </c>
      <c r="AI273" t="str">
        <f t="shared" si="45"/>
        <v/>
      </c>
      <c r="AL273" t="str">
        <f t="shared" si="46"/>
        <v/>
      </c>
      <c r="AN273" t="str">
        <f t="shared" si="47"/>
        <v/>
      </c>
      <c r="AQ273" t="str">
        <f t="shared" si="48"/>
        <v/>
      </c>
      <c r="AR273" t="str">
        <f t="shared" si="49"/>
        <v/>
      </c>
      <c r="AS273" t="str">
        <f t="shared" si="50"/>
        <v/>
      </c>
      <c r="AT273" t="str">
        <f t="shared" si="51"/>
        <v/>
      </c>
      <c r="BG273" t="str">
        <f t="shared" si="52"/>
        <v/>
      </c>
      <c r="BH273" t="str">
        <f t="shared" si="53"/>
        <v/>
      </c>
      <c r="BL273" t="str">
        <f>IFERROR(INDEX(_names_lookup!$C:$C,MATCH(BK273,_names_lookup!$A:$A,0)),"")</f>
        <v/>
      </c>
      <c r="BM273" t="str">
        <f>IFERROR(INDEX(_names_lookup!$B:$B,MATCH(BK273,_names_lookup!$A:$A,0)),"")</f>
        <v/>
      </c>
      <c r="BS273" t="str">
        <f t="shared" si="54"/>
        <v/>
      </c>
    </row>
    <row r="274" spans="15:71" x14ac:dyDescent="0.2">
      <c r="O274" t="str">
        <f>IFERROR(INDEX(_courses_lookup!$C:$C,MATCH(K274&amp;L274,_courses_lookup!$E:$E,0)),"")</f>
        <v/>
      </c>
      <c r="P274" t="str">
        <f>IFERROR(INDEX(_courses_lookup!$D:$D,MATCH(K274&amp;L274,_courses_lookup!$E:$E,0)),"")</f>
        <v/>
      </c>
      <c r="AG274" t="str">
        <f t="shared" si="44"/>
        <v/>
      </c>
      <c r="AI274" t="str">
        <f t="shared" si="45"/>
        <v/>
      </c>
      <c r="AL274" t="str">
        <f t="shared" si="46"/>
        <v/>
      </c>
      <c r="AN274" t="str">
        <f t="shared" si="47"/>
        <v/>
      </c>
      <c r="AQ274" t="str">
        <f t="shared" si="48"/>
        <v/>
      </c>
      <c r="AR274" t="str">
        <f t="shared" si="49"/>
        <v/>
      </c>
      <c r="AS274" t="str">
        <f t="shared" si="50"/>
        <v/>
      </c>
      <c r="AT274" t="str">
        <f t="shared" si="51"/>
        <v/>
      </c>
      <c r="BG274" t="str">
        <f t="shared" si="52"/>
        <v/>
      </c>
      <c r="BH274" t="str">
        <f t="shared" si="53"/>
        <v/>
      </c>
      <c r="BL274" t="str">
        <f>IFERROR(INDEX(_names_lookup!$C:$C,MATCH(BK274,_names_lookup!$A:$A,0)),"")</f>
        <v/>
      </c>
      <c r="BM274" t="str">
        <f>IFERROR(INDEX(_names_lookup!$B:$B,MATCH(BK274,_names_lookup!$A:$A,0)),"")</f>
        <v/>
      </c>
      <c r="BS274" t="str">
        <f t="shared" si="54"/>
        <v/>
      </c>
    </row>
    <row r="275" spans="15:71" x14ac:dyDescent="0.2">
      <c r="O275" t="str">
        <f>IFERROR(INDEX(_courses_lookup!$C:$C,MATCH(K275&amp;L275,_courses_lookup!$E:$E,0)),"")</f>
        <v/>
      </c>
      <c r="P275" t="str">
        <f>IFERROR(INDEX(_courses_lookup!$D:$D,MATCH(K275&amp;L275,_courses_lookup!$E:$E,0)),"")</f>
        <v/>
      </c>
      <c r="AG275" t="str">
        <f t="shared" si="44"/>
        <v/>
      </c>
      <c r="AI275" t="str">
        <f t="shared" si="45"/>
        <v/>
      </c>
      <c r="AL275" t="str">
        <f t="shared" si="46"/>
        <v/>
      </c>
      <c r="AN275" t="str">
        <f t="shared" si="47"/>
        <v/>
      </c>
      <c r="AQ275" t="str">
        <f t="shared" si="48"/>
        <v/>
      </c>
      <c r="AR275" t="str">
        <f t="shared" si="49"/>
        <v/>
      </c>
      <c r="AS275" t="str">
        <f t="shared" si="50"/>
        <v/>
      </c>
      <c r="AT275" t="str">
        <f t="shared" si="51"/>
        <v/>
      </c>
      <c r="BG275" t="str">
        <f t="shared" si="52"/>
        <v/>
      </c>
      <c r="BH275" t="str">
        <f t="shared" si="53"/>
        <v/>
      </c>
      <c r="BL275" t="str">
        <f>IFERROR(INDEX(_names_lookup!$C:$C,MATCH(BK275,_names_lookup!$A:$A,0)),"")</f>
        <v/>
      </c>
      <c r="BM275" t="str">
        <f>IFERROR(INDEX(_names_lookup!$B:$B,MATCH(BK275,_names_lookup!$A:$A,0)),"")</f>
        <v/>
      </c>
      <c r="BS275" t="str">
        <f t="shared" si="54"/>
        <v/>
      </c>
    </row>
    <row r="276" spans="15:71" x14ac:dyDescent="0.2">
      <c r="O276" t="str">
        <f>IFERROR(INDEX(_courses_lookup!$C:$C,MATCH(K276&amp;L276,_courses_lookup!$E:$E,0)),"")</f>
        <v/>
      </c>
      <c r="P276" t="str">
        <f>IFERROR(INDEX(_courses_lookup!$D:$D,MATCH(K276&amp;L276,_courses_lookup!$E:$E,0)),"")</f>
        <v/>
      </c>
      <c r="AG276" t="str">
        <f t="shared" si="44"/>
        <v/>
      </c>
      <c r="AI276" t="str">
        <f t="shared" si="45"/>
        <v/>
      </c>
      <c r="AL276" t="str">
        <f t="shared" si="46"/>
        <v/>
      </c>
      <c r="AN276" t="str">
        <f t="shared" si="47"/>
        <v/>
      </c>
      <c r="AQ276" t="str">
        <f t="shared" si="48"/>
        <v/>
      </c>
      <c r="AR276" t="str">
        <f t="shared" si="49"/>
        <v/>
      </c>
      <c r="AS276" t="str">
        <f t="shared" si="50"/>
        <v/>
      </c>
      <c r="AT276" t="str">
        <f t="shared" si="51"/>
        <v/>
      </c>
      <c r="BG276" t="str">
        <f t="shared" si="52"/>
        <v/>
      </c>
      <c r="BH276" t="str">
        <f t="shared" si="53"/>
        <v/>
      </c>
      <c r="BL276" t="str">
        <f>IFERROR(INDEX(_names_lookup!$C:$C,MATCH(BK276,_names_lookup!$A:$A,0)),"")</f>
        <v/>
      </c>
      <c r="BM276" t="str">
        <f>IFERROR(INDEX(_names_lookup!$B:$B,MATCH(BK276,_names_lookup!$A:$A,0)),"")</f>
        <v/>
      </c>
      <c r="BS276" t="str">
        <f t="shared" si="54"/>
        <v/>
      </c>
    </row>
    <row r="277" spans="15:71" x14ac:dyDescent="0.2">
      <c r="O277" t="str">
        <f>IFERROR(INDEX(_courses_lookup!$C:$C,MATCH(K277&amp;L277,_courses_lookup!$E:$E,0)),"")</f>
        <v/>
      </c>
      <c r="P277" t="str">
        <f>IFERROR(INDEX(_courses_lookup!$D:$D,MATCH(K277&amp;L277,_courses_lookup!$E:$E,0)),"")</f>
        <v/>
      </c>
      <c r="AG277" t="str">
        <f t="shared" si="44"/>
        <v/>
      </c>
      <c r="AI277" t="str">
        <f t="shared" si="45"/>
        <v/>
      </c>
      <c r="AL277" t="str">
        <f t="shared" si="46"/>
        <v/>
      </c>
      <c r="AN277" t="str">
        <f t="shared" si="47"/>
        <v/>
      </c>
      <c r="AQ277" t="str">
        <f t="shared" si="48"/>
        <v/>
      </c>
      <c r="AR277" t="str">
        <f t="shared" si="49"/>
        <v/>
      </c>
      <c r="AS277" t="str">
        <f t="shared" si="50"/>
        <v/>
      </c>
      <c r="AT277" t="str">
        <f t="shared" si="51"/>
        <v/>
      </c>
      <c r="BG277" t="str">
        <f t="shared" si="52"/>
        <v/>
      </c>
      <c r="BH277" t="str">
        <f t="shared" si="53"/>
        <v/>
      </c>
      <c r="BL277" t="str">
        <f>IFERROR(INDEX(_names_lookup!$C:$C,MATCH(BK277,_names_lookup!$A:$A,0)),"")</f>
        <v/>
      </c>
      <c r="BM277" t="str">
        <f>IFERROR(INDEX(_names_lookup!$B:$B,MATCH(BK277,_names_lookup!$A:$A,0)),"")</f>
        <v/>
      </c>
      <c r="BS277" t="str">
        <f t="shared" si="54"/>
        <v/>
      </c>
    </row>
    <row r="278" spans="15:71" x14ac:dyDescent="0.2">
      <c r="O278" t="str">
        <f>IFERROR(INDEX(_courses_lookup!$C:$C,MATCH(K278&amp;L278,_courses_lookup!$E:$E,0)),"")</f>
        <v/>
      </c>
      <c r="P278" t="str">
        <f>IFERROR(INDEX(_courses_lookup!$D:$D,MATCH(K278&amp;L278,_courses_lookup!$E:$E,0)),"")</f>
        <v/>
      </c>
      <c r="AG278" t="str">
        <f t="shared" si="44"/>
        <v/>
      </c>
      <c r="AI278" t="str">
        <f t="shared" si="45"/>
        <v/>
      </c>
      <c r="AL278" t="str">
        <f t="shared" si="46"/>
        <v/>
      </c>
      <c r="AN278" t="str">
        <f t="shared" si="47"/>
        <v/>
      </c>
      <c r="AQ278" t="str">
        <f t="shared" si="48"/>
        <v/>
      </c>
      <c r="AR278" t="str">
        <f t="shared" si="49"/>
        <v/>
      </c>
      <c r="AS278" t="str">
        <f t="shared" si="50"/>
        <v/>
      </c>
      <c r="AT278" t="str">
        <f t="shared" si="51"/>
        <v/>
      </c>
      <c r="BG278" t="str">
        <f t="shared" si="52"/>
        <v/>
      </c>
      <c r="BH278" t="str">
        <f t="shared" si="53"/>
        <v/>
      </c>
      <c r="BL278" t="str">
        <f>IFERROR(INDEX(_names_lookup!$C:$C,MATCH(BK278,_names_lookup!$A:$A,0)),"")</f>
        <v/>
      </c>
      <c r="BM278" t="str">
        <f>IFERROR(INDEX(_names_lookup!$B:$B,MATCH(BK278,_names_lookup!$A:$A,0)),"")</f>
        <v/>
      </c>
      <c r="BS278" t="str">
        <f t="shared" si="54"/>
        <v/>
      </c>
    </row>
    <row r="279" spans="15:71" x14ac:dyDescent="0.2">
      <c r="O279" t="str">
        <f>IFERROR(INDEX(_courses_lookup!$C:$C,MATCH(K279&amp;L279,_courses_lookup!$E:$E,0)),"")</f>
        <v/>
      </c>
      <c r="P279" t="str">
        <f>IFERROR(INDEX(_courses_lookup!$D:$D,MATCH(K279&amp;L279,_courses_lookup!$E:$E,0)),"")</f>
        <v/>
      </c>
      <c r="AG279" t="str">
        <f t="shared" si="44"/>
        <v/>
      </c>
      <c r="AI279" t="str">
        <f t="shared" si="45"/>
        <v/>
      </c>
      <c r="AL279" t="str">
        <f t="shared" si="46"/>
        <v/>
      </c>
      <c r="AN279" t="str">
        <f t="shared" si="47"/>
        <v/>
      </c>
      <c r="AQ279" t="str">
        <f t="shared" si="48"/>
        <v/>
      </c>
      <c r="AR279" t="str">
        <f t="shared" si="49"/>
        <v/>
      </c>
      <c r="AS279" t="str">
        <f t="shared" si="50"/>
        <v/>
      </c>
      <c r="AT279" t="str">
        <f t="shared" si="51"/>
        <v/>
      </c>
      <c r="BG279" t="str">
        <f t="shared" si="52"/>
        <v/>
      </c>
      <c r="BH279" t="str">
        <f t="shared" si="53"/>
        <v/>
      </c>
      <c r="BL279" t="str">
        <f>IFERROR(INDEX(_names_lookup!$C:$C,MATCH(BK279,_names_lookup!$A:$A,0)),"")</f>
        <v/>
      </c>
      <c r="BM279" t="str">
        <f>IFERROR(INDEX(_names_lookup!$B:$B,MATCH(BK279,_names_lookup!$A:$A,0)),"")</f>
        <v/>
      </c>
      <c r="BS279" t="str">
        <f t="shared" si="54"/>
        <v/>
      </c>
    </row>
    <row r="280" spans="15:71" x14ac:dyDescent="0.2">
      <c r="O280" t="str">
        <f>IFERROR(INDEX(_courses_lookup!$C:$C,MATCH(K280&amp;L280,_courses_lookup!$E:$E,0)),"")</f>
        <v/>
      </c>
      <c r="P280" t="str">
        <f>IFERROR(INDEX(_courses_lookup!$D:$D,MATCH(K280&amp;L280,_courses_lookup!$E:$E,0)),"")</f>
        <v/>
      </c>
      <c r="AG280" t="str">
        <f t="shared" si="44"/>
        <v/>
      </c>
      <c r="AI280" t="str">
        <f t="shared" si="45"/>
        <v/>
      </c>
      <c r="AL280" t="str">
        <f t="shared" si="46"/>
        <v/>
      </c>
      <c r="AN280" t="str">
        <f t="shared" si="47"/>
        <v/>
      </c>
      <c r="AQ280" t="str">
        <f t="shared" si="48"/>
        <v/>
      </c>
      <c r="AR280" t="str">
        <f t="shared" si="49"/>
        <v/>
      </c>
      <c r="AS280" t="str">
        <f t="shared" si="50"/>
        <v/>
      </c>
      <c r="AT280" t="str">
        <f t="shared" si="51"/>
        <v/>
      </c>
      <c r="BG280" t="str">
        <f t="shared" si="52"/>
        <v/>
      </c>
      <c r="BH280" t="str">
        <f t="shared" si="53"/>
        <v/>
      </c>
      <c r="BL280" t="str">
        <f>IFERROR(INDEX(_names_lookup!$C:$C,MATCH(BK280,_names_lookup!$A:$A,0)),"")</f>
        <v/>
      </c>
      <c r="BM280" t="str">
        <f>IFERROR(INDEX(_names_lookup!$B:$B,MATCH(BK280,_names_lookup!$A:$A,0)),"")</f>
        <v/>
      </c>
      <c r="BS280" t="str">
        <f t="shared" si="54"/>
        <v/>
      </c>
    </row>
    <row r="281" spans="15:71" x14ac:dyDescent="0.2">
      <c r="O281" t="str">
        <f>IFERROR(INDEX(_courses_lookup!$C:$C,MATCH(K281&amp;L281,_courses_lookup!$E:$E,0)),"")</f>
        <v/>
      </c>
      <c r="P281" t="str">
        <f>IFERROR(INDEX(_courses_lookup!$D:$D,MATCH(K281&amp;L281,_courses_lookup!$E:$E,0)),"")</f>
        <v/>
      </c>
      <c r="AG281" t="str">
        <f t="shared" si="44"/>
        <v/>
      </c>
      <c r="AI281" t="str">
        <f t="shared" si="45"/>
        <v/>
      </c>
      <c r="AL281" t="str">
        <f t="shared" si="46"/>
        <v/>
      </c>
      <c r="AN281" t="str">
        <f t="shared" si="47"/>
        <v/>
      </c>
      <c r="AQ281" t="str">
        <f t="shared" si="48"/>
        <v/>
      </c>
      <c r="AR281" t="str">
        <f t="shared" si="49"/>
        <v/>
      </c>
      <c r="AS281" t="str">
        <f t="shared" si="50"/>
        <v/>
      </c>
      <c r="AT281" t="str">
        <f t="shared" si="51"/>
        <v/>
      </c>
      <c r="BG281" t="str">
        <f t="shared" si="52"/>
        <v/>
      </c>
      <c r="BH281" t="str">
        <f t="shared" si="53"/>
        <v/>
      </c>
      <c r="BL281" t="str">
        <f>IFERROR(INDEX(_names_lookup!$C:$C,MATCH(BK281,_names_lookup!$A:$A,0)),"")</f>
        <v/>
      </c>
      <c r="BM281" t="str">
        <f>IFERROR(INDEX(_names_lookup!$B:$B,MATCH(BK281,_names_lookup!$A:$A,0)),"")</f>
        <v/>
      </c>
      <c r="BS281" t="str">
        <f t="shared" si="54"/>
        <v/>
      </c>
    </row>
    <row r="282" spans="15:71" x14ac:dyDescent="0.2">
      <c r="O282" t="str">
        <f>IFERROR(INDEX(_courses_lookup!$C:$C,MATCH(K282&amp;L282,_courses_lookup!$E:$E,0)),"")</f>
        <v/>
      </c>
      <c r="P282" t="str">
        <f>IFERROR(INDEX(_courses_lookup!$D:$D,MATCH(K282&amp;L282,_courses_lookup!$E:$E,0)),"")</f>
        <v/>
      </c>
      <c r="AG282" t="str">
        <f t="shared" si="44"/>
        <v/>
      </c>
      <c r="AI282" t="str">
        <f t="shared" si="45"/>
        <v/>
      </c>
      <c r="AL282" t="str">
        <f t="shared" si="46"/>
        <v/>
      </c>
      <c r="AN282" t="str">
        <f t="shared" si="47"/>
        <v/>
      </c>
      <c r="AQ282" t="str">
        <f t="shared" si="48"/>
        <v/>
      </c>
      <c r="AR282" t="str">
        <f t="shared" si="49"/>
        <v/>
      </c>
      <c r="AS282" t="str">
        <f t="shared" si="50"/>
        <v/>
      </c>
      <c r="AT282" t="str">
        <f t="shared" si="51"/>
        <v/>
      </c>
      <c r="BG282" t="str">
        <f t="shared" si="52"/>
        <v/>
      </c>
      <c r="BH282" t="str">
        <f t="shared" si="53"/>
        <v/>
      </c>
      <c r="BL282" t="str">
        <f>IFERROR(INDEX(_names_lookup!$C:$C,MATCH(BK282,_names_lookup!$A:$A,0)),"")</f>
        <v/>
      </c>
      <c r="BM282" t="str">
        <f>IFERROR(INDEX(_names_lookup!$B:$B,MATCH(BK282,_names_lookup!$A:$A,0)),"")</f>
        <v/>
      </c>
      <c r="BS282" t="str">
        <f t="shared" si="54"/>
        <v/>
      </c>
    </row>
    <row r="283" spans="15:71" x14ac:dyDescent="0.2">
      <c r="O283" t="str">
        <f>IFERROR(INDEX(_courses_lookup!$C:$C,MATCH(K283&amp;L283,_courses_lookup!$E:$E,0)),"")</f>
        <v/>
      </c>
      <c r="P283" t="str">
        <f>IFERROR(INDEX(_courses_lookup!$D:$D,MATCH(K283&amp;L283,_courses_lookup!$E:$E,0)),"")</f>
        <v/>
      </c>
      <c r="AG283" t="str">
        <f t="shared" si="44"/>
        <v/>
      </c>
      <c r="AI283" t="str">
        <f t="shared" si="45"/>
        <v/>
      </c>
      <c r="AL283" t="str">
        <f t="shared" si="46"/>
        <v/>
      </c>
      <c r="AN283" t="str">
        <f t="shared" si="47"/>
        <v/>
      </c>
      <c r="AQ283" t="str">
        <f t="shared" si="48"/>
        <v/>
      </c>
      <c r="AR283" t="str">
        <f t="shared" si="49"/>
        <v/>
      </c>
      <c r="AS283" t="str">
        <f t="shared" si="50"/>
        <v/>
      </c>
      <c r="AT283" t="str">
        <f t="shared" si="51"/>
        <v/>
      </c>
      <c r="BG283" t="str">
        <f t="shared" si="52"/>
        <v/>
      </c>
      <c r="BH283" t="str">
        <f t="shared" si="53"/>
        <v/>
      </c>
      <c r="BL283" t="str">
        <f>IFERROR(INDEX(_names_lookup!$C:$C,MATCH(BK283,_names_lookup!$A:$A,0)),"")</f>
        <v/>
      </c>
      <c r="BM283" t="str">
        <f>IFERROR(INDEX(_names_lookup!$B:$B,MATCH(BK283,_names_lookup!$A:$A,0)),"")</f>
        <v/>
      </c>
      <c r="BS283" t="str">
        <f t="shared" si="54"/>
        <v/>
      </c>
    </row>
    <row r="284" spans="15:71" x14ac:dyDescent="0.2">
      <c r="O284" t="str">
        <f>IFERROR(INDEX(_courses_lookup!$C:$C,MATCH(K284&amp;L284,_courses_lookup!$E:$E,0)),"")</f>
        <v/>
      </c>
      <c r="P284" t="str">
        <f>IFERROR(INDEX(_courses_lookup!$D:$D,MATCH(K284&amp;L284,_courses_lookup!$E:$E,0)),"")</f>
        <v/>
      </c>
      <c r="AG284" t="str">
        <f t="shared" si="44"/>
        <v/>
      </c>
      <c r="AI284" t="str">
        <f t="shared" si="45"/>
        <v/>
      </c>
      <c r="AL284" t="str">
        <f t="shared" si="46"/>
        <v/>
      </c>
      <c r="AN284" t="str">
        <f t="shared" si="47"/>
        <v/>
      </c>
      <c r="AQ284" t="str">
        <f t="shared" si="48"/>
        <v/>
      </c>
      <c r="AR284" t="str">
        <f t="shared" si="49"/>
        <v/>
      </c>
      <c r="AS284" t="str">
        <f t="shared" si="50"/>
        <v/>
      </c>
      <c r="AT284" t="str">
        <f t="shared" si="51"/>
        <v/>
      </c>
      <c r="BG284" t="str">
        <f t="shared" si="52"/>
        <v/>
      </c>
      <c r="BH284" t="str">
        <f t="shared" si="53"/>
        <v/>
      </c>
      <c r="BL284" t="str">
        <f>IFERROR(INDEX(_names_lookup!$C:$C,MATCH(BK284,_names_lookup!$A:$A,0)),"")</f>
        <v/>
      </c>
      <c r="BM284" t="str">
        <f>IFERROR(INDEX(_names_lookup!$B:$B,MATCH(BK284,_names_lookup!$A:$A,0)),"")</f>
        <v/>
      </c>
      <c r="BS284" t="str">
        <f t="shared" si="54"/>
        <v/>
      </c>
    </row>
    <row r="285" spans="15:71" x14ac:dyDescent="0.2">
      <c r="O285" t="str">
        <f>IFERROR(INDEX(_courses_lookup!$C:$C,MATCH(K285&amp;L285,_courses_lookup!$E:$E,0)),"")</f>
        <v/>
      </c>
      <c r="P285" t="str">
        <f>IFERROR(INDEX(_courses_lookup!$D:$D,MATCH(K285&amp;L285,_courses_lookup!$E:$E,0)),"")</f>
        <v/>
      </c>
      <c r="AG285" t="str">
        <f t="shared" si="44"/>
        <v/>
      </c>
      <c r="AI285" t="str">
        <f t="shared" si="45"/>
        <v/>
      </c>
      <c r="AL285" t="str">
        <f t="shared" si="46"/>
        <v/>
      </c>
      <c r="AN285" t="str">
        <f t="shared" si="47"/>
        <v/>
      </c>
      <c r="AQ285" t="str">
        <f t="shared" si="48"/>
        <v/>
      </c>
      <c r="AR285" t="str">
        <f t="shared" si="49"/>
        <v/>
      </c>
      <c r="AS285" t="str">
        <f t="shared" si="50"/>
        <v/>
      </c>
      <c r="AT285" t="str">
        <f t="shared" si="51"/>
        <v/>
      </c>
      <c r="BG285" t="str">
        <f t="shared" si="52"/>
        <v/>
      </c>
      <c r="BH285" t="str">
        <f t="shared" si="53"/>
        <v/>
      </c>
      <c r="BL285" t="str">
        <f>IFERROR(INDEX(_names_lookup!$C:$C,MATCH(BK285,_names_lookup!$A:$A,0)),"")</f>
        <v/>
      </c>
      <c r="BM285" t="str">
        <f>IFERROR(INDEX(_names_lookup!$B:$B,MATCH(BK285,_names_lookup!$A:$A,0)),"")</f>
        <v/>
      </c>
      <c r="BS285" t="str">
        <f t="shared" si="54"/>
        <v/>
      </c>
    </row>
    <row r="286" spans="15:71" x14ac:dyDescent="0.2">
      <c r="O286" t="str">
        <f>IFERROR(INDEX(_courses_lookup!$C:$C,MATCH(K286&amp;L286,_courses_lookup!$E:$E,0)),"")</f>
        <v/>
      </c>
      <c r="P286" t="str">
        <f>IFERROR(INDEX(_courses_lookup!$D:$D,MATCH(K286&amp;L286,_courses_lookup!$E:$E,0)),"")</f>
        <v/>
      </c>
      <c r="AG286" t="str">
        <f t="shared" si="44"/>
        <v/>
      </c>
      <c r="AI286" t="str">
        <f t="shared" si="45"/>
        <v/>
      </c>
      <c r="AL286" t="str">
        <f t="shared" si="46"/>
        <v/>
      </c>
      <c r="AN286" t="str">
        <f t="shared" si="47"/>
        <v/>
      </c>
      <c r="AQ286" t="str">
        <f t="shared" si="48"/>
        <v/>
      </c>
      <c r="AR286" t="str">
        <f t="shared" si="49"/>
        <v/>
      </c>
      <c r="AS286" t="str">
        <f t="shared" si="50"/>
        <v/>
      </c>
      <c r="AT286" t="str">
        <f t="shared" si="51"/>
        <v/>
      </c>
      <c r="BG286" t="str">
        <f t="shared" si="52"/>
        <v/>
      </c>
      <c r="BH286" t="str">
        <f t="shared" si="53"/>
        <v/>
      </c>
      <c r="BL286" t="str">
        <f>IFERROR(INDEX(_names_lookup!$C:$C,MATCH(BK286,_names_lookup!$A:$A,0)),"")</f>
        <v/>
      </c>
      <c r="BM286" t="str">
        <f>IFERROR(INDEX(_names_lookup!$B:$B,MATCH(BK286,_names_lookup!$A:$A,0)),"")</f>
        <v/>
      </c>
      <c r="BS286" t="str">
        <f t="shared" si="54"/>
        <v/>
      </c>
    </row>
    <row r="287" spans="15:71" x14ac:dyDescent="0.2">
      <c r="O287" t="str">
        <f>IFERROR(INDEX(_courses_lookup!$C:$C,MATCH(K287&amp;L287,_courses_lookup!$E:$E,0)),"")</f>
        <v/>
      </c>
      <c r="P287" t="str">
        <f>IFERROR(INDEX(_courses_lookup!$D:$D,MATCH(K287&amp;L287,_courses_lookup!$E:$E,0)),"")</f>
        <v/>
      </c>
      <c r="AG287" t="str">
        <f t="shared" si="44"/>
        <v/>
      </c>
      <c r="AI287" t="str">
        <f t="shared" si="45"/>
        <v/>
      </c>
      <c r="AL287" t="str">
        <f t="shared" si="46"/>
        <v/>
      </c>
      <c r="AN287" t="str">
        <f t="shared" si="47"/>
        <v/>
      </c>
      <c r="AQ287" t="str">
        <f t="shared" si="48"/>
        <v/>
      </c>
      <c r="AR287" t="str">
        <f t="shared" si="49"/>
        <v/>
      </c>
      <c r="AS287" t="str">
        <f t="shared" si="50"/>
        <v/>
      </c>
      <c r="AT287" t="str">
        <f t="shared" si="51"/>
        <v/>
      </c>
      <c r="BG287" t="str">
        <f t="shared" si="52"/>
        <v/>
      </c>
      <c r="BH287" t="str">
        <f t="shared" si="53"/>
        <v/>
      </c>
      <c r="BL287" t="str">
        <f>IFERROR(INDEX(_names_lookup!$C:$C,MATCH(BK287,_names_lookup!$A:$A,0)),"")</f>
        <v/>
      </c>
      <c r="BM287" t="str">
        <f>IFERROR(INDEX(_names_lookup!$B:$B,MATCH(BK287,_names_lookup!$A:$A,0)),"")</f>
        <v/>
      </c>
      <c r="BS287" t="str">
        <f t="shared" si="54"/>
        <v/>
      </c>
    </row>
    <row r="288" spans="15:71" x14ac:dyDescent="0.2">
      <c r="O288" t="str">
        <f>IFERROR(INDEX(_courses_lookup!$C:$C,MATCH(K288&amp;L288,_courses_lookup!$E:$E,0)),"")</f>
        <v/>
      </c>
      <c r="P288" t="str">
        <f>IFERROR(INDEX(_courses_lookup!$D:$D,MATCH(K288&amp;L288,_courses_lookup!$E:$E,0)),"")</f>
        <v/>
      </c>
      <c r="AG288" t="str">
        <f t="shared" si="44"/>
        <v/>
      </c>
      <c r="AI288" t="str">
        <f t="shared" si="45"/>
        <v/>
      </c>
      <c r="AL288" t="str">
        <f t="shared" si="46"/>
        <v/>
      </c>
      <c r="AN288" t="str">
        <f t="shared" si="47"/>
        <v/>
      </c>
      <c r="AQ288" t="str">
        <f t="shared" si="48"/>
        <v/>
      </c>
      <c r="AR288" t="str">
        <f t="shared" si="49"/>
        <v/>
      </c>
      <c r="AS288" t="str">
        <f t="shared" si="50"/>
        <v/>
      </c>
      <c r="AT288" t="str">
        <f t="shared" si="51"/>
        <v/>
      </c>
      <c r="BG288" t="str">
        <f t="shared" si="52"/>
        <v/>
      </c>
      <c r="BH288" t="str">
        <f t="shared" si="53"/>
        <v/>
      </c>
      <c r="BL288" t="str">
        <f>IFERROR(INDEX(_names_lookup!$C:$C,MATCH(BK288,_names_lookup!$A:$A,0)),"")</f>
        <v/>
      </c>
      <c r="BM288" t="str">
        <f>IFERROR(INDEX(_names_lookup!$B:$B,MATCH(BK288,_names_lookup!$A:$A,0)),"")</f>
        <v/>
      </c>
      <c r="BS288" t="str">
        <f t="shared" si="54"/>
        <v/>
      </c>
    </row>
    <row r="289" spans="15:71" x14ac:dyDescent="0.2">
      <c r="O289" t="str">
        <f>IFERROR(INDEX(_courses_lookup!$C:$C,MATCH(K289&amp;L289,_courses_lookup!$E:$E,0)),"")</f>
        <v/>
      </c>
      <c r="P289" t="str">
        <f>IFERROR(INDEX(_courses_lookup!$D:$D,MATCH(K289&amp;L289,_courses_lookup!$E:$E,0)),"")</f>
        <v/>
      </c>
      <c r="AG289" t="str">
        <f t="shared" si="44"/>
        <v/>
      </c>
      <c r="AI289" t="str">
        <f t="shared" si="45"/>
        <v/>
      </c>
      <c r="AL289" t="str">
        <f t="shared" si="46"/>
        <v/>
      </c>
      <c r="AN289" t="str">
        <f t="shared" si="47"/>
        <v/>
      </c>
      <c r="AQ289" t="str">
        <f t="shared" si="48"/>
        <v/>
      </c>
      <c r="AR289" t="str">
        <f t="shared" si="49"/>
        <v/>
      </c>
      <c r="AS289" t="str">
        <f t="shared" si="50"/>
        <v/>
      </c>
      <c r="AT289" t="str">
        <f t="shared" si="51"/>
        <v/>
      </c>
      <c r="BG289" t="str">
        <f t="shared" si="52"/>
        <v/>
      </c>
      <c r="BH289" t="str">
        <f t="shared" si="53"/>
        <v/>
      </c>
      <c r="BL289" t="str">
        <f>IFERROR(INDEX(_names_lookup!$C:$C,MATCH(BK289,_names_lookup!$A:$A,0)),"")</f>
        <v/>
      </c>
      <c r="BM289" t="str">
        <f>IFERROR(INDEX(_names_lookup!$B:$B,MATCH(BK289,_names_lookup!$A:$A,0)),"")</f>
        <v/>
      </c>
      <c r="BS289" t="str">
        <f t="shared" si="54"/>
        <v/>
      </c>
    </row>
    <row r="290" spans="15:71" x14ac:dyDescent="0.2">
      <c r="O290" t="str">
        <f>IFERROR(INDEX(_courses_lookup!$C:$C,MATCH(K290&amp;L290,_courses_lookup!$E:$E,0)),"")</f>
        <v/>
      </c>
      <c r="P290" t="str">
        <f>IFERROR(INDEX(_courses_lookup!$D:$D,MATCH(K290&amp;L290,_courses_lookup!$E:$E,0)),"")</f>
        <v/>
      </c>
      <c r="AG290" t="str">
        <f t="shared" si="44"/>
        <v/>
      </c>
      <c r="AI290" t="str">
        <f t="shared" si="45"/>
        <v/>
      </c>
      <c r="AL290" t="str">
        <f t="shared" si="46"/>
        <v/>
      </c>
      <c r="AN290" t="str">
        <f t="shared" si="47"/>
        <v/>
      </c>
      <c r="AQ290" t="str">
        <f t="shared" si="48"/>
        <v/>
      </c>
      <c r="AR290" t="str">
        <f t="shared" si="49"/>
        <v/>
      </c>
      <c r="AS290" t="str">
        <f t="shared" si="50"/>
        <v/>
      </c>
      <c r="AT290" t="str">
        <f t="shared" si="51"/>
        <v/>
      </c>
      <c r="BG290" t="str">
        <f t="shared" si="52"/>
        <v/>
      </c>
      <c r="BH290" t="str">
        <f t="shared" si="53"/>
        <v/>
      </c>
      <c r="BL290" t="str">
        <f>IFERROR(INDEX(_names_lookup!$C:$C,MATCH(BK290,_names_lookup!$A:$A,0)),"")</f>
        <v/>
      </c>
      <c r="BM290" t="str">
        <f>IFERROR(INDEX(_names_lookup!$B:$B,MATCH(BK290,_names_lookup!$A:$A,0)),"")</f>
        <v/>
      </c>
      <c r="BS290" t="str">
        <f t="shared" si="54"/>
        <v/>
      </c>
    </row>
    <row r="291" spans="15:71" x14ac:dyDescent="0.2">
      <c r="O291" t="str">
        <f>IFERROR(INDEX(_courses_lookup!$C:$C,MATCH(K291&amp;L291,_courses_lookup!$E:$E,0)),"")</f>
        <v/>
      </c>
      <c r="P291" t="str">
        <f>IFERROR(INDEX(_courses_lookup!$D:$D,MATCH(K291&amp;L291,_courses_lookup!$E:$E,0)),"")</f>
        <v/>
      </c>
      <c r="AG291" t="str">
        <f t="shared" si="44"/>
        <v/>
      </c>
      <c r="AI291" t="str">
        <f t="shared" si="45"/>
        <v/>
      </c>
      <c r="AL291" t="str">
        <f t="shared" si="46"/>
        <v/>
      </c>
      <c r="AN291" t="str">
        <f t="shared" si="47"/>
        <v/>
      </c>
      <c r="AQ291" t="str">
        <f t="shared" si="48"/>
        <v/>
      </c>
      <c r="AR291" t="str">
        <f t="shared" si="49"/>
        <v/>
      </c>
      <c r="AS291" t="str">
        <f t="shared" si="50"/>
        <v/>
      </c>
      <c r="AT291" t="str">
        <f t="shared" si="51"/>
        <v/>
      </c>
      <c r="BG291" t="str">
        <f t="shared" si="52"/>
        <v/>
      </c>
      <c r="BH291" t="str">
        <f t="shared" si="53"/>
        <v/>
      </c>
      <c r="BL291" t="str">
        <f>IFERROR(INDEX(_names_lookup!$C:$C,MATCH(BK291,_names_lookup!$A:$A,0)),"")</f>
        <v/>
      </c>
      <c r="BM291" t="str">
        <f>IFERROR(INDEX(_names_lookup!$B:$B,MATCH(BK291,_names_lookup!$A:$A,0)),"")</f>
        <v/>
      </c>
      <c r="BS291" t="str">
        <f t="shared" si="54"/>
        <v/>
      </c>
    </row>
    <row r="292" spans="15:71" x14ac:dyDescent="0.2">
      <c r="O292" t="str">
        <f>IFERROR(INDEX(_courses_lookup!$C:$C,MATCH(K292&amp;L292,_courses_lookup!$E:$E,0)),"")</f>
        <v/>
      </c>
      <c r="P292" t="str">
        <f>IFERROR(INDEX(_courses_lookup!$D:$D,MATCH(K292&amp;L292,_courses_lookup!$E:$E,0)),"")</f>
        <v/>
      </c>
      <c r="AG292" t="str">
        <f t="shared" si="44"/>
        <v/>
      </c>
      <c r="AI292" t="str">
        <f t="shared" si="45"/>
        <v/>
      </c>
      <c r="AL292" t="str">
        <f t="shared" si="46"/>
        <v/>
      </c>
      <c r="AN292" t="str">
        <f t="shared" si="47"/>
        <v/>
      </c>
      <c r="AQ292" t="str">
        <f t="shared" si="48"/>
        <v/>
      </c>
      <c r="AR292" t="str">
        <f t="shared" si="49"/>
        <v/>
      </c>
      <c r="AS292" t="str">
        <f t="shared" si="50"/>
        <v/>
      </c>
      <c r="AT292" t="str">
        <f t="shared" si="51"/>
        <v/>
      </c>
      <c r="BG292" t="str">
        <f t="shared" si="52"/>
        <v/>
      </c>
      <c r="BH292" t="str">
        <f t="shared" si="53"/>
        <v/>
      </c>
      <c r="BL292" t="str">
        <f>IFERROR(INDEX(_names_lookup!$C:$C,MATCH(BK292,_names_lookup!$A:$A,0)),"")</f>
        <v/>
      </c>
      <c r="BM292" t="str">
        <f>IFERROR(INDEX(_names_lookup!$B:$B,MATCH(BK292,_names_lookup!$A:$A,0)),"")</f>
        <v/>
      </c>
      <c r="BS292" t="str">
        <f t="shared" si="54"/>
        <v/>
      </c>
    </row>
    <row r="293" spans="15:71" x14ac:dyDescent="0.2">
      <c r="O293" t="str">
        <f>IFERROR(INDEX(_courses_lookup!$C:$C,MATCH(K293&amp;L293,_courses_lookup!$E:$E,0)),"")</f>
        <v/>
      </c>
      <c r="P293" t="str">
        <f>IFERROR(INDEX(_courses_lookup!$D:$D,MATCH(K293&amp;L293,_courses_lookup!$E:$E,0)),"")</f>
        <v/>
      </c>
      <c r="AG293" t="str">
        <f t="shared" si="44"/>
        <v/>
      </c>
      <c r="AI293" t="str">
        <f t="shared" si="45"/>
        <v/>
      </c>
      <c r="AL293" t="str">
        <f t="shared" si="46"/>
        <v/>
      </c>
      <c r="AN293" t="str">
        <f t="shared" si="47"/>
        <v/>
      </c>
      <c r="AQ293" t="str">
        <f t="shared" si="48"/>
        <v/>
      </c>
      <c r="AR293" t="str">
        <f t="shared" si="49"/>
        <v/>
      </c>
      <c r="AS293" t="str">
        <f t="shared" si="50"/>
        <v/>
      </c>
      <c r="AT293" t="str">
        <f t="shared" si="51"/>
        <v/>
      </c>
      <c r="BG293" t="str">
        <f t="shared" si="52"/>
        <v/>
      </c>
      <c r="BH293" t="str">
        <f t="shared" si="53"/>
        <v/>
      </c>
      <c r="BL293" t="str">
        <f>IFERROR(INDEX(_names_lookup!$C:$C,MATCH(BK293,_names_lookup!$A:$A,0)),"")</f>
        <v/>
      </c>
      <c r="BM293" t="str">
        <f>IFERROR(INDEX(_names_lookup!$B:$B,MATCH(BK293,_names_lookup!$A:$A,0)),"")</f>
        <v/>
      </c>
      <c r="BS293" t="str">
        <f t="shared" si="54"/>
        <v/>
      </c>
    </row>
    <row r="294" spans="15:71" x14ac:dyDescent="0.2">
      <c r="O294" t="str">
        <f>IFERROR(INDEX(_courses_lookup!$C:$C,MATCH(K294&amp;L294,_courses_lookup!$E:$E,0)),"")</f>
        <v/>
      </c>
      <c r="P294" t="str">
        <f>IFERROR(INDEX(_courses_lookup!$D:$D,MATCH(K294&amp;L294,_courses_lookup!$E:$E,0)),"")</f>
        <v/>
      </c>
      <c r="AG294" t="str">
        <f t="shared" si="44"/>
        <v/>
      </c>
      <c r="AI294" t="str">
        <f t="shared" si="45"/>
        <v/>
      </c>
      <c r="AL294" t="str">
        <f t="shared" si="46"/>
        <v/>
      </c>
      <c r="AN294" t="str">
        <f t="shared" si="47"/>
        <v/>
      </c>
      <c r="AQ294" t="str">
        <f t="shared" si="48"/>
        <v/>
      </c>
      <c r="AR294" t="str">
        <f t="shared" si="49"/>
        <v/>
      </c>
      <c r="AS294" t="str">
        <f t="shared" si="50"/>
        <v/>
      </c>
      <c r="AT294" t="str">
        <f t="shared" si="51"/>
        <v/>
      </c>
      <c r="BG294" t="str">
        <f t="shared" si="52"/>
        <v/>
      </c>
      <c r="BH294" t="str">
        <f t="shared" si="53"/>
        <v/>
      </c>
      <c r="BL294" t="str">
        <f>IFERROR(INDEX(_names_lookup!$C:$C,MATCH(BK294,_names_lookup!$A:$A,0)),"")</f>
        <v/>
      </c>
      <c r="BM294" t="str">
        <f>IFERROR(INDEX(_names_lookup!$B:$B,MATCH(BK294,_names_lookup!$A:$A,0)),"")</f>
        <v/>
      </c>
      <c r="BS294" t="str">
        <f t="shared" si="54"/>
        <v/>
      </c>
    </row>
    <row r="295" spans="15:71" x14ac:dyDescent="0.2">
      <c r="O295" t="str">
        <f>IFERROR(INDEX(_courses_lookup!$C:$C,MATCH(K295&amp;L295,_courses_lookup!$E:$E,0)),"")</f>
        <v/>
      </c>
      <c r="P295" t="str">
        <f>IFERROR(INDEX(_courses_lookup!$D:$D,MATCH(K295&amp;L295,_courses_lookup!$E:$E,0)),"")</f>
        <v/>
      </c>
      <c r="AG295" t="str">
        <f t="shared" si="44"/>
        <v/>
      </c>
      <c r="AI295" t="str">
        <f t="shared" si="45"/>
        <v/>
      </c>
      <c r="AL295" t="str">
        <f t="shared" si="46"/>
        <v/>
      </c>
      <c r="AN295" t="str">
        <f t="shared" si="47"/>
        <v/>
      </c>
      <c r="AQ295" t="str">
        <f t="shared" si="48"/>
        <v/>
      </c>
      <c r="AR295" t="str">
        <f t="shared" si="49"/>
        <v/>
      </c>
      <c r="AS295" t="str">
        <f t="shared" si="50"/>
        <v/>
      </c>
      <c r="AT295" t="str">
        <f t="shared" si="51"/>
        <v/>
      </c>
      <c r="BG295" t="str">
        <f t="shared" si="52"/>
        <v/>
      </c>
      <c r="BH295" t="str">
        <f t="shared" si="53"/>
        <v/>
      </c>
      <c r="BL295" t="str">
        <f>IFERROR(INDEX(_names_lookup!$C:$C,MATCH(BK295,_names_lookup!$A:$A,0)),"")</f>
        <v/>
      </c>
      <c r="BM295" t="str">
        <f>IFERROR(INDEX(_names_lookup!$B:$B,MATCH(BK295,_names_lookup!$A:$A,0)),"")</f>
        <v/>
      </c>
      <c r="BS295" t="str">
        <f t="shared" si="54"/>
        <v/>
      </c>
    </row>
    <row r="296" spans="15:71" x14ac:dyDescent="0.2">
      <c r="O296" t="str">
        <f>IFERROR(INDEX(_courses_lookup!$C:$C,MATCH(K296&amp;L296,_courses_lookup!$E:$E,0)),"")</f>
        <v/>
      </c>
      <c r="P296" t="str">
        <f>IFERROR(INDEX(_courses_lookup!$D:$D,MATCH(K296&amp;L296,_courses_lookup!$E:$E,0)),"")</f>
        <v/>
      </c>
      <c r="AG296" t="str">
        <f t="shared" si="44"/>
        <v/>
      </c>
      <c r="AI296" t="str">
        <f t="shared" si="45"/>
        <v/>
      </c>
      <c r="AL296" t="str">
        <f t="shared" si="46"/>
        <v/>
      </c>
      <c r="AN296" t="str">
        <f t="shared" si="47"/>
        <v/>
      </c>
      <c r="AQ296" t="str">
        <f t="shared" si="48"/>
        <v/>
      </c>
      <c r="AR296" t="str">
        <f t="shared" si="49"/>
        <v/>
      </c>
      <c r="AS296" t="str">
        <f t="shared" si="50"/>
        <v/>
      </c>
      <c r="AT296" t="str">
        <f t="shared" si="51"/>
        <v/>
      </c>
      <c r="BG296" t="str">
        <f t="shared" si="52"/>
        <v/>
      </c>
      <c r="BH296" t="str">
        <f t="shared" si="53"/>
        <v/>
      </c>
      <c r="BL296" t="str">
        <f>IFERROR(INDEX(_names_lookup!$C:$C,MATCH(BK296,_names_lookup!$A:$A,0)),"")</f>
        <v/>
      </c>
      <c r="BM296" t="str">
        <f>IFERROR(INDEX(_names_lookup!$B:$B,MATCH(BK296,_names_lookup!$A:$A,0)),"")</f>
        <v/>
      </c>
      <c r="BS296" t="str">
        <f t="shared" si="54"/>
        <v/>
      </c>
    </row>
    <row r="297" spans="15:71" x14ac:dyDescent="0.2">
      <c r="O297" t="str">
        <f>IFERROR(INDEX(_courses_lookup!$C:$C,MATCH(K297&amp;L297,_courses_lookup!$E:$E,0)),"")</f>
        <v/>
      </c>
      <c r="P297" t="str">
        <f>IFERROR(INDEX(_courses_lookup!$D:$D,MATCH(K297&amp;L297,_courses_lookup!$E:$E,0)),"")</f>
        <v/>
      </c>
      <c r="AG297" t="str">
        <f t="shared" si="44"/>
        <v/>
      </c>
      <c r="AI297" t="str">
        <f t="shared" si="45"/>
        <v/>
      </c>
      <c r="AL297" t="str">
        <f t="shared" si="46"/>
        <v/>
      </c>
      <c r="AN297" t="str">
        <f t="shared" si="47"/>
        <v/>
      </c>
      <c r="AQ297" t="str">
        <f t="shared" si="48"/>
        <v/>
      </c>
      <c r="AR297" t="str">
        <f t="shared" si="49"/>
        <v/>
      </c>
      <c r="AS297" t="str">
        <f t="shared" si="50"/>
        <v/>
      </c>
      <c r="AT297" t="str">
        <f t="shared" si="51"/>
        <v/>
      </c>
      <c r="BG297" t="str">
        <f t="shared" si="52"/>
        <v/>
      </c>
      <c r="BH297" t="str">
        <f t="shared" si="53"/>
        <v/>
      </c>
      <c r="BL297" t="str">
        <f>IFERROR(INDEX(_names_lookup!$C:$C,MATCH(BK297,_names_lookup!$A:$A,0)),"")</f>
        <v/>
      </c>
      <c r="BM297" t="str">
        <f>IFERROR(INDEX(_names_lookup!$B:$B,MATCH(BK297,_names_lookup!$A:$A,0)),"")</f>
        <v/>
      </c>
      <c r="BS297" t="str">
        <f t="shared" si="54"/>
        <v/>
      </c>
    </row>
    <row r="298" spans="15:71" x14ac:dyDescent="0.2">
      <c r="O298" t="str">
        <f>IFERROR(INDEX(_courses_lookup!$C:$C,MATCH(K298&amp;L298,_courses_lookup!$E:$E,0)),"")</f>
        <v/>
      </c>
      <c r="P298" t="str">
        <f>IFERROR(INDEX(_courses_lookup!$D:$D,MATCH(K298&amp;L298,_courses_lookup!$E:$E,0)),"")</f>
        <v/>
      </c>
      <c r="AG298" t="str">
        <f t="shared" si="44"/>
        <v/>
      </c>
      <c r="AI298" t="str">
        <f t="shared" si="45"/>
        <v/>
      </c>
      <c r="AL298" t="str">
        <f t="shared" si="46"/>
        <v/>
      </c>
      <c r="AN298" t="str">
        <f t="shared" si="47"/>
        <v/>
      </c>
      <c r="AQ298" t="str">
        <f t="shared" si="48"/>
        <v/>
      </c>
      <c r="AR298" t="str">
        <f t="shared" si="49"/>
        <v/>
      </c>
      <c r="AS298" t="str">
        <f t="shared" si="50"/>
        <v/>
      </c>
      <c r="AT298" t="str">
        <f t="shared" si="51"/>
        <v/>
      </c>
      <c r="BG298" t="str">
        <f t="shared" si="52"/>
        <v/>
      </c>
      <c r="BH298" t="str">
        <f t="shared" si="53"/>
        <v/>
      </c>
      <c r="BL298" t="str">
        <f>IFERROR(INDEX(_names_lookup!$C:$C,MATCH(BK298,_names_lookup!$A:$A,0)),"")</f>
        <v/>
      </c>
      <c r="BM298" t="str">
        <f>IFERROR(INDEX(_names_lookup!$B:$B,MATCH(BK298,_names_lookup!$A:$A,0)),"")</f>
        <v/>
      </c>
      <c r="BS298" t="str">
        <f t="shared" si="54"/>
        <v/>
      </c>
    </row>
    <row r="299" spans="15:71" x14ac:dyDescent="0.2">
      <c r="O299" t="str">
        <f>IFERROR(INDEX(_courses_lookup!$C:$C,MATCH(K299&amp;L299,_courses_lookup!$E:$E,0)),"")</f>
        <v/>
      </c>
      <c r="P299" t="str">
        <f>IFERROR(INDEX(_courses_lookup!$D:$D,MATCH(K299&amp;L299,_courses_lookup!$E:$E,0)),"")</f>
        <v/>
      </c>
      <c r="AG299" t="str">
        <f t="shared" si="44"/>
        <v/>
      </c>
      <c r="AI299" t="str">
        <f t="shared" si="45"/>
        <v/>
      </c>
      <c r="AL299" t="str">
        <f t="shared" si="46"/>
        <v/>
      </c>
      <c r="AN299" t="str">
        <f t="shared" si="47"/>
        <v/>
      </c>
      <c r="AQ299" t="str">
        <f t="shared" si="48"/>
        <v/>
      </c>
      <c r="AR299" t="str">
        <f t="shared" si="49"/>
        <v/>
      </c>
      <c r="AS299" t="str">
        <f t="shared" si="50"/>
        <v/>
      </c>
      <c r="AT299" t="str">
        <f t="shared" si="51"/>
        <v/>
      </c>
      <c r="BG299" t="str">
        <f t="shared" si="52"/>
        <v/>
      </c>
      <c r="BH299" t="str">
        <f t="shared" si="53"/>
        <v/>
      </c>
      <c r="BL299" t="str">
        <f>IFERROR(INDEX(_names_lookup!$C:$C,MATCH(BK299,_names_lookup!$A:$A,0)),"")</f>
        <v/>
      </c>
      <c r="BM299" t="str">
        <f>IFERROR(INDEX(_names_lookup!$B:$B,MATCH(BK299,_names_lookup!$A:$A,0)),"")</f>
        <v/>
      </c>
      <c r="BS299" t="str">
        <f t="shared" si="54"/>
        <v/>
      </c>
    </row>
    <row r="300" spans="15:71" x14ac:dyDescent="0.2">
      <c r="O300" t="str">
        <f>IFERROR(INDEX(_courses_lookup!$C:$C,MATCH(K300&amp;L300,_courses_lookup!$E:$E,0)),"")</f>
        <v/>
      </c>
      <c r="P300" t="str">
        <f>IFERROR(INDEX(_courses_lookup!$D:$D,MATCH(K300&amp;L300,_courses_lookup!$E:$E,0)),"")</f>
        <v/>
      </c>
      <c r="AG300" t="str">
        <f t="shared" si="44"/>
        <v/>
      </c>
      <c r="AI300" t="str">
        <f t="shared" si="45"/>
        <v/>
      </c>
      <c r="AL300" t="str">
        <f t="shared" si="46"/>
        <v/>
      </c>
      <c r="AN300" t="str">
        <f t="shared" si="47"/>
        <v/>
      </c>
      <c r="AQ300" t="str">
        <f t="shared" si="48"/>
        <v/>
      </c>
      <c r="AR300" t="str">
        <f t="shared" si="49"/>
        <v/>
      </c>
      <c r="AS300" t="str">
        <f t="shared" si="50"/>
        <v/>
      </c>
      <c r="AT300" t="str">
        <f t="shared" si="51"/>
        <v/>
      </c>
      <c r="BG300" t="str">
        <f t="shared" si="52"/>
        <v/>
      </c>
      <c r="BH300" t="str">
        <f t="shared" si="53"/>
        <v/>
      </c>
      <c r="BL300" t="str">
        <f>IFERROR(INDEX(_names_lookup!$C:$C,MATCH(BK300,_names_lookup!$A:$A,0)),"")</f>
        <v/>
      </c>
      <c r="BM300" t="str">
        <f>IFERROR(INDEX(_names_lookup!$B:$B,MATCH(BK300,_names_lookup!$A:$A,0)),"")</f>
        <v/>
      </c>
      <c r="BS300" t="str">
        <f t="shared" si="54"/>
        <v/>
      </c>
    </row>
  </sheetData>
  <autoFilter ref="A1:DR18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000-000000000000}">
          <x14:formula1>
            <xm:f>DropDownMenu!$A$2:$A$3</xm:f>
          </x14:formula1>
          <xm:sqref>A2:A5000</xm:sqref>
        </x14:dataValidation>
        <x14:dataValidation type="list" allowBlank="1" xr:uid="{00000000-0002-0000-0000-000001000000}">
          <x14:formula1>
            <xm:f>DropDownMenu!$B$2:$B$3</xm:f>
          </x14:formula1>
          <xm:sqref>B2:B5000</xm:sqref>
        </x14:dataValidation>
        <x14:dataValidation type="list" allowBlank="1" xr:uid="{00000000-0002-0000-0000-000002000000}">
          <x14:formula1>
            <xm:f>DropDownMenu!$C$2:$C$3</xm:f>
          </x14:formula1>
          <xm:sqref>C2:C5000</xm:sqref>
        </x14:dataValidation>
        <x14:dataValidation type="list" allowBlank="1" xr:uid="{00000000-0002-0000-0000-000003000000}">
          <x14:formula1>
            <xm:f>DropDownMenu!$D$2:$D$3</xm:f>
          </x14:formula1>
          <xm:sqref>D2:D5000</xm:sqref>
        </x14:dataValidation>
        <x14:dataValidation type="list" allowBlank="1" xr:uid="{00000000-0002-0000-0000-000004000000}">
          <x14:formula1>
            <xm:f>DropDownMenu!$E$2:$E$3</xm:f>
          </x14:formula1>
          <xm:sqref>E2:E5000</xm:sqref>
        </x14:dataValidation>
        <x14:dataValidation type="list" allowBlank="1" xr:uid="{00000000-0002-0000-0000-000005000000}">
          <x14:formula1>
            <xm:f>DropDownMenu!$F$2:$F$3</xm:f>
          </x14:formula1>
          <xm:sqref>F2:F5000</xm:sqref>
        </x14:dataValidation>
        <x14:dataValidation type="list" allowBlank="1" xr:uid="{00000000-0002-0000-0000-000006000000}">
          <x14:formula1>
            <xm:f>DropDownMenu!$G$2:$G$19</xm:f>
          </x14:formula1>
          <xm:sqref>G2:G5000</xm:sqref>
        </x14:dataValidation>
        <x14:dataValidation type="list" allowBlank="1" xr:uid="{00000000-0002-0000-0000-000007000000}">
          <x14:formula1>
            <xm:f>DropDownMenu!$H$2:$H$564</xm:f>
          </x14:formula1>
          <xm:sqref>H2:H5000</xm:sqref>
        </x14:dataValidation>
        <x14:dataValidation type="list" allowBlank="1" xr:uid="{00000000-0002-0000-0000-000008000000}">
          <x14:formula1>
            <xm:f>DropDownMenu!$I$2:$I$352</xm:f>
          </x14:formula1>
          <xm:sqref>I2:I5000</xm:sqref>
        </x14:dataValidation>
        <x14:dataValidation type="list" allowBlank="1" xr:uid="{00000000-0002-0000-0000-000009000000}">
          <x14:formula1>
            <xm:f>DropDownMenu!$J$2:$J$10</xm:f>
          </x14:formula1>
          <xm:sqref>K2:K5000</xm:sqref>
        </x14:dataValidation>
        <x14:dataValidation type="list" allowBlank="1" xr:uid="{00000000-0002-0000-0000-00000A000000}">
          <x14:formula1>
            <xm:f>DropDownMenu!$K$2:$K$101</xm:f>
          </x14:formula1>
          <xm:sqref>L2:L5000</xm:sqref>
        </x14:dataValidation>
        <x14:dataValidation type="list" allowBlank="1" xr:uid="{00000000-0002-0000-0000-00000B000000}">
          <x14:formula1>
            <xm:f>DropDownMenu!$L$2:$L$42</xm:f>
          </x14:formula1>
          <xm:sqref>M2:M5000</xm:sqref>
        </x14:dataValidation>
        <x14:dataValidation type="list" allowBlank="1" xr:uid="{00000000-0002-0000-0000-00000C000000}">
          <x14:formula1>
            <xm:f>DropDownMenu!$M$2:$M$15</xm:f>
          </x14:formula1>
          <xm:sqref>N2:N5000</xm:sqref>
        </x14:dataValidation>
        <x14:dataValidation type="list" allowBlank="1" xr:uid="{00000000-0002-0000-0000-00000D000000}">
          <x14:formula1>
            <xm:f>DropDownMenu!$N$2:$N$140</xm:f>
          </x14:formula1>
          <xm:sqref>O2:O5000</xm:sqref>
        </x14:dataValidation>
        <x14:dataValidation type="list" allowBlank="1" xr:uid="{00000000-0002-0000-0000-00000E000000}">
          <x14:formula1>
            <xm:f>DropDownMenu!$O$2:$O$65</xm:f>
          </x14:formula1>
          <xm:sqref>P2:P5000</xm:sqref>
        </x14:dataValidation>
        <x14:dataValidation type="list" allowBlank="1" xr:uid="{00000000-0002-0000-0000-00000F000000}">
          <x14:formula1>
            <xm:f>DropDownMenu!$P$2:$P$45</xm:f>
          </x14:formula1>
          <xm:sqref>R2:R5000</xm:sqref>
        </x14:dataValidation>
        <x14:dataValidation type="list" allowBlank="1" xr:uid="{00000000-0002-0000-0000-000010000000}">
          <x14:formula1>
            <xm:f>DropDownMenu!$Q$2:$Q$6</xm:f>
          </x14:formula1>
          <xm:sqref>S2:S5000</xm:sqref>
        </x14:dataValidation>
        <x14:dataValidation type="list" allowBlank="1" xr:uid="{00000000-0002-0000-0000-000011000000}">
          <x14:formula1>
            <xm:f>DropDownMenu!$R$2:$R$7</xm:f>
          </x14:formula1>
          <xm:sqref>T2:T5000</xm:sqref>
        </x14:dataValidation>
        <x14:dataValidation type="list" allowBlank="1" xr:uid="{00000000-0002-0000-0000-000012000000}">
          <x14:formula1>
            <xm:f>DropDownMenu!$S$2:$S$12</xm:f>
          </x14:formula1>
          <xm:sqref>U2:U5000</xm:sqref>
        </x14:dataValidation>
        <x14:dataValidation type="list" allowBlank="1" xr:uid="{00000000-0002-0000-0000-000013000000}">
          <x14:formula1>
            <xm:f>DropDownMenu!$T$2:$T$13</xm:f>
          </x14:formula1>
          <xm:sqref>V2:V5000</xm:sqref>
        </x14:dataValidation>
        <x14:dataValidation type="list" allowBlank="1" xr:uid="{00000000-0002-0000-0000-000014000000}">
          <x14:formula1>
            <xm:f>DropDownMenu!$U$2:$U$4</xm:f>
          </x14:formula1>
          <xm:sqref>W2:W5000</xm:sqref>
        </x14:dataValidation>
        <x14:dataValidation type="list" allowBlank="1" xr:uid="{00000000-0002-0000-0000-000015000000}">
          <x14:formula1>
            <xm:f>DropDownMenu!$V$2:$V$6</xm:f>
          </x14:formula1>
          <xm:sqref>X2:X5000</xm:sqref>
        </x14:dataValidation>
        <x14:dataValidation type="list" allowBlank="1" xr:uid="{00000000-0002-0000-0000-000016000000}">
          <x14:formula1>
            <xm:f>DropDownMenu!$W$2:$W$26</xm:f>
          </x14:formula1>
          <xm:sqref>Y2:Y5000</xm:sqref>
        </x14:dataValidation>
        <x14:dataValidation type="list" allowBlank="1" xr:uid="{00000000-0002-0000-0000-000017000000}">
          <x14:formula1>
            <xm:f>DropDownMenu!$X$2:$X$7</xm:f>
          </x14:formula1>
          <xm:sqref>Z2:Z5000</xm:sqref>
        </x14:dataValidation>
        <x14:dataValidation type="list" allowBlank="1" xr:uid="{00000000-0002-0000-0000-000018000000}">
          <x14:formula1>
            <xm:f>DropDownMenu!$Y$2:$Y$15</xm:f>
          </x14:formula1>
          <xm:sqref>AB2:AB5000</xm:sqref>
        </x14:dataValidation>
        <x14:dataValidation type="list" allowBlank="1" xr:uid="{00000000-0002-0000-0000-000019000000}">
          <x14:formula1>
            <xm:f>DropDownMenu!$Z$2:$Z$6</xm:f>
          </x14:formula1>
          <xm:sqref>AC2:AC5000</xm:sqref>
        </x14:dataValidation>
        <x14:dataValidation type="list" allowBlank="1" xr:uid="{00000000-0002-0000-0000-00001A000000}">
          <x14:formula1>
            <xm:f>DropDownMenu!$AA$2:$AA$7</xm:f>
          </x14:formula1>
          <xm:sqref>AD2:AD5000</xm:sqref>
        </x14:dataValidation>
        <x14:dataValidation type="list" allowBlank="1" xr:uid="{00000000-0002-0000-0000-00001B000000}">
          <x14:formula1>
            <xm:f>DropDownMenu!$AB$2:$AB$2</xm:f>
          </x14:formula1>
          <xm:sqref>AG2:AG5000</xm:sqref>
        </x14:dataValidation>
        <x14:dataValidation type="list" allowBlank="1" xr:uid="{00000000-0002-0000-0000-00001C000000}">
          <x14:formula1>
            <xm:f>DropDownMenu!$AC$2:$AC$2</xm:f>
          </x14:formula1>
          <xm:sqref>AH2:AH5000</xm:sqref>
        </x14:dataValidation>
        <x14:dataValidation type="list" allowBlank="1" xr:uid="{00000000-0002-0000-0000-00001D000000}">
          <x14:formula1>
            <xm:f>DropDownMenu!$AD$2:$AD$2</xm:f>
          </x14:formula1>
          <xm:sqref>AI2:AI5000</xm:sqref>
        </x14:dataValidation>
        <x14:dataValidation type="list" allowBlank="1" xr:uid="{00000000-0002-0000-0000-00001E000000}">
          <x14:formula1>
            <xm:f>DropDownMenu!$AE$2:$AE$49</xm:f>
          </x14:formula1>
          <xm:sqref>AJ2:AJ5000</xm:sqref>
        </x14:dataValidation>
        <x14:dataValidation type="list" allowBlank="1" xr:uid="{00000000-0002-0000-0000-00001F000000}">
          <x14:formula1>
            <xm:f>DropDownMenu!$AF$2:$AF$52</xm:f>
          </x14:formula1>
          <xm:sqref>AK2:AK5000</xm:sqref>
        </x14:dataValidation>
        <x14:dataValidation type="list" allowBlank="1" xr:uid="{00000000-0002-0000-0000-000020000000}">
          <x14:formula1>
            <xm:f>DropDownMenu!$AG$2:$AG$2</xm:f>
          </x14:formula1>
          <xm:sqref>AL2:AL5000</xm:sqref>
        </x14:dataValidation>
        <x14:dataValidation type="list" allowBlank="1" xr:uid="{00000000-0002-0000-0000-000021000000}">
          <x14:formula1>
            <xm:f>DropDownMenu!$AH$2:$AH$2</xm:f>
          </x14:formula1>
          <xm:sqref>AM2:AM5000</xm:sqref>
        </x14:dataValidation>
        <x14:dataValidation type="list" allowBlank="1" xr:uid="{00000000-0002-0000-0000-000022000000}">
          <x14:formula1>
            <xm:f>DropDownMenu!$AI$2:$AI$2</xm:f>
          </x14:formula1>
          <xm:sqref>AN2:AN5000</xm:sqref>
        </x14:dataValidation>
        <x14:dataValidation type="list" allowBlank="1" xr:uid="{00000000-0002-0000-0000-000023000000}">
          <x14:formula1>
            <xm:f>DropDownMenu!$AJ$2:$AJ$2</xm:f>
          </x14:formula1>
          <xm:sqref>AQ2:AQ5000</xm:sqref>
        </x14:dataValidation>
        <x14:dataValidation type="list" allowBlank="1" xr:uid="{00000000-0002-0000-0000-000024000000}">
          <x14:formula1>
            <xm:f>DropDownMenu!$AK$2:$AK$2</xm:f>
          </x14:formula1>
          <xm:sqref>AR2:AR5000</xm:sqref>
        </x14:dataValidation>
        <x14:dataValidation type="list" allowBlank="1" xr:uid="{00000000-0002-0000-0000-000025000000}">
          <x14:formula1>
            <xm:f>DropDownMenu!$AL$2:$AL$2</xm:f>
          </x14:formula1>
          <xm:sqref>AS2:AS5000</xm:sqref>
        </x14:dataValidation>
        <x14:dataValidation type="list" allowBlank="1" xr:uid="{00000000-0002-0000-0000-000026000000}">
          <x14:formula1>
            <xm:f>DropDownMenu!$AM$2:$AM$2</xm:f>
          </x14:formula1>
          <xm:sqref>AT2:AT5000</xm:sqref>
        </x14:dataValidation>
        <x14:dataValidation type="list" allowBlank="1" xr:uid="{00000000-0002-0000-0000-000027000000}">
          <x14:formula1>
            <xm:f>DropDownMenu!$AN$2:$AN$2</xm:f>
          </x14:formula1>
          <xm:sqref>AU2:AU5000</xm:sqref>
        </x14:dataValidation>
        <x14:dataValidation type="list" allowBlank="1" xr:uid="{00000000-0002-0000-0000-000028000000}">
          <x14:formula1>
            <xm:f>DropDownMenu!$AO$2:$AO$9</xm:f>
          </x14:formula1>
          <xm:sqref>AV2:AV5000</xm:sqref>
        </x14:dataValidation>
        <x14:dataValidation type="list" allowBlank="1" xr:uid="{00000000-0002-0000-0000-000029000000}">
          <x14:formula1>
            <xm:f>DropDownMenu!$AP$2:$AP$6</xm:f>
          </x14:formula1>
          <xm:sqref>AW2:AW5000</xm:sqref>
        </x14:dataValidation>
        <x14:dataValidation type="list" allowBlank="1" xr:uid="{00000000-0002-0000-0000-00002A000000}">
          <x14:formula1>
            <xm:f>DropDownMenu!$AQ$2:$AQ$11</xm:f>
          </x14:formula1>
          <xm:sqref>AX2:AX5000</xm:sqref>
        </x14:dataValidation>
        <x14:dataValidation type="list" allowBlank="1" xr:uid="{00000000-0002-0000-0000-00002B000000}">
          <x14:formula1>
            <xm:f>DropDownMenu!$AR$2:$AR$2</xm:f>
          </x14:formula1>
          <xm:sqref>AY2:AY5000</xm:sqref>
        </x14:dataValidation>
        <x14:dataValidation type="list" allowBlank="1" xr:uid="{00000000-0002-0000-0000-00002C000000}">
          <x14:formula1>
            <xm:f>DropDownMenu!$AS$2:$AS$2</xm:f>
          </x14:formula1>
          <xm:sqref>AZ2:AZ5000</xm:sqref>
        </x14:dataValidation>
        <x14:dataValidation type="list" allowBlank="1" xr:uid="{00000000-0002-0000-0000-00002D000000}">
          <x14:formula1>
            <xm:f>DropDownMenu!$AT$2:$AT$2</xm:f>
          </x14:formula1>
          <xm:sqref>BA2:BA5000</xm:sqref>
        </x14:dataValidation>
        <x14:dataValidation type="list" allowBlank="1" xr:uid="{00000000-0002-0000-0000-00002E000000}">
          <x14:formula1>
            <xm:f>DropDownMenu!$AU$2:$AU$2</xm:f>
          </x14:formula1>
          <xm:sqref>BB2:BB5000</xm:sqref>
        </x14:dataValidation>
        <x14:dataValidation type="list" allowBlank="1" xr:uid="{00000000-0002-0000-0000-00002F000000}">
          <x14:formula1>
            <xm:f>DropDownMenu!$AV$2:$AV$2</xm:f>
          </x14:formula1>
          <xm:sqref>BC2:BC5000</xm:sqref>
        </x14:dataValidation>
        <x14:dataValidation type="list" allowBlank="1" xr:uid="{00000000-0002-0000-0000-000030000000}">
          <x14:formula1>
            <xm:f>DropDownMenu!$AW$2:$AW$5</xm:f>
          </x14:formula1>
          <xm:sqref>BF2:BF5000</xm:sqref>
        </x14:dataValidation>
        <x14:dataValidation type="list" allowBlank="1" xr:uid="{00000000-0002-0000-0000-000031000000}">
          <x14:formula1>
            <xm:f>DropDownMenu!$AX$2:$AX$37</xm:f>
          </x14:formula1>
          <xm:sqref>BG2:BG5000</xm:sqref>
        </x14:dataValidation>
        <x14:dataValidation type="list" allowBlank="1" xr:uid="{00000000-0002-0000-0000-000032000000}">
          <x14:formula1>
            <xm:f>DropDownMenu!$AY$2:$AY$4</xm:f>
          </x14:formula1>
          <xm:sqref>BH2:BH5000</xm:sqref>
        </x14:dataValidation>
        <x14:dataValidation type="list" allowBlank="1" xr:uid="{00000000-0002-0000-0000-000033000000}">
          <x14:formula1>
            <xm:f>DropDownMenu!$AZ$2:$AZ$13</xm:f>
          </x14:formula1>
          <xm:sqref>BI2:BI5000</xm:sqref>
        </x14:dataValidation>
        <x14:dataValidation type="list" allowBlank="1" xr:uid="{00000000-0002-0000-0000-000034000000}">
          <x14:formula1>
            <xm:f>DropDownMenu!$BA$2:$BA$34</xm:f>
          </x14:formula1>
          <xm:sqref>BJ2:BJ5000</xm:sqref>
        </x14:dataValidation>
        <x14:dataValidation type="list" allowBlank="1" xr:uid="{00000000-0002-0000-0000-000035000000}">
          <x14:formula1>
            <xm:f>DropDownMenu!$BB$2:$BB$258</xm:f>
          </x14:formula1>
          <xm:sqref>BK2:BK5000</xm:sqref>
        </x14:dataValidation>
        <x14:dataValidation type="list" allowBlank="1" xr:uid="{00000000-0002-0000-0000-000036000000}">
          <x14:formula1>
            <xm:f>DropDownMenu!$BC$2:$BC$252</xm:f>
          </x14:formula1>
          <xm:sqref>BL2:BL5000</xm:sqref>
        </x14:dataValidation>
        <x14:dataValidation type="list" allowBlank="1" xr:uid="{00000000-0002-0000-0000-000037000000}">
          <x14:formula1>
            <xm:f>DropDownMenu!$BD$2:$BD$258</xm:f>
          </x14:formula1>
          <xm:sqref>BM2:BM5000</xm:sqref>
        </x14:dataValidation>
        <x14:dataValidation type="list" allowBlank="1" xr:uid="{00000000-0002-0000-0000-000038000000}">
          <x14:formula1>
            <xm:f>DropDownMenu!$BE$2:$BE$3</xm:f>
          </x14:formula1>
          <xm:sqref>BN2:BN5000</xm:sqref>
        </x14:dataValidation>
        <x14:dataValidation type="list" allowBlank="1" xr:uid="{00000000-0002-0000-0000-000039000000}">
          <x14:formula1>
            <xm:f>DropDownMenu!$BF$2:$BF$4</xm:f>
          </x14:formula1>
          <xm:sqref>BO2:BO5000</xm:sqref>
        </x14:dataValidation>
        <x14:dataValidation type="list" allowBlank="1" xr:uid="{00000000-0002-0000-0000-00003A000000}">
          <x14:formula1>
            <xm:f>DropDownMenu!$BG$2:$BG$6</xm:f>
          </x14:formula1>
          <xm:sqref>BP2:BP5000</xm:sqref>
        </x14:dataValidation>
        <x14:dataValidation type="list" allowBlank="1" xr:uid="{00000000-0002-0000-0000-00003B000000}">
          <x14:formula1>
            <xm:f>DropDownMenu!$BH$2:$BH$4</xm:f>
          </x14:formula1>
          <xm:sqref>BQ2:BQ5000</xm:sqref>
        </x14:dataValidation>
        <x14:dataValidation type="list" allowBlank="1" xr:uid="{00000000-0002-0000-0000-00003C000000}">
          <x14:formula1>
            <xm:f>DropDownMenu!$BI$2:$BI$3</xm:f>
          </x14:formula1>
          <xm:sqref>BR2:BR5000</xm:sqref>
        </x14:dataValidation>
        <x14:dataValidation type="list" allowBlank="1" xr:uid="{00000000-0002-0000-0000-00003D000000}">
          <x14:formula1>
            <xm:f>DropDownMenu!$BJ$2:$BJ$3</xm:f>
          </x14:formula1>
          <xm:sqref>BT2:BT5000</xm:sqref>
        </x14:dataValidation>
        <x14:dataValidation type="list" allowBlank="1" xr:uid="{00000000-0002-0000-0000-00003E000000}">
          <x14:formula1>
            <xm:f>DropDownMenu!$BK$2:$BK$11</xm:f>
          </x14:formula1>
          <xm:sqref>BU2:BU5000</xm:sqref>
        </x14:dataValidation>
        <x14:dataValidation type="list" allowBlank="1" xr:uid="{00000000-0002-0000-0000-00003F000000}">
          <x14:formula1>
            <xm:f>DropDownMenu!$BL$2:$BL$9</xm:f>
          </x14:formula1>
          <xm:sqref>BV2:BV5000</xm:sqref>
        </x14:dataValidation>
        <x14:dataValidation type="list" allowBlank="1" xr:uid="{00000000-0002-0000-0000-000040000000}">
          <x14:formula1>
            <xm:f>DropDownMenu!$BM$2:$BM$2</xm:f>
          </x14:formula1>
          <xm:sqref>BW2:BW5000</xm:sqref>
        </x14:dataValidation>
        <x14:dataValidation type="list" allowBlank="1" xr:uid="{00000000-0002-0000-0000-000041000000}">
          <x14:formula1>
            <xm:f>DropDownMenu!$BN$2:$BN$2</xm:f>
          </x14:formula1>
          <xm:sqref>BX2:BX5000</xm:sqref>
        </x14:dataValidation>
        <x14:dataValidation type="list" allowBlank="1" xr:uid="{00000000-0002-0000-0000-000042000000}">
          <x14:formula1>
            <xm:f>DropDownMenu!$BO$2:$BO$2</xm:f>
          </x14:formula1>
          <xm:sqref>BY2:BY5000</xm:sqref>
        </x14:dataValidation>
        <x14:dataValidation type="list" allowBlank="1" xr:uid="{00000000-0002-0000-0000-000043000000}">
          <x14:formula1>
            <xm:f>DropDownMenu!$BP$2:$BP$9</xm:f>
          </x14:formula1>
          <xm:sqref>BZ2:BZ5000</xm:sqref>
        </x14:dataValidation>
        <x14:dataValidation type="list" allowBlank="1" xr:uid="{00000000-0002-0000-0000-000044000000}">
          <x14:formula1>
            <xm:f>DropDownMenu!$BQ$2:$BQ$11</xm:f>
          </x14:formula1>
          <xm:sqref>CA2:CA5000</xm:sqref>
        </x14:dataValidation>
        <x14:dataValidation type="list" allowBlank="1" xr:uid="{00000000-0002-0000-0000-000045000000}">
          <x14:formula1>
            <xm:f>DropDownMenu!$BR$2:$BR$3</xm:f>
          </x14:formula1>
          <xm:sqref>CB2:CB5000</xm:sqref>
        </x14:dataValidation>
        <x14:dataValidation type="list" allowBlank="1" xr:uid="{00000000-0002-0000-0000-000046000000}">
          <x14:formula1>
            <xm:f>DropDownMenu!$BS$2:$BS$4</xm:f>
          </x14:formula1>
          <xm:sqref>CC2:CC5000</xm:sqref>
        </x14:dataValidation>
        <x14:dataValidation type="list" allowBlank="1" xr:uid="{00000000-0002-0000-0000-000047000000}">
          <x14:formula1>
            <xm:f>DropDownMenu!$BT$2:$BT$2</xm:f>
          </x14:formula1>
          <xm:sqref>CE2:CE5000</xm:sqref>
        </x14:dataValidation>
        <x14:dataValidation type="list" allowBlank="1" xr:uid="{00000000-0002-0000-0000-000048000000}">
          <x14:formula1>
            <xm:f>DropDownMenu!$BU$2:$BU$81</xm:f>
          </x14:formula1>
          <xm:sqref>CF2:CF5000</xm:sqref>
        </x14:dataValidation>
        <x14:dataValidation type="list" allowBlank="1" xr:uid="{00000000-0002-0000-0000-000049000000}">
          <x14:formula1>
            <xm:f>DropDownMenu!$BV$2:$BV$3</xm:f>
          </x14:formula1>
          <xm:sqref>CG2:CG5000</xm:sqref>
        </x14:dataValidation>
        <x14:dataValidation type="list" allowBlank="1" xr:uid="{00000000-0002-0000-0000-00004A000000}">
          <x14:formula1>
            <xm:f>DropDownMenu!$BW$2:$BW$7</xm:f>
          </x14:formula1>
          <xm:sqref>CH2:CH5000</xm:sqref>
        </x14:dataValidation>
        <x14:dataValidation type="list" allowBlank="1" xr:uid="{00000000-0002-0000-0000-00004B000000}">
          <x14:formula1>
            <xm:f>DropDownMenu!$BX$2:$BX$9</xm:f>
          </x14:formula1>
          <xm:sqref>CI2:CI5000</xm:sqref>
        </x14:dataValidation>
        <x14:dataValidation type="list" allowBlank="1" xr:uid="{00000000-0002-0000-0000-00004C000000}">
          <x14:formula1>
            <xm:f>DropDownMenu!$BY$2:$BY$9</xm:f>
          </x14:formula1>
          <xm:sqref>CJ2:CJ5000</xm:sqref>
        </x14:dataValidation>
        <x14:dataValidation type="list" allowBlank="1" xr:uid="{00000000-0002-0000-0000-00004D000000}">
          <x14:formula1>
            <xm:f>DropDownMenu!$BZ$2:$BZ$3</xm:f>
          </x14:formula1>
          <xm:sqref>CK2:CK5000</xm:sqref>
        </x14:dataValidation>
        <x14:dataValidation type="list" allowBlank="1" xr:uid="{00000000-0002-0000-0000-00004E000000}">
          <x14:formula1>
            <xm:f>DropDownMenu!$CA$2:$CA$2</xm:f>
          </x14:formula1>
          <xm:sqref>CL2:CL5000</xm:sqref>
        </x14:dataValidation>
        <x14:dataValidation type="list" allowBlank="1" xr:uid="{00000000-0002-0000-0000-00004F000000}">
          <x14:formula1>
            <xm:f>DropDownMenu!$CB$2:$CB$29</xm:f>
          </x14:formula1>
          <xm:sqref>CN2:CN5000</xm:sqref>
        </x14:dataValidation>
        <x14:dataValidation type="list" allowBlank="1" xr:uid="{00000000-0002-0000-0000-000050000000}">
          <x14:formula1>
            <xm:f>DropDownMenu!$CC$2:$CC$2</xm:f>
          </x14:formula1>
          <xm:sqref>CQ2:CQ5000</xm:sqref>
        </x14:dataValidation>
        <x14:dataValidation type="list" allowBlank="1" xr:uid="{00000000-0002-0000-0000-000051000000}">
          <x14:formula1>
            <xm:f>DropDownMenu!$CD$2:$CD$33</xm:f>
          </x14:formula1>
          <xm:sqref>CR2:CR5000</xm:sqref>
        </x14:dataValidation>
        <x14:dataValidation type="list" allowBlank="1" xr:uid="{00000000-0002-0000-0000-000052000000}">
          <x14:formula1>
            <xm:f>DropDownMenu!$CE$2:$CE$2</xm:f>
          </x14:formula1>
          <xm:sqref>CS2:CS5000</xm:sqref>
        </x14:dataValidation>
        <x14:dataValidation type="list" allowBlank="1" xr:uid="{00000000-0002-0000-0000-000053000000}">
          <x14:formula1>
            <xm:f>DropDownMenu!$CF$2:$CF$2</xm:f>
          </x14:formula1>
          <xm:sqref>CT2:CT5000</xm:sqref>
        </x14:dataValidation>
        <x14:dataValidation type="list" allowBlank="1" xr:uid="{00000000-0002-0000-0000-000054000000}">
          <x14:formula1>
            <xm:f>DropDownMenu!$CG$2:$CG$2</xm:f>
          </x14:formula1>
          <xm:sqref>CU2:CU5000</xm:sqref>
        </x14:dataValidation>
        <x14:dataValidation type="list" allowBlank="1" xr:uid="{00000000-0002-0000-0000-000055000000}">
          <x14:formula1>
            <xm:f>DropDownMenu!$CH$2:$CH$2</xm:f>
          </x14:formula1>
          <xm:sqref>CV2:CV5000</xm:sqref>
        </x14:dataValidation>
        <x14:dataValidation type="list" allowBlank="1" xr:uid="{00000000-0002-0000-0000-000056000000}">
          <x14:formula1>
            <xm:f>DropDownMenu!$CI$2:$CI$8</xm:f>
          </x14:formula1>
          <xm:sqref>CW2:CW5000</xm:sqref>
        </x14:dataValidation>
        <x14:dataValidation type="list" allowBlank="1" xr:uid="{00000000-0002-0000-0000-000057000000}">
          <x14:formula1>
            <xm:f>DropDownMenu!$CJ$2:$CJ$8</xm:f>
          </x14:formula1>
          <xm:sqref>CX2:CX5000</xm:sqref>
        </x14:dataValidation>
        <x14:dataValidation type="list" allowBlank="1" xr:uid="{00000000-0002-0000-0000-000058000000}">
          <x14:formula1>
            <xm:f>DropDownMenu!$CK$2:$CK$8</xm:f>
          </x14:formula1>
          <xm:sqref>CY2:CY5000</xm:sqref>
        </x14:dataValidation>
        <x14:dataValidation type="list" allowBlank="1" xr:uid="{00000000-0002-0000-0000-000059000000}">
          <x14:formula1>
            <xm:f>DropDownMenu!$CL$2:$CL$6</xm:f>
          </x14:formula1>
          <xm:sqref>CZ2:CZ5000</xm:sqref>
        </x14:dataValidation>
        <x14:dataValidation type="list" allowBlank="1" xr:uid="{00000000-0002-0000-0000-00005A000000}">
          <x14:formula1>
            <xm:f>DropDownMenu!$CM$2:$CM$2</xm:f>
          </x14:formula1>
          <xm:sqref>DA2:DA5000</xm:sqref>
        </x14:dataValidation>
        <x14:dataValidation type="list" allowBlank="1" xr:uid="{00000000-0002-0000-0000-00005B000000}">
          <x14:formula1>
            <xm:f>DropDownMenu!$CN$2:$CN$2</xm:f>
          </x14:formula1>
          <xm:sqref>DB2:DB5000</xm:sqref>
        </x14:dataValidation>
        <x14:dataValidation type="list" allowBlank="1" xr:uid="{00000000-0002-0000-0000-00005C000000}">
          <x14:formula1>
            <xm:f>DropDownMenu!$CO$2:$CO$2</xm:f>
          </x14:formula1>
          <xm:sqref>DC2:DC5000</xm:sqref>
        </x14:dataValidation>
        <x14:dataValidation type="list" allowBlank="1" xr:uid="{00000000-0002-0000-0000-00005D000000}">
          <x14:formula1>
            <xm:f>DropDownMenu!$CP$2:$CP$2</xm:f>
          </x14:formula1>
          <xm:sqref>DD2:DD5000</xm:sqref>
        </x14:dataValidation>
        <x14:dataValidation type="list" allowBlank="1" xr:uid="{00000000-0002-0000-0000-00005E000000}">
          <x14:formula1>
            <xm:f>DropDownMenu!$CQ$2:$CQ$2</xm:f>
          </x14:formula1>
          <xm:sqref>DE2:DE5000</xm:sqref>
        </x14:dataValidation>
        <x14:dataValidation type="list" allowBlank="1" xr:uid="{00000000-0002-0000-0000-00005F000000}">
          <x14:formula1>
            <xm:f>DropDownMenu!$CR$2:$CR$2</xm:f>
          </x14:formula1>
          <xm:sqref>DK2:DK5000</xm:sqref>
        </x14:dataValidation>
        <x14:dataValidation type="list" allowBlank="1" xr:uid="{00000000-0002-0000-0000-000060000000}">
          <x14:formula1>
            <xm:f>DropDownMenu!$CS$2:$CS$2</xm:f>
          </x14:formula1>
          <xm:sqref>DL2:DL5000</xm:sqref>
        </x14:dataValidation>
        <x14:dataValidation type="list" allowBlank="1" xr:uid="{00000000-0002-0000-0000-000061000000}">
          <x14:formula1>
            <xm:f>DropDownMenu!$CT$2:$CT$2</xm:f>
          </x14:formula1>
          <xm:sqref>DN2:DN5000</xm:sqref>
        </x14:dataValidation>
        <x14:dataValidation type="list" allowBlank="1" xr:uid="{00000000-0002-0000-0000-000062000000}">
          <x14:formula1>
            <xm:f>DropDownMenu!$CU$2:$CU$5</xm:f>
          </x14:formula1>
          <xm:sqref>DO2:DO5000</xm:sqref>
        </x14:dataValidation>
        <x14:dataValidation type="list" allowBlank="1" xr:uid="{00000000-0002-0000-0000-000063000000}">
          <x14:formula1>
            <xm:f>DropDownMenu!$CV$2:$CV$3</xm:f>
          </x14:formula1>
          <xm:sqref>DQ2:DQ5000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applyStyles="1" summaryRight="0"/>
  </sheetPr>
  <dimension ref="A1:DQ300"/>
  <sheetViews>
    <sheetView workbookViewId="0">
      <pane xSplit="7" ySplit="1" topLeftCell="H2" activePane="bottomRight" state="frozen"/>
      <selection pane="topRight"/>
      <selection pane="bottomLeft"/>
      <selection pane="bottomRight" activeCell="G15" sqref="G15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3" width="4" customWidth="1"/>
    <col min="14" max="14" width="12" customWidth="1"/>
    <col min="15" max="16" width="25" customWidth="1"/>
    <col min="17" max="17" width="4" customWidth="1"/>
    <col min="18" max="20" width="4" customWidth="1" outlineLevel="1"/>
    <col min="21" max="21" width="15" customWidth="1" outlineLevel="1"/>
    <col min="22" max="22" width="10" customWidth="1" outlineLevel="1"/>
    <col min="23" max="28" width="4" customWidth="1" outlineLevel="1"/>
    <col min="29" max="29" width="5" customWidth="1"/>
    <col min="30" max="32" width="10" customWidth="1" outlineLevel="1"/>
    <col min="33" max="35" width="4" customWidth="1" outlineLevel="1"/>
    <col min="36" max="37" width="10" customWidth="1" outlineLevel="1"/>
    <col min="38" max="40" width="4" customWidth="1" outlineLevel="1"/>
    <col min="41" max="42" width="10" customWidth="1" outlineLevel="1"/>
    <col min="43" max="47" width="4" customWidth="1" outlineLevel="1"/>
    <col min="48" max="48" width="10" customWidth="1" outlineLevel="1"/>
    <col min="49" max="49" width="5" customWidth="1" outlineLevel="1"/>
    <col min="50" max="50" width="5" customWidth="1"/>
    <col min="51" max="59" width="4" customWidth="1" outlineLevel="1"/>
    <col min="60" max="60" width="7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4" customWidth="1" outlineLevel="1"/>
    <col min="68" max="68" width="12" customWidth="1" outlineLevel="1"/>
    <col min="69" max="69" width="20" customWidth="1" outlineLevel="1"/>
    <col min="70" max="70" width="5" customWidth="1" outlineLevel="1"/>
    <col min="71" max="72" width="4" customWidth="1" outlineLevel="1"/>
    <col min="73" max="73" width="25" customWidth="1" outlineLevel="1"/>
    <col min="74" max="74" width="5" customWidth="1" outlineLevel="1"/>
    <col min="75" max="75" width="20" customWidth="1"/>
    <col min="76" max="77" width="20" customWidth="1" outlineLevel="1"/>
    <col min="78" max="83" width="4" customWidth="1" outlineLevel="1"/>
    <col min="84" max="84" width="4" customWidth="1"/>
    <col min="85" max="121" width="4" customWidth="1" outlineLevel="1"/>
  </cols>
  <sheetData>
    <row r="1" spans="1:121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1" t="s">
        <v>35</v>
      </c>
      <c r="AK1" s="1" t="s">
        <v>36</v>
      </c>
      <c r="AL1" s="3" t="s">
        <v>37</v>
      </c>
      <c r="AM1" s="3" t="s">
        <v>38</v>
      </c>
      <c r="AN1" s="3" t="s">
        <v>39</v>
      </c>
      <c r="AO1" s="1" t="s">
        <v>40</v>
      </c>
      <c r="AP1" s="1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 t="s">
        <v>65</v>
      </c>
      <c r="BO1" s="1" t="s">
        <v>66</v>
      </c>
      <c r="BP1" s="1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</row>
    <row r="2" spans="1:121" x14ac:dyDescent="0.2">
      <c r="O2" t="str">
        <f>IFERROR(INDEX(_courses_lookup!$C:$C,MATCH(K2&amp;L2,_courses_lookup!$E:$E,0)),"")</f>
        <v/>
      </c>
      <c r="P2" t="str">
        <f>IFERROR(INDEX(_courses_lookup!$D:$D,MATCH(K2&amp;L2,_courses_lookup!$E:$E,0)),"")</f>
        <v/>
      </c>
      <c r="AG2" t="str">
        <f t="shared" ref="AG2:AG65" si="0">IF(AND(AE2&lt;&gt;"",AF2&lt;&gt;""),ROUNDUP((AF2-AE2)/7,0),"")</f>
        <v/>
      </c>
      <c r="AI2" t="str">
        <f t="shared" ref="AI2:AI65" si="1">IFERROR(IF(AG2*AH2=0,"",AG2*AH2),"")</f>
        <v/>
      </c>
      <c r="AL2" t="str">
        <f t="shared" ref="AL2:AL65" si="2">IF(AND(AJ2&lt;&gt;"",AK2&lt;&gt;""),ROUNDUP((AK2-AJ2)/7,0),"")</f>
        <v/>
      </c>
      <c r="AN2" t="str">
        <f t="shared" ref="AN2:AN65" si="3">IFERROR(IF(AL2*AM2=0,"",AL2*AM2),"")</f>
        <v/>
      </c>
      <c r="AQ2" t="str">
        <f t="shared" ref="AQ2:AQ65" si="4">IF(AND(AO2&lt;&gt;"",AP2&lt;&gt;""),ROUNDUP((AP2-AO2)/7,0),"")</f>
        <v/>
      </c>
      <c r="AR2" t="str">
        <f t="shared" ref="AR2:AR65" si="5">IFERROR(IF((AU2-(AI2+AN2))/AQ2=0,"",ROUNDUP((AU2-(AI2+AN2))/AQ2,0)),"")</f>
        <v/>
      </c>
      <c r="AS2" t="str">
        <f t="shared" ref="AS2:AS65" si="6">IFERROR(IF((AU2-(AI2+AN2))=0,"",(AU2-(AI2+AN2))),"")</f>
        <v/>
      </c>
      <c r="AT2" t="str">
        <f t="shared" ref="AT2:AT65" si="7">IF(AND(AG2="",AQ2=""),AL2,IF(SUM(AG2,AL2,AQ2)=0,"",SUM(AG2,AL2,AQ2)))</f>
        <v/>
      </c>
      <c r="BG2" t="str">
        <f t="shared" ref="BG2:BG65" si="8">IF(AD2="","",YEAR(AD2)+IF(MONTH(AD2)&gt;=5,1,0))</f>
        <v/>
      </c>
      <c r="BH2" t="str">
        <f t="shared" ref="BH2:BH65" si="9">IF(AD2="","",IF(AND(MONTH(AD2)=8,DAY(AD2)&gt;=15),"Fall",IF(MONTH(AD2)&gt;8,"Fall",IF(MONTH(AD2)=5,"Summer",IF(MONTH(AD2)=1,"Spring","")))))</f>
        <v/>
      </c>
      <c r="BL2" t="str">
        <f>IFERROR(INDEX(_names_lookup!$C:$C,MATCH(BK2,_names_lookup!$A:$A,0)),"")</f>
        <v/>
      </c>
      <c r="BM2" t="str">
        <f>IFERROR(INDEX(_names_lookup!$B:$B,MATCH(BK2,_names_lookup!$A:$A,0)),"")</f>
        <v/>
      </c>
      <c r="BS2" t="str">
        <f t="shared" ref="BS2:BS65" si="10">IFERROR(IF(BR2*AA2=0,"",BR2*AA2),"")</f>
        <v/>
      </c>
    </row>
    <row r="3" spans="1:121" x14ac:dyDescent="0.2">
      <c r="O3" t="str">
        <f>IFERROR(INDEX(_courses_lookup!$C:$C,MATCH(K3&amp;L3,_courses_lookup!$E:$E,0)),"")</f>
        <v/>
      </c>
      <c r="P3" t="str">
        <f>IFERROR(INDEX(_courses_lookup!$D:$D,MATCH(K3&amp;L3,_courses_lookup!$E:$E,0)),"")</f>
        <v/>
      </c>
      <c r="AG3" t="str">
        <f t="shared" si="0"/>
        <v/>
      </c>
      <c r="AI3" t="str">
        <f t="shared" si="1"/>
        <v/>
      </c>
      <c r="AL3" t="str">
        <f t="shared" si="2"/>
        <v/>
      </c>
      <c r="AN3" t="str">
        <f t="shared" si="3"/>
        <v/>
      </c>
      <c r="AQ3" t="str">
        <f t="shared" si="4"/>
        <v/>
      </c>
      <c r="AR3" t="str">
        <f t="shared" si="5"/>
        <v/>
      </c>
      <c r="AS3" t="str">
        <f t="shared" si="6"/>
        <v/>
      </c>
      <c r="AT3" t="str">
        <f t="shared" si="7"/>
        <v/>
      </c>
      <c r="BG3" t="str">
        <f t="shared" si="8"/>
        <v/>
      </c>
      <c r="BH3" t="str">
        <f t="shared" si="9"/>
        <v/>
      </c>
      <c r="BL3" t="str">
        <f>IFERROR(INDEX(_names_lookup!$C:$C,MATCH(BK3,_names_lookup!$A:$A,0)),"")</f>
        <v/>
      </c>
      <c r="BM3" t="str">
        <f>IFERROR(INDEX(_names_lookup!$B:$B,MATCH(BK3,_names_lookup!$A:$A,0)),"")</f>
        <v/>
      </c>
      <c r="BS3" t="str">
        <f t="shared" si="10"/>
        <v/>
      </c>
    </row>
    <row r="4" spans="1:121" x14ac:dyDescent="0.2">
      <c r="O4" t="str">
        <f>IFERROR(INDEX(_courses_lookup!$C:$C,MATCH(K4&amp;L4,_courses_lookup!$E:$E,0)),"")</f>
        <v/>
      </c>
      <c r="P4" t="str">
        <f>IFERROR(INDEX(_courses_lookup!$D:$D,MATCH(K4&amp;L4,_courses_lookup!$E:$E,0)),"")</f>
        <v/>
      </c>
      <c r="AG4" t="str">
        <f t="shared" si="0"/>
        <v/>
      </c>
      <c r="AI4" t="str">
        <f t="shared" si="1"/>
        <v/>
      </c>
      <c r="AL4" t="str">
        <f t="shared" si="2"/>
        <v/>
      </c>
      <c r="AN4" t="str">
        <f t="shared" si="3"/>
        <v/>
      </c>
      <c r="AQ4" t="str">
        <f t="shared" si="4"/>
        <v/>
      </c>
      <c r="AR4" t="str">
        <f t="shared" si="5"/>
        <v/>
      </c>
      <c r="AS4" t="str">
        <f t="shared" si="6"/>
        <v/>
      </c>
      <c r="AT4" t="str">
        <f t="shared" si="7"/>
        <v/>
      </c>
      <c r="BG4" t="str">
        <f t="shared" si="8"/>
        <v/>
      </c>
      <c r="BH4" t="str">
        <f t="shared" si="9"/>
        <v/>
      </c>
      <c r="BL4" t="str">
        <f>IFERROR(INDEX(_names_lookup!$C:$C,MATCH(BK4,_names_lookup!$A:$A,0)),"")</f>
        <v/>
      </c>
      <c r="BM4" t="str">
        <f>IFERROR(INDEX(_names_lookup!$B:$B,MATCH(BK4,_names_lookup!$A:$A,0)),"")</f>
        <v/>
      </c>
      <c r="BS4" t="str">
        <f t="shared" si="10"/>
        <v/>
      </c>
    </row>
    <row r="5" spans="1:121" x14ac:dyDescent="0.2">
      <c r="O5" t="str">
        <f>IFERROR(INDEX(_courses_lookup!$C:$C,MATCH(K5&amp;L5,_courses_lookup!$E:$E,0)),"")</f>
        <v/>
      </c>
      <c r="P5" t="str">
        <f>IFERROR(INDEX(_courses_lookup!$D:$D,MATCH(K5&amp;L5,_courses_lookup!$E:$E,0)),"")</f>
        <v/>
      </c>
      <c r="AG5" t="str">
        <f t="shared" si="0"/>
        <v/>
      </c>
      <c r="AI5" t="str">
        <f t="shared" si="1"/>
        <v/>
      </c>
      <c r="AL5" t="str">
        <f t="shared" si="2"/>
        <v/>
      </c>
      <c r="AN5" t="str">
        <f t="shared" si="3"/>
        <v/>
      </c>
      <c r="AQ5" t="str">
        <f t="shared" si="4"/>
        <v/>
      </c>
      <c r="AR5" t="str">
        <f t="shared" si="5"/>
        <v/>
      </c>
      <c r="AS5" t="str">
        <f t="shared" si="6"/>
        <v/>
      </c>
      <c r="AT5" t="str">
        <f t="shared" si="7"/>
        <v/>
      </c>
      <c r="BG5" t="str">
        <f t="shared" si="8"/>
        <v/>
      </c>
      <c r="BH5" t="str">
        <f t="shared" si="9"/>
        <v/>
      </c>
      <c r="BL5" t="str">
        <f>IFERROR(INDEX(_names_lookup!$C:$C,MATCH(BK5,_names_lookup!$A:$A,0)),"")</f>
        <v/>
      </c>
      <c r="BM5" t="str">
        <f>IFERROR(INDEX(_names_lookup!$B:$B,MATCH(BK5,_names_lookup!$A:$A,0)),"")</f>
        <v/>
      </c>
      <c r="BS5" t="str">
        <f t="shared" si="10"/>
        <v/>
      </c>
    </row>
    <row r="6" spans="1:121" x14ac:dyDescent="0.2">
      <c r="O6" t="str">
        <f>IFERROR(INDEX(_courses_lookup!$C:$C,MATCH(K6&amp;L6,_courses_lookup!$E:$E,0)),"")</f>
        <v/>
      </c>
      <c r="P6" t="str">
        <f>IFERROR(INDEX(_courses_lookup!$D:$D,MATCH(K6&amp;L6,_courses_lookup!$E:$E,0)),"")</f>
        <v/>
      </c>
      <c r="AG6" t="str">
        <f t="shared" si="0"/>
        <v/>
      </c>
      <c r="AI6" t="str">
        <f t="shared" si="1"/>
        <v/>
      </c>
      <c r="AL6" t="str">
        <f t="shared" si="2"/>
        <v/>
      </c>
      <c r="AN6" t="str">
        <f t="shared" si="3"/>
        <v/>
      </c>
      <c r="AQ6" t="str">
        <f t="shared" si="4"/>
        <v/>
      </c>
      <c r="AR6" t="str">
        <f t="shared" si="5"/>
        <v/>
      </c>
      <c r="AS6" t="str">
        <f t="shared" si="6"/>
        <v/>
      </c>
      <c r="AT6" t="str">
        <f t="shared" si="7"/>
        <v/>
      </c>
      <c r="BG6" t="str">
        <f t="shared" si="8"/>
        <v/>
      </c>
      <c r="BH6" t="str">
        <f t="shared" si="9"/>
        <v/>
      </c>
      <c r="BL6" t="str">
        <f>IFERROR(INDEX(_names_lookup!$C:$C,MATCH(BK6,_names_lookup!$A:$A,0)),"")</f>
        <v/>
      </c>
      <c r="BM6" t="str">
        <f>IFERROR(INDEX(_names_lookup!$B:$B,MATCH(BK6,_names_lookup!$A:$A,0)),"")</f>
        <v/>
      </c>
      <c r="BS6" t="str">
        <f t="shared" si="10"/>
        <v/>
      </c>
    </row>
    <row r="7" spans="1:121" x14ac:dyDescent="0.2">
      <c r="O7" t="str">
        <f>IFERROR(INDEX(_courses_lookup!$C:$C,MATCH(K7&amp;L7,_courses_lookup!$E:$E,0)),"")</f>
        <v/>
      </c>
      <c r="P7" t="str">
        <f>IFERROR(INDEX(_courses_lookup!$D:$D,MATCH(K7&amp;L7,_courses_lookup!$E:$E,0)),"")</f>
        <v/>
      </c>
      <c r="AG7" t="str">
        <f t="shared" si="0"/>
        <v/>
      </c>
      <c r="AI7" t="str">
        <f t="shared" si="1"/>
        <v/>
      </c>
      <c r="AL7" t="str">
        <f t="shared" si="2"/>
        <v/>
      </c>
      <c r="AN7" t="str">
        <f t="shared" si="3"/>
        <v/>
      </c>
      <c r="AQ7" t="str">
        <f t="shared" si="4"/>
        <v/>
      </c>
      <c r="AR7" t="str">
        <f t="shared" si="5"/>
        <v/>
      </c>
      <c r="AS7" t="str">
        <f t="shared" si="6"/>
        <v/>
      </c>
      <c r="AT7" t="str">
        <f t="shared" si="7"/>
        <v/>
      </c>
      <c r="BG7" t="str">
        <f t="shared" si="8"/>
        <v/>
      </c>
      <c r="BH7" t="str">
        <f t="shared" si="9"/>
        <v/>
      </c>
      <c r="BL7" t="str">
        <f>IFERROR(INDEX(_names_lookup!$C:$C,MATCH(BK7,_names_lookup!$A:$A,0)),"")</f>
        <v/>
      </c>
      <c r="BM7" t="str">
        <f>IFERROR(INDEX(_names_lookup!$B:$B,MATCH(BK7,_names_lookup!$A:$A,0)),"")</f>
        <v/>
      </c>
      <c r="BS7" t="str">
        <f t="shared" si="10"/>
        <v/>
      </c>
    </row>
    <row r="8" spans="1:121" x14ac:dyDescent="0.2">
      <c r="O8" t="str">
        <f>IFERROR(INDEX(_courses_lookup!$C:$C,MATCH(K8&amp;L8,_courses_lookup!$E:$E,0)),"")</f>
        <v/>
      </c>
      <c r="P8" t="str">
        <f>IFERROR(INDEX(_courses_lookup!$D:$D,MATCH(K8&amp;L8,_courses_lookup!$E:$E,0)),"")</f>
        <v/>
      </c>
      <c r="AG8" t="str">
        <f t="shared" si="0"/>
        <v/>
      </c>
      <c r="AI8" t="str">
        <f t="shared" si="1"/>
        <v/>
      </c>
      <c r="AL8" t="str">
        <f t="shared" si="2"/>
        <v/>
      </c>
      <c r="AN8" t="str">
        <f t="shared" si="3"/>
        <v/>
      </c>
      <c r="AQ8" t="str">
        <f t="shared" si="4"/>
        <v/>
      </c>
      <c r="AR8" t="str">
        <f t="shared" si="5"/>
        <v/>
      </c>
      <c r="AS8" t="str">
        <f t="shared" si="6"/>
        <v/>
      </c>
      <c r="AT8" t="str">
        <f t="shared" si="7"/>
        <v/>
      </c>
      <c r="BG8" t="str">
        <f t="shared" si="8"/>
        <v/>
      </c>
      <c r="BH8" t="str">
        <f t="shared" si="9"/>
        <v/>
      </c>
      <c r="BL8" t="str">
        <f>IFERROR(INDEX(_names_lookup!$C:$C,MATCH(BK8,_names_lookup!$A:$A,0)),"")</f>
        <v/>
      </c>
      <c r="BM8" t="str">
        <f>IFERROR(INDEX(_names_lookup!$B:$B,MATCH(BK8,_names_lookup!$A:$A,0)),"")</f>
        <v/>
      </c>
      <c r="BS8" t="str">
        <f t="shared" si="10"/>
        <v/>
      </c>
    </row>
    <row r="9" spans="1:121" x14ac:dyDescent="0.2">
      <c r="O9" t="str">
        <f>IFERROR(INDEX(_courses_lookup!$C:$C,MATCH(K9&amp;L9,_courses_lookup!$E:$E,0)),"")</f>
        <v/>
      </c>
      <c r="P9" t="str">
        <f>IFERROR(INDEX(_courses_lookup!$D:$D,MATCH(K9&amp;L9,_courses_lookup!$E:$E,0)),"")</f>
        <v/>
      </c>
      <c r="AG9" t="str">
        <f t="shared" si="0"/>
        <v/>
      </c>
      <c r="AI9" t="str">
        <f t="shared" si="1"/>
        <v/>
      </c>
      <c r="AL9" t="str">
        <f t="shared" si="2"/>
        <v/>
      </c>
      <c r="AN9" t="str">
        <f t="shared" si="3"/>
        <v/>
      </c>
      <c r="AQ9" t="str">
        <f t="shared" si="4"/>
        <v/>
      </c>
      <c r="AR9" t="str">
        <f t="shared" si="5"/>
        <v/>
      </c>
      <c r="AS9" t="str">
        <f t="shared" si="6"/>
        <v/>
      </c>
      <c r="AT9" t="str">
        <f t="shared" si="7"/>
        <v/>
      </c>
      <c r="BG9" t="str">
        <f t="shared" si="8"/>
        <v/>
      </c>
      <c r="BH9" t="str">
        <f t="shared" si="9"/>
        <v/>
      </c>
      <c r="BL9" t="str">
        <f>IFERROR(INDEX(_names_lookup!$C:$C,MATCH(BK9,_names_lookup!$A:$A,0)),"")</f>
        <v/>
      </c>
      <c r="BM9" t="str">
        <f>IFERROR(INDEX(_names_lookup!$B:$B,MATCH(BK9,_names_lookup!$A:$A,0)),"")</f>
        <v/>
      </c>
      <c r="BS9" t="str">
        <f t="shared" si="10"/>
        <v/>
      </c>
    </row>
    <row r="10" spans="1:121" x14ac:dyDescent="0.2">
      <c r="O10" t="str">
        <f>IFERROR(INDEX(_courses_lookup!$C:$C,MATCH(K10&amp;L10,_courses_lookup!$E:$E,0)),"")</f>
        <v/>
      </c>
      <c r="P10" t="str">
        <f>IFERROR(INDEX(_courses_lookup!$D:$D,MATCH(K10&amp;L10,_courses_lookup!$E:$E,0)),"")</f>
        <v/>
      </c>
      <c r="AG10" t="str">
        <f t="shared" si="0"/>
        <v/>
      </c>
      <c r="AI10" t="str">
        <f t="shared" si="1"/>
        <v/>
      </c>
      <c r="AL10" t="str">
        <f t="shared" si="2"/>
        <v/>
      </c>
      <c r="AN10" t="str">
        <f t="shared" si="3"/>
        <v/>
      </c>
      <c r="AQ10" t="str">
        <f t="shared" si="4"/>
        <v/>
      </c>
      <c r="AR10" t="str">
        <f t="shared" si="5"/>
        <v/>
      </c>
      <c r="AS10" t="str">
        <f t="shared" si="6"/>
        <v/>
      </c>
      <c r="AT10" t="str">
        <f t="shared" si="7"/>
        <v/>
      </c>
      <c r="BG10" t="str">
        <f t="shared" si="8"/>
        <v/>
      </c>
      <c r="BH10" t="str">
        <f t="shared" si="9"/>
        <v/>
      </c>
      <c r="BL10" t="str">
        <f>IFERROR(INDEX(_names_lookup!$C:$C,MATCH(BK10,_names_lookup!$A:$A,0)),"")</f>
        <v/>
      </c>
      <c r="BM10" t="str">
        <f>IFERROR(INDEX(_names_lookup!$B:$B,MATCH(BK10,_names_lookup!$A:$A,0)),"")</f>
        <v/>
      </c>
      <c r="BS10" t="str">
        <f t="shared" si="10"/>
        <v/>
      </c>
    </row>
    <row r="11" spans="1:121" x14ac:dyDescent="0.2">
      <c r="O11" t="str">
        <f>IFERROR(INDEX(_courses_lookup!$C:$C,MATCH(K11&amp;L11,_courses_lookup!$E:$E,0)),"")</f>
        <v/>
      </c>
      <c r="P11" t="str">
        <f>IFERROR(INDEX(_courses_lookup!$D:$D,MATCH(K11&amp;L11,_courses_lookup!$E:$E,0)),"")</f>
        <v/>
      </c>
      <c r="AG11" t="str">
        <f t="shared" si="0"/>
        <v/>
      </c>
      <c r="AI11" t="str">
        <f t="shared" si="1"/>
        <v/>
      </c>
      <c r="AL11" t="str">
        <f t="shared" si="2"/>
        <v/>
      </c>
      <c r="AN11" t="str">
        <f t="shared" si="3"/>
        <v/>
      </c>
      <c r="AQ11" t="str">
        <f t="shared" si="4"/>
        <v/>
      </c>
      <c r="AR11" t="str">
        <f t="shared" si="5"/>
        <v/>
      </c>
      <c r="AS11" t="str">
        <f t="shared" si="6"/>
        <v/>
      </c>
      <c r="AT11" t="str">
        <f t="shared" si="7"/>
        <v/>
      </c>
      <c r="BG11" t="str">
        <f t="shared" si="8"/>
        <v/>
      </c>
      <c r="BH11" t="str">
        <f t="shared" si="9"/>
        <v/>
      </c>
      <c r="BL11" t="str">
        <f>IFERROR(INDEX(_names_lookup!$C:$C,MATCH(BK11,_names_lookup!$A:$A,0)),"")</f>
        <v/>
      </c>
      <c r="BM11" t="str">
        <f>IFERROR(INDEX(_names_lookup!$B:$B,MATCH(BK11,_names_lookup!$A:$A,0)),"")</f>
        <v/>
      </c>
      <c r="BS11" t="str">
        <f t="shared" si="10"/>
        <v/>
      </c>
    </row>
    <row r="12" spans="1:121" x14ac:dyDescent="0.2">
      <c r="O12" t="str">
        <f>IFERROR(INDEX(_courses_lookup!$C:$C,MATCH(K12&amp;L12,_courses_lookup!$E:$E,0)),"")</f>
        <v/>
      </c>
      <c r="P12" t="str">
        <f>IFERROR(INDEX(_courses_lookup!$D:$D,MATCH(K12&amp;L12,_courses_lookup!$E:$E,0)),"")</f>
        <v/>
      </c>
      <c r="AG12" t="str">
        <f t="shared" si="0"/>
        <v/>
      </c>
      <c r="AI12" t="str">
        <f t="shared" si="1"/>
        <v/>
      </c>
      <c r="AL12" t="str">
        <f t="shared" si="2"/>
        <v/>
      </c>
      <c r="AN12" t="str">
        <f t="shared" si="3"/>
        <v/>
      </c>
      <c r="AQ12" t="str">
        <f t="shared" si="4"/>
        <v/>
      </c>
      <c r="AR12" t="str">
        <f t="shared" si="5"/>
        <v/>
      </c>
      <c r="AS12" t="str">
        <f t="shared" si="6"/>
        <v/>
      </c>
      <c r="AT12" t="str">
        <f t="shared" si="7"/>
        <v/>
      </c>
      <c r="BG12" t="str">
        <f t="shared" si="8"/>
        <v/>
      </c>
      <c r="BH12" t="str">
        <f t="shared" si="9"/>
        <v/>
      </c>
      <c r="BL12" t="str">
        <f>IFERROR(INDEX(_names_lookup!$C:$C,MATCH(BK12,_names_lookup!$A:$A,0)),"")</f>
        <v/>
      </c>
      <c r="BM12" t="str">
        <f>IFERROR(INDEX(_names_lookup!$B:$B,MATCH(BK12,_names_lookup!$A:$A,0)),"")</f>
        <v/>
      </c>
      <c r="BS12" t="str">
        <f t="shared" si="10"/>
        <v/>
      </c>
    </row>
    <row r="13" spans="1:121" x14ac:dyDescent="0.2">
      <c r="O13" t="str">
        <f>IFERROR(INDEX(_courses_lookup!$C:$C,MATCH(K13&amp;L13,_courses_lookup!$E:$E,0)),"")</f>
        <v/>
      </c>
      <c r="P13" t="str">
        <f>IFERROR(INDEX(_courses_lookup!$D:$D,MATCH(K13&amp;L13,_courses_lookup!$E:$E,0)),"")</f>
        <v/>
      </c>
      <c r="AG13" t="str">
        <f t="shared" si="0"/>
        <v/>
      </c>
      <c r="AI13" t="str">
        <f t="shared" si="1"/>
        <v/>
      </c>
      <c r="AL13" t="str">
        <f t="shared" si="2"/>
        <v/>
      </c>
      <c r="AN13" t="str">
        <f t="shared" si="3"/>
        <v/>
      </c>
      <c r="AQ13" t="str">
        <f t="shared" si="4"/>
        <v/>
      </c>
      <c r="AR13" t="str">
        <f t="shared" si="5"/>
        <v/>
      </c>
      <c r="AS13" t="str">
        <f t="shared" si="6"/>
        <v/>
      </c>
      <c r="AT13" t="str">
        <f t="shared" si="7"/>
        <v/>
      </c>
      <c r="BG13" t="str">
        <f t="shared" si="8"/>
        <v/>
      </c>
      <c r="BH13" t="str">
        <f t="shared" si="9"/>
        <v/>
      </c>
      <c r="BL13" t="str">
        <f>IFERROR(INDEX(_names_lookup!$C:$C,MATCH(BK13,_names_lookup!$A:$A,0)),"")</f>
        <v/>
      </c>
      <c r="BM13" t="str">
        <f>IFERROR(INDEX(_names_lookup!$B:$B,MATCH(BK13,_names_lookup!$A:$A,0)),"")</f>
        <v/>
      </c>
      <c r="BS13" t="str">
        <f t="shared" si="10"/>
        <v/>
      </c>
    </row>
    <row r="14" spans="1:121" x14ac:dyDescent="0.2">
      <c r="O14" t="str">
        <f>IFERROR(INDEX(_courses_lookup!$C:$C,MATCH(K14&amp;L14,_courses_lookup!$E:$E,0)),"")</f>
        <v/>
      </c>
      <c r="P14" t="str">
        <f>IFERROR(INDEX(_courses_lookup!$D:$D,MATCH(K14&amp;L14,_courses_lookup!$E:$E,0)),"")</f>
        <v/>
      </c>
      <c r="AG14" t="str">
        <f t="shared" si="0"/>
        <v/>
      </c>
      <c r="AI14" t="str">
        <f t="shared" si="1"/>
        <v/>
      </c>
      <c r="AL14" t="str">
        <f t="shared" si="2"/>
        <v/>
      </c>
      <c r="AN14" t="str">
        <f t="shared" si="3"/>
        <v/>
      </c>
      <c r="AQ14" t="str">
        <f t="shared" si="4"/>
        <v/>
      </c>
      <c r="AR14" t="str">
        <f t="shared" si="5"/>
        <v/>
      </c>
      <c r="AS14" t="str">
        <f t="shared" si="6"/>
        <v/>
      </c>
      <c r="AT14" t="str">
        <f t="shared" si="7"/>
        <v/>
      </c>
      <c r="BG14" t="str">
        <f t="shared" si="8"/>
        <v/>
      </c>
      <c r="BH14" t="str">
        <f t="shared" si="9"/>
        <v/>
      </c>
      <c r="BL14" t="str">
        <f>IFERROR(INDEX(_names_lookup!$C:$C,MATCH(BK14,_names_lookup!$A:$A,0)),"")</f>
        <v/>
      </c>
      <c r="BM14" t="str">
        <f>IFERROR(INDEX(_names_lookup!$B:$B,MATCH(BK14,_names_lookup!$A:$A,0)),"")</f>
        <v/>
      </c>
      <c r="BS14" t="str">
        <f t="shared" si="10"/>
        <v/>
      </c>
    </row>
    <row r="15" spans="1:121" x14ac:dyDescent="0.2">
      <c r="O15" t="str">
        <f>IFERROR(INDEX(_courses_lookup!$C:$C,MATCH(K15&amp;L15,_courses_lookup!$E:$E,0)),"")</f>
        <v/>
      </c>
      <c r="P15" t="str">
        <f>IFERROR(INDEX(_courses_lookup!$D:$D,MATCH(K15&amp;L15,_courses_lookup!$E:$E,0)),"")</f>
        <v/>
      </c>
      <c r="AG15" t="str">
        <f t="shared" si="0"/>
        <v/>
      </c>
      <c r="AI15" t="str">
        <f t="shared" si="1"/>
        <v/>
      </c>
      <c r="AL15" t="str">
        <f t="shared" si="2"/>
        <v/>
      </c>
      <c r="AN15" t="str">
        <f t="shared" si="3"/>
        <v/>
      </c>
      <c r="AQ15" t="str">
        <f t="shared" si="4"/>
        <v/>
      </c>
      <c r="AR15" t="str">
        <f t="shared" si="5"/>
        <v/>
      </c>
      <c r="AS15" t="str">
        <f t="shared" si="6"/>
        <v/>
      </c>
      <c r="AT15" t="str">
        <f t="shared" si="7"/>
        <v/>
      </c>
      <c r="BG15" t="str">
        <f t="shared" si="8"/>
        <v/>
      </c>
      <c r="BH15" t="str">
        <f t="shared" si="9"/>
        <v/>
      </c>
      <c r="BL15" t="str">
        <f>IFERROR(INDEX(_names_lookup!$C:$C,MATCH(BK15,_names_lookup!$A:$A,0)),"")</f>
        <v/>
      </c>
      <c r="BM15" t="str">
        <f>IFERROR(INDEX(_names_lookup!$B:$B,MATCH(BK15,_names_lookup!$A:$A,0)),"")</f>
        <v/>
      </c>
      <c r="BS15" t="str">
        <f t="shared" si="10"/>
        <v/>
      </c>
    </row>
    <row r="16" spans="1:121" x14ac:dyDescent="0.2">
      <c r="O16" t="str">
        <f>IFERROR(INDEX(_courses_lookup!$C:$C,MATCH(K16&amp;L16,_courses_lookup!$E:$E,0)),"")</f>
        <v/>
      </c>
      <c r="P16" t="str">
        <f>IFERROR(INDEX(_courses_lookup!$D:$D,MATCH(K16&amp;L16,_courses_lookup!$E:$E,0)),"")</f>
        <v/>
      </c>
      <c r="AG16" t="str">
        <f t="shared" si="0"/>
        <v/>
      </c>
      <c r="AI16" t="str">
        <f t="shared" si="1"/>
        <v/>
      </c>
      <c r="AL16" t="str">
        <f t="shared" si="2"/>
        <v/>
      </c>
      <c r="AN16" t="str">
        <f t="shared" si="3"/>
        <v/>
      </c>
      <c r="AQ16" t="str">
        <f t="shared" si="4"/>
        <v/>
      </c>
      <c r="AR16" t="str">
        <f t="shared" si="5"/>
        <v/>
      </c>
      <c r="AS16" t="str">
        <f t="shared" si="6"/>
        <v/>
      </c>
      <c r="AT16" t="str">
        <f t="shared" si="7"/>
        <v/>
      </c>
      <c r="BG16" t="str">
        <f t="shared" si="8"/>
        <v/>
      </c>
      <c r="BH16" t="str">
        <f t="shared" si="9"/>
        <v/>
      </c>
      <c r="BL16" t="str">
        <f>IFERROR(INDEX(_names_lookup!$C:$C,MATCH(BK16,_names_lookup!$A:$A,0)),"")</f>
        <v/>
      </c>
      <c r="BM16" t="str">
        <f>IFERROR(INDEX(_names_lookup!$B:$B,MATCH(BK16,_names_lookup!$A:$A,0)),"")</f>
        <v/>
      </c>
      <c r="BS16" t="str">
        <f t="shared" si="10"/>
        <v/>
      </c>
    </row>
    <row r="17" spans="15:71" x14ac:dyDescent="0.2">
      <c r="O17" t="str">
        <f>IFERROR(INDEX(_courses_lookup!$C:$C,MATCH(K17&amp;L17,_courses_lookup!$E:$E,0)),"")</f>
        <v/>
      </c>
      <c r="P17" t="str">
        <f>IFERROR(INDEX(_courses_lookup!$D:$D,MATCH(K17&amp;L17,_courses_lookup!$E:$E,0)),"")</f>
        <v/>
      </c>
      <c r="AG17" t="str">
        <f t="shared" si="0"/>
        <v/>
      </c>
      <c r="AI17" t="str">
        <f t="shared" si="1"/>
        <v/>
      </c>
      <c r="AL17" t="str">
        <f t="shared" si="2"/>
        <v/>
      </c>
      <c r="AN17" t="str">
        <f t="shared" si="3"/>
        <v/>
      </c>
      <c r="AQ17" t="str">
        <f t="shared" si="4"/>
        <v/>
      </c>
      <c r="AR17" t="str">
        <f t="shared" si="5"/>
        <v/>
      </c>
      <c r="AS17" t="str">
        <f t="shared" si="6"/>
        <v/>
      </c>
      <c r="AT17" t="str">
        <f t="shared" si="7"/>
        <v/>
      </c>
      <c r="BG17" t="str">
        <f t="shared" si="8"/>
        <v/>
      </c>
      <c r="BH17" t="str">
        <f t="shared" si="9"/>
        <v/>
      </c>
      <c r="BL17" t="str">
        <f>IFERROR(INDEX(_names_lookup!$C:$C,MATCH(BK17,_names_lookup!$A:$A,0)),"")</f>
        <v/>
      </c>
      <c r="BM17" t="str">
        <f>IFERROR(INDEX(_names_lookup!$B:$B,MATCH(BK17,_names_lookup!$A:$A,0)),"")</f>
        <v/>
      </c>
      <c r="BS17" t="str">
        <f t="shared" si="10"/>
        <v/>
      </c>
    </row>
    <row r="18" spans="15:71" x14ac:dyDescent="0.2">
      <c r="O18" t="str">
        <f>IFERROR(INDEX(_courses_lookup!$C:$C,MATCH(K18&amp;L18,_courses_lookup!$E:$E,0)),"")</f>
        <v/>
      </c>
      <c r="P18" t="str">
        <f>IFERROR(INDEX(_courses_lookup!$D:$D,MATCH(K18&amp;L18,_courses_lookup!$E:$E,0)),"")</f>
        <v/>
      </c>
      <c r="AG18" t="str">
        <f t="shared" si="0"/>
        <v/>
      </c>
      <c r="AI18" t="str">
        <f t="shared" si="1"/>
        <v/>
      </c>
      <c r="AL18" t="str">
        <f t="shared" si="2"/>
        <v/>
      </c>
      <c r="AN18" t="str">
        <f t="shared" si="3"/>
        <v/>
      </c>
      <c r="AQ18" t="str">
        <f t="shared" si="4"/>
        <v/>
      </c>
      <c r="AR18" t="str">
        <f t="shared" si="5"/>
        <v/>
      </c>
      <c r="AS18" t="str">
        <f t="shared" si="6"/>
        <v/>
      </c>
      <c r="AT18" t="str">
        <f t="shared" si="7"/>
        <v/>
      </c>
      <c r="BG18" t="str">
        <f t="shared" si="8"/>
        <v/>
      </c>
      <c r="BH18" t="str">
        <f t="shared" si="9"/>
        <v/>
      </c>
      <c r="BL18" t="str">
        <f>IFERROR(INDEX(_names_lookup!$C:$C,MATCH(BK18,_names_lookup!$A:$A,0)),"")</f>
        <v/>
      </c>
      <c r="BM18" t="str">
        <f>IFERROR(INDEX(_names_lookup!$B:$B,MATCH(BK18,_names_lookup!$A:$A,0)),"")</f>
        <v/>
      </c>
      <c r="BS18" t="str">
        <f t="shared" si="10"/>
        <v/>
      </c>
    </row>
    <row r="19" spans="15:71" x14ac:dyDescent="0.2">
      <c r="O19" t="str">
        <f>IFERROR(INDEX(_courses_lookup!$C:$C,MATCH(K19&amp;L19,_courses_lookup!$E:$E,0)),"")</f>
        <v/>
      </c>
      <c r="P19" t="str">
        <f>IFERROR(INDEX(_courses_lookup!$D:$D,MATCH(K19&amp;L19,_courses_lookup!$E:$E,0)),"")</f>
        <v/>
      </c>
      <c r="AG19" t="str">
        <f t="shared" si="0"/>
        <v/>
      </c>
      <c r="AI19" t="str">
        <f t="shared" si="1"/>
        <v/>
      </c>
      <c r="AL19" t="str">
        <f t="shared" si="2"/>
        <v/>
      </c>
      <c r="AN19" t="str">
        <f t="shared" si="3"/>
        <v/>
      </c>
      <c r="AQ19" t="str">
        <f t="shared" si="4"/>
        <v/>
      </c>
      <c r="AR19" t="str">
        <f t="shared" si="5"/>
        <v/>
      </c>
      <c r="AS19" t="str">
        <f t="shared" si="6"/>
        <v/>
      </c>
      <c r="AT19" t="str">
        <f t="shared" si="7"/>
        <v/>
      </c>
      <c r="BG19" t="str">
        <f t="shared" si="8"/>
        <v/>
      </c>
      <c r="BH19" t="str">
        <f t="shared" si="9"/>
        <v/>
      </c>
      <c r="BL19" t="str">
        <f>IFERROR(INDEX(_names_lookup!$C:$C,MATCH(BK19,_names_lookup!$A:$A,0)),"")</f>
        <v/>
      </c>
      <c r="BM19" t="str">
        <f>IFERROR(INDEX(_names_lookup!$B:$B,MATCH(BK19,_names_lookup!$A:$A,0)),"")</f>
        <v/>
      </c>
      <c r="BS19" t="str">
        <f t="shared" si="10"/>
        <v/>
      </c>
    </row>
    <row r="20" spans="15:71" x14ac:dyDescent="0.2">
      <c r="O20" t="str">
        <f>IFERROR(INDEX(_courses_lookup!$C:$C,MATCH(K20&amp;L20,_courses_lookup!$E:$E,0)),"")</f>
        <v/>
      </c>
      <c r="P20" t="str">
        <f>IFERROR(INDEX(_courses_lookup!$D:$D,MATCH(K20&amp;L20,_courses_lookup!$E:$E,0)),"")</f>
        <v/>
      </c>
      <c r="AG20" t="str">
        <f t="shared" si="0"/>
        <v/>
      </c>
      <c r="AI20" t="str">
        <f t="shared" si="1"/>
        <v/>
      </c>
      <c r="AL20" t="str">
        <f t="shared" si="2"/>
        <v/>
      </c>
      <c r="AN20" t="str">
        <f t="shared" si="3"/>
        <v/>
      </c>
      <c r="AQ20" t="str">
        <f t="shared" si="4"/>
        <v/>
      </c>
      <c r="AR20" t="str">
        <f t="shared" si="5"/>
        <v/>
      </c>
      <c r="AS20" t="str">
        <f t="shared" si="6"/>
        <v/>
      </c>
      <c r="AT20" t="str">
        <f t="shared" si="7"/>
        <v/>
      </c>
      <c r="BG20" t="str">
        <f t="shared" si="8"/>
        <v/>
      </c>
      <c r="BH20" t="str">
        <f t="shared" si="9"/>
        <v/>
      </c>
      <c r="BL20" t="str">
        <f>IFERROR(INDEX(_names_lookup!$C:$C,MATCH(BK20,_names_lookup!$A:$A,0)),"")</f>
        <v/>
      </c>
      <c r="BM20" t="str">
        <f>IFERROR(INDEX(_names_lookup!$B:$B,MATCH(BK20,_names_lookup!$A:$A,0)),"")</f>
        <v/>
      </c>
      <c r="BS20" t="str">
        <f t="shared" si="10"/>
        <v/>
      </c>
    </row>
    <row r="21" spans="15:71" x14ac:dyDescent="0.2">
      <c r="O21" t="str">
        <f>IFERROR(INDEX(_courses_lookup!$C:$C,MATCH(K21&amp;L21,_courses_lookup!$E:$E,0)),"")</f>
        <v/>
      </c>
      <c r="P21" t="str">
        <f>IFERROR(INDEX(_courses_lookup!$D:$D,MATCH(K21&amp;L21,_courses_lookup!$E:$E,0)),"")</f>
        <v/>
      </c>
      <c r="AG21" t="str">
        <f t="shared" si="0"/>
        <v/>
      </c>
      <c r="AI21" t="str">
        <f t="shared" si="1"/>
        <v/>
      </c>
      <c r="AL21" t="str">
        <f t="shared" si="2"/>
        <v/>
      </c>
      <c r="AN21" t="str">
        <f t="shared" si="3"/>
        <v/>
      </c>
      <c r="AQ21" t="str">
        <f t="shared" si="4"/>
        <v/>
      </c>
      <c r="AR21" t="str">
        <f t="shared" si="5"/>
        <v/>
      </c>
      <c r="AS21" t="str">
        <f t="shared" si="6"/>
        <v/>
      </c>
      <c r="AT21" t="str">
        <f t="shared" si="7"/>
        <v/>
      </c>
      <c r="BG21" t="str">
        <f t="shared" si="8"/>
        <v/>
      </c>
      <c r="BH21" t="str">
        <f t="shared" si="9"/>
        <v/>
      </c>
      <c r="BL21" t="str">
        <f>IFERROR(INDEX(_names_lookup!$C:$C,MATCH(BK21,_names_lookup!$A:$A,0)),"")</f>
        <v/>
      </c>
      <c r="BM21" t="str">
        <f>IFERROR(INDEX(_names_lookup!$B:$B,MATCH(BK21,_names_lookup!$A:$A,0)),"")</f>
        <v/>
      </c>
      <c r="BS21" t="str">
        <f t="shared" si="10"/>
        <v/>
      </c>
    </row>
    <row r="22" spans="15:71" x14ac:dyDescent="0.2">
      <c r="O22" t="str">
        <f>IFERROR(INDEX(_courses_lookup!$C:$C,MATCH(K22&amp;L22,_courses_lookup!$E:$E,0)),"")</f>
        <v/>
      </c>
      <c r="P22" t="str">
        <f>IFERROR(INDEX(_courses_lookup!$D:$D,MATCH(K22&amp;L22,_courses_lookup!$E:$E,0)),"")</f>
        <v/>
      </c>
      <c r="AG22" t="str">
        <f t="shared" si="0"/>
        <v/>
      </c>
      <c r="AI22" t="str">
        <f t="shared" si="1"/>
        <v/>
      </c>
      <c r="AL22" t="str">
        <f t="shared" si="2"/>
        <v/>
      </c>
      <c r="AN22" t="str">
        <f t="shared" si="3"/>
        <v/>
      </c>
      <c r="AQ22" t="str">
        <f t="shared" si="4"/>
        <v/>
      </c>
      <c r="AR22" t="str">
        <f t="shared" si="5"/>
        <v/>
      </c>
      <c r="AS22" t="str">
        <f t="shared" si="6"/>
        <v/>
      </c>
      <c r="AT22" t="str">
        <f t="shared" si="7"/>
        <v/>
      </c>
      <c r="BG22" t="str">
        <f t="shared" si="8"/>
        <v/>
      </c>
      <c r="BH22" t="str">
        <f t="shared" si="9"/>
        <v/>
      </c>
      <c r="BL22" t="str">
        <f>IFERROR(INDEX(_names_lookup!$C:$C,MATCH(BK22,_names_lookup!$A:$A,0)),"")</f>
        <v/>
      </c>
      <c r="BM22" t="str">
        <f>IFERROR(INDEX(_names_lookup!$B:$B,MATCH(BK22,_names_lookup!$A:$A,0)),"")</f>
        <v/>
      </c>
      <c r="BS22" t="str">
        <f t="shared" si="10"/>
        <v/>
      </c>
    </row>
    <row r="23" spans="15:71" x14ac:dyDescent="0.2">
      <c r="O23" t="str">
        <f>IFERROR(INDEX(_courses_lookup!$C:$C,MATCH(K23&amp;L23,_courses_lookup!$E:$E,0)),"")</f>
        <v/>
      </c>
      <c r="P23" t="str">
        <f>IFERROR(INDEX(_courses_lookup!$D:$D,MATCH(K23&amp;L23,_courses_lookup!$E:$E,0)),"")</f>
        <v/>
      </c>
      <c r="AG23" t="str">
        <f t="shared" si="0"/>
        <v/>
      </c>
      <c r="AI23" t="str">
        <f t="shared" si="1"/>
        <v/>
      </c>
      <c r="AL23" t="str">
        <f t="shared" si="2"/>
        <v/>
      </c>
      <c r="AN23" t="str">
        <f t="shared" si="3"/>
        <v/>
      </c>
      <c r="AQ23" t="str">
        <f t="shared" si="4"/>
        <v/>
      </c>
      <c r="AR23" t="str">
        <f t="shared" si="5"/>
        <v/>
      </c>
      <c r="AS23" t="str">
        <f t="shared" si="6"/>
        <v/>
      </c>
      <c r="AT23" t="str">
        <f t="shared" si="7"/>
        <v/>
      </c>
      <c r="BG23" t="str">
        <f t="shared" si="8"/>
        <v/>
      </c>
      <c r="BH23" t="str">
        <f t="shared" si="9"/>
        <v/>
      </c>
      <c r="BL23" t="str">
        <f>IFERROR(INDEX(_names_lookup!$C:$C,MATCH(BK23,_names_lookup!$A:$A,0)),"")</f>
        <v/>
      </c>
      <c r="BM23" t="str">
        <f>IFERROR(INDEX(_names_lookup!$B:$B,MATCH(BK23,_names_lookup!$A:$A,0)),"")</f>
        <v/>
      </c>
      <c r="BS23" t="str">
        <f t="shared" si="10"/>
        <v/>
      </c>
    </row>
    <row r="24" spans="15:71" x14ac:dyDescent="0.2">
      <c r="O24" t="str">
        <f>IFERROR(INDEX(_courses_lookup!$C:$C,MATCH(K24&amp;L24,_courses_lookup!$E:$E,0)),"")</f>
        <v/>
      </c>
      <c r="P24" t="str">
        <f>IFERROR(INDEX(_courses_lookup!$D:$D,MATCH(K24&amp;L24,_courses_lookup!$E:$E,0)),"")</f>
        <v/>
      </c>
      <c r="AG24" t="str">
        <f t="shared" si="0"/>
        <v/>
      </c>
      <c r="AI24" t="str">
        <f t="shared" si="1"/>
        <v/>
      </c>
      <c r="AL24" t="str">
        <f t="shared" si="2"/>
        <v/>
      </c>
      <c r="AN24" t="str">
        <f t="shared" si="3"/>
        <v/>
      </c>
      <c r="AQ24" t="str">
        <f t="shared" si="4"/>
        <v/>
      </c>
      <c r="AR24" t="str">
        <f t="shared" si="5"/>
        <v/>
      </c>
      <c r="AS24" t="str">
        <f t="shared" si="6"/>
        <v/>
      </c>
      <c r="AT24" t="str">
        <f t="shared" si="7"/>
        <v/>
      </c>
      <c r="BG24" t="str">
        <f t="shared" si="8"/>
        <v/>
      </c>
      <c r="BH24" t="str">
        <f t="shared" si="9"/>
        <v/>
      </c>
      <c r="BL24" t="str">
        <f>IFERROR(INDEX(_names_lookup!$C:$C,MATCH(BK24,_names_lookup!$A:$A,0)),"")</f>
        <v/>
      </c>
      <c r="BM24" t="str">
        <f>IFERROR(INDEX(_names_lookup!$B:$B,MATCH(BK24,_names_lookup!$A:$A,0)),"")</f>
        <v/>
      </c>
      <c r="BS24" t="str">
        <f t="shared" si="10"/>
        <v/>
      </c>
    </row>
    <row r="25" spans="15:71" x14ac:dyDescent="0.2">
      <c r="O25" t="str">
        <f>IFERROR(INDEX(_courses_lookup!$C:$C,MATCH(K25&amp;L25,_courses_lookup!$E:$E,0)),"")</f>
        <v/>
      </c>
      <c r="P25" t="str">
        <f>IFERROR(INDEX(_courses_lookup!$D:$D,MATCH(K25&amp;L25,_courses_lookup!$E:$E,0)),"")</f>
        <v/>
      </c>
      <c r="AG25" t="str">
        <f t="shared" si="0"/>
        <v/>
      </c>
      <c r="AI25" t="str">
        <f t="shared" si="1"/>
        <v/>
      </c>
      <c r="AL25" t="str">
        <f t="shared" si="2"/>
        <v/>
      </c>
      <c r="AN25" t="str">
        <f t="shared" si="3"/>
        <v/>
      </c>
      <c r="AQ25" t="str">
        <f t="shared" si="4"/>
        <v/>
      </c>
      <c r="AR25" t="str">
        <f t="shared" si="5"/>
        <v/>
      </c>
      <c r="AS25" t="str">
        <f t="shared" si="6"/>
        <v/>
      </c>
      <c r="AT25" t="str">
        <f t="shared" si="7"/>
        <v/>
      </c>
      <c r="BG25" t="str">
        <f t="shared" si="8"/>
        <v/>
      </c>
      <c r="BH25" t="str">
        <f t="shared" si="9"/>
        <v/>
      </c>
      <c r="BL25" t="str">
        <f>IFERROR(INDEX(_names_lookup!$C:$C,MATCH(BK25,_names_lookup!$A:$A,0)),"")</f>
        <v/>
      </c>
      <c r="BM25" t="str">
        <f>IFERROR(INDEX(_names_lookup!$B:$B,MATCH(BK25,_names_lookup!$A:$A,0)),"")</f>
        <v/>
      </c>
      <c r="BS25" t="str">
        <f t="shared" si="10"/>
        <v/>
      </c>
    </row>
    <row r="26" spans="15:71" x14ac:dyDescent="0.2">
      <c r="O26" t="str">
        <f>IFERROR(INDEX(_courses_lookup!$C:$C,MATCH(K26&amp;L26,_courses_lookup!$E:$E,0)),"")</f>
        <v/>
      </c>
      <c r="P26" t="str">
        <f>IFERROR(INDEX(_courses_lookup!$D:$D,MATCH(K26&amp;L26,_courses_lookup!$E:$E,0)),"")</f>
        <v/>
      </c>
      <c r="AG26" t="str">
        <f t="shared" si="0"/>
        <v/>
      </c>
      <c r="AI26" t="str">
        <f t="shared" si="1"/>
        <v/>
      </c>
      <c r="AL26" t="str">
        <f t="shared" si="2"/>
        <v/>
      </c>
      <c r="AN26" t="str">
        <f t="shared" si="3"/>
        <v/>
      </c>
      <c r="AQ26" t="str">
        <f t="shared" si="4"/>
        <v/>
      </c>
      <c r="AR26" t="str">
        <f t="shared" si="5"/>
        <v/>
      </c>
      <c r="AS26" t="str">
        <f t="shared" si="6"/>
        <v/>
      </c>
      <c r="AT26" t="str">
        <f t="shared" si="7"/>
        <v/>
      </c>
      <c r="BG26" t="str">
        <f t="shared" si="8"/>
        <v/>
      </c>
      <c r="BH26" t="str">
        <f t="shared" si="9"/>
        <v/>
      </c>
      <c r="BL26" t="str">
        <f>IFERROR(INDEX(_names_lookup!$C:$C,MATCH(BK26,_names_lookup!$A:$A,0)),"")</f>
        <v/>
      </c>
      <c r="BM26" t="str">
        <f>IFERROR(INDEX(_names_lookup!$B:$B,MATCH(BK26,_names_lookup!$A:$A,0)),"")</f>
        <v/>
      </c>
      <c r="BS26" t="str">
        <f t="shared" si="10"/>
        <v/>
      </c>
    </row>
    <row r="27" spans="15:71" x14ac:dyDescent="0.2">
      <c r="O27" t="str">
        <f>IFERROR(INDEX(_courses_lookup!$C:$C,MATCH(K27&amp;L27,_courses_lookup!$E:$E,0)),"")</f>
        <v/>
      </c>
      <c r="P27" t="str">
        <f>IFERROR(INDEX(_courses_lookup!$D:$D,MATCH(K27&amp;L27,_courses_lookup!$E:$E,0)),"")</f>
        <v/>
      </c>
      <c r="AG27" t="str">
        <f t="shared" si="0"/>
        <v/>
      </c>
      <c r="AI27" t="str">
        <f t="shared" si="1"/>
        <v/>
      </c>
      <c r="AL27" t="str">
        <f t="shared" si="2"/>
        <v/>
      </c>
      <c r="AN27" t="str">
        <f t="shared" si="3"/>
        <v/>
      </c>
      <c r="AQ27" t="str">
        <f t="shared" si="4"/>
        <v/>
      </c>
      <c r="AR27" t="str">
        <f t="shared" si="5"/>
        <v/>
      </c>
      <c r="AS27" t="str">
        <f t="shared" si="6"/>
        <v/>
      </c>
      <c r="AT27" t="str">
        <f t="shared" si="7"/>
        <v/>
      </c>
      <c r="BG27" t="str">
        <f t="shared" si="8"/>
        <v/>
      </c>
      <c r="BH27" t="str">
        <f t="shared" si="9"/>
        <v/>
      </c>
      <c r="BL27" t="str">
        <f>IFERROR(INDEX(_names_lookup!$C:$C,MATCH(BK27,_names_lookup!$A:$A,0)),"")</f>
        <v/>
      </c>
      <c r="BM27" t="str">
        <f>IFERROR(INDEX(_names_lookup!$B:$B,MATCH(BK27,_names_lookup!$A:$A,0)),"")</f>
        <v/>
      </c>
      <c r="BS27" t="str">
        <f t="shared" si="10"/>
        <v/>
      </c>
    </row>
    <row r="28" spans="15:71" x14ac:dyDescent="0.2">
      <c r="O28" t="str">
        <f>IFERROR(INDEX(_courses_lookup!$C:$C,MATCH(K28&amp;L28,_courses_lookup!$E:$E,0)),"")</f>
        <v/>
      </c>
      <c r="P28" t="str">
        <f>IFERROR(INDEX(_courses_lookup!$D:$D,MATCH(K28&amp;L28,_courses_lookup!$E:$E,0)),"")</f>
        <v/>
      </c>
      <c r="AG28" t="str">
        <f t="shared" si="0"/>
        <v/>
      </c>
      <c r="AI28" t="str">
        <f t="shared" si="1"/>
        <v/>
      </c>
      <c r="AL28" t="str">
        <f t="shared" si="2"/>
        <v/>
      </c>
      <c r="AN28" t="str">
        <f t="shared" si="3"/>
        <v/>
      </c>
      <c r="AQ28" t="str">
        <f t="shared" si="4"/>
        <v/>
      </c>
      <c r="AR28" t="str">
        <f t="shared" si="5"/>
        <v/>
      </c>
      <c r="AS28" t="str">
        <f t="shared" si="6"/>
        <v/>
      </c>
      <c r="AT28" t="str">
        <f t="shared" si="7"/>
        <v/>
      </c>
      <c r="BG28" t="str">
        <f t="shared" si="8"/>
        <v/>
      </c>
      <c r="BH28" t="str">
        <f t="shared" si="9"/>
        <v/>
      </c>
      <c r="BL28" t="str">
        <f>IFERROR(INDEX(_names_lookup!$C:$C,MATCH(BK28,_names_lookup!$A:$A,0)),"")</f>
        <v/>
      </c>
      <c r="BM28" t="str">
        <f>IFERROR(INDEX(_names_lookup!$B:$B,MATCH(BK28,_names_lookup!$A:$A,0)),"")</f>
        <v/>
      </c>
      <c r="BS28" t="str">
        <f t="shared" si="10"/>
        <v/>
      </c>
    </row>
    <row r="29" spans="15:71" x14ac:dyDescent="0.2">
      <c r="O29" t="str">
        <f>IFERROR(INDEX(_courses_lookup!$C:$C,MATCH(K29&amp;L29,_courses_lookup!$E:$E,0)),"")</f>
        <v/>
      </c>
      <c r="P29" t="str">
        <f>IFERROR(INDEX(_courses_lookup!$D:$D,MATCH(K29&amp;L29,_courses_lookup!$E:$E,0)),"")</f>
        <v/>
      </c>
      <c r="AG29" t="str">
        <f t="shared" si="0"/>
        <v/>
      </c>
      <c r="AI29" t="str">
        <f t="shared" si="1"/>
        <v/>
      </c>
      <c r="AL29" t="str">
        <f t="shared" si="2"/>
        <v/>
      </c>
      <c r="AN29" t="str">
        <f t="shared" si="3"/>
        <v/>
      </c>
      <c r="AQ29" t="str">
        <f t="shared" si="4"/>
        <v/>
      </c>
      <c r="AR29" t="str">
        <f t="shared" si="5"/>
        <v/>
      </c>
      <c r="AS29" t="str">
        <f t="shared" si="6"/>
        <v/>
      </c>
      <c r="AT29" t="str">
        <f t="shared" si="7"/>
        <v/>
      </c>
      <c r="BG29" t="str">
        <f t="shared" si="8"/>
        <v/>
      </c>
      <c r="BH29" t="str">
        <f t="shared" si="9"/>
        <v/>
      </c>
      <c r="BL29" t="str">
        <f>IFERROR(INDEX(_names_lookup!$C:$C,MATCH(BK29,_names_lookup!$A:$A,0)),"")</f>
        <v/>
      </c>
      <c r="BM29" t="str">
        <f>IFERROR(INDEX(_names_lookup!$B:$B,MATCH(BK29,_names_lookup!$A:$A,0)),"")</f>
        <v/>
      </c>
      <c r="BS29" t="str">
        <f t="shared" si="10"/>
        <v/>
      </c>
    </row>
    <row r="30" spans="15:71" x14ac:dyDescent="0.2">
      <c r="O30" t="str">
        <f>IFERROR(INDEX(_courses_lookup!$C:$C,MATCH(K30&amp;L30,_courses_lookup!$E:$E,0)),"")</f>
        <v/>
      </c>
      <c r="P30" t="str">
        <f>IFERROR(INDEX(_courses_lookup!$D:$D,MATCH(K30&amp;L30,_courses_lookup!$E:$E,0)),"")</f>
        <v/>
      </c>
      <c r="AG30" t="str">
        <f t="shared" si="0"/>
        <v/>
      </c>
      <c r="AI30" t="str">
        <f t="shared" si="1"/>
        <v/>
      </c>
      <c r="AL30" t="str">
        <f t="shared" si="2"/>
        <v/>
      </c>
      <c r="AN30" t="str">
        <f t="shared" si="3"/>
        <v/>
      </c>
      <c r="AQ30" t="str">
        <f t="shared" si="4"/>
        <v/>
      </c>
      <c r="AR30" t="str">
        <f t="shared" si="5"/>
        <v/>
      </c>
      <c r="AS30" t="str">
        <f t="shared" si="6"/>
        <v/>
      </c>
      <c r="AT30" t="str">
        <f t="shared" si="7"/>
        <v/>
      </c>
      <c r="BG30" t="str">
        <f t="shared" si="8"/>
        <v/>
      </c>
      <c r="BH30" t="str">
        <f t="shared" si="9"/>
        <v/>
      </c>
      <c r="BL30" t="str">
        <f>IFERROR(INDEX(_names_lookup!$C:$C,MATCH(BK30,_names_lookup!$A:$A,0)),"")</f>
        <v/>
      </c>
      <c r="BM30" t="str">
        <f>IFERROR(INDEX(_names_lookup!$B:$B,MATCH(BK30,_names_lookup!$A:$A,0)),"")</f>
        <v/>
      </c>
      <c r="BS30" t="str">
        <f t="shared" si="10"/>
        <v/>
      </c>
    </row>
    <row r="31" spans="15:71" x14ac:dyDescent="0.2">
      <c r="O31" t="str">
        <f>IFERROR(INDEX(_courses_lookup!$C:$C,MATCH(K31&amp;L31,_courses_lookup!$E:$E,0)),"")</f>
        <v/>
      </c>
      <c r="P31" t="str">
        <f>IFERROR(INDEX(_courses_lookup!$D:$D,MATCH(K31&amp;L31,_courses_lookup!$E:$E,0)),"")</f>
        <v/>
      </c>
      <c r="AG31" t="str">
        <f t="shared" si="0"/>
        <v/>
      </c>
      <c r="AI31" t="str">
        <f t="shared" si="1"/>
        <v/>
      </c>
      <c r="AL31" t="str">
        <f t="shared" si="2"/>
        <v/>
      </c>
      <c r="AN31" t="str">
        <f t="shared" si="3"/>
        <v/>
      </c>
      <c r="AQ31" t="str">
        <f t="shared" si="4"/>
        <v/>
      </c>
      <c r="AR31" t="str">
        <f t="shared" si="5"/>
        <v/>
      </c>
      <c r="AS31" t="str">
        <f t="shared" si="6"/>
        <v/>
      </c>
      <c r="AT31" t="str">
        <f t="shared" si="7"/>
        <v/>
      </c>
      <c r="BG31" t="str">
        <f t="shared" si="8"/>
        <v/>
      </c>
      <c r="BH31" t="str">
        <f t="shared" si="9"/>
        <v/>
      </c>
      <c r="BL31" t="str">
        <f>IFERROR(INDEX(_names_lookup!$C:$C,MATCH(BK31,_names_lookup!$A:$A,0)),"")</f>
        <v/>
      </c>
      <c r="BM31" t="str">
        <f>IFERROR(INDEX(_names_lookup!$B:$B,MATCH(BK31,_names_lookup!$A:$A,0)),"")</f>
        <v/>
      </c>
      <c r="BS31" t="str">
        <f t="shared" si="10"/>
        <v/>
      </c>
    </row>
    <row r="32" spans="15:71" x14ac:dyDescent="0.2">
      <c r="O32" t="str">
        <f>IFERROR(INDEX(_courses_lookup!$C:$C,MATCH(K32&amp;L32,_courses_lookup!$E:$E,0)),"")</f>
        <v/>
      </c>
      <c r="P32" t="str">
        <f>IFERROR(INDEX(_courses_lookup!$D:$D,MATCH(K32&amp;L32,_courses_lookup!$E:$E,0)),"")</f>
        <v/>
      </c>
      <c r="AG32" t="str">
        <f t="shared" si="0"/>
        <v/>
      </c>
      <c r="AI32" t="str">
        <f t="shared" si="1"/>
        <v/>
      </c>
      <c r="AL32" t="str">
        <f t="shared" si="2"/>
        <v/>
      </c>
      <c r="AN32" t="str">
        <f t="shared" si="3"/>
        <v/>
      </c>
      <c r="AQ32" t="str">
        <f t="shared" si="4"/>
        <v/>
      </c>
      <c r="AR32" t="str">
        <f t="shared" si="5"/>
        <v/>
      </c>
      <c r="AS32" t="str">
        <f t="shared" si="6"/>
        <v/>
      </c>
      <c r="AT32" t="str">
        <f t="shared" si="7"/>
        <v/>
      </c>
      <c r="BG32" t="str">
        <f t="shared" si="8"/>
        <v/>
      </c>
      <c r="BH32" t="str">
        <f t="shared" si="9"/>
        <v/>
      </c>
      <c r="BL32" t="str">
        <f>IFERROR(INDEX(_names_lookup!$C:$C,MATCH(BK32,_names_lookup!$A:$A,0)),"")</f>
        <v/>
      </c>
      <c r="BM32" t="str">
        <f>IFERROR(INDEX(_names_lookup!$B:$B,MATCH(BK32,_names_lookup!$A:$A,0)),"")</f>
        <v/>
      </c>
      <c r="BS32" t="str">
        <f t="shared" si="10"/>
        <v/>
      </c>
    </row>
    <row r="33" spans="15:71" x14ac:dyDescent="0.2">
      <c r="O33" t="str">
        <f>IFERROR(INDEX(_courses_lookup!$C:$C,MATCH(K33&amp;L33,_courses_lookup!$E:$E,0)),"")</f>
        <v/>
      </c>
      <c r="P33" t="str">
        <f>IFERROR(INDEX(_courses_lookup!$D:$D,MATCH(K33&amp;L33,_courses_lookup!$E:$E,0)),"")</f>
        <v/>
      </c>
      <c r="AG33" t="str">
        <f t="shared" si="0"/>
        <v/>
      </c>
      <c r="AI33" t="str">
        <f t="shared" si="1"/>
        <v/>
      </c>
      <c r="AL33" t="str">
        <f t="shared" si="2"/>
        <v/>
      </c>
      <c r="AN33" t="str">
        <f t="shared" si="3"/>
        <v/>
      </c>
      <c r="AQ33" t="str">
        <f t="shared" si="4"/>
        <v/>
      </c>
      <c r="AR33" t="str">
        <f t="shared" si="5"/>
        <v/>
      </c>
      <c r="AS33" t="str">
        <f t="shared" si="6"/>
        <v/>
      </c>
      <c r="AT33" t="str">
        <f t="shared" si="7"/>
        <v/>
      </c>
      <c r="BG33" t="str">
        <f t="shared" si="8"/>
        <v/>
      </c>
      <c r="BH33" t="str">
        <f t="shared" si="9"/>
        <v/>
      </c>
      <c r="BL33" t="str">
        <f>IFERROR(INDEX(_names_lookup!$C:$C,MATCH(BK33,_names_lookup!$A:$A,0)),"")</f>
        <v/>
      </c>
      <c r="BM33" t="str">
        <f>IFERROR(INDEX(_names_lookup!$B:$B,MATCH(BK33,_names_lookup!$A:$A,0)),"")</f>
        <v/>
      </c>
      <c r="BS33" t="str">
        <f t="shared" si="10"/>
        <v/>
      </c>
    </row>
    <row r="34" spans="15:71" x14ac:dyDescent="0.2">
      <c r="O34" t="str">
        <f>IFERROR(INDEX(_courses_lookup!$C:$C,MATCH(K34&amp;L34,_courses_lookup!$E:$E,0)),"")</f>
        <v/>
      </c>
      <c r="P34" t="str">
        <f>IFERROR(INDEX(_courses_lookup!$D:$D,MATCH(K34&amp;L34,_courses_lookup!$E:$E,0)),"")</f>
        <v/>
      </c>
      <c r="AG34" t="str">
        <f t="shared" si="0"/>
        <v/>
      </c>
      <c r="AI34" t="str">
        <f t="shared" si="1"/>
        <v/>
      </c>
      <c r="AL34" t="str">
        <f t="shared" si="2"/>
        <v/>
      </c>
      <c r="AN34" t="str">
        <f t="shared" si="3"/>
        <v/>
      </c>
      <c r="AQ34" t="str">
        <f t="shared" si="4"/>
        <v/>
      </c>
      <c r="AR34" t="str">
        <f t="shared" si="5"/>
        <v/>
      </c>
      <c r="AS34" t="str">
        <f t="shared" si="6"/>
        <v/>
      </c>
      <c r="AT34" t="str">
        <f t="shared" si="7"/>
        <v/>
      </c>
      <c r="BG34" t="str">
        <f t="shared" si="8"/>
        <v/>
      </c>
      <c r="BH34" t="str">
        <f t="shared" si="9"/>
        <v/>
      </c>
      <c r="BL34" t="str">
        <f>IFERROR(INDEX(_names_lookup!$C:$C,MATCH(BK34,_names_lookup!$A:$A,0)),"")</f>
        <v/>
      </c>
      <c r="BM34" t="str">
        <f>IFERROR(INDEX(_names_lookup!$B:$B,MATCH(BK34,_names_lookup!$A:$A,0)),"")</f>
        <v/>
      </c>
      <c r="BS34" t="str">
        <f t="shared" si="10"/>
        <v/>
      </c>
    </row>
    <row r="35" spans="15:71" x14ac:dyDescent="0.2">
      <c r="O35" t="str">
        <f>IFERROR(INDEX(_courses_lookup!$C:$C,MATCH(K35&amp;L35,_courses_lookup!$E:$E,0)),"")</f>
        <v/>
      </c>
      <c r="P35" t="str">
        <f>IFERROR(INDEX(_courses_lookup!$D:$D,MATCH(K35&amp;L35,_courses_lookup!$E:$E,0)),"")</f>
        <v/>
      </c>
      <c r="AG35" t="str">
        <f t="shared" si="0"/>
        <v/>
      </c>
      <c r="AI35" t="str">
        <f t="shared" si="1"/>
        <v/>
      </c>
      <c r="AL35" t="str">
        <f t="shared" si="2"/>
        <v/>
      </c>
      <c r="AN35" t="str">
        <f t="shared" si="3"/>
        <v/>
      </c>
      <c r="AQ35" t="str">
        <f t="shared" si="4"/>
        <v/>
      </c>
      <c r="AR35" t="str">
        <f t="shared" si="5"/>
        <v/>
      </c>
      <c r="AS35" t="str">
        <f t="shared" si="6"/>
        <v/>
      </c>
      <c r="AT35" t="str">
        <f t="shared" si="7"/>
        <v/>
      </c>
      <c r="BG35" t="str">
        <f t="shared" si="8"/>
        <v/>
      </c>
      <c r="BH35" t="str">
        <f t="shared" si="9"/>
        <v/>
      </c>
      <c r="BL35" t="str">
        <f>IFERROR(INDEX(_names_lookup!$C:$C,MATCH(BK35,_names_lookup!$A:$A,0)),"")</f>
        <v/>
      </c>
      <c r="BM35" t="str">
        <f>IFERROR(INDEX(_names_lookup!$B:$B,MATCH(BK35,_names_lookup!$A:$A,0)),"")</f>
        <v/>
      </c>
      <c r="BS35" t="str">
        <f t="shared" si="10"/>
        <v/>
      </c>
    </row>
    <row r="36" spans="15:71" x14ac:dyDescent="0.2">
      <c r="O36" t="str">
        <f>IFERROR(INDEX(_courses_lookup!$C:$C,MATCH(K36&amp;L36,_courses_lookup!$E:$E,0)),"")</f>
        <v/>
      </c>
      <c r="P36" t="str">
        <f>IFERROR(INDEX(_courses_lookup!$D:$D,MATCH(K36&amp;L36,_courses_lookup!$E:$E,0)),"")</f>
        <v/>
      </c>
      <c r="AG36" t="str">
        <f t="shared" si="0"/>
        <v/>
      </c>
      <c r="AI36" t="str">
        <f t="shared" si="1"/>
        <v/>
      </c>
      <c r="AL36" t="str">
        <f t="shared" si="2"/>
        <v/>
      </c>
      <c r="AN36" t="str">
        <f t="shared" si="3"/>
        <v/>
      </c>
      <c r="AQ36" t="str">
        <f t="shared" si="4"/>
        <v/>
      </c>
      <c r="AR36" t="str">
        <f t="shared" si="5"/>
        <v/>
      </c>
      <c r="AS36" t="str">
        <f t="shared" si="6"/>
        <v/>
      </c>
      <c r="AT36" t="str">
        <f t="shared" si="7"/>
        <v/>
      </c>
      <c r="BG36" t="str">
        <f t="shared" si="8"/>
        <v/>
      </c>
      <c r="BH36" t="str">
        <f t="shared" si="9"/>
        <v/>
      </c>
      <c r="BL36" t="str">
        <f>IFERROR(INDEX(_names_lookup!$C:$C,MATCH(BK36,_names_lookup!$A:$A,0)),"")</f>
        <v/>
      </c>
      <c r="BM36" t="str">
        <f>IFERROR(INDEX(_names_lookup!$B:$B,MATCH(BK36,_names_lookup!$A:$A,0)),"")</f>
        <v/>
      </c>
      <c r="BS36" t="str">
        <f t="shared" si="10"/>
        <v/>
      </c>
    </row>
    <row r="37" spans="15:71" x14ac:dyDescent="0.2">
      <c r="O37" t="str">
        <f>IFERROR(INDEX(_courses_lookup!$C:$C,MATCH(K37&amp;L37,_courses_lookup!$E:$E,0)),"")</f>
        <v/>
      </c>
      <c r="P37" t="str">
        <f>IFERROR(INDEX(_courses_lookup!$D:$D,MATCH(K37&amp;L37,_courses_lookup!$E:$E,0)),"")</f>
        <v/>
      </c>
      <c r="AG37" t="str">
        <f t="shared" si="0"/>
        <v/>
      </c>
      <c r="AI37" t="str">
        <f t="shared" si="1"/>
        <v/>
      </c>
      <c r="AL37" t="str">
        <f t="shared" si="2"/>
        <v/>
      </c>
      <c r="AN37" t="str">
        <f t="shared" si="3"/>
        <v/>
      </c>
      <c r="AQ37" t="str">
        <f t="shared" si="4"/>
        <v/>
      </c>
      <c r="AR37" t="str">
        <f t="shared" si="5"/>
        <v/>
      </c>
      <c r="AS37" t="str">
        <f t="shared" si="6"/>
        <v/>
      </c>
      <c r="AT37" t="str">
        <f t="shared" si="7"/>
        <v/>
      </c>
      <c r="BG37" t="str">
        <f t="shared" si="8"/>
        <v/>
      </c>
      <c r="BH37" t="str">
        <f t="shared" si="9"/>
        <v/>
      </c>
      <c r="BL37" t="str">
        <f>IFERROR(INDEX(_names_lookup!$C:$C,MATCH(BK37,_names_lookup!$A:$A,0)),"")</f>
        <v/>
      </c>
      <c r="BM37" t="str">
        <f>IFERROR(INDEX(_names_lookup!$B:$B,MATCH(BK37,_names_lookup!$A:$A,0)),"")</f>
        <v/>
      </c>
      <c r="BS37" t="str">
        <f t="shared" si="10"/>
        <v/>
      </c>
    </row>
    <row r="38" spans="15:71" x14ac:dyDescent="0.2">
      <c r="O38" t="str">
        <f>IFERROR(INDEX(_courses_lookup!$C:$C,MATCH(K38&amp;L38,_courses_lookup!$E:$E,0)),"")</f>
        <v/>
      </c>
      <c r="P38" t="str">
        <f>IFERROR(INDEX(_courses_lookup!$D:$D,MATCH(K38&amp;L38,_courses_lookup!$E:$E,0)),"")</f>
        <v/>
      </c>
      <c r="AG38" t="str">
        <f t="shared" si="0"/>
        <v/>
      </c>
      <c r="AI38" t="str">
        <f t="shared" si="1"/>
        <v/>
      </c>
      <c r="AL38" t="str">
        <f t="shared" si="2"/>
        <v/>
      </c>
      <c r="AN38" t="str">
        <f t="shared" si="3"/>
        <v/>
      </c>
      <c r="AQ38" t="str">
        <f t="shared" si="4"/>
        <v/>
      </c>
      <c r="AR38" t="str">
        <f t="shared" si="5"/>
        <v/>
      </c>
      <c r="AS38" t="str">
        <f t="shared" si="6"/>
        <v/>
      </c>
      <c r="AT38" t="str">
        <f t="shared" si="7"/>
        <v/>
      </c>
      <c r="BG38" t="str">
        <f t="shared" si="8"/>
        <v/>
      </c>
      <c r="BH38" t="str">
        <f t="shared" si="9"/>
        <v/>
      </c>
      <c r="BL38" t="str">
        <f>IFERROR(INDEX(_names_lookup!$C:$C,MATCH(BK38,_names_lookup!$A:$A,0)),"")</f>
        <v/>
      </c>
      <c r="BM38" t="str">
        <f>IFERROR(INDEX(_names_lookup!$B:$B,MATCH(BK38,_names_lookup!$A:$A,0)),"")</f>
        <v/>
      </c>
      <c r="BS38" t="str">
        <f t="shared" si="10"/>
        <v/>
      </c>
    </row>
    <row r="39" spans="15:71" x14ac:dyDescent="0.2">
      <c r="O39" t="str">
        <f>IFERROR(INDEX(_courses_lookup!$C:$C,MATCH(K39&amp;L39,_courses_lookup!$E:$E,0)),"")</f>
        <v/>
      </c>
      <c r="P39" t="str">
        <f>IFERROR(INDEX(_courses_lookup!$D:$D,MATCH(K39&amp;L39,_courses_lookup!$E:$E,0)),"")</f>
        <v/>
      </c>
      <c r="AG39" t="str">
        <f t="shared" si="0"/>
        <v/>
      </c>
      <c r="AI39" t="str">
        <f t="shared" si="1"/>
        <v/>
      </c>
      <c r="AL39" t="str">
        <f t="shared" si="2"/>
        <v/>
      </c>
      <c r="AN39" t="str">
        <f t="shared" si="3"/>
        <v/>
      </c>
      <c r="AQ39" t="str">
        <f t="shared" si="4"/>
        <v/>
      </c>
      <c r="AR39" t="str">
        <f t="shared" si="5"/>
        <v/>
      </c>
      <c r="AS39" t="str">
        <f t="shared" si="6"/>
        <v/>
      </c>
      <c r="AT39" t="str">
        <f t="shared" si="7"/>
        <v/>
      </c>
      <c r="BG39" t="str">
        <f t="shared" si="8"/>
        <v/>
      </c>
      <c r="BH39" t="str">
        <f t="shared" si="9"/>
        <v/>
      </c>
      <c r="BL39" t="str">
        <f>IFERROR(INDEX(_names_lookup!$C:$C,MATCH(BK39,_names_lookup!$A:$A,0)),"")</f>
        <v/>
      </c>
      <c r="BM39" t="str">
        <f>IFERROR(INDEX(_names_lookup!$B:$B,MATCH(BK39,_names_lookup!$A:$A,0)),"")</f>
        <v/>
      </c>
      <c r="BS39" t="str">
        <f t="shared" si="10"/>
        <v/>
      </c>
    </row>
    <row r="40" spans="15:71" x14ac:dyDescent="0.2">
      <c r="O40" t="str">
        <f>IFERROR(INDEX(_courses_lookup!$C:$C,MATCH(K40&amp;L40,_courses_lookup!$E:$E,0)),"")</f>
        <v/>
      </c>
      <c r="P40" t="str">
        <f>IFERROR(INDEX(_courses_lookup!$D:$D,MATCH(K40&amp;L40,_courses_lookup!$E:$E,0)),"")</f>
        <v/>
      </c>
      <c r="AG40" t="str">
        <f t="shared" si="0"/>
        <v/>
      </c>
      <c r="AI40" t="str">
        <f t="shared" si="1"/>
        <v/>
      </c>
      <c r="AL40" t="str">
        <f t="shared" si="2"/>
        <v/>
      </c>
      <c r="AN40" t="str">
        <f t="shared" si="3"/>
        <v/>
      </c>
      <c r="AQ40" t="str">
        <f t="shared" si="4"/>
        <v/>
      </c>
      <c r="AR40" t="str">
        <f t="shared" si="5"/>
        <v/>
      </c>
      <c r="AS40" t="str">
        <f t="shared" si="6"/>
        <v/>
      </c>
      <c r="AT40" t="str">
        <f t="shared" si="7"/>
        <v/>
      </c>
      <c r="BG40" t="str">
        <f t="shared" si="8"/>
        <v/>
      </c>
      <c r="BH40" t="str">
        <f t="shared" si="9"/>
        <v/>
      </c>
      <c r="BL40" t="str">
        <f>IFERROR(INDEX(_names_lookup!$C:$C,MATCH(BK40,_names_lookup!$A:$A,0)),"")</f>
        <v/>
      </c>
      <c r="BM40" t="str">
        <f>IFERROR(INDEX(_names_lookup!$B:$B,MATCH(BK40,_names_lookup!$A:$A,0)),"")</f>
        <v/>
      </c>
      <c r="BS40" t="str">
        <f t="shared" si="10"/>
        <v/>
      </c>
    </row>
    <row r="41" spans="15:71" x14ac:dyDescent="0.2">
      <c r="O41" t="str">
        <f>IFERROR(INDEX(_courses_lookup!$C:$C,MATCH(K41&amp;L41,_courses_lookup!$E:$E,0)),"")</f>
        <v/>
      </c>
      <c r="P41" t="str">
        <f>IFERROR(INDEX(_courses_lookup!$D:$D,MATCH(K41&amp;L41,_courses_lookup!$E:$E,0)),"")</f>
        <v/>
      </c>
      <c r="AG41" t="str">
        <f t="shared" si="0"/>
        <v/>
      </c>
      <c r="AI41" t="str">
        <f t="shared" si="1"/>
        <v/>
      </c>
      <c r="AL41" t="str">
        <f t="shared" si="2"/>
        <v/>
      </c>
      <c r="AN41" t="str">
        <f t="shared" si="3"/>
        <v/>
      </c>
      <c r="AQ41" t="str">
        <f t="shared" si="4"/>
        <v/>
      </c>
      <c r="AR41" t="str">
        <f t="shared" si="5"/>
        <v/>
      </c>
      <c r="AS41" t="str">
        <f t="shared" si="6"/>
        <v/>
      </c>
      <c r="AT41" t="str">
        <f t="shared" si="7"/>
        <v/>
      </c>
      <c r="BG41" t="str">
        <f t="shared" si="8"/>
        <v/>
      </c>
      <c r="BH41" t="str">
        <f t="shared" si="9"/>
        <v/>
      </c>
      <c r="BL41" t="str">
        <f>IFERROR(INDEX(_names_lookup!$C:$C,MATCH(BK41,_names_lookup!$A:$A,0)),"")</f>
        <v/>
      </c>
      <c r="BM41" t="str">
        <f>IFERROR(INDEX(_names_lookup!$B:$B,MATCH(BK41,_names_lookup!$A:$A,0)),"")</f>
        <v/>
      </c>
      <c r="BS41" t="str">
        <f t="shared" si="10"/>
        <v/>
      </c>
    </row>
    <row r="42" spans="15:71" x14ac:dyDescent="0.2">
      <c r="O42" t="str">
        <f>IFERROR(INDEX(_courses_lookup!$C:$C,MATCH(K42&amp;L42,_courses_lookup!$E:$E,0)),"")</f>
        <v/>
      </c>
      <c r="P42" t="str">
        <f>IFERROR(INDEX(_courses_lookup!$D:$D,MATCH(K42&amp;L42,_courses_lookup!$E:$E,0)),"")</f>
        <v/>
      </c>
      <c r="AG42" t="str">
        <f t="shared" si="0"/>
        <v/>
      </c>
      <c r="AI42" t="str">
        <f t="shared" si="1"/>
        <v/>
      </c>
      <c r="AL42" t="str">
        <f t="shared" si="2"/>
        <v/>
      </c>
      <c r="AN42" t="str">
        <f t="shared" si="3"/>
        <v/>
      </c>
      <c r="AQ42" t="str">
        <f t="shared" si="4"/>
        <v/>
      </c>
      <c r="AR42" t="str">
        <f t="shared" si="5"/>
        <v/>
      </c>
      <c r="AS42" t="str">
        <f t="shared" si="6"/>
        <v/>
      </c>
      <c r="AT42" t="str">
        <f t="shared" si="7"/>
        <v/>
      </c>
      <c r="BG42" t="str">
        <f t="shared" si="8"/>
        <v/>
      </c>
      <c r="BH42" t="str">
        <f t="shared" si="9"/>
        <v/>
      </c>
      <c r="BL42" t="str">
        <f>IFERROR(INDEX(_names_lookup!$C:$C,MATCH(BK42,_names_lookup!$A:$A,0)),"")</f>
        <v/>
      </c>
      <c r="BM42" t="str">
        <f>IFERROR(INDEX(_names_lookup!$B:$B,MATCH(BK42,_names_lookup!$A:$A,0)),"")</f>
        <v/>
      </c>
      <c r="BS42" t="str">
        <f t="shared" si="10"/>
        <v/>
      </c>
    </row>
    <row r="43" spans="15:71" x14ac:dyDescent="0.2">
      <c r="O43" t="str">
        <f>IFERROR(INDEX(_courses_lookup!$C:$C,MATCH(K43&amp;L43,_courses_lookup!$E:$E,0)),"")</f>
        <v/>
      </c>
      <c r="P43" t="str">
        <f>IFERROR(INDEX(_courses_lookup!$D:$D,MATCH(K43&amp;L43,_courses_lookup!$E:$E,0)),"")</f>
        <v/>
      </c>
      <c r="AG43" t="str">
        <f t="shared" si="0"/>
        <v/>
      </c>
      <c r="AI43" t="str">
        <f t="shared" si="1"/>
        <v/>
      </c>
      <c r="AL43" t="str">
        <f t="shared" si="2"/>
        <v/>
      </c>
      <c r="AN43" t="str">
        <f t="shared" si="3"/>
        <v/>
      </c>
      <c r="AQ43" t="str">
        <f t="shared" si="4"/>
        <v/>
      </c>
      <c r="AR43" t="str">
        <f t="shared" si="5"/>
        <v/>
      </c>
      <c r="AS43" t="str">
        <f t="shared" si="6"/>
        <v/>
      </c>
      <c r="AT43" t="str">
        <f t="shared" si="7"/>
        <v/>
      </c>
      <c r="BG43" t="str">
        <f t="shared" si="8"/>
        <v/>
      </c>
      <c r="BH43" t="str">
        <f t="shared" si="9"/>
        <v/>
      </c>
      <c r="BL43" t="str">
        <f>IFERROR(INDEX(_names_lookup!$C:$C,MATCH(BK43,_names_lookup!$A:$A,0)),"")</f>
        <v/>
      </c>
      <c r="BM43" t="str">
        <f>IFERROR(INDEX(_names_lookup!$B:$B,MATCH(BK43,_names_lookup!$A:$A,0)),"")</f>
        <v/>
      </c>
      <c r="BS43" t="str">
        <f t="shared" si="10"/>
        <v/>
      </c>
    </row>
    <row r="44" spans="15:71" x14ac:dyDescent="0.2">
      <c r="O44" t="str">
        <f>IFERROR(INDEX(_courses_lookup!$C:$C,MATCH(K44&amp;L44,_courses_lookup!$E:$E,0)),"")</f>
        <v/>
      </c>
      <c r="P44" t="str">
        <f>IFERROR(INDEX(_courses_lookup!$D:$D,MATCH(K44&amp;L44,_courses_lookup!$E:$E,0)),"")</f>
        <v/>
      </c>
      <c r="AG44" t="str">
        <f t="shared" si="0"/>
        <v/>
      </c>
      <c r="AI44" t="str">
        <f t="shared" si="1"/>
        <v/>
      </c>
      <c r="AL44" t="str">
        <f t="shared" si="2"/>
        <v/>
      </c>
      <c r="AN44" t="str">
        <f t="shared" si="3"/>
        <v/>
      </c>
      <c r="AQ44" t="str">
        <f t="shared" si="4"/>
        <v/>
      </c>
      <c r="AR44" t="str">
        <f t="shared" si="5"/>
        <v/>
      </c>
      <c r="AS44" t="str">
        <f t="shared" si="6"/>
        <v/>
      </c>
      <c r="AT44" t="str">
        <f t="shared" si="7"/>
        <v/>
      </c>
      <c r="BG44" t="str">
        <f t="shared" si="8"/>
        <v/>
      </c>
      <c r="BH44" t="str">
        <f t="shared" si="9"/>
        <v/>
      </c>
      <c r="BL44" t="str">
        <f>IFERROR(INDEX(_names_lookup!$C:$C,MATCH(BK44,_names_lookup!$A:$A,0)),"")</f>
        <v/>
      </c>
      <c r="BM44" t="str">
        <f>IFERROR(INDEX(_names_lookup!$B:$B,MATCH(BK44,_names_lookup!$A:$A,0)),"")</f>
        <v/>
      </c>
      <c r="BS44" t="str">
        <f t="shared" si="10"/>
        <v/>
      </c>
    </row>
    <row r="45" spans="15:71" x14ac:dyDescent="0.2">
      <c r="O45" t="str">
        <f>IFERROR(INDEX(_courses_lookup!$C:$C,MATCH(K45&amp;L45,_courses_lookup!$E:$E,0)),"")</f>
        <v/>
      </c>
      <c r="P45" t="str">
        <f>IFERROR(INDEX(_courses_lookup!$D:$D,MATCH(K45&amp;L45,_courses_lookup!$E:$E,0)),"")</f>
        <v/>
      </c>
      <c r="AG45" t="str">
        <f t="shared" si="0"/>
        <v/>
      </c>
      <c r="AI45" t="str">
        <f t="shared" si="1"/>
        <v/>
      </c>
      <c r="AL45" t="str">
        <f t="shared" si="2"/>
        <v/>
      </c>
      <c r="AN45" t="str">
        <f t="shared" si="3"/>
        <v/>
      </c>
      <c r="AQ45" t="str">
        <f t="shared" si="4"/>
        <v/>
      </c>
      <c r="AR45" t="str">
        <f t="shared" si="5"/>
        <v/>
      </c>
      <c r="AS45" t="str">
        <f t="shared" si="6"/>
        <v/>
      </c>
      <c r="AT45" t="str">
        <f t="shared" si="7"/>
        <v/>
      </c>
      <c r="BG45" t="str">
        <f t="shared" si="8"/>
        <v/>
      </c>
      <c r="BH45" t="str">
        <f t="shared" si="9"/>
        <v/>
      </c>
      <c r="BL45" t="str">
        <f>IFERROR(INDEX(_names_lookup!$C:$C,MATCH(BK45,_names_lookup!$A:$A,0)),"")</f>
        <v/>
      </c>
      <c r="BM45" t="str">
        <f>IFERROR(INDEX(_names_lookup!$B:$B,MATCH(BK45,_names_lookup!$A:$A,0)),"")</f>
        <v/>
      </c>
      <c r="BS45" t="str">
        <f t="shared" si="10"/>
        <v/>
      </c>
    </row>
    <row r="46" spans="15:71" x14ac:dyDescent="0.2">
      <c r="O46" t="str">
        <f>IFERROR(INDEX(_courses_lookup!$C:$C,MATCH(K46&amp;L46,_courses_lookup!$E:$E,0)),"")</f>
        <v/>
      </c>
      <c r="P46" t="str">
        <f>IFERROR(INDEX(_courses_lookup!$D:$D,MATCH(K46&amp;L46,_courses_lookup!$E:$E,0)),"")</f>
        <v/>
      </c>
      <c r="AG46" t="str">
        <f t="shared" si="0"/>
        <v/>
      </c>
      <c r="AI46" t="str">
        <f t="shared" si="1"/>
        <v/>
      </c>
      <c r="AL46" t="str">
        <f t="shared" si="2"/>
        <v/>
      </c>
      <c r="AN46" t="str">
        <f t="shared" si="3"/>
        <v/>
      </c>
      <c r="AQ46" t="str">
        <f t="shared" si="4"/>
        <v/>
      </c>
      <c r="AR46" t="str">
        <f t="shared" si="5"/>
        <v/>
      </c>
      <c r="AS46" t="str">
        <f t="shared" si="6"/>
        <v/>
      </c>
      <c r="AT46" t="str">
        <f t="shared" si="7"/>
        <v/>
      </c>
      <c r="BG46" t="str">
        <f t="shared" si="8"/>
        <v/>
      </c>
      <c r="BH46" t="str">
        <f t="shared" si="9"/>
        <v/>
      </c>
      <c r="BL46" t="str">
        <f>IFERROR(INDEX(_names_lookup!$C:$C,MATCH(BK46,_names_lookup!$A:$A,0)),"")</f>
        <v/>
      </c>
      <c r="BM46" t="str">
        <f>IFERROR(INDEX(_names_lookup!$B:$B,MATCH(BK46,_names_lookup!$A:$A,0)),"")</f>
        <v/>
      </c>
      <c r="BS46" t="str">
        <f t="shared" si="10"/>
        <v/>
      </c>
    </row>
    <row r="47" spans="15:71" x14ac:dyDescent="0.2">
      <c r="O47" t="str">
        <f>IFERROR(INDEX(_courses_lookup!$C:$C,MATCH(K47&amp;L47,_courses_lookup!$E:$E,0)),"")</f>
        <v/>
      </c>
      <c r="P47" t="str">
        <f>IFERROR(INDEX(_courses_lookup!$D:$D,MATCH(K47&amp;L47,_courses_lookup!$E:$E,0)),"")</f>
        <v/>
      </c>
      <c r="AG47" t="str">
        <f t="shared" si="0"/>
        <v/>
      </c>
      <c r="AI47" t="str">
        <f t="shared" si="1"/>
        <v/>
      </c>
      <c r="AL47" t="str">
        <f t="shared" si="2"/>
        <v/>
      </c>
      <c r="AN47" t="str">
        <f t="shared" si="3"/>
        <v/>
      </c>
      <c r="AQ47" t="str">
        <f t="shared" si="4"/>
        <v/>
      </c>
      <c r="AR47" t="str">
        <f t="shared" si="5"/>
        <v/>
      </c>
      <c r="AS47" t="str">
        <f t="shared" si="6"/>
        <v/>
      </c>
      <c r="AT47" t="str">
        <f t="shared" si="7"/>
        <v/>
      </c>
      <c r="BG47" t="str">
        <f t="shared" si="8"/>
        <v/>
      </c>
      <c r="BH47" t="str">
        <f t="shared" si="9"/>
        <v/>
      </c>
      <c r="BL47" t="str">
        <f>IFERROR(INDEX(_names_lookup!$C:$C,MATCH(BK47,_names_lookup!$A:$A,0)),"")</f>
        <v/>
      </c>
      <c r="BM47" t="str">
        <f>IFERROR(INDEX(_names_lookup!$B:$B,MATCH(BK47,_names_lookup!$A:$A,0)),"")</f>
        <v/>
      </c>
      <c r="BS47" t="str">
        <f t="shared" si="10"/>
        <v/>
      </c>
    </row>
    <row r="48" spans="15:71" x14ac:dyDescent="0.2">
      <c r="O48" t="str">
        <f>IFERROR(INDEX(_courses_lookup!$C:$C,MATCH(K48&amp;L48,_courses_lookup!$E:$E,0)),"")</f>
        <v/>
      </c>
      <c r="P48" t="str">
        <f>IFERROR(INDEX(_courses_lookup!$D:$D,MATCH(K48&amp;L48,_courses_lookup!$E:$E,0)),"")</f>
        <v/>
      </c>
      <c r="AG48" t="str">
        <f t="shared" si="0"/>
        <v/>
      </c>
      <c r="AI48" t="str">
        <f t="shared" si="1"/>
        <v/>
      </c>
      <c r="AL48" t="str">
        <f t="shared" si="2"/>
        <v/>
      </c>
      <c r="AN48" t="str">
        <f t="shared" si="3"/>
        <v/>
      </c>
      <c r="AQ48" t="str">
        <f t="shared" si="4"/>
        <v/>
      </c>
      <c r="AR48" t="str">
        <f t="shared" si="5"/>
        <v/>
      </c>
      <c r="AS48" t="str">
        <f t="shared" si="6"/>
        <v/>
      </c>
      <c r="AT48" t="str">
        <f t="shared" si="7"/>
        <v/>
      </c>
      <c r="BG48" t="str">
        <f t="shared" si="8"/>
        <v/>
      </c>
      <c r="BH48" t="str">
        <f t="shared" si="9"/>
        <v/>
      </c>
      <c r="BL48" t="str">
        <f>IFERROR(INDEX(_names_lookup!$C:$C,MATCH(BK48,_names_lookup!$A:$A,0)),"")</f>
        <v/>
      </c>
      <c r="BM48" t="str">
        <f>IFERROR(INDEX(_names_lookup!$B:$B,MATCH(BK48,_names_lookup!$A:$A,0)),"")</f>
        <v/>
      </c>
      <c r="BS48" t="str">
        <f t="shared" si="10"/>
        <v/>
      </c>
    </row>
    <row r="49" spans="15:71" x14ac:dyDescent="0.2">
      <c r="O49" t="str">
        <f>IFERROR(INDEX(_courses_lookup!$C:$C,MATCH(K49&amp;L49,_courses_lookup!$E:$E,0)),"")</f>
        <v/>
      </c>
      <c r="P49" t="str">
        <f>IFERROR(INDEX(_courses_lookup!$D:$D,MATCH(K49&amp;L49,_courses_lookup!$E:$E,0)),"")</f>
        <v/>
      </c>
      <c r="AG49" t="str">
        <f t="shared" si="0"/>
        <v/>
      </c>
      <c r="AI49" t="str">
        <f t="shared" si="1"/>
        <v/>
      </c>
      <c r="AL49" t="str">
        <f t="shared" si="2"/>
        <v/>
      </c>
      <c r="AN49" t="str">
        <f t="shared" si="3"/>
        <v/>
      </c>
      <c r="AQ49" t="str">
        <f t="shared" si="4"/>
        <v/>
      </c>
      <c r="AR49" t="str">
        <f t="shared" si="5"/>
        <v/>
      </c>
      <c r="AS49" t="str">
        <f t="shared" si="6"/>
        <v/>
      </c>
      <c r="AT49" t="str">
        <f t="shared" si="7"/>
        <v/>
      </c>
      <c r="BG49" t="str">
        <f t="shared" si="8"/>
        <v/>
      </c>
      <c r="BH49" t="str">
        <f t="shared" si="9"/>
        <v/>
      </c>
      <c r="BL49" t="str">
        <f>IFERROR(INDEX(_names_lookup!$C:$C,MATCH(BK49,_names_lookup!$A:$A,0)),"")</f>
        <v/>
      </c>
      <c r="BM49" t="str">
        <f>IFERROR(INDEX(_names_lookup!$B:$B,MATCH(BK49,_names_lookup!$A:$A,0)),"")</f>
        <v/>
      </c>
      <c r="BS49" t="str">
        <f t="shared" si="10"/>
        <v/>
      </c>
    </row>
    <row r="50" spans="15:71" x14ac:dyDescent="0.2">
      <c r="O50" t="str">
        <f>IFERROR(INDEX(_courses_lookup!$C:$C,MATCH(K50&amp;L50,_courses_lookup!$E:$E,0)),"")</f>
        <v/>
      </c>
      <c r="P50" t="str">
        <f>IFERROR(INDEX(_courses_lookup!$D:$D,MATCH(K50&amp;L50,_courses_lookup!$E:$E,0)),"")</f>
        <v/>
      </c>
      <c r="AG50" t="str">
        <f t="shared" si="0"/>
        <v/>
      </c>
      <c r="AI50" t="str">
        <f t="shared" si="1"/>
        <v/>
      </c>
      <c r="AL50" t="str">
        <f t="shared" si="2"/>
        <v/>
      </c>
      <c r="AN50" t="str">
        <f t="shared" si="3"/>
        <v/>
      </c>
      <c r="AQ50" t="str">
        <f t="shared" si="4"/>
        <v/>
      </c>
      <c r="AR50" t="str">
        <f t="shared" si="5"/>
        <v/>
      </c>
      <c r="AS50" t="str">
        <f t="shared" si="6"/>
        <v/>
      </c>
      <c r="AT50" t="str">
        <f t="shared" si="7"/>
        <v/>
      </c>
      <c r="BG50" t="str">
        <f t="shared" si="8"/>
        <v/>
      </c>
      <c r="BH50" t="str">
        <f t="shared" si="9"/>
        <v/>
      </c>
      <c r="BL50" t="str">
        <f>IFERROR(INDEX(_names_lookup!$C:$C,MATCH(BK50,_names_lookup!$A:$A,0)),"")</f>
        <v/>
      </c>
      <c r="BM50" t="str">
        <f>IFERROR(INDEX(_names_lookup!$B:$B,MATCH(BK50,_names_lookup!$A:$A,0)),"")</f>
        <v/>
      </c>
      <c r="BS50" t="str">
        <f t="shared" si="10"/>
        <v/>
      </c>
    </row>
    <row r="51" spans="15:71" x14ac:dyDescent="0.2">
      <c r="O51" t="str">
        <f>IFERROR(INDEX(_courses_lookup!$C:$C,MATCH(K51&amp;L51,_courses_lookup!$E:$E,0)),"")</f>
        <v/>
      </c>
      <c r="P51" t="str">
        <f>IFERROR(INDEX(_courses_lookup!$D:$D,MATCH(K51&amp;L51,_courses_lookup!$E:$E,0)),"")</f>
        <v/>
      </c>
      <c r="AG51" t="str">
        <f t="shared" si="0"/>
        <v/>
      </c>
      <c r="AI51" t="str">
        <f t="shared" si="1"/>
        <v/>
      </c>
      <c r="AL51" t="str">
        <f t="shared" si="2"/>
        <v/>
      </c>
      <c r="AN51" t="str">
        <f t="shared" si="3"/>
        <v/>
      </c>
      <c r="AQ51" t="str">
        <f t="shared" si="4"/>
        <v/>
      </c>
      <c r="AR51" t="str">
        <f t="shared" si="5"/>
        <v/>
      </c>
      <c r="AS51" t="str">
        <f t="shared" si="6"/>
        <v/>
      </c>
      <c r="AT51" t="str">
        <f t="shared" si="7"/>
        <v/>
      </c>
      <c r="BG51" t="str">
        <f t="shared" si="8"/>
        <v/>
      </c>
      <c r="BH51" t="str">
        <f t="shared" si="9"/>
        <v/>
      </c>
      <c r="BL51" t="str">
        <f>IFERROR(INDEX(_names_lookup!$C:$C,MATCH(BK51,_names_lookup!$A:$A,0)),"")</f>
        <v/>
      </c>
      <c r="BM51" t="str">
        <f>IFERROR(INDEX(_names_lookup!$B:$B,MATCH(BK51,_names_lookup!$A:$A,0)),"")</f>
        <v/>
      </c>
      <c r="BS51" t="str">
        <f t="shared" si="10"/>
        <v/>
      </c>
    </row>
    <row r="52" spans="15:71" x14ac:dyDescent="0.2">
      <c r="O52" t="str">
        <f>IFERROR(INDEX(_courses_lookup!$C:$C,MATCH(K52&amp;L52,_courses_lookup!$E:$E,0)),"")</f>
        <v/>
      </c>
      <c r="P52" t="str">
        <f>IFERROR(INDEX(_courses_lookup!$D:$D,MATCH(K52&amp;L52,_courses_lookup!$E:$E,0)),"")</f>
        <v/>
      </c>
      <c r="AG52" t="str">
        <f t="shared" si="0"/>
        <v/>
      </c>
      <c r="AI52" t="str">
        <f t="shared" si="1"/>
        <v/>
      </c>
      <c r="AL52" t="str">
        <f t="shared" si="2"/>
        <v/>
      </c>
      <c r="AN52" t="str">
        <f t="shared" si="3"/>
        <v/>
      </c>
      <c r="AQ52" t="str">
        <f t="shared" si="4"/>
        <v/>
      </c>
      <c r="AR52" t="str">
        <f t="shared" si="5"/>
        <v/>
      </c>
      <c r="AS52" t="str">
        <f t="shared" si="6"/>
        <v/>
      </c>
      <c r="AT52" t="str">
        <f t="shared" si="7"/>
        <v/>
      </c>
      <c r="BG52" t="str">
        <f t="shared" si="8"/>
        <v/>
      </c>
      <c r="BH52" t="str">
        <f t="shared" si="9"/>
        <v/>
      </c>
      <c r="BL52" t="str">
        <f>IFERROR(INDEX(_names_lookup!$C:$C,MATCH(BK52,_names_lookup!$A:$A,0)),"")</f>
        <v/>
      </c>
      <c r="BM52" t="str">
        <f>IFERROR(INDEX(_names_lookup!$B:$B,MATCH(BK52,_names_lookup!$A:$A,0)),"")</f>
        <v/>
      </c>
      <c r="BS52" t="str">
        <f t="shared" si="10"/>
        <v/>
      </c>
    </row>
    <row r="53" spans="15:71" x14ac:dyDescent="0.2">
      <c r="O53" t="str">
        <f>IFERROR(INDEX(_courses_lookup!$C:$C,MATCH(K53&amp;L53,_courses_lookup!$E:$E,0)),"")</f>
        <v/>
      </c>
      <c r="P53" t="str">
        <f>IFERROR(INDEX(_courses_lookup!$D:$D,MATCH(K53&amp;L53,_courses_lookup!$E:$E,0)),"")</f>
        <v/>
      </c>
      <c r="AG53" t="str">
        <f t="shared" si="0"/>
        <v/>
      </c>
      <c r="AI53" t="str">
        <f t="shared" si="1"/>
        <v/>
      </c>
      <c r="AL53" t="str">
        <f t="shared" si="2"/>
        <v/>
      </c>
      <c r="AN53" t="str">
        <f t="shared" si="3"/>
        <v/>
      </c>
      <c r="AQ53" t="str">
        <f t="shared" si="4"/>
        <v/>
      </c>
      <c r="AR53" t="str">
        <f t="shared" si="5"/>
        <v/>
      </c>
      <c r="AS53" t="str">
        <f t="shared" si="6"/>
        <v/>
      </c>
      <c r="AT53" t="str">
        <f t="shared" si="7"/>
        <v/>
      </c>
      <c r="BG53" t="str">
        <f t="shared" si="8"/>
        <v/>
      </c>
      <c r="BH53" t="str">
        <f t="shared" si="9"/>
        <v/>
      </c>
      <c r="BL53" t="str">
        <f>IFERROR(INDEX(_names_lookup!$C:$C,MATCH(BK53,_names_lookup!$A:$A,0)),"")</f>
        <v/>
      </c>
      <c r="BM53" t="str">
        <f>IFERROR(INDEX(_names_lookup!$B:$B,MATCH(BK53,_names_lookup!$A:$A,0)),"")</f>
        <v/>
      </c>
      <c r="BS53" t="str">
        <f t="shared" si="10"/>
        <v/>
      </c>
    </row>
    <row r="54" spans="15:71" x14ac:dyDescent="0.2">
      <c r="O54" t="str">
        <f>IFERROR(INDEX(_courses_lookup!$C:$C,MATCH(K54&amp;L54,_courses_lookup!$E:$E,0)),"")</f>
        <v/>
      </c>
      <c r="P54" t="str">
        <f>IFERROR(INDEX(_courses_lookup!$D:$D,MATCH(K54&amp;L54,_courses_lookup!$E:$E,0)),"")</f>
        <v/>
      </c>
      <c r="AG54" t="str">
        <f t="shared" si="0"/>
        <v/>
      </c>
      <c r="AI54" t="str">
        <f t="shared" si="1"/>
        <v/>
      </c>
      <c r="AL54" t="str">
        <f t="shared" si="2"/>
        <v/>
      </c>
      <c r="AN54" t="str">
        <f t="shared" si="3"/>
        <v/>
      </c>
      <c r="AQ54" t="str">
        <f t="shared" si="4"/>
        <v/>
      </c>
      <c r="AR54" t="str">
        <f t="shared" si="5"/>
        <v/>
      </c>
      <c r="AS54" t="str">
        <f t="shared" si="6"/>
        <v/>
      </c>
      <c r="AT54" t="str">
        <f t="shared" si="7"/>
        <v/>
      </c>
      <c r="BG54" t="str">
        <f t="shared" si="8"/>
        <v/>
      </c>
      <c r="BH54" t="str">
        <f t="shared" si="9"/>
        <v/>
      </c>
      <c r="BL54" t="str">
        <f>IFERROR(INDEX(_names_lookup!$C:$C,MATCH(BK54,_names_lookup!$A:$A,0)),"")</f>
        <v/>
      </c>
      <c r="BM54" t="str">
        <f>IFERROR(INDEX(_names_lookup!$B:$B,MATCH(BK54,_names_lookup!$A:$A,0)),"")</f>
        <v/>
      </c>
      <c r="BS54" t="str">
        <f t="shared" si="10"/>
        <v/>
      </c>
    </row>
    <row r="55" spans="15:71" x14ac:dyDescent="0.2">
      <c r="O55" t="str">
        <f>IFERROR(INDEX(_courses_lookup!$C:$C,MATCH(K55&amp;L55,_courses_lookup!$E:$E,0)),"")</f>
        <v/>
      </c>
      <c r="P55" t="str">
        <f>IFERROR(INDEX(_courses_lookup!$D:$D,MATCH(K55&amp;L55,_courses_lookup!$E:$E,0)),"")</f>
        <v/>
      </c>
      <c r="AG55" t="str">
        <f t="shared" si="0"/>
        <v/>
      </c>
      <c r="AI55" t="str">
        <f t="shared" si="1"/>
        <v/>
      </c>
      <c r="AL55" t="str">
        <f t="shared" si="2"/>
        <v/>
      </c>
      <c r="AN55" t="str">
        <f t="shared" si="3"/>
        <v/>
      </c>
      <c r="AQ55" t="str">
        <f t="shared" si="4"/>
        <v/>
      </c>
      <c r="AR55" t="str">
        <f t="shared" si="5"/>
        <v/>
      </c>
      <c r="AS55" t="str">
        <f t="shared" si="6"/>
        <v/>
      </c>
      <c r="AT55" t="str">
        <f t="shared" si="7"/>
        <v/>
      </c>
      <c r="BG55" t="str">
        <f t="shared" si="8"/>
        <v/>
      </c>
      <c r="BH55" t="str">
        <f t="shared" si="9"/>
        <v/>
      </c>
      <c r="BL55" t="str">
        <f>IFERROR(INDEX(_names_lookup!$C:$C,MATCH(BK55,_names_lookup!$A:$A,0)),"")</f>
        <v/>
      </c>
      <c r="BM55" t="str">
        <f>IFERROR(INDEX(_names_lookup!$B:$B,MATCH(BK55,_names_lookup!$A:$A,0)),"")</f>
        <v/>
      </c>
      <c r="BS55" t="str">
        <f t="shared" si="10"/>
        <v/>
      </c>
    </row>
    <row r="56" spans="15:71" x14ac:dyDescent="0.2">
      <c r="O56" t="str">
        <f>IFERROR(INDEX(_courses_lookup!$C:$C,MATCH(K56&amp;L56,_courses_lookup!$E:$E,0)),"")</f>
        <v/>
      </c>
      <c r="P56" t="str">
        <f>IFERROR(INDEX(_courses_lookup!$D:$D,MATCH(K56&amp;L56,_courses_lookup!$E:$E,0)),"")</f>
        <v/>
      </c>
      <c r="AG56" t="str">
        <f t="shared" si="0"/>
        <v/>
      </c>
      <c r="AI56" t="str">
        <f t="shared" si="1"/>
        <v/>
      </c>
      <c r="AL56" t="str">
        <f t="shared" si="2"/>
        <v/>
      </c>
      <c r="AN56" t="str">
        <f t="shared" si="3"/>
        <v/>
      </c>
      <c r="AQ56" t="str">
        <f t="shared" si="4"/>
        <v/>
      </c>
      <c r="AR56" t="str">
        <f t="shared" si="5"/>
        <v/>
      </c>
      <c r="AS56" t="str">
        <f t="shared" si="6"/>
        <v/>
      </c>
      <c r="AT56" t="str">
        <f t="shared" si="7"/>
        <v/>
      </c>
      <c r="BG56" t="str">
        <f t="shared" si="8"/>
        <v/>
      </c>
      <c r="BH56" t="str">
        <f t="shared" si="9"/>
        <v/>
      </c>
      <c r="BL56" t="str">
        <f>IFERROR(INDEX(_names_lookup!$C:$C,MATCH(BK56,_names_lookup!$A:$A,0)),"")</f>
        <v/>
      </c>
      <c r="BM56" t="str">
        <f>IFERROR(INDEX(_names_lookup!$B:$B,MATCH(BK56,_names_lookup!$A:$A,0)),"")</f>
        <v/>
      </c>
      <c r="BS56" t="str">
        <f t="shared" si="10"/>
        <v/>
      </c>
    </row>
    <row r="57" spans="15:71" x14ac:dyDescent="0.2">
      <c r="O57" t="str">
        <f>IFERROR(INDEX(_courses_lookup!$C:$C,MATCH(K57&amp;L57,_courses_lookup!$E:$E,0)),"")</f>
        <v/>
      </c>
      <c r="P57" t="str">
        <f>IFERROR(INDEX(_courses_lookup!$D:$D,MATCH(K57&amp;L57,_courses_lookup!$E:$E,0)),"")</f>
        <v/>
      </c>
      <c r="AG57" t="str">
        <f t="shared" si="0"/>
        <v/>
      </c>
      <c r="AI57" t="str">
        <f t="shared" si="1"/>
        <v/>
      </c>
      <c r="AL57" t="str">
        <f t="shared" si="2"/>
        <v/>
      </c>
      <c r="AN57" t="str">
        <f t="shared" si="3"/>
        <v/>
      </c>
      <c r="AQ57" t="str">
        <f t="shared" si="4"/>
        <v/>
      </c>
      <c r="AR57" t="str">
        <f t="shared" si="5"/>
        <v/>
      </c>
      <c r="AS57" t="str">
        <f t="shared" si="6"/>
        <v/>
      </c>
      <c r="AT57" t="str">
        <f t="shared" si="7"/>
        <v/>
      </c>
      <c r="BG57" t="str">
        <f t="shared" si="8"/>
        <v/>
      </c>
      <c r="BH57" t="str">
        <f t="shared" si="9"/>
        <v/>
      </c>
      <c r="BL57" t="str">
        <f>IFERROR(INDEX(_names_lookup!$C:$C,MATCH(BK57,_names_lookup!$A:$A,0)),"")</f>
        <v/>
      </c>
      <c r="BM57" t="str">
        <f>IFERROR(INDEX(_names_lookup!$B:$B,MATCH(BK57,_names_lookup!$A:$A,0)),"")</f>
        <v/>
      </c>
      <c r="BS57" t="str">
        <f t="shared" si="10"/>
        <v/>
      </c>
    </row>
    <row r="58" spans="15:71" x14ac:dyDescent="0.2">
      <c r="O58" t="str">
        <f>IFERROR(INDEX(_courses_lookup!$C:$C,MATCH(K58&amp;L58,_courses_lookup!$E:$E,0)),"")</f>
        <v/>
      </c>
      <c r="P58" t="str">
        <f>IFERROR(INDEX(_courses_lookup!$D:$D,MATCH(K58&amp;L58,_courses_lookup!$E:$E,0)),"")</f>
        <v/>
      </c>
      <c r="AG58" t="str">
        <f t="shared" si="0"/>
        <v/>
      </c>
      <c r="AI58" t="str">
        <f t="shared" si="1"/>
        <v/>
      </c>
      <c r="AL58" t="str">
        <f t="shared" si="2"/>
        <v/>
      </c>
      <c r="AN58" t="str">
        <f t="shared" si="3"/>
        <v/>
      </c>
      <c r="AQ58" t="str">
        <f t="shared" si="4"/>
        <v/>
      </c>
      <c r="AR58" t="str">
        <f t="shared" si="5"/>
        <v/>
      </c>
      <c r="AS58" t="str">
        <f t="shared" si="6"/>
        <v/>
      </c>
      <c r="AT58" t="str">
        <f t="shared" si="7"/>
        <v/>
      </c>
      <c r="BG58" t="str">
        <f t="shared" si="8"/>
        <v/>
      </c>
      <c r="BH58" t="str">
        <f t="shared" si="9"/>
        <v/>
      </c>
      <c r="BL58" t="str">
        <f>IFERROR(INDEX(_names_lookup!$C:$C,MATCH(BK58,_names_lookup!$A:$A,0)),"")</f>
        <v/>
      </c>
      <c r="BM58" t="str">
        <f>IFERROR(INDEX(_names_lookup!$B:$B,MATCH(BK58,_names_lookup!$A:$A,0)),"")</f>
        <v/>
      </c>
      <c r="BS58" t="str">
        <f t="shared" si="10"/>
        <v/>
      </c>
    </row>
    <row r="59" spans="15:71" x14ac:dyDescent="0.2">
      <c r="O59" t="str">
        <f>IFERROR(INDEX(_courses_lookup!$C:$C,MATCH(K59&amp;L59,_courses_lookup!$E:$E,0)),"")</f>
        <v/>
      </c>
      <c r="P59" t="str">
        <f>IFERROR(INDEX(_courses_lookup!$D:$D,MATCH(K59&amp;L59,_courses_lookup!$E:$E,0)),"")</f>
        <v/>
      </c>
      <c r="AG59" t="str">
        <f t="shared" si="0"/>
        <v/>
      </c>
      <c r="AI59" t="str">
        <f t="shared" si="1"/>
        <v/>
      </c>
      <c r="AL59" t="str">
        <f t="shared" si="2"/>
        <v/>
      </c>
      <c r="AN59" t="str">
        <f t="shared" si="3"/>
        <v/>
      </c>
      <c r="AQ59" t="str">
        <f t="shared" si="4"/>
        <v/>
      </c>
      <c r="AR59" t="str">
        <f t="shared" si="5"/>
        <v/>
      </c>
      <c r="AS59" t="str">
        <f t="shared" si="6"/>
        <v/>
      </c>
      <c r="AT59" t="str">
        <f t="shared" si="7"/>
        <v/>
      </c>
      <c r="BG59" t="str">
        <f t="shared" si="8"/>
        <v/>
      </c>
      <c r="BH59" t="str">
        <f t="shared" si="9"/>
        <v/>
      </c>
      <c r="BL59" t="str">
        <f>IFERROR(INDEX(_names_lookup!$C:$C,MATCH(BK59,_names_lookup!$A:$A,0)),"")</f>
        <v/>
      </c>
      <c r="BM59" t="str">
        <f>IFERROR(INDEX(_names_lookup!$B:$B,MATCH(BK59,_names_lookup!$A:$A,0)),"")</f>
        <v/>
      </c>
      <c r="BS59" t="str">
        <f t="shared" si="10"/>
        <v/>
      </c>
    </row>
    <row r="60" spans="15:71" x14ac:dyDescent="0.2">
      <c r="O60" t="str">
        <f>IFERROR(INDEX(_courses_lookup!$C:$C,MATCH(K60&amp;L60,_courses_lookup!$E:$E,0)),"")</f>
        <v/>
      </c>
      <c r="P60" t="str">
        <f>IFERROR(INDEX(_courses_lookup!$D:$D,MATCH(K60&amp;L60,_courses_lookup!$E:$E,0)),"")</f>
        <v/>
      </c>
      <c r="AG60" t="str">
        <f t="shared" si="0"/>
        <v/>
      </c>
      <c r="AI60" t="str">
        <f t="shared" si="1"/>
        <v/>
      </c>
      <c r="AL60" t="str">
        <f t="shared" si="2"/>
        <v/>
      </c>
      <c r="AN60" t="str">
        <f t="shared" si="3"/>
        <v/>
      </c>
      <c r="AQ60" t="str">
        <f t="shared" si="4"/>
        <v/>
      </c>
      <c r="AR60" t="str">
        <f t="shared" si="5"/>
        <v/>
      </c>
      <c r="AS60" t="str">
        <f t="shared" si="6"/>
        <v/>
      </c>
      <c r="AT60" t="str">
        <f t="shared" si="7"/>
        <v/>
      </c>
      <c r="BG60" t="str">
        <f t="shared" si="8"/>
        <v/>
      </c>
      <c r="BH60" t="str">
        <f t="shared" si="9"/>
        <v/>
      </c>
      <c r="BL60" t="str">
        <f>IFERROR(INDEX(_names_lookup!$C:$C,MATCH(BK60,_names_lookup!$A:$A,0)),"")</f>
        <v/>
      </c>
      <c r="BM60" t="str">
        <f>IFERROR(INDEX(_names_lookup!$B:$B,MATCH(BK60,_names_lookup!$A:$A,0)),"")</f>
        <v/>
      </c>
      <c r="BS60" t="str">
        <f t="shared" si="10"/>
        <v/>
      </c>
    </row>
    <row r="61" spans="15:71" x14ac:dyDescent="0.2">
      <c r="O61" t="str">
        <f>IFERROR(INDEX(_courses_lookup!$C:$C,MATCH(K61&amp;L61,_courses_lookup!$E:$E,0)),"")</f>
        <v/>
      </c>
      <c r="P61" t="str">
        <f>IFERROR(INDEX(_courses_lookup!$D:$D,MATCH(K61&amp;L61,_courses_lookup!$E:$E,0)),"")</f>
        <v/>
      </c>
      <c r="AG61" t="str">
        <f t="shared" si="0"/>
        <v/>
      </c>
      <c r="AI61" t="str">
        <f t="shared" si="1"/>
        <v/>
      </c>
      <c r="AL61" t="str">
        <f t="shared" si="2"/>
        <v/>
      </c>
      <c r="AN61" t="str">
        <f t="shared" si="3"/>
        <v/>
      </c>
      <c r="AQ61" t="str">
        <f t="shared" si="4"/>
        <v/>
      </c>
      <c r="AR61" t="str">
        <f t="shared" si="5"/>
        <v/>
      </c>
      <c r="AS61" t="str">
        <f t="shared" si="6"/>
        <v/>
      </c>
      <c r="AT61" t="str">
        <f t="shared" si="7"/>
        <v/>
      </c>
      <c r="BG61" t="str">
        <f t="shared" si="8"/>
        <v/>
      </c>
      <c r="BH61" t="str">
        <f t="shared" si="9"/>
        <v/>
      </c>
      <c r="BL61" t="str">
        <f>IFERROR(INDEX(_names_lookup!$C:$C,MATCH(BK61,_names_lookup!$A:$A,0)),"")</f>
        <v/>
      </c>
      <c r="BM61" t="str">
        <f>IFERROR(INDEX(_names_lookup!$B:$B,MATCH(BK61,_names_lookup!$A:$A,0)),"")</f>
        <v/>
      </c>
      <c r="BS61" t="str">
        <f t="shared" si="10"/>
        <v/>
      </c>
    </row>
    <row r="62" spans="15:71" x14ac:dyDescent="0.2">
      <c r="O62" t="str">
        <f>IFERROR(INDEX(_courses_lookup!$C:$C,MATCH(K62&amp;L62,_courses_lookup!$E:$E,0)),"")</f>
        <v/>
      </c>
      <c r="P62" t="str">
        <f>IFERROR(INDEX(_courses_lookup!$D:$D,MATCH(K62&amp;L62,_courses_lookup!$E:$E,0)),"")</f>
        <v/>
      </c>
      <c r="AG62" t="str">
        <f t="shared" si="0"/>
        <v/>
      </c>
      <c r="AI62" t="str">
        <f t="shared" si="1"/>
        <v/>
      </c>
      <c r="AL62" t="str">
        <f t="shared" si="2"/>
        <v/>
      </c>
      <c r="AN62" t="str">
        <f t="shared" si="3"/>
        <v/>
      </c>
      <c r="AQ62" t="str">
        <f t="shared" si="4"/>
        <v/>
      </c>
      <c r="AR62" t="str">
        <f t="shared" si="5"/>
        <v/>
      </c>
      <c r="AS62" t="str">
        <f t="shared" si="6"/>
        <v/>
      </c>
      <c r="AT62" t="str">
        <f t="shared" si="7"/>
        <v/>
      </c>
      <c r="BG62" t="str">
        <f t="shared" si="8"/>
        <v/>
      </c>
      <c r="BH62" t="str">
        <f t="shared" si="9"/>
        <v/>
      </c>
      <c r="BL62" t="str">
        <f>IFERROR(INDEX(_names_lookup!$C:$C,MATCH(BK62,_names_lookup!$A:$A,0)),"")</f>
        <v/>
      </c>
      <c r="BM62" t="str">
        <f>IFERROR(INDEX(_names_lookup!$B:$B,MATCH(BK62,_names_lookup!$A:$A,0)),"")</f>
        <v/>
      </c>
      <c r="BS62" t="str">
        <f t="shared" si="10"/>
        <v/>
      </c>
    </row>
    <row r="63" spans="15:71" x14ac:dyDescent="0.2">
      <c r="O63" t="str">
        <f>IFERROR(INDEX(_courses_lookup!$C:$C,MATCH(K63&amp;L63,_courses_lookup!$E:$E,0)),"")</f>
        <v/>
      </c>
      <c r="P63" t="str">
        <f>IFERROR(INDEX(_courses_lookup!$D:$D,MATCH(K63&amp;L63,_courses_lookup!$E:$E,0)),"")</f>
        <v/>
      </c>
      <c r="AG63" t="str">
        <f t="shared" si="0"/>
        <v/>
      </c>
      <c r="AI63" t="str">
        <f t="shared" si="1"/>
        <v/>
      </c>
      <c r="AL63" t="str">
        <f t="shared" si="2"/>
        <v/>
      </c>
      <c r="AN63" t="str">
        <f t="shared" si="3"/>
        <v/>
      </c>
      <c r="AQ63" t="str">
        <f t="shared" si="4"/>
        <v/>
      </c>
      <c r="AR63" t="str">
        <f t="shared" si="5"/>
        <v/>
      </c>
      <c r="AS63" t="str">
        <f t="shared" si="6"/>
        <v/>
      </c>
      <c r="AT63" t="str">
        <f t="shared" si="7"/>
        <v/>
      </c>
      <c r="BG63" t="str">
        <f t="shared" si="8"/>
        <v/>
      </c>
      <c r="BH63" t="str">
        <f t="shared" si="9"/>
        <v/>
      </c>
      <c r="BL63" t="str">
        <f>IFERROR(INDEX(_names_lookup!$C:$C,MATCH(BK63,_names_lookup!$A:$A,0)),"")</f>
        <v/>
      </c>
      <c r="BM63" t="str">
        <f>IFERROR(INDEX(_names_lookup!$B:$B,MATCH(BK63,_names_lookup!$A:$A,0)),"")</f>
        <v/>
      </c>
      <c r="BS63" t="str">
        <f t="shared" si="10"/>
        <v/>
      </c>
    </row>
    <row r="64" spans="15:71" x14ac:dyDescent="0.2">
      <c r="O64" t="str">
        <f>IFERROR(INDEX(_courses_lookup!$C:$C,MATCH(K64&amp;L64,_courses_lookup!$E:$E,0)),"")</f>
        <v/>
      </c>
      <c r="P64" t="str">
        <f>IFERROR(INDEX(_courses_lookup!$D:$D,MATCH(K64&amp;L64,_courses_lookup!$E:$E,0)),"")</f>
        <v/>
      </c>
      <c r="AG64" t="str">
        <f t="shared" si="0"/>
        <v/>
      </c>
      <c r="AI64" t="str">
        <f t="shared" si="1"/>
        <v/>
      </c>
      <c r="AL64" t="str">
        <f t="shared" si="2"/>
        <v/>
      </c>
      <c r="AN64" t="str">
        <f t="shared" si="3"/>
        <v/>
      </c>
      <c r="AQ64" t="str">
        <f t="shared" si="4"/>
        <v/>
      </c>
      <c r="AR64" t="str">
        <f t="shared" si="5"/>
        <v/>
      </c>
      <c r="AS64" t="str">
        <f t="shared" si="6"/>
        <v/>
      </c>
      <c r="AT64" t="str">
        <f t="shared" si="7"/>
        <v/>
      </c>
      <c r="BG64" t="str">
        <f t="shared" si="8"/>
        <v/>
      </c>
      <c r="BH64" t="str">
        <f t="shared" si="9"/>
        <v/>
      </c>
      <c r="BL64" t="str">
        <f>IFERROR(INDEX(_names_lookup!$C:$C,MATCH(BK64,_names_lookup!$A:$A,0)),"")</f>
        <v/>
      </c>
      <c r="BM64" t="str">
        <f>IFERROR(INDEX(_names_lookup!$B:$B,MATCH(BK64,_names_lookup!$A:$A,0)),"")</f>
        <v/>
      </c>
      <c r="BS64" t="str">
        <f t="shared" si="10"/>
        <v/>
      </c>
    </row>
    <row r="65" spans="15:71" x14ac:dyDescent="0.2">
      <c r="O65" t="str">
        <f>IFERROR(INDEX(_courses_lookup!$C:$C,MATCH(K65&amp;L65,_courses_lookup!$E:$E,0)),"")</f>
        <v/>
      </c>
      <c r="P65" t="str">
        <f>IFERROR(INDEX(_courses_lookup!$D:$D,MATCH(K65&amp;L65,_courses_lookup!$E:$E,0)),"")</f>
        <v/>
      </c>
      <c r="AG65" t="str">
        <f t="shared" si="0"/>
        <v/>
      </c>
      <c r="AI65" t="str">
        <f t="shared" si="1"/>
        <v/>
      </c>
      <c r="AL65" t="str">
        <f t="shared" si="2"/>
        <v/>
      </c>
      <c r="AN65" t="str">
        <f t="shared" si="3"/>
        <v/>
      </c>
      <c r="AQ65" t="str">
        <f t="shared" si="4"/>
        <v/>
      </c>
      <c r="AR65" t="str">
        <f t="shared" si="5"/>
        <v/>
      </c>
      <c r="AS65" t="str">
        <f t="shared" si="6"/>
        <v/>
      </c>
      <c r="AT65" t="str">
        <f t="shared" si="7"/>
        <v/>
      </c>
      <c r="BG65" t="str">
        <f t="shared" si="8"/>
        <v/>
      </c>
      <c r="BH65" t="str">
        <f t="shared" si="9"/>
        <v/>
      </c>
      <c r="BL65" t="str">
        <f>IFERROR(INDEX(_names_lookup!$C:$C,MATCH(BK65,_names_lookup!$A:$A,0)),"")</f>
        <v/>
      </c>
      <c r="BM65" t="str">
        <f>IFERROR(INDEX(_names_lookup!$B:$B,MATCH(BK65,_names_lookup!$A:$A,0)),"")</f>
        <v/>
      </c>
      <c r="BS65" t="str">
        <f t="shared" si="10"/>
        <v/>
      </c>
    </row>
    <row r="66" spans="15:71" x14ac:dyDescent="0.2">
      <c r="O66" t="str">
        <f>IFERROR(INDEX(_courses_lookup!$C:$C,MATCH(K66&amp;L66,_courses_lookup!$E:$E,0)),"")</f>
        <v/>
      </c>
      <c r="P66" t="str">
        <f>IFERROR(INDEX(_courses_lookup!$D:$D,MATCH(K66&amp;L66,_courses_lookup!$E:$E,0)),"")</f>
        <v/>
      </c>
      <c r="AG66" t="str">
        <f t="shared" ref="AG66:AG129" si="11">IF(AND(AE66&lt;&gt;"",AF66&lt;&gt;""),ROUNDUP((AF66-AE66)/7,0),"")</f>
        <v/>
      </c>
      <c r="AI66" t="str">
        <f t="shared" ref="AI66:AI129" si="12">IFERROR(IF(AG66*AH66=0,"",AG66*AH66),"")</f>
        <v/>
      </c>
      <c r="AL66" t="str">
        <f t="shared" ref="AL66:AL129" si="13">IF(AND(AJ66&lt;&gt;"",AK66&lt;&gt;""),ROUNDUP((AK66-AJ66)/7,0),"")</f>
        <v/>
      </c>
      <c r="AN66" t="str">
        <f t="shared" ref="AN66:AN129" si="14">IFERROR(IF(AL66*AM66=0,"",AL66*AM66),"")</f>
        <v/>
      </c>
      <c r="AQ66" t="str">
        <f t="shared" ref="AQ66:AQ129" si="15">IF(AND(AO66&lt;&gt;"",AP66&lt;&gt;""),ROUNDUP((AP66-AO66)/7,0),"")</f>
        <v/>
      </c>
      <c r="AR66" t="str">
        <f t="shared" ref="AR66:AR129" si="16">IFERROR(IF((AU66-(AI66+AN66))/AQ66=0,"",ROUNDUP((AU66-(AI66+AN66))/AQ66,0)),"")</f>
        <v/>
      </c>
      <c r="AS66" t="str">
        <f t="shared" ref="AS66:AS129" si="17">IFERROR(IF((AU66-(AI66+AN66))=0,"",(AU66-(AI66+AN66))),"")</f>
        <v/>
      </c>
      <c r="AT66" t="str">
        <f t="shared" ref="AT66:AT129" si="18">IF(AND(AG66="",AQ66=""),AL66,IF(SUM(AG66,AL66,AQ66)=0,"",SUM(AG66,AL66,AQ66)))</f>
        <v/>
      </c>
      <c r="BG66" t="str">
        <f t="shared" ref="BG66:BG129" si="19">IF(AD66="","",YEAR(AD66)+IF(MONTH(AD66)&gt;=5,1,0))</f>
        <v/>
      </c>
      <c r="BH66" t="str">
        <f t="shared" ref="BH66:BH129" si="20">IF(AD66="","",IF(AND(MONTH(AD66)=8,DAY(AD66)&gt;=15),"Fall",IF(MONTH(AD66)&gt;8,"Fall",IF(MONTH(AD66)=5,"Summer",IF(MONTH(AD66)=1,"Spring","")))))</f>
        <v/>
      </c>
      <c r="BL66" t="str">
        <f>IFERROR(INDEX(_names_lookup!$C:$C,MATCH(BK66,_names_lookup!$A:$A,0)),"")</f>
        <v/>
      </c>
      <c r="BM66" t="str">
        <f>IFERROR(INDEX(_names_lookup!$B:$B,MATCH(BK66,_names_lookup!$A:$A,0)),"")</f>
        <v/>
      </c>
      <c r="BS66" t="str">
        <f t="shared" ref="BS66:BS129" si="21">IFERROR(IF(BR66*AA66=0,"",BR66*AA66),"")</f>
        <v/>
      </c>
    </row>
    <row r="67" spans="15:71" x14ac:dyDescent="0.2">
      <c r="O67" t="str">
        <f>IFERROR(INDEX(_courses_lookup!$C:$C,MATCH(K67&amp;L67,_courses_lookup!$E:$E,0)),"")</f>
        <v/>
      </c>
      <c r="P67" t="str">
        <f>IFERROR(INDEX(_courses_lookup!$D:$D,MATCH(K67&amp;L67,_courses_lookup!$E:$E,0)),"")</f>
        <v/>
      </c>
      <c r="AG67" t="str">
        <f t="shared" si="11"/>
        <v/>
      </c>
      <c r="AI67" t="str">
        <f t="shared" si="12"/>
        <v/>
      </c>
      <c r="AL67" t="str">
        <f t="shared" si="13"/>
        <v/>
      </c>
      <c r="AN67" t="str">
        <f t="shared" si="14"/>
        <v/>
      </c>
      <c r="AQ67" t="str">
        <f t="shared" si="15"/>
        <v/>
      </c>
      <c r="AR67" t="str">
        <f t="shared" si="16"/>
        <v/>
      </c>
      <c r="AS67" t="str">
        <f t="shared" si="17"/>
        <v/>
      </c>
      <c r="AT67" t="str">
        <f t="shared" si="18"/>
        <v/>
      </c>
      <c r="BG67" t="str">
        <f t="shared" si="19"/>
        <v/>
      </c>
      <c r="BH67" t="str">
        <f t="shared" si="20"/>
        <v/>
      </c>
      <c r="BL67" t="str">
        <f>IFERROR(INDEX(_names_lookup!$C:$C,MATCH(BK67,_names_lookup!$A:$A,0)),"")</f>
        <v/>
      </c>
      <c r="BM67" t="str">
        <f>IFERROR(INDEX(_names_lookup!$B:$B,MATCH(BK67,_names_lookup!$A:$A,0)),"")</f>
        <v/>
      </c>
      <c r="BS67" t="str">
        <f t="shared" si="21"/>
        <v/>
      </c>
    </row>
    <row r="68" spans="15:71" x14ac:dyDescent="0.2">
      <c r="O68" t="str">
        <f>IFERROR(INDEX(_courses_lookup!$C:$C,MATCH(K68&amp;L68,_courses_lookup!$E:$E,0)),"")</f>
        <v/>
      </c>
      <c r="P68" t="str">
        <f>IFERROR(INDEX(_courses_lookup!$D:$D,MATCH(K68&amp;L68,_courses_lookup!$E:$E,0)),"")</f>
        <v/>
      </c>
      <c r="AG68" t="str">
        <f t="shared" si="11"/>
        <v/>
      </c>
      <c r="AI68" t="str">
        <f t="shared" si="12"/>
        <v/>
      </c>
      <c r="AL68" t="str">
        <f t="shared" si="13"/>
        <v/>
      </c>
      <c r="AN68" t="str">
        <f t="shared" si="14"/>
        <v/>
      </c>
      <c r="AQ68" t="str">
        <f t="shared" si="15"/>
        <v/>
      </c>
      <c r="AR68" t="str">
        <f t="shared" si="16"/>
        <v/>
      </c>
      <c r="AS68" t="str">
        <f t="shared" si="17"/>
        <v/>
      </c>
      <c r="AT68" t="str">
        <f t="shared" si="18"/>
        <v/>
      </c>
      <c r="BG68" t="str">
        <f t="shared" si="19"/>
        <v/>
      </c>
      <c r="BH68" t="str">
        <f t="shared" si="20"/>
        <v/>
      </c>
      <c r="BL68" t="str">
        <f>IFERROR(INDEX(_names_lookup!$C:$C,MATCH(BK68,_names_lookup!$A:$A,0)),"")</f>
        <v/>
      </c>
      <c r="BM68" t="str">
        <f>IFERROR(INDEX(_names_lookup!$B:$B,MATCH(BK68,_names_lookup!$A:$A,0)),"")</f>
        <v/>
      </c>
      <c r="BS68" t="str">
        <f t="shared" si="21"/>
        <v/>
      </c>
    </row>
    <row r="69" spans="15:71" x14ac:dyDescent="0.2">
      <c r="O69" t="str">
        <f>IFERROR(INDEX(_courses_lookup!$C:$C,MATCH(K69&amp;L69,_courses_lookup!$E:$E,0)),"")</f>
        <v/>
      </c>
      <c r="P69" t="str">
        <f>IFERROR(INDEX(_courses_lookup!$D:$D,MATCH(K69&amp;L69,_courses_lookup!$E:$E,0)),"")</f>
        <v/>
      </c>
      <c r="AG69" t="str">
        <f t="shared" si="11"/>
        <v/>
      </c>
      <c r="AI69" t="str">
        <f t="shared" si="12"/>
        <v/>
      </c>
      <c r="AL69" t="str">
        <f t="shared" si="13"/>
        <v/>
      </c>
      <c r="AN69" t="str">
        <f t="shared" si="14"/>
        <v/>
      </c>
      <c r="AQ69" t="str">
        <f t="shared" si="15"/>
        <v/>
      </c>
      <c r="AR69" t="str">
        <f t="shared" si="16"/>
        <v/>
      </c>
      <c r="AS69" t="str">
        <f t="shared" si="17"/>
        <v/>
      </c>
      <c r="AT69" t="str">
        <f t="shared" si="18"/>
        <v/>
      </c>
      <c r="BG69" t="str">
        <f t="shared" si="19"/>
        <v/>
      </c>
      <c r="BH69" t="str">
        <f t="shared" si="20"/>
        <v/>
      </c>
      <c r="BL69" t="str">
        <f>IFERROR(INDEX(_names_lookup!$C:$C,MATCH(BK69,_names_lookup!$A:$A,0)),"")</f>
        <v/>
      </c>
      <c r="BM69" t="str">
        <f>IFERROR(INDEX(_names_lookup!$B:$B,MATCH(BK69,_names_lookup!$A:$A,0)),"")</f>
        <v/>
      </c>
      <c r="BS69" t="str">
        <f t="shared" si="21"/>
        <v/>
      </c>
    </row>
    <row r="70" spans="15:71" x14ac:dyDescent="0.2">
      <c r="O70" t="str">
        <f>IFERROR(INDEX(_courses_lookup!$C:$C,MATCH(K70&amp;L70,_courses_lookup!$E:$E,0)),"")</f>
        <v/>
      </c>
      <c r="P70" t="str">
        <f>IFERROR(INDEX(_courses_lookup!$D:$D,MATCH(K70&amp;L70,_courses_lookup!$E:$E,0)),"")</f>
        <v/>
      </c>
      <c r="AG70" t="str">
        <f t="shared" si="11"/>
        <v/>
      </c>
      <c r="AI70" t="str">
        <f t="shared" si="12"/>
        <v/>
      </c>
      <c r="AL70" t="str">
        <f t="shared" si="13"/>
        <v/>
      </c>
      <c r="AN70" t="str">
        <f t="shared" si="14"/>
        <v/>
      </c>
      <c r="AQ70" t="str">
        <f t="shared" si="15"/>
        <v/>
      </c>
      <c r="AR70" t="str">
        <f t="shared" si="16"/>
        <v/>
      </c>
      <c r="AS70" t="str">
        <f t="shared" si="17"/>
        <v/>
      </c>
      <c r="AT70" t="str">
        <f t="shared" si="18"/>
        <v/>
      </c>
      <c r="BG70" t="str">
        <f t="shared" si="19"/>
        <v/>
      </c>
      <c r="BH70" t="str">
        <f t="shared" si="20"/>
        <v/>
      </c>
      <c r="BL70" t="str">
        <f>IFERROR(INDEX(_names_lookup!$C:$C,MATCH(BK70,_names_lookup!$A:$A,0)),"")</f>
        <v/>
      </c>
      <c r="BM70" t="str">
        <f>IFERROR(INDEX(_names_lookup!$B:$B,MATCH(BK70,_names_lookup!$A:$A,0)),"")</f>
        <v/>
      </c>
      <c r="BS70" t="str">
        <f t="shared" si="21"/>
        <v/>
      </c>
    </row>
    <row r="71" spans="15:71" x14ac:dyDescent="0.2">
      <c r="O71" t="str">
        <f>IFERROR(INDEX(_courses_lookup!$C:$C,MATCH(K71&amp;L71,_courses_lookup!$E:$E,0)),"")</f>
        <v/>
      </c>
      <c r="P71" t="str">
        <f>IFERROR(INDEX(_courses_lookup!$D:$D,MATCH(K71&amp;L71,_courses_lookup!$E:$E,0)),"")</f>
        <v/>
      </c>
      <c r="AG71" t="str">
        <f t="shared" si="11"/>
        <v/>
      </c>
      <c r="AI71" t="str">
        <f t="shared" si="12"/>
        <v/>
      </c>
      <c r="AL71" t="str">
        <f t="shared" si="13"/>
        <v/>
      </c>
      <c r="AN71" t="str">
        <f t="shared" si="14"/>
        <v/>
      </c>
      <c r="AQ71" t="str">
        <f t="shared" si="15"/>
        <v/>
      </c>
      <c r="AR71" t="str">
        <f t="shared" si="16"/>
        <v/>
      </c>
      <c r="AS71" t="str">
        <f t="shared" si="17"/>
        <v/>
      </c>
      <c r="AT71" t="str">
        <f t="shared" si="18"/>
        <v/>
      </c>
      <c r="BG71" t="str">
        <f t="shared" si="19"/>
        <v/>
      </c>
      <c r="BH71" t="str">
        <f t="shared" si="20"/>
        <v/>
      </c>
      <c r="BL71" t="str">
        <f>IFERROR(INDEX(_names_lookup!$C:$C,MATCH(BK71,_names_lookup!$A:$A,0)),"")</f>
        <v/>
      </c>
      <c r="BM71" t="str">
        <f>IFERROR(INDEX(_names_lookup!$B:$B,MATCH(BK71,_names_lookup!$A:$A,0)),"")</f>
        <v/>
      </c>
      <c r="BS71" t="str">
        <f t="shared" si="21"/>
        <v/>
      </c>
    </row>
    <row r="72" spans="15:71" x14ac:dyDescent="0.2">
      <c r="O72" t="str">
        <f>IFERROR(INDEX(_courses_lookup!$C:$C,MATCH(K72&amp;L72,_courses_lookup!$E:$E,0)),"")</f>
        <v/>
      </c>
      <c r="P72" t="str">
        <f>IFERROR(INDEX(_courses_lookup!$D:$D,MATCH(K72&amp;L72,_courses_lookup!$E:$E,0)),"")</f>
        <v/>
      </c>
      <c r="AG72" t="str">
        <f t="shared" si="11"/>
        <v/>
      </c>
      <c r="AI72" t="str">
        <f t="shared" si="12"/>
        <v/>
      </c>
      <c r="AL72" t="str">
        <f t="shared" si="13"/>
        <v/>
      </c>
      <c r="AN72" t="str">
        <f t="shared" si="14"/>
        <v/>
      </c>
      <c r="AQ72" t="str">
        <f t="shared" si="15"/>
        <v/>
      </c>
      <c r="AR72" t="str">
        <f t="shared" si="16"/>
        <v/>
      </c>
      <c r="AS72" t="str">
        <f t="shared" si="17"/>
        <v/>
      </c>
      <c r="AT72" t="str">
        <f t="shared" si="18"/>
        <v/>
      </c>
      <c r="BG72" t="str">
        <f t="shared" si="19"/>
        <v/>
      </c>
      <c r="BH72" t="str">
        <f t="shared" si="20"/>
        <v/>
      </c>
      <c r="BL72" t="str">
        <f>IFERROR(INDEX(_names_lookup!$C:$C,MATCH(BK72,_names_lookup!$A:$A,0)),"")</f>
        <v/>
      </c>
      <c r="BM72" t="str">
        <f>IFERROR(INDEX(_names_lookup!$B:$B,MATCH(BK72,_names_lookup!$A:$A,0)),"")</f>
        <v/>
      </c>
      <c r="BS72" t="str">
        <f t="shared" si="21"/>
        <v/>
      </c>
    </row>
    <row r="73" spans="15:71" x14ac:dyDescent="0.2">
      <c r="O73" t="str">
        <f>IFERROR(INDEX(_courses_lookup!$C:$C,MATCH(K73&amp;L73,_courses_lookup!$E:$E,0)),"")</f>
        <v/>
      </c>
      <c r="P73" t="str">
        <f>IFERROR(INDEX(_courses_lookup!$D:$D,MATCH(K73&amp;L73,_courses_lookup!$E:$E,0)),"")</f>
        <v/>
      </c>
      <c r="AG73" t="str">
        <f t="shared" si="11"/>
        <v/>
      </c>
      <c r="AI73" t="str">
        <f t="shared" si="12"/>
        <v/>
      </c>
      <c r="AL73" t="str">
        <f t="shared" si="13"/>
        <v/>
      </c>
      <c r="AN73" t="str">
        <f t="shared" si="14"/>
        <v/>
      </c>
      <c r="AQ73" t="str">
        <f t="shared" si="15"/>
        <v/>
      </c>
      <c r="AR73" t="str">
        <f t="shared" si="16"/>
        <v/>
      </c>
      <c r="AS73" t="str">
        <f t="shared" si="17"/>
        <v/>
      </c>
      <c r="AT73" t="str">
        <f t="shared" si="18"/>
        <v/>
      </c>
      <c r="BG73" t="str">
        <f t="shared" si="19"/>
        <v/>
      </c>
      <c r="BH73" t="str">
        <f t="shared" si="20"/>
        <v/>
      </c>
      <c r="BL73" t="str">
        <f>IFERROR(INDEX(_names_lookup!$C:$C,MATCH(BK73,_names_lookup!$A:$A,0)),"")</f>
        <v/>
      </c>
      <c r="BM73" t="str">
        <f>IFERROR(INDEX(_names_lookup!$B:$B,MATCH(BK73,_names_lookup!$A:$A,0)),"")</f>
        <v/>
      </c>
      <c r="BS73" t="str">
        <f t="shared" si="21"/>
        <v/>
      </c>
    </row>
    <row r="74" spans="15:71" x14ac:dyDescent="0.2">
      <c r="O74" t="str">
        <f>IFERROR(INDEX(_courses_lookup!$C:$C,MATCH(K74&amp;L74,_courses_lookup!$E:$E,0)),"")</f>
        <v/>
      </c>
      <c r="P74" t="str">
        <f>IFERROR(INDEX(_courses_lookup!$D:$D,MATCH(K74&amp;L74,_courses_lookup!$E:$E,0)),"")</f>
        <v/>
      </c>
      <c r="AG74" t="str">
        <f t="shared" si="11"/>
        <v/>
      </c>
      <c r="AI74" t="str">
        <f t="shared" si="12"/>
        <v/>
      </c>
      <c r="AL74" t="str">
        <f t="shared" si="13"/>
        <v/>
      </c>
      <c r="AN74" t="str">
        <f t="shared" si="14"/>
        <v/>
      </c>
      <c r="AQ74" t="str">
        <f t="shared" si="15"/>
        <v/>
      </c>
      <c r="AR74" t="str">
        <f t="shared" si="16"/>
        <v/>
      </c>
      <c r="AS74" t="str">
        <f t="shared" si="17"/>
        <v/>
      </c>
      <c r="AT74" t="str">
        <f t="shared" si="18"/>
        <v/>
      </c>
      <c r="BG74" t="str">
        <f t="shared" si="19"/>
        <v/>
      </c>
      <c r="BH74" t="str">
        <f t="shared" si="20"/>
        <v/>
      </c>
      <c r="BL74" t="str">
        <f>IFERROR(INDEX(_names_lookup!$C:$C,MATCH(BK74,_names_lookup!$A:$A,0)),"")</f>
        <v/>
      </c>
      <c r="BM74" t="str">
        <f>IFERROR(INDEX(_names_lookup!$B:$B,MATCH(BK74,_names_lookup!$A:$A,0)),"")</f>
        <v/>
      </c>
      <c r="BS74" t="str">
        <f t="shared" si="21"/>
        <v/>
      </c>
    </row>
    <row r="75" spans="15:71" x14ac:dyDescent="0.2">
      <c r="O75" t="str">
        <f>IFERROR(INDEX(_courses_lookup!$C:$C,MATCH(K75&amp;L75,_courses_lookup!$E:$E,0)),"")</f>
        <v/>
      </c>
      <c r="P75" t="str">
        <f>IFERROR(INDEX(_courses_lookup!$D:$D,MATCH(K75&amp;L75,_courses_lookup!$E:$E,0)),"")</f>
        <v/>
      </c>
      <c r="AG75" t="str">
        <f t="shared" si="11"/>
        <v/>
      </c>
      <c r="AI75" t="str">
        <f t="shared" si="12"/>
        <v/>
      </c>
      <c r="AL75" t="str">
        <f t="shared" si="13"/>
        <v/>
      </c>
      <c r="AN75" t="str">
        <f t="shared" si="14"/>
        <v/>
      </c>
      <c r="AQ75" t="str">
        <f t="shared" si="15"/>
        <v/>
      </c>
      <c r="AR75" t="str">
        <f t="shared" si="16"/>
        <v/>
      </c>
      <c r="AS75" t="str">
        <f t="shared" si="17"/>
        <v/>
      </c>
      <c r="AT75" t="str">
        <f t="shared" si="18"/>
        <v/>
      </c>
      <c r="BG75" t="str">
        <f t="shared" si="19"/>
        <v/>
      </c>
      <c r="BH75" t="str">
        <f t="shared" si="20"/>
        <v/>
      </c>
      <c r="BL75" t="str">
        <f>IFERROR(INDEX(_names_lookup!$C:$C,MATCH(BK75,_names_lookup!$A:$A,0)),"")</f>
        <v/>
      </c>
      <c r="BM75" t="str">
        <f>IFERROR(INDEX(_names_lookup!$B:$B,MATCH(BK75,_names_lookup!$A:$A,0)),"")</f>
        <v/>
      </c>
      <c r="BS75" t="str">
        <f t="shared" si="21"/>
        <v/>
      </c>
    </row>
    <row r="76" spans="15:71" x14ac:dyDescent="0.2">
      <c r="O76" t="str">
        <f>IFERROR(INDEX(_courses_lookup!$C:$C,MATCH(K76&amp;L76,_courses_lookup!$E:$E,0)),"")</f>
        <v/>
      </c>
      <c r="P76" t="str">
        <f>IFERROR(INDEX(_courses_lookup!$D:$D,MATCH(K76&amp;L76,_courses_lookup!$E:$E,0)),"")</f>
        <v/>
      </c>
      <c r="AG76" t="str">
        <f t="shared" si="11"/>
        <v/>
      </c>
      <c r="AI76" t="str">
        <f t="shared" si="12"/>
        <v/>
      </c>
      <c r="AL76" t="str">
        <f t="shared" si="13"/>
        <v/>
      </c>
      <c r="AN76" t="str">
        <f t="shared" si="14"/>
        <v/>
      </c>
      <c r="AQ76" t="str">
        <f t="shared" si="15"/>
        <v/>
      </c>
      <c r="AR76" t="str">
        <f t="shared" si="16"/>
        <v/>
      </c>
      <c r="AS76" t="str">
        <f t="shared" si="17"/>
        <v/>
      </c>
      <c r="AT76" t="str">
        <f t="shared" si="18"/>
        <v/>
      </c>
      <c r="BG76" t="str">
        <f t="shared" si="19"/>
        <v/>
      </c>
      <c r="BH76" t="str">
        <f t="shared" si="20"/>
        <v/>
      </c>
      <c r="BL76" t="str">
        <f>IFERROR(INDEX(_names_lookup!$C:$C,MATCH(BK76,_names_lookup!$A:$A,0)),"")</f>
        <v/>
      </c>
      <c r="BM76" t="str">
        <f>IFERROR(INDEX(_names_lookup!$B:$B,MATCH(BK76,_names_lookup!$A:$A,0)),"")</f>
        <v/>
      </c>
      <c r="BS76" t="str">
        <f t="shared" si="21"/>
        <v/>
      </c>
    </row>
    <row r="77" spans="15:71" x14ac:dyDescent="0.2">
      <c r="O77" t="str">
        <f>IFERROR(INDEX(_courses_lookup!$C:$C,MATCH(K77&amp;L77,_courses_lookup!$E:$E,0)),"")</f>
        <v/>
      </c>
      <c r="P77" t="str">
        <f>IFERROR(INDEX(_courses_lookup!$D:$D,MATCH(K77&amp;L77,_courses_lookup!$E:$E,0)),"")</f>
        <v/>
      </c>
      <c r="AG77" t="str">
        <f t="shared" si="11"/>
        <v/>
      </c>
      <c r="AI77" t="str">
        <f t="shared" si="12"/>
        <v/>
      </c>
      <c r="AL77" t="str">
        <f t="shared" si="13"/>
        <v/>
      </c>
      <c r="AN77" t="str">
        <f t="shared" si="14"/>
        <v/>
      </c>
      <c r="AQ77" t="str">
        <f t="shared" si="15"/>
        <v/>
      </c>
      <c r="AR77" t="str">
        <f t="shared" si="16"/>
        <v/>
      </c>
      <c r="AS77" t="str">
        <f t="shared" si="17"/>
        <v/>
      </c>
      <c r="AT77" t="str">
        <f t="shared" si="18"/>
        <v/>
      </c>
      <c r="BG77" t="str">
        <f t="shared" si="19"/>
        <v/>
      </c>
      <c r="BH77" t="str">
        <f t="shared" si="20"/>
        <v/>
      </c>
      <c r="BL77" t="str">
        <f>IFERROR(INDEX(_names_lookup!$C:$C,MATCH(BK77,_names_lookup!$A:$A,0)),"")</f>
        <v/>
      </c>
      <c r="BM77" t="str">
        <f>IFERROR(INDEX(_names_lookup!$B:$B,MATCH(BK77,_names_lookup!$A:$A,0)),"")</f>
        <v/>
      </c>
      <c r="BS77" t="str">
        <f t="shared" si="21"/>
        <v/>
      </c>
    </row>
    <row r="78" spans="15:71" x14ac:dyDescent="0.2">
      <c r="O78" t="str">
        <f>IFERROR(INDEX(_courses_lookup!$C:$C,MATCH(K78&amp;L78,_courses_lookup!$E:$E,0)),"")</f>
        <v/>
      </c>
      <c r="P78" t="str">
        <f>IFERROR(INDEX(_courses_lookup!$D:$D,MATCH(K78&amp;L78,_courses_lookup!$E:$E,0)),"")</f>
        <v/>
      </c>
      <c r="AG78" t="str">
        <f t="shared" si="11"/>
        <v/>
      </c>
      <c r="AI78" t="str">
        <f t="shared" si="12"/>
        <v/>
      </c>
      <c r="AL78" t="str">
        <f t="shared" si="13"/>
        <v/>
      </c>
      <c r="AN78" t="str">
        <f t="shared" si="14"/>
        <v/>
      </c>
      <c r="AQ78" t="str">
        <f t="shared" si="15"/>
        <v/>
      </c>
      <c r="AR78" t="str">
        <f t="shared" si="16"/>
        <v/>
      </c>
      <c r="AS78" t="str">
        <f t="shared" si="17"/>
        <v/>
      </c>
      <c r="AT78" t="str">
        <f t="shared" si="18"/>
        <v/>
      </c>
      <c r="BG78" t="str">
        <f t="shared" si="19"/>
        <v/>
      </c>
      <c r="BH78" t="str">
        <f t="shared" si="20"/>
        <v/>
      </c>
      <c r="BL78" t="str">
        <f>IFERROR(INDEX(_names_lookup!$C:$C,MATCH(BK78,_names_lookup!$A:$A,0)),"")</f>
        <v/>
      </c>
      <c r="BM78" t="str">
        <f>IFERROR(INDEX(_names_lookup!$B:$B,MATCH(BK78,_names_lookup!$A:$A,0)),"")</f>
        <v/>
      </c>
      <c r="BS78" t="str">
        <f t="shared" si="21"/>
        <v/>
      </c>
    </row>
    <row r="79" spans="15:71" x14ac:dyDescent="0.2">
      <c r="O79" t="str">
        <f>IFERROR(INDEX(_courses_lookup!$C:$C,MATCH(K79&amp;L79,_courses_lookup!$E:$E,0)),"")</f>
        <v/>
      </c>
      <c r="P79" t="str">
        <f>IFERROR(INDEX(_courses_lookup!$D:$D,MATCH(K79&amp;L79,_courses_lookup!$E:$E,0)),"")</f>
        <v/>
      </c>
      <c r="AG79" t="str">
        <f t="shared" si="11"/>
        <v/>
      </c>
      <c r="AI79" t="str">
        <f t="shared" si="12"/>
        <v/>
      </c>
      <c r="AL79" t="str">
        <f t="shared" si="13"/>
        <v/>
      </c>
      <c r="AN79" t="str">
        <f t="shared" si="14"/>
        <v/>
      </c>
      <c r="AQ79" t="str">
        <f t="shared" si="15"/>
        <v/>
      </c>
      <c r="AR79" t="str">
        <f t="shared" si="16"/>
        <v/>
      </c>
      <c r="AS79" t="str">
        <f t="shared" si="17"/>
        <v/>
      </c>
      <c r="AT79" t="str">
        <f t="shared" si="18"/>
        <v/>
      </c>
      <c r="BG79" t="str">
        <f t="shared" si="19"/>
        <v/>
      </c>
      <c r="BH79" t="str">
        <f t="shared" si="20"/>
        <v/>
      </c>
      <c r="BL79" t="str">
        <f>IFERROR(INDEX(_names_lookup!$C:$C,MATCH(BK79,_names_lookup!$A:$A,0)),"")</f>
        <v/>
      </c>
      <c r="BM79" t="str">
        <f>IFERROR(INDEX(_names_lookup!$B:$B,MATCH(BK79,_names_lookup!$A:$A,0)),"")</f>
        <v/>
      </c>
      <c r="BS79" t="str">
        <f t="shared" si="21"/>
        <v/>
      </c>
    </row>
    <row r="80" spans="15:71" x14ac:dyDescent="0.2">
      <c r="O80" t="str">
        <f>IFERROR(INDEX(_courses_lookup!$C:$C,MATCH(K80&amp;L80,_courses_lookup!$E:$E,0)),"")</f>
        <v/>
      </c>
      <c r="P80" t="str">
        <f>IFERROR(INDEX(_courses_lookup!$D:$D,MATCH(K80&amp;L80,_courses_lookup!$E:$E,0)),"")</f>
        <v/>
      </c>
      <c r="AG80" t="str">
        <f t="shared" si="11"/>
        <v/>
      </c>
      <c r="AI80" t="str">
        <f t="shared" si="12"/>
        <v/>
      </c>
      <c r="AL80" t="str">
        <f t="shared" si="13"/>
        <v/>
      </c>
      <c r="AN80" t="str">
        <f t="shared" si="14"/>
        <v/>
      </c>
      <c r="AQ80" t="str">
        <f t="shared" si="15"/>
        <v/>
      </c>
      <c r="AR80" t="str">
        <f t="shared" si="16"/>
        <v/>
      </c>
      <c r="AS80" t="str">
        <f t="shared" si="17"/>
        <v/>
      </c>
      <c r="AT80" t="str">
        <f t="shared" si="18"/>
        <v/>
      </c>
      <c r="BG80" t="str">
        <f t="shared" si="19"/>
        <v/>
      </c>
      <c r="BH80" t="str">
        <f t="shared" si="20"/>
        <v/>
      </c>
      <c r="BL80" t="str">
        <f>IFERROR(INDEX(_names_lookup!$C:$C,MATCH(BK80,_names_lookup!$A:$A,0)),"")</f>
        <v/>
      </c>
      <c r="BM80" t="str">
        <f>IFERROR(INDEX(_names_lookup!$B:$B,MATCH(BK80,_names_lookup!$A:$A,0)),"")</f>
        <v/>
      </c>
      <c r="BS80" t="str">
        <f t="shared" si="21"/>
        <v/>
      </c>
    </row>
    <row r="81" spans="15:71" x14ac:dyDescent="0.2">
      <c r="O81" t="str">
        <f>IFERROR(INDEX(_courses_lookup!$C:$C,MATCH(K81&amp;L81,_courses_lookup!$E:$E,0)),"")</f>
        <v/>
      </c>
      <c r="P81" t="str">
        <f>IFERROR(INDEX(_courses_lookup!$D:$D,MATCH(K81&amp;L81,_courses_lookup!$E:$E,0)),"")</f>
        <v/>
      </c>
      <c r="AG81" t="str">
        <f t="shared" si="11"/>
        <v/>
      </c>
      <c r="AI81" t="str">
        <f t="shared" si="12"/>
        <v/>
      </c>
      <c r="AL81" t="str">
        <f t="shared" si="13"/>
        <v/>
      </c>
      <c r="AN81" t="str">
        <f t="shared" si="14"/>
        <v/>
      </c>
      <c r="AQ81" t="str">
        <f t="shared" si="15"/>
        <v/>
      </c>
      <c r="AR81" t="str">
        <f t="shared" si="16"/>
        <v/>
      </c>
      <c r="AS81" t="str">
        <f t="shared" si="17"/>
        <v/>
      </c>
      <c r="AT81" t="str">
        <f t="shared" si="18"/>
        <v/>
      </c>
      <c r="BG81" t="str">
        <f t="shared" si="19"/>
        <v/>
      </c>
      <c r="BH81" t="str">
        <f t="shared" si="20"/>
        <v/>
      </c>
      <c r="BL81" t="str">
        <f>IFERROR(INDEX(_names_lookup!$C:$C,MATCH(BK81,_names_lookup!$A:$A,0)),"")</f>
        <v/>
      </c>
      <c r="BM81" t="str">
        <f>IFERROR(INDEX(_names_lookup!$B:$B,MATCH(BK81,_names_lookup!$A:$A,0)),"")</f>
        <v/>
      </c>
      <c r="BS81" t="str">
        <f t="shared" si="21"/>
        <v/>
      </c>
    </row>
    <row r="82" spans="15:71" x14ac:dyDescent="0.2">
      <c r="O82" t="str">
        <f>IFERROR(INDEX(_courses_lookup!$C:$C,MATCH(K82&amp;L82,_courses_lookup!$E:$E,0)),"")</f>
        <v/>
      </c>
      <c r="P82" t="str">
        <f>IFERROR(INDEX(_courses_lookup!$D:$D,MATCH(K82&amp;L82,_courses_lookup!$E:$E,0)),"")</f>
        <v/>
      </c>
      <c r="AG82" t="str">
        <f t="shared" si="11"/>
        <v/>
      </c>
      <c r="AI82" t="str">
        <f t="shared" si="12"/>
        <v/>
      </c>
      <c r="AL82" t="str">
        <f t="shared" si="13"/>
        <v/>
      </c>
      <c r="AN82" t="str">
        <f t="shared" si="14"/>
        <v/>
      </c>
      <c r="AQ82" t="str">
        <f t="shared" si="15"/>
        <v/>
      </c>
      <c r="AR82" t="str">
        <f t="shared" si="16"/>
        <v/>
      </c>
      <c r="AS82" t="str">
        <f t="shared" si="17"/>
        <v/>
      </c>
      <c r="AT82" t="str">
        <f t="shared" si="18"/>
        <v/>
      </c>
      <c r="BG82" t="str">
        <f t="shared" si="19"/>
        <v/>
      </c>
      <c r="BH82" t="str">
        <f t="shared" si="20"/>
        <v/>
      </c>
      <c r="BL82" t="str">
        <f>IFERROR(INDEX(_names_lookup!$C:$C,MATCH(BK82,_names_lookup!$A:$A,0)),"")</f>
        <v/>
      </c>
      <c r="BM82" t="str">
        <f>IFERROR(INDEX(_names_lookup!$B:$B,MATCH(BK82,_names_lookup!$A:$A,0)),"")</f>
        <v/>
      </c>
      <c r="BS82" t="str">
        <f t="shared" si="21"/>
        <v/>
      </c>
    </row>
    <row r="83" spans="15:71" x14ac:dyDescent="0.2">
      <c r="O83" t="str">
        <f>IFERROR(INDEX(_courses_lookup!$C:$C,MATCH(K83&amp;L83,_courses_lookup!$E:$E,0)),"")</f>
        <v/>
      </c>
      <c r="P83" t="str">
        <f>IFERROR(INDEX(_courses_lookup!$D:$D,MATCH(K83&amp;L83,_courses_lookup!$E:$E,0)),"")</f>
        <v/>
      </c>
      <c r="AG83" t="str">
        <f t="shared" si="11"/>
        <v/>
      </c>
      <c r="AI83" t="str">
        <f t="shared" si="12"/>
        <v/>
      </c>
      <c r="AL83" t="str">
        <f t="shared" si="13"/>
        <v/>
      </c>
      <c r="AN83" t="str">
        <f t="shared" si="14"/>
        <v/>
      </c>
      <c r="AQ83" t="str">
        <f t="shared" si="15"/>
        <v/>
      </c>
      <c r="AR83" t="str">
        <f t="shared" si="16"/>
        <v/>
      </c>
      <c r="AS83" t="str">
        <f t="shared" si="17"/>
        <v/>
      </c>
      <c r="AT83" t="str">
        <f t="shared" si="18"/>
        <v/>
      </c>
      <c r="BG83" t="str">
        <f t="shared" si="19"/>
        <v/>
      </c>
      <c r="BH83" t="str">
        <f t="shared" si="20"/>
        <v/>
      </c>
      <c r="BL83" t="str">
        <f>IFERROR(INDEX(_names_lookup!$C:$C,MATCH(BK83,_names_lookup!$A:$A,0)),"")</f>
        <v/>
      </c>
      <c r="BM83" t="str">
        <f>IFERROR(INDEX(_names_lookup!$B:$B,MATCH(BK83,_names_lookup!$A:$A,0)),"")</f>
        <v/>
      </c>
      <c r="BS83" t="str">
        <f t="shared" si="21"/>
        <v/>
      </c>
    </row>
    <row r="84" spans="15:71" x14ac:dyDescent="0.2">
      <c r="O84" t="str">
        <f>IFERROR(INDEX(_courses_lookup!$C:$C,MATCH(K84&amp;L84,_courses_lookup!$E:$E,0)),"")</f>
        <v/>
      </c>
      <c r="P84" t="str">
        <f>IFERROR(INDEX(_courses_lookup!$D:$D,MATCH(K84&amp;L84,_courses_lookup!$E:$E,0)),"")</f>
        <v/>
      </c>
      <c r="AG84" t="str">
        <f t="shared" si="11"/>
        <v/>
      </c>
      <c r="AI84" t="str">
        <f t="shared" si="12"/>
        <v/>
      </c>
      <c r="AL84" t="str">
        <f t="shared" si="13"/>
        <v/>
      </c>
      <c r="AN84" t="str">
        <f t="shared" si="14"/>
        <v/>
      </c>
      <c r="AQ84" t="str">
        <f t="shared" si="15"/>
        <v/>
      </c>
      <c r="AR84" t="str">
        <f t="shared" si="16"/>
        <v/>
      </c>
      <c r="AS84" t="str">
        <f t="shared" si="17"/>
        <v/>
      </c>
      <c r="AT84" t="str">
        <f t="shared" si="18"/>
        <v/>
      </c>
      <c r="BG84" t="str">
        <f t="shared" si="19"/>
        <v/>
      </c>
      <c r="BH84" t="str">
        <f t="shared" si="20"/>
        <v/>
      </c>
      <c r="BL84" t="str">
        <f>IFERROR(INDEX(_names_lookup!$C:$C,MATCH(BK84,_names_lookup!$A:$A,0)),"")</f>
        <v/>
      </c>
      <c r="BM84" t="str">
        <f>IFERROR(INDEX(_names_lookup!$B:$B,MATCH(BK84,_names_lookup!$A:$A,0)),"")</f>
        <v/>
      </c>
      <c r="BS84" t="str">
        <f t="shared" si="21"/>
        <v/>
      </c>
    </row>
    <row r="85" spans="15:71" x14ac:dyDescent="0.2">
      <c r="O85" t="str">
        <f>IFERROR(INDEX(_courses_lookup!$C:$C,MATCH(K85&amp;L85,_courses_lookup!$E:$E,0)),"")</f>
        <v/>
      </c>
      <c r="P85" t="str">
        <f>IFERROR(INDEX(_courses_lookup!$D:$D,MATCH(K85&amp;L85,_courses_lookup!$E:$E,0)),"")</f>
        <v/>
      </c>
      <c r="AG85" t="str">
        <f t="shared" si="11"/>
        <v/>
      </c>
      <c r="AI85" t="str">
        <f t="shared" si="12"/>
        <v/>
      </c>
      <c r="AL85" t="str">
        <f t="shared" si="13"/>
        <v/>
      </c>
      <c r="AN85" t="str">
        <f t="shared" si="14"/>
        <v/>
      </c>
      <c r="AQ85" t="str">
        <f t="shared" si="15"/>
        <v/>
      </c>
      <c r="AR85" t="str">
        <f t="shared" si="16"/>
        <v/>
      </c>
      <c r="AS85" t="str">
        <f t="shared" si="17"/>
        <v/>
      </c>
      <c r="AT85" t="str">
        <f t="shared" si="18"/>
        <v/>
      </c>
      <c r="BG85" t="str">
        <f t="shared" si="19"/>
        <v/>
      </c>
      <c r="BH85" t="str">
        <f t="shared" si="20"/>
        <v/>
      </c>
      <c r="BL85" t="str">
        <f>IFERROR(INDEX(_names_lookup!$C:$C,MATCH(BK85,_names_lookup!$A:$A,0)),"")</f>
        <v/>
      </c>
      <c r="BM85" t="str">
        <f>IFERROR(INDEX(_names_lookup!$B:$B,MATCH(BK85,_names_lookup!$A:$A,0)),"")</f>
        <v/>
      </c>
      <c r="BS85" t="str">
        <f t="shared" si="21"/>
        <v/>
      </c>
    </row>
    <row r="86" spans="15:71" x14ac:dyDescent="0.2">
      <c r="O86" t="str">
        <f>IFERROR(INDEX(_courses_lookup!$C:$C,MATCH(K86&amp;L86,_courses_lookup!$E:$E,0)),"")</f>
        <v/>
      </c>
      <c r="P86" t="str">
        <f>IFERROR(INDEX(_courses_lookup!$D:$D,MATCH(K86&amp;L86,_courses_lookup!$E:$E,0)),"")</f>
        <v/>
      </c>
      <c r="AG86" t="str">
        <f t="shared" si="11"/>
        <v/>
      </c>
      <c r="AI86" t="str">
        <f t="shared" si="12"/>
        <v/>
      </c>
      <c r="AL86" t="str">
        <f t="shared" si="13"/>
        <v/>
      </c>
      <c r="AN86" t="str">
        <f t="shared" si="14"/>
        <v/>
      </c>
      <c r="AQ86" t="str">
        <f t="shared" si="15"/>
        <v/>
      </c>
      <c r="AR86" t="str">
        <f t="shared" si="16"/>
        <v/>
      </c>
      <c r="AS86" t="str">
        <f t="shared" si="17"/>
        <v/>
      </c>
      <c r="AT86" t="str">
        <f t="shared" si="18"/>
        <v/>
      </c>
      <c r="BG86" t="str">
        <f t="shared" si="19"/>
        <v/>
      </c>
      <c r="BH86" t="str">
        <f t="shared" si="20"/>
        <v/>
      </c>
      <c r="BL86" t="str">
        <f>IFERROR(INDEX(_names_lookup!$C:$C,MATCH(BK86,_names_lookup!$A:$A,0)),"")</f>
        <v/>
      </c>
      <c r="BM86" t="str">
        <f>IFERROR(INDEX(_names_lookup!$B:$B,MATCH(BK86,_names_lookup!$A:$A,0)),"")</f>
        <v/>
      </c>
      <c r="BS86" t="str">
        <f t="shared" si="21"/>
        <v/>
      </c>
    </row>
    <row r="87" spans="15:71" x14ac:dyDescent="0.2">
      <c r="O87" t="str">
        <f>IFERROR(INDEX(_courses_lookup!$C:$C,MATCH(K87&amp;L87,_courses_lookup!$E:$E,0)),"")</f>
        <v/>
      </c>
      <c r="P87" t="str">
        <f>IFERROR(INDEX(_courses_lookup!$D:$D,MATCH(K87&amp;L87,_courses_lookup!$E:$E,0)),"")</f>
        <v/>
      </c>
      <c r="AG87" t="str">
        <f t="shared" si="11"/>
        <v/>
      </c>
      <c r="AI87" t="str">
        <f t="shared" si="12"/>
        <v/>
      </c>
      <c r="AL87" t="str">
        <f t="shared" si="13"/>
        <v/>
      </c>
      <c r="AN87" t="str">
        <f t="shared" si="14"/>
        <v/>
      </c>
      <c r="AQ87" t="str">
        <f t="shared" si="15"/>
        <v/>
      </c>
      <c r="AR87" t="str">
        <f t="shared" si="16"/>
        <v/>
      </c>
      <c r="AS87" t="str">
        <f t="shared" si="17"/>
        <v/>
      </c>
      <c r="AT87" t="str">
        <f t="shared" si="18"/>
        <v/>
      </c>
      <c r="BG87" t="str">
        <f t="shared" si="19"/>
        <v/>
      </c>
      <c r="BH87" t="str">
        <f t="shared" si="20"/>
        <v/>
      </c>
      <c r="BL87" t="str">
        <f>IFERROR(INDEX(_names_lookup!$C:$C,MATCH(BK87,_names_lookup!$A:$A,0)),"")</f>
        <v/>
      </c>
      <c r="BM87" t="str">
        <f>IFERROR(INDEX(_names_lookup!$B:$B,MATCH(BK87,_names_lookup!$A:$A,0)),"")</f>
        <v/>
      </c>
      <c r="BS87" t="str">
        <f t="shared" si="21"/>
        <v/>
      </c>
    </row>
    <row r="88" spans="15:71" x14ac:dyDescent="0.2">
      <c r="O88" t="str">
        <f>IFERROR(INDEX(_courses_lookup!$C:$C,MATCH(K88&amp;L88,_courses_lookup!$E:$E,0)),"")</f>
        <v/>
      </c>
      <c r="P88" t="str">
        <f>IFERROR(INDEX(_courses_lookup!$D:$D,MATCH(K88&amp;L88,_courses_lookup!$E:$E,0)),"")</f>
        <v/>
      </c>
      <c r="AG88" t="str">
        <f t="shared" si="11"/>
        <v/>
      </c>
      <c r="AI88" t="str">
        <f t="shared" si="12"/>
        <v/>
      </c>
      <c r="AL88" t="str">
        <f t="shared" si="13"/>
        <v/>
      </c>
      <c r="AN88" t="str">
        <f t="shared" si="14"/>
        <v/>
      </c>
      <c r="AQ88" t="str">
        <f t="shared" si="15"/>
        <v/>
      </c>
      <c r="AR88" t="str">
        <f t="shared" si="16"/>
        <v/>
      </c>
      <c r="AS88" t="str">
        <f t="shared" si="17"/>
        <v/>
      </c>
      <c r="AT88" t="str">
        <f t="shared" si="18"/>
        <v/>
      </c>
      <c r="BG88" t="str">
        <f t="shared" si="19"/>
        <v/>
      </c>
      <c r="BH88" t="str">
        <f t="shared" si="20"/>
        <v/>
      </c>
      <c r="BL88" t="str">
        <f>IFERROR(INDEX(_names_lookup!$C:$C,MATCH(BK88,_names_lookup!$A:$A,0)),"")</f>
        <v/>
      </c>
      <c r="BM88" t="str">
        <f>IFERROR(INDEX(_names_lookup!$B:$B,MATCH(BK88,_names_lookup!$A:$A,0)),"")</f>
        <v/>
      </c>
      <c r="BS88" t="str">
        <f t="shared" si="21"/>
        <v/>
      </c>
    </row>
    <row r="89" spans="15:71" x14ac:dyDescent="0.2">
      <c r="O89" t="str">
        <f>IFERROR(INDEX(_courses_lookup!$C:$C,MATCH(K89&amp;L89,_courses_lookup!$E:$E,0)),"")</f>
        <v/>
      </c>
      <c r="P89" t="str">
        <f>IFERROR(INDEX(_courses_lookup!$D:$D,MATCH(K89&amp;L89,_courses_lookup!$E:$E,0)),"")</f>
        <v/>
      </c>
      <c r="AG89" t="str">
        <f t="shared" si="11"/>
        <v/>
      </c>
      <c r="AI89" t="str">
        <f t="shared" si="12"/>
        <v/>
      </c>
      <c r="AL89" t="str">
        <f t="shared" si="13"/>
        <v/>
      </c>
      <c r="AN89" t="str">
        <f t="shared" si="14"/>
        <v/>
      </c>
      <c r="AQ89" t="str">
        <f t="shared" si="15"/>
        <v/>
      </c>
      <c r="AR89" t="str">
        <f t="shared" si="16"/>
        <v/>
      </c>
      <c r="AS89" t="str">
        <f t="shared" si="17"/>
        <v/>
      </c>
      <c r="AT89" t="str">
        <f t="shared" si="18"/>
        <v/>
      </c>
      <c r="BG89" t="str">
        <f t="shared" si="19"/>
        <v/>
      </c>
      <c r="BH89" t="str">
        <f t="shared" si="20"/>
        <v/>
      </c>
      <c r="BL89" t="str">
        <f>IFERROR(INDEX(_names_lookup!$C:$C,MATCH(BK89,_names_lookup!$A:$A,0)),"")</f>
        <v/>
      </c>
      <c r="BM89" t="str">
        <f>IFERROR(INDEX(_names_lookup!$B:$B,MATCH(BK89,_names_lookup!$A:$A,0)),"")</f>
        <v/>
      </c>
      <c r="BS89" t="str">
        <f t="shared" si="21"/>
        <v/>
      </c>
    </row>
    <row r="90" spans="15:71" x14ac:dyDescent="0.2">
      <c r="O90" t="str">
        <f>IFERROR(INDEX(_courses_lookup!$C:$C,MATCH(K90&amp;L90,_courses_lookup!$E:$E,0)),"")</f>
        <v/>
      </c>
      <c r="P90" t="str">
        <f>IFERROR(INDEX(_courses_lookup!$D:$D,MATCH(K90&amp;L90,_courses_lookup!$E:$E,0)),"")</f>
        <v/>
      </c>
      <c r="AG90" t="str">
        <f t="shared" si="11"/>
        <v/>
      </c>
      <c r="AI90" t="str">
        <f t="shared" si="12"/>
        <v/>
      </c>
      <c r="AL90" t="str">
        <f t="shared" si="13"/>
        <v/>
      </c>
      <c r="AN90" t="str">
        <f t="shared" si="14"/>
        <v/>
      </c>
      <c r="AQ90" t="str">
        <f t="shared" si="15"/>
        <v/>
      </c>
      <c r="AR90" t="str">
        <f t="shared" si="16"/>
        <v/>
      </c>
      <c r="AS90" t="str">
        <f t="shared" si="17"/>
        <v/>
      </c>
      <c r="AT90" t="str">
        <f t="shared" si="18"/>
        <v/>
      </c>
      <c r="BG90" t="str">
        <f t="shared" si="19"/>
        <v/>
      </c>
      <c r="BH90" t="str">
        <f t="shared" si="20"/>
        <v/>
      </c>
      <c r="BL90" t="str">
        <f>IFERROR(INDEX(_names_lookup!$C:$C,MATCH(BK90,_names_lookup!$A:$A,0)),"")</f>
        <v/>
      </c>
      <c r="BM90" t="str">
        <f>IFERROR(INDEX(_names_lookup!$B:$B,MATCH(BK90,_names_lookup!$A:$A,0)),"")</f>
        <v/>
      </c>
      <c r="BS90" t="str">
        <f t="shared" si="21"/>
        <v/>
      </c>
    </row>
    <row r="91" spans="15:71" x14ac:dyDescent="0.2">
      <c r="O91" t="str">
        <f>IFERROR(INDEX(_courses_lookup!$C:$C,MATCH(K91&amp;L91,_courses_lookup!$E:$E,0)),"")</f>
        <v/>
      </c>
      <c r="P91" t="str">
        <f>IFERROR(INDEX(_courses_lookup!$D:$D,MATCH(K91&amp;L91,_courses_lookup!$E:$E,0)),"")</f>
        <v/>
      </c>
      <c r="AG91" t="str">
        <f t="shared" si="11"/>
        <v/>
      </c>
      <c r="AI91" t="str">
        <f t="shared" si="12"/>
        <v/>
      </c>
      <c r="AL91" t="str">
        <f t="shared" si="13"/>
        <v/>
      </c>
      <c r="AN91" t="str">
        <f t="shared" si="14"/>
        <v/>
      </c>
      <c r="AQ91" t="str">
        <f t="shared" si="15"/>
        <v/>
      </c>
      <c r="AR91" t="str">
        <f t="shared" si="16"/>
        <v/>
      </c>
      <c r="AS91" t="str">
        <f t="shared" si="17"/>
        <v/>
      </c>
      <c r="AT91" t="str">
        <f t="shared" si="18"/>
        <v/>
      </c>
      <c r="BG91" t="str">
        <f t="shared" si="19"/>
        <v/>
      </c>
      <c r="BH91" t="str">
        <f t="shared" si="20"/>
        <v/>
      </c>
      <c r="BL91" t="str">
        <f>IFERROR(INDEX(_names_lookup!$C:$C,MATCH(BK91,_names_lookup!$A:$A,0)),"")</f>
        <v/>
      </c>
      <c r="BM91" t="str">
        <f>IFERROR(INDEX(_names_lookup!$B:$B,MATCH(BK91,_names_lookup!$A:$A,0)),"")</f>
        <v/>
      </c>
      <c r="BS91" t="str">
        <f t="shared" si="21"/>
        <v/>
      </c>
    </row>
    <row r="92" spans="15:71" x14ac:dyDescent="0.2">
      <c r="O92" t="str">
        <f>IFERROR(INDEX(_courses_lookup!$C:$C,MATCH(K92&amp;L92,_courses_lookup!$E:$E,0)),"")</f>
        <v/>
      </c>
      <c r="P92" t="str">
        <f>IFERROR(INDEX(_courses_lookup!$D:$D,MATCH(K92&amp;L92,_courses_lookup!$E:$E,0)),"")</f>
        <v/>
      </c>
      <c r="AG92" t="str">
        <f t="shared" si="11"/>
        <v/>
      </c>
      <c r="AI92" t="str">
        <f t="shared" si="12"/>
        <v/>
      </c>
      <c r="AL92" t="str">
        <f t="shared" si="13"/>
        <v/>
      </c>
      <c r="AN92" t="str">
        <f t="shared" si="14"/>
        <v/>
      </c>
      <c r="AQ92" t="str">
        <f t="shared" si="15"/>
        <v/>
      </c>
      <c r="AR92" t="str">
        <f t="shared" si="16"/>
        <v/>
      </c>
      <c r="AS92" t="str">
        <f t="shared" si="17"/>
        <v/>
      </c>
      <c r="AT92" t="str">
        <f t="shared" si="18"/>
        <v/>
      </c>
      <c r="BG92" t="str">
        <f t="shared" si="19"/>
        <v/>
      </c>
      <c r="BH92" t="str">
        <f t="shared" si="20"/>
        <v/>
      </c>
      <c r="BL92" t="str">
        <f>IFERROR(INDEX(_names_lookup!$C:$C,MATCH(BK92,_names_lookup!$A:$A,0)),"")</f>
        <v/>
      </c>
      <c r="BM92" t="str">
        <f>IFERROR(INDEX(_names_lookup!$B:$B,MATCH(BK92,_names_lookup!$A:$A,0)),"")</f>
        <v/>
      </c>
      <c r="BS92" t="str">
        <f t="shared" si="21"/>
        <v/>
      </c>
    </row>
    <row r="93" spans="15:71" x14ac:dyDescent="0.2">
      <c r="O93" t="str">
        <f>IFERROR(INDEX(_courses_lookup!$C:$C,MATCH(K93&amp;L93,_courses_lookup!$E:$E,0)),"")</f>
        <v/>
      </c>
      <c r="P93" t="str">
        <f>IFERROR(INDEX(_courses_lookup!$D:$D,MATCH(K93&amp;L93,_courses_lookup!$E:$E,0)),"")</f>
        <v/>
      </c>
      <c r="AG93" t="str">
        <f t="shared" si="11"/>
        <v/>
      </c>
      <c r="AI93" t="str">
        <f t="shared" si="12"/>
        <v/>
      </c>
      <c r="AL93" t="str">
        <f t="shared" si="13"/>
        <v/>
      </c>
      <c r="AN93" t="str">
        <f t="shared" si="14"/>
        <v/>
      </c>
      <c r="AQ93" t="str">
        <f t="shared" si="15"/>
        <v/>
      </c>
      <c r="AR93" t="str">
        <f t="shared" si="16"/>
        <v/>
      </c>
      <c r="AS93" t="str">
        <f t="shared" si="17"/>
        <v/>
      </c>
      <c r="AT93" t="str">
        <f t="shared" si="18"/>
        <v/>
      </c>
      <c r="BG93" t="str">
        <f t="shared" si="19"/>
        <v/>
      </c>
      <c r="BH93" t="str">
        <f t="shared" si="20"/>
        <v/>
      </c>
      <c r="BL93" t="str">
        <f>IFERROR(INDEX(_names_lookup!$C:$C,MATCH(BK93,_names_lookup!$A:$A,0)),"")</f>
        <v/>
      </c>
      <c r="BM93" t="str">
        <f>IFERROR(INDEX(_names_lookup!$B:$B,MATCH(BK93,_names_lookup!$A:$A,0)),"")</f>
        <v/>
      </c>
      <c r="BS93" t="str">
        <f t="shared" si="21"/>
        <v/>
      </c>
    </row>
    <row r="94" spans="15:71" x14ac:dyDescent="0.2">
      <c r="O94" t="str">
        <f>IFERROR(INDEX(_courses_lookup!$C:$C,MATCH(K94&amp;L94,_courses_lookup!$E:$E,0)),"")</f>
        <v/>
      </c>
      <c r="P94" t="str">
        <f>IFERROR(INDEX(_courses_lookup!$D:$D,MATCH(K94&amp;L94,_courses_lookup!$E:$E,0)),"")</f>
        <v/>
      </c>
      <c r="AG94" t="str">
        <f t="shared" si="11"/>
        <v/>
      </c>
      <c r="AI94" t="str">
        <f t="shared" si="12"/>
        <v/>
      </c>
      <c r="AL94" t="str">
        <f t="shared" si="13"/>
        <v/>
      </c>
      <c r="AN94" t="str">
        <f t="shared" si="14"/>
        <v/>
      </c>
      <c r="AQ94" t="str">
        <f t="shared" si="15"/>
        <v/>
      </c>
      <c r="AR94" t="str">
        <f t="shared" si="16"/>
        <v/>
      </c>
      <c r="AS94" t="str">
        <f t="shared" si="17"/>
        <v/>
      </c>
      <c r="AT94" t="str">
        <f t="shared" si="18"/>
        <v/>
      </c>
      <c r="BG94" t="str">
        <f t="shared" si="19"/>
        <v/>
      </c>
      <c r="BH94" t="str">
        <f t="shared" si="20"/>
        <v/>
      </c>
      <c r="BL94" t="str">
        <f>IFERROR(INDEX(_names_lookup!$C:$C,MATCH(BK94,_names_lookup!$A:$A,0)),"")</f>
        <v/>
      </c>
      <c r="BM94" t="str">
        <f>IFERROR(INDEX(_names_lookup!$B:$B,MATCH(BK94,_names_lookup!$A:$A,0)),"")</f>
        <v/>
      </c>
      <c r="BS94" t="str">
        <f t="shared" si="21"/>
        <v/>
      </c>
    </row>
    <row r="95" spans="15:71" x14ac:dyDescent="0.2">
      <c r="O95" t="str">
        <f>IFERROR(INDEX(_courses_lookup!$C:$C,MATCH(K95&amp;L95,_courses_lookup!$E:$E,0)),"")</f>
        <v/>
      </c>
      <c r="P95" t="str">
        <f>IFERROR(INDEX(_courses_lookup!$D:$D,MATCH(K95&amp;L95,_courses_lookup!$E:$E,0)),"")</f>
        <v/>
      </c>
      <c r="AG95" t="str">
        <f t="shared" si="11"/>
        <v/>
      </c>
      <c r="AI95" t="str">
        <f t="shared" si="12"/>
        <v/>
      </c>
      <c r="AL95" t="str">
        <f t="shared" si="13"/>
        <v/>
      </c>
      <c r="AN95" t="str">
        <f t="shared" si="14"/>
        <v/>
      </c>
      <c r="AQ95" t="str">
        <f t="shared" si="15"/>
        <v/>
      </c>
      <c r="AR95" t="str">
        <f t="shared" si="16"/>
        <v/>
      </c>
      <c r="AS95" t="str">
        <f t="shared" si="17"/>
        <v/>
      </c>
      <c r="AT95" t="str">
        <f t="shared" si="18"/>
        <v/>
      </c>
      <c r="BG95" t="str">
        <f t="shared" si="19"/>
        <v/>
      </c>
      <c r="BH95" t="str">
        <f t="shared" si="20"/>
        <v/>
      </c>
      <c r="BL95" t="str">
        <f>IFERROR(INDEX(_names_lookup!$C:$C,MATCH(BK95,_names_lookup!$A:$A,0)),"")</f>
        <v/>
      </c>
      <c r="BM95" t="str">
        <f>IFERROR(INDEX(_names_lookup!$B:$B,MATCH(BK95,_names_lookup!$A:$A,0)),"")</f>
        <v/>
      </c>
      <c r="BS95" t="str">
        <f t="shared" si="21"/>
        <v/>
      </c>
    </row>
    <row r="96" spans="15:71" x14ac:dyDescent="0.2">
      <c r="O96" t="str">
        <f>IFERROR(INDEX(_courses_lookup!$C:$C,MATCH(K96&amp;L96,_courses_lookup!$E:$E,0)),"")</f>
        <v/>
      </c>
      <c r="P96" t="str">
        <f>IFERROR(INDEX(_courses_lookup!$D:$D,MATCH(K96&amp;L96,_courses_lookup!$E:$E,0)),"")</f>
        <v/>
      </c>
      <c r="AG96" t="str">
        <f t="shared" si="11"/>
        <v/>
      </c>
      <c r="AI96" t="str">
        <f t="shared" si="12"/>
        <v/>
      </c>
      <c r="AL96" t="str">
        <f t="shared" si="13"/>
        <v/>
      </c>
      <c r="AN96" t="str">
        <f t="shared" si="14"/>
        <v/>
      </c>
      <c r="AQ96" t="str">
        <f t="shared" si="15"/>
        <v/>
      </c>
      <c r="AR96" t="str">
        <f t="shared" si="16"/>
        <v/>
      </c>
      <c r="AS96" t="str">
        <f t="shared" si="17"/>
        <v/>
      </c>
      <c r="AT96" t="str">
        <f t="shared" si="18"/>
        <v/>
      </c>
      <c r="BG96" t="str">
        <f t="shared" si="19"/>
        <v/>
      </c>
      <c r="BH96" t="str">
        <f t="shared" si="20"/>
        <v/>
      </c>
      <c r="BL96" t="str">
        <f>IFERROR(INDEX(_names_lookup!$C:$C,MATCH(BK96,_names_lookup!$A:$A,0)),"")</f>
        <v/>
      </c>
      <c r="BM96" t="str">
        <f>IFERROR(INDEX(_names_lookup!$B:$B,MATCH(BK96,_names_lookup!$A:$A,0)),"")</f>
        <v/>
      </c>
      <c r="BS96" t="str">
        <f t="shared" si="21"/>
        <v/>
      </c>
    </row>
    <row r="97" spans="15:71" x14ac:dyDescent="0.2">
      <c r="O97" t="str">
        <f>IFERROR(INDEX(_courses_lookup!$C:$C,MATCH(K97&amp;L97,_courses_lookup!$E:$E,0)),"")</f>
        <v/>
      </c>
      <c r="P97" t="str">
        <f>IFERROR(INDEX(_courses_lookup!$D:$D,MATCH(K97&amp;L97,_courses_lookup!$E:$E,0)),"")</f>
        <v/>
      </c>
      <c r="AG97" t="str">
        <f t="shared" si="11"/>
        <v/>
      </c>
      <c r="AI97" t="str">
        <f t="shared" si="12"/>
        <v/>
      </c>
      <c r="AL97" t="str">
        <f t="shared" si="13"/>
        <v/>
      </c>
      <c r="AN97" t="str">
        <f t="shared" si="14"/>
        <v/>
      </c>
      <c r="AQ97" t="str">
        <f t="shared" si="15"/>
        <v/>
      </c>
      <c r="AR97" t="str">
        <f t="shared" si="16"/>
        <v/>
      </c>
      <c r="AS97" t="str">
        <f t="shared" si="17"/>
        <v/>
      </c>
      <c r="AT97" t="str">
        <f t="shared" si="18"/>
        <v/>
      </c>
      <c r="BG97" t="str">
        <f t="shared" si="19"/>
        <v/>
      </c>
      <c r="BH97" t="str">
        <f t="shared" si="20"/>
        <v/>
      </c>
      <c r="BL97" t="str">
        <f>IFERROR(INDEX(_names_lookup!$C:$C,MATCH(BK97,_names_lookup!$A:$A,0)),"")</f>
        <v/>
      </c>
      <c r="BM97" t="str">
        <f>IFERROR(INDEX(_names_lookup!$B:$B,MATCH(BK97,_names_lookup!$A:$A,0)),"")</f>
        <v/>
      </c>
      <c r="BS97" t="str">
        <f t="shared" si="21"/>
        <v/>
      </c>
    </row>
    <row r="98" spans="15:71" x14ac:dyDescent="0.2">
      <c r="O98" t="str">
        <f>IFERROR(INDEX(_courses_lookup!$C:$C,MATCH(K98&amp;L98,_courses_lookup!$E:$E,0)),"")</f>
        <v/>
      </c>
      <c r="P98" t="str">
        <f>IFERROR(INDEX(_courses_lookup!$D:$D,MATCH(K98&amp;L98,_courses_lookup!$E:$E,0)),"")</f>
        <v/>
      </c>
      <c r="AG98" t="str">
        <f t="shared" si="11"/>
        <v/>
      </c>
      <c r="AI98" t="str">
        <f t="shared" si="12"/>
        <v/>
      </c>
      <c r="AL98" t="str">
        <f t="shared" si="13"/>
        <v/>
      </c>
      <c r="AN98" t="str">
        <f t="shared" si="14"/>
        <v/>
      </c>
      <c r="AQ98" t="str">
        <f t="shared" si="15"/>
        <v/>
      </c>
      <c r="AR98" t="str">
        <f t="shared" si="16"/>
        <v/>
      </c>
      <c r="AS98" t="str">
        <f t="shared" si="17"/>
        <v/>
      </c>
      <c r="AT98" t="str">
        <f t="shared" si="18"/>
        <v/>
      </c>
      <c r="BG98" t="str">
        <f t="shared" si="19"/>
        <v/>
      </c>
      <c r="BH98" t="str">
        <f t="shared" si="20"/>
        <v/>
      </c>
      <c r="BL98" t="str">
        <f>IFERROR(INDEX(_names_lookup!$C:$C,MATCH(BK98,_names_lookup!$A:$A,0)),"")</f>
        <v/>
      </c>
      <c r="BM98" t="str">
        <f>IFERROR(INDEX(_names_lookup!$B:$B,MATCH(BK98,_names_lookup!$A:$A,0)),"")</f>
        <v/>
      </c>
      <c r="BS98" t="str">
        <f t="shared" si="21"/>
        <v/>
      </c>
    </row>
    <row r="99" spans="15:71" x14ac:dyDescent="0.2">
      <c r="O99" t="str">
        <f>IFERROR(INDEX(_courses_lookup!$C:$C,MATCH(K99&amp;L99,_courses_lookup!$E:$E,0)),"")</f>
        <v/>
      </c>
      <c r="P99" t="str">
        <f>IFERROR(INDEX(_courses_lookup!$D:$D,MATCH(K99&amp;L99,_courses_lookup!$E:$E,0)),"")</f>
        <v/>
      </c>
      <c r="AG99" t="str">
        <f t="shared" si="11"/>
        <v/>
      </c>
      <c r="AI99" t="str">
        <f t="shared" si="12"/>
        <v/>
      </c>
      <c r="AL99" t="str">
        <f t="shared" si="13"/>
        <v/>
      </c>
      <c r="AN99" t="str">
        <f t="shared" si="14"/>
        <v/>
      </c>
      <c r="AQ99" t="str">
        <f t="shared" si="15"/>
        <v/>
      </c>
      <c r="AR99" t="str">
        <f t="shared" si="16"/>
        <v/>
      </c>
      <c r="AS99" t="str">
        <f t="shared" si="17"/>
        <v/>
      </c>
      <c r="AT99" t="str">
        <f t="shared" si="18"/>
        <v/>
      </c>
      <c r="BG99" t="str">
        <f t="shared" si="19"/>
        <v/>
      </c>
      <c r="BH99" t="str">
        <f t="shared" si="20"/>
        <v/>
      </c>
      <c r="BL99" t="str">
        <f>IFERROR(INDEX(_names_lookup!$C:$C,MATCH(BK99,_names_lookup!$A:$A,0)),"")</f>
        <v/>
      </c>
      <c r="BM99" t="str">
        <f>IFERROR(INDEX(_names_lookup!$B:$B,MATCH(BK99,_names_lookup!$A:$A,0)),"")</f>
        <v/>
      </c>
      <c r="BS99" t="str">
        <f t="shared" si="21"/>
        <v/>
      </c>
    </row>
    <row r="100" spans="15:71" x14ac:dyDescent="0.2">
      <c r="O100" t="str">
        <f>IFERROR(INDEX(_courses_lookup!$C:$C,MATCH(K100&amp;L100,_courses_lookup!$E:$E,0)),"")</f>
        <v/>
      </c>
      <c r="P100" t="str">
        <f>IFERROR(INDEX(_courses_lookup!$D:$D,MATCH(K100&amp;L100,_courses_lookup!$E:$E,0)),"")</f>
        <v/>
      </c>
      <c r="AG100" t="str">
        <f t="shared" si="11"/>
        <v/>
      </c>
      <c r="AI100" t="str">
        <f t="shared" si="12"/>
        <v/>
      </c>
      <c r="AL100" t="str">
        <f t="shared" si="13"/>
        <v/>
      </c>
      <c r="AN100" t="str">
        <f t="shared" si="14"/>
        <v/>
      </c>
      <c r="AQ100" t="str">
        <f t="shared" si="15"/>
        <v/>
      </c>
      <c r="AR100" t="str">
        <f t="shared" si="16"/>
        <v/>
      </c>
      <c r="AS100" t="str">
        <f t="shared" si="17"/>
        <v/>
      </c>
      <c r="AT100" t="str">
        <f t="shared" si="18"/>
        <v/>
      </c>
      <c r="BG100" t="str">
        <f t="shared" si="19"/>
        <v/>
      </c>
      <c r="BH100" t="str">
        <f t="shared" si="20"/>
        <v/>
      </c>
      <c r="BL100" t="str">
        <f>IFERROR(INDEX(_names_lookup!$C:$C,MATCH(BK100,_names_lookup!$A:$A,0)),"")</f>
        <v/>
      </c>
      <c r="BM100" t="str">
        <f>IFERROR(INDEX(_names_lookup!$B:$B,MATCH(BK100,_names_lookup!$A:$A,0)),"")</f>
        <v/>
      </c>
      <c r="BS100" t="str">
        <f t="shared" si="21"/>
        <v/>
      </c>
    </row>
    <row r="101" spans="15:71" x14ac:dyDescent="0.2">
      <c r="O101" t="str">
        <f>IFERROR(INDEX(_courses_lookup!$C:$C,MATCH(K101&amp;L101,_courses_lookup!$E:$E,0)),"")</f>
        <v/>
      </c>
      <c r="P101" t="str">
        <f>IFERROR(INDEX(_courses_lookup!$D:$D,MATCH(K101&amp;L101,_courses_lookup!$E:$E,0)),"")</f>
        <v/>
      </c>
      <c r="AG101" t="str">
        <f t="shared" si="11"/>
        <v/>
      </c>
      <c r="AI101" t="str">
        <f t="shared" si="12"/>
        <v/>
      </c>
      <c r="AL101" t="str">
        <f t="shared" si="13"/>
        <v/>
      </c>
      <c r="AN101" t="str">
        <f t="shared" si="14"/>
        <v/>
      </c>
      <c r="AQ101" t="str">
        <f t="shared" si="15"/>
        <v/>
      </c>
      <c r="AR101" t="str">
        <f t="shared" si="16"/>
        <v/>
      </c>
      <c r="AS101" t="str">
        <f t="shared" si="17"/>
        <v/>
      </c>
      <c r="AT101" t="str">
        <f t="shared" si="18"/>
        <v/>
      </c>
      <c r="BG101" t="str">
        <f t="shared" si="19"/>
        <v/>
      </c>
      <c r="BH101" t="str">
        <f t="shared" si="20"/>
        <v/>
      </c>
      <c r="BL101" t="str">
        <f>IFERROR(INDEX(_names_lookup!$C:$C,MATCH(BK101,_names_lookup!$A:$A,0)),"")</f>
        <v/>
      </c>
      <c r="BM101" t="str">
        <f>IFERROR(INDEX(_names_lookup!$B:$B,MATCH(BK101,_names_lookup!$A:$A,0)),"")</f>
        <v/>
      </c>
      <c r="BS101" t="str">
        <f t="shared" si="21"/>
        <v/>
      </c>
    </row>
    <row r="102" spans="15:71" x14ac:dyDescent="0.2">
      <c r="O102" t="str">
        <f>IFERROR(INDEX(_courses_lookup!$C:$C,MATCH(K102&amp;L102,_courses_lookup!$E:$E,0)),"")</f>
        <v/>
      </c>
      <c r="P102" t="str">
        <f>IFERROR(INDEX(_courses_lookup!$D:$D,MATCH(K102&amp;L102,_courses_lookup!$E:$E,0)),"")</f>
        <v/>
      </c>
      <c r="AG102" t="str">
        <f t="shared" si="11"/>
        <v/>
      </c>
      <c r="AI102" t="str">
        <f t="shared" si="12"/>
        <v/>
      </c>
      <c r="AL102" t="str">
        <f t="shared" si="13"/>
        <v/>
      </c>
      <c r="AN102" t="str">
        <f t="shared" si="14"/>
        <v/>
      </c>
      <c r="AQ102" t="str">
        <f t="shared" si="15"/>
        <v/>
      </c>
      <c r="AR102" t="str">
        <f t="shared" si="16"/>
        <v/>
      </c>
      <c r="AS102" t="str">
        <f t="shared" si="17"/>
        <v/>
      </c>
      <c r="AT102" t="str">
        <f t="shared" si="18"/>
        <v/>
      </c>
      <c r="BG102" t="str">
        <f t="shared" si="19"/>
        <v/>
      </c>
      <c r="BH102" t="str">
        <f t="shared" si="20"/>
        <v/>
      </c>
      <c r="BL102" t="str">
        <f>IFERROR(INDEX(_names_lookup!$C:$C,MATCH(BK102,_names_lookup!$A:$A,0)),"")</f>
        <v/>
      </c>
      <c r="BM102" t="str">
        <f>IFERROR(INDEX(_names_lookup!$B:$B,MATCH(BK102,_names_lookup!$A:$A,0)),"")</f>
        <v/>
      </c>
      <c r="BS102" t="str">
        <f t="shared" si="21"/>
        <v/>
      </c>
    </row>
    <row r="103" spans="15:71" x14ac:dyDescent="0.2">
      <c r="O103" t="str">
        <f>IFERROR(INDEX(_courses_lookup!$C:$C,MATCH(K103&amp;L103,_courses_lookup!$E:$E,0)),"")</f>
        <v/>
      </c>
      <c r="P103" t="str">
        <f>IFERROR(INDEX(_courses_lookup!$D:$D,MATCH(K103&amp;L103,_courses_lookup!$E:$E,0)),"")</f>
        <v/>
      </c>
      <c r="AG103" t="str">
        <f t="shared" si="11"/>
        <v/>
      </c>
      <c r="AI103" t="str">
        <f t="shared" si="12"/>
        <v/>
      </c>
      <c r="AL103" t="str">
        <f t="shared" si="13"/>
        <v/>
      </c>
      <c r="AN103" t="str">
        <f t="shared" si="14"/>
        <v/>
      </c>
      <c r="AQ103" t="str">
        <f t="shared" si="15"/>
        <v/>
      </c>
      <c r="AR103" t="str">
        <f t="shared" si="16"/>
        <v/>
      </c>
      <c r="AS103" t="str">
        <f t="shared" si="17"/>
        <v/>
      </c>
      <c r="AT103" t="str">
        <f t="shared" si="18"/>
        <v/>
      </c>
      <c r="BG103" t="str">
        <f t="shared" si="19"/>
        <v/>
      </c>
      <c r="BH103" t="str">
        <f t="shared" si="20"/>
        <v/>
      </c>
      <c r="BL103" t="str">
        <f>IFERROR(INDEX(_names_lookup!$C:$C,MATCH(BK103,_names_lookup!$A:$A,0)),"")</f>
        <v/>
      </c>
      <c r="BM103" t="str">
        <f>IFERROR(INDEX(_names_lookup!$B:$B,MATCH(BK103,_names_lookup!$A:$A,0)),"")</f>
        <v/>
      </c>
      <c r="BS103" t="str">
        <f t="shared" si="21"/>
        <v/>
      </c>
    </row>
    <row r="104" spans="15:71" x14ac:dyDescent="0.2">
      <c r="O104" t="str">
        <f>IFERROR(INDEX(_courses_lookup!$C:$C,MATCH(K104&amp;L104,_courses_lookup!$E:$E,0)),"")</f>
        <v/>
      </c>
      <c r="P104" t="str">
        <f>IFERROR(INDEX(_courses_lookup!$D:$D,MATCH(K104&amp;L104,_courses_lookup!$E:$E,0)),"")</f>
        <v/>
      </c>
      <c r="AG104" t="str">
        <f t="shared" si="11"/>
        <v/>
      </c>
      <c r="AI104" t="str">
        <f t="shared" si="12"/>
        <v/>
      </c>
      <c r="AL104" t="str">
        <f t="shared" si="13"/>
        <v/>
      </c>
      <c r="AN104" t="str">
        <f t="shared" si="14"/>
        <v/>
      </c>
      <c r="AQ104" t="str">
        <f t="shared" si="15"/>
        <v/>
      </c>
      <c r="AR104" t="str">
        <f t="shared" si="16"/>
        <v/>
      </c>
      <c r="AS104" t="str">
        <f t="shared" si="17"/>
        <v/>
      </c>
      <c r="AT104" t="str">
        <f t="shared" si="18"/>
        <v/>
      </c>
      <c r="BG104" t="str">
        <f t="shared" si="19"/>
        <v/>
      </c>
      <c r="BH104" t="str">
        <f t="shared" si="20"/>
        <v/>
      </c>
      <c r="BL104" t="str">
        <f>IFERROR(INDEX(_names_lookup!$C:$C,MATCH(BK104,_names_lookup!$A:$A,0)),"")</f>
        <v/>
      </c>
      <c r="BM104" t="str">
        <f>IFERROR(INDEX(_names_lookup!$B:$B,MATCH(BK104,_names_lookup!$A:$A,0)),"")</f>
        <v/>
      </c>
      <c r="BS104" t="str">
        <f t="shared" si="21"/>
        <v/>
      </c>
    </row>
    <row r="105" spans="15:71" x14ac:dyDescent="0.2">
      <c r="O105" t="str">
        <f>IFERROR(INDEX(_courses_lookup!$C:$C,MATCH(K105&amp;L105,_courses_lookup!$E:$E,0)),"")</f>
        <v/>
      </c>
      <c r="P105" t="str">
        <f>IFERROR(INDEX(_courses_lookup!$D:$D,MATCH(K105&amp;L105,_courses_lookup!$E:$E,0)),"")</f>
        <v/>
      </c>
      <c r="AG105" t="str">
        <f t="shared" si="11"/>
        <v/>
      </c>
      <c r="AI105" t="str">
        <f t="shared" si="12"/>
        <v/>
      </c>
      <c r="AL105" t="str">
        <f t="shared" si="13"/>
        <v/>
      </c>
      <c r="AN105" t="str">
        <f t="shared" si="14"/>
        <v/>
      </c>
      <c r="AQ105" t="str">
        <f t="shared" si="15"/>
        <v/>
      </c>
      <c r="AR105" t="str">
        <f t="shared" si="16"/>
        <v/>
      </c>
      <c r="AS105" t="str">
        <f t="shared" si="17"/>
        <v/>
      </c>
      <c r="AT105" t="str">
        <f t="shared" si="18"/>
        <v/>
      </c>
      <c r="BG105" t="str">
        <f t="shared" si="19"/>
        <v/>
      </c>
      <c r="BH105" t="str">
        <f t="shared" si="20"/>
        <v/>
      </c>
      <c r="BL105" t="str">
        <f>IFERROR(INDEX(_names_lookup!$C:$C,MATCH(BK105,_names_lookup!$A:$A,0)),"")</f>
        <v/>
      </c>
      <c r="BM105" t="str">
        <f>IFERROR(INDEX(_names_lookup!$B:$B,MATCH(BK105,_names_lookup!$A:$A,0)),"")</f>
        <v/>
      </c>
      <c r="BS105" t="str">
        <f t="shared" si="21"/>
        <v/>
      </c>
    </row>
    <row r="106" spans="15:71" x14ac:dyDescent="0.2">
      <c r="O106" t="str">
        <f>IFERROR(INDEX(_courses_lookup!$C:$C,MATCH(K106&amp;L106,_courses_lookup!$E:$E,0)),"")</f>
        <v/>
      </c>
      <c r="P106" t="str">
        <f>IFERROR(INDEX(_courses_lookup!$D:$D,MATCH(K106&amp;L106,_courses_lookup!$E:$E,0)),"")</f>
        <v/>
      </c>
      <c r="AG106" t="str">
        <f t="shared" si="11"/>
        <v/>
      </c>
      <c r="AI106" t="str">
        <f t="shared" si="12"/>
        <v/>
      </c>
      <c r="AL106" t="str">
        <f t="shared" si="13"/>
        <v/>
      </c>
      <c r="AN106" t="str">
        <f t="shared" si="14"/>
        <v/>
      </c>
      <c r="AQ106" t="str">
        <f t="shared" si="15"/>
        <v/>
      </c>
      <c r="AR106" t="str">
        <f t="shared" si="16"/>
        <v/>
      </c>
      <c r="AS106" t="str">
        <f t="shared" si="17"/>
        <v/>
      </c>
      <c r="AT106" t="str">
        <f t="shared" si="18"/>
        <v/>
      </c>
      <c r="BG106" t="str">
        <f t="shared" si="19"/>
        <v/>
      </c>
      <c r="BH106" t="str">
        <f t="shared" si="20"/>
        <v/>
      </c>
      <c r="BL106" t="str">
        <f>IFERROR(INDEX(_names_lookup!$C:$C,MATCH(BK106,_names_lookup!$A:$A,0)),"")</f>
        <v/>
      </c>
      <c r="BM106" t="str">
        <f>IFERROR(INDEX(_names_lookup!$B:$B,MATCH(BK106,_names_lookup!$A:$A,0)),"")</f>
        <v/>
      </c>
      <c r="BS106" t="str">
        <f t="shared" si="21"/>
        <v/>
      </c>
    </row>
    <row r="107" spans="15:71" x14ac:dyDescent="0.2">
      <c r="O107" t="str">
        <f>IFERROR(INDEX(_courses_lookup!$C:$C,MATCH(K107&amp;L107,_courses_lookup!$E:$E,0)),"")</f>
        <v/>
      </c>
      <c r="P107" t="str">
        <f>IFERROR(INDEX(_courses_lookup!$D:$D,MATCH(K107&amp;L107,_courses_lookup!$E:$E,0)),"")</f>
        <v/>
      </c>
      <c r="AG107" t="str">
        <f t="shared" si="11"/>
        <v/>
      </c>
      <c r="AI107" t="str">
        <f t="shared" si="12"/>
        <v/>
      </c>
      <c r="AL107" t="str">
        <f t="shared" si="13"/>
        <v/>
      </c>
      <c r="AN107" t="str">
        <f t="shared" si="14"/>
        <v/>
      </c>
      <c r="AQ107" t="str">
        <f t="shared" si="15"/>
        <v/>
      </c>
      <c r="AR107" t="str">
        <f t="shared" si="16"/>
        <v/>
      </c>
      <c r="AS107" t="str">
        <f t="shared" si="17"/>
        <v/>
      </c>
      <c r="AT107" t="str">
        <f t="shared" si="18"/>
        <v/>
      </c>
      <c r="BG107" t="str">
        <f t="shared" si="19"/>
        <v/>
      </c>
      <c r="BH107" t="str">
        <f t="shared" si="20"/>
        <v/>
      </c>
      <c r="BL107" t="str">
        <f>IFERROR(INDEX(_names_lookup!$C:$C,MATCH(BK107,_names_lookup!$A:$A,0)),"")</f>
        <v/>
      </c>
      <c r="BM107" t="str">
        <f>IFERROR(INDEX(_names_lookup!$B:$B,MATCH(BK107,_names_lookup!$A:$A,0)),"")</f>
        <v/>
      </c>
      <c r="BS107" t="str">
        <f t="shared" si="21"/>
        <v/>
      </c>
    </row>
    <row r="108" spans="15:71" x14ac:dyDescent="0.2">
      <c r="O108" t="str">
        <f>IFERROR(INDEX(_courses_lookup!$C:$C,MATCH(K108&amp;L108,_courses_lookup!$E:$E,0)),"")</f>
        <v/>
      </c>
      <c r="P108" t="str">
        <f>IFERROR(INDEX(_courses_lookup!$D:$D,MATCH(K108&amp;L108,_courses_lookup!$E:$E,0)),"")</f>
        <v/>
      </c>
      <c r="AG108" t="str">
        <f t="shared" si="11"/>
        <v/>
      </c>
      <c r="AI108" t="str">
        <f t="shared" si="12"/>
        <v/>
      </c>
      <c r="AL108" t="str">
        <f t="shared" si="13"/>
        <v/>
      </c>
      <c r="AN108" t="str">
        <f t="shared" si="14"/>
        <v/>
      </c>
      <c r="AQ108" t="str">
        <f t="shared" si="15"/>
        <v/>
      </c>
      <c r="AR108" t="str">
        <f t="shared" si="16"/>
        <v/>
      </c>
      <c r="AS108" t="str">
        <f t="shared" si="17"/>
        <v/>
      </c>
      <c r="AT108" t="str">
        <f t="shared" si="18"/>
        <v/>
      </c>
      <c r="BG108" t="str">
        <f t="shared" si="19"/>
        <v/>
      </c>
      <c r="BH108" t="str">
        <f t="shared" si="20"/>
        <v/>
      </c>
      <c r="BL108" t="str">
        <f>IFERROR(INDEX(_names_lookup!$C:$C,MATCH(BK108,_names_lookup!$A:$A,0)),"")</f>
        <v/>
      </c>
      <c r="BM108" t="str">
        <f>IFERROR(INDEX(_names_lookup!$B:$B,MATCH(BK108,_names_lookup!$A:$A,0)),"")</f>
        <v/>
      </c>
      <c r="BS108" t="str">
        <f t="shared" si="21"/>
        <v/>
      </c>
    </row>
    <row r="109" spans="15:71" x14ac:dyDescent="0.2">
      <c r="O109" t="str">
        <f>IFERROR(INDEX(_courses_lookup!$C:$C,MATCH(K109&amp;L109,_courses_lookup!$E:$E,0)),"")</f>
        <v/>
      </c>
      <c r="P109" t="str">
        <f>IFERROR(INDEX(_courses_lookup!$D:$D,MATCH(K109&amp;L109,_courses_lookup!$E:$E,0)),"")</f>
        <v/>
      </c>
      <c r="AG109" t="str">
        <f t="shared" si="11"/>
        <v/>
      </c>
      <c r="AI109" t="str">
        <f t="shared" si="12"/>
        <v/>
      </c>
      <c r="AL109" t="str">
        <f t="shared" si="13"/>
        <v/>
      </c>
      <c r="AN109" t="str">
        <f t="shared" si="14"/>
        <v/>
      </c>
      <c r="AQ109" t="str">
        <f t="shared" si="15"/>
        <v/>
      </c>
      <c r="AR109" t="str">
        <f t="shared" si="16"/>
        <v/>
      </c>
      <c r="AS109" t="str">
        <f t="shared" si="17"/>
        <v/>
      </c>
      <c r="AT109" t="str">
        <f t="shared" si="18"/>
        <v/>
      </c>
      <c r="BG109" t="str">
        <f t="shared" si="19"/>
        <v/>
      </c>
      <c r="BH109" t="str">
        <f t="shared" si="20"/>
        <v/>
      </c>
      <c r="BL109" t="str">
        <f>IFERROR(INDEX(_names_lookup!$C:$C,MATCH(BK109,_names_lookup!$A:$A,0)),"")</f>
        <v/>
      </c>
      <c r="BM109" t="str">
        <f>IFERROR(INDEX(_names_lookup!$B:$B,MATCH(BK109,_names_lookup!$A:$A,0)),"")</f>
        <v/>
      </c>
      <c r="BS109" t="str">
        <f t="shared" si="21"/>
        <v/>
      </c>
    </row>
    <row r="110" spans="15:71" x14ac:dyDescent="0.2">
      <c r="O110" t="str">
        <f>IFERROR(INDEX(_courses_lookup!$C:$C,MATCH(K110&amp;L110,_courses_lookup!$E:$E,0)),"")</f>
        <v/>
      </c>
      <c r="P110" t="str">
        <f>IFERROR(INDEX(_courses_lookup!$D:$D,MATCH(K110&amp;L110,_courses_lookup!$E:$E,0)),"")</f>
        <v/>
      </c>
      <c r="AG110" t="str">
        <f t="shared" si="11"/>
        <v/>
      </c>
      <c r="AI110" t="str">
        <f t="shared" si="12"/>
        <v/>
      </c>
      <c r="AL110" t="str">
        <f t="shared" si="13"/>
        <v/>
      </c>
      <c r="AN110" t="str">
        <f t="shared" si="14"/>
        <v/>
      </c>
      <c r="AQ110" t="str">
        <f t="shared" si="15"/>
        <v/>
      </c>
      <c r="AR110" t="str">
        <f t="shared" si="16"/>
        <v/>
      </c>
      <c r="AS110" t="str">
        <f t="shared" si="17"/>
        <v/>
      </c>
      <c r="AT110" t="str">
        <f t="shared" si="18"/>
        <v/>
      </c>
      <c r="BG110" t="str">
        <f t="shared" si="19"/>
        <v/>
      </c>
      <c r="BH110" t="str">
        <f t="shared" si="20"/>
        <v/>
      </c>
      <c r="BL110" t="str">
        <f>IFERROR(INDEX(_names_lookup!$C:$C,MATCH(BK110,_names_lookup!$A:$A,0)),"")</f>
        <v/>
      </c>
      <c r="BM110" t="str">
        <f>IFERROR(INDEX(_names_lookup!$B:$B,MATCH(BK110,_names_lookup!$A:$A,0)),"")</f>
        <v/>
      </c>
      <c r="BS110" t="str">
        <f t="shared" si="21"/>
        <v/>
      </c>
    </row>
    <row r="111" spans="15:71" x14ac:dyDescent="0.2">
      <c r="O111" t="str">
        <f>IFERROR(INDEX(_courses_lookup!$C:$C,MATCH(K111&amp;L111,_courses_lookup!$E:$E,0)),"")</f>
        <v/>
      </c>
      <c r="P111" t="str">
        <f>IFERROR(INDEX(_courses_lookup!$D:$D,MATCH(K111&amp;L111,_courses_lookup!$E:$E,0)),"")</f>
        <v/>
      </c>
      <c r="AG111" t="str">
        <f t="shared" si="11"/>
        <v/>
      </c>
      <c r="AI111" t="str">
        <f t="shared" si="12"/>
        <v/>
      </c>
      <c r="AL111" t="str">
        <f t="shared" si="13"/>
        <v/>
      </c>
      <c r="AN111" t="str">
        <f t="shared" si="14"/>
        <v/>
      </c>
      <c r="AQ111" t="str">
        <f t="shared" si="15"/>
        <v/>
      </c>
      <c r="AR111" t="str">
        <f t="shared" si="16"/>
        <v/>
      </c>
      <c r="AS111" t="str">
        <f t="shared" si="17"/>
        <v/>
      </c>
      <c r="AT111" t="str">
        <f t="shared" si="18"/>
        <v/>
      </c>
      <c r="BG111" t="str">
        <f t="shared" si="19"/>
        <v/>
      </c>
      <c r="BH111" t="str">
        <f t="shared" si="20"/>
        <v/>
      </c>
      <c r="BL111" t="str">
        <f>IFERROR(INDEX(_names_lookup!$C:$C,MATCH(BK111,_names_lookup!$A:$A,0)),"")</f>
        <v/>
      </c>
      <c r="BM111" t="str">
        <f>IFERROR(INDEX(_names_lookup!$B:$B,MATCH(BK111,_names_lookup!$A:$A,0)),"")</f>
        <v/>
      </c>
      <c r="BS111" t="str">
        <f t="shared" si="21"/>
        <v/>
      </c>
    </row>
    <row r="112" spans="15:71" x14ac:dyDescent="0.2">
      <c r="O112" t="str">
        <f>IFERROR(INDEX(_courses_lookup!$C:$C,MATCH(K112&amp;L112,_courses_lookup!$E:$E,0)),"")</f>
        <v/>
      </c>
      <c r="P112" t="str">
        <f>IFERROR(INDEX(_courses_lookup!$D:$D,MATCH(K112&amp;L112,_courses_lookup!$E:$E,0)),"")</f>
        <v/>
      </c>
      <c r="AG112" t="str">
        <f t="shared" si="11"/>
        <v/>
      </c>
      <c r="AI112" t="str">
        <f t="shared" si="12"/>
        <v/>
      </c>
      <c r="AL112" t="str">
        <f t="shared" si="13"/>
        <v/>
      </c>
      <c r="AN112" t="str">
        <f t="shared" si="14"/>
        <v/>
      </c>
      <c r="AQ112" t="str">
        <f t="shared" si="15"/>
        <v/>
      </c>
      <c r="AR112" t="str">
        <f t="shared" si="16"/>
        <v/>
      </c>
      <c r="AS112" t="str">
        <f t="shared" si="17"/>
        <v/>
      </c>
      <c r="AT112" t="str">
        <f t="shared" si="18"/>
        <v/>
      </c>
      <c r="BG112" t="str">
        <f t="shared" si="19"/>
        <v/>
      </c>
      <c r="BH112" t="str">
        <f t="shared" si="20"/>
        <v/>
      </c>
      <c r="BL112" t="str">
        <f>IFERROR(INDEX(_names_lookup!$C:$C,MATCH(BK112,_names_lookup!$A:$A,0)),"")</f>
        <v/>
      </c>
      <c r="BM112" t="str">
        <f>IFERROR(INDEX(_names_lookup!$B:$B,MATCH(BK112,_names_lookup!$A:$A,0)),"")</f>
        <v/>
      </c>
      <c r="BS112" t="str">
        <f t="shared" si="21"/>
        <v/>
      </c>
    </row>
    <row r="113" spans="15:71" x14ac:dyDescent="0.2">
      <c r="O113" t="str">
        <f>IFERROR(INDEX(_courses_lookup!$C:$C,MATCH(K113&amp;L113,_courses_lookup!$E:$E,0)),"")</f>
        <v/>
      </c>
      <c r="P113" t="str">
        <f>IFERROR(INDEX(_courses_lookup!$D:$D,MATCH(K113&amp;L113,_courses_lookup!$E:$E,0)),"")</f>
        <v/>
      </c>
      <c r="AG113" t="str">
        <f t="shared" si="11"/>
        <v/>
      </c>
      <c r="AI113" t="str">
        <f t="shared" si="12"/>
        <v/>
      </c>
      <c r="AL113" t="str">
        <f t="shared" si="13"/>
        <v/>
      </c>
      <c r="AN113" t="str">
        <f t="shared" si="14"/>
        <v/>
      </c>
      <c r="AQ113" t="str">
        <f t="shared" si="15"/>
        <v/>
      </c>
      <c r="AR113" t="str">
        <f t="shared" si="16"/>
        <v/>
      </c>
      <c r="AS113" t="str">
        <f t="shared" si="17"/>
        <v/>
      </c>
      <c r="AT113" t="str">
        <f t="shared" si="18"/>
        <v/>
      </c>
      <c r="BG113" t="str">
        <f t="shared" si="19"/>
        <v/>
      </c>
      <c r="BH113" t="str">
        <f t="shared" si="20"/>
        <v/>
      </c>
      <c r="BL113" t="str">
        <f>IFERROR(INDEX(_names_lookup!$C:$C,MATCH(BK113,_names_lookup!$A:$A,0)),"")</f>
        <v/>
      </c>
      <c r="BM113" t="str">
        <f>IFERROR(INDEX(_names_lookup!$B:$B,MATCH(BK113,_names_lookup!$A:$A,0)),"")</f>
        <v/>
      </c>
      <c r="BS113" t="str">
        <f t="shared" si="21"/>
        <v/>
      </c>
    </row>
    <row r="114" spans="15:71" x14ac:dyDescent="0.2">
      <c r="O114" t="str">
        <f>IFERROR(INDEX(_courses_lookup!$C:$C,MATCH(K114&amp;L114,_courses_lookup!$E:$E,0)),"")</f>
        <v/>
      </c>
      <c r="P114" t="str">
        <f>IFERROR(INDEX(_courses_lookup!$D:$D,MATCH(K114&amp;L114,_courses_lookup!$E:$E,0)),"")</f>
        <v/>
      </c>
      <c r="AG114" t="str">
        <f t="shared" si="11"/>
        <v/>
      </c>
      <c r="AI114" t="str">
        <f t="shared" si="12"/>
        <v/>
      </c>
      <c r="AL114" t="str">
        <f t="shared" si="13"/>
        <v/>
      </c>
      <c r="AN114" t="str">
        <f t="shared" si="14"/>
        <v/>
      </c>
      <c r="AQ114" t="str">
        <f t="shared" si="15"/>
        <v/>
      </c>
      <c r="AR114" t="str">
        <f t="shared" si="16"/>
        <v/>
      </c>
      <c r="AS114" t="str">
        <f t="shared" si="17"/>
        <v/>
      </c>
      <c r="AT114" t="str">
        <f t="shared" si="18"/>
        <v/>
      </c>
      <c r="BG114" t="str">
        <f t="shared" si="19"/>
        <v/>
      </c>
      <c r="BH114" t="str">
        <f t="shared" si="20"/>
        <v/>
      </c>
      <c r="BL114" t="str">
        <f>IFERROR(INDEX(_names_lookup!$C:$C,MATCH(BK114,_names_lookup!$A:$A,0)),"")</f>
        <v/>
      </c>
      <c r="BM114" t="str">
        <f>IFERROR(INDEX(_names_lookup!$B:$B,MATCH(BK114,_names_lookup!$A:$A,0)),"")</f>
        <v/>
      </c>
      <c r="BS114" t="str">
        <f t="shared" si="21"/>
        <v/>
      </c>
    </row>
    <row r="115" spans="15:71" x14ac:dyDescent="0.2">
      <c r="O115" t="str">
        <f>IFERROR(INDEX(_courses_lookup!$C:$C,MATCH(K115&amp;L115,_courses_lookup!$E:$E,0)),"")</f>
        <v/>
      </c>
      <c r="P115" t="str">
        <f>IFERROR(INDEX(_courses_lookup!$D:$D,MATCH(K115&amp;L115,_courses_lookup!$E:$E,0)),"")</f>
        <v/>
      </c>
      <c r="AG115" t="str">
        <f t="shared" si="11"/>
        <v/>
      </c>
      <c r="AI115" t="str">
        <f t="shared" si="12"/>
        <v/>
      </c>
      <c r="AL115" t="str">
        <f t="shared" si="13"/>
        <v/>
      </c>
      <c r="AN115" t="str">
        <f t="shared" si="14"/>
        <v/>
      </c>
      <c r="AQ115" t="str">
        <f t="shared" si="15"/>
        <v/>
      </c>
      <c r="AR115" t="str">
        <f t="shared" si="16"/>
        <v/>
      </c>
      <c r="AS115" t="str">
        <f t="shared" si="17"/>
        <v/>
      </c>
      <c r="AT115" t="str">
        <f t="shared" si="18"/>
        <v/>
      </c>
      <c r="BG115" t="str">
        <f t="shared" si="19"/>
        <v/>
      </c>
      <c r="BH115" t="str">
        <f t="shared" si="20"/>
        <v/>
      </c>
      <c r="BL115" t="str">
        <f>IFERROR(INDEX(_names_lookup!$C:$C,MATCH(BK115,_names_lookup!$A:$A,0)),"")</f>
        <v/>
      </c>
      <c r="BM115" t="str">
        <f>IFERROR(INDEX(_names_lookup!$B:$B,MATCH(BK115,_names_lookup!$A:$A,0)),"")</f>
        <v/>
      </c>
      <c r="BS115" t="str">
        <f t="shared" si="21"/>
        <v/>
      </c>
    </row>
    <row r="116" spans="15:71" x14ac:dyDescent="0.2">
      <c r="O116" t="str">
        <f>IFERROR(INDEX(_courses_lookup!$C:$C,MATCH(K116&amp;L116,_courses_lookup!$E:$E,0)),"")</f>
        <v/>
      </c>
      <c r="P116" t="str">
        <f>IFERROR(INDEX(_courses_lookup!$D:$D,MATCH(K116&amp;L116,_courses_lookup!$E:$E,0)),"")</f>
        <v/>
      </c>
      <c r="AG116" t="str">
        <f t="shared" si="11"/>
        <v/>
      </c>
      <c r="AI116" t="str">
        <f t="shared" si="12"/>
        <v/>
      </c>
      <c r="AL116" t="str">
        <f t="shared" si="13"/>
        <v/>
      </c>
      <c r="AN116" t="str">
        <f t="shared" si="14"/>
        <v/>
      </c>
      <c r="AQ116" t="str">
        <f t="shared" si="15"/>
        <v/>
      </c>
      <c r="AR116" t="str">
        <f t="shared" si="16"/>
        <v/>
      </c>
      <c r="AS116" t="str">
        <f t="shared" si="17"/>
        <v/>
      </c>
      <c r="AT116" t="str">
        <f t="shared" si="18"/>
        <v/>
      </c>
      <c r="BG116" t="str">
        <f t="shared" si="19"/>
        <v/>
      </c>
      <c r="BH116" t="str">
        <f t="shared" si="20"/>
        <v/>
      </c>
      <c r="BL116" t="str">
        <f>IFERROR(INDEX(_names_lookup!$C:$C,MATCH(BK116,_names_lookup!$A:$A,0)),"")</f>
        <v/>
      </c>
      <c r="BM116" t="str">
        <f>IFERROR(INDEX(_names_lookup!$B:$B,MATCH(BK116,_names_lookup!$A:$A,0)),"")</f>
        <v/>
      </c>
      <c r="BS116" t="str">
        <f t="shared" si="21"/>
        <v/>
      </c>
    </row>
    <row r="117" spans="15:71" x14ac:dyDescent="0.2">
      <c r="O117" t="str">
        <f>IFERROR(INDEX(_courses_lookup!$C:$C,MATCH(K117&amp;L117,_courses_lookup!$E:$E,0)),"")</f>
        <v/>
      </c>
      <c r="P117" t="str">
        <f>IFERROR(INDEX(_courses_lookup!$D:$D,MATCH(K117&amp;L117,_courses_lookup!$E:$E,0)),"")</f>
        <v/>
      </c>
      <c r="AG117" t="str">
        <f t="shared" si="11"/>
        <v/>
      </c>
      <c r="AI117" t="str">
        <f t="shared" si="12"/>
        <v/>
      </c>
      <c r="AL117" t="str">
        <f t="shared" si="13"/>
        <v/>
      </c>
      <c r="AN117" t="str">
        <f t="shared" si="14"/>
        <v/>
      </c>
      <c r="AQ117" t="str">
        <f t="shared" si="15"/>
        <v/>
      </c>
      <c r="AR117" t="str">
        <f t="shared" si="16"/>
        <v/>
      </c>
      <c r="AS117" t="str">
        <f t="shared" si="17"/>
        <v/>
      </c>
      <c r="AT117" t="str">
        <f t="shared" si="18"/>
        <v/>
      </c>
      <c r="BG117" t="str">
        <f t="shared" si="19"/>
        <v/>
      </c>
      <c r="BH117" t="str">
        <f t="shared" si="20"/>
        <v/>
      </c>
      <c r="BL117" t="str">
        <f>IFERROR(INDEX(_names_lookup!$C:$C,MATCH(BK117,_names_lookup!$A:$A,0)),"")</f>
        <v/>
      </c>
      <c r="BM117" t="str">
        <f>IFERROR(INDEX(_names_lookup!$B:$B,MATCH(BK117,_names_lookup!$A:$A,0)),"")</f>
        <v/>
      </c>
      <c r="BS117" t="str">
        <f t="shared" si="21"/>
        <v/>
      </c>
    </row>
    <row r="118" spans="15:71" x14ac:dyDescent="0.2">
      <c r="O118" t="str">
        <f>IFERROR(INDEX(_courses_lookup!$C:$C,MATCH(K118&amp;L118,_courses_lookup!$E:$E,0)),"")</f>
        <v/>
      </c>
      <c r="P118" t="str">
        <f>IFERROR(INDEX(_courses_lookup!$D:$D,MATCH(K118&amp;L118,_courses_lookup!$E:$E,0)),"")</f>
        <v/>
      </c>
      <c r="AG118" t="str">
        <f t="shared" si="11"/>
        <v/>
      </c>
      <c r="AI118" t="str">
        <f t="shared" si="12"/>
        <v/>
      </c>
      <c r="AL118" t="str">
        <f t="shared" si="13"/>
        <v/>
      </c>
      <c r="AN118" t="str">
        <f t="shared" si="14"/>
        <v/>
      </c>
      <c r="AQ118" t="str">
        <f t="shared" si="15"/>
        <v/>
      </c>
      <c r="AR118" t="str">
        <f t="shared" si="16"/>
        <v/>
      </c>
      <c r="AS118" t="str">
        <f t="shared" si="17"/>
        <v/>
      </c>
      <c r="AT118" t="str">
        <f t="shared" si="18"/>
        <v/>
      </c>
      <c r="BG118" t="str">
        <f t="shared" si="19"/>
        <v/>
      </c>
      <c r="BH118" t="str">
        <f t="shared" si="20"/>
        <v/>
      </c>
      <c r="BL118" t="str">
        <f>IFERROR(INDEX(_names_lookup!$C:$C,MATCH(BK118,_names_lookup!$A:$A,0)),"")</f>
        <v/>
      </c>
      <c r="BM118" t="str">
        <f>IFERROR(INDEX(_names_lookup!$B:$B,MATCH(BK118,_names_lookup!$A:$A,0)),"")</f>
        <v/>
      </c>
      <c r="BS118" t="str">
        <f t="shared" si="21"/>
        <v/>
      </c>
    </row>
    <row r="119" spans="15:71" x14ac:dyDescent="0.2">
      <c r="O119" t="str">
        <f>IFERROR(INDEX(_courses_lookup!$C:$C,MATCH(K119&amp;L119,_courses_lookup!$E:$E,0)),"")</f>
        <v/>
      </c>
      <c r="P119" t="str">
        <f>IFERROR(INDEX(_courses_lookup!$D:$D,MATCH(K119&amp;L119,_courses_lookup!$E:$E,0)),"")</f>
        <v/>
      </c>
      <c r="AG119" t="str">
        <f t="shared" si="11"/>
        <v/>
      </c>
      <c r="AI119" t="str">
        <f t="shared" si="12"/>
        <v/>
      </c>
      <c r="AL119" t="str">
        <f t="shared" si="13"/>
        <v/>
      </c>
      <c r="AN119" t="str">
        <f t="shared" si="14"/>
        <v/>
      </c>
      <c r="AQ119" t="str">
        <f t="shared" si="15"/>
        <v/>
      </c>
      <c r="AR119" t="str">
        <f t="shared" si="16"/>
        <v/>
      </c>
      <c r="AS119" t="str">
        <f t="shared" si="17"/>
        <v/>
      </c>
      <c r="AT119" t="str">
        <f t="shared" si="18"/>
        <v/>
      </c>
      <c r="BG119" t="str">
        <f t="shared" si="19"/>
        <v/>
      </c>
      <c r="BH119" t="str">
        <f t="shared" si="20"/>
        <v/>
      </c>
      <c r="BL119" t="str">
        <f>IFERROR(INDEX(_names_lookup!$C:$C,MATCH(BK119,_names_lookup!$A:$A,0)),"")</f>
        <v/>
      </c>
      <c r="BM119" t="str">
        <f>IFERROR(INDEX(_names_lookup!$B:$B,MATCH(BK119,_names_lookup!$A:$A,0)),"")</f>
        <v/>
      </c>
      <c r="BS119" t="str">
        <f t="shared" si="21"/>
        <v/>
      </c>
    </row>
    <row r="120" spans="15:71" x14ac:dyDescent="0.2">
      <c r="O120" t="str">
        <f>IFERROR(INDEX(_courses_lookup!$C:$C,MATCH(K120&amp;L120,_courses_lookup!$E:$E,0)),"")</f>
        <v/>
      </c>
      <c r="P120" t="str">
        <f>IFERROR(INDEX(_courses_lookup!$D:$D,MATCH(K120&amp;L120,_courses_lookup!$E:$E,0)),"")</f>
        <v/>
      </c>
      <c r="AG120" t="str">
        <f t="shared" si="11"/>
        <v/>
      </c>
      <c r="AI120" t="str">
        <f t="shared" si="12"/>
        <v/>
      </c>
      <c r="AL120" t="str">
        <f t="shared" si="13"/>
        <v/>
      </c>
      <c r="AN120" t="str">
        <f t="shared" si="14"/>
        <v/>
      </c>
      <c r="AQ120" t="str">
        <f t="shared" si="15"/>
        <v/>
      </c>
      <c r="AR120" t="str">
        <f t="shared" si="16"/>
        <v/>
      </c>
      <c r="AS120" t="str">
        <f t="shared" si="17"/>
        <v/>
      </c>
      <c r="AT120" t="str">
        <f t="shared" si="18"/>
        <v/>
      </c>
      <c r="BG120" t="str">
        <f t="shared" si="19"/>
        <v/>
      </c>
      <c r="BH120" t="str">
        <f t="shared" si="20"/>
        <v/>
      </c>
      <c r="BL120" t="str">
        <f>IFERROR(INDEX(_names_lookup!$C:$C,MATCH(BK120,_names_lookup!$A:$A,0)),"")</f>
        <v/>
      </c>
      <c r="BM120" t="str">
        <f>IFERROR(INDEX(_names_lookup!$B:$B,MATCH(BK120,_names_lookup!$A:$A,0)),"")</f>
        <v/>
      </c>
      <c r="BS120" t="str">
        <f t="shared" si="21"/>
        <v/>
      </c>
    </row>
    <row r="121" spans="15:71" x14ac:dyDescent="0.2">
      <c r="O121" t="str">
        <f>IFERROR(INDEX(_courses_lookup!$C:$C,MATCH(K121&amp;L121,_courses_lookup!$E:$E,0)),"")</f>
        <v/>
      </c>
      <c r="P121" t="str">
        <f>IFERROR(INDEX(_courses_lookup!$D:$D,MATCH(K121&amp;L121,_courses_lookup!$E:$E,0)),"")</f>
        <v/>
      </c>
      <c r="AG121" t="str">
        <f t="shared" si="11"/>
        <v/>
      </c>
      <c r="AI121" t="str">
        <f t="shared" si="12"/>
        <v/>
      </c>
      <c r="AL121" t="str">
        <f t="shared" si="13"/>
        <v/>
      </c>
      <c r="AN121" t="str">
        <f t="shared" si="14"/>
        <v/>
      </c>
      <c r="AQ121" t="str">
        <f t="shared" si="15"/>
        <v/>
      </c>
      <c r="AR121" t="str">
        <f t="shared" si="16"/>
        <v/>
      </c>
      <c r="AS121" t="str">
        <f t="shared" si="17"/>
        <v/>
      </c>
      <c r="AT121" t="str">
        <f t="shared" si="18"/>
        <v/>
      </c>
      <c r="BG121" t="str">
        <f t="shared" si="19"/>
        <v/>
      </c>
      <c r="BH121" t="str">
        <f t="shared" si="20"/>
        <v/>
      </c>
      <c r="BL121" t="str">
        <f>IFERROR(INDEX(_names_lookup!$C:$C,MATCH(BK121,_names_lookup!$A:$A,0)),"")</f>
        <v/>
      </c>
      <c r="BM121" t="str">
        <f>IFERROR(INDEX(_names_lookup!$B:$B,MATCH(BK121,_names_lookup!$A:$A,0)),"")</f>
        <v/>
      </c>
      <c r="BS121" t="str">
        <f t="shared" si="21"/>
        <v/>
      </c>
    </row>
    <row r="122" spans="15:71" x14ac:dyDescent="0.2">
      <c r="O122" t="str">
        <f>IFERROR(INDEX(_courses_lookup!$C:$C,MATCH(K122&amp;L122,_courses_lookup!$E:$E,0)),"")</f>
        <v/>
      </c>
      <c r="P122" t="str">
        <f>IFERROR(INDEX(_courses_lookup!$D:$D,MATCH(K122&amp;L122,_courses_lookup!$E:$E,0)),"")</f>
        <v/>
      </c>
      <c r="AG122" t="str">
        <f t="shared" si="11"/>
        <v/>
      </c>
      <c r="AI122" t="str">
        <f t="shared" si="12"/>
        <v/>
      </c>
      <c r="AL122" t="str">
        <f t="shared" si="13"/>
        <v/>
      </c>
      <c r="AN122" t="str">
        <f t="shared" si="14"/>
        <v/>
      </c>
      <c r="AQ122" t="str">
        <f t="shared" si="15"/>
        <v/>
      </c>
      <c r="AR122" t="str">
        <f t="shared" si="16"/>
        <v/>
      </c>
      <c r="AS122" t="str">
        <f t="shared" si="17"/>
        <v/>
      </c>
      <c r="AT122" t="str">
        <f t="shared" si="18"/>
        <v/>
      </c>
      <c r="BG122" t="str">
        <f t="shared" si="19"/>
        <v/>
      </c>
      <c r="BH122" t="str">
        <f t="shared" si="20"/>
        <v/>
      </c>
      <c r="BL122" t="str">
        <f>IFERROR(INDEX(_names_lookup!$C:$C,MATCH(BK122,_names_lookup!$A:$A,0)),"")</f>
        <v/>
      </c>
      <c r="BM122" t="str">
        <f>IFERROR(INDEX(_names_lookup!$B:$B,MATCH(BK122,_names_lookup!$A:$A,0)),"")</f>
        <v/>
      </c>
      <c r="BS122" t="str">
        <f t="shared" si="21"/>
        <v/>
      </c>
    </row>
    <row r="123" spans="15:71" x14ac:dyDescent="0.2">
      <c r="O123" t="str">
        <f>IFERROR(INDEX(_courses_lookup!$C:$C,MATCH(K123&amp;L123,_courses_lookup!$E:$E,0)),"")</f>
        <v/>
      </c>
      <c r="P123" t="str">
        <f>IFERROR(INDEX(_courses_lookup!$D:$D,MATCH(K123&amp;L123,_courses_lookup!$E:$E,0)),"")</f>
        <v/>
      </c>
      <c r="AG123" t="str">
        <f t="shared" si="11"/>
        <v/>
      </c>
      <c r="AI123" t="str">
        <f t="shared" si="12"/>
        <v/>
      </c>
      <c r="AL123" t="str">
        <f t="shared" si="13"/>
        <v/>
      </c>
      <c r="AN123" t="str">
        <f t="shared" si="14"/>
        <v/>
      </c>
      <c r="AQ123" t="str">
        <f t="shared" si="15"/>
        <v/>
      </c>
      <c r="AR123" t="str">
        <f t="shared" si="16"/>
        <v/>
      </c>
      <c r="AS123" t="str">
        <f t="shared" si="17"/>
        <v/>
      </c>
      <c r="AT123" t="str">
        <f t="shared" si="18"/>
        <v/>
      </c>
      <c r="BG123" t="str">
        <f t="shared" si="19"/>
        <v/>
      </c>
      <c r="BH123" t="str">
        <f t="shared" si="20"/>
        <v/>
      </c>
      <c r="BL123" t="str">
        <f>IFERROR(INDEX(_names_lookup!$C:$C,MATCH(BK123,_names_lookup!$A:$A,0)),"")</f>
        <v/>
      </c>
      <c r="BM123" t="str">
        <f>IFERROR(INDEX(_names_lookup!$B:$B,MATCH(BK123,_names_lookup!$A:$A,0)),"")</f>
        <v/>
      </c>
      <c r="BS123" t="str">
        <f t="shared" si="21"/>
        <v/>
      </c>
    </row>
    <row r="124" spans="15:71" x14ac:dyDescent="0.2">
      <c r="O124" t="str">
        <f>IFERROR(INDEX(_courses_lookup!$C:$C,MATCH(K124&amp;L124,_courses_lookup!$E:$E,0)),"")</f>
        <v/>
      </c>
      <c r="P124" t="str">
        <f>IFERROR(INDEX(_courses_lookup!$D:$D,MATCH(K124&amp;L124,_courses_lookup!$E:$E,0)),"")</f>
        <v/>
      </c>
      <c r="AG124" t="str">
        <f t="shared" si="11"/>
        <v/>
      </c>
      <c r="AI124" t="str">
        <f t="shared" si="12"/>
        <v/>
      </c>
      <c r="AL124" t="str">
        <f t="shared" si="13"/>
        <v/>
      </c>
      <c r="AN124" t="str">
        <f t="shared" si="14"/>
        <v/>
      </c>
      <c r="AQ124" t="str">
        <f t="shared" si="15"/>
        <v/>
      </c>
      <c r="AR124" t="str">
        <f t="shared" si="16"/>
        <v/>
      </c>
      <c r="AS124" t="str">
        <f t="shared" si="17"/>
        <v/>
      </c>
      <c r="AT124" t="str">
        <f t="shared" si="18"/>
        <v/>
      </c>
      <c r="BG124" t="str">
        <f t="shared" si="19"/>
        <v/>
      </c>
      <c r="BH124" t="str">
        <f t="shared" si="20"/>
        <v/>
      </c>
      <c r="BL124" t="str">
        <f>IFERROR(INDEX(_names_lookup!$C:$C,MATCH(BK124,_names_lookup!$A:$A,0)),"")</f>
        <v/>
      </c>
      <c r="BM124" t="str">
        <f>IFERROR(INDEX(_names_lookup!$B:$B,MATCH(BK124,_names_lookup!$A:$A,0)),"")</f>
        <v/>
      </c>
      <c r="BS124" t="str">
        <f t="shared" si="21"/>
        <v/>
      </c>
    </row>
    <row r="125" spans="15:71" x14ac:dyDescent="0.2">
      <c r="O125" t="str">
        <f>IFERROR(INDEX(_courses_lookup!$C:$C,MATCH(K125&amp;L125,_courses_lookup!$E:$E,0)),"")</f>
        <v/>
      </c>
      <c r="P125" t="str">
        <f>IFERROR(INDEX(_courses_lookup!$D:$D,MATCH(K125&amp;L125,_courses_lookup!$E:$E,0)),"")</f>
        <v/>
      </c>
      <c r="AG125" t="str">
        <f t="shared" si="11"/>
        <v/>
      </c>
      <c r="AI125" t="str">
        <f t="shared" si="12"/>
        <v/>
      </c>
      <c r="AL125" t="str">
        <f t="shared" si="13"/>
        <v/>
      </c>
      <c r="AN125" t="str">
        <f t="shared" si="14"/>
        <v/>
      </c>
      <c r="AQ125" t="str">
        <f t="shared" si="15"/>
        <v/>
      </c>
      <c r="AR125" t="str">
        <f t="shared" si="16"/>
        <v/>
      </c>
      <c r="AS125" t="str">
        <f t="shared" si="17"/>
        <v/>
      </c>
      <c r="AT125" t="str">
        <f t="shared" si="18"/>
        <v/>
      </c>
      <c r="BG125" t="str">
        <f t="shared" si="19"/>
        <v/>
      </c>
      <c r="BH125" t="str">
        <f t="shared" si="20"/>
        <v/>
      </c>
      <c r="BL125" t="str">
        <f>IFERROR(INDEX(_names_lookup!$C:$C,MATCH(BK125,_names_lookup!$A:$A,0)),"")</f>
        <v/>
      </c>
      <c r="BM125" t="str">
        <f>IFERROR(INDEX(_names_lookup!$B:$B,MATCH(BK125,_names_lookup!$A:$A,0)),"")</f>
        <v/>
      </c>
      <c r="BS125" t="str">
        <f t="shared" si="21"/>
        <v/>
      </c>
    </row>
    <row r="126" spans="15:71" x14ac:dyDescent="0.2">
      <c r="O126" t="str">
        <f>IFERROR(INDEX(_courses_lookup!$C:$C,MATCH(K126&amp;L126,_courses_lookup!$E:$E,0)),"")</f>
        <v/>
      </c>
      <c r="P126" t="str">
        <f>IFERROR(INDEX(_courses_lookup!$D:$D,MATCH(K126&amp;L126,_courses_lookup!$E:$E,0)),"")</f>
        <v/>
      </c>
      <c r="AG126" t="str">
        <f t="shared" si="11"/>
        <v/>
      </c>
      <c r="AI126" t="str">
        <f t="shared" si="12"/>
        <v/>
      </c>
      <c r="AL126" t="str">
        <f t="shared" si="13"/>
        <v/>
      </c>
      <c r="AN126" t="str">
        <f t="shared" si="14"/>
        <v/>
      </c>
      <c r="AQ126" t="str">
        <f t="shared" si="15"/>
        <v/>
      </c>
      <c r="AR126" t="str">
        <f t="shared" si="16"/>
        <v/>
      </c>
      <c r="AS126" t="str">
        <f t="shared" si="17"/>
        <v/>
      </c>
      <c r="AT126" t="str">
        <f t="shared" si="18"/>
        <v/>
      </c>
      <c r="BG126" t="str">
        <f t="shared" si="19"/>
        <v/>
      </c>
      <c r="BH126" t="str">
        <f t="shared" si="20"/>
        <v/>
      </c>
      <c r="BL126" t="str">
        <f>IFERROR(INDEX(_names_lookup!$C:$C,MATCH(BK126,_names_lookup!$A:$A,0)),"")</f>
        <v/>
      </c>
      <c r="BM126" t="str">
        <f>IFERROR(INDEX(_names_lookup!$B:$B,MATCH(BK126,_names_lookup!$A:$A,0)),"")</f>
        <v/>
      </c>
      <c r="BS126" t="str">
        <f t="shared" si="21"/>
        <v/>
      </c>
    </row>
    <row r="127" spans="15:71" x14ac:dyDescent="0.2">
      <c r="O127" t="str">
        <f>IFERROR(INDEX(_courses_lookup!$C:$C,MATCH(K127&amp;L127,_courses_lookup!$E:$E,0)),"")</f>
        <v/>
      </c>
      <c r="P127" t="str">
        <f>IFERROR(INDEX(_courses_lookup!$D:$D,MATCH(K127&amp;L127,_courses_lookup!$E:$E,0)),"")</f>
        <v/>
      </c>
      <c r="AG127" t="str">
        <f t="shared" si="11"/>
        <v/>
      </c>
      <c r="AI127" t="str">
        <f t="shared" si="12"/>
        <v/>
      </c>
      <c r="AL127" t="str">
        <f t="shared" si="13"/>
        <v/>
      </c>
      <c r="AN127" t="str">
        <f t="shared" si="14"/>
        <v/>
      </c>
      <c r="AQ127" t="str">
        <f t="shared" si="15"/>
        <v/>
      </c>
      <c r="AR127" t="str">
        <f t="shared" si="16"/>
        <v/>
      </c>
      <c r="AS127" t="str">
        <f t="shared" si="17"/>
        <v/>
      </c>
      <c r="AT127" t="str">
        <f t="shared" si="18"/>
        <v/>
      </c>
      <c r="BG127" t="str">
        <f t="shared" si="19"/>
        <v/>
      </c>
      <c r="BH127" t="str">
        <f t="shared" si="20"/>
        <v/>
      </c>
      <c r="BL127" t="str">
        <f>IFERROR(INDEX(_names_lookup!$C:$C,MATCH(BK127,_names_lookup!$A:$A,0)),"")</f>
        <v/>
      </c>
      <c r="BM127" t="str">
        <f>IFERROR(INDEX(_names_lookup!$B:$B,MATCH(BK127,_names_lookup!$A:$A,0)),"")</f>
        <v/>
      </c>
      <c r="BS127" t="str">
        <f t="shared" si="21"/>
        <v/>
      </c>
    </row>
    <row r="128" spans="15:71" x14ac:dyDescent="0.2">
      <c r="O128" t="str">
        <f>IFERROR(INDEX(_courses_lookup!$C:$C,MATCH(K128&amp;L128,_courses_lookup!$E:$E,0)),"")</f>
        <v/>
      </c>
      <c r="P128" t="str">
        <f>IFERROR(INDEX(_courses_lookup!$D:$D,MATCH(K128&amp;L128,_courses_lookup!$E:$E,0)),"")</f>
        <v/>
      </c>
      <c r="AG128" t="str">
        <f t="shared" si="11"/>
        <v/>
      </c>
      <c r="AI128" t="str">
        <f t="shared" si="12"/>
        <v/>
      </c>
      <c r="AL128" t="str">
        <f t="shared" si="13"/>
        <v/>
      </c>
      <c r="AN128" t="str">
        <f t="shared" si="14"/>
        <v/>
      </c>
      <c r="AQ128" t="str">
        <f t="shared" si="15"/>
        <v/>
      </c>
      <c r="AR128" t="str">
        <f t="shared" si="16"/>
        <v/>
      </c>
      <c r="AS128" t="str">
        <f t="shared" si="17"/>
        <v/>
      </c>
      <c r="AT128" t="str">
        <f t="shared" si="18"/>
        <v/>
      </c>
      <c r="BG128" t="str">
        <f t="shared" si="19"/>
        <v/>
      </c>
      <c r="BH128" t="str">
        <f t="shared" si="20"/>
        <v/>
      </c>
      <c r="BL128" t="str">
        <f>IFERROR(INDEX(_names_lookup!$C:$C,MATCH(BK128,_names_lookup!$A:$A,0)),"")</f>
        <v/>
      </c>
      <c r="BM128" t="str">
        <f>IFERROR(INDEX(_names_lookup!$B:$B,MATCH(BK128,_names_lookup!$A:$A,0)),"")</f>
        <v/>
      </c>
      <c r="BS128" t="str">
        <f t="shared" si="21"/>
        <v/>
      </c>
    </row>
    <row r="129" spans="15:71" x14ac:dyDescent="0.2">
      <c r="O129" t="str">
        <f>IFERROR(INDEX(_courses_lookup!$C:$C,MATCH(K129&amp;L129,_courses_lookup!$E:$E,0)),"")</f>
        <v/>
      </c>
      <c r="P129" t="str">
        <f>IFERROR(INDEX(_courses_lookup!$D:$D,MATCH(K129&amp;L129,_courses_lookup!$E:$E,0)),"")</f>
        <v/>
      </c>
      <c r="AG129" t="str">
        <f t="shared" si="11"/>
        <v/>
      </c>
      <c r="AI129" t="str">
        <f t="shared" si="12"/>
        <v/>
      </c>
      <c r="AL129" t="str">
        <f t="shared" si="13"/>
        <v/>
      </c>
      <c r="AN129" t="str">
        <f t="shared" si="14"/>
        <v/>
      </c>
      <c r="AQ129" t="str">
        <f t="shared" si="15"/>
        <v/>
      </c>
      <c r="AR129" t="str">
        <f t="shared" si="16"/>
        <v/>
      </c>
      <c r="AS129" t="str">
        <f t="shared" si="17"/>
        <v/>
      </c>
      <c r="AT129" t="str">
        <f t="shared" si="18"/>
        <v/>
      </c>
      <c r="BG129" t="str">
        <f t="shared" si="19"/>
        <v/>
      </c>
      <c r="BH129" t="str">
        <f t="shared" si="20"/>
        <v/>
      </c>
      <c r="BL129" t="str">
        <f>IFERROR(INDEX(_names_lookup!$C:$C,MATCH(BK129,_names_lookup!$A:$A,0)),"")</f>
        <v/>
      </c>
      <c r="BM129" t="str">
        <f>IFERROR(INDEX(_names_lookup!$B:$B,MATCH(BK129,_names_lookup!$A:$A,0)),"")</f>
        <v/>
      </c>
      <c r="BS129" t="str">
        <f t="shared" si="21"/>
        <v/>
      </c>
    </row>
    <row r="130" spans="15:71" x14ac:dyDescent="0.2">
      <c r="O130" t="str">
        <f>IFERROR(INDEX(_courses_lookup!$C:$C,MATCH(K130&amp;L130,_courses_lookup!$E:$E,0)),"")</f>
        <v/>
      </c>
      <c r="P130" t="str">
        <f>IFERROR(INDEX(_courses_lookup!$D:$D,MATCH(K130&amp;L130,_courses_lookup!$E:$E,0)),"")</f>
        <v/>
      </c>
      <c r="AG130" t="str">
        <f t="shared" ref="AG130:AG193" si="22">IF(AND(AE130&lt;&gt;"",AF130&lt;&gt;""),ROUNDUP((AF130-AE130)/7,0),"")</f>
        <v/>
      </c>
      <c r="AI130" t="str">
        <f t="shared" ref="AI130:AI193" si="23">IFERROR(IF(AG130*AH130=0,"",AG130*AH130),"")</f>
        <v/>
      </c>
      <c r="AL130" t="str">
        <f t="shared" ref="AL130:AL193" si="24">IF(AND(AJ130&lt;&gt;"",AK130&lt;&gt;""),ROUNDUP((AK130-AJ130)/7,0),"")</f>
        <v/>
      </c>
      <c r="AN130" t="str">
        <f t="shared" ref="AN130:AN193" si="25">IFERROR(IF(AL130*AM130=0,"",AL130*AM130),"")</f>
        <v/>
      </c>
      <c r="AQ130" t="str">
        <f t="shared" ref="AQ130:AQ193" si="26">IF(AND(AO130&lt;&gt;"",AP130&lt;&gt;""),ROUNDUP((AP130-AO130)/7,0),"")</f>
        <v/>
      </c>
      <c r="AR130" t="str">
        <f t="shared" ref="AR130:AR193" si="27">IFERROR(IF((AU130-(AI130+AN130))/AQ130=0,"",ROUNDUP((AU130-(AI130+AN130))/AQ130,0)),"")</f>
        <v/>
      </c>
      <c r="AS130" t="str">
        <f t="shared" ref="AS130:AS193" si="28">IFERROR(IF((AU130-(AI130+AN130))=0,"",(AU130-(AI130+AN130))),"")</f>
        <v/>
      </c>
      <c r="AT130" t="str">
        <f t="shared" ref="AT130:AT193" si="29">IF(AND(AG130="",AQ130=""),AL130,IF(SUM(AG130,AL130,AQ130)=0,"",SUM(AG130,AL130,AQ130)))</f>
        <v/>
      </c>
      <c r="BG130" t="str">
        <f t="shared" ref="BG130:BG193" si="30">IF(AD130="","",YEAR(AD130)+IF(MONTH(AD130)&gt;=5,1,0))</f>
        <v/>
      </c>
      <c r="BH130" t="str">
        <f t="shared" ref="BH130:BH193" si="31">IF(AD130="","",IF(AND(MONTH(AD130)=8,DAY(AD130)&gt;=15),"Fall",IF(MONTH(AD130)&gt;8,"Fall",IF(MONTH(AD130)=5,"Summer",IF(MONTH(AD130)=1,"Spring","")))))</f>
        <v/>
      </c>
      <c r="BL130" t="str">
        <f>IFERROR(INDEX(_names_lookup!$C:$C,MATCH(BK130,_names_lookup!$A:$A,0)),"")</f>
        <v/>
      </c>
      <c r="BM130" t="str">
        <f>IFERROR(INDEX(_names_lookup!$B:$B,MATCH(BK130,_names_lookup!$A:$A,0)),"")</f>
        <v/>
      </c>
      <c r="BS130" t="str">
        <f t="shared" ref="BS130:BS193" si="32">IFERROR(IF(BR130*AA130=0,"",BR130*AA130),"")</f>
        <v/>
      </c>
    </row>
    <row r="131" spans="15:71" x14ac:dyDescent="0.2">
      <c r="O131" t="str">
        <f>IFERROR(INDEX(_courses_lookup!$C:$C,MATCH(K131&amp;L131,_courses_lookup!$E:$E,0)),"")</f>
        <v/>
      </c>
      <c r="P131" t="str">
        <f>IFERROR(INDEX(_courses_lookup!$D:$D,MATCH(K131&amp;L131,_courses_lookup!$E:$E,0)),"")</f>
        <v/>
      </c>
      <c r="AG131" t="str">
        <f t="shared" si="22"/>
        <v/>
      </c>
      <c r="AI131" t="str">
        <f t="shared" si="23"/>
        <v/>
      </c>
      <c r="AL131" t="str">
        <f t="shared" si="24"/>
        <v/>
      </c>
      <c r="AN131" t="str">
        <f t="shared" si="25"/>
        <v/>
      </c>
      <c r="AQ131" t="str">
        <f t="shared" si="26"/>
        <v/>
      </c>
      <c r="AR131" t="str">
        <f t="shared" si="27"/>
        <v/>
      </c>
      <c r="AS131" t="str">
        <f t="shared" si="28"/>
        <v/>
      </c>
      <c r="AT131" t="str">
        <f t="shared" si="29"/>
        <v/>
      </c>
      <c r="BG131" t="str">
        <f t="shared" si="30"/>
        <v/>
      </c>
      <c r="BH131" t="str">
        <f t="shared" si="31"/>
        <v/>
      </c>
      <c r="BL131" t="str">
        <f>IFERROR(INDEX(_names_lookup!$C:$C,MATCH(BK131,_names_lookup!$A:$A,0)),"")</f>
        <v/>
      </c>
      <c r="BM131" t="str">
        <f>IFERROR(INDEX(_names_lookup!$B:$B,MATCH(BK131,_names_lookup!$A:$A,0)),"")</f>
        <v/>
      </c>
      <c r="BS131" t="str">
        <f t="shared" si="32"/>
        <v/>
      </c>
    </row>
    <row r="132" spans="15:71" x14ac:dyDescent="0.2">
      <c r="O132" t="str">
        <f>IFERROR(INDEX(_courses_lookup!$C:$C,MATCH(K132&amp;L132,_courses_lookup!$E:$E,0)),"")</f>
        <v/>
      </c>
      <c r="P132" t="str">
        <f>IFERROR(INDEX(_courses_lookup!$D:$D,MATCH(K132&amp;L132,_courses_lookup!$E:$E,0)),"")</f>
        <v/>
      </c>
      <c r="AG132" t="str">
        <f t="shared" si="22"/>
        <v/>
      </c>
      <c r="AI132" t="str">
        <f t="shared" si="23"/>
        <v/>
      </c>
      <c r="AL132" t="str">
        <f t="shared" si="24"/>
        <v/>
      </c>
      <c r="AN132" t="str">
        <f t="shared" si="25"/>
        <v/>
      </c>
      <c r="AQ132" t="str">
        <f t="shared" si="26"/>
        <v/>
      </c>
      <c r="AR132" t="str">
        <f t="shared" si="27"/>
        <v/>
      </c>
      <c r="AS132" t="str">
        <f t="shared" si="28"/>
        <v/>
      </c>
      <c r="AT132" t="str">
        <f t="shared" si="29"/>
        <v/>
      </c>
      <c r="BG132" t="str">
        <f t="shared" si="30"/>
        <v/>
      </c>
      <c r="BH132" t="str">
        <f t="shared" si="31"/>
        <v/>
      </c>
      <c r="BL132" t="str">
        <f>IFERROR(INDEX(_names_lookup!$C:$C,MATCH(BK132,_names_lookup!$A:$A,0)),"")</f>
        <v/>
      </c>
      <c r="BM132" t="str">
        <f>IFERROR(INDEX(_names_lookup!$B:$B,MATCH(BK132,_names_lookup!$A:$A,0)),"")</f>
        <v/>
      </c>
      <c r="BS132" t="str">
        <f t="shared" si="32"/>
        <v/>
      </c>
    </row>
    <row r="133" spans="15:71" x14ac:dyDescent="0.2">
      <c r="O133" t="str">
        <f>IFERROR(INDEX(_courses_lookup!$C:$C,MATCH(K133&amp;L133,_courses_lookup!$E:$E,0)),"")</f>
        <v/>
      </c>
      <c r="P133" t="str">
        <f>IFERROR(INDEX(_courses_lookup!$D:$D,MATCH(K133&amp;L133,_courses_lookup!$E:$E,0)),"")</f>
        <v/>
      </c>
      <c r="AG133" t="str">
        <f t="shared" si="22"/>
        <v/>
      </c>
      <c r="AI133" t="str">
        <f t="shared" si="23"/>
        <v/>
      </c>
      <c r="AL133" t="str">
        <f t="shared" si="24"/>
        <v/>
      </c>
      <c r="AN133" t="str">
        <f t="shared" si="25"/>
        <v/>
      </c>
      <c r="AQ133" t="str">
        <f t="shared" si="26"/>
        <v/>
      </c>
      <c r="AR133" t="str">
        <f t="shared" si="27"/>
        <v/>
      </c>
      <c r="AS133" t="str">
        <f t="shared" si="28"/>
        <v/>
      </c>
      <c r="AT133" t="str">
        <f t="shared" si="29"/>
        <v/>
      </c>
      <c r="BG133" t="str">
        <f t="shared" si="30"/>
        <v/>
      </c>
      <c r="BH133" t="str">
        <f t="shared" si="31"/>
        <v/>
      </c>
      <c r="BL133" t="str">
        <f>IFERROR(INDEX(_names_lookup!$C:$C,MATCH(BK133,_names_lookup!$A:$A,0)),"")</f>
        <v/>
      </c>
      <c r="BM133" t="str">
        <f>IFERROR(INDEX(_names_lookup!$B:$B,MATCH(BK133,_names_lookup!$A:$A,0)),"")</f>
        <v/>
      </c>
      <c r="BS133" t="str">
        <f t="shared" si="32"/>
        <v/>
      </c>
    </row>
    <row r="134" spans="15:71" x14ac:dyDescent="0.2">
      <c r="O134" t="str">
        <f>IFERROR(INDEX(_courses_lookup!$C:$C,MATCH(K134&amp;L134,_courses_lookup!$E:$E,0)),"")</f>
        <v/>
      </c>
      <c r="P134" t="str">
        <f>IFERROR(INDEX(_courses_lookup!$D:$D,MATCH(K134&amp;L134,_courses_lookup!$E:$E,0)),"")</f>
        <v/>
      </c>
      <c r="AG134" t="str">
        <f t="shared" si="22"/>
        <v/>
      </c>
      <c r="AI134" t="str">
        <f t="shared" si="23"/>
        <v/>
      </c>
      <c r="AL134" t="str">
        <f t="shared" si="24"/>
        <v/>
      </c>
      <c r="AN134" t="str">
        <f t="shared" si="25"/>
        <v/>
      </c>
      <c r="AQ134" t="str">
        <f t="shared" si="26"/>
        <v/>
      </c>
      <c r="AR134" t="str">
        <f t="shared" si="27"/>
        <v/>
      </c>
      <c r="AS134" t="str">
        <f t="shared" si="28"/>
        <v/>
      </c>
      <c r="AT134" t="str">
        <f t="shared" si="29"/>
        <v/>
      </c>
      <c r="BG134" t="str">
        <f t="shared" si="30"/>
        <v/>
      </c>
      <c r="BH134" t="str">
        <f t="shared" si="31"/>
        <v/>
      </c>
      <c r="BL134" t="str">
        <f>IFERROR(INDEX(_names_lookup!$C:$C,MATCH(BK134,_names_lookup!$A:$A,0)),"")</f>
        <v/>
      </c>
      <c r="BM134" t="str">
        <f>IFERROR(INDEX(_names_lookup!$B:$B,MATCH(BK134,_names_lookup!$A:$A,0)),"")</f>
        <v/>
      </c>
      <c r="BS134" t="str">
        <f t="shared" si="32"/>
        <v/>
      </c>
    </row>
    <row r="135" spans="15:71" x14ac:dyDescent="0.2">
      <c r="O135" t="str">
        <f>IFERROR(INDEX(_courses_lookup!$C:$C,MATCH(K135&amp;L135,_courses_lookup!$E:$E,0)),"")</f>
        <v/>
      </c>
      <c r="P135" t="str">
        <f>IFERROR(INDEX(_courses_lookup!$D:$D,MATCH(K135&amp;L135,_courses_lookup!$E:$E,0)),"")</f>
        <v/>
      </c>
      <c r="AG135" t="str">
        <f t="shared" si="22"/>
        <v/>
      </c>
      <c r="AI135" t="str">
        <f t="shared" si="23"/>
        <v/>
      </c>
      <c r="AL135" t="str">
        <f t="shared" si="24"/>
        <v/>
      </c>
      <c r="AN135" t="str">
        <f t="shared" si="25"/>
        <v/>
      </c>
      <c r="AQ135" t="str">
        <f t="shared" si="26"/>
        <v/>
      </c>
      <c r="AR135" t="str">
        <f t="shared" si="27"/>
        <v/>
      </c>
      <c r="AS135" t="str">
        <f t="shared" si="28"/>
        <v/>
      </c>
      <c r="AT135" t="str">
        <f t="shared" si="29"/>
        <v/>
      </c>
      <c r="BG135" t="str">
        <f t="shared" si="30"/>
        <v/>
      </c>
      <c r="BH135" t="str">
        <f t="shared" si="31"/>
        <v/>
      </c>
      <c r="BL135" t="str">
        <f>IFERROR(INDEX(_names_lookup!$C:$C,MATCH(BK135,_names_lookup!$A:$A,0)),"")</f>
        <v/>
      </c>
      <c r="BM135" t="str">
        <f>IFERROR(INDEX(_names_lookup!$B:$B,MATCH(BK135,_names_lookup!$A:$A,0)),"")</f>
        <v/>
      </c>
      <c r="BS135" t="str">
        <f t="shared" si="32"/>
        <v/>
      </c>
    </row>
    <row r="136" spans="15:71" x14ac:dyDescent="0.2">
      <c r="O136" t="str">
        <f>IFERROR(INDEX(_courses_lookup!$C:$C,MATCH(K136&amp;L136,_courses_lookup!$E:$E,0)),"")</f>
        <v/>
      </c>
      <c r="P136" t="str">
        <f>IFERROR(INDEX(_courses_lookup!$D:$D,MATCH(K136&amp;L136,_courses_lookup!$E:$E,0)),"")</f>
        <v/>
      </c>
      <c r="AG136" t="str">
        <f t="shared" si="22"/>
        <v/>
      </c>
      <c r="AI136" t="str">
        <f t="shared" si="23"/>
        <v/>
      </c>
      <c r="AL136" t="str">
        <f t="shared" si="24"/>
        <v/>
      </c>
      <c r="AN136" t="str">
        <f t="shared" si="25"/>
        <v/>
      </c>
      <c r="AQ136" t="str">
        <f t="shared" si="26"/>
        <v/>
      </c>
      <c r="AR136" t="str">
        <f t="shared" si="27"/>
        <v/>
      </c>
      <c r="AS136" t="str">
        <f t="shared" si="28"/>
        <v/>
      </c>
      <c r="AT136" t="str">
        <f t="shared" si="29"/>
        <v/>
      </c>
      <c r="BG136" t="str">
        <f t="shared" si="30"/>
        <v/>
      </c>
      <c r="BH136" t="str">
        <f t="shared" si="31"/>
        <v/>
      </c>
      <c r="BL136" t="str">
        <f>IFERROR(INDEX(_names_lookup!$C:$C,MATCH(BK136,_names_lookup!$A:$A,0)),"")</f>
        <v/>
      </c>
      <c r="BM136" t="str">
        <f>IFERROR(INDEX(_names_lookup!$B:$B,MATCH(BK136,_names_lookup!$A:$A,0)),"")</f>
        <v/>
      </c>
      <c r="BS136" t="str">
        <f t="shared" si="32"/>
        <v/>
      </c>
    </row>
    <row r="137" spans="15:71" x14ac:dyDescent="0.2">
      <c r="O137" t="str">
        <f>IFERROR(INDEX(_courses_lookup!$C:$C,MATCH(K137&amp;L137,_courses_lookup!$E:$E,0)),"")</f>
        <v/>
      </c>
      <c r="P137" t="str">
        <f>IFERROR(INDEX(_courses_lookup!$D:$D,MATCH(K137&amp;L137,_courses_lookup!$E:$E,0)),"")</f>
        <v/>
      </c>
      <c r="AG137" t="str">
        <f t="shared" si="22"/>
        <v/>
      </c>
      <c r="AI137" t="str">
        <f t="shared" si="23"/>
        <v/>
      </c>
      <c r="AL137" t="str">
        <f t="shared" si="24"/>
        <v/>
      </c>
      <c r="AN137" t="str">
        <f t="shared" si="25"/>
        <v/>
      </c>
      <c r="AQ137" t="str">
        <f t="shared" si="26"/>
        <v/>
      </c>
      <c r="AR137" t="str">
        <f t="shared" si="27"/>
        <v/>
      </c>
      <c r="AS137" t="str">
        <f t="shared" si="28"/>
        <v/>
      </c>
      <c r="AT137" t="str">
        <f t="shared" si="29"/>
        <v/>
      </c>
      <c r="BG137" t="str">
        <f t="shared" si="30"/>
        <v/>
      </c>
      <c r="BH137" t="str">
        <f t="shared" si="31"/>
        <v/>
      </c>
      <c r="BL137" t="str">
        <f>IFERROR(INDEX(_names_lookup!$C:$C,MATCH(BK137,_names_lookup!$A:$A,0)),"")</f>
        <v/>
      </c>
      <c r="BM137" t="str">
        <f>IFERROR(INDEX(_names_lookup!$B:$B,MATCH(BK137,_names_lookup!$A:$A,0)),"")</f>
        <v/>
      </c>
      <c r="BS137" t="str">
        <f t="shared" si="32"/>
        <v/>
      </c>
    </row>
    <row r="138" spans="15:71" x14ac:dyDescent="0.2">
      <c r="O138" t="str">
        <f>IFERROR(INDEX(_courses_lookup!$C:$C,MATCH(K138&amp;L138,_courses_lookup!$E:$E,0)),"")</f>
        <v/>
      </c>
      <c r="P138" t="str">
        <f>IFERROR(INDEX(_courses_lookup!$D:$D,MATCH(K138&amp;L138,_courses_lookup!$E:$E,0)),"")</f>
        <v/>
      </c>
      <c r="AG138" t="str">
        <f t="shared" si="22"/>
        <v/>
      </c>
      <c r="AI138" t="str">
        <f t="shared" si="23"/>
        <v/>
      </c>
      <c r="AL138" t="str">
        <f t="shared" si="24"/>
        <v/>
      </c>
      <c r="AN138" t="str">
        <f t="shared" si="25"/>
        <v/>
      </c>
      <c r="AQ138" t="str">
        <f t="shared" si="26"/>
        <v/>
      </c>
      <c r="AR138" t="str">
        <f t="shared" si="27"/>
        <v/>
      </c>
      <c r="AS138" t="str">
        <f t="shared" si="28"/>
        <v/>
      </c>
      <c r="AT138" t="str">
        <f t="shared" si="29"/>
        <v/>
      </c>
      <c r="BG138" t="str">
        <f t="shared" si="30"/>
        <v/>
      </c>
      <c r="BH138" t="str">
        <f t="shared" si="31"/>
        <v/>
      </c>
      <c r="BL138" t="str">
        <f>IFERROR(INDEX(_names_lookup!$C:$C,MATCH(BK138,_names_lookup!$A:$A,0)),"")</f>
        <v/>
      </c>
      <c r="BM138" t="str">
        <f>IFERROR(INDEX(_names_lookup!$B:$B,MATCH(BK138,_names_lookup!$A:$A,0)),"")</f>
        <v/>
      </c>
      <c r="BS138" t="str">
        <f t="shared" si="32"/>
        <v/>
      </c>
    </row>
    <row r="139" spans="15:71" x14ac:dyDescent="0.2">
      <c r="O139" t="str">
        <f>IFERROR(INDEX(_courses_lookup!$C:$C,MATCH(K139&amp;L139,_courses_lookup!$E:$E,0)),"")</f>
        <v/>
      </c>
      <c r="P139" t="str">
        <f>IFERROR(INDEX(_courses_lookup!$D:$D,MATCH(K139&amp;L139,_courses_lookup!$E:$E,0)),"")</f>
        <v/>
      </c>
      <c r="AG139" t="str">
        <f t="shared" si="22"/>
        <v/>
      </c>
      <c r="AI139" t="str">
        <f t="shared" si="23"/>
        <v/>
      </c>
      <c r="AL139" t="str">
        <f t="shared" si="24"/>
        <v/>
      </c>
      <c r="AN139" t="str">
        <f t="shared" si="25"/>
        <v/>
      </c>
      <c r="AQ139" t="str">
        <f t="shared" si="26"/>
        <v/>
      </c>
      <c r="AR139" t="str">
        <f t="shared" si="27"/>
        <v/>
      </c>
      <c r="AS139" t="str">
        <f t="shared" si="28"/>
        <v/>
      </c>
      <c r="AT139" t="str">
        <f t="shared" si="29"/>
        <v/>
      </c>
      <c r="BG139" t="str">
        <f t="shared" si="30"/>
        <v/>
      </c>
      <c r="BH139" t="str">
        <f t="shared" si="31"/>
        <v/>
      </c>
      <c r="BL139" t="str">
        <f>IFERROR(INDEX(_names_lookup!$C:$C,MATCH(BK139,_names_lookup!$A:$A,0)),"")</f>
        <v/>
      </c>
      <c r="BM139" t="str">
        <f>IFERROR(INDEX(_names_lookup!$B:$B,MATCH(BK139,_names_lookup!$A:$A,0)),"")</f>
        <v/>
      </c>
      <c r="BS139" t="str">
        <f t="shared" si="32"/>
        <v/>
      </c>
    </row>
    <row r="140" spans="15:71" x14ac:dyDescent="0.2">
      <c r="O140" t="str">
        <f>IFERROR(INDEX(_courses_lookup!$C:$C,MATCH(K140&amp;L140,_courses_lookup!$E:$E,0)),"")</f>
        <v/>
      </c>
      <c r="P140" t="str">
        <f>IFERROR(INDEX(_courses_lookup!$D:$D,MATCH(K140&amp;L140,_courses_lookup!$E:$E,0)),"")</f>
        <v/>
      </c>
      <c r="AG140" t="str">
        <f t="shared" si="22"/>
        <v/>
      </c>
      <c r="AI140" t="str">
        <f t="shared" si="23"/>
        <v/>
      </c>
      <c r="AL140" t="str">
        <f t="shared" si="24"/>
        <v/>
      </c>
      <c r="AN140" t="str">
        <f t="shared" si="25"/>
        <v/>
      </c>
      <c r="AQ140" t="str">
        <f t="shared" si="26"/>
        <v/>
      </c>
      <c r="AR140" t="str">
        <f t="shared" si="27"/>
        <v/>
      </c>
      <c r="AS140" t="str">
        <f t="shared" si="28"/>
        <v/>
      </c>
      <c r="AT140" t="str">
        <f t="shared" si="29"/>
        <v/>
      </c>
      <c r="BG140" t="str">
        <f t="shared" si="30"/>
        <v/>
      </c>
      <c r="BH140" t="str">
        <f t="shared" si="31"/>
        <v/>
      </c>
      <c r="BL140" t="str">
        <f>IFERROR(INDEX(_names_lookup!$C:$C,MATCH(BK140,_names_lookup!$A:$A,0)),"")</f>
        <v/>
      </c>
      <c r="BM140" t="str">
        <f>IFERROR(INDEX(_names_lookup!$B:$B,MATCH(BK140,_names_lookup!$A:$A,0)),"")</f>
        <v/>
      </c>
      <c r="BS140" t="str">
        <f t="shared" si="32"/>
        <v/>
      </c>
    </row>
    <row r="141" spans="15:71" x14ac:dyDescent="0.2">
      <c r="O141" t="str">
        <f>IFERROR(INDEX(_courses_lookup!$C:$C,MATCH(K141&amp;L141,_courses_lookup!$E:$E,0)),"")</f>
        <v/>
      </c>
      <c r="P141" t="str">
        <f>IFERROR(INDEX(_courses_lookup!$D:$D,MATCH(K141&amp;L141,_courses_lookup!$E:$E,0)),"")</f>
        <v/>
      </c>
      <c r="AG141" t="str">
        <f t="shared" si="22"/>
        <v/>
      </c>
      <c r="AI141" t="str">
        <f t="shared" si="23"/>
        <v/>
      </c>
      <c r="AL141" t="str">
        <f t="shared" si="24"/>
        <v/>
      </c>
      <c r="AN141" t="str">
        <f t="shared" si="25"/>
        <v/>
      </c>
      <c r="AQ141" t="str">
        <f t="shared" si="26"/>
        <v/>
      </c>
      <c r="AR141" t="str">
        <f t="shared" si="27"/>
        <v/>
      </c>
      <c r="AS141" t="str">
        <f t="shared" si="28"/>
        <v/>
      </c>
      <c r="AT141" t="str">
        <f t="shared" si="29"/>
        <v/>
      </c>
      <c r="BG141" t="str">
        <f t="shared" si="30"/>
        <v/>
      </c>
      <c r="BH141" t="str">
        <f t="shared" si="31"/>
        <v/>
      </c>
      <c r="BL141" t="str">
        <f>IFERROR(INDEX(_names_lookup!$C:$C,MATCH(BK141,_names_lookup!$A:$A,0)),"")</f>
        <v/>
      </c>
      <c r="BM141" t="str">
        <f>IFERROR(INDEX(_names_lookup!$B:$B,MATCH(BK141,_names_lookup!$A:$A,0)),"")</f>
        <v/>
      </c>
      <c r="BS141" t="str">
        <f t="shared" si="32"/>
        <v/>
      </c>
    </row>
    <row r="142" spans="15:71" x14ac:dyDescent="0.2">
      <c r="O142" t="str">
        <f>IFERROR(INDEX(_courses_lookup!$C:$C,MATCH(K142&amp;L142,_courses_lookup!$E:$E,0)),"")</f>
        <v/>
      </c>
      <c r="P142" t="str">
        <f>IFERROR(INDEX(_courses_lookup!$D:$D,MATCH(K142&amp;L142,_courses_lookup!$E:$E,0)),"")</f>
        <v/>
      </c>
      <c r="AG142" t="str">
        <f t="shared" si="22"/>
        <v/>
      </c>
      <c r="AI142" t="str">
        <f t="shared" si="23"/>
        <v/>
      </c>
      <c r="AL142" t="str">
        <f t="shared" si="24"/>
        <v/>
      </c>
      <c r="AN142" t="str">
        <f t="shared" si="25"/>
        <v/>
      </c>
      <c r="AQ142" t="str">
        <f t="shared" si="26"/>
        <v/>
      </c>
      <c r="AR142" t="str">
        <f t="shared" si="27"/>
        <v/>
      </c>
      <c r="AS142" t="str">
        <f t="shared" si="28"/>
        <v/>
      </c>
      <c r="AT142" t="str">
        <f t="shared" si="29"/>
        <v/>
      </c>
      <c r="BG142" t="str">
        <f t="shared" si="30"/>
        <v/>
      </c>
      <c r="BH142" t="str">
        <f t="shared" si="31"/>
        <v/>
      </c>
      <c r="BL142" t="str">
        <f>IFERROR(INDEX(_names_lookup!$C:$C,MATCH(BK142,_names_lookup!$A:$A,0)),"")</f>
        <v/>
      </c>
      <c r="BM142" t="str">
        <f>IFERROR(INDEX(_names_lookup!$B:$B,MATCH(BK142,_names_lookup!$A:$A,0)),"")</f>
        <v/>
      </c>
      <c r="BS142" t="str">
        <f t="shared" si="32"/>
        <v/>
      </c>
    </row>
    <row r="143" spans="15:71" x14ac:dyDescent="0.2">
      <c r="O143" t="str">
        <f>IFERROR(INDEX(_courses_lookup!$C:$C,MATCH(K143&amp;L143,_courses_lookup!$E:$E,0)),"")</f>
        <v/>
      </c>
      <c r="P143" t="str">
        <f>IFERROR(INDEX(_courses_lookup!$D:$D,MATCH(K143&amp;L143,_courses_lookup!$E:$E,0)),"")</f>
        <v/>
      </c>
      <c r="AG143" t="str">
        <f t="shared" si="22"/>
        <v/>
      </c>
      <c r="AI143" t="str">
        <f t="shared" si="23"/>
        <v/>
      </c>
      <c r="AL143" t="str">
        <f t="shared" si="24"/>
        <v/>
      </c>
      <c r="AN143" t="str">
        <f t="shared" si="25"/>
        <v/>
      </c>
      <c r="AQ143" t="str">
        <f t="shared" si="26"/>
        <v/>
      </c>
      <c r="AR143" t="str">
        <f t="shared" si="27"/>
        <v/>
      </c>
      <c r="AS143" t="str">
        <f t="shared" si="28"/>
        <v/>
      </c>
      <c r="AT143" t="str">
        <f t="shared" si="29"/>
        <v/>
      </c>
      <c r="BG143" t="str">
        <f t="shared" si="30"/>
        <v/>
      </c>
      <c r="BH143" t="str">
        <f t="shared" si="31"/>
        <v/>
      </c>
      <c r="BL143" t="str">
        <f>IFERROR(INDEX(_names_lookup!$C:$C,MATCH(BK143,_names_lookup!$A:$A,0)),"")</f>
        <v/>
      </c>
      <c r="BM143" t="str">
        <f>IFERROR(INDEX(_names_lookup!$B:$B,MATCH(BK143,_names_lookup!$A:$A,0)),"")</f>
        <v/>
      </c>
      <c r="BS143" t="str">
        <f t="shared" si="32"/>
        <v/>
      </c>
    </row>
    <row r="144" spans="15:71" x14ac:dyDescent="0.2">
      <c r="O144" t="str">
        <f>IFERROR(INDEX(_courses_lookup!$C:$C,MATCH(K144&amp;L144,_courses_lookup!$E:$E,0)),"")</f>
        <v/>
      </c>
      <c r="P144" t="str">
        <f>IFERROR(INDEX(_courses_lookup!$D:$D,MATCH(K144&amp;L144,_courses_lookup!$E:$E,0)),"")</f>
        <v/>
      </c>
      <c r="AG144" t="str">
        <f t="shared" si="22"/>
        <v/>
      </c>
      <c r="AI144" t="str">
        <f t="shared" si="23"/>
        <v/>
      </c>
      <c r="AL144" t="str">
        <f t="shared" si="24"/>
        <v/>
      </c>
      <c r="AN144" t="str">
        <f t="shared" si="25"/>
        <v/>
      </c>
      <c r="AQ144" t="str">
        <f t="shared" si="26"/>
        <v/>
      </c>
      <c r="AR144" t="str">
        <f t="shared" si="27"/>
        <v/>
      </c>
      <c r="AS144" t="str">
        <f t="shared" si="28"/>
        <v/>
      </c>
      <c r="AT144" t="str">
        <f t="shared" si="29"/>
        <v/>
      </c>
      <c r="BG144" t="str">
        <f t="shared" si="30"/>
        <v/>
      </c>
      <c r="BH144" t="str">
        <f t="shared" si="31"/>
        <v/>
      </c>
      <c r="BL144" t="str">
        <f>IFERROR(INDEX(_names_lookup!$C:$C,MATCH(BK144,_names_lookup!$A:$A,0)),"")</f>
        <v/>
      </c>
      <c r="BM144" t="str">
        <f>IFERROR(INDEX(_names_lookup!$B:$B,MATCH(BK144,_names_lookup!$A:$A,0)),"")</f>
        <v/>
      </c>
      <c r="BS144" t="str">
        <f t="shared" si="32"/>
        <v/>
      </c>
    </row>
    <row r="145" spans="15:71" x14ac:dyDescent="0.2">
      <c r="O145" t="str">
        <f>IFERROR(INDEX(_courses_lookup!$C:$C,MATCH(K145&amp;L145,_courses_lookup!$E:$E,0)),"")</f>
        <v/>
      </c>
      <c r="P145" t="str">
        <f>IFERROR(INDEX(_courses_lookup!$D:$D,MATCH(K145&amp;L145,_courses_lookup!$E:$E,0)),"")</f>
        <v/>
      </c>
      <c r="AG145" t="str">
        <f t="shared" si="22"/>
        <v/>
      </c>
      <c r="AI145" t="str">
        <f t="shared" si="23"/>
        <v/>
      </c>
      <c r="AL145" t="str">
        <f t="shared" si="24"/>
        <v/>
      </c>
      <c r="AN145" t="str">
        <f t="shared" si="25"/>
        <v/>
      </c>
      <c r="AQ145" t="str">
        <f t="shared" si="26"/>
        <v/>
      </c>
      <c r="AR145" t="str">
        <f t="shared" si="27"/>
        <v/>
      </c>
      <c r="AS145" t="str">
        <f t="shared" si="28"/>
        <v/>
      </c>
      <c r="AT145" t="str">
        <f t="shared" si="29"/>
        <v/>
      </c>
      <c r="BG145" t="str">
        <f t="shared" si="30"/>
        <v/>
      </c>
      <c r="BH145" t="str">
        <f t="shared" si="31"/>
        <v/>
      </c>
      <c r="BL145" t="str">
        <f>IFERROR(INDEX(_names_lookup!$C:$C,MATCH(BK145,_names_lookup!$A:$A,0)),"")</f>
        <v/>
      </c>
      <c r="BM145" t="str">
        <f>IFERROR(INDEX(_names_lookup!$B:$B,MATCH(BK145,_names_lookup!$A:$A,0)),"")</f>
        <v/>
      </c>
      <c r="BS145" t="str">
        <f t="shared" si="32"/>
        <v/>
      </c>
    </row>
    <row r="146" spans="15:71" x14ac:dyDescent="0.2">
      <c r="O146" t="str">
        <f>IFERROR(INDEX(_courses_lookup!$C:$C,MATCH(K146&amp;L146,_courses_lookup!$E:$E,0)),"")</f>
        <v/>
      </c>
      <c r="P146" t="str">
        <f>IFERROR(INDEX(_courses_lookup!$D:$D,MATCH(K146&amp;L146,_courses_lookup!$E:$E,0)),"")</f>
        <v/>
      </c>
      <c r="AG146" t="str">
        <f t="shared" si="22"/>
        <v/>
      </c>
      <c r="AI146" t="str">
        <f t="shared" si="23"/>
        <v/>
      </c>
      <c r="AL146" t="str">
        <f t="shared" si="24"/>
        <v/>
      </c>
      <c r="AN146" t="str">
        <f t="shared" si="25"/>
        <v/>
      </c>
      <c r="AQ146" t="str">
        <f t="shared" si="26"/>
        <v/>
      </c>
      <c r="AR146" t="str">
        <f t="shared" si="27"/>
        <v/>
      </c>
      <c r="AS146" t="str">
        <f t="shared" si="28"/>
        <v/>
      </c>
      <c r="AT146" t="str">
        <f t="shared" si="29"/>
        <v/>
      </c>
      <c r="BG146" t="str">
        <f t="shared" si="30"/>
        <v/>
      </c>
      <c r="BH146" t="str">
        <f t="shared" si="31"/>
        <v/>
      </c>
      <c r="BL146" t="str">
        <f>IFERROR(INDEX(_names_lookup!$C:$C,MATCH(BK146,_names_lookup!$A:$A,0)),"")</f>
        <v/>
      </c>
      <c r="BM146" t="str">
        <f>IFERROR(INDEX(_names_lookup!$B:$B,MATCH(BK146,_names_lookup!$A:$A,0)),"")</f>
        <v/>
      </c>
      <c r="BS146" t="str">
        <f t="shared" si="32"/>
        <v/>
      </c>
    </row>
    <row r="147" spans="15:71" x14ac:dyDescent="0.2">
      <c r="O147" t="str">
        <f>IFERROR(INDEX(_courses_lookup!$C:$C,MATCH(K147&amp;L147,_courses_lookup!$E:$E,0)),"")</f>
        <v/>
      </c>
      <c r="P147" t="str">
        <f>IFERROR(INDEX(_courses_lookup!$D:$D,MATCH(K147&amp;L147,_courses_lookup!$E:$E,0)),"")</f>
        <v/>
      </c>
      <c r="AG147" t="str">
        <f t="shared" si="22"/>
        <v/>
      </c>
      <c r="AI147" t="str">
        <f t="shared" si="23"/>
        <v/>
      </c>
      <c r="AL147" t="str">
        <f t="shared" si="24"/>
        <v/>
      </c>
      <c r="AN147" t="str">
        <f t="shared" si="25"/>
        <v/>
      </c>
      <c r="AQ147" t="str">
        <f t="shared" si="26"/>
        <v/>
      </c>
      <c r="AR147" t="str">
        <f t="shared" si="27"/>
        <v/>
      </c>
      <c r="AS147" t="str">
        <f t="shared" si="28"/>
        <v/>
      </c>
      <c r="AT147" t="str">
        <f t="shared" si="29"/>
        <v/>
      </c>
      <c r="BG147" t="str">
        <f t="shared" si="30"/>
        <v/>
      </c>
      <c r="BH147" t="str">
        <f t="shared" si="31"/>
        <v/>
      </c>
      <c r="BL147" t="str">
        <f>IFERROR(INDEX(_names_lookup!$C:$C,MATCH(BK147,_names_lookup!$A:$A,0)),"")</f>
        <v/>
      </c>
      <c r="BM147" t="str">
        <f>IFERROR(INDEX(_names_lookup!$B:$B,MATCH(BK147,_names_lookup!$A:$A,0)),"")</f>
        <v/>
      </c>
      <c r="BS147" t="str">
        <f t="shared" si="32"/>
        <v/>
      </c>
    </row>
    <row r="148" spans="15:71" x14ac:dyDescent="0.2">
      <c r="O148" t="str">
        <f>IFERROR(INDEX(_courses_lookup!$C:$C,MATCH(K148&amp;L148,_courses_lookup!$E:$E,0)),"")</f>
        <v/>
      </c>
      <c r="P148" t="str">
        <f>IFERROR(INDEX(_courses_lookup!$D:$D,MATCH(K148&amp;L148,_courses_lookup!$E:$E,0)),"")</f>
        <v/>
      </c>
      <c r="AG148" t="str">
        <f t="shared" si="22"/>
        <v/>
      </c>
      <c r="AI148" t="str">
        <f t="shared" si="23"/>
        <v/>
      </c>
      <c r="AL148" t="str">
        <f t="shared" si="24"/>
        <v/>
      </c>
      <c r="AN148" t="str">
        <f t="shared" si="25"/>
        <v/>
      </c>
      <c r="AQ148" t="str">
        <f t="shared" si="26"/>
        <v/>
      </c>
      <c r="AR148" t="str">
        <f t="shared" si="27"/>
        <v/>
      </c>
      <c r="AS148" t="str">
        <f t="shared" si="28"/>
        <v/>
      </c>
      <c r="AT148" t="str">
        <f t="shared" si="29"/>
        <v/>
      </c>
      <c r="BG148" t="str">
        <f t="shared" si="30"/>
        <v/>
      </c>
      <c r="BH148" t="str">
        <f t="shared" si="31"/>
        <v/>
      </c>
      <c r="BL148" t="str">
        <f>IFERROR(INDEX(_names_lookup!$C:$C,MATCH(BK148,_names_lookup!$A:$A,0)),"")</f>
        <v/>
      </c>
      <c r="BM148" t="str">
        <f>IFERROR(INDEX(_names_lookup!$B:$B,MATCH(BK148,_names_lookup!$A:$A,0)),"")</f>
        <v/>
      </c>
      <c r="BS148" t="str">
        <f t="shared" si="32"/>
        <v/>
      </c>
    </row>
    <row r="149" spans="15:71" x14ac:dyDescent="0.2">
      <c r="O149" t="str">
        <f>IFERROR(INDEX(_courses_lookup!$C:$C,MATCH(K149&amp;L149,_courses_lookup!$E:$E,0)),"")</f>
        <v/>
      </c>
      <c r="P149" t="str">
        <f>IFERROR(INDEX(_courses_lookup!$D:$D,MATCH(K149&amp;L149,_courses_lookup!$E:$E,0)),"")</f>
        <v/>
      </c>
      <c r="AG149" t="str">
        <f t="shared" si="22"/>
        <v/>
      </c>
      <c r="AI149" t="str">
        <f t="shared" si="23"/>
        <v/>
      </c>
      <c r="AL149" t="str">
        <f t="shared" si="24"/>
        <v/>
      </c>
      <c r="AN149" t="str">
        <f t="shared" si="25"/>
        <v/>
      </c>
      <c r="AQ149" t="str">
        <f t="shared" si="26"/>
        <v/>
      </c>
      <c r="AR149" t="str">
        <f t="shared" si="27"/>
        <v/>
      </c>
      <c r="AS149" t="str">
        <f t="shared" si="28"/>
        <v/>
      </c>
      <c r="AT149" t="str">
        <f t="shared" si="29"/>
        <v/>
      </c>
      <c r="BG149" t="str">
        <f t="shared" si="30"/>
        <v/>
      </c>
      <c r="BH149" t="str">
        <f t="shared" si="31"/>
        <v/>
      </c>
      <c r="BL149" t="str">
        <f>IFERROR(INDEX(_names_lookup!$C:$C,MATCH(BK149,_names_lookup!$A:$A,0)),"")</f>
        <v/>
      </c>
      <c r="BM149" t="str">
        <f>IFERROR(INDEX(_names_lookup!$B:$B,MATCH(BK149,_names_lookup!$A:$A,0)),"")</f>
        <v/>
      </c>
      <c r="BS149" t="str">
        <f t="shared" si="32"/>
        <v/>
      </c>
    </row>
    <row r="150" spans="15:71" x14ac:dyDescent="0.2">
      <c r="O150" t="str">
        <f>IFERROR(INDEX(_courses_lookup!$C:$C,MATCH(K150&amp;L150,_courses_lookup!$E:$E,0)),"")</f>
        <v/>
      </c>
      <c r="P150" t="str">
        <f>IFERROR(INDEX(_courses_lookup!$D:$D,MATCH(K150&amp;L150,_courses_lookup!$E:$E,0)),"")</f>
        <v/>
      </c>
      <c r="AG150" t="str">
        <f t="shared" si="22"/>
        <v/>
      </c>
      <c r="AI150" t="str">
        <f t="shared" si="23"/>
        <v/>
      </c>
      <c r="AL150" t="str">
        <f t="shared" si="24"/>
        <v/>
      </c>
      <c r="AN150" t="str">
        <f t="shared" si="25"/>
        <v/>
      </c>
      <c r="AQ150" t="str">
        <f t="shared" si="26"/>
        <v/>
      </c>
      <c r="AR150" t="str">
        <f t="shared" si="27"/>
        <v/>
      </c>
      <c r="AS150" t="str">
        <f t="shared" si="28"/>
        <v/>
      </c>
      <c r="AT150" t="str">
        <f t="shared" si="29"/>
        <v/>
      </c>
      <c r="BG150" t="str">
        <f t="shared" si="30"/>
        <v/>
      </c>
      <c r="BH150" t="str">
        <f t="shared" si="31"/>
        <v/>
      </c>
      <c r="BL150" t="str">
        <f>IFERROR(INDEX(_names_lookup!$C:$C,MATCH(BK150,_names_lookup!$A:$A,0)),"")</f>
        <v/>
      </c>
      <c r="BM150" t="str">
        <f>IFERROR(INDEX(_names_lookup!$B:$B,MATCH(BK150,_names_lookup!$A:$A,0)),"")</f>
        <v/>
      </c>
      <c r="BS150" t="str">
        <f t="shared" si="32"/>
        <v/>
      </c>
    </row>
    <row r="151" spans="15:71" x14ac:dyDescent="0.2">
      <c r="O151" t="str">
        <f>IFERROR(INDEX(_courses_lookup!$C:$C,MATCH(K151&amp;L151,_courses_lookup!$E:$E,0)),"")</f>
        <v/>
      </c>
      <c r="P151" t="str">
        <f>IFERROR(INDEX(_courses_lookup!$D:$D,MATCH(K151&amp;L151,_courses_lookup!$E:$E,0)),"")</f>
        <v/>
      </c>
      <c r="AG151" t="str">
        <f t="shared" si="22"/>
        <v/>
      </c>
      <c r="AI151" t="str">
        <f t="shared" si="23"/>
        <v/>
      </c>
      <c r="AL151" t="str">
        <f t="shared" si="24"/>
        <v/>
      </c>
      <c r="AN151" t="str">
        <f t="shared" si="25"/>
        <v/>
      </c>
      <c r="AQ151" t="str">
        <f t="shared" si="26"/>
        <v/>
      </c>
      <c r="AR151" t="str">
        <f t="shared" si="27"/>
        <v/>
      </c>
      <c r="AS151" t="str">
        <f t="shared" si="28"/>
        <v/>
      </c>
      <c r="AT151" t="str">
        <f t="shared" si="29"/>
        <v/>
      </c>
      <c r="BG151" t="str">
        <f t="shared" si="30"/>
        <v/>
      </c>
      <c r="BH151" t="str">
        <f t="shared" si="31"/>
        <v/>
      </c>
      <c r="BL151" t="str">
        <f>IFERROR(INDEX(_names_lookup!$C:$C,MATCH(BK151,_names_lookup!$A:$A,0)),"")</f>
        <v/>
      </c>
      <c r="BM151" t="str">
        <f>IFERROR(INDEX(_names_lookup!$B:$B,MATCH(BK151,_names_lookup!$A:$A,0)),"")</f>
        <v/>
      </c>
      <c r="BS151" t="str">
        <f t="shared" si="32"/>
        <v/>
      </c>
    </row>
    <row r="152" spans="15:71" x14ac:dyDescent="0.2">
      <c r="O152" t="str">
        <f>IFERROR(INDEX(_courses_lookup!$C:$C,MATCH(K152&amp;L152,_courses_lookup!$E:$E,0)),"")</f>
        <v/>
      </c>
      <c r="P152" t="str">
        <f>IFERROR(INDEX(_courses_lookup!$D:$D,MATCH(K152&amp;L152,_courses_lookup!$E:$E,0)),"")</f>
        <v/>
      </c>
      <c r="AG152" t="str">
        <f t="shared" si="22"/>
        <v/>
      </c>
      <c r="AI152" t="str">
        <f t="shared" si="23"/>
        <v/>
      </c>
      <c r="AL152" t="str">
        <f t="shared" si="24"/>
        <v/>
      </c>
      <c r="AN152" t="str">
        <f t="shared" si="25"/>
        <v/>
      </c>
      <c r="AQ152" t="str">
        <f t="shared" si="26"/>
        <v/>
      </c>
      <c r="AR152" t="str">
        <f t="shared" si="27"/>
        <v/>
      </c>
      <c r="AS152" t="str">
        <f t="shared" si="28"/>
        <v/>
      </c>
      <c r="AT152" t="str">
        <f t="shared" si="29"/>
        <v/>
      </c>
      <c r="BG152" t="str">
        <f t="shared" si="30"/>
        <v/>
      </c>
      <c r="BH152" t="str">
        <f t="shared" si="31"/>
        <v/>
      </c>
      <c r="BL152" t="str">
        <f>IFERROR(INDEX(_names_lookup!$C:$C,MATCH(BK152,_names_lookup!$A:$A,0)),"")</f>
        <v/>
      </c>
      <c r="BM152" t="str">
        <f>IFERROR(INDEX(_names_lookup!$B:$B,MATCH(BK152,_names_lookup!$A:$A,0)),"")</f>
        <v/>
      </c>
      <c r="BS152" t="str">
        <f t="shared" si="32"/>
        <v/>
      </c>
    </row>
    <row r="153" spans="15:71" x14ac:dyDescent="0.2">
      <c r="O153" t="str">
        <f>IFERROR(INDEX(_courses_lookup!$C:$C,MATCH(K153&amp;L153,_courses_lookup!$E:$E,0)),"")</f>
        <v/>
      </c>
      <c r="P153" t="str">
        <f>IFERROR(INDEX(_courses_lookup!$D:$D,MATCH(K153&amp;L153,_courses_lookup!$E:$E,0)),"")</f>
        <v/>
      </c>
      <c r="AG153" t="str">
        <f t="shared" si="22"/>
        <v/>
      </c>
      <c r="AI153" t="str">
        <f t="shared" si="23"/>
        <v/>
      </c>
      <c r="AL153" t="str">
        <f t="shared" si="24"/>
        <v/>
      </c>
      <c r="AN153" t="str">
        <f t="shared" si="25"/>
        <v/>
      </c>
      <c r="AQ153" t="str">
        <f t="shared" si="26"/>
        <v/>
      </c>
      <c r="AR153" t="str">
        <f t="shared" si="27"/>
        <v/>
      </c>
      <c r="AS153" t="str">
        <f t="shared" si="28"/>
        <v/>
      </c>
      <c r="AT153" t="str">
        <f t="shared" si="29"/>
        <v/>
      </c>
      <c r="BG153" t="str">
        <f t="shared" si="30"/>
        <v/>
      </c>
      <c r="BH153" t="str">
        <f t="shared" si="31"/>
        <v/>
      </c>
      <c r="BL153" t="str">
        <f>IFERROR(INDEX(_names_lookup!$C:$C,MATCH(BK153,_names_lookup!$A:$A,0)),"")</f>
        <v/>
      </c>
      <c r="BM153" t="str">
        <f>IFERROR(INDEX(_names_lookup!$B:$B,MATCH(BK153,_names_lookup!$A:$A,0)),"")</f>
        <v/>
      </c>
      <c r="BS153" t="str">
        <f t="shared" si="32"/>
        <v/>
      </c>
    </row>
    <row r="154" spans="15:71" x14ac:dyDescent="0.2">
      <c r="O154" t="str">
        <f>IFERROR(INDEX(_courses_lookup!$C:$C,MATCH(K154&amp;L154,_courses_lookup!$E:$E,0)),"")</f>
        <v/>
      </c>
      <c r="P154" t="str">
        <f>IFERROR(INDEX(_courses_lookup!$D:$D,MATCH(K154&amp;L154,_courses_lookup!$E:$E,0)),"")</f>
        <v/>
      </c>
      <c r="AG154" t="str">
        <f t="shared" si="22"/>
        <v/>
      </c>
      <c r="AI154" t="str">
        <f t="shared" si="23"/>
        <v/>
      </c>
      <c r="AL154" t="str">
        <f t="shared" si="24"/>
        <v/>
      </c>
      <c r="AN154" t="str">
        <f t="shared" si="25"/>
        <v/>
      </c>
      <c r="AQ154" t="str">
        <f t="shared" si="26"/>
        <v/>
      </c>
      <c r="AR154" t="str">
        <f t="shared" si="27"/>
        <v/>
      </c>
      <c r="AS154" t="str">
        <f t="shared" si="28"/>
        <v/>
      </c>
      <c r="AT154" t="str">
        <f t="shared" si="29"/>
        <v/>
      </c>
      <c r="BG154" t="str">
        <f t="shared" si="30"/>
        <v/>
      </c>
      <c r="BH154" t="str">
        <f t="shared" si="31"/>
        <v/>
      </c>
      <c r="BL154" t="str">
        <f>IFERROR(INDEX(_names_lookup!$C:$C,MATCH(BK154,_names_lookup!$A:$A,0)),"")</f>
        <v/>
      </c>
      <c r="BM154" t="str">
        <f>IFERROR(INDEX(_names_lookup!$B:$B,MATCH(BK154,_names_lookup!$A:$A,0)),"")</f>
        <v/>
      </c>
      <c r="BS154" t="str">
        <f t="shared" si="32"/>
        <v/>
      </c>
    </row>
    <row r="155" spans="15:71" x14ac:dyDescent="0.2">
      <c r="O155" t="str">
        <f>IFERROR(INDEX(_courses_lookup!$C:$C,MATCH(K155&amp;L155,_courses_lookup!$E:$E,0)),"")</f>
        <v/>
      </c>
      <c r="P155" t="str">
        <f>IFERROR(INDEX(_courses_lookup!$D:$D,MATCH(K155&amp;L155,_courses_lookup!$E:$E,0)),"")</f>
        <v/>
      </c>
      <c r="AG155" t="str">
        <f t="shared" si="22"/>
        <v/>
      </c>
      <c r="AI155" t="str">
        <f t="shared" si="23"/>
        <v/>
      </c>
      <c r="AL155" t="str">
        <f t="shared" si="24"/>
        <v/>
      </c>
      <c r="AN155" t="str">
        <f t="shared" si="25"/>
        <v/>
      </c>
      <c r="AQ155" t="str">
        <f t="shared" si="26"/>
        <v/>
      </c>
      <c r="AR155" t="str">
        <f t="shared" si="27"/>
        <v/>
      </c>
      <c r="AS155" t="str">
        <f t="shared" si="28"/>
        <v/>
      </c>
      <c r="AT155" t="str">
        <f t="shared" si="29"/>
        <v/>
      </c>
      <c r="BG155" t="str">
        <f t="shared" si="30"/>
        <v/>
      </c>
      <c r="BH155" t="str">
        <f t="shared" si="31"/>
        <v/>
      </c>
      <c r="BL155" t="str">
        <f>IFERROR(INDEX(_names_lookup!$C:$C,MATCH(BK155,_names_lookup!$A:$A,0)),"")</f>
        <v/>
      </c>
      <c r="BM155" t="str">
        <f>IFERROR(INDEX(_names_lookup!$B:$B,MATCH(BK155,_names_lookup!$A:$A,0)),"")</f>
        <v/>
      </c>
      <c r="BS155" t="str">
        <f t="shared" si="32"/>
        <v/>
      </c>
    </row>
    <row r="156" spans="15:71" x14ac:dyDescent="0.2">
      <c r="O156" t="str">
        <f>IFERROR(INDEX(_courses_lookup!$C:$C,MATCH(K156&amp;L156,_courses_lookup!$E:$E,0)),"")</f>
        <v/>
      </c>
      <c r="P156" t="str">
        <f>IFERROR(INDEX(_courses_lookup!$D:$D,MATCH(K156&amp;L156,_courses_lookup!$E:$E,0)),"")</f>
        <v/>
      </c>
      <c r="AG156" t="str">
        <f t="shared" si="22"/>
        <v/>
      </c>
      <c r="AI156" t="str">
        <f t="shared" si="23"/>
        <v/>
      </c>
      <c r="AL156" t="str">
        <f t="shared" si="24"/>
        <v/>
      </c>
      <c r="AN156" t="str">
        <f t="shared" si="25"/>
        <v/>
      </c>
      <c r="AQ156" t="str">
        <f t="shared" si="26"/>
        <v/>
      </c>
      <c r="AR156" t="str">
        <f t="shared" si="27"/>
        <v/>
      </c>
      <c r="AS156" t="str">
        <f t="shared" si="28"/>
        <v/>
      </c>
      <c r="AT156" t="str">
        <f t="shared" si="29"/>
        <v/>
      </c>
      <c r="BG156" t="str">
        <f t="shared" si="30"/>
        <v/>
      </c>
      <c r="BH156" t="str">
        <f t="shared" si="31"/>
        <v/>
      </c>
      <c r="BL156" t="str">
        <f>IFERROR(INDEX(_names_lookup!$C:$C,MATCH(BK156,_names_lookup!$A:$A,0)),"")</f>
        <v/>
      </c>
      <c r="BM156" t="str">
        <f>IFERROR(INDEX(_names_lookup!$B:$B,MATCH(BK156,_names_lookup!$A:$A,0)),"")</f>
        <v/>
      </c>
      <c r="BS156" t="str">
        <f t="shared" si="32"/>
        <v/>
      </c>
    </row>
    <row r="157" spans="15:71" x14ac:dyDescent="0.2">
      <c r="O157" t="str">
        <f>IFERROR(INDEX(_courses_lookup!$C:$C,MATCH(K157&amp;L157,_courses_lookup!$E:$E,0)),"")</f>
        <v/>
      </c>
      <c r="P157" t="str">
        <f>IFERROR(INDEX(_courses_lookup!$D:$D,MATCH(K157&amp;L157,_courses_lookup!$E:$E,0)),"")</f>
        <v/>
      </c>
      <c r="AG157" t="str">
        <f t="shared" si="22"/>
        <v/>
      </c>
      <c r="AI157" t="str">
        <f t="shared" si="23"/>
        <v/>
      </c>
      <c r="AL157" t="str">
        <f t="shared" si="24"/>
        <v/>
      </c>
      <c r="AN157" t="str">
        <f t="shared" si="25"/>
        <v/>
      </c>
      <c r="AQ157" t="str">
        <f t="shared" si="26"/>
        <v/>
      </c>
      <c r="AR157" t="str">
        <f t="shared" si="27"/>
        <v/>
      </c>
      <c r="AS157" t="str">
        <f t="shared" si="28"/>
        <v/>
      </c>
      <c r="AT157" t="str">
        <f t="shared" si="29"/>
        <v/>
      </c>
      <c r="BG157" t="str">
        <f t="shared" si="30"/>
        <v/>
      </c>
      <c r="BH157" t="str">
        <f t="shared" si="31"/>
        <v/>
      </c>
      <c r="BL157" t="str">
        <f>IFERROR(INDEX(_names_lookup!$C:$C,MATCH(BK157,_names_lookup!$A:$A,0)),"")</f>
        <v/>
      </c>
      <c r="BM157" t="str">
        <f>IFERROR(INDEX(_names_lookup!$B:$B,MATCH(BK157,_names_lookup!$A:$A,0)),"")</f>
        <v/>
      </c>
      <c r="BS157" t="str">
        <f t="shared" si="32"/>
        <v/>
      </c>
    </row>
    <row r="158" spans="15:71" x14ac:dyDescent="0.2">
      <c r="O158" t="str">
        <f>IFERROR(INDEX(_courses_lookup!$C:$C,MATCH(K158&amp;L158,_courses_lookup!$E:$E,0)),"")</f>
        <v/>
      </c>
      <c r="P158" t="str">
        <f>IFERROR(INDEX(_courses_lookup!$D:$D,MATCH(K158&amp;L158,_courses_lookup!$E:$E,0)),"")</f>
        <v/>
      </c>
      <c r="AG158" t="str">
        <f t="shared" si="22"/>
        <v/>
      </c>
      <c r="AI158" t="str">
        <f t="shared" si="23"/>
        <v/>
      </c>
      <c r="AL158" t="str">
        <f t="shared" si="24"/>
        <v/>
      </c>
      <c r="AN158" t="str">
        <f t="shared" si="25"/>
        <v/>
      </c>
      <c r="AQ158" t="str">
        <f t="shared" si="26"/>
        <v/>
      </c>
      <c r="AR158" t="str">
        <f t="shared" si="27"/>
        <v/>
      </c>
      <c r="AS158" t="str">
        <f t="shared" si="28"/>
        <v/>
      </c>
      <c r="AT158" t="str">
        <f t="shared" si="29"/>
        <v/>
      </c>
      <c r="BG158" t="str">
        <f t="shared" si="30"/>
        <v/>
      </c>
      <c r="BH158" t="str">
        <f t="shared" si="31"/>
        <v/>
      </c>
      <c r="BL158" t="str">
        <f>IFERROR(INDEX(_names_lookup!$C:$C,MATCH(BK158,_names_lookup!$A:$A,0)),"")</f>
        <v/>
      </c>
      <c r="BM158" t="str">
        <f>IFERROR(INDEX(_names_lookup!$B:$B,MATCH(BK158,_names_lookup!$A:$A,0)),"")</f>
        <v/>
      </c>
      <c r="BS158" t="str">
        <f t="shared" si="32"/>
        <v/>
      </c>
    </row>
    <row r="159" spans="15:71" x14ac:dyDescent="0.2">
      <c r="O159" t="str">
        <f>IFERROR(INDEX(_courses_lookup!$C:$C,MATCH(K159&amp;L159,_courses_lookup!$E:$E,0)),"")</f>
        <v/>
      </c>
      <c r="P159" t="str">
        <f>IFERROR(INDEX(_courses_lookup!$D:$D,MATCH(K159&amp;L159,_courses_lookup!$E:$E,0)),"")</f>
        <v/>
      </c>
      <c r="AG159" t="str">
        <f t="shared" si="22"/>
        <v/>
      </c>
      <c r="AI159" t="str">
        <f t="shared" si="23"/>
        <v/>
      </c>
      <c r="AL159" t="str">
        <f t="shared" si="24"/>
        <v/>
      </c>
      <c r="AN159" t="str">
        <f t="shared" si="25"/>
        <v/>
      </c>
      <c r="AQ159" t="str">
        <f t="shared" si="26"/>
        <v/>
      </c>
      <c r="AR159" t="str">
        <f t="shared" si="27"/>
        <v/>
      </c>
      <c r="AS159" t="str">
        <f t="shared" si="28"/>
        <v/>
      </c>
      <c r="AT159" t="str">
        <f t="shared" si="29"/>
        <v/>
      </c>
      <c r="BG159" t="str">
        <f t="shared" si="30"/>
        <v/>
      </c>
      <c r="BH159" t="str">
        <f t="shared" si="31"/>
        <v/>
      </c>
      <c r="BL159" t="str">
        <f>IFERROR(INDEX(_names_lookup!$C:$C,MATCH(BK159,_names_lookup!$A:$A,0)),"")</f>
        <v/>
      </c>
      <c r="BM159" t="str">
        <f>IFERROR(INDEX(_names_lookup!$B:$B,MATCH(BK159,_names_lookup!$A:$A,0)),"")</f>
        <v/>
      </c>
      <c r="BS159" t="str">
        <f t="shared" si="32"/>
        <v/>
      </c>
    </row>
    <row r="160" spans="15:71" x14ac:dyDescent="0.2">
      <c r="O160" t="str">
        <f>IFERROR(INDEX(_courses_lookup!$C:$C,MATCH(K160&amp;L160,_courses_lookup!$E:$E,0)),"")</f>
        <v/>
      </c>
      <c r="P160" t="str">
        <f>IFERROR(INDEX(_courses_lookup!$D:$D,MATCH(K160&amp;L160,_courses_lookup!$E:$E,0)),"")</f>
        <v/>
      </c>
      <c r="AG160" t="str">
        <f t="shared" si="22"/>
        <v/>
      </c>
      <c r="AI160" t="str">
        <f t="shared" si="23"/>
        <v/>
      </c>
      <c r="AL160" t="str">
        <f t="shared" si="24"/>
        <v/>
      </c>
      <c r="AN160" t="str">
        <f t="shared" si="25"/>
        <v/>
      </c>
      <c r="AQ160" t="str">
        <f t="shared" si="26"/>
        <v/>
      </c>
      <c r="AR160" t="str">
        <f t="shared" si="27"/>
        <v/>
      </c>
      <c r="AS160" t="str">
        <f t="shared" si="28"/>
        <v/>
      </c>
      <c r="AT160" t="str">
        <f t="shared" si="29"/>
        <v/>
      </c>
      <c r="BG160" t="str">
        <f t="shared" si="30"/>
        <v/>
      </c>
      <c r="BH160" t="str">
        <f t="shared" si="31"/>
        <v/>
      </c>
      <c r="BL160" t="str">
        <f>IFERROR(INDEX(_names_lookup!$C:$C,MATCH(BK160,_names_lookup!$A:$A,0)),"")</f>
        <v/>
      </c>
      <c r="BM160" t="str">
        <f>IFERROR(INDEX(_names_lookup!$B:$B,MATCH(BK160,_names_lookup!$A:$A,0)),"")</f>
        <v/>
      </c>
      <c r="BS160" t="str">
        <f t="shared" si="32"/>
        <v/>
      </c>
    </row>
    <row r="161" spans="15:71" x14ac:dyDescent="0.2">
      <c r="O161" t="str">
        <f>IFERROR(INDEX(_courses_lookup!$C:$C,MATCH(K161&amp;L161,_courses_lookup!$E:$E,0)),"")</f>
        <v/>
      </c>
      <c r="P161" t="str">
        <f>IFERROR(INDEX(_courses_lookup!$D:$D,MATCH(K161&amp;L161,_courses_lookup!$E:$E,0)),"")</f>
        <v/>
      </c>
      <c r="AG161" t="str">
        <f t="shared" si="22"/>
        <v/>
      </c>
      <c r="AI161" t="str">
        <f t="shared" si="23"/>
        <v/>
      </c>
      <c r="AL161" t="str">
        <f t="shared" si="24"/>
        <v/>
      </c>
      <c r="AN161" t="str">
        <f t="shared" si="25"/>
        <v/>
      </c>
      <c r="AQ161" t="str">
        <f t="shared" si="26"/>
        <v/>
      </c>
      <c r="AR161" t="str">
        <f t="shared" si="27"/>
        <v/>
      </c>
      <c r="AS161" t="str">
        <f t="shared" si="28"/>
        <v/>
      </c>
      <c r="AT161" t="str">
        <f t="shared" si="29"/>
        <v/>
      </c>
      <c r="BG161" t="str">
        <f t="shared" si="30"/>
        <v/>
      </c>
      <c r="BH161" t="str">
        <f t="shared" si="31"/>
        <v/>
      </c>
      <c r="BL161" t="str">
        <f>IFERROR(INDEX(_names_lookup!$C:$C,MATCH(BK161,_names_lookup!$A:$A,0)),"")</f>
        <v/>
      </c>
      <c r="BM161" t="str">
        <f>IFERROR(INDEX(_names_lookup!$B:$B,MATCH(BK161,_names_lookup!$A:$A,0)),"")</f>
        <v/>
      </c>
      <c r="BS161" t="str">
        <f t="shared" si="32"/>
        <v/>
      </c>
    </row>
    <row r="162" spans="15:71" x14ac:dyDescent="0.2">
      <c r="O162" t="str">
        <f>IFERROR(INDEX(_courses_lookup!$C:$C,MATCH(K162&amp;L162,_courses_lookup!$E:$E,0)),"")</f>
        <v/>
      </c>
      <c r="P162" t="str">
        <f>IFERROR(INDEX(_courses_lookup!$D:$D,MATCH(K162&amp;L162,_courses_lookup!$E:$E,0)),"")</f>
        <v/>
      </c>
      <c r="AG162" t="str">
        <f t="shared" si="22"/>
        <v/>
      </c>
      <c r="AI162" t="str">
        <f t="shared" si="23"/>
        <v/>
      </c>
      <c r="AL162" t="str">
        <f t="shared" si="24"/>
        <v/>
      </c>
      <c r="AN162" t="str">
        <f t="shared" si="25"/>
        <v/>
      </c>
      <c r="AQ162" t="str">
        <f t="shared" si="26"/>
        <v/>
      </c>
      <c r="AR162" t="str">
        <f t="shared" si="27"/>
        <v/>
      </c>
      <c r="AS162" t="str">
        <f t="shared" si="28"/>
        <v/>
      </c>
      <c r="AT162" t="str">
        <f t="shared" si="29"/>
        <v/>
      </c>
      <c r="BG162" t="str">
        <f t="shared" si="30"/>
        <v/>
      </c>
      <c r="BH162" t="str">
        <f t="shared" si="31"/>
        <v/>
      </c>
      <c r="BL162" t="str">
        <f>IFERROR(INDEX(_names_lookup!$C:$C,MATCH(BK162,_names_lookup!$A:$A,0)),"")</f>
        <v/>
      </c>
      <c r="BM162" t="str">
        <f>IFERROR(INDEX(_names_lookup!$B:$B,MATCH(BK162,_names_lookup!$A:$A,0)),"")</f>
        <v/>
      </c>
      <c r="BS162" t="str">
        <f t="shared" si="32"/>
        <v/>
      </c>
    </row>
    <row r="163" spans="15:71" x14ac:dyDescent="0.2">
      <c r="O163" t="str">
        <f>IFERROR(INDEX(_courses_lookup!$C:$C,MATCH(K163&amp;L163,_courses_lookup!$E:$E,0)),"")</f>
        <v/>
      </c>
      <c r="P163" t="str">
        <f>IFERROR(INDEX(_courses_lookup!$D:$D,MATCH(K163&amp;L163,_courses_lookup!$E:$E,0)),"")</f>
        <v/>
      </c>
      <c r="AG163" t="str">
        <f t="shared" si="22"/>
        <v/>
      </c>
      <c r="AI163" t="str">
        <f t="shared" si="23"/>
        <v/>
      </c>
      <c r="AL163" t="str">
        <f t="shared" si="24"/>
        <v/>
      </c>
      <c r="AN163" t="str">
        <f t="shared" si="25"/>
        <v/>
      </c>
      <c r="AQ163" t="str">
        <f t="shared" si="26"/>
        <v/>
      </c>
      <c r="AR163" t="str">
        <f t="shared" si="27"/>
        <v/>
      </c>
      <c r="AS163" t="str">
        <f t="shared" si="28"/>
        <v/>
      </c>
      <c r="AT163" t="str">
        <f t="shared" si="29"/>
        <v/>
      </c>
      <c r="BG163" t="str">
        <f t="shared" si="30"/>
        <v/>
      </c>
      <c r="BH163" t="str">
        <f t="shared" si="31"/>
        <v/>
      </c>
      <c r="BL163" t="str">
        <f>IFERROR(INDEX(_names_lookup!$C:$C,MATCH(BK163,_names_lookup!$A:$A,0)),"")</f>
        <v/>
      </c>
      <c r="BM163" t="str">
        <f>IFERROR(INDEX(_names_lookup!$B:$B,MATCH(BK163,_names_lookup!$A:$A,0)),"")</f>
        <v/>
      </c>
      <c r="BS163" t="str">
        <f t="shared" si="32"/>
        <v/>
      </c>
    </row>
    <row r="164" spans="15:71" x14ac:dyDescent="0.2">
      <c r="O164" t="str">
        <f>IFERROR(INDEX(_courses_lookup!$C:$C,MATCH(K164&amp;L164,_courses_lookup!$E:$E,0)),"")</f>
        <v/>
      </c>
      <c r="P164" t="str">
        <f>IFERROR(INDEX(_courses_lookup!$D:$D,MATCH(K164&amp;L164,_courses_lookup!$E:$E,0)),"")</f>
        <v/>
      </c>
      <c r="AG164" t="str">
        <f t="shared" si="22"/>
        <v/>
      </c>
      <c r="AI164" t="str">
        <f t="shared" si="23"/>
        <v/>
      </c>
      <c r="AL164" t="str">
        <f t="shared" si="24"/>
        <v/>
      </c>
      <c r="AN164" t="str">
        <f t="shared" si="25"/>
        <v/>
      </c>
      <c r="AQ164" t="str">
        <f t="shared" si="26"/>
        <v/>
      </c>
      <c r="AR164" t="str">
        <f t="shared" si="27"/>
        <v/>
      </c>
      <c r="AS164" t="str">
        <f t="shared" si="28"/>
        <v/>
      </c>
      <c r="AT164" t="str">
        <f t="shared" si="29"/>
        <v/>
      </c>
      <c r="BG164" t="str">
        <f t="shared" si="30"/>
        <v/>
      </c>
      <c r="BH164" t="str">
        <f t="shared" si="31"/>
        <v/>
      </c>
      <c r="BL164" t="str">
        <f>IFERROR(INDEX(_names_lookup!$C:$C,MATCH(BK164,_names_lookup!$A:$A,0)),"")</f>
        <v/>
      </c>
      <c r="BM164" t="str">
        <f>IFERROR(INDEX(_names_lookup!$B:$B,MATCH(BK164,_names_lookup!$A:$A,0)),"")</f>
        <v/>
      </c>
      <c r="BS164" t="str">
        <f t="shared" si="32"/>
        <v/>
      </c>
    </row>
    <row r="165" spans="15:71" x14ac:dyDescent="0.2">
      <c r="O165" t="str">
        <f>IFERROR(INDEX(_courses_lookup!$C:$C,MATCH(K165&amp;L165,_courses_lookup!$E:$E,0)),"")</f>
        <v/>
      </c>
      <c r="P165" t="str">
        <f>IFERROR(INDEX(_courses_lookup!$D:$D,MATCH(K165&amp;L165,_courses_lookup!$E:$E,0)),"")</f>
        <v/>
      </c>
      <c r="AG165" t="str">
        <f t="shared" si="22"/>
        <v/>
      </c>
      <c r="AI165" t="str">
        <f t="shared" si="23"/>
        <v/>
      </c>
      <c r="AL165" t="str">
        <f t="shared" si="24"/>
        <v/>
      </c>
      <c r="AN165" t="str">
        <f t="shared" si="25"/>
        <v/>
      </c>
      <c r="AQ165" t="str">
        <f t="shared" si="26"/>
        <v/>
      </c>
      <c r="AR165" t="str">
        <f t="shared" si="27"/>
        <v/>
      </c>
      <c r="AS165" t="str">
        <f t="shared" si="28"/>
        <v/>
      </c>
      <c r="AT165" t="str">
        <f t="shared" si="29"/>
        <v/>
      </c>
      <c r="BG165" t="str">
        <f t="shared" si="30"/>
        <v/>
      </c>
      <c r="BH165" t="str">
        <f t="shared" si="31"/>
        <v/>
      </c>
      <c r="BL165" t="str">
        <f>IFERROR(INDEX(_names_lookup!$C:$C,MATCH(BK165,_names_lookup!$A:$A,0)),"")</f>
        <v/>
      </c>
      <c r="BM165" t="str">
        <f>IFERROR(INDEX(_names_lookup!$B:$B,MATCH(BK165,_names_lookup!$A:$A,0)),"")</f>
        <v/>
      </c>
      <c r="BS165" t="str">
        <f t="shared" si="32"/>
        <v/>
      </c>
    </row>
    <row r="166" spans="15:71" x14ac:dyDescent="0.2">
      <c r="O166" t="str">
        <f>IFERROR(INDEX(_courses_lookup!$C:$C,MATCH(K166&amp;L166,_courses_lookup!$E:$E,0)),"")</f>
        <v/>
      </c>
      <c r="P166" t="str">
        <f>IFERROR(INDEX(_courses_lookup!$D:$D,MATCH(K166&amp;L166,_courses_lookup!$E:$E,0)),"")</f>
        <v/>
      </c>
      <c r="AG166" t="str">
        <f t="shared" si="22"/>
        <v/>
      </c>
      <c r="AI166" t="str">
        <f t="shared" si="23"/>
        <v/>
      </c>
      <c r="AL166" t="str">
        <f t="shared" si="24"/>
        <v/>
      </c>
      <c r="AN166" t="str">
        <f t="shared" si="25"/>
        <v/>
      </c>
      <c r="AQ166" t="str">
        <f t="shared" si="26"/>
        <v/>
      </c>
      <c r="AR166" t="str">
        <f t="shared" si="27"/>
        <v/>
      </c>
      <c r="AS166" t="str">
        <f t="shared" si="28"/>
        <v/>
      </c>
      <c r="AT166" t="str">
        <f t="shared" si="29"/>
        <v/>
      </c>
      <c r="BG166" t="str">
        <f t="shared" si="30"/>
        <v/>
      </c>
      <c r="BH166" t="str">
        <f t="shared" si="31"/>
        <v/>
      </c>
      <c r="BL166" t="str">
        <f>IFERROR(INDEX(_names_lookup!$C:$C,MATCH(BK166,_names_lookup!$A:$A,0)),"")</f>
        <v/>
      </c>
      <c r="BM166" t="str">
        <f>IFERROR(INDEX(_names_lookup!$B:$B,MATCH(BK166,_names_lookup!$A:$A,0)),"")</f>
        <v/>
      </c>
      <c r="BS166" t="str">
        <f t="shared" si="32"/>
        <v/>
      </c>
    </row>
    <row r="167" spans="15:71" x14ac:dyDescent="0.2">
      <c r="O167" t="str">
        <f>IFERROR(INDEX(_courses_lookup!$C:$C,MATCH(K167&amp;L167,_courses_lookup!$E:$E,0)),"")</f>
        <v/>
      </c>
      <c r="P167" t="str">
        <f>IFERROR(INDEX(_courses_lookup!$D:$D,MATCH(K167&amp;L167,_courses_lookup!$E:$E,0)),"")</f>
        <v/>
      </c>
      <c r="AG167" t="str">
        <f t="shared" si="22"/>
        <v/>
      </c>
      <c r="AI167" t="str">
        <f t="shared" si="23"/>
        <v/>
      </c>
      <c r="AL167" t="str">
        <f t="shared" si="24"/>
        <v/>
      </c>
      <c r="AN167" t="str">
        <f t="shared" si="25"/>
        <v/>
      </c>
      <c r="AQ167" t="str">
        <f t="shared" si="26"/>
        <v/>
      </c>
      <c r="AR167" t="str">
        <f t="shared" si="27"/>
        <v/>
      </c>
      <c r="AS167" t="str">
        <f t="shared" si="28"/>
        <v/>
      </c>
      <c r="AT167" t="str">
        <f t="shared" si="29"/>
        <v/>
      </c>
      <c r="BG167" t="str">
        <f t="shared" si="30"/>
        <v/>
      </c>
      <c r="BH167" t="str">
        <f t="shared" si="31"/>
        <v/>
      </c>
      <c r="BL167" t="str">
        <f>IFERROR(INDEX(_names_lookup!$C:$C,MATCH(BK167,_names_lookup!$A:$A,0)),"")</f>
        <v/>
      </c>
      <c r="BM167" t="str">
        <f>IFERROR(INDEX(_names_lookup!$B:$B,MATCH(BK167,_names_lookup!$A:$A,0)),"")</f>
        <v/>
      </c>
      <c r="BS167" t="str">
        <f t="shared" si="32"/>
        <v/>
      </c>
    </row>
    <row r="168" spans="15:71" x14ac:dyDescent="0.2">
      <c r="O168" t="str">
        <f>IFERROR(INDEX(_courses_lookup!$C:$C,MATCH(K168&amp;L168,_courses_lookup!$E:$E,0)),"")</f>
        <v/>
      </c>
      <c r="P168" t="str">
        <f>IFERROR(INDEX(_courses_lookup!$D:$D,MATCH(K168&amp;L168,_courses_lookup!$E:$E,0)),"")</f>
        <v/>
      </c>
      <c r="AG168" t="str">
        <f t="shared" si="22"/>
        <v/>
      </c>
      <c r="AI168" t="str">
        <f t="shared" si="23"/>
        <v/>
      </c>
      <c r="AL168" t="str">
        <f t="shared" si="24"/>
        <v/>
      </c>
      <c r="AN168" t="str">
        <f t="shared" si="25"/>
        <v/>
      </c>
      <c r="AQ168" t="str">
        <f t="shared" si="26"/>
        <v/>
      </c>
      <c r="AR168" t="str">
        <f t="shared" si="27"/>
        <v/>
      </c>
      <c r="AS168" t="str">
        <f t="shared" si="28"/>
        <v/>
      </c>
      <c r="AT168" t="str">
        <f t="shared" si="29"/>
        <v/>
      </c>
      <c r="BG168" t="str">
        <f t="shared" si="30"/>
        <v/>
      </c>
      <c r="BH168" t="str">
        <f t="shared" si="31"/>
        <v/>
      </c>
      <c r="BL168" t="str">
        <f>IFERROR(INDEX(_names_lookup!$C:$C,MATCH(BK168,_names_lookup!$A:$A,0)),"")</f>
        <v/>
      </c>
      <c r="BM168" t="str">
        <f>IFERROR(INDEX(_names_lookup!$B:$B,MATCH(BK168,_names_lookup!$A:$A,0)),"")</f>
        <v/>
      </c>
      <c r="BS168" t="str">
        <f t="shared" si="32"/>
        <v/>
      </c>
    </row>
    <row r="169" spans="15:71" x14ac:dyDescent="0.2">
      <c r="O169" t="str">
        <f>IFERROR(INDEX(_courses_lookup!$C:$C,MATCH(K169&amp;L169,_courses_lookup!$E:$E,0)),"")</f>
        <v/>
      </c>
      <c r="P169" t="str">
        <f>IFERROR(INDEX(_courses_lookup!$D:$D,MATCH(K169&amp;L169,_courses_lookup!$E:$E,0)),"")</f>
        <v/>
      </c>
      <c r="AG169" t="str">
        <f t="shared" si="22"/>
        <v/>
      </c>
      <c r="AI169" t="str">
        <f t="shared" si="23"/>
        <v/>
      </c>
      <c r="AL169" t="str">
        <f t="shared" si="24"/>
        <v/>
      </c>
      <c r="AN169" t="str">
        <f t="shared" si="25"/>
        <v/>
      </c>
      <c r="AQ169" t="str">
        <f t="shared" si="26"/>
        <v/>
      </c>
      <c r="AR169" t="str">
        <f t="shared" si="27"/>
        <v/>
      </c>
      <c r="AS169" t="str">
        <f t="shared" si="28"/>
        <v/>
      </c>
      <c r="AT169" t="str">
        <f t="shared" si="29"/>
        <v/>
      </c>
      <c r="BG169" t="str">
        <f t="shared" si="30"/>
        <v/>
      </c>
      <c r="BH169" t="str">
        <f t="shared" si="31"/>
        <v/>
      </c>
      <c r="BL169" t="str">
        <f>IFERROR(INDEX(_names_lookup!$C:$C,MATCH(BK169,_names_lookup!$A:$A,0)),"")</f>
        <v/>
      </c>
      <c r="BM169" t="str">
        <f>IFERROR(INDEX(_names_lookup!$B:$B,MATCH(BK169,_names_lookup!$A:$A,0)),"")</f>
        <v/>
      </c>
      <c r="BS169" t="str">
        <f t="shared" si="32"/>
        <v/>
      </c>
    </row>
    <row r="170" spans="15:71" x14ac:dyDescent="0.2">
      <c r="O170" t="str">
        <f>IFERROR(INDEX(_courses_lookup!$C:$C,MATCH(K170&amp;L170,_courses_lookup!$E:$E,0)),"")</f>
        <v/>
      </c>
      <c r="P170" t="str">
        <f>IFERROR(INDEX(_courses_lookup!$D:$D,MATCH(K170&amp;L170,_courses_lookup!$E:$E,0)),"")</f>
        <v/>
      </c>
      <c r="AG170" t="str">
        <f t="shared" si="22"/>
        <v/>
      </c>
      <c r="AI170" t="str">
        <f t="shared" si="23"/>
        <v/>
      </c>
      <c r="AL170" t="str">
        <f t="shared" si="24"/>
        <v/>
      </c>
      <c r="AN170" t="str">
        <f t="shared" si="25"/>
        <v/>
      </c>
      <c r="AQ170" t="str">
        <f t="shared" si="26"/>
        <v/>
      </c>
      <c r="AR170" t="str">
        <f t="shared" si="27"/>
        <v/>
      </c>
      <c r="AS170" t="str">
        <f t="shared" si="28"/>
        <v/>
      </c>
      <c r="AT170" t="str">
        <f t="shared" si="29"/>
        <v/>
      </c>
      <c r="BG170" t="str">
        <f t="shared" si="30"/>
        <v/>
      </c>
      <c r="BH170" t="str">
        <f t="shared" si="31"/>
        <v/>
      </c>
      <c r="BL170" t="str">
        <f>IFERROR(INDEX(_names_lookup!$C:$C,MATCH(BK170,_names_lookup!$A:$A,0)),"")</f>
        <v/>
      </c>
      <c r="BM170" t="str">
        <f>IFERROR(INDEX(_names_lookup!$B:$B,MATCH(BK170,_names_lookup!$A:$A,0)),"")</f>
        <v/>
      </c>
      <c r="BS170" t="str">
        <f t="shared" si="32"/>
        <v/>
      </c>
    </row>
    <row r="171" spans="15:71" x14ac:dyDescent="0.2">
      <c r="O171" t="str">
        <f>IFERROR(INDEX(_courses_lookup!$C:$C,MATCH(K171&amp;L171,_courses_lookup!$E:$E,0)),"")</f>
        <v/>
      </c>
      <c r="P171" t="str">
        <f>IFERROR(INDEX(_courses_lookup!$D:$D,MATCH(K171&amp;L171,_courses_lookup!$E:$E,0)),"")</f>
        <v/>
      </c>
      <c r="AG171" t="str">
        <f t="shared" si="22"/>
        <v/>
      </c>
      <c r="AI171" t="str">
        <f t="shared" si="23"/>
        <v/>
      </c>
      <c r="AL171" t="str">
        <f t="shared" si="24"/>
        <v/>
      </c>
      <c r="AN171" t="str">
        <f t="shared" si="25"/>
        <v/>
      </c>
      <c r="AQ171" t="str">
        <f t="shared" si="26"/>
        <v/>
      </c>
      <c r="AR171" t="str">
        <f t="shared" si="27"/>
        <v/>
      </c>
      <c r="AS171" t="str">
        <f t="shared" si="28"/>
        <v/>
      </c>
      <c r="AT171" t="str">
        <f t="shared" si="29"/>
        <v/>
      </c>
      <c r="BG171" t="str">
        <f t="shared" si="30"/>
        <v/>
      </c>
      <c r="BH171" t="str">
        <f t="shared" si="31"/>
        <v/>
      </c>
      <c r="BL171" t="str">
        <f>IFERROR(INDEX(_names_lookup!$C:$C,MATCH(BK171,_names_lookup!$A:$A,0)),"")</f>
        <v/>
      </c>
      <c r="BM171" t="str">
        <f>IFERROR(INDEX(_names_lookup!$B:$B,MATCH(BK171,_names_lookup!$A:$A,0)),"")</f>
        <v/>
      </c>
      <c r="BS171" t="str">
        <f t="shared" si="32"/>
        <v/>
      </c>
    </row>
    <row r="172" spans="15:71" x14ac:dyDescent="0.2">
      <c r="O172" t="str">
        <f>IFERROR(INDEX(_courses_lookup!$C:$C,MATCH(K172&amp;L172,_courses_lookup!$E:$E,0)),"")</f>
        <v/>
      </c>
      <c r="P172" t="str">
        <f>IFERROR(INDEX(_courses_lookup!$D:$D,MATCH(K172&amp;L172,_courses_lookup!$E:$E,0)),"")</f>
        <v/>
      </c>
      <c r="AG172" t="str">
        <f t="shared" si="22"/>
        <v/>
      </c>
      <c r="AI172" t="str">
        <f t="shared" si="23"/>
        <v/>
      </c>
      <c r="AL172" t="str">
        <f t="shared" si="24"/>
        <v/>
      </c>
      <c r="AN172" t="str">
        <f t="shared" si="25"/>
        <v/>
      </c>
      <c r="AQ172" t="str">
        <f t="shared" si="26"/>
        <v/>
      </c>
      <c r="AR172" t="str">
        <f t="shared" si="27"/>
        <v/>
      </c>
      <c r="AS172" t="str">
        <f t="shared" si="28"/>
        <v/>
      </c>
      <c r="AT172" t="str">
        <f t="shared" si="29"/>
        <v/>
      </c>
      <c r="BG172" t="str">
        <f t="shared" si="30"/>
        <v/>
      </c>
      <c r="BH172" t="str">
        <f t="shared" si="31"/>
        <v/>
      </c>
      <c r="BL172" t="str">
        <f>IFERROR(INDEX(_names_lookup!$C:$C,MATCH(BK172,_names_lookup!$A:$A,0)),"")</f>
        <v/>
      </c>
      <c r="BM172" t="str">
        <f>IFERROR(INDEX(_names_lookup!$B:$B,MATCH(BK172,_names_lookup!$A:$A,0)),"")</f>
        <v/>
      </c>
      <c r="BS172" t="str">
        <f t="shared" si="32"/>
        <v/>
      </c>
    </row>
    <row r="173" spans="15:71" x14ac:dyDescent="0.2">
      <c r="O173" t="str">
        <f>IFERROR(INDEX(_courses_lookup!$C:$C,MATCH(K173&amp;L173,_courses_lookup!$E:$E,0)),"")</f>
        <v/>
      </c>
      <c r="P173" t="str">
        <f>IFERROR(INDEX(_courses_lookup!$D:$D,MATCH(K173&amp;L173,_courses_lookup!$E:$E,0)),"")</f>
        <v/>
      </c>
      <c r="AG173" t="str">
        <f t="shared" si="22"/>
        <v/>
      </c>
      <c r="AI173" t="str">
        <f t="shared" si="23"/>
        <v/>
      </c>
      <c r="AL173" t="str">
        <f t="shared" si="24"/>
        <v/>
      </c>
      <c r="AN173" t="str">
        <f t="shared" si="25"/>
        <v/>
      </c>
      <c r="AQ173" t="str">
        <f t="shared" si="26"/>
        <v/>
      </c>
      <c r="AR173" t="str">
        <f t="shared" si="27"/>
        <v/>
      </c>
      <c r="AS173" t="str">
        <f t="shared" si="28"/>
        <v/>
      </c>
      <c r="AT173" t="str">
        <f t="shared" si="29"/>
        <v/>
      </c>
      <c r="BG173" t="str">
        <f t="shared" si="30"/>
        <v/>
      </c>
      <c r="BH173" t="str">
        <f t="shared" si="31"/>
        <v/>
      </c>
      <c r="BL173" t="str">
        <f>IFERROR(INDEX(_names_lookup!$C:$C,MATCH(BK173,_names_lookup!$A:$A,0)),"")</f>
        <v/>
      </c>
      <c r="BM173" t="str">
        <f>IFERROR(INDEX(_names_lookup!$B:$B,MATCH(BK173,_names_lookup!$A:$A,0)),"")</f>
        <v/>
      </c>
      <c r="BS173" t="str">
        <f t="shared" si="32"/>
        <v/>
      </c>
    </row>
    <row r="174" spans="15:71" x14ac:dyDescent="0.2">
      <c r="O174" t="str">
        <f>IFERROR(INDEX(_courses_lookup!$C:$C,MATCH(K174&amp;L174,_courses_lookup!$E:$E,0)),"")</f>
        <v/>
      </c>
      <c r="P174" t="str">
        <f>IFERROR(INDEX(_courses_lookup!$D:$D,MATCH(K174&amp;L174,_courses_lookup!$E:$E,0)),"")</f>
        <v/>
      </c>
      <c r="AG174" t="str">
        <f t="shared" si="22"/>
        <v/>
      </c>
      <c r="AI174" t="str">
        <f t="shared" si="23"/>
        <v/>
      </c>
      <c r="AL174" t="str">
        <f t="shared" si="24"/>
        <v/>
      </c>
      <c r="AN174" t="str">
        <f t="shared" si="25"/>
        <v/>
      </c>
      <c r="AQ174" t="str">
        <f t="shared" si="26"/>
        <v/>
      </c>
      <c r="AR174" t="str">
        <f t="shared" si="27"/>
        <v/>
      </c>
      <c r="AS174" t="str">
        <f t="shared" si="28"/>
        <v/>
      </c>
      <c r="AT174" t="str">
        <f t="shared" si="29"/>
        <v/>
      </c>
      <c r="BG174" t="str">
        <f t="shared" si="30"/>
        <v/>
      </c>
      <c r="BH174" t="str">
        <f t="shared" si="31"/>
        <v/>
      </c>
      <c r="BL174" t="str">
        <f>IFERROR(INDEX(_names_lookup!$C:$C,MATCH(BK174,_names_lookup!$A:$A,0)),"")</f>
        <v/>
      </c>
      <c r="BM174" t="str">
        <f>IFERROR(INDEX(_names_lookup!$B:$B,MATCH(BK174,_names_lookup!$A:$A,0)),"")</f>
        <v/>
      </c>
      <c r="BS174" t="str">
        <f t="shared" si="32"/>
        <v/>
      </c>
    </row>
    <row r="175" spans="15:71" x14ac:dyDescent="0.2">
      <c r="O175" t="str">
        <f>IFERROR(INDEX(_courses_lookup!$C:$C,MATCH(K175&amp;L175,_courses_lookup!$E:$E,0)),"")</f>
        <v/>
      </c>
      <c r="P175" t="str">
        <f>IFERROR(INDEX(_courses_lookup!$D:$D,MATCH(K175&amp;L175,_courses_lookup!$E:$E,0)),"")</f>
        <v/>
      </c>
      <c r="AG175" t="str">
        <f t="shared" si="22"/>
        <v/>
      </c>
      <c r="AI175" t="str">
        <f t="shared" si="23"/>
        <v/>
      </c>
      <c r="AL175" t="str">
        <f t="shared" si="24"/>
        <v/>
      </c>
      <c r="AN175" t="str">
        <f t="shared" si="25"/>
        <v/>
      </c>
      <c r="AQ175" t="str">
        <f t="shared" si="26"/>
        <v/>
      </c>
      <c r="AR175" t="str">
        <f t="shared" si="27"/>
        <v/>
      </c>
      <c r="AS175" t="str">
        <f t="shared" si="28"/>
        <v/>
      </c>
      <c r="AT175" t="str">
        <f t="shared" si="29"/>
        <v/>
      </c>
      <c r="BG175" t="str">
        <f t="shared" si="30"/>
        <v/>
      </c>
      <c r="BH175" t="str">
        <f t="shared" si="31"/>
        <v/>
      </c>
      <c r="BL175" t="str">
        <f>IFERROR(INDEX(_names_lookup!$C:$C,MATCH(BK175,_names_lookup!$A:$A,0)),"")</f>
        <v/>
      </c>
      <c r="BM175" t="str">
        <f>IFERROR(INDEX(_names_lookup!$B:$B,MATCH(BK175,_names_lookup!$A:$A,0)),"")</f>
        <v/>
      </c>
      <c r="BS175" t="str">
        <f t="shared" si="32"/>
        <v/>
      </c>
    </row>
    <row r="176" spans="15:71" x14ac:dyDescent="0.2">
      <c r="O176" t="str">
        <f>IFERROR(INDEX(_courses_lookup!$C:$C,MATCH(K176&amp;L176,_courses_lookup!$E:$E,0)),"")</f>
        <v/>
      </c>
      <c r="P176" t="str">
        <f>IFERROR(INDEX(_courses_lookup!$D:$D,MATCH(K176&amp;L176,_courses_lookup!$E:$E,0)),"")</f>
        <v/>
      </c>
      <c r="AG176" t="str">
        <f t="shared" si="22"/>
        <v/>
      </c>
      <c r="AI176" t="str">
        <f t="shared" si="23"/>
        <v/>
      </c>
      <c r="AL176" t="str">
        <f t="shared" si="24"/>
        <v/>
      </c>
      <c r="AN176" t="str">
        <f t="shared" si="25"/>
        <v/>
      </c>
      <c r="AQ176" t="str">
        <f t="shared" si="26"/>
        <v/>
      </c>
      <c r="AR176" t="str">
        <f t="shared" si="27"/>
        <v/>
      </c>
      <c r="AS176" t="str">
        <f t="shared" si="28"/>
        <v/>
      </c>
      <c r="AT176" t="str">
        <f t="shared" si="29"/>
        <v/>
      </c>
      <c r="BG176" t="str">
        <f t="shared" si="30"/>
        <v/>
      </c>
      <c r="BH176" t="str">
        <f t="shared" si="31"/>
        <v/>
      </c>
      <c r="BL176" t="str">
        <f>IFERROR(INDEX(_names_lookup!$C:$C,MATCH(BK176,_names_lookup!$A:$A,0)),"")</f>
        <v/>
      </c>
      <c r="BM176" t="str">
        <f>IFERROR(INDEX(_names_lookup!$B:$B,MATCH(BK176,_names_lookup!$A:$A,0)),"")</f>
        <v/>
      </c>
      <c r="BS176" t="str">
        <f t="shared" si="32"/>
        <v/>
      </c>
    </row>
    <row r="177" spans="15:71" x14ac:dyDescent="0.2">
      <c r="O177" t="str">
        <f>IFERROR(INDEX(_courses_lookup!$C:$C,MATCH(K177&amp;L177,_courses_lookup!$E:$E,0)),"")</f>
        <v/>
      </c>
      <c r="P177" t="str">
        <f>IFERROR(INDEX(_courses_lookup!$D:$D,MATCH(K177&amp;L177,_courses_lookup!$E:$E,0)),"")</f>
        <v/>
      </c>
      <c r="AG177" t="str">
        <f t="shared" si="22"/>
        <v/>
      </c>
      <c r="AI177" t="str">
        <f t="shared" si="23"/>
        <v/>
      </c>
      <c r="AL177" t="str">
        <f t="shared" si="24"/>
        <v/>
      </c>
      <c r="AN177" t="str">
        <f t="shared" si="25"/>
        <v/>
      </c>
      <c r="AQ177" t="str">
        <f t="shared" si="26"/>
        <v/>
      </c>
      <c r="AR177" t="str">
        <f t="shared" si="27"/>
        <v/>
      </c>
      <c r="AS177" t="str">
        <f t="shared" si="28"/>
        <v/>
      </c>
      <c r="AT177" t="str">
        <f t="shared" si="29"/>
        <v/>
      </c>
      <c r="BG177" t="str">
        <f t="shared" si="30"/>
        <v/>
      </c>
      <c r="BH177" t="str">
        <f t="shared" si="31"/>
        <v/>
      </c>
      <c r="BL177" t="str">
        <f>IFERROR(INDEX(_names_lookup!$C:$C,MATCH(BK177,_names_lookup!$A:$A,0)),"")</f>
        <v/>
      </c>
      <c r="BM177" t="str">
        <f>IFERROR(INDEX(_names_lookup!$B:$B,MATCH(BK177,_names_lookup!$A:$A,0)),"")</f>
        <v/>
      </c>
      <c r="BS177" t="str">
        <f t="shared" si="32"/>
        <v/>
      </c>
    </row>
    <row r="178" spans="15:71" x14ac:dyDescent="0.2">
      <c r="O178" t="str">
        <f>IFERROR(INDEX(_courses_lookup!$C:$C,MATCH(K178&amp;L178,_courses_lookup!$E:$E,0)),"")</f>
        <v/>
      </c>
      <c r="P178" t="str">
        <f>IFERROR(INDEX(_courses_lookup!$D:$D,MATCH(K178&amp;L178,_courses_lookup!$E:$E,0)),"")</f>
        <v/>
      </c>
      <c r="AG178" t="str">
        <f t="shared" si="22"/>
        <v/>
      </c>
      <c r="AI178" t="str">
        <f t="shared" si="23"/>
        <v/>
      </c>
      <c r="AL178" t="str">
        <f t="shared" si="24"/>
        <v/>
      </c>
      <c r="AN178" t="str">
        <f t="shared" si="25"/>
        <v/>
      </c>
      <c r="AQ178" t="str">
        <f t="shared" si="26"/>
        <v/>
      </c>
      <c r="AR178" t="str">
        <f t="shared" si="27"/>
        <v/>
      </c>
      <c r="AS178" t="str">
        <f t="shared" si="28"/>
        <v/>
      </c>
      <c r="AT178" t="str">
        <f t="shared" si="29"/>
        <v/>
      </c>
      <c r="BG178" t="str">
        <f t="shared" si="30"/>
        <v/>
      </c>
      <c r="BH178" t="str">
        <f t="shared" si="31"/>
        <v/>
      </c>
      <c r="BL178" t="str">
        <f>IFERROR(INDEX(_names_lookup!$C:$C,MATCH(BK178,_names_lookup!$A:$A,0)),"")</f>
        <v/>
      </c>
      <c r="BM178" t="str">
        <f>IFERROR(INDEX(_names_lookup!$B:$B,MATCH(BK178,_names_lookup!$A:$A,0)),"")</f>
        <v/>
      </c>
      <c r="BS178" t="str">
        <f t="shared" si="32"/>
        <v/>
      </c>
    </row>
    <row r="179" spans="15:71" x14ac:dyDescent="0.2">
      <c r="O179" t="str">
        <f>IFERROR(INDEX(_courses_lookup!$C:$C,MATCH(K179&amp;L179,_courses_lookup!$E:$E,0)),"")</f>
        <v/>
      </c>
      <c r="P179" t="str">
        <f>IFERROR(INDEX(_courses_lookup!$D:$D,MATCH(K179&amp;L179,_courses_lookup!$E:$E,0)),"")</f>
        <v/>
      </c>
      <c r="AG179" t="str">
        <f t="shared" si="22"/>
        <v/>
      </c>
      <c r="AI179" t="str">
        <f t="shared" si="23"/>
        <v/>
      </c>
      <c r="AL179" t="str">
        <f t="shared" si="24"/>
        <v/>
      </c>
      <c r="AN179" t="str">
        <f t="shared" si="25"/>
        <v/>
      </c>
      <c r="AQ179" t="str">
        <f t="shared" si="26"/>
        <v/>
      </c>
      <c r="AR179" t="str">
        <f t="shared" si="27"/>
        <v/>
      </c>
      <c r="AS179" t="str">
        <f t="shared" si="28"/>
        <v/>
      </c>
      <c r="AT179" t="str">
        <f t="shared" si="29"/>
        <v/>
      </c>
      <c r="BG179" t="str">
        <f t="shared" si="30"/>
        <v/>
      </c>
      <c r="BH179" t="str">
        <f t="shared" si="31"/>
        <v/>
      </c>
      <c r="BL179" t="str">
        <f>IFERROR(INDEX(_names_lookup!$C:$C,MATCH(BK179,_names_lookup!$A:$A,0)),"")</f>
        <v/>
      </c>
      <c r="BM179" t="str">
        <f>IFERROR(INDEX(_names_lookup!$B:$B,MATCH(BK179,_names_lookup!$A:$A,0)),"")</f>
        <v/>
      </c>
      <c r="BS179" t="str">
        <f t="shared" si="32"/>
        <v/>
      </c>
    </row>
    <row r="180" spans="15:71" x14ac:dyDescent="0.2">
      <c r="O180" t="str">
        <f>IFERROR(INDEX(_courses_lookup!$C:$C,MATCH(K180&amp;L180,_courses_lookup!$E:$E,0)),"")</f>
        <v/>
      </c>
      <c r="P180" t="str">
        <f>IFERROR(INDEX(_courses_lookup!$D:$D,MATCH(K180&amp;L180,_courses_lookup!$E:$E,0)),"")</f>
        <v/>
      </c>
      <c r="AG180" t="str">
        <f t="shared" si="22"/>
        <v/>
      </c>
      <c r="AI180" t="str">
        <f t="shared" si="23"/>
        <v/>
      </c>
      <c r="AL180" t="str">
        <f t="shared" si="24"/>
        <v/>
      </c>
      <c r="AN180" t="str">
        <f t="shared" si="25"/>
        <v/>
      </c>
      <c r="AQ180" t="str">
        <f t="shared" si="26"/>
        <v/>
      </c>
      <c r="AR180" t="str">
        <f t="shared" si="27"/>
        <v/>
      </c>
      <c r="AS180" t="str">
        <f t="shared" si="28"/>
        <v/>
      </c>
      <c r="AT180" t="str">
        <f t="shared" si="29"/>
        <v/>
      </c>
      <c r="BG180" t="str">
        <f t="shared" si="30"/>
        <v/>
      </c>
      <c r="BH180" t="str">
        <f t="shared" si="31"/>
        <v/>
      </c>
      <c r="BL180" t="str">
        <f>IFERROR(INDEX(_names_lookup!$C:$C,MATCH(BK180,_names_lookup!$A:$A,0)),"")</f>
        <v/>
      </c>
      <c r="BM180" t="str">
        <f>IFERROR(INDEX(_names_lookup!$B:$B,MATCH(BK180,_names_lookup!$A:$A,0)),"")</f>
        <v/>
      </c>
      <c r="BS180" t="str">
        <f t="shared" si="32"/>
        <v/>
      </c>
    </row>
    <row r="181" spans="15:71" x14ac:dyDescent="0.2">
      <c r="O181" t="str">
        <f>IFERROR(INDEX(_courses_lookup!$C:$C,MATCH(K181&amp;L181,_courses_lookup!$E:$E,0)),"")</f>
        <v/>
      </c>
      <c r="P181" t="str">
        <f>IFERROR(INDEX(_courses_lookup!$D:$D,MATCH(K181&amp;L181,_courses_lookup!$E:$E,0)),"")</f>
        <v/>
      </c>
      <c r="AG181" t="str">
        <f t="shared" si="22"/>
        <v/>
      </c>
      <c r="AI181" t="str">
        <f t="shared" si="23"/>
        <v/>
      </c>
      <c r="AL181" t="str">
        <f t="shared" si="24"/>
        <v/>
      </c>
      <c r="AN181" t="str">
        <f t="shared" si="25"/>
        <v/>
      </c>
      <c r="AQ181" t="str">
        <f t="shared" si="26"/>
        <v/>
      </c>
      <c r="AR181" t="str">
        <f t="shared" si="27"/>
        <v/>
      </c>
      <c r="AS181" t="str">
        <f t="shared" si="28"/>
        <v/>
      </c>
      <c r="AT181" t="str">
        <f t="shared" si="29"/>
        <v/>
      </c>
      <c r="BG181" t="str">
        <f t="shared" si="30"/>
        <v/>
      </c>
      <c r="BH181" t="str">
        <f t="shared" si="31"/>
        <v/>
      </c>
      <c r="BL181" t="str">
        <f>IFERROR(INDEX(_names_lookup!$C:$C,MATCH(BK181,_names_lookup!$A:$A,0)),"")</f>
        <v/>
      </c>
      <c r="BM181" t="str">
        <f>IFERROR(INDEX(_names_lookup!$B:$B,MATCH(BK181,_names_lookup!$A:$A,0)),"")</f>
        <v/>
      </c>
      <c r="BS181" t="str">
        <f t="shared" si="32"/>
        <v/>
      </c>
    </row>
    <row r="182" spans="15:71" x14ac:dyDescent="0.2">
      <c r="O182" t="str">
        <f>IFERROR(INDEX(_courses_lookup!$C:$C,MATCH(K182&amp;L182,_courses_lookup!$E:$E,0)),"")</f>
        <v/>
      </c>
      <c r="P182" t="str">
        <f>IFERROR(INDEX(_courses_lookup!$D:$D,MATCH(K182&amp;L182,_courses_lookup!$E:$E,0)),"")</f>
        <v/>
      </c>
      <c r="AG182" t="str">
        <f t="shared" si="22"/>
        <v/>
      </c>
      <c r="AI182" t="str">
        <f t="shared" si="23"/>
        <v/>
      </c>
      <c r="AL182" t="str">
        <f t="shared" si="24"/>
        <v/>
      </c>
      <c r="AN182" t="str">
        <f t="shared" si="25"/>
        <v/>
      </c>
      <c r="AQ182" t="str">
        <f t="shared" si="26"/>
        <v/>
      </c>
      <c r="AR182" t="str">
        <f t="shared" si="27"/>
        <v/>
      </c>
      <c r="AS182" t="str">
        <f t="shared" si="28"/>
        <v/>
      </c>
      <c r="AT182" t="str">
        <f t="shared" si="29"/>
        <v/>
      </c>
      <c r="BG182" t="str">
        <f t="shared" si="30"/>
        <v/>
      </c>
      <c r="BH182" t="str">
        <f t="shared" si="31"/>
        <v/>
      </c>
      <c r="BL182" t="str">
        <f>IFERROR(INDEX(_names_lookup!$C:$C,MATCH(BK182,_names_lookup!$A:$A,0)),"")</f>
        <v/>
      </c>
      <c r="BM182" t="str">
        <f>IFERROR(INDEX(_names_lookup!$B:$B,MATCH(BK182,_names_lookup!$A:$A,0)),"")</f>
        <v/>
      </c>
      <c r="BS182" t="str">
        <f t="shared" si="32"/>
        <v/>
      </c>
    </row>
    <row r="183" spans="15:71" x14ac:dyDescent="0.2">
      <c r="O183" t="str">
        <f>IFERROR(INDEX(_courses_lookup!$C:$C,MATCH(K183&amp;L183,_courses_lookup!$E:$E,0)),"")</f>
        <v/>
      </c>
      <c r="P183" t="str">
        <f>IFERROR(INDEX(_courses_lookup!$D:$D,MATCH(K183&amp;L183,_courses_lookup!$E:$E,0)),"")</f>
        <v/>
      </c>
      <c r="AG183" t="str">
        <f t="shared" si="22"/>
        <v/>
      </c>
      <c r="AI183" t="str">
        <f t="shared" si="23"/>
        <v/>
      </c>
      <c r="AL183" t="str">
        <f t="shared" si="24"/>
        <v/>
      </c>
      <c r="AN183" t="str">
        <f t="shared" si="25"/>
        <v/>
      </c>
      <c r="AQ183" t="str">
        <f t="shared" si="26"/>
        <v/>
      </c>
      <c r="AR183" t="str">
        <f t="shared" si="27"/>
        <v/>
      </c>
      <c r="AS183" t="str">
        <f t="shared" si="28"/>
        <v/>
      </c>
      <c r="AT183" t="str">
        <f t="shared" si="29"/>
        <v/>
      </c>
      <c r="BG183" t="str">
        <f t="shared" si="30"/>
        <v/>
      </c>
      <c r="BH183" t="str">
        <f t="shared" si="31"/>
        <v/>
      </c>
      <c r="BL183" t="str">
        <f>IFERROR(INDEX(_names_lookup!$C:$C,MATCH(BK183,_names_lookup!$A:$A,0)),"")</f>
        <v/>
      </c>
      <c r="BM183" t="str">
        <f>IFERROR(INDEX(_names_lookup!$B:$B,MATCH(BK183,_names_lookup!$A:$A,0)),"")</f>
        <v/>
      </c>
      <c r="BS183" t="str">
        <f t="shared" si="32"/>
        <v/>
      </c>
    </row>
    <row r="184" spans="15:71" x14ac:dyDescent="0.2">
      <c r="O184" t="str">
        <f>IFERROR(INDEX(_courses_lookup!$C:$C,MATCH(K184&amp;L184,_courses_lookup!$E:$E,0)),"")</f>
        <v/>
      </c>
      <c r="P184" t="str">
        <f>IFERROR(INDEX(_courses_lookup!$D:$D,MATCH(K184&amp;L184,_courses_lookup!$E:$E,0)),"")</f>
        <v/>
      </c>
      <c r="AG184" t="str">
        <f t="shared" si="22"/>
        <v/>
      </c>
      <c r="AI184" t="str">
        <f t="shared" si="23"/>
        <v/>
      </c>
      <c r="AL184" t="str">
        <f t="shared" si="24"/>
        <v/>
      </c>
      <c r="AN184" t="str">
        <f t="shared" si="25"/>
        <v/>
      </c>
      <c r="AQ184" t="str">
        <f t="shared" si="26"/>
        <v/>
      </c>
      <c r="AR184" t="str">
        <f t="shared" si="27"/>
        <v/>
      </c>
      <c r="AS184" t="str">
        <f t="shared" si="28"/>
        <v/>
      </c>
      <c r="AT184" t="str">
        <f t="shared" si="29"/>
        <v/>
      </c>
      <c r="BG184" t="str">
        <f t="shared" si="30"/>
        <v/>
      </c>
      <c r="BH184" t="str">
        <f t="shared" si="31"/>
        <v/>
      </c>
      <c r="BL184" t="str">
        <f>IFERROR(INDEX(_names_lookup!$C:$C,MATCH(BK184,_names_lookup!$A:$A,0)),"")</f>
        <v/>
      </c>
      <c r="BM184" t="str">
        <f>IFERROR(INDEX(_names_lookup!$B:$B,MATCH(BK184,_names_lookup!$A:$A,0)),"")</f>
        <v/>
      </c>
      <c r="BS184" t="str">
        <f t="shared" si="32"/>
        <v/>
      </c>
    </row>
    <row r="185" spans="15:71" x14ac:dyDescent="0.2">
      <c r="O185" t="str">
        <f>IFERROR(INDEX(_courses_lookup!$C:$C,MATCH(K185&amp;L185,_courses_lookup!$E:$E,0)),"")</f>
        <v/>
      </c>
      <c r="P185" t="str">
        <f>IFERROR(INDEX(_courses_lookup!$D:$D,MATCH(K185&amp;L185,_courses_lookup!$E:$E,0)),"")</f>
        <v/>
      </c>
      <c r="AG185" t="str">
        <f t="shared" si="22"/>
        <v/>
      </c>
      <c r="AI185" t="str">
        <f t="shared" si="23"/>
        <v/>
      </c>
      <c r="AL185" t="str">
        <f t="shared" si="24"/>
        <v/>
      </c>
      <c r="AN185" t="str">
        <f t="shared" si="25"/>
        <v/>
      </c>
      <c r="AQ185" t="str">
        <f t="shared" si="26"/>
        <v/>
      </c>
      <c r="AR185" t="str">
        <f t="shared" si="27"/>
        <v/>
      </c>
      <c r="AS185" t="str">
        <f t="shared" si="28"/>
        <v/>
      </c>
      <c r="AT185" t="str">
        <f t="shared" si="29"/>
        <v/>
      </c>
      <c r="BG185" t="str">
        <f t="shared" si="30"/>
        <v/>
      </c>
      <c r="BH185" t="str">
        <f t="shared" si="31"/>
        <v/>
      </c>
      <c r="BL185" t="str">
        <f>IFERROR(INDEX(_names_lookup!$C:$C,MATCH(BK185,_names_lookup!$A:$A,0)),"")</f>
        <v/>
      </c>
      <c r="BM185" t="str">
        <f>IFERROR(INDEX(_names_lookup!$B:$B,MATCH(BK185,_names_lookup!$A:$A,0)),"")</f>
        <v/>
      </c>
      <c r="BS185" t="str">
        <f t="shared" si="32"/>
        <v/>
      </c>
    </row>
    <row r="186" spans="15:71" x14ac:dyDescent="0.2">
      <c r="O186" t="str">
        <f>IFERROR(INDEX(_courses_lookup!$C:$C,MATCH(K186&amp;L186,_courses_lookup!$E:$E,0)),"")</f>
        <v/>
      </c>
      <c r="P186" t="str">
        <f>IFERROR(INDEX(_courses_lookup!$D:$D,MATCH(K186&amp;L186,_courses_lookup!$E:$E,0)),"")</f>
        <v/>
      </c>
      <c r="AG186" t="str">
        <f t="shared" si="22"/>
        <v/>
      </c>
      <c r="AI186" t="str">
        <f t="shared" si="23"/>
        <v/>
      </c>
      <c r="AL186" t="str">
        <f t="shared" si="24"/>
        <v/>
      </c>
      <c r="AN186" t="str">
        <f t="shared" si="25"/>
        <v/>
      </c>
      <c r="AQ186" t="str">
        <f t="shared" si="26"/>
        <v/>
      </c>
      <c r="AR186" t="str">
        <f t="shared" si="27"/>
        <v/>
      </c>
      <c r="AS186" t="str">
        <f t="shared" si="28"/>
        <v/>
      </c>
      <c r="AT186" t="str">
        <f t="shared" si="29"/>
        <v/>
      </c>
      <c r="BG186" t="str">
        <f t="shared" si="30"/>
        <v/>
      </c>
      <c r="BH186" t="str">
        <f t="shared" si="31"/>
        <v/>
      </c>
      <c r="BL186" t="str">
        <f>IFERROR(INDEX(_names_lookup!$C:$C,MATCH(BK186,_names_lookup!$A:$A,0)),"")</f>
        <v/>
      </c>
      <c r="BM186" t="str">
        <f>IFERROR(INDEX(_names_lookup!$B:$B,MATCH(BK186,_names_lookup!$A:$A,0)),"")</f>
        <v/>
      </c>
      <c r="BS186" t="str">
        <f t="shared" si="32"/>
        <v/>
      </c>
    </row>
    <row r="187" spans="15:71" x14ac:dyDescent="0.2">
      <c r="O187" t="str">
        <f>IFERROR(INDEX(_courses_lookup!$C:$C,MATCH(K187&amp;L187,_courses_lookup!$E:$E,0)),"")</f>
        <v/>
      </c>
      <c r="P187" t="str">
        <f>IFERROR(INDEX(_courses_lookup!$D:$D,MATCH(K187&amp;L187,_courses_lookup!$E:$E,0)),"")</f>
        <v/>
      </c>
      <c r="AG187" t="str">
        <f t="shared" si="22"/>
        <v/>
      </c>
      <c r="AI187" t="str">
        <f t="shared" si="23"/>
        <v/>
      </c>
      <c r="AL187" t="str">
        <f t="shared" si="24"/>
        <v/>
      </c>
      <c r="AN187" t="str">
        <f t="shared" si="25"/>
        <v/>
      </c>
      <c r="AQ187" t="str">
        <f t="shared" si="26"/>
        <v/>
      </c>
      <c r="AR187" t="str">
        <f t="shared" si="27"/>
        <v/>
      </c>
      <c r="AS187" t="str">
        <f t="shared" si="28"/>
        <v/>
      </c>
      <c r="AT187" t="str">
        <f t="shared" si="29"/>
        <v/>
      </c>
      <c r="BG187" t="str">
        <f t="shared" si="30"/>
        <v/>
      </c>
      <c r="BH187" t="str">
        <f t="shared" si="31"/>
        <v/>
      </c>
      <c r="BL187" t="str">
        <f>IFERROR(INDEX(_names_lookup!$C:$C,MATCH(BK187,_names_lookup!$A:$A,0)),"")</f>
        <v/>
      </c>
      <c r="BM187" t="str">
        <f>IFERROR(INDEX(_names_lookup!$B:$B,MATCH(BK187,_names_lookup!$A:$A,0)),"")</f>
        <v/>
      </c>
      <c r="BS187" t="str">
        <f t="shared" si="32"/>
        <v/>
      </c>
    </row>
    <row r="188" spans="15:71" x14ac:dyDescent="0.2">
      <c r="O188" t="str">
        <f>IFERROR(INDEX(_courses_lookup!$C:$C,MATCH(K188&amp;L188,_courses_lookup!$E:$E,0)),"")</f>
        <v/>
      </c>
      <c r="P188" t="str">
        <f>IFERROR(INDEX(_courses_lookup!$D:$D,MATCH(K188&amp;L188,_courses_lookup!$E:$E,0)),"")</f>
        <v/>
      </c>
      <c r="AG188" t="str">
        <f t="shared" si="22"/>
        <v/>
      </c>
      <c r="AI188" t="str">
        <f t="shared" si="23"/>
        <v/>
      </c>
      <c r="AL188" t="str">
        <f t="shared" si="24"/>
        <v/>
      </c>
      <c r="AN188" t="str">
        <f t="shared" si="25"/>
        <v/>
      </c>
      <c r="AQ188" t="str">
        <f t="shared" si="26"/>
        <v/>
      </c>
      <c r="AR188" t="str">
        <f t="shared" si="27"/>
        <v/>
      </c>
      <c r="AS188" t="str">
        <f t="shared" si="28"/>
        <v/>
      </c>
      <c r="AT188" t="str">
        <f t="shared" si="29"/>
        <v/>
      </c>
      <c r="BG188" t="str">
        <f t="shared" si="30"/>
        <v/>
      </c>
      <c r="BH188" t="str">
        <f t="shared" si="31"/>
        <v/>
      </c>
      <c r="BL188" t="str">
        <f>IFERROR(INDEX(_names_lookup!$C:$C,MATCH(BK188,_names_lookup!$A:$A,0)),"")</f>
        <v/>
      </c>
      <c r="BM188" t="str">
        <f>IFERROR(INDEX(_names_lookup!$B:$B,MATCH(BK188,_names_lookup!$A:$A,0)),"")</f>
        <v/>
      </c>
      <c r="BS188" t="str">
        <f t="shared" si="32"/>
        <v/>
      </c>
    </row>
    <row r="189" spans="15:71" x14ac:dyDescent="0.2">
      <c r="O189" t="str">
        <f>IFERROR(INDEX(_courses_lookup!$C:$C,MATCH(K189&amp;L189,_courses_lookup!$E:$E,0)),"")</f>
        <v/>
      </c>
      <c r="P189" t="str">
        <f>IFERROR(INDEX(_courses_lookup!$D:$D,MATCH(K189&amp;L189,_courses_lookup!$E:$E,0)),"")</f>
        <v/>
      </c>
      <c r="AG189" t="str">
        <f t="shared" si="22"/>
        <v/>
      </c>
      <c r="AI189" t="str">
        <f t="shared" si="23"/>
        <v/>
      </c>
      <c r="AL189" t="str">
        <f t="shared" si="24"/>
        <v/>
      </c>
      <c r="AN189" t="str">
        <f t="shared" si="25"/>
        <v/>
      </c>
      <c r="AQ189" t="str">
        <f t="shared" si="26"/>
        <v/>
      </c>
      <c r="AR189" t="str">
        <f t="shared" si="27"/>
        <v/>
      </c>
      <c r="AS189" t="str">
        <f t="shared" si="28"/>
        <v/>
      </c>
      <c r="AT189" t="str">
        <f t="shared" si="29"/>
        <v/>
      </c>
      <c r="BG189" t="str">
        <f t="shared" si="30"/>
        <v/>
      </c>
      <c r="BH189" t="str">
        <f t="shared" si="31"/>
        <v/>
      </c>
      <c r="BL189" t="str">
        <f>IFERROR(INDEX(_names_lookup!$C:$C,MATCH(BK189,_names_lookup!$A:$A,0)),"")</f>
        <v/>
      </c>
      <c r="BM189" t="str">
        <f>IFERROR(INDEX(_names_lookup!$B:$B,MATCH(BK189,_names_lookup!$A:$A,0)),"")</f>
        <v/>
      </c>
      <c r="BS189" t="str">
        <f t="shared" si="32"/>
        <v/>
      </c>
    </row>
    <row r="190" spans="15:71" x14ac:dyDescent="0.2">
      <c r="O190" t="str">
        <f>IFERROR(INDEX(_courses_lookup!$C:$C,MATCH(K190&amp;L190,_courses_lookup!$E:$E,0)),"")</f>
        <v/>
      </c>
      <c r="P190" t="str">
        <f>IFERROR(INDEX(_courses_lookup!$D:$D,MATCH(K190&amp;L190,_courses_lookup!$E:$E,0)),"")</f>
        <v/>
      </c>
      <c r="AG190" t="str">
        <f t="shared" si="22"/>
        <v/>
      </c>
      <c r="AI190" t="str">
        <f t="shared" si="23"/>
        <v/>
      </c>
      <c r="AL190" t="str">
        <f t="shared" si="24"/>
        <v/>
      </c>
      <c r="AN190" t="str">
        <f t="shared" si="25"/>
        <v/>
      </c>
      <c r="AQ190" t="str">
        <f t="shared" si="26"/>
        <v/>
      </c>
      <c r="AR190" t="str">
        <f t="shared" si="27"/>
        <v/>
      </c>
      <c r="AS190" t="str">
        <f t="shared" si="28"/>
        <v/>
      </c>
      <c r="AT190" t="str">
        <f t="shared" si="29"/>
        <v/>
      </c>
      <c r="BG190" t="str">
        <f t="shared" si="30"/>
        <v/>
      </c>
      <c r="BH190" t="str">
        <f t="shared" si="31"/>
        <v/>
      </c>
      <c r="BL190" t="str">
        <f>IFERROR(INDEX(_names_lookup!$C:$C,MATCH(BK190,_names_lookup!$A:$A,0)),"")</f>
        <v/>
      </c>
      <c r="BM190" t="str">
        <f>IFERROR(INDEX(_names_lookup!$B:$B,MATCH(BK190,_names_lookup!$A:$A,0)),"")</f>
        <v/>
      </c>
      <c r="BS190" t="str">
        <f t="shared" si="32"/>
        <v/>
      </c>
    </row>
    <row r="191" spans="15:71" x14ac:dyDescent="0.2">
      <c r="O191" t="str">
        <f>IFERROR(INDEX(_courses_lookup!$C:$C,MATCH(K191&amp;L191,_courses_lookup!$E:$E,0)),"")</f>
        <v/>
      </c>
      <c r="P191" t="str">
        <f>IFERROR(INDEX(_courses_lookup!$D:$D,MATCH(K191&amp;L191,_courses_lookup!$E:$E,0)),"")</f>
        <v/>
      </c>
      <c r="AG191" t="str">
        <f t="shared" si="22"/>
        <v/>
      </c>
      <c r="AI191" t="str">
        <f t="shared" si="23"/>
        <v/>
      </c>
      <c r="AL191" t="str">
        <f t="shared" si="24"/>
        <v/>
      </c>
      <c r="AN191" t="str">
        <f t="shared" si="25"/>
        <v/>
      </c>
      <c r="AQ191" t="str">
        <f t="shared" si="26"/>
        <v/>
      </c>
      <c r="AR191" t="str">
        <f t="shared" si="27"/>
        <v/>
      </c>
      <c r="AS191" t="str">
        <f t="shared" si="28"/>
        <v/>
      </c>
      <c r="AT191" t="str">
        <f t="shared" si="29"/>
        <v/>
      </c>
      <c r="BG191" t="str">
        <f t="shared" si="30"/>
        <v/>
      </c>
      <c r="BH191" t="str">
        <f t="shared" si="31"/>
        <v/>
      </c>
      <c r="BL191" t="str">
        <f>IFERROR(INDEX(_names_lookup!$C:$C,MATCH(BK191,_names_lookup!$A:$A,0)),"")</f>
        <v/>
      </c>
      <c r="BM191" t="str">
        <f>IFERROR(INDEX(_names_lookup!$B:$B,MATCH(BK191,_names_lookup!$A:$A,0)),"")</f>
        <v/>
      </c>
      <c r="BS191" t="str">
        <f t="shared" si="32"/>
        <v/>
      </c>
    </row>
    <row r="192" spans="15:71" x14ac:dyDescent="0.2">
      <c r="O192" t="str">
        <f>IFERROR(INDEX(_courses_lookup!$C:$C,MATCH(K192&amp;L192,_courses_lookup!$E:$E,0)),"")</f>
        <v/>
      </c>
      <c r="P192" t="str">
        <f>IFERROR(INDEX(_courses_lookup!$D:$D,MATCH(K192&amp;L192,_courses_lookup!$E:$E,0)),"")</f>
        <v/>
      </c>
      <c r="AG192" t="str">
        <f t="shared" si="22"/>
        <v/>
      </c>
      <c r="AI192" t="str">
        <f t="shared" si="23"/>
        <v/>
      </c>
      <c r="AL192" t="str">
        <f t="shared" si="24"/>
        <v/>
      </c>
      <c r="AN192" t="str">
        <f t="shared" si="25"/>
        <v/>
      </c>
      <c r="AQ192" t="str">
        <f t="shared" si="26"/>
        <v/>
      </c>
      <c r="AR192" t="str">
        <f t="shared" si="27"/>
        <v/>
      </c>
      <c r="AS192" t="str">
        <f t="shared" si="28"/>
        <v/>
      </c>
      <c r="AT192" t="str">
        <f t="shared" si="29"/>
        <v/>
      </c>
      <c r="BG192" t="str">
        <f t="shared" si="30"/>
        <v/>
      </c>
      <c r="BH192" t="str">
        <f t="shared" si="31"/>
        <v/>
      </c>
      <c r="BL192" t="str">
        <f>IFERROR(INDEX(_names_lookup!$C:$C,MATCH(BK192,_names_lookup!$A:$A,0)),"")</f>
        <v/>
      </c>
      <c r="BM192" t="str">
        <f>IFERROR(INDEX(_names_lookup!$B:$B,MATCH(BK192,_names_lookup!$A:$A,0)),"")</f>
        <v/>
      </c>
      <c r="BS192" t="str">
        <f t="shared" si="32"/>
        <v/>
      </c>
    </row>
    <row r="193" spans="15:71" x14ac:dyDescent="0.2">
      <c r="O193" t="str">
        <f>IFERROR(INDEX(_courses_lookup!$C:$C,MATCH(K193&amp;L193,_courses_lookup!$E:$E,0)),"")</f>
        <v/>
      </c>
      <c r="P193" t="str">
        <f>IFERROR(INDEX(_courses_lookup!$D:$D,MATCH(K193&amp;L193,_courses_lookup!$E:$E,0)),"")</f>
        <v/>
      </c>
      <c r="AG193" t="str">
        <f t="shared" si="22"/>
        <v/>
      </c>
      <c r="AI193" t="str">
        <f t="shared" si="23"/>
        <v/>
      </c>
      <c r="AL193" t="str">
        <f t="shared" si="24"/>
        <v/>
      </c>
      <c r="AN193" t="str">
        <f t="shared" si="25"/>
        <v/>
      </c>
      <c r="AQ193" t="str">
        <f t="shared" si="26"/>
        <v/>
      </c>
      <c r="AR193" t="str">
        <f t="shared" si="27"/>
        <v/>
      </c>
      <c r="AS193" t="str">
        <f t="shared" si="28"/>
        <v/>
      </c>
      <c r="AT193" t="str">
        <f t="shared" si="29"/>
        <v/>
      </c>
      <c r="BG193" t="str">
        <f t="shared" si="30"/>
        <v/>
      </c>
      <c r="BH193" t="str">
        <f t="shared" si="31"/>
        <v/>
      </c>
      <c r="BL193" t="str">
        <f>IFERROR(INDEX(_names_lookup!$C:$C,MATCH(BK193,_names_lookup!$A:$A,0)),"")</f>
        <v/>
      </c>
      <c r="BM193" t="str">
        <f>IFERROR(INDEX(_names_lookup!$B:$B,MATCH(BK193,_names_lookup!$A:$A,0)),"")</f>
        <v/>
      </c>
      <c r="BS193" t="str">
        <f t="shared" si="32"/>
        <v/>
      </c>
    </row>
    <row r="194" spans="15:71" x14ac:dyDescent="0.2">
      <c r="O194" t="str">
        <f>IFERROR(INDEX(_courses_lookup!$C:$C,MATCH(K194&amp;L194,_courses_lookup!$E:$E,0)),"")</f>
        <v/>
      </c>
      <c r="P194" t="str">
        <f>IFERROR(INDEX(_courses_lookup!$D:$D,MATCH(K194&amp;L194,_courses_lookup!$E:$E,0)),"")</f>
        <v/>
      </c>
      <c r="AG194" t="str">
        <f t="shared" ref="AG194:AG257" si="33">IF(AND(AE194&lt;&gt;"",AF194&lt;&gt;""),ROUNDUP((AF194-AE194)/7,0),"")</f>
        <v/>
      </c>
      <c r="AI194" t="str">
        <f t="shared" ref="AI194:AI257" si="34">IFERROR(IF(AG194*AH194=0,"",AG194*AH194),"")</f>
        <v/>
      </c>
      <c r="AL194" t="str">
        <f t="shared" ref="AL194:AL257" si="35">IF(AND(AJ194&lt;&gt;"",AK194&lt;&gt;""),ROUNDUP((AK194-AJ194)/7,0),"")</f>
        <v/>
      </c>
      <c r="AN194" t="str">
        <f t="shared" ref="AN194:AN257" si="36">IFERROR(IF(AL194*AM194=0,"",AL194*AM194),"")</f>
        <v/>
      </c>
      <c r="AQ194" t="str">
        <f t="shared" ref="AQ194:AQ257" si="37">IF(AND(AO194&lt;&gt;"",AP194&lt;&gt;""),ROUNDUP((AP194-AO194)/7,0),"")</f>
        <v/>
      </c>
      <c r="AR194" t="str">
        <f t="shared" ref="AR194:AR257" si="38">IFERROR(IF((AU194-(AI194+AN194))/AQ194=0,"",ROUNDUP((AU194-(AI194+AN194))/AQ194,0)),"")</f>
        <v/>
      </c>
      <c r="AS194" t="str">
        <f t="shared" ref="AS194:AS257" si="39">IFERROR(IF((AU194-(AI194+AN194))=0,"",(AU194-(AI194+AN194))),"")</f>
        <v/>
      </c>
      <c r="AT194" t="str">
        <f t="shared" ref="AT194:AT257" si="40">IF(AND(AG194="",AQ194=""),AL194,IF(SUM(AG194,AL194,AQ194)=0,"",SUM(AG194,AL194,AQ194)))</f>
        <v/>
      </c>
      <c r="BG194" t="str">
        <f t="shared" ref="BG194:BG257" si="41">IF(AD194="","",YEAR(AD194)+IF(MONTH(AD194)&gt;=5,1,0))</f>
        <v/>
      </c>
      <c r="BH194" t="str">
        <f t="shared" ref="BH194:BH257" si="42">IF(AD194="","",IF(AND(MONTH(AD194)=8,DAY(AD194)&gt;=15),"Fall",IF(MONTH(AD194)&gt;8,"Fall",IF(MONTH(AD194)=5,"Summer",IF(MONTH(AD194)=1,"Spring","")))))</f>
        <v/>
      </c>
      <c r="BL194" t="str">
        <f>IFERROR(INDEX(_names_lookup!$C:$C,MATCH(BK194,_names_lookup!$A:$A,0)),"")</f>
        <v/>
      </c>
      <c r="BM194" t="str">
        <f>IFERROR(INDEX(_names_lookup!$B:$B,MATCH(BK194,_names_lookup!$A:$A,0)),"")</f>
        <v/>
      </c>
      <c r="BS194" t="str">
        <f t="shared" ref="BS194:BS257" si="43">IFERROR(IF(BR194*AA194=0,"",BR194*AA194),"")</f>
        <v/>
      </c>
    </row>
    <row r="195" spans="15:71" x14ac:dyDescent="0.2">
      <c r="O195" t="str">
        <f>IFERROR(INDEX(_courses_lookup!$C:$C,MATCH(K195&amp;L195,_courses_lookup!$E:$E,0)),"")</f>
        <v/>
      </c>
      <c r="P195" t="str">
        <f>IFERROR(INDEX(_courses_lookup!$D:$D,MATCH(K195&amp;L195,_courses_lookup!$E:$E,0)),"")</f>
        <v/>
      </c>
      <c r="AG195" t="str">
        <f t="shared" si="33"/>
        <v/>
      </c>
      <c r="AI195" t="str">
        <f t="shared" si="34"/>
        <v/>
      </c>
      <c r="AL195" t="str">
        <f t="shared" si="35"/>
        <v/>
      </c>
      <c r="AN195" t="str">
        <f t="shared" si="36"/>
        <v/>
      </c>
      <c r="AQ195" t="str">
        <f t="shared" si="37"/>
        <v/>
      </c>
      <c r="AR195" t="str">
        <f t="shared" si="38"/>
        <v/>
      </c>
      <c r="AS195" t="str">
        <f t="shared" si="39"/>
        <v/>
      </c>
      <c r="AT195" t="str">
        <f t="shared" si="40"/>
        <v/>
      </c>
      <c r="BG195" t="str">
        <f t="shared" si="41"/>
        <v/>
      </c>
      <c r="BH195" t="str">
        <f t="shared" si="42"/>
        <v/>
      </c>
      <c r="BL195" t="str">
        <f>IFERROR(INDEX(_names_lookup!$C:$C,MATCH(BK195,_names_lookup!$A:$A,0)),"")</f>
        <v/>
      </c>
      <c r="BM195" t="str">
        <f>IFERROR(INDEX(_names_lookup!$B:$B,MATCH(BK195,_names_lookup!$A:$A,0)),"")</f>
        <v/>
      </c>
      <c r="BS195" t="str">
        <f t="shared" si="43"/>
        <v/>
      </c>
    </row>
    <row r="196" spans="15:71" x14ac:dyDescent="0.2">
      <c r="O196" t="str">
        <f>IFERROR(INDEX(_courses_lookup!$C:$C,MATCH(K196&amp;L196,_courses_lookup!$E:$E,0)),"")</f>
        <v/>
      </c>
      <c r="P196" t="str">
        <f>IFERROR(INDEX(_courses_lookup!$D:$D,MATCH(K196&amp;L196,_courses_lookup!$E:$E,0)),"")</f>
        <v/>
      </c>
      <c r="AG196" t="str">
        <f t="shared" si="33"/>
        <v/>
      </c>
      <c r="AI196" t="str">
        <f t="shared" si="34"/>
        <v/>
      </c>
      <c r="AL196" t="str">
        <f t="shared" si="35"/>
        <v/>
      </c>
      <c r="AN196" t="str">
        <f t="shared" si="36"/>
        <v/>
      </c>
      <c r="AQ196" t="str">
        <f t="shared" si="37"/>
        <v/>
      </c>
      <c r="AR196" t="str">
        <f t="shared" si="38"/>
        <v/>
      </c>
      <c r="AS196" t="str">
        <f t="shared" si="39"/>
        <v/>
      </c>
      <c r="AT196" t="str">
        <f t="shared" si="40"/>
        <v/>
      </c>
      <c r="BG196" t="str">
        <f t="shared" si="41"/>
        <v/>
      </c>
      <c r="BH196" t="str">
        <f t="shared" si="42"/>
        <v/>
      </c>
      <c r="BL196" t="str">
        <f>IFERROR(INDEX(_names_lookup!$C:$C,MATCH(BK196,_names_lookup!$A:$A,0)),"")</f>
        <v/>
      </c>
      <c r="BM196" t="str">
        <f>IFERROR(INDEX(_names_lookup!$B:$B,MATCH(BK196,_names_lookup!$A:$A,0)),"")</f>
        <v/>
      </c>
      <c r="BS196" t="str">
        <f t="shared" si="43"/>
        <v/>
      </c>
    </row>
    <row r="197" spans="15:71" x14ac:dyDescent="0.2">
      <c r="O197" t="str">
        <f>IFERROR(INDEX(_courses_lookup!$C:$C,MATCH(K197&amp;L197,_courses_lookup!$E:$E,0)),"")</f>
        <v/>
      </c>
      <c r="P197" t="str">
        <f>IFERROR(INDEX(_courses_lookup!$D:$D,MATCH(K197&amp;L197,_courses_lookup!$E:$E,0)),"")</f>
        <v/>
      </c>
      <c r="AG197" t="str">
        <f t="shared" si="33"/>
        <v/>
      </c>
      <c r="AI197" t="str">
        <f t="shared" si="34"/>
        <v/>
      </c>
      <c r="AL197" t="str">
        <f t="shared" si="35"/>
        <v/>
      </c>
      <c r="AN197" t="str">
        <f t="shared" si="36"/>
        <v/>
      </c>
      <c r="AQ197" t="str">
        <f t="shared" si="37"/>
        <v/>
      </c>
      <c r="AR197" t="str">
        <f t="shared" si="38"/>
        <v/>
      </c>
      <c r="AS197" t="str">
        <f t="shared" si="39"/>
        <v/>
      </c>
      <c r="AT197" t="str">
        <f t="shared" si="40"/>
        <v/>
      </c>
      <c r="BG197" t="str">
        <f t="shared" si="41"/>
        <v/>
      </c>
      <c r="BH197" t="str">
        <f t="shared" si="42"/>
        <v/>
      </c>
      <c r="BL197" t="str">
        <f>IFERROR(INDEX(_names_lookup!$C:$C,MATCH(BK197,_names_lookup!$A:$A,0)),"")</f>
        <v/>
      </c>
      <c r="BM197" t="str">
        <f>IFERROR(INDEX(_names_lookup!$B:$B,MATCH(BK197,_names_lookup!$A:$A,0)),"")</f>
        <v/>
      </c>
      <c r="BS197" t="str">
        <f t="shared" si="43"/>
        <v/>
      </c>
    </row>
    <row r="198" spans="15:71" x14ac:dyDescent="0.2">
      <c r="O198" t="str">
        <f>IFERROR(INDEX(_courses_lookup!$C:$C,MATCH(K198&amp;L198,_courses_lookup!$E:$E,0)),"")</f>
        <v/>
      </c>
      <c r="P198" t="str">
        <f>IFERROR(INDEX(_courses_lookup!$D:$D,MATCH(K198&amp;L198,_courses_lookup!$E:$E,0)),"")</f>
        <v/>
      </c>
      <c r="AG198" t="str">
        <f t="shared" si="33"/>
        <v/>
      </c>
      <c r="AI198" t="str">
        <f t="shared" si="34"/>
        <v/>
      </c>
      <c r="AL198" t="str">
        <f t="shared" si="35"/>
        <v/>
      </c>
      <c r="AN198" t="str">
        <f t="shared" si="36"/>
        <v/>
      </c>
      <c r="AQ198" t="str">
        <f t="shared" si="37"/>
        <v/>
      </c>
      <c r="AR198" t="str">
        <f t="shared" si="38"/>
        <v/>
      </c>
      <c r="AS198" t="str">
        <f t="shared" si="39"/>
        <v/>
      </c>
      <c r="AT198" t="str">
        <f t="shared" si="40"/>
        <v/>
      </c>
      <c r="BG198" t="str">
        <f t="shared" si="41"/>
        <v/>
      </c>
      <c r="BH198" t="str">
        <f t="shared" si="42"/>
        <v/>
      </c>
      <c r="BL198" t="str">
        <f>IFERROR(INDEX(_names_lookup!$C:$C,MATCH(BK198,_names_lookup!$A:$A,0)),"")</f>
        <v/>
      </c>
      <c r="BM198" t="str">
        <f>IFERROR(INDEX(_names_lookup!$B:$B,MATCH(BK198,_names_lookup!$A:$A,0)),"")</f>
        <v/>
      </c>
      <c r="BS198" t="str">
        <f t="shared" si="43"/>
        <v/>
      </c>
    </row>
    <row r="199" spans="15:71" x14ac:dyDescent="0.2">
      <c r="O199" t="str">
        <f>IFERROR(INDEX(_courses_lookup!$C:$C,MATCH(K199&amp;L199,_courses_lookup!$E:$E,0)),"")</f>
        <v/>
      </c>
      <c r="P199" t="str">
        <f>IFERROR(INDEX(_courses_lookup!$D:$D,MATCH(K199&amp;L199,_courses_lookup!$E:$E,0)),"")</f>
        <v/>
      </c>
      <c r="AG199" t="str">
        <f t="shared" si="33"/>
        <v/>
      </c>
      <c r="AI199" t="str">
        <f t="shared" si="34"/>
        <v/>
      </c>
      <c r="AL199" t="str">
        <f t="shared" si="35"/>
        <v/>
      </c>
      <c r="AN199" t="str">
        <f t="shared" si="36"/>
        <v/>
      </c>
      <c r="AQ199" t="str">
        <f t="shared" si="37"/>
        <v/>
      </c>
      <c r="AR199" t="str">
        <f t="shared" si="38"/>
        <v/>
      </c>
      <c r="AS199" t="str">
        <f t="shared" si="39"/>
        <v/>
      </c>
      <c r="AT199" t="str">
        <f t="shared" si="40"/>
        <v/>
      </c>
      <c r="BG199" t="str">
        <f t="shared" si="41"/>
        <v/>
      </c>
      <c r="BH199" t="str">
        <f t="shared" si="42"/>
        <v/>
      </c>
      <c r="BL199" t="str">
        <f>IFERROR(INDEX(_names_lookup!$C:$C,MATCH(BK199,_names_lookup!$A:$A,0)),"")</f>
        <v/>
      </c>
      <c r="BM199" t="str">
        <f>IFERROR(INDEX(_names_lookup!$B:$B,MATCH(BK199,_names_lookup!$A:$A,0)),"")</f>
        <v/>
      </c>
      <c r="BS199" t="str">
        <f t="shared" si="43"/>
        <v/>
      </c>
    </row>
    <row r="200" spans="15:71" x14ac:dyDescent="0.2">
      <c r="O200" t="str">
        <f>IFERROR(INDEX(_courses_lookup!$C:$C,MATCH(K200&amp;L200,_courses_lookup!$E:$E,0)),"")</f>
        <v/>
      </c>
      <c r="P200" t="str">
        <f>IFERROR(INDEX(_courses_lookup!$D:$D,MATCH(K200&amp;L200,_courses_lookup!$E:$E,0)),"")</f>
        <v/>
      </c>
      <c r="AG200" t="str">
        <f t="shared" si="33"/>
        <v/>
      </c>
      <c r="AI200" t="str">
        <f t="shared" si="34"/>
        <v/>
      </c>
      <c r="AL200" t="str">
        <f t="shared" si="35"/>
        <v/>
      </c>
      <c r="AN200" t="str">
        <f t="shared" si="36"/>
        <v/>
      </c>
      <c r="AQ200" t="str">
        <f t="shared" si="37"/>
        <v/>
      </c>
      <c r="AR200" t="str">
        <f t="shared" si="38"/>
        <v/>
      </c>
      <c r="AS200" t="str">
        <f t="shared" si="39"/>
        <v/>
      </c>
      <c r="AT200" t="str">
        <f t="shared" si="40"/>
        <v/>
      </c>
      <c r="BG200" t="str">
        <f t="shared" si="41"/>
        <v/>
      </c>
      <c r="BH200" t="str">
        <f t="shared" si="42"/>
        <v/>
      </c>
      <c r="BL200" t="str">
        <f>IFERROR(INDEX(_names_lookup!$C:$C,MATCH(BK200,_names_lookup!$A:$A,0)),"")</f>
        <v/>
      </c>
      <c r="BM200" t="str">
        <f>IFERROR(INDEX(_names_lookup!$B:$B,MATCH(BK200,_names_lookup!$A:$A,0)),"")</f>
        <v/>
      </c>
      <c r="BS200" t="str">
        <f t="shared" si="43"/>
        <v/>
      </c>
    </row>
    <row r="201" spans="15:71" x14ac:dyDescent="0.2">
      <c r="O201" t="str">
        <f>IFERROR(INDEX(_courses_lookup!$C:$C,MATCH(K201&amp;L201,_courses_lookup!$E:$E,0)),"")</f>
        <v/>
      </c>
      <c r="P201" t="str">
        <f>IFERROR(INDEX(_courses_lookup!$D:$D,MATCH(K201&amp;L201,_courses_lookup!$E:$E,0)),"")</f>
        <v/>
      </c>
      <c r="AG201" t="str">
        <f t="shared" si="33"/>
        <v/>
      </c>
      <c r="AI201" t="str">
        <f t="shared" si="34"/>
        <v/>
      </c>
      <c r="AL201" t="str">
        <f t="shared" si="35"/>
        <v/>
      </c>
      <c r="AN201" t="str">
        <f t="shared" si="36"/>
        <v/>
      </c>
      <c r="AQ201" t="str">
        <f t="shared" si="37"/>
        <v/>
      </c>
      <c r="AR201" t="str">
        <f t="shared" si="38"/>
        <v/>
      </c>
      <c r="AS201" t="str">
        <f t="shared" si="39"/>
        <v/>
      </c>
      <c r="AT201" t="str">
        <f t="shared" si="40"/>
        <v/>
      </c>
      <c r="BG201" t="str">
        <f t="shared" si="41"/>
        <v/>
      </c>
      <c r="BH201" t="str">
        <f t="shared" si="42"/>
        <v/>
      </c>
      <c r="BL201" t="str">
        <f>IFERROR(INDEX(_names_lookup!$C:$C,MATCH(BK201,_names_lookup!$A:$A,0)),"")</f>
        <v/>
      </c>
      <c r="BM201" t="str">
        <f>IFERROR(INDEX(_names_lookup!$B:$B,MATCH(BK201,_names_lookup!$A:$A,0)),"")</f>
        <v/>
      </c>
      <c r="BS201" t="str">
        <f t="shared" si="43"/>
        <v/>
      </c>
    </row>
    <row r="202" spans="15:71" x14ac:dyDescent="0.2">
      <c r="O202" t="str">
        <f>IFERROR(INDEX(_courses_lookup!$C:$C,MATCH(K202&amp;L202,_courses_lookup!$E:$E,0)),"")</f>
        <v/>
      </c>
      <c r="P202" t="str">
        <f>IFERROR(INDEX(_courses_lookup!$D:$D,MATCH(K202&amp;L202,_courses_lookup!$E:$E,0)),"")</f>
        <v/>
      </c>
      <c r="AG202" t="str">
        <f t="shared" si="33"/>
        <v/>
      </c>
      <c r="AI202" t="str">
        <f t="shared" si="34"/>
        <v/>
      </c>
      <c r="AL202" t="str">
        <f t="shared" si="35"/>
        <v/>
      </c>
      <c r="AN202" t="str">
        <f t="shared" si="36"/>
        <v/>
      </c>
      <c r="AQ202" t="str">
        <f t="shared" si="37"/>
        <v/>
      </c>
      <c r="AR202" t="str">
        <f t="shared" si="38"/>
        <v/>
      </c>
      <c r="AS202" t="str">
        <f t="shared" si="39"/>
        <v/>
      </c>
      <c r="AT202" t="str">
        <f t="shared" si="40"/>
        <v/>
      </c>
      <c r="BG202" t="str">
        <f t="shared" si="41"/>
        <v/>
      </c>
      <c r="BH202" t="str">
        <f t="shared" si="42"/>
        <v/>
      </c>
      <c r="BL202" t="str">
        <f>IFERROR(INDEX(_names_lookup!$C:$C,MATCH(BK202,_names_lookup!$A:$A,0)),"")</f>
        <v/>
      </c>
      <c r="BM202" t="str">
        <f>IFERROR(INDEX(_names_lookup!$B:$B,MATCH(BK202,_names_lookup!$A:$A,0)),"")</f>
        <v/>
      </c>
      <c r="BS202" t="str">
        <f t="shared" si="43"/>
        <v/>
      </c>
    </row>
    <row r="203" spans="15:71" x14ac:dyDescent="0.2">
      <c r="O203" t="str">
        <f>IFERROR(INDEX(_courses_lookup!$C:$C,MATCH(K203&amp;L203,_courses_lookup!$E:$E,0)),"")</f>
        <v/>
      </c>
      <c r="P203" t="str">
        <f>IFERROR(INDEX(_courses_lookup!$D:$D,MATCH(K203&amp;L203,_courses_lookup!$E:$E,0)),"")</f>
        <v/>
      </c>
      <c r="AG203" t="str">
        <f t="shared" si="33"/>
        <v/>
      </c>
      <c r="AI203" t="str">
        <f t="shared" si="34"/>
        <v/>
      </c>
      <c r="AL203" t="str">
        <f t="shared" si="35"/>
        <v/>
      </c>
      <c r="AN203" t="str">
        <f t="shared" si="36"/>
        <v/>
      </c>
      <c r="AQ203" t="str">
        <f t="shared" si="37"/>
        <v/>
      </c>
      <c r="AR203" t="str">
        <f t="shared" si="38"/>
        <v/>
      </c>
      <c r="AS203" t="str">
        <f t="shared" si="39"/>
        <v/>
      </c>
      <c r="AT203" t="str">
        <f t="shared" si="40"/>
        <v/>
      </c>
      <c r="BG203" t="str">
        <f t="shared" si="41"/>
        <v/>
      </c>
      <c r="BH203" t="str">
        <f t="shared" si="42"/>
        <v/>
      </c>
      <c r="BL203" t="str">
        <f>IFERROR(INDEX(_names_lookup!$C:$C,MATCH(BK203,_names_lookup!$A:$A,0)),"")</f>
        <v/>
      </c>
      <c r="BM203" t="str">
        <f>IFERROR(INDEX(_names_lookup!$B:$B,MATCH(BK203,_names_lookup!$A:$A,0)),"")</f>
        <v/>
      </c>
      <c r="BS203" t="str">
        <f t="shared" si="43"/>
        <v/>
      </c>
    </row>
    <row r="204" spans="15:71" x14ac:dyDescent="0.2">
      <c r="O204" t="str">
        <f>IFERROR(INDEX(_courses_lookup!$C:$C,MATCH(K204&amp;L204,_courses_lookup!$E:$E,0)),"")</f>
        <v/>
      </c>
      <c r="P204" t="str">
        <f>IFERROR(INDEX(_courses_lookup!$D:$D,MATCH(K204&amp;L204,_courses_lookup!$E:$E,0)),"")</f>
        <v/>
      </c>
      <c r="AG204" t="str">
        <f t="shared" si="33"/>
        <v/>
      </c>
      <c r="AI204" t="str">
        <f t="shared" si="34"/>
        <v/>
      </c>
      <c r="AL204" t="str">
        <f t="shared" si="35"/>
        <v/>
      </c>
      <c r="AN204" t="str">
        <f t="shared" si="36"/>
        <v/>
      </c>
      <c r="AQ204" t="str">
        <f t="shared" si="37"/>
        <v/>
      </c>
      <c r="AR204" t="str">
        <f t="shared" si="38"/>
        <v/>
      </c>
      <c r="AS204" t="str">
        <f t="shared" si="39"/>
        <v/>
      </c>
      <c r="AT204" t="str">
        <f t="shared" si="40"/>
        <v/>
      </c>
      <c r="BG204" t="str">
        <f t="shared" si="41"/>
        <v/>
      </c>
      <c r="BH204" t="str">
        <f t="shared" si="42"/>
        <v/>
      </c>
      <c r="BL204" t="str">
        <f>IFERROR(INDEX(_names_lookup!$C:$C,MATCH(BK204,_names_lookup!$A:$A,0)),"")</f>
        <v/>
      </c>
      <c r="BM204" t="str">
        <f>IFERROR(INDEX(_names_lookup!$B:$B,MATCH(BK204,_names_lookup!$A:$A,0)),"")</f>
        <v/>
      </c>
      <c r="BS204" t="str">
        <f t="shared" si="43"/>
        <v/>
      </c>
    </row>
    <row r="205" spans="15:71" x14ac:dyDescent="0.2">
      <c r="O205" t="str">
        <f>IFERROR(INDEX(_courses_lookup!$C:$C,MATCH(K205&amp;L205,_courses_lookup!$E:$E,0)),"")</f>
        <v/>
      </c>
      <c r="P205" t="str">
        <f>IFERROR(INDEX(_courses_lookup!$D:$D,MATCH(K205&amp;L205,_courses_lookup!$E:$E,0)),"")</f>
        <v/>
      </c>
      <c r="AG205" t="str">
        <f t="shared" si="33"/>
        <v/>
      </c>
      <c r="AI205" t="str">
        <f t="shared" si="34"/>
        <v/>
      </c>
      <c r="AL205" t="str">
        <f t="shared" si="35"/>
        <v/>
      </c>
      <c r="AN205" t="str">
        <f t="shared" si="36"/>
        <v/>
      </c>
      <c r="AQ205" t="str">
        <f t="shared" si="37"/>
        <v/>
      </c>
      <c r="AR205" t="str">
        <f t="shared" si="38"/>
        <v/>
      </c>
      <c r="AS205" t="str">
        <f t="shared" si="39"/>
        <v/>
      </c>
      <c r="AT205" t="str">
        <f t="shared" si="40"/>
        <v/>
      </c>
      <c r="BG205" t="str">
        <f t="shared" si="41"/>
        <v/>
      </c>
      <c r="BH205" t="str">
        <f t="shared" si="42"/>
        <v/>
      </c>
      <c r="BL205" t="str">
        <f>IFERROR(INDEX(_names_lookup!$C:$C,MATCH(BK205,_names_lookup!$A:$A,0)),"")</f>
        <v/>
      </c>
      <c r="BM205" t="str">
        <f>IFERROR(INDEX(_names_lookup!$B:$B,MATCH(BK205,_names_lookup!$A:$A,0)),"")</f>
        <v/>
      </c>
      <c r="BS205" t="str">
        <f t="shared" si="43"/>
        <v/>
      </c>
    </row>
    <row r="206" spans="15:71" x14ac:dyDescent="0.2">
      <c r="O206" t="str">
        <f>IFERROR(INDEX(_courses_lookup!$C:$C,MATCH(K206&amp;L206,_courses_lookup!$E:$E,0)),"")</f>
        <v/>
      </c>
      <c r="P206" t="str">
        <f>IFERROR(INDEX(_courses_lookup!$D:$D,MATCH(K206&amp;L206,_courses_lookup!$E:$E,0)),"")</f>
        <v/>
      </c>
      <c r="AG206" t="str">
        <f t="shared" si="33"/>
        <v/>
      </c>
      <c r="AI206" t="str">
        <f t="shared" si="34"/>
        <v/>
      </c>
      <c r="AL206" t="str">
        <f t="shared" si="35"/>
        <v/>
      </c>
      <c r="AN206" t="str">
        <f t="shared" si="36"/>
        <v/>
      </c>
      <c r="AQ206" t="str">
        <f t="shared" si="37"/>
        <v/>
      </c>
      <c r="AR206" t="str">
        <f t="shared" si="38"/>
        <v/>
      </c>
      <c r="AS206" t="str">
        <f t="shared" si="39"/>
        <v/>
      </c>
      <c r="AT206" t="str">
        <f t="shared" si="40"/>
        <v/>
      </c>
      <c r="BG206" t="str">
        <f t="shared" si="41"/>
        <v/>
      </c>
      <c r="BH206" t="str">
        <f t="shared" si="42"/>
        <v/>
      </c>
      <c r="BL206" t="str">
        <f>IFERROR(INDEX(_names_lookup!$C:$C,MATCH(BK206,_names_lookup!$A:$A,0)),"")</f>
        <v/>
      </c>
      <c r="BM206" t="str">
        <f>IFERROR(INDEX(_names_lookup!$B:$B,MATCH(BK206,_names_lookup!$A:$A,0)),"")</f>
        <v/>
      </c>
      <c r="BS206" t="str">
        <f t="shared" si="43"/>
        <v/>
      </c>
    </row>
    <row r="207" spans="15:71" x14ac:dyDescent="0.2">
      <c r="O207" t="str">
        <f>IFERROR(INDEX(_courses_lookup!$C:$C,MATCH(K207&amp;L207,_courses_lookup!$E:$E,0)),"")</f>
        <v/>
      </c>
      <c r="P207" t="str">
        <f>IFERROR(INDEX(_courses_lookup!$D:$D,MATCH(K207&amp;L207,_courses_lookup!$E:$E,0)),"")</f>
        <v/>
      </c>
      <c r="AG207" t="str">
        <f t="shared" si="33"/>
        <v/>
      </c>
      <c r="AI207" t="str">
        <f t="shared" si="34"/>
        <v/>
      </c>
      <c r="AL207" t="str">
        <f t="shared" si="35"/>
        <v/>
      </c>
      <c r="AN207" t="str">
        <f t="shared" si="36"/>
        <v/>
      </c>
      <c r="AQ207" t="str">
        <f t="shared" si="37"/>
        <v/>
      </c>
      <c r="AR207" t="str">
        <f t="shared" si="38"/>
        <v/>
      </c>
      <c r="AS207" t="str">
        <f t="shared" si="39"/>
        <v/>
      </c>
      <c r="AT207" t="str">
        <f t="shared" si="40"/>
        <v/>
      </c>
      <c r="BG207" t="str">
        <f t="shared" si="41"/>
        <v/>
      </c>
      <c r="BH207" t="str">
        <f t="shared" si="42"/>
        <v/>
      </c>
      <c r="BL207" t="str">
        <f>IFERROR(INDEX(_names_lookup!$C:$C,MATCH(BK207,_names_lookup!$A:$A,0)),"")</f>
        <v/>
      </c>
      <c r="BM207" t="str">
        <f>IFERROR(INDEX(_names_lookup!$B:$B,MATCH(BK207,_names_lookup!$A:$A,0)),"")</f>
        <v/>
      </c>
      <c r="BS207" t="str">
        <f t="shared" si="43"/>
        <v/>
      </c>
    </row>
    <row r="208" spans="15:71" x14ac:dyDescent="0.2">
      <c r="O208" t="str">
        <f>IFERROR(INDEX(_courses_lookup!$C:$C,MATCH(K208&amp;L208,_courses_lookup!$E:$E,0)),"")</f>
        <v/>
      </c>
      <c r="P208" t="str">
        <f>IFERROR(INDEX(_courses_lookup!$D:$D,MATCH(K208&amp;L208,_courses_lookup!$E:$E,0)),"")</f>
        <v/>
      </c>
      <c r="AG208" t="str">
        <f t="shared" si="33"/>
        <v/>
      </c>
      <c r="AI208" t="str">
        <f t="shared" si="34"/>
        <v/>
      </c>
      <c r="AL208" t="str">
        <f t="shared" si="35"/>
        <v/>
      </c>
      <c r="AN208" t="str">
        <f t="shared" si="36"/>
        <v/>
      </c>
      <c r="AQ208" t="str">
        <f t="shared" si="37"/>
        <v/>
      </c>
      <c r="AR208" t="str">
        <f t="shared" si="38"/>
        <v/>
      </c>
      <c r="AS208" t="str">
        <f t="shared" si="39"/>
        <v/>
      </c>
      <c r="AT208" t="str">
        <f t="shared" si="40"/>
        <v/>
      </c>
      <c r="BG208" t="str">
        <f t="shared" si="41"/>
        <v/>
      </c>
      <c r="BH208" t="str">
        <f t="shared" si="42"/>
        <v/>
      </c>
      <c r="BL208" t="str">
        <f>IFERROR(INDEX(_names_lookup!$C:$C,MATCH(BK208,_names_lookup!$A:$A,0)),"")</f>
        <v/>
      </c>
      <c r="BM208" t="str">
        <f>IFERROR(INDEX(_names_lookup!$B:$B,MATCH(BK208,_names_lookup!$A:$A,0)),"")</f>
        <v/>
      </c>
      <c r="BS208" t="str">
        <f t="shared" si="43"/>
        <v/>
      </c>
    </row>
    <row r="209" spans="15:71" x14ac:dyDescent="0.2">
      <c r="O209" t="str">
        <f>IFERROR(INDEX(_courses_lookup!$C:$C,MATCH(K209&amp;L209,_courses_lookup!$E:$E,0)),"")</f>
        <v/>
      </c>
      <c r="P209" t="str">
        <f>IFERROR(INDEX(_courses_lookup!$D:$D,MATCH(K209&amp;L209,_courses_lookup!$E:$E,0)),"")</f>
        <v/>
      </c>
      <c r="AG209" t="str">
        <f t="shared" si="33"/>
        <v/>
      </c>
      <c r="AI209" t="str">
        <f t="shared" si="34"/>
        <v/>
      </c>
      <c r="AL209" t="str">
        <f t="shared" si="35"/>
        <v/>
      </c>
      <c r="AN209" t="str">
        <f t="shared" si="36"/>
        <v/>
      </c>
      <c r="AQ209" t="str">
        <f t="shared" si="37"/>
        <v/>
      </c>
      <c r="AR209" t="str">
        <f t="shared" si="38"/>
        <v/>
      </c>
      <c r="AS209" t="str">
        <f t="shared" si="39"/>
        <v/>
      </c>
      <c r="AT209" t="str">
        <f t="shared" si="40"/>
        <v/>
      </c>
      <c r="BG209" t="str">
        <f t="shared" si="41"/>
        <v/>
      </c>
      <c r="BH209" t="str">
        <f t="shared" si="42"/>
        <v/>
      </c>
      <c r="BL209" t="str">
        <f>IFERROR(INDEX(_names_lookup!$C:$C,MATCH(BK209,_names_lookup!$A:$A,0)),"")</f>
        <v/>
      </c>
      <c r="BM209" t="str">
        <f>IFERROR(INDEX(_names_lookup!$B:$B,MATCH(BK209,_names_lookup!$A:$A,0)),"")</f>
        <v/>
      </c>
      <c r="BS209" t="str">
        <f t="shared" si="43"/>
        <v/>
      </c>
    </row>
    <row r="210" spans="15:71" x14ac:dyDescent="0.2">
      <c r="O210" t="str">
        <f>IFERROR(INDEX(_courses_lookup!$C:$C,MATCH(K210&amp;L210,_courses_lookup!$E:$E,0)),"")</f>
        <v/>
      </c>
      <c r="P210" t="str">
        <f>IFERROR(INDEX(_courses_lookup!$D:$D,MATCH(K210&amp;L210,_courses_lookup!$E:$E,0)),"")</f>
        <v/>
      </c>
      <c r="AG210" t="str">
        <f t="shared" si="33"/>
        <v/>
      </c>
      <c r="AI210" t="str">
        <f t="shared" si="34"/>
        <v/>
      </c>
      <c r="AL210" t="str">
        <f t="shared" si="35"/>
        <v/>
      </c>
      <c r="AN210" t="str">
        <f t="shared" si="36"/>
        <v/>
      </c>
      <c r="AQ210" t="str">
        <f t="shared" si="37"/>
        <v/>
      </c>
      <c r="AR210" t="str">
        <f t="shared" si="38"/>
        <v/>
      </c>
      <c r="AS210" t="str">
        <f t="shared" si="39"/>
        <v/>
      </c>
      <c r="AT210" t="str">
        <f t="shared" si="40"/>
        <v/>
      </c>
      <c r="BG210" t="str">
        <f t="shared" si="41"/>
        <v/>
      </c>
      <c r="BH210" t="str">
        <f t="shared" si="42"/>
        <v/>
      </c>
      <c r="BL210" t="str">
        <f>IFERROR(INDEX(_names_lookup!$C:$C,MATCH(BK210,_names_lookup!$A:$A,0)),"")</f>
        <v/>
      </c>
      <c r="BM210" t="str">
        <f>IFERROR(INDEX(_names_lookup!$B:$B,MATCH(BK210,_names_lookup!$A:$A,0)),"")</f>
        <v/>
      </c>
      <c r="BS210" t="str">
        <f t="shared" si="43"/>
        <v/>
      </c>
    </row>
    <row r="211" spans="15:71" x14ac:dyDescent="0.2">
      <c r="O211" t="str">
        <f>IFERROR(INDEX(_courses_lookup!$C:$C,MATCH(K211&amp;L211,_courses_lookup!$E:$E,0)),"")</f>
        <v/>
      </c>
      <c r="P211" t="str">
        <f>IFERROR(INDEX(_courses_lookup!$D:$D,MATCH(K211&amp;L211,_courses_lookup!$E:$E,0)),"")</f>
        <v/>
      </c>
      <c r="AG211" t="str">
        <f t="shared" si="33"/>
        <v/>
      </c>
      <c r="AI211" t="str">
        <f t="shared" si="34"/>
        <v/>
      </c>
      <c r="AL211" t="str">
        <f t="shared" si="35"/>
        <v/>
      </c>
      <c r="AN211" t="str">
        <f t="shared" si="36"/>
        <v/>
      </c>
      <c r="AQ211" t="str">
        <f t="shared" si="37"/>
        <v/>
      </c>
      <c r="AR211" t="str">
        <f t="shared" si="38"/>
        <v/>
      </c>
      <c r="AS211" t="str">
        <f t="shared" si="39"/>
        <v/>
      </c>
      <c r="AT211" t="str">
        <f t="shared" si="40"/>
        <v/>
      </c>
      <c r="BG211" t="str">
        <f t="shared" si="41"/>
        <v/>
      </c>
      <c r="BH211" t="str">
        <f t="shared" si="42"/>
        <v/>
      </c>
      <c r="BL211" t="str">
        <f>IFERROR(INDEX(_names_lookup!$C:$C,MATCH(BK211,_names_lookup!$A:$A,0)),"")</f>
        <v/>
      </c>
      <c r="BM211" t="str">
        <f>IFERROR(INDEX(_names_lookup!$B:$B,MATCH(BK211,_names_lookup!$A:$A,0)),"")</f>
        <v/>
      </c>
      <c r="BS211" t="str">
        <f t="shared" si="43"/>
        <v/>
      </c>
    </row>
    <row r="212" spans="15:71" x14ac:dyDescent="0.2">
      <c r="O212" t="str">
        <f>IFERROR(INDEX(_courses_lookup!$C:$C,MATCH(K212&amp;L212,_courses_lookup!$E:$E,0)),"")</f>
        <v/>
      </c>
      <c r="P212" t="str">
        <f>IFERROR(INDEX(_courses_lookup!$D:$D,MATCH(K212&amp;L212,_courses_lookup!$E:$E,0)),"")</f>
        <v/>
      </c>
      <c r="AG212" t="str">
        <f t="shared" si="33"/>
        <v/>
      </c>
      <c r="AI212" t="str">
        <f t="shared" si="34"/>
        <v/>
      </c>
      <c r="AL212" t="str">
        <f t="shared" si="35"/>
        <v/>
      </c>
      <c r="AN212" t="str">
        <f t="shared" si="36"/>
        <v/>
      </c>
      <c r="AQ212" t="str">
        <f t="shared" si="37"/>
        <v/>
      </c>
      <c r="AR212" t="str">
        <f t="shared" si="38"/>
        <v/>
      </c>
      <c r="AS212" t="str">
        <f t="shared" si="39"/>
        <v/>
      </c>
      <c r="AT212" t="str">
        <f t="shared" si="40"/>
        <v/>
      </c>
      <c r="BG212" t="str">
        <f t="shared" si="41"/>
        <v/>
      </c>
      <c r="BH212" t="str">
        <f t="shared" si="42"/>
        <v/>
      </c>
      <c r="BL212" t="str">
        <f>IFERROR(INDEX(_names_lookup!$C:$C,MATCH(BK212,_names_lookup!$A:$A,0)),"")</f>
        <v/>
      </c>
      <c r="BM212" t="str">
        <f>IFERROR(INDEX(_names_lookup!$B:$B,MATCH(BK212,_names_lookup!$A:$A,0)),"")</f>
        <v/>
      </c>
      <c r="BS212" t="str">
        <f t="shared" si="43"/>
        <v/>
      </c>
    </row>
    <row r="213" spans="15:71" x14ac:dyDescent="0.2">
      <c r="O213" t="str">
        <f>IFERROR(INDEX(_courses_lookup!$C:$C,MATCH(K213&amp;L213,_courses_lookup!$E:$E,0)),"")</f>
        <v/>
      </c>
      <c r="P213" t="str">
        <f>IFERROR(INDEX(_courses_lookup!$D:$D,MATCH(K213&amp;L213,_courses_lookup!$E:$E,0)),"")</f>
        <v/>
      </c>
      <c r="AG213" t="str">
        <f t="shared" si="33"/>
        <v/>
      </c>
      <c r="AI213" t="str">
        <f t="shared" si="34"/>
        <v/>
      </c>
      <c r="AL213" t="str">
        <f t="shared" si="35"/>
        <v/>
      </c>
      <c r="AN213" t="str">
        <f t="shared" si="36"/>
        <v/>
      </c>
      <c r="AQ213" t="str">
        <f t="shared" si="37"/>
        <v/>
      </c>
      <c r="AR213" t="str">
        <f t="shared" si="38"/>
        <v/>
      </c>
      <c r="AS213" t="str">
        <f t="shared" si="39"/>
        <v/>
      </c>
      <c r="AT213" t="str">
        <f t="shared" si="40"/>
        <v/>
      </c>
      <c r="BG213" t="str">
        <f t="shared" si="41"/>
        <v/>
      </c>
      <c r="BH213" t="str">
        <f t="shared" si="42"/>
        <v/>
      </c>
      <c r="BL213" t="str">
        <f>IFERROR(INDEX(_names_lookup!$C:$C,MATCH(BK213,_names_lookup!$A:$A,0)),"")</f>
        <v/>
      </c>
      <c r="BM213" t="str">
        <f>IFERROR(INDEX(_names_lookup!$B:$B,MATCH(BK213,_names_lookup!$A:$A,0)),"")</f>
        <v/>
      </c>
      <c r="BS213" t="str">
        <f t="shared" si="43"/>
        <v/>
      </c>
    </row>
    <row r="214" spans="15:71" x14ac:dyDescent="0.2">
      <c r="O214" t="str">
        <f>IFERROR(INDEX(_courses_lookup!$C:$C,MATCH(K214&amp;L214,_courses_lookup!$E:$E,0)),"")</f>
        <v/>
      </c>
      <c r="P214" t="str">
        <f>IFERROR(INDEX(_courses_lookup!$D:$D,MATCH(K214&amp;L214,_courses_lookup!$E:$E,0)),"")</f>
        <v/>
      </c>
      <c r="AG214" t="str">
        <f t="shared" si="33"/>
        <v/>
      </c>
      <c r="AI214" t="str">
        <f t="shared" si="34"/>
        <v/>
      </c>
      <c r="AL214" t="str">
        <f t="shared" si="35"/>
        <v/>
      </c>
      <c r="AN214" t="str">
        <f t="shared" si="36"/>
        <v/>
      </c>
      <c r="AQ214" t="str">
        <f t="shared" si="37"/>
        <v/>
      </c>
      <c r="AR214" t="str">
        <f t="shared" si="38"/>
        <v/>
      </c>
      <c r="AS214" t="str">
        <f t="shared" si="39"/>
        <v/>
      </c>
      <c r="AT214" t="str">
        <f t="shared" si="40"/>
        <v/>
      </c>
      <c r="BG214" t="str">
        <f t="shared" si="41"/>
        <v/>
      </c>
      <c r="BH214" t="str">
        <f t="shared" si="42"/>
        <v/>
      </c>
      <c r="BL214" t="str">
        <f>IFERROR(INDEX(_names_lookup!$C:$C,MATCH(BK214,_names_lookup!$A:$A,0)),"")</f>
        <v/>
      </c>
      <c r="BM214" t="str">
        <f>IFERROR(INDEX(_names_lookup!$B:$B,MATCH(BK214,_names_lookup!$A:$A,0)),"")</f>
        <v/>
      </c>
      <c r="BS214" t="str">
        <f t="shared" si="43"/>
        <v/>
      </c>
    </row>
    <row r="215" spans="15:71" x14ac:dyDescent="0.2">
      <c r="O215" t="str">
        <f>IFERROR(INDEX(_courses_lookup!$C:$C,MATCH(K215&amp;L215,_courses_lookup!$E:$E,0)),"")</f>
        <v/>
      </c>
      <c r="P215" t="str">
        <f>IFERROR(INDEX(_courses_lookup!$D:$D,MATCH(K215&amp;L215,_courses_lookup!$E:$E,0)),"")</f>
        <v/>
      </c>
      <c r="AG215" t="str">
        <f t="shared" si="33"/>
        <v/>
      </c>
      <c r="AI215" t="str">
        <f t="shared" si="34"/>
        <v/>
      </c>
      <c r="AL215" t="str">
        <f t="shared" si="35"/>
        <v/>
      </c>
      <c r="AN215" t="str">
        <f t="shared" si="36"/>
        <v/>
      </c>
      <c r="AQ215" t="str">
        <f t="shared" si="37"/>
        <v/>
      </c>
      <c r="AR215" t="str">
        <f t="shared" si="38"/>
        <v/>
      </c>
      <c r="AS215" t="str">
        <f t="shared" si="39"/>
        <v/>
      </c>
      <c r="AT215" t="str">
        <f t="shared" si="40"/>
        <v/>
      </c>
      <c r="BG215" t="str">
        <f t="shared" si="41"/>
        <v/>
      </c>
      <c r="BH215" t="str">
        <f t="shared" si="42"/>
        <v/>
      </c>
      <c r="BL215" t="str">
        <f>IFERROR(INDEX(_names_lookup!$C:$C,MATCH(BK215,_names_lookup!$A:$A,0)),"")</f>
        <v/>
      </c>
      <c r="BM215" t="str">
        <f>IFERROR(INDEX(_names_lookup!$B:$B,MATCH(BK215,_names_lookup!$A:$A,0)),"")</f>
        <v/>
      </c>
      <c r="BS215" t="str">
        <f t="shared" si="43"/>
        <v/>
      </c>
    </row>
    <row r="216" spans="15:71" x14ac:dyDescent="0.2">
      <c r="O216" t="str">
        <f>IFERROR(INDEX(_courses_lookup!$C:$C,MATCH(K216&amp;L216,_courses_lookup!$E:$E,0)),"")</f>
        <v/>
      </c>
      <c r="P216" t="str">
        <f>IFERROR(INDEX(_courses_lookup!$D:$D,MATCH(K216&amp;L216,_courses_lookup!$E:$E,0)),"")</f>
        <v/>
      </c>
      <c r="AG216" t="str">
        <f t="shared" si="33"/>
        <v/>
      </c>
      <c r="AI216" t="str">
        <f t="shared" si="34"/>
        <v/>
      </c>
      <c r="AL216" t="str">
        <f t="shared" si="35"/>
        <v/>
      </c>
      <c r="AN216" t="str">
        <f t="shared" si="36"/>
        <v/>
      </c>
      <c r="AQ216" t="str">
        <f t="shared" si="37"/>
        <v/>
      </c>
      <c r="AR216" t="str">
        <f t="shared" si="38"/>
        <v/>
      </c>
      <c r="AS216" t="str">
        <f t="shared" si="39"/>
        <v/>
      </c>
      <c r="AT216" t="str">
        <f t="shared" si="40"/>
        <v/>
      </c>
      <c r="BG216" t="str">
        <f t="shared" si="41"/>
        <v/>
      </c>
      <c r="BH216" t="str">
        <f t="shared" si="42"/>
        <v/>
      </c>
      <c r="BL216" t="str">
        <f>IFERROR(INDEX(_names_lookup!$C:$C,MATCH(BK216,_names_lookup!$A:$A,0)),"")</f>
        <v/>
      </c>
      <c r="BM216" t="str">
        <f>IFERROR(INDEX(_names_lookup!$B:$B,MATCH(BK216,_names_lookup!$A:$A,0)),"")</f>
        <v/>
      </c>
      <c r="BS216" t="str">
        <f t="shared" si="43"/>
        <v/>
      </c>
    </row>
    <row r="217" spans="15:71" x14ac:dyDescent="0.2">
      <c r="O217" t="str">
        <f>IFERROR(INDEX(_courses_lookup!$C:$C,MATCH(K217&amp;L217,_courses_lookup!$E:$E,0)),"")</f>
        <v/>
      </c>
      <c r="P217" t="str">
        <f>IFERROR(INDEX(_courses_lookup!$D:$D,MATCH(K217&amp;L217,_courses_lookup!$E:$E,0)),"")</f>
        <v/>
      </c>
      <c r="AG217" t="str">
        <f t="shared" si="33"/>
        <v/>
      </c>
      <c r="AI217" t="str">
        <f t="shared" si="34"/>
        <v/>
      </c>
      <c r="AL217" t="str">
        <f t="shared" si="35"/>
        <v/>
      </c>
      <c r="AN217" t="str">
        <f t="shared" si="36"/>
        <v/>
      </c>
      <c r="AQ217" t="str">
        <f t="shared" si="37"/>
        <v/>
      </c>
      <c r="AR217" t="str">
        <f t="shared" si="38"/>
        <v/>
      </c>
      <c r="AS217" t="str">
        <f t="shared" si="39"/>
        <v/>
      </c>
      <c r="AT217" t="str">
        <f t="shared" si="40"/>
        <v/>
      </c>
      <c r="BG217" t="str">
        <f t="shared" si="41"/>
        <v/>
      </c>
      <c r="BH217" t="str">
        <f t="shared" si="42"/>
        <v/>
      </c>
      <c r="BL217" t="str">
        <f>IFERROR(INDEX(_names_lookup!$C:$C,MATCH(BK217,_names_lookup!$A:$A,0)),"")</f>
        <v/>
      </c>
      <c r="BM217" t="str">
        <f>IFERROR(INDEX(_names_lookup!$B:$B,MATCH(BK217,_names_lookup!$A:$A,0)),"")</f>
        <v/>
      </c>
      <c r="BS217" t="str">
        <f t="shared" si="43"/>
        <v/>
      </c>
    </row>
    <row r="218" spans="15:71" x14ac:dyDescent="0.2">
      <c r="O218" t="str">
        <f>IFERROR(INDEX(_courses_lookup!$C:$C,MATCH(K218&amp;L218,_courses_lookup!$E:$E,0)),"")</f>
        <v/>
      </c>
      <c r="P218" t="str">
        <f>IFERROR(INDEX(_courses_lookup!$D:$D,MATCH(K218&amp;L218,_courses_lookup!$E:$E,0)),"")</f>
        <v/>
      </c>
      <c r="AG218" t="str">
        <f t="shared" si="33"/>
        <v/>
      </c>
      <c r="AI218" t="str">
        <f t="shared" si="34"/>
        <v/>
      </c>
      <c r="AL218" t="str">
        <f t="shared" si="35"/>
        <v/>
      </c>
      <c r="AN218" t="str">
        <f t="shared" si="36"/>
        <v/>
      </c>
      <c r="AQ218" t="str">
        <f t="shared" si="37"/>
        <v/>
      </c>
      <c r="AR218" t="str">
        <f t="shared" si="38"/>
        <v/>
      </c>
      <c r="AS218" t="str">
        <f t="shared" si="39"/>
        <v/>
      </c>
      <c r="AT218" t="str">
        <f t="shared" si="40"/>
        <v/>
      </c>
      <c r="BG218" t="str">
        <f t="shared" si="41"/>
        <v/>
      </c>
      <c r="BH218" t="str">
        <f t="shared" si="42"/>
        <v/>
      </c>
      <c r="BL218" t="str">
        <f>IFERROR(INDEX(_names_lookup!$C:$C,MATCH(BK218,_names_lookup!$A:$A,0)),"")</f>
        <v/>
      </c>
      <c r="BM218" t="str">
        <f>IFERROR(INDEX(_names_lookup!$B:$B,MATCH(BK218,_names_lookup!$A:$A,0)),"")</f>
        <v/>
      </c>
      <c r="BS218" t="str">
        <f t="shared" si="43"/>
        <v/>
      </c>
    </row>
    <row r="219" spans="15:71" x14ac:dyDescent="0.2">
      <c r="O219" t="str">
        <f>IFERROR(INDEX(_courses_lookup!$C:$C,MATCH(K219&amp;L219,_courses_lookup!$E:$E,0)),"")</f>
        <v/>
      </c>
      <c r="P219" t="str">
        <f>IFERROR(INDEX(_courses_lookup!$D:$D,MATCH(K219&amp;L219,_courses_lookup!$E:$E,0)),"")</f>
        <v/>
      </c>
      <c r="AG219" t="str">
        <f t="shared" si="33"/>
        <v/>
      </c>
      <c r="AI219" t="str">
        <f t="shared" si="34"/>
        <v/>
      </c>
      <c r="AL219" t="str">
        <f t="shared" si="35"/>
        <v/>
      </c>
      <c r="AN219" t="str">
        <f t="shared" si="36"/>
        <v/>
      </c>
      <c r="AQ219" t="str">
        <f t="shared" si="37"/>
        <v/>
      </c>
      <c r="AR219" t="str">
        <f t="shared" si="38"/>
        <v/>
      </c>
      <c r="AS219" t="str">
        <f t="shared" si="39"/>
        <v/>
      </c>
      <c r="AT219" t="str">
        <f t="shared" si="40"/>
        <v/>
      </c>
      <c r="BG219" t="str">
        <f t="shared" si="41"/>
        <v/>
      </c>
      <c r="BH219" t="str">
        <f t="shared" si="42"/>
        <v/>
      </c>
      <c r="BL219" t="str">
        <f>IFERROR(INDEX(_names_lookup!$C:$C,MATCH(BK219,_names_lookup!$A:$A,0)),"")</f>
        <v/>
      </c>
      <c r="BM219" t="str">
        <f>IFERROR(INDEX(_names_lookup!$B:$B,MATCH(BK219,_names_lookup!$A:$A,0)),"")</f>
        <v/>
      </c>
      <c r="BS219" t="str">
        <f t="shared" si="43"/>
        <v/>
      </c>
    </row>
    <row r="220" spans="15:71" x14ac:dyDescent="0.2">
      <c r="O220" t="str">
        <f>IFERROR(INDEX(_courses_lookup!$C:$C,MATCH(K220&amp;L220,_courses_lookup!$E:$E,0)),"")</f>
        <v/>
      </c>
      <c r="P220" t="str">
        <f>IFERROR(INDEX(_courses_lookup!$D:$D,MATCH(K220&amp;L220,_courses_lookup!$E:$E,0)),"")</f>
        <v/>
      </c>
      <c r="AG220" t="str">
        <f t="shared" si="33"/>
        <v/>
      </c>
      <c r="AI220" t="str">
        <f t="shared" si="34"/>
        <v/>
      </c>
      <c r="AL220" t="str">
        <f t="shared" si="35"/>
        <v/>
      </c>
      <c r="AN220" t="str">
        <f t="shared" si="36"/>
        <v/>
      </c>
      <c r="AQ220" t="str">
        <f t="shared" si="37"/>
        <v/>
      </c>
      <c r="AR220" t="str">
        <f t="shared" si="38"/>
        <v/>
      </c>
      <c r="AS220" t="str">
        <f t="shared" si="39"/>
        <v/>
      </c>
      <c r="AT220" t="str">
        <f t="shared" si="40"/>
        <v/>
      </c>
      <c r="BG220" t="str">
        <f t="shared" si="41"/>
        <v/>
      </c>
      <c r="BH220" t="str">
        <f t="shared" si="42"/>
        <v/>
      </c>
      <c r="BL220" t="str">
        <f>IFERROR(INDEX(_names_lookup!$C:$C,MATCH(BK220,_names_lookup!$A:$A,0)),"")</f>
        <v/>
      </c>
      <c r="BM220" t="str">
        <f>IFERROR(INDEX(_names_lookup!$B:$B,MATCH(BK220,_names_lookup!$A:$A,0)),"")</f>
        <v/>
      </c>
      <c r="BS220" t="str">
        <f t="shared" si="43"/>
        <v/>
      </c>
    </row>
    <row r="221" spans="15:71" x14ac:dyDescent="0.2">
      <c r="O221" t="str">
        <f>IFERROR(INDEX(_courses_lookup!$C:$C,MATCH(K221&amp;L221,_courses_lookup!$E:$E,0)),"")</f>
        <v/>
      </c>
      <c r="P221" t="str">
        <f>IFERROR(INDEX(_courses_lookup!$D:$D,MATCH(K221&amp;L221,_courses_lookup!$E:$E,0)),"")</f>
        <v/>
      </c>
      <c r="AG221" t="str">
        <f t="shared" si="33"/>
        <v/>
      </c>
      <c r="AI221" t="str">
        <f t="shared" si="34"/>
        <v/>
      </c>
      <c r="AL221" t="str">
        <f t="shared" si="35"/>
        <v/>
      </c>
      <c r="AN221" t="str">
        <f t="shared" si="36"/>
        <v/>
      </c>
      <c r="AQ221" t="str">
        <f t="shared" si="37"/>
        <v/>
      </c>
      <c r="AR221" t="str">
        <f t="shared" si="38"/>
        <v/>
      </c>
      <c r="AS221" t="str">
        <f t="shared" si="39"/>
        <v/>
      </c>
      <c r="AT221" t="str">
        <f t="shared" si="40"/>
        <v/>
      </c>
      <c r="BG221" t="str">
        <f t="shared" si="41"/>
        <v/>
      </c>
      <c r="BH221" t="str">
        <f t="shared" si="42"/>
        <v/>
      </c>
      <c r="BL221" t="str">
        <f>IFERROR(INDEX(_names_lookup!$C:$C,MATCH(BK221,_names_lookup!$A:$A,0)),"")</f>
        <v/>
      </c>
      <c r="BM221" t="str">
        <f>IFERROR(INDEX(_names_lookup!$B:$B,MATCH(BK221,_names_lookup!$A:$A,0)),"")</f>
        <v/>
      </c>
      <c r="BS221" t="str">
        <f t="shared" si="43"/>
        <v/>
      </c>
    </row>
    <row r="222" spans="15:71" x14ac:dyDescent="0.2">
      <c r="O222" t="str">
        <f>IFERROR(INDEX(_courses_lookup!$C:$C,MATCH(K222&amp;L222,_courses_lookup!$E:$E,0)),"")</f>
        <v/>
      </c>
      <c r="P222" t="str">
        <f>IFERROR(INDEX(_courses_lookup!$D:$D,MATCH(K222&amp;L222,_courses_lookup!$E:$E,0)),"")</f>
        <v/>
      </c>
      <c r="AG222" t="str">
        <f t="shared" si="33"/>
        <v/>
      </c>
      <c r="AI222" t="str">
        <f t="shared" si="34"/>
        <v/>
      </c>
      <c r="AL222" t="str">
        <f t="shared" si="35"/>
        <v/>
      </c>
      <c r="AN222" t="str">
        <f t="shared" si="36"/>
        <v/>
      </c>
      <c r="AQ222" t="str">
        <f t="shared" si="37"/>
        <v/>
      </c>
      <c r="AR222" t="str">
        <f t="shared" si="38"/>
        <v/>
      </c>
      <c r="AS222" t="str">
        <f t="shared" si="39"/>
        <v/>
      </c>
      <c r="AT222" t="str">
        <f t="shared" si="40"/>
        <v/>
      </c>
      <c r="BG222" t="str">
        <f t="shared" si="41"/>
        <v/>
      </c>
      <c r="BH222" t="str">
        <f t="shared" si="42"/>
        <v/>
      </c>
      <c r="BL222" t="str">
        <f>IFERROR(INDEX(_names_lookup!$C:$C,MATCH(BK222,_names_lookup!$A:$A,0)),"")</f>
        <v/>
      </c>
      <c r="BM222" t="str">
        <f>IFERROR(INDEX(_names_lookup!$B:$B,MATCH(BK222,_names_lookup!$A:$A,0)),"")</f>
        <v/>
      </c>
      <c r="BS222" t="str">
        <f t="shared" si="43"/>
        <v/>
      </c>
    </row>
    <row r="223" spans="15:71" x14ac:dyDescent="0.2">
      <c r="O223" t="str">
        <f>IFERROR(INDEX(_courses_lookup!$C:$C,MATCH(K223&amp;L223,_courses_lookup!$E:$E,0)),"")</f>
        <v/>
      </c>
      <c r="P223" t="str">
        <f>IFERROR(INDEX(_courses_lookup!$D:$D,MATCH(K223&amp;L223,_courses_lookup!$E:$E,0)),"")</f>
        <v/>
      </c>
      <c r="AG223" t="str">
        <f t="shared" si="33"/>
        <v/>
      </c>
      <c r="AI223" t="str">
        <f t="shared" si="34"/>
        <v/>
      </c>
      <c r="AL223" t="str">
        <f t="shared" si="35"/>
        <v/>
      </c>
      <c r="AN223" t="str">
        <f t="shared" si="36"/>
        <v/>
      </c>
      <c r="AQ223" t="str">
        <f t="shared" si="37"/>
        <v/>
      </c>
      <c r="AR223" t="str">
        <f t="shared" si="38"/>
        <v/>
      </c>
      <c r="AS223" t="str">
        <f t="shared" si="39"/>
        <v/>
      </c>
      <c r="AT223" t="str">
        <f t="shared" si="40"/>
        <v/>
      </c>
      <c r="BG223" t="str">
        <f t="shared" si="41"/>
        <v/>
      </c>
      <c r="BH223" t="str">
        <f t="shared" si="42"/>
        <v/>
      </c>
      <c r="BL223" t="str">
        <f>IFERROR(INDEX(_names_lookup!$C:$C,MATCH(BK223,_names_lookup!$A:$A,0)),"")</f>
        <v/>
      </c>
      <c r="BM223" t="str">
        <f>IFERROR(INDEX(_names_lookup!$B:$B,MATCH(BK223,_names_lookup!$A:$A,0)),"")</f>
        <v/>
      </c>
      <c r="BS223" t="str">
        <f t="shared" si="43"/>
        <v/>
      </c>
    </row>
    <row r="224" spans="15:71" x14ac:dyDescent="0.2">
      <c r="O224" t="str">
        <f>IFERROR(INDEX(_courses_lookup!$C:$C,MATCH(K224&amp;L224,_courses_lookup!$E:$E,0)),"")</f>
        <v/>
      </c>
      <c r="P224" t="str">
        <f>IFERROR(INDEX(_courses_lookup!$D:$D,MATCH(K224&amp;L224,_courses_lookup!$E:$E,0)),"")</f>
        <v/>
      </c>
      <c r="AG224" t="str">
        <f t="shared" si="33"/>
        <v/>
      </c>
      <c r="AI224" t="str">
        <f t="shared" si="34"/>
        <v/>
      </c>
      <c r="AL224" t="str">
        <f t="shared" si="35"/>
        <v/>
      </c>
      <c r="AN224" t="str">
        <f t="shared" si="36"/>
        <v/>
      </c>
      <c r="AQ224" t="str">
        <f t="shared" si="37"/>
        <v/>
      </c>
      <c r="AR224" t="str">
        <f t="shared" si="38"/>
        <v/>
      </c>
      <c r="AS224" t="str">
        <f t="shared" si="39"/>
        <v/>
      </c>
      <c r="AT224" t="str">
        <f t="shared" si="40"/>
        <v/>
      </c>
      <c r="BG224" t="str">
        <f t="shared" si="41"/>
        <v/>
      </c>
      <c r="BH224" t="str">
        <f t="shared" si="42"/>
        <v/>
      </c>
      <c r="BL224" t="str">
        <f>IFERROR(INDEX(_names_lookup!$C:$C,MATCH(BK224,_names_lookup!$A:$A,0)),"")</f>
        <v/>
      </c>
      <c r="BM224" t="str">
        <f>IFERROR(INDEX(_names_lookup!$B:$B,MATCH(BK224,_names_lookup!$A:$A,0)),"")</f>
        <v/>
      </c>
      <c r="BS224" t="str">
        <f t="shared" si="43"/>
        <v/>
      </c>
    </row>
    <row r="225" spans="15:71" x14ac:dyDescent="0.2">
      <c r="O225" t="str">
        <f>IFERROR(INDEX(_courses_lookup!$C:$C,MATCH(K225&amp;L225,_courses_lookup!$E:$E,0)),"")</f>
        <v/>
      </c>
      <c r="P225" t="str">
        <f>IFERROR(INDEX(_courses_lookup!$D:$D,MATCH(K225&amp;L225,_courses_lookup!$E:$E,0)),"")</f>
        <v/>
      </c>
      <c r="AG225" t="str">
        <f t="shared" si="33"/>
        <v/>
      </c>
      <c r="AI225" t="str">
        <f t="shared" si="34"/>
        <v/>
      </c>
      <c r="AL225" t="str">
        <f t="shared" si="35"/>
        <v/>
      </c>
      <c r="AN225" t="str">
        <f t="shared" si="36"/>
        <v/>
      </c>
      <c r="AQ225" t="str">
        <f t="shared" si="37"/>
        <v/>
      </c>
      <c r="AR225" t="str">
        <f t="shared" si="38"/>
        <v/>
      </c>
      <c r="AS225" t="str">
        <f t="shared" si="39"/>
        <v/>
      </c>
      <c r="AT225" t="str">
        <f t="shared" si="40"/>
        <v/>
      </c>
      <c r="BG225" t="str">
        <f t="shared" si="41"/>
        <v/>
      </c>
      <c r="BH225" t="str">
        <f t="shared" si="42"/>
        <v/>
      </c>
      <c r="BL225" t="str">
        <f>IFERROR(INDEX(_names_lookup!$C:$C,MATCH(BK225,_names_lookup!$A:$A,0)),"")</f>
        <v/>
      </c>
      <c r="BM225" t="str">
        <f>IFERROR(INDEX(_names_lookup!$B:$B,MATCH(BK225,_names_lookup!$A:$A,0)),"")</f>
        <v/>
      </c>
      <c r="BS225" t="str">
        <f t="shared" si="43"/>
        <v/>
      </c>
    </row>
    <row r="226" spans="15:71" x14ac:dyDescent="0.2">
      <c r="O226" t="str">
        <f>IFERROR(INDEX(_courses_lookup!$C:$C,MATCH(K226&amp;L226,_courses_lookup!$E:$E,0)),"")</f>
        <v/>
      </c>
      <c r="P226" t="str">
        <f>IFERROR(INDEX(_courses_lookup!$D:$D,MATCH(K226&amp;L226,_courses_lookup!$E:$E,0)),"")</f>
        <v/>
      </c>
      <c r="AG226" t="str">
        <f t="shared" si="33"/>
        <v/>
      </c>
      <c r="AI226" t="str">
        <f t="shared" si="34"/>
        <v/>
      </c>
      <c r="AL226" t="str">
        <f t="shared" si="35"/>
        <v/>
      </c>
      <c r="AN226" t="str">
        <f t="shared" si="36"/>
        <v/>
      </c>
      <c r="AQ226" t="str">
        <f t="shared" si="37"/>
        <v/>
      </c>
      <c r="AR226" t="str">
        <f t="shared" si="38"/>
        <v/>
      </c>
      <c r="AS226" t="str">
        <f t="shared" si="39"/>
        <v/>
      </c>
      <c r="AT226" t="str">
        <f t="shared" si="40"/>
        <v/>
      </c>
      <c r="BG226" t="str">
        <f t="shared" si="41"/>
        <v/>
      </c>
      <c r="BH226" t="str">
        <f t="shared" si="42"/>
        <v/>
      </c>
      <c r="BL226" t="str">
        <f>IFERROR(INDEX(_names_lookup!$C:$C,MATCH(BK226,_names_lookup!$A:$A,0)),"")</f>
        <v/>
      </c>
      <c r="BM226" t="str">
        <f>IFERROR(INDEX(_names_lookup!$B:$B,MATCH(BK226,_names_lookup!$A:$A,0)),"")</f>
        <v/>
      </c>
      <c r="BS226" t="str">
        <f t="shared" si="43"/>
        <v/>
      </c>
    </row>
    <row r="227" spans="15:71" x14ac:dyDescent="0.2">
      <c r="O227" t="str">
        <f>IFERROR(INDEX(_courses_lookup!$C:$C,MATCH(K227&amp;L227,_courses_lookup!$E:$E,0)),"")</f>
        <v/>
      </c>
      <c r="P227" t="str">
        <f>IFERROR(INDEX(_courses_lookup!$D:$D,MATCH(K227&amp;L227,_courses_lookup!$E:$E,0)),"")</f>
        <v/>
      </c>
      <c r="AG227" t="str">
        <f t="shared" si="33"/>
        <v/>
      </c>
      <c r="AI227" t="str">
        <f t="shared" si="34"/>
        <v/>
      </c>
      <c r="AL227" t="str">
        <f t="shared" si="35"/>
        <v/>
      </c>
      <c r="AN227" t="str">
        <f t="shared" si="36"/>
        <v/>
      </c>
      <c r="AQ227" t="str">
        <f t="shared" si="37"/>
        <v/>
      </c>
      <c r="AR227" t="str">
        <f t="shared" si="38"/>
        <v/>
      </c>
      <c r="AS227" t="str">
        <f t="shared" si="39"/>
        <v/>
      </c>
      <c r="AT227" t="str">
        <f t="shared" si="40"/>
        <v/>
      </c>
      <c r="BG227" t="str">
        <f t="shared" si="41"/>
        <v/>
      </c>
      <c r="BH227" t="str">
        <f t="shared" si="42"/>
        <v/>
      </c>
      <c r="BL227" t="str">
        <f>IFERROR(INDEX(_names_lookup!$C:$C,MATCH(BK227,_names_lookup!$A:$A,0)),"")</f>
        <v/>
      </c>
      <c r="BM227" t="str">
        <f>IFERROR(INDEX(_names_lookup!$B:$B,MATCH(BK227,_names_lookup!$A:$A,0)),"")</f>
        <v/>
      </c>
      <c r="BS227" t="str">
        <f t="shared" si="43"/>
        <v/>
      </c>
    </row>
    <row r="228" spans="15:71" x14ac:dyDescent="0.2">
      <c r="O228" t="str">
        <f>IFERROR(INDEX(_courses_lookup!$C:$C,MATCH(K228&amp;L228,_courses_lookup!$E:$E,0)),"")</f>
        <v/>
      </c>
      <c r="P228" t="str">
        <f>IFERROR(INDEX(_courses_lookup!$D:$D,MATCH(K228&amp;L228,_courses_lookup!$E:$E,0)),"")</f>
        <v/>
      </c>
      <c r="AG228" t="str">
        <f t="shared" si="33"/>
        <v/>
      </c>
      <c r="AI228" t="str">
        <f t="shared" si="34"/>
        <v/>
      </c>
      <c r="AL228" t="str">
        <f t="shared" si="35"/>
        <v/>
      </c>
      <c r="AN228" t="str">
        <f t="shared" si="36"/>
        <v/>
      </c>
      <c r="AQ228" t="str">
        <f t="shared" si="37"/>
        <v/>
      </c>
      <c r="AR228" t="str">
        <f t="shared" si="38"/>
        <v/>
      </c>
      <c r="AS228" t="str">
        <f t="shared" si="39"/>
        <v/>
      </c>
      <c r="AT228" t="str">
        <f t="shared" si="40"/>
        <v/>
      </c>
      <c r="BG228" t="str">
        <f t="shared" si="41"/>
        <v/>
      </c>
      <c r="BH228" t="str">
        <f t="shared" si="42"/>
        <v/>
      </c>
      <c r="BL228" t="str">
        <f>IFERROR(INDEX(_names_lookup!$C:$C,MATCH(BK228,_names_lookup!$A:$A,0)),"")</f>
        <v/>
      </c>
      <c r="BM228" t="str">
        <f>IFERROR(INDEX(_names_lookup!$B:$B,MATCH(BK228,_names_lookup!$A:$A,0)),"")</f>
        <v/>
      </c>
      <c r="BS228" t="str">
        <f t="shared" si="43"/>
        <v/>
      </c>
    </row>
    <row r="229" spans="15:71" x14ac:dyDescent="0.2">
      <c r="O229" t="str">
        <f>IFERROR(INDEX(_courses_lookup!$C:$C,MATCH(K229&amp;L229,_courses_lookup!$E:$E,0)),"")</f>
        <v/>
      </c>
      <c r="P229" t="str">
        <f>IFERROR(INDEX(_courses_lookup!$D:$D,MATCH(K229&amp;L229,_courses_lookup!$E:$E,0)),"")</f>
        <v/>
      </c>
      <c r="AG229" t="str">
        <f t="shared" si="33"/>
        <v/>
      </c>
      <c r="AI229" t="str">
        <f t="shared" si="34"/>
        <v/>
      </c>
      <c r="AL229" t="str">
        <f t="shared" si="35"/>
        <v/>
      </c>
      <c r="AN229" t="str">
        <f t="shared" si="36"/>
        <v/>
      </c>
      <c r="AQ229" t="str">
        <f t="shared" si="37"/>
        <v/>
      </c>
      <c r="AR229" t="str">
        <f t="shared" si="38"/>
        <v/>
      </c>
      <c r="AS229" t="str">
        <f t="shared" si="39"/>
        <v/>
      </c>
      <c r="AT229" t="str">
        <f t="shared" si="40"/>
        <v/>
      </c>
      <c r="BG229" t="str">
        <f t="shared" si="41"/>
        <v/>
      </c>
      <c r="BH229" t="str">
        <f t="shared" si="42"/>
        <v/>
      </c>
      <c r="BL229" t="str">
        <f>IFERROR(INDEX(_names_lookup!$C:$C,MATCH(BK229,_names_lookup!$A:$A,0)),"")</f>
        <v/>
      </c>
      <c r="BM229" t="str">
        <f>IFERROR(INDEX(_names_lookup!$B:$B,MATCH(BK229,_names_lookup!$A:$A,0)),"")</f>
        <v/>
      </c>
      <c r="BS229" t="str">
        <f t="shared" si="43"/>
        <v/>
      </c>
    </row>
    <row r="230" spans="15:71" x14ac:dyDescent="0.2">
      <c r="O230" t="str">
        <f>IFERROR(INDEX(_courses_lookup!$C:$C,MATCH(K230&amp;L230,_courses_lookup!$E:$E,0)),"")</f>
        <v/>
      </c>
      <c r="P230" t="str">
        <f>IFERROR(INDEX(_courses_lookup!$D:$D,MATCH(K230&amp;L230,_courses_lookup!$E:$E,0)),"")</f>
        <v/>
      </c>
      <c r="AG230" t="str">
        <f t="shared" si="33"/>
        <v/>
      </c>
      <c r="AI230" t="str">
        <f t="shared" si="34"/>
        <v/>
      </c>
      <c r="AL230" t="str">
        <f t="shared" si="35"/>
        <v/>
      </c>
      <c r="AN230" t="str">
        <f t="shared" si="36"/>
        <v/>
      </c>
      <c r="AQ230" t="str">
        <f t="shared" si="37"/>
        <v/>
      </c>
      <c r="AR230" t="str">
        <f t="shared" si="38"/>
        <v/>
      </c>
      <c r="AS230" t="str">
        <f t="shared" si="39"/>
        <v/>
      </c>
      <c r="AT230" t="str">
        <f t="shared" si="40"/>
        <v/>
      </c>
      <c r="BG230" t="str">
        <f t="shared" si="41"/>
        <v/>
      </c>
      <c r="BH230" t="str">
        <f t="shared" si="42"/>
        <v/>
      </c>
      <c r="BL230" t="str">
        <f>IFERROR(INDEX(_names_lookup!$C:$C,MATCH(BK230,_names_lookup!$A:$A,0)),"")</f>
        <v/>
      </c>
      <c r="BM230" t="str">
        <f>IFERROR(INDEX(_names_lookup!$B:$B,MATCH(BK230,_names_lookup!$A:$A,0)),"")</f>
        <v/>
      </c>
      <c r="BS230" t="str">
        <f t="shared" si="43"/>
        <v/>
      </c>
    </row>
    <row r="231" spans="15:71" x14ac:dyDescent="0.2">
      <c r="O231" t="str">
        <f>IFERROR(INDEX(_courses_lookup!$C:$C,MATCH(K231&amp;L231,_courses_lookup!$E:$E,0)),"")</f>
        <v/>
      </c>
      <c r="P231" t="str">
        <f>IFERROR(INDEX(_courses_lookup!$D:$D,MATCH(K231&amp;L231,_courses_lookup!$E:$E,0)),"")</f>
        <v/>
      </c>
      <c r="AG231" t="str">
        <f t="shared" si="33"/>
        <v/>
      </c>
      <c r="AI231" t="str">
        <f t="shared" si="34"/>
        <v/>
      </c>
      <c r="AL231" t="str">
        <f t="shared" si="35"/>
        <v/>
      </c>
      <c r="AN231" t="str">
        <f t="shared" si="36"/>
        <v/>
      </c>
      <c r="AQ231" t="str">
        <f t="shared" si="37"/>
        <v/>
      </c>
      <c r="AR231" t="str">
        <f t="shared" si="38"/>
        <v/>
      </c>
      <c r="AS231" t="str">
        <f t="shared" si="39"/>
        <v/>
      </c>
      <c r="AT231" t="str">
        <f t="shared" si="40"/>
        <v/>
      </c>
      <c r="BG231" t="str">
        <f t="shared" si="41"/>
        <v/>
      </c>
      <c r="BH231" t="str">
        <f t="shared" si="42"/>
        <v/>
      </c>
      <c r="BL231" t="str">
        <f>IFERROR(INDEX(_names_lookup!$C:$C,MATCH(BK231,_names_lookup!$A:$A,0)),"")</f>
        <v/>
      </c>
      <c r="BM231" t="str">
        <f>IFERROR(INDEX(_names_lookup!$B:$B,MATCH(BK231,_names_lookup!$A:$A,0)),"")</f>
        <v/>
      </c>
      <c r="BS231" t="str">
        <f t="shared" si="43"/>
        <v/>
      </c>
    </row>
    <row r="232" spans="15:71" x14ac:dyDescent="0.2">
      <c r="O232" t="str">
        <f>IFERROR(INDEX(_courses_lookup!$C:$C,MATCH(K232&amp;L232,_courses_lookup!$E:$E,0)),"")</f>
        <v/>
      </c>
      <c r="P232" t="str">
        <f>IFERROR(INDEX(_courses_lookup!$D:$D,MATCH(K232&amp;L232,_courses_lookup!$E:$E,0)),"")</f>
        <v/>
      </c>
      <c r="AG232" t="str">
        <f t="shared" si="33"/>
        <v/>
      </c>
      <c r="AI232" t="str">
        <f t="shared" si="34"/>
        <v/>
      </c>
      <c r="AL232" t="str">
        <f t="shared" si="35"/>
        <v/>
      </c>
      <c r="AN232" t="str">
        <f t="shared" si="36"/>
        <v/>
      </c>
      <c r="AQ232" t="str">
        <f t="shared" si="37"/>
        <v/>
      </c>
      <c r="AR232" t="str">
        <f t="shared" si="38"/>
        <v/>
      </c>
      <c r="AS232" t="str">
        <f t="shared" si="39"/>
        <v/>
      </c>
      <c r="AT232" t="str">
        <f t="shared" si="40"/>
        <v/>
      </c>
      <c r="BG232" t="str">
        <f t="shared" si="41"/>
        <v/>
      </c>
      <c r="BH232" t="str">
        <f t="shared" si="42"/>
        <v/>
      </c>
      <c r="BL232" t="str">
        <f>IFERROR(INDEX(_names_lookup!$C:$C,MATCH(BK232,_names_lookup!$A:$A,0)),"")</f>
        <v/>
      </c>
      <c r="BM232" t="str">
        <f>IFERROR(INDEX(_names_lookup!$B:$B,MATCH(BK232,_names_lookup!$A:$A,0)),"")</f>
        <v/>
      </c>
      <c r="BS232" t="str">
        <f t="shared" si="43"/>
        <v/>
      </c>
    </row>
    <row r="233" spans="15:71" x14ac:dyDescent="0.2">
      <c r="O233" t="str">
        <f>IFERROR(INDEX(_courses_lookup!$C:$C,MATCH(K233&amp;L233,_courses_lookup!$E:$E,0)),"")</f>
        <v/>
      </c>
      <c r="P233" t="str">
        <f>IFERROR(INDEX(_courses_lookup!$D:$D,MATCH(K233&amp;L233,_courses_lookup!$E:$E,0)),"")</f>
        <v/>
      </c>
      <c r="AG233" t="str">
        <f t="shared" si="33"/>
        <v/>
      </c>
      <c r="AI233" t="str">
        <f t="shared" si="34"/>
        <v/>
      </c>
      <c r="AL233" t="str">
        <f t="shared" si="35"/>
        <v/>
      </c>
      <c r="AN233" t="str">
        <f t="shared" si="36"/>
        <v/>
      </c>
      <c r="AQ233" t="str">
        <f t="shared" si="37"/>
        <v/>
      </c>
      <c r="AR233" t="str">
        <f t="shared" si="38"/>
        <v/>
      </c>
      <c r="AS233" t="str">
        <f t="shared" si="39"/>
        <v/>
      </c>
      <c r="AT233" t="str">
        <f t="shared" si="40"/>
        <v/>
      </c>
      <c r="BG233" t="str">
        <f t="shared" si="41"/>
        <v/>
      </c>
      <c r="BH233" t="str">
        <f t="shared" si="42"/>
        <v/>
      </c>
      <c r="BL233" t="str">
        <f>IFERROR(INDEX(_names_lookup!$C:$C,MATCH(BK233,_names_lookup!$A:$A,0)),"")</f>
        <v/>
      </c>
      <c r="BM233" t="str">
        <f>IFERROR(INDEX(_names_lookup!$B:$B,MATCH(BK233,_names_lookup!$A:$A,0)),"")</f>
        <v/>
      </c>
      <c r="BS233" t="str">
        <f t="shared" si="43"/>
        <v/>
      </c>
    </row>
    <row r="234" spans="15:71" x14ac:dyDescent="0.2">
      <c r="O234" t="str">
        <f>IFERROR(INDEX(_courses_lookup!$C:$C,MATCH(K234&amp;L234,_courses_lookup!$E:$E,0)),"")</f>
        <v/>
      </c>
      <c r="P234" t="str">
        <f>IFERROR(INDEX(_courses_lookup!$D:$D,MATCH(K234&amp;L234,_courses_lookup!$E:$E,0)),"")</f>
        <v/>
      </c>
      <c r="AG234" t="str">
        <f t="shared" si="33"/>
        <v/>
      </c>
      <c r="AI234" t="str">
        <f t="shared" si="34"/>
        <v/>
      </c>
      <c r="AL234" t="str">
        <f t="shared" si="35"/>
        <v/>
      </c>
      <c r="AN234" t="str">
        <f t="shared" si="36"/>
        <v/>
      </c>
      <c r="AQ234" t="str">
        <f t="shared" si="37"/>
        <v/>
      </c>
      <c r="AR234" t="str">
        <f t="shared" si="38"/>
        <v/>
      </c>
      <c r="AS234" t="str">
        <f t="shared" si="39"/>
        <v/>
      </c>
      <c r="AT234" t="str">
        <f t="shared" si="40"/>
        <v/>
      </c>
      <c r="BG234" t="str">
        <f t="shared" si="41"/>
        <v/>
      </c>
      <c r="BH234" t="str">
        <f t="shared" si="42"/>
        <v/>
      </c>
      <c r="BL234" t="str">
        <f>IFERROR(INDEX(_names_lookup!$C:$C,MATCH(BK234,_names_lookup!$A:$A,0)),"")</f>
        <v/>
      </c>
      <c r="BM234" t="str">
        <f>IFERROR(INDEX(_names_lookup!$B:$B,MATCH(BK234,_names_lookup!$A:$A,0)),"")</f>
        <v/>
      </c>
      <c r="BS234" t="str">
        <f t="shared" si="43"/>
        <v/>
      </c>
    </row>
    <row r="235" spans="15:71" x14ac:dyDescent="0.2">
      <c r="O235" t="str">
        <f>IFERROR(INDEX(_courses_lookup!$C:$C,MATCH(K235&amp;L235,_courses_lookup!$E:$E,0)),"")</f>
        <v/>
      </c>
      <c r="P235" t="str">
        <f>IFERROR(INDEX(_courses_lookup!$D:$D,MATCH(K235&amp;L235,_courses_lookup!$E:$E,0)),"")</f>
        <v/>
      </c>
      <c r="AG235" t="str">
        <f t="shared" si="33"/>
        <v/>
      </c>
      <c r="AI235" t="str">
        <f t="shared" si="34"/>
        <v/>
      </c>
      <c r="AL235" t="str">
        <f t="shared" si="35"/>
        <v/>
      </c>
      <c r="AN235" t="str">
        <f t="shared" si="36"/>
        <v/>
      </c>
      <c r="AQ235" t="str">
        <f t="shared" si="37"/>
        <v/>
      </c>
      <c r="AR235" t="str">
        <f t="shared" si="38"/>
        <v/>
      </c>
      <c r="AS235" t="str">
        <f t="shared" si="39"/>
        <v/>
      </c>
      <c r="AT235" t="str">
        <f t="shared" si="40"/>
        <v/>
      </c>
      <c r="BG235" t="str">
        <f t="shared" si="41"/>
        <v/>
      </c>
      <c r="BH235" t="str">
        <f t="shared" si="42"/>
        <v/>
      </c>
      <c r="BL235" t="str">
        <f>IFERROR(INDEX(_names_lookup!$C:$C,MATCH(BK235,_names_lookup!$A:$A,0)),"")</f>
        <v/>
      </c>
      <c r="BM235" t="str">
        <f>IFERROR(INDEX(_names_lookup!$B:$B,MATCH(BK235,_names_lookup!$A:$A,0)),"")</f>
        <v/>
      </c>
      <c r="BS235" t="str">
        <f t="shared" si="43"/>
        <v/>
      </c>
    </row>
    <row r="236" spans="15:71" x14ac:dyDescent="0.2">
      <c r="O236" t="str">
        <f>IFERROR(INDEX(_courses_lookup!$C:$C,MATCH(K236&amp;L236,_courses_lookup!$E:$E,0)),"")</f>
        <v/>
      </c>
      <c r="P236" t="str">
        <f>IFERROR(INDEX(_courses_lookup!$D:$D,MATCH(K236&amp;L236,_courses_lookup!$E:$E,0)),"")</f>
        <v/>
      </c>
      <c r="AG236" t="str">
        <f t="shared" si="33"/>
        <v/>
      </c>
      <c r="AI236" t="str">
        <f t="shared" si="34"/>
        <v/>
      </c>
      <c r="AL236" t="str">
        <f t="shared" si="35"/>
        <v/>
      </c>
      <c r="AN236" t="str">
        <f t="shared" si="36"/>
        <v/>
      </c>
      <c r="AQ236" t="str">
        <f t="shared" si="37"/>
        <v/>
      </c>
      <c r="AR236" t="str">
        <f t="shared" si="38"/>
        <v/>
      </c>
      <c r="AS236" t="str">
        <f t="shared" si="39"/>
        <v/>
      </c>
      <c r="AT236" t="str">
        <f t="shared" si="40"/>
        <v/>
      </c>
      <c r="BG236" t="str">
        <f t="shared" si="41"/>
        <v/>
      </c>
      <c r="BH236" t="str">
        <f t="shared" si="42"/>
        <v/>
      </c>
      <c r="BL236" t="str">
        <f>IFERROR(INDEX(_names_lookup!$C:$C,MATCH(BK236,_names_lookup!$A:$A,0)),"")</f>
        <v/>
      </c>
      <c r="BM236" t="str">
        <f>IFERROR(INDEX(_names_lookup!$B:$B,MATCH(BK236,_names_lookup!$A:$A,0)),"")</f>
        <v/>
      </c>
      <c r="BS236" t="str">
        <f t="shared" si="43"/>
        <v/>
      </c>
    </row>
    <row r="237" spans="15:71" x14ac:dyDescent="0.2">
      <c r="O237" t="str">
        <f>IFERROR(INDEX(_courses_lookup!$C:$C,MATCH(K237&amp;L237,_courses_lookup!$E:$E,0)),"")</f>
        <v/>
      </c>
      <c r="P237" t="str">
        <f>IFERROR(INDEX(_courses_lookup!$D:$D,MATCH(K237&amp;L237,_courses_lookup!$E:$E,0)),"")</f>
        <v/>
      </c>
      <c r="AG237" t="str">
        <f t="shared" si="33"/>
        <v/>
      </c>
      <c r="AI237" t="str">
        <f t="shared" si="34"/>
        <v/>
      </c>
      <c r="AL237" t="str">
        <f t="shared" si="35"/>
        <v/>
      </c>
      <c r="AN237" t="str">
        <f t="shared" si="36"/>
        <v/>
      </c>
      <c r="AQ237" t="str">
        <f t="shared" si="37"/>
        <v/>
      </c>
      <c r="AR237" t="str">
        <f t="shared" si="38"/>
        <v/>
      </c>
      <c r="AS237" t="str">
        <f t="shared" si="39"/>
        <v/>
      </c>
      <c r="AT237" t="str">
        <f t="shared" si="40"/>
        <v/>
      </c>
      <c r="BG237" t="str">
        <f t="shared" si="41"/>
        <v/>
      </c>
      <c r="BH237" t="str">
        <f t="shared" si="42"/>
        <v/>
      </c>
      <c r="BL237" t="str">
        <f>IFERROR(INDEX(_names_lookup!$C:$C,MATCH(BK237,_names_lookup!$A:$A,0)),"")</f>
        <v/>
      </c>
      <c r="BM237" t="str">
        <f>IFERROR(INDEX(_names_lookup!$B:$B,MATCH(BK237,_names_lookup!$A:$A,0)),"")</f>
        <v/>
      </c>
      <c r="BS237" t="str">
        <f t="shared" si="43"/>
        <v/>
      </c>
    </row>
    <row r="238" spans="15:71" x14ac:dyDescent="0.2">
      <c r="O238" t="str">
        <f>IFERROR(INDEX(_courses_lookup!$C:$C,MATCH(K238&amp;L238,_courses_lookup!$E:$E,0)),"")</f>
        <v/>
      </c>
      <c r="P238" t="str">
        <f>IFERROR(INDEX(_courses_lookup!$D:$D,MATCH(K238&amp;L238,_courses_lookup!$E:$E,0)),"")</f>
        <v/>
      </c>
      <c r="AG238" t="str">
        <f t="shared" si="33"/>
        <v/>
      </c>
      <c r="AI238" t="str">
        <f t="shared" si="34"/>
        <v/>
      </c>
      <c r="AL238" t="str">
        <f t="shared" si="35"/>
        <v/>
      </c>
      <c r="AN238" t="str">
        <f t="shared" si="36"/>
        <v/>
      </c>
      <c r="AQ238" t="str">
        <f t="shared" si="37"/>
        <v/>
      </c>
      <c r="AR238" t="str">
        <f t="shared" si="38"/>
        <v/>
      </c>
      <c r="AS238" t="str">
        <f t="shared" si="39"/>
        <v/>
      </c>
      <c r="AT238" t="str">
        <f t="shared" si="40"/>
        <v/>
      </c>
      <c r="BG238" t="str">
        <f t="shared" si="41"/>
        <v/>
      </c>
      <c r="BH238" t="str">
        <f t="shared" si="42"/>
        <v/>
      </c>
      <c r="BL238" t="str">
        <f>IFERROR(INDEX(_names_lookup!$C:$C,MATCH(BK238,_names_lookup!$A:$A,0)),"")</f>
        <v/>
      </c>
      <c r="BM238" t="str">
        <f>IFERROR(INDEX(_names_lookup!$B:$B,MATCH(BK238,_names_lookup!$A:$A,0)),"")</f>
        <v/>
      </c>
      <c r="BS238" t="str">
        <f t="shared" si="43"/>
        <v/>
      </c>
    </row>
    <row r="239" spans="15:71" x14ac:dyDescent="0.2">
      <c r="O239" t="str">
        <f>IFERROR(INDEX(_courses_lookup!$C:$C,MATCH(K239&amp;L239,_courses_lookup!$E:$E,0)),"")</f>
        <v/>
      </c>
      <c r="P239" t="str">
        <f>IFERROR(INDEX(_courses_lookup!$D:$D,MATCH(K239&amp;L239,_courses_lookup!$E:$E,0)),"")</f>
        <v/>
      </c>
      <c r="AG239" t="str">
        <f t="shared" si="33"/>
        <v/>
      </c>
      <c r="AI239" t="str">
        <f t="shared" si="34"/>
        <v/>
      </c>
      <c r="AL239" t="str">
        <f t="shared" si="35"/>
        <v/>
      </c>
      <c r="AN239" t="str">
        <f t="shared" si="36"/>
        <v/>
      </c>
      <c r="AQ239" t="str">
        <f t="shared" si="37"/>
        <v/>
      </c>
      <c r="AR239" t="str">
        <f t="shared" si="38"/>
        <v/>
      </c>
      <c r="AS239" t="str">
        <f t="shared" si="39"/>
        <v/>
      </c>
      <c r="AT239" t="str">
        <f t="shared" si="40"/>
        <v/>
      </c>
      <c r="BG239" t="str">
        <f t="shared" si="41"/>
        <v/>
      </c>
      <c r="BH239" t="str">
        <f t="shared" si="42"/>
        <v/>
      </c>
      <c r="BL239" t="str">
        <f>IFERROR(INDEX(_names_lookup!$C:$C,MATCH(BK239,_names_lookup!$A:$A,0)),"")</f>
        <v/>
      </c>
      <c r="BM239" t="str">
        <f>IFERROR(INDEX(_names_lookup!$B:$B,MATCH(BK239,_names_lookup!$A:$A,0)),"")</f>
        <v/>
      </c>
      <c r="BS239" t="str">
        <f t="shared" si="43"/>
        <v/>
      </c>
    </row>
    <row r="240" spans="15:71" x14ac:dyDescent="0.2">
      <c r="O240" t="str">
        <f>IFERROR(INDEX(_courses_lookup!$C:$C,MATCH(K240&amp;L240,_courses_lookup!$E:$E,0)),"")</f>
        <v/>
      </c>
      <c r="P240" t="str">
        <f>IFERROR(INDEX(_courses_lookup!$D:$D,MATCH(K240&amp;L240,_courses_lookup!$E:$E,0)),"")</f>
        <v/>
      </c>
      <c r="AG240" t="str">
        <f t="shared" si="33"/>
        <v/>
      </c>
      <c r="AI240" t="str">
        <f t="shared" si="34"/>
        <v/>
      </c>
      <c r="AL240" t="str">
        <f t="shared" si="35"/>
        <v/>
      </c>
      <c r="AN240" t="str">
        <f t="shared" si="36"/>
        <v/>
      </c>
      <c r="AQ240" t="str">
        <f t="shared" si="37"/>
        <v/>
      </c>
      <c r="AR240" t="str">
        <f t="shared" si="38"/>
        <v/>
      </c>
      <c r="AS240" t="str">
        <f t="shared" si="39"/>
        <v/>
      </c>
      <c r="AT240" t="str">
        <f t="shared" si="40"/>
        <v/>
      </c>
      <c r="BG240" t="str">
        <f t="shared" si="41"/>
        <v/>
      </c>
      <c r="BH240" t="str">
        <f t="shared" si="42"/>
        <v/>
      </c>
      <c r="BL240" t="str">
        <f>IFERROR(INDEX(_names_lookup!$C:$C,MATCH(BK240,_names_lookup!$A:$A,0)),"")</f>
        <v/>
      </c>
      <c r="BM240" t="str">
        <f>IFERROR(INDEX(_names_lookup!$B:$B,MATCH(BK240,_names_lookup!$A:$A,0)),"")</f>
        <v/>
      </c>
      <c r="BS240" t="str">
        <f t="shared" si="43"/>
        <v/>
      </c>
    </row>
    <row r="241" spans="15:71" x14ac:dyDescent="0.2">
      <c r="O241" t="str">
        <f>IFERROR(INDEX(_courses_lookup!$C:$C,MATCH(K241&amp;L241,_courses_lookup!$E:$E,0)),"")</f>
        <v/>
      </c>
      <c r="P241" t="str">
        <f>IFERROR(INDEX(_courses_lookup!$D:$D,MATCH(K241&amp;L241,_courses_lookup!$E:$E,0)),"")</f>
        <v/>
      </c>
      <c r="AG241" t="str">
        <f t="shared" si="33"/>
        <v/>
      </c>
      <c r="AI241" t="str">
        <f t="shared" si="34"/>
        <v/>
      </c>
      <c r="AL241" t="str">
        <f t="shared" si="35"/>
        <v/>
      </c>
      <c r="AN241" t="str">
        <f t="shared" si="36"/>
        <v/>
      </c>
      <c r="AQ241" t="str">
        <f t="shared" si="37"/>
        <v/>
      </c>
      <c r="AR241" t="str">
        <f t="shared" si="38"/>
        <v/>
      </c>
      <c r="AS241" t="str">
        <f t="shared" si="39"/>
        <v/>
      </c>
      <c r="AT241" t="str">
        <f t="shared" si="40"/>
        <v/>
      </c>
      <c r="BG241" t="str">
        <f t="shared" si="41"/>
        <v/>
      </c>
      <c r="BH241" t="str">
        <f t="shared" si="42"/>
        <v/>
      </c>
      <c r="BL241" t="str">
        <f>IFERROR(INDEX(_names_lookup!$C:$C,MATCH(BK241,_names_lookup!$A:$A,0)),"")</f>
        <v/>
      </c>
      <c r="BM241" t="str">
        <f>IFERROR(INDEX(_names_lookup!$B:$B,MATCH(BK241,_names_lookup!$A:$A,0)),"")</f>
        <v/>
      </c>
      <c r="BS241" t="str">
        <f t="shared" si="43"/>
        <v/>
      </c>
    </row>
    <row r="242" spans="15:71" x14ac:dyDescent="0.2">
      <c r="O242" t="str">
        <f>IFERROR(INDEX(_courses_lookup!$C:$C,MATCH(K242&amp;L242,_courses_lookup!$E:$E,0)),"")</f>
        <v/>
      </c>
      <c r="P242" t="str">
        <f>IFERROR(INDEX(_courses_lookup!$D:$D,MATCH(K242&amp;L242,_courses_lookup!$E:$E,0)),"")</f>
        <v/>
      </c>
      <c r="AG242" t="str">
        <f t="shared" si="33"/>
        <v/>
      </c>
      <c r="AI242" t="str">
        <f t="shared" si="34"/>
        <v/>
      </c>
      <c r="AL242" t="str">
        <f t="shared" si="35"/>
        <v/>
      </c>
      <c r="AN242" t="str">
        <f t="shared" si="36"/>
        <v/>
      </c>
      <c r="AQ242" t="str">
        <f t="shared" si="37"/>
        <v/>
      </c>
      <c r="AR242" t="str">
        <f t="shared" si="38"/>
        <v/>
      </c>
      <c r="AS242" t="str">
        <f t="shared" si="39"/>
        <v/>
      </c>
      <c r="AT242" t="str">
        <f t="shared" si="40"/>
        <v/>
      </c>
      <c r="BG242" t="str">
        <f t="shared" si="41"/>
        <v/>
      </c>
      <c r="BH242" t="str">
        <f t="shared" si="42"/>
        <v/>
      </c>
      <c r="BL242" t="str">
        <f>IFERROR(INDEX(_names_lookup!$C:$C,MATCH(BK242,_names_lookup!$A:$A,0)),"")</f>
        <v/>
      </c>
      <c r="BM242" t="str">
        <f>IFERROR(INDEX(_names_lookup!$B:$B,MATCH(BK242,_names_lookup!$A:$A,0)),"")</f>
        <v/>
      </c>
      <c r="BS242" t="str">
        <f t="shared" si="43"/>
        <v/>
      </c>
    </row>
    <row r="243" spans="15:71" x14ac:dyDescent="0.2">
      <c r="O243" t="str">
        <f>IFERROR(INDEX(_courses_lookup!$C:$C,MATCH(K243&amp;L243,_courses_lookup!$E:$E,0)),"")</f>
        <v/>
      </c>
      <c r="P243" t="str">
        <f>IFERROR(INDEX(_courses_lookup!$D:$D,MATCH(K243&amp;L243,_courses_lookup!$E:$E,0)),"")</f>
        <v/>
      </c>
      <c r="AG243" t="str">
        <f t="shared" si="33"/>
        <v/>
      </c>
      <c r="AI243" t="str">
        <f t="shared" si="34"/>
        <v/>
      </c>
      <c r="AL243" t="str">
        <f t="shared" si="35"/>
        <v/>
      </c>
      <c r="AN243" t="str">
        <f t="shared" si="36"/>
        <v/>
      </c>
      <c r="AQ243" t="str">
        <f t="shared" si="37"/>
        <v/>
      </c>
      <c r="AR243" t="str">
        <f t="shared" si="38"/>
        <v/>
      </c>
      <c r="AS243" t="str">
        <f t="shared" si="39"/>
        <v/>
      </c>
      <c r="AT243" t="str">
        <f t="shared" si="40"/>
        <v/>
      </c>
      <c r="BG243" t="str">
        <f t="shared" si="41"/>
        <v/>
      </c>
      <c r="BH243" t="str">
        <f t="shared" si="42"/>
        <v/>
      </c>
      <c r="BL243" t="str">
        <f>IFERROR(INDEX(_names_lookup!$C:$C,MATCH(BK243,_names_lookup!$A:$A,0)),"")</f>
        <v/>
      </c>
      <c r="BM243" t="str">
        <f>IFERROR(INDEX(_names_lookup!$B:$B,MATCH(BK243,_names_lookup!$A:$A,0)),"")</f>
        <v/>
      </c>
      <c r="BS243" t="str">
        <f t="shared" si="43"/>
        <v/>
      </c>
    </row>
    <row r="244" spans="15:71" x14ac:dyDescent="0.2">
      <c r="O244" t="str">
        <f>IFERROR(INDEX(_courses_lookup!$C:$C,MATCH(K244&amp;L244,_courses_lookup!$E:$E,0)),"")</f>
        <v/>
      </c>
      <c r="P244" t="str">
        <f>IFERROR(INDEX(_courses_lookup!$D:$D,MATCH(K244&amp;L244,_courses_lookup!$E:$E,0)),"")</f>
        <v/>
      </c>
      <c r="AG244" t="str">
        <f t="shared" si="33"/>
        <v/>
      </c>
      <c r="AI244" t="str">
        <f t="shared" si="34"/>
        <v/>
      </c>
      <c r="AL244" t="str">
        <f t="shared" si="35"/>
        <v/>
      </c>
      <c r="AN244" t="str">
        <f t="shared" si="36"/>
        <v/>
      </c>
      <c r="AQ244" t="str">
        <f t="shared" si="37"/>
        <v/>
      </c>
      <c r="AR244" t="str">
        <f t="shared" si="38"/>
        <v/>
      </c>
      <c r="AS244" t="str">
        <f t="shared" si="39"/>
        <v/>
      </c>
      <c r="AT244" t="str">
        <f t="shared" si="40"/>
        <v/>
      </c>
      <c r="BG244" t="str">
        <f t="shared" si="41"/>
        <v/>
      </c>
      <c r="BH244" t="str">
        <f t="shared" si="42"/>
        <v/>
      </c>
      <c r="BL244" t="str">
        <f>IFERROR(INDEX(_names_lookup!$C:$C,MATCH(BK244,_names_lookup!$A:$A,0)),"")</f>
        <v/>
      </c>
      <c r="BM244" t="str">
        <f>IFERROR(INDEX(_names_lookup!$B:$B,MATCH(BK244,_names_lookup!$A:$A,0)),"")</f>
        <v/>
      </c>
      <c r="BS244" t="str">
        <f t="shared" si="43"/>
        <v/>
      </c>
    </row>
    <row r="245" spans="15:71" x14ac:dyDescent="0.2">
      <c r="O245" t="str">
        <f>IFERROR(INDEX(_courses_lookup!$C:$C,MATCH(K245&amp;L245,_courses_lookup!$E:$E,0)),"")</f>
        <v/>
      </c>
      <c r="P245" t="str">
        <f>IFERROR(INDEX(_courses_lookup!$D:$D,MATCH(K245&amp;L245,_courses_lookup!$E:$E,0)),"")</f>
        <v/>
      </c>
      <c r="AG245" t="str">
        <f t="shared" si="33"/>
        <v/>
      </c>
      <c r="AI245" t="str">
        <f t="shared" si="34"/>
        <v/>
      </c>
      <c r="AL245" t="str">
        <f t="shared" si="35"/>
        <v/>
      </c>
      <c r="AN245" t="str">
        <f t="shared" si="36"/>
        <v/>
      </c>
      <c r="AQ245" t="str">
        <f t="shared" si="37"/>
        <v/>
      </c>
      <c r="AR245" t="str">
        <f t="shared" si="38"/>
        <v/>
      </c>
      <c r="AS245" t="str">
        <f t="shared" si="39"/>
        <v/>
      </c>
      <c r="AT245" t="str">
        <f t="shared" si="40"/>
        <v/>
      </c>
      <c r="BG245" t="str">
        <f t="shared" si="41"/>
        <v/>
      </c>
      <c r="BH245" t="str">
        <f t="shared" si="42"/>
        <v/>
      </c>
      <c r="BL245" t="str">
        <f>IFERROR(INDEX(_names_lookup!$C:$C,MATCH(BK245,_names_lookup!$A:$A,0)),"")</f>
        <v/>
      </c>
      <c r="BM245" t="str">
        <f>IFERROR(INDEX(_names_lookup!$B:$B,MATCH(BK245,_names_lookup!$A:$A,0)),"")</f>
        <v/>
      </c>
      <c r="BS245" t="str">
        <f t="shared" si="43"/>
        <v/>
      </c>
    </row>
    <row r="246" spans="15:71" x14ac:dyDescent="0.2">
      <c r="O246" t="str">
        <f>IFERROR(INDEX(_courses_lookup!$C:$C,MATCH(K246&amp;L246,_courses_lookup!$E:$E,0)),"")</f>
        <v/>
      </c>
      <c r="P246" t="str">
        <f>IFERROR(INDEX(_courses_lookup!$D:$D,MATCH(K246&amp;L246,_courses_lookup!$E:$E,0)),"")</f>
        <v/>
      </c>
      <c r="AG246" t="str">
        <f t="shared" si="33"/>
        <v/>
      </c>
      <c r="AI246" t="str">
        <f t="shared" si="34"/>
        <v/>
      </c>
      <c r="AL246" t="str">
        <f t="shared" si="35"/>
        <v/>
      </c>
      <c r="AN246" t="str">
        <f t="shared" si="36"/>
        <v/>
      </c>
      <c r="AQ246" t="str">
        <f t="shared" si="37"/>
        <v/>
      </c>
      <c r="AR246" t="str">
        <f t="shared" si="38"/>
        <v/>
      </c>
      <c r="AS246" t="str">
        <f t="shared" si="39"/>
        <v/>
      </c>
      <c r="AT246" t="str">
        <f t="shared" si="40"/>
        <v/>
      </c>
      <c r="BG246" t="str">
        <f t="shared" si="41"/>
        <v/>
      </c>
      <c r="BH246" t="str">
        <f t="shared" si="42"/>
        <v/>
      </c>
      <c r="BL246" t="str">
        <f>IFERROR(INDEX(_names_lookup!$C:$C,MATCH(BK246,_names_lookup!$A:$A,0)),"")</f>
        <v/>
      </c>
      <c r="BM246" t="str">
        <f>IFERROR(INDEX(_names_lookup!$B:$B,MATCH(BK246,_names_lookup!$A:$A,0)),"")</f>
        <v/>
      </c>
      <c r="BS246" t="str">
        <f t="shared" si="43"/>
        <v/>
      </c>
    </row>
    <row r="247" spans="15:71" x14ac:dyDescent="0.2">
      <c r="O247" t="str">
        <f>IFERROR(INDEX(_courses_lookup!$C:$C,MATCH(K247&amp;L247,_courses_lookup!$E:$E,0)),"")</f>
        <v/>
      </c>
      <c r="P247" t="str">
        <f>IFERROR(INDEX(_courses_lookup!$D:$D,MATCH(K247&amp;L247,_courses_lookup!$E:$E,0)),"")</f>
        <v/>
      </c>
      <c r="AG247" t="str">
        <f t="shared" si="33"/>
        <v/>
      </c>
      <c r="AI247" t="str">
        <f t="shared" si="34"/>
        <v/>
      </c>
      <c r="AL247" t="str">
        <f t="shared" si="35"/>
        <v/>
      </c>
      <c r="AN247" t="str">
        <f t="shared" si="36"/>
        <v/>
      </c>
      <c r="AQ247" t="str">
        <f t="shared" si="37"/>
        <v/>
      </c>
      <c r="AR247" t="str">
        <f t="shared" si="38"/>
        <v/>
      </c>
      <c r="AS247" t="str">
        <f t="shared" si="39"/>
        <v/>
      </c>
      <c r="AT247" t="str">
        <f t="shared" si="40"/>
        <v/>
      </c>
      <c r="BG247" t="str">
        <f t="shared" si="41"/>
        <v/>
      </c>
      <c r="BH247" t="str">
        <f t="shared" si="42"/>
        <v/>
      </c>
      <c r="BL247" t="str">
        <f>IFERROR(INDEX(_names_lookup!$C:$C,MATCH(BK247,_names_lookup!$A:$A,0)),"")</f>
        <v/>
      </c>
      <c r="BM247" t="str">
        <f>IFERROR(INDEX(_names_lookup!$B:$B,MATCH(BK247,_names_lookup!$A:$A,0)),"")</f>
        <v/>
      </c>
      <c r="BS247" t="str">
        <f t="shared" si="43"/>
        <v/>
      </c>
    </row>
    <row r="248" spans="15:71" x14ac:dyDescent="0.2">
      <c r="O248" t="str">
        <f>IFERROR(INDEX(_courses_lookup!$C:$C,MATCH(K248&amp;L248,_courses_lookup!$E:$E,0)),"")</f>
        <v/>
      </c>
      <c r="P248" t="str">
        <f>IFERROR(INDEX(_courses_lookup!$D:$D,MATCH(K248&amp;L248,_courses_lookup!$E:$E,0)),"")</f>
        <v/>
      </c>
      <c r="AG248" t="str">
        <f t="shared" si="33"/>
        <v/>
      </c>
      <c r="AI248" t="str">
        <f t="shared" si="34"/>
        <v/>
      </c>
      <c r="AL248" t="str">
        <f t="shared" si="35"/>
        <v/>
      </c>
      <c r="AN248" t="str">
        <f t="shared" si="36"/>
        <v/>
      </c>
      <c r="AQ248" t="str">
        <f t="shared" si="37"/>
        <v/>
      </c>
      <c r="AR248" t="str">
        <f t="shared" si="38"/>
        <v/>
      </c>
      <c r="AS248" t="str">
        <f t="shared" si="39"/>
        <v/>
      </c>
      <c r="AT248" t="str">
        <f t="shared" si="40"/>
        <v/>
      </c>
      <c r="BG248" t="str">
        <f t="shared" si="41"/>
        <v/>
      </c>
      <c r="BH248" t="str">
        <f t="shared" si="42"/>
        <v/>
      </c>
      <c r="BL248" t="str">
        <f>IFERROR(INDEX(_names_lookup!$C:$C,MATCH(BK248,_names_lookup!$A:$A,0)),"")</f>
        <v/>
      </c>
      <c r="BM248" t="str">
        <f>IFERROR(INDEX(_names_lookup!$B:$B,MATCH(BK248,_names_lookup!$A:$A,0)),"")</f>
        <v/>
      </c>
      <c r="BS248" t="str">
        <f t="shared" si="43"/>
        <v/>
      </c>
    </row>
    <row r="249" spans="15:71" x14ac:dyDescent="0.2">
      <c r="O249" t="str">
        <f>IFERROR(INDEX(_courses_lookup!$C:$C,MATCH(K249&amp;L249,_courses_lookup!$E:$E,0)),"")</f>
        <v/>
      </c>
      <c r="P249" t="str">
        <f>IFERROR(INDEX(_courses_lookup!$D:$D,MATCH(K249&amp;L249,_courses_lookup!$E:$E,0)),"")</f>
        <v/>
      </c>
      <c r="AG249" t="str">
        <f t="shared" si="33"/>
        <v/>
      </c>
      <c r="AI249" t="str">
        <f t="shared" si="34"/>
        <v/>
      </c>
      <c r="AL249" t="str">
        <f t="shared" si="35"/>
        <v/>
      </c>
      <c r="AN249" t="str">
        <f t="shared" si="36"/>
        <v/>
      </c>
      <c r="AQ249" t="str">
        <f t="shared" si="37"/>
        <v/>
      </c>
      <c r="AR249" t="str">
        <f t="shared" si="38"/>
        <v/>
      </c>
      <c r="AS249" t="str">
        <f t="shared" si="39"/>
        <v/>
      </c>
      <c r="AT249" t="str">
        <f t="shared" si="40"/>
        <v/>
      </c>
      <c r="BG249" t="str">
        <f t="shared" si="41"/>
        <v/>
      </c>
      <c r="BH249" t="str">
        <f t="shared" si="42"/>
        <v/>
      </c>
      <c r="BL249" t="str">
        <f>IFERROR(INDEX(_names_lookup!$C:$C,MATCH(BK249,_names_lookup!$A:$A,0)),"")</f>
        <v/>
      </c>
      <c r="BM249" t="str">
        <f>IFERROR(INDEX(_names_lookup!$B:$B,MATCH(BK249,_names_lookup!$A:$A,0)),"")</f>
        <v/>
      </c>
      <c r="BS249" t="str">
        <f t="shared" si="43"/>
        <v/>
      </c>
    </row>
    <row r="250" spans="15:71" x14ac:dyDescent="0.2">
      <c r="O250" t="str">
        <f>IFERROR(INDEX(_courses_lookup!$C:$C,MATCH(K250&amp;L250,_courses_lookup!$E:$E,0)),"")</f>
        <v/>
      </c>
      <c r="P250" t="str">
        <f>IFERROR(INDEX(_courses_lookup!$D:$D,MATCH(K250&amp;L250,_courses_lookup!$E:$E,0)),"")</f>
        <v/>
      </c>
      <c r="AG250" t="str">
        <f t="shared" si="33"/>
        <v/>
      </c>
      <c r="AI250" t="str">
        <f t="shared" si="34"/>
        <v/>
      </c>
      <c r="AL250" t="str">
        <f t="shared" si="35"/>
        <v/>
      </c>
      <c r="AN250" t="str">
        <f t="shared" si="36"/>
        <v/>
      </c>
      <c r="AQ250" t="str">
        <f t="shared" si="37"/>
        <v/>
      </c>
      <c r="AR250" t="str">
        <f t="shared" si="38"/>
        <v/>
      </c>
      <c r="AS250" t="str">
        <f t="shared" si="39"/>
        <v/>
      </c>
      <c r="AT250" t="str">
        <f t="shared" si="40"/>
        <v/>
      </c>
      <c r="BG250" t="str">
        <f t="shared" si="41"/>
        <v/>
      </c>
      <c r="BH250" t="str">
        <f t="shared" si="42"/>
        <v/>
      </c>
      <c r="BL250" t="str">
        <f>IFERROR(INDEX(_names_lookup!$C:$C,MATCH(BK250,_names_lookup!$A:$A,0)),"")</f>
        <v/>
      </c>
      <c r="BM250" t="str">
        <f>IFERROR(INDEX(_names_lookup!$B:$B,MATCH(BK250,_names_lookup!$A:$A,0)),"")</f>
        <v/>
      </c>
      <c r="BS250" t="str">
        <f t="shared" si="43"/>
        <v/>
      </c>
    </row>
    <row r="251" spans="15:71" x14ac:dyDescent="0.2">
      <c r="O251" t="str">
        <f>IFERROR(INDEX(_courses_lookup!$C:$C,MATCH(K251&amp;L251,_courses_lookup!$E:$E,0)),"")</f>
        <v/>
      </c>
      <c r="P251" t="str">
        <f>IFERROR(INDEX(_courses_lookup!$D:$D,MATCH(K251&amp;L251,_courses_lookup!$E:$E,0)),"")</f>
        <v/>
      </c>
      <c r="AG251" t="str">
        <f t="shared" si="33"/>
        <v/>
      </c>
      <c r="AI251" t="str">
        <f t="shared" si="34"/>
        <v/>
      </c>
      <c r="AL251" t="str">
        <f t="shared" si="35"/>
        <v/>
      </c>
      <c r="AN251" t="str">
        <f t="shared" si="36"/>
        <v/>
      </c>
      <c r="AQ251" t="str">
        <f t="shared" si="37"/>
        <v/>
      </c>
      <c r="AR251" t="str">
        <f t="shared" si="38"/>
        <v/>
      </c>
      <c r="AS251" t="str">
        <f t="shared" si="39"/>
        <v/>
      </c>
      <c r="AT251" t="str">
        <f t="shared" si="40"/>
        <v/>
      </c>
      <c r="BG251" t="str">
        <f t="shared" si="41"/>
        <v/>
      </c>
      <c r="BH251" t="str">
        <f t="shared" si="42"/>
        <v/>
      </c>
      <c r="BL251" t="str">
        <f>IFERROR(INDEX(_names_lookup!$C:$C,MATCH(BK251,_names_lookup!$A:$A,0)),"")</f>
        <v/>
      </c>
      <c r="BM251" t="str">
        <f>IFERROR(INDEX(_names_lookup!$B:$B,MATCH(BK251,_names_lookup!$A:$A,0)),"")</f>
        <v/>
      </c>
      <c r="BS251" t="str">
        <f t="shared" si="43"/>
        <v/>
      </c>
    </row>
    <row r="252" spans="15:71" x14ac:dyDescent="0.2">
      <c r="O252" t="str">
        <f>IFERROR(INDEX(_courses_lookup!$C:$C,MATCH(K252&amp;L252,_courses_lookup!$E:$E,0)),"")</f>
        <v/>
      </c>
      <c r="P252" t="str">
        <f>IFERROR(INDEX(_courses_lookup!$D:$D,MATCH(K252&amp;L252,_courses_lookup!$E:$E,0)),"")</f>
        <v/>
      </c>
      <c r="AG252" t="str">
        <f t="shared" si="33"/>
        <v/>
      </c>
      <c r="AI252" t="str">
        <f t="shared" si="34"/>
        <v/>
      </c>
      <c r="AL252" t="str">
        <f t="shared" si="35"/>
        <v/>
      </c>
      <c r="AN252" t="str">
        <f t="shared" si="36"/>
        <v/>
      </c>
      <c r="AQ252" t="str">
        <f t="shared" si="37"/>
        <v/>
      </c>
      <c r="AR252" t="str">
        <f t="shared" si="38"/>
        <v/>
      </c>
      <c r="AS252" t="str">
        <f t="shared" si="39"/>
        <v/>
      </c>
      <c r="AT252" t="str">
        <f t="shared" si="40"/>
        <v/>
      </c>
      <c r="BG252" t="str">
        <f t="shared" si="41"/>
        <v/>
      </c>
      <c r="BH252" t="str">
        <f t="shared" si="42"/>
        <v/>
      </c>
      <c r="BL252" t="str">
        <f>IFERROR(INDEX(_names_lookup!$C:$C,MATCH(BK252,_names_lookup!$A:$A,0)),"")</f>
        <v/>
      </c>
      <c r="BM252" t="str">
        <f>IFERROR(INDEX(_names_lookup!$B:$B,MATCH(BK252,_names_lookup!$A:$A,0)),"")</f>
        <v/>
      </c>
      <c r="BS252" t="str">
        <f t="shared" si="43"/>
        <v/>
      </c>
    </row>
    <row r="253" spans="15:71" x14ac:dyDescent="0.2">
      <c r="O253" t="str">
        <f>IFERROR(INDEX(_courses_lookup!$C:$C,MATCH(K253&amp;L253,_courses_lookup!$E:$E,0)),"")</f>
        <v/>
      </c>
      <c r="P253" t="str">
        <f>IFERROR(INDEX(_courses_lookup!$D:$D,MATCH(K253&amp;L253,_courses_lookup!$E:$E,0)),"")</f>
        <v/>
      </c>
      <c r="AG253" t="str">
        <f t="shared" si="33"/>
        <v/>
      </c>
      <c r="AI253" t="str">
        <f t="shared" si="34"/>
        <v/>
      </c>
      <c r="AL253" t="str">
        <f t="shared" si="35"/>
        <v/>
      </c>
      <c r="AN253" t="str">
        <f t="shared" si="36"/>
        <v/>
      </c>
      <c r="AQ253" t="str">
        <f t="shared" si="37"/>
        <v/>
      </c>
      <c r="AR253" t="str">
        <f t="shared" si="38"/>
        <v/>
      </c>
      <c r="AS253" t="str">
        <f t="shared" si="39"/>
        <v/>
      </c>
      <c r="AT253" t="str">
        <f t="shared" si="40"/>
        <v/>
      </c>
      <c r="BG253" t="str">
        <f t="shared" si="41"/>
        <v/>
      </c>
      <c r="BH253" t="str">
        <f t="shared" si="42"/>
        <v/>
      </c>
      <c r="BL253" t="str">
        <f>IFERROR(INDEX(_names_lookup!$C:$C,MATCH(BK253,_names_lookup!$A:$A,0)),"")</f>
        <v/>
      </c>
      <c r="BM253" t="str">
        <f>IFERROR(INDEX(_names_lookup!$B:$B,MATCH(BK253,_names_lookup!$A:$A,0)),"")</f>
        <v/>
      </c>
      <c r="BS253" t="str">
        <f t="shared" si="43"/>
        <v/>
      </c>
    </row>
    <row r="254" spans="15:71" x14ac:dyDescent="0.2">
      <c r="O254" t="str">
        <f>IFERROR(INDEX(_courses_lookup!$C:$C,MATCH(K254&amp;L254,_courses_lookup!$E:$E,0)),"")</f>
        <v/>
      </c>
      <c r="P254" t="str">
        <f>IFERROR(INDEX(_courses_lookup!$D:$D,MATCH(K254&amp;L254,_courses_lookup!$E:$E,0)),"")</f>
        <v/>
      </c>
      <c r="AG254" t="str">
        <f t="shared" si="33"/>
        <v/>
      </c>
      <c r="AI254" t="str">
        <f t="shared" si="34"/>
        <v/>
      </c>
      <c r="AL254" t="str">
        <f t="shared" si="35"/>
        <v/>
      </c>
      <c r="AN254" t="str">
        <f t="shared" si="36"/>
        <v/>
      </c>
      <c r="AQ254" t="str">
        <f t="shared" si="37"/>
        <v/>
      </c>
      <c r="AR254" t="str">
        <f t="shared" si="38"/>
        <v/>
      </c>
      <c r="AS254" t="str">
        <f t="shared" si="39"/>
        <v/>
      </c>
      <c r="AT254" t="str">
        <f t="shared" si="40"/>
        <v/>
      </c>
      <c r="BG254" t="str">
        <f t="shared" si="41"/>
        <v/>
      </c>
      <c r="BH254" t="str">
        <f t="shared" si="42"/>
        <v/>
      </c>
      <c r="BL254" t="str">
        <f>IFERROR(INDEX(_names_lookup!$C:$C,MATCH(BK254,_names_lookup!$A:$A,0)),"")</f>
        <v/>
      </c>
      <c r="BM254" t="str">
        <f>IFERROR(INDEX(_names_lookup!$B:$B,MATCH(BK254,_names_lookup!$A:$A,0)),"")</f>
        <v/>
      </c>
      <c r="BS254" t="str">
        <f t="shared" si="43"/>
        <v/>
      </c>
    </row>
    <row r="255" spans="15:71" x14ac:dyDescent="0.2">
      <c r="O255" t="str">
        <f>IFERROR(INDEX(_courses_lookup!$C:$C,MATCH(K255&amp;L255,_courses_lookup!$E:$E,0)),"")</f>
        <v/>
      </c>
      <c r="P255" t="str">
        <f>IFERROR(INDEX(_courses_lookup!$D:$D,MATCH(K255&amp;L255,_courses_lookup!$E:$E,0)),"")</f>
        <v/>
      </c>
      <c r="AG255" t="str">
        <f t="shared" si="33"/>
        <v/>
      </c>
      <c r="AI255" t="str">
        <f t="shared" si="34"/>
        <v/>
      </c>
      <c r="AL255" t="str">
        <f t="shared" si="35"/>
        <v/>
      </c>
      <c r="AN255" t="str">
        <f t="shared" si="36"/>
        <v/>
      </c>
      <c r="AQ255" t="str">
        <f t="shared" si="37"/>
        <v/>
      </c>
      <c r="AR255" t="str">
        <f t="shared" si="38"/>
        <v/>
      </c>
      <c r="AS255" t="str">
        <f t="shared" si="39"/>
        <v/>
      </c>
      <c r="AT255" t="str">
        <f t="shared" si="40"/>
        <v/>
      </c>
      <c r="BG255" t="str">
        <f t="shared" si="41"/>
        <v/>
      </c>
      <c r="BH255" t="str">
        <f t="shared" si="42"/>
        <v/>
      </c>
      <c r="BL255" t="str">
        <f>IFERROR(INDEX(_names_lookup!$C:$C,MATCH(BK255,_names_lookup!$A:$A,0)),"")</f>
        <v/>
      </c>
      <c r="BM255" t="str">
        <f>IFERROR(INDEX(_names_lookup!$B:$B,MATCH(BK255,_names_lookup!$A:$A,0)),"")</f>
        <v/>
      </c>
      <c r="BS255" t="str">
        <f t="shared" si="43"/>
        <v/>
      </c>
    </row>
    <row r="256" spans="15:71" x14ac:dyDescent="0.2">
      <c r="O256" t="str">
        <f>IFERROR(INDEX(_courses_lookup!$C:$C,MATCH(K256&amp;L256,_courses_lookup!$E:$E,0)),"")</f>
        <v/>
      </c>
      <c r="P256" t="str">
        <f>IFERROR(INDEX(_courses_lookup!$D:$D,MATCH(K256&amp;L256,_courses_lookup!$E:$E,0)),"")</f>
        <v/>
      </c>
      <c r="AG256" t="str">
        <f t="shared" si="33"/>
        <v/>
      </c>
      <c r="AI256" t="str">
        <f t="shared" si="34"/>
        <v/>
      </c>
      <c r="AL256" t="str">
        <f t="shared" si="35"/>
        <v/>
      </c>
      <c r="AN256" t="str">
        <f t="shared" si="36"/>
        <v/>
      </c>
      <c r="AQ256" t="str">
        <f t="shared" si="37"/>
        <v/>
      </c>
      <c r="AR256" t="str">
        <f t="shared" si="38"/>
        <v/>
      </c>
      <c r="AS256" t="str">
        <f t="shared" si="39"/>
        <v/>
      </c>
      <c r="AT256" t="str">
        <f t="shared" si="40"/>
        <v/>
      </c>
      <c r="BG256" t="str">
        <f t="shared" si="41"/>
        <v/>
      </c>
      <c r="BH256" t="str">
        <f t="shared" si="42"/>
        <v/>
      </c>
      <c r="BL256" t="str">
        <f>IFERROR(INDEX(_names_lookup!$C:$C,MATCH(BK256,_names_lookup!$A:$A,0)),"")</f>
        <v/>
      </c>
      <c r="BM256" t="str">
        <f>IFERROR(INDEX(_names_lookup!$B:$B,MATCH(BK256,_names_lookup!$A:$A,0)),"")</f>
        <v/>
      </c>
      <c r="BS256" t="str">
        <f t="shared" si="43"/>
        <v/>
      </c>
    </row>
    <row r="257" spans="15:71" x14ac:dyDescent="0.2">
      <c r="O257" t="str">
        <f>IFERROR(INDEX(_courses_lookup!$C:$C,MATCH(K257&amp;L257,_courses_lookup!$E:$E,0)),"")</f>
        <v/>
      </c>
      <c r="P257" t="str">
        <f>IFERROR(INDEX(_courses_lookup!$D:$D,MATCH(K257&amp;L257,_courses_lookup!$E:$E,0)),"")</f>
        <v/>
      </c>
      <c r="AG257" t="str">
        <f t="shared" si="33"/>
        <v/>
      </c>
      <c r="AI257" t="str">
        <f t="shared" si="34"/>
        <v/>
      </c>
      <c r="AL257" t="str">
        <f t="shared" si="35"/>
        <v/>
      </c>
      <c r="AN257" t="str">
        <f t="shared" si="36"/>
        <v/>
      </c>
      <c r="AQ257" t="str">
        <f t="shared" si="37"/>
        <v/>
      </c>
      <c r="AR257" t="str">
        <f t="shared" si="38"/>
        <v/>
      </c>
      <c r="AS257" t="str">
        <f t="shared" si="39"/>
        <v/>
      </c>
      <c r="AT257" t="str">
        <f t="shared" si="40"/>
        <v/>
      </c>
      <c r="BG257" t="str">
        <f t="shared" si="41"/>
        <v/>
      </c>
      <c r="BH257" t="str">
        <f t="shared" si="42"/>
        <v/>
      </c>
      <c r="BL257" t="str">
        <f>IFERROR(INDEX(_names_lookup!$C:$C,MATCH(BK257,_names_lookup!$A:$A,0)),"")</f>
        <v/>
      </c>
      <c r="BM257" t="str">
        <f>IFERROR(INDEX(_names_lookup!$B:$B,MATCH(BK257,_names_lookup!$A:$A,0)),"")</f>
        <v/>
      </c>
      <c r="BS257" t="str">
        <f t="shared" si="43"/>
        <v/>
      </c>
    </row>
    <row r="258" spans="15:71" x14ac:dyDescent="0.2">
      <c r="O258" t="str">
        <f>IFERROR(INDEX(_courses_lookup!$C:$C,MATCH(K258&amp;L258,_courses_lookup!$E:$E,0)),"")</f>
        <v/>
      </c>
      <c r="P258" t="str">
        <f>IFERROR(INDEX(_courses_lookup!$D:$D,MATCH(K258&amp;L258,_courses_lookup!$E:$E,0)),"")</f>
        <v/>
      </c>
      <c r="AG258" t="str">
        <f t="shared" ref="AG258:AG321" si="44">IF(AND(AE258&lt;&gt;"",AF258&lt;&gt;""),ROUNDUP((AF258-AE258)/7,0),"")</f>
        <v/>
      </c>
      <c r="AI258" t="str">
        <f t="shared" ref="AI258:AI321" si="45">IFERROR(IF(AG258*AH258=0,"",AG258*AH258),"")</f>
        <v/>
      </c>
      <c r="AL258" t="str">
        <f t="shared" ref="AL258:AL321" si="46">IF(AND(AJ258&lt;&gt;"",AK258&lt;&gt;""),ROUNDUP((AK258-AJ258)/7,0),"")</f>
        <v/>
      </c>
      <c r="AN258" t="str">
        <f t="shared" ref="AN258:AN321" si="47">IFERROR(IF(AL258*AM258=0,"",AL258*AM258),"")</f>
        <v/>
      </c>
      <c r="AQ258" t="str">
        <f t="shared" ref="AQ258:AQ321" si="48">IF(AND(AO258&lt;&gt;"",AP258&lt;&gt;""),ROUNDUP((AP258-AO258)/7,0),"")</f>
        <v/>
      </c>
      <c r="AR258" t="str">
        <f t="shared" ref="AR258:AR321" si="49">IFERROR(IF((AU258-(AI258+AN258))/AQ258=0,"",ROUNDUP((AU258-(AI258+AN258))/AQ258,0)),"")</f>
        <v/>
      </c>
      <c r="AS258" t="str">
        <f t="shared" ref="AS258:AS300" si="50">IFERROR(IF((AU258-(AI258+AN258))=0,"",(AU258-(AI258+AN258))),"")</f>
        <v/>
      </c>
      <c r="AT258" t="str">
        <f t="shared" ref="AT258:AT300" si="51">IF(AND(AG258="",AQ258=""),AL258,IF(SUM(AG258,AL258,AQ258)=0,"",SUM(AG258,AL258,AQ258)))</f>
        <v/>
      </c>
      <c r="BG258" t="str">
        <f t="shared" ref="BG258:BG300" si="52">IF(AD258="","",YEAR(AD258)+IF(MONTH(AD258)&gt;=5,1,0))</f>
        <v/>
      </c>
      <c r="BH258" t="str">
        <f t="shared" ref="BH258:BH300" si="53">IF(AD258="","",IF(AND(MONTH(AD258)=8,DAY(AD258)&gt;=15),"Fall",IF(MONTH(AD258)&gt;8,"Fall",IF(MONTH(AD258)=5,"Summer",IF(MONTH(AD258)=1,"Spring","")))))</f>
        <v/>
      </c>
      <c r="BL258" t="str">
        <f>IFERROR(INDEX(_names_lookup!$C:$C,MATCH(BK258,_names_lookup!$A:$A,0)),"")</f>
        <v/>
      </c>
      <c r="BM258" t="str">
        <f>IFERROR(INDEX(_names_lookup!$B:$B,MATCH(BK258,_names_lookup!$A:$A,0)),"")</f>
        <v/>
      </c>
      <c r="BS258" t="str">
        <f t="shared" ref="BS258:BS321" si="54">IFERROR(IF(BR258*AA258=0,"",BR258*AA258),"")</f>
        <v/>
      </c>
    </row>
    <row r="259" spans="15:71" x14ac:dyDescent="0.2">
      <c r="O259" t="str">
        <f>IFERROR(INDEX(_courses_lookup!$C:$C,MATCH(K259&amp;L259,_courses_lookup!$E:$E,0)),"")</f>
        <v/>
      </c>
      <c r="P259" t="str">
        <f>IFERROR(INDEX(_courses_lookup!$D:$D,MATCH(K259&amp;L259,_courses_lookup!$E:$E,0)),"")</f>
        <v/>
      </c>
      <c r="AG259" t="str">
        <f t="shared" si="44"/>
        <v/>
      </c>
      <c r="AI259" t="str">
        <f t="shared" si="45"/>
        <v/>
      </c>
      <c r="AL259" t="str">
        <f t="shared" si="46"/>
        <v/>
      </c>
      <c r="AN259" t="str">
        <f t="shared" si="47"/>
        <v/>
      </c>
      <c r="AQ259" t="str">
        <f t="shared" si="48"/>
        <v/>
      </c>
      <c r="AR259" t="str">
        <f t="shared" si="49"/>
        <v/>
      </c>
      <c r="AS259" t="str">
        <f t="shared" si="50"/>
        <v/>
      </c>
      <c r="AT259" t="str">
        <f t="shared" si="51"/>
        <v/>
      </c>
      <c r="BG259" t="str">
        <f t="shared" si="52"/>
        <v/>
      </c>
      <c r="BH259" t="str">
        <f t="shared" si="53"/>
        <v/>
      </c>
      <c r="BL259" t="str">
        <f>IFERROR(INDEX(_names_lookup!$C:$C,MATCH(BK259,_names_lookup!$A:$A,0)),"")</f>
        <v/>
      </c>
      <c r="BM259" t="str">
        <f>IFERROR(INDEX(_names_lookup!$B:$B,MATCH(BK259,_names_lookup!$A:$A,0)),"")</f>
        <v/>
      </c>
      <c r="BS259" t="str">
        <f t="shared" si="54"/>
        <v/>
      </c>
    </row>
    <row r="260" spans="15:71" x14ac:dyDescent="0.2">
      <c r="O260" t="str">
        <f>IFERROR(INDEX(_courses_lookup!$C:$C,MATCH(K260&amp;L260,_courses_lookup!$E:$E,0)),"")</f>
        <v/>
      </c>
      <c r="P260" t="str">
        <f>IFERROR(INDEX(_courses_lookup!$D:$D,MATCH(K260&amp;L260,_courses_lookup!$E:$E,0)),"")</f>
        <v/>
      </c>
      <c r="AG260" t="str">
        <f t="shared" si="44"/>
        <v/>
      </c>
      <c r="AI260" t="str">
        <f t="shared" si="45"/>
        <v/>
      </c>
      <c r="AL260" t="str">
        <f t="shared" si="46"/>
        <v/>
      </c>
      <c r="AN260" t="str">
        <f t="shared" si="47"/>
        <v/>
      </c>
      <c r="AQ260" t="str">
        <f t="shared" si="48"/>
        <v/>
      </c>
      <c r="AR260" t="str">
        <f t="shared" si="49"/>
        <v/>
      </c>
      <c r="AS260" t="str">
        <f t="shared" si="50"/>
        <v/>
      </c>
      <c r="AT260" t="str">
        <f t="shared" si="51"/>
        <v/>
      </c>
      <c r="BG260" t="str">
        <f t="shared" si="52"/>
        <v/>
      </c>
      <c r="BH260" t="str">
        <f t="shared" si="53"/>
        <v/>
      </c>
      <c r="BL260" t="str">
        <f>IFERROR(INDEX(_names_lookup!$C:$C,MATCH(BK260,_names_lookup!$A:$A,0)),"")</f>
        <v/>
      </c>
      <c r="BM260" t="str">
        <f>IFERROR(INDEX(_names_lookup!$B:$B,MATCH(BK260,_names_lookup!$A:$A,0)),"")</f>
        <v/>
      </c>
      <c r="BS260" t="str">
        <f t="shared" si="54"/>
        <v/>
      </c>
    </row>
    <row r="261" spans="15:71" x14ac:dyDescent="0.2">
      <c r="O261" t="str">
        <f>IFERROR(INDEX(_courses_lookup!$C:$C,MATCH(K261&amp;L261,_courses_lookup!$E:$E,0)),"")</f>
        <v/>
      </c>
      <c r="P261" t="str">
        <f>IFERROR(INDEX(_courses_lookup!$D:$D,MATCH(K261&amp;L261,_courses_lookup!$E:$E,0)),"")</f>
        <v/>
      </c>
      <c r="AG261" t="str">
        <f t="shared" si="44"/>
        <v/>
      </c>
      <c r="AI261" t="str">
        <f t="shared" si="45"/>
        <v/>
      </c>
      <c r="AL261" t="str">
        <f t="shared" si="46"/>
        <v/>
      </c>
      <c r="AN261" t="str">
        <f t="shared" si="47"/>
        <v/>
      </c>
      <c r="AQ261" t="str">
        <f t="shared" si="48"/>
        <v/>
      </c>
      <c r="AR261" t="str">
        <f t="shared" si="49"/>
        <v/>
      </c>
      <c r="AS261" t="str">
        <f t="shared" si="50"/>
        <v/>
      </c>
      <c r="AT261" t="str">
        <f t="shared" si="51"/>
        <v/>
      </c>
      <c r="BG261" t="str">
        <f t="shared" si="52"/>
        <v/>
      </c>
      <c r="BH261" t="str">
        <f t="shared" si="53"/>
        <v/>
      </c>
      <c r="BL261" t="str">
        <f>IFERROR(INDEX(_names_lookup!$C:$C,MATCH(BK261,_names_lookup!$A:$A,0)),"")</f>
        <v/>
      </c>
      <c r="BM261" t="str">
        <f>IFERROR(INDEX(_names_lookup!$B:$B,MATCH(BK261,_names_lookup!$A:$A,0)),"")</f>
        <v/>
      </c>
      <c r="BS261" t="str">
        <f t="shared" si="54"/>
        <v/>
      </c>
    </row>
    <row r="262" spans="15:71" x14ac:dyDescent="0.2">
      <c r="O262" t="str">
        <f>IFERROR(INDEX(_courses_lookup!$C:$C,MATCH(K262&amp;L262,_courses_lookup!$E:$E,0)),"")</f>
        <v/>
      </c>
      <c r="P262" t="str">
        <f>IFERROR(INDEX(_courses_lookup!$D:$D,MATCH(K262&amp;L262,_courses_lookup!$E:$E,0)),"")</f>
        <v/>
      </c>
      <c r="AG262" t="str">
        <f t="shared" si="44"/>
        <v/>
      </c>
      <c r="AI262" t="str">
        <f t="shared" si="45"/>
        <v/>
      </c>
      <c r="AL262" t="str">
        <f t="shared" si="46"/>
        <v/>
      </c>
      <c r="AN262" t="str">
        <f t="shared" si="47"/>
        <v/>
      </c>
      <c r="AQ262" t="str">
        <f t="shared" si="48"/>
        <v/>
      </c>
      <c r="AR262" t="str">
        <f t="shared" si="49"/>
        <v/>
      </c>
      <c r="AS262" t="str">
        <f t="shared" si="50"/>
        <v/>
      </c>
      <c r="AT262" t="str">
        <f t="shared" si="51"/>
        <v/>
      </c>
      <c r="BG262" t="str">
        <f t="shared" si="52"/>
        <v/>
      </c>
      <c r="BH262" t="str">
        <f t="shared" si="53"/>
        <v/>
      </c>
      <c r="BL262" t="str">
        <f>IFERROR(INDEX(_names_lookup!$C:$C,MATCH(BK262,_names_lookup!$A:$A,0)),"")</f>
        <v/>
      </c>
      <c r="BM262" t="str">
        <f>IFERROR(INDEX(_names_lookup!$B:$B,MATCH(BK262,_names_lookup!$A:$A,0)),"")</f>
        <v/>
      </c>
      <c r="BS262" t="str">
        <f t="shared" si="54"/>
        <v/>
      </c>
    </row>
    <row r="263" spans="15:71" x14ac:dyDescent="0.2">
      <c r="O263" t="str">
        <f>IFERROR(INDEX(_courses_lookup!$C:$C,MATCH(K263&amp;L263,_courses_lookup!$E:$E,0)),"")</f>
        <v/>
      </c>
      <c r="P263" t="str">
        <f>IFERROR(INDEX(_courses_lookup!$D:$D,MATCH(K263&amp;L263,_courses_lookup!$E:$E,0)),"")</f>
        <v/>
      </c>
      <c r="AG263" t="str">
        <f t="shared" si="44"/>
        <v/>
      </c>
      <c r="AI263" t="str">
        <f t="shared" si="45"/>
        <v/>
      </c>
      <c r="AL263" t="str">
        <f t="shared" si="46"/>
        <v/>
      </c>
      <c r="AN263" t="str">
        <f t="shared" si="47"/>
        <v/>
      </c>
      <c r="AQ263" t="str">
        <f t="shared" si="48"/>
        <v/>
      </c>
      <c r="AR263" t="str">
        <f t="shared" si="49"/>
        <v/>
      </c>
      <c r="AS263" t="str">
        <f t="shared" si="50"/>
        <v/>
      </c>
      <c r="AT263" t="str">
        <f t="shared" si="51"/>
        <v/>
      </c>
      <c r="BG263" t="str">
        <f t="shared" si="52"/>
        <v/>
      </c>
      <c r="BH263" t="str">
        <f t="shared" si="53"/>
        <v/>
      </c>
      <c r="BL263" t="str">
        <f>IFERROR(INDEX(_names_lookup!$C:$C,MATCH(BK263,_names_lookup!$A:$A,0)),"")</f>
        <v/>
      </c>
      <c r="BM263" t="str">
        <f>IFERROR(INDEX(_names_lookup!$B:$B,MATCH(BK263,_names_lookup!$A:$A,0)),"")</f>
        <v/>
      </c>
      <c r="BS263" t="str">
        <f t="shared" si="54"/>
        <v/>
      </c>
    </row>
    <row r="264" spans="15:71" x14ac:dyDescent="0.2">
      <c r="O264" t="str">
        <f>IFERROR(INDEX(_courses_lookup!$C:$C,MATCH(K264&amp;L264,_courses_lookup!$E:$E,0)),"")</f>
        <v/>
      </c>
      <c r="P264" t="str">
        <f>IFERROR(INDEX(_courses_lookup!$D:$D,MATCH(K264&amp;L264,_courses_lookup!$E:$E,0)),"")</f>
        <v/>
      </c>
      <c r="AG264" t="str">
        <f t="shared" si="44"/>
        <v/>
      </c>
      <c r="AI264" t="str">
        <f t="shared" si="45"/>
        <v/>
      </c>
      <c r="AL264" t="str">
        <f t="shared" si="46"/>
        <v/>
      </c>
      <c r="AN264" t="str">
        <f t="shared" si="47"/>
        <v/>
      </c>
      <c r="AQ264" t="str">
        <f t="shared" si="48"/>
        <v/>
      </c>
      <c r="AR264" t="str">
        <f t="shared" si="49"/>
        <v/>
      </c>
      <c r="AS264" t="str">
        <f t="shared" si="50"/>
        <v/>
      </c>
      <c r="AT264" t="str">
        <f t="shared" si="51"/>
        <v/>
      </c>
      <c r="BG264" t="str">
        <f t="shared" si="52"/>
        <v/>
      </c>
      <c r="BH264" t="str">
        <f t="shared" si="53"/>
        <v/>
      </c>
      <c r="BL264" t="str">
        <f>IFERROR(INDEX(_names_lookup!$C:$C,MATCH(BK264,_names_lookup!$A:$A,0)),"")</f>
        <v/>
      </c>
      <c r="BM264" t="str">
        <f>IFERROR(INDEX(_names_lookup!$B:$B,MATCH(BK264,_names_lookup!$A:$A,0)),"")</f>
        <v/>
      </c>
      <c r="BS264" t="str">
        <f t="shared" si="54"/>
        <v/>
      </c>
    </row>
    <row r="265" spans="15:71" x14ac:dyDescent="0.2">
      <c r="O265" t="str">
        <f>IFERROR(INDEX(_courses_lookup!$C:$C,MATCH(K265&amp;L265,_courses_lookup!$E:$E,0)),"")</f>
        <v/>
      </c>
      <c r="P265" t="str">
        <f>IFERROR(INDEX(_courses_lookup!$D:$D,MATCH(K265&amp;L265,_courses_lookup!$E:$E,0)),"")</f>
        <v/>
      </c>
      <c r="AG265" t="str">
        <f t="shared" si="44"/>
        <v/>
      </c>
      <c r="AI265" t="str">
        <f t="shared" si="45"/>
        <v/>
      </c>
      <c r="AL265" t="str">
        <f t="shared" si="46"/>
        <v/>
      </c>
      <c r="AN265" t="str">
        <f t="shared" si="47"/>
        <v/>
      </c>
      <c r="AQ265" t="str">
        <f t="shared" si="48"/>
        <v/>
      </c>
      <c r="AR265" t="str">
        <f t="shared" si="49"/>
        <v/>
      </c>
      <c r="AS265" t="str">
        <f t="shared" si="50"/>
        <v/>
      </c>
      <c r="AT265" t="str">
        <f t="shared" si="51"/>
        <v/>
      </c>
      <c r="BG265" t="str">
        <f t="shared" si="52"/>
        <v/>
      </c>
      <c r="BH265" t="str">
        <f t="shared" si="53"/>
        <v/>
      </c>
      <c r="BL265" t="str">
        <f>IFERROR(INDEX(_names_lookup!$C:$C,MATCH(BK265,_names_lookup!$A:$A,0)),"")</f>
        <v/>
      </c>
      <c r="BM265" t="str">
        <f>IFERROR(INDEX(_names_lookup!$B:$B,MATCH(BK265,_names_lookup!$A:$A,0)),"")</f>
        <v/>
      </c>
      <c r="BS265" t="str">
        <f t="shared" si="54"/>
        <v/>
      </c>
    </row>
    <row r="266" spans="15:71" x14ac:dyDescent="0.2">
      <c r="O266" t="str">
        <f>IFERROR(INDEX(_courses_lookup!$C:$C,MATCH(K266&amp;L266,_courses_lookup!$E:$E,0)),"")</f>
        <v/>
      </c>
      <c r="P266" t="str">
        <f>IFERROR(INDEX(_courses_lookup!$D:$D,MATCH(K266&amp;L266,_courses_lookup!$E:$E,0)),"")</f>
        <v/>
      </c>
      <c r="AG266" t="str">
        <f t="shared" si="44"/>
        <v/>
      </c>
      <c r="AI266" t="str">
        <f t="shared" si="45"/>
        <v/>
      </c>
      <c r="AL266" t="str">
        <f t="shared" si="46"/>
        <v/>
      </c>
      <c r="AN266" t="str">
        <f t="shared" si="47"/>
        <v/>
      </c>
      <c r="AQ266" t="str">
        <f t="shared" si="48"/>
        <v/>
      </c>
      <c r="AR266" t="str">
        <f t="shared" si="49"/>
        <v/>
      </c>
      <c r="AS266" t="str">
        <f t="shared" si="50"/>
        <v/>
      </c>
      <c r="AT266" t="str">
        <f t="shared" si="51"/>
        <v/>
      </c>
      <c r="BG266" t="str">
        <f t="shared" si="52"/>
        <v/>
      </c>
      <c r="BH266" t="str">
        <f t="shared" si="53"/>
        <v/>
      </c>
      <c r="BL266" t="str">
        <f>IFERROR(INDEX(_names_lookup!$C:$C,MATCH(BK266,_names_lookup!$A:$A,0)),"")</f>
        <v/>
      </c>
      <c r="BM266" t="str">
        <f>IFERROR(INDEX(_names_lookup!$B:$B,MATCH(BK266,_names_lookup!$A:$A,0)),"")</f>
        <v/>
      </c>
      <c r="BS266" t="str">
        <f t="shared" si="54"/>
        <v/>
      </c>
    </row>
    <row r="267" spans="15:71" x14ac:dyDescent="0.2">
      <c r="O267" t="str">
        <f>IFERROR(INDEX(_courses_lookup!$C:$C,MATCH(K267&amp;L267,_courses_lookup!$E:$E,0)),"")</f>
        <v/>
      </c>
      <c r="P267" t="str">
        <f>IFERROR(INDEX(_courses_lookup!$D:$D,MATCH(K267&amp;L267,_courses_lookup!$E:$E,0)),"")</f>
        <v/>
      </c>
      <c r="AG267" t="str">
        <f t="shared" si="44"/>
        <v/>
      </c>
      <c r="AI267" t="str">
        <f t="shared" si="45"/>
        <v/>
      </c>
      <c r="AL267" t="str">
        <f t="shared" si="46"/>
        <v/>
      </c>
      <c r="AN267" t="str">
        <f t="shared" si="47"/>
        <v/>
      </c>
      <c r="AQ267" t="str">
        <f t="shared" si="48"/>
        <v/>
      </c>
      <c r="AR267" t="str">
        <f t="shared" si="49"/>
        <v/>
      </c>
      <c r="AS267" t="str">
        <f t="shared" si="50"/>
        <v/>
      </c>
      <c r="AT267" t="str">
        <f t="shared" si="51"/>
        <v/>
      </c>
      <c r="BG267" t="str">
        <f t="shared" si="52"/>
        <v/>
      </c>
      <c r="BH267" t="str">
        <f t="shared" si="53"/>
        <v/>
      </c>
      <c r="BL267" t="str">
        <f>IFERROR(INDEX(_names_lookup!$C:$C,MATCH(BK267,_names_lookup!$A:$A,0)),"")</f>
        <v/>
      </c>
      <c r="BM267" t="str">
        <f>IFERROR(INDEX(_names_lookup!$B:$B,MATCH(BK267,_names_lookup!$A:$A,0)),"")</f>
        <v/>
      </c>
      <c r="BS267" t="str">
        <f t="shared" si="54"/>
        <v/>
      </c>
    </row>
    <row r="268" spans="15:71" x14ac:dyDescent="0.2">
      <c r="O268" t="str">
        <f>IFERROR(INDEX(_courses_lookup!$C:$C,MATCH(K268&amp;L268,_courses_lookup!$E:$E,0)),"")</f>
        <v/>
      </c>
      <c r="P268" t="str">
        <f>IFERROR(INDEX(_courses_lookup!$D:$D,MATCH(K268&amp;L268,_courses_lookup!$E:$E,0)),"")</f>
        <v/>
      </c>
      <c r="AG268" t="str">
        <f t="shared" si="44"/>
        <v/>
      </c>
      <c r="AI268" t="str">
        <f t="shared" si="45"/>
        <v/>
      </c>
      <c r="AL268" t="str">
        <f t="shared" si="46"/>
        <v/>
      </c>
      <c r="AN268" t="str">
        <f t="shared" si="47"/>
        <v/>
      </c>
      <c r="AQ268" t="str">
        <f t="shared" si="48"/>
        <v/>
      </c>
      <c r="AR268" t="str">
        <f t="shared" si="49"/>
        <v/>
      </c>
      <c r="AS268" t="str">
        <f t="shared" si="50"/>
        <v/>
      </c>
      <c r="AT268" t="str">
        <f t="shared" si="51"/>
        <v/>
      </c>
      <c r="BG268" t="str">
        <f t="shared" si="52"/>
        <v/>
      </c>
      <c r="BH268" t="str">
        <f t="shared" si="53"/>
        <v/>
      </c>
      <c r="BL268" t="str">
        <f>IFERROR(INDEX(_names_lookup!$C:$C,MATCH(BK268,_names_lookup!$A:$A,0)),"")</f>
        <v/>
      </c>
      <c r="BM268" t="str">
        <f>IFERROR(INDEX(_names_lookup!$B:$B,MATCH(BK268,_names_lookup!$A:$A,0)),"")</f>
        <v/>
      </c>
      <c r="BS268" t="str">
        <f t="shared" si="54"/>
        <v/>
      </c>
    </row>
    <row r="269" spans="15:71" x14ac:dyDescent="0.2">
      <c r="O269" t="str">
        <f>IFERROR(INDEX(_courses_lookup!$C:$C,MATCH(K269&amp;L269,_courses_lookup!$E:$E,0)),"")</f>
        <v/>
      </c>
      <c r="P269" t="str">
        <f>IFERROR(INDEX(_courses_lookup!$D:$D,MATCH(K269&amp;L269,_courses_lookup!$E:$E,0)),"")</f>
        <v/>
      </c>
      <c r="AG269" t="str">
        <f t="shared" si="44"/>
        <v/>
      </c>
      <c r="AI269" t="str">
        <f t="shared" si="45"/>
        <v/>
      </c>
      <c r="AL269" t="str">
        <f t="shared" si="46"/>
        <v/>
      </c>
      <c r="AN269" t="str">
        <f t="shared" si="47"/>
        <v/>
      </c>
      <c r="AQ269" t="str">
        <f t="shared" si="48"/>
        <v/>
      </c>
      <c r="AR269" t="str">
        <f t="shared" si="49"/>
        <v/>
      </c>
      <c r="AS269" t="str">
        <f t="shared" si="50"/>
        <v/>
      </c>
      <c r="AT269" t="str">
        <f t="shared" si="51"/>
        <v/>
      </c>
      <c r="BG269" t="str">
        <f t="shared" si="52"/>
        <v/>
      </c>
      <c r="BH269" t="str">
        <f t="shared" si="53"/>
        <v/>
      </c>
      <c r="BL269" t="str">
        <f>IFERROR(INDEX(_names_lookup!$C:$C,MATCH(BK269,_names_lookup!$A:$A,0)),"")</f>
        <v/>
      </c>
      <c r="BM269" t="str">
        <f>IFERROR(INDEX(_names_lookup!$B:$B,MATCH(BK269,_names_lookup!$A:$A,0)),"")</f>
        <v/>
      </c>
      <c r="BS269" t="str">
        <f t="shared" si="54"/>
        <v/>
      </c>
    </row>
    <row r="270" spans="15:71" x14ac:dyDescent="0.2">
      <c r="O270" t="str">
        <f>IFERROR(INDEX(_courses_lookup!$C:$C,MATCH(K270&amp;L270,_courses_lookup!$E:$E,0)),"")</f>
        <v/>
      </c>
      <c r="P270" t="str">
        <f>IFERROR(INDEX(_courses_lookup!$D:$D,MATCH(K270&amp;L270,_courses_lookup!$E:$E,0)),"")</f>
        <v/>
      </c>
      <c r="AG270" t="str">
        <f t="shared" si="44"/>
        <v/>
      </c>
      <c r="AI270" t="str">
        <f t="shared" si="45"/>
        <v/>
      </c>
      <c r="AL270" t="str">
        <f t="shared" si="46"/>
        <v/>
      </c>
      <c r="AN270" t="str">
        <f t="shared" si="47"/>
        <v/>
      </c>
      <c r="AQ270" t="str">
        <f t="shared" si="48"/>
        <v/>
      </c>
      <c r="AR270" t="str">
        <f t="shared" si="49"/>
        <v/>
      </c>
      <c r="AS270" t="str">
        <f t="shared" si="50"/>
        <v/>
      </c>
      <c r="AT270" t="str">
        <f t="shared" si="51"/>
        <v/>
      </c>
      <c r="BG270" t="str">
        <f t="shared" si="52"/>
        <v/>
      </c>
      <c r="BH270" t="str">
        <f t="shared" si="53"/>
        <v/>
      </c>
      <c r="BL270" t="str">
        <f>IFERROR(INDEX(_names_lookup!$C:$C,MATCH(BK270,_names_lookup!$A:$A,0)),"")</f>
        <v/>
      </c>
      <c r="BM270" t="str">
        <f>IFERROR(INDEX(_names_lookup!$B:$B,MATCH(BK270,_names_lookup!$A:$A,0)),"")</f>
        <v/>
      </c>
      <c r="BS270" t="str">
        <f t="shared" si="54"/>
        <v/>
      </c>
    </row>
    <row r="271" spans="15:71" x14ac:dyDescent="0.2">
      <c r="O271" t="str">
        <f>IFERROR(INDEX(_courses_lookup!$C:$C,MATCH(K271&amp;L271,_courses_lookup!$E:$E,0)),"")</f>
        <v/>
      </c>
      <c r="P271" t="str">
        <f>IFERROR(INDEX(_courses_lookup!$D:$D,MATCH(K271&amp;L271,_courses_lookup!$E:$E,0)),"")</f>
        <v/>
      </c>
      <c r="AG271" t="str">
        <f t="shared" si="44"/>
        <v/>
      </c>
      <c r="AI271" t="str">
        <f t="shared" si="45"/>
        <v/>
      </c>
      <c r="AL271" t="str">
        <f t="shared" si="46"/>
        <v/>
      </c>
      <c r="AN271" t="str">
        <f t="shared" si="47"/>
        <v/>
      </c>
      <c r="AQ271" t="str">
        <f t="shared" si="48"/>
        <v/>
      </c>
      <c r="AR271" t="str">
        <f t="shared" si="49"/>
        <v/>
      </c>
      <c r="AS271" t="str">
        <f t="shared" si="50"/>
        <v/>
      </c>
      <c r="AT271" t="str">
        <f t="shared" si="51"/>
        <v/>
      </c>
      <c r="BG271" t="str">
        <f t="shared" si="52"/>
        <v/>
      </c>
      <c r="BH271" t="str">
        <f t="shared" si="53"/>
        <v/>
      </c>
      <c r="BL271" t="str">
        <f>IFERROR(INDEX(_names_lookup!$C:$C,MATCH(BK271,_names_lookup!$A:$A,0)),"")</f>
        <v/>
      </c>
      <c r="BM271" t="str">
        <f>IFERROR(INDEX(_names_lookup!$B:$B,MATCH(BK271,_names_lookup!$A:$A,0)),"")</f>
        <v/>
      </c>
      <c r="BS271" t="str">
        <f t="shared" si="54"/>
        <v/>
      </c>
    </row>
    <row r="272" spans="15:71" x14ac:dyDescent="0.2">
      <c r="O272" t="str">
        <f>IFERROR(INDEX(_courses_lookup!$C:$C,MATCH(K272&amp;L272,_courses_lookup!$E:$E,0)),"")</f>
        <v/>
      </c>
      <c r="P272" t="str">
        <f>IFERROR(INDEX(_courses_lookup!$D:$D,MATCH(K272&amp;L272,_courses_lookup!$E:$E,0)),"")</f>
        <v/>
      </c>
      <c r="AG272" t="str">
        <f t="shared" si="44"/>
        <v/>
      </c>
      <c r="AI272" t="str">
        <f t="shared" si="45"/>
        <v/>
      </c>
      <c r="AL272" t="str">
        <f t="shared" si="46"/>
        <v/>
      </c>
      <c r="AN272" t="str">
        <f t="shared" si="47"/>
        <v/>
      </c>
      <c r="AQ272" t="str">
        <f t="shared" si="48"/>
        <v/>
      </c>
      <c r="AR272" t="str">
        <f t="shared" si="49"/>
        <v/>
      </c>
      <c r="AS272" t="str">
        <f t="shared" si="50"/>
        <v/>
      </c>
      <c r="AT272" t="str">
        <f t="shared" si="51"/>
        <v/>
      </c>
      <c r="BG272" t="str">
        <f t="shared" si="52"/>
        <v/>
      </c>
      <c r="BH272" t="str">
        <f t="shared" si="53"/>
        <v/>
      </c>
      <c r="BL272" t="str">
        <f>IFERROR(INDEX(_names_lookup!$C:$C,MATCH(BK272,_names_lookup!$A:$A,0)),"")</f>
        <v/>
      </c>
      <c r="BM272" t="str">
        <f>IFERROR(INDEX(_names_lookup!$B:$B,MATCH(BK272,_names_lookup!$A:$A,0)),"")</f>
        <v/>
      </c>
      <c r="BS272" t="str">
        <f t="shared" si="54"/>
        <v/>
      </c>
    </row>
    <row r="273" spans="15:71" x14ac:dyDescent="0.2">
      <c r="O273" t="str">
        <f>IFERROR(INDEX(_courses_lookup!$C:$C,MATCH(K273&amp;L273,_courses_lookup!$E:$E,0)),"")</f>
        <v/>
      </c>
      <c r="P273" t="str">
        <f>IFERROR(INDEX(_courses_lookup!$D:$D,MATCH(K273&amp;L273,_courses_lookup!$E:$E,0)),"")</f>
        <v/>
      </c>
      <c r="AG273" t="str">
        <f t="shared" si="44"/>
        <v/>
      </c>
      <c r="AI273" t="str">
        <f t="shared" si="45"/>
        <v/>
      </c>
      <c r="AL273" t="str">
        <f t="shared" si="46"/>
        <v/>
      </c>
      <c r="AN273" t="str">
        <f t="shared" si="47"/>
        <v/>
      </c>
      <c r="AQ273" t="str">
        <f t="shared" si="48"/>
        <v/>
      </c>
      <c r="AR273" t="str">
        <f t="shared" si="49"/>
        <v/>
      </c>
      <c r="AS273" t="str">
        <f t="shared" si="50"/>
        <v/>
      </c>
      <c r="AT273" t="str">
        <f t="shared" si="51"/>
        <v/>
      </c>
      <c r="BG273" t="str">
        <f t="shared" si="52"/>
        <v/>
      </c>
      <c r="BH273" t="str">
        <f t="shared" si="53"/>
        <v/>
      </c>
      <c r="BL273" t="str">
        <f>IFERROR(INDEX(_names_lookup!$C:$C,MATCH(BK273,_names_lookup!$A:$A,0)),"")</f>
        <v/>
      </c>
      <c r="BM273" t="str">
        <f>IFERROR(INDEX(_names_lookup!$B:$B,MATCH(BK273,_names_lookup!$A:$A,0)),"")</f>
        <v/>
      </c>
      <c r="BS273" t="str">
        <f t="shared" si="54"/>
        <v/>
      </c>
    </row>
    <row r="274" spans="15:71" x14ac:dyDescent="0.2">
      <c r="O274" t="str">
        <f>IFERROR(INDEX(_courses_lookup!$C:$C,MATCH(K274&amp;L274,_courses_lookup!$E:$E,0)),"")</f>
        <v/>
      </c>
      <c r="P274" t="str">
        <f>IFERROR(INDEX(_courses_lookup!$D:$D,MATCH(K274&amp;L274,_courses_lookup!$E:$E,0)),"")</f>
        <v/>
      </c>
      <c r="AG274" t="str">
        <f t="shared" si="44"/>
        <v/>
      </c>
      <c r="AI274" t="str">
        <f t="shared" si="45"/>
        <v/>
      </c>
      <c r="AL274" t="str">
        <f t="shared" si="46"/>
        <v/>
      </c>
      <c r="AN274" t="str">
        <f t="shared" si="47"/>
        <v/>
      </c>
      <c r="AQ274" t="str">
        <f t="shared" si="48"/>
        <v/>
      </c>
      <c r="AR274" t="str">
        <f t="shared" si="49"/>
        <v/>
      </c>
      <c r="AS274" t="str">
        <f t="shared" si="50"/>
        <v/>
      </c>
      <c r="AT274" t="str">
        <f t="shared" si="51"/>
        <v/>
      </c>
      <c r="BG274" t="str">
        <f t="shared" si="52"/>
        <v/>
      </c>
      <c r="BH274" t="str">
        <f t="shared" si="53"/>
        <v/>
      </c>
      <c r="BL274" t="str">
        <f>IFERROR(INDEX(_names_lookup!$C:$C,MATCH(BK274,_names_lookup!$A:$A,0)),"")</f>
        <v/>
      </c>
      <c r="BM274" t="str">
        <f>IFERROR(INDEX(_names_lookup!$B:$B,MATCH(BK274,_names_lookup!$A:$A,0)),"")</f>
        <v/>
      </c>
      <c r="BS274" t="str">
        <f t="shared" si="54"/>
        <v/>
      </c>
    </row>
    <row r="275" spans="15:71" x14ac:dyDescent="0.2">
      <c r="O275" t="str">
        <f>IFERROR(INDEX(_courses_lookup!$C:$C,MATCH(K275&amp;L275,_courses_lookup!$E:$E,0)),"")</f>
        <v/>
      </c>
      <c r="P275" t="str">
        <f>IFERROR(INDEX(_courses_lookup!$D:$D,MATCH(K275&amp;L275,_courses_lookup!$E:$E,0)),"")</f>
        <v/>
      </c>
      <c r="AG275" t="str">
        <f t="shared" si="44"/>
        <v/>
      </c>
      <c r="AI275" t="str">
        <f t="shared" si="45"/>
        <v/>
      </c>
      <c r="AL275" t="str">
        <f t="shared" si="46"/>
        <v/>
      </c>
      <c r="AN275" t="str">
        <f t="shared" si="47"/>
        <v/>
      </c>
      <c r="AQ275" t="str">
        <f t="shared" si="48"/>
        <v/>
      </c>
      <c r="AR275" t="str">
        <f t="shared" si="49"/>
        <v/>
      </c>
      <c r="AS275" t="str">
        <f t="shared" si="50"/>
        <v/>
      </c>
      <c r="AT275" t="str">
        <f t="shared" si="51"/>
        <v/>
      </c>
      <c r="BG275" t="str">
        <f t="shared" si="52"/>
        <v/>
      </c>
      <c r="BH275" t="str">
        <f t="shared" si="53"/>
        <v/>
      </c>
      <c r="BL275" t="str">
        <f>IFERROR(INDEX(_names_lookup!$C:$C,MATCH(BK275,_names_lookup!$A:$A,0)),"")</f>
        <v/>
      </c>
      <c r="BM275" t="str">
        <f>IFERROR(INDEX(_names_lookup!$B:$B,MATCH(BK275,_names_lookup!$A:$A,0)),"")</f>
        <v/>
      </c>
      <c r="BS275" t="str">
        <f t="shared" si="54"/>
        <v/>
      </c>
    </row>
    <row r="276" spans="15:71" x14ac:dyDescent="0.2">
      <c r="O276" t="str">
        <f>IFERROR(INDEX(_courses_lookup!$C:$C,MATCH(K276&amp;L276,_courses_lookup!$E:$E,0)),"")</f>
        <v/>
      </c>
      <c r="P276" t="str">
        <f>IFERROR(INDEX(_courses_lookup!$D:$D,MATCH(K276&amp;L276,_courses_lookup!$E:$E,0)),"")</f>
        <v/>
      </c>
      <c r="AG276" t="str">
        <f t="shared" si="44"/>
        <v/>
      </c>
      <c r="AI276" t="str">
        <f t="shared" si="45"/>
        <v/>
      </c>
      <c r="AL276" t="str">
        <f t="shared" si="46"/>
        <v/>
      </c>
      <c r="AN276" t="str">
        <f t="shared" si="47"/>
        <v/>
      </c>
      <c r="AQ276" t="str">
        <f t="shared" si="48"/>
        <v/>
      </c>
      <c r="AR276" t="str">
        <f t="shared" si="49"/>
        <v/>
      </c>
      <c r="AS276" t="str">
        <f t="shared" si="50"/>
        <v/>
      </c>
      <c r="AT276" t="str">
        <f t="shared" si="51"/>
        <v/>
      </c>
      <c r="BG276" t="str">
        <f t="shared" si="52"/>
        <v/>
      </c>
      <c r="BH276" t="str">
        <f t="shared" si="53"/>
        <v/>
      </c>
      <c r="BL276" t="str">
        <f>IFERROR(INDEX(_names_lookup!$C:$C,MATCH(BK276,_names_lookup!$A:$A,0)),"")</f>
        <v/>
      </c>
      <c r="BM276" t="str">
        <f>IFERROR(INDEX(_names_lookup!$B:$B,MATCH(BK276,_names_lookup!$A:$A,0)),"")</f>
        <v/>
      </c>
      <c r="BS276" t="str">
        <f t="shared" si="54"/>
        <v/>
      </c>
    </row>
    <row r="277" spans="15:71" x14ac:dyDescent="0.2">
      <c r="O277" t="str">
        <f>IFERROR(INDEX(_courses_lookup!$C:$C,MATCH(K277&amp;L277,_courses_lookup!$E:$E,0)),"")</f>
        <v/>
      </c>
      <c r="P277" t="str">
        <f>IFERROR(INDEX(_courses_lookup!$D:$D,MATCH(K277&amp;L277,_courses_lookup!$E:$E,0)),"")</f>
        <v/>
      </c>
      <c r="AG277" t="str">
        <f t="shared" si="44"/>
        <v/>
      </c>
      <c r="AI277" t="str">
        <f t="shared" si="45"/>
        <v/>
      </c>
      <c r="AL277" t="str">
        <f t="shared" si="46"/>
        <v/>
      </c>
      <c r="AN277" t="str">
        <f t="shared" si="47"/>
        <v/>
      </c>
      <c r="AQ277" t="str">
        <f t="shared" si="48"/>
        <v/>
      </c>
      <c r="AR277" t="str">
        <f t="shared" si="49"/>
        <v/>
      </c>
      <c r="AS277" t="str">
        <f t="shared" si="50"/>
        <v/>
      </c>
      <c r="AT277" t="str">
        <f t="shared" si="51"/>
        <v/>
      </c>
      <c r="BG277" t="str">
        <f t="shared" si="52"/>
        <v/>
      </c>
      <c r="BH277" t="str">
        <f t="shared" si="53"/>
        <v/>
      </c>
      <c r="BL277" t="str">
        <f>IFERROR(INDEX(_names_lookup!$C:$C,MATCH(BK277,_names_lookup!$A:$A,0)),"")</f>
        <v/>
      </c>
      <c r="BM277" t="str">
        <f>IFERROR(INDEX(_names_lookup!$B:$B,MATCH(BK277,_names_lookup!$A:$A,0)),"")</f>
        <v/>
      </c>
      <c r="BS277" t="str">
        <f t="shared" si="54"/>
        <v/>
      </c>
    </row>
    <row r="278" spans="15:71" x14ac:dyDescent="0.2">
      <c r="O278" t="str">
        <f>IFERROR(INDEX(_courses_lookup!$C:$C,MATCH(K278&amp;L278,_courses_lookup!$E:$E,0)),"")</f>
        <v/>
      </c>
      <c r="P278" t="str">
        <f>IFERROR(INDEX(_courses_lookup!$D:$D,MATCH(K278&amp;L278,_courses_lookup!$E:$E,0)),"")</f>
        <v/>
      </c>
      <c r="AG278" t="str">
        <f t="shared" si="44"/>
        <v/>
      </c>
      <c r="AI278" t="str">
        <f t="shared" si="45"/>
        <v/>
      </c>
      <c r="AL278" t="str">
        <f t="shared" si="46"/>
        <v/>
      </c>
      <c r="AN278" t="str">
        <f t="shared" si="47"/>
        <v/>
      </c>
      <c r="AQ278" t="str">
        <f t="shared" si="48"/>
        <v/>
      </c>
      <c r="AR278" t="str">
        <f t="shared" si="49"/>
        <v/>
      </c>
      <c r="AS278" t="str">
        <f t="shared" si="50"/>
        <v/>
      </c>
      <c r="AT278" t="str">
        <f t="shared" si="51"/>
        <v/>
      </c>
      <c r="BG278" t="str">
        <f t="shared" si="52"/>
        <v/>
      </c>
      <c r="BH278" t="str">
        <f t="shared" si="53"/>
        <v/>
      </c>
      <c r="BL278" t="str">
        <f>IFERROR(INDEX(_names_lookup!$C:$C,MATCH(BK278,_names_lookup!$A:$A,0)),"")</f>
        <v/>
      </c>
      <c r="BM278" t="str">
        <f>IFERROR(INDEX(_names_lookup!$B:$B,MATCH(BK278,_names_lookup!$A:$A,0)),"")</f>
        <v/>
      </c>
      <c r="BS278" t="str">
        <f t="shared" si="54"/>
        <v/>
      </c>
    </row>
    <row r="279" spans="15:71" x14ac:dyDescent="0.2">
      <c r="O279" t="str">
        <f>IFERROR(INDEX(_courses_lookup!$C:$C,MATCH(K279&amp;L279,_courses_lookup!$E:$E,0)),"")</f>
        <v/>
      </c>
      <c r="P279" t="str">
        <f>IFERROR(INDEX(_courses_lookup!$D:$D,MATCH(K279&amp;L279,_courses_lookup!$E:$E,0)),"")</f>
        <v/>
      </c>
      <c r="AG279" t="str">
        <f t="shared" si="44"/>
        <v/>
      </c>
      <c r="AI279" t="str">
        <f t="shared" si="45"/>
        <v/>
      </c>
      <c r="AL279" t="str">
        <f t="shared" si="46"/>
        <v/>
      </c>
      <c r="AN279" t="str">
        <f t="shared" si="47"/>
        <v/>
      </c>
      <c r="AQ279" t="str">
        <f t="shared" si="48"/>
        <v/>
      </c>
      <c r="AR279" t="str">
        <f t="shared" si="49"/>
        <v/>
      </c>
      <c r="AS279" t="str">
        <f t="shared" si="50"/>
        <v/>
      </c>
      <c r="AT279" t="str">
        <f t="shared" si="51"/>
        <v/>
      </c>
      <c r="BG279" t="str">
        <f t="shared" si="52"/>
        <v/>
      </c>
      <c r="BH279" t="str">
        <f t="shared" si="53"/>
        <v/>
      </c>
      <c r="BL279" t="str">
        <f>IFERROR(INDEX(_names_lookup!$C:$C,MATCH(BK279,_names_lookup!$A:$A,0)),"")</f>
        <v/>
      </c>
      <c r="BM279" t="str">
        <f>IFERROR(INDEX(_names_lookup!$B:$B,MATCH(BK279,_names_lookup!$A:$A,0)),"")</f>
        <v/>
      </c>
      <c r="BS279" t="str">
        <f t="shared" si="54"/>
        <v/>
      </c>
    </row>
    <row r="280" spans="15:71" x14ac:dyDescent="0.2">
      <c r="O280" t="str">
        <f>IFERROR(INDEX(_courses_lookup!$C:$C,MATCH(K280&amp;L280,_courses_lookup!$E:$E,0)),"")</f>
        <v/>
      </c>
      <c r="P280" t="str">
        <f>IFERROR(INDEX(_courses_lookup!$D:$D,MATCH(K280&amp;L280,_courses_lookup!$E:$E,0)),"")</f>
        <v/>
      </c>
      <c r="AG280" t="str">
        <f t="shared" si="44"/>
        <v/>
      </c>
      <c r="AI280" t="str">
        <f t="shared" si="45"/>
        <v/>
      </c>
      <c r="AL280" t="str">
        <f t="shared" si="46"/>
        <v/>
      </c>
      <c r="AN280" t="str">
        <f t="shared" si="47"/>
        <v/>
      </c>
      <c r="AQ280" t="str">
        <f t="shared" si="48"/>
        <v/>
      </c>
      <c r="AR280" t="str">
        <f t="shared" si="49"/>
        <v/>
      </c>
      <c r="AS280" t="str">
        <f t="shared" si="50"/>
        <v/>
      </c>
      <c r="AT280" t="str">
        <f t="shared" si="51"/>
        <v/>
      </c>
      <c r="BG280" t="str">
        <f t="shared" si="52"/>
        <v/>
      </c>
      <c r="BH280" t="str">
        <f t="shared" si="53"/>
        <v/>
      </c>
      <c r="BL280" t="str">
        <f>IFERROR(INDEX(_names_lookup!$C:$C,MATCH(BK280,_names_lookup!$A:$A,0)),"")</f>
        <v/>
      </c>
      <c r="BM280" t="str">
        <f>IFERROR(INDEX(_names_lookup!$B:$B,MATCH(BK280,_names_lookup!$A:$A,0)),"")</f>
        <v/>
      </c>
      <c r="BS280" t="str">
        <f t="shared" si="54"/>
        <v/>
      </c>
    </row>
    <row r="281" spans="15:71" x14ac:dyDescent="0.2">
      <c r="O281" t="str">
        <f>IFERROR(INDEX(_courses_lookup!$C:$C,MATCH(K281&amp;L281,_courses_lookup!$E:$E,0)),"")</f>
        <v/>
      </c>
      <c r="P281" t="str">
        <f>IFERROR(INDEX(_courses_lookup!$D:$D,MATCH(K281&amp;L281,_courses_lookup!$E:$E,0)),"")</f>
        <v/>
      </c>
      <c r="AG281" t="str">
        <f t="shared" si="44"/>
        <v/>
      </c>
      <c r="AI281" t="str">
        <f t="shared" si="45"/>
        <v/>
      </c>
      <c r="AL281" t="str">
        <f t="shared" si="46"/>
        <v/>
      </c>
      <c r="AN281" t="str">
        <f t="shared" si="47"/>
        <v/>
      </c>
      <c r="AQ281" t="str">
        <f t="shared" si="48"/>
        <v/>
      </c>
      <c r="AR281" t="str">
        <f t="shared" si="49"/>
        <v/>
      </c>
      <c r="AS281" t="str">
        <f t="shared" si="50"/>
        <v/>
      </c>
      <c r="AT281" t="str">
        <f t="shared" si="51"/>
        <v/>
      </c>
      <c r="BG281" t="str">
        <f t="shared" si="52"/>
        <v/>
      </c>
      <c r="BH281" t="str">
        <f t="shared" si="53"/>
        <v/>
      </c>
      <c r="BL281" t="str">
        <f>IFERROR(INDEX(_names_lookup!$C:$C,MATCH(BK281,_names_lookup!$A:$A,0)),"")</f>
        <v/>
      </c>
      <c r="BM281" t="str">
        <f>IFERROR(INDEX(_names_lookup!$B:$B,MATCH(BK281,_names_lookup!$A:$A,0)),"")</f>
        <v/>
      </c>
      <c r="BS281" t="str">
        <f t="shared" si="54"/>
        <v/>
      </c>
    </row>
    <row r="282" spans="15:71" x14ac:dyDescent="0.2">
      <c r="O282" t="str">
        <f>IFERROR(INDEX(_courses_lookup!$C:$C,MATCH(K282&amp;L282,_courses_lookup!$E:$E,0)),"")</f>
        <v/>
      </c>
      <c r="P282" t="str">
        <f>IFERROR(INDEX(_courses_lookup!$D:$D,MATCH(K282&amp;L282,_courses_lookup!$E:$E,0)),"")</f>
        <v/>
      </c>
      <c r="AG282" t="str">
        <f t="shared" si="44"/>
        <v/>
      </c>
      <c r="AI282" t="str">
        <f t="shared" si="45"/>
        <v/>
      </c>
      <c r="AL282" t="str">
        <f t="shared" si="46"/>
        <v/>
      </c>
      <c r="AN282" t="str">
        <f t="shared" si="47"/>
        <v/>
      </c>
      <c r="AQ282" t="str">
        <f t="shared" si="48"/>
        <v/>
      </c>
      <c r="AR282" t="str">
        <f t="shared" si="49"/>
        <v/>
      </c>
      <c r="AS282" t="str">
        <f t="shared" si="50"/>
        <v/>
      </c>
      <c r="AT282" t="str">
        <f t="shared" si="51"/>
        <v/>
      </c>
      <c r="BG282" t="str">
        <f t="shared" si="52"/>
        <v/>
      </c>
      <c r="BH282" t="str">
        <f t="shared" si="53"/>
        <v/>
      </c>
      <c r="BL282" t="str">
        <f>IFERROR(INDEX(_names_lookup!$C:$C,MATCH(BK282,_names_lookup!$A:$A,0)),"")</f>
        <v/>
      </c>
      <c r="BM282" t="str">
        <f>IFERROR(INDEX(_names_lookup!$B:$B,MATCH(BK282,_names_lookup!$A:$A,0)),"")</f>
        <v/>
      </c>
      <c r="BS282" t="str">
        <f t="shared" si="54"/>
        <v/>
      </c>
    </row>
    <row r="283" spans="15:71" x14ac:dyDescent="0.2">
      <c r="O283" t="str">
        <f>IFERROR(INDEX(_courses_lookup!$C:$C,MATCH(K283&amp;L283,_courses_lookup!$E:$E,0)),"")</f>
        <v/>
      </c>
      <c r="P283" t="str">
        <f>IFERROR(INDEX(_courses_lookup!$D:$D,MATCH(K283&amp;L283,_courses_lookup!$E:$E,0)),"")</f>
        <v/>
      </c>
      <c r="AG283" t="str">
        <f t="shared" si="44"/>
        <v/>
      </c>
      <c r="AI283" t="str">
        <f t="shared" si="45"/>
        <v/>
      </c>
      <c r="AL283" t="str">
        <f t="shared" si="46"/>
        <v/>
      </c>
      <c r="AN283" t="str">
        <f t="shared" si="47"/>
        <v/>
      </c>
      <c r="AQ283" t="str">
        <f t="shared" si="48"/>
        <v/>
      </c>
      <c r="AR283" t="str">
        <f t="shared" si="49"/>
        <v/>
      </c>
      <c r="AS283" t="str">
        <f t="shared" si="50"/>
        <v/>
      </c>
      <c r="AT283" t="str">
        <f t="shared" si="51"/>
        <v/>
      </c>
      <c r="BG283" t="str">
        <f t="shared" si="52"/>
        <v/>
      </c>
      <c r="BH283" t="str">
        <f t="shared" si="53"/>
        <v/>
      </c>
      <c r="BL283" t="str">
        <f>IFERROR(INDEX(_names_lookup!$C:$C,MATCH(BK283,_names_lookup!$A:$A,0)),"")</f>
        <v/>
      </c>
      <c r="BM283" t="str">
        <f>IFERROR(INDEX(_names_lookup!$B:$B,MATCH(BK283,_names_lookup!$A:$A,0)),"")</f>
        <v/>
      </c>
      <c r="BS283" t="str">
        <f t="shared" si="54"/>
        <v/>
      </c>
    </row>
    <row r="284" spans="15:71" x14ac:dyDescent="0.2">
      <c r="O284" t="str">
        <f>IFERROR(INDEX(_courses_lookup!$C:$C,MATCH(K284&amp;L284,_courses_lookup!$E:$E,0)),"")</f>
        <v/>
      </c>
      <c r="P284" t="str">
        <f>IFERROR(INDEX(_courses_lookup!$D:$D,MATCH(K284&amp;L284,_courses_lookup!$E:$E,0)),"")</f>
        <v/>
      </c>
      <c r="AG284" t="str">
        <f t="shared" si="44"/>
        <v/>
      </c>
      <c r="AI284" t="str">
        <f t="shared" si="45"/>
        <v/>
      </c>
      <c r="AL284" t="str">
        <f t="shared" si="46"/>
        <v/>
      </c>
      <c r="AN284" t="str">
        <f t="shared" si="47"/>
        <v/>
      </c>
      <c r="AQ284" t="str">
        <f t="shared" si="48"/>
        <v/>
      </c>
      <c r="AR284" t="str">
        <f t="shared" si="49"/>
        <v/>
      </c>
      <c r="AS284" t="str">
        <f t="shared" si="50"/>
        <v/>
      </c>
      <c r="AT284" t="str">
        <f t="shared" si="51"/>
        <v/>
      </c>
      <c r="BG284" t="str">
        <f t="shared" si="52"/>
        <v/>
      </c>
      <c r="BH284" t="str">
        <f t="shared" si="53"/>
        <v/>
      </c>
      <c r="BL284" t="str">
        <f>IFERROR(INDEX(_names_lookup!$C:$C,MATCH(BK284,_names_lookup!$A:$A,0)),"")</f>
        <v/>
      </c>
      <c r="BM284" t="str">
        <f>IFERROR(INDEX(_names_lookup!$B:$B,MATCH(BK284,_names_lookup!$A:$A,0)),"")</f>
        <v/>
      </c>
      <c r="BS284" t="str">
        <f t="shared" si="54"/>
        <v/>
      </c>
    </row>
    <row r="285" spans="15:71" x14ac:dyDescent="0.2">
      <c r="O285" t="str">
        <f>IFERROR(INDEX(_courses_lookup!$C:$C,MATCH(K285&amp;L285,_courses_lookup!$E:$E,0)),"")</f>
        <v/>
      </c>
      <c r="P285" t="str">
        <f>IFERROR(INDEX(_courses_lookup!$D:$D,MATCH(K285&amp;L285,_courses_lookup!$E:$E,0)),"")</f>
        <v/>
      </c>
      <c r="AG285" t="str">
        <f t="shared" si="44"/>
        <v/>
      </c>
      <c r="AI285" t="str">
        <f t="shared" si="45"/>
        <v/>
      </c>
      <c r="AL285" t="str">
        <f t="shared" si="46"/>
        <v/>
      </c>
      <c r="AN285" t="str">
        <f t="shared" si="47"/>
        <v/>
      </c>
      <c r="AQ285" t="str">
        <f t="shared" si="48"/>
        <v/>
      </c>
      <c r="AR285" t="str">
        <f t="shared" si="49"/>
        <v/>
      </c>
      <c r="AS285" t="str">
        <f t="shared" si="50"/>
        <v/>
      </c>
      <c r="AT285" t="str">
        <f t="shared" si="51"/>
        <v/>
      </c>
      <c r="BG285" t="str">
        <f t="shared" si="52"/>
        <v/>
      </c>
      <c r="BH285" t="str">
        <f t="shared" si="53"/>
        <v/>
      </c>
      <c r="BL285" t="str">
        <f>IFERROR(INDEX(_names_lookup!$C:$C,MATCH(BK285,_names_lookup!$A:$A,0)),"")</f>
        <v/>
      </c>
      <c r="BM285" t="str">
        <f>IFERROR(INDEX(_names_lookup!$B:$B,MATCH(BK285,_names_lookup!$A:$A,0)),"")</f>
        <v/>
      </c>
      <c r="BS285" t="str">
        <f t="shared" si="54"/>
        <v/>
      </c>
    </row>
    <row r="286" spans="15:71" x14ac:dyDescent="0.2">
      <c r="O286" t="str">
        <f>IFERROR(INDEX(_courses_lookup!$C:$C,MATCH(K286&amp;L286,_courses_lookup!$E:$E,0)),"")</f>
        <v/>
      </c>
      <c r="P286" t="str">
        <f>IFERROR(INDEX(_courses_lookup!$D:$D,MATCH(K286&amp;L286,_courses_lookup!$E:$E,0)),"")</f>
        <v/>
      </c>
      <c r="AG286" t="str">
        <f t="shared" si="44"/>
        <v/>
      </c>
      <c r="AI286" t="str">
        <f t="shared" si="45"/>
        <v/>
      </c>
      <c r="AL286" t="str">
        <f t="shared" si="46"/>
        <v/>
      </c>
      <c r="AN286" t="str">
        <f t="shared" si="47"/>
        <v/>
      </c>
      <c r="AQ286" t="str">
        <f t="shared" si="48"/>
        <v/>
      </c>
      <c r="AR286" t="str">
        <f t="shared" si="49"/>
        <v/>
      </c>
      <c r="AS286" t="str">
        <f t="shared" si="50"/>
        <v/>
      </c>
      <c r="AT286" t="str">
        <f t="shared" si="51"/>
        <v/>
      </c>
      <c r="BG286" t="str">
        <f t="shared" si="52"/>
        <v/>
      </c>
      <c r="BH286" t="str">
        <f t="shared" si="53"/>
        <v/>
      </c>
      <c r="BL286" t="str">
        <f>IFERROR(INDEX(_names_lookup!$C:$C,MATCH(BK286,_names_lookup!$A:$A,0)),"")</f>
        <v/>
      </c>
      <c r="BM286" t="str">
        <f>IFERROR(INDEX(_names_lookup!$B:$B,MATCH(BK286,_names_lookup!$A:$A,0)),"")</f>
        <v/>
      </c>
      <c r="BS286" t="str">
        <f t="shared" si="54"/>
        <v/>
      </c>
    </row>
    <row r="287" spans="15:71" x14ac:dyDescent="0.2">
      <c r="O287" t="str">
        <f>IFERROR(INDEX(_courses_lookup!$C:$C,MATCH(K287&amp;L287,_courses_lookup!$E:$E,0)),"")</f>
        <v/>
      </c>
      <c r="P287" t="str">
        <f>IFERROR(INDEX(_courses_lookup!$D:$D,MATCH(K287&amp;L287,_courses_lookup!$E:$E,0)),"")</f>
        <v/>
      </c>
      <c r="AG287" t="str">
        <f t="shared" si="44"/>
        <v/>
      </c>
      <c r="AI287" t="str">
        <f t="shared" si="45"/>
        <v/>
      </c>
      <c r="AL287" t="str">
        <f t="shared" si="46"/>
        <v/>
      </c>
      <c r="AN287" t="str">
        <f t="shared" si="47"/>
        <v/>
      </c>
      <c r="AQ287" t="str">
        <f t="shared" si="48"/>
        <v/>
      </c>
      <c r="AR287" t="str">
        <f t="shared" si="49"/>
        <v/>
      </c>
      <c r="AS287" t="str">
        <f t="shared" si="50"/>
        <v/>
      </c>
      <c r="AT287" t="str">
        <f t="shared" si="51"/>
        <v/>
      </c>
      <c r="BG287" t="str">
        <f t="shared" si="52"/>
        <v/>
      </c>
      <c r="BH287" t="str">
        <f t="shared" si="53"/>
        <v/>
      </c>
      <c r="BL287" t="str">
        <f>IFERROR(INDEX(_names_lookup!$C:$C,MATCH(BK287,_names_lookup!$A:$A,0)),"")</f>
        <v/>
      </c>
      <c r="BM287" t="str">
        <f>IFERROR(INDEX(_names_lookup!$B:$B,MATCH(BK287,_names_lookup!$A:$A,0)),"")</f>
        <v/>
      </c>
      <c r="BS287" t="str">
        <f t="shared" si="54"/>
        <v/>
      </c>
    </row>
    <row r="288" spans="15:71" x14ac:dyDescent="0.2">
      <c r="O288" t="str">
        <f>IFERROR(INDEX(_courses_lookup!$C:$C,MATCH(K288&amp;L288,_courses_lookup!$E:$E,0)),"")</f>
        <v/>
      </c>
      <c r="P288" t="str">
        <f>IFERROR(INDEX(_courses_lookup!$D:$D,MATCH(K288&amp;L288,_courses_lookup!$E:$E,0)),"")</f>
        <v/>
      </c>
      <c r="AG288" t="str">
        <f t="shared" si="44"/>
        <v/>
      </c>
      <c r="AI288" t="str">
        <f t="shared" si="45"/>
        <v/>
      </c>
      <c r="AL288" t="str">
        <f t="shared" si="46"/>
        <v/>
      </c>
      <c r="AN288" t="str">
        <f t="shared" si="47"/>
        <v/>
      </c>
      <c r="AQ288" t="str">
        <f t="shared" si="48"/>
        <v/>
      </c>
      <c r="AR288" t="str">
        <f t="shared" si="49"/>
        <v/>
      </c>
      <c r="AS288" t="str">
        <f t="shared" si="50"/>
        <v/>
      </c>
      <c r="AT288" t="str">
        <f t="shared" si="51"/>
        <v/>
      </c>
      <c r="BG288" t="str">
        <f t="shared" si="52"/>
        <v/>
      </c>
      <c r="BH288" t="str">
        <f t="shared" si="53"/>
        <v/>
      </c>
      <c r="BL288" t="str">
        <f>IFERROR(INDEX(_names_lookup!$C:$C,MATCH(BK288,_names_lookup!$A:$A,0)),"")</f>
        <v/>
      </c>
      <c r="BM288" t="str">
        <f>IFERROR(INDEX(_names_lookup!$B:$B,MATCH(BK288,_names_lookup!$A:$A,0)),"")</f>
        <v/>
      </c>
      <c r="BS288" t="str">
        <f t="shared" si="54"/>
        <v/>
      </c>
    </row>
    <row r="289" spans="15:71" x14ac:dyDescent="0.2">
      <c r="O289" t="str">
        <f>IFERROR(INDEX(_courses_lookup!$C:$C,MATCH(K289&amp;L289,_courses_lookup!$E:$E,0)),"")</f>
        <v/>
      </c>
      <c r="P289" t="str">
        <f>IFERROR(INDEX(_courses_lookup!$D:$D,MATCH(K289&amp;L289,_courses_lookup!$E:$E,0)),"")</f>
        <v/>
      </c>
      <c r="AG289" t="str">
        <f t="shared" si="44"/>
        <v/>
      </c>
      <c r="AI289" t="str">
        <f t="shared" si="45"/>
        <v/>
      </c>
      <c r="AL289" t="str">
        <f t="shared" si="46"/>
        <v/>
      </c>
      <c r="AN289" t="str">
        <f t="shared" si="47"/>
        <v/>
      </c>
      <c r="AQ289" t="str">
        <f t="shared" si="48"/>
        <v/>
      </c>
      <c r="AR289" t="str">
        <f t="shared" si="49"/>
        <v/>
      </c>
      <c r="AS289" t="str">
        <f t="shared" si="50"/>
        <v/>
      </c>
      <c r="AT289" t="str">
        <f t="shared" si="51"/>
        <v/>
      </c>
      <c r="BG289" t="str">
        <f t="shared" si="52"/>
        <v/>
      </c>
      <c r="BH289" t="str">
        <f t="shared" si="53"/>
        <v/>
      </c>
      <c r="BL289" t="str">
        <f>IFERROR(INDEX(_names_lookup!$C:$C,MATCH(BK289,_names_lookup!$A:$A,0)),"")</f>
        <v/>
      </c>
      <c r="BM289" t="str">
        <f>IFERROR(INDEX(_names_lookup!$B:$B,MATCH(BK289,_names_lookup!$A:$A,0)),"")</f>
        <v/>
      </c>
      <c r="BS289" t="str">
        <f t="shared" si="54"/>
        <v/>
      </c>
    </row>
    <row r="290" spans="15:71" x14ac:dyDescent="0.2">
      <c r="O290" t="str">
        <f>IFERROR(INDEX(_courses_lookup!$C:$C,MATCH(K290&amp;L290,_courses_lookup!$E:$E,0)),"")</f>
        <v/>
      </c>
      <c r="P290" t="str">
        <f>IFERROR(INDEX(_courses_lookup!$D:$D,MATCH(K290&amp;L290,_courses_lookup!$E:$E,0)),"")</f>
        <v/>
      </c>
      <c r="AG290" t="str">
        <f t="shared" si="44"/>
        <v/>
      </c>
      <c r="AI290" t="str">
        <f t="shared" si="45"/>
        <v/>
      </c>
      <c r="AL290" t="str">
        <f t="shared" si="46"/>
        <v/>
      </c>
      <c r="AN290" t="str">
        <f t="shared" si="47"/>
        <v/>
      </c>
      <c r="AQ290" t="str">
        <f t="shared" si="48"/>
        <v/>
      </c>
      <c r="AR290" t="str">
        <f t="shared" si="49"/>
        <v/>
      </c>
      <c r="AS290" t="str">
        <f t="shared" si="50"/>
        <v/>
      </c>
      <c r="AT290" t="str">
        <f t="shared" si="51"/>
        <v/>
      </c>
      <c r="BG290" t="str">
        <f t="shared" si="52"/>
        <v/>
      </c>
      <c r="BH290" t="str">
        <f t="shared" si="53"/>
        <v/>
      </c>
      <c r="BL290" t="str">
        <f>IFERROR(INDEX(_names_lookup!$C:$C,MATCH(BK290,_names_lookup!$A:$A,0)),"")</f>
        <v/>
      </c>
      <c r="BM290" t="str">
        <f>IFERROR(INDEX(_names_lookup!$B:$B,MATCH(BK290,_names_lookup!$A:$A,0)),"")</f>
        <v/>
      </c>
      <c r="BS290" t="str">
        <f t="shared" si="54"/>
        <v/>
      </c>
    </row>
    <row r="291" spans="15:71" x14ac:dyDescent="0.2">
      <c r="O291" t="str">
        <f>IFERROR(INDEX(_courses_lookup!$C:$C,MATCH(K291&amp;L291,_courses_lookup!$E:$E,0)),"")</f>
        <v/>
      </c>
      <c r="P291" t="str">
        <f>IFERROR(INDEX(_courses_lookup!$D:$D,MATCH(K291&amp;L291,_courses_lookup!$E:$E,0)),"")</f>
        <v/>
      </c>
      <c r="AG291" t="str">
        <f t="shared" si="44"/>
        <v/>
      </c>
      <c r="AI291" t="str">
        <f t="shared" si="45"/>
        <v/>
      </c>
      <c r="AL291" t="str">
        <f t="shared" si="46"/>
        <v/>
      </c>
      <c r="AN291" t="str">
        <f t="shared" si="47"/>
        <v/>
      </c>
      <c r="AQ291" t="str">
        <f t="shared" si="48"/>
        <v/>
      </c>
      <c r="AR291" t="str">
        <f t="shared" si="49"/>
        <v/>
      </c>
      <c r="AS291" t="str">
        <f t="shared" si="50"/>
        <v/>
      </c>
      <c r="AT291" t="str">
        <f t="shared" si="51"/>
        <v/>
      </c>
      <c r="BG291" t="str">
        <f t="shared" si="52"/>
        <v/>
      </c>
      <c r="BH291" t="str">
        <f t="shared" si="53"/>
        <v/>
      </c>
      <c r="BL291" t="str">
        <f>IFERROR(INDEX(_names_lookup!$C:$C,MATCH(BK291,_names_lookup!$A:$A,0)),"")</f>
        <v/>
      </c>
      <c r="BM291" t="str">
        <f>IFERROR(INDEX(_names_lookup!$B:$B,MATCH(BK291,_names_lookup!$A:$A,0)),"")</f>
        <v/>
      </c>
      <c r="BS291" t="str">
        <f t="shared" si="54"/>
        <v/>
      </c>
    </row>
    <row r="292" spans="15:71" x14ac:dyDescent="0.2">
      <c r="O292" t="str">
        <f>IFERROR(INDEX(_courses_lookup!$C:$C,MATCH(K292&amp;L292,_courses_lookup!$E:$E,0)),"")</f>
        <v/>
      </c>
      <c r="P292" t="str">
        <f>IFERROR(INDEX(_courses_lookup!$D:$D,MATCH(K292&amp;L292,_courses_lookup!$E:$E,0)),"")</f>
        <v/>
      </c>
      <c r="AG292" t="str">
        <f t="shared" si="44"/>
        <v/>
      </c>
      <c r="AI292" t="str">
        <f t="shared" si="45"/>
        <v/>
      </c>
      <c r="AL292" t="str">
        <f t="shared" si="46"/>
        <v/>
      </c>
      <c r="AN292" t="str">
        <f t="shared" si="47"/>
        <v/>
      </c>
      <c r="AQ292" t="str">
        <f t="shared" si="48"/>
        <v/>
      </c>
      <c r="AR292" t="str">
        <f t="shared" si="49"/>
        <v/>
      </c>
      <c r="AS292" t="str">
        <f t="shared" si="50"/>
        <v/>
      </c>
      <c r="AT292" t="str">
        <f t="shared" si="51"/>
        <v/>
      </c>
      <c r="BG292" t="str">
        <f t="shared" si="52"/>
        <v/>
      </c>
      <c r="BH292" t="str">
        <f t="shared" si="53"/>
        <v/>
      </c>
      <c r="BL292" t="str">
        <f>IFERROR(INDEX(_names_lookup!$C:$C,MATCH(BK292,_names_lookup!$A:$A,0)),"")</f>
        <v/>
      </c>
      <c r="BM292" t="str">
        <f>IFERROR(INDEX(_names_lookup!$B:$B,MATCH(BK292,_names_lookup!$A:$A,0)),"")</f>
        <v/>
      </c>
      <c r="BS292" t="str">
        <f t="shared" si="54"/>
        <v/>
      </c>
    </row>
    <row r="293" spans="15:71" x14ac:dyDescent="0.2">
      <c r="O293" t="str">
        <f>IFERROR(INDEX(_courses_lookup!$C:$C,MATCH(K293&amp;L293,_courses_lookup!$E:$E,0)),"")</f>
        <v/>
      </c>
      <c r="P293" t="str">
        <f>IFERROR(INDEX(_courses_lookup!$D:$D,MATCH(K293&amp;L293,_courses_lookup!$E:$E,0)),"")</f>
        <v/>
      </c>
      <c r="AG293" t="str">
        <f t="shared" si="44"/>
        <v/>
      </c>
      <c r="AI293" t="str">
        <f t="shared" si="45"/>
        <v/>
      </c>
      <c r="AL293" t="str">
        <f t="shared" si="46"/>
        <v/>
      </c>
      <c r="AN293" t="str">
        <f t="shared" si="47"/>
        <v/>
      </c>
      <c r="AQ293" t="str">
        <f t="shared" si="48"/>
        <v/>
      </c>
      <c r="AR293" t="str">
        <f t="shared" si="49"/>
        <v/>
      </c>
      <c r="AS293" t="str">
        <f t="shared" si="50"/>
        <v/>
      </c>
      <c r="AT293" t="str">
        <f t="shared" si="51"/>
        <v/>
      </c>
      <c r="BG293" t="str">
        <f t="shared" si="52"/>
        <v/>
      </c>
      <c r="BH293" t="str">
        <f t="shared" si="53"/>
        <v/>
      </c>
      <c r="BL293" t="str">
        <f>IFERROR(INDEX(_names_lookup!$C:$C,MATCH(BK293,_names_lookup!$A:$A,0)),"")</f>
        <v/>
      </c>
      <c r="BM293" t="str">
        <f>IFERROR(INDEX(_names_lookup!$B:$B,MATCH(BK293,_names_lookup!$A:$A,0)),"")</f>
        <v/>
      </c>
      <c r="BS293" t="str">
        <f t="shared" si="54"/>
        <v/>
      </c>
    </row>
    <row r="294" spans="15:71" x14ac:dyDescent="0.2">
      <c r="O294" t="str">
        <f>IFERROR(INDEX(_courses_lookup!$C:$C,MATCH(K294&amp;L294,_courses_lookup!$E:$E,0)),"")</f>
        <v/>
      </c>
      <c r="P294" t="str">
        <f>IFERROR(INDEX(_courses_lookup!$D:$D,MATCH(K294&amp;L294,_courses_lookup!$E:$E,0)),"")</f>
        <v/>
      </c>
      <c r="AG294" t="str">
        <f t="shared" si="44"/>
        <v/>
      </c>
      <c r="AI294" t="str">
        <f t="shared" si="45"/>
        <v/>
      </c>
      <c r="AL294" t="str">
        <f t="shared" si="46"/>
        <v/>
      </c>
      <c r="AN294" t="str">
        <f t="shared" si="47"/>
        <v/>
      </c>
      <c r="AQ294" t="str">
        <f t="shared" si="48"/>
        <v/>
      </c>
      <c r="AR294" t="str">
        <f t="shared" si="49"/>
        <v/>
      </c>
      <c r="AS294" t="str">
        <f t="shared" si="50"/>
        <v/>
      </c>
      <c r="AT294" t="str">
        <f t="shared" si="51"/>
        <v/>
      </c>
      <c r="BG294" t="str">
        <f t="shared" si="52"/>
        <v/>
      </c>
      <c r="BH294" t="str">
        <f t="shared" si="53"/>
        <v/>
      </c>
      <c r="BL294" t="str">
        <f>IFERROR(INDEX(_names_lookup!$C:$C,MATCH(BK294,_names_lookup!$A:$A,0)),"")</f>
        <v/>
      </c>
      <c r="BM294" t="str">
        <f>IFERROR(INDEX(_names_lookup!$B:$B,MATCH(BK294,_names_lookup!$A:$A,0)),"")</f>
        <v/>
      </c>
      <c r="BS294" t="str">
        <f t="shared" si="54"/>
        <v/>
      </c>
    </row>
    <row r="295" spans="15:71" x14ac:dyDescent="0.2">
      <c r="O295" t="str">
        <f>IFERROR(INDEX(_courses_lookup!$C:$C,MATCH(K295&amp;L295,_courses_lookup!$E:$E,0)),"")</f>
        <v/>
      </c>
      <c r="P295" t="str">
        <f>IFERROR(INDEX(_courses_lookup!$D:$D,MATCH(K295&amp;L295,_courses_lookup!$E:$E,0)),"")</f>
        <v/>
      </c>
      <c r="AG295" t="str">
        <f t="shared" si="44"/>
        <v/>
      </c>
      <c r="AI295" t="str">
        <f t="shared" si="45"/>
        <v/>
      </c>
      <c r="AL295" t="str">
        <f t="shared" si="46"/>
        <v/>
      </c>
      <c r="AN295" t="str">
        <f t="shared" si="47"/>
        <v/>
      </c>
      <c r="AQ295" t="str">
        <f t="shared" si="48"/>
        <v/>
      </c>
      <c r="AR295" t="str">
        <f t="shared" si="49"/>
        <v/>
      </c>
      <c r="AS295" t="str">
        <f t="shared" si="50"/>
        <v/>
      </c>
      <c r="AT295" t="str">
        <f t="shared" si="51"/>
        <v/>
      </c>
      <c r="BG295" t="str">
        <f t="shared" si="52"/>
        <v/>
      </c>
      <c r="BH295" t="str">
        <f t="shared" si="53"/>
        <v/>
      </c>
      <c r="BL295" t="str">
        <f>IFERROR(INDEX(_names_lookup!$C:$C,MATCH(BK295,_names_lookup!$A:$A,0)),"")</f>
        <v/>
      </c>
      <c r="BM295" t="str">
        <f>IFERROR(INDEX(_names_lookup!$B:$B,MATCH(BK295,_names_lookup!$A:$A,0)),"")</f>
        <v/>
      </c>
      <c r="BS295" t="str">
        <f t="shared" si="54"/>
        <v/>
      </c>
    </row>
    <row r="296" spans="15:71" x14ac:dyDescent="0.2">
      <c r="O296" t="str">
        <f>IFERROR(INDEX(_courses_lookup!$C:$C,MATCH(K296&amp;L296,_courses_lookup!$E:$E,0)),"")</f>
        <v/>
      </c>
      <c r="P296" t="str">
        <f>IFERROR(INDEX(_courses_lookup!$D:$D,MATCH(K296&amp;L296,_courses_lookup!$E:$E,0)),"")</f>
        <v/>
      </c>
      <c r="AG296" t="str">
        <f t="shared" si="44"/>
        <v/>
      </c>
      <c r="AI296" t="str">
        <f t="shared" si="45"/>
        <v/>
      </c>
      <c r="AL296" t="str">
        <f t="shared" si="46"/>
        <v/>
      </c>
      <c r="AN296" t="str">
        <f t="shared" si="47"/>
        <v/>
      </c>
      <c r="AQ296" t="str">
        <f t="shared" si="48"/>
        <v/>
      </c>
      <c r="AR296" t="str">
        <f t="shared" si="49"/>
        <v/>
      </c>
      <c r="AS296" t="str">
        <f t="shared" si="50"/>
        <v/>
      </c>
      <c r="AT296" t="str">
        <f t="shared" si="51"/>
        <v/>
      </c>
      <c r="BG296" t="str">
        <f t="shared" si="52"/>
        <v/>
      </c>
      <c r="BH296" t="str">
        <f t="shared" si="53"/>
        <v/>
      </c>
      <c r="BL296" t="str">
        <f>IFERROR(INDEX(_names_lookup!$C:$C,MATCH(BK296,_names_lookup!$A:$A,0)),"")</f>
        <v/>
      </c>
      <c r="BM296" t="str">
        <f>IFERROR(INDEX(_names_lookup!$B:$B,MATCH(BK296,_names_lookup!$A:$A,0)),"")</f>
        <v/>
      </c>
      <c r="BS296" t="str">
        <f t="shared" si="54"/>
        <v/>
      </c>
    </row>
    <row r="297" spans="15:71" x14ac:dyDescent="0.2">
      <c r="O297" t="str">
        <f>IFERROR(INDEX(_courses_lookup!$C:$C,MATCH(K297&amp;L297,_courses_lookup!$E:$E,0)),"")</f>
        <v/>
      </c>
      <c r="P297" t="str">
        <f>IFERROR(INDEX(_courses_lookup!$D:$D,MATCH(K297&amp;L297,_courses_lookup!$E:$E,0)),"")</f>
        <v/>
      </c>
      <c r="AG297" t="str">
        <f t="shared" si="44"/>
        <v/>
      </c>
      <c r="AI297" t="str">
        <f t="shared" si="45"/>
        <v/>
      </c>
      <c r="AL297" t="str">
        <f t="shared" si="46"/>
        <v/>
      </c>
      <c r="AN297" t="str">
        <f t="shared" si="47"/>
        <v/>
      </c>
      <c r="AQ297" t="str">
        <f t="shared" si="48"/>
        <v/>
      </c>
      <c r="AR297" t="str">
        <f t="shared" si="49"/>
        <v/>
      </c>
      <c r="AS297" t="str">
        <f t="shared" si="50"/>
        <v/>
      </c>
      <c r="AT297" t="str">
        <f t="shared" si="51"/>
        <v/>
      </c>
      <c r="BG297" t="str">
        <f t="shared" si="52"/>
        <v/>
      </c>
      <c r="BH297" t="str">
        <f t="shared" si="53"/>
        <v/>
      </c>
      <c r="BL297" t="str">
        <f>IFERROR(INDEX(_names_lookup!$C:$C,MATCH(BK297,_names_lookup!$A:$A,0)),"")</f>
        <v/>
      </c>
      <c r="BM297" t="str">
        <f>IFERROR(INDEX(_names_lookup!$B:$B,MATCH(BK297,_names_lookup!$A:$A,0)),"")</f>
        <v/>
      </c>
      <c r="BS297" t="str">
        <f t="shared" si="54"/>
        <v/>
      </c>
    </row>
    <row r="298" spans="15:71" x14ac:dyDescent="0.2">
      <c r="O298" t="str">
        <f>IFERROR(INDEX(_courses_lookup!$C:$C,MATCH(K298&amp;L298,_courses_lookup!$E:$E,0)),"")</f>
        <v/>
      </c>
      <c r="P298" t="str">
        <f>IFERROR(INDEX(_courses_lookup!$D:$D,MATCH(K298&amp;L298,_courses_lookup!$E:$E,0)),"")</f>
        <v/>
      </c>
      <c r="AG298" t="str">
        <f t="shared" si="44"/>
        <v/>
      </c>
      <c r="AI298" t="str">
        <f t="shared" si="45"/>
        <v/>
      </c>
      <c r="AL298" t="str">
        <f t="shared" si="46"/>
        <v/>
      </c>
      <c r="AN298" t="str">
        <f t="shared" si="47"/>
        <v/>
      </c>
      <c r="AQ298" t="str">
        <f t="shared" si="48"/>
        <v/>
      </c>
      <c r="AR298" t="str">
        <f t="shared" si="49"/>
        <v/>
      </c>
      <c r="AS298" t="str">
        <f t="shared" si="50"/>
        <v/>
      </c>
      <c r="AT298" t="str">
        <f t="shared" si="51"/>
        <v/>
      </c>
      <c r="BG298" t="str">
        <f t="shared" si="52"/>
        <v/>
      </c>
      <c r="BH298" t="str">
        <f t="shared" si="53"/>
        <v/>
      </c>
      <c r="BL298" t="str">
        <f>IFERROR(INDEX(_names_lookup!$C:$C,MATCH(BK298,_names_lookup!$A:$A,0)),"")</f>
        <v/>
      </c>
      <c r="BM298" t="str">
        <f>IFERROR(INDEX(_names_lookup!$B:$B,MATCH(BK298,_names_lookup!$A:$A,0)),"")</f>
        <v/>
      </c>
      <c r="BS298" t="str">
        <f t="shared" si="54"/>
        <v/>
      </c>
    </row>
    <row r="299" spans="15:71" x14ac:dyDescent="0.2">
      <c r="O299" t="str">
        <f>IFERROR(INDEX(_courses_lookup!$C:$C,MATCH(K299&amp;L299,_courses_lookup!$E:$E,0)),"")</f>
        <v/>
      </c>
      <c r="P299" t="str">
        <f>IFERROR(INDEX(_courses_lookup!$D:$D,MATCH(K299&amp;L299,_courses_lookup!$E:$E,0)),"")</f>
        <v/>
      </c>
      <c r="AG299" t="str">
        <f t="shared" si="44"/>
        <v/>
      </c>
      <c r="AI299" t="str">
        <f t="shared" si="45"/>
        <v/>
      </c>
      <c r="AL299" t="str">
        <f t="shared" si="46"/>
        <v/>
      </c>
      <c r="AN299" t="str">
        <f t="shared" si="47"/>
        <v/>
      </c>
      <c r="AQ299" t="str">
        <f t="shared" si="48"/>
        <v/>
      </c>
      <c r="AR299" t="str">
        <f t="shared" si="49"/>
        <v/>
      </c>
      <c r="AS299" t="str">
        <f t="shared" si="50"/>
        <v/>
      </c>
      <c r="AT299" t="str">
        <f t="shared" si="51"/>
        <v/>
      </c>
      <c r="BG299" t="str">
        <f t="shared" si="52"/>
        <v/>
      </c>
      <c r="BH299" t="str">
        <f t="shared" si="53"/>
        <v/>
      </c>
      <c r="BL299" t="str">
        <f>IFERROR(INDEX(_names_lookup!$C:$C,MATCH(BK299,_names_lookup!$A:$A,0)),"")</f>
        <v/>
      </c>
      <c r="BM299" t="str">
        <f>IFERROR(INDEX(_names_lookup!$B:$B,MATCH(BK299,_names_lookup!$A:$A,0)),"")</f>
        <v/>
      </c>
      <c r="BS299" t="str">
        <f t="shared" si="54"/>
        <v/>
      </c>
    </row>
    <row r="300" spans="15:71" x14ac:dyDescent="0.2">
      <c r="O300" t="str">
        <f>IFERROR(INDEX(_courses_lookup!$C:$C,MATCH(K300&amp;L300,_courses_lookup!$E:$E,0)),"")</f>
        <v/>
      </c>
      <c r="P300" t="str">
        <f>IFERROR(INDEX(_courses_lookup!$D:$D,MATCH(K300&amp;L300,_courses_lookup!$E:$E,0)),"")</f>
        <v/>
      </c>
      <c r="AG300" t="str">
        <f t="shared" si="44"/>
        <v/>
      </c>
      <c r="AI300" t="str">
        <f t="shared" si="45"/>
        <v/>
      </c>
      <c r="AL300" t="str">
        <f t="shared" si="46"/>
        <v/>
      </c>
      <c r="AN300" t="str">
        <f t="shared" si="47"/>
        <v/>
      </c>
      <c r="AQ300" t="str">
        <f t="shared" si="48"/>
        <v/>
      </c>
      <c r="AR300" t="str">
        <f t="shared" si="49"/>
        <v/>
      </c>
      <c r="AS300" t="str">
        <f t="shared" si="50"/>
        <v/>
      </c>
      <c r="AT300" t="str">
        <f t="shared" si="51"/>
        <v/>
      </c>
      <c r="BG300" t="str">
        <f t="shared" si="52"/>
        <v/>
      </c>
      <c r="BH300" t="str">
        <f t="shared" si="53"/>
        <v/>
      </c>
      <c r="BL300" t="str">
        <f>IFERROR(INDEX(_names_lookup!$C:$C,MATCH(BK300,_names_lookup!$A:$A,0)),"")</f>
        <v/>
      </c>
      <c r="BM300" t="str">
        <f>IFERROR(INDEX(_names_lookup!$B:$B,MATCH(BK300,_names_lookup!$A:$A,0)),"")</f>
        <v/>
      </c>
      <c r="BS300" t="str">
        <f t="shared" si="54"/>
        <v/>
      </c>
    </row>
  </sheetData>
  <autoFilter ref="A1:DQ1" xr:uid="{00000000-0009-0000-0000-000001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100-000000000000}">
          <x14:formula1>
            <xm:f>DropDownMenu!$A$2:$A$3</xm:f>
          </x14:formula1>
          <xm:sqref>A2:A5000</xm:sqref>
        </x14:dataValidation>
        <x14:dataValidation type="list" allowBlank="1" xr:uid="{00000000-0002-0000-0100-000001000000}">
          <x14:formula1>
            <xm:f>DropDownMenu!$B$2:$B$3</xm:f>
          </x14:formula1>
          <xm:sqref>B2:B5000</xm:sqref>
        </x14:dataValidation>
        <x14:dataValidation type="list" allowBlank="1" xr:uid="{00000000-0002-0000-0100-000002000000}">
          <x14:formula1>
            <xm:f>DropDownMenu!$C$2:$C$3</xm:f>
          </x14:formula1>
          <xm:sqref>C2:C5000</xm:sqref>
        </x14:dataValidation>
        <x14:dataValidation type="list" allowBlank="1" xr:uid="{00000000-0002-0000-0100-000003000000}">
          <x14:formula1>
            <xm:f>DropDownMenu!$D$2:$D$3</xm:f>
          </x14:formula1>
          <xm:sqref>D2:D5000</xm:sqref>
        </x14:dataValidation>
        <x14:dataValidation type="list" allowBlank="1" xr:uid="{00000000-0002-0000-0100-000004000000}">
          <x14:formula1>
            <xm:f>DropDownMenu!$E$2:$E$3</xm:f>
          </x14:formula1>
          <xm:sqref>E2:E5000</xm:sqref>
        </x14:dataValidation>
        <x14:dataValidation type="list" allowBlank="1" xr:uid="{00000000-0002-0000-0100-000005000000}">
          <x14:formula1>
            <xm:f>DropDownMenu!$F$2:$F$3</xm:f>
          </x14:formula1>
          <xm:sqref>F2:F5000</xm:sqref>
        </x14:dataValidation>
        <x14:dataValidation type="list" allowBlank="1" xr:uid="{00000000-0002-0000-0100-000006000000}">
          <x14:formula1>
            <xm:f>DropDownMenu!$G$2:$G$19</xm:f>
          </x14:formula1>
          <xm:sqref>G2:G5000</xm:sqref>
        </x14:dataValidation>
        <x14:dataValidation type="list" allowBlank="1" xr:uid="{00000000-0002-0000-0100-000007000000}">
          <x14:formula1>
            <xm:f>DropDownMenu!$H$2:$H$564</xm:f>
          </x14:formula1>
          <xm:sqref>H2:H5000</xm:sqref>
        </x14:dataValidation>
        <x14:dataValidation type="list" allowBlank="1" xr:uid="{00000000-0002-0000-0100-000008000000}">
          <x14:formula1>
            <xm:f>DropDownMenu!$I$2:$I$352</xm:f>
          </x14:formula1>
          <xm:sqref>I2:I5000</xm:sqref>
        </x14:dataValidation>
        <x14:dataValidation type="list" allowBlank="1" xr:uid="{00000000-0002-0000-0100-000009000000}">
          <x14:formula1>
            <xm:f>DropDownMenu!$J$2:$J$10</xm:f>
          </x14:formula1>
          <xm:sqref>K2:K5000</xm:sqref>
        </x14:dataValidation>
        <x14:dataValidation type="list" allowBlank="1" xr:uid="{00000000-0002-0000-0100-00000A000000}">
          <x14:formula1>
            <xm:f>DropDownMenu!$K$2:$K$101</xm:f>
          </x14:formula1>
          <xm:sqref>L2:L5000</xm:sqref>
        </x14:dataValidation>
        <x14:dataValidation type="list" allowBlank="1" xr:uid="{00000000-0002-0000-0100-00000B000000}">
          <x14:formula1>
            <xm:f>DropDownMenu!$L$2:$L$42</xm:f>
          </x14:formula1>
          <xm:sqref>M2:M5000</xm:sqref>
        </x14:dataValidation>
        <x14:dataValidation type="list" allowBlank="1" xr:uid="{00000000-0002-0000-0100-00000C000000}">
          <x14:formula1>
            <xm:f>DropDownMenu!$M$2:$M$15</xm:f>
          </x14:formula1>
          <xm:sqref>N2:N5000</xm:sqref>
        </x14:dataValidation>
        <x14:dataValidation type="list" allowBlank="1" xr:uid="{00000000-0002-0000-0100-00000D000000}">
          <x14:formula1>
            <xm:f>DropDownMenu!$N$2:$N$140</xm:f>
          </x14:formula1>
          <xm:sqref>O2:O5000</xm:sqref>
        </x14:dataValidation>
        <x14:dataValidation type="list" allowBlank="1" xr:uid="{00000000-0002-0000-0100-00000E000000}">
          <x14:formula1>
            <xm:f>DropDownMenu!$O$2:$O$65</xm:f>
          </x14:formula1>
          <xm:sqref>P2:P5000</xm:sqref>
        </x14:dataValidation>
        <x14:dataValidation type="list" allowBlank="1" xr:uid="{00000000-0002-0000-0100-00000F000000}">
          <x14:formula1>
            <xm:f>DropDownMenu!$P$2:$P$45</xm:f>
          </x14:formula1>
          <xm:sqref>R2:R5000</xm:sqref>
        </x14:dataValidation>
        <x14:dataValidation type="list" allowBlank="1" xr:uid="{00000000-0002-0000-0100-000010000000}">
          <x14:formula1>
            <xm:f>DropDownMenu!$Q$2:$Q$6</xm:f>
          </x14:formula1>
          <xm:sqref>S2:S5000</xm:sqref>
        </x14:dataValidation>
        <x14:dataValidation type="list" allowBlank="1" xr:uid="{00000000-0002-0000-0100-000011000000}">
          <x14:formula1>
            <xm:f>DropDownMenu!$R$2:$R$7</xm:f>
          </x14:formula1>
          <xm:sqref>T2:T5000</xm:sqref>
        </x14:dataValidation>
        <x14:dataValidation type="list" allowBlank="1" xr:uid="{00000000-0002-0000-0100-000012000000}">
          <x14:formula1>
            <xm:f>DropDownMenu!$S$2:$S$12</xm:f>
          </x14:formula1>
          <xm:sqref>U2:U5000</xm:sqref>
        </x14:dataValidation>
        <x14:dataValidation type="list" allowBlank="1" xr:uid="{00000000-0002-0000-0100-000013000000}">
          <x14:formula1>
            <xm:f>DropDownMenu!$T$2:$T$13</xm:f>
          </x14:formula1>
          <xm:sqref>V2:V5000</xm:sqref>
        </x14:dataValidation>
        <x14:dataValidation type="list" allowBlank="1" xr:uid="{00000000-0002-0000-0100-000014000000}">
          <x14:formula1>
            <xm:f>DropDownMenu!$U$2:$U$4</xm:f>
          </x14:formula1>
          <xm:sqref>W2:W5000</xm:sqref>
        </x14:dataValidation>
        <x14:dataValidation type="list" allowBlank="1" xr:uid="{00000000-0002-0000-0100-000015000000}">
          <x14:formula1>
            <xm:f>DropDownMenu!$V$2:$V$6</xm:f>
          </x14:formula1>
          <xm:sqref>X2:X5000</xm:sqref>
        </x14:dataValidation>
        <x14:dataValidation type="list" allowBlank="1" xr:uid="{00000000-0002-0000-0100-000016000000}">
          <x14:formula1>
            <xm:f>DropDownMenu!$W$2:$W$26</xm:f>
          </x14:formula1>
          <xm:sqref>Y2:Y5000</xm:sqref>
        </x14:dataValidation>
        <x14:dataValidation type="list" allowBlank="1" xr:uid="{00000000-0002-0000-0100-000017000000}">
          <x14:formula1>
            <xm:f>DropDownMenu!$X$2:$X$7</xm:f>
          </x14:formula1>
          <xm:sqref>Z2:Z5000</xm:sqref>
        </x14:dataValidation>
        <x14:dataValidation type="list" allowBlank="1" xr:uid="{00000000-0002-0000-0100-000018000000}">
          <x14:formula1>
            <xm:f>DropDownMenu!$Y$2:$Y$15</xm:f>
          </x14:formula1>
          <xm:sqref>AB2:AB5000</xm:sqref>
        </x14:dataValidation>
        <x14:dataValidation type="list" allowBlank="1" xr:uid="{00000000-0002-0000-0100-000019000000}">
          <x14:formula1>
            <xm:f>DropDownMenu!$Z$2:$Z$6</xm:f>
          </x14:formula1>
          <xm:sqref>AC2:AC5000</xm:sqref>
        </x14:dataValidation>
        <x14:dataValidation type="list" allowBlank="1" xr:uid="{00000000-0002-0000-0100-00001A000000}">
          <x14:formula1>
            <xm:f>DropDownMenu!$AA$2:$AA$7</xm:f>
          </x14:formula1>
          <xm:sqref>AD2:AD5000</xm:sqref>
        </x14:dataValidation>
        <x14:dataValidation type="list" allowBlank="1" xr:uid="{00000000-0002-0000-0100-00001B000000}">
          <x14:formula1>
            <xm:f>DropDownMenu!$AB$2:$AB$2</xm:f>
          </x14:formula1>
          <xm:sqref>AG2:AG5000</xm:sqref>
        </x14:dataValidation>
        <x14:dataValidation type="list" allowBlank="1" xr:uid="{00000000-0002-0000-0100-00001C000000}">
          <x14:formula1>
            <xm:f>DropDownMenu!$AC$2:$AC$2</xm:f>
          </x14:formula1>
          <xm:sqref>AH2:AH5000</xm:sqref>
        </x14:dataValidation>
        <x14:dataValidation type="list" allowBlank="1" xr:uid="{00000000-0002-0000-0100-00001D000000}">
          <x14:formula1>
            <xm:f>DropDownMenu!$AD$2:$AD$2</xm:f>
          </x14:formula1>
          <xm:sqref>AI2:AI5000</xm:sqref>
        </x14:dataValidation>
        <x14:dataValidation type="list" allowBlank="1" xr:uid="{00000000-0002-0000-0100-00001E000000}">
          <x14:formula1>
            <xm:f>DropDownMenu!$AE$2:$AE$49</xm:f>
          </x14:formula1>
          <xm:sqref>AJ2:AJ5000</xm:sqref>
        </x14:dataValidation>
        <x14:dataValidation type="list" allowBlank="1" xr:uid="{00000000-0002-0000-0100-00001F000000}">
          <x14:formula1>
            <xm:f>DropDownMenu!$AF$2:$AF$52</xm:f>
          </x14:formula1>
          <xm:sqref>AK2:AK5000</xm:sqref>
        </x14:dataValidation>
        <x14:dataValidation type="list" allowBlank="1" xr:uid="{00000000-0002-0000-0100-000020000000}">
          <x14:formula1>
            <xm:f>DropDownMenu!$AG$2:$AG$2</xm:f>
          </x14:formula1>
          <xm:sqref>AL2:AL5000</xm:sqref>
        </x14:dataValidation>
        <x14:dataValidation type="list" allowBlank="1" xr:uid="{00000000-0002-0000-0100-000021000000}">
          <x14:formula1>
            <xm:f>DropDownMenu!$AH$2:$AH$2</xm:f>
          </x14:formula1>
          <xm:sqref>AM2:AM5000</xm:sqref>
        </x14:dataValidation>
        <x14:dataValidation type="list" allowBlank="1" xr:uid="{00000000-0002-0000-0100-000022000000}">
          <x14:formula1>
            <xm:f>DropDownMenu!$AI$2:$AI$2</xm:f>
          </x14:formula1>
          <xm:sqref>AN2:AN5000</xm:sqref>
        </x14:dataValidation>
        <x14:dataValidation type="list" allowBlank="1" xr:uid="{00000000-0002-0000-0100-000023000000}">
          <x14:formula1>
            <xm:f>DropDownMenu!$AJ$2:$AJ$2</xm:f>
          </x14:formula1>
          <xm:sqref>AQ2:AQ5000</xm:sqref>
        </x14:dataValidation>
        <x14:dataValidation type="list" allowBlank="1" xr:uid="{00000000-0002-0000-0100-000024000000}">
          <x14:formula1>
            <xm:f>DropDownMenu!$AK$2:$AK$2</xm:f>
          </x14:formula1>
          <xm:sqref>AR2:AR5000</xm:sqref>
        </x14:dataValidation>
        <x14:dataValidation type="list" allowBlank="1" xr:uid="{00000000-0002-0000-0100-000025000000}">
          <x14:formula1>
            <xm:f>DropDownMenu!$AL$2:$AL$2</xm:f>
          </x14:formula1>
          <xm:sqref>AS2:AS5000</xm:sqref>
        </x14:dataValidation>
        <x14:dataValidation type="list" allowBlank="1" xr:uid="{00000000-0002-0000-0100-000026000000}">
          <x14:formula1>
            <xm:f>DropDownMenu!$AM$2:$AM$2</xm:f>
          </x14:formula1>
          <xm:sqref>AT2:AT5000</xm:sqref>
        </x14:dataValidation>
        <x14:dataValidation type="list" allowBlank="1" xr:uid="{00000000-0002-0000-0100-000027000000}">
          <x14:formula1>
            <xm:f>DropDownMenu!$AN$2:$AN$2</xm:f>
          </x14:formula1>
          <xm:sqref>AU2:AU5000</xm:sqref>
        </x14:dataValidation>
        <x14:dataValidation type="list" allowBlank="1" xr:uid="{00000000-0002-0000-0100-000028000000}">
          <x14:formula1>
            <xm:f>DropDownMenu!$AO$2:$AO$9</xm:f>
          </x14:formula1>
          <xm:sqref>AV2:AV5000</xm:sqref>
        </x14:dataValidation>
        <x14:dataValidation type="list" allowBlank="1" xr:uid="{00000000-0002-0000-0100-000029000000}">
          <x14:formula1>
            <xm:f>DropDownMenu!$AP$2:$AP$6</xm:f>
          </x14:formula1>
          <xm:sqref>AW2:AW5000</xm:sqref>
        </x14:dataValidation>
        <x14:dataValidation type="list" allowBlank="1" xr:uid="{00000000-0002-0000-0100-00002A000000}">
          <x14:formula1>
            <xm:f>DropDownMenu!$AQ$2:$AQ$11</xm:f>
          </x14:formula1>
          <xm:sqref>AX2:AX5000</xm:sqref>
        </x14:dataValidation>
        <x14:dataValidation type="list" allowBlank="1" xr:uid="{00000000-0002-0000-0100-00002B000000}">
          <x14:formula1>
            <xm:f>DropDownMenu!$AR$2:$AR$2</xm:f>
          </x14:formula1>
          <xm:sqref>AY2:AY5000</xm:sqref>
        </x14:dataValidation>
        <x14:dataValidation type="list" allowBlank="1" xr:uid="{00000000-0002-0000-0100-00002C000000}">
          <x14:formula1>
            <xm:f>DropDownMenu!$AS$2:$AS$2</xm:f>
          </x14:formula1>
          <xm:sqref>AZ2:AZ5000</xm:sqref>
        </x14:dataValidation>
        <x14:dataValidation type="list" allowBlank="1" xr:uid="{00000000-0002-0000-0100-00002D000000}">
          <x14:formula1>
            <xm:f>DropDownMenu!$AT$2:$AT$2</xm:f>
          </x14:formula1>
          <xm:sqref>BA2:BA5000</xm:sqref>
        </x14:dataValidation>
        <x14:dataValidation type="list" allowBlank="1" xr:uid="{00000000-0002-0000-0100-00002E000000}">
          <x14:formula1>
            <xm:f>DropDownMenu!$AU$2:$AU$2</xm:f>
          </x14:formula1>
          <xm:sqref>BB2:BB5000</xm:sqref>
        </x14:dataValidation>
        <x14:dataValidation type="list" allowBlank="1" xr:uid="{00000000-0002-0000-0100-00002F000000}">
          <x14:formula1>
            <xm:f>DropDownMenu!$AV$2:$AV$2</xm:f>
          </x14:formula1>
          <xm:sqref>BC2:BC5000</xm:sqref>
        </x14:dataValidation>
        <x14:dataValidation type="list" allowBlank="1" xr:uid="{00000000-0002-0000-0100-000030000000}">
          <x14:formula1>
            <xm:f>DropDownMenu!$AW$2:$AW$5</xm:f>
          </x14:formula1>
          <xm:sqref>BF2:BF5000</xm:sqref>
        </x14:dataValidation>
        <x14:dataValidation type="list" allowBlank="1" xr:uid="{00000000-0002-0000-0100-000031000000}">
          <x14:formula1>
            <xm:f>DropDownMenu!$AX$2:$AX$37</xm:f>
          </x14:formula1>
          <xm:sqref>BG2:BG5000</xm:sqref>
        </x14:dataValidation>
        <x14:dataValidation type="list" allowBlank="1" xr:uid="{00000000-0002-0000-0100-000032000000}">
          <x14:formula1>
            <xm:f>DropDownMenu!$AY$2:$AY$4</xm:f>
          </x14:formula1>
          <xm:sqref>BH2:BH5000</xm:sqref>
        </x14:dataValidation>
        <x14:dataValidation type="list" allowBlank="1" xr:uid="{00000000-0002-0000-0100-000033000000}">
          <x14:formula1>
            <xm:f>DropDownMenu!$AZ$2:$AZ$13</xm:f>
          </x14:formula1>
          <xm:sqref>BI2:BI5000</xm:sqref>
        </x14:dataValidation>
        <x14:dataValidation type="list" allowBlank="1" xr:uid="{00000000-0002-0000-0100-000034000000}">
          <x14:formula1>
            <xm:f>DropDownMenu!$BA$2:$BA$34</xm:f>
          </x14:formula1>
          <xm:sqref>BJ2:BJ5000</xm:sqref>
        </x14:dataValidation>
        <x14:dataValidation type="list" allowBlank="1" xr:uid="{00000000-0002-0000-0100-000035000000}">
          <x14:formula1>
            <xm:f>DropDownMenu!$BB$2:$BB$258</xm:f>
          </x14:formula1>
          <xm:sqref>BK2:BK5000</xm:sqref>
        </x14:dataValidation>
        <x14:dataValidation type="list" allowBlank="1" xr:uid="{00000000-0002-0000-0100-000036000000}">
          <x14:formula1>
            <xm:f>DropDownMenu!$BC$2:$BC$252</xm:f>
          </x14:formula1>
          <xm:sqref>BL2:BL5000</xm:sqref>
        </x14:dataValidation>
        <x14:dataValidation type="list" allowBlank="1" xr:uid="{00000000-0002-0000-0100-000037000000}">
          <x14:formula1>
            <xm:f>DropDownMenu!$BD$2:$BD$258</xm:f>
          </x14:formula1>
          <xm:sqref>BM2:BM5000</xm:sqref>
        </x14:dataValidation>
        <x14:dataValidation type="list" allowBlank="1" xr:uid="{00000000-0002-0000-0100-000038000000}">
          <x14:formula1>
            <xm:f>DropDownMenu!$BE$2:$BE$3</xm:f>
          </x14:formula1>
          <xm:sqref>BN2:BN5000</xm:sqref>
        </x14:dataValidation>
        <x14:dataValidation type="list" allowBlank="1" xr:uid="{00000000-0002-0000-0100-000039000000}">
          <x14:formula1>
            <xm:f>DropDownMenu!$BF$2:$BF$4</xm:f>
          </x14:formula1>
          <xm:sqref>BO2:BO5000</xm:sqref>
        </x14:dataValidation>
        <x14:dataValidation type="list" allowBlank="1" xr:uid="{00000000-0002-0000-0100-00003A000000}">
          <x14:formula1>
            <xm:f>DropDownMenu!$BG$2:$BG$6</xm:f>
          </x14:formula1>
          <xm:sqref>BP2:BP5000</xm:sqref>
        </x14:dataValidation>
        <x14:dataValidation type="list" allowBlank="1" xr:uid="{00000000-0002-0000-0100-00003B000000}">
          <x14:formula1>
            <xm:f>DropDownMenu!$BH$2:$BH$4</xm:f>
          </x14:formula1>
          <xm:sqref>BQ2:BQ5000</xm:sqref>
        </x14:dataValidation>
        <x14:dataValidation type="list" allowBlank="1" xr:uid="{00000000-0002-0000-0100-00003C000000}">
          <x14:formula1>
            <xm:f>DropDownMenu!$BI$2:$BI$3</xm:f>
          </x14:formula1>
          <xm:sqref>BR2:BR5000</xm:sqref>
        </x14:dataValidation>
        <x14:dataValidation type="list" allowBlank="1" xr:uid="{00000000-0002-0000-0100-00003D000000}">
          <x14:formula1>
            <xm:f>DropDownMenu!$BJ$2:$BJ$3</xm:f>
          </x14:formula1>
          <xm:sqref>BT2:BT5000</xm:sqref>
        </x14:dataValidation>
        <x14:dataValidation type="list" allowBlank="1" xr:uid="{00000000-0002-0000-0100-00003E000000}">
          <x14:formula1>
            <xm:f>DropDownMenu!$BK$2:$BK$11</xm:f>
          </x14:formula1>
          <xm:sqref>BU2:BU5000</xm:sqref>
        </x14:dataValidation>
        <x14:dataValidation type="list" allowBlank="1" xr:uid="{00000000-0002-0000-0100-00003F000000}">
          <x14:formula1>
            <xm:f>DropDownMenu!$BL$2:$BL$9</xm:f>
          </x14:formula1>
          <xm:sqref>BV2:BV5000</xm:sqref>
        </x14:dataValidation>
        <x14:dataValidation type="list" allowBlank="1" xr:uid="{00000000-0002-0000-0100-000040000000}">
          <x14:formula1>
            <xm:f>DropDownMenu!$BM$2:$BM$2</xm:f>
          </x14:formula1>
          <xm:sqref>BW2:BW5000</xm:sqref>
        </x14:dataValidation>
        <x14:dataValidation type="list" allowBlank="1" xr:uid="{00000000-0002-0000-0100-000041000000}">
          <x14:formula1>
            <xm:f>DropDownMenu!$BN$2:$BN$2</xm:f>
          </x14:formula1>
          <xm:sqref>BX2:BX5000</xm:sqref>
        </x14:dataValidation>
        <x14:dataValidation type="list" allowBlank="1" xr:uid="{00000000-0002-0000-0100-000042000000}">
          <x14:formula1>
            <xm:f>DropDownMenu!$BO$2:$BO$2</xm:f>
          </x14:formula1>
          <xm:sqref>BY2:BY5000</xm:sqref>
        </x14:dataValidation>
        <x14:dataValidation type="list" allowBlank="1" xr:uid="{00000000-0002-0000-0100-000043000000}">
          <x14:formula1>
            <xm:f>DropDownMenu!$BP$2:$BP$9</xm:f>
          </x14:formula1>
          <xm:sqref>BZ2:BZ5000</xm:sqref>
        </x14:dataValidation>
        <x14:dataValidation type="list" allowBlank="1" xr:uid="{00000000-0002-0000-0100-000044000000}">
          <x14:formula1>
            <xm:f>DropDownMenu!$BQ$2:$BQ$11</xm:f>
          </x14:formula1>
          <xm:sqref>CA2:CA5000</xm:sqref>
        </x14:dataValidation>
        <x14:dataValidation type="list" allowBlank="1" xr:uid="{00000000-0002-0000-0100-000045000000}">
          <x14:formula1>
            <xm:f>DropDownMenu!$BR$2:$BR$3</xm:f>
          </x14:formula1>
          <xm:sqref>CB2:CB5000</xm:sqref>
        </x14:dataValidation>
        <x14:dataValidation type="list" allowBlank="1" xr:uid="{00000000-0002-0000-0100-000046000000}">
          <x14:formula1>
            <xm:f>DropDownMenu!$BS$2:$BS$4</xm:f>
          </x14:formula1>
          <xm:sqref>CC2:CC5000</xm:sqref>
        </x14:dataValidation>
        <x14:dataValidation type="list" allowBlank="1" xr:uid="{00000000-0002-0000-0100-000047000000}">
          <x14:formula1>
            <xm:f>DropDownMenu!$BT$2:$BT$2</xm:f>
          </x14:formula1>
          <xm:sqref>CE2:CE5000</xm:sqref>
        </x14:dataValidation>
        <x14:dataValidation type="list" allowBlank="1" xr:uid="{00000000-0002-0000-0100-000048000000}">
          <x14:formula1>
            <xm:f>DropDownMenu!$BU$2:$BU$81</xm:f>
          </x14:formula1>
          <xm:sqref>CF2:CF5000</xm:sqref>
        </x14:dataValidation>
        <x14:dataValidation type="list" allowBlank="1" xr:uid="{00000000-0002-0000-0100-000049000000}">
          <x14:formula1>
            <xm:f>DropDownMenu!$BV$2:$BV$3</xm:f>
          </x14:formula1>
          <xm:sqref>CG2:CG5000</xm:sqref>
        </x14:dataValidation>
        <x14:dataValidation type="list" allowBlank="1" xr:uid="{00000000-0002-0000-0100-00004A000000}">
          <x14:formula1>
            <xm:f>DropDownMenu!$BW$2:$BW$7</xm:f>
          </x14:formula1>
          <xm:sqref>CH2:CH5000</xm:sqref>
        </x14:dataValidation>
        <x14:dataValidation type="list" allowBlank="1" xr:uid="{00000000-0002-0000-0100-00004B000000}">
          <x14:formula1>
            <xm:f>DropDownMenu!$BX$2:$BX$9</xm:f>
          </x14:formula1>
          <xm:sqref>CI2:CI5000</xm:sqref>
        </x14:dataValidation>
        <x14:dataValidation type="list" allowBlank="1" xr:uid="{00000000-0002-0000-0100-00004C000000}">
          <x14:formula1>
            <xm:f>DropDownMenu!$BY$2:$BY$9</xm:f>
          </x14:formula1>
          <xm:sqref>CJ2:CJ5000</xm:sqref>
        </x14:dataValidation>
        <x14:dataValidation type="list" allowBlank="1" xr:uid="{00000000-0002-0000-0100-00004D000000}">
          <x14:formula1>
            <xm:f>DropDownMenu!$BZ$2:$BZ$3</xm:f>
          </x14:formula1>
          <xm:sqref>CK2:CK5000</xm:sqref>
        </x14:dataValidation>
        <x14:dataValidation type="list" allowBlank="1" xr:uid="{00000000-0002-0000-0100-00004E000000}">
          <x14:formula1>
            <xm:f>DropDownMenu!$CA$2:$CA$2</xm:f>
          </x14:formula1>
          <xm:sqref>CL2:CL5000</xm:sqref>
        </x14:dataValidation>
        <x14:dataValidation type="list" allowBlank="1" xr:uid="{00000000-0002-0000-0100-00004F000000}">
          <x14:formula1>
            <xm:f>DropDownMenu!$CB$2:$CB$29</xm:f>
          </x14:formula1>
          <xm:sqref>CN2:CN5000</xm:sqref>
        </x14:dataValidation>
        <x14:dataValidation type="list" allowBlank="1" xr:uid="{00000000-0002-0000-0100-000050000000}">
          <x14:formula1>
            <xm:f>DropDownMenu!$CC$2:$CC$2</xm:f>
          </x14:formula1>
          <xm:sqref>CQ2:CQ5000</xm:sqref>
        </x14:dataValidation>
        <x14:dataValidation type="list" allowBlank="1" xr:uid="{00000000-0002-0000-0100-000051000000}">
          <x14:formula1>
            <xm:f>DropDownMenu!$CD$2:$CD$33</xm:f>
          </x14:formula1>
          <xm:sqref>CR2:CR5000</xm:sqref>
        </x14:dataValidation>
        <x14:dataValidation type="list" allowBlank="1" xr:uid="{00000000-0002-0000-0100-000052000000}">
          <x14:formula1>
            <xm:f>DropDownMenu!$CE$2:$CE$2</xm:f>
          </x14:formula1>
          <xm:sqref>CS2:CS5000</xm:sqref>
        </x14:dataValidation>
        <x14:dataValidation type="list" allowBlank="1" xr:uid="{00000000-0002-0000-0100-000053000000}">
          <x14:formula1>
            <xm:f>DropDownMenu!$CF$2:$CF$2</xm:f>
          </x14:formula1>
          <xm:sqref>CT2:CT5000</xm:sqref>
        </x14:dataValidation>
        <x14:dataValidation type="list" allowBlank="1" xr:uid="{00000000-0002-0000-0100-000054000000}">
          <x14:formula1>
            <xm:f>DropDownMenu!$CG$2:$CG$2</xm:f>
          </x14:formula1>
          <xm:sqref>CU2:CU5000</xm:sqref>
        </x14:dataValidation>
        <x14:dataValidation type="list" allowBlank="1" xr:uid="{00000000-0002-0000-0100-000055000000}">
          <x14:formula1>
            <xm:f>DropDownMenu!$CH$2:$CH$2</xm:f>
          </x14:formula1>
          <xm:sqref>CV2:CV5000</xm:sqref>
        </x14:dataValidation>
        <x14:dataValidation type="list" allowBlank="1" xr:uid="{00000000-0002-0000-0100-000056000000}">
          <x14:formula1>
            <xm:f>DropDownMenu!$CI$2:$CI$8</xm:f>
          </x14:formula1>
          <xm:sqref>CW2:CW5000</xm:sqref>
        </x14:dataValidation>
        <x14:dataValidation type="list" allowBlank="1" xr:uid="{00000000-0002-0000-0100-000057000000}">
          <x14:formula1>
            <xm:f>DropDownMenu!$CJ$2:$CJ$8</xm:f>
          </x14:formula1>
          <xm:sqref>CX2:CX5000</xm:sqref>
        </x14:dataValidation>
        <x14:dataValidation type="list" allowBlank="1" xr:uid="{00000000-0002-0000-0100-000058000000}">
          <x14:formula1>
            <xm:f>DropDownMenu!$CK$2:$CK$8</xm:f>
          </x14:formula1>
          <xm:sqref>CY2:CY5000</xm:sqref>
        </x14:dataValidation>
        <x14:dataValidation type="list" allowBlank="1" xr:uid="{00000000-0002-0000-0100-000059000000}">
          <x14:formula1>
            <xm:f>DropDownMenu!$CL$2:$CL$6</xm:f>
          </x14:formula1>
          <xm:sqref>CZ2:CZ5000</xm:sqref>
        </x14:dataValidation>
        <x14:dataValidation type="list" allowBlank="1" xr:uid="{00000000-0002-0000-0100-00005A000000}">
          <x14:formula1>
            <xm:f>DropDownMenu!$CM$2:$CM$2</xm:f>
          </x14:formula1>
          <xm:sqref>DA2:DA5000</xm:sqref>
        </x14:dataValidation>
        <x14:dataValidation type="list" allowBlank="1" xr:uid="{00000000-0002-0000-0100-00005B000000}">
          <x14:formula1>
            <xm:f>DropDownMenu!$CN$2:$CN$2</xm:f>
          </x14:formula1>
          <xm:sqref>DB2:DB5000</xm:sqref>
        </x14:dataValidation>
        <x14:dataValidation type="list" allowBlank="1" xr:uid="{00000000-0002-0000-0100-00005C000000}">
          <x14:formula1>
            <xm:f>DropDownMenu!$CO$2:$CO$2</xm:f>
          </x14:formula1>
          <xm:sqref>DC2:DC5000</xm:sqref>
        </x14:dataValidation>
        <x14:dataValidation type="list" allowBlank="1" xr:uid="{00000000-0002-0000-0100-00005D000000}">
          <x14:formula1>
            <xm:f>DropDownMenu!$CP$2:$CP$2</xm:f>
          </x14:formula1>
          <xm:sqref>DD2:DD5000</xm:sqref>
        </x14:dataValidation>
        <x14:dataValidation type="list" allowBlank="1" xr:uid="{00000000-0002-0000-0100-00005E000000}">
          <x14:formula1>
            <xm:f>DropDownMenu!$CQ$2:$CQ$2</xm:f>
          </x14:formula1>
          <xm:sqref>DE2:DE5000</xm:sqref>
        </x14:dataValidation>
        <x14:dataValidation type="list" allowBlank="1" xr:uid="{00000000-0002-0000-0100-00005F000000}">
          <x14:formula1>
            <xm:f>DropDownMenu!$CR$2:$CR$2</xm:f>
          </x14:formula1>
          <xm:sqref>DK2:DK5000</xm:sqref>
        </x14:dataValidation>
        <x14:dataValidation type="list" allowBlank="1" xr:uid="{00000000-0002-0000-0100-000060000000}">
          <x14:formula1>
            <xm:f>DropDownMenu!$CS$2:$CS$2</xm:f>
          </x14:formula1>
          <xm:sqref>DL2:DL5000</xm:sqref>
        </x14:dataValidation>
        <x14:dataValidation type="list" allowBlank="1" xr:uid="{00000000-0002-0000-0100-000061000000}">
          <x14:formula1>
            <xm:f>DropDownMenu!$CT$2:$CT$2</xm:f>
          </x14:formula1>
          <xm:sqref>DN2:DN5000</xm:sqref>
        </x14:dataValidation>
        <x14:dataValidation type="list" allowBlank="1" xr:uid="{00000000-0002-0000-0100-000062000000}">
          <x14:formula1>
            <xm:f>DropDownMenu!$CU$2:$CU$5</xm:f>
          </x14:formula1>
          <xm:sqref>DO2:DO5000</xm:sqref>
        </x14:dataValidation>
        <x14:dataValidation type="list" allowBlank="1" xr:uid="{00000000-0002-0000-0100-000063000000}">
          <x14:formula1>
            <xm:f>DropDownMenu!$CV$2:$CV$3</xm:f>
          </x14:formula1>
          <xm:sqref>DQ2:DQ5000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applyStyles="1" summaryRight="0"/>
  </sheetPr>
  <dimension ref="A1:DQ300"/>
  <sheetViews>
    <sheetView workbookViewId="0">
      <pane xSplit="7" ySplit="1" topLeftCell="H2" activePane="bottomRight" state="frozen"/>
      <selection pane="topRight"/>
      <selection pane="bottomLeft"/>
      <selection pane="bottomRight" activeCell="G19" sqref="G19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3" width="4" customWidth="1"/>
    <col min="14" max="14" width="12" customWidth="1"/>
    <col min="15" max="16" width="25" customWidth="1"/>
    <col min="17" max="17" width="4" customWidth="1"/>
    <col min="18" max="20" width="4" customWidth="1" outlineLevel="1"/>
    <col min="21" max="21" width="15" customWidth="1" outlineLevel="1"/>
    <col min="22" max="22" width="10" customWidth="1" outlineLevel="1"/>
    <col min="23" max="28" width="4" customWidth="1" outlineLevel="1"/>
    <col min="29" max="29" width="5" customWidth="1"/>
    <col min="30" max="32" width="10" customWidth="1" outlineLevel="1"/>
    <col min="33" max="35" width="4" customWidth="1" outlineLevel="1"/>
    <col min="36" max="37" width="10" customWidth="1" outlineLevel="1"/>
    <col min="38" max="40" width="4" customWidth="1" outlineLevel="1"/>
    <col min="41" max="42" width="10" customWidth="1" outlineLevel="1"/>
    <col min="43" max="47" width="4" customWidth="1" outlineLevel="1"/>
    <col min="48" max="48" width="10" customWidth="1" outlineLevel="1"/>
    <col min="49" max="49" width="5" customWidth="1" outlineLevel="1"/>
    <col min="50" max="50" width="5" customWidth="1"/>
    <col min="51" max="59" width="4" customWidth="1" outlineLevel="1"/>
    <col min="60" max="60" width="7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4" customWidth="1" outlineLevel="1"/>
    <col min="68" max="68" width="12" customWidth="1" outlineLevel="1"/>
    <col min="69" max="69" width="20" customWidth="1" outlineLevel="1"/>
    <col min="70" max="70" width="5" customWidth="1" outlineLevel="1"/>
    <col min="71" max="72" width="4" customWidth="1" outlineLevel="1"/>
    <col min="73" max="73" width="25" customWidth="1" outlineLevel="1"/>
    <col min="74" max="74" width="5" customWidth="1" outlineLevel="1"/>
    <col min="75" max="75" width="20" customWidth="1"/>
    <col min="76" max="77" width="20" customWidth="1" outlineLevel="1"/>
    <col min="78" max="83" width="4" customWidth="1" outlineLevel="1"/>
    <col min="84" max="84" width="4" customWidth="1"/>
    <col min="85" max="121" width="4" customWidth="1" outlineLevel="1"/>
  </cols>
  <sheetData>
    <row r="1" spans="1:121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1" t="s">
        <v>35</v>
      </c>
      <c r="AK1" s="1" t="s">
        <v>36</v>
      </c>
      <c r="AL1" s="3" t="s">
        <v>37</v>
      </c>
      <c r="AM1" s="3" t="s">
        <v>38</v>
      </c>
      <c r="AN1" s="3" t="s">
        <v>39</v>
      </c>
      <c r="AO1" s="1" t="s">
        <v>40</v>
      </c>
      <c r="AP1" s="1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 t="s">
        <v>65</v>
      </c>
      <c r="BO1" s="1" t="s">
        <v>66</v>
      </c>
      <c r="BP1" s="1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</row>
    <row r="2" spans="1:121" x14ac:dyDescent="0.2">
      <c r="O2" t="str">
        <f>IFERROR(INDEX(_courses_lookup!$C:$C,MATCH(K2&amp;L2,_courses_lookup!$E:$E,0)),"")</f>
        <v/>
      </c>
      <c r="P2" t="str">
        <f>IFERROR(INDEX(_courses_lookup!$D:$D,MATCH(K2&amp;L2,_courses_lookup!$E:$E,0)),"")</f>
        <v/>
      </c>
      <c r="AG2" t="str">
        <f t="shared" ref="AG2:AG65" si="0">IF(AND(AE2&lt;&gt;"",AF2&lt;&gt;""),ROUNDUP((AF2-AE2)/7,0),"")</f>
        <v/>
      </c>
      <c r="AI2" t="str">
        <f t="shared" ref="AI2:AI65" si="1">IFERROR(IF(AG2*AH2=0,"",AG2*AH2),"")</f>
        <v/>
      </c>
      <c r="AL2" t="str">
        <f t="shared" ref="AL2:AL65" si="2">IF(AND(AJ2&lt;&gt;"",AK2&lt;&gt;""),ROUNDUP((AK2-AJ2)/7,0),"")</f>
        <v/>
      </c>
      <c r="AN2" t="str">
        <f t="shared" ref="AN2:AN65" si="3">IFERROR(IF(AL2*AM2=0,"",AL2*AM2),"")</f>
        <v/>
      </c>
      <c r="AQ2" t="str">
        <f t="shared" ref="AQ2:AQ65" si="4">IF(AND(AO2&lt;&gt;"",AP2&lt;&gt;""),ROUNDUP((AP2-AO2)/7,0),"")</f>
        <v/>
      </c>
      <c r="AR2" t="str">
        <f t="shared" ref="AR2:AR65" si="5">IFERROR(IF((AU2-(AI2+AN2))/AQ2=0,"",ROUNDUP((AU2-(AI2+AN2))/AQ2,0)),"")</f>
        <v/>
      </c>
      <c r="AS2" t="str">
        <f t="shared" ref="AS2:AS65" si="6">IFERROR(IF((AU2-(AI2+AN2))=0,"",(AU2-(AI2+AN2))),"")</f>
        <v/>
      </c>
      <c r="AT2" t="str">
        <f t="shared" ref="AT2:AT65" si="7">IF(AND(AG2="",AQ2=""),AL2,IF(SUM(AG2,AL2,AQ2)=0,"",SUM(AG2,AL2,AQ2)))</f>
        <v/>
      </c>
      <c r="BG2" t="str">
        <f t="shared" ref="BG2:BG65" si="8">IF(AD2="","",YEAR(AD2)+IF(MONTH(AD2)&gt;=5,1,0))</f>
        <v/>
      </c>
      <c r="BH2" t="str">
        <f t="shared" ref="BH2:BH65" si="9">IF(AD2="","",IF(AND(MONTH(AD2)=8,DAY(AD2)&gt;=15),"Fall",IF(MONTH(AD2)&gt;8,"Fall",IF(MONTH(AD2)=5,"Summer",IF(MONTH(AD2)=1,"Spring","")))))</f>
        <v/>
      </c>
      <c r="BL2" t="str">
        <f>IFERROR(INDEX(_names_lookup!$C:$C,MATCH(BK2,_names_lookup!$A:$A,0)),"")</f>
        <v/>
      </c>
      <c r="BM2" t="str">
        <f>IFERROR(INDEX(_names_lookup!$B:$B,MATCH(BK2,_names_lookup!$A:$A,0)),"")</f>
        <v/>
      </c>
      <c r="BS2" t="str">
        <f t="shared" ref="BS2:BS65" si="10">IFERROR(IF(BR2*AA2=0,"",BR2*AA2),"")</f>
        <v/>
      </c>
    </row>
    <row r="3" spans="1:121" x14ac:dyDescent="0.2">
      <c r="O3" t="str">
        <f>IFERROR(INDEX(_courses_lookup!$C:$C,MATCH(K3&amp;L3,_courses_lookup!$E:$E,0)),"")</f>
        <v/>
      </c>
      <c r="P3" t="str">
        <f>IFERROR(INDEX(_courses_lookup!$D:$D,MATCH(K3&amp;L3,_courses_lookup!$E:$E,0)),"")</f>
        <v/>
      </c>
      <c r="AG3" t="str">
        <f t="shared" si="0"/>
        <v/>
      </c>
      <c r="AI3" t="str">
        <f t="shared" si="1"/>
        <v/>
      </c>
      <c r="AL3" t="str">
        <f t="shared" si="2"/>
        <v/>
      </c>
      <c r="AN3" t="str">
        <f t="shared" si="3"/>
        <v/>
      </c>
      <c r="AQ3" t="str">
        <f t="shared" si="4"/>
        <v/>
      </c>
      <c r="AR3" t="str">
        <f t="shared" si="5"/>
        <v/>
      </c>
      <c r="AS3" t="str">
        <f t="shared" si="6"/>
        <v/>
      </c>
      <c r="AT3" t="str">
        <f t="shared" si="7"/>
        <v/>
      </c>
      <c r="BG3" t="str">
        <f t="shared" si="8"/>
        <v/>
      </c>
      <c r="BH3" t="str">
        <f t="shared" si="9"/>
        <v/>
      </c>
      <c r="BL3" t="str">
        <f>IFERROR(INDEX(_names_lookup!$C:$C,MATCH(BK3,_names_lookup!$A:$A,0)),"")</f>
        <v/>
      </c>
      <c r="BM3" t="str">
        <f>IFERROR(INDEX(_names_lookup!$B:$B,MATCH(BK3,_names_lookup!$A:$A,0)),"")</f>
        <v/>
      </c>
      <c r="BS3" t="str">
        <f t="shared" si="10"/>
        <v/>
      </c>
    </row>
    <row r="4" spans="1:121" x14ac:dyDescent="0.2">
      <c r="O4" t="str">
        <f>IFERROR(INDEX(_courses_lookup!$C:$C,MATCH(K4&amp;L4,_courses_lookup!$E:$E,0)),"")</f>
        <v/>
      </c>
      <c r="P4" t="str">
        <f>IFERROR(INDEX(_courses_lookup!$D:$D,MATCH(K4&amp;L4,_courses_lookup!$E:$E,0)),"")</f>
        <v/>
      </c>
      <c r="AG4" t="str">
        <f t="shared" si="0"/>
        <v/>
      </c>
      <c r="AI4" t="str">
        <f t="shared" si="1"/>
        <v/>
      </c>
      <c r="AL4" t="str">
        <f t="shared" si="2"/>
        <v/>
      </c>
      <c r="AN4" t="str">
        <f t="shared" si="3"/>
        <v/>
      </c>
      <c r="AQ4" t="str">
        <f t="shared" si="4"/>
        <v/>
      </c>
      <c r="AR4" t="str">
        <f t="shared" si="5"/>
        <v/>
      </c>
      <c r="AS4" t="str">
        <f t="shared" si="6"/>
        <v/>
      </c>
      <c r="AT4" t="str">
        <f t="shared" si="7"/>
        <v/>
      </c>
      <c r="BG4" t="str">
        <f t="shared" si="8"/>
        <v/>
      </c>
      <c r="BH4" t="str">
        <f t="shared" si="9"/>
        <v/>
      </c>
      <c r="BL4" t="str">
        <f>IFERROR(INDEX(_names_lookup!$C:$C,MATCH(BK4,_names_lookup!$A:$A,0)),"")</f>
        <v/>
      </c>
      <c r="BM4" t="str">
        <f>IFERROR(INDEX(_names_lookup!$B:$B,MATCH(BK4,_names_lookup!$A:$A,0)),"")</f>
        <v/>
      </c>
      <c r="BS4" t="str">
        <f t="shared" si="10"/>
        <v/>
      </c>
    </row>
    <row r="5" spans="1:121" x14ac:dyDescent="0.2">
      <c r="O5" t="str">
        <f>IFERROR(INDEX(_courses_lookup!$C:$C,MATCH(K5&amp;L5,_courses_lookup!$E:$E,0)),"")</f>
        <v/>
      </c>
      <c r="P5" t="str">
        <f>IFERROR(INDEX(_courses_lookup!$D:$D,MATCH(K5&amp;L5,_courses_lookup!$E:$E,0)),"")</f>
        <v/>
      </c>
      <c r="AG5" t="str">
        <f t="shared" si="0"/>
        <v/>
      </c>
      <c r="AI5" t="str">
        <f t="shared" si="1"/>
        <v/>
      </c>
      <c r="AL5" t="str">
        <f t="shared" si="2"/>
        <v/>
      </c>
      <c r="AN5" t="str">
        <f t="shared" si="3"/>
        <v/>
      </c>
      <c r="AQ5" t="str">
        <f t="shared" si="4"/>
        <v/>
      </c>
      <c r="AR5" t="str">
        <f t="shared" si="5"/>
        <v/>
      </c>
      <c r="AS5" t="str">
        <f t="shared" si="6"/>
        <v/>
      </c>
      <c r="AT5" t="str">
        <f t="shared" si="7"/>
        <v/>
      </c>
      <c r="BG5" t="str">
        <f t="shared" si="8"/>
        <v/>
      </c>
      <c r="BH5" t="str">
        <f t="shared" si="9"/>
        <v/>
      </c>
      <c r="BL5" t="str">
        <f>IFERROR(INDEX(_names_lookup!$C:$C,MATCH(BK5,_names_lookup!$A:$A,0)),"")</f>
        <v/>
      </c>
      <c r="BM5" t="str">
        <f>IFERROR(INDEX(_names_lookup!$B:$B,MATCH(BK5,_names_lookup!$A:$A,0)),"")</f>
        <v/>
      </c>
      <c r="BS5" t="str">
        <f t="shared" si="10"/>
        <v/>
      </c>
    </row>
    <row r="6" spans="1:121" x14ac:dyDescent="0.2">
      <c r="O6" t="str">
        <f>IFERROR(INDEX(_courses_lookup!$C:$C,MATCH(K6&amp;L6,_courses_lookup!$E:$E,0)),"")</f>
        <v/>
      </c>
      <c r="P6" t="str">
        <f>IFERROR(INDEX(_courses_lookup!$D:$D,MATCH(K6&amp;L6,_courses_lookup!$E:$E,0)),"")</f>
        <v/>
      </c>
      <c r="AG6" t="str">
        <f t="shared" si="0"/>
        <v/>
      </c>
      <c r="AI6" t="str">
        <f t="shared" si="1"/>
        <v/>
      </c>
      <c r="AL6" t="str">
        <f t="shared" si="2"/>
        <v/>
      </c>
      <c r="AN6" t="str">
        <f t="shared" si="3"/>
        <v/>
      </c>
      <c r="AQ6" t="str">
        <f t="shared" si="4"/>
        <v/>
      </c>
      <c r="AR6" t="str">
        <f t="shared" si="5"/>
        <v/>
      </c>
      <c r="AS6" t="str">
        <f t="shared" si="6"/>
        <v/>
      </c>
      <c r="AT6" t="str">
        <f t="shared" si="7"/>
        <v/>
      </c>
      <c r="BG6" t="str">
        <f t="shared" si="8"/>
        <v/>
      </c>
      <c r="BH6" t="str">
        <f t="shared" si="9"/>
        <v/>
      </c>
      <c r="BL6" t="str">
        <f>IFERROR(INDEX(_names_lookup!$C:$C,MATCH(BK6,_names_lookup!$A:$A,0)),"")</f>
        <v/>
      </c>
      <c r="BM6" t="str">
        <f>IFERROR(INDEX(_names_lookup!$B:$B,MATCH(BK6,_names_lookup!$A:$A,0)),"")</f>
        <v/>
      </c>
      <c r="BS6" t="str">
        <f t="shared" si="10"/>
        <v/>
      </c>
    </row>
    <row r="7" spans="1:121" x14ac:dyDescent="0.2">
      <c r="O7" t="str">
        <f>IFERROR(INDEX(_courses_lookup!$C:$C,MATCH(K7&amp;L7,_courses_lookup!$E:$E,0)),"")</f>
        <v/>
      </c>
      <c r="P7" t="str">
        <f>IFERROR(INDEX(_courses_lookup!$D:$D,MATCH(K7&amp;L7,_courses_lookup!$E:$E,0)),"")</f>
        <v/>
      </c>
      <c r="AG7" t="str">
        <f t="shared" si="0"/>
        <v/>
      </c>
      <c r="AI7" t="str">
        <f t="shared" si="1"/>
        <v/>
      </c>
      <c r="AL7" t="str">
        <f t="shared" si="2"/>
        <v/>
      </c>
      <c r="AN7" t="str">
        <f t="shared" si="3"/>
        <v/>
      </c>
      <c r="AQ7" t="str">
        <f t="shared" si="4"/>
        <v/>
      </c>
      <c r="AR7" t="str">
        <f t="shared" si="5"/>
        <v/>
      </c>
      <c r="AS7" t="str">
        <f t="shared" si="6"/>
        <v/>
      </c>
      <c r="AT7" t="str">
        <f t="shared" si="7"/>
        <v/>
      </c>
      <c r="BG7" t="str">
        <f t="shared" si="8"/>
        <v/>
      </c>
      <c r="BH7" t="str">
        <f t="shared" si="9"/>
        <v/>
      </c>
      <c r="BL7" t="str">
        <f>IFERROR(INDEX(_names_lookup!$C:$C,MATCH(BK7,_names_lookup!$A:$A,0)),"")</f>
        <v/>
      </c>
      <c r="BM7" t="str">
        <f>IFERROR(INDEX(_names_lookup!$B:$B,MATCH(BK7,_names_lookup!$A:$A,0)),"")</f>
        <v/>
      </c>
      <c r="BS7" t="str">
        <f t="shared" si="10"/>
        <v/>
      </c>
    </row>
    <row r="8" spans="1:121" x14ac:dyDescent="0.2">
      <c r="O8" t="str">
        <f>IFERROR(INDEX(_courses_lookup!$C:$C,MATCH(K8&amp;L8,_courses_lookup!$E:$E,0)),"")</f>
        <v/>
      </c>
      <c r="P8" t="str">
        <f>IFERROR(INDEX(_courses_lookup!$D:$D,MATCH(K8&amp;L8,_courses_lookup!$E:$E,0)),"")</f>
        <v/>
      </c>
      <c r="AG8" t="str">
        <f t="shared" si="0"/>
        <v/>
      </c>
      <c r="AI8" t="str">
        <f t="shared" si="1"/>
        <v/>
      </c>
      <c r="AL8" t="str">
        <f t="shared" si="2"/>
        <v/>
      </c>
      <c r="AN8" t="str">
        <f t="shared" si="3"/>
        <v/>
      </c>
      <c r="AQ8" t="str">
        <f t="shared" si="4"/>
        <v/>
      </c>
      <c r="AR8" t="str">
        <f t="shared" si="5"/>
        <v/>
      </c>
      <c r="AS8" t="str">
        <f t="shared" si="6"/>
        <v/>
      </c>
      <c r="AT8" t="str">
        <f t="shared" si="7"/>
        <v/>
      </c>
      <c r="BG8" t="str">
        <f t="shared" si="8"/>
        <v/>
      </c>
      <c r="BH8" t="str">
        <f t="shared" si="9"/>
        <v/>
      </c>
      <c r="BL8" t="str">
        <f>IFERROR(INDEX(_names_lookup!$C:$C,MATCH(BK8,_names_lookup!$A:$A,0)),"")</f>
        <v/>
      </c>
      <c r="BM8" t="str">
        <f>IFERROR(INDEX(_names_lookup!$B:$B,MATCH(BK8,_names_lookup!$A:$A,0)),"")</f>
        <v/>
      </c>
      <c r="BS8" t="str">
        <f t="shared" si="10"/>
        <v/>
      </c>
    </row>
    <row r="9" spans="1:121" x14ac:dyDescent="0.2">
      <c r="O9" t="str">
        <f>IFERROR(INDEX(_courses_lookup!$C:$C,MATCH(K9&amp;L9,_courses_lookup!$E:$E,0)),"")</f>
        <v/>
      </c>
      <c r="P9" t="str">
        <f>IFERROR(INDEX(_courses_lookup!$D:$D,MATCH(K9&amp;L9,_courses_lookup!$E:$E,0)),"")</f>
        <v/>
      </c>
      <c r="AG9" t="str">
        <f t="shared" si="0"/>
        <v/>
      </c>
      <c r="AI9" t="str">
        <f t="shared" si="1"/>
        <v/>
      </c>
      <c r="AL9" t="str">
        <f t="shared" si="2"/>
        <v/>
      </c>
      <c r="AN9" t="str">
        <f t="shared" si="3"/>
        <v/>
      </c>
      <c r="AQ9" t="str">
        <f t="shared" si="4"/>
        <v/>
      </c>
      <c r="AR9" t="str">
        <f t="shared" si="5"/>
        <v/>
      </c>
      <c r="AS9" t="str">
        <f t="shared" si="6"/>
        <v/>
      </c>
      <c r="AT9" t="str">
        <f t="shared" si="7"/>
        <v/>
      </c>
      <c r="BG9" t="str">
        <f t="shared" si="8"/>
        <v/>
      </c>
      <c r="BH9" t="str">
        <f t="shared" si="9"/>
        <v/>
      </c>
      <c r="BL9" t="str">
        <f>IFERROR(INDEX(_names_lookup!$C:$C,MATCH(BK9,_names_lookup!$A:$A,0)),"")</f>
        <v/>
      </c>
      <c r="BM9" t="str">
        <f>IFERROR(INDEX(_names_lookup!$B:$B,MATCH(BK9,_names_lookup!$A:$A,0)),"")</f>
        <v/>
      </c>
      <c r="BS9" t="str">
        <f t="shared" si="10"/>
        <v/>
      </c>
    </row>
    <row r="10" spans="1:121" x14ac:dyDescent="0.2">
      <c r="O10" t="str">
        <f>IFERROR(INDEX(_courses_lookup!$C:$C,MATCH(K10&amp;L10,_courses_lookup!$E:$E,0)),"")</f>
        <v/>
      </c>
      <c r="P10" t="str">
        <f>IFERROR(INDEX(_courses_lookup!$D:$D,MATCH(K10&amp;L10,_courses_lookup!$E:$E,0)),"")</f>
        <v/>
      </c>
      <c r="AG10" t="str">
        <f t="shared" si="0"/>
        <v/>
      </c>
      <c r="AI10" t="str">
        <f t="shared" si="1"/>
        <v/>
      </c>
      <c r="AL10" t="str">
        <f t="shared" si="2"/>
        <v/>
      </c>
      <c r="AN10" t="str">
        <f t="shared" si="3"/>
        <v/>
      </c>
      <c r="AQ10" t="str">
        <f t="shared" si="4"/>
        <v/>
      </c>
      <c r="AR10" t="str">
        <f t="shared" si="5"/>
        <v/>
      </c>
      <c r="AS10" t="str">
        <f t="shared" si="6"/>
        <v/>
      </c>
      <c r="AT10" t="str">
        <f t="shared" si="7"/>
        <v/>
      </c>
      <c r="BG10" t="str">
        <f t="shared" si="8"/>
        <v/>
      </c>
      <c r="BH10" t="str">
        <f t="shared" si="9"/>
        <v/>
      </c>
      <c r="BL10" t="str">
        <f>IFERROR(INDEX(_names_lookup!$C:$C,MATCH(BK10,_names_lookup!$A:$A,0)),"")</f>
        <v/>
      </c>
      <c r="BM10" t="str">
        <f>IFERROR(INDEX(_names_lookup!$B:$B,MATCH(BK10,_names_lookup!$A:$A,0)),"")</f>
        <v/>
      </c>
      <c r="BS10" t="str">
        <f t="shared" si="10"/>
        <v/>
      </c>
    </row>
    <row r="11" spans="1:121" x14ac:dyDescent="0.2">
      <c r="O11" t="str">
        <f>IFERROR(INDEX(_courses_lookup!$C:$C,MATCH(K11&amp;L11,_courses_lookup!$E:$E,0)),"")</f>
        <v/>
      </c>
      <c r="P11" t="str">
        <f>IFERROR(INDEX(_courses_lookup!$D:$D,MATCH(K11&amp;L11,_courses_lookup!$E:$E,0)),"")</f>
        <v/>
      </c>
      <c r="AG11" t="str">
        <f t="shared" si="0"/>
        <v/>
      </c>
      <c r="AI11" t="str">
        <f t="shared" si="1"/>
        <v/>
      </c>
      <c r="AL11" t="str">
        <f t="shared" si="2"/>
        <v/>
      </c>
      <c r="AN11" t="str">
        <f t="shared" si="3"/>
        <v/>
      </c>
      <c r="AQ11" t="str">
        <f t="shared" si="4"/>
        <v/>
      </c>
      <c r="AR11" t="str">
        <f t="shared" si="5"/>
        <v/>
      </c>
      <c r="AS11" t="str">
        <f t="shared" si="6"/>
        <v/>
      </c>
      <c r="AT11" t="str">
        <f t="shared" si="7"/>
        <v/>
      </c>
      <c r="BG11" t="str">
        <f t="shared" si="8"/>
        <v/>
      </c>
      <c r="BH11" t="str">
        <f t="shared" si="9"/>
        <v/>
      </c>
      <c r="BL11" t="str">
        <f>IFERROR(INDEX(_names_lookup!$C:$C,MATCH(BK11,_names_lookup!$A:$A,0)),"")</f>
        <v/>
      </c>
      <c r="BM11" t="str">
        <f>IFERROR(INDEX(_names_lookup!$B:$B,MATCH(BK11,_names_lookup!$A:$A,0)),"")</f>
        <v/>
      </c>
      <c r="BS11" t="str">
        <f t="shared" si="10"/>
        <v/>
      </c>
    </row>
    <row r="12" spans="1:121" x14ac:dyDescent="0.2">
      <c r="O12" t="str">
        <f>IFERROR(INDEX(_courses_lookup!$C:$C,MATCH(K12&amp;L12,_courses_lookup!$E:$E,0)),"")</f>
        <v/>
      </c>
      <c r="P12" t="str">
        <f>IFERROR(INDEX(_courses_lookup!$D:$D,MATCH(K12&amp;L12,_courses_lookup!$E:$E,0)),"")</f>
        <v/>
      </c>
      <c r="AG12" t="str">
        <f t="shared" si="0"/>
        <v/>
      </c>
      <c r="AI12" t="str">
        <f t="shared" si="1"/>
        <v/>
      </c>
      <c r="AL12" t="str">
        <f t="shared" si="2"/>
        <v/>
      </c>
      <c r="AN12" t="str">
        <f t="shared" si="3"/>
        <v/>
      </c>
      <c r="AQ12" t="str">
        <f t="shared" si="4"/>
        <v/>
      </c>
      <c r="AR12" t="str">
        <f t="shared" si="5"/>
        <v/>
      </c>
      <c r="AS12" t="str">
        <f t="shared" si="6"/>
        <v/>
      </c>
      <c r="AT12" t="str">
        <f t="shared" si="7"/>
        <v/>
      </c>
      <c r="BG12" t="str">
        <f t="shared" si="8"/>
        <v/>
      </c>
      <c r="BH12" t="str">
        <f t="shared" si="9"/>
        <v/>
      </c>
      <c r="BL12" t="str">
        <f>IFERROR(INDEX(_names_lookup!$C:$C,MATCH(BK12,_names_lookup!$A:$A,0)),"")</f>
        <v/>
      </c>
      <c r="BM12" t="str">
        <f>IFERROR(INDEX(_names_lookup!$B:$B,MATCH(BK12,_names_lookup!$A:$A,0)),"")</f>
        <v/>
      </c>
      <c r="BS12" t="str">
        <f t="shared" si="10"/>
        <v/>
      </c>
    </row>
    <row r="13" spans="1:121" x14ac:dyDescent="0.2">
      <c r="O13" t="str">
        <f>IFERROR(INDEX(_courses_lookup!$C:$C,MATCH(K13&amp;L13,_courses_lookup!$E:$E,0)),"")</f>
        <v/>
      </c>
      <c r="P13" t="str">
        <f>IFERROR(INDEX(_courses_lookup!$D:$D,MATCH(K13&amp;L13,_courses_lookup!$E:$E,0)),"")</f>
        <v/>
      </c>
      <c r="AG13" t="str">
        <f t="shared" si="0"/>
        <v/>
      </c>
      <c r="AI13" t="str">
        <f t="shared" si="1"/>
        <v/>
      </c>
      <c r="AL13" t="str">
        <f t="shared" si="2"/>
        <v/>
      </c>
      <c r="AN13" t="str">
        <f t="shared" si="3"/>
        <v/>
      </c>
      <c r="AQ13" t="str">
        <f t="shared" si="4"/>
        <v/>
      </c>
      <c r="AR13" t="str">
        <f t="shared" si="5"/>
        <v/>
      </c>
      <c r="AS13" t="str">
        <f t="shared" si="6"/>
        <v/>
      </c>
      <c r="AT13" t="str">
        <f t="shared" si="7"/>
        <v/>
      </c>
      <c r="BG13" t="str">
        <f t="shared" si="8"/>
        <v/>
      </c>
      <c r="BH13" t="str">
        <f t="shared" si="9"/>
        <v/>
      </c>
      <c r="BL13" t="str">
        <f>IFERROR(INDEX(_names_lookup!$C:$C,MATCH(BK13,_names_lookup!$A:$A,0)),"")</f>
        <v/>
      </c>
      <c r="BM13" t="str">
        <f>IFERROR(INDEX(_names_lookup!$B:$B,MATCH(BK13,_names_lookup!$A:$A,0)),"")</f>
        <v/>
      </c>
      <c r="BS13" t="str">
        <f t="shared" si="10"/>
        <v/>
      </c>
    </row>
    <row r="14" spans="1:121" x14ac:dyDescent="0.2">
      <c r="O14" t="str">
        <f>IFERROR(INDEX(_courses_lookup!$C:$C,MATCH(K14&amp;L14,_courses_lookup!$E:$E,0)),"")</f>
        <v/>
      </c>
      <c r="P14" t="str">
        <f>IFERROR(INDEX(_courses_lookup!$D:$D,MATCH(K14&amp;L14,_courses_lookup!$E:$E,0)),"")</f>
        <v/>
      </c>
      <c r="AG14" t="str">
        <f t="shared" si="0"/>
        <v/>
      </c>
      <c r="AI14" t="str">
        <f t="shared" si="1"/>
        <v/>
      </c>
      <c r="AL14" t="str">
        <f t="shared" si="2"/>
        <v/>
      </c>
      <c r="AN14" t="str">
        <f t="shared" si="3"/>
        <v/>
      </c>
      <c r="AQ14" t="str">
        <f t="shared" si="4"/>
        <v/>
      </c>
      <c r="AR14" t="str">
        <f t="shared" si="5"/>
        <v/>
      </c>
      <c r="AS14" t="str">
        <f t="shared" si="6"/>
        <v/>
      </c>
      <c r="AT14" t="str">
        <f t="shared" si="7"/>
        <v/>
      </c>
      <c r="BG14" t="str">
        <f t="shared" si="8"/>
        <v/>
      </c>
      <c r="BH14" t="str">
        <f t="shared" si="9"/>
        <v/>
      </c>
      <c r="BL14" t="str">
        <f>IFERROR(INDEX(_names_lookup!$C:$C,MATCH(BK14,_names_lookup!$A:$A,0)),"")</f>
        <v/>
      </c>
      <c r="BM14" t="str">
        <f>IFERROR(INDEX(_names_lookup!$B:$B,MATCH(BK14,_names_lookup!$A:$A,0)),"")</f>
        <v/>
      </c>
      <c r="BS14" t="str">
        <f t="shared" si="10"/>
        <v/>
      </c>
    </row>
    <row r="15" spans="1:121" x14ac:dyDescent="0.2">
      <c r="O15" t="str">
        <f>IFERROR(INDEX(_courses_lookup!$C:$C,MATCH(K15&amp;L15,_courses_lookup!$E:$E,0)),"")</f>
        <v/>
      </c>
      <c r="P15" t="str">
        <f>IFERROR(INDEX(_courses_lookup!$D:$D,MATCH(K15&amp;L15,_courses_lookup!$E:$E,0)),"")</f>
        <v/>
      </c>
      <c r="AG15" t="str">
        <f t="shared" si="0"/>
        <v/>
      </c>
      <c r="AI15" t="str">
        <f t="shared" si="1"/>
        <v/>
      </c>
      <c r="AL15" t="str">
        <f t="shared" si="2"/>
        <v/>
      </c>
      <c r="AN15" t="str">
        <f t="shared" si="3"/>
        <v/>
      </c>
      <c r="AQ15" t="str">
        <f t="shared" si="4"/>
        <v/>
      </c>
      <c r="AR15" t="str">
        <f t="shared" si="5"/>
        <v/>
      </c>
      <c r="AS15" t="str">
        <f t="shared" si="6"/>
        <v/>
      </c>
      <c r="AT15" t="str">
        <f t="shared" si="7"/>
        <v/>
      </c>
      <c r="BG15" t="str">
        <f t="shared" si="8"/>
        <v/>
      </c>
      <c r="BH15" t="str">
        <f t="shared" si="9"/>
        <v/>
      </c>
      <c r="BL15" t="str">
        <f>IFERROR(INDEX(_names_lookup!$C:$C,MATCH(BK15,_names_lookup!$A:$A,0)),"")</f>
        <v/>
      </c>
      <c r="BM15" t="str">
        <f>IFERROR(INDEX(_names_lookup!$B:$B,MATCH(BK15,_names_lookup!$A:$A,0)),"")</f>
        <v/>
      </c>
      <c r="BS15" t="str">
        <f t="shared" si="10"/>
        <v/>
      </c>
    </row>
    <row r="16" spans="1:121" x14ac:dyDescent="0.2">
      <c r="O16" t="str">
        <f>IFERROR(INDEX(_courses_lookup!$C:$C,MATCH(K16&amp;L16,_courses_lookup!$E:$E,0)),"")</f>
        <v/>
      </c>
      <c r="P16" t="str">
        <f>IFERROR(INDEX(_courses_lookup!$D:$D,MATCH(K16&amp;L16,_courses_lookup!$E:$E,0)),"")</f>
        <v/>
      </c>
      <c r="AG16" t="str">
        <f t="shared" si="0"/>
        <v/>
      </c>
      <c r="AI16" t="str">
        <f t="shared" si="1"/>
        <v/>
      </c>
      <c r="AL16" t="str">
        <f t="shared" si="2"/>
        <v/>
      </c>
      <c r="AN16" t="str">
        <f t="shared" si="3"/>
        <v/>
      </c>
      <c r="AQ16" t="str">
        <f t="shared" si="4"/>
        <v/>
      </c>
      <c r="AR16" t="str">
        <f t="shared" si="5"/>
        <v/>
      </c>
      <c r="AS16" t="str">
        <f t="shared" si="6"/>
        <v/>
      </c>
      <c r="AT16" t="str">
        <f t="shared" si="7"/>
        <v/>
      </c>
      <c r="BG16" t="str">
        <f t="shared" si="8"/>
        <v/>
      </c>
      <c r="BH16" t="str">
        <f t="shared" si="9"/>
        <v/>
      </c>
      <c r="BL16" t="str">
        <f>IFERROR(INDEX(_names_lookup!$C:$C,MATCH(BK16,_names_lookup!$A:$A,0)),"")</f>
        <v/>
      </c>
      <c r="BM16" t="str">
        <f>IFERROR(INDEX(_names_lookup!$B:$B,MATCH(BK16,_names_lookup!$A:$A,0)),"")</f>
        <v/>
      </c>
      <c r="BS16" t="str">
        <f t="shared" si="10"/>
        <v/>
      </c>
    </row>
    <row r="17" spans="15:71" x14ac:dyDescent="0.2">
      <c r="O17" t="str">
        <f>IFERROR(INDEX(_courses_lookup!$C:$C,MATCH(K17&amp;L17,_courses_lookup!$E:$E,0)),"")</f>
        <v/>
      </c>
      <c r="P17" t="str">
        <f>IFERROR(INDEX(_courses_lookup!$D:$D,MATCH(K17&amp;L17,_courses_lookup!$E:$E,0)),"")</f>
        <v/>
      </c>
      <c r="AG17" t="str">
        <f t="shared" si="0"/>
        <v/>
      </c>
      <c r="AI17" t="str">
        <f t="shared" si="1"/>
        <v/>
      </c>
      <c r="AL17" t="str">
        <f t="shared" si="2"/>
        <v/>
      </c>
      <c r="AN17" t="str">
        <f t="shared" si="3"/>
        <v/>
      </c>
      <c r="AQ17" t="str">
        <f t="shared" si="4"/>
        <v/>
      </c>
      <c r="AR17" t="str">
        <f t="shared" si="5"/>
        <v/>
      </c>
      <c r="AS17" t="str">
        <f t="shared" si="6"/>
        <v/>
      </c>
      <c r="AT17" t="str">
        <f t="shared" si="7"/>
        <v/>
      </c>
      <c r="BG17" t="str">
        <f t="shared" si="8"/>
        <v/>
      </c>
      <c r="BH17" t="str">
        <f t="shared" si="9"/>
        <v/>
      </c>
      <c r="BL17" t="str">
        <f>IFERROR(INDEX(_names_lookup!$C:$C,MATCH(BK17,_names_lookup!$A:$A,0)),"")</f>
        <v/>
      </c>
      <c r="BM17" t="str">
        <f>IFERROR(INDEX(_names_lookup!$B:$B,MATCH(BK17,_names_lookup!$A:$A,0)),"")</f>
        <v/>
      </c>
      <c r="BS17" t="str">
        <f t="shared" si="10"/>
        <v/>
      </c>
    </row>
    <row r="18" spans="15:71" x14ac:dyDescent="0.2">
      <c r="O18" t="str">
        <f>IFERROR(INDEX(_courses_lookup!$C:$C,MATCH(K18&amp;L18,_courses_lookup!$E:$E,0)),"")</f>
        <v/>
      </c>
      <c r="P18" t="str">
        <f>IFERROR(INDEX(_courses_lookup!$D:$D,MATCH(K18&amp;L18,_courses_lookup!$E:$E,0)),"")</f>
        <v/>
      </c>
      <c r="AG18" t="str">
        <f t="shared" si="0"/>
        <v/>
      </c>
      <c r="AI18" t="str">
        <f t="shared" si="1"/>
        <v/>
      </c>
      <c r="AL18" t="str">
        <f t="shared" si="2"/>
        <v/>
      </c>
      <c r="AN18" t="str">
        <f t="shared" si="3"/>
        <v/>
      </c>
      <c r="AQ18" t="str">
        <f t="shared" si="4"/>
        <v/>
      </c>
      <c r="AR18" t="str">
        <f t="shared" si="5"/>
        <v/>
      </c>
      <c r="AS18" t="str">
        <f t="shared" si="6"/>
        <v/>
      </c>
      <c r="AT18" t="str">
        <f t="shared" si="7"/>
        <v/>
      </c>
      <c r="BG18" t="str">
        <f t="shared" si="8"/>
        <v/>
      </c>
      <c r="BH18" t="str">
        <f t="shared" si="9"/>
        <v/>
      </c>
      <c r="BL18" t="str">
        <f>IFERROR(INDEX(_names_lookup!$C:$C,MATCH(BK18,_names_lookup!$A:$A,0)),"")</f>
        <v/>
      </c>
      <c r="BM18" t="str">
        <f>IFERROR(INDEX(_names_lookup!$B:$B,MATCH(BK18,_names_lookup!$A:$A,0)),"")</f>
        <v/>
      </c>
      <c r="BS18" t="str">
        <f t="shared" si="10"/>
        <v/>
      </c>
    </row>
    <row r="19" spans="15:71" x14ac:dyDescent="0.2">
      <c r="O19" t="str">
        <f>IFERROR(INDEX(_courses_lookup!$C:$C,MATCH(K19&amp;L19,_courses_lookup!$E:$E,0)),"")</f>
        <v/>
      </c>
      <c r="P19" t="str">
        <f>IFERROR(INDEX(_courses_lookup!$D:$D,MATCH(K19&amp;L19,_courses_lookup!$E:$E,0)),"")</f>
        <v/>
      </c>
      <c r="AG19" t="str">
        <f t="shared" si="0"/>
        <v/>
      </c>
      <c r="AI19" t="str">
        <f t="shared" si="1"/>
        <v/>
      </c>
      <c r="AL19" t="str">
        <f t="shared" si="2"/>
        <v/>
      </c>
      <c r="AN19" t="str">
        <f t="shared" si="3"/>
        <v/>
      </c>
      <c r="AQ19" t="str">
        <f t="shared" si="4"/>
        <v/>
      </c>
      <c r="AR19" t="str">
        <f t="shared" si="5"/>
        <v/>
      </c>
      <c r="AS19" t="str">
        <f t="shared" si="6"/>
        <v/>
      </c>
      <c r="AT19" t="str">
        <f t="shared" si="7"/>
        <v/>
      </c>
      <c r="BG19" t="str">
        <f t="shared" si="8"/>
        <v/>
      </c>
      <c r="BH19" t="str">
        <f t="shared" si="9"/>
        <v/>
      </c>
      <c r="BL19" t="str">
        <f>IFERROR(INDEX(_names_lookup!$C:$C,MATCH(BK19,_names_lookup!$A:$A,0)),"")</f>
        <v/>
      </c>
      <c r="BM19" t="str">
        <f>IFERROR(INDEX(_names_lookup!$B:$B,MATCH(BK19,_names_lookup!$A:$A,0)),"")</f>
        <v/>
      </c>
      <c r="BS19" t="str">
        <f t="shared" si="10"/>
        <v/>
      </c>
    </row>
    <row r="20" spans="15:71" x14ac:dyDescent="0.2">
      <c r="O20" t="str">
        <f>IFERROR(INDEX(_courses_lookup!$C:$C,MATCH(K20&amp;L20,_courses_lookup!$E:$E,0)),"")</f>
        <v/>
      </c>
      <c r="P20" t="str">
        <f>IFERROR(INDEX(_courses_lookup!$D:$D,MATCH(K20&amp;L20,_courses_lookup!$E:$E,0)),"")</f>
        <v/>
      </c>
      <c r="AG20" t="str">
        <f t="shared" si="0"/>
        <v/>
      </c>
      <c r="AI20" t="str">
        <f t="shared" si="1"/>
        <v/>
      </c>
      <c r="AL20" t="str">
        <f t="shared" si="2"/>
        <v/>
      </c>
      <c r="AN20" t="str">
        <f t="shared" si="3"/>
        <v/>
      </c>
      <c r="AQ20" t="str">
        <f t="shared" si="4"/>
        <v/>
      </c>
      <c r="AR20" t="str">
        <f t="shared" si="5"/>
        <v/>
      </c>
      <c r="AS20" t="str">
        <f t="shared" si="6"/>
        <v/>
      </c>
      <c r="AT20" t="str">
        <f t="shared" si="7"/>
        <v/>
      </c>
      <c r="BG20" t="str">
        <f t="shared" si="8"/>
        <v/>
      </c>
      <c r="BH20" t="str">
        <f t="shared" si="9"/>
        <v/>
      </c>
      <c r="BL20" t="str">
        <f>IFERROR(INDEX(_names_lookup!$C:$C,MATCH(BK20,_names_lookup!$A:$A,0)),"")</f>
        <v/>
      </c>
      <c r="BM20" t="str">
        <f>IFERROR(INDEX(_names_lookup!$B:$B,MATCH(BK20,_names_lookup!$A:$A,0)),"")</f>
        <v/>
      </c>
      <c r="BS20" t="str">
        <f t="shared" si="10"/>
        <v/>
      </c>
    </row>
    <row r="21" spans="15:71" x14ac:dyDescent="0.2">
      <c r="O21" t="str">
        <f>IFERROR(INDEX(_courses_lookup!$C:$C,MATCH(K21&amp;L21,_courses_lookup!$E:$E,0)),"")</f>
        <v/>
      </c>
      <c r="P21" t="str">
        <f>IFERROR(INDEX(_courses_lookup!$D:$D,MATCH(K21&amp;L21,_courses_lookup!$E:$E,0)),"")</f>
        <v/>
      </c>
      <c r="AG21" t="str">
        <f t="shared" si="0"/>
        <v/>
      </c>
      <c r="AI21" t="str">
        <f t="shared" si="1"/>
        <v/>
      </c>
      <c r="AL21" t="str">
        <f t="shared" si="2"/>
        <v/>
      </c>
      <c r="AN21" t="str">
        <f t="shared" si="3"/>
        <v/>
      </c>
      <c r="AQ21" t="str">
        <f t="shared" si="4"/>
        <v/>
      </c>
      <c r="AR21" t="str">
        <f t="shared" si="5"/>
        <v/>
      </c>
      <c r="AS21" t="str">
        <f t="shared" si="6"/>
        <v/>
      </c>
      <c r="AT21" t="str">
        <f t="shared" si="7"/>
        <v/>
      </c>
      <c r="BG21" t="str">
        <f t="shared" si="8"/>
        <v/>
      </c>
      <c r="BH21" t="str">
        <f t="shared" si="9"/>
        <v/>
      </c>
      <c r="BL21" t="str">
        <f>IFERROR(INDEX(_names_lookup!$C:$C,MATCH(BK21,_names_lookup!$A:$A,0)),"")</f>
        <v/>
      </c>
      <c r="BM21" t="str">
        <f>IFERROR(INDEX(_names_lookup!$B:$B,MATCH(BK21,_names_lookup!$A:$A,0)),"")</f>
        <v/>
      </c>
      <c r="BS21" t="str">
        <f t="shared" si="10"/>
        <v/>
      </c>
    </row>
    <row r="22" spans="15:71" x14ac:dyDescent="0.2">
      <c r="O22" t="str">
        <f>IFERROR(INDEX(_courses_lookup!$C:$C,MATCH(K22&amp;L22,_courses_lookup!$E:$E,0)),"")</f>
        <v/>
      </c>
      <c r="P22" t="str">
        <f>IFERROR(INDEX(_courses_lookup!$D:$D,MATCH(K22&amp;L22,_courses_lookup!$E:$E,0)),"")</f>
        <v/>
      </c>
      <c r="AG22" t="str">
        <f t="shared" si="0"/>
        <v/>
      </c>
      <c r="AI22" t="str">
        <f t="shared" si="1"/>
        <v/>
      </c>
      <c r="AL22" t="str">
        <f t="shared" si="2"/>
        <v/>
      </c>
      <c r="AN22" t="str">
        <f t="shared" si="3"/>
        <v/>
      </c>
      <c r="AQ22" t="str">
        <f t="shared" si="4"/>
        <v/>
      </c>
      <c r="AR22" t="str">
        <f t="shared" si="5"/>
        <v/>
      </c>
      <c r="AS22" t="str">
        <f t="shared" si="6"/>
        <v/>
      </c>
      <c r="AT22" t="str">
        <f t="shared" si="7"/>
        <v/>
      </c>
      <c r="BG22" t="str">
        <f t="shared" si="8"/>
        <v/>
      </c>
      <c r="BH22" t="str">
        <f t="shared" si="9"/>
        <v/>
      </c>
      <c r="BL22" t="str">
        <f>IFERROR(INDEX(_names_lookup!$C:$C,MATCH(BK22,_names_lookup!$A:$A,0)),"")</f>
        <v/>
      </c>
      <c r="BM22" t="str">
        <f>IFERROR(INDEX(_names_lookup!$B:$B,MATCH(BK22,_names_lookup!$A:$A,0)),"")</f>
        <v/>
      </c>
      <c r="BS22" t="str">
        <f t="shared" si="10"/>
        <v/>
      </c>
    </row>
    <row r="23" spans="15:71" x14ac:dyDescent="0.2">
      <c r="O23" t="str">
        <f>IFERROR(INDEX(_courses_lookup!$C:$C,MATCH(K23&amp;L23,_courses_lookup!$E:$E,0)),"")</f>
        <v/>
      </c>
      <c r="P23" t="str">
        <f>IFERROR(INDEX(_courses_lookup!$D:$D,MATCH(K23&amp;L23,_courses_lookup!$E:$E,0)),"")</f>
        <v/>
      </c>
      <c r="AG23" t="str">
        <f t="shared" si="0"/>
        <v/>
      </c>
      <c r="AI23" t="str">
        <f t="shared" si="1"/>
        <v/>
      </c>
      <c r="AL23" t="str">
        <f t="shared" si="2"/>
        <v/>
      </c>
      <c r="AN23" t="str">
        <f t="shared" si="3"/>
        <v/>
      </c>
      <c r="AQ23" t="str">
        <f t="shared" si="4"/>
        <v/>
      </c>
      <c r="AR23" t="str">
        <f t="shared" si="5"/>
        <v/>
      </c>
      <c r="AS23" t="str">
        <f t="shared" si="6"/>
        <v/>
      </c>
      <c r="AT23" t="str">
        <f t="shared" si="7"/>
        <v/>
      </c>
      <c r="BG23" t="str">
        <f t="shared" si="8"/>
        <v/>
      </c>
      <c r="BH23" t="str">
        <f t="shared" si="9"/>
        <v/>
      </c>
      <c r="BL23" t="str">
        <f>IFERROR(INDEX(_names_lookup!$C:$C,MATCH(BK23,_names_lookup!$A:$A,0)),"")</f>
        <v/>
      </c>
      <c r="BM23" t="str">
        <f>IFERROR(INDEX(_names_lookup!$B:$B,MATCH(BK23,_names_lookup!$A:$A,0)),"")</f>
        <v/>
      </c>
      <c r="BS23" t="str">
        <f t="shared" si="10"/>
        <v/>
      </c>
    </row>
    <row r="24" spans="15:71" x14ac:dyDescent="0.2">
      <c r="O24" t="str">
        <f>IFERROR(INDEX(_courses_lookup!$C:$C,MATCH(K24&amp;L24,_courses_lookup!$E:$E,0)),"")</f>
        <v/>
      </c>
      <c r="P24" t="str">
        <f>IFERROR(INDEX(_courses_lookup!$D:$D,MATCH(K24&amp;L24,_courses_lookup!$E:$E,0)),"")</f>
        <v/>
      </c>
      <c r="AG24" t="str">
        <f t="shared" si="0"/>
        <v/>
      </c>
      <c r="AI24" t="str">
        <f t="shared" si="1"/>
        <v/>
      </c>
      <c r="AL24" t="str">
        <f t="shared" si="2"/>
        <v/>
      </c>
      <c r="AN24" t="str">
        <f t="shared" si="3"/>
        <v/>
      </c>
      <c r="AQ24" t="str">
        <f t="shared" si="4"/>
        <v/>
      </c>
      <c r="AR24" t="str">
        <f t="shared" si="5"/>
        <v/>
      </c>
      <c r="AS24" t="str">
        <f t="shared" si="6"/>
        <v/>
      </c>
      <c r="AT24" t="str">
        <f t="shared" si="7"/>
        <v/>
      </c>
      <c r="BG24" t="str">
        <f t="shared" si="8"/>
        <v/>
      </c>
      <c r="BH24" t="str">
        <f t="shared" si="9"/>
        <v/>
      </c>
      <c r="BL24" t="str">
        <f>IFERROR(INDEX(_names_lookup!$C:$C,MATCH(BK24,_names_lookup!$A:$A,0)),"")</f>
        <v/>
      </c>
      <c r="BM24" t="str">
        <f>IFERROR(INDEX(_names_lookup!$B:$B,MATCH(BK24,_names_lookup!$A:$A,0)),"")</f>
        <v/>
      </c>
      <c r="BS24" t="str">
        <f t="shared" si="10"/>
        <v/>
      </c>
    </row>
    <row r="25" spans="15:71" x14ac:dyDescent="0.2">
      <c r="O25" t="str">
        <f>IFERROR(INDEX(_courses_lookup!$C:$C,MATCH(K25&amp;L25,_courses_lookup!$E:$E,0)),"")</f>
        <v/>
      </c>
      <c r="P25" t="str">
        <f>IFERROR(INDEX(_courses_lookup!$D:$D,MATCH(K25&amp;L25,_courses_lookup!$E:$E,0)),"")</f>
        <v/>
      </c>
      <c r="AG25" t="str">
        <f t="shared" si="0"/>
        <v/>
      </c>
      <c r="AI25" t="str">
        <f t="shared" si="1"/>
        <v/>
      </c>
      <c r="AL25" t="str">
        <f t="shared" si="2"/>
        <v/>
      </c>
      <c r="AN25" t="str">
        <f t="shared" si="3"/>
        <v/>
      </c>
      <c r="AQ25" t="str">
        <f t="shared" si="4"/>
        <v/>
      </c>
      <c r="AR25" t="str">
        <f t="shared" si="5"/>
        <v/>
      </c>
      <c r="AS25" t="str">
        <f t="shared" si="6"/>
        <v/>
      </c>
      <c r="AT25" t="str">
        <f t="shared" si="7"/>
        <v/>
      </c>
      <c r="BG25" t="str">
        <f t="shared" si="8"/>
        <v/>
      </c>
      <c r="BH25" t="str">
        <f t="shared" si="9"/>
        <v/>
      </c>
      <c r="BL25" t="str">
        <f>IFERROR(INDEX(_names_lookup!$C:$C,MATCH(BK25,_names_lookup!$A:$A,0)),"")</f>
        <v/>
      </c>
      <c r="BM25" t="str">
        <f>IFERROR(INDEX(_names_lookup!$B:$B,MATCH(BK25,_names_lookup!$A:$A,0)),"")</f>
        <v/>
      </c>
      <c r="BS25" t="str">
        <f t="shared" si="10"/>
        <v/>
      </c>
    </row>
    <row r="26" spans="15:71" x14ac:dyDescent="0.2">
      <c r="O26" t="str">
        <f>IFERROR(INDEX(_courses_lookup!$C:$C,MATCH(K26&amp;L26,_courses_lookup!$E:$E,0)),"")</f>
        <v/>
      </c>
      <c r="P26" t="str">
        <f>IFERROR(INDEX(_courses_lookup!$D:$D,MATCH(K26&amp;L26,_courses_lookup!$E:$E,0)),"")</f>
        <v/>
      </c>
      <c r="AG26" t="str">
        <f t="shared" si="0"/>
        <v/>
      </c>
      <c r="AI26" t="str">
        <f t="shared" si="1"/>
        <v/>
      </c>
      <c r="AL26" t="str">
        <f t="shared" si="2"/>
        <v/>
      </c>
      <c r="AN26" t="str">
        <f t="shared" si="3"/>
        <v/>
      </c>
      <c r="AQ26" t="str">
        <f t="shared" si="4"/>
        <v/>
      </c>
      <c r="AR26" t="str">
        <f t="shared" si="5"/>
        <v/>
      </c>
      <c r="AS26" t="str">
        <f t="shared" si="6"/>
        <v/>
      </c>
      <c r="AT26" t="str">
        <f t="shared" si="7"/>
        <v/>
      </c>
      <c r="BG26" t="str">
        <f t="shared" si="8"/>
        <v/>
      </c>
      <c r="BH26" t="str">
        <f t="shared" si="9"/>
        <v/>
      </c>
      <c r="BL26" t="str">
        <f>IFERROR(INDEX(_names_lookup!$C:$C,MATCH(BK26,_names_lookup!$A:$A,0)),"")</f>
        <v/>
      </c>
      <c r="BM26" t="str">
        <f>IFERROR(INDEX(_names_lookup!$B:$B,MATCH(BK26,_names_lookup!$A:$A,0)),"")</f>
        <v/>
      </c>
      <c r="BS26" t="str">
        <f t="shared" si="10"/>
        <v/>
      </c>
    </row>
    <row r="27" spans="15:71" x14ac:dyDescent="0.2">
      <c r="O27" t="str">
        <f>IFERROR(INDEX(_courses_lookup!$C:$C,MATCH(K27&amp;L27,_courses_lookup!$E:$E,0)),"")</f>
        <v/>
      </c>
      <c r="P27" t="str">
        <f>IFERROR(INDEX(_courses_lookup!$D:$D,MATCH(K27&amp;L27,_courses_lookup!$E:$E,0)),"")</f>
        <v/>
      </c>
      <c r="AG27" t="str">
        <f t="shared" si="0"/>
        <v/>
      </c>
      <c r="AI27" t="str">
        <f t="shared" si="1"/>
        <v/>
      </c>
      <c r="AL27" t="str">
        <f t="shared" si="2"/>
        <v/>
      </c>
      <c r="AN27" t="str">
        <f t="shared" si="3"/>
        <v/>
      </c>
      <c r="AQ27" t="str">
        <f t="shared" si="4"/>
        <v/>
      </c>
      <c r="AR27" t="str">
        <f t="shared" si="5"/>
        <v/>
      </c>
      <c r="AS27" t="str">
        <f t="shared" si="6"/>
        <v/>
      </c>
      <c r="AT27" t="str">
        <f t="shared" si="7"/>
        <v/>
      </c>
      <c r="BG27" t="str">
        <f t="shared" si="8"/>
        <v/>
      </c>
      <c r="BH27" t="str">
        <f t="shared" si="9"/>
        <v/>
      </c>
      <c r="BL27" t="str">
        <f>IFERROR(INDEX(_names_lookup!$C:$C,MATCH(BK27,_names_lookup!$A:$A,0)),"")</f>
        <v/>
      </c>
      <c r="BM27" t="str">
        <f>IFERROR(INDEX(_names_lookup!$B:$B,MATCH(BK27,_names_lookup!$A:$A,0)),"")</f>
        <v/>
      </c>
      <c r="BS27" t="str">
        <f t="shared" si="10"/>
        <v/>
      </c>
    </row>
    <row r="28" spans="15:71" x14ac:dyDescent="0.2">
      <c r="O28" t="str">
        <f>IFERROR(INDEX(_courses_lookup!$C:$C,MATCH(K28&amp;L28,_courses_lookup!$E:$E,0)),"")</f>
        <v/>
      </c>
      <c r="P28" t="str">
        <f>IFERROR(INDEX(_courses_lookup!$D:$D,MATCH(K28&amp;L28,_courses_lookup!$E:$E,0)),"")</f>
        <v/>
      </c>
      <c r="AG28" t="str">
        <f t="shared" si="0"/>
        <v/>
      </c>
      <c r="AI28" t="str">
        <f t="shared" si="1"/>
        <v/>
      </c>
      <c r="AL28" t="str">
        <f t="shared" si="2"/>
        <v/>
      </c>
      <c r="AN28" t="str">
        <f t="shared" si="3"/>
        <v/>
      </c>
      <c r="AQ28" t="str">
        <f t="shared" si="4"/>
        <v/>
      </c>
      <c r="AR28" t="str">
        <f t="shared" si="5"/>
        <v/>
      </c>
      <c r="AS28" t="str">
        <f t="shared" si="6"/>
        <v/>
      </c>
      <c r="AT28" t="str">
        <f t="shared" si="7"/>
        <v/>
      </c>
      <c r="BG28" t="str">
        <f t="shared" si="8"/>
        <v/>
      </c>
      <c r="BH28" t="str">
        <f t="shared" si="9"/>
        <v/>
      </c>
      <c r="BL28" t="str">
        <f>IFERROR(INDEX(_names_lookup!$C:$C,MATCH(BK28,_names_lookup!$A:$A,0)),"")</f>
        <v/>
      </c>
      <c r="BM28" t="str">
        <f>IFERROR(INDEX(_names_lookup!$B:$B,MATCH(BK28,_names_lookup!$A:$A,0)),"")</f>
        <v/>
      </c>
      <c r="BS28" t="str">
        <f t="shared" si="10"/>
        <v/>
      </c>
    </row>
    <row r="29" spans="15:71" x14ac:dyDescent="0.2">
      <c r="O29" t="str">
        <f>IFERROR(INDEX(_courses_lookup!$C:$C,MATCH(K29&amp;L29,_courses_lookup!$E:$E,0)),"")</f>
        <v/>
      </c>
      <c r="P29" t="str">
        <f>IFERROR(INDEX(_courses_lookup!$D:$D,MATCH(K29&amp;L29,_courses_lookup!$E:$E,0)),"")</f>
        <v/>
      </c>
      <c r="AG29" t="str">
        <f t="shared" si="0"/>
        <v/>
      </c>
      <c r="AI29" t="str">
        <f t="shared" si="1"/>
        <v/>
      </c>
      <c r="AL29" t="str">
        <f t="shared" si="2"/>
        <v/>
      </c>
      <c r="AN29" t="str">
        <f t="shared" si="3"/>
        <v/>
      </c>
      <c r="AQ29" t="str">
        <f t="shared" si="4"/>
        <v/>
      </c>
      <c r="AR29" t="str">
        <f t="shared" si="5"/>
        <v/>
      </c>
      <c r="AS29" t="str">
        <f t="shared" si="6"/>
        <v/>
      </c>
      <c r="AT29" t="str">
        <f t="shared" si="7"/>
        <v/>
      </c>
      <c r="BG29" t="str">
        <f t="shared" si="8"/>
        <v/>
      </c>
      <c r="BH29" t="str">
        <f t="shared" si="9"/>
        <v/>
      </c>
      <c r="BL29" t="str">
        <f>IFERROR(INDEX(_names_lookup!$C:$C,MATCH(BK29,_names_lookup!$A:$A,0)),"")</f>
        <v/>
      </c>
      <c r="BM29" t="str">
        <f>IFERROR(INDEX(_names_lookup!$B:$B,MATCH(BK29,_names_lookup!$A:$A,0)),"")</f>
        <v/>
      </c>
      <c r="BS29" t="str">
        <f t="shared" si="10"/>
        <v/>
      </c>
    </row>
    <row r="30" spans="15:71" x14ac:dyDescent="0.2">
      <c r="O30" t="str">
        <f>IFERROR(INDEX(_courses_lookup!$C:$C,MATCH(K30&amp;L30,_courses_lookup!$E:$E,0)),"")</f>
        <v/>
      </c>
      <c r="P30" t="str">
        <f>IFERROR(INDEX(_courses_lookup!$D:$D,MATCH(K30&amp;L30,_courses_lookup!$E:$E,0)),"")</f>
        <v/>
      </c>
      <c r="AG30" t="str">
        <f t="shared" si="0"/>
        <v/>
      </c>
      <c r="AI30" t="str">
        <f t="shared" si="1"/>
        <v/>
      </c>
      <c r="AL30" t="str">
        <f t="shared" si="2"/>
        <v/>
      </c>
      <c r="AN30" t="str">
        <f t="shared" si="3"/>
        <v/>
      </c>
      <c r="AQ30" t="str">
        <f t="shared" si="4"/>
        <v/>
      </c>
      <c r="AR30" t="str">
        <f t="shared" si="5"/>
        <v/>
      </c>
      <c r="AS30" t="str">
        <f t="shared" si="6"/>
        <v/>
      </c>
      <c r="AT30" t="str">
        <f t="shared" si="7"/>
        <v/>
      </c>
      <c r="BG30" t="str">
        <f t="shared" si="8"/>
        <v/>
      </c>
      <c r="BH30" t="str">
        <f t="shared" si="9"/>
        <v/>
      </c>
      <c r="BL30" t="str">
        <f>IFERROR(INDEX(_names_lookup!$C:$C,MATCH(BK30,_names_lookup!$A:$A,0)),"")</f>
        <v/>
      </c>
      <c r="BM30" t="str">
        <f>IFERROR(INDEX(_names_lookup!$B:$B,MATCH(BK30,_names_lookup!$A:$A,0)),"")</f>
        <v/>
      </c>
      <c r="BS30" t="str">
        <f t="shared" si="10"/>
        <v/>
      </c>
    </row>
    <row r="31" spans="15:71" x14ac:dyDescent="0.2">
      <c r="O31" t="str">
        <f>IFERROR(INDEX(_courses_lookup!$C:$C,MATCH(K31&amp;L31,_courses_lookup!$E:$E,0)),"")</f>
        <v/>
      </c>
      <c r="P31" t="str">
        <f>IFERROR(INDEX(_courses_lookup!$D:$D,MATCH(K31&amp;L31,_courses_lookup!$E:$E,0)),"")</f>
        <v/>
      </c>
      <c r="AG31" t="str">
        <f t="shared" si="0"/>
        <v/>
      </c>
      <c r="AI31" t="str">
        <f t="shared" si="1"/>
        <v/>
      </c>
      <c r="AL31" t="str">
        <f t="shared" si="2"/>
        <v/>
      </c>
      <c r="AN31" t="str">
        <f t="shared" si="3"/>
        <v/>
      </c>
      <c r="AQ31" t="str">
        <f t="shared" si="4"/>
        <v/>
      </c>
      <c r="AR31" t="str">
        <f t="shared" si="5"/>
        <v/>
      </c>
      <c r="AS31" t="str">
        <f t="shared" si="6"/>
        <v/>
      </c>
      <c r="AT31" t="str">
        <f t="shared" si="7"/>
        <v/>
      </c>
      <c r="BG31" t="str">
        <f t="shared" si="8"/>
        <v/>
      </c>
      <c r="BH31" t="str">
        <f t="shared" si="9"/>
        <v/>
      </c>
      <c r="BL31" t="str">
        <f>IFERROR(INDEX(_names_lookup!$C:$C,MATCH(BK31,_names_lookup!$A:$A,0)),"")</f>
        <v/>
      </c>
      <c r="BM31" t="str">
        <f>IFERROR(INDEX(_names_lookup!$B:$B,MATCH(BK31,_names_lookup!$A:$A,0)),"")</f>
        <v/>
      </c>
      <c r="BS31" t="str">
        <f t="shared" si="10"/>
        <v/>
      </c>
    </row>
    <row r="32" spans="15:71" x14ac:dyDescent="0.2">
      <c r="O32" t="str">
        <f>IFERROR(INDEX(_courses_lookup!$C:$C,MATCH(K32&amp;L32,_courses_lookup!$E:$E,0)),"")</f>
        <v/>
      </c>
      <c r="P32" t="str">
        <f>IFERROR(INDEX(_courses_lookup!$D:$D,MATCH(K32&amp;L32,_courses_lookup!$E:$E,0)),"")</f>
        <v/>
      </c>
      <c r="AG32" t="str">
        <f t="shared" si="0"/>
        <v/>
      </c>
      <c r="AI32" t="str">
        <f t="shared" si="1"/>
        <v/>
      </c>
      <c r="AL32" t="str">
        <f t="shared" si="2"/>
        <v/>
      </c>
      <c r="AN32" t="str">
        <f t="shared" si="3"/>
        <v/>
      </c>
      <c r="AQ32" t="str">
        <f t="shared" si="4"/>
        <v/>
      </c>
      <c r="AR32" t="str">
        <f t="shared" si="5"/>
        <v/>
      </c>
      <c r="AS32" t="str">
        <f t="shared" si="6"/>
        <v/>
      </c>
      <c r="AT32" t="str">
        <f t="shared" si="7"/>
        <v/>
      </c>
      <c r="BG32" t="str">
        <f t="shared" si="8"/>
        <v/>
      </c>
      <c r="BH32" t="str">
        <f t="shared" si="9"/>
        <v/>
      </c>
      <c r="BL32" t="str">
        <f>IFERROR(INDEX(_names_lookup!$C:$C,MATCH(BK32,_names_lookup!$A:$A,0)),"")</f>
        <v/>
      </c>
      <c r="BM32" t="str">
        <f>IFERROR(INDEX(_names_lookup!$B:$B,MATCH(BK32,_names_lookup!$A:$A,0)),"")</f>
        <v/>
      </c>
      <c r="BS32" t="str">
        <f t="shared" si="10"/>
        <v/>
      </c>
    </row>
    <row r="33" spans="15:71" x14ac:dyDescent="0.2">
      <c r="O33" t="str">
        <f>IFERROR(INDEX(_courses_lookup!$C:$C,MATCH(K33&amp;L33,_courses_lookup!$E:$E,0)),"")</f>
        <v/>
      </c>
      <c r="P33" t="str">
        <f>IFERROR(INDEX(_courses_lookup!$D:$D,MATCH(K33&amp;L33,_courses_lookup!$E:$E,0)),"")</f>
        <v/>
      </c>
      <c r="AG33" t="str">
        <f t="shared" si="0"/>
        <v/>
      </c>
      <c r="AI33" t="str">
        <f t="shared" si="1"/>
        <v/>
      </c>
      <c r="AL33" t="str">
        <f t="shared" si="2"/>
        <v/>
      </c>
      <c r="AN33" t="str">
        <f t="shared" si="3"/>
        <v/>
      </c>
      <c r="AQ33" t="str">
        <f t="shared" si="4"/>
        <v/>
      </c>
      <c r="AR33" t="str">
        <f t="shared" si="5"/>
        <v/>
      </c>
      <c r="AS33" t="str">
        <f t="shared" si="6"/>
        <v/>
      </c>
      <c r="AT33" t="str">
        <f t="shared" si="7"/>
        <v/>
      </c>
      <c r="BG33" t="str">
        <f t="shared" si="8"/>
        <v/>
      </c>
      <c r="BH33" t="str">
        <f t="shared" si="9"/>
        <v/>
      </c>
      <c r="BL33" t="str">
        <f>IFERROR(INDEX(_names_lookup!$C:$C,MATCH(BK33,_names_lookup!$A:$A,0)),"")</f>
        <v/>
      </c>
      <c r="BM33" t="str">
        <f>IFERROR(INDEX(_names_lookup!$B:$B,MATCH(BK33,_names_lookup!$A:$A,0)),"")</f>
        <v/>
      </c>
      <c r="BS33" t="str">
        <f t="shared" si="10"/>
        <v/>
      </c>
    </row>
    <row r="34" spans="15:71" x14ac:dyDescent="0.2">
      <c r="O34" t="str">
        <f>IFERROR(INDEX(_courses_lookup!$C:$C,MATCH(K34&amp;L34,_courses_lookup!$E:$E,0)),"")</f>
        <v/>
      </c>
      <c r="P34" t="str">
        <f>IFERROR(INDEX(_courses_lookup!$D:$D,MATCH(K34&amp;L34,_courses_lookup!$E:$E,0)),"")</f>
        <v/>
      </c>
      <c r="AG34" t="str">
        <f t="shared" si="0"/>
        <v/>
      </c>
      <c r="AI34" t="str">
        <f t="shared" si="1"/>
        <v/>
      </c>
      <c r="AL34" t="str">
        <f t="shared" si="2"/>
        <v/>
      </c>
      <c r="AN34" t="str">
        <f t="shared" si="3"/>
        <v/>
      </c>
      <c r="AQ34" t="str">
        <f t="shared" si="4"/>
        <v/>
      </c>
      <c r="AR34" t="str">
        <f t="shared" si="5"/>
        <v/>
      </c>
      <c r="AS34" t="str">
        <f t="shared" si="6"/>
        <v/>
      </c>
      <c r="AT34" t="str">
        <f t="shared" si="7"/>
        <v/>
      </c>
      <c r="BG34" t="str">
        <f t="shared" si="8"/>
        <v/>
      </c>
      <c r="BH34" t="str">
        <f t="shared" si="9"/>
        <v/>
      </c>
      <c r="BL34" t="str">
        <f>IFERROR(INDEX(_names_lookup!$C:$C,MATCH(BK34,_names_lookup!$A:$A,0)),"")</f>
        <v/>
      </c>
      <c r="BM34" t="str">
        <f>IFERROR(INDEX(_names_lookup!$B:$B,MATCH(BK34,_names_lookup!$A:$A,0)),"")</f>
        <v/>
      </c>
      <c r="BS34" t="str">
        <f t="shared" si="10"/>
        <v/>
      </c>
    </row>
    <row r="35" spans="15:71" x14ac:dyDescent="0.2">
      <c r="O35" t="str">
        <f>IFERROR(INDEX(_courses_lookup!$C:$C,MATCH(K35&amp;L35,_courses_lookup!$E:$E,0)),"")</f>
        <v/>
      </c>
      <c r="P35" t="str">
        <f>IFERROR(INDEX(_courses_lookup!$D:$D,MATCH(K35&amp;L35,_courses_lookup!$E:$E,0)),"")</f>
        <v/>
      </c>
      <c r="AG35" t="str">
        <f t="shared" si="0"/>
        <v/>
      </c>
      <c r="AI35" t="str">
        <f t="shared" si="1"/>
        <v/>
      </c>
      <c r="AL35" t="str">
        <f t="shared" si="2"/>
        <v/>
      </c>
      <c r="AN35" t="str">
        <f t="shared" si="3"/>
        <v/>
      </c>
      <c r="AQ35" t="str">
        <f t="shared" si="4"/>
        <v/>
      </c>
      <c r="AR35" t="str">
        <f t="shared" si="5"/>
        <v/>
      </c>
      <c r="AS35" t="str">
        <f t="shared" si="6"/>
        <v/>
      </c>
      <c r="AT35" t="str">
        <f t="shared" si="7"/>
        <v/>
      </c>
      <c r="BG35" t="str">
        <f t="shared" si="8"/>
        <v/>
      </c>
      <c r="BH35" t="str">
        <f t="shared" si="9"/>
        <v/>
      </c>
      <c r="BL35" t="str">
        <f>IFERROR(INDEX(_names_lookup!$C:$C,MATCH(BK35,_names_lookup!$A:$A,0)),"")</f>
        <v/>
      </c>
      <c r="BM35" t="str">
        <f>IFERROR(INDEX(_names_lookup!$B:$B,MATCH(BK35,_names_lookup!$A:$A,0)),"")</f>
        <v/>
      </c>
      <c r="BS35" t="str">
        <f t="shared" si="10"/>
        <v/>
      </c>
    </row>
    <row r="36" spans="15:71" x14ac:dyDescent="0.2">
      <c r="O36" t="str">
        <f>IFERROR(INDEX(_courses_lookup!$C:$C,MATCH(K36&amp;L36,_courses_lookup!$E:$E,0)),"")</f>
        <v/>
      </c>
      <c r="P36" t="str">
        <f>IFERROR(INDEX(_courses_lookup!$D:$D,MATCH(K36&amp;L36,_courses_lookup!$E:$E,0)),"")</f>
        <v/>
      </c>
      <c r="AG36" t="str">
        <f t="shared" si="0"/>
        <v/>
      </c>
      <c r="AI36" t="str">
        <f t="shared" si="1"/>
        <v/>
      </c>
      <c r="AL36" t="str">
        <f t="shared" si="2"/>
        <v/>
      </c>
      <c r="AN36" t="str">
        <f t="shared" si="3"/>
        <v/>
      </c>
      <c r="AQ36" t="str">
        <f t="shared" si="4"/>
        <v/>
      </c>
      <c r="AR36" t="str">
        <f t="shared" si="5"/>
        <v/>
      </c>
      <c r="AS36" t="str">
        <f t="shared" si="6"/>
        <v/>
      </c>
      <c r="AT36" t="str">
        <f t="shared" si="7"/>
        <v/>
      </c>
      <c r="BG36" t="str">
        <f t="shared" si="8"/>
        <v/>
      </c>
      <c r="BH36" t="str">
        <f t="shared" si="9"/>
        <v/>
      </c>
      <c r="BL36" t="str">
        <f>IFERROR(INDEX(_names_lookup!$C:$C,MATCH(BK36,_names_lookup!$A:$A,0)),"")</f>
        <v/>
      </c>
      <c r="BM36" t="str">
        <f>IFERROR(INDEX(_names_lookup!$B:$B,MATCH(BK36,_names_lookup!$A:$A,0)),"")</f>
        <v/>
      </c>
      <c r="BS36" t="str">
        <f t="shared" si="10"/>
        <v/>
      </c>
    </row>
    <row r="37" spans="15:71" x14ac:dyDescent="0.2">
      <c r="O37" t="str">
        <f>IFERROR(INDEX(_courses_lookup!$C:$C,MATCH(K37&amp;L37,_courses_lookup!$E:$E,0)),"")</f>
        <v/>
      </c>
      <c r="P37" t="str">
        <f>IFERROR(INDEX(_courses_lookup!$D:$D,MATCH(K37&amp;L37,_courses_lookup!$E:$E,0)),"")</f>
        <v/>
      </c>
      <c r="AG37" t="str">
        <f t="shared" si="0"/>
        <v/>
      </c>
      <c r="AI37" t="str">
        <f t="shared" si="1"/>
        <v/>
      </c>
      <c r="AL37" t="str">
        <f t="shared" si="2"/>
        <v/>
      </c>
      <c r="AN37" t="str">
        <f t="shared" si="3"/>
        <v/>
      </c>
      <c r="AQ37" t="str">
        <f t="shared" si="4"/>
        <v/>
      </c>
      <c r="AR37" t="str">
        <f t="shared" si="5"/>
        <v/>
      </c>
      <c r="AS37" t="str">
        <f t="shared" si="6"/>
        <v/>
      </c>
      <c r="AT37" t="str">
        <f t="shared" si="7"/>
        <v/>
      </c>
      <c r="BG37" t="str">
        <f t="shared" si="8"/>
        <v/>
      </c>
      <c r="BH37" t="str">
        <f t="shared" si="9"/>
        <v/>
      </c>
      <c r="BL37" t="str">
        <f>IFERROR(INDEX(_names_lookup!$C:$C,MATCH(BK37,_names_lookup!$A:$A,0)),"")</f>
        <v/>
      </c>
      <c r="BM37" t="str">
        <f>IFERROR(INDEX(_names_lookup!$B:$B,MATCH(BK37,_names_lookup!$A:$A,0)),"")</f>
        <v/>
      </c>
      <c r="BS37" t="str">
        <f t="shared" si="10"/>
        <v/>
      </c>
    </row>
    <row r="38" spans="15:71" x14ac:dyDescent="0.2">
      <c r="O38" t="str">
        <f>IFERROR(INDEX(_courses_lookup!$C:$C,MATCH(K38&amp;L38,_courses_lookup!$E:$E,0)),"")</f>
        <v/>
      </c>
      <c r="P38" t="str">
        <f>IFERROR(INDEX(_courses_lookup!$D:$D,MATCH(K38&amp;L38,_courses_lookup!$E:$E,0)),"")</f>
        <v/>
      </c>
      <c r="AG38" t="str">
        <f t="shared" si="0"/>
        <v/>
      </c>
      <c r="AI38" t="str">
        <f t="shared" si="1"/>
        <v/>
      </c>
      <c r="AL38" t="str">
        <f t="shared" si="2"/>
        <v/>
      </c>
      <c r="AN38" t="str">
        <f t="shared" si="3"/>
        <v/>
      </c>
      <c r="AQ38" t="str">
        <f t="shared" si="4"/>
        <v/>
      </c>
      <c r="AR38" t="str">
        <f t="shared" si="5"/>
        <v/>
      </c>
      <c r="AS38" t="str">
        <f t="shared" si="6"/>
        <v/>
      </c>
      <c r="AT38" t="str">
        <f t="shared" si="7"/>
        <v/>
      </c>
      <c r="BG38" t="str">
        <f t="shared" si="8"/>
        <v/>
      </c>
      <c r="BH38" t="str">
        <f t="shared" si="9"/>
        <v/>
      </c>
      <c r="BL38" t="str">
        <f>IFERROR(INDEX(_names_lookup!$C:$C,MATCH(BK38,_names_lookup!$A:$A,0)),"")</f>
        <v/>
      </c>
      <c r="BM38" t="str">
        <f>IFERROR(INDEX(_names_lookup!$B:$B,MATCH(BK38,_names_lookup!$A:$A,0)),"")</f>
        <v/>
      </c>
      <c r="BS38" t="str">
        <f t="shared" si="10"/>
        <v/>
      </c>
    </row>
    <row r="39" spans="15:71" x14ac:dyDescent="0.2">
      <c r="O39" t="str">
        <f>IFERROR(INDEX(_courses_lookup!$C:$C,MATCH(K39&amp;L39,_courses_lookup!$E:$E,0)),"")</f>
        <v/>
      </c>
      <c r="P39" t="str">
        <f>IFERROR(INDEX(_courses_lookup!$D:$D,MATCH(K39&amp;L39,_courses_lookup!$E:$E,0)),"")</f>
        <v/>
      </c>
      <c r="AG39" t="str">
        <f t="shared" si="0"/>
        <v/>
      </c>
      <c r="AI39" t="str">
        <f t="shared" si="1"/>
        <v/>
      </c>
      <c r="AL39" t="str">
        <f t="shared" si="2"/>
        <v/>
      </c>
      <c r="AN39" t="str">
        <f t="shared" si="3"/>
        <v/>
      </c>
      <c r="AQ39" t="str">
        <f t="shared" si="4"/>
        <v/>
      </c>
      <c r="AR39" t="str">
        <f t="shared" si="5"/>
        <v/>
      </c>
      <c r="AS39" t="str">
        <f t="shared" si="6"/>
        <v/>
      </c>
      <c r="AT39" t="str">
        <f t="shared" si="7"/>
        <v/>
      </c>
      <c r="BG39" t="str">
        <f t="shared" si="8"/>
        <v/>
      </c>
      <c r="BH39" t="str">
        <f t="shared" si="9"/>
        <v/>
      </c>
      <c r="BL39" t="str">
        <f>IFERROR(INDEX(_names_lookup!$C:$C,MATCH(BK39,_names_lookup!$A:$A,0)),"")</f>
        <v/>
      </c>
      <c r="BM39" t="str">
        <f>IFERROR(INDEX(_names_lookup!$B:$B,MATCH(BK39,_names_lookup!$A:$A,0)),"")</f>
        <v/>
      </c>
      <c r="BS39" t="str">
        <f t="shared" si="10"/>
        <v/>
      </c>
    </row>
    <row r="40" spans="15:71" x14ac:dyDescent="0.2">
      <c r="O40" t="str">
        <f>IFERROR(INDEX(_courses_lookup!$C:$C,MATCH(K40&amp;L40,_courses_lookup!$E:$E,0)),"")</f>
        <v/>
      </c>
      <c r="P40" t="str">
        <f>IFERROR(INDEX(_courses_lookup!$D:$D,MATCH(K40&amp;L40,_courses_lookup!$E:$E,0)),"")</f>
        <v/>
      </c>
      <c r="AG40" t="str">
        <f t="shared" si="0"/>
        <v/>
      </c>
      <c r="AI40" t="str">
        <f t="shared" si="1"/>
        <v/>
      </c>
      <c r="AL40" t="str">
        <f t="shared" si="2"/>
        <v/>
      </c>
      <c r="AN40" t="str">
        <f t="shared" si="3"/>
        <v/>
      </c>
      <c r="AQ40" t="str">
        <f t="shared" si="4"/>
        <v/>
      </c>
      <c r="AR40" t="str">
        <f t="shared" si="5"/>
        <v/>
      </c>
      <c r="AS40" t="str">
        <f t="shared" si="6"/>
        <v/>
      </c>
      <c r="AT40" t="str">
        <f t="shared" si="7"/>
        <v/>
      </c>
      <c r="BG40" t="str">
        <f t="shared" si="8"/>
        <v/>
      </c>
      <c r="BH40" t="str">
        <f t="shared" si="9"/>
        <v/>
      </c>
      <c r="BL40" t="str">
        <f>IFERROR(INDEX(_names_lookup!$C:$C,MATCH(BK40,_names_lookup!$A:$A,0)),"")</f>
        <v/>
      </c>
      <c r="BM40" t="str">
        <f>IFERROR(INDEX(_names_lookup!$B:$B,MATCH(BK40,_names_lookup!$A:$A,0)),"")</f>
        <v/>
      </c>
      <c r="BS40" t="str">
        <f t="shared" si="10"/>
        <v/>
      </c>
    </row>
    <row r="41" spans="15:71" x14ac:dyDescent="0.2">
      <c r="O41" t="str">
        <f>IFERROR(INDEX(_courses_lookup!$C:$C,MATCH(K41&amp;L41,_courses_lookup!$E:$E,0)),"")</f>
        <v/>
      </c>
      <c r="P41" t="str">
        <f>IFERROR(INDEX(_courses_lookup!$D:$D,MATCH(K41&amp;L41,_courses_lookup!$E:$E,0)),"")</f>
        <v/>
      </c>
      <c r="AG41" t="str">
        <f t="shared" si="0"/>
        <v/>
      </c>
      <c r="AI41" t="str">
        <f t="shared" si="1"/>
        <v/>
      </c>
      <c r="AL41" t="str">
        <f t="shared" si="2"/>
        <v/>
      </c>
      <c r="AN41" t="str">
        <f t="shared" si="3"/>
        <v/>
      </c>
      <c r="AQ41" t="str">
        <f t="shared" si="4"/>
        <v/>
      </c>
      <c r="AR41" t="str">
        <f t="shared" si="5"/>
        <v/>
      </c>
      <c r="AS41" t="str">
        <f t="shared" si="6"/>
        <v/>
      </c>
      <c r="AT41" t="str">
        <f t="shared" si="7"/>
        <v/>
      </c>
      <c r="BG41" t="str">
        <f t="shared" si="8"/>
        <v/>
      </c>
      <c r="BH41" t="str">
        <f t="shared" si="9"/>
        <v/>
      </c>
      <c r="BL41" t="str">
        <f>IFERROR(INDEX(_names_lookup!$C:$C,MATCH(BK41,_names_lookup!$A:$A,0)),"")</f>
        <v/>
      </c>
      <c r="BM41" t="str">
        <f>IFERROR(INDEX(_names_lookup!$B:$B,MATCH(BK41,_names_lookup!$A:$A,0)),"")</f>
        <v/>
      </c>
      <c r="BS41" t="str">
        <f t="shared" si="10"/>
        <v/>
      </c>
    </row>
    <row r="42" spans="15:71" x14ac:dyDescent="0.2">
      <c r="O42" t="str">
        <f>IFERROR(INDEX(_courses_lookup!$C:$C,MATCH(K42&amp;L42,_courses_lookup!$E:$E,0)),"")</f>
        <v/>
      </c>
      <c r="P42" t="str">
        <f>IFERROR(INDEX(_courses_lookup!$D:$D,MATCH(K42&amp;L42,_courses_lookup!$E:$E,0)),"")</f>
        <v/>
      </c>
      <c r="AG42" t="str">
        <f t="shared" si="0"/>
        <v/>
      </c>
      <c r="AI42" t="str">
        <f t="shared" si="1"/>
        <v/>
      </c>
      <c r="AL42" t="str">
        <f t="shared" si="2"/>
        <v/>
      </c>
      <c r="AN42" t="str">
        <f t="shared" si="3"/>
        <v/>
      </c>
      <c r="AQ42" t="str">
        <f t="shared" si="4"/>
        <v/>
      </c>
      <c r="AR42" t="str">
        <f t="shared" si="5"/>
        <v/>
      </c>
      <c r="AS42" t="str">
        <f t="shared" si="6"/>
        <v/>
      </c>
      <c r="AT42" t="str">
        <f t="shared" si="7"/>
        <v/>
      </c>
      <c r="BG42" t="str">
        <f t="shared" si="8"/>
        <v/>
      </c>
      <c r="BH42" t="str">
        <f t="shared" si="9"/>
        <v/>
      </c>
      <c r="BL42" t="str">
        <f>IFERROR(INDEX(_names_lookup!$C:$C,MATCH(BK42,_names_lookup!$A:$A,0)),"")</f>
        <v/>
      </c>
      <c r="BM42" t="str">
        <f>IFERROR(INDEX(_names_lookup!$B:$B,MATCH(BK42,_names_lookup!$A:$A,0)),"")</f>
        <v/>
      </c>
      <c r="BS42" t="str">
        <f t="shared" si="10"/>
        <v/>
      </c>
    </row>
    <row r="43" spans="15:71" x14ac:dyDescent="0.2">
      <c r="O43" t="str">
        <f>IFERROR(INDEX(_courses_lookup!$C:$C,MATCH(K43&amp;L43,_courses_lookup!$E:$E,0)),"")</f>
        <v/>
      </c>
      <c r="P43" t="str">
        <f>IFERROR(INDEX(_courses_lookup!$D:$D,MATCH(K43&amp;L43,_courses_lookup!$E:$E,0)),"")</f>
        <v/>
      </c>
      <c r="AG43" t="str">
        <f t="shared" si="0"/>
        <v/>
      </c>
      <c r="AI43" t="str">
        <f t="shared" si="1"/>
        <v/>
      </c>
      <c r="AL43" t="str">
        <f t="shared" si="2"/>
        <v/>
      </c>
      <c r="AN43" t="str">
        <f t="shared" si="3"/>
        <v/>
      </c>
      <c r="AQ43" t="str">
        <f t="shared" si="4"/>
        <v/>
      </c>
      <c r="AR43" t="str">
        <f t="shared" si="5"/>
        <v/>
      </c>
      <c r="AS43" t="str">
        <f t="shared" si="6"/>
        <v/>
      </c>
      <c r="AT43" t="str">
        <f t="shared" si="7"/>
        <v/>
      </c>
      <c r="BG43" t="str">
        <f t="shared" si="8"/>
        <v/>
      </c>
      <c r="BH43" t="str">
        <f t="shared" si="9"/>
        <v/>
      </c>
      <c r="BL43" t="str">
        <f>IFERROR(INDEX(_names_lookup!$C:$C,MATCH(BK43,_names_lookup!$A:$A,0)),"")</f>
        <v/>
      </c>
      <c r="BM43" t="str">
        <f>IFERROR(INDEX(_names_lookup!$B:$B,MATCH(BK43,_names_lookup!$A:$A,0)),"")</f>
        <v/>
      </c>
      <c r="BS43" t="str">
        <f t="shared" si="10"/>
        <v/>
      </c>
    </row>
    <row r="44" spans="15:71" x14ac:dyDescent="0.2">
      <c r="O44" t="str">
        <f>IFERROR(INDEX(_courses_lookup!$C:$C,MATCH(K44&amp;L44,_courses_lookup!$E:$E,0)),"")</f>
        <v/>
      </c>
      <c r="P44" t="str">
        <f>IFERROR(INDEX(_courses_lookup!$D:$D,MATCH(K44&amp;L44,_courses_lookup!$E:$E,0)),"")</f>
        <v/>
      </c>
      <c r="AG44" t="str">
        <f t="shared" si="0"/>
        <v/>
      </c>
      <c r="AI44" t="str">
        <f t="shared" si="1"/>
        <v/>
      </c>
      <c r="AL44" t="str">
        <f t="shared" si="2"/>
        <v/>
      </c>
      <c r="AN44" t="str">
        <f t="shared" si="3"/>
        <v/>
      </c>
      <c r="AQ44" t="str">
        <f t="shared" si="4"/>
        <v/>
      </c>
      <c r="AR44" t="str">
        <f t="shared" si="5"/>
        <v/>
      </c>
      <c r="AS44" t="str">
        <f t="shared" si="6"/>
        <v/>
      </c>
      <c r="AT44" t="str">
        <f t="shared" si="7"/>
        <v/>
      </c>
      <c r="BG44" t="str">
        <f t="shared" si="8"/>
        <v/>
      </c>
      <c r="BH44" t="str">
        <f t="shared" si="9"/>
        <v/>
      </c>
      <c r="BL44" t="str">
        <f>IFERROR(INDEX(_names_lookup!$C:$C,MATCH(BK44,_names_lookup!$A:$A,0)),"")</f>
        <v/>
      </c>
      <c r="BM44" t="str">
        <f>IFERROR(INDEX(_names_lookup!$B:$B,MATCH(BK44,_names_lookup!$A:$A,0)),"")</f>
        <v/>
      </c>
      <c r="BS44" t="str">
        <f t="shared" si="10"/>
        <v/>
      </c>
    </row>
    <row r="45" spans="15:71" x14ac:dyDescent="0.2">
      <c r="O45" t="str">
        <f>IFERROR(INDEX(_courses_lookup!$C:$C,MATCH(K45&amp;L45,_courses_lookup!$E:$E,0)),"")</f>
        <v/>
      </c>
      <c r="P45" t="str">
        <f>IFERROR(INDEX(_courses_lookup!$D:$D,MATCH(K45&amp;L45,_courses_lookup!$E:$E,0)),"")</f>
        <v/>
      </c>
      <c r="AG45" t="str">
        <f t="shared" si="0"/>
        <v/>
      </c>
      <c r="AI45" t="str">
        <f t="shared" si="1"/>
        <v/>
      </c>
      <c r="AL45" t="str">
        <f t="shared" si="2"/>
        <v/>
      </c>
      <c r="AN45" t="str">
        <f t="shared" si="3"/>
        <v/>
      </c>
      <c r="AQ45" t="str">
        <f t="shared" si="4"/>
        <v/>
      </c>
      <c r="AR45" t="str">
        <f t="shared" si="5"/>
        <v/>
      </c>
      <c r="AS45" t="str">
        <f t="shared" si="6"/>
        <v/>
      </c>
      <c r="AT45" t="str">
        <f t="shared" si="7"/>
        <v/>
      </c>
      <c r="BG45" t="str">
        <f t="shared" si="8"/>
        <v/>
      </c>
      <c r="BH45" t="str">
        <f t="shared" si="9"/>
        <v/>
      </c>
      <c r="BL45" t="str">
        <f>IFERROR(INDEX(_names_lookup!$C:$C,MATCH(BK45,_names_lookup!$A:$A,0)),"")</f>
        <v/>
      </c>
      <c r="BM45" t="str">
        <f>IFERROR(INDEX(_names_lookup!$B:$B,MATCH(BK45,_names_lookup!$A:$A,0)),"")</f>
        <v/>
      </c>
      <c r="BS45" t="str">
        <f t="shared" si="10"/>
        <v/>
      </c>
    </row>
    <row r="46" spans="15:71" x14ac:dyDescent="0.2">
      <c r="O46" t="str">
        <f>IFERROR(INDEX(_courses_lookup!$C:$C,MATCH(K46&amp;L46,_courses_lookup!$E:$E,0)),"")</f>
        <v/>
      </c>
      <c r="P46" t="str">
        <f>IFERROR(INDEX(_courses_lookup!$D:$D,MATCH(K46&amp;L46,_courses_lookup!$E:$E,0)),"")</f>
        <v/>
      </c>
      <c r="AG46" t="str">
        <f t="shared" si="0"/>
        <v/>
      </c>
      <c r="AI46" t="str">
        <f t="shared" si="1"/>
        <v/>
      </c>
      <c r="AL46" t="str">
        <f t="shared" si="2"/>
        <v/>
      </c>
      <c r="AN46" t="str">
        <f t="shared" si="3"/>
        <v/>
      </c>
      <c r="AQ46" t="str">
        <f t="shared" si="4"/>
        <v/>
      </c>
      <c r="AR46" t="str">
        <f t="shared" si="5"/>
        <v/>
      </c>
      <c r="AS46" t="str">
        <f t="shared" si="6"/>
        <v/>
      </c>
      <c r="AT46" t="str">
        <f t="shared" si="7"/>
        <v/>
      </c>
      <c r="BG46" t="str">
        <f t="shared" si="8"/>
        <v/>
      </c>
      <c r="BH46" t="str">
        <f t="shared" si="9"/>
        <v/>
      </c>
      <c r="BL46" t="str">
        <f>IFERROR(INDEX(_names_lookup!$C:$C,MATCH(BK46,_names_lookup!$A:$A,0)),"")</f>
        <v/>
      </c>
      <c r="BM46" t="str">
        <f>IFERROR(INDEX(_names_lookup!$B:$B,MATCH(BK46,_names_lookup!$A:$A,0)),"")</f>
        <v/>
      </c>
      <c r="BS46" t="str">
        <f t="shared" si="10"/>
        <v/>
      </c>
    </row>
    <row r="47" spans="15:71" x14ac:dyDescent="0.2">
      <c r="O47" t="str">
        <f>IFERROR(INDEX(_courses_lookup!$C:$C,MATCH(K47&amp;L47,_courses_lookup!$E:$E,0)),"")</f>
        <v/>
      </c>
      <c r="P47" t="str">
        <f>IFERROR(INDEX(_courses_lookup!$D:$D,MATCH(K47&amp;L47,_courses_lookup!$E:$E,0)),"")</f>
        <v/>
      </c>
      <c r="AG47" t="str">
        <f t="shared" si="0"/>
        <v/>
      </c>
      <c r="AI47" t="str">
        <f t="shared" si="1"/>
        <v/>
      </c>
      <c r="AL47" t="str">
        <f t="shared" si="2"/>
        <v/>
      </c>
      <c r="AN47" t="str">
        <f t="shared" si="3"/>
        <v/>
      </c>
      <c r="AQ47" t="str">
        <f t="shared" si="4"/>
        <v/>
      </c>
      <c r="AR47" t="str">
        <f t="shared" si="5"/>
        <v/>
      </c>
      <c r="AS47" t="str">
        <f t="shared" si="6"/>
        <v/>
      </c>
      <c r="AT47" t="str">
        <f t="shared" si="7"/>
        <v/>
      </c>
      <c r="BG47" t="str">
        <f t="shared" si="8"/>
        <v/>
      </c>
      <c r="BH47" t="str">
        <f t="shared" si="9"/>
        <v/>
      </c>
      <c r="BL47" t="str">
        <f>IFERROR(INDEX(_names_lookup!$C:$C,MATCH(BK47,_names_lookup!$A:$A,0)),"")</f>
        <v/>
      </c>
      <c r="BM47" t="str">
        <f>IFERROR(INDEX(_names_lookup!$B:$B,MATCH(BK47,_names_lookup!$A:$A,0)),"")</f>
        <v/>
      </c>
      <c r="BS47" t="str">
        <f t="shared" si="10"/>
        <v/>
      </c>
    </row>
    <row r="48" spans="15:71" x14ac:dyDescent="0.2">
      <c r="O48" t="str">
        <f>IFERROR(INDEX(_courses_lookup!$C:$C,MATCH(K48&amp;L48,_courses_lookup!$E:$E,0)),"")</f>
        <v/>
      </c>
      <c r="P48" t="str">
        <f>IFERROR(INDEX(_courses_lookup!$D:$D,MATCH(K48&amp;L48,_courses_lookup!$E:$E,0)),"")</f>
        <v/>
      </c>
      <c r="AG48" t="str">
        <f t="shared" si="0"/>
        <v/>
      </c>
      <c r="AI48" t="str">
        <f t="shared" si="1"/>
        <v/>
      </c>
      <c r="AL48" t="str">
        <f t="shared" si="2"/>
        <v/>
      </c>
      <c r="AN48" t="str">
        <f t="shared" si="3"/>
        <v/>
      </c>
      <c r="AQ48" t="str">
        <f t="shared" si="4"/>
        <v/>
      </c>
      <c r="AR48" t="str">
        <f t="shared" si="5"/>
        <v/>
      </c>
      <c r="AS48" t="str">
        <f t="shared" si="6"/>
        <v/>
      </c>
      <c r="AT48" t="str">
        <f t="shared" si="7"/>
        <v/>
      </c>
      <c r="BG48" t="str">
        <f t="shared" si="8"/>
        <v/>
      </c>
      <c r="BH48" t="str">
        <f t="shared" si="9"/>
        <v/>
      </c>
      <c r="BL48" t="str">
        <f>IFERROR(INDEX(_names_lookup!$C:$C,MATCH(BK48,_names_lookup!$A:$A,0)),"")</f>
        <v/>
      </c>
      <c r="BM48" t="str">
        <f>IFERROR(INDEX(_names_lookup!$B:$B,MATCH(BK48,_names_lookup!$A:$A,0)),"")</f>
        <v/>
      </c>
      <c r="BS48" t="str">
        <f t="shared" si="10"/>
        <v/>
      </c>
    </row>
    <row r="49" spans="15:71" x14ac:dyDescent="0.2">
      <c r="O49" t="str">
        <f>IFERROR(INDEX(_courses_lookup!$C:$C,MATCH(K49&amp;L49,_courses_lookup!$E:$E,0)),"")</f>
        <v/>
      </c>
      <c r="P49" t="str">
        <f>IFERROR(INDEX(_courses_lookup!$D:$D,MATCH(K49&amp;L49,_courses_lookup!$E:$E,0)),"")</f>
        <v/>
      </c>
      <c r="AG49" t="str">
        <f t="shared" si="0"/>
        <v/>
      </c>
      <c r="AI49" t="str">
        <f t="shared" si="1"/>
        <v/>
      </c>
      <c r="AL49" t="str">
        <f t="shared" si="2"/>
        <v/>
      </c>
      <c r="AN49" t="str">
        <f t="shared" si="3"/>
        <v/>
      </c>
      <c r="AQ49" t="str">
        <f t="shared" si="4"/>
        <v/>
      </c>
      <c r="AR49" t="str">
        <f t="shared" si="5"/>
        <v/>
      </c>
      <c r="AS49" t="str">
        <f t="shared" si="6"/>
        <v/>
      </c>
      <c r="AT49" t="str">
        <f t="shared" si="7"/>
        <v/>
      </c>
      <c r="BG49" t="str">
        <f t="shared" si="8"/>
        <v/>
      </c>
      <c r="BH49" t="str">
        <f t="shared" si="9"/>
        <v/>
      </c>
      <c r="BL49" t="str">
        <f>IFERROR(INDEX(_names_lookup!$C:$C,MATCH(BK49,_names_lookup!$A:$A,0)),"")</f>
        <v/>
      </c>
      <c r="BM49" t="str">
        <f>IFERROR(INDEX(_names_lookup!$B:$B,MATCH(BK49,_names_lookup!$A:$A,0)),"")</f>
        <v/>
      </c>
      <c r="BS49" t="str">
        <f t="shared" si="10"/>
        <v/>
      </c>
    </row>
    <row r="50" spans="15:71" x14ac:dyDescent="0.2">
      <c r="O50" t="str">
        <f>IFERROR(INDEX(_courses_lookup!$C:$C,MATCH(K50&amp;L50,_courses_lookup!$E:$E,0)),"")</f>
        <v/>
      </c>
      <c r="P50" t="str">
        <f>IFERROR(INDEX(_courses_lookup!$D:$D,MATCH(K50&amp;L50,_courses_lookup!$E:$E,0)),"")</f>
        <v/>
      </c>
      <c r="AG50" t="str">
        <f t="shared" si="0"/>
        <v/>
      </c>
      <c r="AI50" t="str">
        <f t="shared" si="1"/>
        <v/>
      </c>
      <c r="AL50" t="str">
        <f t="shared" si="2"/>
        <v/>
      </c>
      <c r="AN50" t="str">
        <f t="shared" si="3"/>
        <v/>
      </c>
      <c r="AQ50" t="str">
        <f t="shared" si="4"/>
        <v/>
      </c>
      <c r="AR50" t="str">
        <f t="shared" si="5"/>
        <v/>
      </c>
      <c r="AS50" t="str">
        <f t="shared" si="6"/>
        <v/>
      </c>
      <c r="AT50" t="str">
        <f t="shared" si="7"/>
        <v/>
      </c>
      <c r="BG50" t="str">
        <f t="shared" si="8"/>
        <v/>
      </c>
      <c r="BH50" t="str">
        <f t="shared" si="9"/>
        <v/>
      </c>
      <c r="BL50" t="str">
        <f>IFERROR(INDEX(_names_lookup!$C:$C,MATCH(BK50,_names_lookup!$A:$A,0)),"")</f>
        <v/>
      </c>
      <c r="BM50" t="str">
        <f>IFERROR(INDEX(_names_lookup!$B:$B,MATCH(BK50,_names_lookup!$A:$A,0)),"")</f>
        <v/>
      </c>
      <c r="BS50" t="str">
        <f t="shared" si="10"/>
        <v/>
      </c>
    </row>
    <row r="51" spans="15:71" x14ac:dyDescent="0.2">
      <c r="O51" t="str">
        <f>IFERROR(INDEX(_courses_lookup!$C:$C,MATCH(K51&amp;L51,_courses_lookup!$E:$E,0)),"")</f>
        <v/>
      </c>
      <c r="P51" t="str">
        <f>IFERROR(INDEX(_courses_lookup!$D:$D,MATCH(K51&amp;L51,_courses_lookup!$E:$E,0)),"")</f>
        <v/>
      </c>
      <c r="AG51" t="str">
        <f t="shared" si="0"/>
        <v/>
      </c>
      <c r="AI51" t="str">
        <f t="shared" si="1"/>
        <v/>
      </c>
      <c r="AL51" t="str">
        <f t="shared" si="2"/>
        <v/>
      </c>
      <c r="AN51" t="str">
        <f t="shared" si="3"/>
        <v/>
      </c>
      <c r="AQ51" t="str">
        <f t="shared" si="4"/>
        <v/>
      </c>
      <c r="AR51" t="str">
        <f t="shared" si="5"/>
        <v/>
      </c>
      <c r="AS51" t="str">
        <f t="shared" si="6"/>
        <v/>
      </c>
      <c r="AT51" t="str">
        <f t="shared" si="7"/>
        <v/>
      </c>
      <c r="BG51" t="str">
        <f t="shared" si="8"/>
        <v/>
      </c>
      <c r="BH51" t="str">
        <f t="shared" si="9"/>
        <v/>
      </c>
      <c r="BL51" t="str">
        <f>IFERROR(INDEX(_names_lookup!$C:$C,MATCH(BK51,_names_lookup!$A:$A,0)),"")</f>
        <v/>
      </c>
      <c r="BM51" t="str">
        <f>IFERROR(INDEX(_names_lookup!$B:$B,MATCH(BK51,_names_lookup!$A:$A,0)),"")</f>
        <v/>
      </c>
      <c r="BS51" t="str">
        <f t="shared" si="10"/>
        <v/>
      </c>
    </row>
    <row r="52" spans="15:71" x14ac:dyDescent="0.2">
      <c r="O52" t="str">
        <f>IFERROR(INDEX(_courses_lookup!$C:$C,MATCH(K52&amp;L52,_courses_lookup!$E:$E,0)),"")</f>
        <v/>
      </c>
      <c r="P52" t="str">
        <f>IFERROR(INDEX(_courses_lookup!$D:$D,MATCH(K52&amp;L52,_courses_lookup!$E:$E,0)),"")</f>
        <v/>
      </c>
      <c r="AG52" t="str">
        <f t="shared" si="0"/>
        <v/>
      </c>
      <c r="AI52" t="str">
        <f t="shared" si="1"/>
        <v/>
      </c>
      <c r="AL52" t="str">
        <f t="shared" si="2"/>
        <v/>
      </c>
      <c r="AN52" t="str">
        <f t="shared" si="3"/>
        <v/>
      </c>
      <c r="AQ52" t="str">
        <f t="shared" si="4"/>
        <v/>
      </c>
      <c r="AR52" t="str">
        <f t="shared" si="5"/>
        <v/>
      </c>
      <c r="AS52" t="str">
        <f t="shared" si="6"/>
        <v/>
      </c>
      <c r="AT52" t="str">
        <f t="shared" si="7"/>
        <v/>
      </c>
      <c r="BG52" t="str">
        <f t="shared" si="8"/>
        <v/>
      </c>
      <c r="BH52" t="str">
        <f t="shared" si="9"/>
        <v/>
      </c>
      <c r="BL52" t="str">
        <f>IFERROR(INDEX(_names_lookup!$C:$C,MATCH(BK52,_names_lookup!$A:$A,0)),"")</f>
        <v/>
      </c>
      <c r="BM52" t="str">
        <f>IFERROR(INDEX(_names_lookup!$B:$B,MATCH(BK52,_names_lookup!$A:$A,0)),"")</f>
        <v/>
      </c>
      <c r="BS52" t="str">
        <f t="shared" si="10"/>
        <v/>
      </c>
    </row>
    <row r="53" spans="15:71" x14ac:dyDescent="0.2">
      <c r="O53" t="str">
        <f>IFERROR(INDEX(_courses_lookup!$C:$C,MATCH(K53&amp;L53,_courses_lookup!$E:$E,0)),"")</f>
        <v/>
      </c>
      <c r="P53" t="str">
        <f>IFERROR(INDEX(_courses_lookup!$D:$D,MATCH(K53&amp;L53,_courses_lookup!$E:$E,0)),"")</f>
        <v/>
      </c>
      <c r="AG53" t="str">
        <f t="shared" si="0"/>
        <v/>
      </c>
      <c r="AI53" t="str">
        <f t="shared" si="1"/>
        <v/>
      </c>
      <c r="AL53" t="str">
        <f t="shared" si="2"/>
        <v/>
      </c>
      <c r="AN53" t="str">
        <f t="shared" si="3"/>
        <v/>
      </c>
      <c r="AQ53" t="str">
        <f t="shared" si="4"/>
        <v/>
      </c>
      <c r="AR53" t="str">
        <f t="shared" si="5"/>
        <v/>
      </c>
      <c r="AS53" t="str">
        <f t="shared" si="6"/>
        <v/>
      </c>
      <c r="AT53" t="str">
        <f t="shared" si="7"/>
        <v/>
      </c>
      <c r="BG53" t="str">
        <f t="shared" si="8"/>
        <v/>
      </c>
      <c r="BH53" t="str">
        <f t="shared" si="9"/>
        <v/>
      </c>
      <c r="BL53" t="str">
        <f>IFERROR(INDEX(_names_lookup!$C:$C,MATCH(BK53,_names_lookup!$A:$A,0)),"")</f>
        <v/>
      </c>
      <c r="BM53" t="str">
        <f>IFERROR(INDEX(_names_lookup!$B:$B,MATCH(BK53,_names_lookup!$A:$A,0)),"")</f>
        <v/>
      </c>
      <c r="BS53" t="str">
        <f t="shared" si="10"/>
        <v/>
      </c>
    </row>
    <row r="54" spans="15:71" x14ac:dyDescent="0.2">
      <c r="O54" t="str">
        <f>IFERROR(INDEX(_courses_lookup!$C:$C,MATCH(K54&amp;L54,_courses_lookup!$E:$E,0)),"")</f>
        <v/>
      </c>
      <c r="P54" t="str">
        <f>IFERROR(INDEX(_courses_lookup!$D:$D,MATCH(K54&amp;L54,_courses_lookup!$E:$E,0)),"")</f>
        <v/>
      </c>
      <c r="AG54" t="str">
        <f t="shared" si="0"/>
        <v/>
      </c>
      <c r="AI54" t="str">
        <f t="shared" si="1"/>
        <v/>
      </c>
      <c r="AL54" t="str">
        <f t="shared" si="2"/>
        <v/>
      </c>
      <c r="AN54" t="str">
        <f t="shared" si="3"/>
        <v/>
      </c>
      <c r="AQ54" t="str">
        <f t="shared" si="4"/>
        <v/>
      </c>
      <c r="AR54" t="str">
        <f t="shared" si="5"/>
        <v/>
      </c>
      <c r="AS54" t="str">
        <f t="shared" si="6"/>
        <v/>
      </c>
      <c r="AT54" t="str">
        <f t="shared" si="7"/>
        <v/>
      </c>
      <c r="BG54" t="str">
        <f t="shared" si="8"/>
        <v/>
      </c>
      <c r="BH54" t="str">
        <f t="shared" si="9"/>
        <v/>
      </c>
      <c r="BL54" t="str">
        <f>IFERROR(INDEX(_names_lookup!$C:$C,MATCH(BK54,_names_lookup!$A:$A,0)),"")</f>
        <v/>
      </c>
      <c r="BM54" t="str">
        <f>IFERROR(INDEX(_names_lookup!$B:$B,MATCH(BK54,_names_lookup!$A:$A,0)),"")</f>
        <v/>
      </c>
      <c r="BS54" t="str">
        <f t="shared" si="10"/>
        <v/>
      </c>
    </row>
    <row r="55" spans="15:71" x14ac:dyDescent="0.2">
      <c r="O55" t="str">
        <f>IFERROR(INDEX(_courses_lookup!$C:$C,MATCH(K55&amp;L55,_courses_lookup!$E:$E,0)),"")</f>
        <v/>
      </c>
      <c r="P55" t="str">
        <f>IFERROR(INDEX(_courses_lookup!$D:$D,MATCH(K55&amp;L55,_courses_lookup!$E:$E,0)),"")</f>
        <v/>
      </c>
      <c r="AG55" t="str">
        <f t="shared" si="0"/>
        <v/>
      </c>
      <c r="AI55" t="str">
        <f t="shared" si="1"/>
        <v/>
      </c>
      <c r="AL55" t="str">
        <f t="shared" si="2"/>
        <v/>
      </c>
      <c r="AN55" t="str">
        <f t="shared" si="3"/>
        <v/>
      </c>
      <c r="AQ55" t="str">
        <f t="shared" si="4"/>
        <v/>
      </c>
      <c r="AR55" t="str">
        <f t="shared" si="5"/>
        <v/>
      </c>
      <c r="AS55" t="str">
        <f t="shared" si="6"/>
        <v/>
      </c>
      <c r="AT55" t="str">
        <f t="shared" si="7"/>
        <v/>
      </c>
      <c r="BG55" t="str">
        <f t="shared" si="8"/>
        <v/>
      </c>
      <c r="BH55" t="str">
        <f t="shared" si="9"/>
        <v/>
      </c>
      <c r="BL55" t="str">
        <f>IFERROR(INDEX(_names_lookup!$C:$C,MATCH(BK55,_names_lookup!$A:$A,0)),"")</f>
        <v/>
      </c>
      <c r="BM55" t="str">
        <f>IFERROR(INDEX(_names_lookup!$B:$B,MATCH(BK55,_names_lookup!$A:$A,0)),"")</f>
        <v/>
      </c>
      <c r="BS55" t="str">
        <f t="shared" si="10"/>
        <v/>
      </c>
    </row>
    <row r="56" spans="15:71" x14ac:dyDescent="0.2">
      <c r="O56" t="str">
        <f>IFERROR(INDEX(_courses_lookup!$C:$C,MATCH(K56&amp;L56,_courses_lookup!$E:$E,0)),"")</f>
        <v/>
      </c>
      <c r="P56" t="str">
        <f>IFERROR(INDEX(_courses_lookup!$D:$D,MATCH(K56&amp;L56,_courses_lookup!$E:$E,0)),"")</f>
        <v/>
      </c>
      <c r="AG56" t="str">
        <f t="shared" si="0"/>
        <v/>
      </c>
      <c r="AI56" t="str">
        <f t="shared" si="1"/>
        <v/>
      </c>
      <c r="AL56" t="str">
        <f t="shared" si="2"/>
        <v/>
      </c>
      <c r="AN56" t="str">
        <f t="shared" si="3"/>
        <v/>
      </c>
      <c r="AQ56" t="str">
        <f t="shared" si="4"/>
        <v/>
      </c>
      <c r="AR56" t="str">
        <f t="shared" si="5"/>
        <v/>
      </c>
      <c r="AS56" t="str">
        <f t="shared" si="6"/>
        <v/>
      </c>
      <c r="AT56" t="str">
        <f t="shared" si="7"/>
        <v/>
      </c>
      <c r="BG56" t="str">
        <f t="shared" si="8"/>
        <v/>
      </c>
      <c r="BH56" t="str">
        <f t="shared" si="9"/>
        <v/>
      </c>
      <c r="BL56" t="str">
        <f>IFERROR(INDEX(_names_lookup!$C:$C,MATCH(BK56,_names_lookup!$A:$A,0)),"")</f>
        <v/>
      </c>
      <c r="BM56" t="str">
        <f>IFERROR(INDEX(_names_lookup!$B:$B,MATCH(BK56,_names_lookup!$A:$A,0)),"")</f>
        <v/>
      </c>
      <c r="BS56" t="str">
        <f t="shared" si="10"/>
        <v/>
      </c>
    </row>
    <row r="57" spans="15:71" x14ac:dyDescent="0.2">
      <c r="O57" t="str">
        <f>IFERROR(INDEX(_courses_lookup!$C:$C,MATCH(K57&amp;L57,_courses_lookup!$E:$E,0)),"")</f>
        <v/>
      </c>
      <c r="P57" t="str">
        <f>IFERROR(INDEX(_courses_lookup!$D:$D,MATCH(K57&amp;L57,_courses_lookup!$E:$E,0)),"")</f>
        <v/>
      </c>
      <c r="AG57" t="str">
        <f t="shared" si="0"/>
        <v/>
      </c>
      <c r="AI57" t="str">
        <f t="shared" si="1"/>
        <v/>
      </c>
      <c r="AL57" t="str">
        <f t="shared" si="2"/>
        <v/>
      </c>
      <c r="AN57" t="str">
        <f t="shared" si="3"/>
        <v/>
      </c>
      <c r="AQ57" t="str">
        <f t="shared" si="4"/>
        <v/>
      </c>
      <c r="AR57" t="str">
        <f t="shared" si="5"/>
        <v/>
      </c>
      <c r="AS57" t="str">
        <f t="shared" si="6"/>
        <v/>
      </c>
      <c r="AT57" t="str">
        <f t="shared" si="7"/>
        <v/>
      </c>
      <c r="BG57" t="str">
        <f t="shared" si="8"/>
        <v/>
      </c>
      <c r="BH57" t="str">
        <f t="shared" si="9"/>
        <v/>
      </c>
      <c r="BL57" t="str">
        <f>IFERROR(INDEX(_names_lookup!$C:$C,MATCH(BK57,_names_lookup!$A:$A,0)),"")</f>
        <v/>
      </c>
      <c r="BM57" t="str">
        <f>IFERROR(INDEX(_names_lookup!$B:$B,MATCH(BK57,_names_lookup!$A:$A,0)),"")</f>
        <v/>
      </c>
      <c r="BS57" t="str">
        <f t="shared" si="10"/>
        <v/>
      </c>
    </row>
    <row r="58" spans="15:71" x14ac:dyDescent="0.2">
      <c r="O58" t="str">
        <f>IFERROR(INDEX(_courses_lookup!$C:$C,MATCH(K58&amp;L58,_courses_lookup!$E:$E,0)),"")</f>
        <v/>
      </c>
      <c r="P58" t="str">
        <f>IFERROR(INDEX(_courses_lookup!$D:$D,MATCH(K58&amp;L58,_courses_lookup!$E:$E,0)),"")</f>
        <v/>
      </c>
      <c r="AG58" t="str">
        <f t="shared" si="0"/>
        <v/>
      </c>
      <c r="AI58" t="str">
        <f t="shared" si="1"/>
        <v/>
      </c>
      <c r="AL58" t="str">
        <f t="shared" si="2"/>
        <v/>
      </c>
      <c r="AN58" t="str">
        <f t="shared" si="3"/>
        <v/>
      </c>
      <c r="AQ58" t="str">
        <f t="shared" si="4"/>
        <v/>
      </c>
      <c r="AR58" t="str">
        <f t="shared" si="5"/>
        <v/>
      </c>
      <c r="AS58" t="str">
        <f t="shared" si="6"/>
        <v/>
      </c>
      <c r="AT58" t="str">
        <f t="shared" si="7"/>
        <v/>
      </c>
      <c r="BG58" t="str">
        <f t="shared" si="8"/>
        <v/>
      </c>
      <c r="BH58" t="str">
        <f t="shared" si="9"/>
        <v/>
      </c>
      <c r="BL58" t="str">
        <f>IFERROR(INDEX(_names_lookup!$C:$C,MATCH(BK58,_names_lookup!$A:$A,0)),"")</f>
        <v/>
      </c>
      <c r="BM58" t="str">
        <f>IFERROR(INDEX(_names_lookup!$B:$B,MATCH(BK58,_names_lookup!$A:$A,0)),"")</f>
        <v/>
      </c>
      <c r="BS58" t="str">
        <f t="shared" si="10"/>
        <v/>
      </c>
    </row>
    <row r="59" spans="15:71" x14ac:dyDescent="0.2">
      <c r="O59" t="str">
        <f>IFERROR(INDEX(_courses_lookup!$C:$C,MATCH(K59&amp;L59,_courses_lookup!$E:$E,0)),"")</f>
        <v/>
      </c>
      <c r="P59" t="str">
        <f>IFERROR(INDEX(_courses_lookup!$D:$D,MATCH(K59&amp;L59,_courses_lookup!$E:$E,0)),"")</f>
        <v/>
      </c>
      <c r="AG59" t="str">
        <f t="shared" si="0"/>
        <v/>
      </c>
      <c r="AI59" t="str">
        <f t="shared" si="1"/>
        <v/>
      </c>
      <c r="AL59" t="str">
        <f t="shared" si="2"/>
        <v/>
      </c>
      <c r="AN59" t="str">
        <f t="shared" si="3"/>
        <v/>
      </c>
      <c r="AQ59" t="str">
        <f t="shared" si="4"/>
        <v/>
      </c>
      <c r="AR59" t="str">
        <f t="shared" si="5"/>
        <v/>
      </c>
      <c r="AS59" t="str">
        <f t="shared" si="6"/>
        <v/>
      </c>
      <c r="AT59" t="str">
        <f t="shared" si="7"/>
        <v/>
      </c>
      <c r="BG59" t="str">
        <f t="shared" si="8"/>
        <v/>
      </c>
      <c r="BH59" t="str">
        <f t="shared" si="9"/>
        <v/>
      </c>
      <c r="BL59" t="str">
        <f>IFERROR(INDEX(_names_lookup!$C:$C,MATCH(BK59,_names_lookup!$A:$A,0)),"")</f>
        <v/>
      </c>
      <c r="BM59" t="str">
        <f>IFERROR(INDEX(_names_lookup!$B:$B,MATCH(BK59,_names_lookup!$A:$A,0)),"")</f>
        <v/>
      </c>
      <c r="BS59" t="str">
        <f t="shared" si="10"/>
        <v/>
      </c>
    </row>
    <row r="60" spans="15:71" x14ac:dyDescent="0.2">
      <c r="O60" t="str">
        <f>IFERROR(INDEX(_courses_lookup!$C:$C,MATCH(K60&amp;L60,_courses_lookup!$E:$E,0)),"")</f>
        <v/>
      </c>
      <c r="P60" t="str">
        <f>IFERROR(INDEX(_courses_lookup!$D:$D,MATCH(K60&amp;L60,_courses_lookup!$E:$E,0)),"")</f>
        <v/>
      </c>
      <c r="AG60" t="str">
        <f t="shared" si="0"/>
        <v/>
      </c>
      <c r="AI60" t="str">
        <f t="shared" si="1"/>
        <v/>
      </c>
      <c r="AL60" t="str">
        <f t="shared" si="2"/>
        <v/>
      </c>
      <c r="AN60" t="str">
        <f t="shared" si="3"/>
        <v/>
      </c>
      <c r="AQ60" t="str">
        <f t="shared" si="4"/>
        <v/>
      </c>
      <c r="AR60" t="str">
        <f t="shared" si="5"/>
        <v/>
      </c>
      <c r="AS60" t="str">
        <f t="shared" si="6"/>
        <v/>
      </c>
      <c r="AT60" t="str">
        <f t="shared" si="7"/>
        <v/>
      </c>
      <c r="BG60" t="str">
        <f t="shared" si="8"/>
        <v/>
      </c>
      <c r="BH60" t="str">
        <f t="shared" si="9"/>
        <v/>
      </c>
      <c r="BL60" t="str">
        <f>IFERROR(INDEX(_names_lookup!$C:$C,MATCH(BK60,_names_lookup!$A:$A,0)),"")</f>
        <v/>
      </c>
      <c r="BM60" t="str">
        <f>IFERROR(INDEX(_names_lookup!$B:$B,MATCH(BK60,_names_lookup!$A:$A,0)),"")</f>
        <v/>
      </c>
      <c r="BS60" t="str">
        <f t="shared" si="10"/>
        <v/>
      </c>
    </row>
    <row r="61" spans="15:71" x14ac:dyDescent="0.2">
      <c r="O61" t="str">
        <f>IFERROR(INDEX(_courses_lookup!$C:$C,MATCH(K61&amp;L61,_courses_lookup!$E:$E,0)),"")</f>
        <v/>
      </c>
      <c r="P61" t="str">
        <f>IFERROR(INDEX(_courses_lookup!$D:$D,MATCH(K61&amp;L61,_courses_lookup!$E:$E,0)),"")</f>
        <v/>
      </c>
      <c r="AG61" t="str">
        <f t="shared" si="0"/>
        <v/>
      </c>
      <c r="AI61" t="str">
        <f t="shared" si="1"/>
        <v/>
      </c>
      <c r="AL61" t="str">
        <f t="shared" si="2"/>
        <v/>
      </c>
      <c r="AN61" t="str">
        <f t="shared" si="3"/>
        <v/>
      </c>
      <c r="AQ61" t="str">
        <f t="shared" si="4"/>
        <v/>
      </c>
      <c r="AR61" t="str">
        <f t="shared" si="5"/>
        <v/>
      </c>
      <c r="AS61" t="str">
        <f t="shared" si="6"/>
        <v/>
      </c>
      <c r="AT61" t="str">
        <f t="shared" si="7"/>
        <v/>
      </c>
      <c r="BG61" t="str">
        <f t="shared" si="8"/>
        <v/>
      </c>
      <c r="BH61" t="str">
        <f t="shared" si="9"/>
        <v/>
      </c>
      <c r="BL61" t="str">
        <f>IFERROR(INDEX(_names_lookup!$C:$C,MATCH(BK61,_names_lookup!$A:$A,0)),"")</f>
        <v/>
      </c>
      <c r="BM61" t="str">
        <f>IFERROR(INDEX(_names_lookup!$B:$B,MATCH(BK61,_names_lookup!$A:$A,0)),"")</f>
        <v/>
      </c>
      <c r="BS61" t="str">
        <f t="shared" si="10"/>
        <v/>
      </c>
    </row>
    <row r="62" spans="15:71" x14ac:dyDescent="0.2">
      <c r="O62" t="str">
        <f>IFERROR(INDEX(_courses_lookup!$C:$C,MATCH(K62&amp;L62,_courses_lookup!$E:$E,0)),"")</f>
        <v/>
      </c>
      <c r="P62" t="str">
        <f>IFERROR(INDEX(_courses_lookup!$D:$D,MATCH(K62&amp;L62,_courses_lookup!$E:$E,0)),"")</f>
        <v/>
      </c>
      <c r="AG62" t="str">
        <f t="shared" si="0"/>
        <v/>
      </c>
      <c r="AI62" t="str">
        <f t="shared" si="1"/>
        <v/>
      </c>
      <c r="AL62" t="str">
        <f t="shared" si="2"/>
        <v/>
      </c>
      <c r="AN62" t="str">
        <f t="shared" si="3"/>
        <v/>
      </c>
      <c r="AQ62" t="str">
        <f t="shared" si="4"/>
        <v/>
      </c>
      <c r="AR62" t="str">
        <f t="shared" si="5"/>
        <v/>
      </c>
      <c r="AS62" t="str">
        <f t="shared" si="6"/>
        <v/>
      </c>
      <c r="AT62" t="str">
        <f t="shared" si="7"/>
        <v/>
      </c>
      <c r="BG62" t="str">
        <f t="shared" si="8"/>
        <v/>
      </c>
      <c r="BH62" t="str">
        <f t="shared" si="9"/>
        <v/>
      </c>
      <c r="BL62" t="str">
        <f>IFERROR(INDEX(_names_lookup!$C:$C,MATCH(BK62,_names_lookup!$A:$A,0)),"")</f>
        <v/>
      </c>
      <c r="BM62" t="str">
        <f>IFERROR(INDEX(_names_lookup!$B:$B,MATCH(BK62,_names_lookup!$A:$A,0)),"")</f>
        <v/>
      </c>
      <c r="BS62" t="str">
        <f t="shared" si="10"/>
        <v/>
      </c>
    </row>
    <row r="63" spans="15:71" x14ac:dyDescent="0.2">
      <c r="O63" t="str">
        <f>IFERROR(INDEX(_courses_lookup!$C:$C,MATCH(K63&amp;L63,_courses_lookup!$E:$E,0)),"")</f>
        <v/>
      </c>
      <c r="P63" t="str">
        <f>IFERROR(INDEX(_courses_lookup!$D:$D,MATCH(K63&amp;L63,_courses_lookup!$E:$E,0)),"")</f>
        <v/>
      </c>
      <c r="AG63" t="str">
        <f t="shared" si="0"/>
        <v/>
      </c>
      <c r="AI63" t="str">
        <f t="shared" si="1"/>
        <v/>
      </c>
      <c r="AL63" t="str">
        <f t="shared" si="2"/>
        <v/>
      </c>
      <c r="AN63" t="str">
        <f t="shared" si="3"/>
        <v/>
      </c>
      <c r="AQ63" t="str">
        <f t="shared" si="4"/>
        <v/>
      </c>
      <c r="AR63" t="str">
        <f t="shared" si="5"/>
        <v/>
      </c>
      <c r="AS63" t="str">
        <f t="shared" si="6"/>
        <v/>
      </c>
      <c r="AT63" t="str">
        <f t="shared" si="7"/>
        <v/>
      </c>
      <c r="BG63" t="str">
        <f t="shared" si="8"/>
        <v/>
      </c>
      <c r="BH63" t="str">
        <f t="shared" si="9"/>
        <v/>
      </c>
      <c r="BL63" t="str">
        <f>IFERROR(INDEX(_names_lookup!$C:$C,MATCH(BK63,_names_lookup!$A:$A,0)),"")</f>
        <v/>
      </c>
      <c r="BM63" t="str">
        <f>IFERROR(INDEX(_names_lookup!$B:$B,MATCH(BK63,_names_lookup!$A:$A,0)),"")</f>
        <v/>
      </c>
      <c r="BS63" t="str">
        <f t="shared" si="10"/>
        <v/>
      </c>
    </row>
    <row r="64" spans="15:71" x14ac:dyDescent="0.2">
      <c r="O64" t="str">
        <f>IFERROR(INDEX(_courses_lookup!$C:$C,MATCH(K64&amp;L64,_courses_lookup!$E:$E,0)),"")</f>
        <v/>
      </c>
      <c r="P64" t="str">
        <f>IFERROR(INDEX(_courses_lookup!$D:$D,MATCH(K64&amp;L64,_courses_lookup!$E:$E,0)),"")</f>
        <v/>
      </c>
      <c r="AG64" t="str">
        <f t="shared" si="0"/>
        <v/>
      </c>
      <c r="AI64" t="str">
        <f t="shared" si="1"/>
        <v/>
      </c>
      <c r="AL64" t="str">
        <f t="shared" si="2"/>
        <v/>
      </c>
      <c r="AN64" t="str">
        <f t="shared" si="3"/>
        <v/>
      </c>
      <c r="AQ64" t="str">
        <f t="shared" si="4"/>
        <v/>
      </c>
      <c r="AR64" t="str">
        <f t="shared" si="5"/>
        <v/>
      </c>
      <c r="AS64" t="str">
        <f t="shared" si="6"/>
        <v/>
      </c>
      <c r="AT64" t="str">
        <f t="shared" si="7"/>
        <v/>
      </c>
      <c r="BG64" t="str">
        <f t="shared" si="8"/>
        <v/>
      </c>
      <c r="BH64" t="str">
        <f t="shared" si="9"/>
        <v/>
      </c>
      <c r="BL64" t="str">
        <f>IFERROR(INDEX(_names_lookup!$C:$C,MATCH(BK64,_names_lookup!$A:$A,0)),"")</f>
        <v/>
      </c>
      <c r="BM64" t="str">
        <f>IFERROR(INDEX(_names_lookup!$B:$B,MATCH(BK64,_names_lookup!$A:$A,0)),"")</f>
        <v/>
      </c>
      <c r="BS64" t="str">
        <f t="shared" si="10"/>
        <v/>
      </c>
    </row>
    <row r="65" spans="15:71" x14ac:dyDescent="0.2">
      <c r="O65" t="str">
        <f>IFERROR(INDEX(_courses_lookup!$C:$C,MATCH(K65&amp;L65,_courses_lookup!$E:$E,0)),"")</f>
        <v/>
      </c>
      <c r="P65" t="str">
        <f>IFERROR(INDEX(_courses_lookup!$D:$D,MATCH(K65&amp;L65,_courses_lookup!$E:$E,0)),"")</f>
        <v/>
      </c>
      <c r="AG65" t="str">
        <f t="shared" si="0"/>
        <v/>
      </c>
      <c r="AI65" t="str">
        <f t="shared" si="1"/>
        <v/>
      </c>
      <c r="AL65" t="str">
        <f t="shared" si="2"/>
        <v/>
      </c>
      <c r="AN65" t="str">
        <f t="shared" si="3"/>
        <v/>
      </c>
      <c r="AQ65" t="str">
        <f t="shared" si="4"/>
        <v/>
      </c>
      <c r="AR65" t="str">
        <f t="shared" si="5"/>
        <v/>
      </c>
      <c r="AS65" t="str">
        <f t="shared" si="6"/>
        <v/>
      </c>
      <c r="AT65" t="str">
        <f t="shared" si="7"/>
        <v/>
      </c>
      <c r="BG65" t="str">
        <f t="shared" si="8"/>
        <v/>
      </c>
      <c r="BH65" t="str">
        <f t="shared" si="9"/>
        <v/>
      </c>
      <c r="BL65" t="str">
        <f>IFERROR(INDEX(_names_lookup!$C:$C,MATCH(BK65,_names_lookup!$A:$A,0)),"")</f>
        <v/>
      </c>
      <c r="BM65" t="str">
        <f>IFERROR(INDEX(_names_lookup!$B:$B,MATCH(BK65,_names_lookup!$A:$A,0)),"")</f>
        <v/>
      </c>
      <c r="BS65" t="str">
        <f t="shared" si="10"/>
        <v/>
      </c>
    </row>
    <row r="66" spans="15:71" x14ac:dyDescent="0.2">
      <c r="O66" t="str">
        <f>IFERROR(INDEX(_courses_lookup!$C:$C,MATCH(K66&amp;L66,_courses_lookup!$E:$E,0)),"")</f>
        <v/>
      </c>
      <c r="P66" t="str">
        <f>IFERROR(INDEX(_courses_lookup!$D:$D,MATCH(K66&amp;L66,_courses_lookup!$E:$E,0)),"")</f>
        <v/>
      </c>
      <c r="AG66" t="str">
        <f t="shared" ref="AG66:AG129" si="11">IF(AND(AE66&lt;&gt;"",AF66&lt;&gt;""),ROUNDUP((AF66-AE66)/7,0),"")</f>
        <v/>
      </c>
      <c r="AI66" t="str">
        <f t="shared" ref="AI66:AI129" si="12">IFERROR(IF(AG66*AH66=0,"",AG66*AH66),"")</f>
        <v/>
      </c>
      <c r="AL66" t="str">
        <f t="shared" ref="AL66:AL129" si="13">IF(AND(AJ66&lt;&gt;"",AK66&lt;&gt;""),ROUNDUP((AK66-AJ66)/7,0),"")</f>
        <v/>
      </c>
      <c r="AN66" t="str">
        <f t="shared" ref="AN66:AN129" si="14">IFERROR(IF(AL66*AM66=0,"",AL66*AM66),"")</f>
        <v/>
      </c>
      <c r="AQ66" t="str">
        <f t="shared" ref="AQ66:AQ129" si="15">IF(AND(AO66&lt;&gt;"",AP66&lt;&gt;""),ROUNDUP((AP66-AO66)/7,0),"")</f>
        <v/>
      </c>
      <c r="AR66" t="str">
        <f t="shared" ref="AR66:AR129" si="16">IFERROR(IF((AU66-(AI66+AN66))/AQ66=0,"",ROUNDUP((AU66-(AI66+AN66))/AQ66,0)),"")</f>
        <v/>
      </c>
      <c r="AS66" t="str">
        <f t="shared" ref="AS66:AS129" si="17">IFERROR(IF((AU66-(AI66+AN66))=0,"",(AU66-(AI66+AN66))),"")</f>
        <v/>
      </c>
      <c r="AT66" t="str">
        <f t="shared" ref="AT66:AT129" si="18">IF(AND(AG66="",AQ66=""),AL66,IF(SUM(AG66,AL66,AQ66)=0,"",SUM(AG66,AL66,AQ66)))</f>
        <v/>
      </c>
      <c r="BG66" t="str">
        <f t="shared" ref="BG66:BG129" si="19">IF(AD66="","",YEAR(AD66)+IF(MONTH(AD66)&gt;=5,1,0))</f>
        <v/>
      </c>
      <c r="BH66" t="str">
        <f t="shared" ref="BH66:BH129" si="20">IF(AD66="","",IF(AND(MONTH(AD66)=8,DAY(AD66)&gt;=15),"Fall",IF(MONTH(AD66)&gt;8,"Fall",IF(MONTH(AD66)=5,"Summer",IF(MONTH(AD66)=1,"Spring","")))))</f>
        <v/>
      </c>
      <c r="BL66" t="str">
        <f>IFERROR(INDEX(_names_lookup!$C:$C,MATCH(BK66,_names_lookup!$A:$A,0)),"")</f>
        <v/>
      </c>
      <c r="BM66" t="str">
        <f>IFERROR(INDEX(_names_lookup!$B:$B,MATCH(BK66,_names_lookup!$A:$A,0)),"")</f>
        <v/>
      </c>
      <c r="BS66" t="str">
        <f t="shared" ref="BS66:BS129" si="21">IFERROR(IF(BR66*AA66=0,"",BR66*AA66),"")</f>
        <v/>
      </c>
    </row>
    <row r="67" spans="15:71" x14ac:dyDescent="0.2">
      <c r="O67" t="str">
        <f>IFERROR(INDEX(_courses_lookup!$C:$C,MATCH(K67&amp;L67,_courses_lookup!$E:$E,0)),"")</f>
        <v/>
      </c>
      <c r="P67" t="str">
        <f>IFERROR(INDEX(_courses_lookup!$D:$D,MATCH(K67&amp;L67,_courses_lookup!$E:$E,0)),"")</f>
        <v/>
      </c>
      <c r="AG67" t="str">
        <f t="shared" si="11"/>
        <v/>
      </c>
      <c r="AI67" t="str">
        <f t="shared" si="12"/>
        <v/>
      </c>
      <c r="AL67" t="str">
        <f t="shared" si="13"/>
        <v/>
      </c>
      <c r="AN67" t="str">
        <f t="shared" si="14"/>
        <v/>
      </c>
      <c r="AQ67" t="str">
        <f t="shared" si="15"/>
        <v/>
      </c>
      <c r="AR67" t="str">
        <f t="shared" si="16"/>
        <v/>
      </c>
      <c r="AS67" t="str">
        <f t="shared" si="17"/>
        <v/>
      </c>
      <c r="AT67" t="str">
        <f t="shared" si="18"/>
        <v/>
      </c>
      <c r="BG67" t="str">
        <f t="shared" si="19"/>
        <v/>
      </c>
      <c r="BH67" t="str">
        <f t="shared" si="20"/>
        <v/>
      </c>
      <c r="BL67" t="str">
        <f>IFERROR(INDEX(_names_lookup!$C:$C,MATCH(BK67,_names_lookup!$A:$A,0)),"")</f>
        <v/>
      </c>
      <c r="BM67" t="str">
        <f>IFERROR(INDEX(_names_lookup!$B:$B,MATCH(BK67,_names_lookup!$A:$A,0)),"")</f>
        <v/>
      </c>
      <c r="BS67" t="str">
        <f t="shared" si="21"/>
        <v/>
      </c>
    </row>
    <row r="68" spans="15:71" x14ac:dyDescent="0.2">
      <c r="O68" t="str">
        <f>IFERROR(INDEX(_courses_lookup!$C:$C,MATCH(K68&amp;L68,_courses_lookup!$E:$E,0)),"")</f>
        <v/>
      </c>
      <c r="P68" t="str">
        <f>IFERROR(INDEX(_courses_lookup!$D:$D,MATCH(K68&amp;L68,_courses_lookup!$E:$E,0)),"")</f>
        <v/>
      </c>
      <c r="AG68" t="str">
        <f t="shared" si="11"/>
        <v/>
      </c>
      <c r="AI68" t="str">
        <f t="shared" si="12"/>
        <v/>
      </c>
      <c r="AL68" t="str">
        <f t="shared" si="13"/>
        <v/>
      </c>
      <c r="AN68" t="str">
        <f t="shared" si="14"/>
        <v/>
      </c>
      <c r="AQ68" t="str">
        <f t="shared" si="15"/>
        <v/>
      </c>
      <c r="AR68" t="str">
        <f t="shared" si="16"/>
        <v/>
      </c>
      <c r="AS68" t="str">
        <f t="shared" si="17"/>
        <v/>
      </c>
      <c r="AT68" t="str">
        <f t="shared" si="18"/>
        <v/>
      </c>
      <c r="BG68" t="str">
        <f t="shared" si="19"/>
        <v/>
      </c>
      <c r="BH68" t="str">
        <f t="shared" si="20"/>
        <v/>
      </c>
      <c r="BL68" t="str">
        <f>IFERROR(INDEX(_names_lookup!$C:$C,MATCH(BK68,_names_lookup!$A:$A,0)),"")</f>
        <v/>
      </c>
      <c r="BM68" t="str">
        <f>IFERROR(INDEX(_names_lookup!$B:$B,MATCH(BK68,_names_lookup!$A:$A,0)),"")</f>
        <v/>
      </c>
      <c r="BS68" t="str">
        <f t="shared" si="21"/>
        <v/>
      </c>
    </row>
    <row r="69" spans="15:71" x14ac:dyDescent="0.2">
      <c r="O69" t="str">
        <f>IFERROR(INDEX(_courses_lookup!$C:$C,MATCH(K69&amp;L69,_courses_lookup!$E:$E,0)),"")</f>
        <v/>
      </c>
      <c r="P69" t="str">
        <f>IFERROR(INDEX(_courses_lookup!$D:$D,MATCH(K69&amp;L69,_courses_lookup!$E:$E,0)),"")</f>
        <v/>
      </c>
      <c r="AG69" t="str">
        <f t="shared" si="11"/>
        <v/>
      </c>
      <c r="AI69" t="str">
        <f t="shared" si="12"/>
        <v/>
      </c>
      <c r="AL69" t="str">
        <f t="shared" si="13"/>
        <v/>
      </c>
      <c r="AN69" t="str">
        <f t="shared" si="14"/>
        <v/>
      </c>
      <c r="AQ69" t="str">
        <f t="shared" si="15"/>
        <v/>
      </c>
      <c r="AR69" t="str">
        <f t="shared" si="16"/>
        <v/>
      </c>
      <c r="AS69" t="str">
        <f t="shared" si="17"/>
        <v/>
      </c>
      <c r="AT69" t="str">
        <f t="shared" si="18"/>
        <v/>
      </c>
      <c r="BG69" t="str">
        <f t="shared" si="19"/>
        <v/>
      </c>
      <c r="BH69" t="str">
        <f t="shared" si="20"/>
        <v/>
      </c>
      <c r="BL69" t="str">
        <f>IFERROR(INDEX(_names_lookup!$C:$C,MATCH(BK69,_names_lookup!$A:$A,0)),"")</f>
        <v/>
      </c>
      <c r="BM69" t="str">
        <f>IFERROR(INDEX(_names_lookup!$B:$B,MATCH(BK69,_names_lookup!$A:$A,0)),"")</f>
        <v/>
      </c>
      <c r="BS69" t="str">
        <f t="shared" si="21"/>
        <v/>
      </c>
    </row>
    <row r="70" spans="15:71" x14ac:dyDescent="0.2">
      <c r="O70" t="str">
        <f>IFERROR(INDEX(_courses_lookup!$C:$C,MATCH(K70&amp;L70,_courses_lookup!$E:$E,0)),"")</f>
        <v/>
      </c>
      <c r="P70" t="str">
        <f>IFERROR(INDEX(_courses_lookup!$D:$D,MATCH(K70&amp;L70,_courses_lookup!$E:$E,0)),"")</f>
        <v/>
      </c>
      <c r="AG70" t="str">
        <f t="shared" si="11"/>
        <v/>
      </c>
      <c r="AI70" t="str">
        <f t="shared" si="12"/>
        <v/>
      </c>
      <c r="AL70" t="str">
        <f t="shared" si="13"/>
        <v/>
      </c>
      <c r="AN70" t="str">
        <f t="shared" si="14"/>
        <v/>
      </c>
      <c r="AQ70" t="str">
        <f t="shared" si="15"/>
        <v/>
      </c>
      <c r="AR70" t="str">
        <f t="shared" si="16"/>
        <v/>
      </c>
      <c r="AS70" t="str">
        <f t="shared" si="17"/>
        <v/>
      </c>
      <c r="AT70" t="str">
        <f t="shared" si="18"/>
        <v/>
      </c>
      <c r="BG70" t="str">
        <f t="shared" si="19"/>
        <v/>
      </c>
      <c r="BH70" t="str">
        <f t="shared" si="20"/>
        <v/>
      </c>
      <c r="BL70" t="str">
        <f>IFERROR(INDEX(_names_lookup!$C:$C,MATCH(BK70,_names_lookup!$A:$A,0)),"")</f>
        <v/>
      </c>
      <c r="BM70" t="str">
        <f>IFERROR(INDEX(_names_lookup!$B:$B,MATCH(BK70,_names_lookup!$A:$A,0)),"")</f>
        <v/>
      </c>
      <c r="BS70" t="str">
        <f t="shared" si="21"/>
        <v/>
      </c>
    </row>
    <row r="71" spans="15:71" x14ac:dyDescent="0.2">
      <c r="O71" t="str">
        <f>IFERROR(INDEX(_courses_lookup!$C:$C,MATCH(K71&amp;L71,_courses_lookup!$E:$E,0)),"")</f>
        <v/>
      </c>
      <c r="P71" t="str">
        <f>IFERROR(INDEX(_courses_lookup!$D:$D,MATCH(K71&amp;L71,_courses_lookup!$E:$E,0)),"")</f>
        <v/>
      </c>
      <c r="AG71" t="str">
        <f t="shared" si="11"/>
        <v/>
      </c>
      <c r="AI71" t="str">
        <f t="shared" si="12"/>
        <v/>
      </c>
      <c r="AL71" t="str">
        <f t="shared" si="13"/>
        <v/>
      </c>
      <c r="AN71" t="str">
        <f t="shared" si="14"/>
        <v/>
      </c>
      <c r="AQ71" t="str">
        <f t="shared" si="15"/>
        <v/>
      </c>
      <c r="AR71" t="str">
        <f t="shared" si="16"/>
        <v/>
      </c>
      <c r="AS71" t="str">
        <f t="shared" si="17"/>
        <v/>
      </c>
      <c r="AT71" t="str">
        <f t="shared" si="18"/>
        <v/>
      </c>
      <c r="BG71" t="str">
        <f t="shared" si="19"/>
        <v/>
      </c>
      <c r="BH71" t="str">
        <f t="shared" si="20"/>
        <v/>
      </c>
      <c r="BL71" t="str">
        <f>IFERROR(INDEX(_names_lookup!$C:$C,MATCH(BK71,_names_lookup!$A:$A,0)),"")</f>
        <v/>
      </c>
      <c r="BM71" t="str">
        <f>IFERROR(INDEX(_names_lookup!$B:$B,MATCH(BK71,_names_lookup!$A:$A,0)),"")</f>
        <v/>
      </c>
      <c r="BS71" t="str">
        <f t="shared" si="21"/>
        <v/>
      </c>
    </row>
    <row r="72" spans="15:71" x14ac:dyDescent="0.2">
      <c r="O72" t="str">
        <f>IFERROR(INDEX(_courses_lookup!$C:$C,MATCH(K72&amp;L72,_courses_lookup!$E:$E,0)),"")</f>
        <v/>
      </c>
      <c r="P72" t="str">
        <f>IFERROR(INDEX(_courses_lookup!$D:$D,MATCH(K72&amp;L72,_courses_lookup!$E:$E,0)),"")</f>
        <v/>
      </c>
      <c r="AG72" t="str">
        <f t="shared" si="11"/>
        <v/>
      </c>
      <c r="AI72" t="str">
        <f t="shared" si="12"/>
        <v/>
      </c>
      <c r="AL72" t="str">
        <f t="shared" si="13"/>
        <v/>
      </c>
      <c r="AN72" t="str">
        <f t="shared" si="14"/>
        <v/>
      </c>
      <c r="AQ72" t="str">
        <f t="shared" si="15"/>
        <v/>
      </c>
      <c r="AR72" t="str">
        <f t="shared" si="16"/>
        <v/>
      </c>
      <c r="AS72" t="str">
        <f t="shared" si="17"/>
        <v/>
      </c>
      <c r="AT72" t="str">
        <f t="shared" si="18"/>
        <v/>
      </c>
      <c r="BG72" t="str">
        <f t="shared" si="19"/>
        <v/>
      </c>
      <c r="BH72" t="str">
        <f t="shared" si="20"/>
        <v/>
      </c>
      <c r="BL72" t="str">
        <f>IFERROR(INDEX(_names_lookup!$C:$C,MATCH(BK72,_names_lookup!$A:$A,0)),"")</f>
        <v/>
      </c>
      <c r="BM72" t="str">
        <f>IFERROR(INDEX(_names_lookup!$B:$B,MATCH(BK72,_names_lookup!$A:$A,0)),"")</f>
        <v/>
      </c>
      <c r="BS72" t="str">
        <f t="shared" si="21"/>
        <v/>
      </c>
    </row>
    <row r="73" spans="15:71" x14ac:dyDescent="0.2">
      <c r="O73" t="str">
        <f>IFERROR(INDEX(_courses_lookup!$C:$C,MATCH(K73&amp;L73,_courses_lookup!$E:$E,0)),"")</f>
        <v/>
      </c>
      <c r="P73" t="str">
        <f>IFERROR(INDEX(_courses_lookup!$D:$D,MATCH(K73&amp;L73,_courses_lookup!$E:$E,0)),"")</f>
        <v/>
      </c>
      <c r="AG73" t="str">
        <f t="shared" si="11"/>
        <v/>
      </c>
      <c r="AI73" t="str">
        <f t="shared" si="12"/>
        <v/>
      </c>
      <c r="AL73" t="str">
        <f t="shared" si="13"/>
        <v/>
      </c>
      <c r="AN73" t="str">
        <f t="shared" si="14"/>
        <v/>
      </c>
      <c r="AQ73" t="str">
        <f t="shared" si="15"/>
        <v/>
      </c>
      <c r="AR73" t="str">
        <f t="shared" si="16"/>
        <v/>
      </c>
      <c r="AS73" t="str">
        <f t="shared" si="17"/>
        <v/>
      </c>
      <c r="AT73" t="str">
        <f t="shared" si="18"/>
        <v/>
      </c>
      <c r="BG73" t="str">
        <f t="shared" si="19"/>
        <v/>
      </c>
      <c r="BH73" t="str">
        <f t="shared" si="20"/>
        <v/>
      </c>
      <c r="BL73" t="str">
        <f>IFERROR(INDEX(_names_lookup!$C:$C,MATCH(BK73,_names_lookup!$A:$A,0)),"")</f>
        <v/>
      </c>
      <c r="BM73" t="str">
        <f>IFERROR(INDEX(_names_lookup!$B:$B,MATCH(BK73,_names_lookup!$A:$A,0)),"")</f>
        <v/>
      </c>
      <c r="BS73" t="str">
        <f t="shared" si="21"/>
        <v/>
      </c>
    </row>
    <row r="74" spans="15:71" x14ac:dyDescent="0.2">
      <c r="O74" t="str">
        <f>IFERROR(INDEX(_courses_lookup!$C:$C,MATCH(K74&amp;L74,_courses_lookup!$E:$E,0)),"")</f>
        <v/>
      </c>
      <c r="P74" t="str">
        <f>IFERROR(INDEX(_courses_lookup!$D:$D,MATCH(K74&amp;L74,_courses_lookup!$E:$E,0)),"")</f>
        <v/>
      </c>
      <c r="AG74" t="str">
        <f t="shared" si="11"/>
        <v/>
      </c>
      <c r="AI74" t="str">
        <f t="shared" si="12"/>
        <v/>
      </c>
      <c r="AL74" t="str">
        <f t="shared" si="13"/>
        <v/>
      </c>
      <c r="AN74" t="str">
        <f t="shared" si="14"/>
        <v/>
      </c>
      <c r="AQ74" t="str">
        <f t="shared" si="15"/>
        <v/>
      </c>
      <c r="AR74" t="str">
        <f t="shared" si="16"/>
        <v/>
      </c>
      <c r="AS74" t="str">
        <f t="shared" si="17"/>
        <v/>
      </c>
      <c r="AT74" t="str">
        <f t="shared" si="18"/>
        <v/>
      </c>
      <c r="BG74" t="str">
        <f t="shared" si="19"/>
        <v/>
      </c>
      <c r="BH74" t="str">
        <f t="shared" si="20"/>
        <v/>
      </c>
      <c r="BL74" t="str">
        <f>IFERROR(INDEX(_names_lookup!$C:$C,MATCH(BK74,_names_lookup!$A:$A,0)),"")</f>
        <v/>
      </c>
      <c r="BM74" t="str">
        <f>IFERROR(INDEX(_names_lookup!$B:$B,MATCH(BK74,_names_lookup!$A:$A,0)),"")</f>
        <v/>
      </c>
      <c r="BS74" t="str">
        <f t="shared" si="21"/>
        <v/>
      </c>
    </row>
    <row r="75" spans="15:71" x14ac:dyDescent="0.2">
      <c r="O75" t="str">
        <f>IFERROR(INDEX(_courses_lookup!$C:$C,MATCH(K75&amp;L75,_courses_lookup!$E:$E,0)),"")</f>
        <v/>
      </c>
      <c r="P75" t="str">
        <f>IFERROR(INDEX(_courses_lookup!$D:$D,MATCH(K75&amp;L75,_courses_lookup!$E:$E,0)),"")</f>
        <v/>
      </c>
      <c r="AG75" t="str">
        <f t="shared" si="11"/>
        <v/>
      </c>
      <c r="AI75" t="str">
        <f t="shared" si="12"/>
        <v/>
      </c>
      <c r="AL75" t="str">
        <f t="shared" si="13"/>
        <v/>
      </c>
      <c r="AN75" t="str">
        <f t="shared" si="14"/>
        <v/>
      </c>
      <c r="AQ75" t="str">
        <f t="shared" si="15"/>
        <v/>
      </c>
      <c r="AR75" t="str">
        <f t="shared" si="16"/>
        <v/>
      </c>
      <c r="AS75" t="str">
        <f t="shared" si="17"/>
        <v/>
      </c>
      <c r="AT75" t="str">
        <f t="shared" si="18"/>
        <v/>
      </c>
      <c r="BG75" t="str">
        <f t="shared" si="19"/>
        <v/>
      </c>
      <c r="BH75" t="str">
        <f t="shared" si="20"/>
        <v/>
      </c>
      <c r="BL75" t="str">
        <f>IFERROR(INDEX(_names_lookup!$C:$C,MATCH(BK75,_names_lookup!$A:$A,0)),"")</f>
        <v/>
      </c>
      <c r="BM75" t="str">
        <f>IFERROR(INDEX(_names_lookup!$B:$B,MATCH(BK75,_names_lookup!$A:$A,0)),"")</f>
        <v/>
      </c>
      <c r="BS75" t="str">
        <f t="shared" si="21"/>
        <v/>
      </c>
    </row>
    <row r="76" spans="15:71" x14ac:dyDescent="0.2">
      <c r="O76" t="str">
        <f>IFERROR(INDEX(_courses_lookup!$C:$C,MATCH(K76&amp;L76,_courses_lookup!$E:$E,0)),"")</f>
        <v/>
      </c>
      <c r="P76" t="str">
        <f>IFERROR(INDEX(_courses_lookup!$D:$D,MATCH(K76&amp;L76,_courses_lookup!$E:$E,0)),"")</f>
        <v/>
      </c>
      <c r="AG76" t="str">
        <f t="shared" si="11"/>
        <v/>
      </c>
      <c r="AI76" t="str">
        <f t="shared" si="12"/>
        <v/>
      </c>
      <c r="AL76" t="str">
        <f t="shared" si="13"/>
        <v/>
      </c>
      <c r="AN76" t="str">
        <f t="shared" si="14"/>
        <v/>
      </c>
      <c r="AQ76" t="str">
        <f t="shared" si="15"/>
        <v/>
      </c>
      <c r="AR76" t="str">
        <f t="shared" si="16"/>
        <v/>
      </c>
      <c r="AS76" t="str">
        <f t="shared" si="17"/>
        <v/>
      </c>
      <c r="AT76" t="str">
        <f t="shared" si="18"/>
        <v/>
      </c>
      <c r="BG76" t="str">
        <f t="shared" si="19"/>
        <v/>
      </c>
      <c r="BH76" t="str">
        <f t="shared" si="20"/>
        <v/>
      </c>
      <c r="BL76" t="str">
        <f>IFERROR(INDEX(_names_lookup!$C:$C,MATCH(BK76,_names_lookup!$A:$A,0)),"")</f>
        <v/>
      </c>
      <c r="BM76" t="str">
        <f>IFERROR(INDEX(_names_lookup!$B:$B,MATCH(BK76,_names_lookup!$A:$A,0)),"")</f>
        <v/>
      </c>
      <c r="BS76" t="str">
        <f t="shared" si="21"/>
        <v/>
      </c>
    </row>
    <row r="77" spans="15:71" x14ac:dyDescent="0.2">
      <c r="O77" t="str">
        <f>IFERROR(INDEX(_courses_lookup!$C:$C,MATCH(K77&amp;L77,_courses_lookup!$E:$E,0)),"")</f>
        <v/>
      </c>
      <c r="P77" t="str">
        <f>IFERROR(INDEX(_courses_lookup!$D:$D,MATCH(K77&amp;L77,_courses_lookup!$E:$E,0)),"")</f>
        <v/>
      </c>
      <c r="AG77" t="str">
        <f t="shared" si="11"/>
        <v/>
      </c>
      <c r="AI77" t="str">
        <f t="shared" si="12"/>
        <v/>
      </c>
      <c r="AL77" t="str">
        <f t="shared" si="13"/>
        <v/>
      </c>
      <c r="AN77" t="str">
        <f t="shared" si="14"/>
        <v/>
      </c>
      <c r="AQ77" t="str">
        <f t="shared" si="15"/>
        <v/>
      </c>
      <c r="AR77" t="str">
        <f t="shared" si="16"/>
        <v/>
      </c>
      <c r="AS77" t="str">
        <f t="shared" si="17"/>
        <v/>
      </c>
      <c r="AT77" t="str">
        <f t="shared" si="18"/>
        <v/>
      </c>
      <c r="BG77" t="str">
        <f t="shared" si="19"/>
        <v/>
      </c>
      <c r="BH77" t="str">
        <f t="shared" si="20"/>
        <v/>
      </c>
      <c r="BL77" t="str">
        <f>IFERROR(INDEX(_names_lookup!$C:$C,MATCH(BK77,_names_lookup!$A:$A,0)),"")</f>
        <v/>
      </c>
      <c r="BM77" t="str">
        <f>IFERROR(INDEX(_names_lookup!$B:$B,MATCH(BK77,_names_lookup!$A:$A,0)),"")</f>
        <v/>
      </c>
      <c r="BS77" t="str">
        <f t="shared" si="21"/>
        <v/>
      </c>
    </row>
    <row r="78" spans="15:71" x14ac:dyDescent="0.2">
      <c r="O78" t="str">
        <f>IFERROR(INDEX(_courses_lookup!$C:$C,MATCH(K78&amp;L78,_courses_lookup!$E:$E,0)),"")</f>
        <v/>
      </c>
      <c r="P78" t="str">
        <f>IFERROR(INDEX(_courses_lookup!$D:$D,MATCH(K78&amp;L78,_courses_lookup!$E:$E,0)),"")</f>
        <v/>
      </c>
      <c r="AG78" t="str">
        <f t="shared" si="11"/>
        <v/>
      </c>
      <c r="AI78" t="str">
        <f t="shared" si="12"/>
        <v/>
      </c>
      <c r="AL78" t="str">
        <f t="shared" si="13"/>
        <v/>
      </c>
      <c r="AN78" t="str">
        <f t="shared" si="14"/>
        <v/>
      </c>
      <c r="AQ78" t="str">
        <f t="shared" si="15"/>
        <v/>
      </c>
      <c r="AR78" t="str">
        <f t="shared" si="16"/>
        <v/>
      </c>
      <c r="AS78" t="str">
        <f t="shared" si="17"/>
        <v/>
      </c>
      <c r="AT78" t="str">
        <f t="shared" si="18"/>
        <v/>
      </c>
      <c r="BG78" t="str">
        <f t="shared" si="19"/>
        <v/>
      </c>
      <c r="BH78" t="str">
        <f t="shared" si="20"/>
        <v/>
      </c>
      <c r="BL78" t="str">
        <f>IFERROR(INDEX(_names_lookup!$C:$C,MATCH(BK78,_names_lookup!$A:$A,0)),"")</f>
        <v/>
      </c>
      <c r="BM78" t="str">
        <f>IFERROR(INDEX(_names_lookup!$B:$B,MATCH(BK78,_names_lookup!$A:$A,0)),"")</f>
        <v/>
      </c>
      <c r="BS78" t="str">
        <f t="shared" si="21"/>
        <v/>
      </c>
    </row>
    <row r="79" spans="15:71" x14ac:dyDescent="0.2">
      <c r="O79" t="str">
        <f>IFERROR(INDEX(_courses_lookup!$C:$C,MATCH(K79&amp;L79,_courses_lookup!$E:$E,0)),"")</f>
        <v/>
      </c>
      <c r="P79" t="str">
        <f>IFERROR(INDEX(_courses_lookup!$D:$D,MATCH(K79&amp;L79,_courses_lookup!$E:$E,0)),"")</f>
        <v/>
      </c>
      <c r="AG79" t="str">
        <f t="shared" si="11"/>
        <v/>
      </c>
      <c r="AI79" t="str">
        <f t="shared" si="12"/>
        <v/>
      </c>
      <c r="AL79" t="str">
        <f t="shared" si="13"/>
        <v/>
      </c>
      <c r="AN79" t="str">
        <f t="shared" si="14"/>
        <v/>
      </c>
      <c r="AQ79" t="str">
        <f t="shared" si="15"/>
        <v/>
      </c>
      <c r="AR79" t="str">
        <f t="shared" si="16"/>
        <v/>
      </c>
      <c r="AS79" t="str">
        <f t="shared" si="17"/>
        <v/>
      </c>
      <c r="AT79" t="str">
        <f t="shared" si="18"/>
        <v/>
      </c>
      <c r="BG79" t="str">
        <f t="shared" si="19"/>
        <v/>
      </c>
      <c r="BH79" t="str">
        <f t="shared" si="20"/>
        <v/>
      </c>
      <c r="BL79" t="str">
        <f>IFERROR(INDEX(_names_lookup!$C:$C,MATCH(BK79,_names_lookup!$A:$A,0)),"")</f>
        <v/>
      </c>
      <c r="BM79" t="str">
        <f>IFERROR(INDEX(_names_lookup!$B:$B,MATCH(BK79,_names_lookup!$A:$A,0)),"")</f>
        <v/>
      </c>
      <c r="BS79" t="str">
        <f t="shared" si="21"/>
        <v/>
      </c>
    </row>
    <row r="80" spans="15:71" x14ac:dyDescent="0.2">
      <c r="O80" t="str">
        <f>IFERROR(INDEX(_courses_lookup!$C:$C,MATCH(K80&amp;L80,_courses_lookup!$E:$E,0)),"")</f>
        <v/>
      </c>
      <c r="P80" t="str">
        <f>IFERROR(INDEX(_courses_lookup!$D:$D,MATCH(K80&amp;L80,_courses_lookup!$E:$E,0)),"")</f>
        <v/>
      </c>
      <c r="AG80" t="str">
        <f t="shared" si="11"/>
        <v/>
      </c>
      <c r="AI80" t="str">
        <f t="shared" si="12"/>
        <v/>
      </c>
      <c r="AL80" t="str">
        <f t="shared" si="13"/>
        <v/>
      </c>
      <c r="AN80" t="str">
        <f t="shared" si="14"/>
        <v/>
      </c>
      <c r="AQ80" t="str">
        <f t="shared" si="15"/>
        <v/>
      </c>
      <c r="AR80" t="str">
        <f t="shared" si="16"/>
        <v/>
      </c>
      <c r="AS80" t="str">
        <f t="shared" si="17"/>
        <v/>
      </c>
      <c r="AT80" t="str">
        <f t="shared" si="18"/>
        <v/>
      </c>
      <c r="BG80" t="str">
        <f t="shared" si="19"/>
        <v/>
      </c>
      <c r="BH80" t="str">
        <f t="shared" si="20"/>
        <v/>
      </c>
      <c r="BL80" t="str">
        <f>IFERROR(INDEX(_names_lookup!$C:$C,MATCH(BK80,_names_lookup!$A:$A,0)),"")</f>
        <v/>
      </c>
      <c r="BM80" t="str">
        <f>IFERROR(INDEX(_names_lookup!$B:$B,MATCH(BK80,_names_lookup!$A:$A,0)),"")</f>
        <v/>
      </c>
      <c r="BS80" t="str">
        <f t="shared" si="21"/>
        <v/>
      </c>
    </row>
    <row r="81" spans="15:71" x14ac:dyDescent="0.2">
      <c r="O81" t="str">
        <f>IFERROR(INDEX(_courses_lookup!$C:$C,MATCH(K81&amp;L81,_courses_lookup!$E:$E,0)),"")</f>
        <v/>
      </c>
      <c r="P81" t="str">
        <f>IFERROR(INDEX(_courses_lookup!$D:$D,MATCH(K81&amp;L81,_courses_lookup!$E:$E,0)),"")</f>
        <v/>
      </c>
      <c r="AG81" t="str">
        <f t="shared" si="11"/>
        <v/>
      </c>
      <c r="AI81" t="str">
        <f t="shared" si="12"/>
        <v/>
      </c>
      <c r="AL81" t="str">
        <f t="shared" si="13"/>
        <v/>
      </c>
      <c r="AN81" t="str">
        <f t="shared" si="14"/>
        <v/>
      </c>
      <c r="AQ81" t="str">
        <f t="shared" si="15"/>
        <v/>
      </c>
      <c r="AR81" t="str">
        <f t="shared" si="16"/>
        <v/>
      </c>
      <c r="AS81" t="str">
        <f t="shared" si="17"/>
        <v/>
      </c>
      <c r="AT81" t="str">
        <f t="shared" si="18"/>
        <v/>
      </c>
      <c r="BG81" t="str">
        <f t="shared" si="19"/>
        <v/>
      </c>
      <c r="BH81" t="str">
        <f t="shared" si="20"/>
        <v/>
      </c>
      <c r="BL81" t="str">
        <f>IFERROR(INDEX(_names_lookup!$C:$C,MATCH(BK81,_names_lookup!$A:$A,0)),"")</f>
        <v/>
      </c>
      <c r="BM81" t="str">
        <f>IFERROR(INDEX(_names_lookup!$B:$B,MATCH(BK81,_names_lookup!$A:$A,0)),"")</f>
        <v/>
      </c>
      <c r="BS81" t="str">
        <f t="shared" si="21"/>
        <v/>
      </c>
    </row>
    <row r="82" spans="15:71" x14ac:dyDescent="0.2">
      <c r="O82" t="str">
        <f>IFERROR(INDEX(_courses_lookup!$C:$C,MATCH(K82&amp;L82,_courses_lookup!$E:$E,0)),"")</f>
        <v/>
      </c>
      <c r="P82" t="str">
        <f>IFERROR(INDEX(_courses_lookup!$D:$D,MATCH(K82&amp;L82,_courses_lookup!$E:$E,0)),"")</f>
        <v/>
      </c>
      <c r="AG82" t="str">
        <f t="shared" si="11"/>
        <v/>
      </c>
      <c r="AI82" t="str">
        <f t="shared" si="12"/>
        <v/>
      </c>
      <c r="AL82" t="str">
        <f t="shared" si="13"/>
        <v/>
      </c>
      <c r="AN82" t="str">
        <f t="shared" si="14"/>
        <v/>
      </c>
      <c r="AQ82" t="str">
        <f t="shared" si="15"/>
        <v/>
      </c>
      <c r="AR82" t="str">
        <f t="shared" si="16"/>
        <v/>
      </c>
      <c r="AS82" t="str">
        <f t="shared" si="17"/>
        <v/>
      </c>
      <c r="AT82" t="str">
        <f t="shared" si="18"/>
        <v/>
      </c>
      <c r="BG82" t="str">
        <f t="shared" si="19"/>
        <v/>
      </c>
      <c r="BH82" t="str">
        <f t="shared" si="20"/>
        <v/>
      </c>
      <c r="BL82" t="str">
        <f>IFERROR(INDEX(_names_lookup!$C:$C,MATCH(BK82,_names_lookup!$A:$A,0)),"")</f>
        <v/>
      </c>
      <c r="BM82" t="str">
        <f>IFERROR(INDEX(_names_lookup!$B:$B,MATCH(BK82,_names_lookup!$A:$A,0)),"")</f>
        <v/>
      </c>
      <c r="BS82" t="str">
        <f t="shared" si="21"/>
        <v/>
      </c>
    </row>
    <row r="83" spans="15:71" x14ac:dyDescent="0.2">
      <c r="O83" t="str">
        <f>IFERROR(INDEX(_courses_lookup!$C:$C,MATCH(K83&amp;L83,_courses_lookup!$E:$E,0)),"")</f>
        <v/>
      </c>
      <c r="P83" t="str">
        <f>IFERROR(INDEX(_courses_lookup!$D:$D,MATCH(K83&amp;L83,_courses_lookup!$E:$E,0)),"")</f>
        <v/>
      </c>
      <c r="AG83" t="str">
        <f t="shared" si="11"/>
        <v/>
      </c>
      <c r="AI83" t="str">
        <f t="shared" si="12"/>
        <v/>
      </c>
      <c r="AL83" t="str">
        <f t="shared" si="13"/>
        <v/>
      </c>
      <c r="AN83" t="str">
        <f t="shared" si="14"/>
        <v/>
      </c>
      <c r="AQ83" t="str">
        <f t="shared" si="15"/>
        <v/>
      </c>
      <c r="AR83" t="str">
        <f t="shared" si="16"/>
        <v/>
      </c>
      <c r="AS83" t="str">
        <f t="shared" si="17"/>
        <v/>
      </c>
      <c r="AT83" t="str">
        <f t="shared" si="18"/>
        <v/>
      </c>
      <c r="BG83" t="str">
        <f t="shared" si="19"/>
        <v/>
      </c>
      <c r="BH83" t="str">
        <f t="shared" si="20"/>
        <v/>
      </c>
      <c r="BL83" t="str">
        <f>IFERROR(INDEX(_names_lookup!$C:$C,MATCH(BK83,_names_lookup!$A:$A,0)),"")</f>
        <v/>
      </c>
      <c r="BM83" t="str">
        <f>IFERROR(INDEX(_names_lookup!$B:$B,MATCH(BK83,_names_lookup!$A:$A,0)),"")</f>
        <v/>
      </c>
      <c r="BS83" t="str">
        <f t="shared" si="21"/>
        <v/>
      </c>
    </row>
    <row r="84" spans="15:71" x14ac:dyDescent="0.2">
      <c r="O84" t="str">
        <f>IFERROR(INDEX(_courses_lookup!$C:$C,MATCH(K84&amp;L84,_courses_lookup!$E:$E,0)),"")</f>
        <v/>
      </c>
      <c r="P84" t="str">
        <f>IFERROR(INDEX(_courses_lookup!$D:$D,MATCH(K84&amp;L84,_courses_lookup!$E:$E,0)),"")</f>
        <v/>
      </c>
      <c r="AG84" t="str">
        <f t="shared" si="11"/>
        <v/>
      </c>
      <c r="AI84" t="str">
        <f t="shared" si="12"/>
        <v/>
      </c>
      <c r="AL84" t="str">
        <f t="shared" si="13"/>
        <v/>
      </c>
      <c r="AN84" t="str">
        <f t="shared" si="14"/>
        <v/>
      </c>
      <c r="AQ84" t="str">
        <f t="shared" si="15"/>
        <v/>
      </c>
      <c r="AR84" t="str">
        <f t="shared" si="16"/>
        <v/>
      </c>
      <c r="AS84" t="str">
        <f t="shared" si="17"/>
        <v/>
      </c>
      <c r="AT84" t="str">
        <f t="shared" si="18"/>
        <v/>
      </c>
      <c r="BG84" t="str">
        <f t="shared" si="19"/>
        <v/>
      </c>
      <c r="BH84" t="str">
        <f t="shared" si="20"/>
        <v/>
      </c>
      <c r="BL84" t="str">
        <f>IFERROR(INDEX(_names_lookup!$C:$C,MATCH(BK84,_names_lookup!$A:$A,0)),"")</f>
        <v/>
      </c>
      <c r="BM84" t="str">
        <f>IFERROR(INDEX(_names_lookup!$B:$B,MATCH(BK84,_names_lookup!$A:$A,0)),"")</f>
        <v/>
      </c>
      <c r="BS84" t="str">
        <f t="shared" si="21"/>
        <v/>
      </c>
    </row>
    <row r="85" spans="15:71" x14ac:dyDescent="0.2">
      <c r="O85" t="str">
        <f>IFERROR(INDEX(_courses_lookup!$C:$C,MATCH(K85&amp;L85,_courses_lookup!$E:$E,0)),"")</f>
        <v/>
      </c>
      <c r="P85" t="str">
        <f>IFERROR(INDEX(_courses_lookup!$D:$D,MATCH(K85&amp;L85,_courses_lookup!$E:$E,0)),"")</f>
        <v/>
      </c>
      <c r="AG85" t="str">
        <f t="shared" si="11"/>
        <v/>
      </c>
      <c r="AI85" t="str">
        <f t="shared" si="12"/>
        <v/>
      </c>
      <c r="AL85" t="str">
        <f t="shared" si="13"/>
        <v/>
      </c>
      <c r="AN85" t="str">
        <f t="shared" si="14"/>
        <v/>
      </c>
      <c r="AQ85" t="str">
        <f t="shared" si="15"/>
        <v/>
      </c>
      <c r="AR85" t="str">
        <f t="shared" si="16"/>
        <v/>
      </c>
      <c r="AS85" t="str">
        <f t="shared" si="17"/>
        <v/>
      </c>
      <c r="AT85" t="str">
        <f t="shared" si="18"/>
        <v/>
      </c>
      <c r="BG85" t="str">
        <f t="shared" si="19"/>
        <v/>
      </c>
      <c r="BH85" t="str">
        <f t="shared" si="20"/>
        <v/>
      </c>
      <c r="BL85" t="str">
        <f>IFERROR(INDEX(_names_lookup!$C:$C,MATCH(BK85,_names_lookup!$A:$A,0)),"")</f>
        <v/>
      </c>
      <c r="BM85" t="str">
        <f>IFERROR(INDEX(_names_lookup!$B:$B,MATCH(BK85,_names_lookup!$A:$A,0)),"")</f>
        <v/>
      </c>
      <c r="BS85" t="str">
        <f t="shared" si="21"/>
        <v/>
      </c>
    </row>
    <row r="86" spans="15:71" x14ac:dyDescent="0.2">
      <c r="O86" t="str">
        <f>IFERROR(INDEX(_courses_lookup!$C:$C,MATCH(K86&amp;L86,_courses_lookup!$E:$E,0)),"")</f>
        <v/>
      </c>
      <c r="P86" t="str">
        <f>IFERROR(INDEX(_courses_lookup!$D:$D,MATCH(K86&amp;L86,_courses_lookup!$E:$E,0)),"")</f>
        <v/>
      </c>
      <c r="AG86" t="str">
        <f t="shared" si="11"/>
        <v/>
      </c>
      <c r="AI86" t="str">
        <f t="shared" si="12"/>
        <v/>
      </c>
      <c r="AL86" t="str">
        <f t="shared" si="13"/>
        <v/>
      </c>
      <c r="AN86" t="str">
        <f t="shared" si="14"/>
        <v/>
      </c>
      <c r="AQ86" t="str">
        <f t="shared" si="15"/>
        <v/>
      </c>
      <c r="AR86" t="str">
        <f t="shared" si="16"/>
        <v/>
      </c>
      <c r="AS86" t="str">
        <f t="shared" si="17"/>
        <v/>
      </c>
      <c r="AT86" t="str">
        <f t="shared" si="18"/>
        <v/>
      </c>
      <c r="BG86" t="str">
        <f t="shared" si="19"/>
        <v/>
      </c>
      <c r="BH86" t="str">
        <f t="shared" si="20"/>
        <v/>
      </c>
      <c r="BL86" t="str">
        <f>IFERROR(INDEX(_names_lookup!$C:$C,MATCH(BK86,_names_lookup!$A:$A,0)),"")</f>
        <v/>
      </c>
      <c r="BM86" t="str">
        <f>IFERROR(INDEX(_names_lookup!$B:$B,MATCH(BK86,_names_lookup!$A:$A,0)),"")</f>
        <v/>
      </c>
      <c r="BS86" t="str">
        <f t="shared" si="21"/>
        <v/>
      </c>
    </row>
    <row r="87" spans="15:71" x14ac:dyDescent="0.2">
      <c r="O87" t="str">
        <f>IFERROR(INDEX(_courses_lookup!$C:$C,MATCH(K87&amp;L87,_courses_lookup!$E:$E,0)),"")</f>
        <v/>
      </c>
      <c r="P87" t="str">
        <f>IFERROR(INDEX(_courses_lookup!$D:$D,MATCH(K87&amp;L87,_courses_lookup!$E:$E,0)),"")</f>
        <v/>
      </c>
      <c r="AG87" t="str">
        <f t="shared" si="11"/>
        <v/>
      </c>
      <c r="AI87" t="str">
        <f t="shared" si="12"/>
        <v/>
      </c>
      <c r="AL87" t="str">
        <f t="shared" si="13"/>
        <v/>
      </c>
      <c r="AN87" t="str">
        <f t="shared" si="14"/>
        <v/>
      </c>
      <c r="AQ87" t="str">
        <f t="shared" si="15"/>
        <v/>
      </c>
      <c r="AR87" t="str">
        <f t="shared" si="16"/>
        <v/>
      </c>
      <c r="AS87" t="str">
        <f t="shared" si="17"/>
        <v/>
      </c>
      <c r="AT87" t="str">
        <f t="shared" si="18"/>
        <v/>
      </c>
      <c r="BG87" t="str">
        <f t="shared" si="19"/>
        <v/>
      </c>
      <c r="BH87" t="str">
        <f t="shared" si="20"/>
        <v/>
      </c>
      <c r="BL87" t="str">
        <f>IFERROR(INDEX(_names_lookup!$C:$C,MATCH(BK87,_names_lookup!$A:$A,0)),"")</f>
        <v/>
      </c>
      <c r="BM87" t="str">
        <f>IFERROR(INDEX(_names_lookup!$B:$B,MATCH(BK87,_names_lookup!$A:$A,0)),"")</f>
        <v/>
      </c>
      <c r="BS87" t="str">
        <f t="shared" si="21"/>
        <v/>
      </c>
    </row>
    <row r="88" spans="15:71" x14ac:dyDescent="0.2">
      <c r="O88" t="str">
        <f>IFERROR(INDEX(_courses_lookup!$C:$C,MATCH(K88&amp;L88,_courses_lookup!$E:$E,0)),"")</f>
        <v/>
      </c>
      <c r="P88" t="str">
        <f>IFERROR(INDEX(_courses_lookup!$D:$D,MATCH(K88&amp;L88,_courses_lookup!$E:$E,0)),"")</f>
        <v/>
      </c>
      <c r="AG88" t="str">
        <f t="shared" si="11"/>
        <v/>
      </c>
      <c r="AI88" t="str">
        <f t="shared" si="12"/>
        <v/>
      </c>
      <c r="AL88" t="str">
        <f t="shared" si="13"/>
        <v/>
      </c>
      <c r="AN88" t="str">
        <f t="shared" si="14"/>
        <v/>
      </c>
      <c r="AQ88" t="str">
        <f t="shared" si="15"/>
        <v/>
      </c>
      <c r="AR88" t="str">
        <f t="shared" si="16"/>
        <v/>
      </c>
      <c r="AS88" t="str">
        <f t="shared" si="17"/>
        <v/>
      </c>
      <c r="AT88" t="str">
        <f t="shared" si="18"/>
        <v/>
      </c>
      <c r="BG88" t="str">
        <f t="shared" si="19"/>
        <v/>
      </c>
      <c r="BH88" t="str">
        <f t="shared" si="20"/>
        <v/>
      </c>
      <c r="BL88" t="str">
        <f>IFERROR(INDEX(_names_lookup!$C:$C,MATCH(BK88,_names_lookup!$A:$A,0)),"")</f>
        <v/>
      </c>
      <c r="BM88" t="str">
        <f>IFERROR(INDEX(_names_lookup!$B:$B,MATCH(BK88,_names_lookup!$A:$A,0)),"")</f>
        <v/>
      </c>
      <c r="BS88" t="str">
        <f t="shared" si="21"/>
        <v/>
      </c>
    </row>
    <row r="89" spans="15:71" x14ac:dyDescent="0.2">
      <c r="O89" t="str">
        <f>IFERROR(INDEX(_courses_lookup!$C:$C,MATCH(K89&amp;L89,_courses_lookup!$E:$E,0)),"")</f>
        <v/>
      </c>
      <c r="P89" t="str">
        <f>IFERROR(INDEX(_courses_lookup!$D:$D,MATCH(K89&amp;L89,_courses_lookup!$E:$E,0)),"")</f>
        <v/>
      </c>
      <c r="AG89" t="str">
        <f t="shared" si="11"/>
        <v/>
      </c>
      <c r="AI89" t="str">
        <f t="shared" si="12"/>
        <v/>
      </c>
      <c r="AL89" t="str">
        <f t="shared" si="13"/>
        <v/>
      </c>
      <c r="AN89" t="str">
        <f t="shared" si="14"/>
        <v/>
      </c>
      <c r="AQ89" t="str">
        <f t="shared" si="15"/>
        <v/>
      </c>
      <c r="AR89" t="str">
        <f t="shared" si="16"/>
        <v/>
      </c>
      <c r="AS89" t="str">
        <f t="shared" si="17"/>
        <v/>
      </c>
      <c r="AT89" t="str">
        <f t="shared" si="18"/>
        <v/>
      </c>
      <c r="BG89" t="str">
        <f t="shared" si="19"/>
        <v/>
      </c>
      <c r="BH89" t="str">
        <f t="shared" si="20"/>
        <v/>
      </c>
      <c r="BL89" t="str">
        <f>IFERROR(INDEX(_names_lookup!$C:$C,MATCH(BK89,_names_lookup!$A:$A,0)),"")</f>
        <v/>
      </c>
      <c r="BM89" t="str">
        <f>IFERROR(INDEX(_names_lookup!$B:$B,MATCH(BK89,_names_lookup!$A:$A,0)),"")</f>
        <v/>
      </c>
      <c r="BS89" t="str">
        <f t="shared" si="21"/>
        <v/>
      </c>
    </row>
    <row r="90" spans="15:71" x14ac:dyDescent="0.2">
      <c r="O90" t="str">
        <f>IFERROR(INDEX(_courses_lookup!$C:$C,MATCH(K90&amp;L90,_courses_lookup!$E:$E,0)),"")</f>
        <v/>
      </c>
      <c r="P90" t="str">
        <f>IFERROR(INDEX(_courses_lookup!$D:$D,MATCH(K90&amp;L90,_courses_lookup!$E:$E,0)),"")</f>
        <v/>
      </c>
      <c r="AG90" t="str">
        <f t="shared" si="11"/>
        <v/>
      </c>
      <c r="AI90" t="str">
        <f t="shared" si="12"/>
        <v/>
      </c>
      <c r="AL90" t="str">
        <f t="shared" si="13"/>
        <v/>
      </c>
      <c r="AN90" t="str">
        <f t="shared" si="14"/>
        <v/>
      </c>
      <c r="AQ90" t="str">
        <f t="shared" si="15"/>
        <v/>
      </c>
      <c r="AR90" t="str">
        <f t="shared" si="16"/>
        <v/>
      </c>
      <c r="AS90" t="str">
        <f t="shared" si="17"/>
        <v/>
      </c>
      <c r="AT90" t="str">
        <f t="shared" si="18"/>
        <v/>
      </c>
      <c r="BG90" t="str">
        <f t="shared" si="19"/>
        <v/>
      </c>
      <c r="BH90" t="str">
        <f t="shared" si="20"/>
        <v/>
      </c>
      <c r="BL90" t="str">
        <f>IFERROR(INDEX(_names_lookup!$C:$C,MATCH(BK90,_names_lookup!$A:$A,0)),"")</f>
        <v/>
      </c>
      <c r="BM90" t="str">
        <f>IFERROR(INDEX(_names_lookup!$B:$B,MATCH(BK90,_names_lookup!$A:$A,0)),"")</f>
        <v/>
      </c>
      <c r="BS90" t="str">
        <f t="shared" si="21"/>
        <v/>
      </c>
    </row>
    <row r="91" spans="15:71" x14ac:dyDescent="0.2">
      <c r="O91" t="str">
        <f>IFERROR(INDEX(_courses_lookup!$C:$C,MATCH(K91&amp;L91,_courses_lookup!$E:$E,0)),"")</f>
        <v/>
      </c>
      <c r="P91" t="str">
        <f>IFERROR(INDEX(_courses_lookup!$D:$D,MATCH(K91&amp;L91,_courses_lookup!$E:$E,0)),"")</f>
        <v/>
      </c>
      <c r="AG91" t="str">
        <f t="shared" si="11"/>
        <v/>
      </c>
      <c r="AI91" t="str">
        <f t="shared" si="12"/>
        <v/>
      </c>
      <c r="AL91" t="str">
        <f t="shared" si="13"/>
        <v/>
      </c>
      <c r="AN91" t="str">
        <f t="shared" si="14"/>
        <v/>
      </c>
      <c r="AQ91" t="str">
        <f t="shared" si="15"/>
        <v/>
      </c>
      <c r="AR91" t="str">
        <f t="shared" si="16"/>
        <v/>
      </c>
      <c r="AS91" t="str">
        <f t="shared" si="17"/>
        <v/>
      </c>
      <c r="AT91" t="str">
        <f t="shared" si="18"/>
        <v/>
      </c>
      <c r="BG91" t="str">
        <f t="shared" si="19"/>
        <v/>
      </c>
      <c r="BH91" t="str">
        <f t="shared" si="20"/>
        <v/>
      </c>
      <c r="BL91" t="str">
        <f>IFERROR(INDEX(_names_lookup!$C:$C,MATCH(BK91,_names_lookup!$A:$A,0)),"")</f>
        <v/>
      </c>
      <c r="BM91" t="str">
        <f>IFERROR(INDEX(_names_lookup!$B:$B,MATCH(BK91,_names_lookup!$A:$A,0)),"")</f>
        <v/>
      </c>
      <c r="BS91" t="str">
        <f t="shared" si="21"/>
        <v/>
      </c>
    </row>
    <row r="92" spans="15:71" x14ac:dyDescent="0.2">
      <c r="O92" t="str">
        <f>IFERROR(INDEX(_courses_lookup!$C:$C,MATCH(K92&amp;L92,_courses_lookup!$E:$E,0)),"")</f>
        <v/>
      </c>
      <c r="P92" t="str">
        <f>IFERROR(INDEX(_courses_lookup!$D:$D,MATCH(K92&amp;L92,_courses_lookup!$E:$E,0)),"")</f>
        <v/>
      </c>
      <c r="AG92" t="str">
        <f t="shared" si="11"/>
        <v/>
      </c>
      <c r="AI92" t="str">
        <f t="shared" si="12"/>
        <v/>
      </c>
      <c r="AL92" t="str">
        <f t="shared" si="13"/>
        <v/>
      </c>
      <c r="AN92" t="str">
        <f t="shared" si="14"/>
        <v/>
      </c>
      <c r="AQ92" t="str">
        <f t="shared" si="15"/>
        <v/>
      </c>
      <c r="AR92" t="str">
        <f t="shared" si="16"/>
        <v/>
      </c>
      <c r="AS92" t="str">
        <f t="shared" si="17"/>
        <v/>
      </c>
      <c r="AT92" t="str">
        <f t="shared" si="18"/>
        <v/>
      </c>
      <c r="BG92" t="str">
        <f t="shared" si="19"/>
        <v/>
      </c>
      <c r="BH92" t="str">
        <f t="shared" si="20"/>
        <v/>
      </c>
      <c r="BL92" t="str">
        <f>IFERROR(INDEX(_names_lookup!$C:$C,MATCH(BK92,_names_lookup!$A:$A,0)),"")</f>
        <v/>
      </c>
      <c r="BM92" t="str">
        <f>IFERROR(INDEX(_names_lookup!$B:$B,MATCH(BK92,_names_lookup!$A:$A,0)),"")</f>
        <v/>
      </c>
      <c r="BS92" t="str">
        <f t="shared" si="21"/>
        <v/>
      </c>
    </row>
    <row r="93" spans="15:71" x14ac:dyDescent="0.2">
      <c r="O93" t="str">
        <f>IFERROR(INDEX(_courses_lookup!$C:$C,MATCH(K93&amp;L93,_courses_lookup!$E:$E,0)),"")</f>
        <v/>
      </c>
      <c r="P93" t="str">
        <f>IFERROR(INDEX(_courses_lookup!$D:$D,MATCH(K93&amp;L93,_courses_lookup!$E:$E,0)),"")</f>
        <v/>
      </c>
      <c r="AG93" t="str">
        <f t="shared" si="11"/>
        <v/>
      </c>
      <c r="AI93" t="str">
        <f t="shared" si="12"/>
        <v/>
      </c>
      <c r="AL93" t="str">
        <f t="shared" si="13"/>
        <v/>
      </c>
      <c r="AN93" t="str">
        <f t="shared" si="14"/>
        <v/>
      </c>
      <c r="AQ93" t="str">
        <f t="shared" si="15"/>
        <v/>
      </c>
      <c r="AR93" t="str">
        <f t="shared" si="16"/>
        <v/>
      </c>
      <c r="AS93" t="str">
        <f t="shared" si="17"/>
        <v/>
      </c>
      <c r="AT93" t="str">
        <f t="shared" si="18"/>
        <v/>
      </c>
      <c r="BG93" t="str">
        <f t="shared" si="19"/>
        <v/>
      </c>
      <c r="BH93" t="str">
        <f t="shared" si="20"/>
        <v/>
      </c>
      <c r="BL93" t="str">
        <f>IFERROR(INDEX(_names_lookup!$C:$C,MATCH(BK93,_names_lookup!$A:$A,0)),"")</f>
        <v/>
      </c>
      <c r="BM93" t="str">
        <f>IFERROR(INDEX(_names_lookup!$B:$B,MATCH(BK93,_names_lookup!$A:$A,0)),"")</f>
        <v/>
      </c>
      <c r="BS93" t="str">
        <f t="shared" si="21"/>
        <v/>
      </c>
    </row>
    <row r="94" spans="15:71" x14ac:dyDescent="0.2">
      <c r="O94" t="str">
        <f>IFERROR(INDEX(_courses_lookup!$C:$C,MATCH(K94&amp;L94,_courses_lookup!$E:$E,0)),"")</f>
        <v/>
      </c>
      <c r="P94" t="str">
        <f>IFERROR(INDEX(_courses_lookup!$D:$D,MATCH(K94&amp;L94,_courses_lookup!$E:$E,0)),"")</f>
        <v/>
      </c>
      <c r="AG94" t="str">
        <f t="shared" si="11"/>
        <v/>
      </c>
      <c r="AI94" t="str">
        <f t="shared" si="12"/>
        <v/>
      </c>
      <c r="AL94" t="str">
        <f t="shared" si="13"/>
        <v/>
      </c>
      <c r="AN94" t="str">
        <f t="shared" si="14"/>
        <v/>
      </c>
      <c r="AQ94" t="str">
        <f t="shared" si="15"/>
        <v/>
      </c>
      <c r="AR94" t="str">
        <f t="shared" si="16"/>
        <v/>
      </c>
      <c r="AS94" t="str">
        <f t="shared" si="17"/>
        <v/>
      </c>
      <c r="AT94" t="str">
        <f t="shared" si="18"/>
        <v/>
      </c>
      <c r="BG94" t="str">
        <f t="shared" si="19"/>
        <v/>
      </c>
      <c r="BH94" t="str">
        <f t="shared" si="20"/>
        <v/>
      </c>
      <c r="BL94" t="str">
        <f>IFERROR(INDEX(_names_lookup!$C:$C,MATCH(BK94,_names_lookup!$A:$A,0)),"")</f>
        <v/>
      </c>
      <c r="BM94" t="str">
        <f>IFERROR(INDEX(_names_lookup!$B:$B,MATCH(BK94,_names_lookup!$A:$A,0)),"")</f>
        <v/>
      </c>
      <c r="BS94" t="str">
        <f t="shared" si="21"/>
        <v/>
      </c>
    </row>
    <row r="95" spans="15:71" x14ac:dyDescent="0.2">
      <c r="O95" t="str">
        <f>IFERROR(INDEX(_courses_lookup!$C:$C,MATCH(K95&amp;L95,_courses_lookup!$E:$E,0)),"")</f>
        <v/>
      </c>
      <c r="P95" t="str">
        <f>IFERROR(INDEX(_courses_lookup!$D:$D,MATCH(K95&amp;L95,_courses_lookup!$E:$E,0)),"")</f>
        <v/>
      </c>
      <c r="AG95" t="str">
        <f t="shared" si="11"/>
        <v/>
      </c>
      <c r="AI95" t="str">
        <f t="shared" si="12"/>
        <v/>
      </c>
      <c r="AL95" t="str">
        <f t="shared" si="13"/>
        <v/>
      </c>
      <c r="AN95" t="str">
        <f t="shared" si="14"/>
        <v/>
      </c>
      <c r="AQ95" t="str">
        <f t="shared" si="15"/>
        <v/>
      </c>
      <c r="AR95" t="str">
        <f t="shared" si="16"/>
        <v/>
      </c>
      <c r="AS95" t="str">
        <f t="shared" si="17"/>
        <v/>
      </c>
      <c r="AT95" t="str">
        <f t="shared" si="18"/>
        <v/>
      </c>
      <c r="BG95" t="str">
        <f t="shared" si="19"/>
        <v/>
      </c>
      <c r="BH95" t="str">
        <f t="shared" si="20"/>
        <v/>
      </c>
      <c r="BL95" t="str">
        <f>IFERROR(INDEX(_names_lookup!$C:$C,MATCH(BK95,_names_lookup!$A:$A,0)),"")</f>
        <v/>
      </c>
      <c r="BM95" t="str">
        <f>IFERROR(INDEX(_names_lookup!$B:$B,MATCH(BK95,_names_lookup!$A:$A,0)),"")</f>
        <v/>
      </c>
      <c r="BS95" t="str">
        <f t="shared" si="21"/>
        <v/>
      </c>
    </row>
    <row r="96" spans="15:71" x14ac:dyDescent="0.2">
      <c r="O96" t="str">
        <f>IFERROR(INDEX(_courses_lookup!$C:$C,MATCH(K96&amp;L96,_courses_lookup!$E:$E,0)),"")</f>
        <v/>
      </c>
      <c r="P96" t="str">
        <f>IFERROR(INDEX(_courses_lookup!$D:$D,MATCH(K96&amp;L96,_courses_lookup!$E:$E,0)),"")</f>
        <v/>
      </c>
      <c r="AG96" t="str">
        <f t="shared" si="11"/>
        <v/>
      </c>
      <c r="AI96" t="str">
        <f t="shared" si="12"/>
        <v/>
      </c>
      <c r="AL96" t="str">
        <f t="shared" si="13"/>
        <v/>
      </c>
      <c r="AN96" t="str">
        <f t="shared" si="14"/>
        <v/>
      </c>
      <c r="AQ96" t="str">
        <f t="shared" si="15"/>
        <v/>
      </c>
      <c r="AR96" t="str">
        <f t="shared" si="16"/>
        <v/>
      </c>
      <c r="AS96" t="str">
        <f t="shared" si="17"/>
        <v/>
      </c>
      <c r="AT96" t="str">
        <f t="shared" si="18"/>
        <v/>
      </c>
      <c r="BG96" t="str">
        <f t="shared" si="19"/>
        <v/>
      </c>
      <c r="BH96" t="str">
        <f t="shared" si="20"/>
        <v/>
      </c>
      <c r="BL96" t="str">
        <f>IFERROR(INDEX(_names_lookup!$C:$C,MATCH(BK96,_names_lookup!$A:$A,0)),"")</f>
        <v/>
      </c>
      <c r="BM96" t="str">
        <f>IFERROR(INDEX(_names_lookup!$B:$B,MATCH(BK96,_names_lookup!$A:$A,0)),"")</f>
        <v/>
      </c>
      <c r="BS96" t="str">
        <f t="shared" si="21"/>
        <v/>
      </c>
    </row>
    <row r="97" spans="15:71" x14ac:dyDescent="0.2">
      <c r="O97" t="str">
        <f>IFERROR(INDEX(_courses_lookup!$C:$C,MATCH(K97&amp;L97,_courses_lookup!$E:$E,0)),"")</f>
        <v/>
      </c>
      <c r="P97" t="str">
        <f>IFERROR(INDEX(_courses_lookup!$D:$D,MATCH(K97&amp;L97,_courses_lookup!$E:$E,0)),"")</f>
        <v/>
      </c>
      <c r="AG97" t="str">
        <f t="shared" si="11"/>
        <v/>
      </c>
      <c r="AI97" t="str">
        <f t="shared" si="12"/>
        <v/>
      </c>
      <c r="AL97" t="str">
        <f t="shared" si="13"/>
        <v/>
      </c>
      <c r="AN97" t="str">
        <f t="shared" si="14"/>
        <v/>
      </c>
      <c r="AQ97" t="str">
        <f t="shared" si="15"/>
        <v/>
      </c>
      <c r="AR97" t="str">
        <f t="shared" si="16"/>
        <v/>
      </c>
      <c r="AS97" t="str">
        <f t="shared" si="17"/>
        <v/>
      </c>
      <c r="AT97" t="str">
        <f t="shared" si="18"/>
        <v/>
      </c>
      <c r="BG97" t="str">
        <f t="shared" si="19"/>
        <v/>
      </c>
      <c r="BH97" t="str">
        <f t="shared" si="20"/>
        <v/>
      </c>
      <c r="BL97" t="str">
        <f>IFERROR(INDEX(_names_lookup!$C:$C,MATCH(BK97,_names_lookup!$A:$A,0)),"")</f>
        <v/>
      </c>
      <c r="BM97" t="str">
        <f>IFERROR(INDEX(_names_lookup!$B:$B,MATCH(BK97,_names_lookup!$A:$A,0)),"")</f>
        <v/>
      </c>
      <c r="BS97" t="str">
        <f t="shared" si="21"/>
        <v/>
      </c>
    </row>
    <row r="98" spans="15:71" x14ac:dyDescent="0.2">
      <c r="O98" t="str">
        <f>IFERROR(INDEX(_courses_lookup!$C:$C,MATCH(K98&amp;L98,_courses_lookup!$E:$E,0)),"")</f>
        <v/>
      </c>
      <c r="P98" t="str">
        <f>IFERROR(INDEX(_courses_lookup!$D:$D,MATCH(K98&amp;L98,_courses_lookup!$E:$E,0)),"")</f>
        <v/>
      </c>
      <c r="AG98" t="str">
        <f t="shared" si="11"/>
        <v/>
      </c>
      <c r="AI98" t="str">
        <f t="shared" si="12"/>
        <v/>
      </c>
      <c r="AL98" t="str">
        <f t="shared" si="13"/>
        <v/>
      </c>
      <c r="AN98" t="str">
        <f t="shared" si="14"/>
        <v/>
      </c>
      <c r="AQ98" t="str">
        <f t="shared" si="15"/>
        <v/>
      </c>
      <c r="AR98" t="str">
        <f t="shared" si="16"/>
        <v/>
      </c>
      <c r="AS98" t="str">
        <f t="shared" si="17"/>
        <v/>
      </c>
      <c r="AT98" t="str">
        <f t="shared" si="18"/>
        <v/>
      </c>
      <c r="BG98" t="str">
        <f t="shared" si="19"/>
        <v/>
      </c>
      <c r="BH98" t="str">
        <f t="shared" si="20"/>
        <v/>
      </c>
      <c r="BL98" t="str">
        <f>IFERROR(INDEX(_names_lookup!$C:$C,MATCH(BK98,_names_lookup!$A:$A,0)),"")</f>
        <v/>
      </c>
      <c r="BM98" t="str">
        <f>IFERROR(INDEX(_names_lookup!$B:$B,MATCH(BK98,_names_lookup!$A:$A,0)),"")</f>
        <v/>
      </c>
      <c r="BS98" t="str">
        <f t="shared" si="21"/>
        <v/>
      </c>
    </row>
    <row r="99" spans="15:71" x14ac:dyDescent="0.2">
      <c r="O99" t="str">
        <f>IFERROR(INDEX(_courses_lookup!$C:$C,MATCH(K99&amp;L99,_courses_lookup!$E:$E,0)),"")</f>
        <v/>
      </c>
      <c r="P99" t="str">
        <f>IFERROR(INDEX(_courses_lookup!$D:$D,MATCH(K99&amp;L99,_courses_lookup!$E:$E,0)),"")</f>
        <v/>
      </c>
      <c r="AG99" t="str">
        <f t="shared" si="11"/>
        <v/>
      </c>
      <c r="AI99" t="str">
        <f t="shared" si="12"/>
        <v/>
      </c>
      <c r="AL99" t="str">
        <f t="shared" si="13"/>
        <v/>
      </c>
      <c r="AN99" t="str">
        <f t="shared" si="14"/>
        <v/>
      </c>
      <c r="AQ99" t="str">
        <f t="shared" si="15"/>
        <v/>
      </c>
      <c r="AR99" t="str">
        <f t="shared" si="16"/>
        <v/>
      </c>
      <c r="AS99" t="str">
        <f t="shared" si="17"/>
        <v/>
      </c>
      <c r="AT99" t="str">
        <f t="shared" si="18"/>
        <v/>
      </c>
      <c r="BG99" t="str">
        <f t="shared" si="19"/>
        <v/>
      </c>
      <c r="BH99" t="str">
        <f t="shared" si="20"/>
        <v/>
      </c>
      <c r="BL99" t="str">
        <f>IFERROR(INDEX(_names_lookup!$C:$C,MATCH(BK99,_names_lookup!$A:$A,0)),"")</f>
        <v/>
      </c>
      <c r="BM99" t="str">
        <f>IFERROR(INDEX(_names_lookup!$B:$B,MATCH(BK99,_names_lookup!$A:$A,0)),"")</f>
        <v/>
      </c>
      <c r="BS99" t="str">
        <f t="shared" si="21"/>
        <v/>
      </c>
    </row>
    <row r="100" spans="15:71" x14ac:dyDescent="0.2">
      <c r="O100" t="str">
        <f>IFERROR(INDEX(_courses_lookup!$C:$C,MATCH(K100&amp;L100,_courses_lookup!$E:$E,0)),"")</f>
        <v/>
      </c>
      <c r="P100" t="str">
        <f>IFERROR(INDEX(_courses_lookup!$D:$D,MATCH(K100&amp;L100,_courses_lookup!$E:$E,0)),"")</f>
        <v/>
      </c>
      <c r="AG100" t="str">
        <f t="shared" si="11"/>
        <v/>
      </c>
      <c r="AI100" t="str">
        <f t="shared" si="12"/>
        <v/>
      </c>
      <c r="AL100" t="str">
        <f t="shared" si="13"/>
        <v/>
      </c>
      <c r="AN100" t="str">
        <f t="shared" si="14"/>
        <v/>
      </c>
      <c r="AQ100" t="str">
        <f t="shared" si="15"/>
        <v/>
      </c>
      <c r="AR100" t="str">
        <f t="shared" si="16"/>
        <v/>
      </c>
      <c r="AS100" t="str">
        <f t="shared" si="17"/>
        <v/>
      </c>
      <c r="AT100" t="str">
        <f t="shared" si="18"/>
        <v/>
      </c>
      <c r="BG100" t="str">
        <f t="shared" si="19"/>
        <v/>
      </c>
      <c r="BH100" t="str">
        <f t="shared" si="20"/>
        <v/>
      </c>
      <c r="BL100" t="str">
        <f>IFERROR(INDEX(_names_lookup!$C:$C,MATCH(BK100,_names_lookup!$A:$A,0)),"")</f>
        <v/>
      </c>
      <c r="BM100" t="str">
        <f>IFERROR(INDEX(_names_lookup!$B:$B,MATCH(BK100,_names_lookup!$A:$A,0)),"")</f>
        <v/>
      </c>
      <c r="BS100" t="str">
        <f t="shared" si="21"/>
        <v/>
      </c>
    </row>
    <row r="101" spans="15:71" x14ac:dyDescent="0.2">
      <c r="O101" t="str">
        <f>IFERROR(INDEX(_courses_lookup!$C:$C,MATCH(K101&amp;L101,_courses_lookup!$E:$E,0)),"")</f>
        <v/>
      </c>
      <c r="P101" t="str">
        <f>IFERROR(INDEX(_courses_lookup!$D:$D,MATCH(K101&amp;L101,_courses_lookup!$E:$E,0)),"")</f>
        <v/>
      </c>
      <c r="AG101" t="str">
        <f t="shared" si="11"/>
        <v/>
      </c>
      <c r="AI101" t="str">
        <f t="shared" si="12"/>
        <v/>
      </c>
      <c r="AL101" t="str">
        <f t="shared" si="13"/>
        <v/>
      </c>
      <c r="AN101" t="str">
        <f t="shared" si="14"/>
        <v/>
      </c>
      <c r="AQ101" t="str">
        <f t="shared" si="15"/>
        <v/>
      </c>
      <c r="AR101" t="str">
        <f t="shared" si="16"/>
        <v/>
      </c>
      <c r="AS101" t="str">
        <f t="shared" si="17"/>
        <v/>
      </c>
      <c r="AT101" t="str">
        <f t="shared" si="18"/>
        <v/>
      </c>
      <c r="BG101" t="str">
        <f t="shared" si="19"/>
        <v/>
      </c>
      <c r="BH101" t="str">
        <f t="shared" si="20"/>
        <v/>
      </c>
      <c r="BL101" t="str">
        <f>IFERROR(INDEX(_names_lookup!$C:$C,MATCH(BK101,_names_lookup!$A:$A,0)),"")</f>
        <v/>
      </c>
      <c r="BM101" t="str">
        <f>IFERROR(INDEX(_names_lookup!$B:$B,MATCH(BK101,_names_lookup!$A:$A,0)),"")</f>
        <v/>
      </c>
      <c r="BS101" t="str">
        <f t="shared" si="21"/>
        <v/>
      </c>
    </row>
    <row r="102" spans="15:71" x14ac:dyDescent="0.2">
      <c r="O102" t="str">
        <f>IFERROR(INDEX(_courses_lookup!$C:$C,MATCH(K102&amp;L102,_courses_lookup!$E:$E,0)),"")</f>
        <v/>
      </c>
      <c r="P102" t="str">
        <f>IFERROR(INDEX(_courses_lookup!$D:$D,MATCH(K102&amp;L102,_courses_lookup!$E:$E,0)),"")</f>
        <v/>
      </c>
      <c r="AG102" t="str">
        <f t="shared" si="11"/>
        <v/>
      </c>
      <c r="AI102" t="str">
        <f t="shared" si="12"/>
        <v/>
      </c>
      <c r="AL102" t="str">
        <f t="shared" si="13"/>
        <v/>
      </c>
      <c r="AN102" t="str">
        <f t="shared" si="14"/>
        <v/>
      </c>
      <c r="AQ102" t="str">
        <f t="shared" si="15"/>
        <v/>
      </c>
      <c r="AR102" t="str">
        <f t="shared" si="16"/>
        <v/>
      </c>
      <c r="AS102" t="str">
        <f t="shared" si="17"/>
        <v/>
      </c>
      <c r="AT102" t="str">
        <f t="shared" si="18"/>
        <v/>
      </c>
      <c r="BG102" t="str">
        <f t="shared" si="19"/>
        <v/>
      </c>
      <c r="BH102" t="str">
        <f t="shared" si="20"/>
        <v/>
      </c>
      <c r="BL102" t="str">
        <f>IFERROR(INDEX(_names_lookup!$C:$C,MATCH(BK102,_names_lookup!$A:$A,0)),"")</f>
        <v/>
      </c>
      <c r="BM102" t="str">
        <f>IFERROR(INDEX(_names_lookup!$B:$B,MATCH(BK102,_names_lookup!$A:$A,0)),"")</f>
        <v/>
      </c>
      <c r="BS102" t="str">
        <f t="shared" si="21"/>
        <v/>
      </c>
    </row>
    <row r="103" spans="15:71" x14ac:dyDescent="0.2">
      <c r="O103" t="str">
        <f>IFERROR(INDEX(_courses_lookup!$C:$C,MATCH(K103&amp;L103,_courses_lookup!$E:$E,0)),"")</f>
        <v/>
      </c>
      <c r="P103" t="str">
        <f>IFERROR(INDEX(_courses_lookup!$D:$D,MATCH(K103&amp;L103,_courses_lookup!$E:$E,0)),"")</f>
        <v/>
      </c>
      <c r="AG103" t="str">
        <f t="shared" si="11"/>
        <v/>
      </c>
      <c r="AI103" t="str">
        <f t="shared" si="12"/>
        <v/>
      </c>
      <c r="AL103" t="str">
        <f t="shared" si="13"/>
        <v/>
      </c>
      <c r="AN103" t="str">
        <f t="shared" si="14"/>
        <v/>
      </c>
      <c r="AQ103" t="str">
        <f t="shared" si="15"/>
        <v/>
      </c>
      <c r="AR103" t="str">
        <f t="shared" si="16"/>
        <v/>
      </c>
      <c r="AS103" t="str">
        <f t="shared" si="17"/>
        <v/>
      </c>
      <c r="AT103" t="str">
        <f t="shared" si="18"/>
        <v/>
      </c>
      <c r="BG103" t="str">
        <f t="shared" si="19"/>
        <v/>
      </c>
      <c r="BH103" t="str">
        <f t="shared" si="20"/>
        <v/>
      </c>
      <c r="BL103" t="str">
        <f>IFERROR(INDEX(_names_lookup!$C:$C,MATCH(BK103,_names_lookup!$A:$A,0)),"")</f>
        <v/>
      </c>
      <c r="BM103" t="str">
        <f>IFERROR(INDEX(_names_lookup!$B:$B,MATCH(BK103,_names_lookup!$A:$A,0)),"")</f>
        <v/>
      </c>
      <c r="BS103" t="str">
        <f t="shared" si="21"/>
        <v/>
      </c>
    </row>
    <row r="104" spans="15:71" x14ac:dyDescent="0.2">
      <c r="O104" t="str">
        <f>IFERROR(INDEX(_courses_lookup!$C:$C,MATCH(K104&amp;L104,_courses_lookup!$E:$E,0)),"")</f>
        <v/>
      </c>
      <c r="P104" t="str">
        <f>IFERROR(INDEX(_courses_lookup!$D:$D,MATCH(K104&amp;L104,_courses_lookup!$E:$E,0)),"")</f>
        <v/>
      </c>
      <c r="AG104" t="str">
        <f t="shared" si="11"/>
        <v/>
      </c>
      <c r="AI104" t="str">
        <f t="shared" si="12"/>
        <v/>
      </c>
      <c r="AL104" t="str">
        <f t="shared" si="13"/>
        <v/>
      </c>
      <c r="AN104" t="str">
        <f t="shared" si="14"/>
        <v/>
      </c>
      <c r="AQ104" t="str">
        <f t="shared" si="15"/>
        <v/>
      </c>
      <c r="AR104" t="str">
        <f t="shared" si="16"/>
        <v/>
      </c>
      <c r="AS104" t="str">
        <f t="shared" si="17"/>
        <v/>
      </c>
      <c r="AT104" t="str">
        <f t="shared" si="18"/>
        <v/>
      </c>
      <c r="BG104" t="str">
        <f t="shared" si="19"/>
        <v/>
      </c>
      <c r="BH104" t="str">
        <f t="shared" si="20"/>
        <v/>
      </c>
      <c r="BL104" t="str">
        <f>IFERROR(INDEX(_names_lookup!$C:$C,MATCH(BK104,_names_lookup!$A:$A,0)),"")</f>
        <v/>
      </c>
      <c r="BM104" t="str">
        <f>IFERROR(INDEX(_names_lookup!$B:$B,MATCH(BK104,_names_lookup!$A:$A,0)),"")</f>
        <v/>
      </c>
      <c r="BS104" t="str">
        <f t="shared" si="21"/>
        <v/>
      </c>
    </row>
    <row r="105" spans="15:71" x14ac:dyDescent="0.2">
      <c r="O105" t="str">
        <f>IFERROR(INDEX(_courses_lookup!$C:$C,MATCH(K105&amp;L105,_courses_lookup!$E:$E,0)),"")</f>
        <v/>
      </c>
      <c r="P105" t="str">
        <f>IFERROR(INDEX(_courses_lookup!$D:$D,MATCH(K105&amp;L105,_courses_lookup!$E:$E,0)),"")</f>
        <v/>
      </c>
      <c r="AG105" t="str">
        <f t="shared" si="11"/>
        <v/>
      </c>
      <c r="AI105" t="str">
        <f t="shared" si="12"/>
        <v/>
      </c>
      <c r="AL105" t="str">
        <f t="shared" si="13"/>
        <v/>
      </c>
      <c r="AN105" t="str">
        <f t="shared" si="14"/>
        <v/>
      </c>
      <c r="AQ105" t="str">
        <f t="shared" si="15"/>
        <v/>
      </c>
      <c r="AR105" t="str">
        <f t="shared" si="16"/>
        <v/>
      </c>
      <c r="AS105" t="str">
        <f t="shared" si="17"/>
        <v/>
      </c>
      <c r="AT105" t="str">
        <f t="shared" si="18"/>
        <v/>
      </c>
      <c r="BG105" t="str">
        <f t="shared" si="19"/>
        <v/>
      </c>
      <c r="BH105" t="str">
        <f t="shared" si="20"/>
        <v/>
      </c>
      <c r="BL105" t="str">
        <f>IFERROR(INDEX(_names_lookup!$C:$C,MATCH(BK105,_names_lookup!$A:$A,0)),"")</f>
        <v/>
      </c>
      <c r="BM105" t="str">
        <f>IFERROR(INDEX(_names_lookup!$B:$B,MATCH(BK105,_names_lookup!$A:$A,0)),"")</f>
        <v/>
      </c>
      <c r="BS105" t="str">
        <f t="shared" si="21"/>
        <v/>
      </c>
    </row>
    <row r="106" spans="15:71" x14ac:dyDescent="0.2">
      <c r="O106" t="str">
        <f>IFERROR(INDEX(_courses_lookup!$C:$C,MATCH(K106&amp;L106,_courses_lookup!$E:$E,0)),"")</f>
        <v/>
      </c>
      <c r="P106" t="str">
        <f>IFERROR(INDEX(_courses_lookup!$D:$D,MATCH(K106&amp;L106,_courses_lookup!$E:$E,0)),"")</f>
        <v/>
      </c>
      <c r="AG106" t="str">
        <f t="shared" si="11"/>
        <v/>
      </c>
      <c r="AI106" t="str">
        <f t="shared" si="12"/>
        <v/>
      </c>
      <c r="AL106" t="str">
        <f t="shared" si="13"/>
        <v/>
      </c>
      <c r="AN106" t="str">
        <f t="shared" si="14"/>
        <v/>
      </c>
      <c r="AQ106" t="str">
        <f t="shared" si="15"/>
        <v/>
      </c>
      <c r="AR106" t="str">
        <f t="shared" si="16"/>
        <v/>
      </c>
      <c r="AS106" t="str">
        <f t="shared" si="17"/>
        <v/>
      </c>
      <c r="AT106" t="str">
        <f t="shared" si="18"/>
        <v/>
      </c>
      <c r="BG106" t="str">
        <f t="shared" si="19"/>
        <v/>
      </c>
      <c r="BH106" t="str">
        <f t="shared" si="20"/>
        <v/>
      </c>
      <c r="BL106" t="str">
        <f>IFERROR(INDEX(_names_lookup!$C:$C,MATCH(BK106,_names_lookup!$A:$A,0)),"")</f>
        <v/>
      </c>
      <c r="BM106" t="str">
        <f>IFERROR(INDEX(_names_lookup!$B:$B,MATCH(BK106,_names_lookup!$A:$A,0)),"")</f>
        <v/>
      </c>
      <c r="BS106" t="str">
        <f t="shared" si="21"/>
        <v/>
      </c>
    </row>
    <row r="107" spans="15:71" x14ac:dyDescent="0.2">
      <c r="O107" t="str">
        <f>IFERROR(INDEX(_courses_lookup!$C:$C,MATCH(K107&amp;L107,_courses_lookup!$E:$E,0)),"")</f>
        <v/>
      </c>
      <c r="P107" t="str">
        <f>IFERROR(INDEX(_courses_lookup!$D:$D,MATCH(K107&amp;L107,_courses_lookup!$E:$E,0)),"")</f>
        <v/>
      </c>
      <c r="AG107" t="str">
        <f t="shared" si="11"/>
        <v/>
      </c>
      <c r="AI107" t="str">
        <f t="shared" si="12"/>
        <v/>
      </c>
      <c r="AL107" t="str">
        <f t="shared" si="13"/>
        <v/>
      </c>
      <c r="AN107" t="str">
        <f t="shared" si="14"/>
        <v/>
      </c>
      <c r="AQ107" t="str">
        <f t="shared" si="15"/>
        <v/>
      </c>
      <c r="AR107" t="str">
        <f t="shared" si="16"/>
        <v/>
      </c>
      <c r="AS107" t="str">
        <f t="shared" si="17"/>
        <v/>
      </c>
      <c r="AT107" t="str">
        <f t="shared" si="18"/>
        <v/>
      </c>
      <c r="BG107" t="str">
        <f t="shared" si="19"/>
        <v/>
      </c>
      <c r="BH107" t="str">
        <f t="shared" si="20"/>
        <v/>
      </c>
      <c r="BL107" t="str">
        <f>IFERROR(INDEX(_names_lookup!$C:$C,MATCH(BK107,_names_lookup!$A:$A,0)),"")</f>
        <v/>
      </c>
      <c r="BM107" t="str">
        <f>IFERROR(INDEX(_names_lookup!$B:$B,MATCH(BK107,_names_lookup!$A:$A,0)),"")</f>
        <v/>
      </c>
      <c r="BS107" t="str">
        <f t="shared" si="21"/>
        <v/>
      </c>
    </row>
    <row r="108" spans="15:71" x14ac:dyDescent="0.2">
      <c r="O108" t="str">
        <f>IFERROR(INDEX(_courses_lookup!$C:$C,MATCH(K108&amp;L108,_courses_lookup!$E:$E,0)),"")</f>
        <v/>
      </c>
      <c r="P108" t="str">
        <f>IFERROR(INDEX(_courses_lookup!$D:$D,MATCH(K108&amp;L108,_courses_lookup!$E:$E,0)),"")</f>
        <v/>
      </c>
      <c r="AG108" t="str">
        <f t="shared" si="11"/>
        <v/>
      </c>
      <c r="AI108" t="str">
        <f t="shared" si="12"/>
        <v/>
      </c>
      <c r="AL108" t="str">
        <f t="shared" si="13"/>
        <v/>
      </c>
      <c r="AN108" t="str">
        <f t="shared" si="14"/>
        <v/>
      </c>
      <c r="AQ108" t="str">
        <f t="shared" si="15"/>
        <v/>
      </c>
      <c r="AR108" t="str">
        <f t="shared" si="16"/>
        <v/>
      </c>
      <c r="AS108" t="str">
        <f t="shared" si="17"/>
        <v/>
      </c>
      <c r="AT108" t="str">
        <f t="shared" si="18"/>
        <v/>
      </c>
      <c r="BG108" t="str">
        <f t="shared" si="19"/>
        <v/>
      </c>
      <c r="BH108" t="str">
        <f t="shared" si="20"/>
        <v/>
      </c>
      <c r="BL108" t="str">
        <f>IFERROR(INDEX(_names_lookup!$C:$C,MATCH(BK108,_names_lookup!$A:$A,0)),"")</f>
        <v/>
      </c>
      <c r="BM108" t="str">
        <f>IFERROR(INDEX(_names_lookup!$B:$B,MATCH(BK108,_names_lookup!$A:$A,0)),"")</f>
        <v/>
      </c>
      <c r="BS108" t="str">
        <f t="shared" si="21"/>
        <v/>
      </c>
    </row>
    <row r="109" spans="15:71" x14ac:dyDescent="0.2">
      <c r="O109" t="str">
        <f>IFERROR(INDEX(_courses_lookup!$C:$C,MATCH(K109&amp;L109,_courses_lookup!$E:$E,0)),"")</f>
        <v/>
      </c>
      <c r="P109" t="str">
        <f>IFERROR(INDEX(_courses_lookup!$D:$D,MATCH(K109&amp;L109,_courses_lookup!$E:$E,0)),"")</f>
        <v/>
      </c>
      <c r="AG109" t="str">
        <f t="shared" si="11"/>
        <v/>
      </c>
      <c r="AI109" t="str">
        <f t="shared" si="12"/>
        <v/>
      </c>
      <c r="AL109" t="str">
        <f t="shared" si="13"/>
        <v/>
      </c>
      <c r="AN109" t="str">
        <f t="shared" si="14"/>
        <v/>
      </c>
      <c r="AQ109" t="str">
        <f t="shared" si="15"/>
        <v/>
      </c>
      <c r="AR109" t="str">
        <f t="shared" si="16"/>
        <v/>
      </c>
      <c r="AS109" t="str">
        <f t="shared" si="17"/>
        <v/>
      </c>
      <c r="AT109" t="str">
        <f t="shared" si="18"/>
        <v/>
      </c>
      <c r="BG109" t="str">
        <f t="shared" si="19"/>
        <v/>
      </c>
      <c r="BH109" t="str">
        <f t="shared" si="20"/>
        <v/>
      </c>
      <c r="BL109" t="str">
        <f>IFERROR(INDEX(_names_lookup!$C:$C,MATCH(BK109,_names_lookup!$A:$A,0)),"")</f>
        <v/>
      </c>
      <c r="BM109" t="str">
        <f>IFERROR(INDEX(_names_lookup!$B:$B,MATCH(BK109,_names_lookup!$A:$A,0)),"")</f>
        <v/>
      </c>
      <c r="BS109" t="str">
        <f t="shared" si="21"/>
        <v/>
      </c>
    </row>
    <row r="110" spans="15:71" x14ac:dyDescent="0.2">
      <c r="O110" t="str">
        <f>IFERROR(INDEX(_courses_lookup!$C:$C,MATCH(K110&amp;L110,_courses_lookup!$E:$E,0)),"")</f>
        <v/>
      </c>
      <c r="P110" t="str">
        <f>IFERROR(INDEX(_courses_lookup!$D:$D,MATCH(K110&amp;L110,_courses_lookup!$E:$E,0)),"")</f>
        <v/>
      </c>
      <c r="AG110" t="str">
        <f t="shared" si="11"/>
        <v/>
      </c>
      <c r="AI110" t="str">
        <f t="shared" si="12"/>
        <v/>
      </c>
      <c r="AL110" t="str">
        <f t="shared" si="13"/>
        <v/>
      </c>
      <c r="AN110" t="str">
        <f t="shared" si="14"/>
        <v/>
      </c>
      <c r="AQ110" t="str">
        <f t="shared" si="15"/>
        <v/>
      </c>
      <c r="AR110" t="str">
        <f t="shared" si="16"/>
        <v/>
      </c>
      <c r="AS110" t="str">
        <f t="shared" si="17"/>
        <v/>
      </c>
      <c r="AT110" t="str">
        <f t="shared" si="18"/>
        <v/>
      </c>
      <c r="BG110" t="str">
        <f t="shared" si="19"/>
        <v/>
      </c>
      <c r="BH110" t="str">
        <f t="shared" si="20"/>
        <v/>
      </c>
      <c r="BL110" t="str">
        <f>IFERROR(INDEX(_names_lookup!$C:$C,MATCH(BK110,_names_lookup!$A:$A,0)),"")</f>
        <v/>
      </c>
      <c r="BM110" t="str">
        <f>IFERROR(INDEX(_names_lookup!$B:$B,MATCH(BK110,_names_lookup!$A:$A,0)),"")</f>
        <v/>
      </c>
      <c r="BS110" t="str">
        <f t="shared" si="21"/>
        <v/>
      </c>
    </row>
    <row r="111" spans="15:71" x14ac:dyDescent="0.2">
      <c r="O111" t="str">
        <f>IFERROR(INDEX(_courses_lookup!$C:$C,MATCH(K111&amp;L111,_courses_lookup!$E:$E,0)),"")</f>
        <v/>
      </c>
      <c r="P111" t="str">
        <f>IFERROR(INDEX(_courses_lookup!$D:$D,MATCH(K111&amp;L111,_courses_lookup!$E:$E,0)),"")</f>
        <v/>
      </c>
      <c r="AG111" t="str">
        <f t="shared" si="11"/>
        <v/>
      </c>
      <c r="AI111" t="str">
        <f t="shared" si="12"/>
        <v/>
      </c>
      <c r="AL111" t="str">
        <f t="shared" si="13"/>
        <v/>
      </c>
      <c r="AN111" t="str">
        <f t="shared" si="14"/>
        <v/>
      </c>
      <c r="AQ111" t="str">
        <f t="shared" si="15"/>
        <v/>
      </c>
      <c r="AR111" t="str">
        <f t="shared" si="16"/>
        <v/>
      </c>
      <c r="AS111" t="str">
        <f t="shared" si="17"/>
        <v/>
      </c>
      <c r="AT111" t="str">
        <f t="shared" si="18"/>
        <v/>
      </c>
      <c r="BG111" t="str">
        <f t="shared" si="19"/>
        <v/>
      </c>
      <c r="BH111" t="str">
        <f t="shared" si="20"/>
        <v/>
      </c>
      <c r="BL111" t="str">
        <f>IFERROR(INDEX(_names_lookup!$C:$C,MATCH(BK111,_names_lookup!$A:$A,0)),"")</f>
        <v/>
      </c>
      <c r="BM111" t="str">
        <f>IFERROR(INDEX(_names_lookup!$B:$B,MATCH(BK111,_names_lookup!$A:$A,0)),"")</f>
        <v/>
      </c>
      <c r="BS111" t="str">
        <f t="shared" si="21"/>
        <v/>
      </c>
    </row>
    <row r="112" spans="15:71" x14ac:dyDescent="0.2">
      <c r="O112" t="str">
        <f>IFERROR(INDEX(_courses_lookup!$C:$C,MATCH(K112&amp;L112,_courses_lookup!$E:$E,0)),"")</f>
        <v/>
      </c>
      <c r="P112" t="str">
        <f>IFERROR(INDEX(_courses_lookup!$D:$D,MATCH(K112&amp;L112,_courses_lookup!$E:$E,0)),"")</f>
        <v/>
      </c>
      <c r="AG112" t="str">
        <f t="shared" si="11"/>
        <v/>
      </c>
      <c r="AI112" t="str">
        <f t="shared" si="12"/>
        <v/>
      </c>
      <c r="AL112" t="str">
        <f t="shared" si="13"/>
        <v/>
      </c>
      <c r="AN112" t="str">
        <f t="shared" si="14"/>
        <v/>
      </c>
      <c r="AQ112" t="str">
        <f t="shared" si="15"/>
        <v/>
      </c>
      <c r="AR112" t="str">
        <f t="shared" si="16"/>
        <v/>
      </c>
      <c r="AS112" t="str">
        <f t="shared" si="17"/>
        <v/>
      </c>
      <c r="AT112" t="str">
        <f t="shared" si="18"/>
        <v/>
      </c>
      <c r="BG112" t="str">
        <f t="shared" si="19"/>
        <v/>
      </c>
      <c r="BH112" t="str">
        <f t="shared" si="20"/>
        <v/>
      </c>
      <c r="BL112" t="str">
        <f>IFERROR(INDEX(_names_lookup!$C:$C,MATCH(BK112,_names_lookup!$A:$A,0)),"")</f>
        <v/>
      </c>
      <c r="BM112" t="str">
        <f>IFERROR(INDEX(_names_lookup!$B:$B,MATCH(BK112,_names_lookup!$A:$A,0)),"")</f>
        <v/>
      </c>
      <c r="BS112" t="str">
        <f t="shared" si="21"/>
        <v/>
      </c>
    </row>
    <row r="113" spans="15:71" x14ac:dyDescent="0.2">
      <c r="O113" t="str">
        <f>IFERROR(INDEX(_courses_lookup!$C:$C,MATCH(K113&amp;L113,_courses_lookup!$E:$E,0)),"")</f>
        <v/>
      </c>
      <c r="P113" t="str">
        <f>IFERROR(INDEX(_courses_lookup!$D:$D,MATCH(K113&amp;L113,_courses_lookup!$E:$E,0)),"")</f>
        <v/>
      </c>
      <c r="AG113" t="str">
        <f t="shared" si="11"/>
        <v/>
      </c>
      <c r="AI113" t="str">
        <f t="shared" si="12"/>
        <v/>
      </c>
      <c r="AL113" t="str">
        <f t="shared" si="13"/>
        <v/>
      </c>
      <c r="AN113" t="str">
        <f t="shared" si="14"/>
        <v/>
      </c>
      <c r="AQ113" t="str">
        <f t="shared" si="15"/>
        <v/>
      </c>
      <c r="AR113" t="str">
        <f t="shared" si="16"/>
        <v/>
      </c>
      <c r="AS113" t="str">
        <f t="shared" si="17"/>
        <v/>
      </c>
      <c r="AT113" t="str">
        <f t="shared" si="18"/>
        <v/>
      </c>
      <c r="BG113" t="str">
        <f t="shared" si="19"/>
        <v/>
      </c>
      <c r="BH113" t="str">
        <f t="shared" si="20"/>
        <v/>
      </c>
      <c r="BL113" t="str">
        <f>IFERROR(INDEX(_names_lookup!$C:$C,MATCH(BK113,_names_lookup!$A:$A,0)),"")</f>
        <v/>
      </c>
      <c r="BM113" t="str">
        <f>IFERROR(INDEX(_names_lookup!$B:$B,MATCH(BK113,_names_lookup!$A:$A,0)),"")</f>
        <v/>
      </c>
      <c r="BS113" t="str">
        <f t="shared" si="21"/>
        <v/>
      </c>
    </row>
    <row r="114" spans="15:71" x14ac:dyDescent="0.2">
      <c r="O114" t="str">
        <f>IFERROR(INDEX(_courses_lookup!$C:$C,MATCH(K114&amp;L114,_courses_lookup!$E:$E,0)),"")</f>
        <v/>
      </c>
      <c r="P114" t="str">
        <f>IFERROR(INDEX(_courses_lookup!$D:$D,MATCH(K114&amp;L114,_courses_lookup!$E:$E,0)),"")</f>
        <v/>
      </c>
      <c r="AG114" t="str">
        <f t="shared" si="11"/>
        <v/>
      </c>
      <c r="AI114" t="str">
        <f t="shared" si="12"/>
        <v/>
      </c>
      <c r="AL114" t="str">
        <f t="shared" si="13"/>
        <v/>
      </c>
      <c r="AN114" t="str">
        <f t="shared" si="14"/>
        <v/>
      </c>
      <c r="AQ114" t="str">
        <f t="shared" si="15"/>
        <v/>
      </c>
      <c r="AR114" t="str">
        <f t="shared" si="16"/>
        <v/>
      </c>
      <c r="AS114" t="str">
        <f t="shared" si="17"/>
        <v/>
      </c>
      <c r="AT114" t="str">
        <f t="shared" si="18"/>
        <v/>
      </c>
      <c r="BG114" t="str">
        <f t="shared" si="19"/>
        <v/>
      </c>
      <c r="BH114" t="str">
        <f t="shared" si="20"/>
        <v/>
      </c>
      <c r="BL114" t="str">
        <f>IFERROR(INDEX(_names_lookup!$C:$C,MATCH(BK114,_names_lookup!$A:$A,0)),"")</f>
        <v/>
      </c>
      <c r="BM114" t="str">
        <f>IFERROR(INDEX(_names_lookup!$B:$B,MATCH(BK114,_names_lookup!$A:$A,0)),"")</f>
        <v/>
      </c>
      <c r="BS114" t="str">
        <f t="shared" si="21"/>
        <v/>
      </c>
    </row>
    <row r="115" spans="15:71" x14ac:dyDescent="0.2">
      <c r="O115" t="str">
        <f>IFERROR(INDEX(_courses_lookup!$C:$C,MATCH(K115&amp;L115,_courses_lookup!$E:$E,0)),"")</f>
        <v/>
      </c>
      <c r="P115" t="str">
        <f>IFERROR(INDEX(_courses_lookup!$D:$D,MATCH(K115&amp;L115,_courses_lookup!$E:$E,0)),"")</f>
        <v/>
      </c>
      <c r="AG115" t="str">
        <f t="shared" si="11"/>
        <v/>
      </c>
      <c r="AI115" t="str">
        <f t="shared" si="12"/>
        <v/>
      </c>
      <c r="AL115" t="str">
        <f t="shared" si="13"/>
        <v/>
      </c>
      <c r="AN115" t="str">
        <f t="shared" si="14"/>
        <v/>
      </c>
      <c r="AQ115" t="str">
        <f t="shared" si="15"/>
        <v/>
      </c>
      <c r="AR115" t="str">
        <f t="shared" si="16"/>
        <v/>
      </c>
      <c r="AS115" t="str">
        <f t="shared" si="17"/>
        <v/>
      </c>
      <c r="AT115" t="str">
        <f t="shared" si="18"/>
        <v/>
      </c>
      <c r="BG115" t="str">
        <f t="shared" si="19"/>
        <v/>
      </c>
      <c r="BH115" t="str">
        <f t="shared" si="20"/>
        <v/>
      </c>
      <c r="BL115" t="str">
        <f>IFERROR(INDEX(_names_lookup!$C:$C,MATCH(BK115,_names_lookup!$A:$A,0)),"")</f>
        <v/>
      </c>
      <c r="BM115" t="str">
        <f>IFERROR(INDEX(_names_lookup!$B:$B,MATCH(BK115,_names_lookup!$A:$A,0)),"")</f>
        <v/>
      </c>
      <c r="BS115" t="str">
        <f t="shared" si="21"/>
        <v/>
      </c>
    </row>
    <row r="116" spans="15:71" x14ac:dyDescent="0.2">
      <c r="O116" t="str">
        <f>IFERROR(INDEX(_courses_lookup!$C:$C,MATCH(K116&amp;L116,_courses_lookup!$E:$E,0)),"")</f>
        <v/>
      </c>
      <c r="P116" t="str">
        <f>IFERROR(INDEX(_courses_lookup!$D:$D,MATCH(K116&amp;L116,_courses_lookup!$E:$E,0)),"")</f>
        <v/>
      </c>
      <c r="AG116" t="str">
        <f t="shared" si="11"/>
        <v/>
      </c>
      <c r="AI116" t="str">
        <f t="shared" si="12"/>
        <v/>
      </c>
      <c r="AL116" t="str">
        <f t="shared" si="13"/>
        <v/>
      </c>
      <c r="AN116" t="str">
        <f t="shared" si="14"/>
        <v/>
      </c>
      <c r="AQ116" t="str">
        <f t="shared" si="15"/>
        <v/>
      </c>
      <c r="AR116" t="str">
        <f t="shared" si="16"/>
        <v/>
      </c>
      <c r="AS116" t="str">
        <f t="shared" si="17"/>
        <v/>
      </c>
      <c r="AT116" t="str">
        <f t="shared" si="18"/>
        <v/>
      </c>
      <c r="BG116" t="str">
        <f t="shared" si="19"/>
        <v/>
      </c>
      <c r="BH116" t="str">
        <f t="shared" si="20"/>
        <v/>
      </c>
      <c r="BL116" t="str">
        <f>IFERROR(INDEX(_names_lookup!$C:$C,MATCH(BK116,_names_lookup!$A:$A,0)),"")</f>
        <v/>
      </c>
      <c r="BM116" t="str">
        <f>IFERROR(INDEX(_names_lookup!$B:$B,MATCH(BK116,_names_lookup!$A:$A,0)),"")</f>
        <v/>
      </c>
      <c r="BS116" t="str">
        <f t="shared" si="21"/>
        <v/>
      </c>
    </row>
    <row r="117" spans="15:71" x14ac:dyDescent="0.2">
      <c r="O117" t="str">
        <f>IFERROR(INDEX(_courses_lookup!$C:$C,MATCH(K117&amp;L117,_courses_lookup!$E:$E,0)),"")</f>
        <v/>
      </c>
      <c r="P117" t="str">
        <f>IFERROR(INDEX(_courses_lookup!$D:$D,MATCH(K117&amp;L117,_courses_lookup!$E:$E,0)),"")</f>
        <v/>
      </c>
      <c r="AG117" t="str">
        <f t="shared" si="11"/>
        <v/>
      </c>
      <c r="AI117" t="str">
        <f t="shared" si="12"/>
        <v/>
      </c>
      <c r="AL117" t="str">
        <f t="shared" si="13"/>
        <v/>
      </c>
      <c r="AN117" t="str">
        <f t="shared" si="14"/>
        <v/>
      </c>
      <c r="AQ117" t="str">
        <f t="shared" si="15"/>
        <v/>
      </c>
      <c r="AR117" t="str">
        <f t="shared" si="16"/>
        <v/>
      </c>
      <c r="AS117" t="str">
        <f t="shared" si="17"/>
        <v/>
      </c>
      <c r="AT117" t="str">
        <f t="shared" si="18"/>
        <v/>
      </c>
      <c r="BG117" t="str">
        <f t="shared" si="19"/>
        <v/>
      </c>
      <c r="BH117" t="str">
        <f t="shared" si="20"/>
        <v/>
      </c>
      <c r="BL117" t="str">
        <f>IFERROR(INDEX(_names_lookup!$C:$C,MATCH(BK117,_names_lookup!$A:$A,0)),"")</f>
        <v/>
      </c>
      <c r="BM117" t="str">
        <f>IFERROR(INDEX(_names_lookup!$B:$B,MATCH(BK117,_names_lookup!$A:$A,0)),"")</f>
        <v/>
      </c>
      <c r="BS117" t="str">
        <f t="shared" si="21"/>
        <v/>
      </c>
    </row>
    <row r="118" spans="15:71" x14ac:dyDescent="0.2">
      <c r="O118" t="str">
        <f>IFERROR(INDEX(_courses_lookup!$C:$C,MATCH(K118&amp;L118,_courses_lookup!$E:$E,0)),"")</f>
        <v/>
      </c>
      <c r="P118" t="str">
        <f>IFERROR(INDEX(_courses_lookup!$D:$D,MATCH(K118&amp;L118,_courses_lookup!$E:$E,0)),"")</f>
        <v/>
      </c>
      <c r="AG118" t="str">
        <f t="shared" si="11"/>
        <v/>
      </c>
      <c r="AI118" t="str">
        <f t="shared" si="12"/>
        <v/>
      </c>
      <c r="AL118" t="str">
        <f t="shared" si="13"/>
        <v/>
      </c>
      <c r="AN118" t="str">
        <f t="shared" si="14"/>
        <v/>
      </c>
      <c r="AQ118" t="str">
        <f t="shared" si="15"/>
        <v/>
      </c>
      <c r="AR118" t="str">
        <f t="shared" si="16"/>
        <v/>
      </c>
      <c r="AS118" t="str">
        <f t="shared" si="17"/>
        <v/>
      </c>
      <c r="AT118" t="str">
        <f t="shared" si="18"/>
        <v/>
      </c>
      <c r="BG118" t="str">
        <f t="shared" si="19"/>
        <v/>
      </c>
      <c r="BH118" t="str">
        <f t="shared" si="20"/>
        <v/>
      </c>
      <c r="BL118" t="str">
        <f>IFERROR(INDEX(_names_lookup!$C:$C,MATCH(BK118,_names_lookup!$A:$A,0)),"")</f>
        <v/>
      </c>
      <c r="BM118" t="str">
        <f>IFERROR(INDEX(_names_lookup!$B:$B,MATCH(BK118,_names_lookup!$A:$A,0)),"")</f>
        <v/>
      </c>
      <c r="BS118" t="str">
        <f t="shared" si="21"/>
        <v/>
      </c>
    </row>
    <row r="119" spans="15:71" x14ac:dyDescent="0.2">
      <c r="O119" t="str">
        <f>IFERROR(INDEX(_courses_lookup!$C:$C,MATCH(K119&amp;L119,_courses_lookup!$E:$E,0)),"")</f>
        <v/>
      </c>
      <c r="P119" t="str">
        <f>IFERROR(INDEX(_courses_lookup!$D:$D,MATCH(K119&amp;L119,_courses_lookup!$E:$E,0)),"")</f>
        <v/>
      </c>
      <c r="AG119" t="str">
        <f t="shared" si="11"/>
        <v/>
      </c>
      <c r="AI119" t="str">
        <f t="shared" si="12"/>
        <v/>
      </c>
      <c r="AL119" t="str">
        <f t="shared" si="13"/>
        <v/>
      </c>
      <c r="AN119" t="str">
        <f t="shared" si="14"/>
        <v/>
      </c>
      <c r="AQ119" t="str">
        <f t="shared" si="15"/>
        <v/>
      </c>
      <c r="AR119" t="str">
        <f t="shared" si="16"/>
        <v/>
      </c>
      <c r="AS119" t="str">
        <f t="shared" si="17"/>
        <v/>
      </c>
      <c r="AT119" t="str">
        <f t="shared" si="18"/>
        <v/>
      </c>
      <c r="BG119" t="str">
        <f t="shared" si="19"/>
        <v/>
      </c>
      <c r="BH119" t="str">
        <f t="shared" si="20"/>
        <v/>
      </c>
      <c r="BL119" t="str">
        <f>IFERROR(INDEX(_names_lookup!$C:$C,MATCH(BK119,_names_lookup!$A:$A,0)),"")</f>
        <v/>
      </c>
      <c r="BM119" t="str">
        <f>IFERROR(INDEX(_names_lookup!$B:$B,MATCH(BK119,_names_lookup!$A:$A,0)),"")</f>
        <v/>
      </c>
      <c r="BS119" t="str">
        <f t="shared" si="21"/>
        <v/>
      </c>
    </row>
    <row r="120" spans="15:71" x14ac:dyDescent="0.2">
      <c r="O120" t="str">
        <f>IFERROR(INDEX(_courses_lookup!$C:$C,MATCH(K120&amp;L120,_courses_lookup!$E:$E,0)),"")</f>
        <v/>
      </c>
      <c r="P120" t="str">
        <f>IFERROR(INDEX(_courses_lookup!$D:$D,MATCH(K120&amp;L120,_courses_lookup!$E:$E,0)),"")</f>
        <v/>
      </c>
      <c r="AG120" t="str">
        <f t="shared" si="11"/>
        <v/>
      </c>
      <c r="AI120" t="str">
        <f t="shared" si="12"/>
        <v/>
      </c>
      <c r="AL120" t="str">
        <f t="shared" si="13"/>
        <v/>
      </c>
      <c r="AN120" t="str">
        <f t="shared" si="14"/>
        <v/>
      </c>
      <c r="AQ120" t="str">
        <f t="shared" si="15"/>
        <v/>
      </c>
      <c r="AR120" t="str">
        <f t="shared" si="16"/>
        <v/>
      </c>
      <c r="AS120" t="str">
        <f t="shared" si="17"/>
        <v/>
      </c>
      <c r="AT120" t="str">
        <f t="shared" si="18"/>
        <v/>
      </c>
      <c r="BG120" t="str">
        <f t="shared" si="19"/>
        <v/>
      </c>
      <c r="BH120" t="str">
        <f t="shared" si="20"/>
        <v/>
      </c>
      <c r="BL120" t="str">
        <f>IFERROR(INDEX(_names_lookup!$C:$C,MATCH(BK120,_names_lookup!$A:$A,0)),"")</f>
        <v/>
      </c>
      <c r="BM120" t="str">
        <f>IFERROR(INDEX(_names_lookup!$B:$B,MATCH(BK120,_names_lookup!$A:$A,0)),"")</f>
        <v/>
      </c>
      <c r="BS120" t="str">
        <f t="shared" si="21"/>
        <v/>
      </c>
    </row>
    <row r="121" spans="15:71" x14ac:dyDescent="0.2">
      <c r="O121" t="str">
        <f>IFERROR(INDEX(_courses_lookup!$C:$C,MATCH(K121&amp;L121,_courses_lookup!$E:$E,0)),"")</f>
        <v/>
      </c>
      <c r="P121" t="str">
        <f>IFERROR(INDEX(_courses_lookup!$D:$D,MATCH(K121&amp;L121,_courses_lookup!$E:$E,0)),"")</f>
        <v/>
      </c>
      <c r="AG121" t="str">
        <f t="shared" si="11"/>
        <v/>
      </c>
      <c r="AI121" t="str">
        <f t="shared" si="12"/>
        <v/>
      </c>
      <c r="AL121" t="str">
        <f t="shared" si="13"/>
        <v/>
      </c>
      <c r="AN121" t="str">
        <f t="shared" si="14"/>
        <v/>
      </c>
      <c r="AQ121" t="str">
        <f t="shared" si="15"/>
        <v/>
      </c>
      <c r="AR121" t="str">
        <f t="shared" si="16"/>
        <v/>
      </c>
      <c r="AS121" t="str">
        <f t="shared" si="17"/>
        <v/>
      </c>
      <c r="AT121" t="str">
        <f t="shared" si="18"/>
        <v/>
      </c>
      <c r="BG121" t="str">
        <f t="shared" si="19"/>
        <v/>
      </c>
      <c r="BH121" t="str">
        <f t="shared" si="20"/>
        <v/>
      </c>
      <c r="BL121" t="str">
        <f>IFERROR(INDEX(_names_lookup!$C:$C,MATCH(BK121,_names_lookup!$A:$A,0)),"")</f>
        <v/>
      </c>
      <c r="BM121" t="str">
        <f>IFERROR(INDEX(_names_lookup!$B:$B,MATCH(BK121,_names_lookup!$A:$A,0)),"")</f>
        <v/>
      </c>
      <c r="BS121" t="str">
        <f t="shared" si="21"/>
        <v/>
      </c>
    </row>
    <row r="122" spans="15:71" x14ac:dyDescent="0.2">
      <c r="O122" t="str">
        <f>IFERROR(INDEX(_courses_lookup!$C:$C,MATCH(K122&amp;L122,_courses_lookup!$E:$E,0)),"")</f>
        <v/>
      </c>
      <c r="P122" t="str">
        <f>IFERROR(INDEX(_courses_lookup!$D:$D,MATCH(K122&amp;L122,_courses_lookup!$E:$E,0)),"")</f>
        <v/>
      </c>
      <c r="AG122" t="str">
        <f t="shared" si="11"/>
        <v/>
      </c>
      <c r="AI122" t="str">
        <f t="shared" si="12"/>
        <v/>
      </c>
      <c r="AL122" t="str">
        <f t="shared" si="13"/>
        <v/>
      </c>
      <c r="AN122" t="str">
        <f t="shared" si="14"/>
        <v/>
      </c>
      <c r="AQ122" t="str">
        <f t="shared" si="15"/>
        <v/>
      </c>
      <c r="AR122" t="str">
        <f t="shared" si="16"/>
        <v/>
      </c>
      <c r="AS122" t="str">
        <f t="shared" si="17"/>
        <v/>
      </c>
      <c r="AT122" t="str">
        <f t="shared" si="18"/>
        <v/>
      </c>
      <c r="BG122" t="str">
        <f t="shared" si="19"/>
        <v/>
      </c>
      <c r="BH122" t="str">
        <f t="shared" si="20"/>
        <v/>
      </c>
      <c r="BL122" t="str">
        <f>IFERROR(INDEX(_names_lookup!$C:$C,MATCH(BK122,_names_lookup!$A:$A,0)),"")</f>
        <v/>
      </c>
      <c r="BM122" t="str">
        <f>IFERROR(INDEX(_names_lookup!$B:$B,MATCH(BK122,_names_lookup!$A:$A,0)),"")</f>
        <v/>
      </c>
      <c r="BS122" t="str">
        <f t="shared" si="21"/>
        <v/>
      </c>
    </row>
    <row r="123" spans="15:71" x14ac:dyDescent="0.2">
      <c r="O123" t="str">
        <f>IFERROR(INDEX(_courses_lookup!$C:$C,MATCH(K123&amp;L123,_courses_lookup!$E:$E,0)),"")</f>
        <v/>
      </c>
      <c r="P123" t="str">
        <f>IFERROR(INDEX(_courses_lookup!$D:$D,MATCH(K123&amp;L123,_courses_lookup!$E:$E,0)),"")</f>
        <v/>
      </c>
      <c r="AG123" t="str">
        <f t="shared" si="11"/>
        <v/>
      </c>
      <c r="AI123" t="str">
        <f t="shared" si="12"/>
        <v/>
      </c>
      <c r="AL123" t="str">
        <f t="shared" si="13"/>
        <v/>
      </c>
      <c r="AN123" t="str">
        <f t="shared" si="14"/>
        <v/>
      </c>
      <c r="AQ123" t="str">
        <f t="shared" si="15"/>
        <v/>
      </c>
      <c r="AR123" t="str">
        <f t="shared" si="16"/>
        <v/>
      </c>
      <c r="AS123" t="str">
        <f t="shared" si="17"/>
        <v/>
      </c>
      <c r="AT123" t="str">
        <f t="shared" si="18"/>
        <v/>
      </c>
      <c r="BG123" t="str">
        <f t="shared" si="19"/>
        <v/>
      </c>
      <c r="BH123" t="str">
        <f t="shared" si="20"/>
        <v/>
      </c>
      <c r="BL123" t="str">
        <f>IFERROR(INDEX(_names_lookup!$C:$C,MATCH(BK123,_names_lookup!$A:$A,0)),"")</f>
        <v/>
      </c>
      <c r="BM123" t="str">
        <f>IFERROR(INDEX(_names_lookup!$B:$B,MATCH(BK123,_names_lookup!$A:$A,0)),"")</f>
        <v/>
      </c>
      <c r="BS123" t="str">
        <f t="shared" si="21"/>
        <v/>
      </c>
    </row>
    <row r="124" spans="15:71" x14ac:dyDescent="0.2">
      <c r="O124" t="str">
        <f>IFERROR(INDEX(_courses_lookup!$C:$C,MATCH(K124&amp;L124,_courses_lookup!$E:$E,0)),"")</f>
        <v/>
      </c>
      <c r="P124" t="str">
        <f>IFERROR(INDEX(_courses_lookup!$D:$D,MATCH(K124&amp;L124,_courses_lookup!$E:$E,0)),"")</f>
        <v/>
      </c>
      <c r="AG124" t="str">
        <f t="shared" si="11"/>
        <v/>
      </c>
      <c r="AI124" t="str">
        <f t="shared" si="12"/>
        <v/>
      </c>
      <c r="AL124" t="str">
        <f t="shared" si="13"/>
        <v/>
      </c>
      <c r="AN124" t="str">
        <f t="shared" si="14"/>
        <v/>
      </c>
      <c r="AQ124" t="str">
        <f t="shared" si="15"/>
        <v/>
      </c>
      <c r="AR124" t="str">
        <f t="shared" si="16"/>
        <v/>
      </c>
      <c r="AS124" t="str">
        <f t="shared" si="17"/>
        <v/>
      </c>
      <c r="AT124" t="str">
        <f t="shared" si="18"/>
        <v/>
      </c>
      <c r="BG124" t="str">
        <f t="shared" si="19"/>
        <v/>
      </c>
      <c r="BH124" t="str">
        <f t="shared" si="20"/>
        <v/>
      </c>
      <c r="BL124" t="str">
        <f>IFERROR(INDEX(_names_lookup!$C:$C,MATCH(BK124,_names_lookup!$A:$A,0)),"")</f>
        <v/>
      </c>
      <c r="BM124" t="str">
        <f>IFERROR(INDEX(_names_lookup!$B:$B,MATCH(BK124,_names_lookup!$A:$A,0)),"")</f>
        <v/>
      </c>
      <c r="BS124" t="str">
        <f t="shared" si="21"/>
        <v/>
      </c>
    </row>
    <row r="125" spans="15:71" x14ac:dyDescent="0.2">
      <c r="O125" t="str">
        <f>IFERROR(INDEX(_courses_lookup!$C:$C,MATCH(K125&amp;L125,_courses_lookup!$E:$E,0)),"")</f>
        <v/>
      </c>
      <c r="P125" t="str">
        <f>IFERROR(INDEX(_courses_lookup!$D:$D,MATCH(K125&amp;L125,_courses_lookup!$E:$E,0)),"")</f>
        <v/>
      </c>
      <c r="AG125" t="str">
        <f t="shared" si="11"/>
        <v/>
      </c>
      <c r="AI125" t="str">
        <f t="shared" si="12"/>
        <v/>
      </c>
      <c r="AL125" t="str">
        <f t="shared" si="13"/>
        <v/>
      </c>
      <c r="AN125" t="str">
        <f t="shared" si="14"/>
        <v/>
      </c>
      <c r="AQ125" t="str">
        <f t="shared" si="15"/>
        <v/>
      </c>
      <c r="AR125" t="str">
        <f t="shared" si="16"/>
        <v/>
      </c>
      <c r="AS125" t="str">
        <f t="shared" si="17"/>
        <v/>
      </c>
      <c r="AT125" t="str">
        <f t="shared" si="18"/>
        <v/>
      </c>
      <c r="BG125" t="str">
        <f t="shared" si="19"/>
        <v/>
      </c>
      <c r="BH125" t="str">
        <f t="shared" si="20"/>
        <v/>
      </c>
      <c r="BL125" t="str">
        <f>IFERROR(INDEX(_names_lookup!$C:$C,MATCH(BK125,_names_lookup!$A:$A,0)),"")</f>
        <v/>
      </c>
      <c r="BM125" t="str">
        <f>IFERROR(INDEX(_names_lookup!$B:$B,MATCH(BK125,_names_lookup!$A:$A,0)),"")</f>
        <v/>
      </c>
      <c r="BS125" t="str">
        <f t="shared" si="21"/>
        <v/>
      </c>
    </row>
    <row r="126" spans="15:71" x14ac:dyDescent="0.2">
      <c r="O126" t="str">
        <f>IFERROR(INDEX(_courses_lookup!$C:$C,MATCH(K126&amp;L126,_courses_lookup!$E:$E,0)),"")</f>
        <v/>
      </c>
      <c r="P126" t="str">
        <f>IFERROR(INDEX(_courses_lookup!$D:$D,MATCH(K126&amp;L126,_courses_lookup!$E:$E,0)),"")</f>
        <v/>
      </c>
      <c r="AG126" t="str">
        <f t="shared" si="11"/>
        <v/>
      </c>
      <c r="AI126" t="str">
        <f t="shared" si="12"/>
        <v/>
      </c>
      <c r="AL126" t="str">
        <f t="shared" si="13"/>
        <v/>
      </c>
      <c r="AN126" t="str">
        <f t="shared" si="14"/>
        <v/>
      </c>
      <c r="AQ126" t="str">
        <f t="shared" si="15"/>
        <v/>
      </c>
      <c r="AR126" t="str">
        <f t="shared" si="16"/>
        <v/>
      </c>
      <c r="AS126" t="str">
        <f t="shared" si="17"/>
        <v/>
      </c>
      <c r="AT126" t="str">
        <f t="shared" si="18"/>
        <v/>
      </c>
      <c r="BG126" t="str">
        <f t="shared" si="19"/>
        <v/>
      </c>
      <c r="BH126" t="str">
        <f t="shared" si="20"/>
        <v/>
      </c>
      <c r="BL126" t="str">
        <f>IFERROR(INDEX(_names_lookup!$C:$C,MATCH(BK126,_names_lookup!$A:$A,0)),"")</f>
        <v/>
      </c>
      <c r="BM126" t="str">
        <f>IFERROR(INDEX(_names_lookup!$B:$B,MATCH(BK126,_names_lookup!$A:$A,0)),"")</f>
        <v/>
      </c>
      <c r="BS126" t="str">
        <f t="shared" si="21"/>
        <v/>
      </c>
    </row>
    <row r="127" spans="15:71" x14ac:dyDescent="0.2">
      <c r="O127" t="str">
        <f>IFERROR(INDEX(_courses_lookup!$C:$C,MATCH(K127&amp;L127,_courses_lookup!$E:$E,0)),"")</f>
        <v/>
      </c>
      <c r="P127" t="str">
        <f>IFERROR(INDEX(_courses_lookup!$D:$D,MATCH(K127&amp;L127,_courses_lookup!$E:$E,0)),"")</f>
        <v/>
      </c>
      <c r="AG127" t="str">
        <f t="shared" si="11"/>
        <v/>
      </c>
      <c r="AI127" t="str">
        <f t="shared" si="12"/>
        <v/>
      </c>
      <c r="AL127" t="str">
        <f t="shared" si="13"/>
        <v/>
      </c>
      <c r="AN127" t="str">
        <f t="shared" si="14"/>
        <v/>
      </c>
      <c r="AQ127" t="str">
        <f t="shared" si="15"/>
        <v/>
      </c>
      <c r="AR127" t="str">
        <f t="shared" si="16"/>
        <v/>
      </c>
      <c r="AS127" t="str">
        <f t="shared" si="17"/>
        <v/>
      </c>
      <c r="AT127" t="str">
        <f t="shared" si="18"/>
        <v/>
      </c>
      <c r="BG127" t="str">
        <f t="shared" si="19"/>
        <v/>
      </c>
      <c r="BH127" t="str">
        <f t="shared" si="20"/>
        <v/>
      </c>
      <c r="BL127" t="str">
        <f>IFERROR(INDEX(_names_lookup!$C:$C,MATCH(BK127,_names_lookup!$A:$A,0)),"")</f>
        <v/>
      </c>
      <c r="BM127" t="str">
        <f>IFERROR(INDEX(_names_lookup!$B:$B,MATCH(BK127,_names_lookup!$A:$A,0)),"")</f>
        <v/>
      </c>
      <c r="BS127" t="str">
        <f t="shared" si="21"/>
        <v/>
      </c>
    </row>
    <row r="128" spans="15:71" x14ac:dyDescent="0.2">
      <c r="O128" t="str">
        <f>IFERROR(INDEX(_courses_lookup!$C:$C,MATCH(K128&amp;L128,_courses_lookup!$E:$E,0)),"")</f>
        <v/>
      </c>
      <c r="P128" t="str">
        <f>IFERROR(INDEX(_courses_lookup!$D:$D,MATCH(K128&amp;L128,_courses_lookup!$E:$E,0)),"")</f>
        <v/>
      </c>
      <c r="AG128" t="str">
        <f t="shared" si="11"/>
        <v/>
      </c>
      <c r="AI128" t="str">
        <f t="shared" si="12"/>
        <v/>
      </c>
      <c r="AL128" t="str">
        <f t="shared" si="13"/>
        <v/>
      </c>
      <c r="AN128" t="str">
        <f t="shared" si="14"/>
        <v/>
      </c>
      <c r="AQ128" t="str">
        <f t="shared" si="15"/>
        <v/>
      </c>
      <c r="AR128" t="str">
        <f t="shared" si="16"/>
        <v/>
      </c>
      <c r="AS128" t="str">
        <f t="shared" si="17"/>
        <v/>
      </c>
      <c r="AT128" t="str">
        <f t="shared" si="18"/>
        <v/>
      </c>
      <c r="BG128" t="str">
        <f t="shared" si="19"/>
        <v/>
      </c>
      <c r="BH128" t="str">
        <f t="shared" si="20"/>
        <v/>
      </c>
      <c r="BL128" t="str">
        <f>IFERROR(INDEX(_names_lookup!$C:$C,MATCH(BK128,_names_lookup!$A:$A,0)),"")</f>
        <v/>
      </c>
      <c r="BM128" t="str">
        <f>IFERROR(INDEX(_names_lookup!$B:$B,MATCH(BK128,_names_lookup!$A:$A,0)),"")</f>
        <v/>
      </c>
      <c r="BS128" t="str">
        <f t="shared" si="21"/>
        <v/>
      </c>
    </row>
    <row r="129" spans="15:71" x14ac:dyDescent="0.2">
      <c r="O129" t="str">
        <f>IFERROR(INDEX(_courses_lookup!$C:$C,MATCH(K129&amp;L129,_courses_lookup!$E:$E,0)),"")</f>
        <v/>
      </c>
      <c r="P129" t="str">
        <f>IFERROR(INDEX(_courses_lookup!$D:$D,MATCH(K129&amp;L129,_courses_lookup!$E:$E,0)),"")</f>
        <v/>
      </c>
      <c r="AG129" t="str">
        <f t="shared" si="11"/>
        <v/>
      </c>
      <c r="AI129" t="str">
        <f t="shared" si="12"/>
        <v/>
      </c>
      <c r="AL129" t="str">
        <f t="shared" si="13"/>
        <v/>
      </c>
      <c r="AN129" t="str">
        <f t="shared" si="14"/>
        <v/>
      </c>
      <c r="AQ129" t="str">
        <f t="shared" si="15"/>
        <v/>
      </c>
      <c r="AR129" t="str">
        <f t="shared" si="16"/>
        <v/>
      </c>
      <c r="AS129" t="str">
        <f t="shared" si="17"/>
        <v/>
      </c>
      <c r="AT129" t="str">
        <f t="shared" si="18"/>
        <v/>
      </c>
      <c r="BG129" t="str">
        <f t="shared" si="19"/>
        <v/>
      </c>
      <c r="BH129" t="str">
        <f t="shared" si="20"/>
        <v/>
      </c>
      <c r="BL129" t="str">
        <f>IFERROR(INDEX(_names_lookup!$C:$C,MATCH(BK129,_names_lookup!$A:$A,0)),"")</f>
        <v/>
      </c>
      <c r="BM129" t="str">
        <f>IFERROR(INDEX(_names_lookup!$B:$B,MATCH(BK129,_names_lookup!$A:$A,0)),"")</f>
        <v/>
      </c>
      <c r="BS129" t="str">
        <f t="shared" si="21"/>
        <v/>
      </c>
    </row>
    <row r="130" spans="15:71" x14ac:dyDescent="0.2">
      <c r="O130" t="str">
        <f>IFERROR(INDEX(_courses_lookup!$C:$C,MATCH(K130&amp;L130,_courses_lookup!$E:$E,0)),"")</f>
        <v/>
      </c>
      <c r="P130" t="str">
        <f>IFERROR(INDEX(_courses_lookup!$D:$D,MATCH(K130&amp;L130,_courses_lookup!$E:$E,0)),"")</f>
        <v/>
      </c>
      <c r="AG130" t="str">
        <f t="shared" ref="AG130:AG193" si="22">IF(AND(AE130&lt;&gt;"",AF130&lt;&gt;""),ROUNDUP((AF130-AE130)/7,0),"")</f>
        <v/>
      </c>
      <c r="AI130" t="str">
        <f t="shared" ref="AI130:AI193" si="23">IFERROR(IF(AG130*AH130=0,"",AG130*AH130),"")</f>
        <v/>
      </c>
      <c r="AL130" t="str">
        <f t="shared" ref="AL130:AL193" si="24">IF(AND(AJ130&lt;&gt;"",AK130&lt;&gt;""),ROUNDUP((AK130-AJ130)/7,0),"")</f>
        <v/>
      </c>
      <c r="AN130" t="str">
        <f t="shared" ref="AN130:AN193" si="25">IFERROR(IF(AL130*AM130=0,"",AL130*AM130),"")</f>
        <v/>
      </c>
      <c r="AQ130" t="str">
        <f t="shared" ref="AQ130:AQ193" si="26">IF(AND(AO130&lt;&gt;"",AP130&lt;&gt;""),ROUNDUP((AP130-AO130)/7,0),"")</f>
        <v/>
      </c>
      <c r="AR130" t="str">
        <f t="shared" ref="AR130:AR193" si="27">IFERROR(IF((AU130-(AI130+AN130))/AQ130=0,"",ROUNDUP((AU130-(AI130+AN130))/AQ130,0)),"")</f>
        <v/>
      </c>
      <c r="AS130" t="str">
        <f t="shared" ref="AS130:AS193" si="28">IFERROR(IF((AU130-(AI130+AN130))=0,"",(AU130-(AI130+AN130))),"")</f>
        <v/>
      </c>
      <c r="AT130" t="str">
        <f t="shared" ref="AT130:AT193" si="29">IF(AND(AG130="",AQ130=""),AL130,IF(SUM(AG130,AL130,AQ130)=0,"",SUM(AG130,AL130,AQ130)))</f>
        <v/>
      </c>
      <c r="BG130" t="str">
        <f t="shared" ref="BG130:BG193" si="30">IF(AD130="","",YEAR(AD130)+IF(MONTH(AD130)&gt;=5,1,0))</f>
        <v/>
      </c>
      <c r="BH130" t="str">
        <f t="shared" ref="BH130:BH193" si="31">IF(AD130="","",IF(AND(MONTH(AD130)=8,DAY(AD130)&gt;=15),"Fall",IF(MONTH(AD130)&gt;8,"Fall",IF(MONTH(AD130)=5,"Summer",IF(MONTH(AD130)=1,"Spring","")))))</f>
        <v/>
      </c>
      <c r="BL130" t="str">
        <f>IFERROR(INDEX(_names_lookup!$C:$C,MATCH(BK130,_names_lookup!$A:$A,0)),"")</f>
        <v/>
      </c>
      <c r="BM130" t="str">
        <f>IFERROR(INDEX(_names_lookup!$B:$B,MATCH(BK130,_names_lookup!$A:$A,0)),"")</f>
        <v/>
      </c>
      <c r="BS130" t="str">
        <f t="shared" ref="BS130:BS193" si="32">IFERROR(IF(BR130*AA130=0,"",BR130*AA130),"")</f>
        <v/>
      </c>
    </row>
    <row r="131" spans="15:71" x14ac:dyDescent="0.2">
      <c r="O131" t="str">
        <f>IFERROR(INDEX(_courses_lookup!$C:$C,MATCH(K131&amp;L131,_courses_lookup!$E:$E,0)),"")</f>
        <v/>
      </c>
      <c r="P131" t="str">
        <f>IFERROR(INDEX(_courses_lookup!$D:$D,MATCH(K131&amp;L131,_courses_lookup!$E:$E,0)),"")</f>
        <v/>
      </c>
      <c r="AG131" t="str">
        <f t="shared" si="22"/>
        <v/>
      </c>
      <c r="AI131" t="str">
        <f t="shared" si="23"/>
        <v/>
      </c>
      <c r="AL131" t="str">
        <f t="shared" si="24"/>
        <v/>
      </c>
      <c r="AN131" t="str">
        <f t="shared" si="25"/>
        <v/>
      </c>
      <c r="AQ131" t="str">
        <f t="shared" si="26"/>
        <v/>
      </c>
      <c r="AR131" t="str">
        <f t="shared" si="27"/>
        <v/>
      </c>
      <c r="AS131" t="str">
        <f t="shared" si="28"/>
        <v/>
      </c>
      <c r="AT131" t="str">
        <f t="shared" si="29"/>
        <v/>
      </c>
      <c r="BG131" t="str">
        <f t="shared" si="30"/>
        <v/>
      </c>
      <c r="BH131" t="str">
        <f t="shared" si="31"/>
        <v/>
      </c>
      <c r="BL131" t="str">
        <f>IFERROR(INDEX(_names_lookup!$C:$C,MATCH(BK131,_names_lookup!$A:$A,0)),"")</f>
        <v/>
      </c>
      <c r="BM131" t="str">
        <f>IFERROR(INDEX(_names_lookup!$B:$B,MATCH(BK131,_names_lookup!$A:$A,0)),"")</f>
        <v/>
      </c>
      <c r="BS131" t="str">
        <f t="shared" si="32"/>
        <v/>
      </c>
    </row>
    <row r="132" spans="15:71" x14ac:dyDescent="0.2">
      <c r="O132" t="str">
        <f>IFERROR(INDEX(_courses_lookup!$C:$C,MATCH(K132&amp;L132,_courses_lookup!$E:$E,0)),"")</f>
        <v/>
      </c>
      <c r="P132" t="str">
        <f>IFERROR(INDEX(_courses_lookup!$D:$D,MATCH(K132&amp;L132,_courses_lookup!$E:$E,0)),"")</f>
        <v/>
      </c>
      <c r="AG132" t="str">
        <f t="shared" si="22"/>
        <v/>
      </c>
      <c r="AI132" t="str">
        <f t="shared" si="23"/>
        <v/>
      </c>
      <c r="AL132" t="str">
        <f t="shared" si="24"/>
        <v/>
      </c>
      <c r="AN132" t="str">
        <f t="shared" si="25"/>
        <v/>
      </c>
      <c r="AQ132" t="str">
        <f t="shared" si="26"/>
        <v/>
      </c>
      <c r="AR132" t="str">
        <f t="shared" si="27"/>
        <v/>
      </c>
      <c r="AS132" t="str">
        <f t="shared" si="28"/>
        <v/>
      </c>
      <c r="AT132" t="str">
        <f t="shared" si="29"/>
        <v/>
      </c>
      <c r="BG132" t="str">
        <f t="shared" si="30"/>
        <v/>
      </c>
      <c r="BH132" t="str">
        <f t="shared" si="31"/>
        <v/>
      </c>
      <c r="BL132" t="str">
        <f>IFERROR(INDEX(_names_lookup!$C:$C,MATCH(BK132,_names_lookup!$A:$A,0)),"")</f>
        <v/>
      </c>
      <c r="BM132" t="str">
        <f>IFERROR(INDEX(_names_lookup!$B:$B,MATCH(BK132,_names_lookup!$A:$A,0)),"")</f>
        <v/>
      </c>
      <c r="BS132" t="str">
        <f t="shared" si="32"/>
        <v/>
      </c>
    </row>
    <row r="133" spans="15:71" x14ac:dyDescent="0.2">
      <c r="O133" t="str">
        <f>IFERROR(INDEX(_courses_lookup!$C:$C,MATCH(K133&amp;L133,_courses_lookup!$E:$E,0)),"")</f>
        <v/>
      </c>
      <c r="P133" t="str">
        <f>IFERROR(INDEX(_courses_lookup!$D:$D,MATCH(K133&amp;L133,_courses_lookup!$E:$E,0)),"")</f>
        <v/>
      </c>
      <c r="AG133" t="str">
        <f t="shared" si="22"/>
        <v/>
      </c>
      <c r="AI133" t="str">
        <f t="shared" si="23"/>
        <v/>
      </c>
      <c r="AL133" t="str">
        <f t="shared" si="24"/>
        <v/>
      </c>
      <c r="AN133" t="str">
        <f t="shared" si="25"/>
        <v/>
      </c>
      <c r="AQ133" t="str">
        <f t="shared" si="26"/>
        <v/>
      </c>
      <c r="AR133" t="str">
        <f t="shared" si="27"/>
        <v/>
      </c>
      <c r="AS133" t="str">
        <f t="shared" si="28"/>
        <v/>
      </c>
      <c r="AT133" t="str">
        <f t="shared" si="29"/>
        <v/>
      </c>
      <c r="BG133" t="str">
        <f t="shared" si="30"/>
        <v/>
      </c>
      <c r="BH133" t="str">
        <f t="shared" si="31"/>
        <v/>
      </c>
      <c r="BL133" t="str">
        <f>IFERROR(INDEX(_names_lookup!$C:$C,MATCH(BK133,_names_lookup!$A:$A,0)),"")</f>
        <v/>
      </c>
      <c r="BM133" t="str">
        <f>IFERROR(INDEX(_names_lookup!$B:$B,MATCH(BK133,_names_lookup!$A:$A,0)),"")</f>
        <v/>
      </c>
      <c r="BS133" t="str">
        <f t="shared" si="32"/>
        <v/>
      </c>
    </row>
    <row r="134" spans="15:71" x14ac:dyDescent="0.2">
      <c r="O134" t="str">
        <f>IFERROR(INDEX(_courses_lookup!$C:$C,MATCH(K134&amp;L134,_courses_lookup!$E:$E,0)),"")</f>
        <v/>
      </c>
      <c r="P134" t="str">
        <f>IFERROR(INDEX(_courses_lookup!$D:$D,MATCH(K134&amp;L134,_courses_lookup!$E:$E,0)),"")</f>
        <v/>
      </c>
      <c r="AG134" t="str">
        <f t="shared" si="22"/>
        <v/>
      </c>
      <c r="AI134" t="str">
        <f t="shared" si="23"/>
        <v/>
      </c>
      <c r="AL134" t="str">
        <f t="shared" si="24"/>
        <v/>
      </c>
      <c r="AN134" t="str">
        <f t="shared" si="25"/>
        <v/>
      </c>
      <c r="AQ134" t="str">
        <f t="shared" si="26"/>
        <v/>
      </c>
      <c r="AR134" t="str">
        <f t="shared" si="27"/>
        <v/>
      </c>
      <c r="AS134" t="str">
        <f t="shared" si="28"/>
        <v/>
      </c>
      <c r="AT134" t="str">
        <f t="shared" si="29"/>
        <v/>
      </c>
      <c r="BG134" t="str">
        <f t="shared" si="30"/>
        <v/>
      </c>
      <c r="BH134" t="str">
        <f t="shared" si="31"/>
        <v/>
      </c>
      <c r="BL134" t="str">
        <f>IFERROR(INDEX(_names_lookup!$C:$C,MATCH(BK134,_names_lookup!$A:$A,0)),"")</f>
        <v/>
      </c>
      <c r="BM134" t="str">
        <f>IFERROR(INDEX(_names_lookup!$B:$B,MATCH(BK134,_names_lookup!$A:$A,0)),"")</f>
        <v/>
      </c>
      <c r="BS134" t="str">
        <f t="shared" si="32"/>
        <v/>
      </c>
    </row>
    <row r="135" spans="15:71" x14ac:dyDescent="0.2">
      <c r="O135" t="str">
        <f>IFERROR(INDEX(_courses_lookup!$C:$C,MATCH(K135&amp;L135,_courses_lookup!$E:$E,0)),"")</f>
        <v/>
      </c>
      <c r="P135" t="str">
        <f>IFERROR(INDEX(_courses_lookup!$D:$D,MATCH(K135&amp;L135,_courses_lookup!$E:$E,0)),"")</f>
        <v/>
      </c>
      <c r="AG135" t="str">
        <f t="shared" si="22"/>
        <v/>
      </c>
      <c r="AI135" t="str">
        <f t="shared" si="23"/>
        <v/>
      </c>
      <c r="AL135" t="str">
        <f t="shared" si="24"/>
        <v/>
      </c>
      <c r="AN135" t="str">
        <f t="shared" si="25"/>
        <v/>
      </c>
      <c r="AQ135" t="str">
        <f t="shared" si="26"/>
        <v/>
      </c>
      <c r="AR135" t="str">
        <f t="shared" si="27"/>
        <v/>
      </c>
      <c r="AS135" t="str">
        <f t="shared" si="28"/>
        <v/>
      </c>
      <c r="AT135" t="str">
        <f t="shared" si="29"/>
        <v/>
      </c>
      <c r="BG135" t="str">
        <f t="shared" si="30"/>
        <v/>
      </c>
      <c r="BH135" t="str">
        <f t="shared" si="31"/>
        <v/>
      </c>
      <c r="BL135" t="str">
        <f>IFERROR(INDEX(_names_lookup!$C:$C,MATCH(BK135,_names_lookup!$A:$A,0)),"")</f>
        <v/>
      </c>
      <c r="BM135" t="str">
        <f>IFERROR(INDEX(_names_lookup!$B:$B,MATCH(BK135,_names_lookup!$A:$A,0)),"")</f>
        <v/>
      </c>
      <c r="BS135" t="str">
        <f t="shared" si="32"/>
        <v/>
      </c>
    </row>
    <row r="136" spans="15:71" x14ac:dyDescent="0.2">
      <c r="O136" t="str">
        <f>IFERROR(INDEX(_courses_lookup!$C:$C,MATCH(K136&amp;L136,_courses_lookup!$E:$E,0)),"")</f>
        <v/>
      </c>
      <c r="P136" t="str">
        <f>IFERROR(INDEX(_courses_lookup!$D:$D,MATCH(K136&amp;L136,_courses_lookup!$E:$E,0)),"")</f>
        <v/>
      </c>
      <c r="AG136" t="str">
        <f t="shared" si="22"/>
        <v/>
      </c>
      <c r="AI136" t="str">
        <f t="shared" si="23"/>
        <v/>
      </c>
      <c r="AL136" t="str">
        <f t="shared" si="24"/>
        <v/>
      </c>
      <c r="AN136" t="str">
        <f t="shared" si="25"/>
        <v/>
      </c>
      <c r="AQ136" t="str">
        <f t="shared" si="26"/>
        <v/>
      </c>
      <c r="AR136" t="str">
        <f t="shared" si="27"/>
        <v/>
      </c>
      <c r="AS136" t="str">
        <f t="shared" si="28"/>
        <v/>
      </c>
      <c r="AT136" t="str">
        <f t="shared" si="29"/>
        <v/>
      </c>
      <c r="BG136" t="str">
        <f t="shared" si="30"/>
        <v/>
      </c>
      <c r="BH136" t="str">
        <f t="shared" si="31"/>
        <v/>
      </c>
      <c r="BL136" t="str">
        <f>IFERROR(INDEX(_names_lookup!$C:$C,MATCH(BK136,_names_lookup!$A:$A,0)),"")</f>
        <v/>
      </c>
      <c r="BM136" t="str">
        <f>IFERROR(INDEX(_names_lookup!$B:$B,MATCH(BK136,_names_lookup!$A:$A,0)),"")</f>
        <v/>
      </c>
      <c r="BS136" t="str">
        <f t="shared" si="32"/>
        <v/>
      </c>
    </row>
    <row r="137" spans="15:71" x14ac:dyDescent="0.2">
      <c r="O137" t="str">
        <f>IFERROR(INDEX(_courses_lookup!$C:$C,MATCH(K137&amp;L137,_courses_lookup!$E:$E,0)),"")</f>
        <v/>
      </c>
      <c r="P137" t="str">
        <f>IFERROR(INDEX(_courses_lookup!$D:$D,MATCH(K137&amp;L137,_courses_lookup!$E:$E,0)),"")</f>
        <v/>
      </c>
      <c r="AG137" t="str">
        <f t="shared" si="22"/>
        <v/>
      </c>
      <c r="AI137" t="str">
        <f t="shared" si="23"/>
        <v/>
      </c>
      <c r="AL137" t="str">
        <f t="shared" si="24"/>
        <v/>
      </c>
      <c r="AN137" t="str">
        <f t="shared" si="25"/>
        <v/>
      </c>
      <c r="AQ137" t="str">
        <f t="shared" si="26"/>
        <v/>
      </c>
      <c r="AR137" t="str">
        <f t="shared" si="27"/>
        <v/>
      </c>
      <c r="AS137" t="str">
        <f t="shared" si="28"/>
        <v/>
      </c>
      <c r="AT137" t="str">
        <f t="shared" si="29"/>
        <v/>
      </c>
      <c r="BG137" t="str">
        <f t="shared" si="30"/>
        <v/>
      </c>
      <c r="BH137" t="str">
        <f t="shared" si="31"/>
        <v/>
      </c>
      <c r="BL137" t="str">
        <f>IFERROR(INDEX(_names_lookup!$C:$C,MATCH(BK137,_names_lookup!$A:$A,0)),"")</f>
        <v/>
      </c>
      <c r="BM137" t="str">
        <f>IFERROR(INDEX(_names_lookup!$B:$B,MATCH(BK137,_names_lookup!$A:$A,0)),"")</f>
        <v/>
      </c>
      <c r="BS137" t="str">
        <f t="shared" si="32"/>
        <v/>
      </c>
    </row>
    <row r="138" spans="15:71" x14ac:dyDescent="0.2">
      <c r="O138" t="str">
        <f>IFERROR(INDEX(_courses_lookup!$C:$C,MATCH(K138&amp;L138,_courses_lookup!$E:$E,0)),"")</f>
        <v/>
      </c>
      <c r="P138" t="str">
        <f>IFERROR(INDEX(_courses_lookup!$D:$D,MATCH(K138&amp;L138,_courses_lookup!$E:$E,0)),"")</f>
        <v/>
      </c>
      <c r="AG138" t="str">
        <f t="shared" si="22"/>
        <v/>
      </c>
      <c r="AI138" t="str">
        <f t="shared" si="23"/>
        <v/>
      </c>
      <c r="AL138" t="str">
        <f t="shared" si="24"/>
        <v/>
      </c>
      <c r="AN138" t="str">
        <f t="shared" si="25"/>
        <v/>
      </c>
      <c r="AQ138" t="str">
        <f t="shared" si="26"/>
        <v/>
      </c>
      <c r="AR138" t="str">
        <f t="shared" si="27"/>
        <v/>
      </c>
      <c r="AS138" t="str">
        <f t="shared" si="28"/>
        <v/>
      </c>
      <c r="AT138" t="str">
        <f t="shared" si="29"/>
        <v/>
      </c>
      <c r="BG138" t="str">
        <f t="shared" si="30"/>
        <v/>
      </c>
      <c r="BH138" t="str">
        <f t="shared" si="31"/>
        <v/>
      </c>
      <c r="BL138" t="str">
        <f>IFERROR(INDEX(_names_lookup!$C:$C,MATCH(BK138,_names_lookup!$A:$A,0)),"")</f>
        <v/>
      </c>
      <c r="BM138" t="str">
        <f>IFERROR(INDEX(_names_lookup!$B:$B,MATCH(BK138,_names_lookup!$A:$A,0)),"")</f>
        <v/>
      </c>
      <c r="BS138" t="str">
        <f t="shared" si="32"/>
        <v/>
      </c>
    </row>
    <row r="139" spans="15:71" x14ac:dyDescent="0.2">
      <c r="O139" t="str">
        <f>IFERROR(INDEX(_courses_lookup!$C:$C,MATCH(K139&amp;L139,_courses_lookup!$E:$E,0)),"")</f>
        <v/>
      </c>
      <c r="P139" t="str">
        <f>IFERROR(INDEX(_courses_lookup!$D:$D,MATCH(K139&amp;L139,_courses_lookup!$E:$E,0)),"")</f>
        <v/>
      </c>
      <c r="AG139" t="str">
        <f t="shared" si="22"/>
        <v/>
      </c>
      <c r="AI139" t="str">
        <f t="shared" si="23"/>
        <v/>
      </c>
      <c r="AL139" t="str">
        <f t="shared" si="24"/>
        <v/>
      </c>
      <c r="AN139" t="str">
        <f t="shared" si="25"/>
        <v/>
      </c>
      <c r="AQ139" t="str">
        <f t="shared" si="26"/>
        <v/>
      </c>
      <c r="AR139" t="str">
        <f t="shared" si="27"/>
        <v/>
      </c>
      <c r="AS139" t="str">
        <f t="shared" si="28"/>
        <v/>
      </c>
      <c r="AT139" t="str">
        <f t="shared" si="29"/>
        <v/>
      </c>
      <c r="BG139" t="str">
        <f t="shared" si="30"/>
        <v/>
      </c>
      <c r="BH139" t="str">
        <f t="shared" si="31"/>
        <v/>
      </c>
      <c r="BL139" t="str">
        <f>IFERROR(INDEX(_names_lookup!$C:$C,MATCH(BK139,_names_lookup!$A:$A,0)),"")</f>
        <v/>
      </c>
      <c r="BM139" t="str">
        <f>IFERROR(INDEX(_names_lookup!$B:$B,MATCH(BK139,_names_lookup!$A:$A,0)),"")</f>
        <v/>
      </c>
      <c r="BS139" t="str">
        <f t="shared" si="32"/>
        <v/>
      </c>
    </row>
    <row r="140" spans="15:71" x14ac:dyDescent="0.2">
      <c r="O140" t="str">
        <f>IFERROR(INDEX(_courses_lookup!$C:$C,MATCH(K140&amp;L140,_courses_lookup!$E:$E,0)),"")</f>
        <v/>
      </c>
      <c r="P140" t="str">
        <f>IFERROR(INDEX(_courses_lookup!$D:$D,MATCH(K140&amp;L140,_courses_lookup!$E:$E,0)),"")</f>
        <v/>
      </c>
      <c r="AG140" t="str">
        <f t="shared" si="22"/>
        <v/>
      </c>
      <c r="AI140" t="str">
        <f t="shared" si="23"/>
        <v/>
      </c>
      <c r="AL140" t="str">
        <f t="shared" si="24"/>
        <v/>
      </c>
      <c r="AN140" t="str">
        <f t="shared" si="25"/>
        <v/>
      </c>
      <c r="AQ140" t="str">
        <f t="shared" si="26"/>
        <v/>
      </c>
      <c r="AR140" t="str">
        <f t="shared" si="27"/>
        <v/>
      </c>
      <c r="AS140" t="str">
        <f t="shared" si="28"/>
        <v/>
      </c>
      <c r="AT140" t="str">
        <f t="shared" si="29"/>
        <v/>
      </c>
      <c r="BG140" t="str">
        <f t="shared" si="30"/>
        <v/>
      </c>
      <c r="BH140" t="str">
        <f t="shared" si="31"/>
        <v/>
      </c>
      <c r="BL140" t="str">
        <f>IFERROR(INDEX(_names_lookup!$C:$C,MATCH(BK140,_names_lookup!$A:$A,0)),"")</f>
        <v/>
      </c>
      <c r="BM140" t="str">
        <f>IFERROR(INDEX(_names_lookup!$B:$B,MATCH(BK140,_names_lookup!$A:$A,0)),"")</f>
        <v/>
      </c>
      <c r="BS140" t="str">
        <f t="shared" si="32"/>
        <v/>
      </c>
    </row>
    <row r="141" spans="15:71" x14ac:dyDescent="0.2">
      <c r="O141" t="str">
        <f>IFERROR(INDEX(_courses_lookup!$C:$C,MATCH(K141&amp;L141,_courses_lookup!$E:$E,0)),"")</f>
        <v/>
      </c>
      <c r="P141" t="str">
        <f>IFERROR(INDEX(_courses_lookup!$D:$D,MATCH(K141&amp;L141,_courses_lookup!$E:$E,0)),"")</f>
        <v/>
      </c>
      <c r="AG141" t="str">
        <f t="shared" si="22"/>
        <v/>
      </c>
      <c r="AI141" t="str">
        <f t="shared" si="23"/>
        <v/>
      </c>
      <c r="AL141" t="str">
        <f t="shared" si="24"/>
        <v/>
      </c>
      <c r="AN141" t="str">
        <f t="shared" si="25"/>
        <v/>
      </c>
      <c r="AQ141" t="str">
        <f t="shared" si="26"/>
        <v/>
      </c>
      <c r="AR141" t="str">
        <f t="shared" si="27"/>
        <v/>
      </c>
      <c r="AS141" t="str">
        <f t="shared" si="28"/>
        <v/>
      </c>
      <c r="AT141" t="str">
        <f t="shared" si="29"/>
        <v/>
      </c>
      <c r="BG141" t="str">
        <f t="shared" si="30"/>
        <v/>
      </c>
      <c r="BH141" t="str">
        <f t="shared" si="31"/>
        <v/>
      </c>
      <c r="BL141" t="str">
        <f>IFERROR(INDEX(_names_lookup!$C:$C,MATCH(BK141,_names_lookup!$A:$A,0)),"")</f>
        <v/>
      </c>
      <c r="BM141" t="str">
        <f>IFERROR(INDEX(_names_lookup!$B:$B,MATCH(BK141,_names_lookup!$A:$A,0)),"")</f>
        <v/>
      </c>
      <c r="BS141" t="str">
        <f t="shared" si="32"/>
        <v/>
      </c>
    </row>
    <row r="142" spans="15:71" x14ac:dyDescent="0.2">
      <c r="O142" t="str">
        <f>IFERROR(INDEX(_courses_lookup!$C:$C,MATCH(K142&amp;L142,_courses_lookup!$E:$E,0)),"")</f>
        <v/>
      </c>
      <c r="P142" t="str">
        <f>IFERROR(INDEX(_courses_lookup!$D:$D,MATCH(K142&amp;L142,_courses_lookup!$E:$E,0)),"")</f>
        <v/>
      </c>
      <c r="AG142" t="str">
        <f t="shared" si="22"/>
        <v/>
      </c>
      <c r="AI142" t="str">
        <f t="shared" si="23"/>
        <v/>
      </c>
      <c r="AL142" t="str">
        <f t="shared" si="24"/>
        <v/>
      </c>
      <c r="AN142" t="str">
        <f t="shared" si="25"/>
        <v/>
      </c>
      <c r="AQ142" t="str">
        <f t="shared" si="26"/>
        <v/>
      </c>
      <c r="AR142" t="str">
        <f t="shared" si="27"/>
        <v/>
      </c>
      <c r="AS142" t="str">
        <f t="shared" si="28"/>
        <v/>
      </c>
      <c r="AT142" t="str">
        <f t="shared" si="29"/>
        <v/>
      </c>
      <c r="BG142" t="str">
        <f t="shared" si="30"/>
        <v/>
      </c>
      <c r="BH142" t="str">
        <f t="shared" si="31"/>
        <v/>
      </c>
      <c r="BL142" t="str">
        <f>IFERROR(INDEX(_names_lookup!$C:$C,MATCH(BK142,_names_lookup!$A:$A,0)),"")</f>
        <v/>
      </c>
      <c r="BM142" t="str">
        <f>IFERROR(INDEX(_names_lookup!$B:$B,MATCH(BK142,_names_lookup!$A:$A,0)),"")</f>
        <v/>
      </c>
      <c r="BS142" t="str">
        <f t="shared" si="32"/>
        <v/>
      </c>
    </row>
    <row r="143" spans="15:71" x14ac:dyDescent="0.2">
      <c r="O143" t="str">
        <f>IFERROR(INDEX(_courses_lookup!$C:$C,MATCH(K143&amp;L143,_courses_lookup!$E:$E,0)),"")</f>
        <v/>
      </c>
      <c r="P143" t="str">
        <f>IFERROR(INDEX(_courses_lookup!$D:$D,MATCH(K143&amp;L143,_courses_lookup!$E:$E,0)),"")</f>
        <v/>
      </c>
      <c r="AG143" t="str">
        <f t="shared" si="22"/>
        <v/>
      </c>
      <c r="AI143" t="str">
        <f t="shared" si="23"/>
        <v/>
      </c>
      <c r="AL143" t="str">
        <f t="shared" si="24"/>
        <v/>
      </c>
      <c r="AN143" t="str">
        <f t="shared" si="25"/>
        <v/>
      </c>
      <c r="AQ143" t="str">
        <f t="shared" si="26"/>
        <v/>
      </c>
      <c r="AR143" t="str">
        <f t="shared" si="27"/>
        <v/>
      </c>
      <c r="AS143" t="str">
        <f t="shared" si="28"/>
        <v/>
      </c>
      <c r="AT143" t="str">
        <f t="shared" si="29"/>
        <v/>
      </c>
      <c r="BG143" t="str">
        <f t="shared" si="30"/>
        <v/>
      </c>
      <c r="BH143" t="str">
        <f t="shared" si="31"/>
        <v/>
      </c>
      <c r="BL143" t="str">
        <f>IFERROR(INDEX(_names_lookup!$C:$C,MATCH(BK143,_names_lookup!$A:$A,0)),"")</f>
        <v/>
      </c>
      <c r="BM143" t="str">
        <f>IFERROR(INDEX(_names_lookup!$B:$B,MATCH(BK143,_names_lookup!$A:$A,0)),"")</f>
        <v/>
      </c>
      <c r="BS143" t="str">
        <f t="shared" si="32"/>
        <v/>
      </c>
    </row>
    <row r="144" spans="15:71" x14ac:dyDescent="0.2">
      <c r="O144" t="str">
        <f>IFERROR(INDEX(_courses_lookup!$C:$C,MATCH(K144&amp;L144,_courses_lookup!$E:$E,0)),"")</f>
        <v/>
      </c>
      <c r="P144" t="str">
        <f>IFERROR(INDEX(_courses_lookup!$D:$D,MATCH(K144&amp;L144,_courses_lookup!$E:$E,0)),"")</f>
        <v/>
      </c>
      <c r="AG144" t="str">
        <f t="shared" si="22"/>
        <v/>
      </c>
      <c r="AI144" t="str">
        <f t="shared" si="23"/>
        <v/>
      </c>
      <c r="AL144" t="str">
        <f t="shared" si="24"/>
        <v/>
      </c>
      <c r="AN144" t="str">
        <f t="shared" si="25"/>
        <v/>
      </c>
      <c r="AQ144" t="str">
        <f t="shared" si="26"/>
        <v/>
      </c>
      <c r="AR144" t="str">
        <f t="shared" si="27"/>
        <v/>
      </c>
      <c r="AS144" t="str">
        <f t="shared" si="28"/>
        <v/>
      </c>
      <c r="AT144" t="str">
        <f t="shared" si="29"/>
        <v/>
      </c>
      <c r="BG144" t="str">
        <f t="shared" si="30"/>
        <v/>
      </c>
      <c r="BH144" t="str">
        <f t="shared" si="31"/>
        <v/>
      </c>
      <c r="BL144" t="str">
        <f>IFERROR(INDEX(_names_lookup!$C:$C,MATCH(BK144,_names_lookup!$A:$A,0)),"")</f>
        <v/>
      </c>
      <c r="BM144" t="str">
        <f>IFERROR(INDEX(_names_lookup!$B:$B,MATCH(BK144,_names_lookup!$A:$A,0)),"")</f>
        <v/>
      </c>
      <c r="BS144" t="str">
        <f t="shared" si="32"/>
        <v/>
      </c>
    </row>
    <row r="145" spans="15:71" x14ac:dyDescent="0.2">
      <c r="O145" t="str">
        <f>IFERROR(INDEX(_courses_lookup!$C:$C,MATCH(K145&amp;L145,_courses_lookup!$E:$E,0)),"")</f>
        <v/>
      </c>
      <c r="P145" t="str">
        <f>IFERROR(INDEX(_courses_lookup!$D:$D,MATCH(K145&amp;L145,_courses_lookup!$E:$E,0)),"")</f>
        <v/>
      </c>
      <c r="AG145" t="str">
        <f t="shared" si="22"/>
        <v/>
      </c>
      <c r="AI145" t="str">
        <f t="shared" si="23"/>
        <v/>
      </c>
      <c r="AL145" t="str">
        <f t="shared" si="24"/>
        <v/>
      </c>
      <c r="AN145" t="str">
        <f t="shared" si="25"/>
        <v/>
      </c>
      <c r="AQ145" t="str">
        <f t="shared" si="26"/>
        <v/>
      </c>
      <c r="AR145" t="str">
        <f t="shared" si="27"/>
        <v/>
      </c>
      <c r="AS145" t="str">
        <f t="shared" si="28"/>
        <v/>
      </c>
      <c r="AT145" t="str">
        <f t="shared" si="29"/>
        <v/>
      </c>
      <c r="BG145" t="str">
        <f t="shared" si="30"/>
        <v/>
      </c>
      <c r="BH145" t="str">
        <f t="shared" si="31"/>
        <v/>
      </c>
      <c r="BL145" t="str">
        <f>IFERROR(INDEX(_names_lookup!$C:$C,MATCH(BK145,_names_lookup!$A:$A,0)),"")</f>
        <v/>
      </c>
      <c r="BM145" t="str">
        <f>IFERROR(INDEX(_names_lookup!$B:$B,MATCH(BK145,_names_lookup!$A:$A,0)),"")</f>
        <v/>
      </c>
      <c r="BS145" t="str">
        <f t="shared" si="32"/>
        <v/>
      </c>
    </row>
    <row r="146" spans="15:71" x14ac:dyDescent="0.2">
      <c r="O146" t="str">
        <f>IFERROR(INDEX(_courses_lookup!$C:$C,MATCH(K146&amp;L146,_courses_lookup!$E:$E,0)),"")</f>
        <v/>
      </c>
      <c r="P146" t="str">
        <f>IFERROR(INDEX(_courses_lookup!$D:$D,MATCH(K146&amp;L146,_courses_lookup!$E:$E,0)),"")</f>
        <v/>
      </c>
      <c r="AG146" t="str">
        <f t="shared" si="22"/>
        <v/>
      </c>
      <c r="AI146" t="str">
        <f t="shared" si="23"/>
        <v/>
      </c>
      <c r="AL146" t="str">
        <f t="shared" si="24"/>
        <v/>
      </c>
      <c r="AN146" t="str">
        <f t="shared" si="25"/>
        <v/>
      </c>
      <c r="AQ146" t="str">
        <f t="shared" si="26"/>
        <v/>
      </c>
      <c r="AR146" t="str">
        <f t="shared" si="27"/>
        <v/>
      </c>
      <c r="AS146" t="str">
        <f t="shared" si="28"/>
        <v/>
      </c>
      <c r="AT146" t="str">
        <f t="shared" si="29"/>
        <v/>
      </c>
      <c r="BG146" t="str">
        <f t="shared" si="30"/>
        <v/>
      </c>
      <c r="BH146" t="str">
        <f t="shared" si="31"/>
        <v/>
      </c>
      <c r="BL146" t="str">
        <f>IFERROR(INDEX(_names_lookup!$C:$C,MATCH(BK146,_names_lookup!$A:$A,0)),"")</f>
        <v/>
      </c>
      <c r="BM146" t="str">
        <f>IFERROR(INDEX(_names_lookup!$B:$B,MATCH(BK146,_names_lookup!$A:$A,0)),"")</f>
        <v/>
      </c>
      <c r="BS146" t="str">
        <f t="shared" si="32"/>
        <v/>
      </c>
    </row>
    <row r="147" spans="15:71" x14ac:dyDescent="0.2">
      <c r="O147" t="str">
        <f>IFERROR(INDEX(_courses_lookup!$C:$C,MATCH(K147&amp;L147,_courses_lookup!$E:$E,0)),"")</f>
        <v/>
      </c>
      <c r="P147" t="str">
        <f>IFERROR(INDEX(_courses_lookup!$D:$D,MATCH(K147&amp;L147,_courses_lookup!$E:$E,0)),"")</f>
        <v/>
      </c>
      <c r="AG147" t="str">
        <f t="shared" si="22"/>
        <v/>
      </c>
      <c r="AI147" t="str">
        <f t="shared" si="23"/>
        <v/>
      </c>
      <c r="AL147" t="str">
        <f t="shared" si="24"/>
        <v/>
      </c>
      <c r="AN147" t="str">
        <f t="shared" si="25"/>
        <v/>
      </c>
      <c r="AQ147" t="str">
        <f t="shared" si="26"/>
        <v/>
      </c>
      <c r="AR147" t="str">
        <f t="shared" si="27"/>
        <v/>
      </c>
      <c r="AS147" t="str">
        <f t="shared" si="28"/>
        <v/>
      </c>
      <c r="AT147" t="str">
        <f t="shared" si="29"/>
        <v/>
      </c>
      <c r="BG147" t="str">
        <f t="shared" si="30"/>
        <v/>
      </c>
      <c r="BH147" t="str">
        <f t="shared" si="31"/>
        <v/>
      </c>
      <c r="BL147" t="str">
        <f>IFERROR(INDEX(_names_lookup!$C:$C,MATCH(BK147,_names_lookup!$A:$A,0)),"")</f>
        <v/>
      </c>
      <c r="BM147" t="str">
        <f>IFERROR(INDEX(_names_lookup!$B:$B,MATCH(BK147,_names_lookup!$A:$A,0)),"")</f>
        <v/>
      </c>
      <c r="BS147" t="str">
        <f t="shared" si="32"/>
        <v/>
      </c>
    </row>
    <row r="148" spans="15:71" x14ac:dyDescent="0.2">
      <c r="O148" t="str">
        <f>IFERROR(INDEX(_courses_lookup!$C:$C,MATCH(K148&amp;L148,_courses_lookup!$E:$E,0)),"")</f>
        <v/>
      </c>
      <c r="P148" t="str">
        <f>IFERROR(INDEX(_courses_lookup!$D:$D,MATCH(K148&amp;L148,_courses_lookup!$E:$E,0)),"")</f>
        <v/>
      </c>
      <c r="AG148" t="str">
        <f t="shared" si="22"/>
        <v/>
      </c>
      <c r="AI148" t="str">
        <f t="shared" si="23"/>
        <v/>
      </c>
      <c r="AL148" t="str">
        <f t="shared" si="24"/>
        <v/>
      </c>
      <c r="AN148" t="str">
        <f t="shared" si="25"/>
        <v/>
      </c>
      <c r="AQ148" t="str">
        <f t="shared" si="26"/>
        <v/>
      </c>
      <c r="AR148" t="str">
        <f t="shared" si="27"/>
        <v/>
      </c>
      <c r="AS148" t="str">
        <f t="shared" si="28"/>
        <v/>
      </c>
      <c r="AT148" t="str">
        <f t="shared" si="29"/>
        <v/>
      </c>
      <c r="BG148" t="str">
        <f t="shared" si="30"/>
        <v/>
      </c>
      <c r="BH148" t="str">
        <f t="shared" si="31"/>
        <v/>
      </c>
      <c r="BL148" t="str">
        <f>IFERROR(INDEX(_names_lookup!$C:$C,MATCH(BK148,_names_lookup!$A:$A,0)),"")</f>
        <v/>
      </c>
      <c r="BM148" t="str">
        <f>IFERROR(INDEX(_names_lookup!$B:$B,MATCH(BK148,_names_lookup!$A:$A,0)),"")</f>
        <v/>
      </c>
      <c r="BS148" t="str">
        <f t="shared" si="32"/>
        <v/>
      </c>
    </row>
    <row r="149" spans="15:71" x14ac:dyDescent="0.2">
      <c r="O149" t="str">
        <f>IFERROR(INDEX(_courses_lookup!$C:$C,MATCH(K149&amp;L149,_courses_lookup!$E:$E,0)),"")</f>
        <v/>
      </c>
      <c r="P149" t="str">
        <f>IFERROR(INDEX(_courses_lookup!$D:$D,MATCH(K149&amp;L149,_courses_lookup!$E:$E,0)),"")</f>
        <v/>
      </c>
      <c r="AG149" t="str">
        <f t="shared" si="22"/>
        <v/>
      </c>
      <c r="AI149" t="str">
        <f t="shared" si="23"/>
        <v/>
      </c>
      <c r="AL149" t="str">
        <f t="shared" si="24"/>
        <v/>
      </c>
      <c r="AN149" t="str">
        <f t="shared" si="25"/>
        <v/>
      </c>
      <c r="AQ149" t="str">
        <f t="shared" si="26"/>
        <v/>
      </c>
      <c r="AR149" t="str">
        <f t="shared" si="27"/>
        <v/>
      </c>
      <c r="AS149" t="str">
        <f t="shared" si="28"/>
        <v/>
      </c>
      <c r="AT149" t="str">
        <f t="shared" si="29"/>
        <v/>
      </c>
      <c r="BG149" t="str">
        <f t="shared" si="30"/>
        <v/>
      </c>
      <c r="BH149" t="str">
        <f t="shared" si="31"/>
        <v/>
      </c>
      <c r="BL149" t="str">
        <f>IFERROR(INDEX(_names_lookup!$C:$C,MATCH(BK149,_names_lookup!$A:$A,0)),"")</f>
        <v/>
      </c>
      <c r="BM149" t="str">
        <f>IFERROR(INDEX(_names_lookup!$B:$B,MATCH(BK149,_names_lookup!$A:$A,0)),"")</f>
        <v/>
      </c>
      <c r="BS149" t="str">
        <f t="shared" si="32"/>
        <v/>
      </c>
    </row>
    <row r="150" spans="15:71" x14ac:dyDescent="0.2">
      <c r="O150" t="str">
        <f>IFERROR(INDEX(_courses_lookup!$C:$C,MATCH(K150&amp;L150,_courses_lookup!$E:$E,0)),"")</f>
        <v/>
      </c>
      <c r="P150" t="str">
        <f>IFERROR(INDEX(_courses_lookup!$D:$D,MATCH(K150&amp;L150,_courses_lookup!$E:$E,0)),"")</f>
        <v/>
      </c>
      <c r="AG150" t="str">
        <f t="shared" si="22"/>
        <v/>
      </c>
      <c r="AI150" t="str">
        <f t="shared" si="23"/>
        <v/>
      </c>
      <c r="AL150" t="str">
        <f t="shared" si="24"/>
        <v/>
      </c>
      <c r="AN150" t="str">
        <f t="shared" si="25"/>
        <v/>
      </c>
      <c r="AQ150" t="str">
        <f t="shared" si="26"/>
        <v/>
      </c>
      <c r="AR150" t="str">
        <f t="shared" si="27"/>
        <v/>
      </c>
      <c r="AS150" t="str">
        <f t="shared" si="28"/>
        <v/>
      </c>
      <c r="AT150" t="str">
        <f t="shared" si="29"/>
        <v/>
      </c>
      <c r="BG150" t="str">
        <f t="shared" si="30"/>
        <v/>
      </c>
      <c r="BH150" t="str">
        <f t="shared" si="31"/>
        <v/>
      </c>
      <c r="BL150" t="str">
        <f>IFERROR(INDEX(_names_lookup!$C:$C,MATCH(BK150,_names_lookup!$A:$A,0)),"")</f>
        <v/>
      </c>
      <c r="BM150" t="str">
        <f>IFERROR(INDEX(_names_lookup!$B:$B,MATCH(BK150,_names_lookup!$A:$A,0)),"")</f>
        <v/>
      </c>
      <c r="BS150" t="str">
        <f t="shared" si="32"/>
        <v/>
      </c>
    </row>
    <row r="151" spans="15:71" x14ac:dyDescent="0.2">
      <c r="O151" t="str">
        <f>IFERROR(INDEX(_courses_lookup!$C:$C,MATCH(K151&amp;L151,_courses_lookup!$E:$E,0)),"")</f>
        <v/>
      </c>
      <c r="P151" t="str">
        <f>IFERROR(INDEX(_courses_lookup!$D:$D,MATCH(K151&amp;L151,_courses_lookup!$E:$E,0)),"")</f>
        <v/>
      </c>
      <c r="AG151" t="str">
        <f t="shared" si="22"/>
        <v/>
      </c>
      <c r="AI151" t="str">
        <f t="shared" si="23"/>
        <v/>
      </c>
      <c r="AL151" t="str">
        <f t="shared" si="24"/>
        <v/>
      </c>
      <c r="AN151" t="str">
        <f t="shared" si="25"/>
        <v/>
      </c>
      <c r="AQ151" t="str">
        <f t="shared" si="26"/>
        <v/>
      </c>
      <c r="AR151" t="str">
        <f t="shared" si="27"/>
        <v/>
      </c>
      <c r="AS151" t="str">
        <f t="shared" si="28"/>
        <v/>
      </c>
      <c r="AT151" t="str">
        <f t="shared" si="29"/>
        <v/>
      </c>
      <c r="BG151" t="str">
        <f t="shared" si="30"/>
        <v/>
      </c>
      <c r="BH151" t="str">
        <f t="shared" si="31"/>
        <v/>
      </c>
      <c r="BL151" t="str">
        <f>IFERROR(INDEX(_names_lookup!$C:$C,MATCH(BK151,_names_lookup!$A:$A,0)),"")</f>
        <v/>
      </c>
      <c r="BM151" t="str">
        <f>IFERROR(INDEX(_names_lookup!$B:$B,MATCH(BK151,_names_lookup!$A:$A,0)),"")</f>
        <v/>
      </c>
      <c r="BS151" t="str">
        <f t="shared" si="32"/>
        <v/>
      </c>
    </row>
    <row r="152" spans="15:71" x14ac:dyDescent="0.2">
      <c r="O152" t="str">
        <f>IFERROR(INDEX(_courses_lookup!$C:$C,MATCH(K152&amp;L152,_courses_lookup!$E:$E,0)),"")</f>
        <v/>
      </c>
      <c r="P152" t="str">
        <f>IFERROR(INDEX(_courses_lookup!$D:$D,MATCH(K152&amp;L152,_courses_lookup!$E:$E,0)),"")</f>
        <v/>
      </c>
      <c r="AG152" t="str">
        <f t="shared" si="22"/>
        <v/>
      </c>
      <c r="AI152" t="str">
        <f t="shared" si="23"/>
        <v/>
      </c>
      <c r="AL152" t="str">
        <f t="shared" si="24"/>
        <v/>
      </c>
      <c r="AN152" t="str">
        <f t="shared" si="25"/>
        <v/>
      </c>
      <c r="AQ152" t="str">
        <f t="shared" si="26"/>
        <v/>
      </c>
      <c r="AR152" t="str">
        <f t="shared" si="27"/>
        <v/>
      </c>
      <c r="AS152" t="str">
        <f t="shared" si="28"/>
        <v/>
      </c>
      <c r="AT152" t="str">
        <f t="shared" si="29"/>
        <v/>
      </c>
      <c r="BG152" t="str">
        <f t="shared" si="30"/>
        <v/>
      </c>
      <c r="BH152" t="str">
        <f t="shared" si="31"/>
        <v/>
      </c>
      <c r="BL152" t="str">
        <f>IFERROR(INDEX(_names_lookup!$C:$C,MATCH(BK152,_names_lookup!$A:$A,0)),"")</f>
        <v/>
      </c>
      <c r="BM152" t="str">
        <f>IFERROR(INDEX(_names_lookup!$B:$B,MATCH(BK152,_names_lookup!$A:$A,0)),"")</f>
        <v/>
      </c>
      <c r="BS152" t="str">
        <f t="shared" si="32"/>
        <v/>
      </c>
    </row>
    <row r="153" spans="15:71" x14ac:dyDescent="0.2">
      <c r="O153" t="str">
        <f>IFERROR(INDEX(_courses_lookup!$C:$C,MATCH(K153&amp;L153,_courses_lookup!$E:$E,0)),"")</f>
        <v/>
      </c>
      <c r="P153" t="str">
        <f>IFERROR(INDEX(_courses_lookup!$D:$D,MATCH(K153&amp;L153,_courses_lookup!$E:$E,0)),"")</f>
        <v/>
      </c>
      <c r="AG153" t="str">
        <f t="shared" si="22"/>
        <v/>
      </c>
      <c r="AI153" t="str">
        <f t="shared" si="23"/>
        <v/>
      </c>
      <c r="AL153" t="str">
        <f t="shared" si="24"/>
        <v/>
      </c>
      <c r="AN153" t="str">
        <f t="shared" si="25"/>
        <v/>
      </c>
      <c r="AQ153" t="str">
        <f t="shared" si="26"/>
        <v/>
      </c>
      <c r="AR153" t="str">
        <f t="shared" si="27"/>
        <v/>
      </c>
      <c r="AS153" t="str">
        <f t="shared" si="28"/>
        <v/>
      </c>
      <c r="AT153" t="str">
        <f t="shared" si="29"/>
        <v/>
      </c>
      <c r="BG153" t="str">
        <f t="shared" si="30"/>
        <v/>
      </c>
      <c r="BH153" t="str">
        <f t="shared" si="31"/>
        <v/>
      </c>
      <c r="BL153" t="str">
        <f>IFERROR(INDEX(_names_lookup!$C:$C,MATCH(BK153,_names_lookup!$A:$A,0)),"")</f>
        <v/>
      </c>
      <c r="BM153" t="str">
        <f>IFERROR(INDEX(_names_lookup!$B:$B,MATCH(BK153,_names_lookup!$A:$A,0)),"")</f>
        <v/>
      </c>
      <c r="BS153" t="str">
        <f t="shared" si="32"/>
        <v/>
      </c>
    </row>
    <row r="154" spans="15:71" x14ac:dyDescent="0.2">
      <c r="O154" t="str">
        <f>IFERROR(INDEX(_courses_lookup!$C:$C,MATCH(K154&amp;L154,_courses_lookup!$E:$E,0)),"")</f>
        <v/>
      </c>
      <c r="P154" t="str">
        <f>IFERROR(INDEX(_courses_lookup!$D:$D,MATCH(K154&amp;L154,_courses_lookup!$E:$E,0)),"")</f>
        <v/>
      </c>
      <c r="AG154" t="str">
        <f t="shared" si="22"/>
        <v/>
      </c>
      <c r="AI154" t="str">
        <f t="shared" si="23"/>
        <v/>
      </c>
      <c r="AL154" t="str">
        <f t="shared" si="24"/>
        <v/>
      </c>
      <c r="AN154" t="str">
        <f t="shared" si="25"/>
        <v/>
      </c>
      <c r="AQ154" t="str">
        <f t="shared" si="26"/>
        <v/>
      </c>
      <c r="AR154" t="str">
        <f t="shared" si="27"/>
        <v/>
      </c>
      <c r="AS154" t="str">
        <f t="shared" si="28"/>
        <v/>
      </c>
      <c r="AT154" t="str">
        <f t="shared" si="29"/>
        <v/>
      </c>
      <c r="BG154" t="str">
        <f t="shared" si="30"/>
        <v/>
      </c>
      <c r="BH154" t="str">
        <f t="shared" si="31"/>
        <v/>
      </c>
      <c r="BL154" t="str">
        <f>IFERROR(INDEX(_names_lookup!$C:$C,MATCH(BK154,_names_lookup!$A:$A,0)),"")</f>
        <v/>
      </c>
      <c r="BM154" t="str">
        <f>IFERROR(INDEX(_names_lookup!$B:$B,MATCH(BK154,_names_lookup!$A:$A,0)),"")</f>
        <v/>
      </c>
      <c r="BS154" t="str">
        <f t="shared" si="32"/>
        <v/>
      </c>
    </row>
    <row r="155" spans="15:71" x14ac:dyDescent="0.2">
      <c r="O155" t="str">
        <f>IFERROR(INDEX(_courses_lookup!$C:$C,MATCH(K155&amp;L155,_courses_lookup!$E:$E,0)),"")</f>
        <v/>
      </c>
      <c r="P155" t="str">
        <f>IFERROR(INDEX(_courses_lookup!$D:$D,MATCH(K155&amp;L155,_courses_lookup!$E:$E,0)),"")</f>
        <v/>
      </c>
      <c r="AG155" t="str">
        <f t="shared" si="22"/>
        <v/>
      </c>
      <c r="AI155" t="str">
        <f t="shared" si="23"/>
        <v/>
      </c>
      <c r="AL155" t="str">
        <f t="shared" si="24"/>
        <v/>
      </c>
      <c r="AN155" t="str">
        <f t="shared" si="25"/>
        <v/>
      </c>
      <c r="AQ155" t="str">
        <f t="shared" si="26"/>
        <v/>
      </c>
      <c r="AR155" t="str">
        <f t="shared" si="27"/>
        <v/>
      </c>
      <c r="AS155" t="str">
        <f t="shared" si="28"/>
        <v/>
      </c>
      <c r="AT155" t="str">
        <f t="shared" si="29"/>
        <v/>
      </c>
      <c r="BG155" t="str">
        <f t="shared" si="30"/>
        <v/>
      </c>
      <c r="BH155" t="str">
        <f t="shared" si="31"/>
        <v/>
      </c>
      <c r="BL155" t="str">
        <f>IFERROR(INDEX(_names_lookup!$C:$C,MATCH(BK155,_names_lookup!$A:$A,0)),"")</f>
        <v/>
      </c>
      <c r="BM155" t="str">
        <f>IFERROR(INDEX(_names_lookup!$B:$B,MATCH(BK155,_names_lookup!$A:$A,0)),"")</f>
        <v/>
      </c>
      <c r="BS155" t="str">
        <f t="shared" si="32"/>
        <v/>
      </c>
    </row>
    <row r="156" spans="15:71" x14ac:dyDescent="0.2">
      <c r="O156" t="str">
        <f>IFERROR(INDEX(_courses_lookup!$C:$C,MATCH(K156&amp;L156,_courses_lookup!$E:$E,0)),"")</f>
        <v/>
      </c>
      <c r="P156" t="str">
        <f>IFERROR(INDEX(_courses_lookup!$D:$D,MATCH(K156&amp;L156,_courses_lookup!$E:$E,0)),"")</f>
        <v/>
      </c>
      <c r="AG156" t="str">
        <f t="shared" si="22"/>
        <v/>
      </c>
      <c r="AI156" t="str">
        <f t="shared" si="23"/>
        <v/>
      </c>
      <c r="AL156" t="str">
        <f t="shared" si="24"/>
        <v/>
      </c>
      <c r="AN156" t="str">
        <f t="shared" si="25"/>
        <v/>
      </c>
      <c r="AQ156" t="str">
        <f t="shared" si="26"/>
        <v/>
      </c>
      <c r="AR156" t="str">
        <f t="shared" si="27"/>
        <v/>
      </c>
      <c r="AS156" t="str">
        <f t="shared" si="28"/>
        <v/>
      </c>
      <c r="AT156" t="str">
        <f t="shared" si="29"/>
        <v/>
      </c>
      <c r="BG156" t="str">
        <f t="shared" si="30"/>
        <v/>
      </c>
      <c r="BH156" t="str">
        <f t="shared" si="31"/>
        <v/>
      </c>
      <c r="BL156" t="str">
        <f>IFERROR(INDEX(_names_lookup!$C:$C,MATCH(BK156,_names_lookup!$A:$A,0)),"")</f>
        <v/>
      </c>
      <c r="BM156" t="str">
        <f>IFERROR(INDEX(_names_lookup!$B:$B,MATCH(BK156,_names_lookup!$A:$A,0)),"")</f>
        <v/>
      </c>
      <c r="BS156" t="str">
        <f t="shared" si="32"/>
        <v/>
      </c>
    </row>
    <row r="157" spans="15:71" x14ac:dyDescent="0.2">
      <c r="O157" t="str">
        <f>IFERROR(INDEX(_courses_lookup!$C:$C,MATCH(K157&amp;L157,_courses_lookup!$E:$E,0)),"")</f>
        <v/>
      </c>
      <c r="P157" t="str">
        <f>IFERROR(INDEX(_courses_lookup!$D:$D,MATCH(K157&amp;L157,_courses_lookup!$E:$E,0)),"")</f>
        <v/>
      </c>
      <c r="AG157" t="str">
        <f t="shared" si="22"/>
        <v/>
      </c>
      <c r="AI157" t="str">
        <f t="shared" si="23"/>
        <v/>
      </c>
      <c r="AL157" t="str">
        <f t="shared" si="24"/>
        <v/>
      </c>
      <c r="AN157" t="str">
        <f t="shared" si="25"/>
        <v/>
      </c>
      <c r="AQ157" t="str">
        <f t="shared" si="26"/>
        <v/>
      </c>
      <c r="AR157" t="str">
        <f t="shared" si="27"/>
        <v/>
      </c>
      <c r="AS157" t="str">
        <f t="shared" si="28"/>
        <v/>
      </c>
      <c r="AT157" t="str">
        <f t="shared" si="29"/>
        <v/>
      </c>
      <c r="BG157" t="str">
        <f t="shared" si="30"/>
        <v/>
      </c>
      <c r="BH157" t="str">
        <f t="shared" si="31"/>
        <v/>
      </c>
      <c r="BL157" t="str">
        <f>IFERROR(INDEX(_names_lookup!$C:$C,MATCH(BK157,_names_lookup!$A:$A,0)),"")</f>
        <v/>
      </c>
      <c r="BM157" t="str">
        <f>IFERROR(INDEX(_names_lookup!$B:$B,MATCH(BK157,_names_lookup!$A:$A,0)),"")</f>
        <v/>
      </c>
      <c r="BS157" t="str">
        <f t="shared" si="32"/>
        <v/>
      </c>
    </row>
    <row r="158" spans="15:71" x14ac:dyDescent="0.2">
      <c r="O158" t="str">
        <f>IFERROR(INDEX(_courses_lookup!$C:$C,MATCH(K158&amp;L158,_courses_lookup!$E:$E,0)),"")</f>
        <v/>
      </c>
      <c r="P158" t="str">
        <f>IFERROR(INDEX(_courses_lookup!$D:$D,MATCH(K158&amp;L158,_courses_lookup!$E:$E,0)),"")</f>
        <v/>
      </c>
      <c r="AG158" t="str">
        <f t="shared" si="22"/>
        <v/>
      </c>
      <c r="AI158" t="str">
        <f t="shared" si="23"/>
        <v/>
      </c>
      <c r="AL158" t="str">
        <f t="shared" si="24"/>
        <v/>
      </c>
      <c r="AN158" t="str">
        <f t="shared" si="25"/>
        <v/>
      </c>
      <c r="AQ158" t="str">
        <f t="shared" si="26"/>
        <v/>
      </c>
      <c r="AR158" t="str">
        <f t="shared" si="27"/>
        <v/>
      </c>
      <c r="AS158" t="str">
        <f t="shared" si="28"/>
        <v/>
      </c>
      <c r="AT158" t="str">
        <f t="shared" si="29"/>
        <v/>
      </c>
      <c r="BG158" t="str">
        <f t="shared" si="30"/>
        <v/>
      </c>
      <c r="BH158" t="str">
        <f t="shared" si="31"/>
        <v/>
      </c>
      <c r="BL158" t="str">
        <f>IFERROR(INDEX(_names_lookup!$C:$C,MATCH(BK158,_names_lookup!$A:$A,0)),"")</f>
        <v/>
      </c>
      <c r="BM158" t="str">
        <f>IFERROR(INDEX(_names_lookup!$B:$B,MATCH(BK158,_names_lookup!$A:$A,0)),"")</f>
        <v/>
      </c>
      <c r="BS158" t="str">
        <f t="shared" si="32"/>
        <v/>
      </c>
    </row>
    <row r="159" spans="15:71" x14ac:dyDescent="0.2">
      <c r="O159" t="str">
        <f>IFERROR(INDEX(_courses_lookup!$C:$C,MATCH(K159&amp;L159,_courses_lookup!$E:$E,0)),"")</f>
        <v/>
      </c>
      <c r="P159" t="str">
        <f>IFERROR(INDEX(_courses_lookup!$D:$D,MATCH(K159&amp;L159,_courses_lookup!$E:$E,0)),"")</f>
        <v/>
      </c>
      <c r="AG159" t="str">
        <f t="shared" si="22"/>
        <v/>
      </c>
      <c r="AI159" t="str">
        <f t="shared" si="23"/>
        <v/>
      </c>
      <c r="AL159" t="str">
        <f t="shared" si="24"/>
        <v/>
      </c>
      <c r="AN159" t="str">
        <f t="shared" si="25"/>
        <v/>
      </c>
      <c r="AQ159" t="str">
        <f t="shared" si="26"/>
        <v/>
      </c>
      <c r="AR159" t="str">
        <f t="shared" si="27"/>
        <v/>
      </c>
      <c r="AS159" t="str">
        <f t="shared" si="28"/>
        <v/>
      </c>
      <c r="AT159" t="str">
        <f t="shared" si="29"/>
        <v/>
      </c>
      <c r="BG159" t="str">
        <f t="shared" si="30"/>
        <v/>
      </c>
      <c r="BH159" t="str">
        <f t="shared" si="31"/>
        <v/>
      </c>
      <c r="BL159" t="str">
        <f>IFERROR(INDEX(_names_lookup!$C:$C,MATCH(BK159,_names_lookup!$A:$A,0)),"")</f>
        <v/>
      </c>
      <c r="BM159" t="str">
        <f>IFERROR(INDEX(_names_lookup!$B:$B,MATCH(BK159,_names_lookup!$A:$A,0)),"")</f>
        <v/>
      </c>
      <c r="BS159" t="str">
        <f t="shared" si="32"/>
        <v/>
      </c>
    </row>
    <row r="160" spans="15:71" x14ac:dyDescent="0.2">
      <c r="O160" t="str">
        <f>IFERROR(INDEX(_courses_lookup!$C:$C,MATCH(K160&amp;L160,_courses_lookup!$E:$E,0)),"")</f>
        <v/>
      </c>
      <c r="P160" t="str">
        <f>IFERROR(INDEX(_courses_lookup!$D:$D,MATCH(K160&amp;L160,_courses_lookup!$E:$E,0)),"")</f>
        <v/>
      </c>
      <c r="AG160" t="str">
        <f t="shared" si="22"/>
        <v/>
      </c>
      <c r="AI160" t="str">
        <f t="shared" si="23"/>
        <v/>
      </c>
      <c r="AL160" t="str">
        <f t="shared" si="24"/>
        <v/>
      </c>
      <c r="AN160" t="str">
        <f t="shared" si="25"/>
        <v/>
      </c>
      <c r="AQ160" t="str">
        <f t="shared" si="26"/>
        <v/>
      </c>
      <c r="AR160" t="str">
        <f t="shared" si="27"/>
        <v/>
      </c>
      <c r="AS160" t="str">
        <f t="shared" si="28"/>
        <v/>
      </c>
      <c r="AT160" t="str">
        <f t="shared" si="29"/>
        <v/>
      </c>
      <c r="BG160" t="str">
        <f t="shared" si="30"/>
        <v/>
      </c>
      <c r="BH160" t="str">
        <f t="shared" si="31"/>
        <v/>
      </c>
      <c r="BL160" t="str">
        <f>IFERROR(INDEX(_names_lookup!$C:$C,MATCH(BK160,_names_lookup!$A:$A,0)),"")</f>
        <v/>
      </c>
      <c r="BM160" t="str">
        <f>IFERROR(INDEX(_names_lookup!$B:$B,MATCH(BK160,_names_lookup!$A:$A,0)),"")</f>
        <v/>
      </c>
      <c r="BS160" t="str">
        <f t="shared" si="32"/>
        <v/>
      </c>
    </row>
    <row r="161" spans="15:71" x14ac:dyDescent="0.2">
      <c r="O161" t="str">
        <f>IFERROR(INDEX(_courses_lookup!$C:$C,MATCH(K161&amp;L161,_courses_lookup!$E:$E,0)),"")</f>
        <v/>
      </c>
      <c r="P161" t="str">
        <f>IFERROR(INDEX(_courses_lookup!$D:$D,MATCH(K161&amp;L161,_courses_lookup!$E:$E,0)),"")</f>
        <v/>
      </c>
      <c r="AG161" t="str">
        <f t="shared" si="22"/>
        <v/>
      </c>
      <c r="AI161" t="str">
        <f t="shared" si="23"/>
        <v/>
      </c>
      <c r="AL161" t="str">
        <f t="shared" si="24"/>
        <v/>
      </c>
      <c r="AN161" t="str">
        <f t="shared" si="25"/>
        <v/>
      </c>
      <c r="AQ161" t="str">
        <f t="shared" si="26"/>
        <v/>
      </c>
      <c r="AR161" t="str">
        <f t="shared" si="27"/>
        <v/>
      </c>
      <c r="AS161" t="str">
        <f t="shared" si="28"/>
        <v/>
      </c>
      <c r="AT161" t="str">
        <f t="shared" si="29"/>
        <v/>
      </c>
      <c r="BG161" t="str">
        <f t="shared" si="30"/>
        <v/>
      </c>
      <c r="BH161" t="str">
        <f t="shared" si="31"/>
        <v/>
      </c>
      <c r="BL161" t="str">
        <f>IFERROR(INDEX(_names_lookup!$C:$C,MATCH(BK161,_names_lookup!$A:$A,0)),"")</f>
        <v/>
      </c>
      <c r="BM161" t="str">
        <f>IFERROR(INDEX(_names_lookup!$B:$B,MATCH(BK161,_names_lookup!$A:$A,0)),"")</f>
        <v/>
      </c>
      <c r="BS161" t="str">
        <f t="shared" si="32"/>
        <v/>
      </c>
    </row>
    <row r="162" spans="15:71" x14ac:dyDescent="0.2">
      <c r="O162" t="str">
        <f>IFERROR(INDEX(_courses_lookup!$C:$C,MATCH(K162&amp;L162,_courses_lookup!$E:$E,0)),"")</f>
        <v/>
      </c>
      <c r="P162" t="str">
        <f>IFERROR(INDEX(_courses_lookup!$D:$D,MATCH(K162&amp;L162,_courses_lookup!$E:$E,0)),"")</f>
        <v/>
      </c>
      <c r="AG162" t="str">
        <f t="shared" si="22"/>
        <v/>
      </c>
      <c r="AI162" t="str">
        <f t="shared" si="23"/>
        <v/>
      </c>
      <c r="AL162" t="str">
        <f t="shared" si="24"/>
        <v/>
      </c>
      <c r="AN162" t="str">
        <f t="shared" si="25"/>
        <v/>
      </c>
      <c r="AQ162" t="str">
        <f t="shared" si="26"/>
        <v/>
      </c>
      <c r="AR162" t="str">
        <f t="shared" si="27"/>
        <v/>
      </c>
      <c r="AS162" t="str">
        <f t="shared" si="28"/>
        <v/>
      </c>
      <c r="AT162" t="str">
        <f t="shared" si="29"/>
        <v/>
      </c>
      <c r="BG162" t="str">
        <f t="shared" si="30"/>
        <v/>
      </c>
      <c r="BH162" t="str">
        <f t="shared" si="31"/>
        <v/>
      </c>
      <c r="BL162" t="str">
        <f>IFERROR(INDEX(_names_lookup!$C:$C,MATCH(BK162,_names_lookup!$A:$A,0)),"")</f>
        <v/>
      </c>
      <c r="BM162" t="str">
        <f>IFERROR(INDEX(_names_lookup!$B:$B,MATCH(BK162,_names_lookup!$A:$A,0)),"")</f>
        <v/>
      </c>
      <c r="BS162" t="str">
        <f t="shared" si="32"/>
        <v/>
      </c>
    </row>
    <row r="163" spans="15:71" x14ac:dyDescent="0.2">
      <c r="O163" t="str">
        <f>IFERROR(INDEX(_courses_lookup!$C:$C,MATCH(K163&amp;L163,_courses_lookup!$E:$E,0)),"")</f>
        <v/>
      </c>
      <c r="P163" t="str">
        <f>IFERROR(INDEX(_courses_lookup!$D:$D,MATCH(K163&amp;L163,_courses_lookup!$E:$E,0)),"")</f>
        <v/>
      </c>
      <c r="AG163" t="str">
        <f t="shared" si="22"/>
        <v/>
      </c>
      <c r="AI163" t="str">
        <f t="shared" si="23"/>
        <v/>
      </c>
      <c r="AL163" t="str">
        <f t="shared" si="24"/>
        <v/>
      </c>
      <c r="AN163" t="str">
        <f t="shared" si="25"/>
        <v/>
      </c>
      <c r="AQ163" t="str">
        <f t="shared" si="26"/>
        <v/>
      </c>
      <c r="AR163" t="str">
        <f t="shared" si="27"/>
        <v/>
      </c>
      <c r="AS163" t="str">
        <f t="shared" si="28"/>
        <v/>
      </c>
      <c r="AT163" t="str">
        <f t="shared" si="29"/>
        <v/>
      </c>
      <c r="BG163" t="str">
        <f t="shared" si="30"/>
        <v/>
      </c>
      <c r="BH163" t="str">
        <f t="shared" si="31"/>
        <v/>
      </c>
      <c r="BL163" t="str">
        <f>IFERROR(INDEX(_names_lookup!$C:$C,MATCH(BK163,_names_lookup!$A:$A,0)),"")</f>
        <v/>
      </c>
      <c r="BM163" t="str">
        <f>IFERROR(INDEX(_names_lookup!$B:$B,MATCH(BK163,_names_lookup!$A:$A,0)),"")</f>
        <v/>
      </c>
      <c r="BS163" t="str">
        <f t="shared" si="32"/>
        <v/>
      </c>
    </row>
    <row r="164" spans="15:71" x14ac:dyDescent="0.2">
      <c r="O164" t="str">
        <f>IFERROR(INDEX(_courses_lookup!$C:$C,MATCH(K164&amp;L164,_courses_lookup!$E:$E,0)),"")</f>
        <v/>
      </c>
      <c r="P164" t="str">
        <f>IFERROR(INDEX(_courses_lookup!$D:$D,MATCH(K164&amp;L164,_courses_lookup!$E:$E,0)),"")</f>
        <v/>
      </c>
      <c r="AG164" t="str">
        <f t="shared" si="22"/>
        <v/>
      </c>
      <c r="AI164" t="str">
        <f t="shared" si="23"/>
        <v/>
      </c>
      <c r="AL164" t="str">
        <f t="shared" si="24"/>
        <v/>
      </c>
      <c r="AN164" t="str">
        <f t="shared" si="25"/>
        <v/>
      </c>
      <c r="AQ164" t="str">
        <f t="shared" si="26"/>
        <v/>
      </c>
      <c r="AR164" t="str">
        <f t="shared" si="27"/>
        <v/>
      </c>
      <c r="AS164" t="str">
        <f t="shared" si="28"/>
        <v/>
      </c>
      <c r="AT164" t="str">
        <f t="shared" si="29"/>
        <v/>
      </c>
      <c r="BG164" t="str">
        <f t="shared" si="30"/>
        <v/>
      </c>
      <c r="BH164" t="str">
        <f t="shared" si="31"/>
        <v/>
      </c>
      <c r="BL164" t="str">
        <f>IFERROR(INDEX(_names_lookup!$C:$C,MATCH(BK164,_names_lookup!$A:$A,0)),"")</f>
        <v/>
      </c>
      <c r="BM164" t="str">
        <f>IFERROR(INDEX(_names_lookup!$B:$B,MATCH(BK164,_names_lookup!$A:$A,0)),"")</f>
        <v/>
      </c>
      <c r="BS164" t="str">
        <f t="shared" si="32"/>
        <v/>
      </c>
    </row>
    <row r="165" spans="15:71" x14ac:dyDescent="0.2">
      <c r="O165" t="str">
        <f>IFERROR(INDEX(_courses_lookup!$C:$C,MATCH(K165&amp;L165,_courses_lookup!$E:$E,0)),"")</f>
        <v/>
      </c>
      <c r="P165" t="str">
        <f>IFERROR(INDEX(_courses_lookup!$D:$D,MATCH(K165&amp;L165,_courses_lookup!$E:$E,0)),"")</f>
        <v/>
      </c>
      <c r="AG165" t="str">
        <f t="shared" si="22"/>
        <v/>
      </c>
      <c r="AI165" t="str">
        <f t="shared" si="23"/>
        <v/>
      </c>
      <c r="AL165" t="str">
        <f t="shared" si="24"/>
        <v/>
      </c>
      <c r="AN165" t="str">
        <f t="shared" si="25"/>
        <v/>
      </c>
      <c r="AQ165" t="str">
        <f t="shared" si="26"/>
        <v/>
      </c>
      <c r="AR165" t="str">
        <f t="shared" si="27"/>
        <v/>
      </c>
      <c r="AS165" t="str">
        <f t="shared" si="28"/>
        <v/>
      </c>
      <c r="AT165" t="str">
        <f t="shared" si="29"/>
        <v/>
      </c>
      <c r="BG165" t="str">
        <f t="shared" si="30"/>
        <v/>
      </c>
      <c r="BH165" t="str">
        <f t="shared" si="31"/>
        <v/>
      </c>
      <c r="BL165" t="str">
        <f>IFERROR(INDEX(_names_lookup!$C:$C,MATCH(BK165,_names_lookup!$A:$A,0)),"")</f>
        <v/>
      </c>
      <c r="BM165" t="str">
        <f>IFERROR(INDEX(_names_lookup!$B:$B,MATCH(BK165,_names_lookup!$A:$A,0)),"")</f>
        <v/>
      </c>
      <c r="BS165" t="str">
        <f t="shared" si="32"/>
        <v/>
      </c>
    </row>
    <row r="166" spans="15:71" x14ac:dyDescent="0.2">
      <c r="O166" t="str">
        <f>IFERROR(INDEX(_courses_lookup!$C:$C,MATCH(K166&amp;L166,_courses_lookup!$E:$E,0)),"")</f>
        <v/>
      </c>
      <c r="P166" t="str">
        <f>IFERROR(INDEX(_courses_lookup!$D:$D,MATCH(K166&amp;L166,_courses_lookup!$E:$E,0)),"")</f>
        <v/>
      </c>
      <c r="AG166" t="str">
        <f t="shared" si="22"/>
        <v/>
      </c>
      <c r="AI166" t="str">
        <f t="shared" si="23"/>
        <v/>
      </c>
      <c r="AL166" t="str">
        <f t="shared" si="24"/>
        <v/>
      </c>
      <c r="AN166" t="str">
        <f t="shared" si="25"/>
        <v/>
      </c>
      <c r="AQ166" t="str">
        <f t="shared" si="26"/>
        <v/>
      </c>
      <c r="AR166" t="str">
        <f t="shared" si="27"/>
        <v/>
      </c>
      <c r="AS166" t="str">
        <f t="shared" si="28"/>
        <v/>
      </c>
      <c r="AT166" t="str">
        <f t="shared" si="29"/>
        <v/>
      </c>
      <c r="BG166" t="str">
        <f t="shared" si="30"/>
        <v/>
      </c>
      <c r="BH166" t="str">
        <f t="shared" si="31"/>
        <v/>
      </c>
      <c r="BL166" t="str">
        <f>IFERROR(INDEX(_names_lookup!$C:$C,MATCH(BK166,_names_lookup!$A:$A,0)),"")</f>
        <v/>
      </c>
      <c r="BM166" t="str">
        <f>IFERROR(INDEX(_names_lookup!$B:$B,MATCH(BK166,_names_lookup!$A:$A,0)),"")</f>
        <v/>
      </c>
      <c r="BS166" t="str">
        <f t="shared" si="32"/>
        <v/>
      </c>
    </row>
    <row r="167" spans="15:71" x14ac:dyDescent="0.2">
      <c r="O167" t="str">
        <f>IFERROR(INDEX(_courses_lookup!$C:$C,MATCH(K167&amp;L167,_courses_lookup!$E:$E,0)),"")</f>
        <v/>
      </c>
      <c r="P167" t="str">
        <f>IFERROR(INDEX(_courses_lookup!$D:$D,MATCH(K167&amp;L167,_courses_lookup!$E:$E,0)),"")</f>
        <v/>
      </c>
      <c r="AG167" t="str">
        <f t="shared" si="22"/>
        <v/>
      </c>
      <c r="AI167" t="str">
        <f t="shared" si="23"/>
        <v/>
      </c>
      <c r="AL167" t="str">
        <f t="shared" si="24"/>
        <v/>
      </c>
      <c r="AN167" t="str">
        <f t="shared" si="25"/>
        <v/>
      </c>
      <c r="AQ167" t="str">
        <f t="shared" si="26"/>
        <v/>
      </c>
      <c r="AR167" t="str">
        <f t="shared" si="27"/>
        <v/>
      </c>
      <c r="AS167" t="str">
        <f t="shared" si="28"/>
        <v/>
      </c>
      <c r="AT167" t="str">
        <f t="shared" si="29"/>
        <v/>
      </c>
      <c r="BG167" t="str">
        <f t="shared" si="30"/>
        <v/>
      </c>
      <c r="BH167" t="str">
        <f t="shared" si="31"/>
        <v/>
      </c>
      <c r="BL167" t="str">
        <f>IFERROR(INDEX(_names_lookup!$C:$C,MATCH(BK167,_names_lookup!$A:$A,0)),"")</f>
        <v/>
      </c>
      <c r="BM167" t="str">
        <f>IFERROR(INDEX(_names_lookup!$B:$B,MATCH(BK167,_names_lookup!$A:$A,0)),"")</f>
        <v/>
      </c>
      <c r="BS167" t="str">
        <f t="shared" si="32"/>
        <v/>
      </c>
    </row>
    <row r="168" spans="15:71" x14ac:dyDescent="0.2">
      <c r="O168" t="str">
        <f>IFERROR(INDEX(_courses_lookup!$C:$C,MATCH(K168&amp;L168,_courses_lookup!$E:$E,0)),"")</f>
        <v/>
      </c>
      <c r="P168" t="str">
        <f>IFERROR(INDEX(_courses_lookup!$D:$D,MATCH(K168&amp;L168,_courses_lookup!$E:$E,0)),"")</f>
        <v/>
      </c>
      <c r="AG168" t="str">
        <f t="shared" si="22"/>
        <v/>
      </c>
      <c r="AI168" t="str">
        <f t="shared" si="23"/>
        <v/>
      </c>
      <c r="AL168" t="str">
        <f t="shared" si="24"/>
        <v/>
      </c>
      <c r="AN168" t="str">
        <f t="shared" si="25"/>
        <v/>
      </c>
      <c r="AQ168" t="str">
        <f t="shared" si="26"/>
        <v/>
      </c>
      <c r="AR168" t="str">
        <f t="shared" si="27"/>
        <v/>
      </c>
      <c r="AS168" t="str">
        <f t="shared" si="28"/>
        <v/>
      </c>
      <c r="AT168" t="str">
        <f t="shared" si="29"/>
        <v/>
      </c>
      <c r="BG168" t="str">
        <f t="shared" si="30"/>
        <v/>
      </c>
      <c r="BH168" t="str">
        <f t="shared" si="31"/>
        <v/>
      </c>
      <c r="BL168" t="str">
        <f>IFERROR(INDEX(_names_lookup!$C:$C,MATCH(BK168,_names_lookup!$A:$A,0)),"")</f>
        <v/>
      </c>
      <c r="BM168" t="str">
        <f>IFERROR(INDEX(_names_lookup!$B:$B,MATCH(BK168,_names_lookup!$A:$A,0)),"")</f>
        <v/>
      </c>
      <c r="BS168" t="str">
        <f t="shared" si="32"/>
        <v/>
      </c>
    </row>
    <row r="169" spans="15:71" x14ac:dyDescent="0.2">
      <c r="O169" t="str">
        <f>IFERROR(INDEX(_courses_lookup!$C:$C,MATCH(K169&amp;L169,_courses_lookup!$E:$E,0)),"")</f>
        <v/>
      </c>
      <c r="P169" t="str">
        <f>IFERROR(INDEX(_courses_lookup!$D:$D,MATCH(K169&amp;L169,_courses_lookup!$E:$E,0)),"")</f>
        <v/>
      </c>
      <c r="AG169" t="str">
        <f t="shared" si="22"/>
        <v/>
      </c>
      <c r="AI169" t="str">
        <f t="shared" si="23"/>
        <v/>
      </c>
      <c r="AL169" t="str">
        <f t="shared" si="24"/>
        <v/>
      </c>
      <c r="AN169" t="str">
        <f t="shared" si="25"/>
        <v/>
      </c>
      <c r="AQ169" t="str">
        <f t="shared" si="26"/>
        <v/>
      </c>
      <c r="AR169" t="str">
        <f t="shared" si="27"/>
        <v/>
      </c>
      <c r="AS169" t="str">
        <f t="shared" si="28"/>
        <v/>
      </c>
      <c r="AT169" t="str">
        <f t="shared" si="29"/>
        <v/>
      </c>
      <c r="BG169" t="str">
        <f t="shared" si="30"/>
        <v/>
      </c>
      <c r="BH169" t="str">
        <f t="shared" si="31"/>
        <v/>
      </c>
      <c r="BL169" t="str">
        <f>IFERROR(INDEX(_names_lookup!$C:$C,MATCH(BK169,_names_lookup!$A:$A,0)),"")</f>
        <v/>
      </c>
      <c r="BM169" t="str">
        <f>IFERROR(INDEX(_names_lookup!$B:$B,MATCH(BK169,_names_lookup!$A:$A,0)),"")</f>
        <v/>
      </c>
      <c r="BS169" t="str">
        <f t="shared" si="32"/>
        <v/>
      </c>
    </row>
    <row r="170" spans="15:71" x14ac:dyDescent="0.2">
      <c r="O170" t="str">
        <f>IFERROR(INDEX(_courses_lookup!$C:$C,MATCH(K170&amp;L170,_courses_lookup!$E:$E,0)),"")</f>
        <v/>
      </c>
      <c r="P170" t="str">
        <f>IFERROR(INDEX(_courses_lookup!$D:$D,MATCH(K170&amp;L170,_courses_lookup!$E:$E,0)),"")</f>
        <v/>
      </c>
      <c r="AG170" t="str">
        <f t="shared" si="22"/>
        <v/>
      </c>
      <c r="AI170" t="str">
        <f t="shared" si="23"/>
        <v/>
      </c>
      <c r="AL170" t="str">
        <f t="shared" si="24"/>
        <v/>
      </c>
      <c r="AN170" t="str">
        <f t="shared" si="25"/>
        <v/>
      </c>
      <c r="AQ170" t="str">
        <f t="shared" si="26"/>
        <v/>
      </c>
      <c r="AR170" t="str">
        <f t="shared" si="27"/>
        <v/>
      </c>
      <c r="AS170" t="str">
        <f t="shared" si="28"/>
        <v/>
      </c>
      <c r="AT170" t="str">
        <f t="shared" si="29"/>
        <v/>
      </c>
      <c r="BG170" t="str">
        <f t="shared" si="30"/>
        <v/>
      </c>
      <c r="BH170" t="str">
        <f t="shared" si="31"/>
        <v/>
      </c>
      <c r="BL170" t="str">
        <f>IFERROR(INDEX(_names_lookup!$C:$C,MATCH(BK170,_names_lookup!$A:$A,0)),"")</f>
        <v/>
      </c>
      <c r="BM170" t="str">
        <f>IFERROR(INDEX(_names_lookup!$B:$B,MATCH(BK170,_names_lookup!$A:$A,0)),"")</f>
        <v/>
      </c>
      <c r="BS170" t="str">
        <f t="shared" si="32"/>
        <v/>
      </c>
    </row>
    <row r="171" spans="15:71" x14ac:dyDescent="0.2">
      <c r="O171" t="str">
        <f>IFERROR(INDEX(_courses_lookup!$C:$C,MATCH(K171&amp;L171,_courses_lookup!$E:$E,0)),"")</f>
        <v/>
      </c>
      <c r="P171" t="str">
        <f>IFERROR(INDEX(_courses_lookup!$D:$D,MATCH(K171&amp;L171,_courses_lookup!$E:$E,0)),"")</f>
        <v/>
      </c>
      <c r="AG171" t="str">
        <f t="shared" si="22"/>
        <v/>
      </c>
      <c r="AI171" t="str">
        <f t="shared" si="23"/>
        <v/>
      </c>
      <c r="AL171" t="str">
        <f t="shared" si="24"/>
        <v/>
      </c>
      <c r="AN171" t="str">
        <f t="shared" si="25"/>
        <v/>
      </c>
      <c r="AQ171" t="str">
        <f t="shared" si="26"/>
        <v/>
      </c>
      <c r="AR171" t="str">
        <f t="shared" si="27"/>
        <v/>
      </c>
      <c r="AS171" t="str">
        <f t="shared" si="28"/>
        <v/>
      </c>
      <c r="AT171" t="str">
        <f t="shared" si="29"/>
        <v/>
      </c>
      <c r="BG171" t="str">
        <f t="shared" si="30"/>
        <v/>
      </c>
      <c r="BH171" t="str">
        <f t="shared" si="31"/>
        <v/>
      </c>
      <c r="BL171" t="str">
        <f>IFERROR(INDEX(_names_lookup!$C:$C,MATCH(BK171,_names_lookup!$A:$A,0)),"")</f>
        <v/>
      </c>
      <c r="BM171" t="str">
        <f>IFERROR(INDEX(_names_lookup!$B:$B,MATCH(BK171,_names_lookup!$A:$A,0)),"")</f>
        <v/>
      </c>
      <c r="BS171" t="str">
        <f t="shared" si="32"/>
        <v/>
      </c>
    </row>
    <row r="172" spans="15:71" x14ac:dyDescent="0.2">
      <c r="O172" t="str">
        <f>IFERROR(INDEX(_courses_lookup!$C:$C,MATCH(K172&amp;L172,_courses_lookup!$E:$E,0)),"")</f>
        <v/>
      </c>
      <c r="P172" t="str">
        <f>IFERROR(INDEX(_courses_lookup!$D:$D,MATCH(K172&amp;L172,_courses_lookup!$E:$E,0)),"")</f>
        <v/>
      </c>
      <c r="AG172" t="str">
        <f t="shared" si="22"/>
        <v/>
      </c>
      <c r="AI172" t="str">
        <f t="shared" si="23"/>
        <v/>
      </c>
      <c r="AL172" t="str">
        <f t="shared" si="24"/>
        <v/>
      </c>
      <c r="AN172" t="str">
        <f t="shared" si="25"/>
        <v/>
      </c>
      <c r="AQ172" t="str">
        <f t="shared" si="26"/>
        <v/>
      </c>
      <c r="AR172" t="str">
        <f t="shared" si="27"/>
        <v/>
      </c>
      <c r="AS172" t="str">
        <f t="shared" si="28"/>
        <v/>
      </c>
      <c r="AT172" t="str">
        <f t="shared" si="29"/>
        <v/>
      </c>
      <c r="BG172" t="str">
        <f t="shared" si="30"/>
        <v/>
      </c>
      <c r="BH172" t="str">
        <f t="shared" si="31"/>
        <v/>
      </c>
      <c r="BL172" t="str">
        <f>IFERROR(INDEX(_names_lookup!$C:$C,MATCH(BK172,_names_lookup!$A:$A,0)),"")</f>
        <v/>
      </c>
      <c r="BM172" t="str">
        <f>IFERROR(INDEX(_names_lookup!$B:$B,MATCH(BK172,_names_lookup!$A:$A,0)),"")</f>
        <v/>
      </c>
      <c r="BS172" t="str">
        <f t="shared" si="32"/>
        <v/>
      </c>
    </row>
    <row r="173" spans="15:71" x14ac:dyDescent="0.2">
      <c r="O173" t="str">
        <f>IFERROR(INDEX(_courses_lookup!$C:$C,MATCH(K173&amp;L173,_courses_lookup!$E:$E,0)),"")</f>
        <v/>
      </c>
      <c r="P173" t="str">
        <f>IFERROR(INDEX(_courses_lookup!$D:$D,MATCH(K173&amp;L173,_courses_lookup!$E:$E,0)),"")</f>
        <v/>
      </c>
      <c r="AG173" t="str">
        <f t="shared" si="22"/>
        <v/>
      </c>
      <c r="AI173" t="str">
        <f t="shared" si="23"/>
        <v/>
      </c>
      <c r="AL173" t="str">
        <f t="shared" si="24"/>
        <v/>
      </c>
      <c r="AN173" t="str">
        <f t="shared" si="25"/>
        <v/>
      </c>
      <c r="AQ173" t="str">
        <f t="shared" si="26"/>
        <v/>
      </c>
      <c r="AR173" t="str">
        <f t="shared" si="27"/>
        <v/>
      </c>
      <c r="AS173" t="str">
        <f t="shared" si="28"/>
        <v/>
      </c>
      <c r="AT173" t="str">
        <f t="shared" si="29"/>
        <v/>
      </c>
      <c r="BG173" t="str">
        <f t="shared" si="30"/>
        <v/>
      </c>
      <c r="BH173" t="str">
        <f t="shared" si="31"/>
        <v/>
      </c>
      <c r="BL173" t="str">
        <f>IFERROR(INDEX(_names_lookup!$C:$C,MATCH(BK173,_names_lookup!$A:$A,0)),"")</f>
        <v/>
      </c>
      <c r="BM173" t="str">
        <f>IFERROR(INDEX(_names_lookup!$B:$B,MATCH(BK173,_names_lookup!$A:$A,0)),"")</f>
        <v/>
      </c>
      <c r="BS173" t="str">
        <f t="shared" si="32"/>
        <v/>
      </c>
    </row>
    <row r="174" spans="15:71" x14ac:dyDescent="0.2">
      <c r="O174" t="str">
        <f>IFERROR(INDEX(_courses_lookup!$C:$C,MATCH(K174&amp;L174,_courses_lookup!$E:$E,0)),"")</f>
        <v/>
      </c>
      <c r="P174" t="str">
        <f>IFERROR(INDEX(_courses_lookup!$D:$D,MATCH(K174&amp;L174,_courses_lookup!$E:$E,0)),"")</f>
        <v/>
      </c>
      <c r="AG174" t="str">
        <f t="shared" si="22"/>
        <v/>
      </c>
      <c r="AI174" t="str">
        <f t="shared" si="23"/>
        <v/>
      </c>
      <c r="AL174" t="str">
        <f t="shared" si="24"/>
        <v/>
      </c>
      <c r="AN174" t="str">
        <f t="shared" si="25"/>
        <v/>
      </c>
      <c r="AQ174" t="str">
        <f t="shared" si="26"/>
        <v/>
      </c>
      <c r="AR174" t="str">
        <f t="shared" si="27"/>
        <v/>
      </c>
      <c r="AS174" t="str">
        <f t="shared" si="28"/>
        <v/>
      </c>
      <c r="AT174" t="str">
        <f t="shared" si="29"/>
        <v/>
      </c>
      <c r="BG174" t="str">
        <f t="shared" si="30"/>
        <v/>
      </c>
      <c r="BH174" t="str">
        <f t="shared" si="31"/>
        <v/>
      </c>
      <c r="BL174" t="str">
        <f>IFERROR(INDEX(_names_lookup!$C:$C,MATCH(BK174,_names_lookup!$A:$A,0)),"")</f>
        <v/>
      </c>
      <c r="BM174" t="str">
        <f>IFERROR(INDEX(_names_lookup!$B:$B,MATCH(BK174,_names_lookup!$A:$A,0)),"")</f>
        <v/>
      </c>
      <c r="BS174" t="str">
        <f t="shared" si="32"/>
        <v/>
      </c>
    </row>
    <row r="175" spans="15:71" x14ac:dyDescent="0.2">
      <c r="O175" t="str">
        <f>IFERROR(INDEX(_courses_lookup!$C:$C,MATCH(K175&amp;L175,_courses_lookup!$E:$E,0)),"")</f>
        <v/>
      </c>
      <c r="P175" t="str">
        <f>IFERROR(INDEX(_courses_lookup!$D:$D,MATCH(K175&amp;L175,_courses_lookup!$E:$E,0)),"")</f>
        <v/>
      </c>
      <c r="AG175" t="str">
        <f t="shared" si="22"/>
        <v/>
      </c>
      <c r="AI175" t="str">
        <f t="shared" si="23"/>
        <v/>
      </c>
      <c r="AL175" t="str">
        <f t="shared" si="24"/>
        <v/>
      </c>
      <c r="AN175" t="str">
        <f t="shared" si="25"/>
        <v/>
      </c>
      <c r="AQ175" t="str">
        <f t="shared" si="26"/>
        <v/>
      </c>
      <c r="AR175" t="str">
        <f t="shared" si="27"/>
        <v/>
      </c>
      <c r="AS175" t="str">
        <f t="shared" si="28"/>
        <v/>
      </c>
      <c r="AT175" t="str">
        <f t="shared" si="29"/>
        <v/>
      </c>
      <c r="BG175" t="str">
        <f t="shared" si="30"/>
        <v/>
      </c>
      <c r="BH175" t="str">
        <f t="shared" si="31"/>
        <v/>
      </c>
      <c r="BL175" t="str">
        <f>IFERROR(INDEX(_names_lookup!$C:$C,MATCH(BK175,_names_lookup!$A:$A,0)),"")</f>
        <v/>
      </c>
      <c r="BM175" t="str">
        <f>IFERROR(INDEX(_names_lookup!$B:$B,MATCH(BK175,_names_lookup!$A:$A,0)),"")</f>
        <v/>
      </c>
      <c r="BS175" t="str">
        <f t="shared" si="32"/>
        <v/>
      </c>
    </row>
    <row r="176" spans="15:71" x14ac:dyDescent="0.2">
      <c r="O176" t="str">
        <f>IFERROR(INDEX(_courses_lookup!$C:$C,MATCH(K176&amp;L176,_courses_lookup!$E:$E,0)),"")</f>
        <v/>
      </c>
      <c r="P176" t="str">
        <f>IFERROR(INDEX(_courses_lookup!$D:$D,MATCH(K176&amp;L176,_courses_lookup!$E:$E,0)),"")</f>
        <v/>
      </c>
      <c r="AG176" t="str">
        <f t="shared" si="22"/>
        <v/>
      </c>
      <c r="AI176" t="str">
        <f t="shared" si="23"/>
        <v/>
      </c>
      <c r="AL176" t="str">
        <f t="shared" si="24"/>
        <v/>
      </c>
      <c r="AN176" t="str">
        <f t="shared" si="25"/>
        <v/>
      </c>
      <c r="AQ176" t="str">
        <f t="shared" si="26"/>
        <v/>
      </c>
      <c r="AR176" t="str">
        <f t="shared" si="27"/>
        <v/>
      </c>
      <c r="AS176" t="str">
        <f t="shared" si="28"/>
        <v/>
      </c>
      <c r="AT176" t="str">
        <f t="shared" si="29"/>
        <v/>
      </c>
      <c r="BG176" t="str">
        <f t="shared" si="30"/>
        <v/>
      </c>
      <c r="BH176" t="str">
        <f t="shared" si="31"/>
        <v/>
      </c>
      <c r="BL176" t="str">
        <f>IFERROR(INDEX(_names_lookup!$C:$C,MATCH(BK176,_names_lookup!$A:$A,0)),"")</f>
        <v/>
      </c>
      <c r="BM176" t="str">
        <f>IFERROR(INDEX(_names_lookup!$B:$B,MATCH(BK176,_names_lookup!$A:$A,0)),"")</f>
        <v/>
      </c>
      <c r="BS176" t="str">
        <f t="shared" si="32"/>
        <v/>
      </c>
    </row>
    <row r="177" spans="15:71" x14ac:dyDescent="0.2">
      <c r="O177" t="str">
        <f>IFERROR(INDEX(_courses_lookup!$C:$C,MATCH(K177&amp;L177,_courses_lookup!$E:$E,0)),"")</f>
        <v/>
      </c>
      <c r="P177" t="str">
        <f>IFERROR(INDEX(_courses_lookup!$D:$D,MATCH(K177&amp;L177,_courses_lookup!$E:$E,0)),"")</f>
        <v/>
      </c>
      <c r="AG177" t="str">
        <f t="shared" si="22"/>
        <v/>
      </c>
      <c r="AI177" t="str">
        <f t="shared" si="23"/>
        <v/>
      </c>
      <c r="AL177" t="str">
        <f t="shared" si="24"/>
        <v/>
      </c>
      <c r="AN177" t="str">
        <f t="shared" si="25"/>
        <v/>
      </c>
      <c r="AQ177" t="str">
        <f t="shared" si="26"/>
        <v/>
      </c>
      <c r="AR177" t="str">
        <f t="shared" si="27"/>
        <v/>
      </c>
      <c r="AS177" t="str">
        <f t="shared" si="28"/>
        <v/>
      </c>
      <c r="AT177" t="str">
        <f t="shared" si="29"/>
        <v/>
      </c>
      <c r="BG177" t="str">
        <f t="shared" si="30"/>
        <v/>
      </c>
      <c r="BH177" t="str">
        <f t="shared" si="31"/>
        <v/>
      </c>
      <c r="BL177" t="str">
        <f>IFERROR(INDEX(_names_lookup!$C:$C,MATCH(BK177,_names_lookup!$A:$A,0)),"")</f>
        <v/>
      </c>
      <c r="BM177" t="str">
        <f>IFERROR(INDEX(_names_lookup!$B:$B,MATCH(BK177,_names_lookup!$A:$A,0)),"")</f>
        <v/>
      </c>
      <c r="BS177" t="str">
        <f t="shared" si="32"/>
        <v/>
      </c>
    </row>
    <row r="178" spans="15:71" x14ac:dyDescent="0.2">
      <c r="O178" t="str">
        <f>IFERROR(INDEX(_courses_lookup!$C:$C,MATCH(K178&amp;L178,_courses_lookup!$E:$E,0)),"")</f>
        <v/>
      </c>
      <c r="P178" t="str">
        <f>IFERROR(INDEX(_courses_lookup!$D:$D,MATCH(K178&amp;L178,_courses_lookup!$E:$E,0)),"")</f>
        <v/>
      </c>
      <c r="AG178" t="str">
        <f t="shared" si="22"/>
        <v/>
      </c>
      <c r="AI178" t="str">
        <f t="shared" si="23"/>
        <v/>
      </c>
      <c r="AL178" t="str">
        <f t="shared" si="24"/>
        <v/>
      </c>
      <c r="AN178" t="str">
        <f t="shared" si="25"/>
        <v/>
      </c>
      <c r="AQ178" t="str">
        <f t="shared" si="26"/>
        <v/>
      </c>
      <c r="AR178" t="str">
        <f t="shared" si="27"/>
        <v/>
      </c>
      <c r="AS178" t="str">
        <f t="shared" si="28"/>
        <v/>
      </c>
      <c r="AT178" t="str">
        <f t="shared" si="29"/>
        <v/>
      </c>
      <c r="BG178" t="str">
        <f t="shared" si="30"/>
        <v/>
      </c>
      <c r="BH178" t="str">
        <f t="shared" si="31"/>
        <v/>
      </c>
      <c r="BL178" t="str">
        <f>IFERROR(INDEX(_names_lookup!$C:$C,MATCH(BK178,_names_lookup!$A:$A,0)),"")</f>
        <v/>
      </c>
      <c r="BM178" t="str">
        <f>IFERROR(INDEX(_names_lookup!$B:$B,MATCH(BK178,_names_lookup!$A:$A,0)),"")</f>
        <v/>
      </c>
      <c r="BS178" t="str">
        <f t="shared" si="32"/>
        <v/>
      </c>
    </row>
    <row r="179" spans="15:71" x14ac:dyDescent="0.2">
      <c r="O179" t="str">
        <f>IFERROR(INDEX(_courses_lookup!$C:$C,MATCH(K179&amp;L179,_courses_lookup!$E:$E,0)),"")</f>
        <v/>
      </c>
      <c r="P179" t="str">
        <f>IFERROR(INDEX(_courses_lookup!$D:$D,MATCH(K179&amp;L179,_courses_lookup!$E:$E,0)),"")</f>
        <v/>
      </c>
      <c r="AG179" t="str">
        <f t="shared" si="22"/>
        <v/>
      </c>
      <c r="AI179" t="str">
        <f t="shared" si="23"/>
        <v/>
      </c>
      <c r="AL179" t="str">
        <f t="shared" si="24"/>
        <v/>
      </c>
      <c r="AN179" t="str">
        <f t="shared" si="25"/>
        <v/>
      </c>
      <c r="AQ179" t="str">
        <f t="shared" si="26"/>
        <v/>
      </c>
      <c r="AR179" t="str">
        <f t="shared" si="27"/>
        <v/>
      </c>
      <c r="AS179" t="str">
        <f t="shared" si="28"/>
        <v/>
      </c>
      <c r="AT179" t="str">
        <f t="shared" si="29"/>
        <v/>
      </c>
      <c r="BG179" t="str">
        <f t="shared" si="30"/>
        <v/>
      </c>
      <c r="BH179" t="str">
        <f t="shared" si="31"/>
        <v/>
      </c>
      <c r="BL179" t="str">
        <f>IFERROR(INDEX(_names_lookup!$C:$C,MATCH(BK179,_names_lookup!$A:$A,0)),"")</f>
        <v/>
      </c>
      <c r="BM179" t="str">
        <f>IFERROR(INDEX(_names_lookup!$B:$B,MATCH(BK179,_names_lookup!$A:$A,0)),"")</f>
        <v/>
      </c>
      <c r="BS179" t="str">
        <f t="shared" si="32"/>
        <v/>
      </c>
    </row>
    <row r="180" spans="15:71" x14ac:dyDescent="0.2">
      <c r="O180" t="str">
        <f>IFERROR(INDEX(_courses_lookup!$C:$C,MATCH(K180&amp;L180,_courses_lookup!$E:$E,0)),"")</f>
        <v/>
      </c>
      <c r="P180" t="str">
        <f>IFERROR(INDEX(_courses_lookup!$D:$D,MATCH(K180&amp;L180,_courses_lookup!$E:$E,0)),"")</f>
        <v/>
      </c>
      <c r="AG180" t="str">
        <f t="shared" si="22"/>
        <v/>
      </c>
      <c r="AI180" t="str">
        <f t="shared" si="23"/>
        <v/>
      </c>
      <c r="AL180" t="str">
        <f t="shared" si="24"/>
        <v/>
      </c>
      <c r="AN180" t="str">
        <f t="shared" si="25"/>
        <v/>
      </c>
      <c r="AQ180" t="str">
        <f t="shared" si="26"/>
        <v/>
      </c>
      <c r="AR180" t="str">
        <f t="shared" si="27"/>
        <v/>
      </c>
      <c r="AS180" t="str">
        <f t="shared" si="28"/>
        <v/>
      </c>
      <c r="AT180" t="str">
        <f t="shared" si="29"/>
        <v/>
      </c>
      <c r="BG180" t="str">
        <f t="shared" si="30"/>
        <v/>
      </c>
      <c r="BH180" t="str">
        <f t="shared" si="31"/>
        <v/>
      </c>
      <c r="BL180" t="str">
        <f>IFERROR(INDEX(_names_lookup!$C:$C,MATCH(BK180,_names_lookup!$A:$A,0)),"")</f>
        <v/>
      </c>
      <c r="BM180" t="str">
        <f>IFERROR(INDEX(_names_lookup!$B:$B,MATCH(BK180,_names_lookup!$A:$A,0)),"")</f>
        <v/>
      </c>
      <c r="BS180" t="str">
        <f t="shared" si="32"/>
        <v/>
      </c>
    </row>
    <row r="181" spans="15:71" x14ac:dyDescent="0.2">
      <c r="O181" t="str">
        <f>IFERROR(INDEX(_courses_lookup!$C:$C,MATCH(K181&amp;L181,_courses_lookup!$E:$E,0)),"")</f>
        <v/>
      </c>
      <c r="P181" t="str">
        <f>IFERROR(INDEX(_courses_lookup!$D:$D,MATCH(K181&amp;L181,_courses_lookup!$E:$E,0)),"")</f>
        <v/>
      </c>
      <c r="AG181" t="str">
        <f t="shared" si="22"/>
        <v/>
      </c>
      <c r="AI181" t="str">
        <f t="shared" si="23"/>
        <v/>
      </c>
      <c r="AL181" t="str">
        <f t="shared" si="24"/>
        <v/>
      </c>
      <c r="AN181" t="str">
        <f t="shared" si="25"/>
        <v/>
      </c>
      <c r="AQ181" t="str">
        <f t="shared" si="26"/>
        <v/>
      </c>
      <c r="AR181" t="str">
        <f t="shared" si="27"/>
        <v/>
      </c>
      <c r="AS181" t="str">
        <f t="shared" si="28"/>
        <v/>
      </c>
      <c r="AT181" t="str">
        <f t="shared" si="29"/>
        <v/>
      </c>
      <c r="BG181" t="str">
        <f t="shared" si="30"/>
        <v/>
      </c>
      <c r="BH181" t="str">
        <f t="shared" si="31"/>
        <v/>
      </c>
      <c r="BL181" t="str">
        <f>IFERROR(INDEX(_names_lookup!$C:$C,MATCH(BK181,_names_lookup!$A:$A,0)),"")</f>
        <v/>
      </c>
      <c r="BM181" t="str">
        <f>IFERROR(INDEX(_names_lookup!$B:$B,MATCH(BK181,_names_lookup!$A:$A,0)),"")</f>
        <v/>
      </c>
      <c r="BS181" t="str">
        <f t="shared" si="32"/>
        <v/>
      </c>
    </row>
    <row r="182" spans="15:71" x14ac:dyDescent="0.2">
      <c r="O182" t="str">
        <f>IFERROR(INDEX(_courses_lookup!$C:$C,MATCH(K182&amp;L182,_courses_lookup!$E:$E,0)),"")</f>
        <v/>
      </c>
      <c r="P182" t="str">
        <f>IFERROR(INDEX(_courses_lookup!$D:$D,MATCH(K182&amp;L182,_courses_lookup!$E:$E,0)),"")</f>
        <v/>
      </c>
      <c r="AG182" t="str">
        <f t="shared" si="22"/>
        <v/>
      </c>
      <c r="AI182" t="str">
        <f t="shared" si="23"/>
        <v/>
      </c>
      <c r="AL182" t="str">
        <f t="shared" si="24"/>
        <v/>
      </c>
      <c r="AN182" t="str">
        <f t="shared" si="25"/>
        <v/>
      </c>
      <c r="AQ182" t="str">
        <f t="shared" si="26"/>
        <v/>
      </c>
      <c r="AR182" t="str">
        <f t="shared" si="27"/>
        <v/>
      </c>
      <c r="AS182" t="str">
        <f t="shared" si="28"/>
        <v/>
      </c>
      <c r="AT182" t="str">
        <f t="shared" si="29"/>
        <v/>
      </c>
      <c r="BG182" t="str">
        <f t="shared" si="30"/>
        <v/>
      </c>
      <c r="BH182" t="str">
        <f t="shared" si="31"/>
        <v/>
      </c>
      <c r="BL182" t="str">
        <f>IFERROR(INDEX(_names_lookup!$C:$C,MATCH(BK182,_names_lookup!$A:$A,0)),"")</f>
        <v/>
      </c>
      <c r="BM182" t="str">
        <f>IFERROR(INDEX(_names_lookup!$B:$B,MATCH(BK182,_names_lookup!$A:$A,0)),"")</f>
        <v/>
      </c>
      <c r="BS182" t="str">
        <f t="shared" si="32"/>
        <v/>
      </c>
    </row>
    <row r="183" spans="15:71" x14ac:dyDescent="0.2">
      <c r="O183" t="str">
        <f>IFERROR(INDEX(_courses_lookup!$C:$C,MATCH(K183&amp;L183,_courses_lookup!$E:$E,0)),"")</f>
        <v/>
      </c>
      <c r="P183" t="str">
        <f>IFERROR(INDEX(_courses_lookup!$D:$D,MATCH(K183&amp;L183,_courses_lookup!$E:$E,0)),"")</f>
        <v/>
      </c>
      <c r="AG183" t="str">
        <f t="shared" si="22"/>
        <v/>
      </c>
      <c r="AI183" t="str">
        <f t="shared" si="23"/>
        <v/>
      </c>
      <c r="AL183" t="str">
        <f t="shared" si="24"/>
        <v/>
      </c>
      <c r="AN183" t="str">
        <f t="shared" si="25"/>
        <v/>
      </c>
      <c r="AQ183" t="str">
        <f t="shared" si="26"/>
        <v/>
      </c>
      <c r="AR183" t="str">
        <f t="shared" si="27"/>
        <v/>
      </c>
      <c r="AS183" t="str">
        <f t="shared" si="28"/>
        <v/>
      </c>
      <c r="AT183" t="str">
        <f t="shared" si="29"/>
        <v/>
      </c>
      <c r="BG183" t="str">
        <f t="shared" si="30"/>
        <v/>
      </c>
      <c r="BH183" t="str">
        <f t="shared" si="31"/>
        <v/>
      </c>
      <c r="BL183" t="str">
        <f>IFERROR(INDEX(_names_lookup!$C:$C,MATCH(BK183,_names_lookup!$A:$A,0)),"")</f>
        <v/>
      </c>
      <c r="BM183" t="str">
        <f>IFERROR(INDEX(_names_lookup!$B:$B,MATCH(BK183,_names_lookup!$A:$A,0)),"")</f>
        <v/>
      </c>
      <c r="BS183" t="str">
        <f t="shared" si="32"/>
        <v/>
      </c>
    </row>
    <row r="184" spans="15:71" x14ac:dyDescent="0.2">
      <c r="O184" t="str">
        <f>IFERROR(INDEX(_courses_lookup!$C:$C,MATCH(K184&amp;L184,_courses_lookup!$E:$E,0)),"")</f>
        <v/>
      </c>
      <c r="P184" t="str">
        <f>IFERROR(INDEX(_courses_lookup!$D:$D,MATCH(K184&amp;L184,_courses_lookup!$E:$E,0)),"")</f>
        <v/>
      </c>
      <c r="AG184" t="str">
        <f t="shared" si="22"/>
        <v/>
      </c>
      <c r="AI184" t="str">
        <f t="shared" si="23"/>
        <v/>
      </c>
      <c r="AL184" t="str">
        <f t="shared" si="24"/>
        <v/>
      </c>
      <c r="AN184" t="str">
        <f t="shared" si="25"/>
        <v/>
      </c>
      <c r="AQ184" t="str">
        <f t="shared" si="26"/>
        <v/>
      </c>
      <c r="AR184" t="str">
        <f t="shared" si="27"/>
        <v/>
      </c>
      <c r="AS184" t="str">
        <f t="shared" si="28"/>
        <v/>
      </c>
      <c r="AT184" t="str">
        <f t="shared" si="29"/>
        <v/>
      </c>
      <c r="BG184" t="str">
        <f t="shared" si="30"/>
        <v/>
      </c>
      <c r="BH184" t="str">
        <f t="shared" si="31"/>
        <v/>
      </c>
      <c r="BL184" t="str">
        <f>IFERROR(INDEX(_names_lookup!$C:$C,MATCH(BK184,_names_lookup!$A:$A,0)),"")</f>
        <v/>
      </c>
      <c r="BM184" t="str">
        <f>IFERROR(INDEX(_names_lookup!$B:$B,MATCH(BK184,_names_lookup!$A:$A,0)),"")</f>
        <v/>
      </c>
      <c r="BS184" t="str">
        <f t="shared" si="32"/>
        <v/>
      </c>
    </row>
    <row r="185" spans="15:71" x14ac:dyDescent="0.2">
      <c r="O185" t="str">
        <f>IFERROR(INDEX(_courses_lookup!$C:$C,MATCH(K185&amp;L185,_courses_lookup!$E:$E,0)),"")</f>
        <v/>
      </c>
      <c r="P185" t="str">
        <f>IFERROR(INDEX(_courses_lookup!$D:$D,MATCH(K185&amp;L185,_courses_lookup!$E:$E,0)),"")</f>
        <v/>
      </c>
      <c r="AG185" t="str">
        <f t="shared" si="22"/>
        <v/>
      </c>
      <c r="AI185" t="str">
        <f t="shared" si="23"/>
        <v/>
      </c>
      <c r="AL185" t="str">
        <f t="shared" si="24"/>
        <v/>
      </c>
      <c r="AN185" t="str">
        <f t="shared" si="25"/>
        <v/>
      </c>
      <c r="AQ185" t="str">
        <f t="shared" si="26"/>
        <v/>
      </c>
      <c r="AR185" t="str">
        <f t="shared" si="27"/>
        <v/>
      </c>
      <c r="AS185" t="str">
        <f t="shared" si="28"/>
        <v/>
      </c>
      <c r="AT185" t="str">
        <f t="shared" si="29"/>
        <v/>
      </c>
      <c r="BG185" t="str">
        <f t="shared" si="30"/>
        <v/>
      </c>
      <c r="BH185" t="str">
        <f t="shared" si="31"/>
        <v/>
      </c>
      <c r="BL185" t="str">
        <f>IFERROR(INDEX(_names_lookup!$C:$C,MATCH(BK185,_names_lookup!$A:$A,0)),"")</f>
        <v/>
      </c>
      <c r="BM185" t="str">
        <f>IFERROR(INDEX(_names_lookup!$B:$B,MATCH(BK185,_names_lookup!$A:$A,0)),"")</f>
        <v/>
      </c>
      <c r="BS185" t="str">
        <f t="shared" si="32"/>
        <v/>
      </c>
    </row>
    <row r="186" spans="15:71" x14ac:dyDescent="0.2">
      <c r="O186" t="str">
        <f>IFERROR(INDEX(_courses_lookup!$C:$C,MATCH(K186&amp;L186,_courses_lookup!$E:$E,0)),"")</f>
        <v/>
      </c>
      <c r="P186" t="str">
        <f>IFERROR(INDEX(_courses_lookup!$D:$D,MATCH(K186&amp;L186,_courses_lookup!$E:$E,0)),"")</f>
        <v/>
      </c>
      <c r="AG186" t="str">
        <f t="shared" si="22"/>
        <v/>
      </c>
      <c r="AI186" t="str">
        <f t="shared" si="23"/>
        <v/>
      </c>
      <c r="AL186" t="str">
        <f t="shared" si="24"/>
        <v/>
      </c>
      <c r="AN186" t="str">
        <f t="shared" si="25"/>
        <v/>
      </c>
      <c r="AQ186" t="str">
        <f t="shared" si="26"/>
        <v/>
      </c>
      <c r="AR186" t="str">
        <f t="shared" si="27"/>
        <v/>
      </c>
      <c r="AS186" t="str">
        <f t="shared" si="28"/>
        <v/>
      </c>
      <c r="AT186" t="str">
        <f t="shared" si="29"/>
        <v/>
      </c>
      <c r="BG186" t="str">
        <f t="shared" si="30"/>
        <v/>
      </c>
      <c r="BH186" t="str">
        <f t="shared" si="31"/>
        <v/>
      </c>
      <c r="BL186" t="str">
        <f>IFERROR(INDEX(_names_lookup!$C:$C,MATCH(BK186,_names_lookup!$A:$A,0)),"")</f>
        <v/>
      </c>
      <c r="BM186" t="str">
        <f>IFERROR(INDEX(_names_lookup!$B:$B,MATCH(BK186,_names_lookup!$A:$A,0)),"")</f>
        <v/>
      </c>
      <c r="BS186" t="str">
        <f t="shared" si="32"/>
        <v/>
      </c>
    </row>
    <row r="187" spans="15:71" x14ac:dyDescent="0.2">
      <c r="O187" t="str">
        <f>IFERROR(INDEX(_courses_lookup!$C:$C,MATCH(K187&amp;L187,_courses_lookup!$E:$E,0)),"")</f>
        <v/>
      </c>
      <c r="P187" t="str">
        <f>IFERROR(INDEX(_courses_lookup!$D:$D,MATCH(K187&amp;L187,_courses_lookup!$E:$E,0)),"")</f>
        <v/>
      </c>
      <c r="AG187" t="str">
        <f t="shared" si="22"/>
        <v/>
      </c>
      <c r="AI187" t="str">
        <f t="shared" si="23"/>
        <v/>
      </c>
      <c r="AL187" t="str">
        <f t="shared" si="24"/>
        <v/>
      </c>
      <c r="AN187" t="str">
        <f t="shared" si="25"/>
        <v/>
      </c>
      <c r="AQ187" t="str">
        <f t="shared" si="26"/>
        <v/>
      </c>
      <c r="AR187" t="str">
        <f t="shared" si="27"/>
        <v/>
      </c>
      <c r="AS187" t="str">
        <f t="shared" si="28"/>
        <v/>
      </c>
      <c r="AT187" t="str">
        <f t="shared" si="29"/>
        <v/>
      </c>
      <c r="BG187" t="str">
        <f t="shared" si="30"/>
        <v/>
      </c>
      <c r="BH187" t="str">
        <f t="shared" si="31"/>
        <v/>
      </c>
      <c r="BL187" t="str">
        <f>IFERROR(INDEX(_names_lookup!$C:$C,MATCH(BK187,_names_lookup!$A:$A,0)),"")</f>
        <v/>
      </c>
      <c r="BM187" t="str">
        <f>IFERROR(INDEX(_names_lookup!$B:$B,MATCH(BK187,_names_lookup!$A:$A,0)),"")</f>
        <v/>
      </c>
      <c r="BS187" t="str">
        <f t="shared" si="32"/>
        <v/>
      </c>
    </row>
    <row r="188" spans="15:71" x14ac:dyDescent="0.2">
      <c r="O188" t="str">
        <f>IFERROR(INDEX(_courses_lookup!$C:$C,MATCH(K188&amp;L188,_courses_lookup!$E:$E,0)),"")</f>
        <v/>
      </c>
      <c r="P188" t="str">
        <f>IFERROR(INDEX(_courses_lookup!$D:$D,MATCH(K188&amp;L188,_courses_lookup!$E:$E,0)),"")</f>
        <v/>
      </c>
      <c r="AG188" t="str">
        <f t="shared" si="22"/>
        <v/>
      </c>
      <c r="AI188" t="str">
        <f t="shared" si="23"/>
        <v/>
      </c>
      <c r="AL188" t="str">
        <f t="shared" si="24"/>
        <v/>
      </c>
      <c r="AN188" t="str">
        <f t="shared" si="25"/>
        <v/>
      </c>
      <c r="AQ188" t="str">
        <f t="shared" si="26"/>
        <v/>
      </c>
      <c r="AR188" t="str">
        <f t="shared" si="27"/>
        <v/>
      </c>
      <c r="AS188" t="str">
        <f t="shared" si="28"/>
        <v/>
      </c>
      <c r="AT188" t="str">
        <f t="shared" si="29"/>
        <v/>
      </c>
      <c r="BG188" t="str">
        <f t="shared" si="30"/>
        <v/>
      </c>
      <c r="BH188" t="str">
        <f t="shared" si="31"/>
        <v/>
      </c>
      <c r="BL188" t="str">
        <f>IFERROR(INDEX(_names_lookup!$C:$C,MATCH(BK188,_names_lookup!$A:$A,0)),"")</f>
        <v/>
      </c>
      <c r="BM188" t="str">
        <f>IFERROR(INDEX(_names_lookup!$B:$B,MATCH(BK188,_names_lookup!$A:$A,0)),"")</f>
        <v/>
      </c>
      <c r="BS188" t="str">
        <f t="shared" si="32"/>
        <v/>
      </c>
    </row>
    <row r="189" spans="15:71" x14ac:dyDescent="0.2">
      <c r="O189" t="str">
        <f>IFERROR(INDEX(_courses_lookup!$C:$C,MATCH(K189&amp;L189,_courses_lookup!$E:$E,0)),"")</f>
        <v/>
      </c>
      <c r="P189" t="str">
        <f>IFERROR(INDEX(_courses_lookup!$D:$D,MATCH(K189&amp;L189,_courses_lookup!$E:$E,0)),"")</f>
        <v/>
      </c>
      <c r="AG189" t="str">
        <f t="shared" si="22"/>
        <v/>
      </c>
      <c r="AI189" t="str">
        <f t="shared" si="23"/>
        <v/>
      </c>
      <c r="AL189" t="str">
        <f t="shared" si="24"/>
        <v/>
      </c>
      <c r="AN189" t="str">
        <f t="shared" si="25"/>
        <v/>
      </c>
      <c r="AQ189" t="str">
        <f t="shared" si="26"/>
        <v/>
      </c>
      <c r="AR189" t="str">
        <f t="shared" si="27"/>
        <v/>
      </c>
      <c r="AS189" t="str">
        <f t="shared" si="28"/>
        <v/>
      </c>
      <c r="AT189" t="str">
        <f t="shared" si="29"/>
        <v/>
      </c>
      <c r="BG189" t="str">
        <f t="shared" si="30"/>
        <v/>
      </c>
      <c r="BH189" t="str">
        <f t="shared" si="31"/>
        <v/>
      </c>
      <c r="BL189" t="str">
        <f>IFERROR(INDEX(_names_lookup!$C:$C,MATCH(BK189,_names_lookup!$A:$A,0)),"")</f>
        <v/>
      </c>
      <c r="BM189" t="str">
        <f>IFERROR(INDEX(_names_lookup!$B:$B,MATCH(BK189,_names_lookup!$A:$A,0)),"")</f>
        <v/>
      </c>
      <c r="BS189" t="str">
        <f t="shared" si="32"/>
        <v/>
      </c>
    </row>
    <row r="190" spans="15:71" x14ac:dyDescent="0.2">
      <c r="O190" t="str">
        <f>IFERROR(INDEX(_courses_lookup!$C:$C,MATCH(K190&amp;L190,_courses_lookup!$E:$E,0)),"")</f>
        <v/>
      </c>
      <c r="P190" t="str">
        <f>IFERROR(INDEX(_courses_lookup!$D:$D,MATCH(K190&amp;L190,_courses_lookup!$E:$E,0)),"")</f>
        <v/>
      </c>
      <c r="AG190" t="str">
        <f t="shared" si="22"/>
        <v/>
      </c>
      <c r="AI190" t="str">
        <f t="shared" si="23"/>
        <v/>
      </c>
      <c r="AL190" t="str">
        <f t="shared" si="24"/>
        <v/>
      </c>
      <c r="AN190" t="str">
        <f t="shared" si="25"/>
        <v/>
      </c>
      <c r="AQ190" t="str">
        <f t="shared" si="26"/>
        <v/>
      </c>
      <c r="AR190" t="str">
        <f t="shared" si="27"/>
        <v/>
      </c>
      <c r="AS190" t="str">
        <f t="shared" si="28"/>
        <v/>
      </c>
      <c r="AT190" t="str">
        <f t="shared" si="29"/>
        <v/>
      </c>
      <c r="BG190" t="str">
        <f t="shared" si="30"/>
        <v/>
      </c>
      <c r="BH190" t="str">
        <f t="shared" si="31"/>
        <v/>
      </c>
      <c r="BL190" t="str">
        <f>IFERROR(INDEX(_names_lookup!$C:$C,MATCH(BK190,_names_lookup!$A:$A,0)),"")</f>
        <v/>
      </c>
      <c r="BM190" t="str">
        <f>IFERROR(INDEX(_names_lookup!$B:$B,MATCH(BK190,_names_lookup!$A:$A,0)),"")</f>
        <v/>
      </c>
      <c r="BS190" t="str">
        <f t="shared" si="32"/>
        <v/>
      </c>
    </row>
    <row r="191" spans="15:71" x14ac:dyDescent="0.2">
      <c r="O191" t="str">
        <f>IFERROR(INDEX(_courses_lookup!$C:$C,MATCH(K191&amp;L191,_courses_lookup!$E:$E,0)),"")</f>
        <v/>
      </c>
      <c r="P191" t="str">
        <f>IFERROR(INDEX(_courses_lookup!$D:$D,MATCH(K191&amp;L191,_courses_lookup!$E:$E,0)),"")</f>
        <v/>
      </c>
      <c r="AG191" t="str">
        <f t="shared" si="22"/>
        <v/>
      </c>
      <c r="AI191" t="str">
        <f t="shared" si="23"/>
        <v/>
      </c>
      <c r="AL191" t="str">
        <f t="shared" si="24"/>
        <v/>
      </c>
      <c r="AN191" t="str">
        <f t="shared" si="25"/>
        <v/>
      </c>
      <c r="AQ191" t="str">
        <f t="shared" si="26"/>
        <v/>
      </c>
      <c r="AR191" t="str">
        <f t="shared" si="27"/>
        <v/>
      </c>
      <c r="AS191" t="str">
        <f t="shared" si="28"/>
        <v/>
      </c>
      <c r="AT191" t="str">
        <f t="shared" si="29"/>
        <v/>
      </c>
      <c r="BG191" t="str">
        <f t="shared" si="30"/>
        <v/>
      </c>
      <c r="BH191" t="str">
        <f t="shared" si="31"/>
        <v/>
      </c>
      <c r="BL191" t="str">
        <f>IFERROR(INDEX(_names_lookup!$C:$C,MATCH(BK191,_names_lookup!$A:$A,0)),"")</f>
        <v/>
      </c>
      <c r="BM191" t="str">
        <f>IFERROR(INDEX(_names_lookup!$B:$B,MATCH(BK191,_names_lookup!$A:$A,0)),"")</f>
        <v/>
      </c>
      <c r="BS191" t="str">
        <f t="shared" si="32"/>
        <v/>
      </c>
    </row>
    <row r="192" spans="15:71" x14ac:dyDescent="0.2">
      <c r="O192" t="str">
        <f>IFERROR(INDEX(_courses_lookup!$C:$C,MATCH(K192&amp;L192,_courses_lookup!$E:$E,0)),"")</f>
        <v/>
      </c>
      <c r="P192" t="str">
        <f>IFERROR(INDEX(_courses_lookup!$D:$D,MATCH(K192&amp;L192,_courses_lookup!$E:$E,0)),"")</f>
        <v/>
      </c>
      <c r="AG192" t="str">
        <f t="shared" si="22"/>
        <v/>
      </c>
      <c r="AI192" t="str">
        <f t="shared" si="23"/>
        <v/>
      </c>
      <c r="AL192" t="str">
        <f t="shared" si="24"/>
        <v/>
      </c>
      <c r="AN192" t="str">
        <f t="shared" si="25"/>
        <v/>
      </c>
      <c r="AQ192" t="str">
        <f t="shared" si="26"/>
        <v/>
      </c>
      <c r="AR192" t="str">
        <f t="shared" si="27"/>
        <v/>
      </c>
      <c r="AS192" t="str">
        <f t="shared" si="28"/>
        <v/>
      </c>
      <c r="AT192" t="str">
        <f t="shared" si="29"/>
        <v/>
      </c>
      <c r="BG192" t="str">
        <f t="shared" si="30"/>
        <v/>
      </c>
      <c r="BH192" t="str">
        <f t="shared" si="31"/>
        <v/>
      </c>
      <c r="BL192" t="str">
        <f>IFERROR(INDEX(_names_lookup!$C:$C,MATCH(BK192,_names_lookup!$A:$A,0)),"")</f>
        <v/>
      </c>
      <c r="BM192" t="str">
        <f>IFERROR(INDEX(_names_lookup!$B:$B,MATCH(BK192,_names_lookup!$A:$A,0)),"")</f>
        <v/>
      </c>
      <c r="BS192" t="str">
        <f t="shared" si="32"/>
        <v/>
      </c>
    </row>
    <row r="193" spans="15:71" x14ac:dyDescent="0.2">
      <c r="O193" t="str">
        <f>IFERROR(INDEX(_courses_lookup!$C:$C,MATCH(K193&amp;L193,_courses_lookup!$E:$E,0)),"")</f>
        <v/>
      </c>
      <c r="P193" t="str">
        <f>IFERROR(INDEX(_courses_lookup!$D:$D,MATCH(K193&amp;L193,_courses_lookup!$E:$E,0)),"")</f>
        <v/>
      </c>
      <c r="AG193" t="str">
        <f t="shared" si="22"/>
        <v/>
      </c>
      <c r="AI193" t="str">
        <f t="shared" si="23"/>
        <v/>
      </c>
      <c r="AL193" t="str">
        <f t="shared" si="24"/>
        <v/>
      </c>
      <c r="AN193" t="str">
        <f t="shared" si="25"/>
        <v/>
      </c>
      <c r="AQ193" t="str">
        <f t="shared" si="26"/>
        <v/>
      </c>
      <c r="AR193" t="str">
        <f t="shared" si="27"/>
        <v/>
      </c>
      <c r="AS193" t="str">
        <f t="shared" si="28"/>
        <v/>
      </c>
      <c r="AT193" t="str">
        <f t="shared" si="29"/>
        <v/>
      </c>
      <c r="BG193" t="str">
        <f t="shared" si="30"/>
        <v/>
      </c>
      <c r="BH193" t="str">
        <f t="shared" si="31"/>
        <v/>
      </c>
      <c r="BL193" t="str">
        <f>IFERROR(INDEX(_names_lookup!$C:$C,MATCH(BK193,_names_lookup!$A:$A,0)),"")</f>
        <v/>
      </c>
      <c r="BM193" t="str">
        <f>IFERROR(INDEX(_names_lookup!$B:$B,MATCH(BK193,_names_lookup!$A:$A,0)),"")</f>
        <v/>
      </c>
      <c r="BS193" t="str">
        <f t="shared" si="32"/>
        <v/>
      </c>
    </row>
    <row r="194" spans="15:71" x14ac:dyDescent="0.2">
      <c r="O194" t="str">
        <f>IFERROR(INDEX(_courses_lookup!$C:$C,MATCH(K194&amp;L194,_courses_lookup!$E:$E,0)),"")</f>
        <v/>
      </c>
      <c r="P194" t="str">
        <f>IFERROR(INDEX(_courses_lookup!$D:$D,MATCH(K194&amp;L194,_courses_lookup!$E:$E,0)),"")</f>
        <v/>
      </c>
      <c r="AG194" t="str">
        <f t="shared" ref="AG194:AG257" si="33">IF(AND(AE194&lt;&gt;"",AF194&lt;&gt;""),ROUNDUP((AF194-AE194)/7,0),"")</f>
        <v/>
      </c>
      <c r="AI194" t="str">
        <f t="shared" ref="AI194:AI257" si="34">IFERROR(IF(AG194*AH194=0,"",AG194*AH194),"")</f>
        <v/>
      </c>
      <c r="AL194" t="str">
        <f t="shared" ref="AL194:AL257" si="35">IF(AND(AJ194&lt;&gt;"",AK194&lt;&gt;""),ROUNDUP((AK194-AJ194)/7,0),"")</f>
        <v/>
      </c>
      <c r="AN194" t="str">
        <f t="shared" ref="AN194:AN257" si="36">IFERROR(IF(AL194*AM194=0,"",AL194*AM194),"")</f>
        <v/>
      </c>
      <c r="AQ194" t="str">
        <f t="shared" ref="AQ194:AQ257" si="37">IF(AND(AO194&lt;&gt;"",AP194&lt;&gt;""),ROUNDUP((AP194-AO194)/7,0),"")</f>
        <v/>
      </c>
      <c r="AR194" t="str">
        <f t="shared" ref="AR194:AR257" si="38">IFERROR(IF((AU194-(AI194+AN194))/AQ194=0,"",ROUNDUP((AU194-(AI194+AN194))/AQ194,0)),"")</f>
        <v/>
      </c>
      <c r="AS194" t="str">
        <f t="shared" ref="AS194:AS257" si="39">IFERROR(IF((AU194-(AI194+AN194))=0,"",(AU194-(AI194+AN194))),"")</f>
        <v/>
      </c>
      <c r="AT194" t="str">
        <f t="shared" ref="AT194:AT257" si="40">IF(AND(AG194="",AQ194=""),AL194,IF(SUM(AG194,AL194,AQ194)=0,"",SUM(AG194,AL194,AQ194)))</f>
        <v/>
      </c>
      <c r="BG194" t="str">
        <f t="shared" ref="BG194:BG257" si="41">IF(AD194="","",YEAR(AD194)+IF(MONTH(AD194)&gt;=5,1,0))</f>
        <v/>
      </c>
      <c r="BH194" t="str">
        <f t="shared" ref="BH194:BH257" si="42">IF(AD194="","",IF(AND(MONTH(AD194)=8,DAY(AD194)&gt;=15),"Fall",IF(MONTH(AD194)&gt;8,"Fall",IF(MONTH(AD194)=5,"Summer",IF(MONTH(AD194)=1,"Spring","")))))</f>
        <v/>
      </c>
      <c r="BL194" t="str">
        <f>IFERROR(INDEX(_names_lookup!$C:$C,MATCH(BK194,_names_lookup!$A:$A,0)),"")</f>
        <v/>
      </c>
      <c r="BM194" t="str">
        <f>IFERROR(INDEX(_names_lookup!$B:$B,MATCH(BK194,_names_lookup!$A:$A,0)),"")</f>
        <v/>
      </c>
      <c r="BS194" t="str">
        <f t="shared" ref="BS194:BS257" si="43">IFERROR(IF(BR194*AA194=0,"",BR194*AA194),"")</f>
        <v/>
      </c>
    </row>
    <row r="195" spans="15:71" x14ac:dyDescent="0.2">
      <c r="O195" t="str">
        <f>IFERROR(INDEX(_courses_lookup!$C:$C,MATCH(K195&amp;L195,_courses_lookup!$E:$E,0)),"")</f>
        <v/>
      </c>
      <c r="P195" t="str">
        <f>IFERROR(INDEX(_courses_lookup!$D:$D,MATCH(K195&amp;L195,_courses_lookup!$E:$E,0)),"")</f>
        <v/>
      </c>
      <c r="AG195" t="str">
        <f t="shared" si="33"/>
        <v/>
      </c>
      <c r="AI195" t="str">
        <f t="shared" si="34"/>
        <v/>
      </c>
      <c r="AL195" t="str">
        <f t="shared" si="35"/>
        <v/>
      </c>
      <c r="AN195" t="str">
        <f t="shared" si="36"/>
        <v/>
      </c>
      <c r="AQ195" t="str">
        <f t="shared" si="37"/>
        <v/>
      </c>
      <c r="AR195" t="str">
        <f t="shared" si="38"/>
        <v/>
      </c>
      <c r="AS195" t="str">
        <f t="shared" si="39"/>
        <v/>
      </c>
      <c r="AT195" t="str">
        <f t="shared" si="40"/>
        <v/>
      </c>
      <c r="BG195" t="str">
        <f t="shared" si="41"/>
        <v/>
      </c>
      <c r="BH195" t="str">
        <f t="shared" si="42"/>
        <v/>
      </c>
      <c r="BL195" t="str">
        <f>IFERROR(INDEX(_names_lookup!$C:$C,MATCH(BK195,_names_lookup!$A:$A,0)),"")</f>
        <v/>
      </c>
      <c r="BM195" t="str">
        <f>IFERROR(INDEX(_names_lookup!$B:$B,MATCH(BK195,_names_lookup!$A:$A,0)),"")</f>
        <v/>
      </c>
      <c r="BS195" t="str">
        <f t="shared" si="43"/>
        <v/>
      </c>
    </row>
    <row r="196" spans="15:71" x14ac:dyDescent="0.2">
      <c r="O196" t="str">
        <f>IFERROR(INDEX(_courses_lookup!$C:$C,MATCH(K196&amp;L196,_courses_lookup!$E:$E,0)),"")</f>
        <v/>
      </c>
      <c r="P196" t="str">
        <f>IFERROR(INDEX(_courses_lookup!$D:$D,MATCH(K196&amp;L196,_courses_lookup!$E:$E,0)),"")</f>
        <v/>
      </c>
      <c r="AG196" t="str">
        <f t="shared" si="33"/>
        <v/>
      </c>
      <c r="AI196" t="str">
        <f t="shared" si="34"/>
        <v/>
      </c>
      <c r="AL196" t="str">
        <f t="shared" si="35"/>
        <v/>
      </c>
      <c r="AN196" t="str">
        <f t="shared" si="36"/>
        <v/>
      </c>
      <c r="AQ196" t="str">
        <f t="shared" si="37"/>
        <v/>
      </c>
      <c r="AR196" t="str">
        <f t="shared" si="38"/>
        <v/>
      </c>
      <c r="AS196" t="str">
        <f t="shared" si="39"/>
        <v/>
      </c>
      <c r="AT196" t="str">
        <f t="shared" si="40"/>
        <v/>
      </c>
      <c r="BG196" t="str">
        <f t="shared" si="41"/>
        <v/>
      </c>
      <c r="BH196" t="str">
        <f t="shared" si="42"/>
        <v/>
      </c>
      <c r="BL196" t="str">
        <f>IFERROR(INDEX(_names_lookup!$C:$C,MATCH(BK196,_names_lookup!$A:$A,0)),"")</f>
        <v/>
      </c>
      <c r="BM196" t="str">
        <f>IFERROR(INDEX(_names_lookup!$B:$B,MATCH(BK196,_names_lookup!$A:$A,0)),"")</f>
        <v/>
      </c>
      <c r="BS196" t="str">
        <f t="shared" si="43"/>
        <v/>
      </c>
    </row>
    <row r="197" spans="15:71" x14ac:dyDescent="0.2">
      <c r="O197" t="str">
        <f>IFERROR(INDEX(_courses_lookup!$C:$C,MATCH(K197&amp;L197,_courses_lookup!$E:$E,0)),"")</f>
        <v/>
      </c>
      <c r="P197" t="str">
        <f>IFERROR(INDEX(_courses_lookup!$D:$D,MATCH(K197&amp;L197,_courses_lookup!$E:$E,0)),"")</f>
        <v/>
      </c>
      <c r="AG197" t="str">
        <f t="shared" si="33"/>
        <v/>
      </c>
      <c r="AI197" t="str">
        <f t="shared" si="34"/>
        <v/>
      </c>
      <c r="AL197" t="str">
        <f t="shared" si="35"/>
        <v/>
      </c>
      <c r="AN197" t="str">
        <f t="shared" si="36"/>
        <v/>
      </c>
      <c r="AQ197" t="str">
        <f t="shared" si="37"/>
        <v/>
      </c>
      <c r="AR197" t="str">
        <f t="shared" si="38"/>
        <v/>
      </c>
      <c r="AS197" t="str">
        <f t="shared" si="39"/>
        <v/>
      </c>
      <c r="AT197" t="str">
        <f t="shared" si="40"/>
        <v/>
      </c>
      <c r="BG197" t="str">
        <f t="shared" si="41"/>
        <v/>
      </c>
      <c r="BH197" t="str">
        <f t="shared" si="42"/>
        <v/>
      </c>
      <c r="BL197" t="str">
        <f>IFERROR(INDEX(_names_lookup!$C:$C,MATCH(BK197,_names_lookup!$A:$A,0)),"")</f>
        <v/>
      </c>
      <c r="BM197" t="str">
        <f>IFERROR(INDEX(_names_lookup!$B:$B,MATCH(BK197,_names_lookup!$A:$A,0)),"")</f>
        <v/>
      </c>
      <c r="BS197" t="str">
        <f t="shared" si="43"/>
        <v/>
      </c>
    </row>
    <row r="198" spans="15:71" x14ac:dyDescent="0.2">
      <c r="O198" t="str">
        <f>IFERROR(INDEX(_courses_lookup!$C:$C,MATCH(K198&amp;L198,_courses_lookup!$E:$E,0)),"")</f>
        <v/>
      </c>
      <c r="P198" t="str">
        <f>IFERROR(INDEX(_courses_lookup!$D:$D,MATCH(K198&amp;L198,_courses_lookup!$E:$E,0)),"")</f>
        <v/>
      </c>
      <c r="AG198" t="str">
        <f t="shared" si="33"/>
        <v/>
      </c>
      <c r="AI198" t="str">
        <f t="shared" si="34"/>
        <v/>
      </c>
      <c r="AL198" t="str">
        <f t="shared" si="35"/>
        <v/>
      </c>
      <c r="AN198" t="str">
        <f t="shared" si="36"/>
        <v/>
      </c>
      <c r="AQ198" t="str">
        <f t="shared" si="37"/>
        <v/>
      </c>
      <c r="AR198" t="str">
        <f t="shared" si="38"/>
        <v/>
      </c>
      <c r="AS198" t="str">
        <f t="shared" si="39"/>
        <v/>
      </c>
      <c r="AT198" t="str">
        <f t="shared" si="40"/>
        <v/>
      </c>
      <c r="BG198" t="str">
        <f t="shared" si="41"/>
        <v/>
      </c>
      <c r="BH198" t="str">
        <f t="shared" si="42"/>
        <v/>
      </c>
      <c r="BL198" t="str">
        <f>IFERROR(INDEX(_names_lookup!$C:$C,MATCH(BK198,_names_lookup!$A:$A,0)),"")</f>
        <v/>
      </c>
      <c r="BM198" t="str">
        <f>IFERROR(INDEX(_names_lookup!$B:$B,MATCH(BK198,_names_lookup!$A:$A,0)),"")</f>
        <v/>
      </c>
      <c r="BS198" t="str">
        <f t="shared" si="43"/>
        <v/>
      </c>
    </row>
    <row r="199" spans="15:71" x14ac:dyDescent="0.2">
      <c r="O199" t="str">
        <f>IFERROR(INDEX(_courses_lookup!$C:$C,MATCH(K199&amp;L199,_courses_lookup!$E:$E,0)),"")</f>
        <v/>
      </c>
      <c r="P199" t="str">
        <f>IFERROR(INDEX(_courses_lookup!$D:$D,MATCH(K199&amp;L199,_courses_lookup!$E:$E,0)),"")</f>
        <v/>
      </c>
      <c r="AG199" t="str">
        <f t="shared" si="33"/>
        <v/>
      </c>
      <c r="AI199" t="str">
        <f t="shared" si="34"/>
        <v/>
      </c>
      <c r="AL199" t="str">
        <f t="shared" si="35"/>
        <v/>
      </c>
      <c r="AN199" t="str">
        <f t="shared" si="36"/>
        <v/>
      </c>
      <c r="AQ199" t="str">
        <f t="shared" si="37"/>
        <v/>
      </c>
      <c r="AR199" t="str">
        <f t="shared" si="38"/>
        <v/>
      </c>
      <c r="AS199" t="str">
        <f t="shared" si="39"/>
        <v/>
      </c>
      <c r="AT199" t="str">
        <f t="shared" si="40"/>
        <v/>
      </c>
      <c r="BG199" t="str">
        <f t="shared" si="41"/>
        <v/>
      </c>
      <c r="BH199" t="str">
        <f t="shared" si="42"/>
        <v/>
      </c>
      <c r="BL199" t="str">
        <f>IFERROR(INDEX(_names_lookup!$C:$C,MATCH(BK199,_names_lookup!$A:$A,0)),"")</f>
        <v/>
      </c>
      <c r="BM199" t="str">
        <f>IFERROR(INDEX(_names_lookup!$B:$B,MATCH(BK199,_names_lookup!$A:$A,0)),"")</f>
        <v/>
      </c>
      <c r="BS199" t="str">
        <f t="shared" si="43"/>
        <v/>
      </c>
    </row>
    <row r="200" spans="15:71" x14ac:dyDescent="0.2">
      <c r="O200" t="str">
        <f>IFERROR(INDEX(_courses_lookup!$C:$C,MATCH(K200&amp;L200,_courses_lookup!$E:$E,0)),"")</f>
        <v/>
      </c>
      <c r="P200" t="str">
        <f>IFERROR(INDEX(_courses_lookup!$D:$D,MATCH(K200&amp;L200,_courses_lookup!$E:$E,0)),"")</f>
        <v/>
      </c>
      <c r="AG200" t="str">
        <f t="shared" si="33"/>
        <v/>
      </c>
      <c r="AI200" t="str">
        <f t="shared" si="34"/>
        <v/>
      </c>
      <c r="AL200" t="str">
        <f t="shared" si="35"/>
        <v/>
      </c>
      <c r="AN200" t="str">
        <f t="shared" si="36"/>
        <v/>
      </c>
      <c r="AQ200" t="str">
        <f t="shared" si="37"/>
        <v/>
      </c>
      <c r="AR200" t="str">
        <f t="shared" si="38"/>
        <v/>
      </c>
      <c r="AS200" t="str">
        <f t="shared" si="39"/>
        <v/>
      </c>
      <c r="AT200" t="str">
        <f t="shared" si="40"/>
        <v/>
      </c>
      <c r="BG200" t="str">
        <f t="shared" si="41"/>
        <v/>
      </c>
      <c r="BH200" t="str">
        <f t="shared" si="42"/>
        <v/>
      </c>
      <c r="BL200" t="str">
        <f>IFERROR(INDEX(_names_lookup!$C:$C,MATCH(BK200,_names_lookup!$A:$A,0)),"")</f>
        <v/>
      </c>
      <c r="BM200" t="str">
        <f>IFERROR(INDEX(_names_lookup!$B:$B,MATCH(BK200,_names_lookup!$A:$A,0)),"")</f>
        <v/>
      </c>
      <c r="BS200" t="str">
        <f t="shared" si="43"/>
        <v/>
      </c>
    </row>
    <row r="201" spans="15:71" x14ac:dyDescent="0.2">
      <c r="O201" t="str">
        <f>IFERROR(INDEX(_courses_lookup!$C:$C,MATCH(K201&amp;L201,_courses_lookup!$E:$E,0)),"")</f>
        <v/>
      </c>
      <c r="P201" t="str">
        <f>IFERROR(INDEX(_courses_lookup!$D:$D,MATCH(K201&amp;L201,_courses_lookup!$E:$E,0)),"")</f>
        <v/>
      </c>
      <c r="AG201" t="str">
        <f t="shared" si="33"/>
        <v/>
      </c>
      <c r="AI201" t="str">
        <f t="shared" si="34"/>
        <v/>
      </c>
      <c r="AL201" t="str">
        <f t="shared" si="35"/>
        <v/>
      </c>
      <c r="AN201" t="str">
        <f t="shared" si="36"/>
        <v/>
      </c>
      <c r="AQ201" t="str">
        <f t="shared" si="37"/>
        <v/>
      </c>
      <c r="AR201" t="str">
        <f t="shared" si="38"/>
        <v/>
      </c>
      <c r="AS201" t="str">
        <f t="shared" si="39"/>
        <v/>
      </c>
      <c r="AT201" t="str">
        <f t="shared" si="40"/>
        <v/>
      </c>
      <c r="BG201" t="str">
        <f t="shared" si="41"/>
        <v/>
      </c>
      <c r="BH201" t="str">
        <f t="shared" si="42"/>
        <v/>
      </c>
      <c r="BL201" t="str">
        <f>IFERROR(INDEX(_names_lookup!$C:$C,MATCH(BK201,_names_lookup!$A:$A,0)),"")</f>
        <v/>
      </c>
      <c r="BM201" t="str">
        <f>IFERROR(INDEX(_names_lookup!$B:$B,MATCH(BK201,_names_lookup!$A:$A,0)),"")</f>
        <v/>
      </c>
      <c r="BS201" t="str">
        <f t="shared" si="43"/>
        <v/>
      </c>
    </row>
    <row r="202" spans="15:71" x14ac:dyDescent="0.2">
      <c r="O202" t="str">
        <f>IFERROR(INDEX(_courses_lookup!$C:$C,MATCH(K202&amp;L202,_courses_lookup!$E:$E,0)),"")</f>
        <v/>
      </c>
      <c r="P202" t="str">
        <f>IFERROR(INDEX(_courses_lookup!$D:$D,MATCH(K202&amp;L202,_courses_lookup!$E:$E,0)),"")</f>
        <v/>
      </c>
      <c r="AG202" t="str">
        <f t="shared" si="33"/>
        <v/>
      </c>
      <c r="AI202" t="str">
        <f t="shared" si="34"/>
        <v/>
      </c>
      <c r="AL202" t="str">
        <f t="shared" si="35"/>
        <v/>
      </c>
      <c r="AN202" t="str">
        <f t="shared" si="36"/>
        <v/>
      </c>
      <c r="AQ202" t="str">
        <f t="shared" si="37"/>
        <v/>
      </c>
      <c r="AR202" t="str">
        <f t="shared" si="38"/>
        <v/>
      </c>
      <c r="AS202" t="str">
        <f t="shared" si="39"/>
        <v/>
      </c>
      <c r="AT202" t="str">
        <f t="shared" si="40"/>
        <v/>
      </c>
      <c r="BG202" t="str">
        <f t="shared" si="41"/>
        <v/>
      </c>
      <c r="BH202" t="str">
        <f t="shared" si="42"/>
        <v/>
      </c>
      <c r="BL202" t="str">
        <f>IFERROR(INDEX(_names_lookup!$C:$C,MATCH(BK202,_names_lookup!$A:$A,0)),"")</f>
        <v/>
      </c>
      <c r="BM202" t="str">
        <f>IFERROR(INDEX(_names_lookup!$B:$B,MATCH(BK202,_names_lookup!$A:$A,0)),"")</f>
        <v/>
      </c>
      <c r="BS202" t="str">
        <f t="shared" si="43"/>
        <v/>
      </c>
    </row>
    <row r="203" spans="15:71" x14ac:dyDescent="0.2">
      <c r="O203" t="str">
        <f>IFERROR(INDEX(_courses_lookup!$C:$C,MATCH(K203&amp;L203,_courses_lookup!$E:$E,0)),"")</f>
        <v/>
      </c>
      <c r="P203" t="str">
        <f>IFERROR(INDEX(_courses_lookup!$D:$D,MATCH(K203&amp;L203,_courses_lookup!$E:$E,0)),"")</f>
        <v/>
      </c>
      <c r="AG203" t="str">
        <f t="shared" si="33"/>
        <v/>
      </c>
      <c r="AI203" t="str">
        <f t="shared" si="34"/>
        <v/>
      </c>
      <c r="AL203" t="str">
        <f t="shared" si="35"/>
        <v/>
      </c>
      <c r="AN203" t="str">
        <f t="shared" si="36"/>
        <v/>
      </c>
      <c r="AQ203" t="str">
        <f t="shared" si="37"/>
        <v/>
      </c>
      <c r="AR203" t="str">
        <f t="shared" si="38"/>
        <v/>
      </c>
      <c r="AS203" t="str">
        <f t="shared" si="39"/>
        <v/>
      </c>
      <c r="AT203" t="str">
        <f t="shared" si="40"/>
        <v/>
      </c>
      <c r="BG203" t="str">
        <f t="shared" si="41"/>
        <v/>
      </c>
      <c r="BH203" t="str">
        <f t="shared" si="42"/>
        <v/>
      </c>
      <c r="BL203" t="str">
        <f>IFERROR(INDEX(_names_lookup!$C:$C,MATCH(BK203,_names_lookup!$A:$A,0)),"")</f>
        <v/>
      </c>
      <c r="BM203" t="str">
        <f>IFERROR(INDEX(_names_lookup!$B:$B,MATCH(BK203,_names_lookup!$A:$A,0)),"")</f>
        <v/>
      </c>
      <c r="BS203" t="str">
        <f t="shared" si="43"/>
        <v/>
      </c>
    </row>
    <row r="204" spans="15:71" x14ac:dyDescent="0.2">
      <c r="O204" t="str">
        <f>IFERROR(INDEX(_courses_lookup!$C:$C,MATCH(K204&amp;L204,_courses_lookup!$E:$E,0)),"")</f>
        <v/>
      </c>
      <c r="P204" t="str">
        <f>IFERROR(INDEX(_courses_lookup!$D:$D,MATCH(K204&amp;L204,_courses_lookup!$E:$E,0)),"")</f>
        <v/>
      </c>
      <c r="AG204" t="str">
        <f t="shared" si="33"/>
        <v/>
      </c>
      <c r="AI204" t="str">
        <f t="shared" si="34"/>
        <v/>
      </c>
      <c r="AL204" t="str">
        <f t="shared" si="35"/>
        <v/>
      </c>
      <c r="AN204" t="str">
        <f t="shared" si="36"/>
        <v/>
      </c>
      <c r="AQ204" t="str">
        <f t="shared" si="37"/>
        <v/>
      </c>
      <c r="AR204" t="str">
        <f t="shared" si="38"/>
        <v/>
      </c>
      <c r="AS204" t="str">
        <f t="shared" si="39"/>
        <v/>
      </c>
      <c r="AT204" t="str">
        <f t="shared" si="40"/>
        <v/>
      </c>
      <c r="BG204" t="str">
        <f t="shared" si="41"/>
        <v/>
      </c>
      <c r="BH204" t="str">
        <f t="shared" si="42"/>
        <v/>
      </c>
      <c r="BL204" t="str">
        <f>IFERROR(INDEX(_names_lookup!$C:$C,MATCH(BK204,_names_lookup!$A:$A,0)),"")</f>
        <v/>
      </c>
      <c r="BM204" t="str">
        <f>IFERROR(INDEX(_names_lookup!$B:$B,MATCH(BK204,_names_lookup!$A:$A,0)),"")</f>
        <v/>
      </c>
      <c r="BS204" t="str">
        <f t="shared" si="43"/>
        <v/>
      </c>
    </row>
    <row r="205" spans="15:71" x14ac:dyDescent="0.2">
      <c r="O205" t="str">
        <f>IFERROR(INDEX(_courses_lookup!$C:$C,MATCH(K205&amp;L205,_courses_lookup!$E:$E,0)),"")</f>
        <v/>
      </c>
      <c r="P205" t="str">
        <f>IFERROR(INDEX(_courses_lookup!$D:$D,MATCH(K205&amp;L205,_courses_lookup!$E:$E,0)),"")</f>
        <v/>
      </c>
      <c r="AG205" t="str">
        <f t="shared" si="33"/>
        <v/>
      </c>
      <c r="AI205" t="str">
        <f t="shared" si="34"/>
        <v/>
      </c>
      <c r="AL205" t="str">
        <f t="shared" si="35"/>
        <v/>
      </c>
      <c r="AN205" t="str">
        <f t="shared" si="36"/>
        <v/>
      </c>
      <c r="AQ205" t="str">
        <f t="shared" si="37"/>
        <v/>
      </c>
      <c r="AR205" t="str">
        <f t="shared" si="38"/>
        <v/>
      </c>
      <c r="AS205" t="str">
        <f t="shared" si="39"/>
        <v/>
      </c>
      <c r="AT205" t="str">
        <f t="shared" si="40"/>
        <v/>
      </c>
      <c r="BG205" t="str">
        <f t="shared" si="41"/>
        <v/>
      </c>
      <c r="BH205" t="str">
        <f t="shared" si="42"/>
        <v/>
      </c>
      <c r="BL205" t="str">
        <f>IFERROR(INDEX(_names_lookup!$C:$C,MATCH(BK205,_names_lookup!$A:$A,0)),"")</f>
        <v/>
      </c>
      <c r="BM205" t="str">
        <f>IFERROR(INDEX(_names_lookup!$B:$B,MATCH(BK205,_names_lookup!$A:$A,0)),"")</f>
        <v/>
      </c>
      <c r="BS205" t="str">
        <f t="shared" si="43"/>
        <v/>
      </c>
    </row>
    <row r="206" spans="15:71" x14ac:dyDescent="0.2">
      <c r="O206" t="str">
        <f>IFERROR(INDEX(_courses_lookup!$C:$C,MATCH(K206&amp;L206,_courses_lookup!$E:$E,0)),"")</f>
        <v/>
      </c>
      <c r="P206" t="str">
        <f>IFERROR(INDEX(_courses_lookup!$D:$D,MATCH(K206&amp;L206,_courses_lookup!$E:$E,0)),"")</f>
        <v/>
      </c>
      <c r="AG206" t="str">
        <f t="shared" si="33"/>
        <v/>
      </c>
      <c r="AI206" t="str">
        <f t="shared" si="34"/>
        <v/>
      </c>
      <c r="AL206" t="str">
        <f t="shared" si="35"/>
        <v/>
      </c>
      <c r="AN206" t="str">
        <f t="shared" si="36"/>
        <v/>
      </c>
      <c r="AQ206" t="str">
        <f t="shared" si="37"/>
        <v/>
      </c>
      <c r="AR206" t="str">
        <f t="shared" si="38"/>
        <v/>
      </c>
      <c r="AS206" t="str">
        <f t="shared" si="39"/>
        <v/>
      </c>
      <c r="AT206" t="str">
        <f t="shared" si="40"/>
        <v/>
      </c>
      <c r="BG206" t="str">
        <f t="shared" si="41"/>
        <v/>
      </c>
      <c r="BH206" t="str">
        <f t="shared" si="42"/>
        <v/>
      </c>
      <c r="BL206" t="str">
        <f>IFERROR(INDEX(_names_lookup!$C:$C,MATCH(BK206,_names_lookup!$A:$A,0)),"")</f>
        <v/>
      </c>
      <c r="BM206" t="str">
        <f>IFERROR(INDEX(_names_lookup!$B:$B,MATCH(BK206,_names_lookup!$A:$A,0)),"")</f>
        <v/>
      </c>
      <c r="BS206" t="str">
        <f t="shared" si="43"/>
        <v/>
      </c>
    </row>
    <row r="207" spans="15:71" x14ac:dyDescent="0.2">
      <c r="O207" t="str">
        <f>IFERROR(INDEX(_courses_lookup!$C:$C,MATCH(K207&amp;L207,_courses_lookup!$E:$E,0)),"")</f>
        <v/>
      </c>
      <c r="P207" t="str">
        <f>IFERROR(INDEX(_courses_lookup!$D:$D,MATCH(K207&amp;L207,_courses_lookup!$E:$E,0)),"")</f>
        <v/>
      </c>
      <c r="AG207" t="str">
        <f t="shared" si="33"/>
        <v/>
      </c>
      <c r="AI207" t="str">
        <f t="shared" si="34"/>
        <v/>
      </c>
      <c r="AL207" t="str">
        <f t="shared" si="35"/>
        <v/>
      </c>
      <c r="AN207" t="str">
        <f t="shared" si="36"/>
        <v/>
      </c>
      <c r="AQ207" t="str">
        <f t="shared" si="37"/>
        <v/>
      </c>
      <c r="AR207" t="str">
        <f t="shared" si="38"/>
        <v/>
      </c>
      <c r="AS207" t="str">
        <f t="shared" si="39"/>
        <v/>
      </c>
      <c r="AT207" t="str">
        <f t="shared" si="40"/>
        <v/>
      </c>
      <c r="BG207" t="str">
        <f t="shared" si="41"/>
        <v/>
      </c>
      <c r="BH207" t="str">
        <f t="shared" si="42"/>
        <v/>
      </c>
      <c r="BL207" t="str">
        <f>IFERROR(INDEX(_names_lookup!$C:$C,MATCH(BK207,_names_lookup!$A:$A,0)),"")</f>
        <v/>
      </c>
      <c r="BM207" t="str">
        <f>IFERROR(INDEX(_names_lookup!$B:$B,MATCH(BK207,_names_lookup!$A:$A,0)),"")</f>
        <v/>
      </c>
      <c r="BS207" t="str">
        <f t="shared" si="43"/>
        <v/>
      </c>
    </row>
    <row r="208" spans="15:71" x14ac:dyDescent="0.2">
      <c r="O208" t="str">
        <f>IFERROR(INDEX(_courses_lookup!$C:$C,MATCH(K208&amp;L208,_courses_lookup!$E:$E,0)),"")</f>
        <v/>
      </c>
      <c r="P208" t="str">
        <f>IFERROR(INDEX(_courses_lookup!$D:$D,MATCH(K208&amp;L208,_courses_lookup!$E:$E,0)),"")</f>
        <v/>
      </c>
      <c r="AG208" t="str">
        <f t="shared" si="33"/>
        <v/>
      </c>
      <c r="AI208" t="str">
        <f t="shared" si="34"/>
        <v/>
      </c>
      <c r="AL208" t="str">
        <f t="shared" si="35"/>
        <v/>
      </c>
      <c r="AN208" t="str">
        <f t="shared" si="36"/>
        <v/>
      </c>
      <c r="AQ208" t="str">
        <f t="shared" si="37"/>
        <v/>
      </c>
      <c r="AR208" t="str">
        <f t="shared" si="38"/>
        <v/>
      </c>
      <c r="AS208" t="str">
        <f t="shared" si="39"/>
        <v/>
      </c>
      <c r="AT208" t="str">
        <f t="shared" si="40"/>
        <v/>
      </c>
      <c r="BG208" t="str">
        <f t="shared" si="41"/>
        <v/>
      </c>
      <c r="BH208" t="str">
        <f t="shared" si="42"/>
        <v/>
      </c>
      <c r="BL208" t="str">
        <f>IFERROR(INDEX(_names_lookup!$C:$C,MATCH(BK208,_names_lookup!$A:$A,0)),"")</f>
        <v/>
      </c>
      <c r="BM208" t="str">
        <f>IFERROR(INDEX(_names_lookup!$B:$B,MATCH(BK208,_names_lookup!$A:$A,0)),"")</f>
        <v/>
      </c>
      <c r="BS208" t="str">
        <f t="shared" si="43"/>
        <v/>
      </c>
    </row>
    <row r="209" spans="15:71" x14ac:dyDescent="0.2">
      <c r="O209" t="str">
        <f>IFERROR(INDEX(_courses_lookup!$C:$C,MATCH(K209&amp;L209,_courses_lookup!$E:$E,0)),"")</f>
        <v/>
      </c>
      <c r="P209" t="str">
        <f>IFERROR(INDEX(_courses_lookup!$D:$D,MATCH(K209&amp;L209,_courses_lookup!$E:$E,0)),"")</f>
        <v/>
      </c>
      <c r="AG209" t="str">
        <f t="shared" si="33"/>
        <v/>
      </c>
      <c r="AI209" t="str">
        <f t="shared" si="34"/>
        <v/>
      </c>
      <c r="AL209" t="str">
        <f t="shared" si="35"/>
        <v/>
      </c>
      <c r="AN209" t="str">
        <f t="shared" si="36"/>
        <v/>
      </c>
      <c r="AQ209" t="str">
        <f t="shared" si="37"/>
        <v/>
      </c>
      <c r="AR209" t="str">
        <f t="shared" si="38"/>
        <v/>
      </c>
      <c r="AS209" t="str">
        <f t="shared" si="39"/>
        <v/>
      </c>
      <c r="AT209" t="str">
        <f t="shared" si="40"/>
        <v/>
      </c>
      <c r="BG209" t="str">
        <f t="shared" si="41"/>
        <v/>
      </c>
      <c r="BH209" t="str">
        <f t="shared" si="42"/>
        <v/>
      </c>
      <c r="BL209" t="str">
        <f>IFERROR(INDEX(_names_lookup!$C:$C,MATCH(BK209,_names_lookup!$A:$A,0)),"")</f>
        <v/>
      </c>
      <c r="BM209" t="str">
        <f>IFERROR(INDEX(_names_lookup!$B:$B,MATCH(BK209,_names_lookup!$A:$A,0)),"")</f>
        <v/>
      </c>
      <c r="BS209" t="str">
        <f t="shared" si="43"/>
        <v/>
      </c>
    </row>
    <row r="210" spans="15:71" x14ac:dyDescent="0.2">
      <c r="O210" t="str">
        <f>IFERROR(INDEX(_courses_lookup!$C:$C,MATCH(K210&amp;L210,_courses_lookup!$E:$E,0)),"")</f>
        <v/>
      </c>
      <c r="P210" t="str">
        <f>IFERROR(INDEX(_courses_lookup!$D:$D,MATCH(K210&amp;L210,_courses_lookup!$E:$E,0)),"")</f>
        <v/>
      </c>
      <c r="AG210" t="str">
        <f t="shared" si="33"/>
        <v/>
      </c>
      <c r="AI210" t="str">
        <f t="shared" si="34"/>
        <v/>
      </c>
      <c r="AL210" t="str">
        <f t="shared" si="35"/>
        <v/>
      </c>
      <c r="AN210" t="str">
        <f t="shared" si="36"/>
        <v/>
      </c>
      <c r="AQ210" t="str">
        <f t="shared" si="37"/>
        <v/>
      </c>
      <c r="AR210" t="str">
        <f t="shared" si="38"/>
        <v/>
      </c>
      <c r="AS210" t="str">
        <f t="shared" si="39"/>
        <v/>
      </c>
      <c r="AT210" t="str">
        <f t="shared" si="40"/>
        <v/>
      </c>
      <c r="BG210" t="str">
        <f t="shared" si="41"/>
        <v/>
      </c>
      <c r="BH210" t="str">
        <f t="shared" si="42"/>
        <v/>
      </c>
      <c r="BL210" t="str">
        <f>IFERROR(INDEX(_names_lookup!$C:$C,MATCH(BK210,_names_lookup!$A:$A,0)),"")</f>
        <v/>
      </c>
      <c r="BM210" t="str">
        <f>IFERROR(INDEX(_names_lookup!$B:$B,MATCH(BK210,_names_lookup!$A:$A,0)),"")</f>
        <v/>
      </c>
      <c r="BS210" t="str">
        <f t="shared" si="43"/>
        <v/>
      </c>
    </row>
    <row r="211" spans="15:71" x14ac:dyDescent="0.2">
      <c r="O211" t="str">
        <f>IFERROR(INDEX(_courses_lookup!$C:$C,MATCH(K211&amp;L211,_courses_lookup!$E:$E,0)),"")</f>
        <v/>
      </c>
      <c r="P211" t="str">
        <f>IFERROR(INDEX(_courses_lookup!$D:$D,MATCH(K211&amp;L211,_courses_lookup!$E:$E,0)),"")</f>
        <v/>
      </c>
      <c r="AG211" t="str">
        <f t="shared" si="33"/>
        <v/>
      </c>
      <c r="AI211" t="str">
        <f t="shared" si="34"/>
        <v/>
      </c>
      <c r="AL211" t="str">
        <f t="shared" si="35"/>
        <v/>
      </c>
      <c r="AN211" t="str">
        <f t="shared" si="36"/>
        <v/>
      </c>
      <c r="AQ211" t="str">
        <f t="shared" si="37"/>
        <v/>
      </c>
      <c r="AR211" t="str">
        <f t="shared" si="38"/>
        <v/>
      </c>
      <c r="AS211" t="str">
        <f t="shared" si="39"/>
        <v/>
      </c>
      <c r="AT211" t="str">
        <f t="shared" si="40"/>
        <v/>
      </c>
      <c r="BG211" t="str">
        <f t="shared" si="41"/>
        <v/>
      </c>
      <c r="BH211" t="str">
        <f t="shared" si="42"/>
        <v/>
      </c>
      <c r="BL211" t="str">
        <f>IFERROR(INDEX(_names_lookup!$C:$C,MATCH(BK211,_names_lookup!$A:$A,0)),"")</f>
        <v/>
      </c>
      <c r="BM211" t="str">
        <f>IFERROR(INDEX(_names_lookup!$B:$B,MATCH(BK211,_names_lookup!$A:$A,0)),"")</f>
        <v/>
      </c>
      <c r="BS211" t="str">
        <f t="shared" si="43"/>
        <v/>
      </c>
    </row>
    <row r="212" spans="15:71" x14ac:dyDescent="0.2">
      <c r="O212" t="str">
        <f>IFERROR(INDEX(_courses_lookup!$C:$C,MATCH(K212&amp;L212,_courses_lookup!$E:$E,0)),"")</f>
        <v/>
      </c>
      <c r="P212" t="str">
        <f>IFERROR(INDEX(_courses_lookup!$D:$D,MATCH(K212&amp;L212,_courses_lookup!$E:$E,0)),"")</f>
        <v/>
      </c>
      <c r="AG212" t="str">
        <f t="shared" si="33"/>
        <v/>
      </c>
      <c r="AI212" t="str">
        <f t="shared" si="34"/>
        <v/>
      </c>
      <c r="AL212" t="str">
        <f t="shared" si="35"/>
        <v/>
      </c>
      <c r="AN212" t="str">
        <f t="shared" si="36"/>
        <v/>
      </c>
      <c r="AQ212" t="str">
        <f t="shared" si="37"/>
        <v/>
      </c>
      <c r="AR212" t="str">
        <f t="shared" si="38"/>
        <v/>
      </c>
      <c r="AS212" t="str">
        <f t="shared" si="39"/>
        <v/>
      </c>
      <c r="AT212" t="str">
        <f t="shared" si="40"/>
        <v/>
      </c>
      <c r="BG212" t="str">
        <f t="shared" si="41"/>
        <v/>
      </c>
      <c r="BH212" t="str">
        <f t="shared" si="42"/>
        <v/>
      </c>
      <c r="BL212" t="str">
        <f>IFERROR(INDEX(_names_lookup!$C:$C,MATCH(BK212,_names_lookup!$A:$A,0)),"")</f>
        <v/>
      </c>
      <c r="BM212" t="str">
        <f>IFERROR(INDEX(_names_lookup!$B:$B,MATCH(BK212,_names_lookup!$A:$A,0)),"")</f>
        <v/>
      </c>
      <c r="BS212" t="str">
        <f t="shared" si="43"/>
        <v/>
      </c>
    </row>
    <row r="213" spans="15:71" x14ac:dyDescent="0.2">
      <c r="O213" t="str">
        <f>IFERROR(INDEX(_courses_lookup!$C:$C,MATCH(K213&amp;L213,_courses_lookup!$E:$E,0)),"")</f>
        <v/>
      </c>
      <c r="P213" t="str">
        <f>IFERROR(INDEX(_courses_lookup!$D:$D,MATCH(K213&amp;L213,_courses_lookup!$E:$E,0)),"")</f>
        <v/>
      </c>
      <c r="AG213" t="str">
        <f t="shared" si="33"/>
        <v/>
      </c>
      <c r="AI213" t="str">
        <f t="shared" si="34"/>
        <v/>
      </c>
      <c r="AL213" t="str">
        <f t="shared" si="35"/>
        <v/>
      </c>
      <c r="AN213" t="str">
        <f t="shared" si="36"/>
        <v/>
      </c>
      <c r="AQ213" t="str">
        <f t="shared" si="37"/>
        <v/>
      </c>
      <c r="AR213" t="str">
        <f t="shared" si="38"/>
        <v/>
      </c>
      <c r="AS213" t="str">
        <f t="shared" si="39"/>
        <v/>
      </c>
      <c r="AT213" t="str">
        <f t="shared" si="40"/>
        <v/>
      </c>
      <c r="BG213" t="str">
        <f t="shared" si="41"/>
        <v/>
      </c>
      <c r="BH213" t="str">
        <f t="shared" si="42"/>
        <v/>
      </c>
      <c r="BL213" t="str">
        <f>IFERROR(INDEX(_names_lookup!$C:$C,MATCH(BK213,_names_lookup!$A:$A,0)),"")</f>
        <v/>
      </c>
      <c r="BM213" t="str">
        <f>IFERROR(INDEX(_names_lookup!$B:$B,MATCH(BK213,_names_lookup!$A:$A,0)),"")</f>
        <v/>
      </c>
      <c r="BS213" t="str">
        <f t="shared" si="43"/>
        <v/>
      </c>
    </row>
    <row r="214" spans="15:71" x14ac:dyDescent="0.2">
      <c r="O214" t="str">
        <f>IFERROR(INDEX(_courses_lookup!$C:$C,MATCH(K214&amp;L214,_courses_lookup!$E:$E,0)),"")</f>
        <v/>
      </c>
      <c r="P214" t="str">
        <f>IFERROR(INDEX(_courses_lookup!$D:$D,MATCH(K214&amp;L214,_courses_lookup!$E:$E,0)),"")</f>
        <v/>
      </c>
      <c r="AG214" t="str">
        <f t="shared" si="33"/>
        <v/>
      </c>
      <c r="AI214" t="str">
        <f t="shared" si="34"/>
        <v/>
      </c>
      <c r="AL214" t="str">
        <f t="shared" si="35"/>
        <v/>
      </c>
      <c r="AN214" t="str">
        <f t="shared" si="36"/>
        <v/>
      </c>
      <c r="AQ214" t="str">
        <f t="shared" si="37"/>
        <v/>
      </c>
      <c r="AR214" t="str">
        <f t="shared" si="38"/>
        <v/>
      </c>
      <c r="AS214" t="str">
        <f t="shared" si="39"/>
        <v/>
      </c>
      <c r="AT214" t="str">
        <f t="shared" si="40"/>
        <v/>
      </c>
      <c r="BG214" t="str">
        <f t="shared" si="41"/>
        <v/>
      </c>
      <c r="BH214" t="str">
        <f t="shared" si="42"/>
        <v/>
      </c>
      <c r="BL214" t="str">
        <f>IFERROR(INDEX(_names_lookup!$C:$C,MATCH(BK214,_names_lookup!$A:$A,0)),"")</f>
        <v/>
      </c>
      <c r="BM214" t="str">
        <f>IFERROR(INDEX(_names_lookup!$B:$B,MATCH(BK214,_names_lookup!$A:$A,0)),"")</f>
        <v/>
      </c>
      <c r="BS214" t="str">
        <f t="shared" si="43"/>
        <v/>
      </c>
    </row>
    <row r="215" spans="15:71" x14ac:dyDescent="0.2">
      <c r="O215" t="str">
        <f>IFERROR(INDEX(_courses_lookup!$C:$C,MATCH(K215&amp;L215,_courses_lookup!$E:$E,0)),"")</f>
        <v/>
      </c>
      <c r="P215" t="str">
        <f>IFERROR(INDEX(_courses_lookup!$D:$D,MATCH(K215&amp;L215,_courses_lookup!$E:$E,0)),"")</f>
        <v/>
      </c>
      <c r="AG215" t="str">
        <f t="shared" si="33"/>
        <v/>
      </c>
      <c r="AI215" t="str">
        <f t="shared" si="34"/>
        <v/>
      </c>
      <c r="AL215" t="str">
        <f t="shared" si="35"/>
        <v/>
      </c>
      <c r="AN215" t="str">
        <f t="shared" si="36"/>
        <v/>
      </c>
      <c r="AQ215" t="str">
        <f t="shared" si="37"/>
        <v/>
      </c>
      <c r="AR215" t="str">
        <f t="shared" si="38"/>
        <v/>
      </c>
      <c r="AS215" t="str">
        <f t="shared" si="39"/>
        <v/>
      </c>
      <c r="AT215" t="str">
        <f t="shared" si="40"/>
        <v/>
      </c>
      <c r="BG215" t="str">
        <f t="shared" si="41"/>
        <v/>
      </c>
      <c r="BH215" t="str">
        <f t="shared" si="42"/>
        <v/>
      </c>
      <c r="BL215" t="str">
        <f>IFERROR(INDEX(_names_lookup!$C:$C,MATCH(BK215,_names_lookup!$A:$A,0)),"")</f>
        <v/>
      </c>
      <c r="BM215" t="str">
        <f>IFERROR(INDEX(_names_lookup!$B:$B,MATCH(BK215,_names_lookup!$A:$A,0)),"")</f>
        <v/>
      </c>
      <c r="BS215" t="str">
        <f t="shared" si="43"/>
        <v/>
      </c>
    </row>
    <row r="216" spans="15:71" x14ac:dyDescent="0.2">
      <c r="O216" t="str">
        <f>IFERROR(INDEX(_courses_lookup!$C:$C,MATCH(K216&amp;L216,_courses_lookup!$E:$E,0)),"")</f>
        <v/>
      </c>
      <c r="P216" t="str">
        <f>IFERROR(INDEX(_courses_lookup!$D:$D,MATCH(K216&amp;L216,_courses_lookup!$E:$E,0)),"")</f>
        <v/>
      </c>
      <c r="AG216" t="str">
        <f t="shared" si="33"/>
        <v/>
      </c>
      <c r="AI216" t="str">
        <f t="shared" si="34"/>
        <v/>
      </c>
      <c r="AL216" t="str">
        <f t="shared" si="35"/>
        <v/>
      </c>
      <c r="AN216" t="str">
        <f t="shared" si="36"/>
        <v/>
      </c>
      <c r="AQ216" t="str">
        <f t="shared" si="37"/>
        <v/>
      </c>
      <c r="AR216" t="str">
        <f t="shared" si="38"/>
        <v/>
      </c>
      <c r="AS216" t="str">
        <f t="shared" si="39"/>
        <v/>
      </c>
      <c r="AT216" t="str">
        <f t="shared" si="40"/>
        <v/>
      </c>
      <c r="BG216" t="str">
        <f t="shared" si="41"/>
        <v/>
      </c>
      <c r="BH216" t="str">
        <f t="shared" si="42"/>
        <v/>
      </c>
      <c r="BL216" t="str">
        <f>IFERROR(INDEX(_names_lookup!$C:$C,MATCH(BK216,_names_lookup!$A:$A,0)),"")</f>
        <v/>
      </c>
      <c r="BM216" t="str">
        <f>IFERROR(INDEX(_names_lookup!$B:$B,MATCH(BK216,_names_lookup!$A:$A,0)),"")</f>
        <v/>
      </c>
      <c r="BS216" t="str">
        <f t="shared" si="43"/>
        <v/>
      </c>
    </row>
    <row r="217" spans="15:71" x14ac:dyDescent="0.2">
      <c r="O217" t="str">
        <f>IFERROR(INDEX(_courses_lookup!$C:$C,MATCH(K217&amp;L217,_courses_lookup!$E:$E,0)),"")</f>
        <v/>
      </c>
      <c r="P217" t="str">
        <f>IFERROR(INDEX(_courses_lookup!$D:$D,MATCH(K217&amp;L217,_courses_lookup!$E:$E,0)),"")</f>
        <v/>
      </c>
      <c r="AG217" t="str">
        <f t="shared" si="33"/>
        <v/>
      </c>
      <c r="AI217" t="str">
        <f t="shared" si="34"/>
        <v/>
      </c>
      <c r="AL217" t="str">
        <f t="shared" si="35"/>
        <v/>
      </c>
      <c r="AN217" t="str">
        <f t="shared" si="36"/>
        <v/>
      </c>
      <c r="AQ217" t="str">
        <f t="shared" si="37"/>
        <v/>
      </c>
      <c r="AR217" t="str">
        <f t="shared" si="38"/>
        <v/>
      </c>
      <c r="AS217" t="str">
        <f t="shared" si="39"/>
        <v/>
      </c>
      <c r="AT217" t="str">
        <f t="shared" si="40"/>
        <v/>
      </c>
      <c r="BG217" t="str">
        <f t="shared" si="41"/>
        <v/>
      </c>
      <c r="BH217" t="str">
        <f t="shared" si="42"/>
        <v/>
      </c>
      <c r="BL217" t="str">
        <f>IFERROR(INDEX(_names_lookup!$C:$C,MATCH(BK217,_names_lookup!$A:$A,0)),"")</f>
        <v/>
      </c>
      <c r="BM217" t="str">
        <f>IFERROR(INDEX(_names_lookup!$B:$B,MATCH(BK217,_names_lookup!$A:$A,0)),"")</f>
        <v/>
      </c>
      <c r="BS217" t="str">
        <f t="shared" si="43"/>
        <v/>
      </c>
    </row>
    <row r="218" spans="15:71" x14ac:dyDescent="0.2">
      <c r="O218" t="str">
        <f>IFERROR(INDEX(_courses_lookup!$C:$C,MATCH(K218&amp;L218,_courses_lookup!$E:$E,0)),"")</f>
        <v/>
      </c>
      <c r="P218" t="str">
        <f>IFERROR(INDEX(_courses_lookup!$D:$D,MATCH(K218&amp;L218,_courses_lookup!$E:$E,0)),"")</f>
        <v/>
      </c>
      <c r="AG218" t="str">
        <f t="shared" si="33"/>
        <v/>
      </c>
      <c r="AI218" t="str">
        <f t="shared" si="34"/>
        <v/>
      </c>
      <c r="AL218" t="str">
        <f t="shared" si="35"/>
        <v/>
      </c>
      <c r="AN218" t="str">
        <f t="shared" si="36"/>
        <v/>
      </c>
      <c r="AQ218" t="str">
        <f t="shared" si="37"/>
        <v/>
      </c>
      <c r="AR218" t="str">
        <f t="shared" si="38"/>
        <v/>
      </c>
      <c r="AS218" t="str">
        <f t="shared" si="39"/>
        <v/>
      </c>
      <c r="AT218" t="str">
        <f t="shared" si="40"/>
        <v/>
      </c>
      <c r="BG218" t="str">
        <f t="shared" si="41"/>
        <v/>
      </c>
      <c r="BH218" t="str">
        <f t="shared" si="42"/>
        <v/>
      </c>
      <c r="BL218" t="str">
        <f>IFERROR(INDEX(_names_lookup!$C:$C,MATCH(BK218,_names_lookup!$A:$A,0)),"")</f>
        <v/>
      </c>
      <c r="BM218" t="str">
        <f>IFERROR(INDEX(_names_lookup!$B:$B,MATCH(BK218,_names_lookup!$A:$A,0)),"")</f>
        <v/>
      </c>
      <c r="BS218" t="str">
        <f t="shared" si="43"/>
        <v/>
      </c>
    </row>
    <row r="219" spans="15:71" x14ac:dyDescent="0.2">
      <c r="O219" t="str">
        <f>IFERROR(INDEX(_courses_lookup!$C:$C,MATCH(K219&amp;L219,_courses_lookup!$E:$E,0)),"")</f>
        <v/>
      </c>
      <c r="P219" t="str">
        <f>IFERROR(INDEX(_courses_lookup!$D:$D,MATCH(K219&amp;L219,_courses_lookup!$E:$E,0)),"")</f>
        <v/>
      </c>
      <c r="AG219" t="str">
        <f t="shared" si="33"/>
        <v/>
      </c>
      <c r="AI219" t="str">
        <f t="shared" si="34"/>
        <v/>
      </c>
      <c r="AL219" t="str">
        <f t="shared" si="35"/>
        <v/>
      </c>
      <c r="AN219" t="str">
        <f t="shared" si="36"/>
        <v/>
      </c>
      <c r="AQ219" t="str">
        <f t="shared" si="37"/>
        <v/>
      </c>
      <c r="AR219" t="str">
        <f t="shared" si="38"/>
        <v/>
      </c>
      <c r="AS219" t="str">
        <f t="shared" si="39"/>
        <v/>
      </c>
      <c r="AT219" t="str">
        <f t="shared" si="40"/>
        <v/>
      </c>
      <c r="BG219" t="str">
        <f t="shared" si="41"/>
        <v/>
      </c>
      <c r="BH219" t="str">
        <f t="shared" si="42"/>
        <v/>
      </c>
      <c r="BL219" t="str">
        <f>IFERROR(INDEX(_names_lookup!$C:$C,MATCH(BK219,_names_lookup!$A:$A,0)),"")</f>
        <v/>
      </c>
      <c r="BM219" t="str">
        <f>IFERROR(INDEX(_names_lookup!$B:$B,MATCH(BK219,_names_lookup!$A:$A,0)),"")</f>
        <v/>
      </c>
      <c r="BS219" t="str">
        <f t="shared" si="43"/>
        <v/>
      </c>
    </row>
    <row r="220" spans="15:71" x14ac:dyDescent="0.2">
      <c r="O220" t="str">
        <f>IFERROR(INDEX(_courses_lookup!$C:$C,MATCH(K220&amp;L220,_courses_lookup!$E:$E,0)),"")</f>
        <v/>
      </c>
      <c r="P220" t="str">
        <f>IFERROR(INDEX(_courses_lookup!$D:$D,MATCH(K220&amp;L220,_courses_lookup!$E:$E,0)),"")</f>
        <v/>
      </c>
      <c r="AG220" t="str">
        <f t="shared" si="33"/>
        <v/>
      </c>
      <c r="AI220" t="str">
        <f t="shared" si="34"/>
        <v/>
      </c>
      <c r="AL220" t="str">
        <f t="shared" si="35"/>
        <v/>
      </c>
      <c r="AN220" t="str">
        <f t="shared" si="36"/>
        <v/>
      </c>
      <c r="AQ220" t="str">
        <f t="shared" si="37"/>
        <v/>
      </c>
      <c r="AR220" t="str">
        <f t="shared" si="38"/>
        <v/>
      </c>
      <c r="AS220" t="str">
        <f t="shared" si="39"/>
        <v/>
      </c>
      <c r="AT220" t="str">
        <f t="shared" si="40"/>
        <v/>
      </c>
      <c r="BG220" t="str">
        <f t="shared" si="41"/>
        <v/>
      </c>
      <c r="BH220" t="str">
        <f t="shared" si="42"/>
        <v/>
      </c>
      <c r="BL220" t="str">
        <f>IFERROR(INDEX(_names_lookup!$C:$C,MATCH(BK220,_names_lookup!$A:$A,0)),"")</f>
        <v/>
      </c>
      <c r="BM220" t="str">
        <f>IFERROR(INDEX(_names_lookup!$B:$B,MATCH(BK220,_names_lookup!$A:$A,0)),"")</f>
        <v/>
      </c>
      <c r="BS220" t="str">
        <f t="shared" si="43"/>
        <v/>
      </c>
    </row>
    <row r="221" spans="15:71" x14ac:dyDescent="0.2">
      <c r="O221" t="str">
        <f>IFERROR(INDEX(_courses_lookup!$C:$C,MATCH(K221&amp;L221,_courses_lookup!$E:$E,0)),"")</f>
        <v/>
      </c>
      <c r="P221" t="str">
        <f>IFERROR(INDEX(_courses_lookup!$D:$D,MATCH(K221&amp;L221,_courses_lookup!$E:$E,0)),"")</f>
        <v/>
      </c>
      <c r="AG221" t="str">
        <f t="shared" si="33"/>
        <v/>
      </c>
      <c r="AI221" t="str">
        <f t="shared" si="34"/>
        <v/>
      </c>
      <c r="AL221" t="str">
        <f t="shared" si="35"/>
        <v/>
      </c>
      <c r="AN221" t="str">
        <f t="shared" si="36"/>
        <v/>
      </c>
      <c r="AQ221" t="str">
        <f t="shared" si="37"/>
        <v/>
      </c>
      <c r="AR221" t="str">
        <f t="shared" si="38"/>
        <v/>
      </c>
      <c r="AS221" t="str">
        <f t="shared" si="39"/>
        <v/>
      </c>
      <c r="AT221" t="str">
        <f t="shared" si="40"/>
        <v/>
      </c>
      <c r="BG221" t="str">
        <f t="shared" si="41"/>
        <v/>
      </c>
      <c r="BH221" t="str">
        <f t="shared" si="42"/>
        <v/>
      </c>
      <c r="BL221" t="str">
        <f>IFERROR(INDEX(_names_lookup!$C:$C,MATCH(BK221,_names_lookup!$A:$A,0)),"")</f>
        <v/>
      </c>
      <c r="BM221" t="str">
        <f>IFERROR(INDEX(_names_lookup!$B:$B,MATCH(BK221,_names_lookup!$A:$A,0)),"")</f>
        <v/>
      </c>
      <c r="BS221" t="str">
        <f t="shared" si="43"/>
        <v/>
      </c>
    </row>
    <row r="222" spans="15:71" x14ac:dyDescent="0.2">
      <c r="O222" t="str">
        <f>IFERROR(INDEX(_courses_lookup!$C:$C,MATCH(K222&amp;L222,_courses_lookup!$E:$E,0)),"")</f>
        <v/>
      </c>
      <c r="P222" t="str">
        <f>IFERROR(INDEX(_courses_lookup!$D:$D,MATCH(K222&amp;L222,_courses_lookup!$E:$E,0)),"")</f>
        <v/>
      </c>
      <c r="AG222" t="str">
        <f t="shared" si="33"/>
        <v/>
      </c>
      <c r="AI222" t="str">
        <f t="shared" si="34"/>
        <v/>
      </c>
      <c r="AL222" t="str">
        <f t="shared" si="35"/>
        <v/>
      </c>
      <c r="AN222" t="str">
        <f t="shared" si="36"/>
        <v/>
      </c>
      <c r="AQ222" t="str">
        <f t="shared" si="37"/>
        <v/>
      </c>
      <c r="AR222" t="str">
        <f t="shared" si="38"/>
        <v/>
      </c>
      <c r="AS222" t="str">
        <f t="shared" si="39"/>
        <v/>
      </c>
      <c r="AT222" t="str">
        <f t="shared" si="40"/>
        <v/>
      </c>
      <c r="BG222" t="str">
        <f t="shared" si="41"/>
        <v/>
      </c>
      <c r="BH222" t="str">
        <f t="shared" si="42"/>
        <v/>
      </c>
      <c r="BL222" t="str">
        <f>IFERROR(INDEX(_names_lookup!$C:$C,MATCH(BK222,_names_lookup!$A:$A,0)),"")</f>
        <v/>
      </c>
      <c r="BM222" t="str">
        <f>IFERROR(INDEX(_names_lookup!$B:$B,MATCH(BK222,_names_lookup!$A:$A,0)),"")</f>
        <v/>
      </c>
      <c r="BS222" t="str">
        <f t="shared" si="43"/>
        <v/>
      </c>
    </row>
    <row r="223" spans="15:71" x14ac:dyDescent="0.2">
      <c r="O223" t="str">
        <f>IFERROR(INDEX(_courses_lookup!$C:$C,MATCH(K223&amp;L223,_courses_lookup!$E:$E,0)),"")</f>
        <v/>
      </c>
      <c r="P223" t="str">
        <f>IFERROR(INDEX(_courses_lookup!$D:$D,MATCH(K223&amp;L223,_courses_lookup!$E:$E,0)),"")</f>
        <v/>
      </c>
      <c r="AG223" t="str">
        <f t="shared" si="33"/>
        <v/>
      </c>
      <c r="AI223" t="str">
        <f t="shared" si="34"/>
        <v/>
      </c>
      <c r="AL223" t="str">
        <f t="shared" si="35"/>
        <v/>
      </c>
      <c r="AN223" t="str">
        <f t="shared" si="36"/>
        <v/>
      </c>
      <c r="AQ223" t="str">
        <f t="shared" si="37"/>
        <v/>
      </c>
      <c r="AR223" t="str">
        <f t="shared" si="38"/>
        <v/>
      </c>
      <c r="AS223" t="str">
        <f t="shared" si="39"/>
        <v/>
      </c>
      <c r="AT223" t="str">
        <f t="shared" si="40"/>
        <v/>
      </c>
      <c r="BG223" t="str">
        <f t="shared" si="41"/>
        <v/>
      </c>
      <c r="BH223" t="str">
        <f t="shared" si="42"/>
        <v/>
      </c>
      <c r="BL223" t="str">
        <f>IFERROR(INDEX(_names_lookup!$C:$C,MATCH(BK223,_names_lookup!$A:$A,0)),"")</f>
        <v/>
      </c>
      <c r="BM223" t="str">
        <f>IFERROR(INDEX(_names_lookup!$B:$B,MATCH(BK223,_names_lookup!$A:$A,0)),"")</f>
        <v/>
      </c>
      <c r="BS223" t="str">
        <f t="shared" si="43"/>
        <v/>
      </c>
    </row>
    <row r="224" spans="15:71" x14ac:dyDescent="0.2">
      <c r="O224" t="str">
        <f>IFERROR(INDEX(_courses_lookup!$C:$C,MATCH(K224&amp;L224,_courses_lookup!$E:$E,0)),"")</f>
        <v/>
      </c>
      <c r="P224" t="str">
        <f>IFERROR(INDEX(_courses_lookup!$D:$D,MATCH(K224&amp;L224,_courses_lookup!$E:$E,0)),"")</f>
        <v/>
      </c>
      <c r="AG224" t="str">
        <f t="shared" si="33"/>
        <v/>
      </c>
      <c r="AI224" t="str">
        <f t="shared" si="34"/>
        <v/>
      </c>
      <c r="AL224" t="str">
        <f t="shared" si="35"/>
        <v/>
      </c>
      <c r="AN224" t="str">
        <f t="shared" si="36"/>
        <v/>
      </c>
      <c r="AQ224" t="str">
        <f t="shared" si="37"/>
        <v/>
      </c>
      <c r="AR224" t="str">
        <f t="shared" si="38"/>
        <v/>
      </c>
      <c r="AS224" t="str">
        <f t="shared" si="39"/>
        <v/>
      </c>
      <c r="AT224" t="str">
        <f t="shared" si="40"/>
        <v/>
      </c>
      <c r="BG224" t="str">
        <f t="shared" si="41"/>
        <v/>
      </c>
      <c r="BH224" t="str">
        <f t="shared" si="42"/>
        <v/>
      </c>
      <c r="BL224" t="str">
        <f>IFERROR(INDEX(_names_lookup!$C:$C,MATCH(BK224,_names_lookup!$A:$A,0)),"")</f>
        <v/>
      </c>
      <c r="BM224" t="str">
        <f>IFERROR(INDEX(_names_lookup!$B:$B,MATCH(BK224,_names_lookup!$A:$A,0)),"")</f>
        <v/>
      </c>
      <c r="BS224" t="str">
        <f t="shared" si="43"/>
        <v/>
      </c>
    </row>
    <row r="225" spans="15:71" x14ac:dyDescent="0.2">
      <c r="O225" t="str">
        <f>IFERROR(INDEX(_courses_lookup!$C:$C,MATCH(K225&amp;L225,_courses_lookup!$E:$E,0)),"")</f>
        <v/>
      </c>
      <c r="P225" t="str">
        <f>IFERROR(INDEX(_courses_lookup!$D:$D,MATCH(K225&amp;L225,_courses_lookup!$E:$E,0)),"")</f>
        <v/>
      </c>
      <c r="AG225" t="str">
        <f t="shared" si="33"/>
        <v/>
      </c>
      <c r="AI225" t="str">
        <f t="shared" si="34"/>
        <v/>
      </c>
      <c r="AL225" t="str">
        <f t="shared" si="35"/>
        <v/>
      </c>
      <c r="AN225" t="str">
        <f t="shared" si="36"/>
        <v/>
      </c>
      <c r="AQ225" t="str">
        <f t="shared" si="37"/>
        <v/>
      </c>
      <c r="AR225" t="str">
        <f t="shared" si="38"/>
        <v/>
      </c>
      <c r="AS225" t="str">
        <f t="shared" si="39"/>
        <v/>
      </c>
      <c r="AT225" t="str">
        <f t="shared" si="40"/>
        <v/>
      </c>
      <c r="BG225" t="str">
        <f t="shared" si="41"/>
        <v/>
      </c>
      <c r="BH225" t="str">
        <f t="shared" si="42"/>
        <v/>
      </c>
      <c r="BL225" t="str">
        <f>IFERROR(INDEX(_names_lookup!$C:$C,MATCH(BK225,_names_lookup!$A:$A,0)),"")</f>
        <v/>
      </c>
      <c r="BM225" t="str">
        <f>IFERROR(INDEX(_names_lookup!$B:$B,MATCH(BK225,_names_lookup!$A:$A,0)),"")</f>
        <v/>
      </c>
      <c r="BS225" t="str">
        <f t="shared" si="43"/>
        <v/>
      </c>
    </row>
    <row r="226" spans="15:71" x14ac:dyDescent="0.2">
      <c r="O226" t="str">
        <f>IFERROR(INDEX(_courses_lookup!$C:$C,MATCH(K226&amp;L226,_courses_lookup!$E:$E,0)),"")</f>
        <v/>
      </c>
      <c r="P226" t="str">
        <f>IFERROR(INDEX(_courses_lookup!$D:$D,MATCH(K226&amp;L226,_courses_lookup!$E:$E,0)),"")</f>
        <v/>
      </c>
      <c r="AG226" t="str">
        <f t="shared" si="33"/>
        <v/>
      </c>
      <c r="AI226" t="str">
        <f t="shared" si="34"/>
        <v/>
      </c>
      <c r="AL226" t="str">
        <f t="shared" si="35"/>
        <v/>
      </c>
      <c r="AN226" t="str">
        <f t="shared" si="36"/>
        <v/>
      </c>
      <c r="AQ226" t="str">
        <f t="shared" si="37"/>
        <v/>
      </c>
      <c r="AR226" t="str">
        <f t="shared" si="38"/>
        <v/>
      </c>
      <c r="AS226" t="str">
        <f t="shared" si="39"/>
        <v/>
      </c>
      <c r="AT226" t="str">
        <f t="shared" si="40"/>
        <v/>
      </c>
      <c r="BG226" t="str">
        <f t="shared" si="41"/>
        <v/>
      </c>
      <c r="BH226" t="str">
        <f t="shared" si="42"/>
        <v/>
      </c>
      <c r="BL226" t="str">
        <f>IFERROR(INDEX(_names_lookup!$C:$C,MATCH(BK226,_names_lookup!$A:$A,0)),"")</f>
        <v/>
      </c>
      <c r="BM226" t="str">
        <f>IFERROR(INDEX(_names_lookup!$B:$B,MATCH(BK226,_names_lookup!$A:$A,0)),"")</f>
        <v/>
      </c>
      <c r="BS226" t="str">
        <f t="shared" si="43"/>
        <v/>
      </c>
    </row>
    <row r="227" spans="15:71" x14ac:dyDescent="0.2">
      <c r="O227" t="str">
        <f>IFERROR(INDEX(_courses_lookup!$C:$C,MATCH(K227&amp;L227,_courses_lookup!$E:$E,0)),"")</f>
        <v/>
      </c>
      <c r="P227" t="str">
        <f>IFERROR(INDEX(_courses_lookup!$D:$D,MATCH(K227&amp;L227,_courses_lookup!$E:$E,0)),"")</f>
        <v/>
      </c>
      <c r="AG227" t="str">
        <f t="shared" si="33"/>
        <v/>
      </c>
      <c r="AI227" t="str">
        <f t="shared" si="34"/>
        <v/>
      </c>
      <c r="AL227" t="str">
        <f t="shared" si="35"/>
        <v/>
      </c>
      <c r="AN227" t="str">
        <f t="shared" si="36"/>
        <v/>
      </c>
      <c r="AQ227" t="str">
        <f t="shared" si="37"/>
        <v/>
      </c>
      <c r="AR227" t="str">
        <f t="shared" si="38"/>
        <v/>
      </c>
      <c r="AS227" t="str">
        <f t="shared" si="39"/>
        <v/>
      </c>
      <c r="AT227" t="str">
        <f t="shared" si="40"/>
        <v/>
      </c>
      <c r="BG227" t="str">
        <f t="shared" si="41"/>
        <v/>
      </c>
      <c r="BH227" t="str">
        <f t="shared" si="42"/>
        <v/>
      </c>
      <c r="BL227" t="str">
        <f>IFERROR(INDEX(_names_lookup!$C:$C,MATCH(BK227,_names_lookup!$A:$A,0)),"")</f>
        <v/>
      </c>
      <c r="BM227" t="str">
        <f>IFERROR(INDEX(_names_lookup!$B:$B,MATCH(BK227,_names_lookup!$A:$A,0)),"")</f>
        <v/>
      </c>
      <c r="BS227" t="str">
        <f t="shared" si="43"/>
        <v/>
      </c>
    </row>
    <row r="228" spans="15:71" x14ac:dyDescent="0.2">
      <c r="O228" t="str">
        <f>IFERROR(INDEX(_courses_lookup!$C:$C,MATCH(K228&amp;L228,_courses_lookup!$E:$E,0)),"")</f>
        <v/>
      </c>
      <c r="P228" t="str">
        <f>IFERROR(INDEX(_courses_lookup!$D:$D,MATCH(K228&amp;L228,_courses_lookup!$E:$E,0)),"")</f>
        <v/>
      </c>
      <c r="AG228" t="str">
        <f t="shared" si="33"/>
        <v/>
      </c>
      <c r="AI228" t="str">
        <f t="shared" si="34"/>
        <v/>
      </c>
      <c r="AL228" t="str">
        <f t="shared" si="35"/>
        <v/>
      </c>
      <c r="AN228" t="str">
        <f t="shared" si="36"/>
        <v/>
      </c>
      <c r="AQ228" t="str">
        <f t="shared" si="37"/>
        <v/>
      </c>
      <c r="AR228" t="str">
        <f t="shared" si="38"/>
        <v/>
      </c>
      <c r="AS228" t="str">
        <f t="shared" si="39"/>
        <v/>
      </c>
      <c r="AT228" t="str">
        <f t="shared" si="40"/>
        <v/>
      </c>
      <c r="BG228" t="str">
        <f t="shared" si="41"/>
        <v/>
      </c>
      <c r="BH228" t="str">
        <f t="shared" si="42"/>
        <v/>
      </c>
      <c r="BL228" t="str">
        <f>IFERROR(INDEX(_names_lookup!$C:$C,MATCH(BK228,_names_lookup!$A:$A,0)),"")</f>
        <v/>
      </c>
      <c r="BM228" t="str">
        <f>IFERROR(INDEX(_names_lookup!$B:$B,MATCH(BK228,_names_lookup!$A:$A,0)),"")</f>
        <v/>
      </c>
      <c r="BS228" t="str">
        <f t="shared" si="43"/>
        <v/>
      </c>
    </row>
    <row r="229" spans="15:71" x14ac:dyDescent="0.2">
      <c r="O229" t="str">
        <f>IFERROR(INDEX(_courses_lookup!$C:$C,MATCH(K229&amp;L229,_courses_lookup!$E:$E,0)),"")</f>
        <v/>
      </c>
      <c r="P229" t="str">
        <f>IFERROR(INDEX(_courses_lookup!$D:$D,MATCH(K229&amp;L229,_courses_lookup!$E:$E,0)),"")</f>
        <v/>
      </c>
      <c r="AG229" t="str">
        <f t="shared" si="33"/>
        <v/>
      </c>
      <c r="AI229" t="str">
        <f t="shared" si="34"/>
        <v/>
      </c>
      <c r="AL229" t="str">
        <f t="shared" si="35"/>
        <v/>
      </c>
      <c r="AN229" t="str">
        <f t="shared" si="36"/>
        <v/>
      </c>
      <c r="AQ229" t="str">
        <f t="shared" si="37"/>
        <v/>
      </c>
      <c r="AR229" t="str">
        <f t="shared" si="38"/>
        <v/>
      </c>
      <c r="AS229" t="str">
        <f t="shared" si="39"/>
        <v/>
      </c>
      <c r="AT229" t="str">
        <f t="shared" si="40"/>
        <v/>
      </c>
      <c r="BG229" t="str">
        <f t="shared" si="41"/>
        <v/>
      </c>
      <c r="BH229" t="str">
        <f t="shared" si="42"/>
        <v/>
      </c>
      <c r="BL229" t="str">
        <f>IFERROR(INDEX(_names_lookup!$C:$C,MATCH(BK229,_names_lookup!$A:$A,0)),"")</f>
        <v/>
      </c>
      <c r="BM229" t="str">
        <f>IFERROR(INDEX(_names_lookup!$B:$B,MATCH(BK229,_names_lookup!$A:$A,0)),"")</f>
        <v/>
      </c>
      <c r="BS229" t="str">
        <f t="shared" si="43"/>
        <v/>
      </c>
    </row>
    <row r="230" spans="15:71" x14ac:dyDescent="0.2">
      <c r="O230" t="str">
        <f>IFERROR(INDEX(_courses_lookup!$C:$C,MATCH(K230&amp;L230,_courses_lookup!$E:$E,0)),"")</f>
        <v/>
      </c>
      <c r="P230" t="str">
        <f>IFERROR(INDEX(_courses_lookup!$D:$D,MATCH(K230&amp;L230,_courses_lookup!$E:$E,0)),"")</f>
        <v/>
      </c>
      <c r="AG230" t="str">
        <f t="shared" si="33"/>
        <v/>
      </c>
      <c r="AI230" t="str">
        <f t="shared" si="34"/>
        <v/>
      </c>
      <c r="AL230" t="str">
        <f t="shared" si="35"/>
        <v/>
      </c>
      <c r="AN230" t="str">
        <f t="shared" si="36"/>
        <v/>
      </c>
      <c r="AQ230" t="str">
        <f t="shared" si="37"/>
        <v/>
      </c>
      <c r="AR230" t="str">
        <f t="shared" si="38"/>
        <v/>
      </c>
      <c r="AS230" t="str">
        <f t="shared" si="39"/>
        <v/>
      </c>
      <c r="AT230" t="str">
        <f t="shared" si="40"/>
        <v/>
      </c>
      <c r="BG230" t="str">
        <f t="shared" si="41"/>
        <v/>
      </c>
      <c r="BH230" t="str">
        <f t="shared" si="42"/>
        <v/>
      </c>
      <c r="BL230" t="str">
        <f>IFERROR(INDEX(_names_lookup!$C:$C,MATCH(BK230,_names_lookup!$A:$A,0)),"")</f>
        <v/>
      </c>
      <c r="BM230" t="str">
        <f>IFERROR(INDEX(_names_lookup!$B:$B,MATCH(BK230,_names_lookup!$A:$A,0)),"")</f>
        <v/>
      </c>
      <c r="BS230" t="str">
        <f t="shared" si="43"/>
        <v/>
      </c>
    </row>
    <row r="231" spans="15:71" x14ac:dyDescent="0.2">
      <c r="O231" t="str">
        <f>IFERROR(INDEX(_courses_lookup!$C:$C,MATCH(K231&amp;L231,_courses_lookup!$E:$E,0)),"")</f>
        <v/>
      </c>
      <c r="P231" t="str">
        <f>IFERROR(INDEX(_courses_lookup!$D:$D,MATCH(K231&amp;L231,_courses_lookup!$E:$E,0)),"")</f>
        <v/>
      </c>
      <c r="AG231" t="str">
        <f t="shared" si="33"/>
        <v/>
      </c>
      <c r="AI231" t="str">
        <f t="shared" si="34"/>
        <v/>
      </c>
      <c r="AL231" t="str">
        <f t="shared" si="35"/>
        <v/>
      </c>
      <c r="AN231" t="str">
        <f t="shared" si="36"/>
        <v/>
      </c>
      <c r="AQ231" t="str">
        <f t="shared" si="37"/>
        <v/>
      </c>
      <c r="AR231" t="str">
        <f t="shared" si="38"/>
        <v/>
      </c>
      <c r="AS231" t="str">
        <f t="shared" si="39"/>
        <v/>
      </c>
      <c r="AT231" t="str">
        <f t="shared" si="40"/>
        <v/>
      </c>
      <c r="BG231" t="str">
        <f t="shared" si="41"/>
        <v/>
      </c>
      <c r="BH231" t="str">
        <f t="shared" si="42"/>
        <v/>
      </c>
      <c r="BL231" t="str">
        <f>IFERROR(INDEX(_names_lookup!$C:$C,MATCH(BK231,_names_lookup!$A:$A,0)),"")</f>
        <v/>
      </c>
      <c r="BM231" t="str">
        <f>IFERROR(INDEX(_names_lookup!$B:$B,MATCH(BK231,_names_lookup!$A:$A,0)),"")</f>
        <v/>
      </c>
      <c r="BS231" t="str">
        <f t="shared" si="43"/>
        <v/>
      </c>
    </row>
    <row r="232" spans="15:71" x14ac:dyDescent="0.2">
      <c r="O232" t="str">
        <f>IFERROR(INDEX(_courses_lookup!$C:$C,MATCH(K232&amp;L232,_courses_lookup!$E:$E,0)),"")</f>
        <v/>
      </c>
      <c r="P232" t="str">
        <f>IFERROR(INDEX(_courses_lookup!$D:$D,MATCH(K232&amp;L232,_courses_lookup!$E:$E,0)),"")</f>
        <v/>
      </c>
      <c r="AG232" t="str">
        <f t="shared" si="33"/>
        <v/>
      </c>
      <c r="AI232" t="str">
        <f t="shared" si="34"/>
        <v/>
      </c>
      <c r="AL232" t="str">
        <f t="shared" si="35"/>
        <v/>
      </c>
      <c r="AN232" t="str">
        <f t="shared" si="36"/>
        <v/>
      </c>
      <c r="AQ232" t="str">
        <f t="shared" si="37"/>
        <v/>
      </c>
      <c r="AR232" t="str">
        <f t="shared" si="38"/>
        <v/>
      </c>
      <c r="AS232" t="str">
        <f t="shared" si="39"/>
        <v/>
      </c>
      <c r="AT232" t="str">
        <f t="shared" si="40"/>
        <v/>
      </c>
      <c r="BG232" t="str">
        <f t="shared" si="41"/>
        <v/>
      </c>
      <c r="BH232" t="str">
        <f t="shared" si="42"/>
        <v/>
      </c>
      <c r="BL232" t="str">
        <f>IFERROR(INDEX(_names_lookup!$C:$C,MATCH(BK232,_names_lookup!$A:$A,0)),"")</f>
        <v/>
      </c>
      <c r="BM232" t="str">
        <f>IFERROR(INDEX(_names_lookup!$B:$B,MATCH(BK232,_names_lookup!$A:$A,0)),"")</f>
        <v/>
      </c>
      <c r="BS232" t="str">
        <f t="shared" si="43"/>
        <v/>
      </c>
    </row>
    <row r="233" spans="15:71" x14ac:dyDescent="0.2">
      <c r="O233" t="str">
        <f>IFERROR(INDEX(_courses_lookup!$C:$C,MATCH(K233&amp;L233,_courses_lookup!$E:$E,0)),"")</f>
        <v/>
      </c>
      <c r="P233" t="str">
        <f>IFERROR(INDEX(_courses_lookup!$D:$D,MATCH(K233&amp;L233,_courses_lookup!$E:$E,0)),"")</f>
        <v/>
      </c>
      <c r="AG233" t="str">
        <f t="shared" si="33"/>
        <v/>
      </c>
      <c r="AI233" t="str">
        <f t="shared" si="34"/>
        <v/>
      </c>
      <c r="AL233" t="str">
        <f t="shared" si="35"/>
        <v/>
      </c>
      <c r="AN233" t="str">
        <f t="shared" si="36"/>
        <v/>
      </c>
      <c r="AQ233" t="str">
        <f t="shared" si="37"/>
        <v/>
      </c>
      <c r="AR233" t="str">
        <f t="shared" si="38"/>
        <v/>
      </c>
      <c r="AS233" t="str">
        <f t="shared" si="39"/>
        <v/>
      </c>
      <c r="AT233" t="str">
        <f t="shared" si="40"/>
        <v/>
      </c>
      <c r="BG233" t="str">
        <f t="shared" si="41"/>
        <v/>
      </c>
      <c r="BH233" t="str">
        <f t="shared" si="42"/>
        <v/>
      </c>
      <c r="BL233" t="str">
        <f>IFERROR(INDEX(_names_lookup!$C:$C,MATCH(BK233,_names_lookup!$A:$A,0)),"")</f>
        <v/>
      </c>
      <c r="BM233" t="str">
        <f>IFERROR(INDEX(_names_lookup!$B:$B,MATCH(BK233,_names_lookup!$A:$A,0)),"")</f>
        <v/>
      </c>
      <c r="BS233" t="str">
        <f t="shared" si="43"/>
        <v/>
      </c>
    </row>
    <row r="234" spans="15:71" x14ac:dyDescent="0.2">
      <c r="O234" t="str">
        <f>IFERROR(INDEX(_courses_lookup!$C:$C,MATCH(K234&amp;L234,_courses_lookup!$E:$E,0)),"")</f>
        <v/>
      </c>
      <c r="P234" t="str">
        <f>IFERROR(INDEX(_courses_lookup!$D:$D,MATCH(K234&amp;L234,_courses_lookup!$E:$E,0)),"")</f>
        <v/>
      </c>
      <c r="AG234" t="str">
        <f t="shared" si="33"/>
        <v/>
      </c>
      <c r="AI234" t="str">
        <f t="shared" si="34"/>
        <v/>
      </c>
      <c r="AL234" t="str">
        <f t="shared" si="35"/>
        <v/>
      </c>
      <c r="AN234" t="str">
        <f t="shared" si="36"/>
        <v/>
      </c>
      <c r="AQ234" t="str">
        <f t="shared" si="37"/>
        <v/>
      </c>
      <c r="AR234" t="str">
        <f t="shared" si="38"/>
        <v/>
      </c>
      <c r="AS234" t="str">
        <f t="shared" si="39"/>
        <v/>
      </c>
      <c r="AT234" t="str">
        <f t="shared" si="40"/>
        <v/>
      </c>
      <c r="BG234" t="str">
        <f t="shared" si="41"/>
        <v/>
      </c>
      <c r="BH234" t="str">
        <f t="shared" si="42"/>
        <v/>
      </c>
      <c r="BL234" t="str">
        <f>IFERROR(INDEX(_names_lookup!$C:$C,MATCH(BK234,_names_lookup!$A:$A,0)),"")</f>
        <v/>
      </c>
      <c r="BM234" t="str">
        <f>IFERROR(INDEX(_names_lookup!$B:$B,MATCH(BK234,_names_lookup!$A:$A,0)),"")</f>
        <v/>
      </c>
      <c r="BS234" t="str">
        <f t="shared" si="43"/>
        <v/>
      </c>
    </row>
    <row r="235" spans="15:71" x14ac:dyDescent="0.2">
      <c r="O235" t="str">
        <f>IFERROR(INDEX(_courses_lookup!$C:$C,MATCH(K235&amp;L235,_courses_lookup!$E:$E,0)),"")</f>
        <v/>
      </c>
      <c r="P235" t="str">
        <f>IFERROR(INDEX(_courses_lookup!$D:$D,MATCH(K235&amp;L235,_courses_lookup!$E:$E,0)),"")</f>
        <v/>
      </c>
      <c r="AG235" t="str">
        <f t="shared" si="33"/>
        <v/>
      </c>
      <c r="AI235" t="str">
        <f t="shared" si="34"/>
        <v/>
      </c>
      <c r="AL235" t="str">
        <f t="shared" si="35"/>
        <v/>
      </c>
      <c r="AN235" t="str">
        <f t="shared" si="36"/>
        <v/>
      </c>
      <c r="AQ235" t="str">
        <f t="shared" si="37"/>
        <v/>
      </c>
      <c r="AR235" t="str">
        <f t="shared" si="38"/>
        <v/>
      </c>
      <c r="AS235" t="str">
        <f t="shared" si="39"/>
        <v/>
      </c>
      <c r="AT235" t="str">
        <f t="shared" si="40"/>
        <v/>
      </c>
      <c r="BG235" t="str">
        <f t="shared" si="41"/>
        <v/>
      </c>
      <c r="BH235" t="str">
        <f t="shared" si="42"/>
        <v/>
      </c>
      <c r="BL235" t="str">
        <f>IFERROR(INDEX(_names_lookup!$C:$C,MATCH(BK235,_names_lookup!$A:$A,0)),"")</f>
        <v/>
      </c>
      <c r="BM235" t="str">
        <f>IFERROR(INDEX(_names_lookup!$B:$B,MATCH(BK235,_names_lookup!$A:$A,0)),"")</f>
        <v/>
      </c>
      <c r="BS235" t="str">
        <f t="shared" si="43"/>
        <v/>
      </c>
    </row>
    <row r="236" spans="15:71" x14ac:dyDescent="0.2">
      <c r="O236" t="str">
        <f>IFERROR(INDEX(_courses_lookup!$C:$C,MATCH(K236&amp;L236,_courses_lookup!$E:$E,0)),"")</f>
        <v/>
      </c>
      <c r="P236" t="str">
        <f>IFERROR(INDEX(_courses_lookup!$D:$D,MATCH(K236&amp;L236,_courses_lookup!$E:$E,0)),"")</f>
        <v/>
      </c>
      <c r="AG236" t="str">
        <f t="shared" si="33"/>
        <v/>
      </c>
      <c r="AI236" t="str">
        <f t="shared" si="34"/>
        <v/>
      </c>
      <c r="AL236" t="str">
        <f t="shared" si="35"/>
        <v/>
      </c>
      <c r="AN236" t="str">
        <f t="shared" si="36"/>
        <v/>
      </c>
      <c r="AQ236" t="str">
        <f t="shared" si="37"/>
        <v/>
      </c>
      <c r="AR236" t="str">
        <f t="shared" si="38"/>
        <v/>
      </c>
      <c r="AS236" t="str">
        <f t="shared" si="39"/>
        <v/>
      </c>
      <c r="AT236" t="str">
        <f t="shared" si="40"/>
        <v/>
      </c>
      <c r="BG236" t="str">
        <f t="shared" si="41"/>
        <v/>
      </c>
      <c r="BH236" t="str">
        <f t="shared" si="42"/>
        <v/>
      </c>
      <c r="BL236" t="str">
        <f>IFERROR(INDEX(_names_lookup!$C:$C,MATCH(BK236,_names_lookup!$A:$A,0)),"")</f>
        <v/>
      </c>
      <c r="BM236" t="str">
        <f>IFERROR(INDEX(_names_lookup!$B:$B,MATCH(BK236,_names_lookup!$A:$A,0)),"")</f>
        <v/>
      </c>
      <c r="BS236" t="str">
        <f t="shared" si="43"/>
        <v/>
      </c>
    </row>
    <row r="237" spans="15:71" x14ac:dyDescent="0.2">
      <c r="O237" t="str">
        <f>IFERROR(INDEX(_courses_lookup!$C:$C,MATCH(K237&amp;L237,_courses_lookup!$E:$E,0)),"")</f>
        <v/>
      </c>
      <c r="P237" t="str">
        <f>IFERROR(INDEX(_courses_lookup!$D:$D,MATCH(K237&amp;L237,_courses_lookup!$E:$E,0)),"")</f>
        <v/>
      </c>
      <c r="AG237" t="str">
        <f t="shared" si="33"/>
        <v/>
      </c>
      <c r="AI237" t="str">
        <f t="shared" si="34"/>
        <v/>
      </c>
      <c r="AL237" t="str">
        <f t="shared" si="35"/>
        <v/>
      </c>
      <c r="AN237" t="str">
        <f t="shared" si="36"/>
        <v/>
      </c>
      <c r="AQ237" t="str">
        <f t="shared" si="37"/>
        <v/>
      </c>
      <c r="AR237" t="str">
        <f t="shared" si="38"/>
        <v/>
      </c>
      <c r="AS237" t="str">
        <f t="shared" si="39"/>
        <v/>
      </c>
      <c r="AT237" t="str">
        <f t="shared" si="40"/>
        <v/>
      </c>
      <c r="BG237" t="str">
        <f t="shared" si="41"/>
        <v/>
      </c>
      <c r="BH237" t="str">
        <f t="shared" si="42"/>
        <v/>
      </c>
      <c r="BL237" t="str">
        <f>IFERROR(INDEX(_names_lookup!$C:$C,MATCH(BK237,_names_lookup!$A:$A,0)),"")</f>
        <v/>
      </c>
      <c r="BM237" t="str">
        <f>IFERROR(INDEX(_names_lookup!$B:$B,MATCH(BK237,_names_lookup!$A:$A,0)),"")</f>
        <v/>
      </c>
      <c r="BS237" t="str">
        <f t="shared" si="43"/>
        <v/>
      </c>
    </row>
    <row r="238" spans="15:71" x14ac:dyDescent="0.2">
      <c r="O238" t="str">
        <f>IFERROR(INDEX(_courses_lookup!$C:$C,MATCH(K238&amp;L238,_courses_lookup!$E:$E,0)),"")</f>
        <v/>
      </c>
      <c r="P238" t="str">
        <f>IFERROR(INDEX(_courses_lookup!$D:$D,MATCH(K238&amp;L238,_courses_lookup!$E:$E,0)),"")</f>
        <v/>
      </c>
      <c r="AG238" t="str">
        <f t="shared" si="33"/>
        <v/>
      </c>
      <c r="AI238" t="str">
        <f t="shared" si="34"/>
        <v/>
      </c>
      <c r="AL238" t="str">
        <f t="shared" si="35"/>
        <v/>
      </c>
      <c r="AN238" t="str">
        <f t="shared" si="36"/>
        <v/>
      </c>
      <c r="AQ238" t="str">
        <f t="shared" si="37"/>
        <v/>
      </c>
      <c r="AR238" t="str">
        <f t="shared" si="38"/>
        <v/>
      </c>
      <c r="AS238" t="str">
        <f t="shared" si="39"/>
        <v/>
      </c>
      <c r="AT238" t="str">
        <f t="shared" si="40"/>
        <v/>
      </c>
      <c r="BG238" t="str">
        <f t="shared" si="41"/>
        <v/>
      </c>
      <c r="BH238" t="str">
        <f t="shared" si="42"/>
        <v/>
      </c>
      <c r="BL238" t="str">
        <f>IFERROR(INDEX(_names_lookup!$C:$C,MATCH(BK238,_names_lookup!$A:$A,0)),"")</f>
        <v/>
      </c>
      <c r="BM238" t="str">
        <f>IFERROR(INDEX(_names_lookup!$B:$B,MATCH(BK238,_names_lookup!$A:$A,0)),"")</f>
        <v/>
      </c>
      <c r="BS238" t="str">
        <f t="shared" si="43"/>
        <v/>
      </c>
    </row>
    <row r="239" spans="15:71" x14ac:dyDescent="0.2">
      <c r="O239" t="str">
        <f>IFERROR(INDEX(_courses_lookup!$C:$C,MATCH(K239&amp;L239,_courses_lookup!$E:$E,0)),"")</f>
        <v/>
      </c>
      <c r="P239" t="str">
        <f>IFERROR(INDEX(_courses_lookup!$D:$D,MATCH(K239&amp;L239,_courses_lookup!$E:$E,0)),"")</f>
        <v/>
      </c>
      <c r="AG239" t="str">
        <f t="shared" si="33"/>
        <v/>
      </c>
      <c r="AI239" t="str">
        <f t="shared" si="34"/>
        <v/>
      </c>
      <c r="AL239" t="str">
        <f t="shared" si="35"/>
        <v/>
      </c>
      <c r="AN239" t="str">
        <f t="shared" si="36"/>
        <v/>
      </c>
      <c r="AQ239" t="str">
        <f t="shared" si="37"/>
        <v/>
      </c>
      <c r="AR239" t="str">
        <f t="shared" si="38"/>
        <v/>
      </c>
      <c r="AS239" t="str">
        <f t="shared" si="39"/>
        <v/>
      </c>
      <c r="AT239" t="str">
        <f t="shared" si="40"/>
        <v/>
      </c>
      <c r="BG239" t="str">
        <f t="shared" si="41"/>
        <v/>
      </c>
      <c r="BH239" t="str">
        <f t="shared" si="42"/>
        <v/>
      </c>
      <c r="BL239" t="str">
        <f>IFERROR(INDEX(_names_lookup!$C:$C,MATCH(BK239,_names_lookup!$A:$A,0)),"")</f>
        <v/>
      </c>
      <c r="BM239" t="str">
        <f>IFERROR(INDEX(_names_lookup!$B:$B,MATCH(BK239,_names_lookup!$A:$A,0)),"")</f>
        <v/>
      </c>
      <c r="BS239" t="str">
        <f t="shared" si="43"/>
        <v/>
      </c>
    </row>
    <row r="240" spans="15:71" x14ac:dyDescent="0.2">
      <c r="O240" t="str">
        <f>IFERROR(INDEX(_courses_lookup!$C:$C,MATCH(K240&amp;L240,_courses_lookup!$E:$E,0)),"")</f>
        <v/>
      </c>
      <c r="P240" t="str">
        <f>IFERROR(INDEX(_courses_lookup!$D:$D,MATCH(K240&amp;L240,_courses_lookup!$E:$E,0)),"")</f>
        <v/>
      </c>
      <c r="AG240" t="str">
        <f t="shared" si="33"/>
        <v/>
      </c>
      <c r="AI240" t="str">
        <f t="shared" si="34"/>
        <v/>
      </c>
      <c r="AL240" t="str">
        <f t="shared" si="35"/>
        <v/>
      </c>
      <c r="AN240" t="str">
        <f t="shared" si="36"/>
        <v/>
      </c>
      <c r="AQ240" t="str">
        <f t="shared" si="37"/>
        <v/>
      </c>
      <c r="AR240" t="str">
        <f t="shared" si="38"/>
        <v/>
      </c>
      <c r="AS240" t="str">
        <f t="shared" si="39"/>
        <v/>
      </c>
      <c r="AT240" t="str">
        <f t="shared" si="40"/>
        <v/>
      </c>
      <c r="BG240" t="str">
        <f t="shared" si="41"/>
        <v/>
      </c>
      <c r="BH240" t="str">
        <f t="shared" si="42"/>
        <v/>
      </c>
      <c r="BL240" t="str">
        <f>IFERROR(INDEX(_names_lookup!$C:$C,MATCH(BK240,_names_lookup!$A:$A,0)),"")</f>
        <v/>
      </c>
      <c r="BM240" t="str">
        <f>IFERROR(INDEX(_names_lookup!$B:$B,MATCH(BK240,_names_lookup!$A:$A,0)),"")</f>
        <v/>
      </c>
      <c r="BS240" t="str">
        <f t="shared" si="43"/>
        <v/>
      </c>
    </row>
    <row r="241" spans="15:71" x14ac:dyDescent="0.2">
      <c r="O241" t="str">
        <f>IFERROR(INDEX(_courses_lookup!$C:$C,MATCH(K241&amp;L241,_courses_lookup!$E:$E,0)),"")</f>
        <v/>
      </c>
      <c r="P241" t="str">
        <f>IFERROR(INDEX(_courses_lookup!$D:$D,MATCH(K241&amp;L241,_courses_lookup!$E:$E,0)),"")</f>
        <v/>
      </c>
      <c r="AG241" t="str">
        <f t="shared" si="33"/>
        <v/>
      </c>
      <c r="AI241" t="str">
        <f t="shared" si="34"/>
        <v/>
      </c>
      <c r="AL241" t="str">
        <f t="shared" si="35"/>
        <v/>
      </c>
      <c r="AN241" t="str">
        <f t="shared" si="36"/>
        <v/>
      </c>
      <c r="AQ241" t="str">
        <f t="shared" si="37"/>
        <v/>
      </c>
      <c r="AR241" t="str">
        <f t="shared" si="38"/>
        <v/>
      </c>
      <c r="AS241" t="str">
        <f t="shared" si="39"/>
        <v/>
      </c>
      <c r="AT241" t="str">
        <f t="shared" si="40"/>
        <v/>
      </c>
      <c r="BG241" t="str">
        <f t="shared" si="41"/>
        <v/>
      </c>
      <c r="BH241" t="str">
        <f t="shared" si="42"/>
        <v/>
      </c>
      <c r="BL241" t="str">
        <f>IFERROR(INDEX(_names_lookup!$C:$C,MATCH(BK241,_names_lookup!$A:$A,0)),"")</f>
        <v/>
      </c>
      <c r="BM241" t="str">
        <f>IFERROR(INDEX(_names_lookup!$B:$B,MATCH(BK241,_names_lookup!$A:$A,0)),"")</f>
        <v/>
      </c>
      <c r="BS241" t="str">
        <f t="shared" si="43"/>
        <v/>
      </c>
    </row>
    <row r="242" spans="15:71" x14ac:dyDescent="0.2">
      <c r="O242" t="str">
        <f>IFERROR(INDEX(_courses_lookup!$C:$C,MATCH(K242&amp;L242,_courses_lookup!$E:$E,0)),"")</f>
        <v/>
      </c>
      <c r="P242" t="str">
        <f>IFERROR(INDEX(_courses_lookup!$D:$D,MATCH(K242&amp;L242,_courses_lookup!$E:$E,0)),"")</f>
        <v/>
      </c>
      <c r="AG242" t="str">
        <f t="shared" si="33"/>
        <v/>
      </c>
      <c r="AI242" t="str">
        <f t="shared" si="34"/>
        <v/>
      </c>
      <c r="AL242" t="str">
        <f t="shared" si="35"/>
        <v/>
      </c>
      <c r="AN242" t="str">
        <f t="shared" si="36"/>
        <v/>
      </c>
      <c r="AQ242" t="str">
        <f t="shared" si="37"/>
        <v/>
      </c>
      <c r="AR242" t="str">
        <f t="shared" si="38"/>
        <v/>
      </c>
      <c r="AS242" t="str">
        <f t="shared" si="39"/>
        <v/>
      </c>
      <c r="AT242" t="str">
        <f t="shared" si="40"/>
        <v/>
      </c>
      <c r="BG242" t="str">
        <f t="shared" si="41"/>
        <v/>
      </c>
      <c r="BH242" t="str">
        <f t="shared" si="42"/>
        <v/>
      </c>
      <c r="BL242" t="str">
        <f>IFERROR(INDEX(_names_lookup!$C:$C,MATCH(BK242,_names_lookup!$A:$A,0)),"")</f>
        <v/>
      </c>
      <c r="BM242" t="str">
        <f>IFERROR(INDEX(_names_lookup!$B:$B,MATCH(BK242,_names_lookup!$A:$A,0)),"")</f>
        <v/>
      </c>
      <c r="BS242" t="str">
        <f t="shared" si="43"/>
        <v/>
      </c>
    </row>
    <row r="243" spans="15:71" x14ac:dyDescent="0.2">
      <c r="O243" t="str">
        <f>IFERROR(INDEX(_courses_lookup!$C:$C,MATCH(K243&amp;L243,_courses_lookup!$E:$E,0)),"")</f>
        <v/>
      </c>
      <c r="P243" t="str">
        <f>IFERROR(INDEX(_courses_lookup!$D:$D,MATCH(K243&amp;L243,_courses_lookup!$E:$E,0)),"")</f>
        <v/>
      </c>
      <c r="AG243" t="str">
        <f t="shared" si="33"/>
        <v/>
      </c>
      <c r="AI243" t="str">
        <f t="shared" si="34"/>
        <v/>
      </c>
      <c r="AL243" t="str">
        <f t="shared" si="35"/>
        <v/>
      </c>
      <c r="AN243" t="str">
        <f t="shared" si="36"/>
        <v/>
      </c>
      <c r="AQ243" t="str">
        <f t="shared" si="37"/>
        <v/>
      </c>
      <c r="AR243" t="str">
        <f t="shared" si="38"/>
        <v/>
      </c>
      <c r="AS243" t="str">
        <f t="shared" si="39"/>
        <v/>
      </c>
      <c r="AT243" t="str">
        <f t="shared" si="40"/>
        <v/>
      </c>
      <c r="BG243" t="str">
        <f t="shared" si="41"/>
        <v/>
      </c>
      <c r="BH243" t="str">
        <f t="shared" si="42"/>
        <v/>
      </c>
      <c r="BL243" t="str">
        <f>IFERROR(INDEX(_names_lookup!$C:$C,MATCH(BK243,_names_lookup!$A:$A,0)),"")</f>
        <v/>
      </c>
      <c r="BM243" t="str">
        <f>IFERROR(INDEX(_names_lookup!$B:$B,MATCH(BK243,_names_lookup!$A:$A,0)),"")</f>
        <v/>
      </c>
      <c r="BS243" t="str">
        <f t="shared" si="43"/>
        <v/>
      </c>
    </row>
    <row r="244" spans="15:71" x14ac:dyDescent="0.2">
      <c r="O244" t="str">
        <f>IFERROR(INDEX(_courses_lookup!$C:$C,MATCH(K244&amp;L244,_courses_lookup!$E:$E,0)),"")</f>
        <v/>
      </c>
      <c r="P244" t="str">
        <f>IFERROR(INDEX(_courses_lookup!$D:$D,MATCH(K244&amp;L244,_courses_lookup!$E:$E,0)),"")</f>
        <v/>
      </c>
      <c r="AG244" t="str">
        <f t="shared" si="33"/>
        <v/>
      </c>
      <c r="AI244" t="str">
        <f t="shared" si="34"/>
        <v/>
      </c>
      <c r="AL244" t="str">
        <f t="shared" si="35"/>
        <v/>
      </c>
      <c r="AN244" t="str">
        <f t="shared" si="36"/>
        <v/>
      </c>
      <c r="AQ244" t="str">
        <f t="shared" si="37"/>
        <v/>
      </c>
      <c r="AR244" t="str">
        <f t="shared" si="38"/>
        <v/>
      </c>
      <c r="AS244" t="str">
        <f t="shared" si="39"/>
        <v/>
      </c>
      <c r="AT244" t="str">
        <f t="shared" si="40"/>
        <v/>
      </c>
      <c r="BG244" t="str">
        <f t="shared" si="41"/>
        <v/>
      </c>
      <c r="BH244" t="str">
        <f t="shared" si="42"/>
        <v/>
      </c>
      <c r="BL244" t="str">
        <f>IFERROR(INDEX(_names_lookup!$C:$C,MATCH(BK244,_names_lookup!$A:$A,0)),"")</f>
        <v/>
      </c>
      <c r="BM244" t="str">
        <f>IFERROR(INDEX(_names_lookup!$B:$B,MATCH(BK244,_names_lookup!$A:$A,0)),"")</f>
        <v/>
      </c>
      <c r="BS244" t="str">
        <f t="shared" si="43"/>
        <v/>
      </c>
    </row>
    <row r="245" spans="15:71" x14ac:dyDescent="0.2">
      <c r="O245" t="str">
        <f>IFERROR(INDEX(_courses_lookup!$C:$C,MATCH(K245&amp;L245,_courses_lookup!$E:$E,0)),"")</f>
        <v/>
      </c>
      <c r="P245" t="str">
        <f>IFERROR(INDEX(_courses_lookup!$D:$D,MATCH(K245&amp;L245,_courses_lookup!$E:$E,0)),"")</f>
        <v/>
      </c>
      <c r="AG245" t="str">
        <f t="shared" si="33"/>
        <v/>
      </c>
      <c r="AI245" t="str">
        <f t="shared" si="34"/>
        <v/>
      </c>
      <c r="AL245" t="str">
        <f t="shared" si="35"/>
        <v/>
      </c>
      <c r="AN245" t="str">
        <f t="shared" si="36"/>
        <v/>
      </c>
      <c r="AQ245" t="str">
        <f t="shared" si="37"/>
        <v/>
      </c>
      <c r="AR245" t="str">
        <f t="shared" si="38"/>
        <v/>
      </c>
      <c r="AS245" t="str">
        <f t="shared" si="39"/>
        <v/>
      </c>
      <c r="AT245" t="str">
        <f t="shared" si="40"/>
        <v/>
      </c>
      <c r="BG245" t="str">
        <f t="shared" si="41"/>
        <v/>
      </c>
      <c r="BH245" t="str">
        <f t="shared" si="42"/>
        <v/>
      </c>
      <c r="BL245" t="str">
        <f>IFERROR(INDEX(_names_lookup!$C:$C,MATCH(BK245,_names_lookup!$A:$A,0)),"")</f>
        <v/>
      </c>
      <c r="BM245" t="str">
        <f>IFERROR(INDEX(_names_lookup!$B:$B,MATCH(BK245,_names_lookup!$A:$A,0)),"")</f>
        <v/>
      </c>
      <c r="BS245" t="str">
        <f t="shared" si="43"/>
        <v/>
      </c>
    </row>
    <row r="246" spans="15:71" x14ac:dyDescent="0.2">
      <c r="O246" t="str">
        <f>IFERROR(INDEX(_courses_lookup!$C:$C,MATCH(K246&amp;L246,_courses_lookup!$E:$E,0)),"")</f>
        <v/>
      </c>
      <c r="P246" t="str">
        <f>IFERROR(INDEX(_courses_lookup!$D:$D,MATCH(K246&amp;L246,_courses_lookup!$E:$E,0)),"")</f>
        <v/>
      </c>
      <c r="AG246" t="str">
        <f t="shared" si="33"/>
        <v/>
      </c>
      <c r="AI246" t="str">
        <f t="shared" si="34"/>
        <v/>
      </c>
      <c r="AL246" t="str">
        <f t="shared" si="35"/>
        <v/>
      </c>
      <c r="AN246" t="str">
        <f t="shared" si="36"/>
        <v/>
      </c>
      <c r="AQ246" t="str">
        <f t="shared" si="37"/>
        <v/>
      </c>
      <c r="AR246" t="str">
        <f t="shared" si="38"/>
        <v/>
      </c>
      <c r="AS246" t="str">
        <f t="shared" si="39"/>
        <v/>
      </c>
      <c r="AT246" t="str">
        <f t="shared" si="40"/>
        <v/>
      </c>
      <c r="BG246" t="str">
        <f t="shared" si="41"/>
        <v/>
      </c>
      <c r="BH246" t="str">
        <f t="shared" si="42"/>
        <v/>
      </c>
      <c r="BL246" t="str">
        <f>IFERROR(INDEX(_names_lookup!$C:$C,MATCH(BK246,_names_lookup!$A:$A,0)),"")</f>
        <v/>
      </c>
      <c r="BM246" t="str">
        <f>IFERROR(INDEX(_names_lookup!$B:$B,MATCH(BK246,_names_lookup!$A:$A,0)),"")</f>
        <v/>
      </c>
      <c r="BS246" t="str">
        <f t="shared" si="43"/>
        <v/>
      </c>
    </row>
    <row r="247" spans="15:71" x14ac:dyDescent="0.2">
      <c r="O247" t="str">
        <f>IFERROR(INDEX(_courses_lookup!$C:$C,MATCH(K247&amp;L247,_courses_lookup!$E:$E,0)),"")</f>
        <v/>
      </c>
      <c r="P247" t="str">
        <f>IFERROR(INDEX(_courses_lookup!$D:$D,MATCH(K247&amp;L247,_courses_lookup!$E:$E,0)),"")</f>
        <v/>
      </c>
      <c r="AG247" t="str">
        <f t="shared" si="33"/>
        <v/>
      </c>
      <c r="AI247" t="str">
        <f t="shared" si="34"/>
        <v/>
      </c>
      <c r="AL247" t="str">
        <f t="shared" si="35"/>
        <v/>
      </c>
      <c r="AN247" t="str">
        <f t="shared" si="36"/>
        <v/>
      </c>
      <c r="AQ247" t="str">
        <f t="shared" si="37"/>
        <v/>
      </c>
      <c r="AR247" t="str">
        <f t="shared" si="38"/>
        <v/>
      </c>
      <c r="AS247" t="str">
        <f t="shared" si="39"/>
        <v/>
      </c>
      <c r="AT247" t="str">
        <f t="shared" si="40"/>
        <v/>
      </c>
      <c r="BG247" t="str">
        <f t="shared" si="41"/>
        <v/>
      </c>
      <c r="BH247" t="str">
        <f t="shared" si="42"/>
        <v/>
      </c>
      <c r="BL247" t="str">
        <f>IFERROR(INDEX(_names_lookup!$C:$C,MATCH(BK247,_names_lookup!$A:$A,0)),"")</f>
        <v/>
      </c>
      <c r="BM247" t="str">
        <f>IFERROR(INDEX(_names_lookup!$B:$B,MATCH(BK247,_names_lookup!$A:$A,0)),"")</f>
        <v/>
      </c>
      <c r="BS247" t="str">
        <f t="shared" si="43"/>
        <v/>
      </c>
    </row>
    <row r="248" spans="15:71" x14ac:dyDescent="0.2">
      <c r="O248" t="str">
        <f>IFERROR(INDEX(_courses_lookup!$C:$C,MATCH(K248&amp;L248,_courses_lookup!$E:$E,0)),"")</f>
        <v/>
      </c>
      <c r="P248" t="str">
        <f>IFERROR(INDEX(_courses_lookup!$D:$D,MATCH(K248&amp;L248,_courses_lookup!$E:$E,0)),"")</f>
        <v/>
      </c>
      <c r="AG248" t="str">
        <f t="shared" si="33"/>
        <v/>
      </c>
      <c r="AI248" t="str">
        <f t="shared" si="34"/>
        <v/>
      </c>
      <c r="AL248" t="str">
        <f t="shared" si="35"/>
        <v/>
      </c>
      <c r="AN248" t="str">
        <f t="shared" si="36"/>
        <v/>
      </c>
      <c r="AQ248" t="str">
        <f t="shared" si="37"/>
        <v/>
      </c>
      <c r="AR248" t="str">
        <f t="shared" si="38"/>
        <v/>
      </c>
      <c r="AS248" t="str">
        <f t="shared" si="39"/>
        <v/>
      </c>
      <c r="AT248" t="str">
        <f t="shared" si="40"/>
        <v/>
      </c>
      <c r="BG248" t="str">
        <f t="shared" si="41"/>
        <v/>
      </c>
      <c r="BH248" t="str">
        <f t="shared" si="42"/>
        <v/>
      </c>
      <c r="BL248" t="str">
        <f>IFERROR(INDEX(_names_lookup!$C:$C,MATCH(BK248,_names_lookup!$A:$A,0)),"")</f>
        <v/>
      </c>
      <c r="BM248" t="str">
        <f>IFERROR(INDEX(_names_lookup!$B:$B,MATCH(BK248,_names_lookup!$A:$A,0)),"")</f>
        <v/>
      </c>
      <c r="BS248" t="str">
        <f t="shared" si="43"/>
        <v/>
      </c>
    </row>
    <row r="249" spans="15:71" x14ac:dyDescent="0.2">
      <c r="O249" t="str">
        <f>IFERROR(INDEX(_courses_lookup!$C:$C,MATCH(K249&amp;L249,_courses_lookup!$E:$E,0)),"")</f>
        <v/>
      </c>
      <c r="P249" t="str">
        <f>IFERROR(INDEX(_courses_lookup!$D:$D,MATCH(K249&amp;L249,_courses_lookup!$E:$E,0)),"")</f>
        <v/>
      </c>
      <c r="AG249" t="str">
        <f t="shared" si="33"/>
        <v/>
      </c>
      <c r="AI249" t="str">
        <f t="shared" si="34"/>
        <v/>
      </c>
      <c r="AL249" t="str">
        <f t="shared" si="35"/>
        <v/>
      </c>
      <c r="AN249" t="str">
        <f t="shared" si="36"/>
        <v/>
      </c>
      <c r="AQ249" t="str">
        <f t="shared" si="37"/>
        <v/>
      </c>
      <c r="AR249" t="str">
        <f t="shared" si="38"/>
        <v/>
      </c>
      <c r="AS249" t="str">
        <f t="shared" si="39"/>
        <v/>
      </c>
      <c r="AT249" t="str">
        <f t="shared" si="40"/>
        <v/>
      </c>
      <c r="BG249" t="str">
        <f t="shared" si="41"/>
        <v/>
      </c>
      <c r="BH249" t="str">
        <f t="shared" si="42"/>
        <v/>
      </c>
      <c r="BL249" t="str">
        <f>IFERROR(INDEX(_names_lookup!$C:$C,MATCH(BK249,_names_lookup!$A:$A,0)),"")</f>
        <v/>
      </c>
      <c r="BM249" t="str">
        <f>IFERROR(INDEX(_names_lookup!$B:$B,MATCH(BK249,_names_lookup!$A:$A,0)),"")</f>
        <v/>
      </c>
      <c r="BS249" t="str">
        <f t="shared" si="43"/>
        <v/>
      </c>
    </row>
    <row r="250" spans="15:71" x14ac:dyDescent="0.2">
      <c r="O250" t="str">
        <f>IFERROR(INDEX(_courses_lookup!$C:$C,MATCH(K250&amp;L250,_courses_lookup!$E:$E,0)),"")</f>
        <v/>
      </c>
      <c r="P250" t="str">
        <f>IFERROR(INDEX(_courses_lookup!$D:$D,MATCH(K250&amp;L250,_courses_lookup!$E:$E,0)),"")</f>
        <v/>
      </c>
      <c r="AG250" t="str">
        <f t="shared" si="33"/>
        <v/>
      </c>
      <c r="AI250" t="str">
        <f t="shared" si="34"/>
        <v/>
      </c>
      <c r="AL250" t="str">
        <f t="shared" si="35"/>
        <v/>
      </c>
      <c r="AN250" t="str">
        <f t="shared" si="36"/>
        <v/>
      </c>
      <c r="AQ250" t="str">
        <f t="shared" si="37"/>
        <v/>
      </c>
      <c r="AR250" t="str">
        <f t="shared" si="38"/>
        <v/>
      </c>
      <c r="AS250" t="str">
        <f t="shared" si="39"/>
        <v/>
      </c>
      <c r="AT250" t="str">
        <f t="shared" si="40"/>
        <v/>
      </c>
      <c r="BG250" t="str">
        <f t="shared" si="41"/>
        <v/>
      </c>
      <c r="BH250" t="str">
        <f t="shared" si="42"/>
        <v/>
      </c>
      <c r="BL250" t="str">
        <f>IFERROR(INDEX(_names_lookup!$C:$C,MATCH(BK250,_names_lookup!$A:$A,0)),"")</f>
        <v/>
      </c>
      <c r="BM250" t="str">
        <f>IFERROR(INDEX(_names_lookup!$B:$B,MATCH(BK250,_names_lookup!$A:$A,0)),"")</f>
        <v/>
      </c>
      <c r="BS250" t="str">
        <f t="shared" si="43"/>
        <v/>
      </c>
    </row>
    <row r="251" spans="15:71" x14ac:dyDescent="0.2">
      <c r="O251" t="str">
        <f>IFERROR(INDEX(_courses_lookup!$C:$C,MATCH(K251&amp;L251,_courses_lookup!$E:$E,0)),"")</f>
        <v/>
      </c>
      <c r="P251" t="str">
        <f>IFERROR(INDEX(_courses_lookup!$D:$D,MATCH(K251&amp;L251,_courses_lookup!$E:$E,0)),"")</f>
        <v/>
      </c>
      <c r="AG251" t="str">
        <f t="shared" si="33"/>
        <v/>
      </c>
      <c r="AI251" t="str">
        <f t="shared" si="34"/>
        <v/>
      </c>
      <c r="AL251" t="str">
        <f t="shared" si="35"/>
        <v/>
      </c>
      <c r="AN251" t="str">
        <f t="shared" si="36"/>
        <v/>
      </c>
      <c r="AQ251" t="str">
        <f t="shared" si="37"/>
        <v/>
      </c>
      <c r="AR251" t="str">
        <f t="shared" si="38"/>
        <v/>
      </c>
      <c r="AS251" t="str">
        <f t="shared" si="39"/>
        <v/>
      </c>
      <c r="AT251" t="str">
        <f t="shared" si="40"/>
        <v/>
      </c>
      <c r="BG251" t="str">
        <f t="shared" si="41"/>
        <v/>
      </c>
      <c r="BH251" t="str">
        <f t="shared" si="42"/>
        <v/>
      </c>
      <c r="BL251" t="str">
        <f>IFERROR(INDEX(_names_lookup!$C:$C,MATCH(BK251,_names_lookup!$A:$A,0)),"")</f>
        <v/>
      </c>
      <c r="BM251" t="str">
        <f>IFERROR(INDEX(_names_lookup!$B:$B,MATCH(BK251,_names_lookup!$A:$A,0)),"")</f>
        <v/>
      </c>
      <c r="BS251" t="str">
        <f t="shared" si="43"/>
        <v/>
      </c>
    </row>
    <row r="252" spans="15:71" x14ac:dyDescent="0.2">
      <c r="O252" t="str">
        <f>IFERROR(INDEX(_courses_lookup!$C:$C,MATCH(K252&amp;L252,_courses_lookup!$E:$E,0)),"")</f>
        <v/>
      </c>
      <c r="P252" t="str">
        <f>IFERROR(INDEX(_courses_lookup!$D:$D,MATCH(K252&amp;L252,_courses_lookup!$E:$E,0)),"")</f>
        <v/>
      </c>
      <c r="AG252" t="str">
        <f t="shared" si="33"/>
        <v/>
      </c>
      <c r="AI252" t="str">
        <f t="shared" si="34"/>
        <v/>
      </c>
      <c r="AL252" t="str">
        <f t="shared" si="35"/>
        <v/>
      </c>
      <c r="AN252" t="str">
        <f t="shared" si="36"/>
        <v/>
      </c>
      <c r="AQ252" t="str">
        <f t="shared" si="37"/>
        <v/>
      </c>
      <c r="AR252" t="str">
        <f t="shared" si="38"/>
        <v/>
      </c>
      <c r="AS252" t="str">
        <f t="shared" si="39"/>
        <v/>
      </c>
      <c r="AT252" t="str">
        <f t="shared" si="40"/>
        <v/>
      </c>
      <c r="BG252" t="str">
        <f t="shared" si="41"/>
        <v/>
      </c>
      <c r="BH252" t="str">
        <f t="shared" si="42"/>
        <v/>
      </c>
      <c r="BL252" t="str">
        <f>IFERROR(INDEX(_names_lookup!$C:$C,MATCH(BK252,_names_lookup!$A:$A,0)),"")</f>
        <v/>
      </c>
      <c r="BM252" t="str">
        <f>IFERROR(INDEX(_names_lookup!$B:$B,MATCH(BK252,_names_lookup!$A:$A,0)),"")</f>
        <v/>
      </c>
      <c r="BS252" t="str">
        <f t="shared" si="43"/>
        <v/>
      </c>
    </row>
    <row r="253" spans="15:71" x14ac:dyDescent="0.2">
      <c r="O253" t="str">
        <f>IFERROR(INDEX(_courses_lookup!$C:$C,MATCH(K253&amp;L253,_courses_lookup!$E:$E,0)),"")</f>
        <v/>
      </c>
      <c r="P253" t="str">
        <f>IFERROR(INDEX(_courses_lookup!$D:$D,MATCH(K253&amp;L253,_courses_lookup!$E:$E,0)),"")</f>
        <v/>
      </c>
      <c r="AG253" t="str">
        <f t="shared" si="33"/>
        <v/>
      </c>
      <c r="AI253" t="str">
        <f t="shared" si="34"/>
        <v/>
      </c>
      <c r="AL253" t="str">
        <f t="shared" si="35"/>
        <v/>
      </c>
      <c r="AN253" t="str">
        <f t="shared" si="36"/>
        <v/>
      </c>
      <c r="AQ253" t="str">
        <f t="shared" si="37"/>
        <v/>
      </c>
      <c r="AR253" t="str">
        <f t="shared" si="38"/>
        <v/>
      </c>
      <c r="AS253" t="str">
        <f t="shared" si="39"/>
        <v/>
      </c>
      <c r="AT253" t="str">
        <f t="shared" si="40"/>
        <v/>
      </c>
      <c r="BG253" t="str">
        <f t="shared" si="41"/>
        <v/>
      </c>
      <c r="BH253" t="str">
        <f t="shared" si="42"/>
        <v/>
      </c>
      <c r="BL253" t="str">
        <f>IFERROR(INDEX(_names_lookup!$C:$C,MATCH(BK253,_names_lookup!$A:$A,0)),"")</f>
        <v/>
      </c>
      <c r="BM253" t="str">
        <f>IFERROR(INDEX(_names_lookup!$B:$B,MATCH(BK253,_names_lookup!$A:$A,0)),"")</f>
        <v/>
      </c>
      <c r="BS253" t="str">
        <f t="shared" si="43"/>
        <v/>
      </c>
    </row>
    <row r="254" spans="15:71" x14ac:dyDescent="0.2">
      <c r="O254" t="str">
        <f>IFERROR(INDEX(_courses_lookup!$C:$C,MATCH(K254&amp;L254,_courses_lookup!$E:$E,0)),"")</f>
        <v/>
      </c>
      <c r="P254" t="str">
        <f>IFERROR(INDEX(_courses_lookup!$D:$D,MATCH(K254&amp;L254,_courses_lookup!$E:$E,0)),"")</f>
        <v/>
      </c>
      <c r="AG254" t="str">
        <f t="shared" si="33"/>
        <v/>
      </c>
      <c r="AI254" t="str">
        <f t="shared" si="34"/>
        <v/>
      </c>
      <c r="AL254" t="str">
        <f t="shared" si="35"/>
        <v/>
      </c>
      <c r="AN254" t="str">
        <f t="shared" si="36"/>
        <v/>
      </c>
      <c r="AQ254" t="str">
        <f t="shared" si="37"/>
        <v/>
      </c>
      <c r="AR254" t="str">
        <f t="shared" si="38"/>
        <v/>
      </c>
      <c r="AS254" t="str">
        <f t="shared" si="39"/>
        <v/>
      </c>
      <c r="AT254" t="str">
        <f t="shared" si="40"/>
        <v/>
      </c>
      <c r="BG254" t="str">
        <f t="shared" si="41"/>
        <v/>
      </c>
      <c r="BH254" t="str">
        <f t="shared" si="42"/>
        <v/>
      </c>
      <c r="BL254" t="str">
        <f>IFERROR(INDEX(_names_lookup!$C:$C,MATCH(BK254,_names_lookup!$A:$A,0)),"")</f>
        <v/>
      </c>
      <c r="BM254" t="str">
        <f>IFERROR(INDEX(_names_lookup!$B:$B,MATCH(BK254,_names_lookup!$A:$A,0)),"")</f>
        <v/>
      </c>
      <c r="BS254" t="str">
        <f t="shared" si="43"/>
        <v/>
      </c>
    </row>
    <row r="255" spans="15:71" x14ac:dyDescent="0.2">
      <c r="O255" t="str">
        <f>IFERROR(INDEX(_courses_lookup!$C:$C,MATCH(K255&amp;L255,_courses_lookup!$E:$E,0)),"")</f>
        <v/>
      </c>
      <c r="P255" t="str">
        <f>IFERROR(INDEX(_courses_lookup!$D:$D,MATCH(K255&amp;L255,_courses_lookup!$E:$E,0)),"")</f>
        <v/>
      </c>
      <c r="AG255" t="str">
        <f t="shared" si="33"/>
        <v/>
      </c>
      <c r="AI255" t="str">
        <f t="shared" si="34"/>
        <v/>
      </c>
      <c r="AL255" t="str">
        <f t="shared" si="35"/>
        <v/>
      </c>
      <c r="AN255" t="str">
        <f t="shared" si="36"/>
        <v/>
      </c>
      <c r="AQ255" t="str">
        <f t="shared" si="37"/>
        <v/>
      </c>
      <c r="AR255" t="str">
        <f t="shared" si="38"/>
        <v/>
      </c>
      <c r="AS255" t="str">
        <f t="shared" si="39"/>
        <v/>
      </c>
      <c r="AT255" t="str">
        <f t="shared" si="40"/>
        <v/>
      </c>
      <c r="BG255" t="str">
        <f t="shared" si="41"/>
        <v/>
      </c>
      <c r="BH255" t="str">
        <f t="shared" si="42"/>
        <v/>
      </c>
      <c r="BL255" t="str">
        <f>IFERROR(INDEX(_names_lookup!$C:$C,MATCH(BK255,_names_lookup!$A:$A,0)),"")</f>
        <v/>
      </c>
      <c r="BM255" t="str">
        <f>IFERROR(INDEX(_names_lookup!$B:$B,MATCH(BK255,_names_lookup!$A:$A,0)),"")</f>
        <v/>
      </c>
      <c r="BS255" t="str">
        <f t="shared" si="43"/>
        <v/>
      </c>
    </row>
    <row r="256" spans="15:71" x14ac:dyDescent="0.2">
      <c r="O256" t="str">
        <f>IFERROR(INDEX(_courses_lookup!$C:$C,MATCH(K256&amp;L256,_courses_lookup!$E:$E,0)),"")</f>
        <v/>
      </c>
      <c r="P256" t="str">
        <f>IFERROR(INDEX(_courses_lookup!$D:$D,MATCH(K256&amp;L256,_courses_lookup!$E:$E,0)),"")</f>
        <v/>
      </c>
      <c r="AG256" t="str">
        <f t="shared" si="33"/>
        <v/>
      </c>
      <c r="AI256" t="str">
        <f t="shared" si="34"/>
        <v/>
      </c>
      <c r="AL256" t="str">
        <f t="shared" si="35"/>
        <v/>
      </c>
      <c r="AN256" t="str">
        <f t="shared" si="36"/>
        <v/>
      </c>
      <c r="AQ256" t="str">
        <f t="shared" si="37"/>
        <v/>
      </c>
      <c r="AR256" t="str">
        <f t="shared" si="38"/>
        <v/>
      </c>
      <c r="AS256" t="str">
        <f t="shared" si="39"/>
        <v/>
      </c>
      <c r="AT256" t="str">
        <f t="shared" si="40"/>
        <v/>
      </c>
      <c r="BG256" t="str">
        <f t="shared" si="41"/>
        <v/>
      </c>
      <c r="BH256" t="str">
        <f t="shared" si="42"/>
        <v/>
      </c>
      <c r="BL256" t="str">
        <f>IFERROR(INDEX(_names_lookup!$C:$C,MATCH(BK256,_names_lookup!$A:$A,0)),"")</f>
        <v/>
      </c>
      <c r="BM256" t="str">
        <f>IFERROR(INDEX(_names_lookup!$B:$B,MATCH(BK256,_names_lookup!$A:$A,0)),"")</f>
        <v/>
      </c>
      <c r="BS256" t="str">
        <f t="shared" si="43"/>
        <v/>
      </c>
    </row>
    <row r="257" spans="15:71" x14ac:dyDescent="0.2">
      <c r="O257" t="str">
        <f>IFERROR(INDEX(_courses_lookup!$C:$C,MATCH(K257&amp;L257,_courses_lookup!$E:$E,0)),"")</f>
        <v/>
      </c>
      <c r="P257" t="str">
        <f>IFERROR(INDEX(_courses_lookup!$D:$D,MATCH(K257&amp;L257,_courses_lookup!$E:$E,0)),"")</f>
        <v/>
      </c>
      <c r="AG257" t="str">
        <f t="shared" si="33"/>
        <v/>
      </c>
      <c r="AI257" t="str">
        <f t="shared" si="34"/>
        <v/>
      </c>
      <c r="AL257" t="str">
        <f t="shared" si="35"/>
        <v/>
      </c>
      <c r="AN257" t="str">
        <f t="shared" si="36"/>
        <v/>
      </c>
      <c r="AQ257" t="str">
        <f t="shared" si="37"/>
        <v/>
      </c>
      <c r="AR257" t="str">
        <f t="shared" si="38"/>
        <v/>
      </c>
      <c r="AS257" t="str">
        <f t="shared" si="39"/>
        <v/>
      </c>
      <c r="AT257" t="str">
        <f t="shared" si="40"/>
        <v/>
      </c>
      <c r="BG257" t="str">
        <f t="shared" si="41"/>
        <v/>
      </c>
      <c r="BH257" t="str">
        <f t="shared" si="42"/>
        <v/>
      </c>
      <c r="BL257" t="str">
        <f>IFERROR(INDEX(_names_lookup!$C:$C,MATCH(BK257,_names_lookup!$A:$A,0)),"")</f>
        <v/>
      </c>
      <c r="BM257" t="str">
        <f>IFERROR(INDEX(_names_lookup!$B:$B,MATCH(BK257,_names_lookup!$A:$A,0)),"")</f>
        <v/>
      </c>
      <c r="BS257" t="str">
        <f t="shared" si="43"/>
        <v/>
      </c>
    </row>
    <row r="258" spans="15:71" x14ac:dyDescent="0.2">
      <c r="O258" t="str">
        <f>IFERROR(INDEX(_courses_lookup!$C:$C,MATCH(K258&amp;L258,_courses_lookup!$E:$E,0)),"")</f>
        <v/>
      </c>
      <c r="P258" t="str">
        <f>IFERROR(INDEX(_courses_lookup!$D:$D,MATCH(K258&amp;L258,_courses_lookup!$E:$E,0)),"")</f>
        <v/>
      </c>
      <c r="AG258" t="str">
        <f t="shared" ref="AG258:AG321" si="44">IF(AND(AE258&lt;&gt;"",AF258&lt;&gt;""),ROUNDUP((AF258-AE258)/7,0),"")</f>
        <v/>
      </c>
      <c r="AI258" t="str">
        <f t="shared" ref="AI258:AI321" si="45">IFERROR(IF(AG258*AH258=0,"",AG258*AH258),"")</f>
        <v/>
      </c>
      <c r="AL258" t="str">
        <f t="shared" ref="AL258:AL321" si="46">IF(AND(AJ258&lt;&gt;"",AK258&lt;&gt;""),ROUNDUP((AK258-AJ258)/7,0),"")</f>
        <v/>
      </c>
      <c r="AN258" t="str">
        <f t="shared" ref="AN258:AN321" si="47">IFERROR(IF(AL258*AM258=0,"",AL258*AM258),"")</f>
        <v/>
      </c>
      <c r="AQ258" t="str">
        <f t="shared" ref="AQ258:AQ321" si="48">IF(AND(AO258&lt;&gt;"",AP258&lt;&gt;""),ROUNDUP((AP258-AO258)/7,0),"")</f>
        <v/>
      </c>
      <c r="AR258" t="str">
        <f t="shared" ref="AR258:AR321" si="49">IFERROR(IF((AU258-(AI258+AN258))/AQ258=0,"",ROUNDUP((AU258-(AI258+AN258))/AQ258,0)),"")</f>
        <v/>
      </c>
      <c r="AS258" t="str">
        <f t="shared" ref="AS258:AS300" si="50">IFERROR(IF((AU258-(AI258+AN258))=0,"",(AU258-(AI258+AN258))),"")</f>
        <v/>
      </c>
      <c r="AT258" t="str">
        <f t="shared" ref="AT258:AT300" si="51">IF(AND(AG258="",AQ258=""),AL258,IF(SUM(AG258,AL258,AQ258)=0,"",SUM(AG258,AL258,AQ258)))</f>
        <v/>
      </c>
      <c r="BG258" t="str">
        <f t="shared" ref="BG258:BG300" si="52">IF(AD258="","",YEAR(AD258)+IF(MONTH(AD258)&gt;=5,1,0))</f>
        <v/>
      </c>
      <c r="BH258" t="str">
        <f t="shared" ref="BH258:BH300" si="53">IF(AD258="","",IF(AND(MONTH(AD258)=8,DAY(AD258)&gt;=15),"Fall",IF(MONTH(AD258)&gt;8,"Fall",IF(MONTH(AD258)=5,"Summer",IF(MONTH(AD258)=1,"Spring","")))))</f>
        <v/>
      </c>
      <c r="BL258" t="str">
        <f>IFERROR(INDEX(_names_lookup!$C:$C,MATCH(BK258,_names_lookup!$A:$A,0)),"")</f>
        <v/>
      </c>
      <c r="BM258" t="str">
        <f>IFERROR(INDEX(_names_lookup!$B:$B,MATCH(BK258,_names_lookup!$A:$A,0)),"")</f>
        <v/>
      </c>
      <c r="BS258" t="str">
        <f t="shared" ref="BS258:BS321" si="54">IFERROR(IF(BR258*AA258=0,"",BR258*AA258),"")</f>
        <v/>
      </c>
    </row>
    <row r="259" spans="15:71" x14ac:dyDescent="0.2">
      <c r="O259" t="str">
        <f>IFERROR(INDEX(_courses_lookup!$C:$C,MATCH(K259&amp;L259,_courses_lookup!$E:$E,0)),"")</f>
        <v/>
      </c>
      <c r="P259" t="str">
        <f>IFERROR(INDEX(_courses_lookup!$D:$D,MATCH(K259&amp;L259,_courses_lookup!$E:$E,0)),"")</f>
        <v/>
      </c>
      <c r="AG259" t="str">
        <f t="shared" si="44"/>
        <v/>
      </c>
      <c r="AI259" t="str">
        <f t="shared" si="45"/>
        <v/>
      </c>
      <c r="AL259" t="str">
        <f t="shared" si="46"/>
        <v/>
      </c>
      <c r="AN259" t="str">
        <f t="shared" si="47"/>
        <v/>
      </c>
      <c r="AQ259" t="str">
        <f t="shared" si="48"/>
        <v/>
      </c>
      <c r="AR259" t="str">
        <f t="shared" si="49"/>
        <v/>
      </c>
      <c r="AS259" t="str">
        <f t="shared" si="50"/>
        <v/>
      </c>
      <c r="AT259" t="str">
        <f t="shared" si="51"/>
        <v/>
      </c>
      <c r="BG259" t="str">
        <f t="shared" si="52"/>
        <v/>
      </c>
      <c r="BH259" t="str">
        <f t="shared" si="53"/>
        <v/>
      </c>
      <c r="BL259" t="str">
        <f>IFERROR(INDEX(_names_lookup!$C:$C,MATCH(BK259,_names_lookup!$A:$A,0)),"")</f>
        <v/>
      </c>
      <c r="BM259" t="str">
        <f>IFERROR(INDEX(_names_lookup!$B:$B,MATCH(BK259,_names_lookup!$A:$A,0)),"")</f>
        <v/>
      </c>
      <c r="BS259" t="str">
        <f t="shared" si="54"/>
        <v/>
      </c>
    </row>
    <row r="260" spans="15:71" x14ac:dyDescent="0.2">
      <c r="O260" t="str">
        <f>IFERROR(INDEX(_courses_lookup!$C:$C,MATCH(K260&amp;L260,_courses_lookup!$E:$E,0)),"")</f>
        <v/>
      </c>
      <c r="P260" t="str">
        <f>IFERROR(INDEX(_courses_lookup!$D:$D,MATCH(K260&amp;L260,_courses_lookup!$E:$E,0)),"")</f>
        <v/>
      </c>
      <c r="AG260" t="str">
        <f t="shared" si="44"/>
        <v/>
      </c>
      <c r="AI260" t="str">
        <f t="shared" si="45"/>
        <v/>
      </c>
      <c r="AL260" t="str">
        <f t="shared" si="46"/>
        <v/>
      </c>
      <c r="AN260" t="str">
        <f t="shared" si="47"/>
        <v/>
      </c>
      <c r="AQ260" t="str">
        <f t="shared" si="48"/>
        <v/>
      </c>
      <c r="AR260" t="str">
        <f t="shared" si="49"/>
        <v/>
      </c>
      <c r="AS260" t="str">
        <f t="shared" si="50"/>
        <v/>
      </c>
      <c r="AT260" t="str">
        <f t="shared" si="51"/>
        <v/>
      </c>
      <c r="BG260" t="str">
        <f t="shared" si="52"/>
        <v/>
      </c>
      <c r="BH260" t="str">
        <f t="shared" si="53"/>
        <v/>
      </c>
      <c r="BL260" t="str">
        <f>IFERROR(INDEX(_names_lookup!$C:$C,MATCH(BK260,_names_lookup!$A:$A,0)),"")</f>
        <v/>
      </c>
      <c r="BM260" t="str">
        <f>IFERROR(INDEX(_names_lookup!$B:$B,MATCH(BK260,_names_lookup!$A:$A,0)),"")</f>
        <v/>
      </c>
      <c r="BS260" t="str">
        <f t="shared" si="54"/>
        <v/>
      </c>
    </row>
    <row r="261" spans="15:71" x14ac:dyDescent="0.2">
      <c r="O261" t="str">
        <f>IFERROR(INDEX(_courses_lookup!$C:$C,MATCH(K261&amp;L261,_courses_lookup!$E:$E,0)),"")</f>
        <v/>
      </c>
      <c r="P261" t="str">
        <f>IFERROR(INDEX(_courses_lookup!$D:$D,MATCH(K261&amp;L261,_courses_lookup!$E:$E,0)),"")</f>
        <v/>
      </c>
      <c r="AG261" t="str">
        <f t="shared" si="44"/>
        <v/>
      </c>
      <c r="AI261" t="str">
        <f t="shared" si="45"/>
        <v/>
      </c>
      <c r="AL261" t="str">
        <f t="shared" si="46"/>
        <v/>
      </c>
      <c r="AN261" t="str">
        <f t="shared" si="47"/>
        <v/>
      </c>
      <c r="AQ261" t="str">
        <f t="shared" si="48"/>
        <v/>
      </c>
      <c r="AR261" t="str">
        <f t="shared" si="49"/>
        <v/>
      </c>
      <c r="AS261" t="str">
        <f t="shared" si="50"/>
        <v/>
      </c>
      <c r="AT261" t="str">
        <f t="shared" si="51"/>
        <v/>
      </c>
      <c r="BG261" t="str">
        <f t="shared" si="52"/>
        <v/>
      </c>
      <c r="BH261" t="str">
        <f t="shared" si="53"/>
        <v/>
      </c>
      <c r="BL261" t="str">
        <f>IFERROR(INDEX(_names_lookup!$C:$C,MATCH(BK261,_names_lookup!$A:$A,0)),"")</f>
        <v/>
      </c>
      <c r="BM261" t="str">
        <f>IFERROR(INDEX(_names_lookup!$B:$B,MATCH(BK261,_names_lookup!$A:$A,0)),"")</f>
        <v/>
      </c>
      <c r="BS261" t="str">
        <f t="shared" si="54"/>
        <v/>
      </c>
    </row>
    <row r="262" spans="15:71" x14ac:dyDescent="0.2">
      <c r="O262" t="str">
        <f>IFERROR(INDEX(_courses_lookup!$C:$C,MATCH(K262&amp;L262,_courses_lookup!$E:$E,0)),"")</f>
        <v/>
      </c>
      <c r="P262" t="str">
        <f>IFERROR(INDEX(_courses_lookup!$D:$D,MATCH(K262&amp;L262,_courses_lookup!$E:$E,0)),"")</f>
        <v/>
      </c>
      <c r="AG262" t="str">
        <f t="shared" si="44"/>
        <v/>
      </c>
      <c r="AI262" t="str">
        <f t="shared" si="45"/>
        <v/>
      </c>
      <c r="AL262" t="str">
        <f t="shared" si="46"/>
        <v/>
      </c>
      <c r="AN262" t="str">
        <f t="shared" si="47"/>
        <v/>
      </c>
      <c r="AQ262" t="str">
        <f t="shared" si="48"/>
        <v/>
      </c>
      <c r="AR262" t="str">
        <f t="shared" si="49"/>
        <v/>
      </c>
      <c r="AS262" t="str">
        <f t="shared" si="50"/>
        <v/>
      </c>
      <c r="AT262" t="str">
        <f t="shared" si="51"/>
        <v/>
      </c>
      <c r="BG262" t="str">
        <f t="shared" si="52"/>
        <v/>
      </c>
      <c r="BH262" t="str">
        <f t="shared" si="53"/>
        <v/>
      </c>
      <c r="BL262" t="str">
        <f>IFERROR(INDEX(_names_lookup!$C:$C,MATCH(BK262,_names_lookup!$A:$A,0)),"")</f>
        <v/>
      </c>
      <c r="BM262" t="str">
        <f>IFERROR(INDEX(_names_lookup!$B:$B,MATCH(BK262,_names_lookup!$A:$A,0)),"")</f>
        <v/>
      </c>
      <c r="BS262" t="str">
        <f t="shared" si="54"/>
        <v/>
      </c>
    </row>
    <row r="263" spans="15:71" x14ac:dyDescent="0.2">
      <c r="O263" t="str">
        <f>IFERROR(INDEX(_courses_lookup!$C:$C,MATCH(K263&amp;L263,_courses_lookup!$E:$E,0)),"")</f>
        <v/>
      </c>
      <c r="P263" t="str">
        <f>IFERROR(INDEX(_courses_lookup!$D:$D,MATCH(K263&amp;L263,_courses_lookup!$E:$E,0)),"")</f>
        <v/>
      </c>
      <c r="AG263" t="str">
        <f t="shared" si="44"/>
        <v/>
      </c>
      <c r="AI263" t="str">
        <f t="shared" si="45"/>
        <v/>
      </c>
      <c r="AL263" t="str">
        <f t="shared" si="46"/>
        <v/>
      </c>
      <c r="AN263" t="str">
        <f t="shared" si="47"/>
        <v/>
      </c>
      <c r="AQ263" t="str">
        <f t="shared" si="48"/>
        <v/>
      </c>
      <c r="AR263" t="str">
        <f t="shared" si="49"/>
        <v/>
      </c>
      <c r="AS263" t="str">
        <f t="shared" si="50"/>
        <v/>
      </c>
      <c r="AT263" t="str">
        <f t="shared" si="51"/>
        <v/>
      </c>
      <c r="BG263" t="str">
        <f t="shared" si="52"/>
        <v/>
      </c>
      <c r="BH263" t="str">
        <f t="shared" si="53"/>
        <v/>
      </c>
      <c r="BL263" t="str">
        <f>IFERROR(INDEX(_names_lookup!$C:$C,MATCH(BK263,_names_lookup!$A:$A,0)),"")</f>
        <v/>
      </c>
      <c r="BM263" t="str">
        <f>IFERROR(INDEX(_names_lookup!$B:$B,MATCH(BK263,_names_lookup!$A:$A,0)),"")</f>
        <v/>
      </c>
      <c r="BS263" t="str">
        <f t="shared" si="54"/>
        <v/>
      </c>
    </row>
    <row r="264" spans="15:71" x14ac:dyDescent="0.2">
      <c r="O264" t="str">
        <f>IFERROR(INDEX(_courses_lookup!$C:$C,MATCH(K264&amp;L264,_courses_lookup!$E:$E,0)),"")</f>
        <v/>
      </c>
      <c r="P264" t="str">
        <f>IFERROR(INDEX(_courses_lookup!$D:$D,MATCH(K264&amp;L264,_courses_lookup!$E:$E,0)),"")</f>
        <v/>
      </c>
      <c r="AG264" t="str">
        <f t="shared" si="44"/>
        <v/>
      </c>
      <c r="AI264" t="str">
        <f t="shared" si="45"/>
        <v/>
      </c>
      <c r="AL264" t="str">
        <f t="shared" si="46"/>
        <v/>
      </c>
      <c r="AN264" t="str">
        <f t="shared" si="47"/>
        <v/>
      </c>
      <c r="AQ264" t="str">
        <f t="shared" si="48"/>
        <v/>
      </c>
      <c r="AR264" t="str">
        <f t="shared" si="49"/>
        <v/>
      </c>
      <c r="AS264" t="str">
        <f t="shared" si="50"/>
        <v/>
      </c>
      <c r="AT264" t="str">
        <f t="shared" si="51"/>
        <v/>
      </c>
      <c r="BG264" t="str">
        <f t="shared" si="52"/>
        <v/>
      </c>
      <c r="BH264" t="str">
        <f t="shared" si="53"/>
        <v/>
      </c>
      <c r="BL264" t="str">
        <f>IFERROR(INDEX(_names_lookup!$C:$C,MATCH(BK264,_names_lookup!$A:$A,0)),"")</f>
        <v/>
      </c>
      <c r="BM264" t="str">
        <f>IFERROR(INDEX(_names_lookup!$B:$B,MATCH(BK264,_names_lookup!$A:$A,0)),"")</f>
        <v/>
      </c>
      <c r="BS264" t="str">
        <f t="shared" si="54"/>
        <v/>
      </c>
    </row>
    <row r="265" spans="15:71" x14ac:dyDescent="0.2">
      <c r="O265" t="str">
        <f>IFERROR(INDEX(_courses_lookup!$C:$C,MATCH(K265&amp;L265,_courses_lookup!$E:$E,0)),"")</f>
        <v/>
      </c>
      <c r="P265" t="str">
        <f>IFERROR(INDEX(_courses_lookup!$D:$D,MATCH(K265&amp;L265,_courses_lookup!$E:$E,0)),"")</f>
        <v/>
      </c>
      <c r="AG265" t="str">
        <f t="shared" si="44"/>
        <v/>
      </c>
      <c r="AI265" t="str">
        <f t="shared" si="45"/>
        <v/>
      </c>
      <c r="AL265" t="str">
        <f t="shared" si="46"/>
        <v/>
      </c>
      <c r="AN265" t="str">
        <f t="shared" si="47"/>
        <v/>
      </c>
      <c r="AQ265" t="str">
        <f t="shared" si="48"/>
        <v/>
      </c>
      <c r="AR265" t="str">
        <f t="shared" si="49"/>
        <v/>
      </c>
      <c r="AS265" t="str">
        <f t="shared" si="50"/>
        <v/>
      </c>
      <c r="AT265" t="str">
        <f t="shared" si="51"/>
        <v/>
      </c>
      <c r="BG265" t="str">
        <f t="shared" si="52"/>
        <v/>
      </c>
      <c r="BH265" t="str">
        <f t="shared" si="53"/>
        <v/>
      </c>
      <c r="BL265" t="str">
        <f>IFERROR(INDEX(_names_lookup!$C:$C,MATCH(BK265,_names_lookup!$A:$A,0)),"")</f>
        <v/>
      </c>
      <c r="BM265" t="str">
        <f>IFERROR(INDEX(_names_lookup!$B:$B,MATCH(BK265,_names_lookup!$A:$A,0)),"")</f>
        <v/>
      </c>
      <c r="BS265" t="str">
        <f t="shared" si="54"/>
        <v/>
      </c>
    </row>
    <row r="266" spans="15:71" x14ac:dyDescent="0.2">
      <c r="O266" t="str">
        <f>IFERROR(INDEX(_courses_lookup!$C:$C,MATCH(K266&amp;L266,_courses_lookup!$E:$E,0)),"")</f>
        <v/>
      </c>
      <c r="P266" t="str">
        <f>IFERROR(INDEX(_courses_lookup!$D:$D,MATCH(K266&amp;L266,_courses_lookup!$E:$E,0)),"")</f>
        <v/>
      </c>
      <c r="AG266" t="str">
        <f t="shared" si="44"/>
        <v/>
      </c>
      <c r="AI266" t="str">
        <f t="shared" si="45"/>
        <v/>
      </c>
      <c r="AL266" t="str">
        <f t="shared" si="46"/>
        <v/>
      </c>
      <c r="AN266" t="str">
        <f t="shared" si="47"/>
        <v/>
      </c>
      <c r="AQ266" t="str">
        <f t="shared" si="48"/>
        <v/>
      </c>
      <c r="AR266" t="str">
        <f t="shared" si="49"/>
        <v/>
      </c>
      <c r="AS266" t="str">
        <f t="shared" si="50"/>
        <v/>
      </c>
      <c r="AT266" t="str">
        <f t="shared" si="51"/>
        <v/>
      </c>
      <c r="BG266" t="str">
        <f t="shared" si="52"/>
        <v/>
      </c>
      <c r="BH266" t="str">
        <f t="shared" si="53"/>
        <v/>
      </c>
      <c r="BL266" t="str">
        <f>IFERROR(INDEX(_names_lookup!$C:$C,MATCH(BK266,_names_lookup!$A:$A,0)),"")</f>
        <v/>
      </c>
      <c r="BM266" t="str">
        <f>IFERROR(INDEX(_names_lookup!$B:$B,MATCH(BK266,_names_lookup!$A:$A,0)),"")</f>
        <v/>
      </c>
      <c r="BS266" t="str">
        <f t="shared" si="54"/>
        <v/>
      </c>
    </row>
    <row r="267" spans="15:71" x14ac:dyDescent="0.2">
      <c r="O267" t="str">
        <f>IFERROR(INDEX(_courses_lookup!$C:$C,MATCH(K267&amp;L267,_courses_lookup!$E:$E,0)),"")</f>
        <v/>
      </c>
      <c r="P267" t="str">
        <f>IFERROR(INDEX(_courses_lookup!$D:$D,MATCH(K267&amp;L267,_courses_lookup!$E:$E,0)),"")</f>
        <v/>
      </c>
      <c r="AG267" t="str">
        <f t="shared" si="44"/>
        <v/>
      </c>
      <c r="AI267" t="str">
        <f t="shared" si="45"/>
        <v/>
      </c>
      <c r="AL267" t="str">
        <f t="shared" si="46"/>
        <v/>
      </c>
      <c r="AN267" t="str">
        <f t="shared" si="47"/>
        <v/>
      </c>
      <c r="AQ267" t="str">
        <f t="shared" si="48"/>
        <v/>
      </c>
      <c r="AR267" t="str">
        <f t="shared" si="49"/>
        <v/>
      </c>
      <c r="AS267" t="str">
        <f t="shared" si="50"/>
        <v/>
      </c>
      <c r="AT267" t="str">
        <f t="shared" si="51"/>
        <v/>
      </c>
      <c r="BG267" t="str">
        <f t="shared" si="52"/>
        <v/>
      </c>
      <c r="BH267" t="str">
        <f t="shared" si="53"/>
        <v/>
      </c>
      <c r="BL267" t="str">
        <f>IFERROR(INDEX(_names_lookup!$C:$C,MATCH(BK267,_names_lookup!$A:$A,0)),"")</f>
        <v/>
      </c>
      <c r="BM267" t="str">
        <f>IFERROR(INDEX(_names_lookup!$B:$B,MATCH(BK267,_names_lookup!$A:$A,0)),"")</f>
        <v/>
      </c>
      <c r="BS267" t="str">
        <f t="shared" si="54"/>
        <v/>
      </c>
    </row>
    <row r="268" spans="15:71" x14ac:dyDescent="0.2">
      <c r="O268" t="str">
        <f>IFERROR(INDEX(_courses_lookup!$C:$C,MATCH(K268&amp;L268,_courses_lookup!$E:$E,0)),"")</f>
        <v/>
      </c>
      <c r="P268" t="str">
        <f>IFERROR(INDEX(_courses_lookup!$D:$D,MATCH(K268&amp;L268,_courses_lookup!$E:$E,0)),"")</f>
        <v/>
      </c>
      <c r="AG268" t="str">
        <f t="shared" si="44"/>
        <v/>
      </c>
      <c r="AI268" t="str">
        <f t="shared" si="45"/>
        <v/>
      </c>
      <c r="AL268" t="str">
        <f t="shared" si="46"/>
        <v/>
      </c>
      <c r="AN268" t="str">
        <f t="shared" si="47"/>
        <v/>
      </c>
      <c r="AQ268" t="str">
        <f t="shared" si="48"/>
        <v/>
      </c>
      <c r="AR268" t="str">
        <f t="shared" si="49"/>
        <v/>
      </c>
      <c r="AS268" t="str">
        <f t="shared" si="50"/>
        <v/>
      </c>
      <c r="AT268" t="str">
        <f t="shared" si="51"/>
        <v/>
      </c>
      <c r="BG268" t="str">
        <f t="shared" si="52"/>
        <v/>
      </c>
      <c r="BH268" t="str">
        <f t="shared" si="53"/>
        <v/>
      </c>
      <c r="BL268" t="str">
        <f>IFERROR(INDEX(_names_lookup!$C:$C,MATCH(BK268,_names_lookup!$A:$A,0)),"")</f>
        <v/>
      </c>
      <c r="BM268" t="str">
        <f>IFERROR(INDEX(_names_lookup!$B:$B,MATCH(BK268,_names_lookup!$A:$A,0)),"")</f>
        <v/>
      </c>
      <c r="BS268" t="str">
        <f t="shared" si="54"/>
        <v/>
      </c>
    </row>
    <row r="269" spans="15:71" x14ac:dyDescent="0.2">
      <c r="O269" t="str">
        <f>IFERROR(INDEX(_courses_lookup!$C:$C,MATCH(K269&amp;L269,_courses_lookup!$E:$E,0)),"")</f>
        <v/>
      </c>
      <c r="P269" t="str">
        <f>IFERROR(INDEX(_courses_lookup!$D:$D,MATCH(K269&amp;L269,_courses_lookup!$E:$E,0)),"")</f>
        <v/>
      </c>
      <c r="AG269" t="str">
        <f t="shared" si="44"/>
        <v/>
      </c>
      <c r="AI269" t="str">
        <f t="shared" si="45"/>
        <v/>
      </c>
      <c r="AL269" t="str">
        <f t="shared" si="46"/>
        <v/>
      </c>
      <c r="AN269" t="str">
        <f t="shared" si="47"/>
        <v/>
      </c>
      <c r="AQ269" t="str">
        <f t="shared" si="48"/>
        <v/>
      </c>
      <c r="AR269" t="str">
        <f t="shared" si="49"/>
        <v/>
      </c>
      <c r="AS269" t="str">
        <f t="shared" si="50"/>
        <v/>
      </c>
      <c r="AT269" t="str">
        <f t="shared" si="51"/>
        <v/>
      </c>
      <c r="BG269" t="str">
        <f t="shared" si="52"/>
        <v/>
      </c>
      <c r="BH269" t="str">
        <f t="shared" si="53"/>
        <v/>
      </c>
      <c r="BL269" t="str">
        <f>IFERROR(INDEX(_names_lookup!$C:$C,MATCH(BK269,_names_lookup!$A:$A,0)),"")</f>
        <v/>
      </c>
      <c r="BM269" t="str">
        <f>IFERROR(INDEX(_names_lookup!$B:$B,MATCH(BK269,_names_lookup!$A:$A,0)),"")</f>
        <v/>
      </c>
      <c r="BS269" t="str">
        <f t="shared" si="54"/>
        <v/>
      </c>
    </row>
    <row r="270" spans="15:71" x14ac:dyDescent="0.2">
      <c r="O270" t="str">
        <f>IFERROR(INDEX(_courses_lookup!$C:$C,MATCH(K270&amp;L270,_courses_lookup!$E:$E,0)),"")</f>
        <v/>
      </c>
      <c r="P270" t="str">
        <f>IFERROR(INDEX(_courses_lookup!$D:$D,MATCH(K270&amp;L270,_courses_lookup!$E:$E,0)),"")</f>
        <v/>
      </c>
      <c r="AG270" t="str">
        <f t="shared" si="44"/>
        <v/>
      </c>
      <c r="AI270" t="str">
        <f t="shared" si="45"/>
        <v/>
      </c>
      <c r="AL270" t="str">
        <f t="shared" si="46"/>
        <v/>
      </c>
      <c r="AN270" t="str">
        <f t="shared" si="47"/>
        <v/>
      </c>
      <c r="AQ270" t="str">
        <f t="shared" si="48"/>
        <v/>
      </c>
      <c r="AR270" t="str">
        <f t="shared" si="49"/>
        <v/>
      </c>
      <c r="AS270" t="str">
        <f t="shared" si="50"/>
        <v/>
      </c>
      <c r="AT270" t="str">
        <f t="shared" si="51"/>
        <v/>
      </c>
      <c r="BG270" t="str">
        <f t="shared" si="52"/>
        <v/>
      </c>
      <c r="BH270" t="str">
        <f t="shared" si="53"/>
        <v/>
      </c>
      <c r="BL270" t="str">
        <f>IFERROR(INDEX(_names_lookup!$C:$C,MATCH(BK270,_names_lookup!$A:$A,0)),"")</f>
        <v/>
      </c>
      <c r="BM270" t="str">
        <f>IFERROR(INDEX(_names_lookup!$B:$B,MATCH(BK270,_names_lookup!$A:$A,0)),"")</f>
        <v/>
      </c>
      <c r="BS270" t="str">
        <f t="shared" si="54"/>
        <v/>
      </c>
    </row>
    <row r="271" spans="15:71" x14ac:dyDescent="0.2">
      <c r="O271" t="str">
        <f>IFERROR(INDEX(_courses_lookup!$C:$C,MATCH(K271&amp;L271,_courses_lookup!$E:$E,0)),"")</f>
        <v/>
      </c>
      <c r="P271" t="str">
        <f>IFERROR(INDEX(_courses_lookup!$D:$D,MATCH(K271&amp;L271,_courses_lookup!$E:$E,0)),"")</f>
        <v/>
      </c>
      <c r="AG271" t="str">
        <f t="shared" si="44"/>
        <v/>
      </c>
      <c r="AI271" t="str">
        <f t="shared" si="45"/>
        <v/>
      </c>
      <c r="AL271" t="str">
        <f t="shared" si="46"/>
        <v/>
      </c>
      <c r="AN271" t="str">
        <f t="shared" si="47"/>
        <v/>
      </c>
      <c r="AQ271" t="str">
        <f t="shared" si="48"/>
        <v/>
      </c>
      <c r="AR271" t="str">
        <f t="shared" si="49"/>
        <v/>
      </c>
      <c r="AS271" t="str">
        <f t="shared" si="50"/>
        <v/>
      </c>
      <c r="AT271" t="str">
        <f t="shared" si="51"/>
        <v/>
      </c>
      <c r="BG271" t="str">
        <f t="shared" si="52"/>
        <v/>
      </c>
      <c r="BH271" t="str">
        <f t="shared" si="53"/>
        <v/>
      </c>
      <c r="BL271" t="str">
        <f>IFERROR(INDEX(_names_lookup!$C:$C,MATCH(BK271,_names_lookup!$A:$A,0)),"")</f>
        <v/>
      </c>
      <c r="BM271" t="str">
        <f>IFERROR(INDEX(_names_lookup!$B:$B,MATCH(BK271,_names_lookup!$A:$A,0)),"")</f>
        <v/>
      </c>
      <c r="BS271" t="str">
        <f t="shared" si="54"/>
        <v/>
      </c>
    </row>
    <row r="272" spans="15:71" x14ac:dyDescent="0.2">
      <c r="O272" t="str">
        <f>IFERROR(INDEX(_courses_lookup!$C:$C,MATCH(K272&amp;L272,_courses_lookup!$E:$E,0)),"")</f>
        <v/>
      </c>
      <c r="P272" t="str">
        <f>IFERROR(INDEX(_courses_lookup!$D:$D,MATCH(K272&amp;L272,_courses_lookup!$E:$E,0)),"")</f>
        <v/>
      </c>
      <c r="AG272" t="str">
        <f t="shared" si="44"/>
        <v/>
      </c>
      <c r="AI272" t="str">
        <f t="shared" si="45"/>
        <v/>
      </c>
      <c r="AL272" t="str">
        <f t="shared" si="46"/>
        <v/>
      </c>
      <c r="AN272" t="str">
        <f t="shared" si="47"/>
        <v/>
      </c>
      <c r="AQ272" t="str">
        <f t="shared" si="48"/>
        <v/>
      </c>
      <c r="AR272" t="str">
        <f t="shared" si="49"/>
        <v/>
      </c>
      <c r="AS272" t="str">
        <f t="shared" si="50"/>
        <v/>
      </c>
      <c r="AT272" t="str">
        <f t="shared" si="51"/>
        <v/>
      </c>
      <c r="BG272" t="str">
        <f t="shared" si="52"/>
        <v/>
      </c>
      <c r="BH272" t="str">
        <f t="shared" si="53"/>
        <v/>
      </c>
      <c r="BL272" t="str">
        <f>IFERROR(INDEX(_names_lookup!$C:$C,MATCH(BK272,_names_lookup!$A:$A,0)),"")</f>
        <v/>
      </c>
      <c r="BM272" t="str">
        <f>IFERROR(INDEX(_names_lookup!$B:$B,MATCH(BK272,_names_lookup!$A:$A,0)),"")</f>
        <v/>
      </c>
      <c r="BS272" t="str">
        <f t="shared" si="54"/>
        <v/>
      </c>
    </row>
    <row r="273" spans="15:71" x14ac:dyDescent="0.2">
      <c r="O273" t="str">
        <f>IFERROR(INDEX(_courses_lookup!$C:$C,MATCH(K273&amp;L273,_courses_lookup!$E:$E,0)),"")</f>
        <v/>
      </c>
      <c r="P273" t="str">
        <f>IFERROR(INDEX(_courses_lookup!$D:$D,MATCH(K273&amp;L273,_courses_lookup!$E:$E,0)),"")</f>
        <v/>
      </c>
      <c r="AG273" t="str">
        <f t="shared" si="44"/>
        <v/>
      </c>
      <c r="AI273" t="str">
        <f t="shared" si="45"/>
        <v/>
      </c>
      <c r="AL273" t="str">
        <f t="shared" si="46"/>
        <v/>
      </c>
      <c r="AN273" t="str">
        <f t="shared" si="47"/>
        <v/>
      </c>
      <c r="AQ273" t="str">
        <f t="shared" si="48"/>
        <v/>
      </c>
      <c r="AR273" t="str">
        <f t="shared" si="49"/>
        <v/>
      </c>
      <c r="AS273" t="str">
        <f t="shared" si="50"/>
        <v/>
      </c>
      <c r="AT273" t="str">
        <f t="shared" si="51"/>
        <v/>
      </c>
      <c r="BG273" t="str">
        <f t="shared" si="52"/>
        <v/>
      </c>
      <c r="BH273" t="str">
        <f t="shared" si="53"/>
        <v/>
      </c>
      <c r="BL273" t="str">
        <f>IFERROR(INDEX(_names_lookup!$C:$C,MATCH(BK273,_names_lookup!$A:$A,0)),"")</f>
        <v/>
      </c>
      <c r="BM273" t="str">
        <f>IFERROR(INDEX(_names_lookup!$B:$B,MATCH(BK273,_names_lookup!$A:$A,0)),"")</f>
        <v/>
      </c>
      <c r="BS273" t="str">
        <f t="shared" si="54"/>
        <v/>
      </c>
    </row>
    <row r="274" spans="15:71" x14ac:dyDescent="0.2">
      <c r="O274" t="str">
        <f>IFERROR(INDEX(_courses_lookup!$C:$C,MATCH(K274&amp;L274,_courses_lookup!$E:$E,0)),"")</f>
        <v/>
      </c>
      <c r="P274" t="str">
        <f>IFERROR(INDEX(_courses_lookup!$D:$D,MATCH(K274&amp;L274,_courses_lookup!$E:$E,0)),"")</f>
        <v/>
      </c>
      <c r="AG274" t="str">
        <f t="shared" si="44"/>
        <v/>
      </c>
      <c r="AI274" t="str">
        <f t="shared" si="45"/>
        <v/>
      </c>
      <c r="AL274" t="str">
        <f t="shared" si="46"/>
        <v/>
      </c>
      <c r="AN274" t="str">
        <f t="shared" si="47"/>
        <v/>
      </c>
      <c r="AQ274" t="str">
        <f t="shared" si="48"/>
        <v/>
      </c>
      <c r="AR274" t="str">
        <f t="shared" si="49"/>
        <v/>
      </c>
      <c r="AS274" t="str">
        <f t="shared" si="50"/>
        <v/>
      </c>
      <c r="AT274" t="str">
        <f t="shared" si="51"/>
        <v/>
      </c>
      <c r="BG274" t="str">
        <f t="shared" si="52"/>
        <v/>
      </c>
      <c r="BH274" t="str">
        <f t="shared" si="53"/>
        <v/>
      </c>
      <c r="BL274" t="str">
        <f>IFERROR(INDEX(_names_lookup!$C:$C,MATCH(BK274,_names_lookup!$A:$A,0)),"")</f>
        <v/>
      </c>
      <c r="BM274" t="str">
        <f>IFERROR(INDEX(_names_lookup!$B:$B,MATCH(BK274,_names_lookup!$A:$A,0)),"")</f>
        <v/>
      </c>
      <c r="BS274" t="str">
        <f t="shared" si="54"/>
        <v/>
      </c>
    </row>
    <row r="275" spans="15:71" x14ac:dyDescent="0.2">
      <c r="O275" t="str">
        <f>IFERROR(INDEX(_courses_lookup!$C:$C,MATCH(K275&amp;L275,_courses_lookup!$E:$E,0)),"")</f>
        <v/>
      </c>
      <c r="P275" t="str">
        <f>IFERROR(INDEX(_courses_lookup!$D:$D,MATCH(K275&amp;L275,_courses_lookup!$E:$E,0)),"")</f>
        <v/>
      </c>
      <c r="AG275" t="str">
        <f t="shared" si="44"/>
        <v/>
      </c>
      <c r="AI275" t="str">
        <f t="shared" si="45"/>
        <v/>
      </c>
      <c r="AL275" t="str">
        <f t="shared" si="46"/>
        <v/>
      </c>
      <c r="AN275" t="str">
        <f t="shared" si="47"/>
        <v/>
      </c>
      <c r="AQ275" t="str">
        <f t="shared" si="48"/>
        <v/>
      </c>
      <c r="AR275" t="str">
        <f t="shared" si="49"/>
        <v/>
      </c>
      <c r="AS275" t="str">
        <f t="shared" si="50"/>
        <v/>
      </c>
      <c r="AT275" t="str">
        <f t="shared" si="51"/>
        <v/>
      </c>
      <c r="BG275" t="str">
        <f t="shared" si="52"/>
        <v/>
      </c>
      <c r="BH275" t="str">
        <f t="shared" si="53"/>
        <v/>
      </c>
      <c r="BL275" t="str">
        <f>IFERROR(INDEX(_names_lookup!$C:$C,MATCH(BK275,_names_lookup!$A:$A,0)),"")</f>
        <v/>
      </c>
      <c r="BM275" t="str">
        <f>IFERROR(INDEX(_names_lookup!$B:$B,MATCH(BK275,_names_lookup!$A:$A,0)),"")</f>
        <v/>
      </c>
      <c r="BS275" t="str">
        <f t="shared" si="54"/>
        <v/>
      </c>
    </row>
    <row r="276" spans="15:71" x14ac:dyDescent="0.2">
      <c r="O276" t="str">
        <f>IFERROR(INDEX(_courses_lookup!$C:$C,MATCH(K276&amp;L276,_courses_lookup!$E:$E,0)),"")</f>
        <v/>
      </c>
      <c r="P276" t="str">
        <f>IFERROR(INDEX(_courses_lookup!$D:$D,MATCH(K276&amp;L276,_courses_lookup!$E:$E,0)),"")</f>
        <v/>
      </c>
      <c r="AG276" t="str">
        <f t="shared" si="44"/>
        <v/>
      </c>
      <c r="AI276" t="str">
        <f t="shared" si="45"/>
        <v/>
      </c>
      <c r="AL276" t="str">
        <f t="shared" si="46"/>
        <v/>
      </c>
      <c r="AN276" t="str">
        <f t="shared" si="47"/>
        <v/>
      </c>
      <c r="AQ276" t="str">
        <f t="shared" si="48"/>
        <v/>
      </c>
      <c r="AR276" t="str">
        <f t="shared" si="49"/>
        <v/>
      </c>
      <c r="AS276" t="str">
        <f t="shared" si="50"/>
        <v/>
      </c>
      <c r="AT276" t="str">
        <f t="shared" si="51"/>
        <v/>
      </c>
      <c r="BG276" t="str">
        <f t="shared" si="52"/>
        <v/>
      </c>
      <c r="BH276" t="str">
        <f t="shared" si="53"/>
        <v/>
      </c>
      <c r="BL276" t="str">
        <f>IFERROR(INDEX(_names_lookup!$C:$C,MATCH(BK276,_names_lookup!$A:$A,0)),"")</f>
        <v/>
      </c>
      <c r="BM276" t="str">
        <f>IFERROR(INDEX(_names_lookup!$B:$B,MATCH(BK276,_names_lookup!$A:$A,0)),"")</f>
        <v/>
      </c>
      <c r="BS276" t="str">
        <f t="shared" si="54"/>
        <v/>
      </c>
    </row>
    <row r="277" spans="15:71" x14ac:dyDescent="0.2">
      <c r="O277" t="str">
        <f>IFERROR(INDEX(_courses_lookup!$C:$C,MATCH(K277&amp;L277,_courses_lookup!$E:$E,0)),"")</f>
        <v/>
      </c>
      <c r="P277" t="str">
        <f>IFERROR(INDEX(_courses_lookup!$D:$D,MATCH(K277&amp;L277,_courses_lookup!$E:$E,0)),"")</f>
        <v/>
      </c>
      <c r="AG277" t="str">
        <f t="shared" si="44"/>
        <v/>
      </c>
      <c r="AI277" t="str">
        <f t="shared" si="45"/>
        <v/>
      </c>
      <c r="AL277" t="str">
        <f t="shared" si="46"/>
        <v/>
      </c>
      <c r="AN277" t="str">
        <f t="shared" si="47"/>
        <v/>
      </c>
      <c r="AQ277" t="str">
        <f t="shared" si="48"/>
        <v/>
      </c>
      <c r="AR277" t="str">
        <f t="shared" si="49"/>
        <v/>
      </c>
      <c r="AS277" t="str">
        <f t="shared" si="50"/>
        <v/>
      </c>
      <c r="AT277" t="str">
        <f t="shared" si="51"/>
        <v/>
      </c>
      <c r="BG277" t="str">
        <f t="shared" si="52"/>
        <v/>
      </c>
      <c r="BH277" t="str">
        <f t="shared" si="53"/>
        <v/>
      </c>
      <c r="BL277" t="str">
        <f>IFERROR(INDEX(_names_lookup!$C:$C,MATCH(BK277,_names_lookup!$A:$A,0)),"")</f>
        <v/>
      </c>
      <c r="BM277" t="str">
        <f>IFERROR(INDEX(_names_lookup!$B:$B,MATCH(BK277,_names_lookup!$A:$A,0)),"")</f>
        <v/>
      </c>
      <c r="BS277" t="str">
        <f t="shared" si="54"/>
        <v/>
      </c>
    </row>
    <row r="278" spans="15:71" x14ac:dyDescent="0.2">
      <c r="O278" t="str">
        <f>IFERROR(INDEX(_courses_lookup!$C:$C,MATCH(K278&amp;L278,_courses_lookup!$E:$E,0)),"")</f>
        <v/>
      </c>
      <c r="P278" t="str">
        <f>IFERROR(INDEX(_courses_lookup!$D:$D,MATCH(K278&amp;L278,_courses_lookup!$E:$E,0)),"")</f>
        <v/>
      </c>
      <c r="AG278" t="str">
        <f t="shared" si="44"/>
        <v/>
      </c>
      <c r="AI278" t="str">
        <f t="shared" si="45"/>
        <v/>
      </c>
      <c r="AL278" t="str">
        <f t="shared" si="46"/>
        <v/>
      </c>
      <c r="AN278" t="str">
        <f t="shared" si="47"/>
        <v/>
      </c>
      <c r="AQ278" t="str">
        <f t="shared" si="48"/>
        <v/>
      </c>
      <c r="AR278" t="str">
        <f t="shared" si="49"/>
        <v/>
      </c>
      <c r="AS278" t="str">
        <f t="shared" si="50"/>
        <v/>
      </c>
      <c r="AT278" t="str">
        <f t="shared" si="51"/>
        <v/>
      </c>
      <c r="BG278" t="str">
        <f t="shared" si="52"/>
        <v/>
      </c>
      <c r="BH278" t="str">
        <f t="shared" si="53"/>
        <v/>
      </c>
      <c r="BL278" t="str">
        <f>IFERROR(INDEX(_names_lookup!$C:$C,MATCH(BK278,_names_lookup!$A:$A,0)),"")</f>
        <v/>
      </c>
      <c r="BM278" t="str">
        <f>IFERROR(INDEX(_names_lookup!$B:$B,MATCH(BK278,_names_lookup!$A:$A,0)),"")</f>
        <v/>
      </c>
      <c r="BS278" t="str">
        <f t="shared" si="54"/>
        <v/>
      </c>
    </row>
    <row r="279" spans="15:71" x14ac:dyDescent="0.2">
      <c r="O279" t="str">
        <f>IFERROR(INDEX(_courses_lookup!$C:$C,MATCH(K279&amp;L279,_courses_lookup!$E:$E,0)),"")</f>
        <v/>
      </c>
      <c r="P279" t="str">
        <f>IFERROR(INDEX(_courses_lookup!$D:$D,MATCH(K279&amp;L279,_courses_lookup!$E:$E,0)),"")</f>
        <v/>
      </c>
      <c r="AG279" t="str">
        <f t="shared" si="44"/>
        <v/>
      </c>
      <c r="AI279" t="str">
        <f t="shared" si="45"/>
        <v/>
      </c>
      <c r="AL279" t="str">
        <f t="shared" si="46"/>
        <v/>
      </c>
      <c r="AN279" t="str">
        <f t="shared" si="47"/>
        <v/>
      </c>
      <c r="AQ279" t="str">
        <f t="shared" si="48"/>
        <v/>
      </c>
      <c r="AR279" t="str">
        <f t="shared" si="49"/>
        <v/>
      </c>
      <c r="AS279" t="str">
        <f t="shared" si="50"/>
        <v/>
      </c>
      <c r="AT279" t="str">
        <f t="shared" si="51"/>
        <v/>
      </c>
      <c r="BG279" t="str">
        <f t="shared" si="52"/>
        <v/>
      </c>
      <c r="BH279" t="str">
        <f t="shared" si="53"/>
        <v/>
      </c>
      <c r="BL279" t="str">
        <f>IFERROR(INDEX(_names_lookup!$C:$C,MATCH(BK279,_names_lookup!$A:$A,0)),"")</f>
        <v/>
      </c>
      <c r="BM279" t="str">
        <f>IFERROR(INDEX(_names_lookup!$B:$B,MATCH(BK279,_names_lookup!$A:$A,0)),"")</f>
        <v/>
      </c>
      <c r="BS279" t="str">
        <f t="shared" si="54"/>
        <v/>
      </c>
    </row>
    <row r="280" spans="15:71" x14ac:dyDescent="0.2">
      <c r="O280" t="str">
        <f>IFERROR(INDEX(_courses_lookup!$C:$C,MATCH(K280&amp;L280,_courses_lookup!$E:$E,0)),"")</f>
        <v/>
      </c>
      <c r="P280" t="str">
        <f>IFERROR(INDEX(_courses_lookup!$D:$D,MATCH(K280&amp;L280,_courses_lookup!$E:$E,0)),"")</f>
        <v/>
      </c>
      <c r="AG280" t="str">
        <f t="shared" si="44"/>
        <v/>
      </c>
      <c r="AI280" t="str">
        <f t="shared" si="45"/>
        <v/>
      </c>
      <c r="AL280" t="str">
        <f t="shared" si="46"/>
        <v/>
      </c>
      <c r="AN280" t="str">
        <f t="shared" si="47"/>
        <v/>
      </c>
      <c r="AQ280" t="str">
        <f t="shared" si="48"/>
        <v/>
      </c>
      <c r="AR280" t="str">
        <f t="shared" si="49"/>
        <v/>
      </c>
      <c r="AS280" t="str">
        <f t="shared" si="50"/>
        <v/>
      </c>
      <c r="AT280" t="str">
        <f t="shared" si="51"/>
        <v/>
      </c>
      <c r="BG280" t="str">
        <f t="shared" si="52"/>
        <v/>
      </c>
      <c r="BH280" t="str">
        <f t="shared" si="53"/>
        <v/>
      </c>
      <c r="BL280" t="str">
        <f>IFERROR(INDEX(_names_lookup!$C:$C,MATCH(BK280,_names_lookup!$A:$A,0)),"")</f>
        <v/>
      </c>
      <c r="BM280" t="str">
        <f>IFERROR(INDEX(_names_lookup!$B:$B,MATCH(BK280,_names_lookup!$A:$A,0)),"")</f>
        <v/>
      </c>
      <c r="BS280" t="str">
        <f t="shared" si="54"/>
        <v/>
      </c>
    </row>
    <row r="281" spans="15:71" x14ac:dyDescent="0.2">
      <c r="O281" t="str">
        <f>IFERROR(INDEX(_courses_lookup!$C:$C,MATCH(K281&amp;L281,_courses_lookup!$E:$E,0)),"")</f>
        <v/>
      </c>
      <c r="P281" t="str">
        <f>IFERROR(INDEX(_courses_lookup!$D:$D,MATCH(K281&amp;L281,_courses_lookup!$E:$E,0)),"")</f>
        <v/>
      </c>
      <c r="AG281" t="str">
        <f t="shared" si="44"/>
        <v/>
      </c>
      <c r="AI281" t="str">
        <f t="shared" si="45"/>
        <v/>
      </c>
      <c r="AL281" t="str">
        <f t="shared" si="46"/>
        <v/>
      </c>
      <c r="AN281" t="str">
        <f t="shared" si="47"/>
        <v/>
      </c>
      <c r="AQ281" t="str">
        <f t="shared" si="48"/>
        <v/>
      </c>
      <c r="AR281" t="str">
        <f t="shared" si="49"/>
        <v/>
      </c>
      <c r="AS281" t="str">
        <f t="shared" si="50"/>
        <v/>
      </c>
      <c r="AT281" t="str">
        <f t="shared" si="51"/>
        <v/>
      </c>
      <c r="BG281" t="str">
        <f t="shared" si="52"/>
        <v/>
      </c>
      <c r="BH281" t="str">
        <f t="shared" si="53"/>
        <v/>
      </c>
      <c r="BL281" t="str">
        <f>IFERROR(INDEX(_names_lookup!$C:$C,MATCH(BK281,_names_lookup!$A:$A,0)),"")</f>
        <v/>
      </c>
      <c r="BM281" t="str">
        <f>IFERROR(INDEX(_names_lookup!$B:$B,MATCH(BK281,_names_lookup!$A:$A,0)),"")</f>
        <v/>
      </c>
      <c r="BS281" t="str">
        <f t="shared" si="54"/>
        <v/>
      </c>
    </row>
    <row r="282" spans="15:71" x14ac:dyDescent="0.2">
      <c r="O282" t="str">
        <f>IFERROR(INDEX(_courses_lookup!$C:$C,MATCH(K282&amp;L282,_courses_lookup!$E:$E,0)),"")</f>
        <v/>
      </c>
      <c r="P282" t="str">
        <f>IFERROR(INDEX(_courses_lookup!$D:$D,MATCH(K282&amp;L282,_courses_lookup!$E:$E,0)),"")</f>
        <v/>
      </c>
      <c r="AG282" t="str">
        <f t="shared" si="44"/>
        <v/>
      </c>
      <c r="AI282" t="str">
        <f t="shared" si="45"/>
        <v/>
      </c>
      <c r="AL282" t="str">
        <f t="shared" si="46"/>
        <v/>
      </c>
      <c r="AN282" t="str">
        <f t="shared" si="47"/>
        <v/>
      </c>
      <c r="AQ282" t="str">
        <f t="shared" si="48"/>
        <v/>
      </c>
      <c r="AR282" t="str">
        <f t="shared" si="49"/>
        <v/>
      </c>
      <c r="AS282" t="str">
        <f t="shared" si="50"/>
        <v/>
      </c>
      <c r="AT282" t="str">
        <f t="shared" si="51"/>
        <v/>
      </c>
      <c r="BG282" t="str">
        <f t="shared" si="52"/>
        <v/>
      </c>
      <c r="BH282" t="str">
        <f t="shared" si="53"/>
        <v/>
      </c>
      <c r="BL282" t="str">
        <f>IFERROR(INDEX(_names_lookup!$C:$C,MATCH(BK282,_names_lookup!$A:$A,0)),"")</f>
        <v/>
      </c>
      <c r="BM282" t="str">
        <f>IFERROR(INDEX(_names_lookup!$B:$B,MATCH(BK282,_names_lookup!$A:$A,0)),"")</f>
        <v/>
      </c>
      <c r="BS282" t="str">
        <f t="shared" si="54"/>
        <v/>
      </c>
    </row>
    <row r="283" spans="15:71" x14ac:dyDescent="0.2">
      <c r="O283" t="str">
        <f>IFERROR(INDEX(_courses_lookup!$C:$C,MATCH(K283&amp;L283,_courses_lookup!$E:$E,0)),"")</f>
        <v/>
      </c>
      <c r="P283" t="str">
        <f>IFERROR(INDEX(_courses_lookup!$D:$D,MATCH(K283&amp;L283,_courses_lookup!$E:$E,0)),"")</f>
        <v/>
      </c>
      <c r="AG283" t="str">
        <f t="shared" si="44"/>
        <v/>
      </c>
      <c r="AI283" t="str">
        <f t="shared" si="45"/>
        <v/>
      </c>
      <c r="AL283" t="str">
        <f t="shared" si="46"/>
        <v/>
      </c>
      <c r="AN283" t="str">
        <f t="shared" si="47"/>
        <v/>
      </c>
      <c r="AQ283" t="str">
        <f t="shared" si="48"/>
        <v/>
      </c>
      <c r="AR283" t="str">
        <f t="shared" si="49"/>
        <v/>
      </c>
      <c r="AS283" t="str">
        <f t="shared" si="50"/>
        <v/>
      </c>
      <c r="AT283" t="str">
        <f t="shared" si="51"/>
        <v/>
      </c>
      <c r="BG283" t="str">
        <f t="shared" si="52"/>
        <v/>
      </c>
      <c r="BH283" t="str">
        <f t="shared" si="53"/>
        <v/>
      </c>
      <c r="BL283" t="str">
        <f>IFERROR(INDEX(_names_lookup!$C:$C,MATCH(BK283,_names_lookup!$A:$A,0)),"")</f>
        <v/>
      </c>
      <c r="BM283" t="str">
        <f>IFERROR(INDEX(_names_lookup!$B:$B,MATCH(BK283,_names_lookup!$A:$A,0)),"")</f>
        <v/>
      </c>
      <c r="BS283" t="str">
        <f t="shared" si="54"/>
        <v/>
      </c>
    </row>
    <row r="284" spans="15:71" x14ac:dyDescent="0.2">
      <c r="O284" t="str">
        <f>IFERROR(INDEX(_courses_lookup!$C:$C,MATCH(K284&amp;L284,_courses_lookup!$E:$E,0)),"")</f>
        <v/>
      </c>
      <c r="P284" t="str">
        <f>IFERROR(INDEX(_courses_lookup!$D:$D,MATCH(K284&amp;L284,_courses_lookup!$E:$E,0)),"")</f>
        <v/>
      </c>
      <c r="AG284" t="str">
        <f t="shared" si="44"/>
        <v/>
      </c>
      <c r="AI284" t="str">
        <f t="shared" si="45"/>
        <v/>
      </c>
      <c r="AL284" t="str">
        <f t="shared" si="46"/>
        <v/>
      </c>
      <c r="AN284" t="str">
        <f t="shared" si="47"/>
        <v/>
      </c>
      <c r="AQ284" t="str">
        <f t="shared" si="48"/>
        <v/>
      </c>
      <c r="AR284" t="str">
        <f t="shared" si="49"/>
        <v/>
      </c>
      <c r="AS284" t="str">
        <f t="shared" si="50"/>
        <v/>
      </c>
      <c r="AT284" t="str">
        <f t="shared" si="51"/>
        <v/>
      </c>
      <c r="BG284" t="str">
        <f t="shared" si="52"/>
        <v/>
      </c>
      <c r="BH284" t="str">
        <f t="shared" si="53"/>
        <v/>
      </c>
      <c r="BL284" t="str">
        <f>IFERROR(INDEX(_names_lookup!$C:$C,MATCH(BK284,_names_lookup!$A:$A,0)),"")</f>
        <v/>
      </c>
      <c r="BM284" t="str">
        <f>IFERROR(INDEX(_names_lookup!$B:$B,MATCH(BK284,_names_lookup!$A:$A,0)),"")</f>
        <v/>
      </c>
      <c r="BS284" t="str">
        <f t="shared" si="54"/>
        <v/>
      </c>
    </row>
    <row r="285" spans="15:71" x14ac:dyDescent="0.2">
      <c r="O285" t="str">
        <f>IFERROR(INDEX(_courses_lookup!$C:$C,MATCH(K285&amp;L285,_courses_lookup!$E:$E,0)),"")</f>
        <v/>
      </c>
      <c r="P285" t="str">
        <f>IFERROR(INDEX(_courses_lookup!$D:$D,MATCH(K285&amp;L285,_courses_lookup!$E:$E,0)),"")</f>
        <v/>
      </c>
      <c r="AG285" t="str">
        <f t="shared" si="44"/>
        <v/>
      </c>
      <c r="AI285" t="str">
        <f t="shared" si="45"/>
        <v/>
      </c>
      <c r="AL285" t="str">
        <f t="shared" si="46"/>
        <v/>
      </c>
      <c r="AN285" t="str">
        <f t="shared" si="47"/>
        <v/>
      </c>
      <c r="AQ285" t="str">
        <f t="shared" si="48"/>
        <v/>
      </c>
      <c r="AR285" t="str">
        <f t="shared" si="49"/>
        <v/>
      </c>
      <c r="AS285" t="str">
        <f t="shared" si="50"/>
        <v/>
      </c>
      <c r="AT285" t="str">
        <f t="shared" si="51"/>
        <v/>
      </c>
      <c r="BG285" t="str">
        <f t="shared" si="52"/>
        <v/>
      </c>
      <c r="BH285" t="str">
        <f t="shared" si="53"/>
        <v/>
      </c>
      <c r="BL285" t="str">
        <f>IFERROR(INDEX(_names_lookup!$C:$C,MATCH(BK285,_names_lookup!$A:$A,0)),"")</f>
        <v/>
      </c>
      <c r="BM285" t="str">
        <f>IFERROR(INDEX(_names_lookup!$B:$B,MATCH(BK285,_names_lookup!$A:$A,0)),"")</f>
        <v/>
      </c>
      <c r="BS285" t="str">
        <f t="shared" si="54"/>
        <v/>
      </c>
    </row>
    <row r="286" spans="15:71" x14ac:dyDescent="0.2">
      <c r="O286" t="str">
        <f>IFERROR(INDEX(_courses_lookup!$C:$C,MATCH(K286&amp;L286,_courses_lookup!$E:$E,0)),"")</f>
        <v/>
      </c>
      <c r="P286" t="str">
        <f>IFERROR(INDEX(_courses_lookup!$D:$D,MATCH(K286&amp;L286,_courses_lookup!$E:$E,0)),"")</f>
        <v/>
      </c>
      <c r="AG286" t="str">
        <f t="shared" si="44"/>
        <v/>
      </c>
      <c r="AI286" t="str">
        <f t="shared" si="45"/>
        <v/>
      </c>
      <c r="AL286" t="str">
        <f t="shared" si="46"/>
        <v/>
      </c>
      <c r="AN286" t="str">
        <f t="shared" si="47"/>
        <v/>
      </c>
      <c r="AQ286" t="str">
        <f t="shared" si="48"/>
        <v/>
      </c>
      <c r="AR286" t="str">
        <f t="shared" si="49"/>
        <v/>
      </c>
      <c r="AS286" t="str">
        <f t="shared" si="50"/>
        <v/>
      </c>
      <c r="AT286" t="str">
        <f t="shared" si="51"/>
        <v/>
      </c>
      <c r="BG286" t="str">
        <f t="shared" si="52"/>
        <v/>
      </c>
      <c r="BH286" t="str">
        <f t="shared" si="53"/>
        <v/>
      </c>
      <c r="BL286" t="str">
        <f>IFERROR(INDEX(_names_lookup!$C:$C,MATCH(BK286,_names_lookup!$A:$A,0)),"")</f>
        <v/>
      </c>
      <c r="BM286" t="str">
        <f>IFERROR(INDEX(_names_lookup!$B:$B,MATCH(BK286,_names_lookup!$A:$A,0)),"")</f>
        <v/>
      </c>
      <c r="BS286" t="str">
        <f t="shared" si="54"/>
        <v/>
      </c>
    </row>
    <row r="287" spans="15:71" x14ac:dyDescent="0.2">
      <c r="O287" t="str">
        <f>IFERROR(INDEX(_courses_lookup!$C:$C,MATCH(K287&amp;L287,_courses_lookup!$E:$E,0)),"")</f>
        <v/>
      </c>
      <c r="P287" t="str">
        <f>IFERROR(INDEX(_courses_lookup!$D:$D,MATCH(K287&amp;L287,_courses_lookup!$E:$E,0)),"")</f>
        <v/>
      </c>
      <c r="AG287" t="str">
        <f t="shared" si="44"/>
        <v/>
      </c>
      <c r="AI287" t="str">
        <f t="shared" si="45"/>
        <v/>
      </c>
      <c r="AL287" t="str">
        <f t="shared" si="46"/>
        <v/>
      </c>
      <c r="AN287" t="str">
        <f t="shared" si="47"/>
        <v/>
      </c>
      <c r="AQ287" t="str">
        <f t="shared" si="48"/>
        <v/>
      </c>
      <c r="AR287" t="str">
        <f t="shared" si="49"/>
        <v/>
      </c>
      <c r="AS287" t="str">
        <f t="shared" si="50"/>
        <v/>
      </c>
      <c r="AT287" t="str">
        <f t="shared" si="51"/>
        <v/>
      </c>
      <c r="BG287" t="str">
        <f t="shared" si="52"/>
        <v/>
      </c>
      <c r="BH287" t="str">
        <f t="shared" si="53"/>
        <v/>
      </c>
      <c r="BL287" t="str">
        <f>IFERROR(INDEX(_names_lookup!$C:$C,MATCH(BK287,_names_lookup!$A:$A,0)),"")</f>
        <v/>
      </c>
      <c r="BM287" t="str">
        <f>IFERROR(INDEX(_names_lookup!$B:$B,MATCH(BK287,_names_lookup!$A:$A,0)),"")</f>
        <v/>
      </c>
      <c r="BS287" t="str">
        <f t="shared" si="54"/>
        <v/>
      </c>
    </row>
    <row r="288" spans="15:71" x14ac:dyDescent="0.2">
      <c r="O288" t="str">
        <f>IFERROR(INDEX(_courses_lookup!$C:$C,MATCH(K288&amp;L288,_courses_lookup!$E:$E,0)),"")</f>
        <v/>
      </c>
      <c r="P288" t="str">
        <f>IFERROR(INDEX(_courses_lookup!$D:$D,MATCH(K288&amp;L288,_courses_lookup!$E:$E,0)),"")</f>
        <v/>
      </c>
      <c r="AG288" t="str">
        <f t="shared" si="44"/>
        <v/>
      </c>
      <c r="AI288" t="str">
        <f t="shared" si="45"/>
        <v/>
      </c>
      <c r="AL288" t="str">
        <f t="shared" si="46"/>
        <v/>
      </c>
      <c r="AN288" t="str">
        <f t="shared" si="47"/>
        <v/>
      </c>
      <c r="AQ288" t="str">
        <f t="shared" si="48"/>
        <v/>
      </c>
      <c r="AR288" t="str">
        <f t="shared" si="49"/>
        <v/>
      </c>
      <c r="AS288" t="str">
        <f t="shared" si="50"/>
        <v/>
      </c>
      <c r="AT288" t="str">
        <f t="shared" si="51"/>
        <v/>
      </c>
      <c r="BG288" t="str">
        <f t="shared" si="52"/>
        <v/>
      </c>
      <c r="BH288" t="str">
        <f t="shared" si="53"/>
        <v/>
      </c>
      <c r="BL288" t="str">
        <f>IFERROR(INDEX(_names_lookup!$C:$C,MATCH(BK288,_names_lookup!$A:$A,0)),"")</f>
        <v/>
      </c>
      <c r="BM288" t="str">
        <f>IFERROR(INDEX(_names_lookup!$B:$B,MATCH(BK288,_names_lookup!$A:$A,0)),"")</f>
        <v/>
      </c>
      <c r="BS288" t="str">
        <f t="shared" si="54"/>
        <v/>
      </c>
    </row>
    <row r="289" spans="15:71" x14ac:dyDescent="0.2">
      <c r="O289" t="str">
        <f>IFERROR(INDEX(_courses_lookup!$C:$C,MATCH(K289&amp;L289,_courses_lookup!$E:$E,0)),"")</f>
        <v/>
      </c>
      <c r="P289" t="str">
        <f>IFERROR(INDEX(_courses_lookup!$D:$D,MATCH(K289&amp;L289,_courses_lookup!$E:$E,0)),"")</f>
        <v/>
      </c>
      <c r="AG289" t="str">
        <f t="shared" si="44"/>
        <v/>
      </c>
      <c r="AI289" t="str">
        <f t="shared" si="45"/>
        <v/>
      </c>
      <c r="AL289" t="str">
        <f t="shared" si="46"/>
        <v/>
      </c>
      <c r="AN289" t="str">
        <f t="shared" si="47"/>
        <v/>
      </c>
      <c r="AQ289" t="str">
        <f t="shared" si="48"/>
        <v/>
      </c>
      <c r="AR289" t="str">
        <f t="shared" si="49"/>
        <v/>
      </c>
      <c r="AS289" t="str">
        <f t="shared" si="50"/>
        <v/>
      </c>
      <c r="AT289" t="str">
        <f t="shared" si="51"/>
        <v/>
      </c>
      <c r="BG289" t="str">
        <f t="shared" si="52"/>
        <v/>
      </c>
      <c r="BH289" t="str">
        <f t="shared" si="53"/>
        <v/>
      </c>
      <c r="BL289" t="str">
        <f>IFERROR(INDEX(_names_lookup!$C:$C,MATCH(BK289,_names_lookup!$A:$A,0)),"")</f>
        <v/>
      </c>
      <c r="BM289" t="str">
        <f>IFERROR(INDEX(_names_lookup!$B:$B,MATCH(BK289,_names_lookup!$A:$A,0)),"")</f>
        <v/>
      </c>
      <c r="BS289" t="str">
        <f t="shared" si="54"/>
        <v/>
      </c>
    </row>
    <row r="290" spans="15:71" x14ac:dyDescent="0.2">
      <c r="O290" t="str">
        <f>IFERROR(INDEX(_courses_lookup!$C:$C,MATCH(K290&amp;L290,_courses_lookup!$E:$E,0)),"")</f>
        <v/>
      </c>
      <c r="P290" t="str">
        <f>IFERROR(INDEX(_courses_lookup!$D:$D,MATCH(K290&amp;L290,_courses_lookup!$E:$E,0)),"")</f>
        <v/>
      </c>
      <c r="AG290" t="str">
        <f t="shared" si="44"/>
        <v/>
      </c>
      <c r="AI290" t="str">
        <f t="shared" si="45"/>
        <v/>
      </c>
      <c r="AL290" t="str">
        <f t="shared" si="46"/>
        <v/>
      </c>
      <c r="AN290" t="str">
        <f t="shared" si="47"/>
        <v/>
      </c>
      <c r="AQ290" t="str">
        <f t="shared" si="48"/>
        <v/>
      </c>
      <c r="AR290" t="str">
        <f t="shared" si="49"/>
        <v/>
      </c>
      <c r="AS290" t="str">
        <f t="shared" si="50"/>
        <v/>
      </c>
      <c r="AT290" t="str">
        <f t="shared" si="51"/>
        <v/>
      </c>
      <c r="BG290" t="str">
        <f t="shared" si="52"/>
        <v/>
      </c>
      <c r="BH290" t="str">
        <f t="shared" si="53"/>
        <v/>
      </c>
      <c r="BL290" t="str">
        <f>IFERROR(INDEX(_names_lookup!$C:$C,MATCH(BK290,_names_lookup!$A:$A,0)),"")</f>
        <v/>
      </c>
      <c r="BM290" t="str">
        <f>IFERROR(INDEX(_names_lookup!$B:$B,MATCH(BK290,_names_lookup!$A:$A,0)),"")</f>
        <v/>
      </c>
      <c r="BS290" t="str">
        <f t="shared" si="54"/>
        <v/>
      </c>
    </row>
    <row r="291" spans="15:71" x14ac:dyDescent="0.2">
      <c r="O291" t="str">
        <f>IFERROR(INDEX(_courses_lookup!$C:$C,MATCH(K291&amp;L291,_courses_lookup!$E:$E,0)),"")</f>
        <v/>
      </c>
      <c r="P291" t="str">
        <f>IFERROR(INDEX(_courses_lookup!$D:$D,MATCH(K291&amp;L291,_courses_lookup!$E:$E,0)),"")</f>
        <v/>
      </c>
      <c r="AG291" t="str">
        <f t="shared" si="44"/>
        <v/>
      </c>
      <c r="AI291" t="str">
        <f t="shared" si="45"/>
        <v/>
      </c>
      <c r="AL291" t="str">
        <f t="shared" si="46"/>
        <v/>
      </c>
      <c r="AN291" t="str">
        <f t="shared" si="47"/>
        <v/>
      </c>
      <c r="AQ291" t="str">
        <f t="shared" si="48"/>
        <v/>
      </c>
      <c r="AR291" t="str">
        <f t="shared" si="49"/>
        <v/>
      </c>
      <c r="AS291" t="str">
        <f t="shared" si="50"/>
        <v/>
      </c>
      <c r="AT291" t="str">
        <f t="shared" si="51"/>
        <v/>
      </c>
      <c r="BG291" t="str">
        <f t="shared" si="52"/>
        <v/>
      </c>
      <c r="BH291" t="str">
        <f t="shared" si="53"/>
        <v/>
      </c>
      <c r="BL291" t="str">
        <f>IFERROR(INDEX(_names_lookup!$C:$C,MATCH(BK291,_names_lookup!$A:$A,0)),"")</f>
        <v/>
      </c>
      <c r="BM291" t="str">
        <f>IFERROR(INDEX(_names_lookup!$B:$B,MATCH(BK291,_names_lookup!$A:$A,0)),"")</f>
        <v/>
      </c>
      <c r="BS291" t="str">
        <f t="shared" si="54"/>
        <v/>
      </c>
    </row>
    <row r="292" spans="15:71" x14ac:dyDescent="0.2">
      <c r="O292" t="str">
        <f>IFERROR(INDEX(_courses_lookup!$C:$C,MATCH(K292&amp;L292,_courses_lookup!$E:$E,0)),"")</f>
        <v/>
      </c>
      <c r="P292" t="str">
        <f>IFERROR(INDEX(_courses_lookup!$D:$D,MATCH(K292&amp;L292,_courses_lookup!$E:$E,0)),"")</f>
        <v/>
      </c>
      <c r="AG292" t="str">
        <f t="shared" si="44"/>
        <v/>
      </c>
      <c r="AI292" t="str">
        <f t="shared" si="45"/>
        <v/>
      </c>
      <c r="AL292" t="str">
        <f t="shared" si="46"/>
        <v/>
      </c>
      <c r="AN292" t="str">
        <f t="shared" si="47"/>
        <v/>
      </c>
      <c r="AQ292" t="str">
        <f t="shared" si="48"/>
        <v/>
      </c>
      <c r="AR292" t="str">
        <f t="shared" si="49"/>
        <v/>
      </c>
      <c r="AS292" t="str">
        <f t="shared" si="50"/>
        <v/>
      </c>
      <c r="AT292" t="str">
        <f t="shared" si="51"/>
        <v/>
      </c>
      <c r="BG292" t="str">
        <f t="shared" si="52"/>
        <v/>
      </c>
      <c r="BH292" t="str">
        <f t="shared" si="53"/>
        <v/>
      </c>
      <c r="BL292" t="str">
        <f>IFERROR(INDEX(_names_lookup!$C:$C,MATCH(BK292,_names_lookup!$A:$A,0)),"")</f>
        <v/>
      </c>
      <c r="BM292" t="str">
        <f>IFERROR(INDEX(_names_lookup!$B:$B,MATCH(BK292,_names_lookup!$A:$A,0)),"")</f>
        <v/>
      </c>
      <c r="BS292" t="str">
        <f t="shared" si="54"/>
        <v/>
      </c>
    </row>
    <row r="293" spans="15:71" x14ac:dyDescent="0.2">
      <c r="O293" t="str">
        <f>IFERROR(INDEX(_courses_lookup!$C:$C,MATCH(K293&amp;L293,_courses_lookup!$E:$E,0)),"")</f>
        <v/>
      </c>
      <c r="P293" t="str">
        <f>IFERROR(INDEX(_courses_lookup!$D:$D,MATCH(K293&amp;L293,_courses_lookup!$E:$E,0)),"")</f>
        <v/>
      </c>
      <c r="AG293" t="str">
        <f t="shared" si="44"/>
        <v/>
      </c>
      <c r="AI293" t="str">
        <f t="shared" si="45"/>
        <v/>
      </c>
      <c r="AL293" t="str">
        <f t="shared" si="46"/>
        <v/>
      </c>
      <c r="AN293" t="str">
        <f t="shared" si="47"/>
        <v/>
      </c>
      <c r="AQ293" t="str">
        <f t="shared" si="48"/>
        <v/>
      </c>
      <c r="AR293" t="str">
        <f t="shared" si="49"/>
        <v/>
      </c>
      <c r="AS293" t="str">
        <f t="shared" si="50"/>
        <v/>
      </c>
      <c r="AT293" t="str">
        <f t="shared" si="51"/>
        <v/>
      </c>
      <c r="BG293" t="str">
        <f t="shared" si="52"/>
        <v/>
      </c>
      <c r="BH293" t="str">
        <f t="shared" si="53"/>
        <v/>
      </c>
      <c r="BL293" t="str">
        <f>IFERROR(INDEX(_names_lookup!$C:$C,MATCH(BK293,_names_lookup!$A:$A,0)),"")</f>
        <v/>
      </c>
      <c r="BM293" t="str">
        <f>IFERROR(INDEX(_names_lookup!$B:$B,MATCH(BK293,_names_lookup!$A:$A,0)),"")</f>
        <v/>
      </c>
      <c r="BS293" t="str">
        <f t="shared" si="54"/>
        <v/>
      </c>
    </row>
    <row r="294" spans="15:71" x14ac:dyDescent="0.2">
      <c r="O294" t="str">
        <f>IFERROR(INDEX(_courses_lookup!$C:$C,MATCH(K294&amp;L294,_courses_lookup!$E:$E,0)),"")</f>
        <v/>
      </c>
      <c r="P294" t="str">
        <f>IFERROR(INDEX(_courses_lookup!$D:$D,MATCH(K294&amp;L294,_courses_lookup!$E:$E,0)),"")</f>
        <v/>
      </c>
      <c r="AG294" t="str">
        <f t="shared" si="44"/>
        <v/>
      </c>
      <c r="AI294" t="str">
        <f t="shared" si="45"/>
        <v/>
      </c>
      <c r="AL294" t="str">
        <f t="shared" si="46"/>
        <v/>
      </c>
      <c r="AN294" t="str">
        <f t="shared" si="47"/>
        <v/>
      </c>
      <c r="AQ294" t="str">
        <f t="shared" si="48"/>
        <v/>
      </c>
      <c r="AR294" t="str">
        <f t="shared" si="49"/>
        <v/>
      </c>
      <c r="AS294" t="str">
        <f t="shared" si="50"/>
        <v/>
      </c>
      <c r="AT294" t="str">
        <f t="shared" si="51"/>
        <v/>
      </c>
      <c r="BG294" t="str">
        <f t="shared" si="52"/>
        <v/>
      </c>
      <c r="BH294" t="str">
        <f t="shared" si="53"/>
        <v/>
      </c>
      <c r="BL294" t="str">
        <f>IFERROR(INDEX(_names_lookup!$C:$C,MATCH(BK294,_names_lookup!$A:$A,0)),"")</f>
        <v/>
      </c>
      <c r="BM294" t="str">
        <f>IFERROR(INDEX(_names_lookup!$B:$B,MATCH(BK294,_names_lookup!$A:$A,0)),"")</f>
        <v/>
      </c>
      <c r="BS294" t="str">
        <f t="shared" si="54"/>
        <v/>
      </c>
    </row>
    <row r="295" spans="15:71" x14ac:dyDescent="0.2">
      <c r="O295" t="str">
        <f>IFERROR(INDEX(_courses_lookup!$C:$C,MATCH(K295&amp;L295,_courses_lookup!$E:$E,0)),"")</f>
        <v/>
      </c>
      <c r="P295" t="str">
        <f>IFERROR(INDEX(_courses_lookup!$D:$D,MATCH(K295&amp;L295,_courses_lookup!$E:$E,0)),"")</f>
        <v/>
      </c>
      <c r="AG295" t="str">
        <f t="shared" si="44"/>
        <v/>
      </c>
      <c r="AI295" t="str">
        <f t="shared" si="45"/>
        <v/>
      </c>
      <c r="AL295" t="str">
        <f t="shared" si="46"/>
        <v/>
      </c>
      <c r="AN295" t="str">
        <f t="shared" si="47"/>
        <v/>
      </c>
      <c r="AQ295" t="str">
        <f t="shared" si="48"/>
        <v/>
      </c>
      <c r="AR295" t="str">
        <f t="shared" si="49"/>
        <v/>
      </c>
      <c r="AS295" t="str">
        <f t="shared" si="50"/>
        <v/>
      </c>
      <c r="AT295" t="str">
        <f t="shared" si="51"/>
        <v/>
      </c>
      <c r="BG295" t="str">
        <f t="shared" si="52"/>
        <v/>
      </c>
      <c r="BH295" t="str">
        <f t="shared" si="53"/>
        <v/>
      </c>
      <c r="BL295" t="str">
        <f>IFERROR(INDEX(_names_lookup!$C:$C,MATCH(BK295,_names_lookup!$A:$A,0)),"")</f>
        <v/>
      </c>
      <c r="BM295" t="str">
        <f>IFERROR(INDEX(_names_lookup!$B:$B,MATCH(BK295,_names_lookup!$A:$A,0)),"")</f>
        <v/>
      </c>
      <c r="BS295" t="str">
        <f t="shared" si="54"/>
        <v/>
      </c>
    </row>
    <row r="296" spans="15:71" x14ac:dyDescent="0.2">
      <c r="O296" t="str">
        <f>IFERROR(INDEX(_courses_lookup!$C:$C,MATCH(K296&amp;L296,_courses_lookup!$E:$E,0)),"")</f>
        <v/>
      </c>
      <c r="P296" t="str">
        <f>IFERROR(INDEX(_courses_lookup!$D:$D,MATCH(K296&amp;L296,_courses_lookup!$E:$E,0)),"")</f>
        <v/>
      </c>
      <c r="AG296" t="str">
        <f t="shared" si="44"/>
        <v/>
      </c>
      <c r="AI296" t="str">
        <f t="shared" si="45"/>
        <v/>
      </c>
      <c r="AL296" t="str">
        <f t="shared" si="46"/>
        <v/>
      </c>
      <c r="AN296" t="str">
        <f t="shared" si="47"/>
        <v/>
      </c>
      <c r="AQ296" t="str">
        <f t="shared" si="48"/>
        <v/>
      </c>
      <c r="AR296" t="str">
        <f t="shared" si="49"/>
        <v/>
      </c>
      <c r="AS296" t="str">
        <f t="shared" si="50"/>
        <v/>
      </c>
      <c r="AT296" t="str">
        <f t="shared" si="51"/>
        <v/>
      </c>
      <c r="BG296" t="str">
        <f t="shared" si="52"/>
        <v/>
      </c>
      <c r="BH296" t="str">
        <f t="shared" si="53"/>
        <v/>
      </c>
      <c r="BL296" t="str">
        <f>IFERROR(INDEX(_names_lookup!$C:$C,MATCH(BK296,_names_lookup!$A:$A,0)),"")</f>
        <v/>
      </c>
      <c r="BM296" t="str">
        <f>IFERROR(INDEX(_names_lookup!$B:$B,MATCH(BK296,_names_lookup!$A:$A,0)),"")</f>
        <v/>
      </c>
      <c r="BS296" t="str">
        <f t="shared" si="54"/>
        <v/>
      </c>
    </row>
    <row r="297" spans="15:71" x14ac:dyDescent="0.2">
      <c r="O297" t="str">
        <f>IFERROR(INDEX(_courses_lookup!$C:$C,MATCH(K297&amp;L297,_courses_lookup!$E:$E,0)),"")</f>
        <v/>
      </c>
      <c r="P297" t="str">
        <f>IFERROR(INDEX(_courses_lookup!$D:$D,MATCH(K297&amp;L297,_courses_lookup!$E:$E,0)),"")</f>
        <v/>
      </c>
      <c r="AG297" t="str">
        <f t="shared" si="44"/>
        <v/>
      </c>
      <c r="AI297" t="str">
        <f t="shared" si="45"/>
        <v/>
      </c>
      <c r="AL297" t="str">
        <f t="shared" si="46"/>
        <v/>
      </c>
      <c r="AN297" t="str">
        <f t="shared" si="47"/>
        <v/>
      </c>
      <c r="AQ297" t="str">
        <f t="shared" si="48"/>
        <v/>
      </c>
      <c r="AR297" t="str">
        <f t="shared" si="49"/>
        <v/>
      </c>
      <c r="AS297" t="str">
        <f t="shared" si="50"/>
        <v/>
      </c>
      <c r="AT297" t="str">
        <f t="shared" si="51"/>
        <v/>
      </c>
      <c r="BG297" t="str">
        <f t="shared" si="52"/>
        <v/>
      </c>
      <c r="BH297" t="str">
        <f t="shared" si="53"/>
        <v/>
      </c>
      <c r="BL297" t="str">
        <f>IFERROR(INDEX(_names_lookup!$C:$C,MATCH(BK297,_names_lookup!$A:$A,0)),"")</f>
        <v/>
      </c>
      <c r="BM297" t="str">
        <f>IFERROR(INDEX(_names_lookup!$B:$B,MATCH(BK297,_names_lookup!$A:$A,0)),"")</f>
        <v/>
      </c>
      <c r="BS297" t="str">
        <f t="shared" si="54"/>
        <v/>
      </c>
    </row>
    <row r="298" spans="15:71" x14ac:dyDescent="0.2">
      <c r="O298" t="str">
        <f>IFERROR(INDEX(_courses_lookup!$C:$C,MATCH(K298&amp;L298,_courses_lookup!$E:$E,0)),"")</f>
        <v/>
      </c>
      <c r="P298" t="str">
        <f>IFERROR(INDEX(_courses_lookup!$D:$D,MATCH(K298&amp;L298,_courses_lookup!$E:$E,0)),"")</f>
        <v/>
      </c>
      <c r="AG298" t="str">
        <f t="shared" si="44"/>
        <v/>
      </c>
      <c r="AI298" t="str">
        <f t="shared" si="45"/>
        <v/>
      </c>
      <c r="AL298" t="str">
        <f t="shared" si="46"/>
        <v/>
      </c>
      <c r="AN298" t="str">
        <f t="shared" si="47"/>
        <v/>
      </c>
      <c r="AQ298" t="str">
        <f t="shared" si="48"/>
        <v/>
      </c>
      <c r="AR298" t="str">
        <f t="shared" si="49"/>
        <v/>
      </c>
      <c r="AS298" t="str">
        <f t="shared" si="50"/>
        <v/>
      </c>
      <c r="AT298" t="str">
        <f t="shared" si="51"/>
        <v/>
      </c>
      <c r="BG298" t="str">
        <f t="shared" si="52"/>
        <v/>
      </c>
      <c r="BH298" t="str">
        <f t="shared" si="53"/>
        <v/>
      </c>
      <c r="BL298" t="str">
        <f>IFERROR(INDEX(_names_lookup!$C:$C,MATCH(BK298,_names_lookup!$A:$A,0)),"")</f>
        <v/>
      </c>
      <c r="BM298" t="str">
        <f>IFERROR(INDEX(_names_lookup!$B:$B,MATCH(BK298,_names_lookup!$A:$A,0)),"")</f>
        <v/>
      </c>
      <c r="BS298" t="str">
        <f t="shared" si="54"/>
        <v/>
      </c>
    </row>
    <row r="299" spans="15:71" x14ac:dyDescent="0.2">
      <c r="O299" t="str">
        <f>IFERROR(INDEX(_courses_lookup!$C:$C,MATCH(K299&amp;L299,_courses_lookup!$E:$E,0)),"")</f>
        <v/>
      </c>
      <c r="P299" t="str">
        <f>IFERROR(INDEX(_courses_lookup!$D:$D,MATCH(K299&amp;L299,_courses_lookup!$E:$E,0)),"")</f>
        <v/>
      </c>
      <c r="AG299" t="str">
        <f t="shared" si="44"/>
        <v/>
      </c>
      <c r="AI299" t="str">
        <f t="shared" si="45"/>
        <v/>
      </c>
      <c r="AL299" t="str">
        <f t="shared" si="46"/>
        <v/>
      </c>
      <c r="AN299" t="str">
        <f t="shared" si="47"/>
        <v/>
      </c>
      <c r="AQ299" t="str">
        <f t="shared" si="48"/>
        <v/>
      </c>
      <c r="AR299" t="str">
        <f t="shared" si="49"/>
        <v/>
      </c>
      <c r="AS299" t="str">
        <f t="shared" si="50"/>
        <v/>
      </c>
      <c r="AT299" t="str">
        <f t="shared" si="51"/>
        <v/>
      </c>
      <c r="BG299" t="str">
        <f t="shared" si="52"/>
        <v/>
      </c>
      <c r="BH299" t="str">
        <f t="shared" si="53"/>
        <v/>
      </c>
      <c r="BL299" t="str">
        <f>IFERROR(INDEX(_names_lookup!$C:$C,MATCH(BK299,_names_lookup!$A:$A,0)),"")</f>
        <v/>
      </c>
      <c r="BM299" t="str">
        <f>IFERROR(INDEX(_names_lookup!$B:$B,MATCH(BK299,_names_lookup!$A:$A,0)),"")</f>
        <v/>
      </c>
      <c r="BS299" t="str">
        <f t="shared" si="54"/>
        <v/>
      </c>
    </row>
    <row r="300" spans="15:71" x14ac:dyDescent="0.2">
      <c r="O300" t="str">
        <f>IFERROR(INDEX(_courses_lookup!$C:$C,MATCH(K300&amp;L300,_courses_lookup!$E:$E,0)),"")</f>
        <v/>
      </c>
      <c r="P300" t="str">
        <f>IFERROR(INDEX(_courses_lookup!$D:$D,MATCH(K300&amp;L300,_courses_lookup!$E:$E,0)),"")</f>
        <v/>
      </c>
      <c r="AG300" t="str">
        <f t="shared" si="44"/>
        <v/>
      </c>
      <c r="AI300" t="str">
        <f t="shared" si="45"/>
        <v/>
      </c>
      <c r="AL300" t="str">
        <f t="shared" si="46"/>
        <v/>
      </c>
      <c r="AN300" t="str">
        <f t="shared" si="47"/>
        <v/>
      </c>
      <c r="AQ300" t="str">
        <f t="shared" si="48"/>
        <v/>
      </c>
      <c r="AR300" t="str">
        <f t="shared" si="49"/>
        <v/>
      </c>
      <c r="AS300" t="str">
        <f t="shared" si="50"/>
        <v/>
      </c>
      <c r="AT300" t="str">
        <f t="shared" si="51"/>
        <v/>
      </c>
      <c r="BG300" t="str">
        <f t="shared" si="52"/>
        <v/>
      </c>
      <c r="BH300" t="str">
        <f t="shared" si="53"/>
        <v/>
      </c>
      <c r="BL300" t="str">
        <f>IFERROR(INDEX(_names_lookup!$C:$C,MATCH(BK300,_names_lookup!$A:$A,0)),"")</f>
        <v/>
      </c>
      <c r="BM300" t="str">
        <f>IFERROR(INDEX(_names_lookup!$B:$B,MATCH(BK300,_names_lookup!$A:$A,0)),"")</f>
        <v/>
      </c>
      <c r="BS300" t="str">
        <f t="shared" si="54"/>
        <v/>
      </c>
    </row>
  </sheetData>
  <autoFilter ref="A1:DQ1" xr:uid="{00000000-0009-0000-0000-000002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200-000000000000}">
          <x14:formula1>
            <xm:f>DropDownMenu!$A$2:$A$3</xm:f>
          </x14:formula1>
          <xm:sqref>A2:A5000</xm:sqref>
        </x14:dataValidation>
        <x14:dataValidation type="list" allowBlank="1" xr:uid="{00000000-0002-0000-0200-000001000000}">
          <x14:formula1>
            <xm:f>DropDownMenu!$B$2:$B$3</xm:f>
          </x14:formula1>
          <xm:sqref>B2:B5000</xm:sqref>
        </x14:dataValidation>
        <x14:dataValidation type="list" allowBlank="1" xr:uid="{00000000-0002-0000-0200-000002000000}">
          <x14:formula1>
            <xm:f>DropDownMenu!$C$2:$C$3</xm:f>
          </x14:formula1>
          <xm:sqref>C2:C5000</xm:sqref>
        </x14:dataValidation>
        <x14:dataValidation type="list" allowBlank="1" xr:uid="{00000000-0002-0000-0200-000003000000}">
          <x14:formula1>
            <xm:f>DropDownMenu!$D$2:$D$3</xm:f>
          </x14:formula1>
          <xm:sqref>D2:D5000</xm:sqref>
        </x14:dataValidation>
        <x14:dataValidation type="list" allowBlank="1" xr:uid="{00000000-0002-0000-0200-000004000000}">
          <x14:formula1>
            <xm:f>DropDownMenu!$E$2:$E$3</xm:f>
          </x14:formula1>
          <xm:sqref>E2:E5000</xm:sqref>
        </x14:dataValidation>
        <x14:dataValidation type="list" allowBlank="1" xr:uid="{00000000-0002-0000-0200-000005000000}">
          <x14:formula1>
            <xm:f>DropDownMenu!$F$2:$F$3</xm:f>
          </x14:formula1>
          <xm:sqref>F2:F5000</xm:sqref>
        </x14:dataValidation>
        <x14:dataValidation type="list" allowBlank="1" xr:uid="{00000000-0002-0000-0200-000006000000}">
          <x14:formula1>
            <xm:f>DropDownMenu!$G$2:$G$19</xm:f>
          </x14:formula1>
          <xm:sqref>G2:G5000</xm:sqref>
        </x14:dataValidation>
        <x14:dataValidation type="list" allowBlank="1" xr:uid="{00000000-0002-0000-0200-000007000000}">
          <x14:formula1>
            <xm:f>DropDownMenu!$H$2:$H$564</xm:f>
          </x14:formula1>
          <xm:sqref>H2:H5000</xm:sqref>
        </x14:dataValidation>
        <x14:dataValidation type="list" allowBlank="1" xr:uid="{00000000-0002-0000-0200-000008000000}">
          <x14:formula1>
            <xm:f>DropDownMenu!$I$2:$I$352</xm:f>
          </x14:formula1>
          <xm:sqref>I2:I5000</xm:sqref>
        </x14:dataValidation>
        <x14:dataValidation type="list" allowBlank="1" xr:uid="{00000000-0002-0000-0200-000009000000}">
          <x14:formula1>
            <xm:f>DropDownMenu!$J$2:$J$10</xm:f>
          </x14:formula1>
          <xm:sqref>K2:K5000</xm:sqref>
        </x14:dataValidation>
        <x14:dataValidation type="list" allowBlank="1" xr:uid="{00000000-0002-0000-0200-00000A000000}">
          <x14:formula1>
            <xm:f>DropDownMenu!$K$2:$K$101</xm:f>
          </x14:formula1>
          <xm:sqref>L2:L5000</xm:sqref>
        </x14:dataValidation>
        <x14:dataValidation type="list" allowBlank="1" xr:uid="{00000000-0002-0000-0200-00000B000000}">
          <x14:formula1>
            <xm:f>DropDownMenu!$L$2:$L$42</xm:f>
          </x14:formula1>
          <xm:sqref>M2:M5000</xm:sqref>
        </x14:dataValidation>
        <x14:dataValidation type="list" allowBlank="1" xr:uid="{00000000-0002-0000-0200-00000C000000}">
          <x14:formula1>
            <xm:f>DropDownMenu!$M$2:$M$15</xm:f>
          </x14:formula1>
          <xm:sqref>N2:N5000</xm:sqref>
        </x14:dataValidation>
        <x14:dataValidation type="list" allowBlank="1" xr:uid="{00000000-0002-0000-0200-00000D000000}">
          <x14:formula1>
            <xm:f>DropDownMenu!$N$2:$N$140</xm:f>
          </x14:formula1>
          <xm:sqref>O2:O5000</xm:sqref>
        </x14:dataValidation>
        <x14:dataValidation type="list" allowBlank="1" xr:uid="{00000000-0002-0000-0200-00000E000000}">
          <x14:formula1>
            <xm:f>DropDownMenu!$O$2:$O$65</xm:f>
          </x14:formula1>
          <xm:sqref>P2:P5000</xm:sqref>
        </x14:dataValidation>
        <x14:dataValidation type="list" allowBlank="1" xr:uid="{00000000-0002-0000-0200-00000F000000}">
          <x14:formula1>
            <xm:f>DropDownMenu!$P$2:$P$45</xm:f>
          </x14:formula1>
          <xm:sqref>R2:R5000</xm:sqref>
        </x14:dataValidation>
        <x14:dataValidation type="list" allowBlank="1" xr:uid="{00000000-0002-0000-0200-000010000000}">
          <x14:formula1>
            <xm:f>DropDownMenu!$Q$2:$Q$6</xm:f>
          </x14:formula1>
          <xm:sqref>S2:S5000</xm:sqref>
        </x14:dataValidation>
        <x14:dataValidation type="list" allowBlank="1" xr:uid="{00000000-0002-0000-0200-000011000000}">
          <x14:formula1>
            <xm:f>DropDownMenu!$R$2:$R$7</xm:f>
          </x14:formula1>
          <xm:sqref>T2:T5000</xm:sqref>
        </x14:dataValidation>
        <x14:dataValidation type="list" allowBlank="1" xr:uid="{00000000-0002-0000-0200-000012000000}">
          <x14:formula1>
            <xm:f>DropDownMenu!$S$2:$S$12</xm:f>
          </x14:formula1>
          <xm:sqref>U2:U5000</xm:sqref>
        </x14:dataValidation>
        <x14:dataValidation type="list" allowBlank="1" xr:uid="{00000000-0002-0000-0200-000013000000}">
          <x14:formula1>
            <xm:f>DropDownMenu!$T$2:$T$13</xm:f>
          </x14:formula1>
          <xm:sqref>V2:V5000</xm:sqref>
        </x14:dataValidation>
        <x14:dataValidation type="list" allowBlank="1" xr:uid="{00000000-0002-0000-0200-000014000000}">
          <x14:formula1>
            <xm:f>DropDownMenu!$U$2:$U$4</xm:f>
          </x14:formula1>
          <xm:sqref>W2:W5000</xm:sqref>
        </x14:dataValidation>
        <x14:dataValidation type="list" allowBlank="1" xr:uid="{00000000-0002-0000-0200-000015000000}">
          <x14:formula1>
            <xm:f>DropDownMenu!$V$2:$V$6</xm:f>
          </x14:formula1>
          <xm:sqref>X2:X5000</xm:sqref>
        </x14:dataValidation>
        <x14:dataValidation type="list" allowBlank="1" xr:uid="{00000000-0002-0000-0200-000016000000}">
          <x14:formula1>
            <xm:f>DropDownMenu!$W$2:$W$26</xm:f>
          </x14:formula1>
          <xm:sqref>Y2:Y5000</xm:sqref>
        </x14:dataValidation>
        <x14:dataValidation type="list" allowBlank="1" xr:uid="{00000000-0002-0000-0200-000017000000}">
          <x14:formula1>
            <xm:f>DropDownMenu!$X$2:$X$7</xm:f>
          </x14:formula1>
          <xm:sqref>Z2:Z5000</xm:sqref>
        </x14:dataValidation>
        <x14:dataValidation type="list" allowBlank="1" xr:uid="{00000000-0002-0000-0200-000018000000}">
          <x14:formula1>
            <xm:f>DropDownMenu!$Y$2:$Y$15</xm:f>
          </x14:formula1>
          <xm:sqref>AB2:AB5000</xm:sqref>
        </x14:dataValidation>
        <x14:dataValidation type="list" allowBlank="1" xr:uid="{00000000-0002-0000-0200-000019000000}">
          <x14:formula1>
            <xm:f>DropDownMenu!$Z$2:$Z$6</xm:f>
          </x14:formula1>
          <xm:sqref>AC2:AC5000</xm:sqref>
        </x14:dataValidation>
        <x14:dataValidation type="list" allowBlank="1" xr:uid="{00000000-0002-0000-0200-00001A000000}">
          <x14:formula1>
            <xm:f>DropDownMenu!$AA$2:$AA$7</xm:f>
          </x14:formula1>
          <xm:sqref>AD2:AD5000</xm:sqref>
        </x14:dataValidation>
        <x14:dataValidation type="list" allowBlank="1" xr:uid="{00000000-0002-0000-0200-00001B000000}">
          <x14:formula1>
            <xm:f>DropDownMenu!$AB$2:$AB$2</xm:f>
          </x14:formula1>
          <xm:sqref>AG2:AG5000</xm:sqref>
        </x14:dataValidation>
        <x14:dataValidation type="list" allowBlank="1" xr:uid="{00000000-0002-0000-0200-00001C000000}">
          <x14:formula1>
            <xm:f>DropDownMenu!$AC$2:$AC$2</xm:f>
          </x14:formula1>
          <xm:sqref>AH2:AH5000</xm:sqref>
        </x14:dataValidation>
        <x14:dataValidation type="list" allowBlank="1" xr:uid="{00000000-0002-0000-0200-00001D000000}">
          <x14:formula1>
            <xm:f>DropDownMenu!$AD$2:$AD$2</xm:f>
          </x14:formula1>
          <xm:sqref>AI2:AI5000</xm:sqref>
        </x14:dataValidation>
        <x14:dataValidation type="list" allowBlank="1" xr:uid="{00000000-0002-0000-0200-00001E000000}">
          <x14:formula1>
            <xm:f>DropDownMenu!$AE$2:$AE$49</xm:f>
          </x14:formula1>
          <xm:sqref>AJ2:AJ5000</xm:sqref>
        </x14:dataValidation>
        <x14:dataValidation type="list" allowBlank="1" xr:uid="{00000000-0002-0000-0200-00001F000000}">
          <x14:formula1>
            <xm:f>DropDownMenu!$AF$2:$AF$52</xm:f>
          </x14:formula1>
          <xm:sqref>AK2:AK5000</xm:sqref>
        </x14:dataValidation>
        <x14:dataValidation type="list" allowBlank="1" xr:uid="{00000000-0002-0000-0200-000020000000}">
          <x14:formula1>
            <xm:f>DropDownMenu!$AG$2:$AG$2</xm:f>
          </x14:formula1>
          <xm:sqref>AL2:AL5000</xm:sqref>
        </x14:dataValidation>
        <x14:dataValidation type="list" allowBlank="1" xr:uid="{00000000-0002-0000-0200-000021000000}">
          <x14:formula1>
            <xm:f>DropDownMenu!$AH$2:$AH$2</xm:f>
          </x14:formula1>
          <xm:sqref>AM2:AM5000</xm:sqref>
        </x14:dataValidation>
        <x14:dataValidation type="list" allowBlank="1" xr:uid="{00000000-0002-0000-0200-000022000000}">
          <x14:formula1>
            <xm:f>DropDownMenu!$AI$2:$AI$2</xm:f>
          </x14:formula1>
          <xm:sqref>AN2:AN5000</xm:sqref>
        </x14:dataValidation>
        <x14:dataValidation type="list" allowBlank="1" xr:uid="{00000000-0002-0000-0200-000023000000}">
          <x14:formula1>
            <xm:f>DropDownMenu!$AJ$2:$AJ$2</xm:f>
          </x14:formula1>
          <xm:sqref>AQ2:AQ5000</xm:sqref>
        </x14:dataValidation>
        <x14:dataValidation type="list" allowBlank="1" xr:uid="{00000000-0002-0000-0200-000024000000}">
          <x14:formula1>
            <xm:f>DropDownMenu!$AK$2:$AK$2</xm:f>
          </x14:formula1>
          <xm:sqref>AR2:AR5000</xm:sqref>
        </x14:dataValidation>
        <x14:dataValidation type="list" allowBlank="1" xr:uid="{00000000-0002-0000-0200-000025000000}">
          <x14:formula1>
            <xm:f>DropDownMenu!$AL$2:$AL$2</xm:f>
          </x14:formula1>
          <xm:sqref>AS2:AS5000</xm:sqref>
        </x14:dataValidation>
        <x14:dataValidation type="list" allowBlank="1" xr:uid="{00000000-0002-0000-0200-000026000000}">
          <x14:formula1>
            <xm:f>DropDownMenu!$AM$2:$AM$2</xm:f>
          </x14:formula1>
          <xm:sqref>AT2:AT5000</xm:sqref>
        </x14:dataValidation>
        <x14:dataValidation type="list" allowBlank="1" xr:uid="{00000000-0002-0000-0200-000027000000}">
          <x14:formula1>
            <xm:f>DropDownMenu!$AN$2:$AN$2</xm:f>
          </x14:formula1>
          <xm:sqref>AU2:AU5000</xm:sqref>
        </x14:dataValidation>
        <x14:dataValidation type="list" allowBlank="1" xr:uid="{00000000-0002-0000-0200-000028000000}">
          <x14:formula1>
            <xm:f>DropDownMenu!$AO$2:$AO$9</xm:f>
          </x14:formula1>
          <xm:sqref>AV2:AV5000</xm:sqref>
        </x14:dataValidation>
        <x14:dataValidation type="list" allowBlank="1" xr:uid="{00000000-0002-0000-0200-000029000000}">
          <x14:formula1>
            <xm:f>DropDownMenu!$AP$2:$AP$6</xm:f>
          </x14:formula1>
          <xm:sqref>AW2:AW5000</xm:sqref>
        </x14:dataValidation>
        <x14:dataValidation type="list" allowBlank="1" xr:uid="{00000000-0002-0000-0200-00002A000000}">
          <x14:formula1>
            <xm:f>DropDownMenu!$AQ$2:$AQ$11</xm:f>
          </x14:formula1>
          <xm:sqref>AX2:AX5000</xm:sqref>
        </x14:dataValidation>
        <x14:dataValidation type="list" allowBlank="1" xr:uid="{00000000-0002-0000-0200-00002B000000}">
          <x14:formula1>
            <xm:f>DropDownMenu!$AR$2:$AR$2</xm:f>
          </x14:formula1>
          <xm:sqref>AY2:AY5000</xm:sqref>
        </x14:dataValidation>
        <x14:dataValidation type="list" allowBlank="1" xr:uid="{00000000-0002-0000-0200-00002C000000}">
          <x14:formula1>
            <xm:f>DropDownMenu!$AS$2:$AS$2</xm:f>
          </x14:formula1>
          <xm:sqref>AZ2:AZ5000</xm:sqref>
        </x14:dataValidation>
        <x14:dataValidation type="list" allowBlank="1" xr:uid="{00000000-0002-0000-0200-00002D000000}">
          <x14:formula1>
            <xm:f>DropDownMenu!$AT$2:$AT$2</xm:f>
          </x14:formula1>
          <xm:sqref>BA2:BA5000</xm:sqref>
        </x14:dataValidation>
        <x14:dataValidation type="list" allowBlank="1" xr:uid="{00000000-0002-0000-0200-00002E000000}">
          <x14:formula1>
            <xm:f>DropDownMenu!$AU$2:$AU$2</xm:f>
          </x14:formula1>
          <xm:sqref>BB2:BB5000</xm:sqref>
        </x14:dataValidation>
        <x14:dataValidation type="list" allowBlank="1" xr:uid="{00000000-0002-0000-0200-00002F000000}">
          <x14:formula1>
            <xm:f>DropDownMenu!$AV$2:$AV$2</xm:f>
          </x14:formula1>
          <xm:sqref>BC2:BC5000</xm:sqref>
        </x14:dataValidation>
        <x14:dataValidation type="list" allowBlank="1" xr:uid="{00000000-0002-0000-0200-000030000000}">
          <x14:formula1>
            <xm:f>DropDownMenu!$AW$2:$AW$5</xm:f>
          </x14:formula1>
          <xm:sqref>BF2:BF5000</xm:sqref>
        </x14:dataValidation>
        <x14:dataValidation type="list" allowBlank="1" xr:uid="{00000000-0002-0000-0200-000031000000}">
          <x14:formula1>
            <xm:f>DropDownMenu!$AX$2:$AX$37</xm:f>
          </x14:formula1>
          <xm:sqref>BG2:BG5000</xm:sqref>
        </x14:dataValidation>
        <x14:dataValidation type="list" allowBlank="1" xr:uid="{00000000-0002-0000-0200-000032000000}">
          <x14:formula1>
            <xm:f>DropDownMenu!$AY$2:$AY$4</xm:f>
          </x14:formula1>
          <xm:sqref>BH2:BH5000</xm:sqref>
        </x14:dataValidation>
        <x14:dataValidation type="list" allowBlank="1" xr:uid="{00000000-0002-0000-0200-000033000000}">
          <x14:formula1>
            <xm:f>DropDownMenu!$AZ$2:$AZ$13</xm:f>
          </x14:formula1>
          <xm:sqref>BI2:BI5000</xm:sqref>
        </x14:dataValidation>
        <x14:dataValidation type="list" allowBlank="1" xr:uid="{00000000-0002-0000-0200-000034000000}">
          <x14:formula1>
            <xm:f>DropDownMenu!$BA$2:$BA$34</xm:f>
          </x14:formula1>
          <xm:sqref>BJ2:BJ5000</xm:sqref>
        </x14:dataValidation>
        <x14:dataValidation type="list" allowBlank="1" xr:uid="{00000000-0002-0000-0200-000035000000}">
          <x14:formula1>
            <xm:f>DropDownMenu!$BB$2:$BB$258</xm:f>
          </x14:formula1>
          <xm:sqref>BK2:BK5000</xm:sqref>
        </x14:dataValidation>
        <x14:dataValidation type="list" allowBlank="1" xr:uid="{00000000-0002-0000-0200-000036000000}">
          <x14:formula1>
            <xm:f>DropDownMenu!$BC$2:$BC$252</xm:f>
          </x14:formula1>
          <xm:sqref>BL2:BL5000</xm:sqref>
        </x14:dataValidation>
        <x14:dataValidation type="list" allowBlank="1" xr:uid="{00000000-0002-0000-0200-000037000000}">
          <x14:formula1>
            <xm:f>DropDownMenu!$BD$2:$BD$258</xm:f>
          </x14:formula1>
          <xm:sqref>BM2:BM5000</xm:sqref>
        </x14:dataValidation>
        <x14:dataValidation type="list" allowBlank="1" xr:uid="{00000000-0002-0000-0200-000038000000}">
          <x14:formula1>
            <xm:f>DropDownMenu!$BE$2:$BE$3</xm:f>
          </x14:formula1>
          <xm:sqref>BN2:BN5000</xm:sqref>
        </x14:dataValidation>
        <x14:dataValidation type="list" allowBlank="1" xr:uid="{00000000-0002-0000-0200-000039000000}">
          <x14:formula1>
            <xm:f>DropDownMenu!$BF$2:$BF$4</xm:f>
          </x14:formula1>
          <xm:sqref>BO2:BO5000</xm:sqref>
        </x14:dataValidation>
        <x14:dataValidation type="list" allowBlank="1" xr:uid="{00000000-0002-0000-0200-00003A000000}">
          <x14:formula1>
            <xm:f>DropDownMenu!$BG$2:$BG$6</xm:f>
          </x14:formula1>
          <xm:sqref>BP2:BP5000</xm:sqref>
        </x14:dataValidation>
        <x14:dataValidation type="list" allowBlank="1" xr:uid="{00000000-0002-0000-0200-00003B000000}">
          <x14:formula1>
            <xm:f>DropDownMenu!$BH$2:$BH$4</xm:f>
          </x14:formula1>
          <xm:sqref>BQ2:BQ5000</xm:sqref>
        </x14:dataValidation>
        <x14:dataValidation type="list" allowBlank="1" xr:uid="{00000000-0002-0000-0200-00003C000000}">
          <x14:formula1>
            <xm:f>DropDownMenu!$BI$2:$BI$3</xm:f>
          </x14:formula1>
          <xm:sqref>BR2:BR5000</xm:sqref>
        </x14:dataValidation>
        <x14:dataValidation type="list" allowBlank="1" xr:uid="{00000000-0002-0000-0200-00003D000000}">
          <x14:formula1>
            <xm:f>DropDownMenu!$BJ$2:$BJ$3</xm:f>
          </x14:formula1>
          <xm:sqref>BT2:BT5000</xm:sqref>
        </x14:dataValidation>
        <x14:dataValidation type="list" allowBlank="1" xr:uid="{00000000-0002-0000-0200-00003E000000}">
          <x14:formula1>
            <xm:f>DropDownMenu!$BK$2:$BK$11</xm:f>
          </x14:formula1>
          <xm:sqref>BU2:BU5000</xm:sqref>
        </x14:dataValidation>
        <x14:dataValidation type="list" allowBlank="1" xr:uid="{00000000-0002-0000-0200-00003F000000}">
          <x14:formula1>
            <xm:f>DropDownMenu!$BL$2:$BL$9</xm:f>
          </x14:formula1>
          <xm:sqref>BV2:BV5000</xm:sqref>
        </x14:dataValidation>
        <x14:dataValidation type="list" allowBlank="1" xr:uid="{00000000-0002-0000-0200-000040000000}">
          <x14:formula1>
            <xm:f>DropDownMenu!$BM$2:$BM$2</xm:f>
          </x14:formula1>
          <xm:sqref>BW2:BW5000</xm:sqref>
        </x14:dataValidation>
        <x14:dataValidation type="list" allowBlank="1" xr:uid="{00000000-0002-0000-0200-000041000000}">
          <x14:formula1>
            <xm:f>DropDownMenu!$BN$2:$BN$2</xm:f>
          </x14:formula1>
          <xm:sqref>BX2:BX5000</xm:sqref>
        </x14:dataValidation>
        <x14:dataValidation type="list" allowBlank="1" xr:uid="{00000000-0002-0000-0200-000042000000}">
          <x14:formula1>
            <xm:f>DropDownMenu!$BO$2:$BO$2</xm:f>
          </x14:formula1>
          <xm:sqref>BY2:BY5000</xm:sqref>
        </x14:dataValidation>
        <x14:dataValidation type="list" allowBlank="1" xr:uid="{00000000-0002-0000-0200-000043000000}">
          <x14:formula1>
            <xm:f>DropDownMenu!$BP$2:$BP$9</xm:f>
          </x14:formula1>
          <xm:sqref>BZ2:BZ5000</xm:sqref>
        </x14:dataValidation>
        <x14:dataValidation type="list" allowBlank="1" xr:uid="{00000000-0002-0000-0200-000044000000}">
          <x14:formula1>
            <xm:f>DropDownMenu!$BQ$2:$BQ$11</xm:f>
          </x14:formula1>
          <xm:sqref>CA2:CA5000</xm:sqref>
        </x14:dataValidation>
        <x14:dataValidation type="list" allowBlank="1" xr:uid="{00000000-0002-0000-0200-000045000000}">
          <x14:formula1>
            <xm:f>DropDownMenu!$BR$2:$BR$3</xm:f>
          </x14:formula1>
          <xm:sqref>CB2:CB5000</xm:sqref>
        </x14:dataValidation>
        <x14:dataValidation type="list" allowBlank="1" xr:uid="{00000000-0002-0000-0200-000046000000}">
          <x14:formula1>
            <xm:f>DropDownMenu!$BS$2:$BS$4</xm:f>
          </x14:formula1>
          <xm:sqref>CC2:CC5000</xm:sqref>
        </x14:dataValidation>
        <x14:dataValidation type="list" allowBlank="1" xr:uid="{00000000-0002-0000-0200-000047000000}">
          <x14:formula1>
            <xm:f>DropDownMenu!$BT$2:$BT$2</xm:f>
          </x14:formula1>
          <xm:sqref>CE2:CE5000</xm:sqref>
        </x14:dataValidation>
        <x14:dataValidation type="list" allowBlank="1" xr:uid="{00000000-0002-0000-0200-000048000000}">
          <x14:formula1>
            <xm:f>DropDownMenu!$BU$2:$BU$81</xm:f>
          </x14:formula1>
          <xm:sqref>CF2:CF5000</xm:sqref>
        </x14:dataValidation>
        <x14:dataValidation type="list" allowBlank="1" xr:uid="{00000000-0002-0000-0200-000049000000}">
          <x14:formula1>
            <xm:f>DropDownMenu!$BV$2:$BV$3</xm:f>
          </x14:formula1>
          <xm:sqref>CG2:CG5000</xm:sqref>
        </x14:dataValidation>
        <x14:dataValidation type="list" allowBlank="1" xr:uid="{00000000-0002-0000-0200-00004A000000}">
          <x14:formula1>
            <xm:f>DropDownMenu!$BW$2:$BW$7</xm:f>
          </x14:formula1>
          <xm:sqref>CH2:CH5000</xm:sqref>
        </x14:dataValidation>
        <x14:dataValidation type="list" allowBlank="1" xr:uid="{00000000-0002-0000-0200-00004B000000}">
          <x14:formula1>
            <xm:f>DropDownMenu!$BX$2:$BX$9</xm:f>
          </x14:formula1>
          <xm:sqref>CI2:CI5000</xm:sqref>
        </x14:dataValidation>
        <x14:dataValidation type="list" allowBlank="1" xr:uid="{00000000-0002-0000-0200-00004C000000}">
          <x14:formula1>
            <xm:f>DropDownMenu!$BY$2:$BY$9</xm:f>
          </x14:formula1>
          <xm:sqref>CJ2:CJ5000</xm:sqref>
        </x14:dataValidation>
        <x14:dataValidation type="list" allowBlank="1" xr:uid="{00000000-0002-0000-0200-00004D000000}">
          <x14:formula1>
            <xm:f>DropDownMenu!$BZ$2:$BZ$3</xm:f>
          </x14:formula1>
          <xm:sqref>CK2:CK5000</xm:sqref>
        </x14:dataValidation>
        <x14:dataValidation type="list" allowBlank="1" xr:uid="{00000000-0002-0000-0200-00004E000000}">
          <x14:formula1>
            <xm:f>DropDownMenu!$CA$2:$CA$2</xm:f>
          </x14:formula1>
          <xm:sqref>CL2:CL5000</xm:sqref>
        </x14:dataValidation>
        <x14:dataValidation type="list" allowBlank="1" xr:uid="{00000000-0002-0000-0200-00004F000000}">
          <x14:formula1>
            <xm:f>DropDownMenu!$CB$2:$CB$29</xm:f>
          </x14:formula1>
          <xm:sqref>CN2:CN5000</xm:sqref>
        </x14:dataValidation>
        <x14:dataValidation type="list" allowBlank="1" xr:uid="{00000000-0002-0000-0200-000050000000}">
          <x14:formula1>
            <xm:f>DropDownMenu!$CC$2:$CC$2</xm:f>
          </x14:formula1>
          <xm:sqref>CQ2:CQ5000</xm:sqref>
        </x14:dataValidation>
        <x14:dataValidation type="list" allowBlank="1" xr:uid="{00000000-0002-0000-0200-000051000000}">
          <x14:formula1>
            <xm:f>DropDownMenu!$CD$2:$CD$33</xm:f>
          </x14:formula1>
          <xm:sqref>CR2:CR5000</xm:sqref>
        </x14:dataValidation>
        <x14:dataValidation type="list" allowBlank="1" xr:uid="{00000000-0002-0000-0200-000052000000}">
          <x14:formula1>
            <xm:f>DropDownMenu!$CE$2:$CE$2</xm:f>
          </x14:formula1>
          <xm:sqref>CS2:CS5000</xm:sqref>
        </x14:dataValidation>
        <x14:dataValidation type="list" allowBlank="1" xr:uid="{00000000-0002-0000-0200-000053000000}">
          <x14:formula1>
            <xm:f>DropDownMenu!$CF$2:$CF$2</xm:f>
          </x14:formula1>
          <xm:sqref>CT2:CT5000</xm:sqref>
        </x14:dataValidation>
        <x14:dataValidation type="list" allowBlank="1" xr:uid="{00000000-0002-0000-0200-000054000000}">
          <x14:formula1>
            <xm:f>DropDownMenu!$CG$2:$CG$2</xm:f>
          </x14:formula1>
          <xm:sqref>CU2:CU5000</xm:sqref>
        </x14:dataValidation>
        <x14:dataValidation type="list" allowBlank="1" xr:uid="{00000000-0002-0000-0200-000055000000}">
          <x14:formula1>
            <xm:f>DropDownMenu!$CH$2:$CH$2</xm:f>
          </x14:formula1>
          <xm:sqref>CV2:CV5000</xm:sqref>
        </x14:dataValidation>
        <x14:dataValidation type="list" allowBlank="1" xr:uid="{00000000-0002-0000-0200-000056000000}">
          <x14:formula1>
            <xm:f>DropDownMenu!$CI$2:$CI$8</xm:f>
          </x14:formula1>
          <xm:sqref>CW2:CW5000</xm:sqref>
        </x14:dataValidation>
        <x14:dataValidation type="list" allowBlank="1" xr:uid="{00000000-0002-0000-0200-000057000000}">
          <x14:formula1>
            <xm:f>DropDownMenu!$CJ$2:$CJ$8</xm:f>
          </x14:formula1>
          <xm:sqref>CX2:CX5000</xm:sqref>
        </x14:dataValidation>
        <x14:dataValidation type="list" allowBlank="1" xr:uid="{00000000-0002-0000-0200-000058000000}">
          <x14:formula1>
            <xm:f>DropDownMenu!$CK$2:$CK$8</xm:f>
          </x14:formula1>
          <xm:sqref>CY2:CY5000</xm:sqref>
        </x14:dataValidation>
        <x14:dataValidation type="list" allowBlank="1" xr:uid="{00000000-0002-0000-0200-000059000000}">
          <x14:formula1>
            <xm:f>DropDownMenu!$CL$2:$CL$6</xm:f>
          </x14:formula1>
          <xm:sqref>CZ2:CZ5000</xm:sqref>
        </x14:dataValidation>
        <x14:dataValidation type="list" allowBlank="1" xr:uid="{00000000-0002-0000-0200-00005A000000}">
          <x14:formula1>
            <xm:f>DropDownMenu!$CM$2:$CM$2</xm:f>
          </x14:formula1>
          <xm:sqref>DA2:DA5000</xm:sqref>
        </x14:dataValidation>
        <x14:dataValidation type="list" allowBlank="1" xr:uid="{00000000-0002-0000-0200-00005B000000}">
          <x14:formula1>
            <xm:f>DropDownMenu!$CN$2:$CN$2</xm:f>
          </x14:formula1>
          <xm:sqref>DB2:DB5000</xm:sqref>
        </x14:dataValidation>
        <x14:dataValidation type="list" allowBlank="1" xr:uid="{00000000-0002-0000-0200-00005C000000}">
          <x14:formula1>
            <xm:f>DropDownMenu!$CO$2:$CO$2</xm:f>
          </x14:formula1>
          <xm:sqref>DC2:DC5000</xm:sqref>
        </x14:dataValidation>
        <x14:dataValidation type="list" allowBlank="1" xr:uid="{00000000-0002-0000-0200-00005D000000}">
          <x14:formula1>
            <xm:f>DropDownMenu!$CP$2:$CP$2</xm:f>
          </x14:formula1>
          <xm:sqref>DD2:DD5000</xm:sqref>
        </x14:dataValidation>
        <x14:dataValidation type="list" allowBlank="1" xr:uid="{00000000-0002-0000-0200-00005E000000}">
          <x14:formula1>
            <xm:f>DropDownMenu!$CQ$2:$CQ$2</xm:f>
          </x14:formula1>
          <xm:sqref>DE2:DE5000</xm:sqref>
        </x14:dataValidation>
        <x14:dataValidation type="list" allowBlank="1" xr:uid="{00000000-0002-0000-0200-00005F000000}">
          <x14:formula1>
            <xm:f>DropDownMenu!$CR$2:$CR$2</xm:f>
          </x14:formula1>
          <xm:sqref>DK2:DK5000</xm:sqref>
        </x14:dataValidation>
        <x14:dataValidation type="list" allowBlank="1" xr:uid="{00000000-0002-0000-0200-000060000000}">
          <x14:formula1>
            <xm:f>DropDownMenu!$CS$2:$CS$2</xm:f>
          </x14:formula1>
          <xm:sqref>DL2:DL5000</xm:sqref>
        </x14:dataValidation>
        <x14:dataValidation type="list" allowBlank="1" xr:uid="{00000000-0002-0000-0200-000061000000}">
          <x14:formula1>
            <xm:f>DropDownMenu!$CT$2:$CT$2</xm:f>
          </x14:formula1>
          <xm:sqref>DN2:DN5000</xm:sqref>
        </x14:dataValidation>
        <x14:dataValidation type="list" allowBlank="1" xr:uid="{00000000-0002-0000-0200-000062000000}">
          <x14:formula1>
            <xm:f>DropDownMenu!$CU$2:$CU$5</xm:f>
          </x14:formula1>
          <xm:sqref>DO2:DO5000</xm:sqref>
        </x14:dataValidation>
        <x14:dataValidation type="list" allowBlank="1" xr:uid="{00000000-0002-0000-0200-000063000000}">
          <x14:formula1>
            <xm:f>DropDownMenu!$CV$2:$CV$3</xm:f>
          </x14:formula1>
          <xm:sqref>DQ2:DQ5000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applyStyles="1" summaryRight="0"/>
  </sheetPr>
  <dimension ref="A1:DQ300"/>
  <sheetViews>
    <sheetView workbookViewId="0">
      <pane xSplit="7" ySplit="1" topLeftCell="H2" activePane="bottomRight" state="frozen"/>
      <selection pane="topRight"/>
      <selection pane="bottomLeft"/>
      <selection pane="bottomRight" activeCell="G20" sqref="G20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3" width="4" customWidth="1"/>
    <col min="14" max="14" width="12" customWidth="1"/>
    <col min="15" max="16" width="25" customWidth="1"/>
    <col min="17" max="17" width="4" customWidth="1"/>
    <col min="18" max="20" width="4" customWidth="1" outlineLevel="1"/>
    <col min="21" max="21" width="15" customWidth="1" outlineLevel="1"/>
    <col min="22" max="22" width="10" customWidth="1" outlineLevel="1"/>
    <col min="23" max="28" width="4" customWidth="1" outlineLevel="1"/>
    <col min="29" max="29" width="5" customWidth="1"/>
    <col min="30" max="32" width="10" customWidth="1" outlineLevel="1"/>
    <col min="33" max="35" width="4" customWidth="1" outlineLevel="1"/>
    <col min="36" max="37" width="10" customWidth="1" outlineLevel="1"/>
    <col min="38" max="40" width="4" customWidth="1" outlineLevel="1"/>
    <col min="41" max="42" width="10" customWidth="1" outlineLevel="1"/>
    <col min="43" max="47" width="4" customWidth="1" outlineLevel="1"/>
    <col min="48" max="48" width="10" customWidth="1" outlineLevel="1"/>
    <col min="49" max="49" width="5" customWidth="1" outlineLevel="1"/>
    <col min="50" max="50" width="5" customWidth="1"/>
    <col min="51" max="59" width="4" customWidth="1" outlineLevel="1"/>
    <col min="60" max="60" width="7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4" customWidth="1" outlineLevel="1"/>
    <col min="68" max="68" width="12" customWidth="1" outlineLevel="1"/>
    <col min="69" max="69" width="20" customWidth="1" outlineLevel="1"/>
    <col min="70" max="70" width="5" customWidth="1" outlineLevel="1"/>
    <col min="71" max="72" width="4" customWidth="1" outlineLevel="1"/>
    <col min="73" max="73" width="25" customWidth="1" outlineLevel="1"/>
    <col min="74" max="74" width="5" customWidth="1" outlineLevel="1"/>
    <col min="75" max="75" width="20" customWidth="1"/>
    <col min="76" max="77" width="20" customWidth="1" outlineLevel="1"/>
    <col min="78" max="83" width="4" customWidth="1" outlineLevel="1"/>
    <col min="84" max="84" width="4" customWidth="1"/>
    <col min="85" max="121" width="4" customWidth="1" outlineLevel="1"/>
  </cols>
  <sheetData>
    <row r="1" spans="1:121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1" t="s">
        <v>35</v>
      </c>
      <c r="AK1" s="1" t="s">
        <v>36</v>
      </c>
      <c r="AL1" s="3" t="s">
        <v>37</v>
      </c>
      <c r="AM1" s="3" t="s">
        <v>38</v>
      </c>
      <c r="AN1" s="3" t="s">
        <v>39</v>
      </c>
      <c r="AO1" s="1" t="s">
        <v>40</v>
      </c>
      <c r="AP1" s="1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 t="s">
        <v>65</v>
      </c>
      <c r="BO1" s="1" t="s">
        <v>66</v>
      </c>
      <c r="BP1" s="1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</row>
    <row r="2" spans="1:121" ht="16" customHeight="1" x14ac:dyDescent="0.2">
      <c r="A2" s="16"/>
      <c r="B2" s="16"/>
      <c r="C2" s="16"/>
      <c r="D2" s="16"/>
      <c r="E2" s="16"/>
      <c r="F2" s="16"/>
      <c r="G2" s="16"/>
      <c r="H2" s="12"/>
      <c r="I2" s="12"/>
      <c r="J2" s="12"/>
      <c r="K2" s="12"/>
      <c r="L2" s="12"/>
      <c r="M2" s="12"/>
      <c r="N2" s="12"/>
      <c r="O2" s="12" t="str">
        <f>IFERROR(INDEX(_courses_lookup!$C:$C,MATCH(K2&amp;L2,_courses_lookup!$E:$E,0)),"")</f>
        <v/>
      </c>
      <c r="P2" s="12" t="str">
        <f>IFERROR(INDEX(_courses_lookup!$D:$D,MATCH(K2&amp;L2,_courses_lookup!$E:$E,0)),"")</f>
        <v/>
      </c>
      <c r="Q2" s="12"/>
      <c r="R2" s="12"/>
      <c r="S2" s="12"/>
      <c r="T2" s="12"/>
      <c r="U2" s="12"/>
      <c r="V2" s="12"/>
      <c r="W2" s="12"/>
      <c r="X2" s="12"/>
      <c r="Y2" s="8"/>
      <c r="Z2" s="12"/>
      <c r="AA2" s="12"/>
      <c r="AB2" s="12"/>
      <c r="AC2" s="12"/>
      <c r="AD2" s="12"/>
      <c r="AE2" s="12"/>
      <c r="AF2" s="12"/>
      <c r="AG2" s="12" t="str">
        <f t="shared" ref="AG2:AG65" si="0">IF(AND(AE2&lt;&gt;"",AF2&lt;&gt;""),ROUNDUP((AF2-AE2)/7,0),"")</f>
        <v/>
      </c>
      <c r="AH2" s="12"/>
      <c r="AI2" s="12" t="str">
        <f t="shared" ref="AI2:AI65" si="1">IFERROR(IF(AG2*AH2=0,"",AG2*AH2),"")</f>
        <v/>
      </c>
      <c r="AJ2" s="12"/>
      <c r="AK2" s="12"/>
      <c r="AL2" s="12" t="str">
        <f t="shared" ref="AL2:AL65" si="2">IF(AND(AJ2&lt;&gt;"",AK2&lt;&gt;""),ROUNDUP((AK2-AJ2)/7,0),"")</f>
        <v/>
      </c>
      <c r="AM2" s="12"/>
      <c r="AN2" s="12" t="str">
        <f t="shared" ref="AN2:AN65" si="3">IFERROR(IF(AL2*AM2=0,"",AL2*AM2),"")</f>
        <v/>
      </c>
      <c r="AO2" s="12"/>
      <c r="AP2" s="12"/>
      <c r="AQ2" s="12" t="str">
        <f t="shared" ref="AQ2:AQ65" si="4">IF(AND(AO2&lt;&gt;"",AP2&lt;&gt;""),ROUNDUP((AP2-AO2)/7,0),"")</f>
        <v/>
      </c>
      <c r="AR2" s="12" t="str">
        <f t="shared" ref="AR2:AR65" si="5">IFERROR(IF((AU2-(AI2+AN2))/AQ2=0,"",ROUNDUP((AU2-(AI2+AN2))/AQ2,0)),"")</f>
        <v/>
      </c>
      <c r="AS2" s="12" t="str">
        <f t="shared" ref="AS2:AS65" si="6">IFERROR(IF((AU2-(AI2+AN2))=0,"",(AU2-(AI2+AN2))),"")</f>
        <v/>
      </c>
      <c r="AT2" s="12" t="str">
        <f t="shared" ref="AT2:AT65" si="7">IF(AND(AG2="",AQ2=""),AL2,IF(SUM(AG2,AL2,AQ2)=0,"",SUM(AG2,AL2,AQ2)))</f>
        <v/>
      </c>
      <c r="AU2" s="12"/>
      <c r="AV2" s="12"/>
      <c r="AW2" s="12"/>
      <c r="AX2" s="12"/>
      <c r="AY2" s="12"/>
      <c r="AZ2" s="8"/>
      <c r="BA2" s="12"/>
      <c r="BB2" s="12"/>
      <c r="BC2" s="12"/>
      <c r="BD2" s="12"/>
      <c r="BE2" s="12"/>
      <c r="BF2" s="12"/>
      <c r="BG2" s="12" t="str">
        <f t="shared" ref="BG2:BG65" si="8">IF(AD2="","",YEAR(AD2)+IF(MONTH(AD2)&gt;=5,1,0))</f>
        <v/>
      </c>
      <c r="BH2" s="12" t="str">
        <f t="shared" ref="BH2:BH65" si="9">IF(AD2="","",IF(AND(MONTH(AD2)=8,DAY(AD2)&gt;=15),"Fall",IF(MONTH(AD2)&gt;8,"Fall",IF(MONTH(AD2)=5,"Summer",IF(MONTH(AD2)=1,"Spring","")))))</f>
        <v/>
      </c>
      <c r="BI2" s="12"/>
      <c r="BJ2" s="12"/>
      <c r="BK2" s="8" t="str">
        <f>IF($BJ2="","",IFERROR(INDEX(InstructorMap!$B:$B, MATCH($BJ2, InstructorMap!$A:$A, 0)),""))</f>
        <v/>
      </c>
      <c r="BL2" s="8" t="str">
        <f>IFERROR(INDEX(_names_lookup!$C:$C,MATCH(BK2,_names_lookup!$A:$A,0)),"")</f>
        <v/>
      </c>
      <c r="BM2" s="12" t="str">
        <f>IFERROR(INDEX(_names_lookup!$B:$B,MATCH(BK2,_names_lookup!$A:$A,0)),"")</f>
        <v/>
      </c>
      <c r="BN2" s="12"/>
      <c r="BO2" s="12"/>
      <c r="BP2" s="12"/>
      <c r="BQ2" s="12"/>
      <c r="BR2" s="12"/>
      <c r="BS2" s="12" t="str">
        <f t="shared" ref="BS2:BS65" si="10">IFERROR(IF(BR2*AA2=0,"",BR2*AA2),"")</f>
        <v/>
      </c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</row>
    <row r="3" spans="1:121" ht="16" customHeight="1" x14ac:dyDescent="0.2">
      <c r="A3" s="16"/>
      <c r="B3" s="16"/>
      <c r="C3" s="16"/>
      <c r="D3" s="16"/>
      <c r="E3" s="16"/>
      <c r="F3" s="16"/>
      <c r="G3" s="16"/>
      <c r="H3" s="12"/>
      <c r="I3" s="12"/>
      <c r="J3" s="12"/>
      <c r="K3" s="12"/>
      <c r="L3" s="12"/>
      <c r="M3" s="12"/>
      <c r="N3" s="12"/>
      <c r="O3" s="12" t="str">
        <f>IFERROR(INDEX(_courses_lookup!$C:$C,MATCH(K3&amp;L3,_courses_lookup!$E:$E,0)),"")</f>
        <v/>
      </c>
      <c r="P3" s="12" t="str">
        <f>IFERROR(INDEX(_courses_lookup!$D:$D,MATCH(K3&amp;L3,_courses_lookup!$E:$E,0)),"")</f>
        <v/>
      </c>
      <c r="Q3" s="12"/>
      <c r="R3" s="12"/>
      <c r="S3" s="12"/>
      <c r="T3" s="12"/>
      <c r="U3" s="12"/>
      <c r="V3" s="12"/>
      <c r="W3" s="12"/>
      <c r="X3" s="12"/>
      <c r="Y3" s="8"/>
      <c r="Z3" s="12"/>
      <c r="AA3" s="12"/>
      <c r="AB3" s="12"/>
      <c r="AC3" s="12"/>
      <c r="AD3" s="12"/>
      <c r="AE3" s="12"/>
      <c r="AF3" s="12"/>
      <c r="AG3" s="12" t="str">
        <f t="shared" si="0"/>
        <v/>
      </c>
      <c r="AH3" s="12"/>
      <c r="AI3" s="12" t="str">
        <f t="shared" si="1"/>
        <v/>
      </c>
      <c r="AJ3" s="12"/>
      <c r="AK3" s="12"/>
      <c r="AL3" s="12" t="str">
        <f t="shared" si="2"/>
        <v/>
      </c>
      <c r="AM3" s="12"/>
      <c r="AN3" s="12" t="str">
        <f t="shared" si="3"/>
        <v/>
      </c>
      <c r="AO3" s="12"/>
      <c r="AP3" s="12"/>
      <c r="AQ3" s="12" t="str">
        <f t="shared" si="4"/>
        <v/>
      </c>
      <c r="AR3" s="12" t="str">
        <f t="shared" si="5"/>
        <v/>
      </c>
      <c r="AS3" s="12" t="str">
        <f t="shared" si="6"/>
        <v/>
      </c>
      <c r="AT3" s="12" t="str">
        <f t="shared" si="7"/>
        <v/>
      </c>
      <c r="AU3" s="12"/>
      <c r="AV3" s="12"/>
      <c r="AW3" s="12"/>
      <c r="AX3" s="12"/>
      <c r="AY3" s="12"/>
      <c r="AZ3" s="8"/>
      <c r="BA3" s="12"/>
      <c r="BB3" s="12"/>
      <c r="BC3" s="12"/>
      <c r="BD3" s="12"/>
      <c r="BE3" s="12"/>
      <c r="BF3" s="12"/>
      <c r="BG3" s="12" t="str">
        <f t="shared" si="8"/>
        <v/>
      </c>
      <c r="BH3" s="12" t="str">
        <f t="shared" si="9"/>
        <v/>
      </c>
      <c r="BI3" s="12"/>
      <c r="BJ3" s="12"/>
      <c r="BK3" s="8" t="str">
        <f>IF($BJ3="","",IFERROR(INDEX(InstructorMap!$B:$B, MATCH($BJ3, InstructorMap!$A:$A, 0)),""))</f>
        <v/>
      </c>
      <c r="BL3" s="8" t="str">
        <f>IFERROR(INDEX(_names_lookup!$C:$C,MATCH(BK3,_names_lookup!$A:$A,0)),"")</f>
        <v/>
      </c>
      <c r="BM3" s="12" t="str">
        <f>IFERROR(INDEX(_names_lookup!$B:$B,MATCH(BK3,_names_lookup!$A:$A,0)),"")</f>
        <v/>
      </c>
      <c r="BN3" s="12"/>
      <c r="BO3" s="12"/>
      <c r="BP3" s="12"/>
      <c r="BQ3" s="12"/>
      <c r="BR3" s="12"/>
      <c r="BS3" s="12" t="str">
        <f t="shared" si="10"/>
        <v/>
      </c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</row>
    <row r="4" spans="1:121" ht="16" customHeight="1" x14ac:dyDescent="0.2">
      <c r="A4" s="16"/>
      <c r="B4" s="16"/>
      <c r="C4" s="16"/>
      <c r="D4" s="16"/>
      <c r="E4" s="16"/>
      <c r="F4" s="16"/>
      <c r="G4" s="16"/>
      <c r="H4" s="12"/>
      <c r="I4" s="12"/>
      <c r="J4" s="12"/>
      <c r="K4" s="12"/>
      <c r="L4" s="12"/>
      <c r="M4" s="12"/>
      <c r="N4" s="12"/>
      <c r="O4" s="12" t="str">
        <f>IFERROR(INDEX(_courses_lookup!$C:$C,MATCH(K4&amp;L4,_courses_lookup!$E:$E,0)),"")</f>
        <v/>
      </c>
      <c r="P4" s="12" t="str">
        <f>IFERROR(INDEX(_courses_lookup!$D:$D,MATCH(K4&amp;L4,_courses_lookup!$E:$E,0)),"")</f>
        <v/>
      </c>
      <c r="Q4" s="12"/>
      <c r="R4" s="12"/>
      <c r="S4" s="12"/>
      <c r="T4" s="12"/>
      <c r="U4" s="12"/>
      <c r="V4" s="12"/>
      <c r="W4" s="12"/>
      <c r="X4" s="12"/>
      <c r="Y4" s="8"/>
      <c r="Z4" s="12"/>
      <c r="AA4" s="12"/>
      <c r="AB4" s="12"/>
      <c r="AC4" s="12"/>
      <c r="AD4" s="12"/>
      <c r="AE4" s="12"/>
      <c r="AF4" s="12"/>
      <c r="AG4" s="12" t="str">
        <f t="shared" si="0"/>
        <v/>
      </c>
      <c r="AH4" s="12"/>
      <c r="AI4" s="12" t="str">
        <f t="shared" si="1"/>
        <v/>
      </c>
      <c r="AJ4" s="12"/>
      <c r="AK4" s="12"/>
      <c r="AL4" s="12" t="str">
        <f t="shared" si="2"/>
        <v/>
      </c>
      <c r="AM4" s="12"/>
      <c r="AN4" s="12" t="str">
        <f t="shared" si="3"/>
        <v/>
      </c>
      <c r="AO4" s="12"/>
      <c r="AP4" s="12"/>
      <c r="AQ4" s="12" t="str">
        <f t="shared" si="4"/>
        <v/>
      </c>
      <c r="AR4" s="12" t="str">
        <f t="shared" si="5"/>
        <v/>
      </c>
      <c r="AS4" s="12" t="str">
        <f t="shared" si="6"/>
        <v/>
      </c>
      <c r="AT4" s="12" t="str">
        <f t="shared" si="7"/>
        <v/>
      </c>
      <c r="AU4" s="12"/>
      <c r="AV4" s="12"/>
      <c r="AW4" s="12"/>
      <c r="AX4" s="12"/>
      <c r="AY4" s="12"/>
      <c r="AZ4" s="8"/>
      <c r="BA4" s="12"/>
      <c r="BB4" s="12"/>
      <c r="BC4" s="12"/>
      <c r="BD4" s="12"/>
      <c r="BE4" s="12"/>
      <c r="BF4" s="12"/>
      <c r="BG4" s="12" t="str">
        <f t="shared" si="8"/>
        <v/>
      </c>
      <c r="BH4" s="12" t="str">
        <f t="shared" si="9"/>
        <v/>
      </c>
      <c r="BI4" s="12"/>
      <c r="BJ4" s="12"/>
      <c r="BK4" s="8" t="str">
        <f>IF($BJ4="","",IFERROR(INDEX(InstructorMap!$B:$B, MATCH($BJ4, InstructorMap!$A:$A, 0)),""))</f>
        <v/>
      </c>
      <c r="BL4" s="8" t="str">
        <f>IFERROR(INDEX(_names_lookup!$C:$C,MATCH(BK4,_names_lookup!$A:$A,0)),"")</f>
        <v/>
      </c>
      <c r="BM4" s="12" t="str">
        <f>IFERROR(INDEX(_names_lookup!$B:$B,MATCH(BK4,_names_lookup!$A:$A,0)),"")</f>
        <v/>
      </c>
      <c r="BN4" s="12"/>
      <c r="BO4" s="12"/>
      <c r="BP4" s="12"/>
      <c r="BQ4" s="12"/>
      <c r="BR4" s="12"/>
      <c r="BS4" s="12" t="str">
        <f t="shared" si="10"/>
        <v/>
      </c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</row>
    <row r="5" spans="1:121" ht="16" customHeight="1" x14ac:dyDescent="0.2">
      <c r="A5" s="16"/>
      <c r="B5" s="16"/>
      <c r="C5" s="16"/>
      <c r="D5" s="16"/>
      <c r="E5" s="16"/>
      <c r="F5" s="16"/>
      <c r="G5" s="16"/>
      <c r="H5" s="12"/>
      <c r="I5" s="12"/>
      <c r="J5" s="12"/>
      <c r="K5" s="12"/>
      <c r="L5" s="12"/>
      <c r="M5" s="12"/>
      <c r="N5" s="12"/>
      <c r="O5" s="12" t="str">
        <f>IFERROR(INDEX(_courses_lookup!$C:$C,MATCH(K5&amp;L5,_courses_lookup!$E:$E,0)),"")</f>
        <v/>
      </c>
      <c r="P5" s="12" t="str">
        <f>IFERROR(INDEX(_courses_lookup!$D:$D,MATCH(K5&amp;L5,_courses_lookup!$E:$E,0)),"")</f>
        <v/>
      </c>
      <c r="Q5" s="12"/>
      <c r="R5" s="12"/>
      <c r="S5" s="12"/>
      <c r="T5" s="12"/>
      <c r="U5" s="12"/>
      <c r="V5" s="12"/>
      <c r="W5" s="12"/>
      <c r="X5" s="12"/>
      <c r="Y5" s="8"/>
      <c r="Z5" s="12"/>
      <c r="AA5" s="12"/>
      <c r="AB5" s="12"/>
      <c r="AC5" s="12"/>
      <c r="AD5" s="12"/>
      <c r="AE5" s="12"/>
      <c r="AF5" s="12"/>
      <c r="AG5" s="12" t="str">
        <f t="shared" si="0"/>
        <v/>
      </c>
      <c r="AH5" s="12"/>
      <c r="AI5" s="12" t="str">
        <f t="shared" si="1"/>
        <v/>
      </c>
      <c r="AJ5" s="12"/>
      <c r="AK5" s="12"/>
      <c r="AL5" s="12" t="str">
        <f t="shared" si="2"/>
        <v/>
      </c>
      <c r="AM5" s="12"/>
      <c r="AN5" s="12" t="str">
        <f t="shared" si="3"/>
        <v/>
      </c>
      <c r="AO5" s="12"/>
      <c r="AP5" s="12"/>
      <c r="AQ5" s="12" t="str">
        <f t="shared" si="4"/>
        <v/>
      </c>
      <c r="AR5" s="12" t="str">
        <f t="shared" si="5"/>
        <v/>
      </c>
      <c r="AS5" s="12" t="str">
        <f t="shared" si="6"/>
        <v/>
      </c>
      <c r="AT5" s="12" t="str">
        <f t="shared" si="7"/>
        <v/>
      </c>
      <c r="AU5" s="12"/>
      <c r="AV5" s="12"/>
      <c r="AW5" s="12"/>
      <c r="AX5" s="12"/>
      <c r="AY5" s="12"/>
      <c r="AZ5" s="8"/>
      <c r="BA5" s="12"/>
      <c r="BB5" s="12"/>
      <c r="BC5" s="12"/>
      <c r="BD5" s="12"/>
      <c r="BE5" s="12"/>
      <c r="BF5" s="12"/>
      <c r="BG5" s="12" t="str">
        <f t="shared" si="8"/>
        <v/>
      </c>
      <c r="BH5" s="12" t="str">
        <f t="shared" si="9"/>
        <v/>
      </c>
      <c r="BI5" s="12"/>
      <c r="BJ5" s="12"/>
      <c r="BK5" s="8" t="str">
        <f>IF($BJ5="","",IFERROR(INDEX(InstructorMap!$B:$B, MATCH($BJ5, InstructorMap!$A:$A, 0)),""))</f>
        <v/>
      </c>
      <c r="BL5" s="8" t="str">
        <f>IFERROR(INDEX(_names_lookup!$C:$C,MATCH(BK5,_names_lookup!$A:$A,0)),"")</f>
        <v/>
      </c>
      <c r="BM5" s="12" t="str">
        <f>IFERROR(INDEX(_names_lookup!$B:$B,MATCH(BK5,_names_lookup!$A:$A,0)),"")</f>
        <v/>
      </c>
      <c r="BN5" s="12"/>
      <c r="BO5" s="12"/>
      <c r="BP5" s="12"/>
      <c r="BQ5" s="12"/>
      <c r="BR5" s="12"/>
      <c r="BS5" s="12" t="str">
        <f t="shared" si="10"/>
        <v/>
      </c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</row>
    <row r="6" spans="1:121" x14ac:dyDescent="0.2">
      <c r="O6" t="str">
        <f>IFERROR(INDEX(_courses_lookup!$C:$C,MATCH(K6&amp;L6,_courses_lookup!$E:$E,0)),"")</f>
        <v/>
      </c>
      <c r="P6" t="str">
        <f>IFERROR(INDEX(_courses_lookup!$D:$D,MATCH(K6&amp;L6,_courses_lookup!$E:$E,0)),"")</f>
        <v/>
      </c>
      <c r="AG6" t="str">
        <f t="shared" si="0"/>
        <v/>
      </c>
      <c r="AI6" t="str">
        <f t="shared" si="1"/>
        <v/>
      </c>
      <c r="AL6" t="str">
        <f t="shared" si="2"/>
        <v/>
      </c>
      <c r="AN6" t="str">
        <f t="shared" si="3"/>
        <v/>
      </c>
      <c r="AQ6" t="str">
        <f t="shared" si="4"/>
        <v/>
      </c>
      <c r="AR6" t="str">
        <f t="shared" si="5"/>
        <v/>
      </c>
      <c r="AS6" t="str">
        <f t="shared" si="6"/>
        <v/>
      </c>
      <c r="AT6" t="str">
        <f t="shared" si="7"/>
        <v/>
      </c>
      <c r="BG6" t="str">
        <f t="shared" si="8"/>
        <v/>
      </c>
      <c r="BH6" t="str">
        <f t="shared" si="9"/>
        <v/>
      </c>
      <c r="BL6" t="str">
        <f>IFERROR(INDEX(_names_lookup!$C:$C,MATCH(BK6,_names_lookup!$A:$A,0)),"")</f>
        <v/>
      </c>
      <c r="BM6" t="str">
        <f>IFERROR(INDEX(_names_lookup!$B:$B,MATCH(BK6,_names_lookup!$A:$A,0)),"")</f>
        <v/>
      </c>
      <c r="BS6" t="str">
        <f t="shared" si="10"/>
        <v/>
      </c>
    </row>
    <row r="7" spans="1:121" x14ac:dyDescent="0.2">
      <c r="O7" t="str">
        <f>IFERROR(INDEX(_courses_lookup!$C:$C,MATCH(K7&amp;L7,_courses_lookup!$E:$E,0)),"")</f>
        <v/>
      </c>
      <c r="P7" t="str">
        <f>IFERROR(INDEX(_courses_lookup!$D:$D,MATCH(K7&amp;L7,_courses_lookup!$E:$E,0)),"")</f>
        <v/>
      </c>
      <c r="AG7" t="str">
        <f t="shared" si="0"/>
        <v/>
      </c>
      <c r="AI7" t="str">
        <f t="shared" si="1"/>
        <v/>
      </c>
      <c r="AL7" t="str">
        <f t="shared" si="2"/>
        <v/>
      </c>
      <c r="AN7" t="str">
        <f t="shared" si="3"/>
        <v/>
      </c>
      <c r="AQ7" t="str">
        <f t="shared" si="4"/>
        <v/>
      </c>
      <c r="AR7" t="str">
        <f t="shared" si="5"/>
        <v/>
      </c>
      <c r="AS7" t="str">
        <f t="shared" si="6"/>
        <v/>
      </c>
      <c r="AT7" t="str">
        <f t="shared" si="7"/>
        <v/>
      </c>
      <c r="BG7" t="str">
        <f t="shared" si="8"/>
        <v/>
      </c>
      <c r="BH7" t="str">
        <f t="shared" si="9"/>
        <v/>
      </c>
      <c r="BL7" t="str">
        <f>IFERROR(INDEX(_names_lookup!$C:$C,MATCH(BK7,_names_lookup!$A:$A,0)),"")</f>
        <v/>
      </c>
      <c r="BM7" t="str">
        <f>IFERROR(INDEX(_names_lookup!$B:$B,MATCH(BK7,_names_lookup!$A:$A,0)),"")</f>
        <v/>
      </c>
      <c r="BS7" t="str">
        <f t="shared" si="10"/>
        <v/>
      </c>
    </row>
    <row r="8" spans="1:121" x14ac:dyDescent="0.2">
      <c r="O8" t="str">
        <f>IFERROR(INDEX(_courses_lookup!$C:$C,MATCH(K8&amp;L8,_courses_lookup!$E:$E,0)),"")</f>
        <v/>
      </c>
      <c r="P8" t="str">
        <f>IFERROR(INDEX(_courses_lookup!$D:$D,MATCH(K8&amp;L8,_courses_lookup!$E:$E,0)),"")</f>
        <v/>
      </c>
      <c r="AG8" t="str">
        <f t="shared" si="0"/>
        <v/>
      </c>
      <c r="AI8" t="str">
        <f t="shared" si="1"/>
        <v/>
      </c>
      <c r="AL8" t="str">
        <f t="shared" si="2"/>
        <v/>
      </c>
      <c r="AN8" t="str">
        <f t="shared" si="3"/>
        <v/>
      </c>
      <c r="AQ8" t="str">
        <f t="shared" si="4"/>
        <v/>
      </c>
      <c r="AR8" t="str">
        <f t="shared" si="5"/>
        <v/>
      </c>
      <c r="AS8" t="str">
        <f t="shared" si="6"/>
        <v/>
      </c>
      <c r="AT8" t="str">
        <f t="shared" si="7"/>
        <v/>
      </c>
      <c r="BG8" t="str">
        <f t="shared" si="8"/>
        <v/>
      </c>
      <c r="BH8" t="str">
        <f t="shared" si="9"/>
        <v/>
      </c>
      <c r="BL8" t="str">
        <f>IFERROR(INDEX(_names_lookup!$C:$C,MATCH(BK8,_names_lookup!$A:$A,0)),"")</f>
        <v/>
      </c>
      <c r="BM8" t="str">
        <f>IFERROR(INDEX(_names_lookup!$B:$B,MATCH(BK8,_names_lookup!$A:$A,0)),"")</f>
        <v/>
      </c>
      <c r="BS8" t="str">
        <f t="shared" si="10"/>
        <v/>
      </c>
    </row>
    <row r="9" spans="1:121" x14ac:dyDescent="0.2">
      <c r="O9" t="str">
        <f>IFERROR(INDEX(_courses_lookup!$C:$C,MATCH(K9&amp;L9,_courses_lookup!$E:$E,0)),"")</f>
        <v/>
      </c>
      <c r="P9" t="str">
        <f>IFERROR(INDEX(_courses_lookup!$D:$D,MATCH(K9&amp;L9,_courses_lookup!$E:$E,0)),"")</f>
        <v/>
      </c>
      <c r="AG9" t="str">
        <f t="shared" si="0"/>
        <v/>
      </c>
      <c r="AI9" t="str">
        <f t="shared" si="1"/>
        <v/>
      </c>
      <c r="AL9" t="str">
        <f t="shared" si="2"/>
        <v/>
      </c>
      <c r="AN9" t="str">
        <f t="shared" si="3"/>
        <v/>
      </c>
      <c r="AQ9" t="str">
        <f t="shared" si="4"/>
        <v/>
      </c>
      <c r="AR9" t="str">
        <f t="shared" si="5"/>
        <v/>
      </c>
      <c r="AS9" t="str">
        <f t="shared" si="6"/>
        <v/>
      </c>
      <c r="AT9" t="str">
        <f t="shared" si="7"/>
        <v/>
      </c>
      <c r="BG9" t="str">
        <f t="shared" si="8"/>
        <v/>
      </c>
      <c r="BH9" t="str">
        <f t="shared" si="9"/>
        <v/>
      </c>
      <c r="BL9" t="str">
        <f>IFERROR(INDEX(_names_lookup!$C:$C,MATCH(BK9,_names_lookup!$A:$A,0)),"")</f>
        <v/>
      </c>
      <c r="BM9" t="str">
        <f>IFERROR(INDEX(_names_lookup!$B:$B,MATCH(BK9,_names_lookup!$A:$A,0)),"")</f>
        <v/>
      </c>
      <c r="BS9" t="str">
        <f t="shared" si="10"/>
        <v/>
      </c>
    </row>
    <row r="10" spans="1:121" x14ac:dyDescent="0.2">
      <c r="O10" t="str">
        <f>IFERROR(INDEX(_courses_lookup!$C:$C,MATCH(K10&amp;L10,_courses_lookup!$E:$E,0)),"")</f>
        <v/>
      </c>
      <c r="P10" t="str">
        <f>IFERROR(INDEX(_courses_lookup!$D:$D,MATCH(K10&amp;L10,_courses_lookup!$E:$E,0)),"")</f>
        <v/>
      </c>
      <c r="AG10" t="str">
        <f t="shared" si="0"/>
        <v/>
      </c>
      <c r="AI10" t="str">
        <f t="shared" si="1"/>
        <v/>
      </c>
      <c r="AL10" t="str">
        <f t="shared" si="2"/>
        <v/>
      </c>
      <c r="AN10" t="str">
        <f t="shared" si="3"/>
        <v/>
      </c>
      <c r="AQ10" t="str">
        <f t="shared" si="4"/>
        <v/>
      </c>
      <c r="AR10" t="str">
        <f t="shared" si="5"/>
        <v/>
      </c>
      <c r="AS10" t="str">
        <f t="shared" si="6"/>
        <v/>
      </c>
      <c r="AT10" t="str">
        <f t="shared" si="7"/>
        <v/>
      </c>
      <c r="BG10" t="str">
        <f t="shared" si="8"/>
        <v/>
      </c>
      <c r="BH10" t="str">
        <f t="shared" si="9"/>
        <v/>
      </c>
      <c r="BL10" t="str">
        <f>IFERROR(INDEX(_names_lookup!$C:$C,MATCH(BK10,_names_lookup!$A:$A,0)),"")</f>
        <v/>
      </c>
      <c r="BM10" t="str">
        <f>IFERROR(INDEX(_names_lookup!$B:$B,MATCH(BK10,_names_lookup!$A:$A,0)),"")</f>
        <v/>
      </c>
      <c r="BS10" t="str">
        <f t="shared" si="10"/>
        <v/>
      </c>
    </row>
    <row r="11" spans="1:121" x14ac:dyDescent="0.2">
      <c r="O11" t="str">
        <f>IFERROR(INDEX(_courses_lookup!$C:$C,MATCH(K11&amp;L11,_courses_lookup!$E:$E,0)),"")</f>
        <v/>
      </c>
      <c r="P11" t="str">
        <f>IFERROR(INDEX(_courses_lookup!$D:$D,MATCH(K11&amp;L11,_courses_lookup!$E:$E,0)),"")</f>
        <v/>
      </c>
      <c r="AG11" t="str">
        <f t="shared" si="0"/>
        <v/>
      </c>
      <c r="AI11" t="str">
        <f t="shared" si="1"/>
        <v/>
      </c>
      <c r="AL11" t="str">
        <f t="shared" si="2"/>
        <v/>
      </c>
      <c r="AN11" t="str">
        <f t="shared" si="3"/>
        <v/>
      </c>
      <c r="AQ11" t="str">
        <f t="shared" si="4"/>
        <v/>
      </c>
      <c r="AR11" t="str">
        <f t="shared" si="5"/>
        <v/>
      </c>
      <c r="AS11" t="str">
        <f t="shared" si="6"/>
        <v/>
      </c>
      <c r="AT11" t="str">
        <f t="shared" si="7"/>
        <v/>
      </c>
      <c r="BG11" t="str">
        <f t="shared" si="8"/>
        <v/>
      </c>
      <c r="BH11" t="str">
        <f t="shared" si="9"/>
        <v/>
      </c>
      <c r="BL11" t="str">
        <f>IFERROR(INDEX(_names_lookup!$C:$C,MATCH(BK11,_names_lookup!$A:$A,0)),"")</f>
        <v/>
      </c>
      <c r="BM11" t="str">
        <f>IFERROR(INDEX(_names_lookup!$B:$B,MATCH(BK11,_names_lookup!$A:$A,0)),"")</f>
        <v/>
      </c>
      <c r="BS11" t="str">
        <f t="shared" si="10"/>
        <v/>
      </c>
    </row>
    <row r="12" spans="1:121" x14ac:dyDescent="0.2">
      <c r="O12" t="str">
        <f>IFERROR(INDEX(_courses_lookup!$C:$C,MATCH(K12&amp;L12,_courses_lookup!$E:$E,0)),"")</f>
        <v/>
      </c>
      <c r="P12" t="str">
        <f>IFERROR(INDEX(_courses_lookup!$D:$D,MATCH(K12&amp;L12,_courses_lookup!$E:$E,0)),"")</f>
        <v/>
      </c>
      <c r="AG12" t="str">
        <f t="shared" si="0"/>
        <v/>
      </c>
      <c r="AI12" t="str">
        <f t="shared" si="1"/>
        <v/>
      </c>
      <c r="AL12" t="str">
        <f t="shared" si="2"/>
        <v/>
      </c>
      <c r="AN12" t="str">
        <f t="shared" si="3"/>
        <v/>
      </c>
      <c r="AQ12" t="str">
        <f t="shared" si="4"/>
        <v/>
      </c>
      <c r="AR12" t="str">
        <f t="shared" si="5"/>
        <v/>
      </c>
      <c r="AS12" t="str">
        <f t="shared" si="6"/>
        <v/>
      </c>
      <c r="AT12" t="str">
        <f t="shared" si="7"/>
        <v/>
      </c>
      <c r="BG12" t="str">
        <f t="shared" si="8"/>
        <v/>
      </c>
      <c r="BH12" t="str">
        <f t="shared" si="9"/>
        <v/>
      </c>
      <c r="BL12" t="str">
        <f>IFERROR(INDEX(_names_lookup!$C:$C,MATCH(BK12,_names_lookup!$A:$A,0)),"")</f>
        <v/>
      </c>
      <c r="BM12" t="str">
        <f>IFERROR(INDEX(_names_lookup!$B:$B,MATCH(BK12,_names_lookup!$A:$A,0)),"")</f>
        <v/>
      </c>
      <c r="BS12" t="str">
        <f t="shared" si="10"/>
        <v/>
      </c>
    </row>
    <row r="13" spans="1:121" x14ac:dyDescent="0.2">
      <c r="O13" t="str">
        <f>IFERROR(INDEX(_courses_lookup!$C:$C,MATCH(K13&amp;L13,_courses_lookup!$E:$E,0)),"")</f>
        <v/>
      </c>
      <c r="P13" t="str">
        <f>IFERROR(INDEX(_courses_lookup!$D:$D,MATCH(K13&amp;L13,_courses_lookup!$E:$E,0)),"")</f>
        <v/>
      </c>
      <c r="AG13" t="str">
        <f t="shared" si="0"/>
        <v/>
      </c>
      <c r="AI13" t="str">
        <f t="shared" si="1"/>
        <v/>
      </c>
      <c r="AL13" t="str">
        <f t="shared" si="2"/>
        <v/>
      </c>
      <c r="AN13" t="str">
        <f t="shared" si="3"/>
        <v/>
      </c>
      <c r="AQ13" t="str">
        <f t="shared" si="4"/>
        <v/>
      </c>
      <c r="AR13" t="str">
        <f t="shared" si="5"/>
        <v/>
      </c>
      <c r="AS13" t="str">
        <f t="shared" si="6"/>
        <v/>
      </c>
      <c r="AT13" t="str">
        <f t="shared" si="7"/>
        <v/>
      </c>
      <c r="BG13" t="str">
        <f t="shared" si="8"/>
        <v/>
      </c>
      <c r="BH13" t="str">
        <f t="shared" si="9"/>
        <v/>
      </c>
      <c r="BL13" t="str">
        <f>IFERROR(INDEX(_names_lookup!$C:$C,MATCH(BK13,_names_lookup!$A:$A,0)),"")</f>
        <v/>
      </c>
      <c r="BM13" t="str">
        <f>IFERROR(INDEX(_names_lookup!$B:$B,MATCH(BK13,_names_lookup!$A:$A,0)),"")</f>
        <v/>
      </c>
      <c r="BS13" t="str">
        <f t="shared" si="10"/>
        <v/>
      </c>
    </row>
    <row r="14" spans="1:121" x14ac:dyDescent="0.2">
      <c r="O14" t="str">
        <f>IFERROR(INDEX(_courses_lookup!$C:$C,MATCH(K14&amp;L14,_courses_lookup!$E:$E,0)),"")</f>
        <v/>
      </c>
      <c r="P14" t="str">
        <f>IFERROR(INDEX(_courses_lookup!$D:$D,MATCH(K14&amp;L14,_courses_lookup!$E:$E,0)),"")</f>
        <v/>
      </c>
      <c r="AG14" t="str">
        <f t="shared" si="0"/>
        <v/>
      </c>
      <c r="AI14" t="str">
        <f t="shared" si="1"/>
        <v/>
      </c>
      <c r="AL14" t="str">
        <f t="shared" si="2"/>
        <v/>
      </c>
      <c r="AN14" t="str">
        <f t="shared" si="3"/>
        <v/>
      </c>
      <c r="AQ14" t="str">
        <f t="shared" si="4"/>
        <v/>
      </c>
      <c r="AR14" t="str">
        <f t="shared" si="5"/>
        <v/>
      </c>
      <c r="AS14" t="str">
        <f t="shared" si="6"/>
        <v/>
      </c>
      <c r="AT14" t="str">
        <f t="shared" si="7"/>
        <v/>
      </c>
      <c r="BG14" t="str">
        <f t="shared" si="8"/>
        <v/>
      </c>
      <c r="BH14" t="str">
        <f t="shared" si="9"/>
        <v/>
      </c>
      <c r="BL14" t="str">
        <f>IFERROR(INDEX(_names_lookup!$C:$C,MATCH(BK14,_names_lookup!$A:$A,0)),"")</f>
        <v/>
      </c>
      <c r="BM14" t="str">
        <f>IFERROR(INDEX(_names_lookup!$B:$B,MATCH(BK14,_names_lookup!$A:$A,0)),"")</f>
        <v/>
      </c>
      <c r="BS14" t="str">
        <f t="shared" si="10"/>
        <v/>
      </c>
    </row>
    <row r="15" spans="1:121" x14ac:dyDescent="0.2">
      <c r="O15" t="str">
        <f>IFERROR(INDEX(_courses_lookup!$C:$C,MATCH(K15&amp;L15,_courses_lookup!$E:$E,0)),"")</f>
        <v/>
      </c>
      <c r="P15" t="str">
        <f>IFERROR(INDEX(_courses_lookup!$D:$D,MATCH(K15&amp;L15,_courses_lookup!$E:$E,0)),"")</f>
        <v/>
      </c>
      <c r="AG15" t="str">
        <f t="shared" si="0"/>
        <v/>
      </c>
      <c r="AI15" t="str">
        <f t="shared" si="1"/>
        <v/>
      </c>
      <c r="AL15" t="str">
        <f t="shared" si="2"/>
        <v/>
      </c>
      <c r="AN15" t="str">
        <f t="shared" si="3"/>
        <v/>
      </c>
      <c r="AQ15" t="str">
        <f t="shared" si="4"/>
        <v/>
      </c>
      <c r="AR15" t="str">
        <f t="shared" si="5"/>
        <v/>
      </c>
      <c r="AS15" t="str">
        <f t="shared" si="6"/>
        <v/>
      </c>
      <c r="AT15" t="str">
        <f t="shared" si="7"/>
        <v/>
      </c>
      <c r="BG15" t="str">
        <f t="shared" si="8"/>
        <v/>
      </c>
      <c r="BH15" t="str">
        <f t="shared" si="9"/>
        <v/>
      </c>
      <c r="BL15" t="str">
        <f>IFERROR(INDEX(_names_lookup!$C:$C,MATCH(BK15,_names_lookup!$A:$A,0)),"")</f>
        <v/>
      </c>
      <c r="BM15" t="str">
        <f>IFERROR(INDEX(_names_lookup!$B:$B,MATCH(BK15,_names_lookup!$A:$A,0)),"")</f>
        <v/>
      </c>
      <c r="BS15" t="str">
        <f t="shared" si="10"/>
        <v/>
      </c>
    </row>
    <row r="16" spans="1:121" x14ac:dyDescent="0.2">
      <c r="O16" t="str">
        <f>IFERROR(INDEX(_courses_lookup!$C:$C,MATCH(K16&amp;L16,_courses_lookup!$E:$E,0)),"")</f>
        <v/>
      </c>
      <c r="P16" t="str">
        <f>IFERROR(INDEX(_courses_lookup!$D:$D,MATCH(K16&amp;L16,_courses_lookup!$E:$E,0)),"")</f>
        <v/>
      </c>
      <c r="AG16" t="str">
        <f t="shared" si="0"/>
        <v/>
      </c>
      <c r="AI16" t="str">
        <f t="shared" si="1"/>
        <v/>
      </c>
      <c r="AL16" t="str">
        <f t="shared" si="2"/>
        <v/>
      </c>
      <c r="AN16" t="str">
        <f t="shared" si="3"/>
        <v/>
      </c>
      <c r="AQ16" t="str">
        <f t="shared" si="4"/>
        <v/>
      </c>
      <c r="AR16" t="str">
        <f t="shared" si="5"/>
        <v/>
      </c>
      <c r="AS16" t="str">
        <f t="shared" si="6"/>
        <v/>
      </c>
      <c r="AT16" t="str">
        <f t="shared" si="7"/>
        <v/>
      </c>
      <c r="BG16" t="str">
        <f t="shared" si="8"/>
        <v/>
      </c>
      <c r="BH16" t="str">
        <f t="shared" si="9"/>
        <v/>
      </c>
      <c r="BL16" t="str">
        <f>IFERROR(INDEX(_names_lookup!$C:$C,MATCH(BK16,_names_lookup!$A:$A,0)),"")</f>
        <v/>
      </c>
      <c r="BM16" t="str">
        <f>IFERROR(INDEX(_names_lookup!$B:$B,MATCH(BK16,_names_lookup!$A:$A,0)),"")</f>
        <v/>
      </c>
      <c r="BS16" t="str">
        <f t="shared" si="10"/>
        <v/>
      </c>
    </row>
    <row r="17" spans="15:71" x14ac:dyDescent="0.2">
      <c r="O17" t="str">
        <f>IFERROR(INDEX(_courses_lookup!$C:$C,MATCH(K17&amp;L17,_courses_lookup!$E:$E,0)),"")</f>
        <v/>
      </c>
      <c r="P17" t="str">
        <f>IFERROR(INDEX(_courses_lookup!$D:$D,MATCH(K17&amp;L17,_courses_lookup!$E:$E,0)),"")</f>
        <v/>
      </c>
      <c r="AG17" t="str">
        <f t="shared" si="0"/>
        <v/>
      </c>
      <c r="AI17" t="str">
        <f t="shared" si="1"/>
        <v/>
      </c>
      <c r="AL17" t="str">
        <f t="shared" si="2"/>
        <v/>
      </c>
      <c r="AN17" t="str">
        <f t="shared" si="3"/>
        <v/>
      </c>
      <c r="AQ17" t="str">
        <f t="shared" si="4"/>
        <v/>
      </c>
      <c r="AR17" t="str">
        <f t="shared" si="5"/>
        <v/>
      </c>
      <c r="AS17" t="str">
        <f t="shared" si="6"/>
        <v/>
      </c>
      <c r="AT17" t="str">
        <f t="shared" si="7"/>
        <v/>
      </c>
      <c r="BG17" t="str">
        <f t="shared" si="8"/>
        <v/>
      </c>
      <c r="BH17" t="str">
        <f t="shared" si="9"/>
        <v/>
      </c>
      <c r="BL17" t="str">
        <f>IFERROR(INDEX(_names_lookup!$C:$C,MATCH(BK17,_names_lookup!$A:$A,0)),"")</f>
        <v/>
      </c>
      <c r="BM17" t="str">
        <f>IFERROR(INDEX(_names_lookup!$B:$B,MATCH(BK17,_names_lookup!$A:$A,0)),"")</f>
        <v/>
      </c>
      <c r="BS17" t="str">
        <f t="shared" si="10"/>
        <v/>
      </c>
    </row>
    <row r="18" spans="15:71" x14ac:dyDescent="0.2">
      <c r="O18" t="str">
        <f>IFERROR(INDEX(_courses_lookup!$C:$C,MATCH(K18&amp;L18,_courses_lookup!$E:$E,0)),"")</f>
        <v/>
      </c>
      <c r="P18" t="str">
        <f>IFERROR(INDEX(_courses_lookup!$D:$D,MATCH(K18&amp;L18,_courses_lookup!$E:$E,0)),"")</f>
        <v/>
      </c>
      <c r="AG18" t="str">
        <f t="shared" si="0"/>
        <v/>
      </c>
      <c r="AI18" t="str">
        <f t="shared" si="1"/>
        <v/>
      </c>
      <c r="AL18" t="str">
        <f t="shared" si="2"/>
        <v/>
      </c>
      <c r="AN18" t="str">
        <f t="shared" si="3"/>
        <v/>
      </c>
      <c r="AQ18" t="str">
        <f t="shared" si="4"/>
        <v/>
      </c>
      <c r="AR18" t="str">
        <f t="shared" si="5"/>
        <v/>
      </c>
      <c r="AS18" t="str">
        <f t="shared" si="6"/>
        <v/>
      </c>
      <c r="AT18" t="str">
        <f t="shared" si="7"/>
        <v/>
      </c>
      <c r="BG18" t="str">
        <f t="shared" si="8"/>
        <v/>
      </c>
      <c r="BH18" t="str">
        <f t="shared" si="9"/>
        <v/>
      </c>
      <c r="BL18" t="str">
        <f>IFERROR(INDEX(_names_lookup!$C:$C,MATCH(BK18,_names_lookup!$A:$A,0)),"")</f>
        <v/>
      </c>
      <c r="BM18" t="str">
        <f>IFERROR(INDEX(_names_lookup!$B:$B,MATCH(BK18,_names_lookup!$A:$A,0)),"")</f>
        <v/>
      </c>
      <c r="BS18" t="str">
        <f t="shared" si="10"/>
        <v/>
      </c>
    </row>
    <row r="19" spans="15:71" x14ac:dyDescent="0.2">
      <c r="O19" t="str">
        <f>IFERROR(INDEX(_courses_lookup!$C:$C,MATCH(K19&amp;L19,_courses_lookup!$E:$E,0)),"")</f>
        <v/>
      </c>
      <c r="P19" t="str">
        <f>IFERROR(INDEX(_courses_lookup!$D:$D,MATCH(K19&amp;L19,_courses_lookup!$E:$E,0)),"")</f>
        <v/>
      </c>
      <c r="AG19" t="str">
        <f t="shared" si="0"/>
        <v/>
      </c>
      <c r="AI19" t="str">
        <f t="shared" si="1"/>
        <v/>
      </c>
      <c r="AL19" t="str">
        <f t="shared" si="2"/>
        <v/>
      </c>
      <c r="AN19" t="str">
        <f t="shared" si="3"/>
        <v/>
      </c>
      <c r="AQ19" t="str">
        <f t="shared" si="4"/>
        <v/>
      </c>
      <c r="AR19" t="str">
        <f t="shared" si="5"/>
        <v/>
      </c>
      <c r="AS19" t="str">
        <f t="shared" si="6"/>
        <v/>
      </c>
      <c r="AT19" t="str">
        <f t="shared" si="7"/>
        <v/>
      </c>
      <c r="BG19" t="str">
        <f t="shared" si="8"/>
        <v/>
      </c>
      <c r="BH19" t="str">
        <f t="shared" si="9"/>
        <v/>
      </c>
      <c r="BL19" t="str">
        <f>IFERROR(INDEX(_names_lookup!$C:$C,MATCH(BK19,_names_lookup!$A:$A,0)),"")</f>
        <v/>
      </c>
      <c r="BM19" t="str">
        <f>IFERROR(INDEX(_names_lookup!$B:$B,MATCH(BK19,_names_lookup!$A:$A,0)),"")</f>
        <v/>
      </c>
      <c r="BS19" t="str">
        <f t="shared" si="10"/>
        <v/>
      </c>
    </row>
    <row r="20" spans="15:71" x14ac:dyDescent="0.2">
      <c r="O20" t="str">
        <f>IFERROR(INDEX(_courses_lookup!$C:$C,MATCH(K20&amp;L20,_courses_lookup!$E:$E,0)),"")</f>
        <v/>
      </c>
      <c r="P20" t="str">
        <f>IFERROR(INDEX(_courses_lookup!$D:$D,MATCH(K20&amp;L20,_courses_lookup!$E:$E,0)),"")</f>
        <v/>
      </c>
      <c r="AG20" t="str">
        <f t="shared" si="0"/>
        <v/>
      </c>
      <c r="AI20" t="str">
        <f t="shared" si="1"/>
        <v/>
      </c>
      <c r="AL20" t="str">
        <f t="shared" si="2"/>
        <v/>
      </c>
      <c r="AN20" t="str">
        <f t="shared" si="3"/>
        <v/>
      </c>
      <c r="AQ20" t="str">
        <f t="shared" si="4"/>
        <v/>
      </c>
      <c r="AR20" t="str">
        <f t="shared" si="5"/>
        <v/>
      </c>
      <c r="AS20" t="str">
        <f t="shared" si="6"/>
        <v/>
      </c>
      <c r="AT20" t="str">
        <f t="shared" si="7"/>
        <v/>
      </c>
      <c r="BG20" t="str">
        <f t="shared" si="8"/>
        <v/>
      </c>
      <c r="BH20" t="str">
        <f t="shared" si="9"/>
        <v/>
      </c>
      <c r="BL20" t="str">
        <f>IFERROR(INDEX(_names_lookup!$C:$C,MATCH(BK20,_names_lookup!$A:$A,0)),"")</f>
        <v/>
      </c>
      <c r="BM20" t="str">
        <f>IFERROR(INDEX(_names_lookup!$B:$B,MATCH(BK20,_names_lookup!$A:$A,0)),"")</f>
        <v/>
      </c>
      <c r="BS20" t="str">
        <f t="shared" si="10"/>
        <v/>
      </c>
    </row>
    <row r="21" spans="15:71" x14ac:dyDescent="0.2">
      <c r="O21" t="str">
        <f>IFERROR(INDEX(_courses_lookup!$C:$C,MATCH(K21&amp;L21,_courses_lookup!$E:$E,0)),"")</f>
        <v/>
      </c>
      <c r="P21" t="str">
        <f>IFERROR(INDEX(_courses_lookup!$D:$D,MATCH(K21&amp;L21,_courses_lookup!$E:$E,0)),"")</f>
        <v/>
      </c>
      <c r="AG21" t="str">
        <f t="shared" si="0"/>
        <v/>
      </c>
      <c r="AI21" t="str">
        <f t="shared" si="1"/>
        <v/>
      </c>
      <c r="AL21" t="str">
        <f t="shared" si="2"/>
        <v/>
      </c>
      <c r="AN21" t="str">
        <f t="shared" si="3"/>
        <v/>
      </c>
      <c r="AQ21" t="str">
        <f t="shared" si="4"/>
        <v/>
      </c>
      <c r="AR21" t="str">
        <f t="shared" si="5"/>
        <v/>
      </c>
      <c r="AS21" t="str">
        <f t="shared" si="6"/>
        <v/>
      </c>
      <c r="AT21" t="str">
        <f t="shared" si="7"/>
        <v/>
      </c>
      <c r="BG21" t="str">
        <f t="shared" si="8"/>
        <v/>
      </c>
      <c r="BH21" t="str">
        <f t="shared" si="9"/>
        <v/>
      </c>
      <c r="BL21" t="str">
        <f>IFERROR(INDEX(_names_lookup!$C:$C,MATCH(BK21,_names_lookup!$A:$A,0)),"")</f>
        <v/>
      </c>
      <c r="BM21" t="str">
        <f>IFERROR(INDEX(_names_lookup!$B:$B,MATCH(BK21,_names_lookup!$A:$A,0)),"")</f>
        <v/>
      </c>
      <c r="BS21" t="str">
        <f t="shared" si="10"/>
        <v/>
      </c>
    </row>
    <row r="22" spans="15:71" x14ac:dyDescent="0.2">
      <c r="O22" t="str">
        <f>IFERROR(INDEX(_courses_lookup!$C:$C,MATCH(K22&amp;L22,_courses_lookup!$E:$E,0)),"")</f>
        <v/>
      </c>
      <c r="P22" t="str">
        <f>IFERROR(INDEX(_courses_lookup!$D:$D,MATCH(K22&amp;L22,_courses_lookup!$E:$E,0)),"")</f>
        <v/>
      </c>
      <c r="AG22" t="str">
        <f t="shared" si="0"/>
        <v/>
      </c>
      <c r="AI22" t="str">
        <f t="shared" si="1"/>
        <v/>
      </c>
      <c r="AL22" t="str">
        <f t="shared" si="2"/>
        <v/>
      </c>
      <c r="AN22" t="str">
        <f t="shared" si="3"/>
        <v/>
      </c>
      <c r="AQ22" t="str">
        <f t="shared" si="4"/>
        <v/>
      </c>
      <c r="AR22" t="str">
        <f t="shared" si="5"/>
        <v/>
      </c>
      <c r="AS22" t="str">
        <f t="shared" si="6"/>
        <v/>
      </c>
      <c r="AT22" t="str">
        <f t="shared" si="7"/>
        <v/>
      </c>
      <c r="BG22" t="str">
        <f t="shared" si="8"/>
        <v/>
      </c>
      <c r="BH22" t="str">
        <f t="shared" si="9"/>
        <v/>
      </c>
      <c r="BL22" t="str">
        <f>IFERROR(INDEX(_names_lookup!$C:$C,MATCH(BK22,_names_lookup!$A:$A,0)),"")</f>
        <v/>
      </c>
      <c r="BM22" t="str">
        <f>IFERROR(INDEX(_names_lookup!$B:$B,MATCH(BK22,_names_lookup!$A:$A,0)),"")</f>
        <v/>
      </c>
      <c r="BS22" t="str">
        <f t="shared" si="10"/>
        <v/>
      </c>
    </row>
    <row r="23" spans="15:71" x14ac:dyDescent="0.2">
      <c r="O23" t="str">
        <f>IFERROR(INDEX(_courses_lookup!$C:$C,MATCH(K23&amp;L23,_courses_lookup!$E:$E,0)),"")</f>
        <v/>
      </c>
      <c r="P23" t="str">
        <f>IFERROR(INDEX(_courses_lookup!$D:$D,MATCH(K23&amp;L23,_courses_lookup!$E:$E,0)),"")</f>
        <v/>
      </c>
      <c r="AG23" t="str">
        <f t="shared" si="0"/>
        <v/>
      </c>
      <c r="AI23" t="str">
        <f t="shared" si="1"/>
        <v/>
      </c>
      <c r="AL23" t="str">
        <f t="shared" si="2"/>
        <v/>
      </c>
      <c r="AN23" t="str">
        <f t="shared" si="3"/>
        <v/>
      </c>
      <c r="AQ23" t="str">
        <f t="shared" si="4"/>
        <v/>
      </c>
      <c r="AR23" t="str">
        <f t="shared" si="5"/>
        <v/>
      </c>
      <c r="AS23" t="str">
        <f t="shared" si="6"/>
        <v/>
      </c>
      <c r="AT23" t="str">
        <f t="shared" si="7"/>
        <v/>
      </c>
      <c r="BG23" t="str">
        <f t="shared" si="8"/>
        <v/>
      </c>
      <c r="BH23" t="str">
        <f t="shared" si="9"/>
        <v/>
      </c>
      <c r="BL23" t="str">
        <f>IFERROR(INDEX(_names_lookup!$C:$C,MATCH(BK23,_names_lookup!$A:$A,0)),"")</f>
        <v/>
      </c>
      <c r="BM23" t="str">
        <f>IFERROR(INDEX(_names_lookup!$B:$B,MATCH(BK23,_names_lookup!$A:$A,0)),"")</f>
        <v/>
      </c>
      <c r="BS23" t="str">
        <f t="shared" si="10"/>
        <v/>
      </c>
    </row>
    <row r="24" spans="15:71" x14ac:dyDescent="0.2">
      <c r="O24" t="str">
        <f>IFERROR(INDEX(_courses_lookup!$C:$C,MATCH(K24&amp;L24,_courses_lookup!$E:$E,0)),"")</f>
        <v/>
      </c>
      <c r="P24" t="str">
        <f>IFERROR(INDEX(_courses_lookup!$D:$D,MATCH(K24&amp;L24,_courses_lookup!$E:$E,0)),"")</f>
        <v/>
      </c>
      <c r="AG24" t="str">
        <f t="shared" si="0"/>
        <v/>
      </c>
      <c r="AI24" t="str">
        <f t="shared" si="1"/>
        <v/>
      </c>
      <c r="AL24" t="str">
        <f t="shared" si="2"/>
        <v/>
      </c>
      <c r="AN24" t="str">
        <f t="shared" si="3"/>
        <v/>
      </c>
      <c r="AQ24" t="str">
        <f t="shared" si="4"/>
        <v/>
      </c>
      <c r="AR24" t="str">
        <f t="shared" si="5"/>
        <v/>
      </c>
      <c r="AS24" t="str">
        <f t="shared" si="6"/>
        <v/>
      </c>
      <c r="AT24" t="str">
        <f t="shared" si="7"/>
        <v/>
      </c>
      <c r="BG24" t="str">
        <f t="shared" si="8"/>
        <v/>
      </c>
      <c r="BH24" t="str">
        <f t="shared" si="9"/>
        <v/>
      </c>
      <c r="BL24" t="str">
        <f>IFERROR(INDEX(_names_lookup!$C:$C,MATCH(BK24,_names_lookup!$A:$A,0)),"")</f>
        <v/>
      </c>
      <c r="BM24" t="str">
        <f>IFERROR(INDEX(_names_lookup!$B:$B,MATCH(BK24,_names_lookup!$A:$A,0)),"")</f>
        <v/>
      </c>
      <c r="BS24" t="str">
        <f t="shared" si="10"/>
        <v/>
      </c>
    </row>
    <row r="25" spans="15:71" x14ac:dyDescent="0.2">
      <c r="O25" t="str">
        <f>IFERROR(INDEX(_courses_lookup!$C:$C,MATCH(K25&amp;L25,_courses_lookup!$E:$E,0)),"")</f>
        <v/>
      </c>
      <c r="P25" t="str">
        <f>IFERROR(INDEX(_courses_lookup!$D:$D,MATCH(K25&amp;L25,_courses_lookup!$E:$E,0)),"")</f>
        <v/>
      </c>
      <c r="AG25" t="str">
        <f t="shared" si="0"/>
        <v/>
      </c>
      <c r="AI25" t="str">
        <f t="shared" si="1"/>
        <v/>
      </c>
      <c r="AL25" t="str">
        <f t="shared" si="2"/>
        <v/>
      </c>
      <c r="AN25" t="str">
        <f t="shared" si="3"/>
        <v/>
      </c>
      <c r="AQ25" t="str">
        <f t="shared" si="4"/>
        <v/>
      </c>
      <c r="AR25" t="str">
        <f t="shared" si="5"/>
        <v/>
      </c>
      <c r="AS25" t="str">
        <f t="shared" si="6"/>
        <v/>
      </c>
      <c r="AT25" t="str">
        <f t="shared" si="7"/>
        <v/>
      </c>
      <c r="BG25" t="str">
        <f t="shared" si="8"/>
        <v/>
      </c>
      <c r="BH25" t="str">
        <f t="shared" si="9"/>
        <v/>
      </c>
      <c r="BL25" t="str">
        <f>IFERROR(INDEX(_names_lookup!$C:$C,MATCH(BK25,_names_lookup!$A:$A,0)),"")</f>
        <v/>
      </c>
      <c r="BM25" t="str">
        <f>IFERROR(INDEX(_names_lookup!$B:$B,MATCH(BK25,_names_lookup!$A:$A,0)),"")</f>
        <v/>
      </c>
      <c r="BS25" t="str">
        <f t="shared" si="10"/>
        <v/>
      </c>
    </row>
    <row r="26" spans="15:71" x14ac:dyDescent="0.2">
      <c r="O26" t="str">
        <f>IFERROR(INDEX(_courses_lookup!$C:$C,MATCH(K26&amp;L26,_courses_lookup!$E:$E,0)),"")</f>
        <v/>
      </c>
      <c r="P26" t="str">
        <f>IFERROR(INDEX(_courses_lookup!$D:$D,MATCH(K26&amp;L26,_courses_lookup!$E:$E,0)),"")</f>
        <v/>
      </c>
      <c r="AG26" t="str">
        <f t="shared" si="0"/>
        <v/>
      </c>
      <c r="AI26" t="str">
        <f t="shared" si="1"/>
        <v/>
      </c>
      <c r="AL26" t="str">
        <f t="shared" si="2"/>
        <v/>
      </c>
      <c r="AN26" t="str">
        <f t="shared" si="3"/>
        <v/>
      </c>
      <c r="AQ26" t="str">
        <f t="shared" si="4"/>
        <v/>
      </c>
      <c r="AR26" t="str">
        <f t="shared" si="5"/>
        <v/>
      </c>
      <c r="AS26" t="str">
        <f t="shared" si="6"/>
        <v/>
      </c>
      <c r="AT26" t="str">
        <f t="shared" si="7"/>
        <v/>
      </c>
      <c r="BG26" t="str">
        <f t="shared" si="8"/>
        <v/>
      </c>
      <c r="BH26" t="str">
        <f t="shared" si="9"/>
        <v/>
      </c>
      <c r="BL26" t="str">
        <f>IFERROR(INDEX(_names_lookup!$C:$C,MATCH(BK26,_names_lookup!$A:$A,0)),"")</f>
        <v/>
      </c>
      <c r="BM26" t="str">
        <f>IFERROR(INDEX(_names_lookup!$B:$B,MATCH(BK26,_names_lookup!$A:$A,0)),"")</f>
        <v/>
      </c>
      <c r="BS26" t="str">
        <f t="shared" si="10"/>
        <v/>
      </c>
    </row>
    <row r="27" spans="15:71" x14ac:dyDescent="0.2">
      <c r="O27" t="str">
        <f>IFERROR(INDEX(_courses_lookup!$C:$C,MATCH(K27&amp;L27,_courses_lookup!$E:$E,0)),"")</f>
        <v/>
      </c>
      <c r="P27" t="str">
        <f>IFERROR(INDEX(_courses_lookup!$D:$D,MATCH(K27&amp;L27,_courses_lookup!$E:$E,0)),"")</f>
        <v/>
      </c>
      <c r="AG27" t="str">
        <f t="shared" si="0"/>
        <v/>
      </c>
      <c r="AI27" t="str">
        <f t="shared" si="1"/>
        <v/>
      </c>
      <c r="AL27" t="str">
        <f t="shared" si="2"/>
        <v/>
      </c>
      <c r="AN27" t="str">
        <f t="shared" si="3"/>
        <v/>
      </c>
      <c r="AQ27" t="str">
        <f t="shared" si="4"/>
        <v/>
      </c>
      <c r="AR27" t="str">
        <f t="shared" si="5"/>
        <v/>
      </c>
      <c r="AS27" t="str">
        <f t="shared" si="6"/>
        <v/>
      </c>
      <c r="AT27" t="str">
        <f t="shared" si="7"/>
        <v/>
      </c>
      <c r="BG27" t="str">
        <f t="shared" si="8"/>
        <v/>
      </c>
      <c r="BH27" t="str">
        <f t="shared" si="9"/>
        <v/>
      </c>
      <c r="BL27" t="str">
        <f>IFERROR(INDEX(_names_lookup!$C:$C,MATCH(BK27,_names_lookup!$A:$A,0)),"")</f>
        <v/>
      </c>
      <c r="BM27" t="str">
        <f>IFERROR(INDEX(_names_lookup!$B:$B,MATCH(BK27,_names_lookup!$A:$A,0)),"")</f>
        <v/>
      </c>
      <c r="BS27" t="str">
        <f t="shared" si="10"/>
        <v/>
      </c>
    </row>
    <row r="28" spans="15:71" x14ac:dyDescent="0.2">
      <c r="O28" t="str">
        <f>IFERROR(INDEX(_courses_lookup!$C:$C,MATCH(K28&amp;L28,_courses_lookup!$E:$E,0)),"")</f>
        <v/>
      </c>
      <c r="P28" t="str">
        <f>IFERROR(INDEX(_courses_lookup!$D:$D,MATCH(K28&amp;L28,_courses_lookup!$E:$E,0)),"")</f>
        <v/>
      </c>
      <c r="AG28" t="str">
        <f t="shared" si="0"/>
        <v/>
      </c>
      <c r="AI28" t="str">
        <f t="shared" si="1"/>
        <v/>
      </c>
      <c r="AL28" t="str">
        <f t="shared" si="2"/>
        <v/>
      </c>
      <c r="AN28" t="str">
        <f t="shared" si="3"/>
        <v/>
      </c>
      <c r="AQ28" t="str">
        <f t="shared" si="4"/>
        <v/>
      </c>
      <c r="AR28" t="str">
        <f t="shared" si="5"/>
        <v/>
      </c>
      <c r="AS28" t="str">
        <f t="shared" si="6"/>
        <v/>
      </c>
      <c r="AT28" t="str">
        <f t="shared" si="7"/>
        <v/>
      </c>
      <c r="BG28" t="str">
        <f t="shared" si="8"/>
        <v/>
      </c>
      <c r="BH28" t="str">
        <f t="shared" si="9"/>
        <v/>
      </c>
      <c r="BL28" t="str">
        <f>IFERROR(INDEX(_names_lookup!$C:$C,MATCH(BK28,_names_lookup!$A:$A,0)),"")</f>
        <v/>
      </c>
      <c r="BM28" t="str">
        <f>IFERROR(INDEX(_names_lookup!$B:$B,MATCH(BK28,_names_lookup!$A:$A,0)),"")</f>
        <v/>
      </c>
      <c r="BS28" t="str">
        <f t="shared" si="10"/>
        <v/>
      </c>
    </row>
    <row r="29" spans="15:71" x14ac:dyDescent="0.2">
      <c r="O29" t="str">
        <f>IFERROR(INDEX(_courses_lookup!$C:$C,MATCH(K29&amp;L29,_courses_lookup!$E:$E,0)),"")</f>
        <v/>
      </c>
      <c r="P29" t="str">
        <f>IFERROR(INDEX(_courses_lookup!$D:$D,MATCH(K29&amp;L29,_courses_lookup!$E:$E,0)),"")</f>
        <v/>
      </c>
      <c r="AG29" t="str">
        <f t="shared" si="0"/>
        <v/>
      </c>
      <c r="AI29" t="str">
        <f t="shared" si="1"/>
        <v/>
      </c>
      <c r="AL29" t="str">
        <f t="shared" si="2"/>
        <v/>
      </c>
      <c r="AN29" t="str">
        <f t="shared" si="3"/>
        <v/>
      </c>
      <c r="AQ29" t="str">
        <f t="shared" si="4"/>
        <v/>
      </c>
      <c r="AR29" t="str">
        <f t="shared" si="5"/>
        <v/>
      </c>
      <c r="AS29" t="str">
        <f t="shared" si="6"/>
        <v/>
      </c>
      <c r="AT29" t="str">
        <f t="shared" si="7"/>
        <v/>
      </c>
      <c r="BG29" t="str">
        <f t="shared" si="8"/>
        <v/>
      </c>
      <c r="BH29" t="str">
        <f t="shared" si="9"/>
        <v/>
      </c>
      <c r="BL29" t="str">
        <f>IFERROR(INDEX(_names_lookup!$C:$C,MATCH(BK29,_names_lookup!$A:$A,0)),"")</f>
        <v/>
      </c>
      <c r="BM29" t="str">
        <f>IFERROR(INDEX(_names_lookup!$B:$B,MATCH(BK29,_names_lookup!$A:$A,0)),"")</f>
        <v/>
      </c>
      <c r="BS29" t="str">
        <f t="shared" si="10"/>
        <v/>
      </c>
    </row>
    <row r="30" spans="15:71" x14ac:dyDescent="0.2">
      <c r="O30" t="str">
        <f>IFERROR(INDEX(_courses_lookup!$C:$C,MATCH(K30&amp;L30,_courses_lookup!$E:$E,0)),"")</f>
        <v/>
      </c>
      <c r="P30" t="str">
        <f>IFERROR(INDEX(_courses_lookup!$D:$D,MATCH(K30&amp;L30,_courses_lookup!$E:$E,0)),"")</f>
        <v/>
      </c>
      <c r="AG30" t="str">
        <f t="shared" si="0"/>
        <v/>
      </c>
      <c r="AI30" t="str">
        <f t="shared" si="1"/>
        <v/>
      </c>
      <c r="AL30" t="str">
        <f t="shared" si="2"/>
        <v/>
      </c>
      <c r="AN30" t="str">
        <f t="shared" si="3"/>
        <v/>
      </c>
      <c r="AQ30" t="str">
        <f t="shared" si="4"/>
        <v/>
      </c>
      <c r="AR30" t="str">
        <f t="shared" si="5"/>
        <v/>
      </c>
      <c r="AS30" t="str">
        <f t="shared" si="6"/>
        <v/>
      </c>
      <c r="AT30" t="str">
        <f t="shared" si="7"/>
        <v/>
      </c>
      <c r="BG30" t="str">
        <f t="shared" si="8"/>
        <v/>
      </c>
      <c r="BH30" t="str">
        <f t="shared" si="9"/>
        <v/>
      </c>
      <c r="BL30" t="str">
        <f>IFERROR(INDEX(_names_lookup!$C:$C,MATCH(BK30,_names_lookup!$A:$A,0)),"")</f>
        <v/>
      </c>
      <c r="BM30" t="str">
        <f>IFERROR(INDEX(_names_lookup!$B:$B,MATCH(BK30,_names_lookup!$A:$A,0)),"")</f>
        <v/>
      </c>
      <c r="BS30" t="str">
        <f t="shared" si="10"/>
        <v/>
      </c>
    </row>
    <row r="31" spans="15:71" x14ac:dyDescent="0.2">
      <c r="O31" t="str">
        <f>IFERROR(INDEX(_courses_lookup!$C:$C,MATCH(K31&amp;L31,_courses_lookup!$E:$E,0)),"")</f>
        <v/>
      </c>
      <c r="P31" t="str">
        <f>IFERROR(INDEX(_courses_lookup!$D:$D,MATCH(K31&amp;L31,_courses_lookup!$E:$E,0)),"")</f>
        <v/>
      </c>
      <c r="AG31" t="str">
        <f t="shared" si="0"/>
        <v/>
      </c>
      <c r="AI31" t="str">
        <f t="shared" si="1"/>
        <v/>
      </c>
      <c r="AL31" t="str">
        <f t="shared" si="2"/>
        <v/>
      </c>
      <c r="AN31" t="str">
        <f t="shared" si="3"/>
        <v/>
      </c>
      <c r="AQ31" t="str">
        <f t="shared" si="4"/>
        <v/>
      </c>
      <c r="AR31" t="str">
        <f t="shared" si="5"/>
        <v/>
      </c>
      <c r="AS31" t="str">
        <f t="shared" si="6"/>
        <v/>
      </c>
      <c r="AT31" t="str">
        <f t="shared" si="7"/>
        <v/>
      </c>
      <c r="BG31" t="str">
        <f t="shared" si="8"/>
        <v/>
      </c>
      <c r="BH31" t="str">
        <f t="shared" si="9"/>
        <v/>
      </c>
      <c r="BL31" t="str">
        <f>IFERROR(INDEX(_names_lookup!$C:$C,MATCH(BK31,_names_lookup!$A:$A,0)),"")</f>
        <v/>
      </c>
      <c r="BM31" t="str">
        <f>IFERROR(INDEX(_names_lookup!$B:$B,MATCH(BK31,_names_lookup!$A:$A,0)),"")</f>
        <v/>
      </c>
      <c r="BS31" t="str">
        <f t="shared" si="10"/>
        <v/>
      </c>
    </row>
    <row r="32" spans="15:71" x14ac:dyDescent="0.2">
      <c r="O32" t="str">
        <f>IFERROR(INDEX(_courses_lookup!$C:$C,MATCH(K32&amp;L32,_courses_lookup!$E:$E,0)),"")</f>
        <v/>
      </c>
      <c r="P32" t="str">
        <f>IFERROR(INDEX(_courses_lookup!$D:$D,MATCH(K32&amp;L32,_courses_lookup!$E:$E,0)),"")</f>
        <v/>
      </c>
      <c r="AG32" t="str">
        <f t="shared" si="0"/>
        <v/>
      </c>
      <c r="AI32" t="str">
        <f t="shared" si="1"/>
        <v/>
      </c>
      <c r="AL32" t="str">
        <f t="shared" si="2"/>
        <v/>
      </c>
      <c r="AN32" t="str">
        <f t="shared" si="3"/>
        <v/>
      </c>
      <c r="AQ32" t="str">
        <f t="shared" si="4"/>
        <v/>
      </c>
      <c r="AR32" t="str">
        <f t="shared" si="5"/>
        <v/>
      </c>
      <c r="AS32" t="str">
        <f t="shared" si="6"/>
        <v/>
      </c>
      <c r="AT32" t="str">
        <f t="shared" si="7"/>
        <v/>
      </c>
      <c r="BG32" t="str">
        <f t="shared" si="8"/>
        <v/>
      </c>
      <c r="BH32" t="str">
        <f t="shared" si="9"/>
        <v/>
      </c>
      <c r="BL32" t="str">
        <f>IFERROR(INDEX(_names_lookup!$C:$C,MATCH(BK32,_names_lookup!$A:$A,0)),"")</f>
        <v/>
      </c>
      <c r="BM32" t="str">
        <f>IFERROR(INDEX(_names_lookup!$B:$B,MATCH(BK32,_names_lookup!$A:$A,0)),"")</f>
        <v/>
      </c>
      <c r="BS32" t="str">
        <f t="shared" si="10"/>
        <v/>
      </c>
    </row>
    <row r="33" spans="15:71" x14ac:dyDescent="0.2">
      <c r="O33" t="str">
        <f>IFERROR(INDEX(_courses_lookup!$C:$C,MATCH(K33&amp;L33,_courses_lookup!$E:$E,0)),"")</f>
        <v/>
      </c>
      <c r="P33" t="str">
        <f>IFERROR(INDEX(_courses_lookup!$D:$D,MATCH(K33&amp;L33,_courses_lookup!$E:$E,0)),"")</f>
        <v/>
      </c>
      <c r="AG33" t="str">
        <f t="shared" si="0"/>
        <v/>
      </c>
      <c r="AI33" t="str">
        <f t="shared" si="1"/>
        <v/>
      </c>
      <c r="AL33" t="str">
        <f t="shared" si="2"/>
        <v/>
      </c>
      <c r="AN33" t="str">
        <f t="shared" si="3"/>
        <v/>
      </c>
      <c r="AQ33" t="str">
        <f t="shared" si="4"/>
        <v/>
      </c>
      <c r="AR33" t="str">
        <f t="shared" si="5"/>
        <v/>
      </c>
      <c r="AS33" t="str">
        <f t="shared" si="6"/>
        <v/>
      </c>
      <c r="AT33" t="str">
        <f t="shared" si="7"/>
        <v/>
      </c>
      <c r="BG33" t="str">
        <f t="shared" si="8"/>
        <v/>
      </c>
      <c r="BH33" t="str">
        <f t="shared" si="9"/>
        <v/>
      </c>
      <c r="BL33" t="str">
        <f>IFERROR(INDEX(_names_lookup!$C:$C,MATCH(BK33,_names_lookup!$A:$A,0)),"")</f>
        <v/>
      </c>
      <c r="BM33" t="str">
        <f>IFERROR(INDEX(_names_lookup!$B:$B,MATCH(BK33,_names_lookup!$A:$A,0)),"")</f>
        <v/>
      </c>
      <c r="BS33" t="str">
        <f t="shared" si="10"/>
        <v/>
      </c>
    </row>
    <row r="34" spans="15:71" x14ac:dyDescent="0.2">
      <c r="O34" t="str">
        <f>IFERROR(INDEX(_courses_lookup!$C:$C,MATCH(K34&amp;L34,_courses_lookup!$E:$E,0)),"")</f>
        <v/>
      </c>
      <c r="P34" t="str">
        <f>IFERROR(INDEX(_courses_lookup!$D:$D,MATCH(K34&amp;L34,_courses_lookup!$E:$E,0)),"")</f>
        <v/>
      </c>
      <c r="AG34" t="str">
        <f t="shared" si="0"/>
        <v/>
      </c>
      <c r="AI34" t="str">
        <f t="shared" si="1"/>
        <v/>
      </c>
      <c r="AL34" t="str">
        <f t="shared" si="2"/>
        <v/>
      </c>
      <c r="AN34" t="str">
        <f t="shared" si="3"/>
        <v/>
      </c>
      <c r="AQ34" t="str">
        <f t="shared" si="4"/>
        <v/>
      </c>
      <c r="AR34" t="str">
        <f t="shared" si="5"/>
        <v/>
      </c>
      <c r="AS34" t="str">
        <f t="shared" si="6"/>
        <v/>
      </c>
      <c r="AT34" t="str">
        <f t="shared" si="7"/>
        <v/>
      </c>
      <c r="BG34" t="str">
        <f t="shared" si="8"/>
        <v/>
      </c>
      <c r="BH34" t="str">
        <f t="shared" si="9"/>
        <v/>
      </c>
      <c r="BL34" t="str">
        <f>IFERROR(INDEX(_names_lookup!$C:$C,MATCH(BK34,_names_lookup!$A:$A,0)),"")</f>
        <v/>
      </c>
      <c r="BM34" t="str">
        <f>IFERROR(INDEX(_names_lookup!$B:$B,MATCH(BK34,_names_lookup!$A:$A,0)),"")</f>
        <v/>
      </c>
      <c r="BS34" t="str">
        <f t="shared" si="10"/>
        <v/>
      </c>
    </row>
    <row r="35" spans="15:71" x14ac:dyDescent="0.2">
      <c r="O35" t="str">
        <f>IFERROR(INDEX(_courses_lookup!$C:$C,MATCH(K35&amp;L35,_courses_lookup!$E:$E,0)),"")</f>
        <v/>
      </c>
      <c r="P35" t="str">
        <f>IFERROR(INDEX(_courses_lookup!$D:$D,MATCH(K35&amp;L35,_courses_lookup!$E:$E,0)),"")</f>
        <v/>
      </c>
      <c r="AG35" t="str">
        <f t="shared" si="0"/>
        <v/>
      </c>
      <c r="AI35" t="str">
        <f t="shared" si="1"/>
        <v/>
      </c>
      <c r="AL35" t="str">
        <f t="shared" si="2"/>
        <v/>
      </c>
      <c r="AN35" t="str">
        <f t="shared" si="3"/>
        <v/>
      </c>
      <c r="AQ35" t="str">
        <f t="shared" si="4"/>
        <v/>
      </c>
      <c r="AR35" t="str">
        <f t="shared" si="5"/>
        <v/>
      </c>
      <c r="AS35" t="str">
        <f t="shared" si="6"/>
        <v/>
      </c>
      <c r="AT35" t="str">
        <f t="shared" si="7"/>
        <v/>
      </c>
      <c r="BG35" t="str">
        <f t="shared" si="8"/>
        <v/>
      </c>
      <c r="BH35" t="str">
        <f t="shared" si="9"/>
        <v/>
      </c>
      <c r="BL35" t="str">
        <f>IFERROR(INDEX(_names_lookup!$C:$C,MATCH(BK35,_names_lookup!$A:$A,0)),"")</f>
        <v/>
      </c>
      <c r="BM35" t="str">
        <f>IFERROR(INDEX(_names_lookup!$B:$B,MATCH(BK35,_names_lookup!$A:$A,0)),"")</f>
        <v/>
      </c>
      <c r="BS35" t="str">
        <f t="shared" si="10"/>
        <v/>
      </c>
    </row>
    <row r="36" spans="15:71" x14ac:dyDescent="0.2">
      <c r="O36" t="str">
        <f>IFERROR(INDEX(_courses_lookup!$C:$C,MATCH(K36&amp;L36,_courses_lookup!$E:$E,0)),"")</f>
        <v/>
      </c>
      <c r="P36" t="str">
        <f>IFERROR(INDEX(_courses_lookup!$D:$D,MATCH(K36&amp;L36,_courses_lookup!$E:$E,0)),"")</f>
        <v/>
      </c>
      <c r="AG36" t="str">
        <f t="shared" si="0"/>
        <v/>
      </c>
      <c r="AI36" t="str">
        <f t="shared" si="1"/>
        <v/>
      </c>
      <c r="AL36" t="str">
        <f t="shared" si="2"/>
        <v/>
      </c>
      <c r="AN36" t="str">
        <f t="shared" si="3"/>
        <v/>
      </c>
      <c r="AQ36" t="str">
        <f t="shared" si="4"/>
        <v/>
      </c>
      <c r="AR36" t="str">
        <f t="shared" si="5"/>
        <v/>
      </c>
      <c r="AS36" t="str">
        <f t="shared" si="6"/>
        <v/>
      </c>
      <c r="AT36" t="str">
        <f t="shared" si="7"/>
        <v/>
      </c>
      <c r="BG36" t="str">
        <f t="shared" si="8"/>
        <v/>
      </c>
      <c r="BH36" t="str">
        <f t="shared" si="9"/>
        <v/>
      </c>
      <c r="BL36" t="str">
        <f>IFERROR(INDEX(_names_lookup!$C:$C,MATCH(BK36,_names_lookup!$A:$A,0)),"")</f>
        <v/>
      </c>
      <c r="BM36" t="str">
        <f>IFERROR(INDEX(_names_lookup!$B:$B,MATCH(BK36,_names_lookup!$A:$A,0)),"")</f>
        <v/>
      </c>
      <c r="BS36" t="str">
        <f t="shared" si="10"/>
        <v/>
      </c>
    </row>
    <row r="37" spans="15:71" x14ac:dyDescent="0.2">
      <c r="O37" t="str">
        <f>IFERROR(INDEX(_courses_lookup!$C:$C,MATCH(K37&amp;L37,_courses_lookup!$E:$E,0)),"")</f>
        <v/>
      </c>
      <c r="P37" t="str">
        <f>IFERROR(INDEX(_courses_lookup!$D:$D,MATCH(K37&amp;L37,_courses_lookup!$E:$E,0)),"")</f>
        <v/>
      </c>
      <c r="AG37" t="str">
        <f t="shared" si="0"/>
        <v/>
      </c>
      <c r="AI37" t="str">
        <f t="shared" si="1"/>
        <v/>
      </c>
      <c r="AL37" t="str">
        <f t="shared" si="2"/>
        <v/>
      </c>
      <c r="AN37" t="str">
        <f t="shared" si="3"/>
        <v/>
      </c>
      <c r="AQ37" t="str">
        <f t="shared" si="4"/>
        <v/>
      </c>
      <c r="AR37" t="str">
        <f t="shared" si="5"/>
        <v/>
      </c>
      <c r="AS37" t="str">
        <f t="shared" si="6"/>
        <v/>
      </c>
      <c r="AT37" t="str">
        <f t="shared" si="7"/>
        <v/>
      </c>
      <c r="BG37" t="str">
        <f t="shared" si="8"/>
        <v/>
      </c>
      <c r="BH37" t="str">
        <f t="shared" si="9"/>
        <v/>
      </c>
      <c r="BL37" t="str">
        <f>IFERROR(INDEX(_names_lookup!$C:$C,MATCH(BK37,_names_lookup!$A:$A,0)),"")</f>
        <v/>
      </c>
      <c r="BM37" t="str">
        <f>IFERROR(INDEX(_names_lookup!$B:$B,MATCH(BK37,_names_lookup!$A:$A,0)),"")</f>
        <v/>
      </c>
      <c r="BS37" t="str">
        <f t="shared" si="10"/>
        <v/>
      </c>
    </row>
    <row r="38" spans="15:71" x14ac:dyDescent="0.2">
      <c r="O38" t="str">
        <f>IFERROR(INDEX(_courses_lookup!$C:$C,MATCH(K38&amp;L38,_courses_lookup!$E:$E,0)),"")</f>
        <v/>
      </c>
      <c r="P38" t="str">
        <f>IFERROR(INDEX(_courses_lookup!$D:$D,MATCH(K38&amp;L38,_courses_lookup!$E:$E,0)),"")</f>
        <v/>
      </c>
      <c r="AG38" t="str">
        <f t="shared" si="0"/>
        <v/>
      </c>
      <c r="AI38" t="str">
        <f t="shared" si="1"/>
        <v/>
      </c>
      <c r="AL38" t="str">
        <f t="shared" si="2"/>
        <v/>
      </c>
      <c r="AN38" t="str">
        <f t="shared" si="3"/>
        <v/>
      </c>
      <c r="AQ38" t="str">
        <f t="shared" si="4"/>
        <v/>
      </c>
      <c r="AR38" t="str">
        <f t="shared" si="5"/>
        <v/>
      </c>
      <c r="AS38" t="str">
        <f t="shared" si="6"/>
        <v/>
      </c>
      <c r="AT38" t="str">
        <f t="shared" si="7"/>
        <v/>
      </c>
      <c r="BG38" t="str">
        <f t="shared" si="8"/>
        <v/>
      </c>
      <c r="BH38" t="str">
        <f t="shared" si="9"/>
        <v/>
      </c>
      <c r="BL38" t="str">
        <f>IFERROR(INDEX(_names_lookup!$C:$C,MATCH(BK38,_names_lookup!$A:$A,0)),"")</f>
        <v/>
      </c>
      <c r="BM38" t="str">
        <f>IFERROR(INDEX(_names_lookup!$B:$B,MATCH(BK38,_names_lookup!$A:$A,0)),"")</f>
        <v/>
      </c>
      <c r="BS38" t="str">
        <f t="shared" si="10"/>
        <v/>
      </c>
    </row>
    <row r="39" spans="15:71" x14ac:dyDescent="0.2">
      <c r="O39" t="str">
        <f>IFERROR(INDEX(_courses_lookup!$C:$C,MATCH(K39&amp;L39,_courses_lookup!$E:$E,0)),"")</f>
        <v/>
      </c>
      <c r="P39" t="str">
        <f>IFERROR(INDEX(_courses_lookup!$D:$D,MATCH(K39&amp;L39,_courses_lookup!$E:$E,0)),"")</f>
        <v/>
      </c>
      <c r="AG39" t="str">
        <f t="shared" si="0"/>
        <v/>
      </c>
      <c r="AI39" t="str">
        <f t="shared" si="1"/>
        <v/>
      </c>
      <c r="AL39" t="str">
        <f t="shared" si="2"/>
        <v/>
      </c>
      <c r="AN39" t="str">
        <f t="shared" si="3"/>
        <v/>
      </c>
      <c r="AQ39" t="str">
        <f t="shared" si="4"/>
        <v/>
      </c>
      <c r="AR39" t="str">
        <f t="shared" si="5"/>
        <v/>
      </c>
      <c r="AS39" t="str">
        <f t="shared" si="6"/>
        <v/>
      </c>
      <c r="AT39" t="str">
        <f t="shared" si="7"/>
        <v/>
      </c>
      <c r="BG39" t="str">
        <f t="shared" si="8"/>
        <v/>
      </c>
      <c r="BH39" t="str">
        <f t="shared" si="9"/>
        <v/>
      </c>
      <c r="BL39" t="str">
        <f>IFERROR(INDEX(_names_lookup!$C:$C,MATCH(BK39,_names_lookup!$A:$A,0)),"")</f>
        <v/>
      </c>
      <c r="BM39" t="str">
        <f>IFERROR(INDEX(_names_lookup!$B:$B,MATCH(BK39,_names_lookup!$A:$A,0)),"")</f>
        <v/>
      </c>
      <c r="BS39" t="str">
        <f t="shared" si="10"/>
        <v/>
      </c>
    </row>
    <row r="40" spans="15:71" x14ac:dyDescent="0.2">
      <c r="O40" t="str">
        <f>IFERROR(INDEX(_courses_lookup!$C:$C,MATCH(K40&amp;L40,_courses_lookup!$E:$E,0)),"")</f>
        <v/>
      </c>
      <c r="P40" t="str">
        <f>IFERROR(INDEX(_courses_lookup!$D:$D,MATCH(K40&amp;L40,_courses_lookup!$E:$E,0)),"")</f>
        <v/>
      </c>
      <c r="AG40" t="str">
        <f t="shared" si="0"/>
        <v/>
      </c>
      <c r="AI40" t="str">
        <f t="shared" si="1"/>
        <v/>
      </c>
      <c r="AL40" t="str">
        <f t="shared" si="2"/>
        <v/>
      </c>
      <c r="AN40" t="str">
        <f t="shared" si="3"/>
        <v/>
      </c>
      <c r="AQ40" t="str">
        <f t="shared" si="4"/>
        <v/>
      </c>
      <c r="AR40" t="str">
        <f t="shared" si="5"/>
        <v/>
      </c>
      <c r="AS40" t="str">
        <f t="shared" si="6"/>
        <v/>
      </c>
      <c r="AT40" t="str">
        <f t="shared" si="7"/>
        <v/>
      </c>
      <c r="BG40" t="str">
        <f t="shared" si="8"/>
        <v/>
      </c>
      <c r="BH40" t="str">
        <f t="shared" si="9"/>
        <v/>
      </c>
      <c r="BL40" t="str">
        <f>IFERROR(INDEX(_names_lookup!$C:$C,MATCH(BK40,_names_lookup!$A:$A,0)),"")</f>
        <v/>
      </c>
      <c r="BM40" t="str">
        <f>IFERROR(INDEX(_names_lookup!$B:$B,MATCH(BK40,_names_lookup!$A:$A,0)),"")</f>
        <v/>
      </c>
      <c r="BS40" t="str">
        <f t="shared" si="10"/>
        <v/>
      </c>
    </row>
    <row r="41" spans="15:71" x14ac:dyDescent="0.2">
      <c r="O41" t="str">
        <f>IFERROR(INDEX(_courses_lookup!$C:$C,MATCH(K41&amp;L41,_courses_lookup!$E:$E,0)),"")</f>
        <v/>
      </c>
      <c r="P41" t="str">
        <f>IFERROR(INDEX(_courses_lookup!$D:$D,MATCH(K41&amp;L41,_courses_lookup!$E:$E,0)),"")</f>
        <v/>
      </c>
      <c r="AG41" t="str">
        <f t="shared" si="0"/>
        <v/>
      </c>
      <c r="AI41" t="str">
        <f t="shared" si="1"/>
        <v/>
      </c>
      <c r="AL41" t="str">
        <f t="shared" si="2"/>
        <v/>
      </c>
      <c r="AN41" t="str">
        <f t="shared" si="3"/>
        <v/>
      </c>
      <c r="AQ41" t="str">
        <f t="shared" si="4"/>
        <v/>
      </c>
      <c r="AR41" t="str">
        <f t="shared" si="5"/>
        <v/>
      </c>
      <c r="AS41" t="str">
        <f t="shared" si="6"/>
        <v/>
      </c>
      <c r="AT41" t="str">
        <f t="shared" si="7"/>
        <v/>
      </c>
      <c r="BG41" t="str">
        <f t="shared" si="8"/>
        <v/>
      </c>
      <c r="BH41" t="str">
        <f t="shared" si="9"/>
        <v/>
      </c>
      <c r="BL41" t="str">
        <f>IFERROR(INDEX(_names_lookup!$C:$C,MATCH(BK41,_names_lookup!$A:$A,0)),"")</f>
        <v/>
      </c>
      <c r="BM41" t="str">
        <f>IFERROR(INDEX(_names_lookup!$B:$B,MATCH(BK41,_names_lookup!$A:$A,0)),"")</f>
        <v/>
      </c>
      <c r="BS41" t="str">
        <f t="shared" si="10"/>
        <v/>
      </c>
    </row>
    <row r="42" spans="15:71" x14ac:dyDescent="0.2">
      <c r="O42" t="str">
        <f>IFERROR(INDEX(_courses_lookup!$C:$C,MATCH(K42&amp;L42,_courses_lookup!$E:$E,0)),"")</f>
        <v/>
      </c>
      <c r="P42" t="str">
        <f>IFERROR(INDEX(_courses_lookup!$D:$D,MATCH(K42&amp;L42,_courses_lookup!$E:$E,0)),"")</f>
        <v/>
      </c>
      <c r="AG42" t="str">
        <f t="shared" si="0"/>
        <v/>
      </c>
      <c r="AI42" t="str">
        <f t="shared" si="1"/>
        <v/>
      </c>
      <c r="AL42" t="str">
        <f t="shared" si="2"/>
        <v/>
      </c>
      <c r="AN42" t="str">
        <f t="shared" si="3"/>
        <v/>
      </c>
      <c r="AQ42" t="str">
        <f t="shared" si="4"/>
        <v/>
      </c>
      <c r="AR42" t="str">
        <f t="shared" si="5"/>
        <v/>
      </c>
      <c r="AS42" t="str">
        <f t="shared" si="6"/>
        <v/>
      </c>
      <c r="AT42" t="str">
        <f t="shared" si="7"/>
        <v/>
      </c>
      <c r="BG42" t="str">
        <f t="shared" si="8"/>
        <v/>
      </c>
      <c r="BH42" t="str">
        <f t="shared" si="9"/>
        <v/>
      </c>
      <c r="BL42" t="str">
        <f>IFERROR(INDEX(_names_lookup!$C:$C,MATCH(BK42,_names_lookup!$A:$A,0)),"")</f>
        <v/>
      </c>
      <c r="BM42" t="str">
        <f>IFERROR(INDEX(_names_lookup!$B:$B,MATCH(BK42,_names_lookup!$A:$A,0)),"")</f>
        <v/>
      </c>
      <c r="BS42" t="str">
        <f t="shared" si="10"/>
        <v/>
      </c>
    </row>
    <row r="43" spans="15:71" x14ac:dyDescent="0.2">
      <c r="O43" t="str">
        <f>IFERROR(INDEX(_courses_lookup!$C:$C,MATCH(K43&amp;L43,_courses_lookup!$E:$E,0)),"")</f>
        <v/>
      </c>
      <c r="P43" t="str">
        <f>IFERROR(INDEX(_courses_lookup!$D:$D,MATCH(K43&amp;L43,_courses_lookup!$E:$E,0)),"")</f>
        <v/>
      </c>
      <c r="AG43" t="str">
        <f t="shared" si="0"/>
        <v/>
      </c>
      <c r="AI43" t="str">
        <f t="shared" si="1"/>
        <v/>
      </c>
      <c r="AL43" t="str">
        <f t="shared" si="2"/>
        <v/>
      </c>
      <c r="AN43" t="str">
        <f t="shared" si="3"/>
        <v/>
      </c>
      <c r="AQ43" t="str">
        <f t="shared" si="4"/>
        <v/>
      </c>
      <c r="AR43" t="str">
        <f t="shared" si="5"/>
        <v/>
      </c>
      <c r="AS43" t="str">
        <f t="shared" si="6"/>
        <v/>
      </c>
      <c r="AT43" t="str">
        <f t="shared" si="7"/>
        <v/>
      </c>
      <c r="BG43" t="str">
        <f t="shared" si="8"/>
        <v/>
      </c>
      <c r="BH43" t="str">
        <f t="shared" si="9"/>
        <v/>
      </c>
      <c r="BL43" t="str">
        <f>IFERROR(INDEX(_names_lookup!$C:$C,MATCH(BK43,_names_lookup!$A:$A,0)),"")</f>
        <v/>
      </c>
      <c r="BM43" t="str">
        <f>IFERROR(INDEX(_names_lookup!$B:$B,MATCH(BK43,_names_lookup!$A:$A,0)),"")</f>
        <v/>
      </c>
      <c r="BS43" t="str">
        <f t="shared" si="10"/>
        <v/>
      </c>
    </row>
    <row r="44" spans="15:71" x14ac:dyDescent="0.2">
      <c r="O44" t="str">
        <f>IFERROR(INDEX(_courses_lookup!$C:$C,MATCH(K44&amp;L44,_courses_lookup!$E:$E,0)),"")</f>
        <v/>
      </c>
      <c r="P44" t="str">
        <f>IFERROR(INDEX(_courses_lookup!$D:$D,MATCH(K44&amp;L44,_courses_lookup!$E:$E,0)),"")</f>
        <v/>
      </c>
      <c r="AG44" t="str">
        <f t="shared" si="0"/>
        <v/>
      </c>
      <c r="AI44" t="str">
        <f t="shared" si="1"/>
        <v/>
      </c>
      <c r="AL44" t="str">
        <f t="shared" si="2"/>
        <v/>
      </c>
      <c r="AN44" t="str">
        <f t="shared" si="3"/>
        <v/>
      </c>
      <c r="AQ44" t="str">
        <f t="shared" si="4"/>
        <v/>
      </c>
      <c r="AR44" t="str">
        <f t="shared" si="5"/>
        <v/>
      </c>
      <c r="AS44" t="str">
        <f t="shared" si="6"/>
        <v/>
      </c>
      <c r="AT44" t="str">
        <f t="shared" si="7"/>
        <v/>
      </c>
      <c r="BG44" t="str">
        <f t="shared" si="8"/>
        <v/>
      </c>
      <c r="BH44" t="str">
        <f t="shared" si="9"/>
        <v/>
      </c>
      <c r="BL44" t="str">
        <f>IFERROR(INDEX(_names_lookup!$C:$C,MATCH(BK44,_names_lookup!$A:$A,0)),"")</f>
        <v/>
      </c>
      <c r="BM44" t="str">
        <f>IFERROR(INDEX(_names_lookup!$B:$B,MATCH(BK44,_names_lookup!$A:$A,0)),"")</f>
        <v/>
      </c>
      <c r="BS44" t="str">
        <f t="shared" si="10"/>
        <v/>
      </c>
    </row>
    <row r="45" spans="15:71" x14ac:dyDescent="0.2">
      <c r="O45" t="str">
        <f>IFERROR(INDEX(_courses_lookup!$C:$C,MATCH(K45&amp;L45,_courses_lookup!$E:$E,0)),"")</f>
        <v/>
      </c>
      <c r="P45" t="str">
        <f>IFERROR(INDEX(_courses_lookup!$D:$D,MATCH(K45&amp;L45,_courses_lookup!$E:$E,0)),"")</f>
        <v/>
      </c>
      <c r="AG45" t="str">
        <f t="shared" si="0"/>
        <v/>
      </c>
      <c r="AI45" t="str">
        <f t="shared" si="1"/>
        <v/>
      </c>
      <c r="AL45" t="str">
        <f t="shared" si="2"/>
        <v/>
      </c>
      <c r="AN45" t="str">
        <f t="shared" si="3"/>
        <v/>
      </c>
      <c r="AQ45" t="str">
        <f t="shared" si="4"/>
        <v/>
      </c>
      <c r="AR45" t="str">
        <f t="shared" si="5"/>
        <v/>
      </c>
      <c r="AS45" t="str">
        <f t="shared" si="6"/>
        <v/>
      </c>
      <c r="AT45" t="str">
        <f t="shared" si="7"/>
        <v/>
      </c>
      <c r="BG45" t="str">
        <f t="shared" si="8"/>
        <v/>
      </c>
      <c r="BH45" t="str">
        <f t="shared" si="9"/>
        <v/>
      </c>
      <c r="BL45" t="str">
        <f>IFERROR(INDEX(_names_lookup!$C:$C,MATCH(BK45,_names_lookup!$A:$A,0)),"")</f>
        <v/>
      </c>
      <c r="BM45" t="str">
        <f>IFERROR(INDEX(_names_lookup!$B:$B,MATCH(BK45,_names_lookup!$A:$A,0)),"")</f>
        <v/>
      </c>
      <c r="BS45" t="str">
        <f t="shared" si="10"/>
        <v/>
      </c>
    </row>
    <row r="46" spans="15:71" x14ac:dyDescent="0.2">
      <c r="O46" t="str">
        <f>IFERROR(INDEX(_courses_lookup!$C:$C,MATCH(K46&amp;L46,_courses_lookup!$E:$E,0)),"")</f>
        <v/>
      </c>
      <c r="P46" t="str">
        <f>IFERROR(INDEX(_courses_lookup!$D:$D,MATCH(K46&amp;L46,_courses_lookup!$E:$E,0)),"")</f>
        <v/>
      </c>
      <c r="AG46" t="str">
        <f t="shared" si="0"/>
        <v/>
      </c>
      <c r="AI46" t="str">
        <f t="shared" si="1"/>
        <v/>
      </c>
      <c r="AL46" t="str">
        <f t="shared" si="2"/>
        <v/>
      </c>
      <c r="AN46" t="str">
        <f t="shared" si="3"/>
        <v/>
      </c>
      <c r="AQ46" t="str">
        <f t="shared" si="4"/>
        <v/>
      </c>
      <c r="AR46" t="str">
        <f t="shared" si="5"/>
        <v/>
      </c>
      <c r="AS46" t="str">
        <f t="shared" si="6"/>
        <v/>
      </c>
      <c r="AT46" t="str">
        <f t="shared" si="7"/>
        <v/>
      </c>
      <c r="BG46" t="str">
        <f t="shared" si="8"/>
        <v/>
      </c>
      <c r="BH46" t="str">
        <f t="shared" si="9"/>
        <v/>
      </c>
      <c r="BL46" t="str">
        <f>IFERROR(INDEX(_names_lookup!$C:$C,MATCH(BK46,_names_lookup!$A:$A,0)),"")</f>
        <v/>
      </c>
      <c r="BM46" t="str">
        <f>IFERROR(INDEX(_names_lookup!$B:$B,MATCH(BK46,_names_lookup!$A:$A,0)),"")</f>
        <v/>
      </c>
      <c r="BS46" t="str">
        <f t="shared" si="10"/>
        <v/>
      </c>
    </row>
    <row r="47" spans="15:71" x14ac:dyDescent="0.2">
      <c r="O47" t="str">
        <f>IFERROR(INDEX(_courses_lookup!$C:$C,MATCH(K47&amp;L47,_courses_lookup!$E:$E,0)),"")</f>
        <v/>
      </c>
      <c r="P47" t="str">
        <f>IFERROR(INDEX(_courses_lookup!$D:$D,MATCH(K47&amp;L47,_courses_lookup!$E:$E,0)),"")</f>
        <v/>
      </c>
      <c r="AG47" t="str">
        <f t="shared" si="0"/>
        <v/>
      </c>
      <c r="AI47" t="str">
        <f t="shared" si="1"/>
        <v/>
      </c>
      <c r="AL47" t="str">
        <f t="shared" si="2"/>
        <v/>
      </c>
      <c r="AN47" t="str">
        <f t="shared" si="3"/>
        <v/>
      </c>
      <c r="AQ47" t="str">
        <f t="shared" si="4"/>
        <v/>
      </c>
      <c r="AR47" t="str">
        <f t="shared" si="5"/>
        <v/>
      </c>
      <c r="AS47" t="str">
        <f t="shared" si="6"/>
        <v/>
      </c>
      <c r="AT47" t="str">
        <f t="shared" si="7"/>
        <v/>
      </c>
      <c r="BG47" t="str">
        <f t="shared" si="8"/>
        <v/>
      </c>
      <c r="BH47" t="str">
        <f t="shared" si="9"/>
        <v/>
      </c>
      <c r="BL47" t="str">
        <f>IFERROR(INDEX(_names_lookup!$C:$C,MATCH(BK47,_names_lookup!$A:$A,0)),"")</f>
        <v/>
      </c>
      <c r="BM47" t="str">
        <f>IFERROR(INDEX(_names_lookup!$B:$B,MATCH(BK47,_names_lookup!$A:$A,0)),"")</f>
        <v/>
      </c>
      <c r="BS47" t="str">
        <f t="shared" si="10"/>
        <v/>
      </c>
    </row>
    <row r="48" spans="15:71" x14ac:dyDescent="0.2">
      <c r="O48" t="str">
        <f>IFERROR(INDEX(_courses_lookup!$C:$C,MATCH(K48&amp;L48,_courses_lookup!$E:$E,0)),"")</f>
        <v/>
      </c>
      <c r="P48" t="str">
        <f>IFERROR(INDEX(_courses_lookup!$D:$D,MATCH(K48&amp;L48,_courses_lookup!$E:$E,0)),"")</f>
        <v/>
      </c>
      <c r="AG48" t="str">
        <f t="shared" si="0"/>
        <v/>
      </c>
      <c r="AI48" t="str">
        <f t="shared" si="1"/>
        <v/>
      </c>
      <c r="AL48" t="str">
        <f t="shared" si="2"/>
        <v/>
      </c>
      <c r="AN48" t="str">
        <f t="shared" si="3"/>
        <v/>
      </c>
      <c r="AQ48" t="str">
        <f t="shared" si="4"/>
        <v/>
      </c>
      <c r="AR48" t="str">
        <f t="shared" si="5"/>
        <v/>
      </c>
      <c r="AS48" t="str">
        <f t="shared" si="6"/>
        <v/>
      </c>
      <c r="AT48" t="str">
        <f t="shared" si="7"/>
        <v/>
      </c>
      <c r="BG48" t="str">
        <f t="shared" si="8"/>
        <v/>
      </c>
      <c r="BH48" t="str">
        <f t="shared" si="9"/>
        <v/>
      </c>
      <c r="BL48" t="str">
        <f>IFERROR(INDEX(_names_lookup!$C:$C,MATCH(BK48,_names_lookup!$A:$A,0)),"")</f>
        <v/>
      </c>
      <c r="BM48" t="str">
        <f>IFERROR(INDEX(_names_lookup!$B:$B,MATCH(BK48,_names_lookup!$A:$A,0)),"")</f>
        <v/>
      </c>
      <c r="BS48" t="str">
        <f t="shared" si="10"/>
        <v/>
      </c>
    </row>
    <row r="49" spans="15:71" x14ac:dyDescent="0.2">
      <c r="O49" t="str">
        <f>IFERROR(INDEX(_courses_lookup!$C:$C,MATCH(K49&amp;L49,_courses_lookup!$E:$E,0)),"")</f>
        <v/>
      </c>
      <c r="P49" t="str">
        <f>IFERROR(INDEX(_courses_lookup!$D:$D,MATCH(K49&amp;L49,_courses_lookup!$E:$E,0)),"")</f>
        <v/>
      </c>
      <c r="AG49" t="str">
        <f t="shared" si="0"/>
        <v/>
      </c>
      <c r="AI49" t="str">
        <f t="shared" si="1"/>
        <v/>
      </c>
      <c r="AL49" t="str">
        <f t="shared" si="2"/>
        <v/>
      </c>
      <c r="AN49" t="str">
        <f t="shared" si="3"/>
        <v/>
      </c>
      <c r="AQ49" t="str">
        <f t="shared" si="4"/>
        <v/>
      </c>
      <c r="AR49" t="str">
        <f t="shared" si="5"/>
        <v/>
      </c>
      <c r="AS49" t="str">
        <f t="shared" si="6"/>
        <v/>
      </c>
      <c r="AT49" t="str">
        <f t="shared" si="7"/>
        <v/>
      </c>
      <c r="BG49" t="str">
        <f t="shared" si="8"/>
        <v/>
      </c>
      <c r="BH49" t="str">
        <f t="shared" si="9"/>
        <v/>
      </c>
      <c r="BL49" t="str">
        <f>IFERROR(INDEX(_names_lookup!$C:$C,MATCH(BK49,_names_lookup!$A:$A,0)),"")</f>
        <v/>
      </c>
      <c r="BM49" t="str">
        <f>IFERROR(INDEX(_names_lookup!$B:$B,MATCH(BK49,_names_lookup!$A:$A,0)),"")</f>
        <v/>
      </c>
      <c r="BS49" t="str">
        <f t="shared" si="10"/>
        <v/>
      </c>
    </row>
    <row r="50" spans="15:71" x14ac:dyDescent="0.2">
      <c r="O50" t="str">
        <f>IFERROR(INDEX(_courses_lookup!$C:$C,MATCH(K50&amp;L50,_courses_lookup!$E:$E,0)),"")</f>
        <v/>
      </c>
      <c r="P50" t="str">
        <f>IFERROR(INDEX(_courses_lookup!$D:$D,MATCH(K50&amp;L50,_courses_lookup!$E:$E,0)),"")</f>
        <v/>
      </c>
      <c r="AG50" t="str">
        <f t="shared" si="0"/>
        <v/>
      </c>
      <c r="AI50" t="str">
        <f t="shared" si="1"/>
        <v/>
      </c>
      <c r="AL50" t="str">
        <f t="shared" si="2"/>
        <v/>
      </c>
      <c r="AN50" t="str">
        <f t="shared" si="3"/>
        <v/>
      </c>
      <c r="AQ50" t="str">
        <f t="shared" si="4"/>
        <v/>
      </c>
      <c r="AR50" t="str">
        <f t="shared" si="5"/>
        <v/>
      </c>
      <c r="AS50" t="str">
        <f t="shared" si="6"/>
        <v/>
      </c>
      <c r="AT50" t="str">
        <f t="shared" si="7"/>
        <v/>
      </c>
      <c r="BG50" t="str">
        <f t="shared" si="8"/>
        <v/>
      </c>
      <c r="BH50" t="str">
        <f t="shared" si="9"/>
        <v/>
      </c>
      <c r="BL50" t="str">
        <f>IFERROR(INDEX(_names_lookup!$C:$C,MATCH(BK50,_names_lookup!$A:$A,0)),"")</f>
        <v/>
      </c>
      <c r="BM50" t="str">
        <f>IFERROR(INDEX(_names_lookup!$B:$B,MATCH(BK50,_names_lookup!$A:$A,0)),"")</f>
        <v/>
      </c>
      <c r="BS50" t="str">
        <f t="shared" si="10"/>
        <v/>
      </c>
    </row>
    <row r="51" spans="15:71" x14ac:dyDescent="0.2">
      <c r="O51" t="str">
        <f>IFERROR(INDEX(_courses_lookup!$C:$C,MATCH(K51&amp;L51,_courses_lookup!$E:$E,0)),"")</f>
        <v/>
      </c>
      <c r="P51" t="str">
        <f>IFERROR(INDEX(_courses_lookup!$D:$D,MATCH(K51&amp;L51,_courses_lookup!$E:$E,0)),"")</f>
        <v/>
      </c>
      <c r="AG51" t="str">
        <f t="shared" si="0"/>
        <v/>
      </c>
      <c r="AI51" t="str">
        <f t="shared" si="1"/>
        <v/>
      </c>
      <c r="AL51" t="str">
        <f t="shared" si="2"/>
        <v/>
      </c>
      <c r="AN51" t="str">
        <f t="shared" si="3"/>
        <v/>
      </c>
      <c r="AQ51" t="str">
        <f t="shared" si="4"/>
        <v/>
      </c>
      <c r="AR51" t="str">
        <f t="shared" si="5"/>
        <v/>
      </c>
      <c r="AS51" t="str">
        <f t="shared" si="6"/>
        <v/>
      </c>
      <c r="AT51" t="str">
        <f t="shared" si="7"/>
        <v/>
      </c>
      <c r="BG51" t="str">
        <f t="shared" si="8"/>
        <v/>
      </c>
      <c r="BH51" t="str">
        <f t="shared" si="9"/>
        <v/>
      </c>
      <c r="BL51" t="str">
        <f>IFERROR(INDEX(_names_lookup!$C:$C,MATCH(BK51,_names_lookup!$A:$A,0)),"")</f>
        <v/>
      </c>
      <c r="BM51" t="str">
        <f>IFERROR(INDEX(_names_lookup!$B:$B,MATCH(BK51,_names_lookup!$A:$A,0)),"")</f>
        <v/>
      </c>
      <c r="BS51" t="str">
        <f t="shared" si="10"/>
        <v/>
      </c>
    </row>
    <row r="52" spans="15:71" x14ac:dyDescent="0.2">
      <c r="O52" t="str">
        <f>IFERROR(INDEX(_courses_lookup!$C:$C,MATCH(K52&amp;L52,_courses_lookup!$E:$E,0)),"")</f>
        <v/>
      </c>
      <c r="P52" t="str">
        <f>IFERROR(INDEX(_courses_lookup!$D:$D,MATCH(K52&amp;L52,_courses_lookup!$E:$E,0)),"")</f>
        <v/>
      </c>
      <c r="AG52" t="str">
        <f t="shared" si="0"/>
        <v/>
      </c>
      <c r="AI52" t="str">
        <f t="shared" si="1"/>
        <v/>
      </c>
      <c r="AL52" t="str">
        <f t="shared" si="2"/>
        <v/>
      </c>
      <c r="AN52" t="str">
        <f t="shared" si="3"/>
        <v/>
      </c>
      <c r="AQ52" t="str">
        <f t="shared" si="4"/>
        <v/>
      </c>
      <c r="AR52" t="str">
        <f t="shared" si="5"/>
        <v/>
      </c>
      <c r="AS52" t="str">
        <f t="shared" si="6"/>
        <v/>
      </c>
      <c r="AT52" t="str">
        <f t="shared" si="7"/>
        <v/>
      </c>
      <c r="BG52" t="str">
        <f t="shared" si="8"/>
        <v/>
      </c>
      <c r="BH52" t="str">
        <f t="shared" si="9"/>
        <v/>
      </c>
      <c r="BL52" t="str">
        <f>IFERROR(INDEX(_names_lookup!$C:$C,MATCH(BK52,_names_lookup!$A:$A,0)),"")</f>
        <v/>
      </c>
      <c r="BM52" t="str">
        <f>IFERROR(INDEX(_names_lookup!$B:$B,MATCH(BK52,_names_lookup!$A:$A,0)),"")</f>
        <v/>
      </c>
      <c r="BS52" t="str">
        <f t="shared" si="10"/>
        <v/>
      </c>
    </row>
    <row r="53" spans="15:71" x14ac:dyDescent="0.2">
      <c r="O53" t="str">
        <f>IFERROR(INDEX(_courses_lookup!$C:$C,MATCH(K53&amp;L53,_courses_lookup!$E:$E,0)),"")</f>
        <v/>
      </c>
      <c r="P53" t="str">
        <f>IFERROR(INDEX(_courses_lookup!$D:$D,MATCH(K53&amp;L53,_courses_lookup!$E:$E,0)),"")</f>
        <v/>
      </c>
      <c r="AG53" t="str">
        <f t="shared" si="0"/>
        <v/>
      </c>
      <c r="AI53" t="str">
        <f t="shared" si="1"/>
        <v/>
      </c>
      <c r="AL53" t="str">
        <f t="shared" si="2"/>
        <v/>
      </c>
      <c r="AN53" t="str">
        <f t="shared" si="3"/>
        <v/>
      </c>
      <c r="AQ53" t="str">
        <f t="shared" si="4"/>
        <v/>
      </c>
      <c r="AR53" t="str">
        <f t="shared" si="5"/>
        <v/>
      </c>
      <c r="AS53" t="str">
        <f t="shared" si="6"/>
        <v/>
      </c>
      <c r="AT53" t="str">
        <f t="shared" si="7"/>
        <v/>
      </c>
      <c r="BG53" t="str">
        <f t="shared" si="8"/>
        <v/>
      </c>
      <c r="BH53" t="str">
        <f t="shared" si="9"/>
        <v/>
      </c>
      <c r="BL53" t="str">
        <f>IFERROR(INDEX(_names_lookup!$C:$C,MATCH(BK53,_names_lookup!$A:$A,0)),"")</f>
        <v/>
      </c>
      <c r="BM53" t="str">
        <f>IFERROR(INDEX(_names_lookup!$B:$B,MATCH(BK53,_names_lookup!$A:$A,0)),"")</f>
        <v/>
      </c>
      <c r="BS53" t="str">
        <f t="shared" si="10"/>
        <v/>
      </c>
    </row>
    <row r="54" spans="15:71" x14ac:dyDescent="0.2">
      <c r="O54" t="str">
        <f>IFERROR(INDEX(_courses_lookup!$C:$C,MATCH(K54&amp;L54,_courses_lookup!$E:$E,0)),"")</f>
        <v/>
      </c>
      <c r="P54" t="str">
        <f>IFERROR(INDEX(_courses_lookup!$D:$D,MATCH(K54&amp;L54,_courses_lookup!$E:$E,0)),"")</f>
        <v/>
      </c>
      <c r="AG54" t="str">
        <f t="shared" si="0"/>
        <v/>
      </c>
      <c r="AI54" t="str">
        <f t="shared" si="1"/>
        <v/>
      </c>
      <c r="AL54" t="str">
        <f t="shared" si="2"/>
        <v/>
      </c>
      <c r="AN54" t="str">
        <f t="shared" si="3"/>
        <v/>
      </c>
      <c r="AQ54" t="str">
        <f t="shared" si="4"/>
        <v/>
      </c>
      <c r="AR54" t="str">
        <f t="shared" si="5"/>
        <v/>
      </c>
      <c r="AS54" t="str">
        <f t="shared" si="6"/>
        <v/>
      </c>
      <c r="AT54" t="str">
        <f t="shared" si="7"/>
        <v/>
      </c>
      <c r="BG54" t="str">
        <f t="shared" si="8"/>
        <v/>
      </c>
      <c r="BH54" t="str">
        <f t="shared" si="9"/>
        <v/>
      </c>
      <c r="BL54" t="str">
        <f>IFERROR(INDEX(_names_lookup!$C:$C,MATCH(BK54,_names_lookup!$A:$A,0)),"")</f>
        <v/>
      </c>
      <c r="BM54" t="str">
        <f>IFERROR(INDEX(_names_lookup!$B:$B,MATCH(BK54,_names_lookup!$A:$A,0)),"")</f>
        <v/>
      </c>
      <c r="BS54" t="str">
        <f t="shared" si="10"/>
        <v/>
      </c>
    </row>
    <row r="55" spans="15:71" x14ac:dyDescent="0.2">
      <c r="O55" t="str">
        <f>IFERROR(INDEX(_courses_lookup!$C:$C,MATCH(K55&amp;L55,_courses_lookup!$E:$E,0)),"")</f>
        <v/>
      </c>
      <c r="P55" t="str">
        <f>IFERROR(INDEX(_courses_lookup!$D:$D,MATCH(K55&amp;L55,_courses_lookup!$E:$E,0)),"")</f>
        <v/>
      </c>
      <c r="AG55" t="str">
        <f t="shared" si="0"/>
        <v/>
      </c>
      <c r="AI55" t="str">
        <f t="shared" si="1"/>
        <v/>
      </c>
      <c r="AL55" t="str">
        <f t="shared" si="2"/>
        <v/>
      </c>
      <c r="AN55" t="str">
        <f t="shared" si="3"/>
        <v/>
      </c>
      <c r="AQ55" t="str">
        <f t="shared" si="4"/>
        <v/>
      </c>
      <c r="AR55" t="str">
        <f t="shared" si="5"/>
        <v/>
      </c>
      <c r="AS55" t="str">
        <f t="shared" si="6"/>
        <v/>
      </c>
      <c r="AT55" t="str">
        <f t="shared" si="7"/>
        <v/>
      </c>
      <c r="BG55" t="str">
        <f t="shared" si="8"/>
        <v/>
      </c>
      <c r="BH55" t="str">
        <f t="shared" si="9"/>
        <v/>
      </c>
      <c r="BL55" t="str">
        <f>IFERROR(INDEX(_names_lookup!$C:$C,MATCH(BK55,_names_lookup!$A:$A,0)),"")</f>
        <v/>
      </c>
      <c r="BM55" t="str">
        <f>IFERROR(INDEX(_names_lookup!$B:$B,MATCH(BK55,_names_lookup!$A:$A,0)),"")</f>
        <v/>
      </c>
      <c r="BS55" t="str">
        <f t="shared" si="10"/>
        <v/>
      </c>
    </row>
    <row r="56" spans="15:71" x14ac:dyDescent="0.2">
      <c r="O56" t="str">
        <f>IFERROR(INDEX(_courses_lookup!$C:$C,MATCH(K56&amp;L56,_courses_lookup!$E:$E,0)),"")</f>
        <v/>
      </c>
      <c r="P56" t="str">
        <f>IFERROR(INDEX(_courses_lookup!$D:$D,MATCH(K56&amp;L56,_courses_lookup!$E:$E,0)),"")</f>
        <v/>
      </c>
      <c r="AG56" t="str">
        <f t="shared" si="0"/>
        <v/>
      </c>
      <c r="AI56" t="str">
        <f t="shared" si="1"/>
        <v/>
      </c>
      <c r="AL56" t="str">
        <f t="shared" si="2"/>
        <v/>
      </c>
      <c r="AN56" t="str">
        <f t="shared" si="3"/>
        <v/>
      </c>
      <c r="AQ56" t="str">
        <f t="shared" si="4"/>
        <v/>
      </c>
      <c r="AR56" t="str">
        <f t="shared" si="5"/>
        <v/>
      </c>
      <c r="AS56" t="str">
        <f t="shared" si="6"/>
        <v/>
      </c>
      <c r="AT56" t="str">
        <f t="shared" si="7"/>
        <v/>
      </c>
      <c r="BG56" t="str">
        <f t="shared" si="8"/>
        <v/>
      </c>
      <c r="BH56" t="str">
        <f t="shared" si="9"/>
        <v/>
      </c>
      <c r="BL56" t="str">
        <f>IFERROR(INDEX(_names_lookup!$C:$C,MATCH(BK56,_names_lookup!$A:$A,0)),"")</f>
        <v/>
      </c>
      <c r="BM56" t="str">
        <f>IFERROR(INDEX(_names_lookup!$B:$B,MATCH(BK56,_names_lookup!$A:$A,0)),"")</f>
        <v/>
      </c>
      <c r="BS56" t="str">
        <f t="shared" si="10"/>
        <v/>
      </c>
    </row>
    <row r="57" spans="15:71" x14ac:dyDescent="0.2">
      <c r="O57" t="str">
        <f>IFERROR(INDEX(_courses_lookup!$C:$C,MATCH(K57&amp;L57,_courses_lookup!$E:$E,0)),"")</f>
        <v/>
      </c>
      <c r="P57" t="str">
        <f>IFERROR(INDEX(_courses_lookup!$D:$D,MATCH(K57&amp;L57,_courses_lookup!$E:$E,0)),"")</f>
        <v/>
      </c>
      <c r="AG57" t="str">
        <f t="shared" si="0"/>
        <v/>
      </c>
      <c r="AI57" t="str">
        <f t="shared" si="1"/>
        <v/>
      </c>
      <c r="AL57" t="str">
        <f t="shared" si="2"/>
        <v/>
      </c>
      <c r="AN57" t="str">
        <f t="shared" si="3"/>
        <v/>
      </c>
      <c r="AQ57" t="str">
        <f t="shared" si="4"/>
        <v/>
      </c>
      <c r="AR57" t="str">
        <f t="shared" si="5"/>
        <v/>
      </c>
      <c r="AS57" t="str">
        <f t="shared" si="6"/>
        <v/>
      </c>
      <c r="AT57" t="str">
        <f t="shared" si="7"/>
        <v/>
      </c>
      <c r="BG57" t="str">
        <f t="shared" si="8"/>
        <v/>
      </c>
      <c r="BH57" t="str">
        <f t="shared" si="9"/>
        <v/>
      </c>
      <c r="BL57" t="str">
        <f>IFERROR(INDEX(_names_lookup!$C:$C,MATCH(BK57,_names_lookup!$A:$A,0)),"")</f>
        <v/>
      </c>
      <c r="BM57" t="str">
        <f>IFERROR(INDEX(_names_lookup!$B:$B,MATCH(BK57,_names_lookup!$A:$A,0)),"")</f>
        <v/>
      </c>
      <c r="BS57" t="str">
        <f t="shared" si="10"/>
        <v/>
      </c>
    </row>
    <row r="58" spans="15:71" x14ac:dyDescent="0.2">
      <c r="O58" t="str">
        <f>IFERROR(INDEX(_courses_lookup!$C:$C,MATCH(K58&amp;L58,_courses_lookup!$E:$E,0)),"")</f>
        <v/>
      </c>
      <c r="P58" t="str">
        <f>IFERROR(INDEX(_courses_lookup!$D:$D,MATCH(K58&amp;L58,_courses_lookup!$E:$E,0)),"")</f>
        <v/>
      </c>
      <c r="AG58" t="str">
        <f t="shared" si="0"/>
        <v/>
      </c>
      <c r="AI58" t="str">
        <f t="shared" si="1"/>
        <v/>
      </c>
      <c r="AL58" t="str">
        <f t="shared" si="2"/>
        <v/>
      </c>
      <c r="AN58" t="str">
        <f t="shared" si="3"/>
        <v/>
      </c>
      <c r="AQ58" t="str">
        <f t="shared" si="4"/>
        <v/>
      </c>
      <c r="AR58" t="str">
        <f t="shared" si="5"/>
        <v/>
      </c>
      <c r="AS58" t="str">
        <f t="shared" si="6"/>
        <v/>
      </c>
      <c r="AT58" t="str">
        <f t="shared" si="7"/>
        <v/>
      </c>
      <c r="BG58" t="str">
        <f t="shared" si="8"/>
        <v/>
      </c>
      <c r="BH58" t="str">
        <f t="shared" si="9"/>
        <v/>
      </c>
      <c r="BL58" t="str">
        <f>IFERROR(INDEX(_names_lookup!$C:$C,MATCH(BK58,_names_lookup!$A:$A,0)),"")</f>
        <v/>
      </c>
      <c r="BM58" t="str">
        <f>IFERROR(INDEX(_names_lookup!$B:$B,MATCH(BK58,_names_lookup!$A:$A,0)),"")</f>
        <v/>
      </c>
      <c r="BS58" t="str">
        <f t="shared" si="10"/>
        <v/>
      </c>
    </row>
    <row r="59" spans="15:71" x14ac:dyDescent="0.2">
      <c r="O59" t="str">
        <f>IFERROR(INDEX(_courses_lookup!$C:$C,MATCH(K59&amp;L59,_courses_lookup!$E:$E,0)),"")</f>
        <v/>
      </c>
      <c r="P59" t="str">
        <f>IFERROR(INDEX(_courses_lookup!$D:$D,MATCH(K59&amp;L59,_courses_lookup!$E:$E,0)),"")</f>
        <v/>
      </c>
      <c r="AG59" t="str">
        <f t="shared" si="0"/>
        <v/>
      </c>
      <c r="AI59" t="str">
        <f t="shared" si="1"/>
        <v/>
      </c>
      <c r="AL59" t="str">
        <f t="shared" si="2"/>
        <v/>
      </c>
      <c r="AN59" t="str">
        <f t="shared" si="3"/>
        <v/>
      </c>
      <c r="AQ59" t="str">
        <f t="shared" si="4"/>
        <v/>
      </c>
      <c r="AR59" t="str">
        <f t="shared" si="5"/>
        <v/>
      </c>
      <c r="AS59" t="str">
        <f t="shared" si="6"/>
        <v/>
      </c>
      <c r="AT59" t="str">
        <f t="shared" si="7"/>
        <v/>
      </c>
      <c r="BG59" t="str">
        <f t="shared" si="8"/>
        <v/>
      </c>
      <c r="BH59" t="str">
        <f t="shared" si="9"/>
        <v/>
      </c>
      <c r="BL59" t="str">
        <f>IFERROR(INDEX(_names_lookup!$C:$C,MATCH(BK59,_names_lookup!$A:$A,0)),"")</f>
        <v/>
      </c>
      <c r="BM59" t="str">
        <f>IFERROR(INDEX(_names_lookup!$B:$B,MATCH(BK59,_names_lookup!$A:$A,0)),"")</f>
        <v/>
      </c>
      <c r="BS59" t="str">
        <f t="shared" si="10"/>
        <v/>
      </c>
    </row>
    <row r="60" spans="15:71" x14ac:dyDescent="0.2">
      <c r="O60" t="str">
        <f>IFERROR(INDEX(_courses_lookup!$C:$C,MATCH(K60&amp;L60,_courses_lookup!$E:$E,0)),"")</f>
        <v/>
      </c>
      <c r="P60" t="str">
        <f>IFERROR(INDEX(_courses_lookup!$D:$D,MATCH(K60&amp;L60,_courses_lookup!$E:$E,0)),"")</f>
        <v/>
      </c>
      <c r="AG60" t="str">
        <f t="shared" si="0"/>
        <v/>
      </c>
      <c r="AI60" t="str">
        <f t="shared" si="1"/>
        <v/>
      </c>
      <c r="AL60" t="str">
        <f t="shared" si="2"/>
        <v/>
      </c>
      <c r="AN60" t="str">
        <f t="shared" si="3"/>
        <v/>
      </c>
      <c r="AQ60" t="str">
        <f t="shared" si="4"/>
        <v/>
      </c>
      <c r="AR60" t="str">
        <f t="shared" si="5"/>
        <v/>
      </c>
      <c r="AS60" t="str">
        <f t="shared" si="6"/>
        <v/>
      </c>
      <c r="AT60" t="str">
        <f t="shared" si="7"/>
        <v/>
      </c>
      <c r="BG60" t="str">
        <f t="shared" si="8"/>
        <v/>
      </c>
      <c r="BH60" t="str">
        <f t="shared" si="9"/>
        <v/>
      </c>
      <c r="BL60" t="str">
        <f>IFERROR(INDEX(_names_lookup!$C:$C,MATCH(BK60,_names_lookup!$A:$A,0)),"")</f>
        <v/>
      </c>
      <c r="BM60" t="str">
        <f>IFERROR(INDEX(_names_lookup!$B:$B,MATCH(BK60,_names_lookup!$A:$A,0)),"")</f>
        <v/>
      </c>
      <c r="BS60" t="str">
        <f t="shared" si="10"/>
        <v/>
      </c>
    </row>
    <row r="61" spans="15:71" x14ac:dyDescent="0.2">
      <c r="O61" t="str">
        <f>IFERROR(INDEX(_courses_lookup!$C:$C,MATCH(K61&amp;L61,_courses_lookup!$E:$E,0)),"")</f>
        <v/>
      </c>
      <c r="P61" t="str">
        <f>IFERROR(INDEX(_courses_lookup!$D:$D,MATCH(K61&amp;L61,_courses_lookup!$E:$E,0)),"")</f>
        <v/>
      </c>
      <c r="AG61" t="str">
        <f t="shared" si="0"/>
        <v/>
      </c>
      <c r="AI61" t="str">
        <f t="shared" si="1"/>
        <v/>
      </c>
      <c r="AL61" t="str">
        <f t="shared" si="2"/>
        <v/>
      </c>
      <c r="AN61" t="str">
        <f t="shared" si="3"/>
        <v/>
      </c>
      <c r="AQ61" t="str">
        <f t="shared" si="4"/>
        <v/>
      </c>
      <c r="AR61" t="str">
        <f t="shared" si="5"/>
        <v/>
      </c>
      <c r="AS61" t="str">
        <f t="shared" si="6"/>
        <v/>
      </c>
      <c r="AT61" t="str">
        <f t="shared" si="7"/>
        <v/>
      </c>
      <c r="BG61" t="str">
        <f t="shared" si="8"/>
        <v/>
      </c>
      <c r="BH61" t="str">
        <f t="shared" si="9"/>
        <v/>
      </c>
      <c r="BL61" t="str">
        <f>IFERROR(INDEX(_names_lookup!$C:$C,MATCH(BK61,_names_lookup!$A:$A,0)),"")</f>
        <v/>
      </c>
      <c r="BM61" t="str">
        <f>IFERROR(INDEX(_names_lookup!$B:$B,MATCH(BK61,_names_lookup!$A:$A,0)),"")</f>
        <v/>
      </c>
      <c r="BS61" t="str">
        <f t="shared" si="10"/>
        <v/>
      </c>
    </row>
    <row r="62" spans="15:71" x14ac:dyDescent="0.2">
      <c r="O62" t="str">
        <f>IFERROR(INDEX(_courses_lookup!$C:$C,MATCH(K62&amp;L62,_courses_lookup!$E:$E,0)),"")</f>
        <v/>
      </c>
      <c r="P62" t="str">
        <f>IFERROR(INDEX(_courses_lookup!$D:$D,MATCH(K62&amp;L62,_courses_lookup!$E:$E,0)),"")</f>
        <v/>
      </c>
      <c r="AG62" t="str">
        <f t="shared" si="0"/>
        <v/>
      </c>
      <c r="AI62" t="str">
        <f t="shared" si="1"/>
        <v/>
      </c>
      <c r="AL62" t="str">
        <f t="shared" si="2"/>
        <v/>
      </c>
      <c r="AN62" t="str">
        <f t="shared" si="3"/>
        <v/>
      </c>
      <c r="AQ62" t="str">
        <f t="shared" si="4"/>
        <v/>
      </c>
      <c r="AR62" t="str">
        <f t="shared" si="5"/>
        <v/>
      </c>
      <c r="AS62" t="str">
        <f t="shared" si="6"/>
        <v/>
      </c>
      <c r="AT62" t="str">
        <f t="shared" si="7"/>
        <v/>
      </c>
      <c r="BG62" t="str">
        <f t="shared" si="8"/>
        <v/>
      </c>
      <c r="BH62" t="str">
        <f t="shared" si="9"/>
        <v/>
      </c>
      <c r="BL62" t="str">
        <f>IFERROR(INDEX(_names_lookup!$C:$C,MATCH(BK62,_names_lookup!$A:$A,0)),"")</f>
        <v/>
      </c>
      <c r="BM62" t="str">
        <f>IFERROR(INDEX(_names_lookup!$B:$B,MATCH(BK62,_names_lookup!$A:$A,0)),"")</f>
        <v/>
      </c>
      <c r="BS62" t="str">
        <f t="shared" si="10"/>
        <v/>
      </c>
    </row>
    <row r="63" spans="15:71" x14ac:dyDescent="0.2">
      <c r="O63" t="str">
        <f>IFERROR(INDEX(_courses_lookup!$C:$C,MATCH(K63&amp;L63,_courses_lookup!$E:$E,0)),"")</f>
        <v/>
      </c>
      <c r="P63" t="str">
        <f>IFERROR(INDEX(_courses_lookup!$D:$D,MATCH(K63&amp;L63,_courses_lookup!$E:$E,0)),"")</f>
        <v/>
      </c>
      <c r="AG63" t="str">
        <f t="shared" si="0"/>
        <v/>
      </c>
      <c r="AI63" t="str">
        <f t="shared" si="1"/>
        <v/>
      </c>
      <c r="AL63" t="str">
        <f t="shared" si="2"/>
        <v/>
      </c>
      <c r="AN63" t="str">
        <f t="shared" si="3"/>
        <v/>
      </c>
      <c r="AQ63" t="str">
        <f t="shared" si="4"/>
        <v/>
      </c>
      <c r="AR63" t="str">
        <f t="shared" si="5"/>
        <v/>
      </c>
      <c r="AS63" t="str">
        <f t="shared" si="6"/>
        <v/>
      </c>
      <c r="AT63" t="str">
        <f t="shared" si="7"/>
        <v/>
      </c>
      <c r="BG63" t="str">
        <f t="shared" si="8"/>
        <v/>
      </c>
      <c r="BH63" t="str">
        <f t="shared" si="9"/>
        <v/>
      </c>
      <c r="BL63" t="str">
        <f>IFERROR(INDEX(_names_lookup!$C:$C,MATCH(BK63,_names_lookup!$A:$A,0)),"")</f>
        <v/>
      </c>
      <c r="BM63" t="str">
        <f>IFERROR(INDEX(_names_lookup!$B:$B,MATCH(BK63,_names_lookup!$A:$A,0)),"")</f>
        <v/>
      </c>
      <c r="BS63" t="str">
        <f t="shared" si="10"/>
        <v/>
      </c>
    </row>
    <row r="64" spans="15:71" x14ac:dyDescent="0.2">
      <c r="O64" t="str">
        <f>IFERROR(INDEX(_courses_lookup!$C:$C,MATCH(K64&amp;L64,_courses_lookup!$E:$E,0)),"")</f>
        <v/>
      </c>
      <c r="P64" t="str">
        <f>IFERROR(INDEX(_courses_lookup!$D:$D,MATCH(K64&amp;L64,_courses_lookup!$E:$E,0)),"")</f>
        <v/>
      </c>
      <c r="AG64" t="str">
        <f t="shared" si="0"/>
        <v/>
      </c>
      <c r="AI64" t="str">
        <f t="shared" si="1"/>
        <v/>
      </c>
      <c r="AL64" t="str">
        <f t="shared" si="2"/>
        <v/>
      </c>
      <c r="AN64" t="str">
        <f t="shared" si="3"/>
        <v/>
      </c>
      <c r="AQ64" t="str">
        <f t="shared" si="4"/>
        <v/>
      </c>
      <c r="AR64" t="str">
        <f t="shared" si="5"/>
        <v/>
      </c>
      <c r="AS64" t="str">
        <f t="shared" si="6"/>
        <v/>
      </c>
      <c r="AT64" t="str">
        <f t="shared" si="7"/>
        <v/>
      </c>
      <c r="BG64" t="str">
        <f t="shared" si="8"/>
        <v/>
      </c>
      <c r="BH64" t="str">
        <f t="shared" si="9"/>
        <v/>
      </c>
      <c r="BL64" t="str">
        <f>IFERROR(INDEX(_names_lookup!$C:$C,MATCH(BK64,_names_lookup!$A:$A,0)),"")</f>
        <v/>
      </c>
      <c r="BM64" t="str">
        <f>IFERROR(INDEX(_names_lookup!$B:$B,MATCH(BK64,_names_lookup!$A:$A,0)),"")</f>
        <v/>
      </c>
      <c r="BS64" t="str">
        <f t="shared" si="10"/>
        <v/>
      </c>
    </row>
    <row r="65" spans="15:71" x14ac:dyDescent="0.2">
      <c r="O65" t="str">
        <f>IFERROR(INDEX(_courses_lookup!$C:$C,MATCH(K65&amp;L65,_courses_lookup!$E:$E,0)),"")</f>
        <v/>
      </c>
      <c r="P65" t="str">
        <f>IFERROR(INDEX(_courses_lookup!$D:$D,MATCH(K65&amp;L65,_courses_lookup!$E:$E,0)),"")</f>
        <v/>
      </c>
      <c r="AG65" t="str">
        <f t="shared" si="0"/>
        <v/>
      </c>
      <c r="AI65" t="str">
        <f t="shared" si="1"/>
        <v/>
      </c>
      <c r="AL65" t="str">
        <f t="shared" si="2"/>
        <v/>
      </c>
      <c r="AN65" t="str">
        <f t="shared" si="3"/>
        <v/>
      </c>
      <c r="AQ65" t="str">
        <f t="shared" si="4"/>
        <v/>
      </c>
      <c r="AR65" t="str">
        <f t="shared" si="5"/>
        <v/>
      </c>
      <c r="AS65" t="str">
        <f t="shared" si="6"/>
        <v/>
      </c>
      <c r="AT65" t="str">
        <f t="shared" si="7"/>
        <v/>
      </c>
      <c r="BG65" t="str">
        <f t="shared" si="8"/>
        <v/>
      </c>
      <c r="BH65" t="str">
        <f t="shared" si="9"/>
        <v/>
      </c>
      <c r="BL65" t="str">
        <f>IFERROR(INDEX(_names_lookup!$C:$C,MATCH(BK65,_names_lookup!$A:$A,0)),"")</f>
        <v/>
      </c>
      <c r="BM65" t="str">
        <f>IFERROR(INDEX(_names_lookup!$B:$B,MATCH(BK65,_names_lookup!$A:$A,0)),"")</f>
        <v/>
      </c>
      <c r="BS65" t="str">
        <f t="shared" si="10"/>
        <v/>
      </c>
    </row>
    <row r="66" spans="15:71" x14ac:dyDescent="0.2">
      <c r="O66" t="str">
        <f>IFERROR(INDEX(_courses_lookup!$C:$C,MATCH(K66&amp;L66,_courses_lookup!$E:$E,0)),"")</f>
        <v/>
      </c>
      <c r="P66" t="str">
        <f>IFERROR(INDEX(_courses_lookup!$D:$D,MATCH(K66&amp;L66,_courses_lookup!$E:$E,0)),"")</f>
        <v/>
      </c>
      <c r="AG66" t="str">
        <f t="shared" ref="AG66:AG129" si="11">IF(AND(AE66&lt;&gt;"",AF66&lt;&gt;""),ROUNDUP((AF66-AE66)/7,0),"")</f>
        <v/>
      </c>
      <c r="AI66" t="str">
        <f t="shared" ref="AI66:AI129" si="12">IFERROR(IF(AG66*AH66=0,"",AG66*AH66),"")</f>
        <v/>
      </c>
      <c r="AL66" t="str">
        <f t="shared" ref="AL66:AL129" si="13">IF(AND(AJ66&lt;&gt;"",AK66&lt;&gt;""),ROUNDUP((AK66-AJ66)/7,0),"")</f>
        <v/>
      </c>
      <c r="AN66" t="str">
        <f t="shared" ref="AN66:AN129" si="14">IFERROR(IF(AL66*AM66=0,"",AL66*AM66),"")</f>
        <v/>
      </c>
      <c r="AQ66" t="str">
        <f t="shared" ref="AQ66:AQ129" si="15">IF(AND(AO66&lt;&gt;"",AP66&lt;&gt;""),ROUNDUP((AP66-AO66)/7,0),"")</f>
        <v/>
      </c>
      <c r="AR66" t="str">
        <f t="shared" ref="AR66:AR129" si="16">IFERROR(IF((AU66-(AI66+AN66))/AQ66=0,"",ROUNDUP((AU66-(AI66+AN66))/AQ66,0)),"")</f>
        <v/>
      </c>
      <c r="AS66" t="str">
        <f t="shared" ref="AS66:AS129" si="17">IFERROR(IF((AU66-(AI66+AN66))=0,"",(AU66-(AI66+AN66))),"")</f>
        <v/>
      </c>
      <c r="AT66" t="str">
        <f t="shared" ref="AT66:AT129" si="18">IF(AND(AG66="",AQ66=""),AL66,IF(SUM(AG66,AL66,AQ66)=0,"",SUM(AG66,AL66,AQ66)))</f>
        <v/>
      </c>
      <c r="BG66" t="str">
        <f t="shared" ref="BG66:BG129" si="19">IF(AD66="","",YEAR(AD66)+IF(MONTH(AD66)&gt;=5,1,0))</f>
        <v/>
      </c>
      <c r="BH66" t="str">
        <f t="shared" ref="BH66:BH129" si="20">IF(AD66="","",IF(AND(MONTH(AD66)=8,DAY(AD66)&gt;=15),"Fall",IF(MONTH(AD66)&gt;8,"Fall",IF(MONTH(AD66)=5,"Summer",IF(MONTH(AD66)=1,"Spring","")))))</f>
        <v/>
      </c>
      <c r="BL66" t="str">
        <f>IFERROR(INDEX(_names_lookup!$C:$C,MATCH(BK66,_names_lookup!$A:$A,0)),"")</f>
        <v/>
      </c>
      <c r="BM66" t="str">
        <f>IFERROR(INDEX(_names_lookup!$B:$B,MATCH(BK66,_names_lookup!$A:$A,0)),"")</f>
        <v/>
      </c>
      <c r="BS66" t="str">
        <f t="shared" ref="BS66:BS129" si="21">IFERROR(IF(BR66*AA66=0,"",BR66*AA66),"")</f>
        <v/>
      </c>
    </row>
    <row r="67" spans="15:71" x14ac:dyDescent="0.2">
      <c r="O67" t="str">
        <f>IFERROR(INDEX(_courses_lookup!$C:$C,MATCH(K67&amp;L67,_courses_lookup!$E:$E,0)),"")</f>
        <v/>
      </c>
      <c r="P67" t="str">
        <f>IFERROR(INDEX(_courses_lookup!$D:$D,MATCH(K67&amp;L67,_courses_lookup!$E:$E,0)),"")</f>
        <v/>
      </c>
      <c r="AG67" t="str">
        <f t="shared" si="11"/>
        <v/>
      </c>
      <c r="AI67" t="str">
        <f t="shared" si="12"/>
        <v/>
      </c>
      <c r="AL67" t="str">
        <f t="shared" si="13"/>
        <v/>
      </c>
      <c r="AN67" t="str">
        <f t="shared" si="14"/>
        <v/>
      </c>
      <c r="AQ67" t="str">
        <f t="shared" si="15"/>
        <v/>
      </c>
      <c r="AR67" t="str">
        <f t="shared" si="16"/>
        <v/>
      </c>
      <c r="AS67" t="str">
        <f t="shared" si="17"/>
        <v/>
      </c>
      <c r="AT67" t="str">
        <f t="shared" si="18"/>
        <v/>
      </c>
      <c r="BG67" t="str">
        <f t="shared" si="19"/>
        <v/>
      </c>
      <c r="BH67" t="str">
        <f t="shared" si="20"/>
        <v/>
      </c>
      <c r="BL67" t="str">
        <f>IFERROR(INDEX(_names_lookup!$C:$C,MATCH(BK67,_names_lookup!$A:$A,0)),"")</f>
        <v/>
      </c>
      <c r="BM67" t="str">
        <f>IFERROR(INDEX(_names_lookup!$B:$B,MATCH(BK67,_names_lookup!$A:$A,0)),"")</f>
        <v/>
      </c>
      <c r="BS67" t="str">
        <f t="shared" si="21"/>
        <v/>
      </c>
    </row>
    <row r="68" spans="15:71" x14ac:dyDescent="0.2">
      <c r="O68" t="str">
        <f>IFERROR(INDEX(_courses_lookup!$C:$C,MATCH(K68&amp;L68,_courses_lookup!$E:$E,0)),"")</f>
        <v/>
      </c>
      <c r="P68" t="str">
        <f>IFERROR(INDEX(_courses_lookup!$D:$D,MATCH(K68&amp;L68,_courses_lookup!$E:$E,0)),"")</f>
        <v/>
      </c>
      <c r="AG68" t="str">
        <f t="shared" si="11"/>
        <v/>
      </c>
      <c r="AI68" t="str">
        <f t="shared" si="12"/>
        <v/>
      </c>
      <c r="AL68" t="str">
        <f t="shared" si="13"/>
        <v/>
      </c>
      <c r="AN68" t="str">
        <f t="shared" si="14"/>
        <v/>
      </c>
      <c r="AQ68" t="str">
        <f t="shared" si="15"/>
        <v/>
      </c>
      <c r="AR68" t="str">
        <f t="shared" si="16"/>
        <v/>
      </c>
      <c r="AS68" t="str">
        <f t="shared" si="17"/>
        <v/>
      </c>
      <c r="AT68" t="str">
        <f t="shared" si="18"/>
        <v/>
      </c>
      <c r="BG68" t="str">
        <f t="shared" si="19"/>
        <v/>
      </c>
      <c r="BH68" t="str">
        <f t="shared" si="20"/>
        <v/>
      </c>
      <c r="BL68" t="str">
        <f>IFERROR(INDEX(_names_lookup!$C:$C,MATCH(BK68,_names_lookup!$A:$A,0)),"")</f>
        <v/>
      </c>
      <c r="BM68" t="str">
        <f>IFERROR(INDEX(_names_lookup!$B:$B,MATCH(BK68,_names_lookup!$A:$A,0)),"")</f>
        <v/>
      </c>
      <c r="BS68" t="str">
        <f t="shared" si="21"/>
        <v/>
      </c>
    </row>
    <row r="69" spans="15:71" x14ac:dyDescent="0.2">
      <c r="O69" t="str">
        <f>IFERROR(INDEX(_courses_lookup!$C:$C,MATCH(K69&amp;L69,_courses_lookup!$E:$E,0)),"")</f>
        <v/>
      </c>
      <c r="P69" t="str">
        <f>IFERROR(INDEX(_courses_lookup!$D:$D,MATCH(K69&amp;L69,_courses_lookup!$E:$E,0)),"")</f>
        <v/>
      </c>
      <c r="AG69" t="str">
        <f t="shared" si="11"/>
        <v/>
      </c>
      <c r="AI69" t="str">
        <f t="shared" si="12"/>
        <v/>
      </c>
      <c r="AL69" t="str">
        <f t="shared" si="13"/>
        <v/>
      </c>
      <c r="AN69" t="str">
        <f t="shared" si="14"/>
        <v/>
      </c>
      <c r="AQ69" t="str">
        <f t="shared" si="15"/>
        <v/>
      </c>
      <c r="AR69" t="str">
        <f t="shared" si="16"/>
        <v/>
      </c>
      <c r="AS69" t="str">
        <f t="shared" si="17"/>
        <v/>
      </c>
      <c r="AT69" t="str">
        <f t="shared" si="18"/>
        <v/>
      </c>
      <c r="BG69" t="str">
        <f t="shared" si="19"/>
        <v/>
      </c>
      <c r="BH69" t="str">
        <f t="shared" si="20"/>
        <v/>
      </c>
      <c r="BL69" t="str">
        <f>IFERROR(INDEX(_names_lookup!$C:$C,MATCH(BK69,_names_lookup!$A:$A,0)),"")</f>
        <v/>
      </c>
      <c r="BM69" t="str">
        <f>IFERROR(INDEX(_names_lookup!$B:$B,MATCH(BK69,_names_lookup!$A:$A,0)),"")</f>
        <v/>
      </c>
      <c r="BS69" t="str">
        <f t="shared" si="21"/>
        <v/>
      </c>
    </row>
    <row r="70" spans="15:71" x14ac:dyDescent="0.2">
      <c r="O70" t="str">
        <f>IFERROR(INDEX(_courses_lookup!$C:$C,MATCH(K70&amp;L70,_courses_lookup!$E:$E,0)),"")</f>
        <v/>
      </c>
      <c r="P70" t="str">
        <f>IFERROR(INDEX(_courses_lookup!$D:$D,MATCH(K70&amp;L70,_courses_lookup!$E:$E,0)),"")</f>
        <v/>
      </c>
      <c r="AG70" t="str">
        <f t="shared" si="11"/>
        <v/>
      </c>
      <c r="AI70" t="str">
        <f t="shared" si="12"/>
        <v/>
      </c>
      <c r="AL70" t="str">
        <f t="shared" si="13"/>
        <v/>
      </c>
      <c r="AN70" t="str">
        <f t="shared" si="14"/>
        <v/>
      </c>
      <c r="AQ70" t="str">
        <f t="shared" si="15"/>
        <v/>
      </c>
      <c r="AR70" t="str">
        <f t="shared" si="16"/>
        <v/>
      </c>
      <c r="AS70" t="str">
        <f t="shared" si="17"/>
        <v/>
      </c>
      <c r="AT70" t="str">
        <f t="shared" si="18"/>
        <v/>
      </c>
      <c r="BG70" t="str">
        <f t="shared" si="19"/>
        <v/>
      </c>
      <c r="BH70" t="str">
        <f t="shared" si="20"/>
        <v/>
      </c>
      <c r="BL70" t="str">
        <f>IFERROR(INDEX(_names_lookup!$C:$C,MATCH(BK70,_names_lookup!$A:$A,0)),"")</f>
        <v/>
      </c>
      <c r="BM70" t="str">
        <f>IFERROR(INDEX(_names_lookup!$B:$B,MATCH(BK70,_names_lookup!$A:$A,0)),"")</f>
        <v/>
      </c>
      <c r="BS70" t="str">
        <f t="shared" si="21"/>
        <v/>
      </c>
    </row>
    <row r="71" spans="15:71" x14ac:dyDescent="0.2">
      <c r="O71" t="str">
        <f>IFERROR(INDEX(_courses_lookup!$C:$C,MATCH(K71&amp;L71,_courses_lookup!$E:$E,0)),"")</f>
        <v/>
      </c>
      <c r="P71" t="str">
        <f>IFERROR(INDEX(_courses_lookup!$D:$D,MATCH(K71&amp;L71,_courses_lookup!$E:$E,0)),"")</f>
        <v/>
      </c>
      <c r="AG71" t="str">
        <f t="shared" si="11"/>
        <v/>
      </c>
      <c r="AI71" t="str">
        <f t="shared" si="12"/>
        <v/>
      </c>
      <c r="AL71" t="str">
        <f t="shared" si="13"/>
        <v/>
      </c>
      <c r="AN71" t="str">
        <f t="shared" si="14"/>
        <v/>
      </c>
      <c r="AQ71" t="str">
        <f t="shared" si="15"/>
        <v/>
      </c>
      <c r="AR71" t="str">
        <f t="shared" si="16"/>
        <v/>
      </c>
      <c r="AS71" t="str">
        <f t="shared" si="17"/>
        <v/>
      </c>
      <c r="AT71" t="str">
        <f t="shared" si="18"/>
        <v/>
      </c>
      <c r="BG71" t="str">
        <f t="shared" si="19"/>
        <v/>
      </c>
      <c r="BH71" t="str">
        <f t="shared" si="20"/>
        <v/>
      </c>
      <c r="BL71" t="str">
        <f>IFERROR(INDEX(_names_lookup!$C:$C,MATCH(BK71,_names_lookup!$A:$A,0)),"")</f>
        <v/>
      </c>
      <c r="BM71" t="str">
        <f>IFERROR(INDEX(_names_lookup!$B:$B,MATCH(BK71,_names_lookup!$A:$A,0)),"")</f>
        <v/>
      </c>
      <c r="BS71" t="str">
        <f t="shared" si="21"/>
        <v/>
      </c>
    </row>
    <row r="72" spans="15:71" x14ac:dyDescent="0.2">
      <c r="O72" t="str">
        <f>IFERROR(INDEX(_courses_lookup!$C:$C,MATCH(K72&amp;L72,_courses_lookup!$E:$E,0)),"")</f>
        <v/>
      </c>
      <c r="P72" t="str">
        <f>IFERROR(INDEX(_courses_lookup!$D:$D,MATCH(K72&amp;L72,_courses_lookup!$E:$E,0)),"")</f>
        <v/>
      </c>
      <c r="AG72" t="str">
        <f t="shared" si="11"/>
        <v/>
      </c>
      <c r="AI72" t="str">
        <f t="shared" si="12"/>
        <v/>
      </c>
      <c r="AL72" t="str">
        <f t="shared" si="13"/>
        <v/>
      </c>
      <c r="AN72" t="str">
        <f t="shared" si="14"/>
        <v/>
      </c>
      <c r="AQ72" t="str">
        <f t="shared" si="15"/>
        <v/>
      </c>
      <c r="AR72" t="str">
        <f t="shared" si="16"/>
        <v/>
      </c>
      <c r="AS72" t="str">
        <f t="shared" si="17"/>
        <v/>
      </c>
      <c r="AT72" t="str">
        <f t="shared" si="18"/>
        <v/>
      </c>
      <c r="BG72" t="str">
        <f t="shared" si="19"/>
        <v/>
      </c>
      <c r="BH72" t="str">
        <f t="shared" si="20"/>
        <v/>
      </c>
      <c r="BL72" t="str">
        <f>IFERROR(INDEX(_names_lookup!$C:$C,MATCH(BK72,_names_lookup!$A:$A,0)),"")</f>
        <v/>
      </c>
      <c r="BM72" t="str">
        <f>IFERROR(INDEX(_names_lookup!$B:$B,MATCH(BK72,_names_lookup!$A:$A,0)),"")</f>
        <v/>
      </c>
      <c r="BS72" t="str">
        <f t="shared" si="21"/>
        <v/>
      </c>
    </row>
    <row r="73" spans="15:71" x14ac:dyDescent="0.2">
      <c r="O73" t="str">
        <f>IFERROR(INDEX(_courses_lookup!$C:$C,MATCH(K73&amp;L73,_courses_lookup!$E:$E,0)),"")</f>
        <v/>
      </c>
      <c r="P73" t="str">
        <f>IFERROR(INDEX(_courses_lookup!$D:$D,MATCH(K73&amp;L73,_courses_lookup!$E:$E,0)),"")</f>
        <v/>
      </c>
      <c r="AG73" t="str">
        <f t="shared" si="11"/>
        <v/>
      </c>
      <c r="AI73" t="str">
        <f t="shared" si="12"/>
        <v/>
      </c>
      <c r="AL73" t="str">
        <f t="shared" si="13"/>
        <v/>
      </c>
      <c r="AN73" t="str">
        <f t="shared" si="14"/>
        <v/>
      </c>
      <c r="AQ73" t="str">
        <f t="shared" si="15"/>
        <v/>
      </c>
      <c r="AR73" t="str">
        <f t="shared" si="16"/>
        <v/>
      </c>
      <c r="AS73" t="str">
        <f t="shared" si="17"/>
        <v/>
      </c>
      <c r="AT73" t="str">
        <f t="shared" si="18"/>
        <v/>
      </c>
      <c r="BG73" t="str">
        <f t="shared" si="19"/>
        <v/>
      </c>
      <c r="BH73" t="str">
        <f t="shared" si="20"/>
        <v/>
      </c>
      <c r="BL73" t="str">
        <f>IFERROR(INDEX(_names_lookup!$C:$C,MATCH(BK73,_names_lookup!$A:$A,0)),"")</f>
        <v/>
      </c>
      <c r="BM73" t="str">
        <f>IFERROR(INDEX(_names_lookup!$B:$B,MATCH(BK73,_names_lookup!$A:$A,0)),"")</f>
        <v/>
      </c>
      <c r="BS73" t="str">
        <f t="shared" si="21"/>
        <v/>
      </c>
    </row>
    <row r="74" spans="15:71" x14ac:dyDescent="0.2">
      <c r="O74" t="str">
        <f>IFERROR(INDEX(_courses_lookup!$C:$C,MATCH(K74&amp;L74,_courses_lookup!$E:$E,0)),"")</f>
        <v/>
      </c>
      <c r="P74" t="str">
        <f>IFERROR(INDEX(_courses_lookup!$D:$D,MATCH(K74&amp;L74,_courses_lookup!$E:$E,0)),"")</f>
        <v/>
      </c>
      <c r="AG74" t="str">
        <f t="shared" si="11"/>
        <v/>
      </c>
      <c r="AI74" t="str">
        <f t="shared" si="12"/>
        <v/>
      </c>
      <c r="AL74" t="str">
        <f t="shared" si="13"/>
        <v/>
      </c>
      <c r="AN74" t="str">
        <f t="shared" si="14"/>
        <v/>
      </c>
      <c r="AQ74" t="str">
        <f t="shared" si="15"/>
        <v/>
      </c>
      <c r="AR74" t="str">
        <f t="shared" si="16"/>
        <v/>
      </c>
      <c r="AS74" t="str">
        <f t="shared" si="17"/>
        <v/>
      </c>
      <c r="AT74" t="str">
        <f t="shared" si="18"/>
        <v/>
      </c>
      <c r="BG74" t="str">
        <f t="shared" si="19"/>
        <v/>
      </c>
      <c r="BH74" t="str">
        <f t="shared" si="20"/>
        <v/>
      </c>
      <c r="BL74" t="str">
        <f>IFERROR(INDEX(_names_lookup!$C:$C,MATCH(BK74,_names_lookup!$A:$A,0)),"")</f>
        <v/>
      </c>
      <c r="BM74" t="str">
        <f>IFERROR(INDEX(_names_lookup!$B:$B,MATCH(BK74,_names_lookup!$A:$A,0)),"")</f>
        <v/>
      </c>
      <c r="BS74" t="str">
        <f t="shared" si="21"/>
        <v/>
      </c>
    </row>
    <row r="75" spans="15:71" x14ac:dyDescent="0.2">
      <c r="O75" t="str">
        <f>IFERROR(INDEX(_courses_lookup!$C:$C,MATCH(K75&amp;L75,_courses_lookup!$E:$E,0)),"")</f>
        <v/>
      </c>
      <c r="P75" t="str">
        <f>IFERROR(INDEX(_courses_lookup!$D:$D,MATCH(K75&amp;L75,_courses_lookup!$E:$E,0)),"")</f>
        <v/>
      </c>
      <c r="AG75" t="str">
        <f t="shared" si="11"/>
        <v/>
      </c>
      <c r="AI75" t="str">
        <f t="shared" si="12"/>
        <v/>
      </c>
      <c r="AL75" t="str">
        <f t="shared" si="13"/>
        <v/>
      </c>
      <c r="AN75" t="str">
        <f t="shared" si="14"/>
        <v/>
      </c>
      <c r="AQ75" t="str">
        <f t="shared" si="15"/>
        <v/>
      </c>
      <c r="AR75" t="str">
        <f t="shared" si="16"/>
        <v/>
      </c>
      <c r="AS75" t="str">
        <f t="shared" si="17"/>
        <v/>
      </c>
      <c r="AT75" t="str">
        <f t="shared" si="18"/>
        <v/>
      </c>
      <c r="BG75" t="str">
        <f t="shared" si="19"/>
        <v/>
      </c>
      <c r="BH75" t="str">
        <f t="shared" si="20"/>
        <v/>
      </c>
      <c r="BL75" t="str">
        <f>IFERROR(INDEX(_names_lookup!$C:$C,MATCH(BK75,_names_lookup!$A:$A,0)),"")</f>
        <v/>
      </c>
      <c r="BM75" t="str">
        <f>IFERROR(INDEX(_names_lookup!$B:$B,MATCH(BK75,_names_lookup!$A:$A,0)),"")</f>
        <v/>
      </c>
      <c r="BS75" t="str">
        <f t="shared" si="21"/>
        <v/>
      </c>
    </row>
    <row r="76" spans="15:71" x14ac:dyDescent="0.2">
      <c r="O76" t="str">
        <f>IFERROR(INDEX(_courses_lookup!$C:$C,MATCH(K76&amp;L76,_courses_lookup!$E:$E,0)),"")</f>
        <v/>
      </c>
      <c r="P76" t="str">
        <f>IFERROR(INDEX(_courses_lookup!$D:$D,MATCH(K76&amp;L76,_courses_lookup!$E:$E,0)),"")</f>
        <v/>
      </c>
      <c r="AG76" t="str">
        <f t="shared" si="11"/>
        <v/>
      </c>
      <c r="AI76" t="str">
        <f t="shared" si="12"/>
        <v/>
      </c>
      <c r="AL76" t="str">
        <f t="shared" si="13"/>
        <v/>
      </c>
      <c r="AN76" t="str">
        <f t="shared" si="14"/>
        <v/>
      </c>
      <c r="AQ76" t="str">
        <f t="shared" si="15"/>
        <v/>
      </c>
      <c r="AR76" t="str">
        <f t="shared" si="16"/>
        <v/>
      </c>
      <c r="AS76" t="str">
        <f t="shared" si="17"/>
        <v/>
      </c>
      <c r="AT76" t="str">
        <f t="shared" si="18"/>
        <v/>
      </c>
      <c r="BG76" t="str">
        <f t="shared" si="19"/>
        <v/>
      </c>
      <c r="BH76" t="str">
        <f t="shared" si="20"/>
        <v/>
      </c>
      <c r="BL76" t="str">
        <f>IFERROR(INDEX(_names_lookup!$C:$C,MATCH(BK76,_names_lookup!$A:$A,0)),"")</f>
        <v/>
      </c>
      <c r="BM76" t="str">
        <f>IFERROR(INDEX(_names_lookup!$B:$B,MATCH(BK76,_names_lookup!$A:$A,0)),"")</f>
        <v/>
      </c>
      <c r="BS76" t="str">
        <f t="shared" si="21"/>
        <v/>
      </c>
    </row>
    <row r="77" spans="15:71" x14ac:dyDescent="0.2">
      <c r="O77" t="str">
        <f>IFERROR(INDEX(_courses_lookup!$C:$C,MATCH(K77&amp;L77,_courses_lookup!$E:$E,0)),"")</f>
        <v/>
      </c>
      <c r="P77" t="str">
        <f>IFERROR(INDEX(_courses_lookup!$D:$D,MATCH(K77&amp;L77,_courses_lookup!$E:$E,0)),"")</f>
        <v/>
      </c>
      <c r="AG77" t="str">
        <f t="shared" si="11"/>
        <v/>
      </c>
      <c r="AI77" t="str">
        <f t="shared" si="12"/>
        <v/>
      </c>
      <c r="AL77" t="str">
        <f t="shared" si="13"/>
        <v/>
      </c>
      <c r="AN77" t="str">
        <f t="shared" si="14"/>
        <v/>
      </c>
      <c r="AQ77" t="str">
        <f t="shared" si="15"/>
        <v/>
      </c>
      <c r="AR77" t="str">
        <f t="shared" si="16"/>
        <v/>
      </c>
      <c r="AS77" t="str">
        <f t="shared" si="17"/>
        <v/>
      </c>
      <c r="AT77" t="str">
        <f t="shared" si="18"/>
        <v/>
      </c>
      <c r="BG77" t="str">
        <f t="shared" si="19"/>
        <v/>
      </c>
      <c r="BH77" t="str">
        <f t="shared" si="20"/>
        <v/>
      </c>
      <c r="BL77" t="str">
        <f>IFERROR(INDEX(_names_lookup!$C:$C,MATCH(BK77,_names_lookup!$A:$A,0)),"")</f>
        <v/>
      </c>
      <c r="BM77" t="str">
        <f>IFERROR(INDEX(_names_lookup!$B:$B,MATCH(BK77,_names_lookup!$A:$A,0)),"")</f>
        <v/>
      </c>
      <c r="BS77" t="str">
        <f t="shared" si="21"/>
        <v/>
      </c>
    </row>
    <row r="78" spans="15:71" x14ac:dyDescent="0.2">
      <c r="O78" t="str">
        <f>IFERROR(INDEX(_courses_lookup!$C:$C,MATCH(K78&amp;L78,_courses_lookup!$E:$E,0)),"")</f>
        <v/>
      </c>
      <c r="P78" t="str">
        <f>IFERROR(INDEX(_courses_lookup!$D:$D,MATCH(K78&amp;L78,_courses_lookup!$E:$E,0)),"")</f>
        <v/>
      </c>
      <c r="AG78" t="str">
        <f t="shared" si="11"/>
        <v/>
      </c>
      <c r="AI78" t="str">
        <f t="shared" si="12"/>
        <v/>
      </c>
      <c r="AL78" t="str">
        <f t="shared" si="13"/>
        <v/>
      </c>
      <c r="AN78" t="str">
        <f t="shared" si="14"/>
        <v/>
      </c>
      <c r="AQ78" t="str">
        <f t="shared" si="15"/>
        <v/>
      </c>
      <c r="AR78" t="str">
        <f t="shared" si="16"/>
        <v/>
      </c>
      <c r="AS78" t="str">
        <f t="shared" si="17"/>
        <v/>
      </c>
      <c r="AT78" t="str">
        <f t="shared" si="18"/>
        <v/>
      </c>
      <c r="BG78" t="str">
        <f t="shared" si="19"/>
        <v/>
      </c>
      <c r="BH78" t="str">
        <f t="shared" si="20"/>
        <v/>
      </c>
      <c r="BL78" t="str">
        <f>IFERROR(INDEX(_names_lookup!$C:$C,MATCH(BK78,_names_lookup!$A:$A,0)),"")</f>
        <v/>
      </c>
      <c r="BM78" t="str">
        <f>IFERROR(INDEX(_names_lookup!$B:$B,MATCH(BK78,_names_lookup!$A:$A,0)),"")</f>
        <v/>
      </c>
      <c r="BS78" t="str">
        <f t="shared" si="21"/>
        <v/>
      </c>
    </row>
    <row r="79" spans="15:71" x14ac:dyDescent="0.2">
      <c r="O79" t="str">
        <f>IFERROR(INDEX(_courses_lookup!$C:$C,MATCH(K79&amp;L79,_courses_lookup!$E:$E,0)),"")</f>
        <v/>
      </c>
      <c r="P79" t="str">
        <f>IFERROR(INDEX(_courses_lookup!$D:$D,MATCH(K79&amp;L79,_courses_lookup!$E:$E,0)),"")</f>
        <v/>
      </c>
      <c r="AG79" t="str">
        <f t="shared" si="11"/>
        <v/>
      </c>
      <c r="AI79" t="str">
        <f t="shared" si="12"/>
        <v/>
      </c>
      <c r="AL79" t="str">
        <f t="shared" si="13"/>
        <v/>
      </c>
      <c r="AN79" t="str">
        <f t="shared" si="14"/>
        <v/>
      </c>
      <c r="AQ79" t="str">
        <f t="shared" si="15"/>
        <v/>
      </c>
      <c r="AR79" t="str">
        <f t="shared" si="16"/>
        <v/>
      </c>
      <c r="AS79" t="str">
        <f t="shared" si="17"/>
        <v/>
      </c>
      <c r="AT79" t="str">
        <f t="shared" si="18"/>
        <v/>
      </c>
      <c r="BG79" t="str">
        <f t="shared" si="19"/>
        <v/>
      </c>
      <c r="BH79" t="str">
        <f t="shared" si="20"/>
        <v/>
      </c>
      <c r="BL79" t="str">
        <f>IFERROR(INDEX(_names_lookup!$C:$C,MATCH(BK79,_names_lookup!$A:$A,0)),"")</f>
        <v/>
      </c>
      <c r="BM79" t="str">
        <f>IFERROR(INDEX(_names_lookup!$B:$B,MATCH(BK79,_names_lookup!$A:$A,0)),"")</f>
        <v/>
      </c>
      <c r="BS79" t="str">
        <f t="shared" si="21"/>
        <v/>
      </c>
    </row>
    <row r="80" spans="15:71" x14ac:dyDescent="0.2">
      <c r="O80" t="str">
        <f>IFERROR(INDEX(_courses_lookup!$C:$C,MATCH(K80&amp;L80,_courses_lookup!$E:$E,0)),"")</f>
        <v/>
      </c>
      <c r="P80" t="str">
        <f>IFERROR(INDEX(_courses_lookup!$D:$D,MATCH(K80&amp;L80,_courses_lookup!$E:$E,0)),"")</f>
        <v/>
      </c>
      <c r="AG80" t="str">
        <f t="shared" si="11"/>
        <v/>
      </c>
      <c r="AI80" t="str">
        <f t="shared" si="12"/>
        <v/>
      </c>
      <c r="AL80" t="str">
        <f t="shared" si="13"/>
        <v/>
      </c>
      <c r="AN80" t="str">
        <f t="shared" si="14"/>
        <v/>
      </c>
      <c r="AQ80" t="str">
        <f t="shared" si="15"/>
        <v/>
      </c>
      <c r="AR80" t="str">
        <f t="shared" si="16"/>
        <v/>
      </c>
      <c r="AS80" t="str">
        <f t="shared" si="17"/>
        <v/>
      </c>
      <c r="AT80" t="str">
        <f t="shared" si="18"/>
        <v/>
      </c>
      <c r="BG80" t="str">
        <f t="shared" si="19"/>
        <v/>
      </c>
      <c r="BH80" t="str">
        <f t="shared" si="20"/>
        <v/>
      </c>
      <c r="BL80" t="str">
        <f>IFERROR(INDEX(_names_lookup!$C:$C,MATCH(BK80,_names_lookup!$A:$A,0)),"")</f>
        <v/>
      </c>
      <c r="BM80" t="str">
        <f>IFERROR(INDEX(_names_lookup!$B:$B,MATCH(BK80,_names_lookup!$A:$A,0)),"")</f>
        <v/>
      </c>
      <c r="BS80" t="str">
        <f t="shared" si="21"/>
        <v/>
      </c>
    </row>
    <row r="81" spans="15:71" x14ac:dyDescent="0.2">
      <c r="O81" t="str">
        <f>IFERROR(INDEX(_courses_lookup!$C:$C,MATCH(K81&amp;L81,_courses_lookup!$E:$E,0)),"")</f>
        <v/>
      </c>
      <c r="P81" t="str">
        <f>IFERROR(INDEX(_courses_lookup!$D:$D,MATCH(K81&amp;L81,_courses_lookup!$E:$E,0)),"")</f>
        <v/>
      </c>
      <c r="AG81" t="str">
        <f t="shared" si="11"/>
        <v/>
      </c>
      <c r="AI81" t="str">
        <f t="shared" si="12"/>
        <v/>
      </c>
      <c r="AL81" t="str">
        <f t="shared" si="13"/>
        <v/>
      </c>
      <c r="AN81" t="str">
        <f t="shared" si="14"/>
        <v/>
      </c>
      <c r="AQ81" t="str">
        <f t="shared" si="15"/>
        <v/>
      </c>
      <c r="AR81" t="str">
        <f t="shared" si="16"/>
        <v/>
      </c>
      <c r="AS81" t="str">
        <f t="shared" si="17"/>
        <v/>
      </c>
      <c r="AT81" t="str">
        <f t="shared" si="18"/>
        <v/>
      </c>
      <c r="BG81" t="str">
        <f t="shared" si="19"/>
        <v/>
      </c>
      <c r="BH81" t="str">
        <f t="shared" si="20"/>
        <v/>
      </c>
      <c r="BL81" t="str">
        <f>IFERROR(INDEX(_names_lookup!$C:$C,MATCH(BK81,_names_lookup!$A:$A,0)),"")</f>
        <v/>
      </c>
      <c r="BM81" t="str">
        <f>IFERROR(INDEX(_names_lookup!$B:$B,MATCH(BK81,_names_lookup!$A:$A,0)),"")</f>
        <v/>
      </c>
      <c r="BS81" t="str">
        <f t="shared" si="21"/>
        <v/>
      </c>
    </row>
    <row r="82" spans="15:71" x14ac:dyDescent="0.2">
      <c r="O82" t="str">
        <f>IFERROR(INDEX(_courses_lookup!$C:$C,MATCH(K82&amp;L82,_courses_lookup!$E:$E,0)),"")</f>
        <v/>
      </c>
      <c r="P82" t="str">
        <f>IFERROR(INDEX(_courses_lookup!$D:$D,MATCH(K82&amp;L82,_courses_lookup!$E:$E,0)),"")</f>
        <v/>
      </c>
      <c r="AG82" t="str">
        <f t="shared" si="11"/>
        <v/>
      </c>
      <c r="AI82" t="str">
        <f t="shared" si="12"/>
        <v/>
      </c>
      <c r="AL82" t="str">
        <f t="shared" si="13"/>
        <v/>
      </c>
      <c r="AN82" t="str">
        <f t="shared" si="14"/>
        <v/>
      </c>
      <c r="AQ82" t="str">
        <f t="shared" si="15"/>
        <v/>
      </c>
      <c r="AR82" t="str">
        <f t="shared" si="16"/>
        <v/>
      </c>
      <c r="AS82" t="str">
        <f t="shared" si="17"/>
        <v/>
      </c>
      <c r="AT82" t="str">
        <f t="shared" si="18"/>
        <v/>
      </c>
      <c r="BG82" t="str">
        <f t="shared" si="19"/>
        <v/>
      </c>
      <c r="BH82" t="str">
        <f t="shared" si="20"/>
        <v/>
      </c>
      <c r="BL82" t="str">
        <f>IFERROR(INDEX(_names_lookup!$C:$C,MATCH(BK82,_names_lookup!$A:$A,0)),"")</f>
        <v/>
      </c>
      <c r="BM82" t="str">
        <f>IFERROR(INDEX(_names_lookup!$B:$B,MATCH(BK82,_names_lookup!$A:$A,0)),"")</f>
        <v/>
      </c>
      <c r="BS82" t="str">
        <f t="shared" si="21"/>
        <v/>
      </c>
    </row>
    <row r="83" spans="15:71" x14ac:dyDescent="0.2">
      <c r="O83" t="str">
        <f>IFERROR(INDEX(_courses_lookup!$C:$C,MATCH(K83&amp;L83,_courses_lookup!$E:$E,0)),"")</f>
        <v/>
      </c>
      <c r="P83" t="str">
        <f>IFERROR(INDEX(_courses_lookup!$D:$D,MATCH(K83&amp;L83,_courses_lookup!$E:$E,0)),"")</f>
        <v/>
      </c>
      <c r="AG83" t="str">
        <f t="shared" si="11"/>
        <v/>
      </c>
      <c r="AI83" t="str">
        <f t="shared" si="12"/>
        <v/>
      </c>
      <c r="AL83" t="str">
        <f t="shared" si="13"/>
        <v/>
      </c>
      <c r="AN83" t="str">
        <f t="shared" si="14"/>
        <v/>
      </c>
      <c r="AQ83" t="str">
        <f t="shared" si="15"/>
        <v/>
      </c>
      <c r="AR83" t="str">
        <f t="shared" si="16"/>
        <v/>
      </c>
      <c r="AS83" t="str">
        <f t="shared" si="17"/>
        <v/>
      </c>
      <c r="AT83" t="str">
        <f t="shared" si="18"/>
        <v/>
      </c>
      <c r="BG83" t="str">
        <f t="shared" si="19"/>
        <v/>
      </c>
      <c r="BH83" t="str">
        <f t="shared" si="20"/>
        <v/>
      </c>
      <c r="BL83" t="str">
        <f>IFERROR(INDEX(_names_lookup!$C:$C,MATCH(BK83,_names_lookup!$A:$A,0)),"")</f>
        <v/>
      </c>
      <c r="BM83" t="str">
        <f>IFERROR(INDEX(_names_lookup!$B:$B,MATCH(BK83,_names_lookup!$A:$A,0)),"")</f>
        <v/>
      </c>
      <c r="BS83" t="str">
        <f t="shared" si="21"/>
        <v/>
      </c>
    </row>
    <row r="84" spans="15:71" x14ac:dyDescent="0.2">
      <c r="O84" t="str">
        <f>IFERROR(INDEX(_courses_lookup!$C:$C,MATCH(K84&amp;L84,_courses_lookup!$E:$E,0)),"")</f>
        <v/>
      </c>
      <c r="P84" t="str">
        <f>IFERROR(INDEX(_courses_lookup!$D:$D,MATCH(K84&amp;L84,_courses_lookup!$E:$E,0)),"")</f>
        <v/>
      </c>
      <c r="AG84" t="str">
        <f t="shared" si="11"/>
        <v/>
      </c>
      <c r="AI84" t="str">
        <f t="shared" si="12"/>
        <v/>
      </c>
      <c r="AL84" t="str">
        <f t="shared" si="13"/>
        <v/>
      </c>
      <c r="AN84" t="str">
        <f t="shared" si="14"/>
        <v/>
      </c>
      <c r="AQ84" t="str">
        <f t="shared" si="15"/>
        <v/>
      </c>
      <c r="AR84" t="str">
        <f t="shared" si="16"/>
        <v/>
      </c>
      <c r="AS84" t="str">
        <f t="shared" si="17"/>
        <v/>
      </c>
      <c r="AT84" t="str">
        <f t="shared" si="18"/>
        <v/>
      </c>
      <c r="BG84" t="str">
        <f t="shared" si="19"/>
        <v/>
      </c>
      <c r="BH84" t="str">
        <f t="shared" si="20"/>
        <v/>
      </c>
      <c r="BL84" t="str">
        <f>IFERROR(INDEX(_names_lookup!$C:$C,MATCH(BK84,_names_lookup!$A:$A,0)),"")</f>
        <v/>
      </c>
      <c r="BM84" t="str">
        <f>IFERROR(INDEX(_names_lookup!$B:$B,MATCH(BK84,_names_lookup!$A:$A,0)),"")</f>
        <v/>
      </c>
      <c r="BS84" t="str">
        <f t="shared" si="21"/>
        <v/>
      </c>
    </row>
    <row r="85" spans="15:71" x14ac:dyDescent="0.2">
      <c r="O85" t="str">
        <f>IFERROR(INDEX(_courses_lookup!$C:$C,MATCH(K85&amp;L85,_courses_lookup!$E:$E,0)),"")</f>
        <v/>
      </c>
      <c r="P85" t="str">
        <f>IFERROR(INDEX(_courses_lookup!$D:$D,MATCH(K85&amp;L85,_courses_lookup!$E:$E,0)),"")</f>
        <v/>
      </c>
      <c r="AG85" t="str">
        <f t="shared" si="11"/>
        <v/>
      </c>
      <c r="AI85" t="str">
        <f t="shared" si="12"/>
        <v/>
      </c>
      <c r="AL85" t="str">
        <f t="shared" si="13"/>
        <v/>
      </c>
      <c r="AN85" t="str">
        <f t="shared" si="14"/>
        <v/>
      </c>
      <c r="AQ85" t="str">
        <f t="shared" si="15"/>
        <v/>
      </c>
      <c r="AR85" t="str">
        <f t="shared" si="16"/>
        <v/>
      </c>
      <c r="AS85" t="str">
        <f t="shared" si="17"/>
        <v/>
      </c>
      <c r="AT85" t="str">
        <f t="shared" si="18"/>
        <v/>
      </c>
      <c r="BG85" t="str">
        <f t="shared" si="19"/>
        <v/>
      </c>
      <c r="BH85" t="str">
        <f t="shared" si="20"/>
        <v/>
      </c>
      <c r="BL85" t="str">
        <f>IFERROR(INDEX(_names_lookup!$C:$C,MATCH(BK85,_names_lookup!$A:$A,0)),"")</f>
        <v/>
      </c>
      <c r="BM85" t="str">
        <f>IFERROR(INDEX(_names_lookup!$B:$B,MATCH(BK85,_names_lookup!$A:$A,0)),"")</f>
        <v/>
      </c>
      <c r="BS85" t="str">
        <f t="shared" si="21"/>
        <v/>
      </c>
    </row>
    <row r="86" spans="15:71" x14ac:dyDescent="0.2">
      <c r="O86" t="str">
        <f>IFERROR(INDEX(_courses_lookup!$C:$C,MATCH(K86&amp;L86,_courses_lookup!$E:$E,0)),"")</f>
        <v/>
      </c>
      <c r="P86" t="str">
        <f>IFERROR(INDEX(_courses_lookup!$D:$D,MATCH(K86&amp;L86,_courses_lookup!$E:$E,0)),"")</f>
        <v/>
      </c>
      <c r="AG86" t="str">
        <f t="shared" si="11"/>
        <v/>
      </c>
      <c r="AI86" t="str">
        <f t="shared" si="12"/>
        <v/>
      </c>
      <c r="AL86" t="str">
        <f t="shared" si="13"/>
        <v/>
      </c>
      <c r="AN86" t="str">
        <f t="shared" si="14"/>
        <v/>
      </c>
      <c r="AQ86" t="str">
        <f t="shared" si="15"/>
        <v/>
      </c>
      <c r="AR86" t="str">
        <f t="shared" si="16"/>
        <v/>
      </c>
      <c r="AS86" t="str">
        <f t="shared" si="17"/>
        <v/>
      </c>
      <c r="AT86" t="str">
        <f t="shared" si="18"/>
        <v/>
      </c>
      <c r="BG86" t="str">
        <f t="shared" si="19"/>
        <v/>
      </c>
      <c r="BH86" t="str">
        <f t="shared" si="20"/>
        <v/>
      </c>
      <c r="BL86" t="str">
        <f>IFERROR(INDEX(_names_lookup!$C:$C,MATCH(BK86,_names_lookup!$A:$A,0)),"")</f>
        <v/>
      </c>
      <c r="BM86" t="str">
        <f>IFERROR(INDEX(_names_lookup!$B:$B,MATCH(BK86,_names_lookup!$A:$A,0)),"")</f>
        <v/>
      </c>
      <c r="BS86" t="str">
        <f t="shared" si="21"/>
        <v/>
      </c>
    </row>
    <row r="87" spans="15:71" x14ac:dyDescent="0.2">
      <c r="O87" t="str">
        <f>IFERROR(INDEX(_courses_lookup!$C:$C,MATCH(K87&amp;L87,_courses_lookup!$E:$E,0)),"")</f>
        <v/>
      </c>
      <c r="P87" t="str">
        <f>IFERROR(INDEX(_courses_lookup!$D:$D,MATCH(K87&amp;L87,_courses_lookup!$E:$E,0)),"")</f>
        <v/>
      </c>
      <c r="AG87" t="str">
        <f t="shared" si="11"/>
        <v/>
      </c>
      <c r="AI87" t="str">
        <f t="shared" si="12"/>
        <v/>
      </c>
      <c r="AL87" t="str">
        <f t="shared" si="13"/>
        <v/>
      </c>
      <c r="AN87" t="str">
        <f t="shared" si="14"/>
        <v/>
      </c>
      <c r="AQ87" t="str">
        <f t="shared" si="15"/>
        <v/>
      </c>
      <c r="AR87" t="str">
        <f t="shared" si="16"/>
        <v/>
      </c>
      <c r="AS87" t="str">
        <f t="shared" si="17"/>
        <v/>
      </c>
      <c r="AT87" t="str">
        <f t="shared" si="18"/>
        <v/>
      </c>
      <c r="BG87" t="str">
        <f t="shared" si="19"/>
        <v/>
      </c>
      <c r="BH87" t="str">
        <f t="shared" si="20"/>
        <v/>
      </c>
      <c r="BL87" t="str">
        <f>IFERROR(INDEX(_names_lookup!$C:$C,MATCH(BK87,_names_lookup!$A:$A,0)),"")</f>
        <v/>
      </c>
      <c r="BM87" t="str">
        <f>IFERROR(INDEX(_names_lookup!$B:$B,MATCH(BK87,_names_lookup!$A:$A,0)),"")</f>
        <v/>
      </c>
      <c r="BS87" t="str">
        <f t="shared" si="21"/>
        <v/>
      </c>
    </row>
    <row r="88" spans="15:71" x14ac:dyDescent="0.2">
      <c r="O88" t="str">
        <f>IFERROR(INDEX(_courses_lookup!$C:$C,MATCH(K88&amp;L88,_courses_lookup!$E:$E,0)),"")</f>
        <v/>
      </c>
      <c r="P88" t="str">
        <f>IFERROR(INDEX(_courses_lookup!$D:$D,MATCH(K88&amp;L88,_courses_lookup!$E:$E,0)),"")</f>
        <v/>
      </c>
      <c r="AG88" t="str">
        <f t="shared" si="11"/>
        <v/>
      </c>
      <c r="AI88" t="str">
        <f t="shared" si="12"/>
        <v/>
      </c>
      <c r="AL88" t="str">
        <f t="shared" si="13"/>
        <v/>
      </c>
      <c r="AN88" t="str">
        <f t="shared" si="14"/>
        <v/>
      </c>
      <c r="AQ88" t="str">
        <f t="shared" si="15"/>
        <v/>
      </c>
      <c r="AR88" t="str">
        <f t="shared" si="16"/>
        <v/>
      </c>
      <c r="AS88" t="str">
        <f t="shared" si="17"/>
        <v/>
      </c>
      <c r="AT88" t="str">
        <f t="shared" si="18"/>
        <v/>
      </c>
      <c r="BG88" t="str">
        <f t="shared" si="19"/>
        <v/>
      </c>
      <c r="BH88" t="str">
        <f t="shared" si="20"/>
        <v/>
      </c>
      <c r="BL88" t="str">
        <f>IFERROR(INDEX(_names_lookup!$C:$C,MATCH(BK88,_names_lookup!$A:$A,0)),"")</f>
        <v/>
      </c>
      <c r="BM88" t="str">
        <f>IFERROR(INDEX(_names_lookup!$B:$B,MATCH(BK88,_names_lookup!$A:$A,0)),"")</f>
        <v/>
      </c>
      <c r="BS88" t="str">
        <f t="shared" si="21"/>
        <v/>
      </c>
    </row>
    <row r="89" spans="15:71" x14ac:dyDescent="0.2">
      <c r="O89" t="str">
        <f>IFERROR(INDEX(_courses_lookup!$C:$C,MATCH(K89&amp;L89,_courses_lookup!$E:$E,0)),"")</f>
        <v/>
      </c>
      <c r="P89" t="str">
        <f>IFERROR(INDEX(_courses_lookup!$D:$D,MATCH(K89&amp;L89,_courses_lookup!$E:$E,0)),"")</f>
        <v/>
      </c>
      <c r="AG89" t="str">
        <f t="shared" si="11"/>
        <v/>
      </c>
      <c r="AI89" t="str">
        <f t="shared" si="12"/>
        <v/>
      </c>
      <c r="AL89" t="str">
        <f t="shared" si="13"/>
        <v/>
      </c>
      <c r="AN89" t="str">
        <f t="shared" si="14"/>
        <v/>
      </c>
      <c r="AQ89" t="str">
        <f t="shared" si="15"/>
        <v/>
      </c>
      <c r="AR89" t="str">
        <f t="shared" si="16"/>
        <v/>
      </c>
      <c r="AS89" t="str">
        <f t="shared" si="17"/>
        <v/>
      </c>
      <c r="AT89" t="str">
        <f t="shared" si="18"/>
        <v/>
      </c>
      <c r="BG89" t="str">
        <f t="shared" si="19"/>
        <v/>
      </c>
      <c r="BH89" t="str">
        <f t="shared" si="20"/>
        <v/>
      </c>
      <c r="BL89" t="str">
        <f>IFERROR(INDEX(_names_lookup!$C:$C,MATCH(BK89,_names_lookup!$A:$A,0)),"")</f>
        <v/>
      </c>
      <c r="BM89" t="str">
        <f>IFERROR(INDEX(_names_lookup!$B:$B,MATCH(BK89,_names_lookup!$A:$A,0)),"")</f>
        <v/>
      </c>
      <c r="BS89" t="str">
        <f t="shared" si="21"/>
        <v/>
      </c>
    </row>
    <row r="90" spans="15:71" x14ac:dyDescent="0.2">
      <c r="O90" t="str">
        <f>IFERROR(INDEX(_courses_lookup!$C:$C,MATCH(K90&amp;L90,_courses_lookup!$E:$E,0)),"")</f>
        <v/>
      </c>
      <c r="P90" t="str">
        <f>IFERROR(INDEX(_courses_lookup!$D:$D,MATCH(K90&amp;L90,_courses_lookup!$E:$E,0)),"")</f>
        <v/>
      </c>
      <c r="AG90" t="str">
        <f t="shared" si="11"/>
        <v/>
      </c>
      <c r="AI90" t="str">
        <f t="shared" si="12"/>
        <v/>
      </c>
      <c r="AL90" t="str">
        <f t="shared" si="13"/>
        <v/>
      </c>
      <c r="AN90" t="str">
        <f t="shared" si="14"/>
        <v/>
      </c>
      <c r="AQ90" t="str">
        <f t="shared" si="15"/>
        <v/>
      </c>
      <c r="AR90" t="str">
        <f t="shared" si="16"/>
        <v/>
      </c>
      <c r="AS90" t="str">
        <f t="shared" si="17"/>
        <v/>
      </c>
      <c r="AT90" t="str">
        <f t="shared" si="18"/>
        <v/>
      </c>
      <c r="BG90" t="str">
        <f t="shared" si="19"/>
        <v/>
      </c>
      <c r="BH90" t="str">
        <f t="shared" si="20"/>
        <v/>
      </c>
      <c r="BL90" t="str">
        <f>IFERROR(INDEX(_names_lookup!$C:$C,MATCH(BK90,_names_lookup!$A:$A,0)),"")</f>
        <v/>
      </c>
      <c r="BM90" t="str">
        <f>IFERROR(INDEX(_names_lookup!$B:$B,MATCH(BK90,_names_lookup!$A:$A,0)),"")</f>
        <v/>
      </c>
      <c r="BS90" t="str">
        <f t="shared" si="21"/>
        <v/>
      </c>
    </row>
    <row r="91" spans="15:71" x14ac:dyDescent="0.2">
      <c r="O91" t="str">
        <f>IFERROR(INDEX(_courses_lookup!$C:$C,MATCH(K91&amp;L91,_courses_lookup!$E:$E,0)),"")</f>
        <v/>
      </c>
      <c r="P91" t="str">
        <f>IFERROR(INDEX(_courses_lookup!$D:$D,MATCH(K91&amp;L91,_courses_lookup!$E:$E,0)),"")</f>
        <v/>
      </c>
      <c r="AG91" t="str">
        <f t="shared" si="11"/>
        <v/>
      </c>
      <c r="AI91" t="str">
        <f t="shared" si="12"/>
        <v/>
      </c>
      <c r="AL91" t="str">
        <f t="shared" si="13"/>
        <v/>
      </c>
      <c r="AN91" t="str">
        <f t="shared" si="14"/>
        <v/>
      </c>
      <c r="AQ91" t="str">
        <f t="shared" si="15"/>
        <v/>
      </c>
      <c r="AR91" t="str">
        <f t="shared" si="16"/>
        <v/>
      </c>
      <c r="AS91" t="str">
        <f t="shared" si="17"/>
        <v/>
      </c>
      <c r="AT91" t="str">
        <f t="shared" si="18"/>
        <v/>
      </c>
      <c r="BG91" t="str">
        <f t="shared" si="19"/>
        <v/>
      </c>
      <c r="BH91" t="str">
        <f t="shared" si="20"/>
        <v/>
      </c>
      <c r="BL91" t="str">
        <f>IFERROR(INDEX(_names_lookup!$C:$C,MATCH(BK91,_names_lookup!$A:$A,0)),"")</f>
        <v/>
      </c>
      <c r="BM91" t="str">
        <f>IFERROR(INDEX(_names_lookup!$B:$B,MATCH(BK91,_names_lookup!$A:$A,0)),"")</f>
        <v/>
      </c>
      <c r="BS91" t="str">
        <f t="shared" si="21"/>
        <v/>
      </c>
    </row>
    <row r="92" spans="15:71" x14ac:dyDescent="0.2">
      <c r="O92" t="str">
        <f>IFERROR(INDEX(_courses_lookup!$C:$C,MATCH(K92&amp;L92,_courses_lookup!$E:$E,0)),"")</f>
        <v/>
      </c>
      <c r="P92" t="str">
        <f>IFERROR(INDEX(_courses_lookup!$D:$D,MATCH(K92&amp;L92,_courses_lookup!$E:$E,0)),"")</f>
        <v/>
      </c>
      <c r="AG92" t="str">
        <f t="shared" si="11"/>
        <v/>
      </c>
      <c r="AI92" t="str">
        <f t="shared" si="12"/>
        <v/>
      </c>
      <c r="AL92" t="str">
        <f t="shared" si="13"/>
        <v/>
      </c>
      <c r="AN92" t="str">
        <f t="shared" si="14"/>
        <v/>
      </c>
      <c r="AQ92" t="str">
        <f t="shared" si="15"/>
        <v/>
      </c>
      <c r="AR92" t="str">
        <f t="shared" si="16"/>
        <v/>
      </c>
      <c r="AS92" t="str">
        <f t="shared" si="17"/>
        <v/>
      </c>
      <c r="AT92" t="str">
        <f t="shared" si="18"/>
        <v/>
      </c>
      <c r="BG92" t="str">
        <f t="shared" si="19"/>
        <v/>
      </c>
      <c r="BH92" t="str">
        <f t="shared" si="20"/>
        <v/>
      </c>
      <c r="BL92" t="str">
        <f>IFERROR(INDEX(_names_lookup!$C:$C,MATCH(BK92,_names_lookup!$A:$A,0)),"")</f>
        <v/>
      </c>
      <c r="BM92" t="str">
        <f>IFERROR(INDEX(_names_lookup!$B:$B,MATCH(BK92,_names_lookup!$A:$A,0)),"")</f>
        <v/>
      </c>
      <c r="BS92" t="str">
        <f t="shared" si="21"/>
        <v/>
      </c>
    </row>
    <row r="93" spans="15:71" x14ac:dyDescent="0.2">
      <c r="O93" t="str">
        <f>IFERROR(INDEX(_courses_lookup!$C:$C,MATCH(K93&amp;L93,_courses_lookup!$E:$E,0)),"")</f>
        <v/>
      </c>
      <c r="P93" t="str">
        <f>IFERROR(INDEX(_courses_lookup!$D:$D,MATCH(K93&amp;L93,_courses_lookup!$E:$E,0)),"")</f>
        <v/>
      </c>
      <c r="AG93" t="str">
        <f t="shared" si="11"/>
        <v/>
      </c>
      <c r="AI93" t="str">
        <f t="shared" si="12"/>
        <v/>
      </c>
      <c r="AL93" t="str">
        <f t="shared" si="13"/>
        <v/>
      </c>
      <c r="AN93" t="str">
        <f t="shared" si="14"/>
        <v/>
      </c>
      <c r="AQ93" t="str">
        <f t="shared" si="15"/>
        <v/>
      </c>
      <c r="AR93" t="str">
        <f t="shared" si="16"/>
        <v/>
      </c>
      <c r="AS93" t="str">
        <f t="shared" si="17"/>
        <v/>
      </c>
      <c r="AT93" t="str">
        <f t="shared" si="18"/>
        <v/>
      </c>
      <c r="BG93" t="str">
        <f t="shared" si="19"/>
        <v/>
      </c>
      <c r="BH93" t="str">
        <f t="shared" si="20"/>
        <v/>
      </c>
      <c r="BL93" t="str">
        <f>IFERROR(INDEX(_names_lookup!$C:$C,MATCH(BK93,_names_lookup!$A:$A,0)),"")</f>
        <v/>
      </c>
      <c r="BM93" t="str">
        <f>IFERROR(INDEX(_names_lookup!$B:$B,MATCH(BK93,_names_lookup!$A:$A,0)),"")</f>
        <v/>
      </c>
      <c r="BS93" t="str">
        <f t="shared" si="21"/>
        <v/>
      </c>
    </row>
    <row r="94" spans="15:71" x14ac:dyDescent="0.2">
      <c r="O94" t="str">
        <f>IFERROR(INDEX(_courses_lookup!$C:$C,MATCH(K94&amp;L94,_courses_lookup!$E:$E,0)),"")</f>
        <v/>
      </c>
      <c r="P94" t="str">
        <f>IFERROR(INDEX(_courses_lookup!$D:$D,MATCH(K94&amp;L94,_courses_lookup!$E:$E,0)),"")</f>
        <v/>
      </c>
      <c r="AG94" t="str">
        <f t="shared" si="11"/>
        <v/>
      </c>
      <c r="AI94" t="str">
        <f t="shared" si="12"/>
        <v/>
      </c>
      <c r="AL94" t="str">
        <f t="shared" si="13"/>
        <v/>
      </c>
      <c r="AN94" t="str">
        <f t="shared" si="14"/>
        <v/>
      </c>
      <c r="AQ94" t="str">
        <f t="shared" si="15"/>
        <v/>
      </c>
      <c r="AR94" t="str">
        <f t="shared" si="16"/>
        <v/>
      </c>
      <c r="AS94" t="str">
        <f t="shared" si="17"/>
        <v/>
      </c>
      <c r="AT94" t="str">
        <f t="shared" si="18"/>
        <v/>
      </c>
      <c r="BG94" t="str">
        <f t="shared" si="19"/>
        <v/>
      </c>
      <c r="BH94" t="str">
        <f t="shared" si="20"/>
        <v/>
      </c>
      <c r="BL94" t="str">
        <f>IFERROR(INDEX(_names_lookup!$C:$C,MATCH(BK94,_names_lookup!$A:$A,0)),"")</f>
        <v/>
      </c>
      <c r="BM94" t="str">
        <f>IFERROR(INDEX(_names_lookup!$B:$B,MATCH(BK94,_names_lookup!$A:$A,0)),"")</f>
        <v/>
      </c>
      <c r="BS94" t="str">
        <f t="shared" si="21"/>
        <v/>
      </c>
    </row>
    <row r="95" spans="15:71" x14ac:dyDescent="0.2">
      <c r="O95" t="str">
        <f>IFERROR(INDEX(_courses_lookup!$C:$C,MATCH(K95&amp;L95,_courses_lookup!$E:$E,0)),"")</f>
        <v/>
      </c>
      <c r="P95" t="str">
        <f>IFERROR(INDEX(_courses_lookup!$D:$D,MATCH(K95&amp;L95,_courses_lookup!$E:$E,0)),"")</f>
        <v/>
      </c>
      <c r="AG95" t="str">
        <f t="shared" si="11"/>
        <v/>
      </c>
      <c r="AI95" t="str">
        <f t="shared" si="12"/>
        <v/>
      </c>
      <c r="AL95" t="str">
        <f t="shared" si="13"/>
        <v/>
      </c>
      <c r="AN95" t="str">
        <f t="shared" si="14"/>
        <v/>
      </c>
      <c r="AQ95" t="str">
        <f t="shared" si="15"/>
        <v/>
      </c>
      <c r="AR95" t="str">
        <f t="shared" si="16"/>
        <v/>
      </c>
      <c r="AS95" t="str">
        <f t="shared" si="17"/>
        <v/>
      </c>
      <c r="AT95" t="str">
        <f t="shared" si="18"/>
        <v/>
      </c>
      <c r="BG95" t="str">
        <f t="shared" si="19"/>
        <v/>
      </c>
      <c r="BH95" t="str">
        <f t="shared" si="20"/>
        <v/>
      </c>
      <c r="BL95" t="str">
        <f>IFERROR(INDEX(_names_lookup!$C:$C,MATCH(BK95,_names_lookup!$A:$A,0)),"")</f>
        <v/>
      </c>
      <c r="BM95" t="str">
        <f>IFERROR(INDEX(_names_lookup!$B:$B,MATCH(BK95,_names_lookup!$A:$A,0)),"")</f>
        <v/>
      </c>
      <c r="BS95" t="str">
        <f t="shared" si="21"/>
        <v/>
      </c>
    </row>
    <row r="96" spans="15:71" x14ac:dyDescent="0.2">
      <c r="O96" t="str">
        <f>IFERROR(INDEX(_courses_lookup!$C:$C,MATCH(K96&amp;L96,_courses_lookup!$E:$E,0)),"")</f>
        <v/>
      </c>
      <c r="P96" t="str">
        <f>IFERROR(INDEX(_courses_lookup!$D:$D,MATCH(K96&amp;L96,_courses_lookup!$E:$E,0)),"")</f>
        <v/>
      </c>
      <c r="AG96" t="str">
        <f t="shared" si="11"/>
        <v/>
      </c>
      <c r="AI96" t="str">
        <f t="shared" si="12"/>
        <v/>
      </c>
      <c r="AL96" t="str">
        <f t="shared" si="13"/>
        <v/>
      </c>
      <c r="AN96" t="str">
        <f t="shared" si="14"/>
        <v/>
      </c>
      <c r="AQ96" t="str">
        <f t="shared" si="15"/>
        <v/>
      </c>
      <c r="AR96" t="str">
        <f t="shared" si="16"/>
        <v/>
      </c>
      <c r="AS96" t="str">
        <f t="shared" si="17"/>
        <v/>
      </c>
      <c r="AT96" t="str">
        <f t="shared" si="18"/>
        <v/>
      </c>
      <c r="BG96" t="str">
        <f t="shared" si="19"/>
        <v/>
      </c>
      <c r="BH96" t="str">
        <f t="shared" si="20"/>
        <v/>
      </c>
      <c r="BL96" t="str">
        <f>IFERROR(INDEX(_names_lookup!$C:$C,MATCH(BK96,_names_lookup!$A:$A,0)),"")</f>
        <v/>
      </c>
      <c r="BM96" t="str">
        <f>IFERROR(INDEX(_names_lookup!$B:$B,MATCH(BK96,_names_lookup!$A:$A,0)),"")</f>
        <v/>
      </c>
      <c r="BS96" t="str">
        <f t="shared" si="21"/>
        <v/>
      </c>
    </row>
    <row r="97" spans="15:71" x14ac:dyDescent="0.2">
      <c r="O97" t="str">
        <f>IFERROR(INDEX(_courses_lookup!$C:$C,MATCH(K97&amp;L97,_courses_lookup!$E:$E,0)),"")</f>
        <v/>
      </c>
      <c r="P97" t="str">
        <f>IFERROR(INDEX(_courses_lookup!$D:$D,MATCH(K97&amp;L97,_courses_lookup!$E:$E,0)),"")</f>
        <v/>
      </c>
      <c r="AG97" t="str">
        <f t="shared" si="11"/>
        <v/>
      </c>
      <c r="AI97" t="str">
        <f t="shared" si="12"/>
        <v/>
      </c>
      <c r="AL97" t="str">
        <f t="shared" si="13"/>
        <v/>
      </c>
      <c r="AN97" t="str">
        <f t="shared" si="14"/>
        <v/>
      </c>
      <c r="AQ97" t="str">
        <f t="shared" si="15"/>
        <v/>
      </c>
      <c r="AR97" t="str">
        <f t="shared" si="16"/>
        <v/>
      </c>
      <c r="AS97" t="str">
        <f t="shared" si="17"/>
        <v/>
      </c>
      <c r="AT97" t="str">
        <f t="shared" si="18"/>
        <v/>
      </c>
      <c r="BG97" t="str">
        <f t="shared" si="19"/>
        <v/>
      </c>
      <c r="BH97" t="str">
        <f t="shared" si="20"/>
        <v/>
      </c>
      <c r="BL97" t="str">
        <f>IFERROR(INDEX(_names_lookup!$C:$C,MATCH(BK97,_names_lookup!$A:$A,0)),"")</f>
        <v/>
      </c>
      <c r="BM97" t="str">
        <f>IFERROR(INDEX(_names_lookup!$B:$B,MATCH(BK97,_names_lookup!$A:$A,0)),"")</f>
        <v/>
      </c>
      <c r="BS97" t="str">
        <f t="shared" si="21"/>
        <v/>
      </c>
    </row>
    <row r="98" spans="15:71" x14ac:dyDescent="0.2">
      <c r="O98" t="str">
        <f>IFERROR(INDEX(_courses_lookup!$C:$C,MATCH(K98&amp;L98,_courses_lookup!$E:$E,0)),"")</f>
        <v/>
      </c>
      <c r="P98" t="str">
        <f>IFERROR(INDEX(_courses_lookup!$D:$D,MATCH(K98&amp;L98,_courses_lookup!$E:$E,0)),"")</f>
        <v/>
      </c>
      <c r="AG98" t="str">
        <f t="shared" si="11"/>
        <v/>
      </c>
      <c r="AI98" t="str">
        <f t="shared" si="12"/>
        <v/>
      </c>
      <c r="AL98" t="str">
        <f t="shared" si="13"/>
        <v/>
      </c>
      <c r="AN98" t="str">
        <f t="shared" si="14"/>
        <v/>
      </c>
      <c r="AQ98" t="str">
        <f t="shared" si="15"/>
        <v/>
      </c>
      <c r="AR98" t="str">
        <f t="shared" si="16"/>
        <v/>
      </c>
      <c r="AS98" t="str">
        <f t="shared" si="17"/>
        <v/>
      </c>
      <c r="AT98" t="str">
        <f t="shared" si="18"/>
        <v/>
      </c>
      <c r="BG98" t="str">
        <f t="shared" si="19"/>
        <v/>
      </c>
      <c r="BH98" t="str">
        <f t="shared" si="20"/>
        <v/>
      </c>
      <c r="BL98" t="str">
        <f>IFERROR(INDEX(_names_lookup!$C:$C,MATCH(BK98,_names_lookup!$A:$A,0)),"")</f>
        <v/>
      </c>
      <c r="BM98" t="str">
        <f>IFERROR(INDEX(_names_lookup!$B:$B,MATCH(BK98,_names_lookup!$A:$A,0)),"")</f>
        <v/>
      </c>
      <c r="BS98" t="str">
        <f t="shared" si="21"/>
        <v/>
      </c>
    </row>
    <row r="99" spans="15:71" x14ac:dyDescent="0.2">
      <c r="O99" t="str">
        <f>IFERROR(INDEX(_courses_lookup!$C:$C,MATCH(K99&amp;L99,_courses_lookup!$E:$E,0)),"")</f>
        <v/>
      </c>
      <c r="P99" t="str">
        <f>IFERROR(INDEX(_courses_lookup!$D:$D,MATCH(K99&amp;L99,_courses_lookup!$E:$E,0)),"")</f>
        <v/>
      </c>
      <c r="AG99" t="str">
        <f t="shared" si="11"/>
        <v/>
      </c>
      <c r="AI99" t="str">
        <f t="shared" si="12"/>
        <v/>
      </c>
      <c r="AL99" t="str">
        <f t="shared" si="13"/>
        <v/>
      </c>
      <c r="AN99" t="str">
        <f t="shared" si="14"/>
        <v/>
      </c>
      <c r="AQ99" t="str">
        <f t="shared" si="15"/>
        <v/>
      </c>
      <c r="AR99" t="str">
        <f t="shared" si="16"/>
        <v/>
      </c>
      <c r="AS99" t="str">
        <f t="shared" si="17"/>
        <v/>
      </c>
      <c r="AT99" t="str">
        <f t="shared" si="18"/>
        <v/>
      </c>
      <c r="BG99" t="str">
        <f t="shared" si="19"/>
        <v/>
      </c>
      <c r="BH99" t="str">
        <f t="shared" si="20"/>
        <v/>
      </c>
      <c r="BL99" t="str">
        <f>IFERROR(INDEX(_names_lookup!$C:$C,MATCH(BK99,_names_lookup!$A:$A,0)),"")</f>
        <v/>
      </c>
      <c r="BM99" t="str">
        <f>IFERROR(INDEX(_names_lookup!$B:$B,MATCH(BK99,_names_lookup!$A:$A,0)),"")</f>
        <v/>
      </c>
      <c r="BS99" t="str">
        <f t="shared" si="21"/>
        <v/>
      </c>
    </row>
    <row r="100" spans="15:71" x14ac:dyDescent="0.2">
      <c r="O100" t="str">
        <f>IFERROR(INDEX(_courses_lookup!$C:$C,MATCH(K100&amp;L100,_courses_lookup!$E:$E,0)),"")</f>
        <v/>
      </c>
      <c r="P100" t="str">
        <f>IFERROR(INDEX(_courses_lookup!$D:$D,MATCH(K100&amp;L100,_courses_lookup!$E:$E,0)),"")</f>
        <v/>
      </c>
      <c r="AG100" t="str">
        <f t="shared" si="11"/>
        <v/>
      </c>
      <c r="AI100" t="str">
        <f t="shared" si="12"/>
        <v/>
      </c>
      <c r="AL100" t="str">
        <f t="shared" si="13"/>
        <v/>
      </c>
      <c r="AN100" t="str">
        <f t="shared" si="14"/>
        <v/>
      </c>
      <c r="AQ100" t="str">
        <f t="shared" si="15"/>
        <v/>
      </c>
      <c r="AR100" t="str">
        <f t="shared" si="16"/>
        <v/>
      </c>
      <c r="AS100" t="str">
        <f t="shared" si="17"/>
        <v/>
      </c>
      <c r="AT100" t="str">
        <f t="shared" si="18"/>
        <v/>
      </c>
      <c r="BG100" t="str">
        <f t="shared" si="19"/>
        <v/>
      </c>
      <c r="BH100" t="str">
        <f t="shared" si="20"/>
        <v/>
      </c>
      <c r="BL100" t="str">
        <f>IFERROR(INDEX(_names_lookup!$C:$C,MATCH(BK100,_names_lookup!$A:$A,0)),"")</f>
        <v/>
      </c>
      <c r="BM100" t="str">
        <f>IFERROR(INDEX(_names_lookup!$B:$B,MATCH(BK100,_names_lookup!$A:$A,0)),"")</f>
        <v/>
      </c>
      <c r="BS100" t="str">
        <f t="shared" si="21"/>
        <v/>
      </c>
    </row>
    <row r="101" spans="15:71" x14ac:dyDescent="0.2">
      <c r="O101" t="str">
        <f>IFERROR(INDEX(_courses_lookup!$C:$C,MATCH(K101&amp;L101,_courses_lookup!$E:$E,0)),"")</f>
        <v/>
      </c>
      <c r="P101" t="str">
        <f>IFERROR(INDEX(_courses_lookup!$D:$D,MATCH(K101&amp;L101,_courses_lookup!$E:$E,0)),"")</f>
        <v/>
      </c>
      <c r="AG101" t="str">
        <f t="shared" si="11"/>
        <v/>
      </c>
      <c r="AI101" t="str">
        <f t="shared" si="12"/>
        <v/>
      </c>
      <c r="AL101" t="str">
        <f t="shared" si="13"/>
        <v/>
      </c>
      <c r="AN101" t="str">
        <f t="shared" si="14"/>
        <v/>
      </c>
      <c r="AQ101" t="str">
        <f t="shared" si="15"/>
        <v/>
      </c>
      <c r="AR101" t="str">
        <f t="shared" si="16"/>
        <v/>
      </c>
      <c r="AS101" t="str">
        <f t="shared" si="17"/>
        <v/>
      </c>
      <c r="AT101" t="str">
        <f t="shared" si="18"/>
        <v/>
      </c>
      <c r="BG101" t="str">
        <f t="shared" si="19"/>
        <v/>
      </c>
      <c r="BH101" t="str">
        <f t="shared" si="20"/>
        <v/>
      </c>
      <c r="BL101" t="str">
        <f>IFERROR(INDEX(_names_lookup!$C:$C,MATCH(BK101,_names_lookup!$A:$A,0)),"")</f>
        <v/>
      </c>
      <c r="BM101" t="str">
        <f>IFERROR(INDEX(_names_lookup!$B:$B,MATCH(BK101,_names_lookup!$A:$A,0)),"")</f>
        <v/>
      </c>
      <c r="BS101" t="str">
        <f t="shared" si="21"/>
        <v/>
      </c>
    </row>
    <row r="102" spans="15:71" x14ac:dyDescent="0.2">
      <c r="O102" t="str">
        <f>IFERROR(INDEX(_courses_lookup!$C:$C,MATCH(K102&amp;L102,_courses_lookup!$E:$E,0)),"")</f>
        <v/>
      </c>
      <c r="P102" t="str">
        <f>IFERROR(INDEX(_courses_lookup!$D:$D,MATCH(K102&amp;L102,_courses_lookup!$E:$E,0)),"")</f>
        <v/>
      </c>
      <c r="AG102" t="str">
        <f t="shared" si="11"/>
        <v/>
      </c>
      <c r="AI102" t="str">
        <f t="shared" si="12"/>
        <v/>
      </c>
      <c r="AL102" t="str">
        <f t="shared" si="13"/>
        <v/>
      </c>
      <c r="AN102" t="str">
        <f t="shared" si="14"/>
        <v/>
      </c>
      <c r="AQ102" t="str">
        <f t="shared" si="15"/>
        <v/>
      </c>
      <c r="AR102" t="str">
        <f t="shared" si="16"/>
        <v/>
      </c>
      <c r="AS102" t="str">
        <f t="shared" si="17"/>
        <v/>
      </c>
      <c r="AT102" t="str">
        <f t="shared" si="18"/>
        <v/>
      </c>
      <c r="BG102" t="str">
        <f t="shared" si="19"/>
        <v/>
      </c>
      <c r="BH102" t="str">
        <f t="shared" si="20"/>
        <v/>
      </c>
      <c r="BL102" t="str">
        <f>IFERROR(INDEX(_names_lookup!$C:$C,MATCH(BK102,_names_lookup!$A:$A,0)),"")</f>
        <v/>
      </c>
      <c r="BM102" t="str">
        <f>IFERROR(INDEX(_names_lookup!$B:$B,MATCH(BK102,_names_lookup!$A:$A,0)),"")</f>
        <v/>
      </c>
      <c r="BS102" t="str">
        <f t="shared" si="21"/>
        <v/>
      </c>
    </row>
    <row r="103" spans="15:71" x14ac:dyDescent="0.2">
      <c r="O103" t="str">
        <f>IFERROR(INDEX(_courses_lookup!$C:$C,MATCH(K103&amp;L103,_courses_lookup!$E:$E,0)),"")</f>
        <v/>
      </c>
      <c r="P103" t="str">
        <f>IFERROR(INDEX(_courses_lookup!$D:$D,MATCH(K103&amp;L103,_courses_lookup!$E:$E,0)),"")</f>
        <v/>
      </c>
      <c r="AG103" t="str">
        <f t="shared" si="11"/>
        <v/>
      </c>
      <c r="AI103" t="str">
        <f t="shared" si="12"/>
        <v/>
      </c>
      <c r="AL103" t="str">
        <f t="shared" si="13"/>
        <v/>
      </c>
      <c r="AN103" t="str">
        <f t="shared" si="14"/>
        <v/>
      </c>
      <c r="AQ103" t="str">
        <f t="shared" si="15"/>
        <v/>
      </c>
      <c r="AR103" t="str">
        <f t="shared" si="16"/>
        <v/>
      </c>
      <c r="AS103" t="str">
        <f t="shared" si="17"/>
        <v/>
      </c>
      <c r="AT103" t="str">
        <f t="shared" si="18"/>
        <v/>
      </c>
      <c r="BG103" t="str">
        <f t="shared" si="19"/>
        <v/>
      </c>
      <c r="BH103" t="str">
        <f t="shared" si="20"/>
        <v/>
      </c>
      <c r="BL103" t="str">
        <f>IFERROR(INDEX(_names_lookup!$C:$C,MATCH(BK103,_names_lookup!$A:$A,0)),"")</f>
        <v/>
      </c>
      <c r="BM103" t="str">
        <f>IFERROR(INDEX(_names_lookup!$B:$B,MATCH(BK103,_names_lookup!$A:$A,0)),"")</f>
        <v/>
      </c>
      <c r="BS103" t="str">
        <f t="shared" si="21"/>
        <v/>
      </c>
    </row>
    <row r="104" spans="15:71" x14ac:dyDescent="0.2">
      <c r="O104" t="str">
        <f>IFERROR(INDEX(_courses_lookup!$C:$C,MATCH(K104&amp;L104,_courses_lookup!$E:$E,0)),"")</f>
        <v/>
      </c>
      <c r="P104" t="str">
        <f>IFERROR(INDEX(_courses_lookup!$D:$D,MATCH(K104&amp;L104,_courses_lookup!$E:$E,0)),"")</f>
        <v/>
      </c>
      <c r="AG104" t="str">
        <f t="shared" si="11"/>
        <v/>
      </c>
      <c r="AI104" t="str">
        <f t="shared" si="12"/>
        <v/>
      </c>
      <c r="AL104" t="str">
        <f t="shared" si="13"/>
        <v/>
      </c>
      <c r="AN104" t="str">
        <f t="shared" si="14"/>
        <v/>
      </c>
      <c r="AQ104" t="str">
        <f t="shared" si="15"/>
        <v/>
      </c>
      <c r="AR104" t="str">
        <f t="shared" si="16"/>
        <v/>
      </c>
      <c r="AS104" t="str">
        <f t="shared" si="17"/>
        <v/>
      </c>
      <c r="AT104" t="str">
        <f t="shared" si="18"/>
        <v/>
      </c>
      <c r="BG104" t="str">
        <f t="shared" si="19"/>
        <v/>
      </c>
      <c r="BH104" t="str">
        <f t="shared" si="20"/>
        <v/>
      </c>
      <c r="BL104" t="str">
        <f>IFERROR(INDEX(_names_lookup!$C:$C,MATCH(BK104,_names_lookup!$A:$A,0)),"")</f>
        <v/>
      </c>
      <c r="BM104" t="str">
        <f>IFERROR(INDEX(_names_lookup!$B:$B,MATCH(BK104,_names_lookup!$A:$A,0)),"")</f>
        <v/>
      </c>
      <c r="BS104" t="str">
        <f t="shared" si="21"/>
        <v/>
      </c>
    </row>
    <row r="105" spans="15:71" x14ac:dyDescent="0.2">
      <c r="O105" t="str">
        <f>IFERROR(INDEX(_courses_lookup!$C:$C,MATCH(K105&amp;L105,_courses_lookup!$E:$E,0)),"")</f>
        <v/>
      </c>
      <c r="P105" t="str">
        <f>IFERROR(INDEX(_courses_lookup!$D:$D,MATCH(K105&amp;L105,_courses_lookup!$E:$E,0)),"")</f>
        <v/>
      </c>
      <c r="AG105" t="str">
        <f t="shared" si="11"/>
        <v/>
      </c>
      <c r="AI105" t="str">
        <f t="shared" si="12"/>
        <v/>
      </c>
      <c r="AL105" t="str">
        <f t="shared" si="13"/>
        <v/>
      </c>
      <c r="AN105" t="str">
        <f t="shared" si="14"/>
        <v/>
      </c>
      <c r="AQ105" t="str">
        <f t="shared" si="15"/>
        <v/>
      </c>
      <c r="AR105" t="str">
        <f t="shared" si="16"/>
        <v/>
      </c>
      <c r="AS105" t="str">
        <f t="shared" si="17"/>
        <v/>
      </c>
      <c r="AT105" t="str">
        <f t="shared" si="18"/>
        <v/>
      </c>
      <c r="BG105" t="str">
        <f t="shared" si="19"/>
        <v/>
      </c>
      <c r="BH105" t="str">
        <f t="shared" si="20"/>
        <v/>
      </c>
      <c r="BL105" t="str">
        <f>IFERROR(INDEX(_names_lookup!$C:$C,MATCH(BK105,_names_lookup!$A:$A,0)),"")</f>
        <v/>
      </c>
      <c r="BM105" t="str">
        <f>IFERROR(INDEX(_names_lookup!$B:$B,MATCH(BK105,_names_lookup!$A:$A,0)),"")</f>
        <v/>
      </c>
      <c r="BS105" t="str">
        <f t="shared" si="21"/>
        <v/>
      </c>
    </row>
    <row r="106" spans="15:71" x14ac:dyDescent="0.2">
      <c r="O106" t="str">
        <f>IFERROR(INDEX(_courses_lookup!$C:$C,MATCH(K106&amp;L106,_courses_lookup!$E:$E,0)),"")</f>
        <v/>
      </c>
      <c r="P106" t="str">
        <f>IFERROR(INDEX(_courses_lookup!$D:$D,MATCH(K106&amp;L106,_courses_lookup!$E:$E,0)),"")</f>
        <v/>
      </c>
      <c r="AG106" t="str">
        <f t="shared" si="11"/>
        <v/>
      </c>
      <c r="AI106" t="str">
        <f t="shared" si="12"/>
        <v/>
      </c>
      <c r="AL106" t="str">
        <f t="shared" si="13"/>
        <v/>
      </c>
      <c r="AN106" t="str">
        <f t="shared" si="14"/>
        <v/>
      </c>
      <c r="AQ106" t="str">
        <f t="shared" si="15"/>
        <v/>
      </c>
      <c r="AR106" t="str">
        <f t="shared" si="16"/>
        <v/>
      </c>
      <c r="AS106" t="str">
        <f t="shared" si="17"/>
        <v/>
      </c>
      <c r="AT106" t="str">
        <f t="shared" si="18"/>
        <v/>
      </c>
      <c r="BG106" t="str">
        <f t="shared" si="19"/>
        <v/>
      </c>
      <c r="BH106" t="str">
        <f t="shared" si="20"/>
        <v/>
      </c>
      <c r="BL106" t="str">
        <f>IFERROR(INDEX(_names_lookup!$C:$C,MATCH(BK106,_names_lookup!$A:$A,0)),"")</f>
        <v/>
      </c>
      <c r="BM106" t="str">
        <f>IFERROR(INDEX(_names_lookup!$B:$B,MATCH(BK106,_names_lookup!$A:$A,0)),"")</f>
        <v/>
      </c>
      <c r="BS106" t="str">
        <f t="shared" si="21"/>
        <v/>
      </c>
    </row>
    <row r="107" spans="15:71" x14ac:dyDescent="0.2">
      <c r="O107" t="str">
        <f>IFERROR(INDEX(_courses_lookup!$C:$C,MATCH(K107&amp;L107,_courses_lookup!$E:$E,0)),"")</f>
        <v/>
      </c>
      <c r="P107" t="str">
        <f>IFERROR(INDEX(_courses_lookup!$D:$D,MATCH(K107&amp;L107,_courses_lookup!$E:$E,0)),"")</f>
        <v/>
      </c>
      <c r="AG107" t="str">
        <f t="shared" si="11"/>
        <v/>
      </c>
      <c r="AI107" t="str">
        <f t="shared" si="12"/>
        <v/>
      </c>
      <c r="AL107" t="str">
        <f t="shared" si="13"/>
        <v/>
      </c>
      <c r="AN107" t="str">
        <f t="shared" si="14"/>
        <v/>
      </c>
      <c r="AQ107" t="str">
        <f t="shared" si="15"/>
        <v/>
      </c>
      <c r="AR107" t="str">
        <f t="shared" si="16"/>
        <v/>
      </c>
      <c r="AS107" t="str">
        <f t="shared" si="17"/>
        <v/>
      </c>
      <c r="AT107" t="str">
        <f t="shared" si="18"/>
        <v/>
      </c>
      <c r="BG107" t="str">
        <f t="shared" si="19"/>
        <v/>
      </c>
      <c r="BH107" t="str">
        <f t="shared" si="20"/>
        <v/>
      </c>
      <c r="BL107" t="str">
        <f>IFERROR(INDEX(_names_lookup!$C:$C,MATCH(BK107,_names_lookup!$A:$A,0)),"")</f>
        <v/>
      </c>
      <c r="BM107" t="str">
        <f>IFERROR(INDEX(_names_lookup!$B:$B,MATCH(BK107,_names_lookup!$A:$A,0)),"")</f>
        <v/>
      </c>
      <c r="BS107" t="str">
        <f t="shared" si="21"/>
        <v/>
      </c>
    </row>
    <row r="108" spans="15:71" x14ac:dyDescent="0.2">
      <c r="O108" t="str">
        <f>IFERROR(INDEX(_courses_lookup!$C:$C,MATCH(K108&amp;L108,_courses_lookup!$E:$E,0)),"")</f>
        <v/>
      </c>
      <c r="P108" t="str">
        <f>IFERROR(INDEX(_courses_lookup!$D:$D,MATCH(K108&amp;L108,_courses_lookup!$E:$E,0)),"")</f>
        <v/>
      </c>
      <c r="AG108" t="str">
        <f t="shared" si="11"/>
        <v/>
      </c>
      <c r="AI108" t="str">
        <f t="shared" si="12"/>
        <v/>
      </c>
      <c r="AL108" t="str">
        <f t="shared" si="13"/>
        <v/>
      </c>
      <c r="AN108" t="str">
        <f t="shared" si="14"/>
        <v/>
      </c>
      <c r="AQ108" t="str">
        <f t="shared" si="15"/>
        <v/>
      </c>
      <c r="AR108" t="str">
        <f t="shared" si="16"/>
        <v/>
      </c>
      <c r="AS108" t="str">
        <f t="shared" si="17"/>
        <v/>
      </c>
      <c r="AT108" t="str">
        <f t="shared" si="18"/>
        <v/>
      </c>
      <c r="BG108" t="str">
        <f t="shared" si="19"/>
        <v/>
      </c>
      <c r="BH108" t="str">
        <f t="shared" si="20"/>
        <v/>
      </c>
      <c r="BL108" t="str">
        <f>IFERROR(INDEX(_names_lookup!$C:$C,MATCH(BK108,_names_lookup!$A:$A,0)),"")</f>
        <v/>
      </c>
      <c r="BM108" t="str">
        <f>IFERROR(INDEX(_names_lookup!$B:$B,MATCH(BK108,_names_lookup!$A:$A,0)),"")</f>
        <v/>
      </c>
      <c r="BS108" t="str">
        <f t="shared" si="21"/>
        <v/>
      </c>
    </row>
    <row r="109" spans="15:71" x14ac:dyDescent="0.2">
      <c r="O109" t="str">
        <f>IFERROR(INDEX(_courses_lookup!$C:$C,MATCH(K109&amp;L109,_courses_lookup!$E:$E,0)),"")</f>
        <v/>
      </c>
      <c r="P109" t="str">
        <f>IFERROR(INDEX(_courses_lookup!$D:$D,MATCH(K109&amp;L109,_courses_lookup!$E:$E,0)),"")</f>
        <v/>
      </c>
      <c r="AG109" t="str">
        <f t="shared" si="11"/>
        <v/>
      </c>
      <c r="AI109" t="str">
        <f t="shared" si="12"/>
        <v/>
      </c>
      <c r="AL109" t="str">
        <f t="shared" si="13"/>
        <v/>
      </c>
      <c r="AN109" t="str">
        <f t="shared" si="14"/>
        <v/>
      </c>
      <c r="AQ109" t="str">
        <f t="shared" si="15"/>
        <v/>
      </c>
      <c r="AR109" t="str">
        <f t="shared" si="16"/>
        <v/>
      </c>
      <c r="AS109" t="str">
        <f t="shared" si="17"/>
        <v/>
      </c>
      <c r="AT109" t="str">
        <f t="shared" si="18"/>
        <v/>
      </c>
      <c r="BG109" t="str">
        <f t="shared" si="19"/>
        <v/>
      </c>
      <c r="BH109" t="str">
        <f t="shared" si="20"/>
        <v/>
      </c>
      <c r="BL109" t="str">
        <f>IFERROR(INDEX(_names_lookup!$C:$C,MATCH(BK109,_names_lookup!$A:$A,0)),"")</f>
        <v/>
      </c>
      <c r="BM109" t="str">
        <f>IFERROR(INDEX(_names_lookup!$B:$B,MATCH(BK109,_names_lookup!$A:$A,0)),"")</f>
        <v/>
      </c>
      <c r="BS109" t="str">
        <f t="shared" si="21"/>
        <v/>
      </c>
    </row>
    <row r="110" spans="15:71" x14ac:dyDescent="0.2">
      <c r="O110" t="str">
        <f>IFERROR(INDEX(_courses_lookup!$C:$C,MATCH(K110&amp;L110,_courses_lookup!$E:$E,0)),"")</f>
        <v/>
      </c>
      <c r="P110" t="str">
        <f>IFERROR(INDEX(_courses_lookup!$D:$D,MATCH(K110&amp;L110,_courses_lookup!$E:$E,0)),"")</f>
        <v/>
      </c>
      <c r="AG110" t="str">
        <f t="shared" si="11"/>
        <v/>
      </c>
      <c r="AI110" t="str">
        <f t="shared" si="12"/>
        <v/>
      </c>
      <c r="AL110" t="str">
        <f t="shared" si="13"/>
        <v/>
      </c>
      <c r="AN110" t="str">
        <f t="shared" si="14"/>
        <v/>
      </c>
      <c r="AQ110" t="str">
        <f t="shared" si="15"/>
        <v/>
      </c>
      <c r="AR110" t="str">
        <f t="shared" si="16"/>
        <v/>
      </c>
      <c r="AS110" t="str">
        <f t="shared" si="17"/>
        <v/>
      </c>
      <c r="AT110" t="str">
        <f t="shared" si="18"/>
        <v/>
      </c>
      <c r="BG110" t="str">
        <f t="shared" si="19"/>
        <v/>
      </c>
      <c r="BH110" t="str">
        <f t="shared" si="20"/>
        <v/>
      </c>
      <c r="BL110" t="str">
        <f>IFERROR(INDEX(_names_lookup!$C:$C,MATCH(BK110,_names_lookup!$A:$A,0)),"")</f>
        <v/>
      </c>
      <c r="BM110" t="str">
        <f>IFERROR(INDEX(_names_lookup!$B:$B,MATCH(BK110,_names_lookup!$A:$A,0)),"")</f>
        <v/>
      </c>
      <c r="BS110" t="str">
        <f t="shared" si="21"/>
        <v/>
      </c>
    </row>
    <row r="111" spans="15:71" x14ac:dyDescent="0.2">
      <c r="O111" t="str">
        <f>IFERROR(INDEX(_courses_lookup!$C:$C,MATCH(K111&amp;L111,_courses_lookup!$E:$E,0)),"")</f>
        <v/>
      </c>
      <c r="P111" t="str">
        <f>IFERROR(INDEX(_courses_lookup!$D:$D,MATCH(K111&amp;L111,_courses_lookup!$E:$E,0)),"")</f>
        <v/>
      </c>
      <c r="AG111" t="str">
        <f t="shared" si="11"/>
        <v/>
      </c>
      <c r="AI111" t="str">
        <f t="shared" si="12"/>
        <v/>
      </c>
      <c r="AL111" t="str">
        <f t="shared" si="13"/>
        <v/>
      </c>
      <c r="AN111" t="str">
        <f t="shared" si="14"/>
        <v/>
      </c>
      <c r="AQ111" t="str">
        <f t="shared" si="15"/>
        <v/>
      </c>
      <c r="AR111" t="str">
        <f t="shared" si="16"/>
        <v/>
      </c>
      <c r="AS111" t="str">
        <f t="shared" si="17"/>
        <v/>
      </c>
      <c r="AT111" t="str">
        <f t="shared" si="18"/>
        <v/>
      </c>
      <c r="BG111" t="str">
        <f t="shared" si="19"/>
        <v/>
      </c>
      <c r="BH111" t="str">
        <f t="shared" si="20"/>
        <v/>
      </c>
      <c r="BL111" t="str">
        <f>IFERROR(INDEX(_names_lookup!$C:$C,MATCH(BK111,_names_lookup!$A:$A,0)),"")</f>
        <v/>
      </c>
      <c r="BM111" t="str">
        <f>IFERROR(INDEX(_names_lookup!$B:$B,MATCH(BK111,_names_lookup!$A:$A,0)),"")</f>
        <v/>
      </c>
      <c r="BS111" t="str">
        <f t="shared" si="21"/>
        <v/>
      </c>
    </row>
    <row r="112" spans="15:71" x14ac:dyDescent="0.2">
      <c r="O112" t="str">
        <f>IFERROR(INDEX(_courses_lookup!$C:$C,MATCH(K112&amp;L112,_courses_lookup!$E:$E,0)),"")</f>
        <v/>
      </c>
      <c r="P112" t="str">
        <f>IFERROR(INDEX(_courses_lookup!$D:$D,MATCH(K112&amp;L112,_courses_lookup!$E:$E,0)),"")</f>
        <v/>
      </c>
      <c r="AG112" t="str">
        <f t="shared" si="11"/>
        <v/>
      </c>
      <c r="AI112" t="str">
        <f t="shared" si="12"/>
        <v/>
      </c>
      <c r="AL112" t="str">
        <f t="shared" si="13"/>
        <v/>
      </c>
      <c r="AN112" t="str">
        <f t="shared" si="14"/>
        <v/>
      </c>
      <c r="AQ112" t="str">
        <f t="shared" si="15"/>
        <v/>
      </c>
      <c r="AR112" t="str">
        <f t="shared" si="16"/>
        <v/>
      </c>
      <c r="AS112" t="str">
        <f t="shared" si="17"/>
        <v/>
      </c>
      <c r="AT112" t="str">
        <f t="shared" si="18"/>
        <v/>
      </c>
      <c r="BG112" t="str">
        <f t="shared" si="19"/>
        <v/>
      </c>
      <c r="BH112" t="str">
        <f t="shared" si="20"/>
        <v/>
      </c>
      <c r="BL112" t="str">
        <f>IFERROR(INDEX(_names_lookup!$C:$C,MATCH(BK112,_names_lookup!$A:$A,0)),"")</f>
        <v/>
      </c>
      <c r="BM112" t="str">
        <f>IFERROR(INDEX(_names_lookup!$B:$B,MATCH(BK112,_names_lookup!$A:$A,0)),"")</f>
        <v/>
      </c>
      <c r="BS112" t="str">
        <f t="shared" si="21"/>
        <v/>
      </c>
    </row>
    <row r="113" spans="15:71" x14ac:dyDescent="0.2">
      <c r="O113" t="str">
        <f>IFERROR(INDEX(_courses_lookup!$C:$C,MATCH(K113&amp;L113,_courses_lookup!$E:$E,0)),"")</f>
        <v/>
      </c>
      <c r="P113" t="str">
        <f>IFERROR(INDEX(_courses_lookup!$D:$D,MATCH(K113&amp;L113,_courses_lookup!$E:$E,0)),"")</f>
        <v/>
      </c>
      <c r="AG113" t="str">
        <f t="shared" si="11"/>
        <v/>
      </c>
      <c r="AI113" t="str">
        <f t="shared" si="12"/>
        <v/>
      </c>
      <c r="AL113" t="str">
        <f t="shared" si="13"/>
        <v/>
      </c>
      <c r="AN113" t="str">
        <f t="shared" si="14"/>
        <v/>
      </c>
      <c r="AQ113" t="str">
        <f t="shared" si="15"/>
        <v/>
      </c>
      <c r="AR113" t="str">
        <f t="shared" si="16"/>
        <v/>
      </c>
      <c r="AS113" t="str">
        <f t="shared" si="17"/>
        <v/>
      </c>
      <c r="AT113" t="str">
        <f t="shared" si="18"/>
        <v/>
      </c>
      <c r="BG113" t="str">
        <f t="shared" si="19"/>
        <v/>
      </c>
      <c r="BH113" t="str">
        <f t="shared" si="20"/>
        <v/>
      </c>
      <c r="BL113" t="str">
        <f>IFERROR(INDEX(_names_lookup!$C:$C,MATCH(BK113,_names_lookup!$A:$A,0)),"")</f>
        <v/>
      </c>
      <c r="BM113" t="str">
        <f>IFERROR(INDEX(_names_lookup!$B:$B,MATCH(BK113,_names_lookup!$A:$A,0)),"")</f>
        <v/>
      </c>
      <c r="BS113" t="str">
        <f t="shared" si="21"/>
        <v/>
      </c>
    </row>
    <row r="114" spans="15:71" x14ac:dyDescent="0.2">
      <c r="O114" t="str">
        <f>IFERROR(INDEX(_courses_lookup!$C:$C,MATCH(K114&amp;L114,_courses_lookup!$E:$E,0)),"")</f>
        <v/>
      </c>
      <c r="P114" t="str">
        <f>IFERROR(INDEX(_courses_lookup!$D:$D,MATCH(K114&amp;L114,_courses_lookup!$E:$E,0)),"")</f>
        <v/>
      </c>
      <c r="AG114" t="str">
        <f t="shared" si="11"/>
        <v/>
      </c>
      <c r="AI114" t="str">
        <f t="shared" si="12"/>
        <v/>
      </c>
      <c r="AL114" t="str">
        <f t="shared" si="13"/>
        <v/>
      </c>
      <c r="AN114" t="str">
        <f t="shared" si="14"/>
        <v/>
      </c>
      <c r="AQ114" t="str">
        <f t="shared" si="15"/>
        <v/>
      </c>
      <c r="AR114" t="str">
        <f t="shared" si="16"/>
        <v/>
      </c>
      <c r="AS114" t="str">
        <f t="shared" si="17"/>
        <v/>
      </c>
      <c r="AT114" t="str">
        <f t="shared" si="18"/>
        <v/>
      </c>
      <c r="BG114" t="str">
        <f t="shared" si="19"/>
        <v/>
      </c>
      <c r="BH114" t="str">
        <f t="shared" si="20"/>
        <v/>
      </c>
      <c r="BL114" t="str">
        <f>IFERROR(INDEX(_names_lookup!$C:$C,MATCH(BK114,_names_lookup!$A:$A,0)),"")</f>
        <v/>
      </c>
      <c r="BM114" t="str">
        <f>IFERROR(INDEX(_names_lookup!$B:$B,MATCH(BK114,_names_lookup!$A:$A,0)),"")</f>
        <v/>
      </c>
      <c r="BS114" t="str">
        <f t="shared" si="21"/>
        <v/>
      </c>
    </row>
    <row r="115" spans="15:71" x14ac:dyDescent="0.2">
      <c r="O115" t="str">
        <f>IFERROR(INDEX(_courses_lookup!$C:$C,MATCH(K115&amp;L115,_courses_lookup!$E:$E,0)),"")</f>
        <v/>
      </c>
      <c r="P115" t="str">
        <f>IFERROR(INDEX(_courses_lookup!$D:$D,MATCH(K115&amp;L115,_courses_lookup!$E:$E,0)),"")</f>
        <v/>
      </c>
      <c r="AG115" t="str">
        <f t="shared" si="11"/>
        <v/>
      </c>
      <c r="AI115" t="str">
        <f t="shared" si="12"/>
        <v/>
      </c>
      <c r="AL115" t="str">
        <f t="shared" si="13"/>
        <v/>
      </c>
      <c r="AN115" t="str">
        <f t="shared" si="14"/>
        <v/>
      </c>
      <c r="AQ115" t="str">
        <f t="shared" si="15"/>
        <v/>
      </c>
      <c r="AR115" t="str">
        <f t="shared" si="16"/>
        <v/>
      </c>
      <c r="AS115" t="str">
        <f t="shared" si="17"/>
        <v/>
      </c>
      <c r="AT115" t="str">
        <f t="shared" si="18"/>
        <v/>
      </c>
      <c r="BG115" t="str">
        <f t="shared" si="19"/>
        <v/>
      </c>
      <c r="BH115" t="str">
        <f t="shared" si="20"/>
        <v/>
      </c>
      <c r="BL115" t="str">
        <f>IFERROR(INDEX(_names_lookup!$C:$C,MATCH(BK115,_names_lookup!$A:$A,0)),"")</f>
        <v/>
      </c>
      <c r="BM115" t="str">
        <f>IFERROR(INDEX(_names_lookup!$B:$B,MATCH(BK115,_names_lookup!$A:$A,0)),"")</f>
        <v/>
      </c>
      <c r="BS115" t="str">
        <f t="shared" si="21"/>
        <v/>
      </c>
    </row>
    <row r="116" spans="15:71" x14ac:dyDescent="0.2">
      <c r="O116" t="str">
        <f>IFERROR(INDEX(_courses_lookup!$C:$C,MATCH(K116&amp;L116,_courses_lookup!$E:$E,0)),"")</f>
        <v/>
      </c>
      <c r="P116" t="str">
        <f>IFERROR(INDEX(_courses_lookup!$D:$D,MATCH(K116&amp;L116,_courses_lookup!$E:$E,0)),"")</f>
        <v/>
      </c>
      <c r="AG116" t="str">
        <f t="shared" si="11"/>
        <v/>
      </c>
      <c r="AI116" t="str">
        <f t="shared" si="12"/>
        <v/>
      </c>
      <c r="AL116" t="str">
        <f t="shared" si="13"/>
        <v/>
      </c>
      <c r="AN116" t="str">
        <f t="shared" si="14"/>
        <v/>
      </c>
      <c r="AQ116" t="str">
        <f t="shared" si="15"/>
        <v/>
      </c>
      <c r="AR116" t="str">
        <f t="shared" si="16"/>
        <v/>
      </c>
      <c r="AS116" t="str">
        <f t="shared" si="17"/>
        <v/>
      </c>
      <c r="AT116" t="str">
        <f t="shared" si="18"/>
        <v/>
      </c>
      <c r="BG116" t="str">
        <f t="shared" si="19"/>
        <v/>
      </c>
      <c r="BH116" t="str">
        <f t="shared" si="20"/>
        <v/>
      </c>
      <c r="BL116" t="str">
        <f>IFERROR(INDEX(_names_lookup!$C:$C,MATCH(BK116,_names_lookup!$A:$A,0)),"")</f>
        <v/>
      </c>
      <c r="BM116" t="str">
        <f>IFERROR(INDEX(_names_lookup!$B:$B,MATCH(BK116,_names_lookup!$A:$A,0)),"")</f>
        <v/>
      </c>
      <c r="BS116" t="str">
        <f t="shared" si="21"/>
        <v/>
      </c>
    </row>
    <row r="117" spans="15:71" x14ac:dyDescent="0.2">
      <c r="O117" t="str">
        <f>IFERROR(INDEX(_courses_lookup!$C:$C,MATCH(K117&amp;L117,_courses_lookup!$E:$E,0)),"")</f>
        <v/>
      </c>
      <c r="P117" t="str">
        <f>IFERROR(INDEX(_courses_lookup!$D:$D,MATCH(K117&amp;L117,_courses_lookup!$E:$E,0)),"")</f>
        <v/>
      </c>
      <c r="AG117" t="str">
        <f t="shared" si="11"/>
        <v/>
      </c>
      <c r="AI117" t="str">
        <f t="shared" si="12"/>
        <v/>
      </c>
      <c r="AL117" t="str">
        <f t="shared" si="13"/>
        <v/>
      </c>
      <c r="AN117" t="str">
        <f t="shared" si="14"/>
        <v/>
      </c>
      <c r="AQ117" t="str">
        <f t="shared" si="15"/>
        <v/>
      </c>
      <c r="AR117" t="str">
        <f t="shared" si="16"/>
        <v/>
      </c>
      <c r="AS117" t="str">
        <f t="shared" si="17"/>
        <v/>
      </c>
      <c r="AT117" t="str">
        <f t="shared" si="18"/>
        <v/>
      </c>
      <c r="BG117" t="str">
        <f t="shared" si="19"/>
        <v/>
      </c>
      <c r="BH117" t="str">
        <f t="shared" si="20"/>
        <v/>
      </c>
      <c r="BL117" t="str">
        <f>IFERROR(INDEX(_names_lookup!$C:$C,MATCH(BK117,_names_lookup!$A:$A,0)),"")</f>
        <v/>
      </c>
      <c r="BM117" t="str">
        <f>IFERROR(INDEX(_names_lookup!$B:$B,MATCH(BK117,_names_lookup!$A:$A,0)),"")</f>
        <v/>
      </c>
      <c r="BS117" t="str">
        <f t="shared" si="21"/>
        <v/>
      </c>
    </row>
    <row r="118" spans="15:71" x14ac:dyDescent="0.2">
      <c r="O118" t="str">
        <f>IFERROR(INDEX(_courses_lookup!$C:$C,MATCH(K118&amp;L118,_courses_lookup!$E:$E,0)),"")</f>
        <v/>
      </c>
      <c r="P118" t="str">
        <f>IFERROR(INDEX(_courses_lookup!$D:$D,MATCH(K118&amp;L118,_courses_lookup!$E:$E,0)),"")</f>
        <v/>
      </c>
      <c r="AG118" t="str">
        <f t="shared" si="11"/>
        <v/>
      </c>
      <c r="AI118" t="str">
        <f t="shared" si="12"/>
        <v/>
      </c>
      <c r="AL118" t="str">
        <f t="shared" si="13"/>
        <v/>
      </c>
      <c r="AN118" t="str">
        <f t="shared" si="14"/>
        <v/>
      </c>
      <c r="AQ118" t="str">
        <f t="shared" si="15"/>
        <v/>
      </c>
      <c r="AR118" t="str">
        <f t="shared" si="16"/>
        <v/>
      </c>
      <c r="AS118" t="str">
        <f t="shared" si="17"/>
        <v/>
      </c>
      <c r="AT118" t="str">
        <f t="shared" si="18"/>
        <v/>
      </c>
      <c r="BG118" t="str">
        <f t="shared" si="19"/>
        <v/>
      </c>
      <c r="BH118" t="str">
        <f t="shared" si="20"/>
        <v/>
      </c>
      <c r="BL118" t="str">
        <f>IFERROR(INDEX(_names_lookup!$C:$C,MATCH(BK118,_names_lookup!$A:$A,0)),"")</f>
        <v/>
      </c>
      <c r="BM118" t="str">
        <f>IFERROR(INDEX(_names_lookup!$B:$B,MATCH(BK118,_names_lookup!$A:$A,0)),"")</f>
        <v/>
      </c>
      <c r="BS118" t="str">
        <f t="shared" si="21"/>
        <v/>
      </c>
    </row>
    <row r="119" spans="15:71" x14ac:dyDescent="0.2">
      <c r="O119" t="str">
        <f>IFERROR(INDEX(_courses_lookup!$C:$C,MATCH(K119&amp;L119,_courses_lookup!$E:$E,0)),"")</f>
        <v/>
      </c>
      <c r="P119" t="str">
        <f>IFERROR(INDEX(_courses_lookup!$D:$D,MATCH(K119&amp;L119,_courses_lookup!$E:$E,0)),"")</f>
        <v/>
      </c>
      <c r="AG119" t="str">
        <f t="shared" si="11"/>
        <v/>
      </c>
      <c r="AI119" t="str">
        <f t="shared" si="12"/>
        <v/>
      </c>
      <c r="AL119" t="str">
        <f t="shared" si="13"/>
        <v/>
      </c>
      <c r="AN119" t="str">
        <f t="shared" si="14"/>
        <v/>
      </c>
      <c r="AQ119" t="str">
        <f t="shared" si="15"/>
        <v/>
      </c>
      <c r="AR119" t="str">
        <f t="shared" si="16"/>
        <v/>
      </c>
      <c r="AS119" t="str">
        <f t="shared" si="17"/>
        <v/>
      </c>
      <c r="AT119" t="str">
        <f t="shared" si="18"/>
        <v/>
      </c>
      <c r="BG119" t="str">
        <f t="shared" si="19"/>
        <v/>
      </c>
      <c r="BH119" t="str">
        <f t="shared" si="20"/>
        <v/>
      </c>
      <c r="BL119" t="str">
        <f>IFERROR(INDEX(_names_lookup!$C:$C,MATCH(BK119,_names_lookup!$A:$A,0)),"")</f>
        <v/>
      </c>
      <c r="BM119" t="str">
        <f>IFERROR(INDEX(_names_lookup!$B:$B,MATCH(BK119,_names_lookup!$A:$A,0)),"")</f>
        <v/>
      </c>
      <c r="BS119" t="str">
        <f t="shared" si="21"/>
        <v/>
      </c>
    </row>
    <row r="120" spans="15:71" x14ac:dyDescent="0.2">
      <c r="O120" t="str">
        <f>IFERROR(INDEX(_courses_lookup!$C:$C,MATCH(K120&amp;L120,_courses_lookup!$E:$E,0)),"")</f>
        <v/>
      </c>
      <c r="P120" t="str">
        <f>IFERROR(INDEX(_courses_lookup!$D:$D,MATCH(K120&amp;L120,_courses_lookup!$E:$E,0)),"")</f>
        <v/>
      </c>
      <c r="AG120" t="str">
        <f t="shared" si="11"/>
        <v/>
      </c>
      <c r="AI120" t="str">
        <f t="shared" si="12"/>
        <v/>
      </c>
      <c r="AL120" t="str">
        <f t="shared" si="13"/>
        <v/>
      </c>
      <c r="AN120" t="str">
        <f t="shared" si="14"/>
        <v/>
      </c>
      <c r="AQ120" t="str">
        <f t="shared" si="15"/>
        <v/>
      </c>
      <c r="AR120" t="str">
        <f t="shared" si="16"/>
        <v/>
      </c>
      <c r="AS120" t="str">
        <f t="shared" si="17"/>
        <v/>
      </c>
      <c r="AT120" t="str">
        <f t="shared" si="18"/>
        <v/>
      </c>
      <c r="BG120" t="str">
        <f t="shared" si="19"/>
        <v/>
      </c>
      <c r="BH120" t="str">
        <f t="shared" si="20"/>
        <v/>
      </c>
      <c r="BL120" t="str">
        <f>IFERROR(INDEX(_names_lookup!$C:$C,MATCH(BK120,_names_lookup!$A:$A,0)),"")</f>
        <v/>
      </c>
      <c r="BM120" t="str">
        <f>IFERROR(INDEX(_names_lookup!$B:$B,MATCH(BK120,_names_lookup!$A:$A,0)),"")</f>
        <v/>
      </c>
      <c r="BS120" t="str">
        <f t="shared" si="21"/>
        <v/>
      </c>
    </row>
    <row r="121" spans="15:71" x14ac:dyDescent="0.2">
      <c r="O121" t="str">
        <f>IFERROR(INDEX(_courses_lookup!$C:$C,MATCH(K121&amp;L121,_courses_lookup!$E:$E,0)),"")</f>
        <v/>
      </c>
      <c r="P121" t="str">
        <f>IFERROR(INDEX(_courses_lookup!$D:$D,MATCH(K121&amp;L121,_courses_lookup!$E:$E,0)),"")</f>
        <v/>
      </c>
      <c r="AG121" t="str">
        <f t="shared" si="11"/>
        <v/>
      </c>
      <c r="AI121" t="str">
        <f t="shared" si="12"/>
        <v/>
      </c>
      <c r="AL121" t="str">
        <f t="shared" si="13"/>
        <v/>
      </c>
      <c r="AN121" t="str">
        <f t="shared" si="14"/>
        <v/>
      </c>
      <c r="AQ121" t="str">
        <f t="shared" si="15"/>
        <v/>
      </c>
      <c r="AR121" t="str">
        <f t="shared" si="16"/>
        <v/>
      </c>
      <c r="AS121" t="str">
        <f t="shared" si="17"/>
        <v/>
      </c>
      <c r="AT121" t="str">
        <f t="shared" si="18"/>
        <v/>
      </c>
      <c r="BG121" t="str">
        <f t="shared" si="19"/>
        <v/>
      </c>
      <c r="BH121" t="str">
        <f t="shared" si="20"/>
        <v/>
      </c>
      <c r="BL121" t="str">
        <f>IFERROR(INDEX(_names_lookup!$C:$C,MATCH(BK121,_names_lookup!$A:$A,0)),"")</f>
        <v/>
      </c>
      <c r="BM121" t="str">
        <f>IFERROR(INDEX(_names_lookup!$B:$B,MATCH(BK121,_names_lookup!$A:$A,0)),"")</f>
        <v/>
      </c>
      <c r="BS121" t="str">
        <f t="shared" si="21"/>
        <v/>
      </c>
    </row>
    <row r="122" spans="15:71" x14ac:dyDescent="0.2">
      <c r="O122" t="str">
        <f>IFERROR(INDEX(_courses_lookup!$C:$C,MATCH(K122&amp;L122,_courses_lookup!$E:$E,0)),"")</f>
        <v/>
      </c>
      <c r="P122" t="str">
        <f>IFERROR(INDEX(_courses_lookup!$D:$D,MATCH(K122&amp;L122,_courses_lookup!$E:$E,0)),"")</f>
        <v/>
      </c>
      <c r="AG122" t="str">
        <f t="shared" si="11"/>
        <v/>
      </c>
      <c r="AI122" t="str">
        <f t="shared" si="12"/>
        <v/>
      </c>
      <c r="AL122" t="str">
        <f t="shared" si="13"/>
        <v/>
      </c>
      <c r="AN122" t="str">
        <f t="shared" si="14"/>
        <v/>
      </c>
      <c r="AQ122" t="str">
        <f t="shared" si="15"/>
        <v/>
      </c>
      <c r="AR122" t="str">
        <f t="shared" si="16"/>
        <v/>
      </c>
      <c r="AS122" t="str">
        <f t="shared" si="17"/>
        <v/>
      </c>
      <c r="AT122" t="str">
        <f t="shared" si="18"/>
        <v/>
      </c>
      <c r="BG122" t="str">
        <f t="shared" si="19"/>
        <v/>
      </c>
      <c r="BH122" t="str">
        <f t="shared" si="20"/>
        <v/>
      </c>
      <c r="BL122" t="str">
        <f>IFERROR(INDEX(_names_lookup!$C:$C,MATCH(BK122,_names_lookup!$A:$A,0)),"")</f>
        <v/>
      </c>
      <c r="BM122" t="str">
        <f>IFERROR(INDEX(_names_lookup!$B:$B,MATCH(BK122,_names_lookup!$A:$A,0)),"")</f>
        <v/>
      </c>
      <c r="BS122" t="str">
        <f t="shared" si="21"/>
        <v/>
      </c>
    </row>
    <row r="123" spans="15:71" x14ac:dyDescent="0.2">
      <c r="O123" t="str">
        <f>IFERROR(INDEX(_courses_lookup!$C:$C,MATCH(K123&amp;L123,_courses_lookup!$E:$E,0)),"")</f>
        <v/>
      </c>
      <c r="P123" t="str">
        <f>IFERROR(INDEX(_courses_lookup!$D:$D,MATCH(K123&amp;L123,_courses_lookup!$E:$E,0)),"")</f>
        <v/>
      </c>
      <c r="AG123" t="str">
        <f t="shared" si="11"/>
        <v/>
      </c>
      <c r="AI123" t="str">
        <f t="shared" si="12"/>
        <v/>
      </c>
      <c r="AL123" t="str">
        <f t="shared" si="13"/>
        <v/>
      </c>
      <c r="AN123" t="str">
        <f t="shared" si="14"/>
        <v/>
      </c>
      <c r="AQ123" t="str">
        <f t="shared" si="15"/>
        <v/>
      </c>
      <c r="AR123" t="str">
        <f t="shared" si="16"/>
        <v/>
      </c>
      <c r="AS123" t="str">
        <f t="shared" si="17"/>
        <v/>
      </c>
      <c r="AT123" t="str">
        <f t="shared" si="18"/>
        <v/>
      </c>
      <c r="BG123" t="str">
        <f t="shared" si="19"/>
        <v/>
      </c>
      <c r="BH123" t="str">
        <f t="shared" si="20"/>
        <v/>
      </c>
      <c r="BL123" t="str">
        <f>IFERROR(INDEX(_names_lookup!$C:$C,MATCH(BK123,_names_lookup!$A:$A,0)),"")</f>
        <v/>
      </c>
      <c r="BM123" t="str">
        <f>IFERROR(INDEX(_names_lookup!$B:$B,MATCH(BK123,_names_lookup!$A:$A,0)),"")</f>
        <v/>
      </c>
      <c r="BS123" t="str">
        <f t="shared" si="21"/>
        <v/>
      </c>
    </row>
    <row r="124" spans="15:71" x14ac:dyDescent="0.2">
      <c r="O124" t="str">
        <f>IFERROR(INDEX(_courses_lookup!$C:$C,MATCH(K124&amp;L124,_courses_lookup!$E:$E,0)),"")</f>
        <v/>
      </c>
      <c r="P124" t="str">
        <f>IFERROR(INDEX(_courses_lookup!$D:$D,MATCH(K124&amp;L124,_courses_lookup!$E:$E,0)),"")</f>
        <v/>
      </c>
      <c r="AG124" t="str">
        <f t="shared" si="11"/>
        <v/>
      </c>
      <c r="AI124" t="str">
        <f t="shared" si="12"/>
        <v/>
      </c>
      <c r="AL124" t="str">
        <f t="shared" si="13"/>
        <v/>
      </c>
      <c r="AN124" t="str">
        <f t="shared" si="14"/>
        <v/>
      </c>
      <c r="AQ124" t="str">
        <f t="shared" si="15"/>
        <v/>
      </c>
      <c r="AR124" t="str">
        <f t="shared" si="16"/>
        <v/>
      </c>
      <c r="AS124" t="str">
        <f t="shared" si="17"/>
        <v/>
      </c>
      <c r="AT124" t="str">
        <f t="shared" si="18"/>
        <v/>
      </c>
      <c r="BG124" t="str">
        <f t="shared" si="19"/>
        <v/>
      </c>
      <c r="BH124" t="str">
        <f t="shared" si="20"/>
        <v/>
      </c>
      <c r="BL124" t="str">
        <f>IFERROR(INDEX(_names_lookup!$C:$C,MATCH(BK124,_names_lookup!$A:$A,0)),"")</f>
        <v/>
      </c>
      <c r="BM124" t="str">
        <f>IFERROR(INDEX(_names_lookup!$B:$B,MATCH(BK124,_names_lookup!$A:$A,0)),"")</f>
        <v/>
      </c>
      <c r="BS124" t="str">
        <f t="shared" si="21"/>
        <v/>
      </c>
    </row>
    <row r="125" spans="15:71" x14ac:dyDescent="0.2">
      <c r="O125" t="str">
        <f>IFERROR(INDEX(_courses_lookup!$C:$C,MATCH(K125&amp;L125,_courses_lookup!$E:$E,0)),"")</f>
        <v/>
      </c>
      <c r="P125" t="str">
        <f>IFERROR(INDEX(_courses_lookup!$D:$D,MATCH(K125&amp;L125,_courses_lookup!$E:$E,0)),"")</f>
        <v/>
      </c>
      <c r="AG125" t="str">
        <f t="shared" si="11"/>
        <v/>
      </c>
      <c r="AI125" t="str">
        <f t="shared" si="12"/>
        <v/>
      </c>
      <c r="AL125" t="str">
        <f t="shared" si="13"/>
        <v/>
      </c>
      <c r="AN125" t="str">
        <f t="shared" si="14"/>
        <v/>
      </c>
      <c r="AQ125" t="str">
        <f t="shared" si="15"/>
        <v/>
      </c>
      <c r="AR125" t="str">
        <f t="shared" si="16"/>
        <v/>
      </c>
      <c r="AS125" t="str">
        <f t="shared" si="17"/>
        <v/>
      </c>
      <c r="AT125" t="str">
        <f t="shared" si="18"/>
        <v/>
      </c>
      <c r="BG125" t="str">
        <f t="shared" si="19"/>
        <v/>
      </c>
      <c r="BH125" t="str">
        <f t="shared" si="20"/>
        <v/>
      </c>
      <c r="BL125" t="str">
        <f>IFERROR(INDEX(_names_lookup!$C:$C,MATCH(BK125,_names_lookup!$A:$A,0)),"")</f>
        <v/>
      </c>
      <c r="BM125" t="str">
        <f>IFERROR(INDEX(_names_lookup!$B:$B,MATCH(BK125,_names_lookup!$A:$A,0)),"")</f>
        <v/>
      </c>
      <c r="BS125" t="str">
        <f t="shared" si="21"/>
        <v/>
      </c>
    </row>
    <row r="126" spans="15:71" x14ac:dyDescent="0.2">
      <c r="O126" t="str">
        <f>IFERROR(INDEX(_courses_lookup!$C:$C,MATCH(K126&amp;L126,_courses_lookup!$E:$E,0)),"")</f>
        <v/>
      </c>
      <c r="P126" t="str">
        <f>IFERROR(INDEX(_courses_lookup!$D:$D,MATCH(K126&amp;L126,_courses_lookup!$E:$E,0)),"")</f>
        <v/>
      </c>
      <c r="AG126" t="str">
        <f t="shared" si="11"/>
        <v/>
      </c>
      <c r="AI126" t="str">
        <f t="shared" si="12"/>
        <v/>
      </c>
      <c r="AL126" t="str">
        <f t="shared" si="13"/>
        <v/>
      </c>
      <c r="AN126" t="str">
        <f t="shared" si="14"/>
        <v/>
      </c>
      <c r="AQ126" t="str">
        <f t="shared" si="15"/>
        <v/>
      </c>
      <c r="AR126" t="str">
        <f t="shared" si="16"/>
        <v/>
      </c>
      <c r="AS126" t="str">
        <f t="shared" si="17"/>
        <v/>
      </c>
      <c r="AT126" t="str">
        <f t="shared" si="18"/>
        <v/>
      </c>
      <c r="BG126" t="str">
        <f t="shared" si="19"/>
        <v/>
      </c>
      <c r="BH126" t="str">
        <f t="shared" si="20"/>
        <v/>
      </c>
      <c r="BL126" t="str">
        <f>IFERROR(INDEX(_names_lookup!$C:$C,MATCH(BK126,_names_lookup!$A:$A,0)),"")</f>
        <v/>
      </c>
      <c r="BM126" t="str">
        <f>IFERROR(INDEX(_names_lookup!$B:$B,MATCH(BK126,_names_lookup!$A:$A,0)),"")</f>
        <v/>
      </c>
      <c r="BS126" t="str">
        <f t="shared" si="21"/>
        <v/>
      </c>
    </row>
    <row r="127" spans="15:71" x14ac:dyDescent="0.2">
      <c r="O127" t="str">
        <f>IFERROR(INDEX(_courses_lookup!$C:$C,MATCH(K127&amp;L127,_courses_lookup!$E:$E,0)),"")</f>
        <v/>
      </c>
      <c r="P127" t="str">
        <f>IFERROR(INDEX(_courses_lookup!$D:$D,MATCH(K127&amp;L127,_courses_lookup!$E:$E,0)),"")</f>
        <v/>
      </c>
      <c r="AG127" t="str">
        <f t="shared" si="11"/>
        <v/>
      </c>
      <c r="AI127" t="str">
        <f t="shared" si="12"/>
        <v/>
      </c>
      <c r="AL127" t="str">
        <f t="shared" si="13"/>
        <v/>
      </c>
      <c r="AN127" t="str">
        <f t="shared" si="14"/>
        <v/>
      </c>
      <c r="AQ127" t="str">
        <f t="shared" si="15"/>
        <v/>
      </c>
      <c r="AR127" t="str">
        <f t="shared" si="16"/>
        <v/>
      </c>
      <c r="AS127" t="str">
        <f t="shared" si="17"/>
        <v/>
      </c>
      <c r="AT127" t="str">
        <f t="shared" si="18"/>
        <v/>
      </c>
      <c r="BG127" t="str">
        <f t="shared" si="19"/>
        <v/>
      </c>
      <c r="BH127" t="str">
        <f t="shared" si="20"/>
        <v/>
      </c>
      <c r="BL127" t="str">
        <f>IFERROR(INDEX(_names_lookup!$C:$C,MATCH(BK127,_names_lookup!$A:$A,0)),"")</f>
        <v/>
      </c>
      <c r="BM127" t="str">
        <f>IFERROR(INDEX(_names_lookup!$B:$B,MATCH(BK127,_names_lookup!$A:$A,0)),"")</f>
        <v/>
      </c>
      <c r="BS127" t="str">
        <f t="shared" si="21"/>
        <v/>
      </c>
    </row>
    <row r="128" spans="15:71" x14ac:dyDescent="0.2">
      <c r="O128" t="str">
        <f>IFERROR(INDEX(_courses_lookup!$C:$C,MATCH(K128&amp;L128,_courses_lookup!$E:$E,0)),"")</f>
        <v/>
      </c>
      <c r="P128" t="str">
        <f>IFERROR(INDEX(_courses_lookup!$D:$D,MATCH(K128&amp;L128,_courses_lookup!$E:$E,0)),"")</f>
        <v/>
      </c>
      <c r="AG128" t="str">
        <f t="shared" si="11"/>
        <v/>
      </c>
      <c r="AI128" t="str">
        <f t="shared" si="12"/>
        <v/>
      </c>
      <c r="AL128" t="str">
        <f t="shared" si="13"/>
        <v/>
      </c>
      <c r="AN128" t="str">
        <f t="shared" si="14"/>
        <v/>
      </c>
      <c r="AQ128" t="str">
        <f t="shared" si="15"/>
        <v/>
      </c>
      <c r="AR128" t="str">
        <f t="shared" si="16"/>
        <v/>
      </c>
      <c r="AS128" t="str">
        <f t="shared" si="17"/>
        <v/>
      </c>
      <c r="AT128" t="str">
        <f t="shared" si="18"/>
        <v/>
      </c>
      <c r="BG128" t="str">
        <f t="shared" si="19"/>
        <v/>
      </c>
      <c r="BH128" t="str">
        <f t="shared" si="20"/>
        <v/>
      </c>
      <c r="BL128" t="str">
        <f>IFERROR(INDEX(_names_lookup!$C:$C,MATCH(BK128,_names_lookup!$A:$A,0)),"")</f>
        <v/>
      </c>
      <c r="BM128" t="str">
        <f>IFERROR(INDEX(_names_lookup!$B:$B,MATCH(BK128,_names_lookup!$A:$A,0)),"")</f>
        <v/>
      </c>
      <c r="BS128" t="str">
        <f t="shared" si="21"/>
        <v/>
      </c>
    </row>
    <row r="129" spans="15:71" x14ac:dyDescent="0.2">
      <c r="O129" t="str">
        <f>IFERROR(INDEX(_courses_lookup!$C:$C,MATCH(K129&amp;L129,_courses_lookup!$E:$E,0)),"")</f>
        <v/>
      </c>
      <c r="P129" t="str">
        <f>IFERROR(INDEX(_courses_lookup!$D:$D,MATCH(K129&amp;L129,_courses_lookup!$E:$E,0)),"")</f>
        <v/>
      </c>
      <c r="AG129" t="str">
        <f t="shared" si="11"/>
        <v/>
      </c>
      <c r="AI129" t="str">
        <f t="shared" si="12"/>
        <v/>
      </c>
      <c r="AL129" t="str">
        <f t="shared" si="13"/>
        <v/>
      </c>
      <c r="AN129" t="str">
        <f t="shared" si="14"/>
        <v/>
      </c>
      <c r="AQ129" t="str">
        <f t="shared" si="15"/>
        <v/>
      </c>
      <c r="AR129" t="str">
        <f t="shared" si="16"/>
        <v/>
      </c>
      <c r="AS129" t="str">
        <f t="shared" si="17"/>
        <v/>
      </c>
      <c r="AT129" t="str">
        <f t="shared" si="18"/>
        <v/>
      </c>
      <c r="BG129" t="str">
        <f t="shared" si="19"/>
        <v/>
      </c>
      <c r="BH129" t="str">
        <f t="shared" si="20"/>
        <v/>
      </c>
      <c r="BL129" t="str">
        <f>IFERROR(INDEX(_names_lookup!$C:$C,MATCH(BK129,_names_lookup!$A:$A,0)),"")</f>
        <v/>
      </c>
      <c r="BM129" t="str">
        <f>IFERROR(INDEX(_names_lookup!$B:$B,MATCH(BK129,_names_lookup!$A:$A,0)),"")</f>
        <v/>
      </c>
      <c r="BS129" t="str">
        <f t="shared" si="21"/>
        <v/>
      </c>
    </row>
    <row r="130" spans="15:71" x14ac:dyDescent="0.2">
      <c r="O130" t="str">
        <f>IFERROR(INDEX(_courses_lookup!$C:$C,MATCH(K130&amp;L130,_courses_lookup!$E:$E,0)),"")</f>
        <v/>
      </c>
      <c r="P130" t="str">
        <f>IFERROR(INDEX(_courses_lookup!$D:$D,MATCH(K130&amp;L130,_courses_lookup!$E:$E,0)),"")</f>
        <v/>
      </c>
      <c r="AG130" t="str">
        <f t="shared" ref="AG130:AG193" si="22">IF(AND(AE130&lt;&gt;"",AF130&lt;&gt;""),ROUNDUP((AF130-AE130)/7,0),"")</f>
        <v/>
      </c>
      <c r="AI130" t="str">
        <f t="shared" ref="AI130:AI193" si="23">IFERROR(IF(AG130*AH130=0,"",AG130*AH130),"")</f>
        <v/>
      </c>
      <c r="AL130" t="str">
        <f t="shared" ref="AL130:AL193" si="24">IF(AND(AJ130&lt;&gt;"",AK130&lt;&gt;""),ROUNDUP((AK130-AJ130)/7,0),"")</f>
        <v/>
      </c>
      <c r="AN130" t="str">
        <f t="shared" ref="AN130:AN193" si="25">IFERROR(IF(AL130*AM130=0,"",AL130*AM130),"")</f>
        <v/>
      </c>
      <c r="AQ130" t="str">
        <f t="shared" ref="AQ130:AQ193" si="26">IF(AND(AO130&lt;&gt;"",AP130&lt;&gt;""),ROUNDUP((AP130-AO130)/7,0),"")</f>
        <v/>
      </c>
      <c r="AR130" t="str">
        <f t="shared" ref="AR130:AR193" si="27">IFERROR(IF((AU130-(AI130+AN130))/AQ130=0,"",ROUNDUP((AU130-(AI130+AN130))/AQ130,0)),"")</f>
        <v/>
      </c>
      <c r="AS130" t="str">
        <f t="shared" ref="AS130:AS193" si="28">IFERROR(IF((AU130-(AI130+AN130))=0,"",(AU130-(AI130+AN130))),"")</f>
        <v/>
      </c>
      <c r="AT130" t="str">
        <f t="shared" ref="AT130:AT193" si="29">IF(AND(AG130="",AQ130=""),AL130,IF(SUM(AG130,AL130,AQ130)=0,"",SUM(AG130,AL130,AQ130)))</f>
        <v/>
      </c>
      <c r="BG130" t="str">
        <f t="shared" ref="BG130:BG193" si="30">IF(AD130="","",YEAR(AD130)+IF(MONTH(AD130)&gt;=5,1,0))</f>
        <v/>
      </c>
      <c r="BH130" t="str">
        <f t="shared" ref="BH130:BH193" si="31">IF(AD130="","",IF(AND(MONTH(AD130)=8,DAY(AD130)&gt;=15),"Fall",IF(MONTH(AD130)&gt;8,"Fall",IF(MONTH(AD130)=5,"Summer",IF(MONTH(AD130)=1,"Spring","")))))</f>
        <v/>
      </c>
      <c r="BL130" t="str">
        <f>IFERROR(INDEX(_names_lookup!$C:$C,MATCH(BK130,_names_lookup!$A:$A,0)),"")</f>
        <v/>
      </c>
      <c r="BM130" t="str">
        <f>IFERROR(INDEX(_names_lookup!$B:$B,MATCH(BK130,_names_lookup!$A:$A,0)),"")</f>
        <v/>
      </c>
      <c r="BS130" t="str">
        <f t="shared" ref="BS130:BS193" si="32">IFERROR(IF(BR130*AA130=0,"",BR130*AA130),"")</f>
        <v/>
      </c>
    </row>
    <row r="131" spans="15:71" x14ac:dyDescent="0.2">
      <c r="O131" t="str">
        <f>IFERROR(INDEX(_courses_lookup!$C:$C,MATCH(K131&amp;L131,_courses_lookup!$E:$E,0)),"")</f>
        <v/>
      </c>
      <c r="P131" t="str">
        <f>IFERROR(INDEX(_courses_lookup!$D:$D,MATCH(K131&amp;L131,_courses_lookup!$E:$E,0)),"")</f>
        <v/>
      </c>
      <c r="AG131" t="str">
        <f t="shared" si="22"/>
        <v/>
      </c>
      <c r="AI131" t="str">
        <f t="shared" si="23"/>
        <v/>
      </c>
      <c r="AL131" t="str">
        <f t="shared" si="24"/>
        <v/>
      </c>
      <c r="AN131" t="str">
        <f t="shared" si="25"/>
        <v/>
      </c>
      <c r="AQ131" t="str">
        <f t="shared" si="26"/>
        <v/>
      </c>
      <c r="AR131" t="str">
        <f t="shared" si="27"/>
        <v/>
      </c>
      <c r="AS131" t="str">
        <f t="shared" si="28"/>
        <v/>
      </c>
      <c r="AT131" t="str">
        <f t="shared" si="29"/>
        <v/>
      </c>
      <c r="BG131" t="str">
        <f t="shared" si="30"/>
        <v/>
      </c>
      <c r="BH131" t="str">
        <f t="shared" si="31"/>
        <v/>
      </c>
      <c r="BL131" t="str">
        <f>IFERROR(INDEX(_names_lookup!$C:$C,MATCH(BK131,_names_lookup!$A:$A,0)),"")</f>
        <v/>
      </c>
      <c r="BM131" t="str">
        <f>IFERROR(INDEX(_names_lookup!$B:$B,MATCH(BK131,_names_lookup!$A:$A,0)),"")</f>
        <v/>
      </c>
      <c r="BS131" t="str">
        <f t="shared" si="32"/>
        <v/>
      </c>
    </row>
    <row r="132" spans="15:71" x14ac:dyDescent="0.2">
      <c r="O132" t="str">
        <f>IFERROR(INDEX(_courses_lookup!$C:$C,MATCH(K132&amp;L132,_courses_lookup!$E:$E,0)),"")</f>
        <v/>
      </c>
      <c r="P132" t="str">
        <f>IFERROR(INDEX(_courses_lookup!$D:$D,MATCH(K132&amp;L132,_courses_lookup!$E:$E,0)),"")</f>
        <v/>
      </c>
      <c r="AG132" t="str">
        <f t="shared" si="22"/>
        <v/>
      </c>
      <c r="AI132" t="str">
        <f t="shared" si="23"/>
        <v/>
      </c>
      <c r="AL132" t="str">
        <f t="shared" si="24"/>
        <v/>
      </c>
      <c r="AN132" t="str">
        <f t="shared" si="25"/>
        <v/>
      </c>
      <c r="AQ132" t="str">
        <f t="shared" si="26"/>
        <v/>
      </c>
      <c r="AR132" t="str">
        <f t="shared" si="27"/>
        <v/>
      </c>
      <c r="AS132" t="str">
        <f t="shared" si="28"/>
        <v/>
      </c>
      <c r="AT132" t="str">
        <f t="shared" si="29"/>
        <v/>
      </c>
      <c r="BG132" t="str">
        <f t="shared" si="30"/>
        <v/>
      </c>
      <c r="BH132" t="str">
        <f t="shared" si="31"/>
        <v/>
      </c>
      <c r="BL132" t="str">
        <f>IFERROR(INDEX(_names_lookup!$C:$C,MATCH(BK132,_names_lookup!$A:$A,0)),"")</f>
        <v/>
      </c>
      <c r="BM132" t="str">
        <f>IFERROR(INDEX(_names_lookup!$B:$B,MATCH(BK132,_names_lookup!$A:$A,0)),"")</f>
        <v/>
      </c>
      <c r="BS132" t="str">
        <f t="shared" si="32"/>
        <v/>
      </c>
    </row>
    <row r="133" spans="15:71" x14ac:dyDescent="0.2">
      <c r="O133" t="str">
        <f>IFERROR(INDEX(_courses_lookup!$C:$C,MATCH(K133&amp;L133,_courses_lookup!$E:$E,0)),"")</f>
        <v/>
      </c>
      <c r="P133" t="str">
        <f>IFERROR(INDEX(_courses_lookup!$D:$D,MATCH(K133&amp;L133,_courses_lookup!$E:$E,0)),"")</f>
        <v/>
      </c>
      <c r="AG133" t="str">
        <f t="shared" si="22"/>
        <v/>
      </c>
      <c r="AI133" t="str">
        <f t="shared" si="23"/>
        <v/>
      </c>
      <c r="AL133" t="str">
        <f t="shared" si="24"/>
        <v/>
      </c>
      <c r="AN133" t="str">
        <f t="shared" si="25"/>
        <v/>
      </c>
      <c r="AQ133" t="str">
        <f t="shared" si="26"/>
        <v/>
      </c>
      <c r="AR133" t="str">
        <f t="shared" si="27"/>
        <v/>
      </c>
      <c r="AS133" t="str">
        <f t="shared" si="28"/>
        <v/>
      </c>
      <c r="AT133" t="str">
        <f t="shared" si="29"/>
        <v/>
      </c>
      <c r="BG133" t="str">
        <f t="shared" si="30"/>
        <v/>
      </c>
      <c r="BH133" t="str">
        <f t="shared" si="31"/>
        <v/>
      </c>
      <c r="BL133" t="str">
        <f>IFERROR(INDEX(_names_lookup!$C:$C,MATCH(BK133,_names_lookup!$A:$A,0)),"")</f>
        <v/>
      </c>
      <c r="BM133" t="str">
        <f>IFERROR(INDEX(_names_lookup!$B:$B,MATCH(BK133,_names_lookup!$A:$A,0)),"")</f>
        <v/>
      </c>
      <c r="BS133" t="str">
        <f t="shared" si="32"/>
        <v/>
      </c>
    </row>
    <row r="134" spans="15:71" x14ac:dyDescent="0.2">
      <c r="O134" t="str">
        <f>IFERROR(INDEX(_courses_lookup!$C:$C,MATCH(K134&amp;L134,_courses_lookup!$E:$E,0)),"")</f>
        <v/>
      </c>
      <c r="P134" t="str">
        <f>IFERROR(INDEX(_courses_lookup!$D:$D,MATCH(K134&amp;L134,_courses_lookup!$E:$E,0)),"")</f>
        <v/>
      </c>
      <c r="AG134" t="str">
        <f t="shared" si="22"/>
        <v/>
      </c>
      <c r="AI134" t="str">
        <f t="shared" si="23"/>
        <v/>
      </c>
      <c r="AL134" t="str">
        <f t="shared" si="24"/>
        <v/>
      </c>
      <c r="AN134" t="str">
        <f t="shared" si="25"/>
        <v/>
      </c>
      <c r="AQ134" t="str">
        <f t="shared" si="26"/>
        <v/>
      </c>
      <c r="AR134" t="str">
        <f t="shared" si="27"/>
        <v/>
      </c>
      <c r="AS134" t="str">
        <f t="shared" si="28"/>
        <v/>
      </c>
      <c r="AT134" t="str">
        <f t="shared" si="29"/>
        <v/>
      </c>
      <c r="BG134" t="str">
        <f t="shared" si="30"/>
        <v/>
      </c>
      <c r="BH134" t="str">
        <f t="shared" si="31"/>
        <v/>
      </c>
      <c r="BL134" t="str">
        <f>IFERROR(INDEX(_names_lookup!$C:$C,MATCH(BK134,_names_lookup!$A:$A,0)),"")</f>
        <v/>
      </c>
      <c r="BM134" t="str">
        <f>IFERROR(INDEX(_names_lookup!$B:$B,MATCH(BK134,_names_lookup!$A:$A,0)),"")</f>
        <v/>
      </c>
      <c r="BS134" t="str">
        <f t="shared" si="32"/>
        <v/>
      </c>
    </row>
    <row r="135" spans="15:71" x14ac:dyDescent="0.2">
      <c r="O135" t="str">
        <f>IFERROR(INDEX(_courses_lookup!$C:$C,MATCH(K135&amp;L135,_courses_lookup!$E:$E,0)),"")</f>
        <v/>
      </c>
      <c r="P135" t="str">
        <f>IFERROR(INDEX(_courses_lookup!$D:$D,MATCH(K135&amp;L135,_courses_lookup!$E:$E,0)),"")</f>
        <v/>
      </c>
      <c r="AG135" t="str">
        <f t="shared" si="22"/>
        <v/>
      </c>
      <c r="AI135" t="str">
        <f t="shared" si="23"/>
        <v/>
      </c>
      <c r="AL135" t="str">
        <f t="shared" si="24"/>
        <v/>
      </c>
      <c r="AN135" t="str">
        <f t="shared" si="25"/>
        <v/>
      </c>
      <c r="AQ135" t="str">
        <f t="shared" si="26"/>
        <v/>
      </c>
      <c r="AR135" t="str">
        <f t="shared" si="27"/>
        <v/>
      </c>
      <c r="AS135" t="str">
        <f t="shared" si="28"/>
        <v/>
      </c>
      <c r="AT135" t="str">
        <f t="shared" si="29"/>
        <v/>
      </c>
      <c r="BG135" t="str">
        <f t="shared" si="30"/>
        <v/>
      </c>
      <c r="BH135" t="str">
        <f t="shared" si="31"/>
        <v/>
      </c>
      <c r="BL135" t="str">
        <f>IFERROR(INDEX(_names_lookup!$C:$C,MATCH(BK135,_names_lookup!$A:$A,0)),"")</f>
        <v/>
      </c>
      <c r="BM135" t="str">
        <f>IFERROR(INDEX(_names_lookup!$B:$B,MATCH(BK135,_names_lookup!$A:$A,0)),"")</f>
        <v/>
      </c>
      <c r="BS135" t="str">
        <f t="shared" si="32"/>
        <v/>
      </c>
    </row>
    <row r="136" spans="15:71" x14ac:dyDescent="0.2">
      <c r="O136" t="str">
        <f>IFERROR(INDEX(_courses_lookup!$C:$C,MATCH(K136&amp;L136,_courses_lookup!$E:$E,0)),"")</f>
        <v/>
      </c>
      <c r="P136" t="str">
        <f>IFERROR(INDEX(_courses_lookup!$D:$D,MATCH(K136&amp;L136,_courses_lookup!$E:$E,0)),"")</f>
        <v/>
      </c>
      <c r="AG136" t="str">
        <f t="shared" si="22"/>
        <v/>
      </c>
      <c r="AI136" t="str">
        <f t="shared" si="23"/>
        <v/>
      </c>
      <c r="AL136" t="str">
        <f t="shared" si="24"/>
        <v/>
      </c>
      <c r="AN136" t="str">
        <f t="shared" si="25"/>
        <v/>
      </c>
      <c r="AQ136" t="str">
        <f t="shared" si="26"/>
        <v/>
      </c>
      <c r="AR136" t="str">
        <f t="shared" si="27"/>
        <v/>
      </c>
      <c r="AS136" t="str">
        <f t="shared" si="28"/>
        <v/>
      </c>
      <c r="AT136" t="str">
        <f t="shared" si="29"/>
        <v/>
      </c>
      <c r="BG136" t="str">
        <f t="shared" si="30"/>
        <v/>
      </c>
      <c r="BH136" t="str">
        <f t="shared" si="31"/>
        <v/>
      </c>
      <c r="BL136" t="str">
        <f>IFERROR(INDEX(_names_lookup!$C:$C,MATCH(BK136,_names_lookup!$A:$A,0)),"")</f>
        <v/>
      </c>
      <c r="BM136" t="str">
        <f>IFERROR(INDEX(_names_lookup!$B:$B,MATCH(BK136,_names_lookup!$A:$A,0)),"")</f>
        <v/>
      </c>
      <c r="BS136" t="str">
        <f t="shared" si="32"/>
        <v/>
      </c>
    </row>
    <row r="137" spans="15:71" x14ac:dyDescent="0.2">
      <c r="O137" t="str">
        <f>IFERROR(INDEX(_courses_lookup!$C:$C,MATCH(K137&amp;L137,_courses_lookup!$E:$E,0)),"")</f>
        <v/>
      </c>
      <c r="P137" t="str">
        <f>IFERROR(INDEX(_courses_lookup!$D:$D,MATCH(K137&amp;L137,_courses_lookup!$E:$E,0)),"")</f>
        <v/>
      </c>
      <c r="AG137" t="str">
        <f t="shared" si="22"/>
        <v/>
      </c>
      <c r="AI137" t="str">
        <f t="shared" si="23"/>
        <v/>
      </c>
      <c r="AL137" t="str">
        <f t="shared" si="24"/>
        <v/>
      </c>
      <c r="AN137" t="str">
        <f t="shared" si="25"/>
        <v/>
      </c>
      <c r="AQ137" t="str">
        <f t="shared" si="26"/>
        <v/>
      </c>
      <c r="AR137" t="str">
        <f t="shared" si="27"/>
        <v/>
      </c>
      <c r="AS137" t="str">
        <f t="shared" si="28"/>
        <v/>
      </c>
      <c r="AT137" t="str">
        <f t="shared" si="29"/>
        <v/>
      </c>
      <c r="BG137" t="str">
        <f t="shared" si="30"/>
        <v/>
      </c>
      <c r="BH137" t="str">
        <f t="shared" si="31"/>
        <v/>
      </c>
      <c r="BL137" t="str">
        <f>IFERROR(INDEX(_names_lookup!$C:$C,MATCH(BK137,_names_lookup!$A:$A,0)),"")</f>
        <v/>
      </c>
      <c r="BM137" t="str">
        <f>IFERROR(INDEX(_names_lookup!$B:$B,MATCH(BK137,_names_lookup!$A:$A,0)),"")</f>
        <v/>
      </c>
      <c r="BS137" t="str">
        <f t="shared" si="32"/>
        <v/>
      </c>
    </row>
    <row r="138" spans="15:71" x14ac:dyDescent="0.2">
      <c r="O138" t="str">
        <f>IFERROR(INDEX(_courses_lookup!$C:$C,MATCH(K138&amp;L138,_courses_lookup!$E:$E,0)),"")</f>
        <v/>
      </c>
      <c r="P138" t="str">
        <f>IFERROR(INDEX(_courses_lookup!$D:$D,MATCH(K138&amp;L138,_courses_lookup!$E:$E,0)),"")</f>
        <v/>
      </c>
      <c r="AG138" t="str">
        <f t="shared" si="22"/>
        <v/>
      </c>
      <c r="AI138" t="str">
        <f t="shared" si="23"/>
        <v/>
      </c>
      <c r="AL138" t="str">
        <f t="shared" si="24"/>
        <v/>
      </c>
      <c r="AN138" t="str">
        <f t="shared" si="25"/>
        <v/>
      </c>
      <c r="AQ138" t="str">
        <f t="shared" si="26"/>
        <v/>
      </c>
      <c r="AR138" t="str">
        <f t="shared" si="27"/>
        <v/>
      </c>
      <c r="AS138" t="str">
        <f t="shared" si="28"/>
        <v/>
      </c>
      <c r="AT138" t="str">
        <f t="shared" si="29"/>
        <v/>
      </c>
      <c r="BG138" t="str">
        <f t="shared" si="30"/>
        <v/>
      </c>
      <c r="BH138" t="str">
        <f t="shared" si="31"/>
        <v/>
      </c>
      <c r="BL138" t="str">
        <f>IFERROR(INDEX(_names_lookup!$C:$C,MATCH(BK138,_names_lookup!$A:$A,0)),"")</f>
        <v/>
      </c>
      <c r="BM138" t="str">
        <f>IFERROR(INDEX(_names_lookup!$B:$B,MATCH(BK138,_names_lookup!$A:$A,0)),"")</f>
        <v/>
      </c>
      <c r="BS138" t="str">
        <f t="shared" si="32"/>
        <v/>
      </c>
    </row>
    <row r="139" spans="15:71" x14ac:dyDescent="0.2">
      <c r="O139" t="str">
        <f>IFERROR(INDEX(_courses_lookup!$C:$C,MATCH(K139&amp;L139,_courses_lookup!$E:$E,0)),"")</f>
        <v/>
      </c>
      <c r="P139" t="str">
        <f>IFERROR(INDEX(_courses_lookup!$D:$D,MATCH(K139&amp;L139,_courses_lookup!$E:$E,0)),"")</f>
        <v/>
      </c>
      <c r="AG139" t="str">
        <f t="shared" si="22"/>
        <v/>
      </c>
      <c r="AI139" t="str">
        <f t="shared" si="23"/>
        <v/>
      </c>
      <c r="AL139" t="str">
        <f t="shared" si="24"/>
        <v/>
      </c>
      <c r="AN139" t="str">
        <f t="shared" si="25"/>
        <v/>
      </c>
      <c r="AQ139" t="str">
        <f t="shared" si="26"/>
        <v/>
      </c>
      <c r="AR139" t="str">
        <f t="shared" si="27"/>
        <v/>
      </c>
      <c r="AS139" t="str">
        <f t="shared" si="28"/>
        <v/>
      </c>
      <c r="AT139" t="str">
        <f t="shared" si="29"/>
        <v/>
      </c>
      <c r="BG139" t="str">
        <f t="shared" si="30"/>
        <v/>
      </c>
      <c r="BH139" t="str">
        <f t="shared" si="31"/>
        <v/>
      </c>
      <c r="BL139" t="str">
        <f>IFERROR(INDEX(_names_lookup!$C:$C,MATCH(BK139,_names_lookup!$A:$A,0)),"")</f>
        <v/>
      </c>
      <c r="BM139" t="str">
        <f>IFERROR(INDEX(_names_lookup!$B:$B,MATCH(BK139,_names_lookup!$A:$A,0)),"")</f>
        <v/>
      </c>
      <c r="BS139" t="str">
        <f t="shared" si="32"/>
        <v/>
      </c>
    </row>
    <row r="140" spans="15:71" x14ac:dyDescent="0.2">
      <c r="O140" t="str">
        <f>IFERROR(INDEX(_courses_lookup!$C:$C,MATCH(K140&amp;L140,_courses_lookup!$E:$E,0)),"")</f>
        <v/>
      </c>
      <c r="P140" t="str">
        <f>IFERROR(INDEX(_courses_lookup!$D:$D,MATCH(K140&amp;L140,_courses_lookup!$E:$E,0)),"")</f>
        <v/>
      </c>
      <c r="AG140" t="str">
        <f t="shared" si="22"/>
        <v/>
      </c>
      <c r="AI140" t="str">
        <f t="shared" si="23"/>
        <v/>
      </c>
      <c r="AL140" t="str">
        <f t="shared" si="24"/>
        <v/>
      </c>
      <c r="AN140" t="str">
        <f t="shared" si="25"/>
        <v/>
      </c>
      <c r="AQ140" t="str">
        <f t="shared" si="26"/>
        <v/>
      </c>
      <c r="AR140" t="str">
        <f t="shared" si="27"/>
        <v/>
      </c>
      <c r="AS140" t="str">
        <f t="shared" si="28"/>
        <v/>
      </c>
      <c r="AT140" t="str">
        <f t="shared" si="29"/>
        <v/>
      </c>
      <c r="BG140" t="str">
        <f t="shared" si="30"/>
        <v/>
      </c>
      <c r="BH140" t="str">
        <f t="shared" si="31"/>
        <v/>
      </c>
      <c r="BL140" t="str">
        <f>IFERROR(INDEX(_names_lookup!$C:$C,MATCH(BK140,_names_lookup!$A:$A,0)),"")</f>
        <v/>
      </c>
      <c r="BM140" t="str">
        <f>IFERROR(INDEX(_names_lookup!$B:$B,MATCH(BK140,_names_lookup!$A:$A,0)),"")</f>
        <v/>
      </c>
      <c r="BS140" t="str">
        <f t="shared" si="32"/>
        <v/>
      </c>
    </row>
    <row r="141" spans="15:71" x14ac:dyDescent="0.2">
      <c r="O141" t="str">
        <f>IFERROR(INDEX(_courses_lookup!$C:$C,MATCH(K141&amp;L141,_courses_lookup!$E:$E,0)),"")</f>
        <v/>
      </c>
      <c r="P141" t="str">
        <f>IFERROR(INDEX(_courses_lookup!$D:$D,MATCH(K141&amp;L141,_courses_lookup!$E:$E,0)),"")</f>
        <v/>
      </c>
      <c r="AG141" t="str">
        <f t="shared" si="22"/>
        <v/>
      </c>
      <c r="AI141" t="str">
        <f t="shared" si="23"/>
        <v/>
      </c>
      <c r="AL141" t="str">
        <f t="shared" si="24"/>
        <v/>
      </c>
      <c r="AN141" t="str">
        <f t="shared" si="25"/>
        <v/>
      </c>
      <c r="AQ141" t="str">
        <f t="shared" si="26"/>
        <v/>
      </c>
      <c r="AR141" t="str">
        <f t="shared" si="27"/>
        <v/>
      </c>
      <c r="AS141" t="str">
        <f t="shared" si="28"/>
        <v/>
      </c>
      <c r="AT141" t="str">
        <f t="shared" si="29"/>
        <v/>
      </c>
      <c r="BG141" t="str">
        <f t="shared" si="30"/>
        <v/>
      </c>
      <c r="BH141" t="str">
        <f t="shared" si="31"/>
        <v/>
      </c>
      <c r="BL141" t="str">
        <f>IFERROR(INDEX(_names_lookup!$C:$C,MATCH(BK141,_names_lookup!$A:$A,0)),"")</f>
        <v/>
      </c>
      <c r="BM141" t="str">
        <f>IFERROR(INDEX(_names_lookup!$B:$B,MATCH(BK141,_names_lookup!$A:$A,0)),"")</f>
        <v/>
      </c>
      <c r="BS141" t="str">
        <f t="shared" si="32"/>
        <v/>
      </c>
    </row>
    <row r="142" spans="15:71" x14ac:dyDescent="0.2">
      <c r="O142" t="str">
        <f>IFERROR(INDEX(_courses_lookup!$C:$C,MATCH(K142&amp;L142,_courses_lookup!$E:$E,0)),"")</f>
        <v/>
      </c>
      <c r="P142" t="str">
        <f>IFERROR(INDEX(_courses_lookup!$D:$D,MATCH(K142&amp;L142,_courses_lookup!$E:$E,0)),"")</f>
        <v/>
      </c>
      <c r="AG142" t="str">
        <f t="shared" si="22"/>
        <v/>
      </c>
      <c r="AI142" t="str">
        <f t="shared" si="23"/>
        <v/>
      </c>
      <c r="AL142" t="str">
        <f t="shared" si="24"/>
        <v/>
      </c>
      <c r="AN142" t="str">
        <f t="shared" si="25"/>
        <v/>
      </c>
      <c r="AQ142" t="str">
        <f t="shared" si="26"/>
        <v/>
      </c>
      <c r="AR142" t="str">
        <f t="shared" si="27"/>
        <v/>
      </c>
      <c r="AS142" t="str">
        <f t="shared" si="28"/>
        <v/>
      </c>
      <c r="AT142" t="str">
        <f t="shared" si="29"/>
        <v/>
      </c>
      <c r="BG142" t="str">
        <f t="shared" si="30"/>
        <v/>
      </c>
      <c r="BH142" t="str">
        <f t="shared" si="31"/>
        <v/>
      </c>
      <c r="BL142" t="str">
        <f>IFERROR(INDEX(_names_lookup!$C:$C,MATCH(BK142,_names_lookup!$A:$A,0)),"")</f>
        <v/>
      </c>
      <c r="BM142" t="str">
        <f>IFERROR(INDEX(_names_lookup!$B:$B,MATCH(BK142,_names_lookup!$A:$A,0)),"")</f>
        <v/>
      </c>
      <c r="BS142" t="str">
        <f t="shared" si="32"/>
        <v/>
      </c>
    </row>
    <row r="143" spans="15:71" x14ac:dyDescent="0.2">
      <c r="O143" t="str">
        <f>IFERROR(INDEX(_courses_lookup!$C:$C,MATCH(K143&amp;L143,_courses_lookup!$E:$E,0)),"")</f>
        <v/>
      </c>
      <c r="P143" t="str">
        <f>IFERROR(INDEX(_courses_lookup!$D:$D,MATCH(K143&amp;L143,_courses_lookup!$E:$E,0)),"")</f>
        <v/>
      </c>
      <c r="AG143" t="str">
        <f t="shared" si="22"/>
        <v/>
      </c>
      <c r="AI143" t="str">
        <f t="shared" si="23"/>
        <v/>
      </c>
      <c r="AL143" t="str">
        <f t="shared" si="24"/>
        <v/>
      </c>
      <c r="AN143" t="str">
        <f t="shared" si="25"/>
        <v/>
      </c>
      <c r="AQ143" t="str">
        <f t="shared" si="26"/>
        <v/>
      </c>
      <c r="AR143" t="str">
        <f t="shared" si="27"/>
        <v/>
      </c>
      <c r="AS143" t="str">
        <f t="shared" si="28"/>
        <v/>
      </c>
      <c r="AT143" t="str">
        <f t="shared" si="29"/>
        <v/>
      </c>
      <c r="BG143" t="str">
        <f t="shared" si="30"/>
        <v/>
      </c>
      <c r="BH143" t="str">
        <f t="shared" si="31"/>
        <v/>
      </c>
      <c r="BL143" t="str">
        <f>IFERROR(INDEX(_names_lookup!$C:$C,MATCH(BK143,_names_lookup!$A:$A,0)),"")</f>
        <v/>
      </c>
      <c r="BM143" t="str">
        <f>IFERROR(INDEX(_names_lookup!$B:$B,MATCH(BK143,_names_lookup!$A:$A,0)),"")</f>
        <v/>
      </c>
      <c r="BS143" t="str">
        <f t="shared" si="32"/>
        <v/>
      </c>
    </row>
    <row r="144" spans="15:71" x14ac:dyDescent="0.2">
      <c r="O144" t="str">
        <f>IFERROR(INDEX(_courses_lookup!$C:$C,MATCH(K144&amp;L144,_courses_lookup!$E:$E,0)),"")</f>
        <v/>
      </c>
      <c r="P144" t="str">
        <f>IFERROR(INDEX(_courses_lookup!$D:$D,MATCH(K144&amp;L144,_courses_lookup!$E:$E,0)),"")</f>
        <v/>
      </c>
      <c r="AG144" t="str">
        <f t="shared" si="22"/>
        <v/>
      </c>
      <c r="AI144" t="str">
        <f t="shared" si="23"/>
        <v/>
      </c>
      <c r="AL144" t="str">
        <f t="shared" si="24"/>
        <v/>
      </c>
      <c r="AN144" t="str">
        <f t="shared" si="25"/>
        <v/>
      </c>
      <c r="AQ144" t="str">
        <f t="shared" si="26"/>
        <v/>
      </c>
      <c r="AR144" t="str">
        <f t="shared" si="27"/>
        <v/>
      </c>
      <c r="AS144" t="str">
        <f t="shared" si="28"/>
        <v/>
      </c>
      <c r="AT144" t="str">
        <f t="shared" si="29"/>
        <v/>
      </c>
      <c r="BG144" t="str">
        <f t="shared" si="30"/>
        <v/>
      </c>
      <c r="BH144" t="str">
        <f t="shared" si="31"/>
        <v/>
      </c>
      <c r="BL144" t="str">
        <f>IFERROR(INDEX(_names_lookup!$C:$C,MATCH(BK144,_names_lookup!$A:$A,0)),"")</f>
        <v/>
      </c>
      <c r="BM144" t="str">
        <f>IFERROR(INDEX(_names_lookup!$B:$B,MATCH(BK144,_names_lookup!$A:$A,0)),"")</f>
        <v/>
      </c>
      <c r="BS144" t="str">
        <f t="shared" si="32"/>
        <v/>
      </c>
    </row>
    <row r="145" spans="15:71" x14ac:dyDescent="0.2">
      <c r="O145" t="str">
        <f>IFERROR(INDEX(_courses_lookup!$C:$C,MATCH(K145&amp;L145,_courses_lookup!$E:$E,0)),"")</f>
        <v/>
      </c>
      <c r="P145" t="str">
        <f>IFERROR(INDEX(_courses_lookup!$D:$D,MATCH(K145&amp;L145,_courses_lookup!$E:$E,0)),"")</f>
        <v/>
      </c>
      <c r="AG145" t="str">
        <f t="shared" si="22"/>
        <v/>
      </c>
      <c r="AI145" t="str">
        <f t="shared" si="23"/>
        <v/>
      </c>
      <c r="AL145" t="str">
        <f t="shared" si="24"/>
        <v/>
      </c>
      <c r="AN145" t="str">
        <f t="shared" si="25"/>
        <v/>
      </c>
      <c r="AQ145" t="str">
        <f t="shared" si="26"/>
        <v/>
      </c>
      <c r="AR145" t="str">
        <f t="shared" si="27"/>
        <v/>
      </c>
      <c r="AS145" t="str">
        <f t="shared" si="28"/>
        <v/>
      </c>
      <c r="AT145" t="str">
        <f t="shared" si="29"/>
        <v/>
      </c>
      <c r="BG145" t="str">
        <f t="shared" si="30"/>
        <v/>
      </c>
      <c r="BH145" t="str">
        <f t="shared" si="31"/>
        <v/>
      </c>
      <c r="BL145" t="str">
        <f>IFERROR(INDEX(_names_lookup!$C:$C,MATCH(BK145,_names_lookup!$A:$A,0)),"")</f>
        <v/>
      </c>
      <c r="BM145" t="str">
        <f>IFERROR(INDEX(_names_lookup!$B:$B,MATCH(BK145,_names_lookup!$A:$A,0)),"")</f>
        <v/>
      </c>
      <c r="BS145" t="str">
        <f t="shared" si="32"/>
        <v/>
      </c>
    </row>
    <row r="146" spans="15:71" x14ac:dyDescent="0.2">
      <c r="O146" t="str">
        <f>IFERROR(INDEX(_courses_lookup!$C:$C,MATCH(K146&amp;L146,_courses_lookup!$E:$E,0)),"")</f>
        <v/>
      </c>
      <c r="P146" t="str">
        <f>IFERROR(INDEX(_courses_lookup!$D:$D,MATCH(K146&amp;L146,_courses_lookup!$E:$E,0)),"")</f>
        <v/>
      </c>
      <c r="AG146" t="str">
        <f t="shared" si="22"/>
        <v/>
      </c>
      <c r="AI146" t="str">
        <f t="shared" si="23"/>
        <v/>
      </c>
      <c r="AL146" t="str">
        <f t="shared" si="24"/>
        <v/>
      </c>
      <c r="AN146" t="str">
        <f t="shared" si="25"/>
        <v/>
      </c>
      <c r="AQ146" t="str">
        <f t="shared" si="26"/>
        <v/>
      </c>
      <c r="AR146" t="str">
        <f t="shared" si="27"/>
        <v/>
      </c>
      <c r="AS146" t="str">
        <f t="shared" si="28"/>
        <v/>
      </c>
      <c r="AT146" t="str">
        <f t="shared" si="29"/>
        <v/>
      </c>
      <c r="BG146" t="str">
        <f t="shared" si="30"/>
        <v/>
      </c>
      <c r="BH146" t="str">
        <f t="shared" si="31"/>
        <v/>
      </c>
      <c r="BL146" t="str">
        <f>IFERROR(INDEX(_names_lookup!$C:$C,MATCH(BK146,_names_lookup!$A:$A,0)),"")</f>
        <v/>
      </c>
      <c r="BM146" t="str">
        <f>IFERROR(INDEX(_names_lookup!$B:$B,MATCH(BK146,_names_lookup!$A:$A,0)),"")</f>
        <v/>
      </c>
      <c r="BS146" t="str">
        <f t="shared" si="32"/>
        <v/>
      </c>
    </row>
    <row r="147" spans="15:71" x14ac:dyDescent="0.2">
      <c r="O147" t="str">
        <f>IFERROR(INDEX(_courses_lookup!$C:$C,MATCH(K147&amp;L147,_courses_lookup!$E:$E,0)),"")</f>
        <v/>
      </c>
      <c r="P147" t="str">
        <f>IFERROR(INDEX(_courses_lookup!$D:$D,MATCH(K147&amp;L147,_courses_lookup!$E:$E,0)),"")</f>
        <v/>
      </c>
      <c r="AG147" t="str">
        <f t="shared" si="22"/>
        <v/>
      </c>
      <c r="AI147" t="str">
        <f t="shared" si="23"/>
        <v/>
      </c>
      <c r="AL147" t="str">
        <f t="shared" si="24"/>
        <v/>
      </c>
      <c r="AN147" t="str">
        <f t="shared" si="25"/>
        <v/>
      </c>
      <c r="AQ147" t="str">
        <f t="shared" si="26"/>
        <v/>
      </c>
      <c r="AR147" t="str">
        <f t="shared" si="27"/>
        <v/>
      </c>
      <c r="AS147" t="str">
        <f t="shared" si="28"/>
        <v/>
      </c>
      <c r="AT147" t="str">
        <f t="shared" si="29"/>
        <v/>
      </c>
      <c r="BG147" t="str">
        <f t="shared" si="30"/>
        <v/>
      </c>
      <c r="BH147" t="str">
        <f t="shared" si="31"/>
        <v/>
      </c>
      <c r="BL147" t="str">
        <f>IFERROR(INDEX(_names_lookup!$C:$C,MATCH(BK147,_names_lookup!$A:$A,0)),"")</f>
        <v/>
      </c>
      <c r="BM147" t="str">
        <f>IFERROR(INDEX(_names_lookup!$B:$B,MATCH(BK147,_names_lookup!$A:$A,0)),"")</f>
        <v/>
      </c>
      <c r="BS147" t="str">
        <f t="shared" si="32"/>
        <v/>
      </c>
    </row>
    <row r="148" spans="15:71" x14ac:dyDescent="0.2">
      <c r="O148" t="str">
        <f>IFERROR(INDEX(_courses_lookup!$C:$C,MATCH(K148&amp;L148,_courses_lookup!$E:$E,0)),"")</f>
        <v/>
      </c>
      <c r="P148" t="str">
        <f>IFERROR(INDEX(_courses_lookup!$D:$D,MATCH(K148&amp;L148,_courses_lookup!$E:$E,0)),"")</f>
        <v/>
      </c>
      <c r="AG148" t="str">
        <f t="shared" si="22"/>
        <v/>
      </c>
      <c r="AI148" t="str">
        <f t="shared" si="23"/>
        <v/>
      </c>
      <c r="AL148" t="str">
        <f t="shared" si="24"/>
        <v/>
      </c>
      <c r="AN148" t="str">
        <f t="shared" si="25"/>
        <v/>
      </c>
      <c r="AQ148" t="str">
        <f t="shared" si="26"/>
        <v/>
      </c>
      <c r="AR148" t="str">
        <f t="shared" si="27"/>
        <v/>
      </c>
      <c r="AS148" t="str">
        <f t="shared" si="28"/>
        <v/>
      </c>
      <c r="AT148" t="str">
        <f t="shared" si="29"/>
        <v/>
      </c>
      <c r="BG148" t="str">
        <f t="shared" si="30"/>
        <v/>
      </c>
      <c r="BH148" t="str">
        <f t="shared" si="31"/>
        <v/>
      </c>
      <c r="BL148" t="str">
        <f>IFERROR(INDEX(_names_lookup!$C:$C,MATCH(BK148,_names_lookup!$A:$A,0)),"")</f>
        <v/>
      </c>
      <c r="BM148" t="str">
        <f>IFERROR(INDEX(_names_lookup!$B:$B,MATCH(BK148,_names_lookup!$A:$A,0)),"")</f>
        <v/>
      </c>
      <c r="BS148" t="str">
        <f t="shared" si="32"/>
        <v/>
      </c>
    </row>
    <row r="149" spans="15:71" x14ac:dyDescent="0.2">
      <c r="O149" t="str">
        <f>IFERROR(INDEX(_courses_lookup!$C:$C,MATCH(K149&amp;L149,_courses_lookup!$E:$E,0)),"")</f>
        <v/>
      </c>
      <c r="P149" t="str">
        <f>IFERROR(INDEX(_courses_lookup!$D:$D,MATCH(K149&amp;L149,_courses_lookup!$E:$E,0)),"")</f>
        <v/>
      </c>
      <c r="AG149" t="str">
        <f t="shared" si="22"/>
        <v/>
      </c>
      <c r="AI149" t="str">
        <f t="shared" si="23"/>
        <v/>
      </c>
      <c r="AL149" t="str">
        <f t="shared" si="24"/>
        <v/>
      </c>
      <c r="AN149" t="str">
        <f t="shared" si="25"/>
        <v/>
      </c>
      <c r="AQ149" t="str">
        <f t="shared" si="26"/>
        <v/>
      </c>
      <c r="AR149" t="str">
        <f t="shared" si="27"/>
        <v/>
      </c>
      <c r="AS149" t="str">
        <f t="shared" si="28"/>
        <v/>
      </c>
      <c r="AT149" t="str">
        <f t="shared" si="29"/>
        <v/>
      </c>
      <c r="BG149" t="str">
        <f t="shared" si="30"/>
        <v/>
      </c>
      <c r="BH149" t="str">
        <f t="shared" si="31"/>
        <v/>
      </c>
      <c r="BL149" t="str">
        <f>IFERROR(INDEX(_names_lookup!$C:$C,MATCH(BK149,_names_lookup!$A:$A,0)),"")</f>
        <v/>
      </c>
      <c r="BM149" t="str">
        <f>IFERROR(INDEX(_names_lookup!$B:$B,MATCH(BK149,_names_lookup!$A:$A,0)),"")</f>
        <v/>
      </c>
      <c r="BS149" t="str">
        <f t="shared" si="32"/>
        <v/>
      </c>
    </row>
    <row r="150" spans="15:71" x14ac:dyDescent="0.2">
      <c r="O150" t="str">
        <f>IFERROR(INDEX(_courses_lookup!$C:$C,MATCH(K150&amp;L150,_courses_lookup!$E:$E,0)),"")</f>
        <v/>
      </c>
      <c r="P150" t="str">
        <f>IFERROR(INDEX(_courses_lookup!$D:$D,MATCH(K150&amp;L150,_courses_lookup!$E:$E,0)),"")</f>
        <v/>
      </c>
      <c r="AG150" t="str">
        <f t="shared" si="22"/>
        <v/>
      </c>
      <c r="AI150" t="str">
        <f t="shared" si="23"/>
        <v/>
      </c>
      <c r="AL150" t="str">
        <f t="shared" si="24"/>
        <v/>
      </c>
      <c r="AN150" t="str">
        <f t="shared" si="25"/>
        <v/>
      </c>
      <c r="AQ150" t="str">
        <f t="shared" si="26"/>
        <v/>
      </c>
      <c r="AR150" t="str">
        <f t="shared" si="27"/>
        <v/>
      </c>
      <c r="AS150" t="str">
        <f t="shared" si="28"/>
        <v/>
      </c>
      <c r="AT150" t="str">
        <f t="shared" si="29"/>
        <v/>
      </c>
      <c r="BG150" t="str">
        <f t="shared" si="30"/>
        <v/>
      </c>
      <c r="BH150" t="str">
        <f t="shared" si="31"/>
        <v/>
      </c>
      <c r="BL150" t="str">
        <f>IFERROR(INDEX(_names_lookup!$C:$C,MATCH(BK150,_names_lookup!$A:$A,0)),"")</f>
        <v/>
      </c>
      <c r="BM150" t="str">
        <f>IFERROR(INDEX(_names_lookup!$B:$B,MATCH(BK150,_names_lookup!$A:$A,0)),"")</f>
        <v/>
      </c>
      <c r="BS150" t="str">
        <f t="shared" si="32"/>
        <v/>
      </c>
    </row>
    <row r="151" spans="15:71" x14ac:dyDescent="0.2">
      <c r="O151" t="str">
        <f>IFERROR(INDEX(_courses_lookup!$C:$C,MATCH(K151&amp;L151,_courses_lookup!$E:$E,0)),"")</f>
        <v/>
      </c>
      <c r="P151" t="str">
        <f>IFERROR(INDEX(_courses_lookup!$D:$D,MATCH(K151&amp;L151,_courses_lookup!$E:$E,0)),"")</f>
        <v/>
      </c>
      <c r="AG151" t="str">
        <f t="shared" si="22"/>
        <v/>
      </c>
      <c r="AI151" t="str">
        <f t="shared" si="23"/>
        <v/>
      </c>
      <c r="AL151" t="str">
        <f t="shared" si="24"/>
        <v/>
      </c>
      <c r="AN151" t="str">
        <f t="shared" si="25"/>
        <v/>
      </c>
      <c r="AQ151" t="str">
        <f t="shared" si="26"/>
        <v/>
      </c>
      <c r="AR151" t="str">
        <f t="shared" si="27"/>
        <v/>
      </c>
      <c r="AS151" t="str">
        <f t="shared" si="28"/>
        <v/>
      </c>
      <c r="AT151" t="str">
        <f t="shared" si="29"/>
        <v/>
      </c>
      <c r="BG151" t="str">
        <f t="shared" si="30"/>
        <v/>
      </c>
      <c r="BH151" t="str">
        <f t="shared" si="31"/>
        <v/>
      </c>
      <c r="BL151" t="str">
        <f>IFERROR(INDEX(_names_lookup!$C:$C,MATCH(BK151,_names_lookup!$A:$A,0)),"")</f>
        <v/>
      </c>
      <c r="BM151" t="str">
        <f>IFERROR(INDEX(_names_lookup!$B:$B,MATCH(BK151,_names_lookup!$A:$A,0)),"")</f>
        <v/>
      </c>
      <c r="BS151" t="str">
        <f t="shared" si="32"/>
        <v/>
      </c>
    </row>
    <row r="152" spans="15:71" x14ac:dyDescent="0.2">
      <c r="O152" t="str">
        <f>IFERROR(INDEX(_courses_lookup!$C:$C,MATCH(K152&amp;L152,_courses_lookup!$E:$E,0)),"")</f>
        <v/>
      </c>
      <c r="P152" t="str">
        <f>IFERROR(INDEX(_courses_lookup!$D:$D,MATCH(K152&amp;L152,_courses_lookup!$E:$E,0)),"")</f>
        <v/>
      </c>
      <c r="AG152" t="str">
        <f t="shared" si="22"/>
        <v/>
      </c>
      <c r="AI152" t="str">
        <f t="shared" si="23"/>
        <v/>
      </c>
      <c r="AL152" t="str">
        <f t="shared" si="24"/>
        <v/>
      </c>
      <c r="AN152" t="str">
        <f t="shared" si="25"/>
        <v/>
      </c>
      <c r="AQ152" t="str">
        <f t="shared" si="26"/>
        <v/>
      </c>
      <c r="AR152" t="str">
        <f t="shared" si="27"/>
        <v/>
      </c>
      <c r="AS152" t="str">
        <f t="shared" si="28"/>
        <v/>
      </c>
      <c r="AT152" t="str">
        <f t="shared" si="29"/>
        <v/>
      </c>
      <c r="BG152" t="str">
        <f t="shared" si="30"/>
        <v/>
      </c>
      <c r="BH152" t="str">
        <f t="shared" si="31"/>
        <v/>
      </c>
      <c r="BL152" t="str">
        <f>IFERROR(INDEX(_names_lookup!$C:$C,MATCH(BK152,_names_lookup!$A:$A,0)),"")</f>
        <v/>
      </c>
      <c r="BM152" t="str">
        <f>IFERROR(INDEX(_names_lookup!$B:$B,MATCH(BK152,_names_lookup!$A:$A,0)),"")</f>
        <v/>
      </c>
      <c r="BS152" t="str">
        <f t="shared" si="32"/>
        <v/>
      </c>
    </row>
    <row r="153" spans="15:71" x14ac:dyDescent="0.2">
      <c r="O153" t="str">
        <f>IFERROR(INDEX(_courses_lookup!$C:$C,MATCH(K153&amp;L153,_courses_lookup!$E:$E,0)),"")</f>
        <v/>
      </c>
      <c r="P153" t="str">
        <f>IFERROR(INDEX(_courses_lookup!$D:$D,MATCH(K153&amp;L153,_courses_lookup!$E:$E,0)),"")</f>
        <v/>
      </c>
      <c r="AG153" t="str">
        <f t="shared" si="22"/>
        <v/>
      </c>
      <c r="AI153" t="str">
        <f t="shared" si="23"/>
        <v/>
      </c>
      <c r="AL153" t="str">
        <f t="shared" si="24"/>
        <v/>
      </c>
      <c r="AN153" t="str">
        <f t="shared" si="25"/>
        <v/>
      </c>
      <c r="AQ153" t="str">
        <f t="shared" si="26"/>
        <v/>
      </c>
      <c r="AR153" t="str">
        <f t="shared" si="27"/>
        <v/>
      </c>
      <c r="AS153" t="str">
        <f t="shared" si="28"/>
        <v/>
      </c>
      <c r="AT153" t="str">
        <f t="shared" si="29"/>
        <v/>
      </c>
      <c r="BG153" t="str">
        <f t="shared" si="30"/>
        <v/>
      </c>
      <c r="BH153" t="str">
        <f t="shared" si="31"/>
        <v/>
      </c>
      <c r="BL153" t="str">
        <f>IFERROR(INDEX(_names_lookup!$C:$C,MATCH(BK153,_names_lookup!$A:$A,0)),"")</f>
        <v/>
      </c>
      <c r="BM153" t="str">
        <f>IFERROR(INDEX(_names_lookup!$B:$B,MATCH(BK153,_names_lookup!$A:$A,0)),"")</f>
        <v/>
      </c>
      <c r="BS153" t="str">
        <f t="shared" si="32"/>
        <v/>
      </c>
    </row>
    <row r="154" spans="15:71" x14ac:dyDescent="0.2">
      <c r="O154" t="str">
        <f>IFERROR(INDEX(_courses_lookup!$C:$C,MATCH(K154&amp;L154,_courses_lookup!$E:$E,0)),"")</f>
        <v/>
      </c>
      <c r="P154" t="str">
        <f>IFERROR(INDEX(_courses_lookup!$D:$D,MATCH(K154&amp;L154,_courses_lookup!$E:$E,0)),"")</f>
        <v/>
      </c>
      <c r="AG154" t="str">
        <f t="shared" si="22"/>
        <v/>
      </c>
      <c r="AI154" t="str">
        <f t="shared" si="23"/>
        <v/>
      </c>
      <c r="AL154" t="str">
        <f t="shared" si="24"/>
        <v/>
      </c>
      <c r="AN154" t="str">
        <f t="shared" si="25"/>
        <v/>
      </c>
      <c r="AQ154" t="str">
        <f t="shared" si="26"/>
        <v/>
      </c>
      <c r="AR154" t="str">
        <f t="shared" si="27"/>
        <v/>
      </c>
      <c r="AS154" t="str">
        <f t="shared" si="28"/>
        <v/>
      </c>
      <c r="AT154" t="str">
        <f t="shared" si="29"/>
        <v/>
      </c>
      <c r="BG154" t="str">
        <f t="shared" si="30"/>
        <v/>
      </c>
      <c r="BH154" t="str">
        <f t="shared" si="31"/>
        <v/>
      </c>
      <c r="BL154" t="str">
        <f>IFERROR(INDEX(_names_lookup!$C:$C,MATCH(BK154,_names_lookup!$A:$A,0)),"")</f>
        <v/>
      </c>
      <c r="BM154" t="str">
        <f>IFERROR(INDEX(_names_lookup!$B:$B,MATCH(BK154,_names_lookup!$A:$A,0)),"")</f>
        <v/>
      </c>
      <c r="BS154" t="str">
        <f t="shared" si="32"/>
        <v/>
      </c>
    </row>
    <row r="155" spans="15:71" x14ac:dyDescent="0.2">
      <c r="O155" t="str">
        <f>IFERROR(INDEX(_courses_lookup!$C:$C,MATCH(K155&amp;L155,_courses_lookup!$E:$E,0)),"")</f>
        <v/>
      </c>
      <c r="P155" t="str">
        <f>IFERROR(INDEX(_courses_lookup!$D:$D,MATCH(K155&amp;L155,_courses_lookup!$E:$E,0)),"")</f>
        <v/>
      </c>
      <c r="AG155" t="str">
        <f t="shared" si="22"/>
        <v/>
      </c>
      <c r="AI155" t="str">
        <f t="shared" si="23"/>
        <v/>
      </c>
      <c r="AL155" t="str">
        <f t="shared" si="24"/>
        <v/>
      </c>
      <c r="AN155" t="str">
        <f t="shared" si="25"/>
        <v/>
      </c>
      <c r="AQ155" t="str">
        <f t="shared" si="26"/>
        <v/>
      </c>
      <c r="AR155" t="str">
        <f t="shared" si="27"/>
        <v/>
      </c>
      <c r="AS155" t="str">
        <f t="shared" si="28"/>
        <v/>
      </c>
      <c r="AT155" t="str">
        <f t="shared" si="29"/>
        <v/>
      </c>
      <c r="BG155" t="str">
        <f t="shared" si="30"/>
        <v/>
      </c>
      <c r="BH155" t="str">
        <f t="shared" si="31"/>
        <v/>
      </c>
      <c r="BL155" t="str">
        <f>IFERROR(INDEX(_names_lookup!$C:$C,MATCH(BK155,_names_lookup!$A:$A,0)),"")</f>
        <v/>
      </c>
      <c r="BM155" t="str">
        <f>IFERROR(INDEX(_names_lookup!$B:$B,MATCH(BK155,_names_lookup!$A:$A,0)),"")</f>
        <v/>
      </c>
      <c r="BS155" t="str">
        <f t="shared" si="32"/>
        <v/>
      </c>
    </row>
    <row r="156" spans="15:71" x14ac:dyDescent="0.2">
      <c r="O156" t="str">
        <f>IFERROR(INDEX(_courses_lookup!$C:$C,MATCH(K156&amp;L156,_courses_lookup!$E:$E,0)),"")</f>
        <v/>
      </c>
      <c r="P156" t="str">
        <f>IFERROR(INDEX(_courses_lookup!$D:$D,MATCH(K156&amp;L156,_courses_lookup!$E:$E,0)),"")</f>
        <v/>
      </c>
      <c r="AG156" t="str">
        <f t="shared" si="22"/>
        <v/>
      </c>
      <c r="AI156" t="str">
        <f t="shared" si="23"/>
        <v/>
      </c>
      <c r="AL156" t="str">
        <f t="shared" si="24"/>
        <v/>
      </c>
      <c r="AN156" t="str">
        <f t="shared" si="25"/>
        <v/>
      </c>
      <c r="AQ156" t="str">
        <f t="shared" si="26"/>
        <v/>
      </c>
      <c r="AR156" t="str">
        <f t="shared" si="27"/>
        <v/>
      </c>
      <c r="AS156" t="str">
        <f t="shared" si="28"/>
        <v/>
      </c>
      <c r="AT156" t="str">
        <f t="shared" si="29"/>
        <v/>
      </c>
      <c r="BG156" t="str">
        <f t="shared" si="30"/>
        <v/>
      </c>
      <c r="BH156" t="str">
        <f t="shared" si="31"/>
        <v/>
      </c>
      <c r="BL156" t="str">
        <f>IFERROR(INDEX(_names_lookup!$C:$C,MATCH(BK156,_names_lookup!$A:$A,0)),"")</f>
        <v/>
      </c>
      <c r="BM156" t="str">
        <f>IFERROR(INDEX(_names_lookup!$B:$B,MATCH(BK156,_names_lookup!$A:$A,0)),"")</f>
        <v/>
      </c>
      <c r="BS156" t="str">
        <f t="shared" si="32"/>
        <v/>
      </c>
    </row>
    <row r="157" spans="15:71" x14ac:dyDescent="0.2">
      <c r="O157" t="str">
        <f>IFERROR(INDEX(_courses_lookup!$C:$C,MATCH(K157&amp;L157,_courses_lookup!$E:$E,0)),"")</f>
        <v/>
      </c>
      <c r="P157" t="str">
        <f>IFERROR(INDEX(_courses_lookup!$D:$D,MATCH(K157&amp;L157,_courses_lookup!$E:$E,0)),"")</f>
        <v/>
      </c>
      <c r="AG157" t="str">
        <f t="shared" si="22"/>
        <v/>
      </c>
      <c r="AI157" t="str">
        <f t="shared" si="23"/>
        <v/>
      </c>
      <c r="AL157" t="str">
        <f t="shared" si="24"/>
        <v/>
      </c>
      <c r="AN157" t="str">
        <f t="shared" si="25"/>
        <v/>
      </c>
      <c r="AQ157" t="str">
        <f t="shared" si="26"/>
        <v/>
      </c>
      <c r="AR157" t="str">
        <f t="shared" si="27"/>
        <v/>
      </c>
      <c r="AS157" t="str">
        <f t="shared" si="28"/>
        <v/>
      </c>
      <c r="AT157" t="str">
        <f t="shared" si="29"/>
        <v/>
      </c>
      <c r="BG157" t="str">
        <f t="shared" si="30"/>
        <v/>
      </c>
      <c r="BH157" t="str">
        <f t="shared" si="31"/>
        <v/>
      </c>
      <c r="BL157" t="str">
        <f>IFERROR(INDEX(_names_lookup!$C:$C,MATCH(BK157,_names_lookup!$A:$A,0)),"")</f>
        <v/>
      </c>
      <c r="BM157" t="str">
        <f>IFERROR(INDEX(_names_lookup!$B:$B,MATCH(BK157,_names_lookup!$A:$A,0)),"")</f>
        <v/>
      </c>
      <c r="BS157" t="str">
        <f t="shared" si="32"/>
        <v/>
      </c>
    </row>
    <row r="158" spans="15:71" x14ac:dyDescent="0.2">
      <c r="O158" t="str">
        <f>IFERROR(INDEX(_courses_lookup!$C:$C,MATCH(K158&amp;L158,_courses_lookup!$E:$E,0)),"")</f>
        <v/>
      </c>
      <c r="P158" t="str">
        <f>IFERROR(INDEX(_courses_lookup!$D:$D,MATCH(K158&amp;L158,_courses_lookup!$E:$E,0)),"")</f>
        <v/>
      </c>
      <c r="AG158" t="str">
        <f t="shared" si="22"/>
        <v/>
      </c>
      <c r="AI158" t="str">
        <f t="shared" si="23"/>
        <v/>
      </c>
      <c r="AL158" t="str">
        <f t="shared" si="24"/>
        <v/>
      </c>
      <c r="AN158" t="str">
        <f t="shared" si="25"/>
        <v/>
      </c>
      <c r="AQ158" t="str">
        <f t="shared" si="26"/>
        <v/>
      </c>
      <c r="AR158" t="str">
        <f t="shared" si="27"/>
        <v/>
      </c>
      <c r="AS158" t="str">
        <f t="shared" si="28"/>
        <v/>
      </c>
      <c r="AT158" t="str">
        <f t="shared" si="29"/>
        <v/>
      </c>
      <c r="BG158" t="str">
        <f t="shared" si="30"/>
        <v/>
      </c>
      <c r="BH158" t="str">
        <f t="shared" si="31"/>
        <v/>
      </c>
      <c r="BL158" t="str">
        <f>IFERROR(INDEX(_names_lookup!$C:$C,MATCH(BK158,_names_lookup!$A:$A,0)),"")</f>
        <v/>
      </c>
      <c r="BM158" t="str">
        <f>IFERROR(INDEX(_names_lookup!$B:$B,MATCH(BK158,_names_lookup!$A:$A,0)),"")</f>
        <v/>
      </c>
      <c r="BS158" t="str">
        <f t="shared" si="32"/>
        <v/>
      </c>
    </row>
    <row r="159" spans="15:71" x14ac:dyDescent="0.2">
      <c r="O159" t="str">
        <f>IFERROR(INDEX(_courses_lookup!$C:$C,MATCH(K159&amp;L159,_courses_lookup!$E:$E,0)),"")</f>
        <v/>
      </c>
      <c r="P159" t="str">
        <f>IFERROR(INDEX(_courses_lookup!$D:$D,MATCH(K159&amp;L159,_courses_lookup!$E:$E,0)),"")</f>
        <v/>
      </c>
      <c r="AG159" t="str">
        <f t="shared" si="22"/>
        <v/>
      </c>
      <c r="AI159" t="str">
        <f t="shared" si="23"/>
        <v/>
      </c>
      <c r="AL159" t="str">
        <f t="shared" si="24"/>
        <v/>
      </c>
      <c r="AN159" t="str">
        <f t="shared" si="25"/>
        <v/>
      </c>
      <c r="AQ159" t="str">
        <f t="shared" si="26"/>
        <v/>
      </c>
      <c r="AR159" t="str">
        <f t="shared" si="27"/>
        <v/>
      </c>
      <c r="AS159" t="str">
        <f t="shared" si="28"/>
        <v/>
      </c>
      <c r="AT159" t="str">
        <f t="shared" si="29"/>
        <v/>
      </c>
      <c r="BG159" t="str">
        <f t="shared" si="30"/>
        <v/>
      </c>
      <c r="BH159" t="str">
        <f t="shared" si="31"/>
        <v/>
      </c>
      <c r="BL159" t="str">
        <f>IFERROR(INDEX(_names_lookup!$C:$C,MATCH(BK159,_names_lookup!$A:$A,0)),"")</f>
        <v/>
      </c>
      <c r="BM159" t="str">
        <f>IFERROR(INDEX(_names_lookup!$B:$B,MATCH(BK159,_names_lookup!$A:$A,0)),"")</f>
        <v/>
      </c>
      <c r="BS159" t="str">
        <f t="shared" si="32"/>
        <v/>
      </c>
    </row>
    <row r="160" spans="15:71" x14ac:dyDescent="0.2">
      <c r="O160" t="str">
        <f>IFERROR(INDEX(_courses_lookup!$C:$C,MATCH(K160&amp;L160,_courses_lookup!$E:$E,0)),"")</f>
        <v/>
      </c>
      <c r="P160" t="str">
        <f>IFERROR(INDEX(_courses_lookup!$D:$D,MATCH(K160&amp;L160,_courses_lookup!$E:$E,0)),"")</f>
        <v/>
      </c>
      <c r="AG160" t="str">
        <f t="shared" si="22"/>
        <v/>
      </c>
      <c r="AI160" t="str">
        <f t="shared" si="23"/>
        <v/>
      </c>
      <c r="AL160" t="str">
        <f t="shared" si="24"/>
        <v/>
      </c>
      <c r="AN160" t="str">
        <f t="shared" si="25"/>
        <v/>
      </c>
      <c r="AQ160" t="str">
        <f t="shared" si="26"/>
        <v/>
      </c>
      <c r="AR160" t="str">
        <f t="shared" si="27"/>
        <v/>
      </c>
      <c r="AS160" t="str">
        <f t="shared" si="28"/>
        <v/>
      </c>
      <c r="AT160" t="str">
        <f t="shared" si="29"/>
        <v/>
      </c>
      <c r="BG160" t="str">
        <f t="shared" si="30"/>
        <v/>
      </c>
      <c r="BH160" t="str">
        <f t="shared" si="31"/>
        <v/>
      </c>
      <c r="BL160" t="str">
        <f>IFERROR(INDEX(_names_lookup!$C:$C,MATCH(BK160,_names_lookup!$A:$A,0)),"")</f>
        <v/>
      </c>
      <c r="BM160" t="str">
        <f>IFERROR(INDEX(_names_lookup!$B:$B,MATCH(BK160,_names_lookup!$A:$A,0)),"")</f>
        <v/>
      </c>
      <c r="BS160" t="str">
        <f t="shared" si="32"/>
        <v/>
      </c>
    </row>
    <row r="161" spans="15:71" x14ac:dyDescent="0.2">
      <c r="O161" t="str">
        <f>IFERROR(INDEX(_courses_lookup!$C:$C,MATCH(K161&amp;L161,_courses_lookup!$E:$E,0)),"")</f>
        <v/>
      </c>
      <c r="P161" t="str">
        <f>IFERROR(INDEX(_courses_lookup!$D:$D,MATCH(K161&amp;L161,_courses_lookup!$E:$E,0)),"")</f>
        <v/>
      </c>
      <c r="AG161" t="str">
        <f t="shared" si="22"/>
        <v/>
      </c>
      <c r="AI161" t="str">
        <f t="shared" si="23"/>
        <v/>
      </c>
      <c r="AL161" t="str">
        <f t="shared" si="24"/>
        <v/>
      </c>
      <c r="AN161" t="str">
        <f t="shared" si="25"/>
        <v/>
      </c>
      <c r="AQ161" t="str">
        <f t="shared" si="26"/>
        <v/>
      </c>
      <c r="AR161" t="str">
        <f t="shared" si="27"/>
        <v/>
      </c>
      <c r="AS161" t="str">
        <f t="shared" si="28"/>
        <v/>
      </c>
      <c r="AT161" t="str">
        <f t="shared" si="29"/>
        <v/>
      </c>
      <c r="BG161" t="str">
        <f t="shared" si="30"/>
        <v/>
      </c>
      <c r="BH161" t="str">
        <f t="shared" si="31"/>
        <v/>
      </c>
      <c r="BL161" t="str">
        <f>IFERROR(INDEX(_names_lookup!$C:$C,MATCH(BK161,_names_lookup!$A:$A,0)),"")</f>
        <v/>
      </c>
      <c r="BM161" t="str">
        <f>IFERROR(INDEX(_names_lookup!$B:$B,MATCH(BK161,_names_lookup!$A:$A,0)),"")</f>
        <v/>
      </c>
      <c r="BS161" t="str">
        <f t="shared" si="32"/>
        <v/>
      </c>
    </row>
    <row r="162" spans="15:71" x14ac:dyDescent="0.2">
      <c r="O162" t="str">
        <f>IFERROR(INDEX(_courses_lookup!$C:$C,MATCH(K162&amp;L162,_courses_lookup!$E:$E,0)),"")</f>
        <v/>
      </c>
      <c r="P162" t="str">
        <f>IFERROR(INDEX(_courses_lookup!$D:$D,MATCH(K162&amp;L162,_courses_lookup!$E:$E,0)),"")</f>
        <v/>
      </c>
      <c r="AG162" t="str">
        <f t="shared" si="22"/>
        <v/>
      </c>
      <c r="AI162" t="str">
        <f t="shared" si="23"/>
        <v/>
      </c>
      <c r="AL162" t="str">
        <f t="shared" si="24"/>
        <v/>
      </c>
      <c r="AN162" t="str">
        <f t="shared" si="25"/>
        <v/>
      </c>
      <c r="AQ162" t="str">
        <f t="shared" si="26"/>
        <v/>
      </c>
      <c r="AR162" t="str">
        <f t="shared" si="27"/>
        <v/>
      </c>
      <c r="AS162" t="str">
        <f t="shared" si="28"/>
        <v/>
      </c>
      <c r="AT162" t="str">
        <f t="shared" si="29"/>
        <v/>
      </c>
      <c r="BG162" t="str">
        <f t="shared" si="30"/>
        <v/>
      </c>
      <c r="BH162" t="str">
        <f t="shared" si="31"/>
        <v/>
      </c>
      <c r="BL162" t="str">
        <f>IFERROR(INDEX(_names_lookup!$C:$C,MATCH(BK162,_names_lookup!$A:$A,0)),"")</f>
        <v/>
      </c>
      <c r="BM162" t="str">
        <f>IFERROR(INDEX(_names_lookup!$B:$B,MATCH(BK162,_names_lookup!$A:$A,0)),"")</f>
        <v/>
      </c>
      <c r="BS162" t="str">
        <f t="shared" si="32"/>
        <v/>
      </c>
    </row>
    <row r="163" spans="15:71" x14ac:dyDescent="0.2">
      <c r="O163" t="str">
        <f>IFERROR(INDEX(_courses_lookup!$C:$C,MATCH(K163&amp;L163,_courses_lookup!$E:$E,0)),"")</f>
        <v/>
      </c>
      <c r="P163" t="str">
        <f>IFERROR(INDEX(_courses_lookup!$D:$D,MATCH(K163&amp;L163,_courses_lookup!$E:$E,0)),"")</f>
        <v/>
      </c>
      <c r="AG163" t="str">
        <f t="shared" si="22"/>
        <v/>
      </c>
      <c r="AI163" t="str">
        <f t="shared" si="23"/>
        <v/>
      </c>
      <c r="AL163" t="str">
        <f t="shared" si="24"/>
        <v/>
      </c>
      <c r="AN163" t="str">
        <f t="shared" si="25"/>
        <v/>
      </c>
      <c r="AQ163" t="str">
        <f t="shared" si="26"/>
        <v/>
      </c>
      <c r="AR163" t="str">
        <f t="shared" si="27"/>
        <v/>
      </c>
      <c r="AS163" t="str">
        <f t="shared" si="28"/>
        <v/>
      </c>
      <c r="AT163" t="str">
        <f t="shared" si="29"/>
        <v/>
      </c>
      <c r="BG163" t="str">
        <f t="shared" si="30"/>
        <v/>
      </c>
      <c r="BH163" t="str">
        <f t="shared" si="31"/>
        <v/>
      </c>
      <c r="BL163" t="str">
        <f>IFERROR(INDEX(_names_lookup!$C:$C,MATCH(BK163,_names_lookup!$A:$A,0)),"")</f>
        <v/>
      </c>
      <c r="BM163" t="str">
        <f>IFERROR(INDEX(_names_lookup!$B:$B,MATCH(BK163,_names_lookup!$A:$A,0)),"")</f>
        <v/>
      </c>
      <c r="BS163" t="str">
        <f t="shared" si="32"/>
        <v/>
      </c>
    </row>
    <row r="164" spans="15:71" x14ac:dyDescent="0.2">
      <c r="O164" t="str">
        <f>IFERROR(INDEX(_courses_lookup!$C:$C,MATCH(K164&amp;L164,_courses_lookup!$E:$E,0)),"")</f>
        <v/>
      </c>
      <c r="P164" t="str">
        <f>IFERROR(INDEX(_courses_lookup!$D:$D,MATCH(K164&amp;L164,_courses_lookup!$E:$E,0)),"")</f>
        <v/>
      </c>
      <c r="AG164" t="str">
        <f t="shared" si="22"/>
        <v/>
      </c>
      <c r="AI164" t="str">
        <f t="shared" si="23"/>
        <v/>
      </c>
      <c r="AL164" t="str">
        <f t="shared" si="24"/>
        <v/>
      </c>
      <c r="AN164" t="str">
        <f t="shared" si="25"/>
        <v/>
      </c>
      <c r="AQ164" t="str">
        <f t="shared" si="26"/>
        <v/>
      </c>
      <c r="AR164" t="str">
        <f t="shared" si="27"/>
        <v/>
      </c>
      <c r="AS164" t="str">
        <f t="shared" si="28"/>
        <v/>
      </c>
      <c r="AT164" t="str">
        <f t="shared" si="29"/>
        <v/>
      </c>
      <c r="BG164" t="str">
        <f t="shared" si="30"/>
        <v/>
      </c>
      <c r="BH164" t="str">
        <f t="shared" si="31"/>
        <v/>
      </c>
      <c r="BL164" t="str">
        <f>IFERROR(INDEX(_names_lookup!$C:$C,MATCH(BK164,_names_lookup!$A:$A,0)),"")</f>
        <v/>
      </c>
      <c r="BM164" t="str">
        <f>IFERROR(INDEX(_names_lookup!$B:$B,MATCH(BK164,_names_lookup!$A:$A,0)),"")</f>
        <v/>
      </c>
      <c r="BS164" t="str">
        <f t="shared" si="32"/>
        <v/>
      </c>
    </row>
    <row r="165" spans="15:71" x14ac:dyDescent="0.2">
      <c r="O165" t="str">
        <f>IFERROR(INDEX(_courses_lookup!$C:$C,MATCH(K165&amp;L165,_courses_lookup!$E:$E,0)),"")</f>
        <v/>
      </c>
      <c r="P165" t="str">
        <f>IFERROR(INDEX(_courses_lookup!$D:$D,MATCH(K165&amp;L165,_courses_lookup!$E:$E,0)),"")</f>
        <v/>
      </c>
      <c r="AG165" t="str">
        <f t="shared" si="22"/>
        <v/>
      </c>
      <c r="AI165" t="str">
        <f t="shared" si="23"/>
        <v/>
      </c>
      <c r="AL165" t="str">
        <f t="shared" si="24"/>
        <v/>
      </c>
      <c r="AN165" t="str">
        <f t="shared" si="25"/>
        <v/>
      </c>
      <c r="AQ165" t="str">
        <f t="shared" si="26"/>
        <v/>
      </c>
      <c r="AR165" t="str">
        <f t="shared" si="27"/>
        <v/>
      </c>
      <c r="AS165" t="str">
        <f t="shared" si="28"/>
        <v/>
      </c>
      <c r="AT165" t="str">
        <f t="shared" si="29"/>
        <v/>
      </c>
      <c r="BG165" t="str">
        <f t="shared" si="30"/>
        <v/>
      </c>
      <c r="BH165" t="str">
        <f t="shared" si="31"/>
        <v/>
      </c>
      <c r="BL165" t="str">
        <f>IFERROR(INDEX(_names_lookup!$C:$C,MATCH(BK165,_names_lookup!$A:$A,0)),"")</f>
        <v/>
      </c>
      <c r="BM165" t="str">
        <f>IFERROR(INDEX(_names_lookup!$B:$B,MATCH(BK165,_names_lookup!$A:$A,0)),"")</f>
        <v/>
      </c>
      <c r="BS165" t="str">
        <f t="shared" si="32"/>
        <v/>
      </c>
    </row>
    <row r="166" spans="15:71" x14ac:dyDescent="0.2">
      <c r="O166" t="str">
        <f>IFERROR(INDEX(_courses_lookup!$C:$C,MATCH(K166&amp;L166,_courses_lookup!$E:$E,0)),"")</f>
        <v/>
      </c>
      <c r="P166" t="str">
        <f>IFERROR(INDEX(_courses_lookup!$D:$D,MATCH(K166&amp;L166,_courses_lookup!$E:$E,0)),"")</f>
        <v/>
      </c>
      <c r="AG166" t="str">
        <f t="shared" si="22"/>
        <v/>
      </c>
      <c r="AI166" t="str">
        <f t="shared" si="23"/>
        <v/>
      </c>
      <c r="AL166" t="str">
        <f t="shared" si="24"/>
        <v/>
      </c>
      <c r="AN166" t="str">
        <f t="shared" si="25"/>
        <v/>
      </c>
      <c r="AQ166" t="str">
        <f t="shared" si="26"/>
        <v/>
      </c>
      <c r="AR166" t="str">
        <f t="shared" si="27"/>
        <v/>
      </c>
      <c r="AS166" t="str">
        <f t="shared" si="28"/>
        <v/>
      </c>
      <c r="AT166" t="str">
        <f t="shared" si="29"/>
        <v/>
      </c>
      <c r="BG166" t="str">
        <f t="shared" si="30"/>
        <v/>
      </c>
      <c r="BH166" t="str">
        <f t="shared" si="31"/>
        <v/>
      </c>
      <c r="BL166" t="str">
        <f>IFERROR(INDEX(_names_lookup!$C:$C,MATCH(BK166,_names_lookup!$A:$A,0)),"")</f>
        <v/>
      </c>
      <c r="BM166" t="str">
        <f>IFERROR(INDEX(_names_lookup!$B:$B,MATCH(BK166,_names_lookup!$A:$A,0)),"")</f>
        <v/>
      </c>
      <c r="BS166" t="str">
        <f t="shared" si="32"/>
        <v/>
      </c>
    </row>
    <row r="167" spans="15:71" x14ac:dyDescent="0.2">
      <c r="O167" t="str">
        <f>IFERROR(INDEX(_courses_lookup!$C:$C,MATCH(K167&amp;L167,_courses_lookup!$E:$E,0)),"")</f>
        <v/>
      </c>
      <c r="P167" t="str">
        <f>IFERROR(INDEX(_courses_lookup!$D:$D,MATCH(K167&amp;L167,_courses_lookup!$E:$E,0)),"")</f>
        <v/>
      </c>
      <c r="AG167" t="str">
        <f t="shared" si="22"/>
        <v/>
      </c>
      <c r="AI167" t="str">
        <f t="shared" si="23"/>
        <v/>
      </c>
      <c r="AL167" t="str">
        <f t="shared" si="24"/>
        <v/>
      </c>
      <c r="AN167" t="str">
        <f t="shared" si="25"/>
        <v/>
      </c>
      <c r="AQ167" t="str">
        <f t="shared" si="26"/>
        <v/>
      </c>
      <c r="AR167" t="str">
        <f t="shared" si="27"/>
        <v/>
      </c>
      <c r="AS167" t="str">
        <f t="shared" si="28"/>
        <v/>
      </c>
      <c r="AT167" t="str">
        <f t="shared" si="29"/>
        <v/>
      </c>
      <c r="BG167" t="str">
        <f t="shared" si="30"/>
        <v/>
      </c>
      <c r="BH167" t="str">
        <f t="shared" si="31"/>
        <v/>
      </c>
      <c r="BL167" t="str">
        <f>IFERROR(INDEX(_names_lookup!$C:$C,MATCH(BK167,_names_lookup!$A:$A,0)),"")</f>
        <v/>
      </c>
      <c r="BM167" t="str">
        <f>IFERROR(INDEX(_names_lookup!$B:$B,MATCH(BK167,_names_lookup!$A:$A,0)),"")</f>
        <v/>
      </c>
      <c r="BS167" t="str">
        <f t="shared" si="32"/>
        <v/>
      </c>
    </row>
    <row r="168" spans="15:71" x14ac:dyDescent="0.2">
      <c r="O168" t="str">
        <f>IFERROR(INDEX(_courses_lookup!$C:$C,MATCH(K168&amp;L168,_courses_lookup!$E:$E,0)),"")</f>
        <v/>
      </c>
      <c r="P168" t="str">
        <f>IFERROR(INDEX(_courses_lookup!$D:$D,MATCH(K168&amp;L168,_courses_lookup!$E:$E,0)),"")</f>
        <v/>
      </c>
      <c r="AG168" t="str">
        <f t="shared" si="22"/>
        <v/>
      </c>
      <c r="AI168" t="str">
        <f t="shared" si="23"/>
        <v/>
      </c>
      <c r="AL168" t="str">
        <f t="shared" si="24"/>
        <v/>
      </c>
      <c r="AN168" t="str">
        <f t="shared" si="25"/>
        <v/>
      </c>
      <c r="AQ168" t="str">
        <f t="shared" si="26"/>
        <v/>
      </c>
      <c r="AR168" t="str">
        <f t="shared" si="27"/>
        <v/>
      </c>
      <c r="AS168" t="str">
        <f t="shared" si="28"/>
        <v/>
      </c>
      <c r="AT168" t="str">
        <f t="shared" si="29"/>
        <v/>
      </c>
      <c r="BG168" t="str">
        <f t="shared" si="30"/>
        <v/>
      </c>
      <c r="BH168" t="str">
        <f t="shared" si="31"/>
        <v/>
      </c>
      <c r="BL168" t="str">
        <f>IFERROR(INDEX(_names_lookup!$C:$C,MATCH(BK168,_names_lookup!$A:$A,0)),"")</f>
        <v/>
      </c>
      <c r="BM168" t="str">
        <f>IFERROR(INDEX(_names_lookup!$B:$B,MATCH(BK168,_names_lookup!$A:$A,0)),"")</f>
        <v/>
      </c>
      <c r="BS168" t="str">
        <f t="shared" si="32"/>
        <v/>
      </c>
    </row>
    <row r="169" spans="15:71" x14ac:dyDescent="0.2">
      <c r="O169" t="str">
        <f>IFERROR(INDEX(_courses_lookup!$C:$C,MATCH(K169&amp;L169,_courses_lookup!$E:$E,0)),"")</f>
        <v/>
      </c>
      <c r="P169" t="str">
        <f>IFERROR(INDEX(_courses_lookup!$D:$D,MATCH(K169&amp;L169,_courses_lookup!$E:$E,0)),"")</f>
        <v/>
      </c>
      <c r="AG169" t="str">
        <f t="shared" si="22"/>
        <v/>
      </c>
      <c r="AI169" t="str">
        <f t="shared" si="23"/>
        <v/>
      </c>
      <c r="AL169" t="str">
        <f t="shared" si="24"/>
        <v/>
      </c>
      <c r="AN169" t="str">
        <f t="shared" si="25"/>
        <v/>
      </c>
      <c r="AQ169" t="str">
        <f t="shared" si="26"/>
        <v/>
      </c>
      <c r="AR169" t="str">
        <f t="shared" si="27"/>
        <v/>
      </c>
      <c r="AS169" t="str">
        <f t="shared" si="28"/>
        <v/>
      </c>
      <c r="AT169" t="str">
        <f t="shared" si="29"/>
        <v/>
      </c>
      <c r="BG169" t="str">
        <f t="shared" si="30"/>
        <v/>
      </c>
      <c r="BH169" t="str">
        <f t="shared" si="31"/>
        <v/>
      </c>
      <c r="BL169" t="str">
        <f>IFERROR(INDEX(_names_lookup!$C:$C,MATCH(BK169,_names_lookup!$A:$A,0)),"")</f>
        <v/>
      </c>
      <c r="BM169" t="str">
        <f>IFERROR(INDEX(_names_lookup!$B:$B,MATCH(BK169,_names_lookup!$A:$A,0)),"")</f>
        <v/>
      </c>
      <c r="BS169" t="str">
        <f t="shared" si="32"/>
        <v/>
      </c>
    </row>
    <row r="170" spans="15:71" x14ac:dyDescent="0.2">
      <c r="O170" t="str">
        <f>IFERROR(INDEX(_courses_lookup!$C:$C,MATCH(K170&amp;L170,_courses_lookup!$E:$E,0)),"")</f>
        <v/>
      </c>
      <c r="P170" t="str">
        <f>IFERROR(INDEX(_courses_lookup!$D:$D,MATCH(K170&amp;L170,_courses_lookup!$E:$E,0)),"")</f>
        <v/>
      </c>
      <c r="AG170" t="str">
        <f t="shared" si="22"/>
        <v/>
      </c>
      <c r="AI170" t="str">
        <f t="shared" si="23"/>
        <v/>
      </c>
      <c r="AL170" t="str">
        <f t="shared" si="24"/>
        <v/>
      </c>
      <c r="AN170" t="str">
        <f t="shared" si="25"/>
        <v/>
      </c>
      <c r="AQ170" t="str">
        <f t="shared" si="26"/>
        <v/>
      </c>
      <c r="AR170" t="str">
        <f t="shared" si="27"/>
        <v/>
      </c>
      <c r="AS170" t="str">
        <f t="shared" si="28"/>
        <v/>
      </c>
      <c r="AT170" t="str">
        <f t="shared" si="29"/>
        <v/>
      </c>
      <c r="BG170" t="str">
        <f t="shared" si="30"/>
        <v/>
      </c>
      <c r="BH170" t="str">
        <f t="shared" si="31"/>
        <v/>
      </c>
      <c r="BL170" t="str">
        <f>IFERROR(INDEX(_names_lookup!$C:$C,MATCH(BK170,_names_lookup!$A:$A,0)),"")</f>
        <v/>
      </c>
      <c r="BM170" t="str">
        <f>IFERROR(INDEX(_names_lookup!$B:$B,MATCH(BK170,_names_lookup!$A:$A,0)),"")</f>
        <v/>
      </c>
      <c r="BS170" t="str">
        <f t="shared" si="32"/>
        <v/>
      </c>
    </row>
    <row r="171" spans="15:71" x14ac:dyDescent="0.2">
      <c r="O171" t="str">
        <f>IFERROR(INDEX(_courses_lookup!$C:$C,MATCH(K171&amp;L171,_courses_lookup!$E:$E,0)),"")</f>
        <v/>
      </c>
      <c r="P171" t="str">
        <f>IFERROR(INDEX(_courses_lookup!$D:$D,MATCH(K171&amp;L171,_courses_lookup!$E:$E,0)),"")</f>
        <v/>
      </c>
      <c r="AG171" t="str">
        <f t="shared" si="22"/>
        <v/>
      </c>
      <c r="AI171" t="str">
        <f t="shared" si="23"/>
        <v/>
      </c>
      <c r="AL171" t="str">
        <f t="shared" si="24"/>
        <v/>
      </c>
      <c r="AN171" t="str">
        <f t="shared" si="25"/>
        <v/>
      </c>
      <c r="AQ171" t="str">
        <f t="shared" si="26"/>
        <v/>
      </c>
      <c r="AR171" t="str">
        <f t="shared" si="27"/>
        <v/>
      </c>
      <c r="AS171" t="str">
        <f t="shared" si="28"/>
        <v/>
      </c>
      <c r="AT171" t="str">
        <f t="shared" si="29"/>
        <v/>
      </c>
      <c r="BG171" t="str">
        <f t="shared" si="30"/>
        <v/>
      </c>
      <c r="BH171" t="str">
        <f t="shared" si="31"/>
        <v/>
      </c>
      <c r="BL171" t="str">
        <f>IFERROR(INDEX(_names_lookup!$C:$C,MATCH(BK171,_names_lookup!$A:$A,0)),"")</f>
        <v/>
      </c>
      <c r="BM171" t="str">
        <f>IFERROR(INDEX(_names_lookup!$B:$B,MATCH(BK171,_names_lookup!$A:$A,0)),"")</f>
        <v/>
      </c>
      <c r="BS171" t="str">
        <f t="shared" si="32"/>
        <v/>
      </c>
    </row>
    <row r="172" spans="15:71" x14ac:dyDescent="0.2">
      <c r="O172" t="str">
        <f>IFERROR(INDEX(_courses_lookup!$C:$C,MATCH(K172&amp;L172,_courses_lookup!$E:$E,0)),"")</f>
        <v/>
      </c>
      <c r="P172" t="str">
        <f>IFERROR(INDEX(_courses_lookup!$D:$D,MATCH(K172&amp;L172,_courses_lookup!$E:$E,0)),"")</f>
        <v/>
      </c>
      <c r="AG172" t="str">
        <f t="shared" si="22"/>
        <v/>
      </c>
      <c r="AI172" t="str">
        <f t="shared" si="23"/>
        <v/>
      </c>
      <c r="AL172" t="str">
        <f t="shared" si="24"/>
        <v/>
      </c>
      <c r="AN172" t="str">
        <f t="shared" si="25"/>
        <v/>
      </c>
      <c r="AQ172" t="str">
        <f t="shared" si="26"/>
        <v/>
      </c>
      <c r="AR172" t="str">
        <f t="shared" si="27"/>
        <v/>
      </c>
      <c r="AS172" t="str">
        <f t="shared" si="28"/>
        <v/>
      </c>
      <c r="AT172" t="str">
        <f t="shared" si="29"/>
        <v/>
      </c>
      <c r="BG172" t="str">
        <f t="shared" si="30"/>
        <v/>
      </c>
      <c r="BH172" t="str">
        <f t="shared" si="31"/>
        <v/>
      </c>
      <c r="BL172" t="str">
        <f>IFERROR(INDEX(_names_lookup!$C:$C,MATCH(BK172,_names_lookup!$A:$A,0)),"")</f>
        <v/>
      </c>
      <c r="BM172" t="str">
        <f>IFERROR(INDEX(_names_lookup!$B:$B,MATCH(BK172,_names_lookup!$A:$A,0)),"")</f>
        <v/>
      </c>
      <c r="BS172" t="str">
        <f t="shared" si="32"/>
        <v/>
      </c>
    </row>
    <row r="173" spans="15:71" x14ac:dyDescent="0.2">
      <c r="O173" t="str">
        <f>IFERROR(INDEX(_courses_lookup!$C:$C,MATCH(K173&amp;L173,_courses_lookup!$E:$E,0)),"")</f>
        <v/>
      </c>
      <c r="P173" t="str">
        <f>IFERROR(INDEX(_courses_lookup!$D:$D,MATCH(K173&amp;L173,_courses_lookup!$E:$E,0)),"")</f>
        <v/>
      </c>
      <c r="AG173" t="str">
        <f t="shared" si="22"/>
        <v/>
      </c>
      <c r="AI173" t="str">
        <f t="shared" si="23"/>
        <v/>
      </c>
      <c r="AL173" t="str">
        <f t="shared" si="24"/>
        <v/>
      </c>
      <c r="AN173" t="str">
        <f t="shared" si="25"/>
        <v/>
      </c>
      <c r="AQ173" t="str">
        <f t="shared" si="26"/>
        <v/>
      </c>
      <c r="AR173" t="str">
        <f t="shared" si="27"/>
        <v/>
      </c>
      <c r="AS173" t="str">
        <f t="shared" si="28"/>
        <v/>
      </c>
      <c r="AT173" t="str">
        <f t="shared" si="29"/>
        <v/>
      </c>
      <c r="BG173" t="str">
        <f t="shared" si="30"/>
        <v/>
      </c>
      <c r="BH173" t="str">
        <f t="shared" si="31"/>
        <v/>
      </c>
      <c r="BL173" t="str">
        <f>IFERROR(INDEX(_names_lookup!$C:$C,MATCH(BK173,_names_lookup!$A:$A,0)),"")</f>
        <v/>
      </c>
      <c r="BM173" t="str">
        <f>IFERROR(INDEX(_names_lookup!$B:$B,MATCH(BK173,_names_lookup!$A:$A,0)),"")</f>
        <v/>
      </c>
      <c r="BS173" t="str">
        <f t="shared" si="32"/>
        <v/>
      </c>
    </row>
    <row r="174" spans="15:71" x14ac:dyDescent="0.2">
      <c r="O174" t="str">
        <f>IFERROR(INDEX(_courses_lookup!$C:$C,MATCH(K174&amp;L174,_courses_lookup!$E:$E,0)),"")</f>
        <v/>
      </c>
      <c r="P174" t="str">
        <f>IFERROR(INDEX(_courses_lookup!$D:$D,MATCH(K174&amp;L174,_courses_lookup!$E:$E,0)),"")</f>
        <v/>
      </c>
      <c r="AG174" t="str">
        <f t="shared" si="22"/>
        <v/>
      </c>
      <c r="AI174" t="str">
        <f t="shared" si="23"/>
        <v/>
      </c>
      <c r="AL174" t="str">
        <f t="shared" si="24"/>
        <v/>
      </c>
      <c r="AN174" t="str">
        <f t="shared" si="25"/>
        <v/>
      </c>
      <c r="AQ174" t="str">
        <f t="shared" si="26"/>
        <v/>
      </c>
      <c r="AR174" t="str">
        <f t="shared" si="27"/>
        <v/>
      </c>
      <c r="AS174" t="str">
        <f t="shared" si="28"/>
        <v/>
      </c>
      <c r="AT174" t="str">
        <f t="shared" si="29"/>
        <v/>
      </c>
      <c r="BG174" t="str">
        <f t="shared" si="30"/>
        <v/>
      </c>
      <c r="BH174" t="str">
        <f t="shared" si="31"/>
        <v/>
      </c>
      <c r="BL174" t="str">
        <f>IFERROR(INDEX(_names_lookup!$C:$C,MATCH(BK174,_names_lookup!$A:$A,0)),"")</f>
        <v/>
      </c>
      <c r="BM174" t="str">
        <f>IFERROR(INDEX(_names_lookup!$B:$B,MATCH(BK174,_names_lookup!$A:$A,0)),"")</f>
        <v/>
      </c>
      <c r="BS174" t="str">
        <f t="shared" si="32"/>
        <v/>
      </c>
    </row>
    <row r="175" spans="15:71" x14ac:dyDescent="0.2">
      <c r="O175" t="str">
        <f>IFERROR(INDEX(_courses_lookup!$C:$C,MATCH(K175&amp;L175,_courses_lookup!$E:$E,0)),"")</f>
        <v/>
      </c>
      <c r="P175" t="str">
        <f>IFERROR(INDEX(_courses_lookup!$D:$D,MATCH(K175&amp;L175,_courses_lookup!$E:$E,0)),"")</f>
        <v/>
      </c>
      <c r="AG175" t="str">
        <f t="shared" si="22"/>
        <v/>
      </c>
      <c r="AI175" t="str">
        <f t="shared" si="23"/>
        <v/>
      </c>
      <c r="AL175" t="str">
        <f t="shared" si="24"/>
        <v/>
      </c>
      <c r="AN175" t="str">
        <f t="shared" si="25"/>
        <v/>
      </c>
      <c r="AQ175" t="str">
        <f t="shared" si="26"/>
        <v/>
      </c>
      <c r="AR175" t="str">
        <f t="shared" si="27"/>
        <v/>
      </c>
      <c r="AS175" t="str">
        <f t="shared" si="28"/>
        <v/>
      </c>
      <c r="AT175" t="str">
        <f t="shared" si="29"/>
        <v/>
      </c>
      <c r="BG175" t="str">
        <f t="shared" si="30"/>
        <v/>
      </c>
      <c r="BH175" t="str">
        <f t="shared" si="31"/>
        <v/>
      </c>
      <c r="BL175" t="str">
        <f>IFERROR(INDEX(_names_lookup!$C:$C,MATCH(BK175,_names_lookup!$A:$A,0)),"")</f>
        <v/>
      </c>
      <c r="BM175" t="str">
        <f>IFERROR(INDEX(_names_lookup!$B:$B,MATCH(BK175,_names_lookup!$A:$A,0)),"")</f>
        <v/>
      </c>
      <c r="BS175" t="str">
        <f t="shared" si="32"/>
        <v/>
      </c>
    </row>
    <row r="176" spans="15:71" x14ac:dyDescent="0.2">
      <c r="O176" t="str">
        <f>IFERROR(INDEX(_courses_lookup!$C:$C,MATCH(K176&amp;L176,_courses_lookup!$E:$E,0)),"")</f>
        <v/>
      </c>
      <c r="P176" t="str">
        <f>IFERROR(INDEX(_courses_lookup!$D:$D,MATCH(K176&amp;L176,_courses_lookup!$E:$E,0)),"")</f>
        <v/>
      </c>
      <c r="AG176" t="str">
        <f t="shared" si="22"/>
        <v/>
      </c>
      <c r="AI176" t="str">
        <f t="shared" si="23"/>
        <v/>
      </c>
      <c r="AL176" t="str">
        <f t="shared" si="24"/>
        <v/>
      </c>
      <c r="AN176" t="str">
        <f t="shared" si="25"/>
        <v/>
      </c>
      <c r="AQ176" t="str">
        <f t="shared" si="26"/>
        <v/>
      </c>
      <c r="AR176" t="str">
        <f t="shared" si="27"/>
        <v/>
      </c>
      <c r="AS176" t="str">
        <f t="shared" si="28"/>
        <v/>
      </c>
      <c r="AT176" t="str">
        <f t="shared" si="29"/>
        <v/>
      </c>
      <c r="BG176" t="str">
        <f t="shared" si="30"/>
        <v/>
      </c>
      <c r="BH176" t="str">
        <f t="shared" si="31"/>
        <v/>
      </c>
      <c r="BL176" t="str">
        <f>IFERROR(INDEX(_names_lookup!$C:$C,MATCH(BK176,_names_lookup!$A:$A,0)),"")</f>
        <v/>
      </c>
      <c r="BM176" t="str">
        <f>IFERROR(INDEX(_names_lookup!$B:$B,MATCH(BK176,_names_lookup!$A:$A,0)),"")</f>
        <v/>
      </c>
      <c r="BS176" t="str">
        <f t="shared" si="32"/>
        <v/>
      </c>
    </row>
    <row r="177" spans="15:71" x14ac:dyDescent="0.2">
      <c r="O177" t="str">
        <f>IFERROR(INDEX(_courses_lookup!$C:$C,MATCH(K177&amp;L177,_courses_lookup!$E:$E,0)),"")</f>
        <v/>
      </c>
      <c r="P177" t="str">
        <f>IFERROR(INDEX(_courses_lookup!$D:$D,MATCH(K177&amp;L177,_courses_lookup!$E:$E,0)),"")</f>
        <v/>
      </c>
      <c r="AG177" t="str">
        <f t="shared" si="22"/>
        <v/>
      </c>
      <c r="AI177" t="str">
        <f t="shared" si="23"/>
        <v/>
      </c>
      <c r="AL177" t="str">
        <f t="shared" si="24"/>
        <v/>
      </c>
      <c r="AN177" t="str">
        <f t="shared" si="25"/>
        <v/>
      </c>
      <c r="AQ177" t="str">
        <f t="shared" si="26"/>
        <v/>
      </c>
      <c r="AR177" t="str">
        <f t="shared" si="27"/>
        <v/>
      </c>
      <c r="AS177" t="str">
        <f t="shared" si="28"/>
        <v/>
      </c>
      <c r="AT177" t="str">
        <f t="shared" si="29"/>
        <v/>
      </c>
      <c r="BG177" t="str">
        <f t="shared" si="30"/>
        <v/>
      </c>
      <c r="BH177" t="str">
        <f t="shared" si="31"/>
        <v/>
      </c>
      <c r="BL177" t="str">
        <f>IFERROR(INDEX(_names_lookup!$C:$C,MATCH(BK177,_names_lookup!$A:$A,0)),"")</f>
        <v/>
      </c>
      <c r="BM177" t="str">
        <f>IFERROR(INDEX(_names_lookup!$B:$B,MATCH(BK177,_names_lookup!$A:$A,0)),"")</f>
        <v/>
      </c>
      <c r="BS177" t="str">
        <f t="shared" si="32"/>
        <v/>
      </c>
    </row>
    <row r="178" spans="15:71" x14ac:dyDescent="0.2">
      <c r="O178" t="str">
        <f>IFERROR(INDEX(_courses_lookup!$C:$C,MATCH(K178&amp;L178,_courses_lookup!$E:$E,0)),"")</f>
        <v/>
      </c>
      <c r="P178" t="str">
        <f>IFERROR(INDEX(_courses_lookup!$D:$D,MATCH(K178&amp;L178,_courses_lookup!$E:$E,0)),"")</f>
        <v/>
      </c>
      <c r="AG178" t="str">
        <f t="shared" si="22"/>
        <v/>
      </c>
      <c r="AI178" t="str">
        <f t="shared" si="23"/>
        <v/>
      </c>
      <c r="AL178" t="str">
        <f t="shared" si="24"/>
        <v/>
      </c>
      <c r="AN178" t="str">
        <f t="shared" si="25"/>
        <v/>
      </c>
      <c r="AQ178" t="str">
        <f t="shared" si="26"/>
        <v/>
      </c>
      <c r="AR178" t="str">
        <f t="shared" si="27"/>
        <v/>
      </c>
      <c r="AS178" t="str">
        <f t="shared" si="28"/>
        <v/>
      </c>
      <c r="AT178" t="str">
        <f t="shared" si="29"/>
        <v/>
      </c>
      <c r="BG178" t="str">
        <f t="shared" si="30"/>
        <v/>
      </c>
      <c r="BH178" t="str">
        <f t="shared" si="31"/>
        <v/>
      </c>
      <c r="BL178" t="str">
        <f>IFERROR(INDEX(_names_lookup!$C:$C,MATCH(BK178,_names_lookup!$A:$A,0)),"")</f>
        <v/>
      </c>
      <c r="BM178" t="str">
        <f>IFERROR(INDEX(_names_lookup!$B:$B,MATCH(BK178,_names_lookup!$A:$A,0)),"")</f>
        <v/>
      </c>
      <c r="BS178" t="str">
        <f t="shared" si="32"/>
        <v/>
      </c>
    </row>
    <row r="179" spans="15:71" x14ac:dyDescent="0.2">
      <c r="O179" t="str">
        <f>IFERROR(INDEX(_courses_lookup!$C:$C,MATCH(K179&amp;L179,_courses_lookup!$E:$E,0)),"")</f>
        <v/>
      </c>
      <c r="P179" t="str">
        <f>IFERROR(INDEX(_courses_lookup!$D:$D,MATCH(K179&amp;L179,_courses_lookup!$E:$E,0)),"")</f>
        <v/>
      </c>
      <c r="AG179" t="str">
        <f t="shared" si="22"/>
        <v/>
      </c>
      <c r="AI179" t="str">
        <f t="shared" si="23"/>
        <v/>
      </c>
      <c r="AL179" t="str">
        <f t="shared" si="24"/>
        <v/>
      </c>
      <c r="AN179" t="str">
        <f t="shared" si="25"/>
        <v/>
      </c>
      <c r="AQ179" t="str">
        <f t="shared" si="26"/>
        <v/>
      </c>
      <c r="AR179" t="str">
        <f t="shared" si="27"/>
        <v/>
      </c>
      <c r="AS179" t="str">
        <f t="shared" si="28"/>
        <v/>
      </c>
      <c r="AT179" t="str">
        <f t="shared" si="29"/>
        <v/>
      </c>
      <c r="BG179" t="str">
        <f t="shared" si="30"/>
        <v/>
      </c>
      <c r="BH179" t="str">
        <f t="shared" si="31"/>
        <v/>
      </c>
      <c r="BL179" t="str">
        <f>IFERROR(INDEX(_names_lookup!$C:$C,MATCH(BK179,_names_lookup!$A:$A,0)),"")</f>
        <v/>
      </c>
      <c r="BM179" t="str">
        <f>IFERROR(INDEX(_names_lookup!$B:$B,MATCH(BK179,_names_lookup!$A:$A,0)),"")</f>
        <v/>
      </c>
      <c r="BS179" t="str">
        <f t="shared" si="32"/>
        <v/>
      </c>
    </row>
    <row r="180" spans="15:71" x14ac:dyDescent="0.2">
      <c r="O180" t="str">
        <f>IFERROR(INDEX(_courses_lookup!$C:$C,MATCH(K180&amp;L180,_courses_lookup!$E:$E,0)),"")</f>
        <v/>
      </c>
      <c r="P180" t="str">
        <f>IFERROR(INDEX(_courses_lookup!$D:$D,MATCH(K180&amp;L180,_courses_lookup!$E:$E,0)),"")</f>
        <v/>
      </c>
      <c r="AG180" t="str">
        <f t="shared" si="22"/>
        <v/>
      </c>
      <c r="AI180" t="str">
        <f t="shared" si="23"/>
        <v/>
      </c>
      <c r="AL180" t="str">
        <f t="shared" si="24"/>
        <v/>
      </c>
      <c r="AN180" t="str">
        <f t="shared" si="25"/>
        <v/>
      </c>
      <c r="AQ180" t="str">
        <f t="shared" si="26"/>
        <v/>
      </c>
      <c r="AR180" t="str">
        <f t="shared" si="27"/>
        <v/>
      </c>
      <c r="AS180" t="str">
        <f t="shared" si="28"/>
        <v/>
      </c>
      <c r="AT180" t="str">
        <f t="shared" si="29"/>
        <v/>
      </c>
      <c r="BG180" t="str">
        <f t="shared" si="30"/>
        <v/>
      </c>
      <c r="BH180" t="str">
        <f t="shared" si="31"/>
        <v/>
      </c>
      <c r="BL180" t="str">
        <f>IFERROR(INDEX(_names_lookup!$C:$C,MATCH(BK180,_names_lookup!$A:$A,0)),"")</f>
        <v/>
      </c>
      <c r="BM180" t="str">
        <f>IFERROR(INDEX(_names_lookup!$B:$B,MATCH(BK180,_names_lookup!$A:$A,0)),"")</f>
        <v/>
      </c>
      <c r="BS180" t="str">
        <f t="shared" si="32"/>
        <v/>
      </c>
    </row>
    <row r="181" spans="15:71" x14ac:dyDescent="0.2">
      <c r="O181" t="str">
        <f>IFERROR(INDEX(_courses_lookup!$C:$C,MATCH(K181&amp;L181,_courses_lookup!$E:$E,0)),"")</f>
        <v/>
      </c>
      <c r="P181" t="str">
        <f>IFERROR(INDEX(_courses_lookup!$D:$D,MATCH(K181&amp;L181,_courses_lookup!$E:$E,0)),"")</f>
        <v/>
      </c>
      <c r="AG181" t="str">
        <f t="shared" si="22"/>
        <v/>
      </c>
      <c r="AI181" t="str">
        <f t="shared" si="23"/>
        <v/>
      </c>
      <c r="AL181" t="str">
        <f t="shared" si="24"/>
        <v/>
      </c>
      <c r="AN181" t="str">
        <f t="shared" si="25"/>
        <v/>
      </c>
      <c r="AQ181" t="str">
        <f t="shared" si="26"/>
        <v/>
      </c>
      <c r="AR181" t="str">
        <f t="shared" si="27"/>
        <v/>
      </c>
      <c r="AS181" t="str">
        <f t="shared" si="28"/>
        <v/>
      </c>
      <c r="AT181" t="str">
        <f t="shared" si="29"/>
        <v/>
      </c>
      <c r="BG181" t="str">
        <f t="shared" si="30"/>
        <v/>
      </c>
      <c r="BH181" t="str">
        <f t="shared" si="31"/>
        <v/>
      </c>
      <c r="BL181" t="str">
        <f>IFERROR(INDEX(_names_lookup!$C:$C,MATCH(BK181,_names_lookup!$A:$A,0)),"")</f>
        <v/>
      </c>
      <c r="BM181" t="str">
        <f>IFERROR(INDEX(_names_lookup!$B:$B,MATCH(BK181,_names_lookup!$A:$A,0)),"")</f>
        <v/>
      </c>
      <c r="BS181" t="str">
        <f t="shared" si="32"/>
        <v/>
      </c>
    </row>
    <row r="182" spans="15:71" x14ac:dyDescent="0.2">
      <c r="O182" t="str">
        <f>IFERROR(INDEX(_courses_lookup!$C:$C,MATCH(K182&amp;L182,_courses_lookup!$E:$E,0)),"")</f>
        <v/>
      </c>
      <c r="P182" t="str">
        <f>IFERROR(INDEX(_courses_lookup!$D:$D,MATCH(K182&amp;L182,_courses_lookup!$E:$E,0)),"")</f>
        <v/>
      </c>
      <c r="AG182" t="str">
        <f t="shared" si="22"/>
        <v/>
      </c>
      <c r="AI182" t="str">
        <f t="shared" si="23"/>
        <v/>
      </c>
      <c r="AL182" t="str">
        <f t="shared" si="24"/>
        <v/>
      </c>
      <c r="AN182" t="str">
        <f t="shared" si="25"/>
        <v/>
      </c>
      <c r="AQ182" t="str">
        <f t="shared" si="26"/>
        <v/>
      </c>
      <c r="AR182" t="str">
        <f t="shared" si="27"/>
        <v/>
      </c>
      <c r="AS182" t="str">
        <f t="shared" si="28"/>
        <v/>
      </c>
      <c r="AT182" t="str">
        <f t="shared" si="29"/>
        <v/>
      </c>
      <c r="BG182" t="str">
        <f t="shared" si="30"/>
        <v/>
      </c>
      <c r="BH182" t="str">
        <f t="shared" si="31"/>
        <v/>
      </c>
      <c r="BL182" t="str">
        <f>IFERROR(INDEX(_names_lookup!$C:$C,MATCH(BK182,_names_lookup!$A:$A,0)),"")</f>
        <v/>
      </c>
      <c r="BM182" t="str">
        <f>IFERROR(INDEX(_names_lookup!$B:$B,MATCH(BK182,_names_lookup!$A:$A,0)),"")</f>
        <v/>
      </c>
      <c r="BS182" t="str">
        <f t="shared" si="32"/>
        <v/>
      </c>
    </row>
    <row r="183" spans="15:71" x14ac:dyDescent="0.2">
      <c r="O183" t="str">
        <f>IFERROR(INDEX(_courses_lookup!$C:$C,MATCH(K183&amp;L183,_courses_lookup!$E:$E,0)),"")</f>
        <v/>
      </c>
      <c r="P183" t="str">
        <f>IFERROR(INDEX(_courses_lookup!$D:$D,MATCH(K183&amp;L183,_courses_lookup!$E:$E,0)),"")</f>
        <v/>
      </c>
      <c r="AG183" t="str">
        <f t="shared" si="22"/>
        <v/>
      </c>
      <c r="AI183" t="str">
        <f t="shared" si="23"/>
        <v/>
      </c>
      <c r="AL183" t="str">
        <f t="shared" si="24"/>
        <v/>
      </c>
      <c r="AN183" t="str">
        <f t="shared" si="25"/>
        <v/>
      </c>
      <c r="AQ183" t="str">
        <f t="shared" si="26"/>
        <v/>
      </c>
      <c r="AR183" t="str">
        <f t="shared" si="27"/>
        <v/>
      </c>
      <c r="AS183" t="str">
        <f t="shared" si="28"/>
        <v/>
      </c>
      <c r="AT183" t="str">
        <f t="shared" si="29"/>
        <v/>
      </c>
      <c r="BG183" t="str">
        <f t="shared" si="30"/>
        <v/>
      </c>
      <c r="BH183" t="str">
        <f t="shared" si="31"/>
        <v/>
      </c>
      <c r="BL183" t="str">
        <f>IFERROR(INDEX(_names_lookup!$C:$C,MATCH(BK183,_names_lookup!$A:$A,0)),"")</f>
        <v/>
      </c>
      <c r="BM183" t="str">
        <f>IFERROR(INDEX(_names_lookup!$B:$B,MATCH(BK183,_names_lookup!$A:$A,0)),"")</f>
        <v/>
      </c>
      <c r="BS183" t="str">
        <f t="shared" si="32"/>
        <v/>
      </c>
    </row>
    <row r="184" spans="15:71" x14ac:dyDescent="0.2">
      <c r="O184" t="str">
        <f>IFERROR(INDEX(_courses_lookup!$C:$C,MATCH(K184&amp;L184,_courses_lookup!$E:$E,0)),"")</f>
        <v/>
      </c>
      <c r="P184" t="str">
        <f>IFERROR(INDEX(_courses_lookup!$D:$D,MATCH(K184&amp;L184,_courses_lookup!$E:$E,0)),"")</f>
        <v/>
      </c>
      <c r="AG184" t="str">
        <f t="shared" si="22"/>
        <v/>
      </c>
      <c r="AI184" t="str">
        <f t="shared" si="23"/>
        <v/>
      </c>
      <c r="AL184" t="str">
        <f t="shared" si="24"/>
        <v/>
      </c>
      <c r="AN184" t="str">
        <f t="shared" si="25"/>
        <v/>
      </c>
      <c r="AQ184" t="str">
        <f t="shared" si="26"/>
        <v/>
      </c>
      <c r="AR184" t="str">
        <f t="shared" si="27"/>
        <v/>
      </c>
      <c r="AS184" t="str">
        <f t="shared" si="28"/>
        <v/>
      </c>
      <c r="AT184" t="str">
        <f t="shared" si="29"/>
        <v/>
      </c>
      <c r="BG184" t="str">
        <f t="shared" si="30"/>
        <v/>
      </c>
      <c r="BH184" t="str">
        <f t="shared" si="31"/>
        <v/>
      </c>
      <c r="BL184" t="str">
        <f>IFERROR(INDEX(_names_lookup!$C:$C,MATCH(BK184,_names_lookup!$A:$A,0)),"")</f>
        <v/>
      </c>
      <c r="BM184" t="str">
        <f>IFERROR(INDEX(_names_lookup!$B:$B,MATCH(BK184,_names_lookup!$A:$A,0)),"")</f>
        <v/>
      </c>
      <c r="BS184" t="str">
        <f t="shared" si="32"/>
        <v/>
      </c>
    </row>
    <row r="185" spans="15:71" x14ac:dyDescent="0.2">
      <c r="O185" t="str">
        <f>IFERROR(INDEX(_courses_lookup!$C:$C,MATCH(K185&amp;L185,_courses_lookup!$E:$E,0)),"")</f>
        <v/>
      </c>
      <c r="P185" t="str">
        <f>IFERROR(INDEX(_courses_lookup!$D:$D,MATCH(K185&amp;L185,_courses_lookup!$E:$E,0)),"")</f>
        <v/>
      </c>
      <c r="AG185" t="str">
        <f t="shared" si="22"/>
        <v/>
      </c>
      <c r="AI185" t="str">
        <f t="shared" si="23"/>
        <v/>
      </c>
      <c r="AL185" t="str">
        <f t="shared" si="24"/>
        <v/>
      </c>
      <c r="AN185" t="str">
        <f t="shared" si="25"/>
        <v/>
      </c>
      <c r="AQ185" t="str">
        <f t="shared" si="26"/>
        <v/>
      </c>
      <c r="AR185" t="str">
        <f t="shared" si="27"/>
        <v/>
      </c>
      <c r="AS185" t="str">
        <f t="shared" si="28"/>
        <v/>
      </c>
      <c r="AT185" t="str">
        <f t="shared" si="29"/>
        <v/>
      </c>
      <c r="BG185" t="str">
        <f t="shared" si="30"/>
        <v/>
      </c>
      <c r="BH185" t="str">
        <f t="shared" si="31"/>
        <v/>
      </c>
      <c r="BL185" t="str">
        <f>IFERROR(INDEX(_names_lookup!$C:$C,MATCH(BK185,_names_lookup!$A:$A,0)),"")</f>
        <v/>
      </c>
      <c r="BM185" t="str">
        <f>IFERROR(INDEX(_names_lookup!$B:$B,MATCH(BK185,_names_lookup!$A:$A,0)),"")</f>
        <v/>
      </c>
      <c r="BS185" t="str">
        <f t="shared" si="32"/>
        <v/>
      </c>
    </row>
    <row r="186" spans="15:71" x14ac:dyDescent="0.2">
      <c r="O186" t="str">
        <f>IFERROR(INDEX(_courses_lookup!$C:$C,MATCH(K186&amp;L186,_courses_lookup!$E:$E,0)),"")</f>
        <v/>
      </c>
      <c r="P186" t="str">
        <f>IFERROR(INDEX(_courses_lookup!$D:$D,MATCH(K186&amp;L186,_courses_lookup!$E:$E,0)),"")</f>
        <v/>
      </c>
      <c r="AG186" t="str">
        <f t="shared" si="22"/>
        <v/>
      </c>
      <c r="AI186" t="str">
        <f t="shared" si="23"/>
        <v/>
      </c>
      <c r="AL186" t="str">
        <f t="shared" si="24"/>
        <v/>
      </c>
      <c r="AN186" t="str">
        <f t="shared" si="25"/>
        <v/>
      </c>
      <c r="AQ186" t="str">
        <f t="shared" si="26"/>
        <v/>
      </c>
      <c r="AR186" t="str">
        <f t="shared" si="27"/>
        <v/>
      </c>
      <c r="AS186" t="str">
        <f t="shared" si="28"/>
        <v/>
      </c>
      <c r="AT186" t="str">
        <f t="shared" si="29"/>
        <v/>
      </c>
      <c r="BG186" t="str">
        <f t="shared" si="30"/>
        <v/>
      </c>
      <c r="BH186" t="str">
        <f t="shared" si="31"/>
        <v/>
      </c>
      <c r="BL186" t="str">
        <f>IFERROR(INDEX(_names_lookup!$C:$C,MATCH(BK186,_names_lookup!$A:$A,0)),"")</f>
        <v/>
      </c>
      <c r="BM186" t="str">
        <f>IFERROR(INDEX(_names_lookup!$B:$B,MATCH(BK186,_names_lookup!$A:$A,0)),"")</f>
        <v/>
      </c>
      <c r="BS186" t="str">
        <f t="shared" si="32"/>
        <v/>
      </c>
    </row>
    <row r="187" spans="15:71" x14ac:dyDescent="0.2">
      <c r="O187" t="str">
        <f>IFERROR(INDEX(_courses_lookup!$C:$C,MATCH(K187&amp;L187,_courses_lookup!$E:$E,0)),"")</f>
        <v/>
      </c>
      <c r="P187" t="str">
        <f>IFERROR(INDEX(_courses_lookup!$D:$D,MATCH(K187&amp;L187,_courses_lookup!$E:$E,0)),"")</f>
        <v/>
      </c>
      <c r="AG187" t="str">
        <f t="shared" si="22"/>
        <v/>
      </c>
      <c r="AI187" t="str">
        <f t="shared" si="23"/>
        <v/>
      </c>
      <c r="AL187" t="str">
        <f t="shared" si="24"/>
        <v/>
      </c>
      <c r="AN187" t="str">
        <f t="shared" si="25"/>
        <v/>
      </c>
      <c r="AQ187" t="str">
        <f t="shared" si="26"/>
        <v/>
      </c>
      <c r="AR187" t="str">
        <f t="shared" si="27"/>
        <v/>
      </c>
      <c r="AS187" t="str">
        <f t="shared" si="28"/>
        <v/>
      </c>
      <c r="AT187" t="str">
        <f t="shared" si="29"/>
        <v/>
      </c>
      <c r="BG187" t="str">
        <f t="shared" si="30"/>
        <v/>
      </c>
      <c r="BH187" t="str">
        <f t="shared" si="31"/>
        <v/>
      </c>
      <c r="BL187" t="str">
        <f>IFERROR(INDEX(_names_lookup!$C:$C,MATCH(BK187,_names_lookup!$A:$A,0)),"")</f>
        <v/>
      </c>
      <c r="BM187" t="str">
        <f>IFERROR(INDEX(_names_lookup!$B:$B,MATCH(BK187,_names_lookup!$A:$A,0)),"")</f>
        <v/>
      </c>
      <c r="BS187" t="str">
        <f t="shared" si="32"/>
        <v/>
      </c>
    </row>
    <row r="188" spans="15:71" x14ac:dyDescent="0.2">
      <c r="O188" t="str">
        <f>IFERROR(INDEX(_courses_lookup!$C:$C,MATCH(K188&amp;L188,_courses_lookup!$E:$E,0)),"")</f>
        <v/>
      </c>
      <c r="P188" t="str">
        <f>IFERROR(INDEX(_courses_lookup!$D:$D,MATCH(K188&amp;L188,_courses_lookup!$E:$E,0)),"")</f>
        <v/>
      </c>
      <c r="AG188" t="str">
        <f t="shared" si="22"/>
        <v/>
      </c>
      <c r="AI188" t="str">
        <f t="shared" si="23"/>
        <v/>
      </c>
      <c r="AL188" t="str">
        <f t="shared" si="24"/>
        <v/>
      </c>
      <c r="AN188" t="str">
        <f t="shared" si="25"/>
        <v/>
      </c>
      <c r="AQ188" t="str">
        <f t="shared" si="26"/>
        <v/>
      </c>
      <c r="AR188" t="str">
        <f t="shared" si="27"/>
        <v/>
      </c>
      <c r="AS188" t="str">
        <f t="shared" si="28"/>
        <v/>
      </c>
      <c r="AT188" t="str">
        <f t="shared" si="29"/>
        <v/>
      </c>
      <c r="BG188" t="str">
        <f t="shared" si="30"/>
        <v/>
      </c>
      <c r="BH188" t="str">
        <f t="shared" si="31"/>
        <v/>
      </c>
      <c r="BL188" t="str">
        <f>IFERROR(INDEX(_names_lookup!$C:$C,MATCH(BK188,_names_lookup!$A:$A,0)),"")</f>
        <v/>
      </c>
      <c r="BM188" t="str">
        <f>IFERROR(INDEX(_names_lookup!$B:$B,MATCH(BK188,_names_lookup!$A:$A,0)),"")</f>
        <v/>
      </c>
      <c r="BS188" t="str">
        <f t="shared" si="32"/>
        <v/>
      </c>
    </row>
    <row r="189" spans="15:71" x14ac:dyDescent="0.2">
      <c r="O189" t="str">
        <f>IFERROR(INDEX(_courses_lookup!$C:$C,MATCH(K189&amp;L189,_courses_lookup!$E:$E,0)),"")</f>
        <v/>
      </c>
      <c r="P189" t="str">
        <f>IFERROR(INDEX(_courses_lookup!$D:$D,MATCH(K189&amp;L189,_courses_lookup!$E:$E,0)),"")</f>
        <v/>
      </c>
      <c r="AG189" t="str">
        <f t="shared" si="22"/>
        <v/>
      </c>
      <c r="AI189" t="str">
        <f t="shared" si="23"/>
        <v/>
      </c>
      <c r="AL189" t="str">
        <f t="shared" si="24"/>
        <v/>
      </c>
      <c r="AN189" t="str">
        <f t="shared" si="25"/>
        <v/>
      </c>
      <c r="AQ189" t="str">
        <f t="shared" si="26"/>
        <v/>
      </c>
      <c r="AR189" t="str">
        <f t="shared" si="27"/>
        <v/>
      </c>
      <c r="AS189" t="str">
        <f t="shared" si="28"/>
        <v/>
      </c>
      <c r="AT189" t="str">
        <f t="shared" si="29"/>
        <v/>
      </c>
      <c r="BG189" t="str">
        <f t="shared" si="30"/>
        <v/>
      </c>
      <c r="BH189" t="str">
        <f t="shared" si="31"/>
        <v/>
      </c>
      <c r="BL189" t="str">
        <f>IFERROR(INDEX(_names_lookup!$C:$C,MATCH(BK189,_names_lookup!$A:$A,0)),"")</f>
        <v/>
      </c>
      <c r="BM189" t="str">
        <f>IFERROR(INDEX(_names_lookup!$B:$B,MATCH(BK189,_names_lookup!$A:$A,0)),"")</f>
        <v/>
      </c>
      <c r="BS189" t="str">
        <f t="shared" si="32"/>
        <v/>
      </c>
    </row>
    <row r="190" spans="15:71" x14ac:dyDescent="0.2">
      <c r="O190" t="str">
        <f>IFERROR(INDEX(_courses_lookup!$C:$C,MATCH(K190&amp;L190,_courses_lookup!$E:$E,0)),"")</f>
        <v/>
      </c>
      <c r="P190" t="str">
        <f>IFERROR(INDEX(_courses_lookup!$D:$D,MATCH(K190&amp;L190,_courses_lookup!$E:$E,0)),"")</f>
        <v/>
      </c>
      <c r="AG190" t="str">
        <f t="shared" si="22"/>
        <v/>
      </c>
      <c r="AI190" t="str">
        <f t="shared" si="23"/>
        <v/>
      </c>
      <c r="AL190" t="str">
        <f t="shared" si="24"/>
        <v/>
      </c>
      <c r="AN190" t="str">
        <f t="shared" si="25"/>
        <v/>
      </c>
      <c r="AQ190" t="str">
        <f t="shared" si="26"/>
        <v/>
      </c>
      <c r="AR190" t="str">
        <f t="shared" si="27"/>
        <v/>
      </c>
      <c r="AS190" t="str">
        <f t="shared" si="28"/>
        <v/>
      </c>
      <c r="AT190" t="str">
        <f t="shared" si="29"/>
        <v/>
      </c>
      <c r="BG190" t="str">
        <f t="shared" si="30"/>
        <v/>
      </c>
      <c r="BH190" t="str">
        <f t="shared" si="31"/>
        <v/>
      </c>
      <c r="BL190" t="str">
        <f>IFERROR(INDEX(_names_lookup!$C:$C,MATCH(BK190,_names_lookup!$A:$A,0)),"")</f>
        <v/>
      </c>
      <c r="BM190" t="str">
        <f>IFERROR(INDEX(_names_lookup!$B:$B,MATCH(BK190,_names_lookup!$A:$A,0)),"")</f>
        <v/>
      </c>
      <c r="BS190" t="str">
        <f t="shared" si="32"/>
        <v/>
      </c>
    </row>
    <row r="191" spans="15:71" x14ac:dyDescent="0.2">
      <c r="O191" t="str">
        <f>IFERROR(INDEX(_courses_lookup!$C:$C,MATCH(K191&amp;L191,_courses_lookup!$E:$E,0)),"")</f>
        <v/>
      </c>
      <c r="P191" t="str">
        <f>IFERROR(INDEX(_courses_lookup!$D:$D,MATCH(K191&amp;L191,_courses_lookup!$E:$E,0)),"")</f>
        <v/>
      </c>
      <c r="AG191" t="str">
        <f t="shared" si="22"/>
        <v/>
      </c>
      <c r="AI191" t="str">
        <f t="shared" si="23"/>
        <v/>
      </c>
      <c r="AL191" t="str">
        <f t="shared" si="24"/>
        <v/>
      </c>
      <c r="AN191" t="str">
        <f t="shared" si="25"/>
        <v/>
      </c>
      <c r="AQ191" t="str">
        <f t="shared" si="26"/>
        <v/>
      </c>
      <c r="AR191" t="str">
        <f t="shared" si="27"/>
        <v/>
      </c>
      <c r="AS191" t="str">
        <f t="shared" si="28"/>
        <v/>
      </c>
      <c r="AT191" t="str">
        <f t="shared" si="29"/>
        <v/>
      </c>
      <c r="BG191" t="str">
        <f t="shared" si="30"/>
        <v/>
      </c>
      <c r="BH191" t="str">
        <f t="shared" si="31"/>
        <v/>
      </c>
      <c r="BL191" t="str">
        <f>IFERROR(INDEX(_names_lookup!$C:$C,MATCH(BK191,_names_lookup!$A:$A,0)),"")</f>
        <v/>
      </c>
      <c r="BM191" t="str">
        <f>IFERROR(INDEX(_names_lookup!$B:$B,MATCH(BK191,_names_lookup!$A:$A,0)),"")</f>
        <v/>
      </c>
      <c r="BS191" t="str">
        <f t="shared" si="32"/>
        <v/>
      </c>
    </row>
    <row r="192" spans="15:71" x14ac:dyDescent="0.2">
      <c r="O192" t="str">
        <f>IFERROR(INDEX(_courses_lookup!$C:$C,MATCH(K192&amp;L192,_courses_lookup!$E:$E,0)),"")</f>
        <v/>
      </c>
      <c r="P192" t="str">
        <f>IFERROR(INDEX(_courses_lookup!$D:$D,MATCH(K192&amp;L192,_courses_lookup!$E:$E,0)),"")</f>
        <v/>
      </c>
      <c r="AG192" t="str">
        <f t="shared" si="22"/>
        <v/>
      </c>
      <c r="AI192" t="str">
        <f t="shared" si="23"/>
        <v/>
      </c>
      <c r="AL192" t="str">
        <f t="shared" si="24"/>
        <v/>
      </c>
      <c r="AN192" t="str">
        <f t="shared" si="25"/>
        <v/>
      </c>
      <c r="AQ192" t="str">
        <f t="shared" si="26"/>
        <v/>
      </c>
      <c r="AR192" t="str">
        <f t="shared" si="27"/>
        <v/>
      </c>
      <c r="AS192" t="str">
        <f t="shared" si="28"/>
        <v/>
      </c>
      <c r="AT192" t="str">
        <f t="shared" si="29"/>
        <v/>
      </c>
      <c r="BG192" t="str">
        <f t="shared" si="30"/>
        <v/>
      </c>
      <c r="BH192" t="str">
        <f t="shared" si="31"/>
        <v/>
      </c>
      <c r="BL192" t="str">
        <f>IFERROR(INDEX(_names_lookup!$C:$C,MATCH(BK192,_names_lookup!$A:$A,0)),"")</f>
        <v/>
      </c>
      <c r="BM192" t="str">
        <f>IFERROR(INDEX(_names_lookup!$B:$B,MATCH(BK192,_names_lookup!$A:$A,0)),"")</f>
        <v/>
      </c>
      <c r="BS192" t="str">
        <f t="shared" si="32"/>
        <v/>
      </c>
    </row>
    <row r="193" spans="15:71" x14ac:dyDescent="0.2">
      <c r="O193" t="str">
        <f>IFERROR(INDEX(_courses_lookup!$C:$C,MATCH(K193&amp;L193,_courses_lookup!$E:$E,0)),"")</f>
        <v/>
      </c>
      <c r="P193" t="str">
        <f>IFERROR(INDEX(_courses_lookup!$D:$D,MATCH(K193&amp;L193,_courses_lookup!$E:$E,0)),"")</f>
        <v/>
      </c>
      <c r="AG193" t="str">
        <f t="shared" si="22"/>
        <v/>
      </c>
      <c r="AI193" t="str">
        <f t="shared" si="23"/>
        <v/>
      </c>
      <c r="AL193" t="str">
        <f t="shared" si="24"/>
        <v/>
      </c>
      <c r="AN193" t="str">
        <f t="shared" si="25"/>
        <v/>
      </c>
      <c r="AQ193" t="str">
        <f t="shared" si="26"/>
        <v/>
      </c>
      <c r="AR193" t="str">
        <f t="shared" si="27"/>
        <v/>
      </c>
      <c r="AS193" t="str">
        <f t="shared" si="28"/>
        <v/>
      </c>
      <c r="AT193" t="str">
        <f t="shared" si="29"/>
        <v/>
      </c>
      <c r="BG193" t="str">
        <f t="shared" si="30"/>
        <v/>
      </c>
      <c r="BH193" t="str">
        <f t="shared" si="31"/>
        <v/>
      </c>
      <c r="BL193" t="str">
        <f>IFERROR(INDEX(_names_lookup!$C:$C,MATCH(BK193,_names_lookup!$A:$A,0)),"")</f>
        <v/>
      </c>
      <c r="BM193" t="str">
        <f>IFERROR(INDEX(_names_lookup!$B:$B,MATCH(BK193,_names_lookup!$A:$A,0)),"")</f>
        <v/>
      </c>
      <c r="BS193" t="str">
        <f t="shared" si="32"/>
        <v/>
      </c>
    </row>
    <row r="194" spans="15:71" x14ac:dyDescent="0.2">
      <c r="O194" t="str">
        <f>IFERROR(INDEX(_courses_lookup!$C:$C,MATCH(K194&amp;L194,_courses_lookup!$E:$E,0)),"")</f>
        <v/>
      </c>
      <c r="P194" t="str">
        <f>IFERROR(INDEX(_courses_lookup!$D:$D,MATCH(K194&amp;L194,_courses_lookup!$E:$E,0)),"")</f>
        <v/>
      </c>
      <c r="AG194" t="str">
        <f t="shared" ref="AG194:AG257" si="33">IF(AND(AE194&lt;&gt;"",AF194&lt;&gt;""),ROUNDUP((AF194-AE194)/7,0),"")</f>
        <v/>
      </c>
      <c r="AI194" t="str">
        <f t="shared" ref="AI194:AI257" si="34">IFERROR(IF(AG194*AH194=0,"",AG194*AH194),"")</f>
        <v/>
      </c>
      <c r="AL194" t="str">
        <f t="shared" ref="AL194:AL257" si="35">IF(AND(AJ194&lt;&gt;"",AK194&lt;&gt;""),ROUNDUP((AK194-AJ194)/7,0),"")</f>
        <v/>
      </c>
      <c r="AN194" t="str">
        <f t="shared" ref="AN194:AN257" si="36">IFERROR(IF(AL194*AM194=0,"",AL194*AM194),"")</f>
        <v/>
      </c>
      <c r="AQ194" t="str">
        <f t="shared" ref="AQ194:AQ257" si="37">IF(AND(AO194&lt;&gt;"",AP194&lt;&gt;""),ROUNDUP((AP194-AO194)/7,0),"")</f>
        <v/>
      </c>
      <c r="AR194" t="str">
        <f t="shared" ref="AR194:AR257" si="38">IFERROR(IF((AU194-(AI194+AN194))/AQ194=0,"",ROUNDUP((AU194-(AI194+AN194))/AQ194,0)),"")</f>
        <v/>
      </c>
      <c r="AS194" t="str">
        <f t="shared" ref="AS194:AS257" si="39">IFERROR(IF((AU194-(AI194+AN194))=0,"",(AU194-(AI194+AN194))),"")</f>
        <v/>
      </c>
      <c r="AT194" t="str">
        <f t="shared" ref="AT194:AT257" si="40">IF(AND(AG194="",AQ194=""),AL194,IF(SUM(AG194,AL194,AQ194)=0,"",SUM(AG194,AL194,AQ194)))</f>
        <v/>
      </c>
      <c r="BG194" t="str">
        <f t="shared" ref="BG194:BG257" si="41">IF(AD194="","",YEAR(AD194)+IF(MONTH(AD194)&gt;=5,1,0))</f>
        <v/>
      </c>
      <c r="BH194" t="str">
        <f t="shared" ref="BH194:BH257" si="42">IF(AD194="","",IF(AND(MONTH(AD194)=8,DAY(AD194)&gt;=15),"Fall",IF(MONTH(AD194)&gt;8,"Fall",IF(MONTH(AD194)=5,"Summer",IF(MONTH(AD194)=1,"Spring","")))))</f>
        <v/>
      </c>
      <c r="BL194" t="str">
        <f>IFERROR(INDEX(_names_lookup!$C:$C,MATCH(BK194,_names_lookup!$A:$A,0)),"")</f>
        <v/>
      </c>
      <c r="BM194" t="str">
        <f>IFERROR(INDEX(_names_lookup!$B:$B,MATCH(BK194,_names_lookup!$A:$A,0)),"")</f>
        <v/>
      </c>
      <c r="BS194" t="str">
        <f t="shared" ref="BS194:BS257" si="43">IFERROR(IF(BR194*AA194=0,"",BR194*AA194),"")</f>
        <v/>
      </c>
    </row>
    <row r="195" spans="15:71" x14ac:dyDescent="0.2">
      <c r="O195" t="str">
        <f>IFERROR(INDEX(_courses_lookup!$C:$C,MATCH(K195&amp;L195,_courses_lookup!$E:$E,0)),"")</f>
        <v/>
      </c>
      <c r="P195" t="str">
        <f>IFERROR(INDEX(_courses_lookup!$D:$D,MATCH(K195&amp;L195,_courses_lookup!$E:$E,0)),"")</f>
        <v/>
      </c>
      <c r="AG195" t="str">
        <f t="shared" si="33"/>
        <v/>
      </c>
      <c r="AI195" t="str">
        <f t="shared" si="34"/>
        <v/>
      </c>
      <c r="AL195" t="str">
        <f t="shared" si="35"/>
        <v/>
      </c>
      <c r="AN195" t="str">
        <f t="shared" si="36"/>
        <v/>
      </c>
      <c r="AQ195" t="str">
        <f t="shared" si="37"/>
        <v/>
      </c>
      <c r="AR195" t="str">
        <f t="shared" si="38"/>
        <v/>
      </c>
      <c r="AS195" t="str">
        <f t="shared" si="39"/>
        <v/>
      </c>
      <c r="AT195" t="str">
        <f t="shared" si="40"/>
        <v/>
      </c>
      <c r="BG195" t="str">
        <f t="shared" si="41"/>
        <v/>
      </c>
      <c r="BH195" t="str">
        <f t="shared" si="42"/>
        <v/>
      </c>
      <c r="BL195" t="str">
        <f>IFERROR(INDEX(_names_lookup!$C:$C,MATCH(BK195,_names_lookup!$A:$A,0)),"")</f>
        <v/>
      </c>
      <c r="BM195" t="str">
        <f>IFERROR(INDEX(_names_lookup!$B:$B,MATCH(BK195,_names_lookup!$A:$A,0)),"")</f>
        <v/>
      </c>
      <c r="BS195" t="str">
        <f t="shared" si="43"/>
        <v/>
      </c>
    </row>
    <row r="196" spans="15:71" x14ac:dyDescent="0.2">
      <c r="O196" t="str">
        <f>IFERROR(INDEX(_courses_lookup!$C:$C,MATCH(K196&amp;L196,_courses_lookup!$E:$E,0)),"")</f>
        <v/>
      </c>
      <c r="P196" t="str">
        <f>IFERROR(INDEX(_courses_lookup!$D:$D,MATCH(K196&amp;L196,_courses_lookup!$E:$E,0)),"")</f>
        <v/>
      </c>
      <c r="AG196" t="str">
        <f t="shared" si="33"/>
        <v/>
      </c>
      <c r="AI196" t="str">
        <f t="shared" si="34"/>
        <v/>
      </c>
      <c r="AL196" t="str">
        <f t="shared" si="35"/>
        <v/>
      </c>
      <c r="AN196" t="str">
        <f t="shared" si="36"/>
        <v/>
      </c>
      <c r="AQ196" t="str">
        <f t="shared" si="37"/>
        <v/>
      </c>
      <c r="AR196" t="str">
        <f t="shared" si="38"/>
        <v/>
      </c>
      <c r="AS196" t="str">
        <f t="shared" si="39"/>
        <v/>
      </c>
      <c r="AT196" t="str">
        <f t="shared" si="40"/>
        <v/>
      </c>
      <c r="BG196" t="str">
        <f t="shared" si="41"/>
        <v/>
      </c>
      <c r="BH196" t="str">
        <f t="shared" si="42"/>
        <v/>
      </c>
      <c r="BL196" t="str">
        <f>IFERROR(INDEX(_names_lookup!$C:$C,MATCH(BK196,_names_lookup!$A:$A,0)),"")</f>
        <v/>
      </c>
      <c r="BM196" t="str">
        <f>IFERROR(INDEX(_names_lookup!$B:$B,MATCH(BK196,_names_lookup!$A:$A,0)),"")</f>
        <v/>
      </c>
      <c r="BS196" t="str">
        <f t="shared" si="43"/>
        <v/>
      </c>
    </row>
    <row r="197" spans="15:71" x14ac:dyDescent="0.2">
      <c r="O197" t="str">
        <f>IFERROR(INDEX(_courses_lookup!$C:$C,MATCH(K197&amp;L197,_courses_lookup!$E:$E,0)),"")</f>
        <v/>
      </c>
      <c r="P197" t="str">
        <f>IFERROR(INDEX(_courses_lookup!$D:$D,MATCH(K197&amp;L197,_courses_lookup!$E:$E,0)),"")</f>
        <v/>
      </c>
      <c r="AG197" t="str">
        <f t="shared" si="33"/>
        <v/>
      </c>
      <c r="AI197" t="str">
        <f t="shared" si="34"/>
        <v/>
      </c>
      <c r="AL197" t="str">
        <f t="shared" si="35"/>
        <v/>
      </c>
      <c r="AN197" t="str">
        <f t="shared" si="36"/>
        <v/>
      </c>
      <c r="AQ197" t="str">
        <f t="shared" si="37"/>
        <v/>
      </c>
      <c r="AR197" t="str">
        <f t="shared" si="38"/>
        <v/>
      </c>
      <c r="AS197" t="str">
        <f t="shared" si="39"/>
        <v/>
      </c>
      <c r="AT197" t="str">
        <f t="shared" si="40"/>
        <v/>
      </c>
      <c r="BG197" t="str">
        <f t="shared" si="41"/>
        <v/>
      </c>
      <c r="BH197" t="str">
        <f t="shared" si="42"/>
        <v/>
      </c>
      <c r="BL197" t="str">
        <f>IFERROR(INDEX(_names_lookup!$C:$C,MATCH(BK197,_names_lookup!$A:$A,0)),"")</f>
        <v/>
      </c>
      <c r="BM197" t="str">
        <f>IFERROR(INDEX(_names_lookup!$B:$B,MATCH(BK197,_names_lookup!$A:$A,0)),"")</f>
        <v/>
      </c>
      <c r="BS197" t="str">
        <f t="shared" si="43"/>
        <v/>
      </c>
    </row>
    <row r="198" spans="15:71" x14ac:dyDescent="0.2">
      <c r="O198" t="str">
        <f>IFERROR(INDEX(_courses_lookup!$C:$C,MATCH(K198&amp;L198,_courses_lookup!$E:$E,0)),"")</f>
        <v/>
      </c>
      <c r="P198" t="str">
        <f>IFERROR(INDEX(_courses_lookup!$D:$D,MATCH(K198&amp;L198,_courses_lookup!$E:$E,0)),"")</f>
        <v/>
      </c>
      <c r="AG198" t="str">
        <f t="shared" si="33"/>
        <v/>
      </c>
      <c r="AI198" t="str">
        <f t="shared" si="34"/>
        <v/>
      </c>
      <c r="AL198" t="str">
        <f t="shared" si="35"/>
        <v/>
      </c>
      <c r="AN198" t="str">
        <f t="shared" si="36"/>
        <v/>
      </c>
      <c r="AQ198" t="str">
        <f t="shared" si="37"/>
        <v/>
      </c>
      <c r="AR198" t="str">
        <f t="shared" si="38"/>
        <v/>
      </c>
      <c r="AS198" t="str">
        <f t="shared" si="39"/>
        <v/>
      </c>
      <c r="AT198" t="str">
        <f t="shared" si="40"/>
        <v/>
      </c>
      <c r="BG198" t="str">
        <f t="shared" si="41"/>
        <v/>
      </c>
      <c r="BH198" t="str">
        <f t="shared" si="42"/>
        <v/>
      </c>
      <c r="BL198" t="str">
        <f>IFERROR(INDEX(_names_lookup!$C:$C,MATCH(BK198,_names_lookup!$A:$A,0)),"")</f>
        <v/>
      </c>
      <c r="BM198" t="str">
        <f>IFERROR(INDEX(_names_lookup!$B:$B,MATCH(BK198,_names_lookup!$A:$A,0)),"")</f>
        <v/>
      </c>
      <c r="BS198" t="str">
        <f t="shared" si="43"/>
        <v/>
      </c>
    </row>
    <row r="199" spans="15:71" x14ac:dyDescent="0.2">
      <c r="O199" t="str">
        <f>IFERROR(INDEX(_courses_lookup!$C:$C,MATCH(K199&amp;L199,_courses_lookup!$E:$E,0)),"")</f>
        <v/>
      </c>
      <c r="P199" t="str">
        <f>IFERROR(INDEX(_courses_lookup!$D:$D,MATCH(K199&amp;L199,_courses_lookup!$E:$E,0)),"")</f>
        <v/>
      </c>
      <c r="AG199" t="str">
        <f t="shared" si="33"/>
        <v/>
      </c>
      <c r="AI199" t="str">
        <f t="shared" si="34"/>
        <v/>
      </c>
      <c r="AL199" t="str">
        <f t="shared" si="35"/>
        <v/>
      </c>
      <c r="AN199" t="str">
        <f t="shared" si="36"/>
        <v/>
      </c>
      <c r="AQ199" t="str">
        <f t="shared" si="37"/>
        <v/>
      </c>
      <c r="AR199" t="str">
        <f t="shared" si="38"/>
        <v/>
      </c>
      <c r="AS199" t="str">
        <f t="shared" si="39"/>
        <v/>
      </c>
      <c r="AT199" t="str">
        <f t="shared" si="40"/>
        <v/>
      </c>
      <c r="BG199" t="str">
        <f t="shared" si="41"/>
        <v/>
      </c>
      <c r="BH199" t="str">
        <f t="shared" si="42"/>
        <v/>
      </c>
      <c r="BL199" t="str">
        <f>IFERROR(INDEX(_names_lookup!$C:$C,MATCH(BK199,_names_lookup!$A:$A,0)),"")</f>
        <v/>
      </c>
      <c r="BM199" t="str">
        <f>IFERROR(INDEX(_names_lookup!$B:$B,MATCH(BK199,_names_lookup!$A:$A,0)),"")</f>
        <v/>
      </c>
      <c r="BS199" t="str">
        <f t="shared" si="43"/>
        <v/>
      </c>
    </row>
    <row r="200" spans="15:71" x14ac:dyDescent="0.2">
      <c r="O200" t="str">
        <f>IFERROR(INDEX(_courses_lookup!$C:$C,MATCH(K200&amp;L200,_courses_lookup!$E:$E,0)),"")</f>
        <v/>
      </c>
      <c r="P200" t="str">
        <f>IFERROR(INDEX(_courses_lookup!$D:$D,MATCH(K200&amp;L200,_courses_lookup!$E:$E,0)),"")</f>
        <v/>
      </c>
      <c r="AG200" t="str">
        <f t="shared" si="33"/>
        <v/>
      </c>
      <c r="AI200" t="str">
        <f t="shared" si="34"/>
        <v/>
      </c>
      <c r="AL200" t="str">
        <f t="shared" si="35"/>
        <v/>
      </c>
      <c r="AN200" t="str">
        <f t="shared" si="36"/>
        <v/>
      </c>
      <c r="AQ200" t="str">
        <f t="shared" si="37"/>
        <v/>
      </c>
      <c r="AR200" t="str">
        <f t="shared" si="38"/>
        <v/>
      </c>
      <c r="AS200" t="str">
        <f t="shared" si="39"/>
        <v/>
      </c>
      <c r="AT200" t="str">
        <f t="shared" si="40"/>
        <v/>
      </c>
      <c r="BG200" t="str">
        <f t="shared" si="41"/>
        <v/>
      </c>
      <c r="BH200" t="str">
        <f t="shared" si="42"/>
        <v/>
      </c>
      <c r="BL200" t="str">
        <f>IFERROR(INDEX(_names_lookup!$C:$C,MATCH(BK200,_names_lookup!$A:$A,0)),"")</f>
        <v/>
      </c>
      <c r="BM200" t="str">
        <f>IFERROR(INDEX(_names_lookup!$B:$B,MATCH(BK200,_names_lookup!$A:$A,0)),"")</f>
        <v/>
      </c>
      <c r="BS200" t="str">
        <f t="shared" si="43"/>
        <v/>
      </c>
    </row>
    <row r="201" spans="15:71" x14ac:dyDescent="0.2">
      <c r="O201" t="str">
        <f>IFERROR(INDEX(_courses_lookup!$C:$C,MATCH(K201&amp;L201,_courses_lookup!$E:$E,0)),"")</f>
        <v/>
      </c>
      <c r="P201" t="str">
        <f>IFERROR(INDEX(_courses_lookup!$D:$D,MATCH(K201&amp;L201,_courses_lookup!$E:$E,0)),"")</f>
        <v/>
      </c>
      <c r="AG201" t="str">
        <f t="shared" si="33"/>
        <v/>
      </c>
      <c r="AI201" t="str">
        <f t="shared" si="34"/>
        <v/>
      </c>
      <c r="AL201" t="str">
        <f t="shared" si="35"/>
        <v/>
      </c>
      <c r="AN201" t="str">
        <f t="shared" si="36"/>
        <v/>
      </c>
      <c r="AQ201" t="str">
        <f t="shared" si="37"/>
        <v/>
      </c>
      <c r="AR201" t="str">
        <f t="shared" si="38"/>
        <v/>
      </c>
      <c r="AS201" t="str">
        <f t="shared" si="39"/>
        <v/>
      </c>
      <c r="AT201" t="str">
        <f t="shared" si="40"/>
        <v/>
      </c>
      <c r="BG201" t="str">
        <f t="shared" si="41"/>
        <v/>
      </c>
      <c r="BH201" t="str">
        <f t="shared" si="42"/>
        <v/>
      </c>
      <c r="BL201" t="str">
        <f>IFERROR(INDEX(_names_lookup!$C:$C,MATCH(BK201,_names_lookup!$A:$A,0)),"")</f>
        <v/>
      </c>
      <c r="BM201" t="str">
        <f>IFERROR(INDEX(_names_lookup!$B:$B,MATCH(BK201,_names_lookup!$A:$A,0)),"")</f>
        <v/>
      </c>
      <c r="BS201" t="str">
        <f t="shared" si="43"/>
        <v/>
      </c>
    </row>
    <row r="202" spans="15:71" x14ac:dyDescent="0.2">
      <c r="O202" t="str">
        <f>IFERROR(INDEX(_courses_lookup!$C:$C,MATCH(K202&amp;L202,_courses_lookup!$E:$E,0)),"")</f>
        <v/>
      </c>
      <c r="P202" t="str">
        <f>IFERROR(INDEX(_courses_lookup!$D:$D,MATCH(K202&amp;L202,_courses_lookup!$E:$E,0)),"")</f>
        <v/>
      </c>
      <c r="AG202" t="str">
        <f t="shared" si="33"/>
        <v/>
      </c>
      <c r="AI202" t="str">
        <f t="shared" si="34"/>
        <v/>
      </c>
      <c r="AL202" t="str">
        <f t="shared" si="35"/>
        <v/>
      </c>
      <c r="AN202" t="str">
        <f t="shared" si="36"/>
        <v/>
      </c>
      <c r="AQ202" t="str">
        <f t="shared" si="37"/>
        <v/>
      </c>
      <c r="AR202" t="str">
        <f t="shared" si="38"/>
        <v/>
      </c>
      <c r="AS202" t="str">
        <f t="shared" si="39"/>
        <v/>
      </c>
      <c r="AT202" t="str">
        <f t="shared" si="40"/>
        <v/>
      </c>
      <c r="BG202" t="str">
        <f t="shared" si="41"/>
        <v/>
      </c>
      <c r="BH202" t="str">
        <f t="shared" si="42"/>
        <v/>
      </c>
      <c r="BL202" t="str">
        <f>IFERROR(INDEX(_names_lookup!$C:$C,MATCH(BK202,_names_lookup!$A:$A,0)),"")</f>
        <v/>
      </c>
      <c r="BM202" t="str">
        <f>IFERROR(INDEX(_names_lookup!$B:$B,MATCH(BK202,_names_lookup!$A:$A,0)),"")</f>
        <v/>
      </c>
      <c r="BS202" t="str">
        <f t="shared" si="43"/>
        <v/>
      </c>
    </row>
    <row r="203" spans="15:71" x14ac:dyDescent="0.2">
      <c r="O203" t="str">
        <f>IFERROR(INDEX(_courses_lookup!$C:$C,MATCH(K203&amp;L203,_courses_lookup!$E:$E,0)),"")</f>
        <v/>
      </c>
      <c r="P203" t="str">
        <f>IFERROR(INDEX(_courses_lookup!$D:$D,MATCH(K203&amp;L203,_courses_lookup!$E:$E,0)),"")</f>
        <v/>
      </c>
      <c r="AG203" t="str">
        <f t="shared" si="33"/>
        <v/>
      </c>
      <c r="AI203" t="str">
        <f t="shared" si="34"/>
        <v/>
      </c>
      <c r="AL203" t="str">
        <f t="shared" si="35"/>
        <v/>
      </c>
      <c r="AN203" t="str">
        <f t="shared" si="36"/>
        <v/>
      </c>
      <c r="AQ203" t="str">
        <f t="shared" si="37"/>
        <v/>
      </c>
      <c r="AR203" t="str">
        <f t="shared" si="38"/>
        <v/>
      </c>
      <c r="AS203" t="str">
        <f t="shared" si="39"/>
        <v/>
      </c>
      <c r="AT203" t="str">
        <f t="shared" si="40"/>
        <v/>
      </c>
      <c r="BG203" t="str">
        <f t="shared" si="41"/>
        <v/>
      </c>
      <c r="BH203" t="str">
        <f t="shared" si="42"/>
        <v/>
      </c>
      <c r="BL203" t="str">
        <f>IFERROR(INDEX(_names_lookup!$C:$C,MATCH(BK203,_names_lookup!$A:$A,0)),"")</f>
        <v/>
      </c>
      <c r="BM203" t="str">
        <f>IFERROR(INDEX(_names_lookup!$B:$B,MATCH(BK203,_names_lookup!$A:$A,0)),"")</f>
        <v/>
      </c>
      <c r="BS203" t="str">
        <f t="shared" si="43"/>
        <v/>
      </c>
    </row>
    <row r="204" spans="15:71" x14ac:dyDescent="0.2">
      <c r="O204" t="str">
        <f>IFERROR(INDEX(_courses_lookup!$C:$C,MATCH(K204&amp;L204,_courses_lookup!$E:$E,0)),"")</f>
        <v/>
      </c>
      <c r="P204" t="str">
        <f>IFERROR(INDEX(_courses_lookup!$D:$D,MATCH(K204&amp;L204,_courses_lookup!$E:$E,0)),"")</f>
        <v/>
      </c>
      <c r="AG204" t="str">
        <f t="shared" si="33"/>
        <v/>
      </c>
      <c r="AI204" t="str">
        <f t="shared" si="34"/>
        <v/>
      </c>
      <c r="AL204" t="str">
        <f t="shared" si="35"/>
        <v/>
      </c>
      <c r="AN204" t="str">
        <f t="shared" si="36"/>
        <v/>
      </c>
      <c r="AQ204" t="str">
        <f t="shared" si="37"/>
        <v/>
      </c>
      <c r="AR204" t="str">
        <f t="shared" si="38"/>
        <v/>
      </c>
      <c r="AS204" t="str">
        <f t="shared" si="39"/>
        <v/>
      </c>
      <c r="AT204" t="str">
        <f t="shared" si="40"/>
        <v/>
      </c>
      <c r="BG204" t="str">
        <f t="shared" si="41"/>
        <v/>
      </c>
      <c r="BH204" t="str">
        <f t="shared" si="42"/>
        <v/>
      </c>
      <c r="BL204" t="str">
        <f>IFERROR(INDEX(_names_lookup!$C:$C,MATCH(BK204,_names_lookup!$A:$A,0)),"")</f>
        <v/>
      </c>
      <c r="BM204" t="str">
        <f>IFERROR(INDEX(_names_lookup!$B:$B,MATCH(BK204,_names_lookup!$A:$A,0)),"")</f>
        <v/>
      </c>
      <c r="BS204" t="str">
        <f t="shared" si="43"/>
        <v/>
      </c>
    </row>
    <row r="205" spans="15:71" x14ac:dyDescent="0.2">
      <c r="O205" t="str">
        <f>IFERROR(INDEX(_courses_lookup!$C:$C,MATCH(K205&amp;L205,_courses_lookup!$E:$E,0)),"")</f>
        <v/>
      </c>
      <c r="P205" t="str">
        <f>IFERROR(INDEX(_courses_lookup!$D:$D,MATCH(K205&amp;L205,_courses_lookup!$E:$E,0)),"")</f>
        <v/>
      </c>
      <c r="AG205" t="str">
        <f t="shared" si="33"/>
        <v/>
      </c>
      <c r="AI205" t="str">
        <f t="shared" si="34"/>
        <v/>
      </c>
      <c r="AL205" t="str">
        <f t="shared" si="35"/>
        <v/>
      </c>
      <c r="AN205" t="str">
        <f t="shared" si="36"/>
        <v/>
      </c>
      <c r="AQ205" t="str">
        <f t="shared" si="37"/>
        <v/>
      </c>
      <c r="AR205" t="str">
        <f t="shared" si="38"/>
        <v/>
      </c>
      <c r="AS205" t="str">
        <f t="shared" si="39"/>
        <v/>
      </c>
      <c r="AT205" t="str">
        <f t="shared" si="40"/>
        <v/>
      </c>
      <c r="BG205" t="str">
        <f t="shared" si="41"/>
        <v/>
      </c>
      <c r="BH205" t="str">
        <f t="shared" si="42"/>
        <v/>
      </c>
      <c r="BL205" t="str">
        <f>IFERROR(INDEX(_names_lookup!$C:$C,MATCH(BK205,_names_lookup!$A:$A,0)),"")</f>
        <v/>
      </c>
      <c r="BM205" t="str">
        <f>IFERROR(INDEX(_names_lookup!$B:$B,MATCH(BK205,_names_lookup!$A:$A,0)),"")</f>
        <v/>
      </c>
      <c r="BS205" t="str">
        <f t="shared" si="43"/>
        <v/>
      </c>
    </row>
    <row r="206" spans="15:71" x14ac:dyDescent="0.2">
      <c r="O206" t="str">
        <f>IFERROR(INDEX(_courses_lookup!$C:$C,MATCH(K206&amp;L206,_courses_lookup!$E:$E,0)),"")</f>
        <v/>
      </c>
      <c r="P206" t="str">
        <f>IFERROR(INDEX(_courses_lookup!$D:$D,MATCH(K206&amp;L206,_courses_lookup!$E:$E,0)),"")</f>
        <v/>
      </c>
      <c r="AG206" t="str">
        <f t="shared" si="33"/>
        <v/>
      </c>
      <c r="AI206" t="str">
        <f t="shared" si="34"/>
        <v/>
      </c>
      <c r="AL206" t="str">
        <f t="shared" si="35"/>
        <v/>
      </c>
      <c r="AN206" t="str">
        <f t="shared" si="36"/>
        <v/>
      </c>
      <c r="AQ206" t="str">
        <f t="shared" si="37"/>
        <v/>
      </c>
      <c r="AR206" t="str">
        <f t="shared" si="38"/>
        <v/>
      </c>
      <c r="AS206" t="str">
        <f t="shared" si="39"/>
        <v/>
      </c>
      <c r="AT206" t="str">
        <f t="shared" si="40"/>
        <v/>
      </c>
      <c r="BG206" t="str">
        <f t="shared" si="41"/>
        <v/>
      </c>
      <c r="BH206" t="str">
        <f t="shared" si="42"/>
        <v/>
      </c>
      <c r="BL206" t="str">
        <f>IFERROR(INDEX(_names_lookup!$C:$C,MATCH(BK206,_names_lookup!$A:$A,0)),"")</f>
        <v/>
      </c>
      <c r="BM206" t="str">
        <f>IFERROR(INDEX(_names_lookup!$B:$B,MATCH(BK206,_names_lookup!$A:$A,0)),"")</f>
        <v/>
      </c>
      <c r="BS206" t="str">
        <f t="shared" si="43"/>
        <v/>
      </c>
    </row>
    <row r="207" spans="15:71" x14ac:dyDescent="0.2">
      <c r="O207" t="str">
        <f>IFERROR(INDEX(_courses_lookup!$C:$C,MATCH(K207&amp;L207,_courses_lookup!$E:$E,0)),"")</f>
        <v/>
      </c>
      <c r="P207" t="str">
        <f>IFERROR(INDEX(_courses_lookup!$D:$D,MATCH(K207&amp;L207,_courses_lookup!$E:$E,0)),"")</f>
        <v/>
      </c>
      <c r="AG207" t="str">
        <f t="shared" si="33"/>
        <v/>
      </c>
      <c r="AI207" t="str">
        <f t="shared" si="34"/>
        <v/>
      </c>
      <c r="AL207" t="str">
        <f t="shared" si="35"/>
        <v/>
      </c>
      <c r="AN207" t="str">
        <f t="shared" si="36"/>
        <v/>
      </c>
      <c r="AQ207" t="str">
        <f t="shared" si="37"/>
        <v/>
      </c>
      <c r="AR207" t="str">
        <f t="shared" si="38"/>
        <v/>
      </c>
      <c r="AS207" t="str">
        <f t="shared" si="39"/>
        <v/>
      </c>
      <c r="AT207" t="str">
        <f t="shared" si="40"/>
        <v/>
      </c>
      <c r="BG207" t="str">
        <f t="shared" si="41"/>
        <v/>
      </c>
      <c r="BH207" t="str">
        <f t="shared" si="42"/>
        <v/>
      </c>
      <c r="BL207" t="str">
        <f>IFERROR(INDEX(_names_lookup!$C:$C,MATCH(BK207,_names_lookup!$A:$A,0)),"")</f>
        <v/>
      </c>
      <c r="BM207" t="str">
        <f>IFERROR(INDEX(_names_lookup!$B:$B,MATCH(BK207,_names_lookup!$A:$A,0)),"")</f>
        <v/>
      </c>
      <c r="BS207" t="str">
        <f t="shared" si="43"/>
        <v/>
      </c>
    </row>
    <row r="208" spans="15:71" x14ac:dyDescent="0.2">
      <c r="O208" t="str">
        <f>IFERROR(INDEX(_courses_lookup!$C:$C,MATCH(K208&amp;L208,_courses_lookup!$E:$E,0)),"")</f>
        <v/>
      </c>
      <c r="P208" t="str">
        <f>IFERROR(INDEX(_courses_lookup!$D:$D,MATCH(K208&amp;L208,_courses_lookup!$E:$E,0)),"")</f>
        <v/>
      </c>
      <c r="AG208" t="str">
        <f t="shared" si="33"/>
        <v/>
      </c>
      <c r="AI208" t="str">
        <f t="shared" si="34"/>
        <v/>
      </c>
      <c r="AL208" t="str">
        <f t="shared" si="35"/>
        <v/>
      </c>
      <c r="AN208" t="str">
        <f t="shared" si="36"/>
        <v/>
      </c>
      <c r="AQ208" t="str">
        <f t="shared" si="37"/>
        <v/>
      </c>
      <c r="AR208" t="str">
        <f t="shared" si="38"/>
        <v/>
      </c>
      <c r="AS208" t="str">
        <f t="shared" si="39"/>
        <v/>
      </c>
      <c r="AT208" t="str">
        <f t="shared" si="40"/>
        <v/>
      </c>
      <c r="BG208" t="str">
        <f t="shared" si="41"/>
        <v/>
      </c>
      <c r="BH208" t="str">
        <f t="shared" si="42"/>
        <v/>
      </c>
      <c r="BL208" t="str">
        <f>IFERROR(INDEX(_names_lookup!$C:$C,MATCH(BK208,_names_lookup!$A:$A,0)),"")</f>
        <v/>
      </c>
      <c r="BM208" t="str">
        <f>IFERROR(INDEX(_names_lookup!$B:$B,MATCH(BK208,_names_lookup!$A:$A,0)),"")</f>
        <v/>
      </c>
      <c r="BS208" t="str">
        <f t="shared" si="43"/>
        <v/>
      </c>
    </row>
    <row r="209" spans="15:71" x14ac:dyDescent="0.2">
      <c r="O209" t="str">
        <f>IFERROR(INDEX(_courses_lookup!$C:$C,MATCH(K209&amp;L209,_courses_lookup!$E:$E,0)),"")</f>
        <v/>
      </c>
      <c r="P209" t="str">
        <f>IFERROR(INDEX(_courses_lookup!$D:$D,MATCH(K209&amp;L209,_courses_lookup!$E:$E,0)),"")</f>
        <v/>
      </c>
      <c r="AG209" t="str">
        <f t="shared" si="33"/>
        <v/>
      </c>
      <c r="AI209" t="str">
        <f t="shared" si="34"/>
        <v/>
      </c>
      <c r="AL209" t="str">
        <f t="shared" si="35"/>
        <v/>
      </c>
      <c r="AN209" t="str">
        <f t="shared" si="36"/>
        <v/>
      </c>
      <c r="AQ209" t="str">
        <f t="shared" si="37"/>
        <v/>
      </c>
      <c r="AR209" t="str">
        <f t="shared" si="38"/>
        <v/>
      </c>
      <c r="AS209" t="str">
        <f t="shared" si="39"/>
        <v/>
      </c>
      <c r="AT209" t="str">
        <f t="shared" si="40"/>
        <v/>
      </c>
      <c r="BG209" t="str">
        <f t="shared" si="41"/>
        <v/>
      </c>
      <c r="BH209" t="str">
        <f t="shared" si="42"/>
        <v/>
      </c>
      <c r="BL209" t="str">
        <f>IFERROR(INDEX(_names_lookup!$C:$C,MATCH(BK209,_names_lookup!$A:$A,0)),"")</f>
        <v/>
      </c>
      <c r="BM209" t="str">
        <f>IFERROR(INDEX(_names_lookup!$B:$B,MATCH(BK209,_names_lookup!$A:$A,0)),"")</f>
        <v/>
      </c>
      <c r="BS209" t="str">
        <f t="shared" si="43"/>
        <v/>
      </c>
    </row>
    <row r="210" spans="15:71" x14ac:dyDescent="0.2">
      <c r="O210" t="str">
        <f>IFERROR(INDEX(_courses_lookup!$C:$C,MATCH(K210&amp;L210,_courses_lookup!$E:$E,0)),"")</f>
        <v/>
      </c>
      <c r="P210" t="str">
        <f>IFERROR(INDEX(_courses_lookup!$D:$D,MATCH(K210&amp;L210,_courses_lookup!$E:$E,0)),"")</f>
        <v/>
      </c>
      <c r="AG210" t="str">
        <f t="shared" si="33"/>
        <v/>
      </c>
      <c r="AI210" t="str">
        <f t="shared" si="34"/>
        <v/>
      </c>
      <c r="AL210" t="str">
        <f t="shared" si="35"/>
        <v/>
      </c>
      <c r="AN210" t="str">
        <f t="shared" si="36"/>
        <v/>
      </c>
      <c r="AQ210" t="str">
        <f t="shared" si="37"/>
        <v/>
      </c>
      <c r="AR210" t="str">
        <f t="shared" si="38"/>
        <v/>
      </c>
      <c r="AS210" t="str">
        <f t="shared" si="39"/>
        <v/>
      </c>
      <c r="AT210" t="str">
        <f t="shared" si="40"/>
        <v/>
      </c>
      <c r="BG210" t="str">
        <f t="shared" si="41"/>
        <v/>
      </c>
      <c r="BH210" t="str">
        <f t="shared" si="42"/>
        <v/>
      </c>
      <c r="BL210" t="str">
        <f>IFERROR(INDEX(_names_lookup!$C:$C,MATCH(BK210,_names_lookup!$A:$A,0)),"")</f>
        <v/>
      </c>
      <c r="BM210" t="str">
        <f>IFERROR(INDEX(_names_lookup!$B:$B,MATCH(BK210,_names_lookup!$A:$A,0)),"")</f>
        <v/>
      </c>
      <c r="BS210" t="str">
        <f t="shared" si="43"/>
        <v/>
      </c>
    </row>
    <row r="211" spans="15:71" x14ac:dyDescent="0.2">
      <c r="O211" t="str">
        <f>IFERROR(INDEX(_courses_lookup!$C:$C,MATCH(K211&amp;L211,_courses_lookup!$E:$E,0)),"")</f>
        <v/>
      </c>
      <c r="P211" t="str">
        <f>IFERROR(INDEX(_courses_lookup!$D:$D,MATCH(K211&amp;L211,_courses_lookup!$E:$E,0)),"")</f>
        <v/>
      </c>
      <c r="AG211" t="str">
        <f t="shared" si="33"/>
        <v/>
      </c>
      <c r="AI211" t="str">
        <f t="shared" si="34"/>
        <v/>
      </c>
      <c r="AL211" t="str">
        <f t="shared" si="35"/>
        <v/>
      </c>
      <c r="AN211" t="str">
        <f t="shared" si="36"/>
        <v/>
      </c>
      <c r="AQ211" t="str">
        <f t="shared" si="37"/>
        <v/>
      </c>
      <c r="AR211" t="str">
        <f t="shared" si="38"/>
        <v/>
      </c>
      <c r="AS211" t="str">
        <f t="shared" si="39"/>
        <v/>
      </c>
      <c r="AT211" t="str">
        <f t="shared" si="40"/>
        <v/>
      </c>
      <c r="BG211" t="str">
        <f t="shared" si="41"/>
        <v/>
      </c>
      <c r="BH211" t="str">
        <f t="shared" si="42"/>
        <v/>
      </c>
      <c r="BL211" t="str">
        <f>IFERROR(INDEX(_names_lookup!$C:$C,MATCH(BK211,_names_lookup!$A:$A,0)),"")</f>
        <v/>
      </c>
      <c r="BM211" t="str">
        <f>IFERROR(INDEX(_names_lookup!$B:$B,MATCH(BK211,_names_lookup!$A:$A,0)),"")</f>
        <v/>
      </c>
      <c r="BS211" t="str">
        <f t="shared" si="43"/>
        <v/>
      </c>
    </row>
    <row r="212" spans="15:71" x14ac:dyDescent="0.2">
      <c r="O212" t="str">
        <f>IFERROR(INDEX(_courses_lookup!$C:$C,MATCH(K212&amp;L212,_courses_lookup!$E:$E,0)),"")</f>
        <v/>
      </c>
      <c r="P212" t="str">
        <f>IFERROR(INDEX(_courses_lookup!$D:$D,MATCH(K212&amp;L212,_courses_lookup!$E:$E,0)),"")</f>
        <v/>
      </c>
      <c r="AG212" t="str">
        <f t="shared" si="33"/>
        <v/>
      </c>
      <c r="AI212" t="str">
        <f t="shared" si="34"/>
        <v/>
      </c>
      <c r="AL212" t="str">
        <f t="shared" si="35"/>
        <v/>
      </c>
      <c r="AN212" t="str">
        <f t="shared" si="36"/>
        <v/>
      </c>
      <c r="AQ212" t="str">
        <f t="shared" si="37"/>
        <v/>
      </c>
      <c r="AR212" t="str">
        <f t="shared" si="38"/>
        <v/>
      </c>
      <c r="AS212" t="str">
        <f t="shared" si="39"/>
        <v/>
      </c>
      <c r="AT212" t="str">
        <f t="shared" si="40"/>
        <v/>
      </c>
      <c r="BG212" t="str">
        <f t="shared" si="41"/>
        <v/>
      </c>
      <c r="BH212" t="str">
        <f t="shared" si="42"/>
        <v/>
      </c>
      <c r="BL212" t="str">
        <f>IFERROR(INDEX(_names_lookup!$C:$C,MATCH(BK212,_names_lookup!$A:$A,0)),"")</f>
        <v/>
      </c>
      <c r="BM212" t="str">
        <f>IFERROR(INDEX(_names_lookup!$B:$B,MATCH(BK212,_names_lookup!$A:$A,0)),"")</f>
        <v/>
      </c>
      <c r="BS212" t="str">
        <f t="shared" si="43"/>
        <v/>
      </c>
    </row>
    <row r="213" spans="15:71" x14ac:dyDescent="0.2">
      <c r="O213" t="str">
        <f>IFERROR(INDEX(_courses_lookup!$C:$C,MATCH(K213&amp;L213,_courses_lookup!$E:$E,0)),"")</f>
        <v/>
      </c>
      <c r="P213" t="str">
        <f>IFERROR(INDEX(_courses_lookup!$D:$D,MATCH(K213&amp;L213,_courses_lookup!$E:$E,0)),"")</f>
        <v/>
      </c>
      <c r="AG213" t="str">
        <f t="shared" si="33"/>
        <v/>
      </c>
      <c r="AI213" t="str">
        <f t="shared" si="34"/>
        <v/>
      </c>
      <c r="AL213" t="str">
        <f t="shared" si="35"/>
        <v/>
      </c>
      <c r="AN213" t="str">
        <f t="shared" si="36"/>
        <v/>
      </c>
      <c r="AQ213" t="str">
        <f t="shared" si="37"/>
        <v/>
      </c>
      <c r="AR213" t="str">
        <f t="shared" si="38"/>
        <v/>
      </c>
      <c r="AS213" t="str">
        <f t="shared" si="39"/>
        <v/>
      </c>
      <c r="AT213" t="str">
        <f t="shared" si="40"/>
        <v/>
      </c>
      <c r="BG213" t="str">
        <f t="shared" si="41"/>
        <v/>
      </c>
      <c r="BH213" t="str">
        <f t="shared" si="42"/>
        <v/>
      </c>
      <c r="BL213" t="str">
        <f>IFERROR(INDEX(_names_lookup!$C:$C,MATCH(BK213,_names_lookup!$A:$A,0)),"")</f>
        <v/>
      </c>
      <c r="BM213" t="str">
        <f>IFERROR(INDEX(_names_lookup!$B:$B,MATCH(BK213,_names_lookup!$A:$A,0)),"")</f>
        <v/>
      </c>
      <c r="BS213" t="str">
        <f t="shared" si="43"/>
        <v/>
      </c>
    </row>
    <row r="214" spans="15:71" x14ac:dyDescent="0.2">
      <c r="O214" t="str">
        <f>IFERROR(INDEX(_courses_lookup!$C:$C,MATCH(K214&amp;L214,_courses_lookup!$E:$E,0)),"")</f>
        <v/>
      </c>
      <c r="P214" t="str">
        <f>IFERROR(INDEX(_courses_lookup!$D:$D,MATCH(K214&amp;L214,_courses_lookup!$E:$E,0)),"")</f>
        <v/>
      </c>
      <c r="AG214" t="str">
        <f t="shared" si="33"/>
        <v/>
      </c>
      <c r="AI214" t="str">
        <f t="shared" si="34"/>
        <v/>
      </c>
      <c r="AL214" t="str">
        <f t="shared" si="35"/>
        <v/>
      </c>
      <c r="AN214" t="str">
        <f t="shared" si="36"/>
        <v/>
      </c>
      <c r="AQ214" t="str">
        <f t="shared" si="37"/>
        <v/>
      </c>
      <c r="AR214" t="str">
        <f t="shared" si="38"/>
        <v/>
      </c>
      <c r="AS214" t="str">
        <f t="shared" si="39"/>
        <v/>
      </c>
      <c r="AT214" t="str">
        <f t="shared" si="40"/>
        <v/>
      </c>
      <c r="BG214" t="str">
        <f t="shared" si="41"/>
        <v/>
      </c>
      <c r="BH214" t="str">
        <f t="shared" si="42"/>
        <v/>
      </c>
      <c r="BL214" t="str">
        <f>IFERROR(INDEX(_names_lookup!$C:$C,MATCH(BK214,_names_lookup!$A:$A,0)),"")</f>
        <v/>
      </c>
      <c r="BM214" t="str">
        <f>IFERROR(INDEX(_names_lookup!$B:$B,MATCH(BK214,_names_lookup!$A:$A,0)),"")</f>
        <v/>
      </c>
      <c r="BS214" t="str">
        <f t="shared" si="43"/>
        <v/>
      </c>
    </row>
    <row r="215" spans="15:71" x14ac:dyDescent="0.2">
      <c r="O215" t="str">
        <f>IFERROR(INDEX(_courses_lookup!$C:$C,MATCH(K215&amp;L215,_courses_lookup!$E:$E,0)),"")</f>
        <v/>
      </c>
      <c r="P215" t="str">
        <f>IFERROR(INDEX(_courses_lookup!$D:$D,MATCH(K215&amp;L215,_courses_lookup!$E:$E,0)),"")</f>
        <v/>
      </c>
      <c r="AG215" t="str">
        <f t="shared" si="33"/>
        <v/>
      </c>
      <c r="AI215" t="str">
        <f t="shared" si="34"/>
        <v/>
      </c>
      <c r="AL215" t="str">
        <f t="shared" si="35"/>
        <v/>
      </c>
      <c r="AN215" t="str">
        <f t="shared" si="36"/>
        <v/>
      </c>
      <c r="AQ215" t="str">
        <f t="shared" si="37"/>
        <v/>
      </c>
      <c r="AR215" t="str">
        <f t="shared" si="38"/>
        <v/>
      </c>
      <c r="AS215" t="str">
        <f t="shared" si="39"/>
        <v/>
      </c>
      <c r="AT215" t="str">
        <f t="shared" si="40"/>
        <v/>
      </c>
      <c r="BG215" t="str">
        <f t="shared" si="41"/>
        <v/>
      </c>
      <c r="BH215" t="str">
        <f t="shared" si="42"/>
        <v/>
      </c>
      <c r="BL215" t="str">
        <f>IFERROR(INDEX(_names_lookup!$C:$C,MATCH(BK215,_names_lookup!$A:$A,0)),"")</f>
        <v/>
      </c>
      <c r="BM215" t="str">
        <f>IFERROR(INDEX(_names_lookup!$B:$B,MATCH(BK215,_names_lookup!$A:$A,0)),"")</f>
        <v/>
      </c>
      <c r="BS215" t="str">
        <f t="shared" si="43"/>
        <v/>
      </c>
    </row>
    <row r="216" spans="15:71" x14ac:dyDescent="0.2">
      <c r="O216" t="str">
        <f>IFERROR(INDEX(_courses_lookup!$C:$C,MATCH(K216&amp;L216,_courses_lookup!$E:$E,0)),"")</f>
        <v/>
      </c>
      <c r="P216" t="str">
        <f>IFERROR(INDEX(_courses_lookup!$D:$D,MATCH(K216&amp;L216,_courses_lookup!$E:$E,0)),"")</f>
        <v/>
      </c>
      <c r="AG216" t="str">
        <f t="shared" si="33"/>
        <v/>
      </c>
      <c r="AI216" t="str">
        <f t="shared" si="34"/>
        <v/>
      </c>
      <c r="AL216" t="str">
        <f t="shared" si="35"/>
        <v/>
      </c>
      <c r="AN216" t="str">
        <f t="shared" si="36"/>
        <v/>
      </c>
      <c r="AQ216" t="str">
        <f t="shared" si="37"/>
        <v/>
      </c>
      <c r="AR216" t="str">
        <f t="shared" si="38"/>
        <v/>
      </c>
      <c r="AS216" t="str">
        <f t="shared" si="39"/>
        <v/>
      </c>
      <c r="AT216" t="str">
        <f t="shared" si="40"/>
        <v/>
      </c>
      <c r="BG216" t="str">
        <f t="shared" si="41"/>
        <v/>
      </c>
      <c r="BH216" t="str">
        <f t="shared" si="42"/>
        <v/>
      </c>
      <c r="BL216" t="str">
        <f>IFERROR(INDEX(_names_lookup!$C:$C,MATCH(BK216,_names_lookup!$A:$A,0)),"")</f>
        <v/>
      </c>
      <c r="BM216" t="str">
        <f>IFERROR(INDEX(_names_lookup!$B:$B,MATCH(BK216,_names_lookup!$A:$A,0)),"")</f>
        <v/>
      </c>
      <c r="BS216" t="str">
        <f t="shared" si="43"/>
        <v/>
      </c>
    </row>
    <row r="217" spans="15:71" x14ac:dyDescent="0.2">
      <c r="O217" t="str">
        <f>IFERROR(INDEX(_courses_lookup!$C:$C,MATCH(K217&amp;L217,_courses_lookup!$E:$E,0)),"")</f>
        <v/>
      </c>
      <c r="P217" t="str">
        <f>IFERROR(INDEX(_courses_lookup!$D:$D,MATCH(K217&amp;L217,_courses_lookup!$E:$E,0)),"")</f>
        <v/>
      </c>
      <c r="AG217" t="str">
        <f t="shared" si="33"/>
        <v/>
      </c>
      <c r="AI217" t="str">
        <f t="shared" si="34"/>
        <v/>
      </c>
      <c r="AL217" t="str">
        <f t="shared" si="35"/>
        <v/>
      </c>
      <c r="AN217" t="str">
        <f t="shared" si="36"/>
        <v/>
      </c>
      <c r="AQ217" t="str">
        <f t="shared" si="37"/>
        <v/>
      </c>
      <c r="AR217" t="str">
        <f t="shared" si="38"/>
        <v/>
      </c>
      <c r="AS217" t="str">
        <f t="shared" si="39"/>
        <v/>
      </c>
      <c r="AT217" t="str">
        <f t="shared" si="40"/>
        <v/>
      </c>
      <c r="BG217" t="str">
        <f t="shared" si="41"/>
        <v/>
      </c>
      <c r="BH217" t="str">
        <f t="shared" si="42"/>
        <v/>
      </c>
      <c r="BL217" t="str">
        <f>IFERROR(INDEX(_names_lookup!$C:$C,MATCH(BK217,_names_lookup!$A:$A,0)),"")</f>
        <v/>
      </c>
      <c r="BM217" t="str">
        <f>IFERROR(INDEX(_names_lookup!$B:$B,MATCH(BK217,_names_lookup!$A:$A,0)),"")</f>
        <v/>
      </c>
      <c r="BS217" t="str">
        <f t="shared" si="43"/>
        <v/>
      </c>
    </row>
    <row r="218" spans="15:71" x14ac:dyDescent="0.2">
      <c r="O218" t="str">
        <f>IFERROR(INDEX(_courses_lookup!$C:$C,MATCH(K218&amp;L218,_courses_lookup!$E:$E,0)),"")</f>
        <v/>
      </c>
      <c r="P218" t="str">
        <f>IFERROR(INDEX(_courses_lookup!$D:$D,MATCH(K218&amp;L218,_courses_lookup!$E:$E,0)),"")</f>
        <v/>
      </c>
      <c r="AG218" t="str">
        <f t="shared" si="33"/>
        <v/>
      </c>
      <c r="AI218" t="str">
        <f t="shared" si="34"/>
        <v/>
      </c>
      <c r="AL218" t="str">
        <f t="shared" si="35"/>
        <v/>
      </c>
      <c r="AN218" t="str">
        <f t="shared" si="36"/>
        <v/>
      </c>
      <c r="AQ218" t="str">
        <f t="shared" si="37"/>
        <v/>
      </c>
      <c r="AR218" t="str">
        <f t="shared" si="38"/>
        <v/>
      </c>
      <c r="AS218" t="str">
        <f t="shared" si="39"/>
        <v/>
      </c>
      <c r="AT218" t="str">
        <f t="shared" si="40"/>
        <v/>
      </c>
      <c r="BG218" t="str">
        <f t="shared" si="41"/>
        <v/>
      </c>
      <c r="BH218" t="str">
        <f t="shared" si="42"/>
        <v/>
      </c>
      <c r="BL218" t="str">
        <f>IFERROR(INDEX(_names_lookup!$C:$C,MATCH(BK218,_names_lookup!$A:$A,0)),"")</f>
        <v/>
      </c>
      <c r="BM218" t="str">
        <f>IFERROR(INDEX(_names_lookup!$B:$B,MATCH(BK218,_names_lookup!$A:$A,0)),"")</f>
        <v/>
      </c>
      <c r="BS218" t="str">
        <f t="shared" si="43"/>
        <v/>
      </c>
    </row>
    <row r="219" spans="15:71" x14ac:dyDescent="0.2">
      <c r="O219" t="str">
        <f>IFERROR(INDEX(_courses_lookup!$C:$C,MATCH(K219&amp;L219,_courses_lookup!$E:$E,0)),"")</f>
        <v/>
      </c>
      <c r="P219" t="str">
        <f>IFERROR(INDEX(_courses_lookup!$D:$D,MATCH(K219&amp;L219,_courses_lookup!$E:$E,0)),"")</f>
        <v/>
      </c>
      <c r="AG219" t="str">
        <f t="shared" si="33"/>
        <v/>
      </c>
      <c r="AI219" t="str">
        <f t="shared" si="34"/>
        <v/>
      </c>
      <c r="AL219" t="str">
        <f t="shared" si="35"/>
        <v/>
      </c>
      <c r="AN219" t="str">
        <f t="shared" si="36"/>
        <v/>
      </c>
      <c r="AQ219" t="str">
        <f t="shared" si="37"/>
        <v/>
      </c>
      <c r="AR219" t="str">
        <f t="shared" si="38"/>
        <v/>
      </c>
      <c r="AS219" t="str">
        <f t="shared" si="39"/>
        <v/>
      </c>
      <c r="AT219" t="str">
        <f t="shared" si="40"/>
        <v/>
      </c>
      <c r="BG219" t="str">
        <f t="shared" si="41"/>
        <v/>
      </c>
      <c r="BH219" t="str">
        <f t="shared" si="42"/>
        <v/>
      </c>
      <c r="BL219" t="str">
        <f>IFERROR(INDEX(_names_lookup!$C:$C,MATCH(BK219,_names_lookup!$A:$A,0)),"")</f>
        <v/>
      </c>
      <c r="BM219" t="str">
        <f>IFERROR(INDEX(_names_lookup!$B:$B,MATCH(BK219,_names_lookup!$A:$A,0)),"")</f>
        <v/>
      </c>
      <c r="BS219" t="str">
        <f t="shared" si="43"/>
        <v/>
      </c>
    </row>
    <row r="220" spans="15:71" x14ac:dyDescent="0.2">
      <c r="O220" t="str">
        <f>IFERROR(INDEX(_courses_lookup!$C:$C,MATCH(K220&amp;L220,_courses_lookup!$E:$E,0)),"")</f>
        <v/>
      </c>
      <c r="P220" t="str">
        <f>IFERROR(INDEX(_courses_lookup!$D:$D,MATCH(K220&amp;L220,_courses_lookup!$E:$E,0)),"")</f>
        <v/>
      </c>
      <c r="AG220" t="str">
        <f t="shared" si="33"/>
        <v/>
      </c>
      <c r="AI220" t="str">
        <f t="shared" si="34"/>
        <v/>
      </c>
      <c r="AL220" t="str">
        <f t="shared" si="35"/>
        <v/>
      </c>
      <c r="AN220" t="str">
        <f t="shared" si="36"/>
        <v/>
      </c>
      <c r="AQ220" t="str">
        <f t="shared" si="37"/>
        <v/>
      </c>
      <c r="AR220" t="str">
        <f t="shared" si="38"/>
        <v/>
      </c>
      <c r="AS220" t="str">
        <f t="shared" si="39"/>
        <v/>
      </c>
      <c r="AT220" t="str">
        <f t="shared" si="40"/>
        <v/>
      </c>
      <c r="BG220" t="str">
        <f t="shared" si="41"/>
        <v/>
      </c>
      <c r="BH220" t="str">
        <f t="shared" si="42"/>
        <v/>
      </c>
      <c r="BL220" t="str">
        <f>IFERROR(INDEX(_names_lookup!$C:$C,MATCH(BK220,_names_lookup!$A:$A,0)),"")</f>
        <v/>
      </c>
      <c r="BM220" t="str">
        <f>IFERROR(INDEX(_names_lookup!$B:$B,MATCH(BK220,_names_lookup!$A:$A,0)),"")</f>
        <v/>
      </c>
      <c r="BS220" t="str">
        <f t="shared" si="43"/>
        <v/>
      </c>
    </row>
    <row r="221" spans="15:71" x14ac:dyDescent="0.2">
      <c r="O221" t="str">
        <f>IFERROR(INDEX(_courses_lookup!$C:$C,MATCH(K221&amp;L221,_courses_lookup!$E:$E,0)),"")</f>
        <v/>
      </c>
      <c r="P221" t="str">
        <f>IFERROR(INDEX(_courses_lookup!$D:$D,MATCH(K221&amp;L221,_courses_lookup!$E:$E,0)),"")</f>
        <v/>
      </c>
      <c r="AG221" t="str">
        <f t="shared" si="33"/>
        <v/>
      </c>
      <c r="AI221" t="str">
        <f t="shared" si="34"/>
        <v/>
      </c>
      <c r="AL221" t="str">
        <f t="shared" si="35"/>
        <v/>
      </c>
      <c r="AN221" t="str">
        <f t="shared" si="36"/>
        <v/>
      </c>
      <c r="AQ221" t="str">
        <f t="shared" si="37"/>
        <v/>
      </c>
      <c r="AR221" t="str">
        <f t="shared" si="38"/>
        <v/>
      </c>
      <c r="AS221" t="str">
        <f t="shared" si="39"/>
        <v/>
      </c>
      <c r="AT221" t="str">
        <f t="shared" si="40"/>
        <v/>
      </c>
      <c r="BG221" t="str">
        <f t="shared" si="41"/>
        <v/>
      </c>
      <c r="BH221" t="str">
        <f t="shared" si="42"/>
        <v/>
      </c>
      <c r="BL221" t="str">
        <f>IFERROR(INDEX(_names_lookup!$C:$C,MATCH(BK221,_names_lookup!$A:$A,0)),"")</f>
        <v/>
      </c>
      <c r="BM221" t="str">
        <f>IFERROR(INDEX(_names_lookup!$B:$B,MATCH(BK221,_names_lookup!$A:$A,0)),"")</f>
        <v/>
      </c>
      <c r="BS221" t="str">
        <f t="shared" si="43"/>
        <v/>
      </c>
    </row>
    <row r="222" spans="15:71" x14ac:dyDescent="0.2">
      <c r="O222" t="str">
        <f>IFERROR(INDEX(_courses_lookup!$C:$C,MATCH(K222&amp;L222,_courses_lookup!$E:$E,0)),"")</f>
        <v/>
      </c>
      <c r="P222" t="str">
        <f>IFERROR(INDEX(_courses_lookup!$D:$D,MATCH(K222&amp;L222,_courses_lookup!$E:$E,0)),"")</f>
        <v/>
      </c>
      <c r="AG222" t="str">
        <f t="shared" si="33"/>
        <v/>
      </c>
      <c r="AI222" t="str">
        <f t="shared" si="34"/>
        <v/>
      </c>
      <c r="AL222" t="str">
        <f t="shared" si="35"/>
        <v/>
      </c>
      <c r="AN222" t="str">
        <f t="shared" si="36"/>
        <v/>
      </c>
      <c r="AQ222" t="str">
        <f t="shared" si="37"/>
        <v/>
      </c>
      <c r="AR222" t="str">
        <f t="shared" si="38"/>
        <v/>
      </c>
      <c r="AS222" t="str">
        <f t="shared" si="39"/>
        <v/>
      </c>
      <c r="AT222" t="str">
        <f t="shared" si="40"/>
        <v/>
      </c>
      <c r="BG222" t="str">
        <f t="shared" si="41"/>
        <v/>
      </c>
      <c r="BH222" t="str">
        <f t="shared" si="42"/>
        <v/>
      </c>
      <c r="BL222" t="str">
        <f>IFERROR(INDEX(_names_lookup!$C:$C,MATCH(BK222,_names_lookup!$A:$A,0)),"")</f>
        <v/>
      </c>
      <c r="BM222" t="str">
        <f>IFERROR(INDEX(_names_lookup!$B:$B,MATCH(BK222,_names_lookup!$A:$A,0)),"")</f>
        <v/>
      </c>
      <c r="BS222" t="str">
        <f t="shared" si="43"/>
        <v/>
      </c>
    </row>
    <row r="223" spans="15:71" x14ac:dyDescent="0.2">
      <c r="O223" t="str">
        <f>IFERROR(INDEX(_courses_lookup!$C:$C,MATCH(K223&amp;L223,_courses_lookup!$E:$E,0)),"")</f>
        <v/>
      </c>
      <c r="P223" t="str">
        <f>IFERROR(INDEX(_courses_lookup!$D:$D,MATCH(K223&amp;L223,_courses_lookup!$E:$E,0)),"")</f>
        <v/>
      </c>
      <c r="AG223" t="str">
        <f t="shared" si="33"/>
        <v/>
      </c>
      <c r="AI223" t="str">
        <f t="shared" si="34"/>
        <v/>
      </c>
      <c r="AL223" t="str">
        <f t="shared" si="35"/>
        <v/>
      </c>
      <c r="AN223" t="str">
        <f t="shared" si="36"/>
        <v/>
      </c>
      <c r="AQ223" t="str">
        <f t="shared" si="37"/>
        <v/>
      </c>
      <c r="AR223" t="str">
        <f t="shared" si="38"/>
        <v/>
      </c>
      <c r="AS223" t="str">
        <f t="shared" si="39"/>
        <v/>
      </c>
      <c r="AT223" t="str">
        <f t="shared" si="40"/>
        <v/>
      </c>
      <c r="BG223" t="str">
        <f t="shared" si="41"/>
        <v/>
      </c>
      <c r="BH223" t="str">
        <f t="shared" si="42"/>
        <v/>
      </c>
      <c r="BL223" t="str">
        <f>IFERROR(INDEX(_names_lookup!$C:$C,MATCH(BK223,_names_lookup!$A:$A,0)),"")</f>
        <v/>
      </c>
      <c r="BM223" t="str">
        <f>IFERROR(INDEX(_names_lookup!$B:$B,MATCH(BK223,_names_lookup!$A:$A,0)),"")</f>
        <v/>
      </c>
      <c r="BS223" t="str">
        <f t="shared" si="43"/>
        <v/>
      </c>
    </row>
    <row r="224" spans="15:71" x14ac:dyDescent="0.2">
      <c r="O224" t="str">
        <f>IFERROR(INDEX(_courses_lookup!$C:$C,MATCH(K224&amp;L224,_courses_lookup!$E:$E,0)),"")</f>
        <v/>
      </c>
      <c r="P224" t="str">
        <f>IFERROR(INDEX(_courses_lookup!$D:$D,MATCH(K224&amp;L224,_courses_lookup!$E:$E,0)),"")</f>
        <v/>
      </c>
      <c r="AG224" t="str">
        <f t="shared" si="33"/>
        <v/>
      </c>
      <c r="AI224" t="str">
        <f t="shared" si="34"/>
        <v/>
      </c>
      <c r="AL224" t="str">
        <f t="shared" si="35"/>
        <v/>
      </c>
      <c r="AN224" t="str">
        <f t="shared" si="36"/>
        <v/>
      </c>
      <c r="AQ224" t="str">
        <f t="shared" si="37"/>
        <v/>
      </c>
      <c r="AR224" t="str">
        <f t="shared" si="38"/>
        <v/>
      </c>
      <c r="AS224" t="str">
        <f t="shared" si="39"/>
        <v/>
      </c>
      <c r="AT224" t="str">
        <f t="shared" si="40"/>
        <v/>
      </c>
      <c r="BG224" t="str">
        <f t="shared" si="41"/>
        <v/>
      </c>
      <c r="BH224" t="str">
        <f t="shared" si="42"/>
        <v/>
      </c>
      <c r="BL224" t="str">
        <f>IFERROR(INDEX(_names_lookup!$C:$C,MATCH(BK224,_names_lookup!$A:$A,0)),"")</f>
        <v/>
      </c>
      <c r="BM224" t="str">
        <f>IFERROR(INDEX(_names_lookup!$B:$B,MATCH(BK224,_names_lookup!$A:$A,0)),"")</f>
        <v/>
      </c>
      <c r="BS224" t="str">
        <f t="shared" si="43"/>
        <v/>
      </c>
    </row>
    <row r="225" spans="15:71" x14ac:dyDescent="0.2">
      <c r="O225" t="str">
        <f>IFERROR(INDEX(_courses_lookup!$C:$C,MATCH(K225&amp;L225,_courses_lookup!$E:$E,0)),"")</f>
        <v/>
      </c>
      <c r="P225" t="str">
        <f>IFERROR(INDEX(_courses_lookup!$D:$D,MATCH(K225&amp;L225,_courses_lookup!$E:$E,0)),"")</f>
        <v/>
      </c>
      <c r="AG225" t="str">
        <f t="shared" si="33"/>
        <v/>
      </c>
      <c r="AI225" t="str">
        <f t="shared" si="34"/>
        <v/>
      </c>
      <c r="AL225" t="str">
        <f t="shared" si="35"/>
        <v/>
      </c>
      <c r="AN225" t="str">
        <f t="shared" si="36"/>
        <v/>
      </c>
      <c r="AQ225" t="str">
        <f t="shared" si="37"/>
        <v/>
      </c>
      <c r="AR225" t="str">
        <f t="shared" si="38"/>
        <v/>
      </c>
      <c r="AS225" t="str">
        <f t="shared" si="39"/>
        <v/>
      </c>
      <c r="AT225" t="str">
        <f t="shared" si="40"/>
        <v/>
      </c>
      <c r="BG225" t="str">
        <f t="shared" si="41"/>
        <v/>
      </c>
      <c r="BH225" t="str">
        <f t="shared" si="42"/>
        <v/>
      </c>
      <c r="BL225" t="str">
        <f>IFERROR(INDEX(_names_lookup!$C:$C,MATCH(BK225,_names_lookup!$A:$A,0)),"")</f>
        <v/>
      </c>
      <c r="BM225" t="str">
        <f>IFERROR(INDEX(_names_lookup!$B:$B,MATCH(BK225,_names_lookup!$A:$A,0)),"")</f>
        <v/>
      </c>
      <c r="BS225" t="str">
        <f t="shared" si="43"/>
        <v/>
      </c>
    </row>
    <row r="226" spans="15:71" x14ac:dyDescent="0.2">
      <c r="O226" t="str">
        <f>IFERROR(INDEX(_courses_lookup!$C:$C,MATCH(K226&amp;L226,_courses_lookup!$E:$E,0)),"")</f>
        <v/>
      </c>
      <c r="P226" t="str">
        <f>IFERROR(INDEX(_courses_lookup!$D:$D,MATCH(K226&amp;L226,_courses_lookup!$E:$E,0)),"")</f>
        <v/>
      </c>
      <c r="AG226" t="str">
        <f t="shared" si="33"/>
        <v/>
      </c>
      <c r="AI226" t="str">
        <f t="shared" si="34"/>
        <v/>
      </c>
      <c r="AL226" t="str">
        <f t="shared" si="35"/>
        <v/>
      </c>
      <c r="AN226" t="str">
        <f t="shared" si="36"/>
        <v/>
      </c>
      <c r="AQ226" t="str">
        <f t="shared" si="37"/>
        <v/>
      </c>
      <c r="AR226" t="str">
        <f t="shared" si="38"/>
        <v/>
      </c>
      <c r="AS226" t="str">
        <f t="shared" si="39"/>
        <v/>
      </c>
      <c r="AT226" t="str">
        <f t="shared" si="40"/>
        <v/>
      </c>
      <c r="BG226" t="str">
        <f t="shared" si="41"/>
        <v/>
      </c>
      <c r="BH226" t="str">
        <f t="shared" si="42"/>
        <v/>
      </c>
      <c r="BL226" t="str">
        <f>IFERROR(INDEX(_names_lookup!$C:$C,MATCH(BK226,_names_lookup!$A:$A,0)),"")</f>
        <v/>
      </c>
      <c r="BM226" t="str">
        <f>IFERROR(INDEX(_names_lookup!$B:$B,MATCH(BK226,_names_lookup!$A:$A,0)),"")</f>
        <v/>
      </c>
      <c r="BS226" t="str">
        <f t="shared" si="43"/>
        <v/>
      </c>
    </row>
    <row r="227" spans="15:71" x14ac:dyDescent="0.2">
      <c r="O227" t="str">
        <f>IFERROR(INDEX(_courses_lookup!$C:$C,MATCH(K227&amp;L227,_courses_lookup!$E:$E,0)),"")</f>
        <v/>
      </c>
      <c r="P227" t="str">
        <f>IFERROR(INDEX(_courses_lookup!$D:$D,MATCH(K227&amp;L227,_courses_lookup!$E:$E,0)),"")</f>
        <v/>
      </c>
      <c r="AG227" t="str">
        <f t="shared" si="33"/>
        <v/>
      </c>
      <c r="AI227" t="str">
        <f t="shared" si="34"/>
        <v/>
      </c>
      <c r="AL227" t="str">
        <f t="shared" si="35"/>
        <v/>
      </c>
      <c r="AN227" t="str">
        <f t="shared" si="36"/>
        <v/>
      </c>
      <c r="AQ227" t="str">
        <f t="shared" si="37"/>
        <v/>
      </c>
      <c r="AR227" t="str">
        <f t="shared" si="38"/>
        <v/>
      </c>
      <c r="AS227" t="str">
        <f t="shared" si="39"/>
        <v/>
      </c>
      <c r="AT227" t="str">
        <f t="shared" si="40"/>
        <v/>
      </c>
      <c r="BG227" t="str">
        <f t="shared" si="41"/>
        <v/>
      </c>
      <c r="BH227" t="str">
        <f t="shared" si="42"/>
        <v/>
      </c>
      <c r="BL227" t="str">
        <f>IFERROR(INDEX(_names_lookup!$C:$C,MATCH(BK227,_names_lookup!$A:$A,0)),"")</f>
        <v/>
      </c>
      <c r="BM227" t="str">
        <f>IFERROR(INDEX(_names_lookup!$B:$B,MATCH(BK227,_names_lookup!$A:$A,0)),"")</f>
        <v/>
      </c>
      <c r="BS227" t="str">
        <f t="shared" si="43"/>
        <v/>
      </c>
    </row>
    <row r="228" spans="15:71" x14ac:dyDescent="0.2">
      <c r="O228" t="str">
        <f>IFERROR(INDEX(_courses_lookup!$C:$C,MATCH(K228&amp;L228,_courses_lookup!$E:$E,0)),"")</f>
        <v/>
      </c>
      <c r="P228" t="str">
        <f>IFERROR(INDEX(_courses_lookup!$D:$D,MATCH(K228&amp;L228,_courses_lookup!$E:$E,0)),"")</f>
        <v/>
      </c>
      <c r="AG228" t="str">
        <f t="shared" si="33"/>
        <v/>
      </c>
      <c r="AI228" t="str">
        <f t="shared" si="34"/>
        <v/>
      </c>
      <c r="AL228" t="str">
        <f t="shared" si="35"/>
        <v/>
      </c>
      <c r="AN228" t="str">
        <f t="shared" si="36"/>
        <v/>
      </c>
      <c r="AQ228" t="str">
        <f t="shared" si="37"/>
        <v/>
      </c>
      <c r="AR228" t="str">
        <f t="shared" si="38"/>
        <v/>
      </c>
      <c r="AS228" t="str">
        <f t="shared" si="39"/>
        <v/>
      </c>
      <c r="AT228" t="str">
        <f t="shared" si="40"/>
        <v/>
      </c>
      <c r="BG228" t="str">
        <f t="shared" si="41"/>
        <v/>
      </c>
      <c r="BH228" t="str">
        <f t="shared" si="42"/>
        <v/>
      </c>
      <c r="BL228" t="str">
        <f>IFERROR(INDEX(_names_lookup!$C:$C,MATCH(BK228,_names_lookup!$A:$A,0)),"")</f>
        <v/>
      </c>
      <c r="BM228" t="str">
        <f>IFERROR(INDEX(_names_lookup!$B:$B,MATCH(BK228,_names_lookup!$A:$A,0)),"")</f>
        <v/>
      </c>
      <c r="BS228" t="str">
        <f t="shared" si="43"/>
        <v/>
      </c>
    </row>
    <row r="229" spans="15:71" x14ac:dyDescent="0.2">
      <c r="O229" t="str">
        <f>IFERROR(INDEX(_courses_lookup!$C:$C,MATCH(K229&amp;L229,_courses_lookup!$E:$E,0)),"")</f>
        <v/>
      </c>
      <c r="P229" t="str">
        <f>IFERROR(INDEX(_courses_lookup!$D:$D,MATCH(K229&amp;L229,_courses_lookup!$E:$E,0)),"")</f>
        <v/>
      </c>
      <c r="AG229" t="str">
        <f t="shared" si="33"/>
        <v/>
      </c>
      <c r="AI229" t="str">
        <f t="shared" si="34"/>
        <v/>
      </c>
      <c r="AL229" t="str">
        <f t="shared" si="35"/>
        <v/>
      </c>
      <c r="AN229" t="str">
        <f t="shared" si="36"/>
        <v/>
      </c>
      <c r="AQ229" t="str">
        <f t="shared" si="37"/>
        <v/>
      </c>
      <c r="AR229" t="str">
        <f t="shared" si="38"/>
        <v/>
      </c>
      <c r="AS229" t="str">
        <f t="shared" si="39"/>
        <v/>
      </c>
      <c r="AT229" t="str">
        <f t="shared" si="40"/>
        <v/>
      </c>
      <c r="BG229" t="str">
        <f t="shared" si="41"/>
        <v/>
      </c>
      <c r="BH229" t="str">
        <f t="shared" si="42"/>
        <v/>
      </c>
      <c r="BL229" t="str">
        <f>IFERROR(INDEX(_names_lookup!$C:$C,MATCH(BK229,_names_lookup!$A:$A,0)),"")</f>
        <v/>
      </c>
      <c r="BM229" t="str">
        <f>IFERROR(INDEX(_names_lookup!$B:$B,MATCH(BK229,_names_lookup!$A:$A,0)),"")</f>
        <v/>
      </c>
      <c r="BS229" t="str">
        <f t="shared" si="43"/>
        <v/>
      </c>
    </row>
    <row r="230" spans="15:71" x14ac:dyDescent="0.2">
      <c r="O230" t="str">
        <f>IFERROR(INDEX(_courses_lookup!$C:$C,MATCH(K230&amp;L230,_courses_lookup!$E:$E,0)),"")</f>
        <v/>
      </c>
      <c r="P230" t="str">
        <f>IFERROR(INDEX(_courses_lookup!$D:$D,MATCH(K230&amp;L230,_courses_lookup!$E:$E,0)),"")</f>
        <v/>
      </c>
      <c r="AG230" t="str">
        <f t="shared" si="33"/>
        <v/>
      </c>
      <c r="AI230" t="str">
        <f t="shared" si="34"/>
        <v/>
      </c>
      <c r="AL230" t="str">
        <f t="shared" si="35"/>
        <v/>
      </c>
      <c r="AN230" t="str">
        <f t="shared" si="36"/>
        <v/>
      </c>
      <c r="AQ230" t="str">
        <f t="shared" si="37"/>
        <v/>
      </c>
      <c r="AR230" t="str">
        <f t="shared" si="38"/>
        <v/>
      </c>
      <c r="AS230" t="str">
        <f t="shared" si="39"/>
        <v/>
      </c>
      <c r="AT230" t="str">
        <f t="shared" si="40"/>
        <v/>
      </c>
      <c r="BG230" t="str">
        <f t="shared" si="41"/>
        <v/>
      </c>
      <c r="BH230" t="str">
        <f t="shared" si="42"/>
        <v/>
      </c>
      <c r="BL230" t="str">
        <f>IFERROR(INDEX(_names_lookup!$C:$C,MATCH(BK230,_names_lookup!$A:$A,0)),"")</f>
        <v/>
      </c>
      <c r="BM230" t="str">
        <f>IFERROR(INDEX(_names_lookup!$B:$B,MATCH(BK230,_names_lookup!$A:$A,0)),"")</f>
        <v/>
      </c>
      <c r="BS230" t="str">
        <f t="shared" si="43"/>
        <v/>
      </c>
    </row>
    <row r="231" spans="15:71" x14ac:dyDescent="0.2">
      <c r="O231" t="str">
        <f>IFERROR(INDEX(_courses_lookup!$C:$C,MATCH(K231&amp;L231,_courses_lookup!$E:$E,0)),"")</f>
        <v/>
      </c>
      <c r="P231" t="str">
        <f>IFERROR(INDEX(_courses_lookup!$D:$D,MATCH(K231&amp;L231,_courses_lookup!$E:$E,0)),"")</f>
        <v/>
      </c>
      <c r="AG231" t="str">
        <f t="shared" si="33"/>
        <v/>
      </c>
      <c r="AI231" t="str">
        <f t="shared" si="34"/>
        <v/>
      </c>
      <c r="AL231" t="str">
        <f t="shared" si="35"/>
        <v/>
      </c>
      <c r="AN231" t="str">
        <f t="shared" si="36"/>
        <v/>
      </c>
      <c r="AQ231" t="str">
        <f t="shared" si="37"/>
        <v/>
      </c>
      <c r="AR231" t="str">
        <f t="shared" si="38"/>
        <v/>
      </c>
      <c r="AS231" t="str">
        <f t="shared" si="39"/>
        <v/>
      </c>
      <c r="AT231" t="str">
        <f t="shared" si="40"/>
        <v/>
      </c>
      <c r="BG231" t="str">
        <f t="shared" si="41"/>
        <v/>
      </c>
      <c r="BH231" t="str">
        <f t="shared" si="42"/>
        <v/>
      </c>
      <c r="BL231" t="str">
        <f>IFERROR(INDEX(_names_lookup!$C:$C,MATCH(BK231,_names_lookup!$A:$A,0)),"")</f>
        <v/>
      </c>
      <c r="BM231" t="str">
        <f>IFERROR(INDEX(_names_lookup!$B:$B,MATCH(BK231,_names_lookup!$A:$A,0)),"")</f>
        <v/>
      </c>
      <c r="BS231" t="str">
        <f t="shared" si="43"/>
        <v/>
      </c>
    </row>
    <row r="232" spans="15:71" x14ac:dyDescent="0.2">
      <c r="O232" t="str">
        <f>IFERROR(INDEX(_courses_lookup!$C:$C,MATCH(K232&amp;L232,_courses_lookup!$E:$E,0)),"")</f>
        <v/>
      </c>
      <c r="P232" t="str">
        <f>IFERROR(INDEX(_courses_lookup!$D:$D,MATCH(K232&amp;L232,_courses_lookup!$E:$E,0)),"")</f>
        <v/>
      </c>
      <c r="AG232" t="str">
        <f t="shared" si="33"/>
        <v/>
      </c>
      <c r="AI232" t="str">
        <f t="shared" si="34"/>
        <v/>
      </c>
      <c r="AL232" t="str">
        <f t="shared" si="35"/>
        <v/>
      </c>
      <c r="AN232" t="str">
        <f t="shared" si="36"/>
        <v/>
      </c>
      <c r="AQ232" t="str">
        <f t="shared" si="37"/>
        <v/>
      </c>
      <c r="AR232" t="str">
        <f t="shared" si="38"/>
        <v/>
      </c>
      <c r="AS232" t="str">
        <f t="shared" si="39"/>
        <v/>
      </c>
      <c r="AT232" t="str">
        <f t="shared" si="40"/>
        <v/>
      </c>
      <c r="BG232" t="str">
        <f t="shared" si="41"/>
        <v/>
      </c>
      <c r="BH232" t="str">
        <f t="shared" si="42"/>
        <v/>
      </c>
      <c r="BL232" t="str">
        <f>IFERROR(INDEX(_names_lookup!$C:$C,MATCH(BK232,_names_lookup!$A:$A,0)),"")</f>
        <v/>
      </c>
      <c r="BM232" t="str">
        <f>IFERROR(INDEX(_names_lookup!$B:$B,MATCH(BK232,_names_lookup!$A:$A,0)),"")</f>
        <v/>
      </c>
      <c r="BS232" t="str">
        <f t="shared" si="43"/>
        <v/>
      </c>
    </row>
    <row r="233" spans="15:71" x14ac:dyDescent="0.2">
      <c r="O233" t="str">
        <f>IFERROR(INDEX(_courses_lookup!$C:$C,MATCH(K233&amp;L233,_courses_lookup!$E:$E,0)),"")</f>
        <v/>
      </c>
      <c r="P233" t="str">
        <f>IFERROR(INDEX(_courses_lookup!$D:$D,MATCH(K233&amp;L233,_courses_lookup!$E:$E,0)),"")</f>
        <v/>
      </c>
      <c r="AG233" t="str">
        <f t="shared" si="33"/>
        <v/>
      </c>
      <c r="AI233" t="str">
        <f t="shared" si="34"/>
        <v/>
      </c>
      <c r="AL233" t="str">
        <f t="shared" si="35"/>
        <v/>
      </c>
      <c r="AN233" t="str">
        <f t="shared" si="36"/>
        <v/>
      </c>
      <c r="AQ233" t="str">
        <f t="shared" si="37"/>
        <v/>
      </c>
      <c r="AR233" t="str">
        <f t="shared" si="38"/>
        <v/>
      </c>
      <c r="AS233" t="str">
        <f t="shared" si="39"/>
        <v/>
      </c>
      <c r="AT233" t="str">
        <f t="shared" si="40"/>
        <v/>
      </c>
      <c r="BG233" t="str">
        <f t="shared" si="41"/>
        <v/>
      </c>
      <c r="BH233" t="str">
        <f t="shared" si="42"/>
        <v/>
      </c>
      <c r="BL233" t="str">
        <f>IFERROR(INDEX(_names_lookup!$C:$C,MATCH(BK233,_names_lookup!$A:$A,0)),"")</f>
        <v/>
      </c>
      <c r="BM233" t="str">
        <f>IFERROR(INDEX(_names_lookup!$B:$B,MATCH(BK233,_names_lookup!$A:$A,0)),"")</f>
        <v/>
      </c>
      <c r="BS233" t="str">
        <f t="shared" si="43"/>
        <v/>
      </c>
    </row>
    <row r="234" spans="15:71" x14ac:dyDescent="0.2">
      <c r="O234" t="str">
        <f>IFERROR(INDEX(_courses_lookup!$C:$C,MATCH(K234&amp;L234,_courses_lookup!$E:$E,0)),"")</f>
        <v/>
      </c>
      <c r="P234" t="str">
        <f>IFERROR(INDEX(_courses_lookup!$D:$D,MATCH(K234&amp;L234,_courses_lookup!$E:$E,0)),"")</f>
        <v/>
      </c>
      <c r="AG234" t="str">
        <f t="shared" si="33"/>
        <v/>
      </c>
      <c r="AI234" t="str">
        <f t="shared" si="34"/>
        <v/>
      </c>
      <c r="AL234" t="str">
        <f t="shared" si="35"/>
        <v/>
      </c>
      <c r="AN234" t="str">
        <f t="shared" si="36"/>
        <v/>
      </c>
      <c r="AQ234" t="str">
        <f t="shared" si="37"/>
        <v/>
      </c>
      <c r="AR234" t="str">
        <f t="shared" si="38"/>
        <v/>
      </c>
      <c r="AS234" t="str">
        <f t="shared" si="39"/>
        <v/>
      </c>
      <c r="AT234" t="str">
        <f t="shared" si="40"/>
        <v/>
      </c>
      <c r="BG234" t="str">
        <f t="shared" si="41"/>
        <v/>
      </c>
      <c r="BH234" t="str">
        <f t="shared" si="42"/>
        <v/>
      </c>
      <c r="BL234" t="str">
        <f>IFERROR(INDEX(_names_lookup!$C:$C,MATCH(BK234,_names_lookup!$A:$A,0)),"")</f>
        <v/>
      </c>
      <c r="BM234" t="str">
        <f>IFERROR(INDEX(_names_lookup!$B:$B,MATCH(BK234,_names_lookup!$A:$A,0)),"")</f>
        <v/>
      </c>
      <c r="BS234" t="str">
        <f t="shared" si="43"/>
        <v/>
      </c>
    </row>
    <row r="235" spans="15:71" x14ac:dyDescent="0.2">
      <c r="O235" t="str">
        <f>IFERROR(INDEX(_courses_lookup!$C:$C,MATCH(K235&amp;L235,_courses_lookup!$E:$E,0)),"")</f>
        <v/>
      </c>
      <c r="P235" t="str">
        <f>IFERROR(INDEX(_courses_lookup!$D:$D,MATCH(K235&amp;L235,_courses_lookup!$E:$E,0)),"")</f>
        <v/>
      </c>
      <c r="AG235" t="str">
        <f t="shared" si="33"/>
        <v/>
      </c>
      <c r="AI235" t="str">
        <f t="shared" si="34"/>
        <v/>
      </c>
      <c r="AL235" t="str">
        <f t="shared" si="35"/>
        <v/>
      </c>
      <c r="AN235" t="str">
        <f t="shared" si="36"/>
        <v/>
      </c>
      <c r="AQ235" t="str">
        <f t="shared" si="37"/>
        <v/>
      </c>
      <c r="AR235" t="str">
        <f t="shared" si="38"/>
        <v/>
      </c>
      <c r="AS235" t="str">
        <f t="shared" si="39"/>
        <v/>
      </c>
      <c r="AT235" t="str">
        <f t="shared" si="40"/>
        <v/>
      </c>
      <c r="BG235" t="str">
        <f t="shared" si="41"/>
        <v/>
      </c>
      <c r="BH235" t="str">
        <f t="shared" si="42"/>
        <v/>
      </c>
      <c r="BL235" t="str">
        <f>IFERROR(INDEX(_names_lookup!$C:$C,MATCH(BK235,_names_lookup!$A:$A,0)),"")</f>
        <v/>
      </c>
      <c r="BM235" t="str">
        <f>IFERROR(INDEX(_names_lookup!$B:$B,MATCH(BK235,_names_lookup!$A:$A,0)),"")</f>
        <v/>
      </c>
      <c r="BS235" t="str">
        <f t="shared" si="43"/>
        <v/>
      </c>
    </row>
    <row r="236" spans="15:71" x14ac:dyDescent="0.2">
      <c r="O236" t="str">
        <f>IFERROR(INDEX(_courses_lookup!$C:$C,MATCH(K236&amp;L236,_courses_lookup!$E:$E,0)),"")</f>
        <v/>
      </c>
      <c r="P236" t="str">
        <f>IFERROR(INDEX(_courses_lookup!$D:$D,MATCH(K236&amp;L236,_courses_lookup!$E:$E,0)),"")</f>
        <v/>
      </c>
      <c r="AG236" t="str">
        <f t="shared" si="33"/>
        <v/>
      </c>
      <c r="AI236" t="str">
        <f t="shared" si="34"/>
        <v/>
      </c>
      <c r="AL236" t="str">
        <f t="shared" si="35"/>
        <v/>
      </c>
      <c r="AN236" t="str">
        <f t="shared" si="36"/>
        <v/>
      </c>
      <c r="AQ236" t="str">
        <f t="shared" si="37"/>
        <v/>
      </c>
      <c r="AR236" t="str">
        <f t="shared" si="38"/>
        <v/>
      </c>
      <c r="AS236" t="str">
        <f t="shared" si="39"/>
        <v/>
      </c>
      <c r="AT236" t="str">
        <f t="shared" si="40"/>
        <v/>
      </c>
      <c r="BG236" t="str">
        <f t="shared" si="41"/>
        <v/>
      </c>
      <c r="BH236" t="str">
        <f t="shared" si="42"/>
        <v/>
      </c>
      <c r="BL236" t="str">
        <f>IFERROR(INDEX(_names_lookup!$C:$C,MATCH(BK236,_names_lookup!$A:$A,0)),"")</f>
        <v/>
      </c>
      <c r="BM236" t="str">
        <f>IFERROR(INDEX(_names_lookup!$B:$B,MATCH(BK236,_names_lookup!$A:$A,0)),"")</f>
        <v/>
      </c>
      <c r="BS236" t="str">
        <f t="shared" si="43"/>
        <v/>
      </c>
    </row>
    <row r="237" spans="15:71" x14ac:dyDescent="0.2">
      <c r="O237" t="str">
        <f>IFERROR(INDEX(_courses_lookup!$C:$C,MATCH(K237&amp;L237,_courses_lookup!$E:$E,0)),"")</f>
        <v/>
      </c>
      <c r="P237" t="str">
        <f>IFERROR(INDEX(_courses_lookup!$D:$D,MATCH(K237&amp;L237,_courses_lookup!$E:$E,0)),"")</f>
        <v/>
      </c>
      <c r="AG237" t="str">
        <f t="shared" si="33"/>
        <v/>
      </c>
      <c r="AI237" t="str">
        <f t="shared" si="34"/>
        <v/>
      </c>
      <c r="AL237" t="str">
        <f t="shared" si="35"/>
        <v/>
      </c>
      <c r="AN237" t="str">
        <f t="shared" si="36"/>
        <v/>
      </c>
      <c r="AQ237" t="str">
        <f t="shared" si="37"/>
        <v/>
      </c>
      <c r="AR237" t="str">
        <f t="shared" si="38"/>
        <v/>
      </c>
      <c r="AS237" t="str">
        <f t="shared" si="39"/>
        <v/>
      </c>
      <c r="AT237" t="str">
        <f t="shared" si="40"/>
        <v/>
      </c>
      <c r="BG237" t="str">
        <f t="shared" si="41"/>
        <v/>
      </c>
      <c r="BH237" t="str">
        <f t="shared" si="42"/>
        <v/>
      </c>
      <c r="BL237" t="str">
        <f>IFERROR(INDEX(_names_lookup!$C:$C,MATCH(BK237,_names_lookup!$A:$A,0)),"")</f>
        <v/>
      </c>
      <c r="BM237" t="str">
        <f>IFERROR(INDEX(_names_lookup!$B:$B,MATCH(BK237,_names_lookup!$A:$A,0)),"")</f>
        <v/>
      </c>
      <c r="BS237" t="str">
        <f t="shared" si="43"/>
        <v/>
      </c>
    </row>
    <row r="238" spans="15:71" x14ac:dyDescent="0.2">
      <c r="O238" t="str">
        <f>IFERROR(INDEX(_courses_lookup!$C:$C,MATCH(K238&amp;L238,_courses_lookup!$E:$E,0)),"")</f>
        <v/>
      </c>
      <c r="P238" t="str">
        <f>IFERROR(INDEX(_courses_lookup!$D:$D,MATCH(K238&amp;L238,_courses_lookup!$E:$E,0)),"")</f>
        <v/>
      </c>
      <c r="AG238" t="str">
        <f t="shared" si="33"/>
        <v/>
      </c>
      <c r="AI238" t="str">
        <f t="shared" si="34"/>
        <v/>
      </c>
      <c r="AL238" t="str">
        <f t="shared" si="35"/>
        <v/>
      </c>
      <c r="AN238" t="str">
        <f t="shared" si="36"/>
        <v/>
      </c>
      <c r="AQ238" t="str">
        <f t="shared" si="37"/>
        <v/>
      </c>
      <c r="AR238" t="str">
        <f t="shared" si="38"/>
        <v/>
      </c>
      <c r="AS238" t="str">
        <f t="shared" si="39"/>
        <v/>
      </c>
      <c r="AT238" t="str">
        <f t="shared" si="40"/>
        <v/>
      </c>
      <c r="BG238" t="str">
        <f t="shared" si="41"/>
        <v/>
      </c>
      <c r="BH238" t="str">
        <f t="shared" si="42"/>
        <v/>
      </c>
      <c r="BL238" t="str">
        <f>IFERROR(INDEX(_names_lookup!$C:$C,MATCH(BK238,_names_lookup!$A:$A,0)),"")</f>
        <v/>
      </c>
      <c r="BM238" t="str">
        <f>IFERROR(INDEX(_names_lookup!$B:$B,MATCH(BK238,_names_lookup!$A:$A,0)),"")</f>
        <v/>
      </c>
      <c r="BS238" t="str">
        <f t="shared" si="43"/>
        <v/>
      </c>
    </row>
    <row r="239" spans="15:71" x14ac:dyDescent="0.2">
      <c r="O239" t="str">
        <f>IFERROR(INDEX(_courses_lookup!$C:$C,MATCH(K239&amp;L239,_courses_lookup!$E:$E,0)),"")</f>
        <v/>
      </c>
      <c r="P239" t="str">
        <f>IFERROR(INDEX(_courses_lookup!$D:$D,MATCH(K239&amp;L239,_courses_lookup!$E:$E,0)),"")</f>
        <v/>
      </c>
      <c r="AG239" t="str">
        <f t="shared" si="33"/>
        <v/>
      </c>
      <c r="AI239" t="str">
        <f t="shared" si="34"/>
        <v/>
      </c>
      <c r="AL239" t="str">
        <f t="shared" si="35"/>
        <v/>
      </c>
      <c r="AN239" t="str">
        <f t="shared" si="36"/>
        <v/>
      </c>
      <c r="AQ239" t="str">
        <f t="shared" si="37"/>
        <v/>
      </c>
      <c r="AR239" t="str">
        <f t="shared" si="38"/>
        <v/>
      </c>
      <c r="AS239" t="str">
        <f t="shared" si="39"/>
        <v/>
      </c>
      <c r="AT239" t="str">
        <f t="shared" si="40"/>
        <v/>
      </c>
      <c r="BG239" t="str">
        <f t="shared" si="41"/>
        <v/>
      </c>
      <c r="BH239" t="str">
        <f t="shared" si="42"/>
        <v/>
      </c>
      <c r="BL239" t="str">
        <f>IFERROR(INDEX(_names_lookup!$C:$C,MATCH(BK239,_names_lookup!$A:$A,0)),"")</f>
        <v/>
      </c>
      <c r="BM239" t="str">
        <f>IFERROR(INDEX(_names_lookup!$B:$B,MATCH(BK239,_names_lookup!$A:$A,0)),"")</f>
        <v/>
      </c>
      <c r="BS239" t="str">
        <f t="shared" si="43"/>
        <v/>
      </c>
    </row>
    <row r="240" spans="15:71" x14ac:dyDescent="0.2">
      <c r="O240" t="str">
        <f>IFERROR(INDEX(_courses_lookup!$C:$C,MATCH(K240&amp;L240,_courses_lookup!$E:$E,0)),"")</f>
        <v/>
      </c>
      <c r="P240" t="str">
        <f>IFERROR(INDEX(_courses_lookup!$D:$D,MATCH(K240&amp;L240,_courses_lookup!$E:$E,0)),"")</f>
        <v/>
      </c>
      <c r="AG240" t="str">
        <f t="shared" si="33"/>
        <v/>
      </c>
      <c r="AI240" t="str">
        <f t="shared" si="34"/>
        <v/>
      </c>
      <c r="AL240" t="str">
        <f t="shared" si="35"/>
        <v/>
      </c>
      <c r="AN240" t="str">
        <f t="shared" si="36"/>
        <v/>
      </c>
      <c r="AQ240" t="str">
        <f t="shared" si="37"/>
        <v/>
      </c>
      <c r="AR240" t="str">
        <f t="shared" si="38"/>
        <v/>
      </c>
      <c r="AS240" t="str">
        <f t="shared" si="39"/>
        <v/>
      </c>
      <c r="AT240" t="str">
        <f t="shared" si="40"/>
        <v/>
      </c>
      <c r="BG240" t="str">
        <f t="shared" si="41"/>
        <v/>
      </c>
      <c r="BH240" t="str">
        <f t="shared" si="42"/>
        <v/>
      </c>
      <c r="BL240" t="str">
        <f>IFERROR(INDEX(_names_lookup!$C:$C,MATCH(BK240,_names_lookup!$A:$A,0)),"")</f>
        <v/>
      </c>
      <c r="BM240" t="str">
        <f>IFERROR(INDEX(_names_lookup!$B:$B,MATCH(BK240,_names_lookup!$A:$A,0)),"")</f>
        <v/>
      </c>
      <c r="BS240" t="str">
        <f t="shared" si="43"/>
        <v/>
      </c>
    </row>
    <row r="241" spans="15:71" x14ac:dyDescent="0.2">
      <c r="O241" t="str">
        <f>IFERROR(INDEX(_courses_lookup!$C:$C,MATCH(K241&amp;L241,_courses_lookup!$E:$E,0)),"")</f>
        <v/>
      </c>
      <c r="P241" t="str">
        <f>IFERROR(INDEX(_courses_lookup!$D:$D,MATCH(K241&amp;L241,_courses_lookup!$E:$E,0)),"")</f>
        <v/>
      </c>
      <c r="AG241" t="str">
        <f t="shared" si="33"/>
        <v/>
      </c>
      <c r="AI241" t="str">
        <f t="shared" si="34"/>
        <v/>
      </c>
      <c r="AL241" t="str">
        <f t="shared" si="35"/>
        <v/>
      </c>
      <c r="AN241" t="str">
        <f t="shared" si="36"/>
        <v/>
      </c>
      <c r="AQ241" t="str">
        <f t="shared" si="37"/>
        <v/>
      </c>
      <c r="AR241" t="str">
        <f t="shared" si="38"/>
        <v/>
      </c>
      <c r="AS241" t="str">
        <f t="shared" si="39"/>
        <v/>
      </c>
      <c r="AT241" t="str">
        <f t="shared" si="40"/>
        <v/>
      </c>
      <c r="BG241" t="str">
        <f t="shared" si="41"/>
        <v/>
      </c>
      <c r="BH241" t="str">
        <f t="shared" si="42"/>
        <v/>
      </c>
      <c r="BL241" t="str">
        <f>IFERROR(INDEX(_names_lookup!$C:$C,MATCH(BK241,_names_lookup!$A:$A,0)),"")</f>
        <v/>
      </c>
      <c r="BM241" t="str">
        <f>IFERROR(INDEX(_names_lookup!$B:$B,MATCH(BK241,_names_lookup!$A:$A,0)),"")</f>
        <v/>
      </c>
      <c r="BS241" t="str">
        <f t="shared" si="43"/>
        <v/>
      </c>
    </row>
    <row r="242" spans="15:71" x14ac:dyDescent="0.2">
      <c r="O242" t="str">
        <f>IFERROR(INDEX(_courses_lookup!$C:$C,MATCH(K242&amp;L242,_courses_lookup!$E:$E,0)),"")</f>
        <v/>
      </c>
      <c r="P242" t="str">
        <f>IFERROR(INDEX(_courses_lookup!$D:$D,MATCH(K242&amp;L242,_courses_lookup!$E:$E,0)),"")</f>
        <v/>
      </c>
      <c r="AG242" t="str">
        <f t="shared" si="33"/>
        <v/>
      </c>
      <c r="AI242" t="str">
        <f t="shared" si="34"/>
        <v/>
      </c>
      <c r="AL242" t="str">
        <f t="shared" si="35"/>
        <v/>
      </c>
      <c r="AN242" t="str">
        <f t="shared" si="36"/>
        <v/>
      </c>
      <c r="AQ242" t="str">
        <f t="shared" si="37"/>
        <v/>
      </c>
      <c r="AR242" t="str">
        <f t="shared" si="38"/>
        <v/>
      </c>
      <c r="AS242" t="str">
        <f t="shared" si="39"/>
        <v/>
      </c>
      <c r="AT242" t="str">
        <f t="shared" si="40"/>
        <v/>
      </c>
      <c r="BG242" t="str">
        <f t="shared" si="41"/>
        <v/>
      </c>
      <c r="BH242" t="str">
        <f t="shared" si="42"/>
        <v/>
      </c>
      <c r="BL242" t="str">
        <f>IFERROR(INDEX(_names_lookup!$C:$C,MATCH(BK242,_names_lookup!$A:$A,0)),"")</f>
        <v/>
      </c>
      <c r="BM242" t="str">
        <f>IFERROR(INDEX(_names_lookup!$B:$B,MATCH(BK242,_names_lookup!$A:$A,0)),"")</f>
        <v/>
      </c>
      <c r="BS242" t="str">
        <f t="shared" si="43"/>
        <v/>
      </c>
    </row>
    <row r="243" spans="15:71" x14ac:dyDescent="0.2">
      <c r="O243" t="str">
        <f>IFERROR(INDEX(_courses_lookup!$C:$C,MATCH(K243&amp;L243,_courses_lookup!$E:$E,0)),"")</f>
        <v/>
      </c>
      <c r="P243" t="str">
        <f>IFERROR(INDEX(_courses_lookup!$D:$D,MATCH(K243&amp;L243,_courses_lookup!$E:$E,0)),"")</f>
        <v/>
      </c>
      <c r="AG243" t="str">
        <f t="shared" si="33"/>
        <v/>
      </c>
      <c r="AI243" t="str">
        <f t="shared" si="34"/>
        <v/>
      </c>
      <c r="AL243" t="str">
        <f t="shared" si="35"/>
        <v/>
      </c>
      <c r="AN243" t="str">
        <f t="shared" si="36"/>
        <v/>
      </c>
      <c r="AQ243" t="str">
        <f t="shared" si="37"/>
        <v/>
      </c>
      <c r="AR243" t="str">
        <f t="shared" si="38"/>
        <v/>
      </c>
      <c r="AS243" t="str">
        <f t="shared" si="39"/>
        <v/>
      </c>
      <c r="AT243" t="str">
        <f t="shared" si="40"/>
        <v/>
      </c>
      <c r="BG243" t="str">
        <f t="shared" si="41"/>
        <v/>
      </c>
      <c r="BH243" t="str">
        <f t="shared" si="42"/>
        <v/>
      </c>
      <c r="BL243" t="str">
        <f>IFERROR(INDEX(_names_lookup!$C:$C,MATCH(BK243,_names_lookup!$A:$A,0)),"")</f>
        <v/>
      </c>
      <c r="BM243" t="str">
        <f>IFERROR(INDEX(_names_lookup!$B:$B,MATCH(BK243,_names_lookup!$A:$A,0)),"")</f>
        <v/>
      </c>
      <c r="BS243" t="str">
        <f t="shared" si="43"/>
        <v/>
      </c>
    </row>
    <row r="244" spans="15:71" x14ac:dyDescent="0.2">
      <c r="O244" t="str">
        <f>IFERROR(INDEX(_courses_lookup!$C:$C,MATCH(K244&amp;L244,_courses_lookup!$E:$E,0)),"")</f>
        <v/>
      </c>
      <c r="P244" t="str">
        <f>IFERROR(INDEX(_courses_lookup!$D:$D,MATCH(K244&amp;L244,_courses_lookup!$E:$E,0)),"")</f>
        <v/>
      </c>
      <c r="AG244" t="str">
        <f t="shared" si="33"/>
        <v/>
      </c>
      <c r="AI244" t="str">
        <f t="shared" si="34"/>
        <v/>
      </c>
      <c r="AL244" t="str">
        <f t="shared" si="35"/>
        <v/>
      </c>
      <c r="AN244" t="str">
        <f t="shared" si="36"/>
        <v/>
      </c>
      <c r="AQ244" t="str">
        <f t="shared" si="37"/>
        <v/>
      </c>
      <c r="AR244" t="str">
        <f t="shared" si="38"/>
        <v/>
      </c>
      <c r="AS244" t="str">
        <f t="shared" si="39"/>
        <v/>
      </c>
      <c r="AT244" t="str">
        <f t="shared" si="40"/>
        <v/>
      </c>
      <c r="BG244" t="str">
        <f t="shared" si="41"/>
        <v/>
      </c>
      <c r="BH244" t="str">
        <f t="shared" si="42"/>
        <v/>
      </c>
      <c r="BL244" t="str">
        <f>IFERROR(INDEX(_names_lookup!$C:$C,MATCH(BK244,_names_lookup!$A:$A,0)),"")</f>
        <v/>
      </c>
      <c r="BM244" t="str">
        <f>IFERROR(INDEX(_names_lookup!$B:$B,MATCH(BK244,_names_lookup!$A:$A,0)),"")</f>
        <v/>
      </c>
      <c r="BS244" t="str">
        <f t="shared" si="43"/>
        <v/>
      </c>
    </row>
    <row r="245" spans="15:71" x14ac:dyDescent="0.2">
      <c r="O245" t="str">
        <f>IFERROR(INDEX(_courses_lookup!$C:$C,MATCH(K245&amp;L245,_courses_lookup!$E:$E,0)),"")</f>
        <v/>
      </c>
      <c r="P245" t="str">
        <f>IFERROR(INDEX(_courses_lookup!$D:$D,MATCH(K245&amp;L245,_courses_lookup!$E:$E,0)),"")</f>
        <v/>
      </c>
      <c r="AG245" t="str">
        <f t="shared" si="33"/>
        <v/>
      </c>
      <c r="AI245" t="str">
        <f t="shared" si="34"/>
        <v/>
      </c>
      <c r="AL245" t="str">
        <f t="shared" si="35"/>
        <v/>
      </c>
      <c r="AN245" t="str">
        <f t="shared" si="36"/>
        <v/>
      </c>
      <c r="AQ245" t="str">
        <f t="shared" si="37"/>
        <v/>
      </c>
      <c r="AR245" t="str">
        <f t="shared" si="38"/>
        <v/>
      </c>
      <c r="AS245" t="str">
        <f t="shared" si="39"/>
        <v/>
      </c>
      <c r="AT245" t="str">
        <f t="shared" si="40"/>
        <v/>
      </c>
      <c r="BG245" t="str">
        <f t="shared" si="41"/>
        <v/>
      </c>
      <c r="BH245" t="str">
        <f t="shared" si="42"/>
        <v/>
      </c>
      <c r="BL245" t="str">
        <f>IFERROR(INDEX(_names_lookup!$C:$C,MATCH(BK245,_names_lookup!$A:$A,0)),"")</f>
        <v/>
      </c>
      <c r="BM245" t="str">
        <f>IFERROR(INDEX(_names_lookup!$B:$B,MATCH(BK245,_names_lookup!$A:$A,0)),"")</f>
        <v/>
      </c>
      <c r="BS245" t="str">
        <f t="shared" si="43"/>
        <v/>
      </c>
    </row>
    <row r="246" spans="15:71" x14ac:dyDescent="0.2">
      <c r="O246" t="str">
        <f>IFERROR(INDEX(_courses_lookup!$C:$C,MATCH(K246&amp;L246,_courses_lookup!$E:$E,0)),"")</f>
        <v/>
      </c>
      <c r="P246" t="str">
        <f>IFERROR(INDEX(_courses_lookup!$D:$D,MATCH(K246&amp;L246,_courses_lookup!$E:$E,0)),"")</f>
        <v/>
      </c>
      <c r="AG246" t="str">
        <f t="shared" si="33"/>
        <v/>
      </c>
      <c r="AI246" t="str">
        <f t="shared" si="34"/>
        <v/>
      </c>
      <c r="AL246" t="str">
        <f t="shared" si="35"/>
        <v/>
      </c>
      <c r="AN246" t="str">
        <f t="shared" si="36"/>
        <v/>
      </c>
      <c r="AQ246" t="str">
        <f t="shared" si="37"/>
        <v/>
      </c>
      <c r="AR246" t="str">
        <f t="shared" si="38"/>
        <v/>
      </c>
      <c r="AS246" t="str">
        <f t="shared" si="39"/>
        <v/>
      </c>
      <c r="AT246" t="str">
        <f t="shared" si="40"/>
        <v/>
      </c>
      <c r="BG246" t="str">
        <f t="shared" si="41"/>
        <v/>
      </c>
      <c r="BH246" t="str">
        <f t="shared" si="42"/>
        <v/>
      </c>
      <c r="BL246" t="str">
        <f>IFERROR(INDEX(_names_lookup!$C:$C,MATCH(BK246,_names_lookup!$A:$A,0)),"")</f>
        <v/>
      </c>
      <c r="BM246" t="str">
        <f>IFERROR(INDEX(_names_lookup!$B:$B,MATCH(BK246,_names_lookup!$A:$A,0)),"")</f>
        <v/>
      </c>
      <c r="BS246" t="str">
        <f t="shared" si="43"/>
        <v/>
      </c>
    </row>
    <row r="247" spans="15:71" x14ac:dyDescent="0.2">
      <c r="O247" t="str">
        <f>IFERROR(INDEX(_courses_lookup!$C:$C,MATCH(K247&amp;L247,_courses_lookup!$E:$E,0)),"")</f>
        <v/>
      </c>
      <c r="P247" t="str">
        <f>IFERROR(INDEX(_courses_lookup!$D:$D,MATCH(K247&amp;L247,_courses_lookup!$E:$E,0)),"")</f>
        <v/>
      </c>
      <c r="AG247" t="str">
        <f t="shared" si="33"/>
        <v/>
      </c>
      <c r="AI247" t="str">
        <f t="shared" si="34"/>
        <v/>
      </c>
      <c r="AL247" t="str">
        <f t="shared" si="35"/>
        <v/>
      </c>
      <c r="AN247" t="str">
        <f t="shared" si="36"/>
        <v/>
      </c>
      <c r="AQ247" t="str">
        <f t="shared" si="37"/>
        <v/>
      </c>
      <c r="AR247" t="str">
        <f t="shared" si="38"/>
        <v/>
      </c>
      <c r="AS247" t="str">
        <f t="shared" si="39"/>
        <v/>
      </c>
      <c r="AT247" t="str">
        <f t="shared" si="40"/>
        <v/>
      </c>
      <c r="BG247" t="str">
        <f t="shared" si="41"/>
        <v/>
      </c>
      <c r="BH247" t="str">
        <f t="shared" si="42"/>
        <v/>
      </c>
      <c r="BL247" t="str">
        <f>IFERROR(INDEX(_names_lookup!$C:$C,MATCH(BK247,_names_lookup!$A:$A,0)),"")</f>
        <v/>
      </c>
      <c r="BM247" t="str">
        <f>IFERROR(INDEX(_names_lookup!$B:$B,MATCH(BK247,_names_lookup!$A:$A,0)),"")</f>
        <v/>
      </c>
      <c r="BS247" t="str">
        <f t="shared" si="43"/>
        <v/>
      </c>
    </row>
    <row r="248" spans="15:71" x14ac:dyDescent="0.2">
      <c r="O248" t="str">
        <f>IFERROR(INDEX(_courses_lookup!$C:$C,MATCH(K248&amp;L248,_courses_lookup!$E:$E,0)),"")</f>
        <v/>
      </c>
      <c r="P248" t="str">
        <f>IFERROR(INDEX(_courses_lookup!$D:$D,MATCH(K248&amp;L248,_courses_lookup!$E:$E,0)),"")</f>
        <v/>
      </c>
      <c r="AG248" t="str">
        <f t="shared" si="33"/>
        <v/>
      </c>
      <c r="AI248" t="str">
        <f t="shared" si="34"/>
        <v/>
      </c>
      <c r="AL248" t="str">
        <f t="shared" si="35"/>
        <v/>
      </c>
      <c r="AN248" t="str">
        <f t="shared" si="36"/>
        <v/>
      </c>
      <c r="AQ248" t="str">
        <f t="shared" si="37"/>
        <v/>
      </c>
      <c r="AR248" t="str">
        <f t="shared" si="38"/>
        <v/>
      </c>
      <c r="AS248" t="str">
        <f t="shared" si="39"/>
        <v/>
      </c>
      <c r="AT248" t="str">
        <f t="shared" si="40"/>
        <v/>
      </c>
      <c r="BG248" t="str">
        <f t="shared" si="41"/>
        <v/>
      </c>
      <c r="BH248" t="str">
        <f t="shared" si="42"/>
        <v/>
      </c>
      <c r="BL248" t="str">
        <f>IFERROR(INDEX(_names_lookup!$C:$C,MATCH(BK248,_names_lookup!$A:$A,0)),"")</f>
        <v/>
      </c>
      <c r="BM248" t="str">
        <f>IFERROR(INDEX(_names_lookup!$B:$B,MATCH(BK248,_names_lookup!$A:$A,0)),"")</f>
        <v/>
      </c>
      <c r="BS248" t="str">
        <f t="shared" si="43"/>
        <v/>
      </c>
    </row>
    <row r="249" spans="15:71" x14ac:dyDescent="0.2">
      <c r="O249" t="str">
        <f>IFERROR(INDEX(_courses_lookup!$C:$C,MATCH(K249&amp;L249,_courses_lookup!$E:$E,0)),"")</f>
        <v/>
      </c>
      <c r="P249" t="str">
        <f>IFERROR(INDEX(_courses_lookup!$D:$D,MATCH(K249&amp;L249,_courses_lookup!$E:$E,0)),"")</f>
        <v/>
      </c>
      <c r="AG249" t="str">
        <f t="shared" si="33"/>
        <v/>
      </c>
      <c r="AI249" t="str">
        <f t="shared" si="34"/>
        <v/>
      </c>
      <c r="AL249" t="str">
        <f t="shared" si="35"/>
        <v/>
      </c>
      <c r="AN249" t="str">
        <f t="shared" si="36"/>
        <v/>
      </c>
      <c r="AQ249" t="str">
        <f t="shared" si="37"/>
        <v/>
      </c>
      <c r="AR249" t="str">
        <f t="shared" si="38"/>
        <v/>
      </c>
      <c r="AS249" t="str">
        <f t="shared" si="39"/>
        <v/>
      </c>
      <c r="AT249" t="str">
        <f t="shared" si="40"/>
        <v/>
      </c>
      <c r="BG249" t="str">
        <f t="shared" si="41"/>
        <v/>
      </c>
      <c r="BH249" t="str">
        <f t="shared" si="42"/>
        <v/>
      </c>
      <c r="BL249" t="str">
        <f>IFERROR(INDEX(_names_lookup!$C:$C,MATCH(BK249,_names_lookup!$A:$A,0)),"")</f>
        <v/>
      </c>
      <c r="BM249" t="str">
        <f>IFERROR(INDEX(_names_lookup!$B:$B,MATCH(BK249,_names_lookup!$A:$A,0)),"")</f>
        <v/>
      </c>
      <c r="BS249" t="str">
        <f t="shared" si="43"/>
        <v/>
      </c>
    </row>
    <row r="250" spans="15:71" x14ac:dyDescent="0.2">
      <c r="O250" t="str">
        <f>IFERROR(INDEX(_courses_lookup!$C:$C,MATCH(K250&amp;L250,_courses_lookup!$E:$E,0)),"")</f>
        <v/>
      </c>
      <c r="P250" t="str">
        <f>IFERROR(INDEX(_courses_lookup!$D:$D,MATCH(K250&amp;L250,_courses_lookup!$E:$E,0)),"")</f>
        <v/>
      </c>
      <c r="AG250" t="str">
        <f t="shared" si="33"/>
        <v/>
      </c>
      <c r="AI250" t="str">
        <f t="shared" si="34"/>
        <v/>
      </c>
      <c r="AL250" t="str">
        <f t="shared" si="35"/>
        <v/>
      </c>
      <c r="AN250" t="str">
        <f t="shared" si="36"/>
        <v/>
      </c>
      <c r="AQ250" t="str">
        <f t="shared" si="37"/>
        <v/>
      </c>
      <c r="AR250" t="str">
        <f t="shared" si="38"/>
        <v/>
      </c>
      <c r="AS250" t="str">
        <f t="shared" si="39"/>
        <v/>
      </c>
      <c r="AT250" t="str">
        <f t="shared" si="40"/>
        <v/>
      </c>
      <c r="BG250" t="str">
        <f t="shared" si="41"/>
        <v/>
      </c>
      <c r="BH250" t="str">
        <f t="shared" si="42"/>
        <v/>
      </c>
      <c r="BL250" t="str">
        <f>IFERROR(INDEX(_names_lookup!$C:$C,MATCH(BK250,_names_lookup!$A:$A,0)),"")</f>
        <v/>
      </c>
      <c r="BM250" t="str">
        <f>IFERROR(INDEX(_names_lookup!$B:$B,MATCH(BK250,_names_lookup!$A:$A,0)),"")</f>
        <v/>
      </c>
      <c r="BS250" t="str">
        <f t="shared" si="43"/>
        <v/>
      </c>
    </row>
    <row r="251" spans="15:71" x14ac:dyDescent="0.2">
      <c r="O251" t="str">
        <f>IFERROR(INDEX(_courses_lookup!$C:$C,MATCH(K251&amp;L251,_courses_lookup!$E:$E,0)),"")</f>
        <v/>
      </c>
      <c r="P251" t="str">
        <f>IFERROR(INDEX(_courses_lookup!$D:$D,MATCH(K251&amp;L251,_courses_lookup!$E:$E,0)),"")</f>
        <v/>
      </c>
      <c r="AG251" t="str">
        <f t="shared" si="33"/>
        <v/>
      </c>
      <c r="AI251" t="str">
        <f t="shared" si="34"/>
        <v/>
      </c>
      <c r="AL251" t="str">
        <f t="shared" si="35"/>
        <v/>
      </c>
      <c r="AN251" t="str">
        <f t="shared" si="36"/>
        <v/>
      </c>
      <c r="AQ251" t="str">
        <f t="shared" si="37"/>
        <v/>
      </c>
      <c r="AR251" t="str">
        <f t="shared" si="38"/>
        <v/>
      </c>
      <c r="AS251" t="str">
        <f t="shared" si="39"/>
        <v/>
      </c>
      <c r="AT251" t="str">
        <f t="shared" si="40"/>
        <v/>
      </c>
      <c r="BG251" t="str">
        <f t="shared" si="41"/>
        <v/>
      </c>
      <c r="BH251" t="str">
        <f t="shared" si="42"/>
        <v/>
      </c>
      <c r="BL251" t="str">
        <f>IFERROR(INDEX(_names_lookup!$C:$C,MATCH(BK251,_names_lookup!$A:$A,0)),"")</f>
        <v/>
      </c>
      <c r="BM251" t="str">
        <f>IFERROR(INDEX(_names_lookup!$B:$B,MATCH(BK251,_names_lookup!$A:$A,0)),"")</f>
        <v/>
      </c>
      <c r="BS251" t="str">
        <f t="shared" si="43"/>
        <v/>
      </c>
    </row>
    <row r="252" spans="15:71" x14ac:dyDescent="0.2">
      <c r="O252" t="str">
        <f>IFERROR(INDEX(_courses_lookup!$C:$C,MATCH(K252&amp;L252,_courses_lookup!$E:$E,0)),"")</f>
        <v/>
      </c>
      <c r="P252" t="str">
        <f>IFERROR(INDEX(_courses_lookup!$D:$D,MATCH(K252&amp;L252,_courses_lookup!$E:$E,0)),"")</f>
        <v/>
      </c>
      <c r="AG252" t="str">
        <f t="shared" si="33"/>
        <v/>
      </c>
      <c r="AI252" t="str">
        <f t="shared" si="34"/>
        <v/>
      </c>
      <c r="AL252" t="str">
        <f t="shared" si="35"/>
        <v/>
      </c>
      <c r="AN252" t="str">
        <f t="shared" si="36"/>
        <v/>
      </c>
      <c r="AQ252" t="str">
        <f t="shared" si="37"/>
        <v/>
      </c>
      <c r="AR252" t="str">
        <f t="shared" si="38"/>
        <v/>
      </c>
      <c r="AS252" t="str">
        <f t="shared" si="39"/>
        <v/>
      </c>
      <c r="AT252" t="str">
        <f t="shared" si="40"/>
        <v/>
      </c>
      <c r="BG252" t="str">
        <f t="shared" si="41"/>
        <v/>
      </c>
      <c r="BH252" t="str">
        <f t="shared" si="42"/>
        <v/>
      </c>
      <c r="BL252" t="str">
        <f>IFERROR(INDEX(_names_lookup!$C:$C,MATCH(BK252,_names_lookup!$A:$A,0)),"")</f>
        <v/>
      </c>
      <c r="BM252" t="str">
        <f>IFERROR(INDEX(_names_lookup!$B:$B,MATCH(BK252,_names_lookup!$A:$A,0)),"")</f>
        <v/>
      </c>
      <c r="BS252" t="str">
        <f t="shared" si="43"/>
        <v/>
      </c>
    </row>
    <row r="253" spans="15:71" x14ac:dyDescent="0.2">
      <c r="O253" t="str">
        <f>IFERROR(INDEX(_courses_lookup!$C:$C,MATCH(K253&amp;L253,_courses_lookup!$E:$E,0)),"")</f>
        <v/>
      </c>
      <c r="P253" t="str">
        <f>IFERROR(INDEX(_courses_lookup!$D:$D,MATCH(K253&amp;L253,_courses_lookup!$E:$E,0)),"")</f>
        <v/>
      </c>
      <c r="AG253" t="str">
        <f t="shared" si="33"/>
        <v/>
      </c>
      <c r="AI253" t="str">
        <f t="shared" si="34"/>
        <v/>
      </c>
      <c r="AL253" t="str">
        <f t="shared" si="35"/>
        <v/>
      </c>
      <c r="AN253" t="str">
        <f t="shared" si="36"/>
        <v/>
      </c>
      <c r="AQ253" t="str">
        <f t="shared" si="37"/>
        <v/>
      </c>
      <c r="AR253" t="str">
        <f t="shared" si="38"/>
        <v/>
      </c>
      <c r="AS253" t="str">
        <f t="shared" si="39"/>
        <v/>
      </c>
      <c r="AT253" t="str">
        <f t="shared" si="40"/>
        <v/>
      </c>
      <c r="BG253" t="str">
        <f t="shared" si="41"/>
        <v/>
      </c>
      <c r="BH253" t="str">
        <f t="shared" si="42"/>
        <v/>
      </c>
      <c r="BL253" t="str">
        <f>IFERROR(INDEX(_names_lookup!$C:$C,MATCH(BK253,_names_lookup!$A:$A,0)),"")</f>
        <v/>
      </c>
      <c r="BM253" t="str">
        <f>IFERROR(INDEX(_names_lookup!$B:$B,MATCH(BK253,_names_lookup!$A:$A,0)),"")</f>
        <v/>
      </c>
      <c r="BS253" t="str">
        <f t="shared" si="43"/>
        <v/>
      </c>
    </row>
    <row r="254" spans="15:71" x14ac:dyDescent="0.2">
      <c r="O254" t="str">
        <f>IFERROR(INDEX(_courses_lookup!$C:$C,MATCH(K254&amp;L254,_courses_lookup!$E:$E,0)),"")</f>
        <v/>
      </c>
      <c r="P254" t="str">
        <f>IFERROR(INDEX(_courses_lookup!$D:$D,MATCH(K254&amp;L254,_courses_lookup!$E:$E,0)),"")</f>
        <v/>
      </c>
      <c r="AG254" t="str">
        <f t="shared" si="33"/>
        <v/>
      </c>
      <c r="AI254" t="str">
        <f t="shared" si="34"/>
        <v/>
      </c>
      <c r="AL254" t="str">
        <f t="shared" si="35"/>
        <v/>
      </c>
      <c r="AN254" t="str">
        <f t="shared" si="36"/>
        <v/>
      </c>
      <c r="AQ254" t="str">
        <f t="shared" si="37"/>
        <v/>
      </c>
      <c r="AR254" t="str">
        <f t="shared" si="38"/>
        <v/>
      </c>
      <c r="AS254" t="str">
        <f t="shared" si="39"/>
        <v/>
      </c>
      <c r="AT254" t="str">
        <f t="shared" si="40"/>
        <v/>
      </c>
      <c r="BG254" t="str">
        <f t="shared" si="41"/>
        <v/>
      </c>
      <c r="BH254" t="str">
        <f t="shared" si="42"/>
        <v/>
      </c>
      <c r="BL254" t="str">
        <f>IFERROR(INDEX(_names_lookup!$C:$C,MATCH(BK254,_names_lookup!$A:$A,0)),"")</f>
        <v/>
      </c>
      <c r="BM254" t="str">
        <f>IFERROR(INDEX(_names_lookup!$B:$B,MATCH(BK254,_names_lookup!$A:$A,0)),"")</f>
        <v/>
      </c>
      <c r="BS254" t="str">
        <f t="shared" si="43"/>
        <v/>
      </c>
    </row>
    <row r="255" spans="15:71" x14ac:dyDescent="0.2">
      <c r="O255" t="str">
        <f>IFERROR(INDEX(_courses_lookup!$C:$C,MATCH(K255&amp;L255,_courses_lookup!$E:$E,0)),"")</f>
        <v/>
      </c>
      <c r="P255" t="str">
        <f>IFERROR(INDEX(_courses_lookup!$D:$D,MATCH(K255&amp;L255,_courses_lookup!$E:$E,0)),"")</f>
        <v/>
      </c>
      <c r="AG255" t="str">
        <f t="shared" si="33"/>
        <v/>
      </c>
      <c r="AI255" t="str">
        <f t="shared" si="34"/>
        <v/>
      </c>
      <c r="AL255" t="str">
        <f t="shared" si="35"/>
        <v/>
      </c>
      <c r="AN255" t="str">
        <f t="shared" si="36"/>
        <v/>
      </c>
      <c r="AQ255" t="str">
        <f t="shared" si="37"/>
        <v/>
      </c>
      <c r="AR255" t="str">
        <f t="shared" si="38"/>
        <v/>
      </c>
      <c r="AS255" t="str">
        <f t="shared" si="39"/>
        <v/>
      </c>
      <c r="AT255" t="str">
        <f t="shared" si="40"/>
        <v/>
      </c>
      <c r="BG255" t="str">
        <f t="shared" si="41"/>
        <v/>
      </c>
      <c r="BH255" t="str">
        <f t="shared" si="42"/>
        <v/>
      </c>
      <c r="BL255" t="str">
        <f>IFERROR(INDEX(_names_lookup!$C:$C,MATCH(BK255,_names_lookup!$A:$A,0)),"")</f>
        <v/>
      </c>
      <c r="BM255" t="str">
        <f>IFERROR(INDEX(_names_lookup!$B:$B,MATCH(BK255,_names_lookup!$A:$A,0)),"")</f>
        <v/>
      </c>
      <c r="BS255" t="str">
        <f t="shared" si="43"/>
        <v/>
      </c>
    </row>
    <row r="256" spans="15:71" x14ac:dyDescent="0.2">
      <c r="O256" t="str">
        <f>IFERROR(INDEX(_courses_lookup!$C:$C,MATCH(K256&amp;L256,_courses_lookup!$E:$E,0)),"")</f>
        <v/>
      </c>
      <c r="P256" t="str">
        <f>IFERROR(INDEX(_courses_lookup!$D:$D,MATCH(K256&amp;L256,_courses_lookup!$E:$E,0)),"")</f>
        <v/>
      </c>
      <c r="AG256" t="str">
        <f t="shared" si="33"/>
        <v/>
      </c>
      <c r="AI256" t="str">
        <f t="shared" si="34"/>
        <v/>
      </c>
      <c r="AL256" t="str">
        <f t="shared" si="35"/>
        <v/>
      </c>
      <c r="AN256" t="str">
        <f t="shared" si="36"/>
        <v/>
      </c>
      <c r="AQ256" t="str">
        <f t="shared" si="37"/>
        <v/>
      </c>
      <c r="AR256" t="str">
        <f t="shared" si="38"/>
        <v/>
      </c>
      <c r="AS256" t="str">
        <f t="shared" si="39"/>
        <v/>
      </c>
      <c r="AT256" t="str">
        <f t="shared" si="40"/>
        <v/>
      </c>
      <c r="BG256" t="str">
        <f t="shared" si="41"/>
        <v/>
      </c>
      <c r="BH256" t="str">
        <f t="shared" si="42"/>
        <v/>
      </c>
      <c r="BL256" t="str">
        <f>IFERROR(INDEX(_names_lookup!$C:$C,MATCH(BK256,_names_lookup!$A:$A,0)),"")</f>
        <v/>
      </c>
      <c r="BM256" t="str">
        <f>IFERROR(INDEX(_names_lookup!$B:$B,MATCH(BK256,_names_lookup!$A:$A,0)),"")</f>
        <v/>
      </c>
      <c r="BS256" t="str">
        <f t="shared" si="43"/>
        <v/>
      </c>
    </row>
    <row r="257" spans="15:71" x14ac:dyDescent="0.2">
      <c r="O257" t="str">
        <f>IFERROR(INDEX(_courses_lookup!$C:$C,MATCH(K257&amp;L257,_courses_lookup!$E:$E,0)),"")</f>
        <v/>
      </c>
      <c r="P257" t="str">
        <f>IFERROR(INDEX(_courses_lookup!$D:$D,MATCH(K257&amp;L257,_courses_lookup!$E:$E,0)),"")</f>
        <v/>
      </c>
      <c r="AG257" t="str">
        <f t="shared" si="33"/>
        <v/>
      </c>
      <c r="AI257" t="str">
        <f t="shared" si="34"/>
        <v/>
      </c>
      <c r="AL257" t="str">
        <f t="shared" si="35"/>
        <v/>
      </c>
      <c r="AN257" t="str">
        <f t="shared" si="36"/>
        <v/>
      </c>
      <c r="AQ257" t="str">
        <f t="shared" si="37"/>
        <v/>
      </c>
      <c r="AR257" t="str">
        <f t="shared" si="38"/>
        <v/>
      </c>
      <c r="AS257" t="str">
        <f t="shared" si="39"/>
        <v/>
      </c>
      <c r="AT257" t="str">
        <f t="shared" si="40"/>
        <v/>
      </c>
      <c r="BG257" t="str">
        <f t="shared" si="41"/>
        <v/>
      </c>
      <c r="BH257" t="str">
        <f t="shared" si="42"/>
        <v/>
      </c>
      <c r="BL257" t="str">
        <f>IFERROR(INDEX(_names_lookup!$C:$C,MATCH(BK257,_names_lookup!$A:$A,0)),"")</f>
        <v/>
      </c>
      <c r="BM257" t="str">
        <f>IFERROR(INDEX(_names_lookup!$B:$B,MATCH(BK257,_names_lookup!$A:$A,0)),"")</f>
        <v/>
      </c>
      <c r="BS257" t="str">
        <f t="shared" si="43"/>
        <v/>
      </c>
    </row>
    <row r="258" spans="15:71" x14ac:dyDescent="0.2">
      <c r="O258" t="str">
        <f>IFERROR(INDEX(_courses_lookup!$C:$C,MATCH(K258&amp;L258,_courses_lookup!$E:$E,0)),"")</f>
        <v/>
      </c>
      <c r="P258" t="str">
        <f>IFERROR(INDEX(_courses_lookup!$D:$D,MATCH(K258&amp;L258,_courses_lookup!$E:$E,0)),"")</f>
        <v/>
      </c>
      <c r="AG258" t="str">
        <f t="shared" ref="AG258:AG321" si="44">IF(AND(AE258&lt;&gt;"",AF258&lt;&gt;""),ROUNDUP((AF258-AE258)/7,0),"")</f>
        <v/>
      </c>
      <c r="AI258" t="str">
        <f t="shared" ref="AI258:AI321" si="45">IFERROR(IF(AG258*AH258=0,"",AG258*AH258),"")</f>
        <v/>
      </c>
      <c r="AL258" t="str">
        <f t="shared" ref="AL258:AL321" si="46">IF(AND(AJ258&lt;&gt;"",AK258&lt;&gt;""),ROUNDUP((AK258-AJ258)/7,0),"")</f>
        <v/>
      </c>
      <c r="AN258" t="str">
        <f t="shared" ref="AN258:AN321" si="47">IFERROR(IF(AL258*AM258=0,"",AL258*AM258),"")</f>
        <v/>
      </c>
      <c r="AQ258" t="str">
        <f t="shared" ref="AQ258:AQ321" si="48">IF(AND(AO258&lt;&gt;"",AP258&lt;&gt;""),ROUNDUP((AP258-AO258)/7,0),"")</f>
        <v/>
      </c>
      <c r="AR258" t="str">
        <f t="shared" ref="AR258:AR321" si="49">IFERROR(IF((AU258-(AI258+AN258))/AQ258=0,"",ROUNDUP((AU258-(AI258+AN258))/AQ258,0)),"")</f>
        <v/>
      </c>
      <c r="AS258" t="str">
        <f t="shared" ref="AS258:AS300" si="50">IFERROR(IF((AU258-(AI258+AN258))=0,"",(AU258-(AI258+AN258))),"")</f>
        <v/>
      </c>
      <c r="AT258" t="str">
        <f t="shared" ref="AT258:AT300" si="51">IF(AND(AG258="",AQ258=""),AL258,IF(SUM(AG258,AL258,AQ258)=0,"",SUM(AG258,AL258,AQ258)))</f>
        <v/>
      </c>
      <c r="BG258" t="str">
        <f t="shared" ref="BG258:BG300" si="52">IF(AD258="","",YEAR(AD258)+IF(MONTH(AD258)&gt;=5,1,0))</f>
        <v/>
      </c>
      <c r="BH258" t="str">
        <f t="shared" ref="BH258:BH300" si="53">IF(AD258="","",IF(AND(MONTH(AD258)=8,DAY(AD258)&gt;=15),"Fall",IF(MONTH(AD258)&gt;8,"Fall",IF(MONTH(AD258)=5,"Summer",IF(MONTH(AD258)=1,"Spring","")))))</f>
        <v/>
      </c>
      <c r="BL258" t="str">
        <f>IFERROR(INDEX(_names_lookup!$C:$C,MATCH(BK258,_names_lookup!$A:$A,0)),"")</f>
        <v/>
      </c>
      <c r="BM258" t="str">
        <f>IFERROR(INDEX(_names_lookup!$B:$B,MATCH(BK258,_names_lookup!$A:$A,0)),"")</f>
        <v/>
      </c>
      <c r="BS258" t="str">
        <f t="shared" ref="BS258:BS321" si="54">IFERROR(IF(BR258*AA258=0,"",BR258*AA258),"")</f>
        <v/>
      </c>
    </row>
    <row r="259" spans="15:71" x14ac:dyDescent="0.2">
      <c r="O259" t="str">
        <f>IFERROR(INDEX(_courses_lookup!$C:$C,MATCH(K259&amp;L259,_courses_lookup!$E:$E,0)),"")</f>
        <v/>
      </c>
      <c r="P259" t="str">
        <f>IFERROR(INDEX(_courses_lookup!$D:$D,MATCH(K259&amp;L259,_courses_lookup!$E:$E,0)),"")</f>
        <v/>
      </c>
      <c r="AG259" t="str">
        <f t="shared" si="44"/>
        <v/>
      </c>
      <c r="AI259" t="str">
        <f t="shared" si="45"/>
        <v/>
      </c>
      <c r="AL259" t="str">
        <f t="shared" si="46"/>
        <v/>
      </c>
      <c r="AN259" t="str">
        <f t="shared" si="47"/>
        <v/>
      </c>
      <c r="AQ259" t="str">
        <f t="shared" si="48"/>
        <v/>
      </c>
      <c r="AR259" t="str">
        <f t="shared" si="49"/>
        <v/>
      </c>
      <c r="AS259" t="str">
        <f t="shared" si="50"/>
        <v/>
      </c>
      <c r="AT259" t="str">
        <f t="shared" si="51"/>
        <v/>
      </c>
      <c r="BG259" t="str">
        <f t="shared" si="52"/>
        <v/>
      </c>
      <c r="BH259" t="str">
        <f t="shared" si="53"/>
        <v/>
      </c>
      <c r="BL259" t="str">
        <f>IFERROR(INDEX(_names_lookup!$C:$C,MATCH(BK259,_names_lookup!$A:$A,0)),"")</f>
        <v/>
      </c>
      <c r="BM259" t="str">
        <f>IFERROR(INDEX(_names_lookup!$B:$B,MATCH(BK259,_names_lookup!$A:$A,0)),"")</f>
        <v/>
      </c>
      <c r="BS259" t="str">
        <f t="shared" si="54"/>
        <v/>
      </c>
    </row>
    <row r="260" spans="15:71" x14ac:dyDescent="0.2">
      <c r="O260" t="str">
        <f>IFERROR(INDEX(_courses_lookup!$C:$C,MATCH(K260&amp;L260,_courses_lookup!$E:$E,0)),"")</f>
        <v/>
      </c>
      <c r="P260" t="str">
        <f>IFERROR(INDEX(_courses_lookup!$D:$D,MATCH(K260&amp;L260,_courses_lookup!$E:$E,0)),"")</f>
        <v/>
      </c>
      <c r="AG260" t="str">
        <f t="shared" si="44"/>
        <v/>
      </c>
      <c r="AI260" t="str">
        <f t="shared" si="45"/>
        <v/>
      </c>
      <c r="AL260" t="str">
        <f t="shared" si="46"/>
        <v/>
      </c>
      <c r="AN260" t="str">
        <f t="shared" si="47"/>
        <v/>
      </c>
      <c r="AQ260" t="str">
        <f t="shared" si="48"/>
        <v/>
      </c>
      <c r="AR260" t="str">
        <f t="shared" si="49"/>
        <v/>
      </c>
      <c r="AS260" t="str">
        <f t="shared" si="50"/>
        <v/>
      </c>
      <c r="AT260" t="str">
        <f t="shared" si="51"/>
        <v/>
      </c>
      <c r="BG260" t="str">
        <f t="shared" si="52"/>
        <v/>
      </c>
      <c r="BH260" t="str">
        <f t="shared" si="53"/>
        <v/>
      </c>
      <c r="BL260" t="str">
        <f>IFERROR(INDEX(_names_lookup!$C:$C,MATCH(BK260,_names_lookup!$A:$A,0)),"")</f>
        <v/>
      </c>
      <c r="BM260" t="str">
        <f>IFERROR(INDEX(_names_lookup!$B:$B,MATCH(BK260,_names_lookup!$A:$A,0)),"")</f>
        <v/>
      </c>
      <c r="BS260" t="str">
        <f t="shared" si="54"/>
        <v/>
      </c>
    </row>
    <row r="261" spans="15:71" x14ac:dyDescent="0.2">
      <c r="O261" t="str">
        <f>IFERROR(INDEX(_courses_lookup!$C:$C,MATCH(K261&amp;L261,_courses_lookup!$E:$E,0)),"")</f>
        <v/>
      </c>
      <c r="P261" t="str">
        <f>IFERROR(INDEX(_courses_lookup!$D:$D,MATCH(K261&amp;L261,_courses_lookup!$E:$E,0)),"")</f>
        <v/>
      </c>
      <c r="AG261" t="str">
        <f t="shared" si="44"/>
        <v/>
      </c>
      <c r="AI261" t="str">
        <f t="shared" si="45"/>
        <v/>
      </c>
      <c r="AL261" t="str">
        <f t="shared" si="46"/>
        <v/>
      </c>
      <c r="AN261" t="str">
        <f t="shared" si="47"/>
        <v/>
      </c>
      <c r="AQ261" t="str">
        <f t="shared" si="48"/>
        <v/>
      </c>
      <c r="AR261" t="str">
        <f t="shared" si="49"/>
        <v/>
      </c>
      <c r="AS261" t="str">
        <f t="shared" si="50"/>
        <v/>
      </c>
      <c r="AT261" t="str">
        <f t="shared" si="51"/>
        <v/>
      </c>
      <c r="BG261" t="str">
        <f t="shared" si="52"/>
        <v/>
      </c>
      <c r="BH261" t="str">
        <f t="shared" si="53"/>
        <v/>
      </c>
      <c r="BL261" t="str">
        <f>IFERROR(INDEX(_names_lookup!$C:$C,MATCH(BK261,_names_lookup!$A:$A,0)),"")</f>
        <v/>
      </c>
      <c r="BM261" t="str">
        <f>IFERROR(INDEX(_names_lookup!$B:$B,MATCH(BK261,_names_lookup!$A:$A,0)),"")</f>
        <v/>
      </c>
      <c r="BS261" t="str">
        <f t="shared" si="54"/>
        <v/>
      </c>
    </row>
    <row r="262" spans="15:71" x14ac:dyDescent="0.2">
      <c r="O262" t="str">
        <f>IFERROR(INDEX(_courses_lookup!$C:$C,MATCH(K262&amp;L262,_courses_lookup!$E:$E,0)),"")</f>
        <v/>
      </c>
      <c r="P262" t="str">
        <f>IFERROR(INDEX(_courses_lookup!$D:$D,MATCH(K262&amp;L262,_courses_lookup!$E:$E,0)),"")</f>
        <v/>
      </c>
      <c r="AG262" t="str">
        <f t="shared" si="44"/>
        <v/>
      </c>
      <c r="AI262" t="str">
        <f t="shared" si="45"/>
        <v/>
      </c>
      <c r="AL262" t="str">
        <f t="shared" si="46"/>
        <v/>
      </c>
      <c r="AN262" t="str">
        <f t="shared" si="47"/>
        <v/>
      </c>
      <c r="AQ262" t="str">
        <f t="shared" si="48"/>
        <v/>
      </c>
      <c r="AR262" t="str">
        <f t="shared" si="49"/>
        <v/>
      </c>
      <c r="AS262" t="str">
        <f t="shared" si="50"/>
        <v/>
      </c>
      <c r="AT262" t="str">
        <f t="shared" si="51"/>
        <v/>
      </c>
      <c r="BG262" t="str">
        <f t="shared" si="52"/>
        <v/>
      </c>
      <c r="BH262" t="str">
        <f t="shared" si="53"/>
        <v/>
      </c>
      <c r="BL262" t="str">
        <f>IFERROR(INDEX(_names_lookup!$C:$C,MATCH(BK262,_names_lookup!$A:$A,0)),"")</f>
        <v/>
      </c>
      <c r="BM262" t="str">
        <f>IFERROR(INDEX(_names_lookup!$B:$B,MATCH(BK262,_names_lookup!$A:$A,0)),"")</f>
        <v/>
      </c>
      <c r="BS262" t="str">
        <f t="shared" si="54"/>
        <v/>
      </c>
    </row>
    <row r="263" spans="15:71" x14ac:dyDescent="0.2">
      <c r="O263" t="str">
        <f>IFERROR(INDEX(_courses_lookup!$C:$C,MATCH(K263&amp;L263,_courses_lookup!$E:$E,0)),"")</f>
        <v/>
      </c>
      <c r="P263" t="str">
        <f>IFERROR(INDEX(_courses_lookup!$D:$D,MATCH(K263&amp;L263,_courses_lookup!$E:$E,0)),"")</f>
        <v/>
      </c>
      <c r="AG263" t="str">
        <f t="shared" si="44"/>
        <v/>
      </c>
      <c r="AI263" t="str">
        <f t="shared" si="45"/>
        <v/>
      </c>
      <c r="AL263" t="str">
        <f t="shared" si="46"/>
        <v/>
      </c>
      <c r="AN263" t="str">
        <f t="shared" si="47"/>
        <v/>
      </c>
      <c r="AQ263" t="str">
        <f t="shared" si="48"/>
        <v/>
      </c>
      <c r="AR263" t="str">
        <f t="shared" si="49"/>
        <v/>
      </c>
      <c r="AS263" t="str">
        <f t="shared" si="50"/>
        <v/>
      </c>
      <c r="AT263" t="str">
        <f t="shared" si="51"/>
        <v/>
      </c>
      <c r="BG263" t="str">
        <f t="shared" si="52"/>
        <v/>
      </c>
      <c r="BH263" t="str">
        <f t="shared" si="53"/>
        <v/>
      </c>
      <c r="BL263" t="str">
        <f>IFERROR(INDEX(_names_lookup!$C:$C,MATCH(BK263,_names_lookup!$A:$A,0)),"")</f>
        <v/>
      </c>
      <c r="BM263" t="str">
        <f>IFERROR(INDEX(_names_lookup!$B:$B,MATCH(BK263,_names_lookup!$A:$A,0)),"")</f>
        <v/>
      </c>
      <c r="BS263" t="str">
        <f t="shared" si="54"/>
        <v/>
      </c>
    </row>
    <row r="264" spans="15:71" x14ac:dyDescent="0.2">
      <c r="O264" t="str">
        <f>IFERROR(INDEX(_courses_lookup!$C:$C,MATCH(K264&amp;L264,_courses_lookup!$E:$E,0)),"")</f>
        <v/>
      </c>
      <c r="P264" t="str">
        <f>IFERROR(INDEX(_courses_lookup!$D:$D,MATCH(K264&amp;L264,_courses_lookup!$E:$E,0)),"")</f>
        <v/>
      </c>
      <c r="AG264" t="str">
        <f t="shared" si="44"/>
        <v/>
      </c>
      <c r="AI264" t="str">
        <f t="shared" si="45"/>
        <v/>
      </c>
      <c r="AL264" t="str">
        <f t="shared" si="46"/>
        <v/>
      </c>
      <c r="AN264" t="str">
        <f t="shared" si="47"/>
        <v/>
      </c>
      <c r="AQ264" t="str">
        <f t="shared" si="48"/>
        <v/>
      </c>
      <c r="AR264" t="str">
        <f t="shared" si="49"/>
        <v/>
      </c>
      <c r="AS264" t="str">
        <f t="shared" si="50"/>
        <v/>
      </c>
      <c r="AT264" t="str">
        <f t="shared" si="51"/>
        <v/>
      </c>
      <c r="BG264" t="str">
        <f t="shared" si="52"/>
        <v/>
      </c>
      <c r="BH264" t="str">
        <f t="shared" si="53"/>
        <v/>
      </c>
      <c r="BL264" t="str">
        <f>IFERROR(INDEX(_names_lookup!$C:$C,MATCH(BK264,_names_lookup!$A:$A,0)),"")</f>
        <v/>
      </c>
      <c r="BM264" t="str">
        <f>IFERROR(INDEX(_names_lookup!$B:$B,MATCH(BK264,_names_lookup!$A:$A,0)),"")</f>
        <v/>
      </c>
      <c r="BS264" t="str">
        <f t="shared" si="54"/>
        <v/>
      </c>
    </row>
    <row r="265" spans="15:71" x14ac:dyDescent="0.2">
      <c r="O265" t="str">
        <f>IFERROR(INDEX(_courses_lookup!$C:$C,MATCH(K265&amp;L265,_courses_lookup!$E:$E,0)),"")</f>
        <v/>
      </c>
      <c r="P265" t="str">
        <f>IFERROR(INDEX(_courses_lookup!$D:$D,MATCH(K265&amp;L265,_courses_lookup!$E:$E,0)),"")</f>
        <v/>
      </c>
      <c r="AG265" t="str">
        <f t="shared" si="44"/>
        <v/>
      </c>
      <c r="AI265" t="str">
        <f t="shared" si="45"/>
        <v/>
      </c>
      <c r="AL265" t="str">
        <f t="shared" si="46"/>
        <v/>
      </c>
      <c r="AN265" t="str">
        <f t="shared" si="47"/>
        <v/>
      </c>
      <c r="AQ265" t="str">
        <f t="shared" si="48"/>
        <v/>
      </c>
      <c r="AR265" t="str">
        <f t="shared" si="49"/>
        <v/>
      </c>
      <c r="AS265" t="str">
        <f t="shared" si="50"/>
        <v/>
      </c>
      <c r="AT265" t="str">
        <f t="shared" si="51"/>
        <v/>
      </c>
      <c r="BG265" t="str">
        <f t="shared" si="52"/>
        <v/>
      </c>
      <c r="BH265" t="str">
        <f t="shared" si="53"/>
        <v/>
      </c>
      <c r="BL265" t="str">
        <f>IFERROR(INDEX(_names_lookup!$C:$C,MATCH(BK265,_names_lookup!$A:$A,0)),"")</f>
        <v/>
      </c>
      <c r="BM265" t="str">
        <f>IFERROR(INDEX(_names_lookup!$B:$B,MATCH(BK265,_names_lookup!$A:$A,0)),"")</f>
        <v/>
      </c>
      <c r="BS265" t="str">
        <f t="shared" si="54"/>
        <v/>
      </c>
    </row>
    <row r="266" spans="15:71" x14ac:dyDescent="0.2">
      <c r="O266" t="str">
        <f>IFERROR(INDEX(_courses_lookup!$C:$C,MATCH(K266&amp;L266,_courses_lookup!$E:$E,0)),"")</f>
        <v/>
      </c>
      <c r="P266" t="str">
        <f>IFERROR(INDEX(_courses_lookup!$D:$D,MATCH(K266&amp;L266,_courses_lookup!$E:$E,0)),"")</f>
        <v/>
      </c>
      <c r="AG266" t="str">
        <f t="shared" si="44"/>
        <v/>
      </c>
      <c r="AI266" t="str">
        <f t="shared" si="45"/>
        <v/>
      </c>
      <c r="AL266" t="str">
        <f t="shared" si="46"/>
        <v/>
      </c>
      <c r="AN266" t="str">
        <f t="shared" si="47"/>
        <v/>
      </c>
      <c r="AQ266" t="str">
        <f t="shared" si="48"/>
        <v/>
      </c>
      <c r="AR266" t="str">
        <f t="shared" si="49"/>
        <v/>
      </c>
      <c r="AS266" t="str">
        <f t="shared" si="50"/>
        <v/>
      </c>
      <c r="AT266" t="str">
        <f t="shared" si="51"/>
        <v/>
      </c>
      <c r="BG266" t="str">
        <f t="shared" si="52"/>
        <v/>
      </c>
      <c r="BH266" t="str">
        <f t="shared" si="53"/>
        <v/>
      </c>
      <c r="BL266" t="str">
        <f>IFERROR(INDEX(_names_lookup!$C:$C,MATCH(BK266,_names_lookup!$A:$A,0)),"")</f>
        <v/>
      </c>
      <c r="BM266" t="str">
        <f>IFERROR(INDEX(_names_lookup!$B:$B,MATCH(BK266,_names_lookup!$A:$A,0)),"")</f>
        <v/>
      </c>
      <c r="BS266" t="str">
        <f t="shared" si="54"/>
        <v/>
      </c>
    </row>
    <row r="267" spans="15:71" x14ac:dyDescent="0.2">
      <c r="O267" t="str">
        <f>IFERROR(INDEX(_courses_lookup!$C:$C,MATCH(K267&amp;L267,_courses_lookup!$E:$E,0)),"")</f>
        <v/>
      </c>
      <c r="P267" t="str">
        <f>IFERROR(INDEX(_courses_lookup!$D:$D,MATCH(K267&amp;L267,_courses_lookup!$E:$E,0)),"")</f>
        <v/>
      </c>
      <c r="AG267" t="str">
        <f t="shared" si="44"/>
        <v/>
      </c>
      <c r="AI267" t="str">
        <f t="shared" si="45"/>
        <v/>
      </c>
      <c r="AL267" t="str">
        <f t="shared" si="46"/>
        <v/>
      </c>
      <c r="AN267" t="str">
        <f t="shared" si="47"/>
        <v/>
      </c>
      <c r="AQ267" t="str">
        <f t="shared" si="48"/>
        <v/>
      </c>
      <c r="AR267" t="str">
        <f t="shared" si="49"/>
        <v/>
      </c>
      <c r="AS267" t="str">
        <f t="shared" si="50"/>
        <v/>
      </c>
      <c r="AT267" t="str">
        <f t="shared" si="51"/>
        <v/>
      </c>
      <c r="BG267" t="str">
        <f t="shared" si="52"/>
        <v/>
      </c>
      <c r="BH267" t="str">
        <f t="shared" si="53"/>
        <v/>
      </c>
      <c r="BL267" t="str">
        <f>IFERROR(INDEX(_names_lookup!$C:$C,MATCH(BK267,_names_lookup!$A:$A,0)),"")</f>
        <v/>
      </c>
      <c r="BM267" t="str">
        <f>IFERROR(INDEX(_names_lookup!$B:$B,MATCH(BK267,_names_lookup!$A:$A,0)),"")</f>
        <v/>
      </c>
      <c r="BS267" t="str">
        <f t="shared" si="54"/>
        <v/>
      </c>
    </row>
    <row r="268" spans="15:71" x14ac:dyDescent="0.2">
      <c r="O268" t="str">
        <f>IFERROR(INDEX(_courses_lookup!$C:$C,MATCH(K268&amp;L268,_courses_lookup!$E:$E,0)),"")</f>
        <v/>
      </c>
      <c r="P268" t="str">
        <f>IFERROR(INDEX(_courses_lookup!$D:$D,MATCH(K268&amp;L268,_courses_lookup!$E:$E,0)),"")</f>
        <v/>
      </c>
      <c r="AG268" t="str">
        <f t="shared" si="44"/>
        <v/>
      </c>
      <c r="AI268" t="str">
        <f t="shared" si="45"/>
        <v/>
      </c>
      <c r="AL268" t="str">
        <f t="shared" si="46"/>
        <v/>
      </c>
      <c r="AN268" t="str">
        <f t="shared" si="47"/>
        <v/>
      </c>
      <c r="AQ268" t="str">
        <f t="shared" si="48"/>
        <v/>
      </c>
      <c r="AR268" t="str">
        <f t="shared" si="49"/>
        <v/>
      </c>
      <c r="AS268" t="str">
        <f t="shared" si="50"/>
        <v/>
      </c>
      <c r="AT268" t="str">
        <f t="shared" si="51"/>
        <v/>
      </c>
      <c r="BG268" t="str">
        <f t="shared" si="52"/>
        <v/>
      </c>
      <c r="BH268" t="str">
        <f t="shared" si="53"/>
        <v/>
      </c>
      <c r="BL268" t="str">
        <f>IFERROR(INDEX(_names_lookup!$C:$C,MATCH(BK268,_names_lookup!$A:$A,0)),"")</f>
        <v/>
      </c>
      <c r="BM268" t="str">
        <f>IFERROR(INDEX(_names_lookup!$B:$B,MATCH(BK268,_names_lookup!$A:$A,0)),"")</f>
        <v/>
      </c>
      <c r="BS268" t="str">
        <f t="shared" si="54"/>
        <v/>
      </c>
    </row>
    <row r="269" spans="15:71" x14ac:dyDescent="0.2">
      <c r="O269" t="str">
        <f>IFERROR(INDEX(_courses_lookup!$C:$C,MATCH(K269&amp;L269,_courses_lookup!$E:$E,0)),"")</f>
        <v/>
      </c>
      <c r="P269" t="str">
        <f>IFERROR(INDEX(_courses_lookup!$D:$D,MATCH(K269&amp;L269,_courses_lookup!$E:$E,0)),"")</f>
        <v/>
      </c>
      <c r="AG269" t="str">
        <f t="shared" si="44"/>
        <v/>
      </c>
      <c r="AI269" t="str">
        <f t="shared" si="45"/>
        <v/>
      </c>
      <c r="AL269" t="str">
        <f t="shared" si="46"/>
        <v/>
      </c>
      <c r="AN269" t="str">
        <f t="shared" si="47"/>
        <v/>
      </c>
      <c r="AQ269" t="str">
        <f t="shared" si="48"/>
        <v/>
      </c>
      <c r="AR269" t="str">
        <f t="shared" si="49"/>
        <v/>
      </c>
      <c r="AS269" t="str">
        <f t="shared" si="50"/>
        <v/>
      </c>
      <c r="AT269" t="str">
        <f t="shared" si="51"/>
        <v/>
      </c>
      <c r="BG269" t="str">
        <f t="shared" si="52"/>
        <v/>
      </c>
      <c r="BH269" t="str">
        <f t="shared" si="53"/>
        <v/>
      </c>
      <c r="BL269" t="str">
        <f>IFERROR(INDEX(_names_lookup!$C:$C,MATCH(BK269,_names_lookup!$A:$A,0)),"")</f>
        <v/>
      </c>
      <c r="BM269" t="str">
        <f>IFERROR(INDEX(_names_lookup!$B:$B,MATCH(BK269,_names_lookup!$A:$A,0)),"")</f>
        <v/>
      </c>
      <c r="BS269" t="str">
        <f t="shared" si="54"/>
        <v/>
      </c>
    </row>
    <row r="270" spans="15:71" x14ac:dyDescent="0.2">
      <c r="O270" t="str">
        <f>IFERROR(INDEX(_courses_lookup!$C:$C,MATCH(K270&amp;L270,_courses_lookup!$E:$E,0)),"")</f>
        <v/>
      </c>
      <c r="P270" t="str">
        <f>IFERROR(INDEX(_courses_lookup!$D:$D,MATCH(K270&amp;L270,_courses_lookup!$E:$E,0)),"")</f>
        <v/>
      </c>
      <c r="AG270" t="str">
        <f t="shared" si="44"/>
        <v/>
      </c>
      <c r="AI270" t="str">
        <f t="shared" si="45"/>
        <v/>
      </c>
      <c r="AL270" t="str">
        <f t="shared" si="46"/>
        <v/>
      </c>
      <c r="AN270" t="str">
        <f t="shared" si="47"/>
        <v/>
      </c>
      <c r="AQ270" t="str">
        <f t="shared" si="48"/>
        <v/>
      </c>
      <c r="AR270" t="str">
        <f t="shared" si="49"/>
        <v/>
      </c>
      <c r="AS270" t="str">
        <f t="shared" si="50"/>
        <v/>
      </c>
      <c r="AT270" t="str">
        <f t="shared" si="51"/>
        <v/>
      </c>
      <c r="BG270" t="str">
        <f t="shared" si="52"/>
        <v/>
      </c>
      <c r="BH270" t="str">
        <f t="shared" si="53"/>
        <v/>
      </c>
      <c r="BL270" t="str">
        <f>IFERROR(INDEX(_names_lookup!$C:$C,MATCH(BK270,_names_lookup!$A:$A,0)),"")</f>
        <v/>
      </c>
      <c r="BM270" t="str">
        <f>IFERROR(INDEX(_names_lookup!$B:$B,MATCH(BK270,_names_lookup!$A:$A,0)),"")</f>
        <v/>
      </c>
      <c r="BS270" t="str">
        <f t="shared" si="54"/>
        <v/>
      </c>
    </row>
    <row r="271" spans="15:71" x14ac:dyDescent="0.2">
      <c r="O271" t="str">
        <f>IFERROR(INDEX(_courses_lookup!$C:$C,MATCH(K271&amp;L271,_courses_lookup!$E:$E,0)),"")</f>
        <v/>
      </c>
      <c r="P271" t="str">
        <f>IFERROR(INDEX(_courses_lookup!$D:$D,MATCH(K271&amp;L271,_courses_lookup!$E:$E,0)),"")</f>
        <v/>
      </c>
      <c r="AG271" t="str">
        <f t="shared" si="44"/>
        <v/>
      </c>
      <c r="AI271" t="str">
        <f t="shared" si="45"/>
        <v/>
      </c>
      <c r="AL271" t="str">
        <f t="shared" si="46"/>
        <v/>
      </c>
      <c r="AN271" t="str">
        <f t="shared" si="47"/>
        <v/>
      </c>
      <c r="AQ271" t="str">
        <f t="shared" si="48"/>
        <v/>
      </c>
      <c r="AR271" t="str">
        <f t="shared" si="49"/>
        <v/>
      </c>
      <c r="AS271" t="str">
        <f t="shared" si="50"/>
        <v/>
      </c>
      <c r="AT271" t="str">
        <f t="shared" si="51"/>
        <v/>
      </c>
      <c r="BG271" t="str">
        <f t="shared" si="52"/>
        <v/>
      </c>
      <c r="BH271" t="str">
        <f t="shared" si="53"/>
        <v/>
      </c>
      <c r="BL271" t="str">
        <f>IFERROR(INDEX(_names_lookup!$C:$C,MATCH(BK271,_names_lookup!$A:$A,0)),"")</f>
        <v/>
      </c>
      <c r="BM271" t="str">
        <f>IFERROR(INDEX(_names_lookup!$B:$B,MATCH(BK271,_names_lookup!$A:$A,0)),"")</f>
        <v/>
      </c>
      <c r="BS271" t="str">
        <f t="shared" si="54"/>
        <v/>
      </c>
    </row>
    <row r="272" spans="15:71" x14ac:dyDescent="0.2">
      <c r="O272" t="str">
        <f>IFERROR(INDEX(_courses_lookup!$C:$C,MATCH(K272&amp;L272,_courses_lookup!$E:$E,0)),"")</f>
        <v/>
      </c>
      <c r="P272" t="str">
        <f>IFERROR(INDEX(_courses_lookup!$D:$D,MATCH(K272&amp;L272,_courses_lookup!$E:$E,0)),"")</f>
        <v/>
      </c>
      <c r="AG272" t="str">
        <f t="shared" si="44"/>
        <v/>
      </c>
      <c r="AI272" t="str">
        <f t="shared" si="45"/>
        <v/>
      </c>
      <c r="AL272" t="str">
        <f t="shared" si="46"/>
        <v/>
      </c>
      <c r="AN272" t="str">
        <f t="shared" si="47"/>
        <v/>
      </c>
      <c r="AQ272" t="str">
        <f t="shared" si="48"/>
        <v/>
      </c>
      <c r="AR272" t="str">
        <f t="shared" si="49"/>
        <v/>
      </c>
      <c r="AS272" t="str">
        <f t="shared" si="50"/>
        <v/>
      </c>
      <c r="AT272" t="str">
        <f t="shared" si="51"/>
        <v/>
      </c>
      <c r="BG272" t="str">
        <f t="shared" si="52"/>
        <v/>
      </c>
      <c r="BH272" t="str">
        <f t="shared" si="53"/>
        <v/>
      </c>
      <c r="BL272" t="str">
        <f>IFERROR(INDEX(_names_lookup!$C:$C,MATCH(BK272,_names_lookup!$A:$A,0)),"")</f>
        <v/>
      </c>
      <c r="BM272" t="str">
        <f>IFERROR(INDEX(_names_lookup!$B:$B,MATCH(BK272,_names_lookup!$A:$A,0)),"")</f>
        <v/>
      </c>
      <c r="BS272" t="str">
        <f t="shared" si="54"/>
        <v/>
      </c>
    </row>
    <row r="273" spans="15:71" x14ac:dyDescent="0.2">
      <c r="O273" t="str">
        <f>IFERROR(INDEX(_courses_lookup!$C:$C,MATCH(K273&amp;L273,_courses_lookup!$E:$E,0)),"")</f>
        <v/>
      </c>
      <c r="P273" t="str">
        <f>IFERROR(INDEX(_courses_lookup!$D:$D,MATCH(K273&amp;L273,_courses_lookup!$E:$E,0)),"")</f>
        <v/>
      </c>
      <c r="AG273" t="str">
        <f t="shared" si="44"/>
        <v/>
      </c>
      <c r="AI273" t="str">
        <f t="shared" si="45"/>
        <v/>
      </c>
      <c r="AL273" t="str">
        <f t="shared" si="46"/>
        <v/>
      </c>
      <c r="AN273" t="str">
        <f t="shared" si="47"/>
        <v/>
      </c>
      <c r="AQ273" t="str">
        <f t="shared" si="48"/>
        <v/>
      </c>
      <c r="AR273" t="str">
        <f t="shared" si="49"/>
        <v/>
      </c>
      <c r="AS273" t="str">
        <f t="shared" si="50"/>
        <v/>
      </c>
      <c r="AT273" t="str">
        <f t="shared" si="51"/>
        <v/>
      </c>
      <c r="BG273" t="str">
        <f t="shared" si="52"/>
        <v/>
      </c>
      <c r="BH273" t="str">
        <f t="shared" si="53"/>
        <v/>
      </c>
      <c r="BL273" t="str">
        <f>IFERROR(INDEX(_names_lookup!$C:$C,MATCH(BK273,_names_lookup!$A:$A,0)),"")</f>
        <v/>
      </c>
      <c r="BM273" t="str">
        <f>IFERROR(INDEX(_names_lookup!$B:$B,MATCH(BK273,_names_lookup!$A:$A,0)),"")</f>
        <v/>
      </c>
      <c r="BS273" t="str">
        <f t="shared" si="54"/>
        <v/>
      </c>
    </row>
    <row r="274" spans="15:71" x14ac:dyDescent="0.2">
      <c r="O274" t="str">
        <f>IFERROR(INDEX(_courses_lookup!$C:$C,MATCH(K274&amp;L274,_courses_lookup!$E:$E,0)),"")</f>
        <v/>
      </c>
      <c r="P274" t="str">
        <f>IFERROR(INDEX(_courses_lookup!$D:$D,MATCH(K274&amp;L274,_courses_lookup!$E:$E,0)),"")</f>
        <v/>
      </c>
      <c r="AG274" t="str">
        <f t="shared" si="44"/>
        <v/>
      </c>
      <c r="AI274" t="str">
        <f t="shared" si="45"/>
        <v/>
      </c>
      <c r="AL274" t="str">
        <f t="shared" si="46"/>
        <v/>
      </c>
      <c r="AN274" t="str">
        <f t="shared" si="47"/>
        <v/>
      </c>
      <c r="AQ274" t="str">
        <f t="shared" si="48"/>
        <v/>
      </c>
      <c r="AR274" t="str">
        <f t="shared" si="49"/>
        <v/>
      </c>
      <c r="AS274" t="str">
        <f t="shared" si="50"/>
        <v/>
      </c>
      <c r="AT274" t="str">
        <f t="shared" si="51"/>
        <v/>
      </c>
      <c r="BG274" t="str">
        <f t="shared" si="52"/>
        <v/>
      </c>
      <c r="BH274" t="str">
        <f t="shared" si="53"/>
        <v/>
      </c>
      <c r="BL274" t="str">
        <f>IFERROR(INDEX(_names_lookup!$C:$C,MATCH(BK274,_names_lookup!$A:$A,0)),"")</f>
        <v/>
      </c>
      <c r="BM274" t="str">
        <f>IFERROR(INDEX(_names_lookup!$B:$B,MATCH(BK274,_names_lookup!$A:$A,0)),"")</f>
        <v/>
      </c>
      <c r="BS274" t="str">
        <f t="shared" si="54"/>
        <v/>
      </c>
    </row>
    <row r="275" spans="15:71" x14ac:dyDescent="0.2">
      <c r="O275" t="str">
        <f>IFERROR(INDEX(_courses_lookup!$C:$C,MATCH(K275&amp;L275,_courses_lookup!$E:$E,0)),"")</f>
        <v/>
      </c>
      <c r="P275" t="str">
        <f>IFERROR(INDEX(_courses_lookup!$D:$D,MATCH(K275&amp;L275,_courses_lookup!$E:$E,0)),"")</f>
        <v/>
      </c>
      <c r="AG275" t="str">
        <f t="shared" si="44"/>
        <v/>
      </c>
      <c r="AI275" t="str">
        <f t="shared" si="45"/>
        <v/>
      </c>
      <c r="AL275" t="str">
        <f t="shared" si="46"/>
        <v/>
      </c>
      <c r="AN275" t="str">
        <f t="shared" si="47"/>
        <v/>
      </c>
      <c r="AQ275" t="str">
        <f t="shared" si="48"/>
        <v/>
      </c>
      <c r="AR275" t="str">
        <f t="shared" si="49"/>
        <v/>
      </c>
      <c r="AS275" t="str">
        <f t="shared" si="50"/>
        <v/>
      </c>
      <c r="AT275" t="str">
        <f t="shared" si="51"/>
        <v/>
      </c>
      <c r="BG275" t="str">
        <f t="shared" si="52"/>
        <v/>
      </c>
      <c r="BH275" t="str">
        <f t="shared" si="53"/>
        <v/>
      </c>
      <c r="BL275" t="str">
        <f>IFERROR(INDEX(_names_lookup!$C:$C,MATCH(BK275,_names_lookup!$A:$A,0)),"")</f>
        <v/>
      </c>
      <c r="BM275" t="str">
        <f>IFERROR(INDEX(_names_lookup!$B:$B,MATCH(BK275,_names_lookup!$A:$A,0)),"")</f>
        <v/>
      </c>
      <c r="BS275" t="str">
        <f t="shared" si="54"/>
        <v/>
      </c>
    </row>
    <row r="276" spans="15:71" x14ac:dyDescent="0.2">
      <c r="O276" t="str">
        <f>IFERROR(INDEX(_courses_lookup!$C:$C,MATCH(K276&amp;L276,_courses_lookup!$E:$E,0)),"")</f>
        <v/>
      </c>
      <c r="P276" t="str">
        <f>IFERROR(INDEX(_courses_lookup!$D:$D,MATCH(K276&amp;L276,_courses_lookup!$E:$E,0)),"")</f>
        <v/>
      </c>
      <c r="AG276" t="str">
        <f t="shared" si="44"/>
        <v/>
      </c>
      <c r="AI276" t="str">
        <f t="shared" si="45"/>
        <v/>
      </c>
      <c r="AL276" t="str">
        <f t="shared" si="46"/>
        <v/>
      </c>
      <c r="AN276" t="str">
        <f t="shared" si="47"/>
        <v/>
      </c>
      <c r="AQ276" t="str">
        <f t="shared" si="48"/>
        <v/>
      </c>
      <c r="AR276" t="str">
        <f t="shared" si="49"/>
        <v/>
      </c>
      <c r="AS276" t="str">
        <f t="shared" si="50"/>
        <v/>
      </c>
      <c r="AT276" t="str">
        <f t="shared" si="51"/>
        <v/>
      </c>
      <c r="BG276" t="str">
        <f t="shared" si="52"/>
        <v/>
      </c>
      <c r="BH276" t="str">
        <f t="shared" si="53"/>
        <v/>
      </c>
      <c r="BL276" t="str">
        <f>IFERROR(INDEX(_names_lookup!$C:$C,MATCH(BK276,_names_lookup!$A:$A,0)),"")</f>
        <v/>
      </c>
      <c r="BM276" t="str">
        <f>IFERROR(INDEX(_names_lookup!$B:$B,MATCH(BK276,_names_lookup!$A:$A,0)),"")</f>
        <v/>
      </c>
      <c r="BS276" t="str">
        <f t="shared" si="54"/>
        <v/>
      </c>
    </row>
    <row r="277" spans="15:71" x14ac:dyDescent="0.2">
      <c r="O277" t="str">
        <f>IFERROR(INDEX(_courses_lookup!$C:$C,MATCH(K277&amp;L277,_courses_lookup!$E:$E,0)),"")</f>
        <v/>
      </c>
      <c r="P277" t="str">
        <f>IFERROR(INDEX(_courses_lookup!$D:$D,MATCH(K277&amp;L277,_courses_lookup!$E:$E,0)),"")</f>
        <v/>
      </c>
      <c r="AG277" t="str">
        <f t="shared" si="44"/>
        <v/>
      </c>
      <c r="AI277" t="str">
        <f t="shared" si="45"/>
        <v/>
      </c>
      <c r="AL277" t="str">
        <f t="shared" si="46"/>
        <v/>
      </c>
      <c r="AN277" t="str">
        <f t="shared" si="47"/>
        <v/>
      </c>
      <c r="AQ277" t="str">
        <f t="shared" si="48"/>
        <v/>
      </c>
      <c r="AR277" t="str">
        <f t="shared" si="49"/>
        <v/>
      </c>
      <c r="AS277" t="str">
        <f t="shared" si="50"/>
        <v/>
      </c>
      <c r="AT277" t="str">
        <f t="shared" si="51"/>
        <v/>
      </c>
      <c r="BG277" t="str">
        <f t="shared" si="52"/>
        <v/>
      </c>
      <c r="BH277" t="str">
        <f t="shared" si="53"/>
        <v/>
      </c>
      <c r="BL277" t="str">
        <f>IFERROR(INDEX(_names_lookup!$C:$C,MATCH(BK277,_names_lookup!$A:$A,0)),"")</f>
        <v/>
      </c>
      <c r="BM277" t="str">
        <f>IFERROR(INDEX(_names_lookup!$B:$B,MATCH(BK277,_names_lookup!$A:$A,0)),"")</f>
        <v/>
      </c>
      <c r="BS277" t="str">
        <f t="shared" si="54"/>
        <v/>
      </c>
    </row>
    <row r="278" spans="15:71" x14ac:dyDescent="0.2">
      <c r="O278" t="str">
        <f>IFERROR(INDEX(_courses_lookup!$C:$C,MATCH(K278&amp;L278,_courses_lookup!$E:$E,0)),"")</f>
        <v/>
      </c>
      <c r="P278" t="str">
        <f>IFERROR(INDEX(_courses_lookup!$D:$D,MATCH(K278&amp;L278,_courses_lookup!$E:$E,0)),"")</f>
        <v/>
      </c>
      <c r="AG278" t="str">
        <f t="shared" si="44"/>
        <v/>
      </c>
      <c r="AI278" t="str">
        <f t="shared" si="45"/>
        <v/>
      </c>
      <c r="AL278" t="str">
        <f t="shared" si="46"/>
        <v/>
      </c>
      <c r="AN278" t="str">
        <f t="shared" si="47"/>
        <v/>
      </c>
      <c r="AQ278" t="str">
        <f t="shared" si="48"/>
        <v/>
      </c>
      <c r="AR278" t="str">
        <f t="shared" si="49"/>
        <v/>
      </c>
      <c r="AS278" t="str">
        <f t="shared" si="50"/>
        <v/>
      </c>
      <c r="AT278" t="str">
        <f t="shared" si="51"/>
        <v/>
      </c>
      <c r="BG278" t="str">
        <f t="shared" si="52"/>
        <v/>
      </c>
      <c r="BH278" t="str">
        <f t="shared" si="53"/>
        <v/>
      </c>
      <c r="BL278" t="str">
        <f>IFERROR(INDEX(_names_lookup!$C:$C,MATCH(BK278,_names_lookup!$A:$A,0)),"")</f>
        <v/>
      </c>
      <c r="BM278" t="str">
        <f>IFERROR(INDEX(_names_lookup!$B:$B,MATCH(BK278,_names_lookup!$A:$A,0)),"")</f>
        <v/>
      </c>
      <c r="BS278" t="str">
        <f t="shared" si="54"/>
        <v/>
      </c>
    </row>
    <row r="279" spans="15:71" x14ac:dyDescent="0.2">
      <c r="O279" t="str">
        <f>IFERROR(INDEX(_courses_lookup!$C:$C,MATCH(K279&amp;L279,_courses_lookup!$E:$E,0)),"")</f>
        <v/>
      </c>
      <c r="P279" t="str">
        <f>IFERROR(INDEX(_courses_lookup!$D:$D,MATCH(K279&amp;L279,_courses_lookup!$E:$E,0)),"")</f>
        <v/>
      </c>
      <c r="AG279" t="str">
        <f t="shared" si="44"/>
        <v/>
      </c>
      <c r="AI279" t="str">
        <f t="shared" si="45"/>
        <v/>
      </c>
      <c r="AL279" t="str">
        <f t="shared" si="46"/>
        <v/>
      </c>
      <c r="AN279" t="str">
        <f t="shared" si="47"/>
        <v/>
      </c>
      <c r="AQ279" t="str">
        <f t="shared" si="48"/>
        <v/>
      </c>
      <c r="AR279" t="str">
        <f t="shared" si="49"/>
        <v/>
      </c>
      <c r="AS279" t="str">
        <f t="shared" si="50"/>
        <v/>
      </c>
      <c r="AT279" t="str">
        <f t="shared" si="51"/>
        <v/>
      </c>
      <c r="BG279" t="str">
        <f t="shared" si="52"/>
        <v/>
      </c>
      <c r="BH279" t="str">
        <f t="shared" si="53"/>
        <v/>
      </c>
      <c r="BL279" t="str">
        <f>IFERROR(INDEX(_names_lookup!$C:$C,MATCH(BK279,_names_lookup!$A:$A,0)),"")</f>
        <v/>
      </c>
      <c r="BM279" t="str">
        <f>IFERROR(INDEX(_names_lookup!$B:$B,MATCH(BK279,_names_lookup!$A:$A,0)),"")</f>
        <v/>
      </c>
      <c r="BS279" t="str">
        <f t="shared" si="54"/>
        <v/>
      </c>
    </row>
    <row r="280" spans="15:71" x14ac:dyDescent="0.2">
      <c r="O280" t="str">
        <f>IFERROR(INDEX(_courses_lookup!$C:$C,MATCH(K280&amp;L280,_courses_lookup!$E:$E,0)),"")</f>
        <v/>
      </c>
      <c r="P280" t="str">
        <f>IFERROR(INDEX(_courses_lookup!$D:$D,MATCH(K280&amp;L280,_courses_lookup!$E:$E,0)),"")</f>
        <v/>
      </c>
      <c r="AG280" t="str">
        <f t="shared" si="44"/>
        <v/>
      </c>
      <c r="AI280" t="str">
        <f t="shared" si="45"/>
        <v/>
      </c>
      <c r="AL280" t="str">
        <f t="shared" si="46"/>
        <v/>
      </c>
      <c r="AN280" t="str">
        <f t="shared" si="47"/>
        <v/>
      </c>
      <c r="AQ280" t="str">
        <f t="shared" si="48"/>
        <v/>
      </c>
      <c r="AR280" t="str">
        <f t="shared" si="49"/>
        <v/>
      </c>
      <c r="AS280" t="str">
        <f t="shared" si="50"/>
        <v/>
      </c>
      <c r="AT280" t="str">
        <f t="shared" si="51"/>
        <v/>
      </c>
      <c r="BG280" t="str">
        <f t="shared" si="52"/>
        <v/>
      </c>
      <c r="BH280" t="str">
        <f t="shared" si="53"/>
        <v/>
      </c>
      <c r="BL280" t="str">
        <f>IFERROR(INDEX(_names_lookup!$C:$C,MATCH(BK280,_names_lookup!$A:$A,0)),"")</f>
        <v/>
      </c>
      <c r="BM280" t="str">
        <f>IFERROR(INDEX(_names_lookup!$B:$B,MATCH(BK280,_names_lookup!$A:$A,0)),"")</f>
        <v/>
      </c>
      <c r="BS280" t="str">
        <f t="shared" si="54"/>
        <v/>
      </c>
    </row>
    <row r="281" spans="15:71" x14ac:dyDescent="0.2">
      <c r="O281" t="str">
        <f>IFERROR(INDEX(_courses_lookup!$C:$C,MATCH(K281&amp;L281,_courses_lookup!$E:$E,0)),"")</f>
        <v/>
      </c>
      <c r="P281" t="str">
        <f>IFERROR(INDEX(_courses_lookup!$D:$D,MATCH(K281&amp;L281,_courses_lookup!$E:$E,0)),"")</f>
        <v/>
      </c>
      <c r="AG281" t="str">
        <f t="shared" si="44"/>
        <v/>
      </c>
      <c r="AI281" t="str">
        <f t="shared" si="45"/>
        <v/>
      </c>
      <c r="AL281" t="str">
        <f t="shared" si="46"/>
        <v/>
      </c>
      <c r="AN281" t="str">
        <f t="shared" si="47"/>
        <v/>
      </c>
      <c r="AQ281" t="str">
        <f t="shared" si="48"/>
        <v/>
      </c>
      <c r="AR281" t="str">
        <f t="shared" si="49"/>
        <v/>
      </c>
      <c r="AS281" t="str">
        <f t="shared" si="50"/>
        <v/>
      </c>
      <c r="AT281" t="str">
        <f t="shared" si="51"/>
        <v/>
      </c>
      <c r="BG281" t="str">
        <f t="shared" si="52"/>
        <v/>
      </c>
      <c r="BH281" t="str">
        <f t="shared" si="53"/>
        <v/>
      </c>
      <c r="BL281" t="str">
        <f>IFERROR(INDEX(_names_lookup!$C:$C,MATCH(BK281,_names_lookup!$A:$A,0)),"")</f>
        <v/>
      </c>
      <c r="BM281" t="str">
        <f>IFERROR(INDEX(_names_lookup!$B:$B,MATCH(BK281,_names_lookup!$A:$A,0)),"")</f>
        <v/>
      </c>
      <c r="BS281" t="str">
        <f t="shared" si="54"/>
        <v/>
      </c>
    </row>
    <row r="282" spans="15:71" x14ac:dyDescent="0.2">
      <c r="O282" t="str">
        <f>IFERROR(INDEX(_courses_lookup!$C:$C,MATCH(K282&amp;L282,_courses_lookup!$E:$E,0)),"")</f>
        <v/>
      </c>
      <c r="P282" t="str">
        <f>IFERROR(INDEX(_courses_lookup!$D:$D,MATCH(K282&amp;L282,_courses_lookup!$E:$E,0)),"")</f>
        <v/>
      </c>
      <c r="AG282" t="str">
        <f t="shared" si="44"/>
        <v/>
      </c>
      <c r="AI282" t="str">
        <f t="shared" si="45"/>
        <v/>
      </c>
      <c r="AL282" t="str">
        <f t="shared" si="46"/>
        <v/>
      </c>
      <c r="AN282" t="str">
        <f t="shared" si="47"/>
        <v/>
      </c>
      <c r="AQ282" t="str">
        <f t="shared" si="48"/>
        <v/>
      </c>
      <c r="AR282" t="str">
        <f t="shared" si="49"/>
        <v/>
      </c>
      <c r="AS282" t="str">
        <f t="shared" si="50"/>
        <v/>
      </c>
      <c r="AT282" t="str">
        <f t="shared" si="51"/>
        <v/>
      </c>
      <c r="BG282" t="str">
        <f t="shared" si="52"/>
        <v/>
      </c>
      <c r="BH282" t="str">
        <f t="shared" si="53"/>
        <v/>
      </c>
      <c r="BL282" t="str">
        <f>IFERROR(INDEX(_names_lookup!$C:$C,MATCH(BK282,_names_lookup!$A:$A,0)),"")</f>
        <v/>
      </c>
      <c r="BM282" t="str">
        <f>IFERROR(INDEX(_names_lookup!$B:$B,MATCH(BK282,_names_lookup!$A:$A,0)),"")</f>
        <v/>
      </c>
      <c r="BS282" t="str">
        <f t="shared" si="54"/>
        <v/>
      </c>
    </row>
    <row r="283" spans="15:71" x14ac:dyDescent="0.2">
      <c r="O283" t="str">
        <f>IFERROR(INDEX(_courses_lookup!$C:$C,MATCH(K283&amp;L283,_courses_lookup!$E:$E,0)),"")</f>
        <v/>
      </c>
      <c r="P283" t="str">
        <f>IFERROR(INDEX(_courses_lookup!$D:$D,MATCH(K283&amp;L283,_courses_lookup!$E:$E,0)),"")</f>
        <v/>
      </c>
      <c r="AG283" t="str">
        <f t="shared" si="44"/>
        <v/>
      </c>
      <c r="AI283" t="str">
        <f t="shared" si="45"/>
        <v/>
      </c>
      <c r="AL283" t="str">
        <f t="shared" si="46"/>
        <v/>
      </c>
      <c r="AN283" t="str">
        <f t="shared" si="47"/>
        <v/>
      </c>
      <c r="AQ283" t="str">
        <f t="shared" si="48"/>
        <v/>
      </c>
      <c r="AR283" t="str">
        <f t="shared" si="49"/>
        <v/>
      </c>
      <c r="AS283" t="str">
        <f t="shared" si="50"/>
        <v/>
      </c>
      <c r="AT283" t="str">
        <f t="shared" si="51"/>
        <v/>
      </c>
      <c r="BG283" t="str">
        <f t="shared" si="52"/>
        <v/>
      </c>
      <c r="BH283" t="str">
        <f t="shared" si="53"/>
        <v/>
      </c>
      <c r="BL283" t="str">
        <f>IFERROR(INDEX(_names_lookup!$C:$C,MATCH(BK283,_names_lookup!$A:$A,0)),"")</f>
        <v/>
      </c>
      <c r="BM283" t="str">
        <f>IFERROR(INDEX(_names_lookup!$B:$B,MATCH(BK283,_names_lookup!$A:$A,0)),"")</f>
        <v/>
      </c>
      <c r="BS283" t="str">
        <f t="shared" si="54"/>
        <v/>
      </c>
    </row>
    <row r="284" spans="15:71" x14ac:dyDescent="0.2">
      <c r="O284" t="str">
        <f>IFERROR(INDEX(_courses_lookup!$C:$C,MATCH(K284&amp;L284,_courses_lookup!$E:$E,0)),"")</f>
        <v/>
      </c>
      <c r="P284" t="str">
        <f>IFERROR(INDEX(_courses_lookup!$D:$D,MATCH(K284&amp;L284,_courses_lookup!$E:$E,0)),"")</f>
        <v/>
      </c>
      <c r="AG284" t="str">
        <f t="shared" si="44"/>
        <v/>
      </c>
      <c r="AI284" t="str">
        <f t="shared" si="45"/>
        <v/>
      </c>
      <c r="AL284" t="str">
        <f t="shared" si="46"/>
        <v/>
      </c>
      <c r="AN284" t="str">
        <f t="shared" si="47"/>
        <v/>
      </c>
      <c r="AQ284" t="str">
        <f t="shared" si="48"/>
        <v/>
      </c>
      <c r="AR284" t="str">
        <f t="shared" si="49"/>
        <v/>
      </c>
      <c r="AS284" t="str">
        <f t="shared" si="50"/>
        <v/>
      </c>
      <c r="AT284" t="str">
        <f t="shared" si="51"/>
        <v/>
      </c>
      <c r="BG284" t="str">
        <f t="shared" si="52"/>
        <v/>
      </c>
      <c r="BH284" t="str">
        <f t="shared" si="53"/>
        <v/>
      </c>
      <c r="BL284" t="str">
        <f>IFERROR(INDEX(_names_lookup!$C:$C,MATCH(BK284,_names_lookup!$A:$A,0)),"")</f>
        <v/>
      </c>
      <c r="BM284" t="str">
        <f>IFERROR(INDEX(_names_lookup!$B:$B,MATCH(BK284,_names_lookup!$A:$A,0)),"")</f>
        <v/>
      </c>
      <c r="BS284" t="str">
        <f t="shared" si="54"/>
        <v/>
      </c>
    </row>
    <row r="285" spans="15:71" x14ac:dyDescent="0.2">
      <c r="O285" t="str">
        <f>IFERROR(INDEX(_courses_lookup!$C:$C,MATCH(K285&amp;L285,_courses_lookup!$E:$E,0)),"")</f>
        <v/>
      </c>
      <c r="P285" t="str">
        <f>IFERROR(INDEX(_courses_lookup!$D:$D,MATCH(K285&amp;L285,_courses_lookup!$E:$E,0)),"")</f>
        <v/>
      </c>
      <c r="AG285" t="str">
        <f t="shared" si="44"/>
        <v/>
      </c>
      <c r="AI285" t="str">
        <f t="shared" si="45"/>
        <v/>
      </c>
      <c r="AL285" t="str">
        <f t="shared" si="46"/>
        <v/>
      </c>
      <c r="AN285" t="str">
        <f t="shared" si="47"/>
        <v/>
      </c>
      <c r="AQ285" t="str">
        <f t="shared" si="48"/>
        <v/>
      </c>
      <c r="AR285" t="str">
        <f t="shared" si="49"/>
        <v/>
      </c>
      <c r="AS285" t="str">
        <f t="shared" si="50"/>
        <v/>
      </c>
      <c r="AT285" t="str">
        <f t="shared" si="51"/>
        <v/>
      </c>
      <c r="BG285" t="str">
        <f t="shared" si="52"/>
        <v/>
      </c>
      <c r="BH285" t="str">
        <f t="shared" si="53"/>
        <v/>
      </c>
      <c r="BL285" t="str">
        <f>IFERROR(INDEX(_names_lookup!$C:$C,MATCH(BK285,_names_lookup!$A:$A,0)),"")</f>
        <v/>
      </c>
      <c r="BM285" t="str">
        <f>IFERROR(INDEX(_names_lookup!$B:$B,MATCH(BK285,_names_lookup!$A:$A,0)),"")</f>
        <v/>
      </c>
      <c r="BS285" t="str">
        <f t="shared" si="54"/>
        <v/>
      </c>
    </row>
    <row r="286" spans="15:71" x14ac:dyDescent="0.2">
      <c r="O286" t="str">
        <f>IFERROR(INDEX(_courses_lookup!$C:$C,MATCH(K286&amp;L286,_courses_lookup!$E:$E,0)),"")</f>
        <v/>
      </c>
      <c r="P286" t="str">
        <f>IFERROR(INDEX(_courses_lookup!$D:$D,MATCH(K286&amp;L286,_courses_lookup!$E:$E,0)),"")</f>
        <v/>
      </c>
      <c r="AG286" t="str">
        <f t="shared" si="44"/>
        <v/>
      </c>
      <c r="AI286" t="str">
        <f t="shared" si="45"/>
        <v/>
      </c>
      <c r="AL286" t="str">
        <f t="shared" si="46"/>
        <v/>
      </c>
      <c r="AN286" t="str">
        <f t="shared" si="47"/>
        <v/>
      </c>
      <c r="AQ286" t="str">
        <f t="shared" si="48"/>
        <v/>
      </c>
      <c r="AR286" t="str">
        <f t="shared" si="49"/>
        <v/>
      </c>
      <c r="AS286" t="str">
        <f t="shared" si="50"/>
        <v/>
      </c>
      <c r="AT286" t="str">
        <f t="shared" si="51"/>
        <v/>
      </c>
      <c r="BG286" t="str">
        <f t="shared" si="52"/>
        <v/>
      </c>
      <c r="BH286" t="str">
        <f t="shared" si="53"/>
        <v/>
      </c>
      <c r="BL286" t="str">
        <f>IFERROR(INDEX(_names_lookup!$C:$C,MATCH(BK286,_names_lookup!$A:$A,0)),"")</f>
        <v/>
      </c>
      <c r="BM286" t="str">
        <f>IFERROR(INDEX(_names_lookup!$B:$B,MATCH(BK286,_names_lookup!$A:$A,0)),"")</f>
        <v/>
      </c>
      <c r="BS286" t="str">
        <f t="shared" si="54"/>
        <v/>
      </c>
    </row>
    <row r="287" spans="15:71" x14ac:dyDescent="0.2">
      <c r="O287" t="str">
        <f>IFERROR(INDEX(_courses_lookup!$C:$C,MATCH(K287&amp;L287,_courses_lookup!$E:$E,0)),"")</f>
        <v/>
      </c>
      <c r="P287" t="str">
        <f>IFERROR(INDEX(_courses_lookup!$D:$D,MATCH(K287&amp;L287,_courses_lookup!$E:$E,0)),"")</f>
        <v/>
      </c>
      <c r="AG287" t="str">
        <f t="shared" si="44"/>
        <v/>
      </c>
      <c r="AI287" t="str">
        <f t="shared" si="45"/>
        <v/>
      </c>
      <c r="AL287" t="str">
        <f t="shared" si="46"/>
        <v/>
      </c>
      <c r="AN287" t="str">
        <f t="shared" si="47"/>
        <v/>
      </c>
      <c r="AQ287" t="str">
        <f t="shared" si="48"/>
        <v/>
      </c>
      <c r="AR287" t="str">
        <f t="shared" si="49"/>
        <v/>
      </c>
      <c r="AS287" t="str">
        <f t="shared" si="50"/>
        <v/>
      </c>
      <c r="AT287" t="str">
        <f t="shared" si="51"/>
        <v/>
      </c>
      <c r="BG287" t="str">
        <f t="shared" si="52"/>
        <v/>
      </c>
      <c r="BH287" t="str">
        <f t="shared" si="53"/>
        <v/>
      </c>
      <c r="BL287" t="str">
        <f>IFERROR(INDEX(_names_lookup!$C:$C,MATCH(BK287,_names_lookup!$A:$A,0)),"")</f>
        <v/>
      </c>
      <c r="BM287" t="str">
        <f>IFERROR(INDEX(_names_lookup!$B:$B,MATCH(BK287,_names_lookup!$A:$A,0)),"")</f>
        <v/>
      </c>
      <c r="BS287" t="str">
        <f t="shared" si="54"/>
        <v/>
      </c>
    </row>
    <row r="288" spans="15:71" x14ac:dyDescent="0.2">
      <c r="O288" t="str">
        <f>IFERROR(INDEX(_courses_lookup!$C:$C,MATCH(K288&amp;L288,_courses_lookup!$E:$E,0)),"")</f>
        <v/>
      </c>
      <c r="P288" t="str">
        <f>IFERROR(INDEX(_courses_lookup!$D:$D,MATCH(K288&amp;L288,_courses_lookup!$E:$E,0)),"")</f>
        <v/>
      </c>
      <c r="AG288" t="str">
        <f t="shared" si="44"/>
        <v/>
      </c>
      <c r="AI288" t="str">
        <f t="shared" si="45"/>
        <v/>
      </c>
      <c r="AL288" t="str">
        <f t="shared" si="46"/>
        <v/>
      </c>
      <c r="AN288" t="str">
        <f t="shared" si="47"/>
        <v/>
      </c>
      <c r="AQ288" t="str">
        <f t="shared" si="48"/>
        <v/>
      </c>
      <c r="AR288" t="str">
        <f t="shared" si="49"/>
        <v/>
      </c>
      <c r="AS288" t="str">
        <f t="shared" si="50"/>
        <v/>
      </c>
      <c r="AT288" t="str">
        <f t="shared" si="51"/>
        <v/>
      </c>
      <c r="BG288" t="str">
        <f t="shared" si="52"/>
        <v/>
      </c>
      <c r="BH288" t="str">
        <f t="shared" si="53"/>
        <v/>
      </c>
      <c r="BL288" t="str">
        <f>IFERROR(INDEX(_names_lookup!$C:$C,MATCH(BK288,_names_lookup!$A:$A,0)),"")</f>
        <v/>
      </c>
      <c r="BM288" t="str">
        <f>IFERROR(INDEX(_names_lookup!$B:$B,MATCH(BK288,_names_lookup!$A:$A,0)),"")</f>
        <v/>
      </c>
      <c r="BS288" t="str">
        <f t="shared" si="54"/>
        <v/>
      </c>
    </row>
    <row r="289" spans="15:71" x14ac:dyDescent="0.2">
      <c r="O289" t="str">
        <f>IFERROR(INDEX(_courses_lookup!$C:$C,MATCH(K289&amp;L289,_courses_lookup!$E:$E,0)),"")</f>
        <v/>
      </c>
      <c r="P289" t="str">
        <f>IFERROR(INDEX(_courses_lookup!$D:$D,MATCH(K289&amp;L289,_courses_lookup!$E:$E,0)),"")</f>
        <v/>
      </c>
      <c r="AG289" t="str">
        <f t="shared" si="44"/>
        <v/>
      </c>
      <c r="AI289" t="str">
        <f t="shared" si="45"/>
        <v/>
      </c>
      <c r="AL289" t="str">
        <f t="shared" si="46"/>
        <v/>
      </c>
      <c r="AN289" t="str">
        <f t="shared" si="47"/>
        <v/>
      </c>
      <c r="AQ289" t="str">
        <f t="shared" si="48"/>
        <v/>
      </c>
      <c r="AR289" t="str">
        <f t="shared" si="49"/>
        <v/>
      </c>
      <c r="AS289" t="str">
        <f t="shared" si="50"/>
        <v/>
      </c>
      <c r="AT289" t="str">
        <f t="shared" si="51"/>
        <v/>
      </c>
      <c r="BG289" t="str">
        <f t="shared" si="52"/>
        <v/>
      </c>
      <c r="BH289" t="str">
        <f t="shared" si="53"/>
        <v/>
      </c>
      <c r="BL289" t="str">
        <f>IFERROR(INDEX(_names_lookup!$C:$C,MATCH(BK289,_names_lookup!$A:$A,0)),"")</f>
        <v/>
      </c>
      <c r="BM289" t="str">
        <f>IFERROR(INDEX(_names_lookup!$B:$B,MATCH(BK289,_names_lookup!$A:$A,0)),"")</f>
        <v/>
      </c>
      <c r="BS289" t="str">
        <f t="shared" si="54"/>
        <v/>
      </c>
    </row>
    <row r="290" spans="15:71" x14ac:dyDescent="0.2">
      <c r="O290" t="str">
        <f>IFERROR(INDEX(_courses_lookup!$C:$C,MATCH(K290&amp;L290,_courses_lookup!$E:$E,0)),"")</f>
        <v/>
      </c>
      <c r="P290" t="str">
        <f>IFERROR(INDEX(_courses_lookup!$D:$D,MATCH(K290&amp;L290,_courses_lookup!$E:$E,0)),"")</f>
        <v/>
      </c>
      <c r="AG290" t="str">
        <f t="shared" si="44"/>
        <v/>
      </c>
      <c r="AI290" t="str">
        <f t="shared" si="45"/>
        <v/>
      </c>
      <c r="AL290" t="str">
        <f t="shared" si="46"/>
        <v/>
      </c>
      <c r="AN290" t="str">
        <f t="shared" si="47"/>
        <v/>
      </c>
      <c r="AQ290" t="str">
        <f t="shared" si="48"/>
        <v/>
      </c>
      <c r="AR290" t="str">
        <f t="shared" si="49"/>
        <v/>
      </c>
      <c r="AS290" t="str">
        <f t="shared" si="50"/>
        <v/>
      </c>
      <c r="AT290" t="str">
        <f t="shared" si="51"/>
        <v/>
      </c>
      <c r="BG290" t="str">
        <f t="shared" si="52"/>
        <v/>
      </c>
      <c r="BH290" t="str">
        <f t="shared" si="53"/>
        <v/>
      </c>
      <c r="BL290" t="str">
        <f>IFERROR(INDEX(_names_lookup!$C:$C,MATCH(BK290,_names_lookup!$A:$A,0)),"")</f>
        <v/>
      </c>
      <c r="BM290" t="str">
        <f>IFERROR(INDEX(_names_lookup!$B:$B,MATCH(BK290,_names_lookup!$A:$A,0)),"")</f>
        <v/>
      </c>
      <c r="BS290" t="str">
        <f t="shared" si="54"/>
        <v/>
      </c>
    </row>
    <row r="291" spans="15:71" x14ac:dyDescent="0.2">
      <c r="O291" t="str">
        <f>IFERROR(INDEX(_courses_lookup!$C:$C,MATCH(K291&amp;L291,_courses_lookup!$E:$E,0)),"")</f>
        <v/>
      </c>
      <c r="P291" t="str">
        <f>IFERROR(INDEX(_courses_lookup!$D:$D,MATCH(K291&amp;L291,_courses_lookup!$E:$E,0)),"")</f>
        <v/>
      </c>
      <c r="AG291" t="str">
        <f t="shared" si="44"/>
        <v/>
      </c>
      <c r="AI291" t="str">
        <f t="shared" si="45"/>
        <v/>
      </c>
      <c r="AL291" t="str">
        <f t="shared" si="46"/>
        <v/>
      </c>
      <c r="AN291" t="str">
        <f t="shared" si="47"/>
        <v/>
      </c>
      <c r="AQ291" t="str">
        <f t="shared" si="48"/>
        <v/>
      </c>
      <c r="AR291" t="str">
        <f t="shared" si="49"/>
        <v/>
      </c>
      <c r="AS291" t="str">
        <f t="shared" si="50"/>
        <v/>
      </c>
      <c r="AT291" t="str">
        <f t="shared" si="51"/>
        <v/>
      </c>
      <c r="BG291" t="str">
        <f t="shared" si="52"/>
        <v/>
      </c>
      <c r="BH291" t="str">
        <f t="shared" si="53"/>
        <v/>
      </c>
      <c r="BL291" t="str">
        <f>IFERROR(INDEX(_names_lookup!$C:$C,MATCH(BK291,_names_lookup!$A:$A,0)),"")</f>
        <v/>
      </c>
      <c r="BM291" t="str">
        <f>IFERROR(INDEX(_names_lookup!$B:$B,MATCH(BK291,_names_lookup!$A:$A,0)),"")</f>
        <v/>
      </c>
      <c r="BS291" t="str">
        <f t="shared" si="54"/>
        <v/>
      </c>
    </row>
    <row r="292" spans="15:71" x14ac:dyDescent="0.2">
      <c r="O292" t="str">
        <f>IFERROR(INDEX(_courses_lookup!$C:$C,MATCH(K292&amp;L292,_courses_lookup!$E:$E,0)),"")</f>
        <v/>
      </c>
      <c r="P292" t="str">
        <f>IFERROR(INDEX(_courses_lookup!$D:$D,MATCH(K292&amp;L292,_courses_lookup!$E:$E,0)),"")</f>
        <v/>
      </c>
      <c r="AG292" t="str">
        <f t="shared" si="44"/>
        <v/>
      </c>
      <c r="AI292" t="str">
        <f t="shared" si="45"/>
        <v/>
      </c>
      <c r="AL292" t="str">
        <f t="shared" si="46"/>
        <v/>
      </c>
      <c r="AN292" t="str">
        <f t="shared" si="47"/>
        <v/>
      </c>
      <c r="AQ292" t="str">
        <f t="shared" si="48"/>
        <v/>
      </c>
      <c r="AR292" t="str">
        <f t="shared" si="49"/>
        <v/>
      </c>
      <c r="AS292" t="str">
        <f t="shared" si="50"/>
        <v/>
      </c>
      <c r="AT292" t="str">
        <f t="shared" si="51"/>
        <v/>
      </c>
      <c r="BG292" t="str">
        <f t="shared" si="52"/>
        <v/>
      </c>
      <c r="BH292" t="str">
        <f t="shared" si="53"/>
        <v/>
      </c>
      <c r="BL292" t="str">
        <f>IFERROR(INDEX(_names_lookup!$C:$C,MATCH(BK292,_names_lookup!$A:$A,0)),"")</f>
        <v/>
      </c>
      <c r="BM292" t="str">
        <f>IFERROR(INDEX(_names_lookup!$B:$B,MATCH(BK292,_names_lookup!$A:$A,0)),"")</f>
        <v/>
      </c>
      <c r="BS292" t="str">
        <f t="shared" si="54"/>
        <v/>
      </c>
    </row>
    <row r="293" spans="15:71" x14ac:dyDescent="0.2">
      <c r="O293" t="str">
        <f>IFERROR(INDEX(_courses_lookup!$C:$C,MATCH(K293&amp;L293,_courses_lookup!$E:$E,0)),"")</f>
        <v/>
      </c>
      <c r="P293" t="str">
        <f>IFERROR(INDEX(_courses_lookup!$D:$D,MATCH(K293&amp;L293,_courses_lookup!$E:$E,0)),"")</f>
        <v/>
      </c>
      <c r="AG293" t="str">
        <f t="shared" si="44"/>
        <v/>
      </c>
      <c r="AI293" t="str">
        <f t="shared" si="45"/>
        <v/>
      </c>
      <c r="AL293" t="str">
        <f t="shared" si="46"/>
        <v/>
      </c>
      <c r="AN293" t="str">
        <f t="shared" si="47"/>
        <v/>
      </c>
      <c r="AQ293" t="str">
        <f t="shared" si="48"/>
        <v/>
      </c>
      <c r="AR293" t="str">
        <f t="shared" si="49"/>
        <v/>
      </c>
      <c r="AS293" t="str">
        <f t="shared" si="50"/>
        <v/>
      </c>
      <c r="AT293" t="str">
        <f t="shared" si="51"/>
        <v/>
      </c>
      <c r="BG293" t="str">
        <f t="shared" si="52"/>
        <v/>
      </c>
      <c r="BH293" t="str">
        <f t="shared" si="53"/>
        <v/>
      </c>
      <c r="BL293" t="str">
        <f>IFERROR(INDEX(_names_lookup!$C:$C,MATCH(BK293,_names_lookup!$A:$A,0)),"")</f>
        <v/>
      </c>
      <c r="BM293" t="str">
        <f>IFERROR(INDEX(_names_lookup!$B:$B,MATCH(BK293,_names_lookup!$A:$A,0)),"")</f>
        <v/>
      </c>
      <c r="BS293" t="str">
        <f t="shared" si="54"/>
        <v/>
      </c>
    </row>
    <row r="294" spans="15:71" x14ac:dyDescent="0.2">
      <c r="O294" t="str">
        <f>IFERROR(INDEX(_courses_lookup!$C:$C,MATCH(K294&amp;L294,_courses_lookup!$E:$E,0)),"")</f>
        <v/>
      </c>
      <c r="P294" t="str">
        <f>IFERROR(INDEX(_courses_lookup!$D:$D,MATCH(K294&amp;L294,_courses_lookup!$E:$E,0)),"")</f>
        <v/>
      </c>
      <c r="AG294" t="str">
        <f t="shared" si="44"/>
        <v/>
      </c>
      <c r="AI294" t="str">
        <f t="shared" si="45"/>
        <v/>
      </c>
      <c r="AL294" t="str">
        <f t="shared" si="46"/>
        <v/>
      </c>
      <c r="AN294" t="str">
        <f t="shared" si="47"/>
        <v/>
      </c>
      <c r="AQ294" t="str">
        <f t="shared" si="48"/>
        <v/>
      </c>
      <c r="AR294" t="str">
        <f t="shared" si="49"/>
        <v/>
      </c>
      <c r="AS294" t="str">
        <f t="shared" si="50"/>
        <v/>
      </c>
      <c r="AT294" t="str">
        <f t="shared" si="51"/>
        <v/>
      </c>
      <c r="BG294" t="str">
        <f t="shared" si="52"/>
        <v/>
      </c>
      <c r="BH294" t="str">
        <f t="shared" si="53"/>
        <v/>
      </c>
      <c r="BL294" t="str">
        <f>IFERROR(INDEX(_names_lookup!$C:$C,MATCH(BK294,_names_lookup!$A:$A,0)),"")</f>
        <v/>
      </c>
      <c r="BM294" t="str">
        <f>IFERROR(INDEX(_names_lookup!$B:$B,MATCH(BK294,_names_lookup!$A:$A,0)),"")</f>
        <v/>
      </c>
      <c r="BS294" t="str">
        <f t="shared" si="54"/>
        <v/>
      </c>
    </row>
    <row r="295" spans="15:71" x14ac:dyDescent="0.2">
      <c r="O295" t="str">
        <f>IFERROR(INDEX(_courses_lookup!$C:$C,MATCH(K295&amp;L295,_courses_lookup!$E:$E,0)),"")</f>
        <v/>
      </c>
      <c r="P295" t="str">
        <f>IFERROR(INDEX(_courses_lookup!$D:$D,MATCH(K295&amp;L295,_courses_lookup!$E:$E,0)),"")</f>
        <v/>
      </c>
      <c r="AG295" t="str">
        <f t="shared" si="44"/>
        <v/>
      </c>
      <c r="AI295" t="str">
        <f t="shared" si="45"/>
        <v/>
      </c>
      <c r="AL295" t="str">
        <f t="shared" si="46"/>
        <v/>
      </c>
      <c r="AN295" t="str">
        <f t="shared" si="47"/>
        <v/>
      </c>
      <c r="AQ295" t="str">
        <f t="shared" si="48"/>
        <v/>
      </c>
      <c r="AR295" t="str">
        <f t="shared" si="49"/>
        <v/>
      </c>
      <c r="AS295" t="str">
        <f t="shared" si="50"/>
        <v/>
      </c>
      <c r="AT295" t="str">
        <f t="shared" si="51"/>
        <v/>
      </c>
      <c r="BG295" t="str">
        <f t="shared" si="52"/>
        <v/>
      </c>
      <c r="BH295" t="str">
        <f t="shared" si="53"/>
        <v/>
      </c>
      <c r="BL295" t="str">
        <f>IFERROR(INDEX(_names_lookup!$C:$C,MATCH(BK295,_names_lookup!$A:$A,0)),"")</f>
        <v/>
      </c>
      <c r="BM295" t="str">
        <f>IFERROR(INDEX(_names_lookup!$B:$B,MATCH(BK295,_names_lookup!$A:$A,0)),"")</f>
        <v/>
      </c>
      <c r="BS295" t="str">
        <f t="shared" si="54"/>
        <v/>
      </c>
    </row>
    <row r="296" spans="15:71" x14ac:dyDescent="0.2">
      <c r="O296" t="str">
        <f>IFERROR(INDEX(_courses_lookup!$C:$C,MATCH(K296&amp;L296,_courses_lookup!$E:$E,0)),"")</f>
        <v/>
      </c>
      <c r="P296" t="str">
        <f>IFERROR(INDEX(_courses_lookup!$D:$D,MATCH(K296&amp;L296,_courses_lookup!$E:$E,0)),"")</f>
        <v/>
      </c>
      <c r="AG296" t="str">
        <f t="shared" si="44"/>
        <v/>
      </c>
      <c r="AI296" t="str">
        <f t="shared" si="45"/>
        <v/>
      </c>
      <c r="AL296" t="str">
        <f t="shared" si="46"/>
        <v/>
      </c>
      <c r="AN296" t="str">
        <f t="shared" si="47"/>
        <v/>
      </c>
      <c r="AQ296" t="str">
        <f t="shared" si="48"/>
        <v/>
      </c>
      <c r="AR296" t="str">
        <f t="shared" si="49"/>
        <v/>
      </c>
      <c r="AS296" t="str">
        <f t="shared" si="50"/>
        <v/>
      </c>
      <c r="AT296" t="str">
        <f t="shared" si="51"/>
        <v/>
      </c>
      <c r="BG296" t="str">
        <f t="shared" si="52"/>
        <v/>
      </c>
      <c r="BH296" t="str">
        <f t="shared" si="53"/>
        <v/>
      </c>
      <c r="BL296" t="str">
        <f>IFERROR(INDEX(_names_lookup!$C:$C,MATCH(BK296,_names_lookup!$A:$A,0)),"")</f>
        <v/>
      </c>
      <c r="BM296" t="str">
        <f>IFERROR(INDEX(_names_lookup!$B:$B,MATCH(BK296,_names_lookup!$A:$A,0)),"")</f>
        <v/>
      </c>
      <c r="BS296" t="str">
        <f t="shared" si="54"/>
        <v/>
      </c>
    </row>
    <row r="297" spans="15:71" x14ac:dyDescent="0.2">
      <c r="O297" t="str">
        <f>IFERROR(INDEX(_courses_lookup!$C:$C,MATCH(K297&amp;L297,_courses_lookup!$E:$E,0)),"")</f>
        <v/>
      </c>
      <c r="P297" t="str">
        <f>IFERROR(INDEX(_courses_lookup!$D:$D,MATCH(K297&amp;L297,_courses_lookup!$E:$E,0)),"")</f>
        <v/>
      </c>
      <c r="AG297" t="str">
        <f t="shared" si="44"/>
        <v/>
      </c>
      <c r="AI297" t="str">
        <f t="shared" si="45"/>
        <v/>
      </c>
      <c r="AL297" t="str">
        <f t="shared" si="46"/>
        <v/>
      </c>
      <c r="AN297" t="str">
        <f t="shared" si="47"/>
        <v/>
      </c>
      <c r="AQ297" t="str">
        <f t="shared" si="48"/>
        <v/>
      </c>
      <c r="AR297" t="str">
        <f t="shared" si="49"/>
        <v/>
      </c>
      <c r="AS297" t="str">
        <f t="shared" si="50"/>
        <v/>
      </c>
      <c r="AT297" t="str">
        <f t="shared" si="51"/>
        <v/>
      </c>
      <c r="BG297" t="str">
        <f t="shared" si="52"/>
        <v/>
      </c>
      <c r="BH297" t="str">
        <f t="shared" si="53"/>
        <v/>
      </c>
      <c r="BL297" t="str">
        <f>IFERROR(INDEX(_names_lookup!$C:$C,MATCH(BK297,_names_lookup!$A:$A,0)),"")</f>
        <v/>
      </c>
      <c r="BM297" t="str">
        <f>IFERROR(INDEX(_names_lookup!$B:$B,MATCH(BK297,_names_lookup!$A:$A,0)),"")</f>
        <v/>
      </c>
      <c r="BS297" t="str">
        <f t="shared" si="54"/>
        <v/>
      </c>
    </row>
    <row r="298" spans="15:71" x14ac:dyDescent="0.2">
      <c r="O298" t="str">
        <f>IFERROR(INDEX(_courses_lookup!$C:$C,MATCH(K298&amp;L298,_courses_lookup!$E:$E,0)),"")</f>
        <v/>
      </c>
      <c r="P298" t="str">
        <f>IFERROR(INDEX(_courses_lookup!$D:$D,MATCH(K298&amp;L298,_courses_lookup!$E:$E,0)),"")</f>
        <v/>
      </c>
      <c r="AG298" t="str">
        <f t="shared" si="44"/>
        <v/>
      </c>
      <c r="AI298" t="str">
        <f t="shared" si="45"/>
        <v/>
      </c>
      <c r="AL298" t="str">
        <f t="shared" si="46"/>
        <v/>
      </c>
      <c r="AN298" t="str">
        <f t="shared" si="47"/>
        <v/>
      </c>
      <c r="AQ298" t="str">
        <f t="shared" si="48"/>
        <v/>
      </c>
      <c r="AR298" t="str">
        <f t="shared" si="49"/>
        <v/>
      </c>
      <c r="AS298" t="str">
        <f t="shared" si="50"/>
        <v/>
      </c>
      <c r="AT298" t="str">
        <f t="shared" si="51"/>
        <v/>
      </c>
      <c r="BG298" t="str">
        <f t="shared" si="52"/>
        <v/>
      </c>
      <c r="BH298" t="str">
        <f t="shared" si="53"/>
        <v/>
      </c>
      <c r="BL298" t="str">
        <f>IFERROR(INDEX(_names_lookup!$C:$C,MATCH(BK298,_names_lookup!$A:$A,0)),"")</f>
        <v/>
      </c>
      <c r="BM298" t="str">
        <f>IFERROR(INDEX(_names_lookup!$B:$B,MATCH(BK298,_names_lookup!$A:$A,0)),"")</f>
        <v/>
      </c>
      <c r="BS298" t="str">
        <f t="shared" si="54"/>
        <v/>
      </c>
    </row>
    <row r="299" spans="15:71" x14ac:dyDescent="0.2">
      <c r="O299" t="str">
        <f>IFERROR(INDEX(_courses_lookup!$C:$C,MATCH(K299&amp;L299,_courses_lookup!$E:$E,0)),"")</f>
        <v/>
      </c>
      <c r="P299" t="str">
        <f>IFERROR(INDEX(_courses_lookup!$D:$D,MATCH(K299&amp;L299,_courses_lookup!$E:$E,0)),"")</f>
        <v/>
      </c>
      <c r="AG299" t="str">
        <f t="shared" si="44"/>
        <v/>
      </c>
      <c r="AI299" t="str">
        <f t="shared" si="45"/>
        <v/>
      </c>
      <c r="AL299" t="str">
        <f t="shared" si="46"/>
        <v/>
      </c>
      <c r="AN299" t="str">
        <f t="shared" si="47"/>
        <v/>
      </c>
      <c r="AQ299" t="str">
        <f t="shared" si="48"/>
        <v/>
      </c>
      <c r="AR299" t="str">
        <f t="shared" si="49"/>
        <v/>
      </c>
      <c r="AS299" t="str">
        <f t="shared" si="50"/>
        <v/>
      </c>
      <c r="AT299" t="str">
        <f t="shared" si="51"/>
        <v/>
      </c>
      <c r="BG299" t="str">
        <f t="shared" si="52"/>
        <v/>
      </c>
      <c r="BH299" t="str">
        <f t="shared" si="53"/>
        <v/>
      </c>
      <c r="BL299" t="str">
        <f>IFERROR(INDEX(_names_lookup!$C:$C,MATCH(BK299,_names_lookup!$A:$A,0)),"")</f>
        <v/>
      </c>
      <c r="BM299" t="str">
        <f>IFERROR(INDEX(_names_lookup!$B:$B,MATCH(BK299,_names_lookup!$A:$A,0)),"")</f>
        <v/>
      </c>
      <c r="BS299" t="str">
        <f t="shared" si="54"/>
        <v/>
      </c>
    </row>
    <row r="300" spans="15:71" x14ac:dyDescent="0.2">
      <c r="O300" t="str">
        <f>IFERROR(INDEX(_courses_lookup!$C:$C,MATCH(K300&amp;L300,_courses_lookup!$E:$E,0)),"")</f>
        <v/>
      </c>
      <c r="P300" t="str">
        <f>IFERROR(INDEX(_courses_lookup!$D:$D,MATCH(K300&amp;L300,_courses_lookup!$E:$E,0)),"")</f>
        <v/>
      </c>
      <c r="AG300" t="str">
        <f t="shared" si="44"/>
        <v/>
      </c>
      <c r="AI300" t="str">
        <f t="shared" si="45"/>
        <v/>
      </c>
      <c r="AL300" t="str">
        <f t="shared" si="46"/>
        <v/>
      </c>
      <c r="AN300" t="str">
        <f t="shared" si="47"/>
        <v/>
      </c>
      <c r="AQ300" t="str">
        <f t="shared" si="48"/>
        <v/>
      </c>
      <c r="AR300" t="str">
        <f t="shared" si="49"/>
        <v/>
      </c>
      <c r="AS300" t="str">
        <f t="shared" si="50"/>
        <v/>
      </c>
      <c r="AT300" t="str">
        <f t="shared" si="51"/>
        <v/>
      </c>
      <c r="BG300" t="str">
        <f t="shared" si="52"/>
        <v/>
      </c>
      <c r="BH300" t="str">
        <f t="shared" si="53"/>
        <v/>
      </c>
      <c r="BL300" t="str">
        <f>IFERROR(INDEX(_names_lookup!$C:$C,MATCH(BK300,_names_lookup!$A:$A,0)),"")</f>
        <v/>
      </c>
      <c r="BM300" t="str">
        <f>IFERROR(INDEX(_names_lookup!$B:$B,MATCH(BK300,_names_lookup!$A:$A,0)),"")</f>
        <v/>
      </c>
      <c r="BS300" t="str">
        <f t="shared" si="54"/>
        <v/>
      </c>
    </row>
  </sheetData>
  <autoFilter ref="A1:DQ5" xr:uid="{00000000-0009-0000-0000-000003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300-000000000000}">
          <x14:formula1>
            <xm:f>DropDownMenu!$A$2:$A$3</xm:f>
          </x14:formula1>
          <xm:sqref>A2:A5000</xm:sqref>
        </x14:dataValidation>
        <x14:dataValidation type="list" allowBlank="1" xr:uid="{00000000-0002-0000-0300-000001000000}">
          <x14:formula1>
            <xm:f>DropDownMenu!$B$2:$B$3</xm:f>
          </x14:formula1>
          <xm:sqref>B2:B5000</xm:sqref>
        </x14:dataValidation>
        <x14:dataValidation type="list" allowBlank="1" xr:uid="{00000000-0002-0000-0300-000002000000}">
          <x14:formula1>
            <xm:f>DropDownMenu!$C$2:$C$3</xm:f>
          </x14:formula1>
          <xm:sqref>C2:C5000</xm:sqref>
        </x14:dataValidation>
        <x14:dataValidation type="list" allowBlank="1" xr:uid="{00000000-0002-0000-0300-000003000000}">
          <x14:formula1>
            <xm:f>DropDownMenu!$D$2:$D$3</xm:f>
          </x14:formula1>
          <xm:sqref>D2:D5000</xm:sqref>
        </x14:dataValidation>
        <x14:dataValidation type="list" allowBlank="1" xr:uid="{00000000-0002-0000-0300-000004000000}">
          <x14:formula1>
            <xm:f>DropDownMenu!$E$2:$E$3</xm:f>
          </x14:formula1>
          <xm:sqref>E2:E5000</xm:sqref>
        </x14:dataValidation>
        <x14:dataValidation type="list" allowBlank="1" xr:uid="{00000000-0002-0000-0300-000005000000}">
          <x14:formula1>
            <xm:f>DropDownMenu!$F$2:$F$3</xm:f>
          </x14:formula1>
          <xm:sqref>F2:F5000</xm:sqref>
        </x14:dataValidation>
        <x14:dataValidation type="list" allowBlank="1" xr:uid="{00000000-0002-0000-0300-000006000000}">
          <x14:formula1>
            <xm:f>DropDownMenu!$G$2:$G$19</xm:f>
          </x14:formula1>
          <xm:sqref>G2:G5000</xm:sqref>
        </x14:dataValidation>
        <x14:dataValidation type="list" allowBlank="1" xr:uid="{00000000-0002-0000-0300-000007000000}">
          <x14:formula1>
            <xm:f>DropDownMenu!$H$2:$H$564</xm:f>
          </x14:formula1>
          <xm:sqref>H2:H5000</xm:sqref>
        </x14:dataValidation>
        <x14:dataValidation type="list" allowBlank="1" xr:uid="{00000000-0002-0000-0300-000008000000}">
          <x14:formula1>
            <xm:f>DropDownMenu!$I$2:$I$352</xm:f>
          </x14:formula1>
          <xm:sqref>I2:I5000</xm:sqref>
        </x14:dataValidation>
        <x14:dataValidation type="list" allowBlank="1" xr:uid="{00000000-0002-0000-0300-000009000000}">
          <x14:formula1>
            <xm:f>DropDownMenu!$J$2:$J$10</xm:f>
          </x14:formula1>
          <xm:sqref>K2:K5000</xm:sqref>
        </x14:dataValidation>
        <x14:dataValidation type="list" allowBlank="1" xr:uid="{00000000-0002-0000-0300-00000A000000}">
          <x14:formula1>
            <xm:f>DropDownMenu!$K$2:$K$101</xm:f>
          </x14:formula1>
          <xm:sqref>L2:L5000</xm:sqref>
        </x14:dataValidation>
        <x14:dataValidation type="list" allowBlank="1" xr:uid="{00000000-0002-0000-0300-00000B000000}">
          <x14:formula1>
            <xm:f>DropDownMenu!$L$2:$L$42</xm:f>
          </x14:formula1>
          <xm:sqref>M2:M5000</xm:sqref>
        </x14:dataValidation>
        <x14:dataValidation type="list" allowBlank="1" xr:uid="{00000000-0002-0000-0300-00000C000000}">
          <x14:formula1>
            <xm:f>DropDownMenu!$M$2:$M$15</xm:f>
          </x14:formula1>
          <xm:sqref>N2:N5000</xm:sqref>
        </x14:dataValidation>
        <x14:dataValidation type="list" allowBlank="1" xr:uid="{00000000-0002-0000-0300-00000D000000}">
          <x14:formula1>
            <xm:f>DropDownMenu!$N$2:$N$140</xm:f>
          </x14:formula1>
          <xm:sqref>O2:O5000</xm:sqref>
        </x14:dataValidation>
        <x14:dataValidation type="list" allowBlank="1" xr:uid="{00000000-0002-0000-0300-00000E000000}">
          <x14:formula1>
            <xm:f>DropDownMenu!$O$2:$O$65</xm:f>
          </x14:formula1>
          <xm:sqref>P2:P5000</xm:sqref>
        </x14:dataValidation>
        <x14:dataValidation type="list" allowBlank="1" xr:uid="{00000000-0002-0000-0300-00000F000000}">
          <x14:formula1>
            <xm:f>DropDownMenu!$P$2:$P$45</xm:f>
          </x14:formula1>
          <xm:sqref>R2:R5000</xm:sqref>
        </x14:dataValidation>
        <x14:dataValidation type="list" allowBlank="1" xr:uid="{00000000-0002-0000-0300-000010000000}">
          <x14:formula1>
            <xm:f>DropDownMenu!$Q$2:$Q$6</xm:f>
          </x14:formula1>
          <xm:sqref>S2:S5000</xm:sqref>
        </x14:dataValidation>
        <x14:dataValidation type="list" allowBlank="1" xr:uid="{00000000-0002-0000-0300-000011000000}">
          <x14:formula1>
            <xm:f>DropDownMenu!$R$2:$R$7</xm:f>
          </x14:formula1>
          <xm:sqref>T2:T5000</xm:sqref>
        </x14:dataValidation>
        <x14:dataValidation type="list" allowBlank="1" xr:uid="{00000000-0002-0000-0300-000012000000}">
          <x14:formula1>
            <xm:f>DropDownMenu!$S$2:$S$12</xm:f>
          </x14:formula1>
          <xm:sqref>U2:U5000</xm:sqref>
        </x14:dataValidation>
        <x14:dataValidation type="list" allowBlank="1" xr:uid="{00000000-0002-0000-0300-000013000000}">
          <x14:formula1>
            <xm:f>DropDownMenu!$T$2:$T$13</xm:f>
          </x14:formula1>
          <xm:sqref>V2:V5000</xm:sqref>
        </x14:dataValidation>
        <x14:dataValidation type="list" allowBlank="1" xr:uid="{00000000-0002-0000-0300-000014000000}">
          <x14:formula1>
            <xm:f>DropDownMenu!$U$2:$U$4</xm:f>
          </x14:formula1>
          <xm:sqref>W2:W5000</xm:sqref>
        </x14:dataValidation>
        <x14:dataValidation type="list" allowBlank="1" xr:uid="{00000000-0002-0000-0300-000015000000}">
          <x14:formula1>
            <xm:f>DropDownMenu!$V$2:$V$6</xm:f>
          </x14:formula1>
          <xm:sqref>X2:X5000</xm:sqref>
        </x14:dataValidation>
        <x14:dataValidation type="list" allowBlank="1" xr:uid="{00000000-0002-0000-0300-000016000000}">
          <x14:formula1>
            <xm:f>DropDownMenu!$W$2:$W$26</xm:f>
          </x14:formula1>
          <xm:sqref>Y2:Y5000</xm:sqref>
        </x14:dataValidation>
        <x14:dataValidation type="list" allowBlank="1" xr:uid="{00000000-0002-0000-0300-000017000000}">
          <x14:formula1>
            <xm:f>DropDownMenu!$X$2:$X$7</xm:f>
          </x14:formula1>
          <xm:sqref>Z2:Z5000</xm:sqref>
        </x14:dataValidation>
        <x14:dataValidation type="list" allowBlank="1" xr:uid="{00000000-0002-0000-0300-000018000000}">
          <x14:formula1>
            <xm:f>DropDownMenu!$Y$2:$Y$15</xm:f>
          </x14:formula1>
          <xm:sqref>AB2:AB5000</xm:sqref>
        </x14:dataValidation>
        <x14:dataValidation type="list" allowBlank="1" xr:uid="{00000000-0002-0000-0300-000019000000}">
          <x14:formula1>
            <xm:f>DropDownMenu!$Z$2:$Z$6</xm:f>
          </x14:formula1>
          <xm:sqref>AC2:AC5000</xm:sqref>
        </x14:dataValidation>
        <x14:dataValidation type="list" allowBlank="1" xr:uid="{00000000-0002-0000-0300-00001A000000}">
          <x14:formula1>
            <xm:f>DropDownMenu!$AA$2:$AA$7</xm:f>
          </x14:formula1>
          <xm:sqref>AD2:AD5000</xm:sqref>
        </x14:dataValidation>
        <x14:dataValidation type="list" allowBlank="1" xr:uid="{00000000-0002-0000-0300-00001B000000}">
          <x14:formula1>
            <xm:f>DropDownMenu!$AB$2:$AB$2</xm:f>
          </x14:formula1>
          <xm:sqref>AG2:AG5000</xm:sqref>
        </x14:dataValidation>
        <x14:dataValidation type="list" allowBlank="1" xr:uid="{00000000-0002-0000-0300-00001C000000}">
          <x14:formula1>
            <xm:f>DropDownMenu!$AC$2:$AC$2</xm:f>
          </x14:formula1>
          <xm:sqref>AH2:AH5000</xm:sqref>
        </x14:dataValidation>
        <x14:dataValidation type="list" allowBlank="1" xr:uid="{00000000-0002-0000-0300-00001D000000}">
          <x14:formula1>
            <xm:f>DropDownMenu!$AD$2:$AD$2</xm:f>
          </x14:formula1>
          <xm:sqref>AI2:AI5000</xm:sqref>
        </x14:dataValidation>
        <x14:dataValidation type="list" allowBlank="1" xr:uid="{00000000-0002-0000-0300-00001E000000}">
          <x14:formula1>
            <xm:f>DropDownMenu!$AE$2:$AE$49</xm:f>
          </x14:formula1>
          <xm:sqref>AJ2:AJ5000</xm:sqref>
        </x14:dataValidation>
        <x14:dataValidation type="list" allowBlank="1" xr:uid="{00000000-0002-0000-0300-00001F000000}">
          <x14:formula1>
            <xm:f>DropDownMenu!$AF$2:$AF$52</xm:f>
          </x14:formula1>
          <xm:sqref>AK2:AK5000</xm:sqref>
        </x14:dataValidation>
        <x14:dataValidation type="list" allowBlank="1" xr:uid="{00000000-0002-0000-0300-000020000000}">
          <x14:formula1>
            <xm:f>DropDownMenu!$AG$2:$AG$2</xm:f>
          </x14:formula1>
          <xm:sqref>AL2:AL5000</xm:sqref>
        </x14:dataValidation>
        <x14:dataValidation type="list" allowBlank="1" xr:uid="{00000000-0002-0000-0300-000021000000}">
          <x14:formula1>
            <xm:f>DropDownMenu!$AH$2:$AH$2</xm:f>
          </x14:formula1>
          <xm:sqref>AM2:AM5000</xm:sqref>
        </x14:dataValidation>
        <x14:dataValidation type="list" allowBlank="1" xr:uid="{00000000-0002-0000-0300-000022000000}">
          <x14:formula1>
            <xm:f>DropDownMenu!$AI$2:$AI$2</xm:f>
          </x14:formula1>
          <xm:sqref>AN2:AN5000</xm:sqref>
        </x14:dataValidation>
        <x14:dataValidation type="list" allowBlank="1" xr:uid="{00000000-0002-0000-0300-000023000000}">
          <x14:formula1>
            <xm:f>DropDownMenu!$AJ$2:$AJ$2</xm:f>
          </x14:formula1>
          <xm:sqref>AQ2:AQ5000</xm:sqref>
        </x14:dataValidation>
        <x14:dataValidation type="list" allowBlank="1" xr:uid="{00000000-0002-0000-0300-000024000000}">
          <x14:formula1>
            <xm:f>DropDownMenu!$AK$2:$AK$2</xm:f>
          </x14:formula1>
          <xm:sqref>AR2:AR5000</xm:sqref>
        </x14:dataValidation>
        <x14:dataValidation type="list" allowBlank="1" xr:uid="{00000000-0002-0000-0300-000025000000}">
          <x14:formula1>
            <xm:f>DropDownMenu!$AL$2:$AL$2</xm:f>
          </x14:formula1>
          <xm:sqref>AS2:AS5000</xm:sqref>
        </x14:dataValidation>
        <x14:dataValidation type="list" allowBlank="1" xr:uid="{00000000-0002-0000-0300-000026000000}">
          <x14:formula1>
            <xm:f>DropDownMenu!$AM$2:$AM$2</xm:f>
          </x14:formula1>
          <xm:sqref>AT2:AT5000</xm:sqref>
        </x14:dataValidation>
        <x14:dataValidation type="list" allowBlank="1" xr:uid="{00000000-0002-0000-0300-000027000000}">
          <x14:formula1>
            <xm:f>DropDownMenu!$AN$2:$AN$2</xm:f>
          </x14:formula1>
          <xm:sqref>AU2:AU5000</xm:sqref>
        </x14:dataValidation>
        <x14:dataValidation type="list" allowBlank="1" xr:uid="{00000000-0002-0000-0300-000028000000}">
          <x14:formula1>
            <xm:f>DropDownMenu!$AO$2:$AO$9</xm:f>
          </x14:formula1>
          <xm:sqref>AV2:AV5000</xm:sqref>
        </x14:dataValidation>
        <x14:dataValidation type="list" allowBlank="1" xr:uid="{00000000-0002-0000-0300-000029000000}">
          <x14:formula1>
            <xm:f>DropDownMenu!$AP$2:$AP$6</xm:f>
          </x14:formula1>
          <xm:sqref>AW2:AW5000</xm:sqref>
        </x14:dataValidation>
        <x14:dataValidation type="list" allowBlank="1" xr:uid="{00000000-0002-0000-0300-00002A000000}">
          <x14:formula1>
            <xm:f>DropDownMenu!$AQ$2:$AQ$11</xm:f>
          </x14:formula1>
          <xm:sqref>AX2:AX5000</xm:sqref>
        </x14:dataValidation>
        <x14:dataValidation type="list" allowBlank="1" xr:uid="{00000000-0002-0000-0300-00002B000000}">
          <x14:formula1>
            <xm:f>DropDownMenu!$AR$2:$AR$2</xm:f>
          </x14:formula1>
          <xm:sqref>AY2:AY5000</xm:sqref>
        </x14:dataValidation>
        <x14:dataValidation type="list" allowBlank="1" xr:uid="{00000000-0002-0000-0300-00002C000000}">
          <x14:formula1>
            <xm:f>DropDownMenu!$AS$2:$AS$2</xm:f>
          </x14:formula1>
          <xm:sqref>AZ2:AZ5000</xm:sqref>
        </x14:dataValidation>
        <x14:dataValidation type="list" allowBlank="1" xr:uid="{00000000-0002-0000-0300-00002D000000}">
          <x14:formula1>
            <xm:f>DropDownMenu!$AT$2:$AT$2</xm:f>
          </x14:formula1>
          <xm:sqref>BA2:BA5000</xm:sqref>
        </x14:dataValidation>
        <x14:dataValidation type="list" allowBlank="1" xr:uid="{00000000-0002-0000-0300-00002E000000}">
          <x14:formula1>
            <xm:f>DropDownMenu!$AU$2:$AU$2</xm:f>
          </x14:formula1>
          <xm:sqref>BB2:BB5000</xm:sqref>
        </x14:dataValidation>
        <x14:dataValidation type="list" allowBlank="1" xr:uid="{00000000-0002-0000-0300-00002F000000}">
          <x14:formula1>
            <xm:f>DropDownMenu!$AV$2:$AV$2</xm:f>
          </x14:formula1>
          <xm:sqref>BC2:BC5000</xm:sqref>
        </x14:dataValidation>
        <x14:dataValidation type="list" allowBlank="1" xr:uid="{00000000-0002-0000-0300-000030000000}">
          <x14:formula1>
            <xm:f>DropDownMenu!$AW$2:$AW$5</xm:f>
          </x14:formula1>
          <xm:sqref>BF2:BF5000</xm:sqref>
        </x14:dataValidation>
        <x14:dataValidation type="list" allowBlank="1" xr:uid="{00000000-0002-0000-0300-000031000000}">
          <x14:formula1>
            <xm:f>DropDownMenu!$AX$2:$AX$37</xm:f>
          </x14:formula1>
          <xm:sqref>BG2:BG5000</xm:sqref>
        </x14:dataValidation>
        <x14:dataValidation type="list" allowBlank="1" xr:uid="{00000000-0002-0000-0300-000032000000}">
          <x14:formula1>
            <xm:f>DropDownMenu!$AY$2:$AY$4</xm:f>
          </x14:formula1>
          <xm:sqref>BH2:BH5000</xm:sqref>
        </x14:dataValidation>
        <x14:dataValidation type="list" allowBlank="1" xr:uid="{00000000-0002-0000-0300-000033000000}">
          <x14:formula1>
            <xm:f>DropDownMenu!$AZ$2:$AZ$13</xm:f>
          </x14:formula1>
          <xm:sqref>BI2:BI5000</xm:sqref>
        </x14:dataValidation>
        <x14:dataValidation type="list" allowBlank="1" xr:uid="{00000000-0002-0000-0300-000034000000}">
          <x14:formula1>
            <xm:f>DropDownMenu!$BA$2:$BA$34</xm:f>
          </x14:formula1>
          <xm:sqref>BJ2:BJ5000</xm:sqref>
        </x14:dataValidation>
        <x14:dataValidation type="list" allowBlank="1" xr:uid="{00000000-0002-0000-0300-000035000000}">
          <x14:formula1>
            <xm:f>DropDownMenu!$BB$2:$BB$258</xm:f>
          </x14:formula1>
          <xm:sqref>BK2:BK5000</xm:sqref>
        </x14:dataValidation>
        <x14:dataValidation type="list" allowBlank="1" xr:uid="{00000000-0002-0000-0300-000036000000}">
          <x14:formula1>
            <xm:f>DropDownMenu!$BC$2:$BC$252</xm:f>
          </x14:formula1>
          <xm:sqref>BL2:BL5000</xm:sqref>
        </x14:dataValidation>
        <x14:dataValidation type="list" allowBlank="1" xr:uid="{00000000-0002-0000-0300-000037000000}">
          <x14:formula1>
            <xm:f>DropDownMenu!$BD$2:$BD$258</xm:f>
          </x14:formula1>
          <xm:sqref>BM2:BM5000</xm:sqref>
        </x14:dataValidation>
        <x14:dataValidation type="list" allowBlank="1" xr:uid="{00000000-0002-0000-0300-000038000000}">
          <x14:formula1>
            <xm:f>DropDownMenu!$BE$2:$BE$3</xm:f>
          </x14:formula1>
          <xm:sqref>BN2:BN5000</xm:sqref>
        </x14:dataValidation>
        <x14:dataValidation type="list" allowBlank="1" xr:uid="{00000000-0002-0000-0300-000039000000}">
          <x14:formula1>
            <xm:f>DropDownMenu!$BF$2:$BF$4</xm:f>
          </x14:formula1>
          <xm:sqref>BO2:BO5000</xm:sqref>
        </x14:dataValidation>
        <x14:dataValidation type="list" allowBlank="1" xr:uid="{00000000-0002-0000-0300-00003A000000}">
          <x14:formula1>
            <xm:f>DropDownMenu!$BG$2:$BG$6</xm:f>
          </x14:formula1>
          <xm:sqref>BP2:BP5000</xm:sqref>
        </x14:dataValidation>
        <x14:dataValidation type="list" allowBlank="1" xr:uid="{00000000-0002-0000-0300-00003B000000}">
          <x14:formula1>
            <xm:f>DropDownMenu!$BH$2:$BH$4</xm:f>
          </x14:formula1>
          <xm:sqref>BQ2:BQ5000</xm:sqref>
        </x14:dataValidation>
        <x14:dataValidation type="list" allowBlank="1" xr:uid="{00000000-0002-0000-0300-00003C000000}">
          <x14:formula1>
            <xm:f>DropDownMenu!$BI$2:$BI$3</xm:f>
          </x14:formula1>
          <xm:sqref>BR2:BR5000</xm:sqref>
        </x14:dataValidation>
        <x14:dataValidation type="list" allowBlank="1" xr:uid="{00000000-0002-0000-0300-00003D000000}">
          <x14:formula1>
            <xm:f>DropDownMenu!$BJ$2:$BJ$3</xm:f>
          </x14:formula1>
          <xm:sqref>BT2:BT5000</xm:sqref>
        </x14:dataValidation>
        <x14:dataValidation type="list" allowBlank="1" xr:uid="{00000000-0002-0000-0300-00003E000000}">
          <x14:formula1>
            <xm:f>DropDownMenu!$BK$2:$BK$11</xm:f>
          </x14:formula1>
          <xm:sqref>BU2:BU5000</xm:sqref>
        </x14:dataValidation>
        <x14:dataValidation type="list" allowBlank="1" xr:uid="{00000000-0002-0000-0300-00003F000000}">
          <x14:formula1>
            <xm:f>DropDownMenu!$BL$2:$BL$9</xm:f>
          </x14:formula1>
          <xm:sqref>BV2:BV5000</xm:sqref>
        </x14:dataValidation>
        <x14:dataValidation type="list" allowBlank="1" xr:uid="{00000000-0002-0000-0300-000040000000}">
          <x14:formula1>
            <xm:f>DropDownMenu!$BM$2:$BM$2</xm:f>
          </x14:formula1>
          <xm:sqref>BW2:BW5000</xm:sqref>
        </x14:dataValidation>
        <x14:dataValidation type="list" allowBlank="1" xr:uid="{00000000-0002-0000-0300-000041000000}">
          <x14:formula1>
            <xm:f>DropDownMenu!$BN$2:$BN$2</xm:f>
          </x14:formula1>
          <xm:sqref>BX2:BX5000</xm:sqref>
        </x14:dataValidation>
        <x14:dataValidation type="list" allowBlank="1" xr:uid="{00000000-0002-0000-0300-000042000000}">
          <x14:formula1>
            <xm:f>DropDownMenu!$BO$2:$BO$2</xm:f>
          </x14:formula1>
          <xm:sqref>BY2:BY5000</xm:sqref>
        </x14:dataValidation>
        <x14:dataValidation type="list" allowBlank="1" xr:uid="{00000000-0002-0000-0300-000043000000}">
          <x14:formula1>
            <xm:f>DropDownMenu!$BP$2:$BP$9</xm:f>
          </x14:formula1>
          <xm:sqref>BZ2:BZ5000</xm:sqref>
        </x14:dataValidation>
        <x14:dataValidation type="list" allowBlank="1" xr:uid="{00000000-0002-0000-0300-000044000000}">
          <x14:formula1>
            <xm:f>DropDownMenu!$BQ$2:$BQ$11</xm:f>
          </x14:formula1>
          <xm:sqref>CA2:CA5000</xm:sqref>
        </x14:dataValidation>
        <x14:dataValidation type="list" allowBlank="1" xr:uid="{00000000-0002-0000-0300-000045000000}">
          <x14:formula1>
            <xm:f>DropDownMenu!$BR$2:$BR$3</xm:f>
          </x14:formula1>
          <xm:sqref>CB2:CB5000</xm:sqref>
        </x14:dataValidation>
        <x14:dataValidation type="list" allowBlank="1" xr:uid="{00000000-0002-0000-0300-000046000000}">
          <x14:formula1>
            <xm:f>DropDownMenu!$BS$2:$BS$4</xm:f>
          </x14:formula1>
          <xm:sqref>CC2:CC5000</xm:sqref>
        </x14:dataValidation>
        <x14:dataValidation type="list" allowBlank="1" xr:uid="{00000000-0002-0000-0300-000047000000}">
          <x14:formula1>
            <xm:f>DropDownMenu!$BT$2:$BT$2</xm:f>
          </x14:formula1>
          <xm:sqref>CE2:CE5000</xm:sqref>
        </x14:dataValidation>
        <x14:dataValidation type="list" allowBlank="1" xr:uid="{00000000-0002-0000-0300-000048000000}">
          <x14:formula1>
            <xm:f>DropDownMenu!$BU$2:$BU$81</xm:f>
          </x14:formula1>
          <xm:sqref>CF2:CF5000</xm:sqref>
        </x14:dataValidation>
        <x14:dataValidation type="list" allowBlank="1" xr:uid="{00000000-0002-0000-0300-000049000000}">
          <x14:formula1>
            <xm:f>DropDownMenu!$BV$2:$BV$3</xm:f>
          </x14:formula1>
          <xm:sqref>CG2:CG5000</xm:sqref>
        </x14:dataValidation>
        <x14:dataValidation type="list" allowBlank="1" xr:uid="{00000000-0002-0000-0300-00004A000000}">
          <x14:formula1>
            <xm:f>DropDownMenu!$BW$2:$BW$7</xm:f>
          </x14:formula1>
          <xm:sqref>CH2:CH5000</xm:sqref>
        </x14:dataValidation>
        <x14:dataValidation type="list" allowBlank="1" xr:uid="{00000000-0002-0000-0300-00004B000000}">
          <x14:formula1>
            <xm:f>DropDownMenu!$BX$2:$BX$9</xm:f>
          </x14:formula1>
          <xm:sqref>CI2:CI5000</xm:sqref>
        </x14:dataValidation>
        <x14:dataValidation type="list" allowBlank="1" xr:uid="{00000000-0002-0000-0300-00004C000000}">
          <x14:formula1>
            <xm:f>DropDownMenu!$BY$2:$BY$9</xm:f>
          </x14:formula1>
          <xm:sqref>CJ2:CJ5000</xm:sqref>
        </x14:dataValidation>
        <x14:dataValidation type="list" allowBlank="1" xr:uid="{00000000-0002-0000-0300-00004D000000}">
          <x14:formula1>
            <xm:f>DropDownMenu!$BZ$2:$BZ$3</xm:f>
          </x14:formula1>
          <xm:sqref>CK2:CK5000</xm:sqref>
        </x14:dataValidation>
        <x14:dataValidation type="list" allowBlank="1" xr:uid="{00000000-0002-0000-0300-00004E000000}">
          <x14:formula1>
            <xm:f>DropDownMenu!$CA$2:$CA$2</xm:f>
          </x14:formula1>
          <xm:sqref>CL2:CL5000</xm:sqref>
        </x14:dataValidation>
        <x14:dataValidation type="list" allowBlank="1" xr:uid="{00000000-0002-0000-0300-00004F000000}">
          <x14:formula1>
            <xm:f>DropDownMenu!$CB$2:$CB$29</xm:f>
          </x14:formula1>
          <xm:sqref>CN2:CN5000</xm:sqref>
        </x14:dataValidation>
        <x14:dataValidation type="list" allowBlank="1" xr:uid="{00000000-0002-0000-0300-000050000000}">
          <x14:formula1>
            <xm:f>DropDownMenu!$CC$2:$CC$2</xm:f>
          </x14:formula1>
          <xm:sqref>CQ2:CQ5000</xm:sqref>
        </x14:dataValidation>
        <x14:dataValidation type="list" allowBlank="1" xr:uid="{00000000-0002-0000-0300-000051000000}">
          <x14:formula1>
            <xm:f>DropDownMenu!$CD$2:$CD$33</xm:f>
          </x14:formula1>
          <xm:sqref>CR2:CR5000</xm:sqref>
        </x14:dataValidation>
        <x14:dataValidation type="list" allowBlank="1" xr:uid="{00000000-0002-0000-0300-000052000000}">
          <x14:formula1>
            <xm:f>DropDownMenu!$CE$2:$CE$2</xm:f>
          </x14:formula1>
          <xm:sqref>CS2:CS5000</xm:sqref>
        </x14:dataValidation>
        <x14:dataValidation type="list" allowBlank="1" xr:uid="{00000000-0002-0000-0300-000053000000}">
          <x14:formula1>
            <xm:f>DropDownMenu!$CF$2:$CF$2</xm:f>
          </x14:formula1>
          <xm:sqref>CT2:CT5000</xm:sqref>
        </x14:dataValidation>
        <x14:dataValidation type="list" allowBlank="1" xr:uid="{00000000-0002-0000-0300-000054000000}">
          <x14:formula1>
            <xm:f>DropDownMenu!$CG$2:$CG$2</xm:f>
          </x14:formula1>
          <xm:sqref>CU2:CU5000</xm:sqref>
        </x14:dataValidation>
        <x14:dataValidation type="list" allowBlank="1" xr:uid="{00000000-0002-0000-0300-000055000000}">
          <x14:formula1>
            <xm:f>DropDownMenu!$CH$2:$CH$2</xm:f>
          </x14:formula1>
          <xm:sqref>CV2:CV5000</xm:sqref>
        </x14:dataValidation>
        <x14:dataValidation type="list" allowBlank="1" xr:uid="{00000000-0002-0000-0300-000056000000}">
          <x14:formula1>
            <xm:f>DropDownMenu!$CI$2:$CI$8</xm:f>
          </x14:formula1>
          <xm:sqref>CW2:CW5000</xm:sqref>
        </x14:dataValidation>
        <x14:dataValidation type="list" allowBlank="1" xr:uid="{00000000-0002-0000-0300-000057000000}">
          <x14:formula1>
            <xm:f>DropDownMenu!$CJ$2:$CJ$8</xm:f>
          </x14:formula1>
          <xm:sqref>CX2:CX5000</xm:sqref>
        </x14:dataValidation>
        <x14:dataValidation type="list" allowBlank="1" xr:uid="{00000000-0002-0000-0300-000058000000}">
          <x14:formula1>
            <xm:f>DropDownMenu!$CK$2:$CK$8</xm:f>
          </x14:formula1>
          <xm:sqref>CY2:CY5000</xm:sqref>
        </x14:dataValidation>
        <x14:dataValidation type="list" allowBlank="1" xr:uid="{00000000-0002-0000-0300-000059000000}">
          <x14:formula1>
            <xm:f>DropDownMenu!$CL$2:$CL$6</xm:f>
          </x14:formula1>
          <xm:sqref>CZ2:CZ5000</xm:sqref>
        </x14:dataValidation>
        <x14:dataValidation type="list" allowBlank="1" xr:uid="{00000000-0002-0000-0300-00005A000000}">
          <x14:formula1>
            <xm:f>DropDownMenu!$CM$2:$CM$2</xm:f>
          </x14:formula1>
          <xm:sqref>DA2:DA5000</xm:sqref>
        </x14:dataValidation>
        <x14:dataValidation type="list" allowBlank="1" xr:uid="{00000000-0002-0000-0300-00005B000000}">
          <x14:formula1>
            <xm:f>DropDownMenu!$CN$2:$CN$2</xm:f>
          </x14:formula1>
          <xm:sqref>DB2:DB5000</xm:sqref>
        </x14:dataValidation>
        <x14:dataValidation type="list" allowBlank="1" xr:uid="{00000000-0002-0000-0300-00005C000000}">
          <x14:formula1>
            <xm:f>DropDownMenu!$CO$2:$CO$2</xm:f>
          </x14:formula1>
          <xm:sqref>DC2:DC5000</xm:sqref>
        </x14:dataValidation>
        <x14:dataValidation type="list" allowBlank="1" xr:uid="{00000000-0002-0000-0300-00005D000000}">
          <x14:formula1>
            <xm:f>DropDownMenu!$CP$2:$CP$2</xm:f>
          </x14:formula1>
          <xm:sqref>DD2:DD5000</xm:sqref>
        </x14:dataValidation>
        <x14:dataValidation type="list" allowBlank="1" xr:uid="{00000000-0002-0000-0300-00005E000000}">
          <x14:formula1>
            <xm:f>DropDownMenu!$CQ$2:$CQ$2</xm:f>
          </x14:formula1>
          <xm:sqref>DE2:DE5000</xm:sqref>
        </x14:dataValidation>
        <x14:dataValidation type="list" allowBlank="1" xr:uid="{00000000-0002-0000-0300-00005F000000}">
          <x14:formula1>
            <xm:f>DropDownMenu!$CR$2:$CR$2</xm:f>
          </x14:formula1>
          <xm:sqref>DK2:DK5000</xm:sqref>
        </x14:dataValidation>
        <x14:dataValidation type="list" allowBlank="1" xr:uid="{00000000-0002-0000-0300-000060000000}">
          <x14:formula1>
            <xm:f>DropDownMenu!$CS$2:$CS$2</xm:f>
          </x14:formula1>
          <xm:sqref>DL2:DL5000</xm:sqref>
        </x14:dataValidation>
        <x14:dataValidation type="list" allowBlank="1" xr:uid="{00000000-0002-0000-0300-000061000000}">
          <x14:formula1>
            <xm:f>DropDownMenu!$CT$2:$CT$2</xm:f>
          </x14:formula1>
          <xm:sqref>DN2:DN5000</xm:sqref>
        </x14:dataValidation>
        <x14:dataValidation type="list" allowBlank="1" xr:uid="{00000000-0002-0000-0300-000062000000}">
          <x14:formula1>
            <xm:f>DropDownMenu!$CU$2:$CU$5</xm:f>
          </x14:formula1>
          <xm:sqref>DO2:DO5000</xm:sqref>
        </x14:dataValidation>
        <x14:dataValidation type="list" allowBlank="1" xr:uid="{00000000-0002-0000-0300-000063000000}">
          <x14:formula1>
            <xm:f>DropDownMenu!$CV$2:$CV$3</xm:f>
          </x14:formula1>
          <xm:sqref>DQ2:DQ5000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applyStyles="1" summaryRight="0"/>
  </sheetPr>
  <dimension ref="A1:DQ300"/>
  <sheetViews>
    <sheetView workbookViewId="0">
      <pane xSplit="7" ySplit="1" topLeftCell="H2" activePane="bottomRight" state="frozen"/>
      <selection pane="topRight"/>
      <selection pane="bottomLeft"/>
      <selection pane="bottomRight" activeCell="G21" sqref="G21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3" width="4" customWidth="1"/>
    <col min="14" max="14" width="12" customWidth="1"/>
    <col min="15" max="16" width="25" customWidth="1"/>
    <col min="17" max="17" width="4" customWidth="1"/>
    <col min="18" max="20" width="4" customWidth="1" outlineLevel="1"/>
    <col min="21" max="21" width="15" customWidth="1" outlineLevel="1"/>
    <col min="22" max="22" width="10" customWidth="1" outlineLevel="1"/>
    <col min="23" max="28" width="4" customWidth="1" outlineLevel="1"/>
    <col min="29" max="29" width="5" customWidth="1"/>
    <col min="30" max="32" width="10" customWidth="1" outlineLevel="1"/>
    <col min="33" max="35" width="4" customWidth="1" outlineLevel="1"/>
    <col min="36" max="37" width="10" customWidth="1" outlineLevel="1"/>
    <col min="38" max="40" width="4" customWidth="1" outlineLevel="1"/>
    <col min="41" max="42" width="10" customWidth="1" outlineLevel="1"/>
    <col min="43" max="47" width="4" customWidth="1" outlineLevel="1"/>
    <col min="48" max="48" width="10" customWidth="1" outlineLevel="1"/>
    <col min="49" max="49" width="5" customWidth="1" outlineLevel="1"/>
    <col min="50" max="50" width="5" customWidth="1"/>
    <col min="51" max="59" width="4" customWidth="1" outlineLevel="1"/>
    <col min="60" max="60" width="7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4" customWidth="1" outlineLevel="1"/>
    <col min="68" max="68" width="12" customWidth="1" outlineLevel="1"/>
    <col min="69" max="69" width="20" customWidth="1" outlineLevel="1"/>
    <col min="70" max="70" width="5" customWidth="1" outlineLevel="1"/>
    <col min="71" max="72" width="4" customWidth="1" outlineLevel="1"/>
    <col min="73" max="73" width="25" customWidth="1" outlineLevel="1"/>
    <col min="74" max="74" width="5" customWidth="1" outlineLevel="1"/>
    <col min="75" max="75" width="20" customWidth="1"/>
    <col min="76" max="77" width="20" customWidth="1" outlineLevel="1"/>
    <col min="78" max="83" width="4" customWidth="1" outlineLevel="1"/>
    <col min="84" max="84" width="4" customWidth="1"/>
    <col min="85" max="121" width="4" customWidth="1" outlineLevel="1"/>
  </cols>
  <sheetData>
    <row r="1" spans="1:121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1" t="s">
        <v>35</v>
      </c>
      <c r="AK1" s="1" t="s">
        <v>36</v>
      </c>
      <c r="AL1" s="3" t="s">
        <v>37</v>
      </c>
      <c r="AM1" s="3" t="s">
        <v>38</v>
      </c>
      <c r="AN1" s="3" t="s">
        <v>39</v>
      </c>
      <c r="AO1" s="1" t="s">
        <v>40</v>
      </c>
      <c r="AP1" s="1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 t="s">
        <v>65</v>
      </c>
      <c r="BO1" s="1" t="s">
        <v>66</v>
      </c>
      <c r="BP1" s="1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</row>
    <row r="2" spans="1:121" x14ac:dyDescent="0.2">
      <c r="O2" t="str">
        <f>IFERROR(INDEX(_courses_lookup!$C:$C,MATCH(K2&amp;L2,_courses_lookup!$E:$E,0)),"")</f>
        <v/>
      </c>
      <c r="P2" t="str">
        <f>IFERROR(INDEX(_courses_lookup!$D:$D,MATCH(K2&amp;L2,_courses_lookup!$E:$E,0)),"")</f>
        <v/>
      </c>
      <c r="AG2" t="str">
        <f t="shared" ref="AG2:AG65" si="0">IF(AND(AE2&lt;&gt;"",AF2&lt;&gt;""),ROUNDUP((AF2-AE2)/7,0),"")</f>
        <v/>
      </c>
      <c r="AI2" t="str">
        <f t="shared" ref="AI2:AI65" si="1">IFERROR(IF(AG2*AH2=0,"",AG2*AH2),"")</f>
        <v/>
      </c>
      <c r="AL2" t="str">
        <f t="shared" ref="AL2:AL65" si="2">IF(AND(AJ2&lt;&gt;"",AK2&lt;&gt;""),ROUNDUP((AK2-AJ2)/7,0),"")</f>
        <v/>
      </c>
      <c r="AN2" t="str">
        <f t="shared" ref="AN2:AN65" si="3">IFERROR(IF(AL2*AM2=0,"",AL2*AM2),"")</f>
        <v/>
      </c>
      <c r="AQ2" t="str">
        <f t="shared" ref="AQ2:AQ65" si="4">IF(AND(AO2&lt;&gt;"",AP2&lt;&gt;""),ROUNDUP((AP2-AO2)/7,0),"")</f>
        <v/>
      </c>
      <c r="AR2" t="str">
        <f t="shared" ref="AR2:AR65" si="5">IFERROR(IF((AU2-(AI2+AN2))/AQ2=0,"",ROUNDUP((AU2-(AI2+AN2))/AQ2,0)),"")</f>
        <v/>
      </c>
      <c r="AS2" t="str">
        <f t="shared" ref="AS2:AS65" si="6">IFERROR(IF((AU2-(AI2+AN2))=0,"",(AU2-(AI2+AN2))),"")</f>
        <v/>
      </c>
      <c r="AT2" t="str">
        <f t="shared" ref="AT2:AT65" si="7">IF(AND(AG2="",AQ2=""),AL2,IF(SUM(AG2,AL2,AQ2)=0,"",SUM(AG2,AL2,AQ2)))</f>
        <v/>
      </c>
      <c r="BG2" t="str">
        <f t="shared" ref="BG2:BG65" si="8">IF(AD2="","",YEAR(AD2)+IF(MONTH(AD2)&gt;=5,1,0))</f>
        <v/>
      </c>
      <c r="BH2" t="str">
        <f t="shared" ref="BH2:BH65" si="9">IF(AD2="","",IF(AND(MONTH(AD2)=8,DAY(AD2)&gt;=15),"Fall",IF(MONTH(AD2)&gt;8,"Fall",IF(MONTH(AD2)=5,"Summer",IF(MONTH(AD2)=1,"Spring","")))))</f>
        <v/>
      </c>
      <c r="BL2" t="str">
        <f>IFERROR(INDEX(_names_lookup!$C:$C,MATCH(BK2,_names_lookup!$A:$A,0)),"")</f>
        <v/>
      </c>
      <c r="BM2" t="str">
        <f>IFERROR(INDEX(_names_lookup!$B:$B,MATCH(BK2,_names_lookup!$A:$A,0)),"")</f>
        <v/>
      </c>
      <c r="BS2" t="str">
        <f t="shared" ref="BS2:BS65" si="10">IFERROR(IF(BR2*AA2=0,"",BR2*AA2),"")</f>
        <v/>
      </c>
    </row>
    <row r="3" spans="1:121" x14ac:dyDescent="0.2">
      <c r="O3" t="str">
        <f>IFERROR(INDEX(_courses_lookup!$C:$C,MATCH(K3&amp;L3,_courses_lookup!$E:$E,0)),"")</f>
        <v/>
      </c>
      <c r="P3" t="str">
        <f>IFERROR(INDEX(_courses_lookup!$D:$D,MATCH(K3&amp;L3,_courses_lookup!$E:$E,0)),"")</f>
        <v/>
      </c>
      <c r="AG3" t="str">
        <f t="shared" si="0"/>
        <v/>
      </c>
      <c r="AI3" t="str">
        <f t="shared" si="1"/>
        <v/>
      </c>
      <c r="AL3" t="str">
        <f t="shared" si="2"/>
        <v/>
      </c>
      <c r="AN3" t="str">
        <f t="shared" si="3"/>
        <v/>
      </c>
      <c r="AQ3" t="str">
        <f t="shared" si="4"/>
        <v/>
      </c>
      <c r="AR3" t="str">
        <f t="shared" si="5"/>
        <v/>
      </c>
      <c r="AS3" t="str">
        <f t="shared" si="6"/>
        <v/>
      </c>
      <c r="AT3" t="str">
        <f t="shared" si="7"/>
        <v/>
      </c>
      <c r="BG3" t="str">
        <f t="shared" si="8"/>
        <v/>
      </c>
      <c r="BH3" t="str">
        <f t="shared" si="9"/>
        <v/>
      </c>
      <c r="BL3" t="str">
        <f>IFERROR(INDEX(_names_lookup!$C:$C,MATCH(BK3,_names_lookup!$A:$A,0)),"")</f>
        <v/>
      </c>
      <c r="BM3" t="str">
        <f>IFERROR(INDEX(_names_lookup!$B:$B,MATCH(BK3,_names_lookup!$A:$A,0)),"")</f>
        <v/>
      </c>
      <c r="BS3" t="str">
        <f t="shared" si="10"/>
        <v/>
      </c>
    </row>
    <row r="4" spans="1:121" x14ac:dyDescent="0.2">
      <c r="O4" t="str">
        <f>IFERROR(INDEX(_courses_lookup!$C:$C,MATCH(K4&amp;L4,_courses_lookup!$E:$E,0)),"")</f>
        <v/>
      </c>
      <c r="P4" t="str">
        <f>IFERROR(INDEX(_courses_lookup!$D:$D,MATCH(K4&amp;L4,_courses_lookup!$E:$E,0)),"")</f>
        <v/>
      </c>
      <c r="AG4" t="str">
        <f t="shared" si="0"/>
        <v/>
      </c>
      <c r="AI4" t="str">
        <f t="shared" si="1"/>
        <v/>
      </c>
      <c r="AL4" t="str">
        <f t="shared" si="2"/>
        <v/>
      </c>
      <c r="AN4" t="str">
        <f t="shared" si="3"/>
        <v/>
      </c>
      <c r="AQ4" t="str">
        <f t="shared" si="4"/>
        <v/>
      </c>
      <c r="AR4" t="str">
        <f t="shared" si="5"/>
        <v/>
      </c>
      <c r="AS4" t="str">
        <f t="shared" si="6"/>
        <v/>
      </c>
      <c r="AT4" t="str">
        <f t="shared" si="7"/>
        <v/>
      </c>
      <c r="BG4" t="str">
        <f t="shared" si="8"/>
        <v/>
      </c>
      <c r="BH4" t="str">
        <f t="shared" si="9"/>
        <v/>
      </c>
      <c r="BL4" t="str">
        <f>IFERROR(INDEX(_names_lookup!$C:$C,MATCH(BK4,_names_lookup!$A:$A,0)),"")</f>
        <v/>
      </c>
      <c r="BM4" t="str">
        <f>IFERROR(INDEX(_names_lookup!$B:$B,MATCH(BK4,_names_lookup!$A:$A,0)),"")</f>
        <v/>
      </c>
      <c r="BS4" t="str">
        <f t="shared" si="10"/>
        <v/>
      </c>
    </row>
    <row r="5" spans="1:121" x14ac:dyDescent="0.2">
      <c r="O5" t="str">
        <f>IFERROR(INDEX(_courses_lookup!$C:$C,MATCH(K5&amp;L5,_courses_lookup!$E:$E,0)),"")</f>
        <v/>
      </c>
      <c r="P5" t="str">
        <f>IFERROR(INDEX(_courses_lookup!$D:$D,MATCH(K5&amp;L5,_courses_lookup!$E:$E,0)),"")</f>
        <v/>
      </c>
      <c r="AG5" t="str">
        <f t="shared" si="0"/>
        <v/>
      </c>
      <c r="AI5" t="str">
        <f t="shared" si="1"/>
        <v/>
      </c>
      <c r="AL5" t="str">
        <f t="shared" si="2"/>
        <v/>
      </c>
      <c r="AN5" t="str">
        <f t="shared" si="3"/>
        <v/>
      </c>
      <c r="AQ5" t="str">
        <f t="shared" si="4"/>
        <v/>
      </c>
      <c r="AR5" t="str">
        <f t="shared" si="5"/>
        <v/>
      </c>
      <c r="AS5" t="str">
        <f t="shared" si="6"/>
        <v/>
      </c>
      <c r="AT5" t="str">
        <f t="shared" si="7"/>
        <v/>
      </c>
      <c r="BG5" t="str">
        <f t="shared" si="8"/>
        <v/>
      </c>
      <c r="BH5" t="str">
        <f t="shared" si="9"/>
        <v/>
      </c>
      <c r="BL5" t="str">
        <f>IFERROR(INDEX(_names_lookup!$C:$C,MATCH(BK5,_names_lookup!$A:$A,0)),"")</f>
        <v/>
      </c>
      <c r="BM5" t="str">
        <f>IFERROR(INDEX(_names_lookup!$B:$B,MATCH(BK5,_names_lookup!$A:$A,0)),"")</f>
        <v/>
      </c>
      <c r="BS5" t="str">
        <f t="shared" si="10"/>
        <v/>
      </c>
    </row>
    <row r="6" spans="1:121" x14ac:dyDescent="0.2">
      <c r="O6" t="str">
        <f>IFERROR(INDEX(_courses_lookup!$C:$C,MATCH(K6&amp;L6,_courses_lookup!$E:$E,0)),"")</f>
        <v/>
      </c>
      <c r="P6" t="str">
        <f>IFERROR(INDEX(_courses_lookup!$D:$D,MATCH(K6&amp;L6,_courses_lookup!$E:$E,0)),"")</f>
        <v/>
      </c>
      <c r="AG6" t="str">
        <f t="shared" si="0"/>
        <v/>
      </c>
      <c r="AI6" t="str">
        <f t="shared" si="1"/>
        <v/>
      </c>
      <c r="AL6" t="str">
        <f t="shared" si="2"/>
        <v/>
      </c>
      <c r="AN6" t="str">
        <f t="shared" si="3"/>
        <v/>
      </c>
      <c r="AQ6" t="str">
        <f t="shared" si="4"/>
        <v/>
      </c>
      <c r="AR6" t="str">
        <f t="shared" si="5"/>
        <v/>
      </c>
      <c r="AS6" t="str">
        <f t="shared" si="6"/>
        <v/>
      </c>
      <c r="AT6" t="str">
        <f t="shared" si="7"/>
        <v/>
      </c>
      <c r="BG6" t="str">
        <f t="shared" si="8"/>
        <v/>
      </c>
      <c r="BH6" t="str">
        <f t="shared" si="9"/>
        <v/>
      </c>
      <c r="BL6" t="str">
        <f>IFERROR(INDEX(_names_lookup!$C:$C,MATCH(BK6,_names_lookup!$A:$A,0)),"")</f>
        <v/>
      </c>
      <c r="BM6" t="str">
        <f>IFERROR(INDEX(_names_lookup!$B:$B,MATCH(BK6,_names_lookup!$A:$A,0)),"")</f>
        <v/>
      </c>
      <c r="BS6" t="str">
        <f t="shared" si="10"/>
        <v/>
      </c>
    </row>
    <row r="7" spans="1:121" x14ac:dyDescent="0.2">
      <c r="O7" t="str">
        <f>IFERROR(INDEX(_courses_lookup!$C:$C,MATCH(K7&amp;L7,_courses_lookup!$E:$E,0)),"")</f>
        <v/>
      </c>
      <c r="P7" t="str">
        <f>IFERROR(INDEX(_courses_lookup!$D:$D,MATCH(K7&amp;L7,_courses_lookup!$E:$E,0)),"")</f>
        <v/>
      </c>
      <c r="AG7" t="str">
        <f t="shared" si="0"/>
        <v/>
      </c>
      <c r="AI7" t="str">
        <f t="shared" si="1"/>
        <v/>
      </c>
      <c r="AL7" t="str">
        <f t="shared" si="2"/>
        <v/>
      </c>
      <c r="AN7" t="str">
        <f t="shared" si="3"/>
        <v/>
      </c>
      <c r="AQ7" t="str">
        <f t="shared" si="4"/>
        <v/>
      </c>
      <c r="AR7" t="str">
        <f t="shared" si="5"/>
        <v/>
      </c>
      <c r="AS7" t="str">
        <f t="shared" si="6"/>
        <v/>
      </c>
      <c r="AT7" t="str">
        <f t="shared" si="7"/>
        <v/>
      </c>
      <c r="BG7" t="str">
        <f t="shared" si="8"/>
        <v/>
      </c>
      <c r="BH7" t="str">
        <f t="shared" si="9"/>
        <v/>
      </c>
      <c r="BL7" t="str">
        <f>IFERROR(INDEX(_names_lookup!$C:$C,MATCH(BK7,_names_lookup!$A:$A,0)),"")</f>
        <v/>
      </c>
      <c r="BM7" t="str">
        <f>IFERROR(INDEX(_names_lookup!$B:$B,MATCH(BK7,_names_lookup!$A:$A,0)),"")</f>
        <v/>
      </c>
      <c r="BS7" t="str">
        <f t="shared" si="10"/>
        <v/>
      </c>
    </row>
    <row r="8" spans="1:121" x14ac:dyDescent="0.2">
      <c r="O8" t="str">
        <f>IFERROR(INDEX(_courses_lookup!$C:$C,MATCH(K8&amp;L8,_courses_lookup!$E:$E,0)),"")</f>
        <v/>
      </c>
      <c r="P8" t="str">
        <f>IFERROR(INDEX(_courses_lookup!$D:$D,MATCH(K8&amp;L8,_courses_lookup!$E:$E,0)),"")</f>
        <v/>
      </c>
      <c r="AG8" t="str">
        <f t="shared" si="0"/>
        <v/>
      </c>
      <c r="AI8" t="str">
        <f t="shared" si="1"/>
        <v/>
      </c>
      <c r="AL8" t="str">
        <f t="shared" si="2"/>
        <v/>
      </c>
      <c r="AN8" t="str">
        <f t="shared" si="3"/>
        <v/>
      </c>
      <c r="AQ8" t="str">
        <f t="shared" si="4"/>
        <v/>
      </c>
      <c r="AR8" t="str">
        <f t="shared" si="5"/>
        <v/>
      </c>
      <c r="AS8" t="str">
        <f t="shared" si="6"/>
        <v/>
      </c>
      <c r="AT8" t="str">
        <f t="shared" si="7"/>
        <v/>
      </c>
      <c r="BG8" t="str">
        <f t="shared" si="8"/>
        <v/>
      </c>
      <c r="BH8" t="str">
        <f t="shared" si="9"/>
        <v/>
      </c>
      <c r="BL8" t="str">
        <f>IFERROR(INDEX(_names_lookup!$C:$C,MATCH(BK8,_names_lookup!$A:$A,0)),"")</f>
        <v/>
      </c>
      <c r="BM8" t="str">
        <f>IFERROR(INDEX(_names_lookup!$B:$B,MATCH(BK8,_names_lookup!$A:$A,0)),"")</f>
        <v/>
      </c>
      <c r="BS8" t="str">
        <f t="shared" si="10"/>
        <v/>
      </c>
    </row>
    <row r="9" spans="1:121" x14ac:dyDescent="0.2">
      <c r="O9" t="str">
        <f>IFERROR(INDEX(_courses_lookup!$C:$C,MATCH(K9&amp;L9,_courses_lookup!$E:$E,0)),"")</f>
        <v/>
      </c>
      <c r="P9" t="str">
        <f>IFERROR(INDEX(_courses_lookup!$D:$D,MATCH(K9&amp;L9,_courses_lookup!$E:$E,0)),"")</f>
        <v/>
      </c>
      <c r="AG9" t="str">
        <f t="shared" si="0"/>
        <v/>
      </c>
      <c r="AI9" t="str">
        <f t="shared" si="1"/>
        <v/>
      </c>
      <c r="AL9" t="str">
        <f t="shared" si="2"/>
        <v/>
      </c>
      <c r="AN9" t="str">
        <f t="shared" si="3"/>
        <v/>
      </c>
      <c r="AQ9" t="str">
        <f t="shared" si="4"/>
        <v/>
      </c>
      <c r="AR9" t="str">
        <f t="shared" si="5"/>
        <v/>
      </c>
      <c r="AS9" t="str">
        <f t="shared" si="6"/>
        <v/>
      </c>
      <c r="AT9" t="str">
        <f t="shared" si="7"/>
        <v/>
      </c>
      <c r="BG9" t="str">
        <f t="shared" si="8"/>
        <v/>
      </c>
      <c r="BH9" t="str">
        <f t="shared" si="9"/>
        <v/>
      </c>
      <c r="BL9" t="str">
        <f>IFERROR(INDEX(_names_lookup!$C:$C,MATCH(BK9,_names_lookup!$A:$A,0)),"")</f>
        <v/>
      </c>
      <c r="BM9" t="str">
        <f>IFERROR(INDEX(_names_lookup!$B:$B,MATCH(BK9,_names_lookup!$A:$A,0)),"")</f>
        <v/>
      </c>
      <c r="BS9" t="str">
        <f t="shared" si="10"/>
        <v/>
      </c>
    </row>
    <row r="10" spans="1:121" x14ac:dyDescent="0.2">
      <c r="O10" t="str">
        <f>IFERROR(INDEX(_courses_lookup!$C:$C,MATCH(K10&amp;L10,_courses_lookup!$E:$E,0)),"")</f>
        <v/>
      </c>
      <c r="P10" t="str">
        <f>IFERROR(INDEX(_courses_lookup!$D:$D,MATCH(K10&amp;L10,_courses_lookup!$E:$E,0)),"")</f>
        <v/>
      </c>
      <c r="AG10" t="str">
        <f t="shared" si="0"/>
        <v/>
      </c>
      <c r="AI10" t="str">
        <f t="shared" si="1"/>
        <v/>
      </c>
      <c r="AL10" t="str">
        <f t="shared" si="2"/>
        <v/>
      </c>
      <c r="AN10" t="str">
        <f t="shared" si="3"/>
        <v/>
      </c>
      <c r="AQ10" t="str">
        <f t="shared" si="4"/>
        <v/>
      </c>
      <c r="AR10" t="str">
        <f t="shared" si="5"/>
        <v/>
      </c>
      <c r="AS10" t="str">
        <f t="shared" si="6"/>
        <v/>
      </c>
      <c r="AT10" t="str">
        <f t="shared" si="7"/>
        <v/>
      </c>
      <c r="BG10" t="str">
        <f t="shared" si="8"/>
        <v/>
      </c>
      <c r="BH10" t="str">
        <f t="shared" si="9"/>
        <v/>
      </c>
      <c r="BL10" t="str">
        <f>IFERROR(INDEX(_names_lookup!$C:$C,MATCH(BK10,_names_lookup!$A:$A,0)),"")</f>
        <v/>
      </c>
      <c r="BM10" t="str">
        <f>IFERROR(INDEX(_names_lookup!$B:$B,MATCH(BK10,_names_lookup!$A:$A,0)),"")</f>
        <v/>
      </c>
      <c r="BS10" t="str">
        <f t="shared" si="10"/>
        <v/>
      </c>
    </row>
    <row r="11" spans="1:121" x14ac:dyDescent="0.2">
      <c r="O11" t="str">
        <f>IFERROR(INDEX(_courses_lookup!$C:$C,MATCH(K11&amp;L11,_courses_lookup!$E:$E,0)),"")</f>
        <v/>
      </c>
      <c r="P11" t="str">
        <f>IFERROR(INDEX(_courses_lookup!$D:$D,MATCH(K11&amp;L11,_courses_lookup!$E:$E,0)),"")</f>
        <v/>
      </c>
      <c r="AG11" t="str">
        <f t="shared" si="0"/>
        <v/>
      </c>
      <c r="AI11" t="str">
        <f t="shared" si="1"/>
        <v/>
      </c>
      <c r="AL11" t="str">
        <f t="shared" si="2"/>
        <v/>
      </c>
      <c r="AN11" t="str">
        <f t="shared" si="3"/>
        <v/>
      </c>
      <c r="AQ11" t="str">
        <f t="shared" si="4"/>
        <v/>
      </c>
      <c r="AR11" t="str">
        <f t="shared" si="5"/>
        <v/>
      </c>
      <c r="AS11" t="str">
        <f t="shared" si="6"/>
        <v/>
      </c>
      <c r="AT11" t="str">
        <f t="shared" si="7"/>
        <v/>
      </c>
      <c r="BG11" t="str">
        <f t="shared" si="8"/>
        <v/>
      </c>
      <c r="BH11" t="str">
        <f t="shared" si="9"/>
        <v/>
      </c>
      <c r="BL11" t="str">
        <f>IFERROR(INDEX(_names_lookup!$C:$C,MATCH(BK11,_names_lookup!$A:$A,0)),"")</f>
        <v/>
      </c>
      <c r="BM11" t="str">
        <f>IFERROR(INDEX(_names_lookup!$B:$B,MATCH(BK11,_names_lookup!$A:$A,0)),"")</f>
        <v/>
      </c>
      <c r="BS11" t="str">
        <f t="shared" si="10"/>
        <v/>
      </c>
    </row>
    <row r="12" spans="1:121" x14ac:dyDescent="0.2">
      <c r="O12" t="str">
        <f>IFERROR(INDEX(_courses_lookup!$C:$C,MATCH(K12&amp;L12,_courses_lookup!$E:$E,0)),"")</f>
        <v/>
      </c>
      <c r="P12" t="str">
        <f>IFERROR(INDEX(_courses_lookup!$D:$D,MATCH(K12&amp;L12,_courses_lookup!$E:$E,0)),"")</f>
        <v/>
      </c>
      <c r="AG12" t="str">
        <f t="shared" si="0"/>
        <v/>
      </c>
      <c r="AI12" t="str">
        <f t="shared" si="1"/>
        <v/>
      </c>
      <c r="AL12" t="str">
        <f t="shared" si="2"/>
        <v/>
      </c>
      <c r="AN12" t="str">
        <f t="shared" si="3"/>
        <v/>
      </c>
      <c r="AQ12" t="str">
        <f t="shared" si="4"/>
        <v/>
      </c>
      <c r="AR12" t="str">
        <f t="shared" si="5"/>
        <v/>
      </c>
      <c r="AS12" t="str">
        <f t="shared" si="6"/>
        <v/>
      </c>
      <c r="AT12" t="str">
        <f t="shared" si="7"/>
        <v/>
      </c>
      <c r="BG12" t="str">
        <f t="shared" si="8"/>
        <v/>
      </c>
      <c r="BH12" t="str">
        <f t="shared" si="9"/>
        <v/>
      </c>
      <c r="BL12" t="str">
        <f>IFERROR(INDEX(_names_lookup!$C:$C,MATCH(BK12,_names_lookup!$A:$A,0)),"")</f>
        <v/>
      </c>
      <c r="BM12" t="str">
        <f>IFERROR(INDEX(_names_lookup!$B:$B,MATCH(BK12,_names_lookup!$A:$A,0)),"")</f>
        <v/>
      </c>
      <c r="BS12" t="str">
        <f t="shared" si="10"/>
        <v/>
      </c>
    </row>
    <row r="13" spans="1:121" x14ac:dyDescent="0.2">
      <c r="O13" t="str">
        <f>IFERROR(INDEX(_courses_lookup!$C:$C,MATCH(K13&amp;L13,_courses_lookup!$E:$E,0)),"")</f>
        <v/>
      </c>
      <c r="P13" t="str">
        <f>IFERROR(INDEX(_courses_lookup!$D:$D,MATCH(K13&amp;L13,_courses_lookup!$E:$E,0)),"")</f>
        <v/>
      </c>
      <c r="AG13" t="str">
        <f t="shared" si="0"/>
        <v/>
      </c>
      <c r="AI13" t="str">
        <f t="shared" si="1"/>
        <v/>
      </c>
      <c r="AL13" t="str">
        <f t="shared" si="2"/>
        <v/>
      </c>
      <c r="AN13" t="str">
        <f t="shared" si="3"/>
        <v/>
      </c>
      <c r="AQ13" t="str">
        <f t="shared" si="4"/>
        <v/>
      </c>
      <c r="AR13" t="str">
        <f t="shared" si="5"/>
        <v/>
      </c>
      <c r="AS13" t="str">
        <f t="shared" si="6"/>
        <v/>
      </c>
      <c r="AT13" t="str">
        <f t="shared" si="7"/>
        <v/>
      </c>
      <c r="BG13" t="str">
        <f t="shared" si="8"/>
        <v/>
      </c>
      <c r="BH13" t="str">
        <f t="shared" si="9"/>
        <v/>
      </c>
      <c r="BL13" t="str">
        <f>IFERROR(INDEX(_names_lookup!$C:$C,MATCH(BK13,_names_lookup!$A:$A,0)),"")</f>
        <v/>
      </c>
      <c r="BM13" t="str">
        <f>IFERROR(INDEX(_names_lookup!$B:$B,MATCH(BK13,_names_lookup!$A:$A,0)),"")</f>
        <v/>
      </c>
      <c r="BS13" t="str">
        <f t="shared" si="10"/>
        <v/>
      </c>
    </row>
    <row r="14" spans="1:121" x14ac:dyDescent="0.2">
      <c r="O14" t="str">
        <f>IFERROR(INDEX(_courses_lookup!$C:$C,MATCH(K14&amp;L14,_courses_lookup!$E:$E,0)),"")</f>
        <v/>
      </c>
      <c r="P14" t="str">
        <f>IFERROR(INDEX(_courses_lookup!$D:$D,MATCH(K14&amp;L14,_courses_lookup!$E:$E,0)),"")</f>
        <v/>
      </c>
      <c r="AG14" t="str">
        <f t="shared" si="0"/>
        <v/>
      </c>
      <c r="AI14" t="str">
        <f t="shared" si="1"/>
        <v/>
      </c>
      <c r="AL14" t="str">
        <f t="shared" si="2"/>
        <v/>
      </c>
      <c r="AN14" t="str">
        <f t="shared" si="3"/>
        <v/>
      </c>
      <c r="AQ14" t="str">
        <f t="shared" si="4"/>
        <v/>
      </c>
      <c r="AR14" t="str">
        <f t="shared" si="5"/>
        <v/>
      </c>
      <c r="AS14" t="str">
        <f t="shared" si="6"/>
        <v/>
      </c>
      <c r="AT14" t="str">
        <f t="shared" si="7"/>
        <v/>
      </c>
      <c r="BG14" t="str">
        <f t="shared" si="8"/>
        <v/>
      </c>
      <c r="BH14" t="str">
        <f t="shared" si="9"/>
        <v/>
      </c>
      <c r="BL14" t="str">
        <f>IFERROR(INDEX(_names_lookup!$C:$C,MATCH(BK14,_names_lookup!$A:$A,0)),"")</f>
        <v/>
      </c>
      <c r="BM14" t="str">
        <f>IFERROR(INDEX(_names_lookup!$B:$B,MATCH(BK14,_names_lookup!$A:$A,0)),"")</f>
        <v/>
      </c>
      <c r="BS14" t="str">
        <f t="shared" si="10"/>
        <v/>
      </c>
    </row>
    <row r="15" spans="1:121" x14ac:dyDescent="0.2">
      <c r="O15" t="str">
        <f>IFERROR(INDEX(_courses_lookup!$C:$C,MATCH(K15&amp;L15,_courses_lookup!$E:$E,0)),"")</f>
        <v/>
      </c>
      <c r="P15" t="str">
        <f>IFERROR(INDEX(_courses_lookup!$D:$D,MATCH(K15&amp;L15,_courses_lookup!$E:$E,0)),"")</f>
        <v/>
      </c>
      <c r="AG15" t="str">
        <f t="shared" si="0"/>
        <v/>
      </c>
      <c r="AI15" t="str">
        <f t="shared" si="1"/>
        <v/>
      </c>
      <c r="AL15" t="str">
        <f t="shared" si="2"/>
        <v/>
      </c>
      <c r="AN15" t="str">
        <f t="shared" si="3"/>
        <v/>
      </c>
      <c r="AQ15" t="str">
        <f t="shared" si="4"/>
        <v/>
      </c>
      <c r="AR15" t="str">
        <f t="shared" si="5"/>
        <v/>
      </c>
      <c r="AS15" t="str">
        <f t="shared" si="6"/>
        <v/>
      </c>
      <c r="AT15" t="str">
        <f t="shared" si="7"/>
        <v/>
      </c>
      <c r="BG15" t="str">
        <f t="shared" si="8"/>
        <v/>
      </c>
      <c r="BH15" t="str">
        <f t="shared" si="9"/>
        <v/>
      </c>
      <c r="BL15" t="str">
        <f>IFERROR(INDEX(_names_lookup!$C:$C,MATCH(BK15,_names_lookup!$A:$A,0)),"")</f>
        <v/>
      </c>
      <c r="BM15" t="str">
        <f>IFERROR(INDEX(_names_lookup!$B:$B,MATCH(BK15,_names_lookup!$A:$A,0)),"")</f>
        <v/>
      </c>
      <c r="BS15" t="str">
        <f t="shared" si="10"/>
        <v/>
      </c>
    </row>
    <row r="16" spans="1:121" x14ac:dyDescent="0.2">
      <c r="O16" t="str">
        <f>IFERROR(INDEX(_courses_lookup!$C:$C,MATCH(K16&amp;L16,_courses_lookup!$E:$E,0)),"")</f>
        <v/>
      </c>
      <c r="P16" t="str">
        <f>IFERROR(INDEX(_courses_lookup!$D:$D,MATCH(K16&amp;L16,_courses_lookup!$E:$E,0)),"")</f>
        <v/>
      </c>
      <c r="AG16" t="str">
        <f t="shared" si="0"/>
        <v/>
      </c>
      <c r="AI16" t="str">
        <f t="shared" si="1"/>
        <v/>
      </c>
      <c r="AL16" t="str">
        <f t="shared" si="2"/>
        <v/>
      </c>
      <c r="AN16" t="str">
        <f t="shared" si="3"/>
        <v/>
      </c>
      <c r="AQ16" t="str">
        <f t="shared" si="4"/>
        <v/>
      </c>
      <c r="AR16" t="str">
        <f t="shared" si="5"/>
        <v/>
      </c>
      <c r="AS16" t="str">
        <f t="shared" si="6"/>
        <v/>
      </c>
      <c r="AT16" t="str">
        <f t="shared" si="7"/>
        <v/>
      </c>
      <c r="BG16" t="str">
        <f t="shared" si="8"/>
        <v/>
      </c>
      <c r="BH16" t="str">
        <f t="shared" si="9"/>
        <v/>
      </c>
      <c r="BL16" t="str">
        <f>IFERROR(INDEX(_names_lookup!$C:$C,MATCH(BK16,_names_lookup!$A:$A,0)),"")</f>
        <v/>
      </c>
      <c r="BM16" t="str">
        <f>IFERROR(INDEX(_names_lookup!$B:$B,MATCH(BK16,_names_lookup!$A:$A,0)),"")</f>
        <v/>
      </c>
      <c r="BS16" t="str">
        <f t="shared" si="10"/>
        <v/>
      </c>
    </row>
    <row r="17" spans="15:71" x14ac:dyDescent="0.2">
      <c r="O17" t="str">
        <f>IFERROR(INDEX(_courses_lookup!$C:$C,MATCH(K17&amp;L17,_courses_lookup!$E:$E,0)),"")</f>
        <v/>
      </c>
      <c r="P17" t="str">
        <f>IFERROR(INDEX(_courses_lookup!$D:$D,MATCH(K17&amp;L17,_courses_lookup!$E:$E,0)),"")</f>
        <v/>
      </c>
      <c r="AG17" t="str">
        <f t="shared" si="0"/>
        <v/>
      </c>
      <c r="AI17" t="str">
        <f t="shared" si="1"/>
        <v/>
      </c>
      <c r="AL17" t="str">
        <f t="shared" si="2"/>
        <v/>
      </c>
      <c r="AN17" t="str">
        <f t="shared" si="3"/>
        <v/>
      </c>
      <c r="AQ17" t="str">
        <f t="shared" si="4"/>
        <v/>
      </c>
      <c r="AR17" t="str">
        <f t="shared" si="5"/>
        <v/>
      </c>
      <c r="AS17" t="str">
        <f t="shared" si="6"/>
        <v/>
      </c>
      <c r="AT17" t="str">
        <f t="shared" si="7"/>
        <v/>
      </c>
      <c r="BG17" t="str">
        <f t="shared" si="8"/>
        <v/>
      </c>
      <c r="BH17" t="str">
        <f t="shared" si="9"/>
        <v/>
      </c>
      <c r="BL17" t="str">
        <f>IFERROR(INDEX(_names_lookup!$C:$C,MATCH(BK17,_names_lookup!$A:$A,0)),"")</f>
        <v/>
      </c>
      <c r="BM17" t="str">
        <f>IFERROR(INDEX(_names_lookup!$B:$B,MATCH(BK17,_names_lookup!$A:$A,0)),"")</f>
        <v/>
      </c>
      <c r="BS17" t="str">
        <f t="shared" si="10"/>
        <v/>
      </c>
    </row>
    <row r="18" spans="15:71" x14ac:dyDescent="0.2">
      <c r="O18" t="str">
        <f>IFERROR(INDEX(_courses_lookup!$C:$C,MATCH(K18&amp;L18,_courses_lookup!$E:$E,0)),"")</f>
        <v/>
      </c>
      <c r="P18" t="str">
        <f>IFERROR(INDEX(_courses_lookup!$D:$D,MATCH(K18&amp;L18,_courses_lookup!$E:$E,0)),"")</f>
        <v/>
      </c>
      <c r="AG18" t="str">
        <f t="shared" si="0"/>
        <v/>
      </c>
      <c r="AI18" t="str">
        <f t="shared" si="1"/>
        <v/>
      </c>
      <c r="AL18" t="str">
        <f t="shared" si="2"/>
        <v/>
      </c>
      <c r="AN18" t="str">
        <f t="shared" si="3"/>
        <v/>
      </c>
      <c r="AQ18" t="str">
        <f t="shared" si="4"/>
        <v/>
      </c>
      <c r="AR18" t="str">
        <f t="shared" si="5"/>
        <v/>
      </c>
      <c r="AS18" t="str">
        <f t="shared" si="6"/>
        <v/>
      </c>
      <c r="AT18" t="str">
        <f t="shared" si="7"/>
        <v/>
      </c>
      <c r="BG18" t="str">
        <f t="shared" si="8"/>
        <v/>
      </c>
      <c r="BH18" t="str">
        <f t="shared" si="9"/>
        <v/>
      </c>
      <c r="BL18" t="str">
        <f>IFERROR(INDEX(_names_lookup!$C:$C,MATCH(BK18,_names_lookup!$A:$A,0)),"")</f>
        <v/>
      </c>
      <c r="BM18" t="str">
        <f>IFERROR(INDEX(_names_lookup!$B:$B,MATCH(BK18,_names_lookup!$A:$A,0)),"")</f>
        <v/>
      </c>
      <c r="BS18" t="str">
        <f t="shared" si="10"/>
        <v/>
      </c>
    </row>
    <row r="19" spans="15:71" x14ac:dyDescent="0.2">
      <c r="O19" t="str">
        <f>IFERROR(INDEX(_courses_lookup!$C:$C,MATCH(K19&amp;L19,_courses_lookup!$E:$E,0)),"")</f>
        <v/>
      </c>
      <c r="P19" t="str">
        <f>IFERROR(INDEX(_courses_lookup!$D:$D,MATCH(K19&amp;L19,_courses_lookup!$E:$E,0)),"")</f>
        <v/>
      </c>
      <c r="AG19" t="str">
        <f t="shared" si="0"/>
        <v/>
      </c>
      <c r="AI19" t="str">
        <f t="shared" si="1"/>
        <v/>
      </c>
      <c r="AL19" t="str">
        <f t="shared" si="2"/>
        <v/>
      </c>
      <c r="AN19" t="str">
        <f t="shared" si="3"/>
        <v/>
      </c>
      <c r="AQ19" t="str">
        <f t="shared" si="4"/>
        <v/>
      </c>
      <c r="AR19" t="str">
        <f t="shared" si="5"/>
        <v/>
      </c>
      <c r="AS19" t="str">
        <f t="shared" si="6"/>
        <v/>
      </c>
      <c r="AT19" t="str">
        <f t="shared" si="7"/>
        <v/>
      </c>
      <c r="BG19" t="str">
        <f t="shared" si="8"/>
        <v/>
      </c>
      <c r="BH19" t="str">
        <f t="shared" si="9"/>
        <v/>
      </c>
      <c r="BL19" t="str">
        <f>IFERROR(INDEX(_names_lookup!$C:$C,MATCH(BK19,_names_lookup!$A:$A,0)),"")</f>
        <v/>
      </c>
      <c r="BM19" t="str">
        <f>IFERROR(INDEX(_names_lookup!$B:$B,MATCH(BK19,_names_lookup!$A:$A,0)),"")</f>
        <v/>
      </c>
      <c r="BS19" t="str">
        <f t="shared" si="10"/>
        <v/>
      </c>
    </row>
    <row r="20" spans="15:71" x14ac:dyDescent="0.2">
      <c r="O20" t="str">
        <f>IFERROR(INDEX(_courses_lookup!$C:$C,MATCH(K20&amp;L20,_courses_lookup!$E:$E,0)),"")</f>
        <v/>
      </c>
      <c r="P20" t="str">
        <f>IFERROR(INDEX(_courses_lookup!$D:$D,MATCH(K20&amp;L20,_courses_lookup!$E:$E,0)),"")</f>
        <v/>
      </c>
      <c r="AG20" t="str">
        <f t="shared" si="0"/>
        <v/>
      </c>
      <c r="AI20" t="str">
        <f t="shared" si="1"/>
        <v/>
      </c>
      <c r="AL20" t="str">
        <f t="shared" si="2"/>
        <v/>
      </c>
      <c r="AN20" t="str">
        <f t="shared" si="3"/>
        <v/>
      </c>
      <c r="AQ20" t="str">
        <f t="shared" si="4"/>
        <v/>
      </c>
      <c r="AR20" t="str">
        <f t="shared" si="5"/>
        <v/>
      </c>
      <c r="AS20" t="str">
        <f t="shared" si="6"/>
        <v/>
      </c>
      <c r="AT20" t="str">
        <f t="shared" si="7"/>
        <v/>
      </c>
      <c r="BG20" t="str">
        <f t="shared" si="8"/>
        <v/>
      </c>
      <c r="BH20" t="str">
        <f t="shared" si="9"/>
        <v/>
      </c>
      <c r="BL20" t="str">
        <f>IFERROR(INDEX(_names_lookup!$C:$C,MATCH(BK20,_names_lookup!$A:$A,0)),"")</f>
        <v/>
      </c>
      <c r="BM20" t="str">
        <f>IFERROR(INDEX(_names_lookup!$B:$B,MATCH(BK20,_names_lookup!$A:$A,0)),"")</f>
        <v/>
      </c>
      <c r="BS20" t="str">
        <f t="shared" si="10"/>
        <v/>
      </c>
    </row>
    <row r="21" spans="15:71" x14ac:dyDescent="0.2">
      <c r="O21" t="str">
        <f>IFERROR(INDEX(_courses_lookup!$C:$C,MATCH(K21&amp;L21,_courses_lookup!$E:$E,0)),"")</f>
        <v/>
      </c>
      <c r="P21" t="str">
        <f>IFERROR(INDEX(_courses_lookup!$D:$D,MATCH(K21&amp;L21,_courses_lookup!$E:$E,0)),"")</f>
        <v/>
      </c>
      <c r="AG21" t="str">
        <f t="shared" si="0"/>
        <v/>
      </c>
      <c r="AI21" t="str">
        <f t="shared" si="1"/>
        <v/>
      </c>
      <c r="AL21" t="str">
        <f t="shared" si="2"/>
        <v/>
      </c>
      <c r="AN21" t="str">
        <f t="shared" si="3"/>
        <v/>
      </c>
      <c r="AQ21" t="str">
        <f t="shared" si="4"/>
        <v/>
      </c>
      <c r="AR21" t="str">
        <f t="shared" si="5"/>
        <v/>
      </c>
      <c r="AS21" t="str">
        <f t="shared" si="6"/>
        <v/>
      </c>
      <c r="AT21" t="str">
        <f t="shared" si="7"/>
        <v/>
      </c>
      <c r="BG21" t="str">
        <f t="shared" si="8"/>
        <v/>
      </c>
      <c r="BH21" t="str">
        <f t="shared" si="9"/>
        <v/>
      </c>
      <c r="BL21" t="str">
        <f>IFERROR(INDEX(_names_lookup!$C:$C,MATCH(BK21,_names_lookup!$A:$A,0)),"")</f>
        <v/>
      </c>
      <c r="BM21" t="str">
        <f>IFERROR(INDEX(_names_lookup!$B:$B,MATCH(BK21,_names_lookup!$A:$A,0)),"")</f>
        <v/>
      </c>
      <c r="BS21" t="str">
        <f t="shared" si="10"/>
        <v/>
      </c>
    </row>
    <row r="22" spans="15:71" x14ac:dyDescent="0.2">
      <c r="O22" t="str">
        <f>IFERROR(INDEX(_courses_lookup!$C:$C,MATCH(K22&amp;L22,_courses_lookup!$E:$E,0)),"")</f>
        <v/>
      </c>
      <c r="P22" t="str">
        <f>IFERROR(INDEX(_courses_lookup!$D:$D,MATCH(K22&amp;L22,_courses_lookup!$E:$E,0)),"")</f>
        <v/>
      </c>
      <c r="AG22" t="str">
        <f t="shared" si="0"/>
        <v/>
      </c>
      <c r="AI22" t="str">
        <f t="shared" si="1"/>
        <v/>
      </c>
      <c r="AL22" t="str">
        <f t="shared" si="2"/>
        <v/>
      </c>
      <c r="AN22" t="str">
        <f t="shared" si="3"/>
        <v/>
      </c>
      <c r="AQ22" t="str">
        <f t="shared" si="4"/>
        <v/>
      </c>
      <c r="AR22" t="str">
        <f t="shared" si="5"/>
        <v/>
      </c>
      <c r="AS22" t="str">
        <f t="shared" si="6"/>
        <v/>
      </c>
      <c r="AT22" t="str">
        <f t="shared" si="7"/>
        <v/>
      </c>
      <c r="BG22" t="str">
        <f t="shared" si="8"/>
        <v/>
      </c>
      <c r="BH22" t="str">
        <f t="shared" si="9"/>
        <v/>
      </c>
      <c r="BL22" t="str">
        <f>IFERROR(INDEX(_names_lookup!$C:$C,MATCH(BK22,_names_lookup!$A:$A,0)),"")</f>
        <v/>
      </c>
      <c r="BM22" t="str">
        <f>IFERROR(INDEX(_names_lookup!$B:$B,MATCH(BK22,_names_lookup!$A:$A,0)),"")</f>
        <v/>
      </c>
      <c r="BS22" t="str">
        <f t="shared" si="10"/>
        <v/>
      </c>
    </row>
    <row r="23" spans="15:71" x14ac:dyDescent="0.2">
      <c r="O23" t="str">
        <f>IFERROR(INDEX(_courses_lookup!$C:$C,MATCH(K23&amp;L23,_courses_lookup!$E:$E,0)),"")</f>
        <v/>
      </c>
      <c r="P23" t="str">
        <f>IFERROR(INDEX(_courses_lookup!$D:$D,MATCH(K23&amp;L23,_courses_lookup!$E:$E,0)),"")</f>
        <v/>
      </c>
      <c r="AG23" t="str">
        <f t="shared" si="0"/>
        <v/>
      </c>
      <c r="AI23" t="str">
        <f t="shared" si="1"/>
        <v/>
      </c>
      <c r="AL23" t="str">
        <f t="shared" si="2"/>
        <v/>
      </c>
      <c r="AN23" t="str">
        <f t="shared" si="3"/>
        <v/>
      </c>
      <c r="AQ23" t="str">
        <f t="shared" si="4"/>
        <v/>
      </c>
      <c r="AR23" t="str">
        <f t="shared" si="5"/>
        <v/>
      </c>
      <c r="AS23" t="str">
        <f t="shared" si="6"/>
        <v/>
      </c>
      <c r="AT23" t="str">
        <f t="shared" si="7"/>
        <v/>
      </c>
      <c r="BG23" t="str">
        <f t="shared" si="8"/>
        <v/>
      </c>
      <c r="BH23" t="str">
        <f t="shared" si="9"/>
        <v/>
      </c>
      <c r="BL23" t="str">
        <f>IFERROR(INDEX(_names_lookup!$C:$C,MATCH(BK23,_names_lookup!$A:$A,0)),"")</f>
        <v/>
      </c>
      <c r="BM23" t="str">
        <f>IFERROR(INDEX(_names_lookup!$B:$B,MATCH(BK23,_names_lookup!$A:$A,0)),"")</f>
        <v/>
      </c>
      <c r="BS23" t="str">
        <f t="shared" si="10"/>
        <v/>
      </c>
    </row>
    <row r="24" spans="15:71" x14ac:dyDescent="0.2">
      <c r="O24" t="str">
        <f>IFERROR(INDEX(_courses_lookup!$C:$C,MATCH(K24&amp;L24,_courses_lookup!$E:$E,0)),"")</f>
        <v/>
      </c>
      <c r="P24" t="str">
        <f>IFERROR(INDEX(_courses_lookup!$D:$D,MATCH(K24&amp;L24,_courses_lookup!$E:$E,0)),"")</f>
        <v/>
      </c>
      <c r="AG24" t="str">
        <f t="shared" si="0"/>
        <v/>
      </c>
      <c r="AI24" t="str">
        <f t="shared" si="1"/>
        <v/>
      </c>
      <c r="AL24" t="str">
        <f t="shared" si="2"/>
        <v/>
      </c>
      <c r="AN24" t="str">
        <f t="shared" si="3"/>
        <v/>
      </c>
      <c r="AQ24" t="str">
        <f t="shared" si="4"/>
        <v/>
      </c>
      <c r="AR24" t="str">
        <f t="shared" si="5"/>
        <v/>
      </c>
      <c r="AS24" t="str">
        <f t="shared" si="6"/>
        <v/>
      </c>
      <c r="AT24" t="str">
        <f t="shared" si="7"/>
        <v/>
      </c>
      <c r="BG24" t="str">
        <f t="shared" si="8"/>
        <v/>
      </c>
      <c r="BH24" t="str">
        <f t="shared" si="9"/>
        <v/>
      </c>
      <c r="BL24" t="str">
        <f>IFERROR(INDEX(_names_lookup!$C:$C,MATCH(BK24,_names_lookup!$A:$A,0)),"")</f>
        <v/>
      </c>
      <c r="BM24" t="str">
        <f>IFERROR(INDEX(_names_lookup!$B:$B,MATCH(BK24,_names_lookup!$A:$A,0)),"")</f>
        <v/>
      </c>
      <c r="BS24" t="str">
        <f t="shared" si="10"/>
        <v/>
      </c>
    </row>
    <row r="25" spans="15:71" x14ac:dyDescent="0.2">
      <c r="O25" t="str">
        <f>IFERROR(INDEX(_courses_lookup!$C:$C,MATCH(K25&amp;L25,_courses_lookup!$E:$E,0)),"")</f>
        <v/>
      </c>
      <c r="P25" t="str">
        <f>IFERROR(INDEX(_courses_lookup!$D:$D,MATCH(K25&amp;L25,_courses_lookup!$E:$E,0)),"")</f>
        <v/>
      </c>
      <c r="AG25" t="str">
        <f t="shared" si="0"/>
        <v/>
      </c>
      <c r="AI25" t="str">
        <f t="shared" si="1"/>
        <v/>
      </c>
      <c r="AL25" t="str">
        <f t="shared" si="2"/>
        <v/>
      </c>
      <c r="AN25" t="str">
        <f t="shared" si="3"/>
        <v/>
      </c>
      <c r="AQ25" t="str">
        <f t="shared" si="4"/>
        <v/>
      </c>
      <c r="AR25" t="str">
        <f t="shared" si="5"/>
        <v/>
      </c>
      <c r="AS25" t="str">
        <f t="shared" si="6"/>
        <v/>
      </c>
      <c r="AT25" t="str">
        <f t="shared" si="7"/>
        <v/>
      </c>
      <c r="BG25" t="str">
        <f t="shared" si="8"/>
        <v/>
      </c>
      <c r="BH25" t="str">
        <f t="shared" si="9"/>
        <v/>
      </c>
      <c r="BL25" t="str">
        <f>IFERROR(INDEX(_names_lookup!$C:$C,MATCH(BK25,_names_lookup!$A:$A,0)),"")</f>
        <v/>
      </c>
      <c r="BM25" t="str">
        <f>IFERROR(INDEX(_names_lookup!$B:$B,MATCH(BK25,_names_lookup!$A:$A,0)),"")</f>
        <v/>
      </c>
      <c r="BS25" t="str">
        <f t="shared" si="10"/>
        <v/>
      </c>
    </row>
    <row r="26" spans="15:71" x14ac:dyDescent="0.2">
      <c r="O26" t="str">
        <f>IFERROR(INDEX(_courses_lookup!$C:$C,MATCH(K26&amp;L26,_courses_lookup!$E:$E,0)),"")</f>
        <v/>
      </c>
      <c r="P26" t="str">
        <f>IFERROR(INDEX(_courses_lookup!$D:$D,MATCH(K26&amp;L26,_courses_lookup!$E:$E,0)),"")</f>
        <v/>
      </c>
      <c r="AG26" t="str">
        <f t="shared" si="0"/>
        <v/>
      </c>
      <c r="AI26" t="str">
        <f t="shared" si="1"/>
        <v/>
      </c>
      <c r="AL26" t="str">
        <f t="shared" si="2"/>
        <v/>
      </c>
      <c r="AN26" t="str">
        <f t="shared" si="3"/>
        <v/>
      </c>
      <c r="AQ26" t="str">
        <f t="shared" si="4"/>
        <v/>
      </c>
      <c r="AR26" t="str">
        <f t="shared" si="5"/>
        <v/>
      </c>
      <c r="AS26" t="str">
        <f t="shared" si="6"/>
        <v/>
      </c>
      <c r="AT26" t="str">
        <f t="shared" si="7"/>
        <v/>
      </c>
      <c r="BG26" t="str">
        <f t="shared" si="8"/>
        <v/>
      </c>
      <c r="BH26" t="str">
        <f t="shared" si="9"/>
        <v/>
      </c>
      <c r="BL26" t="str">
        <f>IFERROR(INDEX(_names_lookup!$C:$C,MATCH(BK26,_names_lookup!$A:$A,0)),"")</f>
        <v/>
      </c>
      <c r="BM26" t="str">
        <f>IFERROR(INDEX(_names_lookup!$B:$B,MATCH(BK26,_names_lookup!$A:$A,0)),"")</f>
        <v/>
      </c>
      <c r="BS26" t="str">
        <f t="shared" si="10"/>
        <v/>
      </c>
    </row>
    <row r="27" spans="15:71" x14ac:dyDescent="0.2">
      <c r="O27" t="str">
        <f>IFERROR(INDEX(_courses_lookup!$C:$C,MATCH(K27&amp;L27,_courses_lookup!$E:$E,0)),"")</f>
        <v/>
      </c>
      <c r="P27" t="str">
        <f>IFERROR(INDEX(_courses_lookup!$D:$D,MATCH(K27&amp;L27,_courses_lookup!$E:$E,0)),"")</f>
        <v/>
      </c>
      <c r="AG27" t="str">
        <f t="shared" si="0"/>
        <v/>
      </c>
      <c r="AI27" t="str">
        <f t="shared" si="1"/>
        <v/>
      </c>
      <c r="AL27" t="str">
        <f t="shared" si="2"/>
        <v/>
      </c>
      <c r="AN27" t="str">
        <f t="shared" si="3"/>
        <v/>
      </c>
      <c r="AQ27" t="str">
        <f t="shared" si="4"/>
        <v/>
      </c>
      <c r="AR27" t="str">
        <f t="shared" si="5"/>
        <v/>
      </c>
      <c r="AS27" t="str">
        <f t="shared" si="6"/>
        <v/>
      </c>
      <c r="AT27" t="str">
        <f t="shared" si="7"/>
        <v/>
      </c>
      <c r="BG27" t="str">
        <f t="shared" si="8"/>
        <v/>
      </c>
      <c r="BH27" t="str">
        <f t="shared" si="9"/>
        <v/>
      </c>
      <c r="BL27" t="str">
        <f>IFERROR(INDEX(_names_lookup!$C:$C,MATCH(BK27,_names_lookup!$A:$A,0)),"")</f>
        <v/>
      </c>
      <c r="BM27" t="str">
        <f>IFERROR(INDEX(_names_lookup!$B:$B,MATCH(BK27,_names_lookup!$A:$A,0)),"")</f>
        <v/>
      </c>
      <c r="BS27" t="str">
        <f t="shared" si="10"/>
        <v/>
      </c>
    </row>
    <row r="28" spans="15:71" x14ac:dyDescent="0.2">
      <c r="O28" t="str">
        <f>IFERROR(INDEX(_courses_lookup!$C:$C,MATCH(K28&amp;L28,_courses_lookup!$E:$E,0)),"")</f>
        <v/>
      </c>
      <c r="P28" t="str">
        <f>IFERROR(INDEX(_courses_lookup!$D:$D,MATCH(K28&amp;L28,_courses_lookup!$E:$E,0)),"")</f>
        <v/>
      </c>
      <c r="AG28" t="str">
        <f t="shared" si="0"/>
        <v/>
      </c>
      <c r="AI28" t="str">
        <f t="shared" si="1"/>
        <v/>
      </c>
      <c r="AL28" t="str">
        <f t="shared" si="2"/>
        <v/>
      </c>
      <c r="AN28" t="str">
        <f t="shared" si="3"/>
        <v/>
      </c>
      <c r="AQ28" t="str">
        <f t="shared" si="4"/>
        <v/>
      </c>
      <c r="AR28" t="str">
        <f t="shared" si="5"/>
        <v/>
      </c>
      <c r="AS28" t="str">
        <f t="shared" si="6"/>
        <v/>
      </c>
      <c r="AT28" t="str">
        <f t="shared" si="7"/>
        <v/>
      </c>
      <c r="BG28" t="str">
        <f t="shared" si="8"/>
        <v/>
      </c>
      <c r="BH28" t="str">
        <f t="shared" si="9"/>
        <v/>
      </c>
      <c r="BL28" t="str">
        <f>IFERROR(INDEX(_names_lookup!$C:$C,MATCH(BK28,_names_lookup!$A:$A,0)),"")</f>
        <v/>
      </c>
      <c r="BM28" t="str">
        <f>IFERROR(INDEX(_names_lookup!$B:$B,MATCH(BK28,_names_lookup!$A:$A,0)),"")</f>
        <v/>
      </c>
      <c r="BS28" t="str">
        <f t="shared" si="10"/>
        <v/>
      </c>
    </row>
    <row r="29" spans="15:71" x14ac:dyDescent="0.2">
      <c r="O29" t="str">
        <f>IFERROR(INDEX(_courses_lookup!$C:$C,MATCH(K29&amp;L29,_courses_lookup!$E:$E,0)),"")</f>
        <v/>
      </c>
      <c r="P29" t="str">
        <f>IFERROR(INDEX(_courses_lookup!$D:$D,MATCH(K29&amp;L29,_courses_lookup!$E:$E,0)),"")</f>
        <v/>
      </c>
      <c r="AG29" t="str">
        <f t="shared" si="0"/>
        <v/>
      </c>
      <c r="AI29" t="str">
        <f t="shared" si="1"/>
        <v/>
      </c>
      <c r="AL29" t="str">
        <f t="shared" si="2"/>
        <v/>
      </c>
      <c r="AN29" t="str">
        <f t="shared" si="3"/>
        <v/>
      </c>
      <c r="AQ29" t="str">
        <f t="shared" si="4"/>
        <v/>
      </c>
      <c r="AR29" t="str">
        <f t="shared" si="5"/>
        <v/>
      </c>
      <c r="AS29" t="str">
        <f t="shared" si="6"/>
        <v/>
      </c>
      <c r="AT29" t="str">
        <f t="shared" si="7"/>
        <v/>
      </c>
      <c r="BG29" t="str">
        <f t="shared" si="8"/>
        <v/>
      </c>
      <c r="BH29" t="str">
        <f t="shared" si="9"/>
        <v/>
      </c>
      <c r="BL29" t="str">
        <f>IFERROR(INDEX(_names_lookup!$C:$C,MATCH(BK29,_names_lookup!$A:$A,0)),"")</f>
        <v/>
      </c>
      <c r="BM29" t="str">
        <f>IFERROR(INDEX(_names_lookup!$B:$B,MATCH(BK29,_names_lookup!$A:$A,0)),"")</f>
        <v/>
      </c>
      <c r="BS29" t="str">
        <f t="shared" si="10"/>
        <v/>
      </c>
    </row>
    <row r="30" spans="15:71" x14ac:dyDescent="0.2">
      <c r="O30" t="str">
        <f>IFERROR(INDEX(_courses_lookup!$C:$C,MATCH(K30&amp;L30,_courses_lookup!$E:$E,0)),"")</f>
        <v/>
      </c>
      <c r="P30" t="str">
        <f>IFERROR(INDEX(_courses_lookup!$D:$D,MATCH(K30&amp;L30,_courses_lookup!$E:$E,0)),"")</f>
        <v/>
      </c>
      <c r="AG30" t="str">
        <f t="shared" si="0"/>
        <v/>
      </c>
      <c r="AI30" t="str">
        <f t="shared" si="1"/>
        <v/>
      </c>
      <c r="AL30" t="str">
        <f t="shared" si="2"/>
        <v/>
      </c>
      <c r="AN30" t="str">
        <f t="shared" si="3"/>
        <v/>
      </c>
      <c r="AQ30" t="str">
        <f t="shared" si="4"/>
        <v/>
      </c>
      <c r="AR30" t="str">
        <f t="shared" si="5"/>
        <v/>
      </c>
      <c r="AS30" t="str">
        <f t="shared" si="6"/>
        <v/>
      </c>
      <c r="AT30" t="str">
        <f t="shared" si="7"/>
        <v/>
      </c>
      <c r="BG30" t="str">
        <f t="shared" si="8"/>
        <v/>
      </c>
      <c r="BH30" t="str">
        <f t="shared" si="9"/>
        <v/>
      </c>
      <c r="BL30" t="str">
        <f>IFERROR(INDEX(_names_lookup!$C:$C,MATCH(BK30,_names_lookup!$A:$A,0)),"")</f>
        <v/>
      </c>
      <c r="BM30" t="str">
        <f>IFERROR(INDEX(_names_lookup!$B:$B,MATCH(BK30,_names_lookup!$A:$A,0)),"")</f>
        <v/>
      </c>
      <c r="BS30" t="str">
        <f t="shared" si="10"/>
        <v/>
      </c>
    </row>
    <row r="31" spans="15:71" x14ac:dyDescent="0.2">
      <c r="O31" t="str">
        <f>IFERROR(INDEX(_courses_lookup!$C:$C,MATCH(K31&amp;L31,_courses_lookup!$E:$E,0)),"")</f>
        <v/>
      </c>
      <c r="P31" t="str">
        <f>IFERROR(INDEX(_courses_lookup!$D:$D,MATCH(K31&amp;L31,_courses_lookup!$E:$E,0)),"")</f>
        <v/>
      </c>
      <c r="AG31" t="str">
        <f t="shared" si="0"/>
        <v/>
      </c>
      <c r="AI31" t="str">
        <f t="shared" si="1"/>
        <v/>
      </c>
      <c r="AL31" t="str">
        <f t="shared" si="2"/>
        <v/>
      </c>
      <c r="AN31" t="str">
        <f t="shared" si="3"/>
        <v/>
      </c>
      <c r="AQ31" t="str">
        <f t="shared" si="4"/>
        <v/>
      </c>
      <c r="AR31" t="str">
        <f t="shared" si="5"/>
        <v/>
      </c>
      <c r="AS31" t="str">
        <f t="shared" si="6"/>
        <v/>
      </c>
      <c r="AT31" t="str">
        <f t="shared" si="7"/>
        <v/>
      </c>
      <c r="BG31" t="str">
        <f t="shared" si="8"/>
        <v/>
      </c>
      <c r="BH31" t="str">
        <f t="shared" si="9"/>
        <v/>
      </c>
      <c r="BL31" t="str">
        <f>IFERROR(INDEX(_names_lookup!$C:$C,MATCH(BK31,_names_lookup!$A:$A,0)),"")</f>
        <v/>
      </c>
      <c r="BM31" t="str">
        <f>IFERROR(INDEX(_names_lookup!$B:$B,MATCH(BK31,_names_lookup!$A:$A,0)),"")</f>
        <v/>
      </c>
      <c r="BS31" t="str">
        <f t="shared" si="10"/>
        <v/>
      </c>
    </row>
    <row r="32" spans="15:71" x14ac:dyDescent="0.2">
      <c r="O32" t="str">
        <f>IFERROR(INDEX(_courses_lookup!$C:$C,MATCH(K32&amp;L32,_courses_lookup!$E:$E,0)),"")</f>
        <v/>
      </c>
      <c r="P32" t="str">
        <f>IFERROR(INDEX(_courses_lookup!$D:$D,MATCH(K32&amp;L32,_courses_lookup!$E:$E,0)),"")</f>
        <v/>
      </c>
      <c r="AG32" t="str">
        <f t="shared" si="0"/>
        <v/>
      </c>
      <c r="AI32" t="str">
        <f t="shared" si="1"/>
        <v/>
      </c>
      <c r="AL32" t="str">
        <f t="shared" si="2"/>
        <v/>
      </c>
      <c r="AN32" t="str">
        <f t="shared" si="3"/>
        <v/>
      </c>
      <c r="AQ32" t="str">
        <f t="shared" si="4"/>
        <v/>
      </c>
      <c r="AR32" t="str">
        <f t="shared" si="5"/>
        <v/>
      </c>
      <c r="AS32" t="str">
        <f t="shared" si="6"/>
        <v/>
      </c>
      <c r="AT32" t="str">
        <f t="shared" si="7"/>
        <v/>
      </c>
      <c r="BG32" t="str">
        <f t="shared" si="8"/>
        <v/>
      </c>
      <c r="BH32" t="str">
        <f t="shared" si="9"/>
        <v/>
      </c>
      <c r="BL32" t="str">
        <f>IFERROR(INDEX(_names_lookup!$C:$C,MATCH(BK32,_names_lookup!$A:$A,0)),"")</f>
        <v/>
      </c>
      <c r="BM32" t="str">
        <f>IFERROR(INDEX(_names_lookup!$B:$B,MATCH(BK32,_names_lookup!$A:$A,0)),"")</f>
        <v/>
      </c>
      <c r="BS32" t="str">
        <f t="shared" si="10"/>
        <v/>
      </c>
    </row>
    <row r="33" spans="15:71" x14ac:dyDescent="0.2">
      <c r="O33" t="str">
        <f>IFERROR(INDEX(_courses_lookup!$C:$C,MATCH(K33&amp;L33,_courses_lookup!$E:$E,0)),"")</f>
        <v/>
      </c>
      <c r="P33" t="str">
        <f>IFERROR(INDEX(_courses_lookup!$D:$D,MATCH(K33&amp;L33,_courses_lookup!$E:$E,0)),"")</f>
        <v/>
      </c>
      <c r="AG33" t="str">
        <f t="shared" si="0"/>
        <v/>
      </c>
      <c r="AI33" t="str">
        <f t="shared" si="1"/>
        <v/>
      </c>
      <c r="AL33" t="str">
        <f t="shared" si="2"/>
        <v/>
      </c>
      <c r="AN33" t="str">
        <f t="shared" si="3"/>
        <v/>
      </c>
      <c r="AQ33" t="str">
        <f t="shared" si="4"/>
        <v/>
      </c>
      <c r="AR33" t="str">
        <f t="shared" si="5"/>
        <v/>
      </c>
      <c r="AS33" t="str">
        <f t="shared" si="6"/>
        <v/>
      </c>
      <c r="AT33" t="str">
        <f t="shared" si="7"/>
        <v/>
      </c>
      <c r="BG33" t="str">
        <f t="shared" si="8"/>
        <v/>
      </c>
      <c r="BH33" t="str">
        <f t="shared" si="9"/>
        <v/>
      </c>
      <c r="BL33" t="str">
        <f>IFERROR(INDEX(_names_lookup!$C:$C,MATCH(BK33,_names_lookup!$A:$A,0)),"")</f>
        <v/>
      </c>
      <c r="BM33" t="str">
        <f>IFERROR(INDEX(_names_lookup!$B:$B,MATCH(BK33,_names_lookup!$A:$A,0)),"")</f>
        <v/>
      </c>
      <c r="BS33" t="str">
        <f t="shared" si="10"/>
        <v/>
      </c>
    </row>
    <row r="34" spans="15:71" x14ac:dyDescent="0.2">
      <c r="O34" t="str">
        <f>IFERROR(INDEX(_courses_lookup!$C:$C,MATCH(K34&amp;L34,_courses_lookup!$E:$E,0)),"")</f>
        <v/>
      </c>
      <c r="P34" t="str">
        <f>IFERROR(INDEX(_courses_lookup!$D:$D,MATCH(K34&amp;L34,_courses_lookup!$E:$E,0)),"")</f>
        <v/>
      </c>
      <c r="AG34" t="str">
        <f t="shared" si="0"/>
        <v/>
      </c>
      <c r="AI34" t="str">
        <f t="shared" si="1"/>
        <v/>
      </c>
      <c r="AL34" t="str">
        <f t="shared" si="2"/>
        <v/>
      </c>
      <c r="AN34" t="str">
        <f t="shared" si="3"/>
        <v/>
      </c>
      <c r="AQ34" t="str">
        <f t="shared" si="4"/>
        <v/>
      </c>
      <c r="AR34" t="str">
        <f t="shared" si="5"/>
        <v/>
      </c>
      <c r="AS34" t="str">
        <f t="shared" si="6"/>
        <v/>
      </c>
      <c r="AT34" t="str">
        <f t="shared" si="7"/>
        <v/>
      </c>
      <c r="BG34" t="str">
        <f t="shared" si="8"/>
        <v/>
      </c>
      <c r="BH34" t="str">
        <f t="shared" si="9"/>
        <v/>
      </c>
      <c r="BL34" t="str">
        <f>IFERROR(INDEX(_names_lookup!$C:$C,MATCH(BK34,_names_lookup!$A:$A,0)),"")</f>
        <v/>
      </c>
      <c r="BM34" t="str">
        <f>IFERROR(INDEX(_names_lookup!$B:$B,MATCH(BK34,_names_lookup!$A:$A,0)),"")</f>
        <v/>
      </c>
      <c r="BS34" t="str">
        <f t="shared" si="10"/>
        <v/>
      </c>
    </row>
    <row r="35" spans="15:71" x14ac:dyDescent="0.2">
      <c r="O35" t="str">
        <f>IFERROR(INDEX(_courses_lookup!$C:$C,MATCH(K35&amp;L35,_courses_lookup!$E:$E,0)),"")</f>
        <v/>
      </c>
      <c r="P35" t="str">
        <f>IFERROR(INDEX(_courses_lookup!$D:$D,MATCH(K35&amp;L35,_courses_lookup!$E:$E,0)),"")</f>
        <v/>
      </c>
      <c r="AG35" t="str">
        <f t="shared" si="0"/>
        <v/>
      </c>
      <c r="AI35" t="str">
        <f t="shared" si="1"/>
        <v/>
      </c>
      <c r="AL35" t="str">
        <f t="shared" si="2"/>
        <v/>
      </c>
      <c r="AN35" t="str">
        <f t="shared" si="3"/>
        <v/>
      </c>
      <c r="AQ35" t="str">
        <f t="shared" si="4"/>
        <v/>
      </c>
      <c r="AR35" t="str">
        <f t="shared" si="5"/>
        <v/>
      </c>
      <c r="AS35" t="str">
        <f t="shared" si="6"/>
        <v/>
      </c>
      <c r="AT35" t="str">
        <f t="shared" si="7"/>
        <v/>
      </c>
      <c r="BG35" t="str">
        <f t="shared" si="8"/>
        <v/>
      </c>
      <c r="BH35" t="str">
        <f t="shared" si="9"/>
        <v/>
      </c>
      <c r="BL35" t="str">
        <f>IFERROR(INDEX(_names_lookup!$C:$C,MATCH(BK35,_names_lookup!$A:$A,0)),"")</f>
        <v/>
      </c>
      <c r="BM35" t="str">
        <f>IFERROR(INDEX(_names_lookup!$B:$B,MATCH(BK35,_names_lookup!$A:$A,0)),"")</f>
        <v/>
      </c>
      <c r="BS35" t="str">
        <f t="shared" si="10"/>
        <v/>
      </c>
    </row>
    <row r="36" spans="15:71" x14ac:dyDescent="0.2">
      <c r="O36" t="str">
        <f>IFERROR(INDEX(_courses_lookup!$C:$C,MATCH(K36&amp;L36,_courses_lookup!$E:$E,0)),"")</f>
        <v/>
      </c>
      <c r="P36" t="str">
        <f>IFERROR(INDEX(_courses_lookup!$D:$D,MATCH(K36&amp;L36,_courses_lookup!$E:$E,0)),"")</f>
        <v/>
      </c>
      <c r="AG36" t="str">
        <f t="shared" si="0"/>
        <v/>
      </c>
      <c r="AI36" t="str">
        <f t="shared" si="1"/>
        <v/>
      </c>
      <c r="AL36" t="str">
        <f t="shared" si="2"/>
        <v/>
      </c>
      <c r="AN36" t="str">
        <f t="shared" si="3"/>
        <v/>
      </c>
      <c r="AQ36" t="str">
        <f t="shared" si="4"/>
        <v/>
      </c>
      <c r="AR36" t="str">
        <f t="shared" si="5"/>
        <v/>
      </c>
      <c r="AS36" t="str">
        <f t="shared" si="6"/>
        <v/>
      </c>
      <c r="AT36" t="str">
        <f t="shared" si="7"/>
        <v/>
      </c>
      <c r="BG36" t="str">
        <f t="shared" si="8"/>
        <v/>
      </c>
      <c r="BH36" t="str">
        <f t="shared" si="9"/>
        <v/>
      </c>
      <c r="BL36" t="str">
        <f>IFERROR(INDEX(_names_lookup!$C:$C,MATCH(BK36,_names_lookup!$A:$A,0)),"")</f>
        <v/>
      </c>
      <c r="BM36" t="str">
        <f>IFERROR(INDEX(_names_lookup!$B:$B,MATCH(BK36,_names_lookup!$A:$A,0)),"")</f>
        <v/>
      </c>
      <c r="BS36" t="str">
        <f t="shared" si="10"/>
        <v/>
      </c>
    </row>
    <row r="37" spans="15:71" x14ac:dyDescent="0.2">
      <c r="O37" t="str">
        <f>IFERROR(INDEX(_courses_lookup!$C:$C,MATCH(K37&amp;L37,_courses_lookup!$E:$E,0)),"")</f>
        <v/>
      </c>
      <c r="P37" t="str">
        <f>IFERROR(INDEX(_courses_lookup!$D:$D,MATCH(K37&amp;L37,_courses_lookup!$E:$E,0)),"")</f>
        <v/>
      </c>
      <c r="AG37" t="str">
        <f t="shared" si="0"/>
        <v/>
      </c>
      <c r="AI37" t="str">
        <f t="shared" si="1"/>
        <v/>
      </c>
      <c r="AL37" t="str">
        <f t="shared" si="2"/>
        <v/>
      </c>
      <c r="AN37" t="str">
        <f t="shared" si="3"/>
        <v/>
      </c>
      <c r="AQ37" t="str">
        <f t="shared" si="4"/>
        <v/>
      </c>
      <c r="AR37" t="str">
        <f t="shared" si="5"/>
        <v/>
      </c>
      <c r="AS37" t="str">
        <f t="shared" si="6"/>
        <v/>
      </c>
      <c r="AT37" t="str">
        <f t="shared" si="7"/>
        <v/>
      </c>
      <c r="BG37" t="str">
        <f t="shared" si="8"/>
        <v/>
      </c>
      <c r="BH37" t="str">
        <f t="shared" si="9"/>
        <v/>
      </c>
      <c r="BL37" t="str">
        <f>IFERROR(INDEX(_names_lookup!$C:$C,MATCH(BK37,_names_lookup!$A:$A,0)),"")</f>
        <v/>
      </c>
      <c r="BM37" t="str">
        <f>IFERROR(INDEX(_names_lookup!$B:$B,MATCH(BK37,_names_lookup!$A:$A,0)),"")</f>
        <v/>
      </c>
      <c r="BS37" t="str">
        <f t="shared" si="10"/>
        <v/>
      </c>
    </row>
    <row r="38" spans="15:71" x14ac:dyDescent="0.2">
      <c r="O38" t="str">
        <f>IFERROR(INDEX(_courses_lookup!$C:$C,MATCH(K38&amp;L38,_courses_lookup!$E:$E,0)),"")</f>
        <v/>
      </c>
      <c r="P38" t="str">
        <f>IFERROR(INDEX(_courses_lookup!$D:$D,MATCH(K38&amp;L38,_courses_lookup!$E:$E,0)),"")</f>
        <v/>
      </c>
      <c r="AG38" t="str">
        <f t="shared" si="0"/>
        <v/>
      </c>
      <c r="AI38" t="str">
        <f t="shared" si="1"/>
        <v/>
      </c>
      <c r="AL38" t="str">
        <f t="shared" si="2"/>
        <v/>
      </c>
      <c r="AN38" t="str">
        <f t="shared" si="3"/>
        <v/>
      </c>
      <c r="AQ38" t="str">
        <f t="shared" si="4"/>
        <v/>
      </c>
      <c r="AR38" t="str">
        <f t="shared" si="5"/>
        <v/>
      </c>
      <c r="AS38" t="str">
        <f t="shared" si="6"/>
        <v/>
      </c>
      <c r="AT38" t="str">
        <f t="shared" si="7"/>
        <v/>
      </c>
      <c r="BG38" t="str">
        <f t="shared" si="8"/>
        <v/>
      </c>
      <c r="BH38" t="str">
        <f t="shared" si="9"/>
        <v/>
      </c>
      <c r="BL38" t="str">
        <f>IFERROR(INDEX(_names_lookup!$C:$C,MATCH(BK38,_names_lookup!$A:$A,0)),"")</f>
        <v/>
      </c>
      <c r="BM38" t="str">
        <f>IFERROR(INDEX(_names_lookup!$B:$B,MATCH(BK38,_names_lookup!$A:$A,0)),"")</f>
        <v/>
      </c>
      <c r="BS38" t="str">
        <f t="shared" si="10"/>
        <v/>
      </c>
    </row>
    <row r="39" spans="15:71" x14ac:dyDescent="0.2">
      <c r="O39" t="str">
        <f>IFERROR(INDEX(_courses_lookup!$C:$C,MATCH(K39&amp;L39,_courses_lookup!$E:$E,0)),"")</f>
        <v/>
      </c>
      <c r="P39" t="str">
        <f>IFERROR(INDEX(_courses_lookup!$D:$D,MATCH(K39&amp;L39,_courses_lookup!$E:$E,0)),"")</f>
        <v/>
      </c>
      <c r="AG39" t="str">
        <f t="shared" si="0"/>
        <v/>
      </c>
      <c r="AI39" t="str">
        <f t="shared" si="1"/>
        <v/>
      </c>
      <c r="AL39" t="str">
        <f t="shared" si="2"/>
        <v/>
      </c>
      <c r="AN39" t="str">
        <f t="shared" si="3"/>
        <v/>
      </c>
      <c r="AQ39" t="str">
        <f t="shared" si="4"/>
        <v/>
      </c>
      <c r="AR39" t="str">
        <f t="shared" si="5"/>
        <v/>
      </c>
      <c r="AS39" t="str">
        <f t="shared" si="6"/>
        <v/>
      </c>
      <c r="AT39" t="str">
        <f t="shared" si="7"/>
        <v/>
      </c>
      <c r="BG39" t="str">
        <f t="shared" si="8"/>
        <v/>
      </c>
      <c r="BH39" t="str">
        <f t="shared" si="9"/>
        <v/>
      </c>
      <c r="BL39" t="str">
        <f>IFERROR(INDEX(_names_lookup!$C:$C,MATCH(BK39,_names_lookup!$A:$A,0)),"")</f>
        <v/>
      </c>
      <c r="BM39" t="str">
        <f>IFERROR(INDEX(_names_lookup!$B:$B,MATCH(BK39,_names_lookup!$A:$A,0)),"")</f>
        <v/>
      </c>
      <c r="BS39" t="str">
        <f t="shared" si="10"/>
        <v/>
      </c>
    </row>
    <row r="40" spans="15:71" x14ac:dyDescent="0.2">
      <c r="O40" t="str">
        <f>IFERROR(INDEX(_courses_lookup!$C:$C,MATCH(K40&amp;L40,_courses_lookup!$E:$E,0)),"")</f>
        <v/>
      </c>
      <c r="P40" t="str">
        <f>IFERROR(INDEX(_courses_lookup!$D:$D,MATCH(K40&amp;L40,_courses_lookup!$E:$E,0)),"")</f>
        <v/>
      </c>
      <c r="AG40" t="str">
        <f t="shared" si="0"/>
        <v/>
      </c>
      <c r="AI40" t="str">
        <f t="shared" si="1"/>
        <v/>
      </c>
      <c r="AL40" t="str">
        <f t="shared" si="2"/>
        <v/>
      </c>
      <c r="AN40" t="str">
        <f t="shared" si="3"/>
        <v/>
      </c>
      <c r="AQ40" t="str">
        <f t="shared" si="4"/>
        <v/>
      </c>
      <c r="AR40" t="str">
        <f t="shared" si="5"/>
        <v/>
      </c>
      <c r="AS40" t="str">
        <f t="shared" si="6"/>
        <v/>
      </c>
      <c r="AT40" t="str">
        <f t="shared" si="7"/>
        <v/>
      </c>
      <c r="BG40" t="str">
        <f t="shared" si="8"/>
        <v/>
      </c>
      <c r="BH40" t="str">
        <f t="shared" si="9"/>
        <v/>
      </c>
      <c r="BL40" t="str">
        <f>IFERROR(INDEX(_names_lookup!$C:$C,MATCH(BK40,_names_lookup!$A:$A,0)),"")</f>
        <v/>
      </c>
      <c r="BM40" t="str">
        <f>IFERROR(INDEX(_names_lookup!$B:$B,MATCH(BK40,_names_lookup!$A:$A,0)),"")</f>
        <v/>
      </c>
      <c r="BS40" t="str">
        <f t="shared" si="10"/>
        <v/>
      </c>
    </row>
    <row r="41" spans="15:71" x14ac:dyDescent="0.2">
      <c r="O41" t="str">
        <f>IFERROR(INDEX(_courses_lookup!$C:$C,MATCH(K41&amp;L41,_courses_lookup!$E:$E,0)),"")</f>
        <v/>
      </c>
      <c r="P41" t="str">
        <f>IFERROR(INDEX(_courses_lookup!$D:$D,MATCH(K41&amp;L41,_courses_lookup!$E:$E,0)),"")</f>
        <v/>
      </c>
      <c r="AG41" t="str">
        <f t="shared" si="0"/>
        <v/>
      </c>
      <c r="AI41" t="str">
        <f t="shared" si="1"/>
        <v/>
      </c>
      <c r="AL41" t="str">
        <f t="shared" si="2"/>
        <v/>
      </c>
      <c r="AN41" t="str">
        <f t="shared" si="3"/>
        <v/>
      </c>
      <c r="AQ41" t="str">
        <f t="shared" si="4"/>
        <v/>
      </c>
      <c r="AR41" t="str">
        <f t="shared" si="5"/>
        <v/>
      </c>
      <c r="AS41" t="str">
        <f t="shared" si="6"/>
        <v/>
      </c>
      <c r="AT41" t="str">
        <f t="shared" si="7"/>
        <v/>
      </c>
      <c r="BG41" t="str">
        <f t="shared" si="8"/>
        <v/>
      </c>
      <c r="BH41" t="str">
        <f t="shared" si="9"/>
        <v/>
      </c>
      <c r="BL41" t="str">
        <f>IFERROR(INDEX(_names_lookup!$C:$C,MATCH(BK41,_names_lookup!$A:$A,0)),"")</f>
        <v/>
      </c>
      <c r="BM41" t="str">
        <f>IFERROR(INDEX(_names_lookup!$B:$B,MATCH(BK41,_names_lookup!$A:$A,0)),"")</f>
        <v/>
      </c>
      <c r="BS41" t="str">
        <f t="shared" si="10"/>
        <v/>
      </c>
    </row>
    <row r="42" spans="15:71" x14ac:dyDescent="0.2">
      <c r="O42" t="str">
        <f>IFERROR(INDEX(_courses_lookup!$C:$C,MATCH(K42&amp;L42,_courses_lookup!$E:$E,0)),"")</f>
        <v/>
      </c>
      <c r="P42" t="str">
        <f>IFERROR(INDEX(_courses_lookup!$D:$D,MATCH(K42&amp;L42,_courses_lookup!$E:$E,0)),"")</f>
        <v/>
      </c>
      <c r="AG42" t="str">
        <f t="shared" si="0"/>
        <v/>
      </c>
      <c r="AI42" t="str">
        <f t="shared" si="1"/>
        <v/>
      </c>
      <c r="AL42" t="str">
        <f t="shared" si="2"/>
        <v/>
      </c>
      <c r="AN42" t="str">
        <f t="shared" si="3"/>
        <v/>
      </c>
      <c r="AQ42" t="str">
        <f t="shared" si="4"/>
        <v/>
      </c>
      <c r="AR42" t="str">
        <f t="shared" si="5"/>
        <v/>
      </c>
      <c r="AS42" t="str">
        <f t="shared" si="6"/>
        <v/>
      </c>
      <c r="AT42" t="str">
        <f t="shared" si="7"/>
        <v/>
      </c>
      <c r="BG42" t="str">
        <f t="shared" si="8"/>
        <v/>
      </c>
      <c r="BH42" t="str">
        <f t="shared" si="9"/>
        <v/>
      </c>
      <c r="BL42" t="str">
        <f>IFERROR(INDEX(_names_lookup!$C:$C,MATCH(BK42,_names_lookup!$A:$A,0)),"")</f>
        <v/>
      </c>
      <c r="BM42" t="str">
        <f>IFERROR(INDEX(_names_lookup!$B:$B,MATCH(BK42,_names_lookup!$A:$A,0)),"")</f>
        <v/>
      </c>
      <c r="BS42" t="str">
        <f t="shared" si="10"/>
        <v/>
      </c>
    </row>
    <row r="43" spans="15:71" x14ac:dyDescent="0.2">
      <c r="O43" t="str">
        <f>IFERROR(INDEX(_courses_lookup!$C:$C,MATCH(K43&amp;L43,_courses_lookup!$E:$E,0)),"")</f>
        <v/>
      </c>
      <c r="P43" t="str">
        <f>IFERROR(INDEX(_courses_lookup!$D:$D,MATCH(K43&amp;L43,_courses_lookup!$E:$E,0)),"")</f>
        <v/>
      </c>
      <c r="AG43" t="str">
        <f t="shared" si="0"/>
        <v/>
      </c>
      <c r="AI43" t="str">
        <f t="shared" si="1"/>
        <v/>
      </c>
      <c r="AL43" t="str">
        <f t="shared" si="2"/>
        <v/>
      </c>
      <c r="AN43" t="str">
        <f t="shared" si="3"/>
        <v/>
      </c>
      <c r="AQ43" t="str">
        <f t="shared" si="4"/>
        <v/>
      </c>
      <c r="AR43" t="str">
        <f t="shared" si="5"/>
        <v/>
      </c>
      <c r="AS43" t="str">
        <f t="shared" si="6"/>
        <v/>
      </c>
      <c r="AT43" t="str">
        <f t="shared" si="7"/>
        <v/>
      </c>
      <c r="BG43" t="str">
        <f t="shared" si="8"/>
        <v/>
      </c>
      <c r="BH43" t="str">
        <f t="shared" si="9"/>
        <v/>
      </c>
      <c r="BL43" t="str">
        <f>IFERROR(INDEX(_names_lookup!$C:$C,MATCH(BK43,_names_lookup!$A:$A,0)),"")</f>
        <v/>
      </c>
      <c r="BM43" t="str">
        <f>IFERROR(INDEX(_names_lookup!$B:$B,MATCH(BK43,_names_lookup!$A:$A,0)),"")</f>
        <v/>
      </c>
      <c r="BS43" t="str">
        <f t="shared" si="10"/>
        <v/>
      </c>
    </row>
    <row r="44" spans="15:71" x14ac:dyDescent="0.2">
      <c r="O44" t="str">
        <f>IFERROR(INDEX(_courses_lookup!$C:$C,MATCH(K44&amp;L44,_courses_lookup!$E:$E,0)),"")</f>
        <v/>
      </c>
      <c r="P44" t="str">
        <f>IFERROR(INDEX(_courses_lookup!$D:$D,MATCH(K44&amp;L44,_courses_lookup!$E:$E,0)),"")</f>
        <v/>
      </c>
      <c r="AG44" t="str">
        <f t="shared" si="0"/>
        <v/>
      </c>
      <c r="AI44" t="str">
        <f t="shared" si="1"/>
        <v/>
      </c>
      <c r="AL44" t="str">
        <f t="shared" si="2"/>
        <v/>
      </c>
      <c r="AN44" t="str">
        <f t="shared" si="3"/>
        <v/>
      </c>
      <c r="AQ44" t="str">
        <f t="shared" si="4"/>
        <v/>
      </c>
      <c r="AR44" t="str">
        <f t="shared" si="5"/>
        <v/>
      </c>
      <c r="AS44" t="str">
        <f t="shared" si="6"/>
        <v/>
      </c>
      <c r="AT44" t="str">
        <f t="shared" si="7"/>
        <v/>
      </c>
      <c r="BG44" t="str">
        <f t="shared" si="8"/>
        <v/>
      </c>
      <c r="BH44" t="str">
        <f t="shared" si="9"/>
        <v/>
      </c>
      <c r="BL44" t="str">
        <f>IFERROR(INDEX(_names_lookup!$C:$C,MATCH(BK44,_names_lookup!$A:$A,0)),"")</f>
        <v/>
      </c>
      <c r="BM44" t="str">
        <f>IFERROR(INDEX(_names_lookup!$B:$B,MATCH(BK44,_names_lookup!$A:$A,0)),"")</f>
        <v/>
      </c>
      <c r="BS44" t="str">
        <f t="shared" si="10"/>
        <v/>
      </c>
    </row>
    <row r="45" spans="15:71" x14ac:dyDescent="0.2">
      <c r="O45" t="str">
        <f>IFERROR(INDEX(_courses_lookup!$C:$C,MATCH(K45&amp;L45,_courses_lookup!$E:$E,0)),"")</f>
        <v/>
      </c>
      <c r="P45" t="str">
        <f>IFERROR(INDEX(_courses_lookup!$D:$D,MATCH(K45&amp;L45,_courses_lookup!$E:$E,0)),"")</f>
        <v/>
      </c>
      <c r="AG45" t="str">
        <f t="shared" si="0"/>
        <v/>
      </c>
      <c r="AI45" t="str">
        <f t="shared" si="1"/>
        <v/>
      </c>
      <c r="AL45" t="str">
        <f t="shared" si="2"/>
        <v/>
      </c>
      <c r="AN45" t="str">
        <f t="shared" si="3"/>
        <v/>
      </c>
      <c r="AQ45" t="str">
        <f t="shared" si="4"/>
        <v/>
      </c>
      <c r="AR45" t="str">
        <f t="shared" si="5"/>
        <v/>
      </c>
      <c r="AS45" t="str">
        <f t="shared" si="6"/>
        <v/>
      </c>
      <c r="AT45" t="str">
        <f t="shared" si="7"/>
        <v/>
      </c>
      <c r="BG45" t="str">
        <f t="shared" si="8"/>
        <v/>
      </c>
      <c r="BH45" t="str">
        <f t="shared" si="9"/>
        <v/>
      </c>
      <c r="BL45" t="str">
        <f>IFERROR(INDEX(_names_lookup!$C:$C,MATCH(BK45,_names_lookup!$A:$A,0)),"")</f>
        <v/>
      </c>
      <c r="BM45" t="str">
        <f>IFERROR(INDEX(_names_lookup!$B:$B,MATCH(BK45,_names_lookup!$A:$A,0)),"")</f>
        <v/>
      </c>
      <c r="BS45" t="str">
        <f t="shared" si="10"/>
        <v/>
      </c>
    </row>
    <row r="46" spans="15:71" x14ac:dyDescent="0.2">
      <c r="O46" t="str">
        <f>IFERROR(INDEX(_courses_lookup!$C:$C,MATCH(K46&amp;L46,_courses_lookup!$E:$E,0)),"")</f>
        <v/>
      </c>
      <c r="P46" t="str">
        <f>IFERROR(INDEX(_courses_lookup!$D:$D,MATCH(K46&amp;L46,_courses_lookup!$E:$E,0)),"")</f>
        <v/>
      </c>
      <c r="AG46" t="str">
        <f t="shared" si="0"/>
        <v/>
      </c>
      <c r="AI46" t="str">
        <f t="shared" si="1"/>
        <v/>
      </c>
      <c r="AL46" t="str">
        <f t="shared" si="2"/>
        <v/>
      </c>
      <c r="AN46" t="str">
        <f t="shared" si="3"/>
        <v/>
      </c>
      <c r="AQ46" t="str">
        <f t="shared" si="4"/>
        <v/>
      </c>
      <c r="AR46" t="str">
        <f t="shared" si="5"/>
        <v/>
      </c>
      <c r="AS46" t="str">
        <f t="shared" si="6"/>
        <v/>
      </c>
      <c r="AT46" t="str">
        <f t="shared" si="7"/>
        <v/>
      </c>
      <c r="BG46" t="str">
        <f t="shared" si="8"/>
        <v/>
      </c>
      <c r="BH46" t="str">
        <f t="shared" si="9"/>
        <v/>
      </c>
      <c r="BL46" t="str">
        <f>IFERROR(INDEX(_names_lookup!$C:$C,MATCH(BK46,_names_lookup!$A:$A,0)),"")</f>
        <v/>
      </c>
      <c r="BM46" t="str">
        <f>IFERROR(INDEX(_names_lookup!$B:$B,MATCH(BK46,_names_lookup!$A:$A,0)),"")</f>
        <v/>
      </c>
      <c r="BS46" t="str">
        <f t="shared" si="10"/>
        <v/>
      </c>
    </row>
    <row r="47" spans="15:71" x14ac:dyDescent="0.2">
      <c r="O47" t="str">
        <f>IFERROR(INDEX(_courses_lookup!$C:$C,MATCH(K47&amp;L47,_courses_lookup!$E:$E,0)),"")</f>
        <v/>
      </c>
      <c r="P47" t="str">
        <f>IFERROR(INDEX(_courses_lookup!$D:$D,MATCH(K47&amp;L47,_courses_lookup!$E:$E,0)),"")</f>
        <v/>
      </c>
      <c r="AG47" t="str">
        <f t="shared" si="0"/>
        <v/>
      </c>
      <c r="AI47" t="str">
        <f t="shared" si="1"/>
        <v/>
      </c>
      <c r="AL47" t="str">
        <f t="shared" si="2"/>
        <v/>
      </c>
      <c r="AN47" t="str">
        <f t="shared" si="3"/>
        <v/>
      </c>
      <c r="AQ47" t="str">
        <f t="shared" si="4"/>
        <v/>
      </c>
      <c r="AR47" t="str">
        <f t="shared" si="5"/>
        <v/>
      </c>
      <c r="AS47" t="str">
        <f t="shared" si="6"/>
        <v/>
      </c>
      <c r="AT47" t="str">
        <f t="shared" si="7"/>
        <v/>
      </c>
      <c r="BG47" t="str">
        <f t="shared" si="8"/>
        <v/>
      </c>
      <c r="BH47" t="str">
        <f t="shared" si="9"/>
        <v/>
      </c>
      <c r="BL47" t="str">
        <f>IFERROR(INDEX(_names_lookup!$C:$C,MATCH(BK47,_names_lookup!$A:$A,0)),"")</f>
        <v/>
      </c>
      <c r="BM47" t="str">
        <f>IFERROR(INDEX(_names_lookup!$B:$B,MATCH(BK47,_names_lookup!$A:$A,0)),"")</f>
        <v/>
      </c>
      <c r="BS47" t="str">
        <f t="shared" si="10"/>
        <v/>
      </c>
    </row>
    <row r="48" spans="15:71" x14ac:dyDescent="0.2">
      <c r="O48" t="str">
        <f>IFERROR(INDEX(_courses_lookup!$C:$C,MATCH(K48&amp;L48,_courses_lookup!$E:$E,0)),"")</f>
        <v/>
      </c>
      <c r="P48" t="str">
        <f>IFERROR(INDEX(_courses_lookup!$D:$D,MATCH(K48&amp;L48,_courses_lookup!$E:$E,0)),"")</f>
        <v/>
      </c>
      <c r="AG48" t="str">
        <f t="shared" si="0"/>
        <v/>
      </c>
      <c r="AI48" t="str">
        <f t="shared" si="1"/>
        <v/>
      </c>
      <c r="AL48" t="str">
        <f t="shared" si="2"/>
        <v/>
      </c>
      <c r="AN48" t="str">
        <f t="shared" si="3"/>
        <v/>
      </c>
      <c r="AQ48" t="str">
        <f t="shared" si="4"/>
        <v/>
      </c>
      <c r="AR48" t="str">
        <f t="shared" si="5"/>
        <v/>
      </c>
      <c r="AS48" t="str">
        <f t="shared" si="6"/>
        <v/>
      </c>
      <c r="AT48" t="str">
        <f t="shared" si="7"/>
        <v/>
      </c>
      <c r="BG48" t="str">
        <f t="shared" si="8"/>
        <v/>
      </c>
      <c r="BH48" t="str">
        <f t="shared" si="9"/>
        <v/>
      </c>
      <c r="BL48" t="str">
        <f>IFERROR(INDEX(_names_lookup!$C:$C,MATCH(BK48,_names_lookup!$A:$A,0)),"")</f>
        <v/>
      </c>
      <c r="BM48" t="str">
        <f>IFERROR(INDEX(_names_lookup!$B:$B,MATCH(BK48,_names_lookup!$A:$A,0)),"")</f>
        <v/>
      </c>
      <c r="BS48" t="str">
        <f t="shared" si="10"/>
        <v/>
      </c>
    </row>
    <row r="49" spans="15:71" x14ac:dyDescent="0.2">
      <c r="O49" t="str">
        <f>IFERROR(INDEX(_courses_lookup!$C:$C,MATCH(K49&amp;L49,_courses_lookup!$E:$E,0)),"")</f>
        <v/>
      </c>
      <c r="P49" t="str">
        <f>IFERROR(INDEX(_courses_lookup!$D:$D,MATCH(K49&amp;L49,_courses_lookup!$E:$E,0)),"")</f>
        <v/>
      </c>
      <c r="AG49" t="str">
        <f t="shared" si="0"/>
        <v/>
      </c>
      <c r="AI49" t="str">
        <f t="shared" si="1"/>
        <v/>
      </c>
      <c r="AL49" t="str">
        <f t="shared" si="2"/>
        <v/>
      </c>
      <c r="AN49" t="str">
        <f t="shared" si="3"/>
        <v/>
      </c>
      <c r="AQ49" t="str">
        <f t="shared" si="4"/>
        <v/>
      </c>
      <c r="AR49" t="str">
        <f t="shared" si="5"/>
        <v/>
      </c>
      <c r="AS49" t="str">
        <f t="shared" si="6"/>
        <v/>
      </c>
      <c r="AT49" t="str">
        <f t="shared" si="7"/>
        <v/>
      </c>
      <c r="BG49" t="str">
        <f t="shared" si="8"/>
        <v/>
      </c>
      <c r="BH49" t="str">
        <f t="shared" si="9"/>
        <v/>
      </c>
      <c r="BL49" t="str">
        <f>IFERROR(INDEX(_names_lookup!$C:$C,MATCH(BK49,_names_lookup!$A:$A,0)),"")</f>
        <v/>
      </c>
      <c r="BM49" t="str">
        <f>IFERROR(INDEX(_names_lookup!$B:$B,MATCH(BK49,_names_lookup!$A:$A,0)),"")</f>
        <v/>
      </c>
      <c r="BS49" t="str">
        <f t="shared" si="10"/>
        <v/>
      </c>
    </row>
    <row r="50" spans="15:71" x14ac:dyDescent="0.2">
      <c r="O50" t="str">
        <f>IFERROR(INDEX(_courses_lookup!$C:$C,MATCH(K50&amp;L50,_courses_lookup!$E:$E,0)),"")</f>
        <v/>
      </c>
      <c r="P50" t="str">
        <f>IFERROR(INDEX(_courses_lookup!$D:$D,MATCH(K50&amp;L50,_courses_lookup!$E:$E,0)),"")</f>
        <v/>
      </c>
      <c r="AG50" t="str">
        <f t="shared" si="0"/>
        <v/>
      </c>
      <c r="AI50" t="str">
        <f t="shared" si="1"/>
        <v/>
      </c>
      <c r="AL50" t="str">
        <f t="shared" si="2"/>
        <v/>
      </c>
      <c r="AN50" t="str">
        <f t="shared" si="3"/>
        <v/>
      </c>
      <c r="AQ50" t="str">
        <f t="shared" si="4"/>
        <v/>
      </c>
      <c r="AR50" t="str">
        <f t="shared" si="5"/>
        <v/>
      </c>
      <c r="AS50" t="str">
        <f t="shared" si="6"/>
        <v/>
      </c>
      <c r="AT50" t="str">
        <f t="shared" si="7"/>
        <v/>
      </c>
      <c r="BG50" t="str">
        <f t="shared" si="8"/>
        <v/>
      </c>
      <c r="BH50" t="str">
        <f t="shared" si="9"/>
        <v/>
      </c>
      <c r="BL50" t="str">
        <f>IFERROR(INDEX(_names_lookup!$C:$C,MATCH(BK50,_names_lookup!$A:$A,0)),"")</f>
        <v/>
      </c>
      <c r="BM50" t="str">
        <f>IFERROR(INDEX(_names_lookup!$B:$B,MATCH(BK50,_names_lookup!$A:$A,0)),"")</f>
        <v/>
      </c>
      <c r="BS50" t="str">
        <f t="shared" si="10"/>
        <v/>
      </c>
    </row>
    <row r="51" spans="15:71" x14ac:dyDescent="0.2">
      <c r="O51" t="str">
        <f>IFERROR(INDEX(_courses_lookup!$C:$C,MATCH(K51&amp;L51,_courses_lookup!$E:$E,0)),"")</f>
        <v/>
      </c>
      <c r="P51" t="str">
        <f>IFERROR(INDEX(_courses_lookup!$D:$D,MATCH(K51&amp;L51,_courses_lookup!$E:$E,0)),"")</f>
        <v/>
      </c>
      <c r="AG51" t="str">
        <f t="shared" si="0"/>
        <v/>
      </c>
      <c r="AI51" t="str">
        <f t="shared" si="1"/>
        <v/>
      </c>
      <c r="AL51" t="str">
        <f t="shared" si="2"/>
        <v/>
      </c>
      <c r="AN51" t="str">
        <f t="shared" si="3"/>
        <v/>
      </c>
      <c r="AQ51" t="str">
        <f t="shared" si="4"/>
        <v/>
      </c>
      <c r="AR51" t="str">
        <f t="shared" si="5"/>
        <v/>
      </c>
      <c r="AS51" t="str">
        <f t="shared" si="6"/>
        <v/>
      </c>
      <c r="AT51" t="str">
        <f t="shared" si="7"/>
        <v/>
      </c>
      <c r="BG51" t="str">
        <f t="shared" si="8"/>
        <v/>
      </c>
      <c r="BH51" t="str">
        <f t="shared" si="9"/>
        <v/>
      </c>
      <c r="BL51" t="str">
        <f>IFERROR(INDEX(_names_lookup!$C:$C,MATCH(BK51,_names_lookup!$A:$A,0)),"")</f>
        <v/>
      </c>
      <c r="BM51" t="str">
        <f>IFERROR(INDEX(_names_lookup!$B:$B,MATCH(BK51,_names_lookup!$A:$A,0)),"")</f>
        <v/>
      </c>
      <c r="BS51" t="str">
        <f t="shared" si="10"/>
        <v/>
      </c>
    </row>
    <row r="52" spans="15:71" x14ac:dyDescent="0.2">
      <c r="O52" t="str">
        <f>IFERROR(INDEX(_courses_lookup!$C:$C,MATCH(K52&amp;L52,_courses_lookup!$E:$E,0)),"")</f>
        <v/>
      </c>
      <c r="P52" t="str">
        <f>IFERROR(INDEX(_courses_lookup!$D:$D,MATCH(K52&amp;L52,_courses_lookup!$E:$E,0)),"")</f>
        <v/>
      </c>
      <c r="AG52" t="str">
        <f t="shared" si="0"/>
        <v/>
      </c>
      <c r="AI52" t="str">
        <f t="shared" si="1"/>
        <v/>
      </c>
      <c r="AL52" t="str">
        <f t="shared" si="2"/>
        <v/>
      </c>
      <c r="AN52" t="str">
        <f t="shared" si="3"/>
        <v/>
      </c>
      <c r="AQ52" t="str">
        <f t="shared" si="4"/>
        <v/>
      </c>
      <c r="AR52" t="str">
        <f t="shared" si="5"/>
        <v/>
      </c>
      <c r="AS52" t="str">
        <f t="shared" si="6"/>
        <v/>
      </c>
      <c r="AT52" t="str">
        <f t="shared" si="7"/>
        <v/>
      </c>
      <c r="BG52" t="str">
        <f t="shared" si="8"/>
        <v/>
      </c>
      <c r="BH52" t="str">
        <f t="shared" si="9"/>
        <v/>
      </c>
      <c r="BL52" t="str">
        <f>IFERROR(INDEX(_names_lookup!$C:$C,MATCH(BK52,_names_lookup!$A:$A,0)),"")</f>
        <v/>
      </c>
      <c r="BM52" t="str">
        <f>IFERROR(INDEX(_names_lookup!$B:$B,MATCH(BK52,_names_lookup!$A:$A,0)),"")</f>
        <v/>
      </c>
      <c r="BS52" t="str">
        <f t="shared" si="10"/>
        <v/>
      </c>
    </row>
    <row r="53" spans="15:71" x14ac:dyDescent="0.2">
      <c r="O53" t="str">
        <f>IFERROR(INDEX(_courses_lookup!$C:$C,MATCH(K53&amp;L53,_courses_lookup!$E:$E,0)),"")</f>
        <v/>
      </c>
      <c r="P53" t="str">
        <f>IFERROR(INDEX(_courses_lookup!$D:$D,MATCH(K53&amp;L53,_courses_lookup!$E:$E,0)),"")</f>
        <v/>
      </c>
      <c r="AG53" t="str">
        <f t="shared" si="0"/>
        <v/>
      </c>
      <c r="AI53" t="str">
        <f t="shared" si="1"/>
        <v/>
      </c>
      <c r="AL53" t="str">
        <f t="shared" si="2"/>
        <v/>
      </c>
      <c r="AN53" t="str">
        <f t="shared" si="3"/>
        <v/>
      </c>
      <c r="AQ53" t="str">
        <f t="shared" si="4"/>
        <v/>
      </c>
      <c r="AR53" t="str">
        <f t="shared" si="5"/>
        <v/>
      </c>
      <c r="AS53" t="str">
        <f t="shared" si="6"/>
        <v/>
      </c>
      <c r="AT53" t="str">
        <f t="shared" si="7"/>
        <v/>
      </c>
      <c r="BG53" t="str">
        <f t="shared" si="8"/>
        <v/>
      </c>
      <c r="BH53" t="str">
        <f t="shared" si="9"/>
        <v/>
      </c>
      <c r="BL53" t="str">
        <f>IFERROR(INDEX(_names_lookup!$C:$C,MATCH(BK53,_names_lookup!$A:$A,0)),"")</f>
        <v/>
      </c>
      <c r="BM53" t="str">
        <f>IFERROR(INDEX(_names_lookup!$B:$B,MATCH(BK53,_names_lookup!$A:$A,0)),"")</f>
        <v/>
      </c>
      <c r="BS53" t="str">
        <f t="shared" si="10"/>
        <v/>
      </c>
    </row>
    <row r="54" spans="15:71" x14ac:dyDescent="0.2">
      <c r="O54" t="str">
        <f>IFERROR(INDEX(_courses_lookup!$C:$C,MATCH(K54&amp;L54,_courses_lookup!$E:$E,0)),"")</f>
        <v/>
      </c>
      <c r="P54" t="str">
        <f>IFERROR(INDEX(_courses_lookup!$D:$D,MATCH(K54&amp;L54,_courses_lookup!$E:$E,0)),"")</f>
        <v/>
      </c>
      <c r="AG54" t="str">
        <f t="shared" si="0"/>
        <v/>
      </c>
      <c r="AI54" t="str">
        <f t="shared" si="1"/>
        <v/>
      </c>
      <c r="AL54" t="str">
        <f t="shared" si="2"/>
        <v/>
      </c>
      <c r="AN54" t="str">
        <f t="shared" si="3"/>
        <v/>
      </c>
      <c r="AQ54" t="str">
        <f t="shared" si="4"/>
        <v/>
      </c>
      <c r="AR54" t="str">
        <f t="shared" si="5"/>
        <v/>
      </c>
      <c r="AS54" t="str">
        <f t="shared" si="6"/>
        <v/>
      </c>
      <c r="AT54" t="str">
        <f t="shared" si="7"/>
        <v/>
      </c>
      <c r="BG54" t="str">
        <f t="shared" si="8"/>
        <v/>
      </c>
      <c r="BH54" t="str">
        <f t="shared" si="9"/>
        <v/>
      </c>
      <c r="BL54" t="str">
        <f>IFERROR(INDEX(_names_lookup!$C:$C,MATCH(BK54,_names_lookup!$A:$A,0)),"")</f>
        <v/>
      </c>
      <c r="BM54" t="str">
        <f>IFERROR(INDEX(_names_lookup!$B:$B,MATCH(BK54,_names_lookup!$A:$A,0)),"")</f>
        <v/>
      </c>
      <c r="BS54" t="str">
        <f t="shared" si="10"/>
        <v/>
      </c>
    </row>
    <row r="55" spans="15:71" x14ac:dyDescent="0.2">
      <c r="O55" t="str">
        <f>IFERROR(INDEX(_courses_lookup!$C:$C,MATCH(K55&amp;L55,_courses_lookup!$E:$E,0)),"")</f>
        <v/>
      </c>
      <c r="P55" t="str">
        <f>IFERROR(INDEX(_courses_lookup!$D:$D,MATCH(K55&amp;L55,_courses_lookup!$E:$E,0)),"")</f>
        <v/>
      </c>
      <c r="AG55" t="str">
        <f t="shared" si="0"/>
        <v/>
      </c>
      <c r="AI55" t="str">
        <f t="shared" si="1"/>
        <v/>
      </c>
      <c r="AL55" t="str">
        <f t="shared" si="2"/>
        <v/>
      </c>
      <c r="AN55" t="str">
        <f t="shared" si="3"/>
        <v/>
      </c>
      <c r="AQ55" t="str">
        <f t="shared" si="4"/>
        <v/>
      </c>
      <c r="AR55" t="str">
        <f t="shared" si="5"/>
        <v/>
      </c>
      <c r="AS55" t="str">
        <f t="shared" si="6"/>
        <v/>
      </c>
      <c r="AT55" t="str">
        <f t="shared" si="7"/>
        <v/>
      </c>
      <c r="BG55" t="str">
        <f t="shared" si="8"/>
        <v/>
      </c>
      <c r="BH55" t="str">
        <f t="shared" si="9"/>
        <v/>
      </c>
      <c r="BL55" t="str">
        <f>IFERROR(INDEX(_names_lookup!$C:$C,MATCH(BK55,_names_lookup!$A:$A,0)),"")</f>
        <v/>
      </c>
      <c r="BM55" t="str">
        <f>IFERROR(INDEX(_names_lookup!$B:$B,MATCH(BK55,_names_lookup!$A:$A,0)),"")</f>
        <v/>
      </c>
      <c r="BS55" t="str">
        <f t="shared" si="10"/>
        <v/>
      </c>
    </row>
    <row r="56" spans="15:71" x14ac:dyDescent="0.2">
      <c r="O56" t="str">
        <f>IFERROR(INDEX(_courses_lookup!$C:$C,MATCH(K56&amp;L56,_courses_lookup!$E:$E,0)),"")</f>
        <v/>
      </c>
      <c r="P56" t="str">
        <f>IFERROR(INDEX(_courses_lookup!$D:$D,MATCH(K56&amp;L56,_courses_lookup!$E:$E,0)),"")</f>
        <v/>
      </c>
      <c r="AG56" t="str">
        <f t="shared" si="0"/>
        <v/>
      </c>
      <c r="AI56" t="str">
        <f t="shared" si="1"/>
        <v/>
      </c>
      <c r="AL56" t="str">
        <f t="shared" si="2"/>
        <v/>
      </c>
      <c r="AN56" t="str">
        <f t="shared" si="3"/>
        <v/>
      </c>
      <c r="AQ56" t="str">
        <f t="shared" si="4"/>
        <v/>
      </c>
      <c r="AR56" t="str">
        <f t="shared" si="5"/>
        <v/>
      </c>
      <c r="AS56" t="str">
        <f t="shared" si="6"/>
        <v/>
      </c>
      <c r="AT56" t="str">
        <f t="shared" si="7"/>
        <v/>
      </c>
      <c r="BG56" t="str">
        <f t="shared" si="8"/>
        <v/>
      </c>
      <c r="BH56" t="str">
        <f t="shared" si="9"/>
        <v/>
      </c>
      <c r="BL56" t="str">
        <f>IFERROR(INDEX(_names_lookup!$C:$C,MATCH(BK56,_names_lookup!$A:$A,0)),"")</f>
        <v/>
      </c>
      <c r="BM56" t="str">
        <f>IFERROR(INDEX(_names_lookup!$B:$B,MATCH(BK56,_names_lookup!$A:$A,0)),"")</f>
        <v/>
      </c>
      <c r="BS56" t="str">
        <f t="shared" si="10"/>
        <v/>
      </c>
    </row>
    <row r="57" spans="15:71" x14ac:dyDescent="0.2">
      <c r="O57" t="str">
        <f>IFERROR(INDEX(_courses_lookup!$C:$C,MATCH(K57&amp;L57,_courses_lookup!$E:$E,0)),"")</f>
        <v/>
      </c>
      <c r="P57" t="str">
        <f>IFERROR(INDEX(_courses_lookup!$D:$D,MATCH(K57&amp;L57,_courses_lookup!$E:$E,0)),"")</f>
        <v/>
      </c>
      <c r="AG57" t="str">
        <f t="shared" si="0"/>
        <v/>
      </c>
      <c r="AI57" t="str">
        <f t="shared" si="1"/>
        <v/>
      </c>
      <c r="AL57" t="str">
        <f t="shared" si="2"/>
        <v/>
      </c>
      <c r="AN57" t="str">
        <f t="shared" si="3"/>
        <v/>
      </c>
      <c r="AQ57" t="str">
        <f t="shared" si="4"/>
        <v/>
      </c>
      <c r="AR57" t="str">
        <f t="shared" si="5"/>
        <v/>
      </c>
      <c r="AS57" t="str">
        <f t="shared" si="6"/>
        <v/>
      </c>
      <c r="AT57" t="str">
        <f t="shared" si="7"/>
        <v/>
      </c>
      <c r="BG57" t="str">
        <f t="shared" si="8"/>
        <v/>
      </c>
      <c r="BH57" t="str">
        <f t="shared" si="9"/>
        <v/>
      </c>
      <c r="BL57" t="str">
        <f>IFERROR(INDEX(_names_lookup!$C:$C,MATCH(BK57,_names_lookup!$A:$A,0)),"")</f>
        <v/>
      </c>
      <c r="BM57" t="str">
        <f>IFERROR(INDEX(_names_lookup!$B:$B,MATCH(BK57,_names_lookup!$A:$A,0)),"")</f>
        <v/>
      </c>
      <c r="BS57" t="str">
        <f t="shared" si="10"/>
        <v/>
      </c>
    </row>
    <row r="58" spans="15:71" x14ac:dyDescent="0.2">
      <c r="O58" t="str">
        <f>IFERROR(INDEX(_courses_lookup!$C:$C,MATCH(K58&amp;L58,_courses_lookup!$E:$E,0)),"")</f>
        <v/>
      </c>
      <c r="P58" t="str">
        <f>IFERROR(INDEX(_courses_lookup!$D:$D,MATCH(K58&amp;L58,_courses_lookup!$E:$E,0)),"")</f>
        <v/>
      </c>
      <c r="AG58" t="str">
        <f t="shared" si="0"/>
        <v/>
      </c>
      <c r="AI58" t="str">
        <f t="shared" si="1"/>
        <v/>
      </c>
      <c r="AL58" t="str">
        <f t="shared" si="2"/>
        <v/>
      </c>
      <c r="AN58" t="str">
        <f t="shared" si="3"/>
        <v/>
      </c>
      <c r="AQ58" t="str">
        <f t="shared" si="4"/>
        <v/>
      </c>
      <c r="AR58" t="str">
        <f t="shared" si="5"/>
        <v/>
      </c>
      <c r="AS58" t="str">
        <f t="shared" si="6"/>
        <v/>
      </c>
      <c r="AT58" t="str">
        <f t="shared" si="7"/>
        <v/>
      </c>
      <c r="BG58" t="str">
        <f t="shared" si="8"/>
        <v/>
      </c>
      <c r="BH58" t="str">
        <f t="shared" si="9"/>
        <v/>
      </c>
      <c r="BL58" t="str">
        <f>IFERROR(INDEX(_names_lookup!$C:$C,MATCH(BK58,_names_lookup!$A:$A,0)),"")</f>
        <v/>
      </c>
      <c r="BM58" t="str">
        <f>IFERROR(INDEX(_names_lookup!$B:$B,MATCH(BK58,_names_lookup!$A:$A,0)),"")</f>
        <v/>
      </c>
      <c r="BS58" t="str">
        <f t="shared" si="10"/>
        <v/>
      </c>
    </row>
    <row r="59" spans="15:71" x14ac:dyDescent="0.2">
      <c r="O59" t="str">
        <f>IFERROR(INDEX(_courses_lookup!$C:$C,MATCH(K59&amp;L59,_courses_lookup!$E:$E,0)),"")</f>
        <v/>
      </c>
      <c r="P59" t="str">
        <f>IFERROR(INDEX(_courses_lookup!$D:$D,MATCH(K59&amp;L59,_courses_lookup!$E:$E,0)),"")</f>
        <v/>
      </c>
      <c r="AG59" t="str">
        <f t="shared" si="0"/>
        <v/>
      </c>
      <c r="AI59" t="str">
        <f t="shared" si="1"/>
        <v/>
      </c>
      <c r="AL59" t="str">
        <f t="shared" si="2"/>
        <v/>
      </c>
      <c r="AN59" t="str">
        <f t="shared" si="3"/>
        <v/>
      </c>
      <c r="AQ59" t="str">
        <f t="shared" si="4"/>
        <v/>
      </c>
      <c r="AR59" t="str">
        <f t="shared" si="5"/>
        <v/>
      </c>
      <c r="AS59" t="str">
        <f t="shared" si="6"/>
        <v/>
      </c>
      <c r="AT59" t="str">
        <f t="shared" si="7"/>
        <v/>
      </c>
      <c r="BG59" t="str">
        <f t="shared" si="8"/>
        <v/>
      </c>
      <c r="BH59" t="str">
        <f t="shared" si="9"/>
        <v/>
      </c>
      <c r="BL59" t="str">
        <f>IFERROR(INDEX(_names_lookup!$C:$C,MATCH(BK59,_names_lookup!$A:$A,0)),"")</f>
        <v/>
      </c>
      <c r="BM59" t="str">
        <f>IFERROR(INDEX(_names_lookup!$B:$B,MATCH(BK59,_names_lookup!$A:$A,0)),"")</f>
        <v/>
      </c>
      <c r="BS59" t="str">
        <f t="shared" si="10"/>
        <v/>
      </c>
    </row>
    <row r="60" spans="15:71" x14ac:dyDescent="0.2">
      <c r="O60" t="str">
        <f>IFERROR(INDEX(_courses_lookup!$C:$C,MATCH(K60&amp;L60,_courses_lookup!$E:$E,0)),"")</f>
        <v/>
      </c>
      <c r="P60" t="str">
        <f>IFERROR(INDEX(_courses_lookup!$D:$D,MATCH(K60&amp;L60,_courses_lookup!$E:$E,0)),"")</f>
        <v/>
      </c>
      <c r="AG60" t="str">
        <f t="shared" si="0"/>
        <v/>
      </c>
      <c r="AI60" t="str">
        <f t="shared" si="1"/>
        <v/>
      </c>
      <c r="AL60" t="str">
        <f t="shared" si="2"/>
        <v/>
      </c>
      <c r="AN60" t="str">
        <f t="shared" si="3"/>
        <v/>
      </c>
      <c r="AQ60" t="str">
        <f t="shared" si="4"/>
        <v/>
      </c>
      <c r="AR60" t="str">
        <f t="shared" si="5"/>
        <v/>
      </c>
      <c r="AS60" t="str">
        <f t="shared" si="6"/>
        <v/>
      </c>
      <c r="AT60" t="str">
        <f t="shared" si="7"/>
        <v/>
      </c>
      <c r="BG60" t="str">
        <f t="shared" si="8"/>
        <v/>
      </c>
      <c r="BH60" t="str">
        <f t="shared" si="9"/>
        <v/>
      </c>
      <c r="BL60" t="str">
        <f>IFERROR(INDEX(_names_lookup!$C:$C,MATCH(BK60,_names_lookup!$A:$A,0)),"")</f>
        <v/>
      </c>
      <c r="BM60" t="str">
        <f>IFERROR(INDEX(_names_lookup!$B:$B,MATCH(BK60,_names_lookup!$A:$A,0)),"")</f>
        <v/>
      </c>
      <c r="BS60" t="str">
        <f t="shared" si="10"/>
        <v/>
      </c>
    </row>
    <row r="61" spans="15:71" x14ac:dyDescent="0.2">
      <c r="O61" t="str">
        <f>IFERROR(INDEX(_courses_lookup!$C:$C,MATCH(K61&amp;L61,_courses_lookup!$E:$E,0)),"")</f>
        <v/>
      </c>
      <c r="P61" t="str">
        <f>IFERROR(INDEX(_courses_lookup!$D:$D,MATCH(K61&amp;L61,_courses_lookup!$E:$E,0)),"")</f>
        <v/>
      </c>
      <c r="AG61" t="str">
        <f t="shared" si="0"/>
        <v/>
      </c>
      <c r="AI61" t="str">
        <f t="shared" si="1"/>
        <v/>
      </c>
      <c r="AL61" t="str">
        <f t="shared" si="2"/>
        <v/>
      </c>
      <c r="AN61" t="str">
        <f t="shared" si="3"/>
        <v/>
      </c>
      <c r="AQ61" t="str">
        <f t="shared" si="4"/>
        <v/>
      </c>
      <c r="AR61" t="str">
        <f t="shared" si="5"/>
        <v/>
      </c>
      <c r="AS61" t="str">
        <f t="shared" si="6"/>
        <v/>
      </c>
      <c r="AT61" t="str">
        <f t="shared" si="7"/>
        <v/>
      </c>
      <c r="BG61" t="str">
        <f t="shared" si="8"/>
        <v/>
      </c>
      <c r="BH61" t="str">
        <f t="shared" si="9"/>
        <v/>
      </c>
      <c r="BL61" t="str">
        <f>IFERROR(INDEX(_names_lookup!$C:$C,MATCH(BK61,_names_lookup!$A:$A,0)),"")</f>
        <v/>
      </c>
      <c r="BM61" t="str">
        <f>IFERROR(INDEX(_names_lookup!$B:$B,MATCH(BK61,_names_lookup!$A:$A,0)),"")</f>
        <v/>
      </c>
      <c r="BS61" t="str">
        <f t="shared" si="10"/>
        <v/>
      </c>
    </row>
    <row r="62" spans="15:71" x14ac:dyDescent="0.2">
      <c r="O62" t="str">
        <f>IFERROR(INDEX(_courses_lookup!$C:$C,MATCH(K62&amp;L62,_courses_lookup!$E:$E,0)),"")</f>
        <v/>
      </c>
      <c r="P62" t="str">
        <f>IFERROR(INDEX(_courses_lookup!$D:$D,MATCH(K62&amp;L62,_courses_lookup!$E:$E,0)),"")</f>
        <v/>
      </c>
      <c r="AG62" t="str">
        <f t="shared" si="0"/>
        <v/>
      </c>
      <c r="AI62" t="str">
        <f t="shared" si="1"/>
        <v/>
      </c>
      <c r="AL62" t="str">
        <f t="shared" si="2"/>
        <v/>
      </c>
      <c r="AN62" t="str">
        <f t="shared" si="3"/>
        <v/>
      </c>
      <c r="AQ62" t="str">
        <f t="shared" si="4"/>
        <v/>
      </c>
      <c r="AR62" t="str">
        <f t="shared" si="5"/>
        <v/>
      </c>
      <c r="AS62" t="str">
        <f t="shared" si="6"/>
        <v/>
      </c>
      <c r="AT62" t="str">
        <f t="shared" si="7"/>
        <v/>
      </c>
      <c r="BG62" t="str">
        <f t="shared" si="8"/>
        <v/>
      </c>
      <c r="BH62" t="str">
        <f t="shared" si="9"/>
        <v/>
      </c>
      <c r="BL62" t="str">
        <f>IFERROR(INDEX(_names_lookup!$C:$C,MATCH(BK62,_names_lookup!$A:$A,0)),"")</f>
        <v/>
      </c>
      <c r="BM62" t="str">
        <f>IFERROR(INDEX(_names_lookup!$B:$B,MATCH(BK62,_names_lookup!$A:$A,0)),"")</f>
        <v/>
      </c>
      <c r="BS62" t="str">
        <f t="shared" si="10"/>
        <v/>
      </c>
    </row>
    <row r="63" spans="15:71" x14ac:dyDescent="0.2">
      <c r="O63" t="str">
        <f>IFERROR(INDEX(_courses_lookup!$C:$C,MATCH(K63&amp;L63,_courses_lookup!$E:$E,0)),"")</f>
        <v/>
      </c>
      <c r="P63" t="str">
        <f>IFERROR(INDEX(_courses_lookup!$D:$D,MATCH(K63&amp;L63,_courses_lookup!$E:$E,0)),"")</f>
        <v/>
      </c>
      <c r="AG63" t="str">
        <f t="shared" si="0"/>
        <v/>
      </c>
      <c r="AI63" t="str">
        <f t="shared" si="1"/>
        <v/>
      </c>
      <c r="AL63" t="str">
        <f t="shared" si="2"/>
        <v/>
      </c>
      <c r="AN63" t="str">
        <f t="shared" si="3"/>
        <v/>
      </c>
      <c r="AQ63" t="str">
        <f t="shared" si="4"/>
        <v/>
      </c>
      <c r="AR63" t="str">
        <f t="shared" si="5"/>
        <v/>
      </c>
      <c r="AS63" t="str">
        <f t="shared" si="6"/>
        <v/>
      </c>
      <c r="AT63" t="str">
        <f t="shared" si="7"/>
        <v/>
      </c>
      <c r="BG63" t="str">
        <f t="shared" si="8"/>
        <v/>
      </c>
      <c r="BH63" t="str">
        <f t="shared" si="9"/>
        <v/>
      </c>
      <c r="BL63" t="str">
        <f>IFERROR(INDEX(_names_lookup!$C:$C,MATCH(BK63,_names_lookup!$A:$A,0)),"")</f>
        <v/>
      </c>
      <c r="BM63" t="str">
        <f>IFERROR(INDEX(_names_lookup!$B:$B,MATCH(BK63,_names_lookup!$A:$A,0)),"")</f>
        <v/>
      </c>
      <c r="BS63" t="str">
        <f t="shared" si="10"/>
        <v/>
      </c>
    </row>
    <row r="64" spans="15:71" x14ac:dyDescent="0.2">
      <c r="O64" t="str">
        <f>IFERROR(INDEX(_courses_lookup!$C:$C,MATCH(K64&amp;L64,_courses_lookup!$E:$E,0)),"")</f>
        <v/>
      </c>
      <c r="P64" t="str">
        <f>IFERROR(INDEX(_courses_lookup!$D:$D,MATCH(K64&amp;L64,_courses_lookup!$E:$E,0)),"")</f>
        <v/>
      </c>
      <c r="AG64" t="str">
        <f t="shared" si="0"/>
        <v/>
      </c>
      <c r="AI64" t="str">
        <f t="shared" si="1"/>
        <v/>
      </c>
      <c r="AL64" t="str">
        <f t="shared" si="2"/>
        <v/>
      </c>
      <c r="AN64" t="str">
        <f t="shared" si="3"/>
        <v/>
      </c>
      <c r="AQ64" t="str">
        <f t="shared" si="4"/>
        <v/>
      </c>
      <c r="AR64" t="str">
        <f t="shared" si="5"/>
        <v/>
      </c>
      <c r="AS64" t="str">
        <f t="shared" si="6"/>
        <v/>
      </c>
      <c r="AT64" t="str">
        <f t="shared" si="7"/>
        <v/>
      </c>
      <c r="BG64" t="str">
        <f t="shared" si="8"/>
        <v/>
      </c>
      <c r="BH64" t="str">
        <f t="shared" si="9"/>
        <v/>
      </c>
      <c r="BL64" t="str">
        <f>IFERROR(INDEX(_names_lookup!$C:$C,MATCH(BK64,_names_lookup!$A:$A,0)),"")</f>
        <v/>
      </c>
      <c r="BM64" t="str">
        <f>IFERROR(INDEX(_names_lookup!$B:$B,MATCH(BK64,_names_lookup!$A:$A,0)),"")</f>
        <v/>
      </c>
      <c r="BS64" t="str">
        <f t="shared" si="10"/>
        <v/>
      </c>
    </row>
    <row r="65" spans="15:71" x14ac:dyDescent="0.2">
      <c r="O65" t="str">
        <f>IFERROR(INDEX(_courses_lookup!$C:$C,MATCH(K65&amp;L65,_courses_lookup!$E:$E,0)),"")</f>
        <v/>
      </c>
      <c r="P65" t="str">
        <f>IFERROR(INDEX(_courses_lookup!$D:$D,MATCH(K65&amp;L65,_courses_lookup!$E:$E,0)),"")</f>
        <v/>
      </c>
      <c r="AG65" t="str">
        <f t="shared" si="0"/>
        <v/>
      </c>
      <c r="AI65" t="str">
        <f t="shared" si="1"/>
        <v/>
      </c>
      <c r="AL65" t="str">
        <f t="shared" si="2"/>
        <v/>
      </c>
      <c r="AN65" t="str">
        <f t="shared" si="3"/>
        <v/>
      </c>
      <c r="AQ65" t="str">
        <f t="shared" si="4"/>
        <v/>
      </c>
      <c r="AR65" t="str">
        <f t="shared" si="5"/>
        <v/>
      </c>
      <c r="AS65" t="str">
        <f t="shared" si="6"/>
        <v/>
      </c>
      <c r="AT65" t="str">
        <f t="shared" si="7"/>
        <v/>
      </c>
      <c r="BG65" t="str">
        <f t="shared" si="8"/>
        <v/>
      </c>
      <c r="BH65" t="str">
        <f t="shared" si="9"/>
        <v/>
      </c>
      <c r="BL65" t="str">
        <f>IFERROR(INDEX(_names_lookup!$C:$C,MATCH(BK65,_names_lookup!$A:$A,0)),"")</f>
        <v/>
      </c>
      <c r="BM65" t="str">
        <f>IFERROR(INDEX(_names_lookup!$B:$B,MATCH(BK65,_names_lookup!$A:$A,0)),"")</f>
        <v/>
      </c>
      <c r="BS65" t="str">
        <f t="shared" si="10"/>
        <v/>
      </c>
    </row>
    <row r="66" spans="15:71" x14ac:dyDescent="0.2">
      <c r="O66" t="str">
        <f>IFERROR(INDEX(_courses_lookup!$C:$C,MATCH(K66&amp;L66,_courses_lookup!$E:$E,0)),"")</f>
        <v/>
      </c>
      <c r="P66" t="str">
        <f>IFERROR(INDEX(_courses_lookup!$D:$D,MATCH(K66&amp;L66,_courses_lookup!$E:$E,0)),"")</f>
        <v/>
      </c>
      <c r="AG66" t="str">
        <f t="shared" ref="AG66:AG129" si="11">IF(AND(AE66&lt;&gt;"",AF66&lt;&gt;""),ROUNDUP((AF66-AE66)/7,0),"")</f>
        <v/>
      </c>
      <c r="AI66" t="str">
        <f t="shared" ref="AI66:AI129" si="12">IFERROR(IF(AG66*AH66=0,"",AG66*AH66),"")</f>
        <v/>
      </c>
      <c r="AL66" t="str">
        <f t="shared" ref="AL66:AL129" si="13">IF(AND(AJ66&lt;&gt;"",AK66&lt;&gt;""),ROUNDUP((AK66-AJ66)/7,0),"")</f>
        <v/>
      </c>
      <c r="AN66" t="str">
        <f t="shared" ref="AN66:AN129" si="14">IFERROR(IF(AL66*AM66=0,"",AL66*AM66),"")</f>
        <v/>
      </c>
      <c r="AQ66" t="str">
        <f t="shared" ref="AQ66:AQ129" si="15">IF(AND(AO66&lt;&gt;"",AP66&lt;&gt;""),ROUNDUP((AP66-AO66)/7,0),"")</f>
        <v/>
      </c>
      <c r="AR66" t="str">
        <f t="shared" ref="AR66:AR129" si="16">IFERROR(IF((AU66-(AI66+AN66))/AQ66=0,"",ROUNDUP((AU66-(AI66+AN66))/AQ66,0)),"")</f>
        <v/>
      </c>
      <c r="AS66" t="str">
        <f t="shared" ref="AS66:AS129" si="17">IFERROR(IF((AU66-(AI66+AN66))=0,"",(AU66-(AI66+AN66))),"")</f>
        <v/>
      </c>
      <c r="AT66" t="str">
        <f t="shared" ref="AT66:AT129" si="18">IF(AND(AG66="",AQ66=""),AL66,IF(SUM(AG66,AL66,AQ66)=0,"",SUM(AG66,AL66,AQ66)))</f>
        <v/>
      </c>
      <c r="BG66" t="str">
        <f t="shared" ref="BG66:BG129" si="19">IF(AD66="","",YEAR(AD66)+IF(MONTH(AD66)&gt;=5,1,0))</f>
        <v/>
      </c>
      <c r="BH66" t="str">
        <f t="shared" ref="BH66:BH129" si="20">IF(AD66="","",IF(AND(MONTH(AD66)=8,DAY(AD66)&gt;=15),"Fall",IF(MONTH(AD66)&gt;8,"Fall",IF(MONTH(AD66)=5,"Summer",IF(MONTH(AD66)=1,"Spring","")))))</f>
        <v/>
      </c>
      <c r="BL66" t="str">
        <f>IFERROR(INDEX(_names_lookup!$C:$C,MATCH(BK66,_names_lookup!$A:$A,0)),"")</f>
        <v/>
      </c>
      <c r="BM66" t="str">
        <f>IFERROR(INDEX(_names_lookup!$B:$B,MATCH(BK66,_names_lookup!$A:$A,0)),"")</f>
        <v/>
      </c>
      <c r="BS66" t="str">
        <f t="shared" ref="BS66:BS129" si="21">IFERROR(IF(BR66*AA66=0,"",BR66*AA66),"")</f>
        <v/>
      </c>
    </row>
    <row r="67" spans="15:71" x14ac:dyDescent="0.2">
      <c r="O67" t="str">
        <f>IFERROR(INDEX(_courses_lookup!$C:$C,MATCH(K67&amp;L67,_courses_lookup!$E:$E,0)),"")</f>
        <v/>
      </c>
      <c r="P67" t="str">
        <f>IFERROR(INDEX(_courses_lookup!$D:$D,MATCH(K67&amp;L67,_courses_lookup!$E:$E,0)),"")</f>
        <v/>
      </c>
      <c r="AG67" t="str">
        <f t="shared" si="11"/>
        <v/>
      </c>
      <c r="AI67" t="str">
        <f t="shared" si="12"/>
        <v/>
      </c>
      <c r="AL67" t="str">
        <f t="shared" si="13"/>
        <v/>
      </c>
      <c r="AN67" t="str">
        <f t="shared" si="14"/>
        <v/>
      </c>
      <c r="AQ67" t="str">
        <f t="shared" si="15"/>
        <v/>
      </c>
      <c r="AR67" t="str">
        <f t="shared" si="16"/>
        <v/>
      </c>
      <c r="AS67" t="str">
        <f t="shared" si="17"/>
        <v/>
      </c>
      <c r="AT67" t="str">
        <f t="shared" si="18"/>
        <v/>
      </c>
      <c r="BG67" t="str">
        <f t="shared" si="19"/>
        <v/>
      </c>
      <c r="BH67" t="str">
        <f t="shared" si="20"/>
        <v/>
      </c>
      <c r="BL67" t="str">
        <f>IFERROR(INDEX(_names_lookup!$C:$C,MATCH(BK67,_names_lookup!$A:$A,0)),"")</f>
        <v/>
      </c>
      <c r="BM67" t="str">
        <f>IFERROR(INDEX(_names_lookup!$B:$B,MATCH(BK67,_names_lookup!$A:$A,0)),"")</f>
        <v/>
      </c>
      <c r="BS67" t="str">
        <f t="shared" si="21"/>
        <v/>
      </c>
    </row>
    <row r="68" spans="15:71" x14ac:dyDescent="0.2">
      <c r="O68" t="str">
        <f>IFERROR(INDEX(_courses_lookup!$C:$C,MATCH(K68&amp;L68,_courses_lookup!$E:$E,0)),"")</f>
        <v/>
      </c>
      <c r="P68" t="str">
        <f>IFERROR(INDEX(_courses_lookup!$D:$D,MATCH(K68&amp;L68,_courses_lookup!$E:$E,0)),"")</f>
        <v/>
      </c>
      <c r="AG68" t="str">
        <f t="shared" si="11"/>
        <v/>
      </c>
      <c r="AI68" t="str">
        <f t="shared" si="12"/>
        <v/>
      </c>
      <c r="AL68" t="str">
        <f t="shared" si="13"/>
        <v/>
      </c>
      <c r="AN68" t="str">
        <f t="shared" si="14"/>
        <v/>
      </c>
      <c r="AQ68" t="str">
        <f t="shared" si="15"/>
        <v/>
      </c>
      <c r="AR68" t="str">
        <f t="shared" si="16"/>
        <v/>
      </c>
      <c r="AS68" t="str">
        <f t="shared" si="17"/>
        <v/>
      </c>
      <c r="AT68" t="str">
        <f t="shared" si="18"/>
        <v/>
      </c>
      <c r="BG68" t="str">
        <f t="shared" si="19"/>
        <v/>
      </c>
      <c r="BH68" t="str">
        <f t="shared" si="20"/>
        <v/>
      </c>
      <c r="BL68" t="str">
        <f>IFERROR(INDEX(_names_lookup!$C:$C,MATCH(BK68,_names_lookup!$A:$A,0)),"")</f>
        <v/>
      </c>
      <c r="BM68" t="str">
        <f>IFERROR(INDEX(_names_lookup!$B:$B,MATCH(BK68,_names_lookup!$A:$A,0)),"")</f>
        <v/>
      </c>
      <c r="BS68" t="str">
        <f t="shared" si="21"/>
        <v/>
      </c>
    </row>
    <row r="69" spans="15:71" x14ac:dyDescent="0.2">
      <c r="O69" t="str">
        <f>IFERROR(INDEX(_courses_lookup!$C:$C,MATCH(K69&amp;L69,_courses_lookup!$E:$E,0)),"")</f>
        <v/>
      </c>
      <c r="P69" t="str">
        <f>IFERROR(INDEX(_courses_lookup!$D:$D,MATCH(K69&amp;L69,_courses_lookup!$E:$E,0)),"")</f>
        <v/>
      </c>
      <c r="AG69" t="str">
        <f t="shared" si="11"/>
        <v/>
      </c>
      <c r="AI69" t="str">
        <f t="shared" si="12"/>
        <v/>
      </c>
      <c r="AL69" t="str">
        <f t="shared" si="13"/>
        <v/>
      </c>
      <c r="AN69" t="str">
        <f t="shared" si="14"/>
        <v/>
      </c>
      <c r="AQ69" t="str">
        <f t="shared" si="15"/>
        <v/>
      </c>
      <c r="AR69" t="str">
        <f t="shared" si="16"/>
        <v/>
      </c>
      <c r="AS69" t="str">
        <f t="shared" si="17"/>
        <v/>
      </c>
      <c r="AT69" t="str">
        <f t="shared" si="18"/>
        <v/>
      </c>
      <c r="BG69" t="str">
        <f t="shared" si="19"/>
        <v/>
      </c>
      <c r="BH69" t="str">
        <f t="shared" si="20"/>
        <v/>
      </c>
      <c r="BL69" t="str">
        <f>IFERROR(INDEX(_names_lookup!$C:$C,MATCH(BK69,_names_lookup!$A:$A,0)),"")</f>
        <v/>
      </c>
      <c r="BM69" t="str">
        <f>IFERROR(INDEX(_names_lookup!$B:$B,MATCH(BK69,_names_lookup!$A:$A,0)),"")</f>
        <v/>
      </c>
      <c r="BS69" t="str">
        <f t="shared" si="21"/>
        <v/>
      </c>
    </row>
    <row r="70" spans="15:71" x14ac:dyDescent="0.2">
      <c r="O70" t="str">
        <f>IFERROR(INDEX(_courses_lookup!$C:$C,MATCH(K70&amp;L70,_courses_lookup!$E:$E,0)),"")</f>
        <v/>
      </c>
      <c r="P70" t="str">
        <f>IFERROR(INDEX(_courses_lookup!$D:$D,MATCH(K70&amp;L70,_courses_lookup!$E:$E,0)),"")</f>
        <v/>
      </c>
      <c r="AG70" t="str">
        <f t="shared" si="11"/>
        <v/>
      </c>
      <c r="AI70" t="str">
        <f t="shared" si="12"/>
        <v/>
      </c>
      <c r="AL70" t="str">
        <f t="shared" si="13"/>
        <v/>
      </c>
      <c r="AN70" t="str">
        <f t="shared" si="14"/>
        <v/>
      </c>
      <c r="AQ70" t="str">
        <f t="shared" si="15"/>
        <v/>
      </c>
      <c r="AR70" t="str">
        <f t="shared" si="16"/>
        <v/>
      </c>
      <c r="AS70" t="str">
        <f t="shared" si="17"/>
        <v/>
      </c>
      <c r="AT70" t="str">
        <f t="shared" si="18"/>
        <v/>
      </c>
      <c r="BG70" t="str">
        <f t="shared" si="19"/>
        <v/>
      </c>
      <c r="BH70" t="str">
        <f t="shared" si="20"/>
        <v/>
      </c>
      <c r="BL70" t="str">
        <f>IFERROR(INDEX(_names_lookup!$C:$C,MATCH(BK70,_names_lookup!$A:$A,0)),"")</f>
        <v/>
      </c>
      <c r="BM70" t="str">
        <f>IFERROR(INDEX(_names_lookup!$B:$B,MATCH(BK70,_names_lookup!$A:$A,0)),"")</f>
        <v/>
      </c>
      <c r="BS70" t="str">
        <f t="shared" si="21"/>
        <v/>
      </c>
    </row>
    <row r="71" spans="15:71" x14ac:dyDescent="0.2">
      <c r="O71" t="str">
        <f>IFERROR(INDEX(_courses_lookup!$C:$C,MATCH(K71&amp;L71,_courses_lookup!$E:$E,0)),"")</f>
        <v/>
      </c>
      <c r="P71" t="str">
        <f>IFERROR(INDEX(_courses_lookup!$D:$D,MATCH(K71&amp;L71,_courses_lookup!$E:$E,0)),"")</f>
        <v/>
      </c>
      <c r="AG71" t="str">
        <f t="shared" si="11"/>
        <v/>
      </c>
      <c r="AI71" t="str">
        <f t="shared" si="12"/>
        <v/>
      </c>
      <c r="AL71" t="str">
        <f t="shared" si="13"/>
        <v/>
      </c>
      <c r="AN71" t="str">
        <f t="shared" si="14"/>
        <v/>
      </c>
      <c r="AQ71" t="str">
        <f t="shared" si="15"/>
        <v/>
      </c>
      <c r="AR71" t="str">
        <f t="shared" si="16"/>
        <v/>
      </c>
      <c r="AS71" t="str">
        <f t="shared" si="17"/>
        <v/>
      </c>
      <c r="AT71" t="str">
        <f t="shared" si="18"/>
        <v/>
      </c>
      <c r="BG71" t="str">
        <f t="shared" si="19"/>
        <v/>
      </c>
      <c r="BH71" t="str">
        <f t="shared" si="20"/>
        <v/>
      </c>
      <c r="BL71" t="str">
        <f>IFERROR(INDEX(_names_lookup!$C:$C,MATCH(BK71,_names_lookup!$A:$A,0)),"")</f>
        <v/>
      </c>
      <c r="BM71" t="str">
        <f>IFERROR(INDEX(_names_lookup!$B:$B,MATCH(BK71,_names_lookup!$A:$A,0)),"")</f>
        <v/>
      </c>
      <c r="BS71" t="str">
        <f t="shared" si="21"/>
        <v/>
      </c>
    </row>
    <row r="72" spans="15:71" x14ac:dyDescent="0.2">
      <c r="O72" t="str">
        <f>IFERROR(INDEX(_courses_lookup!$C:$C,MATCH(K72&amp;L72,_courses_lookup!$E:$E,0)),"")</f>
        <v/>
      </c>
      <c r="P72" t="str">
        <f>IFERROR(INDEX(_courses_lookup!$D:$D,MATCH(K72&amp;L72,_courses_lookup!$E:$E,0)),"")</f>
        <v/>
      </c>
      <c r="AG72" t="str">
        <f t="shared" si="11"/>
        <v/>
      </c>
      <c r="AI72" t="str">
        <f t="shared" si="12"/>
        <v/>
      </c>
      <c r="AL72" t="str">
        <f t="shared" si="13"/>
        <v/>
      </c>
      <c r="AN72" t="str">
        <f t="shared" si="14"/>
        <v/>
      </c>
      <c r="AQ72" t="str">
        <f t="shared" si="15"/>
        <v/>
      </c>
      <c r="AR72" t="str">
        <f t="shared" si="16"/>
        <v/>
      </c>
      <c r="AS72" t="str">
        <f t="shared" si="17"/>
        <v/>
      </c>
      <c r="AT72" t="str">
        <f t="shared" si="18"/>
        <v/>
      </c>
      <c r="BG72" t="str">
        <f t="shared" si="19"/>
        <v/>
      </c>
      <c r="BH72" t="str">
        <f t="shared" si="20"/>
        <v/>
      </c>
      <c r="BL72" t="str">
        <f>IFERROR(INDEX(_names_lookup!$C:$C,MATCH(BK72,_names_lookup!$A:$A,0)),"")</f>
        <v/>
      </c>
      <c r="BM72" t="str">
        <f>IFERROR(INDEX(_names_lookup!$B:$B,MATCH(BK72,_names_lookup!$A:$A,0)),"")</f>
        <v/>
      </c>
      <c r="BS72" t="str">
        <f t="shared" si="21"/>
        <v/>
      </c>
    </row>
    <row r="73" spans="15:71" x14ac:dyDescent="0.2">
      <c r="O73" t="str">
        <f>IFERROR(INDEX(_courses_lookup!$C:$C,MATCH(K73&amp;L73,_courses_lookup!$E:$E,0)),"")</f>
        <v/>
      </c>
      <c r="P73" t="str">
        <f>IFERROR(INDEX(_courses_lookup!$D:$D,MATCH(K73&amp;L73,_courses_lookup!$E:$E,0)),"")</f>
        <v/>
      </c>
      <c r="AG73" t="str">
        <f t="shared" si="11"/>
        <v/>
      </c>
      <c r="AI73" t="str">
        <f t="shared" si="12"/>
        <v/>
      </c>
      <c r="AL73" t="str">
        <f t="shared" si="13"/>
        <v/>
      </c>
      <c r="AN73" t="str">
        <f t="shared" si="14"/>
        <v/>
      </c>
      <c r="AQ73" t="str">
        <f t="shared" si="15"/>
        <v/>
      </c>
      <c r="AR73" t="str">
        <f t="shared" si="16"/>
        <v/>
      </c>
      <c r="AS73" t="str">
        <f t="shared" si="17"/>
        <v/>
      </c>
      <c r="AT73" t="str">
        <f t="shared" si="18"/>
        <v/>
      </c>
      <c r="BG73" t="str">
        <f t="shared" si="19"/>
        <v/>
      </c>
      <c r="BH73" t="str">
        <f t="shared" si="20"/>
        <v/>
      </c>
      <c r="BL73" t="str">
        <f>IFERROR(INDEX(_names_lookup!$C:$C,MATCH(BK73,_names_lookup!$A:$A,0)),"")</f>
        <v/>
      </c>
      <c r="BM73" t="str">
        <f>IFERROR(INDEX(_names_lookup!$B:$B,MATCH(BK73,_names_lookup!$A:$A,0)),"")</f>
        <v/>
      </c>
      <c r="BS73" t="str">
        <f t="shared" si="21"/>
        <v/>
      </c>
    </row>
    <row r="74" spans="15:71" x14ac:dyDescent="0.2">
      <c r="O74" t="str">
        <f>IFERROR(INDEX(_courses_lookup!$C:$C,MATCH(K74&amp;L74,_courses_lookup!$E:$E,0)),"")</f>
        <v/>
      </c>
      <c r="P74" t="str">
        <f>IFERROR(INDEX(_courses_lookup!$D:$D,MATCH(K74&amp;L74,_courses_lookup!$E:$E,0)),"")</f>
        <v/>
      </c>
      <c r="AG74" t="str">
        <f t="shared" si="11"/>
        <v/>
      </c>
      <c r="AI74" t="str">
        <f t="shared" si="12"/>
        <v/>
      </c>
      <c r="AL74" t="str">
        <f t="shared" si="13"/>
        <v/>
      </c>
      <c r="AN74" t="str">
        <f t="shared" si="14"/>
        <v/>
      </c>
      <c r="AQ74" t="str">
        <f t="shared" si="15"/>
        <v/>
      </c>
      <c r="AR74" t="str">
        <f t="shared" si="16"/>
        <v/>
      </c>
      <c r="AS74" t="str">
        <f t="shared" si="17"/>
        <v/>
      </c>
      <c r="AT74" t="str">
        <f t="shared" si="18"/>
        <v/>
      </c>
      <c r="BG74" t="str">
        <f t="shared" si="19"/>
        <v/>
      </c>
      <c r="BH74" t="str">
        <f t="shared" si="20"/>
        <v/>
      </c>
      <c r="BL74" t="str">
        <f>IFERROR(INDEX(_names_lookup!$C:$C,MATCH(BK74,_names_lookup!$A:$A,0)),"")</f>
        <v/>
      </c>
      <c r="BM74" t="str">
        <f>IFERROR(INDEX(_names_lookup!$B:$B,MATCH(BK74,_names_lookup!$A:$A,0)),"")</f>
        <v/>
      </c>
      <c r="BS74" t="str">
        <f t="shared" si="21"/>
        <v/>
      </c>
    </row>
    <row r="75" spans="15:71" x14ac:dyDescent="0.2">
      <c r="O75" t="str">
        <f>IFERROR(INDEX(_courses_lookup!$C:$C,MATCH(K75&amp;L75,_courses_lookup!$E:$E,0)),"")</f>
        <v/>
      </c>
      <c r="P75" t="str">
        <f>IFERROR(INDEX(_courses_lookup!$D:$D,MATCH(K75&amp;L75,_courses_lookup!$E:$E,0)),"")</f>
        <v/>
      </c>
      <c r="AG75" t="str">
        <f t="shared" si="11"/>
        <v/>
      </c>
      <c r="AI75" t="str">
        <f t="shared" si="12"/>
        <v/>
      </c>
      <c r="AL75" t="str">
        <f t="shared" si="13"/>
        <v/>
      </c>
      <c r="AN75" t="str">
        <f t="shared" si="14"/>
        <v/>
      </c>
      <c r="AQ75" t="str">
        <f t="shared" si="15"/>
        <v/>
      </c>
      <c r="AR75" t="str">
        <f t="shared" si="16"/>
        <v/>
      </c>
      <c r="AS75" t="str">
        <f t="shared" si="17"/>
        <v/>
      </c>
      <c r="AT75" t="str">
        <f t="shared" si="18"/>
        <v/>
      </c>
      <c r="BG75" t="str">
        <f t="shared" si="19"/>
        <v/>
      </c>
      <c r="BH75" t="str">
        <f t="shared" si="20"/>
        <v/>
      </c>
      <c r="BL75" t="str">
        <f>IFERROR(INDEX(_names_lookup!$C:$C,MATCH(BK75,_names_lookup!$A:$A,0)),"")</f>
        <v/>
      </c>
      <c r="BM75" t="str">
        <f>IFERROR(INDEX(_names_lookup!$B:$B,MATCH(BK75,_names_lookup!$A:$A,0)),"")</f>
        <v/>
      </c>
      <c r="BS75" t="str">
        <f t="shared" si="21"/>
        <v/>
      </c>
    </row>
    <row r="76" spans="15:71" x14ac:dyDescent="0.2">
      <c r="O76" t="str">
        <f>IFERROR(INDEX(_courses_lookup!$C:$C,MATCH(K76&amp;L76,_courses_lookup!$E:$E,0)),"")</f>
        <v/>
      </c>
      <c r="P76" t="str">
        <f>IFERROR(INDEX(_courses_lookup!$D:$D,MATCH(K76&amp;L76,_courses_lookup!$E:$E,0)),"")</f>
        <v/>
      </c>
      <c r="AG76" t="str">
        <f t="shared" si="11"/>
        <v/>
      </c>
      <c r="AI76" t="str">
        <f t="shared" si="12"/>
        <v/>
      </c>
      <c r="AL76" t="str">
        <f t="shared" si="13"/>
        <v/>
      </c>
      <c r="AN76" t="str">
        <f t="shared" si="14"/>
        <v/>
      </c>
      <c r="AQ76" t="str">
        <f t="shared" si="15"/>
        <v/>
      </c>
      <c r="AR76" t="str">
        <f t="shared" si="16"/>
        <v/>
      </c>
      <c r="AS76" t="str">
        <f t="shared" si="17"/>
        <v/>
      </c>
      <c r="AT76" t="str">
        <f t="shared" si="18"/>
        <v/>
      </c>
      <c r="BG76" t="str">
        <f t="shared" si="19"/>
        <v/>
      </c>
      <c r="BH76" t="str">
        <f t="shared" si="20"/>
        <v/>
      </c>
      <c r="BL76" t="str">
        <f>IFERROR(INDEX(_names_lookup!$C:$C,MATCH(BK76,_names_lookup!$A:$A,0)),"")</f>
        <v/>
      </c>
      <c r="BM76" t="str">
        <f>IFERROR(INDEX(_names_lookup!$B:$B,MATCH(BK76,_names_lookup!$A:$A,0)),"")</f>
        <v/>
      </c>
      <c r="BS76" t="str">
        <f t="shared" si="21"/>
        <v/>
      </c>
    </row>
    <row r="77" spans="15:71" x14ac:dyDescent="0.2">
      <c r="O77" t="str">
        <f>IFERROR(INDEX(_courses_lookup!$C:$C,MATCH(K77&amp;L77,_courses_lookup!$E:$E,0)),"")</f>
        <v/>
      </c>
      <c r="P77" t="str">
        <f>IFERROR(INDEX(_courses_lookup!$D:$D,MATCH(K77&amp;L77,_courses_lookup!$E:$E,0)),"")</f>
        <v/>
      </c>
      <c r="AG77" t="str">
        <f t="shared" si="11"/>
        <v/>
      </c>
      <c r="AI77" t="str">
        <f t="shared" si="12"/>
        <v/>
      </c>
      <c r="AL77" t="str">
        <f t="shared" si="13"/>
        <v/>
      </c>
      <c r="AN77" t="str">
        <f t="shared" si="14"/>
        <v/>
      </c>
      <c r="AQ77" t="str">
        <f t="shared" si="15"/>
        <v/>
      </c>
      <c r="AR77" t="str">
        <f t="shared" si="16"/>
        <v/>
      </c>
      <c r="AS77" t="str">
        <f t="shared" si="17"/>
        <v/>
      </c>
      <c r="AT77" t="str">
        <f t="shared" si="18"/>
        <v/>
      </c>
      <c r="BG77" t="str">
        <f t="shared" si="19"/>
        <v/>
      </c>
      <c r="BH77" t="str">
        <f t="shared" si="20"/>
        <v/>
      </c>
      <c r="BL77" t="str">
        <f>IFERROR(INDEX(_names_lookup!$C:$C,MATCH(BK77,_names_lookup!$A:$A,0)),"")</f>
        <v/>
      </c>
      <c r="BM77" t="str">
        <f>IFERROR(INDEX(_names_lookup!$B:$B,MATCH(BK77,_names_lookup!$A:$A,0)),"")</f>
        <v/>
      </c>
      <c r="BS77" t="str">
        <f t="shared" si="21"/>
        <v/>
      </c>
    </row>
    <row r="78" spans="15:71" x14ac:dyDescent="0.2">
      <c r="O78" t="str">
        <f>IFERROR(INDEX(_courses_lookup!$C:$C,MATCH(K78&amp;L78,_courses_lookup!$E:$E,0)),"")</f>
        <v/>
      </c>
      <c r="P78" t="str">
        <f>IFERROR(INDEX(_courses_lookup!$D:$D,MATCH(K78&amp;L78,_courses_lookup!$E:$E,0)),"")</f>
        <v/>
      </c>
      <c r="AG78" t="str">
        <f t="shared" si="11"/>
        <v/>
      </c>
      <c r="AI78" t="str">
        <f t="shared" si="12"/>
        <v/>
      </c>
      <c r="AL78" t="str">
        <f t="shared" si="13"/>
        <v/>
      </c>
      <c r="AN78" t="str">
        <f t="shared" si="14"/>
        <v/>
      </c>
      <c r="AQ78" t="str">
        <f t="shared" si="15"/>
        <v/>
      </c>
      <c r="AR78" t="str">
        <f t="shared" si="16"/>
        <v/>
      </c>
      <c r="AS78" t="str">
        <f t="shared" si="17"/>
        <v/>
      </c>
      <c r="AT78" t="str">
        <f t="shared" si="18"/>
        <v/>
      </c>
      <c r="BG78" t="str">
        <f t="shared" si="19"/>
        <v/>
      </c>
      <c r="BH78" t="str">
        <f t="shared" si="20"/>
        <v/>
      </c>
      <c r="BL78" t="str">
        <f>IFERROR(INDEX(_names_lookup!$C:$C,MATCH(BK78,_names_lookup!$A:$A,0)),"")</f>
        <v/>
      </c>
      <c r="BM78" t="str">
        <f>IFERROR(INDEX(_names_lookup!$B:$B,MATCH(BK78,_names_lookup!$A:$A,0)),"")</f>
        <v/>
      </c>
      <c r="BS78" t="str">
        <f t="shared" si="21"/>
        <v/>
      </c>
    </row>
    <row r="79" spans="15:71" x14ac:dyDescent="0.2">
      <c r="O79" t="str">
        <f>IFERROR(INDEX(_courses_lookup!$C:$C,MATCH(K79&amp;L79,_courses_lookup!$E:$E,0)),"")</f>
        <v/>
      </c>
      <c r="P79" t="str">
        <f>IFERROR(INDEX(_courses_lookup!$D:$D,MATCH(K79&amp;L79,_courses_lookup!$E:$E,0)),"")</f>
        <v/>
      </c>
      <c r="AG79" t="str">
        <f t="shared" si="11"/>
        <v/>
      </c>
      <c r="AI79" t="str">
        <f t="shared" si="12"/>
        <v/>
      </c>
      <c r="AL79" t="str">
        <f t="shared" si="13"/>
        <v/>
      </c>
      <c r="AN79" t="str">
        <f t="shared" si="14"/>
        <v/>
      </c>
      <c r="AQ79" t="str">
        <f t="shared" si="15"/>
        <v/>
      </c>
      <c r="AR79" t="str">
        <f t="shared" si="16"/>
        <v/>
      </c>
      <c r="AS79" t="str">
        <f t="shared" si="17"/>
        <v/>
      </c>
      <c r="AT79" t="str">
        <f t="shared" si="18"/>
        <v/>
      </c>
      <c r="BG79" t="str">
        <f t="shared" si="19"/>
        <v/>
      </c>
      <c r="BH79" t="str">
        <f t="shared" si="20"/>
        <v/>
      </c>
      <c r="BL79" t="str">
        <f>IFERROR(INDEX(_names_lookup!$C:$C,MATCH(BK79,_names_lookup!$A:$A,0)),"")</f>
        <v/>
      </c>
      <c r="BM79" t="str">
        <f>IFERROR(INDEX(_names_lookup!$B:$B,MATCH(BK79,_names_lookup!$A:$A,0)),"")</f>
        <v/>
      </c>
      <c r="BS79" t="str">
        <f t="shared" si="21"/>
        <v/>
      </c>
    </row>
    <row r="80" spans="15:71" x14ac:dyDescent="0.2">
      <c r="O80" t="str">
        <f>IFERROR(INDEX(_courses_lookup!$C:$C,MATCH(K80&amp;L80,_courses_lookup!$E:$E,0)),"")</f>
        <v/>
      </c>
      <c r="P80" t="str">
        <f>IFERROR(INDEX(_courses_lookup!$D:$D,MATCH(K80&amp;L80,_courses_lookup!$E:$E,0)),"")</f>
        <v/>
      </c>
      <c r="AG80" t="str">
        <f t="shared" si="11"/>
        <v/>
      </c>
      <c r="AI80" t="str">
        <f t="shared" si="12"/>
        <v/>
      </c>
      <c r="AL80" t="str">
        <f t="shared" si="13"/>
        <v/>
      </c>
      <c r="AN80" t="str">
        <f t="shared" si="14"/>
        <v/>
      </c>
      <c r="AQ80" t="str">
        <f t="shared" si="15"/>
        <v/>
      </c>
      <c r="AR80" t="str">
        <f t="shared" si="16"/>
        <v/>
      </c>
      <c r="AS80" t="str">
        <f t="shared" si="17"/>
        <v/>
      </c>
      <c r="AT80" t="str">
        <f t="shared" si="18"/>
        <v/>
      </c>
      <c r="BG80" t="str">
        <f t="shared" si="19"/>
        <v/>
      </c>
      <c r="BH80" t="str">
        <f t="shared" si="20"/>
        <v/>
      </c>
      <c r="BL80" t="str">
        <f>IFERROR(INDEX(_names_lookup!$C:$C,MATCH(BK80,_names_lookup!$A:$A,0)),"")</f>
        <v/>
      </c>
      <c r="BM80" t="str">
        <f>IFERROR(INDEX(_names_lookup!$B:$B,MATCH(BK80,_names_lookup!$A:$A,0)),"")</f>
        <v/>
      </c>
      <c r="BS80" t="str">
        <f t="shared" si="21"/>
        <v/>
      </c>
    </row>
    <row r="81" spans="15:71" x14ac:dyDescent="0.2">
      <c r="O81" t="str">
        <f>IFERROR(INDEX(_courses_lookup!$C:$C,MATCH(K81&amp;L81,_courses_lookup!$E:$E,0)),"")</f>
        <v/>
      </c>
      <c r="P81" t="str">
        <f>IFERROR(INDEX(_courses_lookup!$D:$D,MATCH(K81&amp;L81,_courses_lookup!$E:$E,0)),"")</f>
        <v/>
      </c>
      <c r="AG81" t="str">
        <f t="shared" si="11"/>
        <v/>
      </c>
      <c r="AI81" t="str">
        <f t="shared" si="12"/>
        <v/>
      </c>
      <c r="AL81" t="str">
        <f t="shared" si="13"/>
        <v/>
      </c>
      <c r="AN81" t="str">
        <f t="shared" si="14"/>
        <v/>
      </c>
      <c r="AQ81" t="str">
        <f t="shared" si="15"/>
        <v/>
      </c>
      <c r="AR81" t="str">
        <f t="shared" si="16"/>
        <v/>
      </c>
      <c r="AS81" t="str">
        <f t="shared" si="17"/>
        <v/>
      </c>
      <c r="AT81" t="str">
        <f t="shared" si="18"/>
        <v/>
      </c>
      <c r="BG81" t="str">
        <f t="shared" si="19"/>
        <v/>
      </c>
      <c r="BH81" t="str">
        <f t="shared" si="20"/>
        <v/>
      </c>
      <c r="BL81" t="str">
        <f>IFERROR(INDEX(_names_lookup!$C:$C,MATCH(BK81,_names_lookup!$A:$A,0)),"")</f>
        <v/>
      </c>
      <c r="BM81" t="str">
        <f>IFERROR(INDEX(_names_lookup!$B:$B,MATCH(BK81,_names_lookup!$A:$A,0)),"")</f>
        <v/>
      </c>
      <c r="BS81" t="str">
        <f t="shared" si="21"/>
        <v/>
      </c>
    </row>
    <row r="82" spans="15:71" x14ac:dyDescent="0.2">
      <c r="O82" t="str">
        <f>IFERROR(INDEX(_courses_lookup!$C:$C,MATCH(K82&amp;L82,_courses_lookup!$E:$E,0)),"")</f>
        <v/>
      </c>
      <c r="P82" t="str">
        <f>IFERROR(INDEX(_courses_lookup!$D:$D,MATCH(K82&amp;L82,_courses_lookup!$E:$E,0)),"")</f>
        <v/>
      </c>
      <c r="AG82" t="str">
        <f t="shared" si="11"/>
        <v/>
      </c>
      <c r="AI82" t="str">
        <f t="shared" si="12"/>
        <v/>
      </c>
      <c r="AL82" t="str">
        <f t="shared" si="13"/>
        <v/>
      </c>
      <c r="AN82" t="str">
        <f t="shared" si="14"/>
        <v/>
      </c>
      <c r="AQ82" t="str">
        <f t="shared" si="15"/>
        <v/>
      </c>
      <c r="AR82" t="str">
        <f t="shared" si="16"/>
        <v/>
      </c>
      <c r="AS82" t="str">
        <f t="shared" si="17"/>
        <v/>
      </c>
      <c r="AT82" t="str">
        <f t="shared" si="18"/>
        <v/>
      </c>
      <c r="BG82" t="str">
        <f t="shared" si="19"/>
        <v/>
      </c>
      <c r="BH82" t="str">
        <f t="shared" si="20"/>
        <v/>
      </c>
      <c r="BL82" t="str">
        <f>IFERROR(INDEX(_names_lookup!$C:$C,MATCH(BK82,_names_lookup!$A:$A,0)),"")</f>
        <v/>
      </c>
      <c r="BM82" t="str">
        <f>IFERROR(INDEX(_names_lookup!$B:$B,MATCH(BK82,_names_lookup!$A:$A,0)),"")</f>
        <v/>
      </c>
      <c r="BS82" t="str">
        <f t="shared" si="21"/>
        <v/>
      </c>
    </row>
    <row r="83" spans="15:71" x14ac:dyDescent="0.2">
      <c r="O83" t="str">
        <f>IFERROR(INDEX(_courses_lookup!$C:$C,MATCH(K83&amp;L83,_courses_lookup!$E:$E,0)),"")</f>
        <v/>
      </c>
      <c r="P83" t="str">
        <f>IFERROR(INDEX(_courses_lookup!$D:$D,MATCH(K83&amp;L83,_courses_lookup!$E:$E,0)),"")</f>
        <v/>
      </c>
      <c r="AG83" t="str">
        <f t="shared" si="11"/>
        <v/>
      </c>
      <c r="AI83" t="str">
        <f t="shared" si="12"/>
        <v/>
      </c>
      <c r="AL83" t="str">
        <f t="shared" si="13"/>
        <v/>
      </c>
      <c r="AN83" t="str">
        <f t="shared" si="14"/>
        <v/>
      </c>
      <c r="AQ83" t="str">
        <f t="shared" si="15"/>
        <v/>
      </c>
      <c r="AR83" t="str">
        <f t="shared" si="16"/>
        <v/>
      </c>
      <c r="AS83" t="str">
        <f t="shared" si="17"/>
        <v/>
      </c>
      <c r="AT83" t="str">
        <f t="shared" si="18"/>
        <v/>
      </c>
      <c r="BG83" t="str">
        <f t="shared" si="19"/>
        <v/>
      </c>
      <c r="BH83" t="str">
        <f t="shared" si="20"/>
        <v/>
      </c>
      <c r="BL83" t="str">
        <f>IFERROR(INDEX(_names_lookup!$C:$C,MATCH(BK83,_names_lookup!$A:$A,0)),"")</f>
        <v/>
      </c>
      <c r="BM83" t="str">
        <f>IFERROR(INDEX(_names_lookup!$B:$B,MATCH(BK83,_names_lookup!$A:$A,0)),"")</f>
        <v/>
      </c>
      <c r="BS83" t="str">
        <f t="shared" si="21"/>
        <v/>
      </c>
    </row>
    <row r="84" spans="15:71" x14ac:dyDescent="0.2">
      <c r="O84" t="str">
        <f>IFERROR(INDEX(_courses_lookup!$C:$C,MATCH(K84&amp;L84,_courses_lookup!$E:$E,0)),"")</f>
        <v/>
      </c>
      <c r="P84" t="str">
        <f>IFERROR(INDEX(_courses_lookup!$D:$D,MATCH(K84&amp;L84,_courses_lookup!$E:$E,0)),"")</f>
        <v/>
      </c>
      <c r="AG84" t="str">
        <f t="shared" si="11"/>
        <v/>
      </c>
      <c r="AI84" t="str">
        <f t="shared" si="12"/>
        <v/>
      </c>
      <c r="AL84" t="str">
        <f t="shared" si="13"/>
        <v/>
      </c>
      <c r="AN84" t="str">
        <f t="shared" si="14"/>
        <v/>
      </c>
      <c r="AQ84" t="str">
        <f t="shared" si="15"/>
        <v/>
      </c>
      <c r="AR84" t="str">
        <f t="shared" si="16"/>
        <v/>
      </c>
      <c r="AS84" t="str">
        <f t="shared" si="17"/>
        <v/>
      </c>
      <c r="AT84" t="str">
        <f t="shared" si="18"/>
        <v/>
      </c>
      <c r="BG84" t="str">
        <f t="shared" si="19"/>
        <v/>
      </c>
      <c r="BH84" t="str">
        <f t="shared" si="20"/>
        <v/>
      </c>
      <c r="BL84" t="str">
        <f>IFERROR(INDEX(_names_lookup!$C:$C,MATCH(BK84,_names_lookup!$A:$A,0)),"")</f>
        <v/>
      </c>
      <c r="BM84" t="str">
        <f>IFERROR(INDEX(_names_lookup!$B:$B,MATCH(BK84,_names_lookup!$A:$A,0)),"")</f>
        <v/>
      </c>
      <c r="BS84" t="str">
        <f t="shared" si="21"/>
        <v/>
      </c>
    </row>
    <row r="85" spans="15:71" x14ac:dyDescent="0.2">
      <c r="O85" t="str">
        <f>IFERROR(INDEX(_courses_lookup!$C:$C,MATCH(K85&amp;L85,_courses_lookup!$E:$E,0)),"")</f>
        <v/>
      </c>
      <c r="P85" t="str">
        <f>IFERROR(INDEX(_courses_lookup!$D:$D,MATCH(K85&amp;L85,_courses_lookup!$E:$E,0)),"")</f>
        <v/>
      </c>
      <c r="AG85" t="str">
        <f t="shared" si="11"/>
        <v/>
      </c>
      <c r="AI85" t="str">
        <f t="shared" si="12"/>
        <v/>
      </c>
      <c r="AL85" t="str">
        <f t="shared" si="13"/>
        <v/>
      </c>
      <c r="AN85" t="str">
        <f t="shared" si="14"/>
        <v/>
      </c>
      <c r="AQ85" t="str">
        <f t="shared" si="15"/>
        <v/>
      </c>
      <c r="AR85" t="str">
        <f t="shared" si="16"/>
        <v/>
      </c>
      <c r="AS85" t="str">
        <f t="shared" si="17"/>
        <v/>
      </c>
      <c r="AT85" t="str">
        <f t="shared" si="18"/>
        <v/>
      </c>
      <c r="BG85" t="str">
        <f t="shared" si="19"/>
        <v/>
      </c>
      <c r="BH85" t="str">
        <f t="shared" si="20"/>
        <v/>
      </c>
      <c r="BL85" t="str">
        <f>IFERROR(INDEX(_names_lookup!$C:$C,MATCH(BK85,_names_lookup!$A:$A,0)),"")</f>
        <v/>
      </c>
      <c r="BM85" t="str">
        <f>IFERROR(INDEX(_names_lookup!$B:$B,MATCH(BK85,_names_lookup!$A:$A,0)),"")</f>
        <v/>
      </c>
      <c r="BS85" t="str">
        <f t="shared" si="21"/>
        <v/>
      </c>
    </row>
    <row r="86" spans="15:71" x14ac:dyDescent="0.2">
      <c r="O86" t="str">
        <f>IFERROR(INDEX(_courses_lookup!$C:$C,MATCH(K86&amp;L86,_courses_lookup!$E:$E,0)),"")</f>
        <v/>
      </c>
      <c r="P86" t="str">
        <f>IFERROR(INDEX(_courses_lookup!$D:$D,MATCH(K86&amp;L86,_courses_lookup!$E:$E,0)),"")</f>
        <v/>
      </c>
      <c r="AG86" t="str">
        <f t="shared" si="11"/>
        <v/>
      </c>
      <c r="AI86" t="str">
        <f t="shared" si="12"/>
        <v/>
      </c>
      <c r="AL86" t="str">
        <f t="shared" si="13"/>
        <v/>
      </c>
      <c r="AN86" t="str">
        <f t="shared" si="14"/>
        <v/>
      </c>
      <c r="AQ86" t="str">
        <f t="shared" si="15"/>
        <v/>
      </c>
      <c r="AR86" t="str">
        <f t="shared" si="16"/>
        <v/>
      </c>
      <c r="AS86" t="str">
        <f t="shared" si="17"/>
        <v/>
      </c>
      <c r="AT86" t="str">
        <f t="shared" si="18"/>
        <v/>
      </c>
      <c r="BG86" t="str">
        <f t="shared" si="19"/>
        <v/>
      </c>
      <c r="BH86" t="str">
        <f t="shared" si="20"/>
        <v/>
      </c>
      <c r="BL86" t="str">
        <f>IFERROR(INDEX(_names_lookup!$C:$C,MATCH(BK86,_names_lookup!$A:$A,0)),"")</f>
        <v/>
      </c>
      <c r="BM86" t="str">
        <f>IFERROR(INDEX(_names_lookup!$B:$B,MATCH(BK86,_names_lookup!$A:$A,0)),"")</f>
        <v/>
      </c>
      <c r="BS86" t="str">
        <f t="shared" si="21"/>
        <v/>
      </c>
    </row>
    <row r="87" spans="15:71" x14ac:dyDescent="0.2">
      <c r="O87" t="str">
        <f>IFERROR(INDEX(_courses_lookup!$C:$C,MATCH(K87&amp;L87,_courses_lookup!$E:$E,0)),"")</f>
        <v/>
      </c>
      <c r="P87" t="str">
        <f>IFERROR(INDEX(_courses_lookup!$D:$D,MATCH(K87&amp;L87,_courses_lookup!$E:$E,0)),"")</f>
        <v/>
      </c>
      <c r="AG87" t="str">
        <f t="shared" si="11"/>
        <v/>
      </c>
      <c r="AI87" t="str">
        <f t="shared" si="12"/>
        <v/>
      </c>
      <c r="AL87" t="str">
        <f t="shared" si="13"/>
        <v/>
      </c>
      <c r="AN87" t="str">
        <f t="shared" si="14"/>
        <v/>
      </c>
      <c r="AQ87" t="str">
        <f t="shared" si="15"/>
        <v/>
      </c>
      <c r="AR87" t="str">
        <f t="shared" si="16"/>
        <v/>
      </c>
      <c r="AS87" t="str">
        <f t="shared" si="17"/>
        <v/>
      </c>
      <c r="AT87" t="str">
        <f t="shared" si="18"/>
        <v/>
      </c>
      <c r="BG87" t="str">
        <f t="shared" si="19"/>
        <v/>
      </c>
      <c r="BH87" t="str">
        <f t="shared" si="20"/>
        <v/>
      </c>
      <c r="BL87" t="str">
        <f>IFERROR(INDEX(_names_lookup!$C:$C,MATCH(BK87,_names_lookup!$A:$A,0)),"")</f>
        <v/>
      </c>
      <c r="BM87" t="str">
        <f>IFERROR(INDEX(_names_lookup!$B:$B,MATCH(BK87,_names_lookup!$A:$A,0)),"")</f>
        <v/>
      </c>
      <c r="BS87" t="str">
        <f t="shared" si="21"/>
        <v/>
      </c>
    </row>
    <row r="88" spans="15:71" x14ac:dyDescent="0.2">
      <c r="O88" t="str">
        <f>IFERROR(INDEX(_courses_lookup!$C:$C,MATCH(K88&amp;L88,_courses_lookup!$E:$E,0)),"")</f>
        <v/>
      </c>
      <c r="P88" t="str">
        <f>IFERROR(INDEX(_courses_lookup!$D:$D,MATCH(K88&amp;L88,_courses_lookup!$E:$E,0)),"")</f>
        <v/>
      </c>
      <c r="AG88" t="str">
        <f t="shared" si="11"/>
        <v/>
      </c>
      <c r="AI88" t="str">
        <f t="shared" si="12"/>
        <v/>
      </c>
      <c r="AL88" t="str">
        <f t="shared" si="13"/>
        <v/>
      </c>
      <c r="AN88" t="str">
        <f t="shared" si="14"/>
        <v/>
      </c>
      <c r="AQ88" t="str">
        <f t="shared" si="15"/>
        <v/>
      </c>
      <c r="AR88" t="str">
        <f t="shared" si="16"/>
        <v/>
      </c>
      <c r="AS88" t="str">
        <f t="shared" si="17"/>
        <v/>
      </c>
      <c r="AT88" t="str">
        <f t="shared" si="18"/>
        <v/>
      </c>
      <c r="BG88" t="str">
        <f t="shared" si="19"/>
        <v/>
      </c>
      <c r="BH88" t="str">
        <f t="shared" si="20"/>
        <v/>
      </c>
      <c r="BL88" t="str">
        <f>IFERROR(INDEX(_names_lookup!$C:$C,MATCH(BK88,_names_lookup!$A:$A,0)),"")</f>
        <v/>
      </c>
      <c r="BM88" t="str">
        <f>IFERROR(INDEX(_names_lookup!$B:$B,MATCH(BK88,_names_lookup!$A:$A,0)),"")</f>
        <v/>
      </c>
      <c r="BS88" t="str">
        <f t="shared" si="21"/>
        <v/>
      </c>
    </row>
    <row r="89" spans="15:71" x14ac:dyDescent="0.2">
      <c r="O89" t="str">
        <f>IFERROR(INDEX(_courses_lookup!$C:$C,MATCH(K89&amp;L89,_courses_lookup!$E:$E,0)),"")</f>
        <v/>
      </c>
      <c r="P89" t="str">
        <f>IFERROR(INDEX(_courses_lookup!$D:$D,MATCH(K89&amp;L89,_courses_lookup!$E:$E,0)),"")</f>
        <v/>
      </c>
      <c r="AG89" t="str">
        <f t="shared" si="11"/>
        <v/>
      </c>
      <c r="AI89" t="str">
        <f t="shared" si="12"/>
        <v/>
      </c>
      <c r="AL89" t="str">
        <f t="shared" si="13"/>
        <v/>
      </c>
      <c r="AN89" t="str">
        <f t="shared" si="14"/>
        <v/>
      </c>
      <c r="AQ89" t="str">
        <f t="shared" si="15"/>
        <v/>
      </c>
      <c r="AR89" t="str">
        <f t="shared" si="16"/>
        <v/>
      </c>
      <c r="AS89" t="str">
        <f t="shared" si="17"/>
        <v/>
      </c>
      <c r="AT89" t="str">
        <f t="shared" si="18"/>
        <v/>
      </c>
      <c r="BG89" t="str">
        <f t="shared" si="19"/>
        <v/>
      </c>
      <c r="BH89" t="str">
        <f t="shared" si="20"/>
        <v/>
      </c>
      <c r="BL89" t="str">
        <f>IFERROR(INDEX(_names_lookup!$C:$C,MATCH(BK89,_names_lookup!$A:$A,0)),"")</f>
        <v/>
      </c>
      <c r="BM89" t="str">
        <f>IFERROR(INDEX(_names_lookup!$B:$B,MATCH(BK89,_names_lookup!$A:$A,0)),"")</f>
        <v/>
      </c>
      <c r="BS89" t="str">
        <f t="shared" si="21"/>
        <v/>
      </c>
    </row>
    <row r="90" spans="15:71" x14ac:dyDescent="0.2">
      <c r="O90" t="str">
        <f>IFERROR(INDEX(_courses_lookup!$C:$C,MATCH(K90&amp;L90,_courses_lookup!$E:$E,0)),"")</f>
        <v/>
      </c>
      <c r="P90" t="str">
        <f>IFERROR(INDEX(_courses_lookup!$D:$D,MATCH(K90&amp;L90,_courses_lookup!$E:$E,0)),"")</f>
        <v/>
      </c>
      <c r="AG90" t="str">
        <f t="shared" si="11"/>
        <v/>
      </c>
      <c r="AI90" t="str">
        <f t="shared" si="12"/>
        <v/>
      </c>
      <c r="AL90" t="str">
        <f t="shared" si="13"/>
        <v/>
      </c>
      <c r="AN90" t="str">
        <f t="shared" si="14"/>
        <v/>
      </c>
      <c r="AQ90" t="str">
        <f t="shared" si="15"/>
        <v/>
      </c>
      <c r="AR90" t="str">
        <f t="shared" si="16"/>
        <v/>
      </c>
      <c r="AS90" t="str">
        <f t="shared" si="17"/>
        <v/>
      </c>
      <c r="AT90" t="str">
        <f t="shared" si="18"/>
        <v/>
      </c>
      <c r="BG90" t="str">
        <f t="shared" si="19"/>
        <v/>
      </c>
      <c r="BH90" t="str">
        <f t="shared" si="20"/>
        <v/>
      </c>
      <c r="BL90" t="str">
        <f>IFERROR(INDEX(_names_lookup!$C:$C,MATCH(BK90,_names_lookup!$A:$A,0)),"")</f>
        <v/>
      </c>
      <c r="BM90" t="str">
        <f>IFERROR(INDEX(_names_lookup!$B:$B,MATCH(BK90,_names_lookup!$A:$A,0)),"")</f>
        <v/>
      </c>
      <c r="BS90" t="str">
        <f t="shared" si="21"/>
        <v/>
      </c>
    </row>
    <row r="91" spans="15:71" x14ac:dyDescent="0.2">
      <c r="O91" t="str">
        <f>IFERROR(INDEX(_courses_lookup!$C:$C,MATCH(K91&amp;L91,_courses_lookup!$E:$E,0)),"")</f>
        <v/>
      </c>
      <c r="P91" t="str">
        <f>IFERROR(INDEX(_courses_lookup!$D:$D,MATCH(K91&amp;L91,_courses_lookup!$E:$E,0)),"")</f>
        <v/>
      </c>
      <c r="AG91" t="str">
        <f t="shared" si="11"/>
        <v/>
      </c>
      <c r="AI91" t="str">
        <f t="shared" si="12"/>
        <v/>
      </c>
      <c r="AL91" t="str">
        <f t="shared" si="13"/>
        <v/>
      </c>
      <c r="AN91" t="str">
        <f t="shared" si="14"/>
        <v/>
      </c>
      <c r="AQ91" t="str">
        <f t="shared" si="15"/>
        <v/>
      </c>
      <c r="AR91" t="str">
        <f t="shared" si="16"/>
        <v/>
      </c>
      <c r="AS91" t="str">
        <f t="shared" si="17"/>
        <v/>
      </c>
      <c r="AT91" t="str">
        <f t="shared" si="18"/>
        <v/>
      </c>
      <c r="BG91" t="str">
        <f t="shared" si="19"/>
        <v/>
      </c>
      <c r="BH91" t="str">
        <f t="shared" si="20"/>
        <v/>
      </c>
      <c r="BL91" t="str">
        <f>IFERROR(INDEX(_names_lookup!$C:$C,MATCH(BK91,_names_lookup!$A:$A,0)),"")</f>
        <v/>
      </c>
      <c r="BM91" t="str">
        <f>IFERROR(INDEX(_names_lookup!$B:$B,MATCH(BK91,_names_lookup!$A:$A,0)),"")</f>
        <v/>
      </c>
      <c r="BS91" t="str">
        <f t="shared" si="21"/>
        <v/>
      </c>
    </row>
    <row r="92" spans="15:71" x14ac:dyDescent="0.2">
      <c r="O92" t="str">
        <f>IFERROR(INDEX(_courses_lookup!$C:$C,MATCH(K92&amp;L92,_courses_lookup!$E:$E,0)),"")</f>
        <v/>
      </c>
      <c r="P92" t="str">
        <f>IFERROR(INDEX(_courses_lookup!$D:$D,MATCH(K92&amp;L92,_courses_lookup!$E:$E,0)),"")</f>
        <v/>
      </c>
      <c r="AG92" t="str">
        <f t="shared" si="11"/>
        <v/>
      </c>
      <c r="AI92" t="str">
        <f t="shared" si="12"/>
        <v/>
      </c>
      <c r="AL92" t="str">
        <f t="shared" si="13"/>
        <v/>
      </c>
      <c r="AN92" t="str">
        <f t="shared" si="14"/>
        <v/>
      </c>
      <c r="AQ92" t="str">
        <f t="shared" si="15"/>
        <v/>
      </c>
      <c r="AR92" t="str">
        <f t="shared" si="16"/>
        <v/>
      </c>
      <c r="AS92" t="str">
        <f t="shared" si="17"/>
        <v/>
      </c>
      <c r="AT92" t="str">
        <f t="shared" si="18"/>
        <v/>
      </c>
      <c r="BG92" t="str">
        <f t="shared" si="19"/>
        <v/>
      </c>
      <c r="BH92" t="str">
        <f t="shared" si="20"/>
        <v/>
      </c>
      <c r="BL92" t="str">
        <f>IFERROR(INDEX(_names_lookup!$C:$C,MATCH(BK92,_names_lookup!$A:$A,0)),"")</f>
        <v/>
      </c>
      <c r="BM92" t="str">
        <f>IFERROR(INDEX(_names_lookup!$B:$B,MATCH(BK92,_names_lookup!$A:$A,0)),"")</f>
        <v/>
      </c>
      <c r="BS92" t="str">
        <f t="shared" si="21"/>
        <v/>
      </c>
    </row>
    <row r="93" spans="15:71" x14ac:dyDescent="0.2">
      <c r="O93" t="str">
        <f>IFERROR(INDEX(_courses_lookup!$C:$C,MATCH(K93&amp;L93,_courses_lookup!$E:$E,0)),"")</f>
        <v/>
      </c>
      <c r="P93" t="str">
        <f>IFERROR(INDEX(_courses_lookup!$D:$D,MATCH(K93&amp;L93,_courses_lookup!$E:$E,0)),"")</f>
        <v/>
      </c>
      <c r="AG93" t="str">
        <f t="shared" si="11"/>
        <v/>
      </c>
      <c r="AI93" t="str">
        <f t="shared" si="12"/>
        <v/>
      </c>
      <c r="AL93" t="str">
        <f t="shared" si="13"/>
        <v/>
      </c>
      <c r="AN93" t="str">
        <f t="shared" si="14"/>
        <v/>
      </c>
      <c r="AQ93" t="str">
        <f t="shared" si="15"/>
        <v/>
      </c>
      <c r="AR93" t="str">
        <f t="shared" si="16"/>
        <v/>
      </c>
      <c r="AS93" t="str">
        <f t="shared" si="17"/>
        <v/>
      </c>
      <c r="AT93" t="str">
        <f t="shared" si="18"/>
        <v/>
      </c>
      <c r="BG93" t="str">
        <f t="shared" si="19"/>
        <v/>
      </c>
      <c r="BH93" t="str">
        <f t="shared" si="20"/>
        <v/>
      </c>
      <c r="BL93" t="str">
        <f>IFERROR(INDEX(_names_lookup!$C:$C,MATCH(BK93,_names_lookup!$A:$A,0)),"")</f>
        <v/>
      </c>
      <c r="BM93" t="str">
        <f>IFERROR(INDEX(_names_lookup!$B:$B,MATCH(BK93,_names_lookup!$A:$A,0)),"")</f>
        <v/>
      </c>
      <c r="BS93" t="str">
        <f t="shared" si="21"/>
        <v/>
      </c>
    </row>
    <row r="94" spans="15:71" x14ac:dyDescent="0.2">
      <c r="O94" t="str">
        <f>IFERROR(INDEX(_courses_lookup!$C:$C,MATCH(K94&amp;L94,_courses_lookup!$E:$E,0)),"")</f>
        <v/>
      </c>
      <c r="P94" t="str">
        <f>IFERROR(INDEX(_courses_lookup!$D:$D,MATCH(K94&amp;L94,_courses_lookup!$E:$E,0)),"")</f>
        <v/>
      </c>
      <c r="AG94" t="str">
        <f t="shared" si="11"/>
        <v/>
      </c>
      <c r="AI94" t="str">
        <f t="shared" si="12"/>
        <v/>
      </c>
      <c r="AL94" t="str">
        <f t="shared" si="13"/>
        <v/>
      </c>
      <c r="AN94" t="str">
        <f t="shared" si="14"/>
        <v/>
      </c>
      <c r="AQ94" t="str">
        <f t="shared" si="15"/>
        <v/>
      </c>
      <c r="AR94" t="str">
        <f t="shared" si="16"/>
        <v/>
      </c>
      <c r="AS94" t="str">
        <f t="shared" si="17"/>
        <v/>
      </c>
      <c r="AT94" t="str">
        <f t="shared" si="18"/>
        <v/>
      </c>
      <c r="BG94" t="str">
        <f t="shared" si="19"/>
        <v/>
      </c>
      <c r="BH94" t="str">
        <f t="shared" si="20"/>
        <v/>
      </c>
      <c r="BL94" t="str">
        <f>IFERROR(INDEX(_names_lookup!$C:$C,MATCH(BK94,_names_lookup!$A:$A,0)),"")</f>
        <v/>
      </c>
      <c r="BM94" t="str">
        <f>IFERROR(INDEX(_names_lookup!$B:$B,MATCH(BK94,_names_lookup!$A:$A,0)),"")</f>
        <v/>
      </c>
      <c r="BS94" t="str">
        <f t="shared" si="21"/>
        <v/>
      </c>
    </row>
    <row r="95" spans="15:71" x14ac:dyDescent="0.2">
      <c r="O95" t="str">
        <f>IFERROR(INDEX(_courses_lookup!$C:$C,MATCH(K95&amp;L95,_courses_lookup!$E:$E,0)),"")</f>
        <v/>
      </c>
      <c r="P95" t="str">
        <f>IFERROR(INDEX(_courses_lookup!$D:$D,MATCH(K95&amp;L95,_courses_lookup!$E:$E,0)),"")</f>
        <v/>
      </c>
      <c r="AG95" t="str">
        <f t="shared" si="11"/>
        <v/>
      </c>
      <c r="AI95" t="str">
        <f t="shared" si="12"/>
        <v/>
      </c>
      <c r="AL95" t="str">
        <f t="shared" si="13"/>
        <v/>
      </c>
      <c r="AN95" t="str">
        <f t="shared" si="14"/>
        <v/>
      </c>
      <c r="AQ95" t="str">
        <f t="shared" si="15"/>
        <v/>
      </c>
      <c r="AR95" t="str">
        <f t="shared" si="16"/>
        <v/>
      </c>
      <c r="AS95" t="str">
        <f t="shared" si="17"/>
        <v/>
      </c>
      <c r="AT95" t="str">
        <f t="shared" si="18"/>
        <v/>
      </c>
      <c r="BG95" t="str">
        <f t="shared" si="19"/>
        <v/>
      </c>
      <c r="BH95" t="str">
        <f t="shared" si="20"/>
        <v/>
      </c>
      <c r="BL95" t="str">
        <f>IFERROR(INDEX(_names_lookup!$C:$C,MATCH(BK95,_names_lookup!$A:$A,0)),"")</f>
        <v/>
      </c>
      <c r="BM95" t="str">
        <f>IFERROR(INDEX(_names_lookup!$B:$B,MATCH(BK95,_names_lookup!$A:$A,0)),"")</f>
        <v/>
      </c>
      <c r="BS95" t="str">
        <f t="shared" si="21"/>
        <v/>
      </c>
    </row>
    <row r="96" spans="15:71" x14ac:dyDescent="0.2">
      <c r="O96" t="str">
        <f>IFERROR(INDEX(_courses_lookup!$C:$C,MATCH(K96&amp;L96,_courses_lookup!$E:$E,0)),"")</f>
        <v/>
      </c>
      <c r="P96" t="str">
        <f>IFERROR(INDEX(_courses_lookup!$D:$D,MATCH(K96&amp;L96,_courses_lookup!$E:$E,0)),"")</f>
        <v/>
      </c>
      <c r="AG96" t="str">
        <f t="shared" si="11"/>
        <v/>
      </c>
      <c r="AI96" t="str">
        <f t="shared" si="12"/>
        <v/>
      </c>
      <c r="AL96" t="str">
        <f t="shared" si="13"/>
        <v/>
      </c>
      <c r="AN96" t="str">
        <f t="shared" si="14"/>
        <v/>
      </c>
      <c r="AQ96" t="str">
        <f t="shared" si="15"/>
        <v/>
      </c>
      <c r="AR96" t="str">
        <f t="shared" si="16"/>
        <v/>
      </c>
      <c r="AS96" t="str">
        <f t="shared" si="17"/>
        <v/>
      </c>
      <c r="AT96" t="str">
        <f t="shared" si="18"/>
        <v/>
      </c>
      <c r="BG96" t="str">
        <f t="shared" si="19"/>
        <v/>
      </c>
      <c r="BH96" t="str">
        <f t="shared" si="20"/>
        <v/>
      </c>
      <c r="BL96" t="str">
        <f>IFERROR(INDEX(_names_lookup!$C:$C,MATCH(BK96,_names_lookup!$A:$A,0)),"")</f>
        <v/>
      </c>
      <c r="BM96" t="str">
        <f>IFERROR(INDEX(_names_lookup!$B:$B,MATCH(BK96,_names_lookup!$A:$A,0)),"")</f>
        <v/>
      </c>
      <c r="BS96" t="str">
        <f t="shared" si="21"/>
        <v/>
      </c>
    </row>
    <row r="97" spans="15:71" x14ac:dyDescent="0.2">
      <c r="O97" t="str">
        <f>IFERROR(INDEX(_courses_lookup!$C:$C,MATCH(K97&amp;L97,_courses_lookup!$E:$E,0)),"")</f>
        <v/>
      </c>
      <c r="P97" t="str">
        <f>IFERROR(INDEX(_courses_lookup!$D:$D,MATCH(K97&amp;L97,_courses_lookup!$E:$E,0)),"")</f>
        <v/>
      </c>
      <c r="AG97" t="str">
        <f t="shared" si="11"/>
        <v/>
      </c>
      <c r="AI97" t="str">
        <f t="shared" si="12"/>
        <v/>
      </c>
      <c r="AL97" t="str">
        <f t="shared" si="13"/>
        <v/>
      </c>
      <c r="AN97" t="str">
        <f t="shared" si="14"/>
        <v/>
      </c>
      <c r="AQ97" t="str">
        <f t="shared" si="15"/>
        <v/>
      </c>
      <c r="AR97" t="str">
        <f t="shared" si="16"/>
        <v/>
      </c>
      <c r="AS97" t="str">
        <f t="shared" si="17"/>
        <v/>
      </c>
      <c r="AT97" t="str">
        <f t="shared" si="18"/>
        <v/>
      </c>
      <c r="BG97" t="str">
        <f t="shared" si="19"/>
        <v/>
      </c>
      <c r="BH97" t="str">
        <f t="shared" si="20"/>
        <v/>
      </c>
      <c r="BL97" t="str">
        <f>IFERROR(INDEX(_names_lookup!$C:$C,MATCH(BK97,_names_lookup!$A:$A,0)),"")</f>
        <v/>
      </c>
      <c r="BM97" t="str">
        <f>IFERROR(INDEX(_names_lookup!$B:$B,MATCH(BK97,_names_lookup!$A:$A,0)),"")</f>
        <v/>
      </c>
      <c r="BS97" t="str">
        <f t="shared" si="21"/>
        <v/>
      </c>
    </row>
    <row r="98" spans="15:71" x14ac:dyDescent="0.2">
      <c r="O98" t="str">
        <f>IFERROR(INDEX(_courses_lookup!$C:$C,MATCH(K98&amp;L98,_courses_lookup!$E:$E,0)),"")</f>
        <v/>
      </c>
      <c r="P98" t="str">
        <f>IFERROR(INDEX(_courses_lookup!$D:$D,MATCH(K98&amp;L98,_courses_lookup!$E:$E,0)),"")</f>
        <v/>
      </c>
      <c r="AG98" t="str">
        <f t="shared" si="11"/>
        <v/>
      </c>
      <c r="AI98" t="str">
        <f t="shared" si="12"/>
        <v/>
      </c>
      <c r="AL98" t="str">
        <f t="shared" si="13"/>
        <v/>
      </c>
      <c r="AN98" t="str">
        <f t="shared" si="14"/>
        <v/>
      </c>
      <c r="AQ98" t="str">
        <f t="shared" si="15"/>
        <v/>
      </c>
      <c r="AR98" t="str">
        <f t="shared" si="16"/>
        <v/>
      </c>
      <c r="AS98" t="str">
        <f t="shared" si="17"/>
        <v/>
      </c>
      <c r="AT98" t="str">
        <f t="shared" si="18"/>
        <v/>
      </c>
      <c r="BG98" t="str">
        <f t="shared" si="19"/>
        <v/>
      </c>
      <c r="BH98" t="str">
        <f t="shared" si="20"/>
        <v/>
      </c>
      <c r="BL98" t="str">
        <f>IFERROR(INDEX(_names_lookup!$C:$C,MATCH(BK98,_names_lookup!$A:$A,0)),"")</f>
        <v/>
      </c>
      <c r="BM98" t="str">
        <f>IFERROR(INDEX(_names_lookup!$B:$B,MATCH(BK98,_names_lookup!$A:$A,0)),"")</f>
        <v/>
      </c>
      <c r="BS98" t="str">
        <f t="shared" si="21"/>
        <v/>
      </c>
    </row>
    <row r="99" spans="15:71" x14ac:dyDescent="0.2">
      <c r="O99" t="str">
        <f>IFERROR(INDEX(_courses_lookup!$C:$C,MATCH(K99&amp;L99,_courses_lookup!$E:$E,0)),"")</f>
        <v/>
      </c>
      <c r="P99" t="str">
        <f>IFERROR(INDEX(_courses_lookup!$D:$D,MATCH(K99&amp;L99,_courses_lookup!$E:$E,0)),"")</f>
        <v/>
      </c>
      <c r="AG99" t="str">
        <f t="shared" si="11"/>
        <v/>
      </c>
      <c r="AI99" t="str">
        <f t="shared" si="12"/>
        <v/>
      </c>
      <c r="AL99" t="str">
        <f t="shared" si="13"/>
        <v/>
      </c>
      <c r="AN99" t="str">
        <f t="shared" si="14"/>
        <v/>
      </c>
      <c r="AQ99" t="str">
        <f t="shared" si="15"/>
        <v/>
      </c>
      <c r="AR99" t="str">
        <f t="shared" si="16"/>
        <v/>
      </c>
      <c r="AS99" t="str">
        <f t="shared" si="17"/>
        <v/>
      </c>
      <c r="AT99" t="str">
        <f t="shared" si="18"/>
        <v/>
      </c>
      <c r="BG99" t="str">
        <f t="shared" si="19"/>
        <v/>
      </c>
      <c r="BH99" t="str">
        <f t="shared" si="20"/>
        <v/>
      </c>
      <c r="BL99" t="str">
        <f>IFERROR(INDEX(_names_lookup!$C:$C,MATCH(BK99,_names_lookup!$A:$A,0)),"")</f>
        <v/>
      </c>
      <c r="BM99" t="str">
        <f>IFERROR(INDEX(_names_lookup!$B:$B,MATCH(BK99,_names_lookup!$A:$A,0)),"")</f>
        <v/>
      </c>
      <c r="BS99" t="str">
        <f t="shared" si="21"/>
        <v/>
      </c>
    </row>
    <row r="100" spans="15:71" x14ac:dyDescent="0.2">
      <c r="O100" t="str">
        <f>IFERROR(INDEX(_courses_lookup!$C:$C,MATCH(K100&amp;L100,_courses_lookup!$E:$E,0)),"")</f>
        <v/>
      </c>
      <c r="P100" t="str">
        <f>IFERROR(INDEX(_courses_lookup!$D:$D,MATCH(K100&amp;L100,_courses_lookup!$E:$E,0)),"")</f>
        <v/>
      </c>
      <c r="AG100" t="str">
        <f t="shared" si="11"/>
        <v/>
      </c>
      <c r="AI100" t="str">
        <f t="shared" si="12"/>
        <v/>
      </c>
      <c r="AL100" t="str">
        <f t="shared" si="13"/>
        <v/>
      </c>
      <c r="AN100" t="str">
        <f t="shared" si="14"/>
        <v/>
      </c>
      <c r="AQ100" t="str">
        <f t="shared" si="15"/>
        <v/>
      </c>
      <c r="AR100" t="str">
        <f t="shared" si="16"/>
        <v/>
      </c>
      <c r="AS100" t="str">
        <f t="shared" si="17"/>
        <v/>
      </c>
      <c r="AT100" t="str">
        <f t="shared" si="18"/>
        <v/>
      </c>
      <c r="BG100" t="str">
        <f t="shared" si="19"/>
        <v/>
      </c>
      <c r="BH100" t="str">
        <f t="shared" si="20"/>
        <v/>
      </c>
      <c r="BL100" t="str">
        <f>IFERROR(INDEX(_names_lookup!$C:$C,MATCH(BK100,_names_lookup!$A:$A,0)),"")</f>
        <v/>
      </c>
      <c r="BM100" t="str">
        <f>IFERROR(INDEX(_names_lookup!$B:$B,MATCH(BK100,_names_lookup!$A:$A,0)),"")</f>
        <v/>
      </c>
      <c r="BS100" t="str">
        <f t="shared" si="21"/>
        <v/>
      </c>
    </row>
    <row r="101" spans="15:71" x14ac:dyDescent="0.2">
      <c r="O101" t="str">
        <f>IFERROR(INDEX(_courses_lookup!$C:$C,MATCH(K101&amp;L101,_courses_lookup!$E:$E,0)),"")</f>
        <v/>
      </c>
      <c r="P101" t="str">
        <f>IFERROR(INDEX(_courses_lookup!$D:$D,MATCH(K101&amp;L101,_courses_lookup!$E:$E,0)),"")</f>
        <v/>
      </c>
      <c r="AG101" t="str">
        <f t="shared" si="11"/>
        <v/>
      </c>
      <c r="AI101" t="str">
        <f t="shared" si="12"/>
        <v/>
      </c>
      <c r="AL101" t="str">
        <f t="shared" si="13"/>
        <v/>
      </c>
      <c r="AN101" t="str">
        <f t="shared" si="14"/>
        <v/>
      </c>
      <c r="AQ101" t="str">
        <f t="shared" si="15"/>
        <v/>
      </c>
      <c r="AR101" t="str">
        <f t="shared" si="16"/>
        <v/>
      </c>
      <c r="AS101" t="str">
        <f t="shared" si="17"/>
        <v/>
      </c>
      <c r="AT101" t="str">
        <f t="shared" si="18"/>
        <v/>
      </c>
      <c r="BG101" t="str">
        <f t="shared" si="19"/>
        <v/>
      </c>
      <c r="BH101" t="str">
        <f t="shared" si="20"/>
        <v/>
      </c>
      <c r="BL101" t="str">
        <f>IFERROR(INDEX(_names_lookup!$C:$C,MATCH(BK101,_names_lookup!$A:$A,0)),"")</f>
        <v/>
      </c>
      <c r="BM101" t="str">
        <f>IFERROR(INDEX(_names_lookup!$B:$B,MATCH(BK101,_names_lookup!$A:$A,0)),"")</f>
        <v/>
      </c>
      <c r="BS101" t="str">
        <f t="shared" si="21"/>
        <v/>
      </c>
    </row>
    <row r="102" spans="15:71" x14ac:dyDescent="0.2">
      <c r="O102" t="str">
        <f>IFERROR(INDEX(_courses_lookup!$C:$C,MATCH(K102&amp;L102,_courses_lookup!$E:$E,0)),"")</f>
        <v/>
      </c>
      <c r="P102" t="str">
        <f>IFERROR(INDEX(_courses_lookup!$D:$D,MATCH(K102&amp;L102,_courses_lookup!$E:$E,0)),"")</f>
        <v/>
      </c>
      <c r="AG102" t="str">
        <f t="shared" si="11"/>
        <v/>
      </c>
      <c r="AI102" t="str">
        <f t="shared" si="12"/>
        <v/>
      </c>
      <c r="AL102" t="str">
        <f t="shared" si="13"/>
        <v/>
      </c>
      <c r="AN102" t="str">
        <f t="shared" si="14"/>
        <v/>
      </c>
      <c r="AQ102" t="str">
        <f t="shared" si="15"/>
        <v/>
      </c>
      <c r="AR102" t="str">
        <f t="shared" si="16"/>
        <v/>
      </c>
      <c r="AS102" t="str">
        <f t="shared" si="17"/>
        <v/>
      </c>
      <c r="AT102" t="str">
        <f t="shared" si="18"/>
        <v/>
      </c>
      <c r="BG102" t="str">
        <f t="shared" si="19"/>
        <v/>
      </c>
      <c r="BH102" t="str">
        <f t="shared" si="20"/>
        <v/>
      </c>
      <c r="BL102" t="str">
        <f>IFERROR(INDEX(_names_lookup!$C:$C,MATCH(BK102,_names_lookup!$A:$A,0)),"")</f>
        <v/>
      </c>
      <c r="BM102" t="str">
        <f>IFERROR(INDEX(_names_lookup!$B:$B,MATCH(BK102,_names_lookup!$A:$A,0)),"")</f>
        <v/>
      </c>
      <c r="BS102" t="str">
        <f t="shared" si="21"/>
        <v/>
      </c>
    </row>
    <row r="103" spans="15:71" x14ac:dyDescent="0.2">
      <c r="O103" t="str">
        <f>IFERROR(INDEX(_courses_lookup!$C:$C,MATCH(K103&amp;L103,_courses_lookup!$E:$E,0)),"")</f>
        <v/>
      </c>
      <c r="P103" t="str">
        <f>IFERROR(INDEX(_courses_lookup!$D:$D,MATCH(K103&amp;L103,_courses_lookup!$E:$E,0)),"")</f>
        <v/>
      </c>
      <c r="AG103" t="str">
        <f t="shared" si="11"/>
        <v/>
      </c>
      <c r="AI103" t="str">
        <f t="shared" si="12"/>
        <v/>
      </c>
      <c r="AL103" t="str">
        <f t="shared" si="13"/>
        <v/>
      </c>
      <c r="AN103" t="str">
        <f t="shared" si="14"/>
        <v/>
      </c>
      <c r="AQ103" t="str">
        <f t="shared" si="15"/>
        <v/>
      </c>
      <c r="AR103" t="str">
        <f t="shared" si="16"/>
        <v/>
      </c>
      <c r="AS103" t="str">
        <f t="shared" si="17"/>
        <v/>
      </c>
      <c r="AT103" t="str">
        <f t="shared" si="18"/>
        <v/>
      </c>
      <c r="BG103" t="str">
        <f t="shared" si="19"/>
        <v/>
      </c>
      <c r="BH103" t="str">
        <f t="shared" si="20"/>
        <v/>
      </c>
      <c r="BL103" t="str">
        <f>IFERROR(INDEX(_names_lookup!$C:$C,MATCH(BK103,_names_lookup!$A:$A,0)),"")</f>
        <v/>
      </c>
      <c r="BM103" t="str">
        <f>IFERROR(INDEX(_names_lookup!$B:$B,MATCH(BK103,_names_lookup!$A:$A,0)),"")</f>
        <v/>
      </c>
      <c r="BS103" t="str">
        <f t="shared" si="21"/>
        <v/>
      </c>
    </row>
    <row r="104" spans="15:71" x14ac:dyDescent="0.2">
      <c r="O104" t="str">
        <f>IFERROR(INDEX(_courses_lookup!$C:$C,MATCH(K104&amp;L104,_courses_lookup!$E:$E,0)),"")</f>
        <v/>
      </c>
      <c r="P104" t="str">
        <f>IFERROR(INDEX(_courses_lookup!$D:$D,MATCH(K104&amp;L104,_courses_lookup!$E:$E,0)),"")</f>
        <v/>
      </c>
      <c r="AG104" t="str">
        <f t="shared" si="11"/>
        <v/>
      </c>
      <c r="AI104" t="str">
        <f t="shared" si="12"/>
        <v/>
      </c>
      <c r="AL104" t="str">
        <f t="shared" si="13"/>
        <v/>
      </c>
      <c r="AN104" t="str">
        <f t="shared" si="14"/>
        <v/>
      </c>
      <c r="AQ104" t="str">
        <f t="shared" si="15"/>
        <v/>
      </c>
      <c r="AR104" t="str">
        <f t="shared" si="16"/>
        <v/>
      </c>
      <c r="AS104" t="str">
        <f t="shared" si="17"/>
        <v/>
      </c>
      <c r="AT104" t="str">
        <f t="shared" si="18"/>
        <v/>
      </c>
      <c r="BG104" t="str">
        <f t="shared" si="19"/>
        <v/>
      </c>
      <c r="BH104" t="str">
        <f t="shared" si="20"/>
        <v/>
      </c>
      <c r="BL104" t="str">
        <f>IFERROR(INDEX(_names_lookup!$C:$C,MATCH(BK104,_names_lookup!$A:$A,0)),"")</f>
        <v/>
      </c>
      <c r="BM104" t="str">
        <f>IFERROR(INDEX(_names_lookup!$B:$B,MATCH(BK104,_names_lookup!$A:$A,0)),"")</f>
        <v/>
      </c>
      <c r="BS104" t="str">
        <f t="shared" si="21"/>
        <v/>
      </c>
    </row>
    <row r="105" spans="15:71" x14ac:dyDescent="0.2">
      <c r="O105" t="str">
        <f>IFERROR(INDEX(_courses_lookup!$C:$C,MATCH(K105&amp;L105,_courses_lookup!$E:$E,0)),"")</f>
        <v/>
      </c>
      <c r="P105" t="str">
        <f>IFERROR(INDEX(_courses_lookup!$D:$D,MATCH(K105&amp;L105,_courses_lookup!$E:$E,0)),"")</f>
        <v/>
      </c>
      <c r="AG105" t="str">
        <f t="shared" si="11"/>
        <v/>
      </c>
      <c r="AI105" t="str">
        <f t="shared" si="12"/>
        <v/>
      </c>
      <c r="AL105" t="str">
        <f t="shared" si="13"/>
        <v/>
      </c>
      <c r="AN105" t="str">
        <f t="shared" si="14"/>
        <v/>
      </c>
      <c r="AQ105" t="str">
        <f t="shared" si="15"/>
        <v/>
      </c>
      <c r="AR105" t="str">
        <f t="shared" si="16"/>
        <v/>
      </c>
      <c r="AS105" t="str">
        <f t="shared" si="17"/>
        <v/>
      </c>
      <c r="AT105" t="str">
        <f t="shared" si="18"/>
        <v/>
      </c>
      <c r="BG105" t="str">
        <f t="shared" si="19"/>
        <v/>
      </c>
      <c r="BH105" t="str">
        <f t="shared" si="20"/>
        <v/>
      </c>
      <c r="BL105" t="str">
        <f>IFERROR(INDEX(_names_lookup!$C:$C,MATCH(BK105,_names_lookup!$A:$A,0)),"")</f>
        <v/>
      </c>
      <c r="BM105" t="str">
        <f>IFERROR(INDEX(_names_lookup!$B:$B,MATCH(BK105,_names_lookup!$A:$A,0)),"")</f>
        <v/>
      </c>
      <c r="BS105" t="str">
        <f t="shared" si="21"/>
        <v/>
      </c>
    </row>
    <row r="106" spans="15:71" x14ac:dyDescent="0.2">
      <c r="O106" t="str">
        <f>IFERROR(INDEX(_courses_lookup!$C:$C,MATCH(K106&amp;L106,_courses_lookup!$E:$E,0)),"")</f>
        <v/>
      </c>
      <c r="P106" t="str">
        <f>IFERROR(INDEX(_courses_lookup!$D:$D,MATCH(K106&amp;L106,_courses_lookup!$E:$E,0)),"")</f>
        <v/>
      </c>
      <c r="AG106" t="str">
        <f t="shared" si="11"/>
        <v/>
      </c>
      <c r="AI106" t="str">
        <f t="shared" si="12"/>
        <v/>
      </c>
      <c r="AL106" t="str">
        <f t="shared" si="13"/>
        <v/>
      </c>
      <c r="AN106" t="str">
        <f t="shared" si="14"/>
        <v/>
      </c>
      <c r="AQ106" t="str">
        <f t="shared" si="15"/>
        <v/>
      </c>
      <c r="AR106" t="str">
        <f t="shared" si="16"/>
        <v/>
      </c>
      <c r="AS106" t="str">
        <f t="shared" si="17"/>
        <v/>
      </c>
      <c r="AT106" t="str">
        <f t="shared" si="18"/>
        <v/>
      </c>
      <c r="BG106" t="str">
        <f t="shared" si="19"/>
        <v/>
      </c>
      <c r="BH106" t="str">
        <f t="shared" si="20"/>
        <v/>
      </c>
      <c r="BL106" t="str">
        <f>IFERROR(INDEX(_names_lookup!$C:$C,MATCH(BK106,_names_lookup!$A:$A,0)),"")</f>
        <v/>
      </c>
      <c r="BM106" t="str">
        <f>IFERROR(INDEX(_names_lookup!$B:$B,MATCH(BK106,_names_lookup!$A:$A,0)),"")</f>
        <v/>
      </c>
      <c r="BS106" t="str">
        <f t="shared" si="21"/>
        <v/>
      </c>
    </row>
    <row r="107" spans="15:71" x14ac:dyDescent="0.2">
      <c r="O107" t="str">
        <f>IFERROR(INDEX(_courses_lookup!$C:$C,MATCH(K107&amp;L107,_courses_lookup!$E:$E,0)),"")</f>
        <v/>
      </c>
      <c r="P107" t="str">
        <f>IFERROR(INDEX(_courses_lookup!$D:$D,MATCH(K107&amp;L107,_courses_lookup!$E:$E,0)),"")</f>
        <v/>
      </c>
      <c r="AG107" t="str">
        <f t="shared" si="11"/>
        <v/>
      </c>
      <c r="AI107" t="str">
        <f t="shared" si="12"/>
        <v/>
      </c>
      <c r="AL107" t="str">
        <f t="shared" si="13"/>
        <v/>
      </c>
      <c r="AN107" t="str">
        <f t="shared" si="14"/>
        <v/>
      </c>
      <c r="AQ107" t="str">
        <f t="shared" si="15"/>
        <v/>
      </c>
      <c r="AR107" t="str">
        <f t="shared" si="16"/>
        <v/>
      </c>
      <c r="AS107" t="str">
        <f t="shared" si="17"/>
        <v/>
      </c>
      <c r="AT107" t="str">
        <f t="shared" si="18"/>
        <v/>
      </c>
      <c r="BG107" t="str">
        <f t="shared" si="19"/>
        <v/>
      </c>
      <c r="BH107" t="str">
        <f t="shared" si="20"/>
        <v/>
      </c>
      <c r="BL107" t="str">
        <f>IFERROR(INDEX(_names_lookup!$C:$C,MATCH(BK107,_names_lookup!$A:$A,0)),"")</f>
        <v/>
      </c>
      <c r="BM107" t="str">
        <f>IFERROR(INDEX(_names_lookup!$B:$B,MATCH(BK107,_names_lookup!$A:$A,0)),"")</f>
        <v/>
      </c>
      <c r="BS107" t="str">
        <f t="shared" si="21"/>
        <v/>
      </c>
    </row>
    <row r="108" spans="15:71" x14ac:dyDescent="0.2">
      <c r="O108" t="str">
        <f>IFERROR(INDEX(_courses_lookup!$C:$C,MATCH(K108&amp;L108,_courses_lookup!$E:$E,0)),"")</f>
        <v/>
      </c>
      <c r="P108" t="str">
        <f>IFERROR(INDEX(_courses_lookup!$D:$D,MATCH(K108&amp;L108,_courses_lookup!$E:$E,0)),"")</f>
        <v/>
      </c>
      <c r="AG108" t="str">
        <f t="shared" si="11"/>
        <v/>
      </c>
      <c r="AI108" t="str">
        <f t="shared" si="12"/>
        <v/>
      </c>
      <c r="AL108" t="str">
        <f t="shared" si="13"/>
        <v/>
      </c>
      <c r="AN108" t="str">
        <f t="shared" si="14"/>
        <v/>
      </c>
      <c r="AQ108" t="str">
        <f t="shared" si="15"/>
        <v/>
      </c>
      <c r="AR108" t="str">
        <f t="shared" si="16"/>
        <v/>
      </c>
      <c r="AS108" t="str">
        <f t="shared" si="17"/>
        <v/>
      </c>
      <c r="AT108" t="str">
        <f t="shared" si="18"/>
        <v/>
      </c>
      <c r="BG108" t="str">
        <f t="shared" si="19"/>
        <v/>
      </c>
      <c r="BH108" t="str">
        <f t="shared" si="20"/>
        <v/>
      </c>
      <c r="BL108" t="str">
        <f>IFERROR(INDEX(_names_lookup!$C:$C,MATCH(BK108,_names_lookup!$A:$A,0)),"")</f>
        <v/>
      </c>
      <c r="BM108" t="str">
        <f>IFERROR(INDEX(_names_lookup!$B:$B,MATCH(BK108,_names_lookup!$A:$A,0)),"")</f>
        <v/>
      </c>
      <c r="BS108" t="str">
        <f t="shared" si="21"/>
        <v/>
      </c>
    </row>
    <row r="109" spans="15:71" x14ac:dyDescent="0.2">
      <c r="O109" t="str">
        <f>IFERROR(INDEX(_courses_lookup!$C:$C,MATCH(K109&amp;L109,_courses_lookup!$E:$E,0)),"")</f>
        <v/>
      </c>
      <c r="P109" t="str">
        <f>IFERROR(INDEX(_courses_lookup!$D:$D,MATCH(K109&amp;L109,_courses_lookup!$E:$E,0)),"")</f>
        <v/>
      </c>
      <c r="AG109" t="str">
        <f t="shared" si="11"/>
        <v/>
      </c>
      <c r="AI109" t="str">
        <f t="shared" si="12"/>
        <v/>
      </c>
      <c r="AL109" t="str">
        <f t="shared" si="13"/>
        <v/>
      </c>
      <c r="AN109" t="str">
        <f t="shared" si="14"/>
        <v/>
      </c>
      <c r="AQ109" t="str">
        <f t="shared" si="15"/>
        <v/>
      </c>
      <c r="AR109" t="str">
        <f t="shared" si="16"/>
        <v/>
      </c>
      <c r="AS109" t="str">
        <f t="shared" si="17"/>
        <v/>
      </c>
      <c r="AT109" t="str">
        <f t="shared" si="18"/>
        <v/>
      </c>
      <c r="BG109" t="str">
        <f t="shared" si="19"/>
        <v/>
      </c>
      <c r="BH109" t="str">
        <f t="shared" si="20"/>
        <v/>
      </c>
      <c r="BL109" t="str">
        <f>IFERROR(INDEX(_names_lookup!$C:$C,MATCH(BK109,_names_lookup!$A:$A,0)),"")</f>
        <v/>
      </c>
      <c r="BM109" t="str">
        <f>IFERROR(INDEX(_names_lookup!$B:$B,MATCH(BK109,_names_lookup!$A:$A,0)),"")</f>
        <v/>
      </c>
      <c r="BS109" t="str">
        <f t="shared" si="21"/>
        <v/>
      </c>
    </row>
    <row r="110" spans="15:71" x14ac:dyDescent="0.2">
      <c r="O110" t="str">
        <f>IFERROR(INDEX(_courses_lookup!$C:$C,MATCH(K110&amp;L110,_courses_lookup!$E:$E,0)),"")</f>
        <v/>
      </c>
      <c r="P110" t="str">
        <f>IFERROR(INDEX(_courses_lookup!$D:$D,MATCH(K110&amp;L110,_courses_lookup!$E:$E,0)),"")</f>
        <v/>
      </c>
      <c r="AG110" t="str">
        <f t="shared" si="11"/>
        <v/>
      </c>
      <c r="AI110" t="str">
        <f t="shared" si="12"/>
        <v/>
      </c>
      <c r="AL110" t="str">
        <f t="shared" si="13"/>
        <v/>
      </c>
      <c r="AN110" t="str">
        <f t="shared" si="14"/>
        <v/>
      </c>
      <c r="AQ110" t="str">
        <f t="shared" si="15"/>
        <v/>
      </c>
      <c r="AR110" t="str">
        <f t="shared" si="16"/>
        <v/>
      </c>
      <c r="AS110" t="str">
        <f t="shared" si="17"/>
        <v/>
      </c>
      <c r="AT110" t="str">
        <f t="shared" si="18"/>
        <v/>
      </c>
      <c r="BG110" t="str">
        <f t="shared" si="19"/>
        <v/>
      </c>
      <c r="BH110" t="str">
        <f t="shared" si="20"/>
        <v/>
      </c>
      <c r="BL110" t="str">
        <f>IFERROR(INDEX(_names_lookup!$C:$C,MATCH(BK110,_names_lookup!$A:$A,0)),"")</f>
        <v/>
      </c>
      <c r="BM110" t="str">
        <f>IFERROR(INDEX(_names_lookup!$B:$B,MATCH(BK110,_names_lookup!$A:$A,0)),"")</f>
        <v/>
      </c>
      <c r="BS110" t="str">
        <f t="shared" si="21"/>
        <v/>
      </c>
    </row>
    <row r="111" spans="15:71" x14ac:dyDescent="0.2">
      <c r="O111" t="str">
        <f>IFERROR(INDEX(_courses_lookup!$C:$C,MATCH(K111&amp;L111,_courses_lookup!$E:$E,0)),"")</f>
        <v/>
      </c>
      <c r="P111" t="str">
        <f>IFERROR(INDEX(_courses_lookup!$D:$D,MATCH(K111&amp;L111,_courses_lookup!$E:$E,0)),"")</f>
        <v/>
      </c>
      <c r="AG111" t="str">
        <f t="shared" si="11"/>
        <v/>
      </c>
      <c r="AI111" t="str">
        <f t="shared" si="12"/>
        <v/>
      </c>
      <c r="AL111" t="str">
        <f t="shared" si="13"/>
        <v/>
      </c>
      <c r="AN111" t="str">
        <f t="shared" si="14"/>
        <v/>
      </c>
      <c r="AQ111" t="str">
        <f t="shared" si="15"/>
        <v/>
      </c>
      <c r="AR111" t="str">
        <f t="shared" si="16"/>
        <v/>
      </c>
      <c r="AS111" t="str">
        <f t="shared" si="17"/>
        <v/>
      </c>
      <c r="AT111" t="str">
        <f t="shared" si="18"/>
        <v/>
      </c>
      <c r="BG111" t="str">
        <f t="shared" si="19"/>
        <v/>
      </c>
      <c r="BH111" t="str">
        <f t="shared" si="20"/>
        <v/>
      </c>
      <c r="BL111" t="str">
        <f>IFERROR(INDEX(_names_lookup!$C:$C,MATCH(BK111,_names_lookup!$A:$A,0)),"")</f>
        <v/>
      </c>
      <c r="BM111" t="str">
        <f>IFERROR(INDEX(_names_lookup!$B:$B,MATCH(BK111,_names_lookup!$A:$A,0)),"")</f>
        <v/>
      </c>
      <c r="BS111" t="str">
        <f t="shared" si="21"/>
        <v/>
      </c>
    </row>
    <row r="112" spans="15:71" x14ac:dyDescent="0.2">
      <c r="O112" t="str">
        <f>IFERROR(INDEX(_courses_lookup!$C:$C,MATCH(K112&amp;L112,_courses_lookup!$E:$E,0)),"")</f>
        <v/>
      </c>
      <c r="P112" t="str">
        <f>IFERROR(INDEX(_courses_lookup!$D:$D,MATCH(K112&amp;L112,_courses_lookup!$E:$E,0)),"")</f>
        <v/>
      </c>
      <c r="AG112" t="str">
        <f t="shared" si="11"/>
        <v/>
      </c>
      <c r="AI112" t="str">
        <f t="shared" si="12"/>
        <v/>
      </c>
      <c r="AL112" t="str">
        <f t="shared" si="13"/>
        <v/>
      </c>
      <c r="AN112" t="str">
        <f t="shared" si="14"/>
        <v/>
      </c>
      <c r="AQ112" t="str">
        <f t="shared" si="15"/>
        <v/>
      </c>
      <c r="AR112" t="str">
        <f t="shared" si="16"/>
        <v/>
      </c>
      <c r="AS112" t="str">
        <f t="shared" si="17"/>
        <v/>
      </c>
      <c r="AT112" t="str">
        <f t="shared" si="18"/>
        <v/>
      </c>
      <c r="BG112" t="str">
        <f t="shared" si="19"/>
        <v/>
      </c>
      <c r="BH112" t="str">
        <f t="shared" si="20"/>
        <v/>
      </c>
      <c r="BL112" t="str">
        <f>IFERROR(INDEX(_names_lookup!$C:$C,MATCH(BK112,_names_lookup!$A:$A,0)),"")</f>
        <v/>
      </c>
      <c r="BM112" t="str">
        <f>IFERROR(INDEX(_names_lookup!$B:$B,MATCH(BK112,_names_lookup!$A:$A,0)),"")</f>
        <v/>
      </c>
      <c r="BS112" t="str">
        <f t="shared" si="21"/>
        <v/>
      </c>
    </row>
    <row r="113" spans="15:71" x14ac:dyDescent="0.2">
      <c r="O113" t="str">
        <f>IFERROR(INDEX(_courses_lookup!$C:$C,MATCH(K113&amp;L113,_courses_lookup!$E:$E,0)),"")</f>
        <v/>
      </c>
      <c r="P113" t="str">
        <f>IFERROR(INDEX(_courses_lookup!$D:$D,MATCH(K113&amp;L113,_courses_lookup!$E:$E,0)),"")</f>
        <v/>
      </c>
      <c r="AG113" t="str">
        <f t="shared" si="11"/>
        <v/>
      </c>
      <c r="AI113" t="str">
        <f t="shared" si="12"/>
        <v/>
      </c>
      <c r="AL113" t="str">
        <f t="shared" si="13"/>
        <v/>
      </c>
      <c r="AN113" t="str">
        <f t="shared" si="14"/>
        <v/>
      </c>
      <c r="AQ113" t="str">
        <f t="shared" si="15"/>
        <v/>
      </c>
      <c r="AR113" t="str">
        <f t="shared" si="16"/>
        <v/>
      </c>
      <c r="AS113" t="str">
        <f t="shared" si="17"/>
        <v/>
      </c>
      <c r="AT113" t="str">
        <f t="shared" si="18"/>
        <v/>
      </c>
      <c r="BG113" t="str">
        <f t="shared" si="19"/>
        <v/>
      </c>
      <c r="BH113" t="str">
        <f t="shared" si="20"/>
        <v/>
      </c>
      <c r="BL113" t="str">
        <f>IFERROR(INDEX(_names_lookup!$C:$C,MATCH(BK113,_names_lookup!$A:$A,0)),"")</f>
        <v/>
      </c>
      <c r="BM113" t="str">
        <f>IFERROR(INDEX(_names_lookup!$B:$B,MATCH(BK113,_names_lookup!$A:$A,0)),"")</f>
        <v/>
      </c>
      <c r="BS113" t="str">
        <f t="shared" si="21"/>
        <v/>
      </c>
    </row>
    <row r="114" spans="15:71" x14ac:dyDescent="0.2">
      <c r="O114" t="str">
        <f>IFERROR(INDEX(_courses_lookup!$C:$C,MATCH(K114&amp;L114,_courses_lookup!$E:$E,0)),"")</f>
        <v/>
      </c>
      <c r="P114" t="str">
        <f>IFERROR(INDEX(_courses_lookup!$D:$D,MATCH(K114&amp;L114,_courses_lookup!$E:$E,0)),"")</f>
        <v/>
      </c>
      <c r="AG114" t="str">
        <f t="shared" si="11"/>
        <v/>
      </c>
      <c r="AI114" t="str">
        <f t="shared" si="12"/>
        <v/>
      </c>
      <c r="AL114" t="str">
        <f t="shared" si="13"/>
        <v/>
      </c>
      <c r="AN114" t="str">
        <f t="shared" si="14"/>
        <v/>
      </c>
      <c r="AQ114" t="str">
        <f t="shared" si="15"/>
        <v/>
      </c>
      <c r="AR114" t="str">
        <f t="shared" si="16"/>
        <v/>
      </c>
      <c r="AS114" t="str">
        <f t="shared" si="17"/>
        <v/>
      </c>
      <c r="AT114" t="str">
        <f t="shared" si="18"/>
        <v/>
      </c>
      <c r="BG114" t="str">
        <f t="shared" si="19"/>
        <v/>
      </c>
      <c r="BH114" t="str">
        <f t="shared" si="20"/>
        <v/>
      </c>
      <c r="BL114" t="str">
        <f>IFERROR(INDEX(_names_lookup!$C:$C,MATCH(BK114,_names_lookup!$A:$A,0)),"")</f>
        <v/>
      </c>
      <c r="BM114" t="str">
        <f>IFERROR(INDEX(_names_lookup!$B:$B,MATCH(BK114,_names_lookup!$A:$A,0)),"")</f>
        <v/>
      </c>
      <c r="BS114" t="str">
        <f t="shared" si="21"/>
        <v/>
      </c>
    </row>
    <row r="115" spans="15:71" x14ac:dyDescent="0.2">
      <c r="O115" t="str">
        <f>IFERROR(INDEX(_courses_lookup!$C:$C,MATCH(K115&amp;L115,_courses_lookup!$E:$E,0)),"")</f>
        <v/>
      </c>
      <c r="P115" t="str">
        <f>IFERROR(INDEX(_courses_lookup!$D:$D,MATCH(K115&amp;L115,_courses_lookup!$E:$E,0)),"")</f>
        <v/>
      </c>
      <c r="AG115" t="str">
        <f t="shared" si="11"/>
        <v/>
      </c>
      <c r="AI115" t="str">
        <f t="shared" si="12"/>
        <v/>
      </c>
      <c r="AL115" t="str">
        <f t="shared" si="13"/>
        <v/>
      </c>
      <c r="AN115" t="str">
        <f t="shared" si="14"/>
        <v/>
      </c>
      <c r="AQ115" t="str">
        <f t="shared" si="15"/>
        <v/>
      </c>
      <c r="AR115" t="str">
        <f t="shared" si="16"/>
        <v/>
      </c>
      <c r="AS115" t="str">
        <f t="shared" si="17"/>
        <v/>
      </c>
      <c r="AT115" t="str">
        <f t="shared" si="18"/>
        <v/>
      </c>
      <c r="BG115" t="str">
        <f t="shared" si="19"/>
        <v/>
      </c>
      <c r="BH115" t="str">
        <f t="shared" si="20"/>
        <v/>
      </c>
      <c r="BL115" t="str">
        <f>IFERROR(INDEX(_names_lookup!$C:$C,MATCH(BK115,_names_lookup!$A:$A,0)),"")</f>
        <v/>
      </c>
      <c r="BM115" t="str">
        <f>IFERROR(INDEX(_names_lookup!$B:$B,MATCH(BK115,_names_lookup!$A:$A,0)),"")</f>
        <v/>
      </c>
      <c r="BS115" t="str">
        <f t="shared" si="21"/>
        <v/>
      </c>
    </row>
    <row r="116" spans="15:71" x14ac:dyDescent="0.2">
      <c r="O116" t="str">
        <f>IFERROR(INDEX(_courses_lookup!$C:$C,MATCH(K116&amp;L116,_courses_lookup!$E:$E,0)),"")</f>
        <v/>
      </c>
      <c r="P116" t="str">
        <f>IFERROR(INDEX(_courses_lookup!$D:$D,MATCH(K116&amp;L116,_courses_lookup!$E:$E,0)),"")</f>
        <v/>
      </c>
      <c r="AG116" t="str">
        <f t="shared" si="11"/>
        <v/>
      </c>
      <c r="AI116" t="str">
        <f t="shared" si="12"/>
        <v/>
      </c>
      <c r="AL116" t="str">
        <f t="shared" si="13"/>
        <v/>
      </c>
      <c r="AN116" t="str">
        <f t="shared" si="14"/>
        <v/>
      </c>
      <c r="AQ116" t="str">
        <f t="shared" si="15"/>
        <v/>
      </c>
      <c r="AR116" t="str">
        <f t="shared" si="16"/>
        <v/>
      </c>
      <c r="AS116" t="str">
        <f t="shared" si="17"/>
        <v/>
      </c>
      <c r="AT116" t="str">
        <f t="shared" si="18"/>
        <v/>
      </c>
      <c r="BG116" t="str">
        <f t="shared" si="19"/>
        <v/>
      </c>
      <c r="BH116" t="str">
        <f t="shared" si="20"/>
        <v/>
      </c>
      <c r="BL116" t="str">
        <f>IFERROR(INDEX(_names_lookup!$C:$C,MATCH(BK116,_names_lookup!$A:$A,0)),"")</f>
        <v/>
      </c>
      <c r="BM116" t="str">
        <f>IFERROR(INDEX(_names_lookup!$B:$B,MATCH(BK116,_names_lookup!$A:$A,0)),"")</f>
        <v/>
      </c>
      <c r="BS116" t="str">
        <f t="shared" si="21"/>
        <v/>
      </c>
    </row>
    <row r="117" spans="15:71" x14ac:dyDescent="0.2">
      <c r="O117" t="str">
        <f>IFERROR(INDEX(_courses_lookup!$C:$C,MATCH(K117&amp;L117,_courses_lookup!$E:$E,0)),"")</f>
        <v/>
      </c>
      <c r="P117" t="str">
        <f>IFERROR(INDEX(_courses_lookup!$D:$D,MATCH(K117&amp;L117,_courses_lookup!$E:$E,0)),"")</f>
        <v/>
      </c>
      <c r="AG117" t="str">
        <f t="shared" si="11"/>
        <v/>
      </c>
      <c r="AI117" t="str">
        <f t="shared" si="12"/>
        <v/>
      </c>
      <c r="AL117" t="str">
        <f t="shared" si="13"/>
        <v/>
      </c>
      <c r="AN117" t="str">
        <f t="shared" si="14"/>
        <v/>
      </c>
      <c r="AQ117" t="str">
        <f t="shared" si="15"/>
        <v/>
      </c>
      <c r="AR117" t="str">
        <f t="shared" si="16"/>
        <v/>
      </c>
      <c r="AS117" t="str">
        <f t="shared" si="17"/>
        <v/>
      </c>
      <c r="AT117" t="str">
        <f t="shared" si="18"/>
        <v/>
      </c>
      <c r="BG117" t="str">
        <f t="shared" si="19"/>
        <v/>
      </c>
      <c r="BH117" t="str">
        <f t="shared" si="20"/>
        <v/>
      </c>
      <c r="BL117" t="str">
        <f>IFERROR(INDEX(_names_lookup!$C:$C,MATCH(BK117,_names_lookup!$A:$A,0)),"")</f>
        <v/>
      </c>
      <c r="BM117" t="str">
        <f>IFERROR(INDEX(_names_lookup!$B:$B,MATCH(BK117,_names_lookup!$A:$A,0)),"")</f>
        <v/>
      </c>
      <c r="BS117" t="str">
        <f t="shared" si="21"/>
        <v/>
      </c>
    </row>
    <row r="118" spans="15:71" x14ac:dyDescent="0.2">
      <c r="O118" t="str">
        <f>IFERROR(INDEX(_courses_lookup!$C:$C,MATCH(K118&amp;L118,_courses_lookup!$E:$E,0)),"")</f>
        <v/>
      </c>
      <c r="P118" t="str">
        <f>IFERROR(INDEX(_courses_lookup!$D:$D,MATCH(K118&amp;L118,_courses_lookup!$E:$E,0)),"")</f>
        <v/>
      </c>
      <c r="AG118" t="str">
        <f t="shared" si="11"/>
        <v/>
      </c>
      <c r="AI118" t="str">
        <f t="shared" si="12"/>
        <v/>
      </c>
      <c r="AL118" t="str">
        <f t="shared" si="13"/>
        <v/>
      </c>
      <c r="AN118" t="str">
        <f t="shared" si="14"/>
        <v/>
      </c>
      <c r="AQ118" t="str">
        <f t="shared" si="15"/>
        <v/>
      </c>
      <c r="AR118" t="str">
        <f t="shared" si="16"/>
        <v/>
      </c>
      <c r="AS118" t="str">
        <f t="shared" si="17"/>
        <v/>
      </c>
      <c r="AT118" t="str">
        <f t="shared" si="18"/>
        <v/>
      </c>
      <c r="BG118" t="str">
        <f t="shared" si="19"/>
        <v/>
      </c>
      <c r="BH118" t="str">
        <f t="shared" si="20"/>
        <v/>
      </c>
      <c r="BL118" t="str">
        <f>IFERROR(INDEX(_names_lookup!$C:$C,MATCH(BK118,_names_lookup!$A:$A,0)),"")</f>
        <v/>
      </c>
      <c r="BM118" t="str">
        <f>IFERROR(INDEX(_names_lookup!$B:$B,MATCH(BK118,_names_lookup!$A:$A,0)),"")</f>
        <v/>
      </c>
      <c r="BS118" t="str">
        <f t="shared" si="21"/>
        <v/>
      </c>
    </row>
    <row r="119" spans="15:71" x14ac:dyDescent="0.2">
      <c r="O119" t="str">
        <f>IFERROR(INDEX(_courses_lookup!$C:$C,MATCH(K119&amp;L119,_courses_lookup!$E:$E,0)),"")</f>
        <v/>
      </c>
      <c r="P119" t="str">
        <f>IFERROR(INDEX(_courses_lookup!$D:$D,MATCH(K119&amp;L119,_courses_lookup!$E:$E,0)),"")</f>
        <v/>
      </c>
      <c r="AG119" t="str">
        <f t="shared" si="11"/>
        <v/>
      </c>
      <c r="AI119" t="str">
        <f t="shared" si="12"/>
        <v/>
      </c>
      <c r="AL119" t="str">
        <f t="shared" si="13"/>
        <v/>
      </c>
      <c r="AN119" t="str">
        <f t="shared" si="14"/>
        <v/>
      </c>
      <c r="AQ119" t="str">
        <f t="shared" si="15"/>
        <v/>
      </c>
      <c r="AR119" t="str">
        <f t="shared" si="16"/>
        <v/>
      </c>
      <c r="AS119" t="str">
        <f t="shared" si="17"/>
        <v/>
      </c>
      <c r="AT119" t="str">
        <f t="shared" si="18"/>
        <v/>
      </c>
      <c r="BG119" t="str">
        <f t="shared" si="19"/>
        <v/>
      </c>
      <c r="BH119" t="str">
        <f t="shared" si="20"/>
        <v/>
      </c>
      <c r="BL119" t="str">
        <f>IFERROR(INDEX(_names_lookup!$C:$C,MATCH(BK119,_names_lookup!$A:$A,0)),"")</f>
        <v/>
      </c>
      <c r="BM119" t="str">
        <f>IFERROR(INDEX(_names_lookup!$B:$B,MATCH(BK119,_names_lookup!$A:$A,0)),"")</f>
        <v/>
      </c>
      <c r="BS119" t="str">
        <f t="shared" si="21"/>
        <v/>
      </c>
    </row>
    <row r="120" spans="15:71" x14ac:dyDescent="0.2">
      <c r="O120" t="str">
        <f>IFERROR(INDEX(_courses_lookup!$C:$C,MATCH(K120&amp;L120,_courses_lookup!$E:$E,0)),"")</f>
        <v/>
      </c>
      <c r="P120" t="str">
        <f>IFERROR(INDEX(_courses_lookup!$D:$D,MATCH(K120&amp;L120,_courses_lookup!$E:$E,0)),"")</f>
        <v/>
      </c>
      <c r="AG120" t="str">
        <f t="shared" si="11"/>
        <v/>
      </c>
      <c r="AI120" t="str">
        <f t="shared" si="12"/>
        <v/>
      </c>
      <c r="AL120" t="str">
        <f t="shared" si="13"/>
        <v/>
      </c>
      <c r="AN120" t="str">
        <f t="shared" si="14"/>
        <v/>
      </c>
      <c r="AQ120" t="str">
        <f t="shared" si="15"/>
        <v/>
      </c>
      <c r="AR120" t="str">
        <f t="shared" si="16"/>
        <v/>
      </c>
      <c r="AS120" t="str">
        <f t="shared" si="17"/>
        <v/>
      </c>
      <c r="AT120" t="str">
        <f t="shared" si="18"/>
        <v/>
      </c>
      <c r="BG120" t="str">
        <f t="shared" si="19"/>
        <v/>
      </c>
      <c r="BH120" t="str">
        <f t="shared" si="20"/>
        <v/>
      </c>
      <c r="BL120" t="str">
        <f>IFERROR(INDEX(_names_lookup!$C:$C,MATCH(BK120,_names_lookup!$A:$A,0)),"")</f>
        <v/>
      </c>
      <c r="BM120" t="str">
        <f>IFERROR(INDEX(_names_lookup!$B:$B,MATCH(BK120,_names_lookup!$A:$A,0)),"")</f>
        <v/>
      </c>
      <c r="BS120" t="str">
        <f t="shared" si="21"/>
        <v/>
      </c>
    </row>
    <row r="121" spans="15:71" x14ac:dyDescent="0.2">
      <c r="O121" t="str">
        <f>IFERROR(INDEX(_courses_lookup!$C:$C,MATCH(K121&amp;L121,_courses_lookup!$E:$E,0)),"")</f>
        <v/>
      </c>
      <c r="P121" t="str">
        <f>IFERROR(INDEX(_courses_lookup!$D:$D,MATCH(K121&amp;L121,_courses_lookup!$E:$E,0)),"")</f>
        <v/>
      </c>
      <c r="AG121" t="str">
        <f t="shared" si="11"/>
        <v/>
      </c>
      <c r="AI121" t="str">
        <f t="shared" si="12"/>
        <v/>
      </c>
      <c r="AL121" t="str">
        <f t="shared" si="13"/>
        <v/>
      </c>
      <c r="AN121" t="str">
        <f t="shared" si="14"/>
        <v/>
      </c>
      <c r="AQ121" t="str">
        <f t="shared" si="15"/>
        <v/>
      </c>
      <c r="AR121" t="str">
        <f t="shared" si="16"/>
        <v/>
      </c>
      <c r="AS121" t="str">
        <f t="shared" si="17"/>
        <v/>
      </c>
      <c r="AT121" t="str">
        <f t="shared" si="18"/>
        <v/>
      </c>
      <c r="BG121" t="str">
        <f t="shared" si="19"/>
        <v/>
      </c>
      <c r="BH121" t="str">
        <f t="shared" si="20"/>
        <v/>
      </c>
      <c r="BL121" t="str">
        <f>IFERROR(INDEX(_names_lookup!$C:$C,MATCH(BK121,_names_lookup!$A:$A,0)),"")</f>
        <v/>
      </c>
      <c r="BM121" t="str">
        <f>IFERROR(INDEX(_names_lookup!$B:$B,MATCH(BK121,_names_lookup!$A:$A,0)),"")</f>
        <v/>
      </c>
      <c r="BS121" t="str">
        <f t="shared" si="21"/>
        <v/>
      </c>
    </row>
    <row r="122" spans="15:71" x14ac:dyDescent="0.2">
      <c r="O122" t="str">
        <f>IFERROR(INDEX(_courses_lookup!$C:$C,MATCH(K122&amp;L122,_courses_lookup!$E:$E,0)),"")</f>
        <v/>
      </c>
      <c r="P122" t="str">
        <f>IFERROR(INDEX(_courses_lookup!$D:$D,MATCH(K122&amp;L122,_courses_lookup!$E:$E,0)),"")</f>
        <v/>
      </c>
      <c r="AG122" t="str">
        <f t="shared" si="11"/>
        <v/>
      </c>
      <c r="AI122" t="str">
        <f t="shared" si="12"/>
        <v/>
      </c>
      <c r="AL122" t="str">
        <f t="shared" si="13"/>
        <v/>
      </c>
      <c r="AN122" t="str">
        <f t="shared" si="14"/>
        <v/>
      </c>
      <c r="AQ122" t="str">
        <f t="shared" si="15"/>
        <v/>
      </c>
      <c r="AR122" t="str">
        <f t="shared" si="16"/>
        <v/>
      </c>
      <c r="AS122" t="str">
        <f t="shared" si="17"/>
        <v/>
      </c>
      <c r="AT122" t="str">
        <f t="shared" si="18"/>
        <v/>
      </c>
      <c r="BG122" t="str">
        <f t="shared" si="19"/>
        <v/>
      </c>
      <c r="BH122" t="str">
        <f t="shared" si="20"/>
        <v/>
      </c>
      <c r="BL122" t="str">
        <f>IFERROR(INDEX(_names_lookup!$C:$C,MATCH(BK122,_names_lookup!$A:$A,0)),"")</f>
        <v/>
      </c>
      <c r="BM122" t="str">
        <f>IFERROR(INDEX(_names_lookup!$B:$B,MATCH(BK122,_names_lookup!$A:$A,0)),"")</f>
        <v/>
      </c>
      <c r="BS122" t="str">
        <f t="shared" si="21"/>
        <v/>
      </c>
    </row>
    <row r="123" spans="15:71" x14ac:dyDescent="0.2">
      <c r="O123" t="str">
        <f>IFERROR(INDEX(_courses_lookup!$C:$C,MATCH(K123&amp;L123,_courses_lookup!$E:$E,0)),"")</f>
        <v/>
      </c>
      <c r="P123" t="str">
        <f>IFERROR(INDEX(_courses_lookup!$D:$D,MATCH(K123&amp;L123,_courses_lookup!$E:$E,0)),"")</f>
        <v/>
      </c>
      <c r="AG123" t="str">
        <f t="shared" si="11"/>
        <v/>
      </c>
      <c r="AI123" t="str">
        <f t="shared" si="12"/>
        <v/>
      </c>
      <c r="AL123" t="str">
        <f t="shared" si="13"/>
        <v/>
      </c>
      <c r="AN123" t="str">
        <f t="shared" si="14"/>
        <v/>
      </c>
      <c r="AQ123" t="str">
        <f t="shared" si="15"/>
        <v/>
      </c>
      <c r="AR123" t="str">
        <f t="shared" si="16"/>
        <v/>
      </c>
      <c r="AS123" t="str">
        <f t="shared" si="17"/>
        <v/>
      </c>
      <c r="AT123" t="str">
        <f t="shared" si="18"/>
        <v/>
      </c>
      <c r="BG123" t="str">
        <f t="shared" si="19"/>
        <v/>
      </c>
      <c r="BH123" t="str">
        <f t="shared" si="20"/>
        <v/>
      </c>
      <c r="BL123" t="str">
        <f>IFERROR(INDEX(_names_lookup!$C:$C,MATCH(BK123,_names_lookup!$A:$A,0)),"")</f>
        <v/>
      </c>
      <c r="BM123" t="str">
        <f>IFERROR(INDEX(_names_lookup!$B:$B,MATCH(BK123,_names_lookup!$A:$A,0)),"")</f>
        <v/>
      </c>
      <c r="BS123" t="str">
        <f t="shared" si="21"/>
        <v/>
      </c>
    </row>
    <row r="124" spans="15:71" x14ac:dyDescent="0.2">
      <c r="O124" t="str">
        <f>IFERROR(INDEX(_courses_lookup!$C:$C,MATCH(K124&amp;L124,_courses_lookup!$E:$E,0)),"")</f>
        <v/>
      </c>
      <c r="P124" t="str">
        <f>IFERROR(INDEX(_courses_lookup!$D:$D,MATCH(K124&amp;L124,_courses_lookup!$E:$E,0)),"")</f>
        <v/>
      </c>
      <c r="AG124" t="str">
        <f t="shared" si="11"/>
        <v/>
      </c>
      <c r="AI124" t="str">
        <f t="shared" si="12"/>
        <v/>
      </c>
      <c r="AL124" t="str">
        <f t="shared" si="13"/>
        <v/>
      </c>
      <c r="AN124" t="str">
        <f t="shared" si="14"/>
        <v/>
      </c>
      <c r="AQ124" t="str">
        <f t="shared" si="15"/>
        <v/>
      </c>
      <c r="AR124" t="str">
        <f t="shared" si="16"/>
        <v/>
      </c>
      <c r="AS124" t="str">
        <f t="shared" si="17"/>
        <v/>
      </c>
      <c r="AT124" t="str">
        <f t="shared" si="18"/>
        <v/>
      </c>
      <c r="BG124" t="str">
        <f t="shared" si="19"/>
        <v/>
      </c>
      <c r="BH124" t="str">
        <f t="shared" si="20"/>
        <v/>
      </c>
      <c r="BL124" t="str">
        <f>IFERROR(INDEX(_names_lookup!$C:$C,MATCH(BK124,_names_lookup!$A:$A,0)),"")</f>
        <v/>
      </c>
      <c r="BM124" t="str">
        <f>IFERROR(INDEX(_names_lookup!$B:$B,MATCH(BK124,_names_lookup!$A:$A,0)),"")</f>
        <v/>
      </c>
      <c r="BS124" t="str">
        <f t="shared" si="21"/>
        <v/>
      </c>
    </row>
    <row r="125" spans="15:71" x14ac:dyDescent="0.2">
      <c r="O125" t="str">
        <f>IFERROR(INDEX(_courses_lookup!$C:$C,MATCH(K125&amp;L125,_courses_lookup!$E:$E,0)),"")</f>
        <v/>
      </c>
      <c r="P125" t="str">
        <f>IFERROR(INDEX(_courses_lookup!$D:$D,MATCH(K125&amp;L125,_courses_lookup!$E:$E,0)),"")</f>
        <v/>
      </c>
      <c r="AG125" t="str">
        <f t="shared" si="11"/>
        <v/>
      </c>
      <c r="AI125" t="str">
        <f t="shared" si="12"/>
        <v/>
      </c>
      <c r="AL125" t="str">
        <f t="shared" si="13"/>
        <v/>
      </c>
      <c r="AN125" t="str">
        <f t="shared" si="14"/>
        <v/>
      </c>
      <c r="AQ125" t="str">
        <f t="shared" si="15"/>
        <v/>
      </c>
      <c r="AR125" t="str">
        <f t="shared" si="16"/>
        <v/>
      </c>
      <c r="AS125" t="str">
        <f t="shared" si="17"/>
        <v/>
      </c>
      <c r="AT125" t="str">
        <f t="shared" si="18"/>
        <v/>
      </c>
      <c r="BG125" t="str">
        <f t="shared" si="19"/>
        <v/>
      </c>
      <c r="BH125" t="str">
        <f t="shared" si="20"/>
        <v/>
      </c>
      <c r="BL125" t="str">
        <f>IFERROR(INDEX(_names_lookup!$C:$C,MATCH(BK125,_names_lookup!$A:$A,0)),"")</f>
        <v/>
      </c>
      <c r="BM125" t="str">
        <f>IFERROR(INDEX(_names_lookup!$B:$B,MATCH(BK125,_names_lookup!$A:$A,0)),"")</f>
        <v/>
      </c>
      <c r="BS125" t="str">
        <f t="shared" si="21"/>
        <v/>
      </c>
    </row>
    <row r="126" spans="15:71" x14ac:dyDescent="0.2">
      <c r="O126" t="str">
        <f>IFERROR(INDEX(_courses_lookup!$C:$C,MATCH(K126&amp;L126,_courses_lookup!$E:$E,0)),"")</f>
        <v/>
      </c>
      <c r="P126" t="str">
        <f>IFERROR(INDEX(_courses_lookup!$D:$D,MATCH(K126&amp;L126,_courses_lookup!$E:$E,0)),"")</f>
        <v/>
      </c>
      <c r="AG126" t="str">
        <f t="shared" si="11"/>
        <v/>
      </c>
      <c r="AI126" t="str">
        <f t="shared" si="12"/>
        <v/>
      </c>
      <c r="AL126" t="str">
        <f t="shared" si="13"/>
        <v/>
      </c>
      <c r="AN126" t="str">
        <f t="shared" si="14"/>
        <v/>
      </c>
      <c r="AQ126" t="str">
        <f t="shared" si="15"/>
        <v/>
      </c>
      <c r="AR126" t="str">
        <f t="shared" si="16"/>
        <v/>
      </c>
      <c r="AS126" t="str">
        <f t="shared" si="17"/>
        <v/>
      </c>
      <c r="AT126" t="str">
        <f t="shared" si="18"/>
        <v/>
      </c>
      <c r="BG126" t="str">
        <f t="shared" si="19"/>
        <v/>
      </c>
      <c r="BH126" t="str">
        <f t="shared" si="20"/>
        <v/>
      </c>
      <c r="BL126" t="str">
        <f>IFERROR(INDEX(_names_lookup!$C:$C,MATCH(BK126,_names_lookup!$A:$A,0)),"")</f>
        <v/>
      </c>
      <c r="BM126" t="str">
        <f>IFERROR(INDEX(_names_lookup!$B:$B,MATCH(BK126,_names_lookup!$A:$A,0)),"")</f>
        <v/>
      </c>
      <c r="BS126" t="str">
        <f t="shared" si="21"/>
        <v/>
      </c>
    </row>
    <row r="127" spans="15:71" x14ac:dyDescent="0.2">
      <c r="O127" t="str">
        <f>IFERROR(INDEX(_courses_lookup!$C:$C,MATCH(K127&amp;L127,_courses_lookup!$E:$E,0)),"")</f>
        <v/>
      </c>
      <c r="P127" t="str">
        <f>IFERROR(INDEX(_courses_lookup!$D:$D,MATCH(K127&amp;L127,_courses_lookup!$E:$E,0)),"")</f>
        <v/>
      </c>
      <c r="AG127" t="str">
        <f t="shared" si="11"/>
        <v/>
      </c>
      <c r="AI127" t="str">
        <f t="shared" si="12"/>
        <v/>
      </c>
      <c r="AL127" t="str">
        <f t="shared" si="13"/>
        <v/>
      </c>
      <c r="AN127" t="str">
        <f t="shared" si="14"/>
        <v/>
      </c>
      <c r="AQ127" t="str">
        <f t="shared" si="15"/>
        <v/>
      </c>
      <c r="AR127" t="str">
        <f t="shared" si="16"/>
        <v/>
      </c>
      <c r="AS127" t="str">
        <f t="shared" si="17"/>
        <v/>
      </c>
      <c r="AT127" t="str">
        <f t="shared" si="18"/>
        <v/>
      </c>
      <c r="BG127" t="str">
        <f t="shared" si="19"/>
        <v/>
      </c>
      <c r="BH127" t="str">
        <f t="shared" si="20"/>
        <v/>
      </c>
      <c r="BL127" t="str">
        <f>IFERROR(INDEX(_names_lookup!$C:$C,MATCH(BK127,_names_lookup!$A:$A,0)),"")</f>
        <v/>
      </c>
      <c r="BM127" t="str">
        <f>IFERROR(INDEX(_names_lookup!$B:$B,MATCH(BK127,_names_lookup!$A:$A,0)),"")</f>
        <v/>
      </c>
      <c r="BS127" t="str">
        <f t="shared" si="21"/>
        <v/>
      </c>
    </row>
    <row r="128" spans="15:71" x14ac:dyDescent="0.2">
      <c r="O128" t="str">
        <f>IFERROR(INDEX(_courses_lookup!$C:$C,MATCH(K128&amp;L128,_courses_lookup!$E:$E,0)),"")</f>
        <v/>
      </c>
      <c r="P128" t="str">
        <f>IFERROR(INDEX(_courses_lookup!$D:$D,MATCH(K128&amp;L128,_courses_lookup!$E:$E,0)),"")</f>
        <v/>
      </c>
      <c r="AG128" t="str">
        <f t="shared" si="11"/>
        <v/>
      </c>
      <c r="AI128" t="str">
        <f t="shared" si="12"/>
        <v/>
      </c>
      <c r="AL128" t="str">
        <f t="shared" si="13"/>
        <v/>
      </c>
      <c r="AN128" t="str">
        <f t="shared" si="14"/>
        <v/>
      </c>
      <c r="AQ128" t="str">
        <f t="shared" si="15"/>
        <v/>
      </c>
      <c r="AR128" t="str">
        <f t="shared" si="16"/>
        <v/>
      </c>
      <c r="AS128" t="str">
        <f t="shared" si="17"/>
        <v/>
      </c>
      <c r="AT128" t="str">
        <f t="shared" si="18"/>
        <v/>
      </c>
      <c r="BG128" t="str">
        <f t="shared" si="19"/>
        <v/>
      </c>
      <c r="BH128" t="str">
        <f t="shared" si="20"/>
        <v/>
      </c>
      <c r="BL128" t="str">
        <f>IFERROR(INDEX(_names_lookup!$C:$C,MATCH(BK128,_names_lookup!$A:$A,0)),"")</f>
        <v/>
      </c>
      <c r="BM128" t="str">
        <f>IFERROR(INDEX(_names_lookup!$B:$B,MATCH(BK128,_names_lookup!$A:$A,0)),"")</f>
        <v/>
      </c>
      <c r="BS128" t="str">
        <f t="shared" si="21"/>
        <v/>
      </c>
    </row>
    <row r="129" spans="15:71" x14ac:dyDescent="0.2">
      <c r="O129" t="str">
        <f>IFERROR(INDEX(_courses_lookup!$C:$C,MATCH(K129&amp;L129,_courses_lookup!$E:$E,0)),"")</f>
        <v/>
      </c>
      <c r="P129" t="str">
        <f>IFERROR(INDEX(_courses_lookup!$D:$D,MATCH(K129&amp;L129,_courses_lookup!$E:$E,0)),"")</f>
        <v/>
      </c>
      <c r="AG129" t="str">
        <f t="shared" si="11"/>
        <v/>
      </c>
      <c r="AI129" t="str">
        <f t="shared" si="12"/>
        <v/>
      </c>
      <c r="AL129" t="str">
        <f t="shared" si="13"/>
        <v/>
      </c>
      <c r="AN129" t="str">
        <f t="shared" si="14"/>
        <v/>
      </c>
      <c r="AQ129" t="str">
        <f t="shared" si="15"/>
        <v/>
      </c>
      <c r="AR129" t="str">
        <f t="shared" si="16"/>
        <v/>
      </c>
      <c r="AS129" t="str">
        <f t="shared" si="17"/>
        <v/>
      </c>
      <c r="AT129" t="str">
        <f t="shared" si="18"/>
        <v/>
      </c>
      <c r="BG129" t="str">
        <f t="shared" si="19"/>
        <v/>
      </c>
      <c r="BH129" t="str">
        <f t="shared" si="20"/>
        <v/>
      </c>
      <c r="BL129" t="str">
        <f>IFERROR(INDEX(_names_lookup!$C:$C,MATCH(BK129,_names_lookup!$A:$A,0)),"")</f>
        <v/>
      </c>
      <c r="BM129" t="str">
        <f>IFERROR(INDEX(_names_lookup!$B:$B,MATCH(BK129,_names_lookup!$A:$A,0)),"")</f>
        <v/>
      </c>
      <c r="BS129" t="str">
        <f t="shared" si="21"/>
        <v/>
      </c>
    </row>
    <row r="130" spans="15:71" x14ac:dyDescent="0.2">
      <c r="O130" t="str">
        <f>IFERROR(INDEX(_courses_lookup!$C:$C,MATCH(K130&amp;L130,_courses_lookup!$E:$E,0)),"")</f>
        <v/>
      </c>
      <c r="P130" t="str">
        <f>IFERROR(INDEX(_courses_lookup!$D:$D,MATCH(K130&amp;L130,_courses_lookup!$E:$E,0)),"")</f>
        <v/>
      </c>
      <c r="AG130" t="str">
        <f t="shared" ref="AG130:AG193" si="22">IF(AND(AE130&lt;&gt;"",AF130&lt;&gt;""),ROUNDUP((AF130-AE130)/7,0),"")</f>
        <v/>
      </c>
      <c r="AI130" t="str">
        <f t="shared" ref="AI130:AI193" si="23">IFERROR(IF(AG130*AH130=0,"",AG130*AH130),"")</f>
        <v/>
      </c>
      <c r="AL130" t="str">
        <f t="shared" ref="AL130:AL193" si="24">IF(AND(AJ130&lt;&gt;"",AK130&lt;&gt;""),ROUNDUP((AK130-AJ130)/7,0),"")</f>
        <v/>
      </c>
      <c r="AN130" t="str">
        <f t="shared" ref="AN130:AN193" si="25">IFERROR(IF(AL130*AM130=0,"",AL130*AM130),"")</f>
        <v/>
      </c>
      <c r="AQ130" t="str">
        <f t="shared" ref="AQ130:AQ193" si="26">IF(AND(AO130&lt;&gt;"",AP130&lt;&gt;""),ROUNDUP((AP130-AO130)/7,0),"")</f>
        <v/>
      </c>
      <c r="AR130" t="str">
        <f t="shared" ref="AR130:AR193" si="27">IFERROR(IF((AU130-(AI130+AN130))/AQ130=0,"",ROUNDUP((AU130-(AI130+AN130))/AQ130,0)),"")</f>
        <v/>
      </c>
      <c r="AS130" t="str">
        <f t="shared" ref="AS130:AS193" si="28">IFERROR(IF((AU130-(AI130+AN130))=0,"",(AU130-(AI130+AN130))),"")</f>
        <v/>
      </c>
      <c r="AT130" t="str">
        <f t="shared" ref="AT130:AT193" si="29">IF(AND(AG130="",AQ130=""),AL130,IF(SUM(AG130,AL130,AQ130)=0,"",SUM(AG130,AL130,AQ130)))</f>
        <v/>
      </c>
      <c r="BG130" t="str">
        <f t="shared" ref="BG130:BG193" si="30">IF(AD130="","",YEAR(AD130)+IF(MONTH(AD130)&gt;=5,1,0))</f>
        <v/>
      </c>
      <c r="BH130" t="str">
        <f t="shared" ref="BH130:BH193" si="31">IF(AD130="","",IF(AND(MONTH(AD130)=8,DAY(AD130)&gt;=15),"Fall",IF(MONTH(AD130)&gt;8,"Fall",IF(MONTH(AD130)=5,"Summer",IF(MONTH(AD130)=1,"Spring","")))))</f>
        <v/>
      </c>
      <c r="BL130" t="str">
        <f>IFERROR(INDEX(_names_lookup!$C:$C,MATCH(BK130,_names_lookup!$A:$A,0)),"")</f>
        <v/>
      </c>
      <c r="BM130" t="str">
        <f>IFERROR(INDEX(_names_lookup!$B:$B,MATCH(BK130,_names_lookup!$A:$A,0)),"")</f>
        <v/>
      </c>
      <c r="BS130" t="str">
        <f t="shared" ref="BS130:BS193" si="32">IFERROR(IF(BR130*AA130=0,"",BR130*AA130),"")</f>
        <v/>
      </c>
    </row>
    <row r="131" spans="15:71" x14ac:dyDescent="0.2">
      <c r="O131" t="str">
        <f>IFERROR(INDEX(_courses_lookup!$C:$C,MATCH(K131&amp;L131,_courses_lookup!$E:$E,0)),"")</f>
        <v/>
      </c>
      <c r="P131" t="str">
        <f>IFERROR(INDEX(_courses_lookup!$D:$D,MATCH(K131&amp;L131,_courses_lookup!$E:$E,0)),"")</f>
        <v/>
      </c>
      <c r="AG131" t="str">
        <f t="shared" si="22"/>
        <v/>
      </c>
      <c r="AI131" t="str">
        <f t="shared" si="23"/>
        <v/>
      </c>
      <c r="AL131" t="str">
        <f t="shared" si="24"/>
        <v/>
      </c>
      <c r="AN131" t="str">
        <f t="shared" si="25"/>
        <v/>
      </c>
      <c r="AQ131" t="str">
        <f t="shared" si="26"/>
        <v/>
      </c>
      <c r="AR131" t="str">
        <f t="shared" si="27"/>
        <v/>
      </c>
      <c r="AS131" t="str">
        <f t="shared" si="28"/>
        <v/>
      </c>
      <c r="AT131" t="str">
        <f t="shared" si="29"/>
        <v/>
      </c>
      <c r="BG131" t="str">
        <f t="shared" si="30"/>
        <v/>
      </c>
      <c r="BH131" t="str">
        <f t="shared" si="31"/>
        <v/>
      </c>
      <c r="BL131" t="str">
        <f>IFERROR(INDEX(_names_lookup!$C:$C,MATCH(BK131,_names_lookup!$A:$A,0)),"")</f>
        <v/>
      </c>
      <c r="BM131" t="str">
        <f>IFERROR(INDEX(_names_lookup!$B:$B,MATCH(BK131,_names_lookup!$A:$A,0)),"")</f>
        <v/>
      </c>
      <c r="BS131" t="str">
        <f t="shared" si="32"/>
        <v/>
      </c>
    </row>
    <row r="132" spans="15:71" x14ac:dyDescent="0.2">
      <c r="O132" t="str">
        <f>IFERROR(INDEX(_courses_lookup!$C:$C,MATCH(K132&amp;L132,_courses_lookup!$E:$E,0)),"")</f>
        <v/>
      </c>
      <c r="P132" t="str">
        <f>IFERROR(INDEX(_courses_lookup!$D:$D,MATCH(K132&amp;L132,_courses_lookup!$E:$E,0)),"")</f>
        <v/>
      </c>
      <c r="AG132" t="str">
        <f t="shared" si="22"/>
        <v/>
      </c>
      <c r="AI132" t="str">
        <f t="shared" si="23"/>
        <v/>
      </c>
      <c r="AL132" t="str">
        <f t="shared" si="24"/>
        <v/>
      </c>
      <c r="AN132" t="str">
        <f t="shared" si="25"/>
        <v/>
      </c>
      <c r="AQ132" t="str">
        <f t="shared" si="26"/>
        <v/>
      </c>
      <c r="AR132" t="str">
        <f t="shared" si="27"/>
        <v/>
      </c>
      <c r="AS132" t="str">
        <f t="shared" si="28"/>
        <v/>
      </c>
      <c r="AT132" t="str">
        <f t="shared" si="29"/>
        <v/>
      </c>
      <c r="BG132" t="str">
        <f t="shared" si="30"/>
        <v/>
      </c>
      <c r="BH132" t="str">
        <f t="shared" si="31"/>
        <v/>
      </c>
      <c r="BL132" t="str">
        <f>IFERROR(INDEX(_names_lookup!$C:$C,MATCH(BK132,_names_lookup!$A:$A,0)),"")</f>
        <v/>
      </c>
      <c r="BM132" t="str">
        <f>IFERROR(INDEX(_names_lookup!$B:$B,MATCH(BK132,_names_lookup!$A:$A,0)),"")</f>
        <v/>
      </c>
      <c r="BS132" t="str">
        <f t="shared" si="32"/>
        <v/>
      </c>
    </row>
    <row r="133" spans="15:71" x14ac:dyDescent="0.2">
      <c r="O133" t="str">
        <f>IFERROR(INDEX(_courses_lookup!$C:$C,MATCH(K133&amp;L133,_courses_lookup!$E:$E,0)),"")</f>
        <v/>
      </c>
      <c r="P133" t="str">
        <f>IFERROR(INDEX(_courses_lookup!$D:$D,MATCH(K133&amp;L133,_courses_lookup!$E:$E,0)),"")</f>
        <v/>
      </c>
      <c r="AG133" t="str">
        <f t="shared" si="22"/>
        <v/>
      </c>
      <c r="AI133" t="str">
        <f t="shared" si="23"/>
        <v/>
      </c>
      <c r="AL133" t="str">
        <f t="shared" si="24"/>
        <v/>
      </c>
      <c r="AN133" t="str">
        <f t="shared" si="25"/>
        <v/>
      </c>
      <c r="AQ133" t="str">
        <f t="shared" si="26"/>
        <v/>
      </c>
      <c r="AR133" t="str">
        <f t="shared" si="27"/>
        <v/>
      </c>
      <c r="AS133" t="str">
        <f t="shared" si="28"/>
        <v/>
      </c>
      <c r="AT133" t="str">
        <f t="shared" si="29"/>
        <v/>
      </c>
      <c r="BG133" t="str">
        <f t="shared" si="30"/>
        <v/>
      </c>
      <c r="BH133" t="str">
        <f t="shared" si="31"/>
        <v/>
      </c>
      <c r="BL133" t="str">
        <f>IFERROR(INDEX(_names_lookup!$C:$C,MATCH(BK133,_names_lookup!$A:$A,0)),"")</f>
        <v/>
      </c>
      <c r="BM133" t="str">
        <f>IFERROR(INDEX(_names_lookup!$B:$B,MATCH(BK133,_names_lookup!$A:$A,0)),"")</f>
        <v/>
      </c>
      <c r="BS133" t="str">
        <f t="shared" si="32"/>
        <v/>
      </c>
    </row>
    <row r="134" spans="15:71" x14ac:dyDescent="0.2">
      <c r="O134" t="str">
        <f>IFERROR(INDEX(_courses_lookup!$C:$C,MATCH(K134&amp;L134,_courses_lookup!$E:$E,0)),"")</f>
        <v/>
      </c>
      <c r="P134" t="str">
        <f>IFERROR(INDEX(_courses_lookup!$D:$D,MATCH(K134&amp;L134,_courses_lookup!$E:$E,0)),"")</f>
        <v/>
      </c>
      <c r="AG134" t="str">
        <f t="shared" si="22"/>
        <v/>
      </c>
      <c r="AI134" t="str">
        <f t="shared" si="23"/>
        <v/>
      </c>
      <c r="AL134" t="str">
        <f t="shared" si="24"/>
        <v/>
      </c>
      <c r="AN134" t="str">
        <f t="shared" si="25"/>
        <v/>
      </c>
      <c r="AQ134" t="str">
        <f t="shared" si="26"/>
        <v/>
      </c>
      <c r="AR134" t="str">
        <f t="shared" si="27"/>
        <v/>
      </c>
      <c r="AS134" t="str">
        <f t="shared" si="28"/>
        <v/>
      </c>
      <c r="AT134" t="str">
        <f t="shared" si="29"/>
        <v/>
      </c>
      <c r="BG134" t="str">
        <f t="shared" si="30"/>
        <v/>
      </c>
      <c r="BH134" t="str">
        <f t="shared" si="31"/>
        <v/>
      </c>
      <c r="BL134" t="str">
        <f>IFERROR(INDEX(_names_lookup!$C:$C,MATCH(BK134,_names_lookup!$A:$A,0)),"")</f>
        <v/>
      </c>
      <c r="BM134" t="str">
        <f>IFERROR(INDEX(_names_lookup!$B:$B,MATCH(BK134,_names_lookup!$A:$A,0)),"")</f>
        <v/>
      </c>
      <c r="BS134" t="str">
        <f t="shared" si="32"/>
        <v/>
      </c>
    </row>
    <row r="135" spans="15:71" x14ac:dyDescent="0.2">
      <c r="O135" t="str">
        <f>IFERROR(INDEX(_courses_lookup!$C:$C,MATCH(K135&amp;L135,_courses_lookup!$E:$E,0)),"")</f>
        <v/>
      </c>
      <c r="P135" t="str">
        <f>IFERROR(INDEX(_courses_lookup!$D:$D,MATCH(K135&amp;L135,_courses_lookup!$E:$E,0)),"")</f>
        <v/>
      </c>
      <c r="AG135" t="str">
        <f t="shared" si="22"/>
        <v/>
      </c>
      <c r="AI135" t="str">
        <f t="shared" si="23"/>
        <v/>
      </c>
      <c r="AL135" t="str">
        <f t="shared" si="24"/>
        <v/>
      </c>
      <c r="AN135" t="str">
        <f t="shared" si="25"/>
        <v/>
      </c>
      <c r="AQ135" t="str">
        <f t="shared" si="26"/>
        <v/>
      </c>
      <c r="AR135" t="str">
        <f t="shared" si="27"/>
        <v/>
      </c>
      <c r="AS135" t="str">
        <f t="shared" si="28"/>
        <v/>
      </c>
      <c r="AT135" t="str">
        <f t="shared" si="29"/>
        <v/>
      </c>
      <c r="BG135" t="str">
        <f t="shared" si="30"/>
        <v/>
      </c>
      <c r="BH135" t="str">
        <f t="shared" si="31"/>
        <v/>
      </c>
      <c r="BL135" t="str">
        <f>IFERROR(INDEX(_names_lookup!$C:$C,MATCH(BK135,_names_lookup!$A:$A,0)),"")</f>
        <v/>
      </c>
      <c r="BM135" t="str">
        <f>IFERROR(INDEX(_names_lookup!$B:$B,MATCH(BK135,_names_lookup!$A:$A,0)),"")</f>
        <v/>
      </c>
      <c r="BS135" t="str">
        <f t="shared" si="32"/>
        <v/>
      </c>
    </row>
    <row r="136" spans="15:71" x14ac:dyDescent="0.2">
      <c r="O136" t="str">
        <f>IFERROR(INDEX(_courses_lookup!$C:$C,MATCH(K136&amp;L136,_courses_lookup!$E:$E,0)),"")</f>
        <v/>
      </c>
      <c r="P136" t="str">
        <f>IFERROR(INDEX(_courses_lookup!$D:$D,MATCH(K136&amp;L136,_courses_lookup!$E:$E,0)),"")</f>
        <v/>
      </c>
      <c r="AG136" t="str">
        <f t="shared" si="22"/>
        <v/>
      </c>
      <c r="AI136" t="str">
        <f t="shared" si="23"/>
        <v/>
      </c>
      <c r="AL136" t="str">
        <f t="shared" si="24"/>
        <v/>
      </c>
      <c r="AN136" t="str">
        <f t="shared" si="25"/>
        <v/>
      </c>
      <c r="AQ136" t="str">
        <f t="shared" si="26"/>
        <v/>
      </c>
      <c r="AR136" t="str">
        <f t="shared" si="27"/>
        <v/>
      </c>
      <c r="AS136" t="str">
        <f t="shared" si="28"/>
        <v/>
      </c>
      <c r="AT136" t="str">
        <f t="shared" si="29"/>
        <v/>
      </c>
      <c r="BG136" t="str">
        <f t="shared" si="30"/>
        <v/>
      </c>
      <c r="BH136" t="str">
        <f t="shared" si="31"/>
        <v/>
      </c>
      <c r="BL136" t="str">
        <f>IFERROR(INDEX(_names_lookup!$C:$C,MATCH(BK136,_names_lookup!$A:$A,0)),"")</f>
        <v/>
      </c>
      <c r="BM136" t="str">
        <f>IFERROR(INDEX(_names_lookup!$B:$B,MATCH(BK136,_names_lookup!$A:$A,0)),"")</f>
        <v/>
      </c>
      <c r="BS136" t="str">
        <f t="shared" si="32"/>
        <v/>
      </c>
    </row>
    <row r="137" spans="15:71" x14ac:dyDescent="0.2">
      <c r="O137" t="str">
        <f>IFERROR(INDEX(_courses_lookup!$C:$C,MATCH(K137&amp;L137,_courses_lookup!$E:$E,0)),"")</f>
        <v/>
      </c>
      <c r="P137" t="str">
        <f>IFERROR(INDEX(_courses_lookup!$D:$D,MATCH(K137&amp;L137,_courses_lookup!$E:$E,0)),"")</f>
        <v/>
      </c>
      <c r="AG137" t="str">
        <f t="shared" si="22"/>
        <v/>
      </c>
      <c r="AI137" t="str">
        <f t="shared" si="23"/>
        <v/>
      </c>
      <c r="AL137" t="str">
        <f t="shared" si="24"/>
        <v/>
      </c>
      <c r="AN137" t="str">
        <f t="shared" si="25"/>
        <v/>
      </c>
      <c r="AQ137" t="str">
        <f t="shared" si="26"/>
        <v/>
      </c>
      <c r="AR137" t="str">
        <f t="shared" si="27"/>
        <v/>
      </c>
      <c r="AS137" t="str">
        <f t="shared" si="28"/>
        <v/>
      </c>
      <c r="AT137" t="str">
        <f t="shared" si="29"/>
        <v/>
      </c>
      <c r="BG137" t="str">
        <f t="shared" si="30"/>
        <v/>
      </c>
      <c r="BH137" t="str">
        <f t="shared" si="31"/>
        <v/>
      </c>
      <c r="BL137" t="str">
        <f>IFERROR(INDEX(_names_lookup!$C:$C,MATCH(BK137,_names_lookup!$A:$A,0)),"")</f>
        <v/>
      </c>
      <c r="BM137" t="str">
        <f>IFERROR(INDEX(_names_lookup!$B:$B,MATCH(BK137,_names_lookup!$A:$A,0)),"")</f>
        <v/>
      </c>
      <c r="BS137" t="str">
        <f t="shared" si="32"/>
        <v/>
      </c>
    </row>
    <row r="138" spans="15:71" x14ac:dyDescent="0.2">
      <c r="O138" t="str">
        <f>IFERROR(INDEX(_courses_lookup!$C:$C,MATCH(K138&amp;L138,_courses_lookup!$E:$E,0)),"")</f>
        <v/>
      </c>
      <c r="P138" t="str">
        <f>IFERROR(INDEX(_courses_lookup!$D:$D,MATCH(K138&amp;L138,_courses_lookup!$E:$E,0)),"")</f>
        <v/>
      </c>
      <c r="AG138" t="str">
        <f t="shared" si="22"/>
        <v/>
      </c>
      <c r="AI138" t="str">
        <f t="shared" si="23"/>
        <v/>
      </c>
      <c r="AL138" t="str">
        <f t="shared" si="24"/>
        <v/>
      </c>
      <c r="AN138" t="str">
        <f t="shared" si="25"/>
        <v/>
      </c>
      <c r="AQ138" t="str">
        <f t="shared" si="26"/>
        <v/>
      </c>
      <c r="AR138" t="str">
        <f t="shared" si="27"/>
        <v/>
      </c>
      <c r="AS138" t="str">
        <f t="shared" si="28"/>
        <v/>
      </c>
      <c r="AT138" t="str">
        <f t="shared" si="29"/>
        <v/>
      </c>
      <c r="BG138" t="str">
        <f t="shared" si="30"/>
        <v/>
      </c>
      <c r="BH138" t="str">
        <f t="shared" si="31"/>
        <v/>
      </c>
      <c r="BL138" t="str">
        <f>IFERROR(INDEX(_names_lookup!$C:$C,MATCH(BK138,_names_lookup!$A:$A,0)),"")</f>
        <v/>
      </c>
      <c r="BM138" t="str">
        <f>IFERROR(INDEX(_names_lookup!$B:$B,MATCH(BK138,_names_lookup!$A:$A,0)),"")</f>
        <v/>
      </c>
      <c r="BS138" t="str">
        <f t="shared" si="32"/>
        <v/>
      </c>
    </row>
    <row r="139" spans="15:71" x14ac:dyDescent="0.2">
      <c r="O139" t="str">
        <f>IFERROR(INDEX(_courses_lookup!$C:$C,MATCH(K139&amp;L139,_courses_lookup!$E:$E,0)),"")</f>
        <v/>
      </c>
      <c r="P139" t="str">
        <f>IFERROR(INDEX(_courses_lookup!$D:$D,MATCH(K139&amp;L139,_courses_lookup!$E:$E,0)),"")</f>
        <v/>
      </c>
      <c r="AG139" t="str">
        <f t="shared" si="22"/>
        <v/>
      </c>
      <c r="AI139" t="str">
        <f t="shared" si="23"/>
        <v/>
      </c>
      <c r="AL139" t="str">
        <f t="shared" si="24"/>
        <v/>
      </c>
      <c r="AN139" t="str">
        <f t="shared" si="25"/>
        <v/>
      </c>
      <c r="AQ139" t="str">
        <f t="shared" si="26"/>
        <v/>
      </c>
      <c r="AR139" t="str">
        <f t="shared" si="27"/>
        <v/>
      </c>
      <c r="AS139" t="str">
        <f t="shared" si="28"/>
        <v/>
      </c>
      <c r="AT139" t="str">
        <f t="shared" si="29"/>
        <v/>
      </c>
      <c r="BG139" t="str">
        <f t="shared" si="30"/>
        <v/>
      </c>
      <c r="BH139" t="str">
        <f t="shared" si="31"/>
        <v/>
      </c>
      <c r="BL139" t="str">
        <f>IFERROR(INDEX(_names_lookup!$C:$C,MATCH(BK139,_names_lookup!$A:$A,0)),"")</f>
        <v/>
      </c>
      <c r="BM139" t="str">
        <f>IFERROR(INDEX(_names_lookup!$B:$B,MATCH(BK139,_names_lookup!$A:$A,0)),"")</f>
        <v/>
      </c>
      <c r="BS139" t="str">
        <f t="shared" si="32"/>
        <v/>
      </c>
    </row>
    <row r="140" spans="15:71" x14ac:dyDescent="0.2">
      <c r="O140" t="str">
        <f>IFERROR(INDEX(_courses_lookup!$C:$C,MATCH(K140&amp;L140,_courses_lookup!$E:$E,0)),"")</f>
        <v/>
      </c>
      <c r="P140" t="str">
        <f>IFERROR(INDEX(_courses_lookup!$D:$D,MATCH(K140&amp;L140,_courses_lookup!$E:$E,0)),"")</f>
        <v/>
      </c>
      <c r="AG140" t="str">
        <f t="shared" si="22"/>
        <v/>
      </c>
      <c r="AI140" t="str">
        <f t="shared" si="23"/>
        <v/>
      </c>
      <c r="AL140" t="str">
        <f t="shared" si="24"/>
        <v/>
      </c>
      <c r="AN140" t="str">
        <f t="shared" si="25"/>
        <v/>
      </c>
      <c r="AQ140" t="str">
        <f t="shared" si="26"/>
        <v/>
      </c>
      <c r="AR140" t="str">
        <f t="shared" si="27"/>
        <v/>
      </c>
      <c r="AS140" t="str">
        <f t="shared" si="28"/>
        <v/>
      </c>
      <c r="AT140" t="str">
        <f t="shared" si="29"/>
        <v/>
      </c>
      <c r="BG140" t="str">
        <f t="shared" si="30"/>
        <v/>
      </c>
      <c r="BH140" t="str">
        <f t="shared" si="31"/>
        <v/>
      </c>
      <c r="BL140" t="str">
        <f>IFERROR(INDEX(_names_lookup!$C:$C,MATCH(BK140,_names_lookup!$A:$A,0)),"")</f>
        <v/>
      </c>
      <c r="BM140" t="str">
        <f>IFERROR(INDEX(_names_lookup!$B:$B,MATCH(BK140,_names_lookup!$A:$A,0)),"")</f>
        <v/>
      </c>
      <c r="BS140" t="str">
        <f t="shared" si="32"/>
        <v/>
      </c>
    </row>
    <row r="141" spans="15:71" x14ac:dyDescent="0.2">
      <c r="O141" t="str">
        <f>IFERROR(INDEX(_courses_lookup!$C:$C,MATCH(K141&amp;L141,_courses_lookup!$E:$E,0)),"")</f>
        <v/>
      </c>
      <c r="P141" t="str">
        <f>IFERROR(INDEX(_courses_lookup!$D:$D,MATCH(K141&amp;L141,_courses_lookup!$E:$E,0)),"")</f>
        <v/>
      </c>
      <c r="AG141" t="str">
        <f t="shared" si="22"/>
        <v/>
      </c>
      <c r="AI141" t="str">
        <f t="shared" si="23"/>
        <v/>
      </c>
      <c r="AL141" t="str">
        <f t="shared" si="24"/>
        <v/>
      </c>
      <c r="AN141" t="str">
        <f t="shared" si="25"/>
        <v/>
      </c>
      <c r="AQ141" t="str">
        <f t="shared" si="26"/>
        <v/>
      </c>
      <c r="AR141" t="str">
        <f t="shared" si="27"/>
        <v/>
      </c>
      <c r="AS141" t="str">
        <f t="shared" si="28"/>
        <v/>
      </c>
      <c r="AT141" t="str">
        <f t="shared" si="29"/>
        <v/>
      </c>
      <c r="BG141" t="str">
        <f t="shared" si="30"/>
        <v/>
      </c>
      <c r="BH141" t="str">
        <f t="shared" si="31"/>
        <v/>
      </c>
      <c r="BL141" t="str">
        <f>IFERROR(INDEX(_names_lookup!$C:$C,MATCH(BK141,_names_lookup!$A:$A,0)),"")</f>
        <v/>
      </c>
      <c r="BM141" t="str">
        <f>IFERROR(INDEX(_names_lookup!$B:$B,MATCH(BK141,_names_lookup!$A:$A,0)),"")</f>
        <v/>
      </c>
      <c r="BS141" t="str">
        <f t="shared" si="32"/>
        <v/>
      </c>
    </row>
    <row r="142" spans="15:71" x14ac:dyDescent="0.2">
      <c r="O142" t="str">
        <f>IFERROR(INDEX(_courses_lookup!$C:$C,MATCH(K142&amp;L142,_courses_lookup!$E:$E,0)),"")</f>
        <v/>
      </c>
      <c r="P142" t="str">
        <f>IFERROR(INDEX(_courses_lookup!$D:$D,MATCH(K142&amp;L142,_courses_lookup!$E:$E,0)),"")</f>
        <v/>
      </c>
      <c r="AG142" t="str">
        <f t="shared" si="22"/>
        <v/>
      </c>
      <c r="AI142" t="str">
        <f t="shared" si="23"/>
        <v/>
      </c>
      <c r="AL142" t="str">
        <f t="shared" si="24"/>
        <v/>
      </c>
      <c r="AN142" t="str">
        <f t="shared" si="25"/>
        <v/>
      </c>
      <c r="AQ142" t="str">
        <f t="shared" si="26"/>
        <v/>
      </c>
      <c r="AR142" t="str">
        <f t="shared" si="27"/>
        <v/>
      </c>
      <c r="AS142" t="str">
        <f t="shared" si="28"/>
        <v/>
      </c>
      <c r="AT142" t="str">
        <f t="shared" si="29"/>
        <v/>
      </c>
      <c r="BG142" t="str">
        <f t="shared" si="30"/>
        <v/>
      </c>
      <c r="BH142" t="str">
        <f t="shared" si="31"/>
        <v/>
      </c>
      <c r="BL142" t="str">
        <f>IFERROR(INDEX(_names_lookup!$C:$C,MATCH(BK142,_names_lookup!$A:$A,0)),"")</f>
        <v/>
      </c>
      <c r="BM142" t="str">
        <f>IFERROR(INDEX(_names_lookup!$B:$B,MATCH(BK142,_names_lookup!$A:$A,0)),"")</f>
        <v/>
      </c>
      <c r="BS142" t="str">
        <f t="shared" si="32"/>
        <v/>
      </c>
    </row>
    <row r="143" spans="15:71" x14ac:dyDescent="0.2">
      <c r="O143" t="str">
        <f>IFERROR(INDEX(_courses_lookup!$C:$C,MATCH(K143&amp;L143,_courses_lookup!$E:$E,0)),"")</f>
        <v/>
      </c>
      <c r="P143" t="str">
        <f>IFERROR(INDEX(_courses_lookup!$D:$D,MATCH(K143&amp;L143,_courses_lookup!$E:$E,0)),"")</f>
        <v/>
      </c>
      <c r="AG143" t="str">
        <f t="shared" si="22"/>
        <v/>
      </c>
      <c r="AI143" t="str">
        <f t="shared" si="23"/>
        <v/>
      </c>
      <c r="AL143" t="str">
        <f t="shared" si="24"/>
        <v/>
      </c>
      <c r="AN143" t="str">
        <f t="shared" si="25"/>
        <v/>
      </c>
      <c r="AQ143" t="str">
        <f t="shared" si="26"/>
        <v/>
      </c>
      <c r="AR143" t="str">
        <f t="shared" si="27"/>
        <v/>
      </c>
      <c r="AS143" t="str">
        <f t="shared" si="28"/>
        <v/>
      </c>
      <c r="AT143" t="str">
        <f t="shared" si="29"/>
        <v/>
      </c>
      <c r="BG143" t="str">
        <f t="shared" si="30"/>
        <v/>
      </c>
      <c r="BH143" t="str">
        <f t="shared" si="31"/>
        <v/>
      </c>
      <c r="BL143" t="str">
        <f>IFERROR(INDEX(_names_lookup!$C:$C,MATCH(BK143,_names_lookup!$A:$A,0)),"")</f>
        <v/>
      </c>
      <c r="BM143" t="str">
        <f>IFERROR(INDEX(_names_lookup!$B:$B,MATCH(BK143,_names_lookup!$A:$A,0)),"")</f>
        <v/>
      </c>
      <c r="BS143" t="str">
        <f t="shared" si="32"/>
        <v/>
      </c>
    </row>
    <row r="144" spans="15:71" x14ac:dyDescent="0.2">
      <c r="O144" t="str">
        <f>IFERROR(INDEX(_courses_lookup!$C:$C,MATCH(K144&amp;L144,_courses_lookup!$E:$E,0)),"")</f>
        <v/>
      </c>
      <c r="P144" t="str">
        <f>IFERROR(INDEX(_courses_lookup!$D:$D,MATCH(K144&amp;L144,_courses_lookup!$E:$E,0)),"")</f>
        <v/>
      </c>
      <c r="AG144" t="str">
        <f t="shared" si="22"/>
        <v/>
      </c>
      <c r="AI144" t="str">
        <f t="shared" si="23"/>
        <v/>
      </c>
      <c r="AL144" t="str">
        <f t="shared" si="24"/>
        <v/>
      </c>
      <c r="AN144" t="str">
        <f t="shared" si="25"/>
        <v/>
      </c>
      <c r="AQ144" t="str">
        <f t="shared" si="26"/>
        <v/>
      </c>
      <c r="AR144" t="str">
        <f t="shared" si="27"/>
        <v/>
      </c>
      <c r="AS144" t="str">
        <f t="shared" si="28"/>
        <v/>
      </c>
      <c r="AT144" t="str">
        <f t="shared" si="29"/>
        <v/>
      </c>
      <c r="BG144" t="str">
        <f t="shared" si="30"/>
        <v/>
      </c>
      <c r="BH144" t="str">
        <f t="shared" si="31"/>
        <v/>
      </c>
      <c r="BL144" t="str">
        <f>IFERROR(INDEX(_names_lookup!$C:$C,MATCH(BK144,_names_lookup!$A:$A,0)),"")</f>
        <v/>
      </c>
      <c r="BM144" t="str">
        <f>IFERROR(INDEX(_names_lookup!$B:$B,MATCH(BK144,_names_lookup!$A:$A,0)),"")</f>
        <v/>
      </c>
      <c r="BS144" t="str">
        <f t="shared" si="32"/>
        <v/>
      </c>
    </row>
    <row r="145" spans="15:71" x14ac:dyDescent="0.2">
      <c r="O145" t="str">
        <f>IFERROR(INDEX(_courses_lookup!$C:$C,MATCH(K145&amp;L145,_courses_lookup!$E:$E,0)),"")</f>
        <v/>
      </c>
      <c r="P145" t="str">
        <f>IFERROR(INDEX(_courses_lookup!$D:$D,MATCH(K145&amp;L145,_courses_lookup!$E:$E,0)),"")</f>
        <v/>
      </c>
      <c r="AG145" t="str">
        <f t="shared" si="22"/>
        <v/>
      </c>
      <c r="AI145" t="str">
        <f t="shared" si="23"/>
        <v/>
      </c>
      <c r="AL145" t="str">
        <f t="shared" si="24"/>
        <v/>
      </c>
      <c r="AN145" t="str">
        <f t="shared" si="25"/>
        <v/>
      </c>
      <c r="AQ145" t="str">
        <f t="shared" si="26"/>
        <v/>
      </c>
      <c r="AR145" t="str">
        <f t="shared" si="27"/>
        <v/>
      </c>
      <c r="AS145" t="str">
        <f t="shared" si="28"/>
        <v/>
      </c>
      <c r="AT145" t="str">
        <f t="shared" si="29"/>
        <v/>
      </c>
      <c r="BG145" t="str">
        <f t="shared" si="30"/>
        <v/>
      </c>
      <c r="BH145" t="str">
        <f t="shared" si="31"/>
        <v/>
      </c>
      <c r="BL145" t="str">
        <f>IFERROR(INDEX(_names_lookup!$C:$C,MATCH(BK145,_names_lookup!$A:$A,0)),"")</f>
        <v/>
      </c>
      <c r="BM145" t="str">
        <f>IFERROR(INDEX(_names_lookup!$B:$B,MATCH(BK145,_names_lookup!$A:$A,0)),"")</f>
        <v/>
      </c>
      <c r="BS145" t="str">
        <f t="shared" si="32"/>
        <v/>
      </c>
    </row>
    <row r="146" spans="15:71" x14ac:dyDescent="0.2">
      <c r="O146" t="str">
        <f>IFERROR(INDEX(_courses_lookup!$C:$C,MATCH(K146&amp;L146,_courses_lookup!$E:$E,0)),"")</f>
        <v/>
      </c>
      <c r="P146" t="str">
        <f>IFERROR(INDEX(_courses_lookup!$D:$D,MATCH(K146&amp;L146,_courses_lookup!$E:$E,0)),"")</f>
        <v/>
      </c>
      <c r="AG146" t="str">
        <f t="shared" si="22"/>
        <v/>
      </c>
      <c r="AI146" t="str">
        <f t="shared" si="23"/>
        <v/>
      </c>
      <c r="AL146" t="str">
        <f t="shared" si="24"/>
        <v/>
      </c>
      <c r="AN146" t="str">
        <f t="shared" si="25"/>
        <v/>
      </c>
      <c r="AQ146" t="str">
        <f t="shared" si="26"/>
        <v/>
      </c>
      <c r="AR146" t="str">
        <f t="shared" si="27"/>
        <v/>
      </c>
      <c r="AS146" t="str">
        <f t="shared" si="28"/>
        <v/>
      </c>
      <c r="AT146" t="str">
        <f t="shared" si="29"/>
        <v/>
      </c>
      <c r="BG146" t="str">
        <f t="shared" si="30"/>
        <v/>
      </c>
      <c r="BH146" t="str">
        <f t="shared" si="31"/>
        <v/>
      </c>
      <c r="BL146" t="str">
        <f>IFERROR(INDEX(_names_lookup!$C:$C,MATCH(BK146,_names_lookup!$A:$A,0)),"")</f>
        <v/>
      </c>
      <c r="BM146" t="str">
        <f>IFERROR(INDEX(_names_lookup!$B:$B,MATCH(BK146,_names_lookup!$A:$A,0)),"")</f>
        <v/>
      </c>
      <c r="BS146" t="str">
        <f t="shared" si="32"/>
        <v/>
      </c>
    </row>
    <row r="147" spans="15:71" x14ac:dyDescent="0.2">
      <c r="O147" t="str">
        <f>IFERROR(INDEX(_courses_lookup!$C:$C,MATCH(K147&amp;L147,_courses_lookup!$E:$E,0)),"")</f>
        <v/>
      </c>
      <c r="P147" t="str">
        <f>IFERROR(INDEX(_courses_lookup!$D:$D,MATCH(K147&amp;L147,_courses_lookup!$E:$E,0)),"")</f>
        <v/>
      </c>
      <c r="AG147" t="str">
        <f t="shared" si="22"/>
        <v/>
      </c>
      <c r="AI147" t="str">
        <f t="shared" si="23"/>
        <v/>
      </c>
      <c r="AL147" t="str">
        <f t="shared" si="24"/>
        <v/>
      </c>
      <c r="AN147" t="str">
        <f t="shared" si="25"/>
        <v/>
      </c>
      <c r="AQ147" t="str">
        <f t="shared" si="26"/>
        <v/>
      </c>
      <c r="AR147" t="str">
        <f t="shared" si="27"/>
        <v/>
      </c>
      <c r="AS147" t="str">
        <f t="shared" si="28"/>
        <v/>
      </c>
      <c r="AT147" t="str">
        <f t="shared" si="29"/>
        <v/>
      </c>
      <c r="BG147" t="str">
        <f t="shared" si="30"/>
        <v/>
      </c>
      <c r="BH147" t="str">
        <f t="shared" si="31"/>
        <v/>
      </c>
      <c r="BL147" t="str">
        <f>IFERROR(INDEX(_names_lookup!$C:$C,MATCH(BK147,_names_lookup!$A:$A,0)),"")</f>
        <v/>
      </c>
      <c r="BM147" t="str">
        <f>IFERROR(INDEX(_names_lookup!$B:$B,MATCH(BK147,_names_lookup!$A:$A,0)),"")</f>
        <v/>
      </c>
      <c r="BS147" t="str">
        <f t="shared" si="32"/>
        <v/>
      </c>
    </row>
    <row r="148" spans="15:71" x14ac:dyDescent="0.2">
      <c r="O148" t="str">
        <f>IFERROR(INDEX(_courses_lookup!$C:$C,MATCH(K148&amp;L148,_courses_lookup!$E:$E,0)),"")</f>
        <v/>
      </c>
      <c r="P148" t="str">
        <f>IFERROR(INDEX(_courses_lookup!$D:$D,MATCH(K148&amp;L148,_courses_lookup!$E:$E,0)),"")</f>
        <v/>
      </c>
      <c r="AG148" t="str">
        <f t="shared" si="22"/>
        <v/>
      </c>
      <c r="AI148" t="str">
        <f t="shared" si="23"/>
        <v/>
      </c>
      <c r="AL148" t="str">
        <f t="shared" si="24"/>
        <v/>
      </c>
      <c r="AN148" t="str">
        <f t="shared" si="25"/>
        <v/>
      </c>
      <c r="AQ148" t="str">
        <f t="shared" si="26"/>
        <v/>
      </c>
      <c r="AR148" t="str">
        <f t="shared" si="27"/>
        <v/>
      </c>
      <c r="AS148" t="str">
        <f t="shared" si="28"/>
        <v/>
      </c>
      <c r="AT148" t="str">
        <f t="shared" si="29"/>
        <v/>
      </c>
      <c r="BG148" t="str">
        <f t="shared" si="30"/>
        <v/>
      </c>
      <c r="BH148" t="str">
        <f t="shared" si="31"/>
        <v/>
      </c>
      <c r="BL148" t="str">
        <f>IFERROR(INDEX(_names_lookup!$C:$C,MATCH(BK148,_names_lookup!$A:$A,0)),"")</f>
        <v/>
      </c>
      <c r="BM148" t="str">
        <f>IFERROR(INDEX(_names_lookup!$B:$B,MATCH(BK148,_names_lookup!$A:$A,0)),"")</f>
        <v/>
      </c>
      <c r="BS148" t="str">
        <f t="shared" si="32"/>
        <v/>
      </c>
    </row>
    <row r="149" spans="15:71" x14ac:dyDescent="0.2">
      <c r="O149" t="str">
        <f>IFERROR(INDEX(_courses_lookup!$C:$C,MATCH(K149&amp;L149,_courses_lookup!$E:$E,0)),"")</f>
        <v/>
      </c>
      <c r="P149" t="str">
        <f>IFERROR(INDEX(_courses_lookup!$D:$D,MATCH(K149&amp;L149,_courses_lookup!$E:$E,0)),"")</f>
        <v/>
      </c>
      <c r="AG149" t="str">
        <f t="shared" si="22"/>
        <v/>
      </c>
      <c r="AI149" t="str">
        <f t="shared" si="23"/>
        <v/>
      </c>
      <c r="AL149" t="str">
        <f t="shared" si="24"/>
        <v/>
      </c>
      <c r="AN149" t="str">
        <f t="shared" si="25"/>
        <v/>
      </c>
      <c r="AQ149" t="str">
        <f t="shared" si="26"/>
        <v/>
      </c>
      <c r="AR149" t="str">
        <f t="shared" si="27"/>
        <v/>
      </c>
      <c r="AS149" t="str">
        <f t="shared" si="28"/>
        <v/>
      </c>
      <c r="AT149" t="str">
        <f t="shared" si="29"/>
        <v/>
      </c>
      <c r="BG149" t="str">
        <f t="shared" si="30"/>
        <v/>
      </c>
      <c r="BH149" t="str">
        <f t="shared" si="31"/>
        <v/>
      </c>
      <c r="BL149" t="str">
        <f>IFERROR(INDEX(_names_lookup!$C:$C,MATCH(BK149,_names_lookup!$A:$A,0)),"")</f>
        <v/>
      </c>
      <c r="BM149" t="str">
        <f>IFERROR(INDEX(_names_lookup!$B:$B,MATCH(BK149,_names_lookup!$A:$A,0)),"")</f>
        <v/>
      </c>
      <c r="BS149" t="str">
        <f t="shared" si="32"/>
        <v/>
      </c>
    </row>
    <row r="150" spans="15:71" x14ac:dyDescent="0.2">
      <c r="O150" t="str">
        <f>IFERROR(INDEX(_courses_lookup!$C:$C,MATCH(K150&amp;L150,_courses_lookup!$E:$E,0)),"")</f>
        <v/>
      </c>
      <c r="P150" t="str">
        <f>IFERROR(INDEX(_courses_lookup!$D:$D,MATCH(K150&amp;L150,_courses_lookup!$E:$E,0)),"")</f>
        <v/>
      </c>
      <c r="AG150" t="str">
        <f t="shared" si="22"/>
        <v/>
      </c>
      <c r="AI150" t="str">
        <f t="shared" si="23"/>
        <v/>
      </c>
      <c r="AL150" t="str">
        <f t="shared" si="24"/>
        <v/>
      </c>
      <c r="AN150" t="str">
        <f t="shared" si="25"/>
        <v/>
      </c>
      <c r="AQ150" t="str">
        <f t="shared" si="26"/>
        <v/>
      </c>
      <c r="AR150" t="str">
        <f t="shared" si="27"/>
        <v/>
      </c>
      <c r="AS150" t="str">
        <f t="shared" si="28"/>
        <v/>
      </c>
      <c r="AT150" t="str">
        <f t="shared" si="29"/>
        <v/>
      </c>
      <c r="BG150" t="str">
        <f t="shared" si="30"/>
        <v/>
      </c>
      <c r="BH150" t="str">
        <f t="shared" si="31"/>
        <v/>
      </c>
      <c r="BL150" t="str">
        <f>IFERROR(INDEX(_names_lookup!$C:$C,MATCH(BK150,_names_lookup!$A:$A,0)),"")</f>
        <v/>
      </c>
      <c r="BM150" t="str">
        <f>IFERROR(INDEX(_names_lookup!$B:$B,MATCH(BK150,_names_lookup!$A:$A,0)),"")</f>
        <v/>
      </c>
      <c r="BS150" t="str">
        <f t="shared" si="32"/>
        <v/>
      </c>
    </row>
    <row r="151" spans="15:71" x14ac:dyDescent="0.2">
      <c r="O151" t="str">
        <f>IFERROR(INDEX(_courses_lookup!$C:$C,MATCH(K151&amp;L151,_courses_lookup!$E:$E,0)),"")</f>
        <v/>
      </c>
      <c r="P151" t="str">
        <f>IFERROR(INDEX(_courses_lookup!$D:$D,MATCH(K151&amp;L151,_courses_lookup!$E:$E,0)),"")</f>
        <v/>
      </c>
      <c r="AG151" t="str">
        <f t="shared" si="22"/>
        <v/>
      </c>
      <c r="AI151" t="str">
        <f t="shared" si="23"/>
        <v/>
      </c>
      <c r="AL151" t="str">
        <f t="shared" si="24"/>
        <v/>
      </c>
      <c r="AN151" t="str">
        <f t="shared" si="25"/>
        <v/>
      </c>
      <c r="AQ151" t="str">
        <f t="shared" si="26"/>
        <v/>
      </c>
      <c r="AR151" t="str">
        <f t="shared" si="27"/>
        <v/>
      </c>
      <c r="AS151" t="str">
        <f t="shared" si="28"/>
        <v/>
      </c>
      <c r="AT151" t="str">
        <f t="shared" si="29"/>
        <v/>
      </c>
      <c r="BG151" t="str">
        <f t="shared" si="30"/>
        <v/>
      </c>
      <c r="BH151" t="str">
        <f t="shared" si="31"/>
        <v/>
      </c>
      <c r="BL151" t="str">
        <f>IFERROR(INDEX(_names_lookup!$C:$C,MATCH(BK151,_names_lookup!$A:$A,0)),"")</f>
        <v/>
      </c>
      <c r="BM151" t="str">
        <f>IFERROR(INDEX(_names_lookup!$B:$B,MATCH(BK151,_names_lookup!$A:$A,0)),"")</f>
        <v/>
      </c>
      <c r="BS151" t="str">
        <f t="shared" si="32"/>
        <v/>
      </c>
    </row>
    <row r="152" spans="15:71" x14ac:dyDescent="0.2">
      <c r="O152" t="str">
        <f>IFERROR(INDEX(_courses_lookup!$C:$C,MATCH(K152&amp;L152,_courses_lookup!$E:$E,0)),"")</f>
        <v/>
      </c>
      <c r="P152" t="str">
        <f>IFERROR(INDEX(_courses_lookup!$D:$D,MATCH(K152&amp;L152,_courses_lookup!$E:$E,0)),"")</f>
        <v/>
      </c>
      <c r="AG152" t="str">
        <f t="shared" si="22"/>
        <v/>
      </c>
      <c r="AI152" t="str">
        <f t="shared" si="23"/>
        <v/>
      </c>
      <c r="AL152" t="str">
        <f t="shared" si="24"/>
        <v/>
      </c>
      <c r="AN152" t="str">
        <f t="shared" si="25"/>
        <v/>
      </c>
      <c r="AQ152" t="str">
        <f t="shared" si="26"/>
        <v/>
      </c>
      <c r="AR152" t="str">
        <f t="shared" si="27"/>
        <v/>
      </c>
      <c r="AS152" t="str">
        <f t="shared" si="28"/>
        <v/>
      </c>
      <c r="AT152" t="str">
        <f t="shared" si="29"/>
        <v/>
      </c>
      <c r="BG152" t="str">
        <f t="shared" si="30"/>
        <v/>
      </c>
      <c r="BH152" t="str">
        <f t="shared" si="31"/>
        <v/>
      </c>
      <c r="BL152" t="str">
        <f>IFERROR(INDEX(_names_lookup!$C:$C,MATCH(BK152,_names_lookup!$A:$A,0)),"")</f>
        <v/>
      </c>
      <c r="BM152" t="str">
        <f>IFERROR(INDEX(_names_lookup!$B:$B,MATCH(BK152,_names_lookup!$A:$A,0)),"")</f>
        <v/>
      </c>
      <c r="BS152" t="str">
        <f t="shared" si="32"/>
        <v/>
      </c>
    </row>
    <row r="153" spans="15:71" x14ac:dyDescent="0.2">
      <c r="O153" t="str">
        <f>IFERROR(INDEX(_courses_lookup!$C:$C,MATCH(K153&amp;L153,_courses_lookup!$E:$E,0)),"")</f>
        <v/>
      </c>
      <c r="P153" t="str">
        <f>IFERROR(INDEX(_courses_lookup!$D:$D,MATCH(K153&amp;L153,_courses_lookup!$E:$E,0)),"")</f>
        <v/>
      </c>
      <c r="AG153" t="str">
        <f t="shared" si="22"/>
        <v/>
      </c>
      <c r="AI153" t="str">
        <f t="shared" si="23"/>
        <v/>
      </c>
      <c r="AL153" t="str">
        <f t="shared" si="24"/>
        <v/>
      </c>
      <c r="AN153" t="str">
        <f t="shared" si="25"/>
        <v/>
      </c>
      <c r="AQ153" t="str">
        <f t="shared" si="26"/>
        <v/>
      </c>
      <c r="AR153" t="str">
        <f t="shared" si="27"/>
        <v/>
      </c>
      <c r="AS153" t="str">
        <f t="shared" si="28"/>
        <v/>
      </c>
      <c r="AT153" t="str">
        <f t="shared" si="29"/>
        <v/>
      </c>
      <c r="BG153" t="str">
        <f t="shared" si="30"/>
        <v/>
      </c>
      <c r="BH153" t="str">
        <f t="shared" si="31"/>
        <v/>
      </c>
      <c r="BL153" t="str">
        <f>IFERROR(INDEX(_names_lookup!$C:$C,MATCH(BK153,_names_lookup!$A:$A,0)),"")</f>
        <v/>
      </c>
      <c r="BM153" t="str">
        <f>IFERROR(INDEX(_names_lookup!$B:$B,MATCH(BK153,_names_lookup!$A:$A,0)),"")</f>
        <v/>
      </c>
      <c r="BS153" t="str">
        <f t="shared" si="32"/>
        <v/>
      </c>
    </row>
    <row r="154" spans="15:71" x14ac:dyDescent="0.2">
      <c r="O154" t="str">
        <f>IFERROR(INDEX(_courses_lookup!$C:$C,MATCH(K154&amp;L154,_courses_lookup!$E:$E,0)),"")</f>
        <v/>
      </c>
      <c r="P154" t="str">
        <f>IFERROR(INDEX(_courses_lookup!$D:$D,MATCH(K154&amp;L154,_courses_lookup!$E:$E,0)),"")</f>
        <v/>
      </c>
      <c r="AG154" t="str">
        <f t="shared" si="22"/>
        <v/>
      </c>
      <c r="AI154" t="str">
        <f t="shared" si="23"/>
        <v/>
      </c>
      <c r="AL154" t="str">
        <f t="shared" si="24"/>
        <v/>
      </c>
      <c r="AN154" t="str">
        <f t="shared" si="25"/>
        <v/>
      </c>
      <c r="AQ154" t="str">
        <f t="shared" si="26"/>
        <v/>
      </c>
      <c r="AR154" t="str">
        <f t="shared" si="27"/>
        <v/>
      </c>
      <c r="AS154" t="str">
        <f t="shared" si="28"/>
        <v/>
      </c>
      <c r="AT154" t="str">
        <f t="shared" si="29"/>
        <v/>
      </c>
      <c r="BG154" t="str">
        <f t="shared" si="30"/>
        <v/>
      </c>
      <c r="BH154" t="str">
        <f t="shared" si="31"/>
        <v/>
      </c>
      <c r="BL154" t="str">
        <f>IFERROR(INDEX(_names_lookup!$C:$C,MATCH(BK154,_names_lookup!$A:$A,0)),"")</f>
        <v/>
      </c>
      <c r="BM154" t="str">
        <f>IFERROR(INDEX(_names_lookup!$B:$B,MATCH(BK154,_names_lookup!$A:$A,0)),"")</f>
        <v/>
      </c>
      <c r="BS154" t="str">
        <f t="shared" si="32"/>
        <v/>
      </c>
    </row>
    <row r="155" spans="15:71" x14ac:dyDescent="0.2">
      <c r="O155" t="str">
        <f>IFERROR(INDEX(_courses_lookup!$C:$C,MATCH(K155&amp;L155,_courses_lookup!$E:$E,0)),"")</f>
        <v/>
      </c>
      <c r="P155" t="str">
        <f>IFERROR(INDEX(_courses_lookup!$D:$D,MATCH(K155&amp;L155,_courses_lookup!$E:$E,0)),"")</f>
        <v/>
      </c>
      <c r="AG155" t="str">
        <f t="shared" si="22"/>
        <v/>
      </c>
      <c r="AI155" t="str">
        <f t="shared" si="23"/>
        <v/>
      </c>
      <c r="AL155" t="str">
        <f t="shared" si="24"/>
        <v/>
      </c>
      <c r="AN155" t="str">
        <f t="shared" si="25"/>
        <v/>
      </c>
      <c r="AQ155" t="str">
        <f t="shared" si="26"/>
        <v/>
      </c>
      <c r="AR155" t="str">
        <f t="shared" si="27"/>
        <v/>
      </c>
      <c r="AS155" t="str">
        <f t="shared" si="28"/>
        <v/>
      </c>
      <c r="AT155" t="str">
        <f t="shared" si="29"/>
        <v/>
      </c>
      <c r="BG155" t="str">
        <f t="shared" si="30"/>
        <v/>
      </c>
      <c r="BH155" t="str">
        <f t="shared" si="31"/>
        <v/>
      </c>
      <c r="BL155" t="str">
        <f>IFERROR(INDEX(_names_lookup!$C:$C,MATCH(BK155,_names_lookup!$A:$A,0)),"")</f>
        <v/>
      </c>
      <c r="BM155" t="str">
        <f>IFERROR(INDEX(_names_lookup!$B:$B,MATCH(BK155,_names_lookup!$A:$A,0)),"")</f>
        <v/>
      </c>
      <c r="BS155" t="str">
        <f t="shared" si="32"/>
        <v/>
      </c>
    </row>
    <row r="156" spans="15:71" x14ac:dyDescent="0.2">
      <c r="O156" t="str">
        <f>IFERROR(INDEX(_courses_lookup!$C:$C,MATCH(K156&amp;L156,_courses_lookup!$E:$E,0)),"")</f>
        <v/>
      </c>
      <c r="P156" t="str">
        <f>IFERROR(INDEX(_courses_lookup!$D:$D,MATCH(K156&amp;L156,_courses_lookup!$E:$E,0)),"")</f>
        <v/>
      </c>
      <c r="AG156" t="str">
        <f t="shared" si="22"/>
        <v/>
      </c>
      <c r="AI156" t="str">
        <f t="shared" si="23"/>
        <v/>
      </c>
      <c r="AL156" t="str">
        <f t="shared" si="24"/>
        <v/>
      </c>
      <c r="AN156" t="str">
        <f t="shared" si="25"/>
        <v/>
      </c>
      <c r="AQ156" t="str">
        <f t="shared" si="26"/>
        <v/>
      </c>
      <c r="AR156" t="str">
        <f t="shared" si="27"/>
        <v/>
      </c>
      <c r="AS156" t="str">
        <f t="shared" si="28"/>
        <v/>
      </c>
      <c r="AT156" t="str">
        <f t="shared" si="29"/>
        <v/>
      </c>
      <c r="BG156" t="str">
        <f t="shared" si="30"/>
        <v/>
      </c>
      <c r="BH156" t="str">
        <f t="shared" si="31"/>
        <v/>
      </c>
      <c r="BL156" t="str">
        <f>IFERROR(INDEX(_names_lookup!$C:$C,MATCH(BK156,_names_lookup!$A:$A,0)),"")</f>
        <v/>
      </c>
      <c r="BM156" t="str">
        <f>IFERROR(INDEX(_names_lookup!$B:$B,MATCH(BK156,_names_lookup!$A:$A,0)),"")</f>
        <v/>
      </c>
      <c r="BS156" t="str">
        <f t="shared" si="32"/>
        <v/>
      </c>
    </row>
    <row r="157" spans="15:71" x14ac:dyDescent="0.2">
      <c r="O157" t="str">
        <f>IFERROR(INDEX(_courses_lookup!$C:$C,MATCH(K157&amp;L157,_courses_lookup!$E:$E,0)),"")</f>
        <v/>
      </c>
      <c r="P157" t="str">
        <f>IFERROR(INDEX(_courses_lookup!$D:$D,MATCH(K157&amp;L157,_courses_lookup!$E:$E,0)),"")</f>
        <v/>
      </c>
      <c r="AG157" t="str">
        <f t="shared" si="22"/>
        <v/>
      </c>
      <c r="AI157" t="str">
        <f t="shared" si="23"/>
        <v/>
      </c>
      <c r="AL157" t="str">
        <f t="shared" si="24"/>
        <v/>
      </c>
      <c r="AN157" t="str">
        <f t="shared" si="25"/>
        <v/>
      </c>
      <c r="AQ157" t="str">
        <f t="shared" si="26"/>
        <v/>
      </c>
      <c r="AR157" t="str">
        <f t="shared" si="27"/>
        <v/>
      </c>
      <c r="AS157" t="str">
        <f t="shared" si="28"/>
        <v/>
      </c>
      <c r="AT157" t="str">
        <f t="shared" si="29"/>
        <v/>
      </c>
      <c r="BG157" t="str">
        <f t="shared" si="30"/>
        <v/>
      </c>
      <c r="BH157" t="str">
        <f t="shared" si="31"/>
        <v/>
      </c>
      <c r="BL157" t="str">
        <f>IFERROR(INDEX(_names_lookup!$C:$C,MATCH(BK157,_names_lookup!$A:$A,0)),"")</f>
        <v/>
      </c>
      <c r="BM157" t="str">
        <f>IFERROR(INDEX(_names_lookup!$B:$B,MATCH(BK157,_names_lookup!$A:$A,0)),"")</f>
        <v/>
      </c>
      <c r="BS157" t="str">
        <f t="shared" si="32"/>
        <v/>
      </c>
    </row>
    <row r="158" spans="15:71" x14ac:dyDescent="0.2">
      <c r="O158" t="str">
        <f>IFERROR(INDEX(_courses_lookup!$C:$C,MATCH(K158&amp;L158,_courses_lookup!$E:$E,0)),"")</f>
        <v/>
      </c>
      <c r="P158" t="str">
        <f>IFERROR(INDEX(_courses_lookup!$D:$D,MATCH(K158&amp;L158,_courses_lookup!$E:$E,0)),"")</f>
        <v/>
      </c>
      <c r="AG158" t="str">
        <f t="shared" si="22"/>
        <v/>
      </c>
      <c r="AI158" t="str">
        <f t="shared" si="23"/>
        <v/>
      </c>
      <c r="AL158" t="str">
        <f t="shared" si="24"/>
        <v/>
      </c>
      <c r="AN158" t="str">
        <f t="shared" si="25"/>
        <v/>
      </c>
      <c r="AQ158" t="str">
        <f t="shared" si="26"/>
        <v/>
      </c>
      <c r="AR158" t="str">
        <f t="shared" si="27"/>
        <v/>
      </c>
      <c r="AS158" t="str">
        <f t="shared" si="28"/>
        <v/>
      </c>
      <c r="AT158" t="str">
        <f t="shared" si="29"/>
        <v/>
      </c>
      <c r="BG158" t="str">
        <f t="shared" si="30"/>
        <v/>
      </c>
      <c r="BH158" t="str">
        <f t="shared" si="31"/>
        <v/>
      </c>
      <c r="BL158" t="str">
        <f>IFERROR(INDEX(_names_lookup!$C:$C,MATCH(BK158,_names_lookup!$A:$A,0)),"")</f>
        <v/>
      </c>
      <c r="BM158" t="str">
        <f>IFERROR(INDEX(_names_lookup!$B:$B,MATCH(BK158,_names_lookup!$A:$A,0)),"")</f>
        <v/>
      </c>
      <c r="BS158" t="str">
        <f t="shared" si="32"/>
        <v/>
      </c>
    </row>
    <row r="159" spans="15:71" x14ac:dyDescent="0.2">
      <c r="O159" t="str">
        <f>IFERROR(INDEX(_courses_lookup!$C:$C,MATCH(K159&amp;L159,_courses_lookup!$E:$E,0)),"")</f>
        <v/>
      </c>
      <c r="P159" t="str">
        <f>IFERROR(INDEX(_courses_lookup!$D:$D,MATCH(K159&amp;L159,_courses_lookup!$E:$E,0)),"")</f>
        <v/>
      </c>
      <c r="AG159" t="str">
        <f t="shared" si="22"/>
        <v/>
      </c>
      <c r="AI159" t="str">
        <f t="shared" si="23"/>
        <v/>
      </c>
      <c r="AL159" t="str">
        <f t="shared" si="24"/>
        <v/>
      </c>
      <c r="AN159" t="str">
        <f t="shared" si="25"/>
        <v/>
      </c>
      <c r="AQ159" t="str">
        <f t="shared" si="26"/>
        <v/>
      </c>
      <c r="AR159" t="str">
        <f t="shared" si="27"/>
        <v/>
      </c>
      <c r="AS159" t="str">
        <f t="shared" si="28"/>
        <v/>
      </c>
      <c r="AT159" t="str">
        <f t="shared" si="29"/>
        <v/>
      </c>
      <c r="BG159" t="str">
        <f t="shared" si="30"/>
        <v/>
      </c>
      <c r="BH159" t="str">
        <f t="shared" si="31"/>
        <v/>
      </c>
      <c r="BL159" t="str">
        <f>IFERROR(INDEX(_names_lookup!$C:$C,MATCH(BK159,_names_lookup!$A:$A,0)),"")</f>
        <v/>
      </c>
      <c r="BM159" t="str">
        <f>IFERROR(INDEX(_names_lookup!$B:$B,MATCH(BK159,_names_lookup!$A:$A,0)),"")</f>
        <v/>
      </c>
      <c r="BS159" t="str">
        <f t="shared" si="32"/>
        <v/>
      </c>
    </row>
    <row r="160" spans="15:71" x14ac:dyDescent="0.2">
      <c r="O160" t="str">
        <f>IFERROR(INDEX(_courses_lookup!$C:$C,MATCH(K160&amp;L160,_courses_lookup!$E:$E,0)),"")</f>
        <v/>
      </c>
      <c r="P160" t="str">
        <f>IFERROR(INDEX(_courses_lookup!$D:$D,MATCH(K160&amp;L160,_courses_lookup!$E:$E,0)),"")</f>
        <v/>
      </c>
      <c r="AG160" t="str">
        <f t="shared" si="22"/>
        <v/>
      </c>
      <c r="AI160" t="str">
        <f t="shared" si="23"/>
        <v/>
      </c>
      <c r="AL160" t="str">
        <f t="shared" si="24"/>
        <v/>
      </c>
      <c r="AN160" t="str">
        <f t="shared" si="25"/>
        <v/>
      </c>
      <c r="AQ160" t="str">
        <f t="shared" si="26"/>
        <v/>
      </c>
      <c r="AR160" t="str">
        <f t="shared" si="27"/>
        <v/>
      </c>
      <c r="AS160" t="str">
        <f t="shared" si="28"/>
        <v/>
      </c>
      <c r="AT160" t="str">
        <f t="shared" si="29"/>
        <v/>
      </c>
      <c r="BG160" t="str">
        <f t="shared" si="30"/>
        <v/>
      </c>
      <c r="BH160" t="str">
        <f t="shared" si="31"/>
        <v/>
      </c>
      <c r="BL160" t="str">
        <f>IFERROR(INDEX(_names_lookup!$C:$C,MATCH(BK160,_names_lookup!$A:$A,0)),"")</f>
        <v/>
      </c>
      <c r="BM160" t="str">
        <f>IFERROR(INDEX(_names_lookup!$B:$B,MATCH(BK160,_names_lookup!$A:$A,0)),"")</f>
        <v/>
      </c>
      <c r="BS160" t="str">
        <f t="shared" si="32"/>
        <v/>
      </c>
    </row>
    <row r="161" spans="15:71" x14ac:dyDescent="0.2">
      <c r="O161" t="str">
        <f>IFERROR(INDEX(_courses_lookup!$C:$C,MATCH(K161&amp;L161,_courses_lookup!$E:$E,0)),"")</f>
        <v/>
      </c>
      <c r="P161" t="str">
        <f>IFERROR(INDEX(_courses_lookup!$D:$D,MATCH(K161&amp;L161,_courses_lookup!$E:$E,0)),"")</f>
        <v/>
      </c>
      <c r="AG161" t="str">
        <f t="shared" si="22"/>
        <v/>
      </c>
      <c r="AI161" t="str">
        <f t="shared" si="23"/>
        <v/>
      </c>
      <c r="AL161" t="str">
        <f t="shared" si="24"/>
        <v/>
      </c>
      <c r="AN161" t="str">
        <f t="shared" si="25"/>
        <v/>
      </c>
      <c r="AQ161" t="str">
        <f t="shared" si="26"/>
        <v/>
      </c>
      <c r="AR161" t="str">
        <f t="shared" si="27"/>
        <v/>
      </c>
      <c r="AS161" t="str">
        <f t="shared" si="28"/>
        <v/>
      </c>
      <c r="AT161" t="str">
        <f t="shared" si="29"/>
        <v/>
      </c>
      <c r="BG161" t="str">
        <f t="shared" si="30"/>
        <v/>
      </c>
      <c r="BH161" t="str">
        <f t="shared" si="31"/>
        <v/>
      </c>
      <c r="BL161" t="str">
        <f>IFERROR(INDEX(_names_lookup!$C:$C,MATCH(BK161,_names_lookup!$A:$A,0)),"")</f>
        <v/>
      </c>
      <c r="BM161" t="str">
        <f>IFERROR(INDEX(_names_lookup!$B:$B,MATCH(BK161,_names_lookup!$A:$A,0)),"")</f>
        <v/>
      </c>
      <c r="BS161" t="str">
        <f t="shared" si="32"/>
        <v/>
      </c>
    </row>
    <row r="162" spans="15:71" x14ac:dyDescent="0.2">
      <c r="O162" t="str">
        <f>IFERROR(INDEX(_courses_lookup!$C:$C,MATCH(K162&amp;L162,_courses_lookup!$E:$E,0)),"")</f>
        <v/>
      </c>
      <c r="P162" t="str">
        <f>IFERROR(INDEX(_courses_lookup!$D:$D,MATCH(K162&amp;L162,_courses_lookup!$E:$E,0)),"")</f>
        <v/>
      </c>
      <c r="AG162" t="str">
        <f t="shared" si="22"/>
        <v/>
      </c>
      <c r="AI162" t="str">
        <f t="shared" si="23"/>
        <v/>
      </c>
      <c r="AL162" t="str">
        <f t="shared" si="24"/>
        <v/>
      </c>
      <c r="AN162" t="str">
        <f t="shared" si="25"/>
        <v/>
      </c>
      <c r="AQ162" t="str">
        <f t="shared" si="26"/>
        <v/>
      </c>
      <c r="AR162" t="str">
        <f t="shared" si="27"/>
        <v/>
      </c>
      <c r="AS162" t="str">
        <f t="shared" si="28"/>
        <v/>
      </c>
      <c r="AT162" t="str">
        <f t="shared" si="29"/>
        <v/>
      </c>
      <c r="BG162" t="str">
        <f t="shared" si="30"/>
        <v/>
      </c>
      <c r="BH162" t="str">
        <f t="shared" si="31"/>
        <v/>
      </c>
      <c r="BL162" t="str">
        <f>IFERROR(INDEX(_names_lookup!$C:$C,MATCH(BK162,_names_lookup!$A:$A,0)),"")</f>
        <v/>
      </c>
      <c r="BM162" t="str">
        <f>IFERROR(INDEX(_names_lookup!$B:$B,MATCH(BK162,_names_lookup!$A:$A,0)),"")</f>
        <v/>
      </c>
      <c r="BS162" t="str">
        <f t="shared" si="32"/>
        <v/>
      </c>
    </row>
    <row r="163" spans="15:71" x14ac:dyDescent="0.2">
      <c r="O163" t="str">
        <f>IFERROR(INDEX(_courses_lookup!$C:$C,MATCH(K163&amp;L163,_courses_lookup!$E:$E,0)),"")</f>
        <v/>
      </c>
      <c r="P163" t="str">
        <f>IFERROR(INDEX(_courses_lookup!$D:$D,MATCH(K163&amp;L163,_courses_lookup!$E:$E,0)),"")</f>
        <v/>
      </c>
      <c r="AG163" t="str">
        <f t="shared" si="22"/>
        <v/>
      </c>
      <c r="AI163" t="str">
        <f t="shared" si="23"/>
        <v/>
      </c>
      <c r="AL163" t="str">
        <f t="shared" si="24"/>
        <v/>
      </c>
      <c r="AN163" t="str">
        <f t="shared" si="25"/>
        <v/>
      </c>
      <c r="AQ163" t="str">
        <f t="shared" si="26"/>
        <v/>
      </c>
      <c r="AR163" t="str">
        <f t="shared" si="27"/>
        <v/>
      </c>
      <c r="AS163" t="str">
        <f t="shared" si="28"/>
        <v/>
      </c>
      <c r="AT163" t="str">
        <f t="shared" si="29"/>
        <v/>
      </c>
      <c r="BG163" t="str">
        <f t="shared" si="30"/>
        <v/>
      </c>
      <c r="BH163" t="str">
        <f t="shared" si="31"/>
        <v/>
      </c>
      <c r="BL163" t="str">
        <f>IFERROR(INDEX(_names_lookup!$C:$C,MATCH(BK163,_names_lookup!$A:$A,0)),"")</f>
        <v/>
      </c>
      <c r="BM163" t="str">
        <f>IFERROR(INDEX(_names_lookup!$B:$B,MATCH(BK163,_names_lookup!$A:$A,0)),"")</f>
        <v/>
      </c>
      <c r="BS163" t="str">
        <f t="shared" si="32"/>
        <v/>
      </c>
    </row>
    <row r="164" spans="15:71" x14ac:dyDescent="0.2">
      <c r="O164" t="str">
        <f>IFERROR(INDEX(_courses_lookup!$C:$C,MATCH(K164&amp;L164,_courses_lookup!$E:$E,0)),"")</f>
        <v/>
      </c>
      <c r="P164" t="str">
        <f>IFERROR(INDEX(_courses_lookup!$D:$D,MATCH(K164&amp;L164,_courses_lookup!$E:$E,0)),"")</f>
        <v/>
      </c>
      <c r="AG164" t="str">
        <f t="shared" si="22"/>
        <v/>
      </c>
      <c r="AI164" t="str">
        <f t="shared" si="23"/>
        <v/>
      </c>
      <c r="AL164" t="str">
        <f t="shared" si="24"/>
        <v/>
      </c>
      <c r="AN164" t="str">
        <f t="shared" si="25"/>
        <v/>
      </c>
      <c r="AQ164" t="str">
        <f t="shared" si="26"/>
        <v/>
      </c>
      <c r="AR164" t="str">
        <f t="shared" si="27"/>
        <v/>
      </c>
      <c r="AS164" t="str">
        <f t="shared" si="28"/>
        <v/>
      </c>
      <c r="AT164" t="str">
        <f t="shared" si="29"/>
        <v/>
      </c>
      <c r="BG164" t="str">
        <f t="shared" si="30"/>
        <v/>
      </c>
      <c r="BH164" t="str">
        <f t="shared" si="31"/>
        <v/>
      </c>
      <c r="BL164" t="str">
        <f>IFERROR(INDEX(_names_lookup!$C:$C,MATCH(BK164,_names_lookup!$A:$A,0)),"")</f>
        <v/>
      </c>
      <c r="BM164" t="str">
        <f>IFERROR(INDEX(_names_lookup!$B:$B,MATCH(BK164,_names_lookup!$A:$A,0)),"")</f>
        <v/>
      </c>
      <c r="BS164" t="str">
        <f t="shared" si="32"/>
        <v/>
      </c>
    </row>
    <row r="165" spans="15:71" x14ac:dyDescent="0.2">
      <c r="O165" t="str">
        <f>IFERROR(INDEX(_courses_lookup!$C:$C,MATCH(K165&amp;L165,_courses_lookup!$E:$E,0)),"")</f>
        <v/>
      </c>
      <c r="P165" t="str">
        <f>IFERROR(INDEX(_courses_lookup!$D:$D,MATCH(K165&amp;L165,_courses_lookup!$E:$E,0)),"")</f>
        <v/>
      </c>
      <c r="AG165" t="str">
        <f t="shared" si="22"/>
        <v/>
      </c>
      <c r="AI165" t="str">
        <f t="shared" si="23"/>
        <v/>
      </c>
      <c r="AL165" t="str">
        <f t="shared" si="24"/>
        <v/>
      </c>
      <c r="AN165" t="str">
        <f t="shared" si="25"/>
        <v/>
      </c>
      <c r="AQ165" t="str">
        <f t="shared" si="26"/>
        <v/>
      </c>
      <c r="AR165" t="str">
        <f t="shared" si="27"/>
        <v/>
      </c>
      <c r="AS165" t="str">
        <f t="shared" si="28"/>
        <v/>
      </c>
      <c r="AT165" t="str">
        <f t="shared" si="29"/>
        <v/>
      </c>
      <c r="BG165" t="str">
        <f t="shared" si="30"/>
        <v/>
      </c>
      <c r="BH165" t="str">
        <f t="shared" si="31"/>
        <v/>
      </c>
      <c r="BL165" t="str">
        <f>IFERROR(INDEX(_names_lookup!$C:$C,MATCH(BK165,_names_lookup!$A:$A,0)),"")</f>
        <v/>
      </c>
      <c r="BM165" t="str">
        <f>IFERROR(INDEX(_names_lookup!$B:$B,MATCH(BK165,_names_lookup!$A:$A,0)),"")</f>
        <v/>
      </c>
      <c r="BS165" t="str">
        <f t="shared" si="32"/>
        <v/>
      </c>
    </row>
    <row r="166" spans="15:71" x14ac:dyDescent="0.2">
      <c r="O166" t="str">
        <f>IFERROR(INDEX(_courses_lookup!$C:$C,MATCH(K166&amp;L166,_courses_lookup!$E:$E,0)),"")</f>
        <v/>
      </c>
      <c r="P166" t="str">
        <f>IFERROR(INDEX(_courses_lookup!$D:$D,MATCH(K166&amp;L166,_courses_lookup!$E:$E,0)),"")</f>
        <v/>
      </c>
      <c r="AG166" t="str">
        <f t="shared" si="22"/>
        <v/>
      </c>
      <c r="AI166" t="str">
        <f t="shared" si="23"/>
        <v/>
      </c>
      <c r="AL166" t="str">
        <f t="shared" si="24"/>
        <v/>
      </c>
      <c r="AN166" t="str">
        <f t="shared" si="25"/>
        <v/>
      </c>
      <c r="AQ166" t="str">
        <f t="shared" si="26"/>
        <v/>
      </c>
      <c r="AR166" t="str">
        <f t="shared" si="27"/>
        <v/>
      </c>
      <c r="AS166" t="str">
        <f t="shared" si="28"/>
        <v/>
      </c>
      <c r="AT166" t="str">
        <f t="shared" si="29"/>
        <v/>
      </c>
      <c r="BG166" t="str">
        <f t="shared" si="30"/>
        <v/>
      </c>
      <c r="BH166" t="str">
        <f t="shared" si="31"/>
        <v/>
      </c>
      <c r="BL166" t="str">
        <f>IFERROR(INDEX(_names_lookup!$C:$C,MATCH(BK166,_names_lookup!$A:$A,0)),"")</f>
        <v/>
      </c>
      <c r="BM166" t="str">
        <f>IFERROR(INDEX(_names_lookup!$B:$B,MATCH(BK166,_names_lookup!$A:$A,0)),"")</f>
        <v/>
      </c>
      <c r="BS166" t="str">
        <f t="shared" si="32"/>
        <v/>
      </c>
    </row>
    <row r="167" spans="15:71" x14ac:dyDescent="0.2">
      <c r="O167" t="str">
        <f>IFERROR(INDEX(_courses_lookup!$C:$C,MATCH(K167&amp;L167,_courses_lookup!$E:$E,0)),"")</f>
        <v/>
      </c>
      <c r="P167" t="str">
        <f>IFERROR(INDEX(_courses_lookup!$D:$D,MATCH(K167&amp;L167,_courses_lookup!$E:$E,0)),"")</f>
        <v/>
      </c>
      <c r="AG167" t="str">
        <f t="shared" si="22"/>
        <v/>
      </c>
      <c r="AI167" t="str">
        <f t="shared" si="23"/>
        <v/>
      </c>
      <c r="AL167" t="str">
        <f t="shared" si="24"/>
        <v/>
      </c>
      <c r="AN167" t="str">
        <f t="shared" si="25"/>
        <v/>
      </c>
      <c r="AQ167" t="str">
        <f t="shared" si="26"/>
        <v/>
      </c>
      <c r="AR167" t="str">
        <f t="shared" si="27"/>
        <v/>
      </c>
      <c r="AS167" t="str">
        <f t="shared" si="28"/>
        <v/>
      </c>
      <c r="AT167" t="str">
        <f t="shared" si="29"/>
        <v/>
      </c>
      <c r="BG167" t="str">
        <f t="shared" si="30"/>
        <v/>
      </c>
      <c r="BH167" t="str">
        <f t="shared" si="31"/>
        <v/>
      </c>
      <c r="BL167" t="str">
        <f>IFERROR(INDEX(_names_lookup!$C:$C,MATCH(BK167,_names_lookup!$A:$A,0)),"")</f>
        <v/>
      </c>
      <c r="BM167" t="str">
        <f>IFERROR(INDEX(_names_lookup!$B:$B,MATCH(BK167,_names_lookup!$A:$A,0)),"")</f>
        <v/>
      </c>
      <c r="BS167" t="str">
        <f t="shared" si="32"/>
        <v/>
      </c>
    </row>
    <row r="168" spans="15:71" x14ac:dyDescent="0.2">
      <c r="O168" t="str">
        <f>IFERROR(INDEX(_courses_lookup!$C:$C,MATCH(K168&amp;L168,_courses_lookup!$E:$E,0)),"")</f>
        <v/>
      </c>
      <c r="P168" t="str">
        <f>IFERROR(INDEX(_courses_lookup!$D:$D,MATCH(K168&amp;L168,_courses_lookup!$E:$E,0)),"")</f>
        <v/>
      </c>
      <c r="AG168" t="str">
        <f t="shared" si="22"/>
        <v/>
      </c>
      <c r="AI168" t="str">
        <f t="shared" si="23"/>
        <v/>
      </c>
      <c r="AL168" t="str">
        <f t="shared" si="24"/>
        <v/>
      </c>
      <c r="AN168" t="str">
        <f t="shared" si="25"/>
        <v/>
      </c>
      <c r="AQ168" t="str">
        <f t="shared" si="26"/>
        <v/>
      </c>
      <c r="AR168" t="str">
        <f t="shared" si="27"/>
        <v/>
      </c>
      <c r="AS168" t="str">
        <f t="shared" si="28"/>
        <v/>
      </c>
      <c r="AT168" t="str">
        <f t="shared" si="29"/>
        <v/>
      </c>
      <c r="BG168" t="str">
        <f t="shared" si="30"/>
        <v/>
      </c>
      <c r="BH168" t="str">
        <f t="shared" si="31"/>
        <v/>
      </c>
      <c r="BL168" t="str">
        <f>IFERROR(INDEX(_names_lookup!$C:$C,MATCH(BK168,_names_lookup!$A:$A,0)),"")</f>
        <v/>
      </c>
      <c r="BM168" t="str">
        <f>IFERROR(INDEX(_names_lookup!$B:$B,MATCH(BK168,_names_lookup!$A:$A,0)),"")</f>
        <v/>
      </c>
      <c r="BS168" t="str">
        <f t="shared" si="32"/>
        <v/>
      </c>
    </row>
    <row r="169" spans="15:71" x14ac:dyDescent="0.2">
      <c r="O169" t="str">
        <f>IFERROR(INDEX(_courses_lookup!$C:$C,MATCH(K169&amp;L169,_courses_lookup!$E:$E,0)),"")</f>
        <v/>
      </c>
      <c r="P169" t="str">
        <f>IFERROR(INDEX(_courses_lookup!$D:$D,MATCH(K169&amp;L169,_courses_lookup!$E:$E,0)),"")</f>
        <v/>
      </c>
      <c r="AG169" t="str">
        <f t="shared" si="22"/>
        <v/>
      </c>
      <c r="AI169" t="str">
        <f t="shared" si="23"/>
        <v/>
      </c>
      <c r="AL169" t="str">
        <f t="shared" si="24"/>
        <v/>
      </c>
      <c r="AN169" t="str">
        <f t="shared" si="25"/>
        <v/>
      </c>
      <c r="AQ169" t="str">
        <f t="shared" si="26"/>
        <v/>
      </c>
      <c r="AR169" t="str">
        <f t="shared" si="27"/>
        <v/>
      </c>
      <c r="AS169" t="str">
        <f t="shared" si="28"/>
        <v/>
      </c>
      <c r="AT169" t="str">
        <f t="shared" si="29"/>
        <v/>
      </c>
      <c r="BG169" t="str">
        <f t="shared" si="30"/>
        <v/>
      </c>
      <c r="BH169" t="str">
        <f t="shared" si="31"/>
        <v/>
      </c>
      <c r="BL169" t="str">
        <f>IFERROR(INDEX(_names_lookup!$C:$C,MATCH(BK169,_names_lookup!$A:$A,0)),"")</f>
        <v/>
      </c>
      <c r="BM169" t="str">
        <f>IFERROR(INDEX(_names_lookup!$B:$B,MATCH(BK169,_names_lookup!$A:$A,0)),"")</f>
        <v/>
      </c>
      <c r="BS169" t="str">
        <f t="shared" si="32"/>
        <v/>
      </c>
    </row>
    <row r="170" spans="15:71" x14ac:dyDescent="0.2">
      <c r="O170" t="str">
        <f>IFERROR(INDEX(_courses_lookup!$C:$C,MATCH(K170&amp;L170,_courses_lookup!$E:$E,0)),"")</f>
        <v/>
      </c>
      <c r="P170" t="str">
        <f>IFERROR(INDEX(_courses_lookup!$D:$D,MATCH(K170&amp;L170,_courses_lookup!$E:$E,0)),"")</f>
        <v/>
      </c>
      <c r="AG170" t="str">
        <f t="shared" si="22"/>
        <v/>
      </c>
      <c r="AI170" t="str">
        <f t="shared" si="23"/>
        <v/>
      </c>
      <c r="AL170" t="str">
        <f t="shared" si="24"/>
        <v/>
      </c>
      <c r="AN170" t="str">
        <f t="shared" si="25"/>
        <v/>
      </c>
      <c r="AQ170" t="str">
        <f t="shared" si="26"/>
        <v/>
      </c>
      <c r="AR170" t="str">
        <f t="shared" si="27"/>
        <v/>
      </c>
      <c r="AS170" t="str">
        <f t="shared" si="28"/>
        <v/>
      </c>
      <c r="AT170" t="str">
        <f t="shared" si="29"/>
        <v/>
      </c>
      <c r="BG170" t="str">
        <f t="shared" si="30"/>
        <v/>
      </c>
      <c r="BH170" t="str">
        <f t="shared" si="31"/>
        <v/>
      </c>
      <c r="BL170" t="str">
        <f>IFERROR(INDEX(_names_lookup!$C:$C,MATCH(BK170,_names_lookup!$A:$A,0)),"")</f>
        <v/>
      </c>
      <c r="BM170" t="str">
        <f>IFERROR(INDEX(_names_lookup!$B:$B,MATCH(BK170,_names_lookup!$A:$A,0)),"")</f>
        <v/>
      </c>
      <c r="BS170" t="str">
        <f t="shared" si="32"/>
        <v/>
      </c>
    </row>
    <row r="171" spans="15:71" x14ac:dyDescent="0.2">
      <c r="O171" t="str">
        <f>IFERROR(INDEX(_courses_lookup!$C:$C,MATCH(K171&amp;L171,_courses_lookup!$E:$E,0)),"")</f>
        <v/>
      </c>
      <c r="P171" t="str">
        <f>IFERROR(INDEX(_courses_lookup!$D:$D,MATCH(K171&amp;L171,_courses_lookup!$E:$E,0)),"")</f>
        <v/>
      </c>
      <c r="AG171" t="str">
        <f t="shared" si="22"/>
        <v/>
      </c>
      <c r="AI171" t="str">
        <f t="shared" si="23"/>
        <v/>
      </c>
      <c r="AL171" t="str">
        <f t="shared" si="24"/>
        <v/>
      </c>
      <c r="AN171" t="str">
        <f t="shared" si="25"/>
        <v/>
      </c>
      <c r="AQ171" t="str">
        <f t="shared" si="26"/>
        <v/>
      </c>
      <c r="AR171" t="str">
        <f t="shared" si="27"/>
        <v/>
      </c>
      <c r="AS171" t="str">
        <f t="shared" si="28"/>
        <v/>
      </c>
      <c r="AT171" t="str">
        <f t="shared" si="29"/>
        <v/>
      </c>
      <c r="BG171" t="str">
        <f t="shared" si="30"/>
        <v/>
      </c>
      <c r="BH171" t="str">
        <f t="shared" si="31"/>
        <v/>
      </c>
      <c r="BL171" t="str">
        <f>IFERROR(INDEX(_names_lookup!$C:$C,MATCH(BK171,_names_lookup!$A:$A,0)),"")</f>
        <v/>
      </c>
      <c r="BM171" t="str">
        <f>IFERROR(INDEX(_names_lookup!$B:$B,MATCH(BK171,_names_lookup!$A:$A,0)),"")</f>
        <v/>
      </c>
      <c r="BS171" t="str">
        <f t="shared" si="32"/>
        <v/>
      </c>
    </row>
    <row r="172" spans="15:71" x14ac:dyDescent="0.2">
      <c r="O172" t="str">
        <f>IFERROR(INDEX(_courses_lookup!$C:$C,MATCH(K172&amp;L172,_courses_lookup!$E:$E,0)),"")</f>
        <v/>
      </c>
      <c r="P172" t="str">
        <f>IFERROR(INDEX(_courses_lookup!$D:$D,MATCH(K172&amp;L172,_courses_lookup!$E:$E,0)),"")</f>
        <v/>
      </c>
      <c r="AG172" t="str">
        <f t="shared" si="22"/>
        <v/>
      </c>
      <c r="AI172" t="str">
        <f t="shared" si="23"/>
        <v/>
      </c>
      <c r="AL172" t="str">
        <f t="shared" si="24"/>
        <v/>
      </c>
      <c r="AN172" t="str">
        <f t="shared" si="25"/>
        <v/>
      </c>
      <c r="AQ172" t="str">
        <f t="shared" si="26"/>
        <v/>
      </c>
      <c r="AR172" t="str">
        <f t="shared" si="27"/>
        <v/>
      </c>
      <c r="AS172" t="str">
        <f t="shared" si="28"/>
        <v/>
      </c>
      <c r="AT172" t="str">
        <f t="shared" si="29"/>
        <v/>
      </c>
      <c r="BG172" t="str">
        <f t="shared" si="30"/>
        <v/>
      </c>
      <c r="BH172" t="str">
        <f t="shared" si="31"/>
        <v/>
      </c>
      <c r="BL172" t="str">
        <f>IFERROR(INDEX(_names_lookup!$C:$C,MATCH(BK172,_names_lookup!$A:$A,0)),"")</f>
        <v/>
      </c>
      <c r="BM172" t="str">
        <f>IFERROR(INDEX(_names_lookup!$B:$B,MATCH(BK172,_names_lookup!$A:$A,0)),"")</f>
        <v/>
      </c>
      <c r="BS172" t="str">
        <f t="shared" si="32"/>
        <v/>
      </c>
    </row>
    <row r="173" spans="15:71" x14ac:dyDescent="0.2">
      <c r="O173" t="str">
        <f>IFERROR(INDEX(_courses_lookup!$C:$C,MATCH(K173&amp;L173,_courses_lookup!$E:$E,0)),"")</f>
        <v/>
      </c>
      <c r="P173" t="str">
        <f>IFERROR(INDEX(_courses_lookup!$D:$D,MATCH(K173&amp;L173,_courses_lookup!$E:$E,0)),"")</f>
        <v/>
      </c>
      <c r="AG173" t="str">
        <f t="shared" si="22"/>
        <v/>
      </c>
      <c r="AI173" t="str">
        <f t="shared" si="23"/>
        <v/>
      </c>
      <c r="AL173" t="str">
        <f t="shared" si="24"/>
        <v/>
      </c>
      <c r="AN173" t="str">
        <f t="shared" si="25"/>
        <v/>
      </c>
      <c r="AQ173" t="str">
        <f t="shared" si="26"/>
        <v/>
      </c>
      <c r="AR173" t="str">
        <f t="shared" si="27"/>
        <v/>
      </c>
      <c r="AS173" t="str">
        <f t="shared" si="28"/>
        <v/>
      </c>
      <c r="AT173" t="str">
        <f t="shared" si="29"/>
        <v/>
      </c>
      <c r="BG173" t="str">
        <f t="shared" si="30"/>
        <v/>
      </c>
      <c r="BH173" t="str">
        <f t="shared" si="31"/>
        <v/>
      </c>
      <c r="BL173" t="str">
        <f>IFERROR(INDEX(_names_lookup!$C:$C,MATCH(BK173,_names_lookup!$A:$A,0)),"")</f>
        <v/>
      </c>
      <c r="BM173" t="str">
        <f>IFERROR(INDEX(_names_lookup!$B:$B,MATCH(BK173,_names_lookup!$A:$A,0)),"")</f>
        <v/>
      </c>
      <c r="BS173" t="str">
        <f t="shared" si="32"/>
        <v/>
      </c>
    </row>
    <row r="174" spans="15:71" x14ac:dyDescent="0.2">
      <c r="O174" t="str">
        <f>IFERROR(INDEX(_courses_lookup!$C:$C,MATCH(K174&amp;L174,_courses_lookup!$E:$E,0)),"")</f>
        <v/>
      </c>
      <c r="P174" t="str">
        <f>IFERROR(INDEX(_courses_lookup!$D:$D,MATCH(K174&amp;L174,_courses_lookup!$E:$E,0)),"")</f>
        <v/>
      </c>
      <c r="AG174" t="str">
        <f t="shared" si="22"/>
        <v/>
      </c>
      <c r="AI174" t="str">
        <f t="shared" si="23"/>
        <v/>
      </c>
      <c r="AL174" t="str">
        <f t="shared" si="24"/>
        <v/>
      </c>
      <c r="AN174" t="str">
        <f t="shared" si="25"/>
        <v/>
      </c>
      <c r="AQ174" t="str">
        <f t="shared" si="26"/>
        <v/>
      </c>
      <c r="AR174" t="str">
        <f t="shared" si="27"/>
        <v/>
      </c>
      <c r="AS174" t="str">
        <f t="shared" si="28"/>
        <v/>
      </c>
      <c r="AT174" t="str">
        <f t="shared" si="29"/>
        <v/>
      </c>
      <c r="BG174" t="str">
        <f t="shared" si="30"/>
        <v/>
      </c>
      <c r="BH174" t="str">
        <f t="shared" si="31"/>
        <v/>
      </c>
      <c r="BL174" t="str">
        <f>IFERROR(INDEX(_names_lookup!$C:$C,MATCH(BK174,_names_lookup!$A:$A,0)),"")</f>
        <v/>
      </c>
      <c r="BM174" t="str">
        <f>IFERROR(INDEX(_names_lookup!$B:$B,MATCH(BK174,_names_lookup!$A:$A,0)),"")</f>
        <v/>
      </c>
      <c r="BS174" t="str">
        <f t="shared" si="32"/>
        <v/>
      </c>
    </row>
    <row r="175" spans="15:71" x14ac:dyDescent="0.2">
      <c r="O175" t="str">
        <f>IFERROR(INDEX(_courses_lookup!$C:$C,MATCH(K175&amp;L175,_courses_lookup!$E:$E,0)),"")</f>
        <v/>
      </c>
      <c r="P175" t="str">
        <f>IFERROR(INDEX(_courses_lookup!$D:$D,MATCH(K175&amp;L175,_courses_lookup!$E:$E,0)),"")</f>
        <v/>
      </c>
      <c r="AG175" t="str">
        <f t="shared" si="22"/>
        <v/>
      </c>
      <c r="AI175" t="str">
        <f t="shared" si="23"/>
        <v/>
      </c>
      <c r="AL175" t="str">
        <f t="shared" si="24"/>
        <v/>
      </c>
      <c r="AN175" t="str">
        <f t="shared" si="25"/>
        <v/>
      </c>
      <c r="AQ175" t="str">
        <f t="shared" si="26"/>
        <v/>
      </c>
      <c r="AR175" t="str">
        <f t="shared" si="27"/>
        <v/>
      </c>
      <c r="AS175" t="str">
        <f t="shared" si="28"/>
        <v/>
      </c>
      <c r="AT175" t="str">
        <f t="shared" si="29"/>
        <v/>
      </c>
      <c r="BG175" t="str">
        <f t="shared" si="30"/>
        <v/>
      </c>
      <c r="BH175" t="str">
        <f t="shared" si="31"/>
        <v/>
      </c>
      <c r="BL175" t="str">
        <f>IFERROR(INDEX(_names_lookup!$C:$C,MATCH(BK175,_names_lookup!$A:$A,0)),"")</f>
        <v/>
      </c>
      <c r="BM175" t="str">
        <f>IFERROR(INDEX(_names_lookup!$B:$B,MATCH(BK175,_names_lookup!$A:$A,0)),"")</f>
        <v/>
      </c>
      <c r="BS175" t="str">
        <f t="shared" si="32"/>
        <v/>
      </c>
    </row>
    <row r="176" spans="15:71" x14ac:dyDescent="0.2">
      <c r="O176" t="str">
        <f>IFERROR(INDEX(_courses_lookup!$C:$C,MATCH(K176&amp;L176,_courses_lookup!$E:$E,0)),"")</f>
        <v/>
      </c>
      <c r="P176" t="str">
        <f>IFERROR(INDEX(_courses_lookup!$D:$D,MATCH(K176&amp;L176,_courses_lookup!$E:$E,0)),"")</f>
        <v/>
      </c>
      <c r="AG176" t="str">
        <f t="shared" si="22"/>
        <v/>
      </c>
      <c r="AI176" t="str">
        <f t="shared" si="23"/>
        <v/>
      </c>
      <c r="AL176" t="str">
        <f t="shared" si="24"/>
        <v/>
      </c>
      <c r="AN176" t="str">
        <f t="shared" si="25"/>
        <v/>
      </c>
      <c r="AQ176" t="str">
        <f t="shared" si="26"/>
        <v/>
      </c>
      <c r="AR176" t="str">
        <f t="shared" si="27"/>
        <v/>
      </c>
      <c r="AS176" t="str">
        <f t="shared" si="28"/>
        <v/>
      </c>
      <c r="AT176" t="str">
        <f t="shared" si="29"/>
        <v/>
      </c>
      <c r="BG176" t="str">
        <f t="shared" si="30"/>
        <v/>
      </c>
      <c r="BH176" t="str">
        <f t="shared" si="31"/>
        <v/>
      </c>
      <c r="BL176" t="str">
        <f>IFERROR(INDEX(_names_lookup!$C:$C,MATCH(BK176,_names_lookup!$A:$A,0)),"")</f>
        <v/>
      </c>
      <c r="BM176" t="str">
        <f>IFERROR(INDEX(_names_lookup!$B:$B,MATCH(BK176,_names_lookup!$A:$A,0)),"")</f>
        <v/>
      </c>
      <c r="BS176" t="str">
        <f t="shared" si="32"/>
        <v/>
      </c>
    </row>
    <row r="177" spans="15:71" x14ac:dyDescent="0.2">
      <c r="O177" t="str">
        <f>IFERROR(INDEX(_courses_lookup!$C:$C,MATCH(K177&amp;L177,_courses_lookup!$E:$E,0)),"")</f>
        <v/>
      </c>
      <c r="P177" t="str">
        <f>IFERROR(INDEX(_courses_lookup!$D:$D,MATCH(K177&amp;L177,_courses_lookup!$E:$E,0)),"")</f>
        <v/>
      </c>
      <c r="AG177" t="str">
        <f t="shared" si="22"/>
        <v/>
      </c>
      <c r="AI177" t="str">
        <f t="shared" si="23"/>
        <v/>
      </c>
      <c r="AL177" t="str">
        <f t="shared" si="24"/>
        <v/>
      </c>
      <c r="AN177" t="str">
        <f t="shared" si="25"/>
        <v/>
      </c>
      <c r="AQ177" t="str">
        <f t="shared" si="26"/>
        <v/>
      </c>
      <c r="AR177" t="str">
        <f t="shared" si="27"/>
        <v/>
      </c>
      <c r="AS177" t="str">
        <f t="shared" si="28"/>
        <v/>
      </c>
      <c r="AT177" t="str">
        <f t="shared" si="29"/>
        <v/>
      </c>
      <c r="BG177" t="str">
        <f t="shared" si="30"/>
        <v/>
      </c>
      <c r="BH177" t="str">
        <f t="shared" si="31"/>
        <v/>
      </c>
      <c r="BL177" t="str">
        <f>IFERROR(INDEX(_names_lookup!$C:$C,MATCH(BK177,_names_lookup!$A:$A,0)),"")</f>
        <v/>
      </c>
      <c r="BM177" t="str">
        <f>IFERROR(INDEX(_names_lookup!$B:$B,MATCH(BK177,_names_lookup!$A:$A,0)),"")</f>
        <v/>
      </c>
      <c r="BS177" t="str">
        <f t="shared" si="32"/>
        <v/>
      </c>
    </row>
    <row r="178" spans="15:71" x14ac:dyDescent="0.2">
      <c r="O178" t="str">
        <f>IFERROR(INDEX(_courses_lookup!$C:$C,MATCH(K178&amp;L178,_courses_lookup!$E:$E,0)),"")</f>
        <v/>
      </c>
      <c r="P178" t="str">
        <f>IFERROR(INDEX(_courses_lookup!$D:$D,MATCH(K178&amp;L178,_courses_lookup!$E:$E,0)),"")</f>
        <v/>
      </c>
      <c r="AG178" t="str">
        <f t="shared" si="22"/>
        <v/>
      </c>
      <c r="AI178" t="str">
        <f t="shared" si="23"/>
        <v/>
      </c>
      <c r="AL178" t="str">
        <f t="shared" si="24"/>
        <v/>
      </c>
      <c r="AN178" t="str">
        <f t="shared" si="25"/>
        <v/>
      </c>
      <c r="AQ178" t="str">
        <f t="shared" si="26"/>
        <v/>
      </c>
      <c r="AR178" t="str">
        <f t="shared" si="27"/>
        <v/>
      </c>
      <c r="AS178" t="str">
        <f t="shared" si="28"/>
        <v/>
      </c>
      <c r="AT178" t="str">
        <f t="shared" si="29"/>
        <v/>
      </c>
      <c r="BG178" t="str">
        <f t="shared" si="30"/>
        <v/>
      </c>
      <c r="BH178" t="str">
        <f t="shared" si="31"/>
        <v/>
      </c>
      <c r="BL178" t="str">
        <f>IFERROR(INDEX(_names_lookup!$C:$C,MATCH(BK178,_names_lookup!$A:$A,0)),"")</f>
        <v/>
      </c>
      <c r="BM178" t="str">
        <f>IFERROR(INDEX(_names_lookup!$B:$B,MATCH(BK178,_names_lookup!$A:$A,0)),"")</f>
        <v/>
      </c>
      <c r="BS178" t="str">
        <f t="shared" si="32"/>
        <v/>
      </c>
    </row>
    <row r="179" spans="15:71" x14ac:dyDescent="0.2">
      <c r="O179" t="str">
        <f>IFERROR(INDEX(_courses_lookup!$C:$C,MATCH(K179&amp;L179,_courses_lookup!$E:$E,0)),"")</f>
        <v/>
      </c>
      <c r="P179" t="str">
        <f>IFERROR(INDEX(_courses_lookup!$D:$D,MATCH(K179&amp;L179,_courses_lookup!$E:$E,0)),"")</f>
        <v/>
      </c>
      <c r="AG179" t="str">
        <f t="shared" si="22"/>
        <v/>
      </c>
      <c r="AI179" t="str">
        <f t="shared" si="23"/>
        <v/>
      </c>
      <c r="AL179" t="str">
        <f t="shared" si="24"/>
        <v/>
      </c>
      <c r="AN179" t="str">
        <f t="shared" si="25"/>
        <v/>
      </c>
      <c r="AQ179" t="str">
        <f t="shared" si="26"/>
        <v/>
      </c>
      <c r="AR179" t="str">
        <f t="shared" si="27"/>
        <v/>
      </c>
      <c r="AS179" t="str">
        <f t="shared" si="28"/>
        <v/>
      </c>
      <c r="AT179" t="str">
        <f t="shared" si="29"/>
        <v/>
      </c>
      <c r="BG179" t="str">
        <f t="shared" si="30"/>
        <v/>
      </c>
      <c r="BH179" t="str">
        <f t="shared" si="31"/>
        <v/>
      </c>
      <c r="BL179" t="str">
        <f>IFERROR(INDEX(_names_lookup!$C:$C,MATCH(BK179,_names_lookup!$A:$A,0)),"")</f>
        <v/>
      </c>
      <c r="BM179" t="str">
        <f>IFERROR(INDEX(_names_lookup!$B:$B,MATCH(BK179,_names_lookup!$A:$A,0)),"")</f>
        <v/>
      </c>
      <c r="BS179" t="str">
        <f t="shared" si="32"/>
        <v/>
      </c>
    </row>
    <row r="180" spans="15:71" x14ac:dyDescent="0.2">
      <c r="O180" t="str">
        <f>IFERROR(INDEX(_courses_lookup!$C:$C,MATCH(K180&amp;L180,_courses_lookup!$E:$E,0)),"")</f>
        <v/>
      </c>
      <c r="P180" t="str">
        <f>IFERROR(INDEX(_courses_lookup!$D:$D,MATCH(K180&amp;L180,_courses_lookup!$E:$E,0)),"")</f>
        <v/>
      </c>
      <c r="AG180" t="str">
        <f t="shared" si="22"/>
        <v/>
      </c>
      <c r="AI180" t="str">
        <f t="shared" si="23"/>
        <v/>
      </c>
      <c r="AL180" t="str">
        <f t="shared" si="24"/>
        <v/>
      </c>
      <c r="AN180" t="str">
        <f t="shared" si="25"/>
        <v/>
      </c>
      <c r="AQ180" t="str">
        <f t="shared" si="26"/>
        <v/>
      </c>
      <c r="AR180" t="str">
        <f t="shared" si="27"/>
        <v/>
      </c>
      <c r="AS180" t="str">
        <f t="shared" si="28"/>
        <v/>
      </c>
      <c r="AT180" t="str">
        <f t="shared" si="29"/>
        <v/>
      </c>
      <c r="BG180" t="str">
        <f t="shared" si="30"/>
        <v/>
      </c>
      <c r="BH180" t="str">
        <f t="shared" si="31"/>
        <v/>
      </c>
      <c r="BL180" t="str">
        <f>IFERROR(INDEX(_names_lookup!$C:$C,MATCH(BK180,_names_lookup!$A:$A,0)),"")</f>
        <v/>
      </c>
      <c r="BM180" t="str">
        <f>IFERROR(INDEX(_names_lookup!$B:$B,MATCH(BK180,_names_lookup!$A:$A,0)),"")</f>
        <v/>
      </c>
      <c r="BS180" t="str">
        <f t="shared" si="32"/>
        <v/>
      </c>
    </row>
    <row r="181" spans="15:71" x14ac:dyDescent="0.2">
      <c r="O181" t="str">
        <f>IFERROR(INDEX(_courses_lookup!$C:$C,MATCH(K181&amp;L181,_courses_lookup!$E:$E,0)),"")</f>
        <v/>
      </c>
      <c r="P181" t="str">
        <f>IFERROR(INDEX(_courses_lookup!$D:$D,MATCH(K181&amp;L181,_courses_lookup!$E:$E,0)),"")</f>
        <v/>
      </c>
      <c r="AG181" t="str">
        <f t="shared" si="22"/>
        <v/>
      </c>
      <c r="AI181" t="str">
        <f t="shared" si="23"/>
        <v/>
      </c>
      <c r="AL181" t="str">
        <f t="shared" si="24"/>
        <v/>
      </c>
      <c r="AN181" t="str">
        <f t="shared" si="25"/>
        <v/>
      </c>
      <c r="AQ181" t="str">
        <f t="shared" si="26"/>
        <v/>
      </c>
      <c r="AR181" t="str">
        <f t="shared" si="27"/>
        <v/>
      </c>
      <c r="AS181" t="str">
        <f t="shared" si="28"/>
        <v/>
      </c>
      <c r="AT181" t="str">
        <f t="shared" si="29"/>
        <v/>
      </c>
      <c r="BG181" t="str">
        <f t="shared" si="30"/>
        <v/>
      </c>
      <c r="BH181" t="str">
        <f t="shared" si="31"/>
        <v/>
      </c>
      <c r="BL181" t="str">
        <f>IFERROR(INDEX(_names_lookup!$C:$C,MATCH(BK181,_names_lookup!$A:$A,0)),"")</f>
        <v/>
      </c>
      <c r="BM181" t="str">
        <f>IFERROR(INDEX(_names_lookup!$B:$B,MATCH(BK181,_names_lookup!$A:$A,0)),"")</f>
        <v/>
      </c>
      <c r="BS181" t="str">
        <f t="shared" si="32"/>
        <v/>
      </c>
    </row>
    <row r="182" spans="15:71" x14ac:dyDescent="0.2">
      <c r="O182" t="str">
        <f>IFERROR(INDEX(_courses_lookup!$C:$C,MATCH(K182&amp;L182,_courses_lookup!$E:$E,0)),"")</f>
        <v/>
      </c>
      <c r="P182" t="str">
        <f>IFERROR(INDEX(_courses_lookup!$D:$D,MATCH(K182&amp;L182,_courses_lookup!$E:$E,0)),"")</f>
        <v/>
      </c>
      <c r="AG182" t="str">
        <f t="shared" si="22"/>
        <v/>
      </c>
      <c r="AI182" t="str">
        <f t="shared" si="23"/>
        <v/>
      </c>
      <c r="AL182" t="str">
        <f t="shared" si="24"/>
        <v/>
      </c>
      <c r="AN182" t="str">
        <f t="shared" si="25"/>
        <v/>
      </c>
      <c r="AQ182" t="str">
        <f t="shared" si="26"/>
        <v/>
      </c>
      <c r="AR182" t="str">
        <f t="shared" si="27"/>
        <v/>
      </c>
      <c r="AS182" t="str">
        <f t="shared" si="28"/>
        <v/>
      </c>
      <c r="AT182" t="str">
        <f t="shared" si="29"/>
        <v/>
      </c>
      <c r="BG182" t="str">
        <f t="shared" si="30"/>
        <v/>
      </c>
      <c r="BH182" t="str">
        <f t="shared" si="31"/>
        <v/>
      </c>
      <c r="BL182" t="str">
        <f>IFERROR(INDEX(_names_lookup!$C:$C,MATCH(BK182,_names_lookup!$A:$A,0)),"")</f>
        <v/>
      </c>
      <c r="BM182" t="str">
        <f>IFERROR(INDEX(_names_lookup!$B:$B,MATCH(BK182,_names_lookup!$A:$A,0)),"")</f>
        <v/>
      </c>
      <c r="BS182" t="str">
        <f t="shared" si="32"/>
        <v/>
      </c>
    </row>
    <row r="183" spans="15:71" x14ac:dyDescent="0.2">
      <c r="O183" t="str">
        <f>IFERROR(INDEX(_courses_lookup!$C:$C,MATCH(K183&amp;L183,_courses_lookup!$E:$E,0)),"")</f>
        <v/>
      </c>
      <c r="P183" t="str">
        <f>IFERROR(INDEX(_courses_lookup!$D:$D,MATCH(K183&amp;L183,_courses_lookup!$E:$E,0)),"")</f>
        <v/>
      </c>
      <c r="AG183" t="str">
        <f t="shared" si="22"/>
        <v/>
      </c>
      <c r="AI183" t="str">
        <f t="shared" si="23"/>
        <v/>
      </c>
      <c r="AL183" t="str">
        <f t="shared" si="24"/>
        <v/>
      </c>
      <c r="AN183" t="str">
        <f t="shared" si="25"/>
        <v/>
      </c>
      <c r="AQ183" t="str">
        <f t="shared" si="26"/>
        <v/>
      </c>
      <c r="AR183" t="str">
        <f t="shared" si="27"/>
        <v/>
      </c>
      <c r="AS183" t="str">
        <f t="shared" si="28"/>
        <v/>
      </c>
      <c r="AT183" t="str">
        <f t="shared" si="29"/>
        <v/>
      </c>
      <c r="BG183" t="str">
        <f t="shared" si="30"/>
        <v/>
      </c>
      <c r="BH183" t="str">
        <f t="shared" si="31"/>
        <v/>
      </c>
      <c r="BL183" t="str">
        <f>IFERROR(INDEX(_names_lookup!$C:$C,MATCH(BK183,_names_lookup!$A:$A,0)),"")</f>
        <v/>
      </c>
      <c r="BM183" t="str">
        <f>IFERROR(INDEX(_names_lookup!$B:$B,MATCH(BK183,_names_lookup!$A:$A,0)),"")</f>
        <v/>
      </c>
      <c r="BS183" t="str">
        <f t="shared" si="32"/>
        <v/>
      </c>
    </row>
    <row r="184" spans="15:71" x14ac:dyDescent="0.2">
      <c r="O184" t="str">
        <f>IFERROR(INDEX(_courses_lookup!$C:$C,MATCH(K184&amp;L184,_courses_lookup!$E:$E,0)),"")</f>
        <v/>
      </c>
      <c r="P184" t="str">
        <f>IFERROR(INDEX(_courses_lookup!$D:$D,MATCH(K184&amp;L184,_courses_lookup!$E:$E,0)),"")</f>
        <v/>
      </c>
      <c r="AG184" t="str">
        <f t="shared" si="22"/>
        <v/>
      </c>
      <c r="AI184" t="str">
        <f t="shared" si="23"/>
        <v/>
      </c>
      <c r="AL184" t="str">
        <f t="shared" si="24"/>
        <v/>
      </c>
      <c r="AN184" t="str">
        <f t="shared" si="25"/>
        <v/>
      </c>
      <c r="AQ184" t="str">
        <f t="shared" si="26"/>
        <v/>
      </c>
      <c r="AR184" t="str">
        <f t="shared" si="27"/>
        <v/>
      </c>
      <c r="AS184" t="str">
        <f t="shared" si="28"/>
        <v/>
      </c>
      <c r="AT184" t="str">
        <f t="shared" si="29"/>
        <v/>
      </c>
      <c r="BG184" t="str">
        <f t="shared" si="30"/>
        <v/>
      </c>
      <c r="BH184" t="str">
        <f t="shared" si="31"/>
        <v/>
      </c>
      <c r="BL184" t="str">
        <f>IFERROR(INDEX(_names_lookup!$C:$C,MATCH(BK184,_names_lookup!$A:$A,0)),"")</f>
        <v/>
      </c>
      <c r="BM184" t="str">
        <f>IFERROR(INDEX(_names_lookup!$B:$B,MATCH(BK184,_names_lookup!$A:$A,0)),"")</f>
        <v/>
      </c>
      <c r="BS184" t="str">
        <f t="shared" si="32"/>
        <v/>
      </c>
    </row>
    <row r="185" spans="15:71" x14ac:dyDescent="0.2">
      <c r="O185" t="str">
        <f>IFERROR(INDEX(_courses_lookup!$C:$C,MATCH(K185&amp;L185,_courses_lookup!$E:$E,0)),"")</f>
        <v/>
      </c>
      <c r="P185" t="str">
        <f>IFERROR(INDEX(_courses_lookup!$D:$D,MATCH(K185&amp;L185,_courses_lookup!$E:$E,0)),"")</f>
        <v/>
      </c>
      <c r="AG185" t="str">
        <f t="shared" si="22"/>
        <v/>
      </c>
      <c r="AI185" t="str">
        <f t="shared" si="23"/>
        <v/>
      </c>
      <c r="AL185" t="str">
        <f t="shared" si="24"/>
        <v/>
      </c>
      <c r="AN185" t="str">
        <f t="shared" si="25"/>
        <v/>
      </c>
      <c r="AQ185" t="str">
        <f t="shared" si="26"/>
        <v/>
      </c>
      <c r="AR185" t="str">
        <f t="shared" si="27"/>
        <v/>
      </c>
      <c r="AS185" t="str">
        <f t="shared" si="28"/>
        <v/>
      </c>
      <c r="AT185" t="str">
        <f t="shared" si="29"/>
        <v/>
      </c>
      <c r="BG185" t="str">
        <f t="shared" si="30"/>
        <v/>
      </c>
      <c r="BH185" t="str">
        <f t="shared" si="31"/>
        <v/>
      </c>
      <c r="BL185" t="str">
        <f>IFERROR(INDEX(_names_lookup!$C:$C,MATCH(BK185,_names_lookup!$A:$A,0)),"")</f>
        <v/>
      </c>
      <c r="BM185" t="str">
        <f>IFERROR(INDEX(_names_lookup!$B:$B,MATCH(BK185,_names_lookup!$A:$A,0)),"")</f>
        <v/>
      </c>
      <c r="BS185" t="str">
        <f t="shared" si="32"/>
        <v/>
      </c>
    </row>
    <row r="186" spans="15:71" x14ac:dyDescent="0.2">
      <c r="O186" t="str">
        <f>IFERROR(INDEX(_courses_lookup!$C:$C,MATCH(K186&amp;L186,_courses_lookup!$E:$E,0)),"")</f>
        <v/>
      </c>
      <c r="P186" t="str">
        <f>IFERROR(INDEX(_courses_lookup!$D:$D,MATCH(K186&amp;L186,_courses_lookup!$E:$E,0)),"")</f>
        <v/>
      </c>
      <c r="AG186" t="str">
        <f t="shared" si="22"/>
        <v/>
      </c>
      <c r="AI186" t="str">
        <f t="shared" si="23"/>
        <v/>
      </c>
      <c r="AL186" t="str">
        <f t="shared" si="24"/>
        <v/>
      </c>
      <c r="AN186" t="str">
        <f t="shared" si="25"/>
        <v/>
      </c>
      <c r="AQ186" t="str">
        <f t="shared" si="26"/>
        <v/>
      </c>
      <c r="AR186" t="str">
        <f t="shared" si="27"/>
        <v/>
      </c>
      <c r="AS186" t="str">
        <f t="shared" si="28"/>
        <v/>
      </c>
      <c r="AT186" t="str">
        <f t="shared" si="29"/>
        <v/>
      </c>
      <c r="BG186" t="str">
        <f t="shared" si="30"/>
        <v/>
      </c>
      <c r="BH186" t="str">
        <f t="shared" si="31"/>
        <v/>
      </c>
      <c r="BL186" t="str">
        <f>IFERROR(INDEX(_names_lookup!$C:$C,MATCH(BK186,_names_lookup!$A:$A,0)),"")</f>
        <v/>
      </c>
      <c r="BM186" t="str">
        <f>IFERROR(INDEX(_names_lookup!$B:$B,MATCH(BK186,_names_lookup!$A:$A,0)),"")</f>
        <v/>
      </c>
      <c r="BS186" t="str">
        <f t="shared" si="32"/>
        <v/>
      </c>
    </row>
    <row r="187" spans="15:71" x14ac:dyDescent="0.2">
      <c r="O187" t="str">
        <f>IFERROR(INDEX(_courses_lookup!$C:$C,MATCH(K187&amp;L187,_courses_lookup!$E:$E,0)),"")</f>
        <v/>
      </c>
      <c r="P187" t="str">
        <f>IFERROR(INDEX(_courses_lookup!$D:$D,MATCH(K187&amp;L187,_courses_lookup!$E:$E,0)),"")</f>
        <v/>
      </c>
      <c r="AG187" t="str">
        <f t="shared" si="22"/>
        <v/>
      </c>
      <c r="AI187" t="str">
        <f t="shared" si="23"/>
        <v/>
      </c>
      <c r="AL187" t="str">
        <f t="shared" si="24"/>
        <v/>
      </c>
      <c r="AN187" t="str">
        <f t="shared" si="25"/>
        <v/>
      </c>
      <c r="AQ187" t="str">
        <f t="shared" si="26"/>
        <v/>
      </c>
      <c r="AR187" t="str">
        <f t="shared" si="27"/>
        <v/>
      </c>
      <c r="AS187" t="str">
        <f t="shared" si="28"/>
        <v/>
      </c>
      <c r="AT187" t="str">
        <f t="shared" si="29"/>
        <v/>
      </c>
      <c r="BG187" t="str">
        <f t="shared" si="30"/>
        <v/>
      </c>
      <c r="BH187" t="str">
        <f t="shared" si="31"/>
        <v/>
      </c>
      <c r="BL187" t="str">
        <f>IFERROR(INDEX(_names_lookup!$C:$C,MATCH(BK187,_names_lookup!$A:$A,0)),"")</f>
        <v/>
      </c>
      <c r="BM187" t="str">
        <f>IFERROR(INDEX(_names_lookup!$B:$B,MATCH(BK187,_names_lookup!$A:$A,0)),"")</f>
        <v/>
      </c>
      <c r="BS187" t="str">
        <f t="shared" si="32"/>
        <v/>
      </c>
    </row>
    <row r="188" spans="15:71" x14ac:dyDescent="0.2">
      <c r="O188" t="str">
        <f>IFERROR(INDEX(_courses_lookup!$C:$C,MATCH(K188&amp;L188,_courses_lookup!$E:$E,0)),"")</f>
        <v/>
      </c>
      <c r="P188" t="str">
        <f>IFERROR(INDEX(_courses_lookup!$D:$D,MATCH(K188&amp;L188,_courses_lookup!$E:$E,0)),"")</f>
        <v/>
      </c>
      <c r="AG188" t="str">
        <f t="shared" si="22"/>
        <v/>
      </c>
      <c r="AI188" t="str">
        <f t="shared" si="23"/>
        <v/>
      </c>
      <c r="AL188" t="str">
        <f t="shared" si="24"/>
        <v/>
      </c>
      <c r="AN188" t="str">
        <f t="shared" si="25"/>
        <v/>
      </c>
      <c r="AQ188" t="str">
        <f t="shared" si="26"/>
        <v/>
      </c>
      <c r="AR188" t="str">
        <f t="shared" si="27"/>
        <v/>
      </c>
      <c r="AS188" t="str">
        <f t="shared" si="28"/>
        <v/>
      </c>
      <c r="AT188" t="str">
        <f t="shared" si="29"/>
        <v/>
      </c>
      <c r="BG188" t="str">
        <f t="shared" si="30"/>
        <v/>
      </c>
      <c r="BH188" t="str">
        <f t="shared" si="31"/>
        <v/>
      </c>
      <c r="BL188" t="str">
        <f>IFERROR(INDEX(_names_lookup!$C:$C,MATCH(BK188,_names_lookup!$A:$A,0)),"")</f>
        <v/>
      </c>
      <c r="BM188" t="str">
        <f>IFERROR(INDEX(_names_lookup!$B:$B,MATCH(BK188,_names_lookup!$A:$A,0)),"")</f>
        <v/>
      </c>
      <c r="BS188" t="str">
        <f t="shared" si="32"/>
        <v/>
      </c>
    </row>
    <row r="189" spans="15:71" x14ac:dyDescent="0.2">
      <c r="O189" t="str">
        <f>IFERROR(INDEX(_courses_lookup!$C:$C,MATCH(K189&amp;L189,_courses_lookup!$E:$E,0)),"")</f>
        <v/>
      </c>
      <c r="P189" t="str">
        <f>IFERROR(INDEX(_courses_lookup!$D:$D,MATCH(K189&amp;L189,_courses_lookup!$E:$E,0)),"")</f>
        <v/>
      </c>
      <c r="AG189" t="str">
        <f t="shared" si="22"/>
        <v/>
      </c>
      <c r="AI189" t="str">
        <f t="shared" si="23"/>
        <v/>
      </c>
      <c r="AL189" t="str">
        <f t="shared" si="24"/>
        <v/>
      </c>
      <c r="AN189" t="str">
        <f t="shared" si="25"/>
        <v/>
      </c>
      <c r="AQ189" t="str">
        <f t="shared" si="26"/>
        <v/>
      </c>
      <c r="AR189" t="str">
        <f t="shared" si="27"/>
        <v/>
      </c>
      <c r="AS189" t="str">
        <f t="shared" si="28"/>
        <v/>
      </c>
      <c r="AT189" t="str">
        <f t="shared" si="29"/>
        <v/>
      </c>
      <c r="BG189" t="str">
        <f t="shared" si="30"/>
        <v/>
      </c>
      <c r="BH189" t="str">
        <f t="shared" si="31"/>
        <v/>
      </c>
      <c r="BL189" t="str">
        <f>IFERROR(INDEX(_names_lookup!$C:$C,MATCH(BK189,_names_lookup!$A:$A,0)),"")</f>
        <v/>
      </c>
      <c r="BM189" t="str">
        <f>IFERROR(INDEX(_names_lookup!$B:$B,MATCH(BK189,_names_lookup!$A:$A,0)),"")</f>
        <v/>
      </c>
      <c r="BS189" t="str">
        <f t="shared" si="32"/>
        <v/>
      </c>
    </row>
    <row r="190" spans="15:71" x14ac:dyDescent="0.2">
      <c r="O190" t="str">
        <f>IFERROR(INDEX(_courses_lookup!$C:$C,MATCH(K190&amp;L190,_courses_lookup!$E:$E,0)),"")</f>
        <v/>
      </c>
      <c r="P190" t="str">
        <f>IFERROR(INDEX(_courses_lookup!$D:$D,MATCH(K190&amp;L190,_courses_lookup!$E:$E,0)),"")</f>
        <v/>
      </c>
      <c r="AG190" t="str">
        <f t="shared" si="22"/>
        <v/>
      </c>
      <c r="AI190" t="str">
        <f t="shared" si="23"/>
        <v/>
      </c>
      <c r="AL190" t="str">
        <f t="shared" si="24"/>
        <v/>
      </c>
      <c r="AN190" t="str">
        <f t="shared" si="25"/>
        <v/>
      </c>
      <c r="AQ190" t="str">
        <f t="shared" si="26"/>
        <v/>
      </c>
      <c r="AR190" t="str">
        <f t="shared" si="27"/>
        <v/>
      </c>
      <c r="AS190" t="str">
        <f t="shared" si="28"/>
        <v/>
      </c>
      <c r="AT190" t="str">
        <f t="shared" si="29"/>
        <v/>
      </c>
      <c r="BG190" t="str">
        <f t="shared" si="30"/>
        <v/>
      </c>
      <c r="BH190" t="str">
        <f t="shared" si="31"/>
        <v/>
      </c>
      <c r="BL190" t="str">
        <f>IFERROR(INDEX(_names_lookup!$C:$C,MATCH(BK190,_names_lookup!$A:$A,0)),"")</f>
        <v/>
      </c>
      <c r="BM190" t="str">
        <f>IFERROR(INDEX(_names_lookup!$B:$B,MATCH(BK190,_names_lookup!$A:$A,0)),"")</f>
        <v/>
      </c>
      <c r="BS190" t="str">
        <f t="shared" si="32"/>
        <v/>
      </c>
    </row>
    <row r="191" spans="15:71" x14ac:dyDescent="0.2">
      <c r="O191" t="str">
        <f>IFERROR(INDEX(_courses_lookup!$C:$C,MATCH(K191&amp;L191,_courses_lookup!$E:$E,0)),"")</f>
        <v/>
      </c>
      <c r="P191" t="str">
        <f>IFERROR(INDEX(_courses_lookup!$D:$D,MATCH(K191&amp;L191,_courses_lookup!$E:$E,0)),"")</f>
        <v/>
      </c>
      <c r="AG191" t="str">
        <f t="shared" si="22"/>
        <v/>
      </c>
      <c r="AI191" t="str">
        <f t="shared" si="23"/>
        <v/>
      </c>
      <c r="AL191" t="str">
        <f t="shared" si="24"/>
        <v/>
      </c>
      <c r="AN191" t="str">
        <f t="shared" si="25"/>
        <v/>
      </c>
      <c r="AQ191" t="str">
        <f t="shared" si="26"/>
        <v/>
      </c>
      <c r="AR191" t="str">
        <f t="shared" si="27"/>
        <v/>
      </c>
      <c r="AS191" t="str">
        <f t="shared" si="28"/>
        <v/>
      </c>
      <c r="AT191" t="str">
        <f t="shared" si="29"/>
        <v/>
      </c>
      <c r="BG191" t="str">
        <f t="shared" si="30"/>
        <v/>
      </c>
      <c r="BH191" t="str">
        <f t="shared" si="31"/>
        <v/>
      </c>
      <c r="BL191" t="str">
        <f>IFERROR(INDEX(_names_lookup!$C:$C,MATCH(BK191,_names_lookup!$A:$A,0)),"")</f>
        <v/>
      </c>
      <c r="BM191" t="str">
        <f>IFERROR(INDEX(_names_lookup!$B:$B,MATCH(BK191,_names_lookup!$A:$A,0)),"")</f>
        <v/>
      </c>
      <c r="BS191" t="str">
        <f t="shared" si="32"/>
        <v/>
      </c>
    </row>
    <row r="192" spans="15:71" x14ac:dyDescent="0.2">
      <c r="O192" t="str">
        <f>IFERROR(INDEX(_courses_lookup!$C:$C,MATCH(K192&amp;L192,_courses_lookup!$E:$E,0)),"")</f>
        <v/>
      </c>
      <c r="P192" t="str">
        <f>IFERROR(INDEX(_courses_lookup!$D:$D,MATCH(K192&amp;L192,_courses_lookup!$E:$E,0)),"")</f>
        <v/>
      </c>
      <c r="AG192" t="str">
        <f t="shared" si="22"/>
        <v/>
      </c>
      <c r="AI192" t="str">
        <f t="shared" si="23"/>
        <v/>
      </c>
      <c r="AL192" t="str">
        <f t="shared" si="24"/>
        <v/>
      </c>
      <c r="AN192" t="str">
        <f t="shared" si="25"/>
        <v/>
      </c>
      <c r="AQ192" t="str">
        <f t="shared" si="26"/>
        <v/>
      </c>
      <c r="AR192" t="str">
        <f t="shared" si="27"/>
        <v/>
      </c>
      <c r="AS192" t="str">
        <f t="shared" si="28"/>
        <v/>
      </c>
      <c r="AT192" t="str">
        <f t="shared" si="29"/>
        <v/>
      </c>
      <c r="BG192" t="str">
        <f t="shared" si="30"/>
        <v/>
      </c>
      <c r="BH192" t="str">
        <f t="shared" si="31"/>
        <v/>
      </c>
      <c r="BL192" t="str">
        <f>IFERROR(INDEX(_names_lookup!$C:$C,MATCH(BK192,_names_lookup!$A:$A,0)),"")</f>
        <v/>
      </c>
      <c r="BM192" t="str">
        <f>IFERROR(INDEX(_names_lookup!$B:$B,MATCH(BK192,_names_lookup!$A:$A,0)),"")</f>
        <v/>
      </c>
      <c r="BS192" t="str">
        <f t="shared" si="32"/>
        <v/>
      </c>
    </row>
    <row r="193" spans="15:71" x14ac:dyDescent="0.2">
      <c r="O193" t="str">
        <f>IFERROR(INDEX(_courses_lookup!$C:$C,MATCH(K193&amp;L193,_courses_lookup!$E:$E,0)),"")</f>
        <v/>
      </c>
      <c r="P193" t="str">
        <f>IFERROR(INDEX(_courses_lookup!$D:$D,MATCH(K193&amp;L193,_courses_lookup!$E:$E,0)),"")</f>
        <v/>
      </c>
      <c r="AG193" t="str">
        <f t="shared" si="22"/>
        <v/>
      </c>
      <c r="AI193" t="str">
        <f t="shared" si="23"/>
        <v/>
      </c>
      <c r="AL193" t="str">
        <f t="shared" si="24"/>
        <v/>
      </c>
      <c r="AN193" t="str">
        <f t="shared" si="25"/>
        <v/>
      </c>
      <c r="AQ193" t="str">
        <f t="shared" si="26"/>
        <v/>
      </c>
      <c r="AR193" t="str">
        <f t="shared" si="27"/>
        <v/>
      </c>
      <c r="AS193" t="str">
        <f t="shared" si="28"/>
        <v/>
      </c>
      <c r="AT193" t="str">
        <f t="shared" si="29"/>
        <v/>
      </c>
      <c r="BG193" t="str">
        <f t="shared" si="30"/>
        <v/>
      </c>
      <c r="BH193" t="str">
        <f t="shared" si="31"/>
        <v/>
      </c>
      <c r="BL193" t="str">
        <f>IFERROR(INDEX(_names_lookup!$C:$C,MATCH(BK193,_names_lookup!$A:$A,0)),"")</f>
        <v/>
      </c>
      <c r="BM193" t="str">
        <f>IFERROR(INDEX(_names_lookup!$B:$B,MATCH(BK193,_names_lookup!$A:$A,0)),"")</f>
        <v/>
      </c>
      <c r="BS193" t="str">
        <f t="shared" si="32"/>
        <v/>
      </c>
    </row>
    <row r="194" spans="15:71" x14ac:dyDescent="0.2">
      <c r="O194" t="str">
        <f>IFERROR(INDEX(_courses_lookup!$C:$C,MATCH(K194&amp;L194,_courses_lookup!$E:$E,0)),"")</f>
        <v/>
      </c>
      <c r="P194" t="str">
        <f>IFERROR(INDEX(_courses_lookup!$D:$D,MATCH(K194&amp;L194,_courses_lookup!$E:$E,0)),"")</f>
        <v/>
      </c>
      <c r="AG194" t="str">
        <f t="shared" ref="AG194:AG257" si="33">IF(AND(AE194&lt;&gt;"",AF194&lt;&gt;""),ROUNDUP((AF194-AE194)/7,0),"")</f>
        <v/>
      </c>
      <c r="AI194" t="str">
        <f t="shared" ref="AI194:AI257" si="34">IFERROR(IF(AG194*AH194=0,"",AG194*AH194),"")</f>
        <v/>
      </c>
      <c r="AL194" t="str">
        <f t="shared" ref="AL194:AL257" si="35">IF(AND(AJ194&lt;&gt;"",AK194&lt;&gt;""),ROUNDUP((AK194-AJ194)/7,0),"")</f>
        <v/>
      </c>
      <c r="AN194" t="str">
        <f t="shared" ref="AN194:AN257" si="36">IFERROR(IF(AL194*AM194=0,"",AL194*AM194),"")</f>
        <v/>
      </c>
      <c r="AQ194" t="str">
        <f t="shared" ref="AQ194:AQ257" si="37">IF(AND(AO194&lt;&gt;"",AP194&lt;&gt;""),ROUNDUP((AP194-AO194)/7,0),"")</f>
        <v/>
      </c>
      <c r="AR194" t="str">
        <f t="shared" ref="AR194:AR257" si="38">IFERROR(IF((AU194-(AI194+AN194))/AQ194=0,"",ROUNDUP((AU194-(AI194+AN194))/AQ194,0)),"")</f>
        <v/>
      </c>
      <c r="AS194" t="str">
        <f t="shared" ref="AS194:AS257" si="39">IFERROR(IF((AU194-(AI194+AN194))=0,"",(AU194-(AI194+AN194))),"")</f>
        <v/>
      </c>
      <c r="AT194" t="str">
        <f t="shared" ref="AT194:AT257" si="40">IF(AND(AG194="",AQ194=""),AL194,IF(SUM(AG194,AL194,AQ194)=0,"",SUM(AG194,AL194,AQ194)))</f>
        <v/>
      </c>
      <c r="BG194" t="str">
        <f t="shared" ref="BG194:BG257" si="41">IF(AD194="","",YEAR(AD194)+IF(MONTH(AD194)&gt;=5,1,0))</f>
        <v/>
      </c>
      <c r="BH194" t="str">
        <f t="shared" ref="BH194:BH257" si="42">IF(AD194="","",IF(AND(MONTH(AD194)=8,DAY(AD194)&gt;=15),"Fall",IF(MONTH(AD194)&gt;8,"Fall",IF(MONTH(AD194)=5,"Summer",IF(MONTH(AD194)=1,"Spring","")))))</f>
        <v/>
      </c>
      <c r="BL194" t="str">
        <f>IFERROR(INDEX(_names_lookup!$C:$C,MATCH(BK194,_names_lookup!$A:$A,0)),"")</f>
        <v/>
      </c>
      <c r="BM194" t="str">
        <f>IFERROR(INDEX(_names_lookup!$B:$B,MATCH(BK194,_names_lookup!$A:$A,0)),"")</f>
        <v/>
      </c>
      <c r="BS194" t="str">
        <f t="shared" ref="BS194:BS257" si="43">IFERROR(IF(BR194*AA194=0,"",BR194*AA194),"")</f>
        <v/>
      </c>
    </row>
    <row r="195" spans="15:71" x14ac:dyDescent="0.2">
      <c r="O195" t="str">
        <f>IFERROR(INDEX(_courses_lookup!$C:$C,MATCH(K195&amp;L195,_courses_lookup!$E:$E,0)),"")</f>
        <v/>
      </c>
      <c r="P195" t="str">
        <f>IFERROR(INDEX(_courses_lookup!$D:$D,MATCH(K195&amp;L195,_courses_lookup!$E:$E,0)),"")</f>
        <v/>
      </c>
      <c r="AG195" t="str">
        <f t="shared" si="33"/>
        <v/>
      </c>
      <c r="AI195" t="str">
        <f t="shared" si="34"/>
        <v/>
      </c>
      <c r="AL195" t="str">
        <f t="shared" si="35"/>
        <v/>
      </c>
      <c r="AN195" t="str">
        <f t="shared" si="36"/>
        <v/>
      </c>
      <c r="AQ195" t="str">
        <f t="shared" si="37"/>
        <v/>
      </c>
      <c r="AR195" t="str">
        <f t="shared" si="38"/>
        <v/>
      </c>
      <c r="AS195" t="str">
        <f t="shared" si="39"/>
        <v/>
      </c>
      <c r="AT195" t="str">
        <f t="shared" si="40"/>
        <v/>
      </c>
      <c r="BG195" t="str">
        <f t="shared" si="41"/>
        <v/>
      </c>
      <c r="BH195" t="str">
        <f t="shared" si="42"/>
        <v/>
      </c>
      <c r="BL195" t="str">
        <f>IFERROR(INDEX(_names_lookup!$C:$C,MATCH(BK195,_names_lookup!$A:$A,0)),"")</f>
        <v/>
      </c>
      <c r="BM195" t="str">
        <f>IFERROR(INDEX(_names_lookup!$B:$B,MATCH(BK195,_names_lookup!$A:$A,0)),"")</f>
        <v/>
      </c>
      <c r="BS195" t="str">
        <f t="shared" si="43"/>
        <v/>
      </c>
    </row>
    <row r="196" spans="15:71" x14ac:dyDescent="0.2">
      <c r="O196" t="str">
        <f>IFERROR(INDEX(_courses_lookup!$C:$C,MATCH(K196&amp;L196,_courses_lookup!$E:$E,0)),"")</f>
        <v/>
      </c>
      <c r="P196" t="str">
        <f>IFERROR(INDEX(_courses_lookup!$D:$D,MATCH(K196&amp;L196,_courses_lookup!$E:$E,0)),"")</f>
        <v/>
      </c>
      <c r="AG196" t="str">
        <f t="shared" si="33"/>
        <v/>
      </c>
      <c r="AI196" t="str">
        <f t="shared" si="34"/>
        <v/>
      </c>
      <c r="AL196" t="str">
        <f t="shared" si="35"/>
        <v/>
      </c>
      <c r="AN196" t="str">
        <f t="shared" si="36"/>
        <v/>
      </c>
      <c r="AQ196" t="str">
        <f t="shared" si="37"/>
        <v/>
      </c>
      <c r="AR196" t="str">
        <f t="shared" si="38"/>
        <v/>
      </c>
      <c r="AS196" t="str">
        <f t="shared" si="39"/>
        <v/>
      </c>
      <c r="AT196" t="str">
        <f t="shared" si="40"/>
        <v/>
      </c>
      <c r="BG196" t="str">
        <f t="shared" si="41"/>
        <v/>
      </c>
      <c r="BH196" t="str">
        <f t="shared" si="42"/>
        <v/>
      </c>
      <c r="BL196" t="str">
        <f>IFERROR(INDEX(_names_lookup!$C:$C,MATCH(BK196,_names_lookup!$A:$A,0)),"")</f>
        <v/>
      </c>
      <c r="BM196" t="str">
        <f>IFERROR(INDEX(_names_lookup!$B:$B,MATCH(BK196,_names_lookup!$A:$A,0)),"")</f>
        <v/>
      </c>
      <c r="BS196" t="str">
        <f t="shared" si="43"/>
        <v/>
      </c>
    </row>
    <row r="197" spans="15:71" x14ac:dyDescent="0.2">
      <c r="O197" t="str">
        <f>IFERROR(INDEX(_courses_lookup!$C:$C,MATCH(K197&amp;L197,_courses_lookup!$E:$E,0)),"")</f>
        <v/>
      </c>
      <c r="P197" t="str">
        <f>IFERROR(INDEX(_courses_lookup!$D:$D,MATCH(K197&amp;L197,_courses_lookup!$E:$E,0)),"")</f>
        <v/>
      </c>
      <c r="AG197" t="str">
        <f t="shared" si="33"/>
        <v/>
      </c>
      <c r="AI197" t="str">
        <f t="shared" si="34"/>
        <v/>
      </c>
      <c r="AL197" t="str">
        <f t="shared" si="35"/>
        <v/>
      </c>
      <c r="AN197" t="str">
        <f t="shared" si="36"/>
        <v/>
      </c>
      <c r="AQ197" t="str">
        <f t="shared" si="37"/>
        <v/>
      </c>
      <c r="AR197" t="str">
        <f t="shared" si="38"/>
        <v/>
      </c>
      <c r="AS197" t="str">
        <f t="shared" si="39"/>
        <v/>
      </c>
      <c r="AT197" t="str">
        <f t="shared" si="40"/>
        <v/>
      </c>
      <c r="BG197" t="str">
        <f t="shared" si="41"/>
        <v/>
      </c>
      <c r="BH197" t="str">
        <f t="shared" si="42"/>
        <v/>
      </c>
      <c r="BL197" t="str">
        <f>IFERROR(INDEX(_names_lookup!$C:$C,MATCH(BK197,_names_lookup!$A:$A,0)),"")</f>
        <v/>
      </c>
      <c r="BM197" t="str">
        <f>IFERROR(INDEX(_names_lookup!$B:$B,MATCH(BK197,_names_lookup!$A:$A,0)),"")</f>
        <v/>
      </c>
      <c r="BS197" t="str">
        <f t="shared" si="43"/>
        <v/>
      </c>
    </row>
    <row r="198" spans="15:71" x14ac:dyDescent="0.2">
      <c r="O198" t="str">
        <f>IFERROR(INDEX(_courses_lookup!$C:$C,MATCH(K198&amp;L198,_courses_lookup!$E:$E,0)),"")</f>
        <v/>
      </c>
      <c r="P198" t="str">
        <f>IFERROR(INDEX(_courses_lookup!$D:$D,MATCH(K198&amp;L198,_courses_lookup!$E:$E,0)),"")</f>
        <v/>
      </c>
      <c r="AG198" t="str">
        <f t="shared" si="33"/>
        <v/>
      </c>
      <c r="AI198" t="str">
        <f t="shared" si="34"/>
        <v/>
      </c>
      <c r="AL198" t="str">
        <f t="shared" si="35"/>
        <v/>
      </c>
      <c r="AN198" t="str">
        <f t="shared" si="36"/>
        <v/>
      </c>
      <c r="AQ198" t="str">
        <f t="shared" si="37"/>
        <v/>
      </c>
      <c r="AR198" t="str">
        <f t="shared" si="38"/>
        <v/>
      </c>
      <c r="AS198" t="str">
        <f t="shared" si="39"/>
        <v/>
      </c>
      <c r="AT198" t="str">
        <f t="shared" si="40"/>
        <v/>
      </c>
      <c r="BG198" t="str">
        <f t="shared" si="41"/>
        <v/>
      </c>
      <c r="BH198" t="str">
        <f t="shared" si="42"/>
        <v/>
      </c>
      <c r="BL198" t="str">
        <f>IFERROR(INDEX(_names_lookup!$C:$C,MATCH(BK198,_names_lookup!$A:$A,0)),"")</f>
        <v/>
      </c>
      <c r="BM198" t="str">
        <f>IFERROR(INDEX(_names_lookup!$B:$B,MATCH(BK198,_names_lookup!$A:$A,0)),"")</f>
        <v/>
      </c>
      <c r="BS198" t="str">
        <f t="shared" si="43"/>
        <v/>
      </c>
    </row>
    <row r="199" spans="15:71" x14ac:dyDescent="0.2">
      <c r="O199" t="str">
        <f>IFERROR(INDEX(_courses_lookup!$C:$C,MATCH(K199&amp;L199,_courses_lookup!$E:$E,0)),"")</f>
        <v/>
      </c>
      <c r="P199" t="str">
        <f>IFERROR(INDEX(_courses_lookup!$D:$D,MATCH(K199&amp;L199,_courses_lookup!$E:$E,0)),"")</f>
        <v/>
      </c>
      <c r="AG199" t="str">
        <f t="shared" si="33"/>
        <v/>
      </c>
      <c r="AI199" t="str">
        <f t="shared" si="34"/>
        <v/>
      </c>
      <c r="AL199" t="str">
        <f t="shared" si="35"/>
        <v/>
      </c>
      <c r="AN199" t="str">
        <f t="shared" si="36"/>
        <v/>
      </c>
      <c r="AQ199" t="str">
        <f t="shared" si="37"/>
        <v/>
      </c>
      <c r="AR199" t="str">
        <f t="shared" si="38"/>
        <v/>
      </c>
      <c r="AS199" t="str">
        <f t="shared" si="39"/>
        <v/>
      </c>
      <c r="AT199" t="str">
        <f t="shared" si="40"/>
        <v/>
      </c>
      <c r="BG199" t="str">
        <f t="shared" si="41"/>
        <v/>
      </c>
      <c r="BH199" t="str">
        <f t="shared" si="42"/>
        <v/>
      </c>
      <c r="BL199" t="str">
        <f>IFERROR(INDEX(_names_lookup!$C:$C,MATCH(BK199,_names_lookup!$A:$A,0)),"")</f>
        <v/>
      </c>
      <c r="BM199" t="str">
        <f>IFERROR(INDEX(_names_lookup!$B:$B,MATCH(BK199,_names_lookup!$A:$A,0)),"")</f>
        <v/>
      </c>
      <c r="BS199" t="str">
        <f t="shared" si="43"/>
        <v/>
      </c>
    </row>
    <row r="200" spans="15:71" x14ac:dyDescent="0.2">
      <c r="O200" t="str">
        <f>IFERROR(INDEX(_courses_lookup!$C:$C,MATCH(K200&amp;L200,_courses_lookup!$E:$E,0)),"")</f>
        <v/>
      </c>
      <c r="P200" t="str">
        <f>IFERROR(INDEX(_courses_lookup!$D:$D,MATCH(K200&amp;L200,_courses_lookup!$E:$E,0)),"")</f>
        <v/>
      </c>
      <c r="AG200" t="str">
        <f t="shared" si="33"/>
        <v/>
      </c>
      <c r="AI200" t="str">
        <f t="shared" si="34"/>
        <v/>
      </c>
      <c r="AL200" t="str">
        <f t="shared" si="35"/>
        <v/>
      </c>
      <c r="AN200" t="str">
        <f t="shared" si="36"/>
        <v/>
      </c>
      <c r="AQ200" t="str">
        <f t="shared" si="37"/>
        <v/>
      </c>
      <c r="AR200" t="str">
        <f t="shared" si="38"/>
        <v/>
      </c>
      <c r="AS200" t="str">
        <f t="shared" si="39"/>
        <v/>
      </c>
      <c r="AT200" t="str">
        <f t="shared" si="40"/>
        <v/>
      </c>
      <c r="BG200" t="str">
        <f t="shared" si="41"/>
        <v/>
      </c>
      <c r="BH200" t="str">
        <f t="shared" si="42"/>
        <v/>
      </c>
      <c r="BL200" t="str">
        <f>IFERROR(INDEX(_names_lookup!$C:$C,MATCH(BK200,_names_lookup!$A:$A,0)),"")</f>
        <v/>
      </c>
      <c r="BM200" t="str">
        <f>IFERROR(INDEX(_names_lookup!$B:$B,MATCH(BK200,_names_lookup!$A:$A,0)),"")</f>
        <v/>
      </c>
      <c r="BS200" t="str">
        <f t="shared" si="43"/>
        <v/>
      </c>
    </row>
    <row r="201" spans="15:71" x14ac:dyDescent="0.2">
      <c r="O201" t="str">
        <f>IFERROR(INDEX(_courses_lookup!$C:$C,MATCH(K201&amp;L201,_courses_lookup!$E:$E,0)),"")</f>
        <v/>
      </c>
      <c r="P201" t="str">
        <f>IFERROR(INDEX(_courses_lookup!$D:$D,MATCH(K201&amp;L201,_courses_lookup!$E:$E,0)),"")</f>
        <v/>
      </c>
      <c r="AG201" t="str">
        <f t="shared" si="33"/>
        <v/>
      </c>
      <c r="AI201" t="str">
        <f t="shared" si="34"/>
        <v/>
      </c>
      <c r="AL201" t="str">
        <f t="shared" si="35"/>
        <v/>
      </c>
      <c r="AN201" t="str">
        <f t="shared" si="36"/>
        <v/>
      </c>
      <c r="AQ201" t="str">
        <f t="shared" si="37"/>
        <v/>
      </c>
      <c r="AR201" t="str">
        <f t="shared" si="38"/>
        <v/>
      </c>
      <c r="AS201" t="str">
        <f t="shared" si="39"/>
        <v/>
      </c>
      <c r="AT201" t="str">
        <f t="shared" si="40"/>
        <v/>
      </c>
      <c r="BG201" t="str">
        <f t="shared" si="41"/>
        <v/>
      </c>
      <c r="BH201" t="str">
        <f t="shared" si="42"/>
        <v/>
      </c>
      <c r="BL201" t="str">
        <f>IFERROR(INDEX(_names_lookup!$C:$C,MATCH(BK201,_names_lookup!$A:$A,0)),"")</f>
        <v/>
      </c>
      <c r="BM201" t="str">
        <f>IFERROR(INDEX(_names_lookup!$B:$B,MATCH(BK201,_names_lookup!$A:$A,0)),"")</f>
        <v/>
      </c>
      <c r="BS201" t="str">
        <f t="shared" si="43"/>
        <v/>
      </c>
    </row>
    <row r="202" spans="15:71" x14ac:dyDescent="0.2">
      <c r="O202" t="str">
        <f>IFERROR(INDEX(_courses_lookup!$C:$C,MATCH(K202&amp;L202,_courses_lookup!$E:$E,0)),"")</f>
        <v/>
      </c>
      <c r="P202" t="str">
        <f>IFERROR(INDEX(_courses_lookup!$D:$D,MATCH(K202&amp;L202,_courses_lookup!$E:$E,0)),"")</f>
        <v/>
      </c>
      <c r="AG202" t="str">
        <f t="shared" si="33"/>
        <v/>
      </c>
      <c r="AI202" t="str">
        <f t="shared" si="34"/>
        <v/>
      </c>
      <c r="AL202" t="str">
        <f t="shared" si="35"/>
        <v/>
      </c>
      <c r="AN202" t="str">
        <f t="shared" si="36"/>
        <v/>
      </c>
      <c r="AQ202" t="str">
        <f t="shared" si="37"/>
        <v/>
      </c>
      <c r="AR202" t="str">
        <f t="shared" si="38"/>
        <v/>
      </c>
      <c r="AS202" t="str">
        <f t="shared" si="39"/>
        <v/>
      </c>
      <c r="AT202" t="str">
        <f t="shared" si="40"/>
        <v/>
      </c>
      <c r="BG202" t="str">
        <f t="shared" si="41"/>
        <v/>
      </c>
      <c r="BH202" t="str">
        <f t="shared" si="42"/>
        <v/>
      </c>
      <c r="BL202" t="str">
        <f>IFERROR(INDEX(_names_lookup!$C:$C,MATCH(BK202,_names_lookup!$A:$A,0)),"")</f>
        <v/>
      </c>
      <c r="BM202" t="str">
        <f>IFERROR(INDEX(_names_lookup!$B:$B,MATCH(BK202,_names_lookup!$A:$A,0)),"")</f>
        <v/>
      </c>
      <c r="BS202" t="str">
        <f t="shared" si="43"/>
        <v/>
      </c>
    </row>
    <row r="203" spans="15:71" x14ac:dyDescent="0.2">
      <c r="O203" t="str">
        <f>IFERROR(INDEX(_courses_lookup!$C:$C,MATCH(K203&amp;L203,_courses_lookup!$E:$E,0)),"")</f>
        <v/>
      </c>
      <c r="P203" t="str">
        <f>IFERROR(INDEX(_courses_lookup!$D:$D,MATCH(K203&amp;L203,_courses_lookup!$E:$E,0)),"")</f>
        <v/>
      </c>
      <c r="AG203" t="str">
        <f t="shared" si="33"/>
        <v/>
      </c>
      <c r="AI203" t="str">
        <f t="shared" si="34"/>
        <v/>
      </c>
      <c r="AL203" t="str">
        <f t="shared" si="35"/>
        <v/>
      </c>
      <c r="AN203" t="str">
        <f t="shared" si="36"/>
        <v/>
      </c>
      <c r="AQ203" t="str">
        <f t="shared" si="37"/>
        <v/>
      </c>
      <c r="AR203" t="str">
        <f t="shared" si="38"/>
        <v/>
      </c>
      <c r="AS203" t="str">
        <f t="shared" si="39"/>
        <v/>
      </c>
      <c r="AT203" t="str">
        <f t="shared" si="40"/>
        <v/>
      </c>
      <c r="BG203" t="str">
        <f t="shared" si="41"/>
        <v/>
      </c>
      <c r="BH203" t="str">
        <f t="shared" si="42"/>
        <v/>
      </c>
      <c r="BL203" t="str">
        <f>IFERROR(INDEX(_names_lookup!$C:$C,MATCH(BK203,_names_lookup!$A:$A,0)),"")</f>
        <v/>
      </c>
      <c r="BM203" t="str">
        <f>IFERROR(INDEX(_names_lookup!$B:$B,MATCH(BK203,_names_lookup!$A:$A,0)),"")</f>
        <v/>
      </c>
      <c r="BS203" t="str">
        <f t="shared" si="43"/>
        <v/>
      </c>
    </row>
    <row r="204" spans="15:71" x14ac:dyDescent="0.2">
      <c r="O204" t="str">
        <f>IFERROR(INDEX(_courses_lookup!$C:$C,MATCH(K204&amp;L204,_courses_lookup!$E:$E,0)),"")</f>
        <v/>
      </c>
      <c r="P204" t="str">
        <f>IFERROR(INDEX(_courses_lookup!$D:$D,MATCH(K204&amp;L204,_courses_lookup!$E:$E,0)),"")</f>
        <v/>
      </c>
      <c r="AG204" t="str">
        <f t="shared" si="33"/>
        <v/>
      </c>
      <c r="AI204" t="str">
        <f t="shared" si="34"/>
        <v/>
      </c>
      <c r="AL204" t="str">
        <f t="shared" si="35"/>
        <v/>
      </c>
      <c r="AN204" t="str">
        <f t="shared" si="36"/>
        <v/>
      </c>
      <c r="AQ204" t="str">
        <f t="shared" si="37"/>
        <v/>
      </c>
      <c r="AR204" t="str">
        <f t="shared" si="38"/>
        <v/>
      </c>
      <c r="AS204" t="str">
        <f t="shared" si="39"/>
        <v/>
      </c>
      <c r="AT204" t="str">
        <f t="shared" si="40"/>
        <v/>
      </c>
      <c r="BG204" t="str">
        <f t="shared" si="41"/>
        <v/>
      </c>
      <c r="BH204" t="str">
        <f t="shared" si="42"/>
        <v/>
      </c>
      <c r="BL204" t="str">
        <f>IFERROR(INDEX(_names_lookup!$C:$C,MATCH(BK204,_names_lookup!$A:$A,0)),"")</f>
        <v/>
      </c>
      <c r="BM204" t="str">
        <f>IFERROR(INDEX(_names_lookup!$B:$B,MATCH(BK204,_names_lookup!$A:$A,0)),"")</f>
        <v/>
      </c>
      <c r="BS204" t="str">
        <f t="shared" si="43"/>
        <v/>
      </c>
    </row>
    <row r="205" spans="15:71" x14ac:dyDescent="0.2">
      <c r="O205" t="str">
        <f>IFERROR(INDEX(_courses_lookup!$C:$C,MATCH(K205&amp;L205,_courses_lookup!$E:$E,0)),"")</f>
        <v/>
      </c>
      <c r="P205" t="str">
        <f>IFERROR(INDEX(_courses_lookup!$D:$D,MATCH(K205&amp;L205,_courses_lookup!$E:$E,0)),"")</f>
        <v/>
      </c>
      <c r="AG205" t="str">
        <f t="shared" si="33"/>
        <v/>
      </c>
      <c r="AI205" t="str">
        <f t="shared" si="34"/>
        <v/>
      </c>
      <c r="AL205" t="str">
        <f t="shared" si="35"/>
        <v/>
      </c>
      <c r="AN205" t="str">
        <f t="shared" si="36"/>
        <v/>
      </c>
      <c r="AQ205" t="str">
        <f t="shared" si="37"/>
        <v/>
      </c>
      <c r="AR205" t="str">
        <f t="shared" si="38"/>
        <v/>
      </c>
      <c r="AS205" t="str">
        <f t="shared" si="39"/>
        <v/>
      </c>
      <c r="AT205" t="str">
        <f t="shared" si="40"/>
        <v/>
      </c>
      <c r="BG205" t="str">
        <f t="shared" si="41"/>
        <v/>
      </c>
      <c r="BH205" t="str">
        <f t="shared" si="42"/>
        <v/>
      </c>
      <c r="BL205" t="str">
        <f>IFERROR(INDEX(_names_lookup!$C:$C,MATCH(BK205,_names_lookup!$A:$A,0)),"")</f>
        <v/>
      </c>
      <c r="BM205" t="str">
        <f>IFERROR(INDEX(_names_lookup!$B:$B,MATCH(BK205,_names_lookup!$A:$A,0)),"")</f>
        <v/>
      </c>
      <c r="BS205" t="str">
        <f t="shared" si="43"/>
        <v/>
      </c>
    </row>
    <row r="206" spans="15:71" x14ac:dyDescent="0.2">
      <c r="O206" t="str">
        <f>IFERROR(INDEX(_courses_lookup!$C:$C,MATCH(K206&amp;L206,_courses_lookup!$E:$E,0)),"")</f>
        <v/>
      </c>
      <c r="P206" t="str">
        <f>IFERROR(INDEX(_courses_lookup!$D:$D,MATCH(K206&amp;L206,_courses_lookup!$E:$E,0)),"")</f>
        <v/>
      </c>
      <c r="AG206" t="str">
        <f t="shared" si="33"/>
        <v/>
      </c>
      <c r="AI206" t="str">
        <f t="shared" si="34"/>
        <v/>
      </c>
      <c r="AL206" t="str">
        <f t="shared" si="35"/>
        <v/>
      </c>
      <c r="AN206" t="str">
        <f t="shared" si="36"/>
        <v/>
      </c>
      <c r="AQ206" t="str">
        <f t="shared" si="37"/>
        <v/>
      </c>
      <c r="AR206" t="str">
        <f t="shared" si="38"/>
        <v/>
      </c>
      <c r="AS206" t="str">
        <f t="shared" si="39"/>
        <v/>
      </c>
      <c r="AT206" t="str">
        <f t="shared" si="40"/>
        <v/>
      </c>
      <c r="BG206" t="str">
        <f t="shared" si="41"/>
        <v/>
      </c>
      <c r="BH206" t="str">
        <f t="shared" si="42"/>
        <v/>
      </c>
      <c r="BL206" t="str">
        <f>IFERROR(INDEX(_names_lookup!$C:$C,MATCH(BK206,_names_lookup!$A:$A,0)),"")</f>
        <v/>
      </c>
      <c r="BM206" t="str">
        <f>IFERROR(INDEX(_names_lookup!$B:$B,MATCH(BK206,_names_lookup!$A:$A,0)),"")</f>
        <v/>
      </c>
      <c r="BS206" t="str">
        <f t="shared" si="43"/>
        <v/>
      </c>
    </row>
    <row r="207" spans="15:71" x14ac:dyDescent="0.2">
      <c r="O207" t="str">
        <f>IFERROR(INDEX(_courses_lookup!$C:$C,MATCH(K207&amp;L207,_courses_lookup!$E:$E,0)),"")</f>
        <v/>
      </c>
      <c r="P207" t="str">
        <f>IFERROR(INDEX(_courses_lookup!$D:$D,MATCH(K207&amp;L207,_courses_lookup!$E:$E,0)),"")</f>
        <v/>
      </c>
      <c r="AG207" t="str">
        <f t="shared" si="33"/>
        <v/>
      </c>
      <c r="AI207" t="str">
        <f t="shared" si="34"/>
        <v/>
      </c>
      <c r="AL207" t="str">
        <f t="shared" si="35"/>
        <v/>
      </c>
      <c r="AN207" t="str">
        <f t="shared" si="36"/>
        <v/>
      </c>
      <c r="AQ207" t="str">
        <f t="shared" si="37"/>
        <v/>
      </c>
      <c r="AR207" t="str">
        <f t="shared" si="38"/>
        <v/>
      </c>
      <c r="AS207" t="str">
        <f t="shared" si="39"/>
        <v/>
      </c>
      <c r="AT207" t="str">
        <f t="shared" si="40"/>
        <v/>
      </c>
      <c r="BG207" t="str">
        <f t="shared" si="41"/>
        <v/>
      </c>
      <c r="BH207" t="str">
        <f t="shared" si="42"/>
        <v/>
      </c>
      <c r="BL207" t="str">
        <f>IFERROR(INDEX(_names_lookup!$C:$C,MATCH(BK207,_names_lookup!$A:$A,0)),"")</f>
        <v/>
      </c>
      <c r="BM207" t="str">
        <f>IFERROR(INDEX(_names_lookup!$B:$B,MATCH(BK207,_names_lookup!$A:$A,0)),"")</f>
        <v/>
      </c>
      <c r="BS207" t="str">
        <f t="shared" si="43"/>
        <v/>
      </c>
    </row>
    <row r="208" spans="15:71" x14ac:dyDescent="0.2">
      <c r="O208" t="str">
        <f>IFERROR(INDEX(_courses_lookup!$C:$C,MATCH(K208&amp;L208,_courses_lookup!$E:$E,0)),"")</f>
        <v/>
      </c>
      <c r="P208" t="str">
        <f>IFERROR(INDEX(_courses_lookup!$D:$D,MATCH(K208&amp;L208,_courses_lookup!$E:$E,0)),"")</f>
        <v/>
      </c>
      <c r="AG208" t="str">
        <f t="shared" si="33"/>
        <v/>
      </c>
      <c r="AI208" t="str">
        <f t="shared" si="34"/>
        <v/>
      </c>
      <c r="AL208" t="str">
        <f t="shared" si="35"/>
        <v/>
      </c>
      <c r="AN208" t="str">
        <f t="shared" si="36"/>
        <v/>
      </c>
      <c r="AQ208" t="str">
        <f t="shared" si="37"/>
        <v/>
      </c>
      <c r="AR208" t="str">
        <f t="shared" si="38"/>
        <v/>
      </c>
      <c r="AS208" t="str">
        <f t="shared" si="39"/>
        <v/>
      </c>
      <c r="AT208" t="str">
        <f t="shared" si="40"/>
        <v/>
      </c>
      <c r="BG208" t="str">
        <f t="shared" si="41"/>
        <v/>
      </c>
      <c r="BH208" t="str">
        <f t="shared" si="42"/>
        <v/>
      </c>
      <c r="BL208" t="str">
        <f>IFERROR(INDEX(_names_lookup!$C:$C,MATCH(BK208,_names_lookup!$A:$A,0)),"")</f>
        <v/>
      </c>
      <c r="BM208" t="str">
        <f>IFERROR(INDEX(_names_lookup!$B:$B,MATCH(BK208,_names_lookup!$A:$A,0)),"")</f>
        <v/>
      </c>
      <c r="BS208" t="str">
        <f t="shared" si="43"/>
        <v/>
      </c>
    </row>
    <row r="209" spans="15:71" x14ac:dyDescent="0.2">
      <c r="O209" t="str">
        <f>IFERROR(INDEX(_courses_lookup!$C:$C,MATCH(K209&amp;L209,_courses_lookup!$E:$E,0)),"")</f>
        <v/>
      </c>
      <c r="P209" t="str">
        <f>IFERROR(INDEX(_courses_lookup!$D:$D,MATCH(K209&amp;L209,_courses_lookup!$E:$E,0)),"")</f>
        <v/>
      </c>
      <c r="AG209" t="str">
        <f t="shared" si="33"/>
        <v/>
      </c>
      <c r="AI209" t="str">
        <f t="shared" si="34"/>
        <v/>
      </c>
      <c r="AL209" t="str">
        <f t="shared" si="35"/>
        <v/>
      </c>
      <c r="AN209" t="str">
        <f t="shared" si="36"/>
        <v/>
      </c>
      <c r="AQ209" t="str">
        <f t="shared" si="37"/>
        <v/>
      </c>
      <c r="AR209" t="str">
        <f t="shared" si="38"/>
        <v/>
      </c>
      <c r="AS209" t="str">
        <f t="shared" si="39"/>
        <v/>
      </c>
      <c r="AT209" t="str">
        <f t="shared" si="40"/>
        <v/>
      </c>
      <c r="BG209" t="str">
        <f t="shared" si="41"/>
        <v/>
      </c>
      <c r="BH209" t="str">
        <f t="shared" si="42"/>
        <v/>
      </c>
      <c r="BL209" t="str">
        <f>IFERROR(INDEX(_names_lookup!$C:$C,MATCH(BK209,_names_lookup!$A:$A,0)),"")</f>
        <v/>
      </c>
      <c r="BM209" t="str">
        <f>IFERROR(INDEX(_names_lookup!$B:$B,MATCH(BK209,_names_lookup!$A:$A,0)),"")</f>
        <v/>
      </c>
      <c r="BS209" t="str">
        <f t="shared" si="43"/>
        <v/>
      </c>
    </row>
    <row r="210" spans="15:71" x14ac:dyDescent="0.2">
      <c r="O210" t="str">
        <f>IFERROR(INDEX(_courses_lookup!$C:$C,MATCH(K210&amp;L210,_courses_lookup!$E:$E,0)),"")</f>
        <v/>
      </c>
      <c r="P210" t="str">
        <f>IFERROR(INDEX(_courses_lookup!$D:$D,MATCH(K210&amp;L210,_courses_lookup!$E:$E,0)),"")</f>
        <v/>
      </c>
      <c r="AG210" t="str">
        <f t="shared" si="33"/>
        <v/>
      </c>
      <c r="AI210" t="str">
        <f t="shared" si="34"/>
        <v/>
      </c>
      <c r="AL210" t="str">
        <f t="shared" si="35"/>
        <v/>
      </c>
      <c r="AN210" t="str">
        <f t="shared" si="36"/>
        <v/>
      </c>
      <c r="AQ210" t="str">
        <f t="shared" si="37"/>
        <v/>
      </c>
      <c r="AR210" t="str">
        <f t="shared" si="38"/>
        <v/>
      </c>
      <c r="AS210" t="str">
        <f t="shared" si="39"/>
        <v/>
      </c>
      <c r="AT210" t="str">
        <f t="shared" si="40"/>
        <v/>
      </c>
      <c r="BG210" t="str">
        <f t="shared" si="41"/>
        <v/>
      </c>
      <c r="BH210" t="str">
        <f t="shared" si="42"/>
        <v/>
      </c>
      <c r="BL210" t="str">
        <f>IFERROR(INDEX(_names_lookup!$C:$C,MATCH(BK210,_names_lookup!$A:$A,0)),"")</f>
        <v/>
      </c>
      <c r="BM210" t="str">
        <f>IFERROR(INDEX(_names_lookup!$B:$B,MATCH(BK210,_names_lookup!$A:$A,0)),"")</f>
        <v/>
      </c>
      <c r="BS210" t="str">
        <f t="shared" si="43"/>
        <v/>
      </c>
    </row>
    <row r="211" spans="15:71" x14ac:dyDescent="0.2">
      <c r="O211" t="str">
        <f>IFERROR(INDEX(_courses_lookup!$C:$C,MATCH(K211&amp;L211,_courses_lookup!$E:$E,0)),"")</f>
        <v/>
      </c>
      <c r="P211" t="str">
        <f>IFERROR(INDEX(_courses_lookup!$D:$D,MATCH(K211&amp;L211,_courses_lookup!$E:$E,0)),"")</f>
        <v/>
      </c>
      <c r="AG211" t="str">
        <f t="shared" si="33"/>
        <v/>
      </c>
      <c r="AI211" t="str">
        <f t="shared" si="34"/>
        <v/>
      </c>
      <c r="AL211" t="str">
        <f t="shared" si="35"/>
        <v/>
      </c>
      <c r="AN211" t="str">
        <f t="shared" si="36"/>
        <v/>
      </c>
      <c r="AQ211" t="str">
        <f t="shared" si="37"/>
        <v/>
      </c>
      <c r="AR211" t="str">
        <f t="shared" si="38"/>
        <v/>
      </c>
      <c r="AS211" t="str">
        <f t="shared" si="39"/>
        <v/>
      </c>
      <c r="AT211" t="str">
        <f t="shared" si="40"/>
        <v/>
      </c>
      <c r="BG211" t="str">
        <f t="shared" si="41"/>
        <v/>
      </c>
      <c r="BH211" t="str">
        <f t="shared" si="42"/>
        <v/>
      </c>
      <c r="BL211" t="str">
        <f>IFERROR(INDEX(_names_lookup!$C:$C,MATCH(BK211,_names_lookup!$A:$A,0)),"")</f>
        <v/>
      </c>
      <c r="BM211" t="str">
        <f>IFERROR(INDEX(_names_lookup!$B:$B,MATCH(BK211,_names_lookup!$A:$A,0)),"")</f>
        <v/>
      </c>
      <c r="BS211" t="str">
        <f t="shared" si="43"/>
        <v/>
      </c>
    </row>
    <row r="212" spans="15:71" x14ac:dyDescent="0.2">
      <c r="O212" t="str">
        <f>IFERROR(INDEX(_courses_lookup!$C:$C,MATCH(K212&amp;L212,_courses_lookup!$E:$E,0)),"")</f>
        <v/>
      </c>
      <c r="P212" t="str">
        <f>IFERROR(INDEX(_courses_lookup!$D:$D,MATCH(K212&amp;L212,_courses_lookup!$E:$E,0)),"")</f>
        <v/>
      </c>
      <c r="AG212" t="str">
        <f t="shared" si="33"/>
        <v/>
      </c>
      <c r="AI212" t="str">
        <f t="shared" si="34"/>
        <v/>
      </c>
      <c r="AL212" t="str">
        <f t="shared" si="35"/>
        <v/>
      </c>
      <c r="AN212" t="str">
        <f t="shared" si="36"/>
        <v/>
      </c>
      <c r="AQ212" t="str">
        <f t="shared" si="37"/>
        <v/>
      </c>
      <c r="AR212" t="str">
        <f t="shared" si="38"/>
        <v/>
      </c>
      <c r="AS212" t="str">
        <f t="shared" si="39"/>
        <v/>
      </c>
      <c r="AT212" t="str">
        <f t="shared" si="40"/>
        <v/>
      </c>
      <c r="BG212" t="str">
        <f t="shared" si="41"/>
        <v/>
      </c>
      <c r="BH212" t="str">
        <f t="shared" si="42"/>
        <v/>
      </c>
      <c r="BL212" t="str">
        <f>IFERROR(INDEX(_names_lookup!$C:$C,MATCH(BK212,_names_lookup!$A:$A,0)),"")</f>
        <v/>
      </c>
      <c r="BM212" t="str">
        <f>IFERROR(INDEX(_names_lookup!$B:$B,MATCH(BK212,_names_lookup!$A:$A,0)),"")</f>
        <v/>
      </c>
      <c r="BS212" t="str">
        <f t="shared" si="43"/>
        <v/>
      </c>
    </row>
    <row r="213" spans="15:71" x14ac:dyDescent="0.2">
      <c r="O213" t="str">
        <f>IFERROR(INDEX(_courses_lookup!$C:$C,MATCH(K213&amp;L213,_courses_lookup!$E:$E,0)),"")</f>
        <v/>
      </c>
      <c r="P213" t="str">
        <f>IFERROR(INDEX(_courses_lookup!$D:$D,MATCH(K213&amp;L213,_courses_lookup!$E:$E,0)),"")</f>
        <v/>
      </c>
      <c r="AG213" t="str">
        <f t="shared" si="33"/>
        <v/>
      </c>
      <c r="AI213" t="str">
        <f t="shared" si="34"/>
        <v/>
      </c>
      <c r="AL213" t="str">
        <f t="shared" si="35"/>
        <v/>
      </c>
      <c r="AN213" t="str">
        <f t="shared" si="36"/>
        <v/>
      </c>
      <c r="AQ213" t="str">
        <f t="shared" si="37"/>
        <v/>
      </c>
      <c r="AR213" t="str">
        <f t="shared" si="38"/>
        <v/>
      </c>
      <c r="AS213" t="str">
        <f t="shared" si="39"/>
        <v/>
      </c>
      <c r="AT213" t="str">
        <f t="shared" si="40"/>
        <v/>
      </c>
      <c r="BG213" t="str">
        <f t="shared" si="41"/>
        <v/>
      </c>
      <c r="BH213" t="str">
        <f t="shared" si="42"/>
        <v/>
      </c>
      <c r="BL213" t="str">
        <f>IFERROR(INDEX(_names_lookup!$C:$C,MATCH(BK213,_names_lookup!$A:$A,0)),"")</f>
        <v/>
      </c>
      <c r="BM213" t="str">
        <f>IFERROR(INDEX(_names_lookup!$B:$B,MATCH(BK213,_names_lookup!$A:$A,0)),"")</f>
        <v/>
      </c>
      <c r="BS213" t="str">
        <f t="shared" si="43"/>
        <v/>
      </c>
    </row>
    <row r="214" spans="15:71" x14ac:dyDescent="0.2">
      <c r="O214" t="str">
        <f>IFERROR(INDEX(_courses_lookup!$C:$C,MATCH(K214&amp;L214,_courses_lookup!$E:$E,0)),"")</f>
        <v/>
      </c>
      <c r="P214" t="str">
        <f>IFERROR(INDEX(_courses_lookup!$D:$D,MATCH(K214&amp;L214,_courses_lookup!$E:$E,0)),"")</f>
        <v/>
      </c>
      <c r="AG214" t="str">
        <f t="shared" si="33"/>
        <v/>
      </c>
      <c r="AI214" t="str">
        <f t="shared" si="34"/>
        <v/>
      </c>
      <c r="AL214" t="str">
        <f t="shared" si="35"/>
        <v/>
      </c>
      <c r="AN214" t="str">
        <f t="shared" si="36"/>
        <v/>
      </c>
      <c r="AQ214" t="str">
        <f t="shared" si="37"/>
        <v/>
      </c>
      <c r="AR214" t="str">
        <f t="shared" si="38"/>
        <v/>
      </c>
      <c r="AS214" t="str">
        <f t="shared" si="39"/>
        <v/>
      </c>
      <c r="AT214" t="str">
        <f t="shared" si="40"/>
        <v/>
      </c>
      <c r="BG214" t="str">
        <f t="shared" si="41"/>
        <v/>
      </c>
      <c r="BH214" t="str">
        <f t="shared" si="42"/>
        <v/>
      </c>
      <c r="BL214" t="str">
        <f>IFERROR(INDEX(_names_lookup!$C:$C,MATCH(BK214,_names_lookup!$A:$A,0)),"")</f>
        <v/>
      </c>
      <c r="BM214" t="str">
        <f>IFERROR(INDEX(_names_lookup!$B:$B,MATCH(BK214,_names_lookup!$A:$A,0)),"")</f>
        <v/>
      </c>
      <c r="BS214" t="str">
        <f t="shared" si="43"/>
        <v/>
      </c>
    </row>
    <row r="215" spans="15:71" x14ac:dyDescent="0.2">
      <c r="O215" t="str">
        <f>IFERROR(INDEX(_courses_lookup!$C:$C,MATCH(K215&amp;L215,_courses_lookup!$E:$E,0)),"")</f>
        <v/>
      </c>
      <c r="P215" t="str">
        <f>IFERROR(INDEX(_courses_lookup!$D:$D,MATCH(K215&amp;L215,_courses_lookup!$E:$E,0)),"")</f>
        <v/>
      </c>
      <c r="AG215" t="str">
        <f t="shared" si="33"/>
        <v/>
      </c>
      <c r="AI215" t="str">
        <f t="shared" si="34"/>
        <v/>
      </c>
      <c r="AL215" t="str">
        <f t="shared" si="35"/>
        <v/>
      </c>
      <c r="AN215" t="str">
        <f t="shared" si="36"/>
        <v/>
      </c>
      <c r="AQ215" t="str">
        <f t="shared" si="37"/>
        <v/>
      </c>
      <c r="AR215" t="str">
        <f t="shared" si="38"/>
        <v/>
      </c>
      <c r="AS215" t="str">
        <f t="shared" si="39"/>
        <v/>
      </c>
      <c r="AT215" t="str">
        <f t="shared" si="40"/>
        <v/>
      </c>
      <c r="BG215" t="str">
        <f t="shared" si="41"/>
        <v/>
      </c>
      <c r="BH215" t="str">
        <f t="shared" si="42"/>
        <v/>
      </c>
      <c r="BL215" t="str">
        <f>IFERROR(INDEX(_names_lookup!$C:$C,MATCH(BK215,_names_lookup!$A:$A,0)),"")</f>
        <v/>
      </c>
      <c r="BM215" t="str">
        <f>IFERROR(INDEX(_names_lookup!$B:$B,MATCH(BK215,_names_lookup!$A:$A,0)),"")</f>
        <v/>
      </c>
      <c r="BS215" t="str">
        <f t="shared" si="43"/>
        <v/>
      </c>
    </row>
    <row r="216" spans="15:71" x14ac:dyDescent="0.2">
      <c r="O216" t="str">
        <f>IFERROR(INDEX(_courses_lookup!$C:$C,MATCH(K216&amp;L216,_courses_lookup!$E:$E,0)),"")</f>
        <v/>
      </c>
      <c r="P216" t="str">
        <f>IFERROR(INDEX(_courses_lookup!$D:$D,MATCH(K216&amp;L216,_courses_lookup!$E:$E,0)),"")</f>
        <v/>
      </c>
      <c r="AG216" t="str">
        <f t="shared" si="33"/>
        <v/>
      </c>
      <c r="AI216" t="str">
        <f t="shared" si="34"/>
        <v/>
      </c>
      <c r="AL216" t="str">
        <f t="shared" si="35"/>
        <v/>
      </c>
      <c r="AN216" t="str">
        <f t="shared" si="36"/>
        <v/>
      </c>
      <c r="AQ216" t="str">
        <f t="shared" si="37"/>
        <v/>
      </c>
      <c r="AR216" t="str">
        <f t="shared" si="38"/>
        <v/>
      </c>
      <c r="AS216" t="str">
        <f t="shared" si="39"/>
        <v/>
      </c>
      <c r="AT216" t="str">
        <f t="shared" si="40"/>
        <v/>
      </c>
      <c r="BG216" t="str">
        <f t="shared" si="41"/>
        <v/>
      </c>
      <c r="BH216" t="str">
        <f t="shared" si="42"/>
        <v/>
      </c>
      <c r="BL216" t="str">
        <f>IFERROR(INDEX(_names_lookup!$C:$C,MATCH(BK216,_names_lookup!$A:$A,0)),"")</f>
        <v/>
      </c>
      <c r="BM216" t="str">
        <f>IFERROR(INDEX(_names_lookup!$B:$B,MATCH(BK216,_names_lookup!$A:$A,0)),"")</f>
        <v/>
      </c>
      <c r="BS216" t="str">
        <f t="shared" si="43"/>
        <v/>
      </c>
    </row>
    <row r="217" spans="15:71" x14ac:dyDescent="0.2">
      <c r="O217" t="str">
        <f>IFERROR(INDEX(_courses_lookup!$C:$C,MATCH(K217&amp;L217,_courses_lookup!$E:$E,0)),"")</f>
        <v/>
      </c>
      <c r="P217" t="str">
        <f>IFERROR(INDEX(_courses_lookup!$D:$D,MATCH(K217&amp;L217,_courses_lookup!$E:$E,0)),"")</f>
        <v/>
      </c>
      <c r="AG217" t="str">
        <f t="shared" si="33"/>
        <v/>
      </c>
      <c r="AI217" t="str">
        <f t="shared" si="34"/>
        <v/>
      </c>
      <c r="AL217" t="str">
        <f t="shared" si="35"/>
        <v/>
      </c>
      <c r="AN217" t="str">
        <f t="shared" si="36"/>
        <v/>
      </c>
      <c r="AQ217" t="str">
        <f t="shared" si="37"/>
        <v/>
      </c>
      <c r="AR217" t="str">
        <f t="shared" si="38"/>
        <v/>
      </c>
      <c r="AS217" t="str">
        <f t="shared" si="39"/>
        <v/>
      </c>
      <c r="AT217" t="str">
        <f t="shared" si="40"/>
        <v/>
      </c>
      <c r="BG217" t="str">
        <f t="shared" si="41"/>
        <v/>
      </c>
      <c r="BH217" t="str">
        <f t="shared" si="42"/>
        <v/>
      </c>
      <c r="BL217" t="str">
        <f>IFERROR(INDEX(_names_lookup!$C:$C,MATCH(BK217,_names_lookup!$A:$A,0)),"")</f>
        <v/>
      </c>
      <c r="BM217" t="str">
        <f>IFERROR(INDEX(_names_lookup!$B:$B,MATCH(BK217,_names_lookup!$A:$A,0)),"")</f>
        <v/>
      </c>
      <c r="BS217" t="str">
        <f t="shared" si="43"/>
        <v/>
      </c>
    </row>
    <row r="218" spans="15:71" x14ac:dyDescent="0.2">
      <c r="O218" t="str">
        <f>IFERROR(INDEX(_courses_lookup!$C:$C,MATCH(K218&amp;L218,_courses_lookup!$E:$E,0)),"")</f>
        <v/>
      </c>
      <c r="P218" t="str">
        <f>IFERROR(INDEX(_courses_lookup!$D:$D,MATCH(K218&amp;L218,_courses_lookup!$E:$E,0)),"")</f>
        <v/>
      </c>
      <c r="AG218" t="str">
        <f t="shared" si="33"/>
        <v/>
      </c>
      <c r="AI218" t="str">
        <f t="shared" si="34"/>
        <v/>
      </c>
      <c r="AL218" t="str">
        <f t="shared" si="35"/>
        <v/>
      </c>
      <c r="AN218" t="str">
        <f t="shared" si="36"/>
        <v/>
      </c>
      <c r="AQ218" t="str">
        <f t="shared" si="37"/>
        <v/>
      </c>
      <c r="AR218" t="str">
        <f t="shared" si="38"/>
        <v/>
      </c>
      <c r="AS218" t="str">
        <f t="shared" si="39"/>
        <v/>
      </c>
      <c r="AT218" t="str">
        <f t="shared" si="40"/>
        <v/>
      </c>
      <c r="BG218" t="str">
        <f t="shared" si="41"/>
        <v/>
      </c>
      <c r="BH218" t="str">
        <f t="shared" si="42"/>
        <v/>
      </c>
      <c r="BL218" t="str">
        <f>IFERROR(INDEX(_names_lookup!$C:$C,MATCH(BK218,_names_lookup!$A:$A,0)),"")</f>
        <v/>
      </c>
      <c r="BM218" t="str">
        <f>IFERROR(INDEX(_names_lookup!$B:$B,MATCH(BK218,_names_lookup!$A:$A,0)),"")</f>
        <v/>
      </c>
      <c r="BS218" t="str">
        <f t="shared" si="43"/>
        <v/>
      </c>
    </row>
    <row r="219" spans="15:71" x14ac:dyDescent="0.2">
      <c r="O219" t="str">
        <f>IFERROR(INDEX(_courses_lookup!$C:$C,MATCH(K219&amp;L219,_courses_lookup!$E:$E,0)),"")</f>
        <v/>
      </c>
      <c r="P219" t="str">
        <f>IFERROR(INDEX(_courses_lookup!$D:$D,MATCH(K219&amp;L219,_courses_lookup!$E:$E,0)),"")</f>
        <v/>
      </c>
      <c r="AG219" t="str">
        <f t="shared" si="33"/>
        <v/>
      </c>
      <c r="AI219" t="str">
        <f t="shared" si="34"/>
        <v/>
      </c>
      <c r="AL219" t="str">
        <f t="shared" si="35"/>
        <v/>
      </c>
      <c r="AN219" t="str">
        <f t="shared" si="36"/>
        <v/>
      </c>
      <c r="AQ219" t="str">
        <f t="shared" si="37"/>
        <v/>
      </c>
      <c r="AR219" t="str">
        <f t="shared" si="38"/>
        <v/>
      </c>
      <c r="AS219" t="str">
        <f t="shared" si="39"/>
        <v/>
      </c>
      <c r="AT219" t="str">
        <f t="shared" si="40"/>
        <v/>
      </c>
      <c r="BG219" t="str">
        <f t="shared" si="41"/>
        <v/>
      </c>
      <c r="BH219" t="str">
        <f t="shared" si="42"/>
        <v/>
      </c>
      <c r="BL219" t="str">
        <f>IFERROR(INDEX(_names_lookup!$C:$C,MATCH(BK219,_names_lookup!$A:$A,0)),"")</f>
        <v/>
      </c>
      <c r="BM219" t="str">
        <f>IFERROR(INDEX(_names_lookup!$B:$B,MATCH(BK219,_names_lookup!$A:$A,0)),"")</f>
        <v/>
      </c>
      <c r="BS219" t="str">
        <f t="shared" si="43"/>
        <v/>
      </c>
    </row>
    <row r="220" spans="15:71" x14ac:dyDescent="0.2">
      <c r="O220" t="str">
        <f>IFERROR(INDEX(_courses_lookup!$C:$C,MATCH(K220&amp;L220,_courses_lookup!$E:$E,0)),"")</f>
        <v/>
      </c>
      <c r="P220" t="str">
        <f>IFERROR(INDEX(_courses_lookup!$D:$D,MATCH(K220&amp;L220,_courses_lookup!$E:$E,0)),"")</f>
        <v/>
      </c>
      <c r="AG220" t="str">
        <f t="shared" si="33"/>
        <v/>
      </c>
      <c r="AI220" t="str">
        <f t="shared" si="34"/>
        <v/>
      </c>
      <c r="AL220" t="str">
        <f t="shared" si="35"/>
        <v/>
      </c>
      <c r="AN220" t="str">
        <f t="shared" si="36"/>
        <v/>
      </c>
      <c r="AQ220" t="str">
        <f t="shared" si="37"/>
        <v/>
      </c>
      <c r="AR220" t="str">
        <f t="shared" si="38"/>
        <v/>
      </c>
      <c r="AS220" t="str">
        <f t="shared" si="39"/>
        <v/>
      </c>
      <c r="AT220" t="str">
        <f t="shared" si="40"/>
        <v/>
      </c>
      <c r="BG220" t="str">
        <f t="shared" si="41"/>
        <v/>
      </c>
      <c r="BH220" t="str">
        <f t="shared" si="42"/>
        <v/>
      </c>
      <c r="BL220" t="str">
        <f>IFERROR(INDEX(_names_lookup!$C:$C,MATCH(BK220,_names_lookup!$A:$A,0)),"")</f>
        <v/>
      </c>
      <c r="BM220" t="str">
        <f>IFERROR(INDEX(_names_lookup!$B:$B,MATCH(BK220,_names_lookup!$A:$A,0)),"")</f>
        <v/>
      </c>
      <c r="BS220" t="str">
        <f t="shared" si="43"/>
        <v/>
      </c>
    </row>
    <row r="221" spans="15:71" x14ac:dyDescent="0.2">
      <c r="O221" t="str">
        <f>IFERROR(INDEX(_courses_lookup!$C:$C,MATCH(K221&amp;L221,_courses_lookup!$E:$E,0)),"")</f>
        <v/>
      </c>
      <c r="P221" t="str">
        <f>IFERROR(INDEX(_courses_lookup!$D:$D,MATCH(K221&amp;L221,_courses_lookup!$E:$E,0)),"")</f>
        <v/>
      </c>
      <c r="AG221" t="str">
        <f t="shared" si="33"/>
        <v/>
      </c>
      <c r="AI221" t="str">
        <f t="shared" si="34"/>
        <v/>
      </c>
      <c r="AL221" t="str">
        <f t="shared" si="35"/>
        <v/>
      </c>
      <c r="AN221" t="str">
        <f t="shared" si="36"/>
        <v/>
      </c>
      <c r="AQ221" t="str">
        <f t="shared" si="37"/>
        <v/>
      </c>
      <c r="AR221" t="str">
        <f t="shared" si="38"/>
        <v/>
      </c>
      <c r="AS221" t="str">
        <f t="shared" si="39"/>
        <v/>
      </c>
      <c r="AT221" t="str">
        <f t="shared" si="40"/>
        <v/>
      </c>
      <c r="BG221" t="str">
        <f t="shared" si="41"/>
        <v/>
      </c>
      <c r="BH221" t="str">
        <f t="shared" si="42"/>
        <v/>
      </c>
      <c r="BL221" t="str">
        <f>IFERROR(INDEX(_names_lookup!$C:$C,MATCH(BK221,_names_lookup!$A:$A,0)),"")</f>
        <v/>
      </c>
      <c r="BM221" t="str">
        <f>IFERROR(INDEX(_names_lookup!$B:$B,MATCH(BK221,_names_lookup!$A:$A,0)),"")</f>
        <v/>
      </c>
      <c r="BS221" t="str">
        <f t="shared" si="43"/>
        <v/>
      </c>
    </row>
    <row r="222" spans="15:71" x14ac:dyDescent="0.2">
      <c r="O222" t="str">
        <f>IFERROR(INDEX(_courses_lookup!$C:$C,MATCH(K222&amp;L222,_courses_lookup!$E:$E,0)),"")</f>
        <v/>
      </c>
      <c r="P222" t="str">
        <f>IFERROR(INDEX(_courses_lookup!$D:$D,MATCH(K222&amp;L222,_courses_lookup!$E:$E,0)),"")</f>
        <v/>
      </c>
      <c r="AG222" t="str">
        <f t="shared" si="33"/>
        <v/>
      </c>
      <c r="AI222" t="str">
        <f t="shared" si="34"/>
        <v/>
      </c>
      <c r="AL222" t="str">
        <f t="shared" si="35"/>
        <v/>
      </c>
      <c r="AN222" t="str">
        <f t="shared" si="36"/>
        <v/>
      </c>
      <c r="AQ222" t="str">
        <f t="shared" si="37"/>
        <v/>
      </c>
      <c r="AR222" t="str">
        <f t="shared" si="38"/>
        <v/>
      </c>
      <c r="AS222" t="str">
        <f t="shared" si="39"/>
        <v/>
      </c>
      <c r="AT222" t="str">
        <f t="shared" si="40"/>
        <v/>
      </c>
      <c r="BG222" t="str">
        <f t="shared" si="41"/>
        <v/>
      </c>
      <c r="BH222" t="str">
        <f t="shared" si="42"/>
        <v/>
      </c>
      <c r="BL222" t="str">
        <f>IFERROR(INDEX(_names_lookup!$C:$C,MATCH(BK222,_names_lookup!$A:$A,0)),"")</f>
        <v/>
      </c>
      <c r="BM222" t="str">
        <f>IFERROR(INDEX(_names_lookup!$B:$B,MATCH(BK222,_names_lookup!$A:$A,0)),"")</f>
        <v/>
      </c>
      <c r="BS222" t="str">
        <f t="shared" si="43"/>
        <v/>
      </c>
    </row>
    <row r="223" spans="15:71" x14ac:dyDescent="0.2">
      <c r="O223" t="str">
        <f>IFERROR(INDEX(_courses_lookup!$C:$C,MATCH(K223&amp;L223,_courses_lookup!$E:$E,0)),"")</f>
        <v/>
      </c>
      <c r="P223" t="str">
        <f>IFERROR(INDEX(_courses_lookup!$D:$D,MATCH(K223&amp;L223,_courses_lookup!$E:$E,0)),"")</f>
        <v/>
      </c>
      <c r="AG223" t="str">
        <f t="shared" si="33"/>
        <v/>
      </c>
      <c r="AI223" t="str">
        <f t="shared" si="34"/>
        <v/>
      </c>
      <c r="AL223" t="str">
        <f t="shared" si="35"/>
        <v/>
      </c>
      <c r="AN223" t="str">
        <f t="shared" si="36"/>
        <v/>
      </c>
      <c r="AQ223" t="str">
        <f t="shared" si="37"/>
        <v/>
      </c>
      <c r="AR223" t="str">
        <f t="shared" si="38"/>
        <v/>
      </c>
      <c r="AS223" t="str">
        <f t="shared" si="39"/>
        <v/>
      </c>
      <c r="AT223" t="str">
        <f t="shared" si="40"/>
        <v/>
      </c>
      <c r="BG223" t="str">
        <f t="shared" si="41"/>
        <v/>
      </c>
      <c r="BH223" t="str">
        <f t="shared" si="42"/>
        <v/>
      </c>
      <c r="BL223" t="str">
        <f>IFERROR(INDEX(_names_lookup!$C:$C,MATCH(BK223,_names_lookup!$A:$A,0)),"")</f>
        <v/>
      </c>
      <c r="BM223" t="str">
        <f>IFERROR(INDEX(_names_lookup!$B:$B,MATCH(BK223,_names_lookup!$A:$A,0)),"")</f>
        <v/>
      </c>
      <c r="BS223" t="str">
        <f t="shared" si="43"/>
        <v/>
      </c>
    </row>
    <row r="224" spans="15:71" x14ac:dyDescent="0.2">
      <c r="O224" t="str">
        <f>IFERROR(INDEX(_courses_lookup!$C:$C,MATCH(K224&amp;L224,_courses_lookup!$E:$E,0)),"")</f>
        <v/>
      </c>
      <c r="P224" t="str">
        <f>IFERROR(INDEX(_courses_lookup!$D:$D,MATCH(K224&amp;L224,_courses_lookup!$E:$E,0)),"")</f>
        <v/>
      </c>
      <c r="AG224" t="str">
        <f t="shared" si="33"/>
        <v/>
      </c>
      <c r="AI224" t="str">
        <f t="shared" si="34"/>
        <v/>
      </c>
      <c r="AL224" t="str">
        <f t="shared" si="35"/>
        <v/>
      </c>
      <c r="AN224" t="str">
        <f t="shared" si="36"/>
        <v/>
      </c>
      <c r="AQ224" t="str">
        <f t="shared" si="37"/>
        <v/>
      </c>
      <c r="AR224" t="str">
        <f t="shared" si="38"/>
        <v/>
      </c>
      <c r="AS224" t="str">
        <f t="shared" si="39"/>
        <v/>
      </c>
      <c r="AT224" t="str">
        <f t="shared" si="40"/>
        <v/>
      </c>
      <c r="BG224" t="str">
        <f t="shared" si="41"/>
        <v/>
      </c>
      <c r="BH224" t="str">
        <f t="shared" si="42"/>
        <v/>
      </c>
      <c r="BL224" t="str">
        <f>IFERROR(INDEX(_names_lookup!$C:$C,MATCH(BK224,_names_lookup!$A:$A,0)),"")</f>
        <v/>
      </c>
      <c r="BM224" t="str">
        <f>IFERROR(INDEX(_names_lookup!$B:$B,MATCH(BK224,_names_lookup!$A:$A,0)),"")</f>
        <v/>
      </c>
      <c r="BS224" t="str">
        <f t="shared" si="43"/>
        <v/>
      </c>
    </row>
    <row r="225" spans="15:71" x14ac:dyDescent="0.2">
      <c r="O225" t="str">
        <f>IFERROR(INDEX(_courses_lookup!$C:$C,MATCH(K225&amp;L225,_courses_lookup!$E:$E,0)),"")</f>
        <v/>
      </c>
      <c r="P225" t="str">
        <f>IFERROR(INDEX(_courses_lookup!$D:$D,MATCH(K225&amp;L225,_courses_lookup!$E:$E,0)),"")</f>
        <v/>
      </c>
      <c r="AG225" t="str">
        <f t="shared" si="33"/>
        <v/>
      </c>
      <c r="AI225" t="str">
        <f t="shared" si="34"/>
        <v/>
      </c>
      <c r="AL225" t="str">
        <f t="shared" si="35"/>
        <v/>
      </c>
      <c r="AN225" t="str">
        <f t="shared" si="36"/>
        <v/>
      </c>
      <c r="AQ225" t="str">
        <f t="shared" si="37"/>
        <v/>
      </c>
      <c r="AR225" t="str">
        <f t="shared" si="38"/>
        <v/>
      </c>
      <c r="AS225" t="str">
        <f t="shared" si="39"/>
        <v/>
      </c>
      <c r="AT225" t="str">
        <f t="shared" si="40"/>
        <v/>
      </c>
      <c r="BG225" t="str">
        <f t="shared" si="41"/>
        <v/>
      </c>
      <c r="BH225" t="str">
        <f t="shared" si="42"/>
        <v/>
      </c>
      <c r="BL225" t="str">
        <f>IFERROR(INDEX(_names_lookup!$C:$C,MATCH(BK225,_names_lookup!$A:$A,0)),"")</f>
        <v/>
      </c>
      <c r="BM225" t="str">
        <f>IFERROR(INDEX(_names_lookup!$B:$B,MATCH(BK225,_names_lookup!$A:$A,0)),"")</f>
        <v/>
      </c>
      <c r="BS225" t="str">
        <f t="shared" si="43"/>
        <v/>
      </c>
    </row>
    <row r="226" spans="15:71" x14ac:dyDescent="0.2">
      <c r="O226" t="str">
        <f>IFERROR(INDEX(_courses_lookup!$C:$C,MATCH(K226&amp;L226,_courses_lookup!$E:$E,0)),"")</f>
        <v/>
      </c>
      <c r="P226" t="str">
        <f>IFERROR(INDEX(_courses_lookup!$D:$D,MATCH(K226&amp;L226,_courses_lookup!$E:$E,0)),"")</f>
        <v/>
      </c>
      <c r="AG226" t="str">
        <f t="shared" si="33"/>
        <v/>
      </c>
      <c r="AI226" t="str">
        <f t="shared" si="34"/>
        <v/>
      </c>
      <c r="AL226" t="str">
        <f t="shared" si="35"/>
        <v/>
      </c>
      <c r="AN226" t="str">
        <f t="shared" si="36"/>
        <v/>
      </c>
      <c r="AQ226" t="str">
        <f t="shared" si="37"/>
        <v/>
      </c>
      <c r="AR226" t="str">
        <f t="shared" si="38"/>
        <v/>
      </c>
      <c r="AS226" t="str">
        <f t="shared" si="39"/>
        <v/>
      </c>
      <c r="AT226" t="str">
        <f t="shared" si="40"/>
        <v/>
      </c>
      <c r="BG226" t="str">
        <f t="shared" si="41"/>
        <v/>
      </c>
      <c r="BH226" t="str">
        <f t="shared" si="42"/>
        <v/>
      </c>
      <c r="BL226" t="str">
        <f>IFERROR(INDEX(_names_lookup!$C:$C,MATCH(BK226,_names_lookup!$A:$A,0)),"")</f>
        <v/>
      </c>
      <c r="BM226" t="str">
        <f>IFERROR(INDEX(_names_lookup!$B:$B,MATCH(BK226,_names_lookup!$A:$A,0)),"")</f>
        <v/>
      </c>
      <c r="BS226" t="str">
        <f t="shared" si="43"/>
        <v/>
      </c>
    </row>
    <row r="227" spans="15:71" x14ac:dyDescent="0.2">
      <c r="O227" t="str">
        <f>IFERROR(INDEX(_courses_lookup!$C:$C,MATCH(K227&amp;L227,_courses_lookup!$E:$E,0)),"")</f>
        <v/>
      </c>
      <c r="P227" t="str">
        <f>IFERROR(INDEX(_courses_lookup!$D:$D,MATCH(K227&amp;L227,_courses_lookup!$E:$E,0)),"")</f>
        <v/>
      </c>
      <c r="AG227" t="str">
        <f t="shared" si="33"/>
        <v/>
      </c>
      <c r="AI227" t="str">
        <f t="shared" si="34"/>
        <v/>
      </c>
      <c r="AL227" t="str">
        <f t="shared" si="35"/>
        <v/>
      </c>
      <c r="AN227" t="str">
        <f t="shared" si="36"/>
        <v/>
      </c>
      <c r="AQ227" t="str">
        <f t="shared" si="37"/>
        <v/>
      </c>
      <c r="AR227" t="str">
        <f t="shared" si="38"/>
        <v/>
      </c>
      <c r="AS227" t="str">
        <f t="shared" si="39"/>
        <v/>
      </c>
      <c r="AT227" t="str">
        <f t="shared" si="40"/>
        <v/>
      </c>
      <c r="BG227" t="str">
        <f t="shared" si="41"/>
        <v/>
      </c>
      <c r="BH227" t="str">
        <f t="shared" si="42"/>
        <v/>
      </c>
      <c r="BL227" t="str">
        <f>IFERROR(INDEX(_names_lookup!$C:$C,MATCH(BK227,_names_lookup!$A:$A,0)),"")</f>
        <v/>
      </c>
      <c r="BM227" t="str">
        <f>IFERROR(INDEX(_names_lookup!$B:$B,MATCH(BK227,_names_lookup!$A:$A,0)),"")</f>
        <v/>
      </c>
      <c r="BS227" t="str">
        <f t="shared" si="43"/>
        <v/>
      </c>
    </row>
    <row r="228" spans="15:71" x14ac:dyDescent="0.2">
      <c r="O228" t="str">
        <f>IFERROR(INDEX(_courses_lookup!$C:$C,MATCH(K228&amp;L228,_courses_lookup!$E:$E,0)),"")</f>
        <v/>
      </c>
      <c r="P228" t="str">
        <f>IFERROR(INDEX(_courses_lookup!$D:$D,MATCH(K228&amp;L228,_courses_lookup!$E:$E,0)),"")</f>
        <v/>
      </c>
      <c r="AG228" t="str">
        <f t="shared" si="33"/>
        <v/>
      </c>
      <c r="AI228" t="str">
        <f t="shared" si="34"/>
        <v/>
      </c>
      <c r="AL228" t="str">
        <f t="shared" si="35"/>
        <v/>
      </c>
      <c r="AN228" t="str">
        <f t="shared" si="36"/>
        <v/>
      </c>
      <c r="AQ228" t="str">
        <f t="shared" si="37"/>
        <v/>
      </c>
      <c r="AR228" t="str">
        <f t="shared" si="38"/>
        <v/>
      </c>
      <c r="AS228" t="str">
        <f t="shared" si="39"/>
        <v/>
      </c>
      <c r="AT228" t="str">
        <f t="shared" si="40"/>
        <v/>
      </c>
      <c r="BG228" t="str">
        <f t="shared" si="41"/>
        <v/>
      </c>
      <c r="BH228" t="str">
        <f t="shared" si="42"/>
        <v/>
      </c>
      <c r="BL228" t="str">
        <f>IFERROR(INDEX(_names_lookup!$C:$C,MATCH(BK228,_names_lookup!$A:$A,0)),"")</f>
        <v/>
      </c>
      <c r="BM228" t="str">
        <f>IFERROR(INDEX(_names_lookup!$B:$B,MATCH(BK228,_names_lookup!$A:$A,0)),"")</f>
        <v/>
      </c>
      <c r="BS228" t="str">
        <f t="shared" si="43"/>
        <v/>
      </c>
    </row>
    <row r="229" spans="15:71" x14ac:dyDescent="0.2">
      <c r="O229" t="str">
        <f>IFERROR(INDEX(_courses_lookup!$C:$C,MATCH(K229&amp;L229,_courses_lookup!$E:$E,0)),"")</f>
        <v/>
      </c>
      <c r="P229" t="str">
        <f>IFERROR(INDEX(_courses_lookup!$D:$D,MATCH(K229&amp;L229,_courses_lookup!$E:$E,0)),"")</f>
        <v/>
      </c>
      <c r="AG229" t="str">
        <f t="shared" si="33"/>
        <v/>
      </c>
      <c r="AI229" t="str">
        <f t="shared" si="34"/>
        <v/>
      </c>
      <c r="AL229" t="str">
        <f t="shared" si="35"/>
        <v/>
      </c>
      <c r="AN229" t="str">
        <f t="shared" si="36"/>
        <v/>
      </c>
      <c r="AQ229" t="str">
        <f t="shared" si="37"/>
        <v/>
      </c>
      <c r="AR229" t="str">
        <f t="shared" si="38"/>
        <v/>
      </c>
      <c r="AS229" t="str">
        <f t="shared" si="39"/>
        <v/>
      </c>
      <c r="AT229" t="str">
        <f t="shared" si="40"/>
        <v/>
      </c>
      <c r="BG229" t="str">
        <f t="shared" si="41"/>
        <v/>
      </c>
      <c r="BH229" t="str">
        <f t="shared" si="42"/>
        <v/>
      </c>
      <c r="BL229" t="str">
        <f>IFERROR(INDEX(_names_lookup!$C:$C,MATCH(BK229,_names_lookup!$A:$A,0)),"")</f>
        <v/>
      </c>
      <c r="BM229" t="str">
        <f>IFERROR(INDEX(_names_lookup!$B:$B,MATCH(BK229,_names_lookup!$A:$A,0)),"")</f>
        <v/>
      </c>
      <c r="BS229" t="str">
        <f t="shared" si="43"/>
        <v/>
      </c>
    </row>
    <row r="230" spans="15:71" x14ac:dyDescent="0.2">
      <c r="O230" t="str">
        <f>IFERROR(INDEX(_courses_lookup!$C:$C,MATCH(K230&amp;L230,_courses_lookup!$E:$E,0)),"")</f>
        <v/>
      </c>
      <c r="P230" t="str">
        <f>IFERROR(INDEX(_courses_lookup!$D:$D,MATCH(K230&amp;L230,_courses_lookup!$E:$E,0)),"")</f>
        <v/>
      </c>
      <c r="AG230" t="str">
        <f t="shared" si="33"/>
        <v/>
      </c>
      <c r="AI230" t="str">
        <f t="shared" si="34"/>
        <v/>
      </c>
      <c r="AL230" t="str">
        <f t="shared" si="35"/>
        <v/>
      </c>
      <c r="AN230" t="str">
        <f t="shared" si="36"/>
        <v/>
      </c>
      <c r="AQ230" t="str">
        <f t="shared" si="37"/>
        <v/>
      </c>
      <c r="AR230" t="str">
        <f t="shared" si="38"/>
        <v/>
      </c>
      <c r="AS230" t="str">
        <f t="shared" si="39"/>
        <v/>
      </c>
      <c r="AT230" t="str">
        <f t="shared" si="40"/>
        <v/>
      </c>
      <c r="BG230" t="str">
        <f t="shared" si="41"/>
        <v/>
      </c>
      <c r="BH230" t="str">
        <f t="shared" si="42"/>
        <v/>
      </c>
      <c r="BL230" t="str">
        <f>IFERROR(INDEX(_names_lookup!$C:$C,MATCH(BK230,_names_lookup!$A:$A,0)),"")</f>
        <v/>
      </c>
      <c r="BM230" t="str">
        <f>IFERROR(INDEX(_names_lookup!$B:$B,MATCH(BK230,_names_lookup!$A:$A,0)),"")</f>
        <v/>
      </c>
      <c r="BS230" t="str">
        <f t="shared" si="43"/>
        <v/>
      </c>
    </row>
    <row r="231" spans="15:71" x14ac:dyDescent="0.2">
      <c r="O231" t="str">
        <f>IFERROR(INDEX(_courses_lookup!$C:$C,MATCH(K231&amp;L231,_courses_lookup!$E:$E,0)),"")</f>
        <v/>
      </c>
      <c r="P231" t="str">
        <f>IFERROR(INDEX(_courses_lookup!$D:$D,MATCH(K231&amp;L231,_courses_lookup!$E:$E,0)),"")</f>
        <v/>
      </c>
      <c r="AG231" t="str">
        <f t="shared" si="33"/>
        <v/>
      </c>
      <c r="AI231" t="str">
        <f t="shared" si="34"/>
        <v/>
      </c>
      <c r="AL231" t="str">
        <f t="shared" si="35"/>
        <v/>
      </c>
      <c r="AN231" t="str">
        <f t="shared" si="36"/>
        <v/>
      </c>
      <c r="AQ231" t="str">
        <f t="shared" si="37"/>
        <v/>
      </c>
      <c r="AR231" t="str">
        <f t="shared" si="38"/>
        <v/>
      </c>
      <c r="AS231" t="str">
        <f t="shared" si="39"/>
        <v/>
      </c>
      <c r="AT231" t="str">
        <f t="shared" si="40"/>
        <v/>
      </c>
      <c r="BG231" t="str">
        <f t="shared" si="41"/>
        <v/>
      </c>
      <c r="BH231" t="str">
        <f t="shared" si="42"/>
        <v/>
      </c>
      <c r="BL231" t="str">
        <f>IFERROR(INDEX(_names_lookup!$C:$C,MATCH(BK231,_names_lookup!$A:$A,0)),"")</f>
        <v/>
      </c>
      <c r="BM231" t="str">
        <f>IFERROR(INDEX(_names_lookup!$B:$B,MATCH(BK231,_names_lookup!$A:$A,0)),"")</f>
        <v/>
      </c>
      <c r="BS231" t="str">
        <f t="shared" si="43"/>
        <v/>
      </c>
    </row>
    <row r="232" spans="15:71" x14ac:dyDescent="0.2">
      <c r="O232" t="str">
        <f>IFERROR(INDEX(_courses_lookup!$C:$C,MATCH(K232&amp;L232,_courses_lookup!$E:$E,0)),"")</f>
        <v/>
      </c>
      <c r="P232" t="str">
        <f>IFERROR(INDEX(_courses_lookup!$D:$D,MATCH(K232&amp;L232,_courses_lookup!$E:$E,0)),"")</f>
        <v/>
      </c>
      <c r="AG232" t="str">
        <f t="shared" si="33"/>
        <v/>
      </c>
      <c r="AI232" t="str">
        <f t="shared" si="34"/>
        <v/>
      </c>
      <c r="AL232" t="str">
        <f t="shared" si="35"/>
        <v/>
      </c>
      <c r="AN232" t="str">
        <f t="shared" si="36"/>
        <v/>
      </c>
      <c r="AQ232" t="str">
        <f t="shared" si="37"/>
        <v/>
      </c>
      <c r="AR232" t="str">
        <f t="shared" si="38"/>
        <v/>
      </c>
      <c r="AS232" t="str">
        <f t="shared" si="39"/>
        <v/>
      </c>
      <c r="AT232" t="str">
        <f t="shared" si="40"/>
        <v/>
      </c>
      <c r="BG232" t="str">
        <f t="shared" si="41"/>
        <v/>
      </c>
      <c r="BH232" t="str">
        <f t="shared" si="42"/>
        <v/>
      </c>
      <c r="BL232" t="str">
        <f>IFERROR(INDEX(_names_lookup!$C:$C,MATCH(BK232,_names_lookup!$A:$A,0)),"")</f>
        <v/>
      </c>
      <c r="BM232" t="str">
        <f>IFERROR(INDEX(_names_lookup!$B:$B,MATCH(BK232,_names_lookup!$A:$A,0)),"")</f>
        <v/>
      </c>
      <c r="BS232" t="str">
        <f t="shared" si="43"/>
        <v/>
      </c>
    </row>
    <row r="233" spans="15:71" x14ac:dyDescent="0.2">
      <c r="O233" t="str">
        <f>IFERROR(INDEX(_courses_lookup!$C:$C,MATCH(K233&amp;L233,_courses_lookup!$E:$E,0)),"")</f>
        <v/>
      </c>
      <c r="P233" t="str">
        <f>IFERROR(INDEX(_courses_lookup!$D:$D,MATCH(K233&amp;L233,_courses_lookup!$E:$E,0)),"")</f>
        <v/>
      </c>
      <c r="AG233" t="str">
        <f t="shared" si="33"/>
        <v/>
      </c>
      <c r="AI233" t="str">
        <f t="shared" si="34"/>
        <v/>
      </c>
      <c r="AL233" t="str">
        <f t="shared" si="35"/>
        <v/>
      </c>
      <c r="AN233" t="str">
        <f t="shared" si="36"/>
        <v/>
      </c>
      <c r="AQ233" t="str">
        <f t="shared" si="37"/>
        <v/>
      </c>
      <c r="AR233" t="str">
        <f t="shared" si="38"/>
        <v/>
      </c>
      <c r="AS233" t="str">
        <f t="shared" si="39"/>
        <v/>
      </c>
      <c r="AT233" t="str">
        <f t="shared" si="40"/>
        <v/>
      </c>
      <c r="BG233" t="str">
        <f t="shared" si="41"/>
        <v/>
      </c>
      <c r="BH233" t="str">
        <f t="shared" si="42"/>
        <v/>
      </c>
      <c r="BL233" t="str">
        <f>IFERROR(INDEX(_names_lookup!$C:$C,MATCH(BK233,_names_lookup!$A:$A,0)),"")</f>
        <v/>
      </c>
      <c r="BM233" t="str">
        <f>IFERROR(INDEX(_names_lookup!$B:$B,MATCH(BK233,_names_lookup!$A:$A,0)),"")</f>
        <v/>
      </c>
      <c r="BS233" t="str">
        <f t="shared" si="43"/>
        <v/>
      </c>
    </row>
    <row r="234" spans="15:71" x14ac:dyDescent="0.2">
      <c r="O234" t="str">
        <f>IFERROR(INDEX(_courses_lookup!$C:$C,MATCH(K234&amp;L234,_courses_lookup!$E:$E,0)),"")</f>
        <v/>
      </c>
      <c r="P234" t="str">
        <f>IFERROR(INDEX(_courses_lookup!$D:$D,MATCH(K234&amp;L234,_courses_lookup!$E:$E,0)),"")</f>
        <v/>
      </c>
      <c r="AG234" t="str">
        <f t="shared" si="33"/>
        <v/>
      </c>
      <c r="AI234" t="str">
        <f t="shared" si="34"/>
        <v/>
      </c>
      <c r="AL234" t="str">
        <f t="shared" si="35"/>
        <v/>
      </c>
      <c r="AN234" t="str">
        <f t="shared" si="36"/>
        <v/>
      </c>
      <c r="AQ234" t="str">
        <f t="shared" si="37"/>
        <v/>
      </c>
      <c r="AR234" t="str">
        <f t="shared" si="38"/>
        <v/>
      </c>
      <c r="AS234" t="str">
        <f t="shared" si="39"/>
        <v/>
      </c>
      <c r="AT234" t="str">
        <f t="shared" si="40"/>
        <v/>
      </c>
      <c r="BG234" t="str">
        <f t="shared" si="41"/>
        <v/>
      </c>
      <c r="BH234" t="str">
        <f t="shared" si="42"/>
        <v/>
      </c>
      <c r="BL234" t="str">
        <f>IFERROR(INDEX(_names_lookup!$C:$C,MATCH(BK234,_names_lookup!$A:$A,0)),"")</f>
        <v/>
      </c>
      <c r="BM234" t="str">
        <f>IFERROR(INDEX(_names_lookup!$B:$B,MATCH(BK234,_names_lookup!$A:$A,0)),"")</f>
        <v/>
      </c>
      <c r="BS234" t="str">
        <f t="shared" si="43"/>
        <v/>
      </c>
    </row>
    <row r="235" spans="15:71" x14ac:dyDescent="0.2">
      <c r="O235" t="str">
        <f>IFERROR(INDEX(_courses_lookup!$C:$C,MATCH(K235&amp;L235,_courses_lookup!$E:$E,0)),"")</f>
        <v/>
      </c>
      <c r="P235" t="str">
        <f>IFERROR(INDEX(_courses_lookup!$D:$D,MATCH(K235&amp;L235,_courses_lookup!$E:$E,0)),"")</f>
        <v/>
      </c>
      <c r="AG235" t="str">
        <f t="shared" si="33"/>
        <v/>
      </c>
      <c r="AI235" t="str">
        <f t="shared" si="34"/>
        <v/>
      </c>
      <c r="AL235" t="str">
        <f t="shared" si="35"/>
        <v/>
      </c>
      <c r="AN235" t="str">
        <f t="shared" si="36"/>
        <v/>
      </c>
      <c r="AQ235" t="str">
        <f t="shared" si="37"/>
        <v/>
      </c>
      <c r="AR235" t="str">
        <f t="shared" si="38"/>
        <v/>
      </c>
      <c r="AS235" t="str">
        <f t="shared" si="39"/>
        <v/>
      </c>
      <c r="AT235" t="str">
        <f t="shared" si="40"/>
        <v/>
      </c>
      <c r="BG235" t="str">
        <f t="shared" si="41"/>
        <v/>
      </c>
      <c r="BH235" t="str">
        <f t="shared" si="42"/>
        <v/>
      </c>
      <c r="BL235" t="str">
        <f>IFERROR(INDEX(_names_lookup!$C:$C,MATCH(BK235,_names_lookup!$A:$A,0)),"")</f>
        <v/>
      </c>
      <c r="BM235" t="str">
        <f>IFERROR(INDEX(_names_lookup!$B:$B,MATCH(BK235,_names_lookup!$A:$A,0)),"")</f>
        <v/>
      </c>
      <c r="BS235" t="str">
        <f t="shared" si="43"/>
        <v/>
      </c>
    </row>
    <row r="236" spans="15:71" x14ac:dyDescent="0.2">
      <c r="O236" t="str">
        <f>IFERROR(INDEX(_courses_lookup!$C:$C,MATCH(K236&amp;L236,_courses_lookup!$E:$E,0)),"")</f>
        <v/>
      </c>
      <c r="P236" t="str">
        <f>IFERROR(INDEX(_courses_lookup!$D:$D,MATCH(K236&amp;L236,_courses_lookup!$E:$E,0)),"")</f>
        <v/>
      </c>
      <c r="AG236" t="str">
        <f t="shared" si="33"/>
        <v/>
      </c>
      <c r="AI236" t="str">
        <f t="shared" si="34"/>
        <v/>
      </c>
      <c r="AL236" t="str">
        <f t="shared" si="35"/>
        <v/>
      </c>
      <c r="AN236" t="str">
        <f t="shared" si="36"/>
        <v/>
      </c>
      <c r="AQ236" t="str">
        <f t="shared" si="37"/>
        <v/>
      </c>
      <c r="AR236" t="str">
        <f t="shared" si="38"/>
        <v/>
      </c>
      <c r="AS236" t="str">
        <f t="shared" si="39"/>
        <v/>
      </c>
      <c r="AT236" t="str">
        <f t="shared" si="40"/>
        <v/>
      </c>
      <c r="BG236" t="str">
        <f t="shared" si="41"/>
        <v/>
      </c>
      <c r="BH236" t="str">
        <f t="shared" si="42"/>
        <v/>
      </c>
      <c r="BL236" t="str">
        <f>IFERROR(INDEX(_names_lookup!$C:$C,MATCH(BK236,_names_lookup!$A:$A,0)),"")</f>
        <v/>
      </c>
      <c r="BM236" t="str">
        <f>IFERROR(INDEX(_names_lookup!$B:$B,MATCH(BK236,_names_lookup!$A:$A,0)),"")</f>
        <v/>
      </c>
      <c r="BS236" t="str">
        <f t="shared" si="43"/>
        <v/>
      </c>
    </row>
    <row r="237" spans="15:71" x14ac:dyDescent="0.2">
      <c r="O237" t="str">
        <f>IFERROR(INDEX(_courses_lookup!$C:$C,MATCH(K237&amp;L237,_courses_lookup!$E:$E,0)),"")</f>
        <v/>
      </c>
      <c r="P237" t="str">
        <f>IFERROR(INDEX(_courses_lookup!$D:$D,MATCH(K237&amp;L237,_courses_lookup!$E:$E,0)),"")</f>
        <v/>
      </c>
      <c r="AG237" t="str">
        <f t="shared" si="33"/>
        <v/>
      </c>
      <c r="AI237" t="str">
        <f t="shared" si="34"/>
        <v/>
      </c>
      <c r="AL237" t="str">
        <f t="shared" si="35"/>
        <v/>
      </c>
      <c r="AN237" t="str">
        <f t="shared" si="36"/>
        <v/>
      </c>
      <c r="AQ237" t="str">
        <f t="shared" si="37"/>
        <v/>
      </c>
      <c r="AR237" t="str">
        <f t="shared" si="38"/>
        <v/>
      </c>
      <c r="AS237" t="str">
        <f t="shared" si="39"/>
        <v/>
      </c>
      <c r="AT237" t="str">
        <f t="shared" si="40"/>
        <v/>
      </c>
      <c r="BG237" t="str">
        <f t="shared" si="41"/>
        <v/>
      </c>
      <c r="BH237" t="str">
        <f t="shared" si="42"/>
        <v/>
      </c>
      <c r="BL237" t="str">
        <f>IFERROR(INDEX(_names_lookup!$C:$C,MATCH(BK237,_names_lookup!$A:$A,0)),"")</f>
        <v/>
      </c>
      <c r="BM237" t="str">
        <f>IFERROR(INDEX(_names_lookup!$B:$B,MATCH(BK237,_names_lookup!$A:$A,0)),"")</f>
        <v/>
      </c>
      <c r="BS237" t="str">
        <f t="shared" si="43"/>
        <v/>
      </c>
    </row>
    <row r="238" spans="15:71" x14ac:dyDescent="0.2">
      <c r="O238" t="str">
        <f>IFERROR(INDEX(_courses_lookup!$C:$C,MATCH(K238&amp;L238,_courses_lookup!$E:$E,0)),"")</f>
        <v/>
      </c>
      <c r="P238" t="str">
        <f>IFERROR(INDEX(_courses_lookup!$D:$D,MATCH(K238&amp;L238,_courses_lookup!$E:$E,0)),"")</f>
        <v/>
      </c>
      <c r="AG238" t="str">
        <f t="shared" si="33"/>
        <v/>
      </c>
      <c r="AI238" t="str">
        <f t="shared" si="34"/>
        <v/>
      </c>
      <c r="AL238" t="str">
        <f t="shared" si="35"/>
        <v/>
      </c>
      <c r="AN238" t="str">
        <f t="shared" si="36"/>
        <v/>
      </c>
      <c r="AQ238" t="str">
        <f t="shared" si="37"/>
        <v/>
      </c>
      <c r="AR238" t="str">
        <f t="shared" si="38"/>
        <v/>
      </c>
      <c r="AS238" t="str">
        <f t="shared" si="39"/>
        <v/>
      </c>
      <c r="AT238" t="str">
        <f t="shared" si="40"/>
        <v/>
      </c>
      <c r="BG238" t="str">
        <f t="shared" si="41"/>
        <v/>
      </c>
      <c r="BH238" t="str">
        <f t="shared" si="42"/>
        <v/>
      </c>
      <c r="BL238" t="str">
        <f>IFERROR(INDEX(_names_lookup!$C:$C,MATCH(BK238,_names_lookup!$A:$A,0)),"")</f>
        <v/>
      </c>
      <c r="BM238" t="str">
        <f>IFERROR(INDEX(_names_lookup!$B:$B,MATCH(BK238,_names_lookup!$A:$A,0)),"")</f>
        <v/>
      </c>
      <c r="BS238" t="str">
        <f t="shared" si="43"/>
        <v/>
      </c>
    </row>
    <row r="239" spans="15:71" x14ac:dyDescent="0.2">
      <c r="O239" t="str">
        <f>IFERROR(INDEX(_courses_lookup!$C:$C,MATCH(K239&amp;L239,_courses_lookup!$E:$E,0)),"")</f>
        <v/>
      </c>
      <c r="P239" t="str">
        <f>IFERROR(INDEX(_courses_lookup!$D:$D,MATCH(K239&amp;L239,_courses_lookup!$E:$E,0)),"")</f>
        <v/>
      </c>
      <c r="AG239" t="str">
        <f t="shared" si="33"/>
        <v/>
      </c>
      <c r="AI239" t="str">
        <f t="shared" si="34"/>
        <v/>
      </c>
      <c r="AL239" t="str">
        <f t="shared" si="35"/>
        <v/>
      </c>
      <c r="AN239" t="str">
        <f t="shared" si="36"/>
        <v/>
      </c>
      <c r="AQ239" t="str">
        <f t="shared" si="37"/>
        <v/>
      </c>
      <c r="AR239" t="str">
        <f t="shared" si="38"/>
        <v/>
      </c>
      <c r="AS239" t="str">
        <f t="shared" si="39"/>
        <v/>
      </c>
      <c r="AT239" t="str">
        <f t="shared" si="40"/>
        <v/>
      </c>
      <c r="BG239" t="str">
        <f t="shared" si="41"/>
        <v/>
      </c>
      <c r="BH239" t="str">
        <f t="shared" si="42"/>
        <v/>
      </c>
      <c r="BL239" t="str">
        <f>IFERROR(INDEX(_names_lookup!$C:$C,MATCH(BK239,_names_lookup!$A:$A,0)),"")</f>
        <v/>
      </c>
      <c r="BM239" t="str">
        <f>IFERROR(INDEX(_names_lookup!$B:$B,MATCH(BK239,_names_lookup!$A:$A,0)),"")</f>
        <v/>
      </c>
      <c r="BS239" t="str">
        <f t="shared" si="43"/>
        <v/>
      </c>
    </row>
    <row r="240" spans="15:71" x14ac:dyDescent="0.2">
      <c r="O240" t="str">
        <f>IFERROR(INDEX(_courses_lookup!$C:$C,MATCH(K240&amp;L240,_courses_lookup!$E:$E,0)),"")</f>
        <v/>
      </c>
      <c r="P240" t="str">
        <f>IFERROR(INDEX(_courses_lookup!$D:$D,MATCH(K240&amp;L240,_courses_lookup!$E:$E,0)),"")</f>
        <v/>
      </c>
      <c r="AG240" t="str">
        <f t="shared" si="33"/>
        <v/>
      </c>
      <c r="AI240" t="str">
        <f t="shared" si="34"/>
        <v/>
      </c>
      <c r="AL240" t="str">
        <f t="shared" si="35"/>
        <v/>
      </c>
      <c r="AN240" t="str">
        <f t="shared" si="36"/>
        <v/>
      </c>
      <c r="AQ240" t="str">
        <f t="shared" si="37"/>
        <v/>
      </c>
      <c r="AR240" t="str">
        <f t="shared" si="38"/>
        <v/>
      </c>
      <c r="AS240" t="str">
        <f t="shared" si="39"/>
        <v/>
      </c>
      <c r="AT240" t="str">
        <f t="shared" si="40"/>
        <v/>
      </c>
      <c r="BG240" t="str">
        <f t="shared" si="41"/>
        <v/>
      </c>
      <c r="BH240" t="str">
        <f t="shared" si="42"/>
        <v/>
      </c>
      <c r="BL240" t="str">
        <f>IFERROR(INDEX(_names_lookup!$C:$C,MATCH(BK240,_names_lookup!$A:$A,0)),"")</f>
        <v/>
      </c>
      <c r="BM240" t="str">
        <f>IFERROR(INDEX(_names_lookup!$B:$B,MATCH(BK240,_names_lookup!$A:$A,0)),"")</f>
        <v/>
      </c>
      <c r="BS240" t="str">
        <f t="shared" si="43"/>
        <v/>
      </c>
    </row>
    <row r="241" spans="15:71" x14ac:dyDescent="0.2">
      <c r="O241" t="str">
        <f>IFERROR(INDEX(_courses_lookup!$C:$C,MATCH(K241&amp;L241,_courses_lookup!$E:$E,0)),"")</f>
        <v/>
      </c>
      <c r="P241" t="str">
        <f>IFERROR(INDEX(_courses_lookup!$D:$D,MATCH(K241&amp;L241,_courses_lookup!$E:$E,0)),"")</f>
        <v/>
      </c>
      <c r="AG241" t="str">
        <f t="shared" si="33"/>
        <v/>
      </c>
      <c r="AI241" t="str">
        <f t="shared" si="34"/>
        <v/>
      </c>
      <c r="AL241" t="str">
        <f t="shared" si="35"/>
        <v/>
      </c>
      <c r="AN241" t="str">
        <f t="shared" si="36"/>
        <v/>
      </c>
      <c r="AQ241" t="str">
        <f t="shared" si="37"/>
        <v/>
      </c>
      <c r="AR241" t="str">
        <f t="shared" si="38"/>
        <v/>
      </c>
      <c r="AS241" t="str">
        <f t="shared" si="39"/>
        <v/>
      </c>
      <c r="AT241" t="str">
        <f t="shared" si="40"/>
        <v/>
      </c>
      <c r="BG241" t="str">
        <f t="shared" si="41"/>
        <v/>
      </c>
      <c r="BH241" t="str">
        <f t="shared" si="42"/>
        <v/>
      </c>
      <c r="BL241" t="str">
        <f>IFERROR(INDEX(_names_lookup!$C:$C,MATCH(BK241,_names_lookup!$A:$A,0)),"")</f>
        <v/>
      </c>
      <c r="BM241" t="str">
        <f>IFERROR(INDEX(_names_lookup!$B:$B,MATCH(BK241,_names_lookup!$A:$A,0)),"")</f>
        <v/>
      </c>
      <c r="BS241" t="str">
        <f t="shared" si="43"/>
        <v/>
      </c>
    </row>
    <row r="242" spans="15:71" x14ac:dyDescent="0.2">
      <c r="O242" t="str">
        <f>IFERROR(INDEX(_courses_lookup!$C:$C,MATCH(K242&amp;L242,_courses_lookup!$E:$E,0)),"")</f>
        <v/>
      </c>
      <c r="P242" t="str">
        <f>IFERROR(INDEX(_courses_lookup!$D:$D,MATCH(K242&amp;L242,_courses_lookup!$E:$E,0)),"")</f>
        <v/>
      </c>
      <c r="AG242" t="str">
        <f t="shared" si="33"/>
        <v/>
      </c>
      <c r="AI242" t="str">
        <f t="shared" si="34"/>
        <v/>
      </c>
      <c r="AL242" t="str">
        <f t="shared" si="35"/>
        <v/>
      </c>
      <c r="AN242" t="str">
        <f t="shared" si="36"/>
        <v/>
      </c>
      <c r="AQ242" t="str">
        <f t="shared" si="37"/>
        <v/>
      </c>
      <c r="AR242" t="str">
        <f t="shared" si="38"/>
        <v/>
      </c>
      <c r="AS242" t="str">
        <f t="shared" si="39"/>
        <v/>
      </c>
      <c r="AT242" t="str">
        <f t="shared" si="40"/>
        <v/>
      </c>
      <c r="BG242" t="str">
        <f t="shared" si="41"/>
        <v/>
      </c>
      <c r="BH242" t="str">
        <f t="shared" si="42"/>
        <v/>
      </c>
      <c r="BL242" t="str">
        <f>IFERROR(INDEX(_names_lookup!$C:$C,MATCH(BK242,_names_lookup!$A:$A,0)),"")</f>
        <v/>
      </c>
      <c r="BM242" t="str">
        <f>IFERROR(INDEX(_names_lookup!$B:$B,MATCH(BK242,_names_lookup!$A:$A,0)),"")</f>
        <v/>
      </c>
      <c r="BS242" t="str">
        <f t="shared" si="43"/>
        <v/>
      </c>
    </row>
    <row r="243" spans="15:71" x14ac:dyDescent="0.2">
      <c r="O243" t="str">
        <f>IFERROR(INDEX(_courses_lookup!$C:$C,MATCH(K243&amp;L243,_courses_lookup!$E:$E,0)),"")</f>
        <v/>
      </c>
      <c r="P243" t="str">
        <f>IFERROR(INDEX(_courses_lookup!$D:$D,MATCH(K243&amp;L243,_courses_lookup!$E:$E,0)),"")</f>
        <v/>
      </c>
      <c r="AG243" t="str">
        <f t="shared" si="33"/>
        <v/>
      </c>
      <c r="AI243" t="str">
        <f t="shared" si="34"/>
        <v/>
      </c>
      <c r="AL243" t="str">
        <f t="shared" si="35"/>
        <v/>
      </c>
      <c r="AN243" t="str">
        <f t="shared" si="36"/>
        <v/>
      </c>
      <c r="AQ243" t="str">
        <f t="shared" si="37"/>
        <v/>
      </c>
      <c r="AR243" t="str">
        <f t="shared" si="38"/>
        <v/>
      </c>
      <c r="AS243" t="str">
        <f t="shared" si="39"/>
        <v/>
      </c>
      <c r="AT243" t="str">
        <f t="shared" si="40"/>
        <v/>
      </c>
      <c r="BG243" t="str">
        <f t="shared" si="41"/>
        <v/>
      </c>
      <c r="BH243" t="str">
        <f t="shared" si="42"/>
        <v/>
      </c>
      <c r="BL243" t="str">
        <f>IFERROR(INDEX(_names_lookup!$C:$C,MATCH(BK243,_names_lookup!$A:$A,0)),"")</f>
        <v/>
      </c>
      <c r="BM243" t="str">
        <f>IFERROR(INDEX(_names_lookup!$B:$B,MATCH(BK243,_names_lookup!$A:$A,0)),"")</f>
        <v/>
      </c>
      <c r="BS243" t="str">
        <f t="shared" si="43"/>
        <v/>
      </c>
    </row>
    <row r="244" spans="15:71" x14ac:dyDescent="0.2">
      <c r="O244" t="str">
        <f>IFERROR(INDEX(_courses_lookup!$C:$C,MATCH(K244&amp;L244,_courses_lookup!$E:$E,0)),"")</f>
        <v/>
      </c>
      <c r="P244" t="str">
        <f>IFERROR(INDEX(_courses_lookup!$D:$D,MATCH(K244&amp;L244,_courses_lookup!$E:$E,0)),"")</f>
        <v/>
      </c>
      <c r="AG244" t="str">
        <f t="shared" si="33"/>
        <v/>
      </c>
      <c r="AI244" t="str">
        <f t="shared" si="34"/>
        <v/>
      </c>
      <c r="AL244" t="str">
        <f t="shared" si="35"/>
        <v/>
      </c>
      <c r="AN244" t="str">
        <f t="shared" si="36"/>
        <v/>
      </c>
      <c r="AQ244" t="str">
        <f t="shared" si="37"/>
        <v/>
      </c>
      <c r="AR244" t="str">
        <f t="shared" si="38"/>
        <v/>
      </c>
      <c r="AS244" t="str">
        <f t="shared" si="39"/>
        <v/>
      </c>
      <c r="AT244" t="str">
        <f t="shared" si="40"/>
        <v/>
      </c>
      <c r="BG244" t="str">
        <f t="shared" si="41"/>
        <v/>
      </c>
      <c r="BH244" t="str">
        <f t="shared" si="42"/>
        <v/>
      </c>
      <c r="BL244" t="str">
        <f>IFERROR(INDEX(_names_lookup!$C:$C,MATCH(BK244,_names_lookup!$A:$A,0)),"")</f>
        <v/>
      </c>
      <c r="BM244" t="str">
        <f>IFERROR(INDEX(_names_lookup!$B:$B,MATCH(BK244,_names_lookup!$A:$A,0)),"")</f>
        <v/>
      </c>
      <c r="BS244" t="str">
        <f t="shared" si="43"/>
        <v/>
      </c>
    </row>
    <row r="245" spans="15:71" x14ac:dyDescent="0.2">
      <c r="O245" t="str">
        <f>IFERROR(INDEX(_courses_lookup!$C:$C,MATCH(K245&amp;L245,_courses_lookup!$E:$E,0)),"")</f>
        <v/>
      </c>
      <c r="P245" t="str">
        <f>IFERROR(INDEX(_courses_lookup!$D:$D,MATCH(K245&amp;L245,_courses_lookup!$E:$E,0)),"")</f>
        <v/>
      </c>
      <c r="AG245" t="str">
        <f t="shared" si="33"/>
        <v/>
      </c>
      <c r="AI245" t="str">
        <f t="shared" si="34"/>
        <v/>
      </c>
      <c r="AL245" t="str">
        <f t="shared" si="35"/>
        <v/>
      </c>
      <c r="AN245" t="str">
        <f t="shared" si="36"/>
        <v/>
      </c>
      <c r="AQ245" t="str">
        <f t="shared" si="37"/>
        <v/>
      </c>
      <c r="AR245" t="str">
        <f t="shared" si="38"/>
        <v/>
      </c>
      <c r="AS245" t="str">
        <f t="shared" si="39"/>
        <v/>
      </c>
      <c r="AT245" t="str">
        <f t="shared" si="40"/>
        <v/>
      </c>
      <c r="BG245" t="str">
        <f t="shared" si="41"/>
        <v/>
      </c>
      <c r="BH245" t="str">
        <f t="shared" si="42"/>
        <v/>
      </c>
      <c r="BL245" t="str">
        <f>IFERROR(INDEX(_names_lookup!$C:$C,MATCH(BK245,_names_lookup!$A:$A,0)),"")</f>
        <v/>
      </c>
      <c r="BM245" t="str">
        <f>IFERROR(INDEX(_names_lookup!$B:$B,MATCH(BK245,_names_lookup!$A:$A,0)),"")</f>
        <v/>
      </c>
      <c r="BS245" t="str">
        <f t="shared" si="43"/>
        <v/>
      </c>
    </row>
    <row r="246" spans="15:71" x14ac:dyDescent="0.2">
      <c r="O246" t="str">
        <f>IFERROR(INDEX(_courses_lookup!$C:$C,MATCH(K246&amp;L246,_courses_lookup!$E:$E,0)),"")</f>
        <v/>
      </c>
      <c r="P246" t="str">
        <f>IFERROR(INDEX(_courses_lookup!$D:$D,MATCH(K246&amp;L246,_courses_lookup!$E:$E,0)),"")</f>
        <v/>
      </c>
      <c r="AG246" t="str">
        <f t="shared" si="33"/>
        <v/>
      </c>
      <c r="AI246" t="str">
        <f t="shared" si="34"/>
        <v/>
      </c>
      <c r="AL246" t="str">
        <f t="shared" si="35"/>
        <v/>
      </c>
      <c r="AN246" t="str">
        <f t="shared" si="36"/>
        <v/>
      </c>
      <c r="AQ246" t="str">
        <f t="shared" si="37"/>
        <v/>
      </c>
      <c r="AR246" t="str">
        <f t="shared" si="38"/>
        <v/>
      </c>
      <c r="AS246" t="str">
        <f t="shared" si="39"/>
        <v/>
      </c>
      <c r="AT246" t="str">
        <f t="shared" si="40"/>
        <v/>
      </c>
      <c r="BG246" t="str">
        <f t="shared" si="41"/>
        <v/>
      </c>
      <c r="BH246" t="str">
        <f t="shared" si="42"/>
        <v/>
      </c>
      <c r="BL246" t="str">
        <f>IFERROR(INDEX(_names_lookup!$C:$C,MATCH(BK246,_names_lookup!$A:$A,0)),"")</f>
        <v/>
      </c>
      <c r="BM246" t="str">
        <f>IFERROR(INDEX(_names_lookup!$B:$B,MATCH(BK246,_names_lookup!$A:$A,0)),"")</f>
        <v/>
      </c>
      <c r="BS246" t="str">
        <f t="shared" si="43"/>
        <v/>
      </c>
    </row>
    <row r="247" spans="15:71" x14ac:dyDescent="0.2">
      <c r="O247" t="str">
        <f>IFERROR(INDEX(_courses_lookup!$C:$C,MATCH(K247&amp;L247,_courses_lookup!$E:$E,0)),"")</f>
        <v/>
      </c>
      <c r="P247" t="str">
        <f>IFERROR(INDEX(_courses_lookup!$D:$D,MATCH(K247&amp;L247,_courses_lookup!$E:$E,0)),"")</f>
        <v/>
      </c>
      <c r="AG247" t="str">
        <f t="shared" si="33"/>
        <v/>
      </c>
      <c r="AI247" t="str">
        <f t="shared" si="34"/>
        <v/>
      </c>
      <c r="AL247" t="str">
        <f t="shared" si="35"/>
        <v/>
      </c>
      <c r="AN247" t="str">
        <f t="shared" si="36"/>
        <v/>
      </c>
      <c r="AQ247" t="str">
        <f t="shared" si="37"/>
        <v/>
      </c>
      <c r="AR247" t="str">
        <f t="shared" si="38"/>
        <v/>
      </c>
      <c r="AS247" t="str">
        <f t="shared" si="39"/>
        <v/>
      </c>
      <c r="AT247" t="str">
        <f t="shared" si="40"/>
        <v/>
      </c>
      <c r="BG247" t="str">
        <f t="shared" si="41"/>
        <v/>
      </c>
      <c r="BH247" t="str">
        <f t="shared" si="42"/>
        <v/>
      </c>
      <c r="BL247" t="str">
        <f>IFERROR(INDEX(_names_lookup!$C:$C,MATCH(BK247,_names_lookup!$A:$A,0)),"")</f>
        <v/>
      </c>
      <c r="BM247" t="str">
        <f>IFERROR(INDEX(_names_lookup!$B:$B,MATCH(BK247,_names_lookup!$A:$A,0)),"")</f>
        <v/>
      </c>
      <c r="BS247" t="str">
        <f t="shared" si="43"/>
        <v/>
      </c>
    </row>
    <row r="248" spans="15:71" x14ac:dyDescent="0.2">
      <c r="O248" t="str">
        <f>IFERROR(INDEX(_courses_lookup!$C:$C,MATCH(K248&amp;L248,_courses_lookup!$E:$E,0)),"")</f>
        <v/>
      </c>
      <c r="P248" t="str">
        <f>IFERROR(INDEX(_courses_lookup!$D:$D,MATCH(K248&amp;L248,_courses_lookup!$E:$E,0)),"")</f>
        <v/>
      </c>
      <c r="AG248" t="str">
        <f t="shared" si="33"/>
        <v/>
      </c>
      <c r="AI248" t="str">
        <f t="shared" si="34"/>
        <v/>
      </c>
      <c r="AL248" t="str">
        <f t="shared" si="35"/>
        <v/>
      </c>
      <c r="AN248" t="str">
        <f t="shared" si="36"/>
        <v/>
      </c>
      <c r="AQ248" t="str">
        <f t="shared" si="37"/>
        <v/>
      </c>
      <c r="AR248" t="str">
        <f t="shared" si="38"/>
        <v/>
      </c>
      <c r="AS248" t="str">
        <f t="shared" si="39"/>
        <v/>
      </c>
      <c r="AT248" t="str">
        <f t="shared" si="40"/>
        <v/>
      </c>
      <c r="BG248" t="str">
        <f t="shared" si="41"/>
        <v/>
      </c>
      <c r="BH248" t="str">
        <f t="shared" si="42"/>
        <v/>
      </c>
      <c r="BL248" t="str">
        <f>IFERROR(INDEX(_names_lookup!$C:$C,MATCH(BK248,_names_lookup!$A:$A,0)),"")</f>
        <v/>
      </c>
      <c r="BM248" t="str">
        <f>IFERROR(INDEX(_names_lookup!$B:$B,MATCH(BK248,_names_lookup!$A:$A,0)),"")</f>
        <v/>
      </c>
      <c r="BS248" t="str">
        <f t="shared" si="43"/>
        <v/>
      </c>
    </row>
    <row r="249" spans="15:71" x14ac:dyDescent="0.2">
      <c r="O249" t="str">
        <f>IFERROR(INDEX(_courses_lookup!$C:$C,MATCH(K249&amp;L249,_courses_lookup!$E:$E,0)),"")</f>
        <v/>
      </c>
      <c r="P249" t="str">
        <f>IFERROR(INDEX(_courses_lookup!$D:$D,MATCH(K249&amp;L249,_courses_lookup!$E:$E,0)),"")</f>
        <v/>
      </c>
      <c r="AG249" t="str">
        <f t="shared" si="33"/>
        <v/>
      </c>
      <c r="AI249" t="str">
        <f t="shared" si="34"/>
        <v/>
      </c>
      <c r="AL249" t="str">
        <f t="shared" si="35"/>
        <v/>
      </c>
      <c r="AN249" t="str">
        <f t="shared" si="36"/>
        <v/>
      </c>
      <c r="AQ249" t="str">
        <f t="shared" si="37"/>
        <v/>
      </c>
      <c r="AR249" t="str">
        <f t="shared" si="38"/>
        <v/>
      </c>
      <c r="AS249" t="str">
        <f t="shared" si="39"/>
        <v/>
      </c>
      <c r="AT249" t="str">
        <f t="shared" si="40"/>
        <v/>
      </c>
      <c r="BG249" t="str">
        <f t="shared" si="41"/>
        <v/>
      </c>
      <c r="BH249" t="str">
        <f t="shared" si="42"/>
        <v/>
      </c>
      <c r="BL249" t="str">
        <f>IFERROR(INDEX(_names_lookup!$C:$C,MATCH(BK249,_names_lookup!$A:$A,0)),"")</f>
        <v/>
      </c>
      <c r="BM249" t="str">
        <f>IFERROR(INDEX(_names_lookup!$B:$B,MATCH(BK249,_names_lookup!$A:$A,0)),"")</f>
        <v/>
      </c>
      <c r="BS249" t="str">
        <f t="shared" si="43"/>
        <v/>
      </c>
    </row>
    <row r="250" spans="15:71" x14ac:dyDescent="0.2">
      <c r="O250" t="str">
        <f>IFERROR(INDEX(_courses_lookup!$C:$C,MATCH(K250&amp;L250,_courses_lookup!$E:$E,0)),"")</f>
        <v/>
      </c>
      <c r="P250" t="str">
        <f>IFERROR(INDEX(_courses_lookup!$D:$D,MATCH(K250&amp;L250,_courses_lookup!$E:$E,0)),"")</f>
        <v/>
      </c>
      <c r="AG250" t="str">
        <f t="shared" si="33"/>
        <v/>
      </c>
      <c r="AI250" t="str">
        <f t="shared" si="34"/>
        <v/>
      </c>
      <c r="AL250" t="str">
        <f t="shared" si="35"/>
        <v/>
      </c>
      <c r="AN250" t="str">
        <f t="shared" si="36"/>
        <v/>
      </c>
      <c r="AQ250" t="str">
        <f t="shared" si="37"/>
        <v/>
      </c>
      <c r="AR250" t="str">
        <f t="shared" si="38"/>
        <v/>
      </c>
      <c r="AS250" t="str">
        <f t="shared" si="39"/>
        <v/>
      </c>
      <c r="AT250" t="str">
        <f t="shared" si="40"/>
        <v/>
      </c>
      <c r="BG250" t="str">
        <f t="shared" si="41"/>
        <v/>
      </c>
      <c r="BH250" t="str">
        <f t="shared" si="42"/>
        <v/>
      </c>
      <c r="BL250" t="str">
        <f>IFERROR(INDEX(_names_lookup!$C:$C,MATCH(BK250,_names_lookup!$A:$A,0)),"")</f>
        <v/>
      </c>
      <c r="BM250" t="str">
        <f>IFERROR(INDEX(_names_lookup!$B:$B,MATCH(BK250,_names_lookup!$A:$A,0)),"")</f>
        <v/>
      </c>
      <c r="BS250" t="str">
        <f t="shared" si="43"/>
        <v/>
      </c>
    </row>
    <row r="251" spans="15:71" x14ac:dyDescent="0.2">
      <c r="O251" t="str">
        <f>IFERROR(INDEX(_courses_lookup!$C:$C,MATCH(K251&amp;L251,_courses_lookup!$E:$E,0)),"")</f>
        <v/>
      </c>
      <c r="P251" t="str">
        <f>IFERROR(INDEX(_courses_lookup!$D:$D,MATCH(K251&amp;L251,_courses_lookup!$E:$E,0)),"")</f>
        <v/>
      </c>
      <c r="AG251" t="str">
        <f t="shared" si="33"/>
        <v/>
      </c>
      <c r="AI251" t="str">
        <f t="shared" si="34"/>
        <v/>
      </c>
      <c r="AL251" t="str">
        <f t="shared" si="35"/>
        <v/>
      </c>
      <c r="AN251" t="str">
        <f t="shared" si="36"/>
        <v/>
      </c>
      <c r="AQ251" t="str">
        <f t="shared" si="37"/>
        <v/>
      </c>
      <c r="AR251" t="str">
        <f t="shared" si="38"/>
        <v/>
      </c>
      <c r="AS251" t="str">
        <f t="shared" si="39"/>
        <v/>
      </c>
      <c r="AT251" t="str">
        <f t="shared" si="40"/>
        <v/>
      </c>
      <c r="BG251" t="str">
        <f t="shared" si="41"/>
        <v/>
      </c>
      <c r="BH251" t="str">
        <f t="shared" si="42"/>
        <v/>
      </c>
      <c r="BL251" t="str">
        <f>IFERROR(INDEX(_names_lookup!$C:$C,MATCH(BK251,_names_lookup!$A:$A,0)),"")</f>
        <v/>
      </c>
      <c r="BM251" t="str">
        <f>IFERROR(INDEX(_names_lookup!$B:$B,MATCH(BK251,_names_lookup!$A:$A,0)),"")</f>
        <v/>
      </c>
      <c r="BS251" t="str">
        <f t="shared" si="43"/>
        <v/>
      </c>
    </row>
    <row r="252" spans="15:71" x14ac:dyDescent="0.2">
      <c r="O252" t="str">
        <f>IFERROR(INDEX(_courses_lookup!$C:$C,MATCH(K252&amp;L252,_courses_lookup!$E:$E,0)),"")</f>
        <v/>
      </c>
      <c r="P252" t="str">
        <f>IFERROR(INDEX(_courses_lookup!$D:$D,MATCH(K252&amp;L252,_courses_lookup!$E:$E,0)),"")</f>
        <v/>
      </c>
      <c r="AG252" t="str">
        <f t="shared" si="33"/>
        <v/>
      </c>
      <c r="AI252" t="str">
        <f t="shared" si="34"/>
        <v/>
      </c>
      <c r="AL252" t="str">
        <f t="shared" si="35"/>
        <v/>
      </c>
      <c r="AN252" t="str">
        <f t="shared" si="36"/>
        <v/>
      </c>
      <c r="AQ252" t="str">
        <f t="shared" si="37"/>
        <v/>
      </c>
      <c r="AR252" t="str">
        <f t="shared" si="38"/>
        <v/>
      </c>
      <c r="AS252" t="str">
        <f t="shared" si="39"/>
        <v/>
      </c>
      <c r="AT252" t="str">
        <f t="shared" si="40"/>
        <v/>
      </c>
      <c r="BG252" t="str">
        <f t="shared" si="41"/>
        <v/>
      </c>
      <c r="BH252" t="str">
        <f t="shared" si="42"/>
        <v/>
      </c>
      <c r="BL252" t="str">
        <f>IFERROR(INDEX(_names_lookup!$C:$C,MATCH(BK252,_names_lookup!$A:$A,0)),"")</f>
        <v/>
      </c>
      <c r="BM252" t="str">
        <f>IFERROR(INDEX(_names_lookup!$B:$B,MATCH(BK252,_names_lookup!$A:$A,0)),"")</f>
        <v/>
      </c>
      <c r="BS252" t="str">
        <f t="shared" si="43"/>
        <v/>
      </c>
    </row>
    <row r="253" spans="15:71" x14ac:dyDescent="0.2">
      <c r="O253" t="str">
        <f>IFERROR(INDEX(_courses_lookup!$C:$C,MATCH(K253&amp;L253,_courses_lookup!$E:$E,0)),"")</f>
        <v/>
      </c>
      <c r="P253" t="str">
        <f>IFERROR(INDEX(_courses_lookup!$D:$D,MATCH(K253&amp;L253,_courses_lookup!$E:$E,0)),"")</f>
        <v/>
      </c>
      <c r="AG253" t="str">
        <f t="shared" si="33"/>
        <v/>
      </c>
      <c r="AI253" t="str">
        <f t="shared" si="34"/>
        <v/>
      </c>
      <c r="AL253" t="str">
        <f t="shared" si="35"/>
        <v/>
      </c>
      <c r="AN253" t="str">
        <f t="shared" si="36"/>
        <v/>
      </c>
      <c r="AQ253" t="str">
        <f t="shared" si="37"/>
        <v/>
      </c>
      <c r="AR253" t="str">
        <f t="shared" si="38"/>
        <v/>
      </c>
      <c r="AS253" t="str">
        <f t="shared" si="39"/>
        <v/>
      </c>
      <c r="AT253" t="str">
        <f t="shared" si="40"/>
        <v/>
      </c>
      <c r="BG253" t="str">
        <f t="shared" si="41"/>
        <v/>
      </c>
      <c r="BH253" t="str">
        <f t="shared" si="42"/>
        <v/>
      </c>
      <c r="BL253" t="str">
        <f>IFERROR(INDEX(_names_lookup!$C:$C,MATCH(BK253,_names_lookup!$A:$A,0)),"")</f>
        <v/>
      </c>
      <c r="BM253" t="str">
        <f>IFERROR(INDEX(_names_lookup!$B:$B,MATCH(BK253,_names_lookup!$A:$A,0)),"")</f>
        <v/>
      </c>
      <c r="BS253" t="str">
        <f t="shared" si="43"/>
        <v/>
      </c>
    </row>
    <row r="254" spans="15:71" x14ac:dyDescent="0.2">
      <c r="O254" t="str">
        <f>IFERROR(INDEX(_courses_lookup!$C:$C,MATCH(K254&amp;L254,_courses_lookup!$E:$E,0)),"")</f>
        <v/>
      </c>
      <c r="P254" t="str">
        <f>IFERROR(INDEX(_courses_lookup!$D:$D,MATCH(K254&amp;L254,_courses_lookup!$E:$E,0)),"")</f>
        <v/>
      </c>
      <c r="AG254" t="str">
        <f t="shared" si="33"/>
        <v/>
      </c>
      <c r="AI254" t="str">
        <f t="shared" si="34"/>
        <v/>
      </c>
      <c r="AL254" t="str">
        <f t="shared" si="35"/>
        <v/>
      </c>
      <c r="AN254" t="str">
        <f t="shared" si="36"/>
        <v/>
      </c>
      <c r="AQ254" t="str">
        <f t="shared" si="37"/>
        <v/>
      </c>
      <c r="AR254" t="str">
        <f t="shared" si="38"/>
        <v/>
      </c>
      <c r="AS254" t="str">
        <f t="shared" si="39"/>
        <v/>
      </c>
      <c r="AT254" t="str">
        <f t="shared" si="40"/>
        <v/>
      </c>
      <c r="BG254" t="str">
        <f t="shared" si="41"/>
        <v/>
      </c>
      <c r="BH254" t="str">
        <f t="shared" si="42"/>
        <v/>
      </c>
      <c r="BL254" t="str">
        <f>IFERROR(INDEX(_names_lookup!$C:$C,MATCH(BK254,_names_lookup!$A:$A,0)),"")</f>
        <v/>
      </c>
      <c r="BM254" t="str">
        <f>IFERROR(INDEX(_names_lookup!$B:$B,MATCH(BK254,_names_lookup!$A:$A,0)),"")</f>
        <v/>
      </c>
      <c r="BS254" t="str">
        <f t="shared" si="43"/>
        <v/>
      </c>
    </row>
    <row r="255" spans="15:71" x14ac:dyDescent="0.2">
      <c r="O255" t="str">
        <f>IFERROR(INDEX(_courses_lookup!$C:$C,MATCH(K255&amp;L255,_courses_lookup!$E:$E,0)),"")</f>
        <v/>
      </c>
      <c r="P255" t="str">
        <f>IFERROR(INDEX(_courses_lookup!$D:$D,MATCH(K255&amp;L255,_courses_lookup!$E:$E,0)),"")</f>
        <v/>
      </c>
      <c r="AG255" t="str">
        <f t="shared" si="33"/>
        <v/>
      </c>
      <c r="AI255" t="str">
        <f t="shared" si="34"/>
        <v/>
      </c>
      <c r="AL255" t="str">
        <f t="shared" si="35"/>
        <v/>
      </c>
      <c r="AN255" t="str">
        <f t="shared" si="36"/>
        <v/>
      </c>
      <c r="AQ255" t="str">
        <f t="shared" si="37"/>
        <v/>
      </c>
      <c r="AR255" t="str">
        <f t="shared" si="38"/>
        <v/>
      </c>
      <c r="AS255" t="str">
        <f t="shared" si="39"/>
        <v/>
      </c>
      <c r="AT255" t="str">
        <f t="shared" si="40"/>
        <v/>
      </c>
      <c r="BG255" t="str">
        <f t="shared" si="41"/>
        <v/>
      </c>
      <c r="BH255" t="str">
        <f t="shared" si="42"/>
        <v/>
      </c>
      <c r="BL255" t="str">
        <f>IFERROR(INDEX(_names_lookup!$C:$C,MATCH(BK255,_names_lookup!$A:$A,0)),"")</f>
        <v/>
      </c>
      <c r="BM255" t="str">
        <f>IFERROR(INDEX(_names_lookup!$B:$B,MATCH(BK255,_names_lookup!$A:$A,0)),"")</f>
        <v/>
      </c>
      <c r="BS255" t="str">
        <f t="shared" si="43"/>
        <v/>
      </c>
    </row>
    <row r="256" spans="15:71" x14ac:dyDescent="0.2">
      <c r="O256" t="str">
        <f>IFERROR(INDEX(_courses_lookup!$C:$C,MATCH(K256&amp;L256,_courses_lookup!$E:$E,0)),"")</f>
        <v/>
      </c>
      <c r="P256" t="str">
        <f>IFERROR(INDEX(_courses_lookup!$D:$D,MATCH(K256&amp;L256,_courses_lookup!$E:$E,0)),"")</f>
        <v/>
      </c>
      <c r="AG256" t="str">
        <f t="shared" si="33"/>
        <v/>
      </c>
      <c r="AI256" t="str">
        <f t="shared" si="34"/>
        <v/>
      </c>
      <c r="AL256" t="str">
        <f t="shared" si="35"/>
        <v/>
      </c>
      <c r="AN256" t="str">
        <f t="shared" si="36"/>
        <v/>
      </c>
      <c r="AQ256" t="str">
        <f t="shared" si="37"/>
        <v/>
      </c>
      <c r="AR256" t="str">
        <f t="shared" si="38"/>
        <v/>
      </c>
      <c r="AS256" t="str">
        <f t="shared" si="39"/>
        <v/>
      </c>
      <c r="AT256" t="str">
        <f t="shared" si="40"/>
        <v/>
      </c>
      <c r="BG256" t="str">
        <f t="shared" si="41"/>
        <v/>
      </c>
      <c r="BH256" t="str">
        <f t="shared" si="42"/>
        <v/>
      </c>
      <c r="BL256" t="str">
        <f>IFERROR(INDEX(_names_lookup!$C:$C,MATCH(BK256,_names_lookup!$A:$A,0)),"")</f>
        <v/>
      </c>
      <c r="BM256" t="str">
        <f>IFERROR(INDEX(_names_lookup!$B:$B,MATCH(BK256,_names_lookup!$A:$A,0)),"")</f>
        <v/>
      </c>
      <c r="BS256" t="str">
        <f t="shared" si="43"/>
        <v/>
      </c>
    </row>
    <row r="257" spans="15:71" x14ac:dyDescent="0.2">
      <c r="O257" t="str">
        <f>IFERROR(INDEX(_courses_lookup!$C:$C,MATCH(K257&amp;L257,_courses_lookup!$E:$E,0)),"")</f>
        <v/>
      </c>
      <c r="P257" t="str">
        <f>IFERROR(INDEX(_courses_lookup!$D:$D,MATCH(K257&amp;L257,_courses_lookup!$E:$E,0)),"")</f>
        <v/>
      </c>
      <c r="AG257" t="str">
        <f t="shared" si="33"/>
        <v/>
      </c>
      <c r="AI257" t="str">
        <f t="shared" si="34"/>
        <v/>
      </c>
      <c r="AL257" t="str">
        <f t="shared" si="35"/>
        <v/>
      </c>
      <c r="AN257" t="str">
        <f t="shared" si="36"/>
        <v/>
      </c>
      <c r="AQ257" t="str">
        <f t="shared" si="37"/>
        <v/>
      </c>
      <c r="AR257" t="str">
        <f t="shared" si="38"/>
        <v/>
      </c>
      <c r="AS257" t="str">
        <f t="shared" si="39"/>
        <v/>
      </c>
      <c r="AT257" t="str">
        <f t="shared" si="40"/>
        <v/>
      </c>
      <c r="BG257" t="str">
        <f t="shared" si="41"/>
        <v/>
      </c>
      <c r="BH257" t="str">
        <f t="shared" si="42"/>
        <v/>
      </c>
      <c r="BL257" t="str">
        <f>IFERROR(INDEX(_names_lookup!$C:$C,MATCH(BK257,_names_lookup!$A:$A,0)),"")</f>
        <v/>
      </c>
      <c r="BM257" t="str">
        <f>IFERROR(INDEX(_names_lookup!$B:$B,MATCH(BK257,_names_lookup!$A:$A,0)),"")</f>
        <v/>
      </c>
      <c r="BS257" t="str">
        <f t="shared" si="43"/>
        <v/>
      </c>
    </row>
    <row r="258" spans="15:71" x14ac:dyDescent="0.2">
      <c r="O258" t="str">
        <f>IFERROR(INDEX(_courses_lookup!$C:$C,MATCH(K258&amp;L258,_courses_lookup!$E:$E,0)),"")</f>
        <v/>
      </c>
      <c r="P258" t="str">
        <f>IFERROR(INDEX(_courses_lookup!$D:$D,MATCH(K258&amp;L258,_courses_lookup!$E:$E,0)),"")</f>
        <v/>
      </c>
      <c r="AG258" t="str">
        <f t="shared" ref="AG258:AG321" si="44">IF(AND(AE258&lt;&gt;"",AF258&lt;&gt;""),ROUNDUP((AF258-AE258)/7,0),"")</f>
        <v/>
      </c>
      <c r="AI258" t="str">
        <f t="shared" ref="AI258:AI321" si="45">IFERROR(IF(AG258*AH258=0,"",AG258*AH258),"")</f>
        <v/>
      </c>
      <c r="AL258" t="str">
        <f t="shared" ref="AL258:AL321" si="46">IF(AND(AJ258&lt;&gt;"",AK258&lt;&gt;""),ROUNDUP((AK258-AJ258)/7,0),"")</f>
        <v/>
      </c>
      <c r="AN258" t="str">
        <f t="shared" ref="AN258:AN321" si="47">IFERROR(IF(AL258*AM258=0,"",AL258*AM258),"")</f>
        <v/>
      </c>
      <c r="AQ258" t="str">
        <f t="shared" ref="AQ258:AQ321" si="48">IF(AND(AO258&lt;&gt;"",AP258&lt;&gt;""),ROUNDUP((AP258-AO258)/7,0),"")</f>
        <v/>
      </c>
      <c r="AR258" t="str">
        <f t="shared" ref="AR258:AR321" si="49">IFERROR(IF((AU258-(AI258+AN258))/AQ258=0,"",ROUNDUP((AU258-(AI258+AN258))/AQ258,0)),"")</f>
        <v/>
      </c>
      <c r="AS258" t="str">
        <f t="shared" ref="AS258:AS300" si="50">IFERROR(IF((AU258-(AI258+AN258))=0,"",(AU258-(AI258+AN258))),"")</f>
        <v/>
      </c>
      <c r="AT258" t="str">
        <f t="shared" ref="AT258:AT300" si="51">IF(AND(AG258="",AQ258=""),AL258,IF(SUM(AG258,AL258,AQ258)=0,"",SUM(AG258,AL258,AQ258)))</f>
        <v/>
      </c>
      <c r="BG258" t="str">
        <f t="shared" ref="BG258:BG300" si="52">IF(AD258="","",YEAR(AD258)+IF(MONTH(AD258)&gt;=5,1,0))</f>
        <v/>
      </c>
      <c r="BH258" t="str">
        <f t="shared" ref="BH258:BH300" si="53">IF(AD258="","",IF(AND(MONTH(AD258)=8,DAY(AD258)&gt;=15),"Fall",IF(MONTH(AD258)&gt;8,"Fall",IF(MONTH(AD258)=5,"Summer",IF(MONTH(AD258)=1,"Spring","")))))</f>
        <v/>
      </c>
      <c r="BL258" t="str">
        <f>IFERROR(INDEX(_names_lookup!$C:$C,MATCH(BK258,_names_lookup!$A:$A,0)),"")</f>
        <v/>
      </c>
      <c r="BM258" t="str">
        <f>IFERROR(INDEX(_names_lookup!$B:$B,MATCH(BK258,_names_lookup!$A:$A,0)),"")</f>
        <v/>
      </c>
      <c r="BS258" t="str">
        <f t="shared" ref="BS258:BS321" si="54">IFERROR(IF(BR258*AA258=0,"",BR258*AA258),"")</f>
        <v/>
      </c>
    </row>
    <row r="259" spans="15:71" x14ac:dyDescent="0.2">
      <c r="O259" t="str">
        <f>IFERROR(INDEX(_courses_lookup!$C:$C,MATCH(K259&amp;L259,_courses_lookup!$E:$E,0)),"")</f>
        <v/>
      </c>
      <c r="P259" t="str">
        <f>IFERROR(INDEX(_courses_lookup!$D:$D,MATCH(K259&amp;L259,_courses_lookup!$E:$E,0)),"")</f>
        <v/>
      </c>
      <c r="AG259" t="str">
        <f t="shared" si="44"/>
        <v/>
      </c>
      <c r="AI259" t="str">
        <f t="shared" si="45"/>
        <v/>
      </c>
      <c r="AL259" t="str">
        <f t="shared" si="46"/>
        <v/>
      </c>
      <c r="AN259" t="str">
        <f t="shared" si="47"/>
        <v/>
      </c>
      <c r="AQ259" t="str">
        <f t="shared" si="48"/>
        <v/>
      </c>
      <c r="AR259" t="str">
        <f t="shared" si="49"/>
        <v/>
      </c>
      <c r="AS259" t="str">
        <f t="shared" si="50"/>
        <v/>
      </c>
      <c r="AT259" t="str">
        <f t="shared" si="51"/>
        <v/>
      </c>
      <c r="BG259" t="str">
        <f t="shared" si="52"/>
        <v/>
      </c>
      <c r="BH259" t="str">
        <f t="shared" si="53"/>
        <v/>
      </c>
      <c r="BL259" t="str">
        <f>IFERROR(INDEX(_names_lookup!$C:$C,MATCH(BK259,_names_lookup!$A:$A,0)),"")</f>
        <v/>
      </c>
      <c r="BM259" t="str">
        <f>IFERROR(INDEX(_names_lookup!$B:$B,MATCH(BK259,_names_lookup!$A:$A,0)),"")</f>
        <v/>
      </c>
      <c r="BS259" t="str">
        <f t="shared" si="54"/>
        <v/>
      </c>
    </row>
    <row r="260" spans="15:71" x14ac:dyDescent="0.2">
      <c r="O260" t="str">
        <f>IFERROR(INDEX(_courses_lookup!$C:$C,MATCH(K260&amp;L260,_courses_lookup!$E:$E,0)),"")</f>
        <v/>
      </c>
      <c r="P260" t="str">
        <f>IFERROR(INDEX(_courses_lookup!$D:$D,MATCH(K260&amp;L260,_courses_lookup!$E:$E,0)),"")</f>
        <v/>
      </c>
      <c r="AG260" t="str">
        <f t="shared" si="44"/>
        <v/>
      </c>
      <c r="AI260" t="str">
        <f t="shared" si="45"/>
        <v/>
      </c>
      <c r="AL260" t="str">
        <f t="shared" si="46"/>
        <v/>
      </c>
      <c r="AN260" t="str">
        <f t="shared" si="47"/>
        <v/>
      </c>
      <c r="AQ260" t="str">
        <f t="shared" si="48"/>
        <v/>
      </c>
      <c r="AR260" t="str">
        <f t="shared" si="49"/>
        <v/>
      </c>
      <c r="AS260" t="str">
        <f t="shared" si="50"/>
        <v/>
      </c>
      <c r="AT260" t="str">
        <f t="shared" si="51"/>
        <v/>
      </c>
      <c r="BG260" t="str">
        <f t="shared" si="52"/>
        <v/>
      </c>
      <c r="BH260" t="str">
        <f t="shared" si="53"/>
        <v/>
      </c>
      <c r="BL260" t="str">
        <f>IFERROR(INDEX(_names_lookup!$C:$C,MATCH(BK260,_names_lookup!$A:$A,0)),"")</f>
        <v/>
      </c>
      <c r="BM260" t="str">
        <f>IFERROR(INDEX(_names_lookup!$B:$B,MATCH(BK260,_names_lookup!$A:$A,0)),"")</f>
        <v/>
      </c>
      <c r="BS260" t="str">
        <f t="shared" si="54"/>
        <v/>
      </c>
    </row>
    <row r="261" spans="15:71" x14ac:dyDescent="0.2">
      <c r="O261" t="str">
        <f>IFERROR(INDEX(_courses_lookup!$C:$C,MATCH(K261&amp;L261,_courses_lookup!$E:$E,0)),"")</f>
        <v/>
      </c>
      <c r="P261" t="str">
        <f>IFERROR(INDEX(_courses_lookup!$D:$D,MATCH(K261&amp;L261,_courses_lookup!$E:$E,0)),"")</f>
        <v/>
      </c>
      <c r="AG261" t="str">
        <f t="shared" si="44"/>
        <v/>
      </c>
      <c r="AI261" t="str">
        <f t="shared" si="45"/>
        <v/>
      </c>
      <c r="AL261" t="str">
        <f t="shared" si="46"/>
        <v/>
      </c>
      <c r="AN261" t="str">
        <f t="shared" si="47"/>
        <v/>
      </c>
      <c r="AQ261" t="str">
        <f t="shared" si="48"/>
        <v/>
      </c>
      <c r="AR261" t="str">
        <f t="shared" si="49"/>
        <v/>
      </c>
      <c r="AS261" t="str">
        <f t="shared" si="50"/>
        <v/>
      </c>
      <c r="AT261" t="str">
        <f t="shared" si="51"/>
        <v/>
      </c>
      <c r="BG261" t="str">
        <f t="shared" si="52"/>
        <v/>
      </c>
      <c r="BH261" t="str">
        <f t="shared" si="53"/>
        <v/>
      </c>
      <c r="BL261" t="str">
        <f>IFERROR(INDEX(_names_lookup!$C:$C,MATCH(BK261,_names_lookup!$A:$A,0)),"")</f>
        <v/>
      </c>
      <c r="BM261" t="str">
        <f>IFERROR(INDEX(_names_lookup!$B:$B,MATCH(BK261,_names_lookup!$A:$A,0)),"")</f>
        <v/>
      </c>
      <c r="BS261" t="str">
        <f t="shared" si="54"/>
        <v/>
      </c>
    </row>
    <row r="262" spans="15:71" x14ac:dyDescent="0.2">
      <c r="O262" t="str">
        <f>IFERROR(INDEX(_courses_lookup!$C:$C,MATCH(K262&amp;L262,_courses_lookup!$E:$E,0)),"")</f>
        <v/>
      </c>
      <c r="P262" t="str">
        <f>IFERROR(INDEX(_courses_lookup!$D:$D,MATCH(K262&amp;L262,_courses_lookup!$E:$E,0)),"")</f>
        <v/>
      </c>
      <c r="AG262" t="str">
        <f t="shared" si="44"/>
        <v/>
      </c>
      <c r="AI262" t="str">
        <f t="shared" si="45"/>
        <v/>
      </c>
      <c r="AL262" t="str">
        <f t="shared" si="46"/>
        <v/>
      </c>
      <c r="AN262" t="str">
        <f t="shared" si="47"/>
        <v/>
      </c>
      <c r="AQ262" t="str">
        <f t="shared" si="48"/>
        <v/>
      </c>
      <c r="AR262" t="str">
        <f t="shared" si="49"/>
        <v/>
      </c>
      <c r="AS262" t="str">
        <f t="shared" si="50"/>
        <v/>
      </c>
      <c r="AT262" t="str">
        <f t="shared" si="51"/>
        <v/>
      </c>
      <c r="BG262" t="str">
        <f t="shared" si="52"/>
        <v/>
      </c>
      <c r="BH262" t="str">
        <f t="shared" si="53"/>
        <v/>
      </c>
      <c r="BL262" t="str">
        <f>IFERROR(INDEX(_names_lookup!$C:$C,MATCH(BK262,_names_lookup!$A:$A,0)),"")</f>
        <v/>
      </c>
      <c r="BM262" t="str">
        <f>IFERROR(INDEX(_names_lookup!$B:$B,MATCH(BK262,_names_lookup!$A:$A,0)),"")</f>
        <v/>
      </c>
      <c r="BS262" t="str">
        <f t="shared" si="54"/>
        <v/>
      </c>
    </row>
    <row r="263" spans="15:71" x14ac:dyDescent="0.2">
      <c r="O263" t="str">
        <f>IFERROR(INDEX(_courses_lookup!$C:$C,MATCH(K263&amp;L263,_courses_lookup!$E:$E,0)),"")</f>
        <v/>
      </c>
      <c r="P263" t="str">
        <f>IFERROR(INDEX(_courses_lookup!$D:$D,MATCH(K263&amp;L263,_courses_lookup!$E:$E,0)),"")</f>
        <v/>
      </c>
      <c r="AG263" t="str">
        <f t="shared" si="44"/>
        <v/>
      </c>
      <c r="AI263" t="str">
        <f t="shared" si="45"/>
        <v/>
      </c>
      <c r="AL263" t="str">
        <f t="shared" si="46"/>
        <v/>
      </c>
      <c r="AN263" t="str">
        <f t="shared" si="47"/>
        <v/>
      </c>
      <c r="AQ263" t="str">
        <f t="shared" si="48"/>
        <v/>
      </c>
      <c r="AR263" t="str">
        <f t="shared" si="49"/>
        <v/>
      </c>
      <c r="AS263" t="str">
        <f t="shared" si="50"/>
        <v/>
      </c>
      <c r="AT263" t="str">
        <f t="shared" si="51"/>
        <v/>
      </c>
      <c r="BG263" t="str">
        <f t="shared" si="52"/>
        <v/>
      </c>
      <c r="BH263" t="str">
        <f t="shared" si="53"/>
        <v/>
      </c>
      <c r="BL263" t="str">
        <f>IFERROR(INDEX(_names_lookup!$C:$C,MATCH(BK263,_names_lookup!$A:$A,0)),"")</f>
        <v/>
      </c>
      <c r="BM263" t="str">
        <f>IFERROR(INDEX(_names_lookup!$B:$B,MATCH(BK263,_names_lookup!$A:$A,0)),"")</f>
        <v/>
      </c>
      <c r="BS263" t="str">
        <f t="shared" si="54"/>
        <v/>
      </c>
    </row>
    <row r="264" spans="15:71" x14ac:dyDescent="0.2">
      <c r="O264" t="str">
        <f>IFERROR(INDEX(_courses_lookup!$C:$C,MATCH(K264&amp;L264,_courses_lookup!$E:$E,0)),"")</f>
        <v/>
      </c>
      <c r="P264" t="str">
        <f>IFERROR(INDEX(_courses_lookup!$D:$D,MATCH(K264&amp;L264,_courses_lookup!$E:$E,0)),"")</f>
        <v/>
      </c>
      <c r="AG264" t="str">
        <f t="shared" si="44"/>
        <v/>
      </c>
      <c r="AI264" t="str">
        <f t="shared" si="45"/>
        <v/>
      </c>
      <c r="AL264" t="str">
        <f t="shared" si="46"/>
        <v/>
      </c>
      <c r="AN264" t="str">
        <f t="shared" si="47"/>
        <v/>
      </c>
      <c r="AQ264" t="str">
        <f t="shared" si="48"/>
        <v/>
      </c>
      <c r="AR264" t="str">
        <f t="shared" si="49"/>
        <v/>
      </c>
      <c r="AS264" t="str">
        <f t="shared" si="50"/>
        <v/>
      </c>
      <c r="AT264" t="str">
        <f t="shared" si="51"/>
        <v/>
      </c>
      <c r="BG264" t="str">
        <f t="shared" si="52"/>
        <v/>
      </c>
      <c r="BH264" t="str">
        <f t="shared" si="53"/>
        <v/>
      </c>
      <c r="BL264" t="str">
        <f>IFERROR(INDEX(_names_lookup!$C:$C,MATCH(BK264,_names_lookup!$A:$A,0)),"")</f>
        <v/>
      </c>
      <c r="BM264" t="str">
        <f>IFERROR(INDEX(_names_lookup!$B:$B,MATCH(BK264,_names_lookup!$A:$A,0)),"")</f>
        <v/>
      </c>
      <c r="BS264" t="str">
        <f t="shared" si="54"/>
        <v/>
      </c>
    </row>
    <row r="265" spans="15:71" x14ac:dyDescent="0.2">
      <c r="O265" t="str">
        <f>IFERROR(INDEX(_courses_lookup!$C:$C,MATCH(K265&amp;L265,_courses_lookup!$E:$E,0)),"")</f>
        <v/>
      </c>
      <c r="P265" t="str">
        <f>IFERROR(INDEX(_courses_lookup!$D:$D,MATCH(K265&amp;L265,_courses_lookup!$E:$E,0)),"")</f>
        <v/>
      </c>
      <c r="AG265" t="str">
        <f t="shared" si="44"/>
        <v/>
      </c>
      <c r="AI265" t="str">
        <f t="shared" si="45"/>
        <v/>
      </c>
      <c r="AL265" t="str">
        <f t="shared" si="46"/>
        <v/>
      </c>
      <c r="AN265" t="str">
        <f t="shared" si="47"/>
        <v/>
      </c>
      <c r="AQ265" t="str">
        <f t="shared" si="48"/>
        <v/>
      </c>
      <c r="AR265" t="str">
        <f t="shared" si="49"/>
        <v/>
      </c>
      <c r="AS265" t="str">
        <f t="shared" si="50"/>
        <v/>
      </c>
      <c r="AT265" t="str">
        <f t="shared" si="51"/>
        <v/>
      </c>
      <c r="BG265" t="str">
        <f t="shared" si="52"/>
        <v/>
      </c>
      <c r="BH265" t="str">
        <f t="shared" si="53"/>
        <v/>
      </c>
      <c r="BL265" t="str">
        <f>IFERROR(INDEX(_names_lookup!$C:$C,MATCH(BK265,_names_lookup!$A:$A,0)),"")</f>
        <v/>
      </c>
      <c r="BM265" t="str">
        <f>IFERROR(INDEX(_names_lookup!$B:$B,MATCH(BK265,_names_lookup!$A:$A,0)),"")</f>
        <v/>
      </c>
      <c r="BS265" t="str">
        <f t="shared" si="54"/>
        <v/>
      </c>
    </row>
    <row r="266" spans="15:71" x14ac:dyDescent="0.2">
      <c r="O266" t="str">
        <f>IFERROR(INDEX(_courses_lookup!$C:$C,MATCH(K266&amp;L266,_courses_lookup!$E:$E,0)),"")</f>
        <v/>
      </c>
      <c r="P266" t="str">
        <f>IFERROR(INDEX(_courses_lookup!$D:$D,MATCH(K266&amp;L266,_courses_lookup!$E:$E,0)),"")</f>
        <v/>
      </c>
      <c r="AG266" t="str">
        <f t="shared" si="44"/>
        <v/>
      </c>
      <c r="AI266" t="str">
        <f t="shared" si="45"/>
        <v/>
      </c>
      <c r="AL266" t="str">
        <f t="shared" si="46"/>
        <v/>
      </c>
      <c r="AN266" t="str">
        <f t="shared" si="47"/>
        <v/>
      </c>
      <c r="AQ266" t="str">
        <f t="shared" si="48"/>
        <v/>
      </c>
      <c r="AR266" t="str">
        <f t="shared" si="49"/>
        <v/>
      </c>
      <c r="AS266" t="str">
        <f t="shared" si="50"/>
        <v/>
      </c>
      <c r="AT266" t="str">
        <f t="shared" si="51"/>
        <v/>
      </c>
      <c r="BG266" t="str">
        <f t="shared" si="52"/>
        <v/>
      </c>
      <c r="BH266" t="str">
        <f t="shared" si="53"/>
        <v/>
      </c>
      <c r="BL266" t="str">
        <f>IFERROR(INDEX(_names_lookup!$C:$C,MATCH(BK266,_names_lookup!$A:$A,0)),"")</f>
        <v/>
      </c>
      <c r="BM266" t="str">
        <f>IFERROR(INDEX(_names_lookup!$B:$B,MATCH(BK266,_names_lookup!$A:$A,0)),"")</f>
        <v/>
      </c>
      <c r="BS266" t="str">
        <f t="shared" si="54"/>
        <v/>
      </c>
    </row>
    <row r="267" spans="15:71" x14ac:dyDescent="0.2">
      <c r="O267" t="str">
        <f>IFERROR(INDEX(_courses_lookup!$C:$C,MATCH(K267&amp;L267,_courses_lookup!$E:$E,0)),"")</f>
        <v/>
      </c>
      <c r="P267" t="str">
        <f>IFERROR(INDEX(_courses_lookup!$D:$D,MATCH(K267&amp;L267,_courses_lookup!$E:$E,0)),"")</f>
        <v/>
      </c>
      <c r="AG267" t="str">
        <f t="shared" si="44"/>
        <v/>
      </c>
      <c r="AI267" t="str">
        <f t="shared" si="45"/>
        <v/>
      </c>
      <c r="AL267" t="str">
        <f t="shared" si="46"/>
        <v/>
      </c>
      <c r="AN267" t="str">
        <f t="shared" si="47"/>
        <v/>
      </c>
      <c r="AQ267" t="str">
        <f t="shared" si="48"/>
        <v/>
      </c>
      <c r="AR267" t="str">
        <f t="shared" si="49"/>
        <v/>
      </c>
      <c r="AS267" t="str">
        <f t="shared" si="50"/>
        <v/>
      </c>
      <c r="AT267" t="str">
        <f t="shared" si="51"/>
        <v/>
      </c>
      <c r="BG267" t="str">
        <f t="shared" si="52"/>
        <v/>
      </c>
      <c r="BH267" t="str">
        <f t="shared" si="53"/>
        <v/>
      </c>
      <c r="BL267" t="str">
        <f>IFERROR(INDEX(_names_lookup!$C:$C,MATCH(BK267,_names_lookup!$A:$A,0)),"")</f>
        <v/>
      </c>
      <c r="BM267" t="str">
        <f>IFERROR(INDEX(_names_lookup!$B:$B,MATCH(BK267,_names_lookup!$A:$A,0)),"")</f>
        <v/>
      </c>
      <c r="BS267" t="str">
        <f t="shared" si="54"/>
        <v/>
      </c>
    </row>
    <row r="268" spans="15:71" x14ac:dyDescent="0.2">
      <c r="O268" t="str">
        <f>IFERROR(INDEX(_courses_lookup!$C:$C,MATCH(K268&amp;L268,_courses_lookup!$E:$E,0)),"")</f>
        <v/>
      </c>
      <c r="P268" t="str">
        <f>IFERROR(INDEX(_courses_lookup!$D:$D,MATCH(K268&amp;L268,_courses_lookup!$E:$E,0)),"")</f>
        <v/>
      </c>
      <c r="AG268" t="str">
        <f t="shared" si="44"/>
        <v/>
      </c>
      <c r="AI268" t="str">
        <f t="shared" si="45"/>
        <v/>
      </c>
      <c r="AL268" t="str">
        <f t="shared" si="46"/>
        <v/>
      </c>
      <c r="AN268" t="str">
        <f t="shared" si="47"/>
        <v/>
      </c>
      <c r="AQ268" t="str">
        <f t="shared" si="48"/>
        <v/>
      </c>
      <c r="AR268" t="str">
        <f t="shared" si="49"/>
        <v/>
      </c>
      <c r="AS268" t="str">
        <f t="shared" si="50"/>
        <v/>
      </c>
      <c r="AT268" t="str">
        <f t="shared" si="51"/>
        <v/>
      </c>
      <c r="BG268" t="str">
        <f t="shared" si="52"/>
        <v/>
      </c>
      <c r="BH268" t="str">
        <f t="shared" si="53"/>
        <v/>
      </c>
      <c r="BL268" t="str">
        <f>IFERROR(INDEX(_names_lookup!$C:$C,MATCH(BK268,_names_lookup!$A:$A,0)),"")</f>
        <v/>
      </c>
      <c r="BM268" t="str">
        <f>IFERROR(INDEX(_names_lookup!$B:$B,MATCH(BK268,_names_lookup!$A:$A,0)),"")</f>
        <v/>
      </c>
      <c r="BS268" t="str">
        <f t="shared" si="54"/>
        <v/>
      </c>
    </row>
    <row r="269" spans="15:71" x14ac:dyDescent="0.2">
      <c r="O269" t="str">
        <f>IFERROR(INDEX(_courses_lookup!$C:$C,MATCH(K269&amp;L269,_courses_lookup!$E:$E,0)),"")</f>
        <v/>
      </c>
      <c r="P269" t="str">
        <f>IFERROR(INDEX(_courses_lookup!$D:$D,MATCH(K269&amp;L269,_courses_lookup!$E:$E,0)),"")</f>
        <v/>
      </c>
      <c r="AG269" t="str">
        <f t="shared" si="44"/>
        <v/>
      </c>
      <c r="AI269" t="str">
        <f t="shared" si="45"/>
        <v/>
      </c>
      <c r="AL269" t="str">
        <f t="shared" si="46"/>
        <v/>
      </c>
      <c r="AN269" t="str">
        <f t="shared" si="47"/>
        <v/>
      </c>
      <c r="AQ269" t="str">
        <f t="shared" si="48"/>
        <v/>
      </c>
      <c r="AR269" t="str">
        <f t="shared" si="49"/>
        <v/>
      </c>
      <c r="AS269" t="str">
        <f t="shared" si="50"/>
        <v/>
      </c>
      <c r="AT269" t="str">
        <f t="shared" si="51"/>
        <v/>
      </c>
      <c r="BG269" t="str">
        <f t="shared" si="52"/>
        <v/>
      </c>
      <c r="BH269" t="str">
        <f t="shared" si="53"/>
        <v/>
      </c>
      <c r="BL269" t="str">
        <f>IFERROR(INDEX(_names_lookup!$C:$C,MATCH(BK269,_names_lookup!$A:$A,0)),"")</f>
        <v/>
      </c>
      <c r="BM269" t="str">
        <f>IFERROR(INDEX(_names_lookup!$B:$B,MATCH(BK269,_names_lookup!$A:$A,0)),"")</f>
        <v/>
      </c>
      <c r="BS269" t="str">
        <f t="shared" si="54"/>
        <v/>
      </c>
    </row>
    <row r="270" spans="15:71" x14ac:dyDescent="0.2">
      <c r="O270" t="str">
        <f>IFERROR(INDEX(_courses_lookup!$C:$C,MATCH(K270&amp;L270,_courses_lookup!$E:$E,0)),"")</f>
        <v/>
      </c>
      <c r="P270" t="str">
        <f>IFERROR(INDEX(_courses_lookup!$D:$D,MATCH(K270&amp;L270,_courses_lookup!$E:$E,0)),"")</f>
        <v/>
      </c>
      <c r="AG270" t="str">
        <f t="shared" si="44"/>
        <v/>
      </c>
      <c r="AI270" t="str">
        <f t="shared" si="45"/>
        <v/>
      </c>
      <c r="AL270" t="str">
        <f t="shared" si="46"/>
        <v/>
      </c>
      <c r="AN270" t="str">
        <f t="shared" si="47"/>
        <v/>
      </c>
      <c r="AQ270" t="str">
        <f t="shared" si="48"/>
        <v/>
      </c>
      <c r="AR270" t="str">
        <f t="shared" si="49"/>
        <v/>
      </c>
      <c r="AS270" t="str">
        <f t="shared" si="50"/>
        <v/>
      </c>
      <c r="AT270" t="str">
        <f t="shared" si="51"/>
        <v/>
      </c>
      <c r="BG270" t="str">
        <f t="shared" si="52"/>
        <v/>
      </c>
      <c r="BH270" t="str">
        <f t="shared" si="53"/>
        <v/>
      </c>
      <c r="BL270" t="str">
        <f>IFERROR(INDEX(_names_lookup!$C:$C,MATCH(BK270,_names_lookup!$A:$A,0)),"")</f>
        <v/>
      </c>
      <c r="BM270" t="str">
        <f>IFERROR(INDEX(_names_lookup!$B:$B,MATCH(BK270,_names_lookup!$A:$A,0)),"")</f>
        <v/>
      </c>
      <c r="BS270" t="str">
        <f t="shared" si="54"/>
        <v/>
      </c>
    </row>
    <row r="271" spans="15:71" x14ac:dyDescent="0.2">
      <c r="O271" t="str">
        <f>IFERROR(INDEX(_courses_lookup!$C:$C,MATCH(K271&amp;L271,_courses_lookup!$E:$E,0)),"")</f>
        <v/>
      </c>
      <c r="P271" t="str">
        <f>IFERROR(INDEX(_courses_lookup!$D:$D,MATCH(K271&amp;L271,_courses_lookup!$E:$E,0)),"")</f>
        <v/>
      </c>
      <c r="AG271" t="str">
        <f t="shared" si="44"/>
        <v/>
      </c>
      <c r="AI271" t="str">
        <f t="shared" si="45"/>
        <v/>
      </c>
      <c r="AL271" t="str">
        <f t="shared" si="46"/>
        <v/>
      </c>
      <c r="AN271" t="str">
        <f t="shared" si="47"/>
        <v/>
      </c>
      <c r="AQ271" t="str">
        <f t="shared" si="48"/>
        <v/>
      </c>
      <c r="AR271" t="str">
        <f t="shared" si="49"/>
        <v/>
      </c>
      <c r="AS271" t="str">
        <f t="shared" si="50"/>
        <v/>
      </c>
      <c r="AT271" t="str">
        <f t="shared" si="51"/>
        <v/>
      </c>
      <c r="BG271" t="str">
        <f t="shared" si="52"/>
        <v/>
      </c>
      <c r="BH271" t="str">
        <f t="shared" si="53"/>
        <v/>
      </c>
      <c r="BL271" t="str">
        <f>IFERROR(INDEX(_names_lookup!$C:$C,MATCH(BK271,_names_lookup!$A:$A,0)),"")</f>
        <v/>
      </c>
      <c r="BM271" t="str">
        <f>IFERROR(INDEX(_names_lookup!$B:$B,MATCH(BK271,_names_lookup!$A:$A,0)),"")</f>
        <v/>
      </c>
      <c r="BS271" t="str">
        <f t="shared" si="54"/>
        <v/>
      </c>
    </row>
    <row r="272" spans="15:71" x14ac:dyDescent="0.2">
      <c r="O272" t="str">
        <f>IFERROR(INDEX(_courses_lookup!$C:$C,MATCH(K272&amp;L272,_courses_lookup!$E:$E,0)),"")</f>
        <v/>
      </c>
      <c r="P272" t="str">
        <f>IFERROR(INDEX(_courses_lookup!$D:$D,MATCH(K272&amp;L272,_courses_lookup!$E:$E,0)),"")</f>
        <v/>
      </c>
      <c r="AG272" t="str">
        <f t="shared" si="44"/>
        <v/>
      </c>
      <c r="AI272" t="str">
        <f t="shared" si="45"/>
        <v/>
      </c>
      <c r="AL272" t="str">
        <f t="shared" si="46"/>
        <v/>
      </c>
      <c r="AN272" t="str">
        <f t="shared" si="47"/>
        <v/>
      </c>
      <c r="AQ272" t="str">
        <f t="shared" si="48"/>
        <v/>
      </c>
      <c r="AR272" t="str">
        <f t="shared" si="49"/>
        <v/>
      </c>
      <c r="AS272" t="str">
        <f t="shared" si="50"/>
        <v/>
      </c>
      <c r="AT272" t="str">
        <f t="shared" si="51"/>
        <v/>
      </c>
      <c r="BG272" t="str">
        <f t="shared" si="52"/>
        <v/>
      </c>
      <c r="BH272" t="str">
        <f t="shared" si="53"/>
        <v/>
      </c>
      <c r="BL272" t="str">
        <f>IFERROR(INDEX(_names_lookup!$C:$C,MATCH(BK272,_names_lookup!$A:$A,0)),"")</f>
        <v/>
      </c>
      <c r="BM272" t="str">
        <f>IFERROR(INDEX(_names_lookup!$B:$B,MATCH(BK272,_names_lookup!$A:$A,0)),"")</f>
        <v/>
      </c>
      <c r="BS272" t="str">
        <f t="shared" si="54"/>
        <v/>
      </c>
    </row>
    <row r="273" spans="15:71" x14ac:dyDescent="0.2">
      <c r="O273" t="str">
        <f>IFERROR(INDEX(_courses_lookup!$C:$C,MATCH(K273&amp;L273,_courses_lookup!$E:$E,0)),"")</f>
        <v/>
      </c>
      <c r="P273" t="str">
        <f>IFERROR(INDEX(_courses_lookup!$D:$D,MATCH(K273&amp;L273,_courses_lookup!$E:$E,0)),"")</f>
        <v/>
      </c>
      <c r="AG273" t="str">
        <f t="shared" si="44"/>
        <v/>
      </c>
      <c r="AI273" t="str">
        <f t="shared" si="45"/>
        <v/>
      </c>
      <c r="AL273" t="str">
        <f t="shared" si="46"/>
        <v/>
      </c>
      <c r="AN273" t="str">
        <f t="shared" si="47"/>
        <v/>
      </c>
      <c r="AQ273" t="str">
        <f t="shared" si="48"/>
        <v/>
      </c>
      <c r="AR273" t="str">
        <f t="shared" si="49"/>
        <v/>
      </c>
      <c r="AS273" t="str">
        <f t="shared" si="50"/>
        <v/>
      </c>
      <c r="AT273" t="str">
        <f t="shared" si="51"/>
        <v/>
      </c>
      <c r="BG273" t="str">
        <f t="shared" si="52"/>
        <v/>
      </c>
      <c r="BH273" t="str">
        <f t="shared" si="53"/>
        <v/>
      </c>
      <c r="BL273" t="str">
        <f>IFERROR(INDEX(_names_lookup!$C:$C,MATCH(BK273,_names_lookup!$A:$A,0)),"")</f>
        <v/>
      </c>
      <c r="BM273" t="str">
        <f>IFERROR(INDEX(_names_lookup!$B:$B,MATCH(BK273,_names_lookup!$A:$A,0)),"")</f>
        <v/>
      </c>
      <c r="BS273" t="str">
        <f t="shared" si="54"/>
        <v/>
      </c>
    </row>
    <row r="274" spans="15:71" x14ac:dyDescent="0.2">
      <c r="O274" t="str">
        <f>IFERROR(INDEX(_courses_lookup!$C:$C,MATCH(K274&amp;L274,_courses_lookup!$E:$E,0)),"")</f>
        <v/>
      </c>
      <c r="P274" t="str">
        <f>IFERROR(INDEX(_courses_lookup!$D:$D,MATCH(K274&amp;L274,_courses_lookup!$E:$E,0)),"")</f>
        <v/>
      </c>
      <c r="AG274" t="str">
        <f t="shared" si="44"/>
        <v/>
      </c>
      <c r="AI274" t="str">
        <f t="shared" si="45"/>
        <v/>
      </c>
      <c r="AL274" t="str">
        <f t="shared" si="46"/>
        <v/>
      </c>
      <c r="AN274" t="str">
        <f t="shared" si="47"/>
        <v/>
      </c>
      <c r="AQ274" t="str">
        <f t="shared" si="48"/>
        <v/>
      </c>
      <c r="AR274" t="str">
        <f t="shared" si="49"/>
        <v/>
      </c>
      <c r="AS274" t="str">
        <f t="shared" si="50"/>
        <v/>
      </c>
      <c r="AT274" t="str">
        <f t="shared" si="51"/>
        <v/>
      </c>
      <c r="BG274" t="str">
        <f t="shared" si="52"/>
        <v/>
      </c>
      <c r="BH274" t="str">
        <f t="shared" si="53"/>
        <v/>
      </c>
      <c r="BL274" t="str">
        <f>IFERROR(INDEX(_names_lookup!$C:$C,MATCH(BK274,_names_lookup!$A:$A,0)),"")</f>
        <v/>
      </c>
      <c r="BM274" t="str">
        <f>IFERROR(INDEX(_names_lookup!$B:$B,MATCH(BK274,_names_lookup!$A:$A,0)),"")</f>
        <v/>
      </c>
      <c r="BS274" t="str">
        <f t="shared" si="54"/>
        <v/>
      </c>
    </row>
    <row r="275" spans="15:71" x14ac:dyDescent="0.2">
      <c r="O275" t="str">
        <f>IFERROR(INDEX(_courses_lookup!$C:$C,MATCH(K275&amp;L275,_courses_lookup!$E:$E,0)),"")</f>
        <v/>
      </c>
      <c r="P275" t="str">
        <f>IFERROR(INDEX(_courses_lookup!$D:$D,MATCH(K275&amp;L275,_courses_lookup!$E:$E,0)),"")</f>
        <v/>
      </c>
      <c r="AG275" t="str">
        <f t="shared" si="44"/>
        <v/>
      </c>
      <c r="AI275" t="str">
        <f t="shared" si="45"/>
        <v/>
      </c>
      <c r="AL275" t="str">
        <f t="shared" si="46"/>
        <v/>
      </c>
      <c r="AN275" t="str">
        <f t="shared" si="47"/>
        <v/>
      </c>
      <c r="AQ275" t="str">
        <f t="shared" si="48"/>
        <v/>
      </c>
      <c r="AR275" t="str">
        <f t="shared" si="49"/>
        <v/>
      </c>
      <c r="AS275" t="str">
        <f t="shared" si="50"/>
        <v/>
      </c>
      <c r="AT275" t="str">
        <f t="shared" si="51"/>
        <v/>
      </c>
      <c r="BG275" t="str">
        <f t="shared" si="52"/>
        <v/>
      </c>
      <c r="BH275" t="str">
        <f t="shared" si="53"/>
        <v/>
      </c>
      <c r="BL275" t="str">
        <f>IFERROR(INDEX(_names_lookup!$C:$C,MATCH(BK275,_names_lookup!$A:$A,0)),"")</f>
        <v/>
      </c>
      <c r="BM275" t="str">
        <f>IFERROR(INDEX(_names_lookup!$B:$B,MATCH(BK275,_names_lookup!$A:$A,0)),"")</f>
        <v/>
      </c>
      <c r="BS275" t="str">
        <f t="shared" si="54"/>
        <v/>
      </c>
    </row>
    <row r="276" spans="15:71" x14ac:dyDescent="0.2">
      <c r="O276" t="str">
        <f>IFERROR(INDEX(_courses_lookup!$C:$C,MATCH(K276&amp;L276,_courses_lookup!$E:$E,0)),"")</f>
        <v/>
      </c>
      <c r="P276" t="str">
        <f>IFERROR(INDEX(_courses_lookup!$D:$D,MATCH(K276&amp;L276,_courses_lookup!$E:$E,0)),"")</f>
        <v/>
      </c>
      <c r="AG276" t="str">
        <f t="shared" si="44"/>
        <v/>
      </c>
      <c r="AI276" t="str">
        <f t="shared" si="45"/>
        <v/>
      </c>
      <c r="AL276" t="str">
        <f t="shared" si="46"/>
        <v/>
      </c>
      <c r="AN276" t="str">
        <f t="shared" si="47"/>
        <v/>
      </c>
      <c r="AQ276" t="str">
        <f t="shared" si="48"/>
        <v/>
      </c>
      <c r="AR276" t="str">
        <f t="shared" si="49"/>
        <v/>
      </c>
      <c r="AS276" t="str">
        <f t="shared" si="50"/>
        <v/>
      </c>
      <c r="AT276" t="str">
        <f t="shared" si="51"/>
        <v/>
      </c>
      <c r="BG276" t="str">
        <f t="shared" si="52"/>
        <v/>
      </c>
      <c r="BH276" t="str">
        <f t="shared" si="53"/>
        <v/>
      </c>
      <c r="BL276" t="str">
        <f>IFERROR(INDEX(_names_lookup!$C:$C,MATCH(BK276,_names_lookup!$A:$A,0)),"")</f>
        <v/>
      </c>
      <c r="BM276" t="str">
        <f>IFERROR(INDEX(_names_lookup!$B:$B,MATCH(BK276,_names_lookup!$A:$A,0)),"")</f>
        <v/>
      </c>
      <c r="BS276" t="str">
        <f t="shared" si="54"/>
        <v/>
      </c>
    </row>
    <row r="277" spans="15:71" x14ac:dyDescent="0.2">
      <c r="O277" t="str">
        <f>IFERROR(INDEX(_courses_lookup!$C:$C,MATCH(K277&amp;L277,_courses_lookup!$E:$E,0)),"")</f>
        <v/>
      </c>
      <c r="P277" t="str">
        <f>IFERROR(INDEX(_courses_lookup!$D:$D,MATCH(K277&amp;L277,_courses_lookup!$E:$E,0)),"")</f>
        <v/>
      </c>
      <c r="AG277" t="str">
        <f t="shared" si="44"/>
        <v/>
      </c>
      <c r="AI277" t="str">
        <f t="shared" si="45"/>
        <v/>
      </c>
      <c r="AL277" t="str">
        <f t="shared" si="46"/>
        <v/>
      </c>
      <c r="AN277" t="str">
        <f t="shared" si="47"/>
        <v/>
      </c>
      <c r="AQ277" t="str">
        <f t="shared" si="48"/>
        <v/>
      </c>
      <c r="AR277" t="str">
        <f t="shared" si="49"/>
        <v/>
      </c>
      <c r="AS277" t="str">
        <f t="shared" si="50"/>
        <v/>
      </c>
      <c r="AT277" t="str">
        <f t="shared" si="51"/>
        <v/>
      </c>
      <c r="BG277" t="str">
        <f t="shared" si="52"/>
        <v/>
      </c>
      <c r="BH277" t="str">
        <f t="shared" si="53"/>
        <v/>
      </c>
      <c r="BL277" t="str">
        <f>IFERROR(INDEX(_names_lookup!$C:$C,MATCH(BK277,_names_lookup!$A:$A,0)),"")</f>
        <v/>
      </c>
      <c r="BM277" t="str">
        <f>IFERROR(INDEX(_names_lookup!$B:$B,MATCH(BK277,_names_lookup!$A:$A,0)),"")</f>
        <v/>
      </c>
      <c r="BS277" t="str">
        <f t="shared" si="54"/>
        <v/>
      </c>
    </row>
    <row r="278" spans="15:71" x14ac:dyDescent="0.2">
      <c r="O278" t="str">
        <f>IFERROR(INDEX(_courses_lookup!$C:$C,MATCH(K278&amp;L278,_courses_lookup!$E:$E,0)),"")</f>
        <v/>
      </c>
      <c r="P278" t="str">
        <f>IFERROR(INDEX(_courses_lookup!$D:$D,MATCH(K278&amp;L278,_courses_lookup!$E:$E,0)),"")</f>
        <v/>
      </c>
      <c r="AG278" t="str">
        <f t="shared" si="44"/>
        <v/>
      </c>
      <c r="AI278" t="str">
        <f t="shared" si="45"/>
        <v/>
      </c>
      <c r="AL278" t="str">
        <f t="shared" si="46"/>
        <v/>
      </c>
      <c r="AN278" t="str">
        <f t="shared" si="47"/>
        <v/>
      </c>
      <c r="AQ278" t="str">
        <f t="shared" si="48"/>
        <v/>
      </c>
      <c r="AR278" t="str">
        <f t="shared" si="49"/>
        <v/>
      </c>
      <c r="AS278" t="str">
        <f t="shared" si="50"/>
        <v/>
      </c>
      <c r="AT278" t="str">
        <f t="shared" si="51"/>
        <v/>
      </c>
      <c r="BG278" t="str">
        <f t="shared" si="52"/>
        <v/>
      </c>
      <c r="BH278" t="str">
        <f t="shared" si="53"/>
        <v/>
      </c>
      <c r="BL278" t="str">
        <f>IFERROR(INDEX(_names_lookup!$C:$C,MATCH(BK278,_names_lookup!$A:$A,0)),"")</f>
        <v/>
      </c>
      <c r="BM278" t="str">
        <f>IFERROR(INDEX(_names_lookup!$B:$B,MATCH(BK278,_names_lookup!$A:$A,0)),"")</f>
        <v/>
      </c>
      <c r="BS278" t="str">
        <f t="shared" si="54"/>
        <v/>
      </c>
    </row>
    <row r="279" spans="15:71" x14ac:dyDescent="0.2">
      <c r="O279" t="str">
        <f>IFERROR(INDEX(_courses_lookup!$C:$C,MATCH(K279&amp;L279,_courses_lookup!$E:$E,0)),"")</f>
        <v/>
      </c>
      <c r="P279" t="str">
        <f>IFERROR(INDEX(_courses_lookup!$D:$D,MATCH(K279&amp;L279,_courses_lookup!$E:$E,0)),"")</f>
        <v/>
      </c>
      <c r="AG279" t="str">
        <f t="shared" si="44"/>
        <v/>
      </c>
      <c r="AI279" t="str">
        <f t="shared" si="45"/>
        <v/>
      </c>
      <c r="AL279" t="str">
        <f t="shared" si="46"/>
        <v/>
      </c>
      <c r="AN279" t="str">
        <f t="shared" si="47"/>
        <v/>
      </c>
      <c r="AQ279" t="str">
        <f t="shared" si="48"/>
        <v/>
      </c>
      <c r="AR279" t="str">
        <f t="shared" si="49"/>
        <v/>
      </c>
      <c r="AS279" t="str">
        <f t="shared" si="50"/>
        <v/>
      </c>
      <c r="AT279" t="str">
        <f t="shared" si="51"/>
        <v/>
      </c>
      <c r="BG279" t="str">
        <f t="shared" si="52"/>
        <v/>
      </c>
      <c r="BH279" t="str">
        <f t="shared" si="53"/>
        <v/>
      </c>
      <c r="BL279" t="str">
        <f>IFERROR(INDEX(_names_lookup!$C:$C,MATCH(BK279,_names_lookup!$A:$A,0)),"")</f>
        <v/>
      </c>
      <c r="BM279" t="str">
        <f>IFERROR(INDEX(_names_lookup!$B:$B,MATCH(BK279,_names_lookup!$A:$A,0)),"")</f>
        <v/>
      </c>
      <c r="BS279" t="str">
        <f t="shared" si="54"/>
        <v/>
      </c>
    </row>
    <row r="280" spans="15:71" x14ac:dyDescent="0.2">
      <c r="O280" t="str">
        <f>IFERROR(INDEX(_courses_lookup!$C:$C,MATCH(K280&amp;L280,_courses_lookup!$E:$E,0)),"")</f>
        <v/>
      </c>
      <c r="P280" t="str">
        <f>IFERROR(INDEX(_courses_lookup!$D:$D,MATCH(K280&amp;L280,_courses_lookup!$E:$E,0)),"")</f>
        <v/>
      </c>
      <c r="AG280" t="str">
        <f t="shared" si="44"/>
        <v/>
      </c>
      <c r="AI280" t="str">
        <f t="shared" si="45"/>
        <v/>
      </c>
      <c r="AL280" t="str">
        <f t="shared" si="46"/>
        <v/>
      </c>
      <c r="AN280" t="str">
        <f t="shared" si="47"/>
        <v/>
      </c>
      <c r="AQ280" t="str">
        <f t="shared" si="48"/>
        <v/>
      </c>
      <c r="AR280" t="str">
        <f t="shared" si="49"/>
        <v/>
      </c>
      <c r="AS280" t="str">
        <f t="shared" si="50"/>
        <v/>
      </c>
      <c r="AT280" t="str">
        <f t="shared" si="51"/>
        <v/>
      </c>
      <c r="BG280" t="str">
        <f t="shared" si="52"/>
        <v/>
      </c>
      <c r="BH280" t="str">
        <f t="shared" si="53"/>
        <v/>
      </c>
      <c r="BL280" t="str">
        <f>IFERROR(INDEX(_names_lookup!$C:$C,MATCH(BK280,_names_lookup!$A:$A,0)),"")</f>
        <v/>
      </c>
      <c r="BM280" t="str">
        <f>IFERROR(INDEX(_names_lookup!$B:$B,MATCH(BK280,_names_lookup!$A:$A,0)),"")</f>
        <v/>
      </c>
      <c r="BS280" t="str">
        <f t="shared" si="54"/>
        <v/>
      </c>
    </row>
    <row r="281" spans="15:71" x14ac:dyDescent="0.2">
      <c r="O281" t="str">
        <f>IFERROR(INDEX(_courses_lookup!$C:$C,MATCH(K281&amp;L281,_courses_lookup!$E:$E,0)),"")</f>
        <v/>
      </c>
      <c r="P281" t="str">
        <f>IFERROR(INDEX(_courses_lookup!$D:$D,MATCH(K281&amp;L281,_courses_lookup!$E:$E,0)),"")</f>
        <v/>
      </c>
      <c r="AG281" t="str">
        <f t="shared" si="44"/>
        <v/>
      </c>
      <c r="AI281" t="str">
        <f t="shared" si="45"/>
        <v/>
      </c>
      <c r="AL281" t="str">
        <f t="shared" si="46"/>
        <v/>
      </c>
      <c r="AN281" t="str">
        <f t="shared" si="47"/>
        <v/>
      </c>
      <c r="AQ281" t="str">
        <f t="shared" si="48"/>
        <v/>
      </c>
      <c r="AR281" t="str">
        <f t="shared" si="49"/>
        <v/>
      </c>
      <c r="AS281" t="str">
        <f t="shared" si="50"/>
        <v/>
      </c>
      <c r="AT281" t="str">
        <f t="shared" si="51"/>
        <v/>
      </c>
      <c r="BG281" t="str">
        <f t="shared" si="52"/>
        <v/>
      </c>
      <c r="BH281" t="str">
        <f t="shared" si="53"/>
        <v/>
      </c>
      <c r="BL281" t="str">
        <f>IFERROR(INDEX(_names_lookup!$C:$C,MATCH(BK281,_names_lookup!$A:$A,0)),"")</f>
        <v/>
      </c>
      <c r="BM281" t="str">
        <f>IFERROR(INDEX(_names_lookup!$B:$B,MATCH(BK281,_names_lookup!$A:$A,0)),"")</f>
        <v/>
      </c>
      <c r="BS281" t="str">
        <f t="shared" si="54"/>
        <v/>
      </c>
    </row>
    <row r="282" spans="15:71" x14ac:dyDescent="0.2">
      <c r="O282" t="str">
        <f>IFERROR(INDEX(_courses_lookup!$C:$C,MATCH(K282&amp;L282,_courses_lookup!$E:$E,0)),"")</f>
        <v/>
      </c>
      <c r="P282" t="str">
        <f>IFERROR(INDEX(_courses_lookup!$D:$D,MATCH(K282&amp;L282,_courses_lookup!$E:$E,0)),"")</f>
        <v/>
      </c>
      <c r="AG282" t="str">
        <f t="shared" si="44"/>
        <v/>
      </c>
      <c r="AI282" t="str">
        <f t="shared" si="45"/>
        <v/>
      </c>
      <c r="AL282" t="str">
        <f t="shared" si="46"/>
        <v/>
      </c>
      <c r="AN282" t="str">
        <f t="shared" si="47"/>
        <v/>
      </c>
      <c r="AQ282" t="str">
        <f t="shared" si="48"/>
        <v/>
      </c>
      <c r="AR282" t="str">
        <f t="shared" si="49"/>
        <v/>
      </c>
      <c r="AS282" t="str">
        <f t="shared" si="50"/>
        <v/>
      </c>
      <c r="AT282" t="str">
        <f t="shared" si="51"/>
        <v/>
      </c>
      <c r="BG282" t="str">
        <f t="shared" si="52"/>
        <v/>
      </c>
      <c r="BH282" t="str">
        <f t="shared" si="53"/>
        <v/>
      </c>
      <c r="BL282" t="str">
        <f>IFERROR(INDEX(_names_lookup!$C:$C,MATCH(BK282,_names_lookup!$A:$A,0)),"")</f>
        <v/>
      </c>
      <c r="BM282" t="str">
        <f>IFERROR(INDEX(_names_lookup!$B:$B,MATCH(BK282,_names_lookup!$A:$A,0)),"")</f>
        <v/>
      </c>
      <c r="BS282" t="str">
        <f t="shared" si="54"/>
        <v/>
      </c>
    </row>
    <row r="283" spans="15:71" x14ac:dyDescent="0.2">
      <c r="O283" t="str">
        <f>IFERROR(INDEX(_courses_lookup!$C:$C,MATCH(K283&amp;L283,_courses_lookup!$E:$E,0)),"")</f>
        <v/>
      </c>
      <c r="P283" t="str">
        <f>IFERROR(INDEX(_courses_lookup!$D:$D,MATCH(K283&amp;L283,_courses_lookup!$E:$E,0)),"")</f>
        <v/>
      </c>
      <c r="AG283" t="str">
        <f t="shared" si="44"/>
        <v/>
      </c>
      <c r="AI283" t="str">
        <f t="shared" si="45"/>
        <v/>
      </c>
      <c r="AL283" t="str">
        <f t="shared" si="46"/>
        <v/>
      </c>
      <c r="AN283" t="str">
        <f t="shared" si="47"/>
        <v/>
      </c>
      <c r="AQ283" t="str">
        <f t="shared" si="48"/>
        <v/>
      </c>
      <c r="AR283" t="str">
        <f t="shared" si="49"/>
        <v/>
      </c>
      <c r="AS283" t="str">
        <f t="shared" si="50"/>
        <v/>
      </c>
      <c r="AT283" t="str">
        <f t="shared" si="51"/>
        <v/>
      </c>
      <c r="BG283" t="str">
        <f t="shared" si="52"/>
        <v/>
      </c>
      <c r="BH283" t="str">
        <f t="shared" si="53"/>
        <v/>
      </c>
      <c r="BL283" t="str">
        <f>IFERROR(INDEX(_names_lookup!$C:$C,MATCH(BK283,_names_lookup!$A:$A,0)),"")</f>
        <v/>
      </c>
      <c r="BM283" t="str">
        <f>IFERROR(INDEX(_names_lookup!$B:$B,MATCH(BK283,_names_lookup!$A:$A,0)),"")</f>
        <v/>
      </c>
      <c r="BS283" t="str">
        <f t="shared" si="54"/>
        <v/>
      </c>
    </row>
    <row r="284" spans="15:71" x14ac:dyDescent="0.2">
      <c r="O284" t="str">
        <f>IFERROR(INDEX(_courses_lookup!$C:$C,MATCH(K284&amp;L284,_courses_lookup!$E:$E,0)),"")</f>
        <v/>
      </c>
      <c r="P284" t="str">
        <f>IFERROR(INDEX(_courses_lookup!$D:$D,MATCH(K284&amp;L284,_courses_lookup!$E:$E,0)),"")</f>
        <v/>
      </c>
      <c r="AG284" t="str">
        <f t="shared" si="44"/>
        <v/>
      </c>
      <c r="AI284" t="str">
        <f t="shared" si="45"/>
        <v/>
      </c>
      <c r="AL284" t="str">
        <f t="shared" si="46"/>
        <v/>
      </c>
      <c r="AN284" t="str">
        <f t="shared" si="47"/>
        <v/>
      </c>
      <c r="AQ284" t="str">
        <f t="shared" si="48"/>
        <v/>
      </c>
      <c r="AR284" t="str">
        <f t="shared" si="49"/>
        <v/>
      </c>
      <c r="AS284" t="str">
        <f t="shared" si="50"/>
        <v/>
      </c>
      <c r="AT284" t="str">
        <f t="shared" si="51"/>
        <v/>
      </c>
      <c r="BG284" t="str">
        <f t="shared" si="52"/>
        <v/>
      </c>
      <c r="BH284" t="str">
        <f t="shared" si="53"/>
        <v/>
      </c>
      <c r="BL284" t="str">
        <f>IFERROR(INDEX(_names_lookup!$C:$C,MATCH(BK284,_names_lookup!$A:$A,0)),"")</f>
        <v/>
      </c>
      <c r="BM284" t="str">
        <f>IFERROR(INDEX(_names_lookup!$B:$B,MATCH(BK284,_names_lookup!$A:$A,0)),"")</f>
        <v/>
      </c>
      <c r="BS284" t="str">
        <f t="shared" si="54"/>
        <v/>
      </c>
    </row>
    <row r="285" spans="15:71" x14ac:dyDescent="0.2">
      <c r="O285" t="str">
        <f>IFERROR(INDEX(_courses_lookup!$C:$C,MATCH(K285&amp;L285,_courses_lookup!$E:$E,0)),"")</f>
        <v/>
      </c>
      <c r="P285" t="str">
        <f>IFERROR(INDEX(_courses_lookup!$D:$D,MATCH(K285&amp;L285,_courses_lookup!$E:$E,0)),"")</f>
        <v/>
      </c>
      <c r="AG285" t="str">
        <f t="shared" si="44"/>
        <v/>
      </c>
      <c r="AI285" t="str">
        <f t="shared" si="45"/>
        <v/>
      </c>
      <c r="AL285" t="str">
        <f t="shared" si="46"/>
        <v/>
      </c>
      <c r="AN285" t="str">
        <f t="shared" si="47"/>
        <v/>
      </c>
      <c r="AQ285" t="str">
        <f t="shared" si="48"/>
        <v/>
      </c>
      <c r="AR285" t="str">
        <f t="shared" si="49"/>
        <v/>
      </c>
      <c r="AS285" t="str">
        <f t="shared" si="50"/>
        <v/>
      </c>
      <c r="AT285" t="str">
        <f t="shared" si="51"/>
        <v/>
      </c>
      <c r="BG285" t="str">
        <f t="shared" si="52"/>
        <v/>
      </c>
      <c r="BH285" t="str">
        <f t="shared" si="53"/>
        <v/>
      </c>
      <c r="BL285" t="str">
        <f>IFERROR(INDEX(_names_lookup!$C:$C,MATCH(BK285,_names_lookup!$A:$A,0)),"")</f>
        <v/>
      </c>
      <c r="BM285" t="str">
        <f>IFERROR(INDEX(_names_lookup!$B:$B,MATCH(BK285,_names_lookup!$A:$A,0)),"")</f>
        <v/>
      </c>
      <c r="BS285" t="str">
        <f t="shared" si="54"/>
        <v/>
      </c>
    </row>
    <row r="286" spans="15:71" x14ac:dyDescent="0.2">
      <c r="O286" t="str">
        <f>IFERROR(INDEX(_courses_lookup!$C:$C,MATCH(K286&amp;L286,_courses_lookup!$E:$E,0)),"")</f>
        <v/>
      </c>
      <c r="P286" t="str">
        <f>IFERROR(INDEX(_courses_lookup!$D:$D,MATCH(K286&amp;L286,_courses_lookup!$E:$E,0)),"")</f>
        <v/>
      </c>
      <c r="AG286" t="str">
        <f t="shared" si="44"/>
        <v/>
      </c>
      <c r="AI286" t="str">
        <f t="shared" si="45"/>
        <v/>
      </c>
      <c r="AL286" t="str">
        <f t="shared" si="46"/>
        <v/>
      </c>
      <c r="AN286" t="str">
        <f t="shared" si="47"/>
        <v/>
      </c>
      <c r="AQ286" t="str">
        <f t="shared" si="48"/>
        <v/>
      </c>
      <c r="AR286" t="str">
        <f t="shared" si="49"/>
        <v/>
      </c>
      <c r="AS286" t="str">
        <f t="shared" si="50"/>
        <v/>
      </c>
      <c r="AT286" t="str">
        <f t="shared" si="51"/>
        <v/>
      </c>
      <c r="BG286" t="str">
        <f t="shared" si="52"/>
        <v/>
      </c>
      <c r="BH286" t="str">
        <f t="shared" si="53"/>
        <v/>
      </c>
      <c r="BL286" t="str">
        <f>IFERROR(INDEX(_names_lookup!$C:$C,MATCH(BK286,_names_lookup!$A:$A,0)),"")</f>
        <v/>
      </c>
      <c r="BM286" t="str">
        <f>IFERROR(INDEX(_names_lookup!$B:$B,MATCH(BK286,_names_lookup!$A:$A,0)),"")</f>
        <v/>
      </c>
      <c r="BS286" t="str">
        <f t="shared" si="54"/>
        <v/>
      </c>
    </row>
    <row r="287" spans="15:71" x14ac:dyDescent="0.2">
      <c r="O287" t="str">
        <f>IFERROR(INDEX(_courses_lookup!$C:$C,MATCH(K287&amp;L287,_courses_lookup!$E:$E,0)),"")</f>
        <v/>
      </c>
      <c r="P287" t="str">
        <f>IFERROR(INDEX(_courses_lookup!$D:$D,MATCH(K287&amp;L287,_courses_lookup!$E:$E,0)),"")</f>
        <v/>
      </c>
      <c r="AG287" t="str">
        <f t="shared" si="44"/>
        <v/>
      </c>
      <c r="AI287" t="str">
        <f t="shared" si="45"/>
        <v/>
      </c>
      <c r="AL287" t="str">
        <f t="shared" si="46"/>
        <v/>
      </c>
      <c r="AN287" t="str">
        <f t="shared" si="47"/>
        <v/>
      </c>
      <c r="AQ287" t="str">
        <f t="shared" si="48"/>
        <v/>
      </c>
      <c r="AR287" t="str">
        <f t="shared" si="49"/>
        <v/>
      </c>
      <c r="AS287" t="str">
        <f t="shared" si="50"/>
        <v/>
      </c>
      <c r="AT287" t="str">
        <f t="shared" si="51"/>
        <v/>
      </c>
      <c r="BG287" t="str">
        <f t="shared" si="52"/>
        <v/>
      </c>
      <c r="BH287" t="str">
        <f t="shared" si="53"/>
        <v/>
      </c>
      <c r="BL287" t="str">
        <f>IFERROR(INDEX(_names_lookup!$C:$C,MATCH(BK287,_names_lookup!$A:$A,0)),"")</f>
        <v/>
      </c>
      <c r="BM287" t="str">
        <f>IFERROR(INDEX(_names_lookup!$B:$B,MATCH(BK287,_names_lookup!$A:$A,0)),"")</f>
        <v/>
      </c>
      <c r="BS287" t="str">
        <f t="shared" si="54"/>
        <v/>
      </c>
    </row>
    <row r="288" spans="15:71" x14ac:dyDescent="0.2">
      <c r="O288" t="str">
        <f>IFERROR(INDEX(_courses_lookup!$C:$C,MATCH(K288&amp;L288,_courses_lookup!$E:$E,0)),"")</f>
        <v/>
      </c>
      <c r="P288" t="str">
        <f>IFERROR(INDEX(_courses_lookup!$D:$D,MATCH(K288&amp;L288,_courses_lookup!$E:$E,0)),"")</f>
        <v/>
      </c>
      <c r="AG288" t="str">
        <f t="shared" si="44"/>
        <v/>
      </c>
      <c r="AI288" t="str">
        <f t="shared" si="45"/>
        <v/>
      </c>
      <c r="AL288" t="str">
        <f t="shared" si="46"/>
        <v/>
      </c>
      <c r="AN288" t="str">
        <f t="shared" si="47"/>
        <v/>
      </c>
      <c r="AQ288" t="str">
        <f t="shared" si="48"/>
        <v/>
      </c>
      <c r="AR288" t="str">
        <f t="shared" si="49"/>
        <v/>
      </c>
      <c r="AS288" t="str">
        <f t="shared" si="50"/>
        <v/>
      </c>
      <c r="AT288" t="str">
        <f t="shared" si="51"/>
        <v/>
      </c>
      <c r="BG288" t="str">
        <f t="shared" si="52"/>
        <v/>
      </c>
      <c r="BH288" t="str">
        <f t="shared" si="53"/>
        <v/>
      </c>
      <c r="BL288" t="str">
        <f>IFERROR(INDEX(_names_lookup!$C:$C,MATCH(BK288,_names_lookup!$A:$A,0)),"")</f>
        <v/>
      </c>
      <c r="BM288" t="str">
        <f>IFERROR(INDEX(_names_lookup!$B:$B,MATCH(BK288,_names_lookup!$A:$A,0)),"")</f>
        <v/>
      </c>
      <c r="BS288" t="str">
        <f t="shared" si="54"/>
        <v/>
      </c>
    </row>
    <row r="289" spans="15:71" x14ac:dyDescent="0.2">
      <c r="O289" t="str">
        <f>IFERROR(INDEX(_courses_lookup!$C:$C,MATCH(K289&amp;L289,_courses_lookup!$E:$E,0)),"")</f>
        <v/>
      </c>
      <c r="P289" t="str">
        <f>IFERROR(INDEX(_courses_lookup!$D:$D,MATCH(K289&amp;L289,_courses_lookup!$E:$E,0)),"")</f>
        <v/>
      </c>
      <c r="AG289" t="str">
        <f t="shared" si="44"/>
        <v/>
      </c>
      <c r="AI289" t="str">
        <f t="shared" si="45"/>
        <v/>
      </c>
      <c r="AL289" t="str">
        <f t="shared" si="46"/>
        <v/>
      </c>
      <c r="AN289" t="str">
        <f t="shared" si="47"/>
        <v/>
      </c>
      <c r="AQ289" t="str">
        <f t="shared" si="48"/>
        <v/>
      </c>
      <c r="AR289" t="str">
        <f t="shared" si="49"/>
        <v/>
      </c>
      <c r="AS289" t="str">
        <f t="shared" si="50"/>
        <v/>
      </c>
      <c r="AT289" t="str">
        <f t="shared" si="51"/>
        <v/>
      </c>
      <c r="BG289" t="str">
        <f t="shared" si="52"/>
        <v/>
      </c>
      <c r="BH289" t="str">
        <f t="shared" si="53"/>
        <v/>
      </c>
      <c r="BL289" t="str">
        <f>IFERROR(INDEX(_names_lookup!$C:$C,MATCH(BK289,_names_lookup!$A:$A,0)),"")</f>
        <v/>
      </c>
      <c r="BM289" t="str">
        <f>IFERROR(INDEX(_names_lookup!$B:$B,MATCH(BK289,_names_lookup!$A:$A,0)),"")</f>
        <v/>
      </c>
      <c r="BS289" t="str">
        <f t="shared" si="54"/>
        <v/>
      </c>
    </row>
    <row r="290" spans="15:71" x14ac:dyDescent="0.2">
      <c r="O290" t="str">
        <f>IFERROR(INDEX(_courses_lookup!$C:$C,MATCH(K290&amp;L290,_courses_lookup!$E:$E,0)),"")</f>
        <v/>
      </c>
      <c r="P290" t="str">
        <f>IFERROR(INDEX(_courses_lookup!$D:$D,MATCH(K290&amp;L290,_courses_lookup!$E:$E,0)),"")</f>
        <v/>
      </c>
      <c r="AG290" t="str">
        <f t="shared" si="44"/>
        <v/>
      </c>
      <c r="AI290" t="str">
        <f t="shared" si="45"/>
        <v/>
      </c>
      <c r="AL290" t="str">
        <f t="shared" si="46"/>
        <v/>
      </c>
      <c r="AN290" t="str">
        <f t="shared" si="47"/>
        <v/>
      </c>
      <c r="AQ290" t="str">
        <f t="shared" si="48"/>
        <v/>
      </c>
      <c r="AR290" t="str">
        <f t="shared" si="49"/>
        <v/>
      </c>
      <c r="AS290" t="str">
        <f t="shared" si="50"/>
        <v/>
      </c>
      <c r="AT290" t="str">
        <f t="shared" si="51"/>
        <v/>
      </c>
      <c r="BG290" t="str">
        <f t="shared" si="52"/>
        <v/>
      </c>
      <c r="BH290" t="str">
        <f t="shared" si="53"/>
        <v/>
      </c>
      <c r="BL290" t="str">
        <f>IFERROR(INDEX(_names_lookup!$C:$C,MATCH(BK290,_names_lookup!$A:$A,0)),"")</f>
        <v/>
      </c>
      <c r="BM290" t="str">
        <f>IFERROR(INDEX(_names_lookup!$B:$B,MATCH(BK290,_names_lookup!$A:$A,0)),"")</f>
        <v/>
      </c>
      <c r="BS290" t="str">
        <f t="shared" si="54"/>
        <v/>
      </c>
    </row>
    <row r="291" spans="15:71" x14ac:dyDescent="0.2">
      <c r="O291" t="str">
        <f>IFERROR(INDEX(_courses_lookup!$C:$C,MATCH(K291&amp;L291,_courses_lookup!$E:$E,0)),"")</f>
        <v/>
      </c>
      <c r="P291" t="str">
        <f>IFERROR(INDEX(_courses_lookup!$D:$D,MATCH(K291&amp;L291,_courses_lookup!$E:$E,0)),"")</f>
        <v/>
      </c>
      <c r="AG291" t="str">
        <f t="shared" si="44"/>
        <v/>
      </c>
      <c r="AI291" t="str">
        <f t="shared" si="45"/>
        <v/>
      </c>
      <c r="AL291" t="str">
        <f t="shared" si="46"/>
        <v/>
      </c>
      <c r="AN291" t="str">
        <f t="shared" si="47"/>
        <v/>
      </c>
      <c r="AQ291" t="str">
        <f t="shared" si="48"/>
        <v/>
      </c>
      <c r="AR291" t="str">
        <f t="shared" si="49"/>
        <v/>
      </c>
      <c r="AS291" t="str">
        <f t="shared" si="50"/>
        <v/>
      </c>
      <c r="AT291" t="str">
        <f t="shared" si="51"/>
        <v/>
      </c>
      <c r="BG291" t="str">
        <f t="shared" si="52"/>
        <v/>
      </c>
      <c r="BH291" t="str">
        <f t="shared" si="53"/>
        <v/>
      </c>
      <c r="BL291" t="str">
        <f>IFERROR(INDEX(_names_lookup!$C:$C,MATCH(BK291,_names_lookup!$A:$A,0)),"")</f>
        <v/>
      </c>
      <c r="BM291" t="str">
        <f>IFERROR(INDEX(_names_lookup!$B:$B,MATCH(BK291,_names_lookup!$A:$A,0)),"")</f>
        <v/>
      </c>
      <c r="BS291" t="str">
        <f t="shared" si="54"/>
        <v/>
      </c>
    </row>
    <row r="292" spans="15:71" x14ac:dyDescent="0.2">
      <c r="O292" t="str">
        <f>IFERROR(INDEX(_courses_lookup!$C:$C,MATCH(K292&amp;L292,_courses_lookup!$E:$E,0)),"")</f>
        <v/>
      </c>
      <c r="P292" t="str">
        <f>IFERROR(INDEX(_courses_lookup!$D:$D,MATCH(K292&amp;L292,_courses_lookup!$E:$E,0)),"")</f>
        <v/>
      </c>
      <c r="AG292" t="str">
        <f t="shared" si="44"/>
        <v/>
      </c>
      <c r="AI292" t="str">
        <f t="shared" si="45"/>
        <v/>
      </c>
      <c r="AL292" t="str">
        <f t="shared" si="46"/>
        <v/>
      </c>
      <c r="AN292" t="str">
        <f t="shared" si="47"/>
        <v/>
      </c>
      <c r="AQ292" t="str">
        <f t="shared" si="48"/>
        <v/>
      </c>
      <c r="AR292" t="str">
        <f t="shared" si="49"/>
        <v/>
      </c>
      <c r="AS292" t="str">
        <f t="shared" si="50"/>
        <v/>
      </c>
      <c r="AT292" t="str">
        <f t="shared" si="51"/>
        <v/>
      </c>
      <c r="BG292" t="str">
        <f t="shared" si="52"/>
        <v/>
      </c>
      <c r="BH292" t="str">
        <f t="shared" si="53"/>
        <v/>
      </c>
      <c r="BL292" t="str">
        <f>IFERROR(INDEX(_names_lookup!$C:$C,MATCH(BK292,_names_lookup!$A:$A,0)),"")</f>
        <v/>
      </c>
      <c r="BM292" t="str">
        <f>IFERROR(INDEX(_names_lookup!$B:$B,MATCH(BK292,_names_lookup!$A:$A,0)),"")</f>
        <v/>
      </c>
      <c r="BS292" t="str">
        <f t="shared" si="54"/>
        <v/>
      </c>
    </row>
    <row r="293" spans="15:71" x14ac:dyDescent="0.2">
      <c r="O293" t="str">
        <f>IFERROR(INDEX(_courses_lookup!$C:$C,MATCH(K293&amp;L293,_courses_lookup!$E:$E,0)),"")</f>
        <v/>
      </c>
      <c r="P293" t="str">
        <f>IFERROR(INDEX(_courses_lookup!$D:$D,MATCH(K293&amp;L293,_courses_lookup!$E:$E,0)),"")</f>
        <v/>
      </c>
      <c r="AG293" t="str">
        <f t="shared" si="44"/>
        <v/>
      </c>
      <c r="AI293" t="str">
        <f t="shared" si="45"/>
        <v/>
      </c>
      <c r="AL293" t="str">
        <f t="shared" si="46"/>
        <v/>
      </c>
      <c r="AN293" t="str">
        <f t="shared" si="47"/>
        <v/>
      </c>
      <c r="AQ293" t="str">
        <f t="shared" si="48"/>
        <v/>
      </c>
      <c r="AR293" t="str">
        <f t="shared" si="49"/>
        <v/>
      </c>
      <c r="AS293" t="str">
        <f t="shared" si="50"/>
        <v/>
      </c>
      <c r="AT293" t="str">
        <f t="shared" si="51"/>
        <v/>
      </c>
      <c r="BG293" t="str">
        <f t="shared" si="52"/>
        <v/>
      </c>
      <c r="BH293" t="str">
        <f t="shared" si="53"/>
        <v/>
      </c>
      <c r="BL293" t="str">
        <f>IFERROR(INDEX(_names_lookup!$C:$C,MATCH(BK293,_names_lookup!$A:$A,0)),"")</f>
        <v/>
      </c>
      <c r="BM293" t="str">
        <f>IFERROR(INDEX(_names_lookup!$B:$B,MATCH(BK293,_names_lookup!$A:$A,0)),"")</f>
        <v/>
      </c>
      <c r="BS293" t="str">
        <f t="shared" si="54"/>
        <v/>
      </c>
    </row>
    <row r="294" spans="15:71" x14ac:dyDescent="0.2">
      <c r="O294" t="str">
        <f>IFERROR(INDEX(_courses_lookup!$C:$C,MATCH(K294&amp;L294,_courses_lookup!$E:$E,0)),"")</f>
        <v/>
      </c>
      <c r="P294" t="str">
        <f>IFERROR(INDEX(_courses_lookup!$D:$D,MATCH(K294&amp;L294,_courses_lookup!$E:$E,0)),"")</f>
        <v/>
      </c>
      <c r="AG294" t="str">
        <f t="shared" si="44"/>
        <v/>
      </c>
      <c r="AI294" t="str">
        <f t="shared" si="45"/>
        <v/>
      </c>
      <c r="AL294" t="str">
        <f t="shared" si="46"/>
        <v/>
      </c>
      <c r="AN294" t="str">
        <f t="shared" si="47"/>
        <v/>
      </c>
      <c r="AQ294" t="str">
        <f t="shared" si="48"/>
        <v/>
      </c>
      <c r="AR294" t="str">
        <f t="shared" si="49"/>
        <v/>
      </c>
      <c r="AS294" t="str">
        <f t="shared" si="50"/>
        <v/>
      </c>
      <c r="AT294" t="str">
        <f t="shared" si="51"/>
        <v/>
      </c>
      <c r="BG294" t="str">
        <f t="shared" si="52"/>
        <v/>
      </c>
      <c r="BH294" t="str">
        <f t="shared" si="53"/>
        <v/>
      </c>
      <c r="BL294" t="str">
        <f>IFERROR(INDEX(_names_lookup!$C:$C,MATCH(BK294,_names_lookup!$A:$A,0)),"")</f>
        <v/>
      </c>
      <c r="BM294" t="str">
        <f>IFERROR(INDEX(_names_lookup!$B:$B,MATCH(BK294,_names_lookup!$A:$A,0)),"")</f>
        <v/>
      </c>
      <c r="BS294" t="str">
        <f t="shared" si="54"/>
        <v/>
      </c>
    </row>
    <row r="295" spans="15:71" x14ac:dyDescent="0.2">
      <c r="O295" t="str">
        <f>IFERROR(INDEX(_courses_lookup!$C:$C,MATCH(K295&amp;L295,_courses_lookup!$E:$E,0)),"")</f>
        <v/>
      </c>
      <c r="P295" t="str">
        <f>IFERROR(INDEX(_courses_lookup!$D:$D,MATCH(K295&amp;L295,_courses_lookup!$E:$E,0)),"")</f>
        <v/>
      </c>
      <c r="AG295" t="str">
        <f t="shared" si="44"/>
        <v/>
      </c>
      <c r="AI295" t="str">
        <f t="shared" si="45"/>
        <v/>
      </c>
      <c r="AL295" t="str">
        <f t="shared" si="46"/>
        <v/>
      </c>
      <c r="AN295" t="str">
        <f t="shared" si="47"/>
        <v/>
      </c>
      <c r="AQ295" t="str">
        <f t="shared" si="48"/>
        <v/>
      </c>
      <c r="AR295" t="str">
        <f t="shared" si="49"/>
        <v/>
      </c>
      <c r="AS295" t="str">
        <f t="shared" si="50"/>
        <v/>
      </c>
      <c r="AT295" t="str">
        <f t="shared" si="51"/>
        <v/>
      </c>
      <c r="BG295" t="str">
        <f t="shared" si="52"/>
        <v/>
      </c>
      <c r="BH295" t="str">
        <f t="shared" si="53"/>
        <v/>
      </c>
      <c r="BL295" t="str">
        <f>IFERROR(INDEX(_names_lookup!$C:$C,MATCH(BK295,_names_lookup!$A:$A,0)),"")</f>
        <v/>
      </c>
      <c r="BM295" t="str">
        <f>IFERROR(INDEX(_names_lookup!$B:$B,MATCH(BK295,_names_lookup!$A:$A,0)),"")</f>
        <v/>
      </c>
      <c r="BS295" t="str">
        <f t="shared" si="54"/>
        <v/>
      </c>
    </row>
    <row r="296" spans="15:71" x14ac:dyDescent="0.2">
      <c r="O296" t="str">
        <f>IFERROR(INDEX(_courses_lookup!$C:$C,MATCH(K296&amp;L296,_courses_lookup!$E:$E,0)),"")</f>
        <v/>
      </c>
      <c r="P296" t="str">
        <f>IFERROR(INDEX(_courses_lookup!$D:$D,MATCH(K296&amp;L296,_courses_lookup!$E:$E,0)),"")</f>
        <v/>
      </c>
      <c r="AG296" t="str">
        <f t="shared" si="44"/>
        <v/>
      </c>
      <c r="AI296" t="str">
        <f t="shared" si="45"/>
        <v/>
      </c>
      <c r="AL296" t="str">
        <f t="shared" si="46"/>
        <v/>
      </c>
      <c r="AN296" t="str">
        <f t="shared" si="47"/>
        <v/>
      </c>
      <c r="AQ296" t="str">
        <f t="shared" si="48"/>
        <v/>
      </c>
      <c r="AR296" t="str">
        <f t="shared" si="49"/>
        <v/>
      </c>
      <c r="AS296" t="str">
        <f t="shared" si="50"/>
        <v/>
      </c>
      <c r="AT296" t="str">
        <f t="shared" si="51"/>
        <v/>
      </c>
      <c r="BG296" t="str">
        <f t="shared" si="52"/>
        <v/>
      </c>
      <c r="BH296" t="str">
        <f t="shared" si="53"/>
        <v/>
      </c>
      <c r="BL296" t="str">
        <f>IFERROR(INDEX(_names_lookup!$C:$C,MATCH(BK296,_names_lookup!$A:$A,0)),"")</f>
        <v/>
      </c>
      <c r="BM296" t="str">
        <f>IFERROR(INDEX(_names_lookup!$B:$B,MATCH(BK296,_names_lookup!$A:$A,0)),"")</f>
        <v/>
      </c>
      <c r="BS296" t="str">
        <f t="shared" si="54"/>
        <v/>
      </c>
    </row>
    <row r="297" spans="15:71" x14ac:dyDescent="0.2">
      <c r="O297" t="str">
        <f>IFERROR(INDEX(_courses_lookup!$C:$C,MATCH(K297&amp;L297,_courses_lookup!$E:$E,0)),"")</f>
        <v/>
      </c>
      <c r="P297" t="str">
        <f>IFERROR(INDEX(_courses_lookup!$D:$D,MATCH(K297&amp;L297,_courses_lookup!$E:$E,0)),"")</f>
        <v/>
      </c>
      <c r="AG297" t="str">
        <f t="shared" si="44"/>
        <v/>
      </c>
      <c r="AI297" t="str">
        <f t="shared" si="45"/>
        <v/>
      </c>
      <c r="AL297" t="str">
        <f t="shared" si="46"/>
        <v/>
      </c>
      <c r="AN297" t="str">
        <f t="shared" si="47"/>
        <v/>
      </c>
      <c r="AQ297" t="str">
        <f t="shared" si="48"/>
        <v/>
      </c>
      <c r="AR297" t="str">
        <f t="shared" si="49"/>
        <v/>
      </c>
      <c r="AS297" t="str">
        <f t="shared" si="50"/>
        <v/>
      </c>
      <c r="AT297" t="str">
        <f t="shared" si="51"/>
        <v/>
      </c>
      <c r="BG297" t="str">
        <f t="shared" si="52"/>
        <v/>
      </c>
      <c r="BH297" t="str">
        <f t="shared" si="53"/>
        <v/>
      </c>
      <c r="BL297" t="str">
        <f>IFERROR(INDEX(_names_lookup!$C:$C,MATCH(BK297,_names_lookup!$A:$A,0)),"")</f>
        <v/>
      </c>
      <c r="BM297" t="str">
        <f>IFERROR(INDEX(_names_lookup!$B:$B,MATCH(BK297,_names_lookup!$A:$A,0)),"")</f>
        <v/>
      </c>
      <c r="BS297" t="str">
        <f t="shared" si="54"/>
        <v/>
      </c>
    </row>
    <row r="298" spans="15:71" x14ac:dyDescent="0.2">
      <c r="O298" t="str">
        <f>IFERROR(INDEX(_courses_lookup!$C:$C,MATCH(K298&amp;L298,_courses_lookup!$E:$E,0)),"")</f>
        <v/>
      </c>
      <c r="P298" t="str">
        <f>IFERROR(INDEX(_courses_lookup!$D:$D,MATCH(K298&amp;L298,_courses_lookup!$E:$E,0)),"")</f>
        <v/>
      </c>
      <c r="AG298" t="str">
        <f t="shared" si="44"/>
        <v/>
      </c>
      <c r="AI298" t="str">
        <f t="shared" si="45"/>
        <v/>
      </c>
      <c r="AL298" t="str">
        <f t="shared" si="46"/>
        <v/>
      </c>
      <c r="AN298" t="str">
        <f t="shared" si="47"/>
        <v/>
      </c>
      <c r="AQ298" t="str">
        <f t="shared" si="48"/>
        <v/>
      </c>
      <c r="AR298" t="str">
        <f t="shared" si="49"/>
        <v/>
      </c>
      <c r="AS298" t="str">
        <f t="shared" si="50"/>
        <v/>
      </c>
      <c r="AT298" t="str">
        <f t="shared" si="51"/>
        <v/>
      </c>
      <c r="BG298" t="str">
        <f t="shared" si="52"/>
        <v/>
      </c>
      <c r="BH298" t="str">
        <f t="shared" si="53"/>
        <v/>
      </c>
      <c r="BL298" t="str">
        <f>IFERROR(INDEX(_names_lookup!$C:$C,MATCH(BK298,_names_lookup!$A:$A,0)),"")</f>
        <v/>
      </c>
      <c r="BM298" t="str">
        <f>IFERROR(INDEX(_names_lookup!$B:$B,MATCH(BK298,_names_lookup!$A:$A,0)),"")</f>
        <v/>
      </c>
      <c r="BS298" t="str">
        <f t="shared" si="54"/>
        <v/>
      </c>
    </row>
    <row r="299" spans="15:71" x14ac:dyDescent="0.2">
      <c r="O299" t="str">
        <f>IFERROR(INDEX(_courses_lookup!$C:$C,MATCH(K299&amp;L299,_courses_lookup!$E:$E,0)),"")</f>
        <v/>
      </c>
      <c r="P299" t="str">
        <f>IFERROR(INDEX(_courses_lookup!$D:$D,MATCH(K299&amp;L299,_courses_lookup!$E:$E,0)),"")</f>
        <v/>
      </c>
      <c r="AG299" t="str">
        <f t="shared" si="44"/>
        <v/>
      </c>
      <c r="AI299" t="str">
        <f t="shared" si="45"/>
        <v/>
      </c>
      <c r="AL299" t="str">
        <f t="shared" si="46"/>
        <v/>
      </c>
      <c r="AN299" t="str">
        <f t="shared" si="47"/>
        <v/>
      </c>
      <c r="AQ299" t="str">
        <f t="shared" si="48"/>
        <v/>
      </c>
      <c r="AR299" t="str">
        <f t="shared" si="49"/>
        <v/>
      </c>
      <c r="AS299" t="str">
        <f t="shared" si="50"/>
        <v/>
      </c>
      <c r="AT299" t="str">
        <f t="shared" si="51"/>
        <v/>
      </c>
      <c r="BG299" t="str">
        <f t="shared" si="52"/>
        <v/>
      </c>
      <c r="BH299" t="str">
        <f t="shared" si="53"/>
        <v/>
      </c>
      <c r="BL299" t="str">
        <f>IFERROR(INDEX(_names_lookup!$C:$C,MATCH(BK299,_names_lookup!$A:$A,0)),"")</f>
        <v/>
      </c>
      <c r="BM299" t="str">
        <f>IFERROR(INDEX(_names_lookup!$B:$B,MATCH(BK299,_names_lookup!$A:$A,0)),"")</f>
        <v/>
      </c>
      <c r="BS299" t="str">
        <f t="shared" si="54"/>
        <v/>
      </c>
    </row>
    <row r="300" spans="15:71" x14ac:dyDescent="0.2">
      <c r="O300" t="str">
        <f>IFERROR(INDEX(_courses_lookup!$C:$C,MATCH(K300&amp;L300,_courses_lookup!$E:$E,0)),"")</f>
        <v/>
      </c>
      <c r="P300" t="str">
        <f>IFERROR(INDEX(_courses_lookup!$D:$D,MATCH(K300&amp;L300,_courses_lookup!$E:$E,0)),"")</f>
        <v/>
      </c>
      <c r="AG300" t="str">
        <f t="shared" si="44"/>
        <v/>
      </c>
      <c r="AI300" t="str">
        <f t="shared" si="45"/>
        <v/>
      </c>
      <c r="AL300" t="str">
        <f t="shared" si="46"/>
        <v/>
      </c>
      <c r="AN300" t="str">
        <f t="shared" si="47"/>
        <v/>
      </c>
      <c r="AQ300" t="str">
        <f t="shared" si="48"/>
        <v/>
      </c>
      <c r="AR300" t="str">
        <f t="shared" si="49"/>
        <v/>
      </c>
      <c r="AS300" t="str">
        <f t="shared" si="50"/>
        <v/>
      </c>
      <c r="AT300" t="str">
        <f t="shared" si="51"/>
        <v/>
      </c>
      <c r="BG300" t="str">
        <f t="shared" si="52"/>
        <v/>
      </c>
      <c r="BH300" t="str">
        <f t="shared" si="53"/>
        <v/>
      </c>
      <c r="BL300" t="str">
        <f>IFERROR(INDEX(_names_lookup!$C:$C,MATCH(BK300,_names_lookup!$A:$A,0)),"")</f>
        <v/>
      </c>
      <c r="BM300" t="str">
        <f>IFERROR(INDEX(_names_lookup!$B:$B,MATCH(BK300,_names_lookup!$A:$A,0)),"")</f>
        <v/>
      </c>
      <c r="BS300" t="str">
        <f t="shared" si="54"/>
        <v/>
      </c>
    </row>
  </sheetData>
  <autoFilter ref="A1:DQ1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400-000000000000}">
          <x14:formula1>
            <xm:f>DropDownMenu!$A$2:$A$3</xm:f>
          </x14:formula1>
          <xm:sqref>A2:A5000</xm:sqref>
        </x14:dataValidation>
        <x14:dataValidation type="list" allowBlank="1" xr:uid="{00000000-0002-0000-0400-000001000000}">
          <x14:formula1>
            <xm:f>DropDownMenu!$B$2:$B$3</xm:f>
          </x14:formula1>
          <xm:sqref>B2:B5000</xm:sqref>
        </x14:dataValidation>
        <x14:dataValidation type="list" allowBlank="1" xr:uid="{00000000-0002-0000-0400-000002000000}">
          <x14:formula1>
            <xm:f>DropDownMenu!$C$2:$C$3</xm:f>
          </x14:formula1>
          <xm:sqref>C2:C5000</xm:sqref>
        </x14:dataValidation>
        <x14:dataValidation type="list" allowBlank="1" xr:uid="{00000000-0002-0000-0400-000003000000}">
          <x14:formula1>
            <xm:f>DropDownMenu!$D$2:$D$3</xm:f>
          </x14:formula1>
          <xm:sqref>D2:D5000</xm:sqref>
        </x14:dataValidation>
        <x14:dataValidation type="list" allowBlank="1" xr:uid="{00000000-0002-0000-0400-000004000000}">
          <x14:formula1>
            <xm:f>DropDownMenu!$E$2:$E$3</xm:f>
          </x14:formula1>
          <xm:sqref>E2:E5000</xm:sqref>
        </x14:dataValidation>
        <x14:dataValidation type="list" allowBlank="1" xr:uid="{00000000-0002-0000-0400-000005000000}">
          <x14:formula1>
            <xm:f>DropDownMenu!$F$2:$F$3</xm:f>
          </x14:formula1>
          <xm:sqref>F2:F5000</xm:sqref>
        </x14:dataValidation>
        <x14:dataValidation type="list" allowBlank="1" xr:uid="{00000000-0002-0000-0400-000006000000}">
          <x14:formula1>
            <xm:f>DropDownMenu!$G$2:$G$19</xm:f>
          </x14:formula1>
          <xm:sqref>G2:G5000</xm:sqref>
        </x14:dataValidation>
        <x14:dataValidation type="list" allowBlank="1" xr:uid="{00000000-0002-0000-0400-000007000000}">
          <x14:formula1>
            <xm:f>DropDownMenu!$H$2:$H$564</xm:f>
          </x14:formula1>
          <xm:sqref>H2:H5000</xm:sqref>
        </x14:dataValidation>
        <x14:dataValidation type="list" allowBlank="1" xr:uid="{00000000-0002-0000-0400-000008000000}">
          <x14:formula1>
            <xm:f>DropDownMenu!$I$2:$I$352</xm:f>
          </x14:formula1>
          <xm:sqref>I2:I5000</xm:sqref>
        </x14:dataValidation>
        <x14:dataValidation type="list" allowBlank="1" xr:uid="{00000000-0002-0000-0400-000009000000}">
          <x14:formula1>
            <xm:f>DropDownMenu!$J$2:$J$10</xm:f>
          </x14:formula1>
          <xm:sqref>K2:K5000</xm:sqref>
        </x14:dataValidation>
        <x14:dataValidation type="list" allowBlank="1" xr:uid="{00000000-0002-0000-0400-00000A000000}">
          <x14:formula1>
            <xm:f>DropDownMenu!$K$2:$K$101</xm:f>
          </x14:formula1>
          <xm:sqref>L2:L5000</xm:sqref>
        </x14:dataValidation>
        <x14:dataValidation type="list" allowBlank="1" xr:uid="{00000000-0002-0000-0400-00000B000000}">
          <x14:formula1>
            <xm:f>DropDownMenu!$L$2:$L$42</xm:f>
          </x14:formula1>
          <xm:sqref>M2:M5000</xm:sqref>
        </x14:dataValidation>
        <x14:dataValidation type="list" allowBlank="1" xr:uid="{00000000-0002-0000-0400-00000C000000}">
          <x14:formula1>
            <xm:f>DropDownMenu!$M$2:$M$15</xm:f>
          </x14:formula1>
          <xm:sqref>N2:N5000</xm:sqref>
        </x14:dataValidation>
        <x14:dataValidation type="list" allowBlank="1" xr:uid="{00000000-0002-0000-0400-00000D000000}">
          <x14:formula1>
            <xm:f>DropDownMenu!$N$2:$N$140</xm:f>
          </x14:formula1>
          <xm:sqref>O2:O5000</xm:sqref>
        </x14:dataValidation>
        <x14:dataValidation type="list" allowBlank="1" xr:uid="{00000000-0002-0000-0400-00000E000000}">
          <x14:formula1>
            <xm:f>DropDownMenu!$O$2:$O$65</xm:f>
          </x14:formula1>
          <xm:sqref>P2:P5000</xm:sqref>
        </x14:dataValidation>
        <x14:dataValidation type="list" allowBlank="1" xr:uid="{00000000-0002-0000-0400-00000F000000}">
          <x14:formula1>
            <xm:f>DropDownMenu!$P$2:$P$45</xm:f>
          </x14:formula1>
          <xm:sqref>R2:R5000</xm:sqref>
        </x14:dataValidation>
        <x14:dataValidation type="list" allowBlank="1" xr:uid="{00000000-0002-0000-0400-000010000000}">
          <x14:formula1>
            <xm:f>DropDownMenu!$Q$2:$Q$6</xm:f>
          </x14:formula1>
          <xm:sqref>S2:S5000</xm:sqref>
        </x14:dataValidation>
        <x14:dataValidation type="list" allowBlank="1" xr:uid="{00000000-0002-0000-0400-000011000000}">
          <x14:formula1>
            <xm:f>DropDownMenu!$R$2:$R$7</xm:f>
          </x14:formula1>
          <xm:sqref>T2:T5000</xm:sqref>
        </x14:dataValidation>
        <x14:dataValidation type="list" allowBlank="1" xr:uid="{00000000-0002-0000-0400-000012000000}">
          <x14:formula1>
            <xm:f>DropDownMenu!$S$2:$S$12</xm:f>
          </x14:formula1>
          <xm:sqref>U2:U5000</xm:sqref>
        </x14:dataValidation>
        <x14:dataValidation type="list" allowBlank="1" xr:uid="{00000000-0002-0000-0400-000013000000}">
          <x14:formula1>
            <xm:f>DropDownMenu!$T$2:$T$13</xm:f>
          </x14:formula1>
          <xm:sqref>V2:V5000</xm:sqref>
        </x14:dataValidation>
        <x14:dataValidation type="list" allowBlank="1" xr:uid="{00000000-0002-0000-0400-000014000000}">
          <x14:formula1>
            <xm:f>DropDownMenu!$U$2:$U$4</xm:f>
          </x14:formula1>
          <xm:sqref>W2:W5000</xm:sqref>
        </x14:dataValidation>
        <x14:dataValidation type="list" allowBlank="1" xr:uid="{00000000-0002-0000-0400-000015000000}">
          <x14:formula1>
            <xm:f>DropDownMenu!$V$2:$V$6</xm:f>
          </x14:formula1>
          <xm:sqref>X2:X5000</xm:sqref>
        </x14:dataValidation>
        <x14:dataValidation type="list" allowBlank="1" xr:uid="{00000000-0002-0000-0400-000016000000}">
          <x14:formula1>
            <xm:f>DropDownMenu!$W$2:$W$26</xm:f>
          </x14:formula1>
          <xm:sqref>Y2:Y5000</xm:sqref>
        </x14:dataValidation>
        <x14:dataValidation type="list" allowBlank="1" xr:uid="{00000000-0002-0000-0400-000017000000}">
          <x14:formula1>
            <xm:f>DropDownMenu!$X$2:$X$7</xm:f>
          </x14:formula1>
          <xm:sqref>Z2:Z5000</xm:sqref>
        </x14:dataValidation>
        <x14:dataValidation type="list" allowBlank="1" xr:uid="{00000000-0002-0000-0400-000018000000}">
          <x14:formula1>
            <xm:f>DropDownMenu!$Y$2:$Y$15</xm:f>
          </x14:formula1>
          <xm:sqref>AB2:AB5000</xm:sqref>
        </x14:dataValidation>
        <x14:dataValidation type="list" allowBlank="1" xr:uid="{00000000-0002-0000-0400-000019000000}">
          <x14:formula1>
            <xm:f>DropDownMenu!$Z$2:$Z$6</xm:f>
          </x14:formula1>
          <xm:sqref>AC2:AC5000</xm:sqref>
        </x14:dataValidation>
        <x14:dataValidation type="list" allowBlank="1" xr:uid="{00000000-0002-0000-0400-00001A000000}">
          <x14:formula1>
            <xm:f>DropDownMenu!$AA$2:$AA$7</xm:f>
          </x14:formula1>
          <xm:sqref>AD2:AD5000</xm:sqref>
        </x14:dataValidation>
        <x14:dataValidation type="list" allowBlank="1" xr:uid="{00000000-0002-0000-0400-00001B000000}">
          <x14:formula1>
            <xm:f>DropDownMenu!$AB$2:$AB$2</xm:f>
          </x14:formula1>
          <xm:sqref>AG2:AG5000</xm:sqref>
        </x14:dataValidation>
        <x14:dataValidation type="list" allowBlank="1" xr:uid="{00000000-0002-0000-0400-00001C000000}">
          <x14:formula1>
            <xm:f>DropDownMenu!$AC$2:$AC$2</xm:f>
          </x14:formula1>
          <xm:sqref>AH2:AH5000</xm:sqref>
        </x14:dataValidation>
        <x14:dataValidation type="list" allowBlank="1" xr:uid="{00000000-0002-0000-0400-00001D000000}">
          <x14:formula1>
            <xm:f>DropDownMenu!$AD$2:$AD$2</xm:f>
          </x14:formula1>
          <xm:sqref>AI2:AI5000</xm:sqref>
        </x14:dataValidation>
        <x14:dataValidation type="list" allowBlank="1" xr:uid="{00000000-0002-0000-0400-00001E000000}">
          <x14:formula1>
            <xm:f>DropDownMenu!$AE$2:$AE$49</xm:f>
          </x14:formula1>
          <xm:sqref>AJ2:AJ5000</xm:sqref>
        </x14:dataValidation>
        <x14:dataValidation type="list" allowBlank="1" xr:uid="{00000000-0002-0000-0400-00001F000000}">
          <x14:formula1>
            <xm:f>DropDownMenu!$AF$2:$AF$52</xm:f>
          </x14:formula1>
          <xm:sqref>AK2:AK5000</xm:sqref>
        </x14:dataValidation>
        <x14:dataValidation type="list" allowBlank="1" xr:uid="{00000000-0002-0000-0400-000020000000}">
          <x14:formula1>
            <xm:f>DropDownMenu!$AG$2:$AG$2</xm:f>
          </x14:formula1>
          <xm:sqref>AL2:AL5000</xm:sqref>
        </x14:dataValidation>
        <x14:dataValidation type="list" allowBlank="1" xr:uid="{00000000-0002-0000-0400-000021000000}">
          <x14:formula1>
            <xm:f>DropDownMenu!$AH$2:$AH$2</xm:f>
          </x14:formula1>
          <xm:sqref>AM2:AM5000</xm:sqref>
        </x14:dataValidation>
        <x14:dataValidation type="list" allowBlank="1" xr:uid="{00000000-0002-0000-0400-000022000000}">
          <x14:formula1>
            <xm:f>DropDownMenu!$AI$2:$AI$2</xm:f>
          </x14:formula1>
          <xm:sqref>AN2:AN5000</xm:sqref>
        </x14:dataValidation>
        <x14:dataValidation type="list" allowBlank="1" xr:uid="{00000000-0002-0000-0400-000023000000}">
          <x14:formula1>
            <xm:f>DropDownMenu!$AJ$2:$AJ$2</xm:f>
          </x14:formula1>
          <xm:sqref>AQ2:AQ5000</xm:sqref>
        </x14:dataValidation>
        <x14:dataValidation type="list" allowBlank="1" xr:uid="{00000000-0002-0000-0400-000024000000}">
          <x14:formula1>
            <xm:f>DropDownMenu!$AK$2:$AK$2</xm:f>
          </x14:formula1>
          <xm:sqref>AR2:AR5000</xm:sqref>
        </x14:dataValidation>
        <x14:dataValidation type="list" allowBlank="1" xr:uid="{00000000-0002-0000-0400-000025000000}">
          <x14:formula1>
            <xm:f>DropDownMenu!$AL$2:$AL$2</xm:f>
          </x14:formula1>
          <xm:sqref>AS2:AS5000</xm:sqref>
        </x14:dataValidation>
        <x14:dataValidation type="list" allowBlank="1" xr:uid="{00000000-0002-0000-0400-000026000000}">
          <x14:formula1>
            <xm:f>DropDownMenu!$AM$2:$AM$2</xm:f>
          </x14:formula1>
          <xm:sqref>AT2:AT5000</xm:sqref>
        </x14:dataValidation>
        <x14:dataValidation type="list" allowBlank="1" xr:uid="{00000000-0002-0000-0400-000027000000}">
          <x14:formula1>
            <xm:f>DropDownMenu!$AN$2:$AN$2</xm:f>
          </x14:formula1>
          <xm:sqref>AU2:AU5000</xm:sqref>
        </x14:dataValidation>
        <x14:dataValidation type="list" allowBlank="1" xr:uid="{00000000-0002-0000-0400-000028000000}">
          <x14:formula1>
            <xm:f>DropDownMenu!$AO$2:$AO$9</xm:f>
          </x14:formula1>
          <xm:sqref>AV2:AV5000</xm:sqref>
        </x14:dataValidation>
        <x14:dataValidation type="list" allowBlank="1" xr:uid="{00000000-0002-0000-0400-000029000000}">
          <x14:formula1>
            <xm:f>DropDownMenu!$AP$2:$AP$6</xm:f>
          </x14:formula1>
          <xm:sqref>AW2:AW5000</xm:sqref>
        </x14:dataValidation>
        <x14:dataValidation type="list" allowBlank="1" xr:uid="{00000000-0002-0000-0400-00002A000000}">
          <x14:formula1>
            <xm:f>DropDownMenu!$AQ$2:$AQ$11</xm:f>
          </x14:formula1>
          <xm:sqref>AX2:AX5000</xm:sqref>
        </x14:dataValidation>
        <x14:dataValidation type="list" allowBlank="1" xr:uid="{00000000-0002-0000-0400-00002B000000}">
          <x14:formula1>
            <xm:f>DropDownMenu!$AR$2:$AR$2</xm:f>
          </x14:formula1>
          <xm:sqref>AY2:AY5000</xm:sqref>
        </x14:dataValidation>
        <x14:dataValidation type="list" allowBlank="1" xr:uid="{00000000-0002-0000-0400-00002C000000}">
          <x14:formula1>
            <xm:f>DropDownMenu!$AS$2:$AS$2</xm:f>
          </x14:formula1>
          <xm:sqref>AZ2:AZ5000</xm:sqref>
        </x14:dataValidation>
        <x14:dataValidation type="list" allowBlank="1" xr:uid="{00000000-0002-0000-0400-00002D000000}">
          <x14:formula1>
            <xm:f>DropDownMenu!$AT$2:$AT$2</xm:f>
          </x14:formula1>
          <xm:sqref>BA2:BA5000</xm:sqref>
        </x14:dataValidation>
        <x14:dataValidation type="list" allowBlank="1" xr:uid="{00000000-0002-0000-0400-00002E000000}">
          <x14:formula1>
            <xm:f>DropDownMenu!$AU$2:$AU$2</xm:f>
          </x14:formula1>
          <xm:sqref>BB2:BB5000</xm:sqref>
        </x14:dataValidation>
        <x14:dataValidation type="list" allowBlank="1" xr:uid="{00000000-0002-0000-0400-00002F000000}">
          <x14:formula1>
            <xm:f>DropDownMenu!$AV$2:$AV$2</xm:f>
          </x14:formula1>
          <xm:sqref>BC2:BC5000</xm:sqref>
        </x14:dataValidation>
        <x14:dataValidation type="list" allowBlank="1" xr:uid="{00000000-0002-0000-0400-000030000000}">
          <x14:formula1>
            <xm:f>DropDownMenu!$AW$2:$AW$5</xm:f>
          </x14:formula1>
          <xm:sqref>BF2:BF5000</xm:sqref>
        </x14:dataValidation>
        <x14:dataValidation type="list" allowBlank="1" xr:uid="{00000000-0002-0000-0400-000031000000}">
          <x14:formula1>
            <xm:f>DropDownMenu!$AX$2:$AX$37</xm:f>
          </x14:formula1>
          <xm:sqref>BG2:BG5000</xm:sqref>
        </x14:dataValidation>
        <x14:dataValidation type="list" allowBlank="1" xr:uid="{00000000-0002-0000-0400-000032000000}">
          <x14:formula1>
            <xm:f>DropDownMenu!$AY$2:$AY$4</xm:f>
          </x14:formula1>
          <xm:sqref>BH2:BH5000</xm:sqref>
        </x14:dataValidation>
        <x14:dataValidation type="list" allowBlank="1" xr:uid="{00000000-0002-0000-0400-000033000000}">
          <x14:formula1>
            <xm:f>DropDownMenu!$AZ$2:$AZ$13</xm:f>
          </x14:formula1>
          <xm:sqref>BI2:BI5000</xm:sqref>
        </x14:dataValidation>
        <x14:dataValidation type="list" allowBlank="1" xr:uid="{00000000-0002-0000-0400-000034000000}">
          <x14:formula1>
            <xm:f>DropDownMenu!$BA$2:$BA$34</xm:f>
          </x14:formula1>
          <xm:sqref>BJ2:BJ5000</xm:sqref>
        </x14:dataValidation>
        <x14:dataValidation type="list" allowBlank="1" xr:uid="{00000000-0002-0000-0400-000035000000}">
          <x14:formula1>
            <xm:f>DropDownMenu!$BB$2:$BB$258</xm:f>
          </x14:formula1>
          <xm:sqref>BK2:BK5000</xm:sqref>
        </x14:dataValidation>
        <x14:dataValidation type="list" allowBlank="1" xr:uid="{00000000-0002-0000-0400-000036000000}">
          <x14:formula1>
            <xm:f>DropDownMenu!$BC$2:$BC$252</xm:f>
          </x14:formula1>
          <xm:sqref>BL2:BL5000</xm:sqref>
        </x14:dataValidation>
        <x14:dataValidation type="list" allowBlank="1" xr:uid="{00000000-0002-0000-0400-000037000000}">
          <x14:formula1>
            <xm:f>DropDownMenu!$BD$2:$BD$258</xm:f>
          </x14:formula1>
          <xm:sqref>BM2:BM5000</xm:sqref>
        </x14:dataValidation>
        <x14:dataValidation type="list" allowBlank="1" xr:uid="{00000000-0002-0000-0400-000038000000}">
          <x14:formula1>
            <xm:f>DropDownMenu!$BE$2:$BE$3</xm:f>
          </x14:formula1>
          <xm:sqref>BN2:BN5000</xm:sqref>
        </x14:dataValidation>
        <x14:dataValidation type="list" allowBlank="1" xr:uid="{00000000-0002-0000-0400-000039000000}">
          <x14:formula1>
            <xm:f>DropDownMenu!$BF$2:$BF$4</xm:f>
          </x14:formula1>
          <xm:sqref>BO2:BO5000</xm:sqref>
        </x14:dataValidation>
        <x14:dataValidation type="list" allowBlank="1" xr:uid="{00000000-0002-0000-0400-00003A000000}">
          <x14:formula1>
            <xm:f>DropDownMenu!$BG$2:$BG$6</xm:f>
          </x14:formula1>
          <xm:sqref>BP2:BP5000</xm:sqref>
        </x14:dataValidation>
        <x14:dataValidation type="list" allowBlank="1" xr:uid="{00000000-0002-0000-0400-00003B000000}">
          <x14:formula1>
            <xm:f>DropDownMenu!$BH$2:$BH$4</xm:f>
          </x14:formula1>
          <xm:sqref>BQ2:BQ5000</xm:sqref>
        </x14:dataValidation>
        <x14:dataValidation type="list" allowBlank="1" xr:uid="{00000000-0002-0000-0400-00003C000000}">
          <x14:formula1>
            <xm:f>DropDownMenu!$BI$2:$BI$3</xm:f>
          </x14:formula1>
          <xm:sqref>BR2:BR5000</xm:sqref>
        </x14:dataValidation>
        <x14:dataValidation type="list" allowBlank="1" xr:uid="{00000000-0002-0000-0400-00003D000000}">
          <x14:formula1>
            <xm:f>DropDownMenu!$BJ$2:$BJ$3</xm:f>
          </x14:formula1>
          <xm:sqref>BT2:BT5000</xm:sqref>
        </x14:dataValidation>
        <x14:dataValidation type="list" allowBlank="1" xr:uid="{00000000-0002-0000-0400-00003E000000}">
          <x14:formula1>
            <xm:f>DropDownMenu!$BK$2:$BK$11</xm:f>
          </x14:formula1>
          <xm:sqref>BU2:BU5000</xm:sqref>
        </x14:dataValidation>
        <x14:dataValidation type="list" allowBlank="1" xr:uid="{00000000-0002-0000-0400-00003F000000}">
          <x14:formula1>
            <xm:f>DropDownMenu!$BL$2:$BL$9</xm:f>
          </x14:formula1>
          <xm:sqref>BV2:BV5000</xm:sqref>
        </x14:dataValidation>
        <x14:dataValidation type="list" allowBlank="1" xr:uid="{00000000-0002-0000-0400-000040000000}">
          <x14:formula1>
            <xm:f>DropDownMenu!$BM$2:$BM$2</xm:f>
          </x14:formula1>
          <xm:sqref>BW2:BW5000</xm:sqref>
        </x14:dataValidation>
        <x14:dataValidation type="list" allowBlank="1" xr:uid="{00000000-0002-0000-0400-000041000000}">
          <x14:formula1>
            <xm:f>DropDownMenu!$BN$2:$BN$2</xm:f>
          </x14:formula1>
          <xm:sqref>BX2:BX5000</xm:sqref>
        </x14:dataValidation>
        <x14:dataValidation type="list" allowBlank="1" xr:uid="{00000000-0002-0000-0400-000042000000}">
          <x14:formula1>
            <xm:f>DropDownMenu!$BO$2:$BO$2</xm:f>
          </x14:formula1>
          <xm:sqref>BY2:BY5000</xm:sqref>
        </x14:dataValidation>
        <x14:dataValidation type="list" allowBlank="1" xr:uid="{00000000-0002-0000-0400-000043000000}">
          <x14:formula1>
            <xm:f>DropDownMenu!$BP$2:$BP$9</xm:f>
          </x14:formula1>
          <xm:sqref>BZ2:BZ5000</xm:sqref>
        </x14:dataValidation>
        <x14:dataValidation type="list" allowBlank="1" xr:uid="{00000000-0002-0000-0400-000044000000}">
          <x14:formula1>
            <xm:f>DropDownMenu!$BQ$2:$BQ$11</xm:f>
          </x14:formula1>
          <xm:sqref>CA2:CA5000</xm:sqref>
        </x14:dataValidation>
        <x14:dataValidation type="list" allowBlank="1" xr:uid="{00000000-0002-0000-0400-000045000000}">
          <x14:formula1>
            <xm:f>DropDownMenu!$BR$2:$BR$3</xm:f>
          </x14:formula1>
          <xm:sqref>CB2:CB5000</xm:sqref>
        </x14:dataValidation>
        <x14:dataValidation type="list" allowBlank="1" xr:uid="{00000000-0002-0000-0400-000046000000}">
          <x14:formula1>
            <xm:f>DropDownMenu!$BS$2:$BS$4</xm:f>
          </x14:formula1>
          <xm:sqref>CC2:CC5000</xm:sqref>
        </x14:dataValidation>
        <x14:dataValidation type="list" allowBlank="1" xr:uid="{00000000-0002-0000-0400-000047000000}">
          <x14:formula1>
            <xm:f>DropDownMenu!$BT$2:$BT$2</xm:f>
          </x14:formula1>
          <xm:sqref>CE2:CE5000</xm:sqref>
        </x14:dataValidation>
        <x14:dataValidation type="list" allowBlank="1" xr:uid="{00000000-0002-0000-0400-000048000000}">
          <x14:formula1>
            <xm:f>DropDownMenu!$BU$2:$BU$81</xm:f>
          </x14:formula1>
          <xm:sqref>CF2:CF5000</xm:sqref>
        </x14:dataValidation>
        <x14:dataValidation type="list" allowBlank="1" xr:uid="{00000000-0002-0000-0400-000049000000}">
          <x14:formula1>
            <xm:f>DropDownMenu!$BV$2:$BV$3</xm:f>
          </x14:formula1>
          <xm:sqref>CG2:CG5000</xm:sqref>
        </x14:dataValidation>
        <x14:dataValidation type="list" allowBlank="1" xr:uid="{00000000-0002-0000-0400-00004A000000}">
          <x14:formula1>
            <xm:f>DropDownMenu!$BW$2:$BW$7</xm:f>
          </x14:formula1>
          <xm:sqref>CH2:CH5000</xm:sqref>
        </x14:dataValidation>
        <x14:dataValidation type="list" allowBlank="1" xr:uid="{00000000-0002-0000-0400-00004B000000}">
          <x14:formula1>
            <xm:f>DropDownMenu!$BX$2:$BX$9</xm:f>
          </x14:formula1>
          <xm:sqref>CI2:CI5000</xm:sqref>
        </x14:dataValidation>
        <x14:dataValidation type="list" allowBlank="1" xr:uid="{00000000-0002-0000-0400-00004C000000}">
          <x14:formula1>
            <xm:f>DropDownMenu!$BY$2:$BY$9</xm:f>
          </x14:formula1>
          <xm:sqref>CJ2:CJ5000</xm:sqref>
        </x14:dataValidation>
        <x14:dataValidation type="list" allowBlank="1" xr:uid="{00000000-0002-0000-0400-00004D000000}">
          <x14:formula1>
            <xm:f>DropDownMenu!$BZ$2:$BZ$3</xm:f>
          </x14:formula1>
          <xm:sqref>CK2:CK5000</xm:sqref>
        </x14:dataValidation>
        <x14:dataValidation type="list" allowBlank="1" xr:uid="{00000000-0002-0000-0400-00004E000000}">
          <x14:formula1>
            <xm:f>DropDownMenu!$CA$2:$CA$2</xm:f>
          </x14:formula1>
          <xm:sqref>CL2:CL5000</xm:sqref>
        </x14:dataValidation>
        <x14:dataValidation type="list" allowBlank="1" xr:uid="{00000000-0002-0000-0400-00004F000000}">
          <x14:formula1>
            <xm:f>DropDownMenu!$CB$2:$CB$29</xm:f>
          </x14:formula1>
          <xm:sqref>CN2:CN5000</xm:sqref>
        </x14:dataValidation>
        <x14:dataValidation type="list" allowBlank="1" xr:uid="{00000000-0002-0000-0400-000050000000}">
          <x14:formula1>
            <xm:f>DropDownMenu!$CC$2:$CC$2</xm:f>
          </x14:formula1>
          <xm:sqref>CQ2:CQ5000</xm:sqref>
        </x14:dataValidation>
        <x14:dataValidation type="list" allowBlank="1" xr:uid="{00000000-0002-0000-0400-000051000000}">
          <x14:formula1>
            <xm:f>DropDownMenu!$CD$2:$CD$33</xm:f>
          </x14:formula1>
          <xm:sqref>CR2:CR5000</xm:sqref>
        </x14:dataValidation>
        <x14:dataValidation type="list" allowBlank="1" xr:uid="{00000000-0002-0000-0400-000052000000}">
          <x14:formula1>
            <xm:f>DropDownMenu!$CE$2:$CE$2</xm:f>
          </x14:formula1>
          <xm:sqref>CS2:CS5000</xm:sqref>
        </x14:dataValidation>
        <x14:dataValidation type="list" allowBlank="1" xr:uid="{00000000-0002-0000-0400-000053000000}">
          <x14:formula1>
            <xm:f>DropDownMenu!$CF$2:$CF$2</xm:f>
          </x14:formula1>
          <xm:sqref>CT2:CT5000</xm:sqref>
        </x14:dataValidation>
        <x14:dataValidation type="list" allowBlank="1" xr:uid="{00000000-0002-0000-0400-000054000000}">
          <x14:formula1>
            <xm:f>DropDownMenu!$CG$2:$CG$2</xm:f>
          </x14:formula1>
          <xm:sqref>CU2:CU5000</xm:sqref>
        </x14:dataValidation>
        <x14:dataValidation type="list" allowBlank="1" xr:uid="{00000000-0002-0000-0400-000055000000}">
          <x14:formula1>
            <xm:f>DropDownMenu!$CH$2:$CH$2</xm:f>
          </x14:formula1>
          <xm:sqref>CV2:CV5000</xm:sqref>
        </x14:dataValidation>
        <x14:dataValidation type="list" allowBlank="1" xr:uid="{00000000-0002-0000-0400-000056000000}">
          <x14:formula1>
            <xm:f>DropDownMenu!$CI$2:$CI$8</xm:f>
          </x14:formula1>
          <xm:sqref>CW2:CW5000</xm:sqref>
        </x14:dataValidation>
        <x14:dataValidation type="list" allowBlank="1" xr:uid="{00000000-0002-0000-0400-000057000000}">
          <x14:formula1>
            <xm:f>DropDownMenu!$CJ$2:$CJ$8</xm:f>
          </x14:formula1>
          <xm:sqref>CX2:CX5000</xm:sqref>
        </x14:dataValidation>
        <x14:dataValidation type="list" allowBlank="1" xr:uid="{00000000-0002-0000-0400-000058000000}">
          <x14:formula1>
            <xm:f>DropDownMenu!$CK$2:$CK$8</xm:f>
          </x14:formula1>
          <xm:sqref>CY2:CY5000</xm:sqref>
        </x14:dataValidation>
        <x14:dataValidation type="list" allowBlank="1" xr:uid="{00000000-0002-0000-0400-000059000000}">
          <x14:formula1>
            <xm:f>DropDownMenu!$CL$2:$CL$6</xm:f>
          </x14:formula1>
          <xm:sqref>CZ2:CZ5000</xm:sqref>
        </x14:dataValidation>
        <x14:dataValidation type="list" allowBlank="1" xr:uid="{00000000-0002-0000-0400-00005A000000}">
          <x14:formula1>
            <xm:f>DropDownMenu!$CM$2:$CM$2</xm:f>
          </x14:formula1>
          <xm:sqref>DA2:DA5000</xm:sqref>
        </x14:dataValidation>
        <x14:dataValidation type="list" allowBlank="1" xr:uid="{00000000-0002-0000-0400-00005B000000}">
          <x14:formula1>
            <xm:f>DropDownMenu!$CN$2:$CN$2</xm:f>
          </x14:formula1>
          <xm:sqref>DB2:DB5000</xm:sqref>
        </x14:dataValidation>
        <x14:dataValidation type="list" allowBlank="1" xr:uid="{00000000-0002-0000-0400-00005C000000}">
          <x14:formula1>
            <xm:f>DropDownMenu!$CO$2:$CO$2</xm:f>
          </x14:formula1>
          <xm:sqref>DC2:DC5000</xm:sqref>
        </x14:dataValidation>
        <x14:dataValidation type="list" allowBlank="1" xr:uid="{00000000-0002-0000-0400-00005D000000}">
          <x14:formula1>
            <xm:f>DropDownMenu!$CP$2:$CP$2</xm:f>
          </x14:formula1>
          <xm:sqref>DD2:DD5000</xm:sqref>
        </x14:dataValidation>
        <x14:dataValidation type="list" allowBlank="1" xr:uid="{00000000-0002-0000-0400-00005E000000}">
          <x14:formula1>
            <xm:f>DropDownMenu!$CQ$2:$CQ$2</xm:f>
          </x14:formula1>
          <xm:sqref>DE2:DE5000</xm:sqref>
        </x14:dataValidation>
        <x14:dataValidation type="list" allowBlank="1" xr:uid="{00000000-0002-0000-0400-00005F000000}">
          <x14:formula1>
            <xm:f>DropDownMenu!$CR$2:$CR$2</xm:f>
          </x14:formula1>
          <xm:sqref>DK2:DK5000</xm:sqref>
        </x14:dataValidation>
        <x14:dataValidation type="list" allowBlank="1" xr:uid="{00000000-0002-0000-0400-000060000000}">
          <x14:formula1>
            <xm:f>DropDownMenu!$CS$2:$CS$2</xm:f>
          </x14:formula1>
          <xm:sqref>DL2:DL5000</xm:sqref>
        </x14:dataValidation>
        <x14:dataValidation type="list" allowBlank="1" xr:uid="{00000000-0002-0000-0400-000061000000}">
          <x14:formula1>
            <xm:f>DropDownMenu!$CT$2:$CT$2</xm:f>
          </x14:formula1>
          <xm:sqref>DN2:DN5000</xm:sqref>
        </x14:dataValidation>
        <x14:dataValidation type="list" allowBlank="1" xr:uid="{00000000-0002-0000-0400-000062000000}">
          <x14:formula1>
            <xm:f>DropDownMenu!$CU$2:$CU$5</xm:f>
          </x14:formula1>
          <xm:sqref>DO2:DO5000</xm:sqref>
        </x14:dataValidation>
        <x14:dataValidation type="list" allowBlank="1" xr:uid="{00000000-0002-0000-0400-000063000000}">
          <x14:formula1>
            <xm:f>DropDownMenu!$CV$2:$CV$3</xm:f>
          </x14:formula1>
          <xm:sqref>DQ2:DQ5000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applyStyles="1" summaryRight="0"/>
  </sheetPr>
  <dimension ref="A1:DQ300"/>
  <sheetViews>
    <sheetView zoomScale="150" workbookViewId="0">
      <pane xSplit="7" ySplit="1" topLeftCell="H2" activePane="bottomRight" state="frozen"/>
      <selection pane="topRight"/>
      <selection pane="bottomLeft"/>
      <selection pane="bottomRight" activeCell="G10" sqref="G10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3" width="4" customWidth="1"/>
    <col min="14" max="14" width="12" customWidth="1"/>
    <col min="15" max="16" width="25" customWidth="1"/>
    <col min="17" max="17" width="4" customWidth="1"/>
    <col min="18" max="20" width="4" customWidth="1" outlineLevel="1"/>
    <col min="21" max="21" width="15" customWidth="1" outlineLevel="1"/>
    <col min="22" max="22" width="10" customWidth="1" outlineLevel="1"/>
    <col min="23" max="28" width="4" customWidth="1" outlineLevel="1"/>
    <col min="29" max="29" width="5" customWidth="1"/>
    <col min="30" max="32" width="10" customWidth="1" outlineLevel="1"/>
    <col min="33" max="35" width="4" customWidth="1" outlineLevel="1"/>
    <col min="36" max="37" width="10" customWidth="1" outlineLevel="1"/>
    <col min="38" max="40" width="4" customWidth="1" outlineLevel="1"/>
    <col min="41" max="42" width="10" customWidth="1" outlineLevel="1"/>
    <col min="43" max="47" width="4" customWidth="1" outlineLevel="1"/>
    <col min="48" max="48" width="10" customWidth="1" outlineLevel="1"/>
    <col min="49" max="49" width="5" customWidth="1" outlineLevel="1"/>
    <col min="50" max="50" width="5" customWidth="1"/>
    <col min="51" max="59" width="4" customWidth="1" outlineLevel="1"/>
    <col min="60" max="60" width="7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4" customWidth="1" outlineLevel="1"/>
    <col min="68" max="68" width="12" customWidth="1" outlineLevel="1"/>
    <col min="69" max="69" width="20" customWidth="1" outlineLevel="1"/>
    <col min="70" max="70" width="5" customWidth="1" outlineLevel="1"/>
    <col min="71" max="72" width="4" customWidth="1" outlineLevel="1"/>
    <col min="73" max="73" width="25" customWidth="1" outlineLevel="1"/>
    <col min="74" max="74" width="5" customWidth="1" outlineLevel="1"/>
    <col min="75" max="75" width="20" customWidth="1"/>
    <col min="76" max="77" width="20" customWidth="1" outlineLevel="1"/>
    <col min="78" max="83" width="4" customWidth="1" outlineLevel="1"/>
    <col min="84" max="84" width="4" customWidth="1"/>
    <col min="85" max="121" width="4" customWidth="1" outlineLevel="1"/>
  </cols>
  <sheetData>
    <row r="1" spans="1:121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1" t="s">
        <v>35</v>
      </c>
      <c r="AK1" s="1" t="s">
        <v>36</v>
      </c>
      <c r="AL1" s="3" t="s">
        <v>37</v>
      </c>
      <c r="AM1" s="3" t="s">
        <v>38</v>
      </c>
      <c r="AN1" s="3" t="s">
        <v>39</v>
      </c>
      <c r="AO1" s="1" t="s">
        <v>40</v>
      </c>
      <c r="AP1" s="1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 t="s">
        <v>65</v>
      </c>
      <c r="BO1" s="1" t="s">
        <v>66</v>
      </c>
      <c r="BP1" s="1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</row>
    <row r="2" spans="1:121" ht="16" customHeight="1" x14ac:dyDescent="0.2">
      <c r="A2" s="6"/>
      <c r="B2" s="6"/>
      <c r="C2" s="6"/>
      <c r="D2" s="6"/>
      <c r="E2" s="6"/>
      <c r="F2" s="6"/>
      <c r="G2" s="7"/>
      <c r="H2" s="8"/>
      <c r="I2" s="8"/>
      <c r="J2" s="8"/>
      <c r="K2" s="8"/>
      <c r="L2" s="8"/>
      <c r="M2" s="8"/>
      <c r="N2" s="9"/>
      <c r="O2" s="8" t="str">
        <f>IFERROR(INDEX(_courses_lookup!$C:$C,MATCH(K2&amp;L2,_courses_lookup!$E:$E,0)),"")</f>
        <v/>
      </c>
      <c r="P2" s="8" t="str">
        <f>IFERROR(INDEX(_courses_lookup!$D:$D,MATCH(K2&amp;L2,_courses_lookup!$E:$E,0)),"")</f>
        <v/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 t="str">
        <f t="shared" ref="AG2:AG65" si="0">IF(AND(AE2&lt;&gt;"",AF2&lt;&gt;""),ROUNDUP((AF2-AE2)/7,0),"")</f>
        <v/>
      </c>
      <c r="AH2" s="8"/>
      <c r="AI2" s="8" t="str">
        <f t="shared" ref="AI2:AI65" si="1">IFERROR(IF(AG2*AH2=0,"",AG2*AH2),"")</f>
        <v/>
      </c>
      <c r="AJ2" s="8"/>
      <c r="AK2" s="8"/>
      <c r="AL2" s="8" t="str">
        <f t="shared" ref="AL2:AL65" si="2">IF(AND(AJ2&lt;&gt;"",AK2&lt;&gt;""),ROUNDUP((AK2-AJ2)/7,0),"")</f>
        <v/>
      </c>
      <c r="AM2" s="8"/>
      <c r="AN2" s="8" t="str">
        <f t="shared" ref="AN2:AN65" si="3">IFERROR(IF(AL2*AM2=0,"",AL2*AM2),"")</f>
        <v/>
      </c>
      <c r="AO2" s="8"/>
      <c r="AP2" s="8"/>
      <c r="AQ2" s="8" t="str">
        <f t="shared" ref="AQ2:AQ65" si="4">IF(AND(AO2&lt;&gt;"",AP2&lt;&gt;""),ROUNDUP((AP2-AO2)/7,0),"")</f>
        <v/>
      </c>
      <c r="AR2" s="8" t="str">
        <f t="shared" ref="AR2:AR65" si="5">IFERROR(IF((AU2-(AI2+AN2))/AQ2=0,"",ROUNDUP((AU2-(AI2+AN2))/AQ2,0)),"")</f>
        <v/>
      </c>
      <c r="AS2" s="8" t="str">
        <f t="shared" ref="AS2:AS65" si="6">IFERROR(IF((AU2-(AI2+AN2))=0,"",(AU2-(AI2+AN2))),"")</f>
        <v/>
      </c>
      <c r="AT2" s="8" t="str">
        <f t="shared" ref="AT2:AT65" si="7">IF(AND(AG2="",AQ2=""),AL2,IF(SUM(AG2,AL2,AQ2)=0,"",SUM(AG2,AL2,AQ2)))</f>
        <v/>
      </c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 t="str">
        <f t="shared" ref="BG2:BG65" si="8">IF(AD2="","",YEAR(AD2)+IF(MONTH(AD2)&gt;=5,1,0))</f>
        <v/>
      </c>
      <c r="BH2" s="8" t="str">
        <f t="shared" ref="BH2:BH65" si="9">IF(AD2="","",IF(AND(MONTH(AD2)=8,DAY(AD2)&gt;=15),"Fall",IF(MONTH(AD2)&gt;8,"Fall",IF(MONTH(AD2)=5,"Summer",IF(MONTH(AD2)=1,"Spring","")))))</f>
        <v/>
      </c>
      <c r="BI2" s="8"/>
      <c r="BJ2" s="8"/>
      <c r="BK2" s="10"/>
      <c r="BL2" s="10" t="str">
        <f>IFERROR(INDEX(_names_lookup!$C:$C,MATCH(BK2,_names_lookup!$A:$A,0)),"")</f>
        <v/>
      </c>
      <c r="BM2" s="11" t="str">
        <f>IFERROR(INDEX(_names_lookup!$B:$B,MATCH(BK2,_names_lookup!$A:$A,0)),"")</f>
        <v/>
      </c>
      <c r="BN2" s="11"/>
      <c r="BO2" s="8"/>
      <c r="BP2" s="8"/>
      <c r="BQ2" s="8"/>
      <c r="BR2" s="8"/>
      <c r="BS2" s="12" t="str">
        <f t="shared" ref="BS2:BS65" si="10">IFERROR(IF(BR2*AA2=0,"",BR2*AA2),"")</f>
        <v/>
      </c>
      <c r="BT2" s="8"/>
      <c r="BU2" s="8"/>
      <c r="BV2" s="8"/>
      <c r="BW2" s="13"/>
      <c r="BX2" s="13"/>
      <c r="BY2" s="13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12"/>
      <c r="DG2" s="12"/>
      <c r="DH2" s="8"/>
      <c r="DI2" s="8"/>
      <c r="DJ2" s="8"/>
      <c r="DK2" s="8"/>
      <c r="DL2" s="8"/>
      <c r="DM2" s="8"/>
      <c r="DN2" s="8"/>
      <c r="DO2" s="8"/>
      <c r="DP2" s="8"/>
      <c r="DQ2" s="8"/>
    </row>
    <row r="3" spans="1:121" ht="16" customHeight="1" x14ac:dyDescent="0.2">
      <c r="A3" s="6"/>
      <c r="B3" s="6"/>
      <c r="C3" s="6"/>
      <c r="D3" s="6"/>
      <c r="E3" s="6"/>
      <c r="F3" s="6"/>
      <c r="G3" s="7"/>
      <c r="H3" s="8"/>
      <c r="I3" s="8"/>
      <c r="J3" s="8"/>
      <c r="K3" s="8"/>
      <c r="L3" s="8"/>
      <c r="M3" s="8"/>
      <c r="N3" s="9"/>
      <c r="O3" s="8" t="str">
        <f>IFERROR(INDEX(_courses_lookup!$C:$C,MATCH(K3&amp;L3,_courses_lookup!$E:$E,0)),"")</f>
        <v/>
      </c>
      <c r="P3" s="8" t="str">
        <f>IFERROR(INDEX(_courses_lookup!$D:$D,MATCH(K3&amp;L3,_courses_lookup!$E:$E,0)),"")</f>
        <v/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 t="str">
        <f t="shared" si="0"/>
        <v/>
      </c>
      <c r="AH3" s="8"/>
      <c r="AI3" s="8" t="str">
        <f t="shared" si="1"/>
        <v/>
      </c>
      <c r="AJ3" s="8"/>
      <c r="AK3" s="8"/>
      <c r="AL3" s="8" t="str">
        <f t="shared" si="2"/>
        <v/>
      </c>
      <c r="AM3" s="8"/>
      <c r="AN3" s="8" t="str">
        <f t="shared" si="3"/>
        <v/>
      </c>
      <c r="AO3" s="8"/>
      <c r="AP3" s="8"/>
      <c r="AQ3" s="8" t="str">
        <f t="shared" si="4"/>
        <v/>
      </c>
      <c r="AR3" s="8" t="str">
        <f t="shared" si="5"/>
        <v/>
      </c>
      <c r="AS3" s="8" t="str">
        <f t="shared" si="6"/>
        <v/>
      </c>
      <c r="AT3" s="8" t="str">
        <f t="shared" si="7"/>
        <v/>
      </c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 t="str">
        <f t="shared" si="8"/>
        <v/>
      </c>
      <c r="BH3" s="8" t="str">
        <f t="shared" si="9"/>
        <v/>
      </c>
      <c r="BI3" s="8"/>
      <c r="BJ3" s="8"/>
      <c r="BK3" s="10"/>
      <c r="BL3" s="10" t="str">
        <f>IFERROR(INDEX(_names_lookup!$C:$C,MATCH(BK3,_names_lookup!$A:$A,0)),"")</f>
        <v/>
      </c>
      <c r="BM3" s="11" t="str">
        <f>IFERROR(INDEX(_names_lookup!$B:$B,MATCH(BK3,_names_lookup!$A:$A,0)),"")</f>
        <v/>
      </c>
      <c r="BN3" s="11"/>
      <c r="BO3" s="8"/>
      <c r="BP3" s="8"/>
      <c r="BQ3" s="8"/>
      <c r="BR3" s="8"/>
      <c r="BS3" s="12" t="str">
        <f t="shared" si="10"/>
        <v/>
      </c>
      <c r="BT3" s="8"/>
      <c r="BU3" s="8"/>
      <c r="BV3" s="8"/>
      <c r="BW3" s="12"/>
      <c r="BX3" s="12"/>
      <c r="BY3" s="12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</row>
    <row r="4" spans="1:121" ht="16" customHeight="1" x14ac:dyDescent="0.2">
      <c r="A4" s="14"/>
      <c r="B4" s="14"/>
      <c r="C4" s="14"/>
      <c r="D4" s="14"/>
      <c r="E4" s="14"/>
      <c r="F4" s="14"/>
      <c r="G4" s="7"/>
      <c r="H4" s="8"/>
      <c r="I4" s="8"/>
      <c r="J4" s="8"/>
      <c r="K4" s="8"/>
      <c r="L4" s="8"/>
      <c r="M4" s="8"/>
      <c r="N4" s="9"/>
      <c r="O4" s="8" t="str">
        <f>IFERROR(INDEX(_courses_lookup!$C:$C,MATCH(K4&amp;L4,_courses_lookup!$E:$E,0)),"")</f>
        <v/>
      </c>
      <c r="P4" s="8" t="str">
        <f>IFERROR(INDEX(_courses_lookup!$D:$D,MATCH(K4&amp;L4,_courses_lookup!$E:$E,0)),"")</f>
        <v/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 t="str">
        <f t="shared" si="0"/>
        <v/>
      </c>
      <c r="AH4" s="8"/>
      <c r="AI4" s="8" t="str">
        <f t="shared" si="1"/>
        <v/>
      </c>
      <c r="AJ4" s="8"/>
      <c r="AK4" s="8"/>
      <c r="AL4" s="8" t="str">
        <f t="shared" si="2"/>
        <v/>
      </c>
      <c r="AM4" s="8"/>
      <c r="AN4" s="8" t="str">
        <f t="shared" si="3"/>
        <v/>
      </c>
      <c r="AO4" s="8"/>
      <c r="AP4" s="8"/>
      <c r="AQ4" s="8" t="str">
        <f t="shared" si="4"/>
        <v/>
      </c>
      <c r="AR4" s="8" t="str">
        <f t="shared" si="5"/>
        <v/>
      </c>
      <c r="AS4" s="8" t="str">
        <f t="shared" si="6"/>
        <v/>
      </c>
      <c r="AT4" s="8" t="str">
        <f t="shared" si="7"/>
        <v/>
      </c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 t="str">
        <f t="shared" si="8"/>
        <v/>
      </c>
      <c r="BH4" s="8" t="str">
        <f t="shared" si="9"/>
        <v/>
      </c>
      <c r="BI4" s="8"/>
      <c r="BJ4" s="8"/>
      <c r="BK4" s="10"/>
      <c r="BL4" s="10" t="str">
        <f>IFERROR(INDEX(_names_lookup!$C:$C,MATCH(BK4,_names_lookup!$A:$A,0)),"")</f>
        <v/>
      </c>
      <c r="BM4" s="11" t="str">
        <f>IFERROR(INDEX(_names_lookup!$B:$B,MATCH(BK4,_names_lookup!$A:$A,0)),"")</f>
        <v/>
      </c>
      <c r="BN4" s="15"/>
      <c r="BO4" s="8"/>
      <c r="BP4" s="8"/>
      <c r="BQ4" s="8"/>
      <c r="BR4" s="12"/>
      <c r="BS4" s="12" t="str">
        <f t="shared" si="10"/>
        <v/>
      </c>
      <c r="BT4" s="12"/>
      <c r="BU4" s="8"/>
      <c r="BV4" s="8"/>
      <c r="BW4" s="12"/>
      <c r="BX4" s="12"/>
      <c r="BY4" s="12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12"/>
      <c r="DQ4" s="12"/>
    </row>
    <row r="5" spans="1:121" ht="16" customHeight="1" x14ac:dyDescent="0.2">
      <c r="A5" s="14"/>
      <c r="B5" s="14"/>
      <c r="C5" s="14"/>
      <c r="D5" s="14"/>
      <c r="E5" s="14"/>
      <c r="F5" s="14"/>
      <c r="G5" s="7"/>
      <c r="H5" s="8"/>
      <c r="I5" s="8"/>
      <c r="J5" s="8"/>
      <c r="K5" s="8"/>
      <c r="L5" s="8"/>
      <c r="M5" s="8"/>
      <c r="N5" s="9"/>
      <c r="O5" s="8" t="str">
        <f>IFERROR(INDEX(_courses_lookup!$C:$C,MATCH(K5&amp;L5,_courses_lookup!$E:$E,0)),"")</f>
        <v/>
      </c>
      <c r="P5" s="8" t="str">
        <f>IFERROR(INDEX(_courses_lookup!$D:$D,MATCH(K5&amp;L5,_courses_lookup!$E:$E,0)),"")</f>
        <v/>
      </c>
      <c r="Q5" s="8"/>
      <c r="R5" s="8"/>
      <c r="S5" s="8"/>
      <c r="T5" s="8"/>
      <c r="U5" s="8"/>
      <c r="V5" s="8"/>
      <c r="W5" s="12"/>
      <c r="X5" s="8"/>
      <c r="Y5" s="8"/>
      <c r="Z5" s="8"/>
      <c r="AA5" s="8"/>
      <c r="AB5" s="8"/>
      <c r="AC5" s="8"/>
      <c r="AD5" s="8"/>
      <c r="AE5" s="8"/>
      <c r="AF5" s="8"/>
      <c r="AG5" s="8" t="str">
        <f t="shared" si="0"/>
        <v/>
      </c>
      <c r="AH5" s="8"/>
      <c r="AI5" s="8" t="str">
        <f t="shared" si="1"/>
        <v/>
      </c>
      <c r="AJ5" s="8"/>
      <c r="AK5" s="8"/>
      <c r="AL5" s="8" t="str">
        <f t="shared" si="2"/>
        <v/>
      </c>
      <c r="AM5" s="8"/>
      <c r="AN5" s="8" t="str">
        <f t="shared" si="3"/>
        <v/>
      </c>
      <c r="AO5" s="8"/>
      <c r="AP5" s="8"/>
      <c r="AQ5" s="8" t="str">
        <f t="shared" si="4"/>
        <v/>
      </c>
      <c r="AR5" s="8" t="str">
        <f t="shared" si="5"/>
        <v/>
      </c>
      <c r="AS5" s="8" t="str">
        <f t="shared" si="6"/>
        <v/>
      </c>
      <c r="AT5" s="8" t="str">
        <f t="shared" si="7"/>
        <v/>
      </c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 t="str">
        <f t="shared" si="8"/>
        <v/>
      </c>
      <c r="BH5" s="12" t="str">
        <f t="shared" si="9"/>
        <v/>
      </c>
      <c r="BI5" s="8"/>
      <c r="BJ5" s="8"/>
      <c r="BK5" s="10"/>
      <c r="BL5" s="10" t="str">
        <f>IFERROR(INDEX(_names_lookup!$C:$C,MATCH(BK5,_names_lookup!$A:$A,0)),"")</f>
        <v/>
      </c>
      <c r="BM5" s="11" t="str">
        <f>IFERROR(INDEX(_names_lookup!$B:$B,MATCH(BK5,_names_lookup!$A:$A,0)),"")</f>
        <v/>
      </c>
      <c r="BN5" s="15"/>
      <c r="BO5" s="12"/>
      <c r="BP5" s="8"/>
      <c r="BQ5" s="12"/>
      <c r="BR5" s="12"/>
      <c r="BS5" s="12" t="str">
        <f t="shared" si="10"/>
        <v/>
      </c>
      <c r="BT5" s="12"/>
      <c r="BU5" s="8"/>
      <c r="BV5" s="8"/>
      <c r="BW5" s="12"/>
      <c r="BX5" s="12"/>
      <c r="BY5" s="12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12"/>
      <c r="DQ5" s="12"/>
    </row>
    <row r="6" spans="1:121" ht="16" customHeight="1" x14ac:dyDescent="0.2">
      <c r="A6" s="14"/>
      <c r="B6" s="14"/>
      <c r="C6" s="14"/>
      <c r="D6" s="14"/>
      <c r="E6" s="14"/>
      <c r="F6" s="14"/>
      <c r="G6" s="7"/>
      <c r="H6" s="8"/>
      <c r="I6" s="8"/>
      <c r="J6" s="8"/>
      <c r="K6" s="8"/>
      <c r="L6" s="8"/>
      <c r="M6" s="8"/>
      <c r="N6" s="9"/>
      <c r="O6" s="8" t="str">
        <f>IFERROR(INDEX(_courses_lookup!$C:$C,MATCH(K6&amp;L6,_courses_lookup!$E:$E,0)),"")</f>
        <v/>
      </c>
      <c r="P6" s="8" t="str">
        <f>IFERROR(INDEX(_courses_lookup!$D:$D,MATCH(K6&amp;L6,_courses_lookup!$E:$E,0)),"")</f>
        <v/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 t="str">
        <f t="shared" si="0"/>
        <v/>
      </c>
      <c r="AH6" s="8"/>
      <c r="AI6" s="8" t="str">
        <f t="shared" si="1"/>
        <v/>
      </c>
      <c r="AJ6" s="8"/>
      <c r="AK6" s="8"/>
      <c r="AL6" s="8" t="str">
        <f t="shared" si="2"/>
        <v/>
      </c>
      <c r="AM6" s="8"/>
      <c r="AN6" s="8" t="str">
        <f t="shared" si="3"/>
        <v/>
      </c>
      <c r="AO6" s="8"/>
      <c r="AP6" s="8"/>
      <c r="AQ6" s="8" t="str">
        <f t="shared" si="4"/>
        <v/>
      </c>
      <c r="AR6" s="8" t="str">
        <f t="shared" si="5"/>
        <v/>
      </c>
      <c r="AS6" s="8" t="str">
        <f t="shared" si="6"/>
        <v/>
      </c>
      <c r="AT6" s="8" t="str">
        <f t="shared" si="7"/>
        <v/>
      </c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 t="str">
        <f t="shared" si="8"/>
        <v/>
      </c>
      <c r="BH6" s="12" t="str">
        <f t="shared" si="9"/>
        <v/>
      </c>
      <c r="BI6" s="8"/>
      <c r="BJ6" s="8"/>
      <c r="BK6" s="10"/>
      <c r="BL6" s="10" t="str">
        <f>IFERROR(INDEX(_names_lookup!$C:$C,MATCH(BK6,_names_lookup!$A:$A,0)),"")</f>
        <v/>
      </c>
      <c r="BM6" s="11" t="str">
        <f>IFERROR(INDEX(_names_lookup!$B:$B,MATCH(BK6,_names_lookup!$A:$A,0)),"")</f>
        <v/>
      </c>
      <c r="BN6" s="15"/>
      <c r="BO6" s="12"/>
      <c r="BP6" s="11"/>
      <c r="BQ6" s="12"/>
      <c r="BR6" s="12"/>
      <c r="BS6" s="12" t="str">
        <f t="shared" si="10"/>
        <v/>
      </c>
      <c r="BT6" s="12"/>
      <c r="BU6" s="8"/>
      <c r="BV6" s="8"/>
      <c r="BW6" s="12"/>
      <c r="BX6" s="12"/>
      <c r="BY6" s="12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12"/>
      <c r="DQ6" s="12"/>
    </row>
    <row r="7" spans="1:121" ht="16" customHeight="1" x14ac:dyDescent="0.2">
      <c r="A7" s="14"/>
      <c r="B7" s="14"/>
      <c r="C7" s="14"/>
      <c r="D7" s="14"/>
      <c r="E7" s="14"/>
      <c r="F7" s="14"/>
      <c r="G7" s="7"/>
      <c r="H7" s="8"/>
      <c r="I7" s="8"/>
      <c r="J7" s="8"/>
      <c r="K7" s="8"/>
      <c r="L7" s="8"/>
      <c r="M7" s="8"/>
      <c r="N7" s="9"/>
      <c r="O7" s="8" t="str">
        <f>IFERROR(INDEX(_courses_lookup!$C:$C,MATCH(K7&amp;L7,_courses_lookup!$E:$E,0)),"")</f>
        <v/>
      </c>
      <c r="P7" s="8" t="str">
        <f>IFERROR(INDEX(_courses_lookup!$D:$D,MATCH(K7&amp;L7,_courses_lookup!$E:$E,0)),"")</f>
        <v/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 t="str">
        <f t="shared" si="0"/>
        <v/>
      </c>
      <c r="AH7" s="8"/>
      <c r="AI7" s="8" t="str">
        <f t="shared" si="1"/>
        <v/>
      </c>
      <c r="AJ7" s="8"/>
      <c r="AK7" s="8"/>
      <c r="AL7" s="8" t="str">
        <f t="shared" si="2"/>
        <v/>
      </c>
      <c r="AM7" s="8"/>
      <c r="AN7" s="8" t="str">
        <f t="shared" si="3"/>
        <v/>
      </c>
      <c r="AO7" s="8"/>
      <c r="AP7" s="8"/>
      <c r="AQ7" s="8" t="str">
        <f t="shared" si="4"/>
        <v/>
      </c>
      <c r="AR7" s="8" t="str">
        <f t="shared" si="5"/>
        <v/>
      </c>
      <c r="AS7" s="8" t="str">
        <f t="shared" si="6"/>
        <v/>
      </c>
      <c r="AT7" s="8" t="str">
        <f t="shared" si="7"/>
        <v/>
      </c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 t="str">
        <f t="shared" si="8"/>
        <v/>
      </c>
      <c r="BH7" s="12" t="str">
        <f t="shared" si="9"/>
        <v/>
      </c>
      <c r="BI7" s="8"/>
      <c r="BJ7" s="8"/>
      <c r="BK7" s="10"/>
      <c r="BL7" s="10" t="str">
        <f>IFERROR(INDEX(_names_lookup!$C:$C,MATCH(BK7,_names_lookup!$A:$A,0)),"")</f>
        <v/>
      </c>
      <c r="BM7" s="11" t="str">
        <f>IFERROR(INDEX(_names_lookup!$B:$B,MATCH(BK7,_names_lookup!$A:$A,0)),"")</f>
        <v/>
      </c>
      <c r="BN7" s="15"/>
      <c r="BO7" s="12"/>
      <c r="BP7" s="12"/>
      <c r="BQ7" s="12"/>
      <c r="BR7" s="12"/>
      <c r="BS7" s="12" t="str">
        <f t="shared" si="10"/>
        <v/>
      </c>
      <c r="BT7" s="12"/>
      <c r="BU7" s="8"/>
      <c r="BV7" s="8"/>
      <c r="BW7" s="12"/>
      <c r="BX7" s="12"/>
      <c r="BY7" s="12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12"/>
      <c r="DQ7" s="12"/>
    </row>
    <row r="8" spans="1:121" ht="16" customHeight="1" x14ac:dyDescent="0.2">
      <c r="A8" s="14"/>
      <c r="B8" s="14"/>
      <c r="C8" s="14"/>
      <c r="D8" s="14"/>
      <c r="E8" s="14"/>
      <c r="F8" s="14"/>
      <c r="G8" s="7"/>
      <c r="H8" s="8"/>
      <c r="I8" s="8"/>
      <c r="J8" s="8"/>
      <c r="K8" s="8"/>
      <c r="L8" s="8"/>
      <c r="M8" s="8"/>
      <c r="N8" s="9"/>
      <c r="O8" s="8" t="str">
        <f>IFERROR(INDEX(_courses_lookup!$C:$C,MATCH(K8&amp;L8,_courses_lookup!$E:$E,0)),"")</f>
        <v/>
      </c>
      <c r="P8" s="8" t="str">
        <f>IFERROR(INDEX(_courses_lookup!$D:$D,MATCH(K8&amp;L8,_courses_lookup!$E:$E,0)),"")</f>
        <v/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 t="str">
        <f t="shared" si="0"/>
        <v/>
      </c>
      <c r="AH8" s="8"/>
      <c r="AI8" s="8" t="str">
        <f t="shared" si="1"/>
        <v/>
      </c>
      <c r="AJ8" s="8"/>
      <c r="AK8" s="8"/>
      <c r="AL8" s="8" t="str">
        <f t="shared" si="2"/>
        <v/>
      </c>
      <c r="AM8" s="8"/>
      <c r="AN8" s="8" t="str">
        <f t="shared" si="3"/>
        <v/>
      </c>
      <c r="AO8" s="8"/>
      <c r="AP8" s="8"/>
      <c r="AQ8" s="8" t="str">
        <f t="shared" si="4"/>
        <v/>
      </c>
      <c r="AR8" s="8" t="str">
        <f t="shared" si="5"/>
        <v/>
      </c>
      <c r="AS8" s="8" t="str">
        <f t="shared" si="6"/>
        <v/>
      </c>
      <c r="AT8" s="8" t="str">
        <f t="shared" si="7"/>
        <v/>
      </c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 t="str">
        <f t="shared" si="8"/>
        <v/>
      </c>
      <c r="BH8" s="12" t="str">
        <f t="shared" si="9"/>
        <v/>
      </c>
      <c r="BI8" s="8"/>
      <c r="BJ8" s="8"/>
      <c r="BK8" s="10"/>
      <c r="BL8" s="10" t="str">
        <f>IFERROR(INDEX(_names_lookup!$C:$C,MATCH(BK8,_names_lookup!$A:$A,0)),"")</f>
        <v/>
      </c>
      <c r="BM8" s="11" t="str">
        <f>IFERROR(INDEX(_names_lookup!$B:$B,MATCH(BK8,_names_lookup!$A:$A,0)),"")</f>
        <v/>
      </c>
      <c r="BN8" s="15"/>
      <c r="BO8" s="12"/>
      <c r="BP8" s="12"/>
      <c r="BQ8" s="12"/>
      <c r="BR8" s="12"/>
      <c r="BS8" s="12" t="str">
        <f t="shared" si="10"/>
        <v/>
      </c>
      <c r="BT8" s="12"/>
      <c r="BU8" s="8"/>
      <c r="BV8" s="8"/>
      <c r="BW8" s="12"/>
      <c r="BX8" s="12"/>
      <c r="BY8" s="12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12"/>
      <c r="DQ8" s="12"/>
    </row>
    <row r="9" spans="1:121" ht="16" customHeight="1" x14ac:dyDescent="0.2">
      <c r="A9" s="14"/>
      <c r="B9" s="14"/>
      <c r="C9" s="14"/>
      <c r="D9" s="14"/>
      <c r="E9" s="14"/>
      <c r="F9" s="14"/>
      <c r="G9" s="7"/>
      <c r="H9" s="8"/>
      <c r="I9" s="8"/>
      <c r="J9" s="8"/>
      <c r="K9" s="8"/>
      <c r="L9" s="8"/>
      <c r="M9" s="8"/>
      <c r="N9" s="9"/>
      <c r="O9" s="8" t="str">
        <f>IFERROR(INDEX(_courses_lookup!$C:$C,MATCH(K9&amp;L9,_courses_lookup!$E:$E,0)),"")</f>
        <v/>
      </c>
      <c r="P9" s="8" t="str">
        <f>IFERROR(INDEX(_courses_lookup!$D:$D,MATCH(K9&amp;L9,_courses_lookup!$E:$E,0)),"")</f>
        <v/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 t="str">
        <f t="shared" si="0"/>
        <v/>
      </c>
      <c r="AH9" s="8"/>
      <c r="AI9" s="8" t="str">
        <f t="shared" si="1"/>
        <v/>
      </c>
      <c r="AJ9" s="8"/>
      <c r="AK9" s="8"/>
      <c r="AL9" s="8" t="str">
        <f t="shared" si="2"/>
        <v/>
      </c>
      <c r="AM9" s="8"/>
      <c r="AN9" s="8" t="str">
        <f t="shared" si="3"/>
        <v/>
      </c>
      <c r="AO9" s="8"/>
      <c r="AP9" s="8"/>
      <c r="AQ9" s="8" t="str">
        <f t="shared" si="4"/>
        <v/>
      </c>
      <c r="AR9" s="8" t="str">
        <f t="shared" si="5"/>
        <v/>
      </c>
      <c r="AS9" s="8" t="str">
        <f t="shared" si="6"/>
        <v/>
      </c>
      <c r="AT9" s="8" t="str">
        <f t="shared" si="7"/>
        <v/>
      </c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 t="str">
        <f t="shared" si="8"/>
        <v/>
      </c>
      <c r="BH9" s="12" t="str">
        <f t="shared" si="9"/>
        <v/>
      </c>
      <c r="BI9" s="8"/>
      <c r="BJ9" s="8"/>
      <c r="BK9" s="10"/>
      <c r="BL9" s="10" t="str">
        <f>IFERROR(INDEX(_names_lookup!$C:$C,MATCH(BK9,_names_lookup!$A:$A,0)),"")</f>
        <v/>
      </c>
      <c r="BM9" s="11" t="str">
        <f>IFERROR(INDEX(_names_lookup!$B:$B,MATCH(BK9,_names_lookup!$A:$A,0)),"")</f>
        <v/>
      </c>
      <c r="BN9" s="15"/>
      <c r="BO9" s="12"/>
      <c r="BP9" s="12"/>
      <c r="BQ9" s="12"/>
      <c r="BR9" s="12"/>
      <c r="BS9" s="12" t="str">
        <f t="shared" si="10"/>
        <v/>
      </c>
      <c r="BT9" s="12"/>
      <c r="BU9" s="8"/>
      <c r="BV9" s="8"/>
      <c r="BW9" s="12"/>
      <c r="BX9" s="12"/>
      <c r="BY9" s="12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12"/>
      <c r="DQ9" s="12"/>
    </row>
    <row r="10" spans="1:121" ht="16" customHeight="1" x14ac:dyDescent="0.2">
      <c r="A10" s="14"/>
      <c r="B10" s="14"/>
      <c r="C10" s="14"/>
      <c r="D10" s="14"/>
      <c r="E10" s="14"/>
      <c r="F10" s="14"/>
      <c r="G10" s="7"/>
      <c r="H10" s="8"/>
      <c r="I10" s="8"/>
      <c r="J10" s="8"/>
      <c r="K10" s="8"/>
      <c r="L10" s="8"/>
      <c r="M10" s="8"/>
      <c r="N10" s="9"/>
      <c r="O10" s="8" t="str">
        <f>IFERROR(INDEX(_courses_lookup!$C:$C,MATCH(K10&amp;L10,_courses_lookup!$E:$E,0)),"")</f>
        <v/>
      </c>
      <c r="P10" s="8" t="str">
        <f>IFERROR(INDEX(_courses_lookup!$D:$D,MATCH(K10&amp;L10,_courses_lookup!$E:$E,0)),"")</f>
        <v/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 t="str">
        <f t="shared" si="0"/>
        <v/>
      </c>
      <c r="AH10" s="8"/>
      <c r="AI10" s="8" t="str">
        <f t="shared" si="1"/>
        <v/>
      </c>
      <c r="AJ10" s="8"/>
      <c r="AK10" s="8"/>
      <c r="AL10" s="8" t="str">
        <f t="shared" si="2"/>
        <v/>
      </c>
      <c r="AM10" s="8"/>
      <c r="AN10" s="8" t="str">
        <f t="shared" si="3"/>
        <v/>
      </c>
      <c r="AO10" s="8"/>
      <c r="AP10" s="8"/>
      <c r="AQ10" s="8" t="str">
        <f t="shared" si="4"/>
        <v/>
      </c>
      <c r="AR10" s="8" t="str">
        <f t="shared" si="5"/>
        <v/>
      </c>
      <c r="AS10" s="8" t="str">
        <f t="shared" si="6"/>
        <v/>
      </c>
      <c r="AT10" s="8" t="str">
        <f t="shared" si="7"/>
        <v/>
      </c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 t="str">
        <f t="shared" si="8"/>
        <v/>
      </c>
      <c r="BH10" s="12" t="str">
        <f t="shared" si="9"/>
        <v/>
      </c>
      <c r="BI10" s="8"/>
      <c r="BJ10" s="8"/>
      <c r="BK10" s="10"/>
      <c r="BL10" s="10" t="str">
        <f>IFERROR(INDEX(_names_lookup!$C:$C,MATCH(BK10,_names_lookup!$A:$A,0)),"")</f>
        <v/>
      </c>
      <c r="BM10" s="11" t="str">
        <f>IFERROR(INDEX(_names_lookup!$B:$B,MATCH(BK10,_names_lookup!$A:$A,0)),"")</f>
        <v/>
      </c>
      <c r="BN10" s="15"/>
      <c r="BO10" s="12"/>
      <c r="BP10" s="12"/>
      <c r="BQ10" s="12"/>
      <c r="BR10" s="12"/>
      <c r="BS10" s="12" t="str">
        <f t="shared" si="10"/>
        <v/>
      </c>
      <c r="BT10" s="12"/>
      <c r="BU10" s="8"/>
      <c r="BV10" s="8"/>
      <c r="BW10" s="12"/>
      <c r="BX10" s="12"/>
      <c r="BY10" s="12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12"/>
      <c r="DQ10" s="12"/>
    </row>
    <row r="11" spans="1:121" ht="16" customHeight="1" x14ac:dyDescent="0.2">
      <c r="A11" s="14"/>
      <c r="B11" s="14"/>
      <c r="C11" s="14"/>
      <c r="D11" s="14"/>
      <c r="E11" s="14"/>
      <c r="F11" s="14"/>
      <c r="G11" s="7"/>
      <c r="H11" s="8"/>
      <c r="I11" s="8"/>
      <c r="J11" s="8"/>
      <c r="K11" s="8"/>
      <c r="L11" s="8"/>
      <c r="M11" s="8"/>
      <c r="N11" s="9"/>
      <c r="O11" s="8" t="str">
        <f>IFERROR(INDEX(_courses_lookup!$C:$C,MATCH(K11&amp;L11,_courses_lookup!$E:$E,0)),"")</f>
        <v/>
      </c>
      <c r="P11" s="8" t="str">
        <f>IFERROR(INDEX(_courses_lookup!$D:$D,MATCH(K11&amp;L11,_courses_lookup!$E:$E,0)),"")</f>
        <v/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 t="str">
        <f t="shared" si="0"/>
        <v/>
      </c>
      <c r="AH11" s="8"/>
      <c r="AI11" s="8" t="str">
        <f t="shared" si="1"/>
        <v/>
      </c>
      <c r="AJ11" s="8"/>
      <c r="AK11" s="8"/>
      <c r="AL11" s="8" t="str">
        <f t="shared" si="2"/>
        <v/>
      </c>
      <c r="AM11" s="8"/>
      <c r="AN11" s="8" t="str">
        <f t="shared" si="3"/>
        <v/>
      </c>
      <c r="AO11" s="8"/>
      <c r="AP11" s="8"/>
      <c r="AQ11" s="8" t="str">
        <f t="shared" si="4"/>
        <v/>
      </c>
      <c r="AR11" s="8" t="str">
        <f t="shared" si="5"/>
        <v/>
      </c>
      <c r="AS11" s="8" t="str">
        <f t="shared" si="6"/>
        <v/>
      </c>
      <c r="AT11" s="8" t="str">
        <f t="shared" si="7"/>
        <v/>
      </c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 t="str">
        <f t="shared" si="8"/>
        <v/>
      </c>
      <c r="BH11" s="12" t="str">
        <f t="shared" si="9"/>
        <v/>
      </c>
      <c r="BI11" s="8"/>
      <c r="BJ11" s="8"/>
      <c r="BK11" s="10"/>
      <c r="BL11" s="10" t="str">
        <f>IFERROR(INDEX(_names_lookup!$C:$C,MATCH(BK11,_names_lookup!$A:$A,0)),"")</f>
        <v/>
      </c>
      <c r="BM11" s="11" t="str">
        <f>IFERROR(INDEX(_names_lookup!$B:$B,MATCH(BK11,_names_lookup!$A:$A,0)),"")</f>
        <v/>
      </c>
      <c r="BN11" s="15"/>
      <c r="BO11" s="12"/>
      <c r="BP11" s="12"/>
      <c r="BQ11" s="12"/>
      <c r="BR11" s="12"/>
      <c r="BS11" s="12" t="str">
        <f t="shared" si="10"/>
        <v/>
      </c>
      <c r="BT11" s="12"/>
      <c r="BU11" s="8"/>
      <c r="BV11" s="8"/>
      <c r="BW11" s="12"/>
      <c r="BX11" s="12"/>
      <c r="BY11" s="12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12"/>
      <c r="DQ11" s="12"/>
    </row>
    <row r="12" spans="1:121" ht="16" customHeight="1" x14ac:dyDescent="0.2">
      <c r="A12" s="14"/>
      <c r="B12" s="14"/>
      <c r="C12" s="14"/>
      <c r="D12" s="14"/>
      <c r="E12" s="14"/>
      <c r="F12" s="14"/>
      <c r="G12" s="7"/>
      <c r="H12" s="8"/>
      <c r="I12" s="8"/>
      <c r="J12" s="8"/>
      <c r="K12" s="8"/>
      <c r="L12" s="8"/>
      <c r="M12" s="8"/>
      <c r="N12" s="9"/>
      <c r="O12" s="8" t="str">
        <f>IFERROR(INDEX(_courses_lookup!$C:$C,MATCH(K12&amp;L12,_courses_lookup!$E:$E,0)),"")</f>
        <v/>
      </c>
      <c r="P12" s="8" t="str">
        <f>IFERROR(INDEX(_courses_lookup!$D:$D,MATCH(K12&amp;L12,_courses_lookup!$E:$E,0)),"")</f>
        <v/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 t="str">
        <f t="shared" si="0"/>
        <v/>
      </c>
      <c r="AH12" s="8"/>
      <c r="AI12" s="8" t="str">
        <f t="shared" si="1"/>
        <v/>
      </c>
      <c r="AJ12" s="8"/>
      <c r="AK12" s="8"/>
      <c r="AL12" s="8" t="str">
        <f t="shared" si="2"/>
        <v/>
      </c>
      <c r="AM12" s="8"/>
      <c r="AN12" s="8" t="str">
        <f t="shared" si="3"/>
        <v/>
      </c>
      <c r="AO12" s="8"/>
      <c r="AP12" s="8"/>
      <c r="AQ12" s="8" t="str">
        <f t="shared" si="4"/>
        <v/>
      </c>
      <c r="AR12" s="8" t="str">
        <f t="shared" si="5"/>
        <v/>
      </c>
      <c r="AS12" s="8" t="str">
        <f t="shared" si="6"/>
        <v/>
      </c>
      <c r="AT12" s="8" t="str">
        <f t="shared" si="7"/>
        <v/>
      </c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 t="str">
        <f t="shared" si="8"/>
        <v/>
      </c>
      <c r="BH12" s="12" t="str">
        <f t="shared" si="9"/>
        <v/>
      </c>
      <c r="BI12" s="8"/>
      <c r="BJ12" s="8"/>
      <c r="BK12" s="10"/>
      <c r="BL12" s="10" t="str">
        <f>IFERROR(INDEX(_names_lookup!$C:$C,MATCH(BK12,_names_lookup!$A:$A,0)),"")</f>
        <v/>
      </c>
      <c r="BM12" s="11" t="str">
        <f>IFERROR(INDEX(_names_lookup!$B:$B,MATCH(BK12,_names_lookup!$A:$A,0)),"")</f>
        <v/>
      </c>
      <c r="BN12" s="15"/>
      <c r="BO12" s="12"/>
      <c r="BP12" s="12"/>
      <c r="BQ12" s="12"/>
      <c r="BR12" s="12"/>
      <c r="BS12" s="12" t="str">
        <f t="shared" si="10"/>
        <v/>
      </c>
      <c r="BT12" s="12"/>
      <c r="BU12" s="12"/>
      <c r="BV12" s="8"/>
      <c r="BW12" s="12"/>
      <c r="BX12" s="12"/>
      <c r="BY12" s="12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12"/>
      <c r="DQ12" s="12"/>
    </row>
    <row r="13" spans="1:121" ht="16" customHeight="1" x14ac:dyDescent="0.2">
      <c r="A13" s="14"/>
      <c r="B13" s="14"/>
      <c r="C13" s="14"/>
      <c r="D13" s="14"/>
      <c r="E13" s="14"/>
      <c r="F13" s="14"/>
      <c r="G13" s="7"/>
      <c r="H13" s="8"/>
      <c r="I13" s="8"/>
      <c r="J13" s="8"/>
      <c r="K13" s="8"/>
      <c r="L13" s="8"/>
      <c r="M13" s="8"/>
      <c r="N13" s="9"/>
      <c r="O13" s="8" t="str">
        <f>IFERROR(INDEX(_courses_lookup!$C:$C,MATCH(K13&amp;L13,_courses_lookup!$E:$E,0)),"")</f>
        <v/>
      </c>
      <c r="P13" s="8" t="str">
        <f>IFERROR(INDEX(_courses_lookup!$D:$D,MATCH(K13&amp;L13,_courses_lookup!$E:$E,0)),"")</f>
        <v/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 t="str">
        <f t="shared" si="0"/>
        <v/>
      </c>
      <c r="AH13" s="8"/>
      <c r="AI13" s="8" t="str">
        <f t="shared" si="1"/>
        <v/>
      </c>
      <c r="AJ13" s="8"/>
      <c r="AK13" s="8"/>
      <c r="AL13" s="8" t="str">
        <f t="shared" si="2"/>
        <v/>
      </c>
      <c r="AM13" s="8"/>
      <c r="AN13" s="8" t="str">
        <f t="shared" si="3"/>
        <v/>
      </c>
      <c r="AO13" s="8"/>
      <c r="AP13" s="8"/>
      <c r="AQ13" s="8" t="str">
        <f t="shared" si="4"/>
        <v/>
      </c>
      <c r="AR13" s="8" t="str">
        <f t="shared" si="5"/>
        <v/>
      </c>
      <c r="AS13" s="8" t="str">
        <f t="shared" si="6"/>
        <v/>
      </c>
      <c r="AT13" s="8" t="str">
        <f t="shared" si="7"/>
        <v/>
      </c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 t="str">
        <f t="shared" si="8"/>
        <v/>
      </c>
      <c r="BH13" s="12" t="str">
        <f t="shared" si="9"/>
        <v/>
      </c>
      <c r="BI13" s="8"/>
      <c r="BJ13" s="8"/>
      <c r="BK13" s="10"/>
      <c r="BL13" s="10" t="str">
        <f>IFERROR(INDEX(_names_lookup!$C:$C,MATCH(BK13,_names_lookup!$A:$A,0)),"")</f>
        <v/>
      </c>
      <c r="BM13" s="11" t="str">
        <f>IFERROR(INDEX(_names_lookup!$B:$B,MATCH(BK13,_names_lookup!$A:$A,0)),"")</f>
        <v/>
      </c>
      <c r="BN13" s="15"/>
      <c r="BO13" s="12"/>
      <c r="BP13" s="12"/>
      <c r="BQ13" s="12"/>
      <c r="BR13" s="12"/>
      <c r="BS13" s="12" t="str">
        <f t="shared" si="10"/>
        <v/>
      </c>
      <c r="BT13" s="12"/>
      <c r="BU13" s="12"/>
      <c r="BV13" s="8"/>
      <c r="BW13" s="12"/>
      <c r="BX13" s="12"/>
      <c r="BY13" s="12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12"/>
      <c r="DQ13" s="12"/>
    </row>
    <row r="14" spans="1:121" ht="16" customHeight="1" x14ac:dyDescent="0.2">
      <c r="A14" s="14"/>
      <c r="B14" s="14"/>
      <c r="C14" s="14"/>
      <c r="D14" s="14"/>
      <c r="E14" s="14"/>
      <c r="F14" s="14"/>
      <c r="G14" s="7"/>
      <c r="H14" s="8"/>
      <c r="I14" s="8"/>
      <c r="J14" s="8"/>
      <c r="K14" s="8"/>
      <c r="L14" s="8"/>
      <c r="M14" s="8"/>
      <c r="N14" s="9"/>
      <c r="O14" s="8" t="str">
        <f>IFERROR(INDEX(_courses_lookup!$C:$C,MATCH(K14&amp;L14,_courses_lookup!$E:$E,0)),"")</f>
        <v/>
      </c>
      <c r="P14" s="8" t="str">
        <f>IFERROR(INDEX(_courses_lookup!$D:$D,MATCH(K14&amp;L14,_courses_lookup!$E:$E,0)),"")</f>
        <v/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 t="str">
        <f t="shared" si="0"/>
        <v/>
      </c>
      <c r="AH14" s="8"/>
      <c r="AI14" s="8" t="str">
        <f t="shared" si="1"/>
        <v/>
      </c>
      <c r="AJ14" s="8"/>
      <c r="AK14" s="8"/>
      <c r="AL14" s="8" t="str">
        <f t="shared" si="2"/>
        <v/>
      </c>
      <c r="AM14" s="8"/>
      <c r="AN14" s="8" t="str">
        <f t="shared" si="3"/>
        <v/>
      </c>
      <c r="AO14" s="8"/>
      <c r="AP14" s="8"/>
      <c r="AQ14" s="8" t="str">
        <f t="shared" si="4"/>
        <v/>
      </c>
      <c r="AR14" s="8" t="str">
        <f t="shared" si="5"/>
        <v/>
      </c>
      <c r="AS14" s="8" t="str">
        <f t="shared" si="6"/>
        <v/>
      </c>
      <c r="AT14" s="8" t="str">
        <f t="shared" si="7"/>
        <v/>
      </c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 t="str">
        <f t="shared" si="8"/>
        <v/>
      </c>
      <c r="BH14" s="12" t="str">
        <f t="shared" si="9"/>
        <v/>
      </c>
      <c r="BI14" s="8"/>
      <c r="BJ14" s="8"/>
      <c r="BK14" s="10"/>
      <c r="BL14" s="10" t="str">
        <f>IFERROR(INDEX(_names_lookup!$C:$C,MATCH(BK14,_names_lookup!$A:$A,0)),"")</f>
        <v/>
      </c>
      <c r="BM14" s="11" t="str">
        <f>IFERROR(INDEX(_names_lookup!$B:$B,MATCH(BK14,_names_lookup!$A:$A,0)),"")</f>
        <v/>
      </c>
      <c r="BN14" s="15"/>
      <c r="BO14" s="12"/>
      <c r="BP14" s="12"/>
      <c r="BQ14" s="12"/>
      <c r="BR14" s="12"/>
      <c r="BS14" s="12" t="str">
        <f t="shared" si="10"/>
        <v/>
      </c>
      <c r="BT14" s="12"/>
      <c r="BU14" s="12"/>
      <c r="BV14" s="8"/>
      <c r="BW14" s="12"/>
      <c r="BX14" s="12"/>
      <c r="BY14" s="12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12"/>
      <c r="DQ14" s="12"/>
    </row>
    <row r="15" spans="1:121" ht="16" customHeight="1" x14ac:dyDescent="0.2">
      <c r="A15" s="14"/>
      <c r="B15" s="14"/>
      <c r="C15" s="14"/>
      <c r="D15" s="14"/>
      <c r="E15" s="14"/>
      <c r="F15" s="14"/>
      <c r="G15" s="7"/>
      <c r="H15" s="8"/>
      <c r="I15" s="8"/>
      <c r="J15" s="8"/>
      <c r="K15" s="8"/>
      <c r="L15" s="8"/>
      <c r="M15" s="8"/>
      <c r="N15" s="9"/>
      <c r="O15" s="8" t="str">
        <f>IFERROR(INDEX(_courses_lookup!$C:$C,MATCH(K15&amp;L15,_courses_lookup!$E:$E,0)),"")</f>
        <v/>
      </c>
      <c r="P15" s="8" t="str">
        <f>IFERROR(INDEX(_courses_lookup!$D:$D,MATCH(K15&amp;L15,_courses_lookup!$E:$E,0)),"")</f>
        <v/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 t="str">
        <f t="shared" si="0"/>
        <v/>
      </c>
      <c r="AH15" s="8"/>
      <c r="AI15" s="8" t="str">
        <f t="shared" si="1"/>
        <v/>
      </c>
      <c r="AJ15" s="8"/>
      <c r="AK15" s="8"/>
      <c r="AL15" s="8" t="str">
        <f t="shared" si="2"/>
        <v/>
      </c>
      <c r="AM15" s="8"/>
      <c r="AN15" s="8" t="str">
        <f t="shared" si="3"/>
        <v/>
      </c>
      <c r="AO15" s="8"/>
      <c r="AP15" s="8"/>
      <c r="AQ15" s="8" t="str">
        <f t="shared" si="4"/>
        <v/>
      </c>
      <c r="AR15" s="8" t="str">
        <f t="shared" si="5"/>
        <v/>
      </c>
      <c r="AS15" s="8" t="str">
        <f t="shared" si="6"/>
        <v/>
      </c>
      <c r="AT15" s="8" t="str">
        <f t="shared" si="7"/>
        <v/>
      </c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 t="str">
        <f t="shared" si="8"/>
        <v/>
      </c>
      <c r="BH15" s="12" t="str">
        <f t="shared" si="9"/>
        <v/>
      </c>
      <c r="BI15" s="8"/>
      <c r="BJ15" s="8"/>
      <c r="BK15" s="10"/>
      <c r="BL15" s="10" t="str">
        <f>IFERROR(INDEX(_names_lookup!$C:$C,MATCH(BK15,_names_lookup!$A:$A,0)),"")</f>
        <v/>
      </c>
      <c r="BM15" s="11" t="str">
        <f>IFERROR(INDEX(_names_lookup!$B:$B,MATCH(BK15,_names_lookup!$A:$A,0)),"")</f>
        <v/>
      </c>
      <c r="BN15" s="15"/>
      <c r="BO15" s="12"/>
      <c r="BP15" s="12"/>
      <c r="BQ15" s="12"/>
      <c r="BR15" s="12"/>
      <c r="BS15" s="12" t="str">
        <f t="shared" si="10"/>
        <v/>
      </c>
      <c r="BT15" s="12"/>
      <c r="BU15" s="12"/>
      <c r="BV15" s="8"/>
      <c r="BW15" s="12"/>
      <c r="BX15" s="12"/>
      <c r="BY15" s="12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12"/>
      <c r="DQ15" s="12"/>
    </row>
    <row r="16" spans="1:121" ht="16" customHeight="1" x14ac:dyDescent="0.2">
      <c r="A16" s="14"/>
      <c r="B16" s="14"/>
      <c r="C16" s="14"/>
      <c r="D16" s="14"/>
      <c r="E16" s="14"/>
      <c r="F16" s="14"/>
      <c r="G16" s="7"/>
      <c r="H16" s="8"/>
      <c r="I16" s="8"/>
      <c r="J16" s="8"/>
      <c r="K16" s="8"/>
      <c r="L16" s="8"/>
      <c r="M16" s="8"/>
      <c r="N16" s="12"/>
      <c r="O16" s="8" t="str">
        <f>IFERROR(INDEX(_courses_lookup!$C:$C,MATCH(K16&amp;L16,_courses_lookup!$E:$E,0)),"")</f>
        <v/>
      </c>
      <c r="P16" s="8" t="str">
        <f>IFERROR(INDEX(_courses_lookup!$D:$D,MATCH(K16&amp;L16,_courses_lookup!$E:$E,0)),"")</f>
        <v/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 t="str">
        <f t="shared" si="0"/>
        <v/>
      </c>
      <c r="AH16" s="8"/>
      <c r="AI16" s="8" t="str">
        <f t="shared" si="1"/>
        <v/>
      </c>
      <c r="AJ16" s="8"/>
      <c r="AK16" s="8"/>
      <c r="AL16" s="8" t="str">
        <f t="shared" si="2"/>
        <v/>
      </c>
      <c r="AM16" s="8"/>
      <c r="AN16" s="8" t="str">
        <f t="shared" si="3"/>
        <v/>
      </c>
      <c r="AO16" s="8"/>
      <c r="AP16" s="8"/>
      <c r="AQ16" s="8" t="str">
        <f t="shared" si="4"/>
        <v/>
      </c>
      <c r="AR16" s="8" t="str">
        <f t="shared" si="5"/>
        <v/>
      </c>
      <c r="AS16" s="8" t="str">
        <f t="shared" si="6"/>
        <v/>
      </c>
      <c r="AT16" s="8" t="str">
        <f t="shared" si="7"/>
        <v/>
      </c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 t="str">
        <f t="shared" si="8"/>
        <v/>
      </c>
      <c r="BH16" s="12" t="str">
        <f t="shared" si="9"/>
        <v/>
      </c>
      <c r="BI16" s="8"/>
      <c r="BJ16" s="8"/>
      <c r="BK16" s="10"/>
      <c r="BL16" s="10" t="str">
        <f>IFERROR(INDEX(_names_lookup!$C:$C,MATCH(BK16,_names_lookup!$A:$A,0)),"")</f>
        <v/>
      </c>
      <c r="BM16" s="11" t="str">
        <f>IFERROR(INDEX(_names_lookup!$B:$B,MATCH(BK16,_names_lookup!$A:$A,0)),"")</f>
        <v/>
      </c>
      <c r="BN16" s="15"/>
      <c r="BO16" s="12"/>
      <c r="BP16" s="12"/>
      <c r="BQ16" s="12"/>
      <c r="BR16" s="12"/>
      <c r="BS16" s="12" t="str">
        <f t="shared" si="10"/>
        <v/>
      </c>
      <c r="BT16" s="12"/>
      <c r="BU16" s="12"/>
      <c r="BV16" s="8"/>
      <c r="BW16" s="12"/>
      <c r="BX16" s="12"/>
      <c r="BY16" s="12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12"/>
      <c r="DQ16" s="12"/>
    </row>
    <row r="17" spans="1:121" ht="16" customHeight="1" x14ac:dyDescent="0.2">
      <c r="A17" s="14"/>
      <c r="B17" s="14"/>
      <c r="C17" s="14"/>
      <c r="D17" s="14"/>
      <c r="E17" s="14"/>
      <c r="F17" s="14"/>
      <c r="G17" s="7"/>
      <c r="H17" s="8"/>
      <c r="I17" s="8"/>
      <c r="J17" s="8"/>
      <c r="K17" s="8"/>
      <c r="L17" s="8"/>
      <c r="M17" s="8"/>
      <c r="N17" s="8"/>
      <c r="O17" s="8" t="str">
        <f>IFERROR(INDEX(_courses_lookup!$C:$C,MATCH(K17&amp;L17,_courses_lookup!$E:$E,0)),"")</f>
        <v/>
      </c>
      <c r="P17" s="8" t="str">
        <f>IFERROR(INDEX(_courses_lookup!$D:$D,MATCH(K17&amp;L17,_courses_lookup!$E:$E,0)),"")</f>
        <v/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 t="str">
        <f t="shared" si="0"/>
        <v/>
      </c>
      <c r="AH17" s="8"/>
      <c r="AI17" s="8" t="str">
        <f t="shared" si="1"/>
        <v/>
      </c>
      <c r="AJ17" s="8"/>
      <c r="AK17" s="8"/>
      <c r="AL17" s="8" t="str">
        <f t="shared" si="2"/>
        <v/>
      </c>
      <c r="AM17" s="8"/>
      <c r="AN17" s="8" t="str">
        <f t="shared" si="3"/>
        <v/>
      </c>
      <c r="AO17" s="8"/>
      <c r="AP17" s="8"/>
      <c r="AQ17" s="8" t="str">
        <f t="shared" si="4"/>
        <v/>
      </c>
      <c r="AR17" s="8" t="str">
        <f t="shared" si="5"/>
        <v/>
      </c>
      <c r="AS17" s="8" t="str">
        <f t="shared" si="6"/>
        <v/>
      </c>
      <c r="AT17" s="8" t="str">
        <f t="shared" si="7"/>
        <v/>
      </c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 t="str">
        <f t="shared" si="8"/>
        <v/>
      </c>
      <c r="BH17" s="12" t="str">
        <f t="shared" si="9"/>
        <v/>
      </c>
      <c r="BI17" s="8"/>
      <c r="BJ17" s="8"/>
      <c r="BK17" s="10"/>
      <c r="BL17" s="10" t="str">
        <f>IFERROR(INDEX(_names_lookup!$C:$C,MATCH(BK17,_names_lookup!$A:$A,0)),"")</f>
        <v/>
      </c>
      <c r="BM17" s="11" t="str">
        <f>IFERROR(INDEX(_names_lookup!$B:$B,MATCH(BK17,_names_lookup!$A:$A,0)),"")</f>
        <v/>
      </c>
      <c r="BN17" s="15"/>
      <c r="BO17" s="12"/>
      <c r="BP17" s="12"/>
      <c r="BQ17" s="12"/>
      <c r="BR17" s="12"/>
      <c r="BS17" s="12" t="str">
        <f t="shared" si="10"/>
        <v/>
      </c>
      <c r="BT17" s="12"/>
      <c r="BU17" s="12"/>
      <c r="BV17" s="8"/>
      <c r="BW17" s="12"/>
      <c r="BX17" s="12"/>
      <c r="BY17" s="12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12"/>
      <c r="DQ17" s="12"/>
    </row>
    <row r="18" spans="1:121" ht="16" customHeight="1" x14ac:dyDescent="0.2">
      <c r="A18" s="14"/>
      <c r="B18" s="14"/>
      <c r="C18" s="14"/>
      <c r="D18" s="14"/>
      <c r="E18" s="14"/>
      <c r="F18" s="14"/>
      <c r="G18" s="7"/>
      <c r="H18" s="8"/>
      <c r="I18" s="8"/>
      <c r="J18" s="8"/>
      <c r="K18" s="8"/>
      <c r="L18" s="8"/>
      <c r="M18" s="8"/>
      <c r="N18" s="8"/>
      <c r="O18" s="8" t="str">
        <f>IFERROR(INDEX(_courses_lookup!$C:$C,MATCH(K18&amp;L18,_courses_lookup!$E:$E,0)),"")</f>
        <v/>
      </c>
      <c r="P18" s="8" t="str">
        <f>IFERROR(INDEX(_courses_lookup!$D:$D,MATCH(K18&amp;L18,_courses_lookup!$E:$E,0)),"")</f>
        <v/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 t="str">
        <f t="shared" si="0"/>
        <v/>
      </c>
      <c r="AH18" s="8"/>
      <c r="AI18" s="8" t="str">
        <f t="shared" si="1"/>
        <v/>
      </c>
      <c r="AJ18" s="8"/>
      <c r="AK18" s="8"/>
      <c r="AL18" s="8" t="str">
        <f t="shared" si="2"/>
        <v/>
      </c>
      <c r="AM18" s="8"/>
      <c r="AN18" s="8" t="str">
        <f t="shared" si="3"/>
        <v/>
      </c>
      <c r="AO18" s="8"/>
      <c r="AP18" s="8"/>
      <c r="AQ18" s="8" t="str">
        <f t="shared" si="4"/>
        <v/>
      </c>
      <c r="AR18" s="8" t="str">
        <f t="shared" si="5"/>
        <v/>
      </c>
      <c r="AS18" s="8" t="str">
        <f t="shared" si="6"/>
        <v/>
      </c>
      <c r="AT18" s="8" t="str">
        <f t="shared" si="7"/>
        <v/>
      </c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 t="str">
        <f t="shared" si="8"/>
        <v/>
      </c>
      <c r="BH18" s="12" t="str">
        <f t="shared" si="9"/>
        <v/>
      </c>
      <c r="BI18" s="8"/>
      <c r="BJ18" s="8"/>
      <c r="BK18" s="10"/>
      <c r="BL18" s="10" t="str">
        <f>IFERROR(INDEX(_names_lookup!$C:$C,MATCH(BK18,_names_lookup!$A:$A,0)),"")</f>
        <v/>
      </c>
      <c r="BM18" s="11" t="str">
        <f>IFERROR(INDEX(_names_lookup!$B:$B,MATCH(BK18,_names_lookup!$A:$A,0)),"")</f>
        <v/>
      </c>
      <c r="BN18" s="15"/>
      <c r="BO18" s="12"/>
      <c r="BP18" s="12"/>
      <c r="BQ18" s="12"/>
      <c r="BR18" s="12"/>
      <c r="BS18" s="12" t="str">
        <f t="shared" si="10"/>
        <v/>
      </c>
      <c r="BT18" s="12"/>
      <c r="BU18" s="12"/>
      <c r="BV18" s="8"/>
      <c r="BW18" s="12"/>
      <c r="BX18" s="12"/>
      <c r="BY18" s="12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12"/>
      <c r="DQ18" s="12"/>
    </row>
    <row r="19" spans="1:121" x14ac:dyDescent="0.2">
      <c r="O19" t="str">
        <f>IFERROR(INDEX(_courses_lookup!$C:$C,MATCH(K19&amp;L19,_courses_lookup!$E:$E,0)),"")</f>
        <v/>
      </c>
      <c r="P19" t="str">
        <f>IFERROR(INDEX(_courses_lookup!$D:$D,MATCH(K19&amp;L19,_courses_lookup!$E:$E,0)),"")</f>
        <v/>
      </c>
      <c r="AG19" t="str">
        <f t="shared" si="0"/>
        <v/>
      </c>
      <c r="AI19" t="str">
        <f t="shared" si="1"/>
        <v/>
      </c>
      <c r="AL19" t="str">
        <f t="shared" si="2"/>
        <v/>
      </c>
      <c r="AN19" t="str">
        <f t="shared" si="3"/>
        <v/>
      </c>
      <c r="AQ19" t="str">
        <f t="shared" si="4"/>
        <v/>
      </c>
      <c r="AR19" t="str">
        <f t="shared" si="5"/>
        <v/>
      </c>
      <c r="AS19" t="str">
        <f t="shared" si="6"/>
        <v/>
      </c>
      <c r="AT19" t="str">
        <f t="shared" si="7"/>
        <v/>
      </c>
      <c r="BG19" t="str">
        <f t="shared" si="8"/>
        <v/>
      </c>
      <c r="BH19" t="str">
        <f t="shared" si="9"/>
        <v/>
      </c>
      <c r="BL19" t="str">
        <f>IFERROR(INDEX(_names_lookup!$C:$C,MATCH(BK19,_names_lookup!$A:$A,0)),"")</f>
        <v/>
      </c>
      <c r="BM19" t="str">
        <f>IFERROR(INDEX(_names_lookup!$B:$B,MATCH(BK19,_names_lookup!$A:$A,0)),"")</f>
        <v/>
      </c>
      <c r="BS19" t="str">
        <f t="shared" si="10"/>
        <v/>
      </c>
    </row>
    <row r="20" spans="1:121" x14ac:dyDescent="0.2">
      <c r="O20" t="str">
        <f>IFERROR(INDEX(_courses_lookup!$C:$C,MATCH(K20&amp;L20,_courses_lookup!$E:$E,0)),"")</f>
        <v/>
      </c>
      <c r="P20" t="str">
        <f>IFERROR(INDEX(_courses_lookup!$D:$D,MATCH(K20&amp;L20,_courses_lookup!$E:$E,0)),"")</f>
        <v/>
      </c>
      <c r="AG20" t="str">
        <f t="shared" si="0"/>
        <v/>
      </c>
      <c r="AI20" t="str">
        <f t="shared" si="1"/>
        <v/>
      </c>
      <c r="AL20" t="str">
        <f t="shared" si="2"/>
        <v/>
      </c>
      <c r="AN20" t="str">
        <f t="shared" si="3"/>
        <v/>
      </c>
      <c r="AQ20" t="str">
        <f t="shared" si="4"/>
        <v/>
      </c>
      <c r="AR20" t="str">
        <f t="shared" si="5"/>
        <v/>
      </c>
      <c r="AS20" t="str">
        <f t="shared" si="6"/>
        <v/>
      </c>
      <c r="AT20" t="str">
        <f t="shared" si="7"/>
        <v/>
      </c>
      <c r="BG20" t="str">
        <f t="shared" si="8"/>
        <v/>
      </c>
      <c r="BH20" t="str">
        <f t="shared" si="9"/>
        <v/>
      </c>
      <c r="BL20" t="str">
        <f>IFERROR(INDEX(_names_lookup!$C:$C,MATCH(BK20,_names_lookup!$A:$A,0)),"")</f>
        <v/>
      </c>
      <c r="BM20" t="str">
        <f>IFERROR(INDEX(_names_lookup!$B:$B,MATCH(BK20,_names_lookup!$A:$A,0)),"")</f>
        <v/>
      </c>
      <c r="BS20" t="str">
        <f t="shared" si="10"/>
        <v/>
      </c>
    </row>
    <row r="21" spans="1:121" x14ac:dyDescent="0.2">
      <c r="O21" t="str">
        <f>IFERROR(INDEX(_courses_lookup!$C:$C,MATCH(K21&amp;L21,_courses_lookup!$E:$E,0)),"")</f>
        <v/>
      </c>
      <c r="P21" t="str">
        <f>IFERROR(INDEX(_courses_lookup!$D:$D,MATCH(K21&amp;L21,_courses_lookup!$E:$E,0)),"")</f>
        <v/>
      </c>
      <c r="AG21" t="str">
        <f t="shared" si="0"/>
        <v/>
      </c>
      <c r="AI21" t="str">
        <f t="shared" si="1"/>
        <v/>
      </c>
      <c r="AL21" t="str">
        <f t="shared" si="2"/>
        <v/>
      </c>
      <c r="AN21" t="str">
        <f t="shared" si="3"/>
        <v/>
      </c>
      <c r="AQ21" t="str">
        <f t="shared" si="4"/>
        <v/>
      </c>
      <c r="AR21" t="str">
        <f t="shared" si="5"/>
        <v/>
      </c>
      <c r="AS21" t="str">
        <f t="shared" si="6"/>
        <v/>
      </c>
      <c r="AT21" t="str">
        <f t="shared" si="7"/>
        <v/>
      </c>
      <c r="BG21" t="str">
        <f t="shared" si="8"/>
        <v/>
      </c>
      <c r="BH21" t="str">
        <f t="shared" si="9"/>
        <v/>
      </c>
      <c r="BL21" t="str">
        <f>IFERROR(INDEX(_names_lookup!$C:$C,MATCH(BK21,_names_lookup!$A:$A,0)),"")</f>
        <v/>
      </c>
      <c r="BM21" t="str">
        <f>IFERROR(INDEX(_names_lookup!$B:$B,MATCH(BK21,_names_lookup!$A:$A,0)),"")</f>
        <v/>
      </c>
      <c r="BS21" t="str">
        <f t="shared" si="10"/>
        <v/>
      </c>
    </row>
    <row r="22" spans="1:121" x14ac:dyDescent="0.2">
      <c r="O22" t="str">
        <f>IFERROR(INDEX(_courses_lookup!$C:$C,MATCH(K22&amp;L22,_courses_lookup!$E:$E,0)),"")</f>
        <v/>
      </c>
      <c r="P22" t="str">
        <f>IFERROR(INDEX(_courses_lookup!$D:$D,MATCH(K22&amp;L22,_courses_lookup!$E:$E,0)),"")</f>
        <v/>
      </c>
      <c r="AG22" t="str">
        <f t="shared" si="0"/>
        <v/>
      </c>
      <c r="AI22" t="str">
        <f t="shared" si="1"/>
        <v/>
      </c>
      <c r="AL22" t="str">
        <f t="shared" si="2"/>
        <v/>
      </c>
      <c r="AN22" t="str">
        <f t="shared" si="3"/>
        <v/>
      </c>
      <c r="AQ22" t="str">
        <f t="shared" si="4"/>
        <v/>
      </c>
      <c r="AR22" t="str">
        <f t="shared" si="5"/>
        <v/>
      </c>
      <c r="AS22" t="str">
        <f t="shared" si="6"/>
        <v/>
      </c>
      <c r="AT22" t="str">
        <f t="shared" si="7"/>
        <v/>
      </c>
      <c r="BG22" t="str">
        <f t="shared" si="8"/>
        <v/>
      </c>
      <c r="BH22" t="str">
        <f t="shared" si="9"/>
        <v/>
      </c>
      <c r="BL22" t="str">
        <f>IFERROR(INDEX(_names_lookup!$C:$C,MATCH(BK22,_names_lookup!$A:$A,0)),"")</f>
        <v/>
      </c>
      <c r="BM22" t="str">
        <f>IFERROR(INDEX(_names_lookup!$B:$B,MATCH(BK22,_names_lookup!$A:$A,0)),"")</f>
        <v/>
      </c>
      <c r="BS22" t="str">
        <f t="shared" si="10"/>
        <v/>
      </c>
    </row>
    <row r="23" spans="1:121" x14ac:dyDescent="0.2">
      <c r="O23" t="str">
        <f>IFERROR(INDEX(_courses_lookup!$C:$C,MATCH(K23&amp;L23,_courses_lookup!$E:$E,0)),"")</f>
        <v/>
      </c>
      <c r="P23" t="str">
        <f>IFERROR(INDEX(_courses_lookup!$D:$D,MATCH(K23&amp;L23,_courses_lookup!$E:$E,0)),"")</f>
        <v/>
      </c>
      <c r="AG23" t="str">
        <f t="shared" si="0"/>
        <v/>
      </c>
      <c r="AI23" t="str">
        <f t="shared" si="1"/>
        <v/>
      </c>
      <c r="AL23" t="str">
        <f t="shared" si="2"/>
        <v/>
      </c>
      <c r="AN23" t="str">
        <f t="shared" si="3"/>
        <v/>
      </c>
      <c r="AQ23" t="str">
        <f t="shared" si="4"/>
        <v/>
      </c>
      <c r="AR23" t="str">
        <f t="shared" si="5"/>
        <v/>
      </c>
      <c r="AS23" t="str">
        <f t="shared" si="6"/>
        <v/>
      </c>
      <c r="AT23" t="str">
        <f t="shared" si="7"/>
        <v/>
      </c>
      <c r="BG23" t="str">
        <f t="shared" si="8"/>
        <v/>
      </c>
      <c r="BH23" t="str">
        <f t="shared" si="9"/>
        <v/>
      </c>
      <c r="BL23" t="str">
        <f>IFERROR(INDEX(_names_lookup!$C:$C,MATCH(BK23,_names_lookup!$A:$A,0)),"")</f>
        <v/>
      </c>
      <c r="BM23" t="str">
        <f>IFERROR(INDEX(_names_lookup!$B:$B,MATCH(BK23,_names_lookup!$A:$A,0)),"")</f>
        <v/>
      </c>
      <c r="BS23" t="str">
        <f t="shared" si="10"/>
        <v/>
      </c>
    </row>
    <row r="24" spans="1:121" x14ac:dyDescent="0.2">
      <c r="O24" t="str">
        <f>IFERROR(INDEX(_courses_lookup!$C:$C,MATCH(K24&amp;L24,_courses_lookup!$E:$E,0)),"")</f>
        <v/>
      </c>
      <c r="P24" t="str">
        <f>IFERROR(INDEX(_courses_lookup!$D:$D,MATCH(K24&amp;L24,_courses_lookup!$E:$E,0)),"")</f>
        <v/>
      </c>
      <c r="AG24" t="str">
        <f t="shared" si="0"/>
        <v/>
      </c>
      <c r="AI24" t="str">
        <f t="shared" si="1"/>
        <v/>
      </c>
      <c r="AL24" t="str">
        <f t="shared" si="2"/>
        <v/>
      </c>
      <c r="AN24" t="str">
        <f t="shared" si="3"/>
        <v/>
      </c>
      <c r="AQ24" t="str">
        <f t="shared" si="4"/>
        <v/>
      </c>
      <c r="AR24" t="str">
        <f t="shared" si="5"/>
        <v/>
      </c>
      <c r="AS24" t="str">
        <f t="shared" si="6"/>
        <v/>
      </c>
      <c r="AT24" t="str">
        <f t="shared" si="7"/>
        <v/>
      </c>
      <c r="BG24" t="str">
        <f t="shared" si="8"/>
        <v/>
      </c>
      <c r="BH24" t="str">
        <f t="shared" si="9"/>
        <v/>
      </c>
      <c r="BL24" t="str">
        <f>IFERROR(INDEX(_names_lookup!$C:$C,MATCH(BK24,_names_lookup!$A:$A,0)),"")</f>
        <v/>
      </c>
      <c r="BM24" t="str">
        <f>IFERROR(INDEX(_names_lookup!$B:$B,MATCH(BK24,_names_lookup!$A:$A,0)),"")</f>
        <v/>
      </c>
      <c r="BS24" t="str">
        <f t="shared" si="10"/>
        <v/>
      </c>
    </row>
    <row r="25" spans="1:121" x14ac:dyDescent="0.2">
      <c r="O25" t="str">
        <f>IFERROR(INDEX(_courses_lookup!$C:$C,MATCH(K25&amp;L25,_courses_lookup!$E:$E,0)),"")</f>
        <v/>
      </c>
      <c r="P25" t="str">
        <f>IFERROR(INDEX(_courses_lookup!$D:$D,MATCH(K25&amp;L25,_courses_lookup!$E:$E,0)),"")</f>
        <v/>
      </c>
      <c r="AG25" t="str">
        <f t="shared" si="0"/>
        <v/>
      </c>
      <c r="AI25" t="str">
        <f t="shared" si="1"/>
        <v/>
      </c>
      <c r="AL25" t="str">
        <f t="shared" si="2"/>
        <v/>
      </c>
      <c r="AN25" t="str">
        <f t="shared" si="3"/>
        <v/>
      </c>
      <c r="AQ25" t="str">
        <f t="shared" si="4"/>
        <v/>
      </c>
      <c r="AR25" t="str">
        <f t="shared" si="5"/>
        <v/>
      </c>
      <c r="AS25" t="str">
        <f t="shared" si="6"/>
        <v/>
      </c>
      <c r="AT25" t="str">
        <f t="shared" si="7"/>
        <v/>
      </c>
      <c r="BG25" t="str">
        <f t="shared" si="8"/>
        <v/>
      </c>
      <c r="BH25" t="str">
        <f t="shared" si="9"/>
        <v/>
      </c>
      <c r="BL25" t="str">
        <f>IFERROR(INDEX(_names_lookup!$C:$C,MATCH(BK25,_names_lookup!$A:$A,0)),"")</f>
        <v/>
      </c>
      <c r="BM25" t="str">
        <f>IFERROR(INDEX(_names_lookup!$B:$B,MATCH(BK25,_names_lookup!$A:$A,0)),"")</f>
        <v/>
      </c>
      <c r="BS25" t="str">
        <f t="shared" si="10"/>
        <v/>
      </c>
    </row>
    <row r="26" spans="1:121" x14ac:dyDescent="0.2">
      <c r="O26" t="str">
        <f>IFERROR(INDEX(_courses_lookup!$C:$C,MATCH(K26&amp;L26,_courses_lookup!$E:$E,0)),"")</f>
        <v/>
      </c>
      <c r="P26" t="str">
        <f>IFERROR(INDEX(_courses_lookup!$D:$D,MATCH(K26&amp;L26,_courses_lookup!$E:$E,0)),"")</f>
        <v/>
      </c>
      <c r="AG26" t="str">
        <f t="shared" si="0"/>
        <v/>
      </c>
      <c r="AI26" t="str">
        <f t="shared" si="1"/>
        <v/>
      </c>
      <c r="AL26" t="str">
        <f t="shared" si="2"/>
        <v/>
      </c>
      <c r="AN26" t="str">
        <f t="shared" si="3"/>
        <v/>
      </c>
      <c r="AQ26" t="str">
        <f t="shared" si="4"/>
        <v/>
      </c>
      <c r="AR26" t="str">
        <f t="shared" si="5"/>
        <v/>
      </c>
      <c r="AS26" t="str">
        <f t="shared" si="6"/>
        <v/>
      </c>
      <c r="AT26" t="str">
        <f t="shared" si="7"/>
        <v/>
      </c>
      <c r="BG26" t="str">
        <f t="shared" si="8"/>
        <v/>
      </c>
      <c r="BH26" t="str">
        <f t="shared" si="9"/>
        <v/>
      </c>
      <c r="BL26" t="str">
        <f>IFERROR(INDEX(_names_lookup!$C:$C,MATCH(BK26,_names_lookup!$A:$A,0)),"")</f>
        <v/>
      </c>
      <c r="BM26" t="str">
        <f>IFERROR(INDEX(_names_lookup!$B:$B,MATCH(BK26,_names_lookup!$A:$A,0)),"")</f>
        <v/>
      </c>
      <c r="BS26" t="str">
        <f t="shared" si="10"/>
        <v/>
      </c>
    </row>
    <row r="27" spans="1:121" x14ac:dyDescent="0.2">
      <c r="O27" t="str">
        <f>IFERROR(INDEX(_courses_lookup!$C:$C,MATCH(K27&amp;L27,_courses_lookup!$E:$E,0)),"")</f>
        <v/>
      </c>
      <c r="P27" t="str">
        <f>IFERROR(INDEX(_courses_lookup!$D:$D,MATCH(K27&amp;L27,_courses_lookup!$E:$E,0)),"")</f>
        <v/>
      </c>
      <c r="AG27" t="str">
        <f t="shared" si="0"/>
        <v/>
      </c>
      <c r="AI27" t="str">
        <f t="shared" si="1"/>
        <v/>
      </c>
      <c r="AL27" t="str">
        <f t="shared" si="2"/>
        <v/>
      </c>
      <c r="AN27" t="str">
        <f t="shared" si="3"/>
        <v/>
      </c>
      <c r="AQ27" t="str">
        <f t="shared" si="4"/>
        <v/>
      </c>
      <c r="AR27" t="str">
        <f t="shared" si="5"/>
        <v/>
      </c>
      <c r="AS27" t="str">
        <f t="shared" si="6"/>
        <v/>
      </c>
      <c r="AT27" t="str">
        <f t="shared" si="7"/>
        <v/>
      </c>
      <c r="BG27" t="str">
        <f t="shared" si="8"/>
        <v/>
      </c>
      <c r="BH27" t="str">
        <f t="shared" si="9"/>
        <v/>
      </c>
      <c r="BL27" t="str">
        <f>IFERROR(INDEX(_names_lookup!$C:$C,MATCH(BK27,_names_lookup!$A:$A,0)),"")</f>
        <v/>
      </c>
      <c r="BM27" t="str">
        <f>IFERROR(INDEX(_names_lookup!$B:$B,MATCH(BK27,_names_lookup!$A:$A,0)),"")</f>
        <v/>
      </c>
      <c r="BS27" t="str">
        <f t="shared" si="10"/>
        <v/>
      </c>
    </row>
    <row r="28" spans="1:121" x14ac:dyDescent="0.2">
      <c r="O28" t="str">
        <f>IFERROR(INDEX(_courses_lookup!$C:$C,MATCH(K28&amp;L28,_courses_lookup!$E:$E,0)),"")</f>
        <v/>
      </c>
      <c r="P28" t="str">
        <f>IFERROR(INDEX(_courses_lookup!$D:$D,MATCH(K28&amp;L28,_courses_lookup!$E:$E,0)),"")</f>
        <v/>
      </c>
      <c r="AG28" t="str">
        <f t="shared" si="0"/>
        <v/>
      </c>
      <c r="AI28" t="str">
        <f t="shared" si="1"/>
        <v/>
      </c>
      <c r="AL28" t="str">
        <f t="shared" si="2"/>
        <v/>
      </c>
      <c r="AN28" t="str">
        <f t="shared" si="3"/>
        <v/>
      </c>
      <c r="AQ28" t="str">
        <f t="shared" si="4"/>
        <v/>
      </c>
      <c r="AR28" t="str">
        <f t="shared" si="5"/>
        <v/>
      </c>
      <c r="AS28" t="str">
        <f t="shared" si="6"/>
        <v/>
      </c>
      <c r="AT28" t="str">
        <f t="shared" si="7"/>
        <v/>
      </c>
      <c r="BG28" t="str">
        <f t="shared" si="8"/>
        <v/>
      </c>
      <c r="BH28" t="str">
        <f t="shared" si="9"/>
        <v/>
      </c>
      <c r="BL28" t="str">
        <f>IFERROR(INDEX(_names_lookup!$C:$C,MATCH(BK28,_names_lookup!$A:$A,0)),"")</f>
        <v/>
      </c>
      <c r="BM28" t="str">
        <f>IFERROR(INDEX(_names_lookup!$B:$B,MATCH(BK28,_names_lookup!$A:$A,0)),"")</f>
        <v/>
      </c>
      <c r="BS28" t="str">
        <f t="shared" si="10"/>
        <v/>
      </c>
    </row>
    <row r="29" spans="1:121" x14ac:dyDescent="0.2">
      <c r="O29" t="str">
        <f>IFERROR(INDEX(_courses_lookup!$C:$C,MATCH(K29&amp;L29,_courses_lookup!$E:$E,0)),"")</f>
        <v/>
      </c>
      <c r="P29" t="str">
        <f>IFERROR(INDEX(_courses_lookup!$D:$D,MATCH(K29&amp;L29,_courses_lookup!$E:$E,0)),"")</f>
        <v/>
      </c>
      <c r="AG29" t="str">
        <f t="shared" si="0"/>
        <v/>
      </c>
      <c r="AI29" t="str">
        <f t="shared" si="1"/>
        <v/>
      </c>
      <c r="AL29" t="str">
        <f t="shared" si="2"/>
        <v/>
      </c>
      <c r="AN29" t="str">
        <f t="shared" si="3"/>
        <v/>
      </c>
      <c r="AQ29" t="str">
        <f t="shared" si="4"/>
        <v/>
      </c>
      <c r="AR29" t="str">
        <f t="shared" si="5"/>
        <v/>
      </c>
      <c r="AS29" t="str">
        <f t="shared" si="6"/>
        <v/>
      </c>
      <c r="AT29" t="str">
        <f t="shared" si="7"/>
        <v/>
      </c>
      <c r="BG29" t="str">
        <f t="shared" si="8"/>
        <v/>
      </c>
      <c r="BH29" t="str">
        <f t="shared" si="9"/>
        <v/>
      </c>
      <c r="BL29" t="str">
        <f>IFERROR(INDEX(_names_lookup!$C:$C,MATCH(BK29,_names_lookup!$A:$A,0)),"")</f>
        <v/>
      </c>
      <c r="BM29" t="str">
        <f>IFERROR(INDEX(_names_lookup!$B:$B,MATCH(BK29,_names_lookup!$A:$A,0)),"")</f>
        <v/>
      </c>
      <c r="BS29" t="str">
        <f t="shared" si="10"/>
        <v/>
      </c>
    </row>
    <row r="30" spans="1:121" x14ac:dyDescent="0.2">
      <c r="O30" t="str">
        <f>IFERROR(INDEX(_courses_lookup!$C:$C,MATCH(K30&amp;L30,_courses_lookup!$E:$E,0)),"")</f>
        <v/>
      </c>
      <c r="P30" t="str">
        <f>IFERROR(INDEX(_courses_lookup!$D:$D,MATCH(K30&amp;L30,_courses_lookup!$E:$E,0)),"")</f>
        <v/>
      </c>
      <c r="AG30" t="str">
        <f t="shared" si="0"/>
        <v/>
      </c>
      <c r="AI30" t="str">
        <f t="shared" si="1"/>
        <v/>
      </c>
      <c r="AL30" t="str">
        <f t="shared" si="2"/>
        <v/>
      </c>
      <c r="AN30" t="str">
        <f t="shared" si="3"/>
        <v/>
      </c>
      <c r="AQ30" t="str">
        <f t="shared" si="4"/>
        <v/>
      </c>
      <c r="AR30" t="str">
        <f t="shared" si="5"/>
        <v/>
      </c>
      <c r="AS30" t="str">
        <f t="shared" si="6"/>
        <v/>
      </c>
      <c r="AT30" t="str">
        <f t="shared" si="7"/>
        <v/>
      </c>
      <c r="BG30" t="str">
        <f t="shared" si="8"/>
        <v/>
      </c>
      <c r="BH30" t="str">
        <f t="shared" si="9"/>
        <v/>
      </c>
      <c r="BL30" t="str">
        <f>IFERROR(INDEX(_names_lookup!$C:$C,MATCH(BK30,_names_lookup!$A:$A,0)),"")</f>
        <v/>
      </c>
      <c r="BM30" t="str">
        <f>IFERROR(INDEX(_names_lookup!$B:$B,MATCH(BK30,_names_lookup!$A:$A,0)),"")</f>
        <v/>
      </c>
      <c r="BS30" t="str">
        <f t="shared" si="10"/>
        <v/>
      </c>
    </row>
    <row r="31" spans="1:121" x14ac:dyDescent="0.2">
      <c r="O31" t="str">
        <f>IFERROR(INDEX(_courses_lookup!$C:$C,MATCH(K31&amp;L31,_courses_lookup!$E:$E,0)),"")</f>
        <v/>
      </c>
      <c r="P31" t="str">
        <f>IFERROR(INDEX(_courses_lookup!$D:$D,MATCH(K31&amp;L31,_courses_lookup!$E:$E,0)),"")</f>
        <v/>
      </c>
      <c r="AG31" t="str">
        <f t="shared" si="0"/>
        <v/>
      </c>
      <c r="AI31" t="str">
        <f t="shared" si="1"/>
        <v/>
      </c>
      <c r="AL31" t="str">
        <f t="shared" si="2"/>
        <v/>
      </c>
      <c r="AN31" t="str">
        <f t="shared" si="3"/>
        <v/>
      </c>
      <c r="AQ31" t="str">
        <f t="shared" si="4"/>
        <v/>
      </c>
      <c r="AR31" t="str">
        <f t="shared" si="5"/>
        <v/>
      </c>
      <c r="AS31" t="str">
        <f t="shared" si="6"/>
        <v/>
      </c>
      <c r="AT31" t="str">
        <f t="shared" si="7"/>
        <v/>
      </c>
      <c r="BG31" t="str">
        <f t="shared" si="8"/>
        <v/>
      </c>
      <c r="BH31" t="str">
        <f t="shared" si="9"/>
        <v/>
      </c>
      <c r="BL31" t="str">
        <f>IFERROR(INDEX(_names_lookup!$C:$C,MATCH(BK31,_names_lookup!$A:$A,0)),"")</f>
        <v/>
      </c>
      <c r="BM31" t="str">
        <f>IFERROR(INDEX(_names_lookup!$B:$B,MATCH(BK31,_names_lookup!$A:$A,0)),"")</f>
        <v/>
      </c>
      <c r="BS31" t="str">
        <f t="shared" si="10"/>
        <v/>
      </c>
    </row>
    <row r="32" spans="1:121" x14ac:dyDescent="0.2">
      <c r="O32" t="str">
        <f>IFERROR(INDEX(_courses_lookup!$C:$C,MATCH(K32&amp;L32,_courses_lookup!$E:$E,0)),"")</f>
        <v/>
      </c>
      <c r="P32" t="str">
        <f>IFERROR(INDEX(_courses_lookup!$D:$D,MATCH(K32&amp;L32,_courses_lookup!$E:$E,0)),"")</f>
        <v/>
      </c>
      <c r="AG32" t="str">
        <f t="shared" si="0"/>
        <v/>
      </c>
      <c r="AI32" t="str">
        <f t="shared" si="1"/>
        <v/>
      </c>
      <c r="AL32" t="str">
        <f t="shared" si="2"/>
        <v/>
      </c>
      <c r="AN32" t="str">
        <f t="shared" si="3"/>
        <v/>
      </c>
      <c r="AQ32" t="str">
        <f t="shared" si="4"/>
        <v/>
      </c>
      <c r="AR32" t="str">
        <f t="shared" si="5"/>
        <v/>
      </c>
      <c r="AS32" t="str">
        <f t="shared" si="6"/>
        <v/>
      </c>
      <c r="AT32" t="str">
        <f t="shared" si="7"/>
        <v/>
      </c>
      <c r="BG32" t="str">
        <f t="shared" si="8"/>
        <v/>
      </c>
      <c r="BH32" t="str">
        <f t="shared" si="9"/>
        <v/>
      </c>
      <c r="BL32" t="str">
        <f>IFERROR(INDEX(_names_lookup!$C:$C,MATCH(BK32,_names_lookup!$A:$A,0)),"")</f>
        <v/>
      </c>
      <c r="BM32" t="str">
        <f>IFERROR(INDEX(_names_lookup!$B:$B,MATCH(BK32,_names_lookup!$A:$A,0)),"")</f>
        <v/>
      </c>
      <c r="BS32" t="str">
        <f t="shared" si="10"/>
        <v/>
      </c>
    </row>
    <row r="33" spans="15:71" x14ac:dyDescent="0.2">
      <c r="O33" t="str">
        <f>IFERROR(INDEX(_courses_lookup!$C:$C,MATCH(K33&amp;L33,_courses_lookup!$E:$E,0)),"")</f>
        <v/>
      </c>
      <c r="P33" t="str">
        <f>IFERROR(INDEX(_courses_lookup!$D:$D,MATCH(K33&amp;L33,_courses_lookup!$E:$E,0)),"")</f>
        <v/>
      </c>
      <c r="AG33" t="str">
        <f t="shared" si="0"/>
        <v/>
      </c>
      <c r="AI33" t="str">
        <f t="shared" si="1"/>
        <v/>
      </c>
      <c r="AL33" t="str">
        <f t="shared" si="2"/>
        <v/>
      </c>
      <c r="AN33" t="str">
        <f t="shared" si="3"/>
        <v/>
      </c>
      <c r="AQ33" t="str">
        <f t="shared" si="4"/>
        <v/>
      </c>
      <c r="AR33" t="str">
        <f t="shared" si="5"/>
        <v/>
      </c>
      <c r="AS33" t="str">
        <f t="shared" si="6"/>
        <v/>
      </c>
      <c r="AT33" t="str">
        <f t="shared" si="7"/>
        <v/>
      </c>
      <c r="BG33" t="str">
        <f t="shared" si="8"/>
        <v/>
      </c>
      <c r="BH33" t="str">
        <f t="shared" si="9"/>
        <v/>
      </c>
      <c r="BL33" t="str">
        <f>IFERROR(INDEX(_names_lookup!$C:$C,MATCH(BK33,_names_lookup!$A:$A,0)),"")</f>
        <v/>
      </c>
      <c r="BM33" t="str">
        <f>IFERROR(INDEX(_names_lookup!$B:$B,MATCH(BK33,_names_lookup!$A:$A,0)),"")</f>
        <v/>
      </c>
      <c r="BS33" t="str">
        <f t="shared" si="10"/>
        <v/>
      </c>
    </row>
    <row r="34" spans="15:71" x14ac:dyDescent="0.2">
      <c r="O34" t="str">
        <f>IFERROR(INDEX(_courses_lookup!$C:$C,MATCH(K34&amp;L34,_courses_lookup!$E:$E,0)),"")</f>
        <v/>
      </c>
      <c r="P34" t="str">
        <f>IFERROR(INDEX(_courses_lookup!$D:$D,MATCH(K34&amp;L34,_courses_lookup!$E:$E,0)),"")</f>
        <v/>
      </c>
      <c r="AG34" t="str">
        <f t="shared" si="0"/>
        <v/>
      </c>
      <c r="AI34" t="str">
        <f t="shared" si="1"/>
        <v/>
      </c>
      <c r="AL34" t="str">
        <f t="shared" si="2"/>
        <v/>
      </c>
      <c r="AN34" t="str">
        <f t="shared" si="3"/>
        <v/>
      </c>
      <c r="AQ34" t="str">
        <f t="shared" si="4"/>
        <v/>
      </c>
      <c r="AR34" t="str">
        <f t="shared" si="5"/>
        <v/>
      </c>
      <c r="AS34" t="str">
        <f t="shared" si="6"/>
        <v/>
      </c>
      <c r="AT34" t="str">
        <f t="shared" si="7"/>
        <v/>
      </c>
      <c r="BG34" t="str">
        <f t="shared" si="8"/>
        <v/>
      </c>
      <c r="BH34" t="str">
        <f t="shared" si="9"/>
        <v/>
      </c>
      <c r="BL34" t="str">
        <f>IFERROR(INDEX(_names_lookup!$C:$C,MATCH(BK34,_names_lookup!$A:$A,0)),"")</f>
        <v/>
      </c>
      <c r="BM34" t="str">
        <f>IFERROR(INDEX(_names_lookup!$B:$B,MATCH(BK34,_names_lookup!$A:$A,0)),"")</f>
        <v/>
      </c>
      <c r="BS34" t="str">
        <f t="shared" si="10"/>
        <v/>
      </c>
    </row>
    <row r="35" spans="15:71" x14ac:dyDescent="0.2">
      <c r="O35" t="str">
        <f>IFERROR(INDEX(_courses_lookup!$C:$C,MATCH(K35&amp;L35,_courses_lookup!$E:$E,0)),"")</f>
        <v/>
      </c>
      <c r="P35" t="str">
        <f>IFERROR(INDEX(_courses_lookup!$D:$D,MATCH(K35&amp;L35,_courses_lookup!$E:$E,0)),"")</f>
        <v/>
      </c>
      <c r="AG35" t="str">
        <f t="shared" si="0"/>
        <v/>
      </c>
      <c r="AI35" t="str">
        <f t="shared" si="1"/>
        <v/>
      </c>
      <c r="AL35" t="str">
        <f t="shared" si="2"/>
        <v/>
      </c>
      <c r="AN35" t="str">
        <f t="shared" si="3"/>
        <v/>
      </c>
      <c r="AQ35" t="str">
        <f t="shared" si="4"/>
        <v/>
      </c>
      <c r="AR35" t="str">
        <f t="shared" si="5"/>
        <v/>
      </c>
      <c r="AS35" t="str">
        <f t="shared" si="6"/>
        <v/>
      </c>
      <c r="AT35" t="str">
        <f t="shared" si="7"/>
        <v/>
      </c>
      <c r="BG35" t="str">
        <f t="shared" si="8"/>
        <v/>
      </c>
      <c r="BH35" t="str">
        <f t="shared" si="9"/>
        <v/>
      </c>
      <c r="BL35" t="str">
        <f>IFERROR(INDEX(_names_lookup!$C:$C,MATCH(BK35,_names_lookup!$A:$A,0)),"")</f>
        <v/>
      </c>
      <c r="BM35" t="str">
        <f>IFERROR(INDEX(_names_lookup!$B:$B,MATCH(BK35,_names_lookup!$A:$A,0)),"")</f>
        <v/>
      </c>
      <c r="BS35" t="str">
        <f t="shared" si="10"/>
        <v/>
      </c>
    </row>
    <row r="36" spans="15:71" x14ac:dyDescent="0.2">
      <c r="O36" t="str">
        <f>IFERROR(INDEX(_courses_lookup!$C:$C,MATCH(K36&amp;L36,_courses_lookup!$E:$E,0)),"")</f>
        <v/>
      </c>
      <c r="P36" t="str">
        <f>IFERROR(INDEX(_courses_lookup!$D:$D,MATCH(K36&amp;L36,_courses_lookup!$E:$E,0)),"")</f>
        <v/>
      </c>
      <c r="AG36" t="str">
        <f t="shared" si="0"/>
        <v/>
      </c>
      <c r="AI36" t="str">
        <f t="shared" si="1"/>
        <v/>
      </c>
      <c r="AL36" t="str">
        <f t="shared" si="2"/>
        <v/>
      </c>
      <c r="AN36" t="str">
        <f t="shared" si="3"/>
        <v/>
      </c>
      <c r="AQ36" t="str">
        <f t="shared" si="4"/>
        <v/>
      </c>
      <c r="AR36" t="str">
        <f t="shared" si="5"/>
        <v/>
      </c>
      <c r="AS36" t="str">
        <f t="shared" si="6"/>
        <v/>
      </c>
      <c r="AT36" t="str">
        <f t="shared" si="7"/>
        <v/>
      </c>
      <c r="BG36" t="str">
        <f t="shared" si="8"/>
        <v/>
      </c>
      <c r="BH36" t="str">
        <f t="shared" si="9"/>
        <v/>
      </c>
      <c r="BL36" t="str">
        <f>IFERROR(INDEX(_names_lookup!$C:$C,MATCH(BK36,_names_lookup!$A:$A,0)),"")</f>
        <v/>
      </c>
      <c r="BM36" t="str">
        <f>IFERROR(INDEX(_names_lookup!$B:$B,MATCH(BK36,_names_lookup!$A:$A,0)),"")</f>
        <v/>
      </c>
      <c r="BS36" t="str">
        <f t="shared" si="10"/>
        <v/>
      </c>
    </row>
    <row r="37" spans="15:71" x14ac:dyDescent="0.2">
      <c r="O37" t="str">
        <f>IFERROR(INDEX(_courses_lookup!$C:$C,MATCH(K37&amp;L37,_courses_lookup!$E:$E,0)),"")</f>
        <v/>
      </c>
      <c r="P37" t="str">
        <f>IFERROR(INDEX(_courses_lookup!$D:$D,MATCH(K37&amp;L37,_courses_lookup!$E:$E,0)),"")</f>
        <v/>
      </c>
      <c r="AG37" t="str">
        <f t="shared" si="0"/>
        <v/>
      </c>
      <c r="AI37" t="str">
        <f t="shared" si="1"/>
        <v/>
      </c>
      <c r="AL37" t="str">
        <f t="shared" si="2"/>
        <v/>
      </c>
      <c r="AN37" t="str">
        <f t="shared" si="3"/>
        <v/>
      </c>
      <c r="AQ37" t="str">
        <f t="shared" si="4"/>
        <v/>
      </c>
      <c r="AR37" t="str">
        <f t="shared" si="5"/>
        <v/>
      </c>
      <c r="AS37" t="str">
        <f t="shared" si="6"/>
        <v/>
      </c>
      <c r="AT37" t="str">
        <f t="shared" si="7"/>
        <v/>
      </c>
      <c r="BG37" t="str">
        <f t="shared" si="8"/>
        <v/>
      </c>
      <c r="BH37" t="str">
        <f t="shared" si="9"/>
        <v/>
      </c>
      <c r="BL37" t="str">
        <f>IFERROR(INDEX(_names_lookup!$C:$C,MATCH(BK37,_names_lookup!$A:$A,0)),"")</f>
        <v/>
      </c>
      <c r="BM37" t="str">
        <f>IFERROR(INDEX(_names_lookup!$B:$B,MATCH(BK37,_names_lookup!$A:$A,0)),"")</f>
        <v/>
      </c>
      <c r="BS37" t="str">
        <f t="shared" si="10"/>
        <v/>
      </c>
    </row>
    <row r="38" spans="15:71" x14ac:dyDescent="0.2">
      <c r="O38" t="str">
        <f>IFERROR(INDEX(_courses_lookup!$C:$C,MATCH(K38&amp;L38,_courses_lookup!$E:$E,0)),"")</f>
        <v/>
      </c>
      <c r="P38" t="str">
        <f>IFERROR(INDEX(_courses_lookup!$D:$D,MATCH(K38&amp;L38,_courses_lookup!$E:$E,0)),"")</f>
        <v/>
      </c>
      <c r="AG38" t="str">
        <f t="shared" si="0"/>
        <v/>
      </c>
      <c r="AI38" t="str">
        <f t="shared" si="1"/>
        <v/>
      </c>
      <c r="AL38" t="str">
        <f t="shared" si="2"/>
        <v/>
      </c>
      <c r="AN38" t="str">
        <f t="shared" si="3"/>
        <v/>
      </c>
      <c r="AQ38" t="str">
        <f t="shared" si="4"/>
        <v/>
      </c>
      <c r="AR38" t="str">
        <f t="shared" si="5"/>
        <v/>
      </c>
      <c r="AS38" t="str">
        <f t="shared" si="6"/>
        <v/>
      </c>
      <c r="AT38" t="str">
        <f t="shared" si="7"/>
        <v/>
      </c>
      <c r="BG38" t="str">
        <f t="shared" si="8"/>
        <v/>
      </c>
      <c r="BH38" t="str">
        <f t="shared" si="9"/>
        <v/>
      </c>
      <c r="BL38" t="str">
        <f>IFERROR(INDEX(_names_lookup!$C:$C,MATCH(BK38,_names_lookup!$A:$A,0)),"")</f>
        <v/>
      </c>
      <c r="BM38" t="str">
        <f>IFERROR(INDEX(_names_lookup!$B:$B,MATCH(BK38,_names_lookup!$A:$A,0)),"")</f>
        <v/>
      </c>
      <c r="BS38" t="str">
        <f t="shared" si="10"/>
        <v/>
      </c>
    </row>
    <row r="39" spans="15:71" x14ac:dyDescent="0.2">
      <c r="O39" t="str">
        <f>IFERROR(INDEX(_courses_lookup!$C:$C,MATCH(K39&amp;L39,_courses_lookup!$E:$E,0)),"")</f>
        <v/>
      </c>
      <c r="P39" t="str">
        <f>IFERROR(INDEX(_courses_lookup!$D:$D,MATCH(K39&amp;L39,_courses_lookup!$E:$E,0)),"")</f>
        <v/>
      </c>
      <c r="AG39" t="str">
        <f t="shared" si="0"/>
        <v/>
      </c>
      <c r="AI39" t="str">
        <f t="shared" si="1"/>
        <v/>
      </c>
      <c r="AL39" t="str">
        <f t="shared" si="2"/>
        <v/>
      </c>
      <c r="AN39" t="str">
        <f t="shared" si="3"/>
        <v/>
      </c>
      <c r="AQ39" t="str">
        <f t="shared" si="4"/>
        <v/>
      </c>
      <c r="AR39" t="str">
        <f t="shared" si="5"/>
        <v/>
      </c>
      <c r="AS39" t="str">
        <f t="shared" si="6"/>
        <v/>
      </c>
      <c r="AT39" t="str">
        <f t="shared" si="7"/>
        <v/>
      </c>
      <c r="BG39" t="str">
        <f t="shared" si="8"/>
        <v/>
      </c>
      <c r="BH39" t="str">
        <f t="shared" si="9"/>
        <v/>
      </c>
      <c r="BL39" t="str">
        <f>IFERROR(INDEX(_names_lookup!$C:$C,MATCH(BK39,_names_lookup!$A:$A,0)),"")</f>
        <v/>
      </c>
      <c r="BM39" t="str">
        <f>IFERROR(INDEX(_names_lookup!$B:$B,MATCH(BK39,_names_lookup!$A:$A,0)),"")</f>
        <v/>
      </c>
      <c r="BS39" t="str">
        <f t="shared" si="10"/>
        <v/>
      </c>
    </row>
    <row r="40" spans="15:71" x14ac:dyDescent="0.2">
      <c r="O40" t="str">
        <f>IFERROR(INDEX(_courses_lookup!$C:$C,MATCH(K40&amp;L40,_courses_lookup!$E:$E,0)),"")</f>
        <v/>
      </c>
      <c r="P40" t="str">
        <f>IFERROR(INDEX(_courses_lookup!$D:$D,MATCH(K40&amp;L40,_courses_lookup!$E:$E,0)),"")</f>
        <v/>
      </c>
      <c r="AG40" t="str">
        <f t="shared" si="0"/>
        <v/>
      </c>
      <c r="AI40" t="str">
        <f t="shared" si="1"/>
        <v/>
      </c>
      <c r="AL40" t="str">
        <f t="shared" si="2"/>
        <v/>
      </c>
      <c r="AN40" t="str">
        <f t="shared" si="3"/>
        <v/>
      </c>
      <c r="AQ40" t="str">
        <f t="shared" si="4"/>
        <v/>
      </c>
      <c r="AR40" t="str">
        <f t="shared" si="5"/>
        <v/>
      </c>
      <c r="AS40" t="str">
        <f t="shared" si="6"/>
        <v/>
      </c>
      <c r="AT40" t="str">
        <f t="shared" si="7"/>
        <v/>
      </c>
      <c r="BG40" t="str">
        <f t="shared" si="8"/>
        <v/>
      </c>
      <c r="BH40" t="str">
        <f t="shared" si="9"/>
        <v/>
      </c>
      <c r="BL40" t="str">
        <f>IFERROR(INDEX(_names_lookup!$C:$C,MATCH(BK40,_names_lookup!$A:$A,0)),"")</f>
        <v/>
      </c>
      <c r="BM40" t="str">
        <f>IFERROR(INDEX(_names_lookup!$B:$B,MATCH(BK40,_names_lookup!$A:$A,0)),"")</f>
        <v/>
      </c>
      <c r="BS40" t="str">
        <f t="shared" si="10"/>
        <v/>
      </c>
    </row>
    <row r="41" spans="15:71" x14ac:dyDescent="0.2">
      <c r="O41" t="str">
        <f>IFERROR(INDEX(_courses_lookup!$C:$C,MATCH(K41&amp;L41,_courses_lookup!$E:$E,0)),"")</f>
        <v/>
      </c>
      <c r="P41" t="str">
        <f>IFERROR(INDEX(_courses_lookup!$D:$D,MATCH(K41&amp;L41,_courses_lookup!$E:$E,0)),"")</f>
        <v/>
      </c>
      <c r="AG41" t="str">
        <f t="shared" si="0"/>
        <v/>
      </c>
      <c r="AI41" t="str">
        <f t="shared" si="1"/>
        <v/>
      </c>
      <c r="AL41" t="str">
        <f t="shared" si="2"/>
        <v/>
      </c>
      <c r="AN41" t="str">
        <f t="shared" si="3"/>
        <v/>
      </c>
      <c r="AQ41" t="str">
        <f t="shared" si="4"/>
        <v/>
      </c>
      <c r="AR41" t="str">
        <f t="shared" si="5"/>
        <v/>
      </c>
      <c r="AS41" t="str">
        <f t="shared" si="6"/>
        <v/>
      </c>
      <c r="AT41" t="str">
        <f t="shared" si="7"/>
        <v/>
      </c>
      <c r="BG41" t="str">
        <f t="shared" si="8"/>
        <v/>
      </c>
      <c r="BH41" t="str">
        <f t="shared" si="9"/>
        <v/>
      </c>
      <c r="BL41" t="str">
        <f>IFERROR(INDEX(_names_lookup!$C:$C,MATCH(BK41,_names_lookup!$A:$A,0)),"")</f>
        <v/>
      </c>
      <c r="BM41" t="str">
        <f>IFERROR(INDEX(_names_lookup!$B:$B,MATCH(BK41,_names_lookup!$A:$A,0)),"")</f>
        <v/>
      </c>
      <c r="BS41" t="str">
        <f t="shared" si="10"/>
        <v/>
      </c>
    </row>
    <row r="42" spans="15:71" x14ac:dyDescent="0.2">
      <c r="O42" t="str">
        <f>IFERROR(INDEX(_courses_lookup!$C:$C,MATCH(K42&amp;L42,_courses_lookup!$E:$E,0)),"")</f>
        <v/>
      </c>
      <c r="P42" t="str">
        <f>IFERROR(INDEX(_courses_lookup!$D:$D,MATCH(K42&amp;L42,_courses_lookup!$E:$E,0)),"")</f>
        <v/>
      </c>
      <c r="AG42" t="str">
        <f t="shared" si="0"/>
        <v/>
      </c>
      <c r="AI42" t="str">
        <f t="shared" si="1"/>
        <v/>
      </c>
      <c r="AL42" t="str">
        <f t="shared" si="2"/>
        <v/>
      </c>
      <c r="AN42" t="str">
        <f t="shared" si="3"/>
        <v/>
      </c>
      <c r="AQ42" t="str">
        <f t="shared" si="4"/>
        <v/>
      </c>
      <c r="AR42" t="str">
        <f t="shared" si="5"/>
        <v/>
      </c>
      <c r="AS42" t="str">
        <f t="shared" si="6"/>
        <v/>
      </c>
      <c r="AT42" t="str">
        <f t="shared" si="7"/>
        <v/>
      </c>
      <c r="BG42" t="str">
        <f t="shared" si="8"/>
        <v/>
      </c>
      <c r="BH42" t="str">
        <f t="shared" si="9"/>
        <v/>
      </c>
      <c r="BL42" t="str">
        <f>IFERROR(INDEX(_names_lookup!$C:$C,MATCH(BK42,_names_lookup!$A:$A,0)),"")</f>
        <v/>
      </c>
      <c r="BM42" t="str">
        <f>IFERROR(INDEX(_names_lookup!$B:$B,MATCH(BK42,_names_lookup!$A:$A,0)),"")</f>
        <v/>
      </c>
      <c r="BS42" t="str">
        <f t="shared" si="10"/>
        <v/>
      </c>
    </row>
    <row r="43" spans="15:71" x14ac:dyDescent="0.2">
      <c r="O43" t="str">
        <f>IFERROR(INDEX(_courses_lookup!$C:$C,MATCH(K43&amp;L43,_courses_lookup!$E:$E,0)),"")</f>
        <v/>
      </c>
      <c r="P43" t="str">
        <f>IFERROR(INDEX(_courses_lookup!$D:$D,MATCH(K43&amp;L43,_courses_lookup!$E:$E,0)),"")</f>
        <v/>
      </c>
      <c r="AG43" t="str">
        <f t="shared" si="0"/>
        <v/>
      </c>
      <c r="AI43" t="str">
        <f t="shared" si="1"/>
        <v/>
      </c>
      <c r="AL43" t="str">
        <f t="shared" si="2"/>
        <v/>
      </c>
      <c r="AN43" t="str">
        <f t="shared" si="3"/>
        <v/>
      </c>
      <c r="AQ43" t="str">
        <f t="shared" si="4"/>
        <v/>
      </c>
      <c r="AR43" t="str">
        <f t="shared" si="5"/>
        <v/>
      </c>
      <c r="AS43" t="str">
        <f t="shared" si="6"/>
        <v/>
      </c>
      <c r="AT43" t="str">
        <f t="shared" si="7"/>
        <v/>
      </c>
      <c r="BG43" t="str">
        <f t="shared" si="8"/>
        <v/>
      </c>
      <c r="BH43" t="str">
        <f t="shared" si="9"/>
        <v/>
      </c>
      <c r="BL43" t="str">
        <f>IFERROR(INDEX(_names_lookup!$C:$C,MATCH(BK43,_names_lookup!$A:$A,0)),"")</f>
        <v/>
      </c>
      <c r="BM43" t="str">
        <f>IFERROR(INDEX(_names_lookup!$B:$B,MATCH(BK43,_names_lookup!$A:$A,0)),"")</f>
        <v/>
      </c>
      <c r="BS43" t="str">
        <f t="shared" si="10"/>
        <v/>
      </c>
    </row>
    <row r="44" spans="15:71" x14ac:dyDescent="0.2">
      <c r="O44" t="str">
        <f>IFERROR(INDEX(_courses_lookup!$C:$C,MATCH(K44&amp;L44,_courses_lookup!$E:$E,0)),"")</f>
        <v/>
      </c>
      <c r="P44" t="str">
        <f>IFERROR(INDEX(_courses_lookup!$D:$D,MATCH(K44&amp;L44,_courses_lookup!$E:$E,0)),"")</f>
        <v/>
      </c>
      <c r="AG44" t="str">
        <f t="shared" si="0"/>
        <v/>
      </c>
      <c r="AI44" t="str">
        <f t="shared" si="1"/>
        <v/>
      </c>
      <c r="AL44" t="str">
        <f t="shared" si="2"/>
        <v/>
      </c>
      <c r="AN44" t="str">
        <f t="shared" si="3"/>
        <v/>
      </c>
      <c r="AQ44" t="str">
        <f t="shared" si="4"/>
        <v/>
      </c>
      <c r="AR44" t="str">
        <f t="shared" si="5"/>
        <v/>
      </c>
      <c r="AS44" t="str">
        <f t="shared" si="6"/>
        <v/>
      </c>
      <c r="AT44" t="str">
        <f t="shared" si="7"/>
        <v/>
      </c>
      <c r="BG44" t="str">
        <f t="shared" si="8"/>
        <v/>
      </c>
      <c r="BH44" t="str">
        <f t="shared" si="9"/>
        <v/>
      </c>
      <c r="BL44" t="str">
        <f>IFERROR(INDEX(_names_lookup!$C:$C,MATCH(BK44,_names_lookup!$A:$A,0)),"")</f>
        <v/>
      </c>
      <c r="BM44" t="str">
        <f>IFERROR(INDEX(_names_lookup!$B:$B,MATCH(BK44,_names_lookup!$A:$A,0)),"")</f>
        <v/>
      </c>
      <c r="BS44" t="str">
        <f t="shared" si="10"/>
        <v/>
      </c>
    </row>
    <row r="45" spans="15:71" x14ac:dyDescent="0.2">
      <c r="O45" t="str">
        <f>IFERROR(INDEX(_courses_lookup!$C:$C,MATCH(K45&amp;L45,_courses_lookup!$E:$E,0)),"")</f>
        <v/>
      </c>
      <c r="P45" t="str">
        <f>IFERROR(INDEX(_courses_lookup!$D:$D,MATCH(K45&amp;L45,_courses_lookup!$E:$E,0)),"")</f>
        <v/>
      </c>
      <c r="AG45" t="str">
        <f t="shared" si="0"/>
        <v/>
      </c>
      <c r="AI45" t="str">
        <f t="shared" si="1"/>
        <v/>
      </c>
      <c r="AL45" t="str">
        <f t="shared" si="2"/>
        <v/>
      </c>
      <c r="AN45" t="str">
        <f t="shared" si="3"/>
        <v/>
      </c>
      <c r="AQ45" t="str">
        <f t="shared" si="4"/>
        <v/>
      </c>
      <c r="AR45" t="str">
        <f t="shared" si="5"/>
        <v/>
      </c>
      <c r="AS45" t="str">
        <f t="shared" si="6"/>
        <v/>
      </c>
      <c r="AT45" t="str">
        <f t="shared" si="7"/>
        <v/>
      </c>
      <c r="BG45" t="str">
        <f t="shared" si="8"/>
        <v/>
      </c>
      <c r="BH45" t="str">
        <f t="shared" si="9"/>
        <v/>
      </c>
      <c r="BL45" t="str">
        <f>IFERROR(INDEX(_names_lookup!$C:$C,MATCH(BK45,_names_lookup!$A:$A,0)),"")</f>
        <v/>
      </c>
      <c r="BM45" t="str">
        <f>IFERROR(INDEX(_names_lookup!$B:$B,MATCH(BK45,_names_lookup!$A:$A,0)),"")</f>
        <v/>
      </c>
      <c r="BS45" t="str">
        <f t="shared" si="10"/>
        <v/>
      </c>
    </row>
    <row r="46" spans="15:71" x14ac:dyDescent="0.2">
      <c r="O46" t="str">
        <f>IFERROR(INDEX(_courses_lookup!$C:$C,MATCH(K46&amp;L46,_courses_lookup!$E:$E,0)),"")</f>
        <v/>
      </c>
      <c r="P46" t="str">
        <f>IFERROR(INDEX(_courses_lookup!$D:$D,MATCH(K46&amp;L46,_courses_lookup!$E:$E,0)),"")</f>
        <v/>
      </c>
      <c r="AG46" t="str">
        <f t="shared" si="0"/>
        <v/>
      </c>
      <c r="AI46" t="str">
        <f t="shared" si="1"/>
        <v/>
      </c>
      <c r="AL46" t="str">
        <f t="shared" si="2"/>
        <v/>
      </c>
      <c r="AN46" t="str">
        <f t="shared" si="3"/>
        <v/>
      </c>
      <c r="AQ46" t="str">
        <f t="shared" si="4"/>
        <v/>
      </c>
      <c r="AR46" t="str">
        <f t="shared" si="5"/>
        <v/>
      </c>
      <c r="AS46" t="str">
        <f t="shared" si="6"/>
        <v/>
      </c>
      <c r="AT46" t="str">
        <f t="shared" si="7"/>
        <v/>
      </c>
      <c r="BG46" t="str">
        <f t="shared" si="8"/>
        <v/>
      </c>
      <c r="BH46" t="str">
        <f t="shared" si="9"/>
        <v/>
      </c>
      <c r="BL46" t="str">
        <f>IFERROR(INDEX(_names_lookup!$C:$C,MATCH(BK46,_names_lookup!$A:$A,0)),"")</f>
        <v/>
      </c>
      <c r="BM46" t="str">
        <f>IFERROR(INDEX(_names_lookup!$B:$B,MATCH(BK46,_names_lookup!$A:$A,0)),"")</f>
        <v/>
      </c>
      <c r="BS46" t="str">
        <f t="shared" si="10"/>
        <v/>
      </c>
    </row>
    <row r="47" spans="15:71" x14ac:dyDescent="0.2">
      <c r="O47" t="str">
        <f>IFERROR(INDEX(_courses_lookup!$C:$C,MATCH(K47&amp;L47,_courses_lookup!$E:$E,0)),"")</f>
        <v/>
      </c>
      <c r="P47" t="str">
        <f>IFERROR(INDEX(_courses_lookup!$D:$D,MATCH(K47&amp;L47,_courses_lookup!$E:$E,0)),"")</f>
        <v/>
      </c>
      <c r="AG47" t="str">
        <f t="shared" si="0"/>
        <v/>
      </c>
      <c r="AI47" t="str">
        <f t="shared" si="1"/>
        <v/>
      </c>
      <c r="AL47" t="str">
        <f t="shared" si="2"/>
        <v/>
      </c>
      <c r="AN47" t="str">
        <f t="shared" si="3"/>
        <v/>
      </c>
      <c r="AQ47" t="str">
        <f t="shared" si="4"/>
        <v/>
      </c>
      <c r="AR47" t="str">
        <f t="shared" si="5"/>
        <v/>
      </c>
      <c r="AS47" t="str">
        <f t="shared" si="6"/>
        <v/>
      </c>
      <c r="AT47" t="str">
        <f t="shared" si="7"/>
        <v/>
      </c>
      <c r="BG47" t="str">
        <f t="shared" si="8"/>
        <v/>
      </c>
      <c r="BH47" t="str">
        <f t="shared" si="9"/>
        <v/>
      </c>
      <c r="BL47" t="str">
        <f>IFERROR(INDEX(_names_lookup!$C:$C,MATCH(BK47,_names_lookup!$A:$A,0)),"")</f>
        <v/>
      </c>
      <c r="BM47" t="str">
        <f>IFERROR(INDEX(_names_lookup!$B:$B,MATCH(BK47,_names_lookup!$A:$A,0)),"")</f>
        <v/>
      </c>
      <c r="BS47" t="str">
        <f t="shared" si="10"/>
        <v/>
      </c>
    </row>
    <row r="48" spans="15:71" x14ac:dyDescent="0.2">
      <c r="O48" t="str">
        <f>IFERROR(INDEX(_courses_lookup!$C:$C,MATCH(K48&amp;L48,_courses_lookup!$E:$E,0)),"")</f>
        <v/>
      </c>
      <c r="P48" t="str">
        <f>IFERROR(INDEX(_courses_lookup!$D:$D,MATCH(K48&amp;L48,_courses_lookup!$E:$E,0)),"")</f>
        <v/>
      </c>
      <c r="AG48" t="str">
        <f t="shared" si="0"/>
        <v/>
      </c>
      <c r="AI48" t="str">
        <f t="shared" si="1"/>
        <v/>
      </c>
      <c r="AL48" t="str">
        <f t="shared" si="2"/>
        <v/>
      </c>
      <c r="AN48" t="str">
        <f t="shared" si="3"/>
        <v/>
      </c>
      <c r="AQ48" t="str">
        <f t="shared" si="4"/>
        <v/>
      </c>
      <c r="AR48" t="str">
        <f t="shared" si="5"/>
        <v/>
      </c>
      <c r="AS48" t="str">
        <f t="shared" si="6"/>
        <v/>
      </c>
      <c r="AT48" t="str">
        <f t="shared" si="7"/>
        <v/>
      </c>
      <c r="BG48" t="str">
        <f t="shared" si="8"/>
        <v/>
      </c>
      <c r="BH48" t="str">
        <f t="shared" si="9"/>
        <v/>
      </c>
      <c r="BL48" t="str">
        <f>IFERROR(INDEX(_names_lookup!$C:$C,MATCH(BK48,_names_lookup!$A:$A,0)),"")</f>
        <v/>
      </c>
      <c r="BM48" t="str">
        <f>IFERROR(INDEX(_names_lookup!$B:$B,MATCH(BK48,_names_lookup!$A:$A,0)),"")</f>
        <v/>
      </c>
      <c r="BS48" t="str">
        <f t="shared" si="10"/>
        <v/>
      </c>
    </row>
    <row r="49" spans="15:71" x14ac:dyDescent="0.2">
      <c r="O49" t="str">
        <f>IFERROR(INDEX(_courses_lookup!$C:$C,MATCH(K49&amp;L49,_courses_lookup!$E:$E,0)),"")</f>
        <v/>
      </c>
      <c r="P49" t="str">
        <f>IFERROR(INDEX(_courses_lookup!$D:$D,MATCH(K49&amp;L49,_courses_lookup!$E:$E,0)),"")</f>
        <v/>
      </c>
      <c r="AG49" t="str">
        <f t="shared" si="0"/>
        <v/>
      </c>
      <c r="AI49" t="str">
        <f t="shared" si="1"/>
        <v/>
      </c>
      <c r="AL49" t="str">
        <f t="shared" si="2"/>
        <v/>
      </c>
      <c r="AN49" t="str">
        <f t="shared" si="3"/>
        <v/>
      </c>
      <c r="AQ49" t="str">
        <f t="shared" si="4"/>
        <v/>
      </c>
      <c r="AR49" t="str">
        <f t="shared" si="5"/>
        <v/>
      </c>
      <c r="AS49" t="str">
        <f t="shared" si="6"/>
        <v/>
      </c>
      <c r="AT49" t="str">
        <f t="shared" si="7"/>
        <v/>
      </c>
      <c r="BG49" t="str">
        <f t="shared" si="8"/>
        <v/>
      </c>
      <c r="BH49" t="str">
        <f t="shared" si="9"/>
        <v/>
      </c>
      <c r="BL49" t="str">
        <f>IFERROR(INDEX(_names_lookup!$C:$C,MATCH(BK49,_names_lookup!$A:$A,0)),"")</f>
        <v/>
      </c>
      <c r="BM49" t="str">
        <f>IFERROR(INDEX(_names_lookup!$B:$B,MATCH(BK49,_names_lookup!$A:$A,0)),"")</f>
        <v/>
      </c>
      <c r="BS49" t="str">
        <f t="shared" si="10"/>
        <v/>
      </c>
    </row>
    <row r="50" spans="15:71" x14ac:dyDescent="0.2">
      <c r="O50" t="str">
        <f>IFERROR(INDEX(_courses_lookup!$C:$C,MATCH(K50&amp;L50,_courses_lookup!$E:$E,0)),"")</f>
        <v/>
      </c>
      <c r="P50" t="str">
        <f>IFERROR(INDEX(_courses_lookup!$D:$D,MATCH(K50&amp;L50,_courses_lookup!$E:$E,0)),"")</f>
        <v/>
      </c>
      <c r="AG50" t="str">
        <f t="shared" si="0"/>
        <v/>
      </c>
      <c r="AI50" t="str">
        <f t="shared" si="1"/>
        <v/>
      </c>
      <c r="AL50" t="str">
        <f t="shared" si="2"/>
        <v/>
      </c>
      <c r="AN50" t="str">
        <f t="shared" si="3"/>
        <v/>
      </c>
      <c r="AQ50" t="str">
        <f t="shared" si="4"/>
        <v/>
      </c>
      <c r="AR50" t="str">
        <f t="shared" si="5"/>
        <v/>
      </c>
      <c r="AS50" t="str">
        <f t="shared" si="6"/>
        <v/>
      </c>
      <c r="AT50" t="str">
        <f t="shared" si="7"/>
        <v/>
      </c>
      <c r="BG50" t="str">
        <f t="shared" si="8"/>
        <v/>
      </c>
      <c r="BH50" t="str">
        <f t="shared" si="9"/>
        <v/>
      </c>
      <c r="BL50" t="str">
        <f>IFERROR(INDEX(_names_lookup!$C:$C,MATCH(BK50,_names_lookup!$A:$A,0)),"")</f>
        <v/>
      </c>
      <c r="BM50" t="str">
        <f>IFERROR(INDEX(_names_lookup!$B:$B,MATCH(BK50,_names_lookup!$A:$A,0)),"")</f>
        <v/>
      </c>
      <c r="BS50" t="str">
        <f t="shared" si="10"/>
        <v/>
      </c>
    </row>
    <row r="51" spans="15:71" x14ac:dyDescent="0.2">
      <c r="O51" t="str">
        <f>IFERROR(INDEX(_courses_lookup!$C:$C,MATCH(K51&amp;L51,_courses_lookup!$E:$E,0)),"")</f>
        <v/>
      </c>
      <c r="P51" t="str">
        <f>IFERROR(INDEX(_courses_lookup!$D:$D,MATCH(K51&amp;L51,_courses_lookup!$E:$E,0)),"")</f>
        <v/>
      </c>
      <c r="AG51" t="str">
        <f t="shared" si="0"/>
        <v/>
      </c>
      <c r="AI51" t="str">
        <f t="shared" si="1"/>
        <v/>
      </c>
      <c r="AL51" t="str">
        <f t="shared" si="2"/>
        <v/>
      </c>
      <c r="AN51" t="str">
        <f t="shared" si="3"/>
        <v/>
      </c>
      <c r="AQ51" t="str">
        <f t="shared" si="4"/>
        <v/>
      </c>
      <c r="AR51" t="str">
        <f t="shared" si="5"/>
        <v/>
      </c>
      <c r="AS51" t="str">
        <f t="shared" si="6"/>
        <v/>
      </c>
      <c r="AT51" t="str">
        <f t="shared" si="7"/>
        <v/>
      </c>
      <c r="BG51" t="str">
        <f t="shared" si="8"/>
        <v/>
      </c>
      <c r="BH51" t="str">
        <f t="shared" si="9"/>
        <v/>
      </c>
      <c r="BL51" t="str">
        <f>IFERROR(INDEX(_names_lookup!$C:$C,MATCH(BK51,_names_lookup!$A:$A,0)),"")</f>
        <v/>
      </c>
      <c r="BM51" t="str">
        <f>IFERROR(INDEX(_names_lookup!$B:$B,MATCH(BK51,_names_lookup!$A:$A,0)),"")</f>
        <v/>
      </c>
      <c r="BS51" t="str">
        <f t="shared" si="10"/>
        <v/>
      </c>
    </row>
    <row r="52" spans="15:71" x14ac:dyDescent="0.2">
      <c r="O52" t="str">
        <f>IFERROR(INDEX(_courses_lookup!$C:$C,MATCH(K52&amp;L52,_courses_lookup!$E:$E,0)),"")</f>
        <v/>
      </c>
      <c r="P52" t="str">
        <f>IFERROR(INDEX(_courses_lookup!$D:$D,MATCH(K52&amp;L52,_courses_lookup!$E:$E,0)),"")</f>
        <v/>
      </c>
      <c r="AG52" t="str">
        <f t="shared" si="0"/>
        <v/>
      </c>
      <c r="AI52" t="str">
        <f t="shared" si="1"/>
        <v/>
      </c>
      <c r="AL52" t="str">
        <f t="shared" si="2"/>
        <v/>
      </c>
      <c r="AN52" t="str">
        <f t="shared" si="3"/>
        <v/>
      </c>
      <c r="AQ52" t="str">
        <f t="shared" si="4"/>
        <v/>
      </c>
      <c r="AR52" t="str">
        <f t="shared" si="5"/>
        <v/>
      </c>
      <c r="AS52" t="str">
        <f t="shared" si="6"/>
        <v/>
      </c>
      <c r="AT52" t="str">
        <f t="shared" si="7"/>
        <v/>
      </c>
      <c r="BG52" t="str">
        <f t="shared" si="8"/>
        <v/>
      </c>
      <c r="BH52" t="str">
        <f t="shared" si="9"/>
        <v/>
      </c>
      <c r="BL52" t="str">
        <f>IFERROR(INDEX(_names_lookup!$C:$C,MATCH(BK52,_names_lookup!$A:$A,0)),"")</f>
        <v/>
      </c>
      <c r="BM52" t="str">
        <f>IFERROR(INDEX(_names_lookup!$B:$B,MATCH(BK52,_names_lookup!$A:$A,0)),"")</f>
        <v/>
      </c>
      <c r="BS52" t="str">
        <f t="shared" si="10"/>
        <v/>
      </c>
    </row>
    <row r="53" spans="15:71" x14ac:dyDescent="0.2">
      <c r="O53" t="str">
        <f>IFERROR(INDEX(_courses_lookup!$C:$C,MATCH(K53&amp;L53,_courses_lookup!$E:$E,0)),"")</f>
        <v/>
      </c>
      <c r="P53" t="str">
        <f>IFERROR(INDEX(_courses_lookup!$D:$D,MATCH(K53&amp;L53,_courses_lookup!$E:$E,0)),"")</f>
        <v/>
      </c>
      <c r="AG53" t="str">
        <f t="shared" si="0"/>
        <v/>
      </c>
      <c r="AI53" t="str">
        <f t="shared" si="1"/>
        <v/>
      </c>
      <c r="AL53" t="str">
        <f t="shared" si="2"/>
        <v/>
      </c>
      <c r="AN53" t="str">
        <f t="shared" si="3"/>
        <v/>
      </c>
      <c r="AQ53" t="str">
        <f t="shared" si="4"/>
        <v/>
      </c>
      <c r="AR53" t="str">
        <f t="shared" si="5"/>
        <v/>
      </c>
      <c r="AS53" t="str">
        <f t="shared" si="6"/>
        <v/>
      </c>
      <c r="AT53" t="str">
        <f t="shared" si="7"/>
        <v/>
      </c>
      <c r="BG53" t="str">
        <f t="shared" si="8"/>
        <v/>
      </c>
      <c r="BH53" t="str">
        <f t="shared" si="9"/>
        <v/>
      </c>
      <c r="BL53" t="str">
        <f>IFERROR(INDEX(_names_lookup!$C:$C,MATCH(BK53,_names_lookup!$A:$A,0)),"")</f>
        <v/>
      </c>
      <c r="BM53" t="str">
        <f>IFERROR(INDEX(_names_lookup!$B:$B,MATCH(BK53,_names_lookup!$A:$A,0)),"")</f>
        <v/>
      </c>
      <c r="BS53" t="str">
        <f t="shared" si="10"/>
        <v/>
      </c>
    </row>
    <row r="54" spans="15:71" x14ac:dyDescent="0.2">
      <c r="O54" t="str">
        <f>IFERROR(INDEX(_courses_lookup!$C:$C,MATCH(K54&amp;L54,_courses_lookup!$E:$E,0)),"")</f>
        <v/>
      </c>
      <c r="P54" t="str">
        <f>IFERROR(INDEX(_courses_lookup!$D:$D,MATCH(K54&amp;L54,_courses_lookup!$E:$E,0)),"")</f>
        <v/>
      </c>
      <c r="AG54" t="str">
        <f t="shared" si="0"/>
        <v/>
      </c>
      <c r="AI54" t="str">
        <f t="shared" si="1"/>
        <v/>
      </c>
      <c r="AL54" t="str">
        <f t="shared" si="2"/>
        <v/>
      </c>
      <c r="AN54" t="str">
        <f t="shared" si="3"/>
        <v/>
      </c>
      <c r="AQ54" t="str">
        <f t="shared" si="4"/>
        <v/>
      </c>
      <c r="AR54" t="str">
        <f t="shared" si="5"/>
        <v/>
      </c>
      <c r="AS54" t="str">
        <f t="shared" si="6"/>
        <v/>
      </c>
      <c r="AT54" t="str">
        <f t="shared" si="7"/>
        <v/>
      </c>
      <c r="BG54" t="str">
        <f t="shared" si="8"/>
        <v/>
      </c>
      <c r="BH54" t="str">
        <f t="shared" si="9"/>
        <v/>
      </c>
      <c r="BL54" t="str">
        <f>IFERROR(INDEX(_names_lookup!$C:$C,MATCH(BK54,_names_lookup!$A:$A,0)),"")</f>
        <v/>
      </c>
      <c r="BM54" t="str">
        <f>IFERROR(INDEX(_names_lookup!$B:$B,MATCH(BK54,_names_lookup!$A:$A,0)),"")</f>
        <v/>
      </c>
      <c r="BS54" t="str">
        <f t="shared" si="10"/>
        <v/>
      </c>
    </row>
    <row r="55" spans="15:71" x14ac:dyDescent="0.2">
      <c r="O55" t="str">
        <f>IFERROR(INDEX(_courses_lookup!$C:$C,MATCH(K55&amp;L55,_courses_lookup!$E:$E,0)),"")</f>
        <v/>
      </c>
      <c r="P55" t="str">
        <f>IFERROR(INDEX(_courses_lookup!$D:$D,MATCH(K55&amp;L55,_courses_lookup!$E:$E,0)),"")</f>
        <v/>
      </c>
      <c r="AG55" t="str">
        <f t="shared" si="0"/>
        <v/>
      </c>
      <c r="AI55" t="str">
        <f t="shared" si="1"/>
        <v/>
      </c>
      <c r="AL55" t="str">
        <f t="shared" si="2"/>
        <v/>
      </c>
      <c r="AN55" t="str">
        <f t="shared" si="3"/>
        <v/>
      </c>
      <c r="AQ55" t="str">
        <f t="shared" si="4"/>
        <v/>
      </c>
      <c r="AR55" t="str">
        <f t="shared" si="5"/>
        <v/>
      </c>
      <c r="AS55" t="str">
        <f t="shared" si="6"/>
        <v/>
      </c>
      <c r="AT55" t="str">
        <f t="shared" si="7"/>
        <v/>
      </c>
      <c r="BG55" t="str">
        <f t="shared" si="8"/>
        <v/>
      </c>
      <c r="BH55" t="str">
        <f t="shared" si="9"/>
        <v/>
      </c>
      <c r="BL55" t="str">
        <f>IFERROR(INDEX(_names_lookup!$C:$C,MATCH(BK55,_names_lookup!$A:$A,0)),"")</f>
        <v/>
      </c>
      <c r="BM55" t="str">
        <f>IFERROR(INDEX(_names_lookup!$B:$B,MATCH(BK55,_names_lookup!$A:$A,0)),"")</f>
        <v/>
      </c>
      <c r="BS55" t="str">
        <f t="shared" si="10"/>
        <v/>
      </c>
    </row>
    <row r="56" spans="15:71" x14ac:dyDescent="0.2">
      <c r="O56" t="str">
        <f>IFERROR(INDEX(_courses_lookup!$C:$C,MATCH(K56&amp;L56,_courses_lookup!$E:$E,0)),"")</f>
        <v/>
      </c>
      <c r="P56" t="str">
        <f>IFERROR(INDEX(_courses_lookup!$D:$D,MATCH(K56&amp;L56,_courses_lookup!$E:$E,0)),"")</f>
        <v/>
      </c>
      <c r="AG56" t="str">
        <f t="shared" si="0"/>
        <v/>
      </c>
      <c r="AI56" t="str">
        <f t="shared" si="1"/>
        <v/>
      </c>
      <c r="AL56" t="str">
        <f t="shared" si="2"/>
        <v/>
      </c>
      <c r="AN56" t="str">
        <f t="shared" si="3"/>
        <v/>
      </c>
      <c r="AQ56" t="str">
        <f t="shared" si="4"/>
        <v/>
      </c>
      <c r="AR56" t="str">
        <f t="shared" si="5"/>
        <v/>
      </c>
      <c r="AS56" t="str">
        <f t="shared" si="6"/>
        <v/>
      </c>
      <c r="AT56" t="str">
        <f t="shared" si="7"/>
        <v/>
      </c>
      <c r="BG56" t="str">
        <f t="shared" si="8"/>
        <v/>
      </c>
      <c r="BH56" t="str">
        <f t="shared" si="9"/>
        <v/>
      </c>
      <c r="BL56" t="str">
        <f>IFERROR(INDEX(_names_lookup!$C:$C,MATCH(BK56,_names_lookup!$A:$A,0)),"")</f>
        <v/>
      </c>
      <c r="BM56" t="str">
        <f>IFERROR(INDEX(_names_lookup!$B:$B,MATCH(BK56,_names_lookup!$A:$A,0)),"")</f>
        <v/>
      </c>
      <c r="BS56" t="str">
        <f t="shared" si="10"/>
        <v/>
      </c>
    </row>
    <row r="57" spans="15:71" x14ac:dyDescent="0.2">
      <c r="O57" t="str">
        <f>IFERROR(INDEX(_courses_lookup!$C:$C,MATCH(K57&amp;L57,_courses_lookup!$E:$E,0)),"")</f>
        <v/>
      </c>
      <c r="P57" t="str">
        <f>IFERROR(INDEX(_courses_lookup!$D:$D,MATCH(K57&amp;L57,_courses_lookup!$E:$E,0)),"")</f>
        <v/>
      </c>
      <c r="AG57" t="str">
        <f t="shared" si="0"/>
        <v/>
      </c>
      <c r="AI57" t="str">
        <f t="shared" si="1"/>
        <v/>
      </c>
      <c r="AL57" t="str">
        <f t="shared" si="2"/>
        <v/>
      </c>
      <c r="AN57" t="str">
        <f t="shared" si="3"/>
        <v/>
      </c>
      <c r="AQ57" t="str">
        <f t="shared" si="4"/>
        <v/>
      </c>
      <c r="AR57" t="str">
        <f t="shared" si="5"/>
        <v/>
      </c>
      <c r="AS57" t="str">
        <f t="shared" si="6"/>
        <v/>
      </c>
      <c r="AT57" t="str">
        <f t="shared" si="7"/>
        <v/>
      </c>
      <c r="BG57" t="str">
        <f t="shared" si="8"/>
        <v/>
      </c>
      <c r="BH57" t="str">
        <f t="shared" si="9"/>
        <v/>
      </c>
      <c r="BL57" t="str">
        <f>IFERROR(INDEX(_names_lookup!$C:$C,MATCH(BK57,_names_lookup!$A:$A,0)),"")</f>
        <v/>
      </c>
      <c r="BM57" t="str">
        <f>IFERROR(INDEX(_names_lookup!$B:$B,MATCH(BK57,_names_lookup!$A:$A,0)),"")</f>
        <v/>
      </c>
      <c r="BS57" t="str">
        <f t="shared" si="10"/>
        <v/>
      </c>
    </row>
    <row r="58" spans="15:71" x14ac:dyDescent="0.2">
      <c r="O58" t="str">
        <f>IFERROR(INDEX(_courses_lookup!$C:$C,MATCH(K58&amp;L58,_courses_lookup!$E:$E,0)),"")</f>
        <v/>
      </c>
      <c r="P58" t="str">
        <f>IFERROR(INDEX(_courses_lookup!$D:$D,MATCH(K58&amp;L58,_courses_lookup!$E:$E,0)),"")</f>
        <v/>
      </c>
      <c r="AG58" t="str">
        <f t="shared" si="0"/>
        <v/>
      </c>
      <c r="AI58" t="str">
        <f t="shared" si="1"/>
        <v/>
      </c>
      <c r="AL58" t="str">
        <f t="shared" si="2"/>
        <v/>
      </c>
      <c r="AN58" t="str">
        <f t="shared" si="3"/>
        <v/>
      </c>
      <c r="AQ58" t="str">
        <f t="shared" si="4"/>
        <v/>
      </c>
      <c r="AR58" t="str">
        <f t="shared" si="5"/>
        <v/>
      </c>
      <c r="AS58" t="str">
        <f t="shared" si="6"/>
        <v/>
      </c>
      <c r="AT58" t="str">
        <f t="shared" si="7"/>
        <v/>
      </c>
      <c r="BG58" t="str">
        <f t="shared" si="8"/>
        <v/>
      </c>
      <c r="BH58" t="str">
        <f t="shared" si="9"/>
        <v/>
      </c>
      <c r="BL58" t="str">
        <f>IFERROR(INDEX(_names_lookup!$C:$C,MATCH(BK58,_names_lookup!$A:$A,0)),"")</f>
        <v/>
      </c>
      <c r="BM58" t="str">
        <f>IFERROR(INDEX(_names_lookup!$B:$B,MATCH(BK58,_names_lookup!$A:$A,0)),"")</f>
        <v/>
      </c>
      <c r="BS58" t="str">
        <f t="shared" si="10"/>
        <v/>
      </c>
    </row>
    <row r="59" spans="15:71" x14ac:dyDescent="0.2">
      <c r="O59" t="str">
        <f>IFERROR(INDEX(_courses_lookup!$C:$C,MATCH(K59&amp;L59,_courses_lookup!$E:$E,0)),"")</f>
        <v/>
      </c>
      <c r="P59" t="str">
        <f>IFERROR(INDEX(_courses_lookup!$D:$D,MATCH(K59&amp;L59,_courses_lookup!$E:$E,0)),"")</f>
        <v/>
      </c>
      <c r="AG59" t="str">
        <f t="shared" si="0"/>
        <v/>
      </c>
      <c r="AI59" t="str">
        <f t="shared" si="1"/>
        <v/>
      </c>
      <c r="AL59" t="str">
        <f t="shared" si="2"/>
        <v/>
      </c>
      <c r="AN59" t="str">
        <f t="shared" si="3"/>
        <v/>
      </c>
      <c r="AQ59" t="str">
        <f t="shared" si="4"/>
        <v/>
      </c>
      <c r="AR59" t="str">
        <f t="shared" si="5"/>
        <v/>
      </c>
      <c r="AS59" t="str">
        <f t="shared" si="6"/>
        <v/>
      </c>
      <c r="AT59" t="str">
        <f t="shared" si="7"/>
        <v/>
      </c>
      <c r="BG59" t="str">
        <f t="shared" si="8"/>
        <v/>
      </c>
      <c r="BH59" t="str">
        <f t="shared" si="9"/>
        <v/>
      </c>
      <c r="BL59" t="str">
        <f>IFERROR(INDEX(_names_lookup!$C:$C,MATCH(BK59,_names_lookup!$A:$A,0)),"")</f>
        <v/>
      </c>
      <c r="BM59" t="str">
        <f>IFERROR(INDEX(_names_lookup!$B:$B,MATCH(BK59,_names_lookup!$A:$A,0)),"")</f>
        <v/>
      </c>
      <c r="BS59" t="str">
        <f t="shared" si="10"/>
        <v/>
      </c>
    </row>
    <row r="60" spans="15:71" x14ac:dyDescent="0.2">
      <c r="O60" t="str">
        <f>IFERROR(INDEX(_courses_lookup!$C:$C,MATCH(K60&amp;L60,_courses_lookup!$E:$E,0)),"")</f>
        <v/>
      </c>
      <c r="P60" t="str">
        <f>IFERROR(INDEX(_courses_lookup!$D:$D,MATCH(K60&amp;L60,_courses_lookup!$E:$E,0)),"")</f>
        <v/>
      </c>
      <c r="AG60" t="str">
        <f t="shared" si="0"/>
        <v/>
      </c>
      <c r="AI60" t="str">
        <f t="shared" si="1"/>
        <v/>
      </c>
      <c r="AL60" t="str">
        <f t="shared" si="2"/>
        <v/>
      </c>
      <c r="AN60" t="str">
        <f t="shared" si="3"/>
        <v/>
      </c>
      <c r="AQ60" t="str">
        <f t="shared" si="4"/>
        <v/>
      </c>
      <c r="AR60" t="str">
        <f t="shared" si="5"/>
        <v/>
      </c>
      <c r="AS60" t="str">
        <f t="shared" si="6"/>
        <v/>
      </c>
      <c r="AT60" t="str">
        <f t="shared" si="7"/>
        <v/>
      </c>
      <c r="BG60" t="str">
        <f t="shared" si="8"/>
        <v/>
      </c>
      <c r="BH60" t="str">
        <f t="shared" si="9"/>
        <v/>
      </c>
      <c r="BL60" t="str">
        <f>IFERROR(INDEX(_names_lookup!$C:$C,MATCH(BK60,_names_lookup!$A:$A,0)),"")</f>
        <v/>
      </c>
      <c r="BM60" t="str">
        <f>IFERROR(INDEX(_names_lookup!$B:$B,MATCH(BK60,_names_lookup!$A:$A,0)),"")</f>
        <v/>
      </c>
      <c r="BS60" t="str">
        <f t="shared" si="10"/>
        <v/>
      </c>
    </row>
    <row r="61" spans="15:71" x14ac:dyDescent="0.2">
      <c r="O61" t="str">
        <f>IFERROR(INDEX(_courses_lookup!$C:$C,MATCH(K61&amp;L61,_courses_lookup!$E:$E,0)),"")</f>
        <v/>
      </c>
      <c r="P61" t="str">
        <f>IFERROR(INDEX(_courses_lookup!$D:$D,MATCH(K61&amp;L61,_courses_lookup!$E:$E,0)),"")</f>
        <v/>
      </c>
      <c r="AG61" t="str">
        <f t="shared" si="0"/>
        <v/>
      </c>
      <c r="AI61" t="str">
        <f t="shared" si="1"/>
        <v/>
      </c>
      <c r="AL61" t="str">
        <f t="shared" si="2"/>
        <v/>
      </c>
      <c r="AN61" t="str">
        <f t="shared" si="3"/>
        <v/>
      </c>
      <c r="AQ61" t="str">
        <f t="shared" si="4"/>
        <v/>
      </c>
      <c r="AR61" t="str">
        <f t="shared" si="5"/>
        <v/>
      </c>
      <c r="AS61" t="str">
        <f t="shared" si="6"/>
        <v/>
      </c>
      <c r="AT61" t="str">
        <f t="shared" si="7"/>
        <v/>
      </c>
      <c r="BG61" t="str">
        <f t="shared" si="8"/>
        <v/>
      </c>
      <c r="BH61" t="str">
        <f t="shared" si="9"/>
        <v/>
      </c>
      <c r="BL61" t="str">
        <f>IFERROR(INDEX(_names_lookup!$C:$C,MATCH(BK61,_names_lookup!$A:$A,0)),"")</f>
        <v/>
      </c>
      <c r="BM61" t="str">
        <f>IFERROR(INDEX(_names_lookup!$B:$B,MATCH(BK61,_names_lookup!$A:$A,0)),"")</f>
        <v/>
      </c>
      <c r="BS61" t="str">
        <f t="shared" si="10"/>
        <v/>
      </c>
    </row>
    <row r="62" spans="15:71" x14ac:dyDescent="0.2">
      <c r="O62" t="str">
        <f>IFERROR(INDEX(_courses_lookup!$C:$C,MATCH(K62&amp;L62,_courses_lookup!$E:$E,0)),"")</f>
        <v/>
      </c>
      <c r="P62" t="str">
        <f>IFERROR(INDEX(_courses_lookup!$D:$D,MATCH(K62&amp;L62,_courses_lookup!$E:$E,0)),"")</f>
        <v/>
      </c>
      <c r="AG62" t="str">
        <f t="shared" si="0"/>
        <v/>
      </c>
      <c r="AI62" t="str">
        <f t="shared" si="1"/>
        <v/>
      </c>
      <c r="AL62" t="str">
        <f t="shared" si="2"/>
        <v/>
      </c>
      <c r="AN62" t="str">
        <f t="shared" si="3"/>
        <v/>
      </c>
      <c r="AQ62" t="str">
        <f t="shared" si="4"/>
        <v/>
      </c>
      <c r="AR62" t="str">
        <f t="shared" si="5"/>
        <v/>
      </c>
      <c r="AS62" t="str">
        <f t="shared" si="6"/>
        <v/>
      </c>
      <c r="AT62" t="str">
        <f t="shared" si="7"/>
        <v/>
      </c>
      <c r="BG62" t="str">
        <f t="shared" si="8"/>
        <v/>
      </c>
      <c r="BH62" t="str">
        <f t="shared" si="9"/>
        <v/>
      </c>
      <c r="BL62" t="str">
        <f>IFERROR(INDEX(_names_lookup!$C:$C,MATCH(BK62,_names_lookup!$A:$A,0)),"")</f>
        <v/>
      </c>
      <c r="BM62" t="str">
        <f>IFERROR(INDEX(_names_lookup!$B:$B,MATCH(BK62,_names_lookup!$A:$A,0)),"")</f>
        <v/>
      </c>
      <c r="BS62" t="str">
        <f t="shared" si="10"/>
        <v/>
      </c>
    </row>
    <row r="63" spans="15:71" x14ac:dyDescent="0.2">
      <c r="O63" t="str">
        <f>IFERROR(INDEX(_courses_lookup!$C:$C,MATCH(K63&amp;L63,_courses_lookup!$E:$E,0)),"")</f>
        <v/>
      </c>
      <c r="P63" t="str">
        <f>IFERROR(INDEX(_courses_lookup!$D:$D,MATCH(K63&amp;L63,_courses_lookup!$E:$E,0)),"")</f>
        <v/>
      </c>
      <c r="AG63" t="str">
        <f t="shared" si="0"/>
        <v/>
      </c>
      <c r="AI63" t="str">
        <f t="shared" si="1"/>
        <v/>
      </c>
      <c r="AL63" t="str">
        <f t="shared" si="2"/>
        <v/>
      </c>
      <c r="AN63" t="str">
        <f t="shared" si="3"/>
        <v/>
      </c>
      <c r="AQ63" t="str">
        <f t="shared" si="4"/>
        <v/>
      </c>
      <c r="AR63" t="str">
        <f t="shared" si="5"/>
        <v/>
      </c>
      <c r="AS63" t="str">
        <f t="shared" si="6"/>
        <v/>
      </c>
      <c r="AT63" t="str">
        <f t="shared" si="7"/>
        <v/>
      </c>
      <c r="BG63" t="str">
        <f t="shared" si="8"/>
        <v/>
      </c>
      <c r="BH63" t="str">
        <f t="shared" si="9"/>
        <v/>
      </c>
      <c r="BL63" t="str">
        <f>IFERROR(INDEX(_names_lookup!$C:$C,MATCH(BK63,_names_lookup!$A:$A,0)),"")</f>
        <v/>
      </c>
      <c r="BM63" t="str">
        <f>IFERROR(INDEX(_names_lookup!$B:$B,MATCH(BK63,_names_lookup!$A:$A,0)),"")</f>
        <v/>
      </c>
      <c r="BS63" t="str">
        <f t="shared" si="10"/>
        <v/>
      </c>
    </row>
    <row r="64" spans="15:71" x14ac:dyDescent="0.2">
      <c r="O64" t="str">
        <f>IFERROR(INDEX(_courses_lookup!$C:$C,MATCH(K64&amp;L64,_courses_lookup!$E:$E,0)),"")</f>
        <v/>
      </c>
      <c r="P64" t="str">
        <f>IFERROR(INDEX(_courses_lookup!$D:$D,MATCH(K64&amp;L64,_courses_lookup!$E:$E,0)),"")</f>
        <v/>
      </c>
      <c r="AG64" t="str">
        <f t="shared" si="0"/>
        <v/>
      </c>
      <c r="AI64" t="str">
        <f t="shared" si="1"/>
        <v/>
      </c>
      <c r="AL64" t="str">
        <f t="shared" si="2"/>
        <v/>
      </c>
      <c r="AN64" t="str">
        <f t="shared" si="3"/>
        <v/>
      </c>
      <c r="AQ64" t="str">
        <f t="shared" si="4"/>
        <v/>
      </c>
      <c r="AR64" t="str">
        <f t="shared" si="5"/>
        <v/>
      </c>
      <c r="AS64" t="str">
        <f t="shared" si="6"/>
        <v/>
      </c>
      <c r="AT64" t="str">
        <f t="shared" si="7"/>
        <v/>
      </c>
      <c r="BG64" t="str">
        <f t="shared" si="8"/>
        <v/>
      </c>
      <c r="BH64" t="str">
        <f t="shared" si="9"/>
        <v/>
      </c>
      <c r="BL64" t="str">
        <f>IFERROR(INDEX(_names_lookup!$C:$C,MATCH(BK64,_names_lookup!$A:$A,0)),"")</f>
        <v/>
      </c>
      <c r="BM64" t="str">
        <f>IFERROR(INDEX(_names_lookup!$B:$B,MATCH(BK64,_names_lookup!$A:$A,0)),"")</f>
        <v/>
      </c>
      <c r="BS64" t="str">
        <f t="shared" si="10"/>
        <v/>
      </c>
    </row>
    <row r="65" spans="15:71" x14ac:dyDescent="0.2">
      <c r="O65" t="str">
        <f>IFERROR(INDEX(_courses_lookup!$C:$C,MATCH(K65&amp;L65,_courses_lookup!$E:$E,0)),"")</f>
        <v/>
      </c>
      <c r="P65" t="str">
        <f>IFERROR(INDEX(_courses_lookup!$D:$D,MATCH(K65&amp;L65,_courses_lookup!$E:$E,0)),"")</f>
        <v/>
      </c>
      <c r="AG65" t="str">
        <f t="shared" si="0"/>
        <v/>
      </c>
      <c r="AI65" t="str">
        <f t="shared" si="1"/>
        <v/>
      </c>
      <c r="AL65" t="str">
        <f t="shared" si="2"/>
        <v/>
      </c>
      <c r="AN65" t="str">
        <f t="shared" si="3"/>
        <v/>
      </c>
      <c r="AQ65" t="str">
        <f t="shared" si="4"/>
        <v/>
      </c>
      <c r="AR65" t="str">
        <f t="shared" si="5"/>
        <v/>
      </c>
      <c r="AS65" t="str">
        <f t="shared" si="6"/>
        <v/>
      </c>
      <c r="AT65" t="str">
        <f t="shared" si="7"/>
        <v/>
      </c>
      <c r="BG65" t="str">
        <f t="shared" si="8"/>
        <v/>
      </c>
      <c r="BH65" t="str">
        <f t="shared" si="9"/>
        <v/>
      </c>
      <c r="BL65" t="str">
        <f>IFERROR(INDEX(_names_lookup!$C:$C,MATCH(BK65,_names_lookup!$A:$A,0)),"")</f>
        <v/>
      </c>
      <c r="BM65" t="str">
        <f>IFERROR(INDEX(_names_lookup!$B:$B,MATCH(BK65,_names_lookup!$A:$A,0)),"")</f>
        <v/>
      </c>
      <c r="BS65" t="str">
        <f t="shared" si="10"/>
        <v/>
      </c>
    </row>
    <row r="66" spans="15:71" x14ac:dyDescent="0.2">
      <c r="O66" t="str">
        <f>IFERROR(INDEX(_courses_lookup!$C:$C,MATCH(K66&amp;L66,_courses_lookup!$E:$E,0)),"")</f>
        <v/>
      </c>
      <c r="P66" t="str">
        <f>IFERROR(INDEX(_courses_lookup!$D:$D,MATCH(K66&amp;L66,_courses_lookup!$E:$E,0)),"")</f>
        <v/>
      </c>
      <c r="AG66" t="str">
        <f t="shared" ref="AG66:AG129" si="11">IF(AND(AE66&lt;&gt;"",AF66&lt;&gt;""),ROUNDUP((AF66-AE66)/7,0),"")</f>
        <v/>
      </c>
      <c r="AI66" t="str">
        <f t="shared" ref="AI66:AI129" si="12">IFERROR(IF(AG66*AH66=0,"",AG66*AH66),"")</f>
        <v/>
      </c>
      <c r="AL66" t="str">
        <f t="shared" ref="AL66:AL129" si="13">IF(AND(AJ66&lt;&gt;"",AK66&lt;&gt;""),ROUNDUP((AK66-AJ66)/7,0),"")</f>
        <v/>
      </c>
      <c r="AN66" t="str">
        <f t="shared" ref="AN66:AN129" si="14">IFERROR(IF(AL66*AM66=0,"",AL66*AM66),"")</f>
        <v/>
      </c>
      <c r="AQ66" t="str">
        <f t="shared" ref="AQ66:AQ129" si="15">IF(AND(AO66&lt;&gt;"",AP66&lt;&gt;""),ROUNDUP((AP66-AO66)/7,0),"")</f>
        <v/>
      </c>
      <c r="AR66" t="str">
        <f t="shared" ref="AR66:AR129" si="16">IFERROR(IF((AU66-(AI66+AN66))/AQ66=0,"",ROUNDUP((AU66-(AI66+AN66))/AQ66,0)),"")</f>
        <v/>
      </c>
      <c r="AS66" t="str">
        <f t="shared" ref="AS66:AS129" si="17">IFERROR(IF((AU66-(AI66+AN66))=0,"",(AU66-(AI66+AN66))),"")</f>
        <v/>
      </c>
      <c r="AT66" t="str">
        <f t="shared" ref="AT66:AT129" si="18">IF(AND(AG66="",AQ66=""),AL66,IF(SUM(AG66,AL66,AQ66)=0,"",SUM(AG66,AL66,AQ66)))</f>
        <v/>
      </c>
      <c r="BG66" t="str">
        <f t="shared" ref="BG66:BG129" si="19">IF(AD66="","",YEAR(AD66)+IF(MONTH(AD66)&gt;=5,1,0))</f>
        <v/>
      </c>
      <c r="BH66" t="str">
        <f t="shared" ref="BH66:BH129" si="20">IF(AD66="","",IF(AND(MONTH(AD66)=8,DAY(AD66)&gt;=15),"Fall",IF(MONTH(AD66)&gt;8,"Fall",IF(MONTH(AD66)=5,"Summer",IF(MONTH(AD66)=1,"Spring","")))))</f>
        <v/>
      </c>
      <c r="BL66" t="str">
        <f>IFERROR(INDEX(_names_lookup!$C:$C,MATCH(BK66,_names_lookup!$A:$A,0)),"")</f>
        <v/>
      </c>
      <c r="BM66" t="str">
        <f>IFERROR(INDEX(_names_lookup!$B:$B,MATCH(BK66,_names_lookup!$A:$A,0)),"")</f>
        <v/>
      </c>
      <c r="BS66" t="str">
        <f t="shared" ref="BS66:BS129" si="21">IFERROR(IF(BR66*AA66=0,"",BR66*AA66),"")</f>
        <v/>
      </c>
    </row>
    <row r="67" spans="15:71" x14ac:dyDescent="0.2">
      <c r="O67" t="str">
        <f>IFERROR(INDEX(_courses_lookup!$C:$C,MATCH(K67&amp;L67,_courses_lookup!$E:$E,0)),"")</f>
        <v/>
      </c>
      <c r="P67" t="str">
        <f>IFERROR(INDEX(_courses_lookup!$D:$D,MATCH(K67&amp;L67,_courses_lookup!$E:$E,0)),"")</f>
        <v/>
      </c>
      <c r="AG67" t="str">
        <f t="shared" si="11"/>
        <v/>
      </c>
      <c r="AI67" t="str">
        <f t="shared" si="12"/>
        <v/>
      </c>
      <c r="AL67" t="str">
        <f t="shared" si="13"/>
        <v/>
      </c>
      <c r="AN67" t="str">
        <f t="shared" si="14"/>
        <v/>
      </c>
      <c r="AQ67" t="str">
        <f t="shared" si="15"/>
        <v/>
      </c>
      <c r="AR67" t="str">
        <f t="shared" si="16"/>
        <v/>
      </c>
      <c r="AS67" t="str">
        <f t="shared" si="17"/>
        <v/>
      </c>
      <c r="AT67" t="str">
        <f t="shared" si="18"/>
        <v/>
      </c>
      <c r="BG67" t="str">
        <f t="shared" si="19"/>
        <v/>
      </c>
      <c r="BH67" t="str">
        <f t="shared" si="20"/>
        <v/>
      </c>
      <c r="BL67" t="str">
        <f>IFERROR(INDEX(_names_lookup!$C:$C,MATCH(BK67,_names_lookup!$A:$A,0)),"")</f>
        <v/>
      </c>
      <c r="BM67" t="str">
        <f>IFERROR(INDEX(_names_lookup!$B:$B,MATCH(BK67,_names_lookup!$A:$A,0)),"")</f>
        <v/>
      </c>
      <c r="BS67" t="str">
        <f t="shared" si="21"/>
        <v/>
      </c>
    </row>
    <row r="68" spans="15:71" x14ac:dyDescent="0.2">
      <c r="O68" t="str">
        <f>IFERROR(INDEX(_courses_lookup!$C:$C,MATCH(K68&amp;L68,_courses_lookup!$E:$E,0)),"")</f>
        <v/>
      </c>
      <c r="P68" t="str">
        <f>IFERROR(INDEX(_courses_lookup!$D:$D,MATCH(K68&amp;L68,_courses_lookup!$E:$E,0)),"")</f>
        <v/>
      </c>
      <c r="AG68" t="str">
        <f t="shared" si="11"/>
        <v/>
      </c>
      <c r="AI68" t="str">
        <f t="shared" si="12"/>
        <v/>
      </c>
      <c r="AL68" t="str">
        <f t="shared" si="13"/>
        <v/>
      </c>
      <c r="AN68" t="str">
        <f t="shared" si="14"/>
        <v/>
      </c>
      <c r="AQ68" t="str">
        <f t="shared" si="15"/>
        <v/>
      </c>
      <c r="AR68" t="str">
        <f t="shared" si="16"/>
        <v/>
      </c>
      <c r="AS68" t="str">
        <f t="shared" si="17"/>
        <v/>
      </c>
      <c r="AT68" t="str">
        <f t="shared" si="18"/>
        <v/>
      </c>
      <c r="BG68" t="str">
        <f t="shared" si="19"/>
        <v/>
      </c>
      <c r="BH68" t="str">
        <f t="shared" si="20"/>
        <v/>
      </c>
      <c r="BL68" t="str">
        <f>IFERROR(INDEX(_names_lookup!$C:$C,MATCH(BK68,_names_lookup!$A:$A,0)),"")</f>
        <v/>
      </c>
      <c r="BM68" t="str">
        <f>IFERROR(INDEX(_names_lookup!$B:$B,MATCH(BK68,_names_lookup!$A:$A,0)),"")</f>
        <v/>
      </c>
      <c r="BS68" t="str">
        <f t="shared" si="21"/>
        <v/>
      </c>
    </row>
    <row r="69" spans="15:71" x14ac:dyDescent="0.2">
      <c r="O69" t="str">
        <f>IFERROR(INDEX(_courses_lookup!$C:$C,MATCH(K69&amp;L69,_courses_lookup!$E:$E,0)),"")</f>
        <v/>
      </c>
      <c r="P69" t="str">
        <f>IFERROR(INDEX(_courses_lookup!$D:$D,MATCH(K69&amp;L69,_courses_lookup!$E:$E,0)),"")</f>
        <v/>
      </c>
      <c r="AG69" t="str">
        <f t="shared" si="11"/>
        <v/>
      </c>
      <c r="AI69" t="str">
        <f t="shared" si="12"/>
        <v/>
      </c>
      <c r="AL69" t="str">
        <f t="shared" si="13"/>
        <v/>
      </c>
      <c r="AN69" t="str">
        <f t="shared" si="14"/>
        <v/>
      </c>
      <c r="AQ69" t="str">
        <f t="shared" si="15"/>
        <v/>
      </c>
      <c r="AR69" t="str">
        <f t="shared" si="16"/>
        <v/>
      </c>
      <c r="AS69" t="str">
        <f t="shared" si="17"/>
        <v/>
      </c>
      <c r="AT69" t="str">
        <f t="shared" si="18"/>
        <v/>
      </c>
      <c r="BG69" t="str">
        <f t="shared" si="19"/>
        <v/>
      </c>
      <c r="BH69" t="str">
        <f t="shared" si="20"/>
        <v/>
      </c>
      <c r="BL69" t="str">
        <f>IFERROR(INDEX(_names_lookup!$C:$C,MATCH(BK69,_names_lookup!$A:$A,0)),"")</f>
        <v/>
      </c>
      <c r="BM69" t="str">
        <f>IFERROR(INDEX(_names_lookup!$B:$B,MATCH(BK69,_names_lookup!$A:$A,0)),"")</f>
        <v/>
      </c>
      <c r="BS69" t="str">
        <f t="shared" si="21"/>
        <v/>
      </c>
    </row>
    <row r="70" spans="15:71" x14ac:dyDescent="0.2">
      <c r="O70" t="str">
        <f>IFERROR(INDEX(_courses_lookup!$C:$C,MATCH(K70&amp;L70,_courses_lookup!$E:$E,0)),"")</f>
        <v/>
      </c>
      <c r="P70" t="str">
        <f>IFERROR(INDEX(_courses_lookup!$D:$D,MATCH(K70&amp;L70,_courses_lookup!$E:$E,0)),"")</f>
        <v/>
      </c>
      <c r="AG70" t="str">
        <f t="shared" si="11"/>
        <v/>
      </c>
      <c r="AI70" t="str">
        <f t="shared" si="12"/>
        <v/>
      </c>
      <c r="AL70" t="str">
        <f t="shared" si="13"/>
        <v/>
      </c>
      <c r="AN70" t="str">
        <f t="shared" si="14"/>
        <v/>
      </c>
      <c r="AQ70" t="str">
        <f t="shared" si="15"/>
        <v/>
      </c>
      <c r="AR70" t="str">
        <f t="shared" si="16"/>
        <v/>
      </c>
      <c r="AS70" t="str">
        <f t="shared" si="17"/>
        <v/>
      </c>
      <c r="AT70" t="str">
        <f t="shared" si="18"/>
        <v/>
      </c>
      <c r="BG70" t="str">
        <f t="shared" si="19"/>
        <v/>
      </c>
      <c r="BH70" t="str">
        <f t="shared" si="20"/>
        <v/>
      </c>
      <c r="BL70" t="str">
        <f>IFERROR(INDEX(_names_lookup!$C:$C,MATCH(BK70,_names_lookup!$A:$A,0)),"")</f>
        <v/>
      </c>
      <c r="BM70" t="str">
        <f>IFERROR(INDEX(_names_lookup!$B:$B,MATCH(BK70,_names_lookup!$A:$A,0)),"")</f>
        <v/>
      </c>
      <c r="BS70" t="str">
        <f t="shared" si="21"/>
        <v/>
      </c>
    </row>
    <row r="71" spans="15:71" x14ac:dyDescent="0.2">
      <c r="O71" t="str">
        <f>IFERROR(INDEX(_courses_lookup!$C:$C,MATCH(K71&amp;L71,_courses_lookup!$E:$E,0)),"")</f>
        <v/>
      </c>
      <c r="P71" t="str">
        <f>IFERROR(INDEX(_courses_lookup!$D:$D,MATCH(K71&amp;L71,_courses_lookup!$E:$E,0)),"")</f>
        <v/>
      </c>
      <c r="AG71" t="str">
        <f t="shared" si="11"/>
        <v/>
      </c>
      <c r="AI71" t="str">
        <f t="shared" si="12"/>
        <v/>
      </c>
      <c r="AL71" t="str">
        <f t="shared" si="13"/>
        <v/>
      </c>
      <c r="AN71" t="str">
        <f t="shared" si="14"/>
        <v/>
      </c>
      <c r="AQ71" t="str">
        <f t="shared" si="15"/>
        <v/>
      </c>
      <c r="AR71" t="str">
        <f t="shared" si="16"/>
        <v/>
      </c>
      <c r="AS71" t="str">
        <f t="shared" si="17"/>
        <v/>
      </c>
      <c r="AT71" t="str">
        <f t="shared" si="18"/>
        <v/>
      </c>
      <c r="BG71" t="str">
        <f t="shared" si="19"/>
        <v/>
      </c>
      <c r="BH71" t="str">
        <f t="shared" si="20"/>
        <v/>
      </c>
      <c r="BL71" t="str">
        <f>IFERROR(INDEX(_names_lookup!$C:$C,MATCH(BK71,_names_lookup!$A:$A,0)),"")</f>
        <v/>
      </c>
      <c r="BM71" t="str">
        <f>IFERROR(INDEX(_names_lookup!$B:$B,MATCH(BK71,_names_lookup!$A:$A,0)),"")</f>
        <v/>
      </c>
      <c r="BS71" t="str">
        <f t="shared" si="21"/>
        <v/>
      </c>
    </row>
    <row r="72" spans="15:71" x14ac:dyDescent="0.2">
      <c r="O72" t="str">
        <f>IFERROR(INDEX(_courses_lookup!$C:$C,MATCH(K72&amp;L72,_courses_lookup!$E:$E,0)),"")</f>
        <v/>
      </c>
      <c r="P72" t="str">
        <f>IFERROR(INDEX(_courses_lookup!$D:$D,MATCH(K72&amp;L72,_courses_lookup!$E:$E,0)),"")</f>
        <v/>
      </c>
      <c r="AG72" t="str">
        <f t="shared" si="11"/>
        <v/>
      </c>
      <c r="AI72" t="str">
        <f t="shared" si="12"/>
        <v/>
      </c>
      <c r="AL72" t="str">
        <f t="shared" si="13"/>
        <v/>
      </c>
      <c r="AN72" t="str">
        <f t="shared" si="14"/>
        <v/>
      </c>
      <c r="AQ72" t="str">
        <f t="shared" si="15"/>
        <v/>
      </c>
      <c r="AR72" t="str">
        <f t="shared" si="16"/>
        <v/>
      </c>
      <c r="AS72" t="str">
        <f t="shared" si="17"/>
        <v/>
      </c>
      <c r="AT72" t="str">
        <f t="shared" si="18"/>
        <v/>
      </c>
      <c r="BG72" t="str">
        <f t="shared" si="19"/>
        <v/>
      </c>
      <c r="BH72" t="str">
        <f t="shared" si="20"/>
        <v/>
      </c>
      <c r="BL72" t="str">
        <f>IFERROR(INDEX(_names_lookup!$C:$C,MATCH(BK72,_names_lookup!$A:$A,0)),"")</f>
        <v/>
      </c>
      <c r="BM72" t="str">
        <f>IFERROR(INDEX(_names_lookup!$B:$B,MATCH(BK72,_names_lookup!$A:$A,0)),"")</f>
        <v/>
      </c>
      <c r="BS72" t="str">
        <f t="shared" si="21"/>
        <v/>
      </c>
    </row>
    <row r="73" spans="15:71" x14ac:dyDescent="0.2">
      <c r="O73" t="str">
        <f>IFERROR(INDEX(_courses_lookup!$C:$C,MATCH(K73&amp;L73,_courses_lookup!$E:$E,0)),"")</f>
        <v/>
      </c>
      <c r="P73" t="str">
        <f>IFERROR(INDEX(_courses_lookup!$D:$D,MATCH(K73&amp;L73,_courses_lookup!$E:$E,0)),"")</f>
        <v/>
      </c>
      <c r="AG73" t="str">
        <f t="shared" si="11"/>
        <v/>
      </c>
      <c r="AI73" t="str">
        <f t="shared" si="12"/>
        <v/>
      </c>
      <c r="AL73" t="str">
        <f t="shared" si="13"/>
        <v/>
      </c>
      <c r="AN73" t="str">
        <f t="shared" si="14"/>
        <v/>
      </c>
      <c r="AQ73" t="str">
        <f t="shared" si="15"/>
        <v/>
      </c>
      <c r="AR73" t="str">
        <f t="shared" si="16"/>
        <v/>
      </c>
      <c r="AS73" t="str">
        <f t="shared" si="17"/>
        <v/>
      </c>
      <c r="AT73" t="str">
        <f t="shared" si="18"/>
        <v/>
      </c>
      <c r="BG73" t="str">
        <f t="shared" si="19"/>
        <v/>
      </c>
      <c r="BH73" t="str">
        <f t="shared" si="20"/>
        <v/>
      </c>
      <c r="BL73" t="str">
        <f>IFERROR(INDEX(_names_lookup!$C:$C,MATCH(BK73,_names_lookup!$A:$A,0)),"")</f>
        <v/>
      </c>
      <c r="BM73" t="str">
        <f>IFERROR(INDEX(_names_lookup!$B:$B,MATCH(BK73,_names_lookup!$A:$A,0)),"")</f>
        <v/>
      </c>
      <c r="BS73" t="str">
        <f t="shared" si="21"/>
        <v/>
      </c>
    </row>
    <row r="74" spans="15:71" x14ac:dyDescent="0.2">
      <c r="O74" t="str">
        <f>IFERROR(INDEX(_courses_lookup!$C:$C,MATCH(K74&amp;L74,_courses_lookup!$E:$E,0)),"")</f>
        <v/>
      </c>
      <c r="P74" t="str">
        <f>IFERROR(INDEX(_courses_lookup!$D:$D,MATCH(K74&amp;L74,_courses_lookup!$E:$E,0)),"")</f>
        <v/>
      </c>
      <c r="AG74" t="str">
        <f t="shared" si="11"/>
        <v/>
      </c>
      <c r="AI74" t="str">
        <f t="shared" si="12"/>
        <v/>
      </c>
      <c r="AL74" t="str">
        <f t="shared" si="13"/>
        <v/>
      </c>
      <c r="AN74" t="str">
        <f t="shared" si="14"/>
        <v/>
      </c>
      <c r="AQ74" t="str">
        <f t="shared" si="15"/>
        <v/>
      </c>
      <c r="AR74" t="str">
        <f t="shared" si="16"/>
        <v/>
      </c>
      <c r="AS74" t="str">
        <f t="shared" si="17"/>
        <v/>
      </c>
      <c r="AT74" t="str">
        <f t="shared" si="18"/>
        <v/>
      </c>
      <c r="BG74" t="str">
        <f t="shared" si="19"/>
        <v/>
      </c>
      <c r="BH74" t="str">
        <f t="shared" si="20"/>
        <v/>
      </c>
      <c r="BL74" t="str">
        <f>IFERROR(INDEX(_names_lookup!$C:$C,MATCH(BK74,_names_lookup!$A:$A,0)),"")</f>
        <v/>
      </c>
      <c r="BM74" t="str">
        <f>IFERROR(INDEX(_names_lookup!$B:$B,MATCH(BK74,_names_lookup!$A:$A,0)),"")</f>
        <v/>
      </c>
      <c r="BS74" t="str">
        <f t="shared" si="21"/>
        <v/>
      </c>
    </row>
    <row r="75" spans="15:71" x14ac:dyDescent="0.2">
      <c r="O75" t="str">
        <f>IFERROR(INDEX(_courses_lookup!$C:$C,MATCH(K75&amp;L75,_courses_lookup!$E:$E,0)),"")</f>
        <v/>
      </c>
      <c r="P75" t="str">
        <f>IFERROR(INDEX(_courses_lookup!$D:$D,MATCH(K75&amp;L75,_courses_lookup!$E:$E,0)),"")</f>
        <v/>
      </c>
      <c r="AG75" t="str">
        <f t="shared" si="11"/>
        <v/>
      </c>
      <c r="AI75" t="str">
        <f t="shared" si="12"/>
        <v/>
      </c>
      <c r="AL75" t="str">
        <f t="shared" si="13"/>
        <v/>
      </c>
      <c r="AN75" t="str">
        <f t="shared" si="14"/>
        <v/>
      </c>
      <c r="AQ75" t="str">
        <f t="shared" si="15"/>
        <v/>
      </c>
      <c r="AR75" t="str">
        <f t="shared" si="16"/>
        <v/>
      </c>
      <c r="AS75" t="str">
        <f t="shared" si="17"/>
        <v/>
      </c>
      <c r="AT75" t="str">
        <f t="shared" si="18"/>
        <v/>
      </c>
      <c r="BG75" t="str">
        <f t="shared" si="19"/>
        <v/>
      </c>
      <c r="BH75" t="str">
        <f t="shared" si="20"/>
        <v/>
      </c>
      <c r="BL75" t="str">
        <f>IFERROR(INDEX(_names_lookup!$C:$C,MATCH(BK75,_names_lookup!$A:$A,0)),"")</f>
        <v/>
      </c>
      <c r="BM75" t="str">
        <f>IFERROR(INDEX(_names_lookup!$B:$B,MATCH(BK75,_names_lookup!$A:$A,0)),"")</f>
        <v/>
      </c>
      <c r="BS75" t="str">
        <f t="shared" si="21"/>
        <v/>
      </c>
    </row>
    <row r="76" spans="15:71" x14ac:dyDescent="0.2">
      <c r="O76" t="str">
        <f>IFERROR(INDEX(_courses_lookup!$C:$C,MATCH(K76&amp;L76,_courses_lookup!$E:$E,0)),"")</f>
        <v/>
      </c>
      <c r="P76" t="str">
        <f>IFERROR(INDEX(_courses_lookup!$D:$D,MATCH(K76&amp;L76,_courses_lookup!$E:$E,0)),"")</f>
        <v/>
      </c>
      <c r="AG76" t="str">
        <f t="shared" si="11"/>
        <v/>
      </c>
      <c r="AI76" t="str">
        <f t="shared" si="12"/>
        <v/>
      </c>
      <c r="AL76" t="str">
        <f t="shared" si="13"/>
        <v/>
      </c>
      <c r="AN76" t="str">
        <f t="shared" si="14"/>
        <v/>
      </c>
      <c r="AQ76" t="str">
        <f t="shared" si="15"/>
        <v/>
      </c>
      <c r="AR76" t="str">
        <f t="shared" si="16"/>
        <v/>
      </c>
      <c r="AS76" t="str">
        <f t="shared" si="17"/>
        <v/>
      </c>
      <c r="AT76" t="str">
        <f t="shared" si="18"/>
        <v/>
      </c>
      <c r="BG76" t="str">
        <f t="shared" si="19"/>
        <v/>
      </c>
      <c r="BH76" t="str">
        <f t="shared" si="20"/>
        <v/>
      </c>
      <c r="BL76" t="str">
        <f>IFERROR(INDEX(_names_lookup!$C:$C,MATCH(BK76,_names_lookup!$A:$A,0)),"")</f>
        <v/>
      </c>
      <c r="BM76" t="str">
        <f>IFERROR(INDEX(_names_lookup!$B:$B,MATCH(BK76,_names_lookup!$A:$A,0)),"")</f>
        <v/>
      </c>
      <c r="BS76" t="str">
        <f t="shared" si="21"/>
        <v/>
      </c>
    </row>
    <row r="77" spans="15:71" x14ac:dyDescent="0.2">
      <c r="O77" t="str">
        <f>IFERROR(INDEX(_courses_lookup!$C:$C,MATCH(K77&amp;L77,_courses_lookup!$E:$E,0)),"")</f>
        <v/>
      </c>
      <c r="P77" t="str">
        <f>IFERROR(INDEX(_courses_lookup!$D:$D,MATCH(K77&amp;L77,_courses_lookup!$E:$E,0)),"")</f>
        <v/>
      </c>
      <c r="AG77" t="str">
        <f t="shared" si="11"/>
        <v/>
      </c>
      <c r="AI77" t="str">
        <f t="shared" si="12"/>
        <v/>
      </c>
      <c r="AL77" t="str">
        <f t="shared" si="13"/>
        <v/>
      </c>
      <c r="AN77" t="str">
        <f t="shared" si="14"/>
        <v/>
      </c>
      <c r="AQ77" t="str">
        <f t="shared" si="15"/>
        <v/>
      </c>
      <c r="AR77" t="str">
        <f t="shared" si="16"/>
        <v/>
      </c>
      <c r="AS77" t="str">
        <f t="shared" si="17"/>
        <v/>
      </c>
      <c r="AT77" t="str">
        <f t="shared" si="18"/>
        <v/>
      </c>
      <c r="BG77" t="str">
        <f t="shared" si="19"/>
        <v/>
      </c>
      <c r="BH77" t="str">
        <f t="shared" si="20"/>
        <v/>
      </c>
      <c r="BL77" t="str">
        <f>IFERROR(INDEX(_names_lookup!$C:$C,MATCH(BK77,_names_lookup!$A:$A,0)),"")</f>
        <v/>
      </c>
      <c r="BM77" t="str">
        <f>IFERROR(INDEX(_names_lookup!$B:$B,MATCH(BK77,_names_lookup!$A:$A,0)),"")</f>
        <v/>
      </c>
      <c r="BS77" t="str">
        <f t="shared" si="21"/>
        <v/>
      </c>
    </row>
    <row r="78" spans="15:71" x14ac:dyDescent="0.2">
      <c r="O78" t="str">
        <f>IFERROR(INDEX(_courses_lookup!$C:$C,MATCH(K78&amp;L78,_courses_lookup!$E:$E,0)),"")</f>
        <v/>
      </c>
      <c r="P78" t="str">
        <f>IFERROR(INDEX(_courses_lookup!$D:$D,MATCH(K78&amp;L78,_courses_lookup!$E:$E,0)),"")</f>
        <v/>
      </c>
      <c r="AG78" t="str">
        <f t="shared" si="11"/>
        <v/>
      </c>
      <c r="AI78" t="str">
        <f t="shared" si="12"/>
        <v/>
      </c>
      <c r="AL78" t="str">
        <f t="shared" si="13"/>
        <v/>
      </c>
      <c r="AN78" t="str">
        <f t="shared" si="14"/>
        <v/>
      </c>
      <c r="AQ78" t="str">
        <f t="shared" si="15"/>
        <v/>
      </c>
      <c r="AR78" t="str">
        <f t="shared" si="16"/>
        <v/>
      </c>
      <c r="AS78" t="str">
        <f t="shared" si="17"/>
        <v/>
      </c>
      <c r="AT78" t="str">
        <f t="shared" si="18"/>
        <v/>
      </c>
      <c r="BG78" t="str">
        <f t="shared" si="19"/>
        <v/>
      </c>
      <c r="BH78" t="str">
        <f t="shared" si="20"/>
        <v/>
      </c>
      <c r="BL78" t="str">
        <f>IFERROR(INDEX(_names_lookup!$C:$C,MATCH(BK78,_names_lookup!$A:$A,0)),"")</f>
        <v/>
      </c>
      <c r="BM78" t="str">
        <f>IFERROR(INDEX(_names_lookup!$B:$B,MATCH(BK78,_names_lookup!$A:$A,0)),"")</f>
        <v/>
      </c>
      <c r="BS78" t="str">
        <f t="shared" si="21"/>
        <v/>
      </c>
    </row>
    <row r="79" spans="15:71" x14ac:dyDescent="0.2">
      <c r="O79" t="str">
        <f>IFERROR(INDEX(_courses_lookup!$C:$C,MATCH(K79&amp;L79,_courses_lookup!$E:$E,0)),"")</f>
        <v/>
      </c>
      <c r="P79" t="str">
        <f>IFERROR(INDEX(_courses_lookup!$D:$D,MATCH(K79&amp;L79,_courses_lookup!$E:$E,0)),"")</f>
        <v/>
      </c>
      <c r="AG79" t="str">
        <f t="shared" si="11"/>
        <v/>
      </c>
      <c r="AI79" t="str">
        <f t="shared" si="12"/>
        <v/>
      </c>
      <c r="AL79" t="str">
        <f t="shared" si="13"/>
        <v/>
      </c>
      <c r="AN79" t="str">
        <f t="shared" si="14"/>
        <v/>
      </c>
      <c r="AQ79" t="str">
        <f t="shared" si="15"/>
        <v/>
      </c>
      <c r="AR79" t="str">
        <f t="shared" si="16"/>
        <v/>
      </c>
      <c r="AS79" t="str">
        <f t="shared" si="17"/>
        <v/>
      </c>
      <c r="AT79" t="str">
        <f t="shared" si="18"/>
        <v/>
      </c>
      <c r="BG79" t="str">
        <f t="shared" si="19"/>
        <v/>
      </c>
      <c r="BH79" t="str">
        <f t="shared" si="20"/>
        <v/>
      </c>
      <c r="BL79" t="str">
        <f>IFERROR(INDEX(_names_lookup!$C:$C,MATCH(BK79,_names_lookup!$A:$A,0)),"")</f>
        <v/>
      </c>
      <c r="BM79" t="str">
        <f>IFERROR(INDEX(_names_lookup!$B:$B,MATCH(BK79,_names_lookup!$A:$A,0)),"")</f>
        <v/>
      </c>
      <c r="BS79" t="str">
        <f t="shared" si="21"/>
        <v/>
      </c>
    </row>
    <row r="80" spans="15:71" x14ac:dyDescent="0.2">
      <c r="O80" t="str">
        <f>IFERROR(INDEX(_courses_lookup!$C:$C,MATCH(K80&amp;L80,_courses_lookup!$E:$E,0)),"")</f>
        <v/>
      </c>
      <c r="P80" t="str">
        <f>IFERROR(INDEX(_courses_lookup!$D:$D,MATCH(K80&amp;L80,_courses_lookup!$E:$E,0)),"")</f>
        <v/>
      </c>
      <c r="AG80" t="str">
        <f t="shared" si="11"/>
        <v/>
      </c>
      <c r="AI80" t="str">
        <f t="shared" si="12"/>
        <v/>
      </c>
      <c r="AL80" t="str">
        <f t="shared" si="13"/>
        <v/>
      </c>
      <c r="AN80" t="str">
        <f t="shared" si="14"/>
        <v/>
      </c>
      <c r="AQ80" t="str">
        <f t="shared" si="15"/>
        <v/>
      </c>
      <c r="AR80" t="str">
        <f t="shared" si="16"/>
        <v/>
      </c>
      <c r="AS80" t="str">
        <f t="shared" si="17"/>
        <v/>
      </c>
      <c r="AT80" t="str">
        <f t="shared" si="18"/>
        <v/>
      </c>
      <c r="BG80" t="str">
        <f t="shared" si="19"/>
        <v/>
      </c>
      <c r="BH80" t="str">
        <f t="shared" si="20"/>
        <v/>
      </c>
      <c r="BL80" t="str">
        <f>IFERROR(INDEX(_names_lookup!$C:$C,MATCH(BK80,_names_lookup!$A:$A,0)),"")</f>
        <v/>
      </c>
      <c r="BM80" t="str">
        <f>IFERROR(INDEX(_names_lookup!$B:$B,MATCH(BK80,_names_lookup!$A:$A,0)),"")</f>
        <v/>
      </c>
      <c r="BS80" t="str">
        <f t="shared" si="21"/>
        <v/>
      </c>
    </row>
    <row r="81" spans="15:71" x14ac:dyDescent="0.2">
      <c r="O81" t="str">
        <f>IFERROR(INDEX(_courses_lookup!$C:$C,MATCH(K81&amp;L81,_courses_lookup!$E:$E,0)),"")</f>
        <v/>
      </c>
      <c r="P81" t="str">
        <f>IFERROR(INDEX(_courses_lookup!$D:$D,MATCH(K81&amp;L81,_courses_lookup!$E:$E,0)),"")</f>
        <v/>
      </c>
      <c r="AG81" t="str">
        <f t="shared" si="11"/>
        <v/>
      </c>
      <c r="AI81" t="str">
        <f t="shared" si="12"/>
        <v/>
      </c>
      <c r="AL81" t="str">
        <f t="shared" si="13"/>
        <v/>
      </c>
      <c r="AN81" t="str">
        <f t="shared" si="14"/>
        <v/>
      </c>
      <c r="AQ81" t="str">
        <f t="shared" si="15"/>
        <v/>
      </c>
      <c r="AR81" t="str">
        <f t="shared" si="16"/>
        <v/>
      </c>
      <c r="AS81" t="str">
        <f t="shared" si="17"/>
        <v/>
      </c>
      <c r="AT81" t="str">
        <f t="shared" si="18"/>
        <v/>
      </c>
      <c r="BG81" t="str">
        <f t="shared" si="19"/>
        <v/>
      </c>
      <c r="BH81" t="str">
        <f t="shared" si="20"/>
        <v/>
      </c>
      <c r="BL81" t="str">
        <f>IFERROR(INDEX(_names_lookup!$C:$C,MATCH(BK81,_names_lookup!$A:$A,0)),"")</f>
        <v/>
      </c>
      <c r="BM81" t="str">
        <f>IFERROR(INDEX(_names_lookup!$B:$B,MATCH(BK81,_names_lookup!$A:$A,0)),"")</f>
        <v/>
      </c>
      <c r="BS81" t="str">
        <f t="shared" si="21"/>
        <v/>
      </c>
    </row>
    <row r="82" spans="15:71" x14ac:dyDescent="0.2">
      <c r="O82" t="str">
        <f>IFERROR(INDEX(_courses_lookup!$C:$C,MATCH(K82&amp;L82,_courses_lookup!$E:$E,0)),"")</f>
        <v/>
      </c>
      <c r="P82" t="str">
        <f>IFERROR(INDEX(_courses_lookup!$D:$D,MATCH(K82&amp;L82,_courses_lookup!$E:$E,0)),"")</f>
        <v/>
      </c>
      <c r="AG82" t="str">
        <f t="shared" si="11"/>
        <v/>
      </c>
      <c r="AI82" t="str">
        <f t="shared" si="12"/>
        <v/>
      </c>
      <c r="AL82" t="str">
        <f t="shared" si="13"/>
        <v/>
      </c>
      <c r="AN82" t="str">
        <f t="shared" si="14"/>
        <v/>
      </c>
      <c r="AQ82" t="str">
        <f t="shared" si="15"/>
        <v/>
      </c>
      <c r="AR82" t="str">
        <f t="shared" si="16"/>
        <v/>
      </c>
      <c r="AS82" t="str">
        <f t="shared" si="17"/>
        <v/>
      </c>
      <c r="AT82" t="str">
        <f t="shared" si="18"/>
        <v/>
      </c>
      <c r="BG82" t="str">
        <f t="shared" si="19"/>
        <v/>
      </c>
      <c r="BH82" t="str">
        <f t="shared" si="20"/>
        <v/>
      </c>
      <c r="BL82" t="str">
        <f>IFERROR(INDEX(_names_lookup!$C:$C,MATCH(BK82,_names_lookup!$A:$A,0)),"")</f>
        <v/>
      </c>
      <c r="BM82" t="str">
        <f>IFERROR(INDEX(_names_lookup!$B:$B,MATCH(BK82,_names_lookup!$A:$A,0)),"")</f>
        <v/>
      </c>
      <c r="BS82" t="str">
        <f t="shared" si="21"/>
        <v/>
      </c>
    </row>
    <row r="83" spans="15:71" x14ac:dyDescent="0.2">
      <c r="O83" t="str">
        <f>IFERROR(INDEX(_courses_lookup!$C:$C,MATCH(K83&amp;L83,_courses_lookup!$E:$E,0)),"")</f>
        <v/>
      </c>
      <c r="P83" t="str">
        <f>IFERROR(INDEX(_courses_lookup!$D:$D,MATCH(K83&amp;L83,_courses_lookup!$E:$E,0)),"")</f>
        <v/>
      </c>
      <c r="AG83" t="str">
        <f t="shared" si="11"/>
        <v/>
      </c>
      <c r="AI83" t="str">
        <f t="shared" si="12"/>
        <v/>
      </c>
      <c r="AL83" t="str">
        <f t="shared" si="13"/>
        <v/>
      </c>
      <c r="AN83" t="str">
        <f t="shared" si="14"/>
        <v/>
      </c>
      <c r="AQ83" t="str">
        <f t="shared" si="15"/>
        <v/>
      </c>
      <c r="AR83" t="str">
        <f t="shared" si="16"/>
        <v/>
      </c>
      <c r="AS83" t="str">
        <f t="shared" si="17"/>
        <v/>
      </c>
      <c r="AT83" t="str">
        <f t="shared" si="18"/>
        <v/>
      </c>
      <c r="BG83" t="str">
        <f t="shared" si="19"/>
        <v/>
      </c>
      <c r="BH83" t="str">
        <f t="shared" si="20"/>
        <v/>
      </c>
      <c r="BL83" t="str">
        <f>IFERROR(INDEX(_names_lookup!$C:$C,MATCH(BK83,_names_lookup!$A:$A,0)),"")</f>
        <v/>
      </c>
      <c r="BM83" t="str">
        <f>IFERROR(INDEX(_names_lookup!$B:$B,MATCH(BK83,_names_lookup!$A:$A,0)),"")</f>
        <v/>
      </c>
      <c r="BS83" t="str">
        <f t="shared" si="21"/>
        <v/>
      </c>
    </row>
    <row r="84" spans="15:71" x14ac:dyDescent="0.2">
      <c r="O84" t="str">
        <f>IFERROR(INDEX(_courses_lookup!$C:$C,MATCH(K84&amp;L84,_courses_lookup!$E:$E,0)),"")</f>
        <v/>
      </c>
      <c r="P84" t="str">
        <f>IFERROR(INDEX(_courses_lookup!$D:$D,MATCH(K84&amp;L84,_courses_lookup!$E:$E,0)),"")</f>
        <v/>
      </c>
      <c r="AG84" t="str">
        <f t="shared" si="11"/>
        <v/>
      </c>
      <c r="AI84" t="str">
        <f t="shared" si="12"/>
        <v/>
      </c>
      <c r="AL84" t="str">
        <f t="shared" si="13"/>
        <v/>
      </c>
      <c r="AN84" t="str">
        <f t="shared" si="14"/>
        <v/>
      </c>
      <c r="AQ84" t="str">
        <f t="shared" si="15"/>
        <v/>
      </c>
      <c r="AR84" t="str">
        <f t="shared" si="16"/>
        <v/>
      </c>
      <c r="AS84" t="str">
        <f t="shared" si="17"/>
        <v/>
      </c>
      <c r="AT84" t="str">
        <f t="shared" si="18"/>
        <v/>
      </c>
      <c r="BG84" t="str">
        <f t="shared" si="19"/>
        <v/>
      </c>
      <c r="BH84" t="str">
        <f t="shared" si="20"/>
        <v/>
      </c>
      <c r="BL84" t="str">
        <f>IFERROR(INDEX(_names_lookup!$C:$C,MATCH(BK84,_names_lookup!$A:$A,0)),"")</f>
        <v/>
      </c>
      <c r="BM84" t="str">
        <f>IFERROR(INDEX(_names_lookup!$B:$B,MATCH(BK84,_names_lookup!$A:$A,0)),"")</f>
        <v/>
      </c>
      <c r="BS84" t="str">
        <f t="shared" si="21"/>
        <v/>
      </c>
    </row>
    <row r="85" spans="15:71" x14ac:dyDescent="0.2">
      <c r="O85" t="str">
        <f>IFERROR(INDEX(_courses_lookup!$C:$C,MATCH(K85&amp;L85,_courses_lookup!$E:$E,0)),"")</f>
        <v/>
      </c>
      <c r="P85" t="str">
        <f>IFERROR(INDEX(_courses_lookup!$D:$D,MATCH(K85&amp;L85,_courses_lookup!$E:$E,0)),"")</f>
        <v/>
      </c>
      <c r="AG85" t="str">
        <f t="shared" si="11"/>
        <v/>
      </c>
      <c r="AI85" t="str">
        <f t="shared" si="12"/>
        <v/>
      </c>
      <c r="AL85" t="str">
        <f t="shared" si="13"/>
        <v/>
      </c>
      <c r="AN85" t="str">
        <f t="shared" si="14"/>
        <v/>
      </c>
      <c r="AQ85" t="str">
        <f t="shared" si="15"/>
        <v/>
      </c>
      <c r="AR85" t="str">
        <f t="shared" si="16"/>
        <v/>
      </c>
      <c r="AS85" t="str">
        <f t="shared" si="17"/>
        <v/>
      </c>
      <c r="AT85" t="str">
        <f t="shared" si="18"/>
        <v/>
      </c>
      <c r="BG85" t="str">
        <f t="shared" si="19"/>
        <v/>
      </c>
      <c r="BH85" t="str">
        <f t="shared" si="20"/>
        <v/>
      </c>
      <c r="BL85" t="str">
        <f>IFERROR(INDEX(_names_lookup!$C:$C,MATCH(BK85,_names_lookup!$A:$A,0)),"")</f>
        <v/>
      </c>
      <c r="BM85" t="str">
        <f>IFERROR(INDEX(_names_lookup!$B:$B,MATCH(BK85,_names_lookup!$A:$A,0)),"")</f>
        <v/>
      </c>
      <c r="BS85" t="str">
        <f t="shared" si="21"/>
        <v/>
      </c>
    </row>
    <row r="86" spans="15:71" x14ac:dyDescent="0.2">
      <c r="O86" t="str">
        <f>IFERROR(INDEX(_courses_lookup!$C:$C,MATCH(K86&amp;L86,_courses_lookup!$E:$E,0)),"")</f>
        <v/>
      </c>
      <c r="P86" t="str">
        <f>IFERROR(INDEX(_courses_lookup!$D:$D,MATCH(K86&amp;L86,_courses_lookup!$E:$E,0)),"")</f>
        <v/>
      </c>
      <c r="AG86" t="str">
        <f t="shared" si="11"/>
        <v/>
      </c>
      <c r="AI86" t="str">
        <f t="shared" si="12"/>
        <v/>
      </c>
      <c r="AL86" t="str">
        <f t="shared" si="13"/>
        <v/>
      </c>
      <c r="AN86" t="str">
        <f t="shared" si="14"/>
        <v/>
      </c>
      <c r="AQ86" t="str">
        <f t="shared" si="15"/>
        <v/>
      </c>
      <c r="AR86" t="str">
        <f t="shared" si="16"/>
        <v/>
      </c>
      <c r="AS86" t="str">
        <f t="shared" si="17"/>
        <v/>
      </c>
      <c r="AT86" t="str">
        <f t="shared" si="18"/>
        <v/>
      </c>
      <c r="BG86" t="str">
        <f t="shared" si="19"/>
        <v/>
      </c>
      <c r="BH86" t="str">
        <f t="shared" si="20"/>
        <v/>
      </c>
      <c r="BL86" t="str">
        <f>IFERROR(INDEX(_names_lookup!$C:$C,MATCH(BK86,_names_lookup!$A:$A,0)),"")</f>
        <v/>
      </c>
      <c r="BM86" t="str">
        <f>IFERROR(INDEX(_names_lookup!$B:$B,MATCH(BK86,_names_lookup!$A:$A,0)),"")</f>
        <v/>
      </c>
      <c r="BS86" t="str">
        <f t="shared" si="21"/>
        <v/>
      </c>
    </row>
    <row r="87" spans="15:71" x14ac:dyDescent="0.2">
      <c r="O87" t="str">
        <f>IFERROR(INDEX(_courses_lookup!$C:$C,MATCH(K87&amp;L87,_courses_lookup!$E:$E,0)),"")</f>
        <v/>
      </c>
      <c r="P87" t="str">
        <f>IFERROR(INDEX(_courses_lookup!$D:$D,MATCH(K87&amp;L87,_courses_lookup!$E:$E,0)),"")</f>
        <v/>
      </c>
      <c r="AG87" t="str">
        <f t="shared" si="11"/>
        <v/>
      </c>
      <c r="AI87" t="str">
        <f t="shared" si="12"/>
        <v/>
      </c>
      <c r="AL87" t="str">
        <f t="shared" si="13"/>
        <v/>
      </c>
      <c r="AN87" t="str">
        <f t="shared" si="14"/>
        <v/>
      </c>
      <c r="AQ87" t="str">
        <f t="shared" si="15"/>
        <v/>
      </c>
      <c r="AR87" t="str">
        <f t="shared" si="16"/>
        <v/>
      </c>
      <c r="AS87" t="str">
        <f t="shared" si="17"/>
        <v/>
      </c>
      <c r="AT87" t="str">
        <f t="shared" si="18"/>
        <v/>
      </c>
      <c r="BG87" t="str">
        <f t="shared" si="19"/>
        <v/>
      </c>
      <c r="BH87" t="str">
        <f t="shared" si="20"/>
        <v/>
      </c>
      <c r="BL87" t="str">
        <f>IFERROR(INDEX(_names_lookup!$C:$C,MATCH(BK87,_names_lookup!$A:$A,0)),"")</f>
        <v/>
      </c>
      <c r="BM87" t="str">
        <f>IFERROR(INDEX(_names_lookup!$B:$B,MATCH(BK87,_names_lookup!$A:$A,0)),"")</f>
        <v/>
      </c>
      <c r="BS87" t="str">
        <f t="shared" si="21"/>
        <v/>
      </c>
    </row>
    <row r="88" spans="15:71" x14ac:dyDescent="0.2">
      <c r="O88" t="str">
        <f>IFERROR(INDEX(_courses_lookup!$C:$C,MATCH(K88&amp;L88,_courses_lookup!$E:$E,0)),"")</f>
        <v/>
      </c>
      <c r="P88" t="str">
        <f>IFERROR(INDEX(_courses_lookup!$D:$D,MATCH(K88&amp;L88,_courses_lookup!$E:$E,0)),"")</f>
        <v/>
      </c>
      <c r="AG88" t="str">
        <f t="shared" si="11"/>
        <v/>
      </c>
      <c r="AI88" t="str">
        <f t="shared" si="12"/>
        <v/>
      </c>
      <c r="AL88" t="str">
        <f t="shared" si="13"/>
        <v/>
      </c>
      <c r="AN88" t="str">
        <f t="shared" si="14"/>
        <v/>
      </c>
      <c r="AQ88" t="str">
        <f t="shared" si="15"/>
        <v/>
      </c>
      <c r="AR88" t="str">
        <f t="shared" si="16"/>
        <v/>
      </c>
      <c r="AS88" t="str">
        <f t="shared" si="17"/>
        <v/>
      </c>
      <c r="AT88" t="str">
        <f t="shared" si="18"/>
        <v/>
      </c>
      <c r="BG88" t="str">
        <f t="shared" si="19"/>
        <v/>
      </c>
      <c r="BH88" t="str">
        <f t="shared" si="20"/>
        <v/>
      </c>
      <c r="BL88" t="str">
        <f>IFERROR(INDEX(_names_lookup!$C:$C,MATCH(BK88,_names_lookup!$A:$A,0)),"")</f>
        <v/>
      </c>
      <c r="BM88" t="str">
        <f>IFERROR(INDEX(_names_lookup!$B:$B,MATCH(BK88,_names_lookup!$A:$A,0)),"")</f>
        <v/>
      </c>
      <c r="BS88" t="str">
        <f t="shared" si="21"/>
        <v/>
      </c>
    </row>
    <row r="89" spans="15:71" x14ac:dyDescent="0.2">
      <c r="O89" t="str">
        <f>IFERROR(INDEX(_courses_lookup!$C:$C,MATCH(K89&amp;L89,_courses_lookup!$E:$E,0)),"")</f>
        <v/>
      </c>
      <c r="P89" t="str">
        <f>IFERROR(INDEX(_courses_lookup!$D:$D,MATCH(K89&amp;L89,_courses_lookup!$E:$E,0)),"")</f>
        <v/>
      </c>
      <c r="AG89" t="str">
        <f t="shared" si="11"/>
        <v/>
      </c>
      <c r="AI89" t="str">
        <f t="shared" si="12"/>
        <v/>
      </c>
      <c r="AL89" t="str">
        <f t="shared" si="13"/>
        <v/>
      </c>
      <c r="AN89" t="str">
        <f t="shared" si="14"/>
        <v/>
      </c>
      <c r="AQ89" t="str">
        <f t="shared" si="15"/>
        <v/>
      </c>
      <c r="AR89" t="str">
        <f t="shared" si="16"/>
        <v/>
      </c>
      <c r="AS89" t="str">
        <f t="shared" si="17"/>
        <v/>
      </c>
      <c r="AT89" t="str">
        <f t="shared" si="18"/>
        <v/>
      </c>
      <c r="BG89" t="str">
        <f t="shared" si="19"/>
        <v/>
      </c>
      <c r="BH89" t="str">
        <f t="shared" si="20"/>
        <v/>
      </c>
      <c r="BL89" t="str">
        <f>IFERROR(INDEX(_names_lookup!$C:$C,MATCH(BK89,_names_lookup!$A:$A,0)),"")</f>
        <v/>
      </c>
      <c r="BM89" t="str">
        <f>IFERROR(INDEX(_names_lookup!$B:$B,MATCH(BK89,_names_lookup!$A:$A,0)),"")</f>
        <v/>
      </c>
      <c r="BS89" t="str">
        <f t="shared" si="21"/>
        <v/>
      </c>
    </row>
    <row r="90" spans="15:71" x14ac:dyDescent="0.2">
      <c r="O90" t="str">
        <f>IFERROR(INDEX(_courses_lookup!$C:$C,MATCH(K90&amp;L90,_courses_lookup!$E:$E,0)),"")</f>
        <v/>
      </c>
      <c r="P90" t="str">
        <f>IFERROR(INDEX(_courses_lookup!$D:$D,MATCH(K90&amp;L90,_courses_lookup!$E:$E,0)),"")</f>
        <v/>
      </c>
      <c r="AG90" t="str">
        <f t="shared" si="11"/>
        <v/>
      </c>
      <c r="AI90" t="str">
        <f t="shared" si="12"/>
        <v/>
      </c>
      <c r="AL90" t="str">
        <f t="shared" si="13"/>
        <v/>
      </c>
      <c r="AN90" t="str">
        <f t="shared" si="14"/>
        <v/>
      </c>
      <c r="AQ90" t="str">
        <f t="shared" si="15"/>
        <v/>
      </c>
      <c r="AR90" t="str">
        <f t="shared" si="16"/>
        <v/>
      </c>
      <c r="AS90" t="str">
        <f t="shared" si="17"/>
        <v/>
      </c>
      <c r="AT90" t="str">
        <f t="shared" si="18"/>
        <v/>
      </c>
      <c r="BG90" t="str">
        <f t="shared" si="19"/>
        <v/>
      </c>
      <c r="BH90" t="str">
        <f t="shared" si="20"/>
        <v/>
      </c>
      <c r="BL90" t="str">
        <f>IFERROR(INDEX(_names_lookup!$C:$C,MATCH(BK90,_names_lookup!$A:$A,0)),"")</f>
        <v/>
      </c>
      <c r="BM90" t="str">
        <f>IFERROR(INDEX(_names_lookup!$B:$B,MATCH(BK90,_names_lookup!$A:$A,0)),"")</f>
        <v/>
      </c>
      <c r="BS90" t="str">
        <f t="shared" si="21"/>
        <v/>
      </c>
    </row>
    <row r="91" spans="15:71" x14ac:dyDescent="0.2">
      <c r="O91" t="str">
        <f>IFERROR(INDEX(_courses_lookup!$C:$C,MATCH(K91&amp;L91,_courses_lookup!$E:$E,0)),"")</f>
        <v/>
      </c>
      <c r="P91" t="str">
        <f>IFERROR(INDEX(_courses_lookup!$D:$D,MATCH(K91&amp;L91,_courses_lookup!$E:$E,0)),"")</f>
        <v/>
      </c>
      <c r="AG91" t="str">
        <f t="shared" si="11"/>
        <v/>
      </c>
      <c r="AI91" t="str">
        <f t="shared" si="12"/>
        <v/>
      </c>
      <c r="AL91" t="str">
        <f t="shared" si="13"/>
        <v/>
      </c>
      <c r="AN91" t="str">
        <f t="shared" si="14"/>
        <v/>
      </c>
      <c r="AQ91" t="str">
        <f t="shared" si="15"/>
        <v/>
      </c>
      <c r="AR91" t="str">
        <f t="shared" si="16"/>
        <v/>
      </c>
      <c r="AS91" t="str">
        <f t="shared" si="17"/>
        <v/>
      </c>
      <c r="AT91" t="str">
        <f t="shared" si="18"/>
        <v/>
      </c>
      <c r="BG91" t="str">
        <f t="shared" si="19"/>
        <v/>
      </c>
      <c r="BH91" t="str">
        <f t="shared" si="20"/>
        <v/>
      </c>
      <c r="BL91" t="str">
        <f>IFERROR(INDEX(_names_lookup!$C:$C,MATCH(BK91,_names_lookup!$A:$A,0)),"")</f>
        <v/>
      </c>
      <c r="BM91" t="str">
        <f>IFERROR(INDEX(_names_lookup!$B:$B,MATCH(BK91,_names_lookup!$A:$A,0)),"")</f>
        <v/>
      </c>
      <c r="BS91" t="str">
        <f t="shared" si="21"/>
        <v/>
      </c>
    </row>
    <row r="92" spans="15:71" x14ac:dyDescent="0.2">
      <c r="O92" t="str">
        <f>IFERROR(INDEX(_courses_lookup!$C:$C,MATCH(K92&amp;L92,_courses_lookup!$E:$E,0)),"")</f>
        <v/>
      </c>
      <c r="P92" t="str">
        <f>IFERROR(INDEX(_courses_lookup!$D:$D,MATCH(K92&amp;L92,_courses_lookup!$E:$E,0)),"")</f>
        <v/>
      </c>
      <c r="AG92" t="str">
        <f t="shared" si="11"/>
        <v/>
      </c>
      <c r="AI92" t="str">
        <f t="shared" si="12"/>
        <v/>
      </c>
      <c r="AL92" t="str">
        <f t="shared" si="13"/>
        <v/>
      </c>
      <c r="AN92" t="str">
        <f t="shared" si="14"/>
        <v/>
      </c>
      <c r="AQ92" t="str">
        <f t="shared" si="15"/>
        <v/>
      </c>
      <c r="AR92" t="str">
        <f t="shared" si="16"/>
        <v/>
      </c>
      <c r="AS92" t="str">
        <f t="shared" si="17"/>
        <v/>
      </c>
      <c r="AT92" t="str">
        <f t="shared" si="18"/>
        <v/>
      </c>
      <c r="BG92" t="str">
        <f t="shared" si="19"/>
        <v/>
      </c>
      <c r="BH92" t="str">
        <f t="shared" si="20"/>
        <v/>
      </c>
      <c r="BL92" t="str">
        <f>IFERROR(INDEX(_names_lookup!$C:$C,MATCH(BK92,_names_lookup!$A:$A,0)),"")</f>
        <v/>
      </c>
      <c r="BM92" t="str">
        <f>IFERROR(INDEX(_names_lookup!$B:$B,MATCH(BK92,_names_lookup!$A:$A,0)),"")</f>
        <v/>
      </c>
      <c r="BS92" t="str">
        <f t="shared" si="21"/>
        <v/>
      </c>
    </row>
    <row r="93" spans="15:71" x14ac:dyDescent="0.2">
      <c r="O93" t="str">
        <f>IFERROR(INDEX(_courses_lookup!$C:$C,MATCH(K93&amp;L93,_courses_lookup!$E:$E,0)),"")</f>
        <v/>
      </c>
      <c r="P93" t="str">
        <f>IFERROR(INDEX(_courses_lookup!$D:$D,MATCH(K93&amp;L93,_courses_lookup!$E:$E,0)),"")</f>
        <v/>
      </c>
      <c r="AG93" t="str">
        <f t="shared" si="11"/>
        <v/>
      </c>
      <c r="AI93" t="str">
        <f t="shared" si="12"/>
        <v/>
      </c>
      <c r="AL93" t="str">
        <f t="shared" si="13"/>
        <v/>
      </c>
      <c r="AN93" t="str">
        <f t="shared" si="14"/>
        <v/>
      </c>
      <c r="AQ93" t="str">
        <f t="shared" si="15"/>
        <v/>
      </c>
      <c r="AR93" t="str">
        <f t="shared" si="16"/>
        <v/>
      </c>
      <c r="AS93" t="str">
        <f t="shared" si="17"/>
        <v/>
      </c>
      <c r="AT93" t="str">
        <f t="shared" si="18"/>
        <v/>
      </c>
      <c r="BG93" t="str">
        <f t="shared" si="19"/>
        <v/>
      </c>
      <c r="BH93" t="str">
        <f t="shared" si="20"/>
        <v/>
      </c>
      <c r="BL93" t="str">
        <f>IFERROR(INDEX(_names_lookup!$C:$C,MATCH(BK93,_names_lookup!$A:$A,0)),"")</f>
        <v/>
      </c>
      <c r="BM93" t="str">
        <f>IFERROR(INDEX(_names_lookup!$B:$B,MATCH(BK93,_names_lookup!$A:$A,0)),"")</f>
        <v/>
      </c>
      <c r="BS93" t="str">
        <f t="shared" si="21"/>
        <v/>
      </c>
    </row>
    <row r="94" spans="15:71" x14ac:dyDescent="0.2">
      <c r="O94" t="str">
        <f>IFERROR(INDEX(_courses_lookup!$C:$C,MATCH(K94&amp;L94,_courses_lookup!$E:$E,0)),"")</f>
        <v/>
      </c>
      <c r="P94" t="str">
        <f>IFERROR(INDEX(_courses_lookup!$D:$D,MATCH(K94&amp;L94,_courses_lookup!$E:$E,0)),"")</f>
        <v/>
      </c>
      <c r="AG94" t="str">
        <f t="shared" si="11"/>
        <v/>
      </c>
      <c r="AI94" t="str">
        <f t="shared" si="12"/>
        <v/>
      </c>
      <c r="AL94" t="str">
        <f t="shared" si="13"/>
        <v/>
      </c>
      <c r="AN94" t="str">
        <f t="shared" si="14"/>
        <v/>
      </c>
      <c r="AQ94" t="str">
        <f t="shared" si="15"/>
        <v/>
      </c>
      <c r="AR94" t="str">
        <f t="shared" si="16"/>
        <v/>
      </c>
      <c r="AS94" t="str">
        <f t="shared" si="17"/>
        <v/>
      </c>
      <c r="AT94" t="str">
        <f t="shared" si="18"/>
        <v/>
      </c>
      <c r="BG94" t="str">
        <f t="shared" si="19"/>
        <v/>
      </c>
      <c r="BH94" t="str">
        <f t="shared" si="20"/>
        <v/>
      </c>
      <c r="BL94" t="str">
        <f>IFERROR(INDEX(_names_lookup!$C:$C,MATCH(BK94,_names_lookup!$A:$A,0)),"")</f>
        <v/>
      </c>
      <c r="BM94" t="str">
        <f>IFERROR(INDEX(_names_lookup!$B:$B,MATCH(BK94,_names_lookup!$A:$A,0)),"")</f>
        <v/>
      </c>
      <c r="BS94" t="str">
        <f t="shared" si="21"/>
        <v/>
      </c>
    </row>
    <row r="95" spans="15:71" x14ac:dyDescent="0.2">
      <c r="O95" t="str">
        <f>IFERROR(INDEX(_courses_lookup!$C:$C,MATCH(K95&amp;L95,_courses_lookup!$E:$E,0)),"")</f>
        <v/>
      </c>
      <c r="P95" t="str">
        <f>IFERROR(INDEX(_courses_lookup!$D:$D,MATCH(K95&amp;L95,_courses_lookup!$E:$E,0)),"")</f>
        <v/>
      </c>
      <c r="AG95" t="str">
        <f t="shared" si="11"/>
        <v/>
      </c>
      <c r="AI95" t="str">
        <f t="shared" si="12"/>
        <v/>
      </c>
      <c r="AL95" t="str">
        <f t="shared" si="13"/>
        <v/>
      </c>
      <c r="AN95" t="str">
        <f t="shared" si="14"/>
        <v/>
      </c>
      <c r="AQ95" t="str">
        <f t="shared" si="15"/>
        <v/>
      </c>
      <c r="AR95" t="str">
        <f t="shared" si="16"/>
        <v/>
      </c>
      <c r="AS95" t="str">
        <f t="shared" si="17"/>
        <v/>
      </c>
      <c r="AT95" t="str">
        <f t="shared" si="18"/>
        <v/>
      </c>
      <c r="BG95" t="str">
        <f t="shared" si="19"/>
        <v/>
      </c>
      <c r="BH95" t="str">
        <f t="shared" si="20"/>
        <v/>
      </c>
      <c r="BL95" t="str">
        <f>IFERROR(INDEX(_names_lookup!$C:$C,MATCH(BK95,_names_lookup!$A:$A,0)),"")</f>
        <v/>
      </c>
      <c r="BM95" t="str">
        <f>IFERROR(INDEX(_names_lookup!$B:$B,MATCH(BK95,_names_lookup!$A:$A,0)),"")</f>
        <v/>
      </c>
      <c r="BS95" t="str">
        <f t="shared" si="21"/>
        <v/>
      </c>
    </row>
    <row r="96" spans="15:71" x14ac:dyDescent="0.2">
      <c r="O96" t="str">
        <f>IFERROR(INDEX(_courses_lookup!$C:$C,MATCH(K96&amp;L96,_courses_lookup!$E:$E,0)),"")</f>
        <v/>
      </c>
      <c r="P96" t="str">
        <f>IFERROR(INDEX(_courses_lookup!$D:$D,MATCH(K96&amp;L96,_courses_lookup!$E:$E,0)),"")</f>
        <v/>
      </c>
      <c r="AG96" t="str">
        <f t="shared" si="11"/>
        <v/>
      </c>
      <c r="AI96" t="str">
        <f t="shared" si="12"/>
        <v/>
      </c>
      <c r="AL96" t="str">
        <f t="shared" si="13"/>
        <v/>
      </c>
      <c r="AN96" t="str">
        <f t="shared" si="14"/>
        <v/>
      </c>
      <c r="AQ96" t="str">
        <f t="shared" si="15"/>
        <v/>
      </c>
      <c r="AR96" t="str">
        <f t="shared" si="16"/>
        <v/>
      </c>
      <c r="AS96" t="str">
        <f t="shared" si="17"/>
        <v/>
      </c>
      <c r="AT96" t="str">
        <f t="shared" si="18"/>
        <v/>
      </c>
      <c r="BG96" t="str">
        <f t="shared" si="19"/>
        <v/>
      </c>
      <c r="BH96" t="str">
        <f t="shared" si="20"/>
        <v/>
      </c>
      <c r="BL96" t="str">
        <f>IFERROR(INDEX(_names_lookup!$C:$C,MATCH(BK96,_names_lookup!$A:$A,0)),"")</f>
        <v/>
      </c>
      <c r="BM96" t="str">
        <f>IFERROR(INDEX(_names_lookup!$B:$B,MATCH(BK96,_names_lookup!$A:$A,0)),"")</f>
        <v/>
      </c>
      <c r="BS96" t="str">
        <f t="shared" si="21"/>
        <v/>
      </c>
    </row>
    <row r="97" spans="15:71" x14ac:dyDescent="0.2">
      <c r="O97" t="str">
        <f>IFERROR(INDEX(_courses_lookup!$C:$C,MATCH(K97&amp;L97,_courses_lookup!$E:$E,0)),"")</f>
        <v/>
      </c>
      <c r="P97" t="str">
        <f>IFERROR(INDEX(_courses_lookup!$D:$D,MATCH(K97&amp;L97,_courses_lookup!$E:$E,0)),"")</f>
        <v/>
      </c>
      <c r="AG97" t="str">
        <f t="shared" si="11"/>
        <v/>
      </c>
      <c r="AI97" t="str">
        <f t="shared" si="12"/>
        <v/>
      </c>
      <c r="AL97" t="str">
        <f t="shared" si="13"/>
        <v/>
      </c>
      <c r="AN97" t="str">
        <f t="shared" si="14"/>
        <v/>
      </c>
      <c r="AQ97" t="str">
        <f t="shared" si="15"/>
        <v/>
      </c>
      <c r="AR97" t="str">
        <f t="shared" si="16"/>
        <v/>
      </c>
      <c r="AS97" t="str">
        <f t="shared" si="17"/>
        <v/>
      </c>
      <c r="AT97" t="str">
        <f t="shared" si="18"/>
        <v/>
      </c>
      <c r="BG97" t="str">
        <f t="shared" si="19"/>
        <v/>
      </c>
      <c r="BH97" t="str">
        <f t="shared" si="20"/>
        <v/>
      </c>
      <c r="BL97" t="str">
        <f>IFERROR(INDEX(_names_lookup!$C:$C,MATCH(BK97,_names_lookup!$A:$A,0)),"")</f>
        <v/>
      </c>
      <c r="BM97" t="str">
        <f>IFERROR(INDEX(_names_lookup!$B:$B,MATCH(BK97,_names_lookup!$A:$A,0)),"")</f>
        <v/>
      </c>
      <c r="BS97" t="str">
        <f t="shared" si="21"/>
        <v/>
      </c>
    </row>
    <row r="98" spans="15:71" x14ac:dyDescent="0.2">
      <c r="O98" t="str">
        <f>IFERROR(INDEX(_courses_lookup!$C:$C,MATCH(K98&amp;L98,_courses_lookup!$E:$E,0)),"")</f>
        <v/>
      </c>
      <c r="P98" t="str">
        <f>IFERROR(INDEX(_courses_lookup!$D:$D,MATCH(K98&amp;L98,_courses_lookup!$E:$E,0)),"")</f>
        <v/>
      </c>
      <c r="AG98" t="str">
        <f t="shared" si="11"/>
        <v/>
      </c>
      <c r="AI98" t="str">
        <f t="shared" si="12"/>
        <v/>
      </c>
      <c r="AL98" t="str">
        <f t="shared" si="13"/>
        <v/>
      </c>
      <c r="AN98" t="str">
        <f t="shared" si="14"/>
        <v/>
      </c>
      <c r="AQ98" t="str">
        <f t="shared" si="15"/>
        <v/>
      </c>
      <c r="AR98" t="str">
        <f t="shared" si="16"/>
        <v/>
      </c>
      <c r="AS98" t="str">
        <f t="shared" si="17"/>
        <v/>
      </c>
      <c r="AT98" t="str">
        <f t="shared" si="18"/>
        <v/>
      </c>
      <c r="BG98" t="str">
        <f t="shared" si="19"/>
        <v/>
      </c>
      <c r="BH98" t="str">
        <f t="shared" si="20"/>
        <v/>
      </c>
      <c r="BL98" t="str">
        <f>IFERROR(INDEX(_names_lookup!$C:$C,MATCH(BK98,_names_lookup!$A:$A,0)),"")</f>
        <v/>
      </c>
      <c r="BM98" t="str">
        <f>IFERROR(INDEX(_names_lookup!$B:$B,MATCH(BK98,_names_lookup!$A:$A,0)),"")</f>
        <v/>
      </c>
      <c r="BS98" t="str">
        <f t="shared" si="21"/>
        <v/>
      </c>
    </row>
    <row r="99" spans="15:71" x14ac:dyDescent="0.2">
      <c r="O99" t="str">
        <f>IFERROR(INDEX(_courses_lookup!$C:$C,MATCH(K99&amp;L99,_courses_lookup!$E:$E,0)),"")</f>
        <v/>
      </c>
      <c r="P99" t="str">
        <f>IFERROR(INDEX(_courses_lookup!$D:$D,MATCH(K99&amp;L99,_courses_lookup!$E:$E,0)),"")</f>
        <v/>
      </c>
      <c r="AG99" t="str">
        <f t="shared" si="11"/>
        <v/>
      </c>
      <c r="AI99" t="str">
        <f t="shared" si="12"/>
        <v/>
      </c>
      <c r="AL99" t="str">
        <f t="shared" si="13"/>
        <v/>
      </c>
      <c r="AN99" t="str">
        <f t="shared" si="14"/>
        <v/>
      </c>
      <c r="AQ99" t="str">
        <f t="shared" si="15"/>
        <v/>
      </c>
      <c r="AR99" t="str">
        <f t="shared" si="16"/>
        <v/>
      </c>
      <c r="AS99" t="str">
        <f t="shared" si="17"/>
        <v/>
      </c>
      <c r="AT99" t="str">
        <f t="shared" si="18"/>
        <v/>
      </c>
      <c r="BG99" t="str">
        <f t="shared" si="19"/>
        <v/>
      </c>
      <c r="BH99" t="str">
        <f t="shared" si="20"/>
        <v/>
      </c>
      <c r="BL99" t="str">
        <f>IFERROR(INDEX(_names_lookup!$C:$C,MATCH(BK99,_names_lookup!$A:$A,0)),"")</f>
        <v/>
      </c>
      <c r="BM99" t="str">
        <f>IFERROR(INDEX(_names_lookup!$B:$B,MATCH(BK99,_names_lookup!$A:$A,0)),"")</f>
        <v/>
      </c>
      <c r="BS99" t="str">
        <f t="shared" si="21"/>
        <v/>
      </c>
    </row>
    <row r="100" spans="15:71" x14ac:dyDescent="0.2">
      <c r="O100" t="str">
        <f>IFERROR(INDEX(_courses_lookup!$C:$C,MATCH(K100&amp;L100,_courses_lookup!$E:$E,0)),"")</f>
        <v/>
      </c>
      <c r="P100" t="str">
        <f>IFERROR(INDEX(_courses_lookup!$D:$D,MATCH(K100&amp;L100,_courses_lookup!$E:$E,0)),"")</f>
        <v/>
      </c>
      <c r="AG100" t="str">
        <f t="shared" si="11"/>
        <v/>
      </c>
      <c r="AI100" t="str">
        <f t="shared" si="12"/>
        <v/>
      </c>
      <c r="AL100" t="str">
        <f t="shared" si="13"/>
        <v/>
      </c>
      <c r="AN100" t="str">
        <f t="shared" si="14"/>
        <v/>
      </c>
      <c r="AQ100" t="str">
        <f t="shared" si="15"/>
        <v/>
      </c>
      <c r="AR100" t="str">
        <f t="shared" si="16"/>
        <v/>
      </c>
      <c r="AS100" t="str">
        <f t="shared" si="17"/>
        <v/>
      </c>
      <c r="AT100" t="str">
        <f t="shared" si="18"/>
        <v/>
      </c>
      <c r="BG100" t="str">
        <f t="shared" si="19"/>
        <v/>
      </c>
      <c r="BH100" t="str">
        <f t="shared" si="20"/>
        <v/>
      </c>
      <c r="BL100" t="str">
        <f>IFERROR(INDEX(_names_lookup!$C:$C,MATCH(BK100,_names_lookup!$A:$A,0)),"")</f>
        <v/>
      </c>
      <c r="BM100" t="str">
        <f>IFERROR(INDEX(_names_lookup!$B:$B,MATCH(BK100,_names_lookup!$A:$A,0)),"")</f>
        <v/>
      </c>
      <c r="BS100" t="str">
        <f t="shared" si="21"/>
        <v/>
      </c>
    </row>
    <row r="101" spans="15:71" x14ac:dyDescent="0.2">
      <c r="O101" t="str">
        <f>IFERROR(INDEX(_courses_lookup!$C:$C,MATCH(K101&amp;L101,_courses_lookup!$E:$E,0)),"")</f>
        <v/>
      </c>
      <c r="P101" t="str">
        <f>IFERROR(INDEX(_courses_lookup!$D:$D,MATCH(K101&amp;L101,_courses_lookup!$E:$E,0)),"")</f>
        <v/>
      </c>
      <c r="AG101" t="str">
        <f t="shared" si="11"/>
        <v/>
      </c>
      <c r="AI101" t="str">
        <f t="shared" si="12"/>
        <v/>
      </c>
      <c r="AL101" t="str">
        <f t="shared" si="13"/>
        <v/>
      </c>
      <c r="AN101" t="str">
        <f t="shared" si="14"/>
        <v/>
      </c>
      <c r="AQ101" t="str">
        <f t="shared" si="15"/>
        <v/>
      </c>
      <c r="AR101" t="str">
        <f t="shared" si="16"/>
        <v/>
      </c>
      <c r="AS101" t="str">
        <f t="shared" si="17"/>
        <v/>
      </c>
      <c r="AT101" t="str">
        <f t="shared" si="18"/>
        <v/>
      </c>
      <c r="BG101" t="str">
        <f t="shared" si="19"/>
        <v/>
      </c>
      <c r="BH101" t="str">
        <f t="shared" si="20"/>
        <v/>
      </c>
      <c r="BL101" t="str">
        <f>IFERROR(INDEX(_names_lookup!$C:$C,MATCH(BK101,_names_lookup!$A:$A,0)),"")</f>
        <v/>
      </c>
      <c r="BM101" t="str">
        <f>IFERROR(INDEX(_names_lookup!$B:$B,MATCH(BK101,_names_lookup!$A:$A,0)),"")</f>
        <v/>
      </c>
      <c r="BS101" t="str">
        <f t="shared" si="21"/>
        <v/>
      </c>
    </row>
    <row r="102" spans="15:71" x14ac:dyDescent="0.2">
      <c r="O102" t="str">
        <f>IFERROR(INDEX(_courses_lookup!$C:$C,MATCH(K102&amp;L102,_courses_lookup!$E:$E,0)),"")</f>
        <v/>
      </c>
      <c r="P102" t="str">
        <f>IFERROR(INDEX(_courses_lookup!$D:$D,MATCH(K102&amp;L102,_courses_lookup!$E:$E,0)),"")</f>
        <v/>
      </c>
      <c r="AG102" t="str">
        <f t="shared" si="11"/>
        <v/>
      </c>
      <c r="AI102" t="str">
        <f t="shared" si="12"/>
        <v/>
      </c>
      <c r="AL102" t="str">
        <f t="shared" si="13"/>
        <v/>
      </c>
      <c r="AN102" t="str">
        <f t="shared" si="14"/>
        <v/>
      </c>
      <c r="AQ102" t="str">
        <f t="shared" si="15"/>
        <v/>
      </c>
      <c r="AR102" t="str">
        <f t="shared" si="16"/>
        <v/>
      </c>
      <c r="AS102" t="str">
        <f t="shared" si="17"/>
        <v/>
      </c>
      <c r="AT102" t="str">
        <f t="shared" si="18"/>
        <v/>
      </c>
      <c r="BG102" t="str">
        <f t="shared" si="19"/>
        <v/>
      </c>
      <c r="BH102" t="str">
        <f t="shared" si="20"/>
        <v/>
      </c>
      <c r="BL102" t="str">
        <f>IFERROR(INDEX(_names_lookup!$C:$C,MATCH(BK102,_names_lookup!$A:$A,0)),"")</f>
        <v/>
      </c>
      <c r="BM102" t="str">
        <f>IFERROR(INDEX(_names_lookup!$B:$B,MATCH(BK102,_names_lookup!$A:$A,0)),"")</f>
        <v/>
      </c>
      <c r="BS102" t="str">
        <f t="shared" si="21"/>
        <v/>
      </c>
    </row>
    <row r="103" spans="15:71" x14ac:dyDescent="0.2">
      <c r="O103" t="str">
        <f>IFERROR(INDEX(_courses_lookup!$C:$C,MATCH(K103&amp;L103,_courses_lookup!$E:$E,0)),"")</f>
        <v/>
      </c>
      <c r="P103" t="str">
        <f>IFERROR(INDEX(_courses_lookup!$D:$D,MATCH(K103&amp;L103,_courses_lookup!$E:$E,0)),"")</f>
        <v/>
      </c>
      <c r="AG103" t="str">
        <f t="shared" si="11"/>
        <v/>
      </c>
      <c r="AI103" t="str">
        <f t="shared" si="12"/>
        <v/>
      </c>
      <c r="AL103" t="str">
        <f t="shared" si="13"/>
        <v/>
      </c>
      <c r="AN103" t="str">
        <f t="shared" si="14"/>
        <v/>
      </c>
      <c r="AQ103" t="str">
        <f t="shared" si="15"/>
        <v/>
      </c>
      <c r="AR103" t="str">
        <f t="shared" si="16"/>
        <v/>
      </c>
      <c r="AS103" t="str">
        <f t="shared" si="17"/>
        <v/>
      </c>
      <c r="AT103" t="str">
        <f t="shared" si="18"/>
        <v/>
      </c>
      <c r="BG103" t="str">
        <f t="shared" si="19"/>
        <v/>
      </c>
      <c r="BH103" t="str">
        <f t="shared" si="20"/>
        <v/>
      </c>
      <c r="BL103" t="str">
        <f>IFERROR(INDEX(_names_lookup!$C:$C,MATCH(BK103,_names_lookup!$A:$A,0)),"")</f>
        <v/>
      </c>
      <c r="BM103" t="str">
        <f>IFERROR(INDEX(_names_lookup!$B:$B,MATCH(BK103,_names_lookup!$A:$A,0)),"")</f>
        <v/>
      </c>
      <c r="BS103" t="str">
        <f t="shared" si="21"/>
        <v/>
      </c>
    </row>
    <row r="104" spans="15:71" x14ac:dyDescent="0.2">
      <c r="O104" t="str">
        <f>IFERROR(INDEX(_courses_lookup!$C:$C,MATCH(K104&amp;L104,_courses_lookup!$E:$E,0)),"")</f>
        <v/>
      </c>
      <c r="P104" t="str">
        <f>IFERROR(INDEX(_courses_lookup!$D:$D,MATCH(K104&amp;L104,_courses_lookup!$E:$E,0)),"")</f>
        <v/>
      </c>
      <c r="AG104" t="str">
        <f t="shared" si="11"/>
        <v/>
      </c>
      <c r="AI104" t="str">
        <f t="shared" si="12"/>
        <v/>
      </c>
      <c r="AL104" t="str">
        <f t="shared" si="13"/>
        <v/>
      </c>
      <c r="AN104" t="str">
        <f t="shared" si="14"/>
        <v/>
      </c>
      <c r="AQ104" t="str">
        <f t="shared" si="15"/>
        <v/>
      </c>
      <c r="AR104" t="str">
        <f t="shared" si="16"/>
        <v/>
      </c>
      <c r="AS104" t="str">
        <f t="shared" si="17"/>
        <v/>
      </c>
      <c r="AT104" t="str">
        <f t="shared" si="18"/>
        <v/>
      </c>
      <c r="BG104" t="str">
        <f t="shared" si="19"/>
        <v/>
      </c>
      <c r="BH104" t="str">
        <f t="shared" si="20"/>
        <v/>
      </c>
      <c r="BL104" t="str">
        <f>IFERROR(INDEX(_names_lookup!$C:$C,MATCH(BK104,_names_lookup!$A:$A,0)),"")</f>
        <v/>
      </c>
      <c r="BM104" t="str">
        <f>IFERROR(INDEX(_names_lookup!$B:$B,MATCH(BK104,_names_lookup!$A:$A,0)),"")</f>
        <v/>
      </c>
      <c r="BS104" t="str">
        <f t="shared" si="21"/>
        <v/>
      </c>
    </row>
    <row r="105" spans="15:71" x14ac:dyDescent="0.2">
      <c r="O105" t="str">
        <f>IFERROR(INDEX(_courses_lookup!$C:$C,MATCH(K105&amp;L105,_courses_lookup!$E:$E,0)),"")</f>
        <v/>
      </c>
      <c r="P105" t="str">
        <f>IFERROR(INDEX(_courses_lookup!$D:$D,MATCH(K105&amp;L105,_courses_lookup!$E:$E,0)),"")</f>
        <v/>
      </c>
      <c r="AG105" t="str">
        <f t="shared" si="11"/>
        <v/>
      </c>
      <c r="AI105" t="str">
        <f t="shared" si="12"/>
        <v/>
      </c>
      <c r="AL105" t="str">
        <f t="shared" si="13"/>
        <v/>
      </c>
      <c r="AN105" t="str">
        <f t="shared" si="14"/>
        <v/>
      </c>
      <c r="AQ105" t="str">
        <f t="shared" si="15"/>
        <v/>
      </c>
      <c r="AR105" t="str">
        <f t="shared" si="16"/>
        <v/>
      </c>
      <c r="AS105" t="str">
        <f t="shared" si="17"/>
        <v/>
      </c>
      <c r="AT105" t="str">
        <f t="shared" si="18"/>
        <v/>
      </c>
      <c r="BG105" t="str">
        <f t="shared" si="19"/>
        <v/>
      </c>
      <c r="BH105" t="str">
        <f t="shared" si="20"/>
        <v/>
      </c>
      <c r="BL105" t="str">
        <f>IFERROR(INDEX(_names_lookup!$C:$C,MATCH(BK105,_names_lookup!$A:$A,0)),"")</f>
        <v/>
      </c>
      <c r="BM105" t="str">
        <f>IFERROR(INDEX(_names_lookup!$B:$B,MATCH(BK105,_names_lookup!$A:$A,0)),"")</f>
        <v/>
      </c>
      <c r="BS105" t="str">
        <f t="shared" si="21"/>
        <v/>
      </c>
    </row>
    <row r="106" spans="15:71" x14ac:dyDescent="0.2">
      <c r="O106" t="str">
        <f>IFERROR(INDEX(_courses_lookup!$C:$C,MATCH(K106&amp;L106,_courses_lookup!$E:$E,0)),"")</f>
        <v/>
      </c>
      <c r="P106" t="str">
        <f>IFERROR(INDEX(_courses_lookup!$D:$D,MATCH(K106&amp;L106,_courses_lookup!$E:$E,0)),"")</f>
        <v/>
      </c>
      <c r="AG106" t="str">
        <f t="shared" si="11"/>
        <v/>
      </c>
      <c r="AI106" t="str">
        <f t="shared" si="12"/>
        <v/>
      </c>
      <c r="AL106" t="str">
        <f t="shared" si="13"/>
        <v/>
      </c>
      <c r="AN106" t="str">
        <f t="shared" si="14"/>
        <v/>
      </c>
      <c r="AQ106" t="str">
        <f t="shared" si="15"/>
        <v/>
      </c>
      <c r="AR106" t="str">
        <f t="shared" si="16"/>
        <v/>
      </c>
      <c r="AS106" t="str">
        <f t="shared" si="17"/>
        <v/>
      </c>
      <c r="AT106" t="str">
        <f t="shared" si="18"/>
        <v/>
      </c>
      <c r="BG106" t="str">
        <f t="shared" si="19"/>
        <v/>
      </c>
      <c r="BH106" t="str">
        <f t="shared" si="20"/>
        <v/>
      </c>
      <c r="BL106" t="str">
        <f>IFERROR(INDEX(_names_lookup!$C:$C,MATCH(BK106,_names_lookup!$A:$A,0)),"")</f>
        <v/>
      </c>
      <c r="BM106" t="str">
        <f>IFERROR(INDEX(_names_lookup!$B:$B,MATCH(BK106,_names_lookup!$A:$A,0)),"")</f>
        <v/>
      </c>
      <c r="BS106" t="str">
        <f t="shared" si="21"/>
        <v/>
      </c>
    </row>
    <row r="107" spans="15:71" x14ac:dyDescent="0.2">
      <c r="O107" t="str">
        <f>IFERROR(INDEX(_courses_lookup!$C:$C,MATCH(K107&amp;L107,_courses_lookup!$E:$E,0)),"")</f>
        <v/>
      </c>
      <c r="P107" t="str">
        <f>IFERROR(INDEX(_courses_lookup!$D:$D,MATCH(K107&amp;L107,_courses_lookup!$E:$E,0)),"")</f>
        <v/>
      </c>
      <c r="AG107" t="str">
        <f t="shared" si="11"/>
        <v/>
      </c>
      <c r="AI107" t="str">
        <f t="shared" si="12"/>
        <v/>
      </c>
      <c r="AL107" t="str">
        <f t="shared" si="13"/>
        <v/>
      </c>
      <c r="AN107" t="str">
        <f t="shared" si="14"/>
        <v/>
      </c>
      <c r="AQ107" t="str">
        <f t="shared" si="15"/>
        <v/>
      </c>
      <c r="AR107" t="str">
        <f t="shared" si="16"/>
        <v/>
      </c>
      <c r="AS107" t="str">
        <f t="shared" si="17"/>
        <v/>
      </c>
      <c r="AT107" t="str">
        <f t="shared" si="18"/>
        <v/>
      </c>
      <c r="BG107" t="str">
        <f t="shared" si="19"/>
        <v/>
      </c>
      <c r="BH107" t="str">
        <f t="shared" si="20"/>
        <v/>
      </c>
      <c r="BL107" t="str">
        <f>IFERROR(INDEX(_names_lookup!$C:$C,MATCH(BK107,_names_lookup!$A:$A,0)),"")</f>
        <v/>
      </c>
      <c r="BM107" t="str">
        <f>IFERROR(INDEX(_names_lookup!$B:$B,MATCH(BK107,_names_lookup!$A:$A,0)),"")</f>
        <v/>
      </c>
      <c r="BS107" t="str">
        <f t="shared" si="21"/>
        <v/>
      </c>
    </row>
    <row r="108" spans="15:71" x14ac:dyDescent="0.2">
      <c r="O108" t="str">
        <f>IFERROR(INDEX(_courses_lookup!$C:$C,MATCH(K108&amp;L108,_courses_lookup!$E:$E,0)),"")</f>
        <v/>
      </c>
      <c r="P108" t="str">
        <f>IFERROR(INDEX(_courses_lookup!$D:$D,MATCH(K108&amp;L108,_courses_lookup!$E:$E,0)),"")</f>
        <v/>
      </c>
      <c r="AG108" t="str">
        <f t="shared" si="11"/>
        <v/>
      </c>
      <c r="AI108" t="str">
        <f t="shared" si="12"/>
        <v/>
      </c>
      <c r="AL108" t="str">
        <f t="shared" si="13"/>
        <v/>
      </c>
      <c r="AN108" t="str">
        <f t="shared" si="14"/>
        <v/>
      </c>
      <c r="AQ108" t="str">
        <f t="shared" si="15"/>
        <v/>
      </c>
      <c r="AR108" t="str">
        <f t="shared" si="16"/>
        <v/>
      </c>
      <c r="AS108" t="str">
        <f t="shared" si="17"/>
        <v/>
      </c>
      <c r="AT108" t="str">
        <f t="shared" si="18"/>
        <v/>
      </c>
      <c r="BG108" t="str">
        <f t="shared" si="19"/>
        <v/>
      </c>
      <c r="BH108" t="str">
        <f t="shared" si="20"/>
        <v/>
      </c>
      <c r="BL108" t="str">
        <f>IFERROR(INDEX(_names_lookup!$C:$C,MATCH(BK108,_names_lookup!$A:$A,0)),"")</f>
        <v/>
      </c>
      <c r="BM108" t="str">
        <f>IFERROR(INDEX(_names_lookup!$B:$B,MATCH(BK108,_names_lookup!$A:$A,0)),"")</f>
        <v/>
      </c>
      <c r="BS108" t="str">
        <f t="shared" si="21"/>
        <v/>
      </c>
    </row>
    <row r="109" spans="15:71" x14ac:dyDescent="0.2">
      <c r="O109" t="str">
        <f>IFERROR(INDEX(_courses_lookup!$C:$C,MATCH(K109&amp;L109,_courses_lookup!$E:$E,0)),"")</f>
        <v/>
      </c>
      <c r="P109" t="str">
        <f>IFERROR(INDEX(_courses_lookup!$D:$D,MATCH(K109&amp;L109,_courses_lookup!$E:$E,0)),"")</f>
        <v/>
      </c>
      <c r="AG109" t="str">
        <f t="shared" si="11"/>
        <v/>
      </c>
      <c r="AI109" t="str">
        <f t="shared" si="12"/>
        <v/>
      </c>
      <c r="AL109" t="str">
        <f t="shared" si="13"/>
        <v/>
      </c>
      <c r="AN109" t="str">
        <f t="shared" si="14"/>
        <v/>
      </c>
      <c r="AQ109" t="str">
        <f t="shared" si="15"/>
        <v/>
      </c>
      <c r="AR109" t="str">
        <f t="shared" si="16"/>
        <v/>
      </c>
      <c r="AS109" t="str">
        <f t="shared" si="17"/>
        <v/>
      </c>
      <c r="AT109" t="str">
        <f t="shared" si="18"/>
        <v/>
      </c>
      <c r="BG109" t="str">
        <f t="shared" si="19"/>
        <v/>
      </c>
      <c r="BH109" t="str">
        <f t="shared" si="20"/>
        <v/>
      </c>
      <c r="BL109" t="str">
        <f>IFERROR(INDEX(_names_lookup!$C:$C,MATCH(BK109,_names_lookup!$A:$A,0)),"")</f>
        <v/>
      </c>
      <c r="BM109" t="str">
        <f>IFERROR(INDEX(_names_lookup!$B:$B,MATCH(BK109,_names_lookup!$A:$A,0)),"")</f>
        <v/>
      </c>
      <c r="BS109" t="str">
        <f t="shared" si="21"/>
        <v/>
      </c>
    </row>
    <row r="110" spans="15:71" x14ac:dyDescent="0.2">
      <c r="O110" t="str">
        <f>IFERROR(INDEX(_courses_lookup!$C:$C,MATCH(K110&amp;L110,_courses_lookup!$E:$E,0)),"")</f>
        <v/>
      </c>
      <c r="P110" t="str">
        <f>IFERROR(INDEX(_courses_lookup!$D:$D,MATCH(K110&amp;L110,_courses_lookup!$E:$E,0)),"")</f>
        <v/>
      </c>
      <c r="AG110" t="str">
        <f t="shared" si="11"/>
        <v/>
      </c>
      <c r="AI110" t="str">
        <f t="shared" si="12"/>
        <v/>
      </c>
      <c r="AL110" t="str">
        <f t="shared" si="13"/>
        <v/>
      </c>
      <c r="AN110" t="str">
        <f t="shared" si="14"/>
        <v/>
      </c>
      <c r="AQ110" t="str">
        <f t="shared" si="15"/>
        <v/>
      </c>
      <c r="AR110" t="str">
        <f t="shared" si="16"/>
        <v/>
      </c>
      <c r="AS110" t="str">
        <f t="shared" si="17"/>
        <v/>
      </c>
      <c r="AT110" t="str">
        <f t="shared" si="18"/>
        <v/>
      </c>
      <c r="BG110" t="str">
        <f t="shared" si="19"/>
        <v/>
      </c>
      <c r="BH110" t="str">
        <f t="shared" si="20"/>
        <v/>
      </c>
      <c r="BL110" t="str">
        <f>IFERROR(INDEX(_names_lookup!$C:$C,MATCH(BK110,_names_lookup!$A:$A,0)),"")</f>
        <v/>
      </c>
      <c r="BM110" t="str">
        <f>IFERROR(INDEX(_names_lookup!$B:$B,MATCH(BK110,_names_lookup!$A:$A,0)),"")</f>
        <v/>
      </c>
      <c r="BS110" t="str">
        <f t="shared" si="21"/>
        <v/>
      </c>
    </row>
    <row r="111" spans="15:71" x14ac:dyDescent="0.2">
      <c r="O111" t="str">
        <f>IFERROR(INDEX(_courses_lookup!$C:$C,MATCH(K111&amp;L111,_courses_lookup!$E:$E,0)),"")</f>
        <v/>
      </c>
      <c r="P111" t="str">
        <f>IFERROR(INDEX(_courses_lookup!$D:$D,MATCH(K111&amp;L111,_courses_lookup!$E:$E,0)),"")</f>
        <v/>
      </c>
      <c r="AG111" t="str">
        <f t="shared" si="11"/>
        <v/>
      </c>
      <c r="AI111" t="str">
        <f t="shared" si="12"/>
        <v/>
      </c>
      <c r="AL111" t="str">
        <f t="shared" si="13"/>
        <v/>
      </c>
      <c r="AN111" t="str">
        <f t="shared" si="14"/>
        <v/>
      </c>
      <c r="AQ111" t="str">
        <f t="shared" si="15"/>
        <v/>
      </c>
      <c r="AR111" t="str">
        <f t="shared" si="16"/>
        <v/>
      </c>
      <c r="AS111" t="str">
        <f t="shared" si="17"/>
        <v/>
      </c>
      <c r="AT111" t="str">
        <f t="shared" si="18"/>
        <v/>
      </c>
      <c r="BG111" t="str">
        <f t="shared" si="19"/>
        <v/>
      </c>
      <c r="BH111" t="str">
        <f t="shared" si="20"/>
        <v/>
      </c>
      <c r="BL111" t="str">
        <f>IFERROR(INDEX(_names_lookup!$C:$C,MATCH(BK111,_names_lookup!$A:$A,0)),"")</f>
        <v/>
      </c>
      <c r="BM111" t="str">
        <f>IFERROR(INDEX(_names_lookup!$B:$B,MATCH(BK111,_names_lookup!$A:$A,0)),"")</f>
        <v/>
      </c>
      <c r="BS111" t="str">
        <f t="shared" si="21"/>
        <v/>
      </c>
    </row>
    <row r="112" spans="15:71" x14ac:dyDescent="0.2">
      <c r="O112" t="str">
        <f>IFERROR(INDEX(_courses_lookup!$C:$C,MATCH(K112&amp;L112,_courses_lookup!$E:$E,0)),"")</f>
        <v/>
      </c>
      <c r="P112" t="str">
        <f>IFERROR(INDEX(_courses_lookup!$D:$D,MATCH(K112&amp;L112,_courses_lookup!$E:$E,0)),"")</f>
        <v/>
      </c>
      <c r="AG112" t="str">
        <f t="shared" si="11"/>
        <v/>
      </c>
      <c r="AI112" t="str">
        <f t="shared" si="12"/>
        <v/>
      </c>
      <c r="AL112" t="str">
        <f t="shared" si="13"/>
        <v/>
      </c>
      <c r="AN112" t="str">
        <f t="shared" si="14"/>
        <v/>
      </c>
      <c r="AQ112" t="str">
        <f t="shared" si="15"/>
        <v/>
      </c>
      <c r="AR112" t="str">
        <f t="shared" si="16"/>
        <v/>
      </c>
      <c r="AS112" t="str">
        <f t="shared" si="17"/>
        <v/>
      </c>
      <c r="AT112" t="str">
        <f t="shared" si="18"/>
        <v/>
      </c>
      <c r="BG112" t="str">
        <f t="shared" si="19"/>
        <v/>
      </c>
      <c r="BH112" t="str">
        <f t="shared" si="20"/>
        <v/>
      </c>
      <c r="BL112" t="str">
        <f>IFERROR(INDEX(_names_lookup!$C:$C,MATCH(BK112,_names_lookup!$A:$A,0)),"")</f>
        <v/>
      </c>
      <c r="BM112" t="str">
        <f>IFERROR(INDEX(_names_lookup!$B:$B,MATCH(BK112,_names_lookup!$A:$A,0)),"")</f>
        <v/>
      </c>
      <c r="BS112" t="str">
        <f t="shared" si="21"/>
        <v/>
      </c>
    </row>
    <row r="113" spans="15:71" x14ac:dyDescent="0.2">
      <c r="O113" t="str">
        <f>IFERROR(INDEX(_courses_lookup!$C:$C,MATCH(K113&amp;L113,_courses_lookup!$E:$E,0)),"")</f>
        <v/>
      </c>
      <c r="P113" t="str">
        <f>IFERROR(INDEX(_courses_lookup!$D:$D,MATCH(K113&amp;L113,_courses_lookup!$E:$E,0)),"")</f>
        <v/>
      </c>
      <c r="AG113" t="str">
        <f t="shared" si="11"/>
        <v/>
      </c>
      <c r="AI113" t="str">
        <f t="shared" si="12"/>
        <v/>
      </c>
      <c r="AL113" t="str">
        <f t="shared" si="13"/>
        <v/>
      </c>
      <c r="AN113" t="str">
        <f t="shared" si="14"/>
        <v/>
      </c>
      <c r="AQ113" t="str">
        <f t="shared" si="15"/>
        <v/>
      </c>
      <c r="AR113" t="str">
        <f t="shared" si="16"/>
        <v/>
      </c>
      <c r="AS113" t="str">
        <f t="shared" si="17"/>
        <v/>
      </c>
      <c r="AT113" t="str">
        <f t="shared" si="18"/>
        <v/>
      </c>
      <c r="BG113" t="str">
        <f t="shared" si="19"/>
        <v/>
      </c>
      <c r="BH113" t="str">
        <f t="shared" si="20"/>
        <v/>
      </c>
      <c r="BL113" t="str">
        <f>IFERROR(INDEX(_names_lookup!$C:$C,MATCH(BK113,_names_lookup!$A:$A,0)),"")</f>
        <v/>
      </c>
      <c r="BM113" t="str">
        <f>IFERROR(INDEX(_names_lookup!$B:$B,MATCH(BK113,_names_lookup!$A:$A,0)),"")</f>
        <v/>
      </c>
      <c r="BS113" t="str">
        <f t="shared" si="21"/>
        <v/>
      </c>
    </row>
    <row r="114" spans="15:71" x14ac:dyDescent="0.2">
      <c r="O114" t="str">
        <f>IFERROR(INDEX(_courses_lookup!$C:$C,MATCH(K114&amp;L114,_courses_lookup!$E:$E,0)),"")</f>
        <v/>
      </c>
      <c r="P114" t="str">
        <f>IFERROR(INDEX(_courses_lookup!$D:$D,MATCH(K114&amp;L114,_courses_lookup!$E:$E,0)),"")</f>
        <v/>
      </c>
      <c r="AG114" t="str">
        <f t="shared" si="11"/>
        <v/>
      </c>
      <c r="AI114" t="str">
        <f t="shared" si="12"/>
        <v/>
      </c>
      <c r="AL114" t="str">
        <f t="shared" si="13"/>
        <v/>
      </c>
      <c r="AN114" t="str">
        <f t="shared" si="14"/>
        <v/>
      </c>
      <c r="AQ114" t="str">
        <f t="shared" si="15"/>
        <v/>
      </c>
      <c r="AR114" t="str">
        <f t="shared" si="16"/>
        <v/>
      </c>
      <c r="AS114" t="str">
        <f t="shared" si="17"/>
        <v/>
      </c>
      <c r="AT114" t="str">
        <f t="shared" si="18"/>
        <v/>
      </c>
      <c r="BG114" t="str">
        <f t="shared" si="19"/>
        <v/>
      </c>
      <c r="BH114" t="str">
        <f t="shared" si="20"/>
        <v/>
      </c>
      <c r="BL114" t="str">
        <f>IFERROR(INDEX(_names_lookup!$C:$C,MATCH(BK114,_names_lookup!$A:$A,0)),"")</f>
        <v/>
      </c>
      <c r="BM114" t="str">
        <f>IFERROR(INDEX(_names_lookup!$B:$B,MATCH(BK114,_names_lookup!$A:$A,0)),"")</f>
        <v/>
      </c>
      <c r="BS114" t="str">
        <f t="shared" si="21"/>
        <v/>
      </c>
    </row>
    <row r="115" spans="15:71" x14ac:dyDescent="0.2">
      <c r="O115" t="str">
        <f>IFERROR(INDEX(_courses_lookup!$C:$C,MATCH(K115&amp;L115,_courses_lookup!$E:$E,0)),"")</f>
        <v/>
      </c>
      <c r="P115" t="str">
        <f>IFERROR(INDEX(_courses_lookup!$D:$D,MATCH(K115&amp;L115,_courses_lookup!$E:$E,0)),"")</f>
        <v/>
      </c>
      <c r="AG115" t="str">
        <f t="shared" si="11"/>
        <v/>
      </c>
      <c r="AI115" t="str">
        <f t="shared" si="12"/>
        <v/>
      </c>
      <c r="AL115" t="str">
        <f t="shared" si="13"/>
        <v/>
      </c>
      <c r="AN115" t="str">
        <f t="shared" si="14"/>
        <v/>
      </c>
      <c r="AQ115" t="str">
        <f t="shared" si="15"/>
        <v/>
      </c>
      <c r="AR115" t="str">
        <f t="shared" si="16"/>
        <v/>
      </c>
      <c r="AS115" t="str">
        <f t="shared" si="17"/>
        <v/>
      </c>
      <c r="AT115" t="str">
        <f t="shared" si="18"/>
        <v/>
      </c>
      <c r="BG115" t="str">
        <f t="shared" si="19"/>
        <v/>
      </c>
      <c r="BH115" t="str">
        <f t="shared" si="20"/>
        <v/>
      </c>
      <c r="BL115" t="str">
        <f>IFERROR(INDEX(_names_lookup!$C:$C,MATCH(BK115,_names_lookup!$A:$A,0)),"")</f>
        <v/>
      </c>
      <c r="BM115" t="str">
        <f>IFERROR(INDEX(_names_lookup!$B:$B,MATCH(BK115,_names_lookup!$A:$A,0)),"")</f>
        <v/>
      </c>
      <c r="BS115" t="str">
        <f t="shared" si="21"/>
        <v/>
      </c>
    </row>
    <row r="116" spans="15:71" x14ac:dyDescent="0.2">
      <c r="O116" t="str">
        <f>IFERROR(INDEX(_courses_lookup!$C:$C,MATCH(K116&amp;L116,_courses_lookup!$E:$E,0)),"")</f>
        <v/>
      </c>
      <c r="P116" t="str">
        <f>IFERROR(INDEX(_courses_lookup!$D:$D,MATCH(K116&amp;L116,_courses_lookup!$E:$E,0)),"")</f>
        <v/>
      </c>
      <c r="AG116" t="str">
        <f t="shared" si="11"/>
        <v/>
      </c>
      <c r="AI116" t="str">
        <f t="shared" si="12"/>
        <v/>
      </c>
      <c r="AL116" t="str">
        <f t="shared" si="13"/>
        <v/>
      </c>
      <c r="AN116" t="str">
        <f t="shared" si="14"/>
        <v/>
      </c>
      <c r="AQ116" t="str">
        <f t="shared" si="15"/>
        <v/>
      </c>
      <c r="AR116" t="str">
        <f t="shared" si="16"/>
        <v/>
      </c>
      <c r="AS116" t="str">
        <f t="shared" si="17"/>
        <v/>
      </c>
      <c r="AT116" t="str">
        <f t="shared" si="18"/>
        <v/>
      </c>
      <c r="BG116" t="str">
        <f t="shared" si="19"/>
        <v/>
      </c>
      <c r="BH116" t="str">
        <f t="shared" si="20"/>
        <v/>
      </c>
      <c r="BL116" t="str">
        <f>IFERROR(INDEX(_names_lookup!$C:$C,MATCH(BK116,_names_lookup!$A:$A,0)),"")</f>
        <v/>
      </c>
      <c r="BM116" t="str">
        <f>IFERROR(INDEX(_names_lookup!$B:$B,MATCH(BK116,_names_lookup!$A:$A,0)),"")</f>
        <v/>
      </c>
      <c r="BS116" t="str">
        <f t="shared" si="21"/>
        <v/>
      </c>
    </row>
    <row r="117" spans="15:71" x14ac:dyDescent="0.2">
      <c r="O117" t="str">
        <f>IFERROR(INDEX(_courses_lookup!$C:$C,MATCH(K117&amp;L117,_courses_lookup!$E:$E,0)),"")</f>
        <v/>
      </c>
      <c r="P117" t="str">
        <f>IFERROR(INDEX(_courses_lookup!$D:$D,MATCH(K117&amp;L117,_courses_lookup!$E:$E,0)),"")</f>
        <v/>
      </c>
      <c r="AG117" t="str">
        <f t="shared" si="11"/>
        <v/>
      </c>
      <c r="AI117" t="str">
        <f t="shared" si="12"/>
        <v/>
      </c>
      <c r="AL117" t="str">
        <f t="shared" si="13"/>
        <v/>
      </c>
      <c r="AN117" t="str">
        <f t="shared" si="14"/>
        <v/>
      </c>
      <c r="AQ117" t="str">
        <f t="shared" si="15"/>
        <v/>
      </c>
      <c r="AR117" t="str">
        <f t="shared" si="16"/>
        <v/>
      </c>
      <c r="AS117" t="str">
        <f t="shared" si="17"/>
        <v/>
      </c>
      <c r="AT117" t="str">
        <f t="shared" si="18"/>
        <v/>
      </c>
      <c r="BG117" t="str">
        <f t="shared" si="19"/>
        <v/>
      </c>
      <c r="BH117" t="str">
        <f t="shared" si="20"/>
        <v/>
      </c>
      <c r="BL117" t="str">
        <f>IFERROR(INDEX(_names_lookup!$C:$C,MATCH(BK117,_names_lookup!$A:$A,0)),"")</f>
        <v/>
      </c>
      <c r="BM117" t="str">
        <f>IFERROR(INDEX(_names_lookup!$B:$B,MATCH(BK117,_names_lookup!$A:$A,0)),"")</f>
        <v/>
      </c>
      <c r="BS117" t="str">
        <f t="shared" si="21"/>
        <v/>
      </c>
    </row>
    <row r="118" spans="15:71" x14ac:dyDescent="0.2">
      <c r="O118" t="str">
        <f>IFERROR(INDEX(_courses_lookup!$C:$C,MATCH(K118&amp;L118,_courses_lookup!$E:$E,0)),"")</f>
        <v/>
      </c>
      <c r="P118" t="str">
        <f>IFERROR(INDEX(_courses_lookup!$D:$D,MATCH(K118&amp;L118,_courses_lookup!$E:$E,0)),"")</f>
        <v/>
      </c>
      <c r="AG118" t="str">
        <f t="shared" si="11"/>
        <v/>
      </c>
      <c r="AI118" t="str">
        <f t="shared" si="12"/>
        <v/>
      </c>
      <c r="AL118" t="str">
        <f t="shared" si="13"/>
        <v/>
      </c>
      <c r="AN118" t="str">
        <f t="shared" si="14"/>
        <v/>
      </c>
      <c r="AQ118" t="str">
        <f t="shared" si="15"/>
        <v/>
      </c>
      <c r="AR118" t="str">
        <f t="shared" si="16"/>
        <v/>
      </c>
      <c r="AS118" t="str">
        <f t="shared" si="17"/>
        <v/>
      </c>
      <c r="AT118" t="str">
        <f t="shared" si="18"/>
        <v/>
      </c>
      <c r="BG118" t="str">
        <f t="shared" si="19"/>
        <v/>
      </c>
      <c r="BH118" t="str">
        <f t="shared" si="20"/>
        <v/>
      </c>
      <c r="BL118" t="str">
        <f>IFERROR(INDEX(_names_lookup!$C:$C,MATCH(BK118,_names_lookup!$A:$A,0)),"")</f>
        <v/>
      </c>
      <c r="BM118" t="str">
        <f>IFERROR(INDEX(_names_lookup!$B:$B,MATCH(BK118,_names_lookup!$A:$A,0)),"")</f>
        <v/>
      </c>
      <c r="BS118" t="str">
        <f t="shared" si="21"/>
        <v/>
      </c>
    </row>
    <row r="119" spans="15:71" x14ac:dyDescent="0.2">
      <c r="O119" t="str">
        <f>IFERROR(INDEX(_courses_lookup!$C:$C,MATCH(K119&amp;L119,_courses_lookup!$E:$E,0)),"")</f>
        <v/>
      </c>
      <c r="P119" t="str">
        <f>IFERROR(INDEX(_courses_lookup!$D:$D,MATCH(K119&amp;L119,_courses_lookup!$E:$E,0)),"")</f>
        <v/>
      </c>
      <c r="AG119" t="str">
        <f t="shared" si="11"/>
        <v/>
      </c>
      <c r="AI119" t="str">
        <f t="shared" si="12"/>
        <v/>
      </c>
      <c r="AL119" t="str">
        <f t="shared" si="13"/>
        <v/>
      </c>
      <c r="AN119" t="str">
        <f t="shared" si="14"/>
        <v/>
      </c>
      <c r="AQ119" t="str">
        <f t="shared" si="15"/>
        <v/>
      </c>
      <c r="AR119" t="str">
        <f t="shared" si="16"/>
        <v/>
      </c>
      <c r="AS119" t="str">
        <f t="shared" si="17"/>
        <v/>
      </c>
      <c r="AT119" t="str">
        <f t="shared" si="18"/>
        <v/>
      </c>
      <c r="BG119" t="str">
        <f t="shared" si="19"/>
        <v/>
      </c>
      <c r="BH119" t="str">
        <f t="shared" si="20"/>
        <v/>
      </c>
      <c r="BL119" t="str">
        <f>IFERROR(INDEX(_names_lookup!$C:$C,MATCH(BK119,_names_lookup!$A:$A,0)),"")</f>
        <v/>
      </c>
      <c r="BM119" t="str">
        <f>IFERROR(INDEX(_names_lookup!$B:$B,MATCH(BK119,_names_lookup!$A:$A,0)),"")</f>
        <v/>
      </c>
      <c r="BS119" t="str">
        <f t="shared" si="21"/>
        <v/>
      </c>
    </row>
    <row r="120" spans="15:71" x14ac:dyDescent="0.2">
      <c r="O120" t="str">
        <f>IFERROR(INDEX(_courses_lookup!$C:$C,MATCH(K120&amp;L120,_courses_lookup!$E:$E,0)),"")</f>
        <v/>
      </c>
      <c r="P120" t="str">
        <f>IFERROR(INDEX(_courses_lookup!$D:$D,MATCH(K120&amp;L120,_courses_lookup!$E:$E,0)),"")</f>
        <v/>
      </c>
      <c r="AG120" t="str">
        <f t="shared" si="11"/>
        <v/>
      </c>
      <c r="AI120" t="str">
        <f t="shared" si="12"/>
        <v/>
      </c>
      <c r="AL120" t="str">
        <f t="shared" si="13"/>
        <v/>
      </c>
      <c r="AN120" t="str">
        <f t="shared" si="14"/>
        <v/>
      </c>
      <c r="AQ120" t="str">
        <f t="shared" si="15"/>
        <v/>
      </c>
      <c r="AR120" t="str">
        <f t="shared" si="16"/>
        <v/>
      </c>
      <c r="AS120" t="str">
        <f t="shared" si="17"/>
        <v/>
      </c>
      <c r="AT120" t="str">
        <f t="shared" si="18"/>
        <v/>
      </c>
      <c r="BG120" t="str">
        <f t="shared" si="19"/>
        <v/>
      </c>
      <c r="BH120" t="str">
        <f t="shared" si="20"/>
        <v/>
      </c>
      <c r="BL120" t="str">
        <f>IFERROR(INDEX(_names_lookup!$C:$C,MATCH(BK120,_names_lookup!$A:$A,0)),"")</f>
        <v/>
      </c>
      <c r="BM120" t="str">
        <f>IFERROR(INDEX(_names_lookup!$B:$B,MATCH(BK120,_names_lookup!$A:$A,0)),"")</f>
        <v/>
      </c>
      <c r="BS120" t="str">
        <f t="shared" si="21"/>
        <v/>
      </c>
    </row>
    <row r="121" spans="15:71" x14ac:dyDescent="0.2">
      <c r="O121" t="str">
        <f>IFERROR(INDEX(_courses_lookup!$C:$C,MATCH(K121&amp;L121,_courses_lookup!$E:$E,0)),"")</f>
        <v/>
      </c>
      <c r="P121" t="str">
        <f>IFERROR(INDEX(_courses_lookup!$D:$D,MATCH(K121&amp;L121,_courses_lookup!$E:$E,0)),"")</f>
        <v/>
      </c>
      <c r="AG121" t="str">
        <f t="shared" si="11"/>
        <v/>
      </c>
      <c r="AI121" t="str">
        <f t="shared" si="12"/>
        <v/>
      </c>
      <c r="AL121" t="str">
        <f t="shared" si="13"/>
        <v/>
      </c>
      <c r="AN121" t="str">
        <f t="shared" si="14"/>
        <v/>
      </c>
      <c r="AQ121" t="str">
        <f t="shared" si="15"/>
        <v/>
      </c>
      <c r="AR121" t="str">
        <f t="shared" si="16"/>
        <v/>
      </c>
      <c r="AS121" t="str">
        <f t="shared" si="17"/>
        <v/>
      </c>
      <c r="AT121" t="str">
        <f t="shared" si="18"/>
        <v/>
      </c>
      <c r="BG121" t="str">
        <f t="shared" si="19"/>
        <v/>
      </c>
      <c r="BH121" t="str">
        <f t="shared" si="20"/>
        <v/>
      </c>
      <c r="BL121" t="str">
        <f>IFERROR(INDEX(_names_lookup!$C:$C,MATCH(BK121,_names_lookup!$A:$A,0)),"")</f>
        <v/>
      </c>
      <c r="BM121" t="str">
        <f>IFERROR(INDEX(_names_lookup!$B:$B,MATCH(BK121,_names_lookup!$A:$A,0)),"")</f>
        <v/>
      </c>
      <c r="BS121" t="str">
        <f t="shared" si="21"/>
        <v/>
      </c>
    </row>
    <row r="122" spans="15:71" x14ac:dyDescent="0.2">
      <c r="O122" t="str">
        <f>IFERROR(INDEX(_courses_lookup!$C:$C,MATCH(K122&amp;L122,_courses_lookup!$E:$E,0)),"")</f>
        <v/>
      </c>
      <c r="P122" t="str">
        <f>IFERROR(INDEX(_courses_lookup!$D:$D,MATCH(K122&amp;L122,_courses_lookup!$E:$E,0)),"")</f>
        <v/>
      </c>
      <c r="AG122" t="str">
        <f t="shared" si="11"/>
        <v/>
      </c>
      <c r="AI122" t="str">
        <f t="shared" si="12"/>
        <v/>
      </c>
      <c r="AL122" t="str">
        <f t="shared" si="13"/>
        <v/>
      </c>
      <c r="AN122" t="str">
        <f t="shared" si="14"/>
        <v/>
      </c>
      <c r="AQ122" t="str">
        <f t="shared" si="15"/>
        <v/>
      </c>
      <c r="AR122" t="str">
        <f t="shared" si="16"/>
        <v/>
      </c>
      <c r="AS122" t="str">
        <f t="shared" si="17"/>
        <v/>
      </c>
      <c r="AT122" t="str">
        <f t="shared" si="18"/>
        <v/>
      </c>
      <c r="BG122" t="str">
        <f t="shared" si="19"/>
        <v/>
      </c>
      <c r="BH122" t="str">
        <f t="shared" si="20"/>
        <v/>
      </c>
      <c r="BL122" t="str">
        <f>IFERROR(INDEX(_names_lookup!$C:$C,MATCH(BK122,_names_lookup!$A:$A,0)),"")</f>
        <v/>
      </c>
      <c r="BM122" t="str">
        <f>IFERROR(INDEX(_names_lookup!$B:$B,MATCH(BK122,_names_lookup!$A:$A,0)),"")</f>
        <v/>
      </c>
      <c r="BS122" t="str">
        <f t="shared" si="21"/>
        <v/>
      </c>
    </row>
    <row r="123" spans="15:71" x14ac:dyDescent="0.2">
      <c r="O123" t="str">
        <f>IFERROR(INDEX(_courses_lookup!$C:$C,MATCH(K123&amp;L123,_courses_lookup!$E:$E,0)),"")</f>
        <v/>
      </c>
      <c r="P123" t="str">
        <f>IFERROR(INDEX(_courses_lookup!$D:$D,MATCH(K123&amp;L123,_courses_lookup!$E:$E,0)),"")</f>
        <v/>
      </c>
      <c r="AG123" t="str">
        <f t="shared" si="11"/>
        <v/>
      </c>
      <c r="AI123" t="str">
        <f t="shared" si="12"/>
        <v/>
      </c>
      <c r="AL123" t="str">
        <f t="shared" si="13"/>
        <v/>
      </c>
      <c r="AN123" t="str">
        <f t="shared" si="14"/>
        <v/>
      </c>
      <c r="AQ123" t="str">
        <f t="shared" si="15"/>
        <v/>
      </c>
      <c r="AR123" t="str">
        <f t="shared" si="16"/>
        <v/>
      </c>
      <c r="AS123" t="str">
        <f t="shared" si="17"/>
        <v/>
      </c>
      <c r="AT123" t="str">
        <f t="shared" si="18"/>
        <v/>
      </c>
      <c r="BG123" t="str">
        <f t="shared" si="19"/>
        <v/>
      </c>
      <c r="BH123" t="str">
        <f t="shared" si="20"/>
        <v/>
      </c>
      <c r="BL123" t="str">
        <f>IFERROR(INDEX(_names_lookup!$C:$C,MATCH(BK123,_names_lookup!$A:$A,0)),"")</f>
        <v/>
      </c>
      <c r="BM123" t="str">
        <f>IFERROR(INDEX(_names_lookup!$B:$B,MATCH(BK123,_names_lookup!$A:$A,0)),"")</f>
        <v/>
      </c>
      <c r="BS123" t="str">
        <f t="shared" si="21"/>
        <v/>
      </c>
    </row>
    <row r="124" spans="15:71" x14ac:dyDescent="0.2">
      <c r="O124" t="str">
        <f>IFERROR(INDEX(_courses_lookup!$C:$C,MATCH(K124&amp;L124,_courses_lookup!$E:$E,0)),"")</f>
        <v/>
      </c>
      <c r="P124" t="str">
        <f>IFERROR(INDEX(_courses_lookup!$D:$D,MATCH(K124&amp;L124,_courses_lookup!$E:$E,0)),"")</f>
        <v/>
      </c>
      <c r="AG124" t="str">
        <f t="shared" si="11"/>
        <v/>
      </c>
      <c r="AI124" t="str">
        <f t="shared" si="12"/>
        <v/>
      </c>
      <c r="AL124" t="str">
        <f t="shared" si="13"/>
        <v/>
      </c>
      <c r="AN124" t="str">
        <f t="shared" si="14"/>
        <v/>
      </c>
      <c r="AQ124" t="str">
        <f t="shared" si="15"/>
        <v/>
      </c>
      <c r="AR124" t="str">
        <f t="shared" si="16"/>
        <v/>
      </c>
      <c r="AS124" t="str">
        <f t="shared" si="17"/>
        <v/>
      </c>
      <c r="AT124" t="str">
        <f t="shared" si="18"/>
        <v/>
      </c>
      <c r="BG124" t="str">
        <f t="shared" si="19"/>
        <v/>
      </c>
      <c r="BH124" t="str">
        <f t="shared" si="20"/>
        <v/>
      </c>
      <c r="BL124" t="str">
        <f>IFERROR(INDEX(_names_lookup!$C:$C,MATCH(BK124,_names_lookup!$A:$A,0)),"")</f>
        <v/>
      </c>
      <c r="BM124" t="str">
        <f>IFERROR(INDEX(_names_lookup!$B:$B,MATCH(BK124,_names_lookup!$A:$A,0)),"")</f>
        <v/>
      </c>
      <c r="BS124" t="str">
        <f t="shared" si="21"/>
        <v/>
      </c>
    </row>
    <row r="125" spans="15:71" x14ac:dyDescent="0.2">
      <c r="O125" t="str">
        <f>IFERROR(INDEX(_courses_lookup!$C:$C,MATCH(K125&amp;L125,_courses_lookup!$E:$E,0)),"")</f>
        <v/>
      </c>
      <c r="P125" t="str">
        <f>IFERROR(INDEX(_courses_lookup!$D:$D,MATCH(K125&amp;L125,_courses_lookup!$E:$E,0)),"")</f>
        <v/>
      </c>
      <c r="AG125" t="str">
        <f t="shared" si="11"/>
        <v/>
      </c>
      <c r="AI125" t="str">
        <f t="shared" si="12"/>
        <v/>
      </c>
      <c r="AL125" t="str">
        <f t="shared" si="13"/>
        <v/>
      </c>
      <c r="AN125" t="str">
        <f t="shared" si="14"/>
        <v/>
      </c>
      <c r="AQ125" t="str">
        <f t="shared" si="15"/>
        <v/>
      </c>
      <c r="AR125" t="str">
        <f t="shared" si="16"/>
        <v/>
      </c>
      <c r="AS125" t="str">
        <f t="shared" si="17"/>
        <v/>
      </c>
      <c r="AT125" t="str">
        <f t="shared" si="18"/>
        <v/>
      </c>
      <c r="BG125" t="str">
        <f t="shared" si="19"/>
        <v/>
      </c>
      <c r="BH125" t="str">
        <f t="shared" si="20"/>
        <v/>
      </c>
      <c r="BL125" t="str">
        <f>IFERROR(INDEX(_names_lookup!$C:$C,MATCH(BK125,_names_lookup!$A:$A,0)),"")</f>
        <v/>
      </c>
      <c r="BM125" t="str">
        <f>IFERROR(INDEX(_names_lookup!$B:$B,MATCH(BK125,_names_lookup!$A:$A,0)),"")</f>
        <v/>
      </c>
      <c r="BS125" t="str">
        <f t="shared" si="21"/>
        <v/>
      </c>
    </row>
    <row r="126" spans="15:71" x14ac:dyDescent="0.2">
      <c r="O126" t="str">
        <f>IFERROR(INDEX(_courses_lookup!$C:$C,MATCH(K126&amp;L126,_courses_lookup!$E:$E,0)),"")</f>
        <v/>
      </c>
      <c r="P126" t="str">
        <f>IFERROR(INDEX(_courses_lookup!$D:$D,MATCH(K126&amp;L126,_courses_lookup!$E:$E,0)),"")</f>
        <v/>
      </c>
      <c r="AG126" t="str">
        <f t="shared" si="11"/>
        <v/>
      </c>
      <c r="AI126" t="str">
        <f t="shared" si="12"/>
        <v/>
      </c>
      <c r="AL126" t="str">
        <f t="shared" si="13"/>
        <v/>
      </c>
      <c r="AN126" t="str">
        <f t="shared" si="14"/>
        <v/>
      </c>
      <c r="AQ126" t="str">
        <f t="shared" si="15"/>
        <v/>
      </c>
      <c r="AR126" t="str">
        <f t="shared" si="16"/>
        <v/>
      </c>
      <c r="AS126" t="str">
        <f t="shared" si="17"/>
        <v/>
      </c>
      <c r="AT126" t="str">
        <f t="shared" si="18"/>
        <v/>
      </c>
      <c r="BG126" t="str">
        <f t="shared" si="19"/>
        <v/>
      </c>
      <c r="BH126" t="str">
        <f t="shared" si="20"/>
        <v/>
      </c>
      <c r="BL126" t="str">
        <f>IFERROR(INDEX(_names_lookup!$C:$C,MATCH(BK126,_names_lookup!$A:$A,0)),"")</f>
        <v/>
      </c>
      <c r="BM126" t="str">
        <f>IFERROR(INDEX(_names_lookup!$B:$B,MATCH(BK126,_names_lookup!$A:$A,0)),"")</f>
        <v/>
      </c>
      <c r="BS126" t="str">
        <f t="shared" si="21"/>
        <v/>
      </c>
    </row>
    <row r="127" spans="15:71" x14ac:dyDescent="0.2">
      <c r="O127" t="str">
        <f>IFERROR(INDEX(_courses_lookup!$C:$C,MATCH(K127&amp;L127,_courses_lookup!$E:$E,0)),"")</f>
        <v/>
      </c>
      <c r="P127" t="str">
        <f>IFERROR(INDEX(_courses_lookup!$D:$D,MATCH(K127&amp;L127,_courses_lookup!$E:$E,0)),"")</f>
        <v/>
      </c>
      <c r="AG127" t="str">
        <f t="shared" si="11"/>
        <v/>
      </c>
      <c r="AI127" t="str">
        <f t="shared" si="12"/>
        <v/>
      </c>
      <c r="AL127" t="str">
        <f t="shared" si="13"/>
        <v/>
      </c>
      <c r="AN127" t="str">
        <f t="shared" si="14"/>
        <v/>
      </c>
      <c r="AQ127" t="str">
        <f t="shared" si="15"/>
        <v/>
      </c>
      <c r="AR127" t="str">
        <f t="shared" si="16"/>
        <v/>
      </c>
      <c r="AS127" t="str">
        <f t="shared" si="17"/>
        <v/>
      </c>
      <c r="AT127" t="str">
        <f t="shared" si="18"/>
        <v/>
      </c>
      <c r="BG127" t="str">
        <f t="shared" si="19"/>
        <v/>
      </c>
      <c r="BH127" t="str">
        <f t="shared" si="20"/>
        <v/>
      </c>
      <c r="BL127" t="str">
        <f>IFERROR(INDEX(_names_lookup!$C:$C,MATCH(BK127,_names_lookup!$A:$A,0)),"")</f>
        <v/>
      </c>
      <c r="BM127" t="str">
        <f>IFERROR(INDEX(_names_lookup!$B:$B,MATCH(BK127,_names_lookup!$A:$A,0)),"")</f>
        <v/>
      </c>
      <c r="BS127" t="str">
        <f t="shared" si="21"/>
        <v/>
      </c>
    </row>
    <row r="128" spans="15:71" x14ac:dyDescent="0.2">
      <c r="O128" t="str">
        <f>IFERROR(INDEX(_courses_lookup!$C:$C,MATCH(K128&amp;L128,_courses_lookup!$E:$E,0)),"")</f>
        <v/>
      </c>
      <c r="P128" t="str">
        <f>IFERROR(INDEX(_courses_lookup!$D:$D,MATCH(K128&amp;L128,_courses_lookup!$E:$E,0)),"")</f>
        <v/>
      </c>
      <c r="AG128" t="str">
        <f t="shared" si="11"/>
        <v/>
      </c>
      <c r="AI128" t="str">
        <f t="shared" si="12"/>
        <v/>
      </c>
      <c r="AL128" t="str">
        <f t="shared" si="13"/>
        <v/>
      </c>
      <c r="AN128" t="str">
        <f t="shared" si="14"/>
        <v/>
      </c>
      <c r="AQ128" t="str">
        <f t="shared" si="15"/>
        <v/>
      </c>
      <c r="AR128" t="str">
        <f t="shared" si="16"/>
        <v/>
      </c>
      <c r="AS128" t="str">
        <f t="shared" si="17"/>
        <v/>
      </c>
      <c r="AT128" t="str">
        <f t="shared" si="18"/>
        <v/>
      </c>
      <c r="BG128" t="str">
        <f t="shared" si="19"/>
        <v/>
      </c>
      <c r="BH128" t="str">
        <f t="shared" si="20"/>
        <v/>
      </c>
      <c r="BL128" t="str">
        <f>IFERROR(INDEX(_names_lookup!$C:$C,MATCH(BK128,_names_lookup!$A:$A,0)),"")</f>
        <v/>
      </c>
      <c r="BM128" t="str">
        <f>IFERROR(INDEX(_names_lookup!$B:$B,MATCH(BK128,_names_lookup!$A:$A,0)),"")</f>
        <v/>
      </c>
      <c r="BS128" t="str">
        <f t="shared" si="21"/>
        <v/>
      </c>
    </row>
    <row r="129" spans="15:71" x14ac:dyDescent="0.2">
      <c r="O129" t="str">
        <f>IFERROR(INDEX(_courses_lookup!$C:$C,MATCH(K129&amp;L129,_courses_lookup!$E:$E,0)),"")</f>
        <v/>
      </c>
      <c r="P129" t="str">
        <f>IFERROR(INDEX(_courses_lookup!$D:$D,MATCH(K129&amp;L129,_courses_lookup!$E:$E,0)),"")</f>
        <v/>
      </c>
      <c r="AG129" t="str">
        <f t="shared" si="11"/>
        <v/>
      </c>
      <c r="AI129" t="str">
        <f t="shared" si="12"/>
        <v/>
      </c>
      <c r="AL129" t="str">
        <f t="shared" si="13"/>
        <v/>
      </c>
      <c r="AN129" t="str">
        <f t="shared" si="14"/>
        <v/>
      </c>
      <c r="AQ129" t="str">
        <f t="shared" si="15"/>
        <v/>
      </c>
      <c r="AR129" t="str">
        <f t="shared" si="16"/>
        <v/>
      </c>
      <c r="AS129" t="str">
        <f t="shared" si="17"/>
        <v/>
      </c>
      <c r="AT129" t="str">
        <f t="shared" si="18"/>
        <v/>
      </c>
      <c r="BG129" t="str">
        <f t="shared" si="19"/>
        <v/>
      </c>
      <c r="BH129" t="str">
        <f t="shared" si="20"/>
        <v/>
      </c>
      <c r="BL129" t="str">
        <f>IFERROR(INDEX(_names_lookup!$C:$C,MATCH(BK129,_names_lookup!$A:$A,0)),"")</f>
        <v/>
      </c>
      <c r="BM129" t="str">
        <f>IFERROR(INDEX(_names_lookup!$B:$B,MATCH(BK129,_names_lookup!$A:$A,0)),"")</f>
        <v/>
      </c>
      <c r="BS129" t="str">
        <f t="shared" si="21"/>
        <v/>
      </c>
    </row>
    <row r="130" spans="15:71" x14ac:dyDescent="0.2">
      <c r="O130" t="str">
        <f>IFERROR(INDEX(_courses_lookup!$C:$C,MATCH(K130&amp;L130,_courses_lookup!$E:$E,0)),"")</f>
        <v/>
      </c>
      <c r="P130" t="str">
        <f>IFERROR(INDEX(_courses_lookup!$D:$D,MATCH(K130&amp;L130,_courses_lookup!$E:$E,0)),"")</f>
        <v/>
      </c>
      <c r="AG130" t="str">
        <f t="shared" ref="AG130:AG193" si="22">IF(AND(AE130&lt;&gt;"",AF130&lt;&gt;""),ROUNDUP((AF130-AE130)/7,0),"")</f>
        <v/>
      </c>
      <c r="AI130" t="str">
        <f t="shared" ref="AI130:AI193" si="23">IFERROR(IF(AG130*AH130=0,"",AG130*AH130),"")</f>
        <v/>
      </c>
      <c r="AL130" t="str">
        <f t="shared" ref="AL130:AL193" si="24">IF(AND(AJ130&lt;&gt;"",AK130&lt;&gt;""),ROUNDUP((AK130-AJ130)/7,0),"")</f>
        <v/>
      </c>
      <c r="AN130" t="str">
        <f t="shared" ref="AN130:AN193" si="25">IFERROR(IF(AL130*AM130=0,"",AL130*AM130),"")</f>
        <v/>
      </c>
      <c r="AQ130" t="str">
        <f t="shared" ref="AQ130:AQ193" si="26">IF(AND(AO130&lt;&gt;"",AP130&lt;&gt;""),ROUNDUP((AP130-AO130)/7,0),"")</f>
        <v/>
      </c>
      <c r="AR130" t="str">
        <f t="shared" ref="AR130:AR193" si="27">IFERROR(IF((AU130-(AI130+AN130))/AQ130=0,"",ROUNDUP((AU130-(AI130+AN130))/AQ130,0)),"")</f>
        <v/>
      </c>
      <c r="AS130" t="str">
        <f t="shared" ref="AS130:AS193" si="28">IFERROR(IF((AU130-(AI130+AN130))=0,"",(AU130-(AI130+AN130))),"")</f>
        <v/>
      </c>
      <c r="AT130" t="str">
        <f t="shared" ref="AT130:AT193" si="29">IF(AND(AG130="",AQ130=""),AL130,IF(SUM(AG130,AL130,AQ130)=0,"",SUM(AG130,AL130,AQ130)))</f>
        <v/>
      </c>
      <c r="BG130" t="str">
        <f t="shared" ref="BG130:BG193" si="30">IF(AD130="","",YEAR(AD130)+IF(MONTH(AD130)&gt;=5,1,0))</f>
        <v/>
      </c>
      <c r="BH130" t="str">
        <f t="shared" ref="BH130:BH193" si="31">IF(AD130="","",IF(AND(MONTH(AD130)=8,DAY(AD130)&gt;=15),"Fall",IF(MONTH(AD130)&gt;8,"Fall",IF(MONTH(AD130)=5,"Summer",IF(MONTH(AD130)=1,"Spring","")))))</f>
        <v/>
      </c>
      <c r="BL130" t="str">
        <f>IFERROR(INDEX(_names_lookup!$C:$C,MATCH(BK130,_names_lookup!$A:$A,0)),"")</f>
        <v/>
      </c>
      <c r="BM130" t="str">
        <f>IFERROR(INDEX(_names_lookup!$B:$B,MATCH(BK130,_names_lookup!$A:$A,0)),"")</f>
        <v/>
      </c>
      <c r="BS130" t="str">
        <f t="shared" ref="BS130:BS193" si="32">IFERROR(IF(BR130*AA130=0,"",BR130*AA130),"")</f>
        <v/>
      </c>
    </row>
    <row r="131" spans="15:71" x14ac:dyDescent="0.2">
      <c r="O131" t="str">
        <f>IFERROR(INDEX(_courses_lookup!$C:$C,MATCH(K131&amp;L131,_courses_lookup!$E:$E,0)),"")</f>
        <v/>
      </c>
      <c r="P131" t="str">
        <f>IFERROR(INDEX(_courses_lookup!$D:$D,MATCH(K131&amp;L131,_courses_lookup!$E:$E,0)),"")</f>
        <v/>
      </c>
      <c r="AG131" t="str">
        <f t="shared" si="22"/>
        <v/>
      </c>
      <c r="AI131" t="str">
        <f t="shared" si="23"/>
        <v/>
      </c>
      <c r="AL131" t="str">
        <f t="shared" si="24"/>
        <v/>
      </c>
      <c r="AN131" t="str">
        <f t="shared" si="25"/>
        <v/>
      </c>
      <c r="AQ131" t="str">
        <f t="shared" si="26"/>
        <v/>
      </c>
      <c r="AR131" t="str">
        <f t="shared" si="27"/>
        <v/>
      </c>
      <c r="AS131" t="str">
        <f t="shared" si="28"/>
        <v/>
      </c>
      <c r="AT131" t="str">
        <f t="shared" si="29"/>
        <v/>
      </c>
      <c r="BG131" t="str">
        <f t="shared" si="30"/>
        <v/>
      </c>
      <c r="BH131" t="str">
        <f t="shared" si="31"/>
        <v/>
      </c>
      <c r="BL131" t="str">
        <f>IFERROR(INDEX(_names_lookup!$C:$C,MATCH(BK131,_names_lookup!$A:$A,0)),"")</f>
        <v/>
      </c>
      <c r="BM131" t="str">
        <f>IFERROR(INDEX(_names_lookup!$B:$B,MATCH(BK131,_names_lookup!$A:$A,0)),"")</f>
        <v/>
      </c>
      <c r="BS131" t="str">
        <f t="shared" si="32"/>
        <v/>
      </c>
    </row>
    <row r="132" spans="15:71" x14ac:dyDescent="0.2">
      <c r="O132" t="str">
        <f>IFERROR(INDEX(_courses_lookup!$C:$C,MATCH(K132&amp;L132,_courses_lookup!$E:$E,0)),"")</f>
        <v/>
      </c>
      <c r="P132" t="str">
        <f>IFERROR(INDEX(_courses_lookup!$D:$D,MATCH(K132&amp;L132,_courses_lookup!$E:$E,0)),"")</f>
        <v/>
      </c>
      <c r="AG132" t="str">
        <f t="shared" si="22"/>
        <v/>
      </c>
      <c r="AI132" t="str">
        <f t="shared" si="23"/>
        <v/>
      </c>
      <c r="AL132" t="str">
        <f t="shared" si="24"/>
        <v/>
      </c>
      <c r="AN132" t="str">
        <f t="shared" si="25"/>
        <v/>
      </c>
      <c r="AQ132" t="str">
        <f t="shared" si="26"/>
        <v/>
      </c>
      <c r="AR132" t="str">
        <f t="shared" si="27"/>
        <v/>
      </c>
      <c r="AS132" t="str">
        <f t="shared" si="28"/>
        <v/>
      </c>
      <c r="AT132" t="str">
        <f t="shared" si="29"/>
        <v/>
      </c>
      <c r="BG132" t="str">
        <f t="shared" si="30"/>
        <v/>
      </c>
      <c r="BH132" t="str">
        <f t="shared" si="31"/>
        <v/>
      </c>
      <c r="BL132" t="str">
        <f>IFERROR(INDEX(_names_lookup!$C:$C,MATCH(BK132,_names_lookup!$A:$A,0)),"")</f>
        <v/>
      </c>
      <c r="BM132" t="str">
        <f>IFERROR(INDEX(_names_lookup!$B:$B,MATCH(BK132,_names_lookup!$A:$A,0)),"")</f>
        <v/>
      </c>
      <c r="BS132" t="str">
        <f t="shared" si="32"/>
        <v/>
      </c>
    </row>
    <row r="133" spans="15:71" x14ac:dyDescent="0.2">
      <c r="O133" t="str">
        <f>IFERROR(INDEX(_courses_lookup!$C:$C,MATCH(K133&amp;L133,_courses_lookup!$E:$E,0)),"")</f>
        <v/>
      </c>
      <c r="P133" t="str">
        <f>IFERROR(INDEX(_courses_lookup!$D:$D,MATCH(K133&amp;L133,_courses_lookup!$E:$E,0)),"")</f>
        <v/>
      </c>
      <c r="AG133" t="str">
        <f t="shared" si="22"/>
        <v/>
      </c>
      <c r="AI133" t="str">
        <f t="shared" si="23"/>
        <v/>
      </c>
      <c r="AL133" t="str">
        <f t="shared" si="24"/>
        <v/>
      </c>
      <c r="AN133" t="str">
        <f t="shared" si="25"/>
        <v/>
      </c>
      <c r="AQ133" t="str">
        <f t="shared" si="26"/>
        <v/>
      </c>
      <c r="AR133" t="str">
        <f t="shared" si="27"/>
        <v/>
      </c>
      <c r="AS133" t="str">
        <f t="shared" si="28"/>
        <v/>
      </c>
      <c r="AT133" t="str">
        <f t="shared" si="29"/>
        <v/>
      </c>
      <c r="BG133" t="str">
        <f t="shared" si="30"/>
        <v/>
      </c>
      <c r="BH133" t="str">
        <f t="shared" si="31"/>
        <v/>
      </c>
      <c r="BL133" t="str">
        <f>IFERROR(INDEX(_names_lookup!$C:$C,MATCH(BK133,_names_lookup!$A:$A,0)),"")</f>
        <v/>
      </c>
      <c r="BM133" t="str">
        <f>IFERROR(INDEX(_names_lookup!$B:$B,MATCH(BK133,_names_lookup!$A:$A,0)),"")</f>
        <v/>
      </c>
      <c r="BS133" t="str">
        <f t="shared" si="32"/>
        <v/>
      </c>
    </row>
    <row r="134" spans="15:71" x14ac:dyDescent="0.2">
      <c r="O134" t="str">
        <f>IFERROR(INDEX(_courses_lookup!$C:$C,MATCH(K134&amp;L134,_courses_lookup!$E:$E,0)),"")</f>
        <v/>
      </c>
      <c r="P134" t="str">
        <f>IFERROR(INDEX(_courses_lookup!$D:$D,MATCH(K134&amp;L134,_courses_lookup!$E:$E,0)),"")</f>
        <v/>
      </c>
      <c r="AG134" t="str">
        <f t="shared" si="22"/>
        <v/>
      </c>
      <c r="AI134" t="str">
        <f t="shared" si="23"/>
        <v/>
      </c>
      <c r="AL134" t="str">
        <f t="shared" si="24"/>
        <v/>
      </c>
      <c r="AN134" t="str">
        <f t="shared" si="25"/>
        <v/>
      </c>
      <c r="AQ134" t="str">
        <f t="shared" si="26"/>
        <v/>
      </c>
      <c r="AR134" t="str">
        <f t="shared" si="27"/>
        <v/>
      </c>
      <c r="AS134" t="str">
        <f t="shared" si="28"/>
        <v/>
      </c>
      <c r="AT134" t="str">
        <f t="shared" si="29"/>
        <v/>
      </c>
      <c r="BG134" t="str">
        <f t="shared" si="30"/>
        <v/>
      </c>
      <c r="BH134" t="str">
        <f t="shared" si="31"/>
        <v/>
      </c>
      <c r="BL134" t="str">
        <f>IFERROR(INDEX(_names_lookup!$C:$C,MATCH(BK134,_names_lookup!$A:$A,0)),"")</f>
        <v/>
      </c>
      <c r="BM134" t="str">
        <f>IFERROR(INDEX(_names_lookup!$B:$B,MATCH(BK134,_names_lookup!$A:$A,0)),"")</f>
        <v/>
      </c>
      <c r="BS134" t="str">
        <f t="shared" si="32"/>
        <v/>
      </c>
    </row>
    <row r="135" spans="15:71" x14ac:dyDescent="0.2">
      <c r="O135" t="str">
        <f>IFERROR(INDEX(_courses_lookup!$C:$C,MATCH(K135&amp;L135,_courses_lookup!$E:$E,0)),"")</f>
        <v/>
      </c>
      <c r="P135" t="str">
        <f>IFERROR(INDEX(_courses_lookup!$D:$D,MATCH(K135&amp;L135,_courses_lookup!$E:$E,0)),"")</f>
        <v/>
      </c>
      <c r="AG135" t="str">
        <f t="shared" si="22"/>
        <v/>
      </c>
      <c r="AI135" t="str">
        <f t="shared" si="23"/>
        <v/>
      </c>
      <c r="AL135" t="str">
        <f t="shared" si="24"/>
        <v/>
      </c>
      <c r="AN135" t="str">
        <f t="shared" si="25"/>
        <v/>
      </c>
      <c r="AQ135" t="str">
        <f t="shared" si="26"/>
        <v/>
      </c>
      <c r="AR135" t="str">
        <f t="shared" si="27"/>
        <v/>
      </c>
      <c r="AS135" t="str">
        <f t="shared" si="28"/>
        <v/>
      </c>
      <c r="AT135" t="str">
        <f t="shared" si="29"/>
        <v/>
      </c>
      <c r="BG135" t="str">
        <f t="shared" si="30"/>
        <v/>
      </c>
      <c r="BH135" t="str">
        <f t="shared" si="31"/>
        <v/>
      </c>
      <c r="BL135" t="str">
        <f>IFERROR(INDEX(_names_lookup!$C:$C,MATCH(BK135,_names_lookup!$A:$A,0)),"")</f>
        <v/>
      </c>
      <c r="BM135" t="str">
        <f>IFERROR(INDEX(_names_lookup!$B:$B,MATCH(BK135,_names_lookup!$A:$A,0)),"")</f>
        <v/>
      </c>
      <c r="BS135" t="str">
        <f t="shared" si="32"/>
        <v/>
      </c>
    </row>
    <row r="136" spans="15:71" x14ac:dyDescent="0.2">
      <c r="O136" t="str">
        <f>IFERROR(INDEX(_courses_lookup!$C:$C,MATCH(K136&amp;L136,_courses_lookup!$E:$E,0)),"")</f>
        <v/>
      </c>
      <c r="P136" t="str">
        <f>IFERROR(INDEX(_courses_lookup!$D:$D,MATCH(K136&amp;L136,_courses_lookup!$E:$E,0)),"")</f>
        <v/>
      </c>
      <c r="AG136" t="str">
        <f t="shared" si="22"/>
        <v/>
      </c>
      <c r="AI136" t="str">
        <f t="shared" si="23"/>
        <v/>
      </c>
      <c r="AL136" t="str">
        <f t="shared" si="24"/>
        <v/>
      </c>
      <c r="AN136" t="str">
        <f t="shared" si="25"/>
        <v/>
      </c>
      <c r="AQ136" t="str">
        <f t="shared" si="26"/>
        <v/>
      </c>
      <c r="AR136" t="str">
        <f t="shared" si="27"/>
        <v/>
      </c>
      <c r="AS136" t="str">
        <f t="shared" si="28"/>
        <v/>
      </c>
      <c r="AT136" t="str">
        <f t="shared" si="29"/>
        <v/>
      </c>
      <c r="BG136" t="str">
        <f t="shared" si="30"/>
        <v/>
      </c>
      <c r="BH136" t="str">
        <f t="shared" si="31"/>
        <v/>
      </c>
      <c r="BL136" t="str">
        <f>IFERROR(INDEX(_names_lookup!$C:$C,MATCH(BK136,_names_lookup!$A:$A,0)),"")</f>
        <v/>
      </c>
      <c r="BM136" t="str">
        <f>IFERROR(INDEX(_names_lookup!$B:$B,MATCH(BK136,_names_lookup!$A:$A,0)),"")</f>
        <v/>
      </c>
      <c r="BS136" t="str">
        <f t="shared" si="32"/>
        <v/>
      </c>
    </row>
    <row r="137" spans="15:71" x14ac:dyDescent="0.2">
      <c r="O137" t="str">
        <f>IFERROR(INDEX(_courses_lookup!$C:$C,MATCH(K137&amp;L137,_courses_lookup!$E:$E,0)),"")</f>
        <v/>
      </c>
      <c r="P137" t="str">
        <f>IFERROR(INDEX(_courses_lookup!$D:$D,MATCH(K137&amp;L137,_courses_lookup!$E:$E,0)),"")</f>
        <v/>
      </c>
      <c r="AG137" t="str">
        <f t="shared" si="22"/>
        <v/>
      </c>
      <c r="AI137" t="str">
        <f t="shared" si="23"/>
        <v/>
      </c>
      <c r="AL137" t="str">
        <f t="shared" si="24"/>
        <v/>
      </c>
      <c r="AN137" t="str">
        <f t="shared" si="25"/>
        <v/>
      </c>
      <c r="AQ137" t="str">
        <f t="shared" si="26"/>
        <v/>
      </c>
      <c r="AR137" t="str">
        <f t="shared" si="27"/>
        <v/>
      </c>
      <c r="AS137" t="str">
        <f t="shared" si="28"/>
        <v/>
      </c>
      <c r="AT137" t="str">
        <f t="shared" si="29"/>
        <v/>
      </c>
      <c r="BG137" t="str">
        <f t="shared" si="30"/>
        <v/>
      </c>
      <c r="BH137" t="str">
        <f t="shared" si="31"/>
        <v/>
      </c>
      <c r="BL137" t="str">
        <f>IFERROR(INDEX(_names_lookup!$C:$C,MATCH(BK137,_names_lookup!$A:$A,0)),"")</f>
        <v/>
      </c>
      <c r="BM137" t="str">
        <f>IFERROR(INDEX(_names_lookup!$B:$B,MATCH(BK137,_names_lookup!$A:$A,0)),"")</f>
        <v/>
      </c>
      <c r="BS137" t="str">
        <f t="shared" si="32"/>
        <v/>
      </c>
    </row>
    <row r="138" spans="15:71" x14ac:dyDescent="0.2">
      <c r="O138" t="str">
        <f>IFERROR(INDEX(_courses_lookup!$C:$C,MATCH(K138&amp;L138,_courses_lookup!$E:$E,0)),"")</f>
        <v/>
      </c>
      <c r="P138" t="str">
        <f>IFERROR(INDEX(_courses_lookup!$D:$D,MATCH(K138&amp;L138,_courses_lookup!$E:$E,0)),"")</f>
        <v/>
      </c>
      <c r="AG138" t="str">
        <f t="shared" si="22"/>
        <v/>
      </c>
      <c r="AI138" t="str">
        <f t="shared" si="23"/>
        <v/>
      </c>
      <c r="AL138" t="str">
        <f t="shared" si="24"/>
        <v/>
      </c>
      <c r="AN138" t="str">
        <f t="shared" si="25"/>
        <v/>
      </c>
      <c r="AQ138" t="str">
        <f t="shared" si="26"/>
        <v/>
      </c>
      <c r="AR138" t="str">
        <f t="shared" si="27"/>
        <v/>
      </c>
      <c r="AS138" t="str">
        <f t="shared" si="28"/>
        <v/>
      </c>
      <c r="AT138" t="str">
        <f t="shared" si="29"/>
        <v/>
      </c>
      <c r="BG138" t="str">
        <f t="shared" si="30"/>
        <v/>
      </c>
      <c r="BH138" t="str">
        <f t="shared" si="31"/>
        <v/>
      </c>
      <c r="BL138" t="str">
        <f>IFERROR(INDEX(_names_lookup!$C:$C,MATCH(BK138,_names_lookup!$A:$A,0)),"")</f>
        <v/>
      </c>
      <c r="BM138" t="str">
        <f>IFERROR(INDEX(_names_lookup!$B:$B,MATCH(BK138,_names_lookup!$A:$A,0)),"")</f>
        <v/>
      </c>
      <c r="BS138" t="str">
        <f t="shared" si="32"/>
        <v/>
      </c>
    </row>
    <row r="139" spans="15:71" x14ac:dyDescent="0.2">
      <c r="O139" t="str">
        <f>IFERROR(INDEX(_courses_lookup!$C:$C,MATCH(K139&amp;L139,_courses_lookup!$E:$E,0)),"")</f>
        <v/>
      </c>
      <c r="P139" t="str">
        <f>IFERROR(INDEX(_courses_lookup!$D:$D,MATCH(K139&amp;L139,_courses_lookup!$E:$E,0)),"")</f>
        <v/>
      </c>
      <c r="AG139" t="str">
        <f t="shared" si="22"/>
        <v/>
      </c>
      <c r="AI139" t="str">
        <f t="shared" si="23"/>
        <v/>
      </c>
      <c r="AL139" t="str">
        <f t="shared" si="24"/>
        <v/>
      </c>
      <c r="AN139" t="str">
        <f t="shared" si="25"/>
        <v/>
      </c>
      <c r="AQ139" t="str">
        <f t="shared" si="26"/>
        <v/>
      </c>
      <c r="AR139" t="str">
        <f t="shared" si="27"/>
        <v/>
      </c>
      <c r="AS139" t="str">
        <f t="shared" si="28"/>
        <v/>
      </c>
      <c r="AT139" t="str">
        <f t="shared" si="29"/>
        <v/>
      </c>
      <c r="BG139" t="str">
        <f t="shared" si="30"/>
        <v/>
      </c>
      <c r="BH139" t="str">
        <f t="shared" si="31"/>
        <v/>
      </c>
      <c r="BL139" t="str">
        <f>IFERROR(INDEX(_names_lookup!$C:$C,MATCH(BK139,_names_lookup!$A:$A,0)),"")</f>
        <v/>
      </c>
      <c r="BM139" t="str">
        <f>IFERROR(INDEX(_names_lookup!$B:$B,MATCH(BK139,_names_lookup!$A:$A,0)),"")</f>
        <v/>
      </c>
      <c r="BS139" t="str">
        <f t="shared" si="32"/>
        <v/>
      </c>
    </row>
    <row r="140" spans="15:71" x14ac:dyDescent="0.2">
      <c r="O140" t="str">
        <f>IFERROR(INDEX(_courses_lookup!$C:$C,MATCH(K140&amp;L140,_courses_lookup!$E:$E,0)),"")</f>
        <v/>
      </c>
      <c r="P140" t="str">
        <f>IFERROR(INDEX(_courses_lookup!$D:$D,MATCH(K140&amp;L140,_courses_lookup!$E:$E,0)),"")</f>
        <v/>
      </c>
      <c r="AG140" t="str">
        <f t="shared" si="22"/>
        <v/>
      </c>
      <c r="AI140" t="str">
        <f t="shared" si="23"/>
        <v/>
      </c>
      <c r="AL140" t="str">
        <f t="shared" si="24"/>
        <v/>
      </c>
      <c r="AN140" t="str">
        <f t="shared" si="25"/>
        <v/>
      </c>
      <c r="AQ140" t="str">
        <f t="shared" si="26"/>
        <v/>
      </c>
      <c r="AR140" t="str">
        <f t="shared" si="27"/>
        <v/>
      </c>
      <c r="AS140" t="str">
        <f t="shared" si="28"/>
        <v/>
      </c>
      <c r="AT140" t="str">
        <f t="shared" si="29"/>
        <v/>
      </c>
      <c r="BG140" t="str">
        <f t="shared" si="30"/>
        <v/>
      </c>
      <c r="BH140" t="str">
        <f t="shared" si="31"/>
        <v/>
      </c>
      <c r="BL140" t="str">
        <f>IFERROR(INDEX(_names_lookup!$C:$C,MATCH(BK140,_names_lookup!$A:$A,0)),"")</f>
        <v/>
      </c>
      <c r="BM140" t="str">
        <f>IFERROR(INDEX(_names_lookup!$B:$B,MATCH(BK140,_names_lookup!$A:$A,0)),"")</f>
        <v/>
      </c>
      <c r="BS140" t="str">
        <f t="shared" si="32"/>
        <v/>
      </c>
    </row>
    <row r="141" spans="15:71" x14ac:dyDescent="0.2">
      <c r="O141" t="str">
        <f>IFERROR(INDEX(_courses_lookup!$C:$C,MATCH(K141&amp;L141,_courses_lookup!$E:$E,0)),"")</f>
        <v/>
      </c>
      <c r="P141" t="str">
        <f>IFERROR(INDEX(_courses_lookup!$D:$D,MATCH(K141&amp;L141,_courses_lookup!$E:$E,0)),"")</f>
        <v/>
      </c>
      <c r="AG141" t="str">
        <f t="shared" si="22"/>
        <v/>
      </c>
      <c r="AI141" t="str">
        <f t="shared" si="23"/>
        <v/>
      </c>
      <c r="AL141" t="str">
        <f t="shared" si="24"/>
        <v/>
      </c>
      <c r="AN141" t="str">
        <f t="shared" si="25"/>
        <v/>
      </c>
      <c r="AQ141" t="str">
        <f t="shared" si="26"/>
        <v/>
      </c>
      <c r="AR141" t="str">
        <f t="shared" si="27"/>
        <v/>
      </c>
      <c r="AS141" t="str">
        <f t="shared" si="28"/>
        <v/>
      </c>
      <c r="AT141" t="str">
        <f t="shared" si="29"/>
        <v/>
      </c>
      <c r="BG141" t="str">
        <f t="shared" si="30"/>
        <v/>
      </c>
      <c r="BH141" t="str">
        <f t="shared" si="31"/>
        <v/>
      </c>
      <c r="BL141" t="str">
        <f>IFERROR(INDEX(_names_lookup!$C:$C,MATCH(BK141,_names_lookup!$A:$A,0)),"")</f>
        <v/>
      </c>
      <c r="BM141" t="str">
        <f>IFERROR(INDEX(_names_lookup!$B:$B,MATCH(BK141,_names_lookup!$A:$A,0)),"")</f>
        <v/>
      </c>
      <c r="BS141" t="str">
        <f t="shared" si="32"/>
        <v/>
      </c>
    </row>
    <row r="142" spans="15:71" x14ac:dyDescent="0.2">
      <c r="O142" t="str">
        <f>IFERROR(INDEX(_courses_lookup!$C:$C,MATCH(K142&amp;L142,_courses_lookup!$E:$E,0)),"")</f>
        <v/>
      </c>
      <c r="P142" t="str">
        <f>IFERROR(INDEX(_courses_lookup!$D:$D,MATCH(K142&amp;L142,_courses_lookup!$E:$E,0)),"")</f>
        <v/>
      </c>
      <c r="AG142" t="str">
        <f t="shared" si="22"/>
        <v/>
      </c>
      <c r="AI142" t="str">
        <f t="shared" si="23"/>
        <v/>
      </c>
      <c r="AL142" t="str">
        <f t="shared" si="24"/>
        <v/>
      </c>
      <c r="AN142" t="str">
        <f t="shared" si="25"/>
        <v/>
      </c>
      <c r="AQ142" t="str">
        <f t="shared" si="26"/>
        <v/>
      </c>
      <c r="AR142" t="str">
        <f t="shared" si="27"/>
        <v/>
      </c>
      <c r="AS142" t="str">
        <f t="shared" si="28"/>
        <v/>
      </c>
      <c r="AT142" t="str">
        <f t="shared" si="29"/>
        <v/>
      </c>
      <c r="BG142" t="str">
        <f t="shared" si="30"/>
        <v/>
      </c>
      <c r="BH142" t="str">
        <f t="shared" si="31"/>
        <v/>
      </c>
      <c r="BL142" t="str">
        <f>IFERROR(INDEX(_names_lookup!$C:$C,MATCH(BK142,_names_lookup!$A:$A,0)),"")</f>
        <v/>
      </c>
      <c r="BM142" t="str">
        <f>IFERROR(INDEX(_names_lookup!$B:$B,MATCH(BK142,_names_lookup!$A:$A,0)),"")</f>
        <v/>
      </c>
      <c r="BS142" t="str">
        <f t="shared" si="32"/>
        <v/>
      </c>
    </row>
    <row r="143" spans="15:71" x14ac:dyDescent="0.2">
      <c r="O143" t="str">
        <f>IFERROR(INDEX(_courses_lookup!$C:$C,MATCH(K143&amp;L143,_courses_lookup!$E:$E,0)),"")</f>
        <v/>
      </c>
      <c r="P143" t="str">
        <f>IFERROR(INDEX(_courses_lookup!$D:$D,MATCH(K143&amp;L143,_courses_lookup!$E:$E,0)),"")</f>
        <v/>
      </c>
      <c r="AG143" t="str">
        <f t="shared" si="22"/>
        <v/>
      </c>
      <c r="AI143" t="str">
        <f t="shared" si="23"/>
        <v/>
      </c>
      <c r="AL143" t="str">
        <f t="shared" si="24"/>
        <v/>
      </c>
      <c r="AN143" t="str">
        <f t="shared" si="25"/>
        <v/>
      </c>
      <c r="AQ143" t="str">
        <f t="shared" si="26"/>
        <v/>
      </c>
      <c r="AR143" t="str">
        <f t="shared" si="27"/>
        <v/>
      </c>
      <c r="AS143" t="str">
        <f t="shared" si="28"/>
        <v/>
      </c>
      <c r="AT143" t="str">
        <f t="shared" si="29"/>
        <v/>
      </c>
      <c r="BG143" t="str">
        <f t="shared" si="30"/>
        <v/>
      </c>
      <c r="BH143" t="str">
        <f t="shared" si="31"/>
        <v/>
      </c>
      <c r="BL143" t="str">
        <f>IFERROR(INDEX(_names_lookup!$C:$C,MATCH(BK143,_names_lookup!$A:$A,0)),"")</f>
        <v/>
      </c>
      <c r="BM143" t="str">
        <f>IFERROR(INDEX(_names_lookup!$B:$B,MATCH(BK143,_names_lookup!$A:$A,0)),"")</f>
        <v/>
      </c>
      <c r="BS143" t="str">
        <f t="shared" si="32"/>
        <v/>
      </c>
    </row>
    <row r="144" spans="15:71" x14ac:dyDescent="0.2">
      <c r="O144" t="str">
        <f>IFERROR(INDEX(_courses_lookup!$C:$C,MATCH(K144&amp;L144,_courses_lookup!$E:$E,0)),"")</f>
        <v/>
      </c>
      <c r="P144" t="str">
        <f>IFERROR(INDEX(_courses_lookup!$D:$D,MATCH(K144&amp;L144,_courses_lookup!$E:$E,0)),"")</f>
        <v/>
      </c>
      <c r="AG144" t="str">
        <f t="shared" si="22"/>
        <v/>
      </c>
      <c r="AI144" t="str">
        <f t="shared" si="23"/>
        <v/>
      </c>
      <c r="AL144" t="str">
        <f t="shared" si="24"/>
        <v/>
      </c>
      <c r="AN144" t="str">
        <f t="shared" si="25"/>
        <v/>
      </c>
      <c r="AQ144" t="str">
        <f t="shared" si="26"/>
        <v/>
      </c>
      <c r="AR144" t="str">
        <f t="shared" si="27"/>
        <v/>
      </c>
      <c r="AS144" t="str">
        <f t="shared" si="28"/>
        <v/>
      </c>
      <c r="AT144" t="str">
        <f t="shared" si="29"/>
        <v/>
      </c>
      <c r="BG144" t="str">
        <f t="shared" si="30"/>
        <v/>
      </c>
      <c r="BH144" t="str">
        <f t="shared" si="31"/>
        <v/>
      </c>
      <c r="BL144" t="str">
        <f>IFERROR(INDEX(_names_lookup!$C:$C,MATCH(BK144,_names_lookup!$A:$A,0)),"")</f>
        <v/>
      </c>
      <c r="BM144" t="str">
        <f>IFERROR(INDEX(_names_lookup!$B:$B,MATCH(BK144,_names_lookup!$A:$A,0)),"")</f>
        <v/>
      </c>
      <c r="BS144" t="str">
        <f t="shared" si="32"/>
        <v/>
      </c>
    </row>
    <row r="145" spans="15:71" x14ac:dyDescent="0.2">
      <c r="O145" t="str">
        <f>IFERROR(INDEX(_courses_lookup!$C:$C,MATCH(K145&amp;L145,_courses_lookup!$E:$E,0)),"")</f>
        <v/>
      </c>
      <c r="P145" t="str">
        <f>IFERROR(INDEX(_courses_lookup!$D:$D,MATCH(K145&amp;L145,_courses_lookup!$E:$E,0)),"")</f>
        <v/>
      </c>
      <c r="AG145" t="str">
        <f t="shared" si="22"/>
        <v/>
      </c>
      <c r="AI145" t="str">
        <f t="shared" si="23"/>
        <v/>
      </c>
      <c r="AL145" t="str">
        <f t="shared" si="24"/>
        <v/>
      </c>
      <c r="AN145" t="str">
        <f t="shared" si="25"/>
        <v/>
      </c>
      <c r="AQ145" t="str">
        <f t="shared" si="26"/>
        <v/>
      </c>
      <c r="AR145" t="str">
        <f t="shared" si="27"/>
        <v/>
      </c>
      <c r="AS145" t="str">
        <f t="shared" si="28"/>
        <v/>
      </c>
      <c r="AT145" t="str">
        <f t="shared" si="29"/>
        <v/>
      </c>
      <c r="BG145" t="str">
        <f t="shared" si="30"/>
        <v/>
      </c>
      <c r="BH145" t="str">
        <f t="shared" si="31"/>
        <v/>
      </c>
      <c r="BL145" t="str">
        <f>IFERROR(INDEX(_names_lookup!$C:$C,MATCH(BK145,_names_lookup!$A:$A,0)),"")</f>
        <v/>
      </c>
      <c r="BM145" t="str">
        <f>IFERROR(INDEX(_names_lookup!$B:$B,MATCH(BK145,_names_lookup!$A:$A,0)),"")</f>
        <v/>
      </c>
      <c r="BS145" t="str">
        <f t="shared" si="32"/>
        <v/>
      </c>
    </row>
    <row r="146" spans="15:71" x14ac:dyDescent="0.2">
      <c r="O146" t="str">
        <f>IFERROR(INDEX(_courses_lookup!$C:$C,MATCH(K146&amp;L146,_courses_lookup!$E:$E,0)),"")</f>
        <v/>
      </c>
      <c r="P146" t="str">
        <f>IFERROR(INDEX(_courses_lookup!$D:$D,MATCH(K146&amp;L146,_courses_lookup!$E:$E,0)),"")</f>
        <v/>
      </c>
      <c r="AG146" t="str">
        <f t="shared" si="22"/>
        <v/>
      </c>
      <c r="AI146" t="str">
        <f t="shared" si="23"/>
        <v/>
      </c>
      <c r="AL146" t="str">
        <f t="shared" si="24"/>
        <v/>
      </c>
      <c r="AN146" t="str">
        <f t="shared" si="25"/>
        <v/>
      </c>
      <c r="AQ146" t="str">
        <f t="shared" si="26"/>
        <v/>
      </c>
      <c r="AR146" t="str">
        <f t="shared" si="27"/>
        <v/>
      </c>
      <c r="AS146" t="str">
        <f t="shared" si="28"/>
        <v/>
      </c>
      <c r="AT146" t="str">
        <f t="shared" si="29"/>
        <v/>
      </c>
      <c r="BG146" t="str">
        <f t="shared" si="30"/>
        <v/>
      </c>
      <c r="BH146" t="str">
        <f t="shared" si="31"/>
        <v/>
      </c>
      <c r="BL146" t="str">
        <f>IFERROR(INDEX(_names_lookup!$C:$C,MATCH(BK146,_names_lookup!$A:$A,0)),"")</f>
        <v/>
      </c>
      <c r="BM146" t="str">
        <f>IFERROR(INDEX(_names_lookup!$B:$B,MATCH(BK146,_names_lookup!$A:$A,0)),"")</f>
        <v/>
      </c>
      <c r="BS146" t="str">
        <f t="shared" si="32"/>
        <v/>
      </c>
    </row>
    <row r="147" spans="15:71" x14ac:dyDescent="0.2">
      <c r="O147" t="str">
        <f>IFERROR(INDEX(_courses_lookup!$C:$C,MATCH(K147&amp;L147,_courses_lookup!$E:$E,0)),"")</f>
        <v/>
      </c>
      <c r="P147" t="str">
        <f>IFERROR(INDEX(_courses_lookup!$D:$D,MATCH(K147&amp;L147,_courses_lookup!$E:$E,0)),"")</f>
        <v/>
      </c>
      <c r="AG147" t="str">
        <f t="shared" si="22"/>
        <v/>
      </c>
      <c r="AI147" t="str">
        <f t="shared" si="23"/>
        <v/>
      </c>
      <c r="AL147" t="str">
        <f t="shared" si="24"/>
        <v/>
      </c>
      <c r="AN147" t="str">
        <f t="shared" si="25"/>
        <v/>
      </c>
      <c r="AQ147" t="str">
        <f t="shared" si="26"/>
        <v/>
      </c>
      <c r="AR147" t="str">
        <f t="shared" si="27"/>
        <v/>
      </c>
      <c r="AS147" t="str">
        <f t="shared" si="28"/>
        <v/>
      </c>
      <c r="AT147" t="str">
        <f t="shared" si="29"/>
        <v/>
      </c>
      <c r="BG147" t="str">
        <f t="shared" si="30"/>
        <v/>
      </c>
      <c r="BH147" t="str">
        <f t="shared" si="31"/>
        <v/>
      </c>
      <c r="BL147" t="str">
        <f>IFERROR(INDEX(_names_lookup!$C:$C,MATCH(BK147,_names_lookup!$A:$A,0)),"")</f>
        <v/>
      </c>
      <c r="BM147" t="str">
        <f>IFERROR(INDEX(_names_lookup!$B:$B,MATCH(BK147,_names_lookup!$A:$A,0)),"")</f>
        <v/>
      </c>
      <c r="BS147" t="str">
        <f t="shared" si="32"/>
        <v/>
      </c>
    </row>
    <row r="148" spans="15:71" x14ac:dyDescent="0.2">
      <c r="O148" t="str">
        <f>IFERROR(INDEX(_courses_lookup!$C:$C,MATCH(K148&amp;L148,_courses_lookup!$E:$E,0)),"")</f>
        <v/>
      </c>
      <c r="P148" t="str">
        <f>IFERROR(INDEX(_courses_lookup!$D:$D,MATCH(K148&amp;L148,_courses_lookup!$E:$E,0)),"")</f>
        <v/>
      </c>
      <c r="AG148" t="str">
        <f t="shared" si="22"/>
        <v/>
      </c>
      <c r="AI148" t="str">
        <f t="shared" si="23"/>
        <v/>
      </c>
      <c r="AL148" t="str">
        <f t="shared" si="24"/>
        <v/>
      </c>
      <c r="AN148" t="str">
        <f t="shared" si="25"/>
        <v/>
      </c>
      <c r="AQ148" t="str">
        <f t="shared" si="26"/>
        <v/>
      </c>
      <c r="AR148" t="str">
        <f t="shared" si="27"/>
        <v/>
      </c>
      <c r="AS148" t="str">
        <f t="shared" si="28"/>
        <v/>
      </c>
      <c r="AT148" t="str">
        <f t="shared" si="29"/>
        <v/>
      </c>
      <c r="BG148" t="str">
        <f t="shared" si="30"/>
        <v/>
      </c>
      <c r="BH148" t="str">
        <f t="shared" si="31"/>
        <v/>
      </c>
      <c r="BL148" t="str">
        <f>IFERROR(INDEX(_names_lookup!$C:$C,MATCH(BK148,_names_lookup!$A:$A,0)),"")</f>
        <v/>
      </c>
      <c r="BM148" t="str">
        <f>IFERROR(INDEX(_names_lookup!$B:$B,MATCH(BK148,_names_lookup!$A:$A,0)),"")</f>
        <v/>
      </c>
      <c r="BS148" t="str">
        <f t="shared" si="32"/>
        <v/>
      </c>
    </row>
    <row r="149" spans="15:71" x14ac:dyDescent="0.2">
      <c r="O149" t="str">
        <f>IFERROR(INDEX(_courses_lookup!$C:$C,MATCH(K149&amp;L149,_courses_lookup!$E:$E,0)),"")</f>
        <v/>
      </c>
      <c r="P149" t="str">
        <f>IFERROR(INDEX(_courses_lookup!$D:$D,MATCH(K149&amp;L149,_courses_lookup!$E:$E,0)),"")</f>
        <v/>
      </c>
      <c r="AG149" t="str">
        <f t="shared" si="22"/>
        <v/>
      </c>
      <c r="AI149" t="str">
        <f t="shared" si="23"/>
        <v/>
      </c>
      <c r="AL149" t="str">
        <f t="shared" si="24"/>
        <v/>
      </c>
      <c r="AN149" t="str">
        <f t="shared" si="25"/>
        <v/>
      </c>
      <c r="AQ149" t="str">
        <f t="shared" si="26"/>
        <v/>
      </c>
      <c r="AR149" t="str">
        <f t="shared" si="27"/>
        <v/>
      </c>
      <c r="AS149" t="str">
        <f t="shared" si="28"/>
        <v/>
      </c>
      <c r="AT149" t="str">
        <f t="shared" si="29"/>
        <v/>
      </c>
      <c r="BG149" t="str">
        <f t="shared" si="30"/>
        <v/>
      </c>
      <c r="BH149" t="str">
        <f t="shared" si="31"/>
        <v/>
      </c>
      <c r="BL149" t="str">
        <f>IFERROR(INDEX(_names_lookup!$C:$C,MATCH(BK149,_names_lookup!$A:$A,0)),"")</f>
        <v/>
      </c>
      <c r="BM149" t="str">
        <f>IFERROR(INDEX(_names_lookup!$B:$B,MATCH(BK149,_names_lookup!$A:$A,0)),"")</f>
        <v/>
      </c>
      <c r="BS149" t="str">
        <f t="shared" si="32"/>
        <v/>
      </c>
    </row>
    <row r="150" spans="15:71" x14ac:dyDescent="0.2">
      <c r="O150" t="str">
        <f>IFERROR(INDEX(_courses_lookup!$C:$C,MATCH(K150&amp;L150,_courses_lookup!$E:$E,0)),"")</f>
        <v/>
      </c>
      <c r="P150" t="str">
        <f>IFERROR(INDEX(_courses_lookup!$D:$D,MATCH(K150&amp;L150,_courses_lookup!$E:$E,0)),"")</f>
        <v/>
      </c>
      <c r="AG150" t="str">
        <f t="shared" si="22"/>
        <v/>
      </c>
      <c r="AI150" t="str">
        <f t="shared" si="23"/>
        <v/>
      </c>
      <c r="AL150" t="str">
        <f t="shared" si="24"/>
        <v/>
      </c>
      <c r="AN150" t="str">
        <f t="shared" si="25"/>
        <v/>
      </c>
      <c r="AQ150" t="str">
        <f t="shared" si="26"/>
        <v/>
      </c>
      <c r="AR150" t="str">
        <f t="shared" si="27"/>
        <v/>
      </c>
      <c r="AS150" t="str">
        <f t="shared" si="28"/>
        <v/>
      </c>
      <c r="AT150" t="str">
        <f t="shared" si="29"/>
        <v/>
      </c>
      <c r="BG150" t="str">
        <f t="shared" si="30"/>
        <v/>
      </c>
      <c r="BH150" t="str">
        <f t="shared" si="31"/>
        <v/>
      </c>
      <c r="BL150" t="str">
        <f>IFERROR(INDEX(_names_lookup!$C:$C,MATCH(BK150,_names_lookup!$A:$A,0)),"")</f>
        <v/>
      </c>
      <c r="BM150" t="str">
        <f>IFERROR(INDEX(_names_lookup!$B:$B,MATCH(BK150,_names_lookup!$A:$A,0)),"")</f>
        <v/>
      </c>
      <c r="BS150" t="str">
        <f t="shared" si="32"/>
        <v/>
      </c>
    </row>
    <row r="151" spans="15:71" x14ac:dyDescent="0.2">
      <c r="O151" t="str">
        <f>IFERROR(INDEX(_courses_lookup!$C:$C,MATCH(K151&amp;L151,_courses_lookup!$E:$E,0)),"")</f>
        <v/>
      </c>
      <c r="P151" t="str">
        <f>IFERROR(INDEX(_courses_lookup!$D:$D,MATCH(K151&amp;L151,_courses_lookup!$E:$E,0)),"")</f>
        <v/>
      </c>
      <c r="AG151" t="str">
        <f t="shared" si="22"/>
        <v/>
      </c>
      <c r="AI151" t="str">
        <f t="shared" si="23"/>
        <v/>
      </c>
      <c r="AL151" t="str">
        <f t="shared" si="24"/>
        <v/>
      </c>
      <c r="AN151" t="str">
        <f t="shared" si="25"/>
        <v/>
      </c>
      <c r="AQ151" t="str">
        <f t="shared" si="26"/>
        <v/>
      </c>
      <c r="AR151" t="str">
        <f t="shared" si="27"/>
        <v/>
      </c>
      <c r="AS151" t="str">
        <f t="shared" si="28"/>
        <v/>
      </c>
      <c r="AT151" t="str">
        <f t="shared" si="29"/>
        <v/>
      </c>
      <c r="BG151" t="str">
        <f t="shared" si="30"/>
        <v/>
      </c>
      <c r="BH151" t="str">
        <f t="shared" si="31"/>
        <v/>
      </c>
      <c r="BL151" t="str">
        <f>IFERROR(INDEX(_names_lookup!$C:$C,MATCH(BK151,_names_lookup!$A:$A,0)),"")</f>
        <v/>
      </c>
      <c r="BM151" t="str">
        <f>IFERROR(INDEX(_names_lookup!$B:$B,MATCH(BK151,_names_lookup!$A:$A,0)),"")</f>
        <v/>
      </c>
      <c r="BS151" t="str">
        <f t="shared" si="32"/>
        <v/>
      </c>
    </row>
    <row r="152" spans="15:71" x14ac:dyDescent="0.2">
      <c r="O152" t="str">
        <f>IFERROR(INDEX(_courses_lookup!$C:$C,MATCH(K152&amp;L152,_courses_lookup!$E:$E,0)),"")</f>
        <v/>
      </c>
      <c r="P152" t="str">
        <f>IFERROR(INDEX(_courses_lookup!$D:$D,MATCH(K152&amp;L152,_courses_lookup!$E:$E,0)),"")</f>
        <v/>
      </c>
      <c r="AG152" t="str">
        <f t="shared" si="22"/>
        <v/>
      </c>
      <c r="AI152" t="str">
        <f t="shared" si="23"/>
        <v/>
      </c>
      <c r="AL152" t="str">
        <f t="shared" si="24"/>
        <v/>
      </c>
      <c r="AN152" t="str">
        <f t="shared" si="25"/>
        <v/>
      </c>
      <c r="AQ152" t="str">
        <f t="shared" si="26"/>
        <v/>
      </c>
      <c r="AR152" t="str">
        <f t="shared" si="27"/>
        <v/>
      </c>
      <c r="AS152" t="str">
        <f t="shared" si="28"/>
        <v/>
      </c>
      <c r="AT152" t="str">
        <f t="shared" si="29"/>
        <v/>
      </c>
      <c r="BG152" t="str">
        <f t="shared" si="30"/>
        <v/>
      </c>
      <c r="BH152" t="str">
        <f t="shared" si="31"/>
        <v/>
      </c>
      <c r="BL152" t="str">
        <f>IFERROR(INDEX(_names_lookup!$C:$C,MATCH(BK152,_names_lookup!$A:$A,0)),"")</f>
        <v/>
      </c>
      <c r="BM152" t="str">
        <f>IFERROR(INDEX(_names_lookup!$B:$B,MATCH(BK152,_names_lookup!$A:$A,0)),"")</f>
        <v/>
      </c>
      <c r="BS152" t="str">
        <f t="shared" si="32"/>
        <v/>
      </c>
    </row>
    <row r="153" spans="15:71" x14ac:dyDescent="0.2">
      <c r="O153" t="str">
        <f>IFERROR(INDEX(_courses_lookup!$C:$C,MATCH(K153&amp;L153,_courses_lookup!$E:$E,0)),"")</f>
        <v/>
      </c>
      <c r="P153" t="str">
        <f>IFERROR(INDEX(_courses_lookup!$D:$D,MATCH(K153&amp;L153,_courses_lookup!$E:$E,0)),"")</f>
        <v/>
      </c>
      <c r="AG153" t="str">
        <f t="shared" si="22"/>
        <v/>
      </c>
      <c r="AI153" t="str">
        <f t="shared" si="23"/>
        <v/>
      </c>
      <c r="AL153" t="str">
        <f t="shared" si="24"/>
        <v/>
      </c>
      <c r="AN153" t="str">
        <f t="shared" si="25"/>
        <v/>
      </c>
      <c r="AQ153" t="str">
        <f t="shared" si="26"/>
        <v/>
      </c>
      <c r="AR153" t="str">
        <f t="shared" si="27"/>
        <v/>
      </c>
      <c r="AS153" t="str">
        <f t="shared" si="28"/>
        <v/>
      </c>
      <c r="AT153" t="str">
        <f t="shared" si="29"/>
        <v/>
      </c>
      <c r="BG153" t="str">
        <f t="shared" si="30"/>
        <v/>
      </c>
      <c r="BH153" t="str">
        <f t="shared" si="31"/>
        <v/>
      </c>
      <c r="BL153" t="str">
        <f>IFERROR(INDEX(_names_lookup!$C:$C,MATCH(BK153,_names_lookup!$A:$A,0)),"")</f>
        <v/>
      </c>
      <c r="BM153" t="str">
        <f>IFERROR(INDEX(_names_lookup!$B:$B,MATCH(BK153,_names_lookup!$A:$A,0)),"")</f>
        <v/>
      </c>
      <c r="BS153" t="str">
        <f t="shared" si="32"/>
        <v/>
      </c>
    </row>
    <row r="154" spans="15:71" x14ac:dyDescent="0.2">
      <c r="O154" t="str">
        <f>IFERROR(INDEX(_courses_lookup!$C:$C,MATCH(K154&amp;L154,_courses_lookup!$E:$E,0)),"")</f>
        <v/>
      </c>
      <c r="P154" t="str">
        <f>IFERROR(INDEX(_courses_lookup!$D:$D,MATCH(K154&amp;L154,_courses_lookup!$E:$E,0)),"")</f>
        <v/>
      </c>
      <c r="AG154" t="str">
        <f t="shared" si="22"/>
        <v/>
      </c>
      <c r="AI154" t="str">
        <f t="shared" si="23"/>
        <v/>
      </c>
      <c r="AL154" t="str">
        <f t="shared" si="24"/>
        <v/>
      </c>
      <c r="AN154" t="str">
        <f t="shared" si="25"/>
        <v/>
      </c>
      <c r="AQ154" t="str">
        <f t="shared" si="26"/>
        <v/>
      </c>
      <c r="AR154" t="str">
        <f t="shared" si="27"/>
        <v/>
      </c>
      <c r="AS154" t="str">
        <f t="shared" si="28"/>
        <v/>
      </c>
      <c r="AT154" t="str">
        <f t="shared" si="29"/>
        <v/>
      </c>
      <c r="BG154" t="str">
        <f t="shared" si="30"/>
        <v/>
      </c>
      <c r="BH154" t="str">
        <f t="shared" si="31"/>
        <v/>
      </c>
      <c r="BL154" t="str">
        <f>IFERROR(INDEX(_names_lookup!$C:$C,MATCH(BK154,_names_lookup!$A:$A,0)),"")</f>
        <v/>
      </c>
      <c r="BM154" t="str">
        <f>IFERROR(INDEX(_names_lookup!$B:$B,MATCH(BK154,_names_lookup!$A:$A,0)),"")</f>
        <v/>
      </c>
      <c r="BS154" t="str">
        <f t="shared" si="32"/>
        <v/>
      </c>
    </row>
    <row r="155" spans="15:71" x14ac:dyDescent="0.2">
      <c r="O155" t="str">
        <f>IFERROR(INDEX(_courses_lookup!$C:$C,MATCH(K155&amp;L155,_courses_lookup!$E:$E,0)),"")</f>
        <v/>
      </c>
      <c r="P155" t="str">
        <f>IFERROR(INDEX(_courses_lookup!$D:$D,MATCH(K155&amp;L155,_courses_lookup!$E:$E,0)),"")</f>
        <v/>
      </c>
      <c r="AG155" t="str">
        <f t="shared" si="22"/>
        <v/>
      </c>
      <c r="AI155" t="str">
        <f t="shared" si="23"/>
        <v/>
      </c>
      <c r="AL155" t="str">
        <f t="shared" si="24"/>
        <v/>
      </c>
      <c r="AN155" t="str">
        <f t="shared" si="25"/>
        <v/>
      </c>
      <c r="AQ155" t="str">
        <f t="shared" si="26"/>
        <v/>
      </c>
      <c r="AR155" t="str">
        <f t="shared" si="27"/>
        <v/>
      </c>
      <c r="AS155" t="str">
        <f t="shared" si="28"/>
        <v/>
      </c>
      <c r="AT155" t="str">
        <f t="shared" si="29"/>
        <v/>
      </c>
      <c r="BG155" t="str">
        <f t="shared" si="30"/>
        <v/>
      </c>
      <c r="BH155" t="str">
        <f t="shared" si="31"/>
        <v/>
      </c>
      <c r="BL155" t="str">
        <f>IFERROR(INDEX(_names_lookup!$C:$C,MATCH(BK155,_names_lookup!$A:$A,0)),"")</f>
        <v/>
      </c>
      <c r="BM155" t="str">
        <f>IFERROR(INDEX(_names_lookup!$B:$B,MATCH(BK155,_names_lookup!$A:$A,0)),"")</f>
        <v/>
      </c>
      <c r="BS155" t="str">
        <f t="shared" si="32"/>
        <v/>
      </c>
    </row>
    <row r="156" spans="15:71" x14ac:dyDescent="0.2">
      <c r="O156" t="str">
        <f>IFERROR(INDEX(_courses_lookup!$C:$C,MATCH(K156&amp;L156,_courses_lookup!$E:$E,0)),"")</f>
        <v/>
      </c>
      <c r="P156" t="str">
        <f>IFERROR(INDEX(_courses_lookup!$D:$D,MATCH(K156&amp;L156,_courses_lookup!$E:$E,0)),"")</f>
        <v/>
      </c>
      <c r="AG156" t="str">
        <f t="shared" si="22"/>
        <v/>
      </c>
      <c r="AI156" t="str">
        <f t="shared" si="23"/>
        <v/>
      </c>
      <c r="AL156" t="str">
        <f t="shared" si="24"/>
        <v/>
      </c>
      <c r="AN156" t="str">
        <f t="shared" si="25"/>
        <v/>
      </c>
      <c r="AQ156" t="str">
        <f t="shared" si="26"/>
        <v/>
      </c>
      <c r="AR156" t="str">
        <f t="shared" si="27"/>
        <v/>
      </c>
      <c r="AS156" t="str">
        <f t="shared" si="28"/>
        <v/>
      </c>
      <c r="AT156" t="str">
        <f t="shared" si="29"/>
        <v/>
      </c>
      <c r="BG156" t="str">
        <f t="shared" si="30"/>
        <v/>
      </c>
      <c r="BH156" t="str">
        <f t="shared" si="31"/>
        <v/>
      </c>
      <c r="BL156" t="str">
        <f>IFERROR(INDEX(_names_lookup!$C:$C,MATCH(BK156,_names_lookup!$A:$A,0)),"")</f>
        <v/>
      </c>
      <c r="BM156" t="str">
        <f>IFERROR(INDEX(_names_lookup!$B:$B,MATCH(BK156,_names_lookup!$A:$A,0)),"")</f>
        <v/>
      </c>
      <c r="BS156" t="str">
        <f t="shared" si="32"/>
        <v/>
      </c>
    </row>
    <row r="157" spans="15:71" x14ac:dyDescent="0.2">
      <c r="O157" t="str">
        <f>IFERROR(INDEX(_courses_lookup!$C:$C,MATCH(K157&amp;L157,_courses_lookup!$E:$E,0)),"")</f>
        <v/>
      </c>
      <c r="P157" t="str">
        <f>IFERROR(INDEX(_courses_lookup!$D:$D,MATCH(K157&amp;L157,_courses_lookup!$E:$E,0)),"")</f>
        <v/>
      </c>
      <c r="AG157" t="str">
        <f t="shared" si="22"/>
        <v/>
      </c>
      <c r="AI157" t="str">
        <f t="shared" si="23"/>
        <v/>
      </c>
      <c r="AL157" t="str">
        <f t="shared" si="24"/>
        <v/>
      </c>
      <c r="AN157" t="str">
        <f t="shared" si="25"/>
        <v/>
      </c>
      <c r="AQ157" t="str">
        <f t="shared" si="26"/>
        <v/>
      </c>
      <c r="AR157" t="str">
        <f t="shared" si="27"/>
        <v/>
      </c>
      <c r="AS157" t="str">
        <f t="shared" si="28"/>
        <v/>
      </c>
      <c r="AT157" t="str">
        <f t="shared" si="29"/>
        <v/>
      </c>
      <c r="BG157" t="str">
        <f t="shared" si="30"/>
        <v/>
      </c>
      <c r="BH157" t="str">
        <f t="shared" si="31"/>
        <v/>
      </c>
      <c r="BL157" t="str">
        <f>IFERROR(INDEX(_names_lookup!$C:$C,MATCH(BK157,_names_lookup!$A:$A,0)),"")</f>
        <v/>
      </c>
      <c r="BM157" t="str">
        <f>IFERROR(INDEX(_names_lookup!$B:$B,MATCH(BK157,_names_lookup!$A:$A,0)),"")</f>
        <v/>
      </c>
      <c r="BS157" t="str">
        <f t="shared" si="32"/>
        <v/>
      </c>
    </row>
    <row r="158" spans="15:71" x14ac:dyDescent="0.2">
      <c r="O158" t="str">
        <f>IFERROR(INDEX(_courses_lookup!$C:$C,MATCH(K158&amp;L158,_courses_lookup!$E:$E,0)),"")</f>
        <v/>
      </c>
      <c r="P158" t="str">
        <f>IFERROR(INDEX(_courses_lookup!$D:$D,MATCH(K158&amp;L158,_courses_lookup!$E:$E,0)),"")</f>
        <v/>
      </c>
      <c r="AG158" t="str">
        <f t="shared" si="22"/>
        <v/>
      </c>
      <c r="AI158" t="str">
        <f t="shared" si="23"/>
        <v/>
      </c>
      <c r="AL158" t="str">
        <f t="shared" si="24"/>
        <v/>
      </c>
      <c r="AN158" t="str">
        <f t="shared" si="25"/>
        <v/>
      </c>
      <c r="AQ158" t="str">
        <f t="shared" si="26"/>
        <v/>
      </c>
      <c r="AR158" t="str">
        <f t="shared" si="27"/>
        <v/>
      </c>
      <c r="AS158" t="str">
        <f t="shared" si="28"/>
        <v/>
      </c>
      <c r="AT158" t="str">
        <f t="shared" si="29"/>
        <v/>
      </c>
      <c r="BG158" t="str">
        <f t="shared" si="30"/>
        <v/>
      </c>
      <c r="BH158" t="str">
        <f t="shared" si="31"/>
        <v/>
      </c>
      <c r="BL158" t="str">
        <f>IFERROR(INDEX(_names_lookup!$C:$C,MATCH(BK158,_names_lookup!$A:$A,0)),"")</f>
        <v/>
      </c>
      <c r="BM158" t="str">
        <f>IFERROR(INDEX(_names_lookup!$B:$B,MATCH(BK158,_names_lookup!$A:$A,0)),"")</f>
        <v/>
      </c>
      <c r="BS158" t="str">
        <f t="shared" si="32"/>
        <v/>
      </c>
    </row>
    <row r="159" spans="15:71" x14ac:dyDescent="0.2">
      <c r="O159" t="str">
        <f>IFERROR(INDEX(_courses_lookup!$C:$C,MATCH(K159&amp;L159,_courses_lookup!$E:$E,0)),"")</f>
        <v/>
      </c>
      <c r="P159" t="str">
        <f>IFERROR(INDEX(_courses_lookup!$D:$D,MATCH(K159&amp;L159,_courses_lookup!$E:$E,0)),"")</f>
        <v/>
      </c>
      <c r="AG159" t="str">
        <f t="shared" si="22"/>
        <v/>
      </c>
      <c r="AI159" t="str">
        <f t="shared" si="23"/>
        <v/>
      </c>
      <c r="AL159" t="str">
        <f t="shared" si="24"/>
        <v/>
      </c>
      <c r="AN159" t="str">
        <f t="shared" si="25"/>
        <v/>
      </c>
      <c r="AQ159" t="str">
        <f t="shared" si="26"/>
        <v/>
      </c>
      <c r="AR159" t="str">
        <f t="shared" si="27"/>
        <v/>
      </c>
      <c r="AS159" t="str">
        <f t="shared" si="28"/>
        <v/>
      </c>
      <c r="AT159" t="str">
        <f t="shared" si="29"/>
        <v/>
      </c>
      <c r="BG159" t="str">
        <f t="shared" si="30"/>
        <v/>
      </c>
      <c r="BH159" t="str">
        <f t="shared" si="31"/>
        <v/>
      </c>
      <c r="BL159" t="str">
        <f>IFERROR(INDEX(_names_lookup!$C:$C,MATCH(BK159,_names_lookup!$A:$A,0)),"")</f>
        <v/>
      </c>
      <c r="BM159" t="str">
        <f>IFERROR(INDEX(_names_lookup!$B:$B,MATCH(BK159,_names_lookup!$A:$A,0)),"")</f>
        <v/>
      </c>
      <c r="BS159" t="str">
        <f t="shared" si="32"/>
        <v/>
      </c>
    </row>
    <row r="160" spans="15:71" x14ac:dyDescent="0.2">
      <c r="O160" t="str">
        <f>IFERROR(INDEX(_courses_lookup!$C:$C,MATCH(K160&amp;L160,_courses_lookup!$E:$E,0)),"")</f>
        <v/>
      </c>
      <c r="P160" t="str">
        <f>IFERROR(INDEX(_courses_lookup!$D:$D,MATCH(K160&amp;L160,_courses_lookup!$E:$E,0)),"")</f>
        <v/>
      </c>
      <c r="AG160" t="str">
        <f t="shared" si="22"/>
        <v/>
      </c>
      <c r="AI160" t="str">
        <f t="shared" si="23"/>
        <v/>
      </c>
      <c r="AL160" t="str">
        <f t="shared" si="24"/>
        <v/>
      </c>
      <c r="AN160" t="str">
        <f t="shared" si="25"/>
        <v/>
      </c>
      <c r="AQ160" t="str">
        <f t="shared" si="26"/>
        <v/>
      </c>
      <c r="AR160" t="str">
        <f t="shared" si="27"/>
        <v/>
      </c>
      <c r="AS160" t="str">
        <f t="shared" si="28"/>
        <v/>
      </c>
      <c r="AT160" t="str">
        <f t="shared" si="29"/>
        <v/>
      </c>
      <c r="BG160" t="str">
        <f t="shared" si="30"/>
        <v/>
      </c>
      <c r="BH160" t="str">
        <f t="shared" si="31"/>
        <v/>
      </c>
      <c r="BL160" t="str">
        <f>IFERROR(INDEX(_names_lookup!$C:$C,MATCH(BK160,_names_lookup!$A:$A,0)),"")</f>
        <v/>
      </c>
      <c r="BM160" t="str">
        <f>IFERROR(INDEX(_names_lookup!$B:$B,MATCH(BK160,_names_lookup!$A:$A,0)),"")</f>
        <v/>
      </c>
      <c r="BS160" t="str">
        <f t="shared" si="32"/>
        <v/>
      </c>
    </row>
    <row r="161" spans="15:71" x14ac:dyDescent="0.2">
      <c r="O161" t="str">
        <f>IFERROR(INDEX(_courses_lookup!$C:$C,MATCH(K161&amp;L161,_courses_lookup!$E:$E,0)),"")</f>
        <v/>
      </c>
      <c r="P161" t="str">
        <f>IFERROR(INDEX(_courses_lookup!$D:$D,MATCH(K161&amp;L161,_courses_lookup!$E:$E,0)),"")</f>
        <v/>
      </c>
      <c r="AG161" t="str">
        <f t="shared" si="22"/>
        <v/>
      </c>
      <c r="AI161" t="str">
        <f t="shared" si="23"/>
        <v/>
      </c>
      <c r="AL161" t="str">
        <f t="shared" si="24"/>
        <v/>
      </c>
      <c r="AN161" t="str">
        <f t="shared" si="25"/>
        <v/>
      </c>
      <c r="AQ161" t="str">
        <f t="shared" si="26"/>
        <v/>
      </c>
      <c r="AR161" t="str">
        <f t="shared" si="27"/>
        <v/>
      </c>
      <c r="AS161" t="str">
        <f t="shared" si="28"/>
        <v/>
      </c>
      <c r="AT161" t="str">
        <f t="shared" si="29"/>
        <v/>
      </c>
      <c r="BG161" t="str">
        <f t="shared" si="30"/>
        <v/>
      </c>
      <c r="BH161" t="str">
        <f t="shared" si="31"/>
        <v/>
      </c>
      <c r="BL161" t="str">
        <f>IFERROR(INDEX(_names_lookup!$C:$C,MATCH(BK161,_names_lookup!$A:$A,0)),"")</f>
        <v/>
      </c>
      <c r="BM161" t="str">
        <f>IFERROR(INDEX(_names_lookup!$B:$B,MATCH(BK161,_names_lookup!$A:$A,0)),"")</f>
        <v/>
      </c>
      <c r="BS161" t="str">
        <f t="shared" si="32"/>
        <v/>
      </c>
    </row>
    <row r="162" spans="15:71" x14ac:dyDescent="0.2">
      <c r="O162" t="str">
        <f>IFERROR(INDEX(_courses_lookup!$C:$C,MATCH(K162&amp;L162,_courses_lookup!$E:$E,0)),"")</f>
        <v/>
      </c>
      <c r="P162" t="str">
        <f>IFERROR(INDEX(_courses_lookup!$D:$D,MATCH(K162&amp;L162,_courses_lookup!$E:$E,0)),"")</f>
        <v/>
      </c>
      <c r="AG162" t="str">
        <f t="shared" si="22"/>
        <v/>
      </c>
      <c r="AI162" t="str">
        <f t="shared" si="23"/>
        <v/>
      </c>
      <c r="AL162" t="str">
        <f t="shared" si="24"/>
        <v/>
      </c>
      <c r="AN162" t="str">
        <f t="shared" si="25"/>
        <v/>
      </c>
      <c r="AQ162" t="str">
        <f t="shared" si="26"/>
        <v/>
      </c>
      <c r="AR162" t="str">
        <f t="shared" si="27"/>
        <v/>
      </c>
      <c r="AS162" t="str">
        <f t="shared" si="28"/>
        <v/>
      </c>
      <c r="AT162" t="str">
        <f t="shared" si="29"/>
        <v/>
      </c>
      <c r="BG162" t="str">
        <f t="shared" si="30"/>
        <v/>
      </c>
      <c r="BH162" t="str">
        <f t="shared" si="31"/>
        <v/>
      </c>
      <c r="BL162" t="str">
        <f>IFERROR(INDEX(_names_lookup!$C:$C,MATCH(BK162,_names_lookup!$A:$A,0)),"")</f>
        <v/>
      </c>
      <c r="BM162" t="str">
        <f>IFERROR(INDEX(_names_lookup!$B:$B,MATCH(BK162,_names_lookup!$A:$A,0)),"")</f>
        <v/>
      </c>
      <c r="BS162" t="str">
        <f t="shared" si="32"/>
        <v/>
      </c>
    </row>
    <row r="163" spans="15:71" x14ac:dyDescent="0.2">
      <c r="O163" t="str">
        <f>IFERROR(INDEX(_courses_lookup!$C:$C,MATCH(K163&amp;L163,_courses_lookup!$E:$E,0)),"")</f>
        <v/>
      </c>
      <c r="P163" t="str">
        <f>IFERROR(INDEX(_courses_lookup!$D:$D,MATCH(K163&amp;L163,_courses_lookup!$E:$E,0)),"")</f>
        <v/>
      </c>
      <c r="AG163" t="str">
        <f t="shared" si="22"/>
        <v/>
      </c>
      <c r="AI163" t="str">
        <f t="shared" si="23"/>
        <v/>
      </c>
      <c r="AL163" t="str">
        <f t="shared" si="24"/>
        <v/>
      </c>
      <c r="AN163" t="str">
        <f t="shared" si="25"/>
        <v/>
      </c>
      <c r="AQ163" t="str">
        <f t="shared" si="26"/>
        <v/>
      </c>
      <c r="AR163" t="str">
        <f t="shared" si="27"/>
        <v/>
      </c>
      <c r="AS163" t="str">
        <f t="shared" si="28"/>
        <v/>
      </c>
      <c r="AT163" t="str">
        <f t="shared" si="29"/>
        <v/>
      </c>
      <c r="BG163" t="str">
        <f t="shared" si="30"/>
        <v/>
      </c>
      <c r="BH163" t="str">
        <f t="shared" si="31"/>
        <v/>
      </c>
      <c r="BL163" t="str">
        <f>IFERROR(INDEX(_names_lookup!$C:$C,MATCH(BK163,_names_lookup!$A:$A,0)),"")</f>
        <v/>
      </c>
      <c r="BM163" t="str">
        <f>IFERROR(INDEX(_names_lookup!$B:$B,MATCH(BK163,_names_lookup!$A:$A,0)),"")</f>
        <v/>
      </c>
      <c r="BS163" t="str">
        <f t="shared" si="32"/>
        <v/>
      </c>
    </row>
    <row r="164" spans="15:71" x14ac:dyDescent="0.2">
      <c r="O164" t="str">
        <f>IFERROR(INDEX(_courses_lookup!$C:$C,MATCH(K164&amp;L164,_courses_lookup!$E:$E,0)),"")</f>
        <v/>
      </c>
      <c r="P164" t="str">
        <f>IFERROR(INDEX(_courses_lookup!$D:$D,MATCH(K164&amp;L164,_courses_lookup!$E:$E,0)),"")</f>
        <v/>
      </c>
      <c r="AG164" t="str">
        <f t="shared" si="22"/>
        <v/>
      </c>
      <c r="AI164" t="str">
        <f t="shared" si="23"/>
        <v/>
      </c>
      <c r="AL164" t="str">
        <f t="shared" si="24"/>
        <v/>
      </c>
      <c r="AN164" t="str">
        <f t="shared" si="25"/>
        <v/>
      </c>
      <c r="AQ164" t="str">
        <f t="shared" si="26"/>
        <v/>
      </c>
      <c r="AR164" t="str">
        <f t="shared" si="27"/>
        <v/>
      </c>
      <c r="AS164" t="str">
        <f t="shared" si="28"/>
        <v/>
      </c>
      <c r="AT164" t="str">
        <f t="shared" si="29"/>
        <v/>
      </c>
      <c r="BG164" t="str">
        <f t="shared" si="30"/>
        <v/>
      </c>
      <c r="BH164" t="str">
        <f t="shared" si="31"/>
        <v/>
      </c>
      <c r="BL164" t="str">
        <f>IFERROR(INDEX(_names_lookup!$C:$C,MATCH(BK164,_names_lookup!$A:$A,0)),"")</f>
        <v/>
      </c>
      <c r="BM164" t="str">
        <f>IFERROR(INDEX(_names_lookup!$B:$B,MATCH(BK164,_names_lookup!$A:$A,0)),"")</f>
        <v/>
      </c>
      <c r="BS164" t="str">
        <f t="shared" si="32"/>
        <v/>
      </c>
    </row>
    <row r="165" spans="15:71" x14ac:dyDescent="0.2">
      <c r="O165" t="str">
        <f>IFERROR(INDEX(_courses_lookup!$C:$C,MATCH(K165&amp;L165,_courses_lookup!$E:$E,0)),"")</f>
        <v/>
      </c>
      <c r="P165" t="str">
        <f>IFERROR(INDEX(_courses_lookup!$D:$D,MATCH(K165&amp;L165,_courses_lookup!$E:$E,0)),"")</f>
        <v/>
      </c>
      <c r="AG165" t="str">
        <f t="shared" si="22"/>
        <v/>
      </c>
      <c r="AI165" t="str">
        <f t="shared" si="23"/>
        <v/>
      </c>
      <c r="AL165" t="str">
        <f t="shared" si="24"/>
        <v/>
      </c>
      <c r="AN165" t="str">
        <f t="shared" si="25"/>
        <v/>
      </c>
      <c r="AQ165" t="str">
        <f t="shared" si="26"/>
        <v/>
      </c>
      <c r="AR165" t="str">
        <f t="shared" si="27"/>
        <v/>
      </c>
      <c r="AS165" t="str">
        <f t="shared" si="28"/>
        <v/>
      </c>
      <c r="AT165" t="str">
        <f t="shared" si="29"/>
        <v/>
      </c>
      <c r="BG165" t="str">
        <f t="shared" si="30"/>
        <v/>
      </c>
      <c r="BH165" t="str">
        <f t="shared" si="31"/>
        <v/>
      </c>
      <c r="BL165" t="str">
        <f>IFERROR(INDEX(_names_lookup!$C:$C,MATCH(BK165,_names_lookup!$A:$A,0)),"")</f>
        <v/>
      </c>
      <c r="BM165" t="str">
        <f>IFERROR(INDEX(_names_lookup!$B:$B,MATCH(BK165,_names_lookup!$A:$A,0)),"")</f>
        <v/>
      </c>
      <c r="BS165" t="str">
        <f t="shared" si="32"/>
        <v/>
      </c>
    </row>
    <row r="166" spans="15:71" x14ac:dyDescent="0.2">
      <c r="O166" t="str">
        <f>IFERROR(INDEX(_courses_lookup!$C:$C,MATCH(K166&amp;L166,_courses_lookup!$E:$E,0)),"")</f>
        <v/>
      </c>
      <c r="P166" t="str">
        <f>IFERROR(INDEX(_courses_lookup!$D:$D,MATCH(K166&amp;L166,_courses_lookup!$E:$E,0)),"")</f>
        <v/>
      </c>
      <c r="AG166" t="str">
        <f t="shared" si="22"/>
        <v/>
      </c>
      <c r="AI166" t="str">
        <f t="shared" si="23"/>
        <v/>
      </c>
      <c r="AL166" t="str">
        <f t="shared" si="24"/>
        <v/>
      </c>
      <c r="AN166" t="str">
        <f t="shared" si="25"/>
        <v/>
      </c>
      <c r="AQ166" t="str">
        <f t="shared" si="26"/>
        <v/>
      </c>
      <c r="AR166" t="str">
        <f t="shared" si="27"/>
        <v/>
      </c>
      <c r="AS166" t="str">
        <f t="shared" si="28"/>
        <v/>
      </c>
      <c r="AT166" t="str">
        <f t="shared" si="29"/>
        <v/>
      </c>
      <c r="BG166" t="str">
        <f t="shared" si="30"/>
        <v/>
      </c>
      <c r="BH166" t="str">
        <f t="shared" si="31"/>
        <v/>
      </c>
      <c r="BL166" t="str">
        <f>IFERROR(INDEX(_names_lookup!$C:$C,MATCH(BK166,_names_lookup!$A:$A,0)),"")</f>
        <v/>
      </c>
      <c r="BM166" t="str">
        <f>IFERROR(INDEX(_names_lookup!$B:$B,MATCH(BK166,_names_lookup!$A:$A,0)),"")</f>
        <v/>
      </c>
      <c r="BS166" t="str">
        <f t="shared" si="32"/>
        <v/>
      </c>
    </row>
    <row r="167" spans="15:71" x14ac:dyDescent="0.2">
      <c r="O167" t="str">
        <f>IFERROR(INDEX(_courses_lookup!$C:$C,MATCH(K167&amp;L167,_courses_lookup!$E:$E,0)),"")</f>
        <v/>
      </c>
      <c r="P167" t="str">
        <f>IFERROR(INDEX(_courses_lookup!$D:$D,MATCH(K167&amp;L167,_courses_lookup!$E:$E,0)),"")</f>
        <v/>
      </c>
      <c r="AG167" t="str">
        <f t="shared" si="22"/>
        <v/>
      </c>
      <c r="AI167" t="str">
        <f t="shared" si="23"/>
        <v/>
      </c>
      <c r="AL167" t="str">
        <f t="shared" si="24"/>
        <v/>
      </c>
      <c r="AN167" t="str">
        <f t="shared" si="25"/>
        <v/>
      </c>
      <c r="AQ167" t="str">
        <f t="shared" si="26"/>
        <v/>
      </c>
      <c r="AR167" t="str">
        <f t="shared" si="27"/>
        <v/>
      </c>
      <c r="AS167" t="str">
        <f t="shared" si="28"/>
        <v/>
      </c>
      <c r="AT167" t="str">
        <f t="shared" si="29"/>
        <v/>
      </c>
      <c r="BG167" t="str">
        <f t="shared" si="30"/>
        <v/>
      </c>
      <c r="BH167" t="str">
        <f t="shared" si="31"/>
        <v/>
      </c>
      <c r="BL167" t="str">
        <f>IFERROR(INDEX(_names_lookup!$C:$C,MATCH(BK167,_names_lookup!$A:$A,0)),"")</f>
        <v/>
      </c>
      <c r="BM167" t="str">
        <f>IFERROR(INDEX(_names_lookup!$B:$B,MATCH(BK167,_names_lookup!$A:$A,0)),"")</f>
        <v/>
      </c>
      <c r="BS167" t="str">
        <f t="shared" si="32"/>
        <v/>
      </c>
    </row>
    <row r="168" spans="15:71" x14ac:dyDescent="0.2">
      <c r="O168" t="str">
        <f>IFERROR(INDEX(_courses_lookup!$C:$C,MATCH(K168&amp;L168,_courses_lookup!$E:$E,0)),"")</f>
        <v/>
      </c>
      <c r="P168" t="str">
        <f>IFERROR(INDEX(_courses_lookup!$D:$D,MATCH(K168&amp;L168,_courses_lookup!$E:$E,0)),"")</f>
        <v/>
      </c>
      <c r="AG168" t="str">
        <f t="shared" si="22"/>
        <v/>
      </c>
      <c r="AI168" t="str">
        <f t="shared" si="23"/>
        <v/>
      </c>
      <c r="AL168" t="str">
        <f t="shared" si="24"/>
        <v/>
      </c>
      <c r="AN168" t="str">
        <f t="shared" si="25"/>
        <v/>
      </c>
      <c r="AQ168" t="str">
        <f t="shared" si="26"/>
        <v/>
      </c>
      <c r="AR168" t="str">
        <f t="shared" si="27"/>
        <v/>
      </c>
      <c r="AS168" t="str">
        <f t="shared" si="28"/>
        <v/>
      </c>
      <c r="AT168" t="str">
        <f t="shared" si="29"/>
        <v/>
      </c>
      <c r="BG168" t="str">
        <f t="shared" si="30"/>
        <v/>
      </c>
      <c r="BH168" t="str">
        <f t="shared" si="31"/>
        <v/>
      </c>
      <c r="BL168" t="str">
        <f>IFERROR(INDEX(_names_lookup!$C:$C,MATCH(BK168,_names_lookup!$A:$A,0)),"")</f>
        <v/>
      </c>
      <c r="BM168" t="str">
        <f>IFERROR(INDEX(_names_lookup!$B:$B,MATCH(BK168,_names_lookup!$A:$A,0)),"")</f>
        <v/>
      </c>
      <c r="BS168" t="str">
        <f t="shared" si="32"/>
        <v/>
      </c>
    </row>
    <row r="169" spans="15:71" x14ac:dyDescent="0.2">
      <c r="O169" t="str">
        <f>IFERROR(INDEX(_courses_lookup!$C:$C,MATCH(K169&amp;L169,_courses_lookup!$E:$E,0)),"")</f>
        <v/>
      </c>
      <c r="P169" t="str">
        <f>IFERROR(INDEX(_courses_lookup!$D:$D,MATCH(K169&amp;L169,_courses_lookup!$E:$E,0)),"")</f>
        <v/>
      </c>
      <c r="AG169" t="str">
        <f t="shared" si="22"/>
        <v/>
      </c>
      <c r="AI169" t="str">
        <f t="shared" si="23"/>
        <v/>
      </c>
      <c r="AL169" t="str">
        <f t="shared" si="24"/>
        <v/>
      </c>
      <c r="AN169" t="str">
        <f t="shared" si="25"/>
        <v/>
      </c>
      <c r="AQ169" t="str">
        <f t="shared" si="26"/>
        <v/>
      </c>
      <c r="AR169" t="str">
        <f t="shared" si="27"/>
        <v/>
      </c>
      <c r="AS169" t="str">
        <f t="shared" si="28"/>
        <v/>
      </c>
      <c r="AT169" t="str">
        <f t="shared" si="29"/>
        <v/>
      </c>
      <c r="BG169" t="str">
        <f t="shared" si="30"/>
        <v/>
      </c>
      <c r="BH169" t="str">
        <f t="shared" si="31"/>
        <v/>
      </c>
      <c r="BL169" t="str">
        <f>IFERROR(INDEX(_names_lookup!$C:$C,MATCH(BK169,_names_lookup!$A:$A,0)),"")</f>
        <v/>
      </c>
      <c r="BM169" t="str">
        <f>IFERROR(INDEX(_names_lookup!$B:$B,MATCH(BK169,_names_lookup!$A:$A,0)),"")</f>
        <v/>
      </c>
      <c r="BS169" t="str">
        <f t="shared" si="32"/>
        <v/>
      </c>
    </row>
    <row r="170" spans="15:71" x14ac:dyDescent="0.2">
      <c r="O170" t="str">
        <f>IFERROR(INDEX(_courses_lookup!$C:$C,MATCH(K170&amp;L170,_courses_lookup!$E:$E,0)),"")</f>
        <v/>
      </c>
      <c r="P170" t="str">
        <f>IFERROR(INDEX(_courses_lookup!$D:$D,MATCH(K170&amp;L170,_courses_lookup!$E:$E,0)),"")</f>
        <v/>
      </c>
      <c r="AG170" t="str">
        <f t="shared" si="22"/>
        <v/>
      </c>
      <c r="AI170" t="str">
        <f t="shared" si="23"/>
        <v/>
      </c>
      <c r="AL170" t="str">
        <f t="shared" si="24"/>
        <v/>
      </c>
      <c r="AN170" t="str">
        <f t="shared" si="25"/>
        <v/>
      </c>
      <c r="AQ170" t="str">
        <f t="shared" si="26"/>
        <v/>
      </c>
      <c r="AR170" t="str">
        <f t="shared" si="27"/>
        <v/>
      </c>
      <c r="AS170" t="str">
        <f t="shared" si="28"/>
        <v/>
      </c>
      <c r="AT170" t="str">
        <f t="shared" si="29"/>
        <v/>
      </c>
      <c r="BG170" t="str">
        <f t="shared" si="30"/>
        <v/>
      </c>
      <c r="BH170" t="str">
        <f t="shared" si="31"/>
        <v/>
      </c>
      <c r="BL170" t="str">
        <f>IFERROR(INDEX(_names_lookup!$C:$C,MATCH(BK170,_names_lookup!$A:$A,0)),"")</f>
        <v/>
      </c>
      <c r="BM170" t="str">
        <f>IFERROR(INDEX(_names_lookup!$B:$B,MATCH(BK170,_names_lookup!$A:$A,0)),"")</f>
        <v/>
      </c>
      <c r="BS170" t="str">
        <f t="shared" si="32"/>
        <v/>
      </c>
    </row>
    <row r="171" spans="15:71" x14ac:dyDescent="0.2">
      <c r="O171" t="str">
        <f>IFERROR(INDEX(_courses_lookup!$C:$C,MATCH(K171&amp;L171,_courses_lookup!$E:$E,0)),"")</f>
        <v/>
      </c>
      <c r="P171" t="str">
        <f>IFERROR(INDEX(_courses_lookup!$D:$D,MATCH(K171&amp;L171,_courses_lookup!$E:$E,0)),"")</f>
        <v/>
      </c>
      <c r="AG171" t="str">
        <f t="shared" si="22"/>
        <v/>
      </c>
      <c r="AI171" t="str">
        <f t="shared" si="23"/>
        <v/>
      </c>
      <c r="AL171" t="str">
        <f t="shared" si="24"/>
        <v/>
      </c>
      <c r="AN171" t="str">
        <f t="shared" si="25"/>
        <v/>
      </c>
      <c r="AQ171" t="str">
        <f t="shared" si="26"/>
        <v/>
      </c>
      <c r="AR171" t="str">
        <f t="shared" si="27"/>
        <v/>
      </c>
      <c r="AS171" t="str">
        <f t="shared" si="28"/>
        <v/>
      </c>
      <c r="AT171" t="str">
        <f t="shared" si="29"/>
        <v/>
      </c>
      <c r="BG171" t="str">
        <f t="shared" si="30"/>
        <v/>
      </c>
      <c r="BH171" t="str">
        <f t="shared" si="31"/>
        <v/>
      </c>
      <c r="BL171" t="str">
        <f>IFERROR(INDEX(_names_lookup!$C:$C,MATCH(BK171,_names_lookup!$A:$A,0)),"")</f>
        <v/>
      </c>
      <c r="BM171" t="str">
        <f>IFERROR(INDEX(_names_lookup!$B:$B,MATCH(BK171,_names_lookup!$A:$A,0)),"")</f>
        <v/>
      </c>
      <c r="BS171" t="str">
        <f t="shared" si="32"/>
        <v/>
      </c>
    </row>
    <row r="172" spans="15:71" x14ac:dyDescent="0.2">
      <c r="O172" t="str">
        <f>IFERROR(INDEX(_courses_lookup!$C:$C,MATCH(K172&amp;L172,_courses_lookup!$E:$E,0)),"")</f>
        <v/>
      </c>
      <c r="P172" t="str">
        <f>IFERROR(INDEX(_courses_lookup!$D:$D,MATCH(K172&amp;L172,_courses_lookup!$E:$E,0)),"")</f>
        <v/>
      </c>
      <c r="AG172" t="str">
        <f t="shared" si="22"/>
        <v/>
      </c>
      <c r="AI172" t="str">
        <f t="shared" si="23"/>
        <v/>
      </c>
      <c r="AL172" t="str">
        <f t="shared" si="24"/>
        <v/>
      </c>
      <c r="AN172" t="str">
        <f t="shared" si="25"/>
        <v/>
      </c>
      <c r="AQ172" t="str">
        <f t="shared" si="26"/>
        <v/>
      </c>
      <c r="AR172" t="str">
        <f t="shared" si="27"/>
        <v/>
      </c>
      <c r="AS172" t="str">
        <f t="shared" si="28"/>
        <v/>
      </c>
      <c r="AT172" t="str">
        <f t="shared" si="29"/>
        <v/>
      </c>
      <c r="BG172" t="str">
        <f t="shared" si="30"/>
        <v/>
      </c>
      <c r="BH172" t="str">
        <f t="shared" si="31"/>
        <v/>
      </c>
      <c r="BL172" t="str">
        <f>IFERROR(INDEX(_names_lookup!$C:$C,MATCH(BK172,_names_lookup!$A:$A,0)),"")</f>
        <v/>
      </c>
      <c r="BM172" t="str">
        <f>IFERROR(INDEX(_names_lookup!$B:$B,MATCH(BK172,_names_lookup!$A:$A,0)),"")</f>
        <v/>
      </c>
      <c r="BS172" t="str">
        <f t="shared" si="32"/>
        <v/>
      </c>
    </row>
    <row r="173" spans="15:71" x14ac:dyDescent="0.2">
      <c r="O173" t="str">
        <f>IFERROR(INDEX(_courses_lookup!$C:$C,MATCH(K173&amp;L173,_courses_lookup!$E:$E,0)),"")</f>
        <v/>
      </c>
      <c r="P173" t="str">
        <f>IFERROR(INDEX(_courses_lookup!$D:$D,MATCH(K173&amp;L173,_courses_lookup!$E:$E,0)),"")</f>
        <v/>
      </c>
      <c r="AG173" t="str">
        <f t="shared" si="22"/>
        <v/>
      </c>
      <c r="AI173" t="str">
        <f t="shared" si="23"/>
        <v/>
      </c>
      <c r="AL173" t="str">
        <f t="shared" si="24"/>
        <v/>
      </c>
      <c r="AN173" t="str">
        <f t="shared" si="25"/>
        <v/>
      </c>
      <c r="AQ173" t="str">
        <f t="shared" si="26"/>
        <v/>
      </c>
      <c r="AR173" t="str">
        <f t="shared" si="27"/>
        <v/>
      </c>
      <c r="AS173" t="str">
        <f t="shared" si="28"/>
        <v/>
      </c>
      <c r="AT173" t="str">
        <f t="shared" si="29"/>
        <v/>
      </c>
      <c r="BG173" t="str">
        <f t="shared" si="30"/>
        <v/>
      </c>
      <c r="BH173" t="str">
        <f t="shared" si="31"/>
        <v/>
      </c>
      <c r="BL173" t="str">
        <f>IFERROR(INDEX(_names_lookup!$C:$C,MATCH(BK173,_names_lookup!$A:$A,0)),"")</f>
        <v/>
      </c>
      <c r="BM173" t="str">
        <f>IFERROR(INDEX(_names_lookup!$B:$B,MATCH(BK173,_names_lookup!$A:$A,0)),"")</f>
        <v/>
      </c>
      <c r="BS173" t="str">
        <f t="shared" si="32"/>
        <v/>
      </c>
    </row>
    <row r="174" spans="15:71" x14ac:dyDescent="0.2">
      <c r="O174" t="str">
        <f>IFERROR(INDEX(_courses_lookup!$C:$C,MATCH(K174&amp;L174,_courses_lookup!$E:$E,0)),"")</f>
        <v/>
      </c>
      <c r="P174" t="str">
        <f>IFERROR(INDEX(_courses_lookup!$D:$D,MATCH(K174&amp;L174,_courses_lookup!$E:$E,0)),"")</f>
        <v/>
      </c>
      <c r="AG174" t="str">
        <f t="shared" si="22"/>
        <v/>
      </c>
      <c r="AI174" t="str">
        <f t="shared" si="23"/>
        <v/>
      </c>
      <c r="AL174" t="str">
        <f t="shared" si="24"/>
        <v/>
      </c>
      <c r="AN174" t="str">
        <f t="shared" si="25"/>
        <v/>
      </c>
      <c r="AQ174" t="str">
        <f t="shared" si="26"/>
        <v/>
      </c>
      <c r="AR174" t="str">
        <f t="shared" si="27"/>
        <v/>
      </c>
      <c r="AS174" t="str">
        <f t="shared" si="28"/>
        <v/>
      </c>
      <c r="AT174" t="str">
        <f t="shared" si="29"/>
        <v/>
      </c>
      <c r="BG174" t="str">
        <f t="shared" si="30"/>
        <v/>
      </c>
      <c r="BH174" t="str">
        <f t="shared" si="31"/>
        <v/>
      </c>
      <c r="BL174" t="str">
        <f>IFERROR(INDEX(_names_lookup!$C:$C,MATCH(BK174,_names_lookup!$A:$A,0)),"")</f>
        <v/>
      </c>
      <c r="BM174" t="str">
        <f>IFERROR(INDEX(_names_lookup!$B:$B,MATCH(BK174,_names_lookup!$A:$A,0)),"")</f>
        <v/>
      </c>
      <c r="BS174" t="str">
        <f t="shared" si="32"/>
        <v/>
      </c>
    </row>
    <row r="175" spans="15:71" x14ac:dyDescent="0.2">
      <c r="O175" t="str">
        <f>IFERROR(INDEX(_courses_lookup!$C:$C,MATCH(K175&amp;L175,_courses_lookup!$E:$E,0)),"")</f>
        <v/>
      </c>
      <c r="P175" t="str">
        <f>IFERROR(INDEX(_courses_lookup!$D:$D,MATCH(K175&amp;L175,_courses_lookup!$E:$E,0)),"")</f>
        <v/>
      </c>
      <c r="AG175" t="str">
        <f t="shared" si="22"/>
        <v/>
      </c>
      <c r="AI175" t="str">
        <f t="shared" si="23"/>
        <v/>
      </c>
      <c r="AL175" t="str">
        <f t="shared" si="24"/>
        <v/>
      </c>
      <c r="AN175" t="str">
        <f t="shared" si="25"/>
        <v/>
      </c>
      <c r="AQ175" t="str">
        <f t="shared" si="26"/>
        <v/>
      </c>
      <c r="AR175" t="str">
        <f t="shared" si="27"/>
        <v/>
      </c>
      <c r="AS175" t="str">
        <f t="shared" si="28"/>
        <v/>
      </c>
      <c r="AT175" t="str">
        <f t="shared" si="29"/>
        <v/>
      </c>
      <c r="BG175" t="str">
        <f t="shared" si="30"/>
        <v/>
      </c>
      <c r="BH175" t="str">
        <f t="shared" si="31"/>
        <v/>
      </c>
      <c r="BL175" t="str">
        <f>IFERROR(INDEX(_names_lookup!$C:$C,MATCH(BK175,_names_lookup!$A:$A,0)),"")</f>
        <v/>
      </c>
      <c r="BM175" t="str">
        <f>IFERROR(INDEX(_names_lookup!$B:$B,MATCH(BK175,_names_lookup!$A:$A,0)),"")</f>
        <v/>
      </c>
      <c r="BS175" t="str">
        <f t="shared" si="32"/>
        <v/>
      </c>
    </row>
    <row r="176" spans="15:71" x14ac:dyDescent="0.2">
      <c r="O176" t="str">
        <f>IFERROR(INDEX(_courses_lookup!$C:$C,MATCH(K176&amp;L176,_courses_lookup!$E:$E,0)),"")</f>
        <v/>
      </c>
      <c r="P176" t="str">
        <f>IFERROR(INDEX(_courses_lookup!$D:$D,MATCH(K176&amp;L176,_courses_lookup!$E:$E,0)),"")</f>
        <v/>
      </c>
      <c r="AG176" t="str">
        <f t="shared" si="22"/>
        <v/>
      </c>
      <c r="AI176" t="str">
        <f t="shared" si="23"/>
        <v/>
      </c>
      <c r="AL176" t="str">
        <f t="shared" si="24"/>
        <v/>
      </c>
      <c r="AN176" t="str">
        <f t="shared" si="25"/>
        <v/>
      </c>
      <c r="AQ176" t="str">
        <f t="shared" si="26"/>
        <v/>
      </c>
      <c r="AR176" t="str">
        <f t="shared" si="27"/>
        <v/>
      </c>
      <c r="AS176" t="str">
        <f t="shared" si="28"/>
        <v/>
      </c>
      <c r="AT176" t="str">
        <f t="shared" si="29"/>
        <v/>
      </c>
      <c r="BG176" t="str">
        <f t="shared" si="30"/>
        <v/>
      </c>
      <c r="BH176" t="str">
        <f t="shared" si="31"/>
        <v/>
      </c>
      <c r="BL176" t="str">
        <f>IFERROR(INDEX(_names_lookup!$C:$C,MATCH(BK176,_names_lookup!$A:$A,0)),"")</f>
        <v/>
      </c>
      <c r="BM176" t="str">
        <f>IFERROR(INDEX(_names_lookup!$B:$B,MATCH(BK176,_names_lookup!$A:$A,0)),"")</f>
        <v/>
      </c>
      <c r="BS176" t="str">
        <f t="shared" si="32"/>
        <v/>
      </c>
    </row>
    <row r="177" spans="15:71" x14ac:dyDescent="0.2">
      <c r="O177" t="str">
        <f>IFERROR(INDEX(_courses_lookup!$C:$C,MATCH(K177&amp;L177,_courses_lookup!$E:$E,0)),"")</f>
        <v/>
      </c>
      <c r="P177" t="str">
        <f>IFERROR(INDEX(_courses_lookup!$D:$D,MATCH(K177&amp;L177,_courses_lookup!$E:$E,0)),"")</f>
        <v/>
      </c>
      <c r="AG177" t="str">
        <f t="shared" si="22"/>
        <v/>
      </c>
      <c r="AI177" t="str">
        <f t="shared" si="23"/>
        <v/>
      </c>
      <c r="AL177" t="str">
        <f t="shared" si="24"/>
        <v/>
      </c>
      <c r="AN177" t="str">
        <f t="shared" si="25"/>
        <v/>
      </c>
      <c r="AQ177" t="str">
        <f t="shared" si="26"/>
        <v/>
      </c>
      <c r="AR177" t="str">
        <f t="shared" si="27"/>
        <v/>
      </c>
      <c r="AS177" t="str">
        <f t="shared" si="28"/>
        <v/>
      </c>
      <c r="AT177" t="str">
        <f t="shared" si="29"/>
        <v/>
      </c>
      <c r="BG177" t="str">
        <f t="shared" si="30"/>
        <v/>
      </c>
      <c r="BH177" t="str">
        <f t="shared" si="31"/>
        <v/>
      </c>
      <c r="BL177" t="str">
        <f>IFERROR(INDEX(_names_lookup!$C:$C,MATCH(BK177,_names_lookup!$A:$A,0)),"")</f>
        <v/>
      </c>
      <c r="BM177" t="str">
        <f>IFERROR(INDEX(_names_lookup!$B:$B,MATCH(BK177,_names_lookup!$A:$A,0)),"")</f>
        <v/>
      </c>
      <c r="BS177" t="str">
        <f t="shared" si="32"/>
        <v/>
      </c>
    </row>
    <row r="178" spans="15:71" x14ac:dyDescent="0.2">
      <c r="O178" t="str">
        <f>IFERROR(INDEX(_courses_lookup!$C:$C,MATCH(K178&amp;L178,_courses_lookup!$E:$E,0)),"")</f>
        <v/>
      </c>
      <c r="P178" t="str">
        <f>IFERROR(INDEX(_courses_lookup!$D:$D,MATCH(K178&amp;L178,_courses_lookup!$E:$E,0)),"")</f>
        <v/>
      </c>
      <c r="AG178" t="str">
        <f t="shared" si="22"/>
        <v/>
      </c>
      <c r="AI178" t="str">
        <f t="shared" si="23"/>
        <v/>
      </c>
      <c r="AL178" t="str">
        <f t="shared" si="24"/>
        <v/>
      </c>
      <c r="AN178" t="str">
        <f t="shared" si="25"/>
        <v/>
      </c>
      <c r="AQ178" t="str">
        <f t="shared" si="26"/>
        <v/>
      </c>
      <c r="AR178" t="str">
        <f t="shared" si="27"/>
        <v/>
      </c>
      <c r="AS178" t="str">
        <f t="shared" si="28"/>
        <v/>
      </c>
      <c r="AT178" t="str">
        <f t="shared" si="29"/>
        <v/>
      </c>
      <c r="BG178" t="str">
        <f t="shared" si="30"/>
        <v/>
      </c>
      <c r="BH178" t="str">
        <f t="shared" si="31"/>
        <v/>
      </c>
      <c r="BL178" t="str">
        <f>IFERROR(INDEX(_names_lookup!$C:$C,MATCH(BK178,_names_lookup!$A:$A,0)),"")</f>
        <v/>
      </c>
      <c r="BM178" t="str">
        <f>IFERROR(INDEX(_names_lookup!$B:$B,MATCH(BK178,_names_lookup!$A:$A,0)),"")</f>
        <v/>
      </c>
      <c r="BS178" t="str">
        <f t="shared" si="32"/>
        <v/>
      </c>
    </row>
    <row r="179" spans="15:71" x14ac:dyDescent="0.2">
      <c r="O179" t="str">
        <f>IFERROR(INDEX(_courses_lookup!$C:$C,MATCH(K179&amp;L179,_courses_lookup!$E:$E,0)),"")</f>
        <v/>
      </c>
      <c r="P179" t="str">
        <f>IFERROR(INDEX(_courses_lookup!$D:$D,MATCH(K179&amp;L179,_courses_lookup!$E:$E,0)),"")</f>
        <v/>
      </c>
      <c r="AG179" t="str">
        <f t="shared" si="22"/>
        <v/>
      </c>
      <c r="AI179" t="str">
        <f t="shared" si="23"/>
        <v/>
      </c>
      <c r="AL179" t="str">
        <f t="shared" si="24"/>
        <v/>
      </c>
      <c r="AN179" t="str">
        <f t="shared" si="25"/>
        <v/>
      </c>
      <c r="AQ179" t="str">
        <f t="shared" si="26"/>
        <v/>
      </c>
      <c r="AR179" t="str">
        <f t="shared" si="27"/>
        <v/>
      </c>
      <c r="AS179" t="str">
        <f t="shared" si="28"/>
        <v/>
      </c>
      <c r="AT179" t="str">
        <f t="shared" si="29"/>
        <v/>
      </c>
      <c r="BG179" t="str">
        <f t="shared" si="30"/>
        <v/>
      </c>
      <c r="BH179" t="str">
        <f t="shared" si="31"/>
        <v/>
      </c>
      <c r="BL179" t="str">
        <f>IFERROR(INDEX(_names_lookup!$C:$C,MATCH(BK179,_names_lookup!$A:$A,0)),"")</f>
        <v/>
      </c>
      <c r="BM179" t="str">
        <f>IFERROR(INDEX(_names_lookup!$B:$B,MATCH(BK179,_names_lookup!$A:$A,0)),"")</f>
        <v/>
      </c>
      <c r="BS179" t="str">
        <f t="shared" si="32"/>
        <v/>
      </c>
    </row>
    <row r="180" spans="15:71" x14ac:dyDescent="0.2">
      <c r="O180" t="str">
        <f>IFERROR(INDEX(_courses_lookup!$C:$C,MATCH(K180&amp;L180,_courses_lookup!$E:$E,0)),"")</f>
        <v/>
      </c>
      <c r="P180" t="str">
        <f>IFERROR(INDEX(_courses_lookup!$D:$D,MATCH(K180&amp;L180,_courses_lookup!$E:$E,0)),"")</f>
        <v/>
      </c>
      <c r="AG180" t="str">
        <f t="shared" si="22"/>
        <v/>
      </c>
      <c r="AI180" t="str">
        <f t="shared" si="23"/>
        <v/>
      </c>
      <c r="AL180" t="str">
        <f t="shared" si="24"/>
        <v/>
      </c>
      <c r="AN180" t="str">
        <f t="shared" si="25"/>
        <v/>
      </c>
      <c r="AQ180" t="str">
        <f t="shared" si="26"/>
        <v/>
      </c>
      <c r="AR180" t="str">
        <f t="shared" si="27"/>
        <v/>
      </c>
      <c r="AS180" t="str">
        <f t="shared" si="28"/>
        <v/>
      </c>
      <c r="AT180" t="str">
        <f t="shared" si="29"/>
        <v/>
      </c>
      <c r="BG180" t="str">
        <f t="shared" si="30"/>
        <v/>
      </c>
      <c r="BH180" t="str">
        <f t="shared" si="31"/>
        <v/>
      </c>
      <c r="BL180" t="str">
        <f>IFERROR(INDEX(_names_lookup!$C:$C,MATCH(BK180,_names_lookup!$A:$A,0)),"")</f>
        <v/>
      </c>
      <c r="BM180" t="str">
        <f>IFERROR(INDEX(_names_lookup!$B:$B,MATCH(BK180,_names_lookup!$A:$A,0)),"")</f>
        <v/>
      </c>
      <c r="BS180" t="str">
        <f t="shared" si="32"/>
        <v/>
      </c>
    </row>
    <row r="181" spans="15:71" x14ac:dyDescent="0.2">
      <c r="O181" t="str">
        <f>IFERROR(INDEX(_courses_lookup!$C:$C,MATCH(K181&amp;L181,_courses_lookup!$E:$E,0)),"")</f>
        <v/>
      </c>
      <c r="P181" t="str">
        <f>IFERROR(INDEX(_courses_lookup!$D:$D,MATCH(K181&amp;L181,_courses_lookup!$E:$E,0)),"")</f>
        <v/>
      </c>
      <c r="AG181" t="str">
        <f t="shared" si="22"/>
        <v/>
      </c>
      <c r="AI181" t="str">
        <f t="shared" si="23"/>
        <v/>
      </c>
      <c r="AL181" t="str">
        <f t="shared" si="24"/>
        <v/>
      </c>
      <c r="AN181" t="str">
        <f t="shared" si="25"/>
        <v/>
      </c>
      <c r="AQ181" t="str">
        <f t="shared" si="26"/>
        <v/>
      </c>
      <c r="AR181" t="str">
        <f t="shared" si="27"/>
        <v/>
      </c>
      <c r="AS181" t="str">
        <f t="shared" si="28"/>
        <v/>
      </c>
      <c r="AT181" t="str">
        <f t="shared" si="29"/>
        <v/>
      </c>
      <c r="BG181" t="str">
        <f t="shared" si="30"/>
        <v/>
      </c>
      <c r="BH181" t="str">
        <f t="shared" si="31"/>
        <v/>
      </c>
      <c r="BL181" t="str">
        <f>IFERROR(INDEX(_names_lookup!$C:$C,MATCH(BK181,_names_lookup!$A:$A,0)),"")</f>
        <v/>
      </c>
      <c r="BM181" t="str">
        <f>IFERROR(INDEX(_names_lookup!$B:$B,MATCH(BK181,_names_lookup!$A:$A,0)),"")</f>
        <v/>
      </c>
      <c r="BS181" t="str">
        <f t="shared" si="32"/>
        <v/>
      </c>
    </row>
    <row r="182" spans="15:71" x14ac:dyDescent="0.2">
      <c r="O182" t="str">
        <f>IFERROR(INDEX(_courses_lookup!$C:$C,MATCH(K182&amp;L182,_courses_lookup!$E:$E,0)),"")</f>
        <v/>
      </c>
      <c r="P182" t="str">
        <f>IFERROR(INDEX(_courses_lookup!$D:$D,MATCH(K182&amp;L182,_courses_lookup!$E:$E,0)),"")</f>
        <v/>
      </c>
      <c r="AG182" t="str">
        <f t="shared" si="22"/>
        <v/>
      </c>
      <c r="AI182" t="str">
        <f t="shared" si="23"/>
        <v/>
      </c>
      <c r="AL182" t="str">
        <f t="shared" si="24"/>
        <v/>
      </c>
      <c r="AN182" t="str">
        <f t="shared" si="25"/>
        <v/>
      </c>
      <c r="AQ182" t="str">
        <f t="shared" si="26"/>
        <v/>
      </c>
      <c r="AR182" t="str">
        <f t="shared" si="27"/>
        <v/>
      </c>
      <c r="AS182" t="str">
        <f t="shared" si="28"/>
        <v/>
      </c>
      <c r="AT182" t="str">
        <f t="shared" si="29"/>
        <v/>
      </c>
      <c r="BG182" t="str">
        <f t="shared" si="30"/>
        <v/>
      </c>
      <c r="BH182" t="str">
        <f t="shared" si="31"/>
        <v/>
      </c>
      <c r="BL182" t="str">
        <f>IFERROR(INDEX(_names_lookup!$C:$C,MATCH(BK182,_names_lookup!$A:$A,0)),"")</f>
        <v/>
      </c>
      <c r="BM182" t="str">
        <f>IFERROR(INDEX(_names_lookup!$B:$B,MATCH(BK182,_names_lookup!$A:$A,0)),"")</f>
        <v/>
      </c>
      <c r="BS182" t="str">
        <f t="shared" si="32"/>
        <v/>
      </c>
    </row>
    <row r="183" spans="15:71" x14ac:dyDescent="0.2">
      <c r="O183" t="str">
        <f>IFERROR(INDEX(_courses_lookup!$C:$C,MATCH(K183&amp;L183,_courses_lookup!$E:$E,0)),"")</f>
        <v/>
      </c>
      <c r="P183" t="str">
        <f>IFERROR(INDEX(_courses_lookup!$D:$D,MATCH(K183&amp;L183,_courses_lookup!$E:$E,0)),"")</f>
        <v/>
      </c>
      <c r="AG183" t="str">
        <f t="shared" si="22"/>
        <v/>
      </c>
      <c r="AI183" t="str">
        <f t="shared" si="23"/>
        <v/>
      </c>
      <c r="AL183" t="str">
        <f t="shared" si="24"/>
        <v/>
      </c>
      <c r="AN183" t="str">
        <f t="shared" si="25"/>
        <v/>
      </c>
      <c r="AQ183" t="str">
        <f t="shared" si="26"/>
        <v/>
      </c>
      <c r="AR183" t="str">
        <f t="shared" si="27"/>
        <v/>
      </c>
      <c r="AS183" t="str">
        <f t="shared" si="28"/>
        <v/>
      </c>
      <c r="AT183" t="str">
        <f t="shared" si="29"/>
        <v/>
      </c>
      <c r="BG183" t="str">
        <f t="shared" si="30"/>
        <v/>
      </c>
      <c r="BH183" t="str">
        <f t="shared" si="31"/>
        <v/>
      </c>
      <c r="BL183" t="str">
        <f>IFERROR(INDEX(_names_lookup!$C:$C,MATCH(BK183,_names_lookup!$A:$A,0)),"")</f>
        <v/>
      </c>
      <c r="BM183" t="str">
        <f>IFERROR(INDEX(_names_lookup!$B:$B,MATCH(BK183,_names_lookup!$A:$A,0)),"")</f>
        <v/>
      </c>
      <c r="BS183" t="str">
        <f t="shared" si="32"/>
        <v/>
      </c>
    </row>
    <row r="184" spans="15:71" x14ac:dyDescent="0.2">
      <c r="O184" t="str">
        <f>IFERROR(INDEX(_courses_lookup!$C:$C,MATCH(K184&amp;L184,_courses_lookup!$E:$E,0)),"")</f>
        <v/>
      </c>
      <c r="P184" t="str">
        <f>IFERROR(INDEX(_courses_lookup!$D:$D,MATCH(K184&amp;L184,_courses_lookup!$E:$E,0)),"")</f>
        <v/>
      </c>
      <c r="AG184" t="str">
        <f t="shared" si="22"/>
        <v/>
      </c>
      <c r="AI184" t="str">
        <f t="shared" si="23"/>
        <v/>
      </c>
      <c r="AL184" t="str">
        <f t="shared" si="24"/>
        <v/>
      </c>
      <c r="AN184" t="str">
        <f t="shared" si="25"/>
        <v/>
      </c>
      <c r="AQ184" t="str">
        <f t="shared" si="26"/>
        <v/>
      </c>
      <c r="AR184" t="str">
        <f t="shared" si="27"/>
        <v/>
      </c>
      <c r="AS184" t="str">
        <f t="shared" si="28"/>
        <v/>
      </c>
      <c r="AT184" t="str">
        <f t="shared" si="29"/>
        <v/>
      </c>
      <c r="BG184" t="str">
        <f t="shared" si="30"/>
        <v/>
      </c>
      <c r="BH184" t="str">
        <f t="shared" si="31"/>
        <v/>
      </c>
      <c r="BL184" t="str">
        <f>IFERROR(INDEX(_names_lookup!$C:$C,MATCH(BK184,_names_lookup!$A:$A,0)),"")</f>
        <v/>
      </c>
      <c r="BM184" t="str">
        <f>IFERROR(INDEX(_names_lookup!$B:$B,MATCH(BK184,_names_lookup!$A:$A,0)),"")</f>
        <v/>
      </c>
      <c r="BS184" t="str">
        <f t="shared" si="32"/>
        <v/>
      </c>
    </row>
    <row r="185" spans="15:71" x14ac:dyDescent="0.2">
      <c r="O185" t="str">
        <f>IFERROR(INDEX(_courses_lookup!$C:$C,MATCH(K185&amp;L185,_courses_lookup!$E:$E,0)),"")</f>
        <v/>
      </c>
      <c r="P185" t="str">
        <f>IFERROR(INDEX(_courses_lookup!$D:$D,MATCH(K185&amp;L185,_courses_lookup!$E:$E,0)),"")</f>
        <v/>
      </c>
      <c r="AG185" t="str">
        <f t="shared" si="22"/>
        <v/>
      </c>
      <c r="AI185" t="str">
        <f t="shared" si="23"/>
        <v/>
      </c>
      <c r="AL185" t="str">
        <f t="shared" si="24"/>
        <v/>
      </c>
      <c r="AN185" t="str">
        <f t="shared" si="25"/>
        <v/>
      </c>
      <c r="AQ185" t="str">
        <f t="shared" si="26"/>
        <v/>
      </c>
      <c r="AR185" t="str">
        <f t="shared" si="27"/>
        <v/>
      </c>
      <c r="AS185" t="str">
        <f t="shared" si="28"/>
        <v/>
      </c>
      <c r="AT185" t="str">
        <f t="shared" si="29"/>
        <v/>
      </c>
      <c r="BG185" t="str">
        <f t="shared" si="30"/>
        <v/>
      </c>
      <c r="BH185" t="str">
        <f t="shared" si="31"/>
        <v/>
      </c>
      <c r="BL185" t="str">
        <f>IFERROR(INDEX(_names_lookup!$C:$C,MATCH(BK185,_names_lookup!$A:$A,0)),"")</f>
        <v/>
      </c>
      <c r="BM185" t="str">
        <f>IFERROR(INDEX(_names_lookup!$B:$B,MATCH(BK185,_names_lookup!$A:$A,0)),"")</f>
        <v/>
      </c>
      <c r="BS185" t="str">
        <f t="shared" si="32"/>
        <v/>
      </c>
    </row>
    <row r="186" spans="15:71" x14ac:dyDescent="0.2">
      <c r="O186" t="str">
        <f>IFERROR(INDEX(_courses_lookup!$C:$C,MATCH(K186&amp;L186,_courses_lookup!$E:$E,0)),"")</f>
        <v/>
      </c>
      <c r="P186" t="str">
        <f>IFERROR(INDEX(_courses_lookup!$D:$D,MATCH(K186&amp;L186,_courses_lookup!$E:$E,0)),"")</f>
        <v/>
      </c>
      <c r="AG186" t="str">
        <f t="shared" si="22"/>
        <v/>
      </c>
      <c r="AI186" t="str">
        <f t="shared" si="23"/>
        <v/>
      </c>
      <c r="AL186" t="str">
        <f t="shared" si="24"/>
        <v/>
      </c>
      <c r="AN186" t="str">
        <f t="shared" si="25"/>
        <v/>
      </c>
      <c r="AQ186" t="str">
        <f t="shared" si="26"/>
        <v/>
      </c>
      <c r="AR186" t="str">
        <f t="shared" si="27"/>
        <v/>
      </c>
      <c r="AS186" t="str">
        <f t="shared" si="28"/>
        <v/>
      </c>
      <c r="AT186" t="str">
        <f t="shared" si="29"/>
        <v/>
      </c>
      <c r="BG186" t="str">
        <f t="shared" si="30"/>
        <v/>
      </c>
      <c r="BH186" t="str">
        <f t="shared" si="31"/>
        <v/>
      </c>
      <c r="BL186" t="str">
        <f>IFERROR(INDEX(_names_lookup!$C:$C,MATCH(BK186,_names_lookup!$A:$A,0)),"")</f>
        <v/>
      </c>
      <c r="BM186" t="str">
        <f>IFERROR(INDEX(_names_lookup!$B:$B,MATCH(BK186,_names_lookup!$A:$A,0)),"")</f>
        <v/>
      </c>
      <c r="BS186" t="str">
        <f t="shared" si="32"/>
        <v/>
      </c>
    </row>
    <row r="187" spans="15:71" x14ac:dyDescent="0.2">
      <c r="O187" t="str">
        <f>IFERROR(INDEX(_courses_lookup!$C:$C,MATCH(K187&amp;L187,_courses_lookup!$E:$E,0)),"")</f>
        <v/>
      </c>
      <c r="P187" t="str">
        <f>IFERROR(INDEX(_courses_lookup!$D:$D,MATCH(K187&amp;L187,_courses_lookup!$E:$E,0)),"")</f>
        <v/>
      </c>
      <c r="AG187" t="str">
        <f t="shared" si="22"/>
        <v/>
      </c>
      <c r="AI187" t="str">
        <f t="shared" si="23"/>
        <v/>
      </c>
      <c r="AL187" t="str">
        <f t="shared" si="24"/>
        <v/>
      </c>
      <c r="AN187" t="str">
        <f t="shared" si="25"/>
        <v/>
      </c>
      <c r="AQ187" t="str">
        <f t="shared" si="26"/>
        <v/>
      </c>
      <c r="AR187" t="str">
        <f t="shared" si="27"/>
        <v/>
      </c>
      <c r="AS187" t="str">
        <f t="shared" si="28"/>
        <v/>
      </c>
      <c r="AT187" t="str">
        <f t="shared" si="29"/>
        <v/>
      </c>
      <c r="BG187" t="str">
        <f t="shared" si="30"/>
        <v/>
      </c>
      <c r="BH187" t="str">
        <f t="shared" si="31"/>
        <v/>
      </c>
      <c r="BL187" t="str">
        <f>IFERROR(INDEX(_names_lookup!$C:$C,MATCH(BK187,_names_lookup!$A:$A,0)),"")</f>
        <v/>
      </c>
      <c r="BM187" t="str">
        <f>IFERROR(INDEX(_names_lookup!$B:$B,MATCH(BK187,_names_lookup!$A:$A,0)),"")</f>
        <v/>
      </c>
      <c r="BS187" t="str">
        <f t="shared" si="32"/>
        <v/>
      </c>
    </row>
    <row r="188" spans="15:71" x14ac:dyDescent="0.2">
      <c r="O188" t="str">
        <f>IFERROR(INDEX(_courses_lookup!$C:$C,MATCH(K188&amp;L188,_courses_lookup!$E:$E,0)),"")</f>
        <v/>
      </c>
      <c r="P188" t="str">
        <f>IFERROR(INDEX(_courses_lookup!$D:$D,MATCH(K188&amp;L188,_courses_lookup!$E:$E,0)),"")</f>
        <v/>
      </c>
      <c r="AG188" t="str">
        <f t="shared" si="22"/>
        <v/>
      </c>
      <c r="AI188" t="str">
        <f t="shared" si="23"/>
        <v/>
      </c>
      <c r="AL188" t="str">
        <f t="shared" si="24"/>
        <v/>
      </c>
      <c r="AN188" t="str">
        <f t="shared" si="25"/>
        <v/>
      </c>
      <c r="AQ188" t="str">
        <f t="shared" si="26"/>
        <v/>
      </c>
      <c r="AR188" t="str">
        <f t="shared" si="27"/>
        <v/>
      </c>
      <c r="AS188" t="str">
        <f t="shared" si="28"/>
        <v/>
      </c>
      <c r="AT188" t="str">
        <f t="shared" si="29"/>
        <v/>
      </c>
      <c r="BG188" t="str">
        <f t="shared" si="30"/>
        <v/>
      </c>
      <c r="BH188" t="str">
        <f t="shared" si="31"/>
        <v/>
      </c>
      <c r="BL188" t="str">
        <f>IFERROR(INDEX(_names_lookup!$C:$C,MATCH(BK188,_names_lookup!$A:$A,0)),"")</f>
        <v/>
      </c>
      <c r="BM188" t="str">
        <f>IFERROR(INDEX(_names_lookup!$B:$B,MATCH(BK188,_names_lookup!$A:$A,0)),"")</f>
        <v/>
      </c>
      <c r="BS188" t="str">
        <f t="shared" si="32"/>
        <v/>
      </c>
    </row>
    <row r="189" spans="15:71" x14ac:dyDescent="0.2">
      <c r="O189" t="str">
        <f>IFERROR(INDEX(_courses_lookup!$C:$C,MATCH(K189&amp;L189,_courses_lookup!$E:$E,0)),"")</f>
        <v/>
      </c>
      <c r="P189" t="str">
        <f>IFERROR(INDEX(_courses_lookup!$D:$D,MATCH(K189&amp;L189,_courses_lookup!$E:$E,0)),"")</f>
        <v/>
      </c>
      <c r="AG189" t="str">
        <f t="shared" si="22"/>
        <v/>
      </c>
      <c r="AI189" t="str">
        <f t="shared" si="23"/>
        <v/>
      </c>
      <c r="AL189" t="str">
        <f t="shared" si="24"/>
        <v/>
      </c>
      <c r="AN189" t="str">
        <f t="shared" si="25"/>
        <v/>
      </c>
      <c r="AQ189" t="str">
        <f t="shared" si="26"/>
        <v/>
      </c>
      <c r="AR189" t="str">
        <f t="shared" si="27"/>
        <v/>
      </c>
      <c r="AS189" t="str">
        <f t="shared" si="28"/>
        <v/>
      </c>
      <c r="AT189" t="str">
        <f t="shared" si="29"/>
        <v/>
      </c>
      <c r="BG189" t="str">
        <f t="shared" si="30"/>
        <v/>
      </c>
      <c r="BH189" t="str">
        <f t="shared" si="31"/>
        <v/>
      </c>
      <c r="BL189" t="str">
        <f>IFERROR(INDEX(_names_lookup!$C:$C,MATCH(BK189,_names_lookup!$A:$A,0)),"")</f>
        <v/>
      </c>
      <c r="BM189" t="str">
        <f>IFERROR(INDEX(_names_lookup!$B:$B,MATCH(BK189,_names_lookup!$A:$A,0)),"")</f>
        <v/>
      </c>
      <c r="BS189" t="str">
        <f t="shared" si="32"/>
        <v/>
      </c>
    </row>
    <row r="190" spans="15:71" x14ac:dyDescent="0.2">
      <c r="O190" t="str">
        <f>IFERROR(INDEX(_courses_lookup!$C:$C,MATCH(K190&amp;L190,_courses_lookup!$E:$E,0)),"")</f>
        <v/>
      </c>
      <c r="P190" t="str">
        <f>IFERROR(INDEX(_courses_lookup!$D:$D,MATCH(K190&amp;L190,_courses_lookup!$E:$E,0)),"")</f>
        <v/>
      </c>
      <c r="AG190" t="str">
        <f t="shared" si="22"/>
        <v/>
      </c>
      <c r="AI190" t="str">
        <f t="shared" si="23"/>
        <v/>
      </c>
      <c r="AL190" t="str">
        <f t="shared" si="24"/>
        <v/>
      </c>
      <c r="AN190" t="str">
        <f t="shared" si="25"/>
        <v/>
      </c>
      <c r="AQ190" t="str">
        <f t="shared" si="26"/>
        <v/>
      </c>
      <c r="AR190" t="str">
        <f t="shared" si="27"/>
        <v/>
      </c>
      <c r="AS190" t="str">
        <f t="shared" si="28"/>
        <v/>
      </c>
      <c r="AT190" t="str">
        <f t="shared" si="29"/>
        <v/>
      </c>
      <c r="BG190" t="str">
        <f t="shared" si="30"/>
        <v/>
      </c>
      <c r="BH190" t="str">
        <f t="shared" si="31"/>
        <v/>
      </c>
      <c r="BL190" t="str">
        <f>IFERROR(INDEX(_names_lookup!$C:$C,MATCH(BK190,_names_lookup!$A:$A,0)),"")</f>
        <v/>
      </c>
      <c r="BM190" t="str">
        <f>IFERROR(INDEX(_names_lookup!$B:$B,MATCH(BK190,_names_lookup!$A:$A,0)),"")</f>
        <v/>
      </c>
      <c r="BS190" t="str">
        <f t="shared" si="32"/>
        <v/>
      </c>
    </row>
    <row r="191" spans="15:71" x14ac:dyDescent="0.2">
      <c r="O191" t="str">
        <f>IFERROR(INDEX(_courses_lookup!$C:$C,MATCH(K191&amp;L191,_courses_lookup!$E:$E,0)),"")</f>
        <v/>
      </c>
      <c r="P191" t="str">
        <f>IFERROR(INDEX(_courses_lookup!$D:$D,MATCH(K191&amp;L191,_courses_lookup!$E:$E,0)),"")</f>
        <v/>
      </c>
      <c r="AG191" t="str">
        <f t="shared" si="22"/>
        <v/>
      </c>
      <c r="AI191" t="str">
        <f t="shared" si="23"/>
        <v/>
      </c>
      <c r="AL191" t="str">
        <f t="shared" si="24"/>
        <v/>
      </c>
      <c r="AN191" t="str">
        <f t="shared" si="25"/>
        <v/>
      </c>
      <c r="AQ191" t="str">
        <f t="shared" si="26"/>
        <v/>
      </c>
      <c r="AR191" t="str">
        <f t="shared" si="27"/>
        <v/>
      </c>
      <c r="AS191" t="str">
        <f t="shared" si="28"/>
        <v/>
      </c>
      <c r="AT191" t="str">
        <f t="shared" si="29"/>
        <v/>
      </c>
      <c r="BG191" t="str">
        <f t="shared" si="30"/>
        <v/>
      </c>
      <c r="BH191" t="str">
        <f t="shared" si="31"/>
        <v/>
      </c>
      <c r="BL191" t="str">
        <f>IFERROR(INDEX(_names_lookup!$C:$C,MATCH(BK191,_names_lookup!$A:$A,0)),"")</f>
        <v/>
      </c>
      <c r="BM191" t="str">
        <f>IFERROR(INDEX(_names_lookup!$B:$B,MATCH(BK191,_names_lookup!$A:$A,0)),"")</f>
        <v/>
      </c>
      <c r="BS191" t="str">
        <f t="shared" si="32"/>
        <v/>
      </c>
    </row>
    <row r="192" spans="15:71" x14ac:dyDescent="0.2">
      <c r="O192" t="str">
        <f>IFERROR(INDEX(_courses_lookup!$C:$C,MATCH(K192&amp;L192,_courses_lookup!$E:$E,0)),"")</f>
        <v/>
      </c>
      <c r="P192" t="str">
        <f>IFERROR(INDEX(_courses_lookup!$D:$D,MATCH(K192&amp;L192,_courses_lookup!$E:$E,0)),"")</f>
        <v/>
      </c>
      <c r="AG192" t="str">
        <f t="shared" si="22"/>
        <v/>
      </c>
      <c r="AI192" t="str">
        <f t="shared" si="23"/>
        <v/>
      </c>
      <c r="AL192" t="str">
        <f t="shared" si="24"/>
        <v/>
      </c>
      <c r="AN192" t="str">
        <f t="shared" si="25"/>
        <v/>
      </c>
      <c r="AQ192" t="str">
        <f t="shared" si="26"/>
        <v/>
      </c>
      <c r="AR192" t="str">
        <f t="shared" si="27"/>
        <v/>
      </c>
      <c r="AS192" t="str">
        <f t="shared" si="28"/>
        <v/>
      </c>
      <c r="AT192" t="str">
        <f t="shared" si="29"/>
        <v/>
      </c>
      <c r="BG192" t="str">
        <f t="shared" si="30"/>
        <v/>
      </c>
      <c r="BH192" t="str">
        <f t="shared" si="31"/>
        <v/>
      </c>
      <c r="BL192" t="str">
        <f>IFERROR(INDEX(_names_lookup!$C:$C,MATCH(BK192,_names_lookup!$A:$A,0)),"")</f>
        <v/>
      </c>
      <c r="BM192" t="str">
        <f>IFERROR(INDEX(_names_lookup!$B:$B,MATCH(BK192,_names_lookup!$A:$A,0)),"")</f>
        <v/>
      </c>
      <c r="BS192" t="str">
        <f t="shared" si="32"/>
        <v/>
      </c>
    </row>
    <row r="193" spans="15:71" x14ac:dyDescent="0.2">
      <c r="O193" t="str">
        <f>IFERROR(INDEX(_courses_lookup!$C:$C,MATCH(K193&amp;L193,_courses_lookup!$E:$E,0)),"")</f>
        <v/>
      </c>
      <c r="P193" t="str">
        <f>IFERROR(INDEX(_courses_lookup!$D:$D,MATCH(K193&amp;L193,_courses_lookup!$E:$E,0)),"")</f>
        <v/>
      </c>
      <c r="AG193" t="str">
        <f t="shared" si="22"/>
        <v/>
      </c>
      <c r="AI193" t="str">
        <f t="shared" si="23"/>
        <v/>
      </c>
      <c r="AL193" t="str">
        <f t="shared" si="24"/>
        <v/>
      </c>
      <c r="AN193" t="str">
        <f t="shared" si="25"/>
        <v/>
      </c>
      <c r="AQ193" t="str">
        <f t="shared" si="26"/>
        <v/>
      </c>
      <c r="AR193" t="str">
        <f t="shared" si="27"/>
        <v/>
      </c>
      <c r="AS193" t="str">
        <f t="shared" si="28"/>
        <v/>
      </c>
      <c r="AT193" t="str">
        <f t="shared" si="29"/>
        <v/>
      </c>
      <c r="BG193" t="str">
        <f t="shared" si="30"/>
        <v/>
      </c>
      <c r="BH193" t="str">
        <f t="shared" si="31"/>
        <v/>
      </c>
      <c r="BL193" t="str">
        <f>IFERROR(INDEX(_names_lookup!$C:$C,MATCH(BK193,_names_lookup!$A:$A,0)),"")</f>
        <v/>
      </c>
      <c r="BM193" t="str">
        <f>IFERROR(INDEX(_names_lookup!$B:$B,MATCH(BK193,_names_lookup!$A:$A,0)),"")</f>
        <v/>
      </c>
      <c r="BS193" t="str">
        <f t="shared" si="32"/>
        <v/>
      </c>
    </row>
    <row r="194" spans="15:71" x14ac:dyDescent="0.2">
      <c r="O194" t="str">
        <f>IFERROR(INDEX(_courses_lookup!$C:$C,MATCH(K194&amp;L194,_courses_lookup!$E:$E,0)),"")</f>
        <v/>
      </c>
      <c r="P194" t="str">
        <f>IFERROR(INDEX(_courses_lookup!$D:$D,MATCH(K194&amp;L194,_courses_lookup!$E:$E,0)),"")</f>
        <v/>
      </c>
      <c r="AG194" t="str">
        <f t="shared" ref="AG194:AG257" si="33">IF(AND(AE194&lt;&gt;"",AF194&lt;&gt;""),ROUNDUP((AF194-AE194)/7,0),"")</f>
        <v/>
      </c>
      <c r="AI194" t="str">
        <f t="shared" ref="AI194:AI257" si="34">IFERROR(IF(AG194*AH194=0,"",AG194*AH194),"")</f>
        <v/>
      </c>
      <c r="AL194" t="str">
        <f t="shared" ref="AL194:AL257" si="35">IF(AND(AJ194&lt;&gt;"",AK194&lt;&gt;""),ROUNDUP((AK194-AJ194)/7,0),"")</f>
        <v/>
      </c>
      <c r="AN194" t="str">
        <f t="shared" ref="AN194:AN257" si="36">IFERROR(IF(AL194*AM194=0,"",AL194*AM194),"")</f>
        <v/>
      </c>
      <c r="AQ194" t="str">
        <f t="shared" ref="AQ194:AQ257" si="37">IF(AND(AO194&lt;&gt;"",AP194&lt;&gt;""),ROUNDUP((AP194-AO194)/7,0),"")</f>
        <v/>
      </c>
      <c r="AR194" t="str">
        <f t="shared" ref="AR194:AR257" si="38">IFERROR(IF((AU194-(AI194+AN194))/AQ194=0,"",ROUNDUP((AU194-(AI194+AN194))/AQ194,0)),"")</f>
        <v/>
      </c>
      <c r="AS194" t="str">
        <f t="shared" ref="AS194:AS257" si="39">IFERROR(IF((AU194-(AI194+AN194))=0,"",(AU194-(AI194+AN194))),"")</f>
        <v/>
      </c>
      <c r="AT194" t="str">
        <f t="shared" ref="AT194:AT257" si="40">IF(AND(AG194="",AQ194=""),AL194,IF(SUM(AG194,AL194,AQ194)=0,"",SUM(AG194,AL194,AQ194)))</f>
        <v/>
      </c>
      <c r="BG194" t="str">
        <f t="shared" ref="BG194:BG257" si="41">IF(AD194="","",YEAR(AD194)+IF(MONTH(AD194)&gt;=5,1,0))</f>
        <v/>
      </c>
      <c r="BH194" t="str">
        <f t="shared" ref="BH194:BH257" si="42">IF(AD194="","",IF(AND(MONTH(AD194)=8,DAY(AD194)&gt;=15),"Fall",IF(MONTH(AD194)&gt;8,"Fall",IF(MONTH(AD194)=5,"Summer",IF(MONTH(AD194)=1,"Spring","")))))</f>
        <v/>
      </c>
      <c r="BL194" t="str">
        <f>IFERROR(INDEX(_names_lookup!$C:$C,MATCH(BK194,_names_lookup!$A:$A,0)),"")</f>
        <v/>
      </c>
      <c r="BM194" t="str">
        <f>IFERROR(INDEX(_names_lookup!$B:$B,MATCH(BK194,_names_lookup!$A:$A,0)),"")</f>
        <v/>
      </c>
      <c r="BS194" t="str">
        <f t="shared" ref="BS194:BS257" si="43">IFERROR(IF(BR194*AA194=0,"",BR194*AA194),"")</f>
        <v/>
      </c>
    </row>
    <row r="195" spans="15:71" x14ac:dyDescent="0.2">
      <c r="O195" t="str">
        <f>IFERROR(INDEX(_courses_lookup!$C:$C,MATCH(K195&amp;L195,_courses_lookup!$E:$E,0)),"")</f>
        <v/>
      </c>
      <c r="P195" t="str">
        <f>IFERROR(INDEX(_courses_lookup!$D:$D,MATCH(K195&amp;L195,_courses_lookup!$E:$E,0)),"")</f>
        <v/>
      </c>
      <c r="AG195" t="str">
        <f t="shared" si="33"/>
        <v/>
      </c>
      <c r="AI195" t="str">
        <f t="shared" si="34"/>
        <v/>
      </c>
      <c r="AL195" t="str">
        <f t="shared" si="35"/>
        <v/>
      </c>
      <c r="AN195" t="str">
        <f t="shared" si="36"/>
        <v/>
      </c>
      <c r="AQ195" t="str">
        <f t="shared" si="37"/>
        <v/>
      </c>
      <c r="AR195" t="str">
        <f t="shared" si="38"/>
        <v/>
      </c>
      <c r="AS195" t="str">
        <f t="shared" si="39"/>
        <v/>
      </c>
      <c r="AT195" t="str">
        <f t="shared" si="40"/>
        <v/>
      </c>
      <c r="BG195" t="str">
        <f t="shared" si="41"/>
        <v/>
      </c>
      <c r="BH195" t="str">
        <f t="shared" si="42"/>
        <v/>
      </c>
      <c r="BL195" t="str">
        <f>IFERROR(INDEX(_names_lookup!$C:$C,MATCH(BK195,_names_lookup!$A:$A,0)),"")</f>
        <v/>
      </c>
      <c r="BM195" t="str">
        <f>IFERROR(INDEX(_names_lookup!$B:$B,MATCH(BK195,_names_lookup!$A:$A,0)),"")</f>
        <v/>
      </c>
      <c r="BS195" t="str">
        <f t="shared" si="43"/>
        <v/>
      </c>
    </row>
    <row r="196" spans="15:71" x14ac:dyDescent="0.2">
      <c r="O196" t="str">
        <f>IFERROR(INDEX(_courses_lookup!$C:$C,MATCH(K196&amp;L196,_courses_lookup!$E:$E,0)),"")</f>
        <v/>
      </c>
      <c r="P196" t="str">
        <f>IFERROR(INDEX(_courses_lookup!$D:$D,MATCH(K196&amp;L196,_courses_lookup!$E:$E,0)),"")</f>
        <v/>
      </c>
      <c r="AG196" t="str">
        <f t="shared" si="33"/>
        <v/>
      </c>
      <c r="AI196" t="str">
        <f t="shared" si="34"/>
        <v/>
      </c>
      <c r="AL196" t="str">
        <f t="shared" si="35"/>
        <v/>
      </c>
      <c r="AN196" t="str">
        <f t="shared" si="36"/>
        <v/>
      </c>
      <c r="AQ196" t="str">
        <f t="shared" si="37"/>
        <v/>
      </c>
      <c r="AR196" t="str">
        <f t="shared" si="38"/>
        <v/>
      </c>
      <c r="AS196" t="str">
        <f t="shared" si="39"/>
        <v/>
      </c>
      <c r="AT196" t="str">
        <f t="shared" si="40"/>
        <v/>
      </c>
      <c r="BG196" t="str">
        <f t="shared" si="41"/>
        <v/>
      </c>
      <c r="BH196" t="str">
        <f t="shared" si="42"/>
        <v/>
      </c>
      <c r="BL196" t="str">
        <f>IFERROR(INDEX(_names_lookup!$C:$C,MATCH(BK196,_names_lookup!$A:$A,0)),"")</f>
        <v/>
      </c>
      <c r="BM196" t="str">
        <f>IFERROR(INDEX(_names_lookup!$B:$B,MATCH(BK196,_names_lookup!$A:$A,0)),"")</f>
        <v/>
      </c>
      <c r="BS196" t="str">
        <f t="shared" si="43"/>
        <v/>
      </c>
    </row>
    <row r="197" spans="15:71" x14ac:dyDescent="0.2">
      <c r="O197" t="str">
        <f>IFERROR(INDEX(_courses_lookup!$C:$C,MATCH(K197&amp;L197,_courses_lookup!$E:$E,0)),"")</f>
        <v/>
      </c>
      <c r="P197" t="str">
        <f>IFERROR(INDEX(_courses_lookup!$D:$D,MATCH(K197&amp;L197,_courses_lookup!$E:$E,0)),"")</f>
        <v/>
      </c>
      <c r="AG197" t="str">
        <f t="shared" si="33"/>
        <v/>
      </c>
      <c r="AI197" t="str">
        <f t="shared" si="34"/>
        <v/>
      </c>
      <c r="AL197" t="str">
        <f t="shared" si="35"/>
        <v/>
      </c>
      <c r="AN197" t="str">
        <f t="shared" si="36"/>
        <v/>
      </c>
      <c r="AQ197" t="str">
        <f t="shared" si="37"/>
        <v/>
      </c>
      <c r="AR197" t="str">
        <f t="shared" si="38"/>
        <v/>
      </c>
      <c r="AS197" t="str">
        <f t="shared" si="39"/>
        <v/>
      </c>
      <c r="AT197" t="str">
        <f t="shared" si="40"/>
        <v/>
      </c>
      <c r="BG197" t="str">
        <f t="shared" si="41"/>
        <v/>
      </c>
      <c r="BH197" t="str">
        <f t="shared" si="42"/>
        <v/>
      </c>
      <c r="BL197" t="str">
        <f>IFERROR(INDEX(_names_lookup!$C:$C,MATCH(BK197,_names_lookup!$A:$A,0)),"")</f>
        <v/>
      </c>
      <c r="BM197" t="str">
        <f>IFERROR(INDEX(_names_lookup!$B:$B,MATCH(BK197,_names_lookup!$A:$A,0)),"")</f>
        <v/>
      </c>
      <c r="BS197" t="str">
        <f t="shared" si="43"/>
        <v/>
      </c>
    </row>
    <row r="198" spans="15:71" x14ac:dyDescent="0.2">
      <c r="O198" t="str">
        <f>IFERROR(INDEX(_courses_lookup!$C:$C,MATCH(K198&amp;L198,_courses_lookup!$E:$E,0)),"")</f>
        <v/>
      </c>
      <c r="P198" t="str">
        <f>IFERROR(INDEX(_courses_lookup!$D:$D,MATCH(K198&amp;L198,_courses_lookup!$E:$E,0)),"")</f>
        <v/>
      </c>
      <c r="AG198" t="str">
        <f t="shared" si="33"/>
        <v/>
      </c>
      <c r="AI198" t="str">
        <f t="shared" si="34"/>
        <v/>
      </c>
      <c r="AL198" t="str">
        <f t="shared" si="35"/>
        <v/>
      </c>
      <c r="AN198" t="str">
        <f t="shared" si="36"/>
        <v/>
      </c>
      <c r="AQ198" t="str">
        <f t="shared" si="37"/>
        <v/>
      </c>
      <c r="AR198" t="str">
        <f t="shared" si="38"/>
        <v/>
      </c>
      <c r="AS198" t="str">
        <f t="shared" si="39"/>
        <v/>
      </c>
      <c r="AT198" t="str">
        <f t="shared" si="40"/>
        <v/>
      </c>
      <c r="BG198" t="str">
        <f t="shared" si="41"/>
        <v/>
      </c>
      <c r="BH198" t="str">
        <f t="shared" si="42"/>
        <v/>
      </c>
      <c r="BL198" t="str">
        <f>IFERROR(INDEX(_names_lookup!$C:$C,MATCH(BK198,_names_lookup!$A:$A,0)),"")</f>
        <v/>
      </c>
      <c r="BM198" t="str">
        <f>IFERROR(INDEX(_names_lookup!$B:$B,MATCH(BK198,_names_lookup!$A:$A,0)),"")</f>
        <v/>
      </c>
      <c r="BS198" t="str">
        <f t="shared" si="43"/>
        <v/>
      </c>
    </row>
    <row r="199" spans="15:71" x14ac:dyDescent="0.2">
      <c r="O199" t="str">
        <f>IFERROR(INDEX(_courses_lookup!$C:$C,MATCH(K199&amp;L199,_courses_lookup!$E:$E,0)),"")</f>
        <v/>
      </c>
      <c r="P199" t="str">
        <f>IFERROR(INDEX(_courses_lookup!$D:$D,MATCH(K199&amp;L199,_courses_lookup!$E:$E,0)),"")</f>
        <v/>
      </c>
      <c r="AG199" t="str">
        <f t="shared" si="33"/>
        <v/>
      </c>
      <c r="AI199" t="str">
        <f t="shared" si="34"/>
        <v/>
      </c>
      <c r="AL199" t="str">
        <f t="shared" si="35"/>
        <v/>
      </c>
      <c r="AN199" t="str">
        <f t="shared" si="36"/>
        <v/>
      </c>
      <c r="AQ199" t="str">
        <f t="shared" si="37"/>
        <v/>
      </c>
      <c r="AR199" t="str">
        <f t="shared" si="38"/>
        <v/>
      </c>
      <c r="AS199" t="str">
        <f t="shared" si="39"/>
        <v/>
      </c>
      <c r="AT199" t="str">
        <f t="shared" si="40"/>
        <v/>
      </c>
      <c r="BG199" t="str">
        <f t="shared" si="41"/>
        <v/>
      </c>
      <c r="BH199" t="str">
        <f t="shared" si="42"/>
        <v/>
      </c>
      <c r="BL199" t="str">
        <f>IFERROR(INDEX(_names_lookup!$C:$C,MATCH(BK199,_names_lookup!$A:$A,0)),"")</f>
        <v/>
      </c>
      <c r="BM199" t="str">
        <f>IFERROR(INDEX(_names_lookup!$B:$B,MATCH(BK199,_names_lookup!$A:$A,0)),"")</f>
        <v/>
      </c>
      <c r="BS199" t="str">
        <f t="shared" si="43"/>
        <v/>
      </c>
    </row>
    <row r="200" spans="15:71" x14ac:dyDescent="0.2">
      <c r="O200" t="str">
        <f>IFERROR(INDEX(_courses_lookup!$C:$C,MATCH(K200&amp;L200,_courses_lookup!$E:$E,0)),"")</f>
        <v/>
      </c>
      <c r="P200" t="str">
        <f>IFERROR(INDEX(_courses_lookup!$D:$D,MATCH(K200&amp;L200,_courses_lookup!$E:$E,0)),"")</f>
        <v/>
      </c>
      <c r="AG200" t="str">
        <f t="shared" si="33"/>
        <v/>
      </c>
      <c r="AI200" t="str">
        <f t="shared" si="34"/>
        <v/>
      </c>
      <c r="AL200" t="str">
        <f t="shared" si="35"/>
        <v/>
      </c>
      <c r="AN200" t="str">
        <f t="shared" si="36"/>
        <v/>
      </c>
      <c r="AQ200" t="str">
        <f t="shared" si="37"/>
        <v/>
      </c>
      <c r="AR200" t="str">
        <f t="shared" si="38"/>
        <v/>
      </c>
      <c r="AS200" t="str">
        <f t="shared" si="39"/>
        <v/>
      </c>
      <c r="AT200" t="str">
        <f t="shared" si="40"/>
        <v/>
      </c>
      <c r="BG200" t="str">
        <f t="shared" si="41"/>
        <v/>
      </c>
      <c r="BH200" t="str">
        <f t="shared" si="42"/>
        <v/>
      </c>
      <c r="BL200" t="str">
        <f>IFERROR(INDEX(_names_lookup!$C:$C,MATCH(BK200,_names_lookup!$A:$A,0)),"")</f>
        <v/>
      </c>
      <c r="BM200" t="str">
        <f>IFERROR(INDEX(_names_lookup!$B:$B,MATCH(BK200,_names_lookup!$A:$A,0)),"")</f>
        <v/>
      </c>
      <c r="BS200" t="str">
        <f t="shared" si="43"/>
        <v/>
      </c>
    </row>
    <row r="201" spans="15:71" x14ac:dyDescent="0.2">
      <c r="O201" t="str">
        <f>IFERROR(INDEX(_courses_lookup!$C:$C,MATCH(K201&amp;L201,_courses_lookup!$E:$E,0)),"")</f>
        <v/>
      </c>
      <c r="P201" t="str">
        <f>IFERROR(INDEX(_courses_lookup!$D:$D,MATCH(K201&amp;L201,_courses_lookup!$E:$E,0)),"")</f>
        <v/>
      </c>
      <c r="AG201" t="str">
        <f t="shared" si="33"/>
        <v/>
      </c>
      <c r="AI201" t="str">
        <f t="shared" si="34"/>
        <v/>
      </c>
      <c r="AL201" t="str">
        <f t="shared" si="35"/>
        <v/>
      </c>
      <c r="AN201" t="str">
        <f t="shared" si="36"/>
        <v/>
      </c>
      <c r="AQ201" t="str">
        <f t="shared" si="37"/>
        <v/>
      </c>
      <c r="AR201" t="str">
        <f t="shared" si="38"/>
        <v/>
      </c>
      <c r="AS201" t="str">
        <f t="shared" si="39"/>
        <v/>
      </c>
      <c r="AT201" t="str">
        <f t="shared" si="40"/>
        <v/>
      </c>
      <c r="BG201" t="str">
        <f t="shared" si="41"/>
        <v/>
      </c>
      <c r="BH201" t="str">
        <f t="shared" si="42"/>
        <v/>
      </c>
      <c r="BL201" t="str">
        <f>IFERROR(INDEX(_names_lookup!$C:$C,MATCH(BK201,_names_lookup!$A:$A,0)),"")</f>
        <v/>
      </c>
      <c r="BM201" t="str">
        <f>IFERROR(INDEX(_names_lookup!$B:$B,MATCH(BK201,_names_lookup!$A:$A,0)),"")</f>
        <v/>
      </c>
      <c r="BS201" t="str">
        <f t="shared" si="43"/>
        <v/>
      </c>
    </row>
    <row r="202" spans="15:71" x14ac:dyDescent="0.2">
      <c r="O202" t="str">
        <f>IFERROR(INDEX(_courses_lookup!$C:$C,MATCH(K202&amp;L202,_courses_lookup!$E:$E,0)),"")</f>
        <v/>
      </c>
      <c r="P202" t="str">
        <f>IFERROR(INDEX(_courses_lookup!$D:$D,MATCH(K202&amp;L202,_courses_lookup!$E:$E,0)),"")</f>
        <v/>
      </c>
      <c r="AG202" t="str">
        <f t="shared" si="33"/>
        <v/>
      </c>
      <c r="AI202" t="str">
        <f t="shared" si="34"/>
        <v/>
      </c>
      <c r="AL202" t="str">
        <f t="shared" si="35"/>
        <v/>
      </c>
      <c r="AN202" t="str">
        <f t="shared" si="36"/>
        <v/>
      </c>
      <c r="AQ202" t="str">
        <f t="shared" si="37"/>
        <v/>
      </c>
      <c r="AR202" t="str">
        <f t="shared" si="38"/>
        <v/>
      </c>
      <c r="AS202" t="str">
        <f t="shared" si="39"/>
        <v/>
      </c>
      <c r="AT202" t="str">
        <f t="shared" si="40"/>
        <v/>
      </c>
      <c r="BG202" t="str">
        <f t="shared" si="41"/>
        <v/>
      </c>
      <c r="BH202" t="str">
        <f t="shared" si="42"/>
        <v/>
      </c>
      <c r="BL202" t="str">
        <f>IFERROR(INDEX(_names_lookup!$C:$C,MATCH(BK202,_names_lookup!$A:$A,0)),"")</f>
        <v/>
      </c>
      <c r="BM202" t="str">
        <f>IFERROR(INDEX(_names_lookup!$B:$B,MATCH(BK202,_names_lookup!$A:$A,0)),"")</f>
        <v/>
      </c>
      <c r="BS202" t="str">
        <f t="shared" si="43"/>
        <v/>
      </c>
    </row>
    <row r="203" spans="15:71" x14ac:dyDescent="0.2">
      <c r="O203" t="str">
        <f>IFERROR(INDEX(_courses_lookup!$C:$C,MATCH(K203&amp;L203,_courses_lookup!$E:$E,0)),"")</f>
        <v/>
      </c>
      <c r="P203" t="str">
        <f>IFERROR(INDEX(_courses_lookup!$D:$D,MATCH(K203&amp;L203,_courses_lookup!$E:$E,0)),"")</f>
        <v/>
      </c>
      <c r="AG203" t="str">
        <f t="shared" si="33"/>
        <v/>
      </c>
      <c r="AI203" t="str">
        <f t="shared" si="34"/>
        <v/>
      </c>
      <c r="AL203" t="str">
        <f t="shared" si="35"/>
        <v/>
      </c>
      <c r="AN203" t="str">
        <f t="shared" si="36"/>
        <v/>
      </c>
      <c r="AQ203" t="str">
        <f t="shared" si="37"/>
        <v/>
      </c>
      <c r="AR203" t="str">
        <f t="shared" si="38"/>
        <v/>
      </c>
      <c r="AS203" t="str">
        <f t="shared" si="39"/>
        <v/>
      </c>
      <c r="AT203" t="str">
        <f t="shared" si="40"/>
        <v/>
      </c>
      <c r="BG203" t="str">
        <f t="shared" si="41"/>
        <v/>
      </c>
      <c r="BH203" t="str">
        <f t="shared" si="42"/>
        <v/>
      </c>
      <c r="BL203" t="str">
        <f>IFERROR(INDEX(_names_lookup!$C:$C,MATCH(BK203,_names_lookup!$A:$A,0)),"")</f>
        <v/>
      </c>
      <c r="BM203" t="str">
        <f>IFERROR(INDEX(_names_lookup!$B:$B,MATCH(BK203,_names_lookup!$A:$A,0)),"")</f>
        <v/>
      </c>
      <c r="BS203" t="str">
        <f t="shared" si="43"/>
        <v/>
      </c>
    </row>
    <row r="204" spans="15:71" x14ac:dyDescent="0.2">
      <c r="O204" t="str">
        <f>IFERROR(INDEX(_courses_lookup!$C:$C,MATCH(K204&amp;L204,_courses_lookup!$E:$E,0)),"")</f>
        <v/>
      </c>
      <c r="P204" t="str">
        <f>IFERROR(INDEX(_courses_lookup!$D:$D,MATCH(K204&amp;L204,_courses_lookup!$E:$E,0)),"")</f>
        <v/>
      </c>
      <c r="AG204" t="str">
        <f t="shared" si="33"/>
        <v/>
      </c>
      <c r="AI204" t="str">
        <f t="shared" si="34"/>
        <v/>
      </c>
      <c r="AL204" t="str">
        <f t="shared" si="35"/>
        <v/>
      </c>
      <c r="AN204" t="str">
        <f t="shared" si="36"/>
        <v/>
      </c>
      <c r="AQ204" t="str">
        <f t="shared" si="37"/>
        <v/>
      </c>
      <c r="AR204" t="str">
        <f t="shared" si="38"/>
        <v/>
      </c>
      <c r="AS204" t="str">
        <f t="shared" si="39"/>
        <v/>
      </c>
      <c r="AT204" t="str">
        <f t="shared" si="40"/>
        <v/>
      </c>
      <c r="BG204" t="str">
        <f t="shared" si="41"/>
        <v/>
      </c>
      <c r="BH204" t="str">
        <f t="shared" si="42"/>
        <v/>
      </c>
      <c r="BL204" t="str">
        <f>IFERROR(INDEX(_names_lookup!$C:$C,MATCH(BK204,_names_lookup!$A:$A,0)),"")</f>
        <v/>
      </c>
      <c r="BM204" t="str">
        <f>IFERROR(INDEX(_names_lookup!$B:$B,MATCH(BK204,_names_lookup!$A:$A,0)),"")</f>
        <v/>
      </c>
      <c r="BS204" t="str">
        <f t="shared" si="43"/>
        <v/>
      </c>
    </row>
    <row r="205" spans="15:71" x14ac:dyDescent="0.2">
      <c r="O205" t="str">
        <f>IFERROR(INDEX(_courses_lookup!$C:$C,MATCH(K205&amp;L205,_courses_lookup!$E:$E,0)),"")</f>
        <v/>
      </c>
      <c r="P205" t="str">
        <f>IFERROR(INDEX(_courses_lookup!$D:$D,MATCH(K205&amp;L205,_courses_lookup!$E:$E,0)),"")</f>
        <v/>
      </c>
      <c r="AG205" t="str">
        <f t="shared" si="33"/>
        <v/>
      </c>
      <c r="AI205" t="str">
        <f t="shared" si="34"/>
        <v/>
      </c>
      <c r="AL205" t="str">
        <f t="shared" si="35"/>
        <v/>
      </c>
      <c r="AN205" t="str">
        <f t="shared" si="36"/>
        <v/>
      </c>
      <c r="AQ205" t="str">
        <f t="shared" si="37"/>
        <v/>
      </c>
      <c r="AR205" t="str">
        <f t="shared" si="38"/>
        <v/>
      </c>
      <c r="AS205" t="str">
        <f t="shared" si="39"/>
        <v/>
      </c>
      <c r="AT205" t="str">
        <f t="shared" si="40"/>
        <v/>
      </c>
      <c r="BG205" t="str">
        <f t="shared" si="41"/>
        <v/>
      </c>
      <c r="BH205" t="str">
        <f t="shared" si="42"/>
        <v/>
      </c>
      <c r="BL205" t="str">
        <f>IFERROR(INDEX(_names_lookup!$C:$C,MATCH(BK205,_names_lookup!$A:$A,0)),"")</f>
        <v/>
      </c>
      <c r="BM205" t="str">
        <f>IFERROR(INDEX(_names_lookup!$B:$B,MATCH(BK205,_names_lookup!$A:$A,0)),"")</f>
        <v/>
      </c>
      <c r="BS205" t="str">
        <f t="shared" si="43"/>
        <v/>
      </c>
    </row>
    <row r="206" spans="15:71" x14ac:dyDescent="0.2">
      <c r="O206" t="str">
        <f>IFERROR(INDEX(_courses_lookup!$C:$C,MATCH(K206&amp;L206,_courses_lookup!$E:$E,0)),"")</f>
        <v/>
      </c>
      <c r="P206" t="str">
        <f>IFERROR(INDEX(_courses_lookup!$D:$D,MATCH(K206&amp;L206,_courses_lookup!$E:$E,0)),"")</f>
        <v/>
      </c>
      <c r="AG206" t="str">
        <f t="shared" si="33"/>
        <v/>
      </c>
      <c r="AI206" t="str">
        <f t="shared" si="34"/>
        <v/>
      </c>
      <c r="AL206" t="str">
        <f t="shared" si="35"/>
        <v/>
      </c>
      <c r="AN206" t="str">
        <f t="shared" si="36"/>
        <v/>
      </c>
      <c r="AQ206" t="str">
        <f t="shared" si="37"/>
        <v/>
      </c>
      <c r="AR206" t="str">
        <f t="shared" si="38"/>
        <v/>
      </c>
      <c r="AS206" t="str">
        <f t="shared" si="39"/>
        <v/>
      </c>
      <c r="AT206" t="str">
        <f t="shared" si="40"/>
        <v/>
      </c>
      <c r="BG206" t="str">
        <f t="shared" si="41"/>
        <v/>
      </c>
      <c r="BH206" t="str">
        <f t="shared" si="42"/>
        <v/>
      </c>
      <c r="BL206" t="str">
        <f>IFERROR(INDEX(_names_lookup!$C:$C,MATCH(BK206,_names_lookup!$A:$A,0)),"")</f>
        <v/>
      </c>
      <c r="BM206" t="str">
        <f>IFERROR(INDEX(_names_lookup!$B:$B,MATCH(BK206,_names_lookup!$A:$A,0)),"")</f>
        <v/>
      </c>
      <c r="BS206" t="str">
        <f t="shared" si="43"/>
        <v/>
      </c>
    </row>
    <row r="207" spans="15:71" x14ac:dyDescent="0.2">
      <c r="O207" t="str">
        <f>IFERROR(INDEX(_courses_lookup!$C:$C,MATCH(K207&amp;L207,_courses_lookup!$E:$E,0)),"")</f>
        <v/>
      </c>
      <c r="P207" t="str">
        <f>IFERROR(INDEX(_courses_lookup!$D:$D,MATCH(K207&amp;L207,_courses_lookup!$E:$E,0)),"")</f>
        <v/>
      </c>
      <c r="AG207" t="str">
        <f t="shared" si="33"/>
        <v/>
      </c>
      <c r="AI207" t="str">
        <f t="shared" si="34"/>
        <v/>
      </c>
      <c r="AL207" t="str">
        <f t="shared" si="35"/>
        <v/>
      </c>
      <c r="AN207" t="str">
        <f t="shared" si="36"/>
        <v/>
      </c>
      <c r="AQ207" t="str">
        <f t="shared" si="37"/>
        <v/>
      </c>
      <c r="AR207" t="str">
        <f t="shared" si="38"/>
        <v/>
      </c>
      <c r="AS207" t="str">
        <f t="shared" si="39"/>
        <v/>
      </c>
      <c r="AT207" t="str">
        <f t="shared" si="40"/>
        <v/>
      </c>
      <c r="BG207" t="str">
        <f t="shared" si="41"/>
        <v/>
      </c>
      <c r="BH207" t="str">
        <f t="shared" si="42"/>
        <v/>
      </c>
      <c r="BL207" t="str">
        <f>IFERROR(INDEX(_names_lookup!$C:$C,MATCH(BK207,_names_lookup!$A:$A,0)),"")</f>
        <v/>
      </c>
      <c r="BM207" t="str">
        <f>IFERROR(INDEX(_names_lookup!$B:$B,MATCH(BK207,_names_lookup!$A:$A,0)),"")</f>
        <v/>
      </c>
      <c r="BS207" t="str">
        <f t="shared" si="43"/>
        <v/>
      </c>
    </row>
    <row r="208" spans="15:71" x14ac:dyDescent="0.2">
      <c r="O208" t="str">
        <f>IFERROR(INDEX(_courses_lookup!$C:$C,MATCH(K208&amp;L208,_courses_lookup!$E:$E,0)),"")</f>
        <v/>
      </c>
      <c r="P208" t="str">
        <f>IFERROR(INDEX(_courses_lookup!$D:$D,MATCH(K208&amp;L208,_courses_lookup!$E:$E,0)),"")</f>
        <v/>
      </c>
      <c r="AG208" t="str">
        <f t="shared" si="33"/>
        <v/>
      </c>
      <c r="AI208" t="str">
        <f t="shared" si="34"/>
        <v/>
      </c>
      <c r="AL208" t="str">
        <f t="shared" si="35"/>
        <v/>
      </c>
      <c r="AN208" t="str">
        <f t="shared" si="36"/>
        <v/>
      </c>
      <c r="AQ208" t="str">
        <f t="shared" si="37"/>
        <v/>
      </c>
      <c r="AR208" t="str">
        <f t="shared" si="38"/>
        <v/>
      </c>
      <c r="AS208" t="str">
        <f t="shared" si="39"/>
        <v/>
      </c>
      <c r="AT208" t="str">
        <f t="shared" si="40"/>
        <v/>
      </c>
      <c r="BG208" t="str">
        <f t="shared" si="41"/>
        <v/>
      </c>
      <c r="BH208" t="str">
        <f t="shared" si="42"/>
        <v/>
      </c>
      <c r="BL208" t="str">
        <f>IFERROR(INDEX(_names_lookup!$C:$C,MATCH(BK208,_names_lookup!$A:$A,0)),"")</f>
        <v/>
      </c>
      <c r="BM208" t="str">
        <f>IFERROR(INDEX(_names_lookup!$B:$B,MATCH(BK208,_names_lookup!$A:$A,0)),"")</f>
        <v/>
      </c>
      <c r="BS208" t="str">
        <f t="shared" si="43"/>
        <v/>
      </c>
    </row>
    <row r="209" spans="15:71" x14ac:dyDescent="0.2">
      <c r="O209" t="str">
        <f>IFERROR(INDEX(_courses_lookup!$C:$C,MATCH(K209&amp;L209,_courses_lookup!$E:$E,0)),"")</f>
        <v/>
      </c>
      <c r="P209" t="str">
        <f>IFERROR(INDEX(_courses_lookup!$D:$D,MATCH(K209&amp;L209,_courses_lookup!$E:$E,0)),"")</f>
        <v/>
      </c>
      <c r="AG209" t="str">
        <f t="shared" si="33"/>
        <v/>
      </c>
      <c r="AI209" t="str">
        <f t="shared" si="34"/>
        <v/>
      </c>
      <c r="AL209" t="str">
        <f t="shared" si="35"/>
        <v/>
      </c>
      <c r="AN209" t="str">
        <f t="shared" si="36"/>
        <v/>
      </c>
      <c r="AQ209" t="str">
        <f t="shared" si="37"/>
        <v/>
      </c>
      <c r="AR209" t="str">
        <f t="shared" si="38"/>
        <v/>
      </c>
      <c r="AS209" t="str">
        <f t="shared" si="39"/>
        <v/>
      </c>
      <c r="AT209" t="str">
        <f t="shared" si="40"/>
        <v/>
      </c>
      <c r="BG209" t="str">
        <f t="shared" si="41"/>
        <v/>
      </c>
      <c r="BH209" t="str">
        <f t="shared" si="42"/>
        <v/>
      </c>
      <c r="BL209" t="str">
        <f>IFERROR(INDEX(_names_lookup!$C:$C,MATCH(BK209,_names_lookup!$A:$A,0)),"")</f>
        <v/>
      </c>
      <c r="BM209" t="str">
        <f>IFERROR(INDEX(_names_lookup!$B:$B,MATCH(BK209,_names_lookup!$A:$A,0)),"")</f>
        <v/>
      </c>
      <c r="BS209" t="str">
        <f t="shared" si="43"/>
        <v/>
      </c>
    </row>
    <row r="210" spans="15:71" x14ac:dyDescent="0.2">
      <c r="O210" t="str">
        <f>IFERROR(INDEX(_courses_lookup!$C:$C,MATCH(K210&amp;L210,_courses_lookup!$E:$E,0)),"")</f>
        <v/>
      </c>
      <c r="P210" t="str">
        <f>IFERROR(INDEX(_courses_lookup!$D:$D,MATCH(K210&amp;L210,_courses_lookup!$E:$E,0)),"")</f>
        <v/>
      </c>
      <c r="AG210" t="str">
        <f t="shared" si="33"/>
        <v/>
      </c>
      <c r="AI210" t="str">
        <f t="shared" si="34"/>
        <v/>
      </c>
      <c r="AL210" t="str">
        <f t="shared" si="35"/>
        <v/>
      </c>
      <c r="AN210" t="str">
        <f t="shared" si="36"/>
        <v/>
      </c>
      <c r="AQ210" t="str">
        <f t="shared" si="37"/>
        <v/>
      </c>
      <c r="AR210" t="str">
        <f t="shared" si="38"/>
        <v/>
      </c>
      <c r="AS210" t="str">
        <f t="shared" si="39"/>
        <v/>
      </c>
      <c r="AT210" t="str">
        <f t="shared" si="40"/>
        <v/>
      </c>
      <c r="BG210" t="str">
        <f t="shared" si="41"/>
        <v/>
      </c>
      <c r="BH210" t="str">
        <f t="shared" si="42"/>
        <v/>
      </c>
      <c r="BL210" t="str">
        <f>IFERROR(INDEX(_names_lookup!$C:$C,MATCH(BK210,_names_lookup!$A:$A,0)),"")</f>
        <v/>
      </c>
      <c r="BM210" t="str">
        <f>IFERROR(INDEX(_names_lookup!$B:$B,MATCH(BK210,_names_lookup!$A:$A,0)),"")</f>
        <v/>
      </c>
      <c r="BS210" t="str">
        <f t="shared" si="43"/>
        <v/>
      </c>
    </row>
    <row r="211" spans="15:71" x14ac:dyDescent="0.2">
      <c r="O211" t="str">
        <f>IFERROR(INDEX(_courses_lookup!$C:$C,MATCH(K211&amp;L211,_courses_lookup!$E:$E,0)),"")</f>
        <v/>
      </c>
      <c r="P211" t="str">
        <f>IFERROR(INDEX(_courses_lookup!$D:$D,MATCH(K211&amp;L211,_courses_lookup!$E:$E,0)),"")</f>
        <v/>
      </c>
      <c r="AG211" t="str">
        <f t="shared" si="33"/>
        <v/>
      </c>
      <c r="AI211" t="str">
        <f t="shared" si="34"/>
        <v/>
      </c>
      <c r="AL211" t="str">
        <f t="shared" si="35"/>
        <v/>
      </c>
      <c r="AN211" t="str">
        <f t="shared" si="36"/>
        <v/>
      </c>
      <c r="AQ211" t="str">
        <f t="shared" si="37"/>
        <v/>
      </c>
      <c r="AR211" t="str">
        <f t="shared" si="38"/>
        <v/>
      </c>
      <c r="AS211" t="str">
        <f t="shared" si="39"/>
        <v/>
      </c>
      <c r="AT211" t="str">
        <f t="shared" si="40"/>
        <v/>
      </c>
      <c r="BG211" t="str">
        <f t="shared" si="41"/>
        <v/>
      </c>
      <c r="BH211" t="str">
        <f t="shared" si="42"/>
        <v/>
      </c>
      <c r="BL211" t="str">
        <f>IFERROR(INDEX(_names_lookup!$C:$C,MATCH(BK211,_names_lookup!$A:$A,0)),"")</f>
        <v/>
      </c>
      <c r="BM211" t="str">
        <f>IFERROR(INDEX(_names_lookup!$B:$B,MATCH(BK211,_names_lookup!$A:$A,0)),"")</f>
        <v/>
      </c>
      <c r="BS211" t="str">
        <f t="shared" si="43"/>
        <v/>
      </c>
    </row>
    <row r="212" spans="15:71" x14ac:dyDescent="0.2">
      <c r="O212" t="str">
        <f>IFERROR(INDEX(_courses_lookup!$C:$C,MATCH(K212&amp;L212,_courses_lookup!$E:$E,0)),"")</f>
        <v/>
      </c>
      <c r="P212" t="str">
        <f>IFERROR(INDEX(_courses_lookup!$D:$D,MATCH(K212&amp;L212,_courses_lookup!$E:$E,0)),"")</f>
        <v/>
      </c>
      <c r="AG212" t="str">
        <f t="shared" si="33"/>
        <v/>
      </c>
      <c r="AI212" t="str">
        <f t="shared" si="34"/>
        <v/>
      </c>
      <c r="AL212" t="str">
        <f t="shared" si="35"/>
        <v/>
      </c>
      <c r="AN212" t="str">
        <f t="shared" si="36"/>
        <v/>
      </c>
      <c r="AQ212" t="str">
        <f t="shared" si="37"/>
        <v/>
      </c>
      <c r="AR212" t="str">
        <f t="shared" si="38"/>
        <v/>
      </c>
      <c r="AS212" t="str">
        <f t="shared" si="39"/>
        <v/>
      </c>
      <c r="AT212" t="str">
        <f t="shared" si="40"/>
        <v/>
      </c>
      <c r="BG212" t="str">
        <f t="shared" si="41"/>
        <v/>
      </c>
      <c r="BH212" t="str">
        <f t="shared" si="42"/>
        <v/>
      </c>
      <c r="BL212" t="str">
        <f>IFERROR(INDEX(_names_lookup!$C:$C,MATCH(BK212,_names_lookup!$A:$A,0)),"")</f>
        <v/>
      </c>
      <c r="BM212" t="str">
        <f>IFERROR(INDEX(_names_lookup!$B:$B,MATCH(BK212,_names_lookup!$A:$A,0)),"")</f>
        <v/>
      </c>
      <c r="BS212" t="str">
        <f t="shared" si="43"/>
        <v/>
      </c>
    </row>
    <row r="213" spans="15:71" x14ac:dyDescent="0.2">
      <c r="O213" t="str">
        <f>IFERROR(INDEX(_courses_lookup!$C:$C,MATCH(K213&amp;L213,_courses_lookup!$E:$E,0)),"")</f>
        <v/>
      </c>
      <c r="P213" t="str">
        <f>IFERROR(INDEX(_courses_lookup!$D:$D,MATCH(K213&amp;L213,_courses_lookup!$E:$E,0)),"")</f>
        <v/>
      </c>
      <c r="AG213" t="str">
        <f t="shared" si="33"/>
        <v/>
      </c>
      <c r="AI213" t="str">
        <f t="shared" si="34"/>
        <v/>
      </c>
      <c r="AL213" t="str">
        <f t="shared" si="35"/>
        <v/>
      </c>
      <c r="AN213" t="str">
        <f t="shared" si="36"/>
        <v/>
      </c>
      <c r="AQ213" t="str">
        <f t="shared" si="37"/>
        <v/>
      </c>
      <c r="AR213" t="str">
        <f t="shared" si="38"/>
        <v/>
      </c>
      <c r="AS213" t="str">
        <f t="shared" si="39"/>
        <v/>
      </c>
      <c r="AT213" t="str">
        <f t="shared" si="40"/>
        <v/>
      </c>
      <c r="BG213" t="str">
        <f t="shared" si="41"/>
        <v/>
      </c>
      <c r="BH213" t="str">
        <f t="shared" si="42"/>
        <v/>
      </c>
      <c r="BL213" t="str">
        <f>IFERROR(INDEX(_names_lookup!$C:$C,MATCH(BK213,_names_lookup!$A:$A,0)),"")</f>
        <v/>
      </c>
      <c r="BM213" t="str">
        <f>IFERROR(INDEX(_names_lookup!$B:$B,MATCH(BK213,_names_lookup!$A:$A,0)),"")</f>
        <v/>
      </c>
      <c r="BS213" t="str">
        <f t="shared" si="43"/>
        <v/>
      </c>
    </row>
    <row r="214" spans="15:71" x14ac:dyDescent="0.2">
      <c r="O214" t="str">
        <f>IFERROR(INDEX(_courses_lookup!$C:$C,MATCH(K214&amp;L214,_courses_lookup!$E:$E,0)),"")</f>
        <v/>
      </c>
      <c r="P214" t="str">
        <f>IFERROR(INDEX(_courses_lookup!$D:$D,MATCH(K214&amp;L214,_courses_lookup!$E:$E,0)),"")</f>
        <v/>
      </c>
      <c r="AG214" t="str">
        <f t="shared" si="33"/>
        <v/>
      </c>
      <c r="AI214" t="str">
        <f t="shared" si="34"/>
        <v/>
      </c>
      <c r="AL214" t="str">
        <f t="shared" si="35"/>
        <v/>
      </c>
      <c r="AN214" t="str">
        <f t="shared" si="36"/>
        <v/>
      </c>
      <c r="AQ214" t="str">
        <f t="shared" si="37"/>
        <v/>
      </c>
      <c r="AR214" t="str">
        <f t="shared" si="38"/>
        <v/>
      </c>
      <c r="AS214" t="str">
        <f t="shared" si="39"/>
        <v/>
      </c>
      <c r="AT214" t="str">
        <f t="shared" si="40"/>
        <v/>
      </c>
      <c r="BG214" t="str">
        <f t="shared" si="41"/>
        <v/>
      </c>
      <c r="BH214" t="str">
        <f t="shared" si="42"/>
        <v/>
      </c>
      <c r="BL214" t="str">
        <f>IFERROR(INDEX(_names_lookup!$C:$C,MATCH(BK214,_names_lookup!$A:$A,0)),"")</f>
        <v/>
      </c>
      <c r="BM214" t="str">
        <f>IFERROR(INDEX(_names_lookup!$B:$B,MATCH(BK214,_names_lookup!$A:$A,0)),"")</f>
        <v/>
      </c>
      <c r="BS214" t="str">
        <f t="shared" si="43"/>
        <v/>
      </c>
    </row>
    <row r="215" spans="15:71" x14ac:dyDescent="0.2">
      <c r="O215" t="str">
        <f>IFERROR(INDEX(_courses_lookup!$C:$C,MATCH(K215&amp;L215,_courses_lookup!$E:$E,0)),"")</f>
        <v/>
      </c>
      <c r="P215" t="str">
        <f>IFERROR(INDEX(_courses_lookup!$D:$D,MATCH(K215&amp;L215,_courses_lookup!$E:$E,0)),"")</f>
        <v/>
      </c>
      <c r="AG215" t="str">
        <f t="shared" si="33"/>
        <v/>
      </c>
      <c r="AI215" t="str">
        <f t="shared" si="34"/>
        <v/>
      </c>
      <c r="AL215" t="str">
        <f t="shared" si="35"/>
        <v/>
      </c>
      <c r="AN215" t="str">
        <f t="shared" si="36"/>
        <v/>
      </c>
      <c r="AQ215" t="str">
        <f t="shared" si="37"/>
        <v/>
      </c>
      <c r="AR215" t="str">
        <f t="shared" si="38"/>
        <v/>
      </c>
      <c r="AS215" t="str">
        <f t="shared" si="39"/>
        <v/>
      </c>
      <c r="AT215" t="str">
        <f t="shared" si="40"/>
        <v/>
      </c>
      <c r="BG215" t="str">
        <f t="shared" si="41"/>
        <v/>
      </c>
      <c r="BH215" t="str">
        <f t="shared" si="42"/>
        <v/>
      </c>
      <c r="BL215" t="str">
        <f>IFERROR(INDEX(_names_lookup!$C:$C,MATCH(BK215,_names_lookup!$A:$A,0)),"")</f>
        <v/>
      </c>
      <c r="BM215" t="str">
        <f>IFERROR(INDEX(_names_lookup!$B:$B,MATCH(BK215,_names_lookup!$A:$A,0)),"")</f>
        <v/>
      </c>
      <c r="BS215" t="str">
        <f t="shared" si="43"/>
        <v/>
      </c>
    </row>
    <row r="216" spans="15:71" x14ac:dyDescent="0.2">
      <c r="O216" t="str">
        <f>IFERROR(INDEX(_courses_lookup!$C:$C,MATCH(K216&amp;L216,_courses_lookup!$E:$E,0)),"")</f>
        <v/>
      </c>
      <c r="P216" t="str">
        <f>IFERROR(INDEX(_courses_lookup!$D:$D,MATCH(K216&amp;L216,_courses_lookup!$E:$E,0)),"")</f>
        <v/>
      </c>
      <c r="AG216" t="str">
        <f t="shared" si="33"/>
        <v/>
      </c>
      <c r="AI216" t="str">
        <f t="shared" si="34"/>
        <v/>
      </c>
      <c r="AL216" t="str">
        <f t="shared" si="35"/>
        <v/>
      </c>
      <c r="AN216" t="str">
        <f t="shared" si="36"/>
        <v/>
      </c>
      <c r="AQ216" t="str">
        <f t="shared" si="37"/>
        <v/>
      </c>
      <c r="AR216" t="str">
        <f t="shared" si="38"/>
        <v/>
      </c>
      <c r="AS216" t="str">
        <f t="shared" si="39"/>
        <v/>
      </c>
      <c r="AT216" t="str">
        <f t="shared" si="40"/>
        <v/>
      </c>
      <c r="BG216" t="str">
        <f t="shared" si="41"/>
        <v/>
      </c>
      <c r="BH216" t="str">
        <f t="shared" si="42"/>
        <v/>
      </c>
      <c r="BL216" t="str">
        <f>IFERROR(INDEX(_names_lookup!$C:$C,MATCH(BK216,_names_lookup!$A:$A,0)),"")</f>
        <v/>
      </c>
      <c r="BM216" t="str">
        <f>IFERROR(INDEX(_names_lookup!$B:$B,MATCH(BK216,_names_lookup!$A:$A,0)),"")</f>
        <v/>
      </c>
      <c r="BS216" t="str">
        <f t="shared" si="43"/>
        <v/>
      </c>
    </row>
    <row r="217" spans="15:71" x14ac:dyDescent="0.2">
      <c r="O217" t="str">
        <f>IFERROR(INDEX(_courses_lookup!$C:$C,MATCH(K217&amp;L217,_courses_lookup!$E:$E,0)),"")</f>
        <v/>
      </c>
      <c r="P217" t="str">
        <f>IFERROR(INDEX(_courses_lookup!$D:$D,MATCH(K217&amp;L217,_courses_lookup!$E:$E,0)),"")</f>
        <v/>
      </c>
      <c r="AG217" t="str">
        <f t="shared" si="33"/>
        <v/>
      </c>
      <c r="AI217" t="str">
        <f t="shared" si="34"/>
        <v/>
      </c>
      <c r="AL217" t="str">
        <f t="shared" si="35"/>
        <v/>
      </c>
      <c r="AN217" t="str">
        <f t="shared" si="36"/>
        <v/>
      </c>
      <c r="AQ217" t="str">
        <f t="shared" si="37"/>
        <v/>
      </c>
      <c r="AR217" t="str">
        <f t="shared" si="38"/>
        <v/>
      </c>
      <c r="AS217" t="str">
        <f t="shared" si="39"/>
        <v/>
      </c>
      <c r="AT217" t="str">
        <f t="shared" si="40"/>
        <v/>
      </c>
      <c r="BG217" t="str">
        <f t="shared" si="41"/>
        <v/>
      </c>
      <c r="BH217" t="str">
        <f t="shared" si="42"/>
        <v/>
      </c>
      <c r="BL217" t="str">
        <f>IFERROR(INDEX(_names_lookup!$C:$C,MATCH(BK217,_names_lookup!$A:$A,0)),"")</f>
        <v/>
      </c>
      <c r="BM217" t="str">
        <f>IFERROR(INDEX(_names_lookup!$B:$B,MATCH(BK217,_names_lookup!$A:$A,0)),"")</f>
        <v/>
      </c>
      <c r="BS217" t="str">
        <f t="shared" si="43"/>
        <v/>
      </c>
    </row>
    <row r="218" spans="15:71" x14ac:dyDescent="0.2">
      <c r="O218" t="str">
        <f>IFERROR(INDEX(_courses_lookup!$C:$C,MATCH(K218&amp;L218,_courses_lookup!$E:$E,0)),"")</f>
        <v/>
      </c>
      <c r="P218" t="str">
        <f>IFERROR(INDEX(_courses_lookup!$D:$D,MATCH(K218&amp;L218,_courses_lookup!$E:$E,0)),"")</f>
        <v/>
      </c>
      <c r="AG218" t="str">
        <f t="shared" si="33"/>
        <v/>
      </c>
      <c r="AI218" t="str">
        <f t="shared" si="34"/>
        <v/>
      </c>
      <c r="AL218" t="str">
        <f t="shared" si="35"/>
        <v/>
      </c>
      <c r="AN218" t="str">
        <f t="shared" si="36"/>
        <v/>
      </c>
      <c r="AQ218" t="str">
        <f t="shared" si="37"/>
        <v/>
      </c>
      <c r="AR218" t="str">
        <f t="shared" si="38"/>
        <v/>
      </c>
      <c r="AS218" t="str">
        <f t="shared" si="39"/>
        <v/>
      </c>
      <c r="AT218" t="str">
        <f t="shared" si="40"/>
        <v/>
      </c>
      <c r="BG218" t="str">
        <f t="shared" si="41"/>
        <v/>
      </c>
      <c r="BH218" t="str">
        <f t="shared" si="42"/>
        <v/>
      </c>
      <c r="BL218" t="str">
        <f>IFERROR(INDEX(_names_lookup!$C:$C,MATCH(BK218,_names_lookup!$A:$A,0)),"")</f>
        <v/>
      </c>
      <c r="BM218" t="str">
        <f>IFERROR(INDEX(_names_lookup!$B:$B,MATCH(BK218,_names_lookup!$A:$A,0)),"")</f>
        <v/>
      </c>
      <c r="BS218" t="str">
        <f t="shared" si="43"/>
        <v/>
      </c>
    </row>
    <row r="219" spans="15:71" x14ac:dyDescent="0.2">
      <c r="O219" t="str">
        <f>IFERROR(INDEX(_courses_lookup!$C:$C,MATCH(K219&amp;L219,_courses_lookup!$E:$E,0)),"")</f>
        <v/>
      </c>
      <c r="P219" t="str">
        <f>IFERROR(INDEX(_courses_lookup!$D:$D,MATCH(K219&amp;L219,_courses_lookup!$E:$E,0)),"")</f>
        <v/>
      </c>
      <c r="AG219" t="str">
        <f t="shared" si="33"/>
        <v/>
      </c>
      <c r="AI219" t="str">
        <f t="shared" si="34"/>
        <v/>
      </c>
      <c r="AL219" t="str">
        <f t="shared" si="35"/>
        <v/>
      </c>
      <c r="AN219" t="str">
        <f t="shared" si="36"/>
        <v/>
      </c>
      <c r="AQ219" t="str">
        <f t="shared" si="37"/>
        <v/>
      </c>
      <c r="AR219" t="str">
        <f t="shared" si="38"/>
        <v/>
      </c>
      <c r="AS219" t="str">
        <f t="shared" si="39"/>
        <v/>
      </c>
      <c r="AT219" t="str">
        <f t="shared" si="40"/>
        <v/>
      </c>
      <c r="BG219" t="str">
        <f t="shared" si="41"/>
        <v/>
      </c>
      <c r="BH219" t="str">
        <f t="shared" si="42"/>
        <v/>
      </c>
      <c r="BL219" t="str">
        <f>IFERROR(INDEX(_names_lookup!$C:$C,MATCH(BK219,_names_lookup!$A:$A,0)),"")</f>
        <v/>
      </c>
      <c r="BM219" t="str">
        <f>IFERROR(INDEX(_names_lookup!$B:$B,MATCH(BK219,_names_lookup!$A:$A,0)),"")</f>
        <v/>
      </c>
      <c r="BS219" t="str">
        <f t="shared" si="43"/>
        <v/>
      </c>
    </row>
    <row r="220" spans="15:71" x14ac:dyDescent="0.2">
      <c r="O220" t="str">
        <f>IFERROR(INDEX(_courses_lookup!$C:$C,MATCH(K220&amp;L220,_courses_lookup!$E:$E,0)),"")</f>
        <v/>
      </c>
      <c r="P220" t="str">
        <f>IFERROR(INDEX(_courses_lookup!$D:$D,MATCH(K220&amp;L220,_courses_lookup!$E:$E,0)),"")</f>
        <v/>
      </c>
      <c r="AG220" t="str">
        <f t="shared" si="33"/>
        <v/>
      </c>
      <c r="AI220" t="str">
        <f t="shared" si="34"/>
        <v/>
      </c>
      <c r="AL220" t="str">
        <f t="shared" si="35"/>
        <v/>
      </c>
      <c r="AN220" t="str">
        <f t="shared" si="36"/>
        <v/>
      </c>
      <c r="AQ220" t="str">
        <f t="shared" si="37"/>
        <v/>
      </c>
      <c r="AR220" t="str">
        <f t="shared" si="38"/>
        <v/>
      </c>
      <c r="AS220" t="str">
        <f t="shared" si="39"/>
        <v/>
      </c>
      <c r="AT220" t="str">
        <f t="shared" si="40"/>
        <v/>
      </c>
      <c r="BG220" t="str">
        <f t="shared" si="41"/>
        <v/>
      </c>
      <c r="BH220" t="str">
        <f t="shared" si="42"/>
        <v/>
      </c>
      <c r="BL220" t="str">
        <f>IFERROR(INDEX(_names_lookup!$C:$C,MATCH(BK220,_names_lookup!$A:$A,0)),"")</f>
        <v/>
      </c>
      <c r="BM220" t="str">
        <f>IFERROR(INDEX(_names_lookup!$B:$B,MATCH(BK220,_names_lookup!$A:$A,0)),"")</f>
        <v/>
      </c>
      <c r="BS220" t="str">
        <f t="shared" si="43"/>
        <v/>
      </c>
    </row>
    <row r="221" spans="15:71" x14ac:dyDescent="0.2">
      <c r="O221" t="str">
        <f>IFERROR(INDEX(_courses_lookup!$C:$C,MATCH(K221&amp;L221,_courses_lookup!$E:$E,0)),"")</f>
        <v/>
      </c>
      <c r="P221" t="str">
        <f>IFERROR(INDEX(_courses_lookup!$D:$D,MATCH(K221&amp;L221,_courses_lookup!$E:$E,0)),"")</f>
        <v/>
      </c>
      <c r="AG221" t="str">
        <f t="shared" si="33"/>
        <v/>
      </c>
      <c r="AI221" t="str">
        <f t="shared" si="34"/>
        <v/>
      </c>
      <c r="AL221" t="str">
        <f t="shared" si="35"/>
        <v/>
      </c>
      <c r="AN221" t="str">
        <f t="shared" si="36"/>
        <v/>
      </c>
      <c r="AQ221" t="str">
        <f t="shared" si="37"/>
        <v/>
      </c>
      <c r="AR221" t="str">
        <f t="shared" si="38"/>
        <v/>
      </c>
      <c r="AS221" t="str">
        <f t="shared" si="39"/>
        <v/>
      </c>
      <c r="AT221" t="str">
        <f t="shared" si="40"/>
        <v/>
      </c>
      <c r="BG221" t="str">
        <f t="shared" si="41"/>
        <v/>
      </c>
      <c r="BH221" t="str">
        <f t="shared" si="42"/>
        <v/>
      </c>
      <c r="BL221" t="str">
        <f>IFERROR(INDEX(_names_lookup!$C:$C,MATCH(BK221,_names_lookup!$A:$A,0)),"")</f>
        <v/>
      </c>
      <c r="BM221" t="str">
        <f>IFERROR(INDEX(_names_lookup!$B:$B,MATCH(BK221,_names_lookup!$A:$A,0)),"")</f>
        <v/>
      </c>
      <c r="BS221" t="str">
        <f t="shared" si="43"/>
        <v/>
      </c>
    </row>
    <row r="222" spans="15:71" x14ac:dyDescent="0.2">
      <c r="O222" t="str">
        <f>IFERROR(INDEX(_courses_lookup!$C:$C,MATCH(K222&amp;L222,_courses_lookup!$E:$E,0)),"")</f>
        <v/>
      </c>
      <c r="P222" t="str">
        <f>IFERROR(INDEX(_courses_lookup!$D:$D,MATCH(K222&amp;L222,_courses_lookup!$E:$E,0)),"")</f>
        <v/>
      </c>
      <c r="AG222" t="str">
        <f t="shared" si="33"/>
        <v/>
      </c>
      <c r="AI222" t="str">
        <f t="shared" si="34"/>
        <v/>
      </c>
      <c r="AL222" t="str">
        <f t="shared" si="35"/>
        <v/>
      </c>
      <c r="AN222" t="str">
        <f t="shared" si="36"/>
        <v/>
      </c>
      <c r="AQ222" t="str">
        <f t="shared" si="37"/>
        <v/>
      </c>
      <c r="AR222" t="str">
        <f t="shared" si="38"/>
        <v/>
      </c>
      <c r="AS222" t="str">
        <f t="shared" si="39"/>
        <v/>
      </c>
      <c r="AT222" t="str">
        <f t="shared" si="40"/>
        <v/>
      </c>
      <c r="BG222" t="str">
        <f t="shared" si="41"/>
        <v/>
      </c>
      <c r="BH222" t="str">
        <f t="shared" si="42"/>
        <v/>
      </c>
      <c r="BL222" t="str">
        <f>IFERROR(INDEX(_names_lookup!$C:$C,MATCH(BK222,_names_lookup!$A:$A,0)),"")</f>
        <v/>
      </c>
      <c r="BM222" t="str">
        <f>IFERROR(INDEX(_names_lookup!$B:$B,MATCH(BK222,_names_lookup!$A:$A,0)),"")</f>
        <v/>
      </c>
      <c r="BS222" t="str">
        <f t="shared" si="43"/>
        <v/>
      </c>
    </row>
    <row r="223" spans="15:71" x14ac:dyDescent="0.2">
      <c r="O223" t="str">
        <f>IFERROR(INDEX(_courses_lookup!$C:$C,MATCH(K223&amp;L223,_courses_lookup!$E:$E,0)),"")</f>
        <v/>
      </c>
      <c r="P223" t="str">
        <f>IFERROR(INDEX(_courses_lookup!$D:$D,MATCH(K223&amp;L223,_courses_lookup!$E:$E,0)),"")</f>
        <v/>
      </c>
      <c r="AG223" t="str">
        <f t="shared" si="33"/>
        <v/>
      </c>
      <c r="AI223" t="str">
        <f t="shared" si="34"/>
        <v/>
      </c>
      <c r="AL223" t="str">
        <f t="shared" si="35"/>
        <v/>
      </c>
      <c r="AN223" t="str">
        <f t="shared" si="36"/>
        <v/>
      </c>
      <c r="AQ223" t="str">
        <f t="shared" si="37"/>
        <v/>
      </c>
      <c r="AR223" t="str">
        <f t="shared" si="38"/>
        <v/>
      </c>
      <c r="AS223" t="str">
        <f t="shared" si="39"/>
        <v/>
      </c>
      <c r="AT223" t="str">
        <f t="shared" si="40"/>
        <v/>
      </c>
      <c r="BG223" t="str">
        <f t="shared" si="41"/>
        <v/>
      </c>
      <c r="BH223" t="str">
        <f t="shared" si="42"/>
        <v/>
      </c>
      <c r="BL223" t="str">
        <f>IFERROR(INDEX(_names_lookup!$C:$C,MATCH(BK223,_names_lookup!$A:$A,0)),"")</f>
        <v/>
      </c>
      <c r="BM223" t="str">
        <f>IFERROR(INDEX(_names_lookup!$B:$B,MATCH(BK223,_names_lookup!$A:$A,0)),"")</f>
        <v/>
      </c>
      <c r="BS223" t="str">
        <f t="shared" si="43"/>
        <v/>
      </c>
    </row>
    <row r="224" spans="15:71" x14ac:dyDescent="0.2">
      <c r="O224" t="str">
        <f>IFERROR(INDEX(_courses_lookup!$C:$C,MATCH(K224&amp;L224,_courses_lookup!$E:$E,0)),"")</f>
        <v/>
      </c>
      <c r="P224" t="str">
        <f>IFERROR(INDEX(_courses_lookup!$D:$D,MATCH(K224&amp;L224,_courses_lookup!$E:$E,0)),"")</f>
        <v/>
      </c>
      <c r="AG224" t="str">
        <f t="shared" si="33"/>
        <v/>
      </c>
      <c r="AI224" t="str">
        <f t="shared" si="34"/>
        <v/>
      </c>
      <c r="AL224" t="str">
        <f t="shared" si="35"/>
        <v/>
      </c>
      <c r="AN224" t="str">
        <f t="shared" si="36"/>
        <v/>
      </c>
      <c r="AQ224" t="str">
        <f t="shared" si="37"/>
        <v/>
      </c>
      <c r="AR224" t="str">
        <f t="shared" si="38"/>
        <v/>
      </c>
      <c r="AS224" t="str">
        <f t="shared" si="39"/>
        <v/>
      </c>
      <c r="AT224" t="str">
        <f t="shared" si="40"/>
        <v/>
      </c>
      <c r="BG224" t="str">
        <f t="shared" si="41"/>
        <v/>
      </c>
      <c r="BH224" t="str">
        <f t="shared" si="42"/>
        <v/>
      </c>
      <c r="BL224" t="str">
        <f>IFERROR(INDEX(_names_lookup!$C:$C,MATCH(BK224,_names_lookup!$A:$A,0)),"")</f>
        <v/>
      </c>
      <c r="BM224" t="str">
        <f>IFERROR(INDEX(_names_lookup!$B:$B,MATCH(BK224,_names_lookup!$A:$A,0)),"")</f>
        <v/>
      </c>
      <c r="BS224" t="str">
        <f t="shared" si="43"/>
        <v/>
      </c>
    </row>
    <row r="225" spans="15:71" x14ac:dyDescent="0.2">
      <c r="O225" t="str">
        <f>IFERROR(INDEX(_courses_lookup!$C:$C,MATCH(K225&amp;L225,_courses_lookup!$E:$E,0)),"")</f>
        <v/>
      </c>
      <c r="P225" t="str">
        <f>IFERROR(INDEX(_courses_lookup!$D:$D,MATCH(K225&amp;L225,_courses_lookup!$E:$E,0)),"")</f>
        <v/>
      </c>
      <c r="AG225" t="str">
        <f t="shared" si="33"/>
        <v/>
      </c>
      <c r="AI225" t="str">
        <f t="shared" si="34"/>
        <v/>
      </c>
      <c r="AL225" t="str">
        <f t="shared" si="35"/>
        <v/>
      </c>
      <c r="AN225" t="str">
        <f t="shared" si="36"/>
        <v/>
      </c>
      <c r="AQ225" t="str">
        <f t="shared" si="37"/>
        <v/>
      </c>
      <c r="AR225" t="str">
        <f t="shared" si="38"/>
        <v/>
      </c>
      <c r="AS225" t="str">
        <f t="shared" si="39"/>
        <v/>
      </c>
      <c r="AT225" t="str">
        <f t="shared" si="40"/>
        <v/>
      </c>
      <c r="BG225" t="str">
        <f t="shared" si="41"/>
        <v/>
      </c>
      <c r="BH225" t="str">
        <f t="shared" si="42"/>
        <v/>
      </c>
      <c r="BL225" t="str">
        <f>IFERROR(INDEX(_names_lookup!$C:$C,MATCH(BK225,_names_lookup!$A:$A,0)),"")</f>
        <v/>
      </c>
      <c r="BM225" t="str">
        <f>IFERROR(INDEX(_names_lookup!$B:$B,MATCH(BK225,_names_lookup!$A:$A,0)),"")</f>
        <v/>
      </c>
      <c r="BS225" t="str">
        <f t="shared" si="43"/>
        <v/>
      </c>
    </row>
    <row r="226" spans="15:71" x14ac:dyDescent="0.2">
      <c r="O226" t="str">
        <f>IFERROR(INDEX(_courses_lookup!$C:$C,MATCH(K226&amp;L226,_courses_lookup!$E:$E,0)),"")</f>
        <v/>
      </c>
      <c r="P226" t="str">
        <f>IFERROR(INDEX(_courses_lookup!$D:$D,MATCH(K226&amp;L226,_courses_lookup!$E:$E,0)),"")</f>
        <v/>
      </c>
      <c r="AG226" t="str">
        <f t="shared" si="33"/>
        <v/>
      </c>
      <c r="AI226" t="str">
        <f t="shared" si="34"/>
        <v/>
      </c>
      <c r="AL226" t="str">
        <f t="shared" si="35"/>
        <v/>
      </c>
      <c r="AN226" t="str">
        <f t="shared" si="36"/>
        <v/>
      </c>
      <c r="AQ226" t="str">
        <f t="shared" si="37"/>
        <v/>
      </c>
      <c r="AR226" t="str">
        <f t="shared" si="38"/>
        <v/>
      </c>
      <c r="AS226" t="str">
        <f t="shared" si="39"/>
        <v/>
      </c>
      <c r="AT226" t="str">
        <f t="shared" si="40"/>
        <v/>
      </c>
      <c r="BG226" t="str">
        <f t="shared" si="41"/>
        <v/>
      </c>
      <c r="BH226" t="str">
        <f t="shared" si="42"/>
        <v/>
      </c>
      <c r="BL226" t="str">
        <f>IFERROR(INDEX(_names_lookup!$C:$C,MATCH(BK226,_names_lookup!$A:$A,0)),"")</f>
        <v/>
      </c>
      <c r="BM226" t="str">
        <f>IFERROR(INDEX(_names_lookup!$B:$B,MATCH(BK226,_names_lookup!$A:$A,0)),"")</f>
        <v/>
      </c>
      <c r="BS226" t="str">
        <f t="shared" si="43"/>
        <v/>
      </c>
    </row>
    <row r="227" spans="15:71" x14ac:dyDescent="0.2">
      <c r="O227" t="str">
        <f>IFERROR(INDEX(_courses_lookup!$C:$C,MATCH(K227&amp;L227,_courses_lookup!$E:$E,0)),"")</f>
        <v/>
      </c>
      <c r="P227" t="str">
        <f>IFERROR(INDEX(_courses_lookup!$D:$D,MATCH(K227&amp;L227,_courses_lookup!$E:$E,0)),"")</f>
        <v/>
      </c>
      <c r="AG227" t="str">
        <f t="shared" si="33"/>
        <v/>
      </c>
      <c r="AI227" t="str">
        <f t="shared" si="34"/>
        <v/>
      </c>
      <c r="AL227" t="str">
        <f t="shared" si="35"/>
        <v/>
      </c>
      <c r="AN227" t="str">
        <f t="shared" si="36"/>
        <v/>
      </c>
      <c r="AQ227" t="str">
        <f t="shared" si="37"/>
        <v/>
      </c>
      <c r="AR227" t="str">
        <f t="shared" si="38"/>
        <v/>
      </c>
      <c r="AS227" t="str">
        <f t="shared" si="39"/>
        <v/>
      </c>
      <c r="AT227" t="str">
        <f t="shared" si="40"/>
        <v/>
      </c>
      <c r="BG227" t="str">
        <f t="shared" si="41"/>
        <v/>
      </c>
      <c r="BH227" t="str">
        <f t="shared" si="42"/>
        <v/>
      </c>
      <c r="BL227" t="str">
        <f>IFERROR(INDEX(_names_lookup!$C:$C,MATCH(BK227,_names_lookup!$A:$A,0)),"")</f>
        <v/>
      </c>
      <c r="BM227" t="str">
        <f>IFERROR(INDEX(_names_lookup!$B:$B,MATCH(BK227,_names_lookup!$A:$A,0)),"")</f>
        <v/>
      </c>
      <c r="BS227" t="str">
        <f t="shared" si="43"/>
        <v/>
      </c>
    </row>
    <row r="228" spans="15:71" x14ac:dyDescent="0.2">
      <c r="O228" t="str">
        <f>IFERROR(INDEX(_courses_lookup!$C:$C,MATCH(K228&amp;L228,_courses_lookup!$E:$E,0)),"")</f>
        <v/>
      </c>
      <c r="P228" t="str">
        <f>IFERROR(INDEX(_courses_lookup!$D:$D,MATCH(K228&amp;L228,_courses_lookup!$E:$E,0)),"")</f>
        <v/>
      </c>
      <c r="AG228" t="str">
        <f t="shared" si="33"/>
        <v/>
      </c>
      <c r="AI228" t="str">
        <f t="shared" si="34"/>
        <v/>
      </c>
      <c r="AL228" t="str">
        <f t="shared" si="35"/>
        <v/>
      </c>
      <c r="AN228" t="str">
        <f t="shared" si="36"/>
        <v/>
      </c>
      <c r="AQ228" t="str">
        <f t="shared" si="37"/>
        <v/>
      </c>
      <c r="AR228" t="str">
        <f t="shared" si="38"/>
        <v/>
      </c>
      <c r="AS228" t="str">
        <f t="shared" si="39"/>
        <v/>
      </c>
      <c r="AT228" t="str">
        <f t="shared" si="40"/>
        <v/>
      </c>
      <c r="BG228" t="str">
        <f t="shared" si="41"/>
        <v/>
      </c>
      <c r="BH228" t="str">
        <f t="shared" si="42"/>
        <v/>
      </c>
      <c r="BL228" t="str">
        <f>IFERROR(INDEX(_names_lookup!$C:$C,MATCH(BK228,_names_lookup!$A:$A,0)),"")</f>
        <v/>
      </c>
      <c r="BM228" t="str">
        <f>IFERROR(INDEX(_names_lookup!$B:$B,MATCH(BK228,_names_lookup!$A:$A,0)),"")</f>
        <v/>
      </c>
      <c r="BS228" t="str">
        <f t="shared" si="43"/>
        <v/>
      </c>
    </row>
    <row r="229" spans="15:71" x14ac:dyDescent="0.2">
      <c r="O229" t="str">
        <f>IFERROR(INDEX(_courses_lookup!$C:$C,MATCH(K229&amp;L229,_courses_lookup!$E:$E,0)),"")</f>
        <v/>
      </c>
      <c r="P229" t="str">
        <f>IFERROR(INDEX(_courses_lookup!$D:$D,MATCH(K229&amp;L229,_courses_lookup!$E:$E,0)),"")</f>
        <v/>
      </c>
      <c r="AG229" t="str">
        <f t="shared" si="33"/>
        <v/>
      </c>
      <c r="AI229" t="str">
        <f t="shared" si="34"/>
        <v/>
      </c>
      <c r="AL229" t="str">
        <f t="shared" si="35"/>
        <v/>
      </c>
      <c r="AN229" t="str">
        <f t="shared" si="36"/>
        <v/>
      </c>
      <c r="AQ229" t="str">
        <f t="shared" si="37"/>
        <v/>
      </c>
      <c r="AR229" t="str">
        <f t="shared" si="38"/>
        <v/>
      </c>
      <c r="AS229" t="str">
        <f t="shared" si="39"/>
        <v/>
      </c>
      <c r="AT229" t="str">
        <f t="shared" si="40"/>
        <v/>
      </c>
      <c r="BG229" t="str">
        <f t="shared" si="41"/>
        <v/>
      </c>
      <c r="BH229" t="str">
        <f t="shared" si="42"/>
        <v/>
      </c>
      <c r="BL229" t="str">
        <f>IFERROR(INDEX(_names_lookup!$C:$C,MATCH(BK229,_names_lookup!$A:$A,0)),"")</f>
        <v/>
      </c>
      <c r="BM229" t="str">
        <f>IFERROR(INDEX(_names_lookup!$B:$B,MATCH(BK229,_names_lookup!$A:$A,0)),"")</f>
        <v/>
      </c>
      <c r="BS229" t="str">
        <f t="shared" si="43"/>
        <v/>
      </c>
    </row>
    <row r="230" spans="15:71" x14ac:dyDescent="0.2">
      <c r="O230" t="str">
        <f>IFERROR(INDEX(_courses_lookup!$C:$C,MATCH(K230&amp;L230,_courses_lookup!$E:$E,0)),"")</f>
        <v/>
      </c>
      <c r="P230" t="str">
        <f>IFERROR(INDEX(_courses_lookup!$D:$D,MATCH(K230&amp;L230,_courses_lookup!$E:$E,0)),"")</f>
        <v/>
      </c>
      <c r="AG230" t="str">
        <f t="shared" si="33"/>
        <v/>
      </c>
      <c r="AI230" t="str">
        <f t="shared" si="34"/>
        <v/>
      </c>
      <c r="AL230" t="str">
        <f t="shared" si="35"/>
        <v/>
      </c>
      <c r="AN230" t="str">
        <f t="shared" si="36"/>
        <v/>
      </c>
      <c r="AQ230" t="str">
        <f t="shared" si="37"/>
        <v/>
      </c>
      <c r="AR230" t="str">
        <f t="shared" si="38"/>
        <v/>
      </c>
      <c r="AS230" t="str">
        <f t="shared" si="39"/>
        <v/>
      </c>
      <c r="AT230" t="str">
        <f t="shared" si="40"/>
        <v/>
      </c>
      <c r="BG230" t="str">
        <f t="shared" si="41"/>
        <v/>
      </c>
      <c r="BH230" t="str">
        <f t="shared" si="42"/>
        <v/>
      </c>
      <c r="BL230" t="str">
        <f>IFERROR(INDEX(_names_lookup!$C:$C,MATCH(BK230,_names_lookup!$A:$A,0)),"")</f>
        <v/>
      </c>
      <c r="BM230" t="str">
        <f>IFERROR(INDEX(_names_lookup!$B:$B,MATCH(BK230,_names_lookup!$A:$A,0)),"")</f>
        <v/>
      </c>
      <c r="BS230" t="str">
        <f t="shared" si="43"/>
        <v/>
      </c>
    </row>
    <row r="231" spans="15:71" x14ac:dyDescent="0.2">
      <c r="O231" t="str">
        <f>IFERROR(INDEX(_courses_lookup!$C:$C,MATCH(K231&amp;L231,_courses_lookup!$E:$E,0)),"")</f>
        <v/>
      </c>
      <c r="P231" t="str">
        <f>IFERROR(INDEX(_courses_lookup!$D:$D,MATCH(K231&amp;L231,_courses_lookup!$E:$E,0)),"")</f>
        <v/>
      </c>
      <c r="AG231" t="str">
        <f t="shared" si="33"/>
        <v/>
      </c>
      <c r="AI231" t="str">
        <f t="shared" si="34"/>
        <v/>
      </c>
      <c r="AL231" t="str">
        <f t="shared" si="35"/>
        <v/>
      </c>
      <c r="AN231" t="str">
        <f t="shared" si="36"/>
        <v/>
      </c>
      <c r="AQ231" t="str">
        <f t="shared" si="37"/>
        <v/>
      </c>
      <c r="AR231" t="str">
        <f t="shared" si="38"/>
        <v/>
      </c>
      <c r="AS231" t="str">
        <f t="shared" si="39"/>
        <v/>
      </c>
      <c r="AT231" t="str">
        <f t="shared" si="40"/>
        <v/>
      </c>
      <c r="BG231" t="str">
        <f t="shared" si="41"/>
        <v/>
      </c>
      <c r="BH231" t="str">
        <f t="shared" si="42"/>
        <v/>
      </c>
      <c r="BL231" t="str">
        <f>IFERROR(INDEX(_names_lookup!$C:$C,MATCH(BK231,_names_lookup!$A:$A,0)),"")</f>
        <v/>
      </c>
      <c r="BM231" t="str">
        <f>IFERROR(INDEX(_names_lookup!$B:$B,MATCH(BK231,_names_lookup!$A:$A,0)),"")</f>
        <v/>
      </c>
      <c r="BS231" t="str">
        <f t="shared" si="43"/>
        <v/>
      </c>
    </row>
    <row r="232" spans="15:71" x14ac:dyDescent="0.2">
      <c r="O232" t="str">
        <f>IFERROR(INDEX(_courses_lookup!$C:$C,MATCH(K232&amp;L232,_courses_lookup!$E:$E,0)),"")</f>
        <v/>
      </c>
      <c r="P232" t="str">
        <f>IFERROR(INDEX(_courses_lookup!$D:$D,MATCH(K232&amp;L232,_courses_lookup!$E:$E,0)),"")</f>
        <v/>
      </c>
      <c r="AG232" t="str">
        <f t="shared" si="33"/>
        <v/>
      </c>
      <c r="AI232" t="str">
        <f t="shared" si="34"/>
        <v/>
      </c>
      <c r="AL232" t="str">
        <f t="shared" si="35"/>
        <v/>
      </c>
      <c r="AN232" t="str">
        <f t="shared" si="36"/>
        <v/>
      </c>
      <c r="AQ232" t="str">
        <f t="shared" si="37"/>
        <v/>
      </c>
      <c r="AR232" t="str">
        <f t="shared" si="38"/>
        <v/>
      </c>
      <c r="AS232" t="str">
        <f t="shared" si="39"/>
        <v/>
      </c>
      <c r="AT232" t="str">
        <f t="shared" si="40"/>
        <v/>
      </c>
      <c r="BG232" t="str">
        <f t="shared" si="41"/>
        <v/>
      </c>
      <c r="BH232" t="str">
        <f t="shared" si="42"/>
        <v/>
      </c>
      <c r="BL232" t="str">
        <f>IFERROR(INDEX(_names_lookup!$C:$C,MATCH(BK232,_names_lookup!$A:$A,0)),"")</f>
        <v/>
      </c>
      <c r="BM232" t="str">
        <f>IFERROR(INDEX(_names_lookup!$B:$B,MATCH(BK232,_names_lookup!$A:$A,0)),"")</f>
        <v/>
      </c>
      <c r="BS232" t="str">
        <f t="shared" si="43"/>
        <v/>
      </c>
    </row>
    <row r="233" spans="15:71" x14ac:dyDescent="0.2">
      <c r="O233" t="str">
        <f>IFERROR(INDEX(_courses_lookup!$C:$C,MATCH(K233&amp;L233,_courses_lookup!$E:$E,0)),"")</f>
        <v/>
      </c>
      <c r="P233" t="str">
        <f>IFERROR(INDEX(_courses_lookup!$D:$D,MATCH(K233&amp;L233,_courses_lookup!$E:$E,0)),"")</f>
        <v/>
      </c>
      <c r="AG233" t="str">
        <f t="shared" si="33"/>
        <v/>
      </c>
      <c r="AI233" t="str">
        <f t="shared" si="34"/>
        <v/>
      </c>
      <c r="AL233" t="str">
        <f t="shared" si="35"/>
        <v/>
      </c>
      <c r="AN233" t="str">
        <f t="shared" si="36"/>
        <v/>
      </c>
      <c r="AQ233" t="str">
        <f t="shared" si="37"/>
        <v/>
      </c>
      <c r="AR233" t="str">
        <f t="shared" si="38"/>
        <v/>
      </c>
      <c r="AS233" t="str">
        <f t="shared" si="39"/>
        <v/>
      </c>
      <c r="AT233" t="str">
        <f t="shared" si="40"/>
        <v/>
      </c>
      <c r="BG233" t="str">
        <f t="shared" si="41"/>
        <v/>
      </c>
      <c r="BH233" t="str">
        <f t="shared" si="42"/>
        <v/>
      </c>
      <c r="BL233" t="str">
        <f>IFERROR(INDEX(_names_lookup!$C:$C,MATCH(BK233,_names_lookup!$A:$A,0)),"")</f>
        <v/>
      </c>
      <c r="BM233" t="str">
        <f>IFERROR(INDEX(_names_lookup!$B:$B,MATCH(BK233,_names_lookup!$A:$A,0)),"")</f>
        <v/>
      </c>
      <c r="BS233" t="str">
        <f t="shared" si="43"/>
        <v/>
      </c>
    </row>
    <row r="234" spans="15:71" x14ac:dyDescent="0.2">
      <c r="O234" t="str">
        <f>IFERROR(INDEX(_courses_lookup!$C:$C,MATCH(K234&amp;L234,_courses_lookup!$E:$E,0)),"")</f>
        <v/>
      </c>
      <c r="P234" t="str">
        <f>IFERROR(INDEX(_courses_lookup!$D:$D,MATCH(K234&amp;L234,_courses_lookup!$E:$E,0)),"")</f>
        <v/>
      </c>
      <c r="AG234" t="str">
        <f t="shared" si="33"/>
        <v/>
      </c>
      <c r="AI234" t="str">
        <f t="shared" si="34"/>
        <v/>
      </c>
      <c r="AL234" t="str">
        <f t="shared" si="35"/>
        <v/>
      </c>
      <c r="AN234" t="str">
        <f t="shared" si="36"/>
        <v/>
      </c>
      <c r="AQ234" t="str">
        <f t="shared" si="37"/>
        <v/>
      </c>
      <c r="AR234" t="str">
        <f t="shared" si="38"/>
        <v/>
      </c>
      <c r="AS234" t="str">
        <f t="shared" si="39"/>
        <v/>
      </c>
      <c r="AT234" t="str">
        <f t="shared" si="40"/>
        <v/>
      </c>
      <c r="BG234" t="str">
        <f t="shared" si="41"/>
        <v/>
      </c>
      <c r="BH234" t="str">
        <f t="shared" si="42"/>
        <v/>
      </c>
      <c r="BL234" t="str">
        <f>IFERROR(INDEX(_names_lookup!$C:$C,MATCH(BK234,_names_lookup!$A:$A,0)),"")</f>
        <v/>
      </c>
      <c r="BM234" t="str">
        <f>IFERROR(INDEX(_names_lookup!$B:$B,MATCH(BK234,_names_lookup!$A:$A,0)),"")</f>
        <v/>
      </c>
      <c r="BS234" t="str">
        <f t="shared" si="43"/>
        <v/>
      </c>
    </row>
    <row r="235" spans="15:71" x14ac:dyDescent="0.2">
      <c r="O235" t="str">
        <f>IFERROR(INDEX(_courses_lookup!$C:$C,MATCH(K235&amp;L235,_courses_lookup!$E:$E,0)),"")</f>
        <v/>
      </c>
      <c r="P235" t="str">
        <f>IFERROR(INDEX(_courses_lookup!$D:$D,MATCH(K235&amp;L235,_courses_lookup!$E:$E,0)),"")</f>
        <v/>
      </c>
      <c r="AG235" t="str">
        <f t="shared" si="33"/>
        <v/>
      </c>
      <c r="AI235" t="str">
        <f t="shared" si="34"/>
        <v/>
      </c>
      <c r="AL235" t="str">
        <f t="shared" si="35"/>
        <v/>
      </c>
      <c r="AN235" t="str">
        <f t="shared" si="36"/>
        <v/>
      </c>
      <c r="AQ235" t="str">
        <f t="shared" si="37"/>
        <v/>
      </c>
      <c r="AR235" t="str">
        <f t="shared" si="38"/>
        <v/>
      </c>
      <c r="AS235" t="str">
        <f t="shared" si="39"/>
        <v/>
      </c>
      <c r="AT235" t="str">
        <f t="shared" si="40"/>
        <v/>
      </c>
      <c r="BG235" t="str">
        <f t="shared" si="41"/>
        <v/>
      </c>
      <c r="BH235" t="str">
        <f t="shared" si="42"/>
        <v/>
      </c>
      <c r="BL235" t="str">
        <f>IFERROR(INDEX(_names_lookup!$C:$C,MATCH(BK235,_names_lookup!$A:$A,0)),"")</f>
        <v/>
      </c>
      <c r="BM235" t="str">
        <f>IFERROR(INDEX(_names_lookup!$B:$B,MATCH(BK235,_names_lookup!$A:$A,0)),"")</f>
        <v/>
      </c>
      <c r="BS235" t="str">
        <f t="shared" si="43"/>
        <v/>
      </c>
    </row>
    <row r="236" spans="15:71" x14ac:dyDescent="0.2">
      <c r="O236" t="str">
        <f>IFERROR(INDEX(_courses_lookup!$C:$C,MATCH(K236&amp;L236,_courses_lookup!$E:$E,0)),"")</f>
        <v/>
      </c>
      <c r="P236" t="str">
        <f>IFERROR(INDEX(_courses_lookup!$D:$D,MATCH(K236&amp;L236,_courses_lookup!$E:$E,0)),"")</f>
        <v/>
      </c>
      <c r="AG236" t="str">
        <f t="shared" si="33"/>
        <v/>
      </c>
      <c r="AI236" t="str">
        <f t="shared" si="34"/>
        <v/>
      </c>
      <c r="AL236" t="str">
        <f t="shared" si="35"/>
        <v/>
      </c>
      <c r="AN236" t="str">
        <f t="shared" si="36"/>
        <v/>
      </c>
      <c r="AQ236" t="str">
        <f t="shared" si="37"/>
        <v/>
      </c>
      <c r="AR236" t="str">
        <f t="shared" si="38"/>
        <v/>
      </c>
      <c r="AS236" t="str">
        <f t="shared" si="39"/>
        <v/>
      </c>
      <c r="AT236" t="str">
        <f t="shared" si="40"/>
        <v/>
      </c>
      <c r="BG236" t="str">
        <f t="shared" si="41"/>
        <v/>
      </c>
      <c r="BH236" t="str">
        <f t="shared" si="42"/>
        <v/>
      </c>
      <c r="BL236" t="str">
        <f>IFERROR(INDEX(_names_lookup!$C:$C,MATCH(BK236,_names_lookup!$A:$A,0)),"")</f>
        <v/>
      </c>
      <c r="BM236" t="str">
        <f>IFERROR(INDEX(_names_lookup!$B:$B,MATCH(BK236,_names_lookup!$A:$A,0)),"")</f>
        <v/>
      </c>
      <c r="BS236" t="str">
        <f t="shared" si="43"/>
        <v/>
      </c>
    </row>
    <row r="237" spans="15:71" x14ac:dyDescent="0.2">
      <c r="O237" t="str">
        <f>IFERROR(INDEX(_courses_lookup!$C:$C,MATCH(K237&amp;L237,_courses_lookup!$E:$E,0)),"")</f>
        <v/>
      </c>
      <c r="P237" t="str">
        <f>IFERROR(INDEX(_courses_lookup!$D:$D,MATCH(K237&amp;L237,_courses_lookup!$E:$E,0)),"")</f>
        <v/>
      </c>
      <c r="AG237" t="str">
        <f t="shared" si="33"/>
        <v/>
      </c>
      <c r="AI237" t="str">
        <f t="shared" si="34"/>
        <v/>
      </c>
      <c r="AL237" t="str">
        <f t="shared" si="35"/>
        <v/>
      </c>
      <c r="AN237" t="str">
        <f t="shared" si="36"/>
        <v/>
      </c>
      <c r="AQ237" t="str">
        <f t="shared" si="37"/>
        <v/>
      </c>
      <c r="AR237" t="str">
        <f t="shared" si="38"/>
        <v/>
      </c>
      <c r="AS237" t="str">
        <f t="shared" si="39"/>
        <v/>
      </c>
      <c r="AT237" t="str">
        <f t="shared" si="40"/>
        <v/>
      </c>
      <c r="BG237" t="str">
        <f t="shared" si="41"/>
        <v/>
      </c>
      <c r="BH237" t="str">
        <f t="shared" si="42"/>
        <v/>
      </c>
      <c r="BL237" t="str">
        <f>IFERROR(INDEX(_names_lookup!$C:$C,MATCH(BK237,_names_lookup!$A:$A,0)),"")</f>
        <v/>
      </c>
      <c r="BM237" t="str">
        <f>IFERROR(INDEX(_names_lookup!$B:$B,MATCH(BK237,_names_lookup!$A:$A,0)),"")</f>
        <v/>
      </c>
      <c r="BS237" t="str">
        <f t="shared" si="43"/>
        <v/>
      </c>
    </row>
    <row r="238" spans="15:71" x14ac:dyDescent="0.2">
      <c r="O238" t="str">
        <f>IFERROR(INDEX(_courses_lookup!$C:$C,MATCH(K238&amp;L238,_courses_lookup!$E:$E,0)),"")</f>
        <v/>
      </c>
      <c r="P238" t="str">
        <f>IFERROR(INDEX(_courses_lookup!$D:$D,MATCH(K238&amp;L238,_courses_lookup!$E:$E,0)),"")</f>
        <v/>
      </c>
      <c r="AG238" t="str">
        <f t="shared" si="33"/>
        <v/>
      </c>
      <c r="AI238" t="str">
        <f t="shared" si="34"/>
        <v/>
      </c>
      <c r="AL238" t="str">
        <f t="shared" si="35"/>
        <v/>
      </c>
      <c r="AN238" t="str">
        <f t="shared" si="36"/>
        <v/>
      </c>
      <c r="AQ238" t="str">
        <f t="shared" si="37"/>
        <v/>
      </c>
      <c r="AR238" t="str">
        <f t="shared" si="38"/>
        <v/>
      </c>
      <c r="AS238" t="str">
        <f t="shared" si="39"/>
        <v/>
      </c>
      <c r="AT238" t="str">
        <f t="shared" si="40"/>
        <v/>
      </c>
      <c r="BG238" t="str">
        <f t="shared" si="41"/>
        <v/>
      </c>
      <c r="BH238" t="str">
        <f t="shared" si="42"/>
        <v/>
      </c>
      <c r="BL238" t="str">
        <f>IFERROR(INDEX(_names_lookup!$C:$C,MATCH(BK238,_names_lookup!$A:$A,0)),"")</f>
        <v/>
      </c>
      <c r="BM238" t="str">
        <f>IFERROR(INDEX(_names_lookup!$B:$B,MATCH(BK238,_names_lookup!$A:$A,0)),"")</f>
        <v/>
      </c>
      <c r="BS238" t="str">
        <f t="shared" si="43"/>
        <v/>
      </c>
    </row>
    <row r="239" spans="15:71" x14ac:dyDescent="0.2">
      <c r="O239" t="str">
        <f>IFERROR(INDEX(_courses_lookup!$C:$C,MATCH(K239&amp;L239,_courses_lookup!$E:$E,0)),"")</f>
        <v/>
      </c>
      <c r="P239" t="str">
        <f>IFERROR(INDEX(_courses_lookup!$D:$D,MATCH(K239&amp;L239,_courses_lookup!$E:$E,0)),"")</f>
        <v/>
      </c>
      <c r="AG239" t="str">
        <f t="shared" si="33"/>
        <v/>
      </c>
      <c r="AI239" t="str">
        <f t="shared" si="34"/>
        <v/>
      </c>
      <c r="AL239" t="str">
        <f t="shared" si="35"/>
        <v/>
      </c>
      <c r="AN239" t="str">
        <f t="shared" si="36"/>
        <v/>
      </c>
      <c r="AQ239" t="str">
        <f t="shared" si="37"/>
        <v/>
      </c>
      <c r="AR239" t="str">
        <f t="shared" si="38"/>
        <v/>
      </c>
      <c r="AS239" t="str">
        <f t="shared" si="39"/>
        <v/>
      </c>
      <c r="AT239" t="str">
        <f t="shared" si="40"/>
        <v/>
      </c>
      <c r="BG239" t="str">
        <f t="shared" si="41"/>
        <v/>
      </c>
      <c r="BH239" t="str">
        <f t="shared" si="42"/>
        <v/>
      </c>
      <c r="BL239" t="str">
        <f>IFERROR(INDEX(_names_lookup!$C:$C,MATCH(BK239,_names_lookup!$A:$A,0)),"")</f>
        <v/>
      </c>
      <c r="BM239" t="str">
        <f>IFERROR(INDEX(_names_lookup!$B:$B,MATCH(BK239,_names_lookup!$A:$A,0)),"")</f>
        <v/>
      </c>
      <c r="BS239" t="str">
        <f t="shared" si="43"/>
        <v/>
      </c>
    </row>
    <row r="240" spans="15:71" x14ac:dyDescent="0.2">
      <c r="O240" t="str">
        <f>IFERROR(INDEX(_courses_lookup!$C:$C,MATCH(K240&amp;L240,_courses_lookup!$E:$E,0)),"")</f>
        <v/>
      </c>
      <c r="P240" t="str">
        <f>IFERROR(INDEX(_courses_lookup!$D:$D,MATCH(K240&amp;L240,_courses_lookup!$E:$E,0)),"")</f>
        <v/>
      </c>
      <c r="AG240" t="str">
        <f t="shared" si="33"/>
        <v/>
      </c>
      <c r="AI240" t="str">
        <f t="shared" si="34"/>
        <v/>
      </c>
      <c r="AL240" t="str">
        <f t="shared" si="35"/>
        <v/>
      </c>
      <c r="AN240" t="str">
        <f t="shared" si="36"/>
        <v/>
      </c>
      <c r="AQ240" t="str">
        <f t="shared" si="37"/>
        <v/>
      </c>
      <c r="AR240" t="str">
        <f t="shared" si="38"/>
        <v/>
      </c>
      <c r="AS240" t="str">
        <f t="shared" si="39"/>
        <v/>
      </c>
      <c r="AT240" t="str">
        <f t="shared" si="40"/>
        <v/>
      </c>
      <c r="BG240" t="str">
        <f t="shared" si="41"/>
        <v/>
      </c>
      <c r="BH240" t="str">
        <f t="shared" si="42"/>
        <v/>
      </c>
      <c r="BL240" t="str">
        <f>IFERROR(INDEX(_names_lookup!$C:$C,MATCH(BK240,_names_lookup!$A:$A,0)),"")</f>
        <v/>
      </c>
      <c r="BM240" t="str">
        <f>IFERROR(INDEX(_names_lookup!$B:$B,MATCH(BK240,_names_lookup!$A:$A,0)),"")</f>
        <v/>
      </c>
      <c r="BS240" t="str">
        <f t="shared" si="43"/>
        <v/>
      </c>
    </row>
    <row r="241" spans="15:71" x14ac:dyDescent="0.2">
      <c r="O241" t="str">
        <f>IFERROR(INDEX(_courses_lookup!$C:$C,MATCH(K241&amp;L241,_courses_lookup!$E:$E,0)),"")</f>
        <v/>
      </c>
      <c r="P241" t="str">
        <f>IFERROR(INDEX(_courses_lookup!$D:$D,MATCH(K241&amp;L241,_courses_lookup!$E:$E,0)),"")</f>
        <v/>
      </c>
      <c r="AG241" t="str">
        <f t="shared" si="33"/>
        <v/>
      </c>
      <c r="AI241" t="str">
        <f t="shared" si="34"/>
        <v/>
      </c>
      <c r="AL241" t="str">
        <f t="shared" si="35"/>
        <v/>
      </c>
      <c r="AN241" t="str">
        <f t="shared" si="36"/>
        <v/>
      </c>
      <c r="AQ241" t="str">
        <f t="shared" si="37"/>
        <v/>
      </c>
      <c r="AR241" t="str">
        <f t="shared" si="38"/>
        <v/>
      </c>
      <c r="AS241" t="str">
        <f t="shared" si="39"/>
        <v/>
      </c>
      <c r="AT241" t="str">
        <f t="shared" si="40"/>
        <v/>
      </c>
      <c r="BG241" t="str">
        <f t="shared" si="41"/>
        <v/>
      </c>
      <c r="BH241" t="str">
        <f t="shared" si="42"/>
        <v/>
      </c>
      <c r="BL241" t="str">
        <f>IFERROR(INDEX(_names_lookup!$C:$C,MATCH(BK241,_names_lookup!$A:$A,0)),"")</f>
        <v/>
      </c>
      <c r="BM241" t="str">
        <f>IFERROR(INDEX(_names_lookup!$B:$B,MATCH(BK241,_names_lookup!$A:$A,0)),"")</f>
        <v/>
      </c>
      <c r="BS241" t="str">
        <f t="shared" si="43"/>
        <v/>
      </c>
    </row>
    <row r="242" spans="15:71" x14ac:dyDescent="0.2">
      <c r="O242" t="str">
        <f>IFERROR(INDEX(_courses_lookup!$C:$C,MATCH(K242&amp;L242,_courses_lookup!$E:$E,0)),"")</f>
        <v/>
      </c>
      <c r="P242" t="str">
        <f>IFERROR(INDEX(_courses_lookup!$D:$D,MATCH(K242&amp;L242,_courses_lookup!$E:$E,0)),"")</f>
        <v/>
      </c>
      <c r="AG242" t="str">
        <f t="shared" si="33"/>
        <v/>
      </c>
      <c r="AI242" t="str">
        <f t="shared" si="34"/>
        <v/>
      </c>
      <c r="AL242" t="str">
        <f t="shared" si="35"/>
        <v/>
      </c>
      <c r="AN242" t="str">
        <f t="shared" si="36"/>
        <v/>
      </c>
      <c r="AQ242" t="str">
        <f t="shared" si="37"/>
        <v/>
      </c>
      <c r="AR242" t="str">
        <f t="shared" si="38"/>
        <v/>
      </c>
      <c r="AS242" t="str">
        <f t="shared" si="39"/>
        <v/>
      </c>
      <c r="AT242" t="str">
        <f t="shared" si="40"/>
        <v/>
      </c>
      <c r="BG242" t="str">
        <f t="shared" si="41"/>
        <v/>
      </c>
      <c r="BH242" t="str">
        <f t="shared" si="42"/>
        <v/>
      </c>
      <c r="BL242" t="str">
        <f>IFERROR(INDEX(_names_lookup!$C:$C,MATCH(BK242,_names_lookup!$A:$A,0)),"")</f>
        <v/>
      </c>
      <c r="BM242" t="str">
        <f>IFERROR(INDEX(_names_lookup!$B:$B,MATCH(BK242,_names_lookup!$A:$A,0)),"")</f>
        <v/>
      </c>
      <c r="BS242" t="str">
        <f t="shared" si="43"/>
        <v/>
      </c>
    </row>
    <row r="243" spans="15:71" x14ac:dyDescent="0.2">
      <c r="O243" t="str">
        <f>IFERROR(INDEX(_courses_lookup!$C:$C,MATCH(K243&amp;L243,_courses_lookup!$E:$E,0)),"")</f>
        <v/>
      </c>
      <c r="P243" t="str">
        <f>IFERROR(INDEX(_courses_lookup!$D:$D,MATCH(K243&amp;L243,_courses_lookup!$E:$E,0)),"")</f>
        <v/>
      </c>
      <c r="AG243" t="str">
        <f t="shared" si="33"/>
        <v/>
      </c>
      <c r="AI243" t="str">
        <f t="shared" si="34"/>
        <v/>
      </c>
      <c r="AL243" t="str">
        <f t="shared" si="35"/>
        <v/>
      </c>
      <c r="AN243" t="str">
        <f t="shared" si="36"/>
        <v/>
      </c>
      <c r="AQ243" t="str">
        <f t="shared" si="37"/>
        <v/>
      </c>
      <c r="AR243" t="str">
        <f t="shared" si="38"/>
        <v/>
      </c>
      <c r="AS243" t="str">
        <f t="shared" si="39"/>
        <v/>
      </c>
      <c r="AT243" t="str">
        <f t="shared" si="40"/>
        <v/>
      </c>
      <c r="BG243" t="str">
        <f t="shared" si="41"/>
        <v/>
      </c>
      <c r="BH243" t="str">
        <f t="shared" si="42"/>
        <v/>
      </c>
      <c r="BL243" t="str">
        <f>IFERROR(INDEX(_names_lookup!$C:$C,MATCH(BK243,_names_lookup!$A:$A,0)),"")</f>
        <v/>
      </c>
      <c r="BM243" t="str">
        <f>IFERROR(INDEX(_names_lookup!$B:$B,MATCH(BK243,_names_lookup!$A:$A,0)),"")</f>
        <v/>
      </c>
      <c r="BS243" t="str">
        <f t="shared" si="43"/>
        <v/>
      </c>
    </row>
    <row r="244" spans="15:71" x14ac:dyDescent="0.2">
      <c r="O244" t="str">
        <f>IFERROR(INDEX(_courses_lookup!$C:$C,MATCH(K244&amp;L244,_courses_lookup!$E:$E,0)),"")</f>
        <v/>
      </c>
      <c r="P244" t="str">
        <f>IFERROR(INDEX(_courses_lookup!$D:$D,MATCH(K244&amp;L244,_courses_lookup!$E:$E,0)),"")</f>
        <v/>
      </c>
      <c r="AG244" t="str">
        <f t="shared" si="33"/>
        <v/>
      </c>
      <c r="AI244" t="str">
        <f t="shared" si="34"/>
        <v/>
      </c>
      <c r="AL244" t="str">
        <f t="shared" si="35"/>
        <v/>
      </c>
      <c r="AN244" t="str">
        <f t="shared" si="36"/>
        <v/>
      </c>
      <c r="AQ244" t="str">
        <f t="shared" si="37"/>
        <v/>
      </c>
      <c r="AR244" t="str">
        <f t="shared" si="38"/>
        <v/>
      </c>
      <c r="AS244" t="str">
        <f t="shared" si="39"/>
        <v/>
      </c>
      <c r="AT244" t="str">
        <f t="shared" si="40"/>
        <v/>
      </c>
      <c r="BG244" t="str">
        <f t="shared" si="41"/>
        <v/>
      </c>
      <c r="BH244" t="str">
        <f t="shared" si="42"/>
        <v/>
      </c>
      <c r="BL244" t="str">
        <f>IFERROR(INDEX(_names_lookup!$C:$C,MATCH(BK244,_names_lookup!$A:$A,0)),"")</f>
        <v/>
      </c>
      <c r="BM244" t="str">
        <f>IFERROR(INDEX(_names_lookup!$B:$B,MATCH(BK244,_names_lookup!$A:$A,0)),"")</f>
        <v/>
      </c>
      <c r="BS244" t="str">
        <f t="shared" si="43"/>
        <v/>
      </c>
    </row>
    <row r="245" spans="15:71" x14ac:dyDescent="0.2">
      <c r="O245" t="str">
        <f>IFERROR(INDEX(_courses_lookup!$C:$C,MATCH(K245&amp;L245,_courses_lookup!$E:$E,0)),"")</f>
        <v/>
      </c>
      <c r="P245" t="str">
        <f>IFERROR(INDEX(_courses_lookup!$D:$D,MATCH(K245&amp;L245,_courses_lookup!$E:$E,0)),"")</f>
        <v/>
      </c>
      <c r="AG245" t="str">
        <f t="shared" si="33"/>
        <v/>
      </c>
      <c r="AI245" t="str">
        <f t="shared" si="34"/>
        <v/>
      </c>
      <c r="AL245" t="str">
        <f t="shared" si="35"/>
        <v/>
      </c>
      <c r="AN245" t="str">
        <f t="shared" si="36"/>
        <v/>
      </c>
      <c r="AQ245" t="str">
        <f t="shared" si="37"/>
        <v/>
      </c>
      <c r="AR245" t="str">
        <f t="shared" si="38"/>
        <v/>
      </c>
      <c r="AS245" t="str">
        <f t="shared" si="39"/>
        <v/>
      </c>
      <c r="AT245" t="str">
        <f t="shared" si="40"/>
        <v/>
      </c>
      <c r="BG245" t="str">
        <f t="shared" si="41"/>
        <v/>
      </c>
      <c r="BH245" t="str">
        <f t="shared" si="42"/>
        <v/>
      </c>
      <c r="BL245" t="str">
        <f>IFERROR(INDEX(_names_lookup!$C:$C,MATCH(BK245,_names_lookup!$A:$A,0)),"")</f>
        <v/>
      </c>
      <c r="BM245" t="str">
        <f>IFERROR(INDEX(_names_lookup!$B:$B,MATCH(BK245,_names_lookup!$A:$A,0)),"")</f>
        <v/>
      </c>
      <c r="BS245" t="str">
        <f t="shared" si="43"/>
        <v/>
      </c>
    </row>
    <row r="246" spans="15:71" x14ac:dyDescent="0.2">
      <c r="O246" t="str">
        <f>IFERROR(INDEX(_courses_lookup!$C:$C,MATCH(K246&amp;L246,_courses_lookup!$E:$E,0)),"")</f>
        <v/>
      </c>
      <c r="P246" t="str">
        <f>IFERROR(INDEX(_courses_lookup!$D:$D,MATCH(K246&amp;L246,_courses_lookup!$E:$E,0)),"")</f>
        <v/>
      </c>
      <c r="AG246" t="str">
        <f t="shared" si="33"/>
        <v/>
      </c>
      <c r="AI246" t="str">
        <f t="shared" si="34"/>
        <v/>
      </c>
      <c r="AL246" t="str">
        <f t="shared" si="35"/>
        <v/>
      </c>
      <c r="AN246" t="str">
        <f t="shared" si="36"/>
        <v/>
      </c>
      <c r="AQ246" t="str">
        <f t="shared" si="37"/>
        <v/>
      </c>
      <c r="AR246" t="str">
        <f t="shared" si="38"/>
        <v/>
      </c>
      <c r="AS246" t="str">
        <f t="shared" si="39"/>
        <v/>
      </c>
      <c r="AT246" t="str">
        <f t="shared" si="40"/>
        <v/>
      </c>
      <c r="BG246" t="str">
        <f t="shared" si="41"/>
        <v/>
      </c>
      <c r="BH246" t="str">
        <f t="shared" si="42"/>
        <v/>
      </c>
      <c r="BL246" t="str">
        <f>IFERROR(INDEX(_names_lookup!$C:$C,MATCH(BK246,_names_lookup!$A:$A,0)),"")</f>
        <v/>
      </c>
      <c r="BM246" t="str">
        <f>IFERROR(INDEX(_names_lookup!$B:$B,MATCH(BK246,_names_lookup!$A:$A,0)),"")</f>
        <v/>
      </c>
      <c r="BS246" t="str">
        <f t="shared" si="43"/>
        <v/>
      </c>
    </row>
    <row r="247" spans="15:71" x14ac:dyDescent="0.2">
      <c r="O247" t="str">
        <f>IFERROR(INDEX(_courses_lookup!$C:$C,MATCH(K247&amp;L247,_courses_lookup!$E:$E,0)),"")</f>
        <v/>
      </c>
      <c r="P247" t="str">
        <f>IFERROR(INDEX(_courses_lookup!$D:$D,MATCH(K247&amp;L247,_courses_lookup!$E:$E,0)),"")</f>
        <v/>
      </c>
      <c r="AG247" t="str">
        <f t="shared" si="33"/>
        <v/>
      </c>
      <c r="AI247" t="str">
        <f t="shared" si="34"/>
        <v/>
      </c>
      <c r="AL247" t="str">
        <f t="shared" si="35"/>
        <v/>
      </c>
      <c r="AN247" t="str">
        <f t="shared" si="36"/>
        <v/>
      </c>
      <c r="AQ247" t="str">
        <f t="shared" si="37"/>
        <v/>
      </c>
      <c r="AR247" t="str">
        <f t="shared" si="38"/>
        <v/>
      </c>
      <c r="AS247" t="str">
        <f t="shared" si="39"/>
        <v/>
      </c>
      <c r="AT247" t="str">
        <f t="shared" si="40"/>
        <v/>
      </c>
      <c r="BG247" t="str">
        <f t="shared" si="41"/>
        <v/>
      </c>
      <c r="BH247" t="str">
        <f t="shared" si="42"/>
        <v/>
      </c>
      <c r="BL247" t="str">
        <f>IFERROR(INDEX(_names_lookup!$C:$C,MATCH(BK247,_names_lookup!$A:$A,0)),"")</f>
        <v/>
      </c>
      <c r="BM247" t="str">
        <f>IFERROR(INDEX(_names_lookup!$B:$B,MATCH(BK247,_names_lookup!$A:$A,0)),"")</f>
        <v/>
      </c>
      <c r="BS247" t="str">
        <f t="shared" si="43"/>
        <v/>
      </c>
    </row>
    <row r="248" spans="15:71" x14ac:dyDescent="0.2">
      <c r="O248" t="str">
        <f>IFERROR(INDEX(_courses_lookup!$C:$C,MATCH(K248&amp;L248,_courses_lookup!$E:$E,0)),"")</f>
        <v/>
      </c>
      <c r="P248" t="str">
        <f>IFERROR(INDEX(_courses_lookup!$D:$D,MATCH(K248&amp;L248,_courses_lookup!$E:$E,0)),"")</f>
        <v/>
      </c>
      <c r="AG248" t="str">
        <f t="shared" si="33"/>
        <v/>
      </c>
      <c r="AI248" t="str">
        <f t="shared" si="34"/>
        <v/>
      </c>
      <c r="AL248" t="str">
        <f t="shared" si="35"/>
        <v/>
      </c>
      <c r="AN248" t="str">
        <f t="shared" si="36"/>
        <v/>
      </c>
      <c r="AQ248" t="str">
        <f t="shared" si="37"/>
        <v/>
      </c>
      <c r="AR248" t="str">
        <f t="shared" si="38"/>
        <v/>
      </c>
      <c r="AS248" t="str">
        <f t="shared" si="39"/>
        <v/>
      </c>
      <c r="AT248" t="str">
        <f t="shared" si="40"/>
        <v/>
      </c>
      <c r="BG248" t="str">
        <f t="shared" si="41"/>
        <v/>
      </c>
      <c r="BH248" t="str">
        <f t="shared" si="42"/>
        <v/>
      </c>
      <c r="BL248" t="str">
        <f>IFERROR(INDEX(_names_lookup!$C:$C,MATCH(BK248,_names_lookup!$A:$A,0)),"")</f>
        <v/>
      </c>
      <c r="BM248" t="str">
        <f>IFERROR(INDEX(_names_lookup!$B:$B,MATCH(BK248,_names_lookup!$A:$A,0)),"")</f>
        <v/>
      </c>
      <c r="BS248" t="str">
        <f t="shared" si="43"/>
        <v/>
      </c>
    </row>
    <row r="249" spans="15:71" x14ac:dyDescent="0.2">
      <c r="O249" t="str">
        <f>IFERROR(INDEX(_courses_lookup!$C:$C,MATCH(K249&amp;L249,_courses_lookup!$E:$E,0)),"")</f>
        <v/>
      </c>
      <c r="P249" t="str">
        <f>IFERROR(INDEX(_courses_lookup!$D:$D,MATCH(K249&amp;L249,_courses_lookup!$E:$E,0)),"")</f>
        <v/>
      </c>
      <c r="AG249" t="str">
        <f t="shared" si="33"/>
        <v/>
      </c>
      <c r="AI249" t="str">
        <f t="shared" si="34"/>
        <v/>
      </c>
      <c r="AL249" t="str">
        <f t="shared" si="35"/>
        <v/>
      </c>
      <c r="AN249" t="str">
        <f t="shared" si="36"/>
        <v/>
      </c>
      <c r="AQ249" t="str">
        <f t="shared" si="37"/>
        <v/>
      </c>
      <c r="AR249" t="str">
        <f t="shared" si="38"/>
        <v/>
      </c>
      <c r="AS249" t="str">
        <f t="shared" si="39"/>
        <v/>
      </c>
      <c r="AT249" t="str">
        <f t="shared" si="40"/>
        <v/>
      </c>
      <c r="BG249" t="str">
        <f t="shared" si="41"/>
        <v/>
      </c>
      <c r="BH249" t="str">
        <f t="shared" si="42"/>
        <v/>
      </c>
      <c r="BL249" t="str">
        <f>IFERROR(INDEX(_names_lookup!$C:$C,MATCH(BK249,_names_lookup!$A:$A,0)),"")</f>
        <v/>
      </c>
      <c r="BM249" t="str">
        <f>IFERROR(INDEX(_names_lookup!$B:$B,MATCH(BK249,_names_lookup!$A:$A,0)),"")</f>
        <v/>
      </c>
      <c r="BS249" t="str">
        <f t="shared" si="43"/>
        <v/>
      </c>
    </row>
    <row r="250" spans="15:71" x14ac:dyDescent="0.2">
      <c r="O250" t="str">
        <f>IFERROR(INDEX(_courses_lookup!$C:$C,MATCH(K250&amp;L250,_courses_lookup!$E:$E,0)),"")</f>
        <v/>
      </c>
      <c r="P250" t="str">
        <f>IFERROR(INDEX(_courses_lookup!$D:$D,MATCH(K250&amp;L250,_courses_lookup!$E:$E,0)),"")</f>
        <v/>
      </c>
      <c r="AG250" t="str">
        <f t="shared" si="33"/>
        <v/>
      </c>
      <c r="AI250" t="str">
        <f t="shared" si="34"/>
        <v/>
      </c>
      <c r="AL250" t="str">
        <f t="shared" si="35"/>
        <v/>
      </c>
      <c r="AN250" t="str">
        <f t="shared" si="36"/>
        <v/>
      </c>
      <c r="AQ250" t="str">
        <f t="shared" si="37"/>
        <v/>
      </c>
      <c r="AR250" t="str">
        <f t="shared" si="38"/>
        <v/>
      </c>
      <c r="AS250" t="str">
        <f t="shared" si="39"/>
        <v/>
      </c>
      <c r="AT250" t="str">
        <f t="shared" si="40"/>
        <v/>
      </c>
      <c r="BG250" t="str">
        <f t="shared" si="41"/>
        <v/>
      </c>
      <c r="BH250" t="str">
        <f t="shared" si="42"/>
        <v/>
      </c>
      <c r="BL250" t="str">
        <f>IFERROR(INDEX(_names_lookup!$C:$C,MATCH(BK250,_names_lookup!$A:$A,0)),"")</f>
        <v/>
      </c>
      <c r="BM250" t="str">
        <f>IFERROR(INDEX(_names_lookup!$B:$B,MATCH(BK250,_names_lookup!$A:$A,0)),"")</f>
        <v/>
      </c>
      <c r="BS250" t="str">
        <f t="shared" si="43"/>
        <v/>
      </c>
    </row>
    <row r="251" spans="15:71" x14ac:dyDescent="0.2">
      <c r="O251" t="str">
        <f>IFERROR(INDEX(_courses_lookup!$C:$C,MATCH(K251&amp;L251,_courses_lookup!$E:$E,0)),"")</f>
        <v/>
      </c>
      <c r="P251" t="str">
        <f>IFERROR(INDEX(_courses_lookup!$D:$D,MATCH(K251&amp;L251,_courses_lookup!$E:$E,0)),"")</f>
        <v/>
      </c>
      <c r="AG251" t="str">
        <f t="shared" si="33"/>
        <v/>
      </c>
      <c r="AI251" t="str">
        <f t="shared" si="34"/>
        <v/>
      </c>
      <c r="AL251" t="str">
        <f t="shared" si="35"/>
        <v/>
      </c>
      <c r="AN251" t="str">
        <f t="shared" si="36"/>
        <v/>
      </c>
      <c r="AQ251" t="str">
        <f t="shared" si="37"/>
        <v/>
      </c>
      <c r="AR251" t="str">
        <f t="shared" si="38"/>
        <v/>
      </c>
      <c r="AS251" t="str">
        <f t="shared" si="39"/>
        <v/>
      </c>
      <c r="AT251" t="str">
        <f t="shared" si="40"/>
        <v/>
      </c>
      <c r="BG251" t="str">
        <f t="shared" si="41"/>
        <v/>
      </c>
      <c r="BH251" t="str">
        <f t="shared" si="42"/>
        <v/>
      </c>
      <c r="BL251" t="str">
        <f>IFERROR(INDEX(_names_lookup!$C:$C,MATCH(BK251,_names_lookup!$A:$A,0)),"")</f>
        <v/>
      </c>
      <c r="BM251" t="str">
        <f>IFERROR(INDEX(_names_lookup!$B:$B,MATCH(BK251,_names_lookup!$A:$A,0)),"")</f>
        <v/>
      </c>
      <c r="BS251" t="str">
        <f t="shared" si="43"/>
        <v/>
      </c>
    </row>
    <row r="252" spans="15:71" x14ac:dyDescent="0.2">
      <c r="O252" t="str">
        <f>IFERROR(INDEX(_courses_lookup!$C:$C,MATCH(K252&amp;L252,_courses_lookup!$E:$E,0)),"")</f>
        <v/>
      </c>
      <c r="P252" t="str">
        <f>IFERROR(INDEX(_courses_lookup!$D:$D,MATCH(K252&amp;L252,_courses_lookup!$E:$E,0)),"")</f>
        <v/>
      </c>
      <c r="AG252" t="str">
        <f t="shared" si="33"/>
        <v/>
      </c>
      <c r="AI252" t="str">
        <f t="shared" si="34"/>
        <v/>
      </c>
      <c r="AL252" t="str">
        <f t="shared" si="35"/>
        <v/>
      </c>
      <c r="AN252" t="str">
        <f t="shared" si="36"/>
        <v/>
      </c>
      <c r="AQ252" t="str">
        <f t="shared" si="37"/>
        <v/>
      </c>
      <c r="AR252" t="str">
        <f t="shared" si="38"/>
        <v/>
      </c>
      <c r="AS252" t="str">
        <f t="shared" si="39"/>
        <v/>
      </c>
      <c r="AT252" t="str">
        <f t="shared" si="40"/>
        <v/>
      </c>
      <c r="BG252" t="str">
        <f t="shared" si="41"/>
        <v/>
      </c>
      <c r="BH252" t="str">
        <f t="shared" si="42"/>
        <v/>
      </c>
      <c r="BL252" t="str">
        <f>IFERROR(INDEX(_names_lookup!$C:$C,MATCH(BK252,_names_lookup!$A:$A,0)),"")</f>
        <v/>
      </c>
      <c r="BM252" t="str">
        <f>IFERROR(INDEX(_names_lookup!$B:$B,MATCH(BK252,_names_lookup!$A:$A,0)),"")</f>
        <v/>
      </c>
      <c r="BS252" t="str">
        <f t="shared" si="43"/>
        <v/>
      </c>
    </row>
    <row r="253" spans="15:71" x14ac:dyDescent="0.2">
      <c r="O253" t="str">
        <f>IFERROR(INDEX(_courses_lookup!$C:$C,MATCH(K253&amp;L253,_courses_lookup!$E:$E,0)),"")</f>
        <v/>
      </c>
      <c r="P253" t="str">
        <f>IFERROR(INDEX(_courses_lookup!$D:$D,MATCH(K253&amp;L253,_courses_lookup!$E:$E,0)),"")</f>
        <v/>
      </c>
      <c r="AG253" t="str">
        <f t="shared" si="33"/>
        <v/>
      </c>
      <c r="AI253" t="str">
        <f t="shared" si="34"/>
        <v/>
      </c>
      <c r="AL253" t="str">
        <f t="shared" si="35"/>
        <v/>
      </c>
      <c r="AN253" t="str">
        <f t="shared" si="36"/>
        <v/>
      </c>
      <c r="AQ253" t="str">
        <f t="shared" si="37"/>
        <v/>
      </c>
      <c r="AR253" t="str">
        <f t="shared" si="38"/>
        <v/>
      </c>
      <c r="AS253" t="str">
        <f t="shared" si="39"/>
        <v/>
      </c>
      <c r="AT253" t="str">
        <f t="shared" si="40"/>
        <v/>
      </c>
      <c r="BG253" t="str">
        <f t="shared" si="41"/>
        <v/>
      </c>
      <c r="BH253" t="str">
        <f t="shared" si="42"/>
        <v/>
      </c>
      <c r="BL253" t="str">
        <f>IFERROR(INDEX(_names_lookup!$C:$C,MATCH(BK253,_names_lookup!$A:$A,0)),"")</f>
        <v/>
      </c>
      <c r="BM253" t="str">
        <f>IFERROR(INDEX(_names_lookup!$B:$B,MATCH(BK253,_names_lookup!$A:$A,0)),"")</f>
        <v/>
      </c>
      <c r="BS253" t="str">
        <f t="shared" si="43"/>
        <v/>
      </c>
    </row>
    <row r="254" spans="15:71" x14ac:dyDescent="0.2">
      <c r="O254" t="str">
        <f>IFERROR(INDEX(_courses_lookup!$C:$C,MATCH(K254&amp;L254,_courses_lookup!$E:$E,0)),"")</f>
        <v/>
      </c>
      <c r="P254" t="str">
        <f>IFERROR(INDEX(_courses_lookup!$D:$D,MATCH(K254&amp;L254,_courses_lookup!$E:$E,0)),"")</f>
        <v/>
      </c>
      <c r="AG254" t="str">
        <f t="shared" si="33"/>
        <v/>
      </c>
      <c r="AI254" t="str">
        <f t="shared" si="34"/>
        <v/>
      </c>
      <c r="AL254" t="str">
        <f t="shared" si="35"/>
        <v/>
      </c>
      <c r="AN254" t="str">
        <f t="shared" si="36"/>
        <v/>
      </c>
      <c r="AQ254" t="str">
        <f t="shared" si="37"/>
        <v/>
      </c>
      <c r="AR254" t="str">
        <f t="shared" si="38"/>
        <v/>
      </c>
      <c r="AS254" t="str">
        <f t="shared" si="39"/>
        <v/>
      </c>
      <c r="AT254" t="str">
        <f t="shared" si="40"/>
        <v/>
      </c>
      <c r="BG254" t="str">
        <f t="shared" si="41"/>
        <v/>
      </c>
      <c r="BH254" t="str">
        <f t="shared" si="42"/>
        <v/>
      </c>
      <c r="BL254" t="str">
        <f>IFERROR(INDEX(_names_lookup!$C:$C,MATCH(BK254,_names_lookup!$A:$A,0)),"")</f>
        <v/>
      </c>
      <c r="BM254" t="str">
        <f>IFERROR(INDEX(_names_lookup!$B:$B,MATCH(BK254,_names_lookup!$A:$A,0)),"")</f>
        <v/>
      </c>
      <c r="BS254" t="str">
        <f t="shared" si="43"/>
        <v/>
      </c>
    </row>
    <row r="255" spans="15:71" x14ac:dyDescent="0.2">
      <c r="O255" t="str">
        <f>IFERROR(INDEX(_courses_lookup!$C:$C,MATCH(K255&amp;L255,_courses_lookup!$E:$E,0)),"")</f>
        <v/>
      </c>
      <c r="P255" t="str">
        <f>IFERROR(INDEX(_courses_lookup!$D:$D,MATCH(K255&amp;L255,_courses_lookup!$E:$E,0)),"")</f>
        <v/>
      </c>
      <c r="AG255" t="str">
        <f t="shared" si="33"/>
        <v/>
      </c>
      <c r="AI255" t="str">
        <f t="shared" si="34"/>
        <v/>
      </c>
      <c r="AL255" t="str">
        <f t="shared" si="35"/>
        <v/>
      </c>
      <c r="AN255" t="str">
        <f t="shared" si="36"/>
        <v/>
      </c>
      <c r="AQ255" t="str">
        <f t="shared" si="37"/>
        <v/>
      </c>
      <c r="AR255" t="str">
        <f t="shared" si="38"/>
        <v/>
      </c>
      <c r="AS255" t="str">
        <f t="shared" si="39"/>
        <v/>
      </c>
      <c r="AT255" t="str">
        <f t="shared" si="40"/>
        <v/>
      </c>
      <c r="BG255" t="str">
        <f t="shared" si="41"/>
        <v/>
      </c>
      <c r="BH255" t="str">
        <f t="shared" si="42"/>
        <v/>
      </c>
      <c r="BL255" t="str">
        <f>IFERROR(INDEX(_names_lookup!$C:$C,MATCH(BK255,_names_lookup!$A:$A,0)),"")</f>
        <v/>
      </c>
      <c r="BM255" t="str">
        <f>IFERROR(INDEX(_names_lookup!$B:$B,MATCH(BK255,_names_lookup!$A:$A,0)),"")</f>
        <v/>
      </c>
      <c r="BS255" t="str">
        <f t="shared" si="43"/>
        <v/>
      </c>
    </row>
    <row r="256" spans="15:71" x14ac:dyDescent="0.2">
      <c r="O256" t="str">
        <f>IFERROR(INDEX(_courses_lookup!$C:$C,MATCH(K256&amp;L256,_courses_lookup!$E:$E,0)),"")</f>
        <v/>
      </c>
      <c r="P256" t="str">
        <f>IFERROR(INDEX(_courses_lookup!$D:$D,MATCH(K256&amp;L256,_courses_lookup!$E:$E,0)),"")</f>
        <v/>
      </c>
      <c r="AG256" t="str">
        <f t="shared" si="33"/>
        <v/>
      </c>
      <c r="AI256" t="str">
        <f t="shared" si="34"/>
        <v/>
      </c>
      <c r="AL256" t="str">
        <f t="shared" si="35"/>
        <v/>
      </c>
      <c r="AN256" t="str">
        <f t="shared" si="36"/>
        <v/>
      </c>
      <c r="AQ256" t="str">
        <f t="shared" si="37"/>
        <v/>
      </c>
      <c r="AR256" t="str">
        <f t="shared" si="38"/>
        <v/>
      </c>
      <c r="AS256" t="str">
        <f t="shared" si="39"/>
        <v/>
      </c>
      <c r="AT256" t="str">
        <f t="shared" si="40"/>
        <v/>
      </c>
      <c r="BG256" t="str">
        <f t="shared" si="41"/>
        <v/>
      </c>
      <c r="BH256" t="str">
        <f t="shared" si="42"/>
        <v/>
      </c>
      <c r="BL256" t="str">
        <f>IFERROR(INDEX(_names_lookup!$C:$C,MATCH(BK256,_names_lookup!$A:$A,0)),"")</f>
        <v/>
      </c>
      <c r="BM256" t="str">
        <f>IFERROR(INDEX(_names_lookup!$B:$B,MATCH(BK256,_names_lookup!$A:$A,0)),"")</f>
        <v/>
      </c>
      <c r="BS256" t="str">
        <f t="shared" si="43"/>
        <v/>
      </c>
    </row>
    <row r="257" spans="15:71" x14ac:dyDescent="0.2">
      <c r="O257" t="str">
        <f>IFERROR(INDEX(_courses_lookup!$C:$C,MATCH(K257&amp;L257,_courses_lookup!$E:$E,0)),"")</f>
        <v/>
      </c>
      <c r="P257" t="str">
        <f>IFERROR(INDEX(_courses_lookup!$D:$D,MATCH(K257&amp;L257,_courses_lookup!$E:$E,0)),"")</f>
        <v/>
      </c>
      <c r="AG257" t="str">
        <f t="shared" si="33"/>
        <v/>
      </c>
      <c r="AI257" t="str">
        <f t="shared" si="34"/>
        <v/>
      </c>
      <c r="AL257" t="str">
        <f t="shared" si="35"/>
        <v/>
      </c>
      <c r="AN257" t="str">
        <f t="shared" si="36"/>
        <v/>
      </c>
      <c r="AQ257" t="str">
        <f t="shared" si="37"/>
        <v/>
      </c>
      <c r="AR257" t="str">
        <f t="shared" si="38"/>
        <v/>
      </c>
      <c r="AS257" t="str">
        <f t="shared" si="39"/>
        <v/>
      </c>
      <c r="AT257" t="str">
        <f t="shared" si="40"/>
        <v/>
      </c>
      <c r="BG257" t="str">
        <f t="shared" si="41"/>
        <v/>
      </c>
      <c r="BH257" t="str">
        <f t="shared" si="42"/>
        <v/>
      </c>
      <c r="BL257" t="str">
        <f>IFERROR(INDEX(_names_lookup!$C:$C,MATCH(BK257,_names_lookup!$A:$A,0)),"")</f>
        <v/>
      </c>
      <c r="BM257" t="str">
        <f>IFERROR(INDEX(_names_lookup!$B:$B,MATCH(BK257,_names_lookup!$A:$A,0)),"")</f>
        <v/>
      </c>
      <c r="BS257" t="str">
        <f t="shared" si="43"/>
        <v/>
      </c>
    </row>
    <row r="258" spans="15:71" x14ac:dyDescent="0.2">
      <c r="O258" t="str">
        <f>IFERROR(INDEX(_courses_lookup!$C:$C,MATCH(K258&amp;L258,_courses_lookup!$E:$E,0)),"")</f>
        <v/>
      </c>
      <c r="P258" t="str">
        <f>IFERROR(INDEX(_courses_lookup!$D:$D,MATCH(K258&amp;L258,_courses_lookup!$E:$E,0)),"")</f>
        <v/>
      </c>
      <c r="AG258" t="str">
        <f t="shared" ref="AG258:AG321" si="44">IF(AND(AE258&lt;&gt;"",AF258&lt;&gt;""),ROUNDUP((AF258-AE258)/7,0),"")</f>
        <v/>
      </c>
      <c r="AI258" t="str">
        <f t="shared" ref="AI258:AI321" si="45">IFERROR(IF(AG258*AH258=0,"",AG258*AH258),"")</f>
        <v/>
      </c>
      <c r="AL258" t="str">
        <f t="shared" ref="AL258:AL321" si="46">IF(AND(AJ258&lt;&gt;"",AK258&lt;&gt;""),ROUNDUP((AK258-AJ258)/7,0),"")</f>
        <v/>
      </c>
      <c r="AN258" t="str">
        <f t="shared" ref="AN258:AN321" si="47">IFERROR(IF(AL258*AM258=0,"",AL258*AM258),"")</f>
        <v/>
      </c>
      <c r="AQ258" t="str">
        <f t="shared" ref="AQ258:AQ321" si="48">IF(AND(AO258&lt;&gt;"",AP258&lt;&gt;""),ROUNDUP((AP258-AO258)/7,0),"")</f>
        <v/>
      </c>
      <c r="AR258" t="str">
        <f t="shared" ref="AR258:AR321" si="49">IFERROR(IF((AU258-(AI258+AN258))/AQ258=0,"",ROUNDUP((AU258-(AI258+AN258))/AQ258,0)),"")</f>
        <v/>
      </c>
      <c r="AS258" t="str">
        <f t="shared" ref="AS258:AS300" si="50">IFERROR(IF((AU258-(AI258+AN258))=0,"",(AU258-(AI258+AN258))),"")</f>
        <v/>
      </c>
      <c r="AT258" t="str">
        <f t="shared" ref="AT258:AT300" si="51">IF(AND(AG258="",AQ258=""),AL258,IF(SUM(AG258,AL258,AQ258)=0,"",SUM(AG258,AL258,AQ258)))</f>
        <v/>
      </c>
      <c r="BG258" t="str">
        <f t="shared" ref="BG258:BG300" si="52">IF(AD258="","",YEAR(AD258)+IF(MONTH(AD258)&gt;=5,1,0))</f>
        <v/>
      </c>
      <c r="BH258" t="str">
        <f t="shared" ref="BH258:BH300" si="53">IF(AD258="","",IF(AND(MONTH(AD258)=8,DAY(AD258)&gt;=15),"Fall",IF(MONTH(AD258)&gt;8,"Fall",IF(MONTH(AD258)=5,"Summer",IF(MONTH(AD258)=1,"Spring","")))))</f>
        <v/>
      </c>
      <c r="BL258" t="str">
        <f>IFERROR(INDEX(_names_lookup!$C:$C,MATCH(BK258,_names_lookup!$A:$A,0)),"")</f>
        <v/>
      </c>
      <c r="BM258" t="str">
        <f>IFERROR(INDEX(_names_lookup!$B:$B,MATCH(BK258,_names_lookup!$A:$A,0)),"")</f>
        <v/>
      </c>
      <c r="BS258" t="str">
        <f t="shared" ref="BS258:BS321" si="54">IFERROR(IF(BR258*AA258=0,"",BR258*AA258),"")</f>
        <v/>
      </c>
    </row>
    <row r="259" spans="15:71" x14ac:dyDescent="0.2">
      <c r="O259" t="str">
        <f>IFERROR(INDEX(_courses_lookup!$C:$C,MATCH(K259&amp;L259,_courses_lookup!$E:$E,0)),"")</f>
        <v/>
      </c>
      <c r="P259" t="str">
        <f>IFERROR(INDEX(_courses_lookup!$D:$D,MATCH(K259&amp;L259,_courses_lookup!$E:$E,0)),"")</f>
        <v/>
      </c>
      <c r="AG259" t="str">
        <f t="shared" si="44"/>
        <v/>
      </c>
      <c r="AI259" t="str">
        <f t="shared" si="45"/>
        <v/>
      </c>
      <c r="AL259" t="str">
        <f t="shared" si="46"/>
        <v/>
      </c>
      <c r="AN259" t="str">
        <f t="shared" si="47"/>
        <v/>
      </c>
      <c r="AQ259" t="str">
        <f t="shared" si="48"/>
        <v/>
      </c>
      <c r="AR259" t="str">
        <f t="shared" si="49"/>
        <v/>
      </c>
      <c r="AS259" t="str">
        <f t="shared" si="50"/>
        <v/>
      </c>
      <c r="AT259" t="str">
        <f t="shared" si="51"/>
        <v/>
      </c>
      <c r="BG259" t="str">
        <f t="shared" si="52"/>
        <v/>
      </c>
      <c r="BH259" t="str">
        <f t="shared" si="53"/>
        <v/>
      </c>
      <c r="BL259" t="str">
        <f>IFERROR(INDEX(_names_lookup!$C:$C,MATCH(BK259,_names_lookup!$A:$A,0)),"")</f>
        <v/>
      </c>
      <c r="BM259" t="str">
        <f>IFERROR(INDEX(_names_lookup!$B:$B,MATCH(BK259,_names_lookup!$A:$A,0)),"")</f>
        <v/>
      </c>
      <c r="BS259" t="str">
        <f t="shared" si="54"/>
        <v/>
      </c>
    </row>
    <row r="260" spans="15:71" x14ac:dyDescent="0.2">
      <c r="O260" t="str">
        <f>IFERROR(INDEX(_courses_lookup!$C:$C,MATCH(K260&amp;L260,_courses_lookup!$E:$E,0)),"")</f>
        <v/>
      </c>
      <c r="P260" t="str">
        <f>IFERROR(INDEX(_courses_lookup!$D:$D,MATCH(K260&amp;L260,_courses_lookup!$E:$E,0)),"")</f>
        <v/>
      </c>
      <c r="AG260" t="str">
        <f t="shared" si="44"/>
        <v/>
      </c>
      <c r="AI260" t="str">
        <f t="shared" si="45"/>
        <v/>
      </c>
      <c r="AL260" t="str">
        <f t="shared" si="46"/>
        <v/>
      </c>
      <c r="AN260" t="str">
        <f t="shared" si="47"/>
        <v/>
      </c>
      <c r="AQ260" t="str">
        <f t="shared" si="48"/>
        <v/>
      </c>
      <c r="AR260" t="str">
        <f t="shared" si="49"/>
        <v/>
      </c>
      <c r="AS260" t="str">
        <f t="shared" si="50"/>
        <v/>
      </c>
      <c r="AT260" t="str">
        <f t="shared" si="51"/>
        <v/>
      </c>
      <c r="BG260" t="str">
        <f t="shared" si="52"/>
        <v/>
      </c>
      <c r="BH260" t="str">
        <f t="shared" si="53"/>
        <v/>
      </c>
      <c r="BL260" t="str">
        <f>IFERROR(INDEX(_names_lookup!$C:$C,MATCH(BK260,_names_lookup!$A:$A,0)),"")</f>
        <v/>
      </c>
      <c r="BM260" t="str">
        <f>IFERROR(INDEX(_names_lookup!$B:$B,MATCH(BK260,_names_lookup!$A:$A,0)),"")</f>
        <v/>
      </c>
      <c r="BS260" t="str">
        <f t="shared" si="54"/>
        <v/>
      </c>
    </row>
    <row r="261" spans="15:71" x14ac:dyDescent="0.2">
      <c r="O261" t="str">
        <f>IFERROR(INDEX(_courses_lookup!$C:$C,MATCH(K261&amp;L261,_courses_lookup!$E:$E,0)),"")</f>
        <v/>
      </c>
      <c r="P261" t="str">
        <f>IFERROR(INDEX(_courses_lookup!$D:$D,MATCH(K261&amp;L261,_courses_lookup!$E:$E,0)),"")</f>
        <v/>
      </c>
      <c r="AG261" t="str">
        <f t="shared" si="44"/>
        <v/>
      </c>
      <c r="AI261" t="str">
        <f t="shared" si="45"/>
        <v/>
      </c>
      <c r="AL261" t="str">
        <f t="shared" si="46"/>
        <v/>
      </c>
      <c r="AN261" t="str">
        <f t="shared" si="47"/>
        <v/>
      </c>
      <c r="AQ261" t="str">
        <f t="shared" si="48"/>
        <v/>
      </c>
      <c r="AR261" t="str">
        <f t="shared" si="49"/>
        <v/>
      </c>
      <c r="AS261" t="str">
        <f t="shared" si="50"/>
        <v/>
      </c>
      <c r="AT261" t="str">
        <f t="shared" si="51"/>
        <v/>
      </c>
      <c r="BG261" t="str">
        <f t="shared" si="52"/>
        <v/>
      </c>
      <c r="BH261" t="str">
        <f t="shared" si="53"/>
        <v/>
      </c>
      <c r="BL261" t="str">
        <f>IFERROR(INDEX(_names_lookup!$C:$C,MATCH(BK261,_names_lookup!$A:$A,0)),"")</f>
        <v/>
      </c>
      <c r="BM261" t="str">
        <f>IFERROR(INDEX(_names_lookup!$B:$B,MATCH(BK261,_names_lookup!$A:$A,0)),"")</f>
        <v/>
      </c>
      <c r="BS261" t="str">
        <f t="shared" si="54"/>
        <v/>
      </c>
    </row>
    <row r="262" spans="15:71" x14ac:dyDescent="0.2">
      <c r="O262" t="str">
        <f>IFERROR(INDEX(_courses_lookup!$C:$C,MATCH(K262&amp;L262,_courses_lookup!$E:$E,0)),"")</f>
        <v/>
      </c>
      <c r="P262" t="str">
        <f>IFERROR(INDEX(_courses_lookup!$D:$D,MATCH(K262&amp;L262,_courses_lookup!$E:$E,0)),"")</f>
        <v/>
      </c>
      <c r="AG262" t="str">
        <f t="shared" si="44"/>
        <v/>
      </c>
      <c r="AI262" t="str">
        <f t="shared" si="45"/>
        <v/>
      </c>
      <c r="AL262" t="str">
        <f t="shared" si="46"/>
        <v/>
      </c>
      <c r="AN262" t="str">
        <f t="shared" si="47"/>
        <v/>
      </c>
      <c r="AQ262" t="str">
        <f t="shared" si="48"/>
        <v/>
      </c>
      <c r="AR262" t="str">
        <f t="shared" si="49"/>
        <v/>
      </c>
      <c r="AS262" t="str">
        <f t="shared" si="50"/>
        <v/>
      </c>
      <c r="AT262" t="str">
        <f t="shared" si="51"/>
        <v/>
      </c>
      <c r="BG262" t="str">
        <f t="shared" si="52"/>
        <v/>
      </c>
      <c r="BH262" t="str">
        <f t="shared" si="53"/>
        <v/>
      </c>
      <c r="BL262" t="str">
        <f>IFERROR(INDEX(_names_lookup!$C:$C,MATCH(BK262,_names_lookup!$A:$A,0)),"")</f>
        <v/>
      </c>
      <c r="BM262" t="str">
        <f>IFERROR(INDEX(_names_lookup!$B:$B,MATCH(BK262,_names_lookup!$A:$A,0)),"")</f>
        <v/>
      </c>
      <c r="BS262" t="str">
        <f t="shared" si="54"/>
        <v/>
      </c>
    </row>
    <row r="263" spans="15:71" x14ac:dyDescent="0.2">
      <c r="O263" t="str">
        <f>IFERROR(INDEX(_courses_lookup!$C:$C,MATCH(K263&amp;L263,_courses_lookup!$E:$E,0)),"")</f>
        <v/>
      </c>
      <c r="P263" t="str">
        <f>IFERROR(INDEX(_courses_lookup!$D:$D,MATCH(K263&amp;L263,_courses_lookup!$E:$E,0)),"")</f>
        <v/>
      </c>
      <c r="AG263" t="str">
        <f t="shared" si="44"/>
        <v/>
      </c>
      <c r="AI263" t="str">
        <f t="shared" si="45"/>
        <v/>
      </c>
      <c r="AL263" t="str">
        <f t="shared" si="46"/>
        <v/>
      </c>
      <c r="AN263" t="str">
        <f t="shared" si="47"/>
        <v/>
      </c>
      <c r="AQ263" t="str">
        <f t="shared" si="48"/>
        <v/>
      </c>
      <c r="AR263" t="str">
        <f t="shared" si="49"/>
        <v/>
      </c>
      <c r="AS263" t="str">
        <f t="shared" si="50"/>
        <v/>
      </c>
      <c r="AT263" t="str">
        <f t="shared" si="51"/>
        <v/>
      </c>
      <c r="BG263" t="str">
        <f t="shared" si="52"/>
        <v/>
      </c>
      <c r="BH263" t="str">
        <f t="shared" si="53"/>
        <v/>
      </c>
      <c r="BL263" t="str">
        <f>IFERROR(INDEX(_names_lookup!$C:$C,MATCH(BK263,_names_lookup!$A:$A,0)),"")</f>
        <v/>
      </c>
      <c r="BM263" t="str">
        <f>IFERROR(INDEX(_names_lookup!$B:$B,MATCH(BK263,_names_lookup!$A:$A,0)),"")</f>
        <v/>
      </c>
      <c r="BS263" t="str">
        <f t="shared" si="54"/>
        <v/>
      </c>
    </row>
    <row r="264" spans="15:71" x14ac:dyDescent="0.2">
      <c r="O264" t="str">
        <f>IFERROR(INDEX(_courses_lookup!$C:$C,MATCH(K264&amp;L264,_courses_lookup!$E:$E,0)),"")</f>
        <v/>
      </c>
      <c r="P264" t="str">
        <f>IFERROR(INDEX(_courses_lookup!$D:$D,MATCH(K264&amp;L264,_courses_lookup!$E:$E,0)),"")</f>
        <v/>
      </c>
      <c r="AG264" t="str">
        <f t="shared" si="44"/>
        <v/>
      </c>
      <c r="AI264" t="str">
        <f t="shared" si="45"/>
        <v/>
      </c>
      <c r="AL264" t="str">
        <f t="shared" si="46"/>
        <v/>
      </c>
      <c r="AN264" t="str">
        <f t="shared" si="47"/>
        <v/>
      </c>
      <c r="AQ264" t="str">
        <f t="shared" si="48"/>
        <v/>
      </c>
      <c r="AR264" t="str">
        <f t="shared" si="49"/>
        <v/>
      </c>
      <c r="AS264" t="str">
        <f t="shared" si="50"/>
        <v/>
      </c>
      <c r="AT264" t="str">
        <f t="shared" si="51"/>
        <v/>
      </c>
      <c r="BG264" t="str">
        <f t="shared" si="52"/>
        <v/>
      </c>
      <c r="BH264" t="str">
        <f t="shared" si="53"/>
        <v/>
      </c>
      <c r="BL264" t="str">
        <f>IFERROR(INDEX(_names_lookup!$C:$C,MATCH(BK264,_names_lookup!$A:$A,0)),"")</f>
        <v/>
      </c>
      <c r="BM264" t="str">
        <f>IFERROR(INDEX(_names_lookup!$B:$B,MATCH(BK264,_names_lookup!$A:$A,0)),"")</f>
        <v/>
      </c>
      <c r="BS264" t="str">
        <f t="shared" si="54"/>
        <v/>
      </c>
    </row>
    <row r="265" spans="15:71" x14ac:dyDescent="0.2">
      <c r="O265" t="str">
        <f>IFERROR(INDEX(_courses_lookup!$C:$C,MATCH(K265&amp;L265,_courses_lookup!$E:$E,0)),"")</f>
        <v/>
      </c>
      <c r="P265" t="str">
        <f>IFERROR(INDEX(_courses_lookup!$D:$D,MATCH(K265&amp;L265,_courses_lookup!$E:$E,0)),"")</f>
        <v/>
      </c>
      <c r="AG265" t="str">
        <f t="shared" si="44"/>
        <v/>
      </c>
      <c r="AI265" t="str">
        <f t="shared" si="45"/>
        <v/>
      </c>
      <c r="AL265" t="str">
        <f t="shared" si="46"/>
        <v/>
      </c>
      <c r="AN265" t="str">
        <f t="shared" si="47"/>
        <v/>
      </c>
      <c r="AQ265" t="str">
        <f t="shared" si="48"/>
        <v/>
      </c>
      <c r="AR265" t="str">
        <f t="shared" si="49"/>
        <v/>
      </c>
      <c r="AS265" t="str">
        <f t="shared" si="50"/>
        <v/>
      </c>
      <c r="AT265" t="str">
        <f t="shared" si="51"/>
        <v/>
      </c>
      <c r="BG265" t="str">
        <f t="shared" si="52"/>
        <v/>
      </c>
      <c r="BH265" t="str">
        <f t="shared" si="53"/>
        <v/>
      </c>
      <c r="BL265" t="str">
        <f>IFERROR(INDEX(_names_lookup!$C:$C,MATCH(BK265,_names_lookup!$A:$A,0)),"")</f>
        <v/>
      </c>
      <c r="BM265" t="str">
        <f>IFERROR(INDEX(_names_lookup!$B:$B,MATCH(BK265,_names_lookup!$A:$A,0)),"")</f>
        <v/>
      </c>
      <c r="BS265" t="str">
        <f t="shared" si="54"/>
        <v/>
      </c>
    </row>
    <row r="266" spans="15:71" x14ac:dyDescent="0.2">
      <c r="O266" t="str">
        <f>IFERROR(INDEX(_courses_lookup!$C:$C,MATCH(K266&amp;L266,_courses_lookup!$E:$E,0)),"")</f>
        <v/>
      </c>
      <c r="P266" t="str">
        <f>IFERROR(INDEX(_courses_lookup!$D:$D,MATCH(K266&amp;L266,_courses_lookup!$E:$E,0)),"")</f>
        <v/>
      </c>
      <c r="AG266" t="str">
        <f t="shared" si="44"/>
        <v/>
      </c>
      <c r="AI266" t="str">
        <f t="shared" si="45"/>
        <v/>
      </c>
      <c r="AL266" t="str">
        <f t="shared" si="46"/>
        <v/>
      </c>
      <c r="AN266" t="str">
        <f t="shared" si="47"/>
        <v/>
      </c>
      <c r="AQ266" t="str">
        <f t="shared" si="48"/>
        <v/>
      </c>
      <c r="AR266" t="str">
        <f t="shared" si="49"/>
        <v/>
      </c>
      <c r="AS266" t="str">
        <f t="shared" si="50"/>
        <v/>
      </c>
      <c r="AT266" t="str">
        <f t="shared" si="51"/>
        <v/>
      </c>
      <c r="BG266" t="str">
        <f t="shared" si="52"/>
        <v/>
      </c>
      <c r="BH266" t="str">
        <f t="shared" si="53"/>
        <v/>
      </c>
      <c r="BL266" t="str">
        <f>IFERROR(INDEX(_names_lookup!$C:$C,MATCH(BK266,_names_lookup!$A:$A,0)),"")</f>
        <v/>
      </c>
      <c r="BM266" t="str">
        <f>IFERROR(INDEX(_names_lookup!$B:$B,MATCH(BK266,_names_lookup!$A:$A,0)),"")</f>
        <v/>
      </c>
      <c r="BS266" t="str">
        <f t="shared" si="54"/>
        <v/>
      </c>
    </row>
    <row r="267" spans="15:71" x14ac:dyDescent="0.2">
      <c r="O267" t="str">
        <f>IFERROR(INDEX(_courses_lookup!$C:$C,MATCH(K267&amp;L267,_courses_lookup!$E:$E,0)),"")</f>
        <v/>
      </c>
      <c r="P267" t="str">
        <f>IFERROR(INDEX(_courses_lookup!$D:$D,MATCH(K267&amp;L267,_courses_lookup!$E:$E,0)),"")</f>
        <v/>
      </c>
      <c r="AG267" t="str">
        <f t="shared" si="44"/>
        <v/>
      </c>
      <c r="AI267" t="str">
        <f t="shared" si="45"/>
        <v/>
      </c>
      <c r="AL267" t="str">
        <f t="shared" si="46"/>
        <v/>
      </c>
      <c r="AN267" t="str">
        <f t="shared" si="47"/>
        <v/>
      </c>
      <c r="AQ267" t="str">
        <f t="shared" si="48"/>
        <v/>
      </c>
      <c r="AR267" t="str">
        <f t="shared" si="49"/>
        <v/>
      </c>
      <c r="AS267" t="str">
        <f t="shared" si="50"/>
        <v/>
      </c>
      <c r="AT267" t="str">
        <f t="shared" si="51"/>
        <v/>
      </c>
      <c r="BG267" t="str">
        <f t="shared" si="52"/>
        <v/>
      </c>
      <c r="BH267" t="str">
        <f t="shared" si="53"/>
        <v/>
      </c>
      <c r="BL267" t="str">
        <f>IFERROR(INDEX(_names_lookup!$C:$C,MATCH(BK267,_names_lookup!$A:$A,0)),"")</f>
        <v/>
      </c>
      <c r="BM267" t="str">
        <f>IFERROR(INDEX(_names_lookup!$B:$B,MATCH(BK267,_names_lookup!$A:$A,0)),"")</f>
        <v/>
      </c>
      <c r="BS267" t="str">
        <f t="shared" si="54"/>
        <v/>
      </c>
    </row>
    <row r="268" spans="15:71" x14ac:dyDescent="0.2">
      <c r="O268" t="str">
        <f>IFERROR(INDEX(_courses_lookup!$C:$C,MATCH(K268&amp;L268,_courses_lookup!$E:$E,0)),"")</f>
        <v/>
      </c>
      <c r="P268" t="str">
        <f>IFERROR(INDEX(_courses_lookup!$D:$D,MATCH(K268&amp;L268,_courses_lookup!$E:$E,0)),"")</f>
        <v/>
      </c>
      <c r="AG268" t="str">
        <f t="shared" si="44"/>
        <v/>
      </c>
      <c r="AI268" t="str">
        <f t="shared" si="45"/>
        <v/>
      </c>
      <c r="AL268" t="str">
        <f t="shared" si="46"/>
        <v/>
      </c>
      <c r="AN268" t="str">
        <f t="shared" si="47"/>
        <v/>
      </c>
      <c r="AQ268" t="str">
        <f t="shared" si="48"/>
        <v/>
      </c>
      <c r="AR268" t="str">
        <f t="shared" si="49"/>
        <v/>
      </c>
      <c r="AS268" t="str">
        <f t="shared" si="50"/>
        <v/>
      </c>
      <c r="AT268" t="str">
        <f t="shared" si="51"/>
        <v/>
      </c>
      <c r="BG268" t="str">
        <f t="shared" si="52"/>
        <v/>
      </c>
      <c r="BH268" t="str">
        <f t="shared" si="53"/>
        <v/>
      </c>
      <c r="BL268" t="str">
        <f>IFERROR(INDEX(_names_lookup!$C:$C,MATCH(BK268,_names_lookup!$A:$A,0)),"")</f>
        <v/>
      </c>
      <c r="BM268" t="str">
        <f>IFERROR(INDEX(_names_lookup!$B:$B,MATCH(BK268,_names_lookup!$A:$A,0)),"")</f>
        <v/>
      </c>
      <c r="BS268" t="str">
        <f t="shared" si="54"/>
        <v/>
      </c>
    </row>
    <row r="269" spans="15:71" x14ac:dyDescent="0.2">
      <c r="O269" t="str">
        <f>IFERROR(INDEX(_courses_lookup!$C:$C,MATCH(K269&amp;L269,_courses_lookup!$E:$E,0)),"")</f>
        <v/>
      </c>
      <c r="P269" t="str">
        <f>IFERROR(INDEX(_courses_lookup!$D:$D,MATCH(K269&amp;L269,_courses_lookup!$E:$E,0)),"")</f>
        <v/>
      </c>
      <c r="AG269" t="str">
        <f t="shared" si="44"/>
        <v/>
      </c>
      <c r="AI269" t="str">
        <f t="shared" si="45"/>
        <v/>
      </c>
      <c r="AL269" t="str">
        <f t="shared" si="46"/>
        <v/>
      </c>
      <c r="AN269" t="str">
        <f t="shared" si="47"/>
        <v/>
      </c>
      <c r="AQ269" t="str">
        <f t="shared" si="48"/>
        <v/>
      </c>
      <c r="AR269" t="str">
        <f t="shared" si="49"/>
        <v/>
      </c>
      <c r="AS269" t="str">
        <f t="shared" si="50"/>
        <v/>
      </c>
      <c r="AT269" t="str">
        <f t="shared" si="51"/>
        <v/>
      </c>
      <c r="BG269" t="str">
        <f t="shared" si="52"/>
        <v/>
      </c>
      <c r="BH269" t="str">
        <f t="shared" si="53"/>
        <v/>
      </c>
      <c r="BL269" t="str">
        <f>IFERROR(INDEX(_names_lookup!$C:$C,MATCH(BK269,_names_lookup!$A:$A,0)),"")</f>
        <v/>
      </c>
      <c r="BM269" t="str">
        <f>IFERROR(INDEX(_names_lookup!$B:$B,MATCH(BK269,_names_lookup!$A:$A,0)),"")</f>
        <v/>
      </c>
      <c r="BS269" t="str">
        <f t="shared" si="54"/>
        <v/>
      </c>
    </row>
    <row r="270" spans="15:71" x14ac:dyDescent="0.2">
      <c r="O270" t="str">
        <f>IFERROR(INDEX(_courses_lookup!$C:$C,MATCH(K270&amp;L270,_courses_lookup!$E:$E,0)),"")</f>
        <v/>
      </c>
      <c r="P270" t="str">
        <f>IFERROR(INDEX(_courses_lookup!$D:$D,MATCH(K270&amp;L270,_courses_lookup!$E:$E,0)),"")</f>
        <v/>
      </c>
      <c r="AG270" t="str">
        <f t="shared" si="44"/>
        <v/>
      </c>
      <c r="AI270" t="str">
        <f t="shared" si="45"/>
        <v/>
      </c>
      <c r="AL270" t="str">
        <f t="shared" si="46"/>
        <v/>
      </c>
      <c r="AN270" t="str">
        <f t="shared" si="47"/>
        <v/>
      </c>
      <c r="AQ270" t="str">
        <f t="shared" si="48"/>
        <v/>
      </c>
      <c r="AR270" t="str">
        <f t="shared" si="49"/>
        <v/>
      </c>
      <c r="AS270" t="str">
        <f t="shared" si="50"/>
        <v/>
      </c>
      <c r="AT270" t="str">
        <f t="shared" si="51"/>
        <v/>
      </c>
      <c r="BG270" t="str">
        <f t="shared" si="52"/>
        <v/>
      </c>
      <c r="BH270" t="str">
        <f t="shared" si="53"/>
        <v/>
      </c>
      <c r="BL270" t="str">
        <f>IFERROR(INDEX(_names_lookup!$C:$C,MATCH(BK270,_names_lookup!$A:$A,0)),"")</f>
        <v/>
      </c>
      <c r="BM270" t="str">
        <f>IFERROR(INDEX(_names_lookup!$B:$B,MATCH(BK270,_names_lookup!$A:$A,0)),"")</f>
        <v/>
      </c>
      <c r="BS270" t="str">
        <f t="shared" si="54"/>
        <v/>
      </c>
    </row>
    <row r="271" spans="15:71" x14ac:dyDescent="0.2">
      <c r="O271" t="str">
        <f>IFERROR(INDEX(_courses_lookup!$C:$C,MATCH(K271&amp;L271,_courses_lookup!$E:$E,0)),"")</f>
        <v/>
      </c>
      <c r="P271" t="str">
        <f>IFERROR(INDEX(_courses_lookup!$D:$D,MATCH(K271&amp;L271,_courses_lookup!$E:$E,0)),"")</f>
        <v/>
      </c>
      <c r="AG271" t="str">
        <f t="shared" si="44"/>
        <v/>
      </c>
      <c r="AI271" t="str">
        <f t="shared" si="45"/>
        <v/>
      </c>
      <c r="AL271" t="str">
        <f t="shared" si="46"/>
        <v/>
      </c>
      <c r="AN271" t="str">
        <f t="shared" si="47"/>
        <v/>
      </c>
      <c r="AQ271" t="str">
        <f t="shared" si="48"/>
        <v/>
      </c>
      <c r="AR271" t="str">
        <f t="shared" si="49"/>
        <v/>
      </c>
      <c r="AS271" t="str">
        <f t="shared" si="50"/>
        <v/>
      </c>
      <c r="AT271" t="str">
        <f t="shared" si="51"/>
        <v/>
      </c>
      <c r="BG271" t="str">
        <f t="shared" si="52"/>
        <v/>
      </c>
      <c r="BH271" t="str">
        <f t="shared" si="53"/>
        <v/>
      </c>
      <c r="BL271" t="str">
        <f>IFERROR(INDEX(_names_lookup!$C:$C,MATCH(BK271,_names_lookup!$A:$A,0)),"")</f>
        <v/>
      </c>
      <c r="BM271" t="str">
        <f>IFERROR(INDEX(_names_lookup!$B:$B,MATCH(BK271,_names_lookup!$A:$A,0)),"")</f>
        <v/>
      </c>
      <c r="BS271" t="str">
        <f t="shared" si="54"/>
        <v/>
      </c>
    </row>
    <row r="272" spans="15:71" x14ac:dyDescent="0.2">
      <c r="O272" t="str">
        <f>IFERROR(INDEX(_courses_lookup!$C:$C,MATCH(K272&amp;L272,_courses_lookup!$E:$E,0)),"")</f>
        <v/>
      </c>
      <c r="P272" t="str">
        <f>IFERROR(INDEX(_courses_lookup!$D:$D,MATCH(K272&amp;L272,_courses_lookup!$E:$E,0)),"")</f>
        <v/>
      </c>
      <c r="AG272" t="str">
        <f t="shared" si="44"/>
        <v/>
      </c>
      <c r="AI272" t="str">
        <f t="shared" si="45"/>
        <v/>
      </c>
      <c r="AL272" t="str">
        <f t="shared" si="46"/>
        <v/>
      </c>
      <c r="AN272" t="str">
        <f t="shared" si="47"/>
        <v/>
      </c>
      <c r="AQ272" t="str">
        <f t="shared" si="48"/>
        <v/>
      </c>
      <c r="AR272" t="str">
        <f t="shared" si="49"/>
        <v/>
      </c>
      <c r="AS272" t="str">
        <f t="shared" si="50"/>
        <v/>
      </c>
      <c r="AT272" t="str">
        <f t="shared" si="51"/>
        <v/>
      </c>
      <c r="BG272" t="str">
        <f t="shared" si="52"/>
        <v/>
      </c>
      <c r="BH272" t="str">
        <f t="shared" si="53"/>
        <v/>
      </c>
      <c r="BL272" t="str">
        <f>IFERROR(INDEX(_names_lookup!$C:$C,MATCH(BK272,_names_lookup!$A:$A,0)),"")</f>
        <v/>
      </c>
      <c r="BM272" t="str">
        <f>IFERROR(INDEX(_names_lookup!$B:$B,MATCH(BK272,_names_lookup!$A:$A,0)),"")</f>
        <v/>
      </c>
      <c r="BS272" t="str">
        <f t="shared" si="54"/>
        <v/>
      </c>
    </row>
    <row r="273" spans="15:71" x14ac:dyDescent="0.2">
      <c r="O273" t="str">
        <f>IFERROR(INDEX(_courses_lookup!$C:$C,MATCH(K273&amp;L273,_courses_lookup!$E:$E,0)),"")</f>
        <v/>
      </c>
      <c r="P273" t="str">
        <f>IFERROR(INDEX(_courses_lookup!$D:$D,MATCH(K273&amp;L273,_courses_lookup!$E:$E,0)),"")</f>
        <v/>
      </c>
      <c r="AG273" t="str">
        <f t="shared" si="44"/>
        <v/>
      </c>
      <c r="AI273" t="str">
        <f t="shared" si="45"/>
        <v/>
      </c>
      <c r="AL273" t="str">
        <f t="shared" si="46"/>
        <v/>
      </c>
      <c r="AN273" t="str">
        <f t="shared" si="47"/>
        <v/>
      </c>
      <c r="AQ273" t="str">
        <f t="shared" si="48"/>
        <v/>
      </c>
      <c r="AR273" t="str">
        <f t="shared" si="49"/>
        <v/>
      </c>
      <c r="AS273" t="str">
        <f t="shared" si="50"/>
        <v/>
      </c>
      <c r="AT273" t="str">
        <f t="shared" si="51"/>
        <v/>
      </c>
      <c r="BG273" t="str">
        <f t="shared" si="52"/>
        <v/>
      </c>
      <c r="BH273" t="str">
        <f t="shared" si="53"/>
        <v/>
      </c>
      <c r="BL273" t="str">
        <f>IFERROR(INDEX(_names_lookup!$C:$C,MATCH(BK273,_names_lookup!$A:$A,0)),"")</f>
        <v/>
      </c>
      <c r="BM273" t="str">
        <f>IFERROR(INDEX(_names_lookup!$B:$B,MATCH(BK273,_names_lookup!$A:$A,0)),"")</f>
        <v/>
      </c>
      <c r="BS273" t="str">
        <f t="shared" si="54"/>
        <v/>
      </c>
    </row>
    <row r="274" spans="15:71" x14ac:dyDescent="0.2">
      <c r="O274" t="str">
        <f>IFERROR(INDEX(_courses_lookup!$C:$C,MATCH(K274&amp;L274,_courses_lookup!$E:$E,0)),"")</f>
        <v/>
      </c>
      <c r="P274" t="str">
        <f>IFERROR(INDEX(_courses_lookup!$D:$D,MATCH(K274&amp;L274,_courses_lookup!$E:$E,0)),"")</f>
        <v/>
      </c>
      <c r="AG274" t="str">
        <f t="shared" si="44"/>
        <v/>
      </c>
      <c r="AI274" t="str">
        <f t="shared" si="45"/>
        <v/>
      </c>
      <c r="AL274" t="str">
        <f t="shared" si="46"/>
        <v/>
      </c>
      <c r="AN274" t="str">
        <f t="shared" si="47"/>
        <v/>
      </c>
      <c r="AQ274" t="str">
        <f t="shared" si="48"/>
        <v/>
      </c>
      <c r="AR274" t="str">
        <f t="shared" si="49"/>
        <v/>
      </c>
      <c r="AS274" t="str">
        <f t="shared" si="50"/>
        <v/>
      </c>
      <c r="AT274" t="str">
        <f t="shared" si="51"/>
        <v/>
      </c>
      <c r="BG274" t="str">
        <f t="shared" si="52"/>
        <v/>
      </c>
      <c r="BH274" t="str">
        <f t="shared" si="53"/>
        <v/>
      </c>
      <c r="BL274" t="str">
        <f>IFERROR(INDEX(_names_lookup!$C:$C,MATCH(BK274,_names_lookup!$A:$A,0)),"")</f>
        <v/>
      </c>
      <c r="BM274" t="str">
        <f>IFERROR(INDEX(_names_lookup!$B:$B,MATCH(BK274,_names_lookup!$A:$A,0)),"")</f>
        <v/>
      </c>
      <c r="BS274" t="str">
        <f t="shared" si="54"/>
        <v/>
      </c>
    </row>
    <row r="275" spans="15:71" x14ac:dyDescent="0.2">
      <c r="O275" t="str">
        <f>IFERROR(INDEX(_courses_lookup!$C:$C,MATCH(K275&amp;L275,_courses_lookup!$E:$E,0)),"")</f>
        <v/>
      </c>
      <c r="P275" t="str">
        <f>IFERROR(INDEX(_courses_lookup!$D:$D,MATCH(K275&amp;L275,_courses_lookup!$E:$E,0)),"")</f>
        <v/>
      </c>
      <c r="AG275" t="str">
        <f t="shared" si="44"/>
        <v/>
      </c>
      <c r="AI275" t="str">
        <f t="shared" si="45"/>
        <v/>
      </c>
      <c r="AL275" t="str">
        <f t="shared" si="46"/>
        <v/>
      </c>
      <c r="AN275" t="str">
        <f t="shared" si="47"/>
        <v/>
      </c>
      <c r="AQ275" t="str">
        <f t="shared" si="48"/>
        <v/>
      </c>
      <c r="AR275" t="str">
        <f t="shared" si="49"/>
        <v/>
      </c>
      <c r="AS275" t="str">
        <f t="shared" si="50"/>
        <v/>
      </c>
      <c r="AT275" t="str">
        <f t="shared" si="51"/>
        <v/>
      </c>
      <c r="BG275" t="str">
        <f t="shared" si="52"/>
        <v/>
      </c>
      <c r="BH275" t="str">
        <f t="shared" si="53"/>
        <v/>
      </c>
      <c r="BL275" t="str">
        <f>IFERROR(INDEX(_names_lookup!$C:$C,MATCH(BK275,_names_lookup!$A:$A,0)),"")</f>
        <v/>
      </c>
      <c r="BM275" t="str">
        <f>IFERROR(INDEX(_names_lookup!$B:$B,MATCH(BK275,_names_lookup!$A:$A,0)),"")</f>
        <v/>
      </c>
      <c r="BS275" t="str">
        <f t="shared" si="54"/>
        <v/>
      </c>
    </row>
    <row r="276" spans="15:71" x14ac:dyDescent="0.2">
      <c r="O276" t="str">
        <f>IFERROR(INDEX(_courses_lookup!$C:$C,MATCH(K276&amp;L276,_courses_lookup!$E:$E,0)),"")</f>
        <v/>
      </c>
      <c r="P276" t="str">
        <f>IFERROR(INDEX(_courses_lookup!$D:$D,MATCH(K276&amp;L276,_courses_lookup!$E:$E,0)),"")</f>
        <v/>
      </c>
      <c r="AG276" t="str">
        <f t="shared" si="44"/>
        <v/>
      </c>
      <c r="AI276" t="str">
        <f t="shared" si="45"/>
        <v/>
      </c>
      <c r="AL276" t="str">
        <f t="shared" si="46"/>
        <v/>
      </c>
      <c r="AN276" t="str">
        <f t="shared" si="47"/>
        <v/>
      </c>
      <c r="AQ276" t="str">
        <f t="shared" si="48"/>
        <v/>
      </c>
      <c r="AR276" t="str">
        <f t="shared" si="49"/>
        <v/>
      </c>
      <c r="AS276" t="str">
        <f t="shared" si="50"/>
        <v/>
      </c>
      <c r="AT276" t="str">
        <f t="shared" si="51"/>
        <v/>
      </c>
      <c r="BG276" t="str">
        <f t="shared" si="52"/>
        <v/>
      </c>
      <c r="BH276" t="str">
        <f t="shared" si="53"/>
        <v/>
      </c>
      <c r="BL276" t="str">
        <f>IFERROR(INDEX(_names_lookup!$C:$C,MATCH(BK276,_names_lookup!$A:$A,0)),"")</f>
        <v/>
      </c>
      <c r="BM276" t="str">
        <f>IFERROR(INDEX(_names_lookup!$B:$B,MATCH(BK276,_names_lookup!$A:$A,0)),"")</f>
        <v/>
      </c>
      <c r="BS276" t="str">
        <f t="shared" si="54"/>
        <v/>
      </c>
    </row>
    <row r="277" spans="15:71" x14ac:dyDescent="0.2">
      <c r="O277" t="str">
        <f>IFERROR(INDEX(_courses_lookup!$C:$C,MATCH(K277&amp;L277,_courses_lookup!$E:$E,0)),"")</f>
        <v/>
      </c>
      <c r="P277" t="str">
        <f>IFERROR(INDEX(_courses_lookup!$D:$D,MATCH(K277&amp;L277,_courses_lookup!$E:$E,0)),"")</f>
        <v/>
      </c>
      <c r="AG277" t="str">
        <f t="shared" si="44"/>
        <v/>
      </c>
      <c r="AI277" t="str">
        <f t="shared" si="45"/>
        <v/>
      </c>
      <c r="AL277" t="str">
        <f t="shared" si="46"/>
        <v/>
      </c>
      <c r="AN277" t="str">
        <f t="shared" si="47"/>
        <v/>
      </c>
      <c r="AQ277" t="str">
        <f t="shared" si="48"/>
        <v/>
      </c>
      <c r="AR277" t="str">
        <f t="shared" si="49"/>
        <v/>
      </c>
      <c r="AS277" t="str">
        <f t="shared" si="50"/>
        <v/>
      </c>
      <c r="AT277" t="str">
        <f t="shared" si="51"/>
        <v/>
      </c>
      <c r="BG277" t="str">
        <f t="shared" si="52"/>
        <v/>
      </c>
      <c r="BH277" t="str">
        <f t="shared" si="53"/>
        <v/>
      </c>
      <c r="BL277" t="str">
        <f>IFERROR(INDEX(_names_lookup!$C:$C,MATCH(BK277,_names_lookup!$A:$A,0)),"")</f>
        <v/>
      </c>
      <c r="BM277" t="str">
        <f>IFERROR(INDEX(_names_lookup!$B:$B,MATCH(BK277,_names_lookup!$A:$A,0)),"")</f>
        <v/>
      </c>
      <c r="BS277" t="str">
        <f t="shared" si="54"/>
        <v/>
      </c>
    </row>
    <row r="278" spans="15:71" x14ac:dyDescent="0.2">
      <c r="O278" t="str">
        <f>IFERROR(INDEX(_courses_lookup!$C:$C,MATCH(K278&amp;L278,_courses_lookup!$E:$E,0)),"")</f>
        <v/>
      </c>
      <c r="P278" t="str">
        <f>IFERROR(INDEX(_courses_lookup!$D:$D,MATCH(K278&amp;L278,_courses_lookup!$E:$E,0)),"")</f>
        <v/>
      </c>
      <c r="AG278" t="str">
        <f t="shared" si="44"/>
        <v/>
      </c>
      <c r="AI278" t="str">
        <f t="shared" si="45"/>
        <v/>
      </c>
      <c r="AL278" t="str">
        <f t="shared" si="46"/>
        <v/>
      </c>
      <c r="AN278" t="str">
        <f t="shared" si="47"/>
        <v/>
      </c>
      <c r="AQ278" t="str">
        <f t="shared" si="48"/>
        <v/>
      </c>
      <c r="AR278" t="str">
        <f t="shared" si="49"/>
        <v/>
      </c>
      <c r="AS278" t="str">
        <f t="shared" si="50"/>
        <v/>
      </c>
      <c r="AT278" t="str">
        <f t="shared" si="51"/>
        <v/>
      </c>
      <c r="BG278" t="str">
        <f t="shared" si="52"/>
        <v/>
      </c>
      <c r="BH278" t="str">
        <f t="shared" si="53"/>
        <v/>
      </c>
      <c r="BL278" t="str">
        <f>IFERROR(INDEX(_names_lookup!$C:$C,MATCH(BK278,_names_lookup!$A:$A,0)),"")</f>
        <v/>
      </c>
      <c r="BM278" t="str">
        <f>IFERROR(INDEX(_names_lookup!$B:$B,MATCH(BK278,_names_lookup!$A:$A,0)),"")</f>
        <v/>
      </c>
      <c r="BS278" t="str">
        <f t="shared" si="54"/>
        <v/>
      </c>
    </row>
    <row r="279" spans="15:71" x14ac:dyDescent="0.2">
      <c r="O279" t="str">
        <f>IFERROR(INDEX(_courses_lookup!$C:$C,MATCH(K279&amp;L279,_courses_lookup!$E:$E,0)),"")</f>
        <v/>
      </c>
      <c r="P279" t="str">
        <f>IFERROR(INDEX(_courses_lookup!$D:$D,MATCH(K279&amp;L279,_courses_lookup!$E:$E,0)),"")</f>
        <v/>
      </c>
      <c r="AG279" t="str">
        <f t="shared" si="44"/>
        <v/>
      </c>
      <c r="AI279" t="str">
        <f t="shared" si="45"/>
        <v/>
      </c>
      <c r="AL279" t="str">
        <f t="shared" si="46"/>
        <v/>
      </c>
      <c r="AN279" t="str">
        <f t="shared" si="47"/>
        <v/>
      </c>
      <c r="AQ279" t="str">
        <f t="shared" si="48"/>
        <v/>
      </c>
      <c r="AR279" t="str">
        <f t="shared" si="49"/>
        <v/>
      </c>
      <c r="AS279" t="str">
        <f t="shared" si="50"/>
        <v/>
      </c>
      <c r="AT279" t="str">
        <f t="shared" si="51"/>
        <v/>
      </c>
      <c r="BG279" t="str">
        <f t="shared" si="52"/>
        <v/>
      </c>
      <c r="BH279" t="str">
        <f t="shared" si="53"/>
        <v/>
      </c>
      <c r="BL279" t="str">
        <f>IFERROR(INDEX(_names_lookup!$C:$C,MATCH(BK279,_names_lookup!$A:$A,0)),"")</f>
        <v/>
      </c>
      <c r="BM279" t="str">
        <f>IFERROR(INDEX(_names_lookup!$B:$B,MATCH(BK279,_names_lookup!$A:$A,0)),"")</f>
        <v/>
      </c>
      <c r="BS279" t="str">
        <f t="shared" si="54"/>
        <v/>
      </c>
    </row>
    <row r="280" spans="15:71" x14ac:dyDescent="0.2">
      <c r="O280" t="str">
        <f>IFERROR(INDEX(_courses_lookup!$C:$C,MATCH(K280&amp;L280,_courses_lookup!$E:$E,0)),"")</f>
        <v/>
      </c>
      <c r="P280" t="str">
        <f>IFERROR(INDEX(_courses_lookup!$D:$D,MATCH(K280&amp;L280,_courses_lookup!$E:$E,0)),"")</f>
        <v/>
      </c>
      <c r="AG280" t="str">
        <f t="shared" si="44"/>
        <v/>
      </c>
      <c r="AI280" t="str">
        <f t="shared" si="45"/>
        <v/>
      </c>
      <c r="AL280" t="str">
        <f t="shared" si="46"/>
        <v/>
      </c>
      <c r="AN280" t="str">
        <f t="shared" si="47"/>
        <v/>
      </c>
      <c r="AQ280" t="str">
        <f t="shared" si="48"/>
        <v/>
      </c>
      <c r="AR280" t="str">
        <f t="shared" si="49"/>
        <v/>
      </c>
      <c r="AS280" t="str">
        <f t="shared" si="50"/>
        <v/>
      </c>
      <c r="AT280" t="str">
        <f t="shared" si="51"/>
        <v/>
      </c>
      <c r="BG280" t="str">
        <f t="shared" si="52"/>
        <v/>
      </c>
      <c r="BH280" t="str">
        <f t="shared" si="53"/>
        <v/>
      </c>
      <c r="BL280" t="str">
        <f>IFERROR(INDEX(_names_lookup!$C:$C,MATCH(BK280,_names_lookup!$A:$A,0)),"")</f>
        <v/>
      </c>
      <c r="BM280" t="str">
        <f>IFERROR(INDEX(_names_lookup!$B:$B,MATCH(BK280,_names_lookup!$A:$A,0)),"")</f>
        <v/>
      </c>
      <c r="BS280" t="str">
        <f t="shared" si="54"/>
        <v/>
      </c>
    </row>
    <row r="281" spans="15:71" x14ac:dyDescent="0.2">
      <c r="O281" t="str">
        <f>IFERROR(INDEX(_courses_lookup!$C:$C,MATCH(K281&amp;L281,_courses_lookup!$E:$E,0)),"")</f>
        <v/>
      </c>
      <c r="P281" t="str">
        <f>IFERROR(INDEX(_courses_lookup!$D:$D,MATCH(K281&amp;L281,_courses_lookup!$E:$E,0)),"")</f>
        <v/>
      </c>
      <c r="AG281" t="str">
        <f t="shared" si="44"/>
        <v/>
      </c>
      <c r="AI281" t="str">
        <f t="shared" si="45"/>
        <v/>
      </c>
      <c r="AL281" t="str">
        <f t="shared" si="46"/>
        <v/>
      </c>
      <c r="AN281" t="str">
        <f t="shared" si="47"/>
        <v/>
      </c>
      <c r="AQ281" t="str">
        <f t="shared" si="48"/>
        <v/>
      </c>
      <c r="AR281" t="str">
        <f t="shared" si="49"/>
        <v/>
      </c>
      <c r="AS281" t="str">
        <f t="shared" si="50"/>
        <v/>
      </c>
      <c r="AT281" t="str">
        <f t="shared" si="51"/>
        <v/>
      </c>
      <c r="BG281" t="str">
        <f t="shared" si="52"/>
        <v/>
      </c>
      <c r="BH281" t="str">
        <f t="shared" si="53"/>
        <v/>
      </c>
      <c r="BL281" t="str">
        <f>IFERROR(INDEX(_names_lookup!$C:$C,MATCH(BK281,_names_lookup!$A:$A,0)),"")</f>
        <v/>
      </c>
      <c r="BM281" t="str">
        <f>IFERROR(INDEX(_names_lookup!$B:$B,MATCH(BK281,_names_lookup!$A:$A,0)),"")</f>
        <v/>
      </c>
      <c r="BS281" t="str">
        <f t="shared" si="54"/>
        <v/>
      </c>
    </row>
    <row r="282" spans="15:71" x14ac:dyDescent="0.2">
      <c r="O282" t="str">
        <f>IFERROR(INDEX(_courses_lookup!$C:$C,MATCH(K282&amp;L282,_courses_lookup!$E:$E,0)),"")</f>
        <v/>
      </c>
      <c r="P282" t="str">
        <f>IFERROR(INDEX(_courses_lookup!$D:$D,MATCH(K282&amp;L282,_courses_lookup!$E:$E,0)),"")</f>
        <v/>
      </c>
      <c r="AG282" t="str">
        <f t="shared" si="44"/>
        <v/>
      </c>
      <c r="AI282" t="str">
        <f t="shared" si="45"/>
        <v/>
      </c>
      <c r="AL282" t="str">
        <f t="shared" si="46"/>
        <v/>
      </c>
      <c r="AN282" t="str">
        <f t="shared" si="47"/>
        <v/>
      </c>
      <c r="AQ282" t="str">
        <f t="shared" si="48"/>
        <v/>
      </c>
      <c r="AR282" t="str">
        <f t="shared" si="49"/>
        <v/>
      </c>
      <c r="AS282" t="str">
        <f t="shared" si="50"/>
        <v/>
      </c>
      <c r="AT282" t="str">
        <f t="shared" si="51"/>
        <v/>
      </c>
      <c r="BG282" t="str">
        <f t="shared" si="52"/>
        <v/>
      </c>
      <c r="BH282" t="str">
        <f t="shared" si="53"/>
        <v/>
      </c>
      <c r="BL282" t="str">
        <f>IFERROR(INDEX(_names_lookup!$C:$C,MATCH(BK282,_names_lookup!$A:$A,0)),"")</f>
        <v/>
      </c>
      <c r="BM282" t="str">
        <f>IFERROR(INDEX(_names_lookup!$B:$B,MATCH(BK282,_names_lookup!$A:$A,0)),"")</f>
        <v/>
      </c>
      <c r="BS282" t="str">
        <f t="shared" si="54"/>
        <v/>
      </c>
    </row>
    <row r="283" spans="15:71" x14ac:dyDescent="0.2">
      <c r="O283" t="str">
        <f>IFERROR(INDEX(_courses_lookup!$C:$C,MATCH(K283&amp;L283,_courses_lookup!$E:$E,0)),"")</f>
        <v/>
      </c>
      <c r="P283" t="str">
        <f>IFERROR(INDEX(_courses_lookup!$D:$D,MATCH(K283&amp;L283,_courses_lookup!$E:$E,0)),"")</f>
        <v/>
      </c>
      <c r="AG283" t="str">
        <f t="shared" si="44"/>
        <v/>
      </c>
      <c r="AI283" t="str">
        <f t="shared" si="45"/>
        <v/>
      </c>
      <c r="AL283" t="str">
        <f t="shared" si="46"/>
        <v/>
      </c>
      <c r="AN283" t="str">
        <f t="shared" si="47"/>
        <v/>
      </c>
      <c r="AQ283" t="str">
        <f t="shared" si="48"/>
        <v/>
      </c>
      <c r="AR283" t="str">
        <f t="shared" si="49"/>
        <v/>
      </c>
      <c r="AS283" t="str">
        <f t="shared" si="50"/>
        <v/>
      </c>
      <c r="AT283" t="str">
        <f t="shared" si="51"/>
        <v/>
      </c>
      <c r="BG283" t="str">
        <f t="shared" si="52"/>
        <v/>
      </c>
      <c r="BH283" t="str">
        <f t="shared" si="53"/>
        <v/>
      </c>
      <c r="BL283" t="str">
        <f>IFERROR(INDEX(_names_lookup!$C:$C,MATCH(BK283,_names_lookup!$A:$A,0)),"")</f>
        <v/>
      </c>
      <c r="BM283" t="str">
        <f>IFERROR(INDEX(_names_lookup!$B:$B,MATCH(BK283,_names_lookup!$A:$A,0)),"")</f>
        <v/>
      </c>
      <c r="BS283" t="str">
        <f t="shared" si="54"/>
        <v/>
      </c>
    </row>
    <row r="284" spans="15:71" x14ac:dyDescent="0.2">
      <c r="O284" t="str">
        <f>IFERROR(INDEX(_courses_lookup!$C:$C,MATCH(K284&amp;L284,_courses_lookup!$E:$E,0)),"")</f>
        <v/>
      </c>
      <c r="P284" t="str">
        <f>IFERROR(INDEX(_courses_lookup!$D:$D,MATCH(K284&amp;L284,_courses_lookup!$E:$E,0)),"")</f>
        <v/>
      </c>
      <c r="AG284" t="str">
        <f t="shared" si="44"/>
        <v/>
      </c>
      <c r="AI284" t="str">
        <f t="shared" si="45"/>
        <v/>
      </c>
      <c r="AL284" t="str">
        <f t="shared" si="46"/>
        <v/>
      </c>
      <c r="AN284" t="str">
        <f t="shared" si="47"/>
        <v/>
      </c>
      <c r="AQ284" t="str">
        <f t="shared" si="48"/>
        <v/>
      </c>
      <c r="AR284" t="str">
        <f t="shared" si="49"/>
        <v/>
      </c>
      <c r="AS284" t="str">
        <f t="shared" si="50"/>
        <v/>
      </c>
      <c r="AT284" t="str">
        <f t="shared" si="51"/>
        <v/>
      </c>
      <c r="BG284" t="str">
        <f t="shared" si="52"/>
        <v/>
      </c>
      <c r="BH284" t="str">
        <f t="shared" si="53"/>
        <v/>
      </c>
      <c r="BL284" t="str">
        <f>IFERROR(INDEX(_names_lookup!$C:$C,MATCH(BK284,_names_lookup!$A:$A,0)),"")</f>
        <v/>
      </c>
      <c r="BM284" t="str">
        <f>IFERROR(INDEX(_names_lookup!$B:$B,MATCH(BK284,_names_lookup!$A:$A,0)),"")</f>
        <v/>
      </c>
      <c r="BS284" t="str">
        <f t="shared" si="54"/>
        <v/>
      </c>
    </row>
    <row r="285" spans="15:71" x14ac:dyDescent="0.2">
      <c r="O285" t="str">
        <f>IFERROR(INDEX(_courses_lookup!$C:$C,MATCH(K285&amp;L285,_courses_lookup!$E:$E,0)),"")</f>
        <v/>
      </c>
      <c r="P285" t="str">
        <f>IFERROR(INDEX(_courses_lookup!$D:$D,MATCH(K285&amp;L285,_courses_lookup!$E:$E,0)),"")</f>
        <v/>
      </c>
      <c r="AG285" t="str">
        <f t="shared" si="44"/>
        <v/>
      </c>
      <c r="AI285" t="str">
        <f t="shared" si="45"/>
        <v/>
      </c>
      <c r="AL285" t="str">
        <f t="shared" si="46"/>
        <v/>
      </c>
      <c r="AN285" t="str">
        <f t="shared" si="47"/>
        <v/>
      </c>
      <c r="AQ285" t="str">
        <f t="shared" si="48"/>
        <v/>
      </c>
      <c r="AR285" t="str">
        <f t="shared" si="49"/>
        <v/>
      </c>
      <c r="AS285" t="str">
        <f t="shared" si="50"/>
        <v/>
      </c>
      <c r="AT285" t="str">
        <f t="shared" si="51"/>
        <v/>
      </c>
      <c r="BG285" t="str">
        <f t="shared" si="52"/>
        <v/>
      </c>
      <c r="BH285" t="str">
        <f t="shared" si="53"/>
        <v/>
      </c>
      <c r="BL285" t="str">
        <f>IFERROR(INDEX(_names_lookup!$C:$C,MATCH(BK285,_names_lookup!$A:$A,0)),"")</f>
        <v/>
      </c>
      <c r="BM285" t="str">
        <f>IFERROR(INDEX(_names_lookup!$B:$B,MATCH(BK285,_names_lookup!$A:$A,0)),"")</f>
        <v/>
      </c>
      <c r="BS285" t="str">
        <f t="shared" si="54"/>
        <v/>
      </c>
    </row>
    <row r="286" spans="15:71" x14ac:dyDescent="0.2">
      <c r="O286" t="str">
        <f>IFERROR(INDEX(_courses_lookup!$C:$C,MATCH(K286&amp;L286,_courses_lookup!$E:$E,0)),"")</f>
        <v/>
      </c>
      <c r="P286" t="str">
        <f>IFERROR(INDEX(_courses_lookup!$D:$D,MATCH(K286&amp;L286,_courses_lookup!$E:$E,0)),"")</f>
        <v/>
      </c>
      <c r="AG286" t="str">
        <f t="shared" si="44"/>
        <v/>
      </c>
      <c r="AI286" t="str">
        <f t="shared" si="45"/>
        <v/>
      </c>
      <c r="AL286" t="str">
        <f t="shared" si="46"/>
        <v/>
      </c>
      <c r="AN286" t="str">
        <f t="shared" si="47"/>
        <v/>
      </c>
      <c r="AQ286" t="str">
        <f t="shared" si="48"/>
        <v/>
      </c>
      <c r="AR286" t="str">
        <f t="shared" si="49"/>
        <v/>
      </c>
      <c r="AS286" t="str">
        <f t="shared" si="50"/>
        <v/>
      </c>
      <c r="AT286" t="str">
        <f t="shared" si="51"/>
        <v/>
      </c>
      <c r="BG286" t="str">
        <f t="shared" si="52"/>
        <v/>
      </c>
      <c r="BH286" t="str">
        <f t="shared" si="53"/>
        <v/>
      </c>
      <c r="BL286" t="str">
        <f>IFERROR(INDEX(_names_lookup!$C:$C,MATCH(BK286,_names_lookup!$A:$A,0)),"")</f>
        <v/>
      </c>
      <c r="BM286" t="str">
        <f>IFERROR(INDEX(_names_lookup!$B:$B,MATCH(BK286,_names_lookup!$A:$A,0)),"")</f>
        <v/>
      </c>
      <c r="BS286" t="str">
        <f t="shared" si="54"/>
        <v/>
      </c>
    </row>
    <row r="287" spans="15:71" x14ac:dyDescent="0.2">
      <c r="O287" t="str">
        <f>IFERROR(INDEX(_courses_lookup!$C:$C,MATCH(K287&amp;L287,_courses_lookup!$E:$E,0)),"")</f>
        <v/>
      </c>
      <c r="P287" t="str">
        <f>IFERROR(INDEX(_courses_lookup!$D:$D,MATCH(K287&amp;L287,_courses_lookup!$E:$E,0)),"")</f>
        <v/>
      </c>
      <c r="AG287" t="str">
        <f t="shared" si="44"/>
        <v/>
      </c>
      <c r="AI287" t="str">
        <f t="shared" si="45"/>
        <v/>
      </c>
      <c r="AL287" t="str">
        <f t="shared" si="46"/>
        <v/>
      </c>
      <c r="AN287" t="str">
        <f t="shared" si="47"/>
        <v/>
      </c>
      <c r="AQ287" t="str">
        <f t="shared" si="48"/>
        <v/>
      </c>
      <c r="AR287" t="str">
        <f t="shared" si="49"/>
        <v/>
      </c>
      <c r="AS287" t="str">
        <f t="shared" si="50"/>
        <v/>
      </c>
      <c r="AT287" t="str">
        <f t="shared" si="51"/>
        <v/>
      </c>
      <c r="BG287" t="str">
        <f t="shared" si="52"/>
        <v/>
      </c>
      <c r="BH287" t="str">
        <f t="shared" si="53"/>
        <v/>
      </c>
      <c r="BL287" t="str">
        <f>IFERROR(INDEX(_names_lookup!$C:$C,MATCH(BK287,_names_lookup!$A:$A,0)),"")</f>
        <v/>
      </c>
      <c r="BM287" t="str">
        <f>IFERROR(INDEX(_names_lookup!$B:$B,MATCH(BK287,_names_lookup!$A:$A,0)),"")</f>
        <v/>
      </c>
      <c r="BS287" t="str">
        <f t="shared" si="54"/>
        <v/>
      </c>
    </row>
    <row r="288" spans="15:71" x14ac:dyDescent="0.2">
      <c r="O288" t="str">
        <f>IFERROR(INDEX(_courses_lookup!$C:$C,MATCH(K288&amp;L288,_courses_lookup!$E:$E,0)),"")</f>
        <v/>
      </c>
      <c r="P288" t="str">
        <f>IFERROR(INDEX(_courses_lookup!$D:$D,MATCH(K288&amp;L288,_courses_lookup!$E:$E,0)),"")</f>
        <v/>
      </c>
      <c r="AG288" t="str">
        <f t="shared" si="44"/>
        <v/>
      </c>
      <c r="AI288" t="str">
        <f t="shared" si="45"/>
        <v/>
      </c>
      <c r="AL288" t="str">
        <f t="shared" si="46"/>
        <v/>
      </c>
      <c r="AN288" t="str">
        <f t="shared" si="47"/>
        <v/>
      </c>
      <c r="AQ288" t="str">
        <f t="shared" si="48"/>
        <v/>
      </c>
      <c r="AR288" t="str">
        <f t="shared" si="49"/>
        <v/>
      </c>
      <c r="AS288" t="str">
        <f t="shared" si="50"/>
        <v/>
      </c>
      <c r="AT288" t="str">
        <f t="shared" si="51"/>
        <v/>
      </c>
      <c r="BG288" t="str">
        <f t="shared" si="52"/>
        <v/>
      </c>
      <c r="BH288" t="str">
        <f t="shared" si="53"/>
        <v/>
      </c>
      <c r="BL288" t="str">
        <f>IFERROR(INDEX(_names_lookup!$C:$C,MATCH(BK288,_names_lookup!$A:$A,0)),"")</f>
        <v/>
      </c>
      <c r="BM288" t="str">
        <f>IFERROR(INDEX(_names_lookup!$B:$B,MATCH(BK288,_names_lookup!$A:$A,0)),"")</f>
        <v/>
      </c>
      <c r="BS288" t="str">
        <f t="shared" si="54"/>
        <v/>
      </c>
    </row>
    <row r="289" spans="15:71" x14ac:dyDescent="0.2">
      <c r="O289" t="str">
        <f>IFERROR(INDEX(_courses_lookup!$C:$C,MATCH(K289&amp;L289,_courses_lookup!$E:$E,0)),"")</f>
        <v/>
      </c>
      <c r="P289" t="str">
        <f>IFERROR(INDEX(_courses_lookup!$D:$D,MATCH(K289&amp;L289,_courses_lookup!$E:$E,0)),"")</f>
        <v/>
      </c>
      <c r="AG289" t="str">
        <f t="shared" si="44"/>
        <v/>
      </c>
      <c r="AI289" t="str">
        <f t="shared" si="45"/>
        <v/>
      </c>
      <c r="AL289" t="str">
        <f t="shared" si="46"/>
        <v/>
      </c>
      <c r="AN289" t="str">
        <f t="shared" si="47"/>
        <v/>
      </c>
      <c r="AQ289" t="str">
        <f t="shared" si="48"/>
        <v/>
      </c>
      <c r="AR289" t="str">
        <f t="shared" si="49"/>
        <v/>
      </c>
      <c r="AS289" t="str">
        <f t="shared" si="50"/>
        <v/>
      </c>
      <c r="AT289" t="str">
        <f t="shared" si="51"/>
        <v/>
      </c>
      <c r="BG289" t="str">
        <f t="shared" si="52"/>
        <v/>
      </c>
      <c r="BH289" t="str">
        <f t="shared" si="53"/>
        <v/>
      </c>
      <c r="BL289" t="str">
        <f>IFERROR(INDEX(_names_lookup!$C:$C,MATCH(BK289,_names_lookup!$A:$A,0)),"")</f>
        <v/>
      </c>
      <c r="BM289" t="str">
        <f>IFERROR(INDEX(_names_lookup!$B:$B,MATCH(BK289,_names_lookup!$A:$A,0)),"")</f>
        <v/>
      </c>
      <c r="BS289" t="str">
        <f t="shared" si="54"/>
        <v/>
      </c>
    </row>
    <row r="290" spans="15:71" x14ac:dyDescent="0.2">
      <c r="O290" t="str">
        <f>IFERROR(INDEX(_courses_lookup!$C:$C,MATCH(K290&amp;L290,_courses_lookup!$E:$E,0)),"")</f>
        <v/>
      </c>
      <c r="P290" t="str">
        <f>IFERROR(INDEX(_courses_lookup!$D:$D,MATCH(K290&amp;L290,_courses_lookup!$E:$E,0)),"")</f>
        <v/>
      </c>
      <c r="AG290" t="str">
        <f t="shared" si="44"/>
        <v/>
      </c>
      <c r="AI290" t="str">
        <f t="shared" si="45"/>
        <v/>
      </c>
      <c r="AL290" t="str">
        <f t="shared" si="46"/>
        <v/>
      </c>
      <c r="AN290" t="str">
        <f t="shared" si="47"/>
        <v/>
      </c>
      <c r="AQ290" t="str">
        <f t="shared" si="48"/>
        <v/>
      </c>
      <c r="AR290" t="str">
        <f t="shared" si="49"/>
        <v/>
      </c>
      <c r="AS290" t="str">
        <f t="shared" si="50"/>
        <v/>
      </c>
      <c r="AT290" t="str">
        <f t="shared" si="51"/>
        <v/>
      </c>
      <c r="BG290" t="str">
        <f t="shared" si="52"/>
        <v/>
      </c>
      <c r="BH290" t="str">
        <f t="shared" si="53"/>
        <v/>
      </c>
      <c r="BL290" t="str">
        <f>IFERROR(INDEX(_names_lookup!$C:$C,MATCH(BK290,_names_lookup!$A:$A,0)),"")</f>
        <v/>
      </c>
      <c r="BM290" t="str">
        <f>IFERROR(INDEX(_names_lookup!$B:$B,MATCH(BK290,_names_lookup!$A:$A,0)),"")</f>
        <v/>
      </c>
      <c r="BS290" t="str">
        <f t="shared" si="54"/>
        <v/>
      </c>
    </row>
    <row r="291" spans="15:71" x14ac:dyDescent="0.2">
      <c r="O291" t="str">
        <f>IFERROR(INDEX(_courses_lookup!$C:$C,MATCH(K291&amp;L291,_courses_lookup!$E:$E,0)),"")</f>
        <v/>
      </c>
      <c r="P291" t="str">
        <f>IFERROR(INDEX(_courses_lookup!$D:$D,MATCH(K291&amp;L291,_courses_lookup!$E:$E,0)),"")</f>
        <v/>
      </c>
      <c r="AG291" t="str">
        <f t="shared" si="44"/>
        <v/>
      </c>
      <c r="AI291" t="str">
        <f t="shared" si="45"/>
        <v/>
      </c>
      <c r="AL291" t="str">
        <f t="shared" si="46"/>
        <v/>
      </c>
      <c r="AN291" t="str">
        <f t="shared" si="47"/>
        <v/>
      </c>
      <c r="AQ291" t="str">
        <f t="shared" si="48"/>
        <v/>
      </c>
      <c r="AR291" t="str">
        <f t="shared" si="49"/>
        <v/>
      </c>
      <c r="AS291" t="str">
        <f t="shared" si="50"/>
        <v/>
      </c>
      <c r="AT291" t="str">
        <f t="shared" si="51"/>
        <v/>
      </c>
      <c r="BG291" t="str">
        <f t="shared" si="52"/>
        <v/>
      </c>
      <c r="BH291" t="str">
        <f t="shared" si="53"/>
        <v/>
      </c>
      <c r="BL291" t="str">
        <f>IFERROR(INDEX(_names_lookup!$C:$C,MATCH(BK291,_names_lookup!$A:$A,0)),"")</f>
        <v/>
      </c>
      <c r="BM291" t="str">
        <f>IFERROR(INDEX(_names_lookup!$B:$B,MATCH(BK291,_names_lookup!$A:$A,0)),"")</f>
        <v/>
      </c>
      <c r="BS291" t="str">
        <f t="shared" si="54"/>
        <v/>
      </c>
    </row>
    <row r="292" spans="15:71" x14ac:dyDescent="0.2">
      <c r="O292" t="str">
        <f>IFERROR(INDEX(_courses_lookup!$C:$C,MATCH(K292&amp;L292,_courses_lookup!$E:$E,0)),"")</f>
        <v/>
      </c>
      <c r="P292" t="str">
        <f>IFERROR(INDEX(_courses_lookup!$D:$D,MATCH(K292&amp;L292,_courses_lookup!$E:$E,0)),"")</f>
        <v/>
      </c>
      <c r="AG292" t="str">
        <f t="shared" si="44"/>
        <v/>
      </c>
      <c r="AI292" t="str">
        <f t="shared" si="45"/>
        <v/>
      </c>
      <c r="AL292" t="str">
        <f t="shared" si="46"/>
        <v/>
      </c>
      <c r="AN292" t="str">
        <f t="shared" si="47"/>
        <v/>
      </c>
      <c r="AQ292" t="str">
        <f t="shared" si="48"/>
        <v/>
      </c>
      <c r="AR292" t="str">
        <f t="shared" si="49"/>
        <v/>
      </c>
      <c r="AS292" t="str">
        <f t="shared" si="50"/>
        <v/>
      </c>
      <c r="AT292" t="str">
        <f t="shared" si="51"/>
        <v/>
      </c>
      <c r="BG292" t="str">
        <f t="shared" si="52"/>
        <v/>
      </c>
      <c r="BH292" t="str">
        <f t="shared" si="53"/>
        <v/>
      </c>
      <c r="BL292" t="str">
        <f>IFERROR(INDEX(_names_lookup!$C:$C,MATCH(BK292,_names_lookup!$A:$A,0)),"")</f>
        <v/>
      </c>
      <c r="BM292" t="str">
        <f>IFERROR(INDEX(_names_lookup!$B:$B,MATCH(BK292,_names_lookup!$A:$A,0)),"")</f>
        <v/>
      </c>
      <c r="BS292" t="str">
        <f t="shared" si="54"/>
        <v/>
      </c>
    </row>
    <row r="293" spans="15:71" x14ac:dyDescent="0.2">
      <c r="O293" t="str">
        <f>IFERROR(INDEX(_courses_lookup!$C:$C,MATCH(K293&amp;L293,_courses_lookup!$E:$E,0)),"")</f>
        <v/>
      </c>
      <c r="P293" t="str">
        <f>IFERROR(INDEX(_courses_lookup!$D:$D,MATCH(K293&amp;L293,_courses_lookup!$E:$E,0)),"")</f>
        <v/>
      </c>
      <c r="AG293" t="str">
        <f t="shared" si="44"/>
        <v/>
      </c>
      <c r="AI293" t="str">
        <f t="shared" si="45"/>
        <v/>
      </c>
      <c r="AL293" t="str">
        <f t="shared" si="46"/>
        <v/>
      </c>
      <c r="AN293" t="str">
        <f t="shared" si="47"/>
        <v/>
      </c>
      <c r="AQ293" t="str">
        <f t="shared" si="48"/>
        <v/>
      </c>
      <c r="AR293" t="str">
        <f t="shared" si="49"/>
        <v/>
      </c>
      <c r="AS293" t="str">
        <f t="shared" si="50"/>
        <v/>
      </c>
      <c r="AT293" t="str">
        <f t="shared" si="51"/>
        <v/>
      </c>
      <c r="BG293" t="str">
        <f t="shared" si="52"/>
        <v/>
      </c>
      <c r="BH293" t="str">
        <f t="shared" si="53"/>
        <v/>
      </c>
      <c r="BL293" t="str">
        <f>IFERROR(INDEX(_names_lookup!$C:$C,MATCH(BK293,_names_lookup!$A:$A,0)),"")</f>
        <v/>
      </c>
      <c r="BM293" t="str">
        <f>IFERROR(INDEX(_names_lookup!$B:$B,MATCH(BK293,_names_lookup!$A:$A,0)),"")</f>
        <v/>
      </c>
      <c r="BS293" t="str">
        <f t="shared" si="54"/>
        <v/>
      </c>
    </row>
    <row r="294" spans="15:71" x14ac:dyDescent="0.2">
      <c r="O294" t="str">
        <f>IFERROR(INDEX(_courses_lookup!$C:$C,MATCH(K294&amp;L294,_courses_lookup!$E:$E,0)),"")</f>
        <v/>
      </c>
      <c r="P294" t="str">
        <f>IFERROR(INDEX(_courses_lookup!$D:$D,MATCH(K294&amp;L294,_courses_lookup!$E:$E,0)),"")</f>
        <v/>
      </c>
      <c r="AG294" t="str">
        <f t="shared" si="44"/>
        <v/>
      </c>
      <c r="AI294" t="str">
        <f t="shared" si="45"/>
        <v/>
      </c>
      <c r="AL294" t="str">
        <f t="shared" si="46"/>
        <v/>
      </c>
      <c r="AN294" t="str">
        <f t="shared" si="47"/>
        <v/>
      </c>
      <c r="AQ294" t="str">
        <f t="shared" si="48"/>
        <v/>
      </c>
      <c r="AR294" t="str">
        <f t="shared" si="49"/>
        <v/>
      </c>
      <c r="AS294" t="str">
        <f t="shared" si="50"/>
        <v/>
      </c>
      <c r="AT294" t="str">
        <f t="shared" si="51"/>
        <v/>
      </c>
      <c r="BG294" t="str">
        <f t="shared" si="52"/>
        <v/>
      </c>
      <c r="BH294" t="str">
        <f t="shared" si="53"/>
        <v/>
      </c>
      <c r="BL294" t="str">
        <f>IFERROR(INDEX(_names_lookup!$C:$C,MATCH(BK294,_names_lookup!$A:$A,0)),"")</f>
        <v/>
      </c>
      <c r="BM294" t="str">
        <f>IFERROR(INDEX(_names_lookup!$B:$B,MATCH(BK294,_names_lookup!$A:$A,0)),"")</f>
        <v/>
      </c>
      <c r="BS294" t="str">
        <f t="shared" si="54"/>
        <v/>
      </c>
    </row>
    <row r="295" spans="15:71" x14ac:dyDescent="0.2">
      <c r="O295" t="str">
        <f>IFERROR(INDEX(_courses_lookup!$C:$C,MATCH(K295&amp;L295,_courses_lookup!$E:$E,0)),"")</f>
        <v/>
      </c>
      <c r="P295" t="str">
        <f>IFERROR(INDEX(_courses_lookup!$D:$D,MATCH(K295&amp;L295,_courses_lookup!$E:$E,0)),"")</f>
        <v/>
      </c>
      <c r="AG295" t="str">
        <f t="shared" si="44"/>
        <v/>
      </c>
      <c r="AI295" t="str">
        <f t="shared" si="45"/>
        <v/>
      </c>
      <c r="AL295" t="str">
        <f t="shared" si="46"/>
        <v/>
      </c>
      <c r="AN295" t="str">
        <f t="shared" si="47"/>
        <v/>
      </c>
      <c r="AQ295" t="str">
        <f t="shared" si="48"/>
        <v/>
      </c>
      <c r="AR295" t="str">
        <f t="shared" si="49"/>
        <v/>
      </c>
      <c r="AS295" t="str">
        <f t="shared" si="50"/>
        <v/>
      </c>
      <c r="AT295" t="str">
        <f t="shared" si="51"/>
        <v/>
      </c>
      <c r="BG295" t="str">
        <f t="shared" si="52"/>
        <v/>
      </c>
      <c r="BH295" t="str">
        <f t="shared" si="53"/>
        <v/>
      </c>
      <c r="BL295" t="str">
        <f>IFERROR(INDEX(_names_lookup!$C:$C,MATCH(BK295,_names_lookup!$A:$A,0)),"")</f>
        <v/>
      </c>
      <c r="BM295" t="str">
        <f>IFERROR(INDEX(_names_lookup!$B:$B,MATCH(BK295,_names_lookup!$A:$A,0)),"")</f>
        <v/>
      </c>
      <c r="BS295" t="str">
        <f t="shared" si="54"/>
        <v/>
      </c>
    </row>
    <row r="296" spans="15:71" x14ac:dyDescent="0.2">
      <c r="O296" t="str">
        <f>IFERROR(INDEX(_courses_lookup!$C:$C,MATCH(K296&amp;L296,_courses_lookup!$E:$E,0)),"")</f>
        <v/>
      </c>
      <c r="P296" t="str">
        <f>IFERROR(INDEX(_courses_lookup!$D:$D,MATCH(K296&amp;L296,_courses_lookup!$E:$E,0)),"")</f>
        <v/>
      </c>
      <c r="AG296" t="str">
        <f t="shared" si="44"/>
        <v/>
      </c>
      <c r="AI296" t="str">
        <f t="shared" si="45"/>
        <v/>
      </c>
      <c r="AL296" t="str">
        <f t="shared" si="46"/>
        <v/>
      </c>
      <c r="AN296" t="str">
        <f t="shared" si="47"/>
        <v/>
      </c>
      <c r="AQ296" t="str">
        <f t="shared" si="48"/>
        <v/>
      </c>
      <c r="AR296" t="str">
        <f t="shared" si="49"/>
        <v/>
      </c>
      <c r="AS296" t="str">
        <f t="shared" si="50"/>
        <v/>
      </c>
      <c r="AT296" t="str">
        <f t="shared" si="51"/>
        <v/>
      </c>
      <c r="BG296" t="str">
        <f t="shared" si="52"/>
        <v/>
      </c>
      <c r="BH296" t="str">
        <f t="shared" si="53"/>
        <v/>
      </c>
      <c r="BL296" t="str">
        <f>IFERROR(INDEX(_names_lookup!$C:$C,MATCH(BK296,_names_lookup!$A:$A,0)),"")</f>
        <v/>
      </c>
      <c r="BM296" t="str">
        <f>IFERROR(INDEX(_names_lookup!$B:$B,MATCH(BK296,_names_lookup!$A:$A,0)),"")</f>
        <v/>
      </c>
      <c r="BS296" t="str">
        <f t="shared" si="54"/>
        <v/>
      </c>
    </row>
    <row r="297" spans="15:71" x14ac:dyDescent="0.2">
      <c r="O297" t="str">
        <f>IFERROR(INDEX(_courses_lookup!$C:$C,MATCH(K297&amp;L297,_courses_lookup!$E:$E,0)),"")</f>
        <v/>
      </c>
      <c r="P297" t="str">
        <f>IFERROR(INDEX(_courses_lookup!$D:$D,MATCH(K297&amp;L297,_courses_lookup!$E:$E,0)),"")</f>
        <v/>
      </c>
      <c r="AG297" t="str">
        <f t="shared" si="44"/>
        <v/>
      </c>
      <c r="AI297" t="str">
        <f t="shared" si="45"/>
        <v/>
      </c>
      <c r="AL297" t="str">
        <f t="shared" si="46"/>
        <v/>
      </c>
      <c r="AN297" t="str">
        <f t="shared" si="47"/>
        <v/>
      </c>
      <c r="AQ297" t="str">
        <f t="shared" si="48"/>
        <v/>
      </c>
      <c r="AR297" t="str">
        <f t="shared" si="49"/>
        <v/>
      </c>
      <c r="AS297" t="str">
        <f t="shared" si="50"/>
        <v/>
      </c>
      <c r="AT297" t="str">
        <f t="shared" si="51"/>
        <v/>
      </c>
      <c r="BG297" t="str">
        <f t="shared" si="52"/>
        <v/>
      </c>
      <c r="BH297" t="str">
        <f t="shared" si="53"/>
        <v/>
      </c>
      <c r="BL297" t="str">
        <f>IFERROR(INDEX(_names_lookup!$C:$C,MATCH(BK297,_names_lookup!$A:$A,0)),"")</f>
        <v/>
      </c>
      <c r="BM297" t="str">
        <f>IFERROR(INDEX(_names_lookup!$B:$B,MATCH(BK297,_names_lookup!$A:$A,0)),"")</f>
        <v/>
      </c>
      <c r="BS297" t="str">
        <f t="shared" si="54"/>
        <v/>
      </c>
    </row>
    <row r="298" spans="15:71" x14ac:dyDescent="0.2">
      <c r="O298" t="str">
        <f>IFERROR(INDEX(_courses_lookup!$C:$C,MATCH(K298&amp;L298,_courses_lookup!$E:$E,0)),"")</f>
        <v/>
      </c>
      <c r="P298" t="str">
        <f>IFERROR(INDEX(_courses_lookup!$D:$D,MATCH(K298&amp;L298,_courses_lookup!$E:$E,0)),"")</f>
        <v/>
      </c>
      <c r="AG298" t="str">
        <f t="shared" si="44"/>
        <v/>
      </c>
      <c r="AI298" t="str">
        <f t="shared" si="45"/>
        <v/>
      </c>
      <c r="AL298" t="str">
        <f t="shared" si="46"/>
        <v/>
      </c>
      <c r="AN298" t="str">
        <f t="shared" si="47"/>
        <v/>
      </c>
      <c r="AQ298" t="str">
        <f t="shared" si="48"/>
        <v/>
      </c>
      <c r="AR298" t="str">
        <f t="shared" si="49"/>
        <v/>
      </c>
      <c r="AS298" t="str">
        <f t="shared" si="50"/>
        <v/>
      </c>
      <c r="AT298" t="str">
        <f t="shared" si="51"/>
        <v/>
      </c>
      <c r="BG298" t="str">
        <f t="shared" si="52"/>
        <v/>
      </c>
      <c r="BH298" t="str">
        <f t="shared" si="53"/>
        <v/>
      </c>
      <c r="BL298" t="str">
        <f>IFERROR(INDEX(_names_lookup!$C:$C,MATCH(BK298,_names_lookup!$A:$A,0)),"")</f>
        <v/>
      </c>
      <c r="BM298" t="str">
        <f>IFERROR(INDEX(_names_lookup!$B:$B,MATCH(BK298,_names_lookup!$A:$A,0)),"")</f>
        <v/>
      </c>
      <c r="BS298" t="str">
        <f t="shared" si="54"/>
        <v/>
      </c>
    </row>
    <row r="299" spans="15:71" x14ac:dyDescent="0.2">
      <c r="O299" t="str">
        <f>IFERROR(INDEX(_courses_lookup!$C:$C,MATCH(K299&amp;L299,_courses_lookup!$E:$E,0)),"")</f>
        <v/>
      </c>
      <c r="P299" t="str">
        <f>IFERROR(INDEX(_courses_lookup!$D:$D,MATCH(K299&amp;L299,_courses_lookup!$E:$E,0)),"")</f>
        <v/>
      </c>
      <c r="AG299" t="str">
        <f t="shared" si="44"/>
        <v/>
      </c>
      <c r="AI299" t="str">
        <f t="shared" si="45"/>
        <v/>
      </c>
      <c r="AL299" t="str">
        <f t="shared" si="46"/>
        <v/>
      </c>
      <c r="AN299" t="str">
        <f t="shared" si="47"/>
        <v/>
      </c>
      <c r="AQ299" t="str">
        <f t="shared" si="48"/>
        <v/>
      </c>
      <c r="AR299" t="str">
        <f t="shared" si="49"/>
        <v/>
      </c>
      <c r="AS299" t="str">
        <f t="shared" si="50"/>
        <v/>
      </c>
      <c r="AT299" t="str">
        <f t="shared" si="51"/>
        <v/>
      </c>
      <c r="BG299" t="str">
        <f t="shared" si="52"/>
        <v/>
      </c>
      <c r="BH299" t="str">
        <f t="shared" si="53"/>
        <v/>
      </c>
      <c r="BL299" t="str">
        <f>IFERROR(INDEX(_names_lookup!$C:$C,MATCH(BK299,_names_lookup!$A:$A,0)),"")</f>
        <v/>
      </c>
      <c r="BM299" t="str">
        <f>IFERROR(INDEX(_names_lookup!$B:$B,MATCH(BK299,_names_lookup!$A:$A,0)),"")</f>
        <v/>
      </c>
      <c r="BS299" t="str">
        <f t="shared" si="54"/>
        <v/>
      </c>
    </row>
    <row r="300" spans="15:71" x14ac:dyDescent="0.2">
      <c r="O300" t="str">
        <f>IFERROR(INDEX(_courses_lookup!$C:$C,MATCH(K300&amp;L300,_courses_lookup!$E:$E,0)),"")</f>
        <v/>
      </c>
      <c r="P300" t="str">
        <f>IFERROR(INDEX(_courses_lookup!$D:$D,MATCH(K300&amp;L300,_courses_lookup!$E:$E,0)),"")</f>
        <v/>
      </c>
      <c r="AG300" t="str">
        <f t="shared" si="44"/>
        <v/>
      </c>
      <c r="AI300" t="str">
        <f t="shared" si="45"/>
        <v/>
      </c>
      <c r="AL300" t="str">
        <f t="shared" si="46"/>
        <v/>
      </c>
      <c r="AN300" t="str">
        <f t="shared" si="47"/>
        <v/>
      </c>
      <c r="AQ300" t="str">
        <f t="shared" si="48"/>
        <v/>
      </c>
      <c r="AR300" t="str">
        <f t="shared" si="49"/>
        <v/>
      </c>
      <c r="AS300" t="str">
        <f t="shared" si="50"/>
        <v/>
      </c>
      <c r="AT300" t="str">
        <f t="shared" si="51"/>
        <v/>
      </c>
      <c r="BG300" t="str">
        <f t="shared" si="52"/>
        <v/>
      </c>
      <c r="BH300" t="str">
        <f t="shared" si="53"/>
        <v/>
      </c>
      <c r="BL300" t="str">
        <f>IFERROR(INDEX(_names_lookup!$C:$C,MATCH(BK300,_names_lookup!$A:$A,0)),"")</f>
        <v/>
      </c>
      <c r="BM300" t="str">
        <f>IFERROR(INDEX(_names_lookup!$B:$B,MATCH(BK300,_names_lookup!$A:$A,0)),"")</f>
        <v/>
      </c>
      <c r="BS300" t="str">
        <f t="shared" si="54"/>
        <v/>
      </c>
    </row>
  </sheetData>
  <autoFilter ref="A1:DQ18" xr:uid="{00000000-0009-0000-0000-000005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500-000000000000}">
          <x14:formula1>
            <xm:f>DropDownMenu!$A$2:$A$3</xm:f>
          </x14:formula1>
          <xm:sqref>A2:A5000</xm:sqref>
        </x14:dataValidation>
        <x14:dataValidation type="list" allowBlank="1" xr:uid="{00000000-0002-0000-0500-000001000000}">
          <x14:formula1>
            <xm:f>DropDownMenu!$B$2:$B$3</xm:f>
          </x14:formula1>
          <xm:sqref>B2:B5000</xm:sqref>
        </x14:dataValidation>
        <x14:dataValidation type="list" allowBlank="1" xr:uid="{00000000-0002-0000-0500-000002000000}">
          <x14:formula1>
            <xm:f>DropDownMenu!$C$2:$C$3</xm:f>
          </x14:formula1>
          <xm:sqref>C2:C5000</xm:sqref>
        </x14:dataValidation>
        <x14:dataValidation type="list" allowBlank="1" xr:uid="{00000000-0002-0000-0500-000003000000}">
          <x14:formula1>
            <xm:f>DropDownMenu!$D$2:$D$3</xm:f>
          </x14:formula1>
          <xm:sqref>D2:D5000</xm:sqref>
        </x14:dataValidation>
        <x14:dataValidation type="list" allowBlank="1" xr:uid="{00000000-0002-0000-0500-000004000000}">
          <x14:formula1>
            <xm:f>DropDownMenu!$E$2:$E$3</xm:f>
          </x14:formula1>
          <xm:sqref>E2:E5000</xm:sqref>
        </x14:dataValidation>
        <x14:dataValidation type="list" allowBlank="1" xr:uid="{00000000-0002-0000-0500-000005000000}">
          <x14:formula1>
            <xm:f>DropDownMenu!$F$2:$F$3</xm:f>
          </x14:formula1>
          <xm:sqref>F2:F5000</xm:sqref>
        </x14:dataValidation>
        <x14:dataValidation type="list" allowBlank="1" xr:uid="{00000000-0002-0000-0500-000006000000}">
          <x14:formula1>
            <xm:f>DropDownMenu!$G$2:$G$19</xm:f>
          </x14:formula1>
          <xm:sqref>G2:G5000</xm:sqref>
        </x14:dataValidation>
        <x14:dataValidation type="list" allowBlank="1" xr:uid="{00000000-0002-0000-0500-000007000000}">
          <x14:formula1>
            <xm:f>DropDownMenu!$H$2:$H$564</xm:f>
          </x14:formula1>
          <xm:sqref>H2:H5000</xm:sqref>
        </x14:dataValidation>
        <x14:dataValidation type="list" allowBlank="1" xr:uid="{00000000-0002-0000-0500-000008000000}">
          <x14:formula1>
            <xm:f>DropDownMenu!$I$2:$I$352</xm:f>
          </x14:formula1>
          <xm:sqref>I2:I5000</xm:sqref>
        </x14:dataValidation>
        <x14:dataValidation type="list" allowBlank="1" xr:uid="{00000000-0002-0000-0500-000009000000}">
          <x14:formula1>
            <xm:f>DropDownMenu!$J$2:$J$10</xm:f>
          </x14:formula1>
          <xm:sqref>K2:K5000</xm:sqref>
        </x14:dataValidation>
        <x14:dataValidation type="list" allowBlank="1" xr:uid="{00000000-0002-0000-0500-00000A000000}">
          <x14:formula1>
            <xm:f>DropDownMenu!$K$2:$K$101</xm:f>
          </x14:formula1>
          <xm:sqref>L2:L5000</xm:sqref>
        </x14:dataValidation>
        <x14:dataValidation type="list" allowBlank="1" xr:uid="{00000000-0002-0000-0500-00000B000000}">
          <x14:formula1>
            <xm:f>DropDownMenu!$L$2:$L$42</xm:f>
          </x14:formula1>
          <xm:sqref>M2:M5000</xm:sqref>
        </x14:dataValidation>
        <x14:dataValidation type="list" allowBlank="1" xr:uid="{00000000-0002-0000-0500-00000C000000}">
          <x14:formula1>
            <xm:f>DropDownMenu!$M$2:$M$15</xm:f>
          </x14:formula1>
          <xm:sqref>N2:N5000</xm:sqref>
        </x14:dataValidation>
        <x14:dataValidation type="list" allowBlank="1" xr:uid="{00000000-0002-0000-0500-00000D000000}">
          <x14:formula1>
            <xm:f>DropDownMenu!$N$2:$N$140</xm:f>
          </x14:formula1>
          <xm:sqref>O2:O5000</xm:sqref>
        </x14:dataValidation>
        <x14:dataValidation type="list" allowBlank="1" xr:uid="{00000000-0002-0000-0500-00000E000000}">
          <x14:formula1>
            <xm:f>DropDownMenu!$O$2:$O$65</xm:f>
          </x14:formula1>
          <xm:sqref>P2:P5000</xm:sqref>
        </x14:dataValidation>
        <x14:dataValidation type="list" allowBlank="1" xr:uid="{00000000-0002-0000-0500-00000F000000}">
          <x14:formula1>
            <xm:f>DropDownMenu!$P$2:$P$45</xm:f>
          </x14:formula1>
          <xm:sqref>R2:R5000</xm:sqref>
        </x14:dataValidation>
        <x14:dataValidation type="list" allowBlank="1" xr:uid="{00000000-0002-0000-0500-000010000000}">
          <x14:formula1>
            <xm:f>DropDownMenu!$Q$2:$Q$6</xm:f>
          </x14:formula1>
          <xm:sqref>S2:S5000</xm:sqref>
        </x14:dataValidation>
        <x14:dataValidation type="list" allowBlank="1" xr:uid="{00000000-0002-0000-0500-000011000000}">
          <x14:formula1>
            <xm:f>DropDownMenu!$R$2:$R$7</xm:f>
          </x14:formula1>
          <xm:sqref>T2:T5000</xm:sqref>
        </x14:dataValidation>
        <x14:dataValidation type="list" allowBlank="1" xr:uid="{00000000-0002-0000-0500-000012000000}">
          <x14:formula1>
            <xm:f>DropDownMenu!$S$2:$S$12</xm:f>
          </x14:formula1>
          <xm:sqref>U2:U5000</xm:sqref>
        </x14:dataValidation>
        <x14:dataValidation type="list" allowBlank="1" xr:uid="{00000000-0002-0000-0500-000013000000}">
          <x14:formula1>
            <xm:f>DropDownMenu!$T$2:$T$13</xm:f>
          </x14:formula1>
          <xm:sqref>V2:V5000</xm:sqref>
        </x14:dataValidation>
        <x14:dataValidation type="list" allowBlank="1" xr:uid="{00000000-0002-0000-0500-000014000000}">
          <x14:formula1>
            <xm:f>DropDownMenu!$U$2:$U$4</xm:f>
          </x14:formula1>
          <xm:sqref>W2:W5000</xm:sqref>
        </x14:dataValidation>
        <x14:dataValidation type="list" allowBlank="1" xr:uid="{00000000-0002-0000-0500-000015000000}">
          <x14:formula1>
            <xm:f>DropDownMenu!$V$2:$V$6</xm:f>
          </x14:formula1>
          <xm:sqref>X2:X5000</xm:sqref>
        </x14:dataValidation>
        <x14:dataValidation type="list" allowBlank="1" xr:uid="{00000000-0002-0000-0500-000016000000}">
          <x14:formula1>
            <xm:f>DropDownMenu!$W$2:$W$26</xm:f>
          </x14:formula1>
          <xm:sqref>Y2:Y5000</xm:sqref>
        </x14:dataValidation>
        <x14:dataValidation type="list" allowBlank="1" xr:uid="{00000000-0002-0000-0500-000017000000}">
          <x14:formula1>
            <xm:f>DropDownMenu!$X$2:$X$7</xm:f>
          </x14:formula1>
          <xm:sqref>Z2:Z5000</xm:sqref>
        </x14:dataValidation>
        <x14:dataValidation type="list" allowBlank="1" xr:uid="{00000000-0002-0000-0500-000018000000}">
          <x14:formula1>
            <xm:f>DropDownMenu!$Y$2:$Y$15</xm:f>
          </x14:formula1>
          <xm:sqref>AB2:AB5000</xm:sqref>
        </x14:dataValidation>
        <x14:dataValidation type="list" allowBlank="1" xr:uid="{00000000-0002-0000-0500-000019000000}">
          <x14:formula1>
            <xm:f>DropDownMenu!$Z$2:$Z$6</xm:f>
          </x14:formula1>
          <xm:sqref>AC2:AC5000</xm:sqref>
        </x14:dataValidation>
        <x14:dataValidation type="list" allowBlank="1" xr:uid="{00000000-0002-0000-0500-00001A000000}">
          <x14:formula1>
            <xm:f>DropDownMenu!$AA$2:$AA$7</xm:f>
          </x14:formula1>
          <xm:sqref>AD2:AD5000</xm:sqref>
        </x14:dataValidation>
        <x14:dataValidation type="list" allowBlank="1" xr:uid="{00000000-0002-0000-0500-00001B000000}">
          <x14:formula1>
            <xm:f>DropDownMenu!$AB$2:$AB$2</xm:f>
          </x14:formula1>
          <xm:sqref>AG2:AG5000</xm:sqref>
        </x14:dataValidation>
        <x14:dataValidation type="list" allowBlank="1" xr:uid="{00000000-0002-0000-0500-00001C000000}">
          <x14:formula1>
            <xm:f>DropDownMenu!$AC$2:$AC$2</xm:f>
          </x14:formula1>
          <xm:sqref>AH2:AH5000</xm:sqref>
        </x14:dataValidation>
        <x14:dataValidation type="list" allowBlank="1" xr:uid="{00000000-0002-0000-0500-00001D000000}">
          <x14:formula1>
            <xm:f>DropDownMenu!$AD$2:$AD$2</xm:f>
          </x14:formula1>
          <xm:sqref>AI2:AI5000</xm:sqref>
        </x14:dataValidation>
        <x14:dataValidation type="list" allowBlank="1" xr:uid="{00000000-0002-0000-0500-00001E000000}">
          <x14:formula1>
            <xm:f>DropDownMenu!$AE$2:$AE$49</xm:f>
          </x14:formula1>
          <xm:sqref>AJ2:AJ5000</xm:sqref>
        </x14:dataValidation>
        <x14:dataValidation type="list" allowBlank="1" xr:uid="{00000000-0002-0000-0500-00001F000000}">
          <x14:formula1>
            <xm:f>DropDownMenu!$AF$2:$AF$52</xm:f>
          </x14:formula1>
          <xm:sqref>AK2:AK5000</xm:sqref>
        </x14:dataValidation>
        <x14:dataValidation type="list" allowBlank="1" xr:uid="{00000000-0002-0000-0500-000020000000}">
          <x14:formula1>
            <xm:f>DropDownMenu!$AG$2:$AG$2</xm:f>
          </x14:formula1>
          <xm:sqref>AL2:AL5000</xm:sqref>
        </x14:dataValidation>
        <x14:dataValidation type="list" allowBlank="1" xr:uid="{00000000-0002-0000-0500-000021000000}">
          <x14:formula1>
            <xm:f>DropDownMenu!$AH$2:$AH$2</xm:f>
          </x14:formula1>
          <xm:sqref>AM2:AM5000</xm:sqref>
        </x14:dataValidation>
        <x14:dataValidation type="list" allowBlank="1" xr:uid="{00000000-0002-0000-0500-000022000000}">
          <x14:formula1>
            <xm:f>DropDownMenu!$AI$2:$AI$2</xm:f>
          </x14:formula1>
          <xm:sqref>AN2:AN5000</xm:sqref>
        </x14:dataValidation>
        <x14:dataValidation type="list" allowBlank="1" xr:uid="{00000000-0002-0000-0500-000023000000}">
          <x14:formula1>
            <xm:f>DropDownMenu!$AJ$2:$AJ$2</xm:f>
          </x14:formula1>
          <xm:sqref>AQ2:AQ5000</xm:sqref>
        </x14:dataValidation>
        <x14:dataValidation type="list" allowBlank="1" xr:uid="{00000000-0002-0000-0500-000024000000}">
          <x14:formula1>
            <xm:f>DropDownMenu!$AK$2:$AK$2</xm:f>
          </x14:formula1>
          <xm:sqref>AR2:AR5000</xm:sqref>
        </x14:dataValidation>
        <x14:dataValidation type="list" allowBlank="1" xr:uid="{00000000-0002-0000-0500-000025000000}">
          <x14:formula1>
            <xm:f>DropDownMenu!$AL$2:$AL$2</xm:f>
          </x14:formula1>
          <xm:sqref>AS2:AS5000</xm:sqref>
        </x14:dataValidation>
        <x14:dataValidation type="list" allowBlank="1" xr:uid="{00000000-0002-0000-0500-000026000000}">
          <x14:formula1>
            <xm:f>DropDownMenu!$AM$2:$AM$2</xm:f>
          </x14:formula1>
          <xm:sqref>AT2:AT5000</xm:sqref>
        </x14:dataValidation>
        <x14:dataValidation type="list" allowBlank="1" xr:uid="{00000000-0002-0000-0500-000027000000}">
          <x14:formula1>
            <xm:f>DropDownMenu!$AN$2:$AN$2</xm:f>
          </x14:formula1>
          <xm:sqref>AU2:AU5000</xm:sqref>
        </x14:dataValidation>
        <x14:dataValidation type="list" allowBlank="1" xr:uid="{00000000-0002-0000-0500-000028000000}">
          <x14:formula1>
            <xm:f>DropDownMenu!$AO$2:$AO$9</xm:f>
          </x14:formula1>
          <xm:sqref>AV2:AV5000</xm:sqref>
        </x14:dataValidation>
        <x14:dataValidation type="list" allowBlank="1" xr:uid="{00000000-0002-0000-0500-000029000000}">
          <x14:formula1>
            <xm:f>DropDownMenu!$AP$2:$AP$6</xm:f>
          </x14:formula1>
          <xm:sqref>AW2:AW5000</xm:sqref>
        </x14:dataValidation>
        <x14:dataValidation type="list" allowBlank="1" xr:uid="{00000000-0002-0000-0500-00002A000000}">
          <x14:formula1>
            <xm:f>DropDownMenu!$AQ$2:$AQ$11</xm:f>
          </x14:formula1>
          <xm:sqref>AX2:AX5000</xm:sqref>
        </x14:dataValidation>
        <x14:dataValidation type="list" allowBlank="1" xr:uid="{00000000-0002-0000-0500-00002B000000}">
          <x14:formula1>
            <xm:f>DropDownMenu!$AR$2:$AR$2</xm:f>
          </x14:formula1>
          <xm:sqref>AY2:AY5000</xm:sqref>
        </x14:dataValidation>
        <x14:dataValidation type="list" allowBlank="1" xr:uid="{00000000-0002-0000-0500-00002C000000}">
          <x14:formula1>
            <xm:f>DropDownMenu!$AS$2:$AS$2</xm:f>
          </x14:formula1>
          <xm:sqref>AZ2:AZ5000</xm:sqref>
        </x14:dataValidation>
        <x14:dataValidation type="list" allowBlank="1" xr:uid="{00000000-0002-0000-0500-00002D000000}">
          <x14:formula1>
            <xm:f>DropDownMenu!$AT$2:$AT$2</xm:f>
          </x14:formula1>
          <xm:sqref>BA2:BA5000</xm:sqref>
        </x14:dataValidation>
        <x14:dataValidation type="list" allowBlank="1" xr:uid="{00000000-0002-0000-0500-00002E000000}">
          <x14:formula1>
            <xm:f>DropDownMenu!$AU$2:$AU$2</xm:f>
          </x14:formula1>
          <xm:sqref>BB2:BB5000</xm:sqref>
        </x14:dataValidation>
        <x14:dataValidation type="list" allowBlank="1" xr:uid="{00000000-0002-0000-0500-00002F000000}">
          <x14:formula1>
            <xm:f>DropDownMenu!$AV$2:$AV$2</xm:f>
          </x14:formula1>
          <xm:sqref>BC2:BC5000</xm:sqref>
        </x14:dataValidation>
        <x14:dataValidation type="list" allowBlank="1" xr:uid="{00000000-0002-0000-0500-000030000000}">
          <x14:formula1>
            <xm:f>DropDownMenu!$AW$2:$AW$5</xm:f>
          </x14:formula1>
          <xm:sqref>BF2:BF5000</xm:sqref>
        </x14:dataValidation>
        <x14:dataValidation type="list" allowBlank="1" xr:uid="{00000000-0002-0000-0500-000031000000}">
          <x14:formula1>
            <xm:f>DropDownMenu!$AX$2:$AX$37</xm:f>
          </x14:formula1>
          <xm:sqref>BG2:BG5000</xm:sqref>
        </x14:dataValidation>
        <x14:dataValidation type="list" allowBlank="1" xr:uid="{00000000-0002-0000-0500-000032000000}">
          <x14:formula1>
            <xm:f>DropDownMenu!$AY$2:$AY$4</xm:f>
          </x14:formula1>
          <xm:sqref>BH2:BH5000</xm:sqref>
        </x14:dataValidation>
        <x14:dataValidation type="list" allowBlank="1" xr:uid="{00000000-0002-0000-0500-000033000000}">
          <x14:formula1>
            <xm:f>DropDownMenu!$AZ$2:$AZ$13</xm:f>
          </x14:formula1>
          <xm:sqref>BI2:BI5000</xm:sqref>
        </x14:dataValidation>
        <x14:dataValidation type="list" allowBlank="1" xr:uid="{00000000-0002-0000-0500-000034000000}">
          <x14:formula1>
            <xm:f>DropDownMenu!$BA$2:$BA$34</xm:f>
          </x14:formula1>
          <xm:sqref>BJ2:BJ5000</xm:sqref>
        </x14:dataValidation>
        <x14:dataValidation type="list" allowBlank="1" xr:uid="{00000000-0002-0000-0500-000035000000}">
          <x14:formula1>
            <xm:f>DropDownMenu!$BB$2:$BB$258</xm:f>
          </x14:formula1>
          <xm:sqref>BK2:BK5000</xm:sqref>
        </x14:dataValidation>
        <x14:dataValidation type="list" allowBlank="1" xr:uid="{00000000-0002-0000-0500-000036000000}">
          <x14:formula1>
            <xm:f>DropDownMenu!$BC$2:$BC$252</xm:f>
          </x14:formula1>
          <xm:sqref>BL2:BL5000</xm:sqref>
        </x14:dataValidation>
        <x14:dataValidation type="list" allowBlank="1" xr:uid="{00000000-0002-0000-0500-000037000000}">
          <x14:formula1>
            <xm:f>DropDownMenu!$BD$2:$BD$258</xm:f>
          </x14:formula1>
          <xm:sqref>BM2:BM5000</xm:sqref>
        </x14:dataValidation>
        <x14:dataValidation type="list" allowBlank="1" xr:uid="{00000000-0002-0000-0500-000038000000}">
          <x14:formula1>
            <xm:f>DropDownMenu!$BE$2:$BE$3</xm:f>
          </x14:formula1>
          <xm:sqref>BN2:BN5000</xm:sqref>
        </x14:dataValidation>
        <x14:dataValidation type="list" allowBlank="1" xr:uid="{00000000-0002-0000-0500-000039000000}">
          <x14:formula1>
            <xm:f>DropDownMenu!$BF$2:$BF$4</xm:f>
          </x14:formula1>
          <xm:sqref>BO2:BO5000</xm:sqref>
        </x14:dataValidation>
        <x14:dataValidation type="list" allowBlank="1" xr:uid="{00000000-0002-0000-0500-00003A000000}">
          <x14:formula1>
            <xm:f>DropDownMenu!$BG$2:$BG$6</xm:f>
          </x14:formula1>
          <xm:sqref>BP2:BP5000</xm:sqref>
        </x14:dataValidation>
        <x14:dataValidation type="list" allowBlank="1" xr:uid="{00000000-0002-0000-0500-00003B000000}">
          <x14:formula1>
            <xm:f>DropDownMenu!$BH$2:$BH$4</xm:f>
          </x14:formula1>
          <xm:sqref>BQ2:BQ5000</xm:sqref>
        </x14:dataValidation>
        <x14:dataValidation type="list" allowBlank="1" xr:uid="{00000000-0002-0000-0500-00003C000000}">
          <x14:formula1>
            <xm:f>DropDownMenu!$BI$2:$BI$3</xm:f>
          </x14:formula1>
          <xm:sqref>BR2:BR5000</xm:sqref>
        </x14:dataValidation>
        <x14:dataValidation type="list" allowBlank="1" xr:uid="{00000000-0002-0000-0500-00003D000000}">
          <x14:formula1>
            <xm:f>DropDownMenu!$BJ$2:$BJ$3</xm:f>
          </x14:formula1>
          <xm:sqref>BT2:BT5000</xm:sqref>
        </x14:dataValidation>
        <x14:dataValidation type="list" allowBlank="1" xr:uid="{00000000-0002-0000-0500-00003E000000}">
          <x14:formula1>
            <xm:f>DropDownMenu!$BK$2:$BK$11</xm:f>
          </x14:formula1>
          <xm:sqref>BU2:BU5000</xm:sqref>
        </x14:dataValidation>
        <x14:dataValidation type="list" allowBlank="1" xr:uid="{00000000-0002-0000-0500-00003F000000}">
          <x14:formula1>
            <xm:f>DropDownMenu!$BL$2:$BL$9</xm:f>
          </x14:formula1>
          <xm:sqref>BV2:BV5000</xm:sqref>
        </x14:dataValidation>
        <x14:dataValidation type="list" allowBlank="1" xr:uid="{00000000-0002-0000-0500-000040000000}">
          <x14:formula1>
            <xm:f>DropDownMenu!$BM$2:$BM$2</xm:f>
          </x14:formula1>
          <xm:sqref>BW2:BW5000</xm:sqref>
        </x14:dataValidation>
        <x14:dataValidation type="list" allowBlank="1" xr:uid="{00000000-0002-0000-0500-000041000000}">
          <x14:formula1>
            <xm:f>DropDownMenu!$BN$2:$BN$2</xm:f>
          </x14:formula1>
          <xm:sqref>BX2:BX5000</xm:sqref>
        </x14:dataValidation>
        <x14:dataValidation type="list" allowBlank="1" xr:uid="{00000000-0002-0000-0500-000042000000}">
          <x14:formula1>
            <xm:f>DropDownMenu!$BO$2:$BO$2</xm:f>
          </x14:formula1>
          <xm:sqref>BY2:BY5000</xm:sqref>
        </x14:dataValidation>
        <x14:dataValidation type="list" allowBlank="1" xr:uid="{00000000-0002-0000-0500-000043000000}">
          <x14:formula1>
            <xm:f>DropDownMenu!$BP$2:$BP$9</xm:f>
          </x14:formula1>
          <xm:sqref>BZ2:BZ5000</xm:sqref>
        </x14:dataValidation>
        <x14:dataValidation type="list" allowBlank="1" xr:uid="{00000000-0002-0000-0500-000044000000}">
          <x14:formula1>
            <xm:f>DropDownMenu!$BQ$2:$BQ$11</xm:f>
          </x14:formula1>
          <xm:sqref>CA2:CA5000</xm:sqref>
        </x14:dataValidation>
        <x14:dataValidation type="list" allowBlank="1" xr:uid="{00000000-0002-0000-0500-000045000000}">
          <x14:formula1>
            <xm:f>DropDownMenu!$BR$2:$BR$3</xm:f>
          </x14:formula1>
          <xm:sqref>CB2:CB5000</xm:sqref>
        </x14:dataValidation>
        <x14:dataValidation type="list" allowBlank="1" xr:uid="{00000000-0002-0000-0500-000046000000}">
          <x14:formula1>
            <xm:f>DropDownMenu!$BS$2:$BS$4</xm:f>
          </x14:formula1>
          <xm:sqref>CC2:CC5000</xm:sqref>
        </x14:dataValidation>
        <x14:dataValidation type="list" allowBlank="1" xr:uid="{00000000-0002-0000-0500-000047000000}">
          <x14:formula1>
            <xm:f>DropDownMenu!$BT$2:$BT$2</xm:f>
          </x14:formula1>
          <xm:sqref>CE2:CE5000</xm:sqref>
        </x14:dataValidation>
        <x14:dataValidation type="list" allowBlank="1" xr:uid="{00000000-0002-0000-0500-000048000000}">
          <x14:formula1>
            <xm:f>DropDownMenu!$BU$2:$BU$81</xm:f>
          </x14:formula1>
          <xm:sqref>CF2:CF5000</xm:sqref>
        </x14:dataValidation>
        <x14:dataValidation type="list" allowBlank="1" xr:uid="{00000000-0002-0000-0500-000049000000}">
          <x14:formula1>
            <xm:f>DropDownMenu!$BV$2:$BV$3</xm:f>
          </x14:formula1>
          <xm:sqref>CG2:CG5000</xm:sqref>
        </x14:dataValidation>
        <x14:dataValidation type="list" allowBlank="1" xr:uid="{00000000-0002-0000-0500-00004A000000}">
          <x14:formula1>
            <xm:f>DropDownMenu!$BW$2:$BW$7</xm:f>
          </x14:formula1>
          <xm:sqref>CH2:CH5000</xm:sqref>
        </x14:dataValidation>
        <x14:dataValidation type="list" allowBlank="1" xr:uid="{00000000-0002-0000-0500-00004B000000}">
          <x14:formula1>
            <xm:f>DropDownMenu!$BX$2:$BX$9</xm:f>
          </x14:formula1>
          <xm:sqref>CI2:CI5000</xm:sqref>
        </x14:dataValidation>
        <x14:dataValidation type="list" allowBlank="1" xr:uid="{00000000-0002-0000-0500-00004C000000}">
          <x14:formula1>
            <xm:f>DropDownMenu!$BY$2:$BY$9</xm:f>
          </x14:formula1>
          <xm:sqref>CJ2:CJ5000</xm:sqref>
        </x14:dataValidation>
        <x14:dataValidation type="list" allowBlank="1" xr:uid="{00000000-0002-0000-0500-00004D000000}">
          <x14:formula1>
            <xm:f>DropDownMenu!$BZ$2:$BZ$3</xm:f>
          </x14:formula1>
          <xm:sqref>CK2:CK5000</xm:sqref>
        </x14:dataValidation>
        <x14:dataValidation type="list" allowBlank="1" xr:uid="{00000000-0002-0000-0500-00004E000000}">
          <x14:formula1>
            <xm:f>DropDownMenu!$CA$2:$CA$2</xm:f>
          </x14:formula1>
          <xm:sqref>CL2:CL5000</xm:sqref>
        </x14:dataValidation>
        <x14:dataValidation type="list" allowBlank="1" xr:uid="{00000000-0002-0000-0500-00004F000000}">
          <x14:formula1>
            <xm:f>DropDownMenu!$CB$2:$CB$29</xm:f>
          </x14:formula1>
          <xm:sqref>CN2:CN5000</xm:sqref>
        </x14:dataValidation>
        <x14:dataValidation type="list" allowBlank="1" xr:uid="{00000000-0002-0000-0500-000050000000}">
          <x14:formula1>
            <xm:f>DropDownMenu!$CC$2:$CC$2</xm:f>
          </x14:formula1>
          <xm:sqref>CQ2:CQ5000</xm:sqref>
        </x14:dataValidation>
        <x14:dataValidation type="list" allowBlank="1" xr:uid="{00000000-0002-0000-0500-000051000000}">
          <x14:formula1>
            <xm:f>DropDownMenu!$CD$2:$CD$33</xm:f>
          </x14:formula1>
          <xm:sqref>CR2:CR5000</xm:sqref>
        </x14:dataValidation>
        <x14:dataValidation type="list" allowBlank="1" xr:uid="{00000000-0002-0000-0500-000052000000}">
          <x14:formula1>
            <xm:f>DropDownMenu!$CE$2:$CE$2</xm:f>
          </x14:formula1>
          <xm:sqref>CS2:CS5000</xm:sqref>
        </x14:dataValidation>
        <x14:dataValidation type="list" allowBlank="1" xr:uid="{00000000-0002-0000-0500-000053000000}">
          <x14:formula1>
            <xm:f>DropDownMenu!$CF$2:$CF$2</xm:f>
          </x14:formula1>
          <xm:sqref>CT2:CT5000</xm:sqref>
        </x14:dataValidation>
        <x14:dataValidation type="list" allowBlank="1" xr:uid="{00000000-0002-0000-0500-000054000000}">
          <x14:formula1>
            <xm:f>DropDownMenu!$CG$2:$CG$2</xm:f>
          </x14:formula1>
          <xm:sqref>CU2:CU5000</xm:sqref>
        </x14:dataValidation>
        <x14:dataValidation type="list" allowBlank="1" xr:uid="{00000000-0002-0000-0500-000055000000}">
          <x14:formula1>
            <xm:f>DropDownMenu!$CH$2:$CH$2</xm:f>
          </x14:formula1>
          <xm:sqref>CV2:CV5000</xm:sqref>
        </x14:dataValidation>
        <x14:dataValidation type="list" allowBlank="1" xr:uid="{00000000-0002-0000-0500-000056000000}">
          <x14:formula1>
            <xm:f>DropDownMenu!$CI$2:$CI$8</xm:f>
          </x14:formula1>
          <xm:sqref>CW2:CW5000</xm:sqref>
        </x14:dataValidation>
        <x14:dataValidation type="list" allowBlank="1" xr:uid="{00000000-0002-0000-0500-000057000000}">
          <x14:formula1>
            <xm:f>DropDownMenu!$CJ$2:$CJ$8</xm:f>
          </x14:formula1>
          <xm:sqref>CX2:CX5000</xm:sqref>
        </x14:dataValidation>
        <x14:dataValidation type="list" allowBlank="1" xr:uid="{00000000-0002-0000-0500-000058000000}">
          <x14:formula1>
            <xm:f>DropDownMenu!$CK$2:$CK$8</xm:f>
          </x14:formula1>
          <xm:sqref>CY2:CY5000</xm:sqref>
        </x14:dataValidation>
        <x14:dataValidation type="list" allowBlank="1" xr:uid="{00000000-0002-0000-0500-000059000000}">
          <x14:formula1>
            <xm:f>DropDownMenu!$CL$2:$CL$6</xm:f>
          </x14:formula1>
          <xm:sqref>CZ2:CZ5000</xm:sqref>
        </x14:dataValidation>
        <x14:dataValidation type="list" allowBlank="1" xr:uid="{00000000-0002-0000-0500-00005A000000}">
          <x14:formula1>
            <xm:f>DropDownMenu!$CM$2:$CM$2</xm:f>
          </x14:formula1>
          <xm:sqref>DA2:DA5000</xm:sqref>
        </x14:dataValidation>
        <x14:dataValidation type="list" allowBlank="1" xr:uid="{00000000-0002-0000-0500-00005B000000}">
          <x14:formula1>
            <xm:f>DropDownMenu!$CN$2:$CN$2</xm:f>
          </x14:formula1>
          <xm:sqref>DB2:DB5000</xm:sqref>
        </x14:dataValidation>
        <x14:dataValidation type="list" allowBlank="1" xr:uid="{00000000-0002-0000-0500-00005C000000}">
          <x14:formula1>
            <xm:f>DropDownMenu!$CO$2:$CO$2</xm:f>
          </x14:formula1>
          <xm:sqref>DC2:DC5000</xm:sqref>
        </x14:dataValidation>
        <x14:dataValidation type="list" allowBlank="1" xr:uid="{00000000-0002-0000-0500-00005D000000}">
          <x14:formula1>
            <xm:f>DropDownMenu!$CP$2:$CP$2</xm:f>
          </x14:formula1>
          <xm:sqref>DD2:DD5000</xm:sqref>
        </x14:dataValidation>
        <x14:dataValidation type="list" allowBlank="1" xr:uid="{00000000-0002-0000-0500-00005E000000}">
          <x14:formula1>
            <xm:f>DropDownMenu!$CQ$2:$CQ$2</xm:f>
          </x14:formula1>
          <xm:sqref>DE2:DE5000</xm:sqref>
        </x14:dataValidation>
        <x14:dataValidation type="list" allowBlank="1" xr:uid="{00000000-0002-0000-0500-00005F000000}">
          <x14:formula1>
            <xm:f>DropDownMenu!$CR$2:$CR$2</xm:f>
          </x14:formula1>
          <xm:sqref>DK2:DK5000</xm:sqref>
        </x14:dataValidation>
        <x14:dataValidation type="list" allowBlank="1" xr:uid="{00000000-0002-0000-0500-000060000000}">
          <x14:formula1>
            <xm:f>DropDownMenu!$CS$2:$CS$2</xm:f>
          </x14:formula1>
          <xm:sqref>DL2:DL5000</xm:sqref>
        </x14:dataValidation>
        <x14:dataValidation type="list" allowBlank="1" xr:uid="{00000000-0002-0000-0500-000061000000}">
          <x14:formula1>
            <xm:f>DropDownMenu!$CT$2:$CT$2</xm:f>
          </x14:formula1>
          <xm:sqref>DN2:DN5000</xm:sqref>
        </x14:dataValidation>
        <x14:dataValidation type="list" allowBlank="1" xr:uid="{00000000-0002-0000-0500-000062000000}">
          <x14:formula1>
            <xm:f>DropDownMenu!$CU$2:$CU$5</xm:f>
          </x14:formula1>
          <xm:sqref>DO2:DO5000</xm:sqref>
        </x14:dataValidation>
        <x14:dataValidation type="list" allowBlank="1" xr:uid="{00000000-0002-0000-0500-000063000000}">
          <x14:formula1>
            <xm:f>DropDownMenu!$CV$2:$CV$3</xm:f>
          </x14:formula1>
          <xm:sqref>DQ2:DQ5000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applyStyles="1" summaryRight="0"/>
  </sheetPr>
  <dimension ref="A1:DQ300"/>
  <sheetViews>
    <sheetView workbookViewId="0">
      <pane xSplit="7" ySplit="1" topLeftCell="H2" activePane="bottomRight" state="frozen"/>
      <selection pane="topRight"/>
      <selection pane="bottomLeft"/>
      <selection pane="bottomRight" activeCell="J23" sqref="J23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3" width="4" customWidth="1"/>
    <col min="14" max="14" width="12" customWidth="1"/>
    <col min="15" max="16" width="25" customWidth="1"/>
    <col min="17" max="17" width="4" customWidth="1"/>
    <col min="18" max="20" width="4" customWidth="1" outlineLevel="1"/>
    <col min="21" max="21" width="15" customWidth="1" outlineLevel="1"/>
    <col min="22" max="22" width="10" customWidth="1" outlineLevel="1"/>
    <col min="23" max="28" width="4" customWidth="1" outlineLevel="1"/>
    <col min="29" max="29" width="5" customWidth="1"/>
    <col min="30" max="32" width="10" customWidth="1" outlineLevel="1"/>
    <col min="33" max="35" width="4" customWidth="1" outlineLevel="1"/>
    <col min="36" max="37" width="10" customWidth="1" outlineLevel="1"/>
    <col min="38" max="40" width="4" customWidth="1" outlineLevel="1"/>
    <col min="41" max="42" width="10" customWidth="1" outlineLevel="1"/>
    <col min="43" max="47" width="4" customWidth="1" outlineLevel="1"/>
    <col min="48" max="48" width="10" customWidth="1" outlineLevel="1"/>
    <col min="49" max="49" width="5" customWidth="1" outlineLevel="1"/>
    <col min="50" max="50" width="5" customWidth="1"/>
    <col min="51" max="59" width="4" customWidth="1" outlineLevel="1"/>
    <col min="60" max="60" width="7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4" customWidth="1" outlineLevel="1"/>
    <col min="68" max="68" width="12" customWidth="1" outlineLevel="1"/>
    <col min="69" max="69" width="20" customWidth="1" outlineLevel="1"/>
    <col min="70" max="70" width="5" customWidth="1" outlineLevel="1"/>
    <col min="71" max="72" width="4" customWidth="1" outlineLevel="1"/>
    <col min="73" max="73" width="25" customWidth="1" outlineLevel="1"/>
    <col min="74" max="74" width="5" customWidth="1" outlineLevel="1"/>
    <col min="75" max="75" width="20" customWidth="1"/>
    <col min="76" max="77" width="20" customWidth="1" outlineLevel="1"/>
    <col min="78" max="83" width="4" customWidth="1" outlineLevel="1"/>
    <col min="84" max="84" width="4" customWidth="1"/>
    <col min="85" max="121" width="4" customWidth="1" outlineLevel="1"/>
  </cols>
  <sheetData>
    <row r="1" spans="1:121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1" t="s">
        <v>35</v>
      </c>
      <c r="AK1" s="1" t="s">
        <v>36</v>
      </c>
      <c r="AL1" s="3" t="s">
        <v>37</v>
      </c>
      <c r="AM1" s="3" t="s">
        <v>38</v>
      </c>
      <c r="AN1" s="3" t="s">
        <v>39</v>
      </c>
      <c r="AO1" s="1" t="s">
        <v>40</v>
      </c>
      <c r="AP1" s="1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 t="s">
        <v>65</v>
      </c>
      <c r="BO1" s="1" t="s">
        <v>66</v>
      </c>
      <c r="BP1" s="1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</row>
    <row r="2" spans="1:121" x14ac:dyDescent="0.2">
      <c r="O2" t="str">
        <f>IFERROR(INDEX(_courses_lookup!$C:$C,MATCH(K2&amp;L2,_courses_lookup!$E:$E,0)),"")</f>
        <v/>
      </c>
      <c r="P2" t="str">
        <f>IFERROR(INDEX(_courses_lookup!$D:$D,MATCH(K2&amp;L2,_courses_lookup!$E:$E,0)),"")</f>
        <v/>
      </c>
      <c r="AG2" t="str">
        <f t="shared" ref="AG2:AG65" si="0">IF(AND(AE2&lt;&gt;"",AF2&lt;&gt;""),ROUNDUP((AF2-AE2)/7,0),"")</f>
        <v/>
      </c>
      <c r="AI2" t="str">
        <f t="shared" ref="AI2:AI65" si="1">IFERROR(IF(AG2*AH2=0,"",AG2*AH2),"")</f>
        <v/>
      </c>
      <c r="AL2" t="str">
        <f t="shared" ref="AL2:AL65" si="2">IF(AND(AJ2&lt;&gt;"",AK2&lt;&gt;""),ROUNDUP((AK2-AJ2)/7,0),"")</f>
        <v/>
      </c>
      <c r="AN2" t="str">
        <f t="shared" ref="AN2:AN65" si="3">IFERROR(IF(AL2*AM2=0,"",AL2*AM2),"")</f>
        <v/>
      </c>
      <c r="AQ2" t="str">
        <f t="shared" ref="AQ2:AQ65" si="4">IF(AND(AO2&lt;&gt;"",AP2&lt;&gt;""),ROUNDUP((AP2-AO2)/7,0),"")</f>
        <v/>
      </c>
      <c r="AR2" t="str">
        <f t="shared" ref="AR2:AR65" si="5">IFERROR(IF((AU2-(AI2+AN2))/AQ2=0,"",ROUNDUP((AU2-(AI2+AN2))/AQ2,0)),"")</f>
        <v/>
      </c>
      <c r="AS2" t="str">
        <f t="shared" ref="AS2:AS65" si="6">IFERROR(IF((AU2-(AI2+AN2))=0,"",(AU2-(AI2+AN2))),"")</f>
        <v/>
      </c>
      <c r="AT2" t="str">
        <f t="shared" ref="AT2:AT65" si="7">IF(AND(AG2="",AQ2=""),AL2,IF(SUM(AG2,AL2,AQ2)=0,"",SUM(AG2,AL2,AQ2)))</f>
        <v/>
      </c>
      <c r="BG2" t="str">
        <f t="shared" ref="BG2:BG65" si="8">IF(AD2="","",YEAR(AD2)+IF(MONTH(AD2)&gt;=5,1,0))</f>
        <v/>
      </c>
      <c r="BH2" t="str">
        <f t="shared" ref="BH2:BH65" si="9">IF(AD2="","",IF(AND(MONTH(AD2)=8,DAY(AD2)&gt;=15),"Fall",IF(MONTH(AD2)&gt;8,"Fall",IF(MONTH(AD2)=5,"Summer",IF(MONTH(AD2)=1,"Spring","")))))</f>
        <v/>
      </c>
      <c r="BL2" t="str">
        <f>IFERROR(INDEX(_names_lookup!$C:$C,MATCH(BK2,_names_lookup!$A:$A,0)),"")</f>
        <v/>
      </c>
      <c r="BM2" t="str">
        <f>IFERROR(INDEX(_names_lookup!$B:$B,MATCH(BK2,_names_lookup!$A:$A,0)),"")</f>
        <v/>
      </c>
      <c r="BS2" t="str">
        <f t="shared" ref="BS2:BS65" si="10">IFERROR(IF(BR2*AA2=0,"",BR2*AA2),"")</f>
        <v/>
      </c>
    </row>
    <row r="3" spans="1:121" x14ac:dyDescent="0.2">
      <c r="O3" t="str">
        <f>IFERROR(INDEX(_courses_lookup!$C:$C,MATCH(K3&amp;L3,_courses_lookup!$E:$E,0)),"")</f>
        <v/>
      </c>
      <c r="P3" t="str">
        <f>IFERROR(INDEX(_courses_lookup!$D:$D,MATCH(K3&amp;L3,_courses_lookup!$E:$E,0)),"")</f>
        <v/>
      </c>
      <c r="AG3" t="str">
        <f t="shared" si="0"/>
        <v/>
      </c>
      <c r="AI3" t="str">
        <f t="shared" si="1"/>
        <v/>
      </c>
      <c r="AL3" t="str">
        <f t="shared" si="2"/>
        <v/>
      </c>
      <c r="AN3" t="str">
        <f t="shared" si="3"/>
        <v/>
      </c>
      <c r="AQ3" t="str">
        <f t="shared" si="4"/>
        <v/>
      </c>
      <c r="AR3" t="str">
        <f t="shared" si="5"/>
        <v/>
      </c>
      <c r="AS3" t="str">
        <f t="shared" si="6"/>
        <v/>
      </c>
      <c r="AT3" t="str">
        <f t="shared" si="7"/>
        <v/>
      </c>
      <c r="BG3" t="str">
        <f t="shared" si="8"/>
        <v/>
      </c>
      <c r="BH3" t="str">
        <f t="shared" si="9"/>
        <v/>
      </c>
      <c r="BL3" t="str">
        <f>IFERROR(INDEX(_names_lookup!$C:$C,MATCH(BK3,_names_lookup!$A:$A,0)),"")</f>
        <v/>
      </c>
      <c r="BM3" t="str">
        <f>IFERROR(INDEX(_names_lookup!$B:$B,MATCH(BK3,_names_lookup!$A:$A,0)),"")</f>
        <v/>
      </c>
      <c r="BS3" t="str">
        <f t="shared" si="10"/>
        <v/>
      </c>
    </row>
    <row r="4" spans="1:121" x14ac:dyDescent="0.2">
      <c r="O4" t="str">
        <f>IFERROR(INDEX(_courses_lookup!$C:$C,MATCH(K4&amp;L4,_courses_lookup!$E:$E,0)),"")</f>
        <v/>
      </c>
      <c r="P4" t="str">
        <f>IFERROR(INDEX(_courses_lookup!$D:$D,MATCH(K4&amp;L4,_courses_lookup!$E:$E,0)),"")</f>
        <v/>
      </c>
      <c r="AG4" t="str">
        <f t="shared" si="0"/>
        <v/>
      </c>
      <c r="AI4" t="str">
        <f t="shared" si="1"/>
        <v/>
      </c>
      <c r="AL4" t="str">
        <f t="shared" si="2"/>
        <v/>
      </c>
      <c r="AN4" t="str">
        <f t="shared" si="3"/>
        <v/>
      </c>
      <c r="AQ4" t="str">
        <f t="shared" si="4"/>
        <v/>
      </c>
      <c r="AR4" t="str">
        <f t="shared" si="5"/>
        <v/>
      </c>
      <c r="AS4" t="str">
        <f t="shared" si="6"/>
        <v/>
      </c>
      <c r="AT4" t="str">
        <f t="shared" si="7"/>
        <v/>
      </c>
      <c r="BG4" t="str">
        <f t="shared" si="8"/>
        <v/>
      </c>
      <c r="BH4" t="str">
        <f t="shared" si="9"/>
        <v/>
      </c>
      <c r="BL4" t="str">
        <f>IFERROR(INDEX(_names_lookup!$C:$C,MATCH(BK4,_names_lookup!$A:$A,0)),"")</f>
        <v/>
      </c>
      <c r="BM4" t="str">
        <f>IFERROR(INDEX(_names_lookup!$B:$B,MATCH(BK4,_names_lookup!$A:$A,0)),"")</f>
        <v/>
      </c>
      <c r="BS4" t="str">
        <f t="shared" si="10"/>
        <v/>
      </c>
    </row>
    <row r="5" spans="1:121" x14ac:dyDescent="0.2">
      <c r="O5" t="str">
        <f>IFERROR(INDEX(_courses_lookup!$C:$C,MATCH(K5&amp;L5,_courses_lookup!$E:$E,0)),"")</f>
        <v/>
      </c>
      <c r="P5" t="str">
        <f>IFERROR(INDEX(_courses_lookup!$D:$D,MATCH(K5&amp;L5,_courses_lookup!$E:$E,0)),"")</f>
        <v/>
      </c>
      <c r="AG5" t="str">
        <f t="shared" si="0"/>
        <v/>
      </c>
      <c r="AI5" t="str">
        <f t="shared" si="1"/>
        <v/>
      </c>
      <c r="AL5" t="str">
        <f t="shared" si="2"/>
        <v/>
      </c>
      <c r="AN5" t="str">
        <f t="shared" si="3"/>
        <v/>
      </c>
      <c r="AQ5" t="str">
        <f t="shared" si="4"/>
        <v/>
      </c>
      <c r="AR5" t="str">
        <f t="shared" si="5"/>
        <v/>
      </c>
      <c r="AS5" t="str">
        <f t="shared" si="6"/>
        <v/>
      </c>
      <c r="AT5" t="str">
        <f t="shared" si="7"/>
        <v/>
      </c>
      <c r="BG5" t="str">
        <f t="shared" si="8"/>
        <v/>
      </c>
      <c r="BH5" t="str">
        <f t="shared" si="9"/>
        <v/>
      </c>
      <c r="BL5" t="str">
        <f>IFERROR(INDEX(_names_lookup!$C:$C,MATCH(BK5,_names_lookup!$A:$A,0)),"")</f>
        <v/>
      </c>
      <c r="BM5" t="str">
        <f>IFERROR(INDEX(_names_lookup!$B:$B,MATCH(BK5,_names_lookup!$A:$A,0)),"")</f>
        <v/>
      </c>
      <c r="BS5" t="str">
        <f t="shared" si="10"/>
        <v/>
      </c>
    </row>
    <row r="6" spans="1:121" x14ac:dyDescent="0.2">
      <c r="O6" t="str">
        <f>IFERROR(INDEX(_courses_lookup!$C:$C,MATCH(K6&amp;L6,_courses_lookup!$E:$E,0)),"")</f>
        <v/>
      </c>
      <c r="P6" t="str">
        <f>IFERROR(INDEX(_courses_lookup!$D:$D,MATCH(K6&amp;L6,_courses_lookup!$E:$E,0)),"")</f>
        <v/>
      </c>
      <c r="AG6" t="str">
        <f t="shared" si="0"/>
        <v/>
      </c>
      <c r="AI6" t="str">
        <f t="shared" si="1"/>
        <v/>
      </c>
      <c r="AL6" t="str">
        <f t="shared" si="2"/>
        <v/>
      </c>
      <c r="AN6" t="str">
        <f t="shared" si="3"/>
        <v/>
      </c>
      <c r="AQ6" t="str">
        <f t="shared" si="4"/>
        <v/>
      </c>
      <c r="AR6" t="str">
        <f t="shared" si="5"/>
        <v/>
      </c>
      <c r="AS6" t="str">
        <f t="shared" si="6"/>
        <v/>
      </c>
      <c r="AT6" t="str">
        <f t="shared" si="7"/>
        <v/>
      </c>
      <c r="BG6" t="str">
        <f t="shared" si="8"/>
        <v/>
      </c>
      <c r="BH6" t="str">
        <f t="shared" si="9"/>
        <v/>
      </c>
      <c r="BL6" t="str">
        <f>IFERROR(INDEX(_names_lookup!$C:$C,MATCH(BK6,_names_lookup!$A:$A,0)),"")</f>
        <v/>
      </c>
      <c r="BM6" t="str">
        <f>IFERROR(INDEX(_names_lookup!$B:$B,MATCH(BK6,_names_lookup!$A:$A,0)),"")</f>
        <v/>
      </c>
      <c r="BS6" t="str">
        <f t="shared" si="10"/>
        <v/>
      </c>
    </row>
    <row r="7" spans="1:121" x14ac:dyDescent="0.2">
      <c r="O7" t="str">
        <f>IFERROR(INDEX(_courses_lookup!$C:$C,MATCH(K7&amp;L7,_courses_lookup!$E:$E,0)),"")</f>
        <v/>
      </c>
      <c r="P7" t="str">
        <f>IFERROR(INDEX(_courses_lookup!$D:$D,MATCH(K7&amp;L7,_courses_lookup!$E:$E,0)),"")</f>
        <v/>
      </c>
      <c r="AG7" t="str">
        <f t="shared" si="0"/>
        <v/>
      </c>
      <c r="AI7" t="str">
        <f t="shared" si="1"/>
        <v/>
      </c>
      <c r="AL7" t="str">
        <f t="shared" si="2"/>
        <v/>
      </c>
      <c r="AN7" t="str">
        <f t="shared" si="3"/>
        <v/>
      </c>
      <c r="AQ7" t="str">
        <f t="shared" si="4"/>
        <v/>
      </c>
      <c r="AR7" t="str">
        <f t="shared" si="5"/>
        <v/>
      </c>
      <c r="AS7" t="str">
        <f t="shared" si="6"/>
        <v/>
      </c>
      <c r="AT7" t="str">
        <f t="shared" si="7"/>
        <v/>
      </c>
      <c r="BG7" t="str">
        <f t="shared" si="8"/>
        <v/>
      </c>
      <c r="BH7" t="str">
        <f t="shared" si="9"/>
        <v/>
      </c>
      <c r="BL7" t="str">
        <f>IFERROR(INDEX(_names_lookup!$C:$C,MATCH(BK7,_names_lookup!$A:$A,0)),"")</f>
        <v/>
      </c>
      <c r="BM7" t="str">
        <f>IFERROR(INDEX(_names_lookup!$B:$B,MATCH(BK7,_names_lookup!$A:$A,0)),"")</f>
        <v/>
      </c>
      <c r="BS7" t="str">
        <f t="shared" si="10"/>
        <v/>
      </c>
    </row>
    <row r="8" spans="1:121" x14ac:dyDescent="0.2">
      <c r="O8" t="str">
        <f>IFERROR(INDEX(_courses_lookup!$C:$C,MATCH(K8&amp;L8,_courses_lookup!$E:$E,0)),"")</f>
        <v/>
      </c>
      <c r="P8" t="str">
        <f>IFERROR(INDEX(_courses_lookup!$D:$D,MATCH(K8&amp;L8,_courses_lookup!$E:$E,0)),"")</f>
        <v/>
      </c>
      <c r="AG8" t="str">
        <f t="shared" si="0"/>
        <v/>
      </c>
      <c r="AI8" t="str">
        <f t="shared" si="1"/>
        <v/>
      </c>
      <c r="AL8" t="str">
        <f t="shared" si="2"/>
        <v/>
      </c>
      <c r="AN8" t="str">
        <f t="shared" si="3"/>
        <v/>
      </c>
      <c r="AQ8" t="str">
        <f t="shared" si="4"/>
        <v/>
      </c>
      <c r="AR8" t="str">
        <f t="shared" si="5"/>
        <v/>
      </c>
      <c r="AS8" t="str">
        <f t="shared" si="6"/>
        <v/>
      </c>
      <c r="AT8" t="str">
        <f t="shared" si="7"/>
        <v/>
      </c>
      <c r="BG8" t="str">
        <f t="shared" si="8"/>
        <v/>
      </c>
      <c r="BH8" t="str">
        <f t="shared" si="9"/>
        <v/>
      </c>
      <c r="BL8" t="str">
        <f>IFERROR(INDEX(_names_lookup!$C:$C,MATCH(BK8,_names_lookup!$A:$A,0)),"")</f>
        <v/>
      </c>
      <c r="BM8" t="str">
        <f>IFERROR(INDEX(_names_lookup!$B:$B,MATCH(BK8,_names_lookup!$A:$A,0)),"")</f>
        <v/>
      </c>
      <c r="BS8" t="str">
        <f t="shared" si="10"/>
        <v/>
      </c>
    </row>
    <row r="9" spans="1:121" x14ac:dyDescent="0.2">
      <c r="O9" t="str">
        <f>IFERROR(INDEX(_courses_lookup!$C:$C,MATCH(K9&amp;L9,_courses_lookup!$E:$E,0)),"")</f>
        <v/>
      </c>
      <c r="P9" t="str">
        <f>IFERROR(INDEX(_courses_lookup!$D:$D,MATCH(K9&amp;L9,_courses_lookup!$E:$E,0)),"")</f>
        <v/>
      </c>
      <c r="AG9" t="str">
        <f t="shared" si="0"/>
        <v/>
      </c>
      <c r="AI9" t="str">
        <f t="shared" si="1"/>
        <v/>
      </c>
      <c r="AL9" t="str">
        <f t="shared" si="2"/>
        <v/>
      </c>
      <c r="AN9" t="str">
        <f t="shared" si="3"/>
        <v/>
      </c>
      <c r="AQ9" t="str">
        <f t="shared" si="4"/>
        <v/>
      </c>
      <c r="AR9" t="str">
        <f t="shared" si="5"/>
        <v/>
      </c>
      <c r="AS9" t="str">
        <f t="shared" si="6"/>
        <v/>
      </c>
      <c r="AT9" t="str">
        <f t="shared" si="7"/>
        <v/>
      </c>
      <c r="BG9" t="str">
        <f t="shared" si="8"/>
        <v/>
      </c>
      <c r="BH9" t="str">
        <f t="shared" si="9"/>
        <v/>
      </c>
      <c r="BL9" t="str">
        <f>IFERROR(INDEX(_names_lookup!$C:$C,MATCH(BK9,_names_lookup!$A:$A,0)),"")</f>
        <v/>
      </c>
      <c r="BM9" t="str">
        <f>IFERROR(INDEX(_names_lookup!$B:$B,MATCH(BK9,_names_lookup!$A:$A,0)),"")</f>
        <v/>
      </c>
      <c r="BS9" t="str">
        <f t="shared" si="10"/>
        <v/>
      </c>
    </row>
    <row r="10" spans="1:121" x14ac:dyDescent="0.2">
      <c r="O10" t="str">
        <f>IFERROR(INDEX(_courses_lookup!$C:$C,MATCH(K10&amp;L10,_courses_lookup!$E:$E,0)),"")</f>
        <v/>
      </c>
      <c r="P10" t="str">
        <f>IFERROR(INDEX(_courses_lookup!$D:$D,MATCH(K10&amp;L10,_courses_lookup!$E:$E,0)),"")</f>
        <v/>
      </c>
      <c r="AG10" t="str">
        <f t="shared" si="0"/>
        <v/>
      </c>
      <c r="AI10" t="str">
        <f t="shared" si="1"/>
        <v/>
      </c>
      <c r="AL10" t="str">
        <f t="shared" si="2"/>
        <v/>
      </c>
      <c r="AN10" t="str">
        <f t="shared" si="3"/>
        <v/>
      </c>
      <c r="AQ10" t="str">
        <f t="shared" si="4"/>
        <v/>
      </c>
      <c r="AR10" t="str">
        <f t="shared" si="5"/>
        <v/>
      </c>
      <c r="AS10" t="str">
        <f t="shared" si="6"/>
        <v/>
      </c>
      <c r="AT10" t="str">
        <f t="shared" si="7"/>
        <v/>
      </c>
      <c r="BG10" t="str">
        <f t="shared" si="8"/>
        <v/>
      </c>
      <c r="BH10" t="str">
        <f t="shared" si="9"/>
        <v/>
      </c>
      <c r="BL10" t="str">
        <f>IFERROR(INDEX(_names_lookup!$C:$C,MATCH(BK10,_names_lookup!$A:$A,0)),"")</f>
        <v/>
      </c>
      <c r="BM10" t="str">
        <f>IFERROR(INDEX(_names_lookup!$B:$B,MATCH(BK10,_names_lookup!$A:$A,0)),"")</f>
        <v/>
      </c>
      <c r="BS10" t="str">
        <f t="shared" si="10"/>
        <v/>
      </c>
    </row>
    <row r="11" spans="1:121" x14ac:dyDescent="0.2">
      <c r="O11" t="str">
        <f>IFERROR(INDEX(_courses_lookup!$C:$C,MATCH(K11&amp;L11,_courses_lookup!$E:$E,0)),"")</f>
        <v/>
      </c>
      <c r="P11" t="str">
        <f>IFERROR(INDEX(_courses_lookup!$D:$D,MATCH(K11&amp;L11,_courses_lookup!$E:$E,0)),"")</f>
        <v/>
      </c>
      <c r="AG11" t="str">
        <f t="shared" si="0"/>
        <v/>
      </c>
      <c r="AI11" t="str">
        <f t="shared" si="1"/>
        <v/>
      </c>
      <c r="AL11" t="str">
        <f t="shared" si="2"/>
        <v/>
      </c>
      <c r="AN11" t="str">
        <f t="shared" si="3"/>
        <v/>
      </c>
      <c r="AQ11" t="str">
        <f t="shared" si="4"/>
        <v/>
      </c>
      <c r="AR11" t="str">
        <f t="shared" si="5"/>
        <v/>
      </c>
      <c r="AS11" t="str">
        <f t="shared" si="6"/>
        <v/>
      </c>
      <c r="AT11" t="str">
        <f t="shared" si="7"/>
        <v/>
      </c>
      <c r="BG11" t="str">
        <f t="shared" si="8"/>
        <v/>
      </c>
      <c r="BH11" t="str">
        <f t="shared" si="9"/>
        <v/>
      </c>
      <c r="BL11" t="str">
        <f>IFERROR(INDEX(_names_lookup!$C:$C,MATCH(BK11,_names_lookup!$A:$A,0)),"")</f>
        <v/>
      </c>
      <c r="BM11" t="str">
        <f>IFERROR(INDEX(_names_lookup!$B:$B,MATCH(BK11,_names_lookup!$A:$A,0)),"")</f>
        <v/>
      </c>
      <c r="BS11" t="str">
        <f t="shared" si="10"/>
        <v/>
      </c>
    </row>
    <row r="12" spans="1:121" x14ac:dyDescent="0.2">
      <c r="O12" t="str">
        <f>IFERROR(INDEX(_courses_lookup!$C:$C,MATCH(K12&amp;L12,_courses_lookup!$E:$E,0)),"")</f>
        <v/>
      </c>
      <c r="P12" t="str">
        <f>IFERROR(INDEX(_courses_lookup!$D:$D,MATCH(K12&amp;L12,_courses_lookup!$E:$E,0)),"")</f>
        <v/>
      </c>
      <c r="AG12" t="str">
        <f t="shared" si="0"/>
        <v/>
      </c>
      <c r="AI12" t="str">
        <f t="shared" si="1"/>
        <v/>
      </c>
      <c r="AL12" t="str">
        <f t="shared" si="2"/>
        <v/>
      </c>
      <c r="AN12" t="str">
        <f t="shared" si="3"/>
        <v/>
      </c>
      <c r="AQ12" t="str">
        <f t="shared" si="4"/>
        <v/>
      </c>
      <c r="AR12" t="str">
        <f t="shared" si="5"/>
        <v/>
      </c>
      <c r="AS12" t="str">
        <f t="shared" si="6"/>
        <v/>
      </c>
      <c r="AT12" t="str">
        <f t="shared" si="7"/>
        <v/>
      </c>
      <c r="BG12" t="str">
        <f t="shared" si="8"/>
        <v/>
      </c>
      <c r="BH12" t="str">
        <f t="shared" si="9"/>
        <v/>
      </c>
      <c r="BL12" t="str">
        <f>IFERROR(INDEX(_names_lookup!$C:$C,MATCH(BK12,_names_lookup!$A:$A,0)),"")</f>
        <v/>
      </c>
      <c r="BM12" t="str">
        <f>IFERROR(INDEX(_names_lookup!$B:$B,MATCH(BK12,_names_lookup!$A:$A,0)),"")</f>
        <v/>
      </c>
      <c r="BS12" t="str">
        <f t="shared" si="10"/>
        <v/>
      </c>
    </row>
    <row r="13" spans="1:121" x14ac:dyDescent="0.2">
      <c r="O13" t="str">
        <f>IFERROR(INDEX(_courses_lookup!$C:$C,MATCH(K13&amp;L13,_courses_lookup!$E:$E,0)),"")</f>
        <v/>
      </c>
      <c r="P13" t="str">
        <f>IFERROR(INDEX(_courses_lookup!$D:$D,MATCH(K13&amp;L13,_courses_lookup!$E:$E,0)),"")</f>
        <v/>
      </c>
      <c r="AG13" t="str">
        <f t="shared" si="0"/>
        <v/>
      </c>
      <c r="AI13" t="str">
        <f t="shared" si="1"/>
        <v/>
      </c>
      <c r="AL13" t="str">
        <f t="shared" si="2"/>
        <v/>
      </c>
      <c r="AN13" t="str">
        <f t="shared" si="3"/>
        <v/>
      </c>
      <c r="AQ13" t="str">
        <f t="shared" si="4"/>
        <v/>
      </c>
      <c r="AR13" t="str">
        <f t="shared" si="5"/>
        <v/>
      </c>
      <c r="AS13" t="str">
        <f t="shared" si="6"/>
        <v/>
      </c>
      <c r="AT13" t="str">
        <f t="shared" si="7"/>
        <v/>
      </c>
      <c r="BG13" t="str">
        <f t="shared" si="8"/>
        <v/>
      </c>
      <c r="BH13" t="str">
        <f t="shared" si="9"/>
        <v/>
      </c>
      <c r="BL13" t="str">
        <f>IFERROR(INDEX(_names_lookup!$C:$C,MATCH(BK13,_names_lookup!$A:$A,0)),"")</f>
        <v/>
      </c>
      <c r="BM13" t="str">
        <f>IFERROR(INDEX(_names_lookup!$B:$B,MATCH(BK13,_names_lookup!$A:$A,0)),"")</f>
        <v/>
      </c>
      <c r="BS13" t="str">
        <f t="shared" si="10"/>
        <v/>
      </c>
    </row>
    <row r="14" spans="1:121" x14ac:dyDescent="0.2">
      <c r="O14" t="str">
        <f>IFERROR(INDEX(_courses_lookup!$C:$C,MATCH(K14&amp;L14,_courses_lookup!$E:$E,0)),"")</f>
        <v/>
      </c>
      <c r="P14" t="str">
        <f>IFERROR(INDEX(_courses_lookup!$D:$D,MATCH(K14&amp;L14,_courses_lookup!$E:$E,0)),"")</f>
        <v/>
      </c>
      <c r="AG14" t="str">
        <f t="shared" si="0"/>
        <v/>
      </c>
      <c r="AI14" t="str">
        <f t="shared" si="1"/>
        <v/>
      </c>
      <c r="AL14" t="str">
        <f t="shared" si="2"/>
        <v/>
      </c>
      <c r="AN14" t="str">
        <f t="shared" si="3"/>
        <v/>
      </c>
      <c r="AQ14" t="str">
        <f t="shared" si="4"/>
        <v/>
      </c>
      <c r="AR14" t="str">
        <f t="shared" si="5"/>
        <v/>
      </c>
      <c r="AS14" t="str">
        <f t="shared" si="6"/>
        <v/>
      </c>
      <c r="AT14" t="str">
        <f t="shared" si="7"/>
        <v/>
      </c>
      <c r="BG14" t="str">
        <f t="shared" si="8"/>
        <v/>
      </c>
      <c r="BH14" t="str">
        <f t="shared" si="9"/>
        <v/>
      </c>
      <c r="BL14" t="str">
        <f>IFERROR(INDEX(_names_lookup!$C:$C,MATCH(BK14,_names_lookup!$A:$A,0)),"")</f>
        <v/>
      </c>
      <c r="BM14" t="str">
        <f>IFERROR(INDEX(_names_lookup!$B:$B,MATCH(BK14,_names_lookup!$A:$A,0)),"")</f>
        <v/>
      </c>
      <c r="BS14" t="str">
        <f t="shared" si="10"/>
        <v/>
      </c>
    </row>
    <row r="15" spans="1:121" x14ac:dyDescent="0.2">
      <c r="O15" t="str">
        <f>IFERROR(INDEX(_courses_lookup!$C:$C,MATCH(K15&amp;L15,_courses_lookup!$E:$E,0)),"")</f>
        <v/>
      </c>
      <c r="P15" t="str">
        <f>IFERROR(INDEX(_courses_lookup!$D:$D,MATCH(K15&amp;L15,_courses_lookup!$E:$E,0)),"")</f>
        <v/>
      </c>
      <c r="AG15" t="str">
        <f t="shared" si="0"/>
        <v/>
      </c>
      <c r="AI15" t="str">
        <f t="shared" si="1"/>
        <v/>
      </c>
      <c r="AL15" t="str">
        <f t="shared" si="2"/>
        <v/>
      </c>
      <c r="AN15" t="str">
        <f t="shared" si="3"/>
        <v/>
      </c>
      <c r="AQ15" t="str">
        <f t="shared" si="4"/>
        <v/>
      </c>
      <c r="AR15" t="str">
        <f t="shared" si="5"/>
        <v/>
      </c>
      <c r="AS15" t="str">
        <f t="shared" si="6"/>
        <v/>
      </c>
      <c r="AT15" t="str">
        <f t="shared" si="7"/>
        <v/>
      </c>
      <c r="BG15" t="str">
        <f t="shared" si="8"/>
        <v/>
      </c>
      <c r="BH15" t="str">
        <f t="shared" si="9"/>
        <v/>
      </c>
      <c r="BL15" t="str">
        <f>IFERROR(INDEX(_names_lookup!$C:$C,MATCH(BK15,_names_lookup!$A:$A,0)),"")</f>
        <v/>
      </c>
      <c r="BM15" t="str">
        <f>IFERROR(INDEX(_names_lookup!$B:$B,MATCH(BK15,_names_lookup!$A:$A,0)),"")</f>
        <v/>
      </c>
      <c r="BS15" t="str">
        <f t="shared" si="10"/>
        <v/>
      </c>
    </row>
    <row r="16" spans="1:121" x14ac:dyDescent="0.2">
      <c r="O16" t="str">
        <f>IFERROR(INDEX(_courses_lookup!$C:$C,MATCH(K16&amp;L16,_courses_lookup!$E:$E,0)),"")</f>
        <v/>
      </c>
      <c r="P16" t="str">
        <f>IFERROR(INDEX(_courses_lookup!$D:$D,MATCH(K16&amp;L16,_courses_lookup!$E:$E,0)),"")</f>
        <v/>
      </c>
      <c r="AG16" t="str">
        <f t="shared" si="0"/>
        <v/>
      </c>
      <c r="AI16" t="str">
        <f t="shared" si="1"/>
        <v/>
      </c>
      <c r="AL16" t="str">
        <f t="shared" si="2"/>
        <v/>
      </c>
      <c r="AN16" t="str">
        <f t="shared" si="3"/>
        <v/>
      </c>
      <c r="AQ16" t="str">
        <f t="shared" si="4"/>
        <v/>
      </c>
      <c r="AR16" t="str">
        <f t="shared" si="5"/>
        <v/>
      </c>
      <c r="AS16" t="str">
        <f t="shared" si="6"/>
        <v/>
      </c>
      <c r="AT16" t="str">
        <f t="shared" si="7"/>
        <v/>
      </c>
      <c r="BG16" t="str">
        <f t="shared" si="8"/>
        <v/>
      </c>
      <c r="BH16" t="str">
        <f t="shared" si="9"/>
        <v/>
      </c>
      <c r="BL16" t="str">
        <f>IFERROR(INDEX(_names_lookup!$C:$C,MATCH(BK16,_names_lookup!$A:$A,0)),"")</f>
        <v/>
      </c>
      <c r="BM16" t="str">
        <f>IFERROR(INDEX(_names_lookup!$B:$B,MATCH(BK16,_names_lookup!$A:$A,0)),"")</f>
        <v/>
      </c>
      <c r="BS16" t="str">
        <f t="shared" si="10"/>
        <v/>
      </c>
    </row>
    <row r="17" spans="15:71" x14ac:dyDescent="0.2">
      <c r="O17" t="str">
        <f>IFERROR(INDEX(_courses_lookup!$C:$C,MATCH(K17&amp;L17,_courses_lookup!$E:$E,0)),"")</f>
        <v/>
      </c>
      <c r="P17" t="str">
        <f>IFERROR(INDEX(_courses_lookup!$D:$D,MATCH(K17&amp;L17,_courses_lookup!$E:$E,0)),"")</f>
        <v/>
      </c>
      <c r="AG17" t="str">
        <f t="shared" si="0"/>
        <v/>
      </c>
      <c r="AI17" t="str">
        <f t="shared" si="1"/>
        <v/>
      </c>
      <c r="AL17" t="str">
        <f t="shared" si="2"/>
        <v/>
      </c>
      <c r="AN17" t="str">
        <f t="shared" si="3"/>
        <v/>
      </c>
      <c r="AQ17" t="str">
        <f t="shared" si="4"/>
        <v/>
      </c>
      <c r="AR17" t="str">
        <f t="shared" si="5"/>
        <v/>
      </c>
      <c r="AS17" t="str">
        <f t="shared" si="6"/>
        <v/>
      </c>
      <c r="AT17" t="str">
        <f t="shared" si="7"/>
        <v/>
      </c>
      <c r="BG17" t="str">
        <f t="shared" si="8"/>
        <v/>
      </c>
      <c r="BH17" t="str">
        <f t="shared" si="9"/>
        <v/>
      </c>
      <c r="BL17" t="str">
        <f>IFERROR(INDEX(_names_lookup!$C:$C,MATCH(BK17,_names_lookup!$A:$A,0)),"")</f>
        <v/>
      </c>
      <c r="BM17" t="str">
        <f>IFERROR(INDEX(_names_lookup!$B:$B,MATCH(BK17,_names_lookup!$A:$A,0)),"")</f>
        <v/>
      </c>
      <c r="BS17" t="str">
        <f t="shared" si="10"/>
        <v/>
      </c>
    </row>
    <row r="18" spans="15:71" x14ac:dyDescent="0.2">
      <c r="O18" t="str">
        <f>IFERROR(INDEX(_courses_lookup!$C:$C,MATCH(K18&amp;L18,_courses_lookup!$E:$E,0)),"")</f>
        <v/>
      </c>
      <c r="P18" t="str">
        <f>IFERROR(INDEX(_courses_lookup!$D:$D,MATCH(K18&amp;L18,_courses_lookup!$E:$E,0)),"")</f>
        <v/>
      </c>
      <c r="AG18" t="str">
        <f t="shared" si="0"/>
        <v/>
      </c>
      <c r="AI18" t="str">
        <f t="shared" si="1"/>
        <v/>
      </c>
      <c r="AL18" t="str">
        <f t="shared" si="2"/>
        <v/>
      </c>
      <c r="AN18" t="str">
        <f t="shared" si="3"/>
        <v/>
      </c>
      <c r="AQ18" t="str">
        <f t="shared" si="4"/>
        <v/>
      </c>
      <c r="AR18" t="str">
        <f t="shared" si="5"/>
        <v/>
      </c>
      <c r="AS18" t="str">
        <f t="shared" si="6"/>
        <v/>
      </c>
      <c r="AT18" t="str">
        <f t="shared" si="7"/>
        <v/>
      </c>
      <c r="BG18" t="str">
        <f t="shared" si="8"/>
        <v/>
      </c>
      <c r="BH18" t="str">
        <f t="shared" si="9"/>
        <v/>
      </c>
      <c r="BL18" t="str">
        <f>IFERROR(INDEX(_names_lookup!$C:$C,MATCH(BK18,_names_lookup!$A:$A,0)),"")</f>
        <v/>
      </c>
      <c r="BM18" t="str">
        <f>IFERROR(INDEX(_names_lookup!$B:$B,MATCH(BK18,_names_lookup!$A:$A,0)),"")</f>
        <v/>
      </c>
      <c r="BS18" t="str">
        <f t="shared" si="10"/>
        <v/>
      </c>
    </row>
    <row r="19" spans="15:71" x14ac:dyDescent="0.2">
      <c r="O19" t="str">
        <f>IFERROR(INDEX(_courses_lookup!$C:$C,MATCH(K19&amp;L19,_courses_lookup!$E:$E,0)),"")</f>
        <v/>
      </c>
      <c r="P19" t="str">
        <f>IFERROR(INDEX(_courses_lookup!$D:$D,MATCH(K19&amp;L19,_courses_lookup!$E:$E,0)),"")</f>
        <v/>
      </c>
      <c r="AG19" t="str">
        <f t="shared" si="0"/>
        <v/>
      </c>
      <c r="AI19" t="str">
        <f t="shared" si="1"/>
        <v/>
      </c>
      <c r="AL19" t="str">
        <f t="shared" si="2"/>
        <v/>
      </c>
      <c r="AN19" t="str">
        <f t="shared" si="3"/>
        <v/>
      </c>
      <c r="AQ19" t="str">
        <f t="shared" si="4"/>
        <v/>
      </c>
      <c r="AR19" t="str">
        <f t="shared" si="5"/>
        <v/>
      </c>
      <c r="AS19" t="str">
        <f t="shared" si="6"/>
        <v/>
      </c>
      <c r="AT19" t="str">
        <f t="shared" si="7"/>
        <v/>
      </c>
      <c r="BG19" t="str">
        <f t="shared" si="8"/>
        <v/>
      </c>
      <c r="BH19" t="str">
        <f t="shared" si="9"/>
        <v/>
      </c>
      <c r="BL19" t="str">
        <f>IFERROR(INDEX(_names_lookup!$C:$C,MATCH(BK19,_names_lookup!$A:$A,0)),"")</f>
        <v/>
      </c>
      <c r="BM19" t="str">
        <f>IFERROR(INDEX(_names_lookup!$B:$B,MATCH(BK19,_names_lookup!$A:$A,0)),"")</f>
        <v/>
      </c>
      <c r="BS19" t="str">
        <f t="shared" si="10"/>
        <v/>
      </c>
    </row>
    <row r="20" spans="15:71" x14ac:dyDescent="0.2">
      <c r="O20" t="str">
        <f>IFERROR(INDEX(_courses_lookup!$C:$C,MATCH(K20&amp;L20,_courses_lookup!$E:$E,0)),"")</f>
        <v/>
      </c>
      <c r="P20" t="str">
        <f>IFERROR(INDEX(_courses_lookup!$D:$D,MATCH(K20&amp;L20,_courses_lookup!$E:$E,0)),"")</f>
        <v/>
      </c>
      <c r="AG20" t="str">
        <f t="shared" si="0"/>
        <v/>
      </c>
      <c r="AI20" t="str">
        <f t="shared" si="1"/>
        <v/>
      </c>
      <c r="AL20" t="str">
        <f t="shared" si="2"/>
        <v/>
      </c>
      <c r="AN20" t="str">
        <f t="shared" si="3"/>
        <v/>
      </c>
      <c r="AQ20" t="str">
        <f t="shared" si="4"/>
        <v/>
      </c>
      <c r="AR20" t="str">
        <f t="shared" si="5"/>
        <v/>
      </c>
      <c r="AS20" t="str">
        <f t="shared" si="6"/>
        <v/>
      </c>
      <c r="AT20" t="str">
        <f t="shared" si="7"/>
        <v/>
      </c>
      <c r="BG20" t="str">
        <f t="shared" si="8"/>
        <v/>
      </c>
      <c r="BH20" t="str">
        <f t="shared" si="9"/>
        <v/>
      </c>
      <c r="BL20" t="str">
        <f>IFERROR(INDEX(_names_lookup!$C:$C,MATCH(BK20,_names_lookup!$A:$A,0)),"")</f>
        <v/>
      </c>
      <c r="BM20" t="str">
        <f>IFERROR(INDEX(_names_lookup!$B:$B,MATCH(BK20,_names_lookup!$A:$A,0)),"")</f>
        <v/>
      </c>
      <c r="BS20" t="str">
        <f t="shared" si="10"/>
        <v/>
      </c>
    </row>
    <row r="21" spans="15:71" x14ac:dyDescent="0.2">
      <c r="O21" t="str">
        <f>IFERROR(INDEX(_courses_lookup!$C:$C,MATCH(K21&amp;L21,_courses_lookup!$E:$E,0)),"")</f>
        <v/>
      </c>
      <c r="P21" t="str">
        <f>IFERROR(INDEX(_courses_lookup!$D:$D,MATCH(K21&amp;L21,_courses_lookup!$E:$E,0)),"")</f>
        <v/>
      </c>
      <c r="AG21" t="str">
        <f t="shared" si="0"/>
        <v/>
      </c>
      <c r="AI21" t="str">
        <f t="shared" si="1"/>
        <v/>
      </c>
      <c r="AL21" t="str">
        <f t="shared" si="2"/>
        <v/>
      </c>
      <c r="AN21" t="str">
        <f t="shared" si="3"/>
        <v/>
      </c>
      <c r="AQ21" t="str">
        <f t="shared" si="4"/>
        <v/>
      </c>
      <c r="AR21" t="str">
        <f t="shared" si="5"/>
        <v/>
      </c>
      <c r="AS21" t="str">
        <f t="shared" si="6"/>
        <v/>
      </c>
      <c r="AT21" t="str">
        <f t="shared" si="7"/>
        <v/>
      </c>
      <c r="BG21" t="str">
        <f t="shared" si="8"/>
        <v/>
      </c>
      <c r="BH21" t="str">
        <f t="shared" si="9"/>
        <v/>
      </c>
      <c r="BL21" t="str">
        <f>IFERROR(INDEX(_names_lookup!$C:$C,MATCH(BK21,_names_lookup!$A:$A,0)),"")</f>
        <v/>
      </c>
      <c r="BM21" t="str">
        <f>IFERROR(INDEX(_names_lookup!$B:$B,MATCH(BK21,_names_lookup!$A:$A,0)),"")</f>
        <v/>
      </c>
      <c r="BS21" t="str">
        <f t="shared" si="10"/>
        <v/>
      </c>
    </row>
    <row r="22" spans="15:71" x14ac:dyDescent="0.2">
      <c r="O22" t="str">
        <f>IFERROR(INDEX(_courses_lookup!$C:$C,MATCH(K22&amp;L22,_courses_lookup!$E:$E,0)),"")</f>
        <v/>
      </c>
      <c r="P22" t="str">
        <f>IFERROR(INDEX(_courses_lookup!$D:$D,MATCH(K22&amp;L22,_courses_lookup!$E:$E,0)),"")</f>
        <v/>
      </c>
      <c r="AG22" t="str">
        <f t="shared" si="0"/>
        <v/>
      </c>
      <c r="AI22" t="str">
        <f t="shared" si="1"/>
        <v/>
      </c>
      <c r="AL22" t="str">
        <f t="shared" si="2"/>
        <v/>
      </c>
      <c r="AN22" t="str">
        <f t="shared" si="3"/>
        <v/>
      </c>
      <c r="AQ22" t="str">
        <f t="shared" si="4"/>
        <v/>
      </c>
      <c r="AR22" t="str">
        <f t="shared" si="5"/>
        <v/>
      </c>
      <c r="AS22" t="str">
        <f t="shared" si="6"/>
        <v/>
      </c>
      <c r="AT22" t="str">
        <f t="shared" si="7"/>
        <v/>
      </c>
      <c r="BG22" t="str">
        <f t="shared" si="8"/>
        <v/>
      </c>
      <c r="BH22" t="str">
        <f t="shared" si="9"/>
        <v/>
      </c>
      <c r="BL22" t="str">
        <f>IFERROR(INDEX(_names_lookup!$C:$C,MATCH(BK22,_names_lookup!$A:$A,0)),"")</f>
        <v/>
      </c>
      <c r="BM22" t="str">
        <f>IFERROR(INDEX(_names_lookup!$B:$B,MATCH(BK22,_names_lookup!$A:$A,0)),"")</f>
        <v/>
      </c>
      <c r="BS22" t="str">
        <f t="shared" si="10"/>
        <v/>
      </c>
    </row>
    <row r="23" spans="15:71" x14ac:dyDescent="0.2">
      <c r="O23" t="str">
        <f>IFERROR(INDEX(_courses_lookup!$C:$C,MATCH(K23&amp;L23,_courses_lookup!$E:$E,0)),"")</f>
        <v/>
      </c>
      <c r="P23" t="str">
        <f>IFERROR(INDEX(_courses_lookup!$D:$D,MATCH(K23&amp;L23,_courses_lookup!$E:$E,0)),"")</f>
        <v/>
      </c>
      <c r="AG23" t="str">
        <f t="shared" si="0"/>
        <v/>
      </c>
      <c r="AI23" t="str">
        <f t="shared" si="1"/>
        <v/>
      </c>
      <c r="AL23" t="str">
        <f t="shared" si="2"/>
        <v/>
      </c>
      <c r="AN23" t="str">
        <f t="shared" si="3"/>
        <v/>
      </c>
      <c r="AQ23" t="str">
        <f t="shared" si="4"/>
        <v/>
      </c>
      <c r="AR23" t="str">
        <f t="shared" si="5"/>
        <v/>
      </c>
      <c r="AS23" t="str">
        <f t="shared" si="6"/>
        <v/>
      </c>
      <c r="AT23" t="str">
        <f t="shared" si="7"/>
        <v/>
      </c>
      <c r="BG23" t="str">
        <f t="shared" si="8"/>
        <v/>
      </c>
      <c r="BH23" t="str">
        <f t="shared" si="9"/>
        <v/>
      </c>
      <c r="BL23" t="str">
        <f>IFERROR(INDEX(_names_lookup!$C:$C,MATCH(BK23,_names_lookup!$A:$A,0)),"")</f>
        <v/>
      </c>
      <c r="BM23" t="str">
        <f>IFERROR(INDEX(_names_lookup!$B:$B,MATCH(BK23,_names_lookup!$A:$A,0)),"")</f>
        <v/>
      </c>
      <c r="BS23" t="str">
        <f t="shared" si="10"/>
        <v/>
      </c>
    </row>
    <row r="24" spans="15:71" x14ac:dyDescent="0.2">
      <c r="O24" t="str">
        <f>IFERROR(INDEX(_courses_lookup!$C:$C,MATCH(K24&amp;L24,_courses_lookup!$E:$E,0)),"")</f>
        <v/>
      </c>
      <c r="P24" t="str">
        <f>IFERROR(INDEX(_courses_lookup!$D:$D,MATCH(K24&amp;L24,_courses_lookup!$E:$E,0)),"")</f>
        <v/>
      </c>
      <c r="AG24" t="str">
        <f t="shared" si="0"/>
        <v/>
      </c>
      <c r="AI24" t="str">
        <f t="shared" si="1"/>
        <v/>
      </c>
      <c r="AL24" t="str">
        <f t="shared" si="2"/>
        <v/>
      </c>
      <c r="AN24" t="str">
        <f t="shared" si="3"/>
        <v/>
      </c>
      <c r="AQ24" t="str">
        <f t="shared" si="4"/>
        <v/>
      </c>
      <c r="AR24" t="str">
        <f t="shared" si="5"/>
        <v/>
      </c>
      <c r="AS24" t="str">
        <f t="shared" si="6"/>
        <v/>
      </c>
      <c r="AT24" t="str">
        <f t="shared" si="7"/>
        <v/>
      </c>
      <c r="BG24" t="str">
        <f t="shared" si="8"/>
        <v/>
      </c>
      <c r="BH24" t="str">
        <f t="shared" si="9"/>
        <v/>
      </c>
      <c r="BL24" t="str">
        <f>IFERROR(INDEX(_names_lookup!$C:$C,MATCH(BK24,_names_lookup!$A:$A,0)),"")</f>
        <v/>
      </c>
      <c r="BM24" t="str">
        <f>IFERROR(INDEX(_names_lookup!$B:$B,MATCH(BK24,_names_lookup!$A:$A,0)),"")</f>
        <v/>
      </c>
      <c r="BS24" t="str">
        <f t="shared" si="10"/>
        <v/>
      </c>
    </row>
    <row r="25" spans="15:71" x14ac:dyDescent="0.2">
      <c r="O25" t="str">
        <f>IFERROR(INDEX(_courses_lookup!$C:$C,MATCH(K25&amp;L25,_courses_lookup!$E:$E,0)),"")</f>
        <v/>
      </c>
      <c r="P25" t="str">
        <f>IFERROR(INDEX(_courses_lookup!$D:$D,MATCH(K25&amp;L25,_courses_lookup!$E:$E,0)),"")</f>
        <v/>
      </c>
      <c r="AG25" t="str">
        <f t="shared" si="0"/>
        <v/>
      </c>
      <c r="AI25" t="str">
        <f t="shared" si="1"/>
        <v/>
      </c>
      <c r="AL25" t="str">
        <f t="shared" si="2"/>
        <v/>
      </c>
      <c r="AN25" t="str">
        <f t="shared" si="3"/>
        <v/>
      </c>
      <c r="AQ25" t="str">
        <f t="shared" si="4"/>
        <v/>
      </c>
      <c r="AR25" t="str">
        <f t="shared" si="5"/>
        <v/>
      </c>
      <c r="AS25" t="str">
        <f t="shared" si="6"/>
        <v/>
      </c>
      <c r="AT25" t="str">
        <f t="shared" si="7"/>
        <v/>
      </c>
      <c r="BG25" t="str">
        <f t="shared" si="8"/>
        <v/>
      </c>
      <c r="BH25" t="str">
        <f t="shared" si="9"/>
        <v/>
      </c>
      <c r="BL25" t="str">
        <f>IFERROR(INDEX(_names_lookup!$C:$C,MATCH(BK25,_names_lookup!$A:$A,0)),"")</f>
        <v/>
      </c>
      <c r="BM25" t="str">
        <f>IFERROR(INDEX(_names_lookup!$B:$B,MATCH(BK25,_names_lookup!$A:$A,0)),"")</f>
        <v/>
      </c>
      <c r="BS25" t="str">
        <f t="shared" si="10"/>
        <v/>
      </c>
    </row>
    <row r="26" spans="15:71" x14ac:dyDescent="0.2">
      <c r="O26" t="str">
        <f>IFERROR(INDEX(_courses_lookup!$C:$C,MATCH(K26&amp;L26,_courses_lookup!$E:$E,0)),"")</f>
        <v/>
      </c>
      <c r="P26" t="str">
        <f>IFERROR(INDEX(_courses_lookup!$D:$D,MATCH(K26&amp;L26,_courses_lookup!$E:$E,0)),"")</f>
        <v/>
      </c>
      <c r="AG26" t="str">
        <f t="shared" si="0"/>
        <v/>
      </c>
      <c r="AI26" t="str">
        <f t="shared" si="1"/>
        <v/>
      </c>
      <c r="AL26" t="str">
        <f t="shared" si="2"/>
        <v/>
      </c>
      <c r="AN26" t="str">
        <f t="shared" si="3"/>
        <v/>
      </c>
      <c r="AQ26" t="str">
        <f t="shared" si="4"/>
        <v/>
      </c>
      <c r="AR26" t="str">
        <f t="shared" si="5"/>
        <v/>
      </c>
      <c r="AS26" t="str">
        <f t="shared" si="6"/>
        <v/>
      </c>
      <c r="AT26" t="str">
        <f t="shared" si="7"/>
        <v/>
      </c>
      <c r="BG26" t="str">
        <f t="shared" si="8"/>
        <v/>
      </c>
      <c r="BH26" t="str">
        <f t="shared" si="9"/>
        <v/>
      </c>
      <c r="BL26" t="str">
        <f>IFERROR(INDEX(_names_lookup!$C:$C,MATCH(BK26,_names_lookup!$A:$A,0)),"")</f>
        <v/>
      </c>
      <c r="BM26" t="str">
        <f>IFERROR(INDEX(_names_lookup!$B:$B,MATCH(BK26,_names_lookup!$A:$A,0)),"")</f>
        <v/>
      </c>
      <c r="BS26" t="str">
        <f t="shared" si="10"/>
        <v/>
      </c>
    </row>
    <row r="27" spans="15:71" x14ac:dyDescent="0.2">
      <c r="O27" t="str">
        <f>IFERROR(INDEX(_courses_lookup!$C:$C,MATCH(K27&amp;L27,_courses_lookup!$E:$E,0)),"")</f>
        <v/>
      </c>
      <c r="P27" t="str">
        <f>IFERROR(INDEX(_courses_lookup!$D:$D,MATCH(K27&amp;L27,_courses_lookup!$E:$E,0)),"")</f>
        <v/>
      </c>
      <c r="AG27" t="str">
        <f t="shared" si="0"/>
        <v/>
      </c>
      <c r="AI27" t="str">
        <f t="shared" si="1"/>
        <v/>
      </c>
      <c r="AL27" t="str">
        <f t="shared" si="2"/>
        <v/>
      </c>
      <c r="AN27" t="str">
        <f t="shared" si="3"/>
        <v/>
      </c>
      <c r="AQ27" t="str">
        <f t="shared" si="4"/>
        <v/>
      </c>
      <c r="AR27" t="str">
        <f t="shared" si="5"/>
        <v/>
      </c>
      <c r="AS27" t="str">
        <f t="shared" si="6"/>
        <v/>
      </c>
      <c r="AT27" t="str">
        <f t="shared" si="7"/>
        <v/>
      </c>
      <c r="BG27" t="str">
        <f t="shared" si="8"/>
        <v/>
      </c>
      <c r="BH27" t="str">
        <f t="shared" si="9"/>
        <v/>
      </c>
      <c r="BL27" t="str">
        <f>IFERROR(INDEX(_names_lookup!$C:$C,MATCH(BK27,_names_lookup!$A:$A,0)),"")</f>
        <v/>
      </c>
      <c r="BM27" t="str">
        <f>IFERROR(INDEX(_names_lookup!$B:$B,MATCH(BK27,_names_lookup!$A:$A,0)),"")</f>
        <v/>
      </c>
      <c r="BS27" t="str">
        <f t="shared" si="10"/>
        <v/>
      </c>
    </row>
    <row r="28" spans="15:71" x14ac:dyDescent="0.2">
      <c r="O28" t="str">
        <f>IFERROR(INDEX(_courses_lookup!$C:$C,MATCH(K28&amp;L28,_courses_lookup!$E:$E,0)),"")</f>
        <v/>
      </c>
      <c r="P28" t="str">
        <f>IFERROR(INDEX(_courses_lookup!$D:$D,MATCH(K28&amp;L28,_courses_lookup!$E:$E,0)),"")</f>
        <v/>
      </c>
      <c r="AG28" t="str">
        <f t="shared" si="0"/>
        <v/>
      </c>
      <c r="AI28" t="str">
        <f t="shared" si="1"/>
        <v/>
      </c>
      <c r="AL28" t="str">
        <f t="shared" si="2"/>
        <v/>
      </c>
      <c r="AN28" t="str">
        <f t="shared" si="3"/>
        <v/>
      </c>
      <c r="AQ28" t="str">
        <f t="shared" si="4"/>
        <v/>
      </c>
      <c r="AR28" t="str">
        <f t="shared" si="5"/>
        <v/>
      </c>
      <c r="AS28" t="str">
        <f t="shared" si="6"/>
        <v/>
      </c>
      <c r="AT28" t="str">
        <f t="shared" si="7"/>
        <v/>
      </c>
      <c r="BG28" t="str">
        <f t="shared" si="8"/>
        <v/>
      </c>
      <c r="BH28" t="str">
        <f t="shared" si="9"/>
        <v/>
      </c>
      <c r="BL28" t="str">
        <f>IFERROR(INDEX(_names_lookup!$C:$C,MATCH(BK28,_names_lookup!$A:$A,0)),"")</f>
        <v/>
      </c>
      <c r="BM28" t="str">
        <f>IFERROR(INDEX(_names_lookup!$B:$B,MATCH(BK28,_names_lookup!$A:$A,0)),"")</f>
        <v/>
      </c>
      <c r="BS28" t="str">
        <f t="shared" si="10"/>
        <v/>
      </c>
    </row>
    <row r="29" spans="15:71" x14ac:dyDescent="0.2">
      <c r="O29" t="str">
        <f>IFERROR(INDEX(_courses_lookup!$C:$C,MATCH(K29&amp;L29,_courses_lookup!$E:$E,0)),"")</f>
        <v/>
      </c>
      <c r="P29" t="str">
        <f>IFERROR(INDEX(_courses_lookup!$D:$D,MATCH(K29&amp;L29,_courses_lookup!$E:$E,0)),"")</f>
        <v/>
      </c>
      <c r="AG29" t="str">
        <f t="shared" si="0"/>
        <v/>
      </c>
      <c r="AI29" t="str">
        <f t="shared" si="1"/>
        <v/>
      </c>
      <c r="AL29" t="str">
        <f t="shared" si="2"/>
        <v/>
      </c>
      <c r="AN29" t="str">
        <f t="shared" si="3"/>
        <v/>
      </c>
      <c r="AQ29" t="str">
        <f t="shared" si="4"/>
        <v/>
      </c>
      <c r="AR29" t="str">
        <f t="shared" si="5"/>
        <v/>
      </c>
      <c r="AS29" t="str">
        <f t="shared" si="6"/>
        <v/>
      </c>
      <c r="AT29" t="str">
        <f t="shared" si="7"/>
        <v/>
      </c>
      <c r="BG29" t="str">
        <f t="shared" si="8"/>
        <v/>
      </c>
      <c r="BH29" t="str">
        <f t="shared" si="9"/>
        <v/>
      </c>
      <c r="BL29" t="str">
        <f>IFERROR(INDEX(_names_lookup!$C:$C,MATCH(BK29,_names_lookup!$A:$A,0)),"")</f>
        <v/>
      </c>
      <c r="BM29" t="str">
        <f>IFERROR(INDEX(_names_lookup!$B:$B,MATCH(BK29,_names_lookup!$A:$A,0)),"")</f>
        <v/>
      </c>
      <c r="BS29" t="str">
        <f t="shared" si="10"/>
        <v/>
      </c>
    </row>
    <row r="30" spans="15:71" x14ac:dyDescent="0.2">
      <c r="O30" t="str">
        <f>IFERROR(INDEX(_courses_lookup!$C:$C,MATCH(K30&amp;L30,_courses_lookup!$E:$E,0)),"")</f>
        <v/>
      </c>
      <c r="P30" t="str">
        <f>IFERROR(INDEX(_courses_lookup!$D:$D,MATCH(K30&amp;L30,_courses_lookup!$E:$E,0)),"")</f>
        <v/>
      </c>
      <c r="AG30" t="str">
        <f t="shared" si="0"/>
        <v/>
      </c>
      <c r="AI30" t="str">
        <f t="shared" si="1"/>
        <v/>
      </c>
      <c r="AL30" t="str">
        <f t="shared" si="2"/>
        <v/>
      </c>
      <c r="AN30" t="str">
        <f t="shared" si="3"/>
        <v/>
      </c>
      <c r="AQ30" t="str">
        <f t="shared" si="4"/>
        <v/>
      </c>
      <c r="AR30" t="str">
        <f t="shared" si="5"/>
        <v/>
      </c>
      <c r="AS30" t="str">
        <f t="shared" si="6"/>
        <v/>
      </c>
      <c r="AT30" t="str">
        <f t="shared" si="7"/>
        <v/>
      </c>
      <c r="BG30" t="str">
        <f t="shared" si="8"/>
        <v/>
      </c>
      <c r="BH30" t="str">
        <f t="shared" si="9"/>
        <v/>
      </c>
      <c r="BL30" t="str">
        <f>IFERROR(INDEX(_names_lookup!$C:$C,MATCH(BK30,_names_lookup!$A:$A,0)),"")</f>
        <v/>
      </c>
      <c r="BM30" t="str">
        <f>IFERROR(INDEX(_names_lookup!$B:$B,MATCH(BK30,_names_lookup!$A:$A,0)),"")</f>
        <v/>
      </c>
      <c r="BS30" t="str">
        <f t="shared" si="10"/>
        <v/>
      </c>
    </row>
    <row r="31" spans="15:71" x14ac:dyDescent="0.2">
      <c r="O31" t="str">
        <f>IFERROR(INDEX(_courses_lookup!$C:$C,MATCH(K31&amp;L31,_courses_lookup!$E:$E,0)),"")</f>
        <v/>
      </c>
      <c r="P31" t="str">
        <f>IFERROR(INDEX(_courses_lookup!$D:$D,MATCH(K31&amp;L31,_courses_lookup!$E:$E,0)),"")</f>
        <v/>
      </c>
      <c r="AG31" t="str">
        <f t="shared" si="0"/>
        <v/>
      </c>
      <c r="AI31" t="str">
        <f t="shared" si="1"/>
        <v/>
      </c>
      <c r="AL31" t="str">
        <f t="shared" si="2"/>
        <v/>
      </c>
      <c r="AN31" t="str">
        <f t="shared" si="3"/>
        <v/>
      </c>
      <c r="AQ31" t="str">
        <f t="shared" si="4"/>
        <v/>
      </c>
      <c r="AR31" t="str">
        <f t="shared" si="5"/>
        <v/>
      </c>
      <c r="AS31" t="str">
        <f t="shared" si="6"/>
        <v/>
      </c>
      <c r="AT31" t="str">
        <f t="shared" si="7"/>
        <v/>
      </c>
      <c r="BG31" t="str">
        <f t="shared" si="8"/>
        <v/>
      </c>
      <c r="BH31" t="str">
        <f t="shared" si="9"/>
        <v/>
      </c>
      <c r="BL31" t="str">
        <f>IFERROR(INDEX(_names_lookup!$C:$C,MATCH(BK31,_names_lookup!$A:$A,0)),"")</f>
        <v/>
      </c>
      <c r="BM31" t="str">
        <f>IFERROR(INDEX(_names_lookup!$B:$B,MATCH(BK31,_names_lookup!$A:$A,0)),"")</f>
        <v/>
      </c>
      <c r="BS31" t="str">
        <f t="shared" si="10"/>
        <v/>
      </c>
    </row>
    <row r="32" spans="15:71" x14ac:dyDescent="0.2">
      <c r="O32" t="str">
        <f>IFERROR(INDEX(_courses_lookup!$C:$C,MATCH(K32&amp;L32,_courses_lookup!$E:$E,0)),"")</f>
        <v/>
      </c>
      <c r="P32" t="str">
        <f>IFERROR(INDEX(_courses_lookup!$D:$D,MATCH(K32&amp;L32,_courses_lookup!$E:$E,0)),"")</f>
        <v/>
      </c>
      <c r="AG32" t="str">
        <f t="shared" si="0"/>
        <v/>
      </c>
      <c r="AI32" t="str">
        <f t="shared" si="1"/>
        <v/>
      </c>
      <c r="AL32" t="str">
        <f t="shared" si="2"/>
        <v/>
      </c>
      <c r="AN32" t="str">
        <f t="shared" si="3"/>
        <v/>
      </c>
      <c r="AQ32" t="str">
        <f t="shared" si="4"/>
        <v/>
      </c>
      <c r="AR32" t="str">
        <f t="shared" si="5"/>
        <v/>
      </c>
      <c r="AS32" t="str">
        <f t="shared" si="6"/>
        <v/>
      </c>
      <c r="AT32" t="str">
        <f t="shared" si="7"/>
        <v/>
      </c>
      <c r="BG32" t="str">
        <f t="shared" si="8"/>
        <v/>
      </c>
      <c r="BH32" t="str">
        <f t="shared" si="9"/>
        <v/>
      </c>
      <c r="BL32" t="str">
        <f>IFERROR(INDEX(_names_lookup!$C:$C,MATCH(BK32,_names_lookup!$A:$A,0)),"")</f>
        <v/>
      </c>
      <c r="BM32" t="str">
        <f>IFERROR(INDEX(_names_lookup!$B:$B,MATCH(BK32,_names_lookup!$A:$A,0)),"")</f>
        <v/>
      </c>
      <c r="BS32" t="str">
        <f t="shared" si="10"/>
        <v/>
      </c>
    </row>
    <row r="33" spans="15:71" x14ac:dyDescent="0.2">
      <c r="O33" t="str">
        <f>IFERROR(INDEX(_courses_lookup!$C:$C,MATCH(K33&amp;L33,_courses_lookup!$E:$E,0)),"")</f>
        <v/>
      </c>
      <c r="P33" t="str">
        <f>IFERROR(INDEX(_courses_lookup!$D:$D,MATCH(K33&amp;L33,_courses_lookup!$E:$E,0)),"")</f>
        <v/>
      </c>
      <c r="AG33" t="str">
        <f t="shared" si="0"/>
        <v/>
      </c>
      <c r="AI33" t="str">
        <f t="shared" si="1"/>
        <v/>
      </c>
      <c r="AL33" t="str">
        <f t="shared" si="2"/>
        <v/>
      </c>
      <c r="AN33" t="str">
        <f t="shared" si="3"/>
        <v/>
      </c>
      <c r="AQ33" t="str">
        <f t="shared" si="4"/>
        <v/>
      </c>
      <c r="AR33" t="str">
        <f t="shared" si="5"/>
        <v/>
      </c>
      <c r="AS33" t="str">
        <f t="shared" si="6"/>
        <v/>
      </c>
      <c r="AT33" t="str">
        <f t="shared" si="7"/>
        <v/>
      </c>
      <c r="BG33" t="str">
        <f t="shared" si="8"/>
        <v/>
      </c>
      <c r="BH33" t="str">
        <f t="shared" si="9"/>
        <v/>
      </c>
      <c r="BL33" t="str">
        <f>IFERROR(INDEX(_names_lookup!$C:$C,MATCH(BK33,_names_lookup!$A:$A,0)),"")</f>
        <v/>
      </c>
      <c r="BM33" t="str">
        <f>IFERROR(INDEX(_names_lookup!$B:$B,MATCH(BK33,_names_lookup!$A:$A,0)),"")</f>
        <v/>
      </c>
      <c r="BS33" t="str">
        <f t="shared" si="10"/>
        <v/>
      </c>
    </row>
    <row r="34" spans="15:71" x14ac:dyDescent="0.2">
      <c r="O34" t="str">
        <f>IFERROR(INDEX(_courses_lookup!$C:$C,MATCH(K34&amp;L34,_courses_lookup!$E:$E,0)),"")</f>
        <v/>
      </c>
      <c r="P34" t="str">
        <f>IFERROR(INDEX(_courses_lookup!$D:$D,MATCH(K34&amp;L34,_courses_lookup!$E:$E,0)),"")</f>
        <v/>
      </c>
      <c r="AG34" t="str">
        <f t="shared" si="0"/>
        <v/>
      </c>
      <c r="AI34" t="str">
        <f t="shared" si="1"/>
        <v/>
      </c>
      <c r="AL34" t="str">
        <f t="shared" si="2"/>
        <v/>
      </c>
      <c r="AN34" t="str">
        <f t="shared" si="3"/>
        <v/>
      </c>
      <c r="AQ34" t="str">
        <f t="shared" si="4"/>
        <v/>
      </c>
      <c r="AR34" t="str">
        <f t="shared" si="5"/>
        <v/>
      </c>
      <c r="AS34" t="str">
        <f t="shared" si="6"/>
        <v/>
      </c>
      <c r="AT34" t="str">
        <f t="shared" si="7"/>
        <v/>
      </c>
      <c r="BG34" t="str">
        <f t="shared" si="8"/>
        <v/>
      </c>
      <c r="BH34" t="str">
        <f t="shared" si="9"/>
        <v/>
      </c>
      <c r="BL34" t="str">
        <f>IFERROR(INDEX(_names_lookup!$C:$C,MATCH(BK34,_names_lookup!$A:$A,0)),"")</f>
        <v/>
      </c>
      <c r="BM34" t="str">
        <f>IFERROR(INDEX(_names_lookup!$B:$B,MATCH(BK34,_names_lookup!$A:$A,0)),"")</f>
        <v/>
      </c>
      <c r="BS34" t="str">
        <f t="shared" si="10"/>
        <v/>
      </c>
    </row>
    <row r="35" spans="15:71" x14ac:dyDescent="0.2">
      <c r="O35" t="str">
        <f>IFERROR(INDEX(_courses_lookup!$C:$C,MATCH(K35&amp;L35,_courses_lookup!$E:$E,0)),"")</f>
        <v/>
      </c>
      <c r="P35" t="str">
        <f>IFERROR(INDEX(_courses_lookup!$D:$D,MATCH(K35&amp;L35,_courses_lookup!$E:$E,0)),"")</f>
        <v/>
      </c>
      <c r="AG35" t="str">
        <f t="shared" si="0"/>
        <v/>
      </c>
      <c r="AI35" t="str">
        <f t="shared" si="1"/>
        <v/>
      </c>
      <c r="AL35" t="str">
        <f t="shared" si="2"/>
        <v/>
      </c>
      <c r="AN35" t="str">
        <f t="shared" si="3"/>
        <v/>
      </c>
      <c r="AQ35" t="str">
        <f t="shared" si="4"/>
        <v/>
      </c>
      <c r="AR35" t="str">
        <f t="shared" si="5"/>
        <v/>
      </c>
      <c r="AS35" t="str">
        <f t="shared" si="6"/>
        <v/>
      </c>
      <c r="AT35" t="str">
        <f t="shared" si="7"/>
        <v/>
      </c>
      <c r="BG35" t="str">
        <f t="shared" si="8"/>
        <v/>
      </c>
      <c r="BH35" t="str">
        <f t="shared" si="9"/>
        <v/>
      </c>
      <c r="BL35" t="str">
        <f>IFERROR(INDEX(_names_lookup!$C:$C,MATCH(BK35,_names_lookup!$A:$A,0)),"")</f>
        <v/>
      </c>
      <c r="BM35" t="str">
        <f>IFERROR(INDEX(_names_lookup!$B:$B,MATCH(BK35,_names_lookup!$A:$A,0)),"")</f>
        <v/>
      </c>
      <c r="BS35" t="str">
        <f t="shared" si="10"/>
        <v/>
      </c>
    </row>
    <row r="36" spans="15:71" x14ac:dyDescent="0.2">
      <c r="O36" t="str">
        <f>IFERROR(INDEX(_courses_lookup!$C:$C,MATCH(K36&amp;L36,_courses_lookup!$E:$E,0)),"")</f>
        <v/>
      </c>
      <c r="P36" t="str">
        <f>IFERROR(INDEX(_courses_lookup!$D:$D,MATCH(K36&amp;L36,_courses_lookup!$E:$E,0)),"")</f>
        <v/>
      </c>
      <c r="AG36" t="str">
        <f t="shared" si="0"/>
        <v/>
      </c>
      <c r="AI36" t="str">
        <f t="shared" si="1"/>
        <v/>
      </c>
      <c r="AL36" t="str">
        <f t="shared" si="2"/>
        <v/>
      </c>
      <c r="AN36" t="str">
        <f t="shared" si="3"/>
        <v/>
      </c>
      <c r="AQ36" t="str">
        <f t="shared" si="4"/>
        <v/>
      </c>
      <c r="AR36" t="str">
        <f t="shared" si="5"/>
        <v/>
      </c>
      <c r="AS36" t="str">
        <f t="shared" si="6"/>
        <v/>
      </c>
      <c r="AT36" t="str">
        <f t="shared" si="7"/>
        <v/>
      </c>
      <c r="BG36" t="str">
        <f t="shared" si="8"/>
        <v/>
      </c>
      <c r="BH36" t="str">
        <f t="shared" si="9"/>
        <v/>
      </c>
      <c r="BL36" t="str">
        <f>IFERROR(INDEX(_names_lookup!$C:$C,MATCH(BK36,_names_lookup!$A:$A,0)),"")</f>
        <v/>
      </c>
      <c r="BM36" t="str">
        <f>IFERROR(INDEX(_names_lookup!$B:$B,MATCH(BK36,_names_lookup!$A:$A,0)),"")</f>
        <v/>
      </c>
      <c r="BS36" t="str">
        <f t="shared" si="10"/>
        <v/>
      </c>
    </row>
    <row r="37" spans="15:71" x14ac:dyDescent="0.2">
      <c r="O37" t="str">
        <f>IFERROR(INDEX(_courses_lookup!$C:$C,MATCH(K37&amp;L37,_courses_lookup!$E:$E,0)),"")</f>
        <v/>
      </c>
      <c r="P37" t="str">
        <f>IFERROR(INDEX(_courses_lookup!$D:$D,MATCH(K37&amp;L37,_courses_lookup!$E:$E,0)),"")</f>
        <v/>
      </c>
      <c r="AG37" t="str">
        <f t="shared" si="0"/>
        <v/>
      </c>
      <c r="AI37" t="str">
        <f t="shared" si="1"/>
        <v/>
      </c>
      <c r="AL37" t="str">
        <f t="shared" si="2"/>
        <v/>
      </c>
      <c r="AN37" t="str">
        <f t="shared" si="3"/>
        <v/>
      </c>
      <c r="AQ37" t="str">
        <f t="shared" si="4"/>
        <v/>
      </c>
      <c r="AR37" t="str">
        <f t="shared" si="5"/>
        <v/>
      </c>
      <c r="AS37" t="str">
        <f t="shared" si="6"/>
        <v/>
      </c>
      <c r="AT37" t="str">
        <f t="shared" si="7"/>
        <v/>
      </c>
      <c r="BG37" t="str">
        <f t="shared" si="8"/>
        <v/>
      </c>
      <c r="BH37" t="str">
        <f t="shared" si="9"/>
        <v/>
      </c>
      <c r="BL37" t="str">
        <f>IFERROR(INDEX(_names_lookup!$C:$C,MATCH(BK37,_names_lookup!$A:$A,0)),"")</f>
        <v/>
      </c>
      <c r="BM37" t="str">
        <f>IFERROR(INDEX(_names_lookup!$B:$B,MATCH(BK37,_names_lookup!$A:$A,0)),"")</f>
        <v/>
      </c>
      <c r="BS37" t="str">
        <f t="shared" si="10"/>
        <v/>
      </c>
    </row>
    <row r="38" spans="15:71" x14ac:dyDescent="0.2">
      <c r="O38" t="str">
        <f>IFERROR(INDEX(_courses_lookup!$C:$C,MATCH(K38&amp;L38,_courses_lookup!$E:$E,0)),"")</f>
        <v/>
      </c>
      <c r="P38" t="str">
        <f>IFERROR(INDEX(_courses_lookup!$D:$D,MATCH(K38&amp;L38,_courses_lookup!$E:$E,0)),"")</f>
        <v/>
      </c>
      <c r="AG38" t="str">
        <f t="shared" si="0"/>
        <v/>
      </c>
      <c r="AI38" t="str">
        <f t="shared" si="1"/>
        <v/>
      </c>
      <c r="AL38" t="str">
        <f t="shared" si="2"/>
        <v/>
      </c>
      <c r="AN38" t="str">
        <f t="shared" si="3"/>
        <v/>
      </c>
      <c r="AQ38" t="str">
        <f t="shared" si="4"/>
        <v/>
      </c>
      <c r="AR38" t="str">
        <f t="shared" si="5"/>
        <v/>
      </c>
      <c r="AS38" t="str">
        <f t="shared" si="6"/>
        <v/>
      </c>
      <c r="AT38" t="str">
        <f t="shared" si="7"/>
        <v/>
      </c>
      <c r="BG38" t="str">
        <f t="shared" si="8"/>
        <v/>
      </c>
      <c r="BH38" t="str">
        <f t="shared" si="9"/>
        <v/>
      </c>
      <c r="BL38" t="str">
        <f>IFERROR(INDEX(_names_lookup!$C:$C,MATCH(BK38,_names_lookup!$A:$A,0)),"")</f>
        <v/>
      </c>
      <c r="BM38" t="str">
        <f>IFERROR(INDEX(_names_lookup!$B:$B,MATCH(BK38,_names_lookup!$A:$A,0)),"")</f>
        <v/>
      </c>
      <c r="BS38" t="str">
        <f t="shared" si="10"/>
        <v/>
      </c>
    </row>
    <row r="39" spans="15:71" x14ac:dyDescent="0.2">
      <c r="O39" t="str">
        <f>IFERROR(INDEX(_courses_lookup!$C:$C,MATCH(K39&amp;L39,_courses_lookup!$E:$E,0)),"")</f>
        <v/>
      </c>
      <c r="P39" t="str">
        <f>IFERROR(INDEX(_courses_lookup!$D:$D,MATCH(K39&amp;L39,_courses_lookup!$E:$E,0)),"")</f>
        <v/>
      </c>
      <c r="AG39" t="str">
        <f t="shared" si="0"/>
        <v/>
      </c>
      <c r="AI39" t="str">
        <f t="shared" si="1"/>
        <v/>
      </c>
      <c r="AL39" t="str">
        <f t="shared" si="2"/>
        <v/>
      </c>
      <c r="AN39" t="str">
        <f t="shared" si="3"/>
        <v/>
      </c>
      <c r="AQ39" t="str">
        <f t="shared" si="4"/>
        <v/>
      </c>
      <c r="AR39" t="str">
        <f t="shared" si="5"/>
        <v/>
      </c>
      <c r="AS39" t="str">
        <f t="shared" si="6"/>
        <v/>
      </c>
      <c r="AT39" t="str">
        <f t="shared" si="7"/>
        <v/>
      </c>
      <c r="BG39" t="str">
        <f t="shared" si="8"/>
        <v/>
      </c>
      <c r="BH39" t="str">
        <f t="shared" si="9"/>
        <v/>
      </c>
      <c r="BL39" t="str">
        <f>IFERROR(INDEX(_names_lookup!$C:$C,MATCH(BK39,_names_lookup!$A:$A,0)),"")</f>
        <v/>
      </c>
      <c r="BM39" t="str">
        <f>IFERROR(INDEX(_names_lookup!$B:$B,MATCH(BK39,_names_lookup!$A:$A,0)),"")</f>
        <v/>
      </c>
      <c r="BS39" t="str">
        <f t="shared" si="10"/>
        <v/>
      </c>
    </row>
    <row r="40" spans="15:71" x14ac:dyDescent="0.2">
      <c r="O40" t="str">
        <f>IFERROR(INDEX(_courses_lookup!$C:$C,MATCH(K40&amp;L40,_courses_lookup!$E:$E,0)),"")</f>
        <v/>
      </c>
      <c r="P40" t="str">
        <f>IFERROR(INDEX(_courses_lookup!$D:$D,MATCH(K40&amp;L40,_courses_lookup!$E:$E,0)),"")</f>
        <v/>
      </c>
      <c r="AG40" t="str">
        <f t="shared" si="0"/>
        <v/>
      </c>
      <c r="AI40" t="str">
        <f t="shared" si="1"/>
        <v/>
      </c>
      <c r="AL40" t="str">
        <f t="shared" si="2"/>
        <v/>
      </c>
      <c r="AN40" t="str">
        <f t="shared" si="3"/>
        <v/>
      </c>
      <c r="AQ40" t="str">
        <f t="shared" si="4"/>
        <v/>
      </c>
      <c r="AR40" t="str">
        <f t="shared" si="5"/>
        <v/>
      </c>
      <c r="AS40" t="str">
        <f t="shared" si="6"/>
        <v/>
      </c>
      <c r="AT40" t="str">
        <f t="shared" si="7"/>
        <v/>
      </c>
      <c r="BG40" t="str">
        <f t="shared" si="8"/>
        <v/>
      </c>
      <c r="BH40" t="str">
        <f t="shared" si="9"/>
        <v/>
      </c>
      <c r="BL40" t="str">
        <f>IFERROR(INDEX(_names_lookup!$C:$C,MATCH(BK40,_names_lookup!$A:$A,0)),"")</f>
        <v/>
      </c>
      <c r="BM40" t="str">
        <f>IFERROR(INDEX(_names_lookup!$B:$B,MATCH(BK40,_names_lookup!$A:$A,0)),"")</f>
        <v/>
      </c>
      <c r="BS40" t="str">
        <f t="shared" si="10"/>
        <v/>
      </c>
    </row>
    <row r="41" spans="15:71" x14ac:dyDescent="0.2">
      <c r="O41" t="str">
        <f>IFERROR(INDEX(_courses_lookup!$C:$C,MATCH(K41&amp;L41,_courses_lookup!$E:$E,0)),"")</f>
        <v/>
      </c>
      <c r="P41" t="str">
        <f>IFERROR(INDEX(_courses_lookup!$D:$D,MATCH(K41&amp;L41,_courses_lookup!$E:$E,0)),"")</f>
        <v/>
      </c>
      <c r="AG41" t="str">
        <f t="shared" si="0"/>
        <v/>
      </c>
      <c r="AI41" t="str">
        <f t="shared" si="1"/>
        <v/>
      </c>
      <c r="AL41" t="str">
        <f t="shared" si="2"/>
        <v/>
      </c>
      <c r="AN41" t="str">
        <f t="shared" si="3"/>
        <v/>
      </c>
      <c r="AQ41" t="str">
        <f t="shared" si="4"/>
        <v/>
      </c>
      <c r="AR41" t="str">
        <f t="shared" si="5"/>
        <v/>
      </c>
      <c r="AS41" t="str">
        <f t="shared" si="6"/>
        <v/>
      </c>
      <c r="AT41" t="str">
        <f t="shared" si="7"/>
        <v/>
      </c>
      <c r="BG41" t="str">
        <f t="shared" si="8"/>
        <v/>
      </c>
      <c r="BH41" t="str">
        <f t="shared" si="9"/>
        <v/>
      </c>
      <c r="BL41" t="str">
        <f>IFERROR(INDEX(_names_lookup!$C:$C,MATCH(BK41,_names_lookup!$A:$A,0)),"")</f>
        <v/>
      </c>
      <c r="BM41" t="str">
        <f>IFERROR(INDEX(_names_lookup!$B:$B,MATCH(BK41,_names_lookup!$A:$A,0)),"")</f>
        <v/>
      </c>
      <c r="BS41" t="str">
        <f t="shared" si="10"/>
        <v/>
      </c>
    </row>
    <row r="42" spans="15:71" x14ac:dyDescent="0.2">
      <c r="O42" t="str">
        <f>IFERROR(INDEX(_courses_lookup!$C:$C,MATCH(K42&amp;L42,_courses_lookup!$E:$E,0)),"")</f>
        <v/>
      </c>
      <c r="P42" t="str">
        <f>IFERROR(INDEX(_courses_lookup!$D:$D,MATCH(K42&amp;L42,_courses_lookup!$E:$E,0)),"")</f>
        <v/>
      </c>
      <c r="AG42" t="str">
        <f t="shared" si="0"/>
        <v/>
      </c>
      <c r="AI42" t="str">
        <f t="shared" si="1"/>
        <v/>
      </c>
      <c r="AL42" t="str">
        <f t="shared" si="2"/>
        <v/>
      </c>
      <c r="AN42" t="str">
        <f t="shared" si="3"/>
        <v/>
      </c>
      <c r="AQ42" t="str">
        <f t="shared" si="4"/>
        <v/>
      </c>
      <c r="AR42" t="str">
        <f t="shared" si="5"/>
        <v/>
      </c>
      <c r="AS42" t="str">
        <f t="shared" si="6"/>
        <v/>
      </c>
      <c r="AT42" t="str">
        <f t="shared" si="7"/>
        <v/>
      </c>
      <c r="BG42" t="str">
        <f t="shared" si="8"/>
        <v/>
      </c>
      <c r="BH42" t="str">
        <f t="shared" si="9"/>
        <v/>
      </c>
      <c r="BL42" t="str">
        <f>IFERROR(INDEX(_names_lookup!$C:$C,MATCH(BK42,_names_lookup!$A:$A,0)),"")</f>
        <v/>
      </c>
      <c r="BM42" t="str">
        <f>IFERROR(INDEX(_names_lookup!$B:$B,MATCH(BK42,_names_lookup!$A:$A,0)),"")</f>
        <v/>
      </c>
      <c r="BS42" t="str">
        <f t="shared" si="10"/>
        <v/>
      </c>
    </row>
    <row r="43" spans="15:71" x14ac:dyDescent="0.2">
      <c r="O43" t="str">
        <f>IFERROR(INDEX(_courses_lookup!$C:$C,MATCH(K43&amp;L43,_courses_lookup!$E:$E,0)),"")</f>
        <v/>
      </c>
      <c r="P43" t="str">
        <f>IFERROR(INDEX(_courses_lookup!$D:$D,MATCH(K43&amp;L43,_courses_lookup!$E:$E,0)),"")</f>
        <v/>
      </c>
      <c r="AG43" t="str">
        <f t="shared" si="0"/>
        <v/>
      </c>
      <c r="AI43" t="str">
        <f t="shared" si="1"/>
        <v/>
      </c>
      <c r="AL43" t="str">
        <f t="shared" si="2"/>
        <v/>
      </c>
      <c r="AN43" t="str">
        <f t="shared" si="3"/>
        <v/>
      </c>
      <c r="AQ43" t="str">
        <f t="shared" si="4"/>
        <v/>
      </c>
      <c r="AR43" t="str">
        <f t="shared" si="5"/>
        <v/>
      </c>
      <c r="AS43" t="str">
        <f t="shared" si="6"/>
        <v/>
      </c>
      <c r="AT43" t="str">
        <f t="shared" si="7"/>
        <v/>
      </c>
      <c r="BG43" t="str">
        <f t="shared" si="8"/>
        <v/>
      </c>
      <c r="BH43" t="str">
        <f t="shared" si="9"/>
        <v/>
      </c>
      <c r="BL43" t="str">
        <f>IFERROR(INDEX(_names_lookup!$C:$C,MATCH(BK43,_names_lookup!$A:$A,0)),"")</f>
        <v/>
      </c>
      <c r="BM43" t="str">
        <f>IFERROR(INDEX(_names_lookup!$B:$B,MATCH(BK43,_names_lookup!$A:$A,0)),"")</f>
        <v/>
      </c>
      <c r="BS43" t="str">
        <f t="shared" si="10"/>
        <v/>
      </c>
    </row>
    <row r="44" spans="15:71" x14ac:dyDescent="0.2">
      <c r="O44" t="str">
        <f>IFERROR(INDEX(_courses_lookup!$C:$C,MATCH(K44&amp;L44,_courses_lookup!$E:$E,0)),"")</f>
        <v/>
      </c>
      <c r="P44" t="str">
        <f>IFERROR(INDEX(_courses_lookup!$D:$D,MATCH(K44&amp;L44,_courses_lookup!$E:$E,0)),"")</f>
        <v/>
      </c>
      <c r="AG44" t="str">
        <f t="shared" si="0"/>
        <v/>
      </c>
      <c r="AI44" t="str">
        <f t="shared" si="1"/>
        <v/>
      </c>
      <c r="AL44" t="str">
        <f t="shared" si="2"/>
        <v/>
      </c>
      <c r="AN44" t="str">
        <f t="shared" si="3"/>
        <v/>
      </c>
      <c r="AQ44" t="str">
        <f t="shared" si="4"/>
        <v/>
      </c>
      <c r="AR44" t="str">
        <f t="shared" si="5"/>
        <v/>
      </c>
      <c r="AS44" t="str">
        <f t="shared" si="6"/>
        <v/>
      </c>
      <c r="AT44" t="str">
        <f t="shared" si="7"/>
        <v/>
      </c>
      <c r="BG44" t="str">
        <f t="shared" si="8"/>
        <v/>
      </c>
      <c r="BH44" t="str">
        <f t="shared" si="9"/>
        <v/>
      </c>
      <c r="BL44" t="str">
        <f>IFERROR(INDEX(_names_lookup!$C:$C,MATCH(BK44,_names_lookup!$A:$A,0)),"")</f>
        <v/>
      </c>
      <c r="BM44" t="str">
        <f>IFERROR(INDEX(_names_lookup!$B:$B,MATCH(BK44,_names_lookup!$A:$A,0)),"")</f>
        <v/>
      </c>
      <c r="BS44" t="str">
        <f t="shared" si="10"/>
        <v/>
      </c>
    </row>
    <row r="45" spans="15:71" x14ac:dyDescent="0.2">
      <c r="O45" t="str">
        <f>IFERROR(INDEX(_courses_lookup!$C:$C,MATCH(K45&amp;L45,_courses_lookup!$E:$E,0)),"")</f>
        <v/>
      </c>
      <c r="P45" t="str">
        <f>IFERROR(INDEX(_courses_lookup!$D:$D,MATCH(K45&amp;L45,_courses_lookup!$E:$E,0)),"")</f>
        <v/>
      </c>
      <c r="AG45" t="str">
        <f t="shared" si="0"/>
        <v/>
      </c>
      <c r="AI45" t="str">
        <f t="shared" si="1"/>
        <v/>
      </c>
      <c r="AL45" t="str">
        <f t="shared" si="2"/>
        <v/>
      </c>
      <c r="AN45" t="str">
        <f t="shared" si="3"/>
        <v/>
      </c>
      <c r="AQ45" t="str">
        <f t="shared" si="4"/>
        <v/>
      </c>
      <c r="AR45" t="str">
        <f t="shared" si="5"/>
        <v/>
      </c>
      <c r="AS45" t="str">
        <f t="shared" si="6"/>
        <v/>
      </c>
      <c r="AT45" t="str">
        <f t="shared" si="7"/>
        <v/>
      </c>
      <c r="BG45" t="str">
        <f t="shared" si="8"/>
        <v/>
      </c>
      <c r="BH45" t="str">
        <f t="shared" si="9"/>
        <v/>
      </c>
      <c r="BL45" t="str">
        <f>IFERROR(INDEX(_names_lookup!$C:$C,MATCH(BK45,_names_lookup!$A:$A,0)),"")</f>
        <v/>
      </c>
      <c r="BM45" t="str">
        <f>IFERROR(INDEX(_names_lookup!$B:$B,MATCH(BK45,_names_lookup!$A:$A,0)),"")</f>
        <v/>
      </c>
      <c r="BS45" t="str">
        <f t="shared" si="10"/>
        <v/>
      </c>
    </row>
    <row r="46" spans="15:71" x14ac:dyDescent="0.2">
      <c r="O46" t="str">
        <f>IFERROR(INDEX(_courses_lookup!$C:$C,MATCH(K46&amp;L46,_courses_lookup!$E:$E,0)),"")</f>
        <v/>
      </c>
      <c r="P46" t="str">
        <f>IFERROR(INDEX(_courses_lookup!$D:$D,MATCH(K46&amp;L46,_courses_lookup!$E:$E,0)),"")</f>
        <v/>
      </c>
      <c r="AG46" t="str">
        <f t="shared" si="0"/>
        <v/>
      </c>
      <c r="AI46" t="str">
        <f t="shared" si="1"/>
        <v/>
      </c>
      <c r="AL46" t="str">
        <f t="shared" si="2"/>
        <v/>
      </c>
      <c r="AN46" t="str">
        <f t="shared" si="3"/>
        <v/>
      </c>
      <c r="AQ46" t="str">
        <f t="shared" si="4"/>
        <v/>
      </c>
      <c r="AR46" t="str">
        <f t="shared" si="5"/>
        <v/>
      </c>
      <c r="AS46" t="str">
        <f t="shared" si="6"/>
        <v/>
      </c>
      <c r="AT46" t="str">
        <f t="shared" si="7"/>
        <v/>
      </c>
      <c r="BG46" t="str">
        <f t="shared" si="8"/>
        <v/>
      </c>
      <c r="BH46" t="str">
        <f t="shared" si="9"/>
        <v/>
      </c>
      <c r="BL46" t="str">
        <f>IFERROR(INDEX(_names_lookup!$C:$C,MATCH(BK46,_names_lookup!$A:$A,0)),"")</f>
        <v/>
      </c>
      <c r="BM46" t="str">
        <f>IFERROR(INDEX(_names_lookup!$B:$B,MATCH(BK46,_names_lookup!$A:$A,0)),"")</f>
        <v/>
      </c>
      <c r="BS46" t="str">
        <f t="shared" si="10"/>
        <v/>
      </c>
    </row>
    <row r="47" spans="15:71" x14ac:dyDescent="0.2">
      <c r="O47" t="str">
        <f>IFERROR(INDEX(_courses_lookup!$C:$C,MATCH(K47&amp;L47,_courses_lookup!$E:$E,0)),"")</f>
        <v/>
      </c>
      <c r="P47" t="str">
        <f>IFERROR(INDEX(_courses_lookup!$D:$D,MATCH(K47&amp;L47,_courses_lookup!$E:$E,0)),"")</f>
        <v/>
      </c>
      <c r="AG47" t="str">
        <f t="shared" si="0"/>
        <v/>
      </c>
      <c r="AI47" t="str">
        <f t="shared" si="1"/>
        <v/>
      </c>
      <c r="AL47" t="str">
        <f t="shared" si="2"/>
        <v/>
      </c>
      <c r="AN47" t="str">
        <f t="shared" si="3"/>
        <v/>
      </c>
      <c r="AQ47" t="str">
        <f t="shared" si="4"/>
        <v/>
      </c>
      <c r="AR47" t="str">
        <f t="shared" si="5"/>
        <v/>
      </c>
      <c r="AS47" t="str">
        <f t="shared" si="6"/>
        <v/>
      </c>
      <c r="AT47" t="str">
        <f t="shared" si="7"/>
        <v/>
      </c>
      <c r="BG47" t="str">
        <f t="shared" si="8"/>
        <v/>
      </c>
      <c r="BH47" t="str">
        <f t="shared" si="9"/>
        <v/>
      </c>
      <c r="BL47" t="str">
        <f>IFERROR(INDEX(_names_lookup!$C:$C,MATCH(BK47,_names_lookup!$A:$A,0)),"")</f>
        <v/>
      </c>
      <c r="BM47" t="str">
        <f>IFERROR(INDEX(_names_lookup!$B:$B,MATCH(BK47,_names_lookup!$A:$A,0)),"")</f>
        <v/>
      </c>
      <c r="BS47" t="str">
        <f t="shared" si="10"/>
        <v/>
      </c>
    </row>
    <row r="48" spans="15:71" x14ac:dyDescent="0.2">
      <c r="O48" t="str">
        <f>IFERROR(INDEX(_courses_lookup!$C:$C,MATCH(K48&amp;L48,_courses_lookup!$E:$E,0)),"")</f>
        <v/>
      </c>
      <c r="P48" t="str">
        <f>IFERROR(INDEX(_courses_lookup!$D:$D,MATCH(K48&amp;L48,_courses_lookup!$E:$E,0)),"")</f>
        <v/>
      </c>
      <c r="AG48" t="str">
        <f t="shared" si="0"/>
        <v/>
      </c>
      <c r="AI48" t="str">
        <f t="shared" si="1"/>
        <v/>
      </c>
      <c r="AL48" t="str">
        <f t="shared" si="2"/>
        <v/>
      </c>
      <c r="AN48" t="str">
        <f t="shared" si="3"/>
        <v/>
      </c>
      <c r="AQ48" t="str">
        <f t="shared" si="4"/>
        <v/>
      </c>
      <c r="AR48" t="str">
        <f t="shared" si="5"/>
        <v/>
      </c>
      <c r="AS48" t="str">
        <f t="shared" si="6"/>
        <v/>
      </c>
      <c r="AT48" t="str">
        <f t="shared" si="7"/>
        <v/>
      </c>
      <c r="BG48" t="str">
        <f t="shared" si="8"/>
        <v/>
      </c>
      <c r="BH48" t="str">
        <f t="shared" si="9"/>
        <v/>
      </c>
      <c r="BL48" t="str">
        <f>IFERROR(INDEX(_names_lookup!$C:$C,MATCH(BK48,_names_lookup!$A:$A,0)),"")</f>
        <v/>
      </c>
      <c r="BM48" t="str">
        <f>IFERROR(INDEX(_names_lookup!$B:$B,MATCH(BK48,_names_lookup!$A:$A,0)),"")</f>
        <v/>
      </c>
      <c r="BS48" t="str">
        <f t="shared" si="10"/>
        <v/>
      </c>
    </row>
    <row r="49" spans="15:71" x14ac:dyDescent="0.2">
      <c r="O49" t="str">
        <f>IFERROR(INDEX(_courses_lookup!$C:$C,MATCH(K49&amp;L49,_courses_lookup!$E:$E,0)),"")</f>
        <v/>
      </c>
      <c r="P49" t="str">
        <f>IFERROR(INDEX(_courses_lookup!$D:$D,MATCH(K49&amp;L49,_courses_lookup!$E:$E,0)),"")</f>
        <v/>
      </c>
      <c r="AG49" t="str">
        <f t="shared" si="0"/>
        <v/>
      </c>
      <c r="AI49" t="str">
        <f t="shared" si="1"/>
        <v/>
      </c>
      <c r="AL49" t="str">
        <f t="shared" si="2"/>
        <v/>
      </c>
      <c r="AN49" t="str">
        <f t="shared" si="3"/>
        <v/>
      </c>
      <c r="AQ49" t="str">
        <f t="shared" si="4"/>
        <v/>
      </c>
      <c r="AR49" t="str">
        <f t="shared" si="5"/>
        <v/>
      </c>
      <c r="AS49" t="str">
        <f t="shared" si="6"/>
        <v/>
      </c>
      <c r="AT49" t="str">
        <f t="shared" si="7"/>
        <v/>
      </c>
      <c r="BG49" t="str">
        <f t="shared" si="8"/>
        <v/>
      </c>
      <c r="BH49" t="str">
        <f t="shared" si="9"/>
        <v/>
      </c>
      <c r="BL49" t="str">
        <f>IFERROR(INDEX(_names_lookup!$C:$C,MATCH(BK49,_names_lookup!$A:$A,0)),"")</f>
        <v/>
      </c>
      <c r="BM49" t="str">
        <f>IFERROR(INDEX(_names_lookup!$B:$B,MATCH(BK49,_names_lookup!$A:$A,0)),"")</f>
        <v/>
      </c>
      <c r="BS49" t="str">
        <f t="shared" si="10"/>
        <v/>
      </c>
    </row>
    <row r="50" spans="15:71" x14ac:dyDescent="0.2">
      <c r="O50" t="str">
        <f>IFERROR(INDEX(_courses_lookup!$C:$C,MATCH(K50&amp;L50,_courses_lookup!$E:$E,0)),"")</f>
        <v/>
      </c>
      <c r="P50" t="str">
        <f>IFERROR(INDEX(_courses_lookup!$D:$D,MATCH(K50&amp;L50,_courses_lookup!$E:$E,0)),"")</f>
        <v/>
      </c>
      <c r="AG50" t="str">
        <f t="shared" si="0"/>
        <v/>
      </c>
      <c r="AI50" t="str">
        <f t="shared" si="1"/>
        <v/>
      </c>
      <c r="AL50" t="str">
        <f t="shared" si="2"/>
        <v/>
      </c>
      <c r="AN50" t="str">
        <f t="shared" si="3"/>
        <v/>
      </c>
      <c r="AQ50" t="str">
        <f t="shared" si="4"/>
        <v/>
      </c>
      <c r="AR50" t="str">
        <f t="shared" si="5"/>
        <v/>
      </c>
      <c r="AS50" t="str">
        <f t="shared" si="6"/>
        <v/>
      </c>
      <c r="AT50" t="str">
        <f t="shared" si="7"/>
        <v/>
      </c>
      <c r="BG50" t="str">
        <f t="shared" si="8"/>
        <v/>
      </c>
      <c r="BH50" t="str">
        <f t="shared" si="9"/>
        <v/>
      </c>
      <c r="BL50" t="str">
        <f>IFERROR(INDEX(_names_lookup!$C:$C,MATCH(BK50,_names_lookup!$A:$A,0)),"")</f>
        <v/>
      </c>
      <c r="BM50" t="str">
        <f>IFERROR(INDEX(_names_lookup!$B:$B,MATCH(BK50,_names_lookup!$A:$A,0)),"")</f>
        <v/>
      </c>
      <c r="BS50" t="str">
        <f t="shared" si="10"/>
        <v/>
      </c>
    </row>
    <row r="51" spans="15:71" x14ac:dyDescent="0.2">
      <c r="O51" t="str">
        <f>IFERROR(INDEX(_courses_lookup!$C:$C,MATCH(K51&amp;L51,_courses_lookup!$E:$E,0)),"")</f>
        <v/>
      </c>
      <c r="P51" t="str">
        <f>IFERROR(INDEX(_courses_lookup!$D:$D,MATCH(K51&amp;L51,_courses_lookup!$E:$E,0)),"")</f>
        <v/>
      </c>
      <c r="AG51" t="str">
        <f t="shared" si="0"/>
        <v/>
      </c>
      <c r="AI51" t="str">
        <f t="shared" si="1"/>
        <v/>
      </c>
      <c r="AL51" t="str">
        <f t="shared" si="2"/>
        <v/>
      </c>
      <c r="AN51" t="str">
        <f t="shared" si="3"/>
        <v/>
      </c>
      <c r="AQ51" t="str">
        <f t="shared" si="4"/>
        <v/>
      </c>
      <c r="AR51" t="str">
        <f t="shared" si="5"/>
        <v/>
      </c>
      <c r="AS51" t="str">
        <f t="shared" si="6"/>
        <v/>
      </c>
      <c r="AT51" t="str">
        <f t="shared" si="7"/>
        <v/>
      </c>
      <c r="BG51" t="str">
        <f t="shared" si="8"/>
        <v/>
      </c>
      <c r="BH51" t="str">
        <f t="shared" si="9"/>
        <v/>
      </c>
      <c r="BL51" t="str">
        <f>IFERROR(INDEX(_names_lookup!$C:$C,MATCH(BK51,_names_lookup!$A:$A,0)),"")</f>
        <v/>
      </c>
      <c r="BM51" t="str">
        <f>IFERROR(INDEX(_names_lookup!$B:$B,MATCH(BK51,_names_lookup!$A:$A,0)),"")</f>
        <v/>
      </c>
      <c r="BS51" t="str">
        <f t="shared" si="10"/>
        <v/>
      </c>
    </row>
    <row r="52" spans="15:71" x14ac:dyDescent="0.2">
      <c r="O52" t="str">
        <f>IFERROR(INDEX(_courses_lookup!$C:$C,MATCH(K52&amp;L52,_courses_lookup!$E:$E,0)),"")</f>
        <v/>
      </c>
      <c r="P52" t="str">
        <f>IFERROR(INDEX(_courses_lookup!$D:$D,MATCH(K52&amp;L52,_courses_lookup!$E:$E,0)),"")</f>
        <v/>
      </c>
      <c r="AG52" t="str">
        <f t="shared" si="0"/>
        <v/>
      </c>
      <c r="AI52" t="str">
        <f t="shared" si="1"/>
        <v/>
      </c>
      <c r="AL52" t="str">
        <f t="shared" si="2"/>
        <v/>
      </c>
      <c r="AN52" t="str">
        <f t="shared" si="3"/>
        <v/>
      </c>
      <c r="AQ52" t="str">
        <f t="shared" si="4"/>
        <v/>
      </c>
      <c r="AR52" t="str">
        <f t="shared" si="5"/>
        <v/>
      </c>
      <c r="AS52" t="str">
        <f t="shared" si="6"/>
        <v/>
      </c>
      <c r="AT52" t="str">
        <f t="shared" si="7"/>
        <v/>
      </c>
      <c r="BG52" t="str">
        <f t="shared" si="8"/>
        <v/>
      </c>
      <c r="BH52" t="str">
        <f t="shared" si="9"/>
        <v/>
      </c>
      <c r="BL52" t="str">
        <f>IFERROR(INDEX(_names_lookup!$C:$C,MATCH(BK52,_names_lookup!$A:$A,0)),"")</f>
        <v/>
      </c>
      <c r="BM52" t="str">
        <f>IFERROR(INDEX(_names_lookup!$B:$B,MATCH(BK52,_names_lookup!$A:$A,0)),"")</f>
        <v/>
      </c>
      <c r="BS52" t="str">
        <f t="shared" si="10"/>
        <v/>
      </c>
    </row>
    <row r="53" spans="15:71" x14ac:dyDescent="0.2">
      <c r="O53" t="str">
        <f>IFERROR(INDEX(_courses_lookup!$C:$C,MATCH(K53&amp;L53,_courses_lookup!$E:$E,0)),"")</f>
        <v/>
      </c>
      <c r="P53" t="str">
        <f>IFERROR(INDEX(_courses_lookup!$D:$D,MATCH(K53&amp;L53,_courses_lookup!$E:$E,0)),"")</f>
        <v/>
      </c>
      <c r="AG53" t="str">
        <f t="shared" si="0"/>
        <v/>
      </c>
      <c r="AI53" t="str">
        <f t="shared" si="1"/>
        <v/>
      </c>
      <c r="AL53" t="str">
        <f t="shared" si="2"/>
        <v/>
      </c>
      <c r="AN53" t="str">
        <f t="shared" si="3"/>
        <v/>
      </c>
      <c r="AQ53" t="str">
        <f t="shared" si="4"/>
        <v/>
      </c>
      <c r="AR53" t="str">
        <f t="shared" si="5"/>
        <v/>
      </c>
      <c r="AS53" t="str">
        <f t="shared" si="6"/>
        <v/>
      </c>
      <c r="AT53" t="str">
        <f t="shared" si="7"/>
        <v/>
      </c>
      <c r="BG53" t="str">
        <f t="shared" si="8"/>
        <v/>
      </c>
      <c r="BH53" t="str">
        <f t="shared" si="9"/>
        <v/>
      </c>
      <c r="BL53" t="str">
        <f>IFERROR(INDEX(_names_lookup!$C:$C,MATCH(BK53,_names_lookup!$A:$A,0)),"")</f>
        <v/>
      </c>
      <c r="BM53" t="str">
        <f>IFERROR(INDEX(_names_lookup!$B:$B,MATCH(BK53,_names_lookup!$A:$A,0)),"")</f>
        <v/>
      </c>
      <c r="BS53" t="str">
        <f t="shared" si="10"/>
        <v/>
      </c>
    </row>
    <row r="54" spans="15:71" x14ac:dyDescent="0.2">
      <c r="O54" t="str">
        <f>IFERROR(INDEX(_courses_lookup!$C:$C,MATCH(K54&amp;L54,_courses_lookup!$E:$E,0)),"")</f>
        <v/>
      </c>
      <c r="P54" t="str">
        <f>IFERROR(INDEX(_courses_lookup!$D:$D,MATCH(K54&amp;L54,_courses_lookup!$E:$E,0)),"")</f>
        <v/>
      </c>
      <c r="AG54" t="str">
        <f t="shared" si="0"/>
        <v/>
      </c>
      <c r="AI54" t="str">
        <f t="shared" si="1"/>
        <v/>
      </c>
      <c r="AL54" t="str">
        <f t="shared" si="2"/>
        <v/>
      </c>
      <c r="AN54" t="str">
        <f t="shared" si="3"/>
        <v/>
      </c>
      <c r="AQ54" t="str">
        <f t="shared" si="4"/>
        <v/>
      </c>
      <c r="AR54" t="str">
        <f t="shared" si="5"/>
        <v/>
      </c>
      <c r="AS54" t="str">
        <f t="shared" si="6"/>
        <v/>
      </c>
      <c r="AT54" t="str">
        <f t="shared" si="7"/>
        <v/>
      </c>
      <c r="BG54" t="str">
        <f t="shared" si="8"/>
        <v/>
      </c>
      <c r="BH54" t="str">
        <f t="shared" si="9"/>
        <v/>
      </c>
      <c r="BL54" t="str">
        <f>IFERROR(INDEX(_names_lookup!$C:$C,MATCH(BK54,_names_lookup!$A:$A,0)),"")</f>
        <v/>
      </c>
      <c r="BM54" t="str">
        <f>IFERROR(INDEX(_names_lookup!$B:$B,MATCH(BK54,_names_lookup!$A:$A,0)),"")</f>
        <v/>
      </c>
      <c r="BS54" t="str">
        <f t="shared" si="10"/>
        <v/>
      </c>
    </row>
    <row r="55" spans="15:71" x14ac:dyDescent="0.2">
      <c r="O55" t="str">
        <f>IFERROR(INDEX(_courses_lookup!$C:$C,MATCH(K55&amp;L55,_courses_lookup!$E:$E,0)),"")</f>
        <v/>
      </c>
      <c r="P55" t="str">
        <f>IFERROR(INDEX(_courses_lookup!$D:$D,MATCH(K55&amp;L55,_courses_lookup!$E:$E,0)),"")</f>
        <v/>
      </c>
      <c r="AG55" t="str">
        <f t="shared" si="0"/>
        <v/>
      </c>
      <c r="AI55" t="str">
        <f t="shared" si="1"/>
        <v/>
      </c>
      <c r="AL55" t="str">
        <f t="shared" si="2"/>
        <v/>
      </c>
      <c r="AN55" t="str">
        <f t="shared" si="3"/>
        <v/>
      </c>
      <c r="AQ55" t="str">
        <f t="shared" si="4"/>
        <v/>
      </c>
      <c r="AR55" t="str">
        <f t="shared" si="5"/>
        <v/>
      </c>
      <c r="AS55" t="str">
        <f t="shared" si="6"/>
        <v/>
      </c>
      <c r="AT55" t="str">
        <f t="shared" si="7"/>
        <v/>
      </c>
      <c r="BG55" t="str">
        <f t="shared" si="8"/>
        <v/>
      </c>
      <c r="BH55" t="str">
        <f t="shared" si="9"/>
        <v/>
      </c>
      <c r="BL55" t="str">
        <f>IFERROR(INDEX(_names_lookup!$C:$C,MATCH(BK55,_names_lookup!$A:$A,0)),"")</f>
        <v/>
      </c>
      <c r="BM55" t="str">
        <f>IFERROR(INDEX(_names_lookup!$B:$B,MATCH(BK55,_names_lookup!$A:$A,0)),"")</f>
        <v/>
      </c>
      <c r="BS55" t="str">
        <f t="shared" si="10"/>
        <v/>
      </c>
    </row>
    <row r="56" spans="15:71" x14ac:dyDescent="0.2">
      <c r="O56" t="str">
        <f>IFERROR(INDEX(_courses_lookup!$C:$C,MATCH(K56&amp;L56,_courses_lookup!$E:$E,0)),"")</f>
        <v/>
      </c>
      <c r="P56" t="str">
        <f>IFERROR(INDEX(_courses_lookup!$D:$D,MATCH(K56&amp;L56,_courses_lookup!$E:$E,0)),"")</f>
        <v/>
      </c>
      <c r="AG56" t="str">
        <f t="shared" si="0"/>
        <v/>
      </c>
      <c r="AI56" t="str">
        <f t="shared" si="1"/>
        <v/>
      </c>
      <c r="AL56" t="str">
        <f t="shared" si="2"/>
        <v/>
      </c>
      <c r="AN56" t="str">
        <f t="shared" si="3"/>
        <v/>
      </c>
      <c r="AQ56" t="str">
        <f t="shared" si="4"/>
        <v/>
      </c>
      <c r="AR56" t="str">
        <f t="shared" si="5"/>
        <v/>
      </c>
      <c r="AS56" t="str">
        <f t="shared" si="6"/>
        <v/>
      </c>
      <c r="AT56" t="str">
        <f t="shared" si="7"/>
        <v/>
      </c>
      <c r="BG56" t="str">
        <f t="shared" si="8"/>
        <v/>
      </c>
      <c r="BH56" t="str">
        <f t="shared" si="9"/>
        <v/>
      </c>
      <c r="BL56" t="str">
        <f>IFERROR(INDEX(_names_lookup!$C:$C,MATCH(BK56,_names_lookup!$A:$A,0)),"")</f>
        <v/>
      </c>
      <c r="BM56" t="str">
        <f>IFERROR(INDEX(_names_lookup!$B:$B,MATCH(BK56,_names_lookup!$A:$A,0)),"")</f>
        <v/>
      </c>
      <c r="BS56" t="str">
        <f t="shared" si="10"/>
        <v/>
      </c>
    </row>
    <row r="57" spans="15:71" x14ac:dyDescent="0.2">
      <c r="O57" t="str">
        <f>IFERROR(INDEX(_courses_lookup!$C:$C,MATCH(K57&amp;L57,_courses_lookup!$E:$E,0)),"")</f>
        <v/>
      </c>
      <c r="P57" t="str">
        <f>IFERROR(INDEX(_courses_lookup!$D:$D,MATCH(K57&amp;L57,_courses_lookup!$E:$E,0)),"")</f>
        <v/>
      </c>
      <c r="AG57" t="str">
        <f t="shared" si="0"/>
        <v/>
      </c>
      <c r="AI57" t="str">
        <f t="shared" si="1"/>
        <v/>
      </c>
      <c r="AL57" t="str">
        <f t="shared" si="2"/>
        <v/>
      </c>
      <c r="AN57" t="str">
        <f t="shared" si="3"/>
        <v/>
      </c>
      <c r="AQ57" t="str">
        <f t="shared" si="4"/>
        <v/>
      </c>
      <c r="AR57" t="str">
        <f t="shared" si="5"/>
        <v/>
      </c>
      <c r="AS57" t="str">
        <f t="shared" si="6"/>
        <v/>
      </c>
      <c r="AT57" t="str">
        <f t="shared" si="7"/>
        <v/>
      </c>
      <c r="BG57" t="str">
        <f t="shared" si="8"/>
        <v/>
      </c>
      <c r="BH57" t="str">
        <f t="shared" si="9"/>
        <v/>
      </c>
      <c r="BL57" t="str">
        <f>IFERROR(INDEX(_names_lookup!$C:$C,MATCH(BK57,_names_lookup!$A:$A,0)),"")</f>
        <v/>
      </c>
      <c r="BM57" t="str">
        <f>IFERROR(INDEX(_names_lookup!$B:$B,MATCH(BK57,_names_lookup!$A:$A,0)),"")</f>
        <v/>
      </c>
      <c r="BS57" t="str">
        <f t="shared" si="10"/>
        <v/>
      </c>
    </row>
    <row r="58" spans="15:71" x14ac:dyDescent="0.2">
      <c r="O58" t="str">
        <f>IFERROR(INDEX(_courses_lookup!$C:$C,MATCH(K58&amp;L58,_courses_lookup!$E:$E,0)),"")</f>
        <v/>
      </c>
      <c r="P58" t="str">
        <f>IFERROR(INDEX(_courses_lookup!$D:$D,MATCH(K58&amp;L58,_courses_lookup!$E:$E,0)),"")</f>
        <v/>
      </c>
      <c r="AG58" t="str">
        <f t="shared" si="0"/>
        <v/>
      </c>
      <c r="AI58" t="str">
        <f t="shared" si="1"/>
        <v/>
      </c>
      <c r="AL58" t="str">
        <f t="shared" si="2"/>
        <v/>
      </c>
      <c r="AN58" t="str">
        <f t="shared" si="3"/>
        <v/>
      </c>
      <c r="AQ58" t="str">
        <f t="shared" si="4"/>
        <v/>
      </c>
      <c r="AR58" t="str">
        <f t="shared" si="5"/>
        <v/>
      </c>
      <c r="AS58" t="str">
        <f t="shared" si="6"/>
        <v/>
      </c>
      <c r="AT58" t="str">
        <f t="shared" si="7"/>
        <v/>
      </c>
      <c r="BG58" t="str">
        <f t="shared" si="8"/>
        <v/>
      </c>
      <c r="BH58" t="str">
        <f t="shared" si="9"/>
        <v/>
      </c>
      <c r="BL58" t="str">
        <f>IFERROR(INDEX(_names_lookup!$C:$C,MATCH(BK58,_names_lookup!$A:$A,0)),"")</f>
        <v/>
      </c>
      <c r="BM58" t="str">
        <f>IFERROR(INDEX(_names_lookup!$B:$B,MATCH(BK58,_names_lookup!$A:$A,0)),"")</f>
        <v/>
      </c>
      <c r="BS58" t="str">
        <f t="shared" si="10"/>
        <v/>
      </c>
    </row>
    <row r="59" spans="15:71" x14ac:dyDescent="0.2">
      <c r="O59" t="str">
        <f>IFERROR(INDEX(_courses_lookup!$C:$C,MATCH(K59&amp;L59,_courses_lookup!$E:$E,0)),"")</f>
        <v/>
      </c>
      <c r="P59" t="str">
        <f>IFERROR(INDEX(_courses_lookup!$D:$D,MATCH(K59&amp;L59,_courses_lookup!$E:$E,0)),"")</f>
        <v/>
      </c>
      <c r="AG59" t="str">
        <f t="shared" si="0"/>
        <v/>
      </c>
      <c r="AI59" t="str">
        <f t="shared" si="1"/>
        <v/>
      </c>
      <c r="AL59" t="str">
        <f t="shared" si="2"/>
        <v/>
      </c>
      <c r="AN59" t="str">
        <f t="shared" si="3"/>
        <v/>
      </c>
      <c r="AQ59" t="str">
        <f t="shared" si="4"/>
        <v/>
      </c>
      <c r="AR59" t="str">
        <f t="shared" si="5"/>
        <v/>
      </c>
      <c r="AS59" t="str">
        <f t="shared" si="6"/>
        <v/>
      </c>
      <c r="AT59" t="str">
        <f t="shared" si="7"/>
        <v/>
      </c>
      <c r="BG59" t="str">
        <f t="shared" si="8"/>
        <v/>
      </c>
      <c r="BH59" t="str">
        <f t="shared" si="9"/>
        <v/>
      </c>
      <c r="BL59" t="str">
        <f>IFERROR(INDEX(_names_lookup!$C:$C,MATCH(BK59,_names_lookup!$A:$A,0)),"")</f>
        <v/>
      </c>
      <c r="BM59" t="str">
        <f>IFERROR(INDEX(_names_lookup!$B:$B,MATCH(BK59,_names_lookup!$A:$A,0)),"")</f>
        <v/>
      </c>
      <c r="BS59" t="str">
        <f t="shared" si="10"/>
        <v/>
      </c>
    </row>
    <row r="60" spans="15:71" x14ac:dyDescent="0.2">
      <c r="O60" t="str">
        <f>IFERROR(INDEX(_courses_lookup!$C:$C,MATCH(K60&amp;L60,_courses_lookup!$E:$E,0)),"")</f>
        <v/>
      </c>
      <c r="P60" t="str">
        <f>IFERROR(INDEX(_courses_lookup!$D:$D,MATCH(K60&amp;L60,_courses_lookup!$E:$E,0)),"")</f>
        <v/>
      </c>
      <c r="AG60" t="str">
        <f t="shared" si="0"/>
        <v/>
      </c>
      <c r="AI60" t="str">
        <f t="shared" si="1"/>
        <v/>
      </c>
      <c r="AL60" t="str">
        <f t="shared" si="2"/>
        <v/>
      </c>
      <c r="AN60" t="str">
        <f t="shared" si="3"/>
        <v/>
      </c>
      <c r="AQ60" t="str">
        <f t="shared" si="4"/>
        <v/>
      </c>
      <c r="AR60" t="str">
        <f t="shared" si="5"/>
        <v/>
      </c>
      <c r="AS60" t="str">
        <f t="shared" si="6"/>
        <v/>
      </c>
      <c r="AT60" t="str">
        <f t="shared" si="7"/>
        <v/>
      </c>
      <c r="BG60" t="str">
        <f t="shared" si="8"/>
        <v/>
      </c>
      <c r="BH60" t="str">
        <f t="shared" si="9"/>
        <v/>
      </c>
      <c r="BL60" t="str">
        <f>IFERROR(INDEX(_names_lookup!$C:$C,MATCH(BK60,_names_lookup!$A:$A,0)),"")</f>
        <v/>
      </c>
      <c r="BM60" t="str">
        <f>IFERROR(INDEX(_names_lookup!$B:$B,MATCH(BK60,_names_lookup!$A:$A,0)),"")</f>
        <v/>
      </c>
      <c r="BS60" t="str">
        <f t="shared" si="10"/>
        <v/>
      </c>
    </row>
    <row r="61" spans="15:71" x14ac:dyDescent="0.2">
      <c r="O61" t="str">
        <f>IFERROR(INDEX(_courses_lookup!$C:$C,MATCH(K61&amp;L61,_courses_lookup!$E:$E,0)),"")</f>
        <v/>
      </c>
      <c r="P61" t="str">
        <f>IFERROR(INDEX(_courses_lookup!$D:$D,MATCH(K61&amp;L61,_courses_lookup!$E:$E,0)),"")</f>
        <v/>
      </c>
      <c r="AG61" t="str">
        <f t="shared" si="0"/>
        <v/>
      </c>
      <c r="AI61" t="str">
        <f t="shared" si="1"/>
        <v/>
      </c>
      <c r="AL61" t="str">
        <f t="shared" si="2"/>
        <v/>
      </c>
      <c r="AN61" t="str">
        <f t="shared" si="3"/>
        <v/>
      </c>
      <c r="AQ61" t="str">
        <f t="shared" si="4"/>
        <v/>
      </c>
      <c r="AR61" t="str">
        <f t="shared" si="5"/>
        <v/>
      </c>
      <c r="AS61" t="str">
        <f t="shared" si="6"/>
        <v/>
      </c>
      <c r="AT61" t="str">
        <f t="shared" si="7"/>
        <v/>
      </c>
      <c r="BG61" t="str">
        <f t="shared" si="8"/>
        <v/>
      </c>
      <c r="BH61" t="str">
        <f t="shared" si="9"/>
        <v/>
      </c>
      <c r="BL61" t="str">
        <f>IFERROR(INDEX(_names_lookup!$C:$C,MATCH(BK61,_names_lookup!$A:$A,0)),"")</f>
        <v/>
      </c>
      <c r="BM61" t="str">
        <f>IFERROR(INDEX(_names_lookup!$B:$B,MATCH(BK61,_names_lookup!$A:$A,0)),"")</f>
        <v/>
      </c>
      <c r="BS61" t="str">
        <f t="shared" si="10"/>
        <v/>
      </c>
    </row>
    <row r="62" spans="15:71" x14ac:dyDescent="0.2">
      <c r="O62" t="str">
        <f>IFERROR(INDEX(_courses_lookup!$C:$C,MATCH(K62&amp;L62,_courses_lookup!$E:$E,0)),"")</f>
        <v/>
      </c>
      <c r="P62" t="str">
        <f>IFERROR(INDEX(_courses_lookup!$D:$D,MATCH(K62&amp;L62,_courses_lookup!$E:$E,0)),"")</f>
        <v/>
      </c>
      <c r="AG62" t="str">
        <f t="shared" si="0"/>
        <v/>
      </c>
      <c r="AI62" t="str">
        <f t="shared" si="1"/>
        <v/>
      </c>
      <c r="AL62" t="str">
        <f t="shared" si="2"/>
        <v/>
      </c>
      <c r="AN62" t="str">
        <f t="shared" si="3"/>
        <v/>
      </c>
      <c r="AQ62" t="str">
        <f t="shared" si="4"/>
        <v/>
      </c>
      <c r="AR62" t="str">
        <f t="shared" si="5"/>
        <v/>
      </c>
      <c r="AS62" t="str">
        <f t="shared" si="6"/>
        <v/>
      </c>
      <c r="AT62" t="str">
        <f t="shared" si="7"/>
        <v/>
      </c>
      <c r="BG62" t="str">
        <f t="shared" si="8"/>
        <v/>
      </c>
      <c r="BH62" t="str">
        <f t="shared" si="9"/>
        <v/>
      </c>
      <c r="BL62" t="str">
        <f>IFERROR(INDEX(_names_lookup!$C:$C,MATCH(BK62,_names_lookup!$A:$A,0)),"")</f>
        <v/>
      </c>
      <c r="BM62" t="str">
        <f>IFERROR(INDEX(_names_lookup!$B:$B,MATCH(BK62,_names_lookup!$A:$A,0)),"")</f>
        <v/>
      </c>
      <c r="BS62" t="str">
        <f t="shared" si="10"/>
        <v/>
      </c>
    </row>
    <row r="63" spans="15:71" x14ac:dyDescent="0.2">
      <c r="O63" t="str">
        <f>IFERROR(INDEX(_courses_lookup!$C:$C,MATCH(K63&amp;L63,_courses_lookup!$E:$E,0)),"")</f>
        <v/>
      </c>
      <c r="P63" t="str">
        <f>IFERROR(INDEX(_courses_lookup!$D:$D,MATCH(K63&amp;L63,_courses_lookup!$E:$E,0)),"")</f>
        <v/>
      </c>
      <c r="AG63" t="str">
        <f t="shared" si="0"/>
        <v/>
      </c>
      <c r="AI63" t="str">
        <f t="shared" si="1"/>
        <v/>
      </c>
      <c r="AL63" t="str">
        <f t="shared" si="2"/>
        <v/>
      </c>
      <c r="AN63" t="str">
        <f t="shared" si="3"/>
        <v/>
      </c>
      <c r="AQ63" t="str">
        <f t="shared" si="4"/>
        <v/>
      </c>
      <c r="AR63" t="str">
        <f t="shared" si="5"/>
        <v/>
      </c>
      <c r="AS63" t="str">
        <f t="shared" si="6"/>
        <v/>
      </c>
      <c r="AT63" t="str">
        <f t="shared" si="7"/>
        <v/>
      </c>
      <c r="BG63" t="str">
        <f t="shared" si="8"/>
        <v/>
      </c>
      <c r="BH63" t="str">
        <f t="shared" si="9"/>
        <v/>
      </c>
      <c r="BL63" t="str">
        <f>IFERROR(INDEX(_names_lookup!$C:$C,MATCH(BK63,_names_lookup!$A:$A,0)),"")</f>
        <v/>
      </c>
      <c r="BM63" t="str">
        <f>IFERROR(INDEX(_names_lookup!$B:$B,MATCH(BK63,_names_lookup!$A:$A,0)),"")</f>
        <v/>
      </c>
      <c r="BS63" t="str">
        <f t="shared" si="10"/>
        <v/>
      </c>
    </row>
    <row r="64" spans="15:71" x14ac:dyDescent="0.2">
      <c r="O64" t="str">
        <f>IFERROR(INDEX(_courses_lookup!$C:$C,MATCH(K64&amp;L64,_courses_lookup!$E:$E,0)),"")</f>
        <v/>
      </c>
      <c r="P64" t="str">
        <f>IFERROR(INDEX(_courses_lookup!$D:$D,MATCH(K64&amp;L64,_courses_lookup!$E:$E,0)),"")</f>
        <v/>
      </c>
      <c r="AG64" t="str">
        <f t="shared" si="0"/>
        <v/>
      </c>
      <c r="AI64" t="str">
        <f t="shared" si="1"/>
        <v/>
      </c>
      <c r="AL64" t="str">
        <f t="shared" si="2"/>
        <v/>
      </c>
      <c r="AN64" t="str">
        <f t="shared" si="3"/>
        <v/>
      </c>
      <c r="AQ64" t="str">
        <f t="shared" si="4"/>
        <v/>
      </c>
      <c r="AR64" t="str">
        <f t="shared" si="5"/>
        <v/>
      </c>
      <c r="AS64" t="str">
        <f t="shared" si="6"/>
        <v/>
      </c>
      <c r="AT64" t="str">
        <f t="shared" si="7"/>
        <v/>
      </c>
      <c r="BG64" t="str">
        <f t="shared" si="8"/>
        <v/>
      </c>
      <c r="BH64" t="str">
        <f t="shared" si="9"/>
        <v/>
      </c>
      <c r="BL64" t="str">
        <f>IFERROR(INDEX(_names_lookup!$C:$C,MATCH(BK64,_names_lookup!$A:$A,0)),"")</f>
        <v/>
      </c>
      <c r="BM64" t="str">
        <f>IFERROR(INDEX(_names_lookup!$B:$B,MATCH(BK64,_names_lookup!$A:$A,0)),"")</f>
        <v/>
      </c>
      <c r="BS64" t="str">
        <f t="shared" si="10"/>
        <v/>
      </c>
    </row>
    <row r="65" spans="15:71" x14ac:dyDescent="0.2">
      <c r="O65" t="str">
        <f>IFERROR(INDEX(_courses_lookup!$C:$C,MATCH(K65&amp;L65,_courses_lookup!$E:$E,0)),"")</f>
        <v/>
      </c>
      <c r="P65" t="str">
        <f>IFERROR(INDEX(_courses_lookup!$D:$D,MATCH(K65&amp;L65,_courses_lookup!$E:$E,0)),"")</f>
        <v/>
      </c>
      <c r="AG65" t="str">
        <f t="shared" si="0"/>
        <v/>
      </c>
      <c r="AI65" t="str">
        <f t="shared" si="1"/>
        <v/>
      </c>
      <c r="AL65" t="str">
        <f t="shared" si="2"/>
        <v/>
      </c>
      <c r="AN65" t="str">
        <f t="shared" si="3"/>
        <v/>
      </c>
      <c r="AQ65" t="str">
        <f t="shared" si="4"/>
        <v/>
      </c>
      <c r="AR65" t="str">
        <f t="shared" si="5"/>
        <v/>
      </c>
      <c r="AS65" t="str">
        <f t="shared" si="6"/>
        <v/>
      </c>
      <c r="AT65" t="str">
        <f t="shared" si="7"/>
        <v/>
      </c>
      <c r="BG65" t="str">
        <f t="shared" si="8"/>
        <v/>
      </c>
      <c r="BH65" t="str">
        <f t="shared" si="9"/>
        <v/>
      </c>
      <c r="BL65" t="str">
        <f>IFERROR(INDEX(_names_lookup!$C:$C,MATCH(BK65,_names_lookup!$A:$A,0)),"")</f>
        <v/>
      </c>
      <c r="BM65" t="str">
        <f>IFERROR(INDEX(_names_lookup!$B:$B,MATCH(BK65,_names_lookup!$A:$A,0)),"")</f>
        <v/>
      </c>
      <c r="BS65" t="str">
        <f t="shared" si="10"/>
        <v/>
      </c>
    </row>
    <row r="66" spans="15:71" x14ac:dyDescent="0.2">
      <c r="O66" t="str">
        <f>IFERROR(INDEX(_courses_lookup!$C:$C,MATCH(K66&amp;L66,_courses_lookup!$E:$E,0)),"")</f>
        <v/>
      </c>
      <c r="P66" t="str">
        <f>IFERROR(INDEX(_courses_lookup!$D:$D,MATCH(K66&amp;L66,_courses_lookup!$E:$E,0)),"")</f>
        <v/>
      </c>
      <c r="AG66" t="str">
        <f t="shared" ref="AG66:AG129" si="11">IF(AND(AE66&lt;&gt;"",AF66&lt;&gt;""),ROUNDUP((AF66-AE66)/7,0),"")</f>
        <v/>
      </c>
      <c r="AI66" t="str">
        <f t="shared" ref="AI66:AI129" si="12">IFERROR(IF(AG66*AH66=0,"",AG66*AH66),"")</f>
        <v/>
      </c>
      <c r="AL66" t="str">
        <f t="shared" ref="AL66:AL129" si="13">IF(AND(AJ66&lt;&gt;"",AK66&lt;&gt;""),ROUNDUP((AK66-AJ66)/7,0),"")</f>
        <v/>
      </c>
      <c r="AN66" t="str">
        <f t="shared" ref="AN66:AN129" si="14">IFERROR(IF(AL66*AM66=0,"",AL66*AM66),"")</f>
        <v/>
      </c>
      <c r="AQ66" t="str">
        <f t="shared" ref="AQ66:AQ129" si="15">IF(AND(AO66&lt;&gt;"",AP66&lt;&gt;""),ROUNDUP((AP66-AO66)/7,0),"")</f>
        <v/>
      </c>
      <c r="AR66" t="str">
        <f t="shared" ref="AR66:AR129" si="16">IFERROR(IF((AU66-(AI66+AN66))/AQ66=0,"",ROUNDUP((AU66-(AI66+AN66))/AQ66,0)),"")</f>
        <v/>
      </c>
      <c r="AS66" t="str">
        <f t="shared" ref="AS66:AS129" si="17">IFERROR(IF((AU66-(AI66+AN66))=0,"",(AU66-(AI66+AN66))),"")</f>
        <v/>
      </c>
      <c r="AT66" t="str">
        <f t="shared" ref="AT66:AT129" si="18">IF(AND(AG66="",AQ66=""),AL66,IF(SUM(AG66,AL66,AQ66)=0,"",SUM(AG66,AL66,AQ66)))</f>
        <v/>
      </c>
      <c r="BG66" t="str">
        <f t="shared" ref="BG66:BG129" si="19">IF(AD66="","",YEAR(AD66)+IF(MONTH(AD66)&gt;=5,1,0))</f>
        <v/>
      </c>
      <c r="BH66" t="str">
        <f t="shared" ref="BH66:BH129" si="20">IF(AD66="","",IF(AND(MONTH(AD66)=8,DAY(AD66)&gt;=15),"Fall",IF(MONTH(AD66)&gt;8,"Fall",IF(MONTH(AD66)=5,"Summer",IF(MONTH(AD66)=1,"Spring","")))))</f>
        <v/>
      </c>
      <c r="BL66" t="str">
        <f>IFERROR(INDEX(_names_lookup!$C:$C,MATCH(BK66,_names_lookup!$A:$A,0)),"")</f>
        <v/>
      </c>
      <c r="BM66" t="str">
        <f>IFERROR(INDEX(_names_lookup!$B:$B,MATCH(BK66,_names_lookup!$A:$A,0)),"")</f>
        <v/>
      </c>
      <c r="BS66" t="str">
        <f t="shared" ref="BS66:BS129" si="21">IFERROR(IF(BR66*AA66=0,"",BR66*AA66),"")</f>
        <v/>
      </c>
    </row>
    <row r="67" spans="15:71" x14ac:dyDescent="0.2">
      <c r="O67" t="str">
        <f>IFERROR(INDEX(_courses_lookup!$C:$C,MATCH(K67&amp;L67,_courses_lookup!$E:$E,0)),"")</f>
        <v/>
      </c>
      <c r="P67" t="str">
        <f>IFERROR(INDEX(_courses_lookup!$D:$D,MATCH(K67&amp;L67,_courses_lookup!$E:$E,0)),"")</f>
        <v/>
      </c>
      <c r="AG67" t="str">
        <f t="shared" si="11"/>
        <v/>
      </c>
      <c r="AI67" t="str">
        <f t="shared" si="12"/>
        <v/>
      </c>
      <c r="AL67" t="str">
        <f t="shared" si="13"/>
        <v/>
      </c>
      <c r="AN67" t="str">
        <f t="shared" si="14"/>
        <v/>
      </c>
      <c r="AQ67" t="str">
        <f t="shared" si="15"/>
        <v/>
      </c>
      <c r="AR67" t="str">
        <f t="shared" si="16"/>
        <v/>
      </c>
      <c r="AS67" t="str">
        <f t="shared" si="17"/>
        <v/>
      </c>
      <c r="AT67" t="str">
        <f t="shared" si="18"/>
        <v/>
      </c>
      <c r="BG67" t="str">
        <f t="shared" si="19"/>
        <v/>
      </c>
      <c r="BH67" t="str">
        <f t="shared" si="20"/>
        <v/>
      </c>
      <c r="BL67" t="str">
        <f>IFERROR(INDEX(_names_lookup!$C:$C,MATCH(BK67,_names_lookup!$A:$A,0)),"")</f>
        <v/>
      </c>
      <c r="BM67" t="str">
        <f>IFERROR(INDEX(_names_lookup!$B:$B,MATCH(BK67,_names_lookup!$A:$A,0)),"")</f>
        <v/>
      </c>
      <c r="BS67" t="str">
        <f t="shared" si="21"/>
        <v/>
      </c>
    </row>
    <row r="68" spans="15:71" x14ac:dyDescent="0.2">
      <c r="O68" t="str">
        <f>IFERROR(INDEX(_courses_lookup!$C:$C,MATCH(K68&amp;L68,_courses_lookup!$E:$E,0)),"")</f>
        <v/>
      </c>
      <c r="P68" t="str">
        <f>IFERROR(INDEX(_courses_lookup!$D:$D,MATCH(K68&amp;L68,_courses_lookup!$E:$E,0)),"")</f>
        <v/>
      </c>
      <c r="AG68" t="str">
        <f t="shared" si="11"/>
        <v/>
      </c>
      <c r="AI68" t="str">
        <f t="shared" si="12"/>
        <v/>
      </c>
      <c r="AL68" t="str">
        <f t="shared" si="13"/>
        <v/>
      </c>
      <c r="AN68" t="str">
        <f t="shared" si="14"/>
        <v/>
      </c>
      <c r="AQ68" t="str">
        <f t="shared" si="15"/>
        <v/>
      </c>
      <c r="AR68" t="str">
        <f t="shared" si="16"/>
        <v/>
      </c>
      <c r="AS68" t="str">
        <f t="shared" si="17"/>
        <v/>
      </c>
      <c r="AT68" t="str">
        <f t="shared" si="18"/>
        <v/>
      </c>
      <c r="BG68" t="str">
        <f t="shared" si="19"/>
        <v/>
      </c>
      <c r="BH68" t="str">
        <f t="shared" si="20"/>
        <v/>
      </c>
      <c r="BL68" t="str">
        <f>IFERROR(INDEX(_names_lookup!$C:$C,MATCH(BK68,_names_lookup!$A:$A,0)),"")</f>
        <v/>
      </c>
      <c r="BM68" t="str">
        <f>IFERROR(INDEX(_names_lookup!$B:$B,MATCH(BK68,_names_lookup!$A:$A,0)),"")</f>
        <v/>
      </c>
      <c r="BS68" t="str">
        <f t="shared" si="21"/>
        <v/>
      </c>
    </row>
    <row r="69" spans="15:71" x14ac:dyDescent="0.2">
      <c r="O69" t="str">
        <f>IFERROR(INDEX(_courses_lookup!$C:$C,MATCH(K69&amp;L69,_courses_lookup!$E:$E,0)),"")</f>
        <v/>
      </c>
      <c r="P69" t="str">
        <f>IFERROR(INDEX(_courses_lookup!$D:$D,MATCH(K69&amp;L69,_courses_lookup!$E:$E,0)),"")</f>
        <v/>
      </c>
      <c r="AG69" t="str">
        <f t="shared" si="11"/>
        <v/>
      </c>
      <c r="AI69" t="str">
        <f t="shared" si="12"/>
        <v/>
      </c>
      <c r="AL69" t="str">
        <f t="shared" si="13"/>
        <v/>
      </c>
      <c r="AN69" t="str">
        <f t="shared" si="14"/>
        <v/>
      </c>
      <c r="AQ69" t="str">
        <f t="shared" si="15"/>
        <v/>
      </c>
      <c r="AR69" t="str">
        <f t="shared" si="16"/>
        <v/>
      </c>
      <c r="AS69" t="str">
        <f t="shared" si="17"/>
        <v/>
      </c>
      <c r="AT69" t="str">
        <f t="shared" si="18"/>
        <v/>
      </c>
      <c r="BG69" t="str">
        <f t="shared" si="19"/>
        <v/>
      </c>
      <c r="BH69" t="str">
        <f t="shared" si="20"/>
        <v/>
      </c>
      <c r="BL69" t="str">
        <f>IFERROR(INDEX(_names_lookup!$C:$C,MATCH(BK69,_names_lookup!$A:$A,0)),"")</f>
        <v/>
      </c>
      <c r="BM69" t="str">
        <f>IFERROR(INDEX(_names_lookup!$B:$B,MATCH(BK69,_names_lookup!$A:$A,0)),"")</f>
        <v/>
      </c>
      <c r="BS69" t="str">
        <f t="shared" si="21"/>
        <v/>
      </c>
    </row>
    <row r="70" spans="15:71" x14ac:dyDescent="0.2">
      <c r="O70" t="str">
        <f>IFERROR(INDEX(_courses_lookup!$C:$C,MATCH(K70&amp;L70,_courses_lookup!$E:$E,0)),"")</f>
        <v/>
      </c>
      <c r="P70" t="str">
        <f>IFERROR(INDEX(_courses_lookup!$D:$D,MATCH(K70&amp;L70,_courses_lookup!$E:$E,0)),"")</f>
        <v/>
      </c>
      <c r="AG70" t="str">
        <f t="shared" si="11"/>
        <v/>
      </c>
      <c r="AI70" t="str">
        <f t="shared" si="12"/>
        <v/>
      </c>
      <c r="AL70" t="str">
        <f t="shared" si="13"/>
        <v/>
      </c>
      <c r="AN70" t="str">
        <f t="shared" si="14"/>
        <v/>
      </c>
      <c r="AQ70" t="str">
        <f t="shared" si="15"/>
        <v/>
      </c>
      <c r="AR70" t="str">
        <f t="shared" si="16"/>
        <v/>
      </c>
      <c r="AS70" t="str">
        <f t="shared" si="17"/>
        <v/>
      </c>
      <c r="AT70" t="str">
        <f t="shared" si="18"/>
        <v/>
      </c>
      <c r="BG70" t="str">
        <f t="shared" si="19"/>
        <v/>
      </c>
      <c r="BH70" t="str">
        <f t="shared" si="20"/>
        <v/>
      </c>
      <c r="BL70" t="str">
        <f>IFERROR(INDEX(_names_lookup!$C:$C,MATCH(BK70,_names_lookup!$A:$A,0)),"")</f>
        <v/>
      </c>
      <c r="BM70" t="str">
        <f>IFERROR(INDEX(_names_lookup!$B:$B,MATCH(BK70,_names_lookup!$A:$A,0)),"")</f>
        <v/>
      </c>
      <c r="BS70" t="str">
        <f t="shared" si="21"/>
        <v/>
      </c>
    </row>
    <row r="71" spans="15:71" x14ac:dyDescent="0.2">
      <c r="O71" t="str">
        <f>IFERROR(INDEX(_courses_lookup!$C:$C,MATCH(K71&amp;L71,_courses_lookup!$E:$E,0)),"")</f>
        <v/>
      </c>
      <c r="P71" t="str">
        <f>IFERROR(INDEX(_courses_lookup!$D:$D,MATCH(K71&amp;L71,_courses_lookup!$E:$E,0)),"")</f>
        <v/>
      </c>
      <c r="AG71" t="str">
        <f t="shared" si="11"/>
        <v/>
      </c>
      <c r="AI71" t="str">
        <f t="shared" si="12"/>
        <v/>
      </c>
      <c r="AL71" t="str">
        <f t="shared" si="13"/>
        <v/>
      </c>
      <c r="AN71" t="str">
        <f t="shared" si="14"/>
        <v/>
      </c>
      <c r="AQ71" t="str">
        <f t="shared" si="15"/>
        <v/>
      </c>
      <c r="AR71" t="str">
        <f t="shared" si="16"/>
        <v/>
      </c>
      <c r="AS71" t="str">
        <f t="shared" si="17"/>
        <v/>
      </c>
      <c r="AT71" t="str">
        <f t="shared" si="18"/>
        <v/>
      </c>
      <c r="BG71" t="str">
        <f t="shared" si="19"/>
        <v/>
      </c>
      <c r="BH71" t="str">
        <f t="shared" si="20"/>
        <v/>
      </c>
      <c r="BL71" t="str">
        <f>IFERROR(INDEX(_names_lookup!$C:$C,MATCH(BK71,_names_lookup!$A:$A,0)),"")</f>
        <v/>
      </c>
      <c r="BM71" t="str">
        <f>IFERROR(INDEX(_names_lookup!$B:$B,MATCH(BK71,_names_lookup!$A:$A,0)),"")</f>
        <v/>
      </c>
      <c r="BS71" t="str">
        <f t="shared" si="21"/>
        <v/>
      </c>
    </row>
    <row r="72" spans="15:71" x14ac:dyDescent="0.2">
      <c r="O72" t="str">
        <f>IFERROR(INDEX(_courses_lookup!$C:$C,MATCH(K72&amp;L72,_courses_lookup!$E:$E,0)),"")</f>
        <v/>
      </c>
      <c r="P72" t="str">
        <f>IFERROR(INDEX(_courses_lookup!$D:$D,MATCH(K72&amp;L72,_courses_lookup!$E:$E,0)),"")</f>
        <v/>
      </c>
      <c r="AG72" t="str">
        <f t="shared" si="11"/>
        <v/>
      </c>
      <c r="AI72" t="str">
        <f t="shared" si="12"/>
        <v/>
      </c>
      <c r="AL72" t="str">
        <f t="shared" si="13"/>
        <v/>
      </c>
      <c r="AN72" t="str">
        <f t="shared" si="14"/>
        <v/>
      </c>
      <c r="AQ72" t="str">
        <f t="shared" si="15"/>
        <v/>
      </c>
      <c r="AR72" t="str">
        <f t="shared" si="16"/>
        <v/>
      </c>
      <c r="AS72" t="str">
        <f t="shared" si="17"/>
        <v/>
      </c>
      <c r="AT72" t="str">
        <f t="shared" si="18"/>
        <v/>
      </c>
      <c r="BG72" t="str">
        <f t="shared" si="19"/>
        <v/>
      </c>
      <c r="BH72" t="str">
        <f t="shared" si="20"/>
        <v/>
      </c>
      <c r="BL72" t="str">
        <f>IFERROR(INDEX(_names_lookup!$C:$C,MATCH(BK72,_names_lookup!$A:$A,0)),"")</f>
        <v/>
      </c>
      <c r="BM72" t="str">
        <f>IFERROR(INDEX(_names_lookup!$B:$B,MATCH(BK72,_names_lookup!$A:$A,0)),"")</f>
        <v/>
      </c>
      <c r="BS72" t="str">
        <f t="shared" si="21"/>
        <v/>
      </c>
    </row>
    <row r="73" spans="15:71" x14ac:dyDescent="0.2">
      <c r="O73" t="str">
        <f>IFERROR(INDEX(_courses_lookup!$C:$C,MATCH(K73&amp;L73,_courses_lookup!$E:$E,0)),"")</f>
        <v/>
      </c>
      <c r="P73" t="str">
        <f>IFERROR(INDEX(_courses_lookup!$D:$D,MATCH(K73&amp;L73,_courses_lookup!$E:$E,0)),"")</f>
        <v/>
      </c>
      <c r="AG73" t="str">
        <f t="shared" si="11"/>
        <v/>
      </c>
      <c r="AI73" t="str">
        <f t="shared" si="12"/>
        <v/>
      </c>
      <c r="AL73" t="str">
        <f t="shared" si="13"/>
        <v/>
      </c>
      <c r="AN73" t="str">
        <f t="shared" si="14"/>
        <v/>
      </c>
      <c r="AQ73" t="str">
        <f t="shared" si="15"/>
        <v/>
      </c>
      <c r="AR73" t="str">
        <f t="shared" si="16"/>
        <v/>
      </c>
      <c r="AS73" t="str">
        <f t="shared" si="17"/>
        <v/>
      </c>
      <c r="AT73" t="str">
        <f t="shared" si="18"/>
        <v/>
      </c>
      <c r="BG73" t="str">
        <f t="shared" si="19"/>
        <v/>
      </c>
      <c r="BH73" t="str">
        <f t="shared" si="20"/>
        <v/>
      </c>
      <c r="BL73" t="str">
        <f>IFERROR(INDEX(_names_lookup!$C:$C,MATCH(BK73,_names_lookup!$A:$A,0)),"")</f>
        <v/>
      </c>
      <c r="BM73" t="str">
        <f>IFERROR(INDEX(_names_lookup!$B:$B,MATCH(BK73,_names_lookup!$A:$A,0)),"")</f>
        <v/>
      </c>
      <c r="BS73" t="str">
        <f t="shared" si="21"/>
        <v/>
      </c>
    </row>
    <row r="74" spans="15:71" x14ac:dyDescent="0.2">
      <c r="O74" t="str">
        <f>IFERROR(INDEX(_courses_lookup!$C:$C,MATCH(K74&amp;L74,_courses_lookup!$E:$E,0)),"")</f>
        <v/>
      </c>
      <c r="P74" t="str">
        <f>IFERROR(INDEX(_courses_lookup!$D:$D,MATCH(K74&amp;L74,_courses_lookup!$E:$E,0)),"")</f>
        <v/>
      </c>
      <c r="AG74" t="str">
        <f t="shared" si="11"/>
        <v/>
      </c>
      <c r="AI74" t="str">
        <f t="shared" si="12"/>
        <v/>
      </c>
      <c r="AL74" t="str">
        <f t="shared" si="13"/>
        <v/>
      </c>
      <c r="AN74" t="str">
        <f t="shared" si="14"/>
        <v/>
      </c>
      <c r="AQ74" t="str">
        <f t="shared" si="15"/>
        <v/>
      </c>
      <c r="AR74" t="str">
        <f t="shared" si="16"/>
        <v/>
      </c>
      <c r="AS74" t="str">
        <f t="shared" si="17"/>
        <v/>
      </c>
      <c r="AT74" t="str">
        <f t="shared" si="18"/>
        <v/>
      </c>
      <c r="BG74" t="str">
        <f t="shared" si="19"/>
        <v/>
      </c>
      <c r="BH74" t="str">
        <f t="shared" si="20"/>
        <v/>
      </c>
      <c r="BL74" t="str">
        <f>IFERROR(INDEX(_names_lookup!$C:$C,MATCH(BK74,_names_lookup!$A:$A,0)),"")</f>
        <v/>
      </c>
      <c r="BM74" t="str">
        <f>IFERROR(INDEX(_names_lookup!$B:$B,MATCH(BK74,_names_lookup!$A:$A,0)),"")</f>
        <v/>
      </c>
      <c r="BS74" t="str">
        <f t="shared" si="21"/>
        <v/>
      </c>
    </row>
    <row r="75" spans="15:71" x14ac:dyDescent="0.2">
      <c r="O75" t="str">
        <f>IFERROR(INDEX(_courses_lookup!$C:$C,MATCH(K75&amp;L75,_courses_lookup!$E:$E,0)),"")</f>
        <v/>
      </c>
      <c r="P75" t="str">
        <f>IFERROR(INDEX(_courses_lookup!$D:$D,MATCH(K75&amp;L75,_courses_lookup!$E:$E,0)),"")</f>
        <v/>
      </c>
      <c r="AG75" t="str">
        <f t="shared" si="11"/>
        <v/>
      </c>
      <c r="AI75" t="str">
        <f t="shared" si="12"/>
        <v/>
      </c>
      <c r="AL75" t="str">
        <f t="shared" si="13"/>
        <v/>
      </c>
      <c r="AN75" t="str">
        <f t="shared" si="14"/>
        <v/>
      </c>
      <c r="AQ75" t="str">
        <f t="shared" si="15"/>
        <v/>
      </c>
      <c r="AR75" t="str">
        <f t="shared" si="16"/>
        <v/>
      </c>
      <c r="AS75" t="str">
        <f t="shared" si="17"/>
        <v/>
      </c>
      <c r="AT75" t="str">
        <f t="shared" si="18"/>
        <v/>
      </c>
      <c r="BG75" t="str">
        <f t="shared" si="19"/>
        <v/>
      </c>
      <c r="BH75" t="str">
        <f t="shared" si="20"/>
        <v/>
      </c>
      <c r="BL75" t="str">
        <f>IFERROR(INDEX(_names_lookup!$C:$C,MATCH(BK75,_names_lookup!$A:$A,0)),"")</f>
        <v/>
      </c>
      <c r="BM75" t="str">
        <f>IFERROR(INDEX(_names_lookup!$B:$B,MATCH(BK75,_names_lookup!$A:$A,0)),"")</f>
        <v/>
      </c>
      <c r="BS75" t="str">
        <f t="shared" si="21"/>
        <v/>
      </c>
    </row>
    <row r="76" spans="15:71" x14ac:dyDescent="0.2">
      <c r="O76" t="str">
        <f>IFERROR(INDEX(_courses_lookup!$C:$C,MATCH(K76&amp;L76,_courses_lookup!$E:$E,0)),"")</f>
        <v/>
      </c>
      <c r="P76" t="str">
        <f>IFERROR(INDEX(_courses_lookup!$D:$D,MATCH(K76&amp;L76,_courses_lookup!$E:$E,0)),"")</f>
        <v/>
      </c>
      <c r="AG76" t="str">
        <f t="shared" si="11"/>
        <v/>
      </c>
      <c r="AI76" t="str">
        <f t="shared" si="12"/>
        <v/>
      </c>
      <c r="AL76" t="str">
        <f t="shared" si="13"/>
        <v/>
      </c>
      <c r="AN76" t="str">
        <f t="shared" si="14"/>
        <v/>
      </c>
      <c r="AQ76" t="str">
        <f t="shared" si="15"/>
        <v/>
      </c>
      <c r="AR76" t="str">
        <f t="shared" si="16"/>
        <v/>
      </c>
      <c r="AS76" t="str">
        <f t="shared" si="17"/>
        <v/>
      </c>
      <c r="AT76" t="str">
        <f t="shared" si="18"/>
        <v/>
      </c>
      <c r="BG76" t="str">
        <f t="shared" si="19"/>
        <v/>
      </c>
      <c r="BH76" t="str">
        <f t="shared" si="20"/>
        <v/>
      </c>
      <c r="BL76" t="str">
        <f>IFERROR(INDEX(_names_lookup!$C:$C,MATCH(BK76,_names_lookup!$A:$A,0)),"")</f>
        <v/>
      </c>
      <c r="BM76" t="str">
        <f>IFERROR(INDEX(_names_lookup!$B:$B,MATCH(BK76,_names_lookup!$A:$A,0)),"")</f>
        <v/>
      </c>
      <c r="BS76" t="str">
        <f t="shared" si="21"/>
        <v/>
      </c>
    </row>
    <row r="77" spans="15:71" x14ac:dyDescent="0.2">
      <c r="O77" t="str">
        <f>IFERROR(INDEX(_courses_lookup!$C:$C,MATCH(K77&amp;L77,_courses_lookup!$E:$E,0)),"")</f>
        <v/>
      </c>
      <c r="P77" t="str">
        <f>IFERROR(INDEX(_courses_lookup!$D:$D,MATCH(K77&amp;L77,_courses_lookup!$E:$E,0)),"")</f>
        <v/>
      </c>
      <c r="AG77" t="str">
        <f t="shared" si="11"/>
        <v/>
      </c>
      <c r="AI77" t="str">
        <f t="shared" si="12"/>
        <v/>
      </c>
      <c r="AL77" t="str">
        <f t="shared" si="13"/>
        <v/>
      </c>
      <c r="AN77" t="str">
        <f t="shared" si="14"/>
        <v/>
      </c>
      <c r="AQ77" t="str">
        <f t="shared" si="15"/>
        <v/>
      </c>
      <c r="AR77" t="str">
        <f t="shared" si="16"/>
        <v/>
      </c>
      <c r="AS77" t="str">
        <f t="shared" si="17"/>
        <v/>
      </c>
      <c r="AT77" t="str">
        <f t="shared" si="18"/>
        <v/>
      </c>
      <c r="BG77" t="str">
        <f t="shared" si="19"/>
        <v/>
      </c>
      <c r="BH77" t="str">
        <f t="shared" si="20"/>
        <v/>
      </c>
      <c r="BL77" t="str">
        <f>IFERROR(INDEX(_names_lookup!$C:$C,MATCH(BK77,_names_lookup!$A:$A,0)),"")</f>
        <v/>
      </c>
      <c r="BM77" t="str">
        <f>IFERROR(INDEX(_names_lookup!$B:$B,MATCH(BK77,_names_lookup!$A:$A,0)),"")</f>
        <v/>
      </c>
      <c r="BS77" t="str">
        <f t="shared" si="21"/>
        <v/>
      </c>
    </row>
    <row r="78" spans="15:71" x14ac:dyDescent="0.2">
      <c r="O78" t="str">
        <f>IFERROR(INDEX(_courses_lookup!$C:$C,MATCH(K78&amp;L78,_courses_lookup!$E:$E,0)),"")</f>
        <v/>
      </c>
      <c r="P78" t="str">
        <f>IFERROR(INDEX(_courses_lookup!$D:$D,MATCH(K78&amp;L78,_courses_lookup!$E:$E,0)),"")</f>
        <v/>
      </c>
      <c r="AG78" t="str">
        <f t="shared" si="11"/>
        <v/>
      </c>
      <c r="AI78" t="str">
        <f t="shared" si="12"/>
        <v/>
      </c>
      <c r="AL78" t="str">
        <f t="shared" si="13"/>
        <v/>
      </c>
      <c r="AN78" t="str">
        <f t="shared" si="14"/>
        <v/>
      </c>
      <c r="AQ78" t="str">
        <f t="shared" si="15"/>
        <v/>
      </c>
      <c r="AR78" t="str">
        <f t="shared" si="16"/>
        <v/>
      </c>
      <c r="AS78" t="str">
        <f t="shared" si="17"/>
        <v/>
      </c>
      <c r="AT78" t="str">
        <f t="shared" si="18"/>
        <v/>
      </c>
      <c r="BG78" t="str">
        <f t="shared" si="19"/>
        <v/>
      </c>
      <c r="BH78" t="str">
        <f t="shared" si="20"/>
        <v/>
      </c>
      <c r="BL78" t="str">
        <f>IFERROR(INDEX(_names_lookup!$C:$C,MATCH(BK78,_names_lookup!$A:$A,0)),"")</f>
        <v/>
      </c>
      <c r="BM78" t="str">
        <f>IFERROR(INDEX(_names_lookup!$B:$B,MATCH(BK78,_names_lookup!$A:$A,0)),"")</f>
        <v/>
      </c>
      <c r="BS78" t="str">
        <f t="shared" si="21"/>
        <v/>
      </c>
    </row>
    <row r="79" spans="15:71" x14ac:dyDescent="0.2">
      <c r="O79" t="str">
        <f>IFERROR(INDEX(_courses_lookup!$C:$C,MATCH(K79&amp;L79,_courses_lookup!$E:$E,0)),"")</f>
        <v/>
      </c>
      <c r="P79" t="str">
        <f>IFERROR(INDEX(_courses_lookup!$D:$D,MATCH(K79&amp;L79,_courses_lookup!$E:$E,0)),"")</f>
        <v/>
      </c>
      <c r="AG79" t="str">
        <f t="shared" si="11"/>
        <v/>
      </c>
      <c r="AI79" t="str">
        <f t="shared" si="12"/>
        <v/>
      </c>
      <c r="AL79" t="str">
        <f t="shared" si="13"/>
        <v/>
      </c>
      <c r="AN79" t="str">
        <f t="shared" si="14"/>
        <v/>
      </c>
      <c r="AQ79" t="str">
        <f t="shared" si="15"/>
        <v/>
      </c>
      <c r="AR79" t="str">
        <f t="shared" si="16"/>
        <v/>
      </c>
      <c r="AS79" t="str">
        <f t="shared" si="17"/>
        <v/>
      </c>
      <c r="AT79" t="str">
        <f t="shared" si="18"/>
        <v/>
      </c>
      <c r="BG79" t="str">
        <f t="shared" si="19"/>
        <v/>
      </c>
      <c r="BH79" t="str">
        <f t="shared" si="20"/>
        <v/>
      </c>
      <c r="BL79" t="str">
        <f>IFERROR(INDEX(_names_lookup!$C:$C,MATCH(BK79,_names_lookup!$A:$A,0)),"")</f>
        <v/>
      </c>
      <c r="BM79" t="str">
        <f>IFERROR(INDEX(_names_lookup!$B:$B,MATCH(BK79,_names_lookup!$A:$A,0)),"")</f>
        <v/>
      </c>
      <c r="BS79" t="str">
        <f t="shared" si="21"/>
        <v/>
      </c>
    </row>
    <row r="80" spans="15:71" x14ac:dyDescent="0.2">
      <c r="O80" t="str">
        <f>IFERROR(INDEX(_courses_lookup!$C:$C,MATCH(K80&amp;L80,_courses_lookup!$E:$E,0)),"")</f>
        <v/>
      </c>
      <c r="P80" t="str">
        <f>IFERROR(INDEX(_courses_lookup!$D:$D,MATCH(K80&amp;L80,_courses_lookup!$E:$E,0)),"")</f>
        <v/>
      </c>
      <c r="AG80" t="str">
        <f t="shared" si="11"/>
        <v/>
      </c>
      <c r="AI80" t="str">
        <f t="shared" si="12"/>
        <v/>
      </c>
      <c r="AL80" t="str">
        <f t="shared" si="13"/>
        <v/>
      </c>
      <c r="AN80" t="str">
        <f t="shared" si="14"/>
        <v/>
      </c>
      <c r="AQ80" t="str">
        <f t="shared" si="15"/>
        <v/>
      </c>
      <c r="AR80" t="str">
        <f t="shared" si="16"/>
        <v/>
      </c>
      <c r="AS80" t="str">
        <f t="shared" si="17"/>
        <v/>
      </c>
      <c r="AT80" t="str">
        <f t="shared" si="18"/>
        <v/>
      </c>
      <c r="BG80" t="str">
        <f t="shared" si="19"/>
        <v/>
      </c>
      <c r="BH80" t="str">
        <f t="shared" si="20"/>
        <v/>
      </c>
      <c r="BL80" t="str">
        <f>IFERROR(INDEX(_names_lookup!$C:$C,MATCH(BK80,_names_lookup!$A:$A,0)),"")</f>
        <v/>
      </c>
      <c r="BM80" t="str">
        <f>IFERROR(INDEX(_names_lookup!$B:$B,MATCH(BK80,_names_lookup!$A:$A,0)),"")</f>
        <v/>
      </c>
      <c r="BS80" t="str">
        <f t="shared" si="21"/>
        <v/>
      </c>
    </row>
    <row r="81" spans="15:71" x14ac:dyDescent="0.2">
      <c r="O81" t="str">
        <f>IFERROR(INDEX(_courses_lookup!$C:$C,MATCH(K81&amp;L81,_courses_lookup!$E:$E,0)),"")</f>
        <v/>
      </c>
      <c r="P81" t="str">
        <f>IFERROR(INDEX(_courses_lookup!$D:$D,MATCH(K81&amp;L81,_courses_lookup!$E:$E,0)),"")</f>
        <v/>
      </c>
      <c r="AG81" t="str">
        <f t="shared" si="11"/>
        <v/>
      </c>
      <c r="AI81" t="str">
        <f t="shared" si="12"/>
        <v/>
      </c>
      <c r="AL81" t="str">
        <f t="shared" si="13"/>
        <v/>
      </c>
      <c r="AN81" t="str">
        <f t="shared" si="14"/>
        <v/>
      </c>
      <c r="AQ81" t="str">
        <f t="shared" si="15"/>
        <v/>
      </c>
      <c r="AR81" t="str">
        <f t="shared" si="16"/>
        <v/>
      </c>
      <c r="AS81" t="str">
        <f t="shared" si="17"/>
        <v/>
      </c>
      <c r="AT81" t="str">
        <f t="shared" si="18"/>
        <v/>
      </c>
      <c r="BG81" t="str">
        <f t="shared" si="19"/>
        <v/>
      </c>
      <c r="BH81" t="str">
        <f t="shared" si="20"/>
        <v/>
      </c>
      <c r="BL81" t="str">
        <f>IFERROR(INDEX(_names_lookup!$C:$C,MATCH(BK81,_names_lookup!$A:$A,0)),"")</f>
        <v/>
      </c>
      <c r="BM81" t="str">
        <f>IFERROR(INDEX(_names_lookup!$B:$B,MATCH(BK81,_names_lookup!$A:$A,0)),"")</f>
        <v/>
      </c>
      <c r="BS81" t="str">
        <f t="shared" si="21"/>
        <v/>
      </c>
    </row>
    <row r="82" spans="15:71" x14ac:dyDescent="0.2">
      <c r="O82" t="str">
        <f>IFERROR(INDEX(_courses_lookup!$C:$C,MATCH(K82&amp;L82,_courses_lookup!$E:$E,0)),"")</f>
        <v/>
      </c>
      <c r="P82" t="str">
        <f>IFERROR(INDEX(_courses_lookup!$D:$D,MATCH(K82&amp;L82,_courses_lookup!$E:$E,0)),"")</f>
        <v/>
      </c>
      <c r="AG82" t="str">
        <f t="shared" si="11"/>
        <v/>
      </c>
      <c r="AI82" t="str">
        <f t="shared" si="12"/>
        <v/>
      </c>
      <c r="AL82" t="str">
        <f t="shared" si="13"/>
        <v/>
      </c>
      <c r="AN82" t="str">
        <f t="shared" si="14"/>
        <v/>
      </c>
      <c r="AQ82" t="str">
        <f t="shared" si="15"/>
        <v/>
      </c>
      <c r="AR82" t="str">
        <f t="shared" si="16"/>
        <v/>
      </c>
      <c r="AS82" t="str">
        <f t="shared" si="17"/>
        <v/>
      </c>
      <c r="AT82" t="str">
        <f t="shared" si="18"/>
        <v/>
      </c>
      <c r="BG82" t="str">
        <f t="shared" si="19"/>
        <v/>
      </c>
      <c r="BH82" t="str">
        <f t="shared" si="20"/>
        <v/>
      </c>
      <c r="BL82" t="str">
        <f>IFERROR(INDEX(_names_lookup!$C:$C,MATCH(BK82,_names_lookup!$A:$A,0)),"")</f>
        <v/>
      </c>
      <c r="BM82" t="str">
        <f>IFERROR(INDEX(_names_lookup!$B:$B,MATCH(BK82,_names_lookup!$A:$A,0)),"")</f>
        <v/>
      </c>
      <c r="BS82" t="str">
        <f t="shared" si="21"/>
        <v/>
      </c>
    </row>
    <row r="83" spans="15:71" x14ac:dyDescent="0.2">
      <c r="O83" t="str">
        <f>IFERROR(INDEX(_courses_lookup!$C:$C,MATCH(K83&amp;L83,_courses_lookup!$E:$E,0)),"")</f>
        <v/>
      </c>
      <c r="P83" t="str">
        <f>IFERROR(INDEX(_courses_lookup!$D:$D,MATCH(K83&amp;L83,_courses_lookup!$E:$E,0)),"")</f>
        <v/>
      </c>
      <c r="AG83" t="str">
        <f t="shared" si="11"/>
        <v/>
      </c>
      <c r="AI83" t="str">
        <f t="shared" si="12"/>
        <v/>
      </c>
      <c r="AL83" t="str">
        <f t="shared" si="13"/>
        <v/>
      </c>
      <c r="AN83" t="str">
        <f t="shared" si="14"/>
        <v/>
      </c>
      <c r="AQ83" t="str">
        <f t="shared" si="15"/>
        <v/>
      </c>
      <c r="AR83" t="str">
        <f t="shared" si="16"/>
        <v/>
      </c>
      <c r="AS83" t="str">
        <f t="shared" si="17"/>
        <v/>
      </c>
      <c r="AT83" t="str">
        <f t="shared" si="18"/>
        <v/>
      </c>
      <c r="BG83" t="str">
        <f t="shared" si="19"/>
        <v/>
      </c>
      <c r="BH83" t="str">
        <f t="shared" si="20"/>
        <v/>
      </c>
      <c r="BL83" t="str">
        <f>IFERROR(INDEX(_names_lookup!$C:$C,MATCH(BK83,_names_lookup!$A:$A,0)),"")</f>
        <v/>
      </c>
      <c r="BM83" t="str">
        <f>IFERROR(INDEX(_names_lookup!$B:$B,MATCH(BK83,_names_lookup!$A:$A,0)),"")</f>
        <v/>
      </c>
      <c r="BS83" t="str">
        <f t="shared" si="21"/>
        <v/>
      </c>
    </row>
    <row r="84" spans="15:71" x14ac:dyDescent="0.2">
      <c r="O84" t="str">
        <f>IFERROR(INDEX(_courses_lookup!$C:$C,MATCH(K84&amp;L84,_courses_lookup!$E:$E,0)),"")</f>
        <v/>
      </c>
      <c r="P84" t="str">
        <f>IFERROR(INDEX(_courses_lookup!$D:$D,MATCH(K84&amp;L84,_courses_lookup!$E:$E,0)),"")</f>
        <v/>
      </c>
      <c r="AG84" t="str">
        <f t="shared" si="11"/>
        <v/>
      </c>
      <c r="AI84" t="str">
        <f t="shared" si="12"/>
        <v/>
      </c>
      <c r="AL84" t="str">
        <f t="shared" si="13"/>
        <v/>
      </c>
      <c r="AN84" t="str">
        <f t="shared" si="14"/>
        <v/>
      </c>
      <c r="AQ84" t="str">
        <f t="shared" si="15"/>
        <v/>
      </c>
      <c r="AR84" t="str">
        <f t="shared" si="16"/>
        <v/>
      </c>
      <c r="AS84" t="str">
        <f t="shared" si="17"/>
        <v/>
      </c>
      <c r="AT84" t="str">
        <f t="shared" si="18"/>
        <v/>
      </c>
      <c r="BG84" t="str">
        <f t="shared" si="19"/>
        <v/>
      </c>
      <c r="BH84" t="str">
        <f t="shared" si="20"/>
        <v/>
      </c>
      <c r="BL84" t="str">
        <f>IFERROR(INDEX(_names_lookup!$C:$C,MATCH(BK84,_names_lookup!$A:$A,0)),"")</f>
        <v/>
      </c>
      <c r="BM84" t="str">
        <f>IFERROR(INDEX(_names_lookup!$B:$B,MATCH(BK84,_names_lookup!$A:$A,0)),"")</f>
        <v/>
      </c>
      <c r="BS84" t="str">
        <f t="shared" si="21"/>
        <v/>
      </c>
    </row>
    <row r="85" spans="15:71" x14ac:dyDescent="0.2">
      <c r="O85" t="str">
        <f>IFERROR(INDEX(_courses_lookup!$C:$C,MATCH(K85&amp;L85,_courses_lookup!$E:$E,0)),"")</f>
        <v/>
      </c>
      <c r="P85" t="str">
        <f>IFERROR(INDEX(_courses_lookup!$D:$D,MATCH(K85&amp;L85,_courses_lookup!$E:$E,0)),"")</f>
        <v/>
      </c>
      <c r="AG85" t="str">
        <f t="shared" si="11"/>
        <v/>
      </c>
      <c r="AI85" t="str">
        <f t="shared" si="12"/>
        <v/>
      </c>
      <c r="AL85" t="str">
        <f t="shared" si="13"/>
        <v/>
      </c>
      <c r="AN85" t="str">
        <f t="shared" si="14"/>
        <v/>
      </c>
      <c r="AQ85" t="str">
        <f t="shared" si="15"/>
        <v/>
      </c>
      <c r="AR85" t="str">
        <f t="shared" si="16"/>
        <v/>
      </c>
      <c r="AS85" t="str">
        <f t="shared" si="17"/>
        <v/>
      </c>
      <c r="AT85" t="str">
        <f t="shared" si="18"/>
        <v/>
      </c>
      <c r="BG85" t="str">
        <f t="shared" si="19"/>
        <v/>
      </c>
      <c r="BH85" t="str">
        <f t="shared" si="20"/>
        <v/>
      </c>
      <c r="BL85" t="str">
        <f>IFERROR(INDEX(_names_lookup!$C:$C,MATCH(BK85,_names_lookup!$A:$A,0)),"")</f>
        <v/>
      </c>
      <c r="BM85" t="str">
        <f>IFERROR(INDEX(_names_lookup!$B:$B,MATCH(BK85,_names_lookup!$A:$A,0)),"")</f>
        <v/>
      </c>
      <c r="BS85" t="str">
        <f t="shared" si="21"/>
        <v/>
      </c>
    </row>
    <row r="86" spans="15:71" x14ac:dyDescent="0.2">
      <c r="O86" t="str">
        <f>IFERROR(INDEX(_courses_lookup!$C:$C,MATCH(K86&amp;L86,_courses_lookup!$E:$E,0)),"")</f>
        <v/>
      </c>
      <c r="P86" t="str">
        <f>IFERROR(INDEX(_courses_lookup!$D:$D,MATCH(K86&amp;L86,_courses_lookup!$E:$E,0)),"")</f>
        <v/>
      </c>
      <c r="AG86" t="str">
        <f t="shared" si="11"/>
        <v/>
      </c>
      <c r="AI86" t="str">
        <f t="shared" si="12"/>
        <v/>
      </c>
      <c r="AL86" t="str">
        <f t="shared" si="13"/>
        <v/>
      </c>
      <c r="AN86" t="str">
        <f t="shared" si="14"/>
        <v/>
      </c>
      <c r="AQ86" t="str">
        <f t="shared" si="15"/>
        <v/>
      </c>
      <c r="AR86" t="str">
        <f t="shared" si="16"/>
        <v/>
      </c>
      <c r="AS86" t="str">
        <f t="shared" si="17"/>
        <v/>
      </c>
      <c r="AT86" t="str">
        <f t="shared" si="18"/>
        <v/>
      </c>
      <c r="BG86" t="str">
        <f t="shared" si="19"/>
        <v/>
      </c>
      <c r="BH86" t="str">
        <f t="shared" si="20"/>
        <v/>
      </c>
      <c r="BL86" t="str">
        <f>IFERROR(INDEX(_names_lookup!$C:$C,MATCH(BK86,_names_lookup!$A:$A,0)),"")</f>
        <v/>
      </c>
      <c r="BM86" t="str">
        <f>IFERROR(INDEX(_names_lookup!$B:$B,MATCH(BK86,_names_lookup!$A:$A,0)),"")</f>
        <v/>
      </c>
      <c r="BS86" t="str">
        <f t="shared" si="21"/>
        <v/>
      </c>
    </row>
    <row r="87" spans="15:71" x14ac:dyDescent="0.2">
      <c r="O87" t="str">
        <f>IFERROR(INDEX(_courses_lookup!$C:$C,MATCH(K87&amp;L87,_courses_lookup!$E:$E,0)),"")</f>
        <v/>
      </c>
      <c r="P87" t="str">
        <f>IFERROR(INDEX(_courses_lookup!$D:$D,MATCH(K87&amp;L87,_courses_lookup!$E:$E,0)),"")</f>
        <v/>
      </c>
      <c r="AG87" t="str">
        <f t="shared" si="11"/>
        <v/>
      </c>
      <c r="AI87" t="str">
        <f t="shared" si="12"/>
        <v/>
      </c>
      <c r="AL87" t="str">
        <f t="shared" si="13"/>
        <v/>
      </c>
      <c r="AN87" t="str">
        <f t="shared" si="14"/>
        <v/>
      </c>
      <c r="AQ87" t="str">
        <f t="shared" si="15"/>
        <v/>
      </c>
      <c r="AR87" t="str">
        <f t="shared" si="16"/>
        <v/>
      </c>
      <c r="AS87" t="str">
        <f t="shared" si="17"/>
        <v/>
      </c>
      <c r="AT87" t="str">
        <f t="shared" si="18"/>
        <v/>
      </c>
      <c r="BG87" t="str">
        <f t="shared" si="19"/>
        <v/>
      </c>
      <c r="BH87" t="str">
        <f t="shared" si="20"/>
        <v/>
      </c>
      <c r="BL87" t="str">
        <f>IFERROR(INDEX(_names_lookup!$C:$C,MATCH(BK87,_names_lookup!$A:$A,0)),"")</f>
        <v/>
      </c>
      <c r="BM87" t="str">
        <f>IFERROR(INDEX(_names_lookup!$B:$B,MATCH(BK87,_names_lookup!$A:$A,0)),"")</f>
        <v/>
      </c>
      <c r="BS87" t="str">
        <f t="shared" si="21"/>
        <v/>
      </c>
    </row>
    <row r="88" spans="15:71" x14ac:dyDescent="0.2">
      <c r="O88" t="str">
        <f>IFERROR(INDEX(_courses_lookup!$C:$C,MATCH(K88&amp;L88,_courses_lookup!$E:$E,0)),"")</f>
        <v/>
      </c>
      <c r="P88" t="str">
        <f>IFERROR(INDEX(_courses_lookup!$D:$D,MATCH(K88&amp;L88,_courses_lookup!$E:$E,0)),"")</f>
        <v/>
      </c>
      <c r="AG88" t="str">
        <f t="shared" si="11"/>
        <v/>
      </c>
      <c r="AI88" t="str">
        <f t="shared" si="12"/>
        <v/>
      </c>
      <c r="AL88" t="str">
        <f t="shared" si="13"/>
        <v/>
      </c>
      <c r="AN88" t="str">
        <f t="shared" si="14"/>
        <v/>
      </c>
      <c r="AQ88" t="str">
        <f t="shared" si="15"/>
        <v/>
      </c>
      <c r="AR88" t="str">
        <f t="shared" si="16"/>
        <v/>
      </c>
      <c r="AS88" t="str">
        <f t="shared" si="17"/>
        <v/>
      </c>
      <c r="AT88" t="str">
        <f t="shared" si="18"/>
        <v/>
      </c>
      <c r="BG88" t="str">
        <f t="shared" si="19"/>
        <v/>
      </c>
      <c r="BH88" t="str">
        <f t="shared" si="20"/>
        <v/>
      </c>
      <c r="BL88" t="str">
        <f>IFERROR(INDEX(_names_lookup!$C:$C,MATCH(BK88,_names_lookup!$A:$A,0)),"")</f>
        <v/>
      </c>
      <c r="BM88" t="str">
        <f>IFERROR(INDEX(_names_lookup!$B:$B,MATCH(BK88,_names_lookup!$A:$A,0)),"")</f>
        <v/>
      </c>
      <c r="BS88" t="str">
        <f t="shared" si="21"/>
        <v/>
      </c>
    </row>
    <row r="89" spans="15:71" x14ac:dyDescent="0.2">
      <c r="O89" t="str">
        <f>IFERROR(INDEX(_courses_lookup!$C:$C,MATCH(K89&amp;L89,_courses_lookup!$E:$E,0)),"")</f>
        <v/>
      </c>
      <c r="P89" t="str">
        <f>IFERROR(INDEX(_courses_lookup!$D:$D,MATCH(K89&amp;L89,_courses_lookup!$E:$E,0)),"")</f>
        <v/>
      </c>
      <c r="AG89" t="str">
        <f t="shared" si="11"/>
        <v/>
      </c>
      <c r="AI89" t="str">
        <f t="shared" si="12"/>
        <v/>
      </c>
      <c r="AL89" t="str">
        <f t="shared" si="13"/>
        <v/>
      </c>
      <c r="AN89" t="str">
        <f t="shared" si="14"/>
        <v/>
      </c>
      <c r="AQ89" t="str">
        <f t="shared" si="15"/>
        <v/>
      </c>
      <c r="AR89" t="str">
        <f t="shared" si="16"/>
        <v/>
      </c>
      <c r="AS89" t="str">
        <f t="shared" si="17"/>
        <v/>
      </c>
      <c r="AT89" t="str">
        <f t="shared" si="18"/>
        <v/>
      </c>
      <c r="BG89" t="str">
        <f t="shared" si="19"/>
        <v/>
      </c>
      <c r="BH89" t="str">
        <f t="shared" si="20"/>
        <v/>
      </c>
      <c r="BL89" t="str">
        <f>IFERROR(INDEX(_names_lookup!$C:$C,MATCH(BK89,_names_lookup!$A:$A,0)),"")</f>
        <v/>
      </c>
      <c r="BM89" t="str">
        <f>IFERROR(INDEX(_names_lookup!$B:$B,MATCH(BK89,_names_lookup!$A:$A,0)),"")</f>
        <v/>
      </c>
      <c r="BS89" t="str">
        <f t="shared" si="21"/>
        <v/>
      </c>
    </row>
    <row r="90" spans="15:71" x14ac:dyDescent="0.2">
      <c r="O90" t="str">
        <f>IFERROR(INDEX(_courses_lookup!$C:$C,MATCH(K90&amp;L90,_courses_lookup!$E:$E,0)),"")</f>
        <v/>
      </c>
      <c r="P90" t="str">
        <f>IFERROR(INDEX(_courses_lookup!$D:$D,MATCH(K90&amp;L90,_courses_lookup!$E:$E,0)),"")</f>
        <v/>
      </c>
      <c r="AG90" t="str">
        <f t="shared" si="11"/>
        <v/>
      </c>
      <c r="AI90" t="str">
        <f t="shared" si="12"/>
        <v/>
      </c>
      <c r="AL90" t="str">
        <f t="shared" si="13"/>
        <v/>
      </c>
      <c r="AN90" t="str">
        <f t="shared" si="14"/>
        <v/>
      </c>
      <c r="AQ90" t="str">
        <f t="shared" si="15"/>
        <v/>
      </c>
      <c r="AR90" t="str">
        <f t="shared" si="16"/>
        <v/>
      </c>
      <c r="AS90" t="str">
        <f t="shared" si="17"/>
        <v/>
      </c>
      <c r="AT90" t="str">
        <f t="shared" si="18"/>
        <v/>
      </c>
      <c r="BG90" t="str">
        <f t="shared" si="19"/>
        <v/>
      </c>
      <c r="BH90" t="str">
        <f t="shared" si="20"/>
        <v/>
      </c>
      <c r="BL90" t="str">
        <f>IFERROR(INDEX(_names_lookup!$C:$C,MATCH(BK90,_names_lookup!$A:$A,0)),"")</f>
        <v/>
      </c>
      <c r="BM90" t="str">
        <f>IFERROR(INDEX(_names_lookup!$B:$B,MATCH(BK90,_names_lookup!$A:$A,0)),"")</f>
        <v/>
      </c>
      <c r="BS90" t="str">
        <f t="shared" si="21"/>
        <v/>
      </c>
    </row>
    <row r="91" spans="15:71" x14ac:dyDescent="0.2">
      <c r="O91" t="str">
        <f>IFERROR(INDEX(_courses_lookup!$C:$C,MATCH(K91&amp;L91,_courses_lookup!$E:$E,0)),"")</f>
        <v/>
      </c>
      <c r="P91" t="str">
        <f>IFERROR(INDEX(_courses_lookup!$D:$D,MATCH(K91&amp;L91,_courses_lookup!$E:$E,0)),"")</f>
        <v/>
      </c>
      <c r="AG91" t="str">
        <f t="shared" si="11"/>
        <v/>
      </c>
      <c r="AI91" t="str">
        <f t="shared" si="12"/>
        <v/>
      </c>
      <c r="AL91" t="str">
        <f t="shared" si="13"/>
        <v/>
      </c>
      <c r="AN91" t="str">
        <f t="shared" si="14"/>
        <v/>
      </c>
      <c r="AQ91" t="str">
        <f t="shared" si="15"/>
        <v/>
      </c>
      <c r="AR91" t="str">
        <f t="shared" si="16"/>
        <v/>
      </c>
      <c r="AS91" t="str">
        <f t="shared" si="17"/>
        <v/>
      </c>
      <c r="AT91" t="str">
        <f t="shared" si="18"/>
        <v/>
      </c>
      <c r="BG91" t="str">
        <f t="shared" si="19"/>
        <v/>
      </c>
      <c r="BH91" t="str">
        <f t="shared" si="20"/>
        <v/>
      </c>
      <c r="BL91" t="str">
        <f>IFERROR(INDEX(_names_lookup!$C:$C,MATCH(BK91,_names_lookup!$A:$A,0)),"")</f>
        <v/>
      </c>
      <c r="BM91" t="str">
        <f>IFERROR(INDEX(_names_lookup!$B:$B,MATCH(BK91,_names_lookup!$A:$A,0)),"")</f>
        <v/>
      </c>
      <c r="BS91" t="str">
        <f t="shared" si="21"/>
        <v/>
      </c>
    </row>
    <row r="92" spans="15:71" x14ac:dyDescent="0.2">
      <c r="O92" t="str">
        <f>IFERROR(INDEX(_courses_lookup!$C:$C,MATCH(K92&amp;L92,_courses_lookup!$E:$E,0)),"")</f>
        <v/>
      </c>
      <c r="P92" t="str">
        <f>IFERROR(INDEX(_courses_lookup!$D:$D,MATCH(K92&amp;L92,_courses_lookup!$E:$E,0)),"")</f>
        <v/>
      </c>
      <c r="AG92" t="str">
        <f t="shared" si="11"/>
        <v/>
      </c>
      <c r="AI92" t="str">
        <f t="shared" si="12"/>
        <v/>
      </c>
      <c r="AL92" t="str">
        <f t="shared" si="13"/>
        <v/>
      </c>
      <c r="AN92" t="str">
        <f t="shared" si="14"/>
        <v/>
      </c>
      <c r="AQ92" t="str">
        <f t="shared" si="15"/>
        <v/>
      </c>
      <c r="AR92" t="str">
        <f t="shared" si="16"/>
        <v/>
      </c>
      <c r="AS92" t="str">
        <f t="shared" si="17"/>
        <v/>
      </c>
      <c r="AT92" t="str">
        <f t="shared" si="18"/>
        <v/>
      </c>
      <c r="BG92" t="str">
        <f t="shared" si="19"/>
        <v/>
      </c>
      <c r="BH92" t="str">
        <f t="shared" si="20"/>
        <v/>
      </c>
      <c r="BL92" t="str">
        <f>IFERROR(INDEX(_names_lookup!$C:$C,MATCH(BK92,_names_lookup!$A:$A,0)),"")</f>
        <v/>
      </c>
      <c r="BM92" t="str">
        <f>IFERROR(INDEX(_names_lookup!$B:$B,MATCH(BK92,_names_lookup!$A:$A,0)),"")</f>
        <v/>
      </c>
      <c r="BS92" t="str">
        <f t="shared" si="21"/>
        <v/>
      </c>
    </row>
    <row r="93" spans="15:71" x14ac:dyDescent="0.2">
      <c r="O93" t="str">
        <f>IFERROR(INDEX(_courses_lookup!$C:$C,MATCH(K93&amp;L93,_courses_lookup!$E:$E,0)),"")</f>
        <v/>
      </c>
      <c r="P93" t="str">
        <f>IFERROR(INDEX(_courses_lookup!$D:$D,MATCH(K93&amp;L93,_courses_lookup!$E:$E,0)),"")</f>
        <v/>
      </c>
      <c r="AG93" t="str">
        <f t="shared" si="11"/>
        <v/>
      </c>
      <c r="AI93" t="str">
        <f t="shared" si="12"/>
        <v/>
      </c>
      <c r="AL93" t="str">
        <f t="shared" si="13"/>
        <v/>
      </c>
      <c r="AN93" t="str">
        <f t="shared" si="14"/>
        <v/>
      </c>
      <c r="AQ93" t="str">
        <f t="shared" si="15"/>
        <v/>
      </c>
      <c r="AR93" t="str">
        <f t="shared" si="16"/>
        <v/>
      </c>
      <c r="AS93" t="str">
        <f t="shared" si="17"/>
        <v/>
      </c>
      <c r="AT93" t="str">
        <f t="shared" si="18"/>
        <v/>
      </c>
      <c r="BG93" t="str">
        <f t="shared" si="19"/>
        <v/>
      </c>
      <c r="BH93" t="str">
        <f t="shared" si="20"/>
        <v/>
      </c>
      <c r="BL93" t="str">
        <f>IFERROR(INDEX(_names_lookup!$C:$C,MATCH(BK93,_names_lookup!$A:$A,0)),"")</f>
        <v/>
      </c>
      <c r="BM93" t="str">
        <f>IFERROR(INDEX(_names_lookup!$B:$B,MATCH(BK93,_names_lookup!$A:$A,0)),"")</f>
        <v/>
      </c>
      <c r="BS93" t="str">
        <f t="shared" si="21"/>
        <v/>
      </c>
    </row>
    <row r="94" spans="15:71" x14ac:dyDescent="0.2">
      <c r="O94" t="str">
        <f>IFERROR(INDEX(_courses_lookup!$C:$C,MATCH(K94&amp;L94,_courses_lookup!$E:$E,0)),"")</f>
        <v/>
      </c>
      <c r="P94" t="str">
        <f>IFERROR(INDEX(_courses_lookup!$D:$D,MATCH(K94&amp;L94,_courses_lookup!$E:$E,0)),"")</f>
        <v/>
      </c>
      <c r="AG94" t="str">
        <f t="shared" si="11"/>
        <v/>
      </c>
      <c r="AI94" t="str">
        <f t="shared" si="12"/>
        <v/>
      </c>
      <c r="AL94" t="str">
        <f t="shared" si="13"/>
        <v/>
      </c>
      <c r="AN94" t="str">
        <f t="shared" si="14"/>
        <v/>
      </c>
      <c r="AQ94" t="str">
        <f t="shared" si="15"/>
        <v/>
      </c>
      <c r="AR94" t="str">
        <f t="shared" si="16"/>
        <v/>
      </c>
      <c r="AS94" t="str">
        <f t="shared" si="17"/>
        <v/>
      </c>
      <c r="AT94" t="str">
        <f t="shared" si="18"/>
        <v/>
      </c>
      <c r="BG94" t="str">
        <f t="shared" si="19"/>
        <v/>
      </c>
      <c r="BH94" t="str">
        <f t="shared" si="20"/>
        <v/>
      </c>
      <c r="BL94" t="str">
        <f>IFERROR(INDEX(_names_lookup!$C:$C,MATCH(BK94,_names_lookup!$A:$A,0)),"")</f>
        <v/>
      </c>
      <c r="BM94" t="str">
        <f>IFERROR(INDEX(_names_lookup!$B:$B,MATCH(BK94,_names_lookup!$A:$A,0)),"")</f>
        <v/>
      </c>
      <c r="BS94" t="str">
        <f t="shared" si="21"/>
        <v/>
      </c>
    </row>
    <row r="95" spans="15:71" x14ac:dyDescent="0.2">
      <c r="O95" t="str">
        <f>IFERROR(INDEX(_courses_lookup!$C:$C,MATCH(K95&amp;L95,_courses_lookup!$E:$E,0)),"")</f>
        <v/>
      </c>
      <c r="P95" t="str">
        <f>IFERROR(INDEX(_courses_lookup!$D:$D,MATCH(K95&amp;L95,_courses_lookup!$E:$E,0)),"")</f>
        <v/>
      </c>
      <c r="AG95" t="str">
        <f t="shared" si="11"/>
        <v/>
      </c>
      <c r="AI95" t="str">
        <f t="shared" si="12"/>
        <v/>
      </c>
      <c r="AL95" t="str">
        <f t="shared" si="13"/>
        <v/>
      </c>
      <c r="AN95" t="str">
        <f t="shared" si="14"/>
        <v/>
      </c>
      <c r="AQ95" t="str">
        <f t="shared" si="15"/>
        <v/>
      </c>
      <c r="AR95" t="str">
        <f t="shared" si="16"/>
        <v/>
      </c>
      <c r="AS95" t="str">
        <f t="shared" si="17"/>
        <v/>
      </c>
      <c r="AT95" t="str">
        <f t="shared" si="18"/>
        <v/>
      </c>
      <c r="BG95" t="str">
        <f t="shared" si="19"/>
        <v/>
      </c>
      <c r="BH95" t="str">
        <f t="shared" si="20"/>
        <v/>
      </c>
      <c r="BL95" t="str">
        <f>IFERROR(INDEX(_names_lookup!$C:$C,MATCH(BK95,_names_lookup!$A:$A,0)),"")</f>
        <v/>
      </c>
      <c r="BM95" t="str">
        <f>IFERROR(INDEX(_names_lookup!$B:$B,MATCH(BK95,_names_lookup!$A:$A,0)),"")</f>
        <v/>
      </c>
      <c r="BS95" t="str">
        <f t="shared" si="21"/>
        <v/>
      </c>
    </row>
    <row r="96" spans="15:71" x14ac:dyDescent="0.2">
      <c r="O96" t="str">
        <f>IFERROR(INDEX(_courses_lookup!$C:$C,MATCH(K96&amp;L96,_courses_lookup!$E:$E,0)),"")</f>
        <v/>
      </c>
      <c r="P96" t="str">
        <f>IFERROR(INDEX(_courses_lookup!$D:$D,MATCH(K96&amp;L96,_courses_lookup!$E:$E,0)),"")</f>
        <v/>
      </c>
      <c r="AG96" t="str">
        <f t="shared" si="11"/>
        <v/>
      </c>
      <c r="AI96" t="str">
        <f t="shared" si="12"/>
        <v/>
      </c>
      <c r="AL96" t="str">
        <f t="shared" si="13"/>
        <v/>
      </c>
      <c r="AN96" t="str">
        <f t="shared" si="14"/>
        <v/>
      </c>
      <c r="AQ96" t="str">
        <f t="shared" si="15"/>
        <v/>
      </c>
      <c r="AR96" t="str">
        <f t="shared" si="16"/>
        <v/>
      </c>
      <c r="AS96" t="str">
        <f t="shared" si="17"/>
        <v/>
      </c>
      <c r="AT96" t="str">
        <f t="shared" si="18"/>
        <v/>
      </c>
      <c r="BG96" t="str">
        <f t="shared" si="19"/>
        <v/>
      </c>
      <c r="BH96" t="str">
        <f t="shared" si="20"/>
        <v/>
      </c>
      <c r="BL96" t="str">
        <f>IFERROR(INDEX(_names_lookup!$C:$C,MATCH(BK96,_names_lookup!$A:$A,0)),"")</f>
        <v/>
      </c>
      <c r="BM96" t="str">
        <f>IFERROR(INDEX(_names_lookup!$B:$B,MATCH(BK96,_names_lookup!$A:$A,0)),"")</f>
        <v/>
      </c>
      <c r="BS96" t="str">
        <f t="shared" si="21"/>
        <v/>
      </c>
    </row>
    <row r="97" spans="15:71" x14ac:dyDescent="0.2">
      <c r="O97" t="str">
        <f>IFERROR(INDEX(_courses_lookup!$C:$C,MATCH(K97&amp;L97,_courses_lookup!$E:$E,0)),"")</f>
        <v/>
      </c>
      <c r="P97" t="str">
        <f>IFERROR(INDEX(_courses_lookup!$D:$D,MATCH(K97&amp;L97,_courses_lookup!$E:$E,0)),"")</f>
        <v/>
      </c>
      <c r="AG97" t="str">
        <f t="shared" si="11"/>
        <v/>
      </c>
      <c r="AI97" t="str">
        <f t="shared" si="12"/>
        <v/>
      </c>
      <c r="AL97" t="str">
        <f t="shared" si="13"/>
        <v/>
      </c>
      <c r="AN97" t="str">
        <f t="shared" si="14"/>
        <v/>
      </c>
      <c r="AQ97" t="str">
        <f t="shared" si="15"/>
        <v/>
      </c>
      <c r="AR97" t="str">
        <f t="shared" si="16"/>
        <v/>
      </c>
      <c r="AS97" t="str">
        <f t="shared" si="17"/>
        <v/>
      </c>
      <c r="AT97" t="str">
        <f t="shared" si="18"/>
        <v/>
      </c>
      <c r="BG97" t="str">
        <f t="shared" si="19"/>
        <v/>
      </c>
      <c r="BH97" t="str">
        <f t="shared" si="20"/>
        <v/>
      </c>
      <c r="BL97" t="str">
        <f>IFERROR(INDEX(_names_lookup!$C:$C,MATCH(BK97,_names_lookup!$A:$A,0)),"")</f>
        <v/>
      </c>
      <c r="BM97" t="str">
        <f>IFERROR(INDEX(_names_lookup!$B:$B,MATCH(BK97,_names_lookup!$A:$A,0)),"")</f>
        <v/>
      </c>
      <c r="BS97" t="str">
        <f t="shared" si="21"/>
        <v/>
      </c>
    </row>
    <row r="98" spans="15:71" x14ac:dyDescent="0.2">
      <c r="O98" t="str">
        <f>IFERROR(INDEX(_courses_lookup!$C:$C,MATCH(K98&amp;L98,_courses_lookup!$E:$E,0)),"")</f>
        <v/>
      </c>
      <c r="P98" t="str">
        <f>IFERROR(INDEX(_courses_lookup!$D:$D,MATCH(K98&amp;L98,_courses_lookup!$E:$E,0)),"")</f>
        <v/>
      </c>
      <c r="AG98" t="str">
        <f t="shared" si="11"/>
        <v/>
      </c>
      <c r="AI98" t="str">
        <f t="shared" si="12"/>
        <v/>
      </c>
      <c r="AL98" t="str">
        <f t="shared" si="13"/>
        <v/>
      </c>
      <c r="AN98" t="str">
        <f t="shared" si="14"/>
        <v/>
      </c>
      <c r="AQ98" t="str">
        <f t="shared" si="15"/>
        <v/>
      </c>
      <c r="AR98" t="str">
        <f t="shared" si="16"/>
        <v/>
      </c>
      <c r="AS98" t="str">
        <f t="shared" si="17"/>
        <v/>
      </c>
      <c r="AT98" t="str">
        <f t="shared" si="18"/>
        <v/>
      </c>
      <c r="BG98" t="str">
        <f t="shared" si="19"/>
        <v/>
      </c>
      <c r="BH98" t="str">
        <f t="shared" si="20"/>
        <v/>
      </c>
      <c r="BL98" t="str">
        <f>IFERROR(INDEX(_names_lookup!$C:$C,MATCH(BK98,_names_lookup!$A:$A,0)),"")</f>
        <v/>
      </c>
      <c r="BM98" t="str">
        <f>IFERROR(INDEX(_names_lookup!$B:$B,MATCH(BK98,_names_lookup!$A:$A,0)),"")</f>
        <v/>
      </c>
      <c r="BS98" t="str">
        <f t="shared" si="21"/>
        <v/>
      </c>
    </row>
    <row r="99" spans="15:71" x14ac:dyDescent="0.2">
      <c r="O99" t="str">
        <f>IFERROR(INDEX(_courses_lookup!$C:$C,MATCH(K99&amp;L99,_courses_lookup!$E:$E,0)),"")</f>
        <v/>
      </c>
      <c r="P99" t="str">
        <f>IFERROR(INDEX(_courses_lookup!$D:$D,MATCH(K99&amp;L99,_courses_lookup!$E:$E,0)),"")</f>
        <v/>
      </c>
      <c r="AG99" t="str">
        <f t="shared" si="11"/>
        <v/>
      </c>
      <c r="AI99" t="str">
        <f t="shared" si="12"/>
        <v/>
      </c>
      <c r="AL99" t="str">
        <f t="shared" si="13"/>
        <v/>
      </c>
      <c r="AN99" t="str">
        <f t="shared" si="14"/>
        <v/>
      </c>
      <c r="AQ99" t="str">
        <f t="shared" si="15"/>
        <v/>
      </c>
      <c r="AR99" t="str">
        <f t="shared" si="16"/>
        <v/>
      </c>
      <c r="AS99" t="str">
        <f t="shared" si="17"/>
        <v/>
      </c>
      <c r="AT99" t="str">
        <f t="shared" si="18"/>
        <v/>
      </c>
      <c r="BG99" t="str">
        <f t="shared" si="19"/>
        <v/>
      </c>
      <c r="BH99" t="str">
        <f t="shared" si="20"/>
        <v/>
      </c>
      <c r="BL99" t="str">
        <f>IFERROR(INDEX(_names_lookup!$C:$C,MATCH(BK99,_names_lookup!$A:$A,0)),"")</f>
        <v/>
      </c>
      <c r="BM99" t="str">
        <f>IFERROR(INDEX(_names_lookup!$B:$B,MATCH(BK99,_names_lookup!$A:$A,0)),"")</f>
        <v/>
      </c>
      <c r="BS99" t="str">
        <f t="shared" si="21"/>
        <v/>
      </c>
    </row>
    <row r="100" spans="15:71" x14ac:dyDescent="0.2">
      <c r="O100" t="str">
        <f>IFERROR(INDEX(_courses_lookup!$C:$C,MATCH(K100&amp;L100,_courses_lookup!$E:$E,0)),"")</f>
        <v/>
      </c>
      <c r="P100" t="str">
        <f>IFERROR(INDEX(_courses_lookup!$D:$D,MATCH(K100&amp;L100,_courses_lookup!$E:$E,0)),"")</f>
        <v/>
      </c>
      <c r="AG100" t="str">
        <f t="shared" si="11"/>
        <v/>
      </c>
      <c r="AI100" t="str">
        <f t="shared" si="12"/>
        <v/>
      </c>
      <c r="AL100" t="str">
        <f t="shared" si="13"/>
        <v/>
      </c>
      <c r="AN100" t="str">
        <f t="shared" si="14"/>
        <v/>
      </c>
      <c r="AQ100" t="str">
        <f t="shared" si="15"/>
        <v/>
      </c>
      <c r="AR100" t="str">
        <f t="shared" si="16"/>
        <v/>
      </c>
      <c r="AS100" t="str">
        <f t="shared" si="17"/>
        <v/>
      </c>
      <c r="AT100" t="str">
        <f t="shared" si="18"/>
        <v/>
      </c>
      <c r="BG100" t="str">
        <f t="shared" si="19"/>
        <v/>
      </c>
      <c r="BH100" t="str">
        <f t="shared" si="20"/>
        <v/>
      </c>
      <c r="BL100" t="str">
        <f>IFERROR(INDEX(_names_lookup!$C:$C,MATCH(BK100,_names_lookup!$A:$A,0)),"")</f>
        <v/>
      </c>
      <c r="BM100" t="str">
        <f>IFERROR(INDEX(_names_lookup!$B:$B,MATCH(BK100,_names_lookup!$A:$A,0)),"")</f>
        <v/>
      </c>
      <c r="BS100" t="str">
        <f t="shared" si="21"/>
        <v/>
      </c>
    </row>
    <row r="101" spans="15:71" x14ac:dyDescent="0.2">
      <c r="O101" t="str">
        <f>IFERROR(INDEX(_courses_lookup!$C:$C,MATCH(K101&amp;L101,_courses_lookup!$E:$E,0)),"")</f>
        <v/>
      </c>
      <c r="P101" t="str">
        <f>IFERROR(INDEX(_courses_lookup!$D:$D,MATCH(K101&amp;L101,_courses_lookup!$E:$E,0)),"")</f>
        <v/>
      </c>
      <c r="AG101" t="str">
        <f t="shared" si="11"/>
        <v/>
      </c>
      <c r="AI101" t="str">
        <f t="shared" si="12"/>
        <v/>
      </c>
      <c r="AL101" t="str">
        <f t="shared" si="13"/>
        <v/>
      </c>
      <c r="AN101" t="str">
        <f t="shared" si="14"/>
        <v/>
      </c>
      <c r="AQ101" t="str">
        <f t="shared" si="15"/>
        <v/>
      </c>
      <c r="AR101" t="str">
        <f t="shared" si="16"/>
        <v/>
      </c>
      <c r="AS101" t="str">
        <f t="shared" si="17"/>
        <v/>
      </c>
      <c r="AT101" t="str">
        <f t="shared" si="18"/>
        <v/>
      </c>
      <c r="BG101" t="str">
        <f t="shared" si="19"/>
        <v/>
      </c>
      <c r="BH101" t="str">
        <f t="shared" si="20"/>
        <v/>
      </c>
      <c r="BL101" t="str">
        <f>IFERROR(INDEX(_names_lookup!$C:$C,MATCH(BK101,_names_lookup!$A:$A,0)),"")</f>
        <v/>
      </c>
      <c r="BM101" t="str">
        <f>IFERROR(INDEX(_names_lookup!$B:$B,MATCH(BK101,_names_lookup!$A:$A,0)),"")</f>
        <v/>
      </c>
      <c r="BS101" t="str">
        <f t="shared" si="21"/>
        <v/>
      </c>
    </row>
    <row r="102" spans="15:71" x14ac:dyDescent="0.2">
      <c r="O102" t="str">
        <f>IFERROR(INDEX(_courses_lookup!$C:$C,MATCH(K102&amp;L102,_courses_lookup!$E:$E,0)),"")</f>
        <v/>
      </c>
      <c r="P102" t="str">
        <f>IFERROR(INDEX(_courses_lookup!$D:$D,MATCH(K102&amp;L102,_courses_lookup!$E:$E,0)),"")</f>
        <v/>
      </c>
      <c r="AG102" t="str">
        <f t="shared" si="11"/>
        <v/>
      </c>
      <c r="AI102" t="str">
        <f t="shared" si="12"/>
        <v/>
      </c>
      <c r="AL102" t="str">
        <f t="shared" si="13"/>
        <v/>
      </c>
      <c r="AN102" t="str">
        <f t="shared" si="14"/>
        <v/>
      </c>
      <c r="AQ102" t="str">
        <f t="shared" si="15"/>
        <v/>
      </c>
      <c r="AR102" t="str">
        <f t="shared" si="16"/>
        <v/>
      </c>
      <c r="AS102" t="str">
        <f t="shared" si="17"/>
        <v/>
      </c>
      <c r="AT102" t="str">
        <f t="shared" si="18"/>
        <v/>
      </c>
      <c r="BG102" t="str">
        <f t="shared" si="19"/>
        <v/>
      </c>
      <c r="BH102" t="str">
        <f t="shared" si="20"/>
        <v/>
      </c>
      <c r="BL102" t="str">
        <f>IFERROR(INDEX(_names_lookup!$C:$C,MATCH(BK102,_names_lookup!$A:$A,0)),"")</f>
        <v/>
      </c>
      <c r="BM102" t="str">
        <f>IFERROR(INDEX(_names_lookup!$B:$B,MATCH(BK102,_names_lookup!$A:$A,0)),"")</f>
        <v/>
      </c>
      <c r="BS102" t="str">
        <f t="shared" si="21"/>
        <v/>
      </c>
    </row>
    <row r="103" spans="15:71" x14ac:dyDescent="0.2">
      <c r="O103" t="str">
        <f>IFERROR(INDEX(_courses_lookup!$C:$C,MATCH(K103&amp;L103,_courses_lookup!$E:$E,0)),"")</f>
        <v/>
      </c>
      <c r="P103" t="str">
        <f>IFERROR(INDEX(_courses_lookup!$D:$D,MATCH(K103&amp;L103,_courses_lookup!$E:$E,0)),"")</f>
        <v/>
      </c>
      <c r="AG103" t="str">
        <f t="shared" si="11"/>
        <v/>
      </c>
      <c r="AI103" t="str">
        <f t="shared" si="12"/>
        <v/>
      </c>
      <c r="AL103" t="str">
        <f t="shared" si="13"/>
        <v/>
      </c>
      <c r="AN103" t="str">
        <f t="shared" si="14"/>
        <v/>
      </c>
      <c r="AQ103" t="str">
        <f t="shared" si="15"/>
        <v/>
      </c>
      <c r="AR103" t="str">
        <f t="shared" si="16"/>
        <v/>
      </c>
      <c r="AS103" t="str">
        <f t="shared" si="17"/>
        <v/>
      </c>
      <c r="AT103" t="str">
        <f t="shared" si="18"/>
        <v/>
      </c>
      <c r="BG103" t="str">
        <f t="shared" si="19"/>
        <v/>
      </c>
      <c r="BH103" t="str">
        <f t="shared" si="20"/>
        <v/>
      </c>
      <c r="BL103" t="str">
        <f>IFERROR(INDEX(_names_lookup!$C:$C,MATCH(BK103,_names_lookup!$A:$A,0)),"")</f>
        <v/>
      </c>
      <c r="BM103" t="str">
        <f>IFERROR(INDEX(_names_lookup!$B:$B,MATCH(BK103,_names_lookup!$A:$A,0)),"")</f>
        <v/>
      </c>
      <c r="BS103" t="str">
        <f t="shared" si="21"/>
        <v/>
      </c>
    </row>
    <row r="104" spans="15:71" x14ac:dyDescent="0.2">
      <c r="O104" t="str">
        <f>IFERROR(INDEX(_courses_lookup!$C:$C,MATCH(K104&amp;L104,_courses_lookup!$E:$E,0)),"")</f>
        <v/>
      </c>
      <c r="P104" t="str">
        <f>IFERROR(INDEX(_courses_lookup!$D:$D,MATCH(K104&amp;L104,_courses_lookup!$E:$E,0)),"")</f>
        <v/>
      </c>
      <c r="AG104" t="str">
        <f t="shared" si="11"/>
        <v/>
      </c>
      <c r="AI104" t="str">
        <f t="shared" si="12"/>
        <v/>
      </c>
      <c r="AL104" t="str">
        <f t="shared" si="13"/>
        <v/>
      </c>
      <c r="AN104" t="str">
        <f t="shared" si="14"/>
        <v/>
      </c>
      <c r="AQ104" t="str">
        <f t="shared" si="15"/>
        <v/>
      </c>
      <c r="AR104" t="str">
        <f t="shared" si="16"/>
        <v/>
      </c>
      <c r="AS104" t="str">
        <f t="shared" si="17"/>
        <v/>
      </c>
      <c r="AT104" t="str">
        <f t="shared" si="18"/>
        <v/>
      </c>
      <c r="BG104" t="str">
        <f t="shared" si="19"/>
        <v/>
      </c>
      <c r="BH104" t="str">
        <f t="shared" si="20"/>
        <v/>
      </c>
      <c r="BL104" t="str">
        <f>IFERROR(INDEX(_names_lookup!$C:$C,MATCH(BK104,_names_lookup!$A:$A,0)),"")</f>
        <v/>
      </c>
      <c r="BM104" t="str">
        <f>IFERROR(INDEX(_names_lookup!$B:$B,MATCH(BK104,_names_lookup!$A:$A,0)),"")</f>
        <v/>
      </c>
      <c r="BS104" t="str">
        <f t="shared" si="21"/>
        <v/>
      </c>
    </row>
    <row r="105" spans="15:71" x14ac:dyDescent="0.2">
      <c r="O105" t="str">
        <f>IFERROR(INDEX(_courses_lookup!$C:$C,MATCH(K105&amp;L105,_courses_lookup!$E:$E,0)),"")</f>
        <v/>
      </c>
      <c r="P105" t="str">
        <f>IFERROR(INDEX(_courses_lookup!$D:$D,MATCH(K105&amp;L105,_courses_lookup!$E:$E,0)),"")</f>
        <v/>
      </c>
      <c r="AG105" t="str">
        <f t="shared" si="11"/>
        <v/>
      </c>
      <c r="AI105" t="str">
        <f t="shared" si="12"/>
        <v/>
      </c>
      <c r="AL105" t="str">
        <f t="shared" si="13"/>
        <v/>
      </c>
      <c r="AN105" t="str">
        <f t="shared" si="14"/>
        <v/>
      </c>
      <c r="AQ105" t="str">
        <f t="shared" si="15"/>
        <v/>
      </c>
      <c r="AR105" t="str">
        <f t="shared" si="16"/>
        <v/>
      </c>
      <c r="AS105" t="str">
        <f t="shared" si="17"/>
        <v/>
      </c>
      <c r="AT105" t="str">
        <f t="shared" si="18"/>
        <v/>
      </c>
      <c r="BG105" t="str">
        <f t="shared" si="19"/>
        <v/>
      </c>
      <c r="BH105" t="str">
        <f t="shared" si="20"/>
        <v/>
      </c>
      <c r="BL105" t="str">
        <f>IFERROR(INDEX(_names_lookup!$C:$C,MATCH(BK105,_names_lookup!$A:$A,0)),"")</f>
        <v/>
      </c>
      <c r="BM105" t="str">
        <f>IFERROR(INDEX(_names_lookup!$B:$B,MATCH(BK105,_names_lookup!$A:$A,0)),"")</f>
        <v/>
      </c>
      <c r="BS105" t="str">
        <f t="shared" si="21"/>
        <v/>
      </c>
    </row>
    <row r="106" spans="15:71" x14ac:dyDescent="0.2">
      <c r="O106" t="str">
        <f>IFERROR(INDEX(_courses_lookup!$C:$C,MATCH(K106&amp;L106,_courses_lookup!$E:$E,0)),"")</f>
        <v/>
      </c>
      <c r="P106" t="str">
        <f>IFERROR(INDEX(_courses_lookup!$D:$D,MATCH(K106&amp;L106,_courses_lookup!$E:$E,0)),"")</f>
        <v/>
      </c>
      <c r="AG106" t="str">
        <f t="shared" si="11"/>
        <v/>
      </c>
      <c r="AI106" t="str">
        <f t="shared" si="12"/>
        <v/>
      </c>
      <c r="AL106" t="str">
        <f t="shared" si="13"/>
        <v/>
      </c>
      <c r="AN106" t="str">
        <f t="shared" si="14"/>
        <v/>
      </c>
      <c r="AQ106" t="str">
        <f t="shared" si="15"/>
        <v/>
      </c>
      <c r="AR106" t="str">
        <f t="shared" si="16"/>
        <v/>
      </c>
      <c r="AS106" t="str">
        <f t="shared" si="17"/>
        <v/>
      </c>
      <c r="AT106" t="str">
        <f t="shared" si="18"/>
        <v/>
      </c>
      <c r="BG106" t="str">
        <f t="shared" si="19"/>
        <v/>
      </c>
      <c r="BH106" t="str">
        <f t="shared" si="20"/>
        <v/>
      </c>
      <c r="BL106" t="str">
        <f>IFERROR(INDEX(_names_lookup!$C:$C,MATCH(BK106,_names_lookup!$A:$A,0)),"")</f>
        <v/>
      </c>
      <c r="BM106" t="str">
        <f>IFERROR(INDEX(_names_lookup!$B:$B,MATCH(BK106,_names_lookup!$A:$A,0)),"")</f>
        <v/>
      </c>
      <c r="BS106" t="str">
        <f t="shared" si="21"/>
        <v/>
      </c>
    </row>
    <row r="107" spans="15:71" x14ac:dyDescent="0.2">
      <c r="O107" t="str">
        <f>IFERROR(INDEX(_courses_lookup!$C:$C,MATCH(K107&amp;L107,_courses_lookup!$E:$E,0)),"")</f>
        <v/>
      </c>
      <c r="P107" t="str">
        <f>IFERROR(INDEX(_courses_lookup!$D:$D,MATCH(K107&amp;L107,_courses_lookup!$E:$E,0)),"")</f>
        <v/>
      </c>
      <c r="AG107" t="str">
        <f t="shared" si="11"/>
        <v/>
      </c>
      <c r="AI107" t="str">
        <f t="shared" si="12"/>
        <v/>
      </c>
      <c r="AL107" t="str">
        <f t="shared" si="13"/>
        <v/>
      </c>
      <c r="AN107" t="str">
        <f t="shared" si="14"/>
        <v/>
      </c>
      <c r="AQ107" t="str">
        <f t="shared" si="15"/>
        <v/>
      </c>
      <c r="AR107" t="str">
        <f t="shared" si="16"/>
        <v/>
      </c>
      <c r="AS107" t="str">
        <f t="shared" si="17"/>
        <v/>
      </c>
      <c r="AT107" t="str">
        <f t="shared" si="18"/>
        <v/>
      </c>
      <c r="BG107" t="str">
        <f t="shared" si="19"/>
        <v/>
      </c>
      <c r="BH107" t="str">
        <f t="shared" si="20"/>
        <v/>
      </c>
      <c r="BL107" t="str">
        <f>IFERROR(INDEX(_names_lookup!$C:$C,MATCH(BK107,_names_lookup!$A:$A,0)),"")</f>
        <v/>
      </c>
      <c r="BM107" t="str">
        <f>IFERROR(INDEX(_names_lookup!$B:$B,MATCH(BK107,_names_lookup!$A:$A,0)),"")</f>
        <v/>
      </c>
      <c r="BS107" t="str">
        <f t="shared" si="21"/>
        <v/>
      </c>
    </row>
    <row r="108" spans="15:71" x14ac:dyDescent="0.2">
      <c r="O108" t="str">
        <f>IFERROR(INDEX(_courses_lookup!$C:$C,MATCH(K108&amp;L108,_courses_lookup!$E:$E,0)),"")</f>
        <v/>
      </c>
      <c r="P108" t="str">
        <f>IFERROR(INDEX(_courses_lookup!$D:$D,MATCH(K108&amp;L108,_courses_lookup!$E:$E,0)),"")</f>
        <v/>
      </c>
      <c r="AG108" t="str">
        <f t="shared" si="11"/>
        <v/>
      </c>
      <c r="AI108" t="str">
        <f t="shared" si="12"/>
        <v/>
      </c>
      <c r="AL108" t="str">
        <f t="shared" si="13"/>
        <v/>
      </c>
      <c r="AN108" t="str">
        <f t="shared" si="14"/>
        <v/>
      </c>
      <c r="AQ108" t="str">
        <f t="shared" si="15"/>
        <v/>
      </c>
      <c r="AR108" t="str">
        <f t="shared" si="16"/>
        <v/>
      </c>
      <c r="AS108" t="str">
        <f t="shared" si="17"/>
        <v/>
      </c>
      <c r="AT108" t="str">
        <f t="shared" si="18"/>
        <v/>
      </c>
      <c r="BG108" t="str">
        <f t="shared" si="19"/>
        <v/>
      </c>
      <c r="BH108" t="str">
        <f t="shared" si="20"/>
        <v/>
      </c>
      <c r="BL108" t="str">
        <f>IFERROR(INDEX(_names_lookup!$C:$C,MATCH(BK108,_names_lookup!$A:$A,0)),"")</f>
        <v/>
      </c>
      <c r="BM108" t="str">
        <f>IFERROR(INDEX(_names_lookup!$B:$B,MATCH(BK108,_names_lookup!$A:$A,0)),"")</f>
        <v/>
      </c>
      <c r="BS108" t="str">
        <f t="shared" si="21"/>
        <v/>
      </c>
    </row>
    <row r="109" spans="15:71" x14ac:dyDescent="0.2">
      <c r="O109" t="str">
        <f>IFERROR(INDEX(_courses_lookup!$C:$C,MATCH(K109&amp;L109,_courses_lookup!$E:$E,0)),"")</f>
        <v/>
      </c>
      <c r="P109" t="str">
        <f>IFERROR(INDEX(_courses_lookup!$D:$D,MATCH(K109&amp;L109,_courses_lookup!$E:$E,0)),"")</f>
        <v/>
      </c>
      <c r="AG109" t="str">
        <f t="shared" si="11"/>
        <v/>
      </c>
      <c r="AI109" t="str">
        <f t="shared" si="12"/>
        <v/>
      </c>
      <c r="AL109" t="str">
        <f t="shared" si="13"/>
        <v/>
      </c>
      <c r="AN109" t="str">
        <f t="shared" si="14"/>
        <v/>
      </c>
      <c r="AQ109" t="str">
        <f t="shared" si="15"/>
        <v/>
      </c>
      <c r="AR109" t="str">
        <f t="shared" si="16"/>
        <v/>
      </c>
      <c r="AS109" t="str">
        <f t="shared" si="17"/>
        <v/>
      </c>
      <c r="AT109" t="str">
        <f t="shared" si="18"/>
        <v/>
      </c>
      <c r="BG109" t="str">
        <f t="shared" si="19"/>
        <v/>
      </c>
      <c r="BH109" t="str">
        <f t="shared" si="20"/>
        <v/>
      </c>
      <c r="BL109" t="str">
        <f>IFERROR(INDEX(_names_lookup!$C:$C,MATCH(BK109,_names_lookup!$A:$A,0)),"")</f>
        <v/>
      </c>
      <c r="BM109" t="str">
        <f>IFERROR(INDEX(_names_lookup!$B:$B,MATCH(BK109,_names_lookup!$A:$A,0)),"")</f>
        <v/>
      </c>
      <c r="BS109" t="str">
        <f t="shared" si="21"/>
        <v/>
      </c>
    </row>
    <row r="110" spans="15:71" x14ac:dyDescent="0.2">
      <c r="O110" t="str">
        <f>IFERROR(INDEX(_courses_lookup!$C:$C,MATCH(K110&amp;L110,_courses_lookup!$E:$E,0)),"")</f>
        <v/>
      </c>
      <c r="P110" t="str">
        <f>IFERROR(INDEX(_courses_lookup!$D:$D,MATCH(K110&amp;L110,_courses_lookup!$E:$E,0)),"")</f>
        <v/>
      </c>
      <c r="AG110" t="str">
        <f t="shared" si="11"/>
        <v/>
      </c>
      <c r="AI110" t="str">
        <f t="shared" si="12"/>
        <v/>
      </c>
      <c r="AL110" t="str">
        <f t="shared" si="13"/>
        <v/>
      </c>
      <c r="AN110" t="str">
        <f t="shared" si="14"/>
        <v/>
      </c>
      <c r="AQ110" t="str">
        <f t="shared" si="15"/>
        <v/>
      </c>
      <c r="AR110" t="str">
        <f t="shared" si="16"/>
        <v/>
      </c>
      <c r="AS110" t="str">
        <f t="shared" si="17"/>
        <v/>
      </c>
      <c r="AT110" t="str">
        <f t="shared" si="18"/>
        <v/>
      </c>
      <c r="BG110" t="str">
        <f t="shared" si="19"/>
        <v/>
      </c>
      <c r="BH110" t="str">
        <f t="shared" si="20"/>
        <v/>
      </c>
      <c r="BL110" t="str">
        <f>IFERROR(INDEX(_names_lookup!$C:$C,MATCH(BK110,_names_lookup!$A:$A,0)),"")</f>
        <v/>
      </c>
      <c r="BM110" t="str">
        <f>IFERROR(INDEX(_names_lookup!$B:$B,MATCH(BK110,_names_lookup!$A:$A,0)),"")</f>
        <v/>
      </c>
      <c r="BS110" t="str">
        <f t="shared" si="21"/>
        <v/>
      </c>
    </row>
    <row r="111" spans="15:71" x14ac:dyDescent="0.2">
      <c r="O111" t="str">
        <f>IFERROR(INDEX(_courses_lookup!$C:$C,MATCH(K111&amp;L111,_courses_lookup!$E:$E,0)),"")</f>
        <v/>
      </c>
      <c r="P111" t="str">
        <f>IFERROR(INDEX(_courses_lookup!$D:$D,MATCH(K111&amp;L111,_courses_lookup!$E:$E,0)),"")</f>
        <v/>
      </c>
      <c r="AG111" t="str">
        <f t="shared" si="11"/>
        <v/>
      </c>
      <c r="AI111" t="str">
        <f t="shared" si="12"/>
        <v/>
      </c>
      <c r="AL111" t="str">
        <f t="shared" si="13"/>
        <v/>
      </c>
      <c r="AN111" t="str">
        <f t="shared" si="14"/>
        <v/>
      </c>
      <c r="AQ111" t="str">
        <f t="shared" si="15"/>
        <v/>
      </c>
      <c r="AR111" t="str">
        <f t="shared" si="16"/>
        <v/>
      </c>
      <c r="AS111" t="str">
        <f t="shared" si="17"/>
        <v/>
      </c>
      <c r="AT111" t="str">
        <f t="shared" si="18"/>
        <v/>
      </c>
      <c r="BG111" t="str">
        <f t="shared" si="19"/>
        <v/>
      </c>
      <c r="BH111" t="str">
        <f t="shared" si="20"/>
        <v/>
      </c>
      <c r="BL111" t="str">
        <f>IFERROR(INDEX(_names_lookup!$C:$C,MATCH(BK111,_names_lookup!$A:$A,0)),"")</f>
        <v/>
      </c>
      <c r="BM111" t="str">
        <f>IFERROR(INDEX(_names_lookup!$B:$B,MATCH(BK111,_names_lookup!$A:$A,0)),"")</f>
        <v/>
      </c>
      <c r="BS111" t="str">
        <f t="shared" si="21"/>
        <v/>
      </c>
    </row>
    <row r="112" spans="15:71" x14ac:dyDescent="0.2">
      <c r="O112" t="str">
        <f>IFERROR(INDEX(_courses_lookup!$C:$C,MATCH(K112&amp;L112,_courses_lookup!$E:$E,0)),"")</f>
        <v/>
      </c>
      <c r="P112" t="str">
        <f>IFERROR(INDEX(_courses_lookup!$D:$D,MATCH(K112&amp;L112,_courses_lookup!$E:$E,0)),"")</f>
        <v/>
      </c>
      <c r="AG112" t="str">
        <f t="shared" si="11"/>
        <v/>
      </c>
      <c r="AI112" t="str">
        <f t="shared" si="12"/>
        <v/>
      </c>
      <c r="AL112" t="str">
        <f t="shared" si="13"/>
        <v/>
      </c>
      <c r="AN112" t="str">
        <f t="shared" si="14"/>
        <v/>
      </c>
      <c r="AQ112" t="str">
        <f t="shared" si="15"/>
        <v/>
      </c>
      <c r="AR112" t="str">
        <f t="shared" si="16"/>
        <v/>
      </c>
      <c r="AS112" t="str">
        <f t="shared" si="17"/>
        <v/>
      </c>
      <c r="AT112" t="str">
        <f t="shared" si="18"/>
        <v/>
      </c>
      <c r="BG112" t="str">
        <f t="shared" si="19"/>
        <v/>
      </c>
      <c r="BH112" t="str">
        <f t="shared" si="20"/>
        <v/>
      </c>
      <c r="BL112" t="str">
        <f>IFERROR(INDEX(_names_lookup!$C:$C,MATCH(BK112,_names_lookup!$A:$A,0)),"")</f>
        <v/>
      </c>
      <c r="BM112" t="str">
        <f>IFERROR(INDEX(_names_lookup!$B:$B,MATCH(BK112,_names_lookup!$A:$A,0)),"")</f>
        <v/>
      </c>
      <c r="BS112" t="str">
        <f t="shared" si="21"/>
        <v/>
      </c>
    </row>
    <row r="113" spans="15:71" x14ac:dyDescent="0.2">
      <c r="O113" t="str">
        <f>IFERROR(INDEX(_courses_lookup!$C:$C,MATCH(K113&amp;L113,_courses_lookup!$E:$E,0)),"")</f>
        <v/>
      </c>
      <c r="P113" t="str">
        <f>IFERROR(INDEX(_courses_lookup!$D:$D,MATCH(K113&amp;L113,_courses_lookup!$E:$E,0)),"")</f>
        <v/>
      </c>
      <c r="AG113" t="str">
        <f t="shared" si="11"/>
        <v/>
      </c>
      <c r="AI113" t="str">
        <f t="shared" si="12"/>
        <v/>
      </c>
      <c r="AL113" t="str">
        <f t="shared" si="13"/>
        <v/>
      </c>
      <c r="AN113" t="str">
        <f t="shared" si="14"/>
        <v/>
      </c>
      <c r="AQ113" t="str">
        <f t="shared" si="15"/>
        <v/>
      </c>
      <c r="AR113" t="str">
        <f t="shared" si="16"/>
        <v/>
      </c>
      <c r="AS113" t="str">
        <f t="shared" si="17"/>
        <v/>
      </c>
      <c r="AT113" t="str">
        <f t="shared" si="18"/>
        <v/>
      </c>
      <c r="BG113" t="str">
        <f t="shared" si="19"/>
        <v/>
      </c>
      <c r="BH113" t="str">
        <f t="shared" si="20"/>
        <v/>
      </c>
      <c r="BL113" t="str">
        <f>IFERROR(INDEX(_names_lookup!$C:$C,MATCH(BK113,_names_lookup!$A:$A,0)),"")</f>
        <v/>
      </c>
      <c r="BM113" t="str">
        <f>IFERROR(INDEX(_names_lookup!$B:$B,MATCH(BK113,_names_lookup!$A:$A,0)),"")</f>
        <v/>
      </c>
      <c r="BS113" t="str">
        <f t="shared" si="21"/>
        <v/>
      </c>
    </row>
    <row r="114" spans="15:71" x14ac:dyDescent="0.2">
      <c r="O114" t="str">
        <f>IFERROR(INDEX(_courses_lookup!$C:$C,MATCH(K114&amp;L114,_courses_lookup!$E:$E,0)),"")</f>
        <v/>
      </c>
      <c r="P114" t="str">
        <f>IFERROR(INDEX(_courses_lookup!$D:$D,MATCH(K114&amp;L114,_courses_lookup!$E:$E,0)),"")</f>
        <v/>
      </c>
      <c r="AG114" t="str">
        <f t="shared" si="11"/>
        <v/>
      </c>
      <c r="AI114" t="str">
        <f t="shared" si="12"/>
        <v/>
      </c>
      <c r="AL114" t="str">
        <f t="shared" si="13"/>
        <v/>
      </c>
      <c r="AN114" t="str">
        <f t="shared" si="14"/>
        <v/>
      </c>
      <c r="AQ114" t="str">
        <f t="shared" si="15"/>
        <v/>
      </c>
      <c r="AR114" t="str">
        <f t="shared" si="16"/>
        <v/>
      </c>
      <c r="AS114" t="str">
        <f t="shared" si="17"/>
        <v/>
      </c>
      <c r="AT114" t="str">
        <f t="shared" si="18"/>
        <v/>
      </c>
      <c r="BG114" t="str">
        <f t="shared" si="19"/>
        <v/>
      </c>
      <c r="BH114" t="str">
        <f t="shared" si="20"/>
        <v/>
      </c>
      <c r="BL114" t="str">
        <f>IFERROR(INDEX(_names_lookup!$C:$C,MATCH(BK114,_names_lookup!$A:$A,0)),"")</f>
        <v/>
      </c>
      <c r="BM114" t="str">
        <f>IFERROR(INDEX(_names_lookup!$B:$B,MATCH(BK114,_names_lookup!$A:$A,0)),"")</f>
        <v/>
      </c>
      <c r="BS114" t="str">
        <f t="shared" si="21"/>
        <v/>
      </c>
    </row>
    <row r="115" spans="15:71" x14ac:dyDescent="0.2">
      <c r="O115" t="str">
        <f>IFERROR(INDEX(_courses_lookup!$C:$C,MATCH(K115&amp;L115,_courses_lookup!$E:$E,0)),"")</f>
        <v/>
      </c>
      <c r="P115" t="str">
        <f>IFERROR(INDEX(_courses_lookup!$D:$D,MATCH(K115&amp;L115,_courses_lookup!$E:$E,0)),"")</f>
        <v/>
      </c>
      <c r="AG115" t="str">
        <f t="shared" si="11"/>
        <v/>
      </c>
      <c r="AI115" t="str">
        <f t="shared" si="12"/>
        <v/>
      </c>
      <c r="AL115" t="str">
        <f t="shared" si="13"/>
        <v/>
      </c>
      <c r="AN115" t="str">
        <f t="shared" si="14"/>
        <v/>
      </c>
      <c r="AQ115" t="str">
        <f t="shared" si="15"/>
        <v/>
      </c>
      <c r="AR115" t="str">
        <f t="shared" si="16"/>
        <v/>
      </c>
      <c r="AS115" t="str">
        <f t="shared" si="17"/>
        <v/>
      </c>
      <c r="AT115" t="str">
        <f t="shared" si="18"/>
        <v/>
      </c>
      <c r="BG115" t="str">
        <f t="shared" si="19"/>
        <v/>
      </c>
      <c r="BH115" t="str">
        <f t="shared" si="20"/>
        <v/>
      </c>
      <c r="BL115" t="str">
        <f>IFERROR(INDEX(_names_lookup!$C:$C,MATCH(BK115,_names_lookup!$A:$A,0)),"")</f>
        <v/>
      </c>
      <c r="BM115" t="str">
        <f>IFERROR(INDEX(_names_lookup!$B:$B,MATCH(BK115,_names_lookup!$A:$A,0)),"")</f>
        <v/>
      </c>
      <c r="BS115" t="str">
        <f t="shared" si="21"/>
        <v/>
      </c>
    </row>
    <row r="116" spans="15:71" x14ac:dyDescent="0.2">
      <c r="O116" t="str">
        <f>IFERROR(INDEX(_courses_lookup!$C:$C,MATCH(K116&amp;L116,_courses_lookup!$E:$E,0)),"")</f>
        <v/>
      </c>
      <c r="P116" t="str">
        <f>IFERROR(INDEX(_courses_lookup!$D:$D,MATCH(K116&amp;L116,_courses_lookup!$E:$E,0)),"")</f>
        <v/>
      </c>
      <c r="AG116" t="str">
        <f t="shared" si="11"/>
        <v/>
      </c>
      <c r="AI116" t="str">
        <f t="shared" si="12"/>
        <v/>
      </c>
      <c r="AL116" t="str">
        <f t="shared" si="13"/>
        <v/>
      </c>
      <c r="AN116" t="str">
        <f t="shared" si="14"/>
        <v/>
      </c>
      <c r="AQ116" t="str">
        <f t="shared" si="15"/>
        <v/>
      </c>
      <c r="AR116" t="str">
        <f t="shared" si="16"/>
        <v/>
      </c>
      <c r="AS116" t="str">
        <f t="shared" si="17"/>
        <v/>
      </c>
      <c r="AT116" t="str">
        <f t="shared" si="18"/>
        <v/>
      </c>
      <c r="BG116" t="str">
        <f t="shared" si="19"/>
        <v/>
      </c>
      <c r="BH116" t="str">
        <f t="shared" si="20"/>
        <v/>
      </c>
      <c r="BL116" t="str">
        <f>IFERROR(INDEX(_names_lookup!$C:$C,MATCH(BK116,_names_lookup!$A:$A,0)),"")</f>
        <v/>
      </c>
      <c r="BM116" t="str">
        <f>IFERROR(INDEX(_names_lookup!$B:$B,MATCH(BK116,_names_lookup!$A:$A,0)),"")</f>
        <v/>
      </c>
      <c r="BS116" t="str">
        <f t="shared" si="21"/>
        <v/>
      </c>
    </row>
    <row r="117" spans="15:71" x14ac:dyDescent="0.2">
      <c r="O117" t="str">
        <f>IFERROR(INDEX(_courses_lookup!$C:$C,MATCH(K117&amp;L117,_courses_lookup!$E:$E,0)),"")</f>
        <v/>
      </c>
      <c r="P117" t="str">
        <f>IFERROR(INDEX(_courses_lookup!$D:$D,MATCH(K117&amp;L117,_courses_lookup!$E:$E,0)),"")</f>
        <v/>
      </c>
      <c r="AG117" t="str">
        <f t="shared" si="11"/>
        <v/>
      </c>
      <c r="AI117" t="str">
        <f t="shared" si="12"/>
        <v/>
      </c>
      <c r="AL117" t="str">
        <f t="shared" si="13"/>
        <v/>
      </c>
      <c r="AN117" t="str">
        <f t="shared" si="14"/>
        <v/>
      </c>
      <c r="AQ117" t="str">
        <f t="shared" si="15"/>
        <v/>
      </c>
      <c r="AR117" t="str">
        <f t="shared" si="16"/>
        <v/>
      </c>
      <c r="AS117" t="str">
        <f t="shared" si="17"/>
        <v/>
      </c>
      <c r="AT117" t="str">
        <f t="shared" si="18"/>
        <v/>
      </c>
      <c r="BG117" t="str">
        <f t="shared" si="19"/>
        <v/>
      </c>
      <c r="BH117" t="str">
        <f t="shared" si="20"/>
        <v/>
      </c>
      <c r="BL117" t="str">
        <f>IFERROR(INDEX(_names_lookup!$C:$C,MATCH(BK117,_names_lookup!$A:$A,0)),"")</f>
        <v/>
      </c>
      <c r="BM117" t="str">
        <f>IFERROR(INDEX(_names_lookup!$B:$B,MATCH(BK117,_names_lookup!$A:$A,0)),"")</f>
        <v/>
      </c>
      <c r="BS117" t="str">
        <f t="shared" si="21"/>
        <v/>
      </c>
    </row>
    <row r="118" spans="15:71" x14ac:dyDescent="0.2">
      <c r="O118" t="str">
        <f>IFERROR(INDEX(_courses_lookup!$C:$C,MATCH(K118&amp;L118,_courses_lookup!$E:$E,0)),"")</f>
        <v/>
      </c>
      <c r="P118" t="str">
        <f>IFERROR(INDEX(_courses_lookup!$D:$D,MATCH(K118&amp;L118,_courses_lookup!$E:$E,0)),"")</f>
        <v/>
      </c>
      <c r="AG118" t="str">
        <f t="shared" si="11"/>
        <v/>
      </c>
      <c r="AI118" t="str">
        <f t="shared" si="12"/>
        <v/>
      </c>
      <c r="AL118" t="str">
        <f t="shared" si="13"/>
        <v/>
      </c>
      <c r="AN118" t="str">
        <f t="shared" si="14"/>
        <v/>
      </c>
      <c r="AQ118" t="str">
        <f t="shared" si="15"/>
        <v/>
      </c>
      <c r="AR118" t="str">
        <f t="shared" si="16"/>
        <v/>
      </c>
      <c r="AS118" t="str">
        <f t="shared" si="17"/>
        <v/>
      </c>
      <c r="AT118" t="str">
        <f t="shared" si="18"/>
        <v/>
      </c>
      <c r="BG118" t="str">
        <f t="shared" si="19"/>
        <v/>
      </c>
      <c r="BH118" t="str">
        <f t="shared" si="20"/>
        <v/>
      </c>
      <c r="BL118" t="str">
        <f>IFERROR(INDEX(_names_lookup!$C:$C,MATCH(BK118,_names_lookup!$A:$A,0)),"")</f>
        <v/>
      </c>
      <c r="BM118" t="str">
        <f>IFERROR(INDEX(_names_lookup!$B:$B,MATCH(BK118,_names_lookup!$A:$A,0)),"")</f>
        <v/>
      </c>
      <c r="BS118" t="str">
        <f t="shared" si="21"/>
        <v/>
      </c>
    </row>
    <row r="119" spans="15:71" x14ac:dyDescent="0.2">
      <c r="O119" t="str">
        <f>IFERROR(INDEX(_courses_lookup!$C:$C,MATCH(K119&amp;L119,_courses_lookup!$E:$E,0)),"")</f>
        <v/>
      </c>
      <c r="P119" t="str">
        <f>IFERROR(INDEX(_courses_lookup!$D:$D,MATCH(K119&amp;L119,_courses_lookup!$E:$E,0)),"")</f>
        <v/>
      </c>
      <c r="AG119" t="str">
        <f t="shared" si="11"/>
        <v/>
      </c>
      <c r="AI119" t="str">
        <f t="shared" si="12"/>
        <v/>
      </c>
      <c r="AL119" t="str">
        <f t="shared" si="13"/>
        <v/>
      </c>
      <c r="AN119" t="str">
        <f t="shared" si="14"/>
        <v/>
      </c>
      <c r="AQ119" t="str">
        <f t="shared" si="15"/>
        <v/>
      </c>
      <c r="AR119" t="str">
        <f t="shared" si="16"/>
        <v/>
      </c>
      <c r="AS119" t="str">
        <f t="shared" si="17"/>
        <v/>
      </c>
      <c r="AT119" t="str">
        <f t="shared" si="18"/>
        <v/>
      </c>
      <c r="BG119" t="str">
        <f t="shared" si="19"/>
        <v/>
      </c>
      <c r="BH119" t="str">
        <f t="shared" si="20"/>
        <v/>
      </c>
      <c r="BL119" t="str">
        <f>IFERROR(INDEX(_names_lookup!$C:$C,MATCH(BK119,_names_lookup!$A:$A,0)),"")</f>
        <v/>
      </c>
      <c r="BM119" t="str">
        <f>IFERROR(INDEX(_names_lookup!$B:$B,MATCH(BK119,_names_lookup!$A:$A,0)),"")</f>
        <v/>
      </c>
      <c r="BS119" t="str">
        <f t="shared" si="21"/>
        <v/>
      </c>
    </row>
    <row r="120" spans="15:71" x14ac:dyDescent="0.2">
      <c r="O120" t="str">
        <f>IFERROR(INDEX(_courses_lookup!$C:$C,MATCH(K120&amp;L120,_courses_lookup!$E:$E,0)),"")</f>
        <v/>
      </c>
      <c r="P120" t="str">
        <f>IFERROR(INDEX(_courses_lookup!$D:$D,MATCH(K120&amp;L120,_courses_lookup!$E:$E,0)),"")</f>
        <v/>
      </c>
      <c r="AG120" t="str">
        <f t="shared" si="11"/>
        <v/>
      </c>
      <c r="AI120" t="str">
        <f t="shared" si="12"/>
        <v/>
      </c>
      <c r="AL120" t="str">
        <f t="shared" si="13"/>
        <v/>
      </c>
      <c r="AN120" t="str">
        <f t="shared" si="14"/>
        <v/>
      </c>
      <c r="AQ120" t="str">
        <f t="shared" si="15"/>
        <v/>
      </c>
      <c r="AR120" t="str">
        <f t="shared" si="16"/>
        <v/>
      </c>
      <c r="AS120" t="str">
        <f t="shared" si="17"/>
        <v/>
      </c>
      <c r="AT120" t="str">
        <f t="shared" si="18"/>
        <v/>
      </c>
      <c r="BG120" t="str">
        <f t="shared" si="19"/>
        <v/>
      </c>
      <c r="BH120" t="str">
        <f t="shared" si="20"/>
        <v/>
      </c>
      <c r="BL120" t="str">
        <f>IFERROR(INDEX(_names_lookup!$C:$C,MATCH(BK120,_names_lookup!$A:$A,0)),"")</f>
        <v/>
      </c>
      <c r="BM120" t="str">
        <f>IFERROR(INDEX(_names_lookup!$B:$B,MATCH(BK120,_names_lookup!$A:$A,0)),"")</f>
        <v/>
      </c>
      <c r="BS120" t="str">
        <f t="shared" si="21"/>
        <v/>
      </c>
    </row>
    <row r="121" spans="15:71" x14ac:dyDescent="0.2">
      <c r="O121" t="str">
        <f>IFERROR(INDEX(_courses_lookup!$C:$C,MATCH(K121&amp;L121,_courses_lookup!$E:$E,0)),"")</f>
        <v/>
      </c>
      <c r="P121" t="str">
        <f>IFERROR(INDEX(_courses_lookup!$D:$D,MATCH(K121&amp;L121,_courses_lookup!$E:$E,0)),"")</f>
        <v/>
      </c>
      <c r="AG121" t="str">
        <f t="shared" si="11"/>
        <v/>
      </c>
      <c r="AI121" t="str">
        <f t="shared" si="12"/>
        <v/>
      </c>
      <c r="AL121" t="str">
        <f t="shared" si="13"/>
        <v/>
      </c>
      <c r="AN121" t="str">
        <f t="shared" si="14"/>
        <v/>
      </c>
      <c r="AQ121" t="str">
        <f t="shared" si="15"/>
        <v/>
      </c>
      <c r="AR121" t="str">
        <f t="shared" si="16"/>
        <v/>
      </c>
      <c r="AS121" t="str">
        <f t="shared" si="17"/>
        <v/>
      </c>
      <c r="AT121" t="str">
        <f t="shared" si="18"/>
        <v/>
      </c>
      <c r="BG121" t="str">
        <f t="shared" si="19"/>
        <v/>
      </c>
      <c r="BH121" t="str">
        <f t="shared" si="20"/>
        <v/>
      </c>
      <c r="BL121" t="str">
        <f>IFERROR(INDEX(_names_lookup!$C:$C,MATCH(BK121,_names_lookup!$A:$A,0)),"")</f>
        <v/>
      </c>
      <c r="BM121" t="str">
        <f>IFERROR(INDEX(_names_lookup!$B:$B,MATCH(BK121,_names_lookup!$A:$A,0)),"")</f>
        <v/>
      </c>
      <c r="BS121" t="str">
        <f t="shared" si="21"/>
        <v/>
      </c>
    </row>
    <row r="122" spans="15:71" x14ac:dyDescent="0.2">
      <c r="O122" t="str">
        <f>IFERROR(INDEX(_courses_lookup!$C:$C,MATCH(K122&amp;L122,_courses_lookup!$E:$E,0)),"")</f>
        <v/>
      </c>
      <c r="P122" t="str">
        <f>IFERROR(INDEX(_courses_lookup!$D:$D,MATCH(K122&amp;L122,_courses_lookup!$E:$E,0)),"")</f>
        <v/>
      </c>
      <c r="AG122" t="str">
        <f t="shared" si="11"/>
        <v/>
      </c>
      <c r="AI122" t="str">
        <f t="shared" si="12"/>
        <v/>
      </c>
      <c r="AL122" t="str">
        <f t="shared" si="13"/>
        <v/>
      </c>
      <c r="AN122" t="str">
        <f t="shared" si="14"/>
        <v/>
      </c>
      <c r="AQ122" t="str">
        <f t="shared" si="15"/>
        <v/>
      </c>
      <c r="AR122" t="str">
        <f t="shared" si="16"/>
        <v/>
      </c>
      <c r="AS122" t="str">
        <f t="shared" si="17"/>
        <v/>
      </c>
      <c r="AT122" t="str">
        <f t="shared" si="18"/>
        <v/>
      </c>
      <c r="BG122" t="str">
        <f t="shared" si="19"/>
        <v/>
      </c>
      <c r="BH122" t="str">
        <f t="shared" si="20"/>
        <v/>
      </c>
      <c r="BL122" t="str">
        <f>IFERROR(INDEX(_names_lookup!$C:$C,MATCH(BK122,_names_lookup!$A:$A,0)),"")</f>
        <v/>
      </c>
      <c r="BM122" t="str">
        <f>IFERROR(INDEX(_names_lookup!$B:$B,MATCH(BK122,_names_lookup!$A:$A,0)),"")</f>
        <v/>
      </c>
      <c r="BS122" t="str">
        <f t="shared" si="21"/>
        <v/>
      </c>
    </row>
    <row r="123" spans="15:71" x14ac:dyDescent="0.2">
      <c r="O123" t="str">
        <f>IFERROR(INDEX(_courses_lookup!$C:$C,MATCH(K123&amp;L123,_courses_lookup!$E:$E,0)),"")</f>
        <v/>
      </c>
      <c r="P123" t="str">
        <f>IFERROR(INDEX(_courses_lookup!$D:$D,MATCH(K123&amp;L123,_courses_lookup!$E:$E,0)),"")</f>
        <v/>
      </c>
      <c r="AG123" t="str">
        <f t="shared" si="11"/>
        <v/>
      </c>
      <c r="AI123" t="str">
        <f t="shared" si="12"/>
        <v/>
      </c>
      <c r="AL123" t="str">
        <f t="shared" si="13"/>
        <v/>
      </c>
      <c r="AN123" t="str">
        <f t="shared" si="14"/>
        <v/>
      </c>
      <c r="AQ123" t="str">
        <f t="shared" si="15"/>
        <v/>
      </c>
      <c r="AR123" t="str">
        <f t="shared" si="16"/>
        <v/>
      </c>
      <c r="AS123" t="str">
        <f t="shared" si="17"/>
        <v/>
      </c>
      <c r="AT123" t="str">
        <f t="shared" si="18"/>
        <v/>
      </c>
      <c r="BG123" t="str">
        <f t="shared" si="19"/>
        <v/>
      </c>
      <c r="BH123" t="str">
        <f t="shared" si="20"/>
        <v/>
      </c>
      <c r="BL123" t="str">
        <f>IFERROR(INDEX(_names_lookup!$C:$C,MATCH(BK123,_names_lookup!$A:$A,0)),"")</f>
        <v/>
      </c>
      <c r="BM123" t="str">
        <f>IFERROR(INDEX(_names_lookup!$B:$B,MATCH(BK123,_names_lookup!$A:$A,0)),"")</f>
        <v/>
      </c>
      <c r="BS123" t="str">
        <f t="shared" si="21"/>
        <v/>
      </c>
    </row>
    <row r="124" spans="15:71" x14ac:dyDescent="0.2">
      <c r="O124" t="str">
        <f>IFERROR(INDEX(_courses_lookup!$C:$C,MATCH(K124&amp;L124,_courses_lookup!$E:$E,0)),"")</f>
        <v/>
      </c>
      <c r="P124" t="str">
        <f>IFERROR(INDEX(_courses_lookup!$D:$D,MATCH(K124&amp;L124,_courses_lookup!$E:$E,0)),"")</f>
        <v/>
      </c>
      <c r="AG124" t="str">
        <f t="shared" si="11"/>
        <v/>
      </c>
      <c r="AI124" t="str">
        <f t="shared" si="12"/>
        <v/>
      </c>
      <c r="AL124" t="str">
        <f t="shared" si="13"/>
        <v/>
      </c>
      <c r="AN124" t="str">
        <f t="shared" si="14"/>
        <v/>
      </c>
      <c r="AQ124" t="str">
        <f t="shared" si="15"/>
        <v/>
      </c>
      <c r="AR124" t="str">
        <f t="shared" si="16"/>
        <v/>
      </c>
      <c r="AS124" t="str">
        <f t="shared" si="17"/>
        <v/>
      </c>
      <c r="AT124" t="str">
        <f t="shared" si="18"/>
        <v/>
      </c>
      <c r="BG124" t="str">
        <f t="shared" si="19"/>
        <v/>
      </c>
      <c r="BH124" t="str">
        <f t="shared" si="20"/>
        <v/>
      </c>
      <c r="BL124" t="str">
        <f>IFERROR(INDEX(_names_lookup!$C:$C,MATCH(BK124,_names_lookup!$A:$A,0)),"")</f>
        <v/>
      </c>
      <c r="BM124" t="str">
        <f>IFERROR(INDEX(_names_lookup!$B:$B,MATCH(BK124,_names_lookup!$A:$A,0)),"")</f>
        <v/>
      </c>
      <c r="BS124" t="str">
        <f t="shared" si="21"/>
        <v/>
      </c>
    </row>
    <row r="125" spans="15:71" x14ac:dyDescent="0.2">
      <c r="O125" t="str">
        <f>IFERROR(INDEX(_courses_lookup!$C:$C,MATCH(K125&amp;L125,_courses_lookup!$E:$E,0)),"")</f>
        <v/>
      </c>
      <c r="P125" t="str">
        <f>IFERROR(INDEX(_courses_lookup!$D:$D,MATCH(K125&amp;L125,_courses_lookup!$E:$E,0)),"")</f>
        <v/>
      </c>
      <c r="AG125" t="str">
        <f t="shared" si="11"/>
        <v/>
      </c>
      <c r="AI125" t="str">
        <f t="shared" si="12"/>
        <v/>
      </c>
      <c r="AL125" t="str">
        <f t="shared" si="13"/>
        <v/>
      </c>
      <c r="AN125" t="str">
        <f t="shared" si="14"/>
        <v/>
      </c>
      <c r="AQ125" t="str">
        <f t="shared" si="15"/>
        <v/>
      </c>
      <c r="AR125" t="str">
        <f t="shared" si="16"/>
        <v/>
      </c>
      <c r="AS125" t="str">
        <f t="shared" si="17"/>
        <v/>
      </c>
      <c r="AT125" t="str">
        <f t="shared" si="18"/>
        <v/>
      </c>
      <c r="BG125" t="str">
        <f t="shared" si="19"/>
        <v/>
      </c>
      <c r="BH125" t="str">
        <f t="shared" si="20"/>
        <v/>
      </c>
      <c r="BL125" t="str">
        <f>IFERROR(INDEX(_names_lookup!$C:$C,MATCH(BK125,_names_lookup!$A:$A,0)),"")</f>
        <v/>
      </c>
      <c r="BM125" t="str">
        <f>IFERROR(INDEX(_names_lookup!$B:$B,MATCH(BK125,_names_lookup!$A:$A,0)),"")</f>
        <v/>
      </c>
      <c r="BS125" t="str">
        <f t="shared" si="21"/>
        <v/>
      </c>
    </row>
    <row r="126" spans="15:71" x14ac:dyDescent="0.2">
      <c r="O126" t="str">
        <f>IFERROR(INDEX(_courses_lookup!$C:$C,MATCH(K126&amp;L126,_courses_lookup!$E:$E,0)),"")</f>
        <v/>
      </c>
      <c r="P126" t="str">
        <f>IFERROR(INDEX(_courses_lookup!$D:$D,MATCH(K126&amp;L126,_courses_lookup!$E:$E,0)),"")</f>
        <v/>
      </c>
      <c r="AG126" t="str">
        <f t="shared" si="11"/>
        <v/>
      </c>
      <c r="AI126" t="str">
        <f t="shared" si="12"/>
        <v/>
      </c>
      <c r="AL126" t="str">
        <f t="shared" si="13"/>
        <v/>
      </c>
      <c r="AN126" t="str">
        <f t="shared" si="14"/>
        <v/>
      </c>
      <c r="AQ126" t="str">
        <f t="shared" si="15"/>
        <v/>
      </c>
      <c r="AR126" t="str">
        <f t="shared" si="16"/>
        <v/>
      </c>
      <c r="AS126" t="str">
        <f t="shared" si="17"/>
        <v/>
      </c>
      <c r="AT126" t="str">
        <f t="shared" si="18"/>
        <v/>
      </c>
      <c r="BG126" t="str">
        <f t="shared" si="19"/>
        <v/>
      </c>
      <c r="BH126" t="str">
        <f t="shared" si="20"/>
        <v/>
      </c>
      <c r="BL126" t="str">
        <f>IFERROR(INDEX(_names_lookup!$C:$C,MATCH(BK126,_names_lookup!$A:$A,0)),"")</f>
        <v/>
      </c>
      <c r="BM126" t="str">
        <f>IFERROR(INDEX(_names_lookup!$B:$B,MATCH(BK126,_names_lookup!$A:$A,0)),"")</f>
        <v/>
      </c>
      <c r="BS126" t="str">
        <f t="shared" si="21"/>
        <v/>
      </c>
    </row>
    <row r="127" spans="15:71" x14ac:dyDescent="0.2">
      <c r="O127" t="str">
        <f>IFERROR(INDEX(_courses_lookup!$C:$C,MATCH(K127&amp;L127,_courses_lookup!$E:$E,0)),"")</f>
        <v/>
      </c>
      <c r="P127" t="str">
        <f>IFERROR(INDEX(_courses_lookup!$D:$D,MATCH(K127&amp;L127,_courses_lookup!$E:$E,0)),"")</f>
        <v/>
      </c>
      <c r="AG127" t="str">
        <f t="shared" si="11"/>
        <v/>
      </c>
      <c r="AI127" t="str">
        <f t="shared" si="12"/>
        <v/>
      </c>
      <c r="AL127" t="str">
        <f t="shared" si="13"/>
        <v/>
      </c>
      <c r="AN127" t="str">
        <f t="shared" si="14"/>
        <v/>
      </c>
      <c r="AQ127" t="str">
        <f t="shared" si="15"/>
        <v/>
      </c>
      <c r="AR127" t="str">
        <f t="shared" si="16"/>
        <v/>
      </c>
      <c r="AS127" t="str">
        <f t="shared" si="17"/>
        <v/>
      </c>
      <c r="AT127" t="str">
        <f t="shared" si="18"/>
        <v/>
      </c>
      <c r="BG127" t="str">
        <f t="shared" si="19"/>
        <v/>
      </c>
      <c r="BH127" t="str">
        <f t="shared" si="20"/>
        <v/>
      </c>
      <c r="BL127" t="str">
        <f>IFERROR(INDEX(_names_lookup!$C:$C,MATCH(BK127,_names_lookup!$A:$A,0)),"")</f>
        <v/>
      </c>
      <c r="BM127" t="str">
        <f>IFERROR(INDEX(_names_lookup!$B:$B,MATCH(BK127,_names_lookup!$A:$A,0)),"")</f>
        <v/>
      </c>
      <c r="BS127" t="str">
        <f t="shared" si="21"/>
        <v/>
      </c>
    </row>
    <row r="128" spans="15:71" x14ac:dyDescent="0.2">
      <c r="O128" t="str">
        <f>IFERROR(INDEX(_courses_lookup!$C:$C,MATCH(K128&amp;L128,_courses_lookup!$E:$E,0)),"")</f>
        <v/>
      </c>
      <c r="P128" t="str">
        <f>IFERROR(INDEX(_courses_lookup!$D:$D,MATCH(K128&amp;L128,_courses_lookup!$E:$E,0)),"")</f>
        <v/>
      </c>
      <c r="AG128" t="str">
        <f t="shared" si="11"/>
        <v/>
      </c>
      <c r="AI128" t="str">
        <f t="shared" si="12"/>
        <v/>
      </c>
      <c r="AL128" t="str">
        <f t="shared" si="13"/>
        <v/>
      </c>
      <c r="AN128" t="str">
        <f t="shared" si="14"/>
        <v/>
      </c>
      <c r="AQ128" t="str">
        <f t="shared" si="15"/>
        <v/>
      </c>
      <c r="AR128" t="str">
        <f t="shared" si="16"/>
        <v/>
      </c>
      <c r="AS128" t="str">
        <f t="shared" si="17"/>
        <v/>
      </c>
      <c r="AT128" t="str">
        <f t="shared" si="18"/>
        <v/>
      </c>
      <c r="BG128" t="str">
        <f t="shared" si="19"/>
        <v/>
      </c>
      <c r="BH128" t="str">
        <f t="shared" si="20"/>
        <v/>
      </c>
      <c r="BL128" t="str">
        <f>IFERROR(INDEX(_names_lookup!$C:$C,MATCH(BK128,_names_lookup!$A:$A,0)),"")</f>
        <v/>
      </c>
      <c r="BM128" t="str">
        <f>IFERROR(INDEX(_names_lookup!$B:$B,MATCH(BK128,_names_lookup!$A:$A,0)),"")</f>
        <v/>
      </c>
      <c r="BS128" t="str">
        <f t="shared" si="21"/>
        <v/>
      </c>
    </row>
    <row r="129" spans="15:71" x14ac:dyDescent="0.2">
      <c r="O129" t="str">
        <f>IFERROR(INDEX(_courses_lookup!$C:$C,MATCH(K129&amp;L129,_courses_lookup!$E:$E,0)),"")</f>
        <v/>
      </c>
      <c r="P129" t="str">
        <f>IFERROR(INDEX(_courses_lookup!$D:$D,MATCH(K129&amp;L129,_courses_lookup!$E:$E,0)),"")</f>
        <v/>
      </c>
      <c r="AG129" t="str">
        <f t="shared" si="11"/>
        <v/>
      </c>
      <c r="AI129" t="str">
        <f t="shared" si="12"/>
        <v/>
      </c>
      <c r="AL129" t="str">
        <f t="shared" si="13"/>
        <v/>
      </c>
      <c r="AN129" t="str">
        <f t="shared" si="14"/>
        <v/>
      </c>
      <c r="AQ129" t="str">
        <f t="shared" si="15"/>
        <v/>
      </c>
      <c r="AR129" t="str">
        <f t="shared" si="16"/>
        <v/>
      </c>
      <c r="AS129" t="str">
        <f t="shared" si="17"/>
        <v/>
      </c>
      <c r="AT129" t="str">
        <f t="shared" si="18"/>
        <v/>
      </c>
      <c r="BG129" t="str">
        <f t="shared" si="19"/>
        <v/>
      </c>
      <c r="BH129" t="str">
        <f t="shared" si="20"/>
        <v/>
      </c>
      <c r="BL129" t="str">
        <f>IFERROR(INDEX(_names_lookup!$C:$C,MATCH(BK129,_names_lookup!$A:$A,0)),"")</f>
        <v/>
      </c>
      <c r="BM129" t="str">
        <f>IFERROR(INDEX(_names_lookup!$B:$B,MATCH(BK129,_names_lookup!$A:$A,0)),"")</f>
        <v/>
      </c>
      <c r="BS129" t="str">
        <f t="shared" si="21"/>
        <v/>
      </c>
    </row>
    <row r="130" spans="15:71" x14ac:dyDescent="0.2">
      <c r="O130" t="str">
        <f>IFERROR(INDEX(_courses_lookup!$C:$C,MATCH(K130&amp;L130,_courses_lookup!$E:$E,0)),"")</f>
        <v/>
      </c>
      <c r="P130" t="str">
        <f>IFERROR(INDEX(_courses_lookup!$D:$D,MATCH(K130&amp;L130,_courses_lookup!$E:$E,0)),"")</f>
        <v/>
      </c>
      <c r="AG130" t="str">
        <f t="shared" ref="AG130:AG193" si="22">IF(AND(AE130&lt;&gt;"",AF130&lt;&gt;""),ROUNDUP((AF130-AE130)/7,0),"")</f>
        <v/>
      </c>
      <c r="AI130" t="str">
        <f t="shared" ref="AI130:AI193" si="23">IFERROR(IF(AG130*AH130=0,"",AG130*AH130),"")</f>
        <v/>
      </c>
      <c r="AL130" t="str">
        <f t="shared" ref="AL130:AL193" si="24">IF(AND(AJ130&lt;&gt;"",AK130&lt;&gt;""),ROUNDUP((AK130-AJ130)/7,0),"")</f>
        <v/>
      </c>
      <c r="AN130" t="str">
        <f t="shared" ref="AN130:AN193" si="25">IFERROR(IF(AL130*AM130=0,"",AL130*AM130),"")</f>
        <v/>
      </c>
      <c r="AQ130" t="str">
        <f t="shared" ref="AQ130:AQ193" si="26">IF(AND(AO130&lt;&gt;"",AP130&lt;&gt;""),ROUNDUP((AP130-AO130)/7,0),"")</f>
        <v/>
      </c>
      <c r="AR130" t="str">
        <f t="shared" ref="AR130:AR193" si="27">IFERROR(IF((AU130-(AI130+AN130))/AQ130=0,"",ROUNDUP((AU130-(AI130+AN130))/AQ130,0)),"")</f>
        <v/>
      </c>
      <c r="AS130" t="str">
        <f t="shared" ref="AS130:AS193" si="28">IFERROR(IF((AU130-(AI130+AN130))=0,"",(AU130-(AI130+AN130))),"")</f>
        <v/>
      </c>
      <c r="AT130" t="str">
        <f t="shared" ref="AT130:AT193" si="29">IF(AND(AG130="",AQ130=""),AL130,IF(SUM(AG130,AL130,AQ130)=0,"",SUM(AG130,AL130,AQ130)))</f>
        <v/>
      </c>
      <c r="BG130" t="str">
        <f t="shared" ref="BG130:BG193" si="30">IF(AD130="","",YEAR(AD130)+IF(MONTH(AD130)&gt;=5,1,0))</f>
        <v/>
      </c>
      <c r="BH130" t="str">
        <f t="shared" ref="BH130:BH193" si="31">IF(AD130="","",IF(AND(MONTH(AD130)=8,DAY(AD130)&gt;=15),"Fall",IF(MONTH(AD130)&gt;8,"Fall",IF(MONTH(AD130)=5,"Summer",IF(MONTH(AD130)=1,"Spring","")))))</f>
        <v/>
      </c>
      <c r="BL130" t="str">
        <f>IFERROR(INDEX(_names_lookup!$C:$C,MATCH(BK130,_names_lookup!$A:$A,0)),"")</f>
        <v/>
      </c>
      <c r="BM130" t="str">
        <f>IFERROR(INDEX(_names_lookup!$B:$B,MATCH(BK130,_names_lookup!$A:$A,0)),"")</f>
        <v/>
      </c>
      <c r="BS130" t="str">
        <f t="shared" ref="BS130:BS193" si="32">IFERROR(IF(BR130*AA130=0,"",BR130*AA130),"")</f>
        <v/>
      </c>
    </row>
    <row r="131" spans="15:71" x14ac:dyDescent="0.2">
      <c r="O131" t="str">
        <f>IFERROR(INDEX(_courses_lookup!$C:$C,MATCH(K131&amp;L131,_courses_lookup!$E:$E,0)),"")</f>
        <v/>
      </c>
      <c r="P131" t="str">
        <f>IFERROR(INDEX(_courses_lookup!$D:$D,MATCH(K131&amp;L131,_courses_lookup!$E:$E,0)),"")</f>
        <v/>
      </c>
      <c r="AG131" t="str">
        <f t="shared" si="22"/>
        <v/>
      </c>
      <c r="AI131" t="str">
        <f t="shared" si="23"/>
        <v/>
      </c>
      <c r="AL131" t="str">
        <f t="shared" si="24"/>
        <v/>
      </c>
      <c r="AN131" t="str">
        <f t="shared" si="25"/>
        <v/>
      </c>
      <c r="AQ131" t="str">
        <f t="shared" si="26"/>
        <v/>
      </c>
      <c r="AR131" t="str">
        <f t="shared" si="27"/>
        <v/>
      </c>
      <c r="AS131" t="str">
        <f t="shared" si="28"/>
        <v/>
      </c>
      <c r="AT131" t="str">
        <f t="shared" si="29"/>
        <v/>
      </c>
      <c r="BG131" t="str">
        <f t="shared" si="30"/>
        <v/>
      </c>
      <c r="BH131" t="str">
        <f t="shared" si="31"/>
        <v/>
      </c>
      <c r="BL131" t="str">
        <f>IFERROR(INDEX(_names_lookup!$C:$C,MATCH(BK131,_names_lookup!$A:$A,0)),"")</f>
        <v/>
      </c>
      <c r="BM131" t="str">
        <f>IFERROR(INDEX(_names_lookup!$B:$B,MATCH(BK131,_names_lookup!$A:$A,0)),"")</f>
        <v/>
      </c>
      <c r="BS131" t="str">
        <f t="shared" si="32"/>
        <v/>
      </c>
    </row>
    <row r="132" spans="15:71" x14ac:dyDescent="0.2">
      <c r="O132" t="str">
        <f>IFERROR(INDEX(_courses_lookup!$C:$C,MATCH(K132&amp;L132,_courses_lookup!$E:$E,0)),"")</f>
        <v/>
      </c>
      <c r="P132" t="str">
        <f>IFERROR(INDEX(_courses_lookup!$D:$D,MATCH(K132&amp;L132,_courses_lookup!$E:$E,0)),"")</f>
        <v/>
      </c>
      <c r="AG132" t="str">
        <f t="shared" si="22"/>
        <v/>
      </c>
      <c r="AI132" t="str">
        <f t="shared" si="23"/>
        <v/>
      </c>
      <c r="AL132" t="str">
        <f t="shared" si="24"/>
        <v/>
      </c>
      <c r="AN132" t="str">
        <f t="shared" si="25"/>
        <v/>
      </c>
      <c r="AQ132" t="str">
        <f t="shared" si="26"/>
        <v/>
      </c>
      <c r="AR132" t="str">
        <f t="shared" si="27"/>
        <v/>
      </c>
      <c r="AS132" t="str">
        <f t="shared" si="28"/>
        <v/>
      </c>
      <c r="AT132" t="str">
        <f t="shared" si="29"/>
        <v/>
      </c>
      <c r="BG132" t="str">
        <f t="shared" si="30"/>
        <v/>
      </c>
      <c r="BH132" t="str">
        <f t="shared" si="31"/>
        <v/>
      </c>
      <c r="BL132" t="str">
        <f>IFERROR(INDEX(_names_lookup!$C:$C,MATCH(BK132,_names_lookup!$A:$A,0)),"")</f>
        <v/>
      </c>
      <c r="BM132" t="str">
        <f>IFERROR(INDEX(_names_lookup!$B:$B,MATCH(BK132,_names_lookup!$A:$A,0)),"")</f>
        <v/>
      </c>
      <c r="BS132" t="str">
        <f t="shared" si="32"/>
        <v/>
      </c>
    </row>
    <row r="133" spans="15:71" x14ac:dyDescent="0.2">
      <c r="O133" t="str">
        <f>IFERROR(INDEX(_courses_lookup!$C:$C,MATCH(K133&amp;L133,_courses_lookup!$E:$E,0)),"")</f>
        <v/>
      </c>
      <c r="P133" t="str">
        <f>IFERROR(INDEX(_courses_lookup!$D:$D,MATCH(K133&amp;L133,_courses_lookup!$E:$E,0)),"")</f>
        <v/>
      </c>
      <c r="AG133" t="str">
        <f t="shared" si="22"/>
        <v/>
      </c>
      <c r="AI133" t="str">
        <f t="shared" si="23"/>
        <v/>
      </c>
      <c r="AL133" t="str">
        <f t="shared" si="24"/>
        <v/>
      </c>
      <c r="AN133" t="str">
        <f t="shared" si="25"/>
        <v/>
      </c>
      <c r="AQ133" t="str">
        <f t="shared" si="26"/>
        <v/>
      </c>
      <c r="AR133" t="str">
        <f t="shared" si="27"/>
        <v/>
      </c>
      <c r="AS133" t="str">
        <f t="shared" si="28"/>
        <v/>
      </c>
      <c r="AT133" t="str">
        <f t="shared" si="29"/>
        <v/>
      </c>
      <c r="BG133" t="str">
        <f t="shared" si="30"/>
        <v/>
      </c>
      <c r="BH133" t="str">
        <f t="shared" si="31"/>
        <v/>
      </c>
      <c r="BL133" t="str">
        <f>IFERROR(INDEX(_names_lookup!$C:$C,MATCH(BK133,_names_lookup!$A:$A,0)),"")</f>
        <v/>
      </c>
      <c r="BM133" t="str">
        <f>IFERROR(INDEX(_names_lookup!$B:$B,MATCH(BK133,_names_lookup!$A:$A,0)),"")</f>
        <v/>
      </c>
      <c r="BS133" t="str">
        <f t="shared" si="32"/>
        <v/>
      </c>
    </row>
    <row r="134" spans="15:71" x14ac:dyDescent="0.2">
      <c r="O134" t="str">
        <f>IFERROR(INDEX(_courses_lookup!$C:$C,MATCH(K134&amp;L134,_courses_lookup!$E:$E,0)),"")</f>
        <v/>
      </c>
      <c r="P134" t="str">
        <f>IFERROR(INDEX(_courses_lookup!$D:$D,MATCH(K134&amp;L134,_courses_lookup!$E:$E,0)),"")</f>
        <v/>
      </c>
      <c r="AG134" t="str">
        <f t="shared" si="22"/>
        <v/>
      </c>
      <c r="AI134" t="str">
        <f t="shared" si="23"/>
        <v/>
      </c>
      <c r="AL134" t="str">
        <f t="shared" si="24"/>
        <v/>
      </c>
      <c r="AN134" t="str">
        <f t="shared" si="25"/>
        <v/>
      </c>
      <c r="AQ134" t="str">
        <f t="shared" si="26"/>
        <v/>
      </c>
      <c r="AR134" t="str">
        <f t="shared" si="27"/>
        <v/>
      </c>
      <c r="AS134" t="str">
        <f t="shared" si="28"/>
        <v/>
      </c>
      <c r="AT134" t="str">
        <f t="shared" si="29"/>
        <v/>
      </c>
      <c r="BG134" t="str">
        <f t="shared" si="30"/>
        <v/>
      </c>
      <c r="BH134" t="str">
        <f t="shared" si="31"/>
        <v/>
      </c>
      <c r="BL134" t="str">
        <f>IFERROR(INDEX(_names_lookup!$C:$C,MATCH(BK134,_names_lookup!$A:$A,0)),"")</f>
        <v/>
      </c>
      <c r="BM134" t="str">
        <f>IFERROR(INDEX(_names_lookup!$B:$B,MATCH(BK134,_names_lookup!$A:$A,0)),"")</f>
        <v/>
      </c>
      <c r="BS134" t="str">
        <f t="shared" si="32"/>
        <v/>
      </c>
    </row>
    <row r="135" spans="15:71" x14ac:dyDescent="0.2">
      <c r="O135" t="str">
        <f>IFERROR(INDEX(_courses_lookup!$C:$C,MATCH(K135&amp;L135,_courses_lookup!$E:$E,0)),"")</f>
        <v/>
      </c>
      <c r="P135" t="str">
        <f>IFERROR(INDEX(_courses_lookup!$D:$D,MATCH(K135&amp;L135,_courses_lookup!$E:$E,0)),"")</f>
        <v/>
      </c>
      <c r="AG135" t="str">
        <f t="shared" si="22"/>
        <v/>
      </c>
      <c r="AI135" t="str">
        <f t="shared" si="23"/>
        <v/>
      </c>
      <c r="AL135" t="str">
        <f t="shared" si="24"/>
        <v/>
      </c>
      <c r="AN135" t="str">
        <f t="shared" si="25"/>
        <v/>
      </c>
      <c r="AQ135" t="str">
        <f t="shared" si="26"/>
        <v/>
      </c>
      <c r="AR135" t="str">
        <f t="shared" si="27"/>
        <v/>
      </c>
      <c r="AS135" t="str">
        <f t="shared" si="28"/>
        <v/>
      </c>
      <c r="AT135" t="str">
        <f t="shared" si="29"/>
        <v/>
      </c>
      <c r="BG135" t="str">
        <f t="shared" si="30"/>
        <v/>
      </c>
      <c r="BH135" t="str">
        <f t="shared" si="31"/>
        <v/>
      </c>
      <c r="BL135" t="str">
        <f>IFERROR(INDEX(_names_lookup!$C:$C,MATCH(BK135,_names_lookup!$A:$A,0)),"")</f>
        <v/>
      </c>
      <c r="BM135" t="str">
        <f>IFERROR(INDEX(_names_lookup!$B:$B,MATCH(BK135,_names_lookup!$A:$A,0)),"")</f>
        <v/>
      </c>
      <c r="BS135" t="str">
        <f t="shared" si="32"/>
        <v/>
      </c>
    </row>
    <row r="136" spans="15:71" x14ac:dyDescent="0.2">
      <c r="O136" t="str">
        <f>IFERROR(INDEX(_courses_lookup!$C:$C,MATCH(K136&amp;L136,_courses_lookup!$E:$E,0)),"")</f>
        <v/>
      </c>
      <c r="P136" t="str">
        <f>IFERROR(INDEX(_courses_lookup!$D:$D,MATCH(K136&amp;L136,_courses_lookup!$E:$E,0)),"")</f>
        <v/>
      </c>
      <c r="AG136" t="str">
        <f t="shared" si="22"/>
        <v/>
      </c>
      <c r="AI136" t="str">
        <f t="shared" si="23"/>
        <v/>
      </c>
      <c r="AL136" t="str">
        <f t="shared" si="24"/>
        <v/>
      </c>
      <c r="AN136" t="str">
        <f t="shared" si="25"/>
        <v/>
      </c>
      <c r="AQ136" t="str">
        <f t="shared" si="26"/>
        <v/>
      </c>
      <c r="AR136" t="str">
        <f t="shared" si="27"/>
        <v/>
      </c>
      <c r="AS136" t="str">
        <f t="shared" si="28"/>
        <v/>
      </c>
      <c r="AT136" t="str">
        <f t="shared" si="29"/>
        <v/>
      </c>
      <c r="BG136" t="str">
        <f t="shared" si="30"/>
        <v/>
      </c>
      <c r="BH136" t="str">
        <f t="shared" si="31"/>
        <v/>
      </c>
      <c r="BL136" t="str">
        <f>IFERROR(INDEX(_names_lookup!$C:$C,MATCH(BK136,_names_lookup!$A:$A,0)),"")</f>
        <v/>
      </c>
      <c r="BM136" t="str">
        <f>IFERROR(INDEX(_names_lookup!$B:$B,MATCH(BK136,_names_lookup!$A:$A,0)),"")</f>
        <v/>
      </c>
      <c r="BS136" t="str">
        <f t="shared" si="32"/>
        <v/>
      </c>
    </row>
    <row r="137" spans="15:71" x14ac:dyDescent="0.2">
      <c r="O137" t="str">
        <f>IFERROR(INDEX(_courses_lookup!$C:$C,MATCH(K137&amp;L137,_courses_lookup!$E:$E,0)),"")</f>
        <v/>
      </c>
      <c r="P137" t="str">
        <f>IFERROR(INDEX(_courses_lookup!$D:$D,MATCH(K137&amp;L137,_courses_lookup!$E:$E,0)),"")</f>
        <v/>
      </c>
      <c r="AG137" t="str">
        <f t="shared" si="22"/>
        <v/>
      </c>
      <c r="AI137" t="str">
        <f t="shared" si="23"/>
        <v/>
      </c>
      <c r="AL137" t="str">
        <f t="shared" si="24"/>
        <v/>
      </c>
      <c r="AN137" t="str">
        <f t="shared" si="25"/>
        <v/>
      </c>
      <c r="AQ137" t="str">
        <f t="shared" si="26"/>
        <v/>
      </c>
      <c r="AR137" t="str">
        <f t="shared" si="27"/>
        <v/>
      </c>
      <c r="AS137" t="str">
        <f t="shared" si="28"/>
        <v/>
      </c>
      <c r="AT137" t="str">
        <f t="shared" si="29"/>
        <v/>
      </c>
      <c r="BG137" t="str">
        <f t="shared" si="30"/>
        <v/>
      </c>
      <c r="BH137" t="str">
        <f t="shared" si="31"/>
        <v/>
      </c>
      <c r="BL137" t="str">
        <f>IFERROR(INDEX(_names_lookup!$C:$C,MATCH(BK137,_names_lookup!$A:$A,0)),"")</f>
        <v/>
      </c>
      <c r="BM137" t="str">
        <f>IFERROR(INDEX(_names_lookup!$B:$B,MATCH(BK137,_names_lookup!$A:$A,0)),"")</f>
        <v/>
      </c>
      <c r="BS137" t="str">
        <f t="shared" si="32"/>
        <v/>
      </c>
    </row>
    <row r="138" spans="15:71" x14ac:dyDescent="0.2">
      <c r="O138" t="str">
        <f>IFERROR(INDEX(_courses_lookup!$C:$C,MATCH(K138&amp;L138,_courses_lookup!$E:$E,0)),"")</f>
        <v/>
      </c>
      <c r="P138" t="str">
        <f>IFERROR(INDEX(_courses_lookup!$D:$D,MATCH(K138&amp;L138,_courses_lookup!$E:$E,0)),"")</f>
        <v/>
      </c>
      <c r="AG138" t="str">
        <f t="shared" si="22"/>
        <v/>
      </c>
      <c r="AI138" t="str">
        <f t="shared" si="23"/>
        <v/>
      </c>
      <c r="AL138" t="str">
        <f t="shared" si="24"/>
        <v/>
      </c>
      <c r="AN138" t="str">
        <f t="shared" si="25"/>
        <v/>
      </c>
      <c r="AQ138" t="str">
        <f t="shared" si="26"/>
        <v/>
      </c>
      <c r="AR138" t="str">
        <f t="shared" si="27"/>
        <v/>
      </c>
      <c r="AS138" t="str">
        <f t="shared" si="28"/>
        <v/>
      </c>
      <c r="AT138" t="str">
        <f t="shared" si="29"/>
        <v/>
      </c>
      <c r="BG138" t="str">
        <f t="shared" si="30"/>
        <v/>
      </c>
      <c r="BH138" t="str">
        <f t="shared" si="31"/>
        <v/>
      </c>
      <c r="BL138" t="str">
        <f>IFERROR(INDEX(_names_lookup!$C:$C,MATCH(BK138,_names_lookup!$A:$A,0)),"")</f>
        <v/>
      </c>
      <c r="BM138" t="str">
        <f>IFERROR(INDEX(_names_lookup!$B:$B,MATCH(BK138,_names_lookup!$A:$A,0)),"")</f>
        <v/>
      </c>
      <c r="BS138" t="str">
        <f t="shared" si="32"/>
        <v/>
      </c>
    </row>
    <row r="139" spans="15:71" x14ac:dyDescent="0.2">
      <c r="O139" t="str">
        <f>IFERROR(INDEX(_courses_lookup!$C:$C,MATCH(K139&amp;L139,_courses_lookup!$E:$E,0)),"")</f>
        <v/>
      </c>
      <c r="P139" t="str">
        <f>IFERROR(INDEX(_courses_lookup!$D:$D,MATCH(K139&amp;L139,_courses_lookup!$E:$E,0)),"")</f>
        <v/>
      </c>
      <c r="AG139" t="str">
        <f t="shared" si="22"/>
        <v/>
      </c>
      <c r="AI139" t="str">
        <f t="shared" si="23"/>
        <v/>
      </c>
      <c r="AL139" t="str">
        <f t="shared" si="24"/>
        <v/>
      </c>
      <c r="AN139" t="str">
        <f t="shared" si="25"/>
        <v/>
      </c>
      <c r="AQ139" t="str">
        <f t="shared" si="26"/>
        <v/>
      </c>
      <c r="AR139" t="str">
        <f t="shared" si="27"/>
        <v/>
      </c>
      <c r="AS139" t="str">
        <f t="shared" si="28"/>
        <v/>
      </c>
      <c r="AT139" t="str">
        <f t="shared" si="29"/>
        <v/>
      </c>
      <c r="BG139" t="str">
        <f t="shared" si="30"/>
        <v/>
      </c>
      <c r="BH139" t="str">
        <f t="shared" si="31"/>
        <v/>
      </c>
      <c r="BL139" t="str">
        <f>IFERROR(INDEX(_names_lookup!$C:$C,MATCH(BK139,_names_lookup!$A:$A,0)),"")</f>
        <v/>
      </c>
      <c r="BM139" t="str">
        <f>IFERROR(INDEX(_names_lookup!$B:$B,MATCH(BK139,_names_lookup!$A:$A,0)),"")</f>
        <v/>
      </c>
      <c r="BS139" t="str">
        <f t="shared" si="32"/>
        <v/>
      </c>
    </row>
    <row r="140" spans="15:71" x14ac:dyDescent="0.2">
      <c r="O140" t="str">
        <f>IFERROR(INDEX(_courses_lookup!$C:$C,MATCH(K140&amp;L140,_courses_lookup!$E:$E,0)),"")</f>
        <v/>
      </c>
      <c r="P140" t="str">
        <f>IFERROR(INDEX(_courses_lookup!$D:$D,MATCH(K140&amp;L140,_courses_lookup!$E:$E,0)),"")</f>
        <v/>
      </c>
      <c r="AG140" t="str">
        <f t="shared" si="22"/>
        <v/>
      </c>
      <c r="AI140" t="str">
        <f t="shared" si="23"/>
        <v/>
      </c>
      <c r="AL140" t="str">
        <f t="shared" si="24"/>
        <v/>
      </c>
      <c r="AN140" t="str">
        <f t="shared" si="25"/>
        <v/>
      </c>
      <c r="AQ140" t="str">
        <f t="shared" si="26"/>
        <v/>
      </c>
      <c r="AR140" t="str">
        <f t="shared" si="27"/>
        <v/>
      </c>
      <c r="AS140" t="str">
        <f t="shared" si="28"/>
        <v/>
      </c>
      <c r="AT140" t="str">
        <f t="shared" si="29"/>
        <v/>
      </c>
      <c r="BG140" t="str">
        <f t="shared" si="30"/>
        <v/>
      </c>
      <c r="BH140" t="str">
        <f t="shared" si="31"/>
        <v/>
      </c>
      <c r="BL140" t="str">
        <f>IFERROR(INDEX(_names_lookup!$C:$C,MATCH(BK140,_names_lookup!$A:$A,0)),"")</f>
        <v/>
      </c>
      <c r="BM140" t="str">
        <f>IFERROR(INDEX(_names_lookup!$B:$B,MATCH(BK140,_names_lookup!$A:$A,0)),"")</f>
        <v/>
      </c>
      <c r="BS140" t="str">
        <f t="shared" si="32"/>
        <v/>
      </c>
    </row>
    <row r="141" spans="15:71" x14ac:dyDescent="0.2">
      <c r="O141" t="str">
        <f>IFERROR(INDEX(_courses_lookup!$C:$C,MATCH(K141&amp;L141,_courses_lookup!$E:$E,0)),"")</f>
        <v/>
      </c>
      <c r="P141" t="str">
        <f>IFERROR(INDEX(_courses_lookup!$D:$D,MATCH(K141&amp;L141,_courses_lookup!$E:$E,0)),"")</f>
        <v/>
      </c>
      <c r="AG141" t="str">
        <f t="shared" si="22"/>
        <v/>
      </c>
      <c r="AI141" t="str">
        <f t="shared" si="23"/>
        <v/>
      </c>
      <c r="AL141" t="str">
        <f t="shared" si="24"/>
        <v/>
      </c>
      <c r="AN141" t="str">
        <f t="shared" si="25"/>
        <v/>
      </c>
      <c r="AQ141" t="str">
        <f t="shared" si="26"/>
        <v/>
      </c>
      <c r="AR141" t="str">
        <f t="shared" si="27"/>
        <v/>
      </c>
      <c r="AS141" t="str">
        <f t="shared" si="28"/>
        <v/>
      </c>
      <c r="AT141" t="str">
        <f t="shared" si="29"/>
        <v/>
      </c>
      <c r="BG141" t="str">
        <f t="shared" si="30"/>
        <v/>
      </c>
      <c r="BH141" t="str">
        <f t="shared" si="31"/>
        <v/>
      </c>
      <c r="BL141" t="str">
        <f>IFERROR(INDEX(_names_lookup!$C:$C,MATCH(BK141,_names_lookup!$A:$A,0)),"")</f>
        <v/>
      </c>
      <c r="BM141" t="str">
        <f>IFERROR(INDEX(_names_lookup!$B:$B,MATCH(BK141,_names_lookup!$A:$A,0)),"")</f>
        <v/>
      </c>
      <c r="BS141" t="str">
        <f t="shared" si="32"/>
        <v/>
      </c>
    </row>
    <row r="142" spans="15:71" x14ac:dyDescent="0.2">
      <c r="O142" t="str">
        <f>IFERROR(INDEX(_courses_lookup!$C:$C,MATCH(K142&amp;L142,_courses_lookup!$E:$E,0)),"")</f>
        <v/>
      </c>
      <c r="P142" t="str">
        <f>IFERROR(INDEX(_courses_lookup!$D:$D,MATCH(K142&amp;L142,_courses_lookup!$E:$E,0)),"")</f>
        <v/>
      </c>
      <c r="AG142" t="str">
        <f t="shared" si="22"/>
        <v/>
      </c>
      <c r="AI142" t="str">
        <f t="shared" si="23"/>
        <v/>
      </c>
      <c r="AL142" t="str">
        <f t="shared" si="24"/>
        <v/>
      </c>
      <c r="AN142" t="str">
        <f t="shared" si="25"/>
        <v/>
      </c>
      <c r="AQ142" t="str">
        <f t="shared" si="26"/>
        <v/>
      </c>
      <c r="AR142" t="str">
        <f t="shared" si="27"/>
        <v/>
      </c>
      <c r="AS142" t="str">
        <f t="shared" si="28"/>
        <v/>
      </c>
      <c r="AT142" t="str">
        <f t="shared" si="29"/>
        <v/>
      </c>
      <c r="BG142" t="str">
        <f t="shared" si="30"/>
        <v/>
      </c>
      <c r="BH142" t="str">
        <f t="shared" si="31"/>
        <v/>
      </c>
      <c r="BL142" t="str">
        <f>IFERROR(INDEX(_names_lookup!$C:$C,MATCH(BK142,_names_lookup!$A:$A,0)),"")</f>
        <v/>
      </c>
      <c r="BM142" t="str">
        <f>IFERROR(INDEX(_names_lookup!$B:$B,MATCH(BK142,_names_lookup!$A:$A,0)),"")</f>
        <v/>
      </c>
      <c r="BS142" t="str">
        <f t="shared" si="32"/>
        <v/>
      </c>
    </row>
    <row r="143" spans="15:71" x14ac:dyDescent="0.2">
      <c r="O143" t="str">
        <f>IFERROR(INDEX(_courses_lookup!$C:$C,MATCH(K143&amp;L143,_courses_lookup!$E:$E,0)),"")</f>
        <v/>
      </c>
      <c r="P143" t="str">
        <f>IFERROR(INDEX(_courses_lookup!$D:$D,MATCH(K143&amp;L143,_courses_lookup!$E:$E,0)),"")</f>
        <v/>
      </c>
      <c r="AG143" t="str">
        <f t="shared" si="22"/>
        <v/>
      </c>
      <c r="AI143" t="str">
        <f t="shared" si="23"/>
        <v/>
      </c>
      <c r="AL143" t="str">
        <f t="shared" si="24"/>
        <v/>
      </c>
      <c r="AN143" t="str">
        <f t="shared" si="25"/>
        <v/>
      </c>
      <c r="AQ143" t="str">
        <f t="shared" si="26"/>
        <v/>
      </c>
      <c r="AR143" t="str">
        <f t="shared" si="27"/>
        <v/>
      </c>
      <c r="AS143" t="str">
        <f t="shared" si="28"/>
        <v/>
      </c>
      <c r="AT143" t="str">
        <f t="shared" si="29"/>
        <v/>
      </c>
      <c r="BG143" t="str">
        <f t="shared" si="30"/>
        <v/>
      </c>
      <c r="BH143" t="str">
        <f t="shared" si="31"/>
        <v/>
      </c>
      <c r="BL143" t="str">
        <f>IFERROR(INDEX(_names_lookup!$C:$C,MATCH(BK143,_names_lookup!$A:$A,0)),"")</f>
        <v/>
      </c>
      <c r="BM143" t="str">
        <f>IFERROR(INDEX(_names_lookup!$B:$B,MATCH(BK143,_names_lookup!$A:$A,0)),"")</f>
        <v/>
      </c>
      <c r="BS143" t="str">
        <f t="shared" si="32"/>
        <v/>
      </c>
    </row>
    <row r="144" spans="15:71" x14ac:dyDescent="0.2">
      <c r="O144" t="str">
        <f>IFERROR(INDEX(_courses_lookup!$C:$C,MATCH(K144&amp;L144,_courses_lookup!$E:$E,0)),"")</f>
        <v/>
      </c>
      <c r="P144" t="str">
        <f>IFERROR(INDEX(_courses_lookup!$D:$D,MATCH(K144&amp;L144,_courses_lookup!$E:$E,0)),"")</f>
        <v/>
      </c>
      <c r="AG144" t="str">
        <f t="shared" si="22"/>
        <v/>
      </c>
      <c r="AI144" t="str">
        <f t="shared" si="23"/>
        <v/>
      </c>
      <c r="AL144" t="str">
        <f t="shared" si="24"/>
        <v/>
      </c>
      <c r="AN144" t="str">
        <f t="shared" si="25"/>
        <v/>
      </c>
      <c r="AQ144" t="str">
        <f t="shared" si="26"/>
        <v/>
      </c>
      <c r="AR144" t="str">
        <f t="shared" si="27"/>
        <v/>
      </c>
      <c r="AS144" t="str">
        <f t="shared" si="28"/>
        <v/>
      </c>
      <c r="AT144" t="str">
        <f t="shared" si="29"/>
        <v/>
      </c>
      <c r="BG144" t="str">
        <f t="shared" si="30"/>
        <v/>
      </c>
      <c r="BH144" t="str">
        <f t="shared" si="31"/>
        <v/>
      </c>
      <c r="BL144" t="str">
        <f>IFERROR(INDEX(_names_lookup!$C:$C,MATCH(BK144,_names_lookup!$A:$A,0)),"")</f>
        <v/>
      </c>
      <c r="BM144" t="str">
        <f>IFERROR(INDEX(_names_lookup!$B:$B,MATCH(BK144,_names_lookup!$A:$A,0)),"")</f>
        <v/>
      </c>
      <c r="BS144" t="str">
        <f t="shared" si="32"/>
        <v/>
      </c>
    </row>
    <row r="145" spans="15:71" x14ac:dyDescent="0.2">
      <c r="O145" t="str">
        <f>IFERROR(INDEX(_courses_lookup!$C:$C,MATCH(K145&amp;L145,_courses_lookup!$E:$E,0)),"")</f>
        <v/>
      </c>
      <c r="P145" t="str">
        <f>IFERROR(INDEX(_courses_lookup!$D:$D,MATCH(K145&amp;L145,_courses_lookup!$E:$E,0)),"")</f>
        <v/>
      </c>
      <c r="AG145" t="str">
        <f t="shared" si="22"/>
        <v/>
      </c>
      <c r="AI145" t="str">
        <f t="shared" si="23"/>
        <v/>
      </c>
      <c r="AL145" t="str">
        <f t="shared" si="24"/>
        <v/>
      </c>
      <c r="AN145" t="str">
        <f t="shared" si="25"/>
        <v/>
      </c>
      <c r="AQ145" t="str">
        <f t="shared" si="26"/>
        <v/>
      </c>
      <c r="AR145" t="str">
        <f t="shared" si="27"/>
        <v/>
      </c>
      <c r="AS145" t="str">
        <f t="shared" si="28"/>
        <v/>
      </c>
      <c r="AT145" t="str">
        <f t="shared" si="29"/>
        <v/>
      </c>
      <c r="BG145" t="str">
        <f t="shared" si="30"/>
        <v/>
      </c>
      <c r="BH145" t="str">
        <f t="shared" si="31"/>
        <v/>
      </c>
      <c r="BL145" t="str">
        <f>IFERROR(INDEX(_names_lookup!$C:$C,MATCH(BK145,_names_lookup!$A:$A,0)),"")</f>
        <v/>
      </c>
      <c r="BM145" t="str">
        <f>IFERROR(INDEX(_names_lookup!$B:$B,MATCH(BK145,_names_lookup!$A:$A,0)),"")</f>
        <v/>
      </c>
      <c r="BS145" t="str">
        <f t="shared" si="32"/>
        <v/>
      </c>
    </row>
    <row r="146" spans="15:71" x14ac:dyDescent="0.2">
      <c r="O146" t="str">
        <f>IFERROR(INDEX(_courses_lookup!$C:$C,MATCH(K146&amp;L146,_courses_lookup!$E:$E,0)),"")</f>
        <v/>
      </c>
      <c r="P146" t="str">
        <f>IFERROR(INDEX(_courses_lookup!$D:$D,MATCH(K146&amp;L146,_courses_lookup!$E:$E,0)),"")</f>
        <v/>
      </c>
      <c r="AG146" t="str">
        <f t="shared" si="22"/>
        <v/>
      </c>
      <c r="AI146" t="str">
        <f t="shared" si="23"/>
        <v/>
      </c>
      <c r="AL146" t="str">
        <f t="shared" si="24"/>
        <v/>
      </c>
      <c r="AN146" t="str">
        <f t="shared" si="25"/>
        <v/>
      </c>
      <c r="AQ146" t="str">
        <f t="shared" si="26"/>
        <v/>
      </c>
      <c r="AR146" t="str">
        <f t="shared" si="27"/>
        <v/>
      </c>
      <c r="AS146" t="str">
        <f t="shared" si="28"/>
        <v/>
      </c>
      <c r="AT146" t="str">
        <f t="shared" si="29"/>
        <v/>
      </c>
      <c r="BG146" t="str">
        <f t="shared" si="30"/>
        <v/>
      </c>
      <c r="BH146" t="str">
        <f t="shared" si="31"/>
        <v/>
      </c>
      <c r="BL146" t="str">
        <f>IFERROR(INDEX(_names_lookup!$C:$C,MATCH(BK146,_names_lookup!$A:$A,0)),"")</f>
        <v/>
      </c>
      <c r="BM146" t="str">
        <f>IFERROR(INDEX(_names_lookup!$B:$B,MATCH(BK146,_names_lookup!$A:$A,0)),"")</f>
        <v/>
      </c>
      <c r="BS146" t="str">
        <f t="shared" si="32"/>
        <v/>
      </c>
    </row>
    <row r="147" spans="15:71" x14ac:dyDescent="0.2">
      <c r="O147" t="str">
        <f>IFERROR(INDEX(_courses_lookup!$C:$C,MATCH(K147&amp;L147,_courses_lookup!$E:$E,0)),"")</f>
        <v/>
      </c>
      <c r="P147" t="str">
        <f>IFERROR(INDEX(_courses_lookup!$D:$D,MATCH(K147&amp;L147,_courses_lookup!$E:$E,0)),"")</f>
        <v/>
      </c>
      <c r="AG147" t="str">
        <f t="shared" si="22"/>
        <v/>
      </c>
      <c r="AI147" t="str">
        <f t="shared" si="23"/>
        <v/>
      </c>
      <c r="AL147" t="str">
        <f t="shared" si="24"/>
        <v/>
      </c>
      <c r="AN147" t="str">
        <f t="shared" si="25"/>
        <v/>
      </c>
      <c r="AQ147" t="str">
        <f t="shared" si="26"/>
        <v/>
      </c>
      <c r="AR147" t="str">
        <f t="shared" si="27"/>
        <v/>
      </c>
      <c r="AS147" t="str">
        <f t="shared" si="28"/>
        <v/>
      </c>
      <c r="AT147" t="str">
        <f t="shared" si="29"/>
        <v/>
      </c>
      <c r="BG147" t="str">
        <f t="shared" si="30"/>
        <v/>
      </c>
      <c r="BH147" t="str">
        <f t="shared" si="31"/>
        <v/>
      </c>
      <c r="BL147" t="str">
        <f>IFERROR(INDEX(_names_lookup!$C:$C,MATCH(BK147,_names_lookup!$A:$A,0)),"")</f>
        <v/>
      </c>
      <c r="BM147" t="str">
        <f>IFERROR(INDEX(_names_lookup!$B:$B,MATCH(BK147,_names_lookup!$A:$A,0)),"")</f>
        <v/>
      </c>
      <c r="BS147" t="str">
        <f t="shared" si="32"/>
        <v/>
      </c>
    </row>
    <row r="148" spans="15:71" x14ac:dyDescent="0.2">
      <c r="O148" t="str">
        <f>IFERROR(INDEX(_courses_lookup!$C:$C,MATCH(K148&amp;L148,_courses_lookup!$E:$E,0)),"")</f>
        <v/>
      </c>
      <c r="P148" t="str">
        <f>IFERROR(INDEX(_courses_lookup!$D:$D,MATCH(K148&amp;L148,_courses_lookup!$E:$E,0)),"")</f>
        <v/>
      </c>
      <c r="AG148" t="str">
        <f t="shared" si="22"/>
        <v/>
      </c>
      <c r="AI148" t="str">
        <f t="shared" si="23"/>
        <v/>
      </c>
      <c r="AL148" t="str">
        <f t="shared" si="24"/>
        <v/>
      </c>
      <c r="AN148" t="str">
        <f t="shared" si="25"/>
        <v/>
      </c>
      <c r="AQ148" t="str">
        <f t="shared" si="26"/>
        <v/>
      </c>
      <c r="AR148" t="str">
        <f t="shared" si="27"/>
        <v/>
      </c>
      <c r="AS148" t="str">
        <f t="shared" si="28"/>
        <v/>
      </c>
      <c r="AT148" t="str">
        <f t="shared" si="29"/>
        <v/>
      </c>
      <c r="BG148" t="str">
        <f t="shared" si="30"/>
        <v/>
      </c>
      <c r="BH148" t="str">
        <f t="shared" si="31"/>
        <v/>
      </c>
      <c r="BL148" t="str">
        <f>IFERROR(INDEX(_names_lookup!$C:$C,MATCH(BK148,_names_lookup!$A:$A,0)),"")</f>
        <v/>
      </c>
      <c r="BM148" t="str">
        <f>IFERROR(INDEX(_names_lookup!$B:$B,MATCH(BK148,_names_lookup!$A:$A,0)),"")</f>
        <v/>
      </c>
      <c r="BS148" t="str">
        <f t="shared" si="32"/>
        <v/>
      </c>
    </row>
    <row r="149" spans="15:71" x14ac:dyDescent="0.2">
      <c r="O149" t="str">
        <f>IFERROR(INDEX(_courses_lookup!$C:$C,MATCH(K149&amp;L149,_courses_lookup!$E:$E,0)),"")</f>
        <v/>
      </c>
      <c r="P149" t="str">
        <f>IFERROR(INDEX(_courses_lookup!$D:$D,MATCH(K149&amp;L149,_courses_lookup!$E:$E,0)),"")</f>
        <v/>
      </c>
      <c r="AG149" t="str">
        <f t="shared" si="22"/>
        <v/>
      </c>
      <c r="AI149" t="str">
        <f t="shared" si="23"/>
        <v/>
      </c>
      <c r="AL149" t="str">
        <f t="shared" si="24"/>
        <v/>
      </c>
      <c r="AN149" t="str">
        <f t="shared" si="25"/>
        <v/>
      </c>
      <c r="AQ149" t="str">
        <f t="shared" si="26"/>
        <v/>
      </c>
      <c r="AR149" t="str">
        <f t="shared" si="27"/>
        <v/>
      </c>
      <c r="AS149" t="str">
        <f t="shared" si="28"/>
        <v/>
      </c>
      <c r="AT149" t="str">
        <f t="shared" si="29"/>
        <v/>
      </c>
      <c r="BG149" t="str">
        <f t="shared" si="30"/>
        <v/>
      </c>
      <c r="BH149" t="str">
        <f t="shared" si="31"/>
        <v/>
      </c>
      <c r="BL149" t="str">
        <f>IFERROR(INDEX(_names_lookup!$C:$C,MATCH(BK149,_names_lookup!$A:$A,0)),"")</f>
        <v/>
      </c>
      <c r="BM149" t="str">
        <f>IFERROR(INDEX(_names_lookup!$B:$B,MATCH(BK149,_names_lookup!$A:$A,0)),"")</f>
        <v/>
      </c>
      <c r="BS149" t="str">
        <f t="shared" si="32"/>
        <v/>
      </c>
    </row>
    <row r="150" spans="15:71" x14ac:dyDescent="0.2">
      <c r="O150" t="str">
        <f>IFERROR(INDEX(_courses_lookup!$C:$C,MATCH(K150&amp;L150,_courses_lookup!$E:$E,0)),"")</f>
        <v/>
      </c>
      <c r="P150" t="str">
        <f>IFERROR(INDEX(_courses_lookup!$D:$D,MATCH(K150&amp;L150,_courses_lookup!$E:$E,0)),"")</f>
        <v/>
      </c>
      <c r="AG150" t="str">
        <f t="shared" si="22"/>
        <v/>
      </c>
      <c r="AI150" t="str">
        <f t="shared" si="23"/>
        <v/>
      </c>
      <c r="AL150" t="str">
        <f t="shared" si="24"/>
        <v/>
      </c>
      <c r="AN150" t="str">
        <f t="shared" si="25"/>
        <v/>
      </c>
      <c r="AQ150" t="str">
        <f t="shared" si="26"/>
        <v/>
      </c>
      <c r="AR150" t="str">
        <f t="shared" si="27"/>
        <v/>
      </c>
      <c r="AS150" t="str">
        <f t="shared" si="28"/>
        <v/>
      </c>
      <c r="AT150" t="str">
        <f t="shared" si="29"/>
        <v/>
      </c>
      <c r="BG150" t="str">
        <f t="shared" si="30"/>
        <v/>
      </c>
      <c r="BH150" t="str">
        <f t="shared" si="31"/>
        <v/>
      </c>
      <c r="BL150" t="str">
        <f>IFERROR(INDEX(_names_lookup!$C:$C,MATCH(BK150,_names_lookup!$A:$A,0)),"")</f>
        <v/>
      </c>
      <c r="BM150" t="str">
        <f>IFERROR(INDEX(_names_lookup!$B:$B,MATCH(BK150,_names_lookup!$A:$A,0)),"")</f>
        <v/>
      </c>
      <c r="BS150" t="str">
        <f t="shared" si="32"/>
        <v/>
      </c>
    </row>
    <row r="151" spans="15:71" x14ac:dyDescent="0.2">
      <c r="O151" t="str">
        <f>IFERROR(INDEX(_courses_lookup!$C:$C,MATCH(K151&amp;L151,_courses_lookup!$E:$E,0)),"")</f>
        <v/>
      </c>
      <c r="P151" t="str">
        <f>IFERROR(INDEX(_courses_lookup!$D:$D,MATCH(K151&amp;L151,_courses_lookup!$E:$E,0)),"")</f>
        <v/>
      </c>
      <c r="AG151" t="str">
        <f t="shared" si="22"/>
        <v/>
      </c>
      <c r="AI151" t="str">
        <f t="shared" si="23"/>
        <v/>
      </c>
      <c r="AL151" t="str">
        <f t="shared" si="24"/>
        <v/>
      </c>
      <c r="AN151" t="str">
        <f t="shared" si="25"/>
        <v/>
      </c>
      <c r="AQ151" t="str">
        <f t="shared" si="26"/>
        <v/>
      </c>
      <c r="AR151" t="str">
        <f t="shared" si="27"/>
        <v/>
      </c>
      <c r="AS151" t="str">
        <f t="shared" si="28"/>
        <v/>
      </c>
      <c r="AT151" t="str">
        <f t="shared" si="29"/>
        <v/>
      </c>
      <c r="BG151" t="str">
        <f t="shared" si="30"/>
        <v/>
      </c>
      <c r="BH151" t="str">
        <f t="shared" si="31"/>
        <v/>
      </c>
      <c r="BL151" t="str">
        <f>IFERROR(INDEX(_names_lookup!$C:$C,MATCH(BK151,_names_lookup!$A:$A,0)),"")</f>
        <v/>
      </c>
      <c r="BM151" t="str">
        <f>IFERROR(INDEX(_names_lookup!$B:$B,MATCH(BK151,_names_lookup!$A:$A,0)),"")</f>
        <v/>
      </c>
      <c r="BS151" t="str">
        <f t="shared" si="32"/>
        <v/>
      </c>
    </row>
    <row r="152" spans="15:71" x14ac:dyDescent="0.2">
      <c r="O152" t="str">
        <f>IFERROR(INDEX(_courses_lookup!$C:$C,MATCH(K152&amp;L152,_courses_lookup!$E:$E,0)),"")</f>
        <v/>
      </c>
      <c r="P152" t="str">
        <f>IFERROR(INDEX(_courses_lookup!$D:$D,MATCH(K152&amp;L152,_courses_lookup!$E:$E,0)),"")</f>
        <v/>
      </c>
      <c r="AG152" t="str">
        <f t="shared" si="22"/>
        <v/>
      </c>
      <c r="AI152" t="str">
        <f t="shared" si="23"/>
        <v/>
      </c>
      <c r="AL152" t="str">
        <f t="shared" si="24"/>
        <v/>
      </c>
      <c r="AN152" t="str">
        <f t="shared" si="25"/>
        <v/>
      </c>
      <c r="AQ152" t="str">
        <f t="shared" si="26"/>
        <v/>
      </c>
      <c r="AR152" t="str">
        <f t="shared" si="27"/>
        <v/>
      </c>
      <c r="AS152" t="str">
        <f t="shared" si="28"/>
        <v/>
      </c>
      <c r="AT152" t="str">
        <f t="shared" si="29"/>
        <v/>
      </c>
      <c r="BG152" t="str">
        <f t="shared" si="30"/>
        <v/>
      </c>
      <c r="BH152" t="str">
        <f t="shared" si="31"/>
        <v/>
      </c>
      <c r="BL152" t="str">
        <f>IFERROR(INDEX(_names_lookup!$C:$C,MATCH(BK152,_names_lookup!$A:$A,0)),"")</f>
        <v/>
      </c>
      <c r="BM152" t="str">
        <f>IFERROR(INDEX(_names_lookup!$B:$B,MATCH(BK152,_names_lookup!$A:$A,0)),"")</f>
        <v/>
      </c>
      <c r="BS152" t="str">
        <f t="shared" si="32"/>
        <v/>
      </c>
    </row>
    <row r="153" spans="15:71" x14ac:dyDescent="0.2">
      <c r="O153" t="str">
        <f>IFERROR(INDEX(_courses_lookup!$C:$C,MATCH(K153&amp;L153,_courses_lookup!$E:$E,0)),"")</f>
        <v/>
      </c>
      <c r="P153" t="str">
        <f>IFERROR(INDEX(_courses_lookup!$D:$D,MATCH(K153&amp;L153,_courses_lookup!$E:$E,0)),"")</f>
        <v/>
      </c>
      <c r="AG153" t="str">
        <f t="shared" si="22"/>
        <v/>
      </c>
      <c r="AI153" t="str">
        <f t="shared" si="23"/>
        <v/>
      </c>
      <c r="AL153" t="str">
        <f t="shared" si="24"/>
        <v/>
      </c>
      <c r="AN153" t="str">
        <f t="shared" si="25"/>
        <v/>
      </c>
      <c r="AQ153" t="str">
        <f t="shared" si="26"/>
        <v/>
      </c>
      <c r="AR153" t="str">
        <f t="shared" si="27"/>
        <v/>
      </c>
      <c r="AS153" t="str">
        <f t="shared" si="28"/>
        <v/>
      </c>
      <c r="AT153" t="str">
        <f t="shared" si="29"/>
        <v/>
      </c>
      <c r="BG153" t="str">
        <f t="shared" si="30"/>
        <v/>
      </c>
      <c r="BH153" t="str">
        <f t="shared" si="31"/>
        <v/>
      </c>
      <c r="BL153" t="str">
        <f>IFERROR(INDEX(_names_lookup!$C:$C,MATCH(BK153,_names_lookup!$A:$A,0)),"")</f>
        <v/>
      </c>
      <c r="BM153" t="str">
        <f>IFERROR(INDEX(_names_lookup!$B:$B,MATCH(BK153,_names_lookup!$A:$A,0)),"")</f>
        <v/>
      </c>
      <c r="BS153" t="str">
        <f t="shared" si="32"/>
        <v/>
      </c>
    </row>
    <row r="154" spans="15:71" x14ac:dyDescent="0.2">
      <c r="O154" t="str">
        <f>IFERROR(INDEX(_courses_lookup!$C:$C,MATCH(K154&amp;L154,_courses_lookup!$E:$E,0)),"")</f>
        <v/>
      </c>
      <c r="P154" t="str">
        <f>IFERROR(INDEX(_courses_lookup!$D:$D,MATCH(K154&amp;L154,_courses_lookup!$E:$E,0)),"")</f>
        <v/>
      </c>
      <c r="AG154" t="str">
        <f t="shared" si="22"/>
        <v/>
      </c>
      <c r="AI154" t="str">
        <f t="shared" si="23"/>
        <v/>
      </c>
      <c r="AL154" t="str">
        <f t="shared" si="24"/>
        <v/>
      </c>
      <c r="AN154" t="str">
        <f t="shared" si="25"/>
        <v/>
      </c>
      <c r="AQ154" t="str">
        <f t="shared" si="26"/>
        <v/>
      </c>
      <c r="AR154" t="str">
        <f t="shared" si="27"/>
        <v/>
      </c>
      <c r="AS154" t="str">
        <f t="shared" si="28"/>
        <v/>
      </c>
      <c r="AT154" t="str">
        <f t="shared" si="29"/>
        <v/>
      </c>
      <c r="BG154" t="str">
        <f t="shared" si="30"/>
        <v/>
      </c>
      <c r="BH154" t="str">
        <f t="shared" si="31"/>
        <v/>
      </c>
      <c r="BL154" t="str">
        <f>IFERROR(INDEX(_names_lookup!$C:$C,MATCH(BK154,_names_lookup!$A:$A,0)),"")</f>
        <v/>
      </c>
      <c r="BM154" t="str">
        <f>IFERROR(INDEX(_names_lookup!$B:$B,MATCH(BK154,_names_lookup!$A:$A,0)),"")</f>
        <v/>
      </c>
      <c r="BS154" t="str">
        <f t="shared" si="32"/>
        <v/>
      </c>
    </row>
    <row r="155" spans="15:71" x14ac:dyDescent="0.2">
      <c r="O155" t="str">
        <f>IFERROR(INDEX(_courses_lookup!$C:$C,MATCH(K155&amp;L155,_courses_lookup!$E:$E,0)),"")</f>
        <v/>
      </c>
      <c r="P155" t="str">
        <f>IFERROR(INDEX(_courses_lookup!$D:$D,MATCH(K155&amp;L155,_courses_lookup!$E:$E,0)),"")</f>
        <v/>
      </c>
      <c r="AG155" t="str">
        <f t="shared" si="22"/>
        <v/>
      </c>
      <c r="AI155" t="str">
        <f t="shared" si="23"/>
        <v/>
      </c>
      <c r="AL155" t="str">
        <f t="shared" si="24"/>
        <v/>
      </c>
      <c r="AN155" t="str">
        <f t="shared" si="25"/>
        <v/>
      </c>
      <c r="AQ155" t="str">
        <f t="shared" si="26"/>
        <v/>
      </c>
      <c r="AR155" t="str">
        <f t="shared" si="27"/>
        <v/>
      </c>
      <c r="AS155" t="str">
        <f t="shared" si="28"/>
        <v/>
      </c>
      <c r="AT155" t="str">
        <f t="shared" si="29"/>
        <v/>
      </c>
      <c r="BG155" t="str">
        <f t="shared" si="30"/>
        <v/>
      </c>
      <c r="BH155" t="str">
        <f t="shared" si="31"/>
        <v/>
      </c>
      <c r="BL155" t="str">
        <f>IFERROR(INDEX(_names_lookup!$C:$C,MATCH(BK155,_names_lookup!$A:$A,0)),"")</f>
        <v/>
      </c>
      <c r="BM155" t="str">
        <f>IFERROR(INDEX(_names_lookup!$B:$B,MATCH(BK155,_names_lookup!$A:$A,0)),"")</f>
        <v/>
      </c>
      <c r="BS155" t="str">
        <f t="shared" si="32"/>
        <v/>
      </c>
    </row>
    <row r="156" spans="15:71" x14ac:dyDescent="0.2">
      <c r="O156" t="str">
        <f>IFERROR(INDEX(_courses_lookup!$C:$C,MATCH(K156&amp;L156,_courses_lookup!$E:$E,0)),"")</f>
        <v/>
      </c>
      <c r="P156" t="str">
        <f>IFERROR(INDEX(_courses_lookup!$D:$D,MATCH(K156&amp;L156,_courses_lookup!$E:$E,0)),"")</f>
        <v/>
      </c>
      <c r="AG156" t="str">
        <f t="shared" si="22"/>
        <v/>
      </c>
      <c r="AI156" t="str">
        <f t="shared" si="23"/>
        <v/>
      </c>
      <c r="AL156" t="str">
        <f t="shared" si="24"/>
        <v/>
      </c>
      <c r="AN156" t="str">
        <f t="shared" si="25"/>
        <v/>
      </c>
      <c r="AQ156" t="str">
        <f t="shared" si="26"/>
        <v/>
      </c>
      <c r="AR156" t="str">
        <f t="shared" si="27"/>
        <v/>
      </c>
      <c r="AS156" t="str">
        <f t="shared" si="28"/>
        <v/>
      </c>
      <c r="AT156" t="str">
        <f t="shared" si="29"/>
        <v/>
      </c>
      <c r="BG156" t="str">
        <f t="shared" si="30"/>
        <v/>
      </c>
      <c r="BH156" t="str">
        <f t="shared" si="31"/>
        <v/>
      </c>
      <c r="BL156" t="str">
        <f>IFERROR(INDEX(_names_lookup!$C:$C,MATCH(BK156,_names_lookup!$A:$A,0)),"")</f>
        <v/>
      </c>
      <c r="BM156" t="str">
        <f>IFERROR(INDEX(_names_lookup!$B:$B,MATCH(BK156,_names_lookup!$A:$A,0)),"")</f>
        <v/>
      </c>
      <c r="BS156" t="str">
        <f t="shared" si="32"/>
        <v/>
      </c>
    </row>
    <row r="157" spans="15:71" x14ac:dyDescent="0.2">
      <c r="O157" t="str">
        <f>IFERROR(INDEX(_courses_lookup!$C:$C,MATCH(K157&amp;L157,_courses_lookup!$E:$E,0)),"")</f>
        <v/>
      </c>
      <c r="P157" t="str">
        <f>IFERROR(INDEX(_courses_lookup!$D:$D,MATCH(K157&amp;L157,_courses_lookup!$E:$E,0)),"")</f>
        <v/>
      </c>
      <c r="AG157" t="str">
        <f t="shared" si="22"/>
        <v/>
      </c>
      <c r="AI157" t="str">
        <f t="shared" si="23"/>
        <v/>
      </c>
      <c r="AL157" t="str">
        <f t="shared" si="24"/>
        <v/>
      </c>
      <c r="AN157" t="str">
        <f t="shared" si="25"/>
        <v/>
      </c>
      <c r="AQ157" t="str">
        <f t="shared" si="26"/>
        <v/>
      </c>
      <c r="AR157" t="str">
        <f t="shared" si="27"/>
        <v/>
      </c>
      <c r="AS157" t="str">
        <f t="shared" si="28"/>
        <v/>
      </c>
      <c r="AT157" t="str">
        <f t="shared" si="29"/>
        <v/>
      </c>
      <c r="BG157" t="str">
        <f t="shared" si="30"/>
        <v/>
      </c>
      <c r="BH157" t="str">
        <f t="shared" si="31"/>
        <v/>
      </c>
      <c r="BL157" t="str">
        <f>IFERROR(INDEX(_names_lookup!$C:$C,MATCH(BK157,_names_lookup!$A:$A,0)),"")</f>
        <v/>
      </c>
      <c r="BM157" t="str">
        <f>IFERROR(INDEX(_names_lookup!$B:$B,MATCH(BK157,_names_lookup!$A:$A,0)),"")</f>
        <v/>
      </c>
      <c r="BS157" t="str">
        <f t="shared" si="32"/>
        <v/>
      </c>
    </row>
    <row r="158" spans="15:71" x14ac:dyDescent="0.2">
      <c r="O158" t="str">
        <f>IFERROR(INDEX(_courses_lookup!$C:$C,MATCH(K158&amp;L158,_courses_lookup!$E:$E,0)),"")</f>
        <v/>
      </c>
      <c r="P158" t="str">
        <f>IFERROR(INDEX(_courses_lookup!$D:$D,MATCH(K158&amp;L158,_courses_lookup!$E:$E,0)),"")</f>
        <v/>
      </c>
      <c r="AG158" t="str">
        <f t="shared" si="22"/>
        <v/>
      </c>
      <c r="AI158" t="str">
        <f t="shared" si="23"/>
        <v/>
      </c>
      <c r="AL158" t="str">
        <f t="shared" si="24"/>
        <v/>
      </c>
      <c r="AN158" t="str">
        <f t="shared" si="25"/>
        <v/>
      </c>
      <c r="AQ158" t="str">
        <f t="shared" si="26"/>
        <v/>
      </c>
      <c r="AR158" t="str">
        <f t="shared" si="27"/>
        <v/>
      </c>
      <c r="AS158" t="str">
        <f t="shared" si="28"/>
        <v/>
      </c>
      <c r="AT158" t="str">
        <f t="shared" si="29"/>
        <v/>
      </c>
      <c r="BG158" t="str">
        <f t="shared" si="30"/>
        <v/>
      </c>
      <c r="BH158" t="str">
        <f t="shared" si="31"/>
        <v/>
      </c>
      <c r="BL158" t="str">
        <f>IFERROR(INDEX(_names_lookup!$C:$C,MATCH(BK158,_names_lookup!$A:$A,0)),"")</f>
        <v/>
      </c>
      <c r="BM158" t="str">
        <f>IFERROR(INDEX(_names_lookup!$B:$B,MATCH(BK158,_names_lookup!$A:$A,0)),"")</f>
        <v/>
      </c>
      <c r="BS158" t="str">
        <f t="shared" si="32"/>
        <v/>
      </c>
    </row>
    <row r="159" spans="15:71" x14ac:dyDescent="0.2">
      <c r="O159" t="str">
        <f>IFERROR(INDEX(_courses_lookup!$C:$C,MATCH(K159&amp;L159,_courses_lookup!$E:$E,0)),"")</f>
        <v/>
      </c>
      <c r="P159" t="str">
        <f>IFERROR(INDEX(_courses_lookup!$D:$D,MATCH(K159&amp;L159,_courses_lookup!$E:$E,0)),"")</f>
        <v/>
      </c>
      <c r="AG159" t="str">
        <f t="shared" si="22"/>
        <v/>
      </c>
      <c r="AI159" t="str">
        <f t="shared" si="23"/>
        <v/>
      </c>
      <c r="AL159" t="str">
        <f t="shared" si="24"/>
        <v/>
      </c>
      <c r="AN159" t="str">
        <f t="shared" si="25"/>
        <v/>
      </c>
      <c r="AQ159" t="str">
        <f t="shared" si="26"/>
        <v/>
      </c>
      <c r="AR159" t="str">
        <f t="shared" si="27"/>
        <v/>
      </c>
      <c r="AS159" t="str">
        <f t="shared" si="28"/>
        <v/>
      </c>
      <c r="AT159" t="str">
        <f t="shared" si="29"/>
        <v/>
      </c>
      <c r="BG159" t="str">
        <f t="shared" si="30"/>
        <v/>
      </c>
      <c r="BH159" t="str">
        <f t="shared" si="31"/>
        <v/>
      </c>
      <c r="BL159" t="str">
        <f>IFERROR(INDEX(_names_lookup!$C:$C,MATCH(BK159,_names_lookup!$A:$A,0)),"")</f>
        <v/>
      </c>
      <c r="BM159" t="str">
        <f>IFERROR(INDEX(_names_lookup!$B:$B,MATCH(BK159,_names_lookup!$A:$A,0)),"")</f>
        <v/>
      </c>
      <c r="BS159" t="str">
        <f t="shared" si="32"/>
        <v/>
      </c>
    </row>
    <row r="160" spans="15:71" x14ac:dyDescent="0.2">
      <c r="O160" t="str">
        <f>IFERROR(INDEX(_courses_lookup!$C:$C,MATCH(K160&amp;L160,_courses_lookup!$E:$E,0)),"")</f>
        <v/>
      </c>
      <c r="P160" t="str">
        <f>IFERROR(INDEX(_courses_lookup!$D:$D,MATCH(K160&amp;L160,_courses_lookup!$E:$E,0)),"")</f>
        <v/>
      </c>
      <c r="AG160" t="str">
        <f t="shared" si="22"/>
        <v/>
      </c>
      <c r="AI160" t="str">
        <f t="shared" si="23"/>
        <v/>
      </c>
      <c r="AL160" t="str">
        <f t="shared" si="24"/>
        <v/>
      </c>
      <c r="AN160" t="str">
        <f t="shared" si="25"/>
        <v/>
      </c>
      <c r="AQ160" t="str">
        <f t="shared" si="26"/>
        <v/>
      </c>
      <c r="AR160" t="str">
        <f t="shared" si="27"/>
        <v/>
      </c>
      <c r="AS160" t="str">
        <f t="shared" si="28"/>
        <v/>
      </c>
      <c r="AT160" t="str">
        <f t="shared" si="29"/>
        <v/>
      </c>
      <c r="BG160" t="str">
        <f t="shared" si="30"/>
        <v/>
      </c>
      <c r="BH160" t="str">
        <f t="shared" si="31"/>
        <v/>
      </c>
      <c r="BL160" t="str">
        <f>IFERROR(INDEX(_names_lookup!$C:$C,MATCH(BK160,_names_lookup!$A:$A,0)),"")</f>
        <v/>
      </c>
      <c r="BM160" t="str">
        <f>IFERROR(INDEX(_names_lookup!$B:$B,MATCH(BK160,_names_lookup!$A:$A,0)),"")</f>
        <v/>
      </c>
      <c r="BS160" t="str">
        <f t="shared" si="32"/>
        <v/>
      </c>
    </row>
    <row r="161" spans="15:71" x14ac:dyDescent="0.2">
      <c r="O161" t="str">
        <f>IFERROR(INDEX(_courses_lookup!$C:$C,MATCH(K161&amp;L161,_courses_lookup!$E:$E,0)),"")</f>
        <v/>
      </c>
      <c r="P161" t="str">
        <f>IFERROR(INDEX(_courses_lookup!$D:$D,MATCH(K161&amp;L161,_courses_lookup!$E:$E,0)),"")</f>
        <v/>
      </c>
      <c r="AG161" t="str">
        <f t="shared" si="22"/>
        <v/>
      </c>
      <c r="AI161" t="str">
        <f t="shared" si="23"/>
        <v/>
      </c>
      <c r="AL161" t="str">
        <f t="shared" si="24"/>
        <v/>
      </c>
      <c r="AN161" t="str">
        <f t="shared" si="25"/>
        <v/>
      </c>
      <c r="AQ161" t="str">
        <f t="shared" si="26"/>
        <v/>
      </c>
      <c r="AR161" t="str">
        <f t="shared" si="27"/>
        <v/>
      </c>
      <c r="AS161" t="str">
        <f t="shared" si="28"/>
        <v/>
      </c>
      <c r="AT161" t="str">
        <f t="shared" si="29"/>
        <v/>
      </c>
      <c r="BG161" t="str">
        <f t="shared" si="30"/>
        <v/>
      </c>
      <c r="BH161" t="str">
        <f t="shared" si="31"/>
        <v/>
      </c>
      <c r="BL161" t="str">
        <f>IFERROR(INDEX(_names_lookup!$C:$C,MATCH(BK161,_names_lookup!$A:$A,0)),"")</f>
        <v/>
      </c>
      <c r="BM161" t="str">
        <f>IFERROR(INDEX(_names_lookup!$B:$B,MATCH(BK161,_names_lookup!$A:$A,0)),"")</f>
        <v/>
      </c>
      <c r="BS161" t="str">
        <f t="shared" si="32"/>
        <v/>
      </c>
    </row>
    <row r="162" spans="15:71" x14ac:dyDescent="0.2">
      <c r="O162" t="str">
        <f>IFERROR(INDEX(_courses_lookup!$C:$C,MATCH(K162&amp;L162,_courses_lookup!$E:$E,0)),"")</f>
        <v/>
      </c>
      <c r="P162" t="str">
        <f>IFERROR(INDEX(_courses_lookup!$D:$D,MATCH(K162&amp;L162,_courses_lookup!$E:$E,0)),"")</f>
        <v/>
      </c>
      <c r="AG162" t="str">
        <f t="shared" si="22"/>
        <v/>
      </c>
      <c r="AI162" t="str">
        <f t="shared" si="23"/>
        <v/>
      </c>
      <c r="AL162" t="str">
        <f t="shared" si="24"/>
        <v/>
      </c>
      <c r="AN162" t="str">
        <f t="shared" si="25"/>
        <v/>
      </c>
      <c r="AQ162" t="str">
        <f t="shared" si="26"/>
        <v/>
      </c>
      <c r="AR162" t="str">
        <f t="shared" si="27"/>
        <v/>
      </c>
      <c r="AS162" t="str">
        <f t="shared" si="28"/>
        <v/>
      </c>
      <c r="AT162" t="str">
        <f t="shared" si="29"/>
        <v/>
      </c>
      <c r="BG162" t="str">
        <f t="shared" si="30"/>
        <v/>
      </c>
      <c r="BH162" t="str">
        <f t="shared" si="31"/>
        <v/>
      </c>
      <c r="BL162" t="str">
        <f>IFERROR(INDEX(_names_lookup!$C:$C,MATCH(BK162,_names_lookup!$A:$A,0)),"")</f>
        <v/>
      </c>
      <c r="BM162" t="str">
        <f>IFERROR(INDEX(_names_lookup!$B:$B,MATCH(BK162,_names_lookup!$A:$A,0)),"")</f>
        <v/>
      </c>
      <c r="BS162" t="str">
        <f t="shared" si="32"/>
        <v/>
      </c>
    </row>
    <row r="163" spans="15:71" x14ac:dyDescent="0.2">
      <c r="O163" t="str">
        <f>IFERROR(INDEX(_courses_lookup!$C:$C,MATCH(K163&amp;L163,_courses_lookup!$E:$E,0)),"")</f>
        <v/>
      </c>
      <c r="P163" t="str">
        <f>IFERROR(INDEX(_courses_lookup!$D:$D,MATCH(K163&amp;L163,_courses_lookup!$E:$E,0)),"")</f>
        <v/>
      </c>
      <c r="AG163" t="str">
        <f t="shared" si="22"/>
        <v/>
      </c>
      <c r="AI163" t="str">
        <f t="shared" si="23"/>
        <v/>
      </c>
      <c r="AL163" t="str">
        <f t="shared" si="24"/>
        <v/>
      </c>
      <c r="AN163" t="str">
        <f t="shared" si="25"/>
        <v/>
      </c>
      <c r="AQ163" t="str">
        <f t="shared" si="26"/>
        <v/>
      </c>
      <c r="AR163" t="str">
        <f t="shared" si="27"/>
        <v/>
      </c>
      <c r="AS163" t="str">
        <f t="shared" si="28"/>
        <v/>
      </c>
      <c r="AT163" t="str">
        <f t="shared" si="29"/>
        <v/>
      </c>
      <c r="BG163" t="str">
        <f t="shared" si="30"/>
        <v/>
      </c>
      <c r="BH163" t="str">
        <f t="shared" si="31"/>
        <v/>
      </c>
      <c r="BL163" t="str">
        <f>IFERROR(INDEX(_names_lookup!$C:$C,MATCH(BK163,_names_lookup!$A:$A,0)),"")</f>
        <v/>
      </c>
      <c r="BM163" t="str">
        <f>IFERROR(INDEX(_names_lookup!$B:$B,MATCH(BK163,_names_lookup!$A:$A,0)),"")</f>
        <v/>
      </c>
      <c r="BS163" t="str">
        <f t="shared" si="32"/>
        <v/>
      </c>
    </row>
    <row r="164" spans="15:71" x14ac:dyDescent="0.2">
      <c r="O164" t="str">
        <f>IFERROR(INDEX(_courses_lookup!$C:$C,MATCH(K164&amp;L164,_courses_lookup!$E:$E,0)),"")</f>
        <v/>
      </c>
      <c r="P164" t="str">
        <f>IFERROR(INDEX(_courses_lookup!$D:$D,MATCH(K164&amp;L164,_courses_lookup!$E:$E,0)),"")</f>
        <v/>
      </c>
      <c r="AG164" t="str">
        <f t="shared" si="22"/>
        <v/>
      </c>
      <c r="AI164" t="str">
        <f t="shared" si="23"/>
        <v/>
      </c>
      <c r="AL164" t="str">
        <f t="shared" si="24"/>
        <v/>
      </c>
      <c r="AN164" t="str">
        <f t="shared" si="25"/>
        <v/>
      </c>
      <c r="AQ164" t="str">
        <f t="shared" si="26"/>
        <v/>
      </c>
      <c r="AR164" t="str">
        <f t="shared" si="27"/>
        <v/>
      </c>
      <c r="AS164" t="str">
        <f t="shared" si="28"/>
        <v/>
      </c>
      <c r="AT164" t="str">
        <f t="shared" si="29"/>
        <v/>
      </c>
      <c r="BG164" t="str">
        <f t="shared" si="30"/>
        <v/>
      </c>
      <c r="BH164" t="str">
        <f t="shared" si="31"/>
        <v/>
      </c>
      <c r="BL164" t="str">
        <f>IFERROR(INDEX(_names_lookup!$C:$C,MATCH(BK164,_names_lookup!$A:$A,0)),"")</f>
        <v/>
      </c>
      <c r="BM164" t="str">
        <f>IFERROR(INDEX(_names_lookup!$B:$B,MATCH(BK164,_names_lookup!$A:$A,0)),"")</f>
        <v/>
      </c>
      <c r="BS164" t="str">
        <f t="shared" si="32"/>
        <v/>
      </c>
    </row>
    <row r="165" spans="15:71" x14ac:dyDescent="0.2">
      <c r="O165" t="str">
        <f>IFERROR(INDEX(_courses_lookup!$C:$C,MATCH(K165&amp;L165,_courses_lookup!$E:$E,0)),"")</f>
        <v/>
      </c>
      <c r="P165" t="str">
        <f>IFERROR(INDEX(_courses_lookup!$D:$D,MATCH(K165&amp;L165,_courses_lookup!$E:$E,0)),"")</f>
        <v/>
      </c>
      <c r="AG165" t="str">
        <f t="shared" si="22"/>
        <v/>
      </c>
      <c r="AI165" t="str">
        <f t="shared" si="23"/>
        <v/>
      </c>
      <c r="AL165" t="str">
        <f t="shared" si="24"/>
        <v/>
      </c>
      <c r="AN165" t="str">
        <f t="shared" si="25"/>
        <v/>
      </c>
      <c r="AQ165" t="str">
        <f t="shared" si="26"/>
        <v/>
      </c>
      <c r="AR165" t="str">
        <f t="shared" si="27"/>
        <v/>
      </c>
      <c r="AS165" t="str">
        <f t="shared" si="28"/>
        <v/>
      </c>
      <c r="AT165" t="str">
        <f t="shared" si="29"/>
        <v/>
      </c>
      <c r="BG165" t="str">
        <f t="shared" si="30"/>
        <v/>
      </c>
      <c r="BH165" t="str">
        <f t="shared" si="31"/>
        <v/>
      </c>
      <c r="BL165" t="str">
        <f>IFERROR(INDEX(_names_lookup!$C:$C,MATCH(BK165,_names_lookup!$A:$A,0)),"")</f>
        <v/>
      </c>
      <c r="BM165" t="str">
        <f>IFERROR(INDEX(_names_lookup!$B:$B,MATCH(BK165,_names_lookup!$A:$A,0)),"")</f>
        <v/>
      </c>
      <c r="BS165" t="str">
        <f t="shared" si="32"/>
        <v/>
      </c>
    </row>
    <row r="166" spans="15:71" x14ac:dyDescent="0.2">
      <c r="O166" t="str">
        <f>IFERROR(INDEX(_courses_lookup!$C:$C,MATCH(K166&amp;L166,_courses_lookup!$E:$E,0)),"")</f>
        <v/>
      </c>
      <c r="P166" t="str">
        <f>IFERROR(INDEX(_courses_lookup!$D:$D,MATCH(K166&amp;L166,_courses_lookup!$E:$E,0)),"")</f>
        <v/>
      </c>
      <c r="AG166" t="str">
        <f t="shared" si="22"/>
        <v/>
      </c>
      <c r="AI166" t="str">
        <f t="shared" si="23"/>
        <v/>
      </c>
      <c r="AL166" t="str">
        <f t="shared" si="24"/>
        <v/>
      </c>
      <c r="AN166" t="str">
        <f t="shared" si="25"/>
        <v/>
      </c>
      <c r="AQ166" t="str">
        <f t="shared" si="26"/>
        <v/>
      </c>
      <c r="AR166" t="str">
        <f t="shared" si="27"/>
        <v/>
      </c>
      <c r="AS166" t="str">
        <f t="shared" si="28"/>
        <v/>
      </c>
      <c r="AT166" t="str">
        <f t="shared" si="29"/>
        <v/>
      </c>
      <c r="BG166" t="str">
        <f t="shared" si="30"/>
        <v/>
      </c>
      <c r="BH166" t="str">
        <f t="shared" si="31"/>
        <v/>
      </c>
      <c r="BL166" t="str">
        <f>IFERROR(INDEX(_names_lookup!$C:$C,MATCH(BK166,_names_lookup!$A:$A,0)),"")</f>
        <v/>
      </c>
      <c r="BM166" t="str">
        <f>IFERROR(INDEX(_names_lookup!$B:$B,MATCH(BK166,_names_lookup!$A:$A,0)),"")</f>
        <v/>
      </c>
      <c r="BS166" t="str">
        <f t="shared" si="32"/>
        <v/>
      </c>
    </row>
    <row r="167" spans="15:71" x14ac:dyDescent="0.2">
      <c r="O167" t="str">
        <f>IFERROR(INDEX(_courses_lookup!$C:$C,MATCH(K167&amp;L167,_courses_lookup!$E:$E,0)),"")</f>
        <v/>
      </c>
      <c r="P167" t="str">
        <f>IFERROR(INDEX(_courses_lookup!$D:$D,MATCH(K167&amp;L167,_courses_lookup!$E:$E,0)),"")</f>
        <v/>
      </c>
      <c r="AG167" t="str">
        <f t="shared" si="22"/>
        <v/>
      </c>
      <c r="AI167" t="str">
        <f t="shared" si="23"/>
        <v/>
      </c>
      <c r="AL167" t="str">
        <f t="shared" si="24"/>
        <v/>
      </c>
      <c r="AN167" t="str">
        <f t="shared" si="25"/>
        <v/>
      </c>
      <c r="AQ167" t="str">
        <f t="shared" si="26"/>
        <v/>
      </c>
      <c r="AR167" t="str">
        <f t="shared" si="27"/>
        <v/>
      </c>
      <c r="AS167" t="str">
        <f t="shared" si="28"/>
        <v/>
      </c>
      <c r="AT167" t="str">
        <f t="shared" si="29"/>
        <v/>
      </c>
      <c r="BG167" t="str">
        <f t="shared" si="30"/>
        <v/>
      </c>
      <c r="BH167" t="str">
        <f t="shared" si="31"/>
        <v/>
      </c>
      <c r="BL167" t="str">
        <f>IFERROR(INDEX(_names_lookup!$C:$C,MATCH(BK167,_names_lookup!$A:$A,0)),"")</f>
        <v/>
      </c>
      <c r="BM167" t="str">
        <f>IFERROR(INDEX(_names_lookup!$B:$B,MATCH(BK167,_names_lookup!$A:$A,0)),"")</f>
        <v/>
      </c>
      <c r="BS167" t="str">
        <f t="shared" si="32"/>
        <v/>
      </c>
    </row>
    <row r="168" spans="15:71" x14ac:dyDescent="0.2">
      <c r="O168" t="str">
        <f>IFERROR(INDEX(_courses_lookup!$C:$C,MATCH(K168&amp;L168,_courses_lookup!$E:$E,0)),"")</f>
        <v/>
      </c>
      <c r="P168" t="str">
        <f>IFERROR(INDEX(_courses_lookup!$D:$D,MATCH(K168&amp;L168,_courses_lookup!$E:$E,0)),"")</f>
        <v/>
      </c>
      <c r="AG168" t="str">
        <f t="shared" si="22"/>
        <v/>
      </c>
      <c r="AI168" t="str">
        <f t="shared" si="23"/>
        <v/>
      </c>
      <c r="AL168" t="str">
        <f t="shared" si="24"/>
        <v/>
      </c>
      <c r="AN168" t="str">
        <f t="shared" si="25"/>
        <v/>
      </c>
      <c r="AQ168" t="str">
        <f t="shared" si="26"/>
        <v/>
      </c>
      <c r="AR168" t="str">
        <f t="shared" si="27"/>
        <v/>
      </c>
      <c r="AS168" t="str">
        <f t="shared" si="28"/>
        <v/>
      </c>
      <c r="AT168" t="str">
        <f t="shared" si="29"/>
        <v/>
      </c>
      <c r="BG168" t="str">
        <f t="shared" si="30"/>
        <v/>
      </c>
      <c r="BH168" t="str">
        <f t="shared" si="31"/>
        <v/>
      </c>
      <c r="BL168" t="str">
        <f>IFERROR(INDEX(_names_lookup!$C:$C,MATCH(BK168,_names_lookup!$A:$A,0)),"")</f>
        <v/>
      </c>
      <c r="BM168" t="str">
        <f>IFERROR(INDEX(_names_lookup!$B:$B,MATCH(BK168,_names_lookup!$A:$A,0)),"")</f>
        <v/>
      </c>
      <c r="BS168" t="str">
        <f t="shared" si="32"/>
        <v/>
      </c>
    </row>
    <row r="169" spans="15:71" x14ac:dyDescent="0.2">
      <c r="O169" t="str">
        <f>IFERROR(INDEX(_courses_lookup!$C:$C,MATCH(K169&amp;L169,_courses_lookup!$E:$E,0)),"")</f>
        <v/>
      </c>
      <c r="P169" t="str">
        <f>IFERROR(INDEX(_courses_lookup!$D:$D,MATCH(K169&amp;L169,_courses_lookup!$E:$E,0)),"")</f>
        <v/>
      </c>
      <c r="AG169" t="str">
        <f t="shared" si="22"/>
        <v/>
      </c>
      <c r="AI169" t="str">
        <f t="shared" si="23"/>
        <v/>
      </c>
      <c r="AL169" t="str">
        <f t="shared" si="24"/>
        <v/>
      </c>
      <c r="AN169" t="str">
        <f t="shared" si="25"/>
        <v/>
      </c>
      <c r="AQ169" t="str">
        <f t="shared" si="26"/>
        <v/>
      </c>
      <c r="AR169" t="str">
        <f t="shared" si="27"/>
        <v/>
      </c>
      <c r="AS169" t="str">
        <f t="shared" si="28"/>
        <v/>
      </c>
      <c r="AT169" t="str">
        <f t="shared" si="29"/>
        <v/>
      </c>
      <c r="BG169" t="str">
        <f t="shared" si="30"/>
        <v/>
      </c>
      <c r="BH169" t="str">
        <f t="shared" si="31"/>
        <v/>
      </c>
      <c r="BL169" t="str">
        <f>IFERROR(INDEX(_names_lookup!$C:$C,MATCH(BK169,_names_lookup!$A:$A,0)),"")</f>
        <v/>
      </c>
      <c r="BM169" t="str">
        <f>IFERROR(INDEX(_names_lookup!$B:$B,MATCH(BK169,_names_lookup!$A:$A,0)),"")</f>
        <v/>
      </c>
      <c r="BS169" t="str">
        <f t="shared" si="32"/>
        <v/>
      </c>
    </row>
    <row r="170" spans="15:71" x14ac:dyDescent="0.2">
      <c r="O170" t="str">
        <f>IFERROR(INDEX(_courses_lookup!$C:$C,MATCH(K170&amp;L170,_courses_lookup!$E:$E,0)),"")</f>
        <v/>
      </c>
      <c r="P170" t="str">
        <f>IFERROR(INDEX(_courses_lookup!$D:$D,MATCH(K170&amp;L170,_courses_lookup!$E:$E,0)),"")</f>
        <v/>
      </c>
      <c r="AG170" t="str">
        <f t="shared" si="22"/>
        <v/>
      </c>
      <c r="AI170" t="str">
        <f t="shared" si="23"/>
        <v/>
      </c>
      <c r="AL170" t="str">
        <f t="shared" si="24"/>
        <v/>
      </c>
      <c r="AN170" t="str">
        <f t="shared" si="25"/>
        <v/>
      </c>
      <c r="AQ170" t="str">
        <f t="shared" si="26"/>
        <v/>
      </c>
      <c r="AR170" t="str">
        <f t="shared" si="27"/>
        <v/>
      </c>
      <c r="AS170" t="str">
        <f t="shared" si="28"/>
        <v/>
      </c>
      <c r="AT170" t="str">
        <f t="shared" si="29"/>
        <v/>
      </c>
      <c r="BG170" t="str">
        <f t="shared" si="30"/>
        <v/>
      </c>
      <c r="BH170" t="str">
        <f t="shared" si="31"/>
        <v/>
      </c>
      <c r="BL170" t="str">
        <f>IFERROR(INDEX(_names_lookup!$C:$C,MATCH(BK170,_names_lookup!$A:$A,0)),"")</f>
        <v/>
      </c>
      <c r="BM170" t="str">
        <f>IFERROR(INDEX(_names_lookup!$B:$B,MATCH(BK170,_names_lookup!$A:$A,0)),"")</f>
        <v/>
      </c>
      <c r="BS170" t="str">
        <f t="shared" si="32"/>
        <v/>
      </c>
    </row>
    <row r="171" spans="15:71" x14ac:dyDescent="0.2">
      <c r="O171" t="str">
        <f>IFERROR(INDEX(_courses_lookup!$C:$C,MATCH(K171&amp;L171,_courses_lookup!$E:$E,0)),"")</f>
        <v/>
      </c>
      <c r="P171" t="str">
        <f>IFERROR(INDEX(_courses_lookup!$D:$D,MATCH(K171&amp;L171,_courses_lookup!$E:$E,0)),"")</f>
        <v/>
      </c>
      <c r="AG171" t="str">
        <f t="shared" si="22"/>
        <v/>
      </c>
      <c r="AI171" t="str">
        <f t="shared" si="23"/>
        <v/>
      </c>
      <c r="AL171" t="str">
        <f t="shared" si="24"/>
        <v/>
      </c>
      <c r="AN171" t="str">
        <f t="shared" si="25"/>
        <v/>
      </c>
      <c r="AQ171" t="str">
        <f t="shared" si="26"/>
        <v/>
      </c>
      <c r="AR171" t="str">
        <f t="shared" si="27"/>
        <v/>
      </c>
      <c r="AS171" t="str">
        <f t="shared" si="28"/>
        <v/>
      </c>
      <c r="AT171" t="str">
        <f t="shared" si="29"/>
        <v/>
      </c>
      <c r="BG171" t="str">
        <f t="shared" si="30"/>
        <v/>
      </c>
      <c r="BH171" t="str">
        <f t="shared" si="31"/>
        <v/>
      </c>
      <c r="BL171" t="str">
        <f>IFERROR(INDEX(_names_lookup!$C:$C,MATCH(BK171,_names_lookup!$A:$A,0)),"")</f>
        <v/>
      </c>
      <c r="BM171" t="str">
        <f>IFERROR(INDEX(_names_lookup!$B:$B,MATCH(BK171,_names_lookup!$A:$A,0)),"")</f>
        <v/>
      </c>
      <c r="BS171" t="str">
        <f t="shared" si="32"/>
        <v/>
      </c>
    </row>
    <row r="172" spans="15:71" x14ac:dyDescent="0.2">
      <c r="O172" t="str">
        <f>IFERROR(INDEX(_courses_lookup!$C:$C,MATCH(K172&amp;L172,_courses_lookup!$E:$E,0)),"")</f>
        <v/>
      </c>
      <c r="P172" t="str">
        <f>IFERROR(INDEX(_courses_lookup!$D:$D,MATCH(K172&amp;L172,_courses_lookup!$E:$E,0)),"")</f>
        <v/>
      </c>
      <c r="AG172" t="str">
        <f t="shared" si="22"/>
        <v/>
      </c>
      <c r="AI172" t="str">
        <f t="shared" si="23"/>
        <v/>
      </c>
      <c r="AL172" t="str">
        <f t="shared" si="24"/>
        <v/>
      </c>
      <c r="AN172" t="str">
        <f t="shared" si="25"/>
        <v/>
      </c>
      <c r="AQ172" t="str">
        <f t="shared" si="26"/>
        <v/>
      </c>
      <c r="AR172" t="str">
        <f t="shared" si="27"/>
        <v/>
      </c>
      <c r="AS172" t="str">
        <f t="shared" si="28"/>
        <v/>
      </c>
      <c r="AT172" t="str">
        <f t="shared" si="29"/>
        <v/>
      </c>
      <c r="BG172" t="str">
        <f t="shared" si="30"/>
        <v/>
      </c>
      <c r="BH172" t="str">
        <f t="shared" si="31"/>
        <v/>
      </c>
      <c r="BL172" t="str">
        <f>IFERROR(INDEX(_names_lookup!$C:$C,MATCH(BK172,_names_lookup!$A:$A,0)),"")</f>
        <v/>
      </c>
      <c r="BM172" t="str">
        <f>IFERROR(INDEX(_names_lookup!$B:$B,MATCH(BK172,_names_lookup!$A:$A,0)),"")</f>
        <v/>
      </c>
      <c r="BS172" t="str">
        <f t="shared" si="32"/>
        <v/>
      </c>
    </row>
    <row r="173" spans="15:71" x14ac:dyDescent="0.2">
      <c r="O173" t="str">
        <f>IFERROR(INDEX(_courses_lookup!$C:$C,MATCH(K173&amp;L173,_courses_lookup!$E:$E,0)),"")</f>
        <v/>
      </c>
      <c r="P173" t="str">
        <f>IFERROR(INDEX(_courses_lookup!$D:$D,MATCH(K173&amp;L173,_courses_lookup!$E:$E,0)),"")</f>
        <v/>
      </c>
      <c r="AG173" t="str">
        <f t="shared" si="22"/>
        <v/>
      </c>
      <c r="AI173" t="str">
        <f t="shared" si="23"/>
        <v/>
      </c>
      <c r="AL173" t="str">
        <f t="shared" si="24"/>
        <v/>
      </c>
      <c r="AN173" t="str">
        <f t="shared" si="25"/>
        <v/>
      </c>
      <c r="AQ173" t="str">
        <f t="shared" si="26"/>
        <v/>
      </c>
      <c r="AR173" t="str">
        <f t="shared" si="27"/>
        <v/>
      </c>
      <c r="AS173" t="str">
        <f t="shared" si="28"/>
        <v/>
      </c>
      <c r="AT173" t="str">
        <f t="shared" si="29"/>
        <v/>
      </c>
      <c r="BG173" t="str">
        <f t="shared" si="30"/>
        <v/>
      </c>
      <c r="BH173" t="str">
        <f t="shared" si="31"/>
        <v/>
      </c>
      <c r="BL173" t="str">
        <f>IFERROR(INDEX(_names_lookup!$C:$C,MATCH(BK173,_names_lookup!$A:$A,0)),"")</f>
        <v/>
      </c>
      <c r="BM173" t="str">
        <f>IFERROR(INDEX(_names_lookup!$B:$B,MATCH(BK173,_names_lookup!$A:$A,0)),"")</f>
        <v/>
      </c>
      <c r="BS173" t="str">
        <f t="shared" si="32"/>
        <v/>
      </c>
    </row>
    <row r="174" spans="15:71" x14ac:dyDescent="0.2">
      <c r="O174" t="str">
        <f>IFERROR(INDEX(_courses_lookup!$C:$C,MATCH(K174&amp;L174,_courses_lookup!$E:$E,0)),"")</f>
        <v/>
      </c>
      <c r="P174" t="str">
        <f>IFERROR(INDEX(_courses_lookup!$D:$D,MATCH(K174&amp;L174,_courses_lookup!$E:$E,0)),"")</f>
        <v/>
      </c>
      <c r="AG174" t="str">
        <f t="shared" si="22"/>
        <v/>
      </c>
      <c r="AI174" t="str">
        <f t="shared" si="23"/>
        <v/>
      </c>
      <c r="AL174" t="str">
        <f t="shared" si="24"/>
        <v/>
      </c>
      <c r="AN174" t="str">
        <f t="shared" si="25"/>
        <v/>
      </c>
      <c r="AQ174" t="str">
        <f t="shared" si="26"/>
        <v/>
      </c>
      <c r="AR174" t="str">
        <f t="shared" si="27"/>
        <v/>
      </c>
      <c r="AS174" t="str">
        <f t="shared" si="28"/>
        <v/>
      </c>
      <c r="AT174" t="str">
        <f t="shared" si="29"/>
        <v/>
      </c>
      <c r="BG174" t="str">
        <f t="shared" si="30"/>
        <v/>
      </c>
      <c r="BH174" t="str">
        <f t="shared" si="31"/>
        <v/>
      </c>
      <c r="BL174" t="str">
        <f>IFERROR(INDEX(_names_lookup!$C:$C,MATCH(BK174,_names_lookup!$A:$A,0)),"")</f>
        <v/>
      </c>
      <c r="BM174" t="str">
        <f>IFERROR(INDEX(_names_lookup!$B:$B,MATCH(BK174,_names_lookup!$A:$A,0)),"")</f>
        <v/>
      </c>
      <c r="BS174" t="str">
        <f t="shared" si="32"/>
        <v/>
      </c>
    </row>
    <row r="175" spans="15:71" x14ac:dyDescent="0.2">
      <c r="O175" t="str">
        <f>IFERROR(INDEX(_courses_lookup!$C:$C,MATCH(K175&amp;L175,_courses_lookup!$E:$E,0)),"")</f>
        <v/>
      </c>
      <c r="P175" t="str">
        <f>IFERROR(INDEX(_courses_lookup!$D:$D,MATCH(K175&amp;L175,_courses_lookup!$E:$E,0)),"")</f>
        <v/>
      </c>
      <c r="AG175" t="str">
        <f t="shared" si="22"/>
        <v/>
      </c>
      <c r="AI175" t="str">
        <f t="shared" si="23"/>
        <v/>
      </c>
      <c r="AL175" t="str">
        <f t="shared" si="24"/>
        <v/>
      </c>
      <c r="AN175" t="str">
        <f t="shared" si="25"/>
        <v/>
      </c>
      <c r="AQ175" t="str">
        <f t="shared" si="26"/>
        <v/>
      </c>
      <c r="AR175" t="str">
        <f t="shared" si="27"/>
        <v/>
      </c>
      <c r="AS175" t="str">
        <f t="shared" si="28"/>
        <v/>
      </c>
      <c r="AT175" t="str">
        <f t="shared" si="29"/>
        <v/>
      </c>
      <c r="BG175" t="str">
        <f t="shared" si="30"/>
        <v/>
      </c>
      <c r="BH175" t="str">
        <f t="shared" si="31"/>
        <v/>
      </c>
      <c r="BL175" t="str">
        <f>IFERROR(INDEX(_names_lookup!$C:$C,MATCH(BK175,_names_lookup!$A:$A,0)),"")</f>
        <v/>
      </c>
      <c r="BM175" t="str">
        <f>IFERROR(INDEX(_names_lookup!$B:$B,MATCH(BK175,_names_lookup!$A:$A,0)),"")</f>
        <v/>
      </c>
      <c r="BS175" t="str">
        <f t="shared" si="32"/>
        <v/>
      </c>
    </row>
    <row r="176" spans="15:71" x14ac:dyDescent="0.2">
      <c r="O176" t="str">
        <f>IFERROR(INDEX(_courses_lookup!$C:$C,MATCH(K176&amp;L176,_courses_lookup!$E:$E,0)),"")</f>
        <v/>
      </c>
      <c r="P176" t="str">
        <f>IFERROR(INDEX(_courses_lookup!$D:$D,MATCH(K176&amp;L176,_courses_lookup!$E:$E,0)),"")</f>
        <v/>
      </c>
      <c r="AG176" t="str">
        <f t="shared" si="22"/>
        <v/>
      </c>
      <c r="AI176" t="str">
        <f t="shared" si="23"/>
        <v/>
      </c>
      <c r="AL176" t="str">
        <f t="shared" si="24"/>
        <v/>
      </c>
      <c r="AN176" t="str">
        <f t="shared" si="25"/>
        <v/>
      </c>
      <c r="AQ176" t="str">
        <f t="shared" si="26"/>
        <v/>
      </c>
      <c r="AR176" t="str">
        <f t="shared" si="27"/>
        <v/>
      </c>
      <c r="AS176" t="str">
        <f t="shared" si="28"/>
        <v/>
      </c>
      <c r="AT176" t="str">
        <f t="shared" si="29"/>
        <v/>
      </c>
      <c r="BG176" t="str">
        <f t="shared" si="30"/>
        <v/>
      </c>
      <c r="BH176" t="str">
        <f t="shared" si="31"/>
        <v/>
      </c>
      <c r="BL176" t="str">
        <f>IFERROR(INDEX(_names_lookup!$C:$C,MATCH(BK176,_names_lookup!$A:$A,0)),"")</f>
        <v/>
      </c>
      <c r="BM176" t="str">
        <f>IFERROR(INDEX(_names_lookup!$B:$B,MATCH(BK176,_names_lookup!$A:$A,0)),"")</f>
        <v/>
      </c>
      <c r="BS176" t="str">
        <f t="shared" si="32"/>
        <v/>
      </c>
    </row>
    <row r="177" spans="15:71" x14ac:dyDescent="0.2">
      <c r="O177" t="str">
        <f>IFERROR(INDEX(_courses_lookup!$C:$C,MATCH(K177&amp;L177,_courses_lookup!$E:$E,0)),"")</f>
        <v/>
      </c>
      <c r="P177" t="str">
        <f>IFERROR(INDEX(_courses_lookup!$D:$D,MATCH(K177&amp;L177,_courses_lookup!$E:$E,0)),"")</f>
        <v/>
      </c>
      <c r="AG177" t="str">
        <f t="shared" si="22"/>
        <v/>
      </c>
      <c r="AI177" t="str">
        <f t="shared" si="23"/>
        <v/>
      </c>
      <c r="AL177" t="str">
        <f t="shared" si="24"/>
        <v/>
      </c>
      <c r="AN177" t="str">
        <f t="shared" si="25"/>
        <v/>
      </c>
      <c r="AQ177" t="str">
        <f t="shared" si="26"/>
        <v/>
      </c>
      <c r="AR177" t="str">
        <f t="shared" si="27"/>
        <v/>
      </c>
      <c r="AS177" t="str">
        <f t="shared" si="28"/>
        <v/>
      </c>
      <c r="AT177" t="str">
        <f t="shared" si="29"/>
        <v/>
      </c>
      <c r="BG177" t="str">
        <f t="shared" si="30"/>
        <v/>
      </c>
      <c r="BH177" t="str">
        <f t="shared" si="31"/>
        <v/>
      </c>
      <c r="BL177" t="str">
        <f>IFERROR(INDEX(_names_lookup!$C:$C,MATCH(BK177,_names_lookup!$A:$A,0)),"")</f>
        <v/>
      </c>
      <c r="BM177" t="str">
        <f>IFERROR(INDEX(_names_lookup!$B:$B,MATCH(BK177,_names_lookup!$A:$A,0)),"")</f>
        <v/>
      </c>
      <c r="BS177" t="str">
        <f t="shared" si="32"/>
        <v/>
      </c>
    </row>
    <row r="178" spans="15:71" x14ac:dyDescent="0.2">
      <c r="O178" t="str">
        <f>IFERROR(INDEX(_courses_lookup!$C:$C,MATCH(K178&amp;L178,_courses_lookup!$E:$E,0)),"")</f>
        <v/>
      </c>
      <c r="P178" t="str">
        <f>IFERROR(INDEX(_courses_lookup!$D:$D,MATCH(K178&amp;L178,_courses_lookup!$E:$E,0)),"")</f>
        <v/>
      </c>
      <c r="AG178" t="str">
        <f t="shared" si="22"/>
        <v/>
      </c>
      <c r="AI178" t="str">
        <f t="shared" si="23"/>
        <v/>
      </c>
      <c r="AL178" t="str">
        <f t="shared" si="24"/>
        <v/>
      </c>
      <c r="AN178" t="str">
        <f t="shared" si="25"/>
        <v/>
      </c>
      <c r="AQ178" t="str">
        <f t="shared" si="26"/>
        <v/>
      </c>
      <c r="AR178" t="str">
        <f t="shared" si="27"/>
        <v/>
      </c>
      <c r="AS178" t="str">
        <f t="shared" si="28"/>
        <v/>
      </c>
      <c r="AT178" t="str">
        <f t="shared" si="29"/>
        <v/>
      </c>
      <c r="BG178" t="str">
        <f t="shared" si="30"/>
        <v/>
      </c>
      <c r="BH178" t="str">
        <f t="shared" si="31"/>
        <v/>
      </c>
      <c r="BL178" t="str">
        <f>IFERROR(INDEX(_names_lookup!$C:$C,MATCH(BK178,_names_lookup!$A:$A,0)),"")</f>
        <v/>
      </c>
      <c r="BM178" t="str">
        <f>IFERROR(INDEX(_names_lookup!$B:$B,MATCH(BK178,_names_lookup!$A:$A,0)),"")</f>
        <v/>
      </c>
      <c r="BS178" t="str">
        <f t="shared" si="32"/>
        <v/>
      </c>
    </row>
    <row r="179" spans="15:71" x14ac:dyDescent="0.2">
      <c r="O179" t="str">
        <f>IFERROR(INDEX(_courses_lookup!$C:$C,MATCH(K179&amp;L179,_courses_lookup!$E:$E,0)),"")</f>
        <v/>
      </c>
      <c r="P179" t="str">
        <f>IFERROR(INDEX(_courses_lookup!$D:$D,MATCH(K179&amp;L179,_courses_lookup!$E:$E,0)),"")</f>
        <v/>
      </c>
      <c r="AG179" t="str">
        <f t="shared" si="22"/>
        <v/>
      </c>
      <c r="AI179" t="str">
        <f t="shared" si="23"/>
        <v/>
      </c>
      <c r="AL179" t="str">
        <f t="shared" si="24"/>
        <v/>
      </c>
      <c r="AN179" t="str">
        <f t="shared" si="25"/>
        <v/>
      </c>
      <c r="AQ179" t="str">
        <f t="shared" si="26"/>
        <v/>
      </c>
      <c r="AR179" t="str">
        <f t="shared" si="27"/>
        <v/>
      </c>
      <c r="AS179" t="str">
        <f t="shared" si="28"/>
        <v/>
      </c>
      <c r="AT179" t="str">
        <f t="shared" si="29"/>
        <v/>
      </c>
      <c r="BG179" t="str">
        <f t="shared" si="30"/>
        <v/>
      </c>
      <c r="BH179" t="str">
        <f t="shared" si="31"/>
        <v/>
      </c>
      <c r="BL179" t="str">
        <f>IFERROR(INDEX(_names_lookup!$C:$C,MATCH(BK179,_names_lookup!$A:$A,0)),"")</f>
        <v/>
      </c>
      <c r="BM179" t="str">
        <f>IFERROR(INDEX(_names_lookup!$B:$B,MATCH(BK179,_names_lookup!$A:$A,0)),"")</f>
        <v/>
      </c>
      <c r="BS179" t="str">
        <f t="shared" si="32"/>
        <v/>
      </c>
    </row>
    <row r="180" spans="15:71" x14ac:dyDescent="0.2">
      <c r="O180" t="str">
        <f>IFERROR(INDEX(_courses_lookup!$C:$C,MATCH(K180&amp;L180,_courses_lookup!$E:$E,0)),"")</f>
        <v/>
      </c>
      <c r="P180" t="str">
        <f>IFERROR(INDEX(_courses_lookup!$D:$D,MATCH(K180&amp;L180,_courses_lookup!$E:$E,0)),"")</f>
        <v/>
      </c>
      <c r="AG180" t="str">
        <f t="shared" si="22"/>
        <v/>
      </c>
      <c r="AI180" t="str">
        <f t="shared" si="23"/>
        <v/>
      </c>
      <c r="AL180" t="str">
        <f t="shared" si="24"/>
        <v/>
      </c>
      <c r="AN180" t="str">
        <f t="shared" si="25"/>
        <v/>
      </c>
      <c r="AQ180" t="str">
        <f t="shared" si="26"/>
        <v/>
      </c>
      <c r="AR180" t="str">
        <f t="shared" si="27"/>
        <v/>
      </c>
      <c r="AS180" t="str">
        <f t="shared" si="28"/>
        <v/>
      </c>
      <c r="AT180" t="str">
        <f t="shared" si="29"/>
        <v/>
      </c>
      <c r="BG180" t="str">
        <f t="shared" si="30"/>
        <v/>
      </c>
      <c r="BH180" t="str">
        <f t="shared" si="31"/>
        <v/>
      </c>
      <c r="BL180" t="str">
        <f>IFERROR(INDEX(_names_lookup!$C:$C,MATCH(BK180,_names_lookup!$A:$A,0)),"")</f>
        <v/>
      </c>
      <c r="BM180" t="str">
        <f>IFERROR(INDEX(_names_lookup!$B:$B,MATCH(BK180,_names_lookup!$A:$A,0)),"")</f>
        <v/>
      </c>
      <c r="BS180" t="str">
        <f t="shared" si="32"/>
        <v/>
      </c>
    </row>
    <row r="181" spans="15:71" x14ac:dyDescent="0.2">
      <c r="O181" t="str">
        <f>IFERROR(INDEX(_courses_lookup!$C:$C,MATCH(K181&amp;L181,_courses_lookup!$E:$E,0)),"")</f>
        <v/>
      </c>
      <c r="P181" t="str">
        <f>IFERROR(INDEX(_courses_lookup!$D:$D,MATCH(K181&amp;L181,_courses_lookup!$E:$E,0)),"")</f>
        <v/>
      </c>
      <c r="AG181" t="str">
        <f t="shared" si="22"/>
        <v/>
      </c>
      <c r="AI181" t="str">
        <f t="shared" si="23"/>
        <v/>
      </c>
      <c r="AL181" t="str">
        <f t="shared" si="24"/>
        <v/>
      </c>
      <c r="AN181" t="str">
        <f t="shared" si="25"/>
        <v/>
      </c>
      <c r="AQ181" t="str">
        <f t="shared" si="26"/>
        <v/>
      </c>
      <c r="AR181" t="str">
        <f t="shared" si="27"/>
        <v/>
      </c>
      <c r="AS181" t="str">
        <f t="shared" si="28"/>
        <v/>
      </c>
      <c r="AT181" t="str">
        <f t="shared" si="29"/>
        <v/>
      </c>
      <c r="BG181" t="str">
        <f t="shared" si="30"/>
        <v/>
      </c>
      <c r="BH181" t="str">
        <f t="shared" si="31"/>
        <v/>
      </c>
      <c r="BL181" t="str">
        <f>IFERROR(INDEX(_names_lookup!$C:$C,MATCH(BK181,_names_lookup!$A:$A,0)),"")</f>
        <v/>
      </c>
      <c r="BM181" t="str">
        <f>IFERROR(INDEX(_names_lookup!$B:$B,MATCH(BK181,_names_lookup!$A:$A,0)),"")</f>
        <v/>
      </c>
      <c r="BS181" t="str">
        <f t="shared" si="32"/>
        <v/>
      </c>
    </row>
    <row r="182" spans="15:71" x14ac:dyDescent="0.2">
      <c r="O182" t="str">
        <f>IFERROR(INDEX(_courses_lookup!$C:$C,MATCH(K182&amp;L182,_courses_lookup!$E:$E,0)),"")</f>
        <v/>
      </c>
      <c r="P182" t="str">
        <f>IFERROR(INDEX(_courses_lookup!$D:$D,MATCH(K182&amp;L182,_courses_lookup!$E:$E,0)),"")</f>
        <v/>
      </c>
      <c r="AG182" t="str">
        <f t="shared" si="22"/>
        <v/>
      </c>
      <c r="AI182" t="str">
        <f t="shared" si="23"/>
        <v/>
      </c>
      <c r="AL182" t="str">
        <f t="shared" si="24"/>
        <v/>
      </c>
      <c r="AN182" t="str">
        <f t="shared" si="25"/>
        <v/>
      </c>
      <c r="AQ182" t="str">
        <f t="shared" si="26"/>
        <v/>
      </c>
      <c r="AR182" t="str">
        <f t="shared" si="27"/>
        <v/>
      </c>
      <c r="AS182" t="str">
        <f t="shared" si="28"/>
        <v/>
      </c>
      <c r="AT182" t="str">
        <f t="shared" si="29"/>
        <v/>
      </c>
      <c r="BG182" t="str">
        <f t="shared" si="30"/>
        <v/>
      </c>
      <c r="BH182" t="str">
        <f t="shared" si="31"/>
        <v/>
      </c>
      <c r="BL182" t="str">
        <f>IFERROR(INDEX(_names_lookup!$C:$C,MATCH(BK182,_names_lookup!$A:$A,0)),"")</f>
        <v/>
      </c>
      <c r="BM182" t="str">
        <f>IFERROR(INDEX(_names_lookup!$B:$B,MATCH(BK182,_names_lookup!$A:$A,0)),"")</f>
        <v/>
      </c>
      <c r="BS182" t="str">
        <f t="shared" si="32"/>
        <v/>
      </c>
    </row>
    <row r="183" spans="15:71" x14ac:dyDescent="0.2">
      <c r="O183" t="str">
        <f>IFERROR(INDEX(_courses_lookup!$C:$C,MATCH(K183&amp;L183,_courses_lookup!$E:$E,0)),"")</f>
        <v/>
      </c>
      <c r="P183" t="str">
        <f>IFERROR(INDEX(_courses_lookup!$D:$D,MATCH(K183&amp;L183,_courses_lookup!$E:$E,0)),"")</f>
        <v/>
      </c>
      <c r="AG183" t="str">
        <f t="shared" si="22"/>
        <v/>
      </c>
      <c r="AI183" t="str">
        <f t="shared" si="23"/>
        <v/>
      </c>
      <c r="AL183" t="str">
        <f t="shared" si="24"/>
        <v/>
      </c>
      <c r="AN183" t="str">
        <f t="shared" si="25"/>
        <v/>
      </c>
      <c r="AQ183" t="str">
        <f t="shared" si="26"/>
        <v/>
      </c>
      <c r="AR183" t="str">
        <f t="shared" si="27"/>
        <v/>
      </c>
      <c r="AS183" t="str">
        <f t="shared" si="28"/>
        <v/>
      </c>
      <c r="AT183" t="str">
        <f t="shared" si="29"/>
        <v/>
      </c>
      <c r="BG183" t="str">
        <f t="shared" si="30"/>
        <v/>
      </c>
      <c r="BH183" t="str">
        <f t="shared" si="31"/>
        <v/>
      </c>
      <c r="BL183" t="str">
        <f>IFERROR(INDEX(_names_lookup!$C:$C,MATCH(BK183,_names_lookup!$A:$A,0)),"")</f>
        <v/>
      </c>
      <c r="BM183" t="str">
        <f>IFERROR(INDEX(_names_lookup!$B:$B,MATCH(BK183,_names_lookup!$A:$A,0)),"")</f>
        <v/>
      </c>
      <c r="BS183" t="str">
        <f t="shared" si="32"/>
        <v/>
      </c>
    </row>
    <row r="184" spans="15:71" x14ac:dyDescent="0.2">
      <c r="O184" t="str">
        <f>IFERROR(INDEX(_courses_lookup!$C:$C,MATCH(K184&amp;L184,_courses_lookup!$E:$E,0)),"")</f>
        <v/>
      </c>
      <c r="P184" t="str">
        <f>IFERROR(INDEX(_courses_lookup!$D:$D,MATCH(K184&amp;L184,_courses_lookup!$E:$E,0)),"")</f>
        <v/>
      </c>
      <c r="AG184" t="str">
        <f t="shared" si="22"/>
        <v/>
      </c>
      <c r="AI184" t="str">
        <f t="shared" si="23"/>
        <v/>
      </c>
      <c r="AL184" t="str">
        <f t="shared" si="24"/>
        <v/>
      </c>
      <c r="AN184" t="str">
        <f t="shared" si="25"/>
        <v/>
      </c>
      <c r="AQ184" t="str">
        <f t="shared" si="26"/>
        <v/>
      </c>
      <c r="AR184" t="str">
        <f t="shared" si="27"/>
        <v/>
      </c>
      <c r="AS184" t="str">
        <f t="shared" si="28"/>
        <v/>
      </c>
      <c r="AT184" t="str">
        <f t="shared" si="29"/>
        <v/>
      </c>
      <c r="BG184" t="str">
        <f t="shared" si="30"/>
        <v/>
      </c>
      <c r="BH184" t="str">
        <f t="shared" si="31"/>
        <v/>
      </c>
      <c r="BL184" t="str">
        <f>IFERROR(INDEX(_names_lookup!$C:$C,MATCH(BK184,_names_lookup!$A:$A,0)),"")</f>
        <v/>
      </c>
      <c r="BM184" t="str">
        <f>IFERROR(INDEX(_names_lookup!$B:$B,MATCH(BK184,_names_lookup!$A:$A,0)),"")</f>
        <v/>
      </c>
      <c r="BS184" t="str">
        <f t="shared" si="32"/>
        <v/>
      </c>
    </row>
    <row r="185" spans="15:71" x14ac:dyDescent="0.2">
      <c r="O185" t="str">
        <f>IFERROR(INDEX(_courses_lookup!$C:$C,MATCH(K185&amp;L185,_courses_lookup!$E:$E,0)),"")</f>
        <v/>
      </c>
      <c r="P185" t="str">
        <f>IFERROR(INDEX(_courses_lookup!$D:$D,MATCH(K185&amp;L185,_courses_lookup!$E:$E,0)),"")</f>
        <v/>
      </c>
      <c r="AG185" t="str">
        <f t="shared" si="22"/>
        <v/>
      </c>
      <c r="AI185" t="str">
        <f t="shared" si="23"/>
        <v/>
      </c>
      <c r="AL185" t="str">
        <f t="shared" si="24"/>
        <v/>
      </c>
      <c r="AN185" t="str">
        <f t="shared" si="25"/>
        <v/>
      </c>
      <c r="AQ185" t="str">
        <f t="shared" si="26"/>
        <v/>
      </c>
      <c r="AR185" t="str">
        <f t="shared" si="27"/>
        <v/>
      </c>
      <c r="AS185" t="str">
        <f t="shared" si="28"/>
        <v/>
      </c>
      <c r="AT185" t="str">
        <f t="shared" si="29"/>
        <v/>
      </c>
      <c r="BG185" t="str">
        <f t="shared" si="30"/>
        <v/>
      </c>
      <c r="BH185" t="str">
        <f t="shared" si="31"/>
        <v/>
      </c>
      <c r="BL185" t="str">
        <f>IFERROR(INDEX(_names_lookup!$C:$C,MATCH(BK185,_names_lookup!$A:$A,0)),"")</f>
        <v/>
      </c>
      <c r="BM185" t="str">
        <f>IFERROR(INDEX(_names_lookup!$B:$B,MATCH(BK185,_names_lookup!$A:$A,0)),"")</f>
        <v/>
      </c>
      <c r="BS185" t="str">
        <f t="shared" si="32"/>
        <v/>
      </c>
    </row>
    <row r="186" spans="15:71" x14ac:dyDescent="0.2">
      <c r="O186" t="str">
        <f>IFERROR(INDEX(_courses_lookup!$C:$C,MATCH(K186&amp;L186,_courses_lookup!$E:$E,0)),"")</f>
        <v/>
      </c>
      <c r="P186" t="str">
        <f>IFERROR(INDEX(_courses_lookup!$D:$D,MATCH(K186&amp;L186,_courses_lookup!$E:$E,0)),"")</f>
        <v/>
      </c>
      <c r="AG186" t="str">
        <f t="shared" si="22"/>
        <v/>
      </c>
      <c r="AI186" t="str">
        <f t="shared" si="23"/>
        <v/>
      </c>
      <c r="AL186" t="str">
        <f t="shared" si="24"/>
        <v/>
      </c>
      <c r="AN186" t="str">
        <f t="shared" si="25"/>
        <v/>
      </c>
      <c r="AQ186" t="str">
        <f t="shared" si="26"/>
        <v/>
      </c>
      <c r="AR186" t="str">
        <f t="shared" si="27"/>
        <v/>
      </c>
      <c r="AS186" t="str">
        <f t="shared" si="28"/>
        <v/>
      </c>
      <c r="AT186" t="str">
        <f t="shared" si="29"/>
        <v/>
      </c>
      <c r="BG186" t="str">
        <f t="shared" si="30"/>
        <v/>
      </c>
      <c r="BH186" t="str">
        <f t="shared" si="31"/>
        <v/>
      </c>
      <c r="BL186" t="str">
        <f>IFERROR(INDEX(_names_lookup!$C:$C,MATCH(BK186,_names_lookup!$A:$A,0)),"")</f>
        <v/>
      </c>
      <c r="BM186" t="str">
        <f>IFERROR(INDEX(_names_lookup!$B:$B,MATCH(BK186,_names_lookup!$A:$A,0)),"")</f>
        <v/>
      </c>
      <c r="BS186" t="str">
        <f t="shared" si="32"/>
        <v/>
      </c>
    </row>
    <row r="187" spans="15:71" x14ac:dyDescent="0.2">
      <c r="O187" t="str">
        <f>IFERROR(INDEX(_courses_lookup!$C:$C,MATCH(K187&amp;L187,_courses_lookup!$E:$E,0)),"")</f>
        <v/>
      </c>
      <c r="P187" t="str">
        <f>IFERROR(INDEX(_courses_lookup!$D:$D,MATCH(K187&amp;L187,_courses_lookup!$E:$E,0)),"")</f>
        <v/>
      </c>
      <c r="AG187" t="str">
        <f t="shared" si="22"/>
        <v/>
      </c>
      <c r="AI187" t="str">
        <f t="shared" si="23"/>
        <v/>
      </c>
      <c r="AL187" t="str">
        <f t="shared" si="24"/>
        <v/>
      </c>
      <c r="AN187" t="str">
        <f t="shared" si="25"/>
        <v/>
      </c>
      <c r="AQ187" t="str">
        <f t="shared" si="26"/>
        <v/>
      </c>
      <c r="AR187" t="str">
        <f t="shared" si="27"/>
        <v/>
      </c>
      <c r="AS187" t="str">
        <f t="shared" si="28"/>
        <v/>
      </c>
      <c r="AT187" t="str">
        <f t="shared" si="29"/>
        <v/>
      </c>
      <c r="BG187" t="str">
        <f t="shared" si="30"/>
        <v/>
      </c>
      <c r="BH187" t="str">
        <f t="shared" si="31"/>
        <v/>
      </c>
      <c r="BL187" t="str">
        <f>IFERROR(INDEX(_names_lookup!$C:$C,MATCH(BK187,_names_lookup!$A:$A,0)),"")</f>
        <v/>
      </c>
      <c r="BM187" t="str">
        <f>IFERROR(INDEX(_names_lookup!$B:$B,MATCH(BK187,_names_lookup!$A:$A,0)),"")</f>
        <v/>
      </c>
      <c r="BS187" t="str">
        <f t="shared" si="32"/>
        <v/>
      </c>
    </row>
    <row r="188" spans="15:71" x14ac:dyDescent="0.2">
      <c r="O188" t="str">
        <f>IFERROR(INDEX(_courses_lookup!$C:$C,MATCH(K188&amp;L188,_courses_lookup!$E:$E,0)),"")</f>
        <v/>
      </c>
      <c r="P188" t="str">
        <f>IFERROR(INDEX(_courses_lookup!$D:$D,MATCH(K188&amp;L188,_courses_lookup!$E:$E,0)),"")</f>
        <v/>
      </c>
      <c r="AG188" t="str">
        <f t="shared" si="22"/>
        <v/>
      </c>
      <c r="AI188" t="str">
        <f t="shared" si="23"/>
        <v/>
      </c>
      <c r="AL188" t="str">
        <f t="shared" si="24"/>
        <v/>
      </c>
      <c r="AN188" t="str">
        <f t="shared" si="25"/>
        <v/>
      </c>
      <c r="AQ188" t="str">
        <f t="shared" si="26"/>
        <v/>
      </c>
      <c r="AR188" t="str">
        <f t="shared" si="27"/>
        <v/>
      </c>
      <c r="AS188" t="str">
        <f t="shared" si="28"/>
        <v/>
      </c>
      <c r="AT188" t="str">
        <f t="shared" si="29"/>
        <v/>
      </c>
      <c r="BG188" t="str">
        <f t="shared" si="30"/>
        <v/>
      </c>
      <c r="BH188" t="str">
        <f t="shared" si="31"/>
        <v/>
      </c>
      <c r="BL188" t="str">
        <f>IFERROR(INDEX(_names_lookup!$C:$C,MATCH(BK188,_names_lookup!$A:$A,0)),"")</f>
        <v/>
      </c>
      <c r="BM188" t="str">
        <f>IFERROR(INDEX(_names_lookup!$B:$B,MATCH(BK188,_names_lookup!$A:$A,0)),"")</f>
        <v/>
      </c>
      <c r="BS188" t="str">
        <f t="shared" si="32"/>
        <v/>
      </c>
    </row>
    <row r="189" spans="15:71" x14ac:dyDescent="0.2">
      <c r="O189" t="str">
        <f>IFERROR(INDEX(_courses_lookup!$C:$C,MATCH(K189&amp;L189,_courses_lookup!$E:$E,0)),"")</f>
        <v/>
      </c>
      <c r="P189" t="str">
        <f>IFERROR(INDEX(_courses_lookup!$D:$D,MATCH(K189&amp;L189,_courses_lookup!$E:$E,0)),"")</f>
        <v/>
      </c>
      <c r="AG189" t="str">
        <f t="shared" si="22"/>
        <v/>
      </c>
      <c r="AI189" t="str">
        <f t="shared" si="23"/>
        <v/>
      </c>
      <c r="AL189" t="str">
        <f t="shared" si="24"/>
        <v/>
      </c>
      <c r="AN189" t="str">
        <f t="shared" si="25"/>
        <v/>
      </c>
      <c r="AQ189" t="str">
        <f t="shared" si="26"/>
        <v/>
      </c>
      <c r="AR189" t="str">
        <f t="shared" si="27"/>
        <v/>
      </c>
      <c r="AS189" t="str">
        <f t="shared" si="28"/>
        <v/>
      </c>
      <c r="AT189" t="str">
        <f t="shared" si="29"/>
        <v/>
      </c>
      <c r="BG189" t="str">
        <f t="shared" si="30"/>
        <v/>
      </c>
      <c r="BH189" t="str">
        <f t="shared" si="31"/>
        <v/>
      </c>
      <c r="BL189" t="str">
        <f>IFERROR(INDEX(_names_lookup!$C:$C,MATCH(BK189,_names_lookup!$A:$A,0)),"")</f>
        <v/>
      </c>
      <c r="BM189" t="str">
        <f>IFERROR(INDEX(_names_lookup!$B:$B,MATCH(BK189,_names_lookup!$A:$A,0)),"")</f>
        <v/>
      </c>
      <c r="BS189" t="str">
        <f t="shared" si="32"/>
        <v/>
      </c>
    </row>
    <row r="190" spans="15:71" x14ac:dyDescent="0.2">
      <c r="O190" t="str">
        <f>IFERROR(INDEX(_courses_lookup!$C:$C,MATCH(K190&amp;L190,_courses_lookup!$E:$E,0)),"")</f>
        <v/>
      </c>
      <c r="P190" t="str">
        <f>IFERROR(INDEX(_courses_lookup!$D:$D,MATCH(K190&amp;L190,_courses_lookup!$E:$E,0)),"")</f>
        <v/>
      </c>
      <c r="AG190" t="str">
        <f t="shared" si="22"/>
        <v/>
      </c>
      <c r="AI190" t="str">
        <f t="shared" si="23"/>
        <v/>
      </c>
      <c r="AL190" t="str">
        <f t="shared" si="24"/>
        <v/>
      </c>
      <c r="AN190" t="str">
        <f t="shared" si="25"/>
        <v/>
      </c>
      <c r="AQ190" t="str">
        <f t="shared" si="26"/>
        <v/>
      </c>
      <c r="AR190" t="str">
        <f t="shared" si="27"/>
        <v/>
      </c>
      <c r="AS190" t="str">
        <f t="shared" si="28"/>
        <v/>
      </c>
      <c r="AT190" t="str">
        <f t="shared" si="29"/>
        <v/>
      </c>
      <c r="BG190" t="str">
        <f t="shared" si="30"/>
        <v/>
      </c>
      <c r="BH190" t="str">
        <f t="shared" si="31"/>
        <v/>
      </c>
      <c r="BL190" t="str">
        <f>IFERROR(INDEX(_names_lookup!$C:$C,MATCH(BK190,_names_lookup!$A:$A,0)),"")</f>
        <v/>
      </c>
      <c r="BM190" t="str">
        <f>IFERROR(INDEX(_names_lookup!$B:$B,MATCH(BK190,_names_lookup!$A:$A,0)),"")</f>
        <v/>
      </c>
      <c r="BS190" t="str">
        <f t="shared" si="32"/>
        <v/>
      </c>
    </row>
    <row r="191" spans="15:71" x14ac:dyDescent="0.2">
      <c r="O191" t="str">
        <f>IFERROR(INDEX(_courses_lookup!$C:$C,MATCH(K191&amp;L191,_courses_lookup!$E:$E,0)),"")</f>
        <v/>
      </c>
      <c r="P191" t="str">
        <f>IFERROR(INDEX(_courses_lookup!$D:$D,MATCH(K191&amp;L191,_courses_lookup!$E:$E,0)),"")</f>
        <v/>
      </c>
      <c r="AG191" t="str">
        <f t="shared" si="22"/>
        <v/>
      </c>
      <c r="AI191" t="str">
        <f t="shared" si="23"/>
        <v/>
      </c>
      <c r="AL191" t="str">
        <f t="shared" si="24"/>
        <v/>
      </c>
      <c r="AN191" t="str">
        <f t="shared" si="25"/>
        <v/>
      </c>
      <c r="AQ191" t="str">
        <f t="shared" si="26"/>
        <v/>
      </c>
      <c r="AR191" t="str">
        <f t="shared" si="27"/>
        <v/>
      </c>
      <c r="AS191" t="str">
        <f t="shared" si="28"/>
        <v/>
      </c>
      <c r="AT191" t="str">
        <f t="shared" si="29"/>
        <v/>
      </c>
      <c r="BG191" t="str">
        <f t="shared" si="30"/>
        <v/>
      </c>
      <c r="BH191" t="str">
        <f t="shared" si="31"/>
        <v/>
      </c>
      <c r="BL191" t="str">
        <f>IFERROR(INDEX(_names_lookup!$C:$C,MATCH(BK191,_names_lookup!$A:$A,0)),"")</f>
        <v/>
      </c>
      <c r="BM191" t="str">
        <f>IFERROR(INDEX(_names_lookup!$B:$B,MATCH(BK191,_names_lookup!$A:$A,0)),"")</f>
        <v/>
      </c>
      <c r="BS191" t="str">
        <f t="shared" si="32"/>
        <v/>
      </c>
    </row>
    <row r="192" spans="15:71" x14ac:dyDescent="0.2">
      <c r="O192" t="str">
        <f>IFERROR(INDEX(_courses_lookup!$C:$C,MATCH(K192&amp;L192,_courses_lookup!$E:$E,0)),"")</f>
        <v/>
      </c>
      <c r="P192" t="str">
        <f>IFERROR(INDEX(_courses_lookup!$D:$D,MATCH(K192&amp;L192,_courses_lookup!$E:$E,0)),"")</f>
        <v/>
      </c>
      <c r="AG192" t="str">
        <f t="shared" si="22"/>
        <v/>
      </c>
      <c r="AI192" t="str">
        <f t="shared" si="23"/>
        <v/>
      </c>
      <c r="AL192" t="str">
        <f t="shared" si="24"/>
        <v/>
      </c>
      <c r="AN192" t="str">
        <f t="shared" si="25"/>
        <v/>
      </c>
      <c r="AQ192" t="str">
        <f t="shared" si="26"/>
        <v/>
      </c>
      <c r="AR192" t="str">
        <f t="shared" si="27"/>
        <v/>
      </c>
      <c r="AS192" t="str">
        <f t="shared" si="28"/>
        <v/>
      </c>
      <c r="AT192" t="str">
        <f t="shared" si="29"/>
        <v/>
      </c>
      <c r="BG192" t="str">
        <f t="shared" si="30"/>
        <v/>
      </c>
      <c r="BH192" t="str">
        <f t="shared" si="31"/>
        <v/>
      </c>
      <c r="BL192" t="str">
        <f>IFERROR(INDEX(_names_lookup!$C:$C,MATCH(BK192,_names_lookup!$A:$A,0)),"")</f>
        <v/>
      </c>
      <c r="BM192" t="str">
        <f>IFERROR(INDEX(_names_lookup!$B:$B,MATCH(BK192,_names_lookup!$A:$A,0)),"")</f>
        <v/>
      </c>
      <c r="BS192" t="str">
        <f t="shared" si="32"/>
        <v/>
      </c>
    </row>
    <row r="193" spans="15:71" x14ac:dyDescent="0.2">
      <c r="O193" t="str">
        <f>IFERROR(INDEX(_courses_lookup!$C:$C,MATCH(K193&amp;L193,_courses_lookup!$E:$E,0)),"")</f>
        <v/>
      </c>
      <c r="P193" t="str">
        <f>IFERROR(INDEX(_courses_lookup!$D:$D,MATCH(K193&amp;L193,_courses_lookup!$E:$E,0)),"")</f>
        <v/>
      </c>
      <c r="AG193" t="str">
        <f t="shared" si="22"/>
        <v/>
      </c>
      <c r="AI193" t="str">
        <f t="shared" si="23"/>
        <v/>
      </c>
      <c r="AL193" t="str">
        <f t="shared" si="24"/>
        <v/>
      </c>
      <c r="AN193" t="str">
        <f t="shared" si="25"/>
        <v/>
      </c>
      <c r="AQ193" t="str">
        <f t="shared" si="26"/>
        <v/>
      </c>
      <c r="AR193" t="str">
        <f t="shared" si="27"/>
        <v/>
      </c>
      <c r="AS193" t="str">
        <f t="shared" si="28"/>
        <v/>
      </c>
      <c r="AT193" t="str">
        <f t="shared" si="29"/>
        <v/>
      </c>
      <c r="BG193" t="str">
        <f t="shared" si="30"/>
        <v/>
      </c>
      <c r="BH193" t="str">
        <f t="shared" si="31"/>
        <v/>
      </c>
      <c r="BL193" t="str">
        <f>IFERROR(INDEX(_names_lookup!$C:$C,MATCH(BK193,_names_lookup!$A:$A,0)),"")</f>
        <v/>
      </c>
      <c r="BM193" t="str">
        <f>IFERROR(INDEX(_names_lookup!$B:$B,MATCH(BK193,_names_lookup!$A:$A,0)),"")</f>
        <v/>
      </c>
      <c r="BS193" t="str">
        <f t="shared" si="32"/>
        <v/>
      </c>
    </row>
    <row r="194" spans="15:71" x14ac:dyDescent="0.2">
      <c r="O194" t="str">
        <f>IFERROR(INDEX(_courses_lookup!$C:$C,MATCH(K194&amp;L194,_courses_lookup!$E:$E,0)),"")</f>
        <v/>
      </c>
      <c r="P194" t="str">
        <f>IFERROR(INDEX(_courses_lookup!$D:$D,MATCH(K194&amp;L194,_courses_lookup!$E:$E,0)),"")</f>
        <v/>
      </c>
      <c r="AG194" t="str">
        <f t="shared" ref="AG194:AG257" si="33">IF(AND(AE194&lt;&gt;"",AF194&lt;&gt;""),ROUNDUP((AF194-AE194)/7,0),"")</f>
        <v/>
      </c>
      <c r="AI194" t="str">
        <f t="shared" ref="AI194:AI257" si="34">IFERROR(IF(AG194*AH194=0,"",AG194*AH194),"")</f>
        <v/>
      </c>
      <c r="AL194" t="str">
        <f t="shared" ref="AL194:AL257" si="35">IF(AND(AJ194&lt;&gt;"",AK194&lt;&gt;""),ROUNDUP((AK194-AJ194)/7,0),"")</f>
        <v/>
      </c>
      <c r="AN194" t="str">
        <f t="shared" ref="AN194:AN257" si="36">IFERROR(IF(AL194*AM194=0,"",AL194*AM194),"")</f>
        <v/>
      </c>
      <c r="AQ194" t="str">
        <f t="shared" ref="AQ194:AQ257" si="37">IF(AND(AO194&lt;&gt;"",AP194&lt;&gt;""),ROUNDUP((AP194-AO194)/7,0),"")</f>
        <v/>
      </c>
      <c r="AR194" t="str">
        <f t="shared" ref="AR194:AR257" si="38">IFERROR(IF((AU194-(AI194+AN194))/AQ194=0,"",ROUNDUP((AU194-(AI194+AN194))/AQ194,0)),"")</f>
        <v/>
      </c>
      <c r="AS194" t="str">
        <f t="shared" ref="AS194:AS257" si="39">IFERROR(IF((AU194-(AI194+AN194))=0,"",(AU194-(AI194+AN194))),"")</f>
        <v/>
      </c>
      <c r="AT194" t="str">
        <f t="shared" ref="AT194:AT257" si="40">IF(AND(AG194="",AQ194=""),AL194,IF(SUM(AG194,AL194,AQ194)=0,"",SUM(AG194,AL194,AQ194)))</f>
        <v/>
      </c>
      <c r="BG194" t="str">
        <f t="shared" ref="BG194:BG257" si="41">IF(AD194="","",YEAR(AD194)+IF(MONTH(AD194)&gt;=5,1,0))</f>
        <v/>
      </c>
      <c r="BH194" t="str">
        <f t="shared" ref="BH194:BH257" si="42">IF(AD194="","",IF(AND(MONTH(AD194)=8,DAY(AD194)&gt;=15),"Fall",IF(MONTH(AD194)&gt;8,"Fall",IF(MONTH(AD194)=5,"Summer",IF(MONTH(AD194)=1,"Spring","")))))</f>
        <v/>
      </c>
      <c r="BL194" t="str">
        <f>IFERROR(INDEX(_names_lookup!$C:$C,MATCH(BK194,_names_lookup!$A:$A,0)),"")</f>
        <v/>
      </c>
      <c r="BM194" t="str">
        <f>IFERROR(INDEX(_names_lookup!$B:$B,MATCH(BK194,_names_lookup!$A:$A,0)),"")</f>
        <v/>
      </c>
      <c r="BS194" t="str">
        <f t="shared" ref="BS194:BS257" si="43">IFERROR(IF(BR194*AA194=0,"",BR194*AA194),"")</f>
        <v/>
      </c>
    </row>
    <row r="195" spans="15:71" x14ac:dyDescent="0.2">
      <c r="O195" t="str">
        <f>IFERROR(INDEX(_courses_lookup!$C:$C,MATCH(K195&amp;L195,_courses_lookup!$E:$E,0)),"")</f>
        <v/>
      </c>
      <c r="P195" t="str">
        <f>IFERROR(INDEX(_courses_lookup!$D:$D,MATCH(K195&amp;L195,_courses_lookup!$E:$E,0)),"")</f>
        <v/>
      </c>
      <c r="AG195" t="str">
        <f t="shared" si="33"/>
        <v/>
      </c>
      <c r="AI195" t="str">
        <f t="shared" si="34"/>
        <v/>
      </c>
      <c r="AL195" t="str">
        <f t="shared" si="35"/>
        <v/>
      </c>
      <c r="AN195" t="str">
        <f t="shared" si="36"/>
        <v/>
      </c>
      <c r="AQ195" t="str">
        <f t="shared" si="37"/>
        <v/>
      </c>
      <c r="AR195" t="str">
        <f t="shared" si="38"/>
        <v/>
      </c>
      <c r="AS195" t="str">
        <f t="shared" si="39"/>
        <v/>
      </c>
      <c r="AT195" t="str">
        <f t="shared" si="40"/>
        <v/>
      </c>
      <c r="BG195" t="str">
        <f t="shared" si="41"/>
        <v/>
      </c>
      <c r="BH195" t="str">
        <f t="shared" si="42"/>
        <v/>
      </c>
      <c r="BL195" t="str">
        <f>IFERROR(INDEX(_names_lookup!$C:$C,MATCH(BK195,_names_lookup!$A:$A,0)),"")</f>
        <v/>
      </c>
      <c r="BM195" t="str">
        <f>IFERROR(INDEX(_names_lookup!$B:$B,MATCH(BK195,_names_lookup!$A:$A,0)),"")</f>
        <v/>
      </c>
      <c r="BS195" t="str">
        <f t="shared" si="43"/>
        <v/>
      </c>
    </row>
    <row r="196" spans="15:71" x14ac:dyDescent="0.2">
      <c r="O196" t="str">
        <f>IFERROR(INDEX(_courses_lookup!$C:$C,MATCH(K196&amp;L196,_courses_lookup!$E:$E,0)),"")</f>
        <v/>
      </c>
      <c r="P196" t="str">
        <f>IFERROR(INDEX(_courses_lookup!$D:$D,MATCH(K196&amp;L196,_courses_lookup!$E:$E,0)),"")</f>
        <v/>
      </c>
      <c r="AG196" t="str">
        <f t="shared" si="33"/>
        <v/>
      </c>
      <c r="AI196" t="str">
        <f t="shared" si="34"/>
        <v/>
      </c>
      <c r="AL196" t="str">
        <f t="shared" si="35"/>
        <v/>
      </c>
      <c r="AN196" t="str">
        <f t="shared" si="36"/>
        <v/>
      </c>
      <c r="AQ196" t="str">
        <f t="shared" si="37"/>
        <v/>
      </c>
      <c r="AR196" t="str">
        <f t="shared" si="38"/>
        <v/>
      </c>
      <c r="AS196" t="str">
        <f t="shared" si="39"/>
        <v/>
      </c>
      <c r="AT196" t="str">
        <f t="shared" si="40"/>
        <v/>
      </c>
      <c r="BG196" t="str">
        <f t="shared" si="41"/>
        <v/>
      </c>
      <c r="BH196" t="str">
        <f t="shared" si="42"/>
        <v/>
      </c>
      <c r="BL196" t="str">
        <f>IFERROR(INDEX(_names_lookup!$C:$C,MATCH(BK196,_names_lookup!$A:$A,0)),"")</f>
        <v/>
      </c>
      <c r="BM196" t="str">
        <f>IFERROR(INDEX(_names_lookup!$B:$B,MATCH(BK196,_names_lookup!$A:$A,0)),"")</f>
        <v/>
      </c>
      <c r="BS196" t="str">
        <f t="shared" si="43"/>
        <v/>
      </c>
    </row>
    <row r="197" spans="15:71" x14ac:dyDescent="0.2">
      <c r="O197" t="str">
        <f>IFERROR(INDEX(_courses_lookup!$C:$C,MATCH(K197&amp;L197,_courses_lookup!$E:$E,0)),"")</f>
        <v/>
      </c>
      <c r="P197" t="str">
        <f>IFERROR(INDEX(_courses_lookup!$D:$D,MATCH(K197&amp;L197,_courses_lookup!$E:$E,0)),"")</f>
        <v/>
      </c>
      <c r="AG197" t="str">
        <f t="shared" si="33"/>
        <v/>
      </c>
      <c r="AI197" t="str">
        <f t="shared" si="34"/>
        <v/>
      </c>
      <c r="AL197" t="str">
        <f t="shared" si="35"/>
        <v/>
      </c>
      <c r="AN197" t="str">
        <f t="shared" si="36"/>
        <v/>
      </c>
      <c r="AQ197" t="str">
        <f t="shared" si="37"/>
        <v/>
      </c>
      <c r="AR197" t="str">
        <f t="shared" si="38"/>
        <v/>
      </c>
      <c r="AS197" t="str">
        <f t="shared" si="39"/>
        <v/>
      </c>
      <c r="AT197" t="str">
        <f t="shared" si="40"/>
        <v/>
      </c>
      <c r="BG197" t="str">
        <f t="shared" si="41"/>
        <v/>
      </c>
      <c r="BH197" t="str">
        <f t="shared" si="42"/>
        <v/>
      </c>
      <c r="BL197" t="str">
        <f>IFERROR(INDEX(_names_lookup!$C:$C,MATCH(BK197,_names_lookup!$A:$A,0)),"")</f>
        <v/>
      </c>
      <c r="BM197" t="str">
        <f>IFERROR(INDEX(_names_lookup!$B:$B,MATCH(BK197,_names_lookup!$A:$A,0)),"")</f>
        <v/>
      </c>
      <c r="BS197" t="str">
        <f t="shared" si="43"/>
        <v/>
      </c>
    </row>
    <row r="198" spans="15:71" x14ac:dyDescent="0.2">
      <c r="O198" t="str">
        <f>IFERROR(INDEX(_courses_lookup!$C:$C,MATCH(K198&amp;L198,_courses_lookup!$E:$E,0)),"")</f>
        <v/>
      </c>
      <c r="P198" t="str">
        <f>IFERROR(INDEX(_courses_lookup!$D:$D,MATCH(K198&amp;L198,_courses_lookup!$E:$E,0)),"")</f>
        <v/>
      </c>
      <c r="AG198" t="str">
        <f t="shared" si="33"/>
        <v/>
      </c>
      <c r="AI198" t="str">
        <f t="shared" si="34"/>
        <v/>
      </c>
      <c r="AL198" t="str">
        <f t="shared" si="35"/>
        <v/>
      </c>
      <c r="AN198" t="str">
        <f t="shared" si="36"/>
        <v/>
      </c>
      <c r="AQ198" t="str">
        <f t="shared" si="37"/>
        <v/>
      </c>
      <c r="AR198" t="str">
        <f t="shared" si="38"/>
        <v/>
      </c>
      <c r="AS198" t="str">
        <f t="shared" si="39"/>
        <v/>
      </c>
      <c r="AT198" t="str">
        <f t="shared" si="40"/>
        <v/>
      </c>
      <c r="BG198" t="str">
        <f t="shared" si="41"/>
        <v/>
      </c>
      <c r="BH198" t="str">
        <f t="shared" si="42"/>
        <v/>
      </c>
      <c r="BL198" t="str">
        <f>IFERROR(INDEX(_names_lookup!$C:$C,MATCH(BK198,_names_lookup!$A:$A,0)),"")</f>
        <v/>
      </c>
      <c r="BM198" t="str">
        <f>IFERROR(INDEX(_names_lookup!$B:$B,MATCH(BK198,_names_lookup!$A:$A,0)),"")</f>
        <v/>
      </c>
      <c r="BS198" t="str">
        <f t="shared" si="43"/>
        <v/>
      </c>
    </row>
    <row r="199" spans="15:71" x14ac:dyDescent="0.2">
      <c r="O199" t="str">
        <f>IFERROR(INDEX(_courses_lookup!$C:$C,MATCH(K199&amp;L199,_courses_lookup!$E:$E,0)),"")</f>
        <v/>
      </c>
      <c r="P199" t="str">
        <f>IFERROR(INDEX(_courses_lookup!$D:$D,MATCH(K199&amp;L199,_courses_lookup!$E:$E,0)),"")</f>
        <v/>
      </c>
      <c r="AG199" t="str">
        <f t="shared" si="33"/>
        <v/>
      </c>
      <c r="AI199" t="str">
        <f t="shared" si="34"/>
        <v/>
      </c>
      <c r="AL199" t="str">
        <f t="shared" si="35"/>
        <v/>
      </c>
      <c r="AN199" t="str">
        <f t="shared" si="36"/>
        <v/>
      </c>
      <c r="AQ199" t="str">
        <f t="shared" si="37"/>
        <v/>
      </c>
      <c r="AR199" t="str">
        <f t="shared" si="38"/>
        <v/>
      </c>
      <c r="AS199" t="str">
        <f t="shared" si="39"/>
        <v/>
      </c>
      <c r="AT199" t="str">
        <f t="shared" si="40"/>
        <v/>
      </c>
      <c r="BG199" t="str">
        <f t="shared" si="41"/>
        <v/>
      </c>
      <c r="BH199" t="str">
        <f t="shared" si="42"/>
        <v/>
      </c>
      <c r="BL199" t="str">
        <f>IFERROR(INDEX(_names_lookup!$C:$C,MATCH(BK199,_names_lookup!$A:$A,0)),"")</f>
        <v/>
      </c>
      <c r="BM199" t="str">
        <f>IFERROR(INDEX(_names_lookup!$B:$B,MATCH(BK199,_names_lookup!$A:$A,0)),"")</f>
        <v/>
      </c>
      <c r="BS199" t="str">
        <f t="shared" si="43"/>
        <v/>
      </c>
    </row>
    <row r="200" spans="15:71" x14ac:dyDescent="0.2">
      <c r="O200" t="str">
        <f>IFERROR(INDEX(_courses_lookup!$C:$C,MATCH(K200&amp;L200,_courses_lookup!$E:$E,0)),"")</f>
        <v/>
      </c>
      <c r="P200" t="str">
        <f>IFERROR(INDEX(_courses_lookup!$D:$D,MATCH(K200&amp;L200,_courses_lookup!$E:$E,0)),"")</f>
        <v/>
      </c>
      <c r="AG200" t="str">
        <f t="shared" si="33"/>
        <v/>
      </c>
      <c r="AI200" t="str">
        <f t="shared" si="34"/>
        <v/>
      </c>
      <c r="AL200" t="str">
        <f t="shared" si="35"/>
        <v/>
      </c>
      <c r="AN200" t="str">
        <f t="shared" si="36"/>
        <v/>
      </c>
      <c r="AQ200" t="str">
        <f t="shared" si="37"/>
        <v/>
      </c>
      <c r="AR200" t="str">
        <f t="shared" si="38"/>
        <v/>
      </c>
      <c r="AS200" t="str">
        <f t="shared" si="39"/>
        <v/>
      </c>
      <c r="AT200" t="str">
        <f t="shared" si="40"/>
        <v/>
      </c>
      <c r="BG200" t="str">
        <f t="shared" si="41"/>
        <v/>
      </c>
      <c r="BH200" t="str">
        <f t="shared" si="42"/>
        <v/>
      </c>
      <c r="BL200" t="str">
        <f>IFERROR(INDEX(_names_lookup!$C:$C,MATCH(BK200,_names_lookup!$A:$A,0)),"")</f>
        <v/>
      </c>
      <c r="BM200" t="str">
        <f>IFERROR(INDEX(_names_lookup!$B:$B,MATCH(BK200,_names_lookup!$A:$A,0)),"")</f>
        <v/>
      </c>
      <c r="BS200" t="str">
        <f t="shared" si="43"/>
        <v/>
      </c>
    </row>
    <row r="201" spans="15:71" x14ac:dyDescent="0.2">
      <c r="O201" t="str">
        <f>IFERROR(INDEX(_courses_lookup!$C:$C,MATCH(K201&amp;L201,_courses_lookup!$E:$E,0)),"")</f>
        <v/>
      </c>
      <c r="P201" t="str">
        <f>IFERROR(INDEX(_courses_lookup!$D:$D,MATCH(K201&amp;L201,_courses_lookup!$E:$E,0)),"")</f>
        <v/>
      </c>
      <c r="AG201" t="str">
        <f t="shared" si="33"/>
        <v/>
      </c>
      <c r="AI201" t="str">
        <f t="shared" si="34"/>
        <v/>
      </c>
      <c r="AL201" t="str">
        <f t="shared" si="35"/>
        <v/>
      </c>
      <c r="AN201" t="str">
        <f t="shared" si="36"/>
        <v/>
      </c>
      <c r="AQ201" t="str">
        <f t="shared" si="37"/>
        <v/>
      </c>
      <c r="AR201" t="str">
        <f t="shared" si="38"/>
        <v/>
      </c>
      <c r="AS201" t="str">
        <f t="shared" si="39"/>
        <v/>
      </c>
      <c r="AT201" t="str">
        <f t="shared" si="40"/>
        <v/>
      </c>
      <c r="BG201" t="str">
        <f t="shared" si="41"/>
        <v/>
      </c>
      <c r="BH201" t="str">
        <f t="shared" si="42"/>
        <v/>
      </c>
      <c r="BL201" t="str">
        <f>IFERROR(INDEX(_names_lookup!$C:$C,MATCH(BK201,_names_lookup!$A:$A,0)),"")</f>
        <v/>
      </c>
      <c r="BM201" t="str">
        <f>IFERROR(INDEX(_names_lookup!$B:$B,MATCH(BK201,_names_lookup!$A:$A,0)),"")</f>
        <v/>
      </c>
      <c r="BS201" t="str">
        <f t="shared" si="43"/>
        <v/>
      </c>
    </row>
    <row r="202" spans="15:71" x14ac:dyDescent="0.2">
      <c r="O202" t="str">
        <f>IFERROR(INDEX(_courses_lookup!$C:$C,MATCH(K202&amp;L202,_courses_lookup!$E:$E,0)),"")</f>
        <v/>
      </c>
      <c r="P202" t="str">
        <f>IFERROR(INDEX(_courses_lookup!$D:$D,MATCH(K202&amp;L202,_courses_lookup!$E:$E,0)),"")</f>
        <v/>
      </c>
      <c r="AG202" t="str">
        <f t="shared" si="33"/>
        <v/>
      </c>
      <c r="AI202" t="str">
        <f t="shared" si="34"/>
        <v/>
      </c>
      <c r="AL202" t="str">
        <f t="shared" si="35"/>
        <v/>
      </c>
      <c r="AN202" t="str">
        <f t="shared" si="36"/>
        <v/>
      </c>
      <c r="AQ202" t="str">
        <f t="shared" si="37"/>
        <v/>
      </c>
      <c r="AR202" t="str">
        <f t="shared" si="38"/>
        <v/>
      </c>
      <c r="AS202" t="str">
        <f t="shared" si="39"/>
        <v/>
      </c>
      <c r="AT202" t="str">
        <f t="shared" si="40"/>
        <v/>
      </c>
      <c r="BG202" t="str">
        <f t="shared" si="41"/>
        <v/>
      </c>
      <c r="BH202" t="str">
        <f t="shared" si="42"/>
        <v/>
      </c>
      <c r="BL202" t="str">
        <f>IFERROR(INDEX(_names_lookup!$C:$C,MATCH(BK202,_names_lookup!$A:$A,0)),"")</f>
        <v/>
      </c>
      <c r="BM202" t="str">
        <f>IFERROR(INDEX(_names_lookup!$B:$B,MATCH(BK202,_names_lookup!$A:$A,0)),"")</f>
        <v/>
      </c>
      <c r="BS202" t="str">
        <f t="shared" si="43"/>
        <v/>
      </c>
    </row>
    <row r="203" spans="15:71" x14ac:dyDescent="0.2">
      <c r="O203" t="str">
        <f>IFERROR(INDEX(_courses_lookup!$C:$C,MATCH(K203&amp;L203,_courses_lookup!$E:$E,0)),"")</f>
        <v/>
      </c>
      <c r="P203" t="str">
        <f>IFERROR(INDEX(_courses_lookup!$D:$D,MATCH(K203&amp;L203,_courses_lookup!$E:$E,0)),"")</f>
        <v/>
      </c>
      <c r="AG203" t="str">
        <f t="shared" si="33"/>
        <v/>
      </c>
      <c r="AI203" t="str">
        <f t="shared" si="34"/>
        <v/>
      </c>
      <c r="AL203" t="str">
        <f t="shared" si="35"/>
        <v/>
      </c>
      <c r="AN203" t="str">
        <f t="shared" si="36"/>
        <v/>
      </c>
      <c r="AQ203" t="str">
        <f t="shared" si="37"/>
        <v/>
      </c>
      <c r="AR203" t="str">
        <f t="shared" si="38"/>
        <v/>
      </c>
      <c r="AS203" t="str">
        <f t="shared" si="39"/>
        <v/>
      </c>
      <c r="AT203" t="str">
        <f t="shared" si="40"/>
        <v/>
      </c>
      <c r="BG203" t="str">
        <f t="shared" si="41"/>
        <v/>
      </c>
      <c r="BH203" t="str">
        <f t="shared" si="42"/>
        <v/>
      </c>
      <c r="BL203" t="str">
        <f>IFERROR(INDEX(_names_lookup!$C:$C,MATCH(BK203,_names_lookup!$A:$A,0)),"")</f>
        <v/>
      </c>
      <c r="BM203" t="str">
        <f>IFERROR(INDEX(_names_lookup!$B:$B,MATCH(BK203,_names_lookup!$A:$A,0)),"")</f>
        <v/>
      </c>
      <c r="BS203" t="str">
        <f t="shared" si="43"/>
        <v/>
      </c>
    </row>
    <row r="204" spans="15:71" x14ac:dyDescent="0.2">
      <c r="O204" t="str">
        <f>IFERROR(INDEX(_courses_lookup!$C:$C,MATCH(K204&amp;L204,_courses_lookup!$E:$E,0)),"")</f>
        <v/>
      </c>
      <c r="P204" t="str">
        <f>IFERROR(INDEX(_courses_lookup!$D:$D,MATCH(K204&amp;L204,_courses_lookup!$E:$E,0)),"")</f>
        <v/>
      </c>
      <c r="AG204" t="str">
        <f t="shared" si="33"/>
        <v/>
      </c>
      <c r="AI204" t="str">
        <f t="shared" si="34"/>
        <v/>
      </c>
      <c r="AL204" t="str">
        <f t="shared" si="35"/>
        <v/>
      </c>
      <c r="AN204" t="str">
        <f t="shared" si="36"/>
        <v/>
      </c>
      <c r="AQ204" t="str">
        <f t="shared" si="37"/>
        <v/>
      </c>
      <c r="AR204" t="str">
        <f t="shared" si="38"/>
        <v/>
      </c>
      <c r="AS204" t="str">
        <f t="shared" si="39"/>
        <v/>
      </c>
      <c r="AT204" t="str">
        <f t="shared" si="40"/>
        <v/>
      </c>
      <c r="BG204" t="str">
        <f t="shared" si="41"/>
        <v/>
      </c>
      <c r="BH204" t="str">
        <f t="shared" si="42"/>
        <v/>
      </c>
      <c r="BL204" t="str">
        <f>IFERROR(INDEX(_names_lookup!$C:$C,MATCH(BK204,_names_lookup!$A:$A,0)),"")</f>
        <v/>
      </c>
      <c r="BM204" t="str">
        <f>IFERROR(INDEX(_names_lookup!$B:$B,MATCH(BK204,_names_lookup!$A:$A,0)),"")</f>
        <v/>
      </c>
      <c r="BS204" t="str">
        <f t="shared" si="43"/>
        <v/>
      </c>
    </row>
    <row r="205" spans="15:71" x14ac:dyDescent="0.2">
      <c r="O205" t="str">
        <f>IFERROR(INDEX(_courses_lookup!$C:$C,MATCH(K205&amp;L205,_courses_lookup!$E:$E,0)),"")</f>
        <v/>
      </c>
      <c r="P205" t="str">
        <f>IFERROR(INDEX(_courses_lookup!$D:$D,MATCH(K205&amp;L205,_courses_lookup!$E:$E,0)),"")</f>
        <v/>
      </c>
      <c r="AG205" t="str">
        <f t="shared" si="33"/>
        <v/>
      </c>
      <c r="AI205" t="str">
        <f t="shared" si="34"/>
        <v/>
      </c>
      <c r="AL205" t="str">
        <f t="shared" si="35"/>
        <v/>
      </c>
      <c r="AN205" t="str">
        <f t="shared" si="36"/>
        <v/>
      </c>
      <c r="AQ205" t="str">
        <f t="shared" si="37"/>
        <v/>
      </c>
      <c r="AR205" t="str">
        <f t="shared" si="38"/>
        <v/>
      </c>
      <c r="AS205" t="str">
        <f t="shared" si="39"/>
        <v/>
      </c>
      <c r="AT205" t="str">
        <f t="shared" si="40"/>
        <v/>
      </c>
      <c r="BG205" t="str">
        <f t="shared" si="41"/>
        <v/>
      </c>
      <c r="BH205" t="str">
        <f t="shared" si="42"/>
        <v/>
      </c>
      <c r="BL205" t="str">
        <f>IFERROR(INDEX(_names_lookup!$C:$C,MATCH(BK205,_names_lookup!$A:$A,0)),"")</f>
        <v/>
      </c>
      <c r="BM205" t="str">
        <f>IFERROR(INDEX(_names_lookup!$B:$B,MATCH(BK205,_names_lookup!$A:$A,0)),"")</f>
        <v/>
      </c>
      <c r="BS205" t="str">
        <f t="shared" si="43"/>
        <v/>
      </c>
    </row>
    <row r="206" spans="15:71" x14ac:dyDescent="0.2">
      <c r="O206" t="str">
        <f>IFERROR(INDEX(_courses_lookup!$C:$C,MATCH(K206&amp;L206,_courses_lookup!$E:$E,0)),"")</f>
        <v/>
      </c>
      <c r="P206" t="str">
        <f>IFERROR(INDEX(_courses_lookup!$D:$D,MATCH(K206&amp;L206,_courses_lookup!$E:$E,0)),"")</f>
        <v/>
      </c>
      <c r="AG206" t="str">
        <f t="shared" si="33"/>
        <v/>
      </c>
      <c r="AI206" t="str">
        <f t="shared" si="34"/>
        <v/>
      </c>
      <c r="AL206" t="str">
        <f t="shared" si="35"/>
        <v/>
      </c>
      <c r="AN206" t="str">
        <f t="shared" si="36"/>
        <v/>
      </c>
      <c r="AQ206" t="str">
        <f t="shared" si="37"/>
        <v/>
      </c>
      <c r="AR206" t="str">
        <f t="shared" si="38"/>
        <v/>
      </c>
      <c r="AS206" t="str">
        <f t="shared" si="39"/>
        <v/>
      </c>
      <c r="AT206" t="str">
        <f t="shared" si="40"/>
        <v/>
      </c>
      <c r="BG206" t="str">
        <f t="shared" si="41"/>
        <v/>
      </c>
      <c r="BH206" t="str">
        <f t="shared" si="42"/>
        <v/>
      </c>
      <c r="BL206" t="str">
        <f>IFERROR(INDEX(_names_lookup!$C:$C,MATCH(BK206,_names_lookup!$A:$A,0)),"")</f>
        <v/>
      </c>
      <c r="BM206" t="str">
        <f>IFERROR(INDEX(_names_lookup!$B:$B,MATCH(BK206,_names_lookup!$A:$A,0)),"")</f>
        <v/>
      </c>
      <c r="BS206" t="str">
        <f t="shared" si="43"/>
        <v/>
      </c>
    </row>
    <row r="207" spans="15:71" x14ac:dyDescent="0.2">
      <c r="O207" t="str">
        <f>IFERROR(INDEX(_courses_lookup!$C:$C,MATCH(K207&amp;L207,_courses_lookup!$E:$E,0)),"")</f>
        <v/>
      </c>
      <c r="P207" t="str">
        <f>IFERROR(INDEX(_courses_lookup!$D:$D,MATCH(K207&amp;L207,_courses_lookup!$E:$E,0)),"")</f>
        <v/>
      </c>
      <c r="AG207" t="str">
        <f t="shared" si="33"/>
        <v/>
      </c>
      <c r="AI207" t="str">
        <f t="shared" si="34"/>
        <v/>
      </c>
      <c r="AL207" t="str">
        <f t="shared" si="35"/>
        <v/>
      </c>
      <c r="AN207" t="str">
        <f t="shared" si="36"/>
        <v/>
      </c>
      <c r="AQ207" t="str">
        <f t="shared" si="37"/>
        <v/>
      </c>
      <c r="AR207" t="str">
        <f t="shared" si="38"/>
        <v/>
      </c>
      <c r="AS207" t="str">
        <f t="shared" si="39"/>
        <v/>
      </c>
      <c r="AT207" t="str">
        <f t="shared" si="40"/>
        <v/>
      </c>
      <c r="BG207" t="str">
        <f t="shared" si="41"/>
        <v/>
      </c>
      <c r="BH207" t="str">
        <f t="shared" si="42"/>
        <v/>
      </c>
      <c r="BL207" t="str">
        <f>IFERROR(INDEX(_names_lookup!$C:$C,MATCH(BK207,_names_lookup!$A:$A,0)),"")</f>
        <v/>
      </c>
      <c r="BM207" t="str">
        <f>IFERROR(INDEX(_names_lookup!$B:$B,MATCH(BK207,_names_lookup!$A:$A,0)),"")</f>
        <v/>
      </c>
      <c r="BS207" t="str">
        <f t="shared" si="43"/>
        <v/>
      </c>
    </row>
    <row r="208" spans="15:71" x14ac:dyDescent="0.2">
      <c r="O208" t="str">
        <f>IFERROR(INDEX(_courses_lookup!$C:$C,MATCH(K208&amp;L208,_courses_lookup!$E:$E,0)),"")</f>
        <v/>
      </c>
      <c r="P208" t="str">
        <f>IFERROR(INDEX(_courses_lookup!$D:$D,MATCH(K208&amp;L208,_courses_lookup!$E:$E,0)),"")</f>
        <v/>
      </c>
      <c r="AG208" t="str">
        <f t="shared" si="33"/>
        <v/>
      </c>
      <c r="AI208" t="str">
        <f t="shared" si="34"/>
        <v/>
      </c>
      <c r="AL208" t="str">
        <f t="shared" si="35"/>
        <v/>
      </c>
      <c r="AN208" t="str">
        <f t="shared" si="36"/>
        <v/>
      </c>
      <c r="AQ208" t="str">
        <f t="shared" si="37"/>
        <v/>
      </c>
      <c r="AR208" t="str">
        <f t="shared" si="38"/>
        <v/>
      </c>
      <c r="AS208" t="str">
        <f t="shared" si="39"/>
        <v/>
      </c>
      <c r="AT208" t="str">
        <f t="shared" si="40"/>
        <v/>
      </c>
      <c r="BG208" t="str">
        <f t="shared" si="41"/>
        <v/>
      </c>
      <c r="BH208" t="str">
        <f t="shared" si="42"/>
        <v/>
      </c>
      <c r="BL208" t="str">
        <f>IFERROR(INDEX(_names_lookup!$C:$C,MATCH(BK208,_names_lookup!$A:$A,0)),"")</f>
        <v/>
      </c>
      <c r="BM208" t="str">
        <f>IFERROR(INDEX(_names_lookup!$B:$B,MATCH(BK208,_names_lookup!$A:$A,0)),"")</f>
        <v/>
      </c>
      <c r="BS208" t="str">
        <f t="shared" si="43"/>
        <v/>
      </c>
    </row>
    <row r="209" spans="15:71" x14ac:dyDescent="0.2">
      <c r="O209" t="str">
        <f>IFERROR(INDEX(_courses_lookup!$C:$C,MATCH(K209&amp;L209,_courses_lookup!$E:$E,0)),"")</f>
        <v/>
      </c>
      <c r="P209" t="str">
        <f>IFERROR(INDEX(_courses_lookup!$D:$D,MATCH(K209&amp;L209,_courses_lookup!$E:$E,0)),"")</f>
        <v/>
      </c>
      <c r="AG209" t="str">
        <f t="shared" si="33"/>
        <v/>
      </c>
      <c r="AI209" t="str">
        <f t="shared" si="34"/>
        <v/>
      </c>
      <c r="AL209" t="str">
        <f t="shared" si="35"/>
        <v/>
      </c>
      <c r="AN209" t="str">
        <f t="shared" si="36"/>
        <v/>
      </c>
      <c r="AQ209" t="str">
        <f t="shared" si="37"/>
        <v/>
      </c>
      <c r="AR209" t="str">
        <f t="shared" si="38"/>
        <v/>
      </c>
      <c r="AS209" t="str">
        <f t="shared" si="39"/>
        <v/>
      </c>
      <c r="AT209" t="str">
        <f t="shared" si="40"/>
        <v/>
      </c>
      <c r="BG209" t="str">
        <f t="shared" si="41"/>
        <v/>
      </c>
      <c r="BH209" t="str">
        <f t="shared" si="42"/>
        <v/>
      </c>
      <c r="BL209" t="str">
        <f>IFERROR(INDEX(_names_lookup!$C:$C,MATCH(BK209,_names_lookup!$A:$A,0)),"")</f>
        <v/>
      </c>
      <c r="BM209" t="str">
        <f>IFERROR(INDEX(_names_lookup!$B:$B,MATCH(BK209,_names_lookup!$A:$A,0)),"")</f>
        <v/>
      </c>
      <c r="BS209" t="str">
        <f t="shared" si="43"/>
        <v/>
      </c>
    </row>
    <row r="210" spans="15:71" x14ac:dyDescent="0.2">
      <c r="O210" t="str">
        <f>IFERROR(INDEX(_courses_lookup!$C:$C,MATCH(K210&amp;L210,_courses_lookup!$E:$E,0)),"")</f>
        <v/>
      </c>
      <c r="P210" t="str">
        <f>IFERROR(INDEX(_courses_lookup!$D:$D,MATCH(K210&amp;L210,_courses_lookup!$E:$E,0)),"")</f>
        <v/>
      </c>
      <c r="AG210" t="str">
        <f t="shared" si="33"/>
        <v/>
      </c>
      <c r="AI210" t="str">
        <f t="shared" si="34"/>
        <v/>
      </c>
      <c r="AL210" t="str">
        <f t="shared" si="35"/>
        <v/>
      </c>
      <c r="AN210" t="str">
        <f t="shared" si="36"/>
        <v/>
      </c>
      <c r="AQ210" t="str">
        <f t="shared" si="37"/>
        <v/>
      </c>
      <c r="AR210" t="str">
        <f t="shared" si="38"/>
        <v/>
      </c>
      <c r="AS210" t="str">
        <f t="shared" si="39"/>
        <v/>
      </c>
      <c r="AT210" t="str">
        <f t="shared" si="40"/>
        <v/>
      </c>
      <c r="BG210" t="str">
        <f t="shared" si="41"/>
        <v/>
      </c>
      <c r="BH210" t="str">
        <f t="shared" si="42"/>
        <v/>
      </c>
      <c r="BL210" t="str">
        <f>IFERROR(INDEX(_names_lookup!$C:$C,MATCH(BK210,_names_lookup!$A:$A,0)),"")</f>
        <v/>
      </c>
      <c r="BM210" t="str">
        <f>IFERROR(INDEX(_names_lookup!$B:$B,MATCH(BK210,_names_lookup!$A:$A,0)),"")</f>
        <v/>
      </c>
      <c r="BS210" t="str">
        <f t="shared" si="43"/>
        <v/>
      </c>
    </row>
    <row r="211" spans="15:71" x14ac:dyDescent="0.2">
      <c r="O211" t="str">
        <f>IFERROR(INDEX(_courses_lookup!$C:$C,MATCH(K211&amp;L211,_courses_lookup!$E:$E,0)),"")</f>
        <v/>
      </c>
      <c r="P211" t="str">
        <f>IFERROR(INDEX(_courses_lookup!$D:$D,MATCH(K211&amp;L211,_courses_lookup!$E:$E,0)),"")</f>
        <v/>
      </c>
      <c r="AG211" t="str">
        <f t="shared" si="33"/>
        <v/>
      </c>
      <c r="AI211" t="str">
        <f t="shared" si="34"/>
        <v/>
      </c>
      <c r="AL211" t="str">
        <f t="shared" si="35"/>
        <v/>
      </c>
      <c r="AN211" t="str">
        <f t="shared" si="36"/>
        <v/>
      </c>
      <c r="AQ211" t="str">
        <f t="shared" si="37"/>
        <v/>
      </c>
      <c r="AR211" t="str">
        <f t="shared" si="38"/>
        <v/>
      </c>
      <c r="AS211" t="str">
        <f t="shared" si="39"/>
        <v/>
      </c>
      <c r="AT211" t="str">
        <f t="shared" si="40"/>
        <v/>
      </c>
      <c r="BG211" t="str">
        <f t="shared" si="41"/>
        <v/>
      </c>
      <c r="BH211" t="str">
        <f t="shared" si="42"/>
        <v/>
      </c>
      <c r="BL211" t="str">
        <f>IFERROR(INDEX(_names_lookup!$C:$C,MATCH(BK211,_names_lookup!$A:$A,0)),"")</f>
        <v/>
      </c>
      <c r="BM211" t="str">
        <f>IFERROR(INDEX(_names_lookup!$B:$B,MATCH(BK211,_names_lookup!$A:$A,0)),"")</f>
        <v/>
      </c>
      <c r="BS211" t="str">
        <f t="shared" si="43"/>
        <v/>
      </c>
    </row>
    <row r="212" spans="15:71" x14ac:dyDescent="0.2">
      <c r="O212" t="str">
        <f>IFERROR(INDEX(_courses_lookup!$C:$C,MATCH(K212&amp;L212,_courses_lookup!$E:$E,0)),"")</f>
        <v/>
      </c>
      <c r="P212" t="str">
        <f>IFERROR(INDEX(_courses_lookup!$D:$D,MATCH(K212&amp;L212,_courses_lookup!$E:$E,0)),"")</f>
        <v/>
      </c>
      <c r="AG212" t="str">
        <f t="shared" si="33"/>
        <v/>
      </c>
      <c r="AI212" t="str">
        <f t="shared" si="34"/>
        <v/>
      </c>
      <c r="AL212" t="str">
        <f t="shared" si="35"/>
        <v/>
      </c>
      <c r="AN212" t="str">
        <f t="shared" si="36"/>
        <v/>
      </c>
      <c r="AQ212" t="str">
        <f t="shared" si="37"/>
        <v/>
      </c>
      <c r="AR212" t="str">
        <f t="shared" si="38"/>
        <v/>
      </c>
      <c r="AS212" t="str">
        <f t="shared" si="39"/>
        <v/>
      </c>
      <c r="AT212" t="str">
        <f t="shared" si="40"/>
        <v/>
      </c>
      <c r="BG212" t="str">
        <f t="shared" si="41"/>
        <v/>
      </c>
      <c r="BH212" t="str">
        <f t="shared" si="42"/>
        <v/>
      </c>
      <c r="BL212" t="str">
        <f>IFERROR(INDEX(_names_lookup!$C:$C,MATCH(BK212,_names_lookup!$A:$A,0)),"")</f>
        <v/>
      </c>
      <c r="BM212" t="str">
        <f>IFERROR(INDEX(_names_lookup!$B:$B,MATCH(BK212,_names_lookup!$A:$A,0)),"")</f>
        <v/>
      </c>
      <c r="BS212" t="str">
        <f t="shared" si="43"/>
        <v/>
      </c>
    </row>
    <row r="213" spans="15:71" x14ac:dyDescent="0.2">
      <c r="O213" t="str">
        <f>IFERROR(INDEX(_courses_lookup!$C:$C,MATCH(K213&amp;L213,_courses_lookup!$E:$E,0)),"")</f>
        <v/>
      </c>
      <c r="P213" t="str">
        <f>IFERROR(INDEX(_courses_lookup!$D:$D,MATCH(K213&amp;L213,_courses_lookup!$E:$E,0)),"")</f>
        <v/>
      </c>
      <c r="AG213" t="str">
        <f t="shared" si="33"/>
        <v/>
      </c>
      <c r="AI213" t="str">
        <f t="shared" si="34"/>
        <v/>
      </c>
      <c r="AL213" t="str">
        <f t="shared" si="35"/>
        <v/>
      </c>
      <c r="AN213" t="str">
        <f t="shared" si="36"/>
        <v/>
      </c>
      <c r="AQ213" t="str">
        <f t="shared" si="37"/>
        <v/>
      </c>
      <c r="AR213" t="str">
        <f t="shared" si="38"/>
        <v/>
      </c>
      <c r="AS213" t="str">
        <f t="shared" si="39"/>
        <v/>
      </c>
      <c r="AT213" t="str">
        <f t="shared" si="40"/>
        <v/>
      </c>
      <c r="BG213" t="str">
        <f t="shared" si="41"/>
        <v/>
      </c>
      <c r="BH213" t="str">
        <f t="shared" si="42"/>
        <v/>
      </c>
      <c r="BL213" t="str">
        <f>IFERROR(INDEX(_names_lookup!$C:$C,MATCH(BK213,_names_lookup!$A:$A,0)),"")</f>
        <v/>
      </c>
      <c r="BM213" t="str">
        <f>IFERROR(INDEX(_names_lookup!$B:$B,MATCH(BK213,_names_lookup!$A:$A,0)),"")</f>
        <v/>
      </c>
      <c r="BS213" t="str">
        <f t="shared" si="43"/>
        <v/>
      </c>
    </row>
    <row r="214" spans="15:71" x14ac:dyDescent="0.2">
      <c r="O214" t="str">
        <f>IFERROR(INDEX(_courses_lookup!$C:$C,MATCH(K214&amp;L214,_courses_lookup!$E:$E,0)),"")</f>
        <v/>
      </c>
      <c r="P214" t="str">
        <f>IFERROR(INDEX(_courses_lookup!$D:$D,MATCH(K214&amp;L214,_courses_lookup!$E:$E,0)),"")</f>
        <v/>
      </c>
      <c r="AG214" t="str">
        <f t="shared" si="33"/>
        <v/>
      </c>
      <c r="AI214" t="str">
        <f t="shared" si="34"/>
        <v/>
      </c>
      <c r="AL214" t="str">
        <f t="shared" si="35"/>
        <v/>
      </c>
      <c r="AN214" t="str">
        <f t="shared" si="36"/>
        <v/>
      </c>
      <c r="AQ214" t="str">
        <f t="shared" si="37"/>
        <v/>
      </c>
      <c r="AR214" t="str">
        <f t="shared" si="38"/>
        <v/>
      </c>
      <c r="AS214" t="str">
        <f t="shared" si="39"/>
        <v/>
      </c>
      <c r="AT214" t="str">
        <f t="shared" si="40"/>
        <v/>
      </c>
      <c r="BG214" t="str">
        <f t="shared" si="41"/>
        <v/>
      </c>
      <c r="BH214" t="str">
        <f t="shared" si="42"/>
        <v/>
      </c>
      <c r="BL214" t="str">
        <f>IFERROR(INDEX(_names_lookup!$C:$C,MATCH(BK214,_names_lookup!$A:$A,0)),"")</f>
        <v/>
      </c>
      <c r="BM214" t="str">
        <f>IFERROR(INDEX(_names_lookup!$B:$B,MATCH(BK214,_names_lookup!$A:$A,0)),"")</f>
        <v/>
      </c>
      <c r="BS214" t="str">
        <f t="shared" si="43"/>
        <v/>
      </c>
    </row>
    <row r="215" spans="15:71" x14ac:dyDescent="0.2">
      <c r="O215" t="str">
        <f>IFERROR(INDEX(_courses_lookup!$C:$C,MATCH(K215&amp;L215,_courses_lookup!$E:$E,0)),"")</f>
        <v/>
      </c>
      <c r="P215" t="str">
        <f>IFERROR(INDEX(_courses_lookup!$D:$D,MATCH(K215&amp;L215,_courses_lookup!$E:$E,0)),"")</f>
        <v/>
      </c>
      <c r="AG215" t="str">
        <f t="shared" si="33"/>
        <v/>
      </c>
      <c r="AI215" t="str">
        <f t="shared" si="34"/>
        <v/>
      </c>
      <c r="AL215" t="str">
        <f t="shared" si="35"/>
        <v/>
      </c>
      <c r="AN215" t="str">
        <f t="shared" si="36"/>
        <v/>
      </c>
      <c r="AQ215" t="str">
        <f t="shared" si="37"/>
        <v/>
      </c>
      <c r="AR215" t="str">
        <f t="shared" si="38"/>
        <v/>
      </c>
      <c r="AS215" t="str">
        <f t="shared" si="39"/>
        <v/>
      </c>
      <c r="AT215" t="str">
        <f t="shared" si="40"/>
        <v/>
      </c>
      <c r="BG215" t="str">
        <f t="shared" si="41"/>
        <v/>
      </c>
      <c r="BH215" t="str">
        <f t="shared" si="42"/>
        <v/>
      </c>
      <c r="BL215" t="str">
        <f>IFERROR(INDEX(_names_lookup!$C:$C,MATCH(BK215,_names_lookup!$A:$A,0)),"")</f>
        <v/>
      </c>
      <c r="BM215" t="str">
        <f>IFERROR(INDEX(_names_lookup!$B:$B,MATCH(BK215,_names_lookup!$A:$A,0)),"")</f>
        <v/>
      </c>
      <c r="BS215" t="str">
        <f t="shared" si="43"/>
        <v/>
      </c>
    </row>
    <row r="216" spans="15:71" x14ac:dyDescent="0.2">
      <c r="O216" t="str">
        <f>IFERROR(INDEX(_courses_lookup!$C:$C,MATCH(K216&amp;L216,_courses_lookup!$E:$E,0)),"")</f>
        <v/>
      </c>
      <c r="P216" t="str">
        <f>IFERROR(INDEX(_courses_lookup!$D:$D,MATCH(K216&amp;L216,_courses_lookup!$E:$E,0)),"")</f>
        <v/>
      </c>
      <c r="AG216" t="str">
        <f t="shared" si="33"/>
        <v/>
      </c>
      <c r="AI216" t="str">
        <f t="shared" si="34"/>
        <v/>
      </c>
      <c r="AL216" t="str">
        <f t="shared" si="35"/>
        <v/>
      </c>
      <c r="AN216" t="str">
        <f t="shared" si="36"/>
        <v/>
      </c>
      <c r="AQ216" t="str">
        <f t="shared" si="37"/>
        <v/>
      </c>
      <c r="AR216" t="str">
        <f t="shared" si="38"/>
        <v/>
      </c>
      <c r="AS216" t="str">
        <f t="shared" si="39"/>
        <v/>
      </c>
      <c r="AT216" t="str">
        <f t="shared" si="40"/>
        <v/>
      </c>
      <c r="BG216" t="str">
        <f t="shared" si="41"/>
        <v/>
      </c>
      <c r="BH216" t="str">
        <f t="shared" si="42"/>
        <v/>
      </c>
      <c r="BL216" t="str">
        <f>IFERROR(INDEX(_names_lookup!$C:$C,MATCH(BK216,_names_lookup!$A:$A,0)),"")</f>
        <v/>
      </c>
      <c r="BM216" t="str">
        <f>IFERROR(INDEX(_names_lookup!$B:$B,MATCH(BK216,_names_lookup!$A:$A,0)),"")</f>
        <v/>
      </c>
      <c r="BS216" t="str">
        <f t="shared" si="43"/>
        <v/>
      </c>
    </row>
    <row r="217" spans="15:71" x14ac:dyDescent="0.2">
      <c r="O217" t="str">
        <f>IFERROR(INDEX(_courses_lookup!$C:$C,MATCH(K217&amp;L217,_courses_lookup!$E:$E,0)),"")</f>
        <v/>
      </c>
      <c r="P217" t="str">
        <f>IFERROR(INDEX(_courses_lookup!$D:$D,MATCH(K217&amp;L217,_courses_lookup!$E:$E,0)),"")</f>
        <v/>
      </c>
      <c r="AG217" t="str">
        <f t="shared" si="33"/>
        <v/>
      </c>
      <c r="AI217" t="str">
        <f t="shared" si="34"/>
        <v/>
      </c>
      <c r="AL217" t="str">
        <f t="shared" si="35"/>
        <v/>
      </c>
      <c r="AN217" t="str">
        <f t="shared" si="36"/>
        <v/>
      </c>
      <c r="AQ217" t="str">
        <f t="shared" si="37"/>
        <v/>
      </c>
      <c r="AR217" t="str">
        <f t="shared" si="38"/>
        <v/>
      </c>
      <c r="AS217" t="str">
        <f t="shared" si="39"/>
        <v/>
      </c>
      <c r="AT217" t="str">
        <f t="shared" si="40"/>
        <v/>
      </c>
      <c r="BG217" t="str">
        <f t="shared" si="41"/>
        <v/>
      </c>
      <c r="BH217" t="str">
        <f t="shared" si="42"/>
        <v/>
      </c>
      <c r="BL217" t="str">
        <f>IFERROR(INDEX(_names_lookup!$C:$C,MATCH(BK217,_names_lookup!$A:$A,0)),"")</f>
        <v/>
      </c>
      <c r="BM217" t="str">
        <f>IFERROR(INDEX(_names_lookup!$B:$B,MATCH(BK217,_names_lookup!$A:$A,0)),"")</f>
        <v/>
      </c>
      <c r="BS217" t="str">
        <f t="shared" si="43"/>
        <v/>
      </c>
    </row>
    <row r="218" spans="15:71" x14ac:dyDescent="0.2">
      <c r="O218" t="str">
        <f>IFERROR(INDEX(_courses_lookup!$C:$C,MATCH(K218&amp;L218,_courses_lookup!$E:$E,0)),"")</f>
        <v/>
      </c>
      <c r="P218" t="str">
        <f>IFERROR(INDEX(_courses_lookup!$D:$D,MATCH(K218&amp;L218,_courses_lookup!$E:$E,0)),"")</f>
        <v/>
      </c>
      <c r="AG218" t="str">
        <f t="shared" si="33"/>
        <v/>
      </c>
      <c r="AI218" t="str">
        <f t="shared" si="34"/>
        <v/>
      </c>
      <c r="AL218" t="str">
        <f t="shared" si="35"/>
        <v/>
      </c>
      <c r="AN218" t="str">
        <f t="shared" si="36"/>
        <v/>
      </c>
      <c r="AQ218" t="str">
        <f t="shared" si="37"/>
        <v/>
      </c>
      <c r="AR218" t="str">
        <f t="shared" si="38"/>
        <v/>
      </c>
      <c r="AS218" t="str">
        <f t="shared" si="39"/>
        <v/>
      </c>
      <c r="AT218" t="str">
        <f t="shared" si="40"/>
        <v/>
      </c>
      <c r="BG218" t="str">
        <f t="shared" si="41"/>
        <v/>
      </c>
      <c r="BH218" t="str">
        <f t="shared" si="42"/>
        <v/>
      </c>
      <c r="BL218" t="str">
        <f>IFERROR(INDEX(_names_lookup!$C:$C,MATCH(BK218,_names_lookup!$A:$A,0)),"")</f>
        <v/>
      </c>
      <c r="BM218" t="str">
        <f>IFERROR(INDEX(_names_lookup!$B:$B,MATCH(BK218,_names_lookup!$A:$A,0)),"")</f>
        <v/>
      </c>
      <c r="BS218" t="str">
        <f t="shared" si="43"/>
        <v/>
      </c>
    </row>
    <row r="219" spans="15:71" x14ac:dyDescent="0.2">
      <c r="O219" t="str">
        <f>IFERROR(INDEX(_courses_lookup!$C:$C,MATCH(K219&amp;L219,_courses_lookup!$E:$E,0)),"")</f>
        <v/>
      </c>
      <c r="P219" t="str">
        <f>IFERROR(INDEX(_courses_lookup!$D:$D,MATCH(K219&amp;L219,_courses_lookup!$E:$E,0)),"")</f>
        <v/>
      </c>
      <c r="AG219" t="str">
        <f t="shared" si="33"/>
        <v/>
      </c>
      <c r="AI219" t="str">
        <f t="shared" si="34"/>
        <v/>
      </c>
      <c r="AL219" t="str">
        <f t="shared" si="35"/>
        <v/>
      </c>
      <c r="AN219" t="str">
        <f t="shared" si="36"/>
        <v/>
      </c>
      <c r="AQ219" t="str">
        <f t="shared" si="37"/>
        <v/>
      </c>
      <c r="AR219" t="str">
        <f t="shared" si="38"/>
        <v/>
      </c>
      <c r="AS219" t="str">
        <f t="shared" si="39"/>
        <v/>
      </c>
      <c r="AT219" t="str">
        <f t="shared" si="40"/>
        <v/>
      </c>
      <c r="BG219" t="str">
        <f t="shared" si="41"/>
        <v/>
      </c>
      <c r="BH219" t="str">
        <f t="shared" si="42"/>
        <v/>
      </c>
      <c r="BL219" t="str">
        <f>IFERROR(INDEX(_names_lookup!$C:$C,MATCH(BK219,_names_lookup!$A:$A,0)),"")</f>
        <v/>
      </c>
      <c r="BM219" t="str">
        <f>IFERROR(INDEX(_names_lookup!$B:$B,MATCH(BK219,_names_lookup!$A:$A,0)),"")</f>
        <v/>
      </c>
      <c r="BS219" t="str">
        <f t="shared" si="43"/>
        <v/>
      </c>
    </row>
    <row r="220" spans="15:71" x14ac:dyDescent="0.2">
      <c r="O220" t="str">
        <f>IFERROR(INDEX(_courses_lookup!$C:$C,MATCH(K220&amp;L220,_courses_lookup!$E:$E,0)),"")</f>
        <v/>
      </c>
      <c r="P220" t="str">
        <f>IFERROR(INDEX(_courses_lookup!$D:$D,MATCH(K220&amp;L220,_courses_lookup!$E:$E,0)),"")</f>
        <v/>
      </c>
      <c r="AG220" t="str">
        <f t="shared" si="33"/>
        <v/>
      </c>
      <c r="AI220" t="str">
        <f t="shared" si="34"/>
        <v/>
      </c>
      <c r="AL220" t="str">
        <f t="shared" si="35"/>
        <v/>
      </c>
      <c r="AN220" t="str">
        <f t="shared" si="36"/>
        <v/>
      </c>
      <c r="AQ220" t="str">
        <f t="shared" si="37"/>
        <v/>
      </c>
      <c r="AR220" t="str">
        <f t="shared" si="38"/>
        <v/>
      </c>
      <c r="AS220" t="str">
        <f t="shared" si="39"/>
        <v/>
      </c>
      <c r="AT220" t="str">
        <f t="shared" si="40"/>
        <v/>
      </c>
      <c r="BG220" t="str">
        <f t="shared" si="41"/>
        <v/>
      </c>
      <c r="BH220" t="str">
        <f t="shared" si="42"/>
        <v/>
      </c>
      <c r="BL220" t="str">
        <f>IFERROR(INDEX(_names_lookup!$C:$C,MATCH(BK220,_names_lookup!$A:$A,0)),"")</f>
        <v/>
      </c>
      <c r="BM220" t="str">
        <f>IFERROR(INDEX(_names_lookup!$B:$B,MATCH(BK220,_names_lookup!$A:$A,0)),"")</f>
        <v/>
      </c>
      <c r="BS220" t="str">
        <f t="shared" si="43"/>
        <v/>
      </c>
    </row>
    <row r="221" spans="15:71" x14ac:dyDescent="0.2">
      <c r="O221" t="str">
        <f>IFERROR(INDEX(_courses_lookup!$C:$C,MATCH(K221&amp;L221,_courses_lookup!$E:$E,0)),"")</f>
        <v/>
      </c>
      <c r="P221" t="str">
        <f>IFERROR(INDEX(_courses_lookup!$D:$D,MATCH(K221&amp;L221,_courses_lookup!$E:$E,0)),"")</f>
        <v/>
      </c>
      <c r="AG221" t="str">
        <f t="shared" si="33"/>
        <v/>
      </c>
      <c r="AI221" t="str">
        <f t="shared" si="34"/>
        <v/>
      </c>
      <c r="AL221" t="str">
        <f t="shared" si="35"/>
        <v/>
      </c>
      <c r="AN221" t="str">
        <f t="shared" si="36"/>
        <v/>
      </c>
      <c r="AQ221" t="str">
        <f t="shared" si="37"/>
        <v/>
      </c>
      <c r="AR221" t="str">
        <f t="shared" si="38"/>
        <v/>
      </c>
      <c r="AS221" t="str">
        <f t="shared" si="39"/>
        <v/>
      </c>
      <c r="AT221" t="str">
        <f t="shared" si="40"/>
        <v/>
      </c>
      <c r="BG221" t="str">
        <f t="shared" si="41"/>
        <v/>
      </c>
      <c r="BH221" t="str">
        <f t="shared" si="42"/>
        <v/>
      </c>
      <c r="BL221" t="str">
        <f>IFERROR(INDEX(_names_lookup!$C:$C,MATCH(BK221,_names_lookup!$A:$A,0)),"")</f>
        <v/>
      </c>
      <c r="BM221" t="str">
        <f>IFERROR(INDEX(_names_lookup!$B:$B,MATCH(BK221,_names_lookup!$A:$A,0)),"")</f>
        <v/>
      </c>
      <c r="BS221" t="str">
        <f t="shared" si="43"/>
        <v/>
      </c>
    </row>
    <row r="222" spans="15:71" x14ac:dyDescent="0.2">
      <c r="O222" t="str">
        <f>IFERROR(INDEX(_courses_lookup!$C:$C,MATCH(K222&amp;L222,_courses_lookup!$E:$E,0)),"")</f>
        <v/>
      </c>
      <c r="P222" t="str">
        <f>IFERROR(INDEX(_courses_lookup!$D:$D,MATCH(K222&amp;L222,_courses_lookup!$E:$E,0)),"")</f>
        <v/>
      </c>
      <c r="AG222" t="str">
        <f t="shared" si="33"/>
        <v/>
      </c>
      <c r="AI222" t="str">
        <f t="shared" si="34"/>
        <v/>
      </c>
      <c r="AL222" t="str">
        <f t="shared" si="35"/>
        <v/>
      </c>
      <c r="AN222" t="str">
        <f t="shared" si="36"/>
        <v/>
      </c>
      <c r="AQ222" t="str">
        <f t="shared" si="37"/>
        <v/>
      </c>
      <c r="AR222" t="str">
        <f t="shared" si="38"/>
        <v/>
      </c>
      <c r="AS222" t="str">
        <f t="shared" si="39"/>
        <v/>
      </c>
      <c r="AT222" t="str">
        <f t="shared" si="40"/>
        <v/>
      </c>
      <c r="BG222" t="str">
        <f t="shared" si="41"/>
        <v/>
      </c>
      <c r="BH222" t="str">
        <f t="shared" si="42"/>
        <v/>
      </c>
      <c r="BL222" t="str">
        <f>IFERROR(INDEX(_names_lookup!$C:$C,MATCH(BK222,_names_lookup!$A:$A,0)),"")</f>
        <v/>
      </c>
      <c r="BM222" t="str">
        <f>IFERROR(INDEX(_names_lookup!$B:$B,MATCH(BK222,_names_lookup!$A:$A,0)),"")</f>
        <v/>
      </c>
      <c r="BS222" t="str">
        <f t="shared" si="43"/>
        <v/>
      </c>
    </row>
    <row r="223" spans="15:71" x14ac:dyDescent="0.2">
      <c r="O223" t="str">
        <f>IFERROR(INDEX(_courses_lookup!$C:$C,MATCH(K223&amp;L223,_courses_lookup!$E:$E,0)),"")</f>
        <v/>
      </c>
      <c r="P223" t="str">
        <f>IFERROR(INDEX(_courses_lookup!$D:$D,MATCH(K223&amp;L223,_courses_lookup!$E:$E,0)),"")</f>
        <v/>
      </c>
      <c r="AG223" t="str">
        <f t="shared" si="33"/>
        <v/>
      </c>
      <c r="AI223" t="str">
        <f t="shared" si="34"/>
        <v/>
      </c>
      <c r="AL223" t="str">
        <f t="shared" si="35"/>
        <v/>
      </c>
      <c r="AN223" t="str">
        <f t="shared" si="36"/>
        <v/>
      </c>
      <c r="AQ223" t="str">
        <f t="shared" si="37"/>
        <v/>
      </c>
      <c r="AR223" t="str">
        <f t="shared" si="38"/>
        <v/>
      </c>
      <c r="AS223" t="str">
        <f t="shared" si="39"/>
        <v/>
      </c>
      <c r="AT223" t="str">
        <f t="shared" si="40"/>
        <v/>
      </c>
      <c r="BG223" t="str">
        <f t="shared" si="41"/>
        <v/>
      </c>
      <c r="BH223" t="str">
        <f t="shared" si="42"/>
        <v/>
      </c>
      <c r="BL223" t="str">
        <f>IFERROR(INDEX(_names_lookup!$C:$C,MATCH(BK223,_names_lookup!$A:$A,0)),"")</f>
        <v/>
      </c>
      <c r="BM223" t="str">
        <f>IFERROR(INDEX(_names_lookup!$B:$B,MATCH(BK223,_names_lookup!$A:$A,0)),"")</f>
        <v/>
      </c>
      <c r="BS223" t="str">
        <f t="shared" si="43"/>
        <v/>
      </c>
    </row>
    <row r="224" spans="15:71" x14ac:dyDescent="0.2">
      <c r="O224" t="str">
        <f>IFERROR(INDEX(_courses_lookup!$C:$C,MATCH(K224&amp;L224,_courses_lookup!$E:$E,0)),"")</f>
        <v/>
      </c>
      <c r="P224" t="str">
        <f>IFERROR(INDEX(_courses_lookup!$D:$D,MATCH(K224&amp;L224,_courses_lookup!$E:$E,0)),"")</f>
        <v/>
      </c>
      <c r="AG224" t="str">
        <f t="shared" si="33"/>
        <v/>
      </c>
      <c r="AI224" t="str">
        <f t="shared" si="34"/>
        <v/>
      </c>
      <c r="AL224" t="str">
        <f t="shared" si="35"/>
        <v/>
      </c>
      <c r="AN224" t="str">
        <f t="shared" si="36"/>
        <v/>
      </c>
      <c r="AQ224" t="str">
        <f t="shared" si="37"/>
        <v/>
      </c>
      <c r="AR224" t="str">
        <f t="shared" si="38"/>
        <v/>
      </c>
      <c r="AS224" t="str">
        <f t="shared" si="39"/>
        <v/>
      </c>
      <c r="AT224" t="str">
        <f t="shared" si="40"/>
        <v/>
      </c>
      <c r="BG224" t="str">
        <f t="shared" si="41"/>
        <v/>
      </c>
      <c r="BH224" t="str">
        <f t="shared" si="42"/>
        <v/>
      </c>
      <c r="BL224" t="str">
        <f>IFERROR(INDEX(_names_lookup!$C:$C,MATCH(BK224,_names_lookup!$A:$A,0)),"")</f>
        <v/>
      </c>
      <c r="BM224" t="str">
        <f>IFERROR(INDEX(_names_lookup!$B:$B,MATCH(BK224,_names_lookup!$A:$A,0)),"")</f>
        <v/>
      </c>
      <c r="BS224" t="str">
        <f t="shared" si="43"/>
        <v/>
      </c>
    </row>
    <row r="225" spans="15:71" x14ac:dyDescent="0.2">
      <c r="O225" t="str">
        <f>IFERROR(INDEX(_courses_lookup!$C:$C,MATCH(K225&amp;L225,_courses_lookup!$E:$E,0)),"")</f>
        <v/>
      </c>
      <c r="P225" t="str">
        <f>IFERROR(INDEX(_courses_lookup!$D:$D,MATCH(K225&amp;L225,_courses_lookup!$E:$E,0)),"")</f>
        <v/>
      </c>
      <c r="AG225" t="str">
        <f t="shared" si="33"/>
        <v/>
      </c>
      <c r="AI225" t="str">
        <f t="shared" si="34"/>
        <v/>
      </c>
      <c r="AL225" t="str">
        <f t="shared" si="35"/>
        <v/>
      </c>
      <c r="AN225" t="str">
        <f t="shared" si="36"/>
        <v/>
      </c>
      <c r="AQ225" t="str">
        <f t="shared" si="37"/>
        <v/>
      </c>
      <c r="AR225" t="str">
        <f t="shared" si="38"/>
        <v/>
      </c>
      <c r="AS225" t="str">
        <f t="shared" si="39"/>
        <v/>
      </c>
      <c r="AT225" t="str">
        <f t="shared" si="40"/>
        <v/>
      </c>
      <c r="BG225" t="str">
        <f t="shared" si="41"/>
        <v/>
      </c>
      <c r="BH225" t="str">
        <f t="shared" si="42"/>
        <v/>
      </c>
      <c r="BL225" t="str">
        <f>IFERROR(INDEX(_names_lookup!$C:$C,MATCH(BK225,_names_lookup!$A:$A,0)),"")</f>
        <v/>
      </c>
      <c r="BM225" t="str">
        <f>IFERROR(INDEX(_names_lookup!$B:$B,MATCH(BK225,_names_lookup!$A:$A,0)),"")</f>
        <v/>
      </c>
      <c r="BS225" t="str">
        <f t="shared" si="43"/>
        <v/>
      </c>
    </row>
    <row r="226" spans="15:71" x14ac:dyDescent="0.2">
      <c r="O226" t="str">
        <f>IFERROR(INDEX(_courses_lookup!$C:$C,MATCH(K226&amp;L226,_courses_lookup!$E:$E,0)),"")</f>
        <v/>
      </c>
      <c r="P226" t="str">
        <f>IFERROR(INDEX(_courses_lookup!$D:$D,MATCH(K226&amp;L226,_courses_lookup!$E:$E,0)),"")</f>
        <v/>
      </c>
      <c r="AG226" t="str">
        <f t="shared" si="33"/>
        <v/>
      </c>
      <c r="AI226" t="str">
        <f t="shared" si="34"/>
        <v/>
      </c>
      <c r="AL226" t="str">
        <f t="shared" si="35"/>
        <v/>
      </c>
      <c r="AN226" t="str">
        <f t="shared" si="36"/>
        <v/>
      </c>
      <c r="AQ226" t="str">
        <f t="shared" si="37"/>
        <v/>
      </c>
      <c r="AR226" t="str">
        <f t="shared" si="38"/>
        <v/>
      </c>
      <c r="AS226" t="str">
        <f t="shared" si="39"/>
        <v/>
      </c>
      <c r="AT226" t="str">
        <f t="shared" si="40"/>
        <v/>
      </c>
      <c r="BG226" t="str">
        <f t="shared" si="41"/>
        <v/>
      </c>
      <c r="BH226" t="str">
        <f t="shared" si="42"/>
        <v/>
      </c>
      <c r="BL226" t="str">
        <f>IFERROR(INDEX(_names_lookup!$C:$C,MATCH(BK226,_names_lookup!$A:$A,0)),"")</f>
        <v/>
      </c>
      <c r="BM226" t="str">
        <f>IFERROR(INDEX(_names_lookup!$B:$B,MATCH(BK226,_names_lookup!$A:$A,0)),"")</f>
        <v/>
      </c>
      <c r="BS226" t="str">
        <f t="shared" si="43"/>
        <v/>
      </c>
    </row>
    <row r="227" spans="15:71" x14ac:dyDescent="0.2">
      <c r="O227" t="str">
        <f>IFERROR(INDEX(_courses_lookup!$C:$C,MATCH(K227&amp;L227,_courses_lookup!$E:$E,0)),"")</f>
        <v/>
      </c>
      <c r="P227" t="str">
        <f>IFERROR(INDEX(_courses_lookup!$D:$D,MATCH(K227&amp;L227,_courses_lookup!$E:$E,0)),"")</f>
        <v/>
      </c>
      <c r="AG227" t="str">
        <f t="shared" si="33"/>
        <v/>
      </c>
      <c r="AI227" t="str">
        <f t="shared" si="34"/>
        <v/>
      </c>
      <c r="AL227" t="str">
        <f t="shared" si="35"/>
        <v/>
      </c>
      <c r="AN227" t="str">
        <f t="shared" si="36"/>
        <v/>
      </c>
      <c r="AQ227" t="str">
        <f t="shared" si="37"/>
        <v/>
      </c>
      <c r="AR227" t="str">
        <f t="shared" si="38"/>
        <v/>
      </c>
      <c r="AS227" t="str">
        <f t="shared" si="39"/>
        <v/>
      </c>
      <c r="AT227" t="str">
        <f t="shared" si="40"/>
        <v/>
      </c>
      <c r="BG227" t="str">
        <f t="shared" si="41"/>
        <v/>
      </c>
      <c r="BH227" t="str">
        <f t="shared" si="42"/>
        <v/>
      </c>
      <c r="BL227" t="str">
        <f>IFERROR(INDEX(_names_lookup!$C:$C,MATCH(BK227,_names_lookup!$A:$A,0)),"")</f>
        <v/>
      </c>
      <c r="BM227" t="str">
        <f>IFERROR(INDEX(_names_lookup!$B:$B,MATCH(BK227,_names_lookup!$A:$A,0)),"")</f>
        <v/>
      </c>
      <c r="BS227" t="str">
        <f t="shared" si="43"/>
        <v/>
      </c>
    </row>
    <row r="228" spans="15:71" x14ac:dyDescent="0.2">
      <c r="O228" t="str">
        <f>IFERROR(INDEX(_courses_lookup!$C:$C,MATCH(K228&amp;L228,_courses_lookup!$E:$E,0)),"")</f>
        <v/>
      </c>
      <c r="P228" t="str">
        <f>IFERROR(INDEX(_courses_lookup!$D:$D,MATCH(K228&amp;L228,_courses_lookup!$E:$E,0)),"")</f>
        <v/>
      </c>
      <c r="AG228" t="str">
        <f t="shared" si="33"/>
        <v/>
      </c>
      <c r="AI228" t="str">
        <f t="shared" si="34"/>
        <v/>
      </c>
      <c r="AL228" t="str">
        <f t="shared" si="35"/>
        <v/>
      </c>
      <c r="AN228" t="str">
        <f t="shared" si="36"/>
        <v/>
      </c>
      <c r="AQ228" t="str">
        <f t="shared" si="37"/>
        <v/>
      </c>
      <c r="AR228" t="str">
        <f t="shared" si="38"/>
        <v/>
      </c>
      <c r="AS228" t="str">
        <f t="shared" si="39"/>
        <v/>
      </c>
      <c r="AT228" t="str">
        <f t="shared" si="40"/>
        <v/>
      </c>
      <c r="BG228" t="str">
        <f t="shared" si="41"/>
        <v/>
      </c>
      <c r="BH228" t="str">
        <f t="shared" si="42"/>
        <v/>
      </c>
      <c r="BL228" t="str">
        <f>IFERROR(INDEX(_names_lookup!$C:$C,MATCH(BK228,_names_lookup!$A:$A,0)),"")</f>
        <v/>
      </c>
      <c r="BM228" t="str">
        <f>IFERROR(INDEX(_names_lookup!$B:$B,MATCH(BK228,_names_lookup!$A:$A,0)),"")</f>
        <v/>
      </c>
      <c r="BS228" t="str">
        <f t="shared" si="43"/>
        <v/>
      </c>
    </row>
    <row r="229" spans="15:71" x14ac:dyDescent="0.2">
      <c r="O229" t="str">
        <f>IFERROR(INDEX(_courses_lookup!$C:$C,MATCH(K229&amp;L229,_courses_lookup!$E:$E,0)),"")</f>
        <v/>
      </c>
      <c r="P229" t="str">
        <f>IFERROR(INDEX(_courses_lookup!$D:$D,MATCH(K229&amp;L229,_courses_lookup!$E:$E,0)),"")</f>
        <v/>
      </c>
      <c r="AG229" t="str">
        <f t="shared" si="33"/>
        <v/>
      </c>
      <c r="AI229" t="str">
        <f t="shared" si="34"/>
        <v/>
      </c>
      <c r="AL229" t="str">
        <f t="shared" si="35"/>
        <v/>
      </c>
      <c r="AN229" t="str">
        <f t="shared" si="36"/>
        <v/>
      </c>
      <c r="AQ229" t="str">
        <f t="shared" si="37"/>
        <v/>
      </c>
      <c r="AR229" t="str">
        <f t="shared" si="38"/>
        <v/>
      </c>
      <c r="AS229" t="str">
        <f t="shared" si="39"/>
        <v/>
      </c>
      <c r="AT229" t="str">
        <f t="shared" si="40"/>
        <v/>
      </c>
      <c r="BG229" t="str">
        <f t="shared" si="41"/>
        <v/>
      </c>
      <c r="BH229" t="str">
        <f t="shared" si="42"/>
        <v/>
      </c>
      <c r="BL229" t="str">
        <f>IFERROR(INDEX(_names_lookup!$C:$C,MATCH(BK229,_names_lookup!$A:$A,0)),"")</f>
        <v/>
      </c>
      <c r="BM229" t="str">
        <f>IFERROR(INDEX(_names_lookup!$B:$B,MATCH(BK229,_names_lookup!$A:$A,0)),"")</f>
        <v/>
      </c>
      <c r="BS229" t="str">
        <f t="shared" si="43"/>
        <v/>
      </c>
    </row>
    <row r="230" spans="15:71" x14ac:dyDescent="0.2">
      <c r="O230" t="str">
        <f>IFERROR(INDEX(_courses_lookup!$C:$C,MATCH(K230&amp;L230,_courses_lookup!$E:$E,0)),"")</f>
        <v/>
      </c>
      <c r="P230" t="str">
        <f>IFERROR(INDEX(_courses_lookup!$D:$D,MATCH(K230&amp;L230,_courses_lookup!$E:$E,0)),"")</f>
        <v/>
      </c>
      <c r="AG230" t="str">
        <f t="shared" si="33"/>
        <v/>
      </c>
      <c r="AI230" t="str">
        <f t="shared" si="34"/>
        <v/>
      </c>
      <c r="AL230" t="str">
        <f t="shared" si="35"/>
        <v/>
      </c>
      <c r="AN230" t="str">
        <f t="shared" si="36"/>
        <v/>
      </c>
      <c r="AQ230" t="str">
        <f t="shared" si="37"/>
        <v/>
      </c>
      <c r="AR230" t="str">
        <f t="shared" si="38"/>
        <v/>
      </c>
      <c r="AS230" t="str">
        <f t="shared" si="39"/>
        <v/>
      </c>
      <c r="AT230" t="str">
        <f t="shared" si="40"/>
        <v/>
      </c>
      <c r="BG230" t="str">
        <f t="shared" si="41"/>
        <v/>
      </c>
      <c r="BH230" t="str">
        <f t="shared" si="42"/>
        <v/>
      </c>
      <c r="BL230" t="str">
        <f>IFERROR(INDEX(_names_lookup!$C:$C,MATCH(BK230,_names_lookup!$A:$A,0)),"")</f>
        <v/>
      </c>
      <c r="BM230" t="str">
        <f>IFERROR(INDEX(_names_lookup!$B:$B,MATCH(BK230,_names_lookup!$A:$A,0)),"")</f>
        <v/>
      </c>
      <c r="BS230" t="str">
        <f t="shared" si="43"/>
        <v/>
      </c>
    </row>
    <row r="231" spans="15:71" x14ac:dyDescent="0.2">
      <c r="O231" t="str">
        <f>IFERROR(INDEX(_courses_lookup!$C:$C,MATCH(K231&amp;L231,_courses_lookup!$E:$E,0)),"")</f>
        <v/>
      </c>
      <c r="P231" t="str">
        <f>IFERROR(INDEX(_courses_lookup!$D:$D,MATCH(K231&amp;L231,_courses_lookup!$E:$E,0)),"")</f>
        <v/>
      </c>
      <c r="AG231" t="str">
        <f t="shared" si="33"/>
        <v/>
      </c>
      <c r="AI231" t="str">
        <f t="shared" si="34"/>
        <v/>
      </c>
      <c r="AL231" t="str">
        <f t="shared" si="35"/>
        <v/>
      </c>
      <c r="AN231" t="str">
        <f t="shared" si="36"/>
        <v/>
      </c>
      <c r="AQ231" t="str">
        <f t="shared" si="37"/>
        <v/>
      </c>
      <c r="AR231" t="str">
        <f t="shared" si="38"/>
        <v/>
      </c>
      <c r="AS231" t="str">
        <f t="shared" si="39"/>
        <v/>
      </c>
      <c r="AT231" t="str">
        <f t="shared" si="40"/>
        <v/>
      </c>
      <c r="BG231" t="str">
        <f t="shared" si="41"/>
        <v/>
      </c>
      <c r="BH231" t="str">
        <f t="shared" si="42"/>
        <v/>
      </c>
      <c r="BL231" t="str">
        <f>IFERROR(INDEX(_names_lookup!$C:$C,MATCH(BK231,_names_lookup!$A:$A,0)),"")</f>
        <v/>
      </c>
      <c r="BM231" t="str">
        <f>IFERROR(INDEX(_names_lookup!$B:$B,MATCH(BK231,_names_lookup!$A:$A,0)),"")</f>
        <v/>
      </c>
      <c r="BS231" t="str">
        <f t="shared" si="43"/>
        <v/>
      </c>
    </row>
    <row r="232" spans="15:71" x14ac:dyDescent="0.2">
      <c r="O232" t="str">
        <f>IFERROR(INDEX(_courses_lookup!$C:$C,MATCH(K232&amp;L232,_courses_lookup!$E:$E,0)),"")</f>
        <v/>
      </c>
      <c r="P232" t="str">
        <f>IFERROR(INDEX(_courses_lookup!$D:$D,MATCH(K232&amp;L232,_courses_lookup!$E:$E,0)),"")</f>
        <v/>
      </c>
      <c r="AG232" t="str">
        <f t="shared" si="33"/>
        <v/>
      </c>
      <c r="AI232" t="str">
        <f t="shared" si="34"/>
        <v/>
      </c>
      <c r="AL232" t="str">
        <f t="shared" si="35"/>
        <v/>
      </c>
      <c r="AN232" t="str">
        <f t="shared" si="36"/>
        <v/>
      </c>
      <c r="AQ232" t="str">
        <f t="shared" si="37"/>
        <v/>
      </c>
      <c r="AR232" t="str">
        <f t="shared" si="38"/>
        <v/>
      </c>
      <c r="AS232" t="str">
        <f t="shared" si="39"/>
        <v/>
      </c>
      <c r="AT232" t="str">
        <f t="shared" si="40"/>
        <v/>
      </c>
      <c r="BG232" t="str">
        <f t="shared" si="41"/>
        <v/>
      </c>
      <c r="BH232" t="str">
        <f t="shared" si="42"/>
        <v/>
      </c>
      <c r="BL232" t="str">
        <f>IFERROR(INDEX(_names_lookup!$C:$C,MATCH(BK232,_names_lookup!$A:$A,0)),"")</f>
        <v/>
      </c>
      <c r="BM232" t="str">
        <f>IFERROR(INDEX(_names_lookup!$B:$B,MATCH(BK232,_names_lookup!$A:$A,0)),"")</f>
        <v/>
      </c>
      <c r="BS232" t="str">
        <f t="shared" si="43"/>
        <v/>
      </c>
    </row>
    <row r="233" spans="15:71" x14ac:dyDescent="0.2">
      <c r="O233" t="str">
        <f>IFERROR(INDEX(_courses_lookup!$C:$C,MATCH(K233&amp;L233,_courses_lookup!$E:$E,0)),"")</f>
        <v/>
      </c>
      <c r="P233" t="str">
        <f>IFERROR(INDEX(_courses_lookup!$D:$D,MATCH(K233&amp;L233,_courses_lookup!$E:$E,0)),"")</f>
        <v/>
      </c>
      <c r="AG233" t="str">
        <f t="shared" si="33"/>
        <v/>
      </c>
      <c r="AI233" t="str">
        <f t="shared" si="34"/>
        <v/>
      </c>
      <c r="AL233" t="str">
        <f t="shared" si="35"/>
        <v/>
      </c>
      <c r="AN233" t="str">
        <f t="shared" si="36"/>
        <v/>
      </c>
      <c r="AQ233" t="str">
        <f t="shared" si="37"/>
        <v/>
      </c>
      <c r="AR233" t="str">
        <f t="shared" si="38"/>
        <v/>
      </c>
      <c r="AS233" t="str">
        <f t="shared" si="39"/>
        <v/>
      </c>
      <c r="AT233" t="str">
        <f t="shared" si="40"/>
        <v/>
      </c>
      <c r="BG233" t="str">
        <f t="shared" si="41"/>
        <v/>
      </c>
      <c r="BH233" t="str">
        <f t="shared" si="42"/>
        <v/>
      </c>
      <c r="BL233" t="str">
        <f>IFERROR(INDEX(_names_lookup!$C:$C,MATCH(BK233,_names_lookup!$A:$A,0)),"")</f>
        <v/>
      </c>
      <c r="BM233" t="str">
        <f>IFERROR(INDEX(_names_lookup!$B:$B,MATCH(BK233,_names_lookup!$A:$A,0)),"")</f>
        <v/>
      </c>
      <c r="BS233" t="str">
        <f t="shared" si="43"/>
        <v/>
      </c>
    </row>
    <row r="234" spans="15:71" x14ac:dyDescent="0.2">
      <c r="O234" t="str">
        <f>IFERROR(INDEX(_courses_lookup!$C:$C,MATCH(K234&amp;L234,_courses_lookup!$E:$E,0)),"")</f>
        <v/>
      </c>
      <c r="P234" t="str">
        <f>IFERROR(INDEX(_courses_lookup!$D:$D,MATCH(K234&amp;L234,_courses_lookup!$E:$E,0)),"")</f>
        <v/>
      </c>
      <c r="AG234" t="str">
        <f t="shared" si="33"/>
        <v/>
      </c>
      <c r="AI234" t="str">
        <f t="shared" si="34"/>
        <v/>
      </c>
      <c r="AL234" t="str">
        <f t="shared" si="35"/>
        <v/>
      </c>
      <c r="AN234" t="str">
        <f t="shared" si="36"/>
        <v/>
      </c>
      <c r="AQ234" t="str">
        <f t="shared" si="37"/>
        <v/>
      </c>
      <c r="AR234" t="str">
        <f t="shared" si="38"/>
        <v/>
      </c>
      <c r="AS234" t="str">
        <f t="shared" si="39"/>
        <v/>
      </c>
      <c r="AT234" t="str">
        <f t="shared" si="40"/>
        <v/>
      </c>
      <c r="BG234" t="str">
        <f t="shared" si="41"/>
        <v/>
      </c>
      <c r="BH234" t="str">
        <f t="shared" si="42"/>
        <v/>
      </c>
      <c r="BL234" t="str">
        <f>IFERROR(INDEX(_names_lookup!$C:$C,MATCH(BK234,_names_lookup!$A:$A,0)),"")</f>
        <v/>
      </c>
      <c r="BM234" t="str">
        <f>IFERROR(INDEX(_names_lookup!$B:$B,MATCH(BK234,_names_lookup!$A:$A,0)),"")</f>
        <v/>
      </c>
      <c r="BS234" t="str">
        <f t="shared" si="43"/>
        <v/>
      </c>
    </row>
    <row r="235" spans="15:71" x14ac:dyDescent="0.2">
      <c r="O235" t="str">
        <f>IFERROR(INDEX(_courses_lookup!$C:$C,MATCH(K235&amp;L235,_courses_lookup!$E:$E,0)),"")</f>
        <v/>
      </c>
      <c r="P235" t="str">
        <f>IFERROR(INDEX(_courses_lookup!$D:$D,MATCH(K235&amp;L235,_courses_lookup!$E:$E,0)),"")</f>
        <v/>
      </c>
      <c r="AG235" t="str">
        <f t="shared" si="33"/>
        <v/>
      </c>
      <c r="AI235" t="str">
        <f t="shared" si="34"/>
        <v/>
      </c>
      <c r="AL235" t="str">
        <f t="shared" si="35"/>
        <v/>
      </c>
      <c r="AN235" t="str">
        <f t="shared" si="36"/>
        <v/>
      </c>
      <c r="AQ235" t="str">
        <f t="shared" si="37"/>
        <v/>
      </c>
      <c r="AR235" t="str">
        <f t="shared" si="38"/>
        <v/>
      </c>
      <c r="AS235" t="str">
        <f t="shared" si="39"/>
        <v/>
      </c>
      <c r="AT235" t="str">
        <f t="shared" si="40"/>
        <v/>
      </c>
      <c r="BG235" t="str">
        <f t="shared" si="41"/>
        <v/>
      </c>
      <c r="BH235" t="str">
        <f t="shared" si="42"/>
        <v/>
      </c>
      <c r="BL235" t="str">
        <f>IFERROR(INDEX(_names_lookup!$C:$C,MATCH(BK235,_names_lookup!$A:$A,0)),"")</f>
        <v/>
      </c>
      <c r="BM235" t="str">
        <f>IFERROR(INDEX(_names_lookup!$B:$B,MATCH(BK235,_names_lookup!$A:$A,0)),"")</f>
        <v/>
      </c>
      <c r="BS235" t="str">
        <f t="shared" si="43"/>
        <v/>
      </c>
    </row>
    <row r="236" spans="15:71" x14ac:dyDescent="0.2">
      <c r="O236" t="str">
        <f>IFERROR(INDEX(_courses_lookup!$C:$C,MATCH(K236&amp;L236,_courses_lookup!$E:$E,0)),"")</f>
        <v/>
      </c>
      <c r="P236" t="str">
        <f>IFERROR(INDEX(_courses_lookup!$D:$D,MATCH(K236&amp;L236,_courses_lookup!$E:$E,0)),"")</f>
        <v/>
      </c>
      <c r="AG236" t="str">
        <f t="shared" si="33"/>
        <v/>
      </c>
      <c r="AI236" t="str">
        <f t="shared" si="34"/>
        <v/>
      </c>
      <c r="AL236" t="str">
        <f t="shared" si="35"/>
        <v/>
      </c>
      <c r="AN236" t="str">
        <f t="shared" si="36"/>
        <v/>
      </c>
      <c r="AQ236" t="str">
        <f t="shared" si="37"/>
        <v/>
      </c>
      <c r="AR236" t="str">
        <f t="shared" si="38"/>
        <v/>
      </c>
      <c r="AS236" t="str">
        <f t="shared" si="39"/>
        <v/>
      </c>
      <c r="AT236" t="str">
        <f t="shared" si="40"/>
        <v/>
      </c>
      <c r="BG236" t="str">
        <f t="shared" si="41"/>
        <v/>
      </c>
      <c r="BH236" t="str">
        <f t="shared" si="42"/>
        <v/>
      </c>
      <c r="BL236" t="str">
        <f>IFERROR(INDEX(_names_lookup!$C:$C,MATCH(BK236,_names_lookup!$A:$A,0)),"")</f>
        <v/>
      </c>
      <c r="BM236" t="str">
        <f>IFERROR(INDEX(_names_lookup!$B:$B,MATCH(BK236,_names_lookup!$A:$A,0)),"")</f>
        <v/>
      </c>
      <c r="BS236" t="str">
        <f t="shared" si="43"/>
        <v/>
      </c>
    </row>
    <row r="237" spans="15:71" x14ac:dyDescent="0.2">
      <c r="O237" t="str">
        <f>IFERROR(INDEX(_courses_lookup!$C:$C,MATCH(K237&amp;L237,_courses_lookup!$E:$E,0)),"")</f>
        <v/>
      </c>
      <c r="P237" t="str">
        <f>IFERROR(INDEX(_courses_lookup!$D:$D,MATCH(K237&amp;L237,_courses_lookup!$E:$E,0)),"")</f>
        <v/>
      </c>
      <c r="AG237" t="str">
        <f t="shared" si="33"/>
        <v/>
      </c>
      <c r="AI237" t="str">
        <f t="shared" si="34"/>
        <v/>
      </c>
      <c r="AL237" t="str">
        <f t="shared" si="35"/>
        <v/>
      </c>
      <c r="AN237" t="str">
        <f t="shared" si="36"/>
        <v/>
      </c>
      <c r="AQ237" t="str">
        <f t="shared" si="37"/>
        <v/>
      </c>
      <c r="AR237" t="str">
        <f t="shared" si="38"/>
        <v/>
      </c>
      <c r="AS237" t="str">
        <f t="shared" si="39"/>
        <v/>
      </c>
      <c r="AT237" t="str">
        <f t="shared" si="40"/>
        <v/>
      </c>
      <c r="BG237" t="str">
        <f t="shared" si="41"/>
        <v/>
      </c>
      <c r="BH237" t="str">
        <f t="shared" si="42"/>
        <v/>
      </c>
      <c r="BL237" t="str">
        <f>IFERROR(INDEX(_names_lookup!$C:$C,MATCH(BK237,_names_lookup!$A:$A,0)),"")</f>
        <v/>
      </c>
      <c r="BM237" t="str">
        <f>IFERROR(INDEX(_names_lookup!$B:$B,MATCH(BK237,_names_lookup!$A:$A,0)),"")</f>
        <v/>
      </c>
      <c r="BS237" t="str">
        <f t="shared" si="43"/>
        <v/>
      </c>
    </row>
    <row r="238" spans="15:71" x14ac:dyDescent="0.2">
      <c r="O238" t="str">
        <f>IFERROR(INDEX(_courses_lookup!$C:$C,MATCH(K238&amp;L238,_courses_lookup!$E:$E,0)),"")</f>
        <v/>
      </c>
      <c r="P238" t="str">
        <f>IFERROR(INDEX(_courses_lookup!$D:$D,MATCH(K238&amp;L238,_courses_lookup!$E:$E,0)),"")</f>
        <v/>
      </c>
      <c r="AG238" t="str">
        <f t="shared" si="33"/>
        <v/>
      </c>
      <c r="AI238" t="str">
        <f t="shared" si="34"/>
        <v/>
      </c>
      <c r="AL238" t="str">
        <f t="shared" si="35"/>
        <v/>
      </c>
      <c r="AN238" t="str">
        <f t="shared" si="36"/>
        <v/>
      </c>
      <c r="AQ238" t="str">
        <f t="shared" si="37"/>
        <v/>
      </c>
      <c r="AR238" t="str">
        <f t="shared" si="38"/>
        <v/>
      </c>
      <c r="AS238" t="str">
        <f t="shared" si="39"/>
        <v/>
      </c>
      <c r="AT238" t="str">
        <f t="shared" si="40"/>
        <v/>
      </c>
      <c r="BG238" t="str">
        <f t="shared" si="41"/>
        <v/>
      </c>
      <c r="BH238" t="str">
        <f t="shared" si="42"/>
        <v/>
      </c>
      <c r="BL238" t="str">
        <f>IFERROR(INDEX(_names_lookup!$C:$C,MATCH(BK238,_names_lookup!$A:$A,0)),"")</f>
        <v/>
      </c>
      <c r="BM238" t="str">
        <f>IFERROR(INDEX(_names_lookup!$B:$B,MATCH(BK238,_names_lookup!$A:$A,0)),"")</f>
        <v/>
      </c>
      <c r="BS238" t="str">
        <f t="shared" si="43"/>
        <v/>
      </c>
    </row>
    <row r="239" spans="15:71" x14ac:dyDescent="0.2">
      <c r="O239" t="str">
        <f>IFERROR(INDEX(_courses_lookup!$C:$C,MATCH(K239&amp;L239,_courses_lookup!$E:$E,0)),"")</f>
        <v/>
      </c>
      <c r="P239" t="str">
        <f>IFERROR(INDEX(_courses_lookup!$D:$D,MATCH(K239&amp;L239,_courses_lookup!$E:$E,0)),"")</f>
        <v/>
      </c>
      <c r="AG239" t="str">
        <f t="shared" si="33"/>
        <v/>
      </c>
      <c r="AI239" t="str">
        <f t="shared" si="34"/>
        <v/>
      </c>
      <c r="AL239" t="str">
        <f t="shared" si="35"/>
        <v/>
      </c>
      <c r="AN239" t="str">
        <f t="shared" si="36"/>
        <v/>
      </c>
      <c r="AQ239" t="str">
        <f t="shared" si="37"/>
        <v/>
      </c>
      <c r="AR239" t="str">
        <f t="shared" si="38"/>
        <v/>
      </c>
      <c r="AS239" t="str">
        <f t="shared" si="39"/>
        <v/>
      </c>
      <c r="AT239" t="str">
        <f t="shared" si="40"/>
        <v/>
      </c>
      <c r="BG239" t="str">
        <f t="shared" si="41"/>
        <v/>
      </c>
      <c r="BH239" t="str">
        <f t="shared" si="42"/>
        <v/>
      </c>
      <c r="BL239" t="str">
        <f>IFERROR(INDEX(_names_lookup!$C:$C,MATCH(BK239,_names_lookup!$A:$A,0)),"")</f>
        <v/>
      </c>
      <c r="BM239" t="str">
        <f>IFERROR(INDEX(_names_lookup!$B:$B,MATCH(BK239,_names_lookup!$A:$A,0)),"")</f>
        <v/>
      </c>
      <c r="BS239" t="str">
        <f t="shared" si="43"/>
        <v/>
      </c>
    </row>
    <row r="240" spans="15:71" x14ac:dyDescent="0.2">
      <c r="O240" t="str">
        <f>IFERROR(INDEX(_courses_lookup!$C:$C,MATCH(K240&amp;L240,_courses_lookup!$E:$E,0)),"")</f>
        <v/>
      </c>
      <c r="P240" t="str">
        <f>IFERROR(INDEX(_courses_lookup!$D:$D,MATCH(K240&amp;L240,_courses_lookup!$E:$E,0)),"")</f>
        <v/>
      </c>
      <c r="AG240" t="str">
        <f t="shared" si="33"/>
        <v/>
      </c>
      <c r="AI240" t="str">
        <f t="shared" si="34"/>
        <v/>
      </c>
      <c r="AL240" t="str">
        <f t="shared" si="35"/>
        <v/>
      </c>
      <c r="AN240" t="str">
        <f t="shared" si="36"/>
        <v/>
      </c>
      <c r="AQ240" t="str">
        <f t="shared" si="37"/>
        <v/>
      </c>
      <c r="AR240" t="str">
        <f t="shared" si="38"/>
        <v/>
      </c>
      <c r="AS240" t="str">
        <f t="shared" si="39"/>
        <v/>
      </c>
      <c r="AT240" t="str">
        <f t="shared" si="40"/>
        <v/>
      </c>
      <c r="BG240" t="str">
        <f t="shared" si="41"/>
        <v/>
      </c>
      <c r="BH240" t="str">
        <f t="shared" si="42"/>
        <v/>
      </c>
      <c r="BL240" t="str">
        <f>IFERROR(INDEX(_names_lookup!$C:$C,MATCH(BK240,_names_lookup!$A:$A,0)),"")</f>
        <v/>
      </c>
      <c r="BM240" t="str">
        <f>IFERROR(INDEX(_names_lookup!$B:$B,MATCH(BK240,_names_lookup!$A:$A,0)),"")</f>
        <v/>
      </c>
      <c r="BS240" t="str">
        <f t="shared" si="43"/>
        <v/>
      </c>
    </row>
    <row r="241" spans="15:71" x14ac:dyDescent="0.2">
      <c r="O241" t="str">
        <f>IFERROR(INDEX(_courses_lookup!$C:$C,MATCH(K241&amp;L241,_courses_lookup!$E:$E,0)),"")</f>
        <v/>
      </c>
      <c r="P241" t="str">
        <f>IFERROR(INDEX(_courses_lookup!$D:$D,MATCH(K241&amp;L241,_courses_lookup!$E:$E,0)),"")</f>
        <v/>
      </c>
      <c r="AG241" t="str">
        <f t="shared" si="33"/>
        <v/>
      </c>
      <c r="AI241" t="str">
        <f t="shared" si="34"/>
        <v/>
      </c>
      <c r="AL241" t="str">
        <f t="shared" si="35"/>
        <v/>
      </c>
      <c r="AN241" t="str">
        <f t="shared" si="36"/>
        <v/>
      </c>
      <c r="AQ241" t="str">
        <f t="shared" si="37"/>
        <v/>
      </c>
      <c r="AR241" t="str">
        <f t="shared" si="38"/>
        <v/>
      </c>
      <c r="AS241" t="str">
        <f t="shared" si="39"/>
        <v/>
      </c>
      <c r="AT241" t="str">
        <f t="shared" si="40"/>
        <v/>
      </c>
      <c r="BG241" t="str">
        <f t="shared" si="41"/>
        <v/>
      </c>
      <c r="BH241" t="str">
        <f t="shared" si="42"/>
        <v/>
      </c>
      <c r="BL241" t="str">
        <f>IFERROR(INDEX(_names_lookup!$C:$C,MATCH(BK241,_names_lookup!$A:$A,0)),"")</f>
        <v/>
      </c>
      <c r="BM241" t="str">
        <f>IFERROR(INDEX(_names_lookup!$B:$B,MATCH(BK241,_names_lookup!$A:$A,0)),"")</f>
        <v/>
      </c>
      <c r="BS241" t="str">
        <f t="shared" si="43"/>
        <v/>
      </c>
    </row>
    <row r="242" spans="15:71" x14ac:dyDescent="0.2">
      <c r="O242" t="str">
        <f>IFERROR(INDEX(_courses_lookup!$C:$C,MATCH(K242&amp;L242,_courses_lookup!$E:$E,0)),"")</f>
        <v/>
      </c>
      <c r="P242" t="str">
        <f>IFERROR(INDEX(_courses_lookup!$D:$D,MATCH(K242&amp;L242,_courses_lookup!$E:$E,0)),"")</f>
        <v/>
      </c>
      <c r="AG242" t="str">
        <f t="shared" si="33"/>
        <v/>
      </c>
      <c r="AI242" t="str">
        <f t="shared" si="34"/>
        <v/>
      </c>
      <c r="AL242" t="str">
        <f t="shared" si="35"/>
        <v/>
      </c>
      <c r="AN242" t="str">
        <f t="shared" si="36"/>
        <v/>
      </c>
      <c r="AQ242" t="str">
        <f t="shared" si="37"/>
        <v/>
      </c>
      <c r="AR242" t="str">
        <f t="shared" si="38"/>
        <v/>
      </c>
      <c r="AS242" t="str">
        <f t="shared" si="39"/>
        <v/>
      </c>
      <c r="AT242" t="str">
        <f t="shared" si="40"/>
        <v/>
      </c>
      <c r="BG242" t="str">
        <f t="shared" si="41"/>
        <v/>
      </c>
      <c r="BH242" t="str">
        <f t="shared" si="42"/>
        <v/>
      </c>
      <c r="BL242" t="str">
        <f>IFERROR(INDEX(_names_lookup!$C:$C,MATCH(BK242,_names_lookup!$A:$A,0)),"")</f>
        <v/>
      </c>
      <c r="BM242" t="str">
        <f>IFERROR(INDEX(_names_lookup!$B:$B,MATCH(BK242,_names_lookup!$A:$A,0)),"")</f>
        <v/>
      </c>
      <c r="BS242" t="str">
        <f t="shared" si="43"/>
        <v/>
      </c>
    </row>
    <row r="243" spans="15:71" x14ac:dyDescent="0.2">
      <c r="O243" t="str">
        <f>IFERROR(INDEX(_courses_lookup!$C:$C,MATCH(K243&amp;L243,_courses_lookup!$E:$E,0)),"")</f>
        <v/>
      </c>
      <c r="P243" t="str">
        <f>IFERROR(INDEX(_courses_lookup!$D:$D,MATCH(K243&amp;L243,_courses_lookup!$E:$E,0)),"")</f>
        <v/>
      </c>
      <c r="AG243" t="str">
        <f t="shared" si="33"/>
        <v/>
      </c>
      <c r="AI243" t="str">
        <f t="shared" si="34"/>
        <v/>
      </c>
      <c r="AL243" t="str">
        <f t="shared" si="35"/>
        <v/>
      </c>
      <c r="AN243" t="str">
        <f t="shared" si="36"/>
        <v/>
      </c>
      <c r="AQ243" t="str">
        <f t="shared" si="37"/>
        <v/>
      </c>
      <c r="AR243" t="str">
        <f t="shared" si="38"/>
        <v/>
      </c>
      <c r="AS243" t="str">
        <f t="shared" si="39"/>
        <v/>
      </c>
      <c r="AT243" t="str">
        <f t="shared" si="40"/>
        <v/>
      </c>
      <c r="BG243" t="str">
        <f t="shared" si="41"/>
        <v/>
      </c>
      <c r="BH243" t="str">
        <f t="shared" si="42"/>
        <v/>
      </c>
      <c r="BL243" t="str">
        <f>IFERROR(INDEX(_names_lookup!$C:$C,MATCH(BK243,_names_lookup!$A:$A,0)),"")</f>
        <v/>
      </c>
      <c r="BM243" t="str">
        <f>IFERROR(INDEX(_names_lookup!$B:$B,MATCH(BK243,_names_lookup!$A:$A,0)),"")</f>
        <v/>
      </c>
      <c r="BS243" t="str">
        <f t="shared" si="43"/>
        <v/>
      </c>
    </row>
    <row r="244" spans="15:71" x14ac:dyDescent="0.2">
      <c r="O244" t="str">
        <f>IFERROR(INDEX(_courses_lookup!$C:$C,MATCH(K244&amp;L244,_courses_lookup!$E:$E,0)),"")</f>
        <v/>
      </c>
      <c r="P244" t="str">
        <f>IFERROR(INDEX(_courses_lookup!$D:$D,MATCH(K244&amp;L244,_courses_lookup!$E:$E,0)),"")</f>
        <v/>
      </c>
      <c r="AG244" t="str">
        <f t="shared" si="33"/>
        <v/>
      </c>
      <c r="AI244" t="str">
        <f t="shared" si="34"/>
        <v/>
      </c>
      <c r="AL244" t="str">
        <f t="shared" si="35"/>
        <v/>
      </c>
      <c r="AN244" t="str">
        <f t="shared" si="36"/>
        <v/>
      </c>
      <c r="AQ244" t="str">
        <f t="shared" si="37"/>
        <v/>
      </c>
      <c r="AR244" t="str">
        <f t="shared" si="38"/>
        <v/>
      </c>
      <c r="AS244" t="str">
        <f t="shared" si="39"/>
        <v/>
      </c>
      <c r="AT244" t="str">
        <f t="shared" si="40"/>
        <v/>
      </c>
      <c r="BG244" t="str">
        <f t="shared" si="41"/>
        <v/>
      </c>
      <c r="BH244" t="str">
        <f t="shared" si="42"/>
        <v/>
      </c>
      <c r="BL244" t="str">
        <f>IFERROR(INDEX(_names_lookup!$C:$C,MATCH(BK244,_names_lookup!$A:$A,0)),"")</f>
        <v/>
      </c>
      <c r="BM244" t="str">
        <f>IFERROR(INDEX(_names_lookup!$B:$B,MATCH(BK244,_names_lookup!$A:$A,0)),"")</f>
        <v/>
      </c>
      <c r="BS244" t="str">
        <f t="shared" si="43"/>
        <v/>
      </c>
    </row>
    <row r="245" spans="15:71" x14ac:dyDescent="0.2">
      <c r="O245" t="str">
        <f>IFERROR(INDEX(_courses_lookup!$C:$C,MATCH(K245&amp;L245,_courses_lookup!$E:$E,0)),"")</f>
        <v/>
      </c>
      <c r="P245" t="str">
        <f>IFERROR(INDEX(_courses_lookup!$D:$D,MATCH(K245&amp;L245,_courses_lookup!$E:$E,0)),"")</f>
        <v/>
      </c>
      <c r="AG245" t="str">
        <f t="shared" si="33"/>
        <v/>
      </c>
      <c r="AI245" t="str">
        <f t="shared" si="34"/>
        <v/>
      </c>
      <c r="AL245" t="str">
        <f t="shared" si="35"/>
        <v/>
      </c>
      <c r="AN245" t="str">
        <f t="shared" si="36"/>
        <v/>
      </c>
      <c r="AQ245" t="str">
        <f t="shared" si="37"/>
        <v/>
      </c>
      <c r="AR245" t="str">
        <f t="shared" si="38"/>
        <v/>
      </c>
      <c r="AS245" t="str">
        <f t="shared" si="39"/>
        <v/>
      </c>
      <c r="AT245" t="str">
        <f t="shared" si="40"/>
        <v/>
      </c>
      <c r="BG245" t="str">
        <f t="shared" si="41"/>
        <v/>
      </c>
      <c r="BH245" t="str">
        <f t="shared" si="42"/>
        <v/>
      </c>
      <c r="BL245" t="str">
        <f>IFERROR(INDEX(_names_lookup!$C:$C,MATCH(BK245,_names_lookup!$A:$A,0)),"")</f>
        <v/>
      </c>
      <c r="BM245" t="str">
        <f>IFERROR(INDEX(_names_lookup!$B:$B,MATCH(BK245,_names_lookup!$A:$A,0)),"")</f>
        <v/>
      </c>
      <c r="BS245" t="str">
        <f t="shared" si="43"/>
        <v/>
      </c>
    </row>
    <row r="246" spans="15:71" x14ac:dyDescent="0.2">
      <c r="O246" t="str">
        <f>IFERROR(INDEX(_courses_lookup!$C:$C,MATCH(K246&amp;L246,_courses_lookup!$E:$E,0)),"")</f>
        <v/>
      </c>
      <c r="P246" t="str">
        <f>IFERROR(INDEX(_courses_lookup!$D:$D,MATCH(K246&amp;L246,_courses_lookup!$E:$E,0)),"")</f>
        <v/>
      </c>
      <c r="AG246" t="str">
        <f t="shared" si="33"/>
        <v/>
      </c>
      <c r="AI246" t="str">
        <f t="shared" si="34"/>
        <v/>
      </c>
      <c r="AL246" t="str">
        <f t="shared" si="35"/>
        <v/>
      </c>
      <c r="AN246" t="str">
        <f t="shared" si="36"/>
        <v/>
      </c>
      <c r="AQ246" t="str">
        <f t="shared" si="37"/>
        <v/>
      </c>
      <c r="AR246" t="str">
        <f t="shared" si="38"/>
        <v/>
      </c>
      <c r="AS246" t="str">
        <f t="shared" si="39"/>
        <v/>
      </c>
      <c r="AT246" t="str">
        <f t="shared" si="40"/>
        <v/>
      </c>
      <c r="BG246" t="str">
        <f t="shared" si="41"/>
        <v/>
      </c>
      <c r="BH246" t="str">
        <f t="shared" si="42"/>
        <v/>
      </c>
      <c r="BL246" t="str">
        <f>IFERROR(INDEX(_names_lookup!$C:$C,MATCH(BK246,_names_lookup!$A:$A,0)),"")</f>
        <v/>
      </c>
      <c r="BM246" t="str">
        <f>IFERROR(INDEX(_names_lookup!$B:$B,MATCH(BK246,_names_lookup!$A:$A,0)),"")</f>
        <v/>
      </c>
      <c r="BS246" t="str">
        <f t="shared" si="43"/>
        <v/>
      </c>
    </row>
    <row r="247" spans="15:71" x14ac:dyDescent="0.2">
      <c r="O247" t="str">
        <f>IFERROR(INDEX(_courses_lookup!$C:$C,MATCH(K247&amp;L247,_courses_lookup!$E:$E,0)),"")</f>
        <v/>
      </c>
      <c r="P247" t="str">
        <f>IFERROR(INDEX(_courses_lookup!$D:$D,MATCH(K247&amp;L247,_courses_lookup!$E:$E,0)),"")</f>
        <v/>
      </c>
      <c r="AG247" t="str">
        <f t="shared" si="33"/>
        <v/>
      </c>
      <c r="AI247" t="str">
        <f t="shared" si="34"/>
        <v/>
      </c>
      <c r="AL247" t="str">
        <f t="shared" si="35"/>
        <v/>
      </c>
      <c r="AN247" t="str">
        <f t="shared" si="36"/>
        <v/>
      </c>
      <c r="AQ247" t="str">
        <f t="shared" si="37"/>
        <v/>
      </c>
      <c r="AR247" t="str">
        <f t="shared" si="38"/>
        <v/>
      </c>
      <c r="AS247" t="str">
        <f t="shared" si="39"/>
        <v/>
      </c>
      <c r="AT247" t="str">
        <f t="shared" si="40"/>
        <v/>
      </c>
      <c r="BG247" t="str">
        <f t="shared" si="41"/>
        <v/>
      </c>
      <c r="BH247" t="str">
        <f t="shared" si="42"/>
        <v/>
      </c>
      <c r="BL247" t="str">
        <f>IFERROR(INDEX(_names_lookup!$C:$C,MATCH(BK247,_names_lookup!$A:$A,0)),"")</f>
        <v/>
      </c>
      <c r="BM247" t="str">
        <f>IFERROR(INDEX(_names_lookup!$B:$B,MATCH(BK247,_names_lookup!$A:$A,0)),"")</f>
        <v/>
      </c>
      <c r="BS247" t="str">
        <f t="shared" si="43"/>
        <v/>
      </c>
    </row>
    <row r="248" spans="15:71" x14ac:dyDescent="0.2">
      <c r="O248" t="str">
        <f>IFERROR(INDEX(_courses_lookup!$C:$C,MATCH(K248&amp;L248,_courses_lookup!$E:$E,0)),"")</f>
        <v/>
      </c>
      <c r="P248" t="str">
        <f>IFERROR(INDEX(_courses_lookup!$D:$D,MATCH(K248&amp;L248,_courses_lookup!$E:$E,0)),"")</f>
        <v/>
      </c>
      <c r="AG248" t="str">
        <f t="shared" si="33"/>
        <v/>
      </c>
      <c r="AI248" t="str">
        <f t="shared" si="34"/>
        <v/>
      </c>
      <c r="AL248" t="str">
        <f t="shared" si="35"/>
        <v/>
      </c>
      <c r="AN248" t="str">
        <f t="shared" si="36"/>
        <v/>
      </c>
      <c r="AQ248" t="str">
        <f t="shared" si="37"/>
        <v/>
      </c>
      <c r="AR248" t="str">
        <f t="shared" si="38"/>
        <v/>
      </c>
      <c r="AS248" t="str">
        <f t="shared" si="39"/>
        <v/>
      </c>
      <c r="AT248" t="str">
        <f t="shared" si="40"/>
        <v/>
      </c>
      <c r="BG248" t="str">
        <f t="shared" si="41"/>
        <v/>
      </c>
      <c r="BH248" t="str">
        <f t="shared" si="42"/>
        <v/>
      </c>
      <c r="BL248" t="str">
        <f>IFERROR(INDEX(_names_lookup!$C:$C,MATCH(BK248,_names_lookup!$A:$A,0)),"")</f>
        <v/>
      </c>
      <c r="BM248" t="str">
        <f>IFERROR(INDEX(_names_lookup!$B:$B,MATCH(BK248,_names_lookup!$A:$A,0)),"")</f>
        <v/>
      </c>
      <c r="BS248" t="str">
        <f t="shared" si="43"/>
        <v/>
      </c>
    </row>
    <row r="249" spans="15:71" x14ac:dyDescent="0.2">
      <c r="O249" t="str">
        <f>IFERROR(INDEX(_courses_lookup!$C:$C,MATCH(K249&amp;L249,_courses_lookup!$E:$E,0)),"")</f>
        <v/>
      </c>
      <c r="P249" t="str">
        <f>IFERROR(INDEX(_courses_lookup!$D:$D,MATCH(K249&amp;L249,_courses_lookup!$E:$E,0)),"")</f>
        <v/>
      </c>
      <c r="AG249" t="str">
        <f t="shared" si="33"/>
        <v/>
      </c>
      <c r="AI249" t="str">
        <f t="shared" si="34"/>
        <v/>
      </c>
      <c r="AL249" t="str">
        <f t="shared" si="35"/>
        <v/>
      </c>
      <c r="AN249" t="str">
        <f t="shared" si="36"/>
        <v/>
      </c>
      <c r="AQ249" t="str">
        <f t="shared" si="37"/>
        <v/>
      </c>
      <c r="AR249" t="str">
        <f t="shared" si="38"/>
        <v/>
      </c>
      <c r="AS249" t="str">
        <f t="shared" si="39"/>
        <v/>
      </c>
      <c r="AT249" t="str">
        <f t="shared" si="40"/>
        <v/>
      </c>
      <c r="BG249" t="str">
        <f t="shared" si="41"/>
        <v/>
      </c>
      <c r="BH249" t="str">
        <f t="shared" si="42"/>
        <v/>
      </c>
      <c r="BL249" t="str">
        <f>IFERROR(INDEX(_names_lookup!$C:$C,MATCH(BK249,_names_lookup!$A:$A,0)),"")</f>
        <v/>
      </c>
      <c r="BM249" t="str">
        <f>IFERROR(INDEX(_names_lookup!$B:$B,MATCH(BK249,_names_lookup!$A:$A,0)),"")</f>
        <v/>
      </c>
      <c r="BS249" t="str">
        <f t="shared" si="43"/>
        <v/>
      </c>
    </row>
    <row r="250" spans="15:71" x14ac:dyDescent="0.2">
      <c r="O250" t="str">
        <f>IFERROR(INDEX(_courses_lookup!$C:$C,MATCH(K250&amp;L250,_courses_lookup!$E:$E,0)),"")</f>
        <v/>
      </c>
      <c r="P250" t="str">
        <f>IFERROR(INDEX(_courses_lookup!$D:$D,MATCH(K250&amp;L250,_courses_lookup!$E:$E,0)),"")</f>
        <v/>
      </c>
      <c r="AG250" t="str">
        <f t="shared" si="33"/>
        <v/>
      </c>
      <c r="AI250" t="str">
        <f t="shared" si="34"/>
        <v/>
      </c>
      <c r="AL250" t="str">
        <f t="shared" si="35"/>
        <v/>
      </c>
      <c r="AN250" t="str">
        <f t="shared" si="36"/>
        <v/>
      </c>
      <c r="AQ250" t="str">
        <f t="shared" si="37"/>
        <v/>
      </c>
      <c r="AR250" t="str">
        <f t="shared" si="38"/>
        <v/>
      </c>
      <c r="AS250" t="str">
        <f t="shared" si="39"/>
        <v/>
      </c>
      <c r="AT250" t="str">
        <f t="shared" si="40"/>
        <v/>
      </c>
      <c r="BG250" t="str">
        <f t="shared" si="41"/>
        <v/>
      </c>
      <c r="BH250" t="str">
        <f t="shared" si="42"/>
        <v/>
      </c>
      <c r="BL250" t="str">
        <f>IFERROR(INDEX(_names_lookup!$C:$C,MATCH(BK250,_names_lookup!$A:$A,0)),"")</f>
        <v/>
      </c>
      <c r="BM250" t="str">
        <f>IFERROR(INDEX(_names_lookup!$B:$B,MATCH(BK250,_names_lookup!$A:$A,0)),"")</f>
        <v/>
      </c>
      <c r="BS250" t="str">
        <f t="shared" si="43"/>
        <v/>
      </c>
    </row>
    <row r="251" spans="15:71" x14ac:dyDescent="0.2">
      <c r="O251" t="str">
        <f>IFERROR(INDEX(_courses_lookup!$C:$C,MATCH(K251&amp;L251,_courses_lookup!$E:$E,0)),"")</f>
        <v/>
      </c>
      <c r="P251" t="str">
        <f>IFERROR(INDEX(_courses_lookup!$D:$D,MATCH(K251&amp;L251,_courses_lookup!$E:$E,0)),"")</f>
        <v/>
      </c>
      <c r="AG251" t="str">
        <f t="shared" si="33"/>
        <v/>
      </c>
      <c r="AI251" t="str">
        <f t="shared" si="34"/>
        <v/>
      </c>
      <c r="AL251" t="str">
        <f t="shared" si="35"/>
        <v/>
      </c>
      <c r="AN251" t="str">
        <f t="shared" si="36"/>
        <v/>
      </c>
      <c r="AQ251" t="str">
        <f t="shared" si="37"/>
        <v/>
      </c>
      <c r="AR251" t="str">
        <f t="shared" si="38"/>
        <v/>
      </c>
      <c r="AS251" t="str">
        <f t="shared" si="39"/>
        <v/>
      </c>
      <c r="AT251" t="str">
        <f t="shared" si="40"/>
        <v/>
      </c>
      <c r="BG251" t="str">
        <f t="shared" si="41"/>
        <v/>
      </c>
      <c r="BH251" t="str">
        <f t="shared" si="42"/>
        <v/>
      </c>
      <c r="BL251" t="str">
        <f>IFERROR(INDEX(_names_lookup!$C:$C,MATCH(BK251,_names_lookup!$A:$A,0)),"")</f>
        <v/>
      </c>
      <c r="BM251" t="str">
        <f>IFERROR(INDEX(_names_lookup!$B:$B,MATCH(BK251,_names_lookup!$A:$A,0)),"")</f>
        <v/>
      </c>
      <c r="BS251" t="str">
        <f t="shared" si="43"/>
        <v/>
      </c>
    </row>
    <row r="252" spans="15:71" x14ac:dyDescent="0.2">
      <c r="O252" t="str">
        <f>IFERROR(INDEX(_courses_lookup!$C:$C,MATCH(K252&amp;L252,_courses_lookup!$E:$E,0)),"")</f>
        <v/>
      </c>
      <c r="P252" t="str">
        <f>IFERROR(INDEX(_courses_lookup!$D:$D,MATCH(K252&amp;L252,_courses_lookup!$E:$E,0)),"")</f>
        <v/>
      </c>
      <c r="AG252" t="str">
        <f t="shared" si="33"/>
        <v/>
      </c>
      <c r="AI252" t="str">
        <f t="shared" si="34"/>
        <v/>
      </c>
      <c r="AL252" t="str">
        <f t="shared" si="35"/>
        <v/>
      </c>
      <c r="AN252" t="str">
        <f t="shared" si="36"/>
        <v/>
      </c>
      <c r="AQ252" t="str">
        <f t="shared" si="37"/>
        <v/>
      </c>
      <c r="AR252" t="str">
        <f t="shared" si="38"/>
        <v/>
      </c>
      <c r="AS252" t="str">
        <f t="shared" si="39"/>
        <v/>
      </c>
      <c r="AT252" t="str">
        <f t="shared" si="40"/>
        <v/>
      </c>
      <c r="BG252" t="str">
        <f t="shared" si="41"/>
        <v/>
      </c>
      <c r="BH252" t="str">
        <f t="shared" si="42"/>
        <v/>
      </c>
      <c r="BL252" t="str">
        <f>IFERROR(INDEX(_names_lookup!$C:$C,MATCH(BK252,_names_lookup!$A:$A,0)),"")</f>
        <v/>
      </c>
      <c r="BM252" t="str">
        <f>IFERROR(INDEX(_names_lookup!$B:$B,MATCH(BK252,_names_lookup!$A:$A,0)),"")</f>
        <v/>
      </c>
      <c r="BS252" t="str">
        <f t="shared" si="43"/>
        <v/>
      </c>
    </row>
    <row r="253" spans="15:71" x14ac:dyDescent="0.2">
      <c r="O253" t="str">
        <f>IFERROR(INDEX(_courses_lookup!$C:$C,MATCH(K253&amp;L253,_courses_lookup!$E:$E,0)),"")</f>
        <v/>
      </c>
      <c r="P253" t="str">
        <f>IFERROR(INDEX(_courses_lookup!$D:$D,MATCH(K253&amp;L253,_courses_lookup!$E:$E,0)),"")</f>
        <v/>
      </c>
      <c r="AG253" t="str">
        <f t="shared" si="33"/>
        <v/>
      </c>
      <c r="AI253" t="str">
        <f t="shared" si="34"/>
        <v/>
      </c>
      <c r="AL253" t="str">
        <f t="shared" si="35"/>
        <v/>
      </c>
      <c r="AN253" t="str">
        <f t="shared" si="36"/>
        <v/>
      </c>
      <c r="AQ253" t="str">
        <f t="shared" si="37"/>
        <v/>
      </c>
      <c r="AR253" t="str">
        <f t="shared" si="38"/>
        <v/>
      </c>
      <c r="AS253" t="str">
        <f t="shared" si="39"/>
        <v/>
      </c>
      <c r="AT253" t="str">
        <f t="shared" si="40"/>
        <v/>
      </c>
      <c r="BG253" t="str">
        <f t="shared" si="41"/>
        <v/>
      </c>
      <c r="BH253" t="str">
        <f t="shared" si="42"/>
        <v/>
      </c>
      <c r="BL253" t="str">
        <f>IFERROR(INDEX(_names_lookup!$C:$C,MATCH(BK253,_names_lookup!$A:$A,0)),"")</f>
        <v/>
      </c>
      <c r="BM253" t="str">
        <f>IFERROR(INDEX(_names_lookup!$B:$B,MATCH(BK253,_names_lookup!$A:$A,0)),"")</f>
        <v/>
      </c>
      <c r="BS253" t="str">
        <f t="shared" si="43"/>
        <v/>
      </c>
    </row>
    <row r="254" spans="15:71" x14ac:dyDescent="0.2">
      <c r="O254" t="str">
        <f>IFERROR(INDEX(_courses_lookup!$C:$C,MATCH(K254&amp;L254,_courses_lookup!$E:$E,0)),"")</f>
        <v/>
      </c>
      <c r="P254" t="str">
        <f>IFERROR(INDEX(_courses_lookup!$D:$D,MATCH(K254&amp;L254,_courses_lookup!$E:$E,0)),"")</f>
        <v/>
      </c>
      <c r="AG254" t="str">
        <f t="shared" si="33"/>
        <v/>
      </c>
      <c r="AI254" t="str">
        <f t="shared" si="34"/>
        <v/>
      </c>
      <c r="AL254" t="str">
        <f t="shared" si="35"/>
        <v/>
      </c>
      <c r="AN254" t="str">
        <f t="shared" si="36"/>
        <v/>
      </c>
      <c r="AQ254" t="str">
        <f t="shared" si="37"/>
        <v/>
      </c>
      <c r="AR254" t="str">
        <f t="shared" si="38"/>
        <v/>
      </c>
      <c r="AS254" t="str">
        <f t="shared" si="39"/>
        <v/>
      </c>
      <c r="AT254" t="str">
        <f t="shared" si="40"/>
        <v/>
      </c>
      <c r="BG254" t="str">
        <f t="shared" si="41"/>
        <v/>
      </c>
      <c r="BH254" t="str">
        <f t="shared" si="42"/>
        <v/>
      </c>
      <c r="BL254" t="str">
        <f>IFERROR(INDEX(_names_lookup!$C:$C,MATCH(BK254,_names_lookup!$A:$A,0)),"")</f>
        <v/>
      </c>
      <c r="BM254" t="str">
        <f>IFERROR(INDEX(_names_lookup!$B:$B,MATCH(BK254,_names_lookup!$A:$A,0)),"")</f>
        <v/>
      </c>
      <c r="BS254" t="str">
        <f t="shared" si="43"/>
        <v/>
      </c>
    </row>
    <row r="255" spans="15:71" x14ac:dyDescent="0.2">
      <c r="O255" t="str">
        <f>IFERROR(INDEX(_courses_lookup!$C:$C,MATCH(K255&amp;L255,_courses_lookup!$E:$E,0)),"")</f>
        <v/>
      </c>
      <c r="P255" t="str">
        <f>IFERROR(INDEX(_courses_lookup!$D:$D,MATCH(K255&amp;L255,_courses_lookup!$E:$E,0)),"")</f>
        <v/>
      </c>
      <c r="AG255" t="str">
        <f t="shared" si="33"/>
        <v/>
      </c>
      <c r="AI255" t="str">
        <f t="shared" si="34"/>
        <v/>
      </c>
      <c r="AL255" t="str">
        <f t="shared" si="35"/>
        <v/>
      </c>
      <c r="AN255" t="str">
        <f t="shared" si="36"/>
        <v/>
      </c>
      <c r="AQ255" t="str">
        <f t="shared" si="37"/>
        <v/>
      </c>
      <c r="AR255" t="str">
        <f t="shared" si="38"/>
        <v/>
      </c>
      <c r="AS255" t="str">
        <f t="shared" si="39"/>
        <v/>
      </c>
      <c r="AT255" t="str">
        <f t="shared" si="40"/>
        <v/>
      </c>
      <c r="BG255" t="str">
        <f t="shared" si="41"/>
        <v/>
      </c>
      <c r="BH255" t="str">
        <f t="shared" si="42"/>
        <v/>
      </c>
      <c r="BL255" t="str">
        <f>IFERROR(INDEX(_names_lookup!$C:$C,MATCH(BK255,_names_lookup!$A:$A,0)),"")</f>
        <v/>
      </c>
      <c r="BM255" t="str">
        <f>IFERROR(INDEX(_names_lookup!$B:$B,MATCH(BK255,_names_lookup!$A:$A,0)),"")</f>
        <v/>
      </c>
      <c r="BS255" t="str">
        <f t="shared" si="43"/>
        <v/>
      </c>
    </row>
    <row r="256" spans="15:71" x14ac:dyDescent="0.2">
      <c r="O256" t="str">
        <f>IFERROR(INDEX(_courses_lookup!$C:$C,MATCH(K256&amp;L256,_courses_lookup!$E:$E,0)),"")</f>
        <v/>
      </c>
      <c r="P256" t="str">
        <f>IFERROR(INDEX(_courses_lookup!$D:$D,MATCH(K256&amp;L256,_courses_lookup!$E:$E,0)),"")</f>
        <v/>
      </c>
      <c r="AG256" t="str">
        <f t="shared" si="33"/>
        <v/>
      </c>
      <c r="AI256" t="str">
        <f t="shared" si="34"/>
        <v/>
      </c>
      <c r="AL256" t="str">
        <f t="shared" si="35"/>
        <v/>
      </c>
      <c r="AN256" t="str">
        <f t="shared" si="36"/>
        <v/>
      </c>
      <c r="AQ256" t="str">
        <f t="shared" si="37"/>
        <v/>
      </c>
      <c r="AR256" t="str">
        <f t="shared" si="38"/>
        <v/>
      </c>
      <c r="AS256" t="str">
        <f t="shared" si="39"/>
        <v/>
      </c>
      <c r="AT256" t="str">
        <f t="shared" si="40"/>
        <v/>
      </c>
      <c r="BG256" t="str">
        <f t="shared" si="41"/>
        <v/>
      </c>
      <c r="BH256" t="str">
        <f t="shared" si="42"/>
        <v/>
      </c>
      <c r="BL256" t="str">
        <f>IFERROR(INDEX(_names_lookup!$C:$C,MATCH(BK256,_names_lookup!$A:$A,0)),"")</f>
        <v/>
      </c>
      <c r="BM256" t="str">
        <f>IFERROR(INDEX(_names_lookup!$B:$B,MATCH(BK256,_names_lookup!$A:$A,0)),"")</f>
        <v/>
      </c>
      <c r="BS256" t="str">
        <f t="shared" si="43"/>
        <v/>
      </c>
    </row>
    <row r="257" spans="15:71" x14ac:dyDescent="0.2">
      <c r="O257" t="str">
        <f>IFERROR(INDEX(_courses_lookup!$C:$C,MATCH(K257&amp;L257,_courses_lookup!$E:$E,0)),"")</f>
        <v/>
      </c>
      <c r="P257" t="str">
        <f>IFERROR(INDEX(_courses_lookup!$D:$D,MATCH(K257&amp;L257,_courses_lookup!$E:$E,0)),"")</f>
        <v/>
      </c>
      <c r="AG257" t="str">
        <f t="shared" si="33"/>
        <v/>
      </c>
      <c r="AI257" t="str">
        <f t="shared" si="34"/>
        <v/>
      </c>
      <c r="AL257" t="str">
        <f t="shared" si="35"/>
        <v/>
      </c>
      <c r="AN257" t="str">
        <f t="shared" si="36"/>
        <v/>
      </c>
      <c r="AQ257" t="str">
        <f t="shared" si="37"/>
        <v/>
      </c>
      <c r="AR257" t="str">
        <f t="shared" si="38"/>
        <v/>
      </c>
      <c r="AS257" t="str">
        <f t="shared" si="39"/>
        <v/>
      </c>
      <c r="AT257" t="str">
        <f t="shared" si="40"/>
        <v/>
      </c>
      <c r="BG257" t="str">
        <f t="shared" si="41"/>
        <v/>
      </c>
      <c r="BH257" t="str">
        <f t="shared" si="42"/>
        <v/>
      </c>
      <c r="BL257" t="str">
        <f>IFERROR(INDEX(_names_lookup!$C:$C,MATCH(BK257,_names_lookup!$A:$A,0)),"")</f>
        <v/>
      </c>
      <c r="BM257" t="str">
        <f>IFERROR(INDEX(_names_lookup!$B:$B,MATCH(BK257,_names_lookup!$A:$A,0)),"")</f>
        <v/>
      </c>
      <c r="BS257" t="str">
        <f t="shared" si="43"/>
        <v/>
      </c>
    </row>
    <row r="258" spans="15:71" x14ac:dyDescent="0.2">
      <c r="O258" t="str">
        <f>IFERROR(INDEX(_courses_lookup!$C:$C,MATCH(K258&amp;L258,_courses_lookup!$E:$E,0)),"")</f>
        <v/>
      </c>
      <c r="P258" t="str">
        <f>IFERROR(INDEX(_courses_lookup!$D:$D,MATCH(K258&amp;L258,_courses_lookup!$E:$E,0)),"")</f>
        <v/>
      </c>
      <c r="AG258" t="str">
        <f t="shared" ref="AG258:AG321" si="44">IF(AND(AE258&lt;&gt;"",AF258&lt;&gt;""),ROUNDUP((AF258-AE258)/7,0),"")</f>
        <v/>
      </c>
      <c r="AI258" t="str">
        <f t="shared" ref="AI258:AI321" si="45">IFERROR(IF(AG258*AH258=0,"",AG258*AH258),"")</f>
        <v/>
      </c>
      <c r="AL258" t="str">
        <f t="shared" ref="AL258:AL321" si="46">IF(AND(AJ258&lt;&gt;"",AK258&lt;&gt;""),ROUNDUP((AK258-AJ258)/7,0),"")</f>
        <v/>
      </c>
      <c r="AN258" t="str">
        <f t="shared" ref="AN258:AN321" si="47">IFERROR(IF(AL258*AM258=0,"",AL258*AM258),"")</f>
        <v/>
      </c>
      <c r="AQ258" t="str">
        <f t="shared" ref="AQ258:AQ321" si="48">IF(AND(AO258&lt;&gt;"",AP258&lt;&gt;""),ROUNDUP((AP258-AO258)/7,0),"")</f>
        <v/>
      </c>
      <c r="AR258" t="str">
        <f t="shared" ref="AR258:AR321" si="49">IFERROR(IF((AU258-(AI258+AN258))/AQ258=0,"",ROUNDUP((AU258-(AI258+AN258))/AQ258,0)),"")</f>
        <v/>
      </c>
      <c r="AS258" t="str">
        <f t="shared" ref="AS258:AS300" si="50">IFERROR(IF((AU258-(AI258+AN258))=0,"",(AU258-(AI258+AN258))),"")</f>
        <v/>
      </c>
      <c r="AT258" t="str">
        <f t="shared" ref="AT258:AT300" si="51">IF(AND(AG258="",AQ258=""),AL258,IF(SUM(AG258,AL258,AQ258)=0,"",SUM(AG258,AL258,AQ258)))</f>
        <v/>
      </c>
      <c r="BG258" t="str">
        <f t="shared" ref="BG258:BG300" si="52">IF(AD258="","",YEAR(AD258)+IF(MONTH(AD258)&gt;=5,1,0))</f>
        <v/>
      </c>
      <c r="BH258" t="str">
        <f t="shared" ref="BH258:BH300" si="53">IF(AD258="","",IF(AND(MONTH(AD258)=8,DAY(AD258)&gt;=15),"Fall",IF(MONTH(AD258)&gt;8,"Fall",IF(MONTH(AD258)=5,"Summer",IF(MONTH(AD258)=1,"Spring","")))))</f>
        <v/>
      </c>
      <c r="BL258" t="str">
        <f>IFERROR(INDEX(_names_lookup!$C:$C,MATCH(BK258,_names_lookup!$A:$A,0)),"")</f>
        <v/>
      </c>
      <c r="BM258" t="str">
        <f>IFERROR(INDEX(_names_lookup!$B:$B,MATCH(BK258,_names_lookup!$A:$A,0)),"")</f>
        <v/>
      </c>
      <c r="BS258" t="str">
        <f t="shared" ref="BS258:BS321" si="54">IFERROR(IF(BR258*AA258=0,"",BR258*AA258),"")</f>
        <v/>
      </c>
    </row>
    <row r="259" spans="15:71" x14ac:dyDescent="0.2">
      <c r="O259" t="str">
        <f>IFERROR(INDEX(_courses_lookup!$C:$C,MATCH(K259&amp;L259,_courses_lookup!$E:$E,0)),"")</f>
        <v/>
      </c>
      <c r="P259" t="str">
        <f>IFERROR(INDEX(_courses_lookup!$D:$D,MATCH(K259&amp;L259,_courses_lookup!$E:$E,0)),"")</f>
        <v/>
      </c>
      <c r="AG259" t="str">
        <f t="shared" si="44"/>
        <v/>
      </c>
      <c r="AI259" t="str">
        <f t="shared" si="45"/>
        <v/>
      </c>
      <c r="AL259" t="str">
        <f t="shared" si="46"/>
        <v/>
      </c>
      <c r="AN259" t="str">
        <f t="shared" si="47"/>
        <v/>
      </c>
      <c r="AQ259" t="str">
        <f t="shared" si="48"/>
        <v/>
      </c>
      <c r="AR259" t="str">
        <f t="shared" si="49"/>
        <v/>
      </c>
      <c r="AS259" t="str">
        <f t="shared" si="50"/>
        <v/>
      </c>
      <c r="AT259" t="str">
        <f t="shared" si="51"/>
        <v/>
      </c>
      <c r="BG259" t="str">
        <f t="shared" si="52"/>
        <v/>
      </c>
      <c r="BH259" t="str">
        <f t="shared" si="53"/>
        <v/>
      </c>
      <c r="BL259" t="str">
        <f>IFERROR(INDEX(_names_lookup!$C:$C,MATCH(BK259,_names_lookup!$A:$A,0)),"")</f>
        <v/>
      </c>
      <c r="BM259" t="str">
        <f>IFERROR(INDEX(_names_lookup!$B:$B,MATCH(BK259,_names_lookup!$A:$A,0)),"")</f>
        <v/>
      </c>
      <c r="BS259" t="str">
        <f t="shared" si="54"/>
        <v/>
      </c>
    </row>
    <row r="260" spans="15:71" x14ac:dyDescent="0.2">
      <c r="O260" t="str">
        <f>IFERROR(INDEX(_courses_lookup!$C:$C,MATCH(K260&amp;L260,_courses_lookup!$E:$E,0)),"")</f>
        <v/>
      </c>
      <c r="P260" t="str">
        <f>IFERROR(INDEX(_courses_lookup!$D:$D,MATCH(K260&amp;L260,_courses_lookup!$E:$E,0)),"")</f>
        <v/>
      </c>
      <c r="AG260" t="str">
        <f t="shared" si="44"/>
        <v/>
      </c>
      <c r="AI260" t="str">
        <f t="shared" si="45"/>
        <v/>
      </c>
      <c r="AL260" t="str">
        <f t="shared" si="46"/>
        <v/>
      </c>
      <c r="AN260" t="str">
        <f t="shared" si="47"/>
        <v/>
      </c>
      <c r="AQ260" t="str">
        <f t="shared" si="48"/>
        <v/>
      </c>
      <c r="AR260" t="str">
        <f t="shared" si="49"/>
        <v/>
      </c>
      <c r="AS260" t="str">
        <f t="shared" si="50"/>
        <v/>
      </c>
      <c r="AT260" t="str">
        <f t="shared" si="51"/>
        <v/>
      </c>
      <c r="BG260" t="str">
        <f t="shared" si="52"/>
        <v/>
      </c>
      <c r="BH260" t="str">
        <f t="shared" si="53"/>
        <v/>
      </c>
      <c r="BL260" t="str">
        <f>IFERROR(INDEX(_names_lookup!$C:$C,MATCH(BK260,_names_lookup!$A:$A,0)),"")</f>
        <v/>
      </c>
      <c r="BM260" t="str">
        <f>IFERROR(INDEX(_names_lookup!$B:$B,MATCH(BK260,_names_lookup!$A:$A,0)),"")</f>
        <v/>
      </c>
      <c r="BS260" t="str">
        <f t="shared" si="54"/>
        <v/>
      </c>
    </row>
    <row r="261" spans="15:71" x14ac:dyDescent="0.2">
      <c r="O261" t="str">
        <f>IFERROR(INDEX(_courses_lookup!$C:$C,MATCH(K261&amp;L261,_courses_lookup!$E:$E,0)),"")</f>
        <v/>
      </c>
      <c r="P261" t="str">
        <f>IFERROR(INDEX(_courses_lookup!$D:$D,MATCH(K261&amp;L261,_courses_lookup!$E:$E,0)),"")</f>
        <v/>
      </c>
      <c r="AG261" t="str">
        <f t="shared" si="44"/>
        <v/>
      </c>
      <c r="AI261" t="str">
        <f t="shared" si="45"/>
        <v/>
      </c>
      <c r="AL261" t="str">
        <f t="shared" si="46"/>
        <v/>
      </c>
      <c r="AN261" t="str">
        <f t="shared" si="47"/>
        <v/>
      </c>
      <c r="AQ261" t="str">
        <f t="shared" si="48"/>
        <v/>
      </c>
      <c r="AR261" t="str">
        <f t="shared" si="49"/>
        <v/>
      </c>
      <c r="AS261" t="str">
        <f t="shared" si="50"/>
        <v/>
      </c>
      <c r="AT261" t="str">
        <f t="shared" si="51"/>
        <v/>
      </c>
      <c r="BG261" t="str">
        <f t="shared" si="52"/>
        <v/>
      </c>
      <c r="BH261" t="str">
        <f t="shared" si="53"/>
        <v/>
      </c>
      <c r="BL261" t="str">
        <f>IFERROR(INDEX(_names_lookup!$C:$C,MATCH(BK261,_names_lookup!$A:$A,0)),"")</f>
        <v/>
      </c>
      <c r="BM261" t="str">
        <f>IFERROR(INDEX(_names_lookup!$B:$B,MATCH(BK261,_names_lookup!$A:$A,0)),"")</f>
        <v/>
      </c>
      <c r="BS261" t="str">
        <f t="shared" si="54"/>
        <v/>
      </c>
    </row>
    <row r="262" spans="15:71" x14ac:dyDescent="0.2">
      <c r="O262" t="str">
        <f>IFERROR(INDEX(_courses_lookup!$C:$C,MATCH(K262&amp;L262,_courses_lookup!$E:$E,0)),"")</f>
        <v/>
      </c>
      <c r="P262" t="str">
        <f>IFERROR(INDEX(_courses_lookup!$D:$D,MATCH(K262&amp;L262,_courses_lookup!$E:$E,0)),"")</f>
        <v/>
      </c>
      <c r="AG262" t="str">
        <f t="shared" si="44"/>
        <v/>
      </c>
      <c r="AI262" t="str">
        <f t="shared" si="45"/>
        <v/>
      </c>
      <c r="AL262" t="str">
        <f t="shared" si="46"/>
        <v/>
      </c>
      <c r="AN262" t="str">
        <f t="shared" si="47"/>
        <v/>
      </c>
      <c r="AQ262" t="str">
        <f t="shared" si="48"/>
        <v/>
      </c>
      <c r="AR262" t="str">
        <f t="shared" si="49"/>
        <v/>
      </c>
      <c r="AS262" t="str">
        <f t="shared" si="50"/>
        <v/>
      </c>
      <c r="AT262" t="str">
        <f t="shared" si="51"/>
        <v/>
      </c>
      <c r="BG262" t="str">
        <f t="shared" si="52"/>
        <v/>
      </c>
      <c r="BH262" t="str">
        <f t="shared" si="53"/>
        <v/>
      </c>
      <c r="BL262" t="str">
        <f>IFERROR(INDEX(_names_lookup!$C:$C,MATCH(BK262,_names_lookup!$A:$A,0)),"")</f>
        <v/>
      </c>
      <c r="BM262" t="str">
        <f>IFERROR(INDEX(_names_lookup!$B:$B,MATCH(BK262,_names_lookup!$A:$A,0)),"")</f>
        <v/>
      </c>
      <c r="BS262" t="str">
        <f t="shared" si="54"/>
        <v/>
      </c>
    </row>
    <row r="263" spans="15:71" x14ac:dyDescent="0.2">
      <c r="O263" t="str">
        <f>IFERROR(INDEX(_courses_lookup!$C:$C,MATCH(K263&amp;L263,_courses_lookup!$E:$E,0)),"")</f>
        <v/>
      </c>
      <c r="P263" t="str">
        <f>IFERROR(INDEX(_courses_lookup!$D:$D,MATCH(K263&amp;L263,_courses_lookup!$E:$E,0)),"")</f>
        <v/>
      </c>
      <c r="AG263" t="str">
        <f t="shared" si="44"/>
        <v/>
      </c>
      <c r="AI263" t="str">
        <f t="shared" si="45"/>
        <v/>
      </c>
      <c r="AL263" t="str">
        <f t="shared" si="46"/>
        <v/>
      </c>
      <c r="AN263" t="str">
        <f t="shared" si="47"/>
        <v/>
      </c>
      <c r="AQ263" t="str">
        <f t="shared" si="48"/>
        <v/>
      </c>
      <c r="AR263" t="str">
        <f t="shared" si="49"/>
        <v/>
      </c>
      <c r="AS263" t="str">
        <f t="shared" si="50"/>
        <v/>
      </c>
      <c r="AT263" t="str">
        <f t="shared" si="51"/>
        <v/>
      </c>
      <c r="BG263" t="str">
        <f t="shared" si="52"/>
        <v/>
      </c>
      <c r="BH263" t="str">
        <f t="shared" si="53"/>
        <v/>
      </c>
      <c r="BL263" t="str">
        <f>IFERROR(INDEX(_names_lookup!$C:$C,MATCH(BK263,_names_lookup!$A:$A,0)),"")</f>
        <v/>
      </c>
      <c r="BM263" t="str">
        <f>IFERROR(INDEX(_names_lookup!$B:$B,MATCH(BK263,_names_lookup!$A:$A,0)),"")</f>
        <v/>
      </c>
      <c r="BS263" t="str">
        <f t="shared" si="54"/>
        <v/>
      </c>
    </row>
    <row r="264" spans="15:71" x14ac:dyDescent="0.2">
      <c r="O264" t="str">
        <f>IFERROR(INDEX(_courses_lookup!$C:$C,MATCH(K264&amp;L264,_courses_lookup!$E:$E,0)),"")</f>
        <v/>
      </c>
      <c r="P264" t="str">
        <f>IFERROR(INDEX(_courses_lookup!$D:$D,MATCH(K264&amp;L264,_courses_lookup!$E:$E,0)),"")</f>
        <v/>
      </c>
      <c r="AG264" t="str">
        <f t="shared" si="44"/>
        <v/>
      </c>
      <c r="AI264" t="str">
        <f t="shared" si="45"/>
        <v/>
      </c>
      <c r="AL264" t="str">
        <f t="shared" si="46"/>
        <v/>
      </c>
      <c r="AN264" t="str">
        <f t="shared" si="47"/>
        <v/>
      </c>
      <c r="AQ264" t="str">
        <f t="shared" si="48"/>
        <v/>
      </c>
      <c r="AR264" t="str">
        <f t="shared" si="49"/>
        <v/>
      </c>
      <c r="AS264" t="str">
        <f t="shared" si="50"/>
        <v/>
      </c>
      <c r="AT264" t="str">
        <f t="shared" si="51"/>
        <v/>
      </c>
      <c r="BG264" t="str">
        <f t="shared" si="52"/>
        <v/>
      </c>
      <c r="BH264" t="str">
        <f t="shared" si="53"/>
        <v/>
      </c>
      <c r="BL264" t="str">
        <f>IFERROR(INDEX(_names_lookup!$C:$C,MATCH(BK264,_names_lookup!$A:$A,0)),"")</f>
        <v/>
      </c>
      <c r="BM264" t="str">
        <f>IFERROR(INDEX(_names_lookup!$B:$B,MATCH(BK264,_names_lookup!$A:$A,0)),"")</f>
        <v/>
      </c>
      <c r="BS264" t="str">
        <f t="shared" si="54"/>
        <v/>
      </c>
    </row>
    <row r="265" spans="15:71" x14ac:dyDescent="0.2">
      <c r="O265" t="str">
        <f>IFERROR(INDEX(_courses_lookup!$C:$C,MATCH(K265&amp;L265,_courses_lookup!$E:$E,0)),"")</f>
        <v/>
      </c>
      <c r="P265" t="str">
        <f>IFERROR(INDEX(_courses_lookup!$D:$D,MATCH(K265&amp;L265,_courses_lookup!$E:$E,0)),"")</f>
        <v/>
      </c>
      <c r="AG265" t="str">
        <f t="shared" si="44"/>
        <v/>
      </c>
      <c r="AI265" t="str">
        <f t="shared" si="45"/>
        <v/>
      </c>
      <c r="AL265" t="str">
        <f t="shared" si="46"/>
        <v/>
      </c>
      <c r="AN265" t="str">
        <f t="shared" si="47"/>
        <v/>
      </c>
      <c r="AQ265" t="str">
        <f t="shared" si="48"/>
        <v/>
      </c>
      <c r="AR265" t="str">
        <f t="shared" si="49"/>
        <v/>
      </c>
      <c r="AS265" t="str">
        <f t="shared" si="50"/>
        <v/>
      </c>
      <c r="AT265" t="str">
        <f t="shared" si="51"/>
        <v/>
      </c>
      <c r="BG265" t="str">
        <f t="shared" si="52"/>
        <v/>
      </c>
      <c r="BH265" t="str">
        <f t="shared" si="53"/>
        <v/>
      </c>
      <c r="BL265" t="str">
        <f>IFERROR(INDEX(_names_lookup!$C:$C,MATCH(BK265,_names_lookup!$A:$A,0)),"")</f>
        <v/>
      </c>
      <c r="BM265" t="str">
        <f>IFERROR(INDEX(_names_lookup!$B:$B,MATCH(BK265,_names_lookup!$A:$A,0)),"")</f>
        <v/>
      </c>
      <c r="BS265" t="str">
        <f t="shared" si="54"/>
        <v/>
      </c>
    </row>
    <row r="266" spans="15:71" x14ac:dyDescent="0.2">
      <c r="O266" t="str">
        <f>IFERROR(INDEX(_courses_lookup!$C:$C,MATCH(K266&amp;L266,_courses_lookup!$E:$E,0)),"")</f>
        <v/>
      </c>
      <c r="P266" t="str">
        <f>IFERROR(INDEX(_courses_lookup!$D:$D,MATCH(K266&amp;L266,_courses_lookup!$E:$E,0)),"")</f>
        <v/>
      </c>
      <c r="AG266" t="str">
        <f t="shared" si="44"/>
        <v/>
      </c>
      <c r="AI266" t="str">
        <f t="shared" si="45"/>
        <v/>
      </c>
      <c r="AL266" t="str">
        <f t="shared" si="46"/>
        <v/>
      </c>
      <c r="AN266" t="str">
        <f t="shared" si="47"/>
        <v/>
      </c>
      <c r="AQ266" t="str">
        <f t="shared" si="48"/>
        <v/>
      </c>
      <c r="AR266" t="str">
        <f t="shared" si="49"/>
        <v/>
      </c>
      <c r="AS266" t="str">
        <f t="shared" si="50"/>
        <v/>
      </c>
      <c r="AT266" t="str">
        <f t="shared" si="51"/>
        <v/>
      </c>
      <c r="BG266" t="str">
        <f t="shared" si="52"/>
        <v/>
      </c>
      <c r="BH266" t="str">
        <f t="shared" si="53"/>
        <v/>
      </c>
      <c r="BL266" t="str">
        <f>IFERROR(INDEX(_names_lookup!$C:$C,MATCH(BK266,_names_lookup!$A:$A,0)),"")</f>
        <v/>
      </c>
      <c r="BM266" t="str">
        <f>IFERROR(INDEX(_names_lookup!$B:$B,MATCH(BK266,_names_lookup!$A:$A,0)),"")</f>
        <v/>
      </c>
      <c r="BS266" t="str">
        <f t="shared" si="54"/>
        <v/>
      </c>
    </row>
    <row r="267" spans="15:71" x14ac:dyDescent="0.2">
      <c r="O267" t="str">
        <f>IFERROR(INDEX(_courses_lookup!$C:$C,MATCH(K267&amp;L267,_courses_lookup!$E:$E,0)),"")</f>
        <v/>
      </c>
      <c r="P267" t="str">
        <f>IFERROR(INDEX(_courses_lookup!$D:$D,MATCH(K267&amp;L267,_courses_lookup!$E:$E,0)),"")</f>
        <v/>
      </c>
      <c r="AG267" t="str">
        <f t="shared" si="44"/>
        <v/>
      </c>
      <c r="AI267" t="str">
        <f t="shared" si="45"/>
        <v/>
      </c>
      <c r="AL267" t="str">
        <f t="shared" si="46"/>
        <v/>
      </c>
      <c r="AN267" t="str">
        <f t="shared" si="47"/>
        <v/>
      </c>
      <c r="AQ267" t="str">
        <f t="shared" si="48"/>
        <v/>
      </c>
      <c r="AR267" t="str">
        <f t="shared" si="49"/>
        <v/>
      </c>
      <c r="AS267" t="str">
        <f t="shared" si="50"/>
        <v/>
      </c>
      <c r="AT267" t="str">
        <f t="shared" si="51"/>
        <v/>
      </c>
      <c r="BG267" t="str">
        <f t="shared" si="52"/>
        <v/>
      </c>
      <c r="BH267" t="str">
        <f t="shared" si="53"/>
        <v/>
      </c>
      <c r="BL267" t="str">
        <f>IFERROR(INDEX(_names_lookup!$C:$C,MATCH(BK267,_names_lookup!$A:$A,0)),"")</f>
        <v/>
      </c>
      <c r="BM267" t="str">
        <f>IFERROR(INDEX(_names_lookup!$B:$B,MATCH(BK267,_names_lookup!$A:$A,0)),"")</f>
        <v/>
      </c>
      <c r="BS267" t="str">
        <f t="shared" si="54"/>
        <v/>
      </c>
    </row>
    <row r="268" spans="15:71" x14ac:dyDescent="0.2">
      <c r="O268" t="str">
        <f>IFERROR(INDEX(_courses_lookup!$C:$C,MATCH(K268&amp;L268,_courses_lookup!$E:$E,0)),"")</f>
        <v/>
      </c>
      <c r="P268" t="str">
        <f>IFERROR(INDEX(_courses_lookup!$D:$D,MATCH(K268&amp;L268,_courses_lookup!$E:$E,0)),"")</f>
        <v/>
      </c>
      <c r="AG268" t="str">
        <f t="shared" si="44"/>
        <v/>
      </c>
      <c r="AI268" t="str">
        <f t="shared" si="45"/>
        <v/>
      </c>
      <c r="AL268" t="str">
        <f t="shared" si="46"/>
        <v/>
      </c>
      <c r="AN268" t="str">
        <f t="shared" si="47"/>
        <v/>
      </c>
      <c r="AQ268" t="str">
        <f t="shared" si="48"/>
        <v/>
      </c>
      <c r="AR268" t="str">
        <f t="shared" si="49"/>
        <v/>
      </c>
      <c r="AS268" t="str">
        <f t="shared" si="50"/>
        <v/>
      </c>
      <c r="AT268" t="str">
        <f t="shared" si="51"/>
        <v/>
      </c>
      <c r="BG268" t="str">
        <f t="shared" si="52"/>
        <v/>
      </c>
      <c r="BH268" t="str">
        <f t="shared" si="53"/>
        <v/>
      </c>
      <c r="BL268" t="str">
        <f>IFERROR(INDEX(_names_lookup!$C:$C,MATCH(BK268,_names_lookup!$A:$A,0)),"")</f>
        <v/>
      </c>
      <c r="BM268" t="str">
        <f>IFERROR(INDEX(_names_lookup!$B:$B,MATCH(BK268,_names_lookup!$A:$A,0)),"")</f>
        <v/>
      </c>
      <c r="BS268" t="str">
        <f t="shared" si="54"/>
        <v/>
      </c>
    </row>
    <row r="269" spans="15:71" x14ac:dyDescent="0.2">
      <c r="O269" t="str">
        <f>IFERROR(INDEX(_courses_lookup!$C:$C,MATCH(K269&amp;L269,_courses_lookup!$E:$E,0)),"")</f>
        <v/>
      </c>
      <c r="P269" t="str">
        <f>IFERROR(INDEX(_courses_lookup!$D:$D,MATCH(K269&amp;L269,_courses_lookup!$E:$E,0)),"")</f>
        <v/>
      </c>
      <c r="AG269" t="str">
        <f t="shared" si="44"/>
        <v/>
      </c>
      <c r="AI269" t="str">
        <f t="shared" si="45"/>
        <v/>
      </c>
      <c r="AL269" t="str">
        <f t="shared" si="46"/>
        <v/>
      </c>
      <c r="AN269" t="str">
        <f t="shared" si="47"/>
        <v/>
      </c>
      <c r="AQ269" t="str">
        <f t="shared" si="48"/>
        <v/>
      </c>
      <c r="AR269" t="str">
        <f t="shared" si="49"/>
        <v/>
      </c>
      <c r="AS269" t="str">
        <f t="shared" si="50"/>
        <v/>
      </c>
      <c r="AT269" t="str">
        <f t="shared" si="51"/>
        <v/>
      </c>
      <c r="BG269" t="str">
        <f t="shared" si="52"/>
        <v/>
      </c>
      <c r="BH269" t="str">
        <f t="shared" si="53"/>
        <v/>
      </c>
      <c r="BL269" t="str">
        <f>IFERROR(INDEX(_names_lookup!$C:$C,MATCH(BK269,_names_lookup!$A:$A,0)),"")</f>
        <v/>
      </c>
      <c r="BM269" t="str">
        <f>IFERROR(INDEX(_names_lookup!$B:$B,MATCH(BK269,_names_lookup!$A:$A,0)),"")</f>
        <v/>
      </c>
      <c r="BS269" t="str">
        <f t="shared" si="54"/>
        <v/>
      </c>
    </row>
    <row r="270" spans="15:71" x14ac:dyDescent="0.2">
      <c r="O270" t="str">
        <f>IFERROR(INDEX(_courses_lookup!$C:$C,MATCH(K270&amp;L270,_courses_lookup!$E:$E,0)),"")</f>
        <v/>
      </c>
      <c r="P270" t="str">
        <f>IFERROR(INDEX(_courses_lookup!$D:$D,MATCH(K270&amp;L270,_courses_lookup!$E:$E,0)),"")</f>
        <v/>
      </c>
      <c r="AG270" t="str">
        <f t="shared" si="44"/>
        <v/>
      </c>
      <c r="AI270" t="str">
        <f t="shared" si="45"/>
        <v/>
      </c>
      <c r="AL270" t="str">
        <f t="shared" si="46"/>
        <v/>
      </c>
      <c r="AN270" t="str">
        <f t="shared" si="47"/>
        <v/>
      </c>
      <c r="AQ270" t="str">
        <f t="shared" si="48"/>
        <v/>
      </c>
      <c r="AR270" t="str">
        <f t="shared" si="49"/>
        <v/>
      </c>
      <c r="AS270" t="str">
        <f t="shared" si="50"/>
        <v/>
      </c>
      <c r="AT270" t="str">
        <f t="shared" si="51"/>
        <v/>
      </c>
      <c r="BG270" t="str">
        <f t="shared" si="52"/>
        <v/>
      </c>
      <c r="BH270" t="str">
        <f t="shared" si="53"/>
        <v/>
      </c>
      <c r="BL270" t="str">
        <f>IFERROR(INDEX(_names_lookup!$C:$C,MATCH(BK270,_names_lookup!$A:$A,0)),"")</f>
        <v/>
      </c>
      <c r="BM270" t="str">
        <f>IFERROR(INDEX(_names_lookup!$B:$B,MATCH(BK270,_names_lookup!$A:$A,0)),"")</f>
        <v/>
      </c>
      <c r="BS270" t="str">
        <f t="shared" si="54"/>
        <v/>
      </c>
    </row>
    <row r="271" spans="15:71" x14ac:dyDescent="0.2">
      <c r="O271" t="str">
        <f>IFERROR(INDEX(_courses_lookup!$C:$C,MATCH(K271&amp;L271,_courses_lookup!$E:$E,0)),"")</f>
        <v/>
      </c>
      <c r="P271" t="str">
        <f>IFERROR(INDEX(_courses_lookup!$D:$D,MATCH(K271&amp;L271,_courses_lookup!$E:$E,0)),"")</f>
        <v/>
      </c>
      <c r="AG271" t="str">
        <f t="shared" si="44"/>
        <v/>
      </c>
      <c r="AI271" t="str">
        <f t="shared" si="45"/>
        <v/>
      </c>
      <c r="AL271" t="str">
        <f t="shared" si="46"/>
        <v/>
      </c>
      <c r="AN271" t="str">
        <f t="shared" si="47"/>
        <v/>
      </c>
      <c r="AQ271" t="str">
        <f t="shared" si="48"/>
        <v/>
      </c>
      <c r="AR271" t="str">
        <f t="shared" si="49"/>
        <v/>
      </c>
      <c r="AS271" t="str">
        <f t="shared" si="50"/>
        <v/>
      </c>
      <c r="AT271" t="str">
        <f t="shared" si="51"/>
        <v/>
      </c>
      <c r="BG271" t="str">
        <f t="shared" si="52"/>
        <v/>
      </c>
      <c r="BH271" t="str">
        <f t="shared" si="53"/>
        <v/>
      </c>
      <c r="BL271" t="str">
        <f>IFERROR(INDEX(_names_lookup!$C:$C,MATCH(BK271,_names_lookup!$A:$A,0)),"")</f>
        <v/>
      </c>
      <c r="BM271" t="str">
        <f>IFERROR(INDEX(_names_lookup!$B:$B,MATCH(BK271,_names_lookup!$A:$A,0)),"")</f>
        <v/>
      </c>
      <c r="BS271" t="str">
        <f t="shared" si="54"/>
        <v/>
      </c>
    </row>
    <row r="272" spans="15:71" x14ac:dyDescent="0.2">
      <c r="O272" t="str">
        <f>IFERROR(INDEX(_courses_lookup!$C:$C,MATCH(K272&amp;L272,_courses_lookup!$E:$E,0)),"")</f>
        <v/>
      </c>
      <c r="P272" t="str">
        <f>IFERROR(INDEX(_courses_lookup!$D:$D,MATCH(K272&amp;L272,_courses_lookup!$E:$E,0)),"")</f>
        <v/>
      </c>
      <c r="AG272" t="str">
        <f t="shared" si="44"/>
        <v/>
      </c>
      <c r="AI272" t="str">
        <f t="shared" si="45"/>
        <v/>
      </c>
      <c r="AL272" t="str">
        <f t="shared" si="46"/>
        <v/>
      </c>
      <c r="AN272" t="str">
        <f t="shared" si="47"/>
        <v/>
      </c>
      <c r="AQ272" t="str">
        <f t="shared" si="48"/>
        <v/>
      </c>
      <c r="AR272" t="str">
        <f t="shared" si="49"/>
        <v/>
      </c>
      <c r="AS272" t="str">
        <f t="shared" si="50"/>
        <v/>
      </c>
      <c r="AT272" t="str">
        <f t="shared" si="51"/>
        <v/>
      </c>
      <c r="BG272" t="str">
        <f t="shared" si="52"/>
        <v/>
      </c>
      <c r="BH272" t="str">
        <f t="shared" si="53"/>
        <v/>
      </c>
      <c r="BL272" t="str">
        <f>IFERROR(INDEX(_names_lookup!$C:$C,MATCH(BK272,_names_lookup!$A:$A,0)),"")</f>
        <v/>
      </c>
      <c r="BM272" t="str">
        <f>IFERROR(INDEX(_names_lookup!$B:$B,MATCH(BK272,_names_lookup!$A:$A,0)),"")</f>
        <v/>
      </c>
      <c r="BS272" t="str">
        <f t="shared" si="54"/>
        <v/>
      </c>
    </row>
    <row r="273" spans="15:71" x14ac:dyDescent="0.2">
      <c r="O273" t="str">
        <f>IFERROR(INDEX(_courses_lookup!$C:$C,MATCH(K273&amp;L273,_courses_lookup!$E:$E,0)),"")</f>
        <v/>
      </c>
      <c r="P273" t="str">
        <f>IFERROR(INDEX(_courses_lookup!$D:$D,MATCH(K273&amp;L273,_courses_lookup!$E:$E,0)),"")</f>
        <v/>
      </c>
      <c r="AG273" t="str">
        <f t="shared" si="44"/>
        <v/>
      </c>
      <c r="AI273" t="str">
        <f t="shared" si="45"/>
        <v/>
      </c>
      <c r="AL273" t="str">
        <f t="shared" si="46"/>
        <v/>
      </c>
      <c r="AN273" t="str">
        <f t="shared" si="47"/>
        <v/>
      </c>
      <c r="AQ273" t="str">
        <f t="shared" si="48"/>
        <v/>
      </c>
      <c r="AR273" t="str">
        <f t="shared" si="49"/>
        <v/>
      </c>
      <c r="AS273" t="str">
        <f t="shared" si="50"/>
        <v/>
      </c>
      <c r="AT273" t="str">
        <f t="shared" si="51"/>
        <v/>
      </c>
      <c r="BG273" t="str">
        <f t="shared" si="52"/>
        <v/>
      </c>
      <c r="BH273" t="str">
        <f t="shared" si="53"/>
        <v/>
      </c>
      <c r="BL273" t="str">
        <f>IFERROR(INDEX(_names_lookup!$C:$C,MATCH(BK273,_names_lookup!$A:$A,0)),"")</f>
        <v/>
      </c>
      <c r="BM273" t="str">
        <f>IFERROR(INDEX(_names_lookup!$B:$B,MATCH(BK273,_names_lookup!$A:$A,0)),"")</f>
        <v/>
      </c>
      <c r="BS273" t="str">
        <f t="shared" si="54"/>
        <v/>
      </c>
    </row>
    <row r="274" spans="15:71" x14ac:dyDescent="0.2">
      <c r="O274" t="str">
        <f>IFERROR(INDEX(_courses_lookup!$C:$C,MATCH(K274&amp;L274,_courses_lookup!$E:$E,0)),"")</f>
        <v/>
      </c>
      <c r="P274" t="str">
        <f>IFERROR(INDEX(_courses_lookup!$D:$D,MATCH(K274&amp;L274,_courses_lookup!$E:$E,0)),"")</f>
        <v/>
      </c>
      <c r="AG274" t="str">
        <f t="shared" si="44"/>
        <v/>
      </c>
      <c r="AI274" t="str">
        <f t="shared" si="45"/>
        <v/>
      </c>
      <c r="AL274" t="str">
        <f t="shared" si="46"/>
        <v/>
      </c>
      <c r="AN274" t="str">
        <f t="shared" si="47"/>
        <v/>
      </c>
      <c r="AQ274" t="str">
        <f t="shared" si="48"/>
        <v/>
      </c>
      <c r="AR274" t="str">
        <f t="shared" si="49"/>
        <v/>
      </c>
      <c r="AS274" t="str">
        <f t="shared" si="50"/>
        <v/>
      </c>
      <c r="AT274" t="str">
        <f t="shared" si="51"/>
        <v/>
      </c>
      <c r="BG274" t="str">
        <f t="shared" si="52"/>
        <v/>
      </c>
      <c r="BH274" t="str">
        <f t="shared" si="53"/>
        <v/>
      </c>
      <c r="BL274" t="str">
        <f>IFERROR(INDEX(_names_lookup!$C:$C,MATCH(BK274,_names_lookup!$A:$A,0)),"")</f>
        <v/>
      </c>
      <c r="BM274" t="str">
        <f>IFERROR(INDEX(_names_lookup!$B:$B,MATCH(BK274,_names_lookup!$A:$A,0)),"")</f>
        <v/>
      </c>
      <c r="BS274" t="str">
        <f t="shared" si="54"/>
        <v/>
      </c>
    </row>
    <row r="275" spans="15:71" x14ac:dyDescent="0.2">
      <c r="O275" t="str">
        <f>IFERROR(INDEX(_courses_lookup!$C:$C,MATCH(K275&amp;L275,_courses_lookup!$E:$E,0)),"")</f>
        <v/>
      </c>
      <c r="P275" t="str">
        <f>IFERROR(INDEX(_courses_lookup!$D:$D,MATCH(K275&amp;L275,_courses_lookup!$E:$E,0)),"")</f>
        <v/>
      </c>
      <c r="AG275" t="str">
        <f t="shared" si="44"/>
        <v/>
      </c>
      <c r="AI275" t="str">
        <f t="shared" si="45"/>
        <v/>
      </c>
      <c r="AL275" t="str">
        <f t="shared" si="46"/>
        <v/>
      </c>
      <c r="AN275" t="str">
        <f t="shared" si="47"/>
        <v/>
      </c>
      <c r="AQ275" t="str">
        <f t="shared" si="48"/>
        <v/>
      </c>
      <c r="AR275" t="str">
        <f t="shared" si="49"/>
        <v/>
      </c>
      <c r="AS275" t="str">
        <f t="shared" si="50"/>
        <v/>
      </c>
      <c r="AT275" t="str">
        <f t="shared" si="51"/>
        <v/>
      </c>
      <c r="BG275" t="str">
        <f t="shared" si="52"/>
        <v/>
      </c>
      <c r="BH275" t="str">
        <f t="shared" si="53"/>
        <v/>
      </c>
      <c r="BL275" t="str">
        <f>IFERROR(INDEX(_names_lookup!$C:$C,MATCH(BK275,_names_lookup!$A:$A,0)),"")</f>
        <v/>
      </c>
      <c r="BM275" t="str">
        <f>IFERROR(INDEX(_names_lookup!$B:$B,MATCH(BK275,_names_lookup!$A:$A,0)),"")</f>
        <v/>
      </c>
      <c r="BS275" t="str">
        <f t="shared" si="54"/>
        <v/>
      </c>
    </row>
    <row r="276" spans="15:71" x14ac:dyDescent="0.2">
      <c r="O276" t="str">
        <f>IFERROR(INDEX(_courses_lookup!$C:$C,MATCH(K276&amp;L276,_courses_lookup!$E:$E,0)),"")</f>
        <v/>
      </c>
      <c r="P276" t="str">
        <f>IFERROR(INDEX(_courses_lookup!$D:$D,MATCH(K276&amp;L276,_courses_lookup!$E:$E,0)),"")</f>
        <v/>
      </c>
      <c r="AG276" t="str">
        <f t="shared" si="44"/>
        <v/>
      </c>
      <c r="AI276" t="str">
        <f t="shared" si="45"/>
        <v/>
      </c>
      <c r="AL276" t="str">
        <f t="shared" si="46"/>
        <v/>
      </c>
      <c r="AN276" t="str">
        <f t="shared" si="47"/>
        <v/>
      </c>
      <c r="AQ276" t="str">
        <f t="shared" si="48"/>
        <v/>
      </c>
      <c r="AR276" t="str">
        <f t="shared" si="49"/>
        <v/>
      </c>
      <c r="AS276" t="str">
        <f t="shared" si="50"/>
        <v/>
      </c>
      <c r="AT276" t="str">
        <f t="shared" si="51"/>
        <v/>
      </c>
      <c r="BG276" t="str">
        <f t="shared" si="52"/>
        <v/>
      </c>
      <c r="BH276" t="str">
        <f t="shared" si="53"/>
        <v/>
      </c>
      <c r="BL276" t="str">
        <f>IFERROR(INDEX(_names_lookup!$C:$C,MATCH(BK276,_names_lookup!$A:$A,0)),"")</f>
        <v/>
      </c>
      <c r="BM276" t="str">
        <f>IFERROR(INDEX(_names_lookup!$B:$B,MATCH(BK276,_names_lookup!$A:$A,0)),"")</f>
        <v/>
      </c>
      <c r="BS276" t="str">
        <f t="shared" si="54"/>
        <v/>
      </c>
    </row>
    <row r="277" spans="15:71" x14ac:dyDescent="0.2">
      <c r="O277" t="str">
        <f>IFERROR(INDEX(_courses_lookup!$C:$C,MATCH(K277&amp;L277,_courses_lookup!$E:$E,0)),"")</f>
        <v/>
      </c>
      <c r="P277" t="str">
        <f>IFERROR(INDEX(_courses_lookup!$D:$D,MATCH(K277&amp;L277,_courses_lookup!$E:$E,0)),"")</f>
        <v/>
      </c>
      <c r="AG277" t="str">
        <f t="shared" si="44"/>
        <v/>
      </c>
      <c r="AI277" t="str">
        <f t="shared" si="45"/>
        <v/>
      </c>
      <c r="AL277" t="str">
        <f t="shared" si="46"/>
        <v/>
      </c>
      <c r="AN277" t="str">
        <f t="shared" si="47"/>
        <v/>
      </c>
      <c r="AQ277" t="str">
        <f t="shared" si="48"/>
        <v/>
      </c>
      <c r="AR277" t="str">
        <f t="shared" si="49"/>
        <v/>
      </c>
      <c r="AS277" t="str">
        <f t="shared" si="50"/>
        <v/>
      </c>
      <c r="AT277" t="str">
        <f t="shared" si="51"/>
        <v/>
      </c>
      <c r="BG277" t="str">
        <f t="shared" si="52"/>
        <v/>
      </c>
      <c r="BH277" t="str">
        <f t="shared" si="53"/>
        <v/>
      </c>
      <c r="BL277" t="str">
        <f>IFERROR(INDEX(_names_lookup!$C:$C,MATCH(BK277,_names_lookup!$A:$A,0)),"")</f>
        <v/>
      </c>
      <c r="BM277" t="str">
        <f>IFERROR(INDEX(_names_lookup!$B:$B,MATCH(BK277,_names_lookup!$A:$A,0)),"")</f>
        <v/>
      </c>
      <c r="BS277" t="str">
        <f t="shared" si="54"/>
        <v/>
      </c>
    </row>
    <row r="278" spans="15:71" x14ac:dyDescent="0.2">
      <c r="O278" t="str">
        <f>IFERROR(INDEX(_courses_lookup!$C:$C,MATCH(K278&amp;L278,_courses_lookup!$E:$E,0)),"")</f>
        <v/>
      </c>
      <c r="P278" t="str">
        <f>IFERROR(INDEX(_courses_lookup!$D:$D,MATCH(K278&amp;L278,_courses_lookup!$E:$E,0)),"")</f>
        <v/>
      </c>
      <c r="AG278" t="str">
        <f t="shared" si="44"/>
        <v/>
      </c>
      <c r="AI278" t="str">
        <f t="shared" si="45"/>
        <v/>
      </c>
      <c r="AL278" t="str">
        <f t="shared" si="46"/>
        <v/>
      </c>
      <c r="AN278" t="str">
        <f t="shared" si="47"/>
        <v/>
      </c>
      <c r="AQ278" t="str">
        <f t="shared" si="48"/>
        <v/>
      </c>
      <c r="AR278" t="str">
        <f t="shared" si="49"/>
        <v/>
      </c>
      <c r="AS278" t="str">
        <f t="shared" si="50"/>
        <v/>
      </c>
      <c r="AT278" t="str">
        <f t="shared" si="51"/>
        <v/>
      </c>
      <c r="BG278" t="str">
        <f t="shared" si="52"/>
        <v/>
      </c>
      <c r="BH278" t="str">
        <f t="shared" si="53"/>
        <v/>
      </c>
      <c r="BL278" t="str">
        <f>IFERROR(INDEX(_names_lookup!$C:$C,MATCH(BK278,_names_lookup!$A:$A,0)),"")</f>
        <v/>
      </c>
      <c r="BM278" t="str">
        <f>IFERROR(INDEX(_names_lookup!$B:$B,MATCH(BK278,_names_lookup!$A:$A,0)),"")</f>
        <v/>
      </c>
      <c r="BS278" t="str">
        <f t="shared" si="54"/>
        <v/>
      </c>
    </row>
    <row r="279" spans="15:71" x14ac:dyDescent="0.2">
      <c r="O279" t="str">
        <f>IFERROR(INDEX(_courses_lookup!$C:$C,MATCH(K279&amp;L279,_courses_lookup!$E:$E,0)),"")</f>
        <v/>
      </c>
      <c r="P279" t="str">
        <f>IFERROR(INDEX(_courses_lookup!$D:$D,MATCH(K279&amp;L279,_courses_lookup!$E:$E,0)),"")</f>
        <v/>
      </c>
      <c r="AG279" t="str">
        <f t="shared" si="44"/>
        <v/>
      </c>
      <c r="AI279" t="str">
        <f t="shared" si="45"/>
        <v/>
      </c>
      <c r="AL279" t="str">
        <f t="shared" si="46"/>
        <v/>
      </c>
      <c r="AN279" t="str">
        <f t="shared" si="47"/>
        <v/>
      </c>
      <c r="AQ279" t="str">
        <f t="shared" si="48"/>
        <v/>
      </c>
      <c r="AR279" t="str">
        <f t="shared" si="49"/>
        <v/>
      </c>
      <c r="AS279" t="str">
        <f t="shared" si="50"/>
        <v/>
      </c>
      <c r="AT279" t="str">
        <f t="shared" si="51"/>
        <v/>
      </c>
      <c r="BG279" t="str">
        <f t="shared" si="52"/>
        <v/>
      </c>
      <c r="BH279" t="str">
        <f t="shared" si="53"/>
        <v/>
      </c>
      <c r="BL279" t="str">
        <f>IFERROR(INDEX(_names_lookup!$C:$C,MATCH(BK279,_names_lookup!$A:$A,0)),"")</f>
        <v/>
      </c>
      <c r="BM279" t="str">
        <f>IFERROR(INDEX(_names_lookup!$B:$B,MATCH(BK279,_names_lookup!$A:$A,0)),"")</f>
        <v/>
      </c>
      <c r="BS279" t="str">
        <f t="shared" si="54"/>
        <v/>
      </c>
    </row>
    <row r="280" spans="15:71" x14ac:dyDescent="0.2">
      <c r="O280" t="str">
        <f>IFERROR(INDEX(_courses_lookup!$C:$C,MATCH(K280&amp;L280,_courses_lookup!$E:$E,0)),"")</f>
        <v/>
      </c>
      <c r="P280" t="str">
        <f>IFERROR(INDEX(_courses_lookup!$D:$D,MATCH(K280&amp;L280,_courses_lookup!$E:$E,0)),"")</f>
        <v/>
      </c>
      <c r="AG280" t="str">
        <f t="shared" si="44"/>
        <v/>
      </c>
      <c r="AI280" t="str">
        <f t="shared" si="45"/>
        <v/>
      </c>
      <c r="AL280" t="str">
        <f t="shared" si="46"/>
        <v/>
      </c>
      <c r="AN280" t="str">
        <f t="shared" si="47"/>
        <v/>
      </c>
      <c r="AQ280" t="str">
        <f t="shared" si="48"/>
        <v/>
      </c>
      <c r="AR280" t="str">
        <f t="shared" si="49"/>
        <v/>
      </c>
      <c r="AS280" t="str">
        <f t="shared" si="50"/>
        <v/>
      </c>
      <c r="AT280" t="str">
        <f t="shared" si="51"/>
        <v/>
      </c>
      <c r="BG280" t="str">
        <f t="shared" si="52"/>
        <v/>
      </c>
      <c r="BH280" t="str">
        <f t="shared" si="53"/>
        <v/>
      </c>
      <c r="BL280" t="str">
        <f>IFERROR(INDEX(_names_lookup!$C:$C,MATCH(BK280,_names_lookup!$A:$A,0)),"")</f>
        <v/>
      </c>
      <c r="BM280" t="str">
        <f>IFERROR(INDEX(_names_lookup!$B:$B,MATCH(BK280,_names_lookup!$A:$A,0)),"")</f>
        <v/>
      </c>
      <c r="BS280" t="str">
        <f t="shared" si="54"/>
        <v/>
      </c>
    </row>
    <row r="281" spans="15:71" x14ac:dyDescent="0.2">
      <c r="O281" t="str">
        <f>IFERROR(INDEX(_courses_lookup!$C:$C,MATCH(K281&amp;L281,_courses_lookup!$E:$E,0)),"")</f>
        <v/>
      </c>
      <c r="P281" t="str">
        <f>IFERROR(INDEX(_courses_lookup!$D:$D,MATCH(K281&amp;L281,_courses_lookup!$E:$E,0)),"")</f>
        <v/>
      </c>
      <c r="AG281" t="str">
        <f t="shared" si="44"/>
        <v/>
      </c>
      <c r="AI281" t="str">
        <f t="shared" si="45"/>
        <v/>
      </c>
      <c r="AL281" t="str">
        <f t="shared" si="46"/>
        <v/>
      </c>
      <c r="AN281" t="str">
        <f t="shared" si="47"/>
        <v/>
      </c>
      <c r="AQ281" t="str">
        <f t="shared" si="48"/>
        <v/>
      </c>
      <c r="AR281" t="str">
        <f t="shared" si="49"/>
        <v/>
      </c>
      <c r="AS281" t="str">
        <f t="shared" si="50"/>
        <v/>
      </c>
      <c r="AT281" t="str">
        <f t="shared" si="51"/>
        <v/>
      </c>
      <c r="BG281" t="str">
        <f t="shared" si="52"/>
        <v/>
      </c>
      <c r="BH281" t="str">
        <f t="shared" si="53"/>
        <v/>
      </c>
      <c r="BL281" t="str">
        <f>IFERROR(INDEX(_names_lookup!$C:$C,MATCH(BK281,_names_lookup!$A:$A,0)),"")</f>
        <v/>
      </c>
      <c r="BM281" t="str">
        <f>IFERROR(INDEX(_names_lookup!$B:$B,MATCH(BK281,_names_lookup!$A:$A,0)),"")</f>
        <v/>
      </c>
      <c r="BS281" t="str">
        <f t="shared" si="54"/>
        <v/>
      </c>
    </row>
    <row r="282" spans="15:71" x14ac:dyDescent="0.2">
      <c r="O282" t="str">
        <f>IFERROR(INDEX(_courses_lookup!$C:$C,MATCH(K282&amp;L282,_courses_lookup!$E:$E,0)),"")</f>
        <v/>
      </c>
      <c r="P282" t="str">
        <f>IFERROR(INDEX(_courses_lookup!$D:$D,MATCH(K282&amp;L282,_courses_lookup!$E:$E,0)),"")</f>
        <v/>
      </c>
      <c r="AG282" t="str">
        <f t="shared" si="44"/>
        <v/>
      </c>
      <c r="AI282" t="str">
        <f t="shared" si="45"/>
        <v/>
      </c>
      <c r="AL282" t="str">
        <f t="shared" si="46"/>
        <v/>
      </c>
      <c r="AN282" t="str">
        <f t="shared" si="47"/>
        <v/>
      </c>
      <c r="AQ282" t="str">
        <f t="shared" si="48"/>
        <v/>
      </c>
      <c r="AR282" t="str">
        <f t="shared" si="49"/>
        <v/>
      </c>
      <c r="AS282" t="str">
        <f t="shared" si="50"/>
        <v/>
      </c>
      <c r="AT282" t="str">
        <f t="shared" si="51"/>
        <v/>
      </c>
      <c r="BG282" t="str">
        <f t="shared" si="52"/>
        <v/>
      </c>
      <c r="BH282" t="str">
        <f t="shared" si="53"/>
        <v/>
      </c>
      <c r="BL282" t="str">
        <f>IFERROR(INDEX(_names_lookup!$C:$C,MATCH(BK282,_names_lookup!$A:$A,0)),"")</f>
        <v/>
      </c>
      <c r="BM282" t="str">
        <f>IFERROR(INDEX(_names_lookup!$B:$B,MATCH(BK282,_names_lookup!$A:$A,0)),"")</f>
        <v/>
      </c>
      <c r="BS282" t="str">
        <f t="shared" si="54"/>
        <v/>
      </c>
    </row>
    <row r="283" spans="15:71" x14ac:dyDescent="0.2">
      <c r="O283" t="str">
        <f>IFERROR(INDEX(_courses_lookup!$C:$C,MATCH(K283&amp;L283,_courses_lookup!$E:$E,0)),"")</f>
        <v/>
      </c>
      <c r="P283" t="str">
        <f>IFERROR(INDEX(_courses_lookup!$D:$D,MATCH(K283&amp;L283,_courses_lookup!$E:$E,0)),"")</f>
        <v/>
      </c>
      <c r="AG283" t="str">
        <f t="shared" si="44"/>
        <v/>
      </c>
      <c r="AI283" t="str">
        <f t="shared" si="45"/>
        <v/>
      </c>
      <c r="AL283" t="str">
        <f t="shared" si="46"/>
        <v/>
      </c>
      <c r="AN283" t="str">
        <f t="shared" si="47"/>
        <v/>
      </c>
      <c r="AQ283" t="str">
        <f t="shared" si="48"/>
        <v/>
      </c>
      <c r="AR283" t="str">
        <f t="shared" si="49"/>
        <v/>
      </c>
      <c r="AS283" t="str">
        <f t="shared" si="50"/>
        <v/>
      </c>
      <c r="AT283" t="str">
        <f t="shared" si="51"/>
        <v/>
      </c>
      <c r="BG283" t="str">
        <f t="shared" si="52"/>
        <v/>
      </c>
      <c r="BH283" t="str">
        <f t="shared" si="53"/>
        <v/>
      </c>
      <c r="BL283" t="str">
        <f>IFERROR(INDEX(_names_lookup!$C:$C,MATCH(BK283,_names_lookup!$A:$A,0)),"")</f>
        <v/>
      </c>
      <c r="BM283" t="str">
        <f>IFERROR(INDEX(_names_lookup!$B:$B,MATCH(BK283,_names_lookup!$A:$A,0)),"")</f>
        <v/>
      </c>
      <c r="BS283" t="str">
        <f t="shared" si="54"/>
        <v/>
      </c>
    </row>
    <row r="284" spans="15:71" x14ac:dyDescent="0.2">
      <c r="O284" t="str">
        <f>IFERROR(INDEX(_courses_lookup!$C:$C,MATCH(K284&amp;L284,_courses_lookup!$E:$E,0)),"")</f>
        <v/>
      </c>
      <c r="P284" t="str">
        <f>IFERROR(INDEX(_courses_lookup!$D:$D,MATCH(K284&amp;L284,_courses_lookup!$E:$E,0)),"")</f>
        <v/>
      </c>
      <c r="AG284" t="str">
        <f t="shared" si="44"/>
        <v/>
      </c>
      <c r="AI284" t="str">
        <f t="shared" si="45"/>
        <v/>
      </c>
      <c r="AL284" t="str">
        <f t="shared" si="46"/>
        <v/>
      </c>
      <c r="AN284" t="str">
        <f t="shared" si="47"/>
        <v/>
      </c>
      <c r="AQ284" t="str">
        <f t="shared" si="48"/>
        <v/>
      </c>
      <c r="AR284" t="str">
        <f t="shared" si="49"/>
        <v/>
      </c>
      <c r="AS284" t="str">
        <f t="shared" si="50"/>
        <v/>
      </c>
      <c r="AT284" t="str">
        <f t="shared" si="51"/>
        <v/>
      </c>
      <c r="BG284" t="str">
        <f t="shared" si="52"/>
        <v/>
      </c>
      <c r="BH284" t="str">
        <f t="shared" si="53"/>
        <v/>
      </c>
      <c r="BL284" t="str">
        <f>IFERROR(INDEX(_names_lookup!$C:$C,MATCH(BK284,_names_lookup!$A:$A,0)),"")</f>
        <v/>
      </c>
      <c r="BM284" t="str">
        <f>IFERROR(INDEX(_names_lookup!$B:$B,MATCH(BK284,_names_lookup!$A:$A,0)),"")</f>
        <v/>
      </c>
      <c r="BS284" t="str">
        <f t="shared" si="54"/>
        <v/>
      </c>
    </row>
    <row r="285" spans="15:71" x14ac:dyDescent="0.2">
      <c r="O285" t="str">
        <f>IFERROR(INDEX(_courses_lookup!$C:$C,MATCH(K285&amp;L285,_courses_lookup!$E:$E,0)),"")</f>
        <v/>
      </c>
      <c r="P285" t="str">
        <f>IFERROR(INDEX(_courses_lookup!$D:$D,MATCH(K285&amp;L285,_courses_lookup!$E:$E,0)),"")</f>
        <v/>
      </c>
      <c r="AG285" t="str">
        <f t="shared" si="44"/>
        <v/>
      </c>
      <c r="AI285" t="str">
        <f t="shared" si="45"/>
        <v/>
      </c>
      <c r="AL285" t="str">
        <f t="shared" si="46"/>
        <v/>
      </c>
      <c r="AN285" t="str">
        <f t="shared" si="47"/>
        <v/>
      </c>
      <c r="AQ285" t="str">
        <f t="shared" si="48"/>
        <v/>
      </c>
      <c r="AR285" t="str">
        <f t="shared" si="49"/>
        <v/>
      </c>
      <c r="AS285" t="str">
        <f t="shared" si="50"/>
        <v/>
      </c>
      <c r="AT285" t="str">
        <f t="shared" si="51"/>
        <v/>
      </c>
      <c r="BG285" t="str">
        <f t="shared" si="52"/>
        <v/>
      </c>
      <c r="BH285" t="str">
        <f t="shared" si="53"/>
        <v/>
      </c>
      <c r="BL285" t="str">
        <f>IFERROR(INDEX(_names_lookup!$C:$C,MATCH(BK285,_names_lookup!$A:$A,0)),"")</f>
        <v/>
      </c>
      <c r="BM285" t="str">
        <f>IFERROR(INDEX(_names_lookup!$B:$B,MATCH(BK285,_names_lookup!$A:$A,0)),"")</f>
        <v/>
      </c>
      <c r="BS285" t="str">
        <f t="shared" si="54"/>
        <v/>
      </c>
    </row>
    <row r="286" spans="15:71" x14ac:dyDescent="0.2">
      <c r="O286" t="str">
        <f>IFERROR(INDEX(_courses_lookup!$C:$C,MATCH(K286&amp;L286,_courses_lookup!$E:$E,0)),"")</f>
        <v/>
      </c>
      <c r="P286" t="str">
        <f>IFERROR(INDEX(_courses_lookup!$D:$D,MATCH(K286&amp;L286,_courses_lookup!$E:$E,0)),"")</f>
        <v/>
      </c>
      <c r="AG286" t="str">
        <f t="shared" si="44"/>
        <v/>
      </c>
      <c r="AI286" t="str">
        <f t="shared" si="45"/>
        <v/>
      </c>
      <c r="AL286" t="str">
        <f t="shared" si="46"/>
        <v/>
      </c>
      <c r="AN286" t="str">
        <f t="shared" si="47"/>
        <v/>
      </c>
      <c r="AQ286" t="str">
        <f t="shared" si="48"/>
        <v/>
      </c>
      <c r="AR286" t="str">
        <f t="shared" si="49"/>
        <v/>
      </c>
      <c r="AS286" t="str">
        <f t="shared" si="50"/>
        <v/>
      </c>
      <c r="AT286" t="str">
        <f t="shared" si="51"/>
        <v/>
      </c>
      <c r="BG286" t="str">
        <f t="shared" si="52"/>
        <v/>
      </c>
      <c r="BH286" t="str">
        <f t="shared" si="53"/>
        <v/>
      </c>
      <c r="BL286" t="str">
        <f>IFERROR(INDEX(_names_lookup!$C:$C,MATCH(BK286,_names_lookup!$A:$A,0)),"")</f>
        <v/>
      </c>
      <c r="BM286" t="str">
        <f>IFERROR(INDEX(_names_lookup!$B:$B,MATCH(BK286,_names_lookup!$A:$A,0)),"")</f>
        <v/>
      </c>
      <c r="BS286" t="str">
        <f t="shared" si="54"/>
        <v/>
      </c>
    </row>
    <row r="287" spans="15:71" x14ac:dyDescent="0.2">
      <c r="O287" t="str">
        <f>IFERROR(INDEX(_courses_lookup!$C:$C,MATCH(K287&amp;L287,_courses_lookup!$E:$E,0)),"")</f>
        <v/>
      </c>
      <c r="P287" t="str">
        <f>IFERROR(INDEX(_courses_lookup!$D:$D,MATCH(K287&amp;L287,_courses_lookup!$E:$E,0)),"")</f>
        <v/>
      </c>
      <c r="AG287" t="str">
        <f t="shared" si="44"/>
        <v/>
      </c>
      <c r="AI287" t="str">
        <f t="shared" si="45"/>
        <v/>
      </c>
      <c r="AL287" t="str">
        <f t="shared" si="46"/>
        <v/>
      </c>
      <c r="AN287" t="str">
        <f t="shared" si="47"/>
        <v/>
      </c>
      <c r="AQ287" t="str">
        <f t="shared" si="48"/>
        <v/>
      </c>
      <c r="AR287" t="str">
        <f t="shared" si="49"/>
        <v/>
      </c>
      <c r="AS287" t="str">
        <f t="shared" si="50"/>
        <v/>
      </c>
      <c r="AT287" t="str">
        <f t="shared" si="51"/>
        <v/>
      </c>
      <c r="BG287" t="str">
        <f t="shared" si="52"/>
        <v/>
      </c>
      <c r="BH287" t="str">
        <f t="shared" si="53"/>
        <v/>
      </c>
      <c r="BL287" t="str">
        <f>IFERROR(INDEX(_names_lookup!$C:$C,MATCH(BK287,_names_lookup!$A:$A,0)),"")</f>
        <v/>
      </c>
      <c r="BM287" t="str">
        <f>IFERROR(INDEX(_names_lookup!$B:$B,MATCH(BK287,_names_lookup!$A:$A,0)),"")</f>
        <v/>
      </c>
      <c r="BS287" t="str">
        <f t="shared" si="54"/>
        <v/>
      </c>
    </row>
    <row r="288" spans="15:71" x14ac:dyDescent="0.2">
      <c r="O288" t="str">
        <f>IFERROR(INDEX(_courses_lookup!$C:$C,MATCH(K288&amp;L288,_courses_lookup!$E:$E,0)),"")</f>
        <v/>
      </c>
      <c r="P288" t="str">
        <f>IFERROR(INDEX(_courses_lookup!$D:$D,MATCH(K288&amp;L288,_courses_lookup!$E:$E,0)),"")</f>
        <v/>
      </c>
      <c r="AG288" t="str">
        <f t="shared" si="44"/>
        <v/>
      </c>
      <c r="AI288" t="str">
        <f t="shared" si="45"/>
        <v/>
      </c>
      <c r="AL288" t="str">
        <f t="shared" si="46"/>
        <v/>
      </c>
      <c r="AN288" t="str">
        <f t="shared" si="47"/>
        <v/>
      </c>
      <c r="AQ288" t="str">
        <f t="shared" si="48"/>
        <v/>
      </c>
      <c r="AR288" t="str">
        <f t="shared" si="49"/>
        <v/>
      </c>
      <c r="AS288" t="str">
        <f t="shared" si="50"/>
        <v/>
      </c>
      <c r="AT288" t="str">
        <f t="shared" si="51"/>
        <v/>
      </c>
      <c r="BG288" t="str">
        <f t="shared" si="52"/>
        <v/>
      </c>
      <c r="BH288" t="str">
        <f t="shared" si="53"/>
        <v/>
      </c>
      <c r="BL288" t="str">
        <f>IFERROR(INDEX(_names_lookup!$C:$C,MATCH(BK288,_names_lookup!$A:$A,0)),"")</f>
        <v/>
      </c>
      <c r="BM288" t="str">
        <f>IFERROR(INDEX(_names_lookup!$B:$B,MATCH(BK288,_names_lookup!$A:$A,0)),"")</f>
        <v/>
      </c>
      <c r="BS288" t="str">
        <f t="shared" si="54"/>
        <v/>
      </c>
    </row>
    <row r="289" spans="15:71" x14ac:dyDescent="0.2">
      <c r="O289" t="str">
        <f>IFERROR(INDEX(_courses_lookup!$C:$C,MATCH(K289&amp;L289,_courses_lookup!$E:$E,0)),"")</f>
        <v/>
      </c>
      <c r="P289" t="str">
        <f>IFERROR(INDEX(_courses_lookup!$D:$D,MATCH(K289&amp;L289,_courses_lookup!$E:$E,0)),"")</f>
        <v/>
      </c>
      <c r="AG289" t="str">
        <f t="shared" si="44"/>
        <v/>
      </c>
      <c r="AI289" t="str">
        <f t="shared" si="45"/>
        <v/>
      </c>
      <c r="AL289" t="str">
        <f t="shared" si="46"/>
        <v/>
      </c>
      <c r="AN289" t="str">
        <f t="shared" si="47"/>
        <v/>
      </c>
      <c r="AQ289" t="str">
        <f t="shared" si="48"/>
        <v/>
      </c>
      <c r="AR289" t="str">
        <f t="shared" si="49"/>
        <v/>
      </c>
      <c r="AS289" t="str">
        <f t="shared" si="50"/>
        <v/>
      </c>
      <c r="AT289" t="str">
        <f t="shared" si="51"/>
        <v/>
      </c>
      <c r="BG289" t="str">
        <f t="shared" si="52"/>
        <v/>
      </c>
      <c r="BH289" t="str">
        <f t="shared" si="53"/>
        <v/>
      </c>
      <c r="BL289" t="str">
        <f>IFERROR(INDEX(_names_lookup!$C:$C,MATCH(BK289,_names_lookup!$A:$A,0)),"")</f>
        <v/>
      </c>
      <c r="BM289" t="str">
        <f>IFERROR(INDEX(_names_lookup!$B:$B,MATCH(BK289,_names_lookup!$A:$A,0)),"")</f>
        <v/>
      </c>
      <c r="BS289" t="str">
        <f t="shared" si="54"/>
        <v/>
      </c>
    </row>
    <row r="290" spans="15:71" x14ac:dyDescent="0.2">
      <c r="O290" t="str">
        <f>IFERROR(INDEX(_courses_lookup!$C:$C,MATCH(K290&amp;L290,_courses_lookup!$E:$E,0)),"")</f>
        <v/>
      </c>
      <c r="P290" t="str">
        <f>IFERROR(INDEX(_courses_lookup!$D:$D,MATCH(K290&amp;L290,_courses_lookup!$E:$E,0)),"")</f>
        <v/>
      </c>
      <c r="AG290" t="str">
        <f t="shared" si="44"/>
        <v/>
      </c>
      <c r="AI290" t="str">
        <f t="shared" si="45"/>
        <v/>
      </c>
      <c r="AL290" t="str">
        <f t="shared" si="46"/>
        <v/>
      </c>
      <c r="AN290" t="str">
        <f t="shared" si="47"/>
        <v/>
      </c>
      <c r="AQ290" t="str">
        <f t="shared" si="48"/>
        <v/>
      </c>
      <c r="AR290" t="str">
        <f t="shared" si="49"/>
        <v/>
      </c>
      <c r="AS290" t="str">
        <f t="shared" si="50"/>
        <v/>
      </c>
      <c r="AT290" t="str">
        <f t="shared" si="51"/>
        <v/>
      </c>
      <c r="BG290" t="str">
        <f t="shared" si="52"/>
        <v/>
      </c>
      <c r="BH290" t="str">
        <f t="shared" si="53"/>
        <v/>
      </c>
      <c r="BL290" t="str">
        <f>IFERROR(INDEX(_names_lookup!$C:$C,MATCH(BK290,_names_lookup!$A:$A,0)),"")</f>
        <v/>
      </c>
      <c r="BM290" t="str">
        <f>IFERROR(INDEX(_names_lookup!$B:$B,MATCH(BK290,_names_lookup!$A:$A,0)),"")</f>
        <v/>
      </c>
      <c r="BS290" t="str">
        <f t="shared" si="54"/>
        <v/>
      </c>
    </row>
    <row r="291" spans="15:71" x14ac:dyDescent="0.2">
      <c r="O291" t="str">
        <f>IFERROR(INDEX(_courses_lookup!$C:$C,MATCH(K291&amp;L291,_courses_lookup!$E:$E,0)),"")</f>
        <v/>
      </c>
      <c r="P291" t="str">
        <f>IFERROR(INDEX(_courses_lookup!$D:$D,MATCH(K291&amp;L291,_courses_lookup!$E:$E,0)),"")</f>
        <v/>
      </c>
      <c r="AG291" t="str">
        <f t="shared" si="44"/>
        <v/>
      </c>
      <c r="AI291" t="str">
        <f t="shared" si="45"/>
        <v/>
      </c>
      <c r="AL291" t="str">
        <f t="shared" si="46"/>
        <v/>
      </c>
      <c r="AN291" t="str">
        <f t="shared" si="47"/>
        <v/>
      </c>
      <c r="AQ291" t="str">
        <f t="shared" si="48"/>
        <v/>
      </c>
      <c r="AR291" t="str">
        <f t="shared" si="49"/>
        <v/>
      </c>
      <c r="AS291" t="str">
        <f t="shared" si="50"/>
        <v/>
      </c>
      <c r="AT291" t="str">
        <f t="shared" si="51"/>
        <v/>
      </c>
      <c r="BG291" t="str">
        <f t="shared" si="52"/>
        <v/>
      </c>
      <c r="BH291" t="str">
        <f t="shared" si="53"/>
        <v/>
      </c>
      <c r="BL291" t="str">
        <f>IFERROR(INDEX(_names_lookup!$C:$C,MATCH(BK291,_names_lookup!$A:$A,0)),"")</f>
        <v/>
      </c>
      <c r="BM291" t="str">
        <f>IFERROR(INDEX(_names_lookup!$B:$B,MATCH(BK291,_names_lookup!$A:$A,0)),"")</f>
        <v/>
      </c>
      <c r="BS291" t="str">
        <f t="shared" si="54"/>
        <v/>
      </c>
    </row>
    <row r="292" spans="15:71" x14ac:dyDescent="0.2">
      <c r="O292" t="str">
        <f>IFERROR(INDEX(_courses_lookup!$C:$C,MATCH(K292&amp;L292,_courses_lookup!$E:$E,0)),"")</f>
        <v/>
      </c>
      <c r="P292" t="str">
        <f>IFERROR(INDEX(_courses_lookup!$D:$D,MATCH(K292&amp;L292,_courses_lookup!$E:$E,0)),"")</f>
        <v/>
      </c>
      <c r="AG292" t="str">
        <f t="shared" si="44"/>
        <v/>
      </c>
      <c r="AI292" t="str">
        <f t="shared" si="45"/>
        <v/>
      </c>
      <c r="AL292" t="str">
        <f t="shared" si="46"/>
        <v/>
      </c>
      <c r="AN292" t="str">
        <f t="shared" si="47"/>
        <v/>
      </c>
      <c r="AQ292" t="str">
        <f t="shared" si="48"/>
        <v/>
      </c>
      <c r="AR292" t="str">
        <f t="shared" si="49"/>
        <v/>
      </c>
      <c r="AS292" t="str">
        <f t="shared" si="50"/>
        <v/>
      </c>
      <c r="AT292" t="str">
        <f t="shared" si="51"/>
        <v/>
      </c>
      <c r="BG292" t="str">
        <f t="shared" si="52"/>
        <v/>
      </c>
      <c r="BH292" t="str">
        <f t="shared" si="53"/>
        <v/>
      </c>
      <c r="BL292" t="str">
        <f>IFERROR(INDEX(_names_lookup!$C:$C,MATCH(BK292,_names_lookup!$A:$A,0)),"")</f>
        <v/>
      </c>
      <c r="BM292" t="str">
        <f>IFERROR(INDEX(_names_lookup!$B:$B,MATCH(BK292,_names_lookup!$A:$A,0)),"")</f>
        <v/>
      </c>
      <c r="BS292" t="str">
        <f t="shared" si="54"/>
        <v/>
      </c>
    </row>
    <row r="293" spans="15:71" x14ac:dyDescent="0.2">
      <c r="O293" t="str">
        <f>IFERROR(INDEX(_courses_lookup!$C:$C,MATCH(K293&amp;L293,_courses_lookup!$E:$E,0)),"")</f>
        <v/>
      </c>
      <c r="P293" t="str">
        <f>IFERROR(INDEX(_courses_lookup!$D:$D,MATCH(K293&amp;L293,_courses_lookup!$E:$E,0)),"")</f>
        <v/>
      </c>
      <c r="AG293" t="str">
        <f t="shared" si="44"/>
        <v/>
      </c>
      <c r="AI293" t="str">
        <f t="shared" si="45"/>
        <v/>
      </c>
      <c r="AL293" t="str">
        <f t="shared" si="46"/>
        <v/>
      </c>
      <c r="AN293" t="str">
        <f t="shared" si="47"/>
        <v/>
      </c>
      <c r="AQ293" t="str">
        <f t="shared" si="48"/>
        <v/>
      </c>
      <c r="AR293" t="str">
        <f t="shared" si="49"/>
        <v/>
      </c>
      <c r="AS293" t="str">
        <f t="shared" si="50"/>
        <v/>
      </c>
      <c r="AT293" t="str">
        <f t="shared" si="51"/>
        <v/>
      </c>
      <c r="BG293" t="str">
        <f t="shared" si="52"/>
        <v/>
      </c>
      <c r="BH293" t="str">
        <f t="shared" si="53"/>
        <v/>
      </c>
      <c r="BL293" t="str">
        <f>IFERROR(INDEX(_names_lookup!$C:$C,MATCH(BK293,_names_lookup!$A:$A,0)),"")</f>
        <v/>
      </c>
      <c r="BM293" t="str">
        <f>IFERROR(INDEX(_names_lookup!$B:$B,MATCH(BK293,_names_lookup!$A:$A,0)),"")</f>
        <v/>
      </c>
      <c r="BS293" t="str">
        <f t="shared" si="54"/>
        <v/>
      </c>
    </row>
    <row r="294" spans="15:71" x14ac:dyDescent="0.2">
      <c r="O294" t="str">
        <f>IFERROR(INDEX(_courses_lookup!$C:$C,MATCH(K294&amp;L294,_courses_lookup!$E:$E,0)),"")</f>
        <v/>
      </c>
      <c r="P294" t="str">
        <f>IFERROR(INDEX(_courses_lookup!$D:$D,MATCH(K294&amp;L294,_courses_lookup!$E:$E,0)),"")</f>
        <v/>
      </c>
      <c r="AG294" t="str">
        <f t="shared" si="44"/>
        <v/>
      </c>
      <c r="AI294" t="str">
        <f t="shared" si="45"/>
        <v/>
      </c>
      <c r="AL294" t="str">
        <f t="shared" si="46"/>
        <v/>
      </c>
      <c r="AN294" t="str">
        <f t="shared" si="47"/>
        <v/>
      </c>
      <c r="AQ294" t="str">
        <f t="shared" si="48"/>
        <v/>
      </c>
      <c r="AR294" t="str">
        <f t="shared" si="49"/>
        <v/>
      </c>
      <c r="AS294" t="str">
        <f t="shared" si="50"/>
        <v/>
      </c>
      <c r="AT294" t="str">
        <f t="shared" si="51"/>
        <v/>
      </c>
      <c r="BG294" t="str">
        <f t="shared" si="52"/>
        <v/>
      </c>
      <c r="BH294" t="str">
        <f t="shared" si="53"/>
        <v/>
      </c>
      <c r="BL294" t="str">
        <f>IFERROR(INDEX(_names_lookup!$C:$C,MATCH(BK294,_names_lookup!$A:$A,0)),"")</f>
        <v/>
      </c>
      <c r="BM294" t="str">
        <f>IFERROR(INDEX(_names_lookup!$B:$B,MATCH(BK294,_names_lookup!$A:$A,0)),"")</f>
        <v/>
      </c>
      <c r="BS294" t="str">
        <f t="shared" si="54"/>
        <v/>
      </c>
    </row>
    <row r="295" spans="15:71" x14ac:dyDescent="0.2">
      <c r="O295" t="str">
        <f>IFERROR(INDEX(_courses_lookup!$C:$C,MATCH(K295&amp;L295,_courses_lookup!$E:$E,0)),"")</f>
        <v/>
      </c>
      <c r="P295" t="str">
        <f>IFERROR(INDEX(_courses_lookup!$D:$D,MATCH(K295&amp;L295,_courses_lookup!$E:$E,0)),"")</f>
        <v/>
      </c>
      <c r="AG295" t="str">
        <f t="shared" si="44"/>
        <v/>
      </c>
      <c r="AI295" t="str">
        <f t="shared" si="45"/>
        <v/>
      </c>
      <c r="AL295" t="str">
        <f t="shared" si="46"/>
        <v/>
      </c>
      <c r="AN295" t="str">
        <f t="shared" si="47"/>
        <v/>
      </c>
      <c r="AQ295" t="str">
        <f t="shared" si="48"/>
        <v/>
      </c>
      <c r="AR295" t="str">
        <f t="shared" si="49"/>
        <v/>
      </c>
      <c r="AS295" t="str">
        <f t="shared" si="50"/>
        <v/>
      </c>
      <c r="AT295" t="str">
        <f t="shared" si="51"/>
        <v/>
      </c>
      <c r="BG295" t="str">
        <f t="shared" si="52"/>
        <v/>
      </c>
      <c r="BH295" t="str">
        <f t="shared" si="53"/>
        <v/>
      </c>
      <c r="BL295" t="str">
        <f>IFERROR(INDEX(_names_lookup!$C:$C,MATCH(BK295,_names_lookup!$A:$A,0)),"")</f>
        <v/>
      </c>
      <c r="BM295" t="str">
        <f>IFERROR(INDEX(_names_lookup!$B:$B,MATCH(BK295,_names_lookup!$A:$A,0)),"")</f>
        <v/>
      </c>
      <c r="BS295" t="str">
        <f t="shared" si="54"/>
        <v/>
      </c>
    </row>
    <row r="296" spans="15:71" x14ac:dyDescent="0.2">
      <c r="O296" t="str">
        <f>IFERROR(INDEX(_courses_lookup!$C:$C,MATCH(K296&amp;L296,_courses_lookup!$E:$E,0)),"")</f>
        <v/>
      </c>
      <c r="P296" t="str">
        <f>IFERROR(INDEX(_courses_lookup!$D:$D,MATCH(K296&amp;L296,_courses_lookup!$E:$E,0)),"")</f>
        <v/>
      </c>
      <c r="AG296" t="str">
        <f t="shared" si="44"/>
        <v/>
      </c>
      <c r="AI296" t="str">
        <f t="shared" si="45"/>
        <v/>
      </c>
      <c r="AL296" t="str">
        <f t="shared" si="46"/>
        <v/>
      </c>
      <c r="AN296" t="str">
        <f t="shared" si="47"/>
        <v/>
      </c>
      <c r="AQ296" t="str">
        <f t="shared" si="48"/>
        <v/>
      </c>
      <c r="AR296" t="str">
        <f t="shared" si="49"/>
        <v/>
      </c>
      <c r="AS296" t="str">
        <f t="shared" si="50"/>
        <v/>
      </c>
      <c r="AT296" t="str">
        <f t="shared" si="51"/>
        <v/>
      </c>
      <c r="BG296" t="str">
        <f t="shared" si="52"/>
        <v/>
      </c>
      <c r="BH296" t="str">
        <f t="shared" si="53"/>
        <v/>
      </c>
      <c r="BL296" t="str">
        <f>IFERROR(INDEX(_names_lookup!$C:$C,MATCH(BK296,_names_lookup!$A:$A,0)),"")</f>
        <v/>
      </c>
      <c r="BM296" t="str">
        <f>IFERROR(INDEX(_names_lookup!$B:$B,MATCH(BK296,_names_lookup!$A:$A,0)),"")</f>
        <v/>
      </c>
      <c r="BS296" t="str">
        <f t="shared" si="54"/>
        <v/>
      </c>
    </row>
    <row r="297" spans="15:71" x14ac:dyDescent="0.2">
      <c r="O297" t="str">
        <f>IFERROR(INDEX(_courses_lookup!$C:$C,MATCH(K297&amp;L297,_courses_lookup!$E:$E,0)),"")</f>
        <v/>
      </c>
      <c r="P297" t="str">
        <f>IFERROR(INDEX(_courses_lookup!$D:$D,MATCH(K297&amp;L297,_courses_lookup!$E:$E,0)),"")</f>
        <v/>
      </c>
      <c r="AG297" t="str">
        <f t="shared" si="44"/>
        <v/>
      </c>
      <c r="AI297" t="str">
        <f t="shared" si="45"/>
        <v/>
      </c>
      <c r="AL297" t="str">
        <f t="shared" si="46"/>
        <v/>
      </c>
      <c r="AN297" t="str">
        <f t="shared" si="47"/>
        <v/>
      </c>
      <c r="AQ297" t="str">
        <f t="shared" si="48"/>
        <v/>
      </c>
      <c r="AR297" t="str">
        <f t="shared" si="49"/>
        <v/>
      </c>
      <c r="AS297" t="str">
        <f t="shared" si="50"/>
        <v/>
      </c>
      <c r="AT297" t="str">
        <f t="shared" si="51"/>
        <v/>
      </c>
      <c r="BG297" t="str">
        <f t="shared" si="52"/>
        <v/>
      </c>
      <c r="BH297" t="str">
        <f t="shared" si="53"/>
        <v/>
      </c>
      <c r="BL297" t="str">
        <f>IFERROR(INDEX(_names_lookup!$C:$C,MATCH(BK297,_names_lookup!$A:$A,0)),"")</f>
        <v/>
      </c>
      <c r="BM297" t="str">
        <f>IFERROR(INDEX(_names_lookup!$B:$B,MATCH(BK297,_names_lookup!$A:$A,0)),"")</f>
        <v/>
      </c>
      <c r="BS297" t="str">
        <f t="shared" si="54"/>
        <v/>
      </c>
    </row>
    <row r="298" spans="15:71" x14ac:dyDescent="0.2">
      <c r="O298" t="str">
        <f>IFERROR(INDEX(_courses_lookup!$C:$C,MATCH(K298&amp;L298,_courses_lookup!$E:$E,0)),"")</f>
        <v/>
      </c>
      <c r="P298" t="str">
        <f>IFERROR(INDEX(_courses_lookup!$D:$D,MATCH(K298&amp;L298,_courses_lookup!$E:$E,0)),"")</f>
        <v/>
      </c>
      <c r="AG298" t="str">
        <f t="shared" si="44"/>
        <v/>
      </c>
      <c r="AI298" t="str">
        <f t="shared" si="45"/>
        <v/>
      </c>
      <c r="AL298" t="str">
        <f t="shared" si="46"/>
        <v/>
      </c>
      <c r="AN298" t="str">
        <f t="shared" si="47"/>
        <v/>
      </c>
      <c r="AQ298" t="str">
        <f t="shared" si="48"/>
        <v/>
      </c>
      <c r="AR298" t="str">
        <f t="shared" si="49"/>
        <v/>
      </c>
      <c r="AS298" t="str">
        <f t="shared" si="50"/>
        <v/>
      </c>
      <c r="AT298" t="str">
        <f t="shared" si="51"/>
        <v/>
      </c>
      <c r="BG298" t="str">
        <f t="shared" si="52"/>
        <v/>
      </c>
      <c r="BH298" t="str">
        <f t="shared" si="53"/>
        <v/>
      </c>
      <c r="BL298" t="str">
        <f>IFERROR(INDEX(_names_lookup!$C:$C,MATCH(BK298,_names_lookup!$A:$A,0)),"")</f>
        <v/>
      </c>
      <c r="BM298" t="str">
        <f>IFERROR(INDEX(_names_lookup!$B:$B,MATCH(BK298,_names_lookup!$A:$A,0)),"")</f>
        <v/>
      </c>
      <c r="BS298" t="str">
        <f t="shared" si="54"/>
        <v/>
      </c>
    </row>
    <row r="299" spans="15:71" x14ac:dyDescent="0.2">
      <c r="O299" t="str">
        <f>IFERROR(INDEX(_courses_lookup!$C:$C,MATCH(K299&amp;L299,_courses_lookup!$E:$E,0)),"")</f>
        <v/>
      </c>
      <c r="P299" t="str">
        <f>IFERROR(INDEX(_courses_lookup!$D:$D,MATCH(K299&amp;L299,_courses_lookup!$E:$E,0)),"")</f>
        <v/>
      </c>
      <c r="AG299" t="str">
        <f t="shared" si="44"/>
        <v/>
      </c>
      <c r="AI299" t="str">
        <f t="shared" si="45"/>
        <v/>
      </c>
      <c r="AL299" t="str">
        <f t="shared" si="46"/>
        <v/>
      </c>
      <c r="AN299" t="str">
        <f t="shared" si="47"/>
        <v/>
      </c>
      <c r="AQ299" t="str">
        <f t="shared" si="48"/>
        <v/>
      </c>
      <c r="AR299" t="str">
        <f t="shared" si="49"/>
        <v/>
      </c>
      <c r="AS299" t="str">
        <f t="shared" si="50"/>
        <v/>
      </c>
      <c r="AT299" t="str">
        <f t="shared" si="51"/>
        <v/>
      </c>
      <c r="BG299" t="str">
        <f t="shared" si="52"/>
        <v/>
      </c>
      <c r="BH299" t="str">
        <f t="shared" si="53"/>
        <v/>
      </c>
      <c r="BL299" t="str">
        <f>IFERROR(INDEX(_names_lookup!$C:$C,MATCH(BK299,_names_lookup!$A:$A,0)),"")</f>
        <v/>
      </c>
      <c r="BM299" t="str">
        <f>IFERROR(INDEX(_names_lookup!$B:$B,MATCH(BK299,_names_lookup!$A:$A,0)),"")</f>
        <v/>
      </c>
      <c r="BS299" t="str">
        <f t="shared" si="54"/>
        <v/>
      </c>
    </row>
    <row r="300" spans="15:71" x14ac:dyDescent="0.2">
      <c r="O300" t="str">
        <f>IFERROR(INDEX(_courses_lookup!$C:$C,MATCH(K300&amp;L300,_courses_lookup!$E:$E,0)),"")</f>
        <v/>
      </c>
      <c r="P300" t="str">
        <f>IFERROR(INDEX(_courses_lookup!$D:$D,MATCH(K300&amp;L300,_courses_lookup!$E:$E,0)),"")</f>
        <v/>
      </c>
      <c r="AG300" t="str">
        <f t="shared" si="44"/>
        <v/>
      </c>
      <c r="AI300" t="str">
        <f t="shared" si="45"/>
        <v/>
      </c>
      <c r="AL300" t="str">
        <f t="shared" si="46"/>
        <v/>
      </c>
      <c r="AN300" t="str">
        <f t="shared" si="47"/>
        <v/>
      </c>
      <c r="AQ300" t="str">
        <f t="shared" si="48"/>
        <v/>
      </c>
      <c r="AR300" t="str">
        <f t="shared" si="49"/>
        <v/>
      </c>
      <c r="AS300" t="str">
        <f t="shared" si="50"/>
        <v/>
      </c>
      <c r="AT300" t="str">
        <f t="shared" si="51"/>
        <v/>
      </c>
      <c r="BG300" t="str">
        <f t="shared" si="52"/>
        <v/>
      </c>
      <c r="BH300" t="str">
        <f t="shared" si="53"/>
        <v/>
      </c>
      <c r="BL300" t="str">
        <f>IFERROR(INDEX(_names_lookup!$C:$C,MATCH(BK300,_names_lookup!$A:$A,0)),"")</f>
        <v/>
      </c>
      <c r="BM300" t="str">
        <f>IFERROR(INDEX(_names_lookup!$B:$B,MATCH(BK300,_names_lookup!$A:$A,0)),"")</f>
        <v/>
      </c>
      <c r="BS300" t="str">
        <f t="shared" si="54"/>
        <v/>
      </c>
    </row>
  </sheetData>
  <autoFilter ref="A1:DQ1" xr:uid="{00000000-0009-0000-0000-000006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600-000000000000}">
          <x14:formula1>
            <xm:f>DropDownMenu!$A$2:$A$3</xm:f>
          </x14:formula1>
          <xm:sqref>A2:A5000</xm:sqref>
        </x14:dataValidation>
        <x14:dataValidation type="list" allowBlank="1" xr:uid="{00000000-0002-0000-0600-000001000000}">
          <x14:formula1>
            <xm:f>DropDownMenu!$B$2:$B$3</xm:f>
          </x14:formula1>
          <xm:sqref>B2:B5000</xm:sqref>
        </x14:dataValidation>
        <x14:dataValidation type="list" allowBlank="1" xr:uid="{00000000-0002-0000-0600-000002000000}">
          <x14:formula1>
            <xm:f>DropDownMenu!$C$2:$C$3</xm:f>
          </x14:formula1>
          <xm:sqref>C2:C5000</xm:sqref>
        </x14:dataValidation>
        <x14:dataValidation type="list" allowBlank="1" xr:uid="{00000000-0002-0000-0600-000003000000}">
          <x14:formula1>
            <xm:f>DropDownMenu!$D$2:$D$3</xm:f>
          </x14:formula1>
          <xm:sqref>D2:D5000</xm:sqref>
        </x14:dataValidation>
        <x14:dataValidation type="list" allowBlank="1" xr:uid="{00000000-0002-0000-0600-000004000000}">
          <x14:formula1>
            <xm:f>DropDownMenu!$E$2:$E$3</xm:f>
          </x14:formula1>
          <xm:sqref>E2:E5000</xm:sqref>
        </x14:dataValidation>
        <x14:dataValidation type="list" allowBlank="1" xr:uid="{00000000-0002-0000-0600-000005000000}">
          <x14:formula1>
            <xm:f>DropDownMenu!$F$2:$F$3</xm:f>
          </x14:formula1>
          <xm:sqref>F2:F5000</xm:sqref>
        </x14:dataValidation>
        <x14:dataValidation type="list" allowBlank="1" xr:uid="{00000000-0002-0000-0600-000006000000}">
          <x14:formula1>
            <xm:f>DropDownMenu!$G$2:$G$19</xm:f>
          </x14:formula1>
          <xm:sqref>G2:G5000</xm:sqref>
        </x14:dataValidation>
        <x14:dataValidation type="list" allowBlank="1" xr:uid="{00000000-0002-0000-0600-000007000000}">
          <x14:formula1>
            <xm:f>DropDownMenu!$H$2:$H$564</xm:f>
          </x14:formula1>
          <xm:sqref>H2:H5000</xm:sqref>
        </x14:dataValidation>
        <x14:dataValidation type="list" allowBlank="1" xr:uid="{00000000-0002-0000-0600-000008000000}">
          <x14:formula1>
            <xm:f>DropDownMenu!$I$2:$I$352</xm:f>
          </x14:formula1>
          <xm:sqref>I2:I5000</xm:sqref>
        </x14:dataValidation>
        <x14:dataValidation type="list" allowBlank="1" xr:uid="{00000000-0002-0000-0600-000009000000}">
          <x14:formula1>
            <xm:f>DropDownMenu!$J$2:$J$10</xm:f>
          </x14:formula1>
          <xm:sqref>K2:K5000</xm:sqref>
        </x14:dataValidation>
        <x14:dataValidation type="list" allowBlank="1" xr:uid="{00000000-0002-0000-0600-00000A000000}">
          <x14:formula1>
            <xm:f>DropDownMenu!$K$2:$K$101</xm:f>
          </x14:formula1>
          <xm:sqref>L2:L5000</xm:sqref>
        </x14:dataValidation>
        <x14:dataValidation type="list" allowBlank="1" xr:uid="{00000000-0002-0000-0600-00000B000000}">
          <x14:formula1>
            <xm:f>DropDownMenu!$L$2:$L$42</xm:f>
          </x14:formula1>
          <xm:sqref>M2:M5000</xm:sqref>
        </x14:dataValidation>
        <x14:dataValidation type="list" allowBlank="1" xr:uid="{00000000-0002-0000-0600-00000C000000}">
          <x14:formula1>
            <xm:f>DropDownMenu!$M$2:$M$15</xm:f>
          </x14:formula1>
          <xm:sqref>N2:N5000</xm:sqref>
        </x14:dataValidation>
        <x14:dataValidation type="list" allowBlank="1" xr:uid="{00000000-0002-0000-0600-00000D000000}">
          <x14:formula1>
            <xm:f>DropDownMenu!$N$2:$N$140</xm:f>
          </x14:formula1>
          <xm:sqref>O2:O5000</xm:sqref>
        </x14:dataValidation>
        <x14:dataValidation type="list" allowBlank="1" xr:uid="{00000000-0002-0000-0600-00000E000000}">
          <x14:formula1>
            <xm:f>DropDownMenu!$O$2:$O$65</xm:f>
          </x14:formula1>
          <xm:sqref>P2:P5000</xm:sqref>
        </x14:dataValidation>
        <x14:dataValidation type="list" allowBlank="1" xr:uid="{00000000-0002-0000-0600-00000F000000}">
          <x14:formula1>
            <xm:f>DropDownMenu!$P$2:$P$45</xm:f>
          </x14:formula1>
          <xm:sqref>R2:R5000</xm:sqref>
        </x14:dataValidation>
        <x14:dataValidation type="list" allowBlank="1" xr:uid="{00000000-0002-0000-0600-000010000000}">
          <x14:formula1>
            <xm:f>DropDownMenu!$Q$2:$Q$6</xm:f>
          </x14:formula1>
          <xm:sqref>S2:S5000</xm:sqref>
        </x14:dataValidation>
        <x14:dataValidation type="list" allowBlank="1" xr:uid="{00000000-0002-0000-0600-000011000000}">
          <x14:formula1>
            <xm:f>DropDownMenu!$R$2:$R$7</xm:f>
          </x14:formula1>
          <xm:sqref>T2:T5000</xm:sqref>
        </x14:dataValidation>
        <x14:dataValidation type="list" allowBlank="1" xr:uid="{00000000-0002-0000-0600-000012000000}">
          <x14:formula1>
            <xm:f>DropDownMenu!$S$2:$S$12</xm:f>
          </x14:formula1>
          <xm:sqref>U2:U5000</xm:sqref>
        </x14:dataValidation>
        <x14:dataValidation type="list" allowBlank="1" xr:uid="{00000000-0002-0000-0600-000013000000}">
          <x14:formula1>
            <xm:f>DropDownMenu!$T$2:$T$13</xm:f>
          </x14:formula1>
          <xm:sqref>V2:V5000</xm:sqref>
        </x14:dataValidation>
        <x14:dataValidation type="list" allowBlank="1" xr:uid="{00000000-0002-0000-0600-000014000000}">
          <x14:formula1>
            <xm:f>DropDownMenu!$U$2:$U$4</xm:f>
          </x14:formula1>
          <xm:sqref>W2:W5000</xm:sqref>
        </x14:dataValidation>
        <x14:dataValidation type="list" allowBlank="1" xr:uid="{00000000-0002-0000-0600-000015000000}">
          <x14:formula1>
            <xm:f>DropDownMenu!$V$2:$V$6</xm:f>
          </x14:formula1>
          <xm:sqref>X2:X5000</xm:sqref>
        </x14:dataValidation>
        <x14:dataValidation type="list" allowBlank="1" xr:uid="{00000000-0002-0000-0600-000016000000}">
          <x14:formula1>
            <xm:f>DropDownMenu!$W$2:$W$26</xm:f>
          </x14:formula1>
          <xm:sqref>Y2:Y5000</xm:sqref>
        </x14:dataValidation>
        <x14:dataValidation type="list" allowBlank="1" xr:uid="{00000000-0002-0000-0600-000017000000}">
          <x14:formula1>
            <xm:f>DropDownMenu!$X$2:$X$7</xm:f>
          </x14:formula1>
          <xm:sqref>Z2:Z5000</xm:sqref>
        </x14:dataValidation>
        <x14:dataValidation type="list" allowBlank="1" xr:uid="{00000000-0002-0000-0600-000018000000}">
          <x14:formula1>
            <xm:f>DropDownMenu!$Y$2:$Y$15</xm:f>
          </x14:formula1>
          <xm:sqref>AB2:AB5000</xm:sqref>
        </x14:dataValidation>
        <x14:dataValidation type="list" allowBlank="1" xr:uid="{00000000-0002-0000-0600-000019000000}">
          <x14:formula1>
            <xm:f>DropDownMenu!$Z$2:$Z$6</xm:f>
          </x14:formula1>
          <xm:sqref>AC2:AC5000</xm:sqref>
        </x14:dataValidation>
        <x14:dataValidation type="list" allowBlank="1" xr:uid="{00000000-0002-0000-0600-00001A000000}">
          <x14:formula1>
            <xm:f>DropDownMenu!$AA$2:$AA$7</xm:f>
          </x14:formula1>
          <xm:sqref>AD2:AD5000</xm:sqref>
        </x14:dataValidation>
        <x14:dataValidation type="list" allowBlank="1" xr:uid="{00000000-0002-0000-0600-00001B000000}">
          <x14:formula1>
            <xm:f>DropDownMenu!$AB$2:$AB$2</xm:f>
          </x14:formula1>
          <xm:sqref>AG2:AG5000</xm:sqref>
        </x14:dataValidation>
        <x14:dataValidation type="list" allowBlank="1" xr:uid="{00000000-0002-0000-0600-00001C000000}">
          <x14:formula1>
            <xm:f>DropDownMenu!$AC$2:$AC$2</xm:f>
          </x14:formula1>
          <xm:sqref>AH2:AH5000</xm:sqref>
        </x14:dataValidation>
        <x14:dataValidation type="list" allowBlank="1" xr:uid="{00000000-0002-0000-0600-00001D000000}">
          <x14:formula1>
            <xm:f>DropDownMenu!$AD$2:$AD$2</xm:f>
          </x14:formula1>
          <xm:sqref>AI2:AI5000</xm:sqref>
        </x14:dataValidation>
        <x14:dataValidation type="list" allowBlank="1" xr:uid="{00000000-0002-0000-0600-00001E000000}">
          <x14:formula1>
            <xm:f>DropDownMenu!$AE$2:$AE$49</xm:f>
          </x14:formula1>
          <xm:sqref>AJ2:AJ5000</xm:sqref>
        </x14:dataValidation>
        <x14:dataValidation type="list" allowBlank="1" xr:uid="{00000000-0002-0000-0600-00001F000000}">
          <x14:formula1>
            <xm:f>DropDownMenu!$AF$2:$AF$52</xm:f>
          </x14:formula1>
          <xm:sqref>AK2:AK5000</xm:sqref>
        </x14:dataValidation>
        <x14:dataValidation type="list" allowBlank="1" xr:uid="{00000000-0002-0000-0600-000020000000}">
          <x14:formula1>
            <xm:f>DropDownMenu!$AG$2:$AG$2</xm:f>
          </x14:formula1>
          <xm:sqref>AL2:AL5000</xm:sqref>
        </x14:dataValidation>
        <x14:dataValidation type="list" allowBlank="1" xr:uid="{00000000-0002-0000-0600-000021000000}">
          <x14:formula1>
            <xm:f>DropDownMenu!$AH$2:$AH$2</xm:f>
          </x14:formula1>
          <xm:sqref>AM2:AM5000</xm:sqref>
        </x14:dataValidation>
        <x14:dataValidation type="list" allowBlank="1" xr:uid="{00000000-0002-0000-0600-000022000000}">
          <x14:formula1>
            <xm:f>DropDownMenu!$AI$2:$AI$2</xm:f>
          </x14:formula1>
          <xm:sqref>AN2:AN5000</xm:sqref>
        </x14:dataValidation>
        <x14:dataValidation type="list" allowBlank="1" xr:uid="{00000000-0002-0000-0600-000023000000}">
          <x14:formula1>
            <xm:f>DropDownMenu!$AJ$2:$AJ$2</xm:f>
          </x14:formula1>
          <xm:sqref>AQ2:AQ5000</xm:sqref>
        </x14:dataValidation>
        <x14:dataValidation type="list" allowBlank="1" xr:uid="{00000000-0002-0000-0600-000024000000}">
          <x14:formula1>
            <xm:f>DropDownMenu!$AK$2:$AK$2</xm:f>
          </x14:formula1>
          <xm:sqref>AR2:AR5000</xm:sqref>
        </x14:dataValidation>
        <x14:dataValidation type="list" allowBlank="1" xr:uid="{00000000-0002-0000-0600-000025000000}">
          <x14:formula1>
            <xm:f>DropDownMenu!$AL$2:$AL$2</xm:f>
          </x14:formula1>
          <xm:sqref>AS2:AS5000</xm:sqref>
        </x14:dataValidation>
        <x14:dataValidation type="list" allowBlank="1" xr:uid="{00000000-0002-0000-0600-000026000000}">
          <x14:formula1>
            <xm:f>DropDownMenu!$AM$2:$AM$2</xm:f>
          </x14:formula1>
          <xm:sqref>AT2:AT5000</xm:sqref>
        </x14:dataValidation>
        <x14:dataValidation type="list" allowBlank="1" xr:uid="{00000000-0002-0000-0600-000027000000}">
          <x14:formula1>
            <xm:f>DropDownMenu!$AN$2:$AN$2</xm:f>
          </x14:formula1>
          <xm:sqref>AU2:AU5000</xm:sqref>
        </x14:dataValidation>
        <x14:dataValidation type="list" allowBlank="1" xr:uid="{00000000-0002-0000-0600-000028000000}">
          <x14:formula1>
            <xm:f>DropDownMenu!$AO$2:$AO$9</xm:f>
          </x14:formula1>
          <xm:sqref>AV2:AV5000</xm:sqref>
        </x14:dataValidation>
        <x14:dataValidation type="list" allowBlank="1" xr:uid="{00000000-0002-0000-0600-000029000000}">
          <x14:formula1>
            <xm:f>DropDownMenu!$AP$2:$AP$6</xm:f>
          </x14:formula1>
          <xm:sqref>AW2:AW5000</xm:sqref>
        </x14:dataValidation>
        <x14:dataValidation type="list" allowBlank="1" xr:uid="{00000000-0002-0000-0600-00002A000000}">
          <x14:formula1>
            <xm:f>DropDownMenu!$AQ$2:$AQ$11</xm:f>
          </x14:formula1>
          <xm:sqref>AX2:AX5000</xm:sqref>
        </x14:dataValidation>
        <x14:dataValidation type="list" allowBlank="1" xr:uid="{00000000-0002-0000-0600-00002B000000}">
          <x14:formula1>
            <xm:f>DropDownMenu!$AR$2:$AR$2</xm:f>
          </x14:formula1>
          <xm:sqref>AY2:AY5000</xm:sqref>
        </x14:dataValidation>
        <x14:dataValidation type="list" allowBlank="1" xr:uid="{00000000-0002-0000-0600-00002C000000}">
          <x14:formula1>
            <xm:f>DropDownMenu!$AS$2:$AS$2</xm:f>
          </x14:formula1>
          <xm:sqref>AZ2:AZ5000</xm:sqref>
        </x14:dataValidation>
        <x14:dataValidation type="list" allowBlank="1" xr:uid="{00000000-0002-0000-0600-00002D000000}">
          <x14:formula1>
            <xm:f>DropDownMenu!$AT$2:$AT$2</xm:f>
          </x14:formula1>
          <xm:sqref>BA2:BA5000</xm:sqref>
        </x14:dataValidation>
        <x14:dataValidation type="list" allowBlank="1" xr:uid="{00000000-0002-0000-0600-00002E000000}">
          <x14:formula1>
            <xm:f>DropDownMenu!$AU$2:$AU$2</xm:f>
          </x14:formula1>
          <xm:sqref>BB2:BB5000</xm:sqref>
        </x14:dataValidation>
        <x14:dataValidation type="list" allowBlank="1" xr:uid="{00000000-0002-0000-0600-00002F000000}">
          <x14:formula1>
            <xm:f>DropDownMenu!$AV$2:$AV$2</xm:f>
          </x14:formula1>
          <xm:sqref>BC2:BC5000</xm:sqref>
        </x14:dataValidation>
        <x14:dataValidation type="list" allowBlank="1" xr:uid="{00000000-0002-0000-0600-000030000000}">
          <x14:formula1>
            <xm:f>DropDownMenu!$AW$2:$AW$5</xm:f>
          </x14:formula1>
          <xm:sqref>BF2:BF5000</xm:sqref>
        </x14:dataValidation>
        <x14:dataValidation type="list" allowBlank="1" xr:uid="{00000000-0002-0000-0600-000031000000}">
          <x14:formula1>
            <xm:f>DropDownMenu!$AX$2:$AX$37</xm:f>
          </x14:formula1>
          <xm:sqref>BG2:BG5000</xm:sqref>
        </x14:dataValidation>
        <x14:dataValidation type="list" allowBlank="1" xr:uid="{00000000-0002-0000-0600-000032000000}">
          <x14:formula1>
            <xm:f>DropDownMenu!$AY$2:$AY$4</xm:f>
          </x14:formula1>
          <xm:sqref>BH2:BH5000</xm:sqref>
        </x14:dataValidation>
        <x14:dataValidation type="list" allowBlank="1" xr:uid="{00000000-0002-0000-0600-000033000000}">
          <x14:formula1>
            <xm:f>DropDownMenu!$AZ$2:$AZ$13</xm:f>
          </x14:formula1>
          <xm:sqref>BI2:BI5000</xm:sqref>
        </x14:dataValidation>
        <x14:dataValidation type="list" allowBlank="1" xr:uid="{00000000-0002-0000-0600-000034000000}">
          <x14:formula1>
            <xm:f>DropDownMenu!$BA$2:$BA$34</xm:f>
          </x14:formula1>
          <xm:sqref>BJ2:BJ5000</xm:sqref>
        </x14:dataValidation>
        <x14:dataValidation type="list" allowBlank="1" xr:uid="{00000000-0002-0000-0600-000035000000}">
          <x14:formula1>
            <xm:f>DropDownMenu!$BB$2:$BB$258</xm:f>
          </x14:formula1>
          <xm:sqref>BK2:BK5000</xm:sqref>
        </x14:dataValidation>
        <x14:dataValidation type="list" allowBlank="1" xr:uid="{00000000-0002-0000-0600-000036000000}">
          <x14:formula1>
            <xm:f>DropDownMenu!$BC$2:$BC$252</xm:f>
          </x14:formula1>
          <xm:sqref>BL2:BL5000</xm:sqref>
        </x14:dataValidation>
        <x14:dataValidation type="list" allowBlank="1" xr:uid="{00000000-0002-0000-0600-000037000000}">
          <x14:formula1>
            <xm:f>DropDownMenu!$BD$2:$BD$258</xm:f>
          </x14:formula1>
          <xm:sqref>BM2:BM5000</xm:sqref>
        </x14:dataValidation>
        <x14:dataValidation type="list" allowBlank="1" xr:uid="{00000000-0002-0000-0600-000038000000}">
          <x14:formula1>
            <xm:f>DropDownMenu!$BE$2:$BE$3</xm:f>
          </x14:formula1>
          <xm:sqref>BN2:BN5000</xm:sqref>
        </x14:dataValidation>
        <x14:dataValidation type="list" allowBlank="1" xr:uid="{00000000-0002-0000-0600-000039000000}">
          <x14:formula1>
            <xm:f>DropDownMenu!$BF$2:$BF$4</xm:f>
          </x14:formula1>
          <xm:sqref>BO2:BO5000</xm:sqref>
        </x14:dataValidation>
        <x14:dataValidation type="list" allowBlank="1" xr:uid="{00000000-0002-0000-0600-00003A000000}">
          <x14:formula1>
            <xm:f>DropDownMenu!$BG$2:$BG$6</xm:f>
          </x14:formula1>
          <xm:sqref>BP2:BP5000</xm:sqref>
        </x14:dataValidation>
        <x14:dataValidation type="list" allowBlank="1" xr:uid="{00000000-0002-0000-0600-00003B000000}">
          <x14:formula1>
            <xm:f>DropDownMenu!$BH$2:$BH$4</xm:f>
          </x14:formula1>
          <xm:sqref>BQ2:BQ5000</xm:sqref>
        </x14:dataValidation>
        <x14:dataValidation type="list" allowBlank="1" xr:uid="{00000000-0002-0000-0600-00003C000000}">
          <x14:formula1>
            <xm:f>DropDownMenu!$BI$2:$BI$3</xm:f>
          </x14:formula1>
          <xm:sqref>BR2:BR5000</xm:sqref>
        </x14:dataValidation>
        <x14:dataValidation type="list" allowBlank="1" xr:uid="{00000000-0002-0000-0600-00003D000000}">
          <x14:formula1>
            <xm:f>DropDownMenu!$BJ$2:$BJ$3</xm:f>
          </x14:formula1>
          <xm:sqref>BT2:BT5000</xm:sqref>
        </x14:dataValidation>
        <x14:dataValidation type="list" allowBlank="1" xr:uid="{00000000-0002-0000-0600-00003E000000}">
          <x14:formula1>
            <xm:f>DropDownMenu!$BK$2:$BK$11</xm:f>
          </x14:formula1>
          <xm:sqref>BU2:BU5000</xm:sqref>
        </x14:dataValidation>
        <x14:dataValidation type="list" allowBlank="1" xr:uid="{00000000-0002-0000-0600-00003F000000}">
          <x14:formula1>
            <xm:f>DropDownMenu!$BL$2:$BL$9</xm:f>
          </x14:formula1>
          <xm:sqref>BV2:BV5000</xm:sqref>
        </x14:dataValidation>
        <x14:dataValidation type="list" allowBlank="1" xr:uid="{00000000-0002-0000-0600-000040000000}">
          <x14:formula1>
            <xm:f>DropDownMenu!$BM$2:$BM$2</xm:f>
          </x14:formula1>
          <xm:sqref>BW2:BW5000</xm:sqref>
        </x14:dataValidation>
        <x14:dataValidation type="list" allowBlank="1" xr:uid="{00000000-0002-0000-0600-000041000000}">
          <x14:formula1>
            <xm:f>DropDownMenu!$BN$2:$BN$2</xm:f>
          </x14:formula1>
          <xm:sqref>BX2:BX5000</xm:sqref>
        </x14:dataValidation>
        <x14:dataValidation type="list" allowBlank="1" xr:uid="{00000000-0002-0000-0600-000042000000}">
          <x14:formula1>
            <xm:f>DropDownMenu!$BO$2:$BO$2</xm:f>
          </x14:formula1>
          <xm:sqref>BY2:BY5000</xm:sqref>
        </x14:dataValidation>
        <x14:dataValidation type="list" allowBlank="1" xr:uid="{00000000-0002-0000-0600-000043000000}">
          <x14:formula1>
            <xm:f>DropDownMenu!$BP$2:$BP$9</xm:f>
          </x14:formula1>
          <xm:sqref>BZ2:BZ5000</xm:sqref>
        </x14:dataValidation>
        <x14:dataValidation type="list" allowBlank="1" xr:uid="{00000000-0002-0000-0600-000044000000}">
          <x14:formula1>
            <xm:f>DropDownMenu!$BQ$2:$BQ$11</xm:f>
          </x14:formula1>
          <xm:sqref>CA2:CA5000</xm:sqref>
        </x14:dataValidation>
        <x14:dataValidation type="list" allowBlank="1" xr:uid="{00000000-0002-0000-0600-000045000000}">
          <x14:formula1>
            <xm:f>DropDownMenu!$BR$2:$BR$3</xm:f>
          </x14:formula1>
          <xm:sqref>CB2:CB5000</xm:sqref>
        </x14:dataValidation>
        <x14:dataValidation type="list" allowBlank="1" xr:uid="{00000000-0002-0000-0600-000046000000}">
          <x14:formula1>
            <xm:f>DropDownMenu!$BS$2:$BS$4</xm:f>
          </x14:formula1>
          <xm:sqref>CC2:CC5000</xm:sqref>
        </x14:dataValidation>
        <x14:dataValidation type="list" allowBlank="1" xr:uid="{00000000-0002-0000-0600-000047000000}">
          <x14:formula1>
            <xm:f>DropDownMenu!$BT$2:$BT$2</xm:f>
          </x14:formula1>
          <xm:sqref>CE2:CE5000</xm:sqref>
        </x14:dataValidation>
        <x14:dataValidation type="list" allowBlank="1" xr:uid="{00000000-0002-0000-0600-000048000000}">
          <x14:formula1>
            <xm:f>DropDownMenu!$BU$2:$BU$81</xm:f>
          </x14:formula1>
          <xm:sqref>CF2:CF5000</xm:sqref>
        </x14:dataValidation>
        <x14:dataValidation type="list" allowBlank="1" xr:uid="{00000000-0002-0000-0600-000049000000}">
          <x14:formula1>
            <xm:f>DropDownMenu!$BV$2:$BV$3</xm:f>
          </x14:formula1>
          <xm:sqref>CG2:CG5000</xm:sqref>
        </x14:dataValidation>
        <x14:dataValidation type="list" allowBlank="1" xr:uid="{00000000-0002-0000-0600-00004A000000}">
          <x14:formula1>
            <xm:f>DropDownMenu!$BW$2:$BW$7</xm:f>
          </x14:formula1>
          <xm:sqref>CH2:CH5000</xm:sqref>
        </x14:dataValidation>
        <x14:dataValidation type="list" allowBlank="1" xr:uid="{00000000-0002-0000-0600-00004B000000}">
          <x14:formula1>
            <xm:f>DropDownMenu!$BX$2:$BX$9</xm:f>
          </x14:formula1>
          <xm:sqref>CI2:CI5000</xm:sqref>
        </x14:dataValidation>
        <x14:dataValidation type="list" allowBlank="1" xr:uid="{00000000-0002-0000-0600-00004C000000}">
          <x14:formula1>
            <xm:f>DropDownMenu!$BY$2:$BY$9</xm:f>
          </x14:formula1>
          <xm:sqref>CJ2:CJ5000</xm:sqref>
        </x14:dataValidation>
        <x14:dataValidation type="list" allowBlank="1" xr:uid="{00000000-0002-0000-0600-00004D000000}">
          <x14:formula1>
            <xm:f>DropDownMenu!$BZ$2:$BZ$3</xm:f>
          </x14:formula1>
          <xm:sqref>CK2:CK5000</xm:sqref>
        </x14:dataValidation>
        <x14:dataValidation type="list" allowBlank="1" xr:uid="{00000000-0002-0000-0600-00004E000000}">
          <x14:formula1>
            <xm:f>DropDownMenu!$CA$2:$CA$2</xm:f>
          </x14:formula1>
          <xm:sqref>CL2:CL5000</xm:sqref>
        </x14:dataValidation>
        <x14:dataValidation type="list" allowBlank="1" xr:uid="{00000000-0002-0000-0600-00004F000000}">
          <x14:formula1>
            <xm:f>DropDownMenu!$CB$2:$CB$29</xm:f>
          </x14:formula1>
          <xm:sqref>CN2:CN5000</xm:sqref>
        </x14:dataValidation>
        <x14:dataValidation type="list" allowBlank="1" xr:uid="{00000000-0002-0000-0600-000050000000}">
          <x14:formula1>
            <xm:f>DropDownMenu!$CC$2:$CC$2</xm:f>
          </x14:formula1>
          <xm:sqref>CQ2:CQ5000</xm:sqref>
        </x14:dataValidation>
        <x14:dataValidation type="list" allowBlank="1" xr:uid="{00000000-0002-0000-0600-000051000000}">
          <x14:formula1>
            <xm:f>DropDownMenu!$CD$2:$CD$33</xm:f>
          </x14:formula1>
          <xm:sqref>CR2:CR5000</xm:sqref>
        </x14:dataValidation>
        <x14:dataValidation type="list" allowBlank="1" xr:uid="{00000000-0002-0000-0600-000052000000}">
          <x14:formula1>
            <xm:f>DropDownMenu!$CE$2:$CE$2</xm:f>
          </x14:formula1>
          <xm:sqref>CS2:CS5000</xm:sqref>
        </x14:dataValidation>
        <x14:dataValidation type="list" allowBlank="1" xr:uid="{00000000-0002-0000-0600-000053000000}">
          <x14:formula1>
            <xm:f>DropDownMenu!$CF$2:$CF$2</xm:f>
          </x14:formula1>
          <xm:sqref>CT2:CT5000</xm:sqref>
        </x14:dataValidation>
        <x14:dataValidation type="list" allowBlank="1" xr:uid="{00000000-0002-0000-0600-000054000000}">
          <x14:formula1>
            <xm:f>DropDownMenu!$CG$2:$CG$2</xm:f>
          </x14:formula1>
          <xm:sqref>CU2:CU5000</xm:sqref>
        </x14:dataValidation>
        <x14:dataValidation type="list" allowBlank="1" xr:uid="{00000000-0002-0000-0600-000055000000}">
          <x14:formula1>
            <xm:f>DropDownMenu!$CH$2:$CH$2</xm:f>
          </x14:formula1>
          <xm:sqref>CV2:CV5000</xm:sqref>
        </x14:dataValidation>
        <x14:dataValidation type="list" allowBlank="1" xr:uid="{00000000-0002-0000-0600-000056000000}">
          <x14:formula1>
            <xm:f>DropDownMenu!$CI$2:$CI$8</xm:f>
          </x14:formula1>
          <xm:sqref>CW2:CW5000</xm:sqref>
        </x14:dataValidation>
        <x14:dataValidation type="list" allowBlank="1" xr:uid="{00000000-0002-0000-0600-000057000000}">
          <x14:formula1>
            <xm:f>DropDownMenu!$CJ$2:$CJ$8</xm:f>
          </x14:formula1>
          <xm:sqref>CX2:CX5000</xm:sqref>
        </x14:dataValidation>
        <x14:dataValidation type="list" allowBlank="1" xr:uid="{00000000-0002-0000-0600-000058000000}">
          <x14:formula1>
            <xm:f>DropDownMenu!$CK$2:$CK$8</xm:f>
          </x14:formula1>
          <xm:sqref>CY2:CY5000</xm:sqref>
        </x14:dataValidation>
        <x14:dataValidation type="list" allowBlank="1" xr:uid="{00000000-0002-0000-0600-000059000000}">
          <x14:formula1>
            <xm:f>DropDownMenu!$CL$2:$CL$6</xm:f>
          </x14:formula1>
          <xm:sqref>CZ2:CZ5000</xm:sqref>
        </x14:dataValidation>
        <x14:dataValidation type="list" allowBlank="1" xr:uid="{00000000-0002-0000-0600-00005A000000}">
          <x14:formula1>
            <xm:f>DropDownMenu!$CM$2:$CM$2</xm:f>
          </x14:formula1>
          <xm:sqref>DA2:DA5000</xm:sqref>
        </x14:dataValidation>
        <x14:dataValidation type="list" allowBlank="1" xr:uid="{00000000-0002-0000-0600-00005B000000}">
          <x14:formula1>
            <xm:f>DropDownMenu!$CN$2:$CN$2</xm:f>
          </x14:formula1>
          <xm:sqref>DB2:DB5000</xm:sqref>
        </x14:dataValidation>
        <x14:dataValidation type="list" allowBlank="1" xr:uid="{00000000-0002-0000-0600-00005C000000}">
          <x14:formula1>
            <xm:f>DropDownMenu!$CO$2:$CO$2</xm:f>
          </x14:formula1>
          <xm:sqref>DC2:DC5000</xm:sqref>
        </x14:dataValidation>
        <x14:dataValidation type="list" allowBlank="1" xr:uid="{00000000-0002-0000-0600-00005D000000}">
          <x14:formula1>
            <xm:f>DropDownMenu!$CP$2:$CP$2</xm:f>
          </x14:formula1>
          <xm:sqref>DD2:DD5000</xm:sqref>
        </x14:dataValidation>
        <x14:dataValidation type="list" allowBlank="1" xr:uid="{00000000-0002-0000-0600-00005E000000}">
          <x14:formula1>
            <xm:f>DropDownMenu!$CQ$2:$CQ$2</xm:f>
          </x14:formula1>
          <xm:sqref>DE2:DE5000</xm:sqref>
        </x14:dataValidation>
        <x14:dataValidation type="list" allowBlank="1" xr:uid="{00000000-0002-0000-0600-00005F000000}">
          <x14:formula1>
            <xm:f>DropDownMenu!$CR$2:$CR$2</xm:f>
          </x14:formula1>
          <xm:sqref>DK2:DK5000</xm:sqref>
        </x14:dataValidation>
        <x14:dataValidation type="list" allowBlank="1" xr:uid="{00000000-0002-0000-0600-000060000000}">
          <x14:formula1>
            <xm:f>DropDownMenu!$CS$2:$CS$2</xm:f>
          </x14:formula1>
          <xm:sqref>DL2:DL5000</xm:sqref>
        </x14:dataValidation>
        <x14:dataValidation type="list" allowBlank="1" xr:uid="{00000000-0002-0000-0600-000061000000}">
          <x14:formula1>
            <xm:f>DropDownMenu!$CT$2:$CT$2</xm:f>
          </x14:formula1>
          <xm:sqref>DN2:DN5000</xm:sqref>
        </x14:dataValidation>
        <x14:dataValidation type="list" allowBlank="1" xr:uid="{00000000-0002-0000-0600-000062000000}">
          <x14:formula1>
            <xm:f>DropDownMenu!$CU$2:$CU$5</xm:f>
          </x14:formula1>
          <xm:sqref>DO2:DO5000</xm:sqref>
        </x14:dataValidation>
        <x14:dataValidation type="list" allowBlank="1" xr:uid="{00000000-0002-0000-0600-000063000000}">
          <x14:formula1>
            <xm:f>DropDownMenu!$CV$2:$CV$3</xm:f>
          </x14:formula1>
          <xm:sqref>DQ2:DQ5000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applyStyles="1" summaryRight="0"/>
  </sheetPr>
  <dimension ref="A1:DQ300"/>
  <sheetViews>
    <sheetView workbookViewId="0">
      <pane xSplit="7" ySplit="1" topLeftCell="H2" activePane="bottomRight" state="frozen"/>
      <selection pane="topRight"/>
      <selection pane="bottomLeft"/>
      <selection pane="bottomRight" activeCell="M18" sqref="M18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3" width="4" customWidth="1"/>
    <col min="14" max="14" width="12" customWidth="1"/>
    <col min="15" max="16" width="25" customWidth="1"/>
    <col min="17" max="17" width="4" customWidth="1"/>
    <col min="18" max="20" width="4" customWidth="1" outlineLevel="1"/>
    <col min="21" max="21" width="15" customWidth="1" outlineLevel="1"/>
    <col min="22" max="22" width="10" customWidth="1" outlineLevel="1"/>
    <col min="23" max="28" width="4" customWidth="1" outlineLevel="1"/>
    <col min="29" max="29" width="5" customWidth="1"/>
    <col min="30" max="32" width="10" customWidth="1" outlineLevel="1"/>
    <col min="33" max="35" width="4" customWidth="1" outlineLevel="1"/>
    <col min="36" max="37" width="10" customWidth="1" outlineLevel="1"/>
    <col min="38" max="40" width="4" customWidth="1" outlineLevel="1"/>
    <col min="41" max="42" width="10" customWidth="1" outlineLevel="1"/>
    <col min="43" max="47" width="4" customWidth="1" outlineLevel="1"/>
    <col min="48" max="48" width="10" customWidth="1" outlineLevel="1"/>
    <col min="49" max="49" width="5" customWidth="1" outlineLevel="1"/>
    <col min="50" max="50" width="5" customWidth="1"/>
    <col min="51" max="59" width="4" customWidth="1" outlineLevel="1"/>
    <col min="60" max="60" width="7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4" customWidth="1" outlineLevel="1"/>
    <col min="68" max="68" width="12" customWidth="1" outlineLevel="1"/>
    <col min="69" max="69" width="20" customWidth="1" outlineLevel="1"/>
    <col min="70" max="70" width="5" customWidth="1" outlineLevel="1"/>
    <col min="71" max="72" width="4" customWidth="1" outlineLevel="1"/>
    <col min="73" max="73" width="25" customWidth="1" outlineLevel="1"/>
    <col min="74" max="74" width="5" customWidth="1" outlineLevel="1"/>
    <col min="75" max="75" width="20" customWidth="1"/>
    <col min="76" max="77" width="20" customWidth="1" outlineLevel="1"/>
    <col min="78" max="83" width="4" customWidth="1" outlineLevel="1"/>
    <col min="84" max="84" width="4" customWidth="1"/>
    <col min="85" max="121" width="4" customWidth="1" outlineLevel="1"/>
  </cols>
  <sheetData>
    <row r="1" spans="1:121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1" t="s">
        <v>35</v>
      </c>
      <c r="AK1" s="1" t="s">
        <v>36</v>
      </c>
      <c r="AL1" s="3" t="s">
        <v>37</v>
      </c>
      <c r="AM1" s="3" t="s">
        <v>38</v>
      </c>
      <c r="AN1" s="3" t="s">
        <v>39</v>
      </c>
      <c r="AO1" s="1" t="s">
        <v>40</v>
      </c>
      <c r="AP1" s="1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 t="s">
        <v>65</v>
      </c>
      <c r="BO1" s="1" t="s">
        <v>66</v>
      </c>
      <c r="BP1" s="1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</row>
    <row r="2" spans="1:121" ht="16" customHeight="1" x14ac:dyDescent="0.2">
      <c r="A2" s="16"/>
      <c r="B2" s="16"/>
      <c r="C2" s="16"/>
      <c r="D2" s="16"/>
      <c r="E2" s="16"/>
      <c r="F2" s="16"/>
      <c r="G2" s="16"/>
      <c r="H2" s="12"/>
      <c r="I2" s="12"/>
      <c r="J2" s="12"/>
      <c r="K2" s="12"/>
      <c r="L2" s="12"/>
      <c r="M2" s="12"/>
      <c r="N2" s="12"/>
      <c r="O2" s="12" t="str">
        <f>IFERROR(INDEX(_courses_lookup!$C:$C,MATCH(K2&amp;L2,_courses_lookup!$E:$E,0)),"")</f>
        <v/>
      </c>
      <c r="P2" s="12" t="str">
        <f>IFERROR(INDEX(_courses_lookup!$D:$D,MATCH(K2&amp;L2,_courses_lookup!$E:$E,0)),"")</f>
        <v/>
      </c>
      <c r="Q2" s="12"/>
      <c r="R2" s="12"/>
      <c r="S2" s="12"/>
      <c r="T2" s="12"/>
      <c r="U2" s="12"/>
      <c r="V2" s="12"/>
      <c r="W2" s="12"/>
      <c r="X2" s="12"/>
      <c r="Y2" s="8"/>
      <c r="Z2" s="12"/>
      <c r="AA2" s="12"/>
      <c r="AB2" s="12"/>
      <c r="AC2" s="12"/>
      <c r="AD2" s="12"/>
      <c r="AE2" s="12"/>
      <c r="AF2" s="12"/>
      <c r="AG2" s="12" t="str">
        <f t="shared" ref="AG2:AG65" si="0">IF(AND(AE2&lt;&gt;"",AF2&lt;&gt;""),ROUNDUP((AF2-AE2)/7,0),"")</f>
        <v/>
      </c>
      <c r="AH2" s="12"/>
      <c r="AI2" s="12" t="str">
        <f t="shared" ref="AI2:AI65" si="1">IFERROR(IF(AG2*AH2=0,"",AG2*AH2),"")</f>
        <v/>
      </c>
      <c r="AJ2" s="12"/>
      <c r="AK2" s="12"/>
      <c r="AL2" s="12" t="str">
        <f t="shared" ref="AL2:AL65" si="2">IF(AND(AJ2&lt;&gt;"",AK2&lt;&gt;""),ROUNDUP((AK2-AJ2)/7,0),"")</f>
        <v/>
      </c>
      <c r="AM2" s="12"/>
      <c r="AN2" s="12" t="str">
        <f t="shared" ref="AN2:AN65" si="3">IFERROR(IF(AL2*AM2=0,"",AL2*AM2),"")</f>
        <v/>
      </c>
      <c r="AO2" s="12"/>
      <c r="AP2" s="12"/>
      <c r="AQ2" s="12" t="str">
        <f t="shared" ref="AQ2:AQ65" si="4">IF(AND(AO2&lt;&gt;"",AP2&lt;&gt;""),ROUNDUP((AP2-AO2)/7,0),"")</f>
        <v/>
      </c>
      <c r="AR2" s="12" t="str">
        <f t="shared" ref="AR2:AR65" si="5">IFERROR(IF((AU2-(AI2+AN2))/AQ2=0,"",ROUNDUP((AU2-(AI2+AN2))/AQ2,0)),"")</f>
        <v/>
      </c>
      <c r="AS2" s="12" t="str">
        <f t="shared" ref="AS2:AS65" si="6">IFERROR(IF((AU2-(AI2+AN2))=0,"",(AU2-(AI2+AN2))),"")</f>
        <v/>
      </c>
      <c r="AT2" s="12" t="str">
        <f t="shared" ref="AT2:AT65" si="7">IF(AND(AG2="",AQ2=""),AL2,IF(SUM(AG2,AL2,AQ2)=0,"",SUM(AG2,AL2,AQ2)))</f>
        <v/>
      </c>
      <c r="AU2" s="12"/>
      <c r="AV2" s="12"/>
      <c r="AW2" s="12"/>
      <c r="AX2" s="12"/>
      <c r="AY2" s="12"/>
      <c r="AZ2" s="8"/>
      <c r="BA2" s="12"/>
      <c r="BB2" s="12"/>
      <c r="BC2" s="12"/>
      <c r="BD2" s="12"/>
      <c r="BE2" s="12"/>
      <c r="BF2" s="12"/>
      <c r="BG2" s="12" t="str">
        <f t="shared" ref="BG2:BG65" si="8">IF(AD2="","",YEAR(AD2)+IF(MONTH(AD2)&gt;=5,1,0))</f>
        <v/>
      </c>
      <c r="BH2" s="12" t="str">
        <f t="shared" ref="BH2:BH65" si="9">IF(AD2="","",IF(AND(MONTH(AD2)=8,DAY(AD2)&gt;=15),"Fall",IF(MONTH(AD2)&gt;8,"Fall",IF(MONTH(AD2)=5,"Summer",IF(MONTH(AD2)=1,"Spring","")))))</f>
        <v/>
      </c>
      <c r="BI2" s="12"/>
      <c r="BJ2" s="12"/>
      <c r="BK2" s="8" t="str">
        <f>IF($BJ2="","",IFERROR(INDEX(InstructorMap!$B:$B, MATCH($BJ2, InstructorMap!$A:$A, 0)),""))</f>
        <v/>
      </c>
      <c r="BL2" s="8" t="str">
        <f>IFERROR(INDEX(_names_lookup!$C:$C,MATCH(BK2,_names_lookup!$A:$A,0)),"")</f>
        <v/>
      </c>
      <c r="BM2" s="12" t="str">
        <f>IFERROR(INDEX(_names_lookup!$B:$B,MATCH(BK2,_names_lookup!$A:$A,0)),"")</f>
        <v/>
      </c>
      <c r="BN2" s="12"/>
      <c r="BO2" s="12"/>
      <c r="BP2" s="12"/>
      <c r="BQ2" s="12"/>
      <c r="BR2" s="12"/>
      <c r="BS2" s="12" t="str">
        <f t="shared" ref="BS2:BS65" si="10">IFERROR(IF(BR2*AA2=0,"",BR2*AA2),"")</f>
        <v/>
      </c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</row>
    <row r="3" spans="1:121" ht="16" customHeight="1" x14ac:dyDescent="0.2">
      <c r="A3" s="16"/>
      <c r="B3" s="16"/>
      <c r="C3" s="16"/>
      <c r="D3" s="16"/>
      <c r="E3" s="16"/>
      <c r="F3" s="16"/>
      <c r="G3" s="16"/>
      <c r="H3" s="12"/>
      <c r="I3" s="12"/>
      <c r="J3" s="12"/>
      <c r="K3" s="12"/>
      <c r="L3" s="12"/>
      <c r="M3" s="12"/>
      <c r="N3" s="12"/>
      <c r="O3" s="12" t="str">
        <f>IFERROR(INDEX(_courses_lookup!$C:$C,MATCH(K3&amp;L3,_courses_lookup!$E:$E,0)),"")</f>
        <v/>
      </c>
      <c r="P3" s="12" t="str">
        <f>IFERROR(INDEX(_courses_lookup!$D:$D,MATCH(K3&amp;L3,_courses_lookup!$E:$E,0)),"")</f>
        <v/>
      </c>
      <c r="Q3" s="12"/>
      <c r="R3" s="12"/>
      <c r="S3" s="12"/>
      <c r="T3" s="12"/>
      <c r="U3" s="12"/>
      <c r="V3" s="12"/>
      <c r="W3" s="12"/>
      <c r="X3" s="12"/>
      <c r="Y3" s="8"/>
      <c r="Z3" s="12"/>
      <c r="AA3" s="12"/>
      <c r="AB3" s="12"/>
      <c r="AC3" s="12"/>
      <c r="AD3" s="12"/>
      <c r="AE3" s="12"/>
      <c r="AF3" s="12"/>
      <c r="AG3" s="12" t="str">
        <f t="shared" si="0"/>
        <v/>
      </c>
      <c r="AH3" s="12"/>
      <c r="AI3" s="12" t="str">
        <f t="shared" si="1"/>
        <v/>
      </c>
      <c r="AJ3" s="12"/>
      <c r="AK3" s="12"/>
      <c r="AL3" s="12" t="str">
        <f t="shared" si="2"/>
        <v/>
      </c>
      <c r="AM3" s="12"/>
      <c r="AN3" s="12" t="str">
        <f t="shared" si="3"/>
        <v/>
      </c>
      <c r="AO3" s="12"/>
      <c r="AP3" s="12"/>
      <c r="AQ3" s="12" t="str">
        <f t="shared" si="4"/>
        <v/>
      </c>
      <c r="AR3" s="12" t="str">
        <f t="shared" si="5"/>
        <v/>
      </c>
      <c r="AS3" s="12" t="str">
        <f t="shared" si="6"/>
        <v/>
      </c>
      <c r="AT3" s="12" t="str">
        <f t="shared" si="7"/>
        <v/>
      </c>
      <c r="AU3" s="12"/>
      <c r="AV3" s="12"/>
      <c r="AW3" s="12"/>
      <c r="AX3" s="12"/>
      <c r="AY3" s="12"/>
      <c r="AZ3" s="8"/>
      <c r="BA3" s="12"/>
      <c r="BB3" s="12"/>
      <c r="BC3" s="12"/>
      <c r="BD3" s="12"/>
      <c r="BE3" s="12"/>
      <c r="BF3" s="12"/>
      <c r="BG3" s="12" t="str">
        <f t="shared" si="8"/>
        <v/>
      </c>
      <c r="BH3" s="12" t="str">
        <f t="shared" si="9"/>
        <v/>
      </c>
      <c r="BI3" s="12"/>
      <c r="BJ3" s="12"/>
      <c r="BK3" s="8" t="str">
        <f>IF($BJ3="","",IFERROR(INDEX(InstructorMap!$B:$B, MATCH($BJ3, InstructorMap!$A:$A, 0)),""))</f>
        <v/>
      </c>
      <c r="BL3" s="8" t="str">
        <f>IFERROR(INDEX(_names_lookup!$C:$C,MATCH(BK3,_names_lookup!$A:$A,0)),"")</f>
        <v/>
      </c>
      <c r="BM3" s="12" t="str">
        <f>IFERROR(INDEX(_names_lookup!$B:$B,MATCH(BK3,_names_lookup!$A:$A,0)),"")</f>
        <v/>
      </c>
      <c r="BN3" s="12"/>
      <c r="BO3" s="12"/>
      <c r="BP3" s="12"/>
      <c r="BQ3" s="12"/>
      <c r="BR3" s="12"/>
      <c r="BS3" s="12" t="str">
        <f t="shared" si="10"/>
        <v/>
      </c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</row>
    <row r="4" spans="1:121" ht="16" customHeight="1" x14ac:dyDescent="0.2">
      <c r="A4" s="16"/>
      <c r="B4" s="16"/>
      <c r="C4" s="16"/>
      <c r="D4" s="16"/>
      <c r="E4" s="16"/>
      <c r="F4" s="16"/>
      <c r="G4" s="16"/>
      <c r="H4" s="12"/>
      <c r="I4" s="12"/>
      <c r="J4" s="12"/>
      <c r="K4" s="12"/>
      <c r="L4" s="12"/>
      <c r="M4" s="12"/>
      <c r="N4" s="12"/>
      <c r="O4" s="12" t="str">
        <f>IFERROR(INDEX(_courses_lookup!$C:$C,MATCH(K4&amp;L4,_courses_lookup!$E:$E,0)),"")</f>
        <v/>
      </c>
      <c r="P4" s="12" t="str">
        <f>IFERROR(INDEX(_courses_lookup!$D:$D,MATCH(K4&amp;L4,_courses_lookup!$E:$E,0)),"")</f>
        <v/>
      </c>
      <c r="Q4" s="12"/>
      <c r="R4" s="12"/>
      <c r="S4" s="12"/>
      <c r="T4" s="12"/>
      <c r="U4" s="12"/>
      <c r="V4" s="12"/>
      <c r="W4" s="12"/>
      <c r="X4" s="12"/>
      <c r="Y4" s="8"/>
      <c r="Z4" s="12"/>
      <c r="AA4" s="12"/>
      <c r="AB4" s="12"/>
      <c r="AC4" s="12"/>
      <c r="AD4" s="12"/>
      <c r="AE4" s="12"/>
      <c r="AF4" s="12"/>
      <c r="AG4" s="12" t="str">
        <f t="shared" si="0"/>
        <v/>
      </c>
      <c r="AH4" s="12"/>
      <c r="AI4" s="12" t="str">
        <f t="shared" si="1"/>
        <v/>
      </c>
      <c r="AJ4" s="12"/>
      <c r="AK4" s="12"/>
      <c r="AL4" s="12" t="str">
        <f t="shared" si="2"/>
        <v/>
      </c>
      <c r="AM4" s="12"/>
      <c r="AN4" s="12" t="str">
        <f t="shared" si="3"/>
        <v/>
      </c>
      <c r="AO4" s="12"/>
      <c r="AP4" s="12"/>
      <c r="AQ4" s="12" t="str">
        <f t="shared" si="4"/>
        <v/>
      </c>
      <c r="AR4" s="12" t="str">
        <f t="shared" si="5"/>
        <v/>
      </c>
      <c r="AS4" s="12" t="str">
        <f t="shared" si="6"/>
        <v/>
      </c>
      <c r="AT4" s="12" t="str">
        <f t="shared" si="7"/>
        <v/>
      </c>
      <c r="AU4" s="12"/>
      <c r="AV4" s="12"/>
      <c r="AW4" s="12"/>
      <c r="AX4" s="12"/>
      <c r="AY4" s="12"/>
      <c r="AZ4" s="8"/>
      <c r="BA4" s="12"/>
      <c r="BB4" s="12"/>
      <c r="BC4" s="12"/>
      <c r="BD4" s="12"/>
      <c r="BE4" s="12"/>
      <c r="BF4" s="12"/>
      <c r="BG4" s="12" t="str">
        <f t="shared" si="8"/>
        <v/>
      </c>
      <c r="BH4" s="12" t="str">
        <f t="shared" si="9"/>
        <v/>
      </c>
      <c r="BI4" s="12"/>
      <c r="BJ4" s="12"/>
      <c r="BK4" s="8" t="str">
        <f>IF($BJ4="","",IFERROR(INDEX(InstructorMap!$B:$B, MATCH($BJ4, InstructorMap!$A:$A, 0)),""))</f>
        <v/>
      </c>
      <c r="BL4" s="8" t="str">
        <f>IFERROR(INDEX(_names_lookup!$C:$C,MATCH(BK4,_names_lookup!$A:$A,0)),"")</f>
        <v/>
      </c>
      <c r="BM4" s="12" t="str">
        <f>IFERROR(INDEX(_names_lookup!$B:$B,MATCH(BK4,_names_lookup!$A:$A,0)),"")</f>
        <v/>
      </c>
      <c r="BN4" s="12"/>
      <c r="BO4" s="12"/>
      <c r="BP4" s="12"/>
      <c r="BQ4" s="12"/>
      <c r="BR4" s="12"/>
      <c r="BS4" s="12" t="str">
        <f t="shared" si="10"/>
        <v/>
      </c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</row>
    <row r="5" spans="1:121" ht="16" customHeight="1" x14ac:dyDescent="0.2">
      <c r="A5" s="16"/>
      <c r="B5" s="16"/>
      <c r="C5" s="16"/>
      <c r="D5" s="16"/>
      <c r="E5" s="16"/>
      <c r="F5" s="16"/>
      <c r="G5" s="16"/>
      <c r="H5" s="12"/>
      <c r="I5" s="12"/>
      <c r="J5" s="12"/>
      <c r="K5" s="12"/>
      <c r="L5" s="12"/>
      <c r="M5" s="12"/>
      <c r="N5" s="12"/>
      <c r="O5" s="12" t="str">
        <f>IFERROR(INDEX(_courses_lookup!$C:$C,MATCH(K5&amp;L5,_courses_lookup!$E:$E,0)),"")</f>
        <v/>
      </c>
      <c r="P5" s="12" t="str">
        <f>IFERROR(INDEX(_courses_lookup!$D:$D,MATCH(K5&amp;L5,_courses_lookup!$E:$E,0)),"")</f>
        <v/>
      </c>
      <c r="Q5" s="12"/>
      <c r="R5" s="12"/>
      <c r="S5" s="12"/>
      <c r="T5" s="12"/>
      <c r="U5" s="12"/>
      <c r="V5" s="12"/>
      <c r="W5" s="12"/>
      <c r="X5" s="12"/>
      <c r="Y5" s="8"/>
      <c r="Z5" s="12"/>
      <c r="AA5" s="12"/>
      <c r="AB5" s="12"/>
      <c r="AC5" s="12"/>
      <c r="AD5" s="12"/>
      <c r="AE5" s="12"/>
      <c r="AF5" s="12"/>
      <c r="AG5" s="12" t="str">
        <f t="shared" si="0"/>
        <v/>
      </c>
      <c r="AH5" s="12"/>
      <c r="AI5" s="12" t="str">
        <f t="shared" si="1"/>
        <v/>
      </c>
      <c r="AJ5" s="12"/>
      <c r="AK5" s="12"/>
      <c r="AL5" s="12" t="str">
        <f t="shared" si="2"/>
        <v/>
      </c>
      <c r="AM5" s="12"/>
      <c r="AN5" s="12" t="str">
        <f t="shared" si="3"/>
        <v/>
      </c>
      <c r="AO5" s="12"/>
      <c r="AP5" s="12"/>
      <c r="AQ5" s="12" t="str">
        <f t="shared" si="4"/>
        <v/>
      </c>
      <c r="AR5" s="12" t="str">
        <f t="shared" si="5"/>
        <v/>
      </c>
      <c r="AS5" s="12" t="str">
        <f t="shared" si="6"/>
        <v/>
      </c>
      <c r="AT5" s="12" t="str">
        <f t="shared" si="7"/>
        <v/>
      </c>
      <c r="AU5" s="12"/>
      <c r="AV5" s="12"/>
      <c r="AW5" s="12"/>
      <c r="AX5" s="12"/>
      <c r="AY5" s="12"/>
      <c r="AZ5" s="8"/>
      <c r="BA5" s="12"/>
      <c r="BB5" s="12"/>
      <c r="BC5" s="12"/>
      <c r="BD5" s="12"/>
      <c r="BE5" s="12"/>
      <c r="BF5" s="12"/>
      <c r="BG5" s="12" t="str">
        <f t="shared" si="8"/>
        <v/>
      </c>
      <c r="BH5" s="12" t="str">
        <f t="shared" si="9"/>
        <v/>
      </c>
      <c r="BI5" s="12"/>
      <c r="BJ5" s="12"/>
      <c r="BK5" s="8" t="str">
        <f>IF($BJ5="","",IFERROR(INDEX(InstructorMap!$B:$B, MATCH($BJ5, InstructorMap!$A:$A, 0)),""))</f>
        <v/>
      </c>
      <c r="BL5" s="8" t="str">
        <f>IFERROR(INDEX(_names_lookup!$C:$C,MATCH(BK5,_names_lookup!$A:$A,0)),"")</f>
        <v/>
      </c>
      <c r="BM5" s="12" t="str">
        <f>IFERROR(INDEX(_names_lookup!$B:$B,MATCH(BK5,_names_lookup!$A:$A,0)),"")</f>
        <v/>
      </c>
      <c r="BN5" s="12"/>
      <c r="BO5" s="12"/>
      <c r="BP5" s="12"/>
      <c r="BQ5" s="12"/>
      <c r="BR5" s="12"/>
      <c r="BS5" s="12" t="str">
        <f t="shared" si="10"/>
        <v/>
      </c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</row>
    <row r="6" spans="1:121" ht="16" customHeight="1" x14ac:dyDescent="0.2">
      <c r="A6" s="16"/>
      <c r="B6" s="16"/>
      <c r="C6" s="16"/>
      <c r="D6" s="16"/>
      <c r="E6" s="16"/>
      <c r="F6" s="16"/>
      <c r="G6" s="16"/>
      <c r="H6" s="12"/>
      <c r="I6" s="12"/>
      <c r="J6" s="12"/>
      <c r="K6" s="12"/>
      <c r="L6" s="12"/>
      <c r="M6" s="12"/>
      <c r="N6" s="12"/>
      <c r="O6" s="12" t="str">
        <f>IFERROR(INDEX(_courses_lookup!$C:$C,MATCH(K6&amp;L6,_courses_lookup!$E:$E,0)),"")</f>
        <v/>
      </c>
      <c r="P6" s="12" t="str">
        <f>IFERROR(INDEX(_courses_lookup!$D:$D,MATCH(K6&amp;L6,_courses_lookup!$E:$E,0)),"")</f>
        <v/>
      </c>
      <c r="Q6" s="12"/>
      <c r="R6" s="12"/>
      <c r="S6" s="12"/>
      <c r="T6" s="12"/>
      <c r="U6" s="12"/>
      <c r="V6" s="12"/>
      <c r="W6" s="12"/>
      <c r="X6" s="12"/>
      <c r="Y6" s="8"/>
      <c r="Z6" s="12"/>
      <c r="AA6" s="12"/>
      <c r="AB6" s="12"/>
      <c r="AC6" s="12"/>
      <c r="AD6" s="12"/>
      <c r="AE6" s="12"/>
      <c r="AF6" s="12"/>
      <c r="AG6" s="12" t="str">
        <f t="shared" si="0"/>
        <v/>
      </c>
      <c r="AH6" s="12"/>
      <c r="AI6" s="12" t="str">
        <f t="shared" si="1"/>
        <v/>
      </c>
      <c r="AJ6" s="12"/>
      <c r="AK6" s="12"/>
      <c r="AL6" s="12" t="str">
        <f t="shared" si="2"/>
        <v/>
      </c>
      <c r="AM6" s="12"/>
      <c r="AN6" s="12" t="str">
        <f t="shared" si="3"/>
        <v/>
      </c>
      <c r="AO6" s="12"/>
      <c r="AP6" s="12"/>
      <c r="AQ6" s="12" t="str">
        <f t="shared" si="4"/>
        <v/>
      </c>
      <c r="AR6" s="12" t="str">
        <f t="shared" si="5"/>
        <v/>
      </c>
      <c r="AS6" s="12" t="str">
        <f t="shared" si="6"/>
        <v/>
      </c>
      <c r="AT6" s="12" t="str">
        <f t="shared" si="7"/>
        <v/>
      </c>
      <c r="AU6" s="12"/>
      <c r="AV6" s="12"/>
      <c r="AW6" s="12"/>
      <c r="AX6" s="12"/>
      <c r="AY6" s="12"/>
      <c r="AZ6" s="8"/>
      <c r="BA6" s="12"/>
      <c r="BB6" s="12"/>
      <c r="BC6" s="12"/>
      <c r="BD6" s="12"/>
      <c r="BE6" s="12"/>
      <c r="BF6" s="12"/>
      <c r="BG6" s="12" t="str">
        <f t="shared" si="8"/>
        <v/>
      </c>
      <c r="BH6" s="12" t="str">
        <f t="shared" si="9"/>
        <v/>
      </c>
      <c r="BI6" s="12"/>
      <c r="BJ6" s="12"/>
      <c r="BK6" s="8" t="str">
        <f>IF($BJ6="","",IFERROR(INDEX(InstructorMap!$B:$B, MATCH($BJ6, InstructorMap!$A:$A, 0)),""))</f>
        <v/>
      </c>
      <c r="BL6" s="8" t="str">
        <f>IFERROR(INDEX(_names_lookup!$C:$C,MATCH(BK6,_names_lookup!$A:$A,0)),"")</f>
        <v/>
      </c>
      <c r="BM6" s="12" t="str">
        <f>IFERROR(INDEX(_names_lookup!$B:$B,MATCH(BK6,_names_lookup!$A:$A,0)),"")</f>
        <v/>
      </c>
      <c r="BN6" s="12"/>
      <c r="BO6" s="12"/>
      <c r="BP6" s="12"/>
      <c r="BQ6" s="12"/>
      <c r="BR6" s="12"/>
      <c r="BS6" s="12" t="str">
        <f t="shared" si="10"/>
        <v/>
      </c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</row>
    <row r="7" spans="1:121" ht="16" customHeight="1" x14ac:dyDescent="0.2">
      <c r="A7" s="16"/>
      <c r="B7" s="16"/>
      <c r="C7" s="16"/>
      <c r="D7" s="16"/>
      <c r="E7" s="16"/>
      <c r="F7" s="16"/>
      <c r="G7" s="16"/>
      <c r="H7" s="12"/>
      <c r="I7" s="12"/>
      <c r="J7" s="12"/>
      <c r="K7" s="12"/>
      <c r="L7" s="12"/>
      <c r="M7" s="12"/>
      <c r="N7" s="12"/>
      <c r="O7" s="12" t="str">
        <f>IFERROR(INDEX(_courses_lookup!$C:$C,MATCH(K7&amp;L7,_courses_lookup!$E:$E,0)),"")</f>
        <v/>
      </c>
      <c r="P7" s="12" t="str">
        <f>IFERROR(INDEX(_courses_lookup!$D:$D,MATCH(K7&amp;L7,_courses_lookup!$E:$E,0)),"")</f>
        <v/>
      </c>
      <c r="Q7" s="12"/>
      <c r="R7" s="12"/>
      <c r="S7" s="12"/>
      <c r="T7" s="12"/>
      <c r="U7" s="12"/>
      <c r="V7" s="12"/>
      <c r="W7" s="12"/>
      <c r="X7" s="12"/>
      <c r="Y7" s="8"/>
      <c r="Z7" s="12"/>
      <c r="AA7" s="12"/>
      <c r="AB7" s="12"/>
      <c r="AC7" s="12"/>
      <c r="AD7" s="12"/>
      <c r="AE7" s="12"/>
      <c r="AF7" s="12"/>
      <c r="AG7" s="12" t="str">
        <f t="shared" si="0"/>
        <v/>
      </c>
      <c r="AH7" s="12"/>
      <c r="AI7" s="12" t="str">
        <f t="shared" si="1"/>
        <v/>
      </c>
      <c r="AJ7" s="12"/>
      <c r="AK7" s="12"/>
      <c r="AL7" s="12" t="str">
        <f t="shared" si="2"/>
        <v/>
      </c>
      <c r="AM7" s="12"/>
      <c r="AN7" s="12" t="str">
        <f t="shared" si="3"/>
        <v/>
      </c>
      <c r="AO7" s="12"/>
      <c r="AP7" s="12"/>
      <c r="AQ7" s="12" t="str">
        <f t="shared" si="4"/>
        <v/>
      </c>
      <c r="AR7" s="12" t="str">
        <f t="shared" si="5"/>
        <v/>
      </c>
      <c r="AS7" s="12" t="str">
        <f t="shared" si="6"/>
        <v/>
      </c>
      <c r="AT7" s="12" t="str">
        <f t="shared" si="7"/>
        <v/>
      </c>
      <c r="AU7" s="12"/>
      <c r="AV7" s="12"/>
      <c r="AW7" s="12"/>
      <c r="AX7" s="12"/>
      <c r="AY7" s="12"/>
      <c r="AZ7" s="8"/>
      <c r="BA7" s="12"/>
      <c r="BB7" s="12"/>
      <c r="BC7" s="12"/>
      <c r="BD7" s="12"/>
      <c r="BE7" s="12"/>
      <c r="BF7" s="12"/>
      <c r="BG7" s="12" t="str">
        <f t="shared" si="8"/>
        <v/>
      </c>
      <c r="BH7" s="12" t="str">
        <f t="shared" si="9"/>
        <v/>
      </c>
      <c r="BI7" s="12"/>
      <c r="BJ7" s="12"/>
      <c r="BK7" s="8" t="str">
        <f>IF($BJ7="","",IFERROR(INDEX(InstructorMap!$B:$B, MATCH($BJ7, InstructorMap!$A:$A, 0)),""))</f>
        <v/>
      </c>
      <c r="BL7" s="8" t="str">
        <f>IFERROR(INDEX(_names_lookup!$C:$C,MATCH(BK7,_names_lookup!$A:$A,0)),"")</f>
        <v/>
      </c>
      <c r="BM7" s="12" t="str">
        <f>IFERROR(INDEX(_names_lookup!$B:$B,MATCH(BK7,_names_lookup!$A:$A,0)),"")</f>
        <v/>
      </c>
      <c r="BN7" s="12"/>
      <c r="BO7" s="12"/>
      <c r="BP7" s="12"/>
      <c r="BQ7" s="12"/>
      <c r="BR7" s="12"/>
      <c r="BS7" s="12" t="str">
        <f t="shared" si="10"/>
        <v/>
      </c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</row>
    <row r="8" spans="1:121" x14ac:dyDescent="0.2">
      <c r="O8" t="str">
        <f>IFERROR(INDEX(_courses_lookup!$C:$C,MATCH(K8&amp;L8,_courses_lookup!$E:$E,0)),"")</f>
        <v/>
      </c>
      <c r="P8" t="str">
        <f>IFERROR(INDEX(_courses_lookup!$D:$D,MATCH(K8&amp;L8,_courses_lookup!$E:$E,0)),"")</f>
        <v/>
      </c>
      <c r="AG8" t="str">
        <f t="shared" si="0"/>
        <v/>
      </c>
      <c r="AI8" t="str">
        <f t="shared" si="1"/>
        <v/>
      </c>
      <c r="AL8" t="str">
        <f t="shared" si="2"/>
        <v/>
      </c>
      <c r="AN8" t="str">
        <f t="shared" si="3"/>
        <v/>
      </c>
      <c r="AQ8" t="str">
        <f t="shared" si="4"/>
        <v/>
      </c>
      <c r="AR8" t="str">
        <f t="shared" si="5"/>
        <v/>
      </c>
      <c r="AS8" t="str">
        <f t="shared" si="6"/>
        <v/>
      </c>
      <c r="AT8" t="str">
        <f t="shared" si="7"/>
        <v/>
      </c>
      <c r="BG8" t="str">
        <f t="shared" si="8"/>
        <v/>
      </c>
      <c r="BH8" t="str">
        <f t="shared" si="9"/>
        <v/>
      </c>
      <c r="BL8" t="str">
        <f>IFERROR(INDEX(_names_lookup!$C:$C,MATCH(BK8,_names_lookup!$A:$A,0)),"")</f>
        <v/>
      </c>
      <c r="BM8" t="str">
        <f>IFERROR(INDEX(_names_lookup!$B:$B,MATCH(BK8,_names_lookup!$A:$A,0)),"")</f>
        <v/>
      </c>
      <c r="BS8" t="str">
        <f t="shared" si="10"/>
        <v/>
      </c>
    </row>
    <row r="9" spans="1:121" x14ac:dyDescent="0.2">
      <c r="O9" t="str">
        <f>IFERROR(INDEX(_courses_lookup!$C:$C,MATCH(K9&amp;L9,_courses_lookup!$E:$E,0)),"")</f>
        <v/>
      </c>
      <c r="P9" t="str">
        <f>IFERROR(INDEX(_courses_lookup!$D:$D,MATCH(K9&amp;L9,_courses_lookup!$E:$E,0)),"")</f>
        <v/>
      </c>
      <c r="AG9" t="str">
        <f t="shared" si="0"/>
        <v/>
      </c>
      <c r="AI9" t="str">
        <f t="shared" si="1"/>
        <v/>
      </c>
      <c r="AL9" t="str">
        <f t="shared" si="2"/>
        <v/>
      </c>
      <c r="AN9" t="str">
        <f t="shared" si="3"/>
        <v/>
      </c>
      <c r="AQ9" t="str">
        <f t="shared" si="4"/>
        <v/>
      </c>
      <c r="AR9" t="str">
        <f t="shared" si="5"/>
        <v/>
      </c>
      <c r="AS9" t="str">
        <f t="shared" si="6"/>
        <v/>
      </c>
      <c r="AT9" t="str">
        <f t="shared" si="7"/>
        <v/>
      </c>
      <c r="BG9" t="str">
        <f t="shared" si="8"/>
        <v/>
      </c>
      <c r="BH9" t="str">
        <f t="shared" si="9"/>
        <v/>
      </c>
      <c r="BL9" t="str">
        <f>IFERROR(INDEX(_names_lookup!$C:$C,MATCH(BK9,_names_lookup!$A:$A,0)),"")</f>
        <v/>
      </c>
      <c r="BM9" t="str">
        <f>IFERROR(INDEX(_names_lookup!$B:$B,MATCH(BK9,_names_lookup!$A:$A,0)),"")</f>
        <v/>
      </c>
      <c r="BS9" t="str">
        <f t="shared" si="10"/>
        <v/>
      </c>
    </row>
    <row r="10" spans="1:121" x14ac:dyDescent="0.2">
      <c r="O10" t="str">
        <f>IFERROR(INDEX(_courses_lookup!$C:$C,MATCH(K10&amp;L10,_courses_lookup!$E:$E,0)),"")</f>
        <v/>
      </c>
      <c r="P10" t="str">
        <f>IFERROR(INDEX(_courses_lookup!$D:$D,MATCH(K10&amp;L10,_courses_lookup!$E:$E,0)),"")</f>
        <v/>
      </c>
      <c r="AG10" t="str">
        <f t="shared" si="0"/>
        <v/>
      </c>
      <c r="AI10" t="str">
        <f t="shared" si="1"/>
        <v/>
      </c>
      <c r="AL10" t="str">
        <f t="shared" si="2"/>
        <v/>
      </c>
      <c r="AN10" t="str">
        <f t="shared" si="3"/>
        <v/>
      </c>
      <c r="AQ10" t="str">
        <f t="shared" si="4"/>
        <v/>
      </c>
      <c r="AR10" t="str">
        <f t="shared" si="5"/>
        <v/>
      </c>
      <c r="AS10" t="str">
        <f t="shared" si="6"/>
        <v/>
      </c>
      <c r="AT10" t="str">
        <f t="shared" si="7"/>
        <v/>
      </c>
      <c r="BG10" t="str">
        <f t="shared" si="8"/>
        <v/>
      </c>
      <c r="BH10" t="str">
        <f t="shared" si="9"/>
        <v/>
      </c>
      <c r="BL10" t="str">
        <f>IFERROR(INDEX(_names_lookup!$C:$C,MATCH(BK10,_names_lookup!$A:$A,0)),"")</f>
        <v/>
      </c>
      <c r="BM10" t="str">
        <f>IFERROR(INDEX(_names_lookup!$B:$B,MATCH(BK10,_names_lookup!$A:$A,0)),"")</f>
        <v/>
      </c>
      <c r="BS10" t="str">
        <f t="shared" si="10"/>
        <v/>
      </c>
    </row>
    <row r="11" spans="1:121" x14ac:dyDescent="0.2">
      <c r="O11" t="str">
        <f>IFERROR(INDEX(_courses_lookup!$C:$C,MATCH(K11&amp;L11,_courses_lookup!$E:$E,0)),"")</f>
        <v/>
      </c>
      <c r="P11" t="str">
        <f>IFERROR(INDEX(_courses_lookup!$D:$D,MATCH(K11&amp;L11,_courses_lookup!$E:$E,0)),"")</f>
        <v/>
      </c>
      <c r="AG11" t="str">
        <f t="shared" si="0"/>
        <v/>
      </c>
      <c r="AI11" t="str">
        <f t="shared" si="1"/>
        <v/>
      </c>
      <c r="AL11" t="str">
        <f t="shared" si="2"/>
        <v/>
      </c>
      <c r="AN11" t="str">
        <f t="shared" si="3"/>
        <v/>
      </c>
      <c r="AQ11" t="str">
        <f t="shared" si="4"/>
        <v/>
      </c>
      <c r="AR11" t="str">
        <f t="shared" si="5"/>
        <v/>
      </c>
      <c r="AS11" t="str">
        <f t="shared" si="6"/>
        <v/>
      </c>
      <c r="AT11" t="str">
        <f t="shared" si="7"/>
        <v/>
      </c>
      <c r="BG11" t="str">
        <f t="shared" si="8"/>
        <v/>
      </c>
      <c r="BH11" t="str">
        <f t="shared" si="9"/>
        <v/>
      </c>
      <c r="BL11" t="str">
        <f>IFERROR(INDEX(_names_lookup!$C:$C,MATCH(BK11,_names_lookup!$A:$A,0)),"")</f>
        <v/>
      </c>
      <c r="BM11" t="str">
        <f>IFERROR(INDEX(_names_lookup!$B:$B,MATCH(BK11,_names_lookup!$A:$A,0)),"")</f>
        <v/>
      </c>
      <c r="BS11" t="str">
        <f t="shared" si="10"/>
        <v/>
      </c>
    </row>
    <row r="12" spans="1:121" x14ac:dyDescent="0.2">
      <c r="O12" t="str">
        <f>IFERROR(INDEX(_courses_lookup!$C:$C,MATCH(K12&amp;L12,_courses_lookup!$E:$E,0)),"")</f>
        <v/>
      </c>
      <c r="P12" t="str">
        <f>IFERROR(INDEX(_courses_lookup!$D:$D,MATCH(K12&amp;L12,_courses_lookup!$E:$E,0)),"")</f>
        <v/>
      </c>
      <c r="AG12" t="str">
        <f t="shared" si="0"/>
        <v/>
      </c>
      <c r="AI12" t="str">
        <f t="shared" si="1"/>
        <v/>
      </c>
      <c r="AL12" t="str">
        <f t="shared" si="2"/>
        <v/>
      </c>
      <c r="AN12" t="str">
        <f t="shared" si="3"/>
        <v/>
      </c>
      <c r="AQ12" t="str">
        <f t="shared" si="4"/>
        <v/>
      </c>
      <c r="AR12" t="str">
        <f t="shared" si="5"/>
        <v/>
      </c>
      <c r="AS12" t="str">
        <f t="shared" si="6"/>
        <v/>
      </c>
      <c r="AT12" t="str">
        <f t="shared" si="7"/>
        <v/>
      </c>
      <c r="BG12" t="str">
        <f t="shared" si="8"/>
        <v/>
      </c>
      <c r="BH12" t="str">
        <f t="shared" si="9"/>
        <v/>
      </c>
      <c r="BL12" t="str">
        <f>IFERROR(INDEX(_names_lookup!$C:$C,MATCH(BK12,_names_lookup!$A:$A,0)),"")</f>
        <v/>
      </c>
      <c r="BM12" t="str">
        <f>IFERROR(INDEX(_names_lookup!$B:$B,MATCH(BK12,_names_lookup!$A:$A,0)),"")</f>
        <v/>
      </c>
      <c r="BS12" t="str">
        <f t="shared" si="10"/>
        <v/>
      </c>
    </row>
    <row r="13" spans="1:121" x14ac:dyDescent="0.2">
      <c r="O13" t="str">
        <f>IFERROR(INDEX(_courses_lookup!$C:$C,MATCH(K13&amp;L13,_courses_lookup!$E:$E,0)),"")</f>
        <v/>
      </c>
      <c r="P13" t="str">
        <f>IFERROR(INDEX(_courses_lookup!$D:$D,MATCH(K13&amp;L13,_courses_lookup!$E:$E,0)),"")</f>
        <v/>
      </c>
      <c r="AG13" t="str">
        <f t="shared" si="0"/>
        <v/>
      </c>
      <c r="AI13" t="str">
        <f t="shared" si="1"/>
        <v/>
      </c>
      <c r="AL13" t="str">
        <f t="shared" si="2"/>
        <v/>
      </c>
      <c r="AN13" t="str">
        <f t="shared" si="3"/>
        <v/>
      </c>
      <c r="AQ13" t="str">
        <f t="shared" si="4"/>
        <v/>
      </c>
      <c r="AR13" t="str">
        <f t="shared" si="5"/>
        <v/>
      </c>
      <c r="AS13" t="str">
        <f t="shared" si="6"/>
        <v/>
      </c>
      <c r="AT13" t="str">
        <f t="shared" si="7"/>
        <v/>
      </c>
      <c r="BG13" t="str">
        <f t="shared" si="8"/>
        <v/>
      </c>
      <c r="BH13" t="str">
        <f t="shared" si="9"/>
        <v/>
      </c>
      <c r="BL13" t="str">
        <f>IFERROR(INDEX(_names_lookup!$C:$C,MATCH(BK13,_names_lookup!$A:$A,0)),"")</f>
        <v/>
      </c>
      <c r="BM13" t="str">
        <f>IFERROR(INDEX(_names_lookup!$B:$B,MATCH(BK13,_names_lookup!$A:$A,0)),"")</f>
        <v/>
      </c>
      <c r="BS13" t="str">
        <f t="shared" si="10"/>
        <v/>
      </c>
    </row>
    <row r="14" spans="1:121" x14ac:dyDescent="0.2">
      <c r="O14" t="str">
        <f>IFERROR(INDEX(_courses_lookup!$C:$C,MATCH(K14&amp;L14,_courses_lookup!$E:$E,0)),"")</f>
        <v/>
      </c>
      <c r="P14" t="str">
        <f>IFERROR(INDEX(_courses_lookup!$D:$D,MATCH(K14&amp;L14,_courses_lookup!$E:$E,0)),"")</f>
        <v/>
      </c>
      <c r="AG14" t="str">
        <f t="shared" si="0"/>
        <v/>
      </c>
      <c r="AI14" t="str">
        <f t="shared" si="1"/>
        <v/>
      </c>
      <c r="AL14" t="str">
        <f t="shared" si="2"/>
        <v/>
      </c>
      <c r="AN14" t="str">
        <f t="shared" si="3"/>
        <v/>
      </c>
      <c r="AQ14" t="str">
        <f t="shared" si="4"/>
        <v/>
      </c>
      <c r="AR14" t="str">
        <f t="shared" si="5"/>
        <v/>
      </c>
      <c r="AS14" t="str">
        <f t="shared" si="6"/>
        <v/>
      </c>
      <c r="AT14" t="str">
        <f t="shared" si="7"/>
        <v/>
      </c>
      <c r="BG14" t="str">
        <f t="shared" si="8"/>
        <v/>
      </c>
      <c r="BH14" t="str">
        <f t="shared" si="9"/>
        <v/>
      </c>
      <c r="BL14" t="str">
        <f>IFERROR(INDEX(_names_lookup!$C:$C,MATCH(BK14,_names_lookup!$A:$A,0)),"")</f>
        <v/>
      </c>
      <c r="BM14" t="str">
        <f>IFERROR(INDEX(_names_lookup!$B:$B,MATCH(BK14,_names_lookup!$A:$A,0)),"")</f>
        <v/>
      </c>
      <c r="BS14" t="str">
        <f t="shared" si="10"/>
        <v/>
      </c>
    </row>
    <row r="15" spans="1:121" x14ac:dyDescent="0.2">
      <c r="O15" t="str">
        <f>IFERROR(INDEX(_courses_lookup!$C:$C,MATCH(K15&amp;L15,_courses_lookup!$E:$E,0)),"")</f>
        <v/>
      </c>
      <c r="P15" t="str">
        <f>IFERROR(INDEX(_courses_lookup!$D:$D,MATCH(K15&amp;L15,_courses_lookup!$E:$E,0)),"")</f>
        <v/>
      </c>
      <c r="AG15" t="str">
        <f t="shared" si="0"/>
        <v/>
      </c>
      <c r="AI15" t="str">
        <f t="shared" si="1"/>
        <v/>
      </c>
      <c r="AL15" t="str">
        <f t="shared" si="2"/>
        <v/>
      </c>
      <c r="AN15" t="str">
        <f t="shared" si="3"/>
        <v/>
      </c>
      <c r="AQ15" t="str">
        <f t="shared" si="4"/>
        <v/>
      </c>
      <c r="AR15" t="str">
        <f t="shared" si="5"/>
        <v/>
      </c>
      <c r="AS15" t="str">
        <f t="shared" si="6"/>
        <v/>
      </c>
      <c r="AT15" t="str">
        <f t="shared" si="7"/>
        <v/>
      </c>
      <c r="BG15" t="str">
        <f t="shared" si="8"/>
        <v/>
      </c>
      <c r="BH15" t="str">
        <f t="shared" si="9"/>
        <v/>
      </c>
      <c r="BL15" t="str">
        <f>IFERROR(INDEX(_names_lookup!$C:$C,MATCH(BK15,_names_lookup!$A:$A,0)),"")</f>
        <v/>
      </c>
      <c r="BM15" t="str">
        <f>IFERROR(INDEX(_names_lookup!$B:$B,MATCH(BK15,_names_lookup!$A:$A,0)),"")</f>
        <v/>
      </c>
      <c r="BS15" t="str">
        <f t="shared" si="10"/>
        <v/>
      </c>
    </row>
    <row r="16" spans="1:121" x14ac:dyDescent="0.2">
      <c r="O16" t="str">
        <f>IFERROR(INDEX(_courses_lookup!$C:$C,MATCH(K16&amp;L16,_courses_lookup!$E:$E,0)),"")</f>
        <v/>
      </c>
      <c r="P16" t="str">
        <f>IFERROR(INDEX(_courses_lookup!$D:$D,MATCH(K16&amp;L16,_courses_lookup!$E:$E,0)),"")</f>
        <v/>
      </c>
      <c r="AG16" t="str">
        <f t="shared" si="0"/>
        <v/>
      </c>
      <c r="AI16" t="str">
        <f t="shared" si="1"/>
        <v/>
      </c>
      <c r="AL16" t="str">
        <f t="shared" si="2"/>
        <v/>
      </c>
      <c r="AN16" t="str">
        <f t="shared" si="3"/>
        <v/>
      </c>
      <c r="AQ16" t="str">
        <f t="shared" si="4"/>
        <v/>
      </c>
      <c r="AR16" t="str">
        <f t="shared" si="5"/>
        <v/>
      </c>
      <c r="AS16" t="str">
        <f t="shared" si="6"/>
        <v/>
      </c>
      <c r="AT16" t="str">
        <f t="shared" si="7"/>
        <v/>
      </c>
      <c r="BG16" t="str">
        <f t="shared" si="8"/>
        <v/>
      </c>
      <c r="BH16" t="str">
        <f t="shared" si="9"/>
        <v/>
      </c>
      <c r="BL16" t="str">
        <f>IFERROR(INDEX(_names_lookup!$C:$C,MATCH(BK16,_names_lookup!$A:$A,0)),"")</f>
        <v/>
      </c>
      <c r="BM16" t="str">
        <f>IFERROR(INDEX(_names_lookup!$B:$B,MATCH(BK16,_names_lookup!$A:$A,0)),"")</f>
        <v/>
      </c>
      <c r="BS16" t="str">
        <f t="shared" si="10"/>
        <v/>
      </c>
    </row>
    <row r="17" spans="15:71" x14ac:dyDescent="0.2">
      <c r="O17" t="str">
        <f>IFERROR(INDEX(_courses_lookup!$C:$C,MATCH(K17&amp;L17,_courses_lookup!$E:$E,0)),"")</f>
        <v/>
      </c>
      <c r="P17" t="str">
        <f>IFERROR(INDEX(_courses_lookup!$D:$D,MATCH(K17&amp;L17,_courses_lookup!$E:$E,0)),"")</f>
        <v/>
      </c>
      <c r="AG17" t="str">
        <f t="shared" si="0"/>
        <v/>
      </c>
      <c r="AI17" t="str">
        <f t="shared" si="1"/>
        <v/>
      </c>
      <c r="AL17" t="str">
        <f t="shared" si="2"/>
        <v/>
      </c>
      <c r="AN17" t="str">
        <f t="shared" si="3"/>
        <v/>
      </c>
      <c r="AQ17" t="str">
        <f t="shared" si="4"/>
        <v/>
      </c>
      <c r="AR17" t="str">
        <f t="shared" si="5"/>
        <v/>
      </c>
      <c r="AS17" t="str">
        <f t="shared" si="6"/>
        <v/>
      </c>
      <c r="AT17" t="str">
        <f t="shared" si="7"/>
        <v/>
      </c>
      <c r="BG17" t="str">
        <f t="shared" si="8"/>
        <v/>
      </c>
      <c r="BH17" t="str">
        <f t="shared" si="9"/>
        <v/>
      </c>
      <c r="BL17" t="str">
        <f>IFERROR(INDEX(_names_lookup!$C:$C,MATCH(BK17,_names_lookup!$A:$A,0)),"")</f>
        <v/>
      </c>
      <c r="BM17" t="str">
        <f>IFERROR(INDEX(_names_lookup!$B:$B,MATCH(BK17,_names_lookup!$A:$A,0)),"")</f>
        <v/>
      </c>
      <c r="BS17" t="str">
        <f t="shared" si="10"/>
        <v/>
      </c>
    </row>
    <row r="18" spans="15:71" x14ac:dyDescent="0.2">
      <c r="O18" t="str">
        <f>IFERROR(INDEX(_courses_lookup!$C:$C,MATCH(K18&amp;L18,_courses_lookup!$E:$E,0)),"")</f>
        <v/>
      </c>
      <c r="P18" t="str">
        <f>IFERROR(INDEX(_courses_lookup!$D:$D,MATCH(K18&amp;L18,_courses_lookup!$E:$E,0)),"")</f>
        <v/>
      </c>
      <c r="AG18" t="str">
        <f t="shared" si="0"/>
        <v/>
      </c>
      <c r="AI18" t="str">
        <f t="shared" si="1"/>
        <v/>
      </c>
      <c r="AL18" t="str">
        <f t="shared" si="2"/>
        <v/>
      </c>
      <c r="AN18" t="str">
        <f t="shared" si="3"/>
        <v/>
      </c>
      <c r="AQ18" t="str">
        <f t="shared" si="4"/>
        <v/>
      </c>
      <c r="AR18" t="str">
        <f t="shared" si="5"/>
        <v/>
      </c>
      <c r="AS18" t="str">
        <f t="shared" si="6"/>
        <v/>
      </c>
      <c r="AT18" t="str">
        <f t="shared" si="7"/>
        <v/>
      </c>
      <c r="BG18" t="str">
        <f t="shared" si="8"/>
        <v/>
      </c>
      <c r="BH18" t="str">
        <f t="shared" si="9"/>
        <v/>
      </c>
      <c r="BL18" t="str">
        <f>IFERROR(INDEX(_names_lookup!$C:$C,MATCH(BK18,_names_lookup!$A:$A,0)),"")</f>
        <v/>
      </c>
      <c r="BM18" t="str">
        <f>IFERROR(INDEX(_names_lookup!$B:$B,MATCH(BK18,_names_lookup!$A:$A,0)),"")</f>
        <v/>
      </c>
      <c r="BS18" t="str">
        <f t="shared" si="10"/>
        <v/>
      </c>
    </row>
    <row r="19" spans="15:71" x14ac:dyDescent="0.2">
      <c r="O19" t="str">
        <f>IFERROR(INDEX(_courses_lookup!$C:$C,MATCH(K19&amp;L19,_courses_lookup!$E:$E,0)),"")</f>
        <v/>
      </c>
      <c r="P19" t="str">
        <f>IFERROR(INDEX(_courses_lookup!$D:$D,MATCH(K19&amp;L19,_courses_lookup!$E:$E,0)),"")</f>
        <v/>
      </c>
      <c r="AG19" t="str">
        <f t="shared" si="0"/>
        <v/>
      </c>
      <c r="AI19" t="str">
        <f t="shared" si="1"/>
        <v/>
      </c>
      <c r="AL19" t="str">
        <f t="shared" si="2"/>
        <v/>
      </c>
      <c r="AN19" t="str">
        <f t="shared" si="3"/>
        <v/>
      </c>
      <c r="AQ19" t="str">
        <f t="shared" si="4"/>
        <v/>
      </c>
      <c r="AR19" t="str">
        <f t="shared" si="5"/>
        <v/>
      </c>
      <c r="AS19" t="str">
        <f t="shared" si="6"/>
        <v/>
      </c>
      <c r="AT19" t="str">
        <f t="shared" si="7"/>
        <v/>
      </c>
      <c r="BG19" t="str">
        <f t="shared" si="8"/>
        <v/>
      </c>
      <c r="BH19" t="str">
        <f t="shared" si="9"/>
        <v/>
      </c>
      <c r="BL19" t="str">
        <f>IFERROR(INDEX(_names_lookup!$C:$C,MATCH(BK19,_names_lookup!$A:$A,0)),"")</f>
        <v/>
      </c>
      <c r="BM19" t="str">
        <f>IFERROR(INDEX(_names_lookup!$B:$B,MATCH(BK19,_names_lookup!$A:$A,0)),"")</f>
        <v/>
      </c>
      <c r="BS19" t="str">
        <f t="shared" si="10"/>
        <v/>
      </c>
    </row>
    <row r="20" spans="15:71" x14ac:dyDescent="0.2">
      <c r="O20" t="str">
        <f>IFERROR(INDEX(_courses_lookup!$C:$C,MATCH(K20&amp;L20,_courses_lookup!$E:$E,0)),"")</f>
        <v/>
      </c>
      <c r="P20" t="str">
        <f>IFERROR(INDEX(_courses_lookup!$D:$D,MATCH(K20&amp;L20,_courses_lookup!$E:$E,0)),"")</f>
        <v/>
      </c>
      <c r="AG20" t="str">
        <f t="shared" si="0"/>
        <v/>
      </c>
      <c r="AI20" t="str">
        <f t="shared" si="1"/>
        <v/>
      </c>
      <c r="AL20" t="str">
        <f t="shared" si="2"/>
        <v/>
      </c>
      <c r="AN20" t="str">
        <f t="shared" si="3"/>
        <v/>
      </c>
      <c r="AQ20" t="str">
        <f t="shared" si="4"/>
        <v/>
      </c>
      <c r="AR20" t="str">
        <f t="shared" si="5"/>
        <v/>
      </c>
      <c r="AS20" t="str">
        <f t="shared" si="6"/>
        <v/>
      </c>
      <c r="AT20" t="str">
        <f t="shared" si="7"/>
        <v/>
      </c>
      <c r="BG20" t="str">
        <f t="shared" si="8"/>
        <v/>
      </c>
      <c r="BH20" t="str">
        <f t="shared" si="9"/>
        <v/>
      </c>
      <c r="BL20" t="str">
        <f>IFERROR(INDEX(_names_lookup!$C:$C,MATCH(BK20,_names_lookup!$A:$A,0)),"")</f>
        <v/>
      </c>
      <c r="BM20" t="str">
        <f>IFERROR(INDEX(_names_lookup!$B:$B,MATCH(BK20,_names_lookup!$A:$A,0)),"")</f>
        <v/>
      </c>
      <c r="BS20" t="str">
        <f t="shared" si="10"/>
        <v/>
      </c>
    </row>
    <row r="21" spans="15:71" x14ac:dyDescent="0.2">
      <c r="O21" t="str">
        <f>IFERROR(INDEX(_courses_lookup!$C:$C,MATCH(K21&amp;L21,_courses_lookup!$E:$E,0)),"")</f>
        <v/>
      </c>
      <c r="P21" t="str">
        <f>IFERROR(INDEX(_courses_lookup!$D:$D,MATCH(K21&amp;L21,_courses_lookup!$E:$E,0)),"")</f>
        <v/>
      </c>
      <c r="AG21" t="str">
        <f t="shared" si="0"/>
        <v/>
      </c>
      <c r="AI21" t="str">
        <f t="shared" si="1"/>
        <v/>
      </c>
      <c r="AL21" t="str">
        <f t="shared" si="2"/>
        <v/>
      </c>
      <c r="AN21" t="str">
        <f t="shared" si="3"/>
        <v/>
      </c>
      <c r="AQ21" t="str">
        <f t="shared" si="4"/>
        <v/>
      </c>
      <c r="AR21" t="str">
        <f t="shared" si="5"/>
        <v/>
      </c>
      <c r="AS21" t="str">
        <f t="shared" si="6"/>
        <v/>
      </c>
      <c r="AT21" t="str">
        <f t="shared" si="7"/>
        <v/>
      </c>
      <c r="BG21" t="str">
        <f t="shared" si="8"/>
        <v/>
      </c>
      <c r="BH21" t="str">
        <f t="shared" si="9"/>
        <v/>
      </c>
      <c r="BL21" t="str">
        <f>IFERROR(INDEX(_names_lookup!$C:$C,MATCH(BK21,_names_lookup!$A:$A,0)),"")</f>
        <v/>
      </c>
      <c r="BM21" t="str">
        <f>IFERROR(INDEX(_names_lookup!$B:$B,MATCH(BK21,_names_lookup!$A:$A,0)),"")</f>
        <v/>
      </c>
      <c r="BS21" t="str">
        <f t="shared" si="10"/>
        <v/>
      </c>
    </row>
    <row r="22" spans="15:71" x14ac:dyDescent="0.2">
      <c r="O22" t="str">
        <f>IFERROR(INDEX(_courses_lookup!$C:$C,MATCH(K22&amp;L22,_courses_lookup!$E:$E,0)),"")</f>
        <v/>
      </c>
      <c r="P22" t="str">
        <f>IFERROR(INDEX(_courses_lookup!$D:$D,MATCH(K22&amp;L22,_courses_lookup!$E:$E,0)),"")</f>
        <v/>
      </c>
      <c r="AG22" t="str">
        <f t="shared" si="0"/>
        <v/>
      </c>
      <c r="AI22" t="str">
        <f t="shared" si="1"/>
        <v/>
      </c>
      <c r="AL22" t="str">
        <f t="shared" si="2"/>
        <v/>
      </c>
      <c r="AN22" t="str">
        <f t="shared" si="3"/>
        <v/>
      </c>
      <c r="AQ22" t="str">
        <f t="shared" si="4"/>
        <v/>
      </c>
      <c r="AR22" t="str">
        <f t="shared" si="5"/>
        <v/>
      </c>
      <c r="AS22" t="str">
        <f t="shared" si="6"/>
        <v/>
      </c>
      <c r="AT22" t="str">
        <f t="shared" si="7"/>
        <v/>
      </c>
      <c r="BG22" t="str">
        <f t="shared" si="8"/>
        <v/>
      </c>
      <c r="BH22" t="str">
        <f t="shared" si="9"/>
        <v/>
      </c>
      <c r="BL22" t="str">
        <f>IFERROR(INDEX(_names_lookup!$C:$C,MATCH(BK22,_names_lookup!$A:$A,0)),"")</f>
        <v/>
      </c>
      <c r="BM22" t="str">
        <f>IFERROR(INDEX(_names_lookup!$B:$B,MATCH(BK22,_names_lookup!$A:$A,0)),"")</f>
        <v/>
      </c>
      <c r="BS22" t="str">
        <f t="shared" si="10"/>
        <v/>
      </c>
    </row>
    <row r="23" spans="15:71" x14ac:dyDescent="0.2">
      <c r="O23" t="str">
        <f>IFERROR(INDEX(_courses_lookup!$C:$C,MATCH(K23&amp;L23,_courses_lookup!$E:$E,0)),"")</f>
        <v/>
      </c>
      <c r="P23" t="str">
        <f>IFERROR(INDEX(_courses_lookup!$D:$D,MATCH(K23&amp;L23,_courses_lookup!$E:$E,0)),"")</f>
        <v/>
      </c>
      <c r="AG23" t="str">
        <f t="shared" si="0"/>
        <v/>
      </c>
      <c r="AI23" t="str">
        <f t="shared" si="1"/>
        <v/>
      </c>
      <c r="AL23" t="str">
        <f t="shared" si="2"/>
        <v/>
      </c>
      <c r="AN23" t="str">
        <f t="shared" si="3"/>
        <v/>
      </c>
      <c r="AQ23" t="str">
        <f t="shared" si="4"/>
        <v/>
      </c>
      <c r="AR23" t="str">
        <f t="shared" si="5"/>
        <v/>
      </c>
      <c r="AS23" t="str">
        <f t="shared" si="6"/>
        <v/>
      </c>
      <c r="AT23" t="str">
        <f t="shared" si="7"/>
        <v/>
      </c>
      <c r="BG23" t="str">
        <f t="shared" si="8"/>
        <v/>
      </c>
      <c r="BH23" t="str">
        <f t="shared" si="9"/>
        <v/>
      </c>
      <c r="BL23" t="str">
        <f>IFERROR(INDEX(_names_lookup!$C:$C,MATCH(BK23,_names_lookup!$A:$A,0)),"")</f>
        <v/>
      </c>
      <c r="BM23" t="str">
        <f>IFERROR(INDEX(_names_lookup!$B:$B,MATCH(BK23,_names_lookup!$A:$A,0)),"")</f>
        <v/>
      </c>
      <c r="BS23" t="str">
        <f t="shared" si="10"/>
        <v/>
      </c>
    </row>
    <row r="24" spans="15:71" x14ac:dyDescent="0.2">
      <c r="O24" t="str">
        <f>IFERROR(INDEX(_courses_lookup!$C:$C,MATCH(K24&amp;L24,_courses_lookup!$E:$E,0)),"")</f>
        <v/>
      </c>
      <c r="P24" t="str">
        <f>IFERROR(INDEX(_courses_lookup!$D:$D,MATCH(K24&amp;L24,_courses_lookup!$E:$E,0)),"")</f>
        <v/>
      </c>
      <c r="AG24" t="str">
        <f t="shared" si="0"/>
        <v/>
      </c>
      <c r="AI24" t="str">
        <f t="shared" si="1"/>
        <v/>
      </c>
      <c r="AL24" t="str">
        <f t="shared" si="2"/>
        <v/>
      </c>
      <c r="AN24" t="str">
        <f t="shared" si="3"/>
        <v/>
      </c>
      <c r="AQ24" t="str">
        <f t="shared" si="4"/>
        <v/>
      </c>
      <c r="AR24" t="str">
        <f t="shared" si="5"/>
        <v/>
      </c>
      <c r="AS24" t="str">
        <f t="shared" si="6"/>
        <v/>
      </c>
      <c r="AT24" t="str">
        <f t="shared" si="7"/>
        <v/>
      </c>
      <c r="BG24" t="str">
        <f t="shared" si="8"/>
        <v/>
      </c>
      <c r="BH24" t="str">
        <f t="shared" si="9"/>
        <v/>
      </c>
      <c r="BL24" t="str">
        <f>IFERROR(INDEX(_names_lookup!$C:$C,MATCH(BK24,_names_lookup!$A:$A,0)),"")</f>
        <v/>
      </c>
      <c r="BM24" t="str">
        <f>IFERROR(INDEX(_names_lookup!$B:$B,MATCH(BK24,_names_lookup!$A:$A,0)),"")</f>
        <v/>
      </c>
      <c r="BS24" t="str">
        <f t="shared" si="10"/>
        <v/>
      </c>
    </row>
    <row r="25" spans="15:71" x14ac:dyDescent="0.2">
      <c r="O25" t="str">
        <f>IFERROR(INDEX(_courses_lookup!$C:$C,MATCH(K25&amp;L25,_courses_lookup!$E:$E,0)),"")</f>
        <v/>
      </c>
      <c r="P25" t="str">
        <f>IFERROR(INDEX(_courses_lookup!$D:$D,MATCH(K25&amp;L25,_courses_lookup!$E:$E,0)),"")</f>
        <v/>
      </c>
      <c r="AG25" t="str">
        <f t="shared" si="0"/>
        <v/>
      </c>
      <c r="AI25" t="str">
        <f t="shared" si="1"/>
        <v/>
      </c>
      <c r="AL25" t="str">
        <f t="shared" si="2"/>
        <v/>
      </c>
      <c r="AN25" t="str">
        <f t="shared" si="3"/>
        <v/>
      </c>
      <c r="AQ25" t="str">
        <f t="shared" si="4"/>
        <v/>
      </c>
      <c r="AR25" t="str">
        <f t="shared" si="5"/>
        <v/>
      </c>
      <c r="AS25" t="str">
        <f t="shared" si="6"/>
        <v/>
      </c>
      <c r="AT25" t="str">
        <f t="shared" si="7"/>
        <v/>
      </c>
      <c r="BG25" t="str">
        <f t="shared" si="8"/>
        <v/>
      </c>
      <c r="BH25" t="str">
        <f t="shared" si="9"/>
        <v/>
      </c>
      <c r="BL25" t="str">
        <f>IFERROR(INDEX(_names_lookup!$C:$C,MATCH(BK25,_names_lookup!$A:$A,0)),"")</f>
        <v/>
      </c>
      <c r="BM25" t="str">
        <f>IFERROR(INDEX(_names_lookup!$B:$B,MATCH(BK25,_names_lookup!$A:$A,0)),"")</f>
        <v/>
      </c>
      <c r="BS25" t="str">
        <f t="shared" si="10"/>
        <v/>
      </c>
    </row>
    <row r="26" spans="15:71" x14ac:dyDescent="0.2">
      <c r="O26" t="str">
        <f>IFERROR(INDEX(_courses_lookup!$C:$C,MATCH(K26&amp;L26,_courses_lookup!$E:$E,0)),"")</f>
        <v/>
      </c>
      <c r="P26" t="str">
        <f>IFERROR(INDEX(_courses_lookup!$D:$D,MATCH(K26&amp;L26,_courses_lookup!$E:$E,0)),"")</f>
        <v/>
      </c>
      <c r="AG26" t="str">
        <f t="shared" si="0"/>
        <v/>
      </c>
      <c r="AI26" t="str">
        <f t="shared" si="1"/>
        <v/>
      </c>
      <c r="AL26" t="str">
        <f t="shared" si="2"/>
        <v/>
      </c>
      <c r="AN26" t="str">
        <f t="shared" si="3"/>
        <v/>
      </c>
      <c r="AQ26" t="str">
        <f t="shared" si="4"/>
        <v/>
      </c>
      <c r="AR26" t="str">
        <f t="shared" si="5"/>
        <v/>
      </c>
      <c r="AS26" t="str">
        <f t="shared" si="6"/>
        <v/>
      </c>
      <c r="AT26" t="str">
        <f t="shared" si="7"/>
        <v/>
      </c>
      <c r="BG26" t="str">
        <f t="shared" si="8"/>
        <v/>
      </c>
      <c r="BH26" t="str">
        <f t="shared" si="9"/>
        <v/>
      </c>
      <c r="BL26" t="str">
        <f>IFERROR(INDEX(_names_lookup!$C:$C,MATCH(BK26,_names_lookup!$A:$A,0)),"")</f>
        <v/>
      </c>
      <c r="BM26" t="str">
        <f>IFERROR(INDEX(_names_lookup!$B:$B,MATCH(BK26,_names_lookup!$A:$A,0)),"")</f>
        <v/>
      </c>
      <c r="BS26" t="str">
        <f t="shared" si="10"/>
        <v/>
      </c>
    </row>
    <row r="27" spans="15:71" x14ac:dyDescent="0.2">
      <c r="O27" t="str">
        <f>IFERROR(INDEX(_courses_lookup!$C:$C,MATCH(K27&amp;L27,_courses_lookup!$E:$E,0)),"")</f>
        <v/>
      </c>
      <c r="P27" t="str">
        <f>IFERROR(INDEX(_courses_lookup!$D:$D,MATCH(K27&amp;L27,_courses_lookup!$E:$E,0)),"")</f>
        <v/>
      </c>
      <c r="AG27" t="str">
        <f t="shared" si="0"/>
        <v/>
      </c>
      <c r="AI27" t="str">
        <f t="shared" si="1"/>
        <v/>
      </c>
      <c r="AL27" t="str">
        <f t="shared" si="2"/>
        <v/>
      </c>
      <c r="AN27" t="str">
        <f t="shared" si="3"/>
        <v/>
      </c>
      <c r="AQ27" t="str">
        <f t="shared" si="4"/>
        <v/>
      </c>
      <c r="AR27" t="str">
        <f t="shared" si="5"/>
        <v/>
      </c>
      <c r="AS27" t="str">
        <f t="shared" si="6"/>
        <v/>
      </c>
      <c r="AT27" t="str">
        <f t="shared" si="7"/>
        <v/>
      </c>
      <c r="BG27" t="str">
        <f t="shared" si="8"/>
        <v/>
      </c>
      <c r="BH27" t="str">
        <f t="shared" si="9"/>
        <v/>
      </c>
      <c r="BL27" t="str">
        <f>IFERROR(INDEX(_names_lookup!$C:$C,MATCH(BK27,_names_lookup!$A:$A,0)),"")</f>
        <v/>
      </c>
      <c r="BM27" t="str">
        <f>IFERROR(INDEX(_names_lookup!$B:$B,MATCH(BK27,_names_lookup!$A:$A,0)),"")</f>
        <v/>
      </c>
      <c r="BS27" t="str">
        <f t="shared" si="10"/>
        <v/>
      </c>
    </row>
    <row r="28" spans="15:71" x14ac:dyDescent="0.2">
      <c r="O28" t="str">
        <f>IFERROR(INDEX(_courses_lookup!$C:$C,MATCH(K28&amp;L28,_courses_lookup!$E:$E,0)),"")</f>
        <v/>
      </c>
      <c r="P28" t="str">
        <f>IFERROR(INDEX(_courses_lookup!$D:$D,MATCH(K28&amp;L28,_courses_lookup!$E:$E,0)),"")</f>
        <v/>
      </c>
      <c r="AG28" t="str">
        <f t="shared" si="0"/>
        <v/>
      </c>
      <c r="AI28" t="str">
        <f t="shared" si="1"/>
        <v/>
      </c>
      <c r="AL28" t="str">
        <f t="shared" si="2"/>
        <v/>
      </c>
      <c r="AN28" t="str">
        <f t="shared" si="3"/>
        <v/>
      </c>
      <c r="AQ28" t="str">
        <f t="shared" si="4"/>
        <v/>
      </c>
      <c r="AR28" t="str">
        <f t="shared" si="5"/>
        <v/>
      </c>
      <c r="AS28" t="str">
        <f t="shared" si="6"/>
        <v/>
      </c>
      <c r="AT28" t="str">
        <f t="shared" si="7"/>
        <v/>
      </c>
      <c r="BG28" t="str">
        <f t="shared" si="8"/>
        <v/>
      </c>
      <c r="BH28" t="str">
        <f t="shared" si="9"/>
        <v/>
      </c>
      <c r="BL28" t="str">
        <f>IFERROR(INDEX(_names_lookup!$C:$C,MATCH(BK28,_names_lookup!$A:$A,0)),"")</f>
        <v/>
      </c>
      <c r="BM28" t="str">
        <f>IFERROR(INDEX(_names_lookup!$B:$B,MATCH(BK28,_names_lookup!$A:$A,0)),"")</f>
        <v/>
      </c>
      <c r="BS28" t="str">
        <f t="shared" si="10"/>
        <v/>
      </c>
    </row>
    <row r="29" spans="15:71" x14ac:dyDescent="0.2">
      <c r="O29" t="str">
        <f>IFERROR(INDEX(_courses_lookup!$C:$C,MATCH(K29&amp;L29,_courses_lookup!$E:$E,0)),"")</f>
        <v/>
      </c>
      <c r="P29" t="str">
        <f>IFERROR(INDEX(_courses_lookup!$D:$D,MATCH(K29&amp;L29,_courses_lookup!$E:$E,0)),"")</f>
        <v/>
      </c>
      <c r="AG29" t="str">
        <f t="shared" si="0"/>
        <v/>
      </c>
      <c r="AI29" t="str">
        <f t="shared" si="1"/>
        <v/>
      </c>
      <c r="AL29" t="str">
        <f t="shared" si="2"/>
        <v/>
      </c>
      <c r="AN29" t="str">
        <f t="shared" si="3"/>
        <v/>
      </c>
      <c r="AQ29" t="str">
        <f t="shared" si="4"/>
        <v/>
      </c>
      <c r="AR29" t="str">
        <f t="shared" si="5"/>
        <v/>
      </c>
      <c r="AS29" t="str">
        <f t="shared" si="6"/>
        <v/>
      </c>
      <c r="AT29" t="str">
        <f t="shared" si="7"/>
        <v/>
      </c>
      <c r="BG29" t="str">
        <f t="shared" si="8"/>
        <v/>
      </c>
      <c r="BH29" t="str">
        <f t="shared" si="9"/>
        <v/>
      </c>
      <c r="BL29" t="str">
        <f>IFERROR(INDEX(_names_lookup!$C:$C,MATCH(BK29,_names_lookup!$A:$A,0)),"")</f>
        <v/>
      </c>
      <c r="BM29" t="str">
        <f>IFERROR(INDEX(_names_lookup!$B:$B,MATCH(BK29,_names_lookup!$A:$A,0)),"")</f>
        <v/>
      </c>
      <c r="BS29" t="str">
        <f t="shared" si="10"/>
        <v/>
      </c>
    </row>
    <row r="30" spans="15:71" x14ac:dyDescent="0.2">
      <c r="O30" t="str">
        <f>IFERROR(INDEX(_courses_lookup!$C:$C,MATCH(K30&amp;L30,_courses_lookup!$E:$E,0)),"")</f>
        <v/>
      </c>
      <c r="P30" t="str">
        <f>IFERROR(INDEX(_courses_lookup!$D:$D,MATCH(K30&amp;L30,_courses_lookup!$E:$E,0)),"")</f>
        <v/>
      </c>
      <c r="AG30" t="str">
        <f t="shared" si="0"/>
        <v/>
      </c>
      <c r="AI30" t="str">
        <f t="shared" si="1"/>
        <v/>
      </c>
      <c r="AL30" t="str">
        <f t="shared" si="2"/>
        <v/>
      </c>
      <c r="AN30" t="str">
        <f t="shared" si="3"/>
        <v/>
      </c>
      <c r="AQ30" t="str">
        <f t="shared" si="4"/>
        <v/>
      </c>
      <c r="AR30" t="str">
        <f t="shared" si="5"/>
        <v/>
      </c>
      <c r="AS30" t="str">
        <f t="shared" si="6"/>
        <v/>
      </c>
      <c r="AT30" t="str">
        <f t="shared" si="7"/>
        <v/>
      </c>
      <c r="BG30" t="str">
        <f t="shared" si="8"/>
        <v/>
      </c>
      <c r="BH30" t="str">
        <f t="shared" si="9"/>
        <v/>
      </c>
      <c r="BL30" t="str">
        <f>IFERROR(INDEX(_names_lookup!$C:$C,MATCH(BK30,_names_lookup!$A:$A,0)),"")</f>
        <v/>
      </c>
      <c r="BM30" t="str">
        <f>IFERROR(INDEX(_names_lookup!$B:$B,MATCH(BK30,_names_lookup!$A:$A,0)),"")</f>
        <v/>
      </c>
      <c r="BS30" t="str">
        <f t="shared" si="10"/>
        <v/>
      </c>
    </row>
    <row r="31" spans="15:71" x14ac:dyDescent="0.2">
      <c r="O31" t="str">
        <f>IFERROR(INDEX(_courses_lookup!$C:$C,MATCH(K31&amp;L31,_courses_lookup!$E:$E,0)),"")</f>
        <v/>
      </c>
      <c r="P31" t="str">
        <f>IFERROR(INDEX(_courses_lookup!$D:$D,MATCH(K31&amp;L31,_courses_lookup!$E:$E,0)),"")</f>
        <v/>
      </c>
      <c r="AG31" t="str">
        <f t="shared" si="0"/>
        <v/>
      </c>
      <c r="AI31" t="str">
        <f t="shared" si="1"/>
        <v/>
      </c>
      <c r="AL31" t="str">
        <f t="shared" si="2"/>
        <v/>
      </c>
      <c r="AN31" t="str">
        <f t="shared" si="3"/>
        <v/>
      </c>
      <c r="AQ31" t="str">
        <f t="shared" si="4"/>
        <v/>
      </c>
      <c r="AR31" t="str">
        <f t="shared" si="5"/>
        <v/>
      </c>
      <c r="AS31" t="str">
        <f t="shared" si="6"/>
        <v/>
      </c>
      <c r="AT31" t="str">
        <f t="shared" si="7"/>
        <v/>
      </c>
      <c r="BG31" t="str">
        <f t="shared" si="8"/>
        <v/>
      </c>
      <c r="BH31" t="str">
        <f t="shared" si="9"/>
        <v/>
      </c>
      <c r="BL31" t="str">
        <f>IFERROR(INDEX(_names_lookup!$C:$C,MATCH(BK31,_names_lookup!$A:$A,0)),"")</f>
        <v/>
      </c>
      <c r="BM31" t="str">
        <f>IFERROR(INDEX(_names_lookup!$B:$B,MATCH(BK31,_names_lookup!$A:$A,0)),"")</f>
        <v/>
      </c>
      <c r="BS31" t="str">
        <f t="shared" si="10"/>
        <v/>
      </c>
    </row>
    <row r="32" spans="15:71" x14ac:dyDescent="0.2">
      <c r="O32" t="str">
        <f>IFERROR(INDEX(_courses_lookup!$C:$C,MATCH(K32&amp;L32,_courses_lookup!$E:$E,0)),"")</f>
        <v/>
      </c>
      <c r="P32" t="str">
        <f>IFERROR(INDEX(_courses_lookup!$D:$D,MATCH(K32&amp;L32,_courses_lookup!$E:$E,0)),"")</f>
        <v/>
      </c>
      <c r="AG32" t="str">
        <f t="shared" si="0"/>
        <v/>
      </c>
      <c r="AI32" t="str">
        <f t="shared" si="1"/>
        <v/>
      </c>
      <c r="AL32" t="str">
        <f t="shared" si="2"/>
        <v/>
      </c>
      <c r="AN32" t="str">
        <f t="shared" si="3"/>
        <v/>
      </c>
      <c r="AQ32" t="str">
        <f t="shared" si="4"/>
        <v/>
      </c>
      <c r="AR32" t="str">
        <f t="shared" si="5"/>
        <v/>
      </c>
      <c r="AS32" t="str">
        <f t="shared" si="6"/>
        <v/>
      </c>
      <c r="AT32" t="str">
        <f t="shared" si="7"/>
        <v/>
      </c>
      <c r="BG32" t="str">
        <f t="shared" si="8"/>
        <v/>
      </c>
      <c r="BH32" t="str">
        <f t="shared" si="9"/>
        <v/>
      </c>
      <c r="BL32" t="str">
        <f>IFERROR(INDEX(_names_lookup!$C:$C,MATCH(BK32,_names_lookup!$A:$A,0)),"")</f>
        <v/>
      </c>
      <c r="BM32" t="str">
        <f>IFERROR(INDEX(_names_lookup!$B:$B,MATCH(BK32,_names_lookup!$A:$A,0)),"")</f>
        <v/>
      </c>
      <c r="BS32" t="str">
        <f t="shared" si="10"/>
        <v/>
      </c>
    </row>
    <row r="33" spans="15:71" x14ac:dyDescent="0.2">
      <c r="O33" t="str">
        <f>IFERROR(INDEX(_courses_lookup!$C:$C,MATCH(K33&amp;L33,_courses_lookup!$E:$E,0)),"")</f>
        <v/>
      </c>
      <c r="P33" t="str">
        <f>IFERROR(INDEX(_courses_lookup!$D:$D,MATCH(K33&amp;L33,_courses_lookup!$E:$E,0)),"")</f>
        <v/>
      </c>
      <c r="AG33" t="str">
        <f t="shared" si="0"/>
        <v/>
      </c>
      <c r="AI33" t="str">
        <f t="shared" si="1"/>
        <v/>
      </c>
      <c r="AL33" t="str">
        <f t="shared" si="2"/>
        <v/>
      </c>
      <c r="AN33" t="str">
        <f t="shared" si="3"/>
        <v/>
      </c>
      <c r="AQ33" t="str">
        <f t="shared" si="4"/>
        <v/>
      </c>
      <c r="AR33" t="str">
        <f t="shared" si="5"/>
        <v/>
      </c>
      <c r="AS33" t="str">
        <f t="shared" si="6"/>
        <v/>
      </c>
      <c r="AT33" t="str">
        <f t="shared" si="7"/>
        <v/>
      </c>
      <c r="BG33" t="str">
        <f t="shared" si="8"/>
        <v/>
      </c>
      <c r="BH33" t="str">
        <f t="shared" si="9"/>
        <v/>
      </c>
      <c r="BL33" t="str">
        <f>IFERROR(INDEX(_names_lookup!$C:$C,MATCH(BK33,_names_lookup!$A:$A,0)),"")</f>
        <v/>
      </c>
      <c r="BM33" t="str">
        <f>IFERROR(INDEX(_names_lookup!$B:$B,MATCH(BK33,_names_lookup!$A:$A,0)),"")</f>
        <v/>
      </c>
      <c r="BS33" t="str">
        <f t="shared" si="10"/>
        <v/>
      </c>
    </row>
    <row r="34" spans="15:71" x14ac:dyDescent="0.2">
      <c r="O34" t="str">
        <f>IFERROR(INDEX(_courses_lookup!$C:$C,MATCH(K34&amp;L34,_courses_lookup!$E:$E,0)),"")</f>
        <v/>
      </c>
      <c r="P34" t="str">
        <f>IFERROR(INDEX(_courses_lookup!$D:$D,MATCH(K34&amp;L34,_courses_lookup!$E:$E,0)),"")</f>
        <v/>
      </c>
      <c r="AG34" t="str">
        <f t="shared" si="0"/>
        <v/>
      </c>
      <c r="AI34" t="str">
        <f t="shared" si="1"/>
        <v/>
      </c>
      <c r="AL34" t="str">
        <f t="shared" si="2"/>
        <v/>
      </c>
      <c r="AN34" t="str">
        <f t="shared" si="3"/>
        <v/>
      </c>
      <c r="AQ34" t="str">
        <f t="shared" si="4"/>
        <v/>
      </c>
      <c r="AR34" t="str">
        <f t="shared" si="5"/>
        <v/>
      </c>
      <c r="AS34" t="str">
        <f t="shared" si="6"/>
        <v/>
      </c>
      <c r="AT34" t="str">
        <f t="shared" si="7"/>
        <v/>
      </c>
      <c r="BG34" t="str">
        <f t="shared" si="8"/>
        <v/>
      </c>
      <c r="BH34" t="str">
        <f t="shared" si="9"/>
        <v/>
      </c>
      <c r="BL34" t="str">
        <f>IFERROR(INDEX(_names_lookup!$C:$C,MATCH(BK34,_names_lookup!$A:$A,0)),"")</f>
        <v/>
      </c>
      <c r="BM34" t="str">
        <f>IFERROR(INDEX(_names_lookup!$B:$B,MATCH(BK34,_names_lookup!$A:$A,0)),"")</f>
        <v/>
      </c>
      <c r="BS34" t="str">
        <f t="shared" si="10"/>
        <v/>
      </c>
    </row>
    <row r="35" spans="15:71" x14ac:dyDescent="0.2">
      <c r="O35" t="str">
        <f>IFERROR(INDEX(_courses_lookup!$C:$C,MATCH(K35&amp;L35,_courses_lookup!$E:$E,0)),"")</f>
        <v/>
      </c>
      <c r="P35" t="str">
        <f>IFERROR(INDEX(_courses_lookup!$D:$D,MATCH(K35&amp;L35,_courses_lookup!$E:$E,0)),"")</f>
        <v/>
      </c>
      <c r="AG35" t="str">
        <f t="shared" si="0"/>
        <v/>
      </c>
      <c r="AI35" t="str">
        <f t="shared" si="1"/>
        <v/>
      </c>
      <c r="AL35" t="str">
        <f t="shared" si="2"/>
        <v/>
      </c>
      <c r="AN35" t="str">
        <f t="shared" si="3"/>
        <v/>
      </c>
      <c r="AQ35" t="str">
        <f t="shared" si="4"/>
        <v/>
      </c>
      <c r="AR35" t="str">
        <f t="shared" si="5"/>
        <v/>
      </c>
      <c r="AS35" t="str">
        <f t="shared" si="6"/>
        <v/>
      </c>
      <c r="AT35" t="str">
        <f t="shared" si="7"/>
        <v/>
      </c>
      <c r="BG35" t="str">
        <f t="shared" si="8"/>
        <v/>
      </c>
      <c r="BH35" t="str">
        <f t="shared" si="9"/>
        <v/>
      </c>
      <c r="BL35" t="str">
        <f>IFERROR(INDEX(_names_lookup!$C:$C,MATCH(BK35,_names_lookup!$A:$A,0)),"")</f>
        <v/>
      </c>
      <c r="BM35" t="str">
        <f>IFERROR(INDEX(_names_lookup!$B:$B,MATCH(BK35,_names_lookup!$A:$A,0)),"")</f>
        <v/>
      </c>
      <c r="BS35" t="str">
        <f t="shared" si="10"/>
        <v/>
      </c>
    </row>
    <row r="36" spans="15:71" x14ac:dyDescent="0.2">
      <c r="O36" t="str">
        <f>IFERROR(INDEX(_courses_lookup!$C:$C,MATCH(K36&amp;L36,_courses_lookup!$E:$E,0)),"")</f>
        <v/>
      </c>
      <c r="P36" t="str">
        <f>IFERROR(INDEX(_courses_lookup!$D:$D,MATCH(K36&amp;L36,_courses_lookup!$E:$E,0)),"")</f>
        <v/>
      </c>
      <c r="AG36" t="str">
        <f t="shared" si="0"/>
        <v/>
      </c>
      <c r="AI36" t="str">
        <f t="shared" si="1"/>
        <v/>
      </c>
      <c r="AL36" t="str">
        <f t="shared" si="2"/>
        <v/>
      </c>
      <c r="AN36" t="str">
        <f t="shared" si="3"/>
        <v/>
      </c>
      <c r="AQ36" t="str">
        <f t="shared" si="4"/>
        <v/>
      </c>
      <c r="AR36" t="str">
        <f t="shared" si="5"/>
        <v/>
      </c>
      <c r="AS36" t="str">
        <f t="shared" si="6"/>
        <v/>
      </c>
      <c r="AT36" t="str">
        <f t="shared" si="7"/>
        <v/>
      </c>
      <c r="BG36" t="str">
        <f t="shared" si="8"/>
        <v/>
      </c>
      <c r="BH36" t="str">
        <f t="shared" si="9"/>
        <v/>
      </c>
      <c r="BL36" t="str">
        <f>IFERROR(INDEX(_names_lookup!$C:$C,MATCH(BK36,_names_lookup!$A:$A,0)),"")</f>
        <v/>
      </c>
      <c r="BM36" t="str">
        <f>IFERROR(INDEX(_names_lookup!$B:$B,MATCH(BK36,_names_lookup!$A:$A,0)),"")</f>
        <v/>
      </c>
      <c r="BS36" t="str">
        <f t="shared" si="10"/>
        <v/>
      </c>
    </row>
    <row r="37" spans="15:71" x14ac:dyDescent="0.2">
      <c r="O37" t="str">
        <f>IFERROR(INDEX(_courses_lookup!$C:$C,MATCH(K37&amp;L37,_courses_lookup!$E:$E,0)),"")</f>
        <v/>
      </c>
      <c r="P37" t="str">
        <f>IFERROR(INDEX(_courses_lookup!$D:$D,MATCH(K37&amp;L37,_courses_lookup!$E:$E,0)),"")</f>
        <v/>
      </c>
      <c r="AG37" t="str">
        <f t="shared" si="0"/>
        <v/>
      </c>
      <c r="AI37" t="str">
        <f t="shared" si="1"/>
        <v/>
      </c>
      <c r="AL37" t="str">
        <f t="shared" si="2"/>
        <v/>
      </c>
      <c r="AN37" t="str">
        <f t="shared" si="3"/>
        <v/>
      </c>
      <c r="AQ37" t="str">
        <f t="shared" si="4"/>
        <v/>
      </c>
      <c r="AR37" t="str">
        <f t="shared" si="5"/>
        <v/>
      </c>
      <c r="AS37" t="str">
        <f t="shared" si="6"/>
        <v/>
      </c>
      <c r="AT37" t="str">
        <f t="shared" si="7"/>
        <v/>
      </c>
      <c r="BG37" t="str">
        <f t="shared" si="8"/>
        <v/>
      </c>
      <c r="BH37" t="str">
        <f t="shared" si="9"/>
        <v/>
      </c>
      <c r="BL37" t="str">
        <f>IFERROR(INDEX(_names_lookup!$C:$C,MATCH(BK37,_names_lookup!$A:$A,0)),"")</f>
        <v/>
      </c>
      <c r="BM37" t="str">
        <f>IFERROR(INDEX(_names_lookup!$B:$B,MATCH(BK37,_names_lookup!$A:$A,0)),"")</f>
        <v/>
      </c>
      <c r="BS37" t="str">
        <f t="shared" si="10"/>
        <v/>
      </c>
    </row>
    <row r="38" spans="15:71" x14ac:dyDescent="0.2">
      <c r="O38" t="str">
        <f>IFERROR(INDEX(_courses_lookup!$C:$C,MATCH(K38&amp;L38,_courses_lookup!$E:$E,0)),"")</f>
        <v/>
      </c>
      <c r="P38" t="str">
        <f>IFERROR(INDEX(_courses_lookup!$D:$D,MATCH(K38&amp;L38,_courses_lookup!$E:$E,0)),"")</f>
        <v/>
      </c>
      <c r="AG38" t="str">
        <f t="shared" si="0"/>
        <v/>
      </c>
      <c r="AI38" t="str">
        <f t="shared" si="1"/>
        <v/>
      </c>
      <c r="AL38" t="str">
        <f t="shared" si="2"/>
        <v/>
      </c>
      <c r="AN38" t="str">
        <f t="shared" si="3"/>
        <v/>
      </c>
      <c r="AQ38" t="str">
        <f t="shared" si="4"/>
        <v/>
      </c>
      <c r="AR38" t="str">
        <f t="shared" si="5"/>
        <v/>
      </c>
      <c r="AS38" t="str">
        <f t="shared" si="6"/>
        <v/>
      </c>
      <c r="AT38" t="str">
        <f t="shared" si="7"/>
        <v/>
      </c>
      <c r="BG38" t="str">
        <f t="shared" si="8"/>
        <v/>
      </c>
      <c r="BH38" t="str">
        <f t="shared" si="9"/>
        <v/>
      </c>
      <c r="BL38" t="str">
        <f>IFERROR(INDEX(_names_lookup!$C:$C,MATCH(BK38,_names_lookup!$A:$A,0)),"")</f>
        <v/>
      </c>
      <c r="BM38" t="str">
        <f>IFERROR(INDEX(_names_lookup!$B:$B,MATCH(BK38,_names_lookup!$A:$A,0)),"")</f>
        <v/>
      </c>
      <c r="BS38" t="str">
        <f t="shared" si="10"/>
        <v/>
      </c>
    </row>
    <row r="39" spans="15:71" x14ac:dyDescent="0.2">
      <c r="O39" t="str">
        <f>IFERROR(INDEX(_courses_lookup!$C:$C,MATCH(K39&amp;L39,_courses_lookup!$E:$E,0)),"")</f>
        <v/>
      </c>
      <c r="P39" t="str">
        <f>IFERROR(INDEX(_courses_lookup!$D:$D,MATCH(K39&amp;L39,_courses_lookup!$E:$E,0)),"")</f>
        <v/>
      </c>
      <c r="AG39" t="str">
        <f t="shared" si="0"/>
        <v/>
      </c>
      <c r="AI39" t="str">
        <f t="shared" si="1"/>
        <v/>
      </c>
      <c r="AL39" t="str">
        <f t="shared" si="2"/>
        <v/>
      </c>
      <c r="AN39" t="str">
        <f t="shared" si="3"/>
        <v/>
      </c>
      <c r="AQ39" t="str">
        <f t="shared" si="4"/>
        <v/>
      </c>
      <c r="AR39" t="str">
        <f t="shared" si="5"/>
        <v/>
      </c>
      <c r="AS39" t="str">
        <f t="shared" si="6"/>
        <v/>
      </c>
      <c r="AT39" t="str">
        <f t="shared" si="7"/>
        <v/>
      </c>
      <c r="BG39" t="str">
        <f t="shared" si="8"/>
        <v/>
      </c>
      <c r="BH39" t="str">
        <f t="shared" si="9"/>
        <v/>
      </c>
      <c r="BL39" t="str">
        <f>IFERROR(INDEX(_names_lookup!$C:$C,MATCH(BK39,_names_lookup!$A:$A,0)),"")</f>
        <v/>
      </c>
      <c r="BM39" t="str">
        <f>IFERROR(INDEX(_names_lookup!$B:$B,MATCH(BK39,_names_lookup!$A:$A,0)),"")</f>
        <v/>
      </c>
      <c r="BS39" t="str">
        <f t="shared" si="10"/>
        <v/>
      </c>
    </row>
    <row r="40" spans="15:71" x14ac:dyDescent="0.2">
      <c r="O40" t="str">
        <f>IFERROR(INDEX(_courses_lookup!$C:$C,MATCH(K40&amp;L40,_courses_lookup!$E:$E,0)),"")</f>
        <v/>
      </c>
      <c r="P40" t="str">
        <f>IFERROR(INDEX(_courses_lookup!$D:$D,MATCH(K40&amp;L40,_courses_lookup!$E:$E,0)),"")</f>
        <v/>
      </c>
      <c r="AG40" t="str">
        <f t="shared" si="0"/>
        <v/>
      </c>
      <c r="AI40" t="str">
        <f t="shared" si="1"/>
        <v/>
      </c>
      <c r="AL40" t="str">
        <f t="shared" si="2"/>
        <v/>
      </c>
      <c r="AN40" t="str">
        <f t="shared" si="3"/>
        <v/>
      </c>
      <c r="AQ40" t="str">
        <f t="shared" si="4"/>
        <v/>
      </c>
      <c r="AR40" t="str">
        <f t="shared" si="5"/>
        <v/>
      </c>
      <c r="AS40" t="str">
        <f t="shared" si="6"/>
        <v/>
      </c>
      <c r="AT40" t="str">
        <f t="shared" si="7"/>
        <v/>
      </c>
      <c r="BG40" t="str">
        <f t="shared" si="8"/>
        <v/>
      </c>
      <c r="BH40" t="str">
        <f t="shared" si="9"/>
        <v/>
      </c>
      <c r="BL40" t="str">
        <f>IFERROR(INDEX(_names_lookup!$C:$C,MATCH(BK40,_names_lookup!$A:$A,0)),"")</f>
        <v/>
      </c>
      <c r="BM40" t="str">
        <f>IFERROR(INDEX(_names_lookup!$B:$B,MATCH(BK40,_names_lookup!$A:$A,0)),"")</f>
        <v/>
      </c>
      <c r="BS40" t="str">
        <f t="shared" si="10"/>
        <v/>
      </c>
    </row>
    <row r="41" spans="15:71" x14ac:dyDescent="0.2">
      <c r="O41" t="str">
        <f>IFERROR(INDEX(_courses_lookup!$C:$C,MATCH(K41&amp;L41,_courses_lookup!$E:$E,0)),"")</f>
        <v/>
      </c>
      <c r="P41" t="str">
        <f>IFERROR(INDEX(_courses_lookup!$D:$D,MATCH(K41&amp;L41,_courses_lookup!$E:$E,0)),"")</f>
        <v/>
      </c>
      <c r="AG41" t="str">
        <f t="shared" si="0"/>
        <v/>
      </c>
      <c r="AI41" t="str">
        <f t="shared" si="1"/>
        <v/>
      </c>
      <c r="AL41" t="str">
        <f t="shared" si="2"/>
        <v/>
      </c>
      <c r="AN41" t="str">
        <f t="shared" si="3"/>
        <v/>
      </c>
      <c r="AQ41" t="str">
        <f t="shared" si="4"/>
        <v/>
      </c>
      <c r="AR41" t="str">
        <f t="shared" si="5"/>
        <v/>
      </c>
      <c r="AS41" t="str">
        <f t="shared" si="6"/>
        <v/>
      </c>
      <c r="AT41" t="str">
        <f t="shared" si="7"/>
        <v/>
      </c>
      <c r="BG41" t="str">
        <f t="shared" si="8"/>
        <v/>
      </c>
      <c r="BH41" t="str">
        <f t="shared" si="9"/>
        <v/>
      </c>
      <c r="BL41" t="str">
        <f>IFERROR(INDEX(_names_lookup!$C:$C,MATCH(BK41,_names_lookup!$A:$A,0)),"")</f>
        <v/>
      </c>
      <c r="BM41" t="str">
        <f>IFERROR(INDEX(_names_lookup!$B:$B,MATCH(BK41,_names_lookup!$A:$A,0)),"")</f>
        <v/>
      </c>
      <c r="BS41" t="str">
        <f t="shared" si="10"/>
        <v/>
      </c>
    </row>
    <row r="42" spans="15:71" x14ac:dyDescent="0.2">
      <c r="O42" t="str">
        <f>IFERROR(INDEX(_courses_lookup!$C:$C,MATCH(K42&amp;L42,_courses_lookup!$E:$E,0)),"")</f>
        <v/>
      </c>
      <c r="P42" t="str">
        <f>IFERROR(INDEX(_courses_lookup!$D:$D,MATCH(K42&amp;L42,_courses_lookup!$E:$E,0)),"")</f>
        <v/>
      </c>
      <c r="AG42" t="str">
        <f t="shared" si="0"/>
        <v/>
      </c>
      <c r="AI42" t="str">
        <f t="shared" si="1"/>
        <v/>
      </c>
      <c r="AL42" t="str">
        <f t="shared" si="2"/>
        <v/>
      </c>
      <c r="AN42" t="str">
        <f t="shared" si="3"/>
        <v/>
      </c>
      <c r="AQ42" t="str">
        <f t="shared" si="4"/>
        <v/>
      </c>
      <c r="AR42" t="str">
        <f t="shared" si="5"/>
        <v/>
      </c>
      <c r="AS42" t="str">
        <f t="shared" si="6"/>
        <v/>
      </c>
      <c r="AT42" t="str">
        <f t="shared" si="7"/>
        <v/>
      </c>
      <c r="BG42" t="str">
        <f t="shared" si="8"/>
        <v/>
      </c>
      <c r="BH42" t="str">
        <f t="shared" si="9"/>
        <v/>
      </c>
      <c r="BL42" t="str">
        <f>IFERROR(INDEX(_names_lookup!$C:$C,MATCH(BK42,_names_lookup!$A:$A,0)),"")</f>
        <v/>
      </c>
      <c r="BM42" t="str">
        <f>IFERROR(INDEX(_names_lookup!$B:$B,MATCH(BK42,_names_lookup!$A:$A,0)),"")</f>
        <v/>
      </c>
      <c r="BS42" t="str">
        <f t="shared" si="10"/>
        <v/>
      </c>
    </row>
    <row r="43" spans="15:71" x14ac:dyDescent="0.2">
      <c r="O43" t="str">
        <f>IFERROR(INDEX(_courses_lookup!$C:$C,MATCH(K43&amp;L43,_courses_lookup!$E:$E,0)),"")</f>
        <v/>
      </c>
      <c r="P43" t="str">
        <f>IFERROR(INDEX(_courses_lookup!$D:$D,MATCH(K43&amp;L43,_courses_lookup!$E:$E,0)),"")</f>
        <v/>
      </c>
      <c r="AG43" t="str">
        <f t="shared" si="0"/>
        <v/>
      </c>
      <c r="AI43" t="str">
        <f t="shared" si="1"/>
        <v/>
      </c>
      <c r="AL43" t="str">
        <f t="shared" si="2"/>
        <v/>
      </c>
      <c r="AN43" t="str">
        <f t="shared" si="3"/>
        <v/>
      </c>
      <c r="AQ43" t="str">
        <f t="shared" si="4"/>
        <v/>
      </c>
      <c r="AR43" t="str">
        <f t="shared" si="5"/>
        <v/>
      </c>
      <c r="AS43" t="str">
        <f t="shared" si="6"/>
        <v/>
      </c>
      <c r="AT43" t="str">
        <f t="shared" si="7"/>
        <v/>
      </c>
      <c r="BG43" t="str">
        <f t="shared" si="8"/>
        <v/>
      </c>
      <c r="BH43" t="str">
        <f t="shared" si="9"/>
        <v/>
      </c>
      <c r="BL43" t="str">
        <f>IFERROR(INDEX(_names_lookup!$C:$C,MATCH(BK43,_names_lookup!$A:$A,0)),"")</f>
        <v/>
      </c>
      <c r="BM43" t="str">
        <f>IFERROR(INDEX(_names_lookup!$B:$B,MATCH(BK43,_names_lookup!$A:$A,0)),"")</f>
        <v/>
      </c>
      <c r="BS43" t="str">
        <f t="shared" si="10"/>
        <v/>
      </c>
    </row>
    <row r="44" spans="15:71" x14ac:dyDescent="0.2">
      <c r="O44" t="str">
        <f>IFERROR(INDEX(_courses_lookup!$C:$C,MATCH(K44&amp;L44,_courses_lookup!$E:$E,0)),"")</f>
        <v/>
      </c>
      <c r="P44" t="str">
        <f>IFERROR(INDEX(_courses_lookup!$D:$D,MATCH(K44&amp;L44,_courses_lookup!$E:$E,0)),"")</f>
        <v/>
      </c>
      <c r="AG44" t="str">
        <f t="shared" si="0"/>
        <v/>
      </c>
      <c r="AI44" t="str">
        <f t="shared" si="1"/>
        <v/>
      </c>
      <c r="AL44" t="str">
        <f t="shared" si="2"/>
        <v/>
      </c>
      <c r="AN44" t="str">
        <f t="shared" si="3"/>
        <v/>
      </c>
      <c r="AQ44" t="str">
        <f t="shared" si="4"/>
        <v/>
      </c>
      <c r="AR44" t="str">
        <f t="shared" si="5"/>
        <v/>
      </c>
      <c r="AS44" t="str">
        <f t="shared" si="6"/>
        <v/>
      </c>
      <c r="AT44" t="str">
        <f t="shared" si="7"/>
        <v/>
      </c>
      <c r="BG44" t="str">
        <f t="shared" si="8"/>
        <v/>
      </c>
      <c r="BH44" t="str">
        <f t="shared" si="9"/>
        <v/>
      </c>
      <c r="BL44" t="str">
        <f>IFERROR(INDEX(_names_lookup!$C:$C,MATCH(BK44,_names_lookup!$A:$A,0)),"")</f>
        <v/>
      </c>
      <c r="BM44" t="str">
        <f>IFERROR(INDEX(_names_lookup!$B:$B,MATCH(BK44,_names_lookup!$A:$A,0)),"")</f>
        <v/>
      </c>
      <c r="BS44" t="str">
        <f t="shared" si="10"/>
        <v/>
      </c>
    </row>
    <row r="45" spans="15:71" x14ac:dyDescent="0.2">
      <c r="O45" t="str">
        <f>IFERROR(INDEX(_courses_lookup!$C:$C,MATCH(K45&amp;L45,_courses_lookup!$E:$E,0)),"")</f>
        <v/>
      </c>
      <c r="P45" t="str">
        <f>IFERROR(INDEX(_courses_lookup!$D:$D,MATCH(K45&amp;L45,_courses_lookup!$E:$E,0)),"")</f>
        <v/>
      </c>
      <c r="AG45" t="str">
        <f t="shared" si="0"/>
        <v/>
      </c>
      <c r="AI45" t="str">
        <f t="shared" si="1"/>
        <v/>
      </c>
      <c r="AL45" t="str">
        <f t="shared" si="2"/>
        <v/>
      </c>
      <c r="AN45" t="str">
        <f t="shared" si="3"/>
        <v/>
      </c>
      <c r="AQ45" t="str">
        <f t="shared" si="4"/>
        <v/>
      </c>
      <c r="AR45" t="str">
        <f t="shared" si="5"/>
        <v/>
      </c>
      <c r="AS45" t="str">
        <f t="shared" si="6"/>
        <v/>
      </c>
      <c r="AT45" t="str">
        <f t="shared" si="7"/>
        <v/>
      </c>
      <c r="BG45" t="str">
        <f t="shared" si="8"/>
        <v/>
      </c>
      <c r="BH45" t="str">
        <f t="shared" si="9"/>
        <v/>
      </c>
      <c r="BL45" t="str">
        <f>IFERROR(INDEX(_names_lookup!$C:$C,MATCH(BK45,_names_lookup!$A:$A,0)),"")</f>
        <v/>
      </c>
      <c r="BM45" t="str">
        <f>IFERROR(INDEX(_names_lookup!$B:$B,MATCH(BK45,_names_lookup!$A:$A,0)),"")</f>
        <v/>
      </c>
      <c r="BS45" t="str">
        <f t="shared" si="10"/>
        <v/>
      </c>
    </row>
    <row r="46" spans="15:71" x14ac:dyDescent="0.2">
      <c r="O46" t="str">
        <f>IFERROR(INDEX(_courses_lookup!$C:$C,MATCH(K46&amp;L46,_courses_lookup!$E:$E,0)),"")</f>
        <v/>
      </c>
      <c r="P46" t="str">
        <f>IFERROR(INDEX(_courses_lookup!$D:$D,MATCH(K46&amp;L46,_courses_lookup!$E:$E,0)),"")</f>
        <v/>
      </c>
      <c r="AG46" t="str">
        <f t="shared" si="0"/>
        <v/>
      </c>
      <c r="AI46" t="str">
        <f t="shared" si="1"/>
        <v/>
      </c>
      <c r="AL46" t="str">
        <f t="shared" si="2"/>
        <v/>
      </c>
      <c r="AN46" t="str">
        <f t="shared" si="3"/>
        <v/>
      </c>
      <c r="AQ46" t="str">
        <f t="shared" si="4"/>
        <v/>
      </c>
      <c r="AR46" t="str">
        <f t="shared" si="5"/>
        <v/>
      </c>
      <c r="AS46" t="str">
        <f t="shared" si="6"/>
        <v/>
      </c>
      <c r="AT46" t="str">
        <f t="shared" si="7"/>
        <v/>
      </c>
      <c r="BG46" t="str">
        <f t="shared" si="8"/>
        <v/>
      </c>
      <c r="BH46" t="str">
        <f t="shared" si="9"/>
        <v/>
      </c>
      <c r="BL46" t="str">
        <f>IFERROR(INDEX(_names_lookup!$C:$C,MATCH(BK46,_names_lookup!$A:$A,0)),"")</f>
        <v/>
      </c>
      <c r="BM46" t="str">
        <f>IFERROR(INDEX(_names_lookup!$B:$B,MATCH(BK46,_names_lookup!$A:$A,0)),"")</f>
        <v/>
      </c>
      <c r="BS46" t="str">
        <f t="shared" si="10"/>
        <v/>
      </c>
    </row>
    <row r="47" spans="15:71" x14ac:dyDescent="0.2">
      <c r="O47" t="str">
        <f>IFERROR(INDEX(_courses_lookup!$C:$C,MATCH(K47&amp;L47,_courses_lookup!$E:$E,0)),"")</f>
        <v/>
      </c>
      <c r="P47" t="str">
        <f>IFERROR(INDEX(_courses_lookup!$D:$D,MATCH(K47&amp;L47,_courses_lookup!$E:$E,0)),"")</f>
        <v/>
      </c>
      <c r="AG47" t="str">
        <f t="shared" si="0"/>
        <v/>
      </c>
      <c r="AI47" t="str">
        <f t="shared" si="1"/>
        <v/>
      </c>
      <c r="AL47" t="str">
        <f t="shared" si="2"/>
        <v/>
      </c>
      <c r="AN47" t="str">
        <f t="shared" si="3"/>
        <v/>
      </c>
      <c r="AQ47" t="str">
        <f t="shared" si="4"/>
        <v/>
      </c>
      <c r="AR47" t="str">
        <f t="shared" si="5"/>
        <v/>
      </c>
      <c r="AS47" t="str">
        <f t="shared" si="6"/>
        <v/>
      </c>
      <c r="AT47" t="str">
        <f t="shared" si="7"/>
        <v/>
      </c>
      <c r="BG47" t="str">
        <f t="shared" si="8"/>
        <v/>
      </c>
      <c r="BH47" t="str">
        <f t="shared" si="9"/>
        <v/>
      </c>
      <c r="BL47" t="str">
        <f>IFERROR(INDEX(_names_lookup!$C:$C,MATCH(BK47,_names_lookup!$A:$A,0)),"")</f>
        <v/>
      </c>
      <c r="BM47" t="str">
        <f>IFERROR(INDEX(_names_lookup!$B:$B,MATCH(BK47,_names_lookup!$A:$A,0)),"")</f>
        <v/>
      </c>
      <c r="BS47" t="str">
        <f t="shared" si="10"/>
        <v/>
      </c>
    </row>
    <row r="48" spans="15:71" x14ac:dyDescent="0.2">
      <c r="O48" t="str">
        <f>IFERROR(INDEX(_courses_lookup!$C:$C,MATCH(K48&amp;L48,_courses_lookup!$E:$E,0)),"")</f>
        <v/>
      </c>
      <c r="P48" t="str">
        <f>IFERROR(INDEX(_courses_lookup!$D:$D,MATCH(K48&amp;L48,_courses_lookup!$E:$E,0)),"")</f>
        <v/>
      </c>
      <c r="AG48" t="str">
        <f t="shared" si="0"/>
        <v/>
      </c>
      <c r="AI48" t="str">
        <f t="shared" si="1"/>
        <v/>
      </c>
      <c r="AL48" t="str">
        <f t="shared" si="2"/>
        <v/>
      </c>
      <c r="AN48" t="str">
        <f t="shared" si="3"/>
        <v/>
      </c>
      <c r="AQ48" t="str">
        <f t="shared" si="4"/>
        <v/>
      </c>
      <c r="AR48" t="str">
        <f t="shared" si="5"/>
        <v/>
      </c>
      <c r="AS48" t="str">
        <f t="shared" si="6"/>
        <v/>
      </c>
      <c r="AT48" t="str">
        <f t="shared" si="7"/>
        <v/>
      </c>
      <c r="BG48" t="str">
        <f t="shared" si="8"/>
        <v/>
      </c>
      <c r="BH48" t="str">
        <f t="shared" si="9"/>
        <v/>
      </c>
      <c r="BL48" t="str">
        <f>IFERROR(INDEX(_names_lookup!$C:$C,MATCH(BK48,_names_lookup!$A:$A,0)),"")</f>
        <v/>
      </c>
      <c r="BM48" t="str">
        <f>IFERROR(INDEX(_names_lookup!$B:$B,MATCH(BK48,_names_lookup!$A:$A,0)),"")</f>
        <v/>
      </c>
      <c r="BS48" t="str">
        <f t="shared" si="10"/>
        <v/>
      </c>
    </row>
    <row r="49" spans="15:71" x14ac:dyDescent="0.2">
      <c r="O49" t="str">
        <f>IFERROR(INDEX(_courses_lookup!$C:$C,MATCH(K49&amp;L49,_courses_lookup!$E:$E,0)),"")</f>
        <v/>
      </c>
      <c r="P49" t="str">
        <f>IFERROR(INDEX(_courses_lookup!$D:$D,MATCH(K49&amp;L49,_courses_lookup!$E:$E,0)),"")</f>
        <v/>
      </c>
      <c r="AG49" t="str">
        <f t="shared" si="0"/>
        <v/>
      </c>
      <c r="AI49" t="str">
        <f t="shared" si="1"/>
        <v/>
      </c>
      <c r="AL49" t="str">
        <f t="shared" si="2"/>
        <v/>
      </c>
      <c r="AN49" t="str">
        <f t="shared" si="3"/>
        <v/>
      </c>
      <c r="AQ49" t="str">
        <f t="shared" si="4"/>
        <v/>
      </c>
      <c r="AR49" t="str">
        <f t="shared" si="5"/>
        <v/>
      </c>
      <c r="AS49" t="str">
        <f t="shared" si="6"/>
        <v/>
      </c>
      <c r="AT49" t="str">
        <f t="shared" si="7"/>
        <v/>
      </c>
      <c r="BG49" t="str">
        <f t="shared" si="8"/>
        <v/>
      </c>
      <c r="BH49" t="str">
        <f t="shared" si="9"/>
        <v/>
      </c>
      <c r="BL49" t="str">
        <f>IFERROR(INDEX(_names_lookup!$C:$C,MATCH(BK49,_names_lookup!$A:$A,0)),"")</f>
        <v/>
      </c>
      <c r="BM49" t="str">
        <f>IFERROR(INDEX(_names_lookup!$B:$B,MATCH(BK49,_names_lookup!$A:$A,0)),"")</f>
        <v/>
      </c>
      <c r="BS49" t="str">
        <f t="shared" si="10"/>
        <v/>
      </c>
    </row>
    <row r="50" spans="15:71" x14ac:dyDescent="0.2">
      <c r="O50" t="str">
        <f>IFERROR(INDEX(_courses_lookup!$C:$C,MATCH(K50&amp;L50,_courses_lookup!$E:$E,0)),"")</f>
        <v/>
      </c>
      <c r="P50" t="str">
        <f>IFERROR(INDEX(_courses_lookup!$D:$D,MATCH(K50&amp;L50,_courses_lookup!$E:$E,0)),"")</f>
        <v/>
      </c>
      <c r="AG50" t="str">
        <f t="shared" si="0"/>
        <v/>
      </c>
      <c r="AI50" t="str">
        <f t="shared" si="1"/>
        <v/>
      </c>
      <c r="AL50" t="str">
        <f t="shared" si="2"/>
        <v/>
      </c>
      <c r="AN50" t="str">
        <f t="shared" si="3"/>
        <v/>
      </c>
      <c r="AQ50" t="str">
        <f t="shared" si="4"/>
        <v/>
      </c>
      <c r="AR50" t="str">
        <f t="shared" si="5"/>
        <v/>
      </c>
      <c r="AS50" t="str">
        <f t="shared" si="6"/>
        <v/>
      </c>
      <c r="AT50" t="str">
        <f t="shared" si="7"/>
        <v/>
      </c>
      <c r="BG50" t="str">
        <f t="shared" si="8"/>
        <v/>
      </c>
      <c r="BH50" t="str">
        <f t="shared" si="9"/>
        <v/>
      </c>
      <c r="BL50" t="str">
        <f>IFERROR(INDEX(_names_lookup!$C:$C,MATCH(BK50,_names_lookup!$A:$A,0)),"")</f>
        <v/>
      </c>
      <c r="BM50" t="str">
        <f>IFERROR(INDEX(_names_lookup!$B:$B,MATCH(BK50,_names_lookup!$A:$A,0)),"")</f>
        <v/>
      </c>
      <c r="BS50" t="str">
        <f t="shared" si="10"/>
        <v/>
      </c>
    </row>
    <row r="51" spans="15:71" x14ac:dyDescent="0.2">
      <c r="O51" t="str">
        <f>IFERROR(INDEX(_courses_lookup!$C:$C,MATCH(K51&amp;L51,_courses_lookup!$E:$E,0)),"")</f>
        <v/>
      </c>
      <c r="P51" t="str">
        <f>IFERROR(INDEX(_courses_lookup!$D:$D,MATCH(K51&amp;L51,_courses_lookup!$E:$E,0)),"")</f>
        <v/>
      </c>
      <c r="AG51" t="str">
        <f t="shared" si="0"/>
        <v/>
      </c>
      <c r="AI51" t="str">
        <f t="shared" si="1"/>
        <v/>
      </c>
      <c r="AL51" t="str">
        <f t="shared" si="2"/>
        <v/>
      </c>
      <c r="AN51" t="str">
        <f t="shared" si="3"/>
        <v/>
      </c>
      <c r="AQ51" t="str">
        <f t="shared" si="4"/>
        <v/>
      </c>
      <c r="AR51" t="str">
        <f t="shared" si="5"/>
        <v/>
      </c>
      <c r="AS51" t="str">
        <f t="shared" si="6"/>
        <v/>
      </c>
      <c r="AT51" t="str">
        <f t="shared" si="7"/>
        <v/>
      </c>
      <c r="BG51" t="str">
        <f t="shared" si="8"/>
        <v/>
      </c>
      <c r="BH51" t="str">
        <f t="shared" si="9"/>
        <v/>
      </c>
      <c r="BL51" t="str">
        <f>IFERROR(INDEX(_names_lookup!$C:$C,MATCH(BK51,_names_lookup!$A:$A,0)),"")</f>
        <v/>
      </c>
      <c r="BM51" t="str">
        <f>IFERROR(INDEX(_names_lookup!$B:$B,MATCH(BK51,_names_lookup!$A:$A,0)),"")</f>
        <v/>
      </c>
      <c r="BS51" t="str">
        <f t="shared" si="10"/>
        <v/>
      </c>
    </row>
    <row r="52" spans="15:71" x14ac:dyDescent="0.2">
      <c r="O52" t="str">
        <f>IFERROR(INDEX(_courses_lookup!$C:$C,MATCH(K52&amp;L52,_courses_lookup!$E:$E,0)),"")</f>
        <v/>
      </c>
      <c r="P52" t="str">
        <f>IFERROR(INDEX(_courses_lookup!$D:$D,MATCH(K52&amp;L52,_courses_lookup!$E:$E,0)),"")</f>
        <v/>
      </c>
      <c r="AG52" t="str">
        <f t="shared" si="0"/>
        <v/>
      </c>
      <c r="AI52" t="str">
        <f t="shared" si="1"/>
        <v/>
      </c>
      <c r="AL52" t="str">
        <f t="shared" si="2"/>
        <v/>
      </c>
      <c r="AN52" t="str">
        <f t="shared" si="3"/>
        <v/>
      </c>
      <c r="AQ52" t="str">
        <f t="shared" si="4"/>
        <v/>
      </c>
      <c r="AR52" t="str">
        <f t="shared" si="5"/>
        <v/>
      </c>
      <c r="AS52" t="str">
        <f t="shared" si="6"/>
        <v/>
      </c>
      <c r="AT52" t="str">
        <f t="shared" si="7"/>
        <v/>
      </c>
      <c r="BG52" t="str">
        <f t="shared" si="8"/>
        <v/>
      </c>
      <c r="BH52" t="str">
        <f t="shared" si="9"/>
        <v/>
      </c>
      <c r="BL52" t="str">
        <f>IFERROR(INDEX(_names_lookup!$C:$C,MATCH(BK52,_names_lookup!$A:$A,0)),"")</f>
        <v/>
      </c>
      <c r="BM52" t="str">
        <f>IFERROR(INDEX(_names_lookup!$B:$B,MATCH(BK52,_names_lookup!$A:$A,0)),"")</f>
        <v/>
      </c>
      <c r="BS52" t="str">
        <f t="shared" si="10"/>
        <v/>
      </c>
    </row>
    <row r="53" spans="15:71" x14ac:dyDescent="0.2">
      <c r="O53" t="str">
        <f>IFERROR(INDEX(_courses_lookup!$C:$C,MATCH(K53&amp;L53,_courses_lookup!$E:$E,0)),"")</f>
        <v/>
      </c>
      <c r="P53" t="str">
        <f>IFERROR(INDEX(_courses_lookup!$D:$D,MATCH(K53&amp;L53,_courses_lookup!$E:$E,0)),"")</f>
        <v/>
      </c>
      <c r="AG53" t="str">
        <f t="shared" si="0"/>
        <v/>
      </c>
      <c r="AI53" t="str">
        <f t="shared" si="1"/>
        <v/>
      </c>
      <c r="AL53" t="str">
        <f t="shared" si="2"/>
        <v/>
      </c>
      <c r="AN53" t="str">
        <f t="shared" si="3"/>
        <v/>
      </c>
      <c r="AQ53" t="str">
        <f t="shared" si="4"/>
        <v/>
      </c>
      <c r="AR53" t="str">
        <f t="shared" si="5"/>
        <v/>
      </c>
      <c r="AS53" t="str">
        <f t="shared" si="6"/>
        <v/>
      </c>
      <c r="AT53" t="str">
        <f t="shared" si="7"/>
        <v/>
      </c>
      <c r="BG53" t="str">
        <f t="shared" si="8"/>
        <v/>
      </c>
      <c r="BH53" t="str">
        <f t="shared" si="9"/>
        <v/>
      </c>
      <c r="BL53" t="str">
        <f>IFERROR(INDEX(_names_lookup!$C:$C,MATCH(BK53,_names_lookup!$A:$A,0)),"")</f>
        <v/>
      </c>
      <c r="BM53" t="str">
        <f>IFERROR(INDEX(_names_lookup!$B:$B,MATCH(BK53,_names_lookup!$A:$A,0)),"")</f>
        <v/>
      </c>
      <c r="BS53" t="str">
        <f t="shared" si="10"/>
        <v/>
      </c>
    </row>
    <row r="54" spans="15:71" x14ac:dyDescent="0.2">
      <c r="O54" t="str">
        <f>IFERROR(INDEX(_courses_lookup!$C:$C,MATCH(K54&amp;L54,_courses_lookup!$E:$E,0)),"")</f>
        <v/>
      </c>
      <c r="P54" t="str">
        <f>IFERROR(INDEX(_courses_lookup!$D:$D,MATCH(K54&amp;L54,_courses_lookup!$E:$E,0)),"")</f>
        <v/>
      </c>
      <c r="AG54" t="str">
        <f t="shared" si="0"/>
        <v/>
      </c>
      <c r="AI54" t="str">
        <f t="shared" si="1"/>
        <v/>
      </c>
      <c r="AL54" t="str">
        <f t="shared" si="2"/>
        <v/>
      </c>
      <c r="AN54" t="str">
        <f t="shared" si="3"/>
        <v/>
      </c>
      <c r="AQ54" t="str">
        <f t="shared" si="4"/>
        <v/>
      </c>
      <c r="AR54" t="str">
        <f t="shared" si="5"/>
        <v/>
      </c>
      <c r="AS54" t="str">
        <f t="shared" si="6"/>
        <v/>
      </c>
      <c r="AT54" t="str">
        <f t="shared" si="7"/>
        <v/>
      </c>
      <c r="BG54" t="str">
        <f t="shared" si="8"/>
        <v/>
      </c>
      <c r="BH54" t="str">
        <f t="shared" si="9"/>
        <v/>
      </c>
      <c r="BL54" t="str">
        <f>IFERROR(INDEX(_names_lookup!$C:$C,MATCH(BK54,_names_lookup!$A:$A,0)),"")</f>
        <v/>
      </c>
      <c r="BM54" t="str">
        <f>IFERROR(INDEX(_names_lookup!$B:$B,MATCH(BK54,_names_lookup!$A:$A,0)),"")</f>
        <v/>
      </c>
      <c r="BS54" t="str">
        <f t="shared" si="10"/>
        <v/>
      </c>
    </row>
    <row r="55" spans="15:71" x14ac:dyDescent="0.2">
      <c r="O55" t="str">
        <f>IFERROR(INDEX(_courses_lookup!$C:$C,MATCH(K55&amp;L55,_courses_lookup!$E:$E,0)),"")</f>
        <v/>
      </c>
      <c r="P55" t="str">
        <f>IFERROR(INDEX(_courses_lookup!$D:$D,MATCH(K55&amp;L55,_courses_lookup!$E:$E,0)),"")</f>
        <v/>
      </c>
      <c r="AG55" t="str">
        <f t="shared" si="0"/>
        <v/>
      </c>
      <c r="AI55" t="str">
        <f t="shared" si="1"/>
        <v/>
      </c>
      <c r="AL55" t="str">
        <f t="shared" si="2"/>
        <v/>
      </c>
      <c r="AN55" t="str">
        <f t="shared" si="3"/>
        <v/>
      </c>
      <c r="AQ55" t="str">
        <f t="shared" si="4"/>
        <v/>
      </c>
      <c r="AR55" t="str">
        <f t="shared" si="5"/>
        <v/>
      </c>
      <c r="AS55" t="str">
        <f t="shared" si="6"/>
        <v/>
      </c>
      <c r="AT55" t="str">
        <f t="shared" si="7"/>
        <v/>
      </c>
      <c r="BG55" t="str">
        <f t="shared" si="8"/>
        <v/>
      </c>
      <c r="BH55" t="str">
        <f t="shared" si="9"/>
        <v/>
      </c>
      <c r="BL55" t="str">
        <f>IFERROR(INDEX(_names_lookup!$C:$C,MATCH(BK55,_names_lookup!$A:$A,0)),"")</f>
        <v/>
      </c>
      <c r="BM55" t="str">
        <f>IFERROR(INDEX(_names_lookup!$B:$B,MATCH(BK55,_names_lookup!$A:$A,0)),"")</f>
        <v/>
      </c>
      <c r="BS55" t="str">
        <f t="shared" si="10"/>
        <v/>
      </c>
    </row>
    <row r="56" spans="15:71" x14ac:dyDescent="0.2">
      <c r="O56" t="str">
        <f>IFERROR(INDEX(_courses_lookup!$C:$C,MATCH(K56&amp;L56,_courses_lookup!$E:$E,0)),"")</f>
        <v/>
      </c>
      <c r="P56" t="str">
        <f>IFERROR(INDEX(_courses_lookup!$D:$D,MATCH(K56&amp;L56,_courses_lookup!$E:$E,0)),"")</f>
        <v/>
      </c>
      <c r="AG56" t="str">
        <f t="shared" si="0"/>
        <v/>
      </c>
      <c r="AI56" t="str">
        <f t="shared" si="1"/>
        <v/>
      </c>
      <c r="AL56" t="str">
        <f t="shared" si="2"/>
        <v/>
      </c>
      <c r="AN56" t="str">
        <f t="shared" si="3"/>
        <v/>
      </c>
      <c r="AQ56" t="str">
        <f t="shared" si="4"/>
        <v/>
      </c>
      <c r="AR56" t="str">
        <f t="shared" si="5"/>
        <v/>
      </c>
      <c r="AS56" t="str">
        <f t="shared" si="6"/>
        <v/>
      </c>
      <c r="AT56" t="str">
        <f t="shared" si="7"/>
        <v/>
      </c>
      <c r="BG56" t="str">
        <f t="shared" si="8"/>
        <v/>
      </c>
      <c r="BH56" t="str">
        <f t="shared" si="9"/>
        <v/>
      </c>
      <c r="BL56" t="str">
        <f>IFERROR(INDEX(_names_lookup!$C:$C,MATCH(BK56,_names_lookup!$A:$A,0)),"")</f>
        <v/>
      </c>
      <c r="BM56" t="str">
        <f>IFERROR(INDEX(_names_lookup!$B:$B,MATCH(BK56,_names_lookup!$A:$A,0)),"")</f>
        <v/>
      </c>
      <c r="BS56" t="str">
        <f t="shared" si="10"/>
        <v/>
      </c>
    </row>
    <row r="57" spans="15:71" x14ac:dyDescent="0.2">
      <c r="O57" t="str">
        <f>IFERROR(INDEX(_courses_lookup!$C:$C,MATCH(K57&amp;L57,_courses_lookup!$E:$E,0)),"")</f>
        <v/>
      </c>
      <c r="P57" t="str">
        <f>IFERROR(INDEX(_courses_lookup!$D:$D,MATCH(K57&amp;L57,_courses_lookup!$E:$E,0)),"")</f>
        <v/>
      </c>
      <c r="AG57" t="str">
        <f t="shared" si="0"/>
        <v/>
      </c>
      <c r="AI57" t="str">
        <f t="shared" si="1"/>
        <v/>
      </c>
      <c r="AL57" t="str">
        <f t="shared" si="2"/>
        <v/>
      </c>
      <c r="AN57" t="str">
        <f t="shared" si="3"/>
        <v/>
      </c>
      <c r="AQ57" t="str">
        <f t="shared" si="4"/>
        <v/>
      </c>
      <c r="AR57" t="str">
        <f t="shared" si="5"/>
        <v/>
      </c>
      <c r="AS57" t="str">
        <f t="shared" si="6"/>
        <v/>
      </c>
      <c r="AT57" t="str">
        <f t="shared" si="7"/>
        <v/>
      </c>
      <c r="BG57" t="str">
        <f t="shared" si="8"/>
        <v/>
      </c>
      <c r="BH57" t="str">
        <f t="shared" si="9"/>
        <v/>
      </c>
      <c r="BL57" t="str">
        <f>IFERROR(INDEX(_names_lookup!$C:$C,MATCH(BK57,_names_lookup!$A:$A,0)),"")</f>
        <v/>
      </c>
      <c r="BM57" t="str">
        <f>IFERROR(INDEX(_names_lookup!$B:$B,MATCH(BK57,_names_lookup!$A:$A,0)),"")</f>
        <v/>
      </c>
      <c r="BS57" t="str">
        <f t="shared" si="10"/>
        <v/>
      </c>
    </row>
    <row r="58" spans="15:71" x14ac:dyDescent="0.2">
      <c r="O58" t="str">
        <f>IFERROR(INDEX(_courses_lookup!$C:$C,MATCH(K58&amp;L58,_courses_lookup!$E:$E,0)),"")</f>
        <v/>
      </c>
      <c r="P58" t="str">
        <f>IFERROR(INDEX(_courses_lookup!$D:$D,MATCH(K58&amp;L58,_courses_lookup!$E:$E,0)),"")</f>
        <v/>
      </c>
      <c r="AG58" t="str">
        <f t="shared" si="0"/>
        <v/>
      </c>
      <c r="AI58" t="str">
        <f t="shared" si="1"/>
        <v/>
      </c>
      <c r="AL58" t="str">
        <f t="shared" si="2"/>
        <v/>
      </c>
      <c r="AN58" t="str">
        <f t="shared" si="3"/>
        <v/>
      </c>
      <c r="AQ58" t="str">
        <f t="shared" si="4"/>
        <v/>
      </c>
      <c r="AR58" t="str">
        <f t="shared" si="5"/>
        <v/>
      </c>
      <c r="AS58" t="str">
        <f t="shared" si="6"/>
        <v/>
      </c>
      <c r="AT58" t="str">
        <f t="shared" si="7"/>
        <v/>
      </c>
      <c r="BG58" t="str">
        <f t="shared" si="8"/>
        <v/>
      </c>
      <c r="BH58" t="str">
        <f t="shared" si="9"/>
        <v/>
      </c>
      <c r="BL58" t="str">
        <f>IFERROR(INDEX(_names_lookup!$C:$C,MATCH(BK58,_names_lookup!$A:$A,0)),"")</f>
        <v/>
      </c>
      <c r="BM58" t="str">
        <f>IFERROR(INDEX(_names_lookup!$B:$B,MATCH(BK58,_names_lookup!$A:$A,0)),"")</f>
        <v/>
      </c>
      <c r="BS58" t="str">
        <f t="shared" si="10"/>
        <v/>
      </c>
    </row>
    <row r="59" spans="15:71" x14ac:dyDescent="0.2">
      <c r="O59" t="str">
        <f>IFERROR(INDEX(_courses_lookup!$C:$C,MATCH(K59&amp;L59,_courses_lookup!$E:$E,0)),"")</f>
        <v/>
      </c>
      <c r="P59" t="str">
        <f>IFERROR(INDEX(_courses_lookup!$D:$D,MATCH(K59&amp;L59,_courses_lookup!$E:$E,0)),"")</f>
        <v/>
      </c>
      <c r="AG59" t="str">
        <f t="shared" si="0"/>
        <v/>
      </c>
      <c r="AI59" t="str">
        <f t="shared" si="1"/>
        <v/>
      </c>
      <c r="AL59" t="str">
        <f t="shared" si="2"/>
        <v/>
      </c>
      <c r="AN59" t="str">
        <f t="shared" si="3"/>
        <v/>
      </c>
      <c r="AQ59" t="str">
        <f t="shared" si="4"/>
        <v/>
      </c>
      <c r="AR59" t="str">
        <f t="shared" si="5"/>
        <v/>
      </c>
      <c r="AS59" t="str">
        <f t="shared" si="6"/>
        <v/>
      </c>
      <c r="AT59" t="str">
        <f t="shared" si="7"/>
        <v/>
      </c>
      <c r="BG59" t="str">
        <f t="shared" si="8"/>
        <v/>
      </c>
      <c r="BH59" t="str">
        <f t="shared" si="9"/>
        <v/>
      </c>
      <c r="BL59" t="str">
        <f>IFERROR(INDEX(_names_lookup!$C:$C,MATCH(BK59,_names_lookup!$A:$A,0)),"")</f>
        <v/>
      </c>
      <c r="BM59" t="str">
        <f>IFERROR(INDEX(_names_lookup!$B:$B,MATCH(BK59,_names_lookup!$A:$A,0)),"")</f>
        <v/>
      </c>
      <c r="BS59" t="str">
        <f t="shared" si="10"/>
        <v/>
      </c>
    </row>
    <row r="60" spans="15:71" x14ac:dyDescent="0.2">
      <c r="O60" t="str">
        <f>IFERROR(INDEX(_courses_lookup!$C:$C,MATCH(K60&amp;L60,_courses_lookup!$E:$E,0)),"")</f>
        <v/>
      </c>
      <c r="P60" t="str">
        <f>IFERROR(INDEX(_courses_lookup!$D:$D,MATCH(K60&amp;L60,_courses_lookup!$E:$E,0)),"")</f>
        <v/>
      </c>
      <c r="AG60" t="str">
        <f t="shared" si="0"/>
        <v/>
      </c>
      <c r="AI60" t="str">
        <f t="shared" si="1"/>
        <v/>
      </c>
      <c r="AL60" t="str">
        <f t="shared" si="2"/>
        <v/>
      </c>
      <c r="AN60" t="str">
        <f t="shared" si="3"/>
        <v/>
      </c>
      <c r="AQ60" t="str">
        <f t="shared" si="4"/>
        <v/>
      </c>
      <c r="AR60" t="str">
        <f t="shared" si="5"/>
        <v/>
      </c>
      <c r="AS60" t="str">
        <f t="shared" si="6"/>
        <v/>
      </c>
      <c r="AT60" t="str">
        <f t="shared" si="7"/>
        <v/>
      </c>
      <c r="BG60" t="str">
        <f t="shared" si="8"/>
        <v/>
      </c>
      <c r="BH60" t="str">
        <f t="shared" si="9"/>
        <v/>
      </c>
      <c r="BL60" t="str">
        <f>IFERROR(INDEX(_names_lookup!$C:$C,MATCH(BK60,_names_lookup!$A:$A,0)),"")</f>
        <v/>
      </c>
      <c r="BM60" t="str">
        <f>IFERROR(INDEX(_names_lookup!$B:$B,MATCH(BK60,_names_lookup!$A:$A,0)),"")</f>
        <v/>
      </c>
      <c r="BS60" t="str">
        <f t="shared" si="10"/>
        <v/>
      </c>
    </row>
    <row r="61" spans="15:71" x14ac:dyDescent="0.2">
      <c r="O61" t="str">
        <f>IFERROR(INDEX(_courses_lookup!$C:$C,MATCH(K61&amp;L61,_courses_lookup!$E:$E,0)),"")</f>
        <v/>
      </c>
      <c r="P61" t="str">
        <f>IFERROR(INDEX(_courses_lookup!$D:$D,MATCH(K61&amp;L61,_courses_lookup!$E:$E,0)),"")</f>
        <v/>
      </c>
      <c r="AG61" t="str">
        <f t="shared" si="0"/>
        <v/>
      </c>
      <c r="AI61" t="str">
        <f t="shared" si="1"/>
        <v/>
      </c>
      <c r="AL61" t="str">
        <f t="shared" si="2"/>
        <v/>
      </c>
      <c r="AN61" t="str">
        <f t="shared" si="3"/>
        <v/>
      </c>
      <c r="AQ61" t="str">
        <f t="shared" si="4"/>
        <v/>
      </c>
      <c r="AR61" t="str">
        <f t="shared" si="5"/>
        <v/>
      </c>
      <c r="AS61" t="str">
        <f t="shared" si="6"/>
        <v/>
      </c>
      <c r="AT61" t="str">
        <f t="shared" si="7"/>
        <v/>
      </c>
      <c r="BG61" t="str">
        <f t="shared" si="8"/>
        <v/>
      </c>
      <c r="BH61" t="str">
        <f t="shared" si="9"/>
        <v/>
      </c>
      <c r="BL61" t="str">
        <f>IFERROR(INDEX(_names_lookup!$C:$C,MATCH(BK61,_names_lookup!$A:$A,0)),"")</f>
        <v/>
      </c>
      <c r="BM61" t="str">
        <f>IFERROR(INDEX(_names_lookup!$B:$B,MATCH(BK61,_names_lookup!$A:$A,0)),"")</f>
        <v/>
      </c>
      <c r="BS61" t="str">
        <f t="shared" si="10"/>
        <v/>
      </c>
    </row>
    <row r="62" spans="15:71" x14ac:dyDescent="0.2">
      <c r="O62" t="str">
        <f>IFERROR(INDEX(_courses_lookup!$C:$C,MATCH(K62&amp;L62,_courses_lookup!$E:$E,0)),"")</f>
        <v/>
      </c>
      <c r="P62" t="str">
        <f>IFERROR(INDEX(_courses_lookup!$D:$D,MATCH(K62&amp;L62,_courses_lookup!$E:$E,0)),"")</f>
        <v/>
      </c>
      <c r="AG62" t="str">
        <f t="shared" si="0"/>
        <v/>
      </c>
      <c r="AI62" t="str">
        <f t="shared" si="1"/>
        <v/>
      </c>
      <c r="AL62" t="str">
        <f t="shared" si="2"/>
        <v/>
      </c>
      <c r="AN62" t="str">
        <f t="shared" si="3"/>
        <v/>
      </c>
      <c r="AQ62" t="str">
        <f t="shared" si="4"/>
        <v/>
      </c>
      <c r="AR62" t="str">
        <f t="shared" si="5"/>
        <v/>
      </c>
      <c r="AS62" t="str">
        <f t="shared" si="6"/>
        <v/>
      </c>
      <c r="AT62" t="str">
        <f t="shared" si="7"/>
        <v/>
      </c>
      <c r="BG62" t="str">
        <f t="shared" si="8"/>
        <v/>
      </c>
      <c r="BH62" t="str">
        <f t="shared" si="9"/>
        <v/>
      </c>
      <c r="BL62" t="str">
        <f>IFERROR(INDEX(_names_lookup!$C:$C,MATCH(BK62,_names_lookup!$A:$A,0)),"")</f>
        <v/>
      </c>
      <c r="BM62" t="str">
        <f>IFERROR(INDEX(_names_lookup!$B:$B,MATCH(BK62,_names_lookup!$A:$A,0)),"")</f>
        <v/>
      </c>
      <c r="BS62" t="str">
        <f t="shared" si="10"/>
        <v/>
      </c>
    </row>
    <row r="63" spans="15:71" x14ac:dyDescent="0.2">
      <c r="O63" t="str">
        <f>IFERROR(INDEX(_courses_lookup!$C:$C,MATCH(K63&amp;L63,_courses_lookup!$E:$E,0)),"")</f>
        <v/>
      </c>
      <c r="P63" t="str">
        <f>IFERROR(INDEX(_courses_lookup!$D:$D,MATCH(K63&amp;L63,_courses_lookup!$E:$E,0)),"")</f>
        <v/>
      </c>
      <c r="AG63" t="str">
        <f t="shared" si="0"/>
        <v/>
      </c>
      <c r="AI63" t="str">
        <f t="shared" si="1"/>
        <v/>
      </c>
      <c r="AL63" t="str">
        <f t="shared" si="2"/>
        <v/>
      </c>
      <c r="AN63" t="str">
        <f t="shared" si="3"/>
        <v/>
      </c>
      <c r="AQ63" t="str">
        <f t="shared" si="4"/>
        <v/>
      </c>
      <c r="AR63" t="str">
        <f t="shared" si="5"/>
        <v/>
      </c>
      <c r="AS63" t="str">
        <f t="shared" si="6"/>
        <v/>
      </c>
      <c r="AT63" t="str">
        <f t="shared" si="7"/>
        <v/>
      </c>
      <c r="BG63" t="str">
        <f t="shared" si="8"/>
        <v/>
      </c>
      <c r="BH63" t="str">
        <f t="shared" si="9"/>
        <v/>
      </c>
      <c r="BL63" t="str">
        <f>IFERROR(INDEX(_names_lookup!$C:$C,MATCH(BK63,_names_lookup!$A:$A,0)),"")</f>
        <v/>
      </c>
      <c r="BM63" t="str">
        <f>IFERROR(INDEX(_names_lookup!$B:$B,MATCH(BK63,_names_lookup!$A:$A,0)),"")</f>
        <v/>
      </c>
      <c r="BS63" t="str">
        <f t="shared" si="10"/>
        <v/>
      </c>
    </row>
    <row r="64" spans="15:71" x14ac:dyDescent="0.2">
      <c r="O64" t="str">
        <f>IFERROR(INDEX(_courses_lookup!$C:$C,MATCH(K64&amp;L64,_courses_lookup!$E:$E,0)),"")</f>
        <v/>
      </c>
      <c r="P64" t="str">
        <f>IFERROR(INDEX(_courses_lookup!$D:$D,MATCH(K64&amp;L64,_courses_lookup!$E:$E,0)),"")</f>
        <v/>
      </c>
      <c r="AG64" t="str">
        <f t="shared" si="0"/>
        <v/>
      </c>
      <c r="AI64" t="str">
        <f t="shared" si="1"/>
        <v/>
      </c>
      <c r="AL64" t="str">
        <f t="shared" si="2"/>
        <v/>
      </c>
      <c r="AN64" t="str">
        <f t="shared" si="3"/>
        <v/>
      </c>
      <c r="AQ64" t="str">
        <f t="shared" si="4"/>
        <v/>
      </c>
      <c r="AR64" t="str">
        <f t="shared" si="5"/>
        <v/>
      </c>
      <c r="AS64" t="str">
        <f t="shared" si="6"/>
        <v/>
      </c>
      <c r="AT64" t="str">
        <f t="shared" si="7"/>
        <v/>
      </c>
      <c r="BG64" t="str">
        <f t="shared" si="8"/>
        <v/>
      </c>
      <c r="BH64" t="str">
        <f t="shared" si="9"/>
        <v/>
      </c>
      <c r="BL64" t="str">
        <f>IFERROR(INDEX(_names_lookup!$C:$C,MATCH(BK64,_names_lookup!$A:$A,0)),"")</f>
        <v/>
      </c>
      <c r="BM64" t="str">
        <f>IFERROR(INDEX(_names_lookup!$B:$B,MATCH(BK64,_names_lookup!$A:$A,0)),"")</f>
        <v/>
      </c>
      <c r="BS64" t="str">
        <f t="shared" si="10"/>
        <v/>
      </c>
    </row>
    <row r="65" spans="15:71" x14ac:dyDescent="0.2">
      <c r="O65" t="str">
        <f>IFERROR(INDEX(_courses_lookup!$C:$C,MATCH(K65&amp;L65,_courses_lookup!$E:$E,0)),"")</f>
        <v/>
      </c>
      <c r="P65" t="str">
        <f>IFERROR(INDEX(_courses_lookup!$D:$D,MATCH(K65&amp;L65,_courses_lookup!$E:$E,0)),"")</f>
        <v/>
      </c>
      <c r="AG65" t="str">
        <f t="shared" si="0"/>
        <v/>
      </c>
      <c r="AI65" t="str">
        <f t="shared" si="1"/>
        <v/>
      </c>
      <c r="AL65" t="str">
        <f t="shared" si="2"/>
        <v/>
      </c>
      <c r="AN65" t="str">
        <f t="shared" si="3"/>
        <v/>
      </c>
      <c r="AQ65" t="str">
        <f t="shared" si="4"/>
        <v/>
      </c>
      <c r="AR65" t="str">
        <f t="shared" si="5"/>
        <v/>
      </c>
      <c r="AS65" t="str">
        <f t="shared" si="6"/>
        <v/>
      </c>
      <c r="AT65" t="str">
        <f t="shared" si="7"/>
        <v/>
      </c>
      <c r="BG65" t="str">
        <f t="shared" si="8"/>
        <v/>
      </c>
      <c r="BH65" t="str">
        <f t="shared" si="9"/>
        <v/>
      </c>
      <c r="BL65" t="str">
        <f>IFERROR(INDEX(_names_lookup!$C:$C,MATCH(BK65,_names_lookup!$A:$A,0)),"")</f>
        <v/>
      </c>
      <c r="BM65" t="str">
        <f>IFERROR(INDEX(_names_lookup!$B:$B,MATCH(BK65,_names_lookup!$A:$A,0)),"")</f>
        <v/>
      </c>
      <c r="BS65" t="str">
        <f t="shared" si="10"/>
        <v/>
      </c>
    </row>
    <row r="66" spans="15:71" x14ac:dyDescent="0.2">
      <c r="O66" t="str">
        <f>IFERROR(INDEX(_courses_lookup!$C:$C,MATCH(K66&amp;L66,_courses_lookup!$E:$E,0)),"")</f>
        <v/>
      </c>
      <c r="P66" t="str">
        <f>IFERROR(INDEX(_courses_lookup!$D:$D,MATCH(K66&amp;L66,_courses_lookup!$E:$E,0)),"")</f>
        <v/>
      </c>
      <c r="AG66" t="str">
        <f t="shared" ref="AG66:AG129" si="11">IF(AND(AE66&lt;&gt;"",AF66&lt;&gt;""),ROUNDUP((AF66-AE66)/7,0),"")</f>
        <v/>
      </c>
      <c r="AI66" t="str">
        <f t="shared" ref="AI66:AI129" si="12">IFERROR(IF(AG66*AH66=0,"",AG66*AH66),"")</f>
        <v/>
      </c>
      <c r="AL66" t="str">
        <f t="shared" ref="AL66:AL129" si="13">IF(AND(AJ66&lt;&gt;"",AK66&lt;&gt;""),ROUNDUP((AK66-AJ66)/7,0),"")</f>
        <v/>
      </c>
      <c r="AN66" t="str">
        <f t="shared" ref="AN66:AN129" si="14">IFERROR(IF(AL66*AM66=0,"",AL66*AM66),"")</f>
        <v/>
      </c>
      <c r="AQ66" t="str">
        <f t="shared" ref="AQ66:AQ129" si="15">IF(AND(AO66&lt;&gt;"",AP66&lt;&gt;""),ROUNDUP((AP66-AO66)/7,0),"")</f>
        <v/>
      </c>
      <c r="AR66" t="str">
        <f t="shared" ref="AR66:AR129" si="16">IFERROR(IF((AU66-(AI66+AN66))/AQ66=0,"",ROUNDUP((AU66-(AI66+AN66))/AQ66,0)),"")</f>
        <v/>
      </c>
      <c r="AS66" t="str">
        <f t="shared" ref="AS66:AS129" si="17">IFERROR(IF((AU66-(AI66+AN66))=0,"",(AU66-(AI66+AN66))),"")</f>
        <v/>
      </c>
      <c r="AT66" t="str">
        <f t="shared" ref="AT66:AT129" si="18">IF(AND(AG66="",AQ66=""),AL66,IF(SUM(AG66,AL66,AQ66)=0,"",SUM(AG66,AL66,AQ66)))</f>
        <v/>
      </c>
      <c r="BG66" t="str">
        <f t="shared" ref="BG66:BG129" si="19">IF(AD66="","",YEAR(AD66)+IF(MONTH(AD66)&gt;=5,1,0))</f>
        <v/>
      </c>
      <c r="BH66" t="str">
        <f t="shared" ref="BH66:BH129" si="20">IF(AD66="","",IF(AND(MONTH(AD66)=8,DAY(AD66)&gt;=15),"Fall",IF(MONTH(AD66)&gt;8,"Fall",IF(MONTH(AD66)=5,"Summer",IF(MONTH(AD66)=1,"Spring","")))))</f>
        <v/>
      </c>
      <c r="BL66" t="str">
        <f>IFERROR(INDEX(_names_lookup!$C:$C,MATCH(BK66,_names_lookup!$A:$A,0)),"")</f>
        <v/>
      </c>
      <c r="BM66" t="str">
        <f>IFERROR(INDEX(_names_lookup!$B:$B,MATCH(BK66,_names_lookup!$A:$A,0)),"")</f>
        <v/>
      </c>
      <c r="BS66" t="str">
        <f t="shared" ref="BS66:BS129" si="21">IFERROR(IF(BR66*AA66=0,"",BR66*AA66),"")</f>
        <v/>
      </c>
    </row>
    <row r="67" spans="15:71" x14ac:dyDescent="0.2">
      <c r="O67" t="str">
        <f>IFERROR(INDEX(_courses_lookup!$C:$C,MATCH(K67&amp;L67,_courses_lookup!$E:$E,0)),"")</f>
        <v/>
      </c>
      <c r="P67" t="str">
        <f>IFERROR(INDEX(_courses_lookup!$D:$D,MATCH(K67&amp;L67,_courses_lookup!$E:$E,0)),"")</f>
        <v/>
      </c>
      <c r="AG67" t="str">
        <f t="shared" si="11"/>
        <v/>
      </c>
      <c r="AI67" t="str">
        <f t="shared" si="12"/>
        <v/>
      </c>
      <c r="AL67" t="str">
        <f t="shared" si="13"/>
        <v/>
      </c>
      <c r="AN67" t="str">
        <f t="shared" si="14"/>
        <v/>
      </c>
      <c r="AQ67" t="str">
        <f t="shared" si="15"/>
        <v/>
      </c>
      <c r="AR67" t="str">
        <f t="shared" si="16"/>
        <v/>
      </c>
      <c r="AS67" t="str">
        <f t="shared" si="17"/>
        <v/>
      </c>
      <c r="AT67" t="str">
        <f t="shared" si="18"/>
        <v/>
      </c>
      <c r="BG67" t="str">
        <f t="shared" si="19"/>
        <v/>
      </c>
      <c r="BH67" t="str">
        <f t="shared" si="20"/>
        <v/>
      </c>
      <c r="BL67" t="str">
        <f>IFERROR(INDEX(_names_lookup!$C:$C,MATCH(BK67,_names_lookup!$A:$A,0)),"")</f>
        <v/>
      </c>
      <c r="BM67" t="str">
        <f>IFERROR(INDEX(_names_lookup!$B:$B,MATCH(BK67,_names_lookup!$A:$A,0)),"")</f>
        <v/>
      </c>
      <c r="BS67" t="str">
        <f t="shared" si="21"/>
        <v/>
      </c>
    </row>
    <row r="68" spans="15:71" x14ac:dyDescent="0.2">
      <c r="O68" t="str">
        <f>IFERROR(INDEX(_courses_lookup!$C:$C,MATCH(K68&amp;L68,_courses_lookup!$E:$E,0)),"")</f>
        <v/>
      </c>
      <c r="P68" t="str">
        <f>IFERROR(INDEX(_courses_lookup!$D:$D,MATCH(K68&amp;L68,_courses_lookup!$E:$E,0)),"")</f>
        <v/>
      </c>
      <c r="AG68" t="str">
        <f t="shared" si="11"/>
        <v/>
      </c>
      <c r="AI68" t="str">
        <f t="shared" si="12"/>
        <v/>
      </c>
      <c r="AL68" t="str">
        <f t="shared" si="13"/>
        <v/>
      </c>
      <c r="AN68" t="str">
        <f t="shared" si="14"/>
        <v/>
      </c>
      <c r="AQ68" t="str">
        <f t="shared" si="15"/>
        <v/>
      </c>
      <c r="AR68" t="str">
        <f t="shared" si="16"/>
        <v/>
      </c>
      <c r="AS68" t="str">
        <f t="shared" si="17"/>
        <v/>
      </c>
      <c r="AT68" t="str">
        <f t="shared" si="18"/>
        <v/>
      </c>
      <c r="BG68" t="str">
        <f t="shared" si="19"/>
        <v/>
      </c>
      <c r="BH68" t="str">
        <f t="shared" si="20"/>
        <v/>
      </c>
      <c r="BL68" t="str">
        <f>IFERROR(INDEX(_names_lookup!$C:$C,MATCH(BK68,_names_lookup!$A:$A,0)),"")</f>
        <v/>
      </c>
      <c r="BM68" t="str">
        <f>IFERROR(INDEX(_names_lookup!$B:$B,MATCH(BK68,_names_lookup!$A:$A,0)),"")</f>
        <v/>
      </c>
      <c r="BS68" t="str">
        <f t="shared" si="21"/>
        <v/>
      </c>
    </row>
    <row r="69" spans="15:71" x14ac:dyDescent="0.2">
      <c r="O69" t="str">
        <f>IFERROR(INDEX(_courses_lookup!$C:$C,MATCH(K69&amp;L69,_courses_lookup!$E:$E,0)),"")</f>
        <v/>
      </c>
      <c r="P69" t="str">
        <f>IFERROR(INDEX(_courses_lookup!$D:$D,MATCH(K69&amp;L69,_courses_lookup!$E:$E,0)),"")</f>
        <v/>
      </c>
      <c r="AG69" t="str">
        <f t="shared" si="11"/>
        <v/>
      </c>
      <c r="AI69" t="str">
        <f t="shared" si="12"/>
        <v/>
      </c>
      <c r="AL69" t="str">
        <f t="shared" si="13"/>
        <v/>
      </c>
      <c r="AN69" t="str">
        <f t="shared" si="14"/>
        <v/>
      </c>
      <c r="AQ69" t="str">
        <f t="shared" si="15"/>
        <v/>
      </c>
      <c r="AR69" t="str">
        <f t="shared" si="16"/>
        <v/>
      </c>
      <c r="AS69" t="str">
        <f t="shared" si="17"/>
        <v/>
      </c>
      <c r="AT69" t="str">
        <f t="shared" si="18"/>
        <v/>
      </c>
      <c r="BG69" t="str">
        <f t="shared" si="19"/>
        <v/>
      </c>
      <c r="BH69" t="str">
        <f t="shared" si="20"/>
        <v/>
      </c>
      <c r="BL69" t="str">
        <f>IFERROR(INDEX(_names_lookup!$C:$C,MATCH(BK69,_names_lookup!$A:$A,0)),"")</f>
        <v/>
      </c>
      <c r="BM69" t="str">
        <f>IFERROR(INDEX(_names_lookup!$B:$B,MATCH(BK69,_names_lookup!$A:$A,0)),"")</f>
        <v/>
      </c>
      <c r="BS69" t="str">
        <f t="shared" si="21"/>
        <v/>
      </c>
    </row>
    <row r="70" spans="15:71" x14ac:dyDescent="0.2">
      <c r="O70" t="str">
        <f>IFERROR(INDEX(_courses_lookup!$C:$C,MATCH(K70&amp;L70,_courses_lookup!$E:$E,0)),"")</f>
        <v/>
      </c>
      <c r="P70" t="str">
        <f>IFERROR(INDEX(_courses_lookup!$D:$D,MATCH(K70&amp;L70,_courses_lookup!$E:$E,0)),"")</f>
        <v/>
      </c>
      <c r="AG70" t="str">
        <f t="shared" si="11"/>
        <v/>
      </c>
      <c r="AI70" t="str">
        <f t="shared" si="12"/>
        <v/>
      </c>
      <c r="AL70" t="str">
        <f t="shared" si="13"/>
        <v/>
      </c>
      <c r="AN70" t="str">
        <f t="shared" si="14"/>
        <v/>
      </c>
      <c r="AQ70" t="str">
        <f t="shared" si="15"/>
        <v/>
      </c>
      <c r="AR70" t="str">
        <f t="shared" si="16"/>
        <v/>
      </c>
      <c r="AS70" t="str">
        <f t="shared" si="17"/>
        <v/>
      </c>
      <c r="AT70" t="str">
        <f t="shared" si="18"/>
        <v/>
      </c>
      <c r="BG70" t="str">
        <f t="shared" si="19"/>
        <v/>
      </c>
      <c r="BH70" t="str">
        <f t="shared" si="20"/>
        <v/>
      </c>
      <c r="BL70" t="str">
        <f>IFERROR(INDEX(_names_lookup!$C:$C,MATCH(BK70,_names_lookup!$A:$A,0)),"")</f>
        <v/>
      </c>
      <c r="BM70" t="str">
        <f>IFERROR(INDEX(_names_lookup!$B:$B,MATCH(BK70,_names_lookup!$A:$A,0)),"")</f>
        <v/>
      </c>
      <c r="BS70" t="str">
        <f t="shared" si="21"/>
        <v/>
      </c>
    </row>
    <row r="71" spans="15:71" x14ac:dyDescent="0.2">
      <c r="O71" t="str">
        <f>IFERROR(INDEX(_courses_lookup!$C:$C,MATCH(K71&amp;L71,_courses_lookup!$E:$E,0)),"")</f>
        <v/>
      </c>
      <c r="P71" t="str">
        <f>IFERROR(INDEX(_courses_lookup!$D:$D,MATCH(K71&amp;L71,_courses_lookup!$E:$E,0)),"")</f>
        <v/>
      </c>
      <c r="AG71" t="str">
        <f t="shared" si="11"/>
        <v/>
      </c>
      <c r="AI71" t="str">
        <f t="shared" si="12"/>
        <v/>
      </c>
      <c r="AL71" t="str">
        <f t="shared" si="13"/>
        <v/>
      </c>
      <c r="AN71" t="str">
        <f t="shared" si="14"/>
        <v/>
      </c>
      <c r="AQ71" t="str">
        <f t="shared" si="15"/>
        <v/>
      </c>
      <c r="AR71" t="str">
        <f t="shared" si="16"/>
        <v/>
      </c>
      <c r="AS71" t="str">
        <f t="shared" si="17"/>
        <v/>
      </c>
      <c r="AT71" t="str">
        <f t="shared" si="18"/>
        <v/>
      </c>
      <c r="BG71" t="str">
        <f t="shared" si="19"/>
        <v/>
      </c>
      <c r="BH71" t="str">
        <f t="shared" si="20"/>
        <v/>
      </c>
      <c r="BL71" t="str">
        <f>IFERROR(INDEX(_names_lookup!$C:$C,MATCH(BK71,_names_lookup!$A:$A,0)),"")</f>
        <v/>
      </c>
      <c r="BM71" t="str">
        <f>IFERROR(INDEX(_names_lookup!$B:$B,MATCH(BK71,_names_lookup!$A:$A,0)),"")</f>
        <v/>
      </c>
      <c r="BS71" t="str">
        <f t="shared" si="21"/>
        <v/>
      </c>
    </row>
    <row r="72" spans="15:71" x14ac:dyDescent="0.2">
      <c r="O72" t="str">
        <f>IFERROR(INDEX(_courses_lookup!$C:$C,MATCH(K72&amp;L72,_courses_lookup!$E:$E,0)),"")</f>
        <v/>
      </c>
      <c r="P72" t="str">
        <f>IFERROR(INDEX(_courses_lookup!$D:$D,MATCH(K72&amp;L72,_courses_lookup!$E:$E,0)),"")</f>
        <v/>
      </c>
      <c r="AG72" t="str">
        <f t="shared" si="11"/>
        <v/>
      </c>
      <c r="AI72" t="str">
        <f t="shared" si="12"/>
        <v/>
      </c>
      <c r="AL72" t="str">
        <f t="shared" si="13"/>
        <v/>
      </c>
      <c r="AN72" t="str">
        <f t="shared" si="14"/>
        <v/>
      </c>
      <c r="AQ72" t="str">
        <f t="shared" si="15"/>
        <v/>
      </c>
      <c r="AR72" t="str">
        <f t="shared" si="16"/>
        <v/>
      </c>
      <c r="AS72" t="str">
        <f t="shared" si="17"/>
        <v/>
      </c>
      <c r="AT72" t="str">
        <f t="shared" si="18"/>
        <v/>
      </c>
      <c r="BG72" t="str">
        <f t="shared" si="19"/>
        <v/>
      </c>
      <c r="BH72" t="str">
        <f t="shared" si="20"/>
        <v/>
      </c>
      <c r="BL72" t="str">
        <f>IFERROR(INDEX(_names_lookup!$C:$C,MATCH(BK72,_names_lookup!$A:$A,0)),"")</f>
        <v/>
      </c>
      <c r="BM72" t="str">
        <f>IFERROR(INDEX(_names_lookup!$B:$B,MATCH(BK72,_names_lookup!$A:$A,0)),"")</f>
        <v/>
      </c>
      <c r="BS72" t="str">
        <f t="shared" si="21"/>
        <v/>
      </c>
    </row>
    <row r="73" spans="15:71" x14ac:dyDescent="0.2">
      <c r="O73" t="str">
        <f>IFERROR(INDEX(_courses_lookup!$C:$C,MATCH(K73&amp;L73,_courses_lookup!$E:$E,0)),"")</f>
        <v/>
      </c>
      <c r="P73" t="str">
        <f>IFERROR(INDEX(_courses_lookup!$D:$D,MATCH(K73&amp;L73,_courses_lookup!$E:$E,0)),"")</f>
        <v/>
      </c>
      <c r="AG73" t="str">
        <f t="shared" si="11"/>
        <v/>
      </c>
      <c r="AI73" t="str">
        <f t="shared" si="12"/>
        <v/>
      </c>
      <c r="AL73" t="str">
        <f t="shared" si="13"/>
        <v/>
      </c>
      <c r="AN73" t="str">
        <f t="shared" si="14"/>
        <v/>
      </c>
      <c r="AQ73" t="str">
        <f t="shared" si="15"/>
        <v/>
      </c>
      <c r="AR73" t="str">
        <f t="shared" si="16"/>
        <v/>
      </c>
      <c r="AS73" t="str">
        <f t="shared" si="17"/>
        <v/>
      </c>
      <c r="AT73" t="str">
        <f t="shared" si="18"/>
        <v/>
      </c>
      <c r="BG73" t="str">
        <f t="shared" si="19"/>
        <v/>
      </c>
      <c r="BH73" t="str">
        <f t="shared" si="20"/>
        <v/>
      </c>
      <c r="BL73" t="str">
        <f>IFERROR(INDEX(_names_lookup!$C:$C,MATCH(BK73,_names_lookup!$A:$A,0)),"")</f>
        <v/>
      </c>
      <c r="BM73" t="str">
        <f>IFERROR(INDEX(_names_lookup!$B:$B,MATCH(BK73,_names_lookup!$A:$A,0)),"")</f>
        <v/>
      </c>
      <c r="BS73" t="str">
        <f t="shared" si="21"/>
        <v/>
      </c>
    </row>
    <row r="74" spans="15:71" x14ac:dyDescent="0.2">
      <c r="O74" t="str">
        <f>IFERROR(INDEX(_courses_lookup!$C:$C,MATCH(K74&amp;L74,_courses_lookup!$E:$E,0)),"")</f>
        <v/>
      </c>
      <c r="P74" t="str">
        <f>IFERROR(INDEX(_courses_lookup!$D:$D,MATCH(K74&amp;L74,_courses_lookup!$E:$E,0)),"")</f>
        <v/>
      </c>
      <c r="AG74" t="str">
        <f t="shared" si="11"/>
        <v/>
      </c>
      <c r="AI74" t="str">
        <f t="shared" si="12"/>
        <v/>
      </c>
      <c r="AL74" t="str">
        <f t="shared" si="13"/>
        <v/>
      </c>
      <c r="AN74" t="str">
        <f t="shared" si="14"/>
        <v/>
      </c>
      <c r="AQ74" t="str">
        <f t="shared" si="15"/>
        <v/>
      </c>
      <c r="AR74" t="str">
        <f t="shared" si="16"/>
        <v/>
      </c>
      <c r="AS74" t="str">
        <f t="shared" si="17"/>
        <v/>
      </c>
      <c r="AT74" t="str">
        <f t="shared" si="18"/>
        <v/>
      </c>
      <c r="BG74" t="str">
        <f t="shared" si="19"/>
        <v/>
      </c>
      <c r="BH74" t="str">
        <f t="shared" si="20"/>
        <v/>
      </c>
      <c r="BL74" t="str">
        <f>IFERROR(INDEX(_names_lookup!$C:$C,MATCH(BK74,_names_lookup!$A:$A,0)),"")</f>
        <v/>
      </c>
      <c r="BM74" t="str">
        <f>IFERROR(INDEX(_names_lookup!$B:$B,MATCH(BK74,_names_lookup!$A:$A,0)),"")</f>
        <v/>
      </c>
      <c r="BS74" t="str">
        <f t="shared" si="21"/>
        <v/>
      </c>
    </row>
    <row r="75" spans="15:71" x14ac:dyDescent="0.2">
      <c r="O75" t="str">
        <f>IFERROR(INDEX(_courses_lookup!$C:$C,MATCH(K75&amp;L75,_courses_lookup!$E:$E,0)),"")</f>
        <v/>
      </c>
      <c r="P75" t="str">
        <f>IFERROR(INDEX(_courses_lookup!$D:$D,MATCH(K75&amp;L75,_courses_lookup!$E:$E,0)),"")</f>
        <v/>
      </c>
      <c r="AG75" t="str">
        <f t="shared" si="11"/>
        <v/>
      </c>
      <c r="AI75" t="str">
        <f t="shared" si="12"/>
        <v/>
      </c>
      <c r="AL75" t="str">
        <f t="shared" si="13"/>
        <v/>
      </c>
      <c r="AN75" t="str">
        <f t="shared" si="14"/>
        <v/>
      </c>
      <c r="AQ75" t="str">
        <f t="shared" si="15"/>
        <v/>
      </c>
      <c r="AR75" t="str">
        <f t="shared" si="16"/>
        <v/>
      </c>
      <c r="AS75" t="str">
        <f t="shared" si="17"/>
        <v/>
      </c>
      <c r="AT75" t="str">
        <f t="shared" si="18"/>
        <v/>
      </c>
      <c r="BG75" t="str">
        <f t="shared" si="19"/>
        <v/>
      </c>
      <c r="BH75" t="str">
        <f t="shared" si="20"/>
        <v/>
      </c>
      <c r="BL75" t="str">
        <f>IFERROR(INDEX(_names_lookup!$C:$C,MATCH(BK75,_names_lookup!$A:$A,0)),"")</f>
        <v/>
      </c>
      <c r="BM75" t="str">
        <f>IFERROR(INDEX(_names_lookup!$B:$B,MATCH(BK75,_names_lookup!$A:$A,0)),"")</f>
        <v/>
      </c>
      <c r="BS75" t="str">
        <f t="shared" si="21"/>
        <v/>
      </c>
    </row>
    <row r="76" spans="15:71" x14ac:dyDescent="0.2">
      <c r="O76" t="str">
        <f>IFERROR(INDEX(_courses_lookup!$C:$C,MATCH(K76&amp;L76,_courses_lookup!$E:$E,0)),"")</f>
        <v/>
      </c>
      <c r="P76" t="str">
        <f>IFERROR(INDEX(_courses_lookup!$D:$D,MATCH(K76&amp;L76,_courses_lookup!$E:$E,0)),"")</f>
        <v/>
      </c>
      <c r="AG76" t="str">
        <f t="shared" si="11"/>
        <v/>
      </c>
      <c r="AI76" t="str">
        <f t="shared" si="12"/>
        <v/>
      </c>
      <c r="AL76" t="str">
        <f t="shared" si="13"/>
        <v/>
      </c>
      <c r="AN76" t="str">
        <f t="shared" si="14"/>
        <v/>
      </c>
      <c r="AQ76" t="str">
        <f t="shared" si="15"/>
        <v/>
      </c>
      <c r="AR76" t="str">
        <f t="shared" si="16"/>
        <v/>
      </c>
      <c r="AS76" t="str">
        <f t="shared" si="17"/>
        <v/>
      </c>
      <c r="AT76" t="str">
        <f t="shared" si="18"/>
        <v/>
      </c>
      <c r="BG76" t="str">
        <f t="shared" si="19"/>
        <v/>
      </c>
      <c r="BH76" t="str">
        <f t="shared" si="20"/>
        <v/>
      </c>
      <c r="BL76" t="str">
        <f>IFERROR(INDEX(_names_lookup!$C:$C,MATCH(BK76,_names_lookup!$A:$A,0)),"")</f>
        <v/>
      </c>
      <c r="BM76" t="str">
        <f>IFERROR(INDEX(_names_lookup!$B:$B,MATCH(BK76,_names_lookup!$A:$A,0)),"")</f>
        <v/>
      </c>
      <c r="BS76" t="str">
        <f t="shared" si="21"/>
        <v/>
      </c>
    </row>
    <row r="77" spans="15:71" x14ac:dyDescent="0.2">
      <c r="O77" t="str">
        <f>IFERROR(INDEX(_courses_lookup!$C:$C,MATCH(K77&amp;L77,_courses_lookup!$E:$E,0)),"")</f>
        <v/>
      </c>
      <c r="P77" t="str">
        <f>IFERROR(INDEX(_courses_lookup!$D:$D,MATCH(K77&amp;L77,_courses_lookup!$E:$E,0)),"")</f>
        <v/>
      </c>
      <c r="AG77" t="str">
        <f t="shared" si="11"/>
        <v/>
      </c>
      <c r="AI77" t="str">
        <f t="shared" si="12"/>
        <v/>
      </c>
      <c r="AL77" t="str">
        <f t="shared" si="13"/>
        <v/>
      </c>
      <c r="AN77" t="str">
        <f t="shared" si="14"/>
        <v/>
      </c>
      <c r="AQ77" t="str">
        <f t="shared" si="15"/>
        <v/>
      </c>
      <c r="AR77" t="str">
        <f t="shared" si="16"/>
        <v/>
      </c>
      <c r="AS77" t="str">
        <f t="shared" si="17"/>
        <v/>
      </c>
      <c r="AT77" t="str">
        <f t="shared" si="18"/>
        <v/>
      </c>
      <c r="BG77" t="str">
        <f t="shared" si="19"/>
        <v/>
      </c>
      <c r="BH77" t="str">
        <f t="shared" si="20"/>
        <v/>
      </c>
      <c r="BL77" t="str">
        <f>IFERROR(INDEX(_names_lookup!$C:$C,MATCH(BK77,_names_lookup!$A:$A,0)),"")</f>
        <v/>
      </c>
      <c r="BM77" t="str">
        <f>IFERROR(INDEX(_names_lookup!$B:$B,MATCH(BK77,_names_lookup!$A:$A,0)),"")</f>
        <v/>
      </c>
      <c r="BS77" t="str">
        <f t="shared" si="21"/>
        <v/>
      </c>
    </row>
    <row r="78" spans="15:71" x14ac:dyDescent="0.2">
      <c r="O78" t="str">
        <f>IFERROR(INDEX(_courses_lookup!$C:$C,MATCH(K78&amp;L78,_courses_lookup!$E:$E,0)),"")</f>
        <v/>
      </c>
      <c r="P78" t="str">
        <f>IFERROR(INDEX(_courses_lookup!$D:$D,MATCH(K78&amp;L78,_courses_lookup!$E:$E,0)),"")</f>
        <v/>
      </c>
      <c r="AG78" t="str">
        <f t="shared" si="11"/>
        <v/>
      </c>
      <c r="AI78" t="str">
        <f t="shared" si="12"/>
        <v/>
      </c>
      <c r="AL78" t="str">
        <f t="shared" si="13"/>
        <v/>
      </c>
      <c r="AN78" t="str">
        <f t="shared" si="14"/>
        <v/>
      </c>
      <c r="AQ78" t="str">
        <f t="shared" si="15"/>
        <v/>
      </c>
      <c r="AR78" t="str">
        <f t="shared" si="16"/>
        <v/>
      </c>
      <c r="AS78" t="str">
        <f t="shared" si="17"/>
        <v/>
      </c>
      <c r="AT78" t="str">
        <f t="shared" si="18"/>
        <v/>
      </c>
      <c r="BG78" t="str">
        <f t="shared" si="19"/>
        <v/>
      </c>
      <c r="BH78" t="str">
        <f t="shared" si="20"/>
        <v/>
      </c>
      <c r="BL78" t="str">
        <f>IFERROR(INDEX(_names_lookup!$C:$C,MATCH(BK78,_names_lookup!$A:$A,0)),"")</f>
        <v/>
      </c>
      <c r="BM78" t="str">
        <f>IFERROR(INDEX(_names_lookup!$B:$B,MATCH(BK78,_names_lookup!$A:$A,0)),"")</f>
        <v/>
      </c>
      <c r="BS78" t="str">
        <f t="shared" si="21"/>
        <v/>
      </c>
    </row>
    <row r="79" spans="15:71" x14ac:dyDescent="0.2">
      <c r="O79" t="str">
        <f>IFERROR(INDEX(_courses_lookup!$C:$C,MATCH(K79&amp;L79,_courses_lookup!$E:$E,0)),"")</f>
        <v/>
      </c>
      <c r="P79" t="str">
        <f>IFERROR(INDEX(_courses_lookup!$D:$D,MATCH(K79&amp;L79,_courses_lookup!$E:$E,0)),"")</f>
        <v/>
      </c>
      <c r="AG79" t="str">
        <f t="shared" si="11"/>
        <v/>
      </c>
      <c r="AI79" t="str">
        <f t="shared" si="12"/>
        <v/>
      </c>
      <c r="AL79" t="str">
        <f t="shared" si="13"/>
        <v/>
      </c>
      <c r="AN79" t="str">
        <f t="shared" si="14"/>
        <v/>
      </c>
      <c r="AQ79" t="str">
        <f t="shared" si="15"/>
        <v/>
      </c>
      <c r="AR79" t="str">
        <f t="shared" si="16"/>
        <v/>
      </c>
      <c r="AS79" t="str">
        <f t="shared" si="17"/>
        <v/>
      </c>
      <c r="AT79" t="str">
        <f t="shared" si="18"/>
        <v/>
      </c>
      <c r="BG79" t="str">
        <f t="shared" si="19"/>
        <v/>
      </c>
      <c r="BH79" t="str">
        <f t="shared" si="20"/>
        <v/>
      </c>
      <c r="BL79" t="str">
        <f>IFERROR(INDEX(_names_lookup!$C:$C,MATCH(BK79,_names_lookup!$A:$A,0)),"")</f>
        <v/>
      </c>
      <c r="BM79" t="str">
        <f>IFERROR(INDEX(_names_lookup!$B:$B,MATCH(BK79,_names_lookup!$A:$A,0)),"")</f>
        <v/>
      </c>
      <c r="BS79" t="str">
        <f t="shared" si="21"/>
        <v/>
      </c>
    </row>
    <row r="80" spans="15:71" x14ac:dyDescent="0.2">
      <c r="O80" t="str">
        <f>IFERROR(INDEX(_courses_lookup!$C:$C,MATCH(K80&amp;L80,_courses_lookup!$E:$E,0)),"")</f>
        <v/>
      </c>
      <c r="P80" t="str">
        <f>IFERROR(INDEX(_courses_lookup!$D:$D,MATCH(K80&amp;L80,_courses_lookup!$E:$E,0)),"")</f>
        <v/>
      </c>
      <c r="AG80" t="str">
        <f t="shared" si="11"/>
        <v/>
      </c>
      <c r="AI80" t="str">
        <f t="shared" si="12"/>
        <v/>
      </c>
      <c r="AL80" t="str">
        <f t="shared" si="13"/>
        <v/>
      </c>
      <c r="AN80" t="str">
        <f t="shared" si="14"/>
        <v/>
      </c>
      <c r="AQ80" t="str">
        <f t="shared" si="15"/>
        <v/>
      </c>
      <c r="AR80" t="str">
        <f t="shared" si="16"/>
        <v/>
      </c>
      <c r="AS80" t="str">
        <f t="shared" si="17"/>
        <v/>
      </c>
      <c r="AT80" t="str">
        <f t="shared" si="18"/>
        <v/>
      </c>
      <c r="BG80" t="str">
        <f t="shared" si="19"/>
        <v/>
      </c>
      <c r="BH80" t="str">
        <f t="shared" si="20"/>
        <v/>
      </c>
      <c r="BL80" t="str">
        <f>IFERROR(INDEX(_names_lookup!$C:$C,MATCH(BK80,_names_lookup!$A:$A,0)),"")</f>
        <v/>
      </c>
      <c r="BM80" t="str">
        <f>IFERROR(INDEX(_names_lookup!$B:$B,MATCH(BK80,_names_lookup!$A:$A,0)),"")</f>
        <v/>
      </c>
      <c r="BS80" t="str">
        <f t="shared" si="21"/>
        <v/>
      </c>
    </row>
    <row r="81" spans="15:71" x14ac:dyDescent="0.2">
      <c r="O81" t="str">
        <f>IFERROR(INDEX(_courses_lookup!$C:$C,MATCH(K81&amp;L81,_courses_lookup!$E:$E,0)),"")</f>
        <v/>
      </c>
      <c r="P81" t="str">
        <f>IFERROR(INDEX(_courses_lookup!$D:$D,MATCH(K81&amp;L81,_courses_lookup!$E:$E,0)),"")</f>
        <v/>
      </c>
      <c r="AG81" t="str">
        <f t="shared" si="11"/>
        <v/>
      </c>
      <c r="AI81" t="str">
        <f t="shared" si="12"/>
        <v/>
      </c>
      <c r="AL81" t="str">
        <f t="shared" si="13"/>
        <v/>
      </c>
      <c r="AN81" t="str">
        <f t="shared" si="14"/>
        <v/>
      </c>
      <c r="AQ81" t="str">
        <f t="shared" si="15"/>
        <v/>
      </c>
      <c r="AR81" t="str">
        <f t="shared" si="16"/>
        <v/>
      </c>
      <c r="AS81" t="str">
        <f t="shared" si="17"/>
        <v/>
      </c>
      <c r="AT81" t="str">
        <f t="shared" si="18"/>
        <v/>
      </c>
      <c r="BG81" t="str">
        <f t="shared" si="19"/>
        <v/>
      </c>
      <c r="BH81" t="str">
        <f t="shared" si="20"/>
        <v/>
      </c>
      <c r="BL81" t="str">
        <f>IFERROR(INDEX(_names_lookup!$C:$C,MATCH(BK81,_names_lookup!$A:$A,0)),"")</f>
        <v/>
      </c>
      <c r="BM81" t="str">
        <f>IFERROR(INDEX(_names_lookup!$B:$B,MATCH(BK81,_names_lookup!$A:$A,0)),"")</f>
        <v/>
      </c>
      <c r="BS81" t="str">
        <f t="shared" si="21"/>
        <v/>
      </c>
    </row>
    <row r="82" spans="15:71" x14ac:dyDescent="0.2">
      <c r="O82" t="str">
        <f>IFERROR(INDEX(_courses_lookup!$C:$C,MATCH(K82&amp;L82,_courses_lookup!$E:$E,0)),"")</f>
        <v/>
      </c>
      <c r="P82" t="str">
        <f>IFERROR(INDEX(_courses_lookup!$D:$D,MATCH(K82&amp;L82,_courses_lookup!$E:$E,0)),"")</f>
        <v/>
      </c>
      <c r="AG82" t="str">
        <f t="shared" si="11"/>
        <v/>
      </c>
      <c r="AI82" t="str">
        <f t="shared" si="12"/>
        <v/>
      </c>
      <c r="AL82" t="str">
        <f t="shared" si="13"/>
        <v/>
      </c>
      <c r="AN82" t="str">
        <f t="shared" si="14"/>
        <v/>
      </c>
      <c r="AQ82" t="str">
        <f t="shared" si="15"/>
        <v/>
      </c>
      <c r="AR82" t="str">
        <f t="shared" si="16"/>
        <v/>
      </c>
      <c r="AS82" t="str">
        <f t="shared" si="17"/>
        <v/>
      </c>
      <c r="AT82" t="str">
        <f t="shared" si="18"/>
        <v/>
      </c>
      <c r="BG82" t="str">
        <f t="shared" si="19"/>
        <v/>
      </c>
      <c r="BH82" t="str">
        <f t="shared" si="20"/>
        <v/>
      </c>
      <c r="BL82" t="str">
        <f>IFERROR(INDEX(_names_lookup!$C:$C,MATCH(BK82,_names_lookup!$A:$A,0)),"")</f>
        <v/>
      </c>
      <c r="BM82" t="str">
        <f>IFERROR(INDEX(_names_lookup!$B:$B,MATCH(BK82,_names_lookup!$A:$A,0)),"")</f>
        <v/>
      </c>
      <c r="BS82" t="str">
        <f t="shared" si="21"/>
        <v/>
      </c>
    </row>
    <row r="83" spans="15:71" x14ac:dyDescent="0.2">
      <c r="O83" t="str">
        <f>IFERROR(INDEX(_courses_lookup!$C:$C,MATCH(K83&amp;L83,_courses_lookup!$E:$E,0)),"")</f>
        <v/>
      </c>
      <c r="P83" t="str">
        <f>IFERROR(INDEX(_courses_lookup!$D:$D,MATCH(K83&amp;L83,_courses_lookup!$E:$E,0)),"")</f>
        <v/>
      </c>
      <c r="AG83" t="str">
        <f t="shared" si="11"/>
        <v/>
      </c>
      <c r="AI83" t="str">
        <f t="shared" si="12"/>
        <v/>
      </c>
      <c r="AL83" t="str">
        <f t="shared" si="13"/>
        <v/>
      </c>
      <c r="AN83" t="str">
        <f t="shared" si="14"/>
        <v/>
      </c>
      <c r="AQ83" t="str">
        <f t="shared" si="15"/>
        <v/>
      </c>
      <c r="AR83" t="str">
        <f t="shared" si="16"/>
        <v/>
      </c>
      <c r="AS83" t="str">
        <f t="shared" si="17"/>
        <v/>
      </c>
      <c r="AT83" t="str">
        <f t="shared" si="18"/>
        <v/>
      </c>
      <c r="BG83" t="str">
        <f t="shared" si="19"/>
        <v/>
      </c>
      <c r="BH83" t="str">
        <f t="shared" si="20"/>
        <v/>
      </c>
      <c r="BL83" t="str">
        <f>IFERROR(INDEX(_names_lookup!$C:$C,MATCH(BK83,_names_lookup!$A:$A,0)),"")</f>
        <v/>
      </c>
      <c r="BM83" t="str">
        <f>IFERROR(INDEX(_names_lookup!$B:$B,MATCH(BK83,_names_lookup!$A:$A,0)),"")</f>
        <v/>
      </c>
      <c r="BS83" t="str">
        <f t="shared" si="21"/>
        <v/>
      </c>
    </row>
    <row r="84" spans="15:71" x14ac:dyDescent="0.2">
      <c r="O84" t="str">
        <f>IFERROR(INDEX(_courses_lookup!$C:$C,MATCH(K84&amp;L84,_courses_lookup!$E:$E,0)),"")</f>
        <v/>
      </c>
      <c r="P84" t="str">
        <f>IFERROR(INDEX(_courses_lookup!$D:$D,MATCH(K84&amp;L84,_courses_lookup!$E:$E,0)),"")</f>
        <v/>
      </c>
      <c r="AG84" t="str">
        <f t="shared" si="11"/>
        <v/>
      </c>
      <c r="AI84" t="str">
        <f t="shared" si="12"/>
        <v/>
      </c>
      <c r="AL84" t="str">
        <f t="shared" si="13"/>
        <v/>
      </c>
      <c r="AN84" t="str">
        <f t="shared" si="14"/>
        <v/>
      </c>
      <c r="AQ84" t="str">
        <f t="shared" si="15"/>
        <v/>
      </c>
      <c r="AR84" t="str">
        <f t="shared" si="16"/>
        <v/>
      </c>
      <c r="AS84" t="str">
        <f t="shared" si="17"/>
        <v/>
      </c>
      <c r="AT84" t="str">
        <f t="shared" si="18"/>
        <v/>
      </c>
      <c r="BG84" t="str">
        <f t="shared" si="19"/>
        <v/>
      </c>
      <c r="BH84" t="str">
        <f t="shared" si="20"/>
        <v/>
      </c>
      <c r="BL84" t="str">
        <f>IFERROR(INDEX(_names_lookup!$C:$C,MATCH(BK84,_names_lookup!$A:$A,0)),"")</f>
        <v/>
      </c>
      <c r="BM84" t="str">
        <f>IFERROR(INDEX(_names_lookup!$B:$B,MATCH(BK84,_names_lookup!$A:$A,0)),"")</f>
        <v/>
      </c>
      <c r="BS84" t="str">
        <f t="shared" si="21"/>
        <v/>
      </c>
    </row>
    <row r="85" spans="15:71" x14ac:dyDescent="0.2">
      <c r="O85" t="str">
        <f>IFERROR(INDEX(_courses_lookup!$C:$C,MATCH(K85&amp;L85,_courses_lookup!$E:$E,0)),"")</f>
        <v/>
      </c>
      <c r="P85" t="str">
        <f>IFERROR(INDEX(_courses_lookup!$D:$D,MATCH(K85&amp;L85,_courses_lookup!$E:$E,0)),"")</f>
        <v/>
      </c>
      <c r="AG85" t="str">
        <f t="shared" si="11"/>
        <v/>
      </c>
      <c r="AI85" t="str">
        <f t="shared" si="12"/>
        <v/>
      </c>
      <c r="AL85" t="str">
        <f t="shared" si="13"/>
        <v/>
      </c>
      <c r="AN85" t="str">
        <f t="shared" si="14"/>
        <v/>
      </c>
      <c r="AQ85" t="str">
        <f t="shared" si="15"/>
        <v/>
      </c>
      <c r="AR85" t="str">
        <f t="shared" si="16"/>
        <v/>
      </c>
      <c r="AS85" t="str">
        <f t="shared" si="17"/>
        <v/>
      </c>
      <c r="AT85" t="str">
        <f t="shared" si="18"/>
        <v/>
      </c>
      <c r="BG85" t="str">
        <f t="shared" si="19"/>
        <v/>
      </c>
      <c r="BH85" t="str">
        <f t="shared" si="20"/>
        <v/>
      </c>
      <c r="BL85" t="str">
        <f>IFERROR(INDEX(_names_lookup!$C:$C,MATCH(BK85,_names_lookup!$A:$A,0)),"")</f>
        <v/>
      </c>
      <c r="BM85" t="str">
        <f>IFERROR(INDEX(_names_lookup!$B:$B,MATCH(BK85,_names_lookup!$A:$A,0)),"")</f>
        <v/>
      </c>
      <c r="BS85" t="str">
        <f t="shared" si="21"/>
        <v/>
      </c>
    </row>
    <row r="86" spans="15:71" x14ac:dyDescent="0.2">
      <c r="O86" t="str">
        <f>IFERROR(INDEX(_courses_lookup!$C:$C,MATCH(K86&amp;L86,_courses_lookup!$E:$E,0)),"")</f>
        <v/>
      </c>
      <c r="P86" t="str">
        <f>IFERROR(INDEX(_courses_lookup!$D:$D,MATCH(K86&amp;L86,_courses_lookup!$E:$E,0)),"")</f>
        <v/>
      </c>
      <c r="AG86" t="str">
        <f t="shared" si="11"/>
        <v/>
      </c>
      <c r="AI86" t="str">
        <f t="shared" si="12"/>
        <v/>
      </c>
      <c r="AL86" t="str">
        <f t="shared" si="13"/>
        <v/>
      </c>
      <c r="AN86" t="str">
        <f t="shared" si="14"/>
        <v/>
      </c>
      <c r="AQ86" t="str">
        <f t="shared" si="15"/>
        <v/>
      </c>
      <c r="AR86" t="str">
        <f t="shared" si="16"/>
        <v/>
      </c>
      <c r="AS86" t="str">
        <f t="shared" si="17"/>
        <v/>
      </c>
      <c r="AT86" t="str">
        <f t="shared" si="18"/>
        <v/>
      </c>
      <c r="BG86" t="str">
        <f t="shared" si="19"/>
        <v/>
      </c>
      <c r="BH86" t="str">
        <f t="shared" si="20"/>
        <v/>
      </c>
      <c r="BL86" t="str">
        <f>IFERROR(INDEX(_names_lookup!$C:$C,MATCH(BK86,_names_lookup!$A:$A,0)),"")</f>
        <v/>
      </c>
      <c r="BM86" t="str">
        <f>IFERROR(INDEX(_names_lookup!$B:$B,MATCH(BK86,_names_lookup!$A:$A,0)),"")</f>
        <v/>
      </c>
      <c r="BS86" t="str">
        <f t="shared" si="21"/>
        <v/>
      </c>
    </row>
    <row r="87" spans="15:71" x14ac:dyDescent="0.2">
      <c r="O87" t="str">
        <f>IFERROR(INDEX(_courses_lookup!$C:$C,MATCH(K87&amp;L87,_courses_lookup!$E:$E,0)),"")</f>
        <v/>
      </c>
      <c r="P87" t="str">
        <f>IFERROR(INDEX(_courses_lookup!$D:$D,MATCH(K87&amp;L87,_courses_lookup!$E:$E,0)),"")</f>
        <v/>
      </c>
      <c r="AG87" t="str">
        <f t="shared" si="11"/>
        <v/>
      </c>
      <c r="AI87" t="str">
        <f t="shared" si="12"/>
        <v/>
      </c>
      <c r="AL87" t="str">
        <f t="shared" si="13"/>
        <v/>
      </c>
      <c r="AN87" t="str">
        <f t="shared" si="14"/>
        <v/>
      </c>
      <c r="AQ87" t="str">
        <f t="shared" si="15"/>
        <v/>
      </c>
      <c r="AR87" t="str">
        <f t="shared" si="16"/>
        <v/>
      </c>
      <c r="AS87" t="str">
        <f t="shared" si="17"/>
        <v/>
      </c>
      <c r="AT87" t="str">
        <f t="shared" si="18"/>
        <v/>
      </c>
      <c r="BG87" t="str">
        <f t="shared" si="19"/>
        <v/>
      </c>
      <c r="BH87" t="str">
        <f t="shared" si="20"/>
        <v/>
      </c>
      <c r="BL87" t="str">
        <f>IFERROR(INDEX(_names_lookup!$C:$C,MATCH(BK87,_names_lookup!$A:$A,0)),"")</f>
        <v/>
      </c>
      <c r="BM87" t="str">
        <f>IFERROR(INDEX(_names_lookup!$B:$B,MATCH(BK87,_names_lookup!$A:$A,0)),"")</f>
        <v/>
      </c>
      <c r="BS87" t="str">
        <f t="shared" si="21"/>
        <v/>
      </c>
    </row>
    <row r="88" spans="15:71" x14ac:dyDescent="0.2">
      <c r="O88" t="str">
        <f>IFERROR(INDEX(_courses_lookup!$C:$C,MATCH(K88&amp;L88,_courses_lookup!$E:$E,0)),"")</f>
        <v/>
      </c>
      <c r="P88" t="str">
        <f>IFERROR(INDEX(_courses_lookup!$D:$D,MATCH(K88&amp;L88,_courses_lookup!$E:$E,0)),"")</f>
        <v/>
      </c>
      <c r="AG88" t="str">
        <f t="shared" si="11"/>
        <v/>
      </c>
      <c r="AI88" t="str">
        <f t="shared" si="12"/>
        <v/>
      </c>
      <c r="AL88" t="str">
        <f t="shared" si="13"/>
        <v/>
      </c>
      <c r="AN88" t="str">
        <f t="shared" si="14"/>
        <v/>
      </c>
      <c r="AQ88" t="str">
        <f t="shared" si="15"/>
        <v/>
      </c>
      <c r="AR88" t="str">
        <f t="shared" si="16"/>
        <v/>
      </c>
      <c r="AS88" t="str">
        <f t="shared" si="17"/>
        <v/>
      </c>
      <c r="AT88" t="str">
        <f t="shared" si="18"/>
        <v/>
      </c>
      <c r="BG88" t="str">
        <f t="shared" si="19"/>
        <v/>
      </c>
      <c r="BH88" t="str">
        <f t="shared" si="20"/>
        <v/>
      </c>
      <c r="BL88" t="str">
        <f>IFERROR(INDEX(_names_lookup!$C:$C,MATCH(BK88,_names_lookup!$A:$A,0)),"")</f>
        <v/>
      </c>
      <c r="BM88" t="str">
        <f>IFERROR(INDEX(_names_lookup!$B:$B,MATCH(BK88,_names_lookup!$A:$A,0)),"")</f>
        <v/>
      </c>
      <c r="BS88" t="str">
        <f t="shared" si="21"/>
        <v/>
      </c>
    </row>
    <row r="89" spans="15:71" x14ac:dyDescent="0.2">
      <c r="O89" t="str">
        <f>IFERROR(INDEX(_courses_lookup!$C:$C,MATCH(K89&amp;L89,_courses_lookup!$E:$E,0)),"")</f>
        <v/>
      </c>
      <c r="P89" t="str">
        <f>IFERROR(INDEX(_courses_lookup!$D:$D,MATCH(K89&amp;L89,_courses_lookup!$E:$E,0)),"")</f>
        <v/>
      </c>
      <c r="AG89" t="str">
        <f t="shared" si="11"/>
        <v/>
      </c>
      <c r="AI89" t="str">
        <f t="shared" si="12"/>
        <v/>
      </c>
      <c r="AL89" t="str">
        <f t="shared" si="13"/>
        <v/>
      </c>
      <c r="AN89" t="str">
        <f t="shared" si="14"/>
        <v/>
      </c>
      <c r="AQ89" t="str">
        <f t="shared" si="15"/>
        <v/>
      </c>
      <c r="AR89" t="str">
        <f t="shared" si="16"/>
        <v/>
      </c>
      <c r="AS89" t="str">
        <f t="shared" si="17"/>
        <v/>
      </c>
      <c r="AT89" t="str">
        <f t="shared" si="18"/>
        <v/>
      </c>
      <c r="BG89" t="str">
        <f t="shared" si="19"/>
        <v/>
      </c>
      <c r="BH89" t="str">
        <f t="shared" si="20"/>
        <v/>
      </c>
      <c r="BL89" t="str">
        <f>IFERROR(INDEX(_names_lookup!$C:$C,MATCH(BK89,_names_lookup!$A:$A,0)),"")</f>
        <v/>
      </c>
      <c r="BM89" t="str">
        <f>IFERROR(INDEX(_names_lookup!$B:$B,MATCH(BK89,_names_lookup!$A:$A,0)),"")</f>
        <v/>
      </c>
      <c r="BS89" t="str">
        <f t="shared" si="21"/>
        <v/>
      </c>
    </row>
    <row r="90" spans="15:71" x14ac:dyDescent="0.2">
      <c r="O90" t="str">
        <f>IFERROR(INDEX(_courses_lookup!$C:$C,MATCH(K90&amp;L90,_courses_lookup!$E:$E,0)),"")</f>
        <v/>
      </c>
      <c r="P90" t="str">
        <f>IFERROR(INDEX(_courses_lookup!$D:$D,MATCH(K90&amp;L90,_courses_lookup!$E:$E,0)),"")</f>
        <v/>
      </c>
      <c r="AG90" t="str">
        <f t="shared" si="11"/>
        <v/>
      </c>
      <c r="AI90" t="str">
        <f t="shared" si="12"/>
        <v/>
      </c>
      <c r="AL90" t="str">
        <f t="shared" si="13"/>
        <v/>
      </c>
      <c r="AN90" t="str">
        <f t="shared" si="14"/>
        <v/>
      </c>
      <c r="AQ90" t="str">
        <f t="shared" si="15"/>
        <v/>
      </c>
      <c r="AR90" t="str">
        <f t="shared" si="16"/>
        <v/>
      </c>
      <c r="AS90" t="str">
        <f t="shared" si="17"/>
        <v/>
      </c>
      <c r="AT90" t="str">
        <f t="shared" si="18"/>
        <v/>
      </c>
      <c r="BG90" t="str">
        <f t="shared" si="19"/>
        <v/>
      </c>
      <c r="BH90" t="str">
        <f t="shared" si="20"/>
        <v/>
      </c>
      <c r="BL90" t="str">
        <f>IFERROR(INDEX(_names_lookup!$C:$C,MATCH(BK90,_names_lookup!$A:$A,0)),"")</f>
        <v/>
      </c>
      <c r="BM90" t="str">
        <f>IFERROR(INDEX(_names_lookup!$B:$B,MATCH(BK90,_names_lookup!$A:$A,0)),"")</f>
        <v/>
      </c>
      <c r="BS90" t="str">
        <f t="shared" si="21"/>
        <v/>
      </c>
    </row>
    <row r="91" spans="15:71" x14ac:dyDescent="0.2">
      <c r="O91" t="str">
        <f>IFERROR(INDEX(_courses_lookup!$C:$C,MATCH(K91&amp;L91,_courses_lookup!$E:$E,0)),"")</f>
        <v/>
      </c>
      <c r="P91" t="str">
        <f>IFERROR(INDEX(_courses_lookup!$D:$D,MATCH(K91&amp;L91,_courses_lookup!$E:$E,0)),"")</f>
        <v/>
      </c>
      <c r="AG91" t="str">
        <f t="shared" si="11"/>
        <v/>
      </c>
      <c r="AI91" t="str">
        <f t="shared" si="12"/>
        <v/>
      </c>
      <c r="AL91" t="str">
        <f t="shared" si="13"/>
        <v/>
      </c>
      <c r="AN91" t="str">
        <f t="shared" si="14"/>
        <v/>
      </c>
      <c r="AQ91" t="str">
        <f t="shared" si="15"/>
        <v/>
      </c>
      <c r="AR91" t="str">
        <f t="shared" si="16"/>
        <v/>
      </c>
      <c r="AS91" t="str">
        <f t="shared" si="17"/>
        <v/>
      </c>
      <c r="AT91" t="str">
        <f t="shared" si="18"/>
        <v/>
      </c>
      <c r="BG91" t="str">
        <f t="shared" si="19"/>
        <v/>
      </c>
      <c r="BH91" t="str">
        <f t="shared" si="20"/>
        <v/>
      </c>
      <c r="BL91" t="str">
        <f>IFERROR(INDEX(_names_lookup!$C:$C,MATCH(BK91,_names_lookup!$A:$A,0)),"")</f>
        <v/>
      </c>
      <c r="BM91" t="str">
        <f>IFERROR(INDEX(_names_lookup!$B:$B,MATCH(BK91,_names_lookup!$A:$A,0)),"")</f>
        <v/>
      </c>
      <c r="BS91" t="str">
        <f t="shared" si="21"/>
        <v/>
      </c>
    </row>
    <row r="92" spans="15:71" x14ac:dyDescent="0.2">
      <c r="O92" t="str">
        <f>IFERROR(INDEX(_courses_lookup!$C:$C,MATCH(K92&amp;L92,_courses_lookup!$E:$E,0)),"")</f>
        <v/>
      </c>
      <c r="P92" t="str">
        <f>IFERROR(INDEX(_courses_lookup!$D:$D,MATCH(K92&amp;L92,_courses_lookup!$E:$E,0)),"")</f>
        <v/>
      </c>
      <c r="AG92" t="str">
        <f t="shared" si="11"/>
        <v/>
      </c>
      <c r="AI92" t="str">
        <f t="shared" si="12"/>
        <v/>
      </c>
      <c r="AL92" t="str">
        <f t="shared" si="13"/>
        <v/>
      </c>
      <c r="AN92" t="str">
        <f t="shared" si="14"/>
        <v/>
      </c>
      <c r="AQ92" t="str">
        <f t="shared" si="15"/>
        <v/>
      </c>
      <c r="AR92" t="str">
        <f t="shared" si="16"/>
        <v/>
      </c>
      <c r="AS92" t="str">
        <f t="shared" si="17"/>
        <v/>
      </c>
      <c r="AT92" t="str">
        <f t="shared" si="18"/>
        <v/>
      </c>
      <c r="BG92" t="str">
        <f t="shared" si="19"/>
        <v/>
      </c>
      <c r="BH92" t="str">
        <f t="shared" si="20"/>
        <v/>
      </c>
      <c r="BL92" t="str">
        <f>IFERROR(INDEX(_names_lookup!$C:$C,MATCH(BK92,_names_lookup!$A:$A,0)),"")</f>
        <v/>
      </c>
      <c r="BM92" t="str">
        <f>IFERROR(INDEX(_names_lookup!$B:$B,MATCH(BK92,_names_lookup!$A:$A,0)),"")</f>
        <v/>
      </c>
      <c r="BS92" t="str">
        <f t="shared" si="21"/>
        <v/>
      </c>
    </row>
    <row r="93" spans="15:71" x14ac:dyDescent="0.2">
      <c r="O93" t="str">
        <f>IFERROR(INDEX(_courses_lookup!$C:$C,MATCH(K93&amp;L93,_courses_lookup!$E:$E,0)),"")</f>
        <v/>
      </c>
      <c r="P93" t="str">
        <f>IFERROR(INDEX(_courses_lookup!$D:$D,MATCH(K93&amp;L93,_courses_lookup!$E:$E,0)),"")</f>
        <v/>
      </c>
      <c r="AG93" t="str">
        <f t="shared" si="11"/>
        <v/>
      </c>
      <c r="AI93" t="str">
        <f t="shared" si="12"/>
        <v/>
      </c>
      <c r="AL93" t="str">
        <f t="shared" si="13"/>
        <v/>
      </c>
      <c r="AN93" t="str">
        <f t="shared" si="14"/>
        <v/>
      </c>
      <c r="AQ93" t="str">
        <f t="shared" si="15"/>
        <v/>
      </c>
      <c r="AR93" t="str">
        <f t="shared" si="16"/>
        <v/>
      </c>
      <c r="AS93" t="str">
        <f t="shared" si="17"/>
        <v/>
      </c>
      <c r="AT93" t="str">
        <f t="shared" si="18"/>
        <v/>
      </c>
      <c r="BG93" t="str">
        <f t="shared" si="19"/>
        <v/>
      </c>
      <c r="BH93" t="str">
        <f t="shared" si="20"/>
        <v/>
      </c>
      <c r="BL93" t="str">
        <f>IFERROR(INDEX(_names_lookup!$C:$C,MATCH(BK93,_names_lookup!$A:$A,0)),"")</f>
        <v/>
      </c>
      <c r="BM93" t="str">
        <f>IFERROR(INDEX(_names_lookup!$B:$B,MATCH(BK93,_names_lookup!$A:$A,0)),"")</f>
        <v/>
      </c>
      <c r="BS93" t="str">
        <f t="shared" si="21"/>
        <v/>
      </c>
    </row>
    <row r="94" spans="15:71" x14ac:dyDescent="0.2">
      <c r="O94" t="str">
        <f>IFERROR(INDEX(_courses_lookup!$C:$C,MATCH(K94&amp;L94,_courses_lookup!$E:$E,0)),"")</f>
        <v/>
      </c>
      <c r="P94" t="str">
        <f>IFERROR(INDEX(_courses_lookup!$D:$D,MATCH(K94&amp;L94,_courses_lookup!$E:$E,0)),"")</f>
        <v/>
      </c>
      <c r="AG94" t="str">
        <f t="shared" si="11"/>
        <v/>
      </c>
      <c r="AI94" t="str">
        <f t="shared" si="12"/>
        <v/>
      </c>
      <c r="AL94" t="str">
        <f t="shared" si="13"/>
        <v/>
      </c>
      <c r="AN94" t="str">
        <f t="shared" si="14"/>
        <v/>
      </c>
      <c r="AQ94" t="str">
        <f t="shared" si="15"/>
        <v/>
      </c>
      <c r="AR94" t="str">
        <f t="shared" si="16"/>
        <v/>
      </c>
      <c r="AS94" t="str">
        <f t="shared" si="17"/>
        <v/>
      </c>
      <c r="AT94" t="str">
        <f t="shared" si="18"/>
        <v/>
      </c>
      <c r="BG94" t="str">
        <f t="shared" si="19"/>
        <v/>
      </c>
      <c r="BH94" t="str">
        <f t="shared" si="20"/>
        <v/>
      </c>
      <c r="BL94" t="str">
        <f>IFERROR(INDEX(_names_lookup!$C:$C,MATCH(BK94,_names_lookup!$A:$A,0)),"")</f>
        <v/>
      </c>
      <c r="BM94" t="str">
        <f>IFERROR(INDEX(_names_lookup!$B:$B,MATCH(BK94,_names_lookup!$A:$A,0)),"")</f>
        <v/>
      </c>
      <c r="BS94" t="str">
        <f t="shared" si="21"/>
        <v/>
      </c>
    </row>
    <row r="95" spans="15:71" x14ac:dyDescent="0.2">
      <c r="O95" t="str">
        <f>IFERROR(INDEX(_courses_lookup!$C:$C,MATCH(K95&amp;L95,_courses_lookup!$E:$E,0)),"")</f>
        <v/>
      </c>
      <c r="P95" t="str">
        <f>IFERROR(INDEX(_courses_lookup!$D:$D,MATCH(K95&amp;L95,_courses_lookup!$E:$E,0)),"")</f>
        <v/>
      </c>
      <c r="AG95" t="str">
        <f t="shared" si="11"/>
        <v/>
      </c>
      <c r="AI95" t="str">
        <f t="shared" si="12"/>
        <v/>
      </c>
      <c r="AL95" t="str">
        <f t="shared" si="13"/>
        <v/>
      </c>
      <c r="AN95" t="str">
        <f t="shared" si="14"/>
        <v/>
      </c>
      <c r="AQ95" t="str">
        <f t="shared" si="15"/>
        <v/>
      </c>
      <c r="AR95" t="str">
        <f t="shared" si="16"/>
        <v/>
      </c>
      <c r="AS95" t="str">
        <f t="shared" si="17"/>
        <v/>
      </c>
      <c r="AT95" t="str">
        <f t="shared" si="18"/>
        <v/>
      </c>
      <c r="BG95" t="str">
        <f t="shared" si="19"/>
        <v/>
      </c>
      <c r="BH95" t="str">
        <f t="shared" si="20"/>
        <v/>
      </c>
      <c r="BL95" t="str">
        <f>IFERROR(INDEX(_names_lookup!$C:$C,MATCH(BK95,_names_lookup!$A:$A,0)),"")</f>
        <v/>
      </c>
      <c r="BM95" t="str">
        <f>IFERROR(INDEX(_names_lookup!$B:$B,MATCH(BK95,_names_lookup!$A:$A,0)),"")</f>
        <v/>
      </c>
      <c r="BS95" t="str">
        <f t="shared" si="21"/>
        <v/>
      </c>
    </row>
    <row r="96" spans="15:71" x14ac:dyDescent="0.2">
      <c r="O96" t="str">
        <f>IFERROR(INDEX(_courses_lookup!$C:$C,MATCH(K96&amp;L96,_courses_lookup!$E:$E,0)),"")</f>
        <v/>
      </c>
      <c r="P96" t="str">
        <f>IFERROR(INDEX(_courses_lookup!$D:$D,MATCH(K96&amp;L96,_courses_lookup!$E:$E,0)),"")</f>
        <v/>
      </c>
      <c r="AG96" t="str">
        <f t="shared" si="11"/>
        <v/>
      </c>
      <c r="AI96" t="str">
        <f t="shared" si="12"/>
        <v/>
      </c>
      <c r="AL96" t="str">
        <f t="shared" si="13"/>
        <v/>
      </c>
      <c r="AN96" t="str">
        <f t="shared" si="14"/>
        <v/>
      </c>
      <c r="AQ96" t="str">
        <f t="shared" si="15"/>
        <v/>
      </c>
      <c r="AR96" t="str">
        <f t="shared" si="16"/>
        <v/>
      </c>
      <c r="AS96" t="str">
        <f t="shared" si="17"/>
        <v/>
      </c>
      <c r="AT96" t="str">
        <f t="shared" si="18"/>
        <v/>
      </c>
      <c r="BG96" t="str">
        <f t="shared" si="19"/>
        <v/>
      </c>
      <c r="BH96" t="str">
        <f t="shared" si="20"/>
        <v/>
      </c>
      <c r="BL96" t="str">
        <f>IFERROR(INDEX(_names_lookup!$C:$C,MATCH(BK96,_names_lookup!$A:$A,0)),"")</f>
        <v/>
      </c>
      <c r="BM96" t="str">
        <f>IFERROR(INDEX(_names_lookup!$B:$B,MATCH(BK96,_names_lookup!$A:$A,0)),"")</f>
        <v/>
      </c>
      <c r="BS96" t="str">
        <f t="shared" si="21"/>
        <v/>
      </c>
    </row>
    <row r="97" spans="15:71" x14ac:dyDescent="0.2">
      <c r="O97" t="str">
        <f>IFERROR(INDEX(_courses_lookup!$C:$C,MATCH(K97&amp;L97,_courses_lookup!$E:$E,0)),"")</f>
        <v/>
      </c>
      <c r="P97" t="str">
        <f>IFERROR(INDEX(_courses_lookup!$D:$D,MATCH(K97&amp;L97,_courses_lookup!$E:$E,0)),"")</f>
        <v/>
      </c>
      <c r="AG97" t="str">
        <f t="shared" si="11"/>
        <v/>
      </c>
      <c r="AI97" t="str">
        <f t="shared" si="12"/>
        <v/>
      </c>
      <c r="AL97" t="str">
        <f t="shared" si="13"/>
        <v/>
      </c>
      <c r="AN97" t="str">
        <f t="shared" si="14"/>
        <v/>
      </c>
      <c r="AQ97" t="str">
        <f t="shared" si="15"/>
        <v/>
      </c>
      <c r="AR97" t="str">
        <f t="shared" si="16"/>
        <v/>
      </c>
      <c r="AS97" t="str">
        <f t="shared" si="17"/>
        <v/>
      </c>
      <c r="AT97" t="str">
        <f t="shared" si="18"/>
        <v/>
      </c>
      <c r="BG97" t="str">
        <f t="shared" si="19"/>
        <v/>
      </c>
      <c r="BH97" t="str">
        <f t="shared" si="20"/>
        <v/>
      </c>
      <c r="BL97" t="str">
        <f>IFERROR(INDEX(_names_lookup!$C:$C,MATCH(BK97,_names_lookup!$A:$A,0)),"")</f>
        <v/>
      </c>
      <c r="BM97" t="str">
        <f>IFERROR(INDEX(_names_lookup!$B:$B,MATCH(BK97,_names_lookup!$A:$A,0)),"")</f>
        <v/>
      </c>
      <c r="BS97" t="str">
        <f t="shared" si="21"/>
        <v/>
      </c>
    </row>
    <row r="98" spans="15:71" x14ac:dyDescent="0.2">
      <c r="O98" t="str">
        <f>IFERROR(INDEX(_courses_lookup!$C:$C,MATCH(K98&amp;L98,_courses_lookup!$E:$E,0)),"")</f>
        <v/>
      </c>
      <c r="P98" t="str">
        <f>IFERROR(INDEX(_courses_lookup!$D:$D,MATCH(K98&amp;L98,_courses_lookup!$E:$E,0)),"")</f>
        <v/>
      </c>
      <c r="AG98" t="str">
        <f t="shared" si="11"/>
        <v/>
      </c>
      <c r="AI98" t="str">
        <f t="shared" si="12"/>
        <v/>
      </c>
      <c r="AL98" t="str">
        <f t="shared" si="13"/>
        <v/>
      </c>
      <c r="AN98" t="str">
        <f t="shared" si="14"/>
        <v/>
      </c>
      <c r="AQ98" t="str">
        <f t="shared" si="15"/>
        <v/>
      </c>
      <c r="AR98" t="str">
        <f t="shared" si="16"/>
        <v/>
      </c>
      <c r="AS98" t="str">
        <f t="shared" si="17"/>
        <v/>
      </c>
      <c r="AT98" t="str">
        <f t="shared" si="18"/>
        <v/>
      </c>
      <c r="BG98" t="str">
        <f t="shared" si="19"/>
        <v/>
      </c>
      <c r="BH98" t="str">
        <f t="shared" si="20"/>
        <v/>
      </c>
      <c r="BL98" t="str">
        <f>IFERROR(INDEX(_names_lookup!$C:$C,MATCH(BK98,_names_lookup!$A:$A,0)),"")</f>
        <v/>
      </c>
      <c r="BM98" t="str">
        <f>IFERROR(INDEX(_names_lookup!$B:$B,MATCH(BK98,_names_lookup!$A:$A,0)),"")</f>
        <v/>
      </c>
      <c r="BS98" t="str">
        <f t="shared" si="21"/>
        <v/>
      </c>
    </row>
    <row r="99" spans="15:71" x14ac:dyDescent="0.2">
      <c r="O99" t="str">
        <f>IFERROR(INDEX(_courses_lookup!$C:$C,MATCH(K99&amp;L99,_courses_lookup!$E:$E,0)),"")</f>
        <v/>
      </c>
      <c r="P99" t="str">
        <f>IFERROR(INDEX(_courses_lookup!$D:$D,MATCH(K99&amp;L99,_courses_lookup!$E:$E,0)),"")</f>
        <v/>
      </c>
      <c r="AG99" t="str">
        <f t="shared" si="11"/>
        <v/>
      </c>
      <c r="AI99" t="str">
        <f t="shared" si="12"/>
        <v/>
      </c>
      <c r="AL99" t="str">
        <f t="shared" si="13"/>
        <v/>
      </c>
      <c r="AN99" t="str">
        <f t="shared" si="14"/>
        <v/>
      </c>
      <c r="AQ99" t="str">
        <f t="shared" si="15"/>
        <v/>
      </c>
      <c r="AR99" t="str">
        <f t="shared" si="16"/>
        <v/>
      </c>
      <c r="AS99" t="str">
        <f t="shared" si="17"/>
        <v/>
      </c>
      <c r="AT99" t="str">
        <f t="shared" si="18"/>
        <v/>
      </c>
      <c r="BG99" t="str">
        <f t="shared" si="19"/>
        <v/>
      </c>
      <c r="BH99" t="str">
        <f t="shared" si="20"/>
        <v/>
      </c>
      <c r="BL99" t="str">
        <f>IFERROR(INDEX(_names_lookup!$C:$C,MATCH(BK99,_names_lookup!$A:$A,0)),"")</f>
        <v/>
      </c>
      <c r="BM99" t="str">
        <f>IFERROR(INDEX(_names_lookup!$B:$B,MATCH(BK99,_names_lookup!$A:$A,0)),"")</f>
        <v/>
      </c>
      <c r="BS99" t="str">
        <f t="shared" si="21"/>
        <v/>
      </c>
    </row>
    <row r="100" spans="15:71" x14ac:dyDescent="0.2">
      <c r="O100" t="str">
        <f>IFERROR(INDEX(_courses_lookup!$C:$C,MATCH(K100&amp;L100,_courses_lookup!$E:$E,0)),"")</f>
        <v/>
      </c>
      <c r="P100" t="str">
        <f>IFERROR(INDEX(_courses_lookup!$D:$D,MATCH(K100&amp;L100,_courses_lookup!$E:$E,0)),"")</f>
        <v/>
      </c>
      <c r="AG100" t="str">
        <f t="shared" si="11"/>
        <v/>
      </c>
      <c r="AI100" t="str">
        <f t="shared" si="12"/>
        <v/>
      </c>
      <c r="AL100" t="str">
        <f t="shared" si="13"/>
        <v/>
      </c>
      <c r="AN100" t="str">
        <f t="shared" si="14"/>
        <v/>
      </c>
      <c r="AQ100" t="str">
        <f t="shared" si="15"/>
        <v/>
      </c>
      <c r="AR100" t="str">
        <f t="shared" si="16"/>
        <v/>
      </c>
      <c r="AS100" t="str">
        <f t="shared" si="17"/>
        <v/>
      </c>
      <c r="AT100" t="str">
        <f t="shared" si="18"/>
        <v/>
      </c>
      <c r="BG100" t="str">
        <f t="shared" si="19"/>
        <v/>
      </c>
      <c r="BH100" t="str">
        <f t="shared" si="20"/>
        <v/>
      </c>
      <c r="BL100" t="str">
        <f>IFERROR(INDEX(_names_lookup!$C:$C,MATCH(BK100,_names_lookup!$A:$A,0)),"")</f>
        <v/>
      </c>
      <c r="BM100" t="str">
        <f>IFERROR(INDEX(_names_lookup!$B:$B,MATCH(BK100,_names_lookup!$A:$A,0)),"")</f>
        <v/>
      </c>
      <c r="BS100" t="str">
        <f t="shared" si="21"/>
        <v/>
      </c>
    </row>
    <row r="101" spans="15:71" x14ac:dyDescent="0.2">
      <c r="O101" t="str">
        <f>IFERROR(INDEX(_courses_lookup!$C:$C,MATCH(K101&amp;L101,_courses_lookup!$E:$E,0)),"")</f>
        <v/>
      </c>
      <c r="P101" t="str">
        <f>IFERROR(INDEX(_courses_lookup!$D:$D,MATCH(K101&amp;L101,_courses_lookup!$E:$E,0)),"")</f>
        <v/>
      </c>
      <c r="AG101" t="str">
        <f t="shared" si="11"/>
        <v/>
      </c>
      <c r="AI101" t="str">
        <f t="shared" si="12"/>
        <v/>
      </c>
      <c r="AL101" t="str">
        <f t="shared" si="13"/>
        <v/>
      </c>
      <c r="AN101" t="str">
        <f t="shared" si="14"/>
        <v/>
      </c>
      <c r="AQ101" t="str">
        <f t="shared" si="15"/>
        <v/>
      </c>
      <c r="AR101" t="str">
        <f t="shared" si="16"/>
        <v/>
      </c>
      <c r="AS101" t="str">
        <f t="shared" si="17"/>
        <v/>
      </c>
      <c r="AT101" t="str">
        <f t="shared" si="18"/>
        <v/>
      </c>
      <c r="BG101" t="str">
        <f t="shared" si="19"/>
        <v/>
      </c>
      <c r="BH101" t="str">
        <f t="shared" si="20"/>
        <v/>
      </c>
      <c r="BL101" t="str">
        <f>IFERROR(INDEX(_names_lookup!$C:$C,MATCH(BK101,_names_lookup!$A:$A,0)),"")</f>
        <v/>
      </c>
      <c r="BM101" t="str">
        <f>IFERROR(INDEX(_names_lookup!$B:$B,MATCH(BK101,_names_lookup!$A:$A,0)),"")</f>
        <v/>
      </c>
      <c r="BS101" t="str">
        <f t="shared" si="21"/>
        <v/>
      </c>
    </row>
    <row r="102" spans="15:71" x14ac:dyDescent="0.2">
      <c r="O102" t="str">
        <f>IFERROR(INDEX(_courses_lookup!$C:$C,MATCH(K102&amp;L102,_courses_lookup!$E:$E,0)),"")</f>
        <v/>
      </c>
      <c r="P102" t="str">
        <f>IFERROR(INDEX(_courses_lookup!$D:$D,MATCH(K102&amp;L102,_courses_lookup!$E:$E,0)),"")</f>
        <v/>
      </c>
      <c r="AG102" t="str">
        <f t="shared" si="11"/>
        <v/>
      </c>
      <c r="AI102" t="str">
        <f t="shared" si="12"/>
        <v/>
      </c>
      <c r="AL102" t="str">
        <f t="shared" si="13"/>
        <v/>
      </c>
      <c r="AN102" t="str">
        <f t="shared" si="14"/>
        <v/>
      </c>
      <c r="AQ102" t="str">
        <f t="shared" si="15"/>
        <v/>
      </c>
      <c r="AR102" t="str">
        <f t="shared" si="16"/>
        <v/>
      </c>
      <c r="AS102" t="str">
        <f t="shared" si="17"/>
        <v/>
      </c>
      <c r="AT102" t="str">
        <f t="shared" si="18"/>
        <v/>
      </c>
      <c r="BG102" t="str">
        <f t="shared" si="19"/>
        <v/>
      </c>
      <c r="BH102" t="str">
        <f t="shared" si="20"/>
        <v/>
      </c>
      <c r="BL102" t="str">
        <f>IFERROR(INDEX(_names_lookup!$C:$C,MATCH(BK102,_names_lookup!$A:$A,0)),"")</f>
        <v/>
      </c>
      <c r="BM102" t="str">
        <f>IFERROR(INDEX(_names_lookup!$B:$B,MATCH(BK102,_names_lookup!$A:$A,0)),"")</f>
        <v/>
      </c>
      <c r="BS102" t="str">
        <f t="shared" si="21"/>
        <v/>
      </c>
    </row>
    <row r="103" spans="15:71" x14ac:dyDescent="0.2">
      <c r="O103" t="str">
        <f>IFERROR(INDEX(_courses_lookup!$C:$C,MATCH(K103&amp;L103,_courses_lookup!$E:$E,0)),"")</f>
        <v/>
      </c>
      <c r="P103" t="str">
        <f>IFERROR(INDEX(_courses_lookup!$D:$D,MATCH(K103&amp;L103,_courses_lookup!$E:$E,0)),"")</f>
        <v/>
      </c>
      <c r="AG103" t="str">
        <f t="shared" si="11"/>
        <v/>
      </c>
      <c r="AI103" t="str">
        <f t="shared" si="12"/>
        <v/>
      </c>
      <c r="AL103" t="str">
        <f t="shared" si="13"/>
        <v/>
      </c>
      <c r="AN103" t="str">
        <f t="shared" si="14"/>
        <v/>
      </c>
      <c r="AQ103" t="str">
        <f t="shared" si="15"/>
        <v/>
      </c>
      <c r="AR103" t="str">
        <f t="shared" si="16"/>
        <v/>
      </c>
      <c r="AS103" t="str">
        <f t="shared" si="17"/>
        <v/>
      </c>
      <c r="AT103" t="str">
        <f t="shared" si="18"/>
        <v/>
      </c>
      <c r="BG103" t="str">
        <f t="shared" si="19"/>
        <v/>
      </c>
      <c r="BH103" t="str">
        <f t="shared" si="20"/>
        <v/>
      </c>
      <c r="BL103" t="str">
        <f>IFERROR(INDEX(_names_lookup!$C:$C,MATCH(BK103,_names_lookup!$A:$A,0)),"")</f>
        <v/>
      </c>
      <c r="BM103" t="str">
        <f>IFERROR(INDEX(_names_lookup!$B:$B,MATCH(BK103,_names_lookup!$A:$A,0)),"")</f>
        <v/>
      </c>
      <c r="BS103" t="str">
        <f t="shared" si="21"/>
        <v/>
      </c>
    </row>
    <row r="104" spans="15:71" x14ac:dyDescent="0.2">
      <c r="O104" t="str">
        <f>IFERROR(INDEX(_courses_lookup!$C:$C,MATCH(K104&amp;L104,_courses_lookup!$E:$E,0)),"")</f>
        <v/>
      </c>
      <c r="P104" t="str">
        <f>IFERROR(INDEX(_courses_lookup!$D:$D,MATCH(K104&amp;L104,_courses_lookup!$E:$E,0)),"")</f>
        <v/>
      </c>
      <c r="AG104" t="str">
        <f t="shared" si="11"/>
        <v/>
      </c>
      <c r="AI104" t="str">
        <f t="shared" si="12"/>
        <v/>
      </c>
      <c r="AL104" t="str">
        <f t="shared" si="13"/>
        <v/>
      </c>
      <c r="AN104" t="str">
        <f t="shared" si="14"/>
        <v/>
      </c>
      <c r="AQ104" t="str">
        <f t="shared" si="15"/>
        <v/>
      </c>
      <c r="AR104" t="str">
        <f t="shared" si="16"/>
        <v/>
      </c>
      <c r="AS104" t="str">
        <f t="shared" si="17"/>
        <v/>
      </c>
      <c r="AT104" t="str">
        <f t="shared" si="18"/>
        <v/>
      </c>
      <c r="BG104" t="str">
        <f t="shared" si="19"/>
        <v/>
      </c>
      <c r="BH104" t="str">
        <f t="shared" si="20"/>
        <v/>
      </c>
      <c r="BL104" t="str">
        <f>IFERROR(INDEX(_names_lookup!$C:$C,MATCH(BK104,_names_lookup!$A:$A,0)),"")</f>
        <v/>
      </c>
      <c r="BM104" t="str">
        <f>IFERROR(INDEX(_names_lookup!$B:$B,MATCH(BK104,_names_lookup!$A:$A,0)),"")</f>
        <v/>
      </c>
      <c r="BS104" t="str">
        <f t="shared" si="21"/>
        <v/>
      </c>
    </row>
    <row r="105" spans="15:71" x14ac:dyDescent="0.2">
      <c r="O105" t="str">
        <f>IFERROR(INDEX(_courses_lookup!$C:$C,MATCH(K105&amp;L105,_courses_lookup!$E:$E,0)),"")</f>
        <v/>
      </c>
      <c r="P105" t="str">
        <f>IFERROR(INDEX(_courses_lookup!$D:$D,MATCH(K105&amp;L105,_courses_lookup!$E:$E,0)),"")</f>
        <v/>
      </c>
      <c r="AG105" t="str">
        <f t="shared" si="11"/>
        <v/>
      </c>
      <c r="AI105" t="str">
        <f t="shared" si="12"/>
        <v/>
      </c>
      <c r="AL105" t="str">
        <f t="shared" si="13"/>
        <v/>
      </c>
      <c r="AN105" t="str">
        <f t="shared" si="14"/>
        <v/>
      </c>
      <c r="AQ105" t="str">
        <f t="shared" si="15"/>
        <v/>
      </c>
      <c r="AR105" t="str">
        <f t="shared" si="16"/>
        <v/>
      </c>
      <c r="AS105" t="str">
        <f t="shared" si="17"/>
        <v/>
      </c>
      <c r="AT105" t="str">
        <f t="shared" si="18"/>
        <v/>
      </c>
      <c r="BG105" t="str">
        <f t="shared" si="19"/>
        <v/>
      </c>
      <c r="BH105" t="str">
        <f t="shared" si="20"/>
        <v/>
      </c>
      <c r="BL105" t="str">
        <f>IFERROR(INDEX(_names_lookup!$C:$C,MATCH(BK105,_names_lookup!$A:$A,0)),"")</f>
        <v/>
      </c>
      <c r="BM105" t="str">
        <f>IFERROR(INDEX(_names_lookup!$B:$B,MATCH(BK105,_names_lookup!$A:$A,0)),"")</f>
        <v/>
      </c>
      <c r="BS105" t="str">
        <f t="shared" si="21"/>
        <v/>
      </c>
    </row>
    <row r="106" spans="15:71" x14ac:dyDescent="0.2">
      <c r="O106" t="str">
        <f>IFERROR(INDEX(_courses_lookup!$C:$C,MATCH(K106&amp;L106,_courses_lookup!$E:$E,0)),"")</f>
        <v/>
      </c>
      <c r="P106" t="str">
        <f>IFERROR(INDEX(_courses_lookup!$D:$D,MATCH(K106&amp;L106,_courses_lookup!$E:$E,0)),"")</f>
        <v/>
      </c>
      <c r="AG106" t="str">
        <f t="shared" si="11"/>
        <v/>
      </c>
      <c r="AI106" t="str">
        <f t="shared" si="12"/>
        <v/>
      </c>
      <c r="AL106" t="str">
        <f t="shared" si="13"/>
        <v/>
      </c>
      <c r="AN106" t="str">
        <f t="shared" si="14"/>
        <v/>
      </c>
      <c r="AQ106" t="str">
        <f t="shared" si="15"/>
        <v/>
      </c>
      <c r="AR106" t="str">
        <f t="shared" si="16"/>
        <v/>
      </c>
      <c r="AS106" t="str">
        <f t="shared" si="17"/>
        <v/>
      </c>
      <c r="AT106" t="str">
        <f t="shared" si="18"/>
        <v/>
      </c>
      <c r="BG106" t="str">
        <f t="shared" si="19"/>
        <v/>
      </c>
      <c r="BH106" t="str">
        <f t="shared" si="20"/>
        <v/>
      </c>
      <c r="BL106" t="str">
        <f>IFERROR(INDEX(_names_lookup!$C:$C,MATCH(BK106,_names_lookup!$A:$A,0)),"")</f>
        <v/>
      </c>
      <c r="BM106" t="str">
        <f>IFERROR(INDEX(_names_lookup!$B:$B,MATCH(BK106,_names_lookup!$A:$A,0)),"")</f>
        <v/>
      </c>
      <c r="BS106" t="str">
        <f t="shared" si="21"/>
        <v/>
      </c>
    </row>
    <row r="107" spans="15:71" x14ac:dyDescent="0.2">
      <c r="O107" t="str">
        <f>IFERROR(INDEX(_courses_lookup!$C:$C,MATCH(K107&amp;L107,_courses_lookup!$E:$E,0)),"")</f>
        <v/>
      </c>
      <c r="P107" t="str">
        <f>IFERROR(INDEX(_courses_lookup!$D:$D,MATCH(K107&amp;L107,_courses_lookup!$E:$E,0)),"")</f>
        <v/>
      </c>
      <c r="AG107" t="str">
        <f t="shared" si="11"/>
        <v/>
      </c>
      <c r="AI107" t="str">
        <f t="shared" si="12"/>
        <v/>
      </c>
      <c r="AL107" t="str">
        <f t="shared" si="13"/>
        <v/>
      </c>
      <c r="AN107" t="str">
        <f t="shared" si="14"/>
        <v/>
      </c>
      <c r="AQ107" t="str">
        <f t="shared" si="15"/>
        <v/>
      </c>
      <c r="AR107" t="str">
        <f t="shared" si="16"/>
        <v/>
      </c>
      <c r="AS107" t="str">
        <f t="shared" si="17"/>
        <v/>
      </c>
      <c r="AT107" t="str">
        <f t="shared" si="18"/>
        <v/>
      </c>
      <c r="BG107" t="str">
        <f t="shared" si="19"/>
        <v/>
      </c>
      <c r="BH107" t="str">
        <f t="shared" si="20"/>
        <v/>
      </c>
      <c r="BL107" t="str">
        <f>IFERROR(INDEX(_names_lookup!$C:$C,MATCH(BK107,_names_lookup!$A:$A,0)),"")</f>
        <v/>
      </c>
      <c r="BM107" t="str">
        <f>IFERROR(INDEX(_names_lookup!$B:$B,MATCH(BK107,_names_lookup!$A:$A,0)),"")</f>
        <v/>
      </c>
      <c r="BS107" t="str">
        <f t="shared" si="21"/>
        <v/>
      </c>
    </row>
    <row r="108" spans="15:71" x14ac:dyDescent="0.2">
      <c r="O108" t="str">
        <f>IFERROR(INDEX(_courses_lookup!$C:$C,MATCH(K108&amp;L108,_courses_lookup!$E:$E,0)),"")</f>
        <v/>
      </c>
      <c r="P108" t="str">
        <f>IFERROR(INDEX(_courses_lookup!$D:$D,MATCH(K108&amp;L108,_courses_lookup!$E:$E,0)),"")</f>
        <v/>
      </c>
      <c r="AG108" t="str">
        <f t="shared" si="11"/>
        <v/>
      </c>
      <c r="AI108" t="str">
        <f t="shared" si="12"/>
        <v/>
      </c>
      <c r="AL108" t="str">
        <f t="shared" si="13"/>
        <v/>
      </c>
      <c r="AN108" t="str">
        <f t="shared" si="14"/>
        <v/>
      </c>
      <c r="AQ108" t="str">
        <f t="shared" si="15"/>
        <v/>
      </c>
      <c r="AR108" t="str">
        <f t="shared" si="16"/>
        <v/>
      </c>
      <c r="AS108" t="str">
        <f t="shared" si="17"/>
        <v/>
      </c>
      <c r="AT108" t="str">
        <f t="shared" si="18"/>
        <v/>
      </c>
      <c r="BG108" t="str">
        <f t="shared" si="19"/>
        <v/>
      </c>
      <c r="BH108" t="str">
        <f t="shared" si="20"/>
        <v/>
      </c>
      <c r="BL108" t="str">
        <f>IFERROR(INDEX(_names_lookup!$C:$C,MATCH(BK108,_names_lookup!$A:$A,0)),"")</f>
        <v/>
      </c>
      <c r="BM108" t="str">
        <f>IFERROR(INDEX(_names_lookup!$B:$B,MATCH(BK108,_names_lookup!$A:$A,0)),"")</f>
        <v/>
      </c>
      <c r="BS108" t="str">
        <f t="shared" si="21"/>
        <v/>
      </c>
    </row>
    <row r="109" spans="15:71" x14ac:dyDescent="0.2">
      <c r="O109" t="str">
        <f>IFERROR(INDEX(_courses_lookup!$C:$C,MATCH(K109&amp;L109,_courses_lookup!$E:$E,0)),"")</f>
        <v/>
      </c>
      <c r="P109" t="str">
        <f>IFERROR(INDEX(_courses_lookup!$D:$D,MATCH(K109&amp;L109,_courses_lookup!$E:$E,0)),"")</f>
        <v/>
      </c>
      <c r="AG109" t="str">
        <f t="shared" si="11"/>
        <v/>
      </c>
      <c r="AI109" t="str">
        <f t="shared" si="12"/>
        <v/>
      </c>
      <c r="AL109" t="str">
        <f t="shared" si="13"/>
        <v/>
      </c>
      <c r="AN109" t="str">
        <f t="shared" si="14"/>
        <v/>
      </c>
      <c r="AQ109" t="str">
        <f t="shared" si="15"/>
        <v/>
      </c>
      <c r="AR109" t="str">
        <f t="shared" si="16"/>
        <v/>
      </c>
      <c r="AS109" t="str">
        <f t="shared" si="17"/>
        <v/>
      </c>
      <c r="AT109" t="str">
        <f t="shared" si="18"/>
        <v/>
      </c>
      <c r="BG109" t="str">
        <f t="shared" si="19"/>
        <v/>
      </c>
      <c r="BH109" t="str">
        <f t="shared" si="20"/>
        <v/>
      </c>
      <c r="BL109" t="str">
        <f>IFERROR(INDEX(_names_lookup!$C:$C,MATCH(BK109,_names_lookup!$A:$A,0)),"")</f>
        <v/>
      </c>
      <c r="BM109" t="str">
        <f>IFERROR(INDEX(_names_lookup!$B:$B,MATCH(BK109,_names_lookup!$A:$A,0)),"")</f>
        <v/>
      </c>
      <c r="BS109" t="str">
        <f t="shared" si="21"/>
        <v/>
      </c>
    </row>
    <row r="110" spans="15:71" x14ac:dyDescent="0.2">
      <c r="O110" t="str">
        <f>IFERROR(INDEX(_courses_lookup!$C:$C,MATCH(K110&amp;L110,_courses_lookup!$E:$E,0)),"")</f>
        <v/>
      </c>
      <c r="P110" t="str">
        <f>IFERROR(INDEX(_courses_lookup!$D:$D,MATCH(K110&amp;L110,_courses_lookup!$E:$E,0)),"")</f>
        <v/>
      </c>
      <c r="AG110" t="str">
        <f t="shared" si="11"/>
        <v/>
      </c>
      <c r="AI110" t="str">
        <f t="shared" si="12"/>
        <v/>
      </c>
      <c r="AL110" t="str">
        <f t="shared" si="13"/>
        <v/>
      </c>
      <c r="AN110" t="str">
        <f t="shared" si="14"/>
        <v/>
      </c>
      <c r="AQ110" t="str">
        <f t="shared" si="15"/>
        <v/>
      </c>
      <c r="AR110" t="str">
        <f t="shared" si="16"/>
        <v/>
      </c>
      <c r="AS110" t="str">
        <f t="shared" si="17"/>
        <v/>
      </c>
      <c r="AT110" t="str">
        <f t="shared" si="18"/>
        <v/>
      </c>
      <c r="BG110" t="str">
        <f t="shared" si="19"/>
        <v/>
      </c>
      <c r="BH110" t="str">
        <f t="shared" si="20"/>
        <v/>
      </c>
      <c r="BL110" t="str">
        <f>IFERROR(INDEX(_names_lookup!$C:$C,MATCH(BK110,_names_lookup!$A:$A,0)),"")</f>
        <v/>
      </c>
      <c r="BM110" t="str">
        <f>IFERROR(INDEX(_names_lookup!$B:$B,MATCH(BK110,_names_lookup!$A:$A,0)),"")</f>
        <v/>
      </c>
      <c r="BS110" t="str">
        <f t="shared" si="21"/>
        <v/>
      </c>
    </row>
    <row r="111" spans="15:71" x14ac:dyDescent="0.2">
      <c r="O111" t="str">
        <f>IFERROR(INDEX(_courses_lookup!$C:$C,MATCH(K111&amp;L111,_courses_lookup!$E:$E,0)),"")</f>
        <v/>
      </c>
      <c r="P111" t="str">
        <f>IFERROR(INDEX(_courses_lookup!$D:$D,MATCH(K111&amp;L111,_courses_lookup!$E:$E,0)),"")</f>
        <v/>
      </c>
      <c r="AG111" t="str">
        <f t="shared" si="11"/>
        <v/>
      </c>
      <c r="AI111" t="str">
        <f t="shared" si="12"/>
        <v/>
      </c>
      <c r="AL111" t="str">
        <f t="shared" si="13"/>
        <v/>
      </c>
      <c r="AN111" t="str">
        <f t="shared" si="14"/>
        <v/>
      </c>
      <c r="AQ111" t="str">
        <f t="shared" si="15"/>
        <v/>
      </c>
      <c r="AR111" t="str">
        <f t="shared" si="16"/>
        <v/>
      </c>
      <c r="AS111" t="str">
        <f t="shared" si="17"/>
        <v/>
      </c>
      <c r="AT111" t="str">
        <f t="shared" si="18"/>
        <v/>
      </c>
      <c r="BG111" t="str">
        <f t="shared" si="19"/>
        <v/>
      </c>
      <c r="BH111" t="str">
        <f t="shared" si="20"/>
        <v/>
      </c>
      <c r="BL111" t="str">
        <f>IFERROR(INDEX(_names_lookup!$C:$C,MATCH(BK111,_names_lookup!$A:$A,0)),"")</f>
        <v/>
      </c>
      <c r="BM111" t="str">
        <f>IFERROR(INDEX(_names_lookup!$B:$B,MATCH(BK111,_names_lookup!$A:$A,0)),"")</f>
        <v/>
      </c>
      <c r="BS111" t="str">
        <f t="shared" si="21"/>
        <v/>
      </c>
    </row>
    <row r="112" spans="15:71" x14ac:dyDescent="0.2">
      <c r="O112" t="str">
        <f>IFERROR(INDEX(_courses_lookup!$C:$C,MATCH(K112&amp;L112,_courses_lookup!$E:$E,0)),"")</f>
        <v/>
      </c>
      <c r="P112" t="str">
        <f>IFERROR(INDEX(_courses_lookup!$D:$D,MATCH(K112&amp;L112,_courses_lookup!$E:$E,0)),"")</f>
        <v/>
      </c>
      <c r="AG112" t="str">
        <f t="shared" si="11"/>
        <v/>
      </c>
      <c r="AI112" t="str">
        <f t="shared" si="12"/>
        <v/>
      </c>
      <c r="AL112" t="str">
        <f t="shared" si="13"/>
        <v/>
      </c>
      <c r="AN112" t="str">
        <f t="shared" si="14"/>
        <v/>
      </c>
      <c r="AQ112" t="str">
        <f t="shared" si="15"/>
        <v/>
      </c>
      <c r="AR112" t="str">
        <f t="shared" si="16"/>
        <v/>
      </c>
      <c r="AS112" t="str">
        <f t="shared" si="17"/>
        <v/>
      </c>
      <c r="AT112" t="str">
        <f t="shared" si="18"/>
        <v/>
      </c>
      <c r="BG112" t="str">
        <f t="shared" si="19"/>
        <v/>
      </c>
      <c r="BH112" t="str">
        <f t="shared" si="20"/>
        <v/>
      </c>
      <c r="BL112" t="str">
        <f>IFERROR(INDEX(_names_lookup!$C:$C,MATCH(BK112,_names_lookup!$A:$A,0)),"")</f>
        <v/>
      </c>
      <c r="BM112" t="str">
        <f>IFERROR(INDEX(_names_lookup!$B:$B,MATCH(BK112,_names_lookup!$A:$A,0)),"")</f>
        <v/>
      </c>
      <c r="BS112" t="str">
        <f t="shared" si="21"/>
        <v/>
      </c>
    </row>
    <row r="113" spans="15:71" x14ac:dyDescent="0.2">
      <c r="O113" t="str">
        <f>IFERROR(INDEX(_courses_lookup!$C:$C,MATCH(K113&amp;L113,_courses_lookup!$E:$E,0)),"")</f>
        <v/>
      </c>
      <c r="P113" t="str">
        <f>IFERROR(INDEX(_courses_lookup!$D:$D,MATCH(K113&amp;L113,_courses_lookup!$E:$E,0)),"")</f>
        <v/>
      </c>
      <c r="AG113" t="str">
        <f t="shared" si="11"/>
        <v/>
      </c>
      <c r="AI113" t="str">
        <f t="shared" si="12"/>
        <v/>
      </c>
      <c r="AL113" t="str">
        <f t="shared" si="13"/>
        <v/>
      </c>
      <c r="AN113" t="str">
        <f t="shared" si="14"/>
        <v/>
      </c>
      <c r="AQ113" t="str">
        <f t="shared" si="15"/>
        <v/>
      </c>
      <c r="AR113" t="str">
        <f t="shared" si="16"/>
        <v/>
      </c>
      <c r="AS113" t="str">
        <f t="shared" si="17"/>
        <v/>
      </c>
      <c r="AT113" t="str">
        <f t="shared" si="18"/>
        <v/>
      </c>
      <c r="BG113" t="str">
        <f t="shared" si="19"/>
        <v/>
      </c>
      <c r="BH113" t="str">
        <f t="shared" si="20"/>
        <v/>
      </c>
      <c r="BL113" t="str">
        <f>IFERROR(INDEX(_names_lookup!$C:$C,MATCH(BK113,_names_lookup!$A:$A,0)),"")</f>
        <v/>
      </c>
      <c r="BM113" t="str">
        <f>IFERROR(INDEX(_names_lookup!$B:$B,MATCH(BK113,_names_lookup!$A:$A,0)),"")</f>
        <v/>
      </c>
      <c r="BS113" t="str">
        <f t="shared" si="21"/>
        <v/>
      </c>
    </row>
    <row r="114" spans="15:71" x14ac:dyDescent="0.2">
      <c r="O114" t="str">
        <f>IFERROR(INDEX(_courses_lookup!$C:$C,MATCH(K114&amp;L114,_courses_lookup!$E:$E,0)),"")</f>
        <v/>
      </c>
      <c r="P114" t="str">
        <f>IFERROR(INDEX(_courses_lookup!$D:$D,MATCH(K114&amp;L114,_courses_lookup!$E:$E,0)),"")</f>
        <v/>
      </c>
      <c r="AG114" t="str">
        <f t="shared" si="11"/>
        <v/>
      </c>
      <c r="AI114" t="str">
        <f t="shared" si="12"/>
        <v/>
      </c>
      <c r="AL114" t="str">
        <f t="shared" si="13"/>
        <v/>
      </c>
      <c r="AN114" t="str">
        <f t="shared" si="14"/>
        <v/>
      </c>
      <c r="AQ114" t="str">
        <f t="shared" si="15"/>
        <v/>
      </c>
      <c r="AR114" t="str">
        <f t="shared" si="16"/>
        <v/>
      </c>
      <c r="AS114" t="str">
        <f t="shared" si="17"/>
        <v/>
      </c>
      <c r="AT114" t="str">
        <f t="shared" si="18"/>
        <v/>
      </c>
      <c r="BG114" t="str">
        <f t="shared" si="19"/>
        <v/>
      </c>
      <c r="BH114" t="str">
        <f t="shared" si="20"/>
        <v/>
      </c>
      <c r="BL114" t="str">
        <f>IFERROR(INDEX(_names_lookup!$C:$C,MATCH(BK114,_names_lookup!$A:$A,0)),"")</f>
        <v/>
      </c>
      <c r="BM114" t="str">
        <f>IFERROR(INDEX(_names_lookup!$B:$B,MATCH(BK114,_names_lookup!$A:$A,0)),"")</f>
        <v/>
      </c>
      <c r="BS114" t="str">
        <f t="shared" si="21"/>
        <v/>
      </c>
    </row>
    <row r="115" spans="15:71" x14ac:dyDescent="0.2">
      <c r="O115" t="str">
        <f>IFERROR(INDEX(_courses_lookup!$C:$C,MATCH(K115&amp;L115,_courses_lookup!$E:$E,0)),"")</f>
        <v/>
      </c>
      <c r="P115" t="str">
        <f>IFERROR(INDEX(_courses_lookup!$D:$D,MATCH(K115&amp;L115,_courses_lookup!$E:$E,0)),"")</f>
        <v/>
      </c>
      <c r="AG115" t="str">
        <f t="shared" si="11"/>
        <v/>
      </c>
      <c r="AI115" t="str">
        <f t="shared" si="12"/>
        <v/>
      </c>
      <c r="AL115" t="str">
        <f t="shared" si="13"/>
        <v/>
      </c>
      <c r="AN115" t="str">
        <f t="shared" si="14"/>
        <v/>
      </c>
      <c r="AQ115" t="str">
        <f t="shared" si="15"/>
        <v/>
      </c>
      <c r="AR115" t="str">
        <f t="shared" si="16"/>
        <v/>
      </c>
      <c r="AS115" t="str">
        <f t="shared" si="17"/>
        <v/>
      </c>
      <c r="AT115" t="str">
        <f t="shared" si="18"/>
        <v/>
      </c>
      <c r="BG115" t="str">
        <f t="shared" si="19"/>
        <v/>
      </c>
      <c r="BH115" t="str">
        <f t="shared" si="20"/>
        <v/>
      </c>
      <c r="BL115" t="str">
        <f>IFERROR(INDEX(_names_lookup!$C:$C,MATCH(BK115,_names_lookup!$A:$A,0)),"")</f>
        <v/>
      </c>
      <c r="BM115" t="str">
        <f>IFERROR(INDEX(_names_lookup!$B:$B,MATCH(BK115,_names_lookup!$A:$A,0)),"")</f>
        <v/>
      </c>
      <c r="BS115" t="str">
        <f t="shared" si="21"/>
        <v/>
      </c>
    </row>
    <row r="116" spans="15:71" x14ac:dyDescent="0.2">
      <c r="O116" t="str">
        <f>IFERROR(INDEX(_courses_lookup!$C:$C,MATCH(K116&amp;L116,_courses_lookup!$E:$E,0)),"")</f>
        <v/>
      </c>
      <c r="P116" t="str">
        <f>IFERROR(INDEX(_courses_lookup!$D:$D,MATCH(K116&amp;L116,_courses_lookup!$E:$E,0)),"")</f>
        <v/>
      </c>
      <c r="AG116" t="str">
        <f t="shared" si="11"/>
        <v/>
      </c>
      <c r="AI116" t="str">
        <f t="shared" si="12"/>
        <v/>
      </c>
      <c r="AL116" t="str">
        <f t="shared" si="13"/>
        <v/>
      </c>
      <c r="AN116" t="str">
        <f t="shared" si="14"/>
        <v/>
      </c>
      <c r="AQ116" t="str">
        <f t="shared" si="15"/>
        <v/>
      </c>
      <c r="AR116" t="str">
        <f t="shared" si="16"/>
        <v/>
      </c>
      <c r="AS116" t="str">
        <f t="shared" si="17"/>
        <v/>
      </c>
      <c r="AT116" t="str">
        <f t="shared" si="18"/>
        <v/>
      </c>
      <c r="BG116" t="str">
        <f t="shared" si="19"/>
        <v/>
      </c>
      <c r="BH116" t="str">
        <f t="shared" si="20"/>
        <v/>
      </c>
      <c r="BL116" t="str">
        <f>IFERROR(INDEX(_names_lookup!$C:$C,MATCH(BK116,_names_lookup!$A:$A,0)),"")</f>
        <v/>
      </c>
      <c r="BM116" t="str">
        <f>IFERROR(INDEX(_names_lookup!$B:$B,MATCH(BK116,_names_lookup!$A:$A,0)),"")</f>
        <v/>
      </c>
      <c r="BS116" t="str">
        <f t="shared" si="21"/>
        <v/>
      </c>
    </row>
    <row r="117" spans="15:71" x14ac:dyDescent="0.2">
      <c r="O117" t="str">
        <f>IFERROR(INDEX(_courses_lookup!$C:$C,MATCH(K117&amp;L117,_courses_lookup!$E:$E,0)),"")</f>
        <v/>
      </c>
      <c r="P117" t="str">
        <f>IFERROR(INDEX(_courses_lookup!$D:$D,MATCH(K117&amp;L117,_courses_lookup!$E:$E,0)),"")</f>
        <v/>
      </c>
      <c r="AG117" t="str">
        <f t="shared" si="11"/>
        <v/>
      </c>
      <c r="AI117" t="str">
        <f t="shared" si="12"/>
        <v/>
      </c>
      <c r="AL117" t="str">
        <f t="shared" si="13"/>
        <v/>
      </c>
      <c r="AN117" t="str">
        <f t="shared" si="14"/>
        <v/>
      </c>
      <c r="AQ117" t="str">
        <f t="shared" si="15"/>
        <v/>
      </c>
      <c r="AR117" t="str">
        <f t="shared" si="16"/>
        <v/>
      </c>
      <c r="AS117" t="str">
        <f t="shared" si="17"/>
        <v/>
      </c>
      <c r="AT117" t="str">
        <f t="shared" si="18"/>
        <v/>
      </c>
      <c r="BG117" t="str">
        <f t="shared" si="19"/>
        <v/>
      </c>
      <c r="BH117" t="str">
        <f t="shared" si="20"/>
        <v/>
      </c>
      <c r="BL117" t="str">
        <f>IFERROR(INDEX(_names_lookup!$C:$C,MATCH(BK117,_names_lookup!$A:$A,0)),"")</f>
        <v/>
      </c>
      <c r="BM117" t="str">
        <f>IFERROR(INDEX(_names_lookup!$B:$B,MATCH(BK117,_names_lookup!$A:$A,0)),"")</f>
        <v/>
      </c>
      <c r="BS117" t="str">
        <f t="shared" si="21"/>
        <v/>
      </c>
    </row>
    <row r="118" spans="15:71" x14ac:dyDescent="0.2">
      <c r="O118" t="str">
        <f>IFERROR(INDEX(_courses_lookup!$C:$C,MATCH(K118&amp;L118,_courses_lookup!$E:$E,0)),"")</f>
        <v/>
      </c>
      <c r="P118" t="str">
        <f>IFERROR(INDEX(_courses_lookup!$D:$D,MATCH(K118&amp;L118,_courses_lookup!$E:$E,0)),"")</f>
        <v/>
      </c>
      <c r="AG118" t="str">
        <f t="shared" si="11"/>
        <v/>
      </c>
      <c r="AI118" t="str">
        <f t="shared" si="12"/>
        <v/>
      </c>
      <c r="AL118" t="str">
        <f t="shared" si="13"/>
        <v/>
      </c>
      <c r="AN118" t="str">
        <f t="shared" si="14"/>
        <v/>
      </c>
      <c r="AQ118" t="str">
        <f t="shared" si="15"/>
        <v/>
      </c>
      <c r="AR118" t="str">
        <f t="shared" si="16"/>
        <v/>
      </c>
      <c r="AS118" t="str">
        <f t="shared" si="17"/>
        <v/>
      </c>
      <c r="AT118" t="str">
        <f t="shared" si="18"/>
        <v/>
      </c>
      <c r="BG118" t="str">
        <f t="shared" si="19"/>
        <v/>
      </c>
      <c r="BH118" t="str">
        <f t="shared" si="20"/>
        <v/>
      </c>
      <c r="BL118" t="str">
        <f>IFERROR(INDEX(_names_lookup!$C:$C,MATCH(BK118,_names_lookup!$A:$A,0)),"")</f>
        <v/>
      </c>
      <c r="BM118" t="str">
        <f>IFERROR(INDEX(_names_lookup!$B:$B,MATCH(BK118,_names_lookup!$A:$A,0)),"")</f>
        <v/>
      </c>
      <c r="BS118" t="str">
        <f t="shared" si="21"/>
        <v/>
      </c>
    </row>
    <row r="119" spans="15:71" x14ac:dyDescent="0.2">
      <c r="O119" t="str">
        <f>IFERROR(INDEX(_courses_lookup!$C:$C,MATCH(K119&amp;L119,_courses_lookup!$E:$E,0)),"")</f>
        <v/>
      </c>
      <c r="P119" t="str">
        <f>IFERROR(INDEX(_courses_lookup!$D:$D,MATCH(K119&amp;L119,_courses_lookup!$E:$E,0)),"")</f>
        <v/>
      </c>
      <c r="AG119" t="str">
        <f t="shared" si="11"/>
        <v/>
      </c>
      <c r="AI119" t="str">
        <f t="shared" si="12"/>
        <v/>
      </c>
      <c r="AL119" t="str">
        <f t="shared" si="13"/>
        <v/>
      </c>
      <c r="AN119" t="str">
        <f t="shared" si="14"/>
        <v/>
      </c>
      <c r="AQ119" t="str">
        <f t="shared" si="15"/>
        <v/>
      </c>
      <c r="AR119" t="str">
        <f t="shared" si="16"/>
        <v/>
      </c>
      <c r="AS119" t="str">
        <f t="shared" si="17"/>
        <v/>
      </c>
      <c r="AT119" t="str">
        <f t="shared" si="18"/>
        <v/>
      </c>
      <c r="BG119" t="str">
        <f t="shared" si="19"/>
        <v/>
      </c>
      <c r="BH119" t="str">
        <f t="shared" si="20"/>
        <v/>
      </c>
      <c r="BL119" t="str">
        <f>IFERROR(INDEX(_names_lookup!$C:$C,MATCH(BK119,_names_lookup!$A:$A,0)),"")</f>
        <v/>
      </c>
      <c r="BM119" t="str">
        <f>IFERROR(INDEX(_names_lookup!$B:$B,MATCH(BK119,_names_lookup!$A:$A,0)),"")</f>
        <v/>
      </c>
      <c r="BS119" t="str">
        <f t="shared" si="21"/>
        <v/>
      </c>
    </row>
    <row r="120" spans="15:71" x14ac:dyDescent="0.2">
      <c r="O120" t="str">
        <f>IFERROR(INDEX(_courses_lookup!$C:$C,MATCH(K120&amp;L120,_courses_lookup!$E:$E,0)),"")</f>
        <v/>
      </c>
      <c r="P120" t="str">
        <f>IFERROR(INDEX(_courses_lookup!$D:$D,MATCH(K120&amp;L120,_courses_lookup!$E:$E,0)),"")</f>
        <v/>
      </c>
      <c r="AG120" t="str">
        <f t="shared" si="11"/>
        <v/>
      </c>
      <c r="AI120" t="str">
        <f t="shared" si="12"/>
        <v/>
      </c>
      <c r="AL120" t="str">
        <f t="shared" si="13"/>
        <v/>
      </c>
      <c r="AN120" t="str">
        <f t="shared" si="14"/>
        <v/>
      </c>
      <c r="AQ120" t="str">
        <f t="shared" si="15"/>
        <v/>
      </c>
      <c r="AR120" t="str">
        <f t="shared" si="16"/>
        <v/>
      </c>
      <c r="AS120" t="str">
        <f t="shared" si="17"/>
        <v/>
      </c>
      <c r="AT120" t="str">
        <f t="shared" si="18"/>
        <v/>
      </c>
      <c r="BG120" t="str">
        <f t="shared" si="19"/>
        <v/>
      </c>
      <c r="BH120" t="str">
        <f t="shared" si="20"/>
        <v/>
      </c>
      <c r="BL120" t="str">
        <f>IFERROR(INDEX(_names_lookup!$C:$C,MATCH(BK120,_names_lookup!$A:$A,0)),"")</f>
        <v/>
      </c>
      <c r="BM120" t="str">
        <f>IFERROR(INDEX(_names_lookup!$B:$B,MATCH(BK120,_names_lookup!$A:$A,0)),"")</f>
        <v/>
      </c>
      <c r="BS120" t="str">
        <f t="shared" si="21"/>
        <v/>
      </c>
    </row>
    <row r="121" spans="15:71" x14ac:dyDescent="0.2">
      <c r="O121" t="str">
        <f>IFERROR(INDEX(_courses_lookup!$C:$C,MATCH(K121&amp;L121,_courses_lookup!$E:$E,0)),"")</f>
        <v/>
      </c>
      <c r="P121" t="str">
        <f>IFERROR(INDEX(_courses_lookup!$D:$D,MATCH(K121&amp;L121,_courses_lookup!$E:$E,0)),"")</f>
        <v/>
      </c>
      <c r="AG121" t="str">
        <f t="shared" si="11"/>
        <v/>
      </c>
      <c r="AI121" t="str">
        <f t="shared" si="12"/>
        <v/>
      </c>
      <c r="AL121" t="str">
        <f t="shared" si="13"/>
        <v/>
      </c>
      <c r="AN121" t="str">
        <f t="shared" si="14"/>
        <v/>
      </c>
      <c r="AQ121" t="str">
        <f t="shared" si="15"/>
        <v/>
      </c>
      <c r="AR121" t="str">
        <f t="shared" si="16"/>
        <v/>
      </c>
      <c r="AS121" t="str">
        <f t="shared" si="17"/>
        <v/>
      </c>
      <c r="AT121" t="str">
        <f t="shared" si="18"/>
        <v/>
      </c>
      <c r="BG121" t="str">
        <f t="shared" si="19"/>
        <v/>
      </c>
      <c r="BH121" t="str">
        <f t="shared" si="20"/>
        <v/>
      </c>
      <c r="BL121" t="str">
        <f>IFERROR(INDEX(_names_lookup!$C:$C,MATCH(BK121,_names_lookup!$A:$A,0)),"")</f>
        <v/>
      </c>
      <c r="BM121" t="str">
        <f>IFERROR(INDEX(_names_lookup!$B:$B,MATCH(BK121,_names_lookup!$A:$A,0)),"")</f>
        <v/>
      </c>
      <c r="BS121" t="str">
        <f t="shared" si="21"/>
        <v/>
      </c>
    </row>
    <row r="122" spans="15:71" x14ac:dyDescent="0.2">
      <c r="O122" t="str">
        <f>IFERROR(INDEX(_courses_lookup!$C:$C,MATCH(K122&amp;L122,_courses_lookup!$E:$E,0)),"")</f>
        <v/>
      </c>
      <c r="P122" t="str">
        <f>IFERROR(INDEX(_courses_lookup!$D:$D,MATCH(K122&amp;L122,_courses_lookup!$E:$E,0)),"")</f>
        <v/>
      </c>
      <c r="AG122" t="str">
        <f t="shared" si="11"/>
        <v/>
      </c>
      <c r="AI122" t="str">
        <f t="shared" si="12"/>
        <v/>
      </c>
      <c r="AL122" t="str">
        <f t="shared" si="13"/>
        <v/>
      </c>
      <c r="AN122" t="str">
        <f t="shared" si="14"/>
        <v/>
      </c>
      <c r="AQ122" t="str">
        <f t="shared" si="15"/>
        <v/>
      </c>
      <c r="AR122" t="str">
        <f t="shared" si="16"/>
        <v/>
      </c>
      <c r="AS122" t="str">
        <f t="shared" si="17"/>
        <v/>
      </c>
      <c r="AT122" t="str">
        <f t="shared" si="18"/>
        <v/>
      </c>
      <c r="BG122" t="str">
        <f t="shared" si="19"/>
        <v/>
      </c>
      <c r="BH122" t="str">
        <f t="shared" si="20"/>
        <v/>
      </c>
      <c r="BL122" t="str">
        <f>IFERROR(INDEX(_names_lookup!$C:$C,MATCH(BK122,_names_lookup!$A:$A,0)),"")</f>
        <v/>
      </c>
      <c r="BM122" t="str">
        <f>IFERROR(INDEX(_names_lookup!$B:$B,MATCH(BK122,_names_lookup!$A:$A,0)),"")</f>
        <v/>
      </c>
      <c r="BS122" t="str">
        <f t="shared" si="21"/>
        <v/>
      </c>
    </row>
    <row r="123" spans="15:71" x14ac:dyDescent="0.2">
      <c r="O123" t="str">
        <f>IFERROR(INDEX(_courses_lookup!$C:$C,MATCH(K123&amp;L123,_courses_lookup!$E:$E,0)),"")</f>
        <v/>
      </c>
      <c r="P123" t="str">
        <f>IFERROR(INDEX(_courses_lookup!$D:$D,MATCH(K123&amp;L123,_courses_lookup!$E:$E,0)),"")</f>
        <v/>
      </c>
      <c r="AG123" t="str">
        <f t="shared" si="11"/>
        <v/>
      </c>
      <c r="AI123" t="str">
        <f t="shared" si="12"/>
        <v/>
      </c>
      <c r="AL123" t="str">
        <f t="shared" si="13"/>
        <v/>
      </c>
      <c r="AN123" t="str">
        <f t="shared" si="14"/>
        <v/>
      </c>
      <c r="AQ123" t="str">
        <f t="shared" si="15"/>
        <v/>
      </c>
      <c r="AR123" t="str">
        <f t="shared" si="16"/>
        <v/>
      </c>
      <c r="AS123" t="str">
        <f t="shared" si="17"/>
        <v/>
      </c>
      <c r="AT123" t="str">
        <f t="shared" si="18"/>
        <v/>
      </c>
      <c r="BG123" t="str">
        <f t="shared" si="19"/>
        <v/>
      </c>
      <c r="BH123" t="str">
        <f t="shared" si="20"/>
        <v/>
      </c>
      <c r="BL123" t="str">
        <f>IFERROR(INDEX(_names_lookup!$C:$C,MATCH(BK123,_names_lookup!$A:$A,0)),"")</f>
        <v/>
      </c>
      <c r="BM123" t="str">
        <f>IFERROR(INDEX(_names_lookup!$B:$B,MATCH(BK123,_names_lookup!$A:$A,0)),"")</f>
        <v/>
      </c>
      <c r="BS123" t="str">
        <f t="shared" si="21"/>
        <v/>
      </c>
    </row>
    <row r="124" spans="15:71" x14ac:dyDescent="0.2">
      <c r="O124" t="str">
        <f>IFERROR(INDEX(_courses_lookup!$C:$C,MATCH(K124&amp;L124,_courses_lookup!$E:$E,0)),"")</f>
        <v/>
      </c>
      <c r="P124" t="str">
        <f>IFERROR(INDEX(_courses_lookup!$D:$D,MATCH(K124&amp;L124,_courses_lookup!$E:$E,0)),"")</f>
        <v/>
      </c>
      <c r="AG124" t="str">
        <f t="shared" si="11"/>
        <v/>
      </c>
      <c r="AI124" t="str">
        <f t="shared" si="12"/>
        <v/>
      </c>
      <c r="AL124" t="str">
        <f t="shared" si="13"/>
        <v/>
      </c>
      <c r="AN124" t="str">
        <f t="shared" si="14"/>
        <v/>
      </c>
      <c r="AQ124" t="str">
        <f t="shared" si="15"/>
        <v/>
      </c>
      <c r="AR124" t="str">
        <f t="shared" si="16"/>
        <v/>
      </c>
      <c r="AS124" t="str">
        <f t="shared" si="17"/>
        <v/>
      </c>
      <c r="AT124" t="str">
        <f t="shared" si="18"/>
        <v/>
      </c>
      <c r="BG124" t="str">
        <f t="shared" si="19"/>
        <v/>
      </c>
      <c r="BH124" t="str">
        <f t="shared" si="20"/>
        <v/>
      </c>
      <c r="BL124" t="str">
        <f>IFERROR(INDEX(_names_lookup!$C:$C,MATCH(BK124,_names_lookup!$A:$A,0)),"")</f>
        <v/>
      </c>
      <c r="BM124" t="str">
        <f>IFERROR(INDEX(_names_lookup!$B:$B,MATCH(BK124,_names_lookup!$A:$A,0)),"")</f>
        <v/>
      </c>
      <c r="BS124" t="str">
        <f t="shared" si="21"/>
        <v/>
      </c>
    </row>
    <row r="125" spans="15:71" x14ac:dyDescent="0.2">
      <c r="O125" t="str">
        <f>IFERROR(INDEX(_courses_lookup!$C:$C,MATCH(K125&amp;L125,_courses_lookup!$E:$E,0)),"")</f>
        <v/>
      </c>
      <c r="P125" t="str">
        <f>IFERROR(INDEX(_courses_lookup!$D:$D,MATCH(K125&amp;L125,_courses_lookup!$E:$E,0)),"")</f>
        <v/>
      </c>
      <c r="AG125" t="str">
        <f t="shared" si="11"/>
        <v/>
      </c>
      <c r="AI125" t="str">
        <f t="shared" si="12"/>
        <v/>
      </c>
      <c r="AL125" t="str">
        <f t="shared" si="13"/>
        <v/>
      </c>
      <c r="AN125" t="str">
        <f t="shared" si="14"/>
        <v/>
      </c>
      <c r="AQ125" t="str">
        <f t="shared" si="15"/>
        <v/>
      </c>
      <c r="AR125" t="str">
        <f t="shared" si="16"/>
        <v/>
      </c>
      <c r="AS125" t="str">
        <f t="shared" si="17"/>
        <v/>
      </c>
      <c r="AT125" t="str">
        <f t="shared" si="18"/>
        <v/>
      </c>
      <c r="BG125" t="str">
        <f t="shared" si="19"/>
        <v/>
      </c>
      <c r="BH125" t="str">
        <f t="shared" si="20"/>
        <v/>
      </c>
      <c r="BL125" t="str">
        <f>IFERROR(INDEX(_names_lookup!$C:$C,MATCH(BK125,_names_lookup!$A:$A,0)),"")</f>
        <v/>
      </c>
      <c r="BM125" t="str">
        <f>IFERROR(INDEX(_names_lookup!$B:$B,MATCH(BK125,_names_lookup!$A:$A,0)),"")</f>
        <v/>
      </c>
      <c r="BS125" t="str">
        <f t="shared" si="21"/>
        <v/>
      </c>
    </row>
    <row r="126" spans="15:71" x14ac:dyDescent="0.2">
      <c r="O126" t="str">
        <f>IFERROR(INDEX(_courses_lookup!$C:$C,MATCH(K126&amp;L126,_courses_lookup!$E:$E,0)),"")</f>
        <v/>
      </c>
      <c r="P126" t="str">
        <f>IFERROR(INDEX(_courses_lookup!$D:$D,MATCH(K126&amp;L126,_courses_lookup!$E:$E,0)),"")</f>
        <v/>
      </c>
      <c r="AG126" t="str">
        <f t="shared" si="11"/>
        <v/>
      </c>
      <c r="AI126" t="str">
        <f t="shared" si="12"/>
        <v/>
      </c>
      <c r="AL126" t="str">
        <f t="shared" si="13"/>
        <v/>
      </c>
      <c r="AN126" t="str">
        <f t="shared" si="14"/>
        <v/>
      </c>
      <c r="AQ126" t="str">
        <f t="shared" si="15"/>
        <v/>
      </c>
      <c r="AR126" t="str">
        <f t="shared" si="16"/>
        <v/>
      </c>
      <c r="AS126" t="str">
        <f t="shared" si="17"/>
        <v/>
      </c>
      <c r="AT126" t="str">
        <f t="shared" si="18"/>
        <v/>
      </c>
      <c r="BG126" t="str">
        <f t="shared" si="19"/>
        <v/>
      </c>
      <c r="BH126" t="str">
        <f t="shared" si="20"/>
        <v/>
      </c>
      <c r="BL126" t="str">
        <f>IFERROR(INDEX(_names_lookup!$C:$C,MATCH(BK126,_names_lookup!$A:$A,0)),"")</f>
        <v/>
      </c>
      <c r="BM126" t="str">
        <f>IFERROR(INDEX(_names_lookup!$B:$B,MATCH(BK126,_names_lookup!$A:$A,0)),"")</f>
        <v/>
      </c>
      <c r="BS126" t="str">
        <f t="shared" si="21"/>
        <v/>
      </c>
    </row>
    <row r="127" spans="15:71" x14ac:dyDescent="0.2">
      <c r="O127" t="str">
        <f>IFERROR(INDEX(_courses_lookup!$C:$C,MATCH(K127&amp;L127,_courses_lookup!$E:$E,0)),"")</f>
        <v/>
      </c>
      <c r="P127" t="str">
        <f>IFERROR(INDEX(_courses_lookup!$D:$D,MATCH(K127&amp;L127,_courses_lookup!$E:$E,0)),"")</f>
        <v/>
      </c>
      <c r="AG127" t="str">
        <f t="shared" si="11"/>
        <v/>
      </c>
      <c r="AI127" t="str">
        <f t="shared" si="12"/>
        <v/>
      </c>
      <c r="AL127" t="str">
        <f t="shared" si="13"/>
        <v/>
      </c>
      <c r="AN127" t="str">
        <f t="shared" si="14"/>
        <v/>
      </c>
      <c r="AQ127" t="str">
        <f t="shared" si="15"/>
        <v/>
      </c>
      <c r="AR127" t="str">
        <f t="shared" si="16"/>
        <v/>
      </c>
      <c r="AS127" t="str">
        <f t="shared" si="17"/>
        <v/>
      </c>
      <c r="AT127" t="str">
        <f t="shared" si="18"/>
        <v/>
      </c>
      <c r="BG127" t="str">
        <f t="shared" si="19"/>
        <v/>
      </c>
      <c r="BH127" t="str">
        <f t="shared" si="20"/>
        <v/>
      </c>
      <c r="BL127" t="str">
        <f>IFERROR(INDEX(_names_lookup!$C:$C,MATCH(BK127,_names_lookup!$A:$A,0)),"")</f>
        <v/>
      </c>
      <c r="BM127" t="str">
        <f>IFERROR(INDEX(_names_lookup!$B:$B,MATCH(BK127,_names_lookup!$A:$A,0)),"")</f>
        <v/>
      </c>
      <c r="BS127" t="str">
        <f t="shared" si="21"/>
        <v/>
      </c>
    </row>
    <row r="128" spans="15:71" x14ac:dyDescent="0.2">
      <c r="O128" t="str">
        <f>IFERROR(INDEX(_courses_lookup!$C:$C,MATCH(K128&amp;L128,_courses_lookup!$E:$E,0)),"")</f>
        <v/>
      </c>
      <c r="P128" t="str">
        <f>IFERROR(INDEX(_courses_lookup!$D:$D,MATCH(K128&amp;L128,_courses_lookup!$E:$E,0)),"")</f>
        <v/>
      </c>
      <c r="AG128" t="str">
        <f t="shared" si="11"/>
        <v/>
      </c>
      <c r="AI128" t="str">
        <f t="shared" si="12"/>
        <v/>
      </c>
      <c r="AL128" t="str">
        <f t="shared" si="13"/>
        <v/>
      </c>
      <c r="AN128" t="str">
        <f t="shared" si="14"/>
        <v/>
      </c>
      <c r="AQ128" t="str">
        <f t="shared" si="15"/>
        <v/>
      </c>
      <c r="AR128" t="str">
        <f t="shared" si="16"/>
        <v/>
      </c>
      <c r="AS128" t="str">
        <f t="shared" si="17"/>
        <v/>
      </c>
      <c r="AT128" t="str">
        <f t="shared" si="18"/>
        <v/>
      </c>
      <c r="BG128" t="str">
        <f t="shared" si="19"/>
        <v/>
      </c>
      <c r="BH128" t="str">
        <f t="shared" si="20"/>
        <v/>
      </c>
      <c r="BL128" t="str">
        <f>IFERROR(INDEX(_names_lookup!$C:$C,MATCH(BK128,_names_lookup!$A:$A,0)),"")</f>
        <v/>
      </c>
      <c r="BM128" t="str">
        <f>IFERROR(INDEX(_names_lookup!$B:$B,MATCH(BK128,_names_lookup!$A:$A,0)),"")</f>
        <v/>
      </c>
      <c r="BS128" t="str">
        <f t="shared" si="21"/>
        <v/>
      </c>
    </row>
    <row r="129" spans="15:71" x14ac:dyDescent="0.2">
      <c r="O129" t="str">
        <f>IFERROR(INDEX(_courses_lookup!$C:$C,MATCH(K129&amp;L129,_courses_lookup!$E:$E,0)),"")</f>
        <v/>
      </c>
      <c r="P129" t="str">
        <f>IFERROR(INDEX(_courses_lookup!$D:$D,MATCH(K129&amp;L129,_courses_lookup!$E:$E,0)),"")</f>
        <v/>
      </c>
      <c r="AG129" t="str">
        <f t="shared" si="11"/>
        <v/>
      </c>
      <c r="AI129" t="str">
        <f t="shared" si="12"/>
        <v/>
      </c>
      <c r="AL129" t="str">
        <f t="shared" si="13"/>
        <v/>
      </c>
      <c r="AN129" t="str">
        <f t="shared" si="14"/>
        <v/>
      </c>
      <c r="AQ129" t="str">
        <f t="shared" si="15"/>
        <v/>
      </c>
      <c r="AR129" t="str">
        <f t="shared" si="16"/>
        <v/>
      </c>
      <c r="AS129" t="str">
        <f t="shared" si="17"/>
        <v/>
      </c>
      <c r="AT129" t="str">
        <f t="shared" si="18"/>
        <v/>
      </c>
      <c r="BG129" t="str">
        <f t="shared" si="19"/>
        <v/>
      </c>
      <c r="BH129" t="str">
        <f t="shared" si="20"/>
        <v/>
      </c>
      <c r="BL129" t="str">
        <f>IFERROR(INDEX(_names_lookup!$C:$C,MATCH(BK129,_names_lookup!$A:$A,0)),"")</f>
        <v/>
      </c>
      <c r="BM129" t="str">
        <f>IFERROR(INDEX(_names_lookup!$B:$B,MATCH(BK129,_names_lookup!$A:$A,0)),"")</f>
        <v/>
      </c>
      <c r="BS129" t="str">
        <f t="shared" si="21"/>
        <v/>
      </c>
    </row>
    <row r="130" spans="15:71" x14ac:dyDescent="0.2">
      <c r="O130" t="str">
        <f>IFERROR(INDEX(_courses_lookup!$C:$C,MATCH(K130&amp;L130,_courses_lookup!$E:$E,0)),"")</f>
        <v/>
      </c>
      <c r="P130" t="str">
        <f>IFERROR(INDEX(_courses_lookup!$D:$D,MATCH(K130&amp;L130,_courses_lookup!$E:$E,0)),"")</f>
        <v/>
      </c>
      <c r="AG130" t="str">
        <f t="shared" ref="AG130:AG193" si="22">IF(AND(AE130&lt;&gt;"",AF130&lt;&gt;""),ROUNDUP((AF130-AE130)/7,0),"")</f>
        <v/>
      </c>
      <c r="AI130" t="str">
        <f t="shared" ref="AI130:AI193" si="23">IFERROR(IF(AG130*AH130=0,"",AG130*AH130),"")</f>
        <v/>
      </c>
      <c r="AL130" t="str">
        <f t="shared" ref="AL130:AL193" si="24">IF(AND(AJ130&lt;&gt;"",AK130&lt;&gt;""),ROUNDUP((AK130-AJ130)/7,0),"")</f>
        <v/>
      </c>
      <c r="AN130" t="str">
        <f t="shared" ref="AN130:AN193" si="25">IFERROR(IF(AL130*AM130=0,"",AL130*AM130),"")</f>
        <v/>
      </c>
      <c r="AQ130" t="str">
        <f t="shared" ref="AQ130:AQ193" si="26">IF(AND(AO130&lt;&gt;"",AP130&lt;&gt;""),ROUNDUP((AP130-AO130)/7,0),"")</f>
        <v/>
      </c>
      <c r="AR130" t="str">
        <f t="shared" ref="AR130:AR193" si="27">IFERROR(IF((AU130-(AI130+AN130))/AQ130=0,"",ROUNDUP((AU130-(AI130+AN130))/AQ130,0)),"")</f>
        <v/>
      </c>
      <c r="AS130" t="str">
        <f t="shared" ref="AS130:AS193" si="28">IFERROR(IF((AU130-(AI130+AN130))=0,"",(AU130-(AI130+AN130))),"")</f>
        <v/>
      </c>
      <c r="AT130" t="str">
        <f t="shared" ref="AT130:AT193" si="29">IF(AND(AG130="",AQ130=""),AL130,IF(SUM(AG130,AL130,AQ130)=0,"",SUM(AG130,AL130,AQ130)))</f>
        <v/>
      </c>
      <c r="BG130" t="str">
        <f t="shared" ref="BG130:BG193" si="30">IF(AD130="","",YEAR(AD130)+IF(MONTH(AD130)&gt;=5,1,0))</f>
        <v/>
      </c>
      <c r="BH130" t="str">
        <f t="shared" ref="BH130:BH193" si="31">IF(AD130="","",IF(AND(MONTH(AD130)=8,DAY(AD130)&gt;=15),"Fall",IF(MONTH(AD130)&gt;8,"Fall",IF(MONTH(AD130)=5,"Summer",IF(MONTH(AD130)=1,"Spring","")))))</f>
        <v/>
      </c>
      <c r="BL130" t="str">
        <f>IFERROR(INDEX(_names_lookup!$C:$C,MATCH(BK130,_names_lookup!$A:$A,0)),"")</f>
        <v/>
      </c>
      <c r="BM130" t="str">
        <f>IFERROR(INDEX(_names_lookup!$B:$B,MATCH(BK130,_names_lookup!$A:$A,0)),"")</f>
        <v/>
      </c>
      <c r="BS130" t="str">
        <f t="shared" ref="BS130:BS193" si="32">IFERROR(IF(BR130*AA130=0,"",BR130*AA130),"")</f>
        <v/>
      </c>
    </row>
    <row r="131" spans="15:71" x14ac:dyDescent="0.2">
      <c r="O131" t="str">
        <f>IFERROR(INDEX(_courses_lookup!$C:$C,MATCH(K131&amp;L131,_courses_lookup!$E:$E,0)),"")</f>
        <v/>
      </c>
      <c r="P131" t="str">
        <f>IFERROR(INDEX(_courses_lookup!$D:$D,MATCH(K131&amp;L131,_courses_lookup!$E:$E,0)),"")</f>
        <v/>
      </c>
      <c r="AG131" t="str">
        <f t="shared" si="22"/>
        <v/>
      </c>
      <c r="AI131" t="str">
        <f t="shared" si="23"/>
        <v/>
      </c>
      <c r="AL131" t="str">
        <f t="shared" si="24"/>
        <v/>
      </c>
      <c r="AN131" t="str">
        <f t="shared" si="25"/>
        <v/>
      </c>
      <c r="AQ131" t="str">
        <f t="shared" si="26"/>
        <v/>
      </c>
      <c r="AR131" t="str">
        <f t="shared" si="27"/>
        <v/>
      </c>
      <c r="AS131" t="str">
        <f t="shared" si="28"/>
        <v/>
      </c>
      <c r="AT131" t="str">
        <f t="shared" si="29"/>
        <v/>
      </c>
      <c r="BG131" t="str">
        <f t="shared" si="30"/>
        <v/>
      </c>
      <c r="BH131" t="str">
        <f t="shared" si="31"/>
        <v/>
      </c>
      <c r="BL131" t="str">
        <f>IFERROR(INDEX(_names_lookup!$C:$C,MATCH(BK131,_names_lookup!$A:$A,0)),"")</f>
        <v/>
      </c>
      <c r="BM131" t="str">
        <f>IFERROR(INDEX(_names_lookup!$B:$B,MATCH(BK131,_names_lookup!$A:$A,0)),"")</f>
        <v/>
      </c>
      <c r="BS131" t="str">
        <f t="shared" si="32"/>
        <v/>
      </c>
    </row>
    <row r="132" spans="15:71" x14ac:dyDescent="0.2">
      <c r="O132" t="str">
        <f>IFERROR(INDEX(_courses_lookup!$C:$C,MATCH(K132&amp;L132,_courses_lookup!$E:$E,0)),"")</f>
        <v/>
      </c>
      <c r="P132" t="str">
        <f>IFERROR(INDEX(_courses_lookup!$D:$D,MATCH(K132&amp;L132,_courses_lookup!$E:$E,0)),"")</f>
        <v/>
      </c>
      <c r="AG132" t="str">
        <f t="shared" si="22"/>
        <v/>
      </c>
      <c r="AI132" t="str">
        <f t="shared" si="23"/>
        <v/>
      </c>
      <c r="AL132" t="str">
        <f t="shared" si="24"/>
        <v/>
      </c>
      <c r="AN132" t="str">
        <f t="shared" si="25"/>
        <v/>
      </c>
      <c r="AQ132" t="str">
        <f t="shared" si="26"/>
        <v/>
      </c>
      <c r="AR132" t="str">
        <f t="shared" si="27"/>
        <v/>
      </c>
      <c r="AS132" t="str">
        <f t="shared" si="28"/>
        <v/>
      </c>
      <c r="AT132" t="str">
        <f t="shared" si="29"/>
        <v/>
      </c>
      <c r="BG132" t="str">
        <f t="shared" si="30"/>
        <v/>
      </c>
      <c r="BH132" t="str">
        <f t="shared" si="31"/>
        <v/>
      </c>
      <c r="BL132" t="str">
        <f>IFERROR(INDEX(_names_lookup!$C:$C,MATCH(BK132,_names_lookup!$A:$A,0)),"")</f>
        <v/>
      </c>
      <c r="BM132" t="str">
        <f>IFERROR(INDEX(_names_lookup!$B:$B,MATCH(BK132,_names_lookup!$A:$A,0)),"")</f>
        <v/>
      </c>
      <c r="BS132" t="str">
        <f t="shared" si="32"/>
        <v/>
      </c>
    </row>
    <row r="133" spans="15:71" x14ac:dyDescent="0.2">
      <c r="O133" t="str">
        <f>IFERROR(INDEX(_courses_lookup!$C:$C,MATCH(K133&amp;L133,_courses_lookup!$E:$E,0)),"")</f>
        <v/>
      </c>
      <c r="P133" t="str">
        <f>IFERROR(INDEX(_courses_lookup!$D:$D,MATCH(K133&amp;L133,_courses_lookup!$E:$E,0)),"")</f>
        <v/>
      </c>
      <c r="AG133" t="str">
        <f t="shared" si="22"/>
        <v/>
      </c>
      <c r="AI133" t="str">
        <f t="shared" si="23"/>
        <v/>
      </c>
      <c r="AL133" t="str">
        <f t="shared" si="24"/>
        <v/>
      </c>
      <c r="AN133" t="str">
        <f t="shared" si="25"/>
        <v/>
      </c>
      <c r="AQ133" t="str">
        <f t="shared" si="26"/>
        <v/>
      </c>
      <c r="AR133" t="str">
        <f t="shared" si="27"/>
        <v/>
      </c>
      <c r="AS133" t="str">
        <f t="shared" si="28"/>
        <v/>
      </c>
      <c r="AT133" t="str">
        <f t="shared" si="29"/>
        <v/>
      </c>
      <c r="BG133" t="str">
        <f t="shared" si="30"/>
        <v/>
      </c>
      <c r="BH133" t="str">
        <f t="shared" si="31"/>
        <v/>
      </c>
      <c r="BL133" t="str">
        <f>IFERROR(INDEX(_names_lookup!$C:$C,MATCH(BK133,_names_lookup!$A:$A,0)),"")</f>
        <v/>
      </c>
      <c r="BM133" t="str">
        <f>IFERROR(INDEX(_names_lookup!$B:$B,MATCH(BK133,_names_lookup!$A:$A,0)),"")</f>
        <v/>
      </c>
      <c r="BS133" t="str">
        <f t="shared" si="32"/>
        <v/>
      </c>
    </row>
    <row r="134" spans="15:71" x14ac:dyDescent="0.2">
      <c r="O134" t="str">
        <f>IFERROR(INDEX(_courses_lookup!$C:$C,MATCH(K134&amp;L134,_courses_lookup!$E:$E,0)),"")</f>
        <v/>
      </c>
      <c r="P134" t="str">
        <f>IFERROR(INDEX(_courses_lookup!$D:$D,MATCH(K134&amp;L134,_courses_lookup!$E:$E,0)),"")</f>
        <v/>
      </c>
      <c r="AG134" t="str">
        <f t="shared" si="22"/>
        <v/>
      </c>
      <c r="AI134" t="str">
        <f t="shared" si="23"/>
        <v/>
      </c>
      <c r="AL134" t="str">
        <f t="shared" si="24"/>
        <v/>
      </c>
      <c r="AN134" t="str">
        <f t="shared" si="25"/>
        <v/>
      </c>
      <c r="AQ134" t="str">
        <f t="shared" si="26"/>
        <v/>
      </c>
      <c r="AR134" t="str">
        <f t="shared" si="27"/>
        <v/>
      </c>
      <c r="AS134" t="str">
        <f t="shared" si="28"/>
        <v/>
      </c>
      <c r="AT134" t="str">
        <f t="shared" si="29"/>
        <v/>
      </c>
      <c r="BG134" t="str">
        <f t="shared" si="30"/>
        <v/>
      </c>
      <c r="BH134" t="str">
        <f t="shared" si="31"/>
        <v/>
      </c>
      <c r="BL134" t="str">
        <f>IFERROR(INDEX(_names_lookup!$C:$C,MATCH(BK134,_names_lookup!$A:$A,0)),"")</f>
        <v/>
      </c>
      <c r="BM134" t="str">
        <f>IFERROR(INDEX(_names_lookup!$B:$B,MATCH(BK134,_names_lookup!$A:$A,0)),"")</f>
        <v/>
      </c>
      <c r="BS134" t="str">
        <f t="shared" si="32"/>
        <v/>
      </c>
    </row>
    <row r="135" spans="15:71" x14ac:dyDescent="0.2">
      <c r="O135" t="str">
        <f>IFERROR(INDEX(_courses_lookup!$C:$C,MATCH(K135&amp;L135,_courses_lookup!$E:$E,0)),"")</f>
        <v/>
      </c>
      <c r="P135" t="str">
        <f>IFERROR(INDEX(_courses_lookup!$D:$D,MATCH(K135&amp;L135,_courses_lookup!$E:$E,0)),"")</f>
        <v/>
      </c>
      <c r="AG135" t="str">
        <f t="shared" si="22"/>
        <v/>
      </c>
      <c r="AI135" t="str">
        <f t="shared" si="23"/>
        <v/>
      </c>
      <c r="AL135" t="str">
        <f t="shared" si="24"/>
        <v/>
      </c>
      <c r="AN135" t="str">
        <f t="shared" si="25"/>
        <v/>
      </c>
      <c r="AQ135" t="str">
        <f t="shared" si="26"/>
        <v/>
      </c>
      <c r="AR135" t="str">
        <f t="shared" si="27"/>
        <v/>
      </c>
      <c r="AS135" t="str">
        <f t="shared" si="28"/>
        <v/>
      </c>
      <c r="AT135" t="str">
        <f t="shared" si="29"/>
        <v/>
      </c>
      <c r="BG135" t="str">
        <f t="shared" si="30"/>
        <v/>
      </c>
      <c r="BH135" t="str">
        <f t="shared" si="31"/>
        <v/>
      </c>
      <c r="BL135" t="str">
        <f>IFERROR(INDEX(_names_lookup!$C:$C,MATCH(BK135,_names_lookup!$A:$A,0)),"")</f>
        <v/>
      </c>
      <c r="BM135" t="str">
        <f>IFERROR(INDEX(_names_lookup!$B:$B,MATCH(BK135,_names_lookup!$A:$A,0)),"")</f>
        <v/>
      </c>
      <c r="BS135" t="str">
        <f t="shared" si="32"/>
        <v/>
      </c>
    </row>
    <row r="136" spans="15:71" x14ac:dyDescent="0.2">
      <c r="O136" t="str">
        <f>IFERROR(INDEX(_courses_lookup!$C:$C,MATCH(K136&amp;L136,_courses_lookup!$E:$E,0)),"")</f>
        <v/>
      </c>
      <c r="P136" t="str">
        <f>IFERROR(INDEX(_courses_lookup!$D:$D,MATCH(K136&amp;L136,_courses_lookup!$E:$E,0)),"")</f>
        <v/>
      </c>
      <c r="AG136" t="str">
        <f t="shared" si="22"/>
        <v/>
      </c>
      <c r="AI136" t="str">
        <f t="shared" si="23"/>
        <v/>
      </c>
      <c r="AL136" t="str">
        <f t="shared" si="24"/>
        <v/>
      </c>
      <c r="AN136" t="str">
        <f t="shared" si="25"/>
        <v/>
      </c>
      <c r="AQ136" t="str">
        <f t="shared" si="26"/>
        <v/>
      </c>
      <c r="AR136" t="str">
        <f t="shared" si="27"/>
        <v/>
      </c>
      <c r="AS136" t="str">
        <f t="shared" si="28"/>
        <v/>
      </c>
      <c r="AT136" t="str">
        <f t="shared" si="29"/>
        <v/>
      </c>
      <c r="BG136" t="str">
        <f t="shared" si="30"/>
        <v/>
      </c>
      <c r="BH136" t="str">
        <f t="shared" si="31"/>
        <v/>
      </c>
      <c r="BL136" t="str">
        <f>IFERROR(INDEX(_names_lookup!$C:$C,MATCH(BK136,_names_lookup!$A:$A,0)),"")</f>
        <v/>
      </c>
      <c r="BM136" t="str">
        <f>IFERROR(INDEX(_names_lookup!$B:$B,MATCH(BK136,_names_lookup!$A:$A,0)),"")</f>
        <v/>
      </c>
      <c r="BS136" t="str">
        <f t="shared" si="32"/>
        <v/>
      </c>
    </row>
    <row r="137" spans="15:71" x14ac:dyDescent="0.2">
      <c r="O137" t="str">
        <f>IFERROR(INDEX(_courses_lookup!$C:$C,MATCH(K137&amp;L137,_courses_lookup!$E:$E,0)),"")</f>
        <v/>
      </c>
      <c r="P137" t="str">
        <f>IFERROR(INDEX(_courses_lookup!$D:$D,MATCH(K137&amp;L137,_courses_lookup!$E:$E,0)),"")</f>
        <v/>
      </c>
      <c r="AG137" t="str">
        <f t="shared" si="22"/>
        <v/>
      </c>
      <c r="AI137" t="str">
        <f t="shared" si="23"/>
        <v/>
      </c>
      <c r="AL137" t="str">
        <f t="shared" si="24"/>
        <v/>
      </c>
      <c r="AN137" t="str">
        <f t="shared" si="25"/>
        <v/>
      </c>
      <c r="AQ137" t="str">
        <f t="shared" si="26"/>
        <v/>
      </c>
      <c r="AR137" t="str">
        <f t="shared" si="27"/>
        <v/>
      </c>
      <c r="AS137" t="str">
        <f t="shared" si="28"/>
        <v/>
      </c>
      <c r="AT137" t="str">
        <f t="shared" si="29"/>
        <v/>
      </c>
      <c r="BG137" t="str">
        <f t="shared" si="30"/>
        <v/>
      </c>
      <c r="BH137" t="str">
        <f t="shared" si="31"/>
        <v/>
      </c>
      <c r="BL137" t="str">
        <f>IFERROR(INDEX(_names_lookup!$C:$C,MATCH(BK137,_names_lookup!$A:$A,0)),"")</f>
        <v/>
      </c>
      <c r="BM137" t="str">
        <f>IFERROR(INDEX(_names_lookup!$B:$B,MATCH(BK137,_names_lookup!$A:$A,0)),"")</f>
        <v/>
      </c>
      <c r="BS137" t="str">
        <f t="shared" si="32"/>
        <v/>
      </c>
    </row>
    <row r="138" spans="15:71" x14ac:dyDescent="0.2">
      <c r="O138" t="str">
        <f>IFERROR(INDEX(_courses_lookup!$C:$C,MATCH(K138&amp;L138,_courses_lookup!$E:$E,0)),"")</f>
        <v/>
      </c>
      <c r="P138" t="str">
        <f>IFERROR(INDEX(_courses_lookup!$D:$D,MATCH(K138&amp;L138,_courses_lookup!$E:$E,0)),"")</f>
        <v/>
      </c>
      <c r="AG138" t="str">
        <f t="shared" si="22"/>
        <v/>
      </c>
      <c r="AI138" t="str">
        <f t="shared" si="23"/>
        <v/>
      </c>
      <c r="AL138" t="str">
        <f t="shared" si="24"/>
        <v/>
      </c>
      <c r="AN138" t="str">
        <f t="shared" si="25"/>
        <v/>
      </c>
      <c r="AQ138" t="str">
        <f t="shared" si="26"/>
        <v/>
      </c>
      <c r="AR138" t="str">
        <f t="shared" si="27"/>
        <v/>
      </c>
      <c r="AS138" t="str">
        <f t="shared" si="28"/>
        <v/>
      </c>
      <c r="AT138" t="str">
        <f t="shared" si="29"/>
        <v/>
      </c>
      <c r="BG138" t="str">
        <f t="shared" si="30"/>
        <v/>
      </c>
      <c r="BH138" t="str">
        <f t="shared" si="31"/>
        <v/>
      </c>
      <c r="BL138" t="str">
        <f>IFERROR(INDEX(_names_lookup!$C:$C,MATCH(BK138,_names_lookup!$A:$A,0)),"")</f>
        <v/>
      </c>
      <c r="BM138" t="str">
        <f>IFERROR(INDEX(_names_lookup!$B:$B,MATCH(BK138,_names_lookup!$A:$A,0)),"")</f>
        <v/>
      </c>
      <c r="BS138" t="str">
        <f t="shared" si="32"/>
        <v/>
      </c>
    </row>
    <row r="139" spans="15:71" x14ac:dyDescent="0.2">
      <c r="O139" t="str">
        <f>IFERROR(INDEX(_courses_lookup!$C:$C,MATCH(K139&amp;L139,_courses_lookup!$E:$E,0)),"")</f>
        <v/>
      </c>
      <c r="P139" t="str">
        <f>IFERROR(INDEX(_courses_lookup!$D:$D,MATCH(K139&amp;L139,_courses_lookup!$E:$E,0)),"")</f>
        <v/>
      </c>
      <c r="AG139" t="str">
        <f t="shared" si="22"/>
        <v/>
      </c>
      <c r="AI139" t="str">
        <f t="shared" si="23"/>
        <v/>
      </c>
      <c r="AL139" t="str">
        <f t="shared" si="24"/>
        <v/>
      </c>
      <c r="AN139" t="str">
        <f t="shared" si="25"/>
        <v/>
      </c>
      <c r="AQ139" t="str">
        <f t="shared" si="26"/>
        <v/>
      </c>
      <c r="AR139" t="str">
        <f t="shared" si="27"/>
        <v/>
      </c>
      <c r="AS139" t="str">
        <f t="shared" si="28"/>
        <v/>
      </c>
      <c r="AT139" t="str">
        <f t="shared" si="29"/>
        <v/>
      </c>
      <c r="BG139" t="str">
        <f t="shared" si="30"/>
        <v/>
      </c>
      <c r="BH139" t="str">
        <f t="shared" si="31"/>
        <v/>
      </c>
      <c r="BL139" t="str">
        <f>IFERROR(INDEX(_names_lookup!$C:$C,MATCH(BK139,_names_lookup!$A:$A,0)),"")</f>
        <v/>
      </c>
      <c r="BM139" t="str">
        <f>IFERROR(INDEX(_names_lookup!$B:$B,MATCH(BK139,_names_lookup!$A:$A,0)),"")</f>
        <v/>
      </c>
      <c r="BS139" t="str">
        <f t="shared" si="32"/>
        <v/>
      </c>
    </row>
    <row r="140" spans="15:71" x14ac:dyDescent="0.2">
      <c r="O140" t="str">
        <f>IFERROR(INDEX(_courses_lookup!$C:$C,MATCH(K140&amp;L140,_courses_lookup!$E:$E,0)),"")</f>
        <v/>
      </c>
      <c r="P140" t="str">
        <f>IFERROR(INDEX(_courses_lookup!$D:$D,MATCH(K140&amp;L140,_courses_lookup!$E:$E,0)),"")</f>
        <v/>
      </c>
      <c r="AG140" t="str">
        <f t="shared" si="22"/>
        <v/>
      </c>
      <c r="AI140" t="str">
        <f t="shared" si="23"/>
        <v/>
      </c>
      <c r="AL140" t="str">
        <f t="shared" si="24"/>
        <v/>
      </c>
      <c r="AN140" t="str">
        <f t="shared" si="25"/>
        <v/>
      </c>
      <c r="AQ140" t="str">
        <f t="shared" si="26"/>
        <v/>
      </c>
      <c r="AR140" t="str">
        <f t="shared" si="27"/>
        <v/>
      </c>
      <c r="AS140" t="str">
        <f t="shared" si="28"/>
        <v/>
      </c>
      <c r="AT140" t="str">
        <f t="shared" si="29"/>
        <v/>
      </c>
      <c r="BG140" t="str">
        <f t="shared" si="30"/>
        <v/>
      </c>
      <c r="BH140" t="str">
        <f t="shared" si="31"/>
        <v/>
      </c>
      <c r="BL140" t="str">
        <f>IFERROR(INDEX(_names_lookup!$C:$C,MATCH(BK140,_names_lookup!$A:$A,0)),"")</f>
        <v/>
      </c>
      <c r="BM140" t="str">
        <f>IFERROR(INDEX(_names_lookup!$B:$B,MATCH(BK140,_names_lookup!$A:$A,0)),"")</f>
        <v/>
      </c>
      <c r="BS140" t="str">
        <f t="shared" si="32"/>
        <v/>
      </c>
    </row>
    <row r="141" spans="15:71" x14ac:dyDescent="0.2">
      <c r="O141" t="str">
        <f>IFERROR(INDEX(_courses_lookup!$C:$C,MATCH(K141&amp;L141,_courses_lookup!$E:$E,0)),"")</f>
        <v/>
      </c>
      <c r="P141" t="str">
        <f>IFERROR(INDEX(_courses_lookup!$D:$D,MATCH(K141&amp;L141,_courses_lookup!$E:$E,0)),"")</f>
        <v/>
      </c>
      <c r="AG141" t="str">
        <f t="shared" si="22"/>
        <v/>
      </c>
      <c r="AI141" t="str">
        <f t="shared" si="23"/>
        <v/>
      </c>
      <c r="AL141" t="str">
        <f t="shared" si="24"/>
        <v/>
      </c>
      <c r="AN141" t="str">
        <f t="shared" si="25"/>
        <v/>
      </c>
      <c r="AQ141" t="str">
        <f t="shared" si="26"/>
        <v/>
      </c>
      <c r="AR141" t="str">
        <f t="shared" si="27"/>
        <v/>
      </c>
      <c r="AS141" t="str">
        <f t="shared" si="28"/>
        <v/>
      </c>
      <c r="AT141" t="str">
        <f t="shared" si="29"/>
        <v/>
      </c>
      <c r="BG141" t="str">
        <f t="shared" si="30"/>
        <v/>
      </c>
      <c r="BH141" t="str">
        <f t="shared" si="31"/>
        <v/>
      </c>
      <c r="BL141" t="str">
        <f>IFERROR(INDEX(_names_lookup!$C:$C,MATCH(BK141,_names_lookup!$A:$A,0)),"")</f>
        <v/>
      </c>
      <c r="BM141" t="str">
        <f>IFERROR(INDEX(_names_lookup!$B:$B,MATCH(BK141,_names_lookup!$A:$A,0)),"")</f>
        <v/>
      </c>
      <c r="BS141" t="str">
        <f t="shared" si="32"/>
        <v/>
      </c>
    </row>
    <row r="142" spans="15:71" x14ac:dyDescent="0.2">
      <c r="O142" t="str">
        <f>IFERROR(INDEX(_courses_lookup!$C:$C,MATCH(K142&amp;L142,_courses_lookup!$E:$E,0)),"")</f>
        <v/>
      </c>
      <c r="P142" t="str">
        <f>IFERROR(INDEX(_courses_lookup!$D:$D,MATCH(K142&amp;L142,_courses_lookup!$E:$E,0)),"")</f>
        <v/>
      </c>
      <c r="AG142" t="str">
        <f t="shared" si="22"/>
        <v/>
      </c>
      <c r="AI142" t="str">
        <f t="shared" si="23"/>
        <v/>
      </c>
      <c r="AL142" t="str">
        <f t="shared" si="24"/>
        <v/>
      </c>
      <c r="AN142" t="str">
        <f t="shared" si="25"/>
        <v/>
      </c>
      <c r="AQ142" t="str">
        <f t="shared" si="26"/>
        <v/>
      </c>
      <c r="AR142" t="str">
        <f t="shared" si="27"/>
        <v/>
      </c>
      <c r="AS142" t="str">
        <f t="shared" si="28"/>
        <v/>
      </c>
      <c r="AT142" t="str">
        <f t="shared" si="29"/>
        <v/>
      </c>
      <c r="BG142" t="str">
        <f t="shared" si="30"/>
        <v/>
      </c>
      <c r="BH142" t="str">
        <f t="shared" si="31"/>
        <v/>
      </c>
      <c r="BL142" t="str">
        <f>IFERROR(INDEX(_names_lookup!$C:$C,MATCH(BK142,_names_lookup!$A:$A,0)),"")</f>
        <v/>
      </c>
      <c r="BM142" t="str">
        <f>IFERROR(INDEX(_names_lookup!$B:$B,MATCH(BK142,_names_lookup!$A:$A,0)),"")</f>
        <v/>
      </c>
      <c r="BS142" t="str">
        <f t="shared" si="32"/>
        <v/>
      </c>
    </row>
    <row r="143" spans="15:71" x14ac:dyDescent="0.2">
      <c r="O143" t="str">
        <f>IFERROR(INDEX(_courses_lookup!$C:$C,MATCH(K143&amp;L143,_courses_lookup!$E:$E,0)),"")</f>
        <v/>
      </c>
      <c r="P143" t="str">
        <f>IFERROR(INDEX(_courses_lookup!$D:$D,MATCH(K143&amp;L143,_courses_lookup!$E:$E,0)),"")</f>
        <v/>
      </c>
      <c r="AG143" t="str">
        <f t="shared" si="22"/>
        <v/>
      </c>
      <c r="AI143" t="str">
        <f t="shared" si="23"/>
        <v/>
      </c>
      <c r="AL143" t="str">
        <f t="shared" si="24"/>
        <v/>
      </c>
      <c r="AN143" t="str">
        <f t="shared" si="25"/>
        <v/>
      </c>
      <c r="AQ143" t="str">
        <f t="shared" si="26"/>
        <v/>
      </c>
      <c r="AR143" t="str">
        <f t="shared" si="27"/>
        <v/>
      </c>
      <c r="AS143" t="str">
        <f t="shared" si="28"/>
        <v/>
      </c>
      <c r="AT143" t="str">
        <f t="shared" si="29"/>
        <v/>
      </c>
      <c r="BG143" t="str">
        <f t="shared" si="30"/>
        <v/>
      </c>
      <c r="BH143" t="str">
        <f t="shared" si="31"/>
        <v/>
      </c>
      <c r="BL143" t="str">
        <f>IFERROR(INDEX(_names_lookup!$C:$C,MATCH(BK143,_names_lookup!$A:$A,0)),"")</f>
        <v/>
      </c>
      <c r="BM143" t="str">
        <f>IFERROR(INDEX(_names_lookup!$B:$B,MATCH(BK143,_names_lookup!$A:$A,0)),"")</f>
        <v/>
      </c>
      <c r="BS143" t="str">
        <f t="shared" si="32"/>
        <v/>
      </c>
    </row>
    <row r="144" spans="15:71" x14ac:dyDescent="0.2">
      <c r="O144" t="str">
        <f>IFERROR(INDEX(_courses_lookup!$C:$C,MATCH(K144&amp;L144,_courses_lookup!$E:$E,0)),"")</f>
        <v/>
      </c>
      <c r="P144" t="str">
        <f>IFERROR(INDEX(_courses_lookup!$D:$D,MATCH(K144&amp;L144,_courses_lookup!$E:$E,0)),"")</f>
        <v/>
      </c>
      <c r="AG144" t="str">
        <f t="shared" si="22"/>
        <v/>
      </c>
      <c r="AI144" t="str">
        <f t="shared" si="23"/>
        <v/>
      </c>
      <c r="AL144" t="str">
        <f t="shared" si="24"/>
        <v/>
      </c>
      <c r="AN144" t="str">
        <f t="shared" si="25"/>
        <v/>
      </c>
      <c r="AQ144" t="str">
        <f t="shared" si="26"/>
        <v/>
      </c>
      <c r="AR144" t="str">
        <f t="shared" si="27"/>
        <v/>
      </c>
      <c r="AS144" t="str">
        <f t="shared" si="28"/>
        <v/>
      </c>
      <c r="AT144" t="str">
        <f t="shared" si="29"/>
        <v/>
      </c>
      <c r="BG144" t="str">
        <f t="shared" si="30"/>
        <v/>
      </c>
      <c r="BH144" t="str">
        <f t="shared" si="31"/>
        <v/>
      </c>
      <c r="BL144" t="str">
        <f>IFERROR(INDEX(_names_lookup!$C:$C,MATCH(BK144,_names_lookup!$A:$A,0)),"")</f>
        <v/>
      </c>
      <c r="BM144" t="str">
        <f>IFERROR(INDEX(_names_lookup!$B:$B,MATCH(BK144,_names_lookup!$A:$A,0)),"")</f>
        <v/>
      </c>
      <c r="BS144" t="str">
        <f t="shared" si="32"/>
        <v/>
      </c>
    </row>
    <row r="145" spans="15:71" x14ac:dyDescent="0.2">
      <c r="O145" t="str">
        <f>IFERROR(INDEX(_courses_lookup!$C:$C,MATCH(K145&amp;L145,_courses_lookup!$E:$E,0)),"")</f>
        <v/>
      </c>
      <c r="P145" t="str">
        <f>IFERROR(INDEX(_courses_lookup!$D:$D,MATCH(K145&amp;L145,_courses_lookup!$E:$E,0)),"")</f>
        <v/>
      </c>
      <c r="AG145" t="str">
        <f t="shared" si="22"/>
        <v/>
      </c>
      <c r="AI145" t="str">
        <f t="shared" si="23"/>
        <v/>
      </c>
      <c r="AL145" t="str">
        <f t="shared" si="24"/>
        <v/>
      </c>
      <c r="AN145" t="str">
        <f t="shared" si="25"/>
        <v/>
      </c>
      <c r="AQ145" t="str">
        <f t="shared" si="26"/>
        <v/>
      </c>
      <c r="AR145" t="str">
        <f t="shared" si="27"/>
        <v/>
      </c>
      <c r="AS145" t="str">
        <f t="shared" si="28"/>
        <v/>
      </c>
      <c r="AT145" t="str">
        <f t="shared" si="29"/>
        <v/>
      </c>
      <c r="BG145" t="str">
        <f t="shared" si="30"/>
        <v/>
      </c>
      <c r="BH145" t="str">
        <f t="shared" si="31"/>
        <v/>
      </c>
      <c r="BL145" t="str">
        <f>IFERROR(INDEX(_names_lookup!$C:$C,MATCH(BK145,_names_lookup!$A:$A,0)),"")</f>
        <v/>
      </c>
      <c r="BM145" t="str">
        <f>IFERROR(INDEX(_names_lookup!$B:$B,MATCH(BK145,_names_lookup!$A:$A,0)),"")</f>
        <v/>
      </c>
      <c r="BS145" t="str">
        <f t="shared" si="32"/>
        <v/>
      </c>
    </row>
    <row r="146" spans="15:71" x14ac:dyDescent="0.2">
      <c r="O146" t="str">
        <f>IFERROR(INDEX(_courses_lookup!$C:$C,MATCH(K146&amp;L146,_courses_lookup!$E:$E,0)),"")</f>
        <v/>
      </c>
      <c r="P146" t="str">
        <f>IFERROR(INDEX(_courses_lookup!$D:$D,MATCH(K146&amp;L146,_courses_lookup!$E:$E,0)),"")</f>
        <v/>
      </c>
      <c r="AG146" t="str">
        <f t="shared" si="22"/>
        <v/>
      </c>
      <c r="AI146" t="str">
        <f t="shared" si="23"/>
        <v/>
      </c>
      <c r="AL146" t="str">
        <f t="shared" si="24"/>
        <v/>
      </c>
      <c r="AN146" t="str">
        <f t="shared" si="25"/>
        <v/>
      </c>
      <c r="AQ146" t="str">
        <f t="shared" si="26"/>
        <v/>
      </c>
      <c r="AR146" t="str">
        <f t="shared" si="27"/>
        <v/>
      </c>
      <c r="AS146" t="str">
        <f t="shared" si="28"/>
        <v/>
      </c>
      <c r="AT146" t="str">
        <f t="shared" si="29"/>
        <v/>
      </c>
      <c r="BG146" t="str">
        <f t="shared" si="30"/>
        <v/>
      </c>
      <c r="BH146" t="str">
        <f t="shared" si="31"/>
        <v/>
      </c>
      <c r="BL146" t="str">
        <f>IFERROR(INDEX(_names_lookup!$C:$C,MATCH(BK146,_names_lookup!$A:$A,0)),"")</f>
        <v/>
      </c>
      <c r="BM146" t="str">
        <f>IFERROR(INDEX(_names_lookup!$B:$B,MATCH(BK146,_names_lookup!$A:$A,0)),"")</f>
        <v/>
      </c>
      <c r="BS146" t="str">
        <f t="shared" si="32"/>
        <v/>
      </c>
    </row>
    <row r="147" spans="15:71" x14ac:dyDescent="0.2">
      <c r="O147" t="str">
        <f>IFERROR(INDEX(_courses_lookup!$C:$C,MATCH(K147&amp;L147,_courses_lookup!$E:$E,0)),"")</f>
        <v/>
      </c>
      <c r="P147" t="str">
        <f>IFERROR(INDEX(_courses_lookup!$D:$D,MATCH(K147&amp;L147,_courses_lookup!$E:$E,0)),"")</f>
        <v/>
      </c>
      <c r="AG147" t="str">
        <f t="shared" si="22"/>
        <v/>
      </c>
      <c r="AI147" t="str">
        <f t="shared" si="23"/>
        <v/>
      </c>
      <c r="AL147" t="str">
        <f t="shared" si="24"/>
        <v/>
      </c>
      <c r="AN147" t="str">
        <f t="shared" si="25"/>
        <v/>
      </c>
      <c r="AQ147" t="str">
        <f t="shared" si="26"/>
        <v/>
      </c>
      <c r="AR147" t="str">
        <f t="shared" si="27"/>
        <v/>
      </c>
      <c r="AS147" t="str">
        <f t="shared" si="28"/>
        <v/>
      </c>
      <c r="AT147" t="str">
        <f t="shared" si="29"/>
        <v/>
      </c>
      <c r="BG147" t="str">
        <f t="shared" si="30"/>
        <v/>
      </c>
      <c r="BH147" t="str">
        <f t="shared" si="31"/>
        <v/>
      </c>
      <c r="BL147" t="str">
        <f>IFERROR(INDEX(_names_lookup!$C:$C,MATCH(BK147,_names_lookup!$A:$A,0)),"")</f>
        <v/>
      </c>
      <c r="BM147" t="str">
        <f>IFERROR(INDEX(_names_lookup!$B:$B,MATCH(BK147,_names_lookup!$A:$A,0)),"")</f>
        <v/>
      </c>
      <c r="BS147" t="str">
        <f t="shared" si="32"/>
        <v/>
      </c>
    </row>
    <row r="148" spans="15:71" x14ac:dyDescent="0.2">
      <c r="O148" t="str">
        <f>IFERROR(INDEX(_courses_lookup!$C:$C,MATCH(K148&amp;L148,_courses_lookup!$E:$E,0)),"")</f>
        <v/>
      </c>
      <c r="P148" t="str">
        <f>IFERROR(INDEX(_courses_lookup!$D:$D,MATCH(K148&amp;L148,_courses_lookup!$E:$E,0)),"")</f>
        <v/>
      </c>
      <c r="AG148" t="str">
        <f t="shared" si="22"/>
        <v/>
      </c>
      <c r="AI148" t="str">
        <f t="shared" si="23"/>
        <v/>
      </c>
      <c r="AL148" t="str">
        <f t="shared" si="24"/>
        <v/>
      </c>
      <c r="AN148" t="str">
        <f t="shared" si="25"/>
        <v/>
      </c>
      <c r="AQ148" t="str">
        <f t="shared" si="26"/>
        <v/>
      </c>
      <c r="AR148" t="str">
        <f t="shared" si="27"/>
        <v/>
      </c>
      <c r="AS148" t="str">
        <f t="shared" si="28"/>
        <v/>
      </c>
      <c r="AT148" t="str">
        <f t="shared" si="29"/>
        <v/>
      </c>
      <c r="BG148" t="str">
        <f t="shared" si="30"/>
        <v/>
      </c>
      <c r="BH148" t="str">
        <f t="shared" si="31"/>
        <v/>
      </c>
      <c r="BL148" t="str">
        <f>IFERROR(INDEX(_names_lookup!$C:$C,MATCH(BK148,_names_lookup!$A:$A,0)),"")</f>
        <v/>
      </c>
      <c r="BM148" t="str">
        <f>IFERROR(INDEX(_names_lookup!$B:$B,MATCH(BK148,_names_lookup!$A:$A,0)),"")</f>
        <v/>
      </c>
      <c r="BS148" t="str">
        <f t="shared" si="32"/>
        <v/>
      </c>
    </row>
    <row r="149" spans="15:71" x14ac:dyDescent="0.2">
      <c r="O149" t="str">
        <f>IFERROR(INDEX(_courses_lookup!$C:$C,MATCH(K149&amp;L149,_courses_lookup!$E:$E,0)),"")</f>
        <v/>
      </c>
      <c r="P149" t="str">
        <f>IFERROR(INDEX(_courses_lookup!$D:$D,MATCH(K149&amp;L149,_courses_lookup!$E:$E,0)),"")</f>
        <v/>
      </c>
      <c r="AG149" t="str">
        <f t="shared" si="22"/>
        <v/>
      </c>
      <c r="AI149" t="str">
        <f t="shared" si="23"/>
        <v/>
      </c>
      <c r="AL149" t="str">
        <f t="shared" si="24"/>
        <v/>
      </c>
      <c r="AN149" t="str">
        <f t="shared" si="25"/>
        <v/>
      </c>
      <c r="AQ149" t="str">
        <f t="shared" si="26"/>
        <v/>
      </c>
      <c r="AR149" t="str">
        <f t="shared" si="27"/>
        <v/>
      </c>
      <c r="AS149" t="str">
        <f t="shared" si="28"/>
        <v/>
      </c>
      <c r="AT149" t="str">
        <f t="shared" si="29"/>
        <v/>
      </c>
      <c r="BG149" t="str">
        <f t="shared" si="30"/>
        <v/>
      </c>
      <c r="BH149" t="str">
        <f t="shared" si="31"/>
        <v/>
      </c>
      <c r="BL149" t="str">
        <f>IFERROR(INDEX(_names_lookup!$C:$C,MATCH(BK149,_names_lookup!$A:$A,0)),"")</f>
        <v/>
      </c>
      <c r="BM149" t="str">
        <f>IFERROR(INDEX(_names_lookup!$B:$B,MATCH(BK149,_names_lookup!$A:$A,0)),"")</f>
        <v/>
      </c>
      <c r="BS149" t="str">
        <f t="shared" si="32"/>
        <v/>
      </c>
    </row>
    <row r="150" spans="15:71" x14ac:dyDescent="0.2">
      <c r="O150" t="str">
        <f>IFERROR(INDEX(_courses_lookup!$C:$C,MATCH(K150&amp;L150,_courses_lookup!$E:$E,0)),"")</f>
        <v/>
      </c>
      <c r="P150" t="str">
        <f>IFERROR(INDEX(_courses_lookup!$D:$D,MATCH(K150&amp;L150,_courses_lookup!$E:$E,0)),"")</f>
        <v/>
      </c>
      <c r="AG150" t="str">
        <f t="shared" si="22"/>
        <v/>
      </c>
      <c r="AI150" t="str">
        <f t="shared" si="23"/>
        <v/>
      </c>
      <c r="AL150" t="str">
        <f t="shared" si="24"/>
        <v/>
      </c>
      <c r="AN150" t="str">
        <f t="shared" si="25"/>
        <v/>
      </c>
      <c r="AQ150" t="str">
        <f t="shared" si="26"/>
        <v/>
      </c>
      <c r="AR150" t="str">
        <f t="shared" si="27"/>
        <v/>
      </c>
      <c r="AS150" t="str">
        <f t="shared" si="28"/>
        <v/>
      </c>
      <c r="AT150" t="str">
        <f t="shared" si="29"/>
        <v/>
      </c>
      <c r="BG150" t="str">
        <f t="shared" si="30"/>
        <v/>
      </c>
      <c r="BH150" t="str">
        <f t="shared" si="31"/>
        <v/>
      </c>
      <c r="BL150" t="str">
        <f>IFERROR(INDEX(_names_lookup!$C:$C,MATCH(BK150,_names_lookup!$A:$A,0)),"")</f>
        <v/>
      </c>
      <c r="BM150" t="str">
        <f>IFERROR(INDEX(_names_lookup!$B:$B,MATCH(BK150,_names_lookup!$A:$A,0)),"")</f>
        <v/>
      </c>
      <c r="BS150" t="str">
        <f t="shared" si="32"/>
        <v/>
      </c>
    </row>
    <row r="151" spans="15:71" x14ac:dyDescent="0.2">
      <c r="O151" t="str">
        <f>IFERROR(INDEX(_courses_lookup!$C:$C,MATCH(K151&amp;L151,_courses_lookup!$E:$E,0)),"")</f>
        <v/>
      </c>
      <c r="P151" t="str">
        <f>IFERROR(INDEX(_courses_lookup!$D:$D,MATCH(K151&amp;L151,_courses_lookup!$E:$E,0)),"")</f>
        <v/>
      </c>
      <c r="AG151" t="str">
        <f t="shared" si="22"/>
        <v/>
      </c>
      <c r="AI151" t="str">
        <f t="shared" si="23"/>
        <v/>
      </c>
      <c r="AL151" t="str">
        <f t="shared" si="24"/>
        <v/>
      </c>
      <c r="AN151" t="str">
        <f t="shared" si="25"/>
        <v/>
      </c>
      <c r="AQ151" t="str">
        <f t="shared" si="26"/>
        <v/>
      </c>
      <c r="AR151" t="str">
        <f t="shared" si="27"/>
        <v/>
      </c>
      <c r="AS151" t="str">
        <f t="shared" si="28"/>
        <v/>
      </c>
      <c r="AT151" t="str">
        <f t="shared" si="29"/>
        <v/>
      </c>
      <c r="BG151" t="str">
        <f t="shared" si="30"/>
        <v/>
      </c>
      <c r="BH151" t="str">
        <f t="shared" si="31"/>
        <v/>
      </c>
      <c r="BL151" t="str">
        <f>IFERROR(INDEX(_names_lookup!$C:$C,MATCH(BK151,_names_lookup!$A:$A,0)),"")</f>
        <v/>
      </c>
      <c r="BM151" t="str">
        <f>IFERROR(INDEX(_names_lookup!$B:$B,MATCH(BK151,_names_lookup!$A:$A,0)),"")</f>
        <v/>
      </c>
      <c r="BS151" t="str">
        <f t="shared" si="32"/>
        <v/>
      </c>
    </row>
    <row r="152" spans="15:71" x14ac:dyDescent="0.2">
      <c r="O152" t="str">
        <f>IFERROR(INDEX(_courses_lookup!$C:$C,MATCH(K152&amp;L152,_courses_lookup!$E:$E,0)),"")</f>
        <v/>
      </c>
      <c r="P152" t="str">
        <f>IFERROR(INDEX(_courses_lookup!$D:$D,MATCH(K152&amp;L152,_courses_lookup!$E:$E,0)),"")</f>
        <v/>
      </c>
      <c r="AG152" t="str">
        <f t="shared" si="22"/>
        <v/>
      </c>
      <c r="AI152" t="str">
        <f t="shared" si="23"/>
        <v/>
      </c>
      <c r="AL152" t="str">
        <f t="shared" si="24"/>
        <v/>
      </c>
      <c r="AN152" t="str">
        <f t="shared" si="25"/>
        <v/>
      </c>
      <c r="AQ152" t="str">
        <f t="shared" si="26"/>
        <v/>
      </c>
      <c r="AR152" t="str">
        <f t="shared" si="27"/>
        <v/>
      </c>
      <c r="AS152" t="str">
        <f t="shared" si="28"/>
        <v/>
      </c>
      <c r="AT152" t="str">
        <f t="shared" si="29"/>
        <v/>
      </c>
      <c r="BG152" t="str">
        <f t="shared" si="30"/>
        <v/>
      </c>
      <c r="BH152" t="str">
        <f t="shared" si="31"/>
        <v/>
      </c>
      <c r="BL152" t="str">
        <f>IFERROR(INDEX(_names_lookup!$C:$C,MATCH(BK152,_names_lookup!$A:$A,0)),"")</f>
        <v/>
      </c>
      <c r="BM152" t="str">
        <f>IFERROR(INDEX(_names_lookup!$B:$B,MATCH(BK152,_names_lookup!$A:$A,0)),"")</f>
        <v/>
      </c>
      <c r="BS152" t="str">
        <f t="shared" si="32"/>
        <v/>
      </c>
    </row>
    <row r="153" spans="15:71" x14ac:dyDescent="0.2">
      <c r="O153" t="str">
        <f>IFERROR(INDEX(_courses_lookup!$C:$C,MATCH(K153&amp;L153,_courses_lookup!$E:$E,0)),"")</f>
        <v/>
      </c>
      <c r="P153" t="str">
        <f>IFERROR(INDEX(_courses_lookup!$D:$D,MATCH(K153&amp;L153,_courses_lookup!$E:$E,0)),"")</f>
        <v/>
      </c>
      <c r="AG153" t="str">
        <f t="shared" si="22"/>
        <v/>
      </c>
      <c r="AI153" t="str">
        <f t="shared" si="23"/>
        <v/>
      </c>
      <c r="AL153" t="str">
        <f t="shared" si="24"/>
        <v/>
      </c>
      <c r="AN153" t="str">
        <f t="shared" si="25"/>
        <v/>
      </c>
      <c r="AQ153" t="str">
        <f t="shared" si="26"/>
        <v/>
      </c>
      <c r="AR153" t="str">
        <f t="shared" si="27"/>
        <v/>
      </c>
      <c r="AS153" t="str">
        <f t="shared" si="28"/>
        <v/>
      </c>
      <c r="AT153" t="str">
        <f t="shared" si="29"/>
        <v/>
      </c>
      <c r="BG153" t="str">
        <f t="shared" si="30"/>
        <v/>
      </c>
      <c r="BH153" t="str">
        <f t="shared" si="31"/>
        <v/>
      </c>
      <c r="BL153" t="str">
        <f>IFERROR(INDEX(_names_lookup!$C:$C,MATCH(BK153,_names_lookup!$A:$A,0)),"")</f>
        <v/>
      </c>
      <c r="BM153" t="str">
        <f>IFERROR(INDEX(_names_lookup!$B:$B,MATCH(BK153,_names_lookup!$A:$A,0)),"")</f>
        <v/>
      </c>
      <c r="BS153" t="str">
        <f t="shared" si="32"/>
        <v/>
      </c>
    </row>
    <row r="154" spans="15:71" x14ac:dyDescent="0.2">
      <c r="O154" t="str">
        <f>IFERROR(INDEX(_courses_lookup!$C:$C,MATCH(K154&amp;L154,_courses_lookup!$E:$E,0)),"")</f>
        <v/>
      </c>
      <c r="P154" t="str">
        <f>IFERROR(INDEX(_courses_lookup!$D:$D,MATCH(K154&amp;L154,_courses_lookup!$E:$E,0)),"")</f>
        <v/>
      </c>
      <c r="AG154" t="str">
        <f t="shared" si="22"/>
        <v/>
      </c>
      <c r="AI154" t="str">
        <f t="shared" si="23"/>
        <v/>
      </c>
      <c r="AL154" t="str">
        <f t="shared" si="24"/>
        <v/>
      </c>
      <c r="AN154" t="str">
        <f t="shared" si="25"/>
        <v/>
      </c>
      <c r="AQ154" t="str">
        <f t="shared" si="26"/>
        <v/>
      </c>
      <c r="AR154" t="str">
        <f t="shared" si="27"/>
        <v/>
      </c>
      <c r="AS154" t="str">
        <f t="shared" si="28"/>
        <v/>
      </c>
      <c r="AT154" t="str">
        <f t="shared" si="29"/>
        <v/>
      </c>
      <c r="BG154" t="str">
        <f t="shared" si="30"/>
        <v/>
      </c>
      <c r="BH154" t="str">
        <f t="shared" si="31"/>
        <v/>
      </c>
      <c r="BL154" t="str">
        <f>IFERROR(INDEX(_names_lookup!$C:$C,MATCH(BK154,_names_lookup!$A:$A,0)),"")</f>
        <v/>
      </c>
      <c r="BM154" t="str">
        <f>IFERROR(INDEX(_names_lookup!$B:$B,MATCH(BK154,_names_lookup!$A:$A,0)),"")</f>
        <v/>
      </c>
      <c r="BS154" t="str">
        <f t="shared" si="32"/>
        <v/>
      </c>
    </row>
    <row r="155" spans="15:71" x14ac:dyDescent="0.2">
      <c r="O155" t="str">
        <f>IFERROR(INDEX(_courses_lookup!$C:$C,MATCH(K155&amp;L155,_courses_lookup!$E:$E,0)),"")</f>
        <v/>
      </c>
      <c r="P155" t="str">
        <f>IFERROR(INDEX(_courses_lookup!$D:$D,MATCH(K155&amp;L155,_courses_lookup!$E:$E,0)),"")</f>
        <v/>
      </c>
      <c r="AG155" t="str">
        <f t="shared" si="22"/>
        <v/>
      </c>
      <c r="AI155" t="str">
        <f t="shared" si="23"/>
        <v/>
      </c>
      <c r="AL155" t="str">
        <f t="shared" si="24"/>
        <v/>
      </c>
      <c r="AN155" t="str">
        <f t="shared" si="25"/>
        <v/>
      </c>
      <c r="AQ155" t="str">
        <f t="shared" si="26"/>
        <v/>
      </c>
      <c r="AR155" t="str">
        <f t="shared" si="27"/>
        <v/>
      </c>
      <c r="AS155" t="str">
        <f t="shared" si="28"/>
        <v/>
      </c>
      <c r="AT155" t="str">
        <f t="shared" si="29"/>
        <v/>
      </c>
      <c r="BG155" t="str">
        <f t="shared" si="30"/>
        <v/>
      </c>
      <c r="BH155" t="str">
        <f t="shared" si="31"/>
        <v/>
      </c>
      <c r="BL155" t="str">
        <f>IFERROR(INDEX(_names_lookup!$C:$C,MATCH(BK155,_names_lookup!$A:$A,0)),"")</f>
        <v/>
      </c>
      <c r="BM155" t="str">
        <f>IFERROR(INDEX(_names_lookup!$B:$B,MATCH(BK155,_names_lookup!$A:$A,0)),"")</f>
        <v/>
      </c>
      <c r="BS155" t="str">
        <f t="shared" si="32"/>
        <v/>
      </c>
    </row>
    <row r="156" spans="15:71" x14ac:dyDescent="0.2">
      <c r="O156" t="str">
        <f>IFERROR(INDEX(_courses_lookup!$C:$C,MATCH(K156&amp;L156,_courses_lookup!$E:$E,0)),"")</f>
        <v/>
      </c>
      <c r="P156" t="str">
        <f>IFERROR(INDEX(_courses_lookup!$D:$D,MATCH(K156&amp;L156,_courses_lookup!$E:$E,0)),"")</f>
        <v/>
      </c>
      <c r="AG156" t="str">
        <f t="shared" si="22"/>
        <v/>
      </c>
      <c r="AI156" t="str">
        <f t="shared" si="23"/>
        <v/>
      </c>
      <c r="AL156" t="str">
        <f t="shared" si="24"/>
        <v/>
      </c>
      <c r="AN156" t="str">
        <f t="shared" si="25"/>
        <v/>
      </c>
      <c r="AQ156" t="str">
        <f t="shared" si="26"/>
        <v/>
      </c>
      <c r="AR156" t="str">
        <f t="shared" si="27"/>
        <v/>
      </c>
      <c r="AS156" t="str">
        <f t="shared" si="28"/>
        <v/>
      </c>
      <c r="AT156" t="str">
        <f t="shared" si="29"/>
        <v/>
      </c>
      <c r="BG156" t="str">
        <f t="shared" si="30"/>
        <v/>
      </c>
      <c r="BH156" t="str">
        <f t="shared" si="31"/>
        <v/>
      </c>
      <c r="BL156" t="str">
        <f>IFERROR(INDEX(_names_lookup!$C:$C,MATCH(BK156,_names_lookup!$A:$A,0)),"")</f>
        <v/>
      </c>
      <c r="BM156" t="str">
        <f>IFERROR(INDEX(_names_lookup!$B:$B,MATCH(BK156,_names_lookup!$A:$A,0)),"")</f>
        <v/>
      </c>
      <c r="BS156" t="str">
        <f t="shared" si="32"/>
        <v/>
      </c>
    </row>
    <row r="157" spans="15:71" x14ac:dyDescent="0.2">
      <c r="O157" t="str">
        <f>IFERROR(INDEX(_courses_lookup!$C:$C,MATCH(K157&amp;L157,_courses_lookup!$E:$E,0)),"")</f>
        <v/>
      </c>
      <c r="P157" t="str">
        <f>IFERROR(INDEX(_courses_lookup!$D:$D,MATCH(K157&amp;L157,_courses_lookup!$E:$E,0)),"")</f>
        <v/>
      </c>
      <c r="AG157" t="str">
        <f t="shared" si="22"/>
        <v/>
      </c>
      <c r="AI157" t="str">
        <f t="shared" si="23"/>
        <v/>
      </c>
      <c r="AL157" t="str">
        <f t="shared" si="24"/>
        <v/>
      </c>
      <c r="AN157" t="str">
        <f t="shared" si="25"/>
        <v/>
      </c>
      <c r="AQ157" t="str">
        <f t="shared" si="26"/>
        <v/>
      </c>
      <c r="AR157" t="str">
        <f t="shared" si="27"/>
        <v/>
      </c>
      <c r="AS157" t="str">
        <f t="shared" si="28"/>
        <v/>
      </c>
      <c r="AT157" t="str">
        <f t="shared" si="29"/>
        <v/>
      </c>
      <c r="BG157" t="str">
        <f t="shared" si="30"/>
        <v/>
      </c>
      <c r="BH157" t="str">
        <f t="shared" si="31"/>
        <v/>
      </c>
      <c r="BL157" t="str">
        <f>IFERROR(INDEX(_names_lookup!$C:$C,MATCH(BK157,_names_lookup!$A:$A,0)),"")</f>
        <v/>
      </c>
      <c r="BM157" t="str">
        <f>IFERROR(INDEX(_names_lookup!$B:$B,MATCH(BK157,_names_lookup!$A:$A,0)),"")</f>
        <v/>
      </c>
      <c r="BS157" t="str">
        <f t="shared" si="32"/>
        <v/>
      </c>
    </row>
    <row r="158" spans="15:71" x14ac:dyDescent="0.2">
      <c r="O158" t="str">
        <f>IFERROR(INDEX(_courses_lookup!$C:$C,MATCH(K158&amp;L158,_courses_lookup!$E:$E,0)),"")</f>
        <v/>
      </c>
      <c r="P158" t="str">
        <f>IFERROR(INDEX(_courses_lookup!$D:$D,MATCH(K158&amp;L158,_courses_lookup!$E:$E,0)),"")</f>
        <v/>
      </c>
      <c r="AG158" t="str">
        <f t="shared" si="22"/>
        <v/>
      </c>
      <c r="AI158" t="str">
        <f t="shared" si="23"/>
        <v/>
      </c>
      <c r="AL158" t="str">
        <f t="shared" si="24"/>
        <v/>
      </c>
      <c r="AN158" t="str">
        <f t="shared" si="25"/>
        <v/>
      </c>
      <c r="AQ158" t="str">
        <f t="shared" si="26"/>
        <v/>
      </c>
      <c r="AR158" t="str">
        <f t="shared" si="27"/>
        <v/>
      </c>
      <c r="AS158" t="str">
        <f t="shared" si="28"/>
        <v/>
      </c>
      <c r="AT158" t="str">
        <f t="shared" si="29"/>
        <v/>
      </c>
      <c r="BG158" t="str">
        <f t="shared" si="30"/>
        <v/>
      </c>
      <c r="BH158" t="str">
        <f t="shared" si="31"/>
        <v/>
      </c>
      <c r="BL158" t="str">
        <f>IFERROR(INDEX(_names_lookup!$C:$C,MATCH(BK158,_names_lookup!$A:$A,0)),"")</f>
        <v/>
      </c>
      <c r="BM158" t="str">
        <f>IFERROR(INDEX(_names_lookup!$B:$B,MATCH(BK158,_names_lookup!$A:$A,0)),"")</f>
        <v/>
      </c>
      <c r="BS158" t="str">
        <f t="shared" si="32"/>
        <v/>
      </c>
    </row>
    <row r="159" spans="15:71" x14ac:dyDescent="0.2">
      <c r="O159" t="str">
        <f>IFERROR(INDEX(_courses_lookup!$C:$C,MATCH(K159&amp;L159,_courses_lookup!$E:$E,0)),"")</f>
        <v/>
      </c>
      <c r="P159" t="str">
        <f>IFERROR(INDEX(_courses_lookup!$D:$D,MATCH(K159&amp;L159,_courses_lookup!$E:$E,0)),"")</f>
        <v/>
      </c>
      <c r="AG159" t="str">
        <f t="shared" si="22"/>
        <v/>
      </c>
      <c r="AI159" t="str">
        <f t="shared" si="23"/>
        <v/>
      </c>
      <c r="AL159" t="str">
        <f t="shared" si="24"/>
        <v/>
      </c>
      <c r="AN159" t="str">
        <f t="shared" si="25"/>
        <v/>
      </c>
      <c r="AQ159" t="str">
        <f t="shared" si="26"/>
        <v/>
      </c>
      <c r="AR159" t="str">
        <f t="shared" si="27"/>
        <v/>
      </c>
      <c r="AS159" t="str">
        <f t="shared" si="28"/>
        <v/>
      </c>
      <c r="AT159" t="str">
        <f t="shared" si="29"/>
        <v/>
      </c>
      <c r="BG159" t="str">
        <f t="shared" si="30"/>
        <v/>
      </c>
      <c r="BH159" t="str">
        <f t="shared" si="31"/>
        <v/>
      </c>
      <c r="BL159" t="str">
        <f>IFERROR(INDEX(_names_lookup!$C:$C,MATCH(BK159,_names_lookup!$A:$A,0)),"")</f>
        <v/>
      </c>
      <c r="BM159" t="str">
        <f>IFERROR(INDEX(_names_lookup!$B:$B,MATCH(BK159,_names_lookup!$A:$A,0)),"")</f>
        <v/>
      </c>
      <c r="BS159" t="str">
        <f t="shared" si="32"/>
        <v/>
      </c>
    </row>
    <row r="160" spans="15:71" x14ac:dyDescent="0.2">
      <c r="O160" t="str">
        <f>IFERROR(INDEX(_courses_lookup!$C:$C,MATCH(K160&amp;L160,_courses_lookup!$E:$E,0)),"")</f>
        <v/>
      </c>
      <c r="P160" t="str">
        <f>IFERROR(INDEX(_courses_lookup!$D:$D,MATCH(K160&amp;L160,_courses_lookup!$E:$E,0)),"")</f>
        <v/>
      </c>
      <c r="AG160" t="str">
        <f t="shared" si="22"/>
        <v/>
      </c>
      <c r="AI160" t="str">
        <f t="shared" si="23"/>
        <v/>
      </c>
      <c r="AL160" t="str">
        <f t="shared" si="24"/>
        <v/>
      </c>
      <c r="AN160" t="str">
        <f t="shared" si="25"/>
        <v/>
      </c>
      <c r="AQ160" t="str">
        <f t="shared" si="26"/>
        <v/>
      </c>
      <c r="AR160" t="str">
        <f t="shared" si="27"/>
        <v/>
      </c>
      <c r="AS160" t="str">
        <f t="shared" si="28"/>
        <v/>
      </c>
      <c r="AT160" t="str">
        <f t="shared" si="29"/>
        <v/>
      </c>
      <c r="BG160" t="str">
        <f t="shared" si="30"/>
        <v/>
      </c>
      <c r="BH160" t="str">
        <f t="shared" si="31"/>
        <v/>
      </c>
      <c r="BL160" t="str">
        <f>IFERROR(INDEX(_names_lookup!$C:$C,MATCH(BK160,_names_lookup!$A:$A,0)),"")</f>
        <v/>
      </c>
      <c r="BM160" t="str">
        <f>IFERROR(INDEX(_names_lookup!$B:$B,MATCH(BK160,_names_lookup!$A:$A,0)),"")</f>
        <v/>
      </c>
      <c r="BS160" t="str">
        <f t="shared" si="32"/>
        <v/>
      </c>
    </row>
    <row r="161" spans="15:71" x14ac:dyDescent="0.2">
      <c r="O161" t="str">
        <f>IFERROR(INDEX(_courses_lookup!$C:$C,MATCH(K161&amp;L161,_courses_lookup!$E:$E,0)),"")</f>
        <v/>
      </c>
      <c r="P161" t="str">
        <f>IFERROR(INDEX(_courses_lookup!$D:$D,MATCH(K161&amp;L161,_courses_lookup!$E:$E,0)),"")</f>
        <v/>
      </c>
      <c r="AG161" t="str">
        <f t="shared" si="22"/>
        <v/>
      </c>
      <c r="AI161" t="str">
        <f t="shared" si="23"/>
        <v/>
      </c>
      <c r="AL161" t="str">
        <f t="shared" si="24"/>
        <v/>
      </c>
      <c r="AN161" t="str">
        <f t="shared" si="25"/>
        <v/>
      </c>
      <c r="AQ161" t="str">
        <f t="shared" si="26"/>
        <v/>
      </c>
      <c r="AR161" t="str">
        <f t="shared" si="27"/>
        <v/>
      </c>
      <c r="AS161" t="str">
        <f t="shared" si="28"/>
        <v/>
      </c>
      <c r="AT161" t="str">
        <f t="shared" si="29"/>
        <v/>
      </c>
      <c r="BG161" t="str">
        <f t="shared" si="30"/>
        <v/>
      </c>
      <c r="BH161" t="str">
        <f t="shared" si="31"/>
        <v/>
      </c>
      <c r="BL161" t="str">
        <f>IFERROR(INDEX(_names_lookup!$C:$C,MATCH(BK161,_names_lookup!$A:$A,0)),"")</f>
        <v/>
      </c>
      <c r="BM161" t="str">
        <f>IFERROR(INDEX(_names_lookup!$B:$B,MATCH(BK161,_names_lookup!$A:$A,0)),"")</f>
        <v/>
      </c>
      <c r="BS161" t="str">
        <f t="shared" si="32"/>
        <v/>
      </c>
    </row>
    <row r="162" spans="15:71" x14ac:dyDescent="0.2">
      <c r="O162" t="str">
        <f>IFERROR(INDEX(_courses_lookup!$C:$C,MATCH(K162&amp;L162,_courses_lookup!$E:$E,0)),"")</f>
        <v/>
      </c>
      <c r="P162" t="str">
        <f>IFERROR(INDEX(_courses_lookup!$D:$D,MATCH(K162&amp;L162,_courses_lookup!$E:$E,0)),"")</f>
        <v/>
      </c>
      <c r="AG162" t="str">
        <f t="shared" si="22"/>
        <v/>
      </c>
      <c r="AI162" t="str">
        <f t="shared" si="23"/>
        <v/>
      </c>
      <c r="AL162" t="str">
        <f t="shared" si="24"/>
        <v/>
      </c>
      <c r="AN162" t="str">
        <f t="shared" si="25"/>
        <v/>
      </c>
      <c r="AQ162" t="str">
        <f t="shared" si="26"/>
        <v/>
      </c>
      <c r="AR162" t="str">
        <f t="shared" si="27"/>
        <v/>
      </c>
      <c r="AS162" t="str">
        <f t="shared" si="28"/>
        <v/>
      </c>
      <c r="AT162" t="str">
        <f t="shared" si="29"/>
        <v/>
      </c>
      <c r="BG162" t="str">
        <f t="shared" si="30"/>
        <v/>
      </c>
      <c r="BH162" t="str">
        <f t="shared" si="31"/>
        <v/>
      </c>
      <c r="BL162" t="str">
        <f>IFERROR(INDEX(_names_lookup!$C:$C,MATCH(BK162,_names_lookup!$A:$A,0)),"")</f>
        <v/>
      </c>
      <c r="BM162" t="str">
        <f>IFERROR(INDEX(_names_lookup!$B:$B,MATCH(BK162,_names_lookup!$A:$A,0)),"")</f>
        <v/>
      </c>
      <c r="BS162" t="str">
        <f t="shared" si="32"/>
        <v/>
      </c>
    </row>
    <row r="163" spans="15:71" x14ac:dyDescent="0.2">
      <c r="O163" t="str">
        <f>IFERROR(INDEX(_courses_lookup!$C:$C,MATCH(K163&amp;L163,_courses_lookup!$E:$E,0)),"")</f>
        <v/>
      </c>
      <c r="P163" t="str">
        <f>IFERROR(INDEX(_courses_lookup!$D:$D,MATCH(K163&amp;L163,_courses_lookup!$E:$E,0)),"")</f>
        <v/>
      </c>
      <c r="AG163" t="str">
        <f t="shared" si="22"/>
        <v/>
      </c>
      <c r="AI163" t="str">
        <f t="shared" si="23"/>
        <v/>
      </c>
      <c r="AL163" t="str">
        <f t="shared" si="24"/>
        <v/>
      </c>
      <c r="AN163" t="str">
        <f t="shared" si="25"/>
        <v/>
      </c>
      <c r="AQ163" t="str">
        <f t="shared" si="26"/>
        <v/>
      </c>
      <c r="AR163" t="str">
        <f t="shared" si="27"/>
        <v/>
      </c>
      <c r="AS163" t="str">
        <f t="shared" si="28"/>
        <v/>
      </c>
      <c r="AT163" t="str">
        <f t="shared" si="29"/>
        <v/>
      </c>
      <c r="BG163" t="str">
        <f t="shared" si="30"/>
        <v/>
      </c>
      <c r="BH163" t="str">
        <f t="shared" si="31"/>
        <v/>
      </c>
      <c r="BL163" t="str">
        <f>IFERROR(INDEX(_names_lookup!$C:$C,MATCH(BK163,_names_lookup!$A:$A,0)),"")</f>
        <v/>
      </c>
      <c r="BM163" t="str">
        <f>IFERROR(INDEX(_names_lookup!$B:$B,MATCH(BK163,_names_lookup!$A:$A,0)),"")</f>
        <v/>
      </c>
      <c r="BS163" t="str">
        <f t="shared" si="32"/>
        <v/>
      </c>
    </row>
    <row r="164" spans="15:71" x14ac:dyDescent="0.2">
      <c r="O164" t="str">
        <f>IFERROR(INDEX(_courses_lookup!$C:$C,MATCH(K164&amp;L164,_courses_lookup!$E:$E,0)),"")</f>
        <v/>
      </c>
      <c r="P164" t="str">
        <f>IFERROR(INDEX(_courses_lookup!$D:$D,MATCH(K164&amp;L164,_courses_lookup!$E:$E,0)),"")</f>
        <v/>
      </c>
      <c r="AG164" t="str">
        <f t="shared" si="22"/>
        <v/>
      </c>
      <c r="AI164" t="str">
        <f t="shared" si="23"/>
        <v/>
      </c>
      <c r="AL164" t="str">
        <f t="shared" si="24"/>
        <v/>
      </c>
      <c r="AN164" t="str">
        <f t="shared" si="25"/>
        <v/>
      </c>
      <c r="AQ164" t="str">
        <f t="shared" si="26"/>
        <v/>
      </c>
      <c r="AR164" t="str">
        <f t="shared" si="27"/>
        <v/>
      </c>
      <c r="AS164" t="str">
        <f t="shared" si="28"/>
        <v/>
      </c>
      <c r="AT164" t="str">
        <f t="shared" si="29"/>
        <v/>
      </c>
      <c r="BG164" t="str">
        <f t="shared" si="30"/>
        <v/>
      </c>
      <c r="BH164" t="str">
        <f t="shared" si="31"/>
        <v/>
      </c>
      <c r="BL164" t="str">
        <f>IFERROR(INDEX(_names_lookup!$C:$C,MATCH(BK164,_names_lookup!$A:$A,0)),"")</f>
        <v/>
      </c>
      <c r="BM164" t="str">
        <f>IFERROR(INDEX(_names_lookup!$B:$B,MATCH(BK164,_names_lookup!$A:$A,0)),"")</f>
        <v/>
      </c>
      <c r="BS164" t="str">
        <f t="shared" si="32"/>
        <v/>
      </c>
    </row>
    <row r="165" spans="15:71" x14ac:dyDescent="0.2">
      <c r="O165" t="str">
        <f>IFERROR(INDEX(_courses_lookup!$C:$C,MATCH(K165&amp;L165,_courses_lookup!$E:$E,0)),"")</f>
        <v/>
      </c>
      <c r="P165" t="str">
        <f>IFERROR(INDEX(_courses_lookup!$D:$D,MATCH(K165&amp;L165,_courses_lookup!$E:$E,0)),"")</f>
        <v/>
      </c>
      <c r="AG165" t="str">
        <f t="shared" si="22"/>
        <v/>
      </c>
      <c r="AI165" t="str">
        <f t="shared" si="23"/>
        <v/>
      </c>
      <c r="AL165" t="str">
        <f t="shared" si="24"/>
        <v/>
      </c>
      <c r="AN165" t="str">
        <f t="shared" si="25"/>
        <v/>
      </c>
      <c r="AQ165" t="str">
        <f t="shared" si="26"/>
        <v/>
      </c>
      <c r="AR165" t="str">
        <f t="shared" si="27"/>
        <v/>
      </c>
      <c r="AS165" t="str">
        <f t="shared" si="28"/>
        <v/>
      </c>
      <c r="AT165" t="str">
        <f t="shared" si="29"/>
        <v/>
      </c>
      <c r="BG165" t="str">
        <f t="shared" si="30"/>
        <v/>
      </c>
      <c r="BH165" t="str">
        <f t="shared" si="31"/>
        <v/>
      </c>
      <c r="BL165" t="str">
        <f>IFERROR(INDEX(_names_lookup!$C:$C,MATCH(BK165,_names_lookup!$A:$A,0)),"")</f>
        <v/>
      </c>
      <c r="BM165" t="str">
        <f>IFERROR(INDEX(_names_lookup!$B:$B,MATCH(BK165,_names_lookup!$A:$A,0)),"")</f>
        <v/>
      </c>
      <c r="BS165" t="str">
        <f t="shared" si="32"/>
        <v/>
      </c>
    </row>
    <row r="166" spans="15:71" x14ac:dyDescent="0.2">
      <c r="O166" t="str">
        <f>IFERROR(INDEX(_courses_lookup!$C:$C,MATCH(K166&amp;L166,_courses_lookup!$E:$E,0)),"")</f>
        <v/>
      </c>
      <c r="P166" t="str">
        <f>IFERROR(INDEX(_courses_lookup!$D:$D,MATCH(K166&amp;L166,_courses_lookup!$E:$E,0)),"")</f>
        <v/>
      </c>
      <c r="AG166" t="str">
        <f t="shared" si="22"/>
        <v/>
      </c>
      <c r="AI166" t="str">
        <f t="shared" si="23"/>
        <v/>
      </c>
      <c r="AL166" t="str">
        <f t="shared" si="24"/>
        <v/>
      </c>
      <c r="AN166" t="str">
        <f t="shared" si="25"/>
        <v/>
      </c>
      <c r="AQ166" t="str">
        <f t="shared" si="26"/>
        <v/>
      </c>
      <c r="AR166" t="str">
        <f t="shared" si="27"/>
        <v/>
      </c>
      <c r="AS166" t="str">
        <f t="shared" si="28"/>
        <v/>
      </c>
      <c r="AT166" t="str">
        <f t="shared" si="29"/>
        <v/>
      </c>
      <c r="BG166" t="str">
        <f t="shared" si="30"/>
        <v/>
      </c>
      <c r="BH166" t="str">
        <f t="shared" si="31"/>
        <v/>
      </c>
      <c r="BL166" t="str">
        <f>IFERROR(INDEX(_names_lookup!$C:$C,MATCH(BK166,_names_lookup!$A:$A,0)),"")</f>
        <v/>
      </c>
      <c r="BM166" t="str">
        <f>IFERROR(INDEX(_names_lookup!$B:$B,MATCH(BK166,_names_lookup!$A:$A,0)),"")</f>
        <v/>
      </c>
      <c r="BS166" t="str">
        <f t="shared" si="32"/>
        <v/>
      </c>
    </row>
    <row r="167" spans="15:71" x14ac:dyDescent="0.2">
      <c r="O167" t="str">
        <f>IFERROR(INDEX(_courses_lookup!$C:$C,MATCH(K167&amp;L167,_courses_lookup!$E:$E,0)),"")</f>
        <v/>
      </c>
      <c r="P167" t="str">
        <f>IFERROR(INDEX(_courses_lookup!$D:$D,MATCH(K167&amp;L167,_courses_lookup!$E:$E,0)),"")</f>
        <v/>
      </c>
      <c r="AG167" t="str">
        <f t="shared" si="22"/>
        <v/>
      </c>
      <c r="AI167" t="str">
        <f t="shared" si="23"/>
        <v/>
      </c>
      <c r="AL167" t="str">
        <f t="shared" si="24"/>
        <v/>
      </c>
      <c r="AN167" t="str">
        <f t="shared" si="25"/>
        <v/>
      </c>
      <c r="AQ167" t="str">
        <f t="shared" si="26"/>
        <v/>
      </c>
      <c r="AR167" t="str">
        <f t="shared" si="27"/>
        <v/>
      </c>
      <c r="AS167" t="str">
        <f t="shared" si="28"/>
        <v/>
      </c>
      <c r="AT167" t="str">
        <f t="shared" si="29"/>
        <v/>
      </c>
      <c r="BG167" t="str">
        <f t="shared" si="30"/>
        <v/>
      </c>
      <c r="BH167" t="str">
        <f t="shared" si="31"/>
        <v/>
      </c>
      <c r="BL167" t="str">
        <f>IFERROR(INDEX(_names_lookup!$C:$C,MATCH(BK167,_names_lookup!$A:$A,0)),"")</f>
        <v/>
      </c>
      <c r="BM167" t="str">
        <f>IFERROR(INDEX(_names_lookup!$B:$B,MATCH(BK167,_names_lookup!$A:$A,0)),"")</f>
        <v/>
      </c>
      <c r="BS167" t="str">
        <f t="shared" si="32"/>
        <v/>
      </c>
    </row>
    <row r="168" spans="15:71" x14ac:dyDescent="0.2">
      <c r="O168" t="str">
        <f>IFERROR(INDEX(_courses_lookup!$C:$C,MATCH(K168&amp;L168,_courses_lookup!$E:$E,0)),"")</f>
        <v/>
      </c>
      <c r="P168" t="str">
        <f>IFERROR(INDEX(_courses_lookup!$D:$D,MATCH(K168&amp;L168,_courses_lookup!$E:$E,0)),"")</f>
        <v/>
      </c>
      <c r="AG168" t="str">
        <f t="shared" si="22"/>
        <v/>
      </c>
      <c r="AI168" t="str">
        <f t="shared" si="23"/>
        <v/>
      </c>
      <c r="AL168" t="str">
        <f t="shared" si="24"/>
        <v/>
      </c>
      <c r="AN168" t="str">
        <f t="shared" si="25"/>
        <v/>
      </c>
      <c r="AQ168" t="str">
        <f t="shared" si="26"/>
        <v/>
      </c>
      <c r="AR168" t="str">
        <f t="shared" si="27"/>
        <v/>
      </c>
      <c r="AS168" t="str">
        <f t="shared" si="28"/>
        <v/>
      </c>
      <c r="AT168" t="str">
        <f t="shared" si="29"/>
        <v/>
      </c>
      <c r="BG168" t="str">
        <f t="shared" si="30"/>
        <v/>
      </c>
      <c r="BH168" t="str">
        <f t="shared" si="31"/>
        <v/>
      </c>
      <c r="BL168" t="str">
        <f>IFERROR(INDEX(_names_lookup!$C:$C,MATCH(BK168,_names_lookup!$A:$A,0)),"")</f>
        <v/>
      </c>
      <c r="BM168" t="str">
        <f>IFERROR(INDEX(_names_lookup!$B:$B,MATCH(BK168,_names_lookup!$A:$A,0)),"")</f>
        <v/>
      </c>
      <c r="BS168" t="str">
        <f t="shared" si="32"/>
        <v/>
      </c>
    </row>
    <row r="169" spans="15:71" x14ac:dyDescent="0.2">
      <c r="O169" t="str">
        <f>IFERROR(INDEX(_courses_lookup!$C:$C,MATCH(K169&amp;L169,_courses_lookup!$E:$E,0)),"")</f>
        <v/>
      </c>
      <c r="P169" t="str">
        <f>IFERROR(INDEX(_courses_lookup!$D:$D,MATCH(K169&amp;L169,_courses_lookup!$E:$E,0)),"")</f>
        <v/>
      </c>
      <c r="AG169" t="str">
        <f t="shared" si="22"/>
        <v/>
      </c>
      <c r="AI169" t="str">
        <f t="shared" si="23"/>
        <v/>
      </c>
      <c r="AL169" t="str">
        <f t="shared" si="24"/>
        <v/>
      </c>
      <c r="AN169" t="str">
        <f t="shared" si="25"/>
        <v/>
      </c>
      <c r="AQ169" t="str">
        <f t="shared" si="26"/>
        <v/>
      </c>
      <c r="AR169" t="str">
        <f t="shared" si="27"/>
        <v/>
      </c>
      <c r="AS169" t="str">
        <f t="shared" si="28"/>
        <v/>
      </c>
      <c r="AT169" t="str">
        <f t="shared" si="29"/>
        <v/>
      </c>
      <c r="BG169" t="str">
        <f t="shared" si="30"/>
        <v/>
      </c>
      <c r="BH169" t="str">
        <f t="shared" si="31"/>
        <v/>
      </c>
      <c r="BL169" t="str">
        <f>IFERROR(INDEX(_names_lookup!$C:$C,MATCH(BK169,_names_lookup!$A:$A,0)),"")</f>
        <v/>
      </c>
      <c r="BM169" t="str">
        <f>IFERROR(INDEX(_names_lookup!$B:$B,MATCH(BK169,_names_lookup!$A:$A,0)),"")</f>
        <v/>
      </c>
      <c r="BS169" t="str">
        <f t="shared" si="32"/>
        <v/>
      </c>
    </row>
    <row r="170" spans="15:71" x14ac:dyDescent="0.2">
      <c r="O170" t="str">
        <f>IFERROR(INDEX(_courses_lookup!$C:$C,MATCH(K170&amp;L170,_courses_lookup!$E:$E,0)),"")</f>
        <v/>
      </c>
      <c r="P170" t="str">
        <f>IFERROR(INDEX(_courses_lookup!$D:$D,MATCH(K170&amp;L170,_courses_lookup!$E:$E,0)),"")</f>
        <v/>
      </c>
      <c r="AG170" t="str">
        <f t="shared" si="22"/>
        <v/>
      </c>
      <c r="AI170" t="str">
        <f t="shared" si="23"/>
        <v/>
      </c>
      <c r="AL170" t="str">
        <f t="shared" si="24"/>
        <v/>
      </c>
      <c r="AN170" t="str">
        <f t="shared" si="25"/>
        <v/>
      </c>
      <c r="AQ170" t="str">
        <f t="shared" si="26"/>
        <v/>
      </c>
      <c r="AR170" t="str">
        <f t="shared" si="27"/>
        <v/>
      </c>
      <c r="AS170" t="str">
        <f t="shared" si="28"/>
        <v/>
      </c>
      <c r="AT170" t="str">
        <f t="shared" si="29"/>
        <v/>
      </c>
      <c r="BG170" t="str">
        <f t="shared" si="30"/>
        <v/>
      </c>
      <c r="BH170" t="str">
        <f t="shared" si="31"/>
        <v/>
      </c>
      <c r="BL170" t="str">
        <f>IFERROR(INDEX(_names_lookup!$C:$C,MATCH(BK170,_names_lookup!$A:$A,0)),"")</f>
        <v/>
      </c>
      <c r="BM170" t="str">
        <f>IFERROR(INDEX(_names_lookup!$B:$B,MATCH(BK170,_names_lookup!$A:$A,0)),"")</f>
        <v/>
      </c>
      <c r="BS170" t="str">
        <f t="shared" si="32"/>
        <v/>
      </c>
    </row>
    <row r="171" spans="15:71" x14ac:dyDescent="0.2">
      <c r="O171" t="str">
        <f>IFERROR(INDEX(_courses_lookup!$C:$C,MATCH(K171&amp;L171,_courses_lookup!$E:$E,0)),"")</f>
        <v/>
      </c>
      <c r="P171" t="str">
        <f>IFERROR(INDEX(_courses_lookup!$D:$D,MATCH(K171&amp;L171,_courses_lookup!$E:$E,0)),"")</f>
        <v/>
      </c>
      <c r="AG171" t="str">
        <f t="shared" si="22"/>
        <v/>
      </c>
      <c r="AI171" t="str">
        <f t="shared" si="23"/>
        <v/>
      </c>
      <c r="AL171" t="str">
        <f t="shared" si="24"/>
        <v/>
      </c>
      <c r="AN171" t="str">
        <f t="shared" si="25"/>
        <v/>
      </c>
      <c r="AQ171" t="str">
        <f t="shared" si="26"/>
        <v/>
      </c>
      <c r="AR171" t="str">
        <f t="shared" si="27"/>
        <v/>
      </c>
      <c r="AS171" t="str">
        <f t="shared" si="28"/>
        <v/>
      </c>
      <c r="AT171" t="str">
        <f t="shared" si="29"/>
        <v/>
      </c>
      <c r="BG171" t="str">
        <f t="shared" si="30"/>
        <v/>
      </c>
      <c r="BH171" t="str">
        <f t="shared" si="31"/>
        <v/>
      </c>
      <c r="BL171" t="str">
        <f>IFERROR(INDEX(_names_lookup!$C:$C,MATCH(BK171,_names_lookup!$A:$A,0)),"")</f>
        <v/>
      </c>
      <c r="BM171" t="str">
        <f>IFERROR(INDEX(_names_lookup!$B:$B,MATCH(BK171,_names_lookup!$A:$A,0)),"")</f>
        <v/>
      </c>
      <c r="BS171" t="str">
        <f t="shared" si="32"/>
        <v/>
      </c>
    </row>
    <row r="172" spans="15:71" x14ac:dyDescent="0.2">
      <c r="O172" t="str">
        <f>IFERROR(INDEX(_courses_lookup!$C:$C,MATCH(K172&amp;L172,_courses_lookup!$E:$E,0)),"")</f>
        <v/>
      </c>
      <c r="P172" t="str">
        <f>IFERROR(INDEX(_courses_lookup!$D:$D,MATCH(K172&amp;L172,_courses_lookup!$E:$E,0)),"")</f>
        <v/>
      </c>
      <c r="AG172" t="str">
        <f t="shared" si="22"/>
        <v/>
      </c>
      <c r="AI172" t="str">
        <f t="shared" si="23"/>
        <v/>
      </c>
      <c r="AL172" t="str">
        <f t="shared" si="24"/>
        <v/>
      </c>
      <c r="AN172" t="str">
        <f t="shared" si="25"/>
        <v/>
      </c>
      <c r="AQ172" t="str">
        <f t="shared" si="26"/>
        <v/>
      </c>
      <c r="AR172" t="str">
        <f t="shared" si="27"/>
        <v/>
      </c>
      <c r="AS172" t="str">
        <f t="shared" si="28"/>
        <v/>
      </c>
      <c r="AT172" t="str">
        <f t="shared" si="29"/>
        <v/>
      </c>
      <c r="BG172" t="str">
        <f t="shared" si="30"/>
        <v/>
      </c>
      <c r="BH172" t="str">
        <f t="shared" si="31"/>
        <v/>
      </c>
      <c r="BL172" t="str">
        <f>IFERROR(INDEX(_names_lookup!$C:$C,MATCH(BK172,_names_lookup!$A:$A,0)),"")</f>
        <v/>
      </c>
      <c r="BM172" t="str">
        <f>IFERROR(INDEX(_names_lookup!$B:$B,MATCH(BK172,_names_lookup!$A:$A,0)),"")</f>
        <v/>
      </c>
      <c r="BS172" t="str">
        <f t="shared" si="32"/>
        <v/>
      </c>
    </row>
    <row r="173" spans="15:71" x14ac:dyDescent="0.2">
      <c r="O173" t="str">
        <f>IFERROR(INDEX(_courses_lookup!$C:$C,MATCH(K173&amp;L173,_courses_lookup!$E:$E,0)),"")</f>
        <v/>
      </c>
      <c r="P173" t="str">
        <f>IFERROR(INDEX(_courses_lookup!$D:$D,MATCH(K173&amp;L173,_courses_lookup!$E:$E,0)),"")</f>
        <v/>
      </c>
      <c r="AG173" t="str">
        <f t="shared" si="22"/>
        <v/>
      </c>
      <c r="AI173" t="str">
        <f t="shared" si="23"/>
        <v/>
      </c>
      <c r="AL173" t="str">
        <f t="shared" si="24"/>
        <v/>
      </c>
      <c r="AN173" t="str">
        <f t="shared" si="25"/>
        <v/>
      </c>
      <c r="AQ173" t="str">
        <f t="shared" si="26"/>
        <v/>
      </c>
      <c r="AR173" t="str">
        <f t="shared" si="27"/>
        <v/>
      </c>
      <c r="AS173" t="str">
        <f t="shared" si="28"/>
        <v/>
      </c>
      <c r="AT173" t="str">
        <f t="shared" si="29"/>
        <v/>
      </c>
      <c r="BG173" t="str">
        <f t="shared" si="30"/>
        <v/>
      </c>
      <c r="BH173" t="str">
        <f t="shared" si="31"/>
        <v/>
      </c>
      <c r="BL173" t="str">
        <f>IFERROR(INDEX(_names_lookup!$C:$C,MATCH(BK173,_names_lookup!$A:$A,0)),"")</f>
        <v/>
      </c>
      <c r="BM173" t="str">
        <f>IFERROR(INDEX(_names_lookup!$B:$B,MATCH(BK173,_names_lookup!$A:$A,0)),"")</f>
        <v/>
      </c>
      <c r="BS173" t="str">
        <f t="shared" si="32"/>
        <v/>
      </c>
    </row>
    <row r="174" spans="15:71" x14ac:dyDescent="0.2">
      <c r="O174" t="str">
        <f>IFERROR(INDEX(_courses_lookup!$C:$C,MATCH(K174&amp;L174,_courses_lookup!$E:$E,0)),"")</f>
        <v/>
      </c>
      <c r="P174" t="str">
        <f>IFERROR(INDEX(_courses_lookup!$D:$D,MATCH(K174&amp;L174,_courses_lookup!$E:$E,0)),"")</f>
        <v/>
      </c>
      <c r="AG174" t="str">
        <f t="shared" si="22"/>
        <v/>
      </c>
      <c r="AI174" t="str">
        <f t="shared" si="23"/>
        <v/>
      </c>
      <c r="AL174" t="str">
        <f t="shared" si="24"/>
        <v/>
      </c>
      <c r="AN174" t="str">
        <f t="shared" si="25"/>
        <v/>
      </c>
      <c r="AQ174" t="str">
        <f t="shared" si="26"/>
        <v/>
      </c>
      <c r="AR174" t="str">
        <f t="shared" si="27"/>
        <v/>
      </c>
      <c r="AS174" t="str">
        <f t="shared" si="28"/>
        <v/>
      </c>
      <c r="AT174" t="str">
        <f t="shared" si="29"/>
        <v/>
      </c>
      <c r="BG174" t="str">
        <f t="shared" si="30"/>
        <v/>
      </c>
      <c r="BH174" t="str">
        <f t="shared" si="31"/>
        <v/>
      </c>
      <c r="BL174" t="str">
        <f>IFERROR(INDEX(_names_lookup!$C:$C,MATCH(BK174,_names_lookup!$A:$A,0)),"")</f>
        <v/>
      </c>
      <c r="BM174" t="str">
        <f>IFERROR(INDEX(_names_lookup!$B:$B,MATCH(BK174,_names_lookup!$A:$A,0)),"")</f>
        <v/>
      </c>
      <c r="BS174" t="str">
        <f t="shared" si="32"/>
        <v/>
      </c>
    </row>
    <row r="175" spans="15:71" x14ac:dyDescent="0.2">
      <c r="O175" t="str">
        <f>IFERROR(INDEX(_courses_lookup!$C:$C,MATCH(K175&amp;L175,_courses_lookup!$E:$E,0)),"")</f>
        <v/>
      </c>
      <c r="P175" t="str">
        <f>IFERROR(INDEX(_courses_lookup!$D:$D,MATCH(K175&amp;L175,_courses_lookup!$E:$E,0)),"")</f>
        <v/>
      </c>
      <c r="AG175" t="str">
        <f t="shared" si="22"/>
        <v/>
      </c>
      <c r="AI175" t="str">
        <f t="shared" si="23"/>
        <v/>
      </c>
      <c r="AL175" t="str">
        <f t="shared" si="24"/>
        <v/>
      </c>
      <c r="AN175" t="str">
        <f t="shared" si="25"/>
        <v/>
      </c>
      <c r="AQ175" t="str">
        <f t="shared" si="26"/>
        <v/>
      </c>
      <c r="AR175" t="str">
        <f t="shared" si="27"/>
        <v/>
      </c>
      <c r="AS175" t="str">
        <f t="shared" si="28"/>
        <v/>
      </c>
      <c r="AT175" t="str">
        <f t="shared" si="29"/>
        <v/>
      </c>
      <c r="BG175" t="str">
        <f t="shared" si="30"/>
        <v/>
      </c>
      <c r="BH175" t="str">
        <f t="shared" si="31"/>
        <v/>
      </c>
      <c r="BL175" t="str">
        <f>IFERROR(INDEX(_names_lookup!$C:$C,MATCH(BK175,_names_lookup!$A:$A,0)),"")</f>
        <v/>
      </c>
      <c r="BM175" t="str">
        <f>IFERROR(INDEX(_names_lookup!$B:$B,MATCH(BK175,_names_lookup!$A:$A,0)),"")</f>
        <v/>
      </c>
      <c r="BS175" t="str">
        <f t="shared" si="32"/>
        <v/>
      </c>
    </row>
    <row r="176" spans="15:71" x14ac:dyDescent="0.2">
      <c r="O176" t="str">
        <f>IFERROR(INDEX(_courses_lookup!$C:$C,MATCH(K176&amp;L176,_courses_lookup!$E:$E,0)),"")</f>
        <v/>
      </c>
      <c r="P176" t="str">
        <f>IFERROR(INDEX(_courses_lookup!$D:$D,MATCH(K176&amp;L176,_courses_lookup!$E:$E,0)),"")</f>
        <v/>
      </c>
      <c r="AG176" t="str">
        <f t="shared" si="22"/>
        <v/>
      </c>
      <c r="AI176" t="str">
        <f t="shared" si="23"/>
        <v/>
      </c>
      <c r="AL176" t="str">
        <f t="shared" si="24"/>
        <v/>
      </c>
      <c r="AN176" t="str">
        <f t="shared" si="25"/>
        <v/>
      </c>
      <c r="AQ176" t="str">
        <f t="shared" si="26"/>
        <v/>
      </c>
      <c r="AR176" t="str">
        <f t="shared" si="27"/>
        <v/>
      </c>
      <c r="AS176" t="str">
        <f t="shared" si="28"/>
        <v/>
      </c>
      <c r="AT176" t="str">
        <f t="shared" si="29"/>
        <v/>
      </c>
      <c r="BG176" t="str">
        <f t="shared" si="30"/>
        <v/>
      </c>
      <c r="BH176" t="str">
        <f t="shared" si="31"/>
        <v/>
      </c>
      <c r="BL176" t="str">
        <f>IFERROR(INDEX(_names_lookup!$C:$C,MATCH(BK176,_names_lookup!$A:$A,0)),"")</f>
        <v/>
      </c>
      <c r="BM176" t="str">
        <f>IFERROR(INDEX(_names_lookup!$B:$B,MATCH(BK176,_names_lookup!$A:$A,0)),"")</f>
        <v/>
      </c>
      <c r="BS176" t="str">
        <f t="shared" si="32"/>
        <v/>
      </c>
    </row>
    <row r="177" spans="15:71" x14ac:dyDescent="0.2">
      <c r="O177" t="str">
        <f>IFERROR(INDEX(_courses_lookup!$C:$C,MATCH(K177&amp;L177,_courses_lookup!$E:$E,0)),"")</f>
        <v/>
      </c>
      <c r="P177" t="str">
        <f>IFERROR(INDEX(_courses_lookup!$D:$D,MATCH(K177&amp;L177,_courses_lookup!$E:$E,0)),"")</f>
        <v/>
      </c>
      <c r="AG177" t="str">
        <f t="shared" si="22"/>
        <v/>
      </c>
      <c r="AI177" t="str">
        <f t="shared" si="23"/>
        <v/>
      </c>
      <c r="AL177" t="str">
        <f t="shared" si="24"/>
        <v/>
      </c>
      <c r="AN177" t="str">
        <f t="shared" si="25"/>
        <v/>
      </c>
      <c r="AQ177" t="str">
        <f t="shared" si="26"/>
        <v/>
      </c>
      <c r="AR177" t="str">
        <f t="shared" si="27"/>
        <v/>
      </c>
      <c r="AS177" t="str">
        <f t="shared" si="28"/>
        <v/>
      </c>
      <c r="AT177" t="str">
        <f t="shared" si="29"/>
        <v/>
      </c>
      <c r="BG177" t="str">
        <f t="shared" si="30"/>
        <v/>
      </c>
      <c r="BH177" t="str">
        <f t="shared" si="31"/>
        <v/>
      </c>
      <c r="BL177" t="str">
        <f>IFERROR(INDEX(_names_lookup!$C:$C,MATCH(BK177,_names_lookup!$A:$A,0)),"")</f>
        <v/>
      </c>
      <c r="BM177" t="str">
        <f>IFERROR(INDEX(_names_lookup!$B:$B,MATCH(BK177,_names_lookup!$A:$A,0)),"")</f>
        <v/>
      </c>
      <c r="BS177" t="str">
        <f t="shared" si="32"/>
        <v/>
      </c>
    </row>
    <row r="178" spans="15:71" x14ac:dyDescent="0.2">
      <c r="O178" t="str">
        <f>IFERROR(INDEX(_courses_lookup!$C:$C,MATCH(K178&amp;L178,_courses_lookup!$E:$E,0)),"")</f>
        <v/>
      </c>
      <c r="P178" t="str">
        <f>IFERROR(INDEX(_courses_lookup!$D:$D,MATCH(K178&amp;L178,_courses_lookup!$E:$E,0)),"")</f>
        <v/>
      </c>
      <c r="AG178" t="str">
        <f t="shared" si="22"/>
        <v/>
      </c>
      <c r="AI178" t="str">
        <f t="shared" si="23"/>
        <v/>
      </c>
      <c r="AL178" t="str">
        <f t="shared" si="24"/>
        <v/>
      </c>
      <c r="AN178" t="str">
        <f t="shared" si="25"/>
        <v/>
      </c>
      <c r="AQ178" t="str">
        <f t="shared" si="26"/>
        <v/>
      </c>
      <c r="AR178" t="str">
        <f t="shared" si="27"/>
        <v/>
      </c>
      <c r="AS178" t="str">
        <f t="shared" si="28"/>
        <v/>
      </c>
      <c r="AT178" t="str">
        <f t="shared" si="29"/>
        <v/>
      </c>
      <c r="BG178" t="str">
        <f t="shared" si="30"/>
        <v/>
      </c>
      <c r="BH178" t="str">
        <f t="shared" si="31"/>
        <v/>
      </c>
      <c r="BL178" t="str">
        <f>IFERROR(INDEX(_names_lookup!$C:$C,MATCH(BK178,_names_lookup!$A:$A,0)),"")</f>
        <v/>
      </c>
      <c r="BM178" t="str">
        <f>IFERROR(INDEX(_names_lookup!$B:$B,MATCH(BK178,_names_lookup!$A:$A,0)),"")</f>
        <v/>
      </c>
      <c r="BS178" t="str">
        <f t="shared" si="32"/>
        <v/>
      </c>
    </row>
    <row r="179" spans="15:71" x14ac:dyDescent="0.2">
      <c r="O179" t="str">
        <f>IFERROR(INDEX(_courses_lookup!$C:$C,MATCH(K179&amp;L179,_courses_lookup!$E:$E,0)),"")</f>
        <v/>
      </c>
      <c r="P179" t="str">
        <f>IFERROR(INDEX(_courses_lookup!$D:$D,MATCH(K179&amp;L179,_courses_lookup!$E:$E,0)),"")</f>
        <v/>
      </c>
      <c r="AG179" t="str">
        <f t="shared" si="22"/>
        <v/>
      </c>
      <c r="AI179" t="str">
        <f t="shared" si="23"/>
        <v/>
      </c>
      <c r="AL179" t="str">
        <f t="shared" si="24"/>
        <v/>
      </c>
      <c r="AN179" t="str">
        <f t="shared" si="25"/>
        <v/>
      </c>
      <c r="AQ179" t="str">
        <f t="shared" si="26"/>
        <v/>
      </c>
      <c r="AR179" t="str">
        <f t="shared" si="27"/>
        <v/>
      </c>
      <c r="AS179" t="str">
        <f t="shared" si="28"/>
        <v/>
      </c>
      <c r="AT179" t="str">
        <f t="shared" si="29"/>
        <v/>
      </c>
      <c r="BG179" t="str">
        <f t="shared" si="30"/>
        <v/>
      </c>
      <c r="BH179" t="str">
        <f t="shared" si="31"/>
        <v/>
      </c>
      <c r="BL179" t="str">
        <f>IFERROR(INDEX(_names_lookup!$C:$C,MATCH(BK179,_names_lookup!$A:$A,0)),"")</f>
        <v/>
      </c>
      <c r="BM179" t="str">
        <f>IFERROR(INDEX(_names_lookup!$B:$B,MATCH(BK179,_names_lookup!$A:$A,0)),"")</f>
        <v/>
      </c>
      <c r="BS179" t="str">
        <f t="shared" si="32"/>
        <v/>
      </c>
    </row>
    <row r="180" spans="15:71" x14ac:dyDescent="0.2">
      <c r="O180" t="str">
        <f>IFERROR(INDEX(_courses_lookup!$C:$C,MATCH(K180&amp;L180,_courses_lookup!$E:$E,0)),"")</f>
        <v/>
      </c>
      <c r="P180" t="str">
        <f>IFERROR(INDEX(_courses_lookup!$D:$D,MATCH(K180&amp;L180,_courses_lookup!$E:$E,0)),"")</f>
        <v/>
      </c>
      <c r="AG180" t="str">
        <f t="shared" si="22"/>
        <v/>
      </c>
      <c r="AI180" t="str">
        <f t="shared" si="23"/>
        <v/>
      </c>
      <c r="AL180" t="str">
        <f t="shared" si="24"/>
        <v/>
      </c>
      <c r="AN180" t="str">
        <f t="shared" si="25"/>
        <v/>
      </c>
      <c r="AQ180" t="str">
        <f t="shared" si="26"/>
        <v/>
      </c>
      <c r="AR180" t="str">
        <f t="shared" si="27"/>
        <v/>
      </c>
      <c r="AS180" t="str">
        <f t="shared" si="28"/>
        <v/>
      </c>
      <c r="AT180" t="str">
        <f t="shared" si="29"/>
        <v/>
      </c>
      <c r="BG180" t="str">
        <f t="shared" si="30"/>
        <v/>
      </c>
      <c r="BH180" t="str">
        <f t="shared" si="31"/>
        <v/>
      </c>
      <c r="BL180" t="str">
        <f>IFERROR(INDEX(_names_lookup!$C:$C,MATCH(BK180,_names_lookup!$A:$A,0)),"")</f>
        <v/>
      </c>
      <c r="BM180" t="str">
        <f>IFERROR(INDEX(_names_lookup!$B:$B,MATCH(BK180,_names_lookup!$A:$A,0)),"")</f>
        <v/>
      </c>
      <c r="BS180" t="str">
        <f t="shared" si="32"/>
        <v/>
      </c>
    </row>
    <row r="181" spans="15:71" x14ac:dyDescent="0.2">
      <c r="O181" t="str">
        <f>IFERROR(INDEX(_courses_lookup!$C:$C,MATCH(K181&amp;L181,_courses_lookup!$E:$E,0)),"")</f>
        <v/>
      </c>
      <c r="P181" t="str">
        <f>IFERROR(INDEX(_courses_lookup!$D:$D,MATCH(K181&amp;L181,_courses_lookup!$E:$E,0)),"")</f>
        <v/>
      </c>
      <c r="AG181" t="str">
        <f t="shared" si="22"/>
        <v/>
      </c>
      <c r="AI181" t="str">
        <f t="shared" si="23"/>
        <v/>
      </c>
      <c r="AL181" t="str">
        <f t="shared" si="24"/>
        <v/>
      </c>
      <c r="AN181" t="str">
        <f t="shared" si="25"/>
        <v/>
      </c>
      <c r="AQ181" t="str">
        <f t="shared" si="26"/>
        <v/>
      </c>
      <c r="AR181" t="str">
        <f t="shared" si="27"/>
        <v/>
      </c>
      <c r="AS181" t="str">
        <f t="shared" si="28"/>
        <v/>
      </c>
      <c r="AT181" t="str">
        <f t="shared" si="29"/>
        <v/>
      </c>
      <c r="BG181" t="str">
        <f t="shared" si="30"/>
        <v/>
      </c>
      <c r="BH181" t="str">
        <f t="shared" si="31"/>
        <v/>
      </c>
      <c r="BL181" t="str">
        <f>IFERROR(INDEX(_names_lookup!$C:$C,MATCH(BK181,_names_lookup!$A:$A,0)),"")</f>
        <v/>
      </c>
      <c r="BM181" t="str">
        <f>IFERROR(INDEX(_names_lookup!$B:$B,MATCH(BK181,_names_lookup!$A:$A,0)),"")</f>
        <v/>
      </c>
      <c r="BS181" t="str">
        <f t="shared" si="32"/>
        <v/>
      </c>
    </row>
    <row r="182" spans="15:71" x14ac:dyDescent="0.2">
      <c r="O182" t="str">
        <f>IFERROR(INDEX(_courses_lookup!$C:$C,MATCH(K182&amp;L182,_courses_lookup!$E:$E,0)),"")</f>
        <v/>
      </c>
      <c r="P182" t="str">
        <f>IFERROR(INDEX(_courses_lookup!$D:$D,MATCH(K182&amp;L182,_courses_lookup!$E:$E,0)),"")</f>
        <v/>
      </c>
      <c r="AG182" t="str">
        <f t="shared" si="22"/>
        <v/>
      </c>
      <c r="AI182" t="str">
        <f t="shared" si="23"/>
        <v/>
      </c>
      <c r="AL182" t="str">
        <f t="shared" si="24"/>
        <v/>
      </c>
      <c r="AN182" t="str">
        <f t="shared" si="25"/>
        <v/>
      </c>
      <c r="AQ182" t="str">
        <f t="shared" si="26"/>
        <v/>
      </c>
      <c r="AR182" t="str">
        <f t="shared" si="27"/>
        <v/>
      </c>
      <c r="AS182" t="str">
        <f t="shared" si="28"/>
        <v/>
      </c>
      <c r="AT182" t="str">
        <f t="shared" si="29"/>
        <v/>
      </c>
      <c r="BG182" t="str">
        <f t="shared" si="30"/>
        <v/>
      </c>
      <c r="BH182" t="str">
        <f t="shared" si="31"/>
        <v/>
      </c>
      <c r="BL182" t="str">
        <f>IFERROR(INDEX(_names_lookup!$C:$C,MATCH(BK182,_names_lookup!$A:$A,0)),"")</f>
        <v/>
      </c>
      <c r="BM182" t="str">
        <f>IFERROR(INDEX(_names_lookup!$B:$B,MATCH(BK182,_names_lookup!$A:$A,0)),"")</f>
        <v/>
      </c>
      <c r="BS182" t="str">
        <f t="shared" si="32"/>
        <v/>
      </c>
    </row>
    <row r="183" spans="15:71" x14ac:dyDescent="0.2">
      <c r="O183" t="str">
        <f>IFERROR(INDEX(_courses_lookup!$C:$C,MATCH(K183&amp;L183,_courses_lookup!$E:$E,0)),"")</f>
        <v/>
      </c>
      <c r="P183" t="str">
        <f>IFERROR(INDEX(_courses_lookup!$D:$D,MATCH(K183&amp;L183,_courses_lookup!$E:$E,0)),"")</f>
        <v/>
      </c>
      <c r="AG183" t="str">
        <f t="shared" si="22"/>
        <v/>
      </c>
      <c r="AI183" t="str">
        <f t="shared" si="23"/>
        <v/>
      </c>
      <c r="AL183" t="str">
        <f t="shared" si="24"/>
        <v/>
      </c>
      <c r="AN183" t="str">
        <f t="shared" si="25"/>
        <v/>
      </c>
      <c r="AQ183" t="str">
        <f t="shared" si="26"/>
        <v/>
      </c>
      <c r="AR183" t="str">
        <f t="shared" si="27"/>
        <v/>
      </c>
      <c r="AS183" t="str">
        <f t="shared" si="28"/>
        <v/>
      </c>
      <c r="AT183" t="str">
        <f t="shared" si="29"/>
        <v/>
      </c>
      <c r="BG183" t="str">
        <f t="shared" si="30"/>
        <v/>
      </c>
      <c r="BH183" t="str">
        <f t="shared" si="31"/>
        <v/>
      </c>
      <c r="BL183" t="str">
        <f>IFERROR(INDEX(_names_lookup!$C:$C,MATCH(BK183,_names_lookup!$A:$A,0)),"")</f>
        <v/>
      </c>
      <c r="BM183" t="str">
        <f>IFERROR(INDEX(_names_lookup!$B:$B,MATCH(BK183,_names_lookup!$A:$A,0)),"")</f>
        <v/>
      </c>
      <c r="BS183" t="str">
        <f t="shared" si="32"/>
        <v/>
      </c>
    </row>
    <row r="184" spans="15:71" x14ac:dyDescent="0.2">
      <c r="O184" t="str">
        <f>IFERROR(INDEX(_courses_lookup!$C:$C,MATCH(K184&amp;L184,_courses_lookup!$E:$E,0)),"")</f>
        <v/>
      </c>
      <c r="P184" t="str">
        <f>IFERROR(INDEX(_courses_lookup!$D:$D,MATCH(K184&amp;L184,_courses_lookup!$E:$E,0)),"")</f>
        <v/>
      </c>
      <c r="AG184" t="str">
        <f t="shared" si="22"/>
        <v/>
      </c>
      <c r="AI184" t="str">
        <f t="shared" si="23"/>
        <v/>
      </c>
      <c r="AL184" t="str">
        <f t="shared" si="24"/>
        <v/>
      </c>
      <c r="AN184" t="str">
        <f t="shared" si="25"/>
        <v/>
      </c>
      <c r="AQ184" t="str">
        <f t="shared" si="26"/>
        <v/>
      </c>
      <c r="AR184" t="str">
        <f t="shared" si="27"/>
        <v/>
      </c>
      <c r="AS184" t="str">
        <f t="shared" si="28"/>
        <v/>
      </c>
      <c r="AT184" t="str">
        <f t="shared" si="29"/>
        <v/>
      </c>
      <c r="BG184" t="str">
        <f t="shared" si="30"/>
        <v/>
      </c>
      <c r="BH184" t="str">
        <f t="shared" si="31"/>
        <v/>
      </c>
      <c r="BL184" t="str">
        <f>IFERROR(INDEX(_names_lookup!$C:$C,MATCH(BK184,_names_lookup!$A:$A,0)),"")</f>
        <v/>
      </c>
      <c r="BM184" t="str">
        <f>IFERROR(INDEX(_names_lookup!$B:$B,MATCH(BK184,_names_lookup!$A:$A,0)),"")</f>
        <v/>
      </c>
      <c r="BS184" t="str">
        <f t="shared" si="32"/>
        <v/>
      </c>
    </row>
    <row r="185" spans="15:71" x14ac:dyDescent="0.2">
      <c r="O185" t="str">
        <f>IFERROR(INDEX(_courses_lookup!$C:$C,MATCH(K185&amp;L185,_courses_lookup!$E:$E,0)),"")</f>
        <v/>
      </c>
      <c r="P185" t="str">
        <f>IFERROR(INDEX(_courses_lookup!$D:$D,MATCH(K185&amp;L185,_courses_lookup!$E:$E,0)),"")</f>
        <v/>
      </c>
      <c r="AG185" t="str">
        <f t="shared" si="22"/>
        <v/>
      </c>
      <c r="AI185" t="str">
        <f t="shared" si="23"/>
        <v/>
      </c>
      <c r="AL185" t="str">
        <f t="shared" si="24"/>
        <v/>
      </c>
      <c r="AN185" t="str">
        <f t="shared" si="25"/>
        <v/>
      </c>
      <c r="AQ185" t="str">
        <f t="shared" si="26"/>
        <v/>
      </c>
      <c r="AR185" t="str">
        <f t="shared" si="27"/>
        <v/>
      </c>
      <c r="AS185" t="str">
        <f t="shared" si="28"/>
        <v/>
      </c>
      <c r="AT185" t="str">
        <f t="shared" si="29"/>
        <v/>
      </c>
      <c r="BG185" t="str">
        <f t="shared" si="30"/>
        <v/>
      </c>
      <c r="BH185" t="str">
        <f t="shared" si="31"/>
        <v/>
      </c>
      <c r="BL185" t="str">
        <f>IFERROR(INDEX(_names_lookup!$C:$C,MATCH(BK185,_names_lookup!$A:$A,0)),"")</f>
        <v/>
      </c>
      <c r="BM185" t="str">
        <f>IFERROR(INDEX(_names_lookup!$B:$B,MATCH(BK185,_names_lookup!$A:$A,0)),"")</f>
        <v/>
      </c>
      <c r="BS185" t="str">
        <f t="shared" si="32"/>
        <v/>
      </c>
    </row>
    <row r="186" spans="15:71" x14ac:dyDescent="0.2">
      <c r="O186" t="str">
        <f>IFERROR(INDEX(_courses_lookup!$C:$C,MATCH(K186&amp;L186,_courses_lookup!$E:$E,0)),"")</f>
        <v/>
      </c>
      <c r="P186" t="str">
        <f>IFERROR(INDEX(_courses_lookup!$D:$D,MATCH(K186&amp;L186,_courses_lookup!$E:$E,0)),"")</f>
        <v/>
      </c>
      <c r="AG186" t="str">
        <f t="shared" si="22"/>
        <v/>
      </c>
      <c r="AI186" t="str">
        <f t="shared" si="23"/>
        <v/>
      </c>
      <c r="AL186" t="str">
        <f t="shared" si="24"/>
        <v/>
      </c>
      <c r="AN186" t="str">
        <f t="shared" si="25"/>
        <v/>
      </c>
      <c r="AQ186" t="str">
        <f t="shared" si="26"/>
        <v/>
      </c>
      <c r="AR186" t="str">
        <f t="shared" si="27"/>
        <v/>
      </c>
      <c r="AS186" t="str">
        <f t="shared" si="28"/>
        <v/>
      </c>
      <c r="AT186" t="str">
        <f t="shared" si="29"/>
        <v/>
      </c>
      <c r="BG186" t="str">
        <f t="shared" si="30"/>
        <v/>
      </c>
      <c r="BH186" t="str">
        <f t="shared" si="31"/>
        <v/>
      </c>
      <c r="BL186" t="str">
        <f>IFERROR(INDEX(_names_lookup!$C:$C,MATCH(BK186,_names_lookup!$A:$A,0)),"")</f>
        <v/>
      </c>
      <c r="BM186" t="str">
        <f>IFERROR(INDEX(_names_lookup!$B:$B,MATCH(BK186,_names_lookup!$A:$A,0)),"")</f>
        <v/>
      </c>
      <c r="BS186" t="str">
        <f t="shared" si="32"/>
        <v/>
      </c>
    </row>
    <row r="187" spans="15:71" x14ac:dyDescent="0.2">
      <c r="O187" t="str">
        <f>IFERROR(INDEX(_courses_lookup!$C:$C,MATCH(K187&amp;L187,_courses_lookup!$E:$E,0)),"")</f>
        <v/>
      </c>
      <c r="P187" t="str">
        <f>IFERROR(INDEX(_courses_lookup!$D:$D,MATCH(K187&amp;L187,_courses_lookup!$E:$E,0)),"")</f>
        <v/>
      </c>
      <c r="AG187" t="str">
        <f t="shared" si="22"/>
        <v/>
      </c>
      <c r="AI187" t="str">
        <f t="shared" si="23"/>
        <v/>
      </c>
      <c r="AL187" t="str">
        <f t="shared" si="24"/>
        <v/>
      </c>
      <c r="AN187" t="str">
        <f t="shared" si="25"/>
        <v/>
      </c>
      <c r="AQ187" t="str">
        <f t="shared" si="26"/>
        <v/>
      </c>
      <c r="AR187" t="str">
        <f t="shared" si="27"/>
        <v/>
      </c>
      <c r="AS187" t="str">
        <f t="shared" si="28"/>
        <v/>
      </c>
      <c r="AT187" t="str">
        <f t="shared" si="29"/>
        <v/>
      </c>
      <c r="BG187" t="str">
        <f t="shared" si="30"/>
        <v/>
      </c>
      <c r="BH187" t="str">
        <f t="shared" si="31"/>
        <v/>
      </c>
      <c r="BL187" t="str">
        <f>IFERROR(INDEX(_names_lookup!$C:$C,MATCH(BK187,_names_lookup!$A:$A,0)),"")</f>
        <v/>
      </c>
      <c r="BM187" t="str">
        <f>IFERROR(INDEX(_names_lookup!$B:$B,MATCH(BK187,_names_lookup!$A:$A,0)),"")</f>
        <v/>
      </c>
      <c r="BS187" t="str">
        <f t="shared" si="32"/>
        <v/>
      </c>
    </row>
    <row r="188" spans="15:71" x14ac:dyDescent="0.2">
      <c r="O188" t="str">
        <f>IFERROR(INDEX(_courses_lookup!$C:$C,MATCH(K188&amp;L188,_courses_lookup!$E:$E,0)),"")</f>
        <v/>
      </c>
      <c r="P188" t="str">
        <f>IFERROR(INDEX(_courses_lookup!$D:$D,MATCH(K188&amp;L188,_courses_lookup!$E:$E,0)),"")</f>
        <v/>
      </c>
      <c r="AG188" t="str">
        <f t="shared" si="22"/>
        <v/>
      </c>
      <c r="AI188" t="str">
        <f t="shared" si="23"/>
        <v/>
      </c>
      <c r="AL188" t="str">
        <f t="shared" si="24"/>
        <v/>
      </c>
      <c r="AN188" t="str">
        <f t="shared" si="25"/>
        <v/>
      </c>
      <c r="AQ188" t="str">
        <f t="shared" si="26"/>
        <v/>
      </c>
      <c r="AR188" t="str">
        <f t="shared" si="27"/>
        <v/>
      </c>
      <c r="AS188" t="str">
        <f t="shared" si="28"/>
        <v/>
      </c>
      <c r="AT188" t="str">
        <f t="shared" si="29"/>
        <v/>
      </c>
      <c r="BG188" t="str">
        <f t="shared" si="30"/>
        <v/>
      </c>
      <c r="BH188" t="str">
        <f t="shared" si="31"/>
        <v/>
      </c>
      <c r="BL188" t="str">
        <f>IFERROR(INDEX(_names_lookup!$C:$C,MATCH(BK188,_names_lookup!$A:$A,0)),"")</f>
        <v/>
      </c>
      <c r="BM188" t="str">
        <f>IFERROR(INDEX(_names_lookup!$B:$B,MATCH(BK188,_names_lookup!$A:$A,0)),"")</f>
        <v/>
      </c>
      <c r="BS188" t="str">
        <f t="shared" si="32"/>
        <v/>
      </c>
    </row>
    <row r="189" spans="15:71" x14ac:dyDescent="0.2">
      <c r="O189" t="str">
        <f>IFERROR(INDEX(_courses_lookup!$C:$C,MATCH(K189&amp;L189,_courses_lookup!$E:$E,0)),"")</f>
        <v/>
      </c>
      <c r="P189" t="str">
        <f>IFERROR(INDEX(_courses_lookup!$D:$D,MATCH(K189&amp;L189,_courses_lookup!$E:$E,0)),"")</f>
        <v/>
      </c>
      <c r="AG189" t="str">
        <f t="shared" si="22"/>
        <v/>
      </c>
      <c r="AI189" t="str">
        <f t="shared" si="23"/>
        <v/>
      </c>
      <c r="AL189" t="str">
        <f t="shared" si="24"/>
        <v/>
      </c>
      <c r="AN189" t="str">
        <f t="shared" si="25"/>
        <v/>
      </c>
      <c r="AQ189" t="str">
        <f t="shared" si="26"/>
        <v/>
      </c>
      <c r="AR189" t="str">
        <f t="shared" si="27"/>
        <v/>
      </c>
      <c r="AS189" t="str">
        <f t="shared" si="28"/>
        <v/>
      </c>
      <c r="AT189" t="str">
        <f t="shared" si="29"/>
        <v/>
      </c>
      <c r="BG189" t="str">
        <f t="shared" si="30"/>
        <v/>
      </c>
      <c r="BH189" t="str">
        <f t="shared" si="31"/>
        <v/>
      </c>
      <c r="BL189" t="str">
        <f>IFERROR(INDEX(_names_lookup!$C:$C,MATCH(BK189,_names_lookup!$A:$A,0)),"")</f>
        <v/>
      </c>
      <c r="BM189" t="str">
        <f>IFERROR(INDEX(_names_lookup!$B:$B,MATCH(BK189,_names_lookup!$A:$A,0)),"")</f>
        <v/>
      </c>
      <c r="BS189" t="str">
        <f t="shared" si="32"/>
        <v/>
      </c>
    </row>
    <row r="190" spans="15:71" x14ac:dyDescent="0.2">
      <c r="O190" t="str">
        <f>IFERROR(INDEX(_courses_lookup!$C:$C,MATCH(K190&amp;L190,_courses_lookup!$E:$E,0)),"")</f>
        <v/>
      </c>
      <c r="P190" t="str">
        <f>IFERROR(INDEX(_courses_lookup!$D:$D,MATCH(K190&amp;L190,_courses_lookup!$E:$E,0)),"")</f>
        <v/>
      </c>
      <c r="AG190" t="str">
        <f t="shared" si="22"/>
        <v/>
      </c>
      <c r="AI190" t="str">
        <f t="shared" si="23"/>
        <v/>
      </c>
      <c r="AL190" t="str">
        <f t="shared" si="24"/>
        <v/>
      </c>
      <c r="AN190" t="str">
        <f t="shared" si="25"/>
        <v/>
      </c>
      <c r="AQ190" t="str">
        <f t="shared" si="26"/>
        <v/>
      </c>
      <c r="AR190" t="str">
        <f t="shared" si="27"/>
        <v/>
      </c>
      <c r="AS190" t="str">
        <f t="shared" si="28"/>
        <v/>
      </c>
      <c r="AT190" t="str">
        <f t="shared" si="29"/>
        <v/>
      </c>
      <c r="BG190" t="str">
        <f t="shared" si="30"/>
        <v/>
      </c>
      <c r="BH190" t="str">
        <f t="shared" si="31"/>
        <v/>
      </c>
      <c r="BL190" t="str">
        <f>IFERROR(INDEX(_names_lookup!$C:$C,MATCH(BK190,_names_lookup!$A:$A,0)),"")</f>
        <v/>
      </c>
      <c r="BM190" t="str">
        <f>IFERROR(INDEX(_names_lookup!$B:$B,MATCH(BK190,_names_lookup!$A:$A,0)),"")</f>
        <v/>
      </c>
      <c r="BS190" t="str">
        <f t="shared" si="32"/>
        <v/>
      </c>
    </row>
    <row r="191" spans="15:71" x14ac:dyDescent="0.2">
      <c r="O191" t="str">
        <f>IFERROR(INDEX(_courses_lookup!$C:$C,MATCH(K191&amp;L191,_courses_lookup!$E:$E,0)),"")</f>
        <v/>
      </c>
      <c r="P191" t="str">
        <f>IFERROR(INDEX(_courses_lookup!$D:$D,MATCH(K191&amp;L191,_courses_lookup!$E:$E,0)),"")</f>
        <v/>
      </c>
      <c r="AG191" t="str">
        <f t="shared" si="22"/>
        <v/>
      </c>
      <c r="AI191" t="str">
        <f t="shared" si="23"/>
        <v/>
      </c>
      <c r="AL191" t="str">
        <f t="shared" si="24"/>
        <v/>
      </c>
      <c r="AN191" t="str">
        <f t="shared" si="25"/>
        <v/>
      </c>
      <c r="AQ191" t="str">
        <f t="shared" si="26"/>
        <v/>
      </c>
      <c r="AR191" t="str">
        <f t="shared" si="27"/>
        <v/>
      </c>
      <c r="AS191" t="str">
        <f t="shared" si="28"/>
        <v/>
      </c>
      <c r="AT191" t="str">
        <f t="shared" si="29"/>
        <v/>
      </c>
      <c r="BG191" t="str">
        <f t="shared" si="30"/>
        <v/>
      </c>
      <c r="BH191" t="str">
        <f t="shared" si="31"/>
        <v/>
      </c>
      <c r="BL191" t="str">
        <f>IFERROR(INDEX(_names_lookup!$C:$C,MATCH(BK191,_names_lookup!$A:$A,0)),"")</f>
        <v/>
      </c>
      <c r="BM191" t="str">
        <f>IFERROR(INDEX(_names_lookup!$B:$B,MATCH(BK191,_names_lookup!$A:$A,0)),"")</f>
        <v/>
      </c>
      <c r="BS191" t="str">
        <f t="shared" si="32"/>
        <v/>
      </c>
    </row>
    <row r="192" spans="15:71" x14ac:dyDescent="0.2">
      <c r="O192" t="str">
        <f>IFERROR(INDEX(_courses_lookup!$C:$C,MATCH(K192&amp;L192,_courses_lookup!$E:$E,0)),"")</f>
        <v/>
      </c>
      <c r="P192" t="str">
        <f>IFERROR(INDEX(_courses_lookup!$D:$D,MATCH(K192&amp;L192,_courses_lookup!$E:$E,0)),"")</f>
        <v/>
      </c>
      <c r="AG192" t="str">
        <f t="shared" si="22"/>
        <v/>
      </c>
      <c r="AI192" t="str">
        <f t="shared" si="23"/>
        <v/>
      </c>
      <c r="AL192" t="str">
        <f t="shared" si="24"/>
        <v/>
      </c>
      <c r="AN192" t="str">
        <f t="shared" si="25"/>
        <v/>
      </c>
      <c r="AQ192" t="str">
        <f t="shared" si="26"/>
        <v/>
      </c>
      <c r="AR192" t="str">
        <f t="shared" si="27"/>
        <v/>
      </c>
      <c r="AS192" t="str">
        <f t="shared" si="28"/>
        <v/>
      </c>
      <c r="AT192" t="str">
        <f t="shared" si="29"/>
        <v/>
      </c>
      <c r="BG192" t="str">
        <f t="shared" si="30"/>
        <v/>
      </c>
      <c r="BH192" t="str">
        <f t="shared" si="31"/>
        <v/>
      </c>
      <c r="BL192" t="str">
        <f>IFERROR(INDEX(_names_lookup!$C:$C,MATCH(BK192,_names_lookup!$A:$A,0)),"")</f>
        <v/>
      </c>
      <c r="BM192" t="str">
        <f>IFERROR(INDEX(_names_lookup!$B:$B,MATCH(BK192,_names_lookup!$A:$A,0)),"")</f>
        <v/>
      </c>
      <c r="BS192" t="str">
        <f t="shared" si="32"/>
        <v/>
      </c>
    </row>
    <row r="193" spans="15:71" x14ac:dyDescent="0.2">
      <c r="O193" t="str">
        <f>IFERROR(INDEX(_courses_lookup!$C:$C,MATCH(K193&amp;L193,_courses_lookup!$E:$E,0)),"")</f>
        <v/>
      </c>
      <c r="P193" t="str">
        <f>IFERROR(INDEX(_courses_lookup!$D:$D,MATCH(K193&amp;L193,_courses_lookup!$E:$E,0)),"")</f>
        <v/>
      </c>
      <c r="AG193" t="str">
        <f t="shared" si="22"/>
        <v/>
      </c>
      <c r="AI193" t="str">
        <f t="shared" si="23"/>
        <v/>
      </c>
      <c r="AL193" t="str">
        <f t="shared" si="24"/>
        <v/>
      </c>
      <c r="AN193" t="str">
        <f t="shared" si="25"/>
        <v/>
      </c>
      <c r="AQ193" t="str">
        <f t="shared" si="26"/>
        <v/>
      </c>
      <c r="AR193" t="str">
        <f t="shared" si="27"/>
        <v/>
      </c>
      <c r="AS193" t="str">
        <f t="shared" si="28"/>
        <v/>
      </c>
      <c r="AT193" t="str">
        <f t="shared" si="29"/>
        <v/>
      </c>
      <c r="BG193" t="str">
        <f t="shared" si="30"/>
        <v/>
      </c>
      <c r="BH193" t="str">
        <f t="shared" si="31"/>
        <v/>
      </c>
      <c r="BL193" t="str">
        <f>IFERROR(INDEX(_names_lookup!$C:$C,MATCH(BK193,_names_lookup!$A:$A,0)),"")</f>
        <v/>
      </c>
      <c r="BM193" t="str">
        <f>IFERROR(INDEX(_names_lookup!$B:$B,MATCH(BK193,_names_lookup!$A:$A,0)),"")</f>
        <v/>
      </c>
      <c r="BS193" t="str">
        <f t="shared" si="32"/>
        <v/>
      </c>
    </row>
    <row r="194" spans="15:71" x14ac:dyDescent="0.2">
      <c r="O194" t="str">
        <f>IFERROR(INDEX(_courses_lookup!$C:$C,MATCH(K194&amp;L194,_courses_lookup!$E:$E,0)),"")</f>
        <v/>
      </c>
      <c r="P194" t="str">
        <f>IFERROR(INDEX(_courses_lookup!$D:$D,MATCH(K194&amp;L194,_courses_lookup!$E:$E,0)),"")</f>
        <v/>
      </c>
      <c r="AG194" t="str">
        <f t="shared" ref="AG194:AG257" si="33">IF(AND(AE194&lt;&gt;"",AF194&lt;&gt;""),ROUNDUP((AF194-AE194)/7,0),"")</f>
        <v/>
      </c>
      <c r="AI194" t="str">
        <f t="shared" ref="AI194:AI257" si="34">IFERROR(IF(AG194*AH194=0,"",AG194*AH194),"")</f>
        <v/>
      </c>
      <c r="AL194" t="str">
        <f t="shared" ref="AL194:AL257" si="35">IF(AND(AJ194&lt;&gt;"",AK194&lt;&gt;""),ROUNDUP((AK194-AJ194)/7,0),"")</f>
        <v/>
      </c>
      <c r="AN194" t="str">
        <f t="shared" ref="AN194:AN257" si="36">IFERROR(IF(AL194*AM194=0,"",AL194*AM194),"")</f>
        <v/>
      </c>
      <c r="AQ194" t="str">
        <f t="shared" ref="AQ194:AQ257" si="37">IF(AND(AO194&lt;&gt;"",AP194&lt;&gt;""),ROUNDUP((AP194-AO194)/7,0),"")</f>
        <v/>
      </c>
      <c r="AR194" t="str">
        <f t="shared" ref="AR194:AR257" si="38">IFERROR(IF((AU194-(AI194+AN194))/AQ194=0,"",ROUNDUP((AU194-(AI194+AN194))/AQ194,0)),"")</f>
        <v/>
      </c>
      <c r="AS194" t="str">
        <f t="shared" ref="AS194:AS257" si="39">IFERROR(IF((AU194-(AI194+AN194))=0,"",(AU194-(AI194+AN194))),"")</f>
        <v/>
      </c>
      <c r="AT194" t="str">
        <f t="shared" ref="AT194:AT257" si="40">IF(AND(AG194="",AQ194=""),AL194,IF(SUM(AG194,AL194,AQ194)=0,"",SUM(AG194,AL194,AQ194)))</f>
        <v/>
      </c>
      <c r="BG194" t="str">
        <f t="shared" ref="BG194:BG257" si="41">IF(AD194="","",YEAR(AD194)+IF(MONTH(AD194)&gt;=5,1,0))</f>
        <v/>
      </c>
      <c r="BH194" t="str">
        <f t="shared" ref="BH194:BH257" si="42">IF(AD194="","",IF(AND(MONTH(AD194)=8,DAY(AD194)&gt;=15),"Fall",IF(MONTH(AD194)&gt;8,"Fall",IF(MONTH(AD194)=5,"Summer",IF(MONTH(AD194)=1,"Spring","")))))</f>
        <v/>
      </c>
      <c r="BL194" t="str">
        <f>IFERROR(INDEX(_names_lookup!$C:$C,MATCH(BK194,_names_lookup!$A:$A,0)),"")</f>
        <v/>
      </c>
      <c r="BM194" t="str">
        <f>IFERROR(INDEX(_names_lookup!$B:$B,MATCH(BK194,_names_lookup!$A:$A,0)),"")</f>
        <v/>
      </c>
      <c r="BS194" t="str">
        <f t="shared" ref="BS194:BS257" si="43">IFERROR(IF(BR194*AA194=0,"",BR194*AA194),"")</f>
        <v/>
      </c>
    </row>
    <row r="195" spans="15:71" x14ac:dyDescent="0.2">
      <c r="O195" t="str">
        <f>IFERROR(INDEX(_courses_lookup!$C:$C,MATCH(K195&amp;L195,_courses_lookup!$E:$E,0)),"")</f>
        <v/>
      </c>
      <c r="P195" t="str">
        <f>IFERROR(INDEX(_courses_lookup!$D:$D,MATCH(K195&amp;L195,_courses_lookup!$E:$E,0)),"")</f>
        <v/>
      </c>
      <c r="AG195" t="str">
        <f t="shared" si="33"/>
        <v/>
      </c>
      <c r="AI195" t="str">
        <f t="shared" si="34"/>
        <v/>
      </c>
      <c r="AL195" t="str">
        <f t="shared" si="35"/>
        <v/>
      </c>
      <c r="AN195" t="str">
        <f t="shared" si="36"/>
        <v/>
      </c>
      <c r="AQ195" t="str">
        <f t="shared" si="37"/>
        <v/>
      </c>
      <c r="AR195" t="str">
        <f t="shared" si="38"/>
        <v/>
      </c>
      <c r="AS195" t="str">
        <f t="shared" si="39"/>
        <v/>
      </c>
      <c r="AT195" t="str">
        <f t="shared" si="40"/>
        <v/>
      </c>
      <c r="BG195" t="str">
        <f t="shared" si="41"/>
        <v/>
      </c>
      <c r="BH195" t="str">
        <f t="shared" si="42"/>
        <v/>
      </c>
      <c r="BL195" t="str">
        <f>IFERROR(INDEX(_names_lookup!$C:$C,MATCH(BK195,_names_lookup!$A:$A,0)),"")</f>
        <v/>
      </c>
      <c r="BM195" t="str">
        <f>IFERROR(INDEX(_names_lookup!$B:$B,MATCH(BK195,_names_lookup!$A:$A,0)),"")</f>
        <v/>
      </c>
      <c r="BS195" t="str">
        <f t="shared" si="43"/>
        <v/>
      </c>
    </row>
    <row r="196" spans="15:71" x14ac:dyDescent="0.2">
      <c r="O196" t="str">
        <f>IFERROR(INDEX(_courses_lookup!$C:$C,MATCH(K196&amp;L196,_courses_lookup!$E:$E,0)),"")</f>
        <v/>
      </c>
      <c r="P196" t="str">
        <f>IFERROR(INDEX(_courses_lookup!$D:$D,MATCH(K196&amp;L196,_courses_lookup!$E:$E,0)),"")</f>
        <v/>
      </c>
      <c r="AG196" t="str">
        <f t="shared" si="33"/>
        <v/>
      </c>
      <c r="AI196" t="str">
        <f t="shared" si="34"/>
        <v/>
      </c>
      <c r="AL196" t="str">
        <f t="shared" si="35"/>
        <v/>
      </c>
      <c r="AN196" t="str">
        <f t="shared" si="36"/>
        <v/>
      </c>
      <c r="AQ196" t="str">
        <f t="shared" si="37"/>
        <v/>
      </c>
      <c r="AR196" t="str">
        <f t="shared" si="38"/>
        <v/>
      </c>
      <c r="AS196" t="str">
        <f t="shared" si="39"/>
        <v/>
      </c>
      <c r="AT196" t="str">
        <f t="shared" si="40"/>
        <v/>
      </c>
      <c r="BG196" t="str">
        <f t="shared" si="41"/>
        <v/>
      </c>
      <c r="BH196" t="str">
        <f t="shared" si="42"/>
        <v/>
      </c>
      <c r="BL196" t="str">
        <f>IFERROR(INDEX(_names_lookup!$C:$C,MATCH(BK196,_names_lookup!$A:$A,0)),"")</f>
        <v/>
      </c>
      <c r="BM196" t="str">
        <f>IFERROR(INDEX(_names_lookup!$B:$B,MATCH(BK196,_names_lookup!$A:$A,0)),"")</f>
        <v/>
      </c>
      <c r="BS196" t="str">
        <f t="shared" si="43"/>
        <v/>
      </c>
    </row>
    <row r="197" spans="15:71" x14ac:dyDescent="0.2">
      <c r="O197" t="str">
        <f>IFERROR(INDEX(_courses_lookup!$C:$C,MATCH(K197&amp;L197,_courses_lookup!$E:$E,0)),"")</f>
        <v/>
      </c>
      <c r="P197" t="str">
        <f>IFERROR(INDEX(_courses_lookup!$D:$D,MATCH(K197&amp;L197,_courses_lookup!$E:$E,0)),"")</f>
        <v/>
      </c>
      <c r="AG197" t="str">
        <f t="shared" si="33"/>
        <v/>
      </c>
      <c r="AI197" t="str">
        <f t="shared" si="34"/>
        <v/>
      </c>
      <c r="AL197" t="str">
        <f t="shared" si="35"/>
        <v/>
      </c>
      <c r="AN197" t="str">
        <f t="shared" si="36"/>
        <v/>
      </c>
      <c r="AQ197" t="str">
        <f t="shared" si="37"/>
        <v/>
      </c>
      <c r="AR197" t="str">
        <f t="shared" si="38"/>
        <v/>
      </c>
      <c r="AS197" t="str">
        <f t="shared" si="39"/>
        <v/>
      </c>
      <c r="AT197" t="str">
        <f t="shared" si="40"/>
        <v/>
      </c>
      <c r="BG197" t="str">
        <f t="shared" si="41"/>
        <v/>
      </c>
      <c r="BH197" t="str">
        <f t="shared" si="42"/>
        <v/>
      </c>
      <c r="BL197" t="str">
        <f>IFERROR(INDEX(_names_lookup!$C:$C,MATCH(BK197,_names_lookup!$A:$A,0)),"")</f>
        <v/>
      </c>
      <c r="BM197" t="str">
        <f>IFERROR(INDEX(_names_lookup!$B:$B,MATCH(BK197,_names_lookup!$A:$A,0)),"")</f>
        <v/>
      </c>
      <c r="BS197" t="str">
        <f t="shared" si="43"/>
        <v/>
      </c>
    </row>
    <row r="198" spans="15:71" x14ac:dyDescent="0.2">
      <c r="O198" t="str">
        <f>IFERROR(INDEX(_courses_lookup!$C:$C,MATCH(K198&amp;L198,_courses_lookup!$E:$E,0)),"")</f>
        <v/>
      </c>
      <c r="P198" t="str">
        <f>IFERROR(INDEX(_courses_lookup!$D:$D,MATCH(K198&amp;L198,_courses_lookup!$E:$E,0)),"")</f>
        <v/>
      </c>
      <c r="AG198" t="str">
        <f t="shared" si="33"/>
        <v/>
      </c>
      <c r="AI198" t="str">
        <f t="shared" si="34"/>
        <v/>
      </c>
      <c r="AL198" t="str">
        <f t="shared" si="35"/>
        <v/>
      </c>
      <c r="AN198" t="str">
        <f t="shared" si="36"/>
        <v/>
      </c>
      <c r="AQ198" t="str">
        <f t="shared" si="37"/>
        <v/>
      </c>
      <c r="AR198" t="str">
        <f t="shared" si="38"/>
        <v/>
      </c>
      <c r="AS198" t="str">
        <f t="shared" si="39"/>
        <v/>
      </c>
      <c r="AT198" t="str">
        <f t="shared" si="40"/>
        <v/>
      </c>
      <c r="BG198" t="str">
        <f t="shared" si="41"/>
        <v/>
      </c>
      <c r="BH198" t="str">
        <f t="shared" si="42"/>
        <v/>
      </c>
      <c r="BL198" t="str">
        <f>IFERROR(INDEX(_names_lookup!$C:$C,MATCH(BK198,_names_lookup!$A:$A,0)),"")</f>
        <v/>
      </c>
      <c r="BM198" t="str">
        <f>IFERROR(INDEX(_names_lookup!$B:$B,MATCH(BK198,_names_lookup!$A:$A,0)),"")</f>
        <v/>
      </c>
      <c r="BS198" t="str">
        <f t="shared" si="43"/>
        <v/>
      </c>
    </row>
    <row r="199" spans="15:71" x14ac:dyDescent="0.2">
      <c r="O199" t="str">
        <f>IFERROR(INDEX(_courses_lookup!$C:$C,MATCH(K199&amp;L199,_courses_lookup!$E:$E,0)),"")</f>
        <v/>
      </c>
      <c r="P199" t="str">
        <f>IFERROR(INDEX(_courses_lookup!$D:$D,MATCH(K199&amp;L199,_courses_lookup!$E:$E,0)),"")</f>
        <v/>
      </c>
      <c r="AG199" t="str">
        <f t="shared" si="33"/>
        <v/>
      </c>
      <c r="AI199" t="str">
        <f t="shared" si="34"/>
        <v/>
      </c>
      <c r="AL199" t="str">
        <f t="shared" si="35"/>
        <v/>
      </c>
      <c r="AN199" t="str">
        <f t="shared" si="36"/>
        <v/>
      </c>
      <c r="AQ199" t="str">
        <f t="shared" si="37"/>
        <v/>
      </c>
      <c r="AR199" t="str">
        <f t="shared" si="38"/>
        <v/>
      </c>
      <c r="AS199" t="str">
        <f t="shared" si="39"/>
        <v/>
      </c>
      <c r="AT199" t="str">
        <f t="shared" si="40"/>
        <v/>
      </c>
      <c r="BG199" t="str">
        <f t="shared" si="41"/>
        <v/>
      </c>
      <c r="BH199" t="str">
        <f t="shared" si="42"/>
        <v/>
      </c>
      <c r="BL199" t="str">
        <f>IFERROR(INDEX(_names_lookup!$C:$C,MATCH(BK199,_names_lookup!$A:$A,0)),"")</f>
        <v/>
      </c>
      <c r="BM199" t="str">
        <f>IFERROR(INDEX(_names_lookup!$B:$B,MATCH(BK199,_names_lookup!$A:$A,0)),"")</f>
        <v/>
      </c>
      <c r="BS199" t="str">
        <f t="shared" si="43"/>
        <v/>
      </c>
    </row>
    <row r="200" spans="15:71" x14ac:dyDescent="0.2">
      <c r="O200" t="str">
        <f>IFERROR(INDEX(_courses_lookup!$C:$C,MATCH(K200&amp;L200,_courses_lookup!$E:$E,0)),"")</f>
        <v/>
      </c>
      <c r="P200" t="str">
        <f>IFERROR(INDEX(_courses_lookup!$D:$D,MATCH(K200&amp;L200,_courses_lookup!$E:$E,0)),"")</f>
        <v/>
      </c>
      <c r="AG200" t="str">
        <f t="shared" si="33"/>
        <v/>
      </c>
      <c r="AI200" t="str">
        <f t="shared" si="34"/>
        <v/>
      </c>
      <c r="AL200" t="str">
        <f t="shared" si="35"/>
        <v/>
      </c>
      <c r="AN200" t="str">
        <f t="shared" si="36"/>
        <v/>
      </c>
      <c r="AQ200" t="str">
        <f t="shared" si="37"/>
        <v/>
      </c>
      <c r="AR200" t="str">
        <f t="shared" si="38"/>
        <v/>
      </c>
      <c r="AS200" t="str">
        <f t="shared" si="39"/>
        <v/>
      </c>
      <c r="AT200" t="str">
        <f t="shared" si="40"/>
        <v/>
      </c>
      <c r="BG200" t="str">
        <f t="shared" si="41"/>
        <v/>
      </c>
      <c r="BH200" t="str">
        <f t="shared" si="42"/>
        <v/>
      </c>
      <c r="BL200" t="str">
        <f>IFERROR(INDEX(_names_lookup!$C:$C,MATCH(BK200,_names_lookup!$A:$A,0)),"")</f>
        <v/>
      </c>
      <c r="BM200" t="str">
        <f>IFERROR(INDEX(_names_lookup!$B:$B,MATCH(BK200,_names_lookup!$A:$A,0)),"")</f>
        <v/>
      </c>
      <c r="BS200" t="str">
        <f t="shared" si="43"/>
        <v/>
      </c>
    </row>
    <row r="201" spans="15:71" x14ac:dyDescent="0.2">
      <c r="O201" t="str">
        <f>IFERROR(INDEX(_courses_lookup!$C:$C,MATCH(K201&amp;L201,_courses_lookup!$E:$E,0)),"")</f>
        <v/>
      </c>
      <c r="P201" t="str">
        <f>IFERROR(INDEX(_courses_lookup!$D:$D,MATCH(K201&amp;L201,_courses_lookup!$E:$E,0)),"")</f>
        <v/>
      </c>
      <c r="AG201" t="str">
        <f t="shared" si="33"/>
        <v/>
      </c>
      <c r="AI201" t="str">
        <f t="shared" si="34"/>
        <v/>
      </c>
      <c r="AL201" t="str">
        <f t="shared" si="35"/>
        <v/>
      </c>
      <c r="AN201" t="str">
        <f t="shared" si="36"/>
        <v/>
      </c>
      <c r="AQ201" t="str">
        <f t="shared" si="37"/>
        <v/>
      </c>
      <c r="AR201" t="str">
        <f t="shared" si="38"/>
        <v/>
      </c>
      <c r="AS201" t="str">
        <f t="shared" si="39"/>
        <v/>
      </c>
      <c r="AT201" t="str">
        <f t="shared" si="40"/>
        <v/>
      </c>
      <c r="BG201" t="str">
        <f t="shared" si="41"/>
        <v/>
      </c>
      <c r="BH201" t="str">
        <f t="shared" si="42"/>
        <v/>
      </c>
      <c r="BL201" t="str">
        <f>IFERROR(INDEX(_names_lookup!$C:$C,MATCH(BK201,_names_lookup!$A:$A,0)),"")</f>
        <v/>
      </c>
      <c r="BM201" t="str">
        <f>IFERROR(INDEX(_names_lookup!$B:$B,MATCH(BK201,_names_lookup!$A:$A,0)),"")</f>
        <v/>
      </c>
      <c r="BS201" t="str">
        <f t="shared" si="43"/>
        <v/>
      </c>
    </row>
    <row r="202" spans="15:71" x14ac:dyDescent="0.2">
      <c r="O202" t="str">
        <f>IFERROR(INDEX(_courses_lookup!$C:$C,MATCH(K202&amp;L202,_courses_lookup!$E:$E,0)),"")</f>
        <v/>
      </c>
      <c r="P202" t="str">
        <f>IFERROR(INDEX(_courses_lookup!$D:$D,MATCH(K202&amp;L202,_courses_lookup!$E:$E,0)),"")</f>
        <v/>
      </c>
      <c r="AG202" t="str">
        <f t="shared" si="33"/>
        <v/>
      </c>
      <c r="AI202" t="str">
        <f t="shared" si="34"/>
        <v/>
      </c>
      <c r="AL202" t="str">
        <f t="shared" si="35"/>
        <v/>
      </c>
      <c r="AN202" t="str">
        <f t="shared" si="36"/>
        <v/>
      </c>
      <c r="AQ202" t="str">
        <f t="shared" si="37"/>
        <v/>
      </c>
      <c r="AR202" t="str">
        <f t="shared" si="38"/>
        <v/>
      </c>
      <c r="AS202" t="str">
        <f t="shared" si="39"/>
        <v/>
      </c>
      <c r="AT202" t="str">
        <f t="shared" si="40"/>
        <v/>
      </c>
      <c r="BG202" t="str">
        <f t="shared" si="41"/>
        <v/>
      </c>
      <c r="BH202" t="str">
        <f t="shared" si="42"/>
        <v/>
      </c>
      <c r="BL202" t="str">
        <f>IFERROR(INDEX(_names_lookup!$C:$C,MATCH(BK202,_names_lookup!$A:$A,0)),"")</f>
        <v/>
      </c>
      <c r="BM202" t="str">
        <f>IFERROR(INDEX(_names_lookup!$B:$B,MATCH(BK202,_names_lookup!$A:$A,0)),"")</f>
        <v/>
      </c>
      <c r="BS202" t="str">
        <f t="shared" si="43"/>
        <v/>
      </c>
    </row>
    <row r="203" spans="15:71" x14ac:dyDescent="0.2">
      <c r="O203" t="str">
        <f>IFERROR(INDEX(_courses_lookup!$C:$C,MATCH(K203&amp;L203,_courses_lookup!$E:$E,0)),"")</f>
        <v/>
      </c>
      <c r="P203" t="str">
        <f>IFERROR(INDEX(_courses_lookup!$D:$D,MATCH(K203&amp;L203,_courses_lookup!$E:$E,0)),"")</f>
        <v/>
      </c>
      <c r="AG203" t="str">
        <f t="shared" si="33"/>
        <v/>
      </c>
      <c r="AI203" t="str">
        <f t="shared" si="34"/>
        <v/>
      </c>
      <c r="AL203" t="str">
        <f t="shared" si="35"/>
        <v/>
      </c>
      <c r="AN203" t="str">
        <f t="shared" si="36"/>
        <v/>
      </c>
      <c r="AQ203" t="str">
        <f t="shared" si="37"/>
        <v/>
      </c>
      <c r="AR203" t="str">
        <f t="shared" si="38"/>
        <v/>
      </c>
      <c r="AS203" t="str">
        <f t="shared" si="39"/>
        <v/>
      </c>
      <c r="AT203" t="str">
        <f t="shared" si="40"/>
        <v/>
      </c>
      <c r="BG203" t="str">
        <f t="shared" si="41"/>
        <v/>
      </c>
      <c r="BH203" t="str">
        <f t="shared" si="42"/>
        <v/>
      </c>
      <c r="BL203" t="str">
        <f>IFERROR(INDEX(_names_lookup!$C:$C,MATCH(BK203,_names_lookup!$A:$A,0)),"")</f>
        <v/>
      </c>
      <c r="BM203" t="str">
        <f>IFERROR(INDEX(_names_lookup!$B:$B,MATCH(BK203,_names_lookup!$A:$A,0)),"")</f>
        <v/>
      </c>
      <c r="BS203" t="str">
        <f t="shared" si="43"/>
        <v/>
      </c>
    </row>
    <row r="204" spans="15:71" x14ac:dyDescent="0.2">
      <c r="O204" t="str">
        <f>IFERROR(INDEX(_courses_lookup!$C:$C,MATCH(K204&amp;L204,_courses_lookup!$E:$E,0)),"")</f>
        <v/>
      </c>
      <c r="P204" t="str">
        <f>IFERROR(INDEX(_courses_lookup!$D:$D,MATCH(K204&amp;L204,_courses_lookup!$E:$E,0)),"")</f>
        <v/>
      </c>
      <c r="AG204" t="str">
        <f t="shared" si="33"/>
        <v/>
      </c>
      <c r="AI204" t="str">
        <f t="shared" si="34"/>
        <v/>
      </c>
      <c r="AL204" t="str">
        <f t="shared" si="35"/>
        <v/>
      </c>
      <c r="AN204" t="str">
        <f t="shared" si="36"/>
        <v/>
      </c>
      <c r="AQ204" t="str">
        <f t="shared" si="37"/>
        <v/>
      </c>
      <c r="AR204" t="str">
        <f t="shared" si="38"/>
        <v/>
      </c>
      <c r="AS204" t="str">
        <f t="shared" si="39"/>
        <v/>
      </c>
      <c r="AT204" t="str">
        <f t="shared" si="40"/>
        <v/>
      </c>
      <c r="BG204" t="str">
        <f t="shared" si="41"/>
        <v/>
      </c>
      <c r="BH204" t="str">
        <f t="shared" si="42"/>
        <v/>
      </c>
      <c r="BL204" t="str">
        <f>IFERROR(INDEX(_names_lookup!$C:$C,MATCH(BK204,_names_lookup!$A:$A,0)),"")</f>
        <v/>
      </c>
      <c r="BM204" t="str">
        <f>IFERROR(INDEX(_names_lookup!$B:$B,MATCH(BK204,_names_lookup!$A:$A,0)),"")</f>
        <v/>
      </c>
      <c r="BS204" t="str">
        <f t="shared" si="43"/>
        <v/>
      </c>
    </row>
    <row r="205" spans="15:71" x14ac:dyDescent="0.2">
      <c r="O205" t="str">
        <f>IFERROR(INDEX(_courses_lookup!$C:$C,MATCH(K205&amp;L205,_courses_lookup!$E:$E,0)),"")</f>
        <v/>
      </c>
      <c r="P205" t="str">
        <f>IFERROR(INDEX(_courses_lookup!$D:$D,MATCH(K205&amp;L205,_courses_lookup!$E:$E,0)),"")</f>
        <v/>
      </c>
      <c r="AG205" t="str">
        <f t="shared" si="33"/>
        <v/>
      </c>
      <c r="AI205" t="str">
        <f t="shared" si="34"/>
        <v/>
      </c>
      <c r="AL205" t="str">
        <f t="shared" si="35"/>
        <v/>
      </c>
      <c r="AN205" t="str">
        <f t="shared" si="36"/>
        <v/>
      </c>
      <c r="AQ205" t="str">
        <f t="shared" si="37"/>
        <v/>
      </c>
      <c r="AR205" t="str">
        <f t="shared" si="38"/>
        <v/>
      </c>
      <c r="AS205" t="str">
        <f t="shared" si="39"/>
        <v/>
      </c>
      <c r="AT205" t="str">
        <f t="shared" si="40"/>
        <v/>
      </c>
      <c r="BG205" t="str">
        <f t="shared" si="41"/>
        <v/>
      </c>
      <c r="BH205" t="str">
        <f t="shared" si="42"/>
        <v/>
      </c>
      <c r="BL205" t="str">
        <f>IFERROR(INDEX(_names_lookup!$C:$C,MATCH(BK205,_names_lookup!$A:$A,0)),"")</f>
        <v/>
      </c>
      <c r="BM205" t="str">
        <f>IFERROR(INDEX(_names_lookup!$B:$B,MATCH(BK205,_names_lookup!$A:$A,0)),"")</f>
        <v/>
      </c>
      <c r="BS205" t="str">
        <f t="shared" si="43"/>
        <v/>
      </c>
    </row>
    <row r="206" spans="15:71" x14ac:dyDescent="0.2">
      <c r="O206" t="str">
        <f>IFERROR(INDEX(_courses_lookup!$C:$C,MATCH(K206&amp;L206,_courses_lookup!$E:$E,0)),"")</f>
        <v/>
      </c>
      <c r="P206" t="str">
        <f>IFERROR(INDEX(_courses_lookup!$D:$D,MATCH(K206&amp;L206,_courses_lookup!$E:$E,0)),"")</f>
        <v/>
      </c>
      <c r="AG206" t="str">
        <f t="shared" si="33"/>
        <v/>
      </c>
      <c r="AI206" t="str">
        <f t="shared" si="34"/>
        <v/>
      </c>
      <c r="AL206" t="str">
        <f t="shared" si="35"/>
        <v/>
      </c>
      <c r="AN206" t="str">
        <f t="shared" si="36"/>
        <v/>
      </c>
      <c r="AQ206" t="str">
        <f t="shared" si="37"/>
        <v/>
      </c>
      <c r="AR206" t="str">
        <f t="shared" si="38"/>
        <v/>
      </c>
      <c r="AS206" t="str">
        <f t="shared" si="39"/>
        <v/>
      </c>
      <c r="AT206" t="str">
        <f t="shared" si="40"/>
        <v/>
      </c>
      <c r="BG206" t="str">
        <f t="shared" si="41"/>
        <v/>
      </c>
      <c r="BH206" t="str">
        <f t="shared" si="42"/>
        <v/>
      </c>
      <c r="BL206" t="str">
        <f>IFERROR(INDEX(_names_lookup!$C:$C,MATCH(BK206,_names_lookup!$A:$A,0)),"")</f>
        <v/>
      </c>
      <c r="BM206" t="str">
        <f>IFERROR(INDEX(_names_lookup!$B:$B,MATCH(BK206,_names_lookup!$A:$A,0)),"")</f>
        <v/>
      </c>
      <c r="BS206" t="str">
        <f t="shared" si="43"/>
        <v/>
      </c>
    </row>
    <row r="207" spans="15:71" x14ac:dyDescent="0.2">
      <c r="O207" t="str">
        <f>IFERROR(INDEX(_courses_lookup!$C:$C,MATCH(K207&amp;L207,_courses_lookup!$E:$E,0)),"")</f>
        <v/>
      </c>
      <c r="P207" t="str">
        <f>IFERROR(INDEX(_courses_lookup!$D:$D,MATCH(K207&amp;L207,_courses_lookup!$E:$E,0)),"")</f>
        <v/>
      </c>
      <c r="AG207" t="str">
        <f t="shared" si="33"/>
        <v/>
      </c>
      <c r="AI207" t="str">
        <f t="shared" si="34"/>
        <v/>
      </c>
      <c r="AL207" t="str">
        <f t="shared" si="35"/>
        <v/>
      </c>
      <c r="AN207" t="str">
        <f t="shared" si="36"/>
        <v/>
      </c>
      <c r="AQ207" t="str">
        <f t="shared" si="37"/>
        <v/>
      </c>
      <c r="AR207" t="str">
        <f t="shared" si="38"/>
        <v/>
      </c>
      <c r="AS207" t="str">
        <f t="shared" si="39"/>
        <v/>
      </c>
      <c r="AT207" t="str">
        <f t="shared" si="40"/>
        <v/>
      </c>
      <c r="BG207" t="str">
        <f t="shared" si="41"/>
        <v/>
      </c>
      <c r="BH207" t="str">
        <f t="shared" si="42"/>
        <v/>
      </c>
      <c r="BL207" t="str">
        <f>IFERROR(INDEX(_names_lookup!$C:$C,MATCH(BK207,_names_lookup!$A:$A,0)),"")</f>
        <v/>
      </c>
      <c r="BM207" t="str">
        <f>IFERROR(INDEX(_names_lookup!$B:$B,MATCH(BK207,_names_lookup!$A:$A,0)),"")</f>
        <v/>
      </c>
      <c r="BS207" t="str">
        <f t="shared" si="43"/>
        <v/>
      </c>
    </row>
    <row r="208" spans="15:71" x14ac:dyDescent="0.2">
      <c r="O208" t="str">
        <f>IFERROR(INDEX(_courses_lookup!$C:$C,MATCH(K208&amp;L208,_courses_lookup!$E:$E,0)),"")</f>
        <v/>
      </c>
      <c r="P208" t="str">
        <f>IFERROR(INDEX(_courses_lookup!$D:$D,MATCH(K208&amp;L208,_courses_lookup!$E:$E,0)),"")</f>
        <v/>
      </c>
      <c r="AG208" t="str">
        <f t="shared" si="33"/>
        <v/>
      </c>
      <c r="AI208" t="str">
        <f t="shared" si="34"/>
        <v/>
      </c>
      <c r="AL208" t="str">
        <f t="shared" si="35"/>
        <v/>
      </c>
      <c r="AN208" t="str">
        <f t="shared" si="36"/>
        <v/>
      </c>
      <c r="AQ208" t="str">
        <f t="shared" si="37"/>
        <v/>
      </c>
      <c r="AR208" t="str">
        <f t="shared" si="38"/>
        <v/>
      </c>
      <c r="AS208" t="str">
        <f t="shared" si="39"/>
        <v/>
      </c>
      <c r="AT208" t="str">
        <f t="shared" si="40"/>
        <v/>
      </c>
      <c r="BG208" t="str">
        <f t="shared" si="41"/>
        <v/>
      </c>
      <c r="BH208" t="str">
        <f t="shared" si="42"/>
        <v/>
      </c>
      <c r="BL208" t="str">
        <f>IFERROR(INDEX(_names_lookup!$C:$C,MATCH(BK208,_names_lookup!$A:$A,0)),"")</f>
        <v/>
      </c>
      <c r="BM208" t="str">
        <f>IFERROR(INDEX(_names_lookup!$B:$B,MATCH(BK208,_names_lookup!$A:$A,0)),"")</f>
        <v/>
      </c>
      <c r="BS208" t="str">
        <f t="shared" si="43"/>
        <v/>
      </c>
    </row>
    <row r="209" spans="15:71" x14ac:dyDescent="0.2">
      <c r="O209" t="str">
        <f>IFERROR(INDEX(_courses_lookup!$C:$C,MATCH(K209&amp;L209,_courses_lookup!$E:$E,0)),"")</f>
        <v/>
      </c>
      <c r="P209" t="str">
        <f>IFERROR(INDEX(_courses_lookup!$D:$D,MATCH(K209&amp;L209,_courses_lookup!$E:$E,0)),"")</f>
        <v/>
      </c>
      <c r="AG209" t="str">
        <f t="shared" si="33"/>
        <v/>
      </c>
      <c r="AI209" t="str">
        <f t="shared" si="34"/>
        <v/>
      </c>
      <c r="AL209" t="str">
        <f t="shared" si="35"/>
        <v/>
      </c>
      <c r="AN209" t="str">
        <f t="shared" si="36"/>
        <v/>
      </c>
      <c r="AQ209" t="str">
        <f t="shared" si="37"/>
        <v/>
      </c>
      <c r="AR209" t="str">
        <f t="shared" si="38"/>
        <v/>
      </c>
      <c r="AS209" t="str">
        <f t="shared" si="39"/>
        <v/>
      </c>
      <c r="AT209" t="str">
        <f t="shared" si="40"/>
        <v/>
      </c>
      <c r="BG209" t="str">
        <f t="shared" si="41"/>
        <v/>
      </c>
      <c r="BH209" t="str">
        <f t="shared" si="42"/>
        <v/>
      </c>
      <c r="BL209" t="str">
        <f>IFERROR(INDEX(_names_lookup!$C:$C,MATCH(BK209,_names_lookup!$A:$A,0)),"")</f>
        <v/>
      </c>
      <c r="BM209" t="str">
        <f>IFERROR(INDEX(_names_lookup!$B:$B,MATCH(BK209,_names_lookup!$A:$A,0)),"")</f>
        <v/>
      </c>
      <c r="BS209" t="str">
        <f t="shared" si="43"/>
        <v/>
      </c>
    </row>
    <row r="210" spans="15:71" x14ac:dyDescent="0.2">
      <c r="O210" t="str">
        <f>IFERROR(INDEX(_courses_lookup!$C:$C,MATCH(K210&amp;L210,_courses_lookup!$E:$E,0)),"")</f>
        <v/>
      </c>
      <c r="P210" t="str">
        <f>IFERROR(INDEX(_courses_lookup!$D:$D,MATCH(K210&amp;L210,_courses_lookup!$E:$E,0)),"")</f>
        <v/>
      </c>
      <c r="AG210" t="str">
        <f t="shared" si="33"/>
        <v/>
      </c>
      <c r="AI210" t="str">
        <f t="shared" si="34"/>
        <v/>
      </c>
      <c r="AL210" t="str">
        <f t="shared" si="35"/>
        <v/>
      </c>
      <c r="AN210" t="str">
        <f t="shared" si="36"/>
        <v/>
      </c>
      <c r="AQ210" t="str">
        <f t="shared" si="37"/>
        <v/>
      </c>
      <c r="AR210" t="str">
        <f t="shared" si="38"/>
        <v/>
      </c>
      <c r="AS210" t="str">
        <f t="shared" si="39"/>
        <v/>
      </c>
      <c r="AT210" t="str">
        <f t="shared" si="40"/>
        <v/>
      </c>
      <c r="BG210" t="str">
        <f t="shared" si="41"/>
        <v/>
      </c>
      <c r="BH210" t="str">
        <f t="shared" si="42"/>
        <v/>
      </c>
      <c r="BL210" t="str">
        <f>IFERROR(INDEX(_names_lookup!$C:$C,MATCH(BK210,_names_lookup!$A:$A,0)),"")</f>
        <v/>
      </c>
      <c r="BM210" t="str">
        <f>IFERROR(INDEX(_names_lookup!$B:$B,MATCH(BK210,_names_lookup!$A:$A,0)),"")</f>
        <v/>
      </c>
      <c r="BS210" t="str">
        <f t="shared" si="43"/>
        <v/>
      </c>
    </row>
    <row r="211" spans="15:71" x14ac:dyDescent="0.2">
      <c r="O211" t="str">
        <f>IFERROR(INDEX(_courses_lookup!$C:$C,MATCH(K211&amp;L211,_courses_lookup!$E:$E,0)),"")</f>
        <v/>
      </c>
      <c r="P211" t="str">
        <f>IFERROR(INDEX(_courses_lookup!$D:$D,MATCH(K211&amp;L211,_courses_lookup!$E:$E,0)),"")</f>
        <v/>
      </c>
      <c r="AG211" t="str">
        <f t="shared" si="33"/>
        <v/>
      </c>
      <c r="AI211" t="str">
        <f t="shared" si="34"/>
        <v/>
      </c>
      <c r="AL211" t="str">
        <f t="shared" si="35"/>
        <v/>
      </c>
      <c r="AN211" t="str">
        <f t="shared" si="36"/>
        <v/>
      </c>
      <c r="AQ211" t="str">
        <f t="shared" si="37"/>
        <v/>
      </c>
      <c r="AR211" t="str">
        <f t="shared" si="38"/>
        <v/>
      </c>
      <c r="AS211" t="str">
        <f t="shared" si="39"/>
        <v/>
      </c>
      <c r="AT211" t="str">
        <f t="shared" si="40"/>
        <v/>
      </c>
      <c r="BG211" t="str">
        <f t="shared" si="41"/>
        <v/>
      </c>
      <c r="BH211" t="str">
        <f t="shared" si="42"/>
        <v/>
      </c>
      <c r="BL211" t="str">
        <f>IFERROR(INDEX(_names_lookup!$C:$C,MATCH(BK211,_names_lookup!$A:$A,0)),"")</f>
        <v/>
      </c>
      <c r="BM211" t="str">
        <f>IFERROR(INDEX(_names_lookup!$B:$B,MATCH(BK211,_names_lookup!$A:$A,0)),"")</f>
        <v/>
      </c>
      <c r="BS211" t="str">
        <f t="shared" si="43"/>
        <v/>
      </c>
    </row>
    <row r="212" spans="15:71" x14ac:dyDescent="0.2">
      <c r="O212" t="str">
        <f>IFERROR(INDEX(_courses_lookup!$C:$C,MATCH(K212&amp;L212,_courses_lookup!$E:$E,0)),"")</f>
        <v/>
      </c>
      <c r="P212" t="str">
        <f>IFERROR(INDEX(_courses_lookup!$D:$D,MATCH(K212&amp;L212,_courses_lookup!$E:$E,0)),"")</f>
        <v/>
      </c>
      <c r="AG212" t="str">
        <f t="shared" si="33"/>
        <v/>
      </c>
      <c r="AI212" t="str">
        <f t="shared" si="34"/>
        <v/>
      </c>
      <c r="AL212" t="str">
        <f t="shared" si="35"/>
        <v/>
      </c>
      <c r="AN212" t="str">
        <f t="shared" si="36"/>
        <v/>
      </c>
      <c r="AQ212" t="str">
        <f t="shared" si="37"/>
        <v/>
      </c>
      <c r="AR212" t="str">
        <f t="shared" si="38"/>
        <v/>
      </c>
      <c r="AS212" t="str">
        <f t="shared" si="39"/>
        <v/>
      </c>
      <c r="AT212" t="str">
        <f t="shared" si="40"/>
        <v/>
      </c>
      <c r="BG212" t="str">
        <f t="shared" si="41"/>
        <v/>
      </c>
      <c r="BH212" t="str">
        <f t="shared" si="42"/>
        <v/>
      </c>
      <c r="BL212" t="str">
        <f>IFERROR(INDEX(_names_lookup!$C:$C,MATCH(BK212,_names_lookup!$A:$A,0)),"")</f>
        <v/>
      </c>
      <c r="BM212" t="str">
        <f>IFERROR(INDEX(_names_lookup!$B:$B,MATCH(BK212,_names_lookup!$A:$A,0)),"")</f>
        <v/>
      </c>
      <c r="BS212" t="str">
        <f t="shared" si="43"/>
        <v/>
      </c>
    </row>
    <row r="213" spans="15:71" x14ac:dyDescent="0.2">
      <c r="O213" t="str">
        <f>IFERROR(INDEX(_courses_lookup!$C:$C,MATCH(K213&amp;L213,_courses_lookup!$E:$E,0)),"")</f>
        <v/>
      </c>
      <c r="P213" t="str">
        <f>IFERROR(INDEX(_courses_lookup!$D:$D,MATCH(K213&amp;L213,_courses_lookup!$E:$E,0)),"")</f>
        <v/>
      </c>
      <c r="AG213" t="str">
        <f t="shared" si="33"/>
        <v/>
      </c>
      <c r="AI213" t="str">
        <f t="shared" si="34"/>
        <v/>
      </c>
      <c r="AL213" t="str">
        <f t="shared" si="35"/>
        <v/>
      </c>
      <c r="AN213" t="str">
        <f t="shared" si="36"/>
        <v/>
      </c>
      <c r="AQ213" t="str">
        <f t="shared" si="37"/>
        <v/>
      </c>
      <c r="AR213" t="str">
        <f t="shared" si="38"/>
        <v/>
      </c>
      <c r="AS213" t="str">
        <f t="shared" si="39"/>
        <v/>
      </c>
      <c r="AT213" t="str">
        <f t="shared" si="40"/>
        <v/>
      </c>
      <c r="BG213" t="str">
        <f t="shared" si="41"/>
        <v/>
      </c>
      <c r="BH213" t="str">
        <f t="shared" si="42"/>
        <v/>
      </c>
      <c r="BL213" t="str">
        <f>IFERROR(INDEX(_names_lookup!$C:$C,MATCH(BK213,_names_lookup!$A:$A,0)),"")</f>
        <v/>
      </c>
      <c r="BM213" t="str">
        <f>IFERROR(INDEX(_names_lookup!$B:$B,MATCH(BK213,_names_lookup!$A:$A,0)),"")</f>
        <v/>
      </c>
      <c r="BS213" t="str">
        <f t="shared" si="43"/>
        <v/>
      </c>
    </row>
    <row r="214" spans="15:71" x14ac:dyDescent="0.2">
      <c r="O214" t="str">
        <f>IFERROR(INDEX(_courses_lookup!$C:$C,MATCH(K214&amp;L214,_courses_lookup!$E:$E,0)),"")</f>
        <v/>
      </c>
      <c r="P214" t="str">
        <f>IFERROR(INDEX(_courses_lookup!$D:$D,MATCH(K214&amp;L214,_courses_lookup!$E:$E,0)),"")</f>
        <v/>
      </c>
      <c r="AG214" t="str">
        <f t="shared" si="33"/>
        <v/>
      </c>
      <c r="AI214" t="str">
        <f t="shared" si="34"/>
        <v/>
      </c>
      <c r="AL214" t="str">
        <f t="shared" si="35"/>
        <v/>
      </c>
      <c r="AN214" t="str">
        <f t="shared" si="36"/>
        <v/>
      </c>
      <c r="AQ214" t="str">
        <f t="shared" si="37"/>
        <v/>
      </c>
      <c r="AR214" t="str">
        <f t="shared" si="38"/>
        <v/>
      </c>
      <c r="AS214" t="str">
        <f t="shared" si="39"/>
        <v/>
      </c>
      <c r="AT214" t="str">
        <f t="shared" si="40"/>
        <v/>
      </c>
      <c r="BG214" t="str">
        <f t="shared" si="41"/>
        <v/>
      </c>
      <c r="BH214" t="str">
        <f t="shared" si="42"/>
        <v/>
      </c>
      <c r="BL214" t="str">
        <f>IFERROR(INDEX(_names_lookup!$C:$C,MATCH(BK214,_names_lookup!$A:$A,0)),"")</f>
        <v/>
      </c>
      <c r="BM214" t="str">
        <f>IFERROR(INDEX(_names_lookup!$B:$B,MATCH(BK214,_names_lookup!$A:$A,0)),"")</f>
        <v/>
      </c>
      <c r="BS214" t="str">
        <f t="shared" si="43"/>
        <v/>
      </c>
    </row>
    <row r="215" spans="15:71" x14ac:dyDescent="0.2">
      <c r="O215" t="str">
        <f>IFERROR(INDEX(_courses_lookup!$C:$C,MATCH(K215&amp;L215,_courses_lookup!$E:$E,0)),"")</f>
        <v/>
      </c>
      <c r="P215" t="str">
        <f>IFERROR(INDEX(_courses_lookup!$D:$D,MATCH(K215&amp;L215,_courses_lookup!$E:$E,0)),"")</f>
        <v/>
      </c>
      <c r="AG215" t="str">
        <f t="shared" si="33"/>
        <v/>
      </c>
      <c r="AI215" t="str">
        <f t="shared" si="34"/>
        <v/>
      </c>
      <c r="AL215" t="str">
        <f t="shared" si="35"/>
        <v/>
      </c>
      <c r="AN215" t="str">
        <f t="shared" si="36"/>
        <v/>
      </c>
      <c r="AQ215" t="str">
        <f t="shared" si="37"/>
        <v/>
      </c>
      <c r="AR215" t="str">
        <f t="shared" si="38"/>
        <v/>
      </c>
      <c r="AS215" t="str">
        <f t="shared" si="39"/>
        <v/>
      </c>
      <c r="AT215" t="str">
        <f t="shared" si="40"/>
        <v/>
      </c>
      <c r="BG215" t="str">
        <f t="shared" si="41"/>
        <v/>
      </c>
      <c r="BH215" t="str">
        <f t="shared" si="42"/>
        <v/>
      </c>
      <c r="BL215" t="str">
        <f>IFERROR(INDEX(_names_lookup!$C:$C,MATCH(BK215,_names_lookup!$A:$A,0)),"")</f>
        <v/>
      </c>
      <c r="BM215" t="str">
        <f>IFERROR(INDEX(_names_lookup!$B:$B,MATCH(BK215,_names_lookup!$A:$A,0)),"")</f>
        <v/>
      </c>
      <c r="BS215" t="str">
        <f t="shared" si="43"/>
        <v/>
      </c>
    </row>
    <row r="216" spans="15:71" x14ac:dyDescent="0.2">
      <c r="O216" t="str">
        <f>IFERROR(INDEX(_courses_lookup!$C:$C,MATCH(K216&amp;L216,_courses_lookup!$E:$E,0)),"")</f>
        <v/>
      </c>
      <c r="P216" t="str">
        <f>IFERROR(INDEX(_courses_lookup!$D:$D,MATCH(K216&amp;L216,_courses_lookup!$E:$E,0)),"")</f>
        <v/>
      </c>
      <c r="AG216" t="str">
        <f t="shared" si="33"/>
        <v/>
      </c>
      <c r="AI216" t="str">
        <f t="shared" si="34"/>
        <v/>
      </c>
      <c r="AL216" t="str">
        <f t="shared" si="35"/>
        <v/>
      </c>
      <c r="AN216" t="str">
        <f t="shared" si="36"/>
        <v/>
      </c>
      <c r="AQ216" t="str">
        <f t="shared" si="37"/>
        <v/>
      </c>
      <c r="AR216" t="str">
        <f t="shared" si="38"/>
        <v/>
      </c>
      <c r="AS216" t="str">
        <f t="shared" si="39"/>
        <v/>
      </c>
      <c r="AT216" t="str">
        <f t="shared" si="40"/>
        <v/>
      </c>
      <c r="BG216" t="str">
        <f t="shared" si="41"/>
        <v/>
      </c>
      <c r="BH216" t="str">
        <f t="shared" si="42"/>
        <v/>
      </c>
      <c r="BL216" t="str">
        <f>IFERROR(INDEX(_names_lookup!$C:$C,MATCH(BK216,_names_lookup!$A:$A,0)),"")</f>
        <v/>
      </c>
      <c r="BM216" t="str">
        <f>IFERROR(INDEX(_names_lookup!$B:$B,MATCH(BK216,_names_lookup!$A:$A,0)),"")</f>
        <v/>
      </c>
      <c r="BS216" t="str">
        <f t="shared" si="43"/>
        <v/>
      </c>
    </row>
    <row r="217" spans="15:71" x14ac:dyDescent="0.2">
      <c r="O217" t="str">
        <f>IFERROR(INDEX(_courses_lookup!$C:$C,MATCH(K217&amp;L217,_courses_lookup!$E:$E,0)),"")</f>
        <v/>
      </c>
      <c r="P217" t="str">
        <f>IFERROR(INDEX(_courses_lookup!$D:$D,MATCH(K217&amp;L217,_courses_lookup!$E:$E,0)),"")</f>
        <v/>
      </c>
      <c r="AG217" t="str">
        <f t="shared" si="33"/>
        <v/>
      </c>
      <c r="AI217" t="str">
        <f t="shared" si="34"/>
        <v/>
      </c>
      <c r="AL217" t="str">
        <f t="shared" si="35"/>
        <v/>
      </c>
      <c r="AN217" t="str">
        <f t="shared" si="36"/>
        <v/>
      </c>
      <c r="AQ217" t="str">
        <f t="shared" si="37"/>
        <v/>
      </c>
      <c r="AR217" t="str">
        <f t="shared" si="38"/>
        <v/>
      </c>
      <c r="AS217" t="str">
        <f t="shared" si="39"/>
        <v/>
      </c>
      <c r="AT217" t="str">
        <f t="shared" si="40"/>
        <v/>
      </c>
      <c r="BG217" t="str">
        <f t="shared" si="41"/>
        <v/>
      </c>
      <c r="BH217" t="str">
        <f t="shared" si="42"/>
        <v/>
      </c>
      <c r="BL217" t="str">
        <f>IFERROR(INDEX(_names_lookup!$C:$C,MATCH(BK217,_names_lookup!$A:$A,0)),"")</f>
        <v/>
      </c>
      <c r="BM217" t="str">
        <f>IFERROR(INDEX(_names_lookup!$B:$B,MATCH(BK217,_names_lookup!$A:$A,0)),"")</f>
        <v/>
      </c>
      <c r="BS217" t="str">
        <f t="shared" si="43"/>
        <v/>
      </c>
    </row>
    <row r="218" spans="15:71" x14ac:dyDescent="0.2">
      <c r="O218" t="str">
        <f>IFERROR(INDEX(_courses_lookup!$C:$C,MATCH(K218&amp;L218,_courses_lookup!$E:$E,0)),"")</f>
        <v/>
      </c>
      <c r="P218" t="str">
        <f>IFERROR(INDEX(_courses_lookup!$D:$D,MATCH(K218&amp;L218,_courses_lookup!$E:$E,0)),"")</f>
        <v/>
      </c>
      <c r="AG218" t="str">
        <f t="shared" si="33"/>
        <v/>
      </c>
      <c r="AI218" t="str">
        <f t="shared" si="34"/>
        <v/>
      </c>
      <c r="AL218" t="str">
        <f t="shared" si="35"/>
        <v/>
      </c>
      <c r="AN218" t="str">
        <f t="shared" si="36"/>
        <v/>
      </c>
      <c r="AQ218" t="str">
        <f t="shared" si="37"/>
        <v/>
      </c>
      <c r="AR218" t="str">
        <f t="shared" si="38"/>
        <v/>
      </c>
      <c r="AS218" t="str">
        <f t="shared" si="39"/>
        <v/>
      </c>
      <c r="AT218" t="str">
        <f t="shared" si="40"/>
        <v/>
      </c>
      <c r="BG218" t="str">
        <f t="shared" si="41"/>
        <v/>
      </c>
      <c r="BH218" t="str">
        <f t="shared" si="42"/>
        <v/>
      </c>
      <c r="BL218" t="str">
        <f>IFERROR(INDEX(_names_lookup!$C:$C,MATCH(BK218,_names_lookup!$A:$A,0)),"")</f>
        <v/>
      </c>
      <c r="BM218" t="str">
        <f>IFERROR(INDEX(_names_lookup!$B:$B,MATCH(BK218,_names_lookup!$A:$A,0)),"")</f>
        <v/>
      </c>
      <c r="BS218" t="str">
        <f t="shared" si="43"/>
        <v/>
      </c>
    </row>
    <row r="219" spans="15:71" x14ac:dyDescent="0.2">
      <c r="O219" t="str">
        <f>IFERROR(INDEX(_courses_lookup!$C:$C,MATCH(K219&amp;L219,_courses_lookup!$E:$E,0)),"")</f>
        <v/>
      </c>
      <c r="P219" t="str">
        <f>IFERROR(INDEX(_courses_lookup!$D:$D,MATCH(K219&amp;L219,_courses_lookup!$E:$E,0)),"")</f>
        <v/>
      </c>
      <c r="AG219" t="str">
        <f t="shared" si="33"/>
        <v/>
      </c>
      <c r="AI219" t="str">
        <f t="shared" si="34"/>
        <v/>
      </c>
      <c r="AL219" t="str">
        <f t="shared" si="35"/>
        <v/>
      </c>
      <c r="AN219" t="str">
        <f t="shared" si="36"/>
        <v/>
      </c>
      <c r="AQ219" t="str">
        <f t="shared" si="37"/>
        <v/>
      </c>
      <c r="AR219" t="str">
        <f t="shared" si="38"/>
        <v/>
      </c>
      <c r="AS219" t="str">
        <f t="shared" si="39"/>
        <v/>
      </c>
      <c r="AT219" t="str">
        <f t="shared" si="40"/>
        <v/>
      </c>
      <c r="BG219" t="str">
        <f t="shared" si="41"/>
        <v/>
      </c>
      <c r="BH219" t="str">
        <f t="shared" si="42"/>
        <v/>
      </c>
      <c r="BL219" t="str">
        <f>IFERROR(INDEX(_names_lookup!$C:$C,MATCH(BK219,_names_lookup!$A:$A,0)),"")</f>
        <v/>
      </c>
      <c r="BM219" t="str">
        <f>IFERROR(INDEX(_names_lookup!$B:$B,MATCH(BK219,_names_lookup!$A:$A,0)),"")</f>
        <v/>
      </c>
      <c r="BS219" t="str">
        <f t="shared" si="43"/>
        <v/>
      </c>
    </row>
    <row r="220" spans="15:71" x14ac:dyDescent="0.2">
      <c r="O220" t="str">
        <f>IFERROR(INDEX(_courses_lookup!$C:$C,MATCH(K220&amp;L220,_courses_lookup!$E:$E,0)),"")</f>
        <v/>
      </c>
      <c r="P220" t="str">
        <f>IFERROR(INDEX(_courses_lookup!$D:$D,MATCH(K220&amp;L220,_courses_lookup!$E:$E,0)),"")</f>
        <v/>
      </c>
      <c r="AG220" t="str">
        <f t="shared" si="33"/>
        <v/>
      </c>
      <c r="AI220" t="str">
        <f t="shared" si="34"/>
        <v/>
      </c>
      <c r="AL220" t="str">
        <f t="shared" si="35"/>
        <v/>
      </c>
      <c r="AN220" t="str">
        <f t="shared" si="36"/>
        <v/>
      </c>
      <c r="AQ220" t="str">
        <f t="shared" si="37"/>
        <v/>
      </c>
      <c r="AR220" t="str">
        <f t="shared" si="38"/>
        <v/>
      </c>
      <c r="AS220" t="str">
        <f t="shared" si="39"/>
        <v/>
      </c>
      <c r="AT220" t="str">
        <f t="shared" si="40"/>
        <v/>
      </c>
      <c r="BG220" t="str">
        <f t="shared" si="41"/>
        <v/>
      </c>
      <c r="BH220" t="str">
        <f t="shared" si="42"/>
        <v/>
      </c>
      <c r="BL220" t="str">
        <f>IFERROR(INDEX(_names_lookup!$C:$C,MATCH(BK220,_names_lookup!$A:$A,0)),"")</f>
        <v/>
      </c>
      <c r="BM220" t="str">
        <f>IFERROR(INDEX(_names_lookup!$B:$B,MATCH(BK220,_names_lookup!$A:$A,0)),"")</f>
        <v/>
      </c>
      <c r="BS220" t="str">
        <f t="shared" si="43"/>
        <v/>
      </c>
    </row>
    <row r="221" spans="15:71" x14ac:dyDescent="0.2">
      <c r="O221" t="str">
        <f>IFERROR(INDEX(_courses_lookup!$C:$C,MATCH(K221&amp;L221,_courses_lookup!$E:$E,0)),"")</f>
        <v/>
      </c>
      <c r="P221" t="str">
        <f>IFERROR(INDEX(_courses_lookup!$D:$D,MATCH(K221&amp;L221,_courses_lookup!$E:$E,0)),"")</f>
        <v/>
      </c>
      <c r="AG221" t="str">
        <f t="shared" si="33"/>
        <v/>
      </c>
      <c r="AI221" t="str">
        <f t="shared" si="34"/>
        <v/>
      </c>
      <c r="AL221" t="str">
        <f t="shared" si="35"/>
        <v/>
      </c>
      <c r="AN221" t="str">
        <f t="shared" si="36"/>
        <v/>
      </c>
      <c r="AQ221" t="str">
        <f t="shared" si="37"/>
        <v/>
      </c>
      <c r="AR221" t="str">
        <f t="shared" si="38"/>
        <v/>
      </c>
      <c r="AS221" t="str">
        <f t="shared" si="39"/>
        <v/>
      </c>
      <c r="AT221" t="str">
        <f t="shared" si="40"/>
        <v/>
      </c>
      <c r="BG221" t="str">
        <f t="shared" si="41"/>
        <v/>
      </c>
      <c r="BH221" t="str">
        <f t="shared" si="42"/>
        <v/>
      </c>
      <c r="BL221" t="str">
        <f>IFERROR(INDEX(_names_lookup!$C:$C,MATCH(BK221,_names_lookup!$A:$A,0)),"")</f>
        <v/>
      </c>
      <c r="BM221" t="str">
        <f>IFERROR(INDEX(_names_lookup!$B:$B,MATCH(BK221,_names_lookup!$A:$A,0)),"")</f>
        <v/>
      </c>
      <c r="BS221" t="str">
        <f t="shared" si="43"/>
        <v/>
      </c>
    </row>
    <row r="222" spans="15:71" x14ac:dyDescent="0.2">
      <c r="O222" t="str">
        <f>IFERROR(INDEX(_courses_lookup!$C:$C,MATCH(K222&amp;L222,_courses_lookup!$E:$E,0)),"")</f>
        <v/>
      </c>
      <c r="P222" t="str">
        <f>IFERROR(INDEX(_courses_lookup!$D:$D,MATCH(K222&amp;L222,_courses_lookup!$E:$E,0)),"")</f>
        <v/>
      </c>
      <c r="AG222" t="str">
        <f t="shared" si="33"/>
        <v/>
      </c>
      <c r="AI222" t="str">
        <f t="shared" si="34"/>
        <v/>
      </c>
      <c r="AL222" t="str">
        <f t="shared" si="35"/>
        <v/>
      </c>
      <c r="AN222" t="str">
        <f t="shared" si="36"/>
        <v/>
      </c>
      <c r="AQ222" t="str">
        <f t="shared" si="37"/>
        <v/>
      </c>
      <c r="AR222" t="str">
        <f t="shared" si="38"/>
        <v/>
      </c>
      <c r="AS222" t="str">
        <f t="shared" si="39"/>
        <v/>
      </c>
      <c r="AT222" t="str">
        <f t="shared" si="40"/>
        <v/>
      </c>
      <c r="BG222" t="str">
        <f t="shared" si="41"/>
        <v/>
      </c>
      <c r="BH222" t="str">
        <f t="shared" si="42"/>
        <v/>
      </c>
      <c r="BL222" t="str">
        <f>IFERROR(INDEX(_names_lookup!$C:$C,MATCH(BK222,_names_lookup!$A:$A,0)),"")</f>
        <v/>
      </c>
      <c r="BM222" t="str">
        <f>IFERROR(INDEX(_names_lookup!$B:$B,MATCH(BK222,_names_lookup!$A:$A,0)),"")</f>
        <v/>
      </c>
      <c r="BS222" t="str">
        <f t="shared" si="43"/>
        <v/>
      </c>
    </row>
    <row r="223" spans="15:71" x14ac:dyDescent="0.2">
      <c r="O223" t="str">
        <f>IFERROR(INDEX(_courses_lookup!$C:$C,MATCH(K223&amp;L223,_courses_lookup!$E:$E,0)),"")</f>
        <v/>
      </c>
      <c r="P223" t="str">
        <f>IFERROR(INDEX(_courses_lookup!$D:$D,MATCH(K223&amp;L223,_courses_lookup!$E:$E,0)),"")</f>
        <v/>
      </c>
      <c r="AG223" t="str">
        <f t="shared" si="33"/>
        <v/>
      </c>
      <c r="AI223" t="str">
        <f t="shared" si="34"/>
        <v/>
      </c>
      <c r="AL223" t="str">
        <f t="shared" si="35"/>
        <v/>
      </c>
      <c r="AN223" t="str">
        <f t="shared" si="36"/>
        <v/>
      </c>
      <c r="AQ223" t="str">
        <f t="shared" si="37"/>
        <v/>
      </c>
      <c r="AR223" t="str">
        <f t="shared" si="38"/>
        <v/>
      </c>
      <c r="AS223" t="str">
        <f t="shared" si="39"/>
        <v/>
      </c>
      <c r="AT223" t="str">
        <f t="shared" si="40"/>
        <v/>
      </c>
      <c r="BG223" t="str">
        <f t="shared" si="41"/>
        <v/>
      </c>
      <c r="BH223" t="str">
        <f t="shared" si="42"/>
        <v/>
      </c>
      <c r="BL223" t="str">
        <f>IFERROR(INDEX(_names_lookup!$C:$C,MATCH(BK223,_names_lookup!$A:$A,0)),"")</f>
        <v/>
      </c>
      <c r="BM223" t="str">
        <f>IFERROR(INDEX(_names_lookup!$B:$B,MATCH(BK223,_names_lookup!$A:$A,0)),"")</f>
        <v/>
      </c>
      <c r="BS223" t="str">
        <f t="shared" si="43"/>
        <v/>
      </c>
    </row>
    <row r="224" spans="15:71" x14ac:dyDescent="0.2">
      <c r="O224" t="str">
        <f>IFERROR(INDEX(_courses_lookup!$C:$C,MATCH(K224&amp;L224,_courses_lookup!$E:$E,0)),"")</f>
        <v/>
      </c>
      <c r="P224" t="str">
        <f>IFERROR(INDEX(_courses_lookup!$D:$D,MATCH(K224&amp;L224,_courses_lookup!$E:$E,0)),"")</f>
        <v/>
      </c>
      <c r="AG224" t="str">
        <f t="shared" si="33"/>
        <v/>
      </c>
      <c r="AI224" t="str">
        <f t="shared" si="34"/>
        <v/>
      </c>
      <c r="AL224" t="str">
        <f t="shared" si="35"/>
        <v/>
      </c>
      <c r="AN224" t="str">
        <f t="shared" si="36"/>
        <v/>
      </c>
      <c r="AQ224" t="str">
        <f t="shared" si="37"/>
        <v/>
      </c>
      <c r="AR224" t="str">
        <f t="shared" si="38"/>
        <v/>
      </c>
      <c r="AS224" t="str">
        <f t="shared" si="39"/>
        <v/>
      </c>
      <c r="AT224" t="str">
        <f t="shared" si="40"/>
        <v/>
      </c>
      <c r="BG224" t="str">
        <f t="shared" si="41"/>
        <v/>
      </c>
      <c r="BH224" t="str">
        <f t="shared" si="42"/>
        <v/>
      </c>
      <c r="BL224" t="str">
        <f>IFERROR(INDEX(_names_lookup!$C:$C,MATCH(BK224,_names_lookup!$A:$A,0)),"")</f>
        <v/>
      </c>
      <c r="BM224" t="str">
        <f>IFERROR(INDEX(_names_lookup!$B:$B,MATCH(BK224,_names_lookup!$A:$A,0)),"")</f>
        <v/>
      </c>
      <c r="BS224" t="str">
        <f t="shared" si="43"/>
        <v/>
      </c>
    </row>
    <row r="225" spans="15:71" x14ac:dyDescent="0.2">
      <c r="O225" t="str">
        <f>IFERROR(INDEX(_courses_lookup!$C:$C,MATCH(K225&amp;L225,_courses_lookup!$E:$E,0)),"")</f>
        <v/>
      </c>
      <c r="P225" t="str">
        <f>IFERROR(INDEX(_courses_lookup!$D:$D,MATCH(K225&amp;L225,_courses_lookup!$E:$E,0)),"")</f>
        <v/>
      </c>
      <c r="AG225" t="str">
        <f t="shared" si="33"/>
        <v/>
      </c>
      <c r="AI225" t="str">
        <f t="shared" si="34"/>
        <v/>
      </c>
      <c r="AL225" t="str">
        <f t="shared" si="35"/>
        <v/>
      </c>
      <c r="AN225" t="str">
        <f t="shared" si="36"/>
        <v/>
      </c>
      <c r="AQ225" t="str">
        <f t="shared" si="37"/>
        <v/>
      </c>
      <c r="AR225" t="str">
        <f t="shared" si="38"/>
        <v/>
      </c>
      <c r="AS225" t="str">
        <f t="shared" si="39"/>
        <v/>
      </c>
      <c r="AT225" t="str">
        <f t="shared" si="40"/>
        <v/>
      </c>
      <c r="BG225" t="str">
        <f t="shared" si="41"/>
        <v/>
      </c>
      <c r="BH225" t="str">
        <f t="shared" si="42"/>
        <v/>
      </c>
      <c r="BL225" t="str">
        <f>IFERROR(INDEX(_names_lookup!$C:$C,MATCH(BK225,_names_lookup!$A:$A,0)),"")</f>
        <v/>
      </c>
      <c r="BM225" t="str">
        <f>IFERROR(INDEX(_names_lookup!$B:$B,MATCH(BK225,_names_lookup!$A:$A,0)),"")</f>
        <v/>
      </c>
      <c r="BS225" t="str">
        <f t="shared" si="43"/>
        <v/>
      </c>
    </row>
    <row r="226" spans="15:71" x14ac:dyDescent="0.2">
      <c r="O226" t="str">
        <f>IFERROR(INDEX(_courses_lookup!$C:$C,MATCH(K226&amp;L226,_courses_lookup!$E:$E,0)),"")</f>
        <v/>
      </c>
      <c r="P226" t="str">
        <f>IFERROR(INDEX(_courses_lookup!$D:$D,MATCH(K226&amp;L226,_courses_lookup!$E:$E,0)),"")</f>
        <v/>
      </c>
      <c r="AG226" t="str">
        <f t="shared" si="33"/>
        <v/>
      </c>
      <c r="AI226" t="str">
        <f t="shared" si="34"/>
        <v/>
      </c>
      <c r="AL226" t="str">
        <f t="shared" si="35"/>
        <v/>
      </c>
      <c r="AN226" t="str">
        <f t="shared" si="36"/>
        <v/>
      </c>
      <c r="AQ226" t="str">
        <f t="shared" si="37"/>
        <v/>
      </c>
      <c r="AR226" t="str">
        <f t="shared" si="38"/>
        <v/>
      </c>
      <c r="AS226" t="str">
        <f t="shared" si="39"/>
        <v/>
      </c>
      <c r="AT226" t="str">
        <f t="shared" si="40"/>
        <v/>
      </c>
      <c r="BG226" t="str">
        <f t="shared" si="41"/>
        <v/>
      </c>
      <c r="BH226" t="str">
        <f t="shared" si="42"/>
        <v/>
      </c>
      <c r="BL226" t="str">
        <f>IFERROR(INDEX(_names_lookup!$C:$C,MATCH(BK226,_names_lookup!$A:$A,0)),"")</f>
        <v/>
      </c>
      <c r="BM226" t="str">
        <f>IFERROR(INDEX(_names_lookup!$B:$B,MATCH(BK226,_names_lookup!$A:$A,0)),"")</f>
        <v/>
      </c>
      <c r="BS226" t="str">
        <f t="shared" si="43"/>
        <v/>
      </c>
    </row>
    <row r="227" spans="15:71" x14ac:dyDescent="0.2">
      <c r="O227" t="str">
        <f>IFERROR(INDEX(_courses_lookup!$C:$C,MATCH(K227&amp;L227,_courses_lookup!$E:$E,0)),"")</f>
        <v/>
      </c>
      <c r="P227" t="str">
        <f>IFERROR(INDEX(_courses_lookup!$D:$D,MATCH(K227&amp;L227,_courses_lookup!$E:$E,0)),"")</f>
        <v/>
      </c>
      <c r="AG227" t="str">
        <f t="shared" si="33"/>
        <v/>
      </c>
      <c r="AI227" t="str">
        <f t="shared" si="34"/>
        <v/>
      </c>
      <c r="AL227" t="str">
        <f t="shared" si="35"/>
        <v/>
      </c>
      <c r="AN227" t="str">
        <f t="shared" si="36"/>
        <v/>
      </c>
      <c r="AQ227" t="str">
        <f t="shared" si="37"/>
        <v/>
      </c>
      <c r="AR227" t="str">
        <f t="shared" si="38"/>
        <v/>
      </c>
      <c r="AS227" t="str">
        <f t="shared" si="39"/>
        <v/>
      </c>
      <c r="AT227" t="str">
        <f t="shared" si="40"/>
        <v/>
      </c>
      <c r="BG227" t="str">
        <f t="shared" si="41"/>
        <v/>
      </c>
      <c r="BH227" t="str">
        <f t="shared" si="42"/>
        <v/>
      </c>
      <c r="BL227" t="str">
        <f>IFERROR(INDEX(_names_lookup!$C:$C,MATCH(BK227,_names_lookup!$A:$A,0)),"")</f>
        <v/>
      </c>
      <c r="BM227" t="str">
        <f>IFERROR(INDEX(_names_lookup!$B:$B,MATCH(BK227,_names_lookup!$A:$A,0)),"")</f>
        <v/>
      </c>
      <c r="BS227" t="str">
        <f t="shared" si="43"/>
        <v/>
      </c>
    </row>
    <row r="228" spans="15:71" x14ac:dyDescent="0.2">
      <c r="O228" t="str">
        <f>IFERROR(INDEX(_courses_lookup!$C:$C,MATCH(K228&amp;L228,_courses_lookup!$E:$E,0)),"")</f>
        <v/>
      </c>
      <c r="P228" t="str">
        <f>IFERROR(INDEX(_courses_lookup!$D:$D,MATCH(K228&amp;L228,_courses_lookup!$E:$E,0)),"")</f>
        <v/>
      </c>
      <c r="AG228" t="str">
        <f t="shared" si="33"/>
        <v/>
      </c>
      <c r="AI228" t="str">
        <f t="shared" si="34"/>
        <v/>
      </c>
      <c r="AL228" t="str">
        <f t="shared" si="35"/>
        <v/>
      </c>
      <c r="AN228" t="str">
        <f t="shared" si="36"/>
        <v/>
      </c>
      <c r="AQ228" t="str">
        <f t="shared" si="37"/>
        <v/>
      </c>
      <c r="AR228" t="str">
        <f t="shared" si="38"/>
        <v/>
      </c>
      <c r="AS228" t="str">
        <f t="shared" si="39"/>
        <v/>
      </c>
      <c r="AT228" t="str">
        <f t="shared" si="40"/>
        <v/>
      </c>
      <c r="BG228" t="str">
        <f t="shared" si="41"/>
        <v/>
      </c>
      <c r="BH228" t="str">
        <f t="shared" si="42"/>
        <v/>
      </c>
      <c r="BL228" t="str">
        <f>IFERROR(INDEX(_names_lookup!$C:$C,MATCH(BK228,_names_lookup!$A:$A,0)),"")</f>
        <v/>
      </c>
      <c r="BM228" t="str">
        <f>IFERROR(INDEX(_names_lookup!$B:$B,MATCH(BK228,_names_lookup!$A:$A,0)),"")</f>
        <v/>
      </c>
      <c r="BS228" t="str">
        <f t="shared" si="43"/>
        <v/>
      </c>
    </row>
    <row r="229" spans="15:71" x14ac:dyDescent="0.2">
      <c r="O229" t="str">
        <f>IFERROR(INDEX(_courses_lookup!$C:$C,MATCH(K229&amp;L229,_courses_lookup!$E:$E,0)),"")</f>
        <v/>
      </c>
      <c r="P229" t="str">
        <f>IFERROR(INDEX(_courses_lookup!$D:$D,MATCH(K229&amp;L229,_courses_lookup!$E:$E,0)),"")</f>
        <v/>
      </c>
      <c r="AG229" t="str">
        <f t="shared" si="33"/>
        <v/>
      </c>
      <c r="AI229" t="str">
        <f t="shared" si="34"/>
        <v/>
      </c>
      <c r="AL229" t="str">
        <f t="shared" si="35"/>
        <v/>
      </c>
      <c r="AN229" t="str">
        <f t="shared" si="36"/>
        <v/>
      </c>
      <c r="AQ229" t="str">
        <f t="shared" si="37"/>
        <v/>
      </c>
      <c r="AR229" t="str">
        <f t="shared" si="38"/>
        <v/>
      </c>
      <c r="AS229" t="str">
        <f t="shared" si="39"/>
        <v/>
      </c>
      <c r="AT229" t="str">
        <f t="shared" si="40"/>
        <v/>
      </c>
      <c r="BG229" t="str">
        <f t="shared" si="41"/>
        <v/>
      </c>
      <c r="BH229" t="str">
        <f t="shared" si="42"/>
        <v/>
      </c>
      <c r="BL229" t="str">
        <f>IFERROR(INDEX(_names_lookup!$C:$C,MATCH(BK229,_names_lookup!$A:$A,0)),"")</f>
        <v/>
      </c>
      <c r="BM229" t="str">
        <f>IFERROR(INDEX(_names_lookup!$B:$B,MATCH(BK229,_names_lookup!$A:$A,0)),"")</f>
        <v/>
      </c>
      <c r="BS229" t="str">
        <f t="shared" si="43"/>
        <v/>
      </c>
    </row>
    <row r="230" spans="15:71" x14ac:dyDescent="0.2">
      <c r="O230" t="str">
        <f>IFERROR(INDEX(_courses_lookup!$C:$C,MATCH(K230&amp;L230,_courses_lookup!$E:$E,0)),"")</f>
        <v/>
      </c>
      <c r="P230" t="str">
        <f>IFERROR(INDEX(_courses_lookup!$D:$D,MATCH(K230&amp;L230,_courses_lookup!$E:$E,0)),"")</f>
        <v/>
      </c>
      <c r="AG230" t="str">
        <f t="shared" si="33"/>
        <v/>
      </c>
      <c r="AI230" t="str">
        <f t="shared" si="34"/>
        <v/>
      </c>
      <c r="AL230" t="str">
        <f t="shared" si="35"/>
        <v/>
      </c>
      <c r="AN230" t="str">
        <f t="shared" si="36"/>
        <v/>
      </c>
      <c r="AQ230" t="str">
        <f t="shared" si="37"/>
        <v/>
      </c>
      <c r="AR230" t="str">
        <f t="shared" si="38"/>
        <v/>
      </c>
      <c r="AS230" t="str">
        <f t="shared" si="39"/>
        <v/>
      </c>
      <c r="AT230" t="str">
        <f t="shared" si="40"/>
        <v/>
      </c>
      <c r="BG230" t="str">
        <f t="shared" si="41"/>
        <v/>
      </c>
      <c r="BH230" t="str">
        <f t="shared" si="42"/>
        <v/>
      </c>
      <c r="BL230" t="str">
        <f>IFERROR(INDEX(_names_lookup!$C:$C,MATCH(BK230,_names_lookup!$A:$A,0)),"")</f>
        <v/>
      </c>
      <c r="BM230" t="str">
        <f>IFERROR(INDEX(_names_lookup!$B:$B,MATCH(BK230,_names_lookup!$A:$A,0)),"")</f>
        <v/>
      </c>
      <c r="BS230" t="str">
        <f t="shared" si="43"/>
        <v/>
      </c>
    </row>
    <row r="231" spans="15:71" x14ac:dyDescent="0.2">
      <c r="O231" t="str">
        <f>IFERROR(INDEX(_courses_lookup!$C:$C,MATCH(K231&amp;L231,_courses_lookup!$E:$E,0)),"")</f>
        <v/>
      </c>
      <c r="P231" t="str">
        <f>IFERROR(INDEX(_courses_lookup!$D:$D,MATCH(K231&amp;L231,_courses_lookup!$E:$E,0)),"")</f>
        <v/>
      </c>
      <c r="AG231" t="str">
        <f t="shared" si="33"/>
        <v/>
      </c>
      <c r="AI231" t="str">
        <f t="shared" si="34"/>
        <v/>
      </c>
      <c r="AL231" t="str">
        <f t="shared" si="35"/>
        <v/>
      </c>
      <c r="AN231" t="str">
        <f t="shared" si="36"/>
        <v/>
      </c>
      <c r="AQ231" t="str">
        <f t="shared" si="37"/>
        <v/>
      </c>
      <c r="AR231" t="str">
        <f t="shared" si="38"/>
        <v/>
      </c>
      <c r="AS231" t="str">
        <f t="shared" si="39"/>
        <v/>
      </c>
      <c r="AT231" t="str">
        <f t="shared" si="40"/>
        <v/>
      </c>
      <c r="BG231" t="str">
        <f t="shared" si="41"/>
        <v/>
      </c>
      <c r="BH231" t="str">
        <f t="shared" si="42"/>
        <v/>
      </c>
      <c r="BL231" t="str">
        <f>IFERROR(INDEX(_names_lookup!$C:$C,MATCH(BK231,_names_lookup!$A:$A,0)),"")</f>
        <v/>
      </c>
      <c r="BM231" t="str">
        <f>IFERROR(INDEX(_names_lookup!$B:$B,MATCH(BK231,_names_lookup!$A:$A,0)),"")</f>
        <v/>
      </c>
      <c r="BS231" t="str">
        <f t="shared" si="43"/>
        <v/>
      </c>
    </row>
    <row r="232" spans="15:71" x14ac:dyDescent="0.2">
      <c r="O232" t="str">
        <f>IFERROR(INDEX(_courses_lookup!$C:$C,MATCH(K232&amp;L232,_courses_lookup!$E:$E,0)),"")</f>
        <v/>
      </c>
      <c r="P232" t="str">
        <f>IFERROR(INDEX(_courses_lookup!$D:$D,MATCH(K232&amp;L232,_courses_lookup!$E:$E,0)),"")</f>
        <v/>
      </c>
      <c r="AG232" t="str">
        <f t="shared" si="33"/>
        <v/>
      </c>
      <c r="AI232" t="str">
        <f t="shared" si="34"/>
        <v/>
      </c>
      <c r="AL232" t="str">
        <f t="shared" si="35"/>
        <v/>
      </c>
      <c r="AN232" t="str">
        <f t="shared" si="36"/>
        <v/>
      </c>
      <c r="AQ232" t="str">
        <f t="shared" si="37"/>
        <v/>
      </c>
      <c r="AR232" t="str">
        <f t="shared" si="38"/>
        <v/>
      </c>
      <c r="AS232" t="str">
        <f t="shared" si="39"/>
        <v/>
      </c>
      <c r="AT232" t="str">
        <f t="shared" si="40"/>
        <v/>
      </c>
      <c r="BG232" t="str">
        <f t="shared" si="41"/>
        <v/>
      </c>
      <c r="BH232" t="str">
        <f t="shared" si="42"/>
        <v/>
      </c>
      <c r="BL232" t="str">
        <f>IFERROR(INDEX(_names_lookup!$C:$C,MATCH(BK232,_names_lookup!$A:$A,0)),"")</f>
        <v/>
      </c>
      <c r="BM232" t="str">
        <f>IFERROR(INDEX(_names_lookup!$B:$B,MATCH(BK232,_names_lookup!$A:$A,0)),"")</f>
        <v/>
      </c>
      <c r="BS232" t="str">
        <f t="shared" si="43"/>
        <v/>
      </c>
    </row>
    <row r="233" spans="15:71" x14ac:dyDescent="0.2">
      <c r="O233" t="str">
        <f>IFERROR(INDEX(_courses_lookup!$C:$C,MATCH(K233&amp;L233,_courses_lookup!$E:$E,0)),"")</f>
        <v/>
      </c>
      <c r="P233" t="str">
        <f>IFERROR(INDEX(_courses_lookup!$D:$D,MATCH(K233&amp;L233,_courses_lookup!$E:$E,0)),"")</f>
        <v/>
      </c>
      <c r="AG233" t="str">
        <f t="shared" si="33"/>
        <v/>
      </c>
      <c r="AI233" t="str">
        <f t="shared" si="34"/>
        <v/>
      </c>
      <c r="AL233" t="str">
        <f t="shared" si="35"/>
        <v/>
      </c>
      <c r="AN233" t="str">
        <f t="shared" si="36"/>
        <v/>
      </c>
      <c r="AQ233" t="str">
        <f t="shared" si="37"/>
        <v/>
      </c>
      <c r="AR233" t="str">
        <f t="shared" si="38"/>
        <v/>
      </c>
      <c r="AS233" t="str">
        <f t="shared" si="39"/>
        <v/>
      </c>
      <c r="AT233" t="str">
        <f t="shared" si="40"/>
        <v/>
      </c>
      <c r="BG233" t="str">
        <f t="shared" si="41"/>
        <v/>
      </c>
      <c r="BH233" t="str">
        <f t="shared" si="42"/>
        <v/>
      </c>
      <c r="BL233" t="str">
        <f>IFERROR(INDEX(_names_lookup!$C:$C,MATCH(BK233,_names_lookup!$A:$A,0)),"")</f>
        <v/>
      </c>
      <c r="BM233" t="str">
        <f>IFERROR(INDEX(_names_lookup!$B:$B,MATCH(BK233,_names_lookup!$A:$A,0)),"")</f>
        <v/>
      </c>
      <c r="BS233" t="str">
        <f t="shared" si="43"/>
        <v/>
      </c>
    </row>
    <row r="234" spans="15:71" x14ac:dyDescent="0.2">
      <c r="O234" t="str">
        <f>IFERROR(INDEX(_courses_lookup!$C:$C,MATCH(K234&amp;L234,_courses_lookup!$E:$E,0)),"")</f>
        <v/>
      </c>
      <c r="P234" t="str">
        <f>IFERROR(INDEX(_courses_lookup!$D:$D,MATCH(K234&amp;L234,_courses_lookup!$E:$E,0)),"")</f>
        <v/>
      </c>
      <c r="AG234" t="str">
        <f t="shared" si="33"/>
        <v/>
      </c>
      <c r="AI234" t="str">
        <f t="shared" si="34"/>
        <v/>
      </c>
      <c r="AL234" t="str">
        <f t="shared" si="35"/>
        <v/>
      </c>
      <c r="AN234" t="str">
        <f t="shared" si="36"/>
        <v/>
      </c>
      <c r="AQ234" t="str">
        <f t="shared" si="37"/>
        <v/>
      </c>
      <c r="AR234" t="str">
        <f t="shared" si="38"/>
        <v/>
      </c>
      <c r="AS234" t="str">
        <f t="shared" si="39"/>
        <v/>
      </c>
      <c r="AT234" t="str">
        <f t="shared" si="40"/>
        <v/>
      </c>
      <c r="BG234" t="str">
        <f t="shared" si="41"/>
        <v/>
      </c>
      <c r="BH234" t="str">
        <f t="shared" si="42"/>
        <v/>
      </c>
      <c r="BL234" t="str">
        <f>IFERROR(INDEX(_names_lookup!$C:$C,MATCH(BK234,_names_lookup!$A:$A,0)),"")</f>
        <v/>
      </c>
      <c r="BM234" t="str">
        <f>IFERROR(INDEX(_names_lookup!$B:$B,MATCH(BK234,_names_lookup!$A:$A,0)),"")</f>
        <v/>
      </c>
      <c r="BS234" t="str">
        <f t="shared" si="43"/>
        <v/>
      </c>
    </row>
    <row r="235" spans="15:71" x14ac:dyDescent="0.2">
      <c r="O235" t="str">
        <f>IFERROR(INDEX(_courses_lookup!$C:$C,MATCH(K235&amp;L235,_courses_lookup!$E:$E,0)),"")</f>
        <v/>
      </c>
      <c r="P235" t="str">
        <f>IFERROR(INDEX(_courses_lookup!$D:$D,MATCH(K235&amp;L235,_courses_lookup!$E:$E,0)),"")</f>
        <v/>
      </c>
      <c r="AG235" t="str">
        <f t="shared" si="33"/>
        <v/>
      </c>
      <c r="AI235" t="str">
        <f t="shared" si="34"/>
        <v/>
      </c>
      <c r="AL235" t="str">
        <f t="shared" si="35"/>
        <v/>
      </c>
      <c r="AN235" t="str">
        <f t="shared" si="36"/>
        <v/>
      </c>
      <c r="AQ235" t="str">
        <f t="shared" si="37"/>
        <v/>
      </c>
      <c r="AR235" t="str">
        <f t="shared" si="38"/>
        <v/>
      </c>
      <c r="AS235" t="str">
        <f t="shared" si="39"/>
        <v/>
      </c>
      <c r="AT235" t="str">
        <f t="shared" si="40"/>
        <v/>
      </c>
      <c r="BG235" t="str">
        <f t="shared" si="41"/>
        <v/>
      </c>
      <c r="BH235" t="str">
        <f t="shared" si="42"/>
        <v/>
      </c>
      <c r="BL235" t="str">
        <f>IFERROR(INDEX(_names_lookup!$C:$C,MATCH(BK235,_names_lookup!$A:$A,0)),"")</f>
        <v/>
      </c>
      <c r="BM235" t="str">
        <f>IFERROR(INDEX(_names_lookup!$B:$B,MATCH(BK235,_names_lookup!$A:$A,0)),"")</f>
        <v/>
      </c>
      <c r="BS235" t="str">
        <f t="shared" si="43"/>
        <v/>
      </c>
    </row>
    <row r="236" spans="15:71" x14ac:dyDescent="0.2">
      <c r="O236" t="str">
        <f>IFERROR(INDEX(_courses_lookup!$C:$C,MATCH(K236&amp;L236,_courses_lookup!$E:$E,0)),"")</f>
        <v/>
      </c>
      <c r="P236" t="str">
        <f>IFERROR(INDEX(_courses_lookup!$D:$D,MATCH(K236&amp;L236,_courses_lookup!$E:$E,0)),"")</f>
        <v/>
      </c>
      <c r="AG236" t="str">
        <f t="shared" si="33"/>
        <v/>
      </c>
      <c r="AI236" t="str">
        <f t="shared" si="34"/>
        <v/>
      </c>
      <c r="AL236" t="str">
        <f t="shared" si="35"/>
        <v/>
      </c>
      <c r="AN236" t="str">
        <f t="shared" si="36"/>
        <v/>
      </c>
      <c r="AQ236" t="str">
        <f t="shared" si="37"/>
        <v/>
      </c>
      <c r="AR236" t="str">
        <f t="shared" si="38"/>
        <v/>
      </c>
      <c r="AS236" t="str">
        <f t="shared" si="39"/>
        <v/>
      </c>
      <c r="AT236" t="str">
        <f t="shared" si="40"/>
        <v/>
      </c>
      <c r="BG236" t="str">
        <f t="shared" si="41"/>
        <v/>
      </c>
      <c r="BH236" t="str">
        <f t="shared" si="42"/>
        <v/>
      </c>
      <c r="BL236" t="str">
        <f>IFERROR(INDEX(_names_lookup!$C:$C,MATCH(BK236,_names_lookup!$A:$A,0)),"")</f>
        <v/>
      </c>
      <c r="BM236" t="str">
        <f>IFERROR(INDEX(_names_lookup!$B:$B,MATCH(BK236,_names_lookup!$A:$A,0)),"")</f>
        <v/>
      </c>
      <c r="BS236" t="str">
        <f t="shared" si="43"/>
        <v/>
      </c>
    </row>
    <row r="237" spans="15:71" x14ac:dyDescent="0.2">
      <c r="O237" t="str">
        <f>IFERROR(INDEX(_courses_lookup!$C:$C,MATCH(K237&amp;L237,_courses_lookup!$E:$E,0)),"")</f>
        <v/>
      </c>
      <c r="P237" t="str">
        <f>IFERROR(INDEX(_courses_lookup!$D:$D,MATCH(K237&amp;L237,_courses_lookup!$E:$E,0)),"")</f>
        <v/>
      </c>
      <c r="AG237" t="str">
        <f t="shared" si="33"/>
        <v/>
      </c>
      <c r="AI237" t="str">
        <f t="shared" si="34"/>
        <v/>
      </c>
      <c r="AL237" t="str">
        <f t="shared" si="35"/>
        <v/>
      </c>
      <c r="AN237" t="str">
        <f t="shared" si="36"/>
        <v/>
      </c>
      <c r="AQ237" t="str">
        <f t="shared" si="37"/>
        <v/>
      </c>
      <c r="AR237" t="str">
        <f t="shared" si="38"/>
        <v/>
      </c>
      <c r="AS237" t="str">
        <f t="shared" si="39"/>
        <v/>
      </c>
      <c r="AT237" t="str">
        <f t="shared" si="40"/>
        <v/>
      </c>
      <c r="BG237" t="str">
        <f t="shared" si="41"/>
        <v/>
      </c>
      <c r="BH237" t="str">
        <f t="shared" si="42"/>
        <v/>
      </c>
      <c r="BL237" t="str">
        <f>IFERROR(INDEX(_names_lookup!$C:$C,MATCH(BK237,_names_lookup!$A:$A,0)),"")</f>
        <v/>
      </c>
      <c r="BM237" t="str">
        <f>IFERROR(INDEX(_names_lookup!$B:$B,MATCH(BK237,_names_lookup!$A:$A,0)),"")</f>
        <v/>
      </c>
      <c r="BS237" t="str">
        <f t="shared" si="43"/>
        <v/>
      </c>
    </row>
    <row r="238" spans="15:71" x14ac:dyDescent="0.2">
      <c r="O238" t="str">
        <f>IFERROR(INDEX(_courses_lookup!$C:$C,MATCH(K238&amp;L238,_courses_lookup!$E:$E,0)),"")</f>
        <v/>
      </c>
      <c r="P238" t="str">
        <f>IFERROR(INDEX(_courses_lookup!$D:$D,MATCH(K238&amp;L238,_courses_lookup!$E:$E,0)),"")</f>
        <v/>
      </c>
      <c r="AG238" t="str">
        <f t="shared" si="33"/>
        <v/>
      </c>
      <c r="AI238" t="str">
        <f t="shared" si="34"/>
        <v/>
      </c>
      <c r="AL238" t="str">
        <f t="shared" si="35"/>
        <v/>
      </c>
      <c r="AN238" t="str">
        <f t="shared" si="36"/>
        <v/>
      </c>
      <c r="AQ238" t="str">
        <f t="shared" si="37"/>
        <v/>
      </c>
      <c r="AR238" t="str">
        <f t="shared" si="38"/>
        <v/>
      </c>
      <c r="AS238" t="str">
        <f t="shared" si="39"/>
        <v/>
      </c>
      <c r="AT238" t="str">
        <f t="shared" si="40"/>
        <v/>
      </c>
      <c r="BG238" t="str">
        <f t="shared" si="41"/>
        <v/>
      </c>
      <c r="BH238" t="str">
        <f t="shared" si="42"/>
        <v/>
      </c>
      <c r="BL238" t="str">
        <f>IFERROR(INDEX(_names_lookup!$C:$C,MATCH(BK238,_names_lookup!$A:$A,0)),"")</f>
        <v/>
      </c>
      <c r="BM238" t="str">
        <f>IFERROR(INDEX(_names_lookup!$B:$B,MATCH(BK238,_names_lookup!$A:$A,0)),"")</f>
        <v/>
      </c>
      <c r="BS238" t="str">
        <f t="shared" si="43"/>
        <v/>
      </c>
    </row>
    <row r="239" spans="15:71" x14ac:dyDescent="0.2">
      <c r="O239" t="str">
        <f>IFERROR(INDEX(_courses_lookup!$C:$C,MATCH(K239&amp;L239,_courses_lookup!$E:$E,0)),"")</f>
        <v/>
      </c>
      <c r="P239" t="str">
        <f>IFERROR(INDEX(_courses_lookup!$D:$D,MATCH(K239&amp;L239,_courses_lookup!$E:$E,0)),"")</f>
        <v/>
      </c>
      <c r="AG239" t="str">
        <f t="shared" si="33"/>
        <v/>
      </c>
      <c r="AI239" t="str">
        <f t="shared" si="34"/>
        <v/>
      </c>
      <c r="AL239" t="str">
        <f t="shared" si="35"/>
        <v/>
      </c>
      <c r="AN239" t="str">
        <f t="shared" si="36"/>
        <v/>
      </c>
      <c r="AQ239" t="str">
        <f t="shared" si="37"/>
        <v/>
      </c>
      <c r="AR239" t="str">
        <f t="shared" si="38"/>
        <v/>
      </c>
      <c r="AS239" t="str">
        <f t="shared" si="39"/>
        <v/>
      </c>
      <c r="AT239" t="str">
        <f t="shared" si="40"/>
        <v/>
      </c>
      <c r="BG239" t="str">
        <f t="shared" si="41"/>
        <v/>
      </c>
      <c r="BH239" t="str">
        <f t="shared" si="42"/>
        <v/>
      </c>
      <c r="BL239" t="str">
        <f>IFERROR(INDEX(_names_lookup!$C:$C,MATCH(BK239,_names_lookup!$A:$A,0)),"")</f>
        <v/>
      </c>
      <c r="BM239" t="str">
        <f>IFERROR(INDEX(_names_lookup!$B:$B,MATCH(BK239,_names_lookup!$A:$A,0)),"")</f>
        <v/>
      </c>
      <c r="BS239" t="str">
        <f t="shared" si="43"/>
        <v/>
      </c>
    </row>
    <row r="240" spans="15:71" x14ac:dyDescent="0.2">
      <c r="O240" t="str">
        <f>IFERROR(INDEX(_courses_lookup!$C:$C,MATCH(K240&amp;L240,_courses_lookup!$E:$E,0)),"")</f>
        <v/>
      </c>
      <c r="P240" t="str">
        <f>IFERROR(INDEX(_courses_lookup!$D:$D,MATCH(K240&amp;L240,_courses_lookup!$E:$E,0)),"")</f>
        <v/>
      </c>
      <c r="AG240" t="str">
        <f t="shared" si="33"/>
        <v/>
      </c>
      <c r="AI240" t="str">
        <f t="shared" si="34"/>
        <v/>
      </c>
      <c r="AL240" t="str">
        <f t="shared" si="35"/>
        <v/>
      </c>
      <c r="AN240" t="str">
        <f t="shared" si="36"/>
        <v/>
      </c>
      <c r="AQ240" t="str">
        <f t="shared" si="37"/>
        <v/>
      </c>
      <c r="AR240" t="str">
        <f t="shared" si="38"/>
        <v/>
      </c>
      <c r="AS240" t="str">
        <f t="shared" si="39"/>
        <v/>
      </c>
      <c r="AT240" t="str">
        <f t="shared" si="40"/>
        <v/>
      </c>
      <c r="BG240" t="str">
        <f t="shared" si="41"/>
        <v/>
      </c>
      <c r="BH240" t="str">
        <f t="shared" si="42"/>
        <v/>
      </c>
      <c r="BL240" t="str">
        <f>IFERROR(INDEX(_names_lookup!$C:$C,MATCH(BK240,_names_lookup!$A:$A,0)),"")</f>
        <v/>
      </c>
      <c r="BM240" t="str">
        <f>IFERROR(INDEX(_names_lookup!$B:$B,MATCH(BK240,_names_lookup!$A:$A,0)),"")</f>
        <v/>
      </c>
      <c r="BS240" t="str">
        <f t="shared" si="43"/>
        <v/>
      </c>
    </row>
    <row r="241" spans="15:71" x14ac:dyDescent="0.2">
      <c r="O241" t="str">
        <f>IFERROR(INDEX(_courses_lookup!$C:$C,MATCH(K241&amp;L241,_courses_lookup!$E:$E,0)),"")</f>
        <v/>
      </c>
      <c r="P241" t="str">
        <f>IFERROR(INDEX(_courses_lookup!$D:$D,MATCH(K241&amp;L241,_courses_lookup!$E:$E,0)),"")</f>
        <v/>
      </c>
      <c r="AG241" t="str">
        <f t="shared" si="33"/>
        <v/>
      </c>
      <c r="AI241" t="str">
        <f t="shared" si="34"/>
        <v/>
      </c>
      <c r="AL241" t="str">
        <f t="shared" si="35"/>
        <v/>
      </c>
      <c r="AN241" t="str">
        <f t="shared" si="36"/>
        <v/>
      </c>
      <c r="AQ241" t="str">
        <f t="shared" si="37"/>
        <v/>
      </c>
      <c r="AR241" t="str">
        <f t="shared" si="38"/>
        <v/>
      </c>
      <c r="AS241" t="str">
        <f t="shared" si="39"/>
        <v/>
      </c>
      <c r="AT241" t="str">
        <f t="shared" si="40"/>
        <v/>
      </c>
      <c r="BG241" t="str">
        <f t="shared" si="41"/>
        <v/>
      </c>
      <c r="BH241" t="str">
        <f t="shared" si="42"/>
        <v/>
      </c>
      <c r="BL241" t="str">
        <f>IFERROR(INDEX(_names_lookup!$C:$C,MATCH(BK241,_names_lookup!$A:$A,0)),"")</f>
        <v/>
      </c>
      <c r="BM241" t="str">
        <f>IFERROR(INDEX(_names_lookup!$B:$B,MATCH(BK241,_names_lookup!$A:$A,0)),"")</f>
        <v/>
      </c>
      <c r="BS241" t="str">
        <f t="shared" si="43"/>
        <v/>
      </c>
    </row>
    <row r="242" spans="15:71" x14ac:dyDescent="0.2">
      <c r="O242" t="str">
        <f>IFERROR(INDEX(_courses_lookup!$C:$C,MATCH(K242&amp;L242,_courses_lookup!$E:$E,0)),"")</f>
        <v/>
      </c>
      <c r="P242" t="str">
        <f>IFERROR(INDEX(_courses_lookup!$D:$D,MATCH(K242&amp;L242,_courses_lookup!$E:$E,0)),"")</f>
        <v/>
      </c>
      <c r="AG242" t="str">
        <f t="shared" si="33"/>
        <v/>
      </c>
      <c r="AI242" t="str">
        <f t="shared" si="34"/>
        <v/>
      </c>
      <c r="AL242" t="str">
        <f t="shared" si="35"/>
        <v/>
      </c>
      <c r="AN242" t="str">
        <f t="shared" si="36"/>
        <v/>
      </c>
      <c r="AQ242" t="str">
        <f t="shared" si="37"/>
        <v/>
      </c>
      <c r="AR242" t="str">
        <f t="shared" si="38"/>
        <v/>
      </c>
      <c r="AS242" t="str">
        <f t="shared" si="39"/>
        <v/>
      </c>
      <c r="AT242" t="str">
        <f t="shared" si="40"/>
        <v/>
      </c>
      <c r="BG242" t="str">
        <f t="shared" si="41"/>
        <v/>
      </c>
      <c r="BH242" t="str">
        <f t="shared" si="42"/>
        <v/>
      </c>
      <c r="BL242" t="str">
        <f>IFERROR(INDEX(_names_lookup!$C:$C,MATCH(BK242,_names_lookup!$A:$A,0)),"")</f>
        <v/>
      </c>
      <c r="BM242" t="str">
        <f>IFERROR(INDEX(_names_lookup!$B:$B,MATCH(BK242,_names_lookup!$A:$A,0)),"")</f>
        <v/>
      </c>
      <c r="BS242" t="str">
        <f t="shared" si="43"/>
        <v/>
      </c>
    </row>
    <row r="243" spans="15:71" x14ac:dyDescent="0.2">
      <c r="O243" t="str">
        <f>IFERROR(INDEX(_courses_lookup!$C:$C,MATCH(K243&amp;L243,_courses_lookup!$E:$E,0)),"")</f>
        <v/>
      </c>
      <c r="P243" t="str">
        <f>IFERROR(INDEX(_courses_lookup!$D:$D,MATCH(K243&amp;L243,_courses_lookup!$E:$E,0)),"")</f>
        <v/>
      </c>
      <c r="AG243" t="str">
        <f t="shared" si="33"/>
        <v/>
      </c>
      <c r="AI243" t="str">
        <f t="shared" si="34"/>
        <v/>
      </c>
      <c r="AL243" t="str">
        <f t="shared" si="35"/>
        <v/>
      </c>
      <c r="AN243" t="str">
        <f t="shared" si="36"/>
        <v/>
      </c>
      <c r="AQ243" t="str">
        <f t="shared" si="37"/>
        <v/>
      </c>
      <c r="AR243" t="str">
        <f t="shared" si="38"/>
        <v/>
      </c>
      <c r="AS243" t="str">
        <f t="shared" si="39"/>
        <v/>
      </c>
      <c r="AT243" t="str">
        <f t="shared" si="40"/>
        <v/>
      </c>
      <c r="BG243" t="str">
        <f t="shared" si="41"/>
        <v/>
      </c>
      <c r="BH243" t="str">
        <f t="shared" si="42"/>
        <v/>
      </c>
      <c r="BL243" t="str">
        <f>IFERROR(INDEX(_names_lookup!$C:$C,MATCH(BK243,_names_lookup!$A:$A,0)),"")</f>
        <v/>
      </c>
      <c r="BM243" t="str">
        <f>IFERROR(INDEX(_names_lookup!$B:$B,MATCH(BK243,_names_lookup!$A:$A,0)),"")</f>
        <v/>
      </c>
      <c r="BS243" t="str">
        <f t="shared" si="43"/>
        <v/>
      </c>
    </row>
    <row r="244" spans="15:71" x14ac:dyDescent="0.2">
      <c r="O244" t="str">
        <f>IFERROR(INDEX(_courses_lookup!$C:$C,MATCH(K244&amp;L244,_courses_lookup!$E:$E,0)),"")</f>
        <v/>
      </c>
      <c r="P244" t="str">
        <f>IFERROR(INDEX(_courses_lookup!$D:$D,MATCH(K244&amp;L244,_courses_lookup!$E:$E,0)),"")</f>
        <v/>
      </c>
      <c r="AG244" t="str">
        <f t="shared" si="33"/>
        <v/>
      </c>
      <c r="AI244" t="str">
        <f t="shared" si="34"/>
        <v/>
      </c>
      <c r="AL244" t="str">
        <f t="shared" si="35"/>
        <v/>
      </c>
      <c r="AN244" t="str">
        <f t="shared" si="36"/>
        <v/>
      </c>
      <c r="AQ244" t="str">
        <f t="shared" si="37"/>
        <v/>
      </c>
      <c r="AR244" t="str">
        <f t="shared" si="38"/>
        <v/>
      </c>
      <c r="AS244" t="str">
        <f t="shared" si="39"/>
        <v/>
      </c>
      <c r="AT244" t="str">
        <f t="shared" si="40"/>
        <v/>
      </c>
      <c r="BG244" t="str">
        <f t="shared" si="41"/>
        <v/>
      </c>
      <c r="BH244" t="str">
        <f t="shared" si="42"/>
        <v/>
      </c>
      <c r="BL244" t="str">
        <f>IFERROR(INDEX(_names_lookup!$C:$C,MATCH(BK244,_names_lookup!$A:$A,0)),"")</f>
        <v/>
      </c>
      <c r="BM244" t="str">
        <f>IFERROR(INDEX(_names_lookup!$B:$B,MATCH(BK244,_names_lookup!$A:$A,0)),"")</f>
        <v/>
      </c>
      <c r="BS244" t="str">
        <f t="shared" si="43"/>
        <v/>
      </c>
    </row>
    <row r="245" spans="15:71" x14ac:dyDescent="0.2">
      <c r="O245" t="str">
        <f>IFERROR(INDEX(_courses_lookup!$C:$C,MATCH(K245&amp;L245,_courses_lookup!$E:$E,0)),"")</f>
        <v/>
      </c>
      <c r="P245" t="str">
        <f>IFERROR(INDEX(_courses_lookup!$D:$D,MATCH(K245&amp;L245,_courses_lookup!$E:$E,0)),"")</f>
        <v/>
      </c>
      <c r="AG245" t="str">
        <f t="shared" si="33"/>
        <v/>
      </c>
      <c r="AI245" t="str">
        <f t="shared" si="34"/>
        <v/>
      </c>
      <c r="AL245" t="str">
        <f t="shared" si="35"/>
        <v/>
      </c>
      <c r="AN245" t="str">
        <f t="shared" si="36"/>
        <v/>
      </c>
      <c r="AQ245" t="str">
        <f t="shared" si="37"/>
        <v/>
      </c>
      <c r="AR245" t="str">
        <f t="shared" si="38"/>
        <v/>
      </c>
      <c r="AS245" t="str">
        <f t="shared" si="39"/>
        <v/>
      </c>
      <c r="AT245" t="str">
        <f t="shared" si="40"/>
        <v/>
      </c>
      <c r="BG245" t="str">
        <f t="shared" si="41"/>
        <v/>
      </c>
      <c r="BH245" t="str">
        <f t="shared" si="42"/>
        <v/>
      </c>
      <c r="BL245" t="str">
        <f>IFERROR(INDEX(_names_lookup!$C:$C,MATCH(BK245,_names_lookup!$A:$A,0)),"")</f>
        <v/>
      </c>
      <c r="BM245" t="str">
        <f>IFERROR(INDEX(_names_lookup!$B:$B,MATCH(BK245,_names_lookup!$A:$A,0)),"")</f>
        <v/>
      </c>
      <c r="BS245" t="str">
        <f t="shared" si="43"/>
        <v/>
      </c>
    </row>
    <row r="246" spans="15:71" x14ac:dyDescent="0.2">
      <c r="O246" t="str">
        <f>IFERROR(INDEX(_courses_lookup!$C:$C,MATCH(K246&amp;L246,_courses_lookup!$E:$E,0)),"")</f>
        <v/>
      </c>
      <c r="P246" t="str">
        <f>IFERROR(INDEX(_courses_lookup!$D:$D,MATCH(K246&amp;L246,_courses_lookup!$E:$E,0)),"")</f>
        <v/>
      </c>
      <c r="AG246" t="str">
        <f t="shared" si="33"/>
        <v/>
      </c>
      <c r="AI246" t="str">
        <f t="shared" si="34"/>
        <v/>
      </c>
      <c r="AL246" t="str">
        <f t="shared" si="35"/>
        <v/>
      </c>
      <c r="AN246" t="str">
        <f t="shared" si="36"/>
        <v/>
      </c>
      <c r="AQ246" t="str">
        <f t="shared" si="37"/>
        <v/>
      </c>
      <c r="AR246" t="str">
        <f t="shared" si="38"/>
        <v/>
      </c>
      <c r="AS246" t="str">
        <f t="shared" si="39"/>
        <v/>
      </c>
      <c r="AT246" t="str">
        <f t="shared" si="40"/>
        <v/>
      </c>
      <c r="BG246" t="str">
        <f t="shared" si="41"/>
        <v/>
      </c>
      <c r="BH246" t="str">
        <f t="shared" si="42"/>
        <v/>
      </c>
      <c r="BL246" t="str">
        <f>IFERROR(INDEX(_names_lookup!$C:$C,MATCH(BK246,_names_lookup!$A:$A,0)),"")</f>
        <v/>
      </c>
      <c r="BM246" t="str">
        <f>IFERROR(INDEX(_names_lookup!$B:$B,MATCH(BK246,_names_lookup!$A:$A,0)),"")</f>
        <v/>
      </c>
      <c r="BS246" t="str">
        <f t="shared" si="43"/>
        <v/>
      </c>
    </row>
    <row r="247" spans="15:71" x14ac:dyDescent="0.2">
      <c r="O247" t="str">
        <f>IFERROR(INDEX(_courses_lookup!$C:$C,MATCH(K247&amp;L247,_courses_lookup!$E:$E,0)),"")</f>
        <v/>
      </c>
      <c r="P247" t="str">
        <f>IFERROR(INDEX(_courses_lookup!$D:$D,MATCH(K247&amp;L247,_courses_lookup!$E:$E,0)),"")</f>
        <v/>
      </c>
      <c r="AG247" t="str">
        <f t="shared" si="33"/>
        <v/>
      </c>
      <c r="AI247" t="str">
        <f t="shared" si="34"/>
        <v/>
      </c>
      <c r="AL247" t="str">
        <f t="shared" si="35"/>
        <v/>
      </c>
      <c r="AN247" t="str">
        <f t="shared" si="36"/>
        <v/>
      </c>
      <c r="AQ247" t="str">
        <f t="shared" si="37"/>
        <v/>
      </c>
      <c r="AR247" t="str">
        <f t="shared" si="38"/>
        <v/>
      </c>
      <c r="AS247" t="str">
        <f t="shared" si="39"/>
        <v/>
      </c>
      <c r="AT247" t="str">
        <f t="shared" si="40"/>
        <v/>
      </c>
      <c r="BG247" t="str">
        <f t="shared" si="41"/>
        <v/>
      </c>
      <c r="BH247" t="str">
        <f t="shared" si="42"/>
        <v/>
      </c>
      <c r="BL247" t="str">
        <f>IFERROR(INDEX(_names_lookup!$C:$C,MATCH(BK247,_names_lookup!$A:$A,0)),"")</f>
        <v/>
      </c>
      <c r="BM247" t="str">
        <f>IFERROR(INDEX(_names_lookup!$B:$B,MATCH(BK247,_names_lookup!$A:$A,0)),"")</f>
        <v/>
      </c>
      <c r="BS247" t="str">
        <f t="shared" si="43"/>
        <v/>
      </c>
    </row>
    <row r="248" spans="15:71" x14ac:dyDescent="0.2">
      <c r="O248" t="str">
        <f>IFERROR(INDEX(_courses_lookup!$C:$C,MATCH(K248&amp;L248,_courses_lookup!$E:$E,0)),"")</f>
        <v/>
      </c>
      <c r="P248" t="str">
        <f>IFERROR(INDEX(_courses_lookup!$D:$D,MATCH(K248&amp;L248,_courses_lookup!$E:$E,0)),"")</f>
        <v/>
      </c>
      <c r="AG248" t="str">
        <f t="shared" si="33"/>
        <v/>
      </c>
      <c r="AI248" t="str">
        <f t="shared" si="34"/>
        <v/>
      </c>
      <c r="AL248" t="str">
        <f t="shared" si="35"/>
        <v/>
      </c>
      <c r="AN248" t="str">
        <f t="shared" si="36"/>
        <v/>
      </c>
      <c r="AQ248" t="str">
        <f t="shared" si="37"/>
        <v/>
      </c>
      <c r="AR248" t="str">
        <f t="shared" si="38"/>
        <v/>
      </c>
      <c r="AS248" t="str">
        <f t="shared" si="39"/>
        <v/>
      </c>
      <c r="AT248" t="str">
        <f t="shared" si="40"/>
        <v/>
      </c>
      <c r="BG248" t="str">
        <f t="shared" si="41"/>
        <v/>
      </c>
      <c r="BH248" t="str">
        <f t="shared" si="42"/>
        <v/>
      </c>
      <c r="BL248" t="str">
        <f>IFERROR(INDEX(_names_lookup!$C:$C,MATCH(BK248,_names_lookup!$A:$A,0)),"")</f>
        <v/>
      </c>
      <c r="BM248" t="str">
        <f>IFERROR(INDEX(_names_lookup!$B:$B,MATCH(BK248,_names_lookup!$A:$A,0)),"")</f>
        <v/>
      </c>
      <c r="BS248" t="str">
        <f t="shared" si="43"/>
        <v/>
      </c>
    </row>
    <row r="249" spans="15:71" x14ac:dyDescent="0.2">
      <c r="O249" t="str">
        <f>IFERROR(INDEX(_courses_lookup!$C:$C,MATCH(K249&amp;L249,_courses_lookup!$E:$E,0)),"")</f>
        <v/>
      </c>
      <c r="P249" t="str">
        <f>IFERROR(INDEX(_courses_lookup!$D:$D,MATCH(K249&amp;L249,_courses_lookup!$E:$E,0)),"")</f>
        <v/>
      </c>
      <c r="AG249" t="str">
        <f t="shared" si="33"/>
        <v/>
      </c>
      <c r="AI249" t="str">
        <f t="shared" si="34"/>
        <v/>
      </c>
      <c r="AL249" t="str">
        <f t="shared" si="35"/>
        <v/>
      </c>
      <c r="AN249" t="str">
        <f t="shared" si="36"/>
        <v/>
      </c>
      <c r="AQ249" t="str">
        <f t="shared" si="37"/>
        <v/>
      </c>
      <c r="AR249" t="str">
        <f t="shared" si="38"/>
        <v/>
      </c>
      <c r="AS249" t="str">
        <f t="shared" si="39"/>
        <v/>
      </c>
      <c r="AT249" t="str">
        <f t="shared" si="40"/>
        <v/>
      </c>
      <c r="BG249" t="str">
        <f t="shared" si="41"/>
        <v/>
      </c>
      <c r="BH249" t="str">
        <f t="shared" si="42"/>
        <v/>
      </c>
      <c r="BL249" t="str">
        <f>IFERROR(INDEX(_names_lookup!$C:$C,MATCH(BK249,_names_lookup!$A:$A,0)),"")</f>
        <v/>
      </c>
      <c r="BM249" t="str">
        <f>IFERROR(INDEX(_names_lookup!$B:$B,MATCH(BK249,_names_lookup!$A:$A,0)),"")</f>
        <v/>
      </c>
      <c r="BS249" t="str">
        <f t="shared" si="43"/>
        <v/>
      </c>
    </row>
    <row r="250" spans="15:71" x14ac:dyDescent="0.2">
      <c r="O250" t="str">
        <f>IFERROR(INDEX(_courses_lookup!$C:$C,MATCH(K250&amp;L250,_courses_lookup!$E:$E,0)),"")</f>
        <v/>
      </c>
      <c r="P250" t="str">
        <f>IFERROR(INDEX(_courses_lookup!$D:$D,MATCH(K250&amp;L250,_courses_lookup!$E:$E,0)),"")</f>
        <v/>
      </c>
      <c r="AG250" t="str">
        <f t="shared" si="33"/>
        <v/>
      </c>
      <c r="AI250" t="str">
        <f t="shared" si="34"/>
        <v/>
      </c>
      <c r="AL250" t="str">
        <f t="shared" si="35"/>
        <v/>
      </c>
      <c r="AN250" t="str">
        <f t="shared" si="36"/>
        <v/>
      </c>
      <c r="AQ250" t="str">
        <f t="shared" si="37"/>
        <v/>
      </c>
      <c r="AR250" t="str">
        <f t="shared" si="38"/>
        <v/>
      </c>
      <c r="AS250" t="str">
        <f t="shared" si="39"/>
        <v/>
      </c>
      <c r="AT250" t="str">
        <f t="shared" si="40"/>
        <v/>
      </c>
      <c r="BG250" t="str">
        <f t="shared" si="41"/>
        <v/>
      </c>
      <c r="BH250" t="str">
        <f t="shared" si="42"/>
        <v/>
      </c>
      <c r="BL250" t="str">
        <f>IFERROR(INDEX(_names_lookup!$C:$C,MATCH(BK250,_names_lookup!$A:$A,0)),"")</f>
        <v/>
      </c>
      <c r="BM250" t="str">
        <f>IFERROR(INDEX(_names_lookup!$B:$B,MATCH(BK250,_names_lookup!$A:$A,0)),"")</f>
        <v/>
      </c>
      <c r="BS250" t="str">
        <f t="shared" si="43"/>
        <v/>
      </c>
    </row>
    <row r="251" spans="15:71" x14ac:dyDescent="0.2">
      <c r="O251" t="str">
        <f>IFERROR(INDEX(_courses_lookup!$C:$C,MATCH(K251&amp;L251,_courses_lookup!$E:$E,0)),"")</f>
        <v/>
      </c>
      <c r="P251" t="str">
        <f>IFERROR(INDEX(_courses_lookup!$D:$D,MATCH(K251&amp;L251,_courses_lookup!$E:$E,0)),"")</f>
        <v/>
      </c>
      <c r="AG251" t="str">
        <f t="shared" si="33"/>
        <v/>
      </c>
      <c r="AI251" t="str">
        <f t="shared" si="34"/>
        <v/>
      </c>
      <c r="AL251" t="str">
        <f t="shared" si="35"/>
        <v/>
      </c>
      <c r="AN251" t="str">
        <f t="shared" si="36"/>
        <v/>
      </c>
      <c r="AQ251" t="str">
        <f t="shared" si="37"/>
        <v/>
      </c>
      <c r="AR251" t="str">
        <f t="shared" si="38"/>
        <v/>
      </c>
      <c r="AS251" t="str">
        <f t="shared" si="39"/>
        <v/>
      </c>
      <c r="AT251" t="str">
        <f t="shared" si="40"/>
        <v/>
      </c>
      <c r="BG251" t="str">
        <f t="shared" si="41"/>
        <v/>
      </c>
      <c r="BH251" t="str">
        <f t="shared" si="42"/>
        <v/>
      </c>
      <c r="BL251" t="str">
        <f>IFERROR(INDEX(_names_lookup!$C:$C,MATCH(BK251,_names_lookup!$A:$A,0)),"")</f>
        <v/>
      </c>
      <c r="BM251" t="str">
        <f>IFERROR(INDEX(_names_lookup!$B:$B,MATCH(BK251,_names_lookup!$A:$A,0)),"")</f>
        <v/>
      </c>
      <c r="BS251" t="str">
        <f t="shared" si="43"/>
        <v/>
      </c>
    </row>
    <row r="252" spans="15:71" x14ac:dyDescent="0.2">
      <c r="O252" t="str">
        <f>IFERROR(INDEX(_courses_lookup!$C:$C,MATCH(K252&amp;L252,_courses_lookup!$E:$E,0)),"")</f>
        <v/>
      </c>
      <c r="P252" t="str">
        <f>IFERROR(INDEX(_courses_lookup!$D:$D,MATCH(K252&amp;L252,_courses_lookup!$E:$E,0)),"")</f>
        <v/>
      </c>
      <c r="AG252" t="str">
        <f t="shared" si="33"/>
        <v/>
      </c>
      <c r="AI252" t="str">
        <f t="shared" si="34"/>
        <v/>
      </c>
      <c r="AL252" t="str">
        <f t="shared" si="35"/>
        <v/>
      </c>
      <c r="AN252" t="str">
        <f t="shared" si="36"/>
        <v/>
      </c>
      <c r="AQ252" t="str">
        <f t="shared" si="37"/>
        <v/>
      </c>
      <c r="AR252" t="str">
        <f t="shared" si="38"/>
        <v/>
      </c>
      <c r="AS252" t="str">
        <f t="shared" si="39"/>
        <v/>
      </c>
      <c r="AT252" t="str">
        <f t="shared" si="40"/>
        <v/>
      </c>
      <c r="BG252" t="str">
        <f t="shared" si="41"/>
        <v/>
      </c>
      <c r="BH252" t="str">
        <f t="shared" si="42"/>
        <v/>
      </c>
      <c r="BL252" t="str">
        <f>IFERROR(INDEX(_names_lookup!$C:$C,MATCH(BK252,_names_lookup!$A:$A,0)),"")</f>
        <v/>
      </c>
      <c r="BM252" t="str">
        <f>IFERROR(INDEX(_names_lookup!$B:$B,MATCH(BK252,_names_lookup!$A:$A,0)),"")</f>
        <v/>
      </c>
      <c r="BS252" t="str">
        <f t="shared" si="43"/>
        <v/>
      </c>
    </row>
    <row r="253" spans="15:71" x14ac:dyDescent="0.2">
      <c r="O253" t="str">
        <f>IFERROR(INDEX(_courses_lookup!$C:$C,MATCH(K253&amp;L253,_courses_lookup!$E:$E,0)),"")</f>
        <v/>
      </c>
      <c r="P253" t="str">
        <f>IFERROR(INDEX(_courses_lookup!$D:$D,MATCH(K253&amp;L253,_courses_lookup!$E:$E,0)),"")</f>
        <v/>
      </c>
      <c r="AG253" t="str">
        <f t="shared" si="33"/>
        <v/>
      </c>
      <c r="AI253" t="str">
        <f t="shared" si="34"/>
        <v/>
      </c>
      <c r="AL253" t="str">
        <f t="shared" si="35"/>
        <v/>
      </c>
      <c r="AN253" t="str">
        <f t="shared" si="36"/>
        <v/>
      </c>
      <c r="AQ253" t="str">
        <f t="shared" si="37"/>
        <v/>
      </c>
      <c r="AR253" t="str">
        <f t="shared" si="38"/>
        <v/>
      </c>
      <c r="AS253" t="str">
        <f t="shared" si="39"/>
        <v/>
      </c>
      <c r="AT253" t="str">
        <f t="shared" si="40"/>
        <v/>
      </c>
      <c r="BG253" t="str">
        <f t="shared" si="41"/>
        <v/>
      </c>
      <c r="BH253" t="str">
        <f t="shared" si="42"/>
        <v/>
      </c>
      <c r="BL253" t="str">
        <f>IFERROR(INDEX(_names_lookup!$C:$C,MATCH(BK253,_names_lookup!$A:$A,0)),"")</f>
        <v/>
      </c>
      <c r="BM253" t="str">
        <f>IFERROR(INDEX(_names_lookup!$B:$B,MATCH(BK253,_names_lookup!$A:$A,0)),"")</f>
        <v/>
      </c>
      <c r="BS253" t="str">
        <f t="shared" si="43"/>
        <v/>
      </c>
    </row>
    <row r="254" spans="15:71" x14ac:dyDescent="0.2">
      <c r="O254" t="str">
        <f>IFERROR(INDEX(_courses_lookup!$C:$C,MATCH(K254&amp;L254,_courses_lookup!$E:$E,0)),"")</f>
        <v/>
      </c>
      <c r="P254" t="str">
        <f>IFERROR(INDEX(_courses_lookup!$D:$D,MATCH(K254&amp;L254,_courses_lookup!$E:$E,0)),"")</f>
        <v/>
      </c>
      <c r="AG254" t="str">
        <f t="shared" si="33"/>
        <v/>
      </c>
      <c r="AI254" t="str">
        <f t="shared" si="34"/>
        <v/>
      </c>
      <c r="AL254" t="str">
        <f t="shared" si="35"/>
        <v/>
      </c>
      <c r="AN254" t="str">
        <f t="shared" si="36"/>
        <v/>
      </c>
      <c r="AQ254" t="str">
        <f t="shared" si="37"/>
        <v/>
      </c>
      <c r="AR254" t="str">
        <f t="shared" si="38"/>
        <v/>
      </c>
      <c r="AS254" t="str">
        <f t="shared" si="39"/>
        <v/>
      </c>
      <c r="AT254" t="str">
        <f t="shared" si="40"/>
        <v/>
      </c>
      <c r="BG254" t="str">
        <f t="shared" si="41"/>
        <v/>
      </c>
      <c r="BH254" t="str">
        <f t="shared" si="42"/>
        <v/>
      </c>
      <c r="BL254" t="str">
        <f>IFERROR(INDEX(_names_lookup!$C:$C,MATCH(BK254,_names_lookup!$A:$A,0)),"")</f>
        <v/>
      </c>
      <c r="BM254" t="str">
        <f>IFERROR(INDEX(_names_lookup!$B:$B,MATCH(BK254,_names_lookup!$A:$A,0)),"")</f>
        <v/>
      </c>
      <c r="BS254" t="str">
        <f t="shared" si="43"/>
        <v/>
      </c>
    </row>
    <row r="255" spans="15:71" x14ac:dyDescent="0.2">
      <c r="O255" t="str">
        <f>IFERROR(INDEX(_courses_lookup!$C:$C,MATCH(K255&amp;L255,_courses_lookup!$E:$E,0)),"")</f>
        <v/>
      </c>
      <c r="P255" t="str">
        <f>IFERROR(INDEX(_courses_lookup!$D:$D,MATCH(K255&amp;L255,_courses_lookup!$E:$E,0)),"")</f>
        <v/>
      </c>
      <c r="AG255" t="str">
        <f t="shared" si="33"/>
        <v/>
      </c>
      <c r="AI255" t="str">
        <f t="shared" si="34"/>
        <v/>
      </c>
      <c r="AL255" t="str">
        <f t="shared" si="35"/>
        <v/>
      </c>
      <c r="AN255" t="str">
        <f t="shared" si="36"/>
        <v/>
      </c>
      <c r="AQ255" t="str">
        <f t="shared" si="37"/>
        <v/>
      </c>
      <c r="AR255" t="str">
        <f t="shared" si="38"/>
        <v/>
      </c>
      <c r="AS255" t="str">
        <f t="shared" si="39"/>
        <v/>
      </c>
      <c r="AT255" t="str">
        <f t="shared" si="40"/>
        <v/>
      </c>
      <c r="BG255" t="str">
        <f t="shared" si="41"/>
        <v/>
      </c>
      <c r="BH255" t="str">
        <f t="shared" si="42"/>
        <v/>
      </c>
      <c r="BL255" t="str">
        <f>IFERROR(INDEX(_names_lookup!$C:$C,MATCH(BK255,_names_lookup!$A:$A,0)),"")</f>
        <v/>
      </c>
      <c r="BM255" t="str">
        <f>IFERROR(INDEX(_names_lookup!$B:$B,MATCH(BK255,_names_lookup!$A:$A,0)),"")</f>
        <v/>
      </c>
      <c r="BS255" t="str">
        <f t="shared" si="43"/>
        <v/>
      </c>
    </row>
    <row r="256" spans="15:71" x14ac:dyDescent="0.2">
      <c r="O256" t="str">
        <f>IFERROR(INDEX(_courses_lookup!$C:$C,MATCH(K256&amp;L256,_courses_lookup!$E:$E,0)),"")</f>
        <v/>
      </c>
      <c r="P256" t="str">
        <f>IFERROR(INDEX(_courses_lookup!$D:$D,MATCH(K256&amp;L256,_courses_lookup!$E:$E,0)),"")</f>
        <v/>
      </c>
      <c r="AG256" t="str">
        <f t="shared" si="33"/>
        <v/>
      </c>
      <c r="AI256" t="str">
        <f t="shared" si="34"/>
        <v/>
      </c>
      <c r="AL256" t="str">
        <f t="shared" si="35"/>
        <v/>
      </c>
      <c r="AN256" t="str">
        <f t="shared" si="36"/>
        <v/>
      </c>
      <c r="AQ256" t="str">
        <f t="shared" si="37"/>
        <v/>
      </c>
      <c r="AR256" t="str">
        <f t="shared" si="38"/>
        <v/>
      </c>
      <c r="AS256" t="str">
        <f t="shared" si="39"/>
        <v/>
      </c>
      <c r="AT256" t="str">
        <f t="shared" si="40"/>
        <v/>
      </c>
      <c r="BG256" t="str">
        <f t="shared" si="41"/>
        <v/>
      </c>
      <c r="BH256" t="str">
        <f t="shared" si="42"/>
        <v/>
      </c>
      <c r="BL256" t="str">
        <f>IFERROR(INDEX(_names_lookup!$C:$C,MATCH(BK256,_names_lookup!$A:$A,0)),"")</f>
        <v/>
      </c>
      <c r="BM256" t="str">
        <f>IFERROR(INDEX(_names_lookup!$B:$B,MATCH(BK256,_names_lookup!$A:$A,0)),"")</f>
        <v/>
      </c>
      <c r="BS256" t="str">
        <f t="shared" si="43"/>
        <v/>
      </c>
    </row>
    <row r="257" spans="15:71" x14ac:dyDescent="0.2">
      <c r="O257" t="str">
        <f>IFERROR(INDEX(_courses_lookup!$C:$C,MATCH(K257&amp;L257,_courses_lookup!$E:$E,0)),"")</f>
        <v/>
      </c>
      <c r="P257" t="str">
        <f>IFERROR(INDEX(_courses_lookup!$D:$D,MATCH(K257&amp;L257,_courses_lookup!$E:$E,0)),"")</f>
        <v/>
      </c>
      <c r="AG257" t="str">
        <f t="shared" si="33"/>
        <v/>
      </c>
      <c r="AI257" t="str">
        <f t="shared" si="34"/>
        <v/>
      </c>
      <c r="AL257" t="str">
        <f t="shared" si="35"/>
        <v/>
      </c>
      <c r="AN257" t="str">
        <f t="shared" si="36"/>
        <v/>
      </c>
      <c r="AQ257" t="str">
        <f t="shared" si="37"/>
        <v/>
      </c>
      <c r="AR257" t="str">
        <f t="shared" si="38"/>
        <v/>
      </c>
      <c r="AS257" t="str">
        <f t="shared" si="39"/>
        <v/>
      </c>
      <c r="AT257" t="str">
        <f t="shared" si="40"/>
        <v/>
      </c>
      <c r="BG257" t="str">
        <f t="shared" si="41"/>
        <v/>
      </c>
      <c r="BH257" t="str">
        <f t="shared" si="42"/>
        <v/>
      </c>
      <c r="BL257" t="str">
        <f>IFERROR(INDEX(_names_lookup!$C:$C,MATCH(BK257,_names_lookup!$A:$A,0)),"")</f>
        <v/>
      </c>
      <c r="BM257" t="str">
        <f>IFERROR(INDEX(_names_lookup!$B:$B,MATCH(BK257,_names_lookup!$A:$A,0)),"")</f>
        <v/>
      </c>
      <c r="BS257" t="str">
        <f t="shared" si="43"/>
        <v/>
      </c>
    </row>
    <row r="258" spans="15:71" x14ac:dyDescent="0.2">
      <c r="O258" t="str">
        <f>IFERROR(INDEX(_courses_lookup!$C:$C,MATCH(K258&amp;L258,_courses_lookup!$E:$E,0)),"")</f>
        <v/>
      </c>
      <c r="P258" t="str">
        <f>IFERROR(INDEX(_courses_lookup!$D:$D,MATCH(K258&amp;L258,_courses_lookup!$E:$E,0)),"")</f>
        <v/>
      </c>
      <c r="AG258" t="str">
        <f t="shared" ref="AG258:AG321" si="44">IF(AND(AE258&lt;&gt;"",AF258&lt;&gt;""),ROUNDUP((AF258-AE258)/7,0),"")</f>
        <v/>
      </c>
      <c r="AI258" t="str">
        <f t="shared" ref="AI258:AI321" si="45">IFERROR(IF(AG258*AH258=0,"",AG258*AH258),"")</f>
        <v/>
      </c>
      <c r="AL258" t="str">
        <f t="shared" ref="AL258:AL321" si="46">IF(AND(AJ258&lt;&gt;"",AK258&lt;&gt;""),ROUNDUP((AK258-AJ258)/7,0),"")</f>
        <v/>
      </c>
      <c r="AN258" t="str">
        <f t="shared" ref="AN258:AN321" si="47">IFERROR(IF(AL258*AM258=0,"",AL258*AM258),"")</f>
        <v/>
      </c>
      <c r="AQ258" t="str">
        <f t="shared" ref="AQ258:AQ321" si="48">IF(AND(AO258&lt;&gt;"",AP258&lt;&gt;""),ROUNDUP((AP258-AO258)/7,0),"")</f>
        <v/>
      </c>
      <c r="AR258" t="str">
        <f t="shared" ref="AR258:AR321" si="49">IFERROR(IF((AU258-(AI258+AN258))/AQ258=0,"",ROUNDUP((AU258-(AI258+AN258))/AQ258,0)),"")</f>
        <v/>
      </c>
      <c r="AS258" t="str">
        <f t="shared" ref="AS258:AS300" si="50">IFERROR(IF((AU258-(AI258+AN258))=0,"",(AU258-(AI258+AN258))),"")</f>
        <v/>
      </c>
      <c r="AT258" t="str">
        <f t="shared" ref="AT258:AT300" si="51">IF(AND(AG258="",AQ258=""),AL258,IF(SUM(AG258,AL258,AQ258)=0,"",SUM(AG258,AL258,AQ258)))</f>
        <v/>
      </c>
      <c r="BG258" t="str">
        <f t="shared" ref="BG258:BG300" si="52">IF(AD258="","",YEAR(AD258)+IF(MONTH(AD258)&gt;=5,1,0))</f>
        <v/>
      </c>
      <c r="BH258" t="str">
        <f t="shared" ref="BH258:BH300" si="53">IF(AD258="","",IF(AND(MONTH(AD258)=8,DAY(AD258)&gt;=15),"Fall",IF(MONTH(AD258)&gt;8,"Fall",IF(MONTH(AD258)=5,"Summer",IF(MONTH(AD258)=1,"Spring","")))))</f>
        <v/>
      </c>
      <c r="BL258" t="str">
        <f>IFERROR(INDEX(_names_lookup!$C:$C,MATCH(BK258,_names_lookup!$A:$A,0)),"")</f>
        <v/>
      </c>
      <c r="BM258" t="str">
        <f>IFERROR(INDEX(_names_lookup!$B:$B,MATCH(BK258,_names_lookup!$A:$A,0)),"")</f>
        <v/>
      </c>
      <c r="BS258" t="str">
        <f t="shared" ref="BS258:BS321" si="54">IFERROR(IF(BR258*AA258=0,"",BR258*AA258),"")</f>
        <v/>
      </c>
    </row>
    <row r="259" spans="15:71" x14ac:dyDescent="0.2">
      <c r="O259" t="str">
        <f>IFERROR(INDEX(_courses_lookup!$C:$C,MATCH(K259&amp;L259,_courses_lookup!$E:$E,0)),"")</f>
        <v/>
      </c>
      <c r="P259" t="str">
        <f>IFERROR(INDEX(_courses_lookup!$D:$D,MATCH(K259&amp;L259,_courses_lookup!$E:$E,0)),"")</f>
        <v/>
      </c>
      <c r="AG259" t="str">
        <f t="shared" si="44"/>
        <v/>
      </c>
      <c r="AI259" t="str">
        <f t="shared" si="45"/>
        <v/>
      </c>
      <c r="AL259" t="str">
        <f t="shared" si="46"/>
        <v/>
      </c>
      <c r="AN259" t="str">
        <f t="shared" si="47"/>
        <v/>
      </c>
      <c r="AQ259" t="str">
        <f t="shared" si="48"/>
        <v/>
      </c>
      <c r="AR259" t="str">
        <f t="shared" si="49"/>
        <v/>
      </c>
      <c r="AS259" t="str">
        <f t="shared" si="50"/>
        <v/>
      </c>
      <c r="AT259" t="str">
        <f t="shared" si="51"/>
        <v/>
      </c>
      <c r="BG259" t="str">
        <f t="shared" si="52"/>
        <v/>
      </c>
      <c r="BH259" t="str">
        <f t="shared" si="53"/>
        <v/>
      </c>
      <c r="BL259" t="str">
        <f>IFERROR(INDEX(_names_lookup!$C:$C,MATCH(BK259,_names_lookup!$A:$A,0)),"")</f>
        <v/>
      </c>
      <c r="BM259" t="str">
        <f>IFERROR(INDEX(_names_lookup!$B:$B,MATCH(BK259,_names_lookup!$A:$A,0)),"")</f>
        <v/>
      </c>
      <c r="BS259" t="str">
        <f t="shared" si="54"/>
        <v/>
      </c>
    </row>
    <row r="260" spans="15:71" x14ac:dyDescent="0.2">
      <c r="O260" t="str">
        <f>IFERROR(INDEX(_courses_lookup!$C:$C,MATCH(K260&amp;L260,_courses_lookup!$E:$E,0)),"")</f>
        <v/>
      </c>
      <c r="P260" t="str">
        <f>IFERROR(INDEX(_courses_lookup!$D:$D,MATCH(K260&amp;L260,_courses_lookup!$E:$E,0)),"")</f>
        <v/>
      </c>
      <c r="AG260" t="str">
        <f t="shared" si="44"/>
        <v/>
      </c>
      <c r="AI260" t="str">
        <f t="shared" si="45"/>
        <v/>
      </c>
      <c r="AL260" t="str">
        <f t="shared" si="46"/>
        <v/>
      </c>
      <c r="AN260" t="str">
        <f t="shared" si="47"/>
        <v/>
      </c>
      <c r="AQ260" t="str">
        <f t="shared" si="48"/>
        <v/>
      </c>
      <c r="AR260" t="str">
        <f t="shared" si="49"/>
        <v/>
      </c>
      <c r="AS260" t="str">
        <f t="shared" si="50"/>
        <v/>
      </c>
      <c r="AT260" t="str">
        <f t="shared" si="51"/>
        <v/>
      </c>
      <c r="BG260" t="str">
        <f t="shared" si="52"/>
        <v/>
      </c>
      <c r="BH260" t="str">
        <f t="shared" si="53"/>
        <v/>
      </c>
      <c r="BL260" t="str">
        <f>IFERROR(INDEX(_names_lookup!$C:$C,MATCH(BK260,_names_lookup!$A:$A,0)),"")</f>
        <v/>
      </c>
      <c r="BM260" t="str">
        <f>IFERROR(INDEX(_names_lookup!$B:$B,MATCH(BK260,_names_lookup!$A:$A,0)),"")</f>
        <v/>
      </c>
      <c r="BS260" t="str">
        <f t="shared" si="54"/>
        <v/>
      </c>
    </row>
    <row r="261" spans="15:71" x14ac:dyDescent="0.2">
      <c r="O261" t="str">
        <f>IFERROR(INDEX(_courses_lookup!$C:$C,MATCH(K261&amp;L261,_courses_lookup!$E:$E,0)),"")</f>
        <v/>
      </c>
      <c r="P261" t="str">
        <f>IFERROR(INDEX(_courses_lookup!$D:$D,MATCH(K261&amp;L261,_courses_lookup!$E:$E,0)),"")</f>
        <v/>
      </c>
      <c r="AG261" t="str">
        <f t="shared" si="44"/>
        <v/>
      </c>
      <c r="AI261" t="str">
        <f t="shared" si="45"/>
        <v/>
      </c>
      <c r="AL261" t="str">
        <f t="shared" si="46"/>
        <v/>
      </c>
      <c r="AN261" t="str">
        <f t="shared" si="47"/>
        <v/>
      </c>
      <c r="AQ261" t="str">
        <f t="shared" si="48"/>
        <v/>
      </c>
      <c r="AR261" t="str">
        <f t="shared" si="49"/>
        <v/>
      </c>
      <c r="AS261" t="str">
        <f t="shared" si="50"/>
        <v/>
      </c>
      <c r="AT261" t="str">
        <f t="shared" si="51"/>
        <v/>
      </c>
      <c r="BG261" t="str">
        <f t="shared" si="52"/>
        <v/>
      </c>
      <c r="BH261" t="str">
        <f t="shared" si="53"/>
        <v/>
      </c>
      <c r="BL261" t="str">
        <f>IFERROR(INDEX(_names_lookup!$C:$C,MATCH(BK261,_names_lookup!$A:$A,0)),"")</f>
        <v/>
      </c>
      <c r="BM261" t="str">
        <f>IFERROR(INDEX(_names_lookup!$B:$B,MATCH(BK261,_names_lookup!$A:$A,0)),"")</f>
        <v/>
      </c>
      <c r="BS261" t="str">
        <f t="shared" si="54"/>
        <v/>
      </c>
    </row>
    <row r="262" spans="15:71" x14ac:dyDescent="0.2">
      <c r="O262" t="str">
        <f>IFERROR(INDEX(_courses_lookup!$C:$C,MATCH(K262&amp;L262,_courses_lookup!$E:$E,0)),"")</f>
        <v/>
      </c>
      <c r="P262" t="str">
        <f>IFERROR(INDEX(_courses_lookup!$D:$D,MATCH(K262&amp;L262,_courses_lookup!$E:$E,0)),"")</f>
        <v/>
      </c>
      <c r="AG262" t="str">
        <f t="shared" si="44"/>
        <v/>
      </c>
      <c r="AI262" t="str">
        <f t="shared" si="45"/>
        <v/>
      </c>
      <c r="AL262" t="str">
        <f t="shared" si="46"/>
        <v/>
      </c>
      <c r="AN262" t="str">
        <f t="shared" si="47"/>
        <v/>
      </c>
      <c r="AQ262" t="str">
        <f t="shared" si="48"/>
        <v/>
      </c>
      <c r="AR262" t="str">
        <f t="shared" si="49"/>
        <v/>
      </c>
      <c r="AS262" t="str">
        <f t="shared" si="50"/>
        <v/>
      </c>
      <c r="AT262" t="str">
        <f t="shared" si="51"/>
        <v/>
      </c>
      <c r="BG262" t="str">
        <f t="shared" si="52"/>
        <v/>
      </c>
      <c r="BH262" t="str">
        <f t="shared" si="53"/>
        <v/>
      </c>
      <c r="BL262" t="str">
        <f>IFERROR(INDEX(_names_lookup!$C:$C,MATCH(BK262,_names_lookup!$A:$A,0)),"")</f>
        <v/>
      </c>
      <c r="BM262" t="str">
        <f>IFERROR(INDEX(_names_lookup!$B:$B,MATCH(BK262,_names_lookup!$A:$A,0)),"")</f>
        <v/>
      </c>
      <c r="BS262" t="str">
        <f t="shared" si="54"/>
        <v/>
      </c>
    </row>
    <row r="263" spans="15:71" x14ac:dyDescent="0.2">
      <c r="O263" t="str">
        <f>IFERROR(INDEX(_courses_lookup!$C:$C,MATCH(K263&amp;L263,_courses_lookup!$E:$E,0)),"")</f>
        <v/>
      </c>
      <c r="P263" t="str">
        <f>IFERROR(INDEX(_courses_lookup!$D:$D,MATCH(K263&amp;L263,_courses_lookup!$E:$E,0)),"")</f>
        <v/>
      </c>
      <c r="AG263" t="str">
        <f t="shared" si="44"/>
        <v/>
      </c>
      <c r="AI263" t="str">
        <f t="shared" si="45"/>
        <v/>
      </c>
      <c r="AL263" t="str">
        <f t="shared" si="46"/>
        <v/>
      </c>
      <c r="AN263" t="str">
        <f t="shared" si="47"/>
        <v/>
      </c>
      <c r="AQ263" t="str">
        <f t="shared" si="48"/>
        <v/>
      </c>
      <c r="AR263" t="str">
        <f t="shared" si="49"/>
        <v/>
      </c>
      <c r="AS263" t="str">
        <f t="shared" si="50"/>
        <v/>
      </c>
      <c r="AT263" t="str">
        <f t="shared" si="51"/>
        <v/>
      </c>
      <c r="BG263" t="str">
        <f t="shared" si="52"/>
        <v/>
      </c>
      <c r="BH263" t="str">
        <f t="shared" si="53"/>
        <v/>
      </c>
      <c r="BL263" t="str">
        <f>IFERROR(INDEX(_names_lookup!$C:$C,MATCH(BK263,_names_lookup!$A:$A,0)),"")</f>
        <v/>
      </c>
      <c r="BM263" t="str">
        <f>IFERROR(INDEX(_names_lookup!$B:$B,MATCH(BK263,_names_lookup!$A:$A,0)),"")</f>
        <v/>
      </c>
      <c r="BS263" t="str">
        <f t="shared" si="54"/>
        <v/>
      </c>
    </row>
    <row r="264" spans="15:71" x14ac:dyDescent="0.2">
      <c r="O264" t="str">
        <f>IFERROR(INDEX(_courses_lookup!$C:$C,MATCH(K264&amp;L264,_courses_lookup!$E:$E,0)),"")</f>
        <v/>
      </c>
      <c r="P264" t="str">
        <f>IFERROR(INDEX(_courses_lookup!$D:$D,MATCH(K264&amp;L264,_courses_lookup!$E:$E,0)),"")</f>
        <v/>
      </c>
      <c r="AG264" t="str">
        <f t="shared" si="44"/>
        <v/>
      </c>
      <c r="AI264" t="str">
        <f t="shared" si="45"/>
        <v/>
      </c>
      <c r="AL264" t="str">
        <f t="shared" si="46"/>
        <v/>
      </c>
      <c r="AN264" t="str">
        <f t="shared" si="47"/>
        <v/>
      </c>
      <c r="AQ264" t="str">
        <f t="shared" si="48"/>
        <v/>
      </c>
      <c r="AR264" t="str">
        <f t="shared" si="49"/>
        <v/>
      </c>
      <c r="AS264" t="str">
        <f t="shared" si="50"/>
        <v/>
      </c>
      <c r="AT264" t="str">
        <f t="shared" si="51"/>
        <v/>
      </c>
      <c r="BG264" t="str">
        <f t="shared" si="52"/>
        <v/>
      </c>
      <c r="BH264" t="str">
        <f t="shared" si="53"/>
        <v/>
      </c>
      <c r="BL264" t="str">
        <f>IFERROR(INDEX(_names_lookup!$C:$C,MATCH(BK264,_names_lookup!$A:$A,0)),"")</f>
        <v/>
      </c>
      <c r="BM264" t="str">
        <f>IFERROR(INDEX(_names_lookup!$B:$B,MATCH(BK264,_names_lookup!$A:$A,0)),"")</f>
        <v/>
      </c>
      <c r="BS264" t="str">
        <f t="shared" si="54"/>
        <v/>
      </c>
    </row>
    <row r="265" spans="15:71" x14ac:dyDescent="0.2">
      <c r="O265" t="str">
        <f>IFERROR(INDEX(_courses_lookup!$C:$C,MATCH(K265&amp;L265,_courses_lookup!$E:$E,0)),"")</f>
        <v/>
      </c>
      <c r="P265" t="str">
        <f>IFERROR(INDEX(_courses_lookup!$D:$D,MATCH(K265&amp;L265,_courses_lookup!$E:$E,0)),"")</f>
        <v/>
      </c>
      <c r="AG265" t="str">
        <f t="shared" si="44"/>
        <v/>
      </c>
      <c r="AI265" t="str">
        <f t="shared" si="45"/>
        <v/>
      </c>
      <c r="AL265" t="str">
        <f t="shared" si="46"/>
        <v/>
      </c>
      <c r="AN265" t="str">
        <f t="shared" si="47"/>
        <v/>
      </c>
      <c r="AQ265" t="str">
        <f t="shared" si="48"/>
        <v/>
      </c>
      <c r="AR265" t="str">
        <f t="shared" si="49"/>
        <v/>
      </c>
      <c r="AS265" t="str">
        <f t="shared" si="50"/>
        <v/>
      </c>
      <c r="AT265" t="str">
        <f t="shared" si="51"/>
        <v/>
      </c>
      <c r="BG265" t="str">
        <f t="shared" si="52"/>
        <v/>
      </c>
      <c r="BH265" t="str">
        <f t="shared" si="53"/>
        <v/>
      </c>
      <c r="BL265" t="str">
        <f>IFERROR(INDEX(_names_lookup!$C:$C,MATCH(BK265,_names_lookup!$A:$A,0)),"")</f>
        <v/>
      </c>
      <c r="BM265" t="str">
        <f>IFERROR(INDEX(_names_lookup!$B:$B,MATCH(BK265,_names_lookup!$A:$A,0)),"")</f>
        <v/>
      </c>
      <c r="BS265" t="str">
        <f t="shared" si="54"/>
        <v/>
      </c>
    </row>
    <row r="266" spans="15:71" x14ac:dyDescent="0.2">
      <c r="O266" t="str">
        <f>IFERROR(INDEX(_courses_lookup!$C:$C,MATCH(K266&amp;L266,_courses_lookup!$E:$E,0)),"")</f>
        <v/>
      </c>
      <c r="P266" t="str">
        <f>IFERROR(INDEX(_courses_lookup!$D:$D,MATCH(K266&amp;L266,_courses_lookup!$E:$E,0)),"")</f>
        <v/>
      </c>
      <c r="AG266" t="str">
        <f t="shared" si="44"/>
        <v/>
      </c>
      <c r="AI266" t="str">
        <f t="shared" si="45"/>
        <v/>
      </c>
      <c r="AL266" t="str">
        <f t="shared" si="46"/>
        <v/>
      </c>
      <c r="AN266" t="str">
        <f t="shared" si="47"/>
        <v/>
      </c>
      <c r="AQ266" t="str">
        <f t="shared" si="48"/>
        <v/>
      </c>
      <c r="AR266" t="str">
        <f t="shared" si="49"/>
        <v/>
      </c>
      <c r="AS266" t="str">
        <f t="shared" si="50"/>
        <v/>
      </c>
      <c r="AT266" t="str">
        <f t="shared" si="51"/>
        <v/>
      </c>
      <c r="BG266" t="str">
        <f t="shared" si="52"/>
        <v/>
      </c>
      <c r="BH266" t="str">
        <f t="shared" si="53"/>
        <v/>
      </c>
      <c r="BL266" t="str">
        <f>IFERROR(INDEX(_names_lookup!$C:$C,MATCH(BK266,_names_lookup!$A:$A,0)),"")</f>
        <v/>
      </c>
      <c r="BM266" t="str">
        <f>IFERROR(INDEX(_names_lookup!$B:$B,MATCH(BK266,_names_lookup!$A:$A,0)),"")</f>
        <v/>
      </c>
      <c r="BS266" t="str">
        <f t="shared" si="54"/>
        <v/>
      </c>
    </row>
    <row r="267" spans="15:71" x14ac:dyDescent="0.2">
      <c r="O267" t="str">
        <f>IFERROR(INDEX(_courses_lookup!$C:$C,MATCH(K267&amp;L267,_courses_lookup!$E:$E,0)),"")</f>
        <v/>
      </c>
      <c r="P267" t="str">
        <f>IFERROR(INDEX(_courses_lookup!$D:$D,MATCH(K267&amp;L267,_courses_lookup!$E:$E,0)),"")</f>
        <v/>
      </c>
      <c r="AG267" t="str">
        <f t="shared" si="44"/>
        <v/>
      </c>
      <c r="AI267" t="str">
        <f t="shared" si="45"/>
        <v/>
      </c>
      <c r="AL267" t="str">
        <f t="shared" si="46"/>
        <v/>
      </c>
      <c r="AN267" t="str">
        <f t="shared" si="47"/>
        <v/>
      </c>
      <c r="AQ267" t="str">
        <f t="shared" si="48"/>
        <v/>
      </c>
      <c r="AR267" t="str">
        <f t="shared" si="49"/>
        <v/>
      </c>
      <c r="AS267" t="str">
        <f t="shared" si="50"/>
        <v/>
      </c>
      <c r="AT267" t="str">
        <f t="shared" si="51"/>
        <v/>
      </c>
      <c r="BG267" t="str">
        <f t="shared" si="52"/>
        <v/>
      </c>
      <c r="BH267" t="str">
        <f t="shared" si="53"/>
        <v/>
      </c>
      <c r="BL267" t="str">
        <f>IFERROR(INDEX(_names_lookup!$C:$C,MATCH(BK267,_names_lookup!$A:$A,0)),"")</f>
        <v/>
      </c>
      <c r="BM267" t="str">
        <f>IFERROR(INDEX(_names_lookup!$B:$B,MATCH(BK267,_names_lookup!$A:$A,0)),"")</f>
        <v/>
      </c>
      <c r="BS267" t="str">
        <f t="shared" si="54"/>
        <v/>
      </c>
    </row>
    <row r="268" spans="15:71" x14ac:dyDescent="0.2">
      <c r="O268" t="str">
        <f>IFERROR(INDEX(_courses_lookup!$C:$C,MATCH(K268&amp;L268,_courses_lookup!$E:$E,0)),"")</f>
        <v/>
      </c>
      <c r="P268" t="str">
        <f>IFERROR(INDEX(_courses_lookup!$D:$D,MATCH(K268&amp;L268,_courses_lookup!$E:$E,0)),"")</f>
        <v/>
      </c>
      <c r="AG268" t="str">
        <f t="shared" si="44"/>
        <v/>
      </c>
      <c r="AI268" t="str">
        <f t="shared" si="45"/>
        <v/>
      </c>
      <c r="AL268" t="str">
        <f t="shared" si="46"/>
        <v/>
      </c>
      <c r="AN268" t="str">
        <f t="shared" si="47"/>
        <v/>
      </c>
      <c r="AQ268" t="str">
        <f t="shared" si="48"/>
        <v/>
      </c>
      <c r="AR268" t="str">
        <f t="shared" si="49"/>
        <v/>
      </c>
      <c r="AS268" t="str">
        <f t="shared" si="50"/>
        <v/>
      </c>
      <c r="AT268" t="str">
        <f t="shared" si="51"/>
        <v/>
      </c>
      <c r="BG268" t="str">
        <f t="shared" si="52"/>
        <v/>
      </c>
      <c r="BH268" t="str">
        <f t="shared" si="53"/>
        <v/>
      </c>
      <c r="BL268" t="str">
        <f>IFERROR(INDEX(_names_lookup!$C:$C,MATCH(BK268,_names_lookup!$A:$A,0)),"")</f>
        <v/>
      </c>
      <c r="BM268" t="str">
        <f>IFERROR(INDEX(_names_lookup!$B:$B,MATCH(BK268,_names_lookup!$A:$A,0)),"")</f>
        <v/>
      </c>
      <c r="BS268" t="str">
        <f t="shared" si="54"/>
        <v/>
      </c>
    </row>
    <row r="269" spans="15:71" x14ac:dyDescent="0.2">
      <c r="O269" t="str">
        <f>IFERROR(INDEX(_courses_lookup!$C:$C,MATCH(K269&amp;L269,_courses_lookup!$E:$E,0)),"")</f>
        <v/>
      </c>
      <c r="P269" t="str">
        <f>IFERROR(INDEX(_courses_lookup!$D:$D,MATCH(K269&amp;L269,_courses_lookup!$E:$E,0)),"")</f>
        <v/>
      </c>
      <c r="AG269" t="str">
        <f t="shared" si="44"/>
        <v/>
      </c>
      <c r="AI269" t="str">
        <f t="shared" si="45"/>
        <v/>
      </c>
      <c r="AL269" t="str">
        <f t="shared" si="46"/>
        <v/>
      </c>
      <c r="AN269" t="str">
        <f t="shared" si="47"/>
        <v/>
      </c>
      <c r="AQ269" t="str">
        <f t="shared" si="48"/>
        <v/>
      </c>
      <c r="AR269" t="str">
        <f t="shared" si="49"/>
        <v/>
      </c>
      <c r="AS269" t="str">
        <f t="shared" si="50"/>
        <v/>
      </c>
      <c r="AT269" t="str">
        <f t="shared" si="51"/>
        <v/>
      </c>
      <c r="BG269" t="str">
        <f t="shared" si="52"/>
        <v/>
      </c>
      <c r="BH269" t="str">
        <f t="shared" si="53"/>
        <v/>
      </c>
      <c r="BL269" t="str">
        <f>IFERROR(INDEX(_names_lookup!$C:$C,MATCH(BK269,_names_lookup!$A:$A,0)),"")</f>
        <v/>
      </c>
      <c r="BM269" t="str">
        <f>IFERROR(INDEX(_names_lookup!$B:$B,MATCH(BK269,_names_lookup!$A:$A,0)),"")</f>
        <v/>
      </c>
      <c r="BS269" t="str">
        <f t="shared" si="54"/>
        <v/>
      </c>
    </row>
    <row r="270" spans="15:71" x14ac:dyDescent="0.2">
      <c r="O270" t="str">
        <f>IFERROR(INDEX(_courses_lookup!$C:$C,MATCH(K270&amp;L270,_courses_lookup!$E:$E,0)),"")</f>
        <v/>
      </c>
      <c r="P270" t="str">
        <f>IFERROR(INDEX(_courses_lookup!$D:$D,MATCH(K270&amp;L270,_courses_lookup!$E:$E,0)),"")</f>
        <v/>
      </c>
      <c r="AG270" t="str">
        <f t="shared" si="44"/>
        <v/>
      </c>
      <c r="AI270" t="str">
        <f t="shared" si="45"/>
        <v/>
      </c>
      <c r="AL270" t="str">
        <f t="shared" si="46"/>
        <v/>
      </c>
      <c r="AN270" t="str">
        <f t="shared" si="47"/>
        <v/>
      </c>
      <c r="AQ270" t="str">
        <f t="shared" si="48"/>
        <v/>
      </c>
      <c r="AR270" t="str">
        <f t="shared" si="49"/>
        <v/>
      </c>
      <c r="AS270" t="str">
        <f t="shared" si="50"/>
        <v/>
      </c>
      <c r="AT270" t="str">
        <f t="shared" si="51"/>
        <v/>
      </c>
      <c r="BG270" t="str">
        <f t="shared" si="52"/>
        <v/>
      </c>
      <c r="BH270" t="str">
        <f t="shared" si="53"/>
        <v/>
      </c>
      <c r="BL270" t="str">
        <f>IFERROR(INDEX(_names_lookup!$C:$C,MATCH(BK270,_names_lookup!$A:$A,0)),"")</f>
        <v/>
      </c>
      <c r="BM270" t="str">
        <f>IFERROR(INDEX(_names_lookup!$B:$B,MATCH(BK270,_names_lookup!$A:$A,0)),"")</f>
        <v/>
      </c>
      <c r="BS270" t="str">
        <f t="shared" si="54"/>
        <v/>
      </c>
    </row>
    <row r="271" spans="15:71" x14ac:dyDescent="0.2">
      <c r="O271" t="str">
        <f>IFERROR(INDEX(_courses_lookup!$C:$C,MATCH(K271&amp;L271,_courses_lookup!$E:$E,0)),"")</f>
        <v/>
      </c>
      <c r="P271" t="str">
        <f>IFERROR(INDEX(_courses_lookup!$D:$D,MATCH(K271&amp;L271,_courses_lookup!$E:$E,0)),"")</f>
        <v/>
      </c>
      <c r="AG271" t="str">
        <f t="shared" si="44"/>
        <v/>
      </c>
      <c r="AI271" t="str">
        <f t="shared" si="45"/>
        <v/>
      </c>
      <c r="AL271" t="str">
        <f t="shared" si="46"/>
        <v/>
      </c>
      <c r="AN271" t="str">
        <f t="shared" si="47"/>
        <v/>
      </c>
      <c r="AQ271" t="str">
        <f t="shared" si="48"/>
        <v/>
      </c>
      <c r="AR271" t="str">
        <f t="shared" si="49"/>
        <v/>
      </c>
      <c r="AS271" t="str">
        <f t="shared" si="50"/>
        <v/>
      </c>
      <c r="AT271" t="str">
        <f t="shared" si="51"/>
        <v/>
      </c>
      <c r="BG271" t="str">
        <f t="shared" si="52"/>
        <v/>
      </c>
      <c r="BH271" t="str">
        <f t="shared" si="53"/>
        <v/>
      </c>
      <c r="BL271" t="str">
        <f>IFERROR(INDEX(_names_lookup!$C:$C,MATCH(BK271,_names_lookup!$A:$A,0)),"")</f>
        <v/>
      </c>
      <c r="BM271" t="str">
        <f>IFERROR(INDEX(_names_lookup!$B:$B,MATCH(BK271,_names_lookup!$A:$A,0)),"")</f>
        <v/>
      </c>
      <c r="BS271" t="str">
        <f t="shared" si="54"/>
        <v/>
      </c>
    </row>
    <row r="272" spans="15:71" x14ac:dyDescent="0.2">
      <c r="O272" t="str">
        <f>IFERROR(INDEX(_courses_lookup!$C:$C,MATCH(K272&amp;L272,_courses_lookup!$E:$E,0)),"")</f>
        <v/>
      </c>
      <c r="P272" t="str">
        <f>IFERROR(INDEX(_courses_lookup!$D:$D,MATCH(K272&amp;L272,_courses_lookup!$E:$E,0)),"")</f>
        <v/>
      </c>
      <c r="AG272" t="str">
        <f t="shared" si="44"/>
        <v/>
      </c>
      <c r="AI272" t="str">
        <f t="shared" si="45"/>
        <v/>
      </c>
      <c r="AL272" t="str">
        <f t="shared" si="46"/>
        <v/>
      </c>
      <c r="AN272" t="str">
        <f t="shared" si="47"/>
        <v/>
      </c>
      <c r="AQ272" t="str">
        <f t="shared" si="48"/>
        <v/>
      </c>
      <c r="AR272" t="str">
        <f t="shared" si="49"/>
        <v/>
      </c>
      <c r="AS272" t="str">
        <f t="shared" si="50"/>
        <v/>
      </c>
      <c r="AT272" t="str">
        <f t="shared" si="51"/>
        <v/>
      </c>
      <c r="BG272" t="str">
        <f t="shared" si="52"/>
        <v/>
      </c>
      <c r="BH272" t="str">
        <f t="shared" si="53"/>
        <v/>
      </c>
      <c r="BL272" t="str">
        <f>IFERROR(INDEX(_names_lookup!$C:$C,MATCH(BK272,_names_lookup!$A:$A,0)),"")</f>
        <v/>
      </c>
      <c r="BM272" t="str">
        <f>IFERROR(INDEX(_names_lookup!$B:$B,MATCH(BK272,_names_lookup!$A:$A,0)),"")</f>
        <v/>
      </c>
      <c r="BS272" t="str">
        <f t="shared" si="54"/>
        <v/>
      </c>
    </row>
    <row r="273" spans="15:71" x14ac:dyDescent="0.2">
      <c r="O273" t="str">
        <f>IFERROR(INDEX(_courses_lookup!$C:$C,MATCH(K273&amp;L273,_courses_lookup!$E:$E,0)),"")</f>
        <v/>
      </c>
      <c r="P273" t="str">
        <f>IFERROR(INDEX(_courses_lookup!$D:$D,MATCH(K273&amp;L273,_courses_lookup!$E:$E,0)),"")</f>
        <v/>
      </c>
      <c r="AG273" t="str">
        <f t="shared" si="44"/>
        <v/>
      </c>
      <c r="AI273" t="str">
        <f t="shared" si="45"/>
        <v/>
      </c>
      <c r="AL273" t="str">
        <f t="shared" si="46"/>
        <v/>
      </c>
      <c r="AN273" t="str">
        <f t="shared" si="47"/>
        <v/>
      </c>
      <c r="AQ273" t="str">
        <f t="shared" si="48"/>
        <v/>
      </c>
      <c r="AR273" t="str">
        <f t="shared" si="49"/>
        <v/>
      </c>
      <c r="AS273" t="str">
        <f t="shared" si="50"/>
        <v/>
      </c>
      <c r="AT273" t="str">
        <f t="shared" si="51"/>
        <v/>
      </c>
      <c r="BG273" t="str">
        <f t="shared" si="52"/>
        <v/>
      </c>
      <c r="BH273" t="str">
        <f t="shared" si="53"/>
        <v/>
      </c>
      <c r="BL273" t="str">
        <f>IFERROR(INDEX(_names_lookup!$C:$C,MATCH(BK273,_names_lookup!$A:$A,0)),"")</f>
        <v/>
      </c>
      <c r="BM273" t="str">
        <f>IFERROR(INDEX(_names_lookup!$B:$B,MATCH(BK273,_names_lookup!$A:$A,0)),"")</f>
        <v/>
      </c>
      <c r="BS273" t="str">
        <f t="shared" si="54"/>
        <v/>
      </c>
    </row>
    <row r="274" spans="15:71" x14ac:dyDescent="0.2">
      <c r="O274" t="str">
        <f>IFERROR(INDEX(_courses_lookup!$C:$C,MATCH(K274&amp;L274,_courses_lookup!$E:$E,0)),"")</f>
        <v/>
      </c>
      <c r="P274" t="str">
        <f>IFERROR(INDEX(_courses_lookup!$D:$D,MATCH(K274&amp;L274,_courses_lookup!$E:$E,0)),"")</f>
        <v/>
      </c>
      <c r="AG274" t="str">
        <f t="shared" si="44"/>
        <v/>
      </c>
      <c r="AI274" t="str">
        <f t="shared" si="45"/>
        <v/>
      </c>
      <c r="AL274" t="str">
        <f t="shared" si="46"/>
        <v/>
      </c>
      <c r="AN274" t="str">
        <f t="shared" si="47"/>
        <v/>
      </c>
      <c r="AQ274" t="str">
        <f t="shared" si="48"/>
        <v/>
      </c>
      <c r="AR274" t="str">
        <f t="shared" si="49"/>
        <v/>
      </c>
      <c r="AS274" t="str">
        <f t="shared" si="50"/>
        <v/>
      </c>
      <c r="AT274" t="str">
        <f t="shared" si="51"/>
        <v/>
      </c>
      <c r="BG274" t="str">
        <f t="shared" si="52"/>
        <v/>
      </c>
      <c r="BH274" t="str">
        <f t="shared" si="53"/>
        <v/>
      </c>
      <c r="BL274" t="str">
        <f>IFERROR(INDEX(_names_lookup!$C:$C,MATCH(BK274,_names_lookup!$A:$A,0)),"")</f>
        <v/>
      </c>
      <c r="BM274" t="str">
        <f>IFERROR(INDEX(_names_lookup!$B:$B,MATCH(BK274,_names_lookup!$A:$A,0)),"")</f>
        <v/>
      </c>
      <c r="BS274" t="str">
        <f t="shared" si="54"/>
        <v/>
      </c>
    </row>
    <row r="275" spans="15:71" x14ac:dyDescent="0.2">
      <c r="O275" t="str">
        <f>IFERROR(INDEX(_courses_lookup!$C:$C,MATCH(K275&amp;L275,_courses_lookup!$E:$E,0)),"")</f>
        <v/>
      </c>
      <c r="P275" t="str">
        <f>IFERROR(INDEX(_courses_lookup!$D:$D,MATCH(K275&amp;L275,_courses_lookup!$E:$E,0)),"")</f>
        <v/>
      </c>
      <c r="AG275" t="str">
        <f t="shared" si="44"/>
        <v/>
      </c>
      <c r="AI275" t="str">
        <f t="shared" si="45"/>
        <v/>
      </c>
      <c r="AL275" t="str">
        <f t="shared" si="46"/>
        <v/>
      </c>
      <c r="AN275" t="str">
        <f t="shared" si="47"/>
        <v/>
      </c>
      <c r="AQ275" t="str">
        <f t="shared" si="48"/>
        <v/>
      </c>
      <c r="AR275" t="str">
        <f t="shared" si="49"/>
        <v/>
      </c>
      <c r="AS275" t="str">
        <f t="shared" si="50"/>
        <v/>
      </c>
      <c r="AT275" t="str">
        <f t="shared" si="51"/>
        <v/>
      </c>
      <c r="BG275" t="str">
        <f t="shared" si="52"/>
        <v/>
      </c>
      <c r="BH275" t="str">
        <f t="shared" si="53"/>
        <v/>
      </c>
      <c r="BL275" t="str">
        <f>IFERROR(INDEX(_names_lookup!$C:$C,MATCH(BK275,_names_lookup!$A:$A,0)),"")</f>
        <v/>
      </c>
      <c r="BM275" t="str">
        <f>IFERROR(INDEX(_names_lookup!$B:$B,MATCH(BK275,_names_lookup!$A:$A,0)),"")</f>
        <v/>
      </c>
      <c r="BS275" t="str">
        <f t="shared" si="54"/>
        <v/>
      </c>
    </row>
    <row r="276" spans="15:71" x14ac:dyDescent="0.2">
      <c r="O276" t="str">
        <f>IFERROR(INDEX(_courses_lookup!$C:$C,MATCH(K276&amp;L276,_courses_lookup!$E:$E,0)),"")</f>
        <v/>
      </c>
      <c r="P276" t="str">
        <f>IFERROR(INDEX(_courses_lookup!$D:$D,MATCH(K276&amp;L276,_courses_lookup!$E:$E,0)),"")</f>
        <v/>
      </c>
      <c r="AG276" t="str">
        <f t="shared" si="44"/>
        <v/>
      </c>
      <c r="AI276" t="str">
        <f t="shared" si="45"/>
        <v/>
      </c>
      <c r="AL276" t="str">
        <f t="shared" si="46"/>
        <v/>
      </c>
      <c r="AN276" t="str">
        <f t="shared" si="47"/>
        <v/>
      </c>
      <c r="AQ276" t="str">
        <f t="shared" si="48"/>
        <v/>
      </c>
      <c r="AR276" t="str">
        <f t="shared" si="49"/>
        <v/>
      </c>
      <c r="AS276" t="str">
        <f t="shared" si="50"/>
        <v/>
      </c>
      <c r="AT276" t="str">
        <f t="shared" si="51"/>
        <v/>
      </c>
      <c r="BG276" t="str">
        <f t="shared" si="52"/>
        <v/>
      </c>
      <c r="BH276" t="str">
        <f t="shared" si="53"/>
        <v/>
      </c>
      <c r="BL276" t="str">
        <f>IFERROR(INDEX(_names_lookup!$C:$C,MATCH(BK276,_names_lookup!$A:$A,0)),"")</f>
        <v/>
      </c>
      <c r="BM276" t="str">
        <f>IFERROR(INDEX(_names_lookup!$B:$B,MATCH(BK276,_names_lookup!$A:$A,0)),"")</f>
        <v/>
      </c>
      <c r="BS276" t="str">
        <f t="shared" si="54"/>
        <v/>
      </c>
    </row>
    <row r="277" spans="15:71" x14ac:dyDescent="0.2">
      <c r="O277" t="str">
        <f>IFERROR(INDEX(_courses_lookup!$C:$C,MATCH(K277&amp;L277,_courses_lookup!$E:$E,0)),"")</f>
        <v/>
      </c>
      <c r="P277" t="str">
        <f>IFERROR(INDEX(_courses_lookup!$D:$D,MATCH(K277&amp;L277,_courses_lookup!$E:$E,0)),"")</f>
        <v/>
      </c>
      <c r="AG277" t="str">
        <f t="shared" si="44"/>
        <v/>
      </c>
      <c r="AI277" t="str">
        <f t="shared" si="45"/>
        <v/>
      </c>
      <c r="AL277" t="str">
        <f t="shared" si="46"/>
        <v/>
      </c>
      <c r="AN277" t="str">
        <f t="shared" si="47"/>
        <v/>
      </c>
      <c r="AQ277" t="str">
        <f t="shared" si="48"/>
        <v/>
      </c>
      <c r="AR277" t="str">
        <f t="shared" si="49"/>
        <v/>
      </c>
      <c r="AS277" t="str">
        <f t="shared" si="50"/>
        <v/>
      </c>
      <c r="AT277" t="str">
        <f t="shared" si="51"/>
        <v/>
      </c>
      <c r="BG277" t="str">
        <f t="shared" si="52"/>
        <v/>
      </c>
      <c r="BH277" t="str">
        <f t="shared" si="53"/>
        <v/>
      </c>
      <c r="BL277" t="str">
        <f>IFERROR(INDEX(_names_lookup!$C:$C,MATCH(BK277,_names_lookup!$A:$A,0)),"")</f>
        <v/>
      </c>
      <c r="BM277" t="str">
        <f>IFERROR(INDEX(_names_lookup!$B:$B,MATCH(BK277,_names_lookup!$A:$A,0)),"")</f>
        <v/>
      </c>
      <c r="BS277" t="str">
        <f t="shared" si="54"/>
        <v/>
      </c>
    </row>
    <row r="278" spans="15:71" x14ac:dyDescent="0.2">
      <c r="O278" t="str">
        <f>IFERROR(INDEX(_courses_lookup!$C:$C,MATCH(K278&amp;L278,_courses_lookup!$E:$E,0)),"")</f>
        <v/>
      </c>
      <c r="P278" t="str">
        <f>IFERROR(INDEX(_courses_lookup!$D:$D,MATCH(K278&amp;L278,_courses_lookup!$E:$E,0)),"")</f>
        <v/>
      </c>
      <c r="AG278" t="str">
        <f t="shared" si="44"/>
        <v/>
      </c>
      <c r="AI278" t="str">
        <f t="shared" si="45"/>
        <v/>
      </c>
      <c r="AL278" t="str">
        <f t="shared" si="46"/>
        <v/>
      </c>
      <c r="AN278" t="str">
        <f t="shared" si="47"/>
        <v/>
      </c>
      <c r="AQ278" t="str">
        <f t="shared" si="48"/>
        <v/>
      </c>
      <c r="AR278" t="str">
        <f t="shared" si="49"/>
        <v/>
      </c>
      <c r="AS278" t="str">
        <f t="shared" si="50"/>
        <v/>
      </c>
      <c r="AT278" t="str">
        <f t="shared" si="51"/>
        <v/>
      </c>
      <c r="BG278" t="str">
        <f t="shared" si="52"/>
        <v/>
      </c>
      <c r="BH278" t="str">
        <f t="shared" si="53"/>
        <v/>
      </c>
      <c r="BL278" t="str">
        <f>IFERROR(INDEX(_names_lookup!$C:$C,MATCH(BK278,_names_lookup!$A:$A,0)),"")</f>
        <v/>
      </c>
      <c r="BM278" t="str">
        <f>IFERROR(INDEX(_names_lookup!$B:$B,MATCH(BK278,_names_lookup!$A:$A,0)),"")</f>
        <v/>
      </c>
      <c r="BS278" t="str">
        <f t="shared" si="54"/>
        <v/>
      </c>
    </row>
    <row r="279" spans="15:71" x14ac:dyDescent="0.2">
      <c r="O279" t="str">
        <f>IFERROR(INDEX(_courses_lookup!$C:$C,MATCH(K279&amp;L279,_courses_lookup!$E:$E,0)),"")</f>
        <v/>
      </c>
      <c r="P279" t="str">
        <f>IFERROR(INDEX(_courses_lookup!$D:$D,MATCH(K279&amp;L279,_courses_lookup!$E:$E,0)),"")</f>
        <v/>
      </c>
      <c r="AG279" t="str">
        <f t="shared" si="44"/>
        <v/>
      </c>
      <c r="AI279" t="str">
        <f t="shared" si="45"/>
        <v/>
      </c>
      <c r="AL279" t="str">
        <f t="shared" si="46"/>
        <v/>
      </c>
      <c r="AN279" t="str">
        <f t="shared" si="47"/>
        <v/>
      </c>
      <c r="AQ279" t="str">
        <f t="shared" si="48"/>
        <v/>
      </c>
      <c r="AR279" t="str">
        <f t="shared" si="49"/>
        <v/>
      </c>
      <c r="AS279" t="str">
        <f t="shared" si="50"/>
        <v/>
      </c>
      <c r="AT279" t="str">
        <f t="shared" si="51"/>
        <v/>
      </c>
      <c r="BG279" t="str">
        <f t="shared" si="52"/>
        <v/>
      </c>
      <c r="BH279" t="str">
        <f t="shared" si="53"/>
        <v/>
      </c>
      <c r="BL279" t="str">
        <f>IFERROR(INDEX(_names_lookup!$C:$C,MATCH(BK279,_names_lookup!$A:$A,0)),"")</f>
        <v/>
      </c>
      <c r="BM279" t="str">
        <f>IFERROR(INDEX(_names_lookup!$B:$B,MATCH(BK279,_names_lookup!$A:$A,0)),"")</f>
        <v/>
      </c>
      <c r="BS279" t="str">
        <f t="shared" si="54"/>
        <v/>
      </c>
    </row>
    <row r="280" spans="15:71" x14ac:dyDescent="0.2">
      <c r="O280" t="str">
        <f>IFERROR(INDEX(_courses_lookup!$C:$C,MATCH(K280&amp;L280,_courses_lookup!$E:$E,0)),"")</f>
        <v/>
      </c>
      <c r="P280" t="str">
        <f>IFERROR(INDEX(_courses_lookup!$D:$D,MATCH(K280&amp;L280,_courses_lookup!$E:$E,0)),"")</f>
        <v/>
      </c>
      <c r="AG280" t="str">
        <f t="shared" si="44"/>
        <v/>
      </c>
      <c r="AI280" t="str">
        <f t="shared" si="45"/>
        <v/>
      </c>
      <c r="AL280" t="str">
        <f t="shared" si="46"/>
        <v/>
      </c>
      <c r="AN280" t="str">
        <f t="shared" si="47"/>
        <v/>
      </c>
      <c r="AQ280" t="str">
        <f t="shared" si="48"/>
        <v/>
      </c>
      <c r="AR280" t="str">
        <f t="shared" si="49"/>
        <v/>
      </c>
      <c r="AS280" t="str">
        <f t="shared" si="50"/>
        <v/>
      </c>
      <c r="AT280" t="str">
        <f t="shared" si="51"/>
        <v/>
      </c>
      <c r="BG280" t="str">
        <f t="shared" si="52"/>
        <v/>
      </c>
      <c r="BH280" t="str">
        <f t="shared" si="53"/>
        <v/>
      </c>
      <c r="BL280" t="str">
        <f>IFERROR(INDEX(_names_lookup!$C:$C,MATCH(BK280,_names_lookup!$A:$A,0)),"")</f>
        <v/>
      </c>
      <c r="BM280" t="str">
        <f>IFERROR(INDEX(_names_lookup!$B:$B,MATCH(BK280,_names_lookup!$A:$A,0)),"")</f>
        <v/>
      </c>
      <c r="BS280" t="str">
        <f t="shared" si="54"/>
        <v/>
      </c>
    </row>
    <row r="281" spans="15:71" x14ac:dyDescent="0.2">
      <c r="O281" t="str">
        <f>IFERROR(INDEX(_courses_lookup!$C:$C,MATCH(K281&amp;L281,_courses_lookup!$E:$E,0)),"")</f>
        <v/>
      </c>
      <c r="P281" t="str">
        <f>IFERROR(INDEX(_courses_lookup!$D:$D,MATCH(K281&amp;L281,_courses_lookup!$E:$E,0)),"")</f>
        <v/>
      </c>
      <c r="AG281" t="str">
        <f t="shared" si="44"/>
        <v/>
      </c>
      <c r="AI281" t="str">
        <f t="shared" si="45"/>
        <v/>
      </c>
      <c r="AL281" t="str">
        <f t="shared" si="46"/>
        <v/>
      </c>
      <c r="AN281" t="str">
        <f t="shared" si="47"/>
        <v/>
      </c>
      <c r="AQ281" t="str">
        <f t="shared" si="48"/>
        <v/>
      </c>
      <c r="AR281" t="str">
        <f t="shared" si="49"/>
        <v/>
      </c>
      <c r="AS281" t="str">
        <f t="shared" si="50"/>
        <v/>
      </c>
      <c r="AT281" t="str">
        <f t="shared" si="51"/>
        <v/>
      </c>
      <c r="BG281" t="str">
        <f t="shared" si="52"/>
        <v/>
      </c>
      <c r="BH281" t="str">
        <f t="shared" si="53"/>
        <v/>
      </c>
      <c r="BL281" t="str">
        <f>IFERROR(INDEX(_names_lookup!$C:$C,MATCH(BK281,_names_lookup!$A:$A,0)),"")</f>
        <v/>
      </c>
      <c r="BM281" t="str">
        <f>IFERROR(INDEX(_names_lookup!$B:$B,MATCH(BK281,_names_lookup!$A:$A,0)),"")</f>
        <v/>
      </c>
      <c r="BS281" t="str">
        <f t="shared" si="54"/>
        <v/>
      </c>
    </row>
    <row r="282" spans="15:71" x14ac:dyDescent="0.2">
      <c r="O282" t="str">
        <f>IFERROR(INDEX(_courses_lookup!$C:$C,MATCH(K282&amp;L282,_courses_lookup!$E:$E,0)),"")</f>
        <v/>
      </c>
      <c r="P282" t="str">
        <f>IFERROR(INDEX(_courses_lookup!$D:$D,MATCH(K282&amp;L282,_courses_lookup!$E:$E,0)),"")</f>
        <v/>
      </c>
      <c r="AG282" t="str">
        <f t="shared" si="44"/>
        <v/>
      </c>
      <c r="AI282" t="str">
        <f t="shared" si="45"/>
        <v/>
      </c>
      <c r="AL282" t="str">
        <f t="shared" si="46"/>
        <v/>
      </c>
      <c r="AN282" t="str">
        <f t="shared" si="47"/>
        <v/>
      </c>
      <c r="AQ282" t="str">
        <f t="shared" si="48"/>
        <v/>
      </c>
      <c r="AR282" t="str">
        <f t="shared" si="49"/>
        <v/>
      </c>
      <c r="AS282" t="str">
        <f t="shared" si="50"/>
        <v/>
      </c>
      <c r="AT282" t="str">
        <f t="shared" si="51"/>
        <v/>
      </c>
      <c r="BG282" t="str">
        <f t="shared" si="52"/>
        <v/>
      </c>
      <c r="BH282" t="str">
        <f t="shared" si="53"/>
        <v/>
      </c>
      <c r="BL282" t="str">
        <f>IFERROR(INDEX(_names_lookup!$C:$C,MATCH(BK282,_names_lookup!$A:$A,0)),"")</f>
        <v/>
      </c>
      <c r="BM282" t="str">
        <f>IFERROR(INDEX(_names_lookup!$B:$B,MATCH(BK282,_names_lookup!$A:$A,0)),"")</f>
        <v/>
      </c>
      <c r="BS282" t="str">
        <f t="shared" si="54"/>
        <v/>
      </c>
    </row>
    <row r="283" spans="15:71" x14ac:dyDescent="0.2">
      <c r="O283" t="str">
        <f>IFERROR(INDEX(_courses_lookup!$C:$C,MATCH(K283&amp;L283,_courses_lookup!$E:$E,0)),"")</f>
        <v/>
      </c>
      <c r="P283" t="str">
        <f>IFERROR(INDEX(_courses_lookup!$D:$D,MATCH(K283&amp;L283,_courses_lookup!$E:$E,0)),"")</f>
        <v/>
      </c>
      <c r="AG283" t="str">
        <f t="shared" si="44"/>
        <v/>
      </c>
      <c r="AI283" t="str">
        <f t="shared" si="45"/>
        <v/>
      </c>
      <c r="AL283" t="str">
        <f t="shared" si="46"/>
        <v/>
      </c>
      <c r="AN283" t="str">
        <f t="shared" si="47"/>
        <v/>
      </c>
      <c r="AQ283" t="str">
        <f t="shared" si="48"/>
        <v/>
      </c>
      <c r="AR283" t="str">
        <f t="shared" si="49"/>
        <v/>
      </c>
      <c r="AS283" t="str">
        <f t="shared" si="50"/>
        <v/>
      </c>
      <c r="AT283" t="str">
        <f t="shared" si="51"/>
        <v/>
      </c>
      <c r="BG283" t="str">
        <f t="shared" si="52"/>
        <v/>
      </c>
      <c r="BH283" t="str">
        <f t="shared" si="53"/>
        <v/>
      </c>
      <c r="BL283" t="str">
        <f>IFERROR(INDEX(_names_lookup!$C:$C,MATCH(BK283,_names_lookup!$A:$A,0)),"")</f>
        <v/>
      </c>
      <c r="BM283" t="str">
        <f>IFERROR(INDEX(_names_lookup!$B:$B,MATCH(BK283,_names_lookup!$A:$A,0)),"")</f>
        <v/>
      </c>
      <c r="BS283" t="str">
        <f t="shared" si="54"/>
        <v/>
      </c>
    </row>
    <row r="284" spans="15:71" x14ac:dyDescent="0.2">
      <c r="O284" t="str">
        <f>IFERROR(INDEX(_courses_lookup!$C:$C,MATCH(K284&amp;L284,_courses_lookup!$E:$E,0)),"")</f>
        <v/>
      </c>
      <c r="P284" t="str">
        <f>IFERROR(INDEX(_courses_lookup!$D:$D,MATCH(K284&amp;L284,_courses_lookup!$E:$E,0)),"")</f>
        <v/>
      </c>
      <c r="AG284" t="str">
        <f t="shared" si="44"/>
        <v/>
      </c>
      <c r="AI284" t="str">
        <f t="shared" si="45"/>
        <v/>
      </c>
      <c r="AL284" t="str">
        <f t="shared" si="46"/>
        <v/>
      </c>
      <c r="AN284" t="str">
        <f t="shared" si="47"/>
        <v/>
      </c>
      <c r="AQ284" t="str">
        <f t="shared" si="48"/>
        <v/>
      </c>
      <c r="AR284" t="str">
        <f t="shared" si="49"/>
        <v/>
      </c>
      <c r="AS284" t="str">
        <f t="shared" si="50"/>
        <v/>
      </c>
      <c r="AT284" t="str">
        <f t="shared" si="51"/>
        <v/>
      </c>
      <c r="BG284" t="str">
        <f t="shared" si="52"/>
        <v/>
      </c>
      <c r="BH284" t="str">
        <f t="shared" si="53"/>
        <v/>
      </c>
      <c r="BL284" t="str">
        <f>IFERROR(INDEX(_names_lookup!$C:$C,MATCH(BK284,_names_lookup!$A:$A,0)),"")</f>
        <v/>
      </c>
      <c r="BM284" t="str">
        <f>IFERROR(INDEX(_names_lookup!$B:$B,MATCH(BK284,_names_lookup!$A:$A,0)),"")</f>
        <v/>
      </c>
      <c r="BS284" t="str">
        <f t="shared" si="54"/>
        <v/>
      </c>
    </row>
    <row r="285" spans="15:71" x14ac:dyDescent="0.2">
      <c r="O285" t="str">
        <f>IFERROR(INDEX(_courses_lookup!$C:$C,MATCH(K285&amp;L285,_courses_lookup!$E:$E,0)),"")</f>
        <v/>
      </c>
      <c r="P285" t="str">
        <f>IFERROR(INDEX(_courses_lookup!$D:$D,MATCH(K285&amp;L285,_courses_lookup!$E:$E,0)),"")</f>
        <v/>
      </c>
      <c r="AG285" t="str">
        <f t="shared" si="44"/>
        <v/>
      </c>
      <c r="AI285" t="str">
        <f t="shared" si="45"/>
        <v/>
      </c>
      <c r="AL285" t="str">
        <f t="shared" si="46"/>
        <v/>
      </c>
      <c r="AN285" t="str">
        <f t="shared" si="47"/>
        <v/>
      </c>
      <c r="AQ285" t="str">
        <f t="shared" si="48"/>
        <v/>
      </c>
      <c r="AR285" t="str">
        <f t="shared" si="49"/>
        <v/>
      </c>
      <c r="AS285" t="str">
        <f t="shared" si="50"/>
        <v/>
      </c>
      <c r="AT285" t="str">
        <f t="shared" si="51"/>
        <v/>
      </c>
      <c r="BG285" t="str">
        <f t="shared" si="52"/>
        <v/>
      </c>
      <c r="BH285" t="str">
        <f t="shared" si="53"/>
        <v/>
      </c>
      <c r="BL285" t="str">
        <f>IFERROR(INDEX(_names_lookup!$C:$C,MATCH(BK285,_names_lookup!$A:$A,0)),"")</f>
        <v/>
      </c>
      <c r="BM285" t="str">
        <f>IFERROR(INDEX(_names_lookup!$B:$B,MATCH(BK285,_names_lookup!$A:$A,0)),"")</f>
        <v/>
      </c>
      <c r="BS285" t="str">
        <f t="shared" si="54"/>
        <v/>
      </c>
    </row>
    <row r="286" spans="15:71" x14ac:dyDescent="0.2">
      <c r="O286" t="str">
        <f>IFERROR(INDEX(_courses_lookup!$C:$C,MATCH(K286&amp;L286,_courses_lookup!$E:$E,0)),"")</f>
        <v/>
      </c>
      <c r="P286" t="str">
        <f>IFERROR(INDEX(_courses_lookup!$D:$D,MATCH(K286&amp;L286,_courses_lookup!$E:$E,0)),"")</f>
        <v/>
      </c>
      <c r="AG286" t="str">
        <f t="shared" si="44"/>
        <v/>
      </c>
      <c r="AI286" t="str">
        <f t="shared" si="45"/>
        <v/>
      </c>
      <c r="AL286" t="str">
        <f t="shared" si="46"/>
        <v/>
      </c>
      <c r="AN286" t="str">
        <f t="shared" si="47"/>
        <v/>
      </c>
      <c r="AQ286" t="str">
        <f t="shared" si="48"/>
        <v/>
      </c>
      <c r="AR286" t="str">
        <f t="shared" si="49"/>
        <v/>
      </c>
      <c r="AS286" t="str">
        <f t="shared" si="50"/>
        <v/>
      </c>
      <c r="AT286" t="str">
        <f t="shared" si="51"/>
        <v/>
      </c>
      <c r="BG286" t="str">
        <f t="shared" si="52"/>
        <v/>
      </c>
      <c r="BH286" t="str">
        <f t="shared" si="53"/>
        <v/>
      </c>
      <c r="BL286" t="str">
        <f>IFERROR(INDEX(_names_lookup!$C:$C,MATCH(BK286,_names_lookup!$A:$A,0)),"")</f>
        <v/>
      </c>
      <c r="BM286" t="str">
        <f>IFERROR(INDEX(_names_lookup!$B:$B,MATCH(BK286,_names_lookup!$A:$A,0)),"")</f>
        <v/>
      </c>
      <c r="BS286" t="str">
        <f t="shared" si="54"/>
        <v/>
      </c>
    </row>
    <row r="287" spans="15:71" x14ac:dyDescent="0.2">
      <c r="O287" t="str">
        <f>IFERROR(INDEX(_courses_lookup!$C:$C,MATCH(K287&amp;L287,_courses_lookup!$E:$E,0)),"")</f>
        <v/>
      </c>
      <c r="P287" t="str">
        <f>IFERROR(INDEX(_courses_lookup!$D:$D,MATCH(K287&amp;L287,_courses_lookup!$E:$E,0)),"")</f>
        <v/>
      </c>
      <c r="AG287" t="str">
        <f t="shared" si="44"/>
        <v/>
      </c>
      <c r="AI287" t="str">
        <f t="shared" si="45"/>
        <v/>
      </c>
      <c r="AL287" t="str">
        <f t="shared" si="46"/>
        <v/>
      </c>
      <c r="AN287" t="str">
        <f t="shared" si="47"/>
        <v/>
      </c>
      <c r="AQ287" t="str">
        <f t="shared" si="48"/>
        <v/>
      </c>
      <c r="AR287" t="str">
        <f t="shared" si="49"/>
        <v/>
      </c>
      <c r="AS287" t="str">
        <f t="shared" si="50"/>
        <v/>
      </c>
      <c r="AT287" t="str">
        <f t="shared" si="51"/>
        <v/>
      </c>
      <c r="BG287" t="str">
        <f t="shared" si="52"/>
        <v/>
      </c>
      <c r="BH287" t="str">
        <f t="shared" si="53"/>
        <v/>
      </c>
      <c r="BL287" t="str">
        <f>IFERROR(INDEX(_names_lookup!$C:$C,MATCH(BK287,_names_lookup!$A:$A,0)),"")</f>
        <v/>
      </c>
      <c r="BM287" t="str">
        <f>IFERROR(INDEX(_names_lookup!$B:$B,MATCH(BK287,_names_lookup!$A:$A,0)),"")</f>
        <v/>
      </c>
      <c r="BS287" t="str">
        <f t="shared" si="54"/>
        <v/>
      </c>
    </row>
    <row r="288" spans="15:71" x14ac:dyDescent="0.2">
      <c r="O288" t="str">
        <f>IFERROR(INDEX(_courses_lookup!$C:$C,MATCH(K288&amp;L288,_courses_lookup!$E:$E,0)),"")</f>
        <v/>
      </c>
      <c r="P288" t="str">
        <f>IFERROR(INDEX(_courses_lookup!$D:$D,MATCH(K288&amp;L288,_courses_lookup!$E:$E,0)),"")</f>
        <v/>
      </c>
      <c r="AG288" t="str">
        <f t="shared" si="44"/>
        <v/>
      </c>
      <c r="AI288" t="str">
        <f t="shared" si="45"/>
        <v/>
      </c>
      <c r="AL288" t="str">
        <f t="shared" si="46"/>
        <v/>
      </c>
      <c r="AN288" t="str">
        <f t="shared" si="47"/>
        <v/>
      </c>
      <c r="AQ288" t="str">
        <f t="shared" si="48"/>
        <v/>
      </c>
      <c r="AR288" t="str">
        <f t="shared" si="49"/>
        <v/>
      </c>
      <c r="AS288" t="str">
        <f t="shared" si="50"/>
        <v/>
      </c>
      <c r="AT288" t="str">
        <f t="shared" si="51"/>
        <v/>
      </c>
      <c r="BG288" t="str">
        <f t="shared" si="52"/>
        <v/>
      </c>
      <c r="BH288" t="str">
        <f t="shared" si="53"/>
        <v/>
      </c>
      <c r="BL288" t="str">
        <f>IFERROR(INDEX(_names_lookup!$C:$C,MATCH(BK288,_names_lookup!$A:$A,0)),"")</f>
        <v/>
      </c>
      <c r="BM288" t="str">
        <f>IFERROR(INDEX(_names_lookup!$B:$B,MATCH(BK288,_names_lookup!$A:$A,0)),"")</f>
        <v/>
      </c>
      <c r="BS288" t="str">
        <f t="shared" si="54"/>
        <v/>
      </c>
    </row>
    <row r="289" spans="15:71" x14ac:dyDescent="0.2">
      <c r="O289" t="str">
        <f>IFERROR(INDEX(_courses_lookup!$C:$C,MATCH(K289&amp;L289,_courses_lookup!$E:$E,0)),"")</f>
        <v/>
      </c>
      <c r="P289" t="str">
        <f>IFERROR(INDEX(_courses_lookup!$D:$D,MATCH(K289&amp;L289,_courses_lookup!$E:$E,0)),"")</f>
        <v/>
      </c>
      <c r="AG289" t="str">
        <f t="shared" si="44"/>
        <v/>
      </c>
      <c r="AI289" t="str">
        <f t="shared" si="45"/>
        <v/>
      </c>
      <c r="AL289" t="str">
        <f t="shared" si="46"/>
        <v/>
      </c>
      <c r="AN289" t="str">
        <f t="shared" si="47"/>
        <v/>
      </c>
      <c r="AQ289" t="str">
        <f t="shared" si="48"/>
        <v/>
      </c>
      <c r="AR289" t="str">
        <f t="shared" si="49"/>
        <v/>
      </c>
      <c r="AS289" t="str">
        <f t="shared" si="50"/>
        <v/>
      </c>
      <c r="AT289" t="str">
        <f t="shared" si="51"/>
        <v/>
      </c>
      <c r="BG289" t="str">
        <f t="shared" si="52"/>
        <v/>
      </c>
      <c r="BH289" t="str">
        <f t="shared" si="53"/>
        <v/>
      </c>
      <c r="BL289" t="str">
        <f>IFERROR(INDEX(_names_lookup!$C:$C,MATCH(BK289,_names_lookup!$A:$A,0)),"")</f>
        <v/>
      </c>
      <c r="BM289" t="str">
        <f>IFERROR(INDEX(_names_lookup!$B:$B,MATCH(BK289,_names_lookup!$A:$A,0)),"")</f>
        <v/>
      </c>
      <c r="BS289" t="str">
        <f t="shared" si="54"/>
        <v/>
      </c>
    </row>
    <row r="290" spans="15:71" x14ac:dyDescent="0.2">
      <c r="O290" t="str">
        <f>IFERROR(INDEX(_courses_lookup!$C:$C,MATCH(K290&amp;L290,_courses_lookup!$E:$E,0)),"")</f>
        <v/>
      </c>
      <c r="P290" t="str">
        <f>IFERROR(INDEX(_courses_lookup!$D:$D,MATCH(K290&amp;L290,_courses_lookup!$E:$E,0)),"")</f>
        <v/>
      </c>
      <c r="AG290" t="str">
        <f t="shared" si="44"/>
        <v/>
      </c>
      <c r="AI290" t="str">
        <f t="shared" si="45"/>
        <v/>
      </c>
      <c r="AL290" t="str">
        <f t="shared" si="46"/>
        <v/>
      </c>
      <c r="AN290" t="str">
        <f t="shared" si="47"/>
        <v/>
      </c>
      <c r="AQ290" t="str">
        <f t="shared" si="48"/>
        <v/>
      </c>
      <c r="AR290" t="str">
        <f t="shared" si="49"/>
        <v/>
      </c>
      <c r="AS290" t="str">
        <f t="shared" si="50"/>
        <v/>
      </c>
      <c r="AT290" t="str">
        <f t="shared" si="51"/>
        <v/>
      </c>
      <c r="BG290" t="str">
        <f t="shared" si="52"/>
        <v/>
      </c>
      <c r="BH290" t="str">
        <f t="shared" si="53"/>
        <v/>
      </c>
      <c r="BL290" t="str">
        <f>IFERROR(INDEX(_names_lookup!$C:$C,MATCH(BK290,_names_lookup!$A:$A,0)),"")</f>
        <v/>
      </c>
      <c r="BM290" t="str">
        <f>IFERROR(INDEX(_names_lookup!$B:$B,MATCH(BK290,_names_lookup!$A:$A,0)),"")</f>
        <v/>
      </c>
      <c r="BS290" t="str">
        <f t="shared" si="54"/>
        <v/>
      </c>
    </row>
    <row r="291" spans="15:71" x14ac:dyDescent="0.2">
      <c r="O291" t="str">
        <f>IFERROR(INDEX(_courses_lookup!$C:$C,MATCH(K291&amp;L291,_courses_lookup!$E:$E,0)),"")</f>
        <v/>
      </c>
      <c r="P291" t="str">
        <f>IFERROR(INDEX(_courses_lookup!$D:$D,MATCH(K291&amp;L291,_courses_lookup!$E:$E,0)),"")</f>
        <v/>
      </c>
      <c r="AG291" t="str">
        <f t="shared" si="44"/>
        <v/>
      </c>
      <c r="AI291" t="str">
        <f t="shared" si="45"/>
        <v/>
      </c>
      <c r="AL291" t="str">
        <f t="shared" si="46"/>
        <v/>
      </c>
      <c r="AN291" t="str">
        <f t="shared" si="47"/>
        <v/>
      </c>
      <c r="AQ291" t="str">
        <f t="shared" si="48"/>
        <v/>
      </c>
      <c r="AR291" t="str">
        <f t="shared" si="49"/>
        <v/>
      </c>
      <c r="AS291" t="str">
        <f t="shared" si="50"/>
        <v/>
      </c>
      <c r="AT291" t="str">
        <f t="shared" si="51"/>
        <v/>
      </c>
      <c r="BG291" t="str">
        <f t="shared" si="52"/>
        <v/>
      </c>
      <c r="BH291" t="str">
        <f t="shared" si="53"/>
        <v/>
      </c>
      <c r="BL291" t="str">
        <f>IFERROR(INDEX(_names_lookup!$C:$C,MATCH(BK291,_names_lookup!$A:$A,0)),"")</f>
        <v/>
      </c>
      <c r="BM291" t="str">
        <f>IFERROR(INDEX(_names_lookup!$B:$B,MATCH(BK291,_names_lookup!$A:$A,0)),"")</f>
        <v/>
      </c>
      <c r="BS291" t="str">
        <f t="shared" si="54"/>
        <v/>
      </c>
    </row>
    <row r="292" spans="15:71" x14ac:dyDescent="0.2">
      <c r="O292" t="str">
        <f>IFERROR(INDEX(_courses_lookup!$C:$C,MATCH(K292&amp;L292,_courses_lookup!$E:$E,0)),"")</f>
        <v/>
      </c>
      <c r="P292" t="str">
        <f>IFERROR(INDEX(_courses_lookup!$D:$D,MATCH(K292&amp;L292,_courses_lookup!$E:$E,0)),"")</f>
        <v/>
      </c>
      <c r="AG292" t="str">
        <f t="shared" si="44"/>
        <v/>
      </c>
      <c r="AI292" t="str">
        <f t="shared" si="45"/>
        <v/>
      </c>
      <c r="AL292" t="str">
        <f t="shared" si="46"/>
        <v/>
      </c>
      <c r="AN292" t="str">
        <f t="shared" si="47"/>
        <v/>
      </c>
      <c r="AQ292" t="str">
        <f t="shared" si="48"/>
        <v/>
      </c>
      <c r="AR292" t="str">
        <f t="shared" si="49"/>
        <v/>
      </c>
      <c r="AS292" t="str">
        <f t="shared" si="50"/>
        <v/>
      </c>
      <c r="AT292" t="str">
        <f t="shared" si="51"/>
        <v/>
      </c>
      <c r="BG292" t="str">
        <f t="shared" si="52"/>
        <v/>
      </c>
      <c r="BH292" t="str">
        <f t="shared" si="53"/>
        <v/>
      </c>
      <c r="BL292" t="str">
        <f>IFERROR(INDEX(_names_lookup!$C:$C,MATCH(BK292,_names_lookup!$A:$A,0)),"")</f>
        <v/>
      </c>
      <c r="BM292" t="str">
        <f>IFERROR(INDEX(_names_lookup!$B:$B,MATCH(BK292,_names_lookup!$A:$A,0)),"")</f>
        <v/>
      </c>
      <c r="BS292" t="str">
        <f t="shared" si="54"/>
        <v/>
      </c>
    </row>
    <row r="293" spans="15:71" x14ac:dyDescent="0.2">
      <c r="O293" t="str">
        <f>IFERROR(INDEX(_courses_lookup!$C:$C,MATCH(K293&amp;L293,_courses_lookup!$E:$E,0)),"")</f>
        <v/>
      </c>
      <c r="P293" t="str">
        <f>IFERROR(INDEX(_courses_lookup!$D:$D,MATCH(K293&amp;L293,_courses_lookup!$E:$E,0)),"")</f>
        <v/>
      </c>
      <c r="AG293" t="str">
        <f t="shared" si="44"/>
        <v/>
      </c>
      <c r="AI293" t="str">
        <f t="shared" si="45"/>
        <v/>
      </c>
      <c r="AL293" t="str">
        <f t="shared" si="46"/>
        <v/>
      </c>
      <c r="AN293" t="str">
        <f t="shared" si="47"/>
        <v/>
      </c>
      <c r="AQ293" t="str">
        <f t="shared" si="48"/>
        <v/>
      </c>
      <c r="AR293" t="str">
        <f t="shared" si="49"/>
        <v/>
      </c>
      <c r="AS293" t="str">
        <f t="shared" si="50"/>
        <v/>
      </c>
      <c r="AT293" t="str">
        <f t="shared" si="51"/>
        <v/>
      </c>
      <c r="BG293" t="str">
        <f t="shared" si="52"/>
        <v/>
      </c>
      <c r="BH293" t="str">
        <f t="shared" si="53"/>
        <v/>
      </c>
      <c r="BL293" t="str">
        <f>IFERROR(INDEX(_names_lookup!$C:$C,MATCH(BK293,_names_lookup!$A:$A,0)),"")</f>
        <v/>
      </c>
      <c r="BM293" t="str">
        <f>IFERROR(INDEX(_names_lookup!$B:$B,MATCH(BK293,_names_lookup!$A:$A,0)),"")</f>
        <v/>
      </c>
      <c r="BS293" t="str">
        <f t="shared" si="54"/>
        <v/>
      </c>
    </row>
    <row r="294" spans="15:71" x14ac:dyDescent="0.2">
      <c r="O294" t="str">
        <f>IFERROR(INDEX(_courses_lookup!$C:$C,MATCH(K294&amp;L294,_courses_lookup!$E:$E,0)),"")</f>
        <v/>
      </c>
      <c r="P294" t="str">
        <f>IFERROR(INDEX(_courses_lookup!$D:$D,MATCH(K294&amp;L294,_courses_lookup!$E:$E,0)),"")</f>
        <v/>
      </c>
      <c r="AG294" t="str">
        <f t="shared" si="44"/>
        <v/>
      </c>
      <c r="AI294" t="str">
        <f t="shared" si="45"/>
        <v/>
      </c>
      <c r="AL294" t="str">
        <f t="shared" si="46"/>
        <v/>
      </c>
      <c r="AN294" t="str">
        <f t="shared" si="47"/>
        <v/>
      </c>
      <c r="AQ294" t="str">
        <f t="shared" si="48"/>
        <v/>
      </c>
      <c r="AR294" t="str">
        <f t="shared" si="49"/>
        <v/>
      </c>
      <c r="AS294" t="str">
        <f t="shared" si="50"/>
        <v/>
      </c>
      <c r="AT294" t="str">
        <f t="shared" si="51"/>
        <v/>
      </c>
      <c r="BG294" t="str">
        <f t="shared" si="52"/>
        <v/>
      </c>
      <c r="BH294" t="str">
        <f t="shared" si="53"/>
        <v/>
      </c>
      <c r="BL294" t="str">
        <f>IFERROR(INDEX(_names_lookup!$C:$C,MATCH(BK294,_names_lookup!$A:$A,0)),"")</f>
        <v/>
      </c>
      <c r="BM294" t="str">
        <f>IFERROR(INDEX(_names_lookup!$B:$B,MATCH(BK294,_names_lookup!$A:$A,0)),"")</f>
        <v/>
      </c>
      <c r="BS294" t="str">
        <f t="shared" si="54"/>
        <v/>
      </c>
    </row>
    <row r="295" spans="15:71" x14ac:dyDescent="0.2">
      <c r="O295" t="str">
        <f>IFERROR(INDEX(_courses_lookup!$C:$C,MATCH(K295&amp;L295,_courses_lookup!$E:$E,0)),"")</f>
        <v/>
      </c>
      <c r="P295" t="str">
        <f>IFERROR(INDEX(_courses_lookup!$D:$D,MATCH(K295&amp;L295,_courses_lookup!$E:$E,0)),"")</f>
        <v/>
      </c>
      <c r="AG295" t="str">
        <f t="shared" si="44"/>
        <v/>
      </c>
      <c r="AI295" t="str">
        <f t="shared" si="45"/>
        <v/>
      </c>
      <c r="AL295" t="str">
        <f t="shared" si="46"/>
        <v/>
      </c>
      <c r="AN295" t="str">
        <f t="shared" si="47"/>
        <v/>
      </c>
      <c r="AQ295" t="str">
        <f t="shared" si="48"/>
        <v/>
      </c>
      <c r="AR295" t="str">
        <f t="shared" si="49"/>
        <v/>
      </c>
      <c r="AS295" t="str">
        <f t="shared" si="50"/>
        <v/>
      </c>
      <c r="AT295" t="str">
        <f t="shared" si="51"/>
        <v/>
      </c>
      <c r="BG295" t="str">
        <f t="shared" si="52"/>
        <v/>
      </c>
      <c r="BH295" t="str">
        <f t="shared" si="53"/>
        <v/>
      </c>
      <c r="BL295" t="str">
        <f>IFERROR(INDEX(_names_lookup!$C:$C,MATCH(BK295,_names_lookup!$A:$A,0)),"")</f>
        <v/>
      </c>
      <c r="BM295" t="str">
        <f>IFERROR(INDEX(_names_lookup!$B:$B,MATCH(BK295,_names_lookup!$A:$A,0)),"")</f>
        <v/>
      </c>
      <c r="BS295" t="str">
        <f t="shared" si="54"/>
        <v/>
      </c>
    </row>
    <row r="296" spans="15:71" x14ac:dyDescent="0.2">
      <c r="O296" t="str">
        <f>IFERROR(INDEX(_courses_lookup!$C:$C,MATCH(K296&amp;L296,_courses_lookup!$E:$E,0)),"")</f>
        <v/>
      </c>
      <c r="P296" t="str">
        <f>IFERROR(INDEX(_courses_lookup!$D:$D,MATCH(K296&amp;L296,_courses_lookup!$E:$E,0)),"")</f>
        <v/>
      </c>
      <c r="AG296" t="str">
        <f t="shared" si="44"/>
        <v/>
      </c>
      <c r="AI296" t="str">
        <f t="shared" si="45"/>
        <v/>
      </c>
      <c r="AL296" t="str">
        <f t="shared" si="46"/>
        <v/>
      </c>
      <c r="AN296" t="str">
        <f t="shared" si="47"/>
        <v/>
      </c>
      <c r="AQ296" t="str">
        <f t="shared" si="48"/>
        <v/>
      </c>
      <c r="AR296" t="str">
        <f t="shared" si="49"/>
        <v/>
      </c>
      <c r="AS296" t="str">
        <f t="shared" si="50"/>
        <v/>
      </c>
      <c r="AT296" t="str">
        <f t="shared" si="51"/>
        <v/>
      </c>
      <c r="BG296" t="str">
        <f t="shared" si="52"/>
        <v/>
      </c>
      <c r="BH296" t="str">
        <f t="shared" si="53"/>
        <v/>
      </c>
      <c r="BL296" t="str">
        <f>IFERROR(INDEX(_names_lookup!$C:$C,MATCH(BK296,_names_lookup!$A:$A,0)),"")</f>
        <v/>
      </c>
      <c r="BM296" t="str">
        <f>IFERROR(INDEX(_names_lookup!$B:$B,MATCH(BK296,_names_lookup!$A:$A,0)),"")</f>
        <v/>
      </c>
      <c r="BS296" t="str">
        <f t="shared" si="54"/>
        <v/>
      </c>
    </row>
    <row r="297" spans="15:71" x14ac:dyDescent="0.2">
      <c r="O297" t="str">
        <f>IFERROR(INDEX(_courses_lookup!$C:$C,MATCH(K297&amp;L297,_courses_lookup!$E:$E,0)),"")</f>
        <v/>
      </c>
      <c r="P297" t="str">
        <f>IFERROR(INDEX(_courses_lookup!$D:$D,MATCH(K297&amp;L297,_courses_lookup!$E:$E,0)),"")</f>
        <v/>
      </c>
      <c r="AG297" t="str">
        <f t="shared" si="44"/>
        <v/>
      </c>
      <c r="AI297" t="str">
        <f t="shared" si="45"/>
        <v/>
      </c>
      <c r="AL297" t="str">
        <f t="shared" si="46"/>
        <v/>
      </c>
      <c r="AN297" t="str">
        <f t="shared" si="47"/>
        <v/>
      </c>
      <c r="AQ297" t="str">
        <f t="shared" si="48"/>
        <v/>
      </c>
      <c r="AR297" t="str">
        <f t="shared" si="49"/>
        <v/>
      </c>
      <c r="AS297" t="str">
        <f t="shared" si="50"/>
        <v/>
      </c>
      <c r="AT297" t="str">
        <f t="shared" si="51"/>
        <v/>
      </c>
      <c r="BG297" t="str">
        <f t="shared" si="52"/>
        <v/>
      </c>
      <c r="BH297" t="str">
        <f t="shared" si="53"/>
        <v/>
      </c>
      <c r="BL297" t="str">
        <f>IFERROR(INDEX(_names_lookup!$C:$C,MATCH(BK297,_names_lookup!$A:$A,0)),"")</f>
        <v/>
      </c>
      <c r="BM297" t="str">
        <f>IFERROR(INDEX(_names_lookup!$B:$B,MATCH(BK297,_names_lookup!$A:$A,0)),"")</f>
        <v/>
      </c>
      <c r="BS297" t="str">
        <f t="shared" si="54"/>
        <v/>
      </c>
    </row>
    <row r="298" spans="15:71" x14ac:dyDescent="0.2">
      <c r="O298" t="str">
        <f>IFERROR(INDEX(_courses_lookup!$C:$C,MATCH(K298&amp;L298,_courses_lookup!$E:$E,0)),"")</f>
        <v/>
      </c>
      <c r="P298" t="str">
        <f>IFERROR(INDEX(_courses_lookup!$D:$D,MATCH(K298&amp;L298,_courses_lookup!$E:$E,0)),"")</f>
        <v/>
      </c>
      <c r="AG298" t="str">
        <f t="shared" si="44"/>
        <v/>
      </c>
      <c r="AI298" t="str">
        <f t="shared" si="45"/>
        <v/>
      </c>
      <c r="AL298" t="str">
        <f t="shared" si="46"/>
        <v/>
      </c>
      <c r="AN298" t="str">
        <f t="shared" si="47"/>
        <v/>
      </c>
      <c r="AQ298" t="str">
        <f t="shared" si="48"/>
        <v/>
      </c>
      <c r="AR298" t="str">
        <f t="shared" si="49"/>
        <v/>
      </c>
      <c r="AS298" t="str">
        <f t="shared" si="50"/>
        <v/>
      </c>
      <c r="AT298" t="str">
        <f t="shared" si="51"/>
        <v/>
      </c>
      <c r="BG298" t="str">
        <f t="shared" si="52"/>
        <v/>
      </c>
      <c r="BH298" t="str">
        <f t="shared" si="53"/>
        <v/>
      </c>
      <c r="BL298" t="str">
        <f>IFERROR(INDEX(_names_lookup!$C:$C,MATCH(BK298,_names_lookup!$A:$A,0)),"")</f>
        <v/>
      </c>
      <c r="BM298" t="str">
        <f>IFERROR(INDEX(_names_lookup!$B:$B,MATCH(BK298,_names_lookup!$A:$A,0)),"")</f>
        <v/>
      </c>
      <c r="BS298" t="str">
        <f t="shared" si="54"/>
        <v/>
      </c>
    </row>
    <row r="299" spans="15:71" x14ac:dyDescent="0.2">
      <c r="O299" t="str">
        <f>IFERROR(INDEX(_courses_lookup!$C:$C,MATCH(K299&amp;L299,_courses_lookup!$E:$E,0)),"")</f>
        <v/>
      </c>
      <c r="P299" t="str">
        <f>IFERROR(INDEX(_courses_lookup!$D:$D,MATCH(K299&amp;L299,_courses_lookup!$E:$E,0)),"")</f>
        <v/>
      </c>
      <c r="AG299" t="str">
        <f t="shared" si="44"/>
        <v/>
      </c>
      <c r="AI299" t="str">
        <f t="shared" si="45"/>
        <v/>
      </c>
      <c r="AL299" t="str">
        <f t="shared" si="46"/>
        <v/>
      </c>
      <c r="AN299" t="str">
        <f t="shared" si="47"/>
        <v/>
      </c>
      <c r="AQ299" t="str">
        <f t="shared" si="48"/>
        <v/>
      </c>
      <c r="AR299" t="str">
        <f t="shared" si="49"/>
        <v/>
      </c>
      <c r="AS299" t="str">
        <f t="shared" si="50"/>
        <v/>
      </c>
      <c r="AT299" t="str">
        <f t="shared" si="51"/>
        <v/>
      </c>
      <c r="BG299" t="str">
        <f t="shared" si="52"/>
        <v/>
      </c>
      <c r="BH299" t="str">
        <f t="shared" si="53"/>
        <v/>
      </c>
      <c r="BL299" t="str">
        <f>IFERROR(INDEX(_names_lookup!$C:$C,MATCH(BK299,_names_lookup!$A:$A,0)),"")</f>
        <v/>
      </c>
      <c r="BM299" t="str">
        <f>IFERROR(INDEX(_names_lookup!$B:$B,MATCH(BK299,_names_lookup!$A:$A,0)),"")</f>
        <v/>
      </c>
      <c r="BS299" t="str">
        <f t="shared" si="54"/>
        <v/>
      </c>
    </row>
    <row r="300" spans="15:71" x14ac:dyDescent="0.2">
      <c r="O300" t="str">
        <f>IFERROR(INDEX(_courses_lookup!$C:$C,MATCH(K300&amp;L300,_courses_lookup!$E:$E,0)),"")</f>
        <v/>
      </c>
      <c r="P300" t="str">
        <f>IFERROR(INDEX(_courses_lookup!$D:$D,MATCH(K300&amp;L300,_courses_lookup!$E:$E,0)),"")</f>
        <v/>
      </c>
      <c r="AG300" t="str">
        <f t="shared" si="44"/>
        <v/>
      </c>
      <c r="AI300" t="str">
        <f t="shared" si="45"/>
        <v/>
      </c>
      <c r="AL300" t="str">
        <f t="shared" si="46"/>
        <v/>
      </c>
      <c r="AN300" t="str">
        <f t="shared" si="47"/>
        <v/>
      </c>
      <c r="AQ300" t="str">
        <f t="shared" si="48"/>
        <v/>
      </c>
      <c r="AR300" t="str">
        <f t="shared" si="49"/>
        <v/>
      </c>
      <c r="AS300" t="str">
        <f t="shared" si="50"/>
        <v/>
      </c>
      <c r="AT300" t="str">
        <f t="shared" si="51"/>
        <v/>
      </c>
      <c r="BG300" t="str">
        <f t="shared" si="52"/>
        <v/>
      </c>
      <c r="BH300" t="str">
        <f t="shared" si="53"/>
        <v/>
      </c>
      <c r="BL300" t="str">
        <f>IFERROR(INDEX(_names_lookup!$C:$C,MATCH(BK300,_names_lookup!$A:$A,0)),"")</f>
        <v/>
      </c>
      <c r="BM300" t="str">
        <f>IFERROR(INDEX(_names_lookup!$B:$B,MATCH(BK300,_names_lookup!$A:$A,0)),"")</f>
        <v/>
      </c>
      <c r="BS300" t="str">
        <f t="shared" si="54"/>
        <v/>
      </c>
    </row>
  </sheetData>
  <autoFilter ref="A1:DQ7" xr:uid="{00000000-0009-0000-0000-000007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700-000000000000}">
          <x14:formula1>
            <xm:f>DropDownMenu!$A$2:$A$3</xm:f>
          </x14:formula1>
          <xm:sqref>A2:A5000</xm:sqref>
        </x14:dataValidation>
        <x14:dataValidation type="list" allowBlank="1" xr:uid="{00000000-0002-0000-0700-000001000000}">
          <x14:formula1>
            <xm:f>DropDownMenu!$B$2:$B$3</xm:f>
          </x14:formula1>
          <xm:sqref>B2:B5000</xm:sqref>
        </x14:dataValidation>
        <x14:dataValidation type="list" allowBlank="1" xr:uid="{00000000-0002-0000-0700-000002000000}">
          <x14:formula1>
            <xm:f>DropDownMenu!$C$2:$C$3</xm:f>
          </x14:formula1>
          <xm:sqref>C2:C5000</xm:sqref>
        </x14:dataValidation>
        <x14:dataValidation type="list" allowBlank="1" xr:uid="{00000000-0002-0000-0700-000003000000}">
          <x14:formula1>
            <xm:f>DropDownMenu!$D$2:$D$3</xm:f>
          </x14:formula1>
          <xm:sqref>D2:D5000</xm:sqref>
        </x14:dataValidation>
        <x14:dataValidation type="list" allowBlank="1" xr:uid="{00000000-0002-0000-0700-000004000000}">
          <x14:formula1>
            <xm:f>DropDownMenu!$E$2:$E$3</xm:f>
          </x14:formula1>
          <xm:sqref>E2:E5000</xm:sqref>
        </x14:dataValidation>
        <x14:dataValidation type="list" allowBlank="1" xr:uid="{00000000-0002-0000-0700-000005000000}">
          <x14:formula1>
            <xm:f>DropDownMenu!$F$2:$F$3</xm:f>
          </x14:formula1>
          <xm:sqref>F2:F5000</xm:sqref>
        </x14:dataValidation>
        <x14:dataValidation type="list" allowBlank="1" xr:uid="{00000000-0002-0000-0700-000006000000}">
          <x14:formula1>
            <xm:f>DropDownMenu!$G$2:$G$19</xm:f>
          </x14:formula1>
          <xm:sqref>G2:G5000</xm:sqref>
        </x14:dataValidation>
        <x14:dataValidation type="list" allowBlank="1" xr:uid="{00000000-0002-0000-0700-000007000000}">
          <x14:formula1>
            <xm:f>DropDownMenu!$H$2:$H$564</xm:f>
          </x14:formula1>
          <xm:sqref>H2:H5000</xm:sqref>
        </x14:dataValidation>
        <x14:dataValidation type="list" allowBlank="1" xr:uid="{00000000-0002-0000-0700-000008000000}">
          <x14:formula1>
            <xm:f>DropDownMenu!$I$2:$I$352</xm:f>
          </x14:formula1>
          <xm:sqref>I2:I5000</xm:sqref>
        </x14:dataValidation>
        <x14:dataValidation type="list" allowBlank="1" xr:uid="{00000000-0002-0000-0700-000009000000}">
          <x14:formula1>
            <xm:f>DropDownMenu!$J$2:$J$10</xm:f>
          </x14:formula1>
          <xm:sqref>K2:K5000</xm:sqref>
        </x14:dataValidation>
        <x14:dataValidation type="list" allowBlank="1" xr:uid="{00000000-0002-0000-0700-00000A000000}">
          <x14:formula1>
            <xm:f>DropDownMenu!$K$2:$K$101</xm:f>
          </x14:formula1>
          <xm:sqref>L2:L5000</xm:sqref>
        </x14:dataValidation>
        <x14:dataValidation type="list" allowBlank="1" xr:uid="{00000000-0002-0000-0700-00000B000000}">
          <x14:formula1>
            <xm:f>DropDownMenu!$L$2:$L$42</xm:f>
          </x14:formula1>
          <xm:sqref>M2:M5000</xm:sqref>
        </x14:dataValidation>
        <x14:dataValidation type="list" allowBlank="1" xr:uid="{00000000-0002-0000-0700-00000C000000}">
          <x14:formula1>
            <xm:f>DropDownMenu!$M$2:$M$15</xm:f>
          </x14:formula1>
          <xm:sqref>N2:N5000</xm:sqref>
        </x14:dataValidation>
        <x14:dataValidation type="list" allowBlank="1" xr:uid="{00000000-0002-0000-0700-00000D000000}">
          <x14:formula1>
            <xm:f>DropDownMenu!$N$2:$N$140</xm:f>
          </x14:formula1>
          <xm:sqref>O2:O5000</xm:sqref>
        </x14:dataValidation>
        <x14:dataValidation type="list" allowBlank="1" xr:uid="{00000000-0002-0000-0700-00000E000000}">
          <x14:formula1>
            <xm:f>DropDownMenu!$O$2:$O$65</xm:f>
          </x14:formula1>
          <xm:sqref>P2:P5000</xm:sqref>
        </x14:dataValidation>
        <x14:dataValidation type="list" allowBlank="1" xr:uid="{00000000-0002-0000-0700-00000F000000}">
          <x14:formula1>
            <xm:f>DropDownMenu!$P$2:$P$45</xm:f>
          </x14:formula1>
          <xm:sqref>R2:R5000</xm:sqref>
        </x14:dataValidation>
        <x14:dataValidation type="list" allowBlank="1" xr:uid="{00000000-0002-0000-0700-000010000000}">
          <x14:formula1>
            <xm:f>DropDownMenu!$Q$2:$Q$6</xm:f>
          </x14:formula1>
          <xm:sqref>S2:S5000</xm:sqref>
        </x14:dataValidation>
        <x14:dataValidation type="list" allowBlank="1" xr:uid="{00000000-0002-0000-0700-000011000000}">
          <x14:formula1>
            <xm:f>DropDownMenu!$R$2:$R$7</xm:f>
          </x14:formula1>
          <xm:sqref>T2:T5000</xm:sqref>
        </x14:dataValidation>
        <x14:dataValidation type="list" allowBlank="1" xr:uid="{00000000-0002-0000-0700-000012000000}">
          <x14:formula1>
            <xm:f>DropDownMenu!$S$2:$S$12</xm:f>
          </x14:formula1>
          <xm:sqref>U2:U5000</xm:sqref>
        </x14:dataValidation>
        <x14:dataValidation type="list" allowBlank="1" xr:uid="{00000000-0002-0000-0700-000013000000}">
          <x14:formula1>
            <xm:f>DropDownMenu!$T$2:$T$13</xm:f>
          </x14:formula1>
          <xm:sqref>V2:V5000</xm:sqref>
        </x14:dataValidation>
        <x14:dataValidation type="list" allowBlank="1" xr:uid="{00000000-0002-0000-0700-000014000000}">
          <x14:formula1>
            <xm:f>DropDownMenu!$U$2:$U$4</xm:f>
          </x14:formula1>
          <xm:sqref>W2:W5000</xm:sqref>
        </x14:dataValidation>
        <x14:dataValidation type="list" allowBlank="1" xr:uid="{00000000-0002-0000-0700-000015000000}">
          <x14:formula1>
            <xm:f>DropDownMenu!$V$2:$V$6</xm:f>
          </x14:formula1>
          <xm:sqref>X2:X5000</xm:sqref>
        </x14:dataValidation>
        <x14:dataValidation type="list" allowBlank="1" xr:uid="{00000000-0002-0000-0700-000016000000}">
          <x14:formula1>
            <xm:f>DropDownMenu!$W$2:$W$26</xm:f>
          </x14:formula1>
          <xm:sqref>Y2:Y5000</xm:sqref>
        </x14:dataValidation>
        <x14:dataValidation type="list" allowBlank="1" xr:uid="{00000000-0002-0000-0700-000017000000}">
          <x14:formula1>
            <xm:f>DropDownMenu!$X$2:$X$7</xm:f>
          </x14:formula1>
          <xm:sqref>Z2:Z5000</xm:sqref>
        </x14:dataValidation>
        <x14:dataValidation type="list" allowBlank="1" xr:uid="{00000000-0002-0000-0700-000018000000}">
          <x14:formula1>
            <xm:f>DropDownMenu!$Y$2:$Y$15</xm:f>
          </x14:formula1>
          <xm:sqref>AB2:AB5000</xm:sqref>
        </x14:dataValidation>
        <x14:dataValidation type="list" allowBlank="1" xr:uid="{00000000-0002-0000-0700-000019000000}">
          <x14:formula1>
            <xm:f>DropDownMenu!$Z$2:$Z$6</xm:f>
          </x14:formula1>
          <xm:sqref>AC2:AC5000</xm:sqref>
        </x14:dataValidation>
        <x14:dataValidation type="list" allowBlank="1" xr:uid="{00000000-0002-0000-0700-00001A000000}">
          <x14:formula1>
            <xm:f>DropDownMenu!$AA$2:$AA$7</xm:f>
          </x14:formula1>
          <xm:sqref>AD2:AD5000</xm:sqref>
        </x14:dataValidation>
        <x14:dataValidation type="list" allowBlank="1" xr:uid="{00000000-0002-0000-0700-00001B000000}">
          <x14:formula1>
            <xm:f>DropDownMenu!$AB$2:$AB$2</xm:f>
          </x14:formula1>
          <xm:sqref>AG2:AG5000</xm:sqref>
        </x14:dataValidation>
        <x14:dataValidation type="list" allowBlank="1" xr:uid="{00000000-0002-0000-0700-00001C000000}">
          <x14:formula1>
            <xm:f>DropDownMenu!$AC$2:$AC$2</xm:f>
          </x14:formula1>
          <xm:sqref>AH2:AH5000</xm:sqref>
        </x14:dataValidation>
        <x14:dataValidation type="list" allowBlank="1" xr:uid="{00000000-0002-0000-0700-00001D000000}">
          <x14:formula1>
            <xm:f>DropDownMenu!$AD$2:$AD$2</xm:f>
          </x14:formula1>
          <xm:sqref>AI2:AI5000</xm:sqref>
        </x14:dataValidation>
        <x14:dataValidation type="list" allowBlank="1" xr:uid="{00000000-0002-0000-0700-00001E000000}">
          <x14:formula1>
            <xm:f>DropDownMenu!$AE$2:$AE$49</xm:f>
          </x14:formula1>
          <xm:sqref>AJ2:AJ5000</xm:sqref>
        </x14:dataValidation>
        <x14:dataValidation type="list" allowBlank="1" xr:uid="{00000000-0002-0000-0700-00001F000000}">
          <x14:formula1>
            <xm:f>DropDownMenu!$AF$2:$AF$52</xm:f>
          </x14:formula1>
          <xm:sqref>AK2:AK5000</xm:sqref>
        </x14:dataValidation>
        <x14:dataValidation type="list" allowBlank="1" xr:uid="{00000000-0002-0000-0700-000020000000}">
          <x14:formula1>
            <xm:f>DropDownMenu!$AG$2:$AG$2</xm:f>
          </x14:formula1>
          <xm:sqref>AL2:AL5000</xm:sqref>
        </x14:dataValidation>
        <x14:dataValidation type="list" allowBlank="1" xr:uid="{00000000-0002-0000-0700-000021000000}">
          <x14:formula1>
            <xm:f>DropDownMenu!$AH$2:$AH$2</xm:f>
          </x14:formula1>
          <xm:sqref>AM2:AM5000</xm:sqref>
        </x14:dataValidation>
        <x14:dataValidation type="list" allowBlank="1" xr:uid="{00000000-0002-0000-0700-000022000000}">
          <x14:formula1>
            <xm:f>DropDownMenu!$AI$2:$AI$2</xm:f>
          </x14:formula1>
          <xm:sqref>AN2:AN5000</xm:sqref>
        </x14:dataValidation>
        <x14:dataValidation type="list" allowBlank="1" xr:uid="{00000000-0002-0000-0700-000023000000}">
          <x14:formula1>
            <xm:f>DropDownMenu!$AJ$2:$AJ$2</xm:f>
          </x14:formula1>
          <xm:sqref>AQ2:AQ5000</xm:sqref>
        </x14:dataValidation>
        <x14:dataValidation type="list" allowBlank="1" xr:uid="{00000000-0002-0000-0700-000024000000}">
          <x14:formula1>
            <xm:f>DropDownMenu!$AK$2:$AK$2</xm:f>
          </x14:formula1>
          <xm:sqref>AR2:AR5000</xm:sqref>
        </x14:dataValidation>
        <x14:dataValidation type="list" allowBlank="1" xr:uid="{00000000-0002-0000-0700-000025000000}">
          <x14:formula1>
            <xm:f>DropDownMenu!$AL$2:$AL$2</xm:f>
          </x14:formula1>
          <xm:sqref>AS2:AS5000</xm:sqref>
        </x14:dataValidation>
        <x14:dataValidation type="list" allowBlank="1" xr:uid="{00000000-0002-0000-0700-000026000000}">
          <x14:formula1>
            <xm:f>DropDownMenu!$AM$2:$AM$2</xm:f>
          </x14:formula1>
          <xm:sqref>AT2:AT5000</xm:sqref>
        </x14:dataValidation>
        <x14:dataValidation type="list" allowBlank="1" xr:uid="{00000000-0002-0000-0700-000027000000}">
          <x14:formula1>
            <xm:f>DropDownMenu!$AN$2:$AN$2</xm:f>
          </x14:formula1>
          <xm:sqref>AU2:AU5000</xm:sqref>
        </x14:dataValidation>
        <x14:dataValidation type="list" allowBlank="1" xr:uid="{00000000-0002-0000-0700-000028000000}">
          <x14:formula1>
            <xm:f>DropDownMenu!$AO$2:$AO$9</xm:f>
          </x14:formula1>
          <xm:sqref>AV2:AV5000</xm:sqref>
        </x14:dataValidation>
        <x14:dataValidation type="list" allowBlank="1" xr:uid="{00000000-0002-0000-0700-000029000000}">
          <x14:formula1>
            <xm:f>DropDownMenu!$AP$2:$AP$6</xm:f>
          </x14:formula1>
          <xm:sqref>AW2:AW5000</xm:sqref>
        </x14:dataValidation>
        <x14:dataValidation type="list" allowBlank="1" xr:uid="{00000000-0002-0000-0700-00002A000000}">
          <x14:formula1>
            <xm:f>DropDownMenu!$AQ$2:$AQ$11</xm:f>
          </x14:formula1>
          <xm:sqref>AX2:AX5000</xm:sqref>
        </x14:dataValidation>
        <x14:dataValidation type="list" allowBlank="1" xr:uid="{00000000-0002-0000-0700-00002B000000}">
          <x14:formula1>
            <xm:f>DropDownMenu!$AR$2:$AR$2</xm:f>
          </x14:formula1>
          <xm:sqref>AY2:AY5000</xm:sqref>
        </x14:dataValidation>
        <x14:dataValidation type="list" allowBlank="1" xr:uid="{00000000-0002-0000-0700-00002C000000}">
          <x14:formula1>
            <xm:f>DropDownMenu!$AS$2:$AS$2</xm:f>
          </x14:formula1>
          <xm:sqref>AZ2:AZ5000</xm:sqref>
        </x14:dataValidation>
        <x14:dataValidation type="list" allowBlank="1" xr:uid="{00000000-0002-0000-0700-00002D000000}">
          <x14:formula1>
            <xm:f>DropDownMenu!$AT$2:$AT$2</xm:f>
          </x14:formula1>
          <xm:sqref>BA2:BA5000</xm:sqref>
        </x14:dataValidation>
        <x14:dataValidation type="list" allowBlank="1" xr:uid="{00000000-0002-0000-0700-00002E000000}">
          <x14:formula1>
            <xm:f>DropDownMenu!$AU$2:$AU$2</xm:f>
          </x14:formula1>
          <xm:sqref>BB2:BB5000</xm:sqref>
        </x14:dataValidation>
        <x14:dataValidation type="list" allowBlank="1" xr:uid="{00000000-0002-0000-0700-00002F000000}">
          <x14:formula1>
            <xm:f>DropDownMenu!$AV$2:$AV$2</xm:f>
          </x14:formula1>
          <xm:sqref>BC2:BC5000</xm:sqref>
        </x14:dataValidation>
        <x14:dataValidation type="list" allowBlank="1" xr:uid="{00000000-0002-0000-0700-000030000000}">
          <x14:formula1>
            <xm:f>DropDownMenu!$AW$2:$AW$5</xm:f>
          </x14:formula1>
          <xm:sqref>BF2:BF5000</xm:sqref>
        </x14:dataValidation>
        <x14:dataValidation type="list" allowBlank="1" xr:uid="{00000000-0002-0000-0700-000031000000}">
          <x14:formula1>
            <xm:f>DropDownMenu!$AX$2:$AX$37</xm:f>
          </x14:formula1>
          <xm:sqref>BG2:BG5000</xm:sqref>
        </x14:dataValidation>
        <x14:dataValidation type="list" allowBlank="1" xr:uid="{00000000-0002-0000-0700-000032000000}">
          <x14:formula1>
            <xm:f>DropDownMenu!$AY$2:$AY$4</xm:f>
          </x14:formula1>
          <xm:sqref>BH2:BH5000</xm:sqref>
        </x14:dataValidation>
        <x14:dataValidation type="list" allowBlank="1" xr:uid="{00000000-0002-0000-0700-000033000000}">
          <x14:formula1>
            <xm:f>DropDownMenu!$AZ$2:$AZ$13</xm:f>
          </x14:formula1>
          <xm:sqref>BI2:BI5000</xm:sqref>
        </x14:dataValidation>
        <x14:dataValidation type="list" allowBlank="1" xr:uid="{00000000-0002-0000-0700-000034000000}">
          <x14:formula1>
            <xm:f>DropDownMenu!$BA$2:$BA$34</xm:f>
          </x14:formula1>
          <xm:sqref>BJ2:BJ5000</xm:sqref>
        </x14:dataValidation>
        <x14:dataValidation type="list" allowBlank="1" xr:uid="{00000000-0002-0000-0700-000035000000}">
          <x14:formula1>
            <xm:f>DropDownMenu!$BB$2:$BB$258</xm:f>
          </x14:formula1>
          <xm:sqref>BK2:BK5000</xm:sqref>
        </x14:dataValidation>
        <x14:dataValidation type="list" allowBlank="1" xr:uid="{00000000-0002-0000-0700-000036000000}">
          <x14:formula1>
            <xm:f>DropDownMenu!$BC$2:$BC$252</xm:f>
          </x14:formula1>
          <xm:sqref>BL2:BL5000</xm:sqref>
        </x14:dataValidation>
        <x14:dataValidation type="list" allowBlank="1" xr:uid="{00000000-0002-0000-0700-000037000000}">
          <x14:formula1>
            <xm:f>DropDownMenu!$BD$2:$BD$258</xm:f>
          </x14:formula1>
          <xm:sqref>BM2:BM5000</xm:sqref>
        </x14:dataValidation>
        <x14:dataValidation type="list" allowBlank="1" xr:uid="{00000000-0002-0000-0700-000038000000}">
          <x14:formula1>
            <xm:f>DropDownMenu!$BE$2:$BE$3</xm:f>
          </x14:formula1>
          <xm:sqref>BN2:BN5000</xm:sqref>
        </x14:dataValidation>
        <x14:dataValidation type="list" allowBlank="1" xr:uid="{00000000-0002-0000-0700-000039000000}">
          <x14:formula1>
            <xm:f>DropDownMenu!$BF$2:$BF$4</xm:f>
          </x14:formula1>
          <xm:sqref>BO2:BO5000</xm:sqref>
        </x14:dataValidation>
        <x14:dataValidation type="list" allowBlank="1" xr:uid="{00000000-0002-0000-0700-00003A000000}">
          <x14:formula1>
            <xm:f>DropDownMenu!$BG$2:$BG$6</xm:f>
          </x14:formula1>
          <xm:sqref>BP2:BP5000</xm:sqref>
        </x14:dataValidation>
        <x14:dataValidation type="list" allowBlank="1" xr:uid="{00000000-0002-0000-0700-00003B000000}">
          <x14:formula1>
            <xm:f>DropDownMenu!$BH$2:$BH$4</xm:f>
          </x14:formula1>
          <xm:sqref>BQ2:BQ5000</xm:sqref>
        </x14:dataValidation>
        <x14:dataValidation type="list" allowBlank="1" xr:uid="{00000000-0002-0000-0700-00003C000000}">
          <x14:formula1>
            <xm:f>DropDownMenu!$BI$2:$BI$3</xm:f>
          </x14:formula1>
          <xm:sqref>BR2:BR5000</xm:sqref>
        </x14:dataValidation>
        <x14:dataValidation type="list" allowBlank="1" xr:uid="{00000000-0002-0000-0700-00003D000000}">
          <x14:formula1>
            <xm:f>DropDownMenu!$BJ$2:$BJ$3</xm:f>
          </x14:formula1>
          <xm:sqref>BT2:BT5000</xm:sqref>
        </x14:dataValidation>
        <x14:dataValidation type="list" allowBlank="1" xr:uid="{00000000-0002-0000-0700-00003E000000}">
          <x14:formula1>
            <xm:f>DropDownMenu!$BK$2:$BK$11</xm:f>
          </x14:formula1>
          <xm:sqref>BU2:BU5000</xm:sqref>
        </x14:dataValidation>
        <x14:dataValidation type="list" allowBlank="1" xr:uid="{00000000-0002-0000-0700-00003F000000}">
          <x14:formula1>
            <xm:f>DropDownMenu!$BL$2:$BL$9</xm:f>
          </x14:formula1>
          <xm:sqref>BV2:BV5000</xm:sqref>
        </x14:dataValidation>
        <x14:dataValidation type="list" allowBlank="1" xr:uid="{00000000-0002-0000-0700-000040000000}">
          <x14:formula1>
            <xm:f>DropDownMenu!$BM$2:$BM$2</xm:f>
          </x14:formula1>
          <xm:sqref>BW2:BW5000</xm:sqref>
        </x14:dataValidation>
        <x14:dataValidation type="list" allowBlank="1" xr:uid="{00000000-0002-0000-0700-000041000000}">
          <x14:formula1>
            <xm:f>DropDownMenu!$BN$2:$BN$2</xm:f>
          </x14:formula1>
          <xm:sqref>BX2:BX5000</xm:sqref>
        </x14:dataValidation>
        <x14:dataValidation type="list" allowBlank="1" xr:uid="{00000000-0002-0000-0700-000042000000}">
          <x14:formula1>
            <xm:f>DropDownMenu!$BO$2:$BO$2</xm:f>
          </x14:formula1>
          <xm:sqref>BY2:BY5000</xm:sqref>
        </x14:dataValidation>
        <x14:dataValidation type="list" allowBlank="1" xr:uid="{00000000-0002-0000-0700-000043000000}">
          <x14:formula1>
            <xm:f>DropDownMenu!$BP$2:$BP$9</xm:f>
          </x14:formula1>
          <xm:sqref>BZ2:BZ5000</xm:sqref>
        </x14:dataValidation>
        <x14:dataValidation type="list" allowBlank="1" xr:uid="{00000000-0002-0000-0700-000044000000}">
          <x14:formula1>
            <xm:f>DropDownMenu!$BQ$2:$BQ$11</xm:f>
          </x14:formula1>
          <xm:sqref>CA2:CA5000</xm:sqref>
        </x14:dataValidation>
        <x14:dataValidation type="list" allowBlank="1" xr:uid="{00000000-0002-0000-0700-000045000000}">
          <x14:formula1>
            <xm:f>DropDownMenu!$BR$2:$BR$3</xm:f>
          </x14:formula1>
          <xm:sqref>CB2:CB5000</xm:sqref>
        </x14:dataValidation>
        <x14:dataValidation type="list" allowBlank="1" xr:uid="{00000000-0002-0000-0700-000046000000}">
          <x14:formula1>
            <xm:f>DropDownMenu!$BS$2:$BS$4</xm:f>
          </x14:formula1>
          <xm:sqref>CC2:CC5000</xm:sqref>
        </x14:dataValidation>
        <x14:dataValidation type="list" allowBlank="1" xr:uid="{00000000-0002-0000-0700-000047000000}">
          <x14:formula1>
            <xm:f>DropDownMenu!$BT$2:$BT$2</xm:f>
          </x14:formula1>
          <xm:sqref>CE2:CE5000</xm:sqref>
        </x14:dataValidation>
        <x14:dataValidation type="list" allowBlank="1" xr:uid="{00000000-0002-0000-0700-000048000000}">
          <x14:formula1>
            <xm:f>DropDownMenu!$BU$2:$BU$81</xm:f>
          </x14:formula1>
          <xm:sqref>CF2:CF5000</xm:sqref>
        </x14:dataValidation>
        <x14:dataValidation type="list" allowBlank="1" xr:uid="{00000000-0002-0000-0700-000049000000}">
          <x14:formula1>
            <xm:f>DropDownMenu!$BV$2:$BV$3</xm:f>
          </x14:formula1>
          <xm:sqref>CG2:CG5000</xm:sqref>
        </x14:dataValidation>
        <x14:dataValidation type="list" allowBlank="1" xr:uid="{00000000-0002-0000-0700-00004A000000}">
          <x14:formula1>
            <xm:f>DropDownMenu!$BW$2:$BW$7</xm:f>
          </x14:formula1>
          <xm:sqref>CH2:CH5000</xm:sqref>
        </x14:dataValidation>
        <x14:dataValidation type="list" allowBlank="1" xr:uid="{00000000-0002-0000-0700-00004B000000}">
          <x14:formula1>
            <xm:f>DropDownMenu!$BX$2:$BX$9</xm:f>
          </x14:formula1>
          <xm:sqref>CI2:CI5000</xm:sqref>
        </x14:dataValidation>
        <x14:dataValidation type="list" allowBlank="1" xr:uid="{00000000-0002-0000-0700-00004C000000}">
          <x14:formula1>
            <xm:f>DropDownMenu!$BY$2:$BY$9</xm:f>
          </x14:formula1>
          <xm:sqref>CJ2:CJ5000</xm:sqref>
        </x14:dataValidation>
        <x14:dataValidation type="list" allowBlank="1" xr:uid="{00000000-0002-0000-0700-00004D000000}">
          <x14:formula1>
            <xm:f>DropDownMenu!$BZ$2:$BZ$3</xm:f>
          </x14:formula1>
          <xm:sqref>CK2:CK5000</xm:sqref>
        </x14:dataValidation>
        <x14:dataValidation type="list" allowBlank="1" xr:uid="{00000000-0002-0000-0700-00004E000000}">
          <x14:formula1>
            <xm:f>DropDownMenu!$CA$2:$CA$2</xm:f>
          </x14:formula1>
          <xm:sqref>CL2:CL5000</xm:sqref>
        </x14:dataValidation>
        <x14:dataValidation type="list" allowBlank="1" xr:uid="{00000000-0002-0000-0700-00004F000000}">
          <x14:formula1>
            <xm:f>DropDownMenu!$CB$2:$CB$29</xm:f>
          </x14:formula1>
          <xm:sqref>CN2:CN5000</xm:sqref>
        </x14:dataValidation>
        <x14:dataValidation type="list" allowBlank="1" xr:uid="{00000000-0002-0000-0700-000050000000}">
          <x14:formula1>
            <xm:f>DropDownMenu!$CC$2:$CC$2</xm:f>
          </x14:formula1>
          <xm:sqref>CQ2:CQ5000</xm:sqref>
        </x14:dataValidation>
        <x14:dataValidation type="list" allowBlank="1" xr:uid="{00000000-0002-0000-0700-000051000000}">
          <x14:formula1>
            <xm:f>DropDownMenu!$CD$2:$CD$33</xm:f>
          </x14:formula1>
          <xm:sqref>CR2:CR5000</xm:sqref>
        </x14:dataValidation>
        <x14:dataValidation type="list" allowBlank="1" xr:uid="{00000000-0002-0000-0700-000052000000}">
          <x14:formula1>
            <xm:f>DropDownMenu!$CE$2:$CE$2</xm:f>
          </x14:formula1>
          <xm:sqref>CS2:CS5000</xm:sqref>
        </x14:dataValidation>
        <x14:dataValidation type="list" allowBlank="1" xr:uid="{00000000-0002-0000-0700-000053000000}">
          <x14:formula1>
            <xm:f>DropDownMenu!$CF$2:$CF$2</xm:f>
          </x14:formula1>
          <xm:sqref>CT2:CT5000</xm:sqref>
        </x14:dataValidation>
        <x14:dataValidation type="list" allowBlank="1" xr:uid="{00000000-0002-0000-0700-000054000000}">
          <x14:formula1>
            <xm:f>DropDownMenu!$CG$2:$CG$2</xm:f>
          </x14:formula1>
          <xm:sqref>CU2:CU5000</xm:sqref>
        </x14:dataValidation>
        <x14:dataValidation type="list" allowBlank="1" xr:uid="{00000000-0002-0000-0700-000055000000}">
          <x14:formula1>
            <xm:f>DropDownMenu!$CH$2:$CH$2</xm:f>
          </x14:formula1>
          <xm:sqref>CV2:CV5000</xm:sqref>
        </x14:dataValidation>
        <x14:dataValidation type="list" allowBlank="1" xr:uid="{00000000-0002-0000-0700-000056000000}">
          <x14:formula1>
            <xm:f>DropDownMenu!$CI$2:$CI$8</xm:f>
          </x14:formula1>
          <xm:sqref>CW2:CW5000</xm:sqref>
        </x14:dataValidation>
        <x14:dataValidation type="list" allowBlank="1" xr:uid="{00000000-0002-0000-0700-000057000000}">
          <x14:formula1>
            <xm:f>DropDownMenu!$CJ$2:$CJ$8</xm:f>
          </x14:formula1>
          <xm:sqref>CX2:CX5000</xm:sqref>
        </x14:dataValidation>
        <x14:dataValidation type="list" allowBlank="1" xr:uid="{00000000-0002-0000-0700-000058000000}">
          <x14:formula1>
            <xm:f>DropDownMenu!$CK$2:$CK$8</xm:f>
          </x14:formula1>
          <xm:sqref>CY2:CY5000</xm:sqref>
        </x14:dataValidation>
        <x14:dataValidation type="list" allowBlank="1" xr:uid="{00000000-0002-0000-0700-000059000000}">
          <x14:formula1>
            <xm:f>DropDownMenu!$CL$2:$CL$6</xm:f>
          </x14:formula1>
          <xm:sqref>CZ2:CZ5000</xm:sqref>
        </x14:dataValidation>
        <x14:dataValidation type="list" allowBlank="1" xr:uid="{00000000-0002-0000-0700-00005A000000}">
          <x14:formula1>
            <xm:f>DropDownMenu!$CM$2:$CM$2</xm:f>
          </x14:formula1>
          <xm:sqref>DA2:DA5000</xm:sqref>
        </x14:dataValidation>
        <x14:dataValidation type="list" allowBlank="1" xr:uid="{00000000-0002-0000-0700-00005B000000}">
          <x14:formula1>
            <xm:f>DropDownMenu!$CN$2:$CN$2</xm:f>
          </x14:formula1>
          <xm:sqref>DB2:DB5000</xm:sqref>
        </x14:dataValidation>
        <x14:dataValidation type="list" allowBlank="1" xr:uid="{00000000-0002-0000-0700-00005C000000}">
          <x14:formula1>
            <xm:f>DropDownMenu!$CO$2:$CO$2</xm:f>
          </x14:formula1>
          <xm:sqref>DC2:DC5000</xm:sqref>
        </x14:dataValidation>
        <x14:dataValidation type="list" allowBlank="1" xr:uid="{00000000-0002-0000-0700-00005D000000}">
          <x14:formula1>
            <xm:f>DropDownMenu!$CP$2:$CP$2</xm:f>
          </x14:formula1>
          <xm:sqref>DD2:DD5000</xm:sqref>
        </x14:dataValidation>
        <x14:dataValidation type="list" allowBlank="1" xr:uid="{00000000-0002-0000-0700-00005E000000}">
          <x14:formula1>
            <xm:f>DropDownMenu!$CQ$2:$CQ$2</xm:f>
          </x14:formula1>
          <xm:sqref>DE2:DE5000</xm:sqref>
        </x14:dataValidation>
        <x14:dataValidation type="list" allowBlank="1" xr:uid="{00000000-0002-0000-0700-00005F000000}">
          <x14:formula1>
            <xm:f>DropDownMenu!$CR$2:$CR$2</xm:f>
          </x14:formula1>
          <xm:sqref>DK2:DK5000</xm:sqref>
        </x14:dataValidation>
        <x14:dataValidation type="list" allowBlank="1" xr:uid="{00000000-0002-0000-0700-000060000000}">
          <x14:formula1>
            <xm:f>DropDownMenu!$CS$2:$CS$2</xm:f>
          </x14:formula1>
          <xm:sqref>DL2:DL5000</xm:sqref>
        </x14:dataValidation>
        <x14:dataValidation type="list" allowBlank="1" xr:uid="{00000000-0002-0000-0700-000061000000}">
          <x14:formula1>
            <xm:f>DropDownMenu!$CT$2:$CT$2</xm:f>
          </x14:formula1>
          <xm:sqref>DN2:DN5000</xm:sqref>
        </x14:dataValidation>
        <x14:dataValidation type="list" allowBlank="1" xr:uid="{00000000-0002-0000-0700-000062000000}">
          <x14:formula1>
            <xm:f>DropDownMenu!$CU$2:$CU$5</xm:f>
          </x14:formula1>
          <xm:sqref>DO2:DO5000</xm:sqref>
        </x14:dataValidation>
        <x14:dataValidation type="list" allowBlank="1" xr:uid="{00000000-0002-0000-0700-000063000000}">
          <x14:formula1>
            <xm:f>DropDownMenu!$CV$2:$CV$3</xm:f>
          </x14:formula1>
          <xm:sqref>DQ2:DQ5000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applyStyles="1" summaryRight="0"/>
  </sheetPr>
  <dimension ref="A1:DQ300"/>
  <sheetViews>
    <sheetView workbookViewId="0">
      <pane xSplit="7" ySplit="1" topLeftCell="H2" activePane="bottomRight" state="frozen"/>
      <selection pane="topRight"/>
      <selection pane="bottomLeft"/>
      <selection pane="bottomRight" activeCell="O19" sqref="O19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3" width="4" customWidth="1"/>
    <col min="14" max="14" width="12" customWidth="1"/>
    <col min="15" max="16" width="25" customWidth="1"/>
    <col min="17" max="17" width="4" customWidth="1"/>
    <col min="18" max="20" width="4" customWidth="1" outlineLevel="1"/>
    <col min="21" max="21" width="15" customWidth="1" outlineLevel="1"/>
    <col min="22" max="22" width="10" customWidth="1" outlineLevel="1"/>
    <col min="23" max="28" width="4" customWidth="1" outlineLevel="1"/>
    <col min="29" max="29" width="5" customWidth="1"/>
    <col min="30" max="32" width="10" customWidth="1" outlineLevel="1"/>
    <col min="33" max="35" width="4" customWidth="1" outlineLevel="1"/>
    <col min="36" max="37" width="10" customWidth="1" outlineLevel="1"/>
    <col min="38" max="40" width="4" customWidth="1" outlineLevel="1"/>
    <col min="41" max="42" width="10" customWidth="1" outlineLevel="1"/>
    <col min="43" max="47" width="4" customWidth="1" outlineLevel="1"/>
    <col min="48" max="48" width="10" customWidth="1" outlineLevel="1"/>
    <col min="49" max="49" width="5" customWidth="1" outlineLevel="1"/>
    <col min="50" max="50" width="5" customWidth="1"/>
    <col min="51" max="59" width="4" customWidth="1" outlineLevel="1"/>
    <col min="60" max="60" width="7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4" customWidth="1" outlineLevel="1"/>
    <col min="68" max="68" width="12" customWidth="1" outlineLevel="1"/>
    <col min="69" max="69" width="20" customWidth="1" outlineLevel="1"/>
    <col min="70" max="70" width="5" customWidth="1" outlineLevel="1"/>
    <col min="71" max="72" width="4" customWidth="1" outlineLevel="1"/>
    <col min="73" max="73" width="25" customWidth="1" outlineLevel="1"/>
    <col min="74" max="74" width="5" customWidth="1" outlineLevel="1"/>
    <col min="75" max="75" width="20" customWidth="1"/>
    <col min="76" max="77" width="20" customWidth="1" outlineLevel="1"/>
    <col min="78" max="83" width="4" customWidth="1" outlineLevel="1"/>
    <col min="84" max="84" width="4" customWidth="1"/>
    <col min="85" max="121" width="4" customWidth="1" outlineLevel="1"/>
  </cols>
  <sheetData>
    <row r="1" spans="1:121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1" t="s">
        <v>35</v>
      </c>
      <c r="AK1" s="1" t="s">
        <v>36</v>
      </c>
      <c r="AL1" s="3" t="s">
        <v>37</v>
      </c>
      <c r="AM1" s="3" t="s">
        <v>38</v>
      </c>
      <c r="AN1" s="3" t="s">
        <v>39</v>
      </c>
      <c r="AO1" s="1" t="s">
        <v>40</v>
      </c>
      <c r="AP1" s="1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 t="s">
        <v>65</v>
      </c>
      <c r="BO1" s="1" t="s">
        <v>66</v>
      </c>
      <c r="BP1" s="1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</row>
    <row r="2" spans="1:121" ht="16" customHeight="1" x14ac:dyDescent="0.2">
      <c r="A2" s="16"/>
      <c r="B2" s="16"/>
      <c r="C2" s="16"/>
      <c r="D2" s="16"/>
      <c r="E2" s="16"/>
      <c r="F2" s="16"/>
      <c r="G2" s="16"/>
      <c r="H2" s="12"/>
      <c r="I2" s="12"/>
      <c r="J2" s="12"/>
      <c r="K2" s="12"/>
      <c r="L2" s="12"/>
      <c r="M2" s="12"/>
      <c r="N2" s="12"/>
      <c r="O2" s="12" t="str">
        <f>IFERROR(INDEX(_courses_lookup!$C:$C,MATCH(K2&amp;L2,_courses_lookup!$E:$E,0)),"")</f>
        <v/>
      </c>
      <c r="P2" s="12" t="str">
        <f>IFERROR(INDEX(_courses_lookup!$D:$D,MATCH(K2&amp;L2,_courses_lookup!$E:$E,0)),"")</f>
        <v/>
      </c>
      <c r="Q2" s="12"/>
      <c r="R2" s="12"/>
      <c r="S2" s="12"/>
      <c r="T2" s="12"/>
      <c r="U2" s="12"/>
      <c r="V2" s="12"/>
      <c r="W2" s="12"/>
      <c r="X2" s="12"/>
      <c r="Y2" s="8"/>
      <c r="Z2" s="12"/>
      <c r="AA2" s="12"/>
      <c r="AB2" s="12"/>
      <c r="AC2" s="12"/>
      <c r="AD2" s="12"/>
      <c r="AE2" s="12"/>
      <c r="AF2" s="12"/>
      <c r="AG2" s="12" t="str">
        <f t="shared" ref="AG2:AG65" si="0">IF(AND(AE2&lt;&gt;"",AF2&lt;&gt;""),ROUNDUP((AF2-AE2)/7,0),"")</f>
        <v/>
      </c>
      <c r="AH2" s="12"/>
      <c r="AI2" s="12" t="str">
        <f t="shared" ref="AI2:AI65" si="1">IFERROR(IF(AG2*AH2=0,"",AG2*AH2),"")</f>
        <v/>
      </c>
      <c r="AJ2" s="12"/>
      <c r="AK2" s="12"/>
      <c r="AL2" s="12" t="str">
        <f t="shared" ref="AL2:AL65" si="2">IF(AND(AJ2&lt;&gt;"",AK2&lt;&gt;""),ROUNDUP((AK2-AJ2)/7,0),"")</f>
        <v/>
      </c>
      <c r="AM2" s="12"/>
      <c r="AN2" s="12" t="str">
        <f t="shared" ref="AN2:AN65" si="3">IFERROR(IF(AL2*AM2=0,"",AL2*AM2),"")</f>
        <v/>
      </c>
      <c r="AO2" s="12"/>
      <c r="AP2" s="12"/>
      <c r="AQ2" s="12" t="str">
        <f t="shared" ref="AQ2:AQ65" si="4">IF(AND(AO2&lt;&gt;"",AP2&lt;&gt;""),ROUNDUP((AP2-AO2)/7,0),"")</f>
        <v/>
      </c>
      <c r="AR2" s="12" t="str">
        <f t="shared" ref="AR2:AR65" si="5">IFERROR(IF((AU2-(AI2+AN2))/AQ2=0,"",ROUNDUP((AU2-(AI2+AN2))/AQ2,0)),"")</f>
        <v/>
      </c>
      <c r="AS2" s="12" t="str">
        <f t="shared" ref="AS2:AS65" si="6">IFERROR(IF((AU2-(AI2+AN2))=0,"",(AU2-(AI2+AN2))),"")</f>
        <v/>
      </c>
      <c r="AT2" s="12" t="str">
        <f t="shared" ref="AT2:AT65" si="7">IF(AND(AG2="",AQ2=""),AL2,IF(SUM(AG2,AL2,AQ2)=0,"",SUM(AG2,AL2,AQ2)))</f>
        <v/>
      </c>
      <c r="AU2" s="12"/>
      <c r="AV2" s="12"/>
      <c r="AW2" s="12"/>
      <c r="AX2" s="12"/>
      <c r="AY2" s="12"/>
      <c r="AZ2" s="8"/>
      <c r="BA2" s="12"/>
      <c r="BB2" s="12"/>
      <c r="BC2" s="12"/>
      <c r="BD2" s="12"/>
      <c r="BE2" s="12"/>
      <c r="BF2" s="12"/>
      <c r="BG2" s="12" t="str">
        <f t="shared" ref="BG2:BG65" si="8">IF(AD2="","",YEAR(AD2)+IF(MONTH(AD2)&gt;=5,1,0))</f>
        <v/>
      </c>
      <c r="BH2" s="12" t="str">
        <f t="shared" ref="BH2:BH65" si="9">IF(AD2="","",IF(AND(MONTH(AD2)=8,DAY(AD2)&gt;=15),"Fall",IF(MONTH(AD2)&gt;8,"Fall",IF(MONTH(AD2)=5,"Summer",IF(MONTH(AD2)=1,"Spring","")))))</f>
        <v/>
      </c>
      <c r="BI2" s="12"/>
      <c r="BJ2" s="12"/>
      <c r="BK2" s="8" t="str">
        <f>IF($BJ2="","",IFERROR(INDEX(InstructorMap!$B:$B, MATCH($BJ2, InstructorMap!$A:$A, 0)),""))</f>
        <v/>
      </c>
      <c r="BL2" s="8" t="str">
        <f>IFERROR(INDEX(_names_lookup!$C:$C,MATCH(BK2,_names_lookup!$A:$A,0)),"")</f>
        <v/>
      </c>
      <c r="BM2" s="12" t="str">
        <f>IFERROR(INDEX(_names_lookup!$B:$B,MATCH(BK2,_names_lookup!$A:$A,0)),"")</f>
        <v/>
      </c>
      <c r="BN2" s="12"/>
      <c r="BO2" s="12"/>
      <c r="BP2" s="12"/>
      <c r="BQ2" s="12"/>
      <c r="BR2" s="12"/>
      <c r="BS2" s="12" t="str">
        <f t="shared" ref="BS2:BS65" si="10">IFERROR(IF(BR2*AA2=0,"",BR2*AA2),"")</f>
        <v/>
      </c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</row>
    <row r="3" spans="1:121" ht="16" customHeight="1" x14ac:dyDescent="0.2">
      <c r="A3" s="16"/>
      <c r="B3" s="16"/>
      <c r="C3" s="16"/>
      <c r="D3" s="16"/>
      <c r="E3" s="16"/>
      <c r="F3" s="16"/>
      <c r="G3" s="16"/>
      <c r="H3" s="12"/>
      <c r="I3" s="12"/>
      <c r="J3" s="12"/>
      <c r="K3" s="12"/>
      <c r="L3" s="12"/>
      <c r="M3" s="12"/>
      <c r="N3" s="12"/>
      <c r="O3" s="12" t="str">
        <f>IFERROR(INDEX(_courses_lookup!$C:$C,MATCH(K3&amp;L3,_courses_lookup!$E:$E,0)),"")</f>
        <v/>
      </c>
      <c r="P3" s="12" t="str">
        <f>IFERROR(INDEX(_courses_lookup!$D:$D,MATCH(K3&amp;L3,_courses_lookup!$E:$E,0)),"")</f>
        <v/>
      </c>
      <c r="Q3" s="12"/>
      <c r="R3" s="12"/>
      <c r="S3" s="12"/>
      <c r="T3" s="12"/>
      <c r="U3" s="12"/>
      <c r="V3" s="12"/>
      <c r="W3" s="12"/>
      <c r="X3" s="12"/>
      <c r="Y3" s="8"/>
      <c r="Z3" s="12"/>
      <c r="AA3" s="12"/>
      <c r="AB3" s="12"/>
      <c r="AC3" s="12"/>
      <c r="AD3" s="12"/>
      <c r="AE3" s="12"/>
      <c r="AF3" s="12"/>
      <c r="AG3" s="12" t="str">
        <f t="shared" si="0"/>
        <v/>
      </c>
      <c r="AH3" s="12"/>
      <c r="AI3" s="12" t="str">
        <f t="shared" si="1"/>
        <v/>
      </c>
      <c r="AJ3" s="12"/>
      <c r="AK3" s="12"/>
      <c r="AL3" s="12" t="str">
        <f t="shared" si="2"/>
        <v/>
      </c>
      <c r="AM3" s="12"/>
      <c r="AN3" s="12" t="str">
        <f t="shared" si="3"/>
        <v/>
      </c>
      <c r="AO3" s="12"/>
      <c r="AP3" s="12"/>
      <c r="AQ3" s="12" t="str">
        <f t="shared" si="4"/>
        <v/>
      </c>
      <c r="AR3" s="12" t="str">
        <f t="shared" si="5"/>
        <v/>
      </c>
      <c r="AS3" s="12" t="str">
        <f t="shared" si="6"/>
        <v/>
      </c>
      <c r="AT3" s="12" t="str">
        <f t="shared" si="7"/>
        <v/>
      </c>
      <c r="AU3" s="12"/>
      <c r="AV3" s="12"/>
      <c r="AW3" s="12"/>
      <c r="AX3" s="12"/>
      <c r="AY3" s="12"/>
      <c r="AZ3" s="8"/>
      <c r="BA3" s="12"/>
      <c r="BB3" s="12"/>
      <c r="BC3" s="12"/>
      <c r="BD3" s="12"/>
      <c r="BE3" s="12"/>
      <c r="BF3" s="12"/>
      <c r="BG3" s="12" t="str">
        <f t="shared" si="8"/>
        <v/>
      </c>
      <c r="BH3" s="12" t="str">
        <f t="shared" si="9"/>
        <v/>
      </c>
      <c r="BI3" s="12"/>
      <c r="BJ3" s="12"/>
      <c r="BK3" s="8" t="str">
        <f>IF($BJ3="","",IFERROR(INDEX(InstructorMap!$B:$B, MATCH($BJ3, InstructorMap!$A:$A, 0)),""))</f>
        <v/>
      </c>
      <c r="BL3" s="8" t="str">
        <f>IFERROR(INDEX(_names_lookup!$C:$C,MATCH(BK3,_names_lookup!$A:$A,0)),"")</f>
        <v/>
      </c>
      <c r="BM3" s="12" t="str">
        <f>IFERROR(INDEX(_names_lookup!$B:$B,MATCH(BK3,_names_lookup!$A:$A,0)),"")</f>
        <v/>
      </c>
      <c r="BN3" s="12"/>
      <c r="BO3" s="12"/>
      <c r="BP3" s="12"/>
      <c r="BQ3" s="12"/>
      <c r="BR3" s="12"/>
      <c r="BS3" s="12" t="str">
        <f t="shared" si="10"/>
        <v/>
      </c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</row>
    <row r="4" spans="1:121" ht="16" customHeight="1" x14ac:dyDescent="0.2">
      <c r="A4" s="16"/>
      <c r="B4" s="16"/>
      <c r="C4" s="16"/>
      <c r="D4" s="16"/>
      <c r="E4" s="16"/>
      <c r="F4" s="16"/>
      <c r="G4" s="16"/>
      <c r="H4" s="12"/>
      <c r="I4" s="12"/>
      <c r="J4" s="12"/>
      <c r="K4" s="12"/>
      <c r="L4" s="12"/>
      <c r="M4" s="12"/>
      <c r="N4" s="12"/>
      <c r="O4" s="12" t="str">
        <f>IFERROR(INDEX(_courses_lookup!$C:$C,MATCH(K4&amp;L4,_courses_lookup!$E:$E,0)),"")</f>
        <v/>
      </c>
      <c r="P4" s="12" t="str">
        <f>IFERROR(INDEX(_courses_lookup!$D:$D,MATCH(K4&amp;L4,_courses_lookup!$E:$E,0)),"")</f>
        <v/>
      </c>
      <c r="Q4" s="12"/>
      <c r="R4" s="12"/>
      <c r="S4" s="12"/>
      <c r="T4" s="12"/>
      <c r="U4" s="12"/>
      <c r="V4" s="12"/>
      <c r="W4" s="12"/>
      <c r="X4" s="12"/>
      <c r="Y4" s="8"/>
      <c r="Z4" s="12"/>
      <c r="AA4" s="12"/>
      <c r="AB4" s="12"/>
      <c r="AC4" s="12"/>
      <c r="AD4" s="12"/>
      <c r="AE4" s="12"/>
      <c r="AF4" s="12"/>
      <c r="AG4" s="12" t="str">
        <f t="shared" si="0"/>
        <v/>
      </c>
      <c r="AH4" s="12"/>
      <c r="AI4" s="12" t="str">
        <f t="shared" si="1"/>
        <v/>
      </c>
      <c r="AJ4" s="12"/>
      <c r="AK4" s="12"/>
      <c r="AL4" s="12" t="str">
        <f t="shared" si="2"/>
        <v/>
      </c>
      <c r="AM4" s="12"/>
      <c r="AN4" s="12" t="str">
        <f t="shared" si="3"/>
        <v/>
      </c>
      <c r="AO4" s="12"/>
      <c r="AP4" s="12"/>
      <c r="AQ4" s="12" t="str">
        <f t="shared" si="4"/>
        <v/>
      </c>
      <c r="AR4" s="12" t="str">
        <f t="shared" si="5"/>
        <v/>
      </c>
      <c r="AS4" s="12" t="str">
        <f t="shared" si="6"/>
        <v/>
      </c>
      <c r="AT4" s="12" t="str">
        <f t="shared" si="7"/>
        <v/>
      </c>
      <c r="AU4" s="12"/>
      <c r="AV4" s="12"/>
      <c r="AW4" s="12"/>
      <c r="AX4" s="12"/>
      <c r="AY4" s="12"/>
      <c r="AZ4" s="8"/>
      <c r="BA4" s="12"/>
      <c r="BB4" s="12"/>
      <c r="BC4" s="12"/>
      <c r="BD4" s="12"/>
      <c r="BE4" s="12"/>
      <c r="BF4" s="12"/>
      <c r="BG4" s="12" t="str">
        <f t="shared" si="8"/>
        <v/>
      </c>
      <c r="BH4" s="12" t="str">
        <f t="shared" si="9"/>
        <v/>
      </c>
      <c r="BI4" s="12"/>
      <c r="BJ4" s="12"/>
      <c r="BK4" s="8" t="str">
        <f>IF($BJ4="","",IFERROR(INDEX(InstructorMap!$B:$B, MATCH($BJ4, InstructorMap!$A:$A, 0)),""))</f>
        <v/>
      </c>
      <c r="BL4" s="8" t="str">
        <f>IFERROR(INDEX(_names_lookup!$C:$C,MATCH(BK4,_names_lookup!$A:$A,0)),"")</f>
        <v/>
      </c>
      <c r="BM4" s="12" t="str">
        <f>IFERROR(INDEX(_names_lookup!$B:$B,MATCH(BK4,_names_lookup!$A:$A,0)),"")</f>
        <v/>
      </c>
      <c r="BN4" s="12"/>
      <c r="BO4" s="12"/>
      <c r="BP4" s="12"/>
      <c r="BQ4" s="12"/>
      <c r="BR4" s="12"/>
      <c r="BS4" s="12" t="str">
        <f t="shared" si="10"/>
        <v/>
      </c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</row>
    <row r="5" spans="1:121" ht="16" customHeight="1" x14ac:dyDescent="0.2">
      <c r="A5" s="16"/>
      <c r="B5" s="16"/>
      <c r="C5" s="16"/>
      <c r="D5" s="16"/>
      <c r="E5" s="16"/>
      <c r="F5" s="16"/>
      <c r="G5" s="16"/>
      <c r="H5" s="12"/>
      <c r="I5" s="12"/>
      <c r="J5" s="12"/>
      <c r="K5" s="12"/>
      <c r="L5" s="12"/>
      <c r="M5" s="12"/>
      <c r="N5" s="12"/>
      <c r="O5" s="12" t="str">
        <f>IFERROR(INDEX(_courses_lookup!$C:$C,MATCH(K5&amp;L5,_courses_lookup!$E:$E,0)),"")</f>
        <v/>
      </c>
      <c r="P5" s="12" t="str">
        <f>IFERROR(INDEX(_courses_lookup!$D:$D,MATCH(K5&amp;L5,_courses_lookup!$E:$E,0)),"")</f>
        <v/>
      </c>
      <c r="Q5" s="12"/>
      <c r="R5" s="12"/>
      <c r="S5" s="12"/>
      <c r="T5" s="12"/>
      <c r="U5" s="12"/>
      <c r="V5" s="12"/>
      <c r="W5" s="12"/>
      <c r="X5" s="12"/>
      <c r="Y5" s="8"/>
      <c r="Z5" s="12"/>
      <c r="AA5" s="12"/>
      <c r="AB5" s="12"/>
      <c r="AC5" s="12"/>
      <c r="AD5" s="12"/>
      <c r="AE5" s="12"/>
      <c r="AF5" s="12"/>
      <c r="AG5" s="12" t="str">
        <f t="shared" si="0"/>
        <v/>
      </c>
      <c r="AH5" s="12"/>
      <c r="AI5" s="12" t="str">
        <f t="shared" si="1"/>
        <v/>
      </c>
      <c r="AJ5" s="12"/>
      <c r="AK5" s="12"/>
      <c r="AL5" s="12" t="str">
        <f t="shared" si="2"/>
        <v/>
      </c>
      <c r="AM5" s="12"/>
      <c r="AN5" s="12" t="str">
        <f t="shared" si="3"/>
        <v/>
      </c>
      <c r="AO5" s="12"/>
      <c r="AP5" s="12"/>
      <c r="AQ5" s="12" t="str">
        <f t="shared" si="4"/>
        <v/>
      </c>
      <c r="AR5" s="12" t="str">
        <f t="shared" si="5"/>
        <v/>
      </c>
      <c r="AS5" s="12" t="str">
        <f t="shared" si="6"/>
        <v/>
      </c>
      <c r="AT5" s="12" t="str">
        <f t="shared" si="7"/>
        <v/>
      </c>
      <c r="AU5" s="12"/>
      <c r="AV5" s="12"/>
      <c r="AW5" s="12"/>
      <c r="AX5" s="12"/>
      <c r="AY5" s="12"/>
      <c r="AZ5" s="8"/>
      <c r="BA5" s="12"/>
      <c r="BB5" s="12"/>
      <c r="BC5" s="12"/>
      <c r="BD5" s="12"/>
      <c r="BE5" s="12"/>
      <c r="BF5" s="12"/>
      <c r="BG5" s="12" t="str">
        <f t="shared" si="8"/>
        <v/>
      </c>
      <c r="BH5" s="12" t="str">
        <f t="shared" si="9"/>
        <v/>
      </c>
      <c r="BI5" s="12"/>
      <c r="BJ5" s="12"/>
      <c r="BK5" s="8" t="str">
        <f>IF($BJ5="","",IFERROR(INDEX(InstructorMap!$B:$B, MATCH($BJ5, InstructorMap!$A:$A, 0)),""))</f>
        <v/>
      </c>
      <c r="BL5" s="8" t="str">
        <f>IFERROR(INDEX(_names_lookup!$C:$C,MATCH(BK5,_names_lookup!$A:$A,0)),"")</f>
        <v/>
      </c>
      <c r="BM5" s="12" t="str">
        <f>IFERROR(INDEX(_names_lookup!$B:$B,MATCH(BK5,_names_lookup!$A:$A,0)),"")</f>
        <v/>
      </c>
      <c r="BN5" s="12"/>
      <c r="BO5" s="12"/>
      <c r="BP5" s="12"/>
      <c r="BQ5" s="12"/>
      <c r="BR5" s="12"/>
      <c r="BS5" s="12" t="str">
        <f t="shared" si="10"/>
        <v/>
      </c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</row>
    <row r="6" spans="1:121" ht="16" customHeight="1" x14ac:dyDescent="0.2">
      <c r="A6" s="16"/>
      <c r="B6" s="16"/>
      <c r="C6" s="16"/>
      <c r="D6" s="16"/>
      <c r="E6" s="16"/>
      <c r="F6" s="16"/>
      <c r="G6" s="16"/>
      <c r="H6" s="12"/>
      <c r="I6" s="12"/>
      <c r="J6" s="12"/>
      <c r="K6" s="12"/>
      <c r="L6" s="12"/>
      <c r="M6" s="12"/>
      <c r="N6" s="12"/>
      <c r="O6" s="12" t="str">
        <f>IFERROR(INDEX(_courses_lookup!$C:$C,MATCH(K6&amp;L6,_courses_lookup!$E:$E,0)),"")</f>
        <v/>
      </c>
      <c r="P6" s="12" t="str">
        <f>IFERROR(INDEX(_courses_lookup!$D:$D,MATCH(K6&amp;L6,_courses_lookup!$E:$E,0)),"")</f>
        <v/>
      </c>
      <c r="Q6" s="12"/>
      <c r="R6" s="12"/>
      <c r="S6" s="12"/>
      <c r="T6" s="12"/>
      <c r="U6" s="12"/>
      <c r="V6" s="12"/>
      <c r="W6" s="12"/>
      <c r="X6" s="12"/>
      <c r="Y6" s="8"/>
      <c r="Z6" s="12"/>
      <c r="AA6" s="12"/>
      <c r="AB6" s="12"/>
      <c r="AC6" s="12"/>
      <c r="AD6" s="12"/>
      <c r="AE6" s="12"/>
      <c r="AF6" s="12"/>
      <c r="AG6" s="12" t="str">
        <f t="shared" si="0"/>
        <v/>
      </c>
      <c r="AH6" s="12"/>
      <c r="AI6" s="12" t="str">
        <f t="shared" si="1"/>
        <v/>
      </c>
      <c r="AJ6" s="12"/>
      <c r="AK6" s="12"/>
      <c r="AL6" s="12" t="str">
        <f t="shared" si="2"/>
        <v/>
      </c>
      <c r="AM6" s="12"/>
      <c r="AN6" s="12" t="str">
        <f t="shared" si="3"/>
        <v/>
      </c>
      <c r="AO6" s="12"/>
      <c r="AP6" s="12"/>
      <c r="AQ6" s="12" t="str">
        <f t="shared" si="4"/>
        <v/>
      </c>
      <c r="AR6" s="12" t="str">
        <f t="shared" si="5"/>
        <v/>
      </c>
      <c r="AS6" s="12" t="str">
        <f t="shared" si="6"/>
        <v/>
      </c>
      <c r="AT6" s="12" t="str">
        <f t="shared" si="7"/>
        <v/>
      </c>
      <c r="AU6" s="12"/>
      <c r="AV6" s="12"/>
      <c r="AW6" s="12"/>
      <c r="AX6" s="12"/>
      <c r="AY6" s="12"/>
      <c r="AZ6" s="8"/>
      <c r="BA6" s="12"/>
      <c r="BB6" s="12"/>
      <c r="BC6" s="12"/>
      <c r="BD6" s="12"/>
      <c r="BE6" s="12"/>
      <c r="BF6" s="12"/>
      <c r="BG6" s="12" t="str">
        <f t="shared" si="8"/>
        <v/>
      </c>
      <c r="BH6" s="12" t="str">
        <f t="shared" si="9"/>
        <v/>
      </c>
      <c r="BI6" s="12"/>
      <c r="BJ6" s="12"/>
      <c r="BK6" s="8" t="str">
        <f>IF($BJ6="","",IFERROR(INDEX(InstructorMap!$B:$B, MATCH($BJ6, InstructorMap!$A:$A, 0)),""))</f>
        <v/>
      </c>
      <c r="BL6" s="8" t="str">
        <f>IFERROR(INDEX(_names_lookup!$C:$C,MATCH(BK6,_names_lookup!$A:$A,0)),"")</f>
        <v/>
      </c>
      <c r="BM6" s="12" t="str">
        <f>IFERROR(INDEX(_names_lookup!$B:$B,MATCH(BK6,_names_lookup!$A:$A,0)),"")</f>
        <v/>
      </c>
      <c r="BN6" s="12"/>
      <c r="BO6" s="12"/>
      <c r="BP6" s="12"/>
      <c r="BQ6" s="12"/>
      <c r="BR6" s="12"/>
      <c r="BS6" s="12" t="str">
        <f t="shared" si="10"/>
        <v/>
      </c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</row>
    <row r="7" spans="1:121" ht="16" customHeight="1" x14ac:dyDescent="0.2">
      <c r="A7" s="16"/>
      <c r="B7" s="16"/>
      <c r="C7" s="16"/>
      <c r="D7" s="16"/>
      <c r="E7" s="16"/>
      <c r="F7" s="16"/>
      <c r="G7" s="16"/>
      <c r="H7" s="12"/>
      <c r="I7" s="12"/>
      <c r="J7" s="12"/>
      <c r="K7" s="12"/>
      <c r="L7" s="12"/>
      <c r="M7" s="12"/>
      <c r="N7" s="12"/>
      <c r="O7" s="12" t="str">
        <f>IFERROR(INDEX(_courses_lookup!$C:$C,MATCH(K7&amp;L7,_courses_lookup!$E:$E,0)),"")</f>
        <v/>
      </c>
      <c r="P7" s="12" t="str">
        <f>IFERROR(INDEX(_courses_lookup!$D:$D,MATCH(K7&amp;L7,_courses_lookup!$E:$E,0)),"")</f>
        <v/>
      </c>
      <c r="Q7" s="12"/>
      <c r="R7" s="12"/>
      <c r="S7" s="12"/>
      <c r="T7" s="12"/>
      <c r="U7" s="12"/>
      <c r="V7" s="12"/>
      <c r="W7" s="12"/>
      <c r="X7" s="12"/>
      <c r="Y7" s="8"/>
      <c r="Z7" s="12"/>
      <c r="AA7" s="12"/>
      <c r="AB7" s="12"/>
      <c r="AC7" s="12"/>
      <c r="AD7" s="12"/>
      <c r="AE7" s="12"/>
      <c r="AF7" s="12"/>
      <c r="AG7" s="12" t="str">
        <f t="shared" si="0"/>
        <v/>
      </c>
      <c r="AH7" s="12"/>
      <c r="AI7" s="12" t="str">
        <f t="shared" si="1"/>
        <v/>
      </c>
      <c r="AJ7" s="12"/>
      <c r="AK7" s="12"/>
      <c r="AL7" s="12" t="str">
        <f t="shared" si="2"/>
        <v/>
      </c>
      <c r="AM7" s="12"/>
      <c r="AN7" s="12" t="str">
        <f t="shared" si="3"/>
        <v/>
      </c>
      <c r="AO7" s="12"/>
      <c r="AP7" s="12"/>
      <c r="AQ7" s="12" t="str">
        <f t="shared" si="4"/>
        <v/>
      </c>
      <c r="AR7" s="12" t="str">
        <f t="shared" si="5"/>
        <v/>
      </c>
      <c r="AS7" s="12" t="str">
        <f t="shared" si="6"/>
        <v/>
      </c>
      <c r="AT7" s="12" t="str">
        <f t="shared" si="7"/>
        <v/>
      </c>
      <c r="AU7" s="12"/>
      <c r="AV7" s="12"/>
      <c r="AW7" s="12"/>
      <c r="AX7" s="12"/>
      <c r="AY7" s="12"/>
      <c r="AZ7" s="8"/>
      <c r="BA7" s="12"/>
      <c r="BB7" s="12"/>
      <c r="BC7" s="12"/>
      <c r="BD7" s="12"/>
      <c r="BE7" s="12"/>
      <c r="BF7" s="12"/>
      <c r="BG7" s="12" t="str">
        <f t="shared" si="8"/>
        <v/>
      </c>
      <c r="BH7" s="12" t="str">
        <f t="shared" si="9"/>
        <v/>
      </c>
      <c r="BI7" s="12"/>
      <c r="BJ7" s="12"/>
      <c r="BK7" s="8" t="str">
        <f>IF($BJ7="","",IFERROR(INDEX(InstructorMap!$B:$B, MATCH($BJ7, InstructorMap!$A:$A, 0)),""))</f>
        <v/>
      </c>
      <c r="BL7" s="8" t="str">
        <f>IFERROR(INDEX(_names_lookup!$C:$C,MATCH(BK7,_names_lookup!$A:$A,0)),"")</f>
        <v/>
      </c>
      <c r="BM7" s="12" t="str">
        <f>IFERROR(INDEX(_names_lookup!$B:$B,MATCH(BK7,_names_lookup!$A:$A,0)),"")</f>
        <v/>
      </c>
      <c r="BN7" s="12"/>
      <c r="BO7" s="12"/>
      <c r="BP7" s="12"/>
      <c r="BQ7" s="12"/>
      <c r="BR7" s="12"/>
      <c r="BS7" s="12" t="str">
        <f t="shared" si="10"/>
        <v/>
      </c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</row>
    <row r="8" spans="1:121" ht="16" customHeight="1" x14ac:dyDescent="0.2">
      <c r="A8" s="16"/>
      <c r="B8" s="16"/>
      <c r="C8" s="16"/>
      <c r="D8" s="16"/>
      <c r="E8" s="16"/>
      <c r="F8" s="16"/>
      <c r="G8" s="16"/>
      <c r="H8" s="12"/>
      <c r="I8" s="12"/>
      <c r="J8" s="12"/>
      <c r="K8" s="12"/>
      <c r="L8" s="12"/>
      <c r="M8" s="12"/>
      <c r="N8" s="12"/>
      <c r="O8" s="12" t="str">
        <f>IFERROR(INDEX(_courses_lookup!$C:$C,MATCH(K8&amp;L8,_courses_lookup!$E:$E,0)),"")</f>
        <v/>
      </c>
      <c r="P8" s="12" t="str">
        <f>IFERROR(INDEX(_courses_lookup!$D:$D,MATCH(K8&amp;L8,_courses_lookup!$E:$E,0)),"")</f>
        <v/>
      </c>
      <c r="Q8" s="12"/>
      <c r="R8" s="12"/>
      <c r="S8" s="12"/>
      <c r="T8" s="12"/>
      <c r="U8" s="12"/>
      <c r="V8" s="12"/>
      <c r="W8" s="12"/>
      <c r="X8" s="12"/>
      <c r="Y8" s="8"/>
      <c r="Z8" s="12"/>
      <c r="AA8" s="12"/>
      <c r="AB8" s="12"/>
      <c r="AC8" s="12"/>
      <c r="AD8" s="12"/>
      <c r="AE8" s="12"/>
      <c r="AF8" s="12"/>
      <c r="AG8" s="12" t="str">
        <f t="shared" si="0"/>
        <v/>
      </c>
      <c r="AH8" s="12"/>
      <c r="AI8" s="12" t="str">
        <f t="shared" si="1"/>
        <v/>
      </c>
      <c r="AJ8" s="12"/>
      <c r="AK8" s="12"/>
      <c r="AL8" s="12" t="str">
        <f t="shared" si="2"/>
        <v/>
      </c>
      <c r="AM8" s="12"/>
      <c r="AN8" s="12" t="str">
        <f t="shared" si="3"/>
        <v/>
      </c>
      <c r="AO8" s="12"/>
      <c r="AP8" s="12"/>
      <c r="AQ8" s="12" t="str">
        <f t="shared" si="4"/>
        <v/>
      </c>
      <c r="AR8" s="12" t="str">
        <f t="shared" si="5"/>
        <v/>
      </c>
      <c r="AS8" s="12" t="str">
        <f t="shared" si="6"/>
        <v/>
      </c>
      <c r="AT8" s="12" t="str">
        <f t="shared" si="7"/>
        <v/>
      </c>
      <c r="AU8" s="12"/>
      <c r="AV8" s="12"/>
      <c r="AW8" s="12"/>
      <c r="AX8" s="12"/>
      <c r="AY8" s="12"/>
      <c r="AZ8" s="8"/>
      <c r="BA8" s="12"/>
      <c r="BB8" s="12"/>
      <c r="BC8" s="12"/>
      <c r="BD8" s="12"/>
      <c r="BE8" s="12"/>
      <c r="BF8" s="12"/>
      <c r="BG8" s="12" t="str">
        <f t="shared" si="8"/>
        <v/>
      </c>
      <c r="BH8" s="12" t="str">
        <f t="shared" si="9"/>
        <v/>
      </c>
      <c r="BI8" s="12"/>
      <c r="BJ8" s="12"/>
      <c r="BK8" s="8" t="str">
        <f>IF($BJ8="","",IFERROR(INDEX(InstructorMap!$B:$B, MATCH($BJ8, InstructorMap!$A:$A, 0)),""))</f>
        <v/>
      </c>
      <c r="BL8" s="8" t="str">
        <f>IFERROR(INDEX(_names_lookup!$C:$C,MATCH(BK8,_names_lookup!$A:$A,0)),"")</f>
        <v/>
      </c>
      <c r="BM8" s="12" t="str">
        <f>IFERROR(INDEX(_names_lookup!$B:$B,MATCH(BK8,_names_lookup!$A:$A,0)),"")</f>
        <v/>
      </c>
      <c r="BN8" s="12"/>
      <c r="BO8" s="12"/>
      <c r="BP8" s="12"/>
      <c r="BQ8" s="12"/>
      <c r="BR8" s="12"/>
      <c r="BS8" s="12" t="str">
        <f t="shared" si="10"/>
        <v/>
      </c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</row>
    <row r="9" spans="1:121" ht="16" customHeight="1" x14ac:dyDescent="0.2">
      <c r="A9" s="16"/>
      <c r="B9" s="16"/>
      <c r="C9" s="16"/>
      <c r="D9" s="16"/>
      <c r="E9" s="16"/>
      <c r="F9" s="16"/>
      <c r="G9" s="16"/>
      <c r="H9" s="12"/>
      <c r="I9" s="12"/>
      <c r="J9" s="12"/>
      <c r="K9" s="12"/>
      <c r="L9" s="12"/>
      <c r="M9" s="12"/>
      <c r="N9" s="12"/>
      <c r="O9" s="12" t="str">
        <f>IFERROR(INDEX(_courses_lookup!$C:$C,MATCH(K9&amp;L9,_courses_lookup!$E:$E,0)),"")</f>
        <v/>
      </c>
      <c r="P9" s="12" t="str">
        <f>IFERROR(INDEX(_courses_lookup!$D:$D,MATCH(K9&amp;L9,_courses_lookup!$E:$E,0)),"")</f>
        <v/>
      </c>
      <c r="Q9" s="12"/>
      <c r="R9" s="12"/>
      <c r="S9" s="12"/>
      <c r="T9" s="12"/>
      <c r="U9" s="12"/>
      <c r="V9" s="12"/>
      <c r="W9" s="12"/>
      <c r="X9" s="12"/>
      <c r="Y9" s="8"/>
      <c r="Z9" s="12"/>
      <c r="AA9" s="12"/>
      <c r="AB9" s="12"/>
      <c r="AC9" s="12"/>
      <c r="AD9" s="12"/>
      <c r="AE9" s="12"/>
      <c r="AF9" s="12"/>
      <c r="AG9" s="12" t="str">
        <f t="shared" si="0"/>
        <v/>
      </c>
      <c r="AH9" s="12"/>
      <c r="AI9" s="12" t="str">
        <f t="shared" si="1"/>
        <v/>
      </c>
      <c r="AJ9" s="12"/>
      <c r="AK9" s="12"/>
      <c r="AL9" s="12" t="str">
        <f t="shared" si="2"/>
        <v/>
      </c>
      <c r="AM9" s="12"/>
      <c r="AN9" s="12" t="str">
        <f t="shared" si="3"/>
        <v/>
      </c>
      <c r="AO9" s="12"/>
      <c r="AP9" s="12"/>
      <c r="AQ9" s="12" t="str">
        <f t="shared" si="4"/>
        <v/>
      </c>
      <c r="AR9" s="12" t="str">
        <f t="shared" si="5"/>
        <v/>
      </c>
      <c r="AS9" s="12" t="str">
        <f t="shared" si="6"/>
        <v/>
      </c>
      <c r="AT9" s="12" t="str">
        <f t="shared" si="7"/>
        <v/>
      </c>
      <c r="AU9" s="12"/>
      <c r="AV9" s="12"/>
      <c r="AW9" s="12"/>
      <c r="AX9" s="12"/>
      <c r="AY9" s="12"/>
      <c r="AZ9" s="8"/>
      <c r="BA9" s="12"/>
      <c r="BB9" s="12"/>
      <c r="BC9" s="12"/>
      <c r="BD9" s="12"/>
      <c r="BE9" s="12"/>
      <c r="BF9" s="12"/>
      <c r="BG9" s="12" t="str">
        <f t="shared" si="8"/>
        <v/>
      </c>
      <c r="BH9" s="12" t="str">
        <f t="shared" si="9"/>
        <v/>
      </c>
      <c r="BI9" s="12"/>
      <c r="BJ9" s="12"/>
      <c r="BK9" s="8" t="str">
        <f>IF($BJ9="","",IFERROR(INDEX(InstructorMap!$B:$B, MATCH($BJ9, InstructorMap!$A:$A, 0)),""))</f>
        <v/>
      </c>
      <c r="BL9" s="8" t="str">
        <f>IFERROR(INDEX(_names_lookup!$C:$C,MATCH(BK9,_names_lookup!$A:$A,0)),"")</f>
        <v/>
      </c>
      <c r="BM9" s="12" t="str">
        <f>IFERROR(INDEX(_names_lookup!$B:$B,MATCH(BK9,_names_lookup!$A:$A,0)),"")</f>
        <v/>
      </c>
      <c r="BN9" s="12"/>
      <c r="BO9" s="12"/>
      <c r="BP9" s="12"/>
      <c r="BQ9" s="12"/>
      <c r="BR9" s="12"/>
      <c r="BS9" s="12" t="str">
        <f t="shared" si="10"/>
        <v/>
      </c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</row>
    <row r="10" spans="1:121" ht="16" customHeight="1" x14ac:dyDescent="0.2">
      <c r="A10" s="16"/>
      <c r="B10" s="16"/>
      <c r="C10" s="16"/>
      <c r="D10" s="16"/>
      <c r="E10" s="16"/>
      <c r="F10" s="16"/>
      <c r="G10" s="16"/>
      <c r="H10" s="12"/>
      <c r="I10" s="12"/>
      <c r="J10" s="12"/>
      <c r="K10" s="12"/>
      <c r="L10" s="12"/>
      <c r="M10" s="12"/>
      <c r="N10" s="12"/>
      <c r="O10" s="12" t="str">
        <f>IFERROR(INDEX(_courses_lookup!$C:$C,MATCH(K10&amp;L10,_courses_lookup!$E:$E,0)),"")</f>
        <v/>
      </c>
      <c r="P10" s="12" t="str">
        <f>IFERROR(INDEX(_courses_lookup!$D:$D,MATCH(K10&amp;L10,_courses_lookup!$E:$E,0)),"")</f>
        <v/>
      </c>
      <c r="Q10" s="12"/>
      <c r="R10" s="12"/>
      <c r="S10" s="12"/>
      <c r="T10" s="12"/>
      <c r="U10" s="12"/>
      <c r="V10" s="12"/>
      <c r="W10" s="12"/>
      <c r="X10" s="12"/>
      <c r="Y10" s="8"/>
      <c r="Z10" s="12"/>
      <c r="AA10" s="12"/>
      <c r="AB10" s="12"/>
      <c r="AC10" s="12"/>
      <c r="AD10" s="12"/>
      <c r="AE10" s="12"/>
      <c r="AF10" s="12"/>
      <c r="AG10" s="12" t="str">
        <f t="shared" si="0"/>
        <v/>
      </c>
      <c r="AH10" s="12"/>
      <c r="AI10" s="12" t="str">
        <f t="shared" si="1"/>
        <v/>
      </c>
      <c r="AJ10" s="12"/>
      <c r="AK10" s="12"/>
      <c r="AL10" s="12" t="str">
        <f t="shared" si="2"/>
        <v/>
      </c>
      <c r="AM10" s="12"/>
      <c r="AN10" s="12" t="str">
        <f t="shared" si="3"/>
        <v/>
      </c>
      <c r="AO10" s="12"/>
      <c r="AP10" s="12"/>
      <c r="AQ10" s="12" t="str">
        <f t="shared" si="4"/>
        <v/>
      </c>
      <c r="AR10" s="12" t="str">
        <f t="shared" si="5"/>
        <v/>
      </c>
      <c r="AS10" s="12" t="str">
        <f t="shared" si="6"/>
        <v/>
      </c>
      <c r="AT10" s="12" t="str">
        <f t="shared" si="7"/>
        <v/>
      </c>
      <c r="AU10" s="12"/>
      <c r="AV10" s="12"/>
      <c r="AW10" s="12"/>
      <c r="AX10" s="12"/>
      <c r="AY10" s="12"/>
      <c r="AZ10" s="8"/>
      <c r="BA10" s="12"/>
      <c r="BB10" s="12"/>
      <c r="BC10" s="12"/>
      <c r="BD10" s="12"/>
      <c r="BE10" s="12"/>
      <c r="BF10" s="12"/>
      <c r="BG10" s="12" t="str">
        <f t="shared" si="8"/>
        <v/>
      </c>
      <c r="BH10" s="12" t="str">
        <f t="shared" si="9"/>
        <v/>
      </c>
      <c r="BI10" s="12"/>
      <c r="BJ10" s="12"/>
      <c r="BK10" s="8" t="str">
        <f>IF($BJ10="","",IFERROR(INDEX(InstructorMap!$B:$B, MATCH($BJ10, InstructorMap!$A:$A, 0)),""))</f>
        <v/>
      </c>
      <c r="BL10" s="8" t="str">
        <f>IFERROR(INDEX(_names_lookup!$C:$C,MATCH(BK10,_names_lookup!$A:$A,0)),"")</f>
        <v/>
      </c>
      <c r="BM10" s="12" t="str">
        <f>IFERROR(INDEX(_names_lookup!$B:$B,MATCH(BK10,_names_lookup!$A:$A,0)),"")</f>
        <v/>
      </c>
      <c r="BN10" s="12"/>
      <c r="BO10" s="12"/>
      <c r="BP10" s="12"/>
      <c r="BQ10" s="12"/>
      <c r="BR10" s="12"/>
      <c r="BS10" s="12" t="str">
        <f t="shared" si="10"/>
        <v/>
      </c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</row>
    <row r="11" spans="1:121" ht="16" customHeight="1" x14ac:dyDescent="0.2">
      <c r="A11" s="16"/>
      <c r="B11" s="16"/>
      <c r="C11" s="16"/>
      <c r="D11" s="16"/>
      <c r="E11" s="16"/>
      <c r="F11" s="16"/>
      <c r="G11" s="16"/>
      <c r="H11" s="12"/>
      <c r="I11" s="12"/>
      <c r="J11" s="12"/>
      <c r="K11" s="12"/>
      <c r="L11" s="12"/>
      <c r="M11" s="12"/>
      <c r="N11" s="12"/>
      <c r="O11" s="12" t="str">
        <f>IFERROR(INDEX(_courses_lookup!$C:$C,MATCH(K11&amp;L11,_courses_lookup!$E:$E,0)),"")</f>
        <v/>
      </c>
      <c r="P11" s="12" t="str">
        <f>IFERROR(INDEX(_courses_lookup!$D:$D,MATCH(K11&amp;L11,_courses_lookup!$E:$E,0)),"")</f>
        <v/>
      </c>
      <c r="Q11" s="12"/>
      <c r="R11" s="12"/>
      <c r="S11" s="12"/>
      <c r="T11" s="12"/>
      <c r="U11" s="12"/>
      <c r="V11" s="12"/>
      <c r="W11" s="12"/>
      <c r="X11" s="12"/>
      <c r="Y11" s="8"/>
      <c r="Z11" s="12"/>
      <c r="AA11" s="12"/>
      <c r="AB11" s="12"/>
      <c r="AC11" s="12"/>
      <c r="AD11" s="12"/>
      <c r="AE11" s="12"/>
      <c r="AF11" s="12"/>
      <c r="AG11" s="12" t="str">
        <f t="shared" si="0"/>
        <v/>
      </c>
      <c r="AH11" s="12"/>
      <c r="AI11" s="12" t="str">
        <f t="shared" si="1"/>
        <v/>
      </c>
      <c r="AJ11" s="12"/>
      <c r="AK11" s="12"/>
      <c r="AL11" s="12" t="str">
        <f t="shared" si="2"/>
        <v/>
      </c>
      <c r="AM11" s="12"/>
      <c r="AN11" s="12" t="str">
        <f t="shared" si="3"/>
        <v/>
      </c>
      <c r="AO11" s="12"/>
      <c r="AP11" s="12"/>
      <c r="AQ11" s="12" t="str">
        <f t="shared" si="4"/>
        <v/>
      </c>
      <c r="AR11" s="12" t="str">
        <f t="shared" si="5"/>
        <v/>
      </c>
      <c r="AS11" s="12" t="str">
        <f t="shared" si="6"/>
        <v/>
      </c>
      <c r="AT11" s="12" t="str">
        <f t="shared" si="7"/>
        <v/>
      </c>
      <c r="AU11" s="12"/>
      <c r="AV11" s="12"/>
      <c r="AW11" s="12"/>
      <c r="AX11" s="12"/>
      <c r="AY11" s="12"/>
      <c r="AZ11" s="8"/>
      <c r="BA11" s="12"/>
      <c r="BB11" s="12"/>
      <c r="BC11" s="12"/>
      <c r="BD11" s="12"/>
      <c r="BE11" s="12"/>
      <c r="BF11" s="12"/>
      <c r="BG11" s="12" t="str">
        <f t="shared" si="8"/>
        <v/>
      </c>
      <c r="BH11" s="12" t="str">
        <f t="shared" si="9"/>
        <v/>
      </c>
      <c r="BI11" s="12"/>
      <c r="BJ11" s="12"/>
      <c r="BK11" s="8" t="str">
        <f>IF($BJ11="","",IFERROR(INDEX(InstructorMap!$B:$B, MATCH($BJ11, InstructorMap!$A:$A, 0)),""))</f>
        <v/>
      </c>
      <c r="BL11" s="8" t="str">
        <f>IFERROR(INDEX(_names_lookup!$C:$C,MATCH(BK11,_names_lookup!$A:$A,0)),"")</f>
        <v/>
      </c>
      <c r="BM11" s="12" t="str">
        <f>IFERROR(INDEX(_names_lookup!$B:$B,MATCH(BK11,_names_lookup!$A:$A,0)),"")</f>
        <v/>
      </c>
      <c r="BN11" s="12"/>
      <c r="BO11" s="12"/>
      <c r="BP11" s="12"/>
      <c r="BQ11" s="12"/>
      <c r="BR11" s="12"/>
      <c r="BS11" s="12" t="str">
        <f t="shared" si="10"/>
        <v/>
      </c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</row>
    <row r="12" spans="1:121" ht="16" customHeight="1" x14ac:dyDescent="0.2">
      <c r="A12" s="16"/>
      <c r="B12" s="16"/>
      <c r="C12" s="16"/>
      <c r="D12" s="16"/>
      <c r="E12" s="16"/>
      <c r="F12" s="16"/>
      <c r="G12" s="16"/>
      <c r="H12" s="12"/>
      <c r="I12" s="12"/>
      <c r="J12" s="12"/>
      <c r="K12" s="12"/>
      <c r="L12" s="12"/>
      <c r="M12" s="12"/>
      <c r="N12" s="12"/>
      <c r="O12" s="12" t="str">
        <f>IFERROR(INDEX(_courses_lookup!$C:$C,MATCH(K12&amp;L12,_courses_lookup!$E:$E,0)),"")</f>
        <v/>
      </c>
      <c r="P12" s="12" t="str">
        <f>IFERROR(INDEX(_courses_lookup!$D:$D,MATCH(K12&amp;L12,_courses_lookup!$E:$E,0)),"")</f>
        <v/>
      </c>
      <c r="Q12" s="12"/>
      <c r="R12" s="12"/>
      <c r="S12" s="12"/>
      <c r="T12" s="12"/>
      <c r="U12" s="12"/>
      <c r="V12" s="12"/>
      <c r="W12" s="12"/>
      <c r="X12" s="12"/>
      <c r="Y12" s="8"/>
      <c r="Z12" s="12"/>
      <c r="AA12" s="12"/>
      <c r="AB12" s="12"/>
      <c r="AC12" s="12"/>
      <c r="AD12" s="12"/>
      <c r="AE12" s="12"/>
      <c r="AF12" s="12"/>
      <c r="AG12" s="12" t="str">
        <f t="shared" si="0"/>
        <v/>
      </c>
      <c r="AH12" s="12"/>
      <c r="AI12" s="12" t="str">
        <f t="shared" si="1"/>
        <v/>
      </c>
      <c r="AJ12" s="12"/>
      <c r="AK12" s="12"/>
      <c r="AL12" s="12" t="str">
        <f t="shared" si="2"/>
        <v/>
      </c>
      <c r="AM12" s="12"/>
      <c r="AN12" s="12" t="str">
        <f t="shared" si="3"/>
        <v/>
      </c>
      <c r="AO12" s="12"/>
      <c r="AP12" s="12"/>
      <c r="AQ12" s="12" t="str">
        <f t="shared" si="4"/>
        <v/>
      </c>
      <c r="AR12" s="12" t="str">
        <f t="shared" si="5"/>
        <v/>
      </c>
      <c r="AS12" s="12" t="str">
        <f t="shared" si="6"/>
        <v/>
      </c>
      <c r="AT12" s="12" t="str">
        <f t="shared" si="7"/>
        <v/>
      </c>
      <c r="AU12" s="12"/>
      <c r="AV12" s="12"/>
      <c r="AW12" s="12"/>
      <c r="AX12" s="12"/>
      <c r="AY12" s="12"/>
      <c r="AZ12" s="8"/>
      <c r="BA12" s="12"/>
      <c r="BB12" s="12"/>
      <c r="BC12" s="12"/>
      <c r="BD12" s="12"/>
      <c r="BE12" s="12"/>
      <c r="BF12" s="12"/>
      <c r="BG12" s="12" t="str">
        <f t="shared" si="8"/>
        <v/>
      </c>
      <c r="BH12" s="12" t="str">
        <f t="shared" si="9"/>
        <v/>
      </c>
      <c r="BI12" s="12"/>
      <c r="BJ12" s="12"/>
      <c r="BK12" s="8" t="str">
        <f>IF($BJ12="","",IFERROR(INDEX(InstructorMap!$B:$B, MATCH($BJ12, InstructorMap!$A:$A, 0)),""))</f>
        <v/>
      </c>
      <c r="BL12" s="8" t="str">
        <f>IFERROR(INDEX(_names_lookup!$C:$C,MATCH(BK12,_names_lookup!$A:$A,0)),"")</f>
        <v/>
      </c>
      <c r="BM12" s="12" t="str">
        <f>IFERROR(INDEX(_names_lookup!$B:$B,MATCH(BK12,_names_lookup!$A:$A,0)),"")</f>
        <v/>
      </c>
      <c r="BN12" s="12"/>
      <c r="BO12" s="12"/>
      <c r="BP12" s="12"/>
      <c r="BQ12" s="12"/>
      <c r="BR12" s="12"/>
      <c r="BS12" s="12" t="str">
        <f t="shared" si="10"/>
        <v/>
      </c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</row>
    <row r="13" spans="1:121" ht="16" customHeight="1" x14ac:dyDescent="0.2">
      <c r="A13" s="16"/>
      <c r="B13" s="16"/>
      <c r="C13" s="16"/>
      <c r="D13" s="16"/>
      <c r="E13" s="16"/>
      <c r="F13" s="16"/>
      <c r="G13" s="16"/>
      <c r="H13" s="12"/>
      <c r="I13" s="12"/>
      <c r="J13" s="12"/>
      <c r="K13" s="12"/>
      <c r="L13" s="12"/>
      <c r="M13" s="12"/>
      <c r="N13" s="12"/>
      <c r="O13" s="12" t="str">
        <f>IFERROR(INDEX(_courses_lookup!$C:$C,MATCH(K13&amp;L13,_courses_lookup!$E:$E,0)),"")</f>
        <v/>
      </c>
      <c r="P13" s="12" t="str">
        <f>IFERROR(INDEX(_courses_lookup!$D:$D,MATCH(K13&amp;L13,_courses_lookup!$E:$E,0)),"")</f>
        <v/>
      </c>
      <c r="Q13" s="12"/>
      <c r="R13" s="12"/>
      <c r="S13" s="12"/>
      <c r="T13" s="12"/>
      <c r="U13" s="12"/>
      <c r="V13" s="12"/>
      <c r="W13" s="12"/>
      <c r="X13" s="12"/>
      <c r="Y13" s="8"/>
      <c r="Z13" s="12"/>
      <c r="AA13" s="12"/>
      <c r="AB13" s="12"/>
      <c r="AC13" s="12"/>
      <c r="AD13" s="12"/>
      <c r="AE13" s="12"/>
      <c r="AF13" s="12"/>
      <c r="AG13" s="12" t="str">
        <f t="shared" si="0"/>
        <v/>
      </c>
      <c r="AH13" s="12"/>
      <c r="AI13" s="12" t="str">
        <f t="shared" si="1"/>
        <v/>
      </c>
      <c r="AJ13" s="12"/>
      <c r="AK13" s="12"/>
      <c r="AL13" s="12" t="str">
        <f t="shared" si="2"/>
        <v/>
      </c>
      <c r="AM13" s="12"/>
      <c r="AN13" s="12" t="str">
        <f t="shared" si="3"/>
        <v/>
      </c>
      <c r="AO13" s="12"/>
      <c r="AP13" s="12"/>
      <c r="AQ13" s="12" t="str">
        <f t="shared" si="4"/>
        <v/>
      </c>
      <c r="AR13" s="12" t="str">
        <f t="shared" si="5"/>
        <v/>
      </c>
      <c r="AS13" s="12" t="str">
        <f t="shared" si="6"/>
        <v/>
      </c>
      <c r="AT13" s="12" t="str">
        <f t="shared" si="7"/>
        <v/>
      </c>
      <c r="AU13" s="12"/>
      <c r="AV13" s="12"/>
      <c r="AW13" s="12"/>
      <c r="AX13" s="12"/>
      <c r="AY13" s="12"/>
      <c r="AZ13" s="8"/>
      <c r="BA13" s="12"/>
      <c r="BB13" s="12"/>
      <c r="BC13" s="12"/>
      <c r="BD13" s="12"/>
      <c r="BE13" s="12"/>
      <c r="BF13" s="12"/>
      <c r="BG13" s="12" t="str">
        <f t="shared" si="8"/>
        <v/>
      </c>
      <c r="BH13" s="12" t="str">
        <f t="shared" si="9"/>
        <v/>
      </c>
      <c r="BI13" s="12"/>
      <c r="BJ13" s="12"/>
      <c r="BK13" s="8" t="str">
        <f>IF($BJ13="","",IFERROR(INDEX(InstructorMap!$B:$B, MATCH($BJ13, InstructorMap!$A:$A, 0)),""))</f>
        <v/>
      </c>
      <c r="BL13" s="8" t="str">
        <f>IFERROR(INDEX(_names_lookup!$C:$C,MATCH(BK13,_names_lookup!$A:$A,0)),"")</f>
        <v/>
      </c>
      <c r="BM13" s="12" t="str">
        <f>IFERROR(INDEX(_names_lookup!$B:$B,MATCH(BK13,_names_lookup!$A:$A,0)),"")</f>
        <v/>
      </c>
      <c r="BN13" s="12"/>
      <c r="BO13" s="12"/>
      <c r="BP13" s="12"/>
      <c r="BQ13" s="12"/>
      <c r="BR13" s="12"/>
      <c r="BS13" s="12" t="str">
        <f t="shared" si="10"/>
        <v/>
      </c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</row>
    <row r="14" spans="1:121" ht="16" customHeight="1" x14ac:dyDescent="0.2">
      <c r="A14" s="16"/>
      <c r="B14" s="16"/>
      <c r="C14" s="16"/>
      <c r="D14" s="16"/>
      <c r="E14" s="16"/>
      <c r="F14" s="16"/>
      <c r="G14" s="16"/>
      <c r="H14" s="12"/>
      <c r="I14" s="12"/>
      <c r="J14" s="12"/>
      <c r="K14" s="12"/>
      <c r="L14" s="12"/>
      <c r="M14" s="12"/>
      <c r="N14" s="12"/>
      <c r="O14" s="12" t="str">
        <f>IFERROR(INDEX(_courses_lookup!$C:$C,MATCH(K14&amp;L14,_courses_lookup!$E:$E,0)),"")</f>
        <v/>
      </c>
      <c r="P14" s="12" t="str">
        <f>IFERROR(INDEX(_courses_lookup!$D:$D,MATCH(K14&amp;L14,_courses_lookup!$E:$E,0)),"")</f>
        <v/>
      </c>
      <c r="Q14" s="12"/>
      <c r="R14" s="12"/>
      <c r="S14" s="12"/>
      <c r="T14" s="12"/>
      <c r="U14" s="12"/>
      <c r="V14" s="12"/>
      <c r="W14" s="12"/>
      <c r="X14" s="12"/>
      <c r="Y14" s="8"/>
      <c r="Z14" s="12"/>
      <c r="AA14" s="12"/>
      <c r="AB14" s="12"/>
      <c r="AC14" s="12"/>
      <c r="AD14" s="12"/>
      <c r="AE14" s="12"/>
      <c r="AF14" s="12"/>
      <c r="AG14" s="12" t="str">
        <f t="shared" si="0"/>
        <v/>
      </c>
      <c r="AH14" s="12"/>
      <c r="AI14" s="12" t="str">
        <f t="shared" si="1"/>
        <v/>
      </c>
      <c r="AJ14" s="12"/>
      <c r="AK14" s="12"/>
      <c r="AL14" s="12" t="str">
        <f t="shared" si="2"/>
        <v/>
      </c>
      <c r="AM14" s="12"/>
      <c r="AN14" s="12" t="str">
        <f t="shared" si="3"/>
        <v/>
      </c>
      <c r="AO14" s="12"/>
      <c r="AP14" s="12"/>
      <c r="AQ14" s="12" t="str">
        <f t="shared" si="4"/>
        <v/>
      </c>
      <c r="AR14" s="12" t="str">
        <f t="shared" si="5"/>
        <v/>
      </c>
      <c r="AS14" s="12" t="str">
        <f t="shared" si="6"/>
        <v/>
      </c>
      <c r="AT14" s="12" t="str">
        <f t="shared" si="7"/>
        <v/>
      </c>
      <c r="AU14" s="12"/>
      <c r="AV14" s="12"/>
      <c r="AW14" s="12"/>
      <c r="AX14" s="12"/>
      <c r="AY14" s="12"/>
      <c r="AZ14" s="8"/>
      <c r="BA14" s="12"/>
      <c r="BB14" s="12"/>
      <c r="BC14" s="12"/>
      <c r="BD14" s="12"/>
      <c r="BE14" s="12"/>
      <c r="BF14" s="12"/>
      <c r="BG14" s="12" t="str">
        <f t="shared" si="8"/>
        <v/>
      </c>
      <c r="BH14" s="12" t="str">
        <f t="shared" si="9"/>
        <v/>
      </c>
      <c r="BI14" s="12"/>
      <c r="BJ14" s="12"/>
      <c r="BK14" s="8" t="str">
        <f>IF($BJ14="","",IFERROR(INDEX(InstructorMap!$B:$B, MATCH($BJ14, InstructorMap!$A:$A, 0)),""))</f>
        <v/>
      </c>
      <c r="BL14" s="8" t="str">
        <f>IFERROR(INDEX(_names_lookup!$C:$C,MATCH(BK14,_names_lookup!$A:$A,0)),"")</f>
        <v/>
      </c>
      <c r="BM14" s="12" t="str">
        <f>IFERROR(INDEX(_names_lookup!$B:$B,MATCH(BK14,_names_lookup!$A:$A,0)),"")</f>
        <v/>
      </c>
      <c r="BN14" s="12"/>
      <c r="BO14" s="12"/>
      <c r="BP14" s="12"/>
      <c r="BQ14" s="12"/>
      <c r="BR14" s="12"/>
      <c r="BS14" s="12" t="str">
        <f t="shared" si="10"/>
        <v/>
      </c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</row>
    <row r="15" spans="1:121" ht="16" customHeight="1" x14ac:dyDescent="0.2">
      <c r="A15" s="16"/>
      <c r="B15" s="16"/>
      <c r="C15" s="16"/>
      <c r="D15" s="16"/>
      <c r="E15" s="16"/>
      <c r="F15" s="16"/>
      <c r="G15" s="16"/>
      <c r="H15" s="12"/>
      <c r="I15" s="12"/>
      <c r="J15" s="12"/>
      <c r="K15" s="12"/>
      <c r="L15" s="12"/>
      <c r="M15" s="12"/>
      <c r="N15" s="12"/>
      <c r="O15" s="12" t="str">
        <f>IFERROR(INDEX(_courses_lookup!$C:$C,MATCH(K15&amp;L15,_courses_lookup!$E:$E,0)),"")</f>
        <v/>
      </c>
      <c r="P15" s="12" t="str">
        <f>IFERROR(INDEX(_courses_lookup!$D:$D,MATCH(K15&amp;L15,_courses_lookup!$E:$E,0)),"")</f>
        <v/>
      </c>
      <c r="Q15" s="12"/>
      <c r="R15" s="12"/>
      <c r="S15" s="12"/>
      <c r="T15" s="12"/>
      <c r="U15" s="12"/>
      <c r="V15" s="12"/>
      <c r="W15" s="12"/>
      <c r="X15" s="12"/>
      <c r="Y15" s="8"/>
      <c r="Z15" s="12"/>
      <c r="AA15" s="12"/>
      <c r="AB15" s="12"/>
      <c r="AC15" s="12"/>
      <c r="AD15" s="12"/>
      <c r="AE15" s="12"/>
      <c r="AF15" s="12"/>
      <c r="AG15" s="12" t="str">
        <f t="shared" si="0"/>
        <v/>
      </c>
      <c r="AH15" s="12"/>
      <c r="AI15" s="12" t="str">
        <f t="shared" si="1"/>
        <v/>
      </c>
      <c r="AJ15" s="12"/>
      <c r="AK15" s="12"/>
      <c r="AL15" s="12" t="str">
        <f t="shared" si="2"/>
        <v/>
      </c>
      <c r="AM15" s="12"/>
      <c r="AN15" s="12" t="str">
        <f t="shared" si="3"/>
        <v/>
      </c>
      <c r="AO15" s="12"/>
      <c r="AP15" s="12"/>
      <c r="AQ15" s="12" t="str">
        <f t="shared" si="4"/>
        <v/>
      </c>
      <c r="AR15" s="12" t="str">
        <f t="shared" si="5"/>
        <v/>
      </c>
      <c r="AS15" s="12" t="str">
        <f t="shared" si="6"/>
        <v/>
      </c>
      <c r="AT15" s="12" t="str">
        <f t="shared" si="7"/>
        <v/>
      </c>
      <c r="AU15" s="12"/>
      <c r="AV15" s="12"/>
      <c r="AW15" s="12"/>
      <c r="AX15" s="12"/>
      <c r="AY15" s="12"/>
      <c r="AZ15" s="8"/>
      <c r="BA15" s="12"/>
      <c r="BB15" s="12"/>
      <c r="BC15" s="12"/>
      <c r="BD15" s="12"/>
      <c r="BE15" s="12"/>
      <c r="BF15" s="12"/>
      <c r="BG15" s="12" t="str">
        <f t="shared" si="8"/>
        <v/>
      </c>
      <c r="BH15" s="12" t="str">
        <f t="shared" si="9"/>
        <v/>
      </c>
      <c r="BI15" s="12"/>
      <c r="BJ15" s="12"/>
      <c r="BK15" s="8" t="str">
        <f>IF($BJ15="","",IFERROR(INDEX(InstructorMap!$B:$B, MATCH($BJ15, InstructorMap!$A:$A, 0)),""))</f>
        <v/>
      </c>
      <c r="BL15" s="8" t="str">
        <f>IFERROR(INDEX(_names_lookup!$C:$C,MATCH(BK15,_names_lookup!$A:$A,0)),"")</f>
        <v/>
      </c>
      <c r="BM15" s="12" t="str">
        <f>IFERROR(INDEX(_names_lookup!$B:$B,MATCH(BK15,_names_lookup!$A:$A,0)),"")</f>
        <v/>
      </c>
      <c r="BN15" s="12"/>
      <c r="BO15" s="12"/>
      <c r="BP15" s="12"/>
      <c r="BQ15" s="12"/>
      <c r="BR15" s="12"/>
      <c r="BS15" s="12" t="str">
        <f t="shared" si="10"/>
        <v/>
      </c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</row>
    <row r="16" spans="1:121" ht="16" customHeight="1" x14ac:dyDescent="0.2">
      <c r="A16" s="16"/>
      <c r="B16" s="16"/>
      <c r="C16" s="16"/>
      <c r="D16" s="16"/>
      <c r="E16" s="16"/>
      <c r="F16" s="16"/>
      <c r="G16" s="16"/>
      <c r="H16" s="12"/>
      <c r="I16" s="12"/>
      <c r="J16" s="12"/>
      <c r="K16" s="12"/>
      <c r="L16" s="12"/>
      <c r="M16" s="12"/>
      <c r="N16" s="12"/>
      <c r="O16" s="12" t="str">
        <f>IFERROR(INDEX(_courses_lookup!$C:$C,MATCH(K16&amp;L16,_courses_lookup!$E:$E,0)),"")</f>
        <v/>
      </c>
      <c r="P16" s="12" t="str">
        <f>IFERROR(INDEX(_courses_lookup!$D:$D,MATCH(K16&amp;L16,_courses_lookup!$E:$E,0)),"")</f>
        <v/>
      </c>
      <c r="Q16" s="12"/>
      <c r="R16" s="12"/>
      <c r="S16" s="12"/>
      <c r="T16" s="12"/>
      <c r="U16" s="12"/>
      <c r="V16" s="12"/>
      <c r="W16" s="12"/>
      <c r="X16" s="12"/>
      <c r="Y16" s="8"/>
      <c r="Z16" s="12"/>
      <c r="AA16" s="12"/>
      <c r="AB16" s="12"/>
      <c r="AC16" s="12"/>
      <c r="AD16" s="12"/>
      <c r="AE16" s="12"/>
      <c r="AF16" s="12"/>
      <c r="AG16" s="12" t="str">
        <f t="shared" si="0"/>
        <v/>
      </c>
      <c r="AH16" s="12"/>
      <c r="AI16" s="12" t="str">
        <f t="shared" si="1"/>
        <v/>
      </c>
      <c r="AJ16" s="12"/>
      <c r="AK16" s="12"/>
      <c r="AL16" s="12" t="str">
        <f t="shared" si="2"/>
        <v/>
      </c>
      <c r="AM16" s="12"/>
      <c r="AN16" s="12" t="str">
        <f t="shared" si="3"/>
        <v/>
      </c>
      <c r="AO16" s="12"/>
      <c r="AP16" s="12"/>
      <c r="AQ16" s="12" t="str">
        <f t="shared" si="4"/>
        <v/>
      </c>
      <c r="AR16" s="12" t="str">
        <f t="shared" si="5"/>
        <v/>
      </c>
      <c r="AS16" s="12" t="str">
        <f t="shared" si="6"/>
        <v/>
      </c>
      <c r="AT16" s="12" t="str">
        <f t="shared" si="7"/>
        <v/>
      </c>
      <c r="AU16" s="12"/>
      <c r="AV16" s="12"/>
      <c r="AW16" s="12"/>
      <c r="AX16" s="12"/>
      <c r="AY16" s="12"/>
      <c r="AZ16" s="8"/>
      <c r="BA16" s="12"/>
      <c r="BB16" s="12"/>
      <c r="BC16" s="12"/>
      <c r="BD16" s="12"/>
      <c r="BE16" s="12"/>
      <c r="BF16" s="12"/>
      <c r="BG16" s="12" t="str">
        <f t="shared" si="8"/>
        <v/>
      </c>
      <c r="BH16" s="12" t="str">
        <f t="shared" si="9"/>
        <v/>
      </c>
      <c r="BI16" s="12"/>
      <c r="BJ16" s="12"/>
      <c r="BK16" s="8" t="str">
        <f>IF($BJ16="","",IFERROR(INDEX(InstructorMap!$B:$B, MATCH($BJ16, InstructorMap!$A:$A, 0)),""))</f>
        <v/>
      </c>
      <c r="BL16" s="8" t="str">
        <f>IFERROR(INDEX(_names_lookup!$C:$C,MATCH(BK16,_names_lookup!$A:$A,0)),"")</f>
        <v/>
      </c>
      <c r="BM16" s="12" t="str">
        <f>IFERROR(INDEX(_names_lookup!$B:$B,MATCH(BK16,_names_lookup!$A:$A,0)),"")</f>
        <v/>
      </c>
      <c r="BN16" s="12"/>
      <c r="BO16" s="12"/>
      <c r="BP16" s="12"/>
      <c r="BQ16" s="12"/>
      <c r="BR16" s="12"/>
      <c r="BS16" s="12" t="str">
        <f t="shared" si="10"/>
        <v/>
      </c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</row>
    <row r="17" spans="1:121" ht="16" customHeight="1" x14ac:dyDescent="0.2">
      <c r="A17" s="16"/>
      <c r="B17" s="16"/>
      <c r="C17" s="16"/>
      <c r="D17" s="16"/>
      <c r="E17" s="16"/>
      <c r="F17" s="16"/>
      <c r="G17" s="16"/>
      <c r="H17" s="12"/>
      <c r="I17" s="12"/>
      <c r="J17" s="12"/>
      <c r="K17" s="12"/>
      <c r="L17" s="12"/>
      <c r="M17" s="12"/>
      <c r="N17" s="12"/>
      <c r="O17" s="12" t="str">
        <f>IFERROR(INDEX(_courses_lookup!$C:$C,MATCH(K17&amp;L17,_courses_lookup!$E:$E,0)),"")</f>
        <v/>
      </c>
      <c r="P17" s="12" t="str">
        <f>IFERROR(INDEX(_courses_lookup!$D:$D,MATCH(K17&amp;L17,_courses_lookup!$E:$E,0)),"")</f>
        <v/>
      </c>
      <c r="Q17" s="12"/>
      <c r="R17" s="12"/>
      <c r="S17" s="12"/>
      <c r="T17" s="12"/>
      <c r="U17" s="12"/>
      <c r="V17" s="12"/>
      <c r="W17" s="12"/>
      <c r="X17" s="12"/>
      <c r="Y17" s="8"/>
      <c r="Z17" s="12"/>
      <c r="AA17" s="12"/>
      <c r="AB17" s="12"/>
      <c r="AC17" s="12"/>
      <c r="AD17" s="12"/>
      <c r="AE17" s="12"/>
      <c r="AF17" s="12"/>
      <c r="AG17" s="12" t="str">
        <f t="shared" si="0"/>
        <v/>
      </c>
      <c r="AH17" s="12"/>
      <c r="AI17" s="12" t="str">
        <f t="shared" si="1"/>
        <v/>
      </c>
      <c r="AJ17" s="12"/>
      <c r="AK17" s="12"/>
      <c r="AL17" s="12" t="str">
        <f t="shared" si="2"/>
        <v/>
      </c>
      <c r="AM17" s="12"/>
      <c r="AN17" s="12" t="str">
        <f t="shared" si="3"/>
        <v/>
      </c>
      <c r="AO17" s="12"/>
      <c r="AP17" s="12"/>
      <c r="AQ17" s="12" t="str">
        <f t="shared" si="4"/>
        <v/>
      </c>
      <c r="AR17" s="12" t="str">
        <f t="shared" si="5"/>
        <v/>
      </c>
      <c r="AS17" s="12" t="str">
        <f t="shared" si="6"/>
        <v/>
      </c>
      <c r="AT17" s="12" t="str">
        <f t="shared" si="7"/>
        <v/>
      </c>
      <c r="AU17" s="12"/>
      <c r="AV17" s="12"/>
      <c r="AW17" s="12"/>
      <c r="AX17" s="12"/>
      <c r="AY17" s="12"/>
      <c r="AZ17" s="8"/>
      <c r="BA17" s="12"/>
      <c r="BB17" s="12"/>
      <c r="BC17" s="12"/>
      <c r="BD17" s="12"/>
      <c r="BE17" s="12"/>
      <c r="BF17" s="12"/>
      <c r="BG17" s="12" t="str">
        <f t="shared" si="8"/>
        <v/>
      </c>
      <c r="BH17" s="12" t="str">
        <f t="shared" si="9"/>
        <v/>
      </c>
      <c r="BI17" s="12"/>
      <c r="BJ17" s="12"/>
      <c r="BK17" s="8" t="str">
        <f>IF($BJ17="","",IFERROR(INDEX(InstructorMap!$B:$B, MATCH($BJ17, InstructorMap!$A:$A, 0)),""))</f>
        <v/>
      </c>
      <c r="BL17" s="8" t="str">
        <f>IFERROR(INDEX(_names_lookup!$C:$C,MATCH(BK17,_names_lookup!$A:$A,0)),"")</f>
        <v/>
      </c>
      <c r="BM17" s="12" t="str">
        <f>IFERROR(INDEX(_names_lookup!$B:$B,MATCH(BK17,_names_lookup!$A:$A,0)),"")</f>
        <v/>
      </c>
      <c r="BN17" s="12"/>
      <c r="BO17" s="12"/>
      <c r="BP17" s="12"/>
      <c r="BQ17" s="12"/>
      <c r="BR17" s="12"/>
      <c r="BS17" s="12" t="str">
        <f t="shared" si="10"/>
        <v/>
      </c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</row>
    <row r="18" spans="1:121" ht="16" customHeight="1" x14ac:dyDescent="0.2">
      <c r="A18" s="16"/>
      <c r="B18" s="16"/>
      <c r="C18" s="16"/>
      <c r="D18" s="16"/>
      <c r="E18" s="16"/>
      <c r="F18" s="16"/>
      <c r="G18" s="16"/>
      <c r="H18" s="12"/>
      <c r="I18" s="12"/>
      <c r="J18" s="12"/>
      <c r="K18" s="12"/>
      <c r="L18" s="12"/>
      <c r="M18" s="12"/>
      <c r="N18" s="12"/>
      <c r="O18" s="12" t="str">
        <f>IFERROR(INDEX(_courses_lookup!$C:$C,MATCH(K18&amp;L18,_courses_lookup!$E:$E,0)),"")</f>
        <v/>
      </c>
      <c r="P18" s="12" t="str">
        <f>IFERROR(INDEX(_courses_lookup!$D:$D,MATCH(K18&amp;L18,_courses_lookup!$E:$E,0)),"")</f>
        <v/>
      </c>
      <c r="Q18" s="12"/>
      <c r="R18" s="12"/>
      <c r="S18" s="12"/>
      <c r="T18" s="12"/>
      <c r="U18" s="12"/>
      <c r="V18" s="12"/>
      <c r="W18" s="12"/>
      <c r="X18" s="12"/>
      <c r="Y18" s="8"/>
      <c r="Z18" s="12"/>
      <c r="AA18" s="12"/>
      <c r="AB18" s="12"/>
      <c r="AC18" s="12"/>
      <c r="AD18" s="12"/>
      <c r="AE18" s="12"/>
      <c r="AF18" s="12"/>
      <c r="AG18" s="12" t="str">
        <f t="shared" si="0"/>
        <v/>
      </c>
      <c r="AH18" s="12"/>
      <c r="AI18" s="12" t="str">
        <f t="shared" si="1"/>
        <v/>
      </c>
      <c r="AJ18" s="12"/>
      <c r="AK18" s="12"/>
      <c r="AL18" s="12" t="str">
        <f t="shared" si="2"/>
        <v/>
      </c>
      <c r="AM18" s="12"/>
      <c r="AN18" s="12" t="str">
        <f t="shared" si="3"/>
        <v/>
      </c>
      <c r="AO18" s="12"/>
      <c r="AP18" s="12"/>
      <c r="AQ18" s="12" t="str">
        <f t="shared" si="4"/>
        <v/>
      </c>
      <c r="AR18" s="12" t="str">
        <f t="shared" si="5"/>
        <v/>
      </c>
      <c r="AS18" s="12" t="str">
        <f t="shared" si="6"/>
        <v/>
      </c>
      <c r="AT18" s="12" t="str">
        <f t="shared" si="7"/>
        <v/>
      </c>
      <c r="AU18" s="12"/>
      <c r="AV18" s="12"/>
      <c r="AW18" s="12"/>
      <c r="AX18" s="12"/>
      <c r="AY18" s="12"/>
      <c r="AZ18" s="8"/>
      <c r="BA18" s="12"/>
      <c r="BB18" s="12"/>
      <c r="BC18" s="12"/>
      <c r="BD18" s="12"/>
      <c r="BE18" s="12"/>
      <c r="BF18" s="12"/>
      <c r="BG18" s="12" t="str">
        <f t="shared" si="8"/>
        <v/>
      </c>
      <c r="BH18" s="12" t="str">
        <f t="shared" si="9"/>
        <v/>
      </c>
      <c r="BI18" s="12"/>
      <c r="BJ18" s="12"/>
      <c r="BK18" s="8" t="str">
        <f>IF($BJ18="","",IFERROR(INDEX(InstructorMap!$B:$B, MATCH($BJ18, InstructorMap!$A:$A, 0)),""))</f>
        <v/>
      </c>
      <c r="BL18" s="8" t="str">
        <f>IFERROR(INDEX(_names_lookup!$C:$C,MATCH(BK18,_names_lookup!$A:$A,0)),"")</f>
        <v/>
      </c>
      <c r="BM18" s="12" t="str">
        <f>IFERROR(INDEX(_names_lookup!$B:$B,MATCH(BK18,_names_lookup!$A:$A,0)),"")</f>
        <v/>
      </c>
      <c r="BN18" s="12"/>
      <c r="BO18" s="12"/>
      <c r="BP18" s="12"/>
      <c r="BQ18" s="12"/>
      <c r="BR18" s="12"/>
      <c r="BS18" s="12" t="str">
        <f t="shared" si="10"/>
        <v/>
      </c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</row>
    <row r="19" spans="1:121" ht="16" customHeight="1" x14ac:dyDescent="0.2">
      <c r="A19" s="16"/>
      <c r="B19" s="16"/>
      <c r="C19" s="16"/>
      <c r="D19" s="16"/>
      <c r="E19" s="16"/>
      <c r="F19" s="16"/>
      <c r="G19" s="16"/>
      <c r="H19" s="12"/>
      <c r="I19" s="12"/>
      <c r="J19" s="12"/>
      <c r="K19" s="12"/>
      <c r="L19" s="12"/>
      <c r="M19" s="12"/>
      <c r="N19" s="12"/>
      <c r="O19" s="12" t="str">
        <f>IFERROR(INDEX(_courses_lookup!$C:$C,MATCH(K19&amp;L19,_courses_lookup!$E:$E,0)),"")</f>
        <v/>
      </c>
      <c r="P19" s="12" t="str">
        <f>IFERROR(INDEX(_courses_lookup!$D:$D,MATCH(K19&amp;L19,_courses_lookup!$E:$E,0)),"")</f>
        <v/>
      </c>
      <c r="Q19" s="12"/>
      <c r="R19" s="12"/>
      <c r="S19" s="12"/>
      <c r="T19" s="12"/>
      <c r="U19" s="12"/>
      <c r="V19" s="12"/>
      <c r="W19" s="12"/>
      <c r="X19" s="12"/>
      <c r="Y19" s="8"/>
      <c r="Z19" s="12"/>
      <c r="AA19" s="12"/>
      <c r="AB19" s="12"/>
      <c r="AC19" s="12"/>
      <c r="AD19" s="12"/>
      <c r="AE19" s="12"/>
      <c r="AF19" s="12"/>
      <c r="AG19" s="12" t="str">
        <f t="shared" si="0"/>
        <v/>
      </c>
      <c r="AH19" s="12"/>
      <c r="AI19" s="12" t="str">
        <f t="shared" si="1"/>
        <v/>
      </c>
      <c r="AJ19" s="12"/>
      <c r="AK19" s="12"/>
      <c r="AL19" s="12" t="str">
        <f t="shared" si="2"/>
        <v/>
      </c>
      <c r="AM19" s="12"/>
      <c r="AN19" s="12" t="str">
        <f t="shared" si="3"/>
        <v/>
      </c>
      <c r="AO19" s="12"/>
      <c r="AP19" s="12"/>
      <c r="AQ19" s="12" t="str">
        <f t="shared" si="4"/>
        <v/>
      </c>
      <c r="AR19" s="12" t="str">
        <f t="shared" si="5"/>
        <v/>
      </c>
      <c r="AS19" s="12" t="str">
        <f t="shared" si="6"/>
        <v/>
      </c>
      <c r="AT19" s="12" t="str">
        <f t="shared" si="7"/>
        <v/>
      </c>
      <c r="AU19" s="12"/>
      <c r="AV19" s="12"/>
      <c r="AW19" s="12"/>
      <c r="AX19" s="12"/>
      <c r="AY19" s="12"/>
      <c r="AZ19" s="8"/>
      <c r="BA19" s="12"/>
      <c r="BB19" s="12"/>
      <c r="BC19" s="12"/>
      <c r="BD19" s="12"/>
      <c r="BE19" s="12"/>
      <c r="BF19" s="12"/>
      <c r="BG19" s="12" t="str">
        <f t="shared" si="8"/>
        <v/>
      </c>
      <c r="BH19" s="12" t="str">
        <f t="shared" si="9"/>
        <v/>
      </c>
      <c r="BI19" s="12"/>
      <c r="BJ19" s="12"/>
      <c r="BK19" s="8" t="str">
        <f>IF($BJ19="","",IFERROR(INDEX(InstructorMap!$B:$B, MATCH($BJ19, InstructorMap!$A:$A, 0)),""))</f>
        <v/>
      </c>
      <c r="BL19" s="8" t="str">
        <f>IFERROR(INDEX(_names_lookup!$C:$C,MATCH(BK19,_names_lookup!$A:$A,0)),"")</f>
        <v/>
      </c>
      <c r="BM19" s="12" t="str">
        <f>IFERROR(INDEX(_names_lookup!$B:$B,MATCH(BK19,_names_lookup!$A:$A,0)),"")</f>
        <v/>
      </c>
      <c r="BN19" s="12"/>
      <c r="BO19" s="12"/>
      <c r="BP19" s="12"/>
      <c r="BQ19" s="12"/>
      <c r="BR19" s="12"/>
      <c r="BS19" s="12" t="str">
        <f t="shared" si="10"/>
        <v/>
      </c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</row>
    <row r="20" spans="1:121" ht="16" customHeight="1" x14ac:dyDescent="0.2">
      <c r="A20" s="16"/>
      <c r="B20" s="16"/>
      <c r="C20" s="16"/>
      <c r="D20" s="16"/>
      <c r="E20" s="16"/>
      <c r="F20" s="16"/>
      <c r="G20" s="16"/>
      <c r="H20" s="12"/>
      <c r="I20" s="12"/>
      <c r="J20" s="12"/>
      <c r="K20" s="12"/>
      <c r="L20" s="12"/>
      <c r="M20" s="12"/>
      <c r="N20" s="12"/>
      <c r="O20" s="12" t="str">
        <f>IFERROR(INDEX(_courses_lookup!$C:$C,MATCH(K20&amp;L20,_courses_lookup!$E:$E,0)),"")</f>
        <v/>
      </c>
      <c r="P20" s="12" t="str">
        <f>IFERROR(INDEX(_courses_lookup!$D:$D,MATCH(K20&amp;L20,_courses_lookup!$E:$E,0)),"")</f>
        <v/>
      </c>
      <c r="Q20" s="12"/>
      <c r="R20" s="12"/>
      <c r="S20" s="12"/>
      <c r="T20" s="12"/>
      <c r="U20" s="12"/>
      <c r="V20" s="12"/>
      <c r="W20" s="12"/>
      <c r="X20" s="12"/>
      <c r="Y20" s="8"/>
      <c r="Z20" s="12"/>
      <c r="AA20" s="12"/>
      <c r="AB20" s="12"/>
      <c r="AC20" s="12"/>
      <c r="AD20" s="12"/>
      <c r="AE20" s="12"/>
      <c r="AF20" s="12"/>
      <c r="AG20" s="12" t="str">
        <f t="shared" si="0"/>
        <v/>
      </c>
      <c r="AH20" s="12"/>
      <c r="AI20" s="12" t="str">
        <f t="shared" si="1"/>
        <v/>
      </c>
      <c r="AJ20" s="12"/>
      <c r="AK20" s="12"/>
      <c r="AL20" s="12" t="str">
        <f t="shared" si="2"/>
        <v/>
      </c>
      <c r="AM20" s="12"/>
      <c r="AN20" s="12" t="str">
        <f t="shared" si="3"/>
        <v/>
      </c>
      <c r="AO20" s="12"/>
      <c r="AP20" s="12"/>
      <c r="AQ20" s="12" t="str">
        <f t="shared" si="4"/>
        <v/>
      </c>
      <c r="AR20" s="12" t="str">
        <f t="shared" si="5"/>
        <v/>
      </c>
      <c r="AS20" s="12" t="str">
        <f t="shared" si="6"/>
        <v/>
      </c>
      <c r="AT20" s="12" t="str">
        <f t="shared" si="7"/>
        <v/>
      </c>
      <c r="AU20" s="12"/>
      <c r="AV20" s="12"/>
      <c r="AW20" s="12"/>
      <c r="AX20" s="12"/>
      <c r="AY20" s="12"/>
      <c r="AZ20" s="8"/>
      <c r="BA20" s="12"/>
      <c r="BB20" s="12"/>
      <c r="BC20" s="12"/>
      <c r="BD20" s="12"/>
      <c r="BE20" s="12"/>
      <c r="BF20" s="12"/>
      <c r="BG20" s="12" t="str">
        <f t="shared" si="8"/>
        <v/>
      </c>
      <c r="BH20" s="12" t="str">
        <f t="shared" si="9"/>
        <v/>
      </c>
      <c r="BI20" s="12"/>
      <c r="BJ20" s="12"/>
      <c r="BK20" s="8" t="str">
        <f>IF($BJ20="","",IFERROR(INDEX(InstructorMap!$B:$B, MATCH($BJ20, InstructorMap!$A:$A, 0)),""))</f>
        <v/>
      </c>
      <c r="BL20" s="8" t="str">
        <f>IFERROR(INDEX(_names_lookup!$C:$C,MATCH(BK20,_names_lookup!$A:$A,0)),"")</f>
        <v/>
      </c>
      <c r="BM20" s="12" t="str">
        <f>IFERROR(INDEX(_names_lookup!$B:$B,MATCH(BK20,_names_lookup!$A:$A,0)),"")</f>
        <v/>
      </c>
      <c r="BN20" s="12"/>
      <c r="BO20" s="12"/>
      <c r="BP20" s="12"/>
      <c r="BQ20" s="12"/>
      <c r="BR20" s="12"/>
      <c r="BS20" s="12" t="str">
        <f t="shared" si="10"/>
        <v/>
      </c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</row>
    <row r="21" spans="1:121" ht="16" customHeight="1" x14ac:dyDescent="0.2">
      <c r="A21" s="16"/>
      <c r="B21" s="16"/>
      <c r="C21" s="16"/>
      <c r="D21" s="16"/>
      <c r="E21" s="16"/>
      <c r="F21" s="16"/>
      <c r="G21" s="16"/>
      <c r="H21" s="12"/>
      <c r="I21" s="12"/>
      <c r="J21" s="12"/>
      <c r="K21" s="12"/>
      <c r="L21" s="12"/>
      <c r="M21" s="12"/>
      <c r="N21" s="12"/>
      <c r="O21" s="12" t="str">
        <f>IFERROR(INDEX(_courses_lookup!$C:$C,MATCH(K21&amp;L21,_courses_lookup!$E:$E,0)),"")</f>
        <v/>
      </c>
      <c r="P21" s="12" t="str">
        <f>IFERROR(INDEX(_courses_lookup!$D:$D,MATCH(K21&amp;L21,_courses_lookup!$E:$E,0)),"")</f>
        <v/>
      </c>
      <c r="Q21" s="12"/>
      <c r="R21" s="12"/>
      <c r="S21" s="12"/>
      <c r="T21" s="12"/>
      <c r="U21" s="12"/>
      <c r="V21" s="12"/>
      <c r="W21" s="12"/>
      <c r="X21" s="12"/>
      <c r="Y21" s="8"/>
      <c r="Z21" s="12"/>
      <c r="AA21" s="12"/>
      <c r="AB21" s="12"/>
      <c r="AC21" s="12"/>
      <c r="AD21" s="12"/>
      <c r="AE21" s="12"/>
      <c r="AF21" s="12"/>
      <c r="AG21" s="12" t="str">
        <f t="shared" si="0"/>
        <v/>
      </c>
      <c r="AH21" s="12"/>
      <c r="AI21" s="12" t="str">
        <f t="shared" si="1"/>
        <v/>
      </c>
      <c r="AJ21" s="12"/>
      <c r="AK21" s="12"/>
      <c r="AL21" s="12" t="str">
        <f t="shared" si="2"/>
        <v/>
      </c>
      <c r="AM21" s="12"/>
      <c r="AN21" s="12" t="str">
        <f t="shared" si="3"/>
        <v/>
      </c>
      <c r="AO21" s="12"/>
      <c r="AP21" s="12"/>
      <c r="AQ21" s="12" t="str">
        <f t="shared" si="4"/>
        <v/>
      </c>
      <c r="AR21" s="12" t="str">
        <f t="shared" si="5"/>
        <v/>
      </c>
      <c r="AS21" s="12" t="str">
        <f t="shared" si="6"/>
        <v/>
      </c>
      <c r="AT21" s="12" t="str">
        <f t="shared" si="7"/>
        <v/>
      </c>
      <c r="AU21" s="12"/>
      <c r="AV21" s="12"/>
      <c r="AW21" s="12"/>
      <c r="AX21" s="12"/>
      <c r="AY21" s="12"/>
      <c r="AZ21" s="8"/>
      <c r="BA21" s="12"/>
      <c r="BB21" s="12"/>
      <c r="BC21" s="12"/>
      <c r="BD21" s="12"/>
      <c r="BE21" s="12"/>
      <c r="BF21" s="12"/>
      <c r="BG21" s="12" t="str">
        <f t="shared" si="8"/>
        <v/>
      </c>
      <c r="BH21" s="12" t="str">
        <f t="shared" si="9"/>
        <v/>
      </c>
      <c r="BI21" s="12"/>
      <c r="BJ21" s="12"/>
      <c r="BK21" s="8" t="str">
        <f>IF($BJ21="","",IFERROR(INDEX(InstructorMap!$B:$B, MATCH($BJ21, InstructorMap!$A:$A, 0)),""))</f>
        <v/>
      </c>
      <c r="BL21" s="8" t="str">
        <f>IFERROR(INDEX(_names_lookup!$C:$C,MATCH(BK21,_names_lookup!$A:$A,0)),"")</f>
        <v/>
      </c>
      <c r="BM21" s="12" t="str">
        <f>IFERROR(INDEX(_names_lookup!$B:$B,MATCH(BK21,_names_lookup!$A:$A,0)),"")</f>
        <v/>
      </c>
      <c r="BN21" s="12"/>
      <c r="BO21" s="12"/>
      <c r="BP21" s="12"/>
      <c r="BQ21" s="12"/>
      <c r="BR21" s="12"/>
      <c r="BS21" s="12" t="str">
        <f t="shared" si="10"/>
        <v/>
      </c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</row>
    <row r="22" spans="1:121" ht="16" customHeight="1" x14ac:dyDescent="0.2">
      <c r="A22" s="16"/>
      <c r="B22" s="16"/>
      <c r="C22" s="16"/>
      <c r="D22" s="16"/>
      <c r="E22" s="16"/>
      <c r="F22" s="16"/>
      <c r="G22" s="16"/>
      <c r="H22" s="12"/>
      <c r="I22" s="12"/>
      <c r="J22" s="12"/>
      <c r="K22" s="12"/>
      <c r="L22" s="12"/>
      <c r="M22" s="12"/>
      <c r="N22" s="12"/>
      <c r="O22" s="12" t="str">
        <f>IFERROR(INDEX(_courses_lookup!$C:$C,MATCH(K22&amp;L22,_courses_lookup!$E:$E,0)),"")</f>
        <v/>
      </c>
      <c r="P22" s="12" t="str">
        <f>IFERROR(INDEX(_courses_lookup!$D:$D,MATCH(K22&amp;L22,_courses_lookup!$E:$E,0)),"")</f>
        <v/>
      </c>
      <c r="Q22" s="12"/>
      <c r="R22" s="12"/>
      <c r="S22" s="12"/>
      <c r="T22" s="12"/>
      <c r="U22" s="12"/>
      <c r="V22" s="12"/>
      <c r="W22" s="12"/>
      <c r="X22" s="12"/>
      <c r="Y22" s="8"/>
      <c r="Z22" s="12"/>
      <c r="AA22" s="12"/>
      <c r="AB22" s="12"/>
      <c r="AC22" s="12"/>
      <c r="AD22" s="12"/>
      <c r="AE22" s="12"/>
      <c r="AF22" s="12"/>
      <c r="AG22" s="12" t="str">
        <f t="shared" si="0"/>
        <v/>
      </c>
      <c r="AH22" s="12"/>
      <c r="AI22" s="12" t="str">
        <f t="shared" si="1"/>
        <v/>
      </c>
      <c r="AJ22" s="12"/>
      <c r="AK22" s="12"/>
      <c r="AL22" s="12" t="str">
        <f t="shared" si="2"/>
        <v/>
      </c>
      <c r="AM22" s="12"/>
      <c r="AN22" s="12" t="str">
        <f t="shared" si="3"/>
        <v/>
      </c>
      <c r="AO22" s="12"/>
      <c r="AP22" s="12"/>
      <c r="AQ22" s="12" t="str">
        <f t="shared" si="4"/>
        <v/>
      </c>
      <c r="AR22" s="12" t="str">
        <f t="shared" si="5"/>
        <v/>
      </c>
      <c r="AS22" s="12" t="str">
        <f t="shared" si="6"/>
        <v/>
      </c>
      <c r="AT22" s="12" t="str">
        <f t="shared" si="7"/>
        <v/>
      </c>
      <c r="AU22" s="12"/>
      <c r="AV22" s="12"/>
      <c r="AW22" s="12"/>
      <c r="AX22" s="12"/>
      <c r="AY22" s="12"/>
      <c r="AZ22" s="8"/>
      <c r="BA22" s="12"/>
      <c r="BB22" s="12"/>
      <c r="BC22" s="12"/>
      <c r="BD22" s="12"/>
      <c r="BE22" s="12"/>
      <c r="BF22" s="12"/>
      <c r="BG22" s="12" t="str">
        <f t="shared" si="8"/>
        <v/>
      </c>
      <c r="BH22" s="12" t="str">
        <f t="shared" si="9"/>
        <v/>
      </c>
      <c r="BI22" s="12"/>
      <c r="BJ22" s="12"/>
      <c r="BK22" s="8" t="str">
        <f>IF($BJ22="","",IFERROR(INDEX(InstructorMap!$B:$B, MATCH($BJ22, InstructorMap!$A:$A, 0)),""))</f>
        <v/>
      </c>
      <c r="BL22" s="8" t="str">
        <f>IFERROR(INDEX(_names_lookup!$C:$C,MATCH(BK22,_names_lookup!$A:$A,0)),"")</f>
        <v/>
      </c>
      <c r="BM22" s="12" t="str">
        <f>IFERROR(INDEX(_names_lookup!$B:$B,MATCH(BK22,_names_lookup!$A:$A,0)),"")</f>
        <v/>
      </c>
      <c r="BN22" s="12"/>
      <c r="BO22" s="12"/>
      <c r="BP22" s="12"/>
      <c r="BQ22" s="12"/>
      <c r="BR22" s="12"/>
      <c r="BS22" s="12" t="str">
        <f t="shared" si="10"/>
        <v/>
      </c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</row>
    <row r="23" spans="1:121" ht="16" customHeight="1" x14ac:dyDescent="0.2">
      <c r="A23" s="16"/>
      <c r="B23" s="16"/>
      <c r="C23" s="16"/>
      <c r="D23" s="16"/>
      <c r="E23" s="16"/>
      <c r="F23" s="16"/>
      <c r="G23" s="16"/>
      <c r="H23" s="12"/>
      <c r="I23" s="12"/>
      <c r="J23" s="12"/>
      <c r="K23" s="12"/>
      <c r="L23" s="12"/>
      <c r="M23" s="12"/>
      <c r="N23" s="12"/>
      <c r="O23" s="12" t="str">
        <f>IFERROR(INDEX(_courses_lookup!$C:$C,MATCH(K23&amp;L23,_courses_lookup!$E:$E,0)),"")</f>
        <v/>
      </c>
      <c r="P23" s="12" t="str">
        <f>IFERROR(INDEX(_courses_lookup!$D:$D,MATCH(K23&amp;L23,_courses_lookup!$E:$E,0)),"")</f>
        <v/>
      </c>
      <c r="Q23" s="12"/>
      <c r="R23" s="12"/>
      <c r="S23" s="12"/>
      <c r="T23" s="12"/>
      <c r="U23" s="12"/>
      <c r="V23" s="12"/>
      <c r="W23" s="12"/>
      <c r="X23" s="12"/>
      <c r="Y23" s="8"/>
      <c r="Z23" s="12"/>
      <c r="AA23" s="12"/>
      <c r="AB23" s="12"/>
      <c r="AC23" s="12"/>
      <c r="AD23" s="12"/>
      <c r="AE23" s="12"/>
      <c r="AF23" s="12"/>
      <c r="AG23" s="12" t="str">
        <f t="shared" si="0"/>
        <v/>
      </c>
      <c r="AH23" s="12"/>
      <c r="AI23" s="12" t="str">
        <f t="shared" si="1"/>
        <v/>
      </c>
      <c r="AJ23" s="12"/>
      <c r="AK23" s="12"/>
      <c r="AL23" s="12" t="str">
        <f t="shared" si="2"/>
        <v/>
      </c>
      <c r="AM23" s="12"/>
      <c r="AN23" s="12" t="str">
        <f t="shared" si="3"/>
        <v/>
      </c>
      <c r="AO23" s="12"/>
      <c r="AP23" s="12"/>
      <c r="AQ23" s="12" t="str">
        <f t="shared" si="4"/>
        <v/>
      </c>
      <c r="AR23" s="12" t="str">
        <f t="shared" si="5"/>
        <v/>
      </c>
      <c r="AS23" s="12" t="str">
        <f t="shared" si="6"/>
        <v/>
      </c>
      <c r="AT23" s="12" t="str">
        <f t="shared" si="7"/>
        <v/>
      </c>
      <c r="AU23" s="12"/>
      <c r="AV23" s="12"/>
      <c r="AW23" s="12"/>
      <c r="AX23" s="12"/>
      <c r="AY23" s="12"/>
      <c r="AZ23" s="8"/>
      <c r="BA23" s="12"/>
      <c r="BB23" s="12"/>
      <c r="BC23" s="12"/>
      <c r="BD23" s="12"/>
      <c r="BE23" s="12"/>
      <c r="BF23" s="12"/>
      <c r="BG23" s="12" t="str">
        <f t="shared" si="8"/>
        <v/>
      </c>
      <c r="BH23" s="12" t="str">
        <f t="shared" si="9"/>
        <v/>
      </c>
      <c r="BI23" s="12"/>
      <c r="BJ23" s="12"/>
      <c r="BK23" s="8" t="str">
        <f>IF($BJ23="","",IFERROR(INDEX(InstructorMap!$B:$B, MATCH($BJ23, InstructorMap!$A:$A, 0)),""))</f>
        <v/>
      </c>
      <c r="BL23" s="8" t="str">
        <f>IFERROR(INDEX(_names_lookup!$C:$C,MATCH(BK23,_names_lookup!$A:$A,0)),"")</f>
        <v/>
      </c>
      <c r="BM23" s="12" t="str">
        <f>IFERROR(INDEX(_names_lookup!$B:$B,MATCH(BK23,_names_lookup!$A:$A,0)),"")</f>
        <v/>
      </c>
      <c r="BN23" s="12"/>
      <c r="BO23" s="12"/>
      <c r="BP23" s="12"/>
      <c r="BQ23" s="12"/>
      <c r="BR23" s="12"/>
      <c r="BS23" s="12" t="str">
        <f t="shared" si="10"/>
        <v/>
      </c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</row>
    <row r="24" spans="1:121" ht="16" customHeight="1" x14ac:dyDescent="0.2">
      <c r="A24" s="16"/>
      <c r="B24" s="16"/>
      <c r="C24" s="16"/>
      <c r="D24" s="16"/>
      <c r="E24" s="16"/>
      <c r="F24" s="16"/>
      <c r="G24" s="16"/>
      <c r="H24" s="12"/>
      <c r="I24" s="12"/>
      <c r="J24" s="12"/>
      <c r="K24" s="12"/>
      <c r="L24" s="12"/>
      <c r="M24" s="12"/>
      <c r="N24" s="12"/>
      <c r="O24" s="12" t="str">
        <f>IFERROR(INDEX(_courses_lookup!$C:$C,MATCH(K24&amp;L24,_courses_lookup!$E:$E,0)),"")</f>
        <v/>
      </c>
      <c r="P24" s="12" t="str">
        <f>IFERROR(INDEX(_courses_lookup!$D:$D,MATCH(K24&amp;L24,_courses_lookup!$E:$E,0)),"")</f>
        <v/>
      </c>
      <c r="Q24" s="12"/>
      <c r="R24" s="12"/>
      <c r="S24" s="12"/>
      <c r="T24" s="12"/>
      <c r="U24" s="12"/>
      <c r="V24" s="12"/>
      <c r="W24" s="12"/>
      <c r="X24" s="12"/>
      <c r="Y24" s="8"/>
      <c r="Z24" s="12"/>
      <c r="AA24" s="12"/>
      <c r="AB24" s="12"/>
      <c r="AC24" s="12"/>
      <c r="AD24" s="12"/>
      <c r="AE24" s="12"/>
      <c r="AF24" s="12"/>
      <c r="AG24" s="12" t="str">
        <f t="shared" si="0"/>
        <v/>
      </c>
      <c r="AH24" s="12"/>
      <c r="AI24" s="12" t="str">
        <f t="shared" si="1"/>
        <v/>
      </c>
      <c r="AJ24" s="12"/>
      <c r="AK24" s="12"/>
      <c r="AL24" s="12" t="str">
        <f t="shared" si="2"/>
        <v/>
      </c>
      <c r="AM24" s="12"/>
      <c r="AN24" s="12" t="str">
        <f t="shared" si="3"/>
        <v/>
      </c>
      <c r="AO24" s="12"/>
      <c r="AP24" s="12"/>
      <c r="AQ24" s="12" t="str">
        <f t="shared" si="4"/>
        <v/>
      </c>
      <c r="AR24" s="12" t="str">
        <f t="shared" si="5"/>
        <v/>
      </c>
      <c r="AS24" s="12" t="str">
        <f t="shared" si="6"/>
        <v/>
      </c>
      <c r="AT24" s="12" t="str">
        <f t="shared" si="7"/>
        <v/>
      </c>
      <c r="AU24" s="12"/>
      <c r="AV24" s="12"/>
      <c r="AW24" s="12"/>
      <c r="AX24" s="12"/>
      <c r="AY24" s="12"/>
      <c r="AZ24" s="8"/>
      <c r="BA24" s="12"/>
      <c r="BB24" s="12"/>
      <c r="BC24" s="12"/>
      <c r="BD24" s="12"/>
      <c r="BE24" s="12"/>
      <c r="BF24" s="12"/>
      <c r="BG24" s="12" t="str">
        <f t="shared" si="8"/>
        <v/>
      </c>
      <c r="BH24" s="12" t="str">
        <f t="shared" si="9"/>
        <v/>
      </c>
      <c r="BI24" s="12"/>
      <c r="BJ24" s="12"/>
      <c r="BK24" s="8" t="str">
        <f>IF($BJ24="","",IFERROR(INDEX(InstructorMap!$B:$B, MATCH($BJ24, InstructorMap!$A:$A, 0)),""))</f>
        <v/>
      </c>
      <c r="BL24" s="8" t="str">
        <f>IFERROR(INDEX(_names_lookup!$C:$C,MATCH(BK24,_names_lookup!$A:$A,0)),"")</f>
        <v/>
      </c>
      <c r="BM24" s="12" t="str">
        <f>IFERROR(INDEX(_names_lookup!$B:$B,MATCH(BK24,_names_lookup!$A:$A,0)),"")</f>
        <v/>
      </c>
      <c r="BN24" s="12"/>
      <c r="BO24" s="12"/>
      <c r="BP24" s="12"/>
      <c r="BQ24" s="12"/>
      <c r="BR24" s="12"/>
      <c r="BS24" s="12" t="str">
        <f t="shared" si="10"/>
        <v/>
      </c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</row>
    <row r="25" spans="1:121" ht="16" customHeight="1" x14ac:dyDescent="0.2">
      <c r="A25" s="16"/>
      <c r="B25" s="16"/>
      <c r="C25" s="16"/>
      <c r="D25" s="16"/>
      <c r="E25" s="16"/>
      <c r="F25" s="16"/>
      <c r="G25" s="16"/>
      <c r="H25" s="12"/>
      <c r="I25" s="12"/>
      <c r="J25" s="12"/>
      <c r="K25" s="12"/>
      <c r="L25" s="12"/>
      <c r="M25" s="12"/>
      <c r="N25" s="12"/>
      <c r="O25" s="12" t="str">
        <f>IFERROR(INDEX(_courses_lookup!$C:$C,MATCH(K25&amp;L25,_courses_lookup!$E:$E,0)),"")</f>
        <v/>
      </c>
      <c r="P25" s="12" t="str">
        <f>IFERROR(INDEX(_courses_lookup!$D:$D,MATCH(K25&amp;L25,_courses_lookup!$E:$E,0)),"")</f>
        <v/>
      </c>
      <c r="Q25" s="12"/>
      <c r="R25" s="12"/>
      <c r="S25" s="12"/>
      <c r="T25" s="12"/>
      <c r="U25" s="12"/>
      <c r="V25" s="12"/>
      <c r="W25" s="12"/>
      <c r="X25" s="12"/>
      <c r="Y25" s="8"/>
      <c r="Z25" s="12"/>
      <c r="AA25" s="12"/>
      <c r="AB25" s="12"/>
      <c r="AC25" s="12"/>
      <c r="AD25" s="12"/>
      <c r="AE25" s="12"/>
      <c r="AF25" s="12"/>
      <c r="AG25" s="12" t="str">
        <f t="shared" si="0"/>
        <v/>
      </c>
      <c r="AH25" s="12"/>
      <c r="AI25" s="12" t="str">
        <f t="shared" si="1"/>
        <v/>
      </c>
      <c r="AJ25" s="12"/>
      <c r="AK25" s="12"/>
      <c r="AL25" s="12" t="str">
        <f t="shared" si="2"/>
        <v/>
      </c>
      <c r="AM25" s="12"/>
      <c r="AN25" s="12" t="str">
        <f t="shared" si="3"/>
        <v/>
      </c>
      <c r="AO25" s="12"/>
      <c r="AP25" s="12"/>
      <c r="AQ25" s="12" t="str">
        <f t="shared" si="4"/>
        <v/>
      </c>
      <c r="AR25" s="12" t="str">
        <f t="shared" si="5"/>
        <v/>
      </c>
      <c r="AS25" s="12" t="str">
        <f t="shared" si="6"/>
        <v/>
      </c>
      <c r="AT25" s="12" t="str">
        <f t="shared" si="7"/>
        <v/>
      </c>
      <c r="AU25" s="12"/>
      <c r="AV25" s="12"/>
      <c r="AW25" s="12"/>
      <c r="AX25" s="12"/>
      <c r="AY25" s="12"/>
      <c r="AZ25" s="8"/>
      <c r="BA25" s="12"/>
      <c r="BB25" s="12"/>
      <c r="BC25" s="12"/>
      <c r="BD25" s="12"/>
      <c r="BE25" s="12"/>
      <c r="BF25" s="12"/>
      <c r="BG25" s="12" t="str">
        <f t="shared" si="8"/>
        <v/>
      </c>
      <c r="BH25" s="12" t="str">
        <f t="shared" si="9"/>
        <v/>
      </c>
      <c r="BI25" s="12"/>
      <c r="BJ25" s="12"/>
      <c r="BK25" s="8" t="str">
        <f>IF($BJ25="","",IFERROR(INDEX(InstructorMap!$B:$B, MATCH($BJ25, InstructorMap!$A:$A, 0)),""))</f>
        <v/>
      </c>
      <c r="BL25" s="8" t="str">
        <f>IFERROR(INDEX(_names_lookup!$C:$C,MATCH(BK25,_names_lookup!$A:$A,0)),"")</f>
        <v/>
      </c>
      <c r="BM25" s="12" t="str">
        <f>IFERROR(INDEX(_names_lookup!$B:$B,MATCH(BK25,_names_lookup!$A:$A,0)),"")</f>
        <v/>
      </c>
      <c r="BN25" s="12"/>
      <c r="BO25" s="12"/>
      <c r="BP25" s="12"/>
      <c r="BQ25" s="12"/>
      <c r="BR25" s="12"/>
      <c r="BS25" s="12" t="str">
        <f t="shared" si="10"/>
        <v/>
      </c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</row>
    <row r="26" spans="1:121" ht="16" customHeight="1" x14ac:dyDescent="0.2">
      <c r="A26" s="16"/>
      <c r="B26" s="16"/>
      <c r="C26" s="16"/>
      <c r="D26" s="16"/>
      <c r="E26" s="16"/>
      <c r="F26" s="16"/>
      <c r="G26" s="16"/>
      <c r="H26" s="12"/>
      <c r="I26" s="12"/>
      <c r="J26" s="12"/>
      <c r="K26" s="12"/>
      <c r="L26" s="12"/>
      <c r="M26" s="12"/>
      <c r="N26" s="12"/>
      <c r="O26" s="12" t="str">
        <f>IFERROR(INDEX(_courses_lookup!$C:$C,MATCH(K26&amp;L26,_courses_lookup!$E:$E,0)),"")</f>
        <v/>
      </c>
      <c r="P26" s="12" t="str">
        <f>IFERROR(INDEX(_courses_lookup!$D:$D,MATCH(K26&amp;L26,_courses_lookup!$E:$E,0)),"")</f>
        <v/>
      </c>
      <c r="Q26" s="12"/>
      <c r="R26" s="12"/>
      <c r="S26" s="12"/>
      <c r="T26" s="12"/>
      <c r="U26" s="12"/>
      <c r="V26" s="12"/>
      <c r="W26" s="12"/>
      <c r="X26" s="12"/>
      <c r="Y26" s="8"/>
      <c r="Z26" s="12"/>
      <c r="AA26" s="12"/>
      <c r="AB26" s="12"/>
      <c r="AC26" s="12"/>
      <c r="AD26" s="12"/>
      <c r="AE26" s="12"/>
      <c r="AF26" s="12"/>
      <c r="AG26" s="12" t="str">
        <f t="shared" si="0"/>
        <v/>
      </c>
      <c r="AH26" s="12"/>
      <c r="AI26" s="12" t="str">
        <f t="shared" si="1"/>
        <v/>
      </c>
      <c r="AJ26" s="12"/>
      <c r="AK26" s="12"/>
      <c r="AL26" s="12" t="str">
        <f t="shared" si="2"/>
        <v/>
      </c>
      <c r="AM26" s="12"/>
      <c r="AN26" s="12" t="str">
        <f t="shared" si="3"/>
        <v/>
      </c>
      <c r="AO26" s="12"/>
      <c r="AP26" s="12"/>
      <c r="AQ26" s="12" t="str">
        <f t="shared" si="4"/>
        <v/>
      </c>
      <c r="AR26" s="12" t="str">
        <f t="shared" si="5"/>
        <v/>
      </c>
      <c r="AS26" s="12" t="str">
        <f t="shared" si="6"/>
        <v/>
      </c>
      <c r="AT26" s="12" t="str">
        <f t="shared" si="7"/>
        <v/>
      </c>
      <c r="AU26" s="12"/>
      <c r="AV26" s="12"/>
      <c r="AW26" s="12"/>
      <c r="AX26" s="12"/>
      <c r="AY26" s="12"/>
      <c r="AZ26" s="8"/>
      <c r="BA26" s="12"/>
      <c r="BB26" s="12"/>
      <c r="BC26" s="12"/>
      <c r="BD26" s="12"/>
      <c r="BE26" s="12"/>
      <c r="BF26" s="12"/>
      <c r="BG26" s="12" t="str">
        <f t="shared" si="8"/>
        <v/>
      </c>
      <c r="BH26" s="12" t="str">
        <f t="shared" si="9"/>
        <v/>
      </c>
      <c r="BI26" s="12"/>
      <c r="BJ26" s="12"/>
      <c r="BK26" s="8" t="str">
        <f>IF($BJ26="","",IFERROR(INDEX(InstructorMap!$B:$B, MATCH($BJ26, InstructorMap!$A:$A, 0)),""))</f>
        <v/>
      </c>
      <c r="BL26" s="8" t="str">
        <f>IFERROR(INDEX(_names_lookup!$C:$C,MATCH(BK26,_names_lookup!$A:$A,0)),"")</f>
        <v/>
      </c>
      <c r="BM26" s="12" t="str">
        <f>IFERROR(INDEX(_names_lookup!$B:$B,MATCH(BK26,_names_lookup!$A:$A,0)),"")</f>
        <v/>
      </c>
      <c r="BN26" s="12"/>
      <c r="BO26" s="12"/>
      <c r="BP26" s="12"/>
      <c r="BQ26" s="12"/>
      <c r="BR26" s="12"/>
      <c r="BS26" s="12" t="str">
        <f t="shared" si="10"/>
        <v/>
      </c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</row>
    <row r="27" spans="1:121" ht="16" customHeight="1" x14ac:dyDescent="0.2">
      <c r="A27" s="16"/>
      <c r="B27" s="16"/>
      <c r="C27" s="16"/>
      <c r="D27" s="16"/>
      <c r="E27" s="16"/>
      <c r="F27" s="16"/>
      <c r="G27" s="16"/>
      <c r="H27" s="12"/>
      <c r="I27" s="12"/>
      <c r="J27" s="12"/>
      <c r="K27" s="12"/>
      <c r="L27" s="12"/>
      <c r="M27" s="12"/>
      <c r="N27" s="12"/>
      <c r="O27" s="12" t="str">
        <f>IFERROR(INDEX(_courses_lookup!$C:$C,MATCH(K27&amp;L27,_courses_lookup!$E:$E,0)),"")</f>
        <v/>
      </c>
      <c r="P27" s="12" t="str">
        <f>IFERROR(INDEX(_courses_lookup!$D:$D,MATCH(K27&amp;L27,_courses_lookup!$E:$E,0)),"")</f>
        <v/>
      </c>
      <c r="Q27" s="12"/>
      <c r="R27" s="12"/>
      <c r="S27" s="12"/>
      <c r="T27" s="12"/>
      <c r="U27" s="12"/>
      <c r="V27" s="12"/>
      <c r="W27" s="12"/>
      <c r="X27" s="12"/>
      <c r="Y27" s="8"/>
      <c r="Z27" s="12"/>
      <c r="AA27" s="12"/>
      <c r="AB27" s="12"/>
      <c r="AC27" s="12"/>
      <c r="AD27" s="12"/>
      <c r="AE27" s="12"/>
      <c r="AF27" s="12"/>
      <c r="AG27" s="12" t="str">
        <f t="shared" si="0"/>
        <v/>
      </c>
      <c r="AH27" s="12"/>
      <c r="AI27" s="12" t="str">
        <f t="shared" si="1"/>
        <v/>
      </c>
      <c r="AJ27" s="12"/>
      <c r="AK27" s="12"/>
      <c r="AL27" s="12" t="str">
        <f t="shared" si="2"/>
        <v/>
      </c>
      <c r="AM27" s="12"/>
      <c r="AN27" s="12" t="str">
        <f t="shared" si="3"/>
        <v/>
      </c>
      <c r="AO27" s="12"/>
      <c r="AP27" s="12"/>
      <c r="AQ27" s="12" t="str">
        <f t="shared" si="4"/>
        <v/>
      </c>
      <c r="AR27" s="12" t="str">
        <f t="shared" si="5"/>
        <v/>
      </c>
      <c r="AS27" s="12" t="str">
        <f t="shared" si="6"/>
        <v/>
      </c>
      <c r="AT27" s="12" t="str">
        <f t="shared" si="7"/>
        <v/>
      </c>
      <c r="AU27" s="12"/>
      <c r="AV27" s="12"/>
      <c r="AW27" s="12"/>
      <c r="AX27" s="12"/>
      <c r="AY27" s="12"/>
      <c r="AZ27" s="8"/>
      <c r="BA27" s="12"/>
      <c r="BB27" s="12"/>
      <c r="BC27" s="12"/>
      <c r="BD27" s="12"/>
      <c r="BE27" s="12"/>
      <c r="BF27" s="12"/>
      <c r="BG27" s="12" t="str">
        <f t="shared" si="8"/>
        <v/>
      </c>
      <c r="BH27" s="12" t="str">
        <f t="shared" si="9"/>
        <v/>
      </c>
      <c r="BI27" s="12"/>
      <c r="BJ27" s="12"/>
      <c r="BK27" s="8" t="str">
        <f>IF($BJ27="","",IFERROR(INDEX(InstructorMap!$B:$B, MATCH($BJ27, InstructorMap!$A:$A, 0)),""))</f>
        <v/>
      </c>
      <c r="BL27" s="8" t="str">
        <f>IFERROR(INDEX(_names_lookup!$C:$C,MATCH(BK27,_names_lookup!$A:$A,0)),"")</f>
        <v/>
      </c>
      <c r="BM27" s="12" t="str">
        <f>IFERROR(INDEX(_names_lookup!$B:$B,MATCH(BK27,_names_lookup!$A:$A,0)),"")</f>
        <v/>
      </c>
      <c r="BN27" s="12"/>
      <c r="BO27" s="12"/>
      <c r="BP27" s="12"/>
      <c r="BQ27" s="12"/>
      <c r="BR27" s="12"/>
      <c r="BS27" s="12" t="str">
        <f t="shared" si="10"/>
        <v/>
      </c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</row>
    <row r="28" spans="1:121" ht="16" customHeight="1" x14ac:dyDescent="0.2">
      <c r="A28" s="16"/>
      <c r="B28" s="16"/>
      <c r="C28" s="16"/>
      <c r="D28" s="16"/>
      <c r="E28" s="16"/>
      <c r="F28" s="16"/>
      <c r="G28" s="16"/>
      <c r="H28" s="12"/>
      <c r="I28" s="12"/>
      <c r="J28" s="12"/>
      <c r="K28" s="12"/>
      <c r="L28" s="12"/>
      <c r="M28" s="12"/>
      <c r="N28" s="12"/>
      <c r="O28" s="12" t="str">
        <f>IFERROR(INDEX(_courses_lookup!$C:$C,MATCH(K28&amp;L28,_courses_lookup!$E:$E,0)),"")</f>
        <v/>
      </c>
      <c r="P28" s="12" t="str">
        <f>IFERROR(INDEX(_courses_lookup!$D:$D,MATCH(K28&amp;L28,_courses_lookup!$E:$E,0)),"")</f>
        <v/>
      </c>
      <c r="Q28" s="12"/>
      <c r="R28" s="12"/>
      <c r="S28" s="12"/>
      <c r="T28" s="12"/>
      <c r="U28" s="12"/>
      <c r="V28" s="12"/>
      <c r="W28" s="12"/>
      <c r="X28" s="12"/>
      <c r="Y28" s="8"/>
      <c r="Z28" s="12"/>
      <c r="AA28" s="12"/>
      <c r="AB28" s="12"/>
      <c r="AC28" s="12"/>
      <c r="AD28" s="12"/>
      <c r="AE28" s="12"/>
      <c r="AF28" s="12"/>
      <c r="AG28" s="12" t="str">
        <f t="shared" si="0"/>
        <v/>
      </c>
      <c r="AH28" s="12"/>
      <c r="AI28" s="12" t="str">
        <f t="shared" si="1"/>
        <v/>
      </c>
      <c r="AJ28" s="12"/>
      <c r="AK28" s="12"/>
      <c r="AL28" s="12" t="str">
        <f t="shared" si="2"/>
        <v/>
      </c>
      <c r="AM28" s="12"/>
      <c r="AN28" s="12" t="str">
        <f t="shared" si="3"/>
        <v/>
      </c>
      <c r="AO28" s="12"/>
      <c r="AP28" s="12"/>
      <c r="AQ28" s="12" t="str">
        <f t="shared" si="4"/>
        <v/>
      </c>
      <c r="AR28" s="12" t="str">
        <f t="shared" si="5"/>
        <v/>
      </c>
      <c r="AS28" s="12" t="str">
        <f t="shared" si="6"/>
        <v/>
      </c>
      <c r="AT28" s="12" t="str">
        <f t="shared" si="7"/>
        <v/>
      </c>
      <c r="AU28" s="12"/>
      <c r="AV28" s="12"/>
      <c r="AW28" s="12"/>
      <c r="AX28" s="12"/>
      <c r="AY28" s="12"/>
      <c r="AZ28" s="8"/>
      <c r="BA28" s="12"/>
      <c r="BB28" s="12"/>
      <c r="BC28" s="12"/>
      <c r="BD28" s="12"/>
      <c r="BE28" s="12"/>
      <c r="BF28" s="12"/>
      <c r="BG28" s="12" t="str">
        <f t="shared" si="8"/>
        <v/>
      </c>
      <c r="BH28" s="12" t="str">
        <f t="shared" si="9"/>
        <v/>
      </c>
      <c r="BI28" s="12"/>
      <c r="BJ28" s="12"/>
      <c r="BK28" s="8" t="str">
        <f>IF($BJ28="","",IFERROR(INDEX(InstructorMap!$B:$B, MATCH($BJ28, InstructorMap!$A:$A, 0)),""))</f>
        <v/>
      </c>
      <c r="BL28" s="8" t="str">
        <f>IFERROR(INDEX(_names_lookup!$C:$C,MATCH(BK28,_names_lookup!$A:$A,0)),"")</f>
        <v/>
      </c>
      <c r="BM28" s="12" t="str">
        <f>IFERROR(INDEX(_names_lookup!$B:$B,MATCH(BK28,_names_lookup!$A:$A,0)),"")</f>
        <v/>
      </c>
      <c r="BN28" s="12"/>
      <c r="BO28" s="12"/>
      <c r="BP28" s="12"/>
      <c r="BQ28" s="12"/>
      <c r="BR28" s="12"/>
      <c r="BS28" s="12" t="str">
        <f t="shared" si="10"/>
        <v/>
      </c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</row>
    <row r="29" spans="1:121" ht="16" customHeight="1" x14ac:dyDescent="0.2">
      <c r="A29" s="16"/>
      <c r="B29" s="16"/>
      <c r="C29" s="16"/>
      <c r="D29" s="16"/>
      <c r="E29" s="16"/>
      <c r="F29" s="16"/>
      <c r="G29" s="16"/>
      <c r="H29" s="12"/>
      <c r="I29" s="12"/>
      <c r="J29" s="12"/>
      <c r="K29" s="12"/>
      <c r="L29" s="12"/>
      <c r="M29" s="12"/>
      <c r="N29" s="12"/>
      <c r="O29" s="12" t="str">
        <f>IFERROR(INDEX(_courses_lookup!$C:$C,MATCH(K29&amp;L29,_courses_lookup!$E:$E,0)),"")</f>
        <v/>
      </c>
      <c r="P29" s="12" t="str">
        <f>IFERROR(INDEX(_courses_lookup!$D:$D,MATCH(K29&amp;L29,_courses_lookup!$E:$E,0)),"")</f>
        <v/>
      </c>
      <c r="Q29" s="12"/>
      <c r="R29" s="12"/>
      <c r="S29" s="12"/>
      <c r="T29" s="12"/>
      <c r="U29" s="12"/>
      <c r="V29" s="12"/>
      <c r="W29" s="12"/>
      <c r="X29" s="12"/>
      <c r="Y29" s="8"/>
      <c r="Z29" s="12"/>
      <c r="AA29" s="12"/>
      <c r="AB29" s="12"/>
      <c r="AC29" s="12"/>
      <c r="AD29" s="12"/>
      <c r="AE29" s="12"/>
      <c r="AF29" s="12"/>
      <c r="AG29" s="12" t="str">
        <f t="shared" si="0"/>
        <v/>
      </c>
      <c r="AH29" s="12"/>
      <c r="AI29" s="12" t="str">
        <f t="shared" si="1"/>
        <v/>
      </c>
      <c r="AJ29" s="12"/>
      <c r="AK29" s="12"/>
      <c r="AL29" s="12" t="str">
        <f t="shared" si="2"/>
        <v/>
      </c>
      <c r="AM29" s="12"/>
      <c r="AN29" s="12" t="str">
        <f t="shared" si="3"/>
        <v/>
      </c>
      <c r="AO29" s="12"/>
      <c r="AP29" s="12"/>
      <c r="AQ29" s="12" t="str">
        <f t="shared" si="4"/>
        <v/>
      </c>
      <c r="AR29" s="12" t="str">
        <f t="shared" si="5"/>
        <v/>
      </c>
      <c r="AS29" s="12" t="str">
        <f t="shared" si="6"/>
        <v/>
      </c>
      <c r="AT29" s="12" t="str">
        <f t="shared" si="7"/>
        <v/>
      </c>
      <c r="AU29" s="12"/>
      <c r="AV29" s="12"/>
      <c r="AW29" s="12"/>
      <c r="AX29" s="12"/>
      <c r="AY29" s="12"/>
      <c r="AZ29" s="8"/>
      <c r="BA29" s="12"/>
      <c r="BB29" s="12"/>
      <c r="BC29" s="12"/>
      <c r="BD29" s="12"/>
      <c r="BE29" s="12"/>
      <c r="BF29" s="12"/>
      <c r="BG29" s="12" t="str">
        <f t="shared" si="8"/>
        <v/>
      </c>
      <c r="BH29" s="12" t="str">
        <f t="shared" si="9"/>
        <v/>
      </c>
      <c r="BI29" s="12"/>
      <c r="BJ29" s="12"/>
      <c r="BK29" s="8" t="str">
        <f>IF($BJ29="","",IFERROR(INDEX(InstructorMap!$B:$B, MATCH($BJ29, InstructorMap!$A:$A, 0)),""))</f>
        <v/>
      </c>
      <c r="BL29" s="8" t="str">
        <f>IFERROR(INDEX(_names_lookup!$C:$C,MATCH(BK29,_names_lookup!$A:$A,0)),"")</f>
        <v/>
      </c>
      <c r="BM29" s="12" t="str">
        <f>IFERROR(INDEX(_names_lookup!$B:$B,MATCH(BK29,_names_lookup!$A:$A,0)),"")</f>
        <v/>
      </c>
      <c r="BN29" s="12"/>
      <c r="BO29" s="12"/>
      <c r="BP29" s="12"/>
      <c r="BQ29" s="12"/>
      <c r="BR29" s="12"/>
      <c r="BS29" s="12" t="str">
        <f t="shared" si="10"/>
        <v/>
      </c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</row>
    <row r="30" spans="1:121" ht="16" customHeight="1" x14ac:dyDescent="0.2">
      <c r="A30" s="16"/>
      <c r="B30" s="16"/>
      <c r="C30" s="16"/>
      <c r="D30" s="16"/>
      <c r="E30" s="16"/>
      <c r="F30" s="16"/>
      <c r="G30" s="16"/>
      <c r="H30" s="12"/>
      <c r="I30" s="12"/>
      <c r="J30" s="12"/>
      <c r="K30" s="12"/>
      <c r="L30" s="12"/>
      <c r="M30" s="12"/>
      <c r="N30" s="12"/>
      <c r="O30" s="12" t="str">
        <f>IFERROR(INDEX(_courses_lookup!$C:$C,MATCH(K30&amp;L30,_courses_lookup!$E:$E,0)),"")</f>
        <v/>
      </c>
      <c r="P30" s="12" t="str">
        <f>IFERROR(INDEX(_courses_lookup!$D:$D,MATCH(K30&amp;L30,_courses_lookup!$E:$E,0)),"")</f>
        <v/>
      </c>
      <c r="Q30" s="12"/>
      <c r="R30" s="12"/>
      <c r="S30" s="12"/>
      <c r="T30" s="12"/>
      <c r="U30" s="12"/>
      <c r="V30" s="12"/>
      <c r="W30" s="12"/>
      <c r="X30" s="12"/>
      <c r="Y30" s="8"/>
      <c r="Z30" s="12"/>
      <c r="AA30" s="12"/>
      <c r="AB30" s="12"/>
      <c r="AC30" s="12"/>
      <c r="AD30" s="12"/>
      <c r="AE30" s="12"/>
      <c r="AF30" s="12"/>
      <c r="AG30" s="12" t="str">
        <f t="shared" si="0"/>
        <v/>
      </c>
      <c r="AH30" s="12"/>
      <c r="AI30" s="12" t="str">
        <f t="shared" si="1"/>
        <v/>
      </c>
      <c r="AJ30" s="12"/>
      <c r="AK30" s="12"/>
      <c r="AL30" s="12" t="str">
        <f t="shared" si="2"/>
        <v/>
      </c>
      <c r="AM30" s="12"/>
      <c r="AN30" s="12" t="str">
        <f t="shared" si="3"/>
        <v/>
      </c>
      <c r="AO30" s="12"/>
      <c r="AP30" s="12"/>
      <c r="AQ30" s="12" t="str">
        <f t="shared" si="4"/>
        <v/>
      </c>
      <c r="AR30" s="12" t="str">
        <f t="shared" si="5"/>
        <v/>
      </c>
      <c r="AS30" s="12" t="str">
        <f t="shared" si="6"/>
        <v/>
      </c>
      <c r="AT30" s="12" t="str">
        <f t="shared" si="7"/>
        <v/>
      </c>
      <c r="AU30" s="12"/>
      <c r="AV30" s="12"/>
      <c r="AW30" s="12"/>
      <c r="AX30" s="12"/>
      <c r="AY30" s="12"/>
      <c r="AZ30" s="8"/>
      <c r="BA30" s="12"/>
      <c r="BB30" s="12"/>
      <c r="BC30" s="12"/>
      <c r="BD30" s="12"/>
      <c r="BE30" s="12"/>
      <c r="BF30" s="12"/>
      <c r="BG30" s="12" t="str">
        <f t="shared" si="8"/>
        <v/>
      </c>
      <c r="BH30" s="12" t="str">
        <f t="shared" si="9"/>
        <v/>
      </c>
      <c r="BI30" s="12"/>
      <c r="BJ30" s="12"/>
      <c r="BK30" s="8" t="str">
        <f>IF($BJ30="","",IFERROR(INDEX(InstructorMap!$B:$B, MATCH($BJ30, InstructorMap!$A:$A, 0)),""))</f>
        <v/>
      </c>
      <c r="BL30" s="8" t="str">
        <f>IFERROR(INDEX(_names_lookup!$C:$C,MATCH(BK30,_names_lookup!$A:$A,0)),"")</f>
        <v/>
      </c>
      <c r="BM30" s="12" t="str">
        <f>IFERROR(INDEX(_names_lookup!$B:$B,MATCH(BK30,_names_lookup!$A:$A,0)),"")</f>
        <v/>
      </c>
      <c r="BN30" s="12"/>
      <c r="BO30" s="12"/>
      <c r="BP30" s="12"/>
      <c r="BQ30" s="12"/>
      <c r="BR30" s="12"/>
      <c r="BS30" s="12" t="str">
        <f t="shared" si="10"/>
        <v/>
      </c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</row>
    <row r="31" spans="1:121" ht="16" customHeight="1" x14ac:dyDescent="0.2">
      <c r="A31" s="16"/>
      <c r="B31" s="16"/>
      <c r="C31" s="16"/>
      <c r="D31" s="16"/>
      <c r="E31" s="16"/>
      <c r="F31" s="16"/>
      <c r="G31" s="16"/>
      <c r="H31" s="12"/>
      <c r="I31" s="12"/>
      <c r="J31" s="12"/>
      <c r="K31" s="12"/>
      <c r="L31" s="12"/>
      <c r="M31" s="12"/>
      <c r="N31" s="12"/>
      <c r="O31" s="12" t="str">
        <f>IFERROR(INDEX(_courses_lookup!$C:$C,MATCH(K31&amp;L31,_courses_lookup!$E:$E,0)),"")</f>
        <v/>
      </c>
      <c r="P31" s="12" t="str">
        <f>IFERROR(INDEX(_courses_lookup!$D:$D,MATCH(K31&amp;L31,_courses_lookup!$E:$E,0)),"")</f>
        <v/>
      </c>
      <c r="Q31" s="12"/>
      <c r="R31" s="12"/>
      <c r="S31" s="12"/>
      <c r="T31" s="12"/>
      <c r="U31" s="12"/>
      <c r="V31" s="12"/>
      <c r="W31" s="12"/>
      <c r="X31" s="12"/>
      <c r="Y31" s="8"/>
      <c r="Z31" s="12"/>
      <c r="AA31" s="12"/>
      <c r="AB31" s="12"/>
      <c r="AC31" s="12"/>
      <c r="AD31" s="12"/>
      <c r="AE31" s="12"/>
      <c r="AF31" s="12"/>
      <c r="AG31" s="12" t="str">
        <f t="shared" si="0"/>
        <v/>
      </c>
      <c r="AH31" s="12"/>
      <c r="AI31" s="12" t="str">
        <f t="shared" si="1"/>
        <v/>
      </c>
      <c r="AJ31" s="12"/>
      <c r="AK31" s="12"/>
      <c r="AL31" s="12" t="str">
        <f t="shared" si="2"/>
        <v/>
      </c>
      <c r="AM31" s="12"/>
      <c r="AN31" s="12" t="str">
        <f t="shared" si="3"/>
        <v/>
      </c>
      <c r="AO31" s="12"/>
      <c r="AP31" s="12"/>
      <c r="AQ31" s="12" t="str">
        <f t="shared" si="4"/>
        <v/>
      </c>
      <c r="AR31" s="12" t="str">
        <f t="shared" si="5"/>
        <v/>
      </c>
      <c r="AS31" s="12" t="str">
        <f t="shared" si="6"/>
        <v/>
      </c>
      <c r="AT31" s="12" t="str">
        <f t="shared" si="7"/>
        <v/>
      </c>
      <c r="AU31" s="12"/>
      <c r="AV31" s="12"/>
      <c r="AW31" s="12"/>
      <c r="AX31" s="12"/>
      <c r="AY31" s="12"/>
      <c r="AZ31" s="8"/>
      <c r="BA31" s="12"/>
      <c r="BB31" s="12"/>
      <c r="BC31" s="12"/>
      <c r="BD31" s="12"/>
      <c r="BE31" s="12"/>
      <c r="BF31" s="12"/>
      <c r="BG31" s="12" t="str">
        <f t="shared" si="8"/>
        <v/>
      </c>
      <c r="BH31" s="12" t="str">
        <f t="shared" si="9"/>
        <v/>
      </c>
      <c r="BI31" s="12"/>
      <c r="BJ31" s="12"/>
      <c r="BK31" s="8" t="str">
        <f>IF($BJ31="","",IFERROR(INDEX(InstructorMap!$B:$B, MATCH($BJ31, InstructorMap!$A:$A, 0)),""))</f>
        <v/>
      </c>
      <c r="BL31" s="8" t="str">
        <f>IFERROR(INDEX(_names_lookup!$C:$C,MATCH(BK31,_names_lookup!$A:$A,0)),"")</f>
        <v/>
      </c>
      <c r="BM31" s="12" t="str">
        <f>IFERROR(INDEX(_names_lookup!$B:$B,MATCH(BK31,_names_lookup!$A:$A,0)),"")</f>
        <v/>
      </c>
      <c r="BN31" s="12"/>
      <c r="BO31" s="12"/>
      <c r="BP31" s="12"/>
      <c r="BQ31" s="12"/>
      <c r="BR31" s="12"/>
      <c r="BS31" s="12" t="str">
        <f t="shared" si="10"/>
        <v/>
      </c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</row>
    <row r="32" spans="1:121" ht="16" customHeight="1" x14ac:dyDescent="0.2">
      <c r="A32" s="16"/>
      <c r="B32" s="16"/>
      <c r="C32" s="16"/>
      <c r="D32" s="16"/>
      <c r="E32" s="16"/>
      <c r="F32" s="16"/>
      <c r="G32" s="16"/>
      <c r="H32" s="12"/>
      <c r="I32" s="12"/>
      <c r="J32" s="12"/>
      <c r="K32" s="12"/>
      <c r="L32" s="12"/>
      <c r="M32" s="12"/>
      <c r="N32" s="12"/>
      <c r="O32" s="12" t="str">
        <f>IFERROR(INDEX(_courses_lookup!$C:$C,MATCH(K32&amp;L32,_courses_lookup!$E:$E,0)),"")</f>
        <v/>
      </c>
      <c r="P32" s="12" t="str">
        <f>IFERROR(INDEX(_courses_lookup!$D:$D,MATCH(K32&amp;L32,_courses_lookup!$E:$E,0)),"")</f>
        <v/>
      </c>
      <c r="Q32" s="12"/>
      <c r="R32" s="12"/>
      <c r="S32" s="12"/>
      <c r="T32" s="12"/>
      <c r="U32" s="12"/>
      <c r="V32" s="12"/>
      <c r="W32" s="12"/>
      <c r="X32" s="12"/>
      <c r="Y32" s="8"/>
      <c r="Z32" s="12"/>
      <c r="AA32" s="12"/>
      <c r="AB32" s="12"/>
      <c r="AC32" s="12"/>
      <c r="AD32" s="12"/>
      <c r="AE32" s="12"/>
      <c r="AF32" s="12"/>
      <c r="AG32" s="12" t="str">
        <f t="shared" si="0"/>
        <v/>
      </c>
      <c r="AH32" s="12"/>
      <c r="AI32" s="12" t="str">
        <f t="shared" si="1"/>
        <v/>
      </c>
      <c r="AJ32" s="12"/>
      <c r="AK32" s="12"/>
      <c r="AL32" s="12" t="str">
        <f t="shared" si="2"/>
        <v/>
      </c>
      <c r="AM32" s="12"/>
      <c r="AN32" s="12" t="str">
        <f t="shared" si="3"/>
        <v/>
      </c>
      <c r="AO32" s="12"/>
      <c r="AP32" s="12"/>
      <c r="AQ32" s="12" t="str">
        <f t="shared" si="4"/>
        <v/>
      </c>
      <c r="AR32" s="12" t="str">
        <f t="shared" si="5"/>
        <v/>
      </c>
      <c r="AS32" s="12" t="str">
        <f t="shared" si="6"/>
        <v/>
      </c>
      <c r="AT32" s="12" t="str">
        <f t="shared" si="7"/>
        <v/>
      </c>
      <c r="AU32" s="12"/>
      <c r="AV32" s="12"/>
      <c r="AW32" s="12"/>
      <c r="AX32" s="12"/>
      <c r="AY32" s="12"/>
      <c r="AZ32" s="8"/>
      <c r="BA32" s="12"/>
      <c r="BB32" s="12"/>
      <c r="BC32" s="12"/>
      <c r="BD32" s="12"/>
      <c r="BE32" s="12"/>
      <c r="BF32" s="12"/>
      <c r="BG32" s="12" t="str">
        <f t="shared" si="8"/>
        <v/>
      </c>
      <c r="BH32" s="12" t="str">
        <f t="shared" si="9"/>
        <v/>
      </c>
      <c r="BI32" s="12"/>
      <c r="BJ32" s="12"/>
      <c r="BK32" s="8" t="str">
        <f>IF($BJ32="","",IFERROR(INDEX(InstructorMap!$B:$B, MATCH($BJ32, InstructorMap!$A:$A, 0)),""))</f>
        <v/>
      </c>
      <c r="BL32" s="8" t="str">
        <f>IFERROR(INDEX(_names_lookup!$C:$C,MATCH(BK32,_names_lookup!$A:$A,0)),"")</f>
        <v/>
      </c>
      <c r="BM32" s="12" t="str">
        <f>IFERROR(INDEX(_names_lookup!$B:$B,MATCH(BK32,_names_lookup!$A:$A,0)),"")</f>
        <v/>
      </c>
      <c r="BN32" s="12"/>
      <c r="BO32" s="12"/>
      <c r="BP32" s="12"/>
      <c r="BQ32" s="12"/>
      <c r="BR32" s="12"/>
      <c r="BS32" s="12" t="str">
        <f t="shared" si="10"/>
        <v/>
      </c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</row>
    <row r="33" spans="1:121" ht="16" customHeight="1" x14ac:dyDescent="0.2">
      <c r="A33" s="16"/>
      <c r="B33" s="16"/>
      <c r="C33" s="16"/>
      <c r="D33" s="16"/>
      <c r="E33" s="16"/>
      <c r="F33" s="16"/>
      <c r="G33" s="16"/>
      <c r="H33" s="12"/>
      <c r="I33" s="12"/>
      <c r="J33" s="12"/>
      <c r="K33" s="12"/>
      <c r="L33" s="12"/>
      <c r="M33" s="12"/>
      <c r="N33" s="12"/>
      <c r="O33" s="12" t="str">
        <f>IFERROR(INDEX(_courses_lookup!$C:$C,MATCH(K33&amp;L33,_courses_lookup!$E:$E,0)),"")</f>
        <v/>
      </c>
      <c r="P33" s="12" t="str">
        <f>IFERROR(INDEX(_courses_lookup!$D:$D,MATCH(K33&amp;L33,_courses_lookup!$E:$E,0)),"")</f>
        <v/>
      </c>
      <c r="Q33" s="12"/>
      <c r="R33" s="12"/>
      <c r="S33" s="12"/>
      <c r="T33" s="12"/>
      <c r="U33" s="12"/>
      <c r="V33" s="12"/>
      <c r="W33" s="12"/>
      <c r="X33" s="12"/>
      <c r="Y33" s="8"/>
      <c r="Z33" s="12"/>
      <c r="AA33" s="12"/>
      <c r="AB33" s="12"/>
      <c r="AC33" s="12"/>
      <c r="AD33" s="12"/>
      <c r="AE33" s="12"/>
      <c r="AF33" s="12"/>
      <c r="AG33" s="12" t="str">
        <f t="shared" si="0"/>
        <v/>
      </c>
      <c r="AH33" s="12"/>
      <c r="AI33" s="12" t="str">
        <f t="shared" si="1"/>
        <v/>
      </c>
      <c r="AJ33" s="12"/>
      <c r="AK33" s="12"/>
      <c r="AL33" s="12" t="str">
        <f t="shared" si="2"/>
        <v/>
      </c>
      <c r="AM33" s="12"/>
      <c r="AN33" s="12" t="str">
        <f t="shared" si="3"/>
        <v/>
      </c>
      <c r="AO33" s="12"/>
      <c r="AP33" s="12"/>
      <c r="AQ33" s="12" t="str">
        <f t="shared" si="4"/>
        <v/>
      </c>
      <c r="AR33" s="12" t="str">
        <f t="shared" si="5"/>
        <v/>
      </c>
      <c r="AS33" s="12" t="str">
        <f t="shared" si="6"/>
        <v/>
      </c>
      <c r="AT33" s="12" t="str">
        <f t="shared" si="7"/>
        <v/>
      </c>
      <c r="AU33" s="12"/>
      <c r="AV33" s="12"/>
      <c r="AW33" s="12"/>
      <c r="AX33" s="12"/>
      <c r="AY33" s="12"/>
      <c r="AZ33" s="8"/>
      <c r="BA33" s="12"/>
      <c r="BB33" s="12"/>
      <c r="BC33" s="12"/>
      <c r="BD33" s="12"/>
      <c r="BE33" s="12"/>
      <c r="BF33" s="12"/>
      <c r="BG33" s="12" t="str">
        <f t="shared" si="8"/>
        <v/>
      </c>
      <c r="BH33" s="12" t="str">
        <f t="shared" si="9"/>
        <v/>
      </c>
      <c r="BI33" s="12"/>
      <c r="BJ33" s="12"/>
      <c r="BK33" s="8" t="str">
        <f>IF($BJ33="","",IFERROR(INDEX(InstructorMap!$B:$B, MATCH($BJ33, InstructorMap!$A:$A, 0)),""))</f>
        <v/>
      </c>
      <c r="BL33" s="8" t="str">
        <f>IFERROR(INDEX(_names_lookup!$C:$C,MATCH(BK33,_names_lookup!$A:$A,0)),"")</f>
        <v/>
      </c>
      <c r="BM33" s="12" t="str">
        <f>IFERROR(INDEX(_names_lookup!$B:$B,MATCH(BK33,_names_lookup!$A:$A,0)),"")</f>
        <v/>
      </c>
      <c r="BN33" s="12"/>
      <c r="BO33" s="12"/>
      <c r="BP33" s="12"/>
      <c r="BQ33" s="12"/>
      <c r="BR33" s="12"/>
      <c r="BS33" s="12" t="str">
        <f t="shared" si="10"/>
        <v/>
      </c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</row>
    <row r="34" spans="1:121" ht="16" customHeight="1" x14ac:dyDescent="0.2">
      <c r="A34" s="16"/>
      <c r="B34" s="16"/>
      <c r="C34" s="16"/>
      <c r="D34" s="16"/>
      <c r="E34" s="16"/>
      <c r="F34" s="16"/>
      <c r="G34" s="16"/>
      <c r="H34" s="12"/>
      <c r="I34" s="12"/>
      <c r="J34" s="12"/>
      <c r="K34" s="12"/>
      <c r="L34" s="12"/>
      <c r="M34" s="12"/>
      <c r="N34" s="12"/>
      <c r="O34" s="12" t="str">
        <f>IFERROR(INDEX(_courses_lookup!$C:$C,MATCH(K34&amp;L34,_courses_lookup!$E:$E,0)),"")</f>
        <v/>
      </c>
      <c r="P34" s="12" t="str">
        <f>IFERROR(INDEX(_courses_lookup!$D:$D,MATCH(K34&amp;L34,_courses_lookup!$E:$E,0)),"")</f>
        <v/>
      </c>
      <c r="Q34" s="12"/>
      <c r="R34" s="12"/>
      <c r="S34" s="12"/>
      <c r="T34" s="12"/>
      <c r="U34" s="12"/>
      <c r="V34" s="12"/>
      <c r="W34" s="12"/>
      <c r="X34" s="12"/>
      <c r="Y34" s="8"/>
      <c r="Z34" s="12"/>
      <c r="AA34" s="12"/>
      <c r="AB34" s="12"/>
      <c r="AC34" s="12"/>
      <c r="AD34" s="12"/>
      <c r="AE34" s="12"/>
      <c r="AF34" s="12"/>
      <c r="AG34" s="12" t="str">
        <f t="shared" si="0"/>
        <v/>
      </c>
      <c r="AH34" s="12"/>
      <c r="AI34" s="12" t="str">
        <f t="shared" si="1"/>
        <v/>
      </c>
      <c r="AJ34" s="12"/>
      <c r="AK34" s="12"/>
      <c r="AL34" s="12" t="str">
        <f t="shared" si="2"/>
        <v/>
      </c>
      <c r="AM34" s="12"/>
      <c r="AN34" s="12" t="str">
        <f t="shared" si="3"/>
        <v/>
      </c>
      <c r="AO34" s="12"/>
      <c r="AP34" s="12"/>
      <c r="AQ34" s="12" t="str">
        <f t="shared" si="4"/>
        <v/>
      </c>
      <c r="AR34" s="12" t="str">
        <f t="shared" si="5"/>
        <v/>
      </c>
      <c r="AS34" s="12" t="str">
        <f t="shared" si="6"/>
        <v/>
      </c>
      <c r="AT34" s="12" t="str">
        <f t="shared" si="7"/>
        <v/>
      </c>
      <c r="AU34" s="12"/>
      <c r="AV34" s="12"/>
      <c r="AW34" s="12"/>
      <c r="AX34" s="12"/>
      <c r="AY34" s="12"/>
      <c r="AZ34" s="8"/>
      <c r="BA34" s="12"/>
      <c r="BB34" s="12"/>
      <c r="BC34" s="12"/>
      <c r="BD34" s="12"/>
      <c r="BE34" s="12"/>
      <c r="BF34" s="12"/>
      <c r="BG34" s="12" t="str">
        <f t="shared" si="8"/>
        <v/>
      </c>
      <c r="BH34" s="12" t="str">
        <f t="shared" si="9"/>
        <v/>
      </c>
      <c r="BI34" s="12"/>
      <c r="BJ34" s="12"/>
      <c r="BK34" s="8" t="str">
        <f>IF($BJ34="","",IFERROR(INDEX(InstructorMap!$B:$B, MATCH($BJ34, InstructorMap!$A:$A, 0)),""))</f>
        <v/>
      </c>
      <c r="BL34" s="8" t="str">
        <f>IFERROR(INDEX(_names_lookup!$C:$C,MATCH(BK34,_names_lookup!$A:$A,0)),"")</f>
        <v/>
      </c>
      <c r="BM34" s="12" t="str">
        <f>IFERROR(INDEX(_names_lookup!$B:$B,MATCH(BK34,_names_lookup!$A:$A,0)),"")</f>
        <v/>
      </c>
      <c r="BN34" s="12"/>
      <c r="BO34" s="12"/>
      <c r="BP34" s="12"/>
      <c r="BQ34" s="12"/>
      <c r="BR34" s="12"/>
      <c r="BS34" s="12" t="str">
        <f t="shared" si="10"/>
        <v/>
      </c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</row>
    <row r="35" spans="1:121" ht="16" customHeight="1" x14ac:dyDescent="0.2">
      <c r="A35" s="16"/>
      <c r="B35" s="16"/>
      <c r="C35" s="16"/>
      <c r="D35" s="16"/>
      <c r="E35" s="16"/>
      <c r="F35" s="16"/>
      <c r="G35" s="16"/>
      <c r="H35" s="12"/>
      <c r="I35" s="12"/>
      <c r="J35" s="12"/>
      <c r="K35" s="12"/>
      <c r="L35" s="12"/>
      <c r="M35" s="12"/>
      <c r="N35" s="12"/>
      <c r="O35" s="12" t="str">
        <f>IFERROR(INDEX(_courses_lookup!$C:$C,MATCH(K35&amp;L35,_courses_lookup!$E:$E,0)),"")</f>
        <v/>
      </c>
      <c r="P35" s="12" t="str">
        <f>IFERROR(INDEX(_courses_lookup!$D:$D,MATCH(K35&amp;L35,_courses_lookup!$E:$E,0)),"")</f>
        <v/>
      </c>
      <c r="Q35" s="12"/>
      <c r="R35" s="12"/>
      <c r="S35" s="12"/>
      <c r="T35" s="12"/>
      <c r="U35" s="12"/>
      <c r="V35" s="12"/>
      <c r="W35" s="12"/>
      <c r="X35" s="12"/>
      <c r="Y35" s="8"/>
      <c r="Z35" s="12"/>
      <c r="AA35" s="12"/>
      <c r="AB35" s="12"/>
      <c r="AC35" s="12"/>
      <c r="AD35" s="12"/>
      <c r="AE35" s="12"/>
      <c r="AF35" s="12"/>
      <c r="AG35" s="12" t="str">
        <f t="shared" si="0"/>
        <v/>
      </c>
      <c r="AH35" s="12"/>
      <c r="AI35" s="12" t="str">
        <f t="shared" si="1"/>
        <v/>
      </c>
      <c r="AJ35" s="12"/>
      <c r="AK35" s="12"/>
      <c r="AL35" s="12" t="str">
        <f t="shared" si="2"/>
        <v/>
      </c>
      <c r="AM35" s="12"/>
      <c r="AN35" s="12" t="str">
        <f t="shared" si="3"/>
        <v/>
      </c>
      <c r="AO35" s="12"/>
      <c r="AP35" s="12"/>
      <c r="AQ35" s="12" t="str">
        <f t="shared" si="4"/>
        <v/>
      </c>
      <c r="AR35" s="12" t="str">
        <f t="shared" si="5"/>
        <v/>
      </c>
      <c r="AS35" s="12" t="str">
        <f t="shared" si="6"/>
        <v/>
      </c>
      <c r="AT35" s="12" t="str">
        <f t="shared" si="7"/>
        <v/>
      </c>
      <c r="AU35" s="12"/>
      <c r="AV35" s="12"/>
      <c r="AW35" s="12"/>
      <c r="AX35" s="12"/>
      <c r="AY35" s="12"/>
      <c r="AZ35" s="8"/>
      <c r="BA35" s="12"/>
      <c r="BB35" s="12"/>
      <c r="BC35" s="12"/>
      <c r="BD35" s="12"/>
      <c r="BE35" s="12"/>
      <c r="BF35" s="12"/>
      <c r="BG35" s="12" t="str">
        <f t="shared" si="8"/>
        <v/>
      </c>
      <c r="BH35" s="12" t="str">
        <f t="shared" si="9"/>
        <v/>
      </c>
      <c r="BI35" s="12"/>
      <c r="BJ35" s="12"/>
      <c r="BK35" s="8" t="str">
        <f>IF($BJ35="","",IFERROR(INDEX(InstructorMap!$B:$B, MATCH($BJ35, InstructorMap!$A:$A, 0)),""))</f>
        <v/>
      </c>
      <c r="BL35" s="8" t="str">
        <f>IFERROR(INDEX(_names_lookup!$C:$C,MATCH(BK35,_names_lookup!$A:$A,0)),"")</f>
        <v/>
      </c>
      <c r="BM35" s="12" t="str">
        <f>IFERROR(INDEX(_names_lookup!$B:$B,MATCH(BK35,_names_lookup!$A:$A,0)),"")</f>
        <v/>
      </c>
      <c r="BN35" s="12"/>
      <c r="BO35" s="12"/>
      <c r="BP35" s="12"/>
      <c r="BQ35" s="12"/>
      <c r="BR35" s="12"/>
      <c r="BS35" s="12" t="str">
        <f t="shared" si="10"/>
        <v/>
      </c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</row>
    <row r="36" spans="1:121" ht="16" customHeight="1" x14ac:dyDescent="0.2">
      <c r="A36" s="16"/>
      <c r="B36" s="16"/>
      <c r="C36" s="16"/>
      <c r="D36" s="16"/>
      <c r="E36" s="16"/>
      <c r="F36" s="16"/>
      <c r="G36" s="16"/>
      <c r="H36" s="12"/>
      <c r="I36" s="12"/>
      <c r="J36" s="12"/>
      <c r="K36" s="12"/>
      <c r="L36" s="12"/>
      <c r="M36" s="12"/>
      <c r="N36" s="12"/>
      <c r="O36" s="12" t="str">
        <f>IFERROR(INDEX(_courses_lookup!$C:$C,MATCH(K36&amp;L36,_courses_lookup!$E:$E,0)),"")</f>
        <v/>
      </c>
      <c r="P36" s="12" t="str">
        <f>IFERROR(INDEX(_courses_lookup!$D:$D,MATCH(K36&amp;L36,_courses_lookup!$E:$E,0)),"")</f>
        <v/>
      </c>
      <c r="Q36" s="12"/>
      <c r="R36" s="12"/>
      <c r="S36" s="12"/>
      <c r="T36" s="12"/>
      <c r="U36" s="12"/>
      <c r="V36" s="12"/>
      <c r="W36" s="12"/>
      <c r="X36" s="12"/>
      <c r="Y36" s="8"/>
      <c r="Z36" s="12"/>
      <c r="AA36" s="12"/>
      <c r="AB36" s="12"/>
      <c r="AC36" s="12"/>
      <c r="AD36" s="12"/>
      <c r="AE36" s="12"/>
      <c r="AF36" s="12"/>
      <c r="AG36" s="12" t="str">
        <f t="shared" si="0"/>
        <v/>
      </c>
      <c r="AH36" s="12"/>
      <c r="AI36" s="12" t="str">
        <f t="shared" si="1"/>
        <v/>
      </c>
      <c r="AJ36" s="12"/>
      <c r="AK36" s="12"/>
      <c r="AL36" s="12" t="str">
        <f t="shared" si="2"/>
        <v/>
      </c>
      <c r="AM36" s="12"/>
      <c r="AN36" s="12" t="str">
        <f t="shared" si="3"/>
        <v/>
      </c>
      <c r="AO36" s="12"/>
      <c r="AP36" s="12"/>
      <c r="AQ36" s="12" t="str">
        <f t="shared" si="4"/>
        <v/>
      </c>
      <c r="AR36" s="12" t="str">
        <f t="shared" si="5"/>
        <v/>
      </c>
      <c r="AS36" s="12" t="str">
        <f t="shared" si="6"/>
        <v/>
      </c>
      <c r="AT36" s="12" t="str">
        <f t="shared" si="7"/>
        <v/>
      </c>
      <c r="AU36" s="12"/>
      <c r="AV36" s="12"/>
      <c r="AW36" s="12"/>
      <c r="AX36" s="12"/>
      <c r="AY36" s="12"/>
      <c r="AZ36" s="8"/>
      <c r="BA36" s="12"/>
      <c r="BB36" s="12"/>
      <c r="BC36" s="12"/>
      <c r="BD36" s="12"/>
      <c r="BE36" s="12"/>
      <c r="BF36" s="12"/>
      <c r="BG36" s="12" t="str">
        <f t="shared" si="8"/>
        <v/>
      </c>
      <c r="BH36" s="12" t="str">
        <f t="shared" si="9"/>
        <v/>
      </c>
      <c r="BI36" s="12"/>
      <c r="BJ36" s="12"/>
      <c r="BK36" s="8" t="str">
        <f>IF($BJ36="","",IFERROR(INDEX(InstructorMap!$B:$B, MATCH($BJ36, InstructorMap!$A:$A, 0)),""))</f>
        <v/>
      </c>
      <c r="BL36" s="8" t="str">
        <f>IFERROR(INDEX(_names_lookup!$C:$C,MATCH(BK36,_names_lookup!$A:$A,0)),"")</f>
        <v/>
      </c>
      <c r="BM36" s="12" t="str">
        <f>IFERROR(INDEX(_names_lookup!$B:$B,MATCH(BK36,_names_lookup!$A:$A,0)),"")</f>
        <v/>
      </c>
      <c r="BN36" s="12"/>
      <c r="BO36" s="12"/>
      <c r="BP36" s="12"/>
      <c r="BQ36" s="12"/>
      <c r="BR36" s="12"/>
      <c r="BS36" s="12" t="str">
        <f t="shared" si="10"/>
        <v/>
      </c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</row>
    <row r="37" spans="1:121" ht="16" customHeight="1" x14ac:dyDescent="0.2">
      <c r="A37" s="16"/>
      <c r="B37" s="16"/>
      <c r="C37" s="16"/>
      <c r="D37" s="16"/>
      <c r="E37" s="16"/>
      <c r="F37" s="16"/>
      <c r="G37" s="16"/>
      <c r="H37" s="12"/>
      <c r="I37" s="12"/>
      <c r="J37" s="12"/>
      <c r="K37" s="12"/>
      <c r="L37" s="12"/>
      <c r="M37" s="12"/>
      <c r="N37" s="12"/>
      <c r="O37" s="12" t="str">
        <f>IFERROR(INDEX(_courses_lookup!$C:$C,MATCH(K37&amp;L37,_courses_lookup!$E:$E,0)),"")</f>
        <v/>
      </c>
      <c r="P37" s="12" t="str">
        <f>IFERROR(INDEX(_courses_lookup!$D:$D,MATCH(K37&amp;L37,_courses_lookup!$E:$E,0)),"")</f>
        <v/>
      </c>
      <c r="Q37" s="12"/>
      <c r="R37" s="12"/>
      <c r="S37" s="12"/>
      <c r="T37" s="12"/>
      <c r="U37" s="12"/>
      <c r="V37" s="12"/>
      <c r="W37" s="12"/>
      <c r="X37" s="12"/>
      <c r="Y37" s="8"/>
      <c r="Z37" s="12"/>
      <c r="AA37" s="12"/>
      <c r="AB37" s="12"/>
      <c r="AC37" s="12"/>
      <c r="AD37" s="12"/>
      <c r="AE37" s="12"/>
      <c r="AF37" s="12"/>
      <c r="AG37" s="12" t="str">
        <f t="shared" si="0"/>
        <v/>
      </c>
      <c r="AH37" s="12"/>
      <c r="AI37" s="12" t="str">
        <f t="shared" si="1"/>
        <v/>
      </c>
      <c r="AJ37" s="12"/>
      <c r="AK37" s="12"/>
      <c r="AL37" s="12" t="str">
        <f t="shared" si="2"/>
        <v/>
      </c>
      <c r="AM37" s="12"/>
      <c r="AN37" s="12" t="str">
        <f t="shared" si="3"/>
        <v/>
      </c>
      <c r="AO37" s="12"/>
      <c r="AP37" s="12"/>
      <c r="AQ37" s="12" t="str">
        <f t="shared" si="4"/>
        <v/>
      </c>
      <c r="AR37" s="12" t="str">
        <f t="shared" si="5"/>
        <v/>
      </c>
      <c r="AS37" s="12" t="str">
        <f t="shared" si="6"/>
        <v/>
      </c>
      <c r="AT37" s="12" t="str">
        <f t="shared" si="7"/>
        <v/>
      </c>
      <c r="AU37" s="12"/>
      <c r="AV37" s="12"/>
      <c r="AW37" s="12"/>
      <c r="AX37" s="12"/>
      <c r="AY37" s="12"/>
      <c r="AZ37" s="8"/>
      <c r="BA37" s="12"/>
      <c r="BB37" s="12"/>
      <c r="BC37" s="12"/>
      <c r="BD37" s="12"/>
      <c r="BE37" s="12"/>
      <c r="BF37" s="12"/>
      <c r="BG37" s="12" t="str">
        <f t="shared" si="8"/>
        <v/>
      </c>
      <c r="BH37" s="12" t="str">
        <f t="shared" si="9"/>
        <v/>
      </c>
      <c r="BI37" s="12"/>
      <c r="BJ37" s="12"/>
      <c r="BK37" s="8" t="str">
        <f>IF($BJ37="","",IFERROR(INDEX(InstructorMap!$B:$B, MATCH($BJ37, InstructorMap!$A:$A, 0)),""))</f>
        <v/>
      </c>
      <c r="BL37" s="8" t="str">
        <f>IFERROR(INDEX(_names_lookup!$C:$C,MATCH(BK37,_names_lookup!$A:$A,0)),"")</f>
        <v/>
      </c>
      <c r="BM37" s="12" t="str">
        <f>IFERROR(INDEX(_names_lookup!$B:$B,MATCH(BK37,_names_lookup!$A:$A,0)),"")</f>
        <v/>
      </c>
      <c r="BN37" s="12"/>
      <c r="BO37" s="12"/>
      <c r="BP37" s="12"/>
      <c r="BQ37" s="12"/>
      <c r="BR37" s="12"/>
      <c r="BS37" s="12" t="str">
        <f t="shared" si="10"/>
        <v/>
      </c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</row>
    <row r="38" spans="1:121" ht="16" customHeight="1" x14ac:dyDescent="0.2">
      <c r="A38" s="16"/>
      <c r="B38" s="16"/>
      <c r="C38" s="16"/>
      <c r="D38" s="16"/>
      <c r="E38" s="16"/>
      <c r="F38" s="16"/>
      <c r="G38" s="16"/>
      <c r="H38" s="12"/>
      <c r="I38" s="12"/>
      <c r="J38" s="12"/>
      <c r="K38" s="12"/>
      <c r="L38" s="12"/>
      <c r="M38" s="12"/>
      <c r="N38" s="12"/>
      <c r="O38" s="12" t="str">
        <f>IFERROR(INDEX(_courses_lookup!$C:$C,MATCH(K38&amp;L38,_courses_lookup!$E:$E,0)),"")</f>
        <v/>
      </c>
      <c r="P38" s="12" t="str">
        <f>IFERROR(INDEX(_courses_lookup!$D:$D,MATCH(K38&amp;L38,_courses_lookup!$E:$E,0)),"")</f>
        <v/>
      </c>
      <c r="Q38" s="12"/>
      <c r="R38" s="12"/>
      <c r="S38" s="12"/>
      <c r="T38" s="12"/>
      <c r="U38" s="12"/>
      <c r="V38" s="12"/>
      <c r="W38" s="12"/>
      <c r="X38" s="12"/>
      <c r="Y38" s="8"/>
      <c r="Z38" s="12"/>
      <c r="AA38" s="12"/>
      <c r="AB38" s="12"/>
      <c r="AC38" s="12"/>
      <c r="AD38" s="12"/>
      <c r="AE38" s="12"/>
      <c r="AF38" s="12"/>
      <c r="AG38" s="12" t="str">
        <f t="shared" si="0"/>
        <v/>
      </c>
      <c r="AH38" s="12"/>
      <c r="AI38" s="12" t="str">
        <f t="shared" si="1"/>
        <v/>
      </c>
      <c r="AJ38" s="12"/>
      <c r="AK38" s="12"/>
      <c r="AL38" s="12" t="str">
        <f t="shared" si="2"/>
        <v/>
      </c>
      <c r="AM38" s="12"/>
      <c r="AN38" s="12" t="str">
        <f t="shared" si="3"/>
        <v/>
      </c>
      <c r="AO38" s="12"/>
      <c r="AP38" s="12"/>
      <c r="AQ38" s="12" t="str">
        <f t="shared" si="4"/>
        <v/>
      </c>
      <c r="AR38" s="12" t="str">
        <f t="shared" si="5"/>
        <v/>
      </c>
      <c r="AS38" s="12" t="str">
        <f t="shared" si="6"/>
        <v/>
      </c>
      <c r="AT38" s="12" t="str">
        <f t="shared" si="7"/>
        <v/>
      </c>
      <c r="AU38" s="12"/>
      <c r="AV38" s="12"/>
      <c r="AW38" s="12"/>
      <c r="AX38" s="12"/>
      <c r="AY38" s="12"/>
      <c r="AZ38" s="8"/>
      <c r="BA38" s="12"/>
      <c r="BB38" s="12"/>
      <c r="BC38" s="12"/>
      <c r="BD38" s="12"/>
      <c r="BE38" s="12"/>
      <c r="BF38" s="12"/>
      <c r="BG38" s="12" t="str">
        <f t="shared" si="8"/>
        <v/>
      </c>
      <c r="BH38" s="12" t="str">
        <f t="shared" si="9"/>
        <v/>
      </c>
      <c r="BI38" s="12"/>
      <c r="BJ38" s="12"/>
      <c r="BK38" s="8" t="str">
        <f>IF($BJ38="","",IFERROR(INDEX(InstructorMap!$B:$B, MATCH($BJ38, InstructorMap!$A:$A, 0)),""))</f>
        <v/>
      </c>
      <c r="BL38" s="8" t="str">
        <f>IFERROR(INDEX(_names_lookup!$C:$C,MATCH(BK38,_names_lookup!$A:$A,0)),"")</f>
        <v/>
      </c>
      <c r="BM38" s="12" t="str">
        <f>IFERROR(INDEX(_names_lookup!$B:$B,MATCH(BK38,_names_lookup!$A:$A,0)),"")</f>
        <v/>
      </c>
      <c r="BN38" s="12"/>
      <c r="BO38" s="12"/>
      <c r="BP38" s="12"/>
      <c r="BQ38" s="12"/>
      <c r="BR38" s="12"/>
      <c r="BS38" s="12" t="str">
        <f t="shared" si="10"/>
        <v/>
      </c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</row>
    <row r="39" spans="1:121" ht="16" customHeight="1" x14ac:dyDescent="0.2">
      <c r="A39" s="16"/>
      <c r="B39" s="16"/>
      <c r="C39" s="16"/>
      <c r="D39" s="16"/>
      <c r="E39" s="16"/>
      <c r="F39" s="16"/>
      <c r="G39" s="16"/>
      <c r="H39" s="12"/>
      <c r="I39" s="12"/>
      <c r="J39" s="12"/>
      <c r="K39" s="12"/>
      <c r="L39" s="12"/>
      <c r="M39" s="12"/>
      <c r="N39" s="12"/>
      <c r="O39" s="12" t="str">
        <f>IFERROR(INDEX(_courses_lookup!$C:$C,MATCH(K39&amp;L39,_courses_lookup!$E:$E,0)),"")</f>
        <v/>
      </c>
      <c r="P39" s="12" t="str">
        <f>IFERROR(INDEX(_courses_lookup!$D:$D,MATCH(K39&amp;L39,_courses_lookup!$E:$E,0)),"")</f>
        <v/>
      </c>
      <c r="Q39" s="12"/>
      <c r="R39" s="12"/>
      <c r="S39" s="12"/>
      <c r="T39" s="12"/>
      <c r="U39" s="12"/>
      <c r="V39" s="12"/>
      <c r="W39" s="12"/>
      <c r="X39" s="12"/>
      <c r="Y39" s="8"/>
      <c r="Z39" s="12"/>
      <c r="AA39" s="12"/>
      <c r="AB39" s="12"/>
      <c r="AC39" s="12"/>
      <c r="AD39" s="12"/>
      <c r="AE39" s="12"/>
      <c r="AF39" s="12"/>
      <c r="AG39" s="12" t="str">
        <f t="shared" si="0"/>
        <v/>
      </c>
      <c r="AH39" s="12"/>
      <c r="AI39" s="12" t="str">
        <f t="shared" si="1"/>
        <v/>
      </c>
      <c r="AJ39" s="12"/>
      <c r="AK39" s="12"/>
      <c r="AL39" s="12" t="str">
        <f t="shared" si="2"/>
        <v/>
      </c>
      <c r="AM39" s="12"/>
      <c r="AN39" s="12" t="str">
        <f t="shared" si="3"/>
        <v/>
      </c>
      <c r="AO39" s="12"/>
      <c r="AP39" s="12"/>
      <c r="AQ39" s="12" t="str">
        <f t="shared" si="4"/>
        <v/>
      </c>
      <c r="AR39" s="12" t="str">
        <f t="shared" si="5"/>
        <v/>
      </c>
      <c r="AS39" s="12" t="str">
        <f t="shared" si="6"/>
        <v/>
      </c>
      <c r="AT39" s="12" t="str">
        <f t="shared" si="7"/>
        <v/>
      </c>
      <c r="AU39" s="12"/>
      <c r="AV39" s="12"/>
      <c r="AW39" s="12"/>
      <c r="AX39" s="12"/>
      <c r="AY39" s="12"/>
      <c r="AZ39" s="8"/>
      <c r="BA39" s="12"/>
      <c r="BB39" s="12"/>
      <c r="BC39" s="12"/>
      <c r="BD39" s="12"/>
      <c r="BE39" s="12"/>
      <c r="BF39" s="12"/>
      <c r="BG39" s="12" t="str">
        <f t="shared" si="8"/>
        <v/>
      </c>
      <c r="BH39" s="12" t="str">
        <f t="shared" si="9"/>
        <v/>
      </c>
      <c r="BI39" s="12"/>
      <c r="BJ39" s="12"/>
      <c r="BK39" s="8" t="str">
        <f>IF($BJ39="","",IFERROR(INDEX(InstructorMap!$B:$B, MATCH($BJ39, InstructorMap!$A:$A, 0)),""))</f>
        <v/>
      </c>
      <c r="BL39" s="8" t="str">
        <f>IFERROR(INDEX(_names_lookup!$C:$C,MATCH(BK39,_names_lookup!$A:$A,0)),"")</f>
        <v/>
      </c>
      <c r="BM39" s="12" t="str">
        <f>IFERROR(INDEX(_names_lookup!$B:$B,MATCH(BK39,_names_lookup!$A:$A,0)),"")</f>
        <v/>
      </c>
      <c r="BN39" s="12"/>
      <c r="BO39" s="12"/>
      <c r="BP39" s="12"/>
      <c r="BQ39" s="12"/>
      <c r="BR39" s="12"/>
      <c r="BS39" s="12" t="str">
        <f t="shared" si="10"/>
        <v/>
      </c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</row>
    <row r="40" spans="1:121" ht="16" customHeight="1" x14ac:dyDescent="0.2">
      <c r="A40" s="16"/>
      <c r="B40" s="16"/>
      <c r="C40" s="16"/>
      <c r="D40" s="16"/>
      <c r="E40" s="16"/>
      <c r="F40" s="16"/>
      <c r="G40" s="16"/>
      <c r="H40" s="12"/>
      <c r="I40" s="12"/>
      <c r="J40" s="12"/>
      <c r="K40" s="12"/>
      <c r="L40" s="12"/>
      <c r="M40" s="12"/>
      <c r="N40" s="12"/>
      <c r="O40" s="12" t="str">
        <f>IFERROR(INDEX(_courses_lookup!$C:$C,MATCH(K40&amp;L40,_courses_lookup!$E:$E,0)),"")</f>
        <v/>
      </c>
      <c r="P40" s="12" t="str">
        <f>IFERROR(INDEX(_courses_lookup!$D:$D,MATCH(K40&amp;L40,_courses_lookup!$E:$E,0)),"")</f>
        <v/>
      </c>
      <c r="Q40" s="12"/>
      <c r="R40" s="12"/>
      <c r="S40" s="12"/>
      <c r="T40" s="12"/>
      <c r="U40" s="12"/>
      <c r="V40" s="12"/>
      <c r="W40" s="12"/>
      <c r="X40" s="12"/>
      <c r="Y40" s="8"/>
      <c r="Z40" s="12"/>
      <c r="AA40" s="12"/>
      <c r="AB40" s="12"/>
      <c r="AC40" s="12"/>
      <c r="AD40" s="12"/>
      <c r="AE40" s="12"/>
      <c r="AF40" s="12"/>
      <c r="AG40" s="12" t="str">
        <f t="shared" si="0"/>
        <v/>
      </c>
      <c r="AH40" s="12"/>
      <c r="AI40" s="12" t="str">
        <f t="shared" si="1"/>
        <v/>
      </c>
      <c r="AJ40" s="12"/>
      <c r="AK40" s="12"/>
      <c r="AL40" s="12" t="str">
        <f t="shared" si="2"/>
        <v/>
      </c>
      <c r="AM40" s="12"/>
      <c r="AN40" s="12" t="str">
        <f t="shared" si="3"/>
        <v/>
      </c>
      <c r="AO40" s="12"/>
      <c r="AP40" s="12"/>
      <c r="AQ40" s="12" t="str">
        <f t="shared" si="4"/>
        <v/>
      </c>
      <c r="AR40" s="12" t="str">
        <f t="shared" si="5"/>
        <v/>
      </c>
      <c r="AS40" s="12" t="str">
        <f t="shared" si="6"/>
        <v/>
      </c>
      <c r="AT40" s="12" t="str">
        <f t="shared" si="7"/>
        <v/>
      </c>
      <c r="AU40" s="12"/>
      <c r="AV40" s="12"/>
      <c r="AW40" s="12"/>
      <c r="AX40" s="12"/>
      <c r="AY40" s="12"/>
      <c r="AZ40" s="8"/>
      <c r="BA40" s="12"/>
      <c r="BB40" s="12"/>
      <c r="BC40" s="12"/>
      <c r="BD40" s="12"/>
      <c r="BE40" s="12"/>
      <c r="BF40" s="12"/>
      <c r="BG40" s="12" t="str">
        <f t="shared" si="8"/>
        <v/>
      </c>
      <c r="BH40" s="12" t="str">
        <f t="shared" si="9"/>
        <v/>
      </c>
      <c r="BI40" s="12"/>
      <c r="BJ40" s="12"/>
      <c r="BK40" s="8" t="str">
        <f>IF($BJ40="","",IFERROR(INDEX(InstructorMap!$B:$B, MATCH($BJ40, InstructorMap!$A:$A, 0)),""))</f>
        <v/>
      </c>
      <c r="BL40" s="8" t="str">
        <f>IFERROR(INDEX(_names_lookup!$C:$C,MATCH(BK40,_names_lookup!$A:$A,0)),"")</f>
        <v/>
      </c>
      <c r="BM40" s="12" t="str">
        <f>IFERROR(INDEX(_names_lookup!$B:$B,MATCH(BK40,_names_lookup!$A:$A,0)),"")</f>
        <v/>
      </c>
      <c r="BN40" s="12"/>
      <c r="BO40" s="12"/>
      <c r="BP40" s="12"/>
      <c r="BQ40" s="12"/>
      <c r="BR40" s="12"/>
      <c r="BS40" s="12" t="str">
        <f t="shared" si="10"/>
        <v/>
      </c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</row>
    <row r="41" spans="1:121" x14ac:dyDescent="0.2">
      <c r="O41" t="str">
        <f>IFERROR(INDEX(_courses_lookup!$C:$C,MATCH(K41&amp;L41,_courses_lookup!$E:$E,0)),"")</f>
        <v/>
      </c>
      <c r="P41" t="str">
        <f>IFERROR(INDEX(_courses_lookup!$D:$D,MATCH(K41&amp;L41,_courses_lookup!$E:$E,0)),"")</f>
        <v/>
      </c>
      <c r="AG41" t="str">
        <f t="shared" si="0"/>
        <v/>
      </c>
      <c r="AI41" t="str">
        <f t="shared" si="1"/>
        <v/>
      </c>
      <c r="AL41" t="str">
        <f t="shared" si="2"/>
        <v/>
      </c>
      <c r="AN41" t="str">
        <f t="shared" si="3"/>
        <v/>
      </c>
      <c r="AQ41" t="str">
        <f t="shared" si="4"/>
        <v/>
      </c>
      <c r="AR41" t="str">
        <f t="shared" si="5"/>
        <v/>
      </c>
      <c r="AS41" t="str">
        <f t="shared" si="6"/>
        <v/>
      </c>
      <c r="AT41" t="str">
        <f t="shared" si="7"/>
        <v/>
      </c>
      <c r="BG41" t="str">
        <f t="shared" si="8"/>
        <v/>
      </c>
      <c r="BH41" t="str">
        <f t="shared" si="9"/>
        <v/>
      </c>
      <c r="BL41" t="str">
        <f>IFERROR(INDEX(_names_lookup!$C:$C,MATCH(BK41,_names_lookup!$A:$A,0)),"")</f>
        <v/>
      </c>
      <c r="BM41" t="str">
        <f>IFERROR(INDEX(_names_lookup!$B:$B,MATCH(BK41,_names_lookup!$A:$A,0)),"")</f>
        <v/>
      </c>
      <c r="BS41" t="str">
        <f t="shared" si="10"/>
        <v/>
      </c>
    </row>
    <row r="42" spans="1:121" x14ac:dyDescent="0.2">
      <c r="O42" t="str">
        <f>IFERROR(INDEX(_courses_lookup!$C:$C,MATCH(K42&amp;L42,_courses_lookup!$E:$E,0)),"")</f>
        <v/>
      </c>
      <c r="P42" t="str">
        <f>IFERROR(INDEX(_courses_lookup!$D:$D,MATCH(K42&amp;L42,_courses_lookup!$E:$E,0)),"")</f>
        <v/>
      </c>
      <c r="AG42" t="str">
        <f t="shared" si="0"/>
        <v/>
      </c>
      <c r="AI42" t="str">
        <f t="shared" si="1"/>
        <v/>
      </c>
      <c r="AL42" t="str">
        <f t="shared" si="2"/>
        <v/>
      </c>
      <c r="AN42" t="str">
        <f t="shared" si="3"/>
        <v/>
      </c>
      <c r="AQ42" t="str">
        <f t="shared" si="4"/>
        <v/>
      </c>
      <c r="AR42" t="str">
        <f t="shared" si="5"/>
        <v/>
      </c>
      <c r="AS42" t="str">
        <f t="shared" si="6"/>
        <v/>
      </c>
      <c r="AT42" t="str">
        <f t="shared" si="7"/>
        <v/>
      </c>
      <c r="BG42" t="str">
        <f t="shared" si="8"/>
        <v/>
      </c>
      <c r="BH42" t="str">
        <f t="shared" si="9"/>
        <v/>
      </c>
      <c r="BL42" t="str">
        <f>IFERROR(INDEX(_names_lookup!$C:$C,MATCH(BK42,_names_lookup!$A:$A,0)),"")</f>
        <v/>
      </c>
      <c r="BM42" t="str">
        <f>IFERROR(INDEX(_names_lookup!$B:$B,MATCH(BK42,_names_lookup!$A:$A,0)),"")</f>
        <v/>
      </c>
      <c r="BS42" t="str">
        <f t="shared" si="10"/>
        <v/>
      </c>
    </row>
    <row r="43" spans="1:121" x14ac:dyDescent="0.2">
      <c r="O43" t="str">
        <f>IFERROR(INDEX(_courses_lookup!$C:$C,MATCH(K43&amp;L43,_courses_lookup!$E:$E,0)),"")</f>
        <v/>
      </c>
      <c r="P43" t="str">
        <f>IFERROR(INDEX(_courses_lookup!$D:$D,MATCH(K43&amp;L43,_courses_lookup!$E:$E,0)),"")</f>
        <v/>
      </c>
      <c r="AG43" t="str">
        <f t="shared" si="0"/>
        <v/>
      </c>
      <c r="AI43" t="str">
        <f t="shared" si="1"/>
        <v/>
      </c>
      <c r="AL43" t="str">
        <f t="shared" si="2"/>
        <v/>
      </c>
      <c r="AN43" t="str">
        <f t="shared" si="3"/>
        <v/>
      </c>
      <c r="AQ43" t="str">
        <f t="shared" si="4"/>
        <v/>
      </c>
      <c r="AR43" t="str">
        <f t="shared" si="5"/>
        <v/>
      </c>
      <c r="AS43" t="str">
        <f t="shared" si="6"/>
        <v/>
      </c>
      <c r="AT43" t="str">
        <f t="shared" si="7"/>
        <v/>
      </c>
      <c r="BG43" t="str">
        <f t="shared" si="8"/>
        <v/>
      </c>
      <c r="BH43" t="str">
        <f t="shared" si="9"/>
        <v/>
      </c>
      <c r="BL43" t="str">
        <f>IFERROR(INDEX(_names_lookup!$C:$C,MATCH(BK43,_names_lookup!$A:$A,0)),"")</f>
        <v/>
      </c>
      <c r="BM43" t="str">
        <f>IFERROR(INDEX(_names_lookup!$B:$B,MATCH(BK43,_names_lookup!$A:$A,0)),"")</f>
        <v/>
      </c>
      <c r="BS43" t="str">
        <f t="shared" si="10"/>
        <v/>
      </c>
    </row>
    <row r="44" spans="1:121" x14ac:dyDescent="0.2">
      <c r="O44" t="str">
        <f>IFERROR(INDEX(_courses_lookup!$C:$C,MATCH(K44&amp;L44,_courses_lookup!$E:$E,0)),"")</f>
        <v/>
      </c>
      <c r="P44" t="str">
        <f>IFERROR(INDEX(_courses_lookup!$D:$D,MATCH(K44&amp;L44,_courses_lookup!$E:$E,0)),"")</f>
        <v/>
      </c>
      <c r="AG44" t="str">
        <f t="shared" si="0"/>
        <v/>
      </c>
      <c r="AI44" t="str">
        <f t="shared" si="1"/>
        <v/>
      </c>
      <c r="AL44" t="str">
        <f t="shared" si="2"/>
        <v/>
      </c>
      <c r="AN44" t="str">
        <f t="shared" si="3"/>
        <v/>
      </c>
      <c r="AQ44" t="str">
        <f t="shared" si="4"/>
        <v/>
      </c>
      <c r="AR44" t="str">
        <f t="shared" si="5"/>
        <v/>
      </c>
      <c r="AS44" t="str">
        <f t="shared" si="6"/>
        <v/>
      </c>
      <c r="AT44" t="str">
        <f t="shared" si="7"/>
        <v/>
      </c>
      <c r="BG44" t="str">
        <f t="shared" si="8"/>
        <v/>
      </c>
      <c r="BH44" t="str">
        <f t="shared" si="9"/>
        <v/>
      </c>
      <c r="BL44" t="str">
        <f>IFERROR(INDEX(_names_lookup!$C:$C,MATCH(BK44,_names_lookup!$A:$A,0)),"")</f>
        <v/>
      </c>
      <c r="BM44" t="str">
        <f>IFERROR(INDEX(_names_lookup!$B:$B,MATCH(BK44,_names_lookup!$A:$A,0)),"")</f>
        <v/>
      </c>
      <c r="BS44" t="str">
        <f t="shared" si="10"/>
        <v/>
      </c>
    </row>
    <row r="45" spans="1:121" x14ac:dyDescent="0.2">
      <c r="O45" t="str">
        <f>IFERROR(INDEX(_courses_lookup!$C:$C,MATCH(K45&amp;L45,_courses_lookup!$E:$E,0)),"")</f>
        <v/>
      </c>
      <c r="P45" t="str">
        <f>IFERROR(INDEX(_courses_lookup!$D:$D,MATCH(K45&amp;L45,_courses_lookup!$E:$E,0)),"")</f>
        <v/>
      </c>
      <c r="AG45" t="str">
        <f t="shared" si="0"/>
        <v/>
      </c>
      <c r="AI45" t="str">
        <f t="shared" si="1"/>
        <v/>
      </c>
      <c r="AL45" t="str">
        <f t="shared" si="2"/>
        <v/>
      </c>
      <c r="AN45" t="str">
        <f t="shared" si="3"/>
        <v/>
      </c>
      <c r="AQ45" t="str">
        <f t="shared" si="4"/>
        <v/>
      </c>
      <c r="AR45" t="str">
        <f t="shared" si="5"/>
        <v/>
      </c>
      <c r="AS45" t="str">
        <f t="shared" si="6"/>
        <v/>
      </c>
      <c r="AT45" t="str">
        <f t="shared" si="7"/>
        <v/>
      </c>
      <c r="BG45" t="str">
        <f t="shared" si="8"/>
        <v/>
      </c>
      <c r="BH45" t="str">
        <f t="shared" si="9"/>
        <v/>
      </c>
      <c r="BL45" t="str">
        <f>IFERROR(INDEX(_names_lookup!$C:$C,MATCH(BK45,_names_lookup!$A:$A,0)),"")</f>
        <v/>
      </c>
      <c r="BM45" t="str">
        <f>IFERROR(INDEX(_names_lookup!$B:$B,MATCH(BK45,_names_lookup!$A:$A,0)),"")</f>
        <v/>
      </c>
      <c r="BS45" t="str">
        <f t="shared" si="10"/>
        <v/>
      </c>
    </row>
    <row r="46" spans="1:121" x14ac:dyDescent="0.2">
      <c r="O46" t="str">
        <f>IFERROR(INDEX(_courses_lookup!$C:$C,MATCH(K46&amp;L46,_courses_lookup!$E:$E,0)),"")</f>
        <v/>
      </c>
      <c r="P46" t="str">
        <f>IFERROR(INDEX(_courses_lookup!$D:$D,MATCH(K46&amp;L46,_courses_lookup!$E:$E,0)),"")</f>
        <v/>
      </c>
      <c r="AG46" t="str">
        <f t="shared" si="0"/>
        <v/>
      </c>
      <c r="AI46" t="str">
        <f t="shared" si="1"/>
        <v/>
      </c>
      <c r="AL46" t="str">
        <f t="shared" si="2"/>
        <v/>
      </c>
      <c r="AN46" t="str">
        <f t="shared" si="3"/>
        <v/>
      </c>
      <c r="AQ46" t="str">
        <f t="shared" si="4"/>
        <v/>
      </c>
      <c r="AR46" t="str">
        <f t="shared" si="5"/>
        <v/>
      </c>
      <c r="AS46" t="str">
        <f t="shared" si="6"/>
        <v/>
      </c>
      <c r="AT46" t="str">
        <f t="shared" si="7"/>
        <v/>
      </c>
      <c r="BG46" t="str">
        <f t="shared" si="8"/>
        <v/>
      </c>
      <c r="BH46" t="str">
        <f t="shared" si="9"/>
        <v/>
      </c>
      <c r="BL46" t="str">
        <f>IFERROR(INDEX(_names_lookup!$C:$C,MATCH(BK46,_names_lookup!$A:$A,0)),"")</f>
        <v/>
      </c>
      <c r="BM46" t="str">
        <f>IFERROR(INDEX(_names_lookup!$B:$B,MATCH(BK46,_names_lookup!$A:$A,0)),"")</f>
        <v/>
      </c>
      <c r="BS46" t="str">
        <f t="shared" si="10"/>
        <v/>
      </c>
    </row>
    <row r="47" spans="1:121" x14ac:dyDescent="0.2">
      <c r="O47" t="str">
        <f>IFERROR(INDEX(_courses_lookup!$C:$C,MATCH(K47&amp;L47,_courses_lookup!$E:$E,0)),"")</f>
        <v/>
      </c>
      <c r="P47" t="str">
        <f>IFERROR(INDEX(_courses_lookup!$D:$D,MATCH(K47&amp;L47,_courses_lookup!$E:$E,0)),"")</f>
        <v/>
      </c>
      <c r="AG47" t="str">
        <f t="shared" si="0"/>
        <v/>
      </c>
      <c r="AI47" t="str">
        <f t="shared" si="1"/>
        <v/>
      </c>
      <c r="AL47" t="str">
        <f t="shared" si="2"/>
        <v/>
      </c>
      <c r="AN47" t="str">
        <f t="shared" si="3"/>
        <v/>
      </c>
      <c r="AQ47" t="str">
        <f t="shared" si="4"/>
        <v/>
      </c>
      <c r="AR47" t="str">
        <f t="shared" si="5"/>
        <v/>
      </c>
      <c r="AS47" t="str">
        <f t="shared" si="6"/>
        <v/>
      </c>
      <c r="AT47" t="str">
        <f t="shared" si="7"/>
        <v/>
      </c>
      <c r="BG47" t="str">
        <f t="shared" si="8"/>
        <v/>
      </c>
      <c r="BH47" t="str">
        <f t="shared" si="9"/>
        <v/>
      </c>
      <c r="BL47" t="str">
        <f>IFERROR(INDEX(_names_lookup!$C:$C,MATCH(BK47,_names_lookup!$A:$A,0)),"")</f>
        <v/>
      </c>
      <c r="BM47" t="str">
        <f>IFERROR(INDEX(_names_lookup!$B:$B,MATCH(BK47,_names_lookup!$A:$A,0)),"")</f>
        <v/>
      </c>
      <c r="BS47" t="str">
        <f t="shared" si="10"/>
        <v/>
      </c>
    </row>
    <row r="48" spans="1:121" x14ac:dyDescent="0.2">
      <c r="O48" t="str">
        <f>IFERROR(INDEX(_courses_lookup!$C:$C,MATCH(K48&amp;L48,_courses_lookup!$E:$E,0)),"")</f>
        <v/>
      </c>
      <c r="P48" t="str">
        <f>IFERROR(INDEX(_courses_lookup!$D:$D,MATCH(K48&amp;L48,_courses_lookup!$E:$E,0)),"")</f>
        <v/>
      </c>
      <c r="AG48" t="str">
        <f t="shared" si="0"/>
        <v/>
      </c>
      <c r="AI48" t="str">
        <f t="shared" si="1"/>
        <v/>
      </c>
      <c r="AL48" t="str">
        <f t="shared" si="2"/>
        <v/>
      </c>
      <c r="AN48" t="str">
        <f t="shared" si="3"/>
        <v/>
      </c>
      <c r="AQ48" t="str">
        <f t="shared" si="4"/>
        <v/>
      </c>
      <c r="AR48" t="str">
        <f t="shared" si="5"/>
        <v/>
      </c>
      <c r="AS48" t="str">
        <f t="shared" si="6"/>
        <v/>
      </c>
      <c r="AT48" t="str">
        <f t="shared" si="7"/>
        <v/>
      </c>
      <c r="BG48" t="str">
        <f t="shared" si="8"/>
        <v/>
      </c>
      <c r="BH48" t="str">
        <f t="shared" si="9"/>
        <v/>
      </c>
      <c r="BL48" t="str">
        <f>IFERROR(INDEX(_names_lookup!$C:$C,MATCH(BK48,_names_lookup!$A:$A,0)),"")</f>
        <v/>
      </c>
      <c r="BM48" t="str">
        <f>IFERROR(INDEX(_names_lookup!$B:$B,MATCH(BK48,_names_lookup!$A:$A,0)),"")</f>
        <v/>
      </c>
      <c r="BS48" t="str">
        <f t="shared" si="10"/>
        <v/>
      </c>
    </row>
    <row r="49" spans="15:71" x14ac:dyDescent="0.2">
      <c r="O49" t="str">
        <f>IFERROR(INDEX(_courses_lookup!$C:$C,MATCH(K49&amp;L49,_courses_lookup!$E:$E,0)),"")</f>
        <v/>
      </c>
      <c r="P49" t="str">
        <f>IFERROR(INDEX(_courses_lookup!$D:$D,MATCH(K49&amp;L49,_courses_lookup!$E:$E,0)),"")</f>
        <v/>
      </c>
      <c r="AG49" t="str">
        <f t="shared" si="0"/>
        <v/>
      </c>
      <c r="AI49" t="str">
        <f t="shared" si="1"/>
        <v/>
      </c>
      <c r="AL49" t="str">
        <f t="shared" si="2"/>
        <v/>
      </c>
      <c r="AN49" t="str">
        <f t="shared" si="3"/>
        <v/>
      </c>
      <c r="AQ49" t="str">
        <f t="shared" si="4"/>
        <v/>
      </c>
      <c r="AR49" t="str">
        <f t="shared" si="5"/>
        <v/>
      </c>
      <c r="AS49" t="str">
        <f t="shared" si="6"/>
        <v/>
      </c>
      <c r="AT49" t="str">
        <f t="shared" si="7"/>
        <v/>
      </c>
      <c r="BG49" t="str">
        <f t="shared" si="8"/>
        <v/>
      </c>
      <c r="BH49" t="str">
        <f t="shared" si="9"/>
        <v/>
      </c>
      <c r="BL49" t="str">
        <f>IFERROR(INDEX(_names_lookup!$C:$C,MATCH(BK49,_names_lookup!$A:$A,0)),"")</f>
        <v/>
      </c>
      <c r="BM49" t="str">
        <f>IFERROR(INDEX(_names_lookup!$B:$B,MATCH(BK49,_names_lookup!$A:$A,0)),"")</f>
        <v/>
      </c>
      <c r="BS49" t="str">
        <f t="shared" si="10"/>
        <v/>
      </c>
    </row>
    <row r="50" spans="15:71" x14ac:dyDescent="0.2">
      <c r="O50" t="str">
        <f>IFERROR(INDEX(_courses_lookup!$C:$C,MATCH(K50&amp;L50,_courses_lookup!$E:$E,0)),"")</f>
        <v/>
      </c>
      <c r="P50" t="str">
        <f>IFERROR(INDEX(_courses_lookup!$D:$D,MATCH(K50&amp;L50,_courses_lookup!$E:$E,0)),"")</f>
        <v/>
      </c>
      <c r="AG50" t="str">
        <f t="shared" si="0"/>
        <v/>
      </c>
      <c r="AI50" t="str">
        <f t="shared" si="1"/>
        <v/>
      </c>
      <c r="AL50" t="str">
        <f t="shared" si="2"/>
        <v/>
      </c>
      <c r="AN50" t="str">
        <f t="shared" si="3"/>
        <v/>
      </c>
      <c r="AQ50" t="str">
        <f t="shared" si="4"/>
        <v/>
      </c>
      <c r="AR50" t="str">
        <f t="shared" si="5"/>
        <v/>
      </c>
      <c r="AS50" t="str">
        <f t="shared" si="6"/>
        <v/>
      </c>
      <c r="AT50" t="str">
        <f t="shared" si="7"/>
        <v/>
      </c>
      <c r="BG50" t="str">
        <f t="shared" si="8"/>
        <v/>
      </c>
      <c r="BH50" t="str">
        <f t="shared" si="9"/>
        <v/>
      </c>
      <c r="BL50" t="str">
        <f>IFERROR(INDEX(_names_lookup!$C:$C,MATCH(BK50,_names_lookup!$A:$A,0)),"")</f>
        <v/>
      </c>
      <c r="BM50" t="str">
        <f>IFERROR(INDEX(_names_lookup!$B:$B,MATCH(BK50,_names_lookup!$A:$A,0)),"")</f>
        <v/>
      </c>
      <c r="BS50" t="str">
        <f t="shared" si="10"/>
        <v/>
      </c>
    </row>
    <row r="51" spans="15:71" x14ac:dyDescent="0.2">
      <c r="O51" t="str">
        <f>IFERROR(INDEX(_courses_lookup!$C:$C,MATCH(K51&amp;L51,_courses_lookup!$E:$E,0)),"")</f>
        <v/>
      </c>
      <c r="P51" t="str">
        <f>IFERROR(INDEX(_courses_lookup!$D:$D,MATCH(K51&amp;L51,_courses_lookup!$E:$E,0)),"")</f>
        <v/>
      </c>
      <c r="AG51" t="str">
        <f t="shared" si="0"/>
        <v/>
      </c>
      <c r="AI51" t="str">
        <f t="shared" si="1"/>
        <v/>
      </c>
      <c r="AL51" t="str">
        <f t="shared" si="2"/>
        <v/>
      </c>
      <c r="AN51" t="str">
        <f t="shared" si="3"/>
        <v/>
      </c>
      <c r="AQ51" t="str">
        <f t="shared" si="4"/>
        <v/>
      </c>
      <c r="AR51" t="str">
        <f t="shared" si="5"/>
        <v/>
      </c>
      <c r="AS51" t="str">
        <f t="shared" si="6"/>
        <v/>
      </c>
      <c r="AT51" t="str">
        <f t="shared" si="7"/>
        <v/>
      </c>
      <c r="BG51" t="str">
        <f t="shared" si="8"/>
        <v/>
      </c>
      <c r="BH51" t="str">
        <f t="shared" si="9"/>
        <v/>
      </c>
      <c r="BL51" t="str">
        <f>IFERROR(INDEX(_names_lookup!$C:$C,MATCH(BK51,_names_lookup!$A:$A,0)),"")</f>
        <v/>
      </c>
      <c r="BM51" t="str">
        <f>IFERROR(INDEX(_names_lookup!$B:$B,MATCH(BK51,_names_lookup!$A:$A,0)),"")</f>
        <v/>
      </c>
      <c r="BS51" t="str">
        <f t="shared" si="10"/>
        <v/>
      </c>
    </row>
    <row r="52" spans="15:71" x14ac:dyDescent="0.2">
      <c r="O52" t="str">
        <f>IFERROR(INDEX(_courses_lookup!$C:$C,MATCH(K52&amp;L52,_courses_lookup!$E:$E,0)),"")</f>
        <v/>
      </c>
      <c r="P52" t="str">
        <f>IFERROR(INDEX(_courses_lookup!$D:$D,MATCH(K52&amp;L52,_courses_lookup!$E:$E,0)),"")</f>
        <v/>
      </c>
      <c r="AG52" t="str">
        <f t="shared" si="0"/>
        <v/>
      </c>
      <c r="AI52" t="str">
        <f t="shared" si="1"/>
        <v/>
      </c>
      <c r="AL52" t="str">
        <f t="shared" si="2"/>
        <v/>
      </c>
      <c r="AN52" t="str">
        <f t="shared" si="3"/>
        <v/>
      </c>
      <c r="AQ52" t="str">
        <f t="shared" si="4"/>
        <v/>
      </c>
      <c r="AR52" t="str">
        <f t="shared" si="5"/>
        <v/>
      </c>
      <c r="AS52" t="str">
        <f t="shared" si="6"/>
        <v/>
      </c>
      <c r="AT52" t="str">
        <f t="shared" si="7"/>
        <v/>
      </c>
      <c r="BG52" t="str">
        <f t="shared" si="8"/>
        <v/>
      </c>
      <c r="BH52" t="str">
        <f t="shared" si="9"/>
        <v/>
      </c>
      <c r="BL52" t="str">
        <f>IFERROR(INDEX(_names_lookup!$C:$C,MATCH(BK52,_names_lookup!$A:$A,0)),"")</f>
        <v/>
      </c>
      <c r="BM52" t="str">
        <f>IFERROR(INDEX(_names_lookup!$B:$B,MATCH(BK52,_names_lookup!$A:$A,0)),"")</f>
        <v/>
      </c>
      <c r="BS52" t="str">
        <f t="shared" si="10"/>
        <v/>
      </c>
    </row>
    <row r="53" spans="15:71" x14ac:dyDescent="0.2">
      <c r="O53" t="str">
        <f>IFERROR(INDEX(_courses_lookup!$C:$C,MATCH(K53&amp;L53,_courses_lookup!$E:$E,0)),"")</f>
        <v/>
      </c>
      <c r="P53" t="str">
        <f>IFERROR(INDEX(_courses_lookup!$D:$D,MATCH(K53&amp;L53,_courses_lookup!$E:$E,0)),"")</f>
        <v/>
      </c>
      <c r="AG53" t="str">
        <f t="shared" si="0"/>
        <v/>
      </c>
      <c r="AI53" t="str">
        <f t="shared" si="1"/>
        <v/>
      </c>
      <c r="AL53" t="str">
        <f t="shared" si="2"/>
        <v/>
      </c>
      <c r="AN53" t="str">
        <f t="shared" si="3"/>
        <v/>
      </c>
      <c r="AQ53" t="str">
        <f t="shared" si="4"/>
        <v/>
      </c>
      <c r="AR53" t="str">
        <f t="shared" si="5"/>
        <v/>
      </c>
      <c r="AS53" t="str">
        <f t="shared" si="6"/>
        <v/>
      </c>
      <c r="AT53" t="str">
        <f t="shared" si="7"/>
        <v/>
      </c>
      <c r="BG53" t="str">
        <f t="shared" si="8"/>
        <v/>
      </c>
      <c r="BH53" t="str">
        <f t="shared" si="9"/>
        <v/>
      </c>
      <c r="BL53" t="str">
        <f>IFERROR(INDEX(_names_lookup!$C:$C,MATCH(BK53,_names_lookup!$A:$A,0)),"")</f>
        <v/>
      </c>
      <c r="BM53" t="str">
        <f>IFERROR(INDEX(_names_lookup!$B:$B,MATCH(BK53,_names_lookup!$A:$A,0)),"")</f>
        <v/>
      </c>
      <c r="BS53" t="str">
        <f t="shared" si="10"/>
        <v/>
      </c>
    </row>
    <row r="54" spans="15:71" x14ac:dyDescent="0.2">
      <c r="O54" t="str">
        <f>IFERROR(INDEX(_courses_lookup!$C:$C,MATCH(K54&amp;L54,_courses_lookup!$E:$E,0)),"")</f>
        <v/>
      </c>
      <c r="P54" t="str">
        <f>IFERROR(INDEX(_courses_lookup!$D:$D,MATCH(K54&amp;L54,_courses_lookup!$E:$E,0)),"")</f>
        <v/>
      </c>
      <c r="AG54" t="str">
        <f t="shared" si="0"/>
        <v/>
      </c>
      <c r="AI54" t="str">
        <f t="shared" si="1"/>
        <v/>
      </c>
      <c r="AL54" t="str">
        <f t="shared" si="2"/>
        <v/>
      </c>
      <c r="AN54" t="str">
        <f t="shared" si="3"/>
        <v/>
      </c>
      <c r="AQ54" t="str">
        <f t="shared" si="4"/>
        <v/>
      </c>
      <c r="AR54" t="str">
        <f t="shared" si="5"/>
        <v/>
      </c>
      <c r="AS54" t="str">
        <f t="shared" si="6"/>
        <v/>
      </c>
      <c r="AT54" t="str">
        <f t="shared" si="7"/>
        <v/>
      </c>
      <c r="BG54" t="str">
        <f t="shared" si="8"/>
        <v/>
      </c>
      <c r="BH54" t="str">
        <f t="shared" si="9"/>
        <v/>
      </c>
      <c r="BL54" t="str">
        <f>IFERROR(INDEX(_names_lookup!$C:$C,MATCH(BK54,_names_lookup!$A:$A,0)),"")</f>
        <v/>
      </c>
      <c r="BM54" t="str">
        <f>IFERROR(INDEX(_names_lookup!$B:$B,MATCH(BK54,_names_lookup!$A:$A,0)),"")</f>
        <v/>
      </c>
      <c r="BS54" t="str">
        <f t="shared" si="10"/>
        <v/>
      </c>
    </row>
    <row r="55" spans="15:71" x14ac:dyDescent="0.2">
      <c r="O55" t="str">
        <f>IFERROR(INDEX(_courses_lookup!$C:$C,MATCH(K55&amp;L55,_courses_lookup!$E:$E,0)),"")</f>
        <v/>
      </c>
      <c r="P55" t="str">
        <f>IFERROR(INDEX(_courses_lookup!$D:$D,MATCH(K55&amp;L55,_courses_lookup!$E:$E,0)),"")</f>
        <v/>
      </c>
      <c r="AG55" t="str">
        <f t="shared" si="0"/>
        <v/>
      </c>
      <c r="AI55" t="str">
        <f t="shared" si="1"/>
        <v/>
      </c>
      <c r="AL55" t="str">
        <f t="shared" si="2"/>
        <v/>
      </c>
      <c r="AN55" t="str">
        <f t="shared" si="3"/>
        <v/>
      </c>
      <c r="AQ55" t="str">
        <f t="shared" si="4"/>
        <v/>
      </c>
      <c r="AR55" t="str">
        <f t="shared" si="5"/>
        <v/>
      </c>
      <c r="AS55" t="str">
        <f t="shared" si="6"/>
        <v/>
      </c>
      <c r="AT55" t="str">
        <f t="shared" si="7"/>
        <v/>
      </c>
      <c r="BG55" t="str">
        <f t="shared" si="8"/>
        <v/>
      </c>
      <c r="BH55" t="str">
        <f t="shared" si="9"/>
        <v/>
      </c>
      <c r="BL55" t="str">
        <f>IFERROR(INDEX(_names_lookup!$C:$C,MATCH(BK55,_names_lookup!$A:$A,0)),"")</f>
        <v/>
      </c>
      <c r="BM55" t="str">
        <f>IFERROR(INDEX(_names_lookup!$B:$B,MATCH(BK55,_names_lookup!$A:$A,0)),"")</f>
        <v/>
      </c>
      <c r="BS55" t="str">
        <f t="shared" si="10"/>
        <v/>
      </c>
    </row>
    <row r="56" spans="15:71" x14ac:dyDescent="0.2">
      <c r="O56" t="str">
        <f>IFERROR(INDEX(_courses_lookup!$C:$C,MATCH(K56&amp;L56,_courses_lookup!$E:$E,0)),"")</f>
        <v/>
      </c>
      <c r="P56" t="str">
        <f>IFERROR(INDEX(_courses_lookup!$D:$D,MATCH(K56&amp;L56,_courses_lookup!$E:$E,0)),"")</f>
        <v/>
      </c>
      <c r="AG56" t="str">
        <f t="shared" si="0"/>
        <v/>
      </c>
      <c r="AI56" t="str">
        <f t="shared" si="1"/>
        <v/>
      </c>
      <c r="AL56" t="str">
        <f t="shared" si="2"/>
        <v/>
      </c>
      <c r="AN56" t="str">
        <f t="shared" si="3"/>
        <v/>
      </c>
      <c r="AQ56" t="str">
        <f t="shared" si="4"/>
        <v/>
      </c>
      <c r="AR56" t="str">
        <f t="shared" si="5"/>
        <v/>
      </c>
      <c r="AS56" t="str">
        <f t="shared" si="6"/>
        <v/>
      </c>
      <c r="AT56" t="str">
        <f t="shared" si="7"/>
        <v/>
      </c>
      <c r="BG56" t="str">
        <f t="shared" si="8"/>
        <v/>
      </c>
      <c r="BH56" t="str">
        <f t="shared" si="9"/>
        <v/>
      </c>
      <c r="BL56" t="str">
        <f>IFERROR(INDEX(_names_lookup!$C:$C,MATCH(BK56,_names_lookup!$A:$A,0)),"")</f>
        <v/>
      </c>
      <c r="BM56" t="str">
        <f>IFERROR(INDEX(_names_lookup!$B:$B,MATCH(BK56,_names_lookup!$A:$A,0)),"")</f>
        <v/>
      </c>
      <c r="BS56" t="str">
        <f t="shared" si="10"/>
        <v/>
      </c>
    </row>
    <row r="57" spans="15:71" x14ac:dyDescent="0.2">
      <c r="O57" t="str">
        <f>IFERROR(INDEX(_courses_lookup!$C:$C,MATCH(K57&amp;L57,_courses_lookup!$E:$E,0)),"")</f>
        <v/>
      </c>
      <c r="P57" t="str">
        <f>IFERROR(INDEX(_courses_lookup!$D:$D,MATCH(K57&amp;L57,_courses_lookup!$E:$E,0)),"")</f>
        <v/>
      </c>
      <c r="AG57" t="str">
        <f t="shared" si="0"/>
        <v/>
      </c>
      <c r="AI57" t="str">
        <f t="shared" si="1"/>
        <v/>
      </c>
      <c r="AL57" t="str">
        <f t="shared" si="2"/>
        <v/>
      </c>
      <c r="AN57" t="str">
        <f t="shared" si="3"/>
        <v/>
      </c>
      <c r="AQ57" t="str">
        <f t="shared" si="4"/>
        <v/>
      </c>
      <c r="AR57" t="str">
        <f t="shared" si="5"/>
        <v/>
      </c>
      <c r="AS57" t="str">
        <f t="shared" si="6"/>
        <v/>
      </c>
      <c r="AT57" t="str">
        <f t="shared" si="7"/>
        <v/>
      </c>
      <c r="BG57" t="str">
        <f t="shared" si="8"/>
        <v/>
      </c>
      <c r="BH57" t="str">
        <f t="shared" si="9"/>
        <v/>
      </c>
      <c r="BL57" t="str">
        <f>IFERROR(INDEX(_names_lookup!$C:$C,MATCH(BK57,_names_lookup!$A:$A,0)),"")</f>
        <v/>
      </c>
      <c r="BM57" t="str">
        <f>IFERROR(INDEX(_names_lookup!$B:$B,MATCH(BK57,_names_lookup!$A:$A,0)),"")</f>
        <v/>
      </c>
      <c r="BS57" t="str">
        <f t="shared" si="10"/>
        <v/>
      </c>
    </row>
    <row r="58" spans="15:71" x14ac:dyDescent="0.2">
      <c r="O58" t="str">
        <f>IFERROR(INDEX(_courses_lookup!$C:$C,MATCH(K58&amp;L58,_courses_lookup!$E:$E,0)),"")</f>
        <v/>
      </c>
      <c r="P58" t="str">
        <f>IFERROR(INDEX(_courses_lookup!$D:$D,MATCH(K58&amp;L58,_courses_lookup!$E:$E,0)),"")</f>
        <v/>
      </c>
      <c r="AG58" t="str">
        <f t="shared" si="0"/>
        <v/>
      </c>
      <c r="AI58" t="str">
        <f t="shared" si="1"/>
        <v/>
      </c>
      <c r="AL58" t="str">
        <f t="shared" si="2"/>
        <v/>
      </c>
      <c r="AN58" t="str">
        <f t="shared" si="3"/>
        <v/>
      </c>
      <c r="AQ58" t="str">
        <f t="shared" si="4"/>
        <v/>
      </c>
      <c r="AR58" t="str">
        <f t="shared" si="5"/>
        <v/>
      </c>
      <c r="AS58" t="str">
        <f t="shared" si="6"/>
        <v/>
      </c>
      <c r="AT58" t="str">
        <f t="shared" si="7"/>
        <v/>
      </c>
      <c r="BG58" t="str">
        <f t="shared" si="8"/>
        <v/>
      </c>
      <c r="BH58" t="str">
        <f t="shared" si="9"/>
        <v/>
      </c>
      <c r="BL58" t="str">
        <f>IFERROR(INDEX(_names_lookup!$C:$C,MATCH(BK58,_names_lookup!$A:$A,0)),"")</f>
        <v/>
      </c>
      <c r="BM58" t="str">
        <f>IFERROR(INDEX(_names_lookup!$B:$B,MATCH(BK58,_names_lookup!$A:$A,0)),"")</f>
        <v/>
      </c>
      <c r="BS58" t="str">
        <f t="shared" si="10"/>
        <v/>
      </c>
    </row>
    <row r="59" spans="15:71" x14ac:dyDescent="0.2">
      <c r="O59" t="str">
        <f>IFERROR(INDEX(_courses_lookup!$C:$C,MATCH(K59&amp;L59,_courses_lookup!$E:$E,0)),"")</f>
        <v/>
      </c>
      <c r="P59" t="str">
        <f>IFERROR(INDEX(_courses_lookup!$D:$D,MATCH(K59&amp;L59,_courses_lookup!$E:$E,0)),"")</f>
        <v/>
      </c>
      <c r="AG59" t="str">
        <f t="shared" si="0"/>
        <v/>
      </c>
      <c r="AI59" t="str">
        <f t="shared" si="1"/>
        <v/>
      </c>
      <c r="AL59" t="str">
        <f t="shared" si="2"/>
        <v/>
      </c>
      <c r="AN59" t="str">
        <f t="shared" si="3"/>
        <v/>
      </c>
      <c r="AQ59" t="str">
        <f t="shared" si="4"/>
        <v/>
      </c>
      <c r="AR59" t="str">
        <f t="shared" si="5"/>
        <v/>
      </c>
      <c r="AS59" t="str">
        <f t="shared" si="6"/>
        <v/>
      </c>
      <c r="AT59" t="str">
        <f t="shared" si="7"/>
        <v/>
      </c>
      <c r="BG59" t="str">
        <f t="shared" si="8"/>
        <v/>
      </c>
      <c r="BH59" t="str">
        <f t="shared" si="9"/>
        <v/>
      </c>
      <c r="BL59" t="str">
        <f>IFERROR(INDEX(_names_lookup!$C:$C,MATCH(BK59,_names_lookup!$A:$A,0)),"")</f>
        <v/>
      </c>
      <c r="BM59" t="str">
        <f>IFERROR(INDEX(_names_lookup!$B:$B,MATCH(BK59,_names_lookup!$A:$A,0)),"")</f>
        <v/>
      </c>
      <c r="BS59" t="str">
        <f t="shared" si="10"/>
        <v/>
      </c>
    </row>
    <row r="60" spans="15:71" x14ac:dyDescent="0.2">
      <c r="O60" t="str">
        <f>IFERROR(INDEX(_courses_lookup!$C:$C,MATCH(K60&amp;L60,_courses_lookup!$E:$E,0)),"")</f>
        <v/>
      </c>
      <c r="P60" t="str">
        <f>IFERROR(INDEX(_courses_lookup!$D:$D,MATCH(K60&amp;L60,_courses_lookup!$E:$E,0)),"")</f>
        <v/>
      </c>
      <c r="AG60" t="str">
        <f t="shared" si="0"/>
        <v/>
      </c>
      <c r="AI60" t="str">
        <f t="shared" si="1"/>
        <v/>
      </c>
      <c r="AL60" t="str">
        <f t="shared" si="2"/>
        <v/>
      </c>
      <c r="AN60" t="str">
        <f t="shared" si="3"/>
        <v/>
      </c>
      <c r="AQ60" t="str">
        <f t="shared" si="4"/>
        <v/>
      </c>
      <c r="AR60" t="str">
        <f t="shared" si="5"/>
        <v/>
      </c>
      <c r="AS60" t="str">
        <f t="shared" si="6"/>
        <v/>
      </c>
      <c r="AT60" t="str">
        <f t="shared" si="7"/>
        <v/>
      </c>
      <c r="BG60" t="str">
        <f t="shared" si="8"/>
        <v/>
      </c>
      <c r="BH60" t="str">
        <f t="shared" si="9"/>
        <v/>
      </c>
      <c r="BL60" t="str">
        <f>IFERROR(INDEX(_names_lookup!$C:$C,MATCH(BK60,_names_lookup!$A:$A,0)),"")</f>
        <v/>
      </c>
      <c r="BM60" t="str">
        <f>IFERROR(INDEX(_names_lookup!$B:$B,MATCH(BK60,_names_lookup!$A:$A,0)),"")</f>
        <v/>
      </c>
      <c r="BS60" t="str">
        <f t="shared" si="10"/>
        <v/>
      </c>
    </row>
    <row r="61" spans="15:71" x14ac:dyDescent="0.2">
      <c r="O61" t="str">
        <f>IFERROR(INDEX(_courses_lookup!$C:$C,MATCH(K61&amp;L61,_courses_lookup!$E:$E,0)),"")</f>
        <v/>
      </c>
      <c r="P61" t="str">
        <f>IFERROR(INDEX(_courses_lookup!$D:$D,MATCH(K61&amp;L61,_courses_lookup!$E:$E,0)),"")</f>
        <v/>
      </c>
      <c r="AG61" t="str">
        <f t="shared" si="0"/>
        <v/>
      </c>
      <c r="AI61" t="str">
        <f t="shared" si="1"/>
        <v/>
      </c>
      <c r="AL61" t="str">
        <f t="shared" si="2"/>
        <v/>
      </c>
      <c r="AN61" t="str">
        <f t="shared" si="3"/>
        <v/>
      </c>
      <c r="AQ61" t="str">
        <f t="shared" si="4"/>
        <v/>
      </c>
      <c r="AR61" t="str">
        <f t="shared" si="5"/>
        <v/>
      </c>
      <c r="AS61" t="str">
        <f t="shared" si="6"/>
        <v/>
      </c>
      <c r="AT61" t="str">
        <f t="shared" si="7"/>
        <v/>
      </c>
      <c r="BG61" t="str">
        <f t="shared" si="8"/>
        <v/>
      </c>
      <c r="BH61" t="str">
        <f t="shared" si="9"/>
        <v/>
      </c>
      <c r="BL61" t="str">
        <f>IFERROR(INDEX(_names_lookup!$C:$C,MATCH(BK61,_names_lookup!$A:$A,0)),"")</f>
        <v/>
      </c>
      <c r="BM61" t="str">
        <f>IFERROR(INDEX(_names_lookup!$B:$B,MATCH(BK61,_names_lookup!$A:$A,0)),"")</f>
        <v/>
      </c>
      <c r="BS61" t="str">
        <f t="shared" si="10"/>
        <v/>
      </c>
    </row>
    <row r="62" spans="15:71" x14ac:dyDescent="0.2">
      <c r="O62" t="str">
        <f>IFERROR(INDEX(_courses_lookup!$C:$C,MATCH(K62&amp;L62,_courses_lookup!$E:$E,0)),"")</f>
        <v/>
      </c>
      <c r="P62" t="str">
        <f>IFERROR(INDEX(_courses_lookup!$D:$D,MATCH(K62&amp;L62,_courses_lookup!$E:$E,0)),"")</f>
        <v/>
      </c>
      <c r="AG62" t="str">
        <f t="shared" si="0"/>
        <v/>
      </c>
      <c r="AI62" t="str">
        <f t="shared" si="1"/>
        <v/>
      </c>
      <c r="AL62" t="str">
        <f t="shared" si="2"/>
        <v/>
      </c>
      <c r="AN62" t="str">
        <f t="shared" si="3"/>
        <v/>
      </c>
      <c r="AQ62" t="str">
        <f t="shared" si="4"/>
        <v/>
      </c>
      <c r="AR62" t="str">
        <f t="shared" si="5"/>
        <v/>
      </c>
      <c r="AS62" t="str">
        <f t="shared" si="6"/>
        <v/>
      </c>
      <c r="AT62" t="str">
        <f t="shared" si="7"/>
        <v/>
      </c>
      <c r="BG62" t="str">
        <f t="shared" si="8"/>
        <v/>
      </c>
      <c r="BH62" t="str">
        <f t="shared" si="9"/>
        <v/>
      </c>
      <c r="BL62" t="str">
        <f>IFERROR(INDEX(_names_lookup!$C:$C,MATCH(BK62,_names_lookup!$A:$A,0)),"")</f>
        <v/>
      </c>
      <c r="BM62" t="str">
        <f>IFERROR(INDEX(_names_lookup!$B:$B,MATCH(BK62,_names_lookup!$A:$A,0)),"")</f>
        <v/>
      </c>
      <c r="BS62" t="str">
        <f t="shared" si="10"/>
        <v/>
      </c>
    </row>
    <row r="63" spans="15:71" x14ac:dyDescent="0.2">
      <c r="O63" t="str">
        <f>IFERROR(INDEX(_courses_lookup!$C:$C,MATCH(K63&amp;L63,_courses_lookup!$E:$E,0)),"")</f>
        <v/>
      </c>
      <c r="P63" t="str">
        <f>IFERROR(INDEX(_courses_lookup!$D:$D,MATCH(K63&amp;L63,_courses_lookup!$E:$E,0)),"")</f>
        <v/>
      </c>
      <c r="AG63" t="str">
        <f t="shared" si="0"/>
        <v/>
      </c>
      <c r="AI63" t="str">
        <f t="shared" si="1"/>
        <v/>
      </c>
      <c r="AL63" t="str">
        <f t="shared" si="2"/>
        <v/>
      </c>
      <c r="AN63" t="str">
        <f t="shared" si="3"/>
        <v/>
      </c>
      <c r="AQ63" t="str">
        <f t="shared" si="4"/>
        <v/>
      </c>
      <c r="AR63" t="str">
        <f t="shared" si="5"/>
        <v/>
      </c>
      <c r="AS63" t="str">
        <f t="shared" si="6"/>
        <v/>
      </c>
      <c r="AT63" t="str">
        <f t="shared" si="7"/>
        <v/>
      </c>
      <c r="BG63" t="str">
        <f t="shared" si="8"/>
        <v/>
      </c>
      <c r="BH63" t="str">
        <f t="shared" si="9"/>
        <v/>
      </c>
      <c r="BL63" t="str">
        <f>IFERROR(INDEX(_names_lookup!$C:$C,MATCH(BK63,_names_lookup!$A:$A,0)),"")</f>
        <v/>
      </c>
      <c r="BM63" t="str">
        <f>IFERROR(INDEX(_names_lookup!$B:$B,MATCH(BK63,_names_lookup!$A:$A,0)),"")</f>
        <v/>
      </c>
      <c r="BS63" t="str">
        <f t="shared" si="10"/>
        <v/>
      </c>
    </row>
    <row r="64" spans="15:71" x14ac:dyDescent="0.2">
      <c r="O64" t="str">
        <f>IFERROR(INDEX(_courses_lookup!$C:$C,MATCH(K64&amp;L64,_courses_lookup!$E:$E,0)),"")</f>
        <v/>
      </c>
      <c r="P64" t="str">
        <f>IFERROR(INDEX(_courses_lookup!$D:$D,MATCH(K64&amp;L64,_courses_lookup!$E:$E,0)),"")</f>
        <v/>
      </c>
      <c r="AG64" t="str">
        <f t="shared" si="0"/>
        <v/>
      </c>
      <c r="AI64" t="str">
        <f t="shared" si="1"/>
        <v/>
      </c>
      <c r="AL64" t="str">
        <f t="shared" si="2"/>
        <v/>
      </c>
      <c r="AN64" t="str">
        <f t="shared" si="3"/>
        <v/>
      </c>
      <c r="AQ64" t="str">
        <f t="shared" si="4"/>
        <v/>
      </c>
      <c r="AR64" t="str">
        <f t="shared" si="5"/>
        <v/>
      </c>
      <c r="AS64" t="str">
        <f t="shared" si="6"/>
        <v/>
      </c>
      <c r="AT64" t="str">
        <f t="shared" si="7"/>
        <v/>
      </c>
      <c r="BG64" t="str">
        <f t="shared" si="8"/>
        <v/>
      </c>
      <c r="BH64" t="str">
        <f t="shared" si="9"/>
        <v/>
      </c>
      <c r="BL64" t="str">
        <f>IFERROR(INDEX(_names_lookup!$C:$C,MATCH(BK64,_names_lookup!$A:$A,0)),"")</f>
        <v/>
      </c>
      <c r="BM64" t="str">
        <f>IFERROR(INDEX(_names_lookup!$B:$B,MATCH(BK64,_names_lookup!$A:$A,0)),"")</f>
        <v/>
      </c>
      <c r="BS64" t="str">
        <f t="shared" si="10"/>
        <v/>
      </c>
    </row>
    <row r="65" spans="15:71" x14ac:dyDescent="0.2">
      <c r="O65" t="str">
        <f>IFERROR(INDEX(_courses_lookup!$C:$C,MATCH(K65&amp;L65,_courses_lookup!$E:$E,0)),"")</f>
        <v/>
      </c>
      <c r="P65" t="str">
        <f>IFERROR(INDEX(_courses_lookup!$D:$D,MATCH(K65&amp;L65,_courses_lookup!$E:$E,0)),"")</f>
        <v/>
      </c>
      <c r="AG65" t="str">
        <f t="shared" si="0"/>
        <v/>
      </c>
      <c r="AI65" t="str">
        <f t="shared" si="1"/>
        <v/>
      </c>
      <c r="AL65" t="str">
        <f t="shared" si="2"/>
        <v/>
      </c>
      <c r="AN65" t="str">
        <f t="shared" si="3"/>
        <v/>
      </c>
      <c r="AQ65" t="str">
        <f t="shared" si="4"/>
        <v/>
      </c>
      <c r="AR65" t="str">
        <f t="shared" si="5"/>
        <v/>
      </c>
      <c r="AS65" t="str">
        <f t="shared" si="6"/>
        <v/>
      </c>
      <c r="AT65" t="str">
        <f t="shared" si="7"/>
        <v/>
      </c>
      <c r="BG65" t="str">
        <f t="shared" si="8"/>
        <v/>
      </c>
      <c r="BH65" t="str">
        <f t="shared" si="9"/>
        <v/>
      </c>
      <c r="BL65" t="str">
        <f>IFERROR(INDEX(_names_lookup!$C:$C,MATCH(BK65,_names_lookup!$A:$A,0)),"")</f>
        <v/>
      </c>
      <c r="BM65" t="str">
        <f>IFERROR(INDEX(_names_lookup!$B:$B,MATCH(BK65,_names_lookup!$A:$A,0)),"")</f>
        <v/>
      </c>
      <c r="BS65" t="str">
        <f t="shared" si="10"/>
        <v/>
      </c>
    </row>
    <row r="66" spans="15:71" x14ac:dyDescent="0.2">
      <c r="O66" t="str">
        <f>IFERROR(INDEX(_courses_lookup!$C:$C,MATCH(K66&amp;L66,_courses_lookup!$E:$E,0)),"")</f>
        <v/>
      </c>
      <c r="P66" t="str">
        <f>IFERROR(INDEX(_courses_lookup!$D:$D,MATCH(K66&amp;L66,_courses_lookup!$E:$E,0)),"")</f>
        <v/>
      </c>
      <c r="AG66" t="str">
        <f t="shared" ref="AG66:AG129" si="11">IF(AND(AE66&lt;&gt;"",AF66&lt;&gt;""),ROUNDUP((AF66-AE66)/7,0),"")</f>
        <v/>
      </c>
      <c r="AI66" t="str">
        <f t="shared" ref="AI66:AI129" si="12">IFERROR(IF(AG66*AH66=0,"",AG66*AH66),"")</f>
        <v/>
      </c>
      <c r="AL66" t="str">
        <f t="shared" ref="AL66:AL129" si="13">IF(AND(AJ66&lt;&gt;"",AK66&lt;&gt;""),ROUNDUP((AK66-AJ66)/7,0),"")</f>
        <v/>
      </c>
      <c r="AN66" t="str">
        <f t="shared" ref="AN66:AN129" si="14">IFERROR(IF(AL66*AM66=0,"",AL66*AM66),"")</f>
        <v/>
      </c>
      <c r="AQ66" t="str">
        <f t="shared" ref="AQ66:AQ129" si="15">IF(AND(AO66&lt;&gt;"",AP66&lt;&gt;""),ROUNDUP((AP66-AO66)/7,0),"")</f>
        <v/>
      </c>
      <c r="AR66" t="str">
        <f t="shared" ref="AR66:AR129" si="16">IFERROR(IF((AU66-(AI66+AN66))/AQ66=0,"",ROUNDUP((AU66-(AI66+AN66))/AQ66,0)),"")</f>
        <v/>
      </c>
      <c r="AS66" t="str">
        <f t="shared" ref="AS66:AS129" si="17">IFERROR(IF((AU66-(AI66+AN66))=0,"",(AU66-(AI66+AN66))),"")</f>
        <v/>
      </c>
      <c r="AT66" t="str">
        <f t="shared" ref="AT66:AT129" si="18">IF(AND(AG66="",AQ66=""),AL66,IF(SUM(AG66,AL66,AQ66)=0,"",SUM(AG66,AL66,AQ66)))</f>
        <v/>
      </c>
      <c r="BG66" t="str">
        <f t="shared" ref="BG66:BG129" si="19">IF(AD66="","",YEAR(AD66)+IF(MONTH(AD66)&gt;=5,1,0))</f>
        <v/>
      </c>
      <c r="BH66" t="str">
        <f t="shared" ref="BH66:BH129" si="20">IF(AD66="","",IF(AND(MONTH(AD66)=8,DAY(AD66)&gt;=15),"Fall",IF(MONTH(AD66)&gt;8,"Fall",IF(MONTH(AD66)=5,"Summer",IF(MONTH(AD66)=1,"Spring","")))))</f>
        <v/>
      </c>
      <c r="BL66" t="str">
        <f>IFERROR(INDEX(_names_lookup!$C:$C,MATCH(BK66,_names_lookup!$A:$A,0)),"")</f>
        <v/>
      </c>
      <c r="BM66" t="str">
        <f>IFERROR(INDEX(_names_lookup!$B:$B,MATCH(BK66,_names_lookup!$A:$A,0)),"")</f>
        <v/>
      </c>
      <c r="BS66" t="str">
        <f t="shared" ref="BS66:BS129" si="21">IFERROR(IF(BR66*AA66=0,"",BR66*AA66),"")</f>
        <v/>
      </c>
    </row>
    <row r="67" spans="15:71" x14ac:dyDescent="0.2">
      <c r="O67" t="str">
        <f>IFERROR(INDEX(_courses_lookup!$C:$C,MATCH(K67&amp;L67,_courses_lookup!$E:$E,0)),"")</f>
        <v/>
      </c>
      <c r="P67" t="str">
        <f>IFERROR(INDEX(_courses_lookup!$D:$D,MATCH(K67&amp;L67,_courses_lookup!$E:$E,0)),"")</f>
        <v/>
      </c>
      <c r="AG67" t="str">
        <f t="shared" si="11"/>
        <v/>
      </c>
      <c r="AI67" t="str">
        <f t="shared" si="12"/>
        <v/>
      </c>
      <c r="AL67" t="str">
        <f t="shared" si="13"/>
        <v/>
      </c>
      <c r="AN67" t="str">
        <f t="shared" si="14"/>
        <v/>
      </c>
      <c r="AQ67" t="str">
        <f t="shared" si="15"/>
        <v/>
      </c>
      <c r="AR67" t="str">
        <f t="shared" si="16"/>
        <v/>
      </c>
      <c r="AS67" t="str">
        <f t="shared" si="17"/>
        <v/>
      </c>
      <c r="AT67" t="str">
        <f t="shared" si="18"/>
        <v/>
      </c>
      <c r="BG67" t="str">
        <f t="shared" si="19"/>
        <v/>
      </c>
      <c r="BH67" t="str">
        <f t="shared" si="20"/>
        <v/>
      </c>
      <c r="BL67" t="str">
        <f>IFERROR(INDEX(_names_lookup!$C:$C,MATCH(BK67,_names_lookup!$A:$A,0)),"")</f>
        <v/>
      </c>
      <c r="BM67" t="str">
        <f>IFERROR(INDEX(_names_lookup!$B:$B,MATCH(BK67,_names_lookup!$A:$A,0)),"")</f>
        <v/>
      </c>
      <c r="BS67" t="str">
        <f t="shared" si="21"/>
        <v/>
      </c>
    </row>
    <row r="68" spans="15:71" x14ac:dyDescent="0.2">
      <c r="O68" t="str">
        <f>IFERROR(INDEX(_courses_lookup!$C:$C,MATCH(K68&amp;L68,_courses_lookup!$E:$E,0)),"")</f>
        <v/>
      </c>
      <c r="P68" t="str">
        <f>IFERROR(INDEX(_courses_lookup!$D:$D,MATCH(K68&amp;L68,_courses_lookup!$E:$E,0)),"")</f>
        <v/>
      </c>
      <c r="AG68" t="str">
        <f t="shared" si="11"/>
        <v/>
      </c>
      <c r="AI68" t="str">
        <f t="shared" si="12"/>
        <v/>
      </c>
      <c r="AL68" t="str">
        <f t="shared" si="13"/>
        <v/>
      </c>
      <c r="AN68" t="str">
        <f t="shared" si="14"/>
        <v/>
      </c>
      <c r="AQ68" t="str">
        <f t="shared" si="15"/>
        <v/>
      </c>
      <c r="AR68" t="str">
        <f t="shared" si="16"/>
        <v/>
      </c>
      <c r="AS68" t="str">
        <f t="shared" si="17"/>
        <v/>
      </c>
      <c r="AT68" t="str">
        <f t="shared" si="18"/>
        <v/>
      </c>
      <c r="BG68" t="str">
        <f t="shared" si="19"/>
        <v/>
      </c>
      <c r="BH68" t="str">
        <f t="shared" si="20"/>
        <v/>
      </c>
      <c r="BL68" t="str">
        <f>IFERROR(INDEX(_names_lookup!$C:$C,MATCH(BK68,_names_lookup!$A:$A,0)),"")</f>
        <v/>
      </c>
      <c r="BM68" t="str">
        <f>IFERROR(INDEX(_names_lookup!$B:$B,MATCH(BK68,_names_lookup!$A:$A,0)),"")</f>
        <v/>
      </c>
      <c r="BS68" t="str">
        <f t="shared" si="21"/>
        <v/>
      </c>
    </row>
    <row r="69" spans="15:71" x14ac:dyDescent="0.2">
      <c r="O69" t="str">
        <f>IFERROR(INDEX(_courses_lookup!$C:$C,MATCH(K69&amp;L69,_courses_lookup!$E:$E,0)),"")</f>
        <v/>
      </c>
      <c r="P69" t="str">
        <f>IFERROR(INDEX(_courses_lookup!$D:$D,MATCH(K69&amp;L69,_courses_lookup!$E:$E,0)),"")</f>
        <v/>
      </c>
      <c r="AG69" t="str">
        <f t="shared" si="11"/>
        <v/>
      </c>
      <c r="AI69" t="str">
        <f t="shared" si="12"/>
        <v/>
      </c>
      <c r="AL69" t="str">
        <f t="shared" si="13"/>
        <v/>
      </c>
      <c r="AN69" t="str">
        <f t="shared" si="14"/>
        <v/>
      </c>
      <c r="AQ69" t="str">
        <f t="shared" si="15"/>
        <v/>
      </c>
      <c r="AR69" t="str">
        <f t="shared" si="16"/>
        <v/>
      </c>
      <c r="AS69" t="str">
        <f t="shared" si="17"/>
        <v/>
      </c>
      <c r="AT69" t="str">
        <f t="shared" si="18"/>
        <v/>
      </c>
      <c r="BG69" t="str">
        <f t="shared" si="19"/>
        <v/>
      </c>
      <c r="BH69" t="str">
        <f t="shared" si="20"/>
        <v/>
      </c>
      <c r="BL69" t="str">
        <f>IFERROR(INDEX(_names_lookup!$C:$C,MATCH(BK69,_names_lookup!$A:$A,0)),"")</f>
        <v/>
      </c>
      <c r="BM69" t="str">
        <f>IFERROR(INDEX(_names_lookup!$B:$B,MATCH(BK69,_names_lookup!$A:$A,0)),"")</f>
        <v/>
      </c>
      <c r="BS69" t="str">
        <f t="shared" si="21"/>
        <v/>
      </c>
    </row>
    <row r="70" spans="15:71" x14ac:dyDescent="0.2">
      <c r="O70" t="str">
        <f>IFERROR(INDEX(_courses_lookup!$C:$C,MATCH(K70&amp;L70,_courses_lookup!$E:$E,0)),"")</f>
        <v/>
      </c>
      <c r="P70" t="str">
        <f>IFERROR(INDEX(_courses_lookup!$D:$D,MATCH(K70&amp;L70,_courses_lookup!$E:$E,0)),"")</f>
        <v/>
      </c>
      <c r="AG70" t="str">
        <f t="shared" si="11"/>
        <v/>
      </c>
      <c r="AI70" t="str">
        <f t="shared" si="12"/>
        <v/>
      </c>
      <c r="AL70" t="str">
        <f t="shared" si="13"/>
        <v/>
      </c>
      <c r="AN70" t="str">
        <f t="shared" si="14"/>
        <v/>
      </c>
      <c r="AQ70" t="str">
        <f t="shared" si="15"/>
        <v/>
      </c>
      <c r="AR70" t="str">
        <f t="shared" si="16"/>
        <v/>
      </c>
      <c r="AS70" t="str">
        <f t="shared" si="17"/>
        <v/>
      </c>
      <c r="AT70" t="str">
        <f t="shared" si="18"/>
        <v/>
      </c>
      <c r="BG70" t="str">
        <f t="shared" si="19"/>
        <v/>
      </c>
      <c r="BH70" t="str">
        <f t="shared" si="20"/>
        <v/>
      </c>
      <c r="BL70" t="str">
        <f>IFERROR(INDEX(_names_lookup!$C:$C,MATCH(BK70,_names_lookup!$A:$A,0)),"")</f>
        <v/>
      </c>
      <c r="BM70" t="str">
        <f>IFERROR(INDEX(_names_lookup!$B:$B,MATCH(BK70,_names_lookup!$A:$A,0)),"")</f>
        <v/>
      </c>
      <c r="BS70" t="str">
        <f t="shared" si="21"/>
        <v/>
      </c>
    </row>
    <row r="71" spans="15:71" x14ac:dyDescent="0.2">
      <c r="O71" t="str">
        <f>IFERROR(INDEX(_courses_lookup!$C:$C,MATCH(K71&amp;L71,_courses_lookup!$E:$E,0)),"")</f>
        <v/>
      </c>
      <c r="P71" t="str">
        <f>IFERROR(INDEX(_courses_lookup!$D:$D,MATCH(K71&amp;L71,_courses_lookup!$E:$E,0)),"")</f>
        <v/>
      </c>
      <c r="AG71" t="str">
        <f t="shared" si="11"/>
        <v/>
      </c>
      <c r="AI71" t="str">
        <f t="shared" si="12"/>
        <v/>
      </c>
      <c r="AL71" t="str">
        <f t="shared" si="13"/>
        <v/>
      </c>
      <c r="AN71" t="str">
        <f t="shared" si="14"/>
        <v/>
      </c>
      <c r="AQ71" t="str">
        <f t="shared" si="15"/>
        <v/>
      </c>
      <c r="AR71" t="str">
        <f t="shared" si="16"/>
        <v/>
      </c>
      <c r="AS71" t="str">
        <f t="shared" si="17"/>
        <v/>
      </c>
      <c r="AT71" t="str">
        <f t="shared" si="18"/>
        <v/>
      </c>
      <c r="BG71" t="str">
        <f t="shared" si="19"/>
        <v/>
      </c>
      <c r="BH71" t="str">
        <f t="shared" si="20"/>
        <v/>
      </c>
      <c r="BL71" t="str">
        <f>IFERROR(INDEX(_names_lookup!$C:$C,MATCH(BK71,_names_lookup!$A:$A,0)),"")</f>
        <v/>
      </c>
      <c r="BM71" t="str">
        <f>IFERROR(INDEX(_names_lookup!$B:$B,MATCH(BK71,_names_lookup!$A:$A,0)),"")</f>
        <v/>
      </c>
      <c r="BS71" t="str">
        <f t="shared" si="21"/>
        <v/>
      </c>
    </row>
    <row r="72" spans="15:71" x14ac:dyDescent="0.2">
      <c r="O72" t="str">
        <f>IFERROR(INDEX(_courses_lookup!$C:$C,MATCH(K72&amp;L72,_courses_lookup!$E:$E,0)),"")</f>
        <v/>
      </c>
      <c r="P72" t="str">
        <f>IFERROR(INDEX(_courses_lookup!$D:$D,MATCH(K72&amp;L72,_courses_lookup!$E:$E,0)),"")</f>
        <v/>
      </c>
      <c r="AG72" t="str">
        <f t="shared" si="11"/>
        <v/>
      </c>
      <c r="AI72" t="str">
        <f t="shared" si="12"/>
        <v/>
      </c>
      <c r="AL72" t="str">
        <f t="shared" si="13"/>
        <v/>
      </c>
      <c r="AN72" t="str">
        <f t="shared" si="14"/>
        <v/>
      </c>
      <c r="AQ72" t="str">
        <f t="shared" si="15"/>
        <v/>
      </c>
      <c r="AR72" t="str">
        <f t="shared" si="16"/>
        <v/>
      </c>
      <c r="AS72" t="str">
        <f t="shared" si="17"/>
        <v/>
      </c>
      <c r="AT72" t="str">
        <f t="shared" si="18"/>
        <v/>
      </c>
      <c r="BG72" t="str">
        <f t="shared" si="19"/>
        <v/>
      </c>
      <c r="BH72" t="str">
        <f t="shared" si="20"/>
        <v/>
      </c>
      <c r="BL72" t="str">
        <f>IFERROR(INDEX(_names_lookup!$C:$C,MATCH(BK72,_names_lookup!$A:$A,0)),"")</f>
        <v/>
      </c>
      <c r="BM72" t="str">
        <f>IFERROR(INDEX(_names_lookup!$B:$B,MATCH(BK72,_names_lookup!$A:$A,0)),"")</f>
        <v/>
      </c>
      <c r="BS72" t="str">
        <f t="shared" si="21"/>
        <v/>
      </c>
    </row>
    <row r="73" spans="15:71" x14ac:dyDescent="0.2">
      <c r="O73" t="str">
        <f>IFERROR(INDEX(_courses_lookup!$C:$C,MATCH(K73&amp;L73,_courses_lookup!$E:$E,0)),"")</f>
        <v/>
      </c>
      <c r="P73" t="str">
        <f>IFERROR(INDEX(_courses_lookup!$D:$D,MATCH(K73&amp;L73,_courses_lookup!$E:$E,0)),"")</f>
        <v/>
      </c>
      <c r="AG73" t="str">
        <f t="shared" si="11"/>
        <v/>
      </c>
      <c r="AI73" t="str">
        <f t="shared" si="12"/>
        <v/>
      </c>
      <c r="AL73" t="str">
        <f t="shared" si="13"/>
        <v/>
      </c>
      <c r="AN73" t="str">
        <f t="shared" si="14"/>
        <v/>
      </c>
      <c r="AQ73" t="str">
        <f t="shared" si="15"/>
        <v/>
      </c>
      <c r="AR73" t="str">
        <f t="shared" si="16"/>
        <v/>
      </c>
      <c r="AS73" t="str">
        <f t="shared" si="17"/>
        <v/>
      </c>
      <c r="AT73" t="str">
        <f t="shared" si="18"/>
        <v/>
      </c>
      <c r="BG73" t="str">
        <f t="shared" si="19"/>
        <v/>
      </c>
      <c r="BH73" t="str">
        <f t="shared" si="20"/>
        <v/>
      </c>
      <c r="BL73" t="str">
        <f>IFERROR(INDEX(_names_lookup!$C:$C,MATCH(BK73,_names_lookup!$A:$A,0)),"")</f>
        <v/>
      </c>
      <c r="BM73" t="str">
        <f>IFERROR(INDEX(_names_lookup!$B:$B,MATCH(BK73,_names_lookup!$A:$A,0)),"")</f>
        <v/>
      </c>
      <c r="BS73" t="str">
        <f t="shared" si="21"/>
        <v/>
      </c>
    </row>
    <row r="74" spans="15:71" x14ac:dyDescent="0.2">
      <c r="O74" t="str">
        <f>IFERROR(INDEX(_courses_lookup!$C:$C,MATCH(K74&amp;L74,_courses_lookup!$E:$E,0)),"")</f>
        <v/>
      </c>
      <c r="P74" t="str">
        <f>IFERROR(INDEX(_courses_lookup!$D:$D,MATCH(K74&amp;L74,_courses_lookup!$E:$E,0)),"")</f>
        <v/>
      </c>
      <c r="AG74" t="str">
        <f t="shared" si="11"/>
        <v/>
      </c>
      <c r="AI74" t="str">
        <f t="shared" si="12"/>
        <v/>
      </c>
      <c r="AL74" t="str">
        <f t="shared" si="13"/>
        <v/>
      </c>
      <c r="AN74" t="str">
        <f t="shared" si="14"/>
        <v/>
      </c>
      <c r="AQ74" t="str">
        <f t="shared" si="15"/>
        <v/>
      </c>
      <c r="AR74" t="str">
        <f t="shared" si="16"/>
        <v/>
      </c>
      <c r="AS74" t="str">
        <f t="shared" si="17"/>
        <v/>
      </c>
      <c r="AT74" t="str">
        <f t="shared" si="18"/>
        <v/>
      </c>
      <c r="BG74" t="str">
        <f t="shared" si="19"/>
        <v/>
      </c>
      <c r="BH74" t="str">
        <f t="shared" si="20"/>
        <v/>
      </c>
      <c r="BL74" t="str">
        <f>IFERROR(INDEX(_names_lookup!$C:$C,MATCH(BK74,_names_lookup!$A:$A,0)),"")</f>
        <v/>
      </c>
      <c r="BM74" t="str">
        <f>IFERROR(INDEX(_names_lookup!$B:$B,MATCH(BK74,_names_lookup!$A:$A,0)),"")</f>
        <v/>
      </c>
      <c r="BS74" t="str">
        <f t="shared" si="21"/>
        <v/>
      </c>
    </row>
    <row r="75" spans="15:71" x14ac:dyDescent="0.2">
      <c r="O75" t="str">
        <f>IFERROR(INDEX(_courses_lookup!$C:$C,MATCH(K75&amp;L75,_courses_lookup!$E:$E,0)),"")</f>
        <v/>
      </c>
      <c r="P75" t="str">
        <f>IFERROR(INDEX(_courses_lookup!$D:$D,MATCH(K75&amp;L75,_courses_lookup!$E:$E,0)),"")</f>
        <v/>
      </c>
      <c r="AG75" t="str">
        <f t="shared" si="11"/>
        <v/>
      </c>
      <c r="AI75" t="str">
        <f t="shared" si="12"/>
        <v/>
      </c>
      <c r="AL75" t="str">
        <f t="shared" si="13"/>
        <v/>
      </c>
      <c r="AN75" t="str">
        <f t="shared" si="14"/>
        <v/>
      </c>
      <c r="AQ75" t="str">
        <f t="shared" si="15"/>
        <v/>
      </c>
      <c r="AR75" t="str">
        <f t="shared" si="16"/>
        <v/>
      </c>
      <c r="AS75" t="str">
        <f t="shared" si="17"/>
        <v/>
      </c>
      <c r="AT75" t="str">
        <f t="shared" si="18"/>
        <v/>
      </c>
      <c r="BG75" t="str">
        <f t="shared" si="19"/>
        <v/>
      </c>
      <c r="BH75" t="str">
        <f t="shared" si="20"/>
        <v/>
      </c>
      <c r="BL75" t="str">
        <f>IFERROR(INDEX(_names_lookup!$C:$C,MATCH(BK75,_names_lookup!$A:$A,0)),"")</f>
        <v/>
      </c>
      <c r="BM75" t="str">
        <f>IFERROR(INDEX(_names_lookup!$B:$B,MATCH(BK75,_names_lookup!$A:$A,0)),"")</f>
        <v/>
      </c>
      <c r="BS75" t="str">
        <f t="shared" si="21"/>
        <v/>
      </c>
    </row>
    <row r="76" spans="15:71" x14ac:dyDescent="0.2">
      <c r="O76" t="str">
        <f>IFERROR(INDEX(_courses_lookup!$C:$C,MATCH(K76&amp;L76,_courses_lookup!$E:$E,0)),"")</f>
        <v/>
      </c>
      <c r="P76" t="str">
        <f>IFERROR(INDEX(_courses_lookup!$D:$D,MATCH(K76&amp;L76,_courses_lookup!$E:$E,0)),"")</f>
        <v/>
      </c>
      <c r="AG76" t="str">
        <f t="shared" si="11"/>
        <v/>
      </c>
      <c r="AI76" t="str">
        <f t="shared" si="12"/>
        <v/>
      </c>
      <c r="AL76" t="str">
        <f t="shared" si="13"/>
        <v/>
      </c>
      <c r="AN76" t="str">
        <f t="shared" si="14"/>
        <v/>
      </c>
      <c r="AQ76" t="str">
        <f t="shared" si="15"/>
        <v/>
      </c>
      <c r="AR76" t="str">
        <f t="shared" si="16"/>
        <v/>
      </c>
      <c r="AS76" t="str">
        <f t="shared" si="17"/>
        <v/>
      </c>
      <c r="AT76" t="str">
        <f t="shared" si="18"/>
        <v/>
      </c>
      <c r="BG76" t="str">
        <f t="shared" si="19"/>
        <v/>
      </c>
      <c r="BH76" t="str">
        <f t="shared" si="20"/>
        <v/>
      </c>
      <c r="BL76" t="str">
        <f>IFERROR(INDEX(_names_lookup!$C:$C,MATCH(BK76,_names_lookup!$A:$A,0)),"")</f>
        <v/>
      </c>
      <c r="BM76" t="str">
        <f>IFERROR(INDEX(_names_lookup!$B:$B,MATCH(BK76,_names_lookup!$A:$A,0)),"")</f>
        <v/>
      </c>
      <c r="BS76" t="str">
        <f t="shared" si="21"/>
        <v/>
      </c>
    </row>
    <row r="77" spans="15:71" x14ac:dyDescent="0.2">
      <c r="O77" t="str">
        <f>IFERROR(INDEX(_courses_lookup!$C:$C,MATCH(K77&amp;L77,_courses_lookup!$E:$E,0)),"")</f>
        <v/>
      </c>
      <c r="P77" t="str">
        <f>IFERROR(INDEX(_courses_lookup!$D:$D,MATCH(K77&amp;L77,_courses_lookup!$E:$E,0)),"")</f>
        <v/>
      </c>
      <c r="AG77" t="str">
        <f t="shared" si="11"/>
        <v/>
      </c>
      <c r="AI77" t="str">
        <f t="shared" si="12"/>
        <v/>
      </c>
      <c r="AL77" t="str">
        <f t="shared" si="13"/>
        <v/>
      </c>
      <c r="AN77" t="str">
        <f t="shared" si="14"/>
        <v/>
      </c>
      <c r="AQ77" t="str">
        <f t="shared" si="15"/>
        <v/>
      </c>
      <c r="AR77" t="str">
        <f t="shared" si="16"/>
        <v/>
      </c>
      <c r="AS77" t="str">
        <f t="shared" si="17"/>
        <v/>
      </c>
      <c r="AT77" t="str">
        <f t="shared" si="18"/>
        <v/>
      </c>
      <c r="BG77" t="str">
        <f t="shared" si="19"/>
        <v/>
      </c>
      <c r="BH77" t="str">
        <f t="shared" si="20"/>
        <v/>
      </c>
      <c r="BL77" t="str">
        <f>IFERROR(INDEX(_names_lookup!$C:$C,MATCH(BK77,_names_lookup!$A:$A,0)),"")</f>
        <v/>
      </c>
      <c r="BM77" t="str">
        <f>IFERROR(INDEX(_names_lookup!$B:$B,MATCH(BK77,_names_lookup!$A:$A,0)),"")</f>
        <v/>
      </c>
      <c r="BS77" t="str">
        <f t="shared" si="21"/>
        <v/>
      </c>
    </row>
    <row r="78" spans="15:71" x14ac:dyDescent="0.2">
      <c r="O78" t="str">
        <f>IFERROR(INDEX(_courses_lookup!$C:$C,MATCH(K78&amp;L78,_courses_lookup!$E:$E,0)),"")</f>
        <v/>
      </c>
      <c r="P78" t="str">
        <f>IFERROR(INDEX(_courses_lookup!$D:$D,MATCH(K78&amp;L78,_courses_lookup!$E:$E,0)),"")</f>
        <v/>
      </c>
      <c r="AG78" t="str">
        <f t="shared" si="11"/>
        <v/>
      </c>
      <c r="AI78" t="str">
        <f t="shared" si="12"/>
        <v/>
      </c>
      <c r="AL78" t="str">
        <f t="shared" si="13"/>
        <v/>
      </c>
      <c r="AN78" t="str">
        <f t="shared" si="14"/>
        <v/>
      </c>
      <c r="AQ78" t="str">
        <f t="shared" si="15"/>
        <v/>
      </c>
      <c r="AR78" t="str">
        <f t="shared" si="16"/>
        <v/>
      </c>
      <c r="AS78" t="str">
        <f t="shared" si="17"/>
        <v/>
      </c>
      <c r="AT78" t="str">
        <f t="shared" si="18"/>
        <v/>
      </c>
      <c r="BG78" t="str">
        <f t="shared" si="19"/>
        <v/>
      </c>
      <c r="BH78" t="str">
        <f t="shared" si="20"/>
        <v/>
      </c>
      <c r="BL78" t="str">
        <f>IFERROR(INDEX(_names_lookup!$C:$C,MATCH(BK78,_names_lookup!$A:$A,0)),"")</f>
        <v/>
      </c>
      <c r="BM78" t="str">
        <f>IFERROR(INDEX(_names_lookup!$B:$B,MATCH(BK78,_names_lookup!$A:$A,0)),"")</f>
        <v/>
      </c>
      <c r="BS78" t="str">
        <f t="shared" si="21"/>
        <v/>
      </c>
    </row>
    <row r="79" spans="15:71" x14ac:dyDescent="0.2">
      <c r="O79" t="str">
        <f>IFERROR(INDEX(_courses_lookup!$C:$C,MATCH(K79&amp;L79,_courses_lookup!$E:$E,0)),"")</f>
        <v/>
      </c>
      <c r="P79" t="str">
        <f>IFERROR(INDEX(_courses_lookup!$D:$D,MATCH(K79&amp;L79,_courses_lookup!$E:$E,0)),"")</f>
        <v/>
      </c>
      <c r="AG79" t="str">
        <f t="shared" si="11"/>
        <v/>
      </c>
      <c r="AI79" t="str">
        <f t="shared" si="12"/>
        <v/>
      </c>
      <c r="AL79" t="str">
        <f t="shared" si="13"/>
        <v/>
      </c>
      <c r="AN79" t="str">
        <f t="shared" si="14"/>
        <v/>
      </c>
      <c r="AQ79" t="str">
        <f t="shared" si="15"/>
        <v/>
      </c>
      <c r="AR79" t="str">
        <f t="shared" si="16"/>
        <v/>
      </c>
      <c r="AS79" t="str">
        <f t="shared" si="17"/>
        <v/>
      </c>
      <c r="AT79" t="str">
        <f t="shared" si="18"/>
        <v/>
      </c>
      <c r="BG79" t="str">
        <f t="shared" si="19"/>
        <v/>
      </c>
      <c r="BH79" t="str">
        <f t="shared" si="20"/>
        <v/>
      </c>
      <c r="BL79" t="str">
        <f>IFERROR(INDEX(_names_lookup!$C:$C,MATCH(BK79,_names_lookup!$A:$A,0)),"")</f>
        <v/>
      </c>
      <c r="BM79" t="str">
        <f>IFERROR(INDEX(_names_lookup!$B:$B,MATCH(BK79,_names_lookup!$A:$A,0)),"")</f>
        <v/>
      </c>
      <c r="BS79" t="str">
        <f t="shared" si="21"/>
        <v/>
      </c>
    </row>
    <row r="80" spans="15:71" x14ac:dyDescent="0.2">
      <c r="O80" t="str">
        <f>IFERROR(INDEX(_courses_lookup!$C:$C,MATCH(K80&amp;L80,_courses_lookup!$E:$E,0)),"")</f>
        <v/>
      </c>
      <c r="P80" t="str">
        <f>IFERROR(INDEX(_courses_lookup!$D:$D,MATCH(K80&amp;L80,_courses_lookup!$E:$E,0)),"")</f>
        <v/>
      </c>
      <c r="AG80" t="str">
        <f t="shared" si="11"/>
        <v/>
      </c>
      <c r="AI80" t="str">
        <f t="shared" si="12"/>
        <v/>
      </c>
      <c r="AL80" t="str">
        <f t="shared" si="13"/>
        <v/>
      </c>
      <c r="AN80" t="str">
        <f t="shared" si="14"/>
        <v/>
      </c>
      <c r="AQ80" t="str">
        <f t="shared" si="15"/>
        <v/>
      </c>
      <c r="AR80" t="str">
        <f t="shared" si="16"/>
        <v/>
      </c>
      <c r="AS80" t="str">
        <f t="shared" si="17"/>
        <v/>
      </c>
      <c r="AT80" t="str">
        <f t="shared" si="18"/>
        <v/>
      </c>
      <c r="BG80" t="str">
        <f t="shared" si="19"/>
        <v/>
      </c>
      <c r="BH80" t="str">
        <f t="shared" si="20"/>
        <v/>
      </c>
      <c r="BL80" t="str">
        <f>IFERROR(INDEX(_names_lookup!$C:$C,MATCH(BK80,_names_lookup!$A:$A,0)),"")</f>
        <v/>
      </c>
      <c r="BM80" t="str">
        <f>IFERROR(INDEX(_names_lookup!$B:$B,MATCH(BK80,_names_lookup!$A:$A,0)),"")</f>
        <v/>
      </c>
      <c r="BS80" t="str">
        <f t="shared" si="21"/>
        <v/>
      </c>
    </row>
    <row r="81" spans="15:71" x14ac:dyDescent="0.2">
      <c r="O81" t="str">
        <f>IFERROR(INDEX(_courses_lookup!$C:$C,MATCH(K81&amp;L81,_courses_lookup!$E:$E,0)),"")</f>
        <v/>
      </c>
      <c r="P81" t="str">
        <f>IFERROR(INDEX(_courses_lookup!$D:$D,MATCH(K81&amp;L81,_courses_lookup!$E:$E,0)),"")</f>
        <v/>
      </c>
      <c r="AG81" t="str">
        <f t="shared" si="11"/>
        <v/>
      </c>
      <c r="AI81" t="str">
        <f t="shared" si="12"/>
        <v/>
      </c>
      <c r="AL81" t="str">
        <f t="shared" si="13"/>
        <v/>
      </c>
      <c r="AN81" t="str">
        <f t="shared" si="14"/>
        <v/>
      </c>
      <c r="AQ81" t="str">
        <f t="shared" si="15"/>
        <v/>
      </c>
      <c r="AR81" t="str">
        <f t="shared" si="16"/>
        <v/>
      </c>
      <c r="AS81" t="str">
        <f t="shared" si="17"/>
        <v/>
      </c>
      <c r="AT81" t="str">
        <f t="shared" si="18"/>
        <v/>
      </c>
      <c r="BG81" t="str">
        <f t="shared" si="19"/>
        <v/>
      </c>
      <c r="BH81" t="str">
        <f t="shared" si="20"/>
        <v/>
      </c>
      <c r="BL81" t="str">
        <f>IFERROR(INDEX(_names_lookup!$C:$C,MATCH(BK81,_names_lookup!$A:$A,0)),"")</f>
        <v/>
      </c>
      <c r="BM81" t="str">
        <f>IFERROR(INDEX(_names_lookup!$B:$B,MATCH(BK81,_names_lookup!$A:$A,0)),"")</f>
        <v/>
      </c>
      <c r="BS81" t="str">
        <f t="shared" si="21"/>
        <v/>
      </c>
    </row>
    <row r="82" spans="15:71" x14ac:dyDescent="0.2">
      <c r="O82" t="str">
        <f>IFERROR(INDEX(_courses_lookup!$C:$C,MATCH(K82&amp;L82,_courses_lookup!$E:$E,0)),"")</f>
        <v/>
      </c>
      <c r="P82" t="str">
        <f>IFERROR(INDEX(_courses_lookup!$D:$D,MATCH(K82&amp;L82,_courses_lookup!$E:$E,0)),"")</f>
        <v/>
      </c>
      <c r="AG82" t="str">
        <f t="shared" si="11"/>
        <v/>
      </c>
      <c r="AI82" t="str">
        <f t="shared" si="12"/>
        <v/>
      </c>
      <c r="AL82" t="str">
        <f t="shared" si="13"/>
        <v/>
      </c>
      <c r="AN82" t="str">
        <f t="shared" si="14"/>
        <v/>
      </c>
      <c r="AQ82" t="str">
        <f t="shared" si="15"/>
        <v/>
      </c>
      <c r="AR82" t="str">
        <f t="shared" si="16"/>
        <v/>
      </c>
      <c r="AS82" t="str">
        <f t="shared" si="17"/>
        <v/>
      </c>
      <c r="AT82" t="str">
        <f t="shared" si="18"/>
        <v/>
      </c>
      <c r="BG82" t="str">
        <f t="shared" si="19"/>
        <v/>
      </c>
      <c r="BH82" t="str">
        <f t="shared" si="20"/>
        <v/>
      </c>
      <c r="BL82" t="str">
        <f>IFERROR(INDEX(_names_lookup!$C:$C,MATCH(BK82,_names_lookup!$A:$A,0)),"")</f>
        <v/>
      </c>
      <c r="BM82" t="str">
        <f>IFERROR(INDEX(_names_lookup!$B:$B,MATCH(BK82,_names_lookup!$A:$A,0)),"")</f>
        <v/>
      </c>
      <c r="BS82" t="str">
        <f t="shared" si="21"/>
        <v/>
      </c>
    </row>
    <row r="83" spans="15:71" x14ac:dyDescent="0.2">
      <c r="O83" t="str">
        <f>IFERROR(INDEX(_courses_lookup!$C:$C,MATCH(K83&amp;L83,_courses_lookup!$E:$E,0)),"")</f>
        <v/>
      </c>
      <c r="P83" t="str">
        <f>IFERROR(INDEX(_courses_lookup!$D:$D,MATCH(K83&amp;L83,_courses_lookup!$E:$E,0)),"")</f>
        <v/>
      </c>
      <c r="AG83" t="str">
        <f t="shared" si="11"/>
        <v/>
      </c>
      <c r="AI83" t="str">
        <f t="shared" si="12"/>
        <v/>
      </c>
      <c r="AL83" t="str">
        <f t="shared" si="13"/>
        <v/>
      </c>
      <c r="AN83" t="str">
        <f t="shared" si="14"/>
        <v/>
      </c>
      <c r="AQ83" t="str">
        <f t="shared" si="15"/>
        <v/>
      </c>
      <c r="AR83" t="str">
        <f t="shared" si="16"/>
        <v/>
      </c>
      <c r="AS83" t="str">
        <f t="shared" si="17"/>
        <v/>
      </c>
      <c r="AT83" t="str">
        <f t="shared" si="18"/>
        <v/>
      </c>
      <c r="BG83" t="str">
        <f t="shared" si="19"/>
        <v/>
      </c>
      <c r="BH83" t="str">
        <f t="shared" si="20"/>
        <v/>
      </c>
      <c r="BL83" t="str">
        <f>IFERROR(INDEX(_names_lookup!$C:$C,MATCH(BK83,_names_lookup!$A:$A,0)),"")</f>
        <v/>
      </c>
      <c r="BM83" t="str">
        <f>IFERROR(INDEX(_names_lookup!$B:$B,MATCH(BK83,_names_lookup!$A:$A,0)),"")</f>
        <v/>
      </c>
      <c r="BS83" t="str">
        <f t="shared" si="21"/>
        <v/>
      </c>
    </row>
    <row r="84" spans="15:71" x14ac:dyDescent="0.2">
      <c r="O84" t="str">
        <f>IFERROR(INDEX(_courses_lookup!$C:$C,MATCH(K84&amp;L84,_courses_lookup!$E:$E,0)),"")</f>
        <v/>
      </c>
      <c r="P84" t="str">
        <f>IFERROR(INDEX(_courses_lookup!$D:$D,MATCH(K84&amp;L84,_courses_lookup!$E:$E,0)),"")</f>
        <v/>
      </c>
      <c r="AG84" t="str">
        <f t="shared" si="11"/>
        <v/>
      </c>
      <c r="AI84" t="str">
        <f t="shared" si="12"/>
        <v/>
      </c>
      <c r="AL84" t="str">
        <f t="shared" si="13"/>
        <v/>
      </c>
      <c r="AN84" t="str">
        <f t="shared" si="14"/>
        <v/>
      </c>
      <c r="AQ84" t="str">
        <f t="shared" si="15"/>
        <v/>
      </c>
      <c r="AR84" t="str">
        <f t="shared" si="16"/>
        <v/>
      </c>
      <c r="AS84" t="str">
        <f t="shared" si="17"/>
        <v/>
      </c>
      <c r="AT84" t="str">
        <f t="shared" si="18"/>
        <v/>
      </c>
      <c r="BG84" t="str">
        <f t="shared" si="19"/>
        <v/>
      </c>
      <c r="BH84" t="str">
        <f t="shared" si="20"/>
        <v/>
      </c>
      <c r="BL84" t="str">
        <f>IFERROR(INDEX(_names_lookup!$C:$C,MATCH(BK84,_names_lookup!$A:$A,0)),"")</f>
        <v/>
      </c>
      <c r="BM84" t="str">
        <f>IFERROR(INDEX(_names_lookup!$B:$B,MATCH(BK84,_names_lookup!$A:$A,0)),"")</f>
        <v/>
      </c>
      <c r="BS84" t="str">
        <f t="shared" si="21"/>
        <v/>
      </c>
    </row>
    <row r="85" spans="15:71" x14ac:dyDescent="0.2">
      <c r="O85" t="str">
        <f>IFERROR(INDEX(_courses_lookup!$C:$C,MATCH(K85&amp;L85,_courses_lookup!$E:$E,0)),"")</f>
        <v/>
      </c>
      <c r="P85" t="str">
        <f>IFERROR(INDEX(_courses_lookup!$D:$D,MATCH(K85&amp;L85,_courses_lookup!$E:$E,0)),"")</f>
        <v/>
      </c>
      <c r="AG85" t="str">
        <f t="shared" si="11"/>
        <v/>
      </c>
      <c r="AI85" t="str">
        <f t="shared" si="12"/>
        <v/>
      </c>
      <c r="AL85" t="str">
        <f t="shared" si="13"/>
        <v/>
      </c>
      <c r="AN85" t="str">
        <f t="shared" si="14"/>
        <v/>
      </c>
      <c r="AQ85" t="str">
        <f t="shared" si="15"/>
        <v/>
      </c>
      <c r="AR85" t="str">
        <f t="shared" si="16"/>
        <v/>
      </c>
      <c r="AS85" t="str">
        <f t="shared" si="17"/>
        <v/>
      </c>
      <c r="AT85" t="str">
        <f t="shared" si="18"/>
        <v/>
      </c>
      <c r="BG85" t="str">
        <f t="shared" si="19"/>
        <v/>
      </c>
      <c r="BH85" t="str">
        <f t="shared" si="20"/>
        <v/>
      </c>
      <c r="BL85" t="str">
        <f>IFERROR(INDEX(_names_lookup!$C:$C,MATCH(BK85,_names_lookup!$A:$A,0)),"")</f>
        <v/>
      </c>
      <c r="BM85" t="str">
        <f>IFERROR(INDEX(_names_lookup!$B:$B,MATCH(BK85,_names_lookup!$A:$A,0)),"")</f>
        <v/>
      </c>
      <c r="BS85" t="str">
        <f t="shared" si="21"/>
        <v/>
      </c>
    </row>
    <row r="86" spans="15:71" x14ac:dyDescent="0.2">
      <c r="O86" t="str">
        <f>IFERROR(INDEX(_courses_lookup!$C:$C,MATCH(K86&amp;L86,_courses_lookup!$E:$E,0)),"")</f>
        <v/>
      </c>
      <c r="P86" t="str">
        <f>IFERROR(INDEX(_courses_lookup!$D:$D,MATCH(K86&amp;L86,_courses_lookup!$E:$E,0)),"")</f>
        <v/>
      </c>
      <c r="AG86" t="str">
        <f t="shared" si="11"/>
        <v/>
      </c>
      <c r="AI86" t="str">
        <f t="shared" si="12"/>
        <v/>
      </c>
      <c r="AL86" t="str">
        <f t="shared" si="13"/>
        <v/>
      </c>
      <c r="AN86" t="str">
        <f t="shared" si="14"/>
        <v/>
      </c>
      <c r="AQ86" t="str">
        <f t="shared" si="15"/>
        <v/>
      </c>
      <c r="AR86" t="str">
        <f t="shared" si="16"/>
        <v/>
      </c>
      <c r="AS86" t="str">
        <f t="shared" si="17"/>
        <v/>
      </c>
      <c r="AT86" t="str">
        <f t="shared" si="18"/>
        <v/>
      </c>
      <c r="BG86" t="str">
        <f t="shared" si="19"/>
        <v/>
      </c>
      <c r="BH86" t="str">
        <f t="shared" si="20"/>
        <v/>
      </c>
      <c r="BL86" t="str">
        <f>IFERROR(INDEX(_names_lookup!$C:$C,MATCH(BK86,_names_lookup!$A:$A,0)),"")</f>
        <v/>
      </c>
      <c r="BM86" t="str">
        <f>IFERROR(INDEX(_names_lookup!$B:$B,MATCH(BK86,_names_lookup!$A:$A,0)),"")</f>
        <v/>
      </c>
      <c r="BS86" t="str">
        <f t="shared" si="21"/>
        <v/>
      </c>
    </row>
    <row r="87" spans="15:71" x14ac:dyDescent="0.2">
      <c r="O87" t="str">
        <f>IFERROR(INDEX(_courses_lookup!$C:$C,MATCH(K87&amp;L87,_courses_lookup!$E:$E,0)),"")</f>
        <v/>
      </c>
      <c r="P87" t="str">
        <f>IFERROR(INDEX(_courses_lookup!$D:$D,MATCH(K87&amp;L87,_courses_lookup!$E:$E,0)),"")</f>
        <v/>
      </c>
      <c r="AG87" t="str">
        <f t="shared" si="11"/>
        <v/>
      </c>
      <c r="AI87" t="str">
        <f t="shared" si="12"/>
        <v/>
      </c>
      <c r="AL87" t="str">
        <f t="shared" si="13"/>
        <v/>
      </c>
      <c r="AN87" t="str">
        <f t="shared" si="14"/>
        <v/>
      </c>
      <c r="AQ87" t="str">
        <f t="shared" si="15"/>
        <v/>
      </c>
      <c r="AR87" t="str">
        <f t="shared" si="16"/>
        <v/>
      </c>
      <c r="AS87" t="str">
        <f t="shared" si="17"/>
        <v/>
      </c>
      <c r="AT87" t="str">
        <f t="shared" si="18"/>
        <v/>
      </c>
      <c r="BG87" t="str">
        <f t="shared" si="19"/>
        <v/>
      </c>
      <c r="BH87" t="str">
        <f t="shared" si="20"/>
        <v/>
      </c>
      <c r="BL87" t="str">
        <f>IFERROR(INDEX(_names_lookup!$C:$C,MATCH(BK87,_names_lookup!$A:$A,0)),"")</f>
        <v/>
      </c>
      <c r="BM87" t="str">
        <f>IFERROR(INDEX(_names_lookup!$B:$B,MATCH(BK87,_names_lookup!$A:$A,0)),"")</f>
        <v/>
      </c>
      <c r="BS87" t="str">
        <f t="shared" si="21"/>
        <v/>
      </c>
    </row>
    <row r="88" spans="15:71" x14ac:dyDescent="0.2">
      <c r="O88" t="str">
        <f>IFERROR(INDEX(_courses_lookup!$C:$C,MATCH(K88&amp;L88,_courses_lookup!$E:$E,0)),"")</f>
        <v/>
      </c>
      <c r="P88" t="str">
        <f>IFERROR(INDEX(_courses_lookup!$D:$D,MATCH(K88&amp;L88,_courses_lookup!$E:$E,0)),"")</f>
        <v/>
      </c>
      <c r="AG88" t="str">
        <f t="shared" si="11"/>
        <v/>
      </c>
      <c r="AI88" t="str">
        <f t="shared" si="12"/>
        <v/>
      </c>
      <c r="AL88" t="str">
        <f t="shared" si="13"/>
        <v/>
      </c>
      <c r="AN88" t="str">
        <f t="shared" si="14"/>
        <v/>
      </c>
      <c r="AQ88" t="str">
        <f t="shared" si="15"/>
        <v/>
      </c>
      <c r="AR88" t="str">
        <f t="shared" si="16"/>
        <v/>
      </c>
      <c r="AS88" t="str">
        <f t="shared" si="17"/>
        <v/>
      </c>
      <c r="AT88" t="str">
        <f t="shared" si="18"/>
        <v/>
      </c>
      <c r="BG88" t="str">
        <f t="shared" si="19"/>
        <v/>
      </c>
      <c r="BH88" t="str">
        <f t="shared" si="20"/>
        <v/>
      </c>
      <c r="BL88" t="str">
        <f>IFERROR(INDEX(_names_lookup!$C:$C,MATCH(BK88,_names_lookup!$A:$A,0)),"")</f>
        <v/>
      </c>
      <c r="BM88" t="str">
        <f>IFERROR(INDEX(_names_lookup!$B:$B,MATCH(BK88,_names_lookup!$A:$A,0)),"")</f>
        <v/>
      </c>
      <c r="BS88" t="str">
        <f t="shared" si="21"/>
        <v/>
      </c>
    </row>
    <row r="89" spans="15:71" x14ac:dyDescent="0.2">
      <c r="O89" t="str">
        <f>IFERROR(INDEX(_courses_lookup!$C:$C,MATCH(K89&amp;L89,_courses_lookup!$E:$E,0)),"")</f>
        <v/>
      </c>
      <c r="P89" t="str">
        <f>IFERROR(INDEX(_courses_lookup!$D:$D,MATCH(K89&amp;L89,_courses_lookup!$E:$E,0)),"")</f>
        <v/>
      </c>
      <c r="AG89" t="str">
        <f t="shared" si="11"/>
        <v/>
      </c>
      <c r="AI89" t="str">
        <f t="shared" si="12"/>
        <v/>
      </c>
      <c r="AL89" t="str">
        <f t="shared" si="13"/>
        <v/>
      </c>
      <c r="AN89" t="str">
        <f t="shared" si="14"/>
        <v/>
      </c>
      <c r="AQ89" t="str">
        <f t="shared" si="15"/>
        <v/>
      </c>
      <c r="AR89" t="str">
        <f t="shared" si="16"/>
        <v/>
      </c>
      <c r="AS89" t="str">
        <f t="shared" si="17"/>
        <v/>
      </c>
      <c r="AT89" t="str">
        <f t="shared" si="18"/>
        <v/>
      </c>
      <c r="BG89" t="str">
        <f t="shared" si="19"/>
        <v/>
      </c>
      <c r="BH89" t="str">
        <f t="shared" si="20"/>
        <v/>
      </c>
      <c r="BL89" t="str">
        <f>IFERROR(INDEX(_names_lookup!$C:$C,MATCH(BK89,_names_lookup!$A:$A,0)),"")</f>
        <v/>
      </c>
      <c r="BM89" t="str">
        <f>IFERROR(INDEX(_names_lookup!$B:$B,MATCH(BK89,_names_lookup!$A:$A,0)),"")</f>
        <v/>
      </c>
      <c r="BS89" t="str">
        <f t="shared" si="21"/>
        <v/>
      </c>
    </row>
    <row r="90" spans="15:71" x14ac:dyDescent="0.2">
      <c r="O90" t="str">
        <f>IFERROR(INDEX(_courses_lookup!$C:$C,MATCH(K90&amp;L90,_courses_lookup!$E:$E,0)),"")</f>
        <v/>
      </c>
      <c r="P90" t="str">
        <f>IFERROR(INDEX(_courses_lookup!$D:$D,MATCH(K90&amp;L90,_courses_lookup!$E:$E,0)),"")</f>
        <v/>
      </c>
      <c r="AG90" t="str">
        <f t="shared" si="11"/>
        <v/>
      </c>
      <c r="AI90" t="str">
        <f t="shared" si="12"/>
        <v/>
      </c>
      <c r="AL90" t="str">
        <f t="shared" si="13"/>
        <v/>
      </c>
      <c r="AN90" t="str">
        <f t="shared" si="14"/>
        <v/>
      </c>
      <c r="AQ90" t="str">
        <f t="shared" si="15"/>
        <v/>
      </c>
      <c r="AR90" t="str">
        <f t="shared" si="16"/>
        <v/>
      </c>
      <c r="AS90" t="str">
        <f t="shared" si="17"/>
        <v/>
      </c>
      <c r="AT90" t="str">
        <f t="shared" si="18"/>
        <v/>
      </c>
      <c r="BG90" t="str">
        <f t="shared" si="19"/>
        <v/>
      </c>
      <c r="BH90" t="str">
        <f t="shared" si="20"/>
        <v/>
      </c>
      <c r="BL90" t="str">
        <f>IFERROR(INDEX(_names_lookup!$C:$C,MATCH(BK90,_names_lookup!$A:$A,0)),"")</f>
        <v/>
      </c>
      <c r="BM90" t="str">
        <f>IFERROR(INDEX(_names_lookup!$B:$B,MATCH(BK90,_names_lookup!$A:$A,0)),"")</f>
        <v/>
      </c>
      <c r="BS90" t="str">
        <f t="shared" si="21"/>
        <v/>
      </c>
    </row>
    <row r="91" spans="15:71" x14ac:dyDescent="0.2">
      <c r="O91" t="str">
        <f>IFERROR(INDEX(_courses_lookup!$C:$C,MATCH(K91&amp;L91,_courses_lookup!$E:$E,0)),"")</f>
        <v/>
      </c>
      <c r="P91" t="str">
        <f>IFERROR(INDEX(_courses_lookup!$D:$D,MATCH(K91&amp;L91,_courses_lookup!$E:$E,0)),"")</f>
        <v/>
      </c>
      <c r="AG91" t="str">
        <f t="shared" si="11"/>
        <v/>
      </c>
      <c r="AI91" t="str">
        <f t="shared" si="12"/>
        <v/>
      </c>
      <c r="AL91" t="str">
        <f t="shared" si="13"/>
        <v/>
      </c>
      <c r="AN91" t="str">
        <f t="shared" si="14"/>
        <v/>
      </c>
      <c r="AQ91" t="str">
        <f t="shared" si="15"/>
        <v/>
      </c>
      <c r="AR91" t="str">
        <f t="shared" si="16"/>
        <v/>
      </c>
      <c r="AS91" t="str">
        <f t="shared" si="17"/>
        <v/>
      </c>
      <c r="AT91" t="str">
        <f t="shared" si="18"/>
        <v/>
      </c>
      <c r="BG91" t="str">
        <f t="shared" si="19"/>
        <v/>
      </c>
      <c r="BH91" t="str">
        <f t="shared" si="20"/>
        <v/>
      </c>
      <c r="BL91" t="str">
        <f>IFERROR(INDEX(_names_lookup!$C:$C,MATCH(BK91,_names_lookup!$A:$A,0)),"")</f>
        <v/>
      </c>
      <c r="BM91" t="str">
        <f>IFERROR(INDEX(_names_lookup!$B:$B,MATCH(BK91,_names_lookup!$A:$A,0)),"")</f>
        <v/>
      </c>
      <c r="BS91" t="str">
        <f t="shared" si="21"/>
        <v/>
      </c>
    </row>
    <row r="92" spans="15:71" x14ac:dyDescent="0.2">
      <c r="O92" t="str">
        <f>IFERROR(INDEX(_courses_lookup!$C:$C,MATCH(K92&amp;L92,_courses_lookup!$E:$E,0)),"")</f>
        <v/>
      </c>
      <c r="P92" t="str">
        <f>IFERROR(INDEX(_courses_lookup!$D:$D,MATCH(K92&amp;L92,_courses_lookup!$E:$E,0)),"")</f>
        <v/>
      </c>
      <c r="AG92" t="str">
        <f t="shared" si="11"/>
        <v/>
      </c>
      <c r="AI92" t="str">
        <f t="shared" si="12"/>
        <v/>
      </c>
      <c r="AL92" t="str">
        <f t="shared" si="13"/>
        <v/>
      </c>
      <c r="AN92" t="str">
        <f t="shared" si="14"/>
        <v/>
      </c>
      <c r="AQ92" t="str">
        <f t="shared" si="15"/>
        <v/>
      </c>
      <c r="AR92" t="str">
        <f t="shared" si="16"/>
        <v/>
      </c>
      <c r="AS92" t="str">
        <f t="shared" si="17"/>
        <v/>
      </c>
      <c r="AT92" t="str">
        <f t="shared" si="18"/>
        <v/>
      </c>
      <c r="BG92" t="str">
        <f t="shared" si="19"/>
        <v/>
      </c>
      <c r="BH92" t="str">
        <f t="shared" si="20"/>
        <v/>
      </c>
      <c r="BL92" t="str">
        <f>IFERROR(INDEX(_names_lookup!$C:$C,MATCH(BK92,_names_lookup!$A:$A,0)),"")</f>
        <v/>
      </c>
      <c r="BM92" t="str">
        <f>IFERROR(INDEX(_names_lookup!$B:$B,MATCH(BK92,_names_lookup!$A:$A,0)),"")</f>
        <v/>
      </c>
      <c r="BS92" t="str">
        <f t="shared" si="21"/>
        <v/>
      </c>
    </row>
    <row r="93" spans="15:71" x14ac:dyDescent="0.2">
      <c r="O93" t="str">
        <f>IFERROR(INDEX(_courses_lookup!$C:$C,MATCH(K93&amp;L93,_courses_lookup!$E:$E,0)),"")</f>
        <v/>
      </c>
      <c r="P93" t="str">
        <f>IFERROR(INDEX(_courses_lookup!$D:$D,MATCH(K93&amp;L93,_courses_lookup!$E:$E,0)),"")</f>
        <v/>
      </c>
      <c r="AG93" t="str">
        <f t="shared" si="11"/>
        <v/>
      </c>
      <c r="AI93" t="str">
        <f t="shared" si="12"/>
        <v/>
      </c>
      <c r="AL93" t="str">
        <f t="shared" si="13"/>
        <v/>
      </c>
      <c r="AN93" t="str">
        <f t="shared" si="14"/>
        <v/>
      </c>
      <c r="AQ93" t="str">
        <f t="shared" si="15"/>
        <v/>
      </c>
      <c r="AR93" t="str">
        <f t="shared" si="16"/>
        <v/>
      </c>
      <c r="AS93" t="str">
        <f t="shared" si="17"/>
        <v/>
      </c>
      <c r="AT93" t="str">
        <f t="shared" si="18"/>
        <v/>
      </c>
      <c r="BG93" t="str">
        <f t="shared" si="19"/>
        <v/>
      </c>
      <c r="BH93" t="str">
        <f t="shared" si="20"/>
        <v/>
      </c>
      <c r="BL93" t="str">
        <f>IFERROR(INDEX(_names_lookup!$C:$C,MATCH(BK93,_names_lookup!$A:$A,0)),"")</f>
        <v/>
      </c>
      <c r="BM93" t="str">
        <f>IFERROR(INDEX(_names_lookup!$B:$B,MATCH(BK93,_names_lookup!$A:$A,0)),"")</f>
        <v/>
      </c>
      <c r="BS93" t="str">
        <f t="shared" si="21"/>
        <v/>
      </c>
    </row>
    <row r="94" spans="15:71" x14ac:dyDescent="0.2">
      <c r="O94" t="str">
        <f>IFERROR(INDEX(_courses_lookup!$C:$C,MATCH(K94&amp;L94,_courses_lookup!$E:$E,0)),"")</f>
        <v/>
      </c>
      <c r="P94" t="str">
        <f>IFERROR(INDEX(_courses_lookup!$D:$D,MATCH(K94&amp;L94,_courses_lookup!$E:$E,0)),"")</f>
        <v/>
      </c>
      <c r="AG94" t="str">
        <f t="shared" si="11"/>
        <v/>
      </c>
      <c r="AI94" t="str">
        <f t="shared" si="12"/>
        <v/>
      </c>
      <c r="AL94" t="str">
        <f t="shared" si="13"/>
        <v/>
      </c>
      <c r="AN94" t="str">
        <f t="shared" si="14"/>
        <v/>
      </c>
      <c r="AQ94" t="str">
        <f t="shared" si="15"/>
        <v/>
      </c>
      <c r="AR94" t="str">
        <f t="shared" si="16"/>
        <v/>
      </c>
      <c r="AS94" t="str">
        <f t="shared" si="17"/>
        <v/>
      </c>
      <c r="AT94" t="str">
        <f t="shared" si="18"/>
        <v/>
      </c>
      <c r="BG94" t="str">
        <f t="shared" si="19"/>
        <v/>
      </c>
      <c r="BH94" t="str">
        <f t="shared" si="20"/>
        <v/>
      </c>
      <c r="BL94" t="str">
        <f>IFERROR(INDEX(_names_lookup!$C:$C,MATCH(BK94,_names_lookup!$A:$A,0)),"")</f>
        <v/>
      </c>
      <c r="BM94" t="str">
        <f>IFERROR(INDEX(_names_lookup!$B:$B,MATCH(BK94,_names_lookup!$A:$A,0)),"")</f>
        <v/>
      </c>
      <c r="BS94" t="str">
        <f t="shared" si="21"/>
        <v/>
      </c>
    </row>
    <row r="95" spans="15:71" x14ac:dyDescent="0.2">
      <c r="O95" t="str">
        <f>IFERROR(INDEX(_courses_lookup!$C:$C,MATCH(K95&amp;L95,_courses_lookup!$E:$E,0)),"")</f>
        <v/>
      </c>
      <c r="P95" t="str">
        <f>IFERROR(INDEX(_courses_lookup!$D:$D,MATCH(K95&amp;L95,_courses_lookup!$E:$E,0)),"")</f>
        <v/>
      </c>
      <c r="AG95" t="str">
        <f t="shared" si="11"/>
        <v/>
      </c>
      <c r="AI95" t="str">
        <f t="shared" si="12"/>
        <v/>
      </c>
      <c r="AL95" t="str">
        <f t="shared" si="13"/>
        <v/>
      </c>
      <c r="AN95" t="str">
        <f t="shared" si="14"/>
        <v/>
      </c>
      <c r="AQ95" t="str">
        <f t="shared" si="15"/>
        <v/>
      </c>
      <c r="AR95" t="str">
        <f t="shared" si="16"/>
        <v/>
      </c>
      <c r="AS95" t="str">
        <f t="shared" si="17"/>
        <v/>
      </c>
      <c r="AT95" t="str">
        <f t="shared" si="18"/>
        <v/>
      </c>
      <c r="BG95" t="str">
        <f t="shared" si="19"/>
        <v/>
      </c>
      <c r="BH95" t="str">
        <f t="shared" si="20"/>
        <v/>
      </c>
      <c r="BL95" t="str">
        <f>IFERROR(INDEX(_names_lookup!$C:$C,MATCH(BK95,_names_lookup!$A:$A,0)),"")</f>
        <v/>
      </c>
      <c r="BM95" t="str">
        <f>IFERROR(INDEX(_names_lookup!$B:$B,MATCH(BK95,_names_lookup!$A:$A,0)),"")</f>
        <v/>
      </c>
      <c r="BS95" t="str">
        <f t="shared" si="21"/>
        <v/>
      </c>
    </row>
    <row r="96" spans="15:71" x14ac:dyDescent="0.2">
      <c r="O96" t="str">
        <f>IFERROR(INDEX(_courses_lookup!$C:$C,MATCH(K96&amp;L96,_courses_lookup!$E:$E,0)),"")</f>
        <v/>
      </c>
      <c r="P96" t="str">
        <f>IFERROR(INDEX(_courses_lookup!$D:$D,MATCH(K96&amp;L96,_courses_lookup!$E:$E,0)),"")</f>
        <v/>
      </c>
      <c r="AG96" t="str">
        <f t="shared" si="11"/>
        <v/>
      </c>
      <c r="AI96" t="str">
        <f t="shared" si="12"/>
        <v/>
      </c>
      <c r="AL96" t="str">
        <f t="shared" si="13"/>
        <v/>
      </c>
      <c r="AN96" t="str">
        <f t="shared" si="14"/>
        <v/>
      </c>
      <c r="AQ96" t="str">
        <f t="shared" si="15"/>
        <v/>
      </c>
      <c r="AR96" t="str">
        <f t="shared" si="16"/>
        <v/>
      </c>
      <c r="AS96" t="str">
        <f t="shared" si="17"/>
        <v/>
      </c>
      <c r="AT96" t="str">
        <f t="shared" si="18"/>
        <v/>
      </c>
      <c r="BG96" t="str">
        <f t="shared" si="19"/>
        <v/>
      </c>
      <c r="BH96" t="str">
        <f t="shared" si="20"/>
        <v/>
      </c>
      <c r="BL96" t="str">
        <f>IFERROR(INDEX(_names_lookup!$C:$C,MATCH(BK96,_names_lookup!$A:$A,0)),"")</f>
        <v/>
      </c>
      <c r="BM96" t="str">
        <f>IFERROR(INDEX(_names_lookup!$B:$B,MATCH(BK96,_names_lookup!$A:$A,0)),"")</f>
        <v/>
      </c>
      <c r="BS96" t="str">
        <f t="shared" si="21"/>
        <v/>
      </c>
    </row>
    <row r="97" spans="15:71" x14ac:dyDescent="0.2">
      <c r="O97" t="str">
        <f>IFERROR(INDEX(_courses_lookup!$C:$C,MATCH(K97&amp;L97,_courses_lookup!$E:$E,0)),"")</f>
        <v/>
      </c>
      <c r="P97" t="str">
        <f>IFERROR(INDEX(_courses_lookup!$D:$D,MATCH(K97&amp;L97,_courses_lookup!$E:$E,0)),"")</f>
        <v/>
      </c>
      <c r="AG97" t="str">
        <f t="shared" si="11"/>
        <v/>
      </c>
      <c r="AI97" t="str">
        <f t="shared" si="12"/>
        <v/>
      </c>
      <c r="AL97" t="str">
        <f t="shared" si="13"/>
        <v/>
      </c>
      <c r="AN97" t="str">
        <f t="shared" si="14"/>
        <v/>
      </c>
      <c r="AQ97" t="str">
        <f t="shared" si="15"/>
        <v/>
      </c>
      <c r="AR97" t="str">
        <f t="shared" si="16"/>
        <v/>
      </c>
      <c r="AS97" t="str">
        <f t="shared" si="17"/>
        <v/>
      </c>
      <c r="AT97" t="str">
        <f t="shared" si="18"/>
        <v/>
      </c>
      <c r="BG97" t="str">
        <f t="shared" si="19"/>
        <v/>
      </c>
      <c r="BH97" t="str">
        <f t="shared" si="20"/>
        <v/>
      </c>
      <c r="BL97" t="str">
        <f>IFERROR(INDEX(_names_lookup!$C:$C,MATCH(BK97,_names_lookup!$A:$A,0)),"")</f>
        <v/>
      </c>
      <c r="BM97" t="str">
        <f>IFERROR(INDEX(_names_lookup!$B:$B,MATCH(BK97,_names_lookup!$A:$A,0)),"")</f>
        <v/>
      </c>
      <c r="BS97" t="str">
        <f t="shared" si="21"/>
        <v/>
      </c>
    </row>
    <row r="98" spans="15:71" x14ac:dyDescent="0.2">
      <c r="O98" t="str">
        <f>IFERROR(INDEX(_courses_lookup!$C:$C,MATCH(K98&amp;L98,_courses_lookup!$E:$E,0)),"")</f>
        <v/>
      </c>
      <c r="P98" t="str">
        <f>IFERROR(INDEX(_courses_lookup!$D:$D,MATCH(K98&amp;L98,_courses_lookup!$E:$E,0)),"")</f>
        <v/>
      </c>
      <c r="AG98" t="str">
        <f t="shared" si="11"/>
        <v/>
      </c>
      <c r="AI98" t="str">
        <f t="shared" si="12"/>
        <v/>
      </c>
      <c r="AL98" t="str">
        <f t="shared" si="13"/>
        <v/>
      </c>
      <c r="AN98" t="str">
        <f t="shared" si="14"/>
        <v/>
      </c>
      <c r="AQ98" t="str">
        <f t="shared" si="15"/>
        <v/>
      </c>
      <c r="AR98" t="str">
        <f t="shared" si="16"/>
        <v/>
      </c>
      <c r="AS98" t="str">
        <f t="shared" si="17"/>
        <v/>
      </c>
      <c r="AT98" t="str">
        <f t="shared" si="18"/>
        <v/>
      </c>
      <c r="BG98" t="str">
        <f t="shared" si="19"/>
        <v/>
      </c>
      <c r="BH98" t="str">
        <f t="shared" si="20"/>
        <v/>
      </c>
      <c r="BL98" t="str">
        <f>IFERROR(INDEX(_names_lookup!$C:$C,MATCH(BK98,_names_lookup!$A:$A,0)),"")</f>
        <v/>
      </c>
      <c r="BM98" t="str">
        <f>IFERROR(INDEX(_names_lookup!$B:$B,MATCH(BK98,_names_lookup!$A:$A,0)),"")</f>
        <v/>
      </c>
      <c r="BS98" t="str">
        <f t="shared" si="21"/>
        <v/>
      </c>
    </row>
    <row r="99" spans="15:71" x14ac:dyDescent="0.2">
      <c r="O99" t="str">
        <f>IFERROR(INDEX(_courses_lookup!$C:$C,MATCH(K99&amp;L99,_courses_lookup!$E:$E,0)),"")</f>
        <v/>
      </c>
      <c r="P99" t="str">
        <f>IFERROR(INDEX(_courses_lookup!$D:$D,MATCH(K99&amp;L99,_courses_lookup!$E:$E,0)),"")</f>
        <v/>
      </c>
      <c r="AG99" t="str">
        <f t="shared" si="11"/>
        <v/>
      </c>
      <c r="AI99" t="str">
        <f t="shared" si="12"/>
        <v/>
      </c>
      <c r="AL99" t="str">
        <f t="shared" si="13"/>
        <v/>
      </c>
      <c r="AN99" t="str">
        <f t="shared" si="14"/>
        <v/>
      </c>
      <c r="AQ99" t="str">
        <f t="shared" si="15"/>
        <v/>
      </c>
      <c r="AR99" t="str">
        <f t="shared" si="16"/>
        <v/>
      </c>
      <c r="AS99" t="str">
        <f t="shared" si="17"/>
        <v/>
      </c>
      <c r="AT99" t="str">
        <f t="shared" si="18"/>
        <v/>
      </c>
      <c r="BG99" t="str">
        <f t="shared" si="19"/>
        <v/>
      </c>
      <c r="BH99" t="str">
        <f t="shared" si="20"/>
        <v/>
      </c>
      <c r="BL99" t="str">
        <f>IFERROR(INDEX(_names_lookup!$C:$C,MATCH(BK99,_names_lookup!$A:$A,0)),"")</f>
        <v/>
      </c>
      <c r="BM99" t="str">
        <f>IFERROR(INDEX(_names_lookup!$B:$B,MATCH(BK99,_names_lookup!$A:$A,0)),"")</f>
        <v/>
      </c>
      <c r="BS99" t="str">
        <f t="shared" si="21"/>
        <v/>
      </c>
    </row>
    <row r="100" spans="15:71" x14ac:dyDescent="0.2">
      <c r="O100" t="str">
        <f>IFERROR(INDEX(_courses_lookup!$C:$C,MATCH(K100&amp;L100,_courses_lookup!$E:$E,0)),"")</f>
        <v/>
      </c>
      <c r="P100" t="str">
        <f>IFERROR(INDEX(_courses_lookup!$D:$D,MATCH(K100&amp;L100,_courses_lookup!$E:$E,0)),"")</f>
        <v/>
      </c>
      <c r="AG100" t="str">
        <f t="shared" si="11"/>
        <v/>
      </c>
      <c r="AI100" t="str">
        <f t="shared" si="12"/>
        <v/>
      </c>
      <c r="AL100" t="str">
        <f t="shared" si="13"/>
        <v/>
      </c>
      <c r="AN100" t="str">
        <f t="shared" si="14"/>
        <v/>
      </c>
      <c r="AQ100" t="str">
        <f t="shared" si="15"/>
        <v/>
      </c>
      <c r="AR100" t="str">
        <f t="shared" si="16"/>
        <v/>
      </c>
      <c r="AS100" t="str">
        <f t="shared" si="17"/>
        <v/>
      </c>
      <c r="AT100" t="str">
        <f t="shared" si="18"/>
        <v/>
      </c>
      <c r="BG100" t="str">
        <f t="shared" si="19"/>
        <v/>
      </c>
      <c r="BH100" t="str">
        <f t="shared" si="20"/>
        <v/>
      </c>
      <c r="BL100" t="str">
        <f>IFERROR(INDEX(_names_lookup!$C:$C,MATCH(BK100,_names_lookup!$A:$A,0)),"")</f>
        <v/>
      </c>
      <c r="BM100" t="str">
        <f>IFERROR(INDEX(_names_lookup!$B:$B,MATCH(BK100,_names_lookup!$A:$A,0)),"")</f>
        <v/>
      </c>
      <c r="BS100" t="str">
        <f t="shared" si="21"/>
        <v/>
      </c>
    </row>
    <row r="101" spans="15:71" x14ac:dyDescent="0.2">
      <c r="O101" t="str">
        <f>IFERROR(INDEX(_courses_lookup!$C:$C,MATCH(K101&amp;L101,_courses_lookup!$E:$E,0)),"")</f>
        <v/>
      </c>
      <c r="P101" t="str">
        <f>IFERROR(INDEX(_courses_lookup!$D:$D,MATCH(K101&amp;L101,_courses_lookup!$E:$E,0)),"")</f>
        <v/>
      </c>
      <c r="AG101" t="str">
        <f t="shared" si="11"/>
        <v/>
      </c>
      <c r="AI101" t="str">
        <f t="shared" si="12"/>
        <v/>
      </c>
      <c r="AL101" t="str">
        <f t="shared" si="13"/>
        <v/>
      </c>
      <c r="AN101" t="str">
        <f t="shared" si="14"/>
        <v/>
      </c>
      <c r="AQ101" t="str">
        <f t="shared" si="15"/>
        <v/>
      </c>
      <c r="AR101" t="str">
        <f t="shared" si="16"/>
        <v/>
      </c>
      <c r="AS101" t="str">
        <f t="shared" si="17"/>
        <v/>
      </c>
      <c r="AT101" t="str">
        <f t="shared" si="18"/>
        <v/>
      </c>
      <c r="BG101" t="str">
        <f t="shared" si="19"/>
        <v/>
      </c>
      <c r="BH101" t="str">
        <f t="shared" si="20"/>
        <v/>
      </c>
      <c r="BL101" t="str">
        <f>IFERROR(INDEX(_names_lookup!$C:$C,MATCH(BK101,_names_lookup!$A:$A,0)),"")</f>
        <v/>
      </c>
      <c r="BM101" t="str">
        <f>IFERROR(INDEX(_names_lookup!$B:$B,MATCH(BK101,_names_lookup!$A:$A,0)),"")</f>
        <v/>
      </c>
      <c r="BS101" t="str">
        <f t="shared" si="21"/>
        <v/>
      </c>
    </row>
    <row r="102" spans="15:71" x14ac:dyDescent="0.2">
      <c r="O102" t="str">
        <f>IFERROR(INDEX(_courses_lookup!$C:$C,MATCH(K102&amp;L102,_courses_lookup!$E:$E,0)),"")</f>
        <v/>
      </c>
      <c r="P102" t="str">
        <f>IFERROR(INDEX(_courses_lookup!$D:$D,MATCH(K102&amp;L102,_courses_lookup!$E:$E,0)),"")</f>
        <v/>
      </c>
      <c r="AG102" t="str">
        <f t="shared" si="11"/>
        <v/>
      </c>
      <c r="AI102" t="str">
        <f t="shared" si="12"/>
        <v/>
      </c>
      <c r="AL102" t="str">
        <f t="shared" si="13"/>
        <v/>
      </c>
      <c r="AN102" t="str">
        <f t="shared" si="14"/>
        <v/>
      </c>
      <c r="AQ102" t="str">
        <f t="shared" si="15"/>
        <v/>
      </c>
      <c r="AR102" t="str">
        <f t="shared" si="16"/>
        <v/>
      </c>
      <c r="AS102" t="str">
        <f t="shared" si="17"/>
        <v/>
      </c>
      <c r="AT102" t="str">
        <f t="shared" si="18"/>
        <v/>
      </c>
      <c r="BG102" t="str">
        <f t="shared" si="19"/>
        <v/>
      </c>
      <c r="BH102" t="str">
        <f t="shared" si="20"/>
        <v/>
      </c>
      <c r="BL102" t="str">
        <f>IFERROR(INDEX(_names_lookup!$C:$C,MATCH(BK102,_names_lookup!$A:$A,0)),"")</f>
        <v/>
      </c>
      <c r="BM102" t="str">
        <f>IFERROR(INDEX(_names_lookup!$B:$B,MATCH(BK102,_names_lookup!$A:$A,0)),"")</f>
        <v/>
      </c>
      <c r="BS102" t="str">
        <f t="shared" si="21"/>
        <v/>
      </c>
    </row>
    <row r="103" spans="15:71" x14ac:dyDescent="0.2">
      <c r="O103" t="str">
        <f>IFERROR(INDEX(_courses_lookup!$C:$C,MATCH(K103&amp;L103,_courses_lookup!$E:$E,0)),"")</f>
        <v/>
      </c>
      <c r="P103" t="str">
        <f>IFERROR(INDEX(_courses_lookup!$D:$D,MATCH(K103&amp;L103,_courses_lookup!$E:$E,0)),"")</f>
        <v/>
      </c>
      <c r="AG103" t="str">
        <f t="shared" si="11"/>
        <v/>
      </c>
      <c r="AI103" t="str">
        <f t="shared" si="12"/>
        <v/>
      </c>
      <c r="AL103" t="str">
        <f t="shared" si="13"/>
        <v/>
      </c>
      <c r="AN103" t="str">
        <f t="shared" si="14"/>
        <v/>
      </c>
      <c r="AQ103" t="str">
        <f t="shared" si="15"/>
        <v/>
      </c>
      <c r="AR103" t="str">
        <f t="shared" si="16"/>
        <v/>
      </c>
      <c r="AS103" t="str">
        <f t="shared" si="17"/>
        <v/>
      </c>
      <c r="AT103" t="str">
        <f t="shared" si="18"/>
        <v/>
      </c>
      <c r="BG103" t="str">
        <f t="shared" si="19"/>
        <v/>
      </c>
      <c r="BH103" t="str">
        <f t="shared" si="20"/>
        <v/>
      </c>
      <c r="BL103" t="str">
        <f>IFERROR(INDEX(_names_lookup!$C:$C,MATCH(BK103,_names_lookup!$A:$A,0)),"")</f>
        <v/>
      </c>
      <c r="BM103" t="str">
        <f>IFERROR(INDEX(_names_lookup!$B:$B,MATCH(BK103,_names_lookup!$A:$A,0)),"")</f>
        <v/>
      </c>
      <c r="BS103" t="str">
        <f t="shared" si="21"/>
        <v/>
      </c>
    </row>
    <row r="104" spans="15:71" x14ac:dyDescent="0.2">
      <c r="O104" t="str">
        <f>IFERROR(INDEX(_courses_lookup!$C:$C,MATCH(K104&amp;L104,_courses_lookup!$E:$E,0)),"")</f>
        <v/>
      </c>
      <c r="P104" t="str">
        <f>IFERROR(INDEX(_courses_lookup!$D:$D,MATCH(K104&amp;L104,_courses_lookup!$E:$E,0)),"")</f>
        <v/>
      </c>
      <c r="AG104" t="str">
        <f t="shared" si="11"/>
        <v/>
      </c>
      <c r="AI104" t="str">
        <f t="shared" si="12"/>
        <v/>
      </c>
      <c r="AL104" t="str">
        <f t="shared" si="13"/>
        <v/>
      </c>
      <c r="AN104" t="str">
        <f t="shared" si="14"/>
        <v/>
      </c>
      <c r="AQ104" t="str">
        <f t="shared" si="15"/>
        <v/>
      </c>
      <c r="AR104" t="str">
        <f t="shared" si="16"/>
        <v/>
      </c>
      <c r="AS104" t="str">
        <f t="shared" si="17"/>
        <v/>
      </c>
      <c r="AT104" t="str">
        <f t="shared" si="18"/>
        <v/>
      </c>
      <c r="BG104" t="str">
        <f t="shared" si="19"/>
        <v/>
      </c>
      <c r="BH104" t="str">
        <f t="shared" si="20"/>
        <v/>
      </c>
      <c r="BL104" t="str">
        <f>IFERROR(INDEX(_names_lookup!$C:$C,MATCH(BK104,_names_lookup!$A:$A,0)),"")</f>
        <v/>
      </c>
      <c r="BM104" t="str">
        <f>IFERROR(INDEX(_names_lookup!$B:$B,MATCH(BK104,_names_lookup!$A:$A,0)),"")</f>
        <v/>
      </c>
      <c r="BS104" t="str">
        <f t="shared" si="21"/>
        <v/>
      </c>
    </row>
    <row r="105" spans="15:71" x14ac:dyDescent="0.2">
      <c r="O105" t="str">
        <f>IFERROR(INDEX(_courses_lookup!$C:$C,MATCH(K105&amp;L105,_courses_lookup!$E:$E,0)),"")</f>
        <v/>
      </c>
      <c r="P105" t="str">
        <f>IFERROR(INDEX(_courses_lookup!$D:$D,MATCH(K105&amp;L105,_courses_lookup!$E:$E,0)),"")</f>
        <v/>
      </c>
      <c r="AG105" t="str">
        <f t="shared" si="11"/>
        <v/>
      </c>
      <c r="AI105" t="str">
        <f t="shared" si="12"/>
        <v/>
      </c>
      <c r="AL105" t="str">
        <f t="shared" si="13"/>
        <v/>
      </c>
      <c r="AN105" t="str">
        <f t="shared" si="14"/>
        <v/>
      </c>
      <c r="AQ105" t="str">
        <f t="shared" si="15"/>
        <v/>
      </c>
      <c r="AR105" t="str">
        <f t="shared" si="16"/>
        <v/>
      </c>
      <c r="AS105" t="str">
        <f t="shared" si="17"/>
        <v/>
      </c>
      <c r="AT105" t="str">
        <f t="shared" si="18"/>
        <v/>
      </c>
      <c r="BG105" t="str">
        <f t="shared" si="19"/>
        <v/>
      </c>
      <c r="BH105" t="str">
        <f t="shared" si="20"/>
        <v/>
      </c>
      <c r="BL105" t="str">
        <f>IFERROR(INDEX(_names_lookup!$C:$C,MATCH(BK105,_names_lookup!$A:$A,0)),"")</f>
        <v/>
      </c>
      <c r="BM105" t="str">
        <f>IFERROR(INDEX(_names_lookup!$B:$B,MATCH(BK105,_names_lookup!$A:$A,0)),"")</f>
        <v/>
      </c>
      <c r="BS105" t="str">
        <f t="shared" si="21"/>
        <v/>
      </c>
    </row>
    <row r="106" spans="15:71" x14ac:dyDescent="0.2">
      <c r="O106" t="str">
        <f>IFERROR(INDEX(_courses_lookup!$C:$C,MATCH(K106&amp;L106,_courses_lookup!$E:$E,0)),"")</f>
        <v/>
      </c>
      <c r="P106" t="str">
        <f>IFERROR(INDEX(_courses_lookup!$D:$D,MATCH(K106&amp;L106,_courses_lookup!$E:$E,0)),"")</f>
        <v/>
      </c>
      <c r="AG106" t="str">
        <f t="shared" si="11"/>
        <v/>
      </c>
      <c r="AI106" t="str">
        <f t="shared" si="12"/>
        <v/>
      </c>
      <c r="AL106" t="str">
        <f t="shared" si="13"/>
        <v/>
      </c>
      <c r="AN106" t="str">
        <f t="shared" si="14"/>
        <v/>
      </c>
      <c r="AQ106" t="str">
        <f t="shared" si="15"/>
        <v/>
      </c>
      <c r="AR106" t="str">
        <f t="shared" si="16"/>
        <v/>
      </c>
      <c r="AS106" t="str">
        <f t="shared" si="17"/>
        <v/>
      </c>
      <c r="AT106" t="str">
        <f t="shared" si="18"/>
        <v/>
      </c>
      <c r="BG106" t="str">
        <f t="shared" si="19"/>
        <v/>
      </c>
      <c r="BH106" t="str">
        <f t="shared" si="20"/>
        <v/>
      </c>
      <c r="BL106" t="str">
        <f>IFERROR(INDEX(_names_lookup!$C:$C,MATCH(BK106,_names_lookup!$A:$A,0)),"")</f>
        <v/>
      </c>
      <c r="BM106" t="str">
        <f>IFERROR(INDEX(_names_lookup!$B:$B,MATCH(BK106,_names_lookup!$A:$A,0)),"")</f>
        <v/>
      </c>
      <c r="BS106" t="str">
        <f t="shared" si="21"/>
        <v/>
      </c>
    </row>
    <row r="107" spans="15:71" x14ac:dyDescent="0.2">
      <c r="O107" t="str">
        <f>IFERROR(INDEX(_courses_lookup!$C:$C,MATCH(K107&amp;L107,_courses_lookup!$E:$E,0)),"")</f>
        <v/>
      </c>
      <c r="P107" t="str">
        <f>IFERROR(INDEX(_courses_lookup!$D:$D,MATCH(K107&amp;L107,_courses_lookup!$E:$E,0)),"")</f>
        <v/>
      </c>
      <c r="AG107" t="str">
        <f t="shared" si="11"/>
        <v/>
      </c>
      <c r="AI107" t="str">
        <f t="shared" si="12"/>
        <v/>
      </c>
      <c r="AL107" t="str">
        <f t="shared" si="13"/>
        <v/>
      </c>
      <c r="AN107" t="str">
        <f t="shared" si="14"/>
        <v/>
      </c>
      <c r="AQ107" t="str">
        <f t="shared" si="15"/>
        <v/>
      </c>
      <c r="AR107" t="str">
        <f t="shared" si="16"/>
        <v/>
      </c>
      <c r="AS107" t="str">
        <f t="shared" si="17"/>
        <v/>
      </c>
      <c r="AT107" t="str">
        <f t="shared" si="18"/>
        <v/>
      </c>
      <c r="BG107" t="str">
        <f t="shared" si="19"/>
        <v/>
      </c>
      <c r="BH107" t="str">
        <f t="shared" si="20"/>
        <v/>
      </c>
      <c r="BL107" t="str">
        <f>IFERROR(INDEX(_names_lookup!$C:$C,MATCH(BK107,_names_lookup!$A:$A,0)),"")</f>
        <v/>
      </c>
      <c r="BM107" t="str">
        <f>IFERROR(INDEX(_names_lookup!$B:$B,MATCH(BK107,_names_lookup!$A:$A,0)),"")</f>
        <v/>
      </c>
      <c r="BS107" t="str">
        <f t="shared" si="21"/>
        <v/>
      </c>
    </row>
    <row r="108" spans="15:71" x14ac:dyDescent="0.2">
      <c r="O108" t="str">
        <f>IFERROR(INDEX(_courses_lookup!$C:$C,MATCH(K108&amp;L108,_courses_lookup!$E:$E,0)),"")</f>
        <v/>
      </c>
      <c r="P108" t="str">
        <f>IFERROR(INDEX(_courses_lookup!$D:$D,MATCH(K108&amp;L108,_courses_lookup!$E:$E,0)),"")</f>
        <v/>
      </c>
      <c r="AG108" t="str">
        <f t="shared" si="11"/>
        <v/>
      </c>
      <c r="AI108" t="str">
        <f t="shared" si="12"/>
        <v/>
      </c>
      <c r="AL108" t="str">
        <f t="shared" si="13"/>
        <v/>
      </c>
      <c r="AN108" t="str">
        <f t="shared" si="14"/>
        <v/>
      </c>
      <c r="AQ108" t="str">
        <f t="shared" si="15"/>
        <v/>
      </c>
      <c r="AR108" t="str">
        <f t="shared" si="16"/>
        <v/>
      </c>
      <c r="AS108" t="str">
        <f t="shared" si="17"/>
        <v/>
      </c>
      <c r="AT108" t="str">
        <f t="shared" si="18"/>
        <v/>
      </c>
      <c r="BG108" t="str">
        <f t="shared" si="19"/>
        <v/>
      </c>
      <c r="BH108" t="str">
        <f t="shared" si="20"/>
        <v/>
      </c>
      <c r="BL108" t="str">
        <f>IFERROR(INDEX(_names_lookup!$C:$C,MATCH(BK108,_names_lookup!$A:$A,0)),"")</f>
        <v/>
      </c>
      <c r="BM108" t="str">
        <f>IFERROR(INDEX(_names_lookup!$B:$B,MATCH(BK108,_names_lookup!$A:$A,0)),"")</f>
        <v/>
      </c>
      <c r="BS108" t="str">
        <f t="shared" si="21"/>
        <v/>
      </c>
    </row>
    <row r="109" spans="15:71" x14ac:dyDescent="0.2">
      <c r="O109" t="str">
        <f>IFERROR(INDEX(_courses_lookup!$C:$C,MATCH(K109&amp;L109,_courses_lookup!$E:$E,0)),"")</f>
        <v/>
      </c>
      <c r="P109" t="str">
        <f>IFERROR(INDEX(_courses_lookup!$D:$D,MATCH(K109&amp;L109,_courses_lookup!$E:$E,0)),"")</f>
        <v/>
      </c>
      <c r="AG109" t="str">
        <f t="shared" si="11"/>
        <v/>
      </c>
      <c r="AI109" t="str">
        <f t="shared" si="12"/>
        <v/>
      </c>
      <c r="AL109" t="str">
        <f t="shared" si="13"/>
        <v/>
      </c>
      <c r="AN109" t="str">
        <f t="shared" si="14"/>
        <v/>
      </c>
      <c r="AQ109" t="str">
        <f t="shared" si="15"/>
        <v/>
      </c>
      <c r="AR109" t="str">
        <f t="shared" si="16"/>
        <v/>
      </c>
      <c r="AS109" t="str">
        <f t="shared" si="17"/>
        <v/>
      </c>
      <c r="AT109" t="str">
        <f t="shared" si="18"/>
        <v/>
      </c>
      <c r="BG109" t="str">
        <f t="shared" si="19"/>
        <v/>
      </c>
      <c r="BH109" t="str">
        <f t="shared" si="20"/>
        <v/>
      </c>
      <c r="BL109" t="str">
        <f>IFERROR(INDEX(_names_lookup!$C:$C,MATCH(BK109,_names_lookup!$A:$A,0)),"")</f>
        <v/>
      </c>
      <c r="BM109" t="str">
        <f>IFERROR(INDEX(_names_lookup!$B:$B,MATCH(BK109,_names_lookup!$A:$A,0)),"")</f>
        <v/>
      </c>
      <c r="BS109" t="str">
        <f t="shared" si="21"/>
        <v/>
      </c>
    </row>
    <row r="110" spans="15:71" x14ac:dyDescent="0.2">
      <c r="O110" t="str">
        <f>IFERROR(INDEX(_courses_lookup!$C:$C,MATCH(K110&amp;L110,_courses_lookup!$E:$E,0)),"")</f>
        <v/>
      </c>
      <c r="P110" t="str">
        <f>IFERROR(INDEX(_courses_lookup!$D:$D,MATCH(K110&amp;L110,_courses_lookup!$E:$E,0)),"")</f>
        <v/>
      </c>
      <c r="AG110" t="str">
        <f t="shared" si="11"/>
        <v/>
      </c>
      <c r="AI110" t="str">
        <f t="shared" si="12"/>
        <v/>
      </c>
      <c r="AL110" t="str">
        <f t="shared" si="13"/>
        <v/>
      </c>
      <c r="AN110" t="str">
        <f t="shared" si="14"/>
        <v/>
      </c>
      <c r="AQ110" t="str">
        <f t="shared" si="15"/>
        <v/>
      </c>
      <c r="AR110" t="str">
        <f t="shared" si="16"/>
        <v/>
      </c>
      <c r="AS110" t="str">
        <f t="shared" si="17"/>
        <v/>
      </c>
      <c r="AT110" t="str">
        <f t="shared" si="18"/>
        <v/>
      </c>
      <c r="BG110" t="str">
        <f t="shared" si="19"/>
        <v/>
      </c>
      <c r="BH110" t="str">
        <f t="shared" si="20"/>
        <v/>
      </c>
      <c r="BL110" t="str">
        <f>IFERROR(INDEX(_names_lookup!$C:$C,MATCH(BK110,_names_lookup!$A:$A,0)),"")</f>
        <v/>
      </c>
      <c r="BM110" t="str">
        <f>IFERROR(INDEX(_names_lookup!$B:$B,MATCH(BK110,_names_lookup!$A:$A,0)),"")</f>
        <v/>
      </c>
      <c r="BS110" t="str">
        <f t="shared" si="21"/>
        <v/>
      </c>
    </row>
    <row r="111" spans="15:71" x14ac:dyDescent="0.2">
      <c r="O111" t="str">
        <f>IFERROR(INDEX(_courses_lookup!$C:$C,MATCH(K111&amp;L111,_courses_lookup!$E:$E,0)),"")</f>
        <v/>
      </c>
      <c r="P111" t="str">
        <f>IFERROR(INDEX(_courses_lookup!$D:$D,MATCH(K111&amp;L111,_courses_lookup!$E:$E,0)),"")</f>
        <v/>
      </c>
      <c r="AG111" t="str">
        <f t="shared" si="11"/>
        <v/>
      </c>
      <c r="AI111" t="str">
        <f t="shared" si="12"/>
        <v/>
      </c>
      <c r="AL111" t="str">
        <f t="shared" si="13"/>
        <v/>
      </c>
      <c r="AN111" t="str">
        <f t="shared" si="14"/>
        <v/>
      </c>
      <c r="AQ111" t="str">
        <f t="shared" si="15"/>
        <v/>
      </c>
      <c r="AR111" t="str">
        <f t="shared" si="16"/>
        <v/>
      </c>
      <c r="AS111" t="str">
        <f t="shared" si="17"/>
        <v/>
      </c>
      <c r="AT111" t="str">
        <f t="shared" si="18"/>
        <v/>
      </c>
      <c r="BG111" t="str">
        <f t="shared" si="19"/>
        <v/>
      </c>
      <c r="BH111" t="str">
        <f t="shared" si="20"/>
        <v/>
      </c>
      <c r="BL111" t="str">
        <f>IFERROR(INDEX(_names_lookup!$C:$C,MATCH(BK111,_names_lookup!$A:$A,0)),"")</f>
        <v/>
      </c>
      <c r="BM111" t="str">
        <f>IFERROR(INDEX(_names_lookup!$B:$B,MATCH(BK111,_names_lookup!$A:$A,0)),"")</f>
        <v/>
      </c>
      <c r="BS111" t="str">
        <f t="shared" si="21"/>
        <v/>
      </c>
    </row>
    <row r="112" spans="15:71" x14ac:dyDescent="0.2">
      <c r="O112" t="str">
        <f>IFERROR(INDEX(_courses_lookup!$C:$C,MATCH(K112&amp;L112,_courses_lookup!$E:$E,0)),"")</f>
        <v/>
      </c>
      <c r="P112" t="str">
        <f>IFERROR(INDEX(_courses_lookup!$D:$D,MATCH(K112&amp;L112,_courses_lookup!$E:$E,0)),"")</f>
        <v/>
      </c>
      <c r="AG112" t="str">
        <f t="shared" si="11"/>
        <v/>
      </c>
      <c r="AI112" t="str">
        <f t="shared" si="12"/>
        <v/>
      </c>
      <c r="AL112" t="str">
        <f t="shared" si="13"/>
        <v/>
      </c>
      <c r="AN112" t="str">
        <f t="shared" si="14"/>
        <v/>
      </c>
      <c r="AQ112" t="str">
        <f t="shared" si="15"/>
        <v/>
      </c>
      <c r="AR112" t="str">
        <f t="shared" si="16"/>
        <v/>
      </c>
      <c r="AS112" t="str">
        <f t="shared" si="17"/>
        <v/>
      </c>
      <c r="AT112" t="str">
        <f t="shared" si="18"/>
        <v/>
      </c>
      <c r="BG112" t="str">
        <f t="shared" si="19"/>
        <v/>
      </c>
      <c r="BH112" t="str">
        <f t="shared" si="20"/>
        <v/>
      </c>
      <c r="BL112" t="str">
        <f>IFERROR(INDEX(_names_lookup!$C:$C,MATCH(BK112,_names_lookup!$A:$A,0)),"")</f>
        <v/>
      </c>
      <c r="BM112" t="str">
        <f>IFERROR(INDEX(_names_lookup!$B:$B,MATCH(BK112,_names_lookup!$A:$A,0)),"")</f>
        <v/>
      </c>
      <c r="BS112" t="str">
        <f t="shared" si="21"/>
        <v/>
      </c>
    </row>
    <row r="113" spans="15:71" x14ac:dyDescent="0.2">
      <c r="O113" t="str">
        <f>IFERROR(INDEX(_courses_lookup!$C:$C,MATCH(K113&amp;L113,_courses_lookup!$E:$E,0)),"")</f>
        <v/>
      </c>
      <c r="P113" t="str">
        <f>IFERROR(INDEX(_courses_lookup!$D:$D,MATCH(K113&amp;L113,_courses_lookup!$E:$E,0)),"")</f>
        <v/>
      </c>
      <c r="AG113" t="str">
        <f t="shared" si="11"/>
        <v/>
      </c>
      <c r="AI113" t="str">
        <f t="shared" si="12"/>
        <v/>
      </c>
      <c r="AL113" t="str">
        <f t="shared" si="13"/>
        <v/>
      </c>
      <c r="AN113" t="str">
        <f t="shared" si="14"/>
        <v/>
      </c>
      <c r="AQ113" t="str">
        <f t="shared" si="15"/>
        <v/>
      </c>
      <c r="AR113" t="str">
        <f t="shared" si="16"/>
        <v/>
      </c>
      <c r="AS113" t="str">
        <f t="shared" si="17"/>
        <v/>
      </c>
      <c r="AT113" t="str">
        <f t="shared" si="18"/>
        <v/>
      </c>
      <c r="BG113" t="str">
        <f t="shared" si="19"/>
        <v/>
      </c>
      <c r="BH113" t="str">
        <f t="shared" si="20"/>
        <v/>
      </c>
      <c r="BL113" t="str">
        <f>IFERROR(INDEX(_names_lookup!$C:$C,MATCH(BK113,_names_lookup!$A:$A,0)),"")</f>
        <v/>
      </c>
      <c r="BM113" t="str">
        <f>IFERROR(INDEX(_names_lookup!$B:$B,MATCH(BK113,_names_lookup!$A:$A,0)),"")</f>
        <v/>
      </c>
      <c r="BS113" t="str">
        <f t="shared" si="21"/>
        <v/>
      </c>
    </row>
    <row r="114" spans="15:71" x14ac:dyDescent="0.2">
      <c r="O114" t="str">
        <f>IFERROR(INDEX(_courses_lookup!$C:$C,MATCH(K114&amp;L114,_courses_lookup!$E:$E,0)),"")</f>
        <v/>
      </c>
      <c r="P114" t="str">
        <f>IFERROR(INDEX(_courses_lookup!$D:$D,MATCH(K114&amp;L114,_courses_lookup!$E:$E,0)),"")</f>
        <v/>
      </c>
      <c r="AG114" t="str">
        <f t="shared" si="11"/>
        <v/>
      </c>
      <c r="AI114" t="str">
        <f t="shared" si="12"/>
        <v/>
      </c>
      <c r="AL114" t="str">
        <f t="shared" si="13"/>
        <v/>
      </c>
      <c r="AN114" t="str">
        <f t="shared" si="14"/>
        <v/>
      </c>
      <c r="AQ114" t="str">
        <f t="shared" si="15"/>
        <v/>
      </c>
      <c r="AR114" t="str">
        <f t="shared" si="16"/>
        <v/>
      </c>
      <c r="AS114" t="str">
        <f t="shared" si="17"/>
        <v/>
      </c>
      <c r="AT114" t="str">
        <f t="shared" si="18"/>
        <v/>
      </c>
      <c r="BG114" t="str">
        <f t="shared" si="19"/>
        <v/>
      </c>
      <c r="BH114" t="str">
        <f t="shared" si="20"/>
        <v/>
      </c>
      <c r="BL114" t="str">
        <f>IFERROR(INDEX(_names_lookup!$C:$C,MATCH(BK114,_names_lookup!$A:$A,0)),"")</f>
        <v/>
      </c>
      <c r="BM114" t="str">
        <f>IFERROR(INDEX(_names_lookup!$B:$B,MATCH(BK114,_names_lookup!$A:$A,0)),"")</f>
        <v/>
      </c>
      <c r="BS114" t="str">
        <f t="shared" si="21"/>
        <v/>
      </c>
    </row>
    <row r="115" spans="15:71" x14ac:dyDescent="0.2">
      <c r="O115" t="str">
        <f>IFERROR(INDEX(_courses_lookup!$C:$C,MATCH(K115&amp;L115,_courses_lookup!$E:$E,0)),"")</f>
        <v/>
      </c>
      <c r="P115" t="str">
        <f>IFERROR(INDEX(_courses_lookup!$D:$D,MATCH(K115&amp;L115,_courses_lookup!$E:$E,0)),"")</f>
        <v/>
      </c>
      <c r="AG115" t="str">
        <f t="shared" si="11"/>
        <v/>
      </c>
      <c r="AI115" t="str">
        <f t="shared" si="12"/>
        <v/>
      </c>
      <c r="AL115" t="str">
        <f t="shared" si="13"/>
        <v/>
      </c>
      <c r="AN115" t="str">
        <f t="shared" si="14"/>
        <v/>
      </c>
      <c r="AQ115" t="str">
        <f t="shared" si="15"/>
        <v/>
      </c>
      <c r="AR115" t="str">
        <f t="shared" si="16"/>
        <v/>
      </c>
      <c r="AS115" t="str">
        <f t="shared" si="17"/>
        <v/>
      </c>
      <c r="AT115" t="str">
        <f t="shared" si="18"/>
        <v/>
      </c>
      <c r="BG115" t="str">
        <f t="shared" si="19"/>
        <v/>
      </c>
      <c r="BH115" t="str">
        <f t="shared" si="20"/>
        <v/>
      </c>
      <c r="BL115" t="str">
        <f>IFERROR(INDEX(_names_lookup!$C:$C,MATCH(BK115,_names_lookup!$A:$A,0)),"")</f>
        <v/>
      </c>
      <c r="BM115" t="str">
        <f>IFERROR(INDEX(_names_lookup!$B:$B,MATCH(BK115,_names_lookup!$A:$A,0)),"")</f>
        <v/>
      </c>
      <c r="BS115" t="str">
        <f t="shared" si="21"/>
        <v/>
      </c>
    </row>
    <row r="116" spans="15:71" x14ac:dyDescent="0.2">
      <c r="O116" t="str">
        <f>IFERROR(INDEX(_courses_lookup!$C:$C,MATCH(K116&amp;L116,_courses_lookup!$E:$E,0)),"")</f>
        <v/>
      </c>
      <c r="P116" t="str">
        <f>IFERROR(INDEX(_courses_lookup!$D:$D,MATCH(K116&amp;L116,_courses_lookup!$E:$E,0)),"")</f>
        <v/>
      </c>
      <c r="AG116" t="str">
        <f t="shared" si="11"/>
        <v/>
      </c>
      <c r="AI116" t="str">
        <f t="shared" si="12"/>
        <v/>
      </c>
      <c r="AL116" t="str">
        <f t="shared" si="13"/>
        <v/>
      </c>
      <c r="AN116" t="str">
        <f t="shared" si="14"/>
        <v/>
      </c>
      <c r="AQ116" t="str">
        <f t="shared" si="15"/>
        <v/>
      </c>
      <c r="AR116" t="str">
        <f t="shared" si="16"/>
        <v/>
      </c>
      <c r="AS116" t="str">
        <f t="shared" si="17"/>
        <v/>
      </c>
      <c r="AT116" t="str">
        <f t="shared" si="18"/>
        <v/>
      </c>
      <c r="BG116" t="str">
        <f t="shared" si="19"/>
        <v/>
      </c>
      <c r="BH116" t="str">
        <f t="shared" si="20"/>
        <v/>
      </c>
      <c r="BL116" t="str">
        <f>IFERROR(INDEX(_names_lookup!$C:$C,MATCH(BK116,_names_lookup!$A:$A,0)),"")</f>
        <v/>
      </c>
      <c r="BM116" t="str">
        <f>IFERROR(INDEX(_names_lookup!$B:$B,MATCH(BK116,_names_lookup!$A:$A,0)),"")</f>
        <v/>
      </c>
      <c r="BS116" t="str">
        <f t="shared" si="21"/>
        <v/>
      </c>
    </row>
    <row r="117" spans="15:71" x14ac:dyDescent="0.2">
      <c r="O117" t="str">
        <f>IFERROR(INDEX(_courses_lookup!$C:$C,MATCH(K117&amp;L117,_courses_lookup!$E:$E,0)),"")</f>
        <v/>
      </c>
      <c r="P117" t="str">
        <f>IFERROR(INDEX(_courses_lookup!$D:$D,MATCH(K117&amp;L117,_courses_lookup!$E:$E,0)),"")</f>
        <v/>
      </c>
      <c r="AG117" t="str">
        <f t="shared" si="11"/>
        <v/>
      </c>
      <c r="AI117" t="str">
        <f t="shared" si="12"/>
        <v/>
      </c>
      <c r="AL117" t="str">
        <f t="shared" si="13"/>
        <v/>
      </c>
      <c r="AN117" t="str">
        <f t="shared" si="14"/>
        <v/>
      </c>
      <c r="AQ117" t="str">
        <f t="shared" si="15"/>
        <v/>
      </c>
      <c r="AR117" t="str">
        <f t="shared" si="16"/>
        <v/>
      </c>
      <c r="AS117" t="str">
        <f t="shared" si="17"/>
        <v/>
      </c>
      <c r="AT117" t="str">
        <f t="shared" si="18"/>
        <v/>
      </c>
      <c r="BG117" t="str">
        <f t="shared" si="19"/>
        <v/>
      </c>
      <c r="BH117" t="str">
        <f t="shared" si="20"/>
        <v/>
      </c>
      <c r="BL117" t="str">
        <f>IFERROR(INDEX(_names_lookup!$C:$C,MATCH(BK117,_names_lookup!$A:$A,0)),"")</f>
        <v/>
      </c>
      <c r="BM117" t="str">
        <f>IFERROR(INDEX(_names_lookup!$B:$B,MATCH(BK117,_names_lookup!$A:$A,0)),"")</f>
        <v/>
      </c>
      <c r="BS117" t="str">
        <f t="shared" si="21"/>
        <v/>
      </c>
    </row>
    <row r="118" spans="15:71" x14ac:dyDescent="0.2">
      <c r="O118" t="str">
        <f>IFERROR(INDEX(_courses_lookup!$C:$C,MATCH(K118&amp;L118,_courses_lookup!$E:$E,0)),"")</f>
        <v/>
      </c>
      <c r="P118" t="str">
        <f>IFERROR(INDEX(_courses_lookup!$D:$D,MATCH(K118&amp;L118,_courses_lookup!$E:$E,0)),"")</f>
        <v/>
      </c>
      <c r="AG118" t="str">
        <f t="shared" si="11"/>
        <v/>
      </c>
      <c r="AI118" t="str">
        <f t="shared" si="12"/>
        <v/>
      </c>
      <c r="AL118" t="str">
        <f t="shared" si="13"/>
        <v/>
      </c>
      <c r="AN118" t="str">
        <f t="shared" si="14"/>
        <v/>
      </c>
      <c r="AQ118" t="str">
        <f t="shared" si="15"/>
        <v/>
      </c>
      <c r="AR118" t="str">
        <f t="shared" si="16"/>
        <v/>
      </c>
      <c r="AS118" t="str">
        <f t="shared" si="17"/>
        <v/>
      </c>
      <c r="AT118" t="str">
        <f t="shared" si="18"/>
        <v/>
      </c>
      <c r="BG118" t="str">
        <f t="shared" si="19"/>
        <v/>
      </c>
      <c r="BH118" t="str">
        <f t="shared" si="20"/>
        <v/>
      </c>
      <c r="BL118" t="str">
        <f>IFERROR(INDEX(_names_lookup!$C:$C,MATCH(BK118,_names_lookup!$A:$A,0)),"")</f>
        <v/>
      </c>
      <c r="BM118" t="str">
        <f>IFERROR(INDEX(_names_lookup!$B:$B,MATCH(BK118,_names_lookup!$A:$A,0)),"")</f>
        <v/>
      </c>
      <c r="BS118" t="str">
        <f t="shared" si="21"/>
        <v/>
      </c>
    </row>
    <row r="119" spans="15:71" x14ac:dyDescent="0.2">
      <c r="O119" t="str">
        <f>IFERROR(INDEX(_courses_lookup!$C:$C,MATCH(K119&amp;L119,_courses_lookup!$E:$E,0)),"")</f>
        <v/>
      </c>
      <c r="P119" t="str">
        <f>IFERROR(INDEX(_courses_lookup!$D:$D,MATCH(K119&amp;L119,_courses_lookup!$E:$E,0)),"")</f>
        <v/>
      </c>
      <c r="AG119" t="str">
        <f t="shared" si="11"/>
        <v/>
      </c>
      <c r="AI119" t="str">
        <f t="shared" si="12"/>
        <v/>
      </c>
      <c r="AL119" t="str">
        <f t="shared" si="13"/>
        <v/>
      </c>
      <c r="AN119" t="str">
        <f t="shared" si="14"/>
        <v/>
      </c>
      <c r="AQ119" t="str">
        <f t="shared" si="15"/>
        <v/>
      </c>
      <c r="AR119" t="str">
        <f t="shared" si="16"/>
        <v/>
      </c>
      <c r="AS119" t="str">
        <f t="shared" si="17"/>
        <v/>
      </c>
      <c r="AT119" t="str">
        <f t="shared" si="18"/>
        <v/>
      </c>
      <c r="BG119" t="str">
        <f t="shared" si="19"/>
        <v/>
      </c>
      <c r="BH119" t="str">
        <f t="shared" si="20"/>
        <v/>
      </c>
      <c r="BL119" t="str">
        <f>IFERROR(INDEX(_names_lookup!$C:$C,MATCH(BK119,_names_lookup!$A:$A,0)),"")</f>
        <v/>
      </c>
      <c r="BM119" t="str">
        <f>IFERROR(INDEX(_names_lookup!$B:$B,MATCH(BK119,_names_lookup!$A:$A,0)),"")</f>
        <v/>
      </c>
      <c r="BS119" t="str">
        <f t="shared" si="21"/>
        <v/>
      </c>
    </row>
    <row r="120" spans="15:71" x14ac:dyDescent="0.2">
      <c r="O120" t="str">
        <f>IFERROR(INDEX(_courses_lookup!$C:$C,MATCH(K120&amp;L120,_courses_lookup!$E:$E,0)),"")</f>
        <v/>
      </c>
      <c r="P120" t="str">
        <f>IFERROR(INDEX(_courses_lookup!$D:$D,MATCH(K120&amp;L120,_courses_lookup!$E:$E,0)),"")</f>
        <v/>
      </c>
      <c r="AG120" t="str">
        <f t="shared" si="11"/>
        <v/>
      </c>
      <c r="AI120" t="str">
        <f t="shared" si="12"/>
        <v/>
      </c>
      <c r="AL120" t="str">
        <f t="shared" si="13"/>
        <v/>
      </c>
      <c r="AN120" t="str">
        <f t="shared" si="14"/>
        <v/>
      </c>
      <c r="AQ120" t="str">
        <f t="shared" si="15"/>
        <v/>
      </c>
      <c r="AR120" t="str">
        <f t="shared" si="16"/>
        <v/>
      </c>
      <c r="AS120" t="str">
        <f t="shared" si="17"/>
        <v/>
      </c>
      <c r="AT120" t="str">
        <f t="shared" si="18"/>
        <v/>
      </c>
      <c r="BG120" t="str">
        <f t="shared" si="19"/>
        <v/>
      </c>
      <c r="BH120" t="str">
        <f t="shared" si="20"/>
        <v/>
      </c>
      <c r="BL120" t="str">
        <f>IFERROR(INDEX(_names_lookup!$C:$C,MATCH(BK120,_names_lookup!$A:$A,0)),"")</f>
        <v/>
      </c>
      <c r="BM120" t="str">
        <f>IFERROR(INDEX(_names_lookup!$B:$B,MATCH(BK120,_names_lookup!$A:$A,0)),"")</f>
        <v/>
      </c>
      <c r="BS120" t="str">
        <f t="shared" si="21"/>
        <v/>
      </c>
    </row>
    <row r="121" spans="15:71" x14ac:dyDescent="0.2">
      <c r="O121" t="str">
        <f>IFERROR(INDEX(_courses_lookup!$C:$C,MATCH(K121&amp;L121,_courses_lookup!$E:$E,0)),"")</f>
        <v/>
      </c>
      <c r="P121" t="str">
        <f>IFERROR(INDEX(_courses_lookup!$D:$D,MATCH(K121&amp;L121,_courses_lookup!$E:$E,0)),"")</f>
        <v/>
      </c>
      <c r="AG121" t="str">
        <f t="shared" si="11"/>
        <v/>
      </c>
      <c r="AI121" t="str">
        <f t="shared" si="12"/>
        <v/>
      </c>
      <c r="AL121" t="str">
        <f t="shared" si="13"/>
        <v/>
      </c>
      <c r="AN121" t="str">
        <f t="shared" si="14"/>
        <v/>
      </c>
      <c r="AQ121" t="str">
        <f t="shared" si="15"/>
        <v/>
      </c>
      <c r="AR121" t="str">
        <f t="shared" si="16"/>
        <v/>
      </c>
      <c r="AS121" t="str">
        <f t="shared" si="17"/>
        <v/>
      </c>
      <c r="AT121" t="str">
        <f t="shared" si="18"/>
        <v/>
      </c>
      <c r="BG121" t="str">
        <f t="shared" si="19"/>
        <v/>
      </c>
      <c r="BH121" t="str">
        <f t="shared" si="20"/>
        <v/>
      </c>
      <c r="BL121" t="str">
        <f>IFERROR(INDEX(_names_lookup!$C:$C,MATCH(BK121,_names_lookup!$A:$A,0)),"")</f>
        <v/>
      </c>
      <c r="BM121" t="str">
        <f>IFERROR(INDEX(_names_lookup!$B:$B,MATCH(BK121,_names_lookup!$A:$A,0)),"")</f>
        <v/>
      </c>
      <c r="BS121" t="str">
        <f t="shared" si="21"/>
        <v/>
      </c>
    </row>
    <row r="122" spans="15:71" x14ac:dyDescent="0.2">
      <c r="O122" t="str">
        <f>IFERROR(INDEX(_courses_lookup!$C:$C,MATCH(K122&amp;L122,_courses_lookup!$E:$E,0)),"")</f>
        <v/>
      </c>
      <c r="P122" t="str">
        <f>IFERROR(INDEX(_courses_lookup!$D:$D,MATCH(K122&amp;L122,_courses_lookup!$E:$E,0)),"")</f>
        <v/>
      </c>
      <c r="AG122" t="str">
        <f t="shared" si="11"/>
        <v/>
      </c>
      <c r="AI122" t="str">
        <f t="shared" si="12"/>
        <v/>
      </c>
      <c r="AL122" t="str">
        <f t="shared" si="13"/>
        <v/>
      </c>
      <c r="AN122" t="str">
        <f t="shared" si="14"/>
        <v/>
      </c>
      <c r="AQ122" t="str">
        <f t="shared" si="15"/>
        <v/>
      </c>
      <c r="AR122" t="str">
        <f t="shared" si="16"/>
        <v/>
      </c>
      <c r="AS122" t="str">
        <f t="shared" si="17"/>
        <v/>
      </c>
      <c r="AT122" t="str">
        <f t="shared" si="18"/>
        <v/>
      </c>
      <c r="BG122" t="str">
        <f t="shared" si="19"/>
        <v/>
      </c>
      <c r="BH122" t="str">
        <f t="shared" si="20"/>
        <v/>
      </c>
      <c r="BL122" t="str">
        <f>IFERROR(INDEX(_names_lookup!$C:$C,MATCH(BK122,_names_lookup!$A:$A,0)),"")</f>
        <v/>
      </c>
      <c r="BM122" t="str">
        <f>IFERROR(INDEX(_names_lookup!$B:$B,MATCH(BK122,_names_lookup!$A:$A,0)),"")</f>
        <v/>
      </c>
      <c r="BS122" t="str">
        <f t="shared" si="21"/>
        <v/>
      </c>
    </row>
    <row r="123" spans="15:71" x14ac:dyDescent="0.2">
      <c r="O123" t="str">
        <f>IFERROR(INDEX(_courses_lookup!$C:$C,MATCH(K123&amp;L123,_courses_lookup!$E:$E,0)),"")</f>
        <v/>
      </c>
      <c r="P123" t="str">
        <f>IFERROR(INDEX(_courses_lookup!$D:$D,MATCH(K123&amp;L123,_courses_lookup!$E:$E,0)),"")</f>
        <v/>
      </c>
      <c r="AG123" t="str">
        <f t="shared" si="11"/>
        <v/>
      </c>
      <c r="AI123" t="str">
        <f t="shared" si="12"/>
        <v/>
      </c>
      <c r="AL123" t="str">
        <f t="shared" si="13"/>
        <v/>
      </c>
      <c r="AN123" t="str">
        <f t="shared" si="14"/>
        <v/>
      </c>
      <c r="AQ123" t="str">
        <f t="shared" si="15"/>
        <v/>
      </c>
      <c r="AR123" t="str">
        <f t="shared" si="16"/>
        <v/>
      </c>
      <c r="AS123" t="str">
        <f t="shared" si="17"/>
        <v/>
      </c>
      <c r="AT123" t="str">
        <f t="shared" si="18"/>
        <v/>
      </c>
      <c r="BG123" t="str">
        <f t="shared" si="19"/>
        <v/>
      </c>
      <c r="BH123" t="str">
        <f t="shared" si="20"/>
        <v/>
      </c>
      <c r="BL123" t="str">
        <f>IFERROR(INDEX(_names_lookup!$C:$C,MATCH(BK123,_names_lookup!$A:$A,0)),"")</f>
        <v/>
      </c>
      <c r="BM123" t="str">
        <f>IFERROR(INDEX(_names_lookup!$B:$B,MATCH(BK123,_names_lookup!$A:$A,0)),"")</f>
        <v/>
      </c>
      <c r="BS123" t="str">
        <f t="shared" si="21"/>
        <v/>
      </c>
    </row>
    <row r="124" spans="15:71" x14ac:dyDescent="0.2">
      <c r="O124" t="str">
        <f>IFERROR(INDEX(_courses_lookup!$C:$C,MATCH(K124&amp;L124,_courses_lookup!$E:$E,0)),"")</f>
        <v/>
      </c>
      <c r="P124" t="str">
        <f>IFERROR(INDEX(_courses_lookup!$D:$D,MATCH(K124&amp;L124,_courses_lookup!$E:$E,0)),"")</f>
        <v/>
      </c>
      <c r="AG124" t="str">
        <f t="shared" si="11"/>
        <v/>
      </c>
      <c r="AI124" t="str">
        <f t="shared" si="12"/>
        <v/>
      </c>
      <c r="AL124" t="str">
        <f t="shared" si="13"/>
        <v/>
      </c>
      <c r="AN124" t="str">
        <f t="shared" si="14"/>
        <v/>
      </c>
      <c r="AQ124" t="str">
        <f t="shared" si="15"/>
        <v/>
      </c>
      <c r="AR124" t="str">
        <f t="shared" si="16"/>
        <v/>
      </c>
      <c r="AS124" t="str">
        <f t="shared" si="17"/>
        <v/>
      </c>
      <c r="AT124" t="str">
        <f t="shared" si="18"/>
        <v/>
      </c>
      <c r="BG124" t="str">
        <f t="shared" si="19"/>
        <v/>
      </c>
      <c r="BH124" t="str">
        <f t="shared" si="20"/>
        <v/>
      </c>
      <c r="BL124" t="str">
        <f>IFERROR(INDEX(_names_lookup!$C:$C,MATCH(BK124,_names_lookup!$A:$A,0)),"")</f>
        <v/>
      </c>
      <c r="BM124" t="str">
        <f>IFERROR(INDEX(_names_lookup!$B:$B,MATCH(BK124,_names_lookup!$A:$A,0)),"")</f>
        <v/>
      </c>
      <c r="BS124" t="str">
        <f t="shared" si="21"/>
        <v/>
      </c>
    </row>
    <row r="125" spans="15:71" x14ac:dyDescent="0.2">
      <c r="O125" t="str">
        <f>IFERROR(INDEX(_courses_lookup!$C:$C,MATCH(K125&amp;L125,_courses_lookup!$E:$E,0)),"")</f>
        <v/>
      </c>
      <c r="P125" t="str">
        <f>IFERROR(INDEX(_courses_lookup!$D:$D,MATCH(K125&amp;L125,_courses_lookup!$E:$E,0)),"")</f>
        <v/>
      </c>
      <c r="AG125" t="str">
        <f t="shared" si="11"/>
        <v/>
      </c>
      <c r="AI125" t="str">
        <f t="shared" si="12"/>
        <v/>
      </c>
      <c r="AL125" t="str">
        <f t="shared" si="13"/>
        <v/>
      </c>
      <c r="AN125" t="str">
        <f t="shared" si="14"/>
        <v/>
      </c>
      <c r="AQ125" t="str">
        <f t="shared" si="15"/>
        <v/>
      </c>
      <c r="AR125" t="str">
        <f t="shared" si="16"/>
        <v/>
      </c>
      <c r="AS125" t="str">
        <f t="shared" si="17"/>
        <v/>
      </c>
      <c r="AT125" t="str">
        <f t="shared" si="18"/>
        <v/>
      </c>
      <c r="BG125" t="str">
        <f t="shared" si="19"/>
        <v/>
      </c>
      <c r="BH125" t="str">
        <f t="shared" si="20"/>
        <v/>
      </c>
      <c r="BL125" t="str">
        <f>IFERROR(INDEX(_names_lookup!$C:$C,MATCH(BK125,_names_lookup!$A:$A,0)),"")</f>
        <v/>
      </c>
      <c r="BM125" t="str">
        <f>IFERROR(INDEX(_names_lookup!$B:$B,MATCH(BK125,_names_lookup!$A:$A,0)),"")</f>
        <v/>
      </c>
      <c r="BS125" t="str">
        <f t="shared" si="21"/>
        <v/>
      </c>
    </row>
    <row r="126" spans="15:71" x14ac:dyDescent="0.2">
      <c r="O126" t="str">
        <f>IFERROR(INDEX(_courses_lookup!$C:$C,MATCH(K126&amp;L126,_courses_lookup!$E:$E,0)),"")</f>
        <v/>
      </c>
      <c r="P126" t="str">
        <f>IFERROR(INDEX(_courses_lookup!$D:$D,MATCH(K126&amp;L126,_courses_lookup!$E:$E,0)),"")</f>
        <v/>
      </c>
      <c r="AG126" t="str">
        <f t="shared" si="11"/>
        <v/>
      </c>
      <c r="AI126" t="str">
        <f t="shared" si="12"/>
        <v/>
      </c>
      <c r="AL126" t="str">
        <f t="shared" si="13"/>
        <v/>
      </c>
      <c r="AN126" t="str">
        <f t="shared" si="14"/>
        <v/>
      </c>
      <c r="AQ126" t="str">
        <f t="shared" si="15"/>
        <v/>
      </c>
      <c r="AR126" t="str">
        <f t="shared" si="16"/>
        <v/>
      </c>
      <c r="AS126" t="str">
        <f t="shared" si="17"/>
        <v/>
      </c>
      <c r="AT126" t="str">
        <f t="shared" si="18"/>
        <v/>
      </c>
      <c r="BG126" t="str">
        <f t="shared" si="19"/>
        <v/>
      </c>
      <c r="BH126" t="str">
        <f t="shared" si="20"/>
        <v/>
      </c>
      <c r="BL126" t="str">
        <f>IFERROR(INDEX(_names_lookup!$C:$C,MATCH(BK126,_names_lookup!$A:$A,0)),"")</f>
        <v/>
      </c>
      <c r="BM126" t="str">
        <f>IFERROR(INDEX(_names_lookup!$B:$B,MATCH(BK126,_names_lookup!$A:$A,0)),"")</f>
        <v/>
      </c>
      <c r="BS126" t="str">
        <f t="shared" si="21"/>
        <v/>
      </c>
    </row>
    <row r="127" spans="15:71" x14ac:dyDescent="0.2">
      <c r="O127" t="str">
        <f>IFERROR(INDEX(_courses_lookup!$C:$C,MATCH(K127&amp;L127,_courses_lookup!$E:$E,0)),"")</f>
        <v/>
      </c>
      <c r="P127" t="str">
        <f>IFERROR(INDEX(_courses_lookup!$D:$D,MATCH(K127&amp;L127,_courses_lookup!$E:$E,0)),"")</f>
        <v/>
      </c>
      <c r="AG127" t="str">
        <f t="shared" si="11"/>
        <v/>
      </c>
      <c r="AI127" t="str">
        <f t="shared" si="12"/>
        <v/>
      </c>
      <c r="AL127" t="str">
        <f t="shared" si="13"/>
        <v/>
      </c>
      <c r="AN127" t="str">
        <f t="shared" si="14"/>
        <v/>
      </c>
      <c r="AQ127" t="str">
        <f t="shared" si="15"/>
        <v/>
      </c>
      <c r="AR127" t="str">
        <f t="shared" si="16"/>
        <v/>
      </c>
      <c r="AS127" t="str">
        <f t="shared" si="17"/>
        <v/>
      </c>
      <c r="AT127" t="str">
        <f t="shared" si="18"/>
        <v/>
      </c>
      <c r="BG127" t="str">
        <f t="shared" si="19"/>
        <v/>
      </c>
      <c r="BH127" t="str">
        <f t="shared" si="20"/>
        <v/>
      </c>
      <c r="BL127" t="str">
        <f>IFERROR(INDEX(_names_lookup!$C:$C,MATCH(BK127,_names_lookup!$A:$A,0)),"")</f>
        <v/>
      </c>
      <c r="BM127" t="str">
        <f>IFERROR(INDEX(_names_lookup!$B:$B,MATCH(BK127,_names_lookup!$A:$A,0)),"")</f>
        <v/>
      </c>
      <c r="BS127" t="str">
        <f t="shared" si="21"/>
        <v/>
      </c>
    </row>
    <row r="128" spans="15:71" x14ac:dyDescent="0.2">
      <c r="O128" t="str">
        <f>IFERROR(INDEX(_courses_lookup!$C:$C,MATCH(K128&amp;L128,_courses_lookup!$E:$E,0)),"")</f>
        <v/>
      </c>
      <c r="P128" t="str">
        <f>IFERROR(INDEX(_courses_lookup!$D:$D,MATCH(K128&amp;L128,_courses_lookup!$E:$E,0)),"")</f>
        <v/>
      </c>
      <c r="AG128" t="str">
        <f t="shared" si="11"/>
        <v/>
      </c>
      <c r="AI128" t="str">
        <f t="shared" si="12"/>
        <v/>
      </c>
      <c r="AL128" t="str">
        <f t="shared" si="13"/>
        <v/>
      </c>
      <c r="AN128" t="str">
        <f t="shared" si="14"/>
        <v/>
      </c>
      <c r="AQ128" t="str">
        <f t="shared" si="15"/>
        <v/>
      </c>
      <c r="AR128" t="str">
        <f t="shared" si="16"/>
        <v/>
      </c>
      <c r="AS128" t="str">
        <f t="shared" si="17"/>
        <v/>
      </c>
      <c r="AT128" t="str">
        <f t="shared" si="18"/>
        <v/>
      </c>
      <c r="BG128" t="str">
        <f t="shared" si="19"/>
        <v/>
      </c>
      <c r="BH128" t="str">
        <f t="shared" si="20"/>
        <v/>
      </c>
      <c r="BL128" t="str">
        <f>IFERROR(INDEX(_names_lookup!$C:$C,MATCH(BK128,_names_lookup!$A:$A,0)),"")</f>
        <v/>
      </c>
      <c r="BM128" t="str">
        <f>IFERROR(INDEX(_names_lookup!$B:$B,MATCH(BK128,_names_lookup!$A:$A,0)),"")</f>
        <v/>
      </c>
      <c r="BS128" t="str">
        <f t="shared" si="21"/>
        <v/>
      </c>
    </row>
    <row r="129" spans="15:71" x14ac:dyDescent="0.2">
      <c r="O129" t="str">
        <f>IFERROR(INDEX(_courses_lookup!$C:$C,MATCH(K129&amp;L129,_courses_lookup!$E:$E,0)),"")</f>
        <v/>
      </c>
      <c r="P129" t="str">
        <f>IFERROR(INDEX(_courses_lookup!$D:$D,MATCH(K129&amp;L129,_courses_lookup!$E:$E,0)),"")</f>
        <v/>
      </c>
      <c r="AG129" t="str">
        <f t="shared" si="11"/>
        <v/>
      </c>
      <c r="AI129" t="str">
        <f t="shared" si="12"/>
        <v/>
      </c>
      <c r="AL129" t="str">
        <f t="shared" si="13"/>
        <v/>
      </c>
      <c r="AN129" t="str">
        <f t="shared" si="14"/>
        <v/>
      </c>
      <c r="AQ129" t="str">
        <f t="shared" si="15"/>
        <v/>
      </c>
      <c r="AR129" t="str">
        <f t="shared" si="16"/>
        <v/>
      </c>
      <c r="AS129" t="str">
        <f t="shared" si="17"/>
        <v/>
      </c>
      <c r="AT129" t="str">
        <f t="shared" si="18"/>
        <v/>
      </c>
      <c r="BG129" t="str">
        <f t="shared" si="19"/>
        <v/>
      </c>
      <c r="BH129" t="str">
        <f t="shared" si="20"/>
        <v/>
      </c>
      <c r="BL129" t="str">
        <f>IFERROR(INDEX(_names_lookup!$C:$C,MATCH(BK129,_names_lookup!$A:$A,0)),"")</f>
        <v/>
      </c>
      <c r="BM129" t="str">
        <f>IFERROR(INDEX(_names_lookup!$B:$B,MATCH(BK129,_names_lookup!$A:$A,0)),"")</f>
        <v/>
      </c>
      <c r="BS129" t="str">
        <f t="shared" si="21"/>
        <v/>
      </c>
    </row>
    <row r="130" spans="15:71" x14ac:dyDescent="0.2">
      <c r="O130" t="str">
        <f>IFERROR(INDEX(_courses_lookup!$C:$C,MATCH(K130&amp;L130,_courses_lookup!$E:$E,0)),"")</f>
        <v/>
      </c>
      <c r="P130" t="str">
        <f>IFERROR(INDEX(_courses_lookup!$D:$D,MATCH(K130&amp;L130,_courses_lookup!$E:$E,0)),"")</f>
        <v/>
      </c>
      <c r="AG130" t="str">
        <f t="shared" ref="AG130:AG193" si="22">IF(AND(AE130&lt;&gt;"",AF130&lt;&gt;""),ROUNDUP((AF130-AE130)/7,0),"")</f>
        <v/>
      </c>
      <c r="AI130" t="str">
        <f t="shared" ref="AI130:AI193" si="23">IFERROR(IF(AG130*AH130=0,"",AG130*AH130),"")</f>
        <v/>
      </c>
      <c r="AL130" t="str">
        <f t="shared" ref="AL130:AL193" si="24">IF(AND(AJ130&lt;&gt;"",AK130&lt;&gt;""),ROUNDUP((AK130-AJ130)/7,0),"")</f>
        <v/>
      </c>
      <c r="AN130" t="str">
        <f t="shared" ref="AN130:AN193" si="25">IFERROR(IF(AL130*AM130=0,"",AL130*AM130),"")</f>
        <v/>
      </c>
      <c r="AQ130" t="str">
        <f t="shared" ref="AQ130:AQ193" si="26">IF(AND(AO130&lt;&gt;"",AP130&lt;&gt;""),ROUNDUP((AP130-AO130)/7,0),"")</f>
        <v/>
      </c>
      <c r="AR130" t="str">
        <f t="shared" ref="AR130:AR193" si="27">IFERROR(IF((AU130-(AI130+AN130))/AQ130=0,"",ROUNDUP((AU130-(AI130+AN130))/AQ130,0)),"")</f>
        <v/>
      </c>
      <c r="AS130" t="str">
        <f t="shared" ref="AS130:AS193" si="28">IFERROR(IF((AU130-(AI130+AN130))=0,"",(AU130-(AI130+AN130))),"")</f>
        <v/>
      </c>
      <c r="AT130" t="str">
        <f t="shared" ref="AT130:AT193" si="29">IF(AND(AG130="",AQ130=""),AL130,IF(SUM(AG130,AL130,AQ130)=0,"",SUM(AG130,AL130,AQ130)))</f>
        <v/>
      </c>
      <c r="BG130" t="str">
        <f t="shared" ref="BG130:BG193" si="30">IF(AD130="","",YEAR(AD130)+IF(MONTH(AD130)&gt;=5,1,0))</f>
        <v/>
      </c>
      <c r="BH130" t="str">
        <f t="shared" ref="BH130:BH193" si="31">IF(AD130="","",IF(AND(MONTH(AD130)=8,DAY(AD130)&gt;=15),"Fall",IF(MONTH(AD130)&gt;8,"Fall",IF(MONTH(AD130)=5,"Summer",IF(MONTH(AD130)=1,"Spring","")))))</f>
        <v/>
      </c>
      <c r="BL130" t="str">
        <f>IFERROR(INDEX(_names_lookup!$C:$C,MATCH(BK130,_names_lookup!$A:$A,0)),"")</f>
        <v/>
      </c>
      <c r="BM130" t="str">
        <f>IFERROR(INDEX(_names_lookup!$B:$B,MATCH(BK130,_names_lookup!$A:$A,0)),"")</f>
        <v/>
      </c>
      <c r="BS130" t="str">
        <f t="shared" ref="BS130:BS193" si="32">IFERROR(IF(BR130*AA130=0,"",BR130*AA130),"")</f>
        <v/>
      </c>
    </row>
    <row r="131" spans="15:71" x14ac:dyDescent="0.2">
      <c r="O131" t="str">
        <f>IFERROR(INDEX(_courses_lookup!$C:$C,MATCH(K131&amp;L131,_courses_lookup!$E:$E,0)),"")</f>
        <v/>
      </c>
      <c r="P131" t="str">
        <f>IFERROR(INDEX(_courses_lookup!$D:$D,MATCH(K131&amp;L131,_courses_lookup!$E:$E,0)),"")</f>
        <v/>
      </c>
      <c r="AG131" t="str">
        <f t="shared" si="22"/>
        <v/>
      </c>
      <c r="AI131" t="str">
        <f t="shared" si="23"/>
        <v/>
      </c>
      <c r="AL131" t="str">
        <f t="shared" si="24"/>
        <v/>
      </c>
      <c r="AN131" t="str">
        <f t="shared" si="25"/>
        <v/>
      </c>
      <c r="AQ131" t="str">
        <f t="shared" si="26"/>
        <v/>
      </c>
      <c r="AR131" t="str">
        <f t="shared" si="27"/>
        <v/>
      </c>
      <c r="AS131" t="str">
        <f t="shared" si="28"/>
        <v/>
      </c>
      <c r="AT131" t="str">
        <f t="shared" si="29"/>
        <v/>
      </c>
      <c r="BG131" t="str">
        <f t="shared" si="30"/>
        <v/>
      </c>
      <c r="BH131" t="str">
        <f t="shared" si="31"/>
        <v/>
      </c>
      <c r="BL131" t="str">
        <f>IFERROR(INDEX(_names_lookup!$C:$C,MATCH(BK131,_names_lookup!$A:$A,0)),"")</f>
        <v/>
      </c>
      <c r="BM131" t="str">
        <f>IFERROR(INDEX(_names_lookup!$B:$B,MATCH(BK131,_names_lookup!$A:$A,0)),"")</f>
        <v/>
      </c>
      <c r="BS131" t="str">
        <f t="shared" si="32"/>
        <v/>
      </c>
    </row>
    <row r="132" spans="15:71" x14ac:dyDescent="0.2">
      <c r="O132" t="str">
        <f>IFERROR(INDEX(_courses_lookup!$C:$C,MATCH(K132&amp;L132,_courses_lookup!$E:$E,0)),"")</f>
        <v/>
      </c>
      <c r="P132" t="str">
        <f>IFERROR(INDEX(_courses_lookup!$D:$D,MATCH(K132&amp;L132,_courses_lookup!$E:$E,0)),"")</f>
        <v/>
      </c>
      <c r="AG132" t="str">
        <f t="shared" si="22"/>
        <v/>
      </c>
      <c r="AI132" t="str">
        <f t="shared" si="23"/>
        <v/>
      </c>
      <c r="AL132" t="str">
        <f t="shared" si="24"/>
        <v/>
      </c>
      <c r="AN132" t="str">
        <f t="shared" si="25"/>
        <v/>
      </c>
      <c r="AQ132" t="str">
        <f t="shared" si="26"/>
        <v/>
      </c>
      <c r="AR132" t="str">
        <f t="shared" si="27"/>
        <v/>
      </c>
      <c r="AS132" t="str">
        <f t="shared" si="28"/>
        <v/>
      </c>
      <c r="AT132" t="str">
        <f t="shared" si="29"/>
        <v/>
      </c>
      <c r="BG132" t="str">
        <f t="shared" si="30"/>
        <v/>
      </c>
      <c r="BH132" t="str">
        <f t="shared" si="31"/>
        <v/>
      </c>
      <c r="BL132" t="str">
        <f>IFERROR(INDEX(_names_lookup!$C:$C,MATCH(BK132,_names_lookup!$A:$A,0)),"")</f>
        <v/>
      </c>
      <c r="BM132" t="str">
        <f>IFERROR(INDEX(_names_lookup!$B:$B,MATCH(BK132,_names_lookup!$A:$A,0)),"")</f>
        <v/>
      </c>
      <c r="BS132" t="str">
        <f t="shared" si="32"/>
        <v/>
      </c>
    </row>
    <row r="133" spans="15:71" x14ac:dyDescent="0.2">
      <c r="O133" t="str">
        <f>IFERROR(INDEX(_courses_lookup!$C:$C,MATCH(K133&amp;L133,_courses_lookup!$E:$E,0)),"")</f>
        <v/>
      </c>
      <c r="P133" t="str">
        <f>IFERROR(INDEX(_courses_lookup!$D:$D,MATCH(K133&amp;L133,_courses_lookup!$E:$E,0)),"")</f>
        <v/>
      </c>
      <c r="AG133" t="str">
        <f t="shared" si="22"/>
        <v/>
      </c>
      <c r="AI133" t="str">
        <f t="shared" si="23"/>
        <v/>
      </c>
      <c r="AL133" t="str">
        <f t="shared" si="24"/>
        <v/>
      </c>
      <c r="AN133" t="str">
        <f t="shared" si="25"/>
        <v/>
      </c>
      <c r="AQ133" t="str">
        <f t="shared" si="26"/>
        <v/>
      </c>
      <c r="AR133" t="str">
        <f t="shared" si="27"/>
        <v/>
      </c>
      <c r="AS133" t="str">
        <f t="shared" si="28"/>
        <v/>
      </c>
      <c r="AT133" t="str">
        <f t="shared" si="29"/>
        <v/>
      </c>
      <c r="BG133" t="str">
        <f t="shared" si="30"/>
        <v/>
      </c>
      <c r="BH133" t="str">
        <f t="shared" si="31"/>
        <v/>
      </c>
      <c r="BL133" t="str">
        <f>IFERROR(INDEX(_names_lookup!$C:$C,MATCH(BK133,_names_lookup!$A:$A,0)),"")</f>
        <v/>
      </c>
      <c r="BM133" t="str">
        <f>IFERROR(INDEX(_names_lookup!$B:$B,MATCH(BK133,_names_lookup!$A:$A,0)),"")</f>
        <v/>
      </c>
      <c r="BS133" t="str">
        <f t="shared" si="32"/>
        <v/>
      </c>
    </row>
    <row r="134" spans="15:71" x14ac:dyDescent="0.2">
      <c r="O134" t="str">
        <f>IFERROR(INDEX(_courses_lookup!$C:$C,MATCH(K134&amp;L134,_courses_lookup!$E:$E,0)),"")</f>
        <v/>
      </c>
      <c r="P134" t="str">
        <f>IFERROR(INDEX(_courses_lookup!$D:$D,MATCH(K134&amp;L134,_courses_lookup!$E:$E,0)),"")</f>
        <v/>
      </c>
      <c r="AG134" t="str">
        <f t="shared" si="22"/>
        <v/>
      </c>
      <c r="AI134" t="str">
        <f t="shared" si="23"/>
        <v/>
      </c>
      <c r="AL134" t="str">
        <f t="shared" si="24"/>
        <v/>
      </c>
      <c r="AN134" t="str">
        <f t="shared" si="25"/>
        <v/>
      </c>
      <c r="AQ134" t="str">
        <f t="shared" si="26"/>
        <v/>
      </c>
      <c r="AR134" t="str">
        <f t="shared" si="27"/>
        <v/>
      </c>
      <c r="AS134" t="str">
        <f t="shared" si="28"/>
        <v/>
      </c>
      <c r="AT134" t="str">
        <f t="shared" si="29"/>
        <v/>
      </c>
      <c r="BG134" t="str">
        <f t="shared" si="30"/>
        <v/>
      </c>
      <c r="BH134" t="str">
        <f t="shared" si="31"/>
        <v/>
      </c>
      <c r="BL134" t="str">
        <f>IFERROR(INDEX(_names_lookup!$C:$C,MATCH(BK134,_names_lookup!$A:$A,0)),"")</f>
        <v/>
      </c>
      <c r="BM134" t="str">
        <f>IFERROR(INDEX(_names_lookup!$B:$B,MATCH(BK134,_names_lookup!$A:$A,0)),"")</f>
        <v/>
      </c>
      <c r="BS134" t="str">
        <f t="shared" si="32"/>
        <v/>
      </c>
    </row>
    <row r="135" spans="15:71" x14ac:dyDescent="0.2">
      <c r="O135" t="str">
        <f>IFERROR(INDEX(_courses_lookup!$C:$C,MATCH(K135&amp;L135,_courses_lookup!$E:$E,0)),"")</f>
        <v/>
      </c>
      <c r="P135" t="str">
        <f>IFERROR(INDEX(_courses_lookup!$D:$D,MATCH(K135&amp;L135,_courses_lookup!$E:$E,0)),"")</f>
        <v/>
      </c>
      <c r="AG135" t="str">
        <f t="shared" si="22"/>
        <v/>
      </c>
      <c r="AI135" t="str">
        <f t="shared" si="23"/>
        <v/>
      </c>
      <c r="AL135" t="str">
        <f t="shared" si="24"/>
        <v/>
      </c>
      <c r="AN135" t="str">
        <f t="shared" si="25"/>
        <v/>
      </c>
      <c r="AQ135" t="str">
        <f t="shared" si="26"/>
        <v/>
      </c>
      <c r="AR135" t="str">
        <f t="shared" si="27"/>
        <v/>
      </c>
      <c r="AS135" t="str">
        <f t="shared" si="28"/>
        <v/>
      </c>
      <c r="AT135" t="str">
        <f t="shared" si="29"/>
        <v/>
      </c>
      <c r="BG135" t="str">
        <f t="shared" si="30"/>
        <v/>
      </c>
      <c r="BH135" t="str">
        <f t="shared" si="31"/>
        <v/>
      </c>
      <c r="BL135" t="str">
        <f>IFERROR(INDEX(_names_lookup!$C:$C,MATCH(BK135,_names_lookup!$A:$A,0)),"")</f>
        <v/>
      </c>
      <c r="BM135" t="str">
        <f>IFERROR(INDEX(_names_lookup!$B:$B,MATCH(BK135,_names_lookup!$A:$A,0)),"")</f>
        <v/>
      </c>
      <c r="BS135" t="str">
        <f t="shared" si="32"/>
        <v/>
      </c>
    </row>
    <row r="136" spans="15:71" x14ac:dyDescent="0.2">
      <c r="O136" t="str">
        <f>IFERROR(INDEX(_courses_lookup!$C:$C,MATCH(K136&amp;L136,_courses_lookup!$E:$E,0)),"")</f>
        <v/>
      </c>
      <c r="P136" t="str">
        <f>IFERROR(INDEX(_courses_lookup!$D:$D,MATCH(K136&amp;L136,_courses_lookup!$E:$E,0)),"")</f>
        <v/>
      </c>
      <c r="AG136" t="str">
        <f t="shared" si="22"/>
        <v/>
      </c>
      <c r="AI136" t="str">
        <f t="shared" si="23"/>
        <v/>
      </c>
      <c r="AL136" t="str">
        <f t="shared" si="24"/>
        <v/>
      </c>
      <c r="AN136" t="str">
        <f t="shared" si="25"/>
        <v/>
      </c>
      <c r="AQ136" t="str">
        <f t="shared" si="26"/>
        <v/>
      </c>
      <c r="AR136" t="str">
        <f t="shared" si="27"/>
        <v/>
      </c>
      <c r="AS136" t="str">
        <f t="shared" si="28"/>
        <v/>
      </c>
      <c r="AT136" t="str">
        <f t="shared" si="29"/>
        <v/>
      </c>
      <c r="BG136" t="str">
        <f t="shared" si="30"/>
        <v/>
      </c>
      <c r="BH136" t="str">
        <f t="shared" si="31"/>
        <v/>
      </c>
      <c r="BL136" t="str">
        <f>IFERROR(INDEX(_names_lookup!$C:$C,MATCH(BK136,_names_lookup!$A:$A,0)),"")</f>
        <v/>
      </c>
      <c r="BM136" t="str">
        <f>IFERROR(INDEX(_names_lookup!$B:$B,MATCH(BK136,_names_lookup!$A:$A,0)),"")</f>
        <v/>
      </c>
      <c r="BS136" t="str">
        <f t="shared" si="32"/>
        <v/>
      </c>
    </row>
    <row r="137" spans="15:71" x14ac:dyDescent="0.2">
      <c r="O137" t="str">
        <f>IFERROR(INDEX(_courses_lookup!$C:$C,MATCH(K137&amp;L137,_courses_lookup!$E:$E,0)),"")</f>
        <v/>
      </c>
      <c r="P137" t="str">
        <f>IFERROR(INDEX(_courses_lookup!$D:$D,MATCH(K137&amp;L137,_courses_lookup!$E:$E,0)),"")</f>
        <v/>
      </c>
      <c r="AG137" t="str">
        <f t="shared" si="22"/>
        <v/>
      </c>
      <c r="AI137" t="str">
        <f t="shared" si="23"/>
        <v/>
      </c>
      <c r="AL137" t="str">
        <f t="shared" si="24"/>
        <v/>
      </c>
      <c r="AN137" t="str">
        <f t="shared" si="25"/>
        <v/>
      </c>
      <c r="AQ137" t="str">
        <f t="shared" si="26"/>
        <v/>
      </c>
      <c r="AR137" t="str">
        <f t="shared" si="27"/>
        <v/>
      </c>
      <c r="AS137" t="str">
        <f t="shared" si="28"/>
        <v/>
      </c>
      <c r="AT137" t="str">
        <f t="shared" si="29"/>
        <v/>
      </c>
      <c r="BG137" t="str">
        <f t="shared" si="30"/>
        <v/>
      </c>
      <c r="BH137" t="str">
        <f t="shared" si="31"/>
        <v/>
      </c>
      <c r="BL137" t="str">
        <f>IFERROR(INDEX(_names_lookup!$C:$C,MATCH(BK137,_names_lookup!$A:$A,0)),"")</f>
        <v/>
      </c>
      <c r="BM137" t="str">
        <f>IFERROR(INDEX(_names_lookup!$B:$B,MATCH(BK137,_names_lookup!$A:$A,0)),"")</f>
        <v/>
      </c>
      <c r="BS137" t="str">
        <f t="shared" si="32"/>
        <v/>
      </c>
    </row>
    <row r="138" spans="15:71" x14ac:dyDescent="0.2">
      <c r="O138" t="str">
        <f>IFERROR(INDEX(_courses_lookup!$C:$C,MATCH(K138&amp;L138,_courses_lookup!$E:$E,0)),"")</f>
        <v/>
      </c>
      <c r="P138" t="str">
        <f>IFERROR(INDEX(_courses_lookup!$D:$D,MATCH(K138&amp;L138,_courses_lookup!$E:$E,0)),"")</f>
        <v/>
      </c>
      <c r="AG138" t="str">
        <f t="shared" si="22"/>
        <v/>
      </c>
      <c r="AI138" t="str">
        <f t="shared" si="23"/>
        <v/>
      </c>
      <c r="AL138" t="str">
        <f t="shared" si="24"/>
        <v/>
      </c>
      <c r="AN138" t="str">
        <f t="shared" si="25"/>
        <v/>
      </c>
      <c r="AQ138" t="str">
        <f t="shared" si="26"/>
        <v/>
      </c>
      <c r="AR138" t="str">
        <f t="shared" si="27"/>
        <v/>
      </c>
      <c r="AS138" t="str">
        <f t="shared" si="28"/>
        <v/>
      </c>
      <c r="AT138" t="str">
        <f t="shared" si="29"/>
        <v/>
      </c>
      <c r="BG138" t="str">
        <f t="shared" si="30"/>
        <v/>
      </c>
      <c r="BH138" t="str">
        <f t="shared" si="31"/>
        <v/>
      </c>
      <c r="BL138" t="str">
        <f>IFERROR(INDEX(_names_lookup!$C:$C,MATCH(BK138,_names_lookup!$A:$A,0)),"")</f>
        <v/>
      </c>
      <c r="BM138" t="str">
        <f>IFERROR(INDEX(_names_lookup!$B:$B,MATCH(BK138,_names_lookup!$A:$A,0)),"")</f>
        <v/>
      </c>
      <c r="BS138" t="str">
        <f t="shared" si="32"/>
        <v/>
      </c>
    </row>
    <row r="139" spans="15:71" x14ac:dyDescent="0.2">
      <c r="O139" t="str">
        <f>IFERROR(INDEX(_courses_lookup!$C:$C,MATCH(K139&amp;L139,_courses_lookup!$E:$E,0)),"")</f>
        <v/>
      </c>
      <c r="P139" t="str">
        <f>IFERROR(INDEX(_courses_lookup!$D:$D,MATCH(K139&amp;L139,_courses_lookup!$E:$E,0)),"")</f>
        <v/>
      </c>
      <c r="AG139" t="str">
        <f t="shared" si="22"/>
        <v/>
      </c>
      <c r="AI139" t="str">
        <f t="shared" si="23"/>
        <v/>
      </c>
      <c r="AL139" t="str">
        <f t="shared" si="24"/>
        <v/>
      </c>
      <c r="AN139" t="str">
        <f t="shared" si="25"/>
        <v/>
      </c>
      <c r="AQ139" t="str">
        <f t="shared" si="26"/>
        <v/>
      </c>
      <c r="AR139" t="str">
        <f t="shared" si="27"/>
        <v/>
      </c>
      <c r="AS139" t="str">
        <f t="shared" si="28"/>
        <v/>
      </c>
      <c r="AT139" t="str">
        <f t="shared" si="29"/>
        <v/>
      </c>
      <c r="BG139" t="str">
        <f t="shared" si="30"/>
        <v/>
      </c>
      <c r="BH139" t="str">
        <f t="shared" si="31"/>
        <v/>
      </c>
      <c r="BL139" t="str">
        <f>IFERROR(INDEX(_names_lookup!$C:$C,MATCH(BK139,_names_lookup!$A:$A,0)),"")</f>
        <v/>
      </c>
      <c r="BM139" t="str">
        <f>IFERROR(INDEX(_names_lookup!$B:$B,MATCH(BK139,_names_lookup!$A:$A,0)),"")</f>
        <v/>
      </c>
      <c r="BS139" t="str">
        <f t="shared" si="32"/>
        <v/>
      </c>
    </row>
    <row r="140" spans="15:71" x14ac:dyDescent="0.2">
      <c r="O140" t="str">
        <f>IFERROR(INDEX(_courses_lookup!$C:$C,MATCH(K140&amp;L140,_courses_lookup!$E:$E,0)),"")</f>
        <v/>
      </c>
      <c r="P140" t="str">
        <f>IFERROR(INDEX(_courses_lookup!$D:$D,MATCH(K140&amp;L140,_courses_lookup!$E:$E,0)),"")</f>
        <v/>
      </c>
      <c r="AG140" t="str">
        <f t="shared" si="22"/>
        <v/>
      </c>
      <c r="AI140" t="str">
        <f t="shared" si="23"/>
        <v/>
      </c>
      <c r="AL140" t="str">
        <f t="shared" si="24"/>
        <v/>
      </c>
      <c r="AN140" t="str">
        <f t="shared" si="25"/>
        <v/>
      </c>
      <c r="AQ140" t="str">
        <f t="shared" si="26"/>
        <v/>
      </c>
      <c r="AR140" t="str">
        <f t="shared" si="27"/>
        <v/>
      </c>
      <c r="AS140" t="str">
        <f t="shared" si="28"/>
        <v/>
      </c>
      <c r="AT140" t="str">
        <f t="shared" si="29"/>
        <v/>
      </c>
      <c r="BG140" t="str">
        <f t="shared" si="30"/>
        <v/>
      </c>
      <c r="BH140" t="str">
        <f t="shared" si="31"/>
        <v/>
      </c>
      <c r="BL140" t="str">
        <f>IFERROR(INDEX(_names_lookup!$C:$C,MATCH(BK140,_names_lookup!$A:$A,0)),"")</f>
        <v/>
      </c>
      <c r="BM140" t="str">
        <f>IFERROR(INDEX(_names_lookup!$B:$B,MATCH(BK140,_names_lookup!$A:$A,0)),"")</f>
        <v/>
      </c>
      <c r="BS140" t="str">
        <f t="shared" si="32"/>
        <v/>
      </c>
    </row>
    <row r="141" spans="15:71" x14ac:dyDescent="0.2">
      <c r="O141" t="str">
        <f>IFERROR(INDEX(_courses_lookup!$C:$C,MATCH(K141&amp;L141,_courses_lookup!$E:$E,0)),"")</f>
        <v/>
      </c>
      <c r="P141" t="str">
        <f>IFERROR(INDEX(_courses_lookup!$D:$D,MATCH(K141&amp;L141,_courses_lookup!$E:$E,0)),"")</f>
        <v/>
      </c>
      <c r="AG141" t="str">
        <f t="shared" si="22"/>
        <v/>
      </c>
      <c r="AI141" t="str">
        <f t="shared" si="23"/>
        <v/>
      </c>
      <c r="AL141" t="str">
        <f t="shared" si="24"/>
        <v/>
      </c>
      <c r="AN141" t="str">
        <f t="shared" si="25"/>
        <v/>
      </c>
      <c r="AQ141" t="str">
        <f t="shared" si="26"/>
        <v/>
      </c>
      <c r="AR141" t="str">
        <f t="shared" si="27"/>
        <v/>
      </c>
      <c r="AS141" t="str">
        <f t="shared" si="28"/>
        <v/>
      </c>
      <c r="AT141" t="str">
        <f t="shared" si="29"/>
        <v/>
      </c>
      <c r="BG141" t="str">
        <f t="shared" si="30"/>
        <v/>
      </c>
      <c r="BH141" t="str">
        <f t="shared" si="31"/>
        <v/>
      </c>
      <c r="BL141" t="str">
        <f>IFERROR(INDEX(_names_lookup!$C:$C,MATCH(BK141,_names_lookup!$A:$A,0)),"")</f>
        <v/>
      </c>
      <c r="BM141" t="str">
        <f>IFERROR(INDEX(_names_lookup!$B:$B,MATCH(BK141,_names_lookup!$A:$A,0)),"")</f>
        <v/>
      </c>
      <c r="BS141" t="str">
        <f t="shared" si="32"/>
        <v/>
      </c>
    </row>
    <row r="142" spans="15:71" x14ac:dyDescent="0.2">
      <c r="O142" t="str">
        <f>IFERROR(INDEX(_courses_lookup!$C:$C,MATCH(K142&amp;L142,_courses_lookup!$E:$E,0)),"")</f>
        <v/>
      </c>
      <c r="P142" t="str">
        <f>IFERROR(INDEX(_courses_lookup!$D:$D,MATCH(K142&amp;L142,_courses_lookup!$E:$E,0)),"")</f>
        <v/>
      </c>
      <c r="AG142" t="str">
        <f t="shared" si="22"/>
        <v/>
      </c>
      <c r="AI142" t="str">
        <f t="shared" si="23"/>
        <v/>
      </c>
      <c r="AL142" t="str">
        <f t="shared" si="24"/>
        <v/>
      </c>
      <c r="AN142" t="str">
        <f t="shared" si="25"/>
        <v/>
      </c>
      <c r="AQ142" t="str">
        <f t="shared" si="26"/>
        <v/>
      </c>
      <c r="AR142" t="str">
        <f t="shared" si="27"/>
        <v/>
      </c>
      <c r="AS142" t="str">
        <f t="shared" si="28"/>
        <v/>
      </c>
      <c r="AT142" t="str">
        <f t="shared" si="29"/>
        <v/>
      </c>
      <c r="BG142" t="str">
        <f t="shared" si="30"/>
        <v/>
      </c>
      <c r="BH142" t="str">
        <f t="shared" si="31"/>
        <v/>
      </c>
      <c r="BL142" t="str">
        <f>IFERROR(INDEX(_names_lookup!$C:$C,MATCH(BK142,_names_lookup!$A:$A,0)),"")</f>
        <v/>
      </c>
      <c r="BM142" t="str">
        <f>IFERROR(INDEX(_names_lookup!$B:$B,MATCH(BK142,_names_lookup!$A:$A,0)),"")</f>
        <v/>
      </c>
      <c r="BS142" t="str">
        <f t="shared" si="32"/>
        <v/>
      </c>
    </row>
    <row r="143" spans="15:71" x14ac:dyDescent="0.2">
      <c r="O143" t="str">
        <f>IFERROR(INDEX(_courses_lookup!$C:$C,MATCH(K143&amp;L143,_courses_lookup!$E:$E,0)),"")</f>
        <v/>
      </c>
      <c r="P143" t="str">
        <f>IFERROR(INDEX(_courses_lookup!$D:$D,MATCH(K143&amp;L143,_courses_lookup!$E:$E,0)),"")</f>
        <v/>
      </c>
      <c r="AG143" t="str">
        <f t="shared" si="22"/>
        <v/>
      </c>
      <c r="AI143" t="str">
        <f t="shared" si="23"/>
        <v/>
      </c>
      <c r="AL143" t="str">
        <f t="shared" si="24"/>
        <v/>
      </c>
      <c r="AN143" t="str">
        <f t="shared" si="25"/>
        <v/>
      </c>
      <c r="AQ143" t="str">
        <f t="shared" si="26"/>
        <v/>
      </c>
      <c r="AR143" t="str">
        <f t="shared" si="27"/>
        <v/>
      </c>
      <c r="AS143" t="str">
        <f t="shared" si="28"/>
        <v/>
      </c>
      <c r="AT143" t="str">
        <f t="shared" si="29"/>
        <v/>
      </c>
      <c r="BG143" t="str">
        <f t="shared" si="30"/>
        <v/>
      </c>
      <c r="BH143" t="str">
        <f t="shared" si="31"/>
        <v/>
      </c>
      <c r="BL143" t="str">
        <f>IFERROR(INDEX(_names_lookup!$C:$C,MATCH(BK143,_names_lookup!$A:$A,0)),"")</f>
        <v/>
      </c>
      <c r="BM143" t="str">
        <f>IFERROR(INDEX(_names_lookup!$B:$B,MATCH(BK143,_names_lookup!$A:$A,0)),"")</f>
        <v/>
      </c>
      <c r="BS143" t="str">
        <f t="shared" si="32"/>
        <v/>
      </c>
    </row>
    <row r="144" spans="15:71" x14ac:dyDescent="0.2">
      <c r="O144" t="str">
        <f>IFERROR(INDEX(_courses_lookup!$C:$C,MATCH(K144&amp;L144,_courses_lookup!$E:$E,0)),"")</f>
        <v/>
      </c>
      <c r="P144" t="str">
        <f>IFERROR(INDEX(_courses_lookup!$D:$D,MATCH(K144&amp;L144,_courses_lookup!$E:$E,0)),"")</f>
        <v/>
      </c>
      <c r="AG144" t="str">
        <f t="shared" si="22"/>
        <v/>
      </c>
      <c r="AI144" t="str">
        <f t="shared" si="23"/>
        <v/>
      </c>
      <c r="AL144" t="str">
        <f t="shared" si="24"/>
        <v/>
      </c>
      <c r="AN144" t="str">
        <f t="shared" si="25"/>
        <v/>
      </c>
      <c r="AQ144" t="str">
        <f t="shared" si="26"/>
        <v/>
      </c>
      <c r="AR144" t="str">
        <f t="shared" si="27"/>
        <v/>
      </c>
      <c r="AS144" t="str">
        <f t="shared" si="28"/>
        <v/>
      </c>
      <c r="AT144" t="str">
        <f t="shared" si="29"/>
        <v/>
      </c>
      <c r="BG144" t="str">
        <f t="shared" si="30"/>
        <v/>
      </c>
      <c r="BH144" t="str">
        <f t="shared" si="31"/>
        <v/>
      </c>
      <c r="BL144" t="str">
        <f>IFERROR(INDEX(_names_lookup!$C:$C,MATCH(BK144,_names_lookup!$A:$A,0)),"")</f>
        <v/>
      </c>
      <c r="BM144" t="str">
        <f>IFERROR(INDEX(_names_lookup!$B:$B,MATCH(BK144,_names_lookup!$A:$A,0)),"")</f>
        <v/>
      </c>
      <c r="BS144" t="str">
        <f t="shared" si="32"/>
        <v/>
      </c>
    </row>
    <row r="145" spans="15:71" x14ac:dyDescent="0.2">
      <c r="O145" t="str">
        <f>IFERROR(INDEX(_courses_lookup!$C:$C,MATCH(K145&amp;L145,_courses_lookup!$E:$E,0)),"")</f>
        <v/>
      </c>
      <c r="P145" t="str">
        <f>IFERROR(INDEX(_courses_lookup!$D:$D,MATCH(K145&amp;L145,_courses_lookup!$E:$E,0)),"")</f>
        <v/>
      </c>
      <c r="AG145" t="str">
        <f t="shared" si="22"/>
        <v/>
      </c>
      <c r="AI145" t="str">
        <f t="shared" si="23"/>
        <v/>
      </c>
      <c r="AL145" t="str">
        <f t="shared" si="24"/>
        <v/>
      </c>
      <c r="AN145" t="str">
        <f t="shared" si="25"/>
        <v/>
      </c>
      <c r="AQ145" t="str">
        <f t="shared" si="26"/>
        <v/>
      </c>
      <c r="AR145" t="str">
        <f t="shared" si="27"/>
        <v/>
      </c>
      <c r="AS145" t="str">
        <f t="shared" si="28"/>
        <v/>
      </c>
      <c r="AT145" t="str">
        <f t="shared" si="29"/>
        <v/>
      </c>
      <c r="BG145" t="str">
        <f t="shared" si="30"/>
        <v/>
      </c>
      <c r="BH145" t="str">
        <f t="shared" si="31"/>
        <v/>
      </c>
      <c r="BL145" t="str">
        <f>IFERROR(INDEX(_names_lookup!$C:$C,MATCH(BK145,_names_lookup!$A:$A,0)),"")</f>
        <v/>
      </c>
      <c r="BM145" t="str">
        <f>IFERROR(INDEX(_names_lookup!$B:$B,MATCH(BK145,_names_lookup!$A:$A,0)),"")</f>
        <v/>
      </c>
      <c r="BS145" t="str">
        <f t="shared" si="32"/>
        <v/>
      </c>
    </row>
    <row r="146" spans="15:71" x14ac:dyDescent="0.2">
      <c r="O146" t="str">
        <f>IFERROR(INDEX(_courses_lookup!$C:$C,MATCH(K146&amp;L146,_courses_lookup!$E:$E,0)),"")</f>
        <v/>
      </c>
      <c r="P146" t="str">
        <f>IFERROR(INDEX(_courses_lookup!$D:$D,MATCH(K146&amp;L146,_courses_lookup!$E:$E,0)),"")</f>
        <v/>
      </c>
      <c r="AG146" t="str">
        <f t="shared" si="22"/>
        <v/>
      </c>
      <c r="AI146" t="str">
        <f t="shared" si="23"/>
        <v/>
      </c>
      <c r="AL146" t="str">
        <f t="shared" si="24"/>
        <v/>
      </c>
      <c r="AN146" t="str">
        <f t="shared" si="25"/>
        <v/>
      </c>
      <c r="AQ146" t="str">
        <f t="shared" si="26"/>
        <v/>
      </c>
      <c r="AR146" t="str">
        <f t="shared" si="27"/>
        <v/>
      </c>
      <c r="AS146" t="str">
        <f t="shared" si="28"/>
        <v/>
      </c>
      <c r="AT146" t="str">
        <f t="shared" si="29"/>
        <v/>
      </c>
      <c r="BG146" t="str">
        <f t="shared" si="30"/>
        <v/>
      </c>
      <c r="BH146" t="str">
        <f t="shared" si="31"/>
        <v/>
      </c>
      <c r="BL146" t="str">
        <f>IFERROR(INDEX(_names_lookup!$C:$C,MATCH(BK146,_names_lookup!$A:$A,0)),"")</f>
        <v/>
      </c>
      <c r="BM146" t="str">
        <f>IFERROR(INDEX(_names_lookup!$B:$B,MATCH(BK146,_names_lookup!$A:$A,0)),"")</f>
        <v/>
      </c>
      <c r="BS146" t="str">
        <f t="shared" si="32"/>
        <v/>
      </c>
    </row>
    <row r="147" spans="15:71" x14ac:dyDescent="0.2">
      <c r="O147" t="str">
        <f>IFERROR(INDEX(_courses_lookup!$C:$C,MATCH(K147&amp;L147,_courses_lookup!$E:$E,0)),"")</f>
        <v/>
      </c>
      <c r="P147" t="str">
        <f>IFERROR(INDEX(_courses_lookup!$D:$D,MATCH(K147&amp;L147,_courses_lookup!$E:$E,0)),"")</f>
        <v/>
      </c>
      <c r="AG147" t="str">
        <f t="shared" si="22"/>
        <v/>
      </c>
      <c r="AI147" t="str">
        <f t="shared" si="23"/>
        <v/>
      </c>
      <c r="AL147" t="str">
        <f t="shared" si="24"/>
        <v/>
      </c>
      <c r="AN147" t="str">
        <f t="shared" si="25"/>
        <v/>
      </c>
      <c r="AQ147" t="str">
        <f t="shared" si="26"/>
        <v/>
      </c>
      <c r="AR147" t="str">
        <f t="shared" si="27"/>
        <v/>
      </c>
      <c r="AS147" t="str">
        <f t="shared" si="28"/>
        <v/>
      </c>
      <c r="AT147" t="str">
        <f t="shared" si="29"/>
        <v/>
      </c>
      <c r="BG147" t="str">
        <f t="shared" si="30"/>
        <v/>
      </c>
      <c r="BH147" t="str">
        <f t="shared" si="31"/>
        <v/>
      </c>
      <c r="BL147" t="str">
        <f>IFERROR(INDEX(_names_lookup!$C:$C,MATCH(BK147,_names_lookup!$A:$A,0)),"")</f>
        <v/>
      </c>
      <c r="BM147" t="str">
        <f>IFERROR(INDEX(_names_lookup!$B:$B,MATCH(BK147,_names_lookup!$A:$A,0)),"")</f>
        <v/>
      </c>
      <c r="BS147" t="str">
        <f t="shared" si="32"/>
        <v/>
      </c>
    </row>
    <row r="148" spans="15:71" x14ac:dyDescent="0.2">
      <c r="O148" t="str">
        <f>IFERROR(INDEX(_courses_lookup!$C:$C,MATCH(K148&amp;L148,_courses_lookup!$E:$E,0)),"")</f>
        <v/>
      </c>
      <c r="P148" t="str">
        <f>IFERROR(INDEX(_courses_lookup!$D:$D,MATCH(K148&amp;L148,_courses_lookup!$E:$E,0)),"")</f>
        <v/>
      </c>
      <c r="AG148" t="str">
        <f t="shared" si="22"/>
        <v/>
      </c>
      <c r="AI148" t="str">
        <f t="shared" si="23"/>
        <v/>
      </c>
      <c r="AL148" t="str">
        <f t="shared" si="24"/>
        <v/>
      </c>
      <c r="AN148" t="str">
        <f t="shared" si="25"/>
        <v/>
      </c>
      <c r="AQ148" t="str">
        <f t="shared" si="26"/>
        <v/>
      </c>
      <c r="AR148" t="str">
        <f t="shared" si="27"/>
        <v/>
      </c>
      <c r="AS148" t="str">
        <f t="shared" si="28"/>
        <v/>
      </c>
      <c r="AT148" t="str">
        <f t="shared" si="29"/>
        <v/>
      </c>
      <c r="BG148" t="str">
        <f t="shared" si="30"/>
        <v/>
      </c>
      <c r="BH148" t="str">
        <f t="shared" si="31"/>
        <v/>
      </c>
      <c r="BL148" t="str">
        <f>IFERROR(INDEX(_names_lookup!$C:$C,MATCH(BK148,_names_lookup!$A:$A,0)),"")</f>
        <v/>
      </c>
      <c r="BM148" t="str">
        <f>IFERROR(INDEX(_names_lookup!$B:$B,MATCH(BK148,_names_lookup!$A:$A,0)),"")</f>
        <v/>
      </c>
      <c r="BS148" t="str">
        <f t="shared" si="32"/>
        <v/>
      </c>
    </row>
    <row r="149" spans="15:71" x14ac:dyDescent="0.2">
      <c r="O149" t="str">
        <f>IFERROR(INDEX(_courses_lookup!$C:$C,MATCH(K149&amp;L149,_courses_lookup!$E:$E,0)),"")</f>
        <v/>
      </c>
      <c r="P149" t="str">
        <f>IFERROR(INDEX(_courses_lookup!$D:$D,MATCH(K149&amp;L149,_courses_lookup!$E:$E,0)),"")</f>
        <v/>
      </c>
      <c r="AG149" t="str">
        <f t="shared" si="22"/>
        <v/>
      </c>
      <c r="AI149" t="str">
        <f t="shared" si="23"/>
        <v/>
      </c>
      <c r="AL149" t="str">
        <f t="shared" si="24"/>
        <v/>
      </c>
      <c r="AN149" t="str">
        <f t="shared" si="25"/>
        <v/>
      </c>
      <c r="AQ149" t="str">
        <f t="shared" si="26"/>
        <v/>
      </c>
      <c r="AR149" t="str">
        <f t="shared" si="27"/>
        <v/>
      </c>
      <c r="AS149" t="str">
        <f t="shared" si="28"/>
        <v/>
      </c>
      <c r="AT149" t="str">
        <f t="shared" si="29"/>
        <v/>
      </c>
      <c r="BG149" t="str">
        <f t="shared" si="30"/>
        <v/>
      </c>
      <c r="BH149" t="str">
        <f t="shared" si="31"/>
        <v/>
      </c>
      <c r="BL149" t="str">
        <f>IFERROR(INDEX(_names_lookup!$C:$C,MATCH(BK149,_names_lookup!$A:$A,0)),"")</f>
        <v/>
      </c>
      <c r="BM149" t="str">
        <f>IFERROR(INDEX(_names_lookup!$B:$B,MATCH(BK149,_names_lookup!$A:$A,0)),"")</f>
        <v/>
      </c>
      <c r="BS149" t="str">
        <f t="shared" si="32"/>
        <v/>
      </c>
    </row>
    <row r="150" spans="15:71" x14ac:dyDescent="0.2">
      <c r="O150" t="str">
        <f>IFERROR(INDEX(_courses_lookup!$C:$C,MATCH(K150&amp;L150,_courses_lookup!$E:$E,0)),"")</f>
        <v/>
      </c>
      <c r="P150" t="str">
        <f>IFERROR(INDEX(_courses_lookup!$D:$D,MATCH(K150&amp;L150,_courses_lookup!$E:$E,0)),"")</f>
        <v/>
      </c>
      <c r="AG150" t="str">
        <f t="shared" si="22"/>
        <v/>
      </c>
      <c r="AI150" t="str">
        <f t="shared" si="23"/>
        <v/>
      </c>
      <c r="AL150" t="str">
        <f t="shared" si="24"/>
        <v/>
      </c>
      <c r="AN150" t="str">
        <f t="shared" si="25"/>
        <v/>
      </c>
      <c r="AQ150" t="str">
        <f t="shared" si="26"/>
        <v/>
      </c>
      <c r="AR150" t="str">
        <f t="shared" si="27"/>
        <v/>
      </c>
      <c r="AS150" t="str">
        <f t="shared" si="28"/>
        <v/>
      </c>
      <c r="AT150" t="str">
        <f t="shared" si="29"/>
        <v/>
      </c>
      <c r="BG150" t="str">
        <f t="shared" si="30"/>
        <v/>
      </c>
      <c r="BH150" t="str">
        <f t="shared" si="31"/>
        <v/>
      </c>
      <c r="BL150" t="str">
        <f>IFERROR(INDEX(_names_lookup!$C:$C,MATCH(BK150,_names_lookup!$A:$A,0)),"")</f>
        <v/>
      </c>
      <c r="BM150" t="str">
        <f>IFERROR(INDEX(_names_lookup!$B:$B,MATCH(BK150,_names_lookup!$A:$A,0)),"")</f>
        <v/>
      </c>
      <c r="BS150" t="str">
        <f t="shared" si="32"/>
        <v/>
      </c>
    </row>
    <row r="151" spans="15:71" x14ac:dyDescent="0.2">
      <c r="O151" t="str">
        <f>IFERROR(INDEX(_courses_lookup!$C:$C,MATCH(K151&amp;L151,_courses_lookup!$E:$E,0)),"")</f>
        <v/>
      </c>
      <c r="P151" t="str">
        <f>IFERROR(INDEX(_courses_lookup!$D:$D,MATCH(K151&amp;L151,_courses_lookup!$E:$E,0)),"")</f>
        <v/>
      </c>
      <c r="AG151" t="str">
        <f t="shared" si="22"/>
        <v/>
      </c>
      <c r="AI151" t="str">
        <f t="shared" si="23"/>
        <v/>
      </c>
      <c r="AL151" t="str">
        <f t="shared" si="24"/>
        <v/>
      </c>
      <c r="AN151" t="str">
        <f t="shared" si="25"/>
        <v/>
      </c>
      <c r="AQ151" t="str">
        <f t="shared" si="26"/>
        <v/>
      </c>
      <c r="AR151" t="str">
        <f t="shared" si="27"/>
        <v/>
      </c>
      <c r="AS151" t="str">
        <f t="shared" si="28"/>
        <v/>
      </c>
      <c r="AT151" t="str">
        <f t="shared" si="29"/>
        <v/>
      </c>
      <c r="BG151" t="str">
        <f t="shared" si="30"/>
        <v/>
      </c>
      <c r="BH151" t="str">
        <f t="shared" si="31"/>
        <v/>
      </c>
      <c r="BL151" t="str">
        <f>IFERROR(INDEX(_names_lookup!$C:$C,MATCH(BK151,_names_lookup!$A:$A,0)),"")</f>
        <v/>
      </c>
      <c r="BM151" t="str">
        <f>IFERROR(INDEX(_names_lookup!$B:$B,MATCH(BK151,_names_lookup!$A:$A,0)),"")</f>
        <v/>
      </c>
      <c r="BS151" t="str">
        <f t="shared" si="32"/>
        <v/>
      </c>
    </row>
    <row r="152" spans="15:71" x14ac:dyDescent="0.2">
      <c r="O152" t="str">
        <f>IFERROR(INDEX(_courses_lookup!$C:$C,MATCH(K152&amp;L152,_courses_lookup!$E:$E,0)),"")</f>
        <v/>
      </c>
      <c r="P152" t="str">
        <f>IFERROR(INDEX(_courses_lookup!$D:$D,MATCH(K152&amp;L152,_courses_lookup!$E:$E,0)),"")</f>
        <v/>
      </c>
      <c r="AG152" t="str">
        <f t="shared" si="22"/>
        <v/>
      </c>
      <c r="AI152" t="str">
        <f t="shared" si="23"/>
        <v/>
      </c>
      <c r="AL152" t="str">
        <f t="shared" si="24"/>
        <v/>
      </c>
      <c r="AN152" t="str">
        <f t="shared" si="25"/>
        <v/>
      </c>
      <c r="AQ152" t="str">
        <f t="shared" si="26"/>
        <v/>
      </c>
      <c r="AR152" t="str">
        <f t="shared" si="27"/>
        <v/>
      </c>
      <c r="AS152" t="str">
        <f t="shared" si="28"/>
        <v/>
      </c>
      <c r="AT152" t="str">
        <f t="shared" si="29"/>
        <v/>
      </c>
      <c r="BG152" t="str">
        <f t="shared" si="30"/>
        <v/>
      </c>
      <c r="BH152" t="str">
        <f t="shared" si="31"/>
        <v/>
      </c>
      <c r="BL152" t="str">
        <f>IFERROR(INDEX(_names_lookup!$C:$C,MATCH(BK152,_names_lookup!$A:$A,0)),"")</f>
        <v/>
      </c>
      <c r="BM152" t="str">
        <f>IFERROR(INDEX(_names_lookup!$B:$B,MATCH(BK152,_names_lookup!$A:$A,0)),"")</f>
        <v/>
      </c>
      <c r="BS152" t="str">
        <f t="shared" si="32"/>
        <v/>
      </c>
    </row>
    <row r="153" spans="15:71" x14ac:dyDescent="0.2">
      <c r="O153" t="str">
        <f>IFERROR(INDEX(_courses_lookup!$C:$C,MATCH(K153&amp;L153,_courses_lookup!$E:$E,0)),"")</f>
        <v/>
      </c>
      <c r="P153" t="str">
        <f>IFERROR(INDEX(_courses_lookup!$D:$D,MATCH(K153&amp;L153,_courses_lookup!$E:$E,0)),"")</f>
        <v/>
      </c>
      <c r="AG153" t="str">
        <f t="shared" si="22"/>
        <v/>
      </c>
      <c r="AI153" t="str">
        <f t="shared" si="23"/>
        <v/>
      </c>
      <c r="AL153" t="str">
        <f t="shared" si="24"/>
        <v/>
      </c>
      <c r="AN153" t="str">
        <f t="shared" si="25"/>
        <v/>
      </c>
      <c r="AQ153" t="str">
        <f t="shared" si="26"/>
        <v/>
      </c>
      <c r="AR153" t="str">
        <f t="shared" si="27"/>
        <v/>
      </c>
      <c r="AS153" t="str">
        <f t="shared" si="28"/>
        <v/>
      </c>
      <c r="AT153" t="str">
        <f t="shared" si="29"/>
        <v/>
      </c>
      <c r="BG153" t="str">
        <f t="shared" si="30"/>
        <v/>
      </c>
      <c r="BH153" t="str">
        <f t="shared" si="31"/>
        <v/>
      </c>
      <c r="BL153" t="str">
        <f>IFERROR(INDEX(_names_lookup!$C:$C,MATCH(BK153,_names_lookup!$A:$A,0)),"")</f>
        <v/>
      </c>
      <c r="BM153" t="str">
        <f>IFERROR(INDEX(_names_lookup!$B:$B,MATCH(BK153,_names_lookup!$A:$A,0)),"")</f>
        <v/>
      </c>
      <c r="BS153" t="str">
        <f t="shared" si="32"/>
        <v/>
      </c>
    </row>
    <row r="154" spans="15:71" x14ac:dyDescent="0.2">
      <c r="O154" t="str">
        <f>IFERROR(INDEX(_courses_lookup!$C:$C,MATCH(K154&amp;L154,_courses_lookup!$E:$E,0)),"")</f>
        <v/>
      </c>
      <c r="P154" t="str">
        <f>IFERROR(INDEX(_courses_lookup!$D:$D,MATCH(K154&amp;L154,_courses_lookup!$E:$E,0)),"")</f>
        <v/>
      </c>
      <c r="AG154" t="str">
        <f t="shared" si="22"/>
        <v/>
      </c>
      <c r="AI154" t="str">
        <f t="shared" si="23"/>
        <v/>
      </c>
      <c r="AL154" t="str">
        <f t="shared" si="24"/>
        <v/>
      </c>
      <c r="AN154" t="str">
        <f t="shared" si="25"/>
        <v/>
      </c>
      <c r="AQ154" t="str">
        <f t="shared" si="26"/>
        <v/>
      </c>
      <c r="AR154" t="str">
        <f t="shared" si="27"/>
        <v/>
      </c>
      <c r="AS154" t="str">
        <f t="shared" si="28"/>
        <v/>
      </c>
      <c r="AT154" t="str">
        <f t="shared" si="29"/>
        <v/>
      </c>
      <c r="BG154" t="str">
        <f t="shared" si="30"/>
        <v/>
      </c>
      <c r="BH154" t="str">
        <f t="shared" si="31"/>
        <v/>
      </c>
      <c r="BL154" t="str">
        <f>IFERROR(INDEX(_names_lookup!$C:$C,MATCH(BK154,_names_lookup!$A:$A,0)),"")</f>
        <v/>
      </c>
      <c r="BM154" t="str">
        <f>IFERROR(INDEX(_names_lookup!$B:$B,MATCH(BK154,_names_lookup!$A:$A,0)),"")</f>
        <v/>
      </c>
      <c r="BS154" t="str">
        <f t="shared" si="32"/>
        <v/>
      </c>
    </row>
    <row r="155" spans="15:71" x14ac:dyDescent="0.2">
      <c r="O155" t="str">
        <f>IFERROR(INDEX(_courses_lookup!$C:$C,MATCH(K155&amp;L155,_courses_lookup!$E:$E,0)),"")</f>
        <v/>
      </c>
      <c r="P155" t="str">
        <f>IFERROR(INDEX(_courses_lookup!$D:$D,MATCH(K155&amp;L155,_courses_lookup!$E:$E,0)),"")</f>
        <v/>
      </c>
      <c r="AG155" t="str">
        <f t="shared" si="22"/>
        <v/>
      </c>
      <c r="AI155" t="str">
        <f t="shared" si="23"/>
        <v/>
      </c>
      <c r="AL155" t="str">
        <f t="shared" si="24"/>
        <v/>
      </c>
      <c r="AN155" t="str">
        <f t="shared" si="25"/>
        <v/>
      </c>
      <c r="AQ155" t="str">
        <f t="shared" si="26"/>
        <v/>
      </c>
      <c r="AR155" t="str">
        <f t="shared" si="27"/>
        <v/>
      </c>
      <c r="AS155" t="str">
        <f t="shared" si="28"/>
        <v/>
      </c>
      <c r="AT155" t="str">
        <f t="shared" si="29"/>
        <v/>
      </c>
      <c r="BG155" t="str">
        <f t="shared" si="30"/>
        <v/>
      </c>
      <c r="BH155" t="str">
        <f t="shared" si="31"/>
        <v/>
      </c>
      <c r="BL155" t="str">
        <f>IFERROR(INDEX(_names_lookup!$C:$C,MATCH(BK155,_names_lookup!$A:$A,0)),"")</f>
        <v/>
      </c>
      <c r="BM155" t="str">
        <f>IFERROR(INDEX(_names_lookup!$B:$B,MATCH(BK155,_names_lookup!$A:$A,0)),"")</f>
        <v/>
      </c>
      <c r="BS155" t="str">
        <f t="shared" si="32"/>
        <v/>
      </c>
    </row>
    <row r="156" spans="15:71" x14ac:dyDescent="0.2">
      <c r="O156" t="str">
        <f>IFERROR(INDEX(_courses_lookup!$C:$C,MATCH(K156&amp;L156,_courses_lookup!$E:$E,0)),"")</f>
        <v/>
      </c>
      <c r="P156" t="str">
        <f>IFERROR(INDEX(_courses_lookup!$D:$D,MATCH(K156&amp;L156,_courses_lookup!$E:$E,0)),"")</f>
        <v/>
      </c>
      <c r="AG156" t="str">
        <f t="shared" si="22"/>
        <v/>
      </c>
      <c r="AI156" t="str">
        <f t="shared" si="23"/>
        <v/>
      </c>
      <c r="AL156" t="str">
        <f t="shared" si="24"/>
        <v/>
      </c>
      <c r="AN156" t="str">
        <f t="shared" si="25"/>
        <v/>
      </c>
      <c r="AQ156" t="str">
        <f t="shared" si="26"/>
        <v/>
      </c>
      <c r="AR156" t="str">
        <f t="shared" si="27"/>
        <v/>
      </c>
      <c r="AS156" t="str">
        <f t="shared" si="28"/>
        <v/>
      </c>
      <c r="AT156" t="str">
        <f t="shared" si="29"/>
        <v/>
      </c>
      <c r="BG156" t="str">
        <f t="shared" si="30"/>
        <v/>
      </c>
      <c r="BH156" t="str">
        <f t="shared" si="31"/>
        <v/>
      </c>
      <c r="BL156" t="str">
        <f>IFERROR(INDEX(_names_lookup!$C:$C,MATCH(BK156,_names_lookup!$A:$A,0)),"")</f>
        <v/>
      </c>
      <c r="BM156" t="str">
        <f>IFERROR(INDEX(_names_lookup!$B:$B,MATCH(BK156,_names_lookup!$A:$A,0)),"")</f>
        <v/>
      </c>
      <c r="BS156" t="str">
        <f t="shared" si="32"/>
        <v/>
      </c>
    </row>
    <row r="157" spans="15:71" x14ac:dyDescent="0.2">
      <c r="O157" t="str">
        <f>IFERROR(INDEX(_courses_lookup!$C:$C,MATCH(K157&amp;L157,_courses_lookup!$E:$E,0)),"")</f>
        <v/>
      </c>
      <c r="P157" t="str">
        <f>IFERROR(INDEX(_courses_lookup!$D:$D,MATCH(K157&amp;L157,_courses_lookup!$E:$E,0)),"")</f>
        <v/>
      </c>
      <c r="AG157" t="str">
        <f t="shared" si="22"/>
        <v/>
      </c>
      <c r="AI157" t="str">
        <f t="shared" si="23"/>
        <v/>
      </c>
      <c r="AL157" t="str">
        <f t="shared" si="24"/>
        <v/>
      </c>
      <c r="AN157" t="str">
        <f t="shared" si="25"/>
        <v/>
      </c>
      <c r="AQ157" t="str">
        <f t="shared" si="26"/>
        <v/>
      </c>
      <c r="AR157" t="str">
        <f t="shared" si="27"/>
        <v/>
      </c>
      <c r="AS157" t="str">
        <f t="shared" si="28"/>
        <v/>
      </c>
      <c r="AT157" t="str">
        <f t="shared" si="29"/>
        <v/>
      </c>
      <c r="BG157" t="str">
        <f t="shared" si="30"/>
        <v/>
      </c>
      <c r="BH157" t="str">
        <f t="shared" si="31"/>
        <v/>
      </c>
      <c r="BL157" t="str">
        <f>IFERROR(INDEX(_names_lookup!$C:$C,MATCH(BK157,_names_lookup!$A:$A,0)),"")</f>
        <v/>
      </c>
      <c r="BM157" t="str">
        <f>IFERROR(INDEX(_names_lookup!$B:$B,MATCH(BK157,_names_lookup!$A:$A,0)),"")</f>
        <v/>
      </c>
      <c r="BS157" t="str">
        <f t="shared" si="32"/>
        <v/>
      </c>
    </row>
    <row r="158" spans="15:71" x14ac:dyDescent="0.2">
      <c r="O158" t="str">
        <f>IFERROR(INDEX(_courses_lookup!$C:$C,MATCH(K158&amp;L158,_courses_lookup!$E:$E,0)),"")</f>
        <v/>
      </c>
      <c r="P158" t="str">
        <f>IFERROR(INDEX(_courses_lookup!$D:$D,MATCH(K158&amp;L158,_courses_lookup!$E:$E,0)),"")</f>
        <v/>
      </c>
      <c r="AG158" t="str">
        <f t="shared" si="22"/>
        <v/>
      </c>
      <c r="AI158" t="str">
        <f t="shared" si="23"/>
        <v/>
      </c>
      <c r="AL158" t="str">
        <f t="shared" si="24"/>
        <v/>
      </c>
      <c r="AN158" t="str">
        <f t="shared" si="25"/>
        <v/>
      </c>
      <c r="AQ158" t="str">
        <f t="shared" si="26"/>
        <v/>
      </c>
      <c r="AR158" t="str">
        <f t="shared" si="27"/>
        <v/>
      </c>
      <c r="AS158" t="str">
        <f t="shared" si="28"/>
        <v/>
      </c>
      <c r="AT158" t="str">
        <f t="shared" si="29"/>
        <v/>
      </c>
      <c r="BG158" t="str">
        <f t="shared" si="30"/>
        <v/>
      </c>
      <c r="BH158" t="str">
        <f t="shared" si="31"/>
        <v/>
      </c>
      <c r="BL158" t="str">
        <f>IFERROR(INDEX(_names_lookup!$C:$C,MATCH(BK158,_names_lookup!$A:$A,0)),"")</f>
        <v/>
      </c>
      <c r="BM158" t="str">
        <f>IFERROR(INDEX(_names_lookup!$B:$B,MATCH(BK158,_names_lookup!$A:$A,0)),"")</f>
        <v/>
      </c>
      <c r="BS158" t="str">
        <f t="shared" si="32"/>
        <v/>
      </c>
    </row>
    <row r="159" spans="15:71" x14ac:dyDescent="0.2">
      <c r="O159" t="str">
        <f>IFERROR(INDEX(_courses_lookup!$C:$C,MATCH(K159&amp;L159,_courses_lookup!$E:$E,0)),"")</f>
        <v/>
      </c>
      <c r="P159" t="str">
        <f>IFERROR(INDEX(_courses_lookup!$D:$D,MATCH(K159&amp;L159,_courses_lookup!$E:$E,0)),"")</f>
        <v/>
      </c>
      <c r="AG159" t="str">
        <f t="shared" si="22"/>
        <v/>
      </c>
      <c r="AI159" t="str">
        <f t="shared" si="23"/>
        <v/>
      </c>
      <c r="AL159" t="str">
        <f t="shared" si="24"/>
        <v/>
      </c>
      <c r="AN159" t="str">
        <f t="shared" si="25"/>
        <v/>
      </c>
      <c r="AQ159" t="str">
        <f t="shared" si="26"/>
        <v/>
      </c>
      <c r="AR159" t="str">
        <f t="shared" si="27"/>
        <v/>
      </c>
      <c r="AS159" t="str">
        <f t="shared" si="28"/>
        <v/>
      </c>
      <c r="AT159" t="str">
        <f t="shared" si="29"/>
        <v/>
      </c>
      <c r="BG159" t="str">
        <f t="shared" si="30"/>
        <v/>
      </c>
      <c r="BH159" t="str">
        <f t="shared" si="31"/>
        <v/>
      </c>
      <c r="BL159" t="str">
        <f>IFERROR(INDEX(_names_lookup!$C:$C,MATCH(BK159,_names_lookup!$A:$A,0)),"")</f>
        <v/>
      </c>
      <c r="BM159" t="str">
        <f>IFERROR(INDEX(_names_lookup!$B:$B,MATCH(BK159,_names_lookup!$A:$A,0)),"")</f>
        <v/>
      </c>
      <c r="BS159" t="str">
        <f t="shared" si="32"/>
        <v/>
      </c>
    </row>
    <row r="160" spans="15:71" x14ac:dyDescent="0.2">
      <c r="O160" t="str">
        <f>IFERROR(INDEX(_courses_lookup!$C:$C,MATCH(K160&amp;L160,_courses_lookup!$E:$E,0)),"")</f>
        <v/>
      </c>
      <c r="P160" t="str">
        <f>IFERROR(INDEX(_courses_lookup!$D:$D,MATCH(K160&amp;L160,_courses_lookup!$E:$E,0)),"")</f>
        <v/>
      </c>
      <c r="AG160" t="str">
        <f t="shared" si="22"/>
        <v/>
      </c>
      <c r="AI160" t="str">
        <f t="shared" si="23"/>
        <v/>
      </c>
      <c r="AL160" t="str">
        <f t="shared" si="24"/>
        <v/>
      </c>
      <c r="AN160" t="str">
        <f t="shared" si="25"/>
        <v/>
      </c>
      <c r="AQ160" t="str">
        <f t="shared" si="26"/>
        <v/>
      </c>
      <c r="AR160" t="str">
        <f t="shared" si="27"/>
        <v/>
      </c>
      <c r="AS160" t="str">
        <f t="shared" si="28"/>
        <v/>
      </c>
      <c r="AT160" t="str">
        <f t="shared" si="29"/>
        <v/>
      </c>
      <c r="BG160" t="str">
        <f t="shared" si="30"/>
        <v/>
      </c>
      <c r="BH160" t="str">
        <f t="shared" si="31"/>
        <v/>
      </c>
      <c r="BL160" t="str">
        <f>IFERROR(INDEX(_names_lookup!$C:$C,MATCH(BK160,_names_lookup!$A:$A,0)),"")</f>
        <v/>
      </c>
      <c r="BM160" t="str">
        <f>IFERROR(INDEX(_names_lookup!$B:$B,MATCH(BK160,_names_lookup!$A:$A,0)),"")</f>
        <v/>
      </c>
      <c r="BS160" t="str">
        <f t="shared" si="32"/>
        <v/>
      </c>
    </row>
    <row r="161" spans="15:71" x14ac:dyDescent="0.2">
      <c r="O161" t="str">
        <f>IFERROR(INDEX(_courses_lookup!$C:$C,MATCH(K161&amp;L161,_courses_lookup!$E:$E,0)),"")</f>
        <v/>
      </c>
      <c r="P161" t="str">
        <f>IFERROR(INDEX(_courses_lookup!$D:$D,MATCH(K161&amp;L161,_courses_lookup!$E:$E,0)),"")</f>
        <v/>
      </c>
      <c r="AG161" t="str">
        <f t="shared" si="22"/>
        <v/>
      </c>
      <c r="AI161" t="str">
        <f t="shared" si="23"/>
        <v/>
      </c>
      <c r="AL161" t="str">
        <f t="shared" si="24"/>
        <v/>
      </c>
      <c r="AN161" t="str">
        <f t="shared" si="25"/>
        <v/>
      </c>
      <c r="AQ161" t="str">
        <f t="shared" si="26"/>
        <v/>
      </c>
      <c r="AR161" t="str">
        <f t="shared" si="27"/>
        <v/>
      </c>
      <c r="AS161" t="str">
        <f t="shared" si="28"/>
        <v/>
      </c>
      <c r="AT161" t="str">
        <f t="shared" si="29"/>
        <v/>
      </c>
      <c r="BG161" t="str">
        <f t="shared" si="30"/>
        <v/>
      </c>
      <c r="BH161" t="str">
        <f t="shared" si="31"/>
        <v/>
      </c>
      <c r="BL161" t="str">
        <f>IFERROR(INDEX(_names_lookup!$C:$C,MATCH(BK161,_names_lookup!$A:$A,0)),"")</f>
        <v/>
      </c>
      <c r="BM161" t="str">
        <f>IFERROR(INDEX(_names_lookup!$B:$B,MATCH(BK161,_names_lookup!$A:$A,0)),"")</f>
        <v/>
      </c>
      <c r="BS161" t="str">
        <f t="shared" si="32"/>
        <v/>
      </c>
    </row>
    <row r="162" spans="15:71" x14ac:dyDescent="0.2">
      <c r="O162" t="str">
        <f>IFERROR(INDEX(_courses_lookup!$C:$C,MATCH(K162&amp;L162,_courses_lookup!$E:$E,0)),"")</f>
        <v/>
      </c>
      <c r="P162" t="str">
        <f>IFERROR(INDEX(_courses_lookup!$D:$D,MATCH(K162&amp;L162,_courses_lookup!$E:$E,0)),"")</f>
        <v/>
      </c>
      <c r="AG162" t="str">
        <f t="shared" si="22"/>
        <v/>
      </c>
      <c r="AI162" t="str">
        <f t="shared" si="23"/>
        <v/>
      </c>
      <c r="AL162" t="str">
        <f t="shared" si="24"/>
        <v/>
      </c>
      <c r="AN162" t="str">
        <f t="shared" si="25"/>
        <v/>
      </c>
      <c r="AQ162" t="str">
        <f t="shared" si="26"/>
        <v/>
      </c>
      <c r="AR162" t="str">
        <f t="shared" si="27"/>
        <v/>
      </c>
      <c r="AS162" t="str">
        <f t="shared" si="28"/>
        <v/>
      </c>
      <c r="AT162" t="str">
        <f t="shared" si="29"/>
        <v/>
      </c>
      <c r="BG162" t="str">
        <f t="shared" si="30"/>
        <v/>
      </c>
      <c r="BH162" t="str">
        <f t="shared" si="31"/>
        <v/>
      </c>
      <c r="BL162" t="str">
        <f>IFERROR(INDEX(_names_lookup!$C:$C,MATCH(BK162,_names_lookup!$A:$A,0)),"")</f>
        <v/>
      </c>
      <c r="BM162" t="str">
        <f>IFERROR(INDEX(_names_lookup!$B:$B,MATCH(BK162,_names_lookup!$A:$A,0)),"")</f>
        <v/>
      </c>
      <c r="BS162" t="str">
        <f t="shared" si="32"/>
        <v/>
      </c>
    </row>
    <row r="163" spans="15:71" x14ac:dyDescent="0.2">
      <c r="O163" t="str">
        <f>IFERROR(INDEX(_courses_lookup!$C:$C,MATCH(K163&amp;L163,_courses_lookup!$E:$E,0)),"")</f>
        <v/>
      </c>
      <c r="P163" t="str">
        <f>IFERROR(INDEX(_courses_lookup!$D:$D,MATCH(K163&amp;L163,_courses_lookup!$E:$E,0)),"")</f>
        <v/>
      </c>
      <c r="AG163" t="str">
        <f t="shared" si="22"/>
        <v/>
      </c>
      <c r="AI163" t="str">
        <f t="shared" si="23"/>
        <v/>
      </c>
      <c r="AL163" t="str">
        <f t="shared" si="24"/>
        <v/>
      </c>
      <c r="AN163" t="str">
        <f t="shared" si="25"/>
        <v/>
      </c>
      <c r="AQ163" t="str">
        <f t="shared" si="26"/>
        <v/>
      </c>
      <c r="AR163" t="str">
        <f t="shared" si="27"/>
        <v/>
      </c>
      <c r="AS163" t="str">
        <f t="shared" si="28"/>
        <v/>
      </c>
      <c r="AT163" t="str">
        <f t="shared" si="29"/>
        <v/>
      </c>
      <c r="BG163" t="str">
        <f t="shared" si="30"/>
        <v/>
      </c>
      <c r="BH163" t="str">
        <f t="shared" si="31"/>
        <v/>
      </c>
      <c r="BL163" t="str">
        <f>IFERROR(INDEX(_names_lookup!$C:$C,MATCH(BK163,_names_lookup!$A:$A,0)),"")</f>
        <v/>
      </c>
      <c r="BM163" t="str">
        <f>IFERROR(INDEX(_names_lookup!$B:$B,MATCH(BK163,_names_lookup!$A:$A,0)),"")</f>
        <v/>
      </c>
      <c r="BS163" t="str">
        <f t="shared" si="32"/>
        <v/>
      </c>
    </row>
    <row r="164" spans="15:71" x14ac:dyDescent="0.2">
      <c r="O164" t="str">
        <f>IFERROR(INDEX(_courses_lookup!$C:$C,MATCH(K164&amp;L164,_courses_lookup!$E:$E,0)),"")</f>
        <v/>
      </c>
      <c r="P164" t="str">
        <f>IFERROR(INDEX(_courses_lookup!$D:$D,MATCH(K164&amp;L164,_courses_lookup!$E:$E,0)),"")</f>
        <v/>
      </c>
      <c r="AG164" t="str">
        <f t="shared" si="22"/>
        <v/>
      </c>
      <c r="AI164" t="str">
        <f t="shared" si="23"/>
        <v/>
      </c>
      <c r="AL164" t="str">
        <f t="shared" si="24"/>
        <v/>
      </c>
      <c r="AN164" t="str">
        <f t="shared" si="25"/>
        <v/>
      </c>
      <c r="AQ164" t="str">
        <f t="shared" si="26"/>
        <v/>
      </c>
      <c r="AR164" t="str">
        <f t="shared" si="27"/>
        <v/>
      </c>
      <c r="AS164" t="str">
        <f t="shared" si="28"/>
        <v/>
      </c>
      <c r="AT164" t="str">
        <f t="shared" si="29"/>
        <v/>
      </c>
      <c r="BG164" t="str">
        <f t="shared" si="30"/>
        <v/>
      </c>
      <c r="BH164" t="str">
        <f t="shared" si="31"/>
        <v/>
      </c>
      <c r="BL164" t="str">
        <f>IFERROR(INDEX(_names_lookup!$C:$C,MATCH(BK164,_names_lookup!$A:$A,0)),"")</f>
        <v/>
      </c>
      <c r="BM164" t="str">
        <f>IFERROR(INDEX(_names_lookup!$B:$B,MATCH(BK164,_names_lookup!$A:$A,0)),"")</f>
        <v/>
      </c>
      <c r="BS164" t="str">
        <f t="shared" si="32"/>
        <v/>
      </c>
    </row>
    <row r="165" spans="15:71" x14ac:dyDescent="0.2">
      <c r="O165" t="str">
        <f>IFERROR(INDEX(_courses_lookup!$C:$C,MATCH(K165&amp;L165,_courses_lookup!$E:$E,0)),"")</f>
        <v/>
      </c>
      <c r="P165" t="str">
        <f>IFERROR(INDEX(_courses_lookup!$D:$D,MATCH(K165&amp;L165,_courses_lookup!$E:$E,0)),"")</f>
        <v/>
      </c>
      <c r="AG165" t="str">
        <f t="shared" si="22"/>
        <v/>
      </c>
      <c r="AI165" t="str">
        <f t="shared" si="23"/>
        <v/>
      </c>
      <c r="AL165" t="str">
        <f t="shared" si="24"/>
        <v/>
      </c>
      <c r="AN165" t="str">
        <f t="shared" si="25"/>
        <v/>
      </c>
      <c r="AQ165" t="str">
        <f t="shared" si="26"/>
        <v/>
      </c>
      <c r="AR165" t="str">
        <f t="shared" si="27"/>
        <v/>
      </c>
      <c r="AS165" t="str">
        <f t="shared" si="28"/>
        <v/>
      </c>
      <c r="AT165" t="str">
        <f t="shared" si="29"/>
        <v/>
      </c>
      <c r="BG165" t="str">
        <f t="shared" si="30"/>
        <v/>
      </c>
      <c r="BH165" t="str">
        <f t="shared" si="31"/>
        <v/>
      </c>
      <c r="BL165" t="str">
        <f>IFERROR(INDEX(_names_lookup!$C:$C,MATCH(BK165,_names_lookup!$A:$A,0)),"")</f>
        <v/>
      </c>
      <c r="BM165" t="str">
        <f>IFERROR(INDEX(_names_lookup!$B:$B,MATCH(BK165,_names_lookup!$A:$A,0)),"")</f>
        <v/>
      </c>
      <c r="BS165" t="str">
        <f t="shared" si="32"/>
        <v/>
      </c>
    </row>
    <row r="166" spans="15:71" x14ac:dyDescent="0.2">
      <c r="O166" t="str">
        <f>IFERROR(INDEX(_courses_lookup!$C:$C,MATCH(K166&amp;L166,_courses_lookup!$E:$E,0)),"")</f>
        <v/>
      </c>
      <c r="P166" t="str">
        <f>IFERROR(INDEX(_courses_lookup!$D:$D,MATCH(K166&amp;L166,_courses_lookup!$E:$E,0)),"")</f>
        <v/>
      </c>
      <c r="AG166" t="str">
        <f t="shared" si="22"/>
        <v/>
      </c>
      <c r="AI166" t="str">
        <f t="shared" si="23"/>
        <v/>
      </c>
      <c r="AL166" t="str">
        <f t="shared" si="24"/>
        <v/>
      </c>
      <c r="AN166" t="str">
        <f t="shared" si="25"/>
        <v/>
      </c>
      <c r="AQ166" t="str">
        <f t="shared" si="26"/>
        <v/>
      </c>
      <c r="AR166" t="str">
        <f t="shared" si="27"/>
        <v/>
      </c>
      <c r="AS166" t="str">
        <f t="shared" si="28"/>
        <v/>
      </c>
      <c r="AT166" t="str">
        <f t="shared" si="29"/>
        <v/>
      </c>
      <c r="BG166" t="str">
        <f t="shared" si="30"/>
        <v/>
      </c>
      <c r="BH166" t="str">
        <f t="shared" si="31"/>
        <v/>
      </c>
      <c r="BL166" t="str">
        <f>IFERROR(INDEX(_names_lookup!$C:$C,MATCH(BK166,_names_lookup!$A:$A,0)),"")</f>
        <v/>
      </c>
      <c r="BM166" t="str">
        <f>IFERROR(INDEX(_names_lookup!$B:$B,MATCH(BK166,_names_lookup!$A:$A,0)),"")</f>
        <v/>
      </c>
      <c r="BS166" t="str">
        <f t="shared" si="32"/>
        <v/>
      </c>
    </row>
    <row r="167" spans="15:71" x14ac:dyDescent="0.2">
      <c r="O167" t="str">
        <f>IFERROR(INDEX(_courses_lookup!$C:$C,MATCH(K167&amp;L167,_courses_lookup!$E:$E,0)),"")</f>
        <v/>
      </c>
      <c r="P167" t="str">
        <f>IFERROR(INDEX(_courses_lookup!$D:$D,MATCH(K167&amp;L167,_courses_lookup!$E:$E,0)),"")</f>
        <v/>
      </c>
      <c r="AG167" t="str">
        <f t="shared" si="22"/>
        <v/>
      </c>
      <c r="AI167" t="str">
        <f t="shared" si="23"/>
        <v/>
      </c>
      <c r="AL167" t="str">
        <f t="shared" si="24"/>
        <v/>
      </c>
      <c r="AN167" t="str">
        <f t="shared" si="25"/>
        <v/>
      </c>
      <c r="AQ167" t="str">
        <f t="shared" si="26"/>
        <v/>
      </c>
      <c r="AR167" t="str">
        <f t="shared" si="27"/>
        <v/>
      </c>
      <c r="AS167" t="str">
        <f t="shared" si="28"/>
        <v/>
      </c>
      <c r="AT167" t="str">
        <f t="shared" si="29"/>
        <v/>
      </c>
      <c r="BG167" t="str">
        <f t="shared" si="30"/>
        <v/>
      </c>
      <c r="BH167" t="str">
        <f t="shared" si="31"/>
        <v/>
      </c>
      <c r="BL167" t="str">
        <f>IFERROR(INDEX(_names_lookup!$C:$C,MATCH(BK167,_names_lookup!$A:$A,0)),"")</f>
        <v/>
      </c>
      <c r="BM167" t="str">
        <f>IFERROR(INDEX(_names_lookup!$B:$B,MATCH(BK167,_names_lookup!$A:$A,0)),"")</f>
        <v/>
      </c>
      <c r="BS167" t="str">
        <f t="shared" si="32"/>
        <v/>
      </c>
    </row>
    <row r="168" spans="15:71" x14ac:dyDescent="0.2">
      <c r="O168" t="str">
        <f>IFERROR(INDEX(_courses_lookup!$C:$C,MATCH(K168&amp;L168,_courses_lookup!$E:$E,0)),"")</f>
        <v/>
      </c>
      <c r="P168" t="str">
        <f>IFERROR(INDEX(_courses_lookup!$D:$D,MATCH(K168&amp;L168,_courses_lookup!$E:$E,0)),"")</f>
        <v/>
      </c>
      <c r="AG168" t="str">
        <f t="shared" si="22"/>
        <v/>
      </c>
      <c r="AI168" t="str">
        <f t="shared" si="23"/>
        <v/>
      </c>
      <c r="AL168" t="str">
        <f t="shared" si="24"/>
        <v/>
      </c>
      <c r="AN168" t="str">
        <f t="shared" si="25"/>
        <v/>
      </c>
      <c r="AQ168" t="str">
        <f t="shared" si="26"/>
        <v/>
      </c>
      <c r="AR168" t="str">
        <f t="shared" si="27"/>
        <v/>
      </c>
      <c r="AS168" t="str">
        <f t="shared" si="28"/>
        <v/>
      </c>
      <c r="AT168" t="str">
        <f t="shared" si="29"/>
        <v/>
      </c>
      <c r="BG168" t="str">
        <f t="shared" si="30"/>
        <v/>
      </c>
      <c r="BH168" t="str">
        <f t="shared" si="31"/>
        <v/>
      </c>
      <c r="BL168" t="str">
        <f>IFERROR(INDEX(_names_lookup!$C:$C,MATCH(BK168,_names_lookup!$A:$A,0)),"")</f>
        <v/>
      </c>
      <c r="BM168" t="str">
        <f>IFERROR(INDEX(_names_lookup!$B:$B,MATCH(BK168,_names_lookup!$A:$A,0)),"")</f>
        <v/>
      </c>
      <c r="BS168" t="str">
        <f t="shared" si="32"/>
        <v/>
      </c>
    </row>
    <row r="169" spans="15:71" x14ac:dyDescent="0.2">
      <c r="O169" t="str">
        <f>IFERROR(INDEX(_courses_lookup!$C:$C,MATCH(K169&amp;L169,_courses_lookup!$E:$E,0)),"")</f>
        <v/>
      </c>
      <c r="P169" t="str">
        <f>IFERROR(INDEX(_courses_lookup!$D:$D,MATCH(K169&amp;L169,_courses_lookup!$E:$E,0)),"")</f>
        <v/>
      </c>
      <c r="AG169" t="str">
        <f t="shared" si="22"/>
        <v/>
      </c>
      <c r="AI169" t="str">
        <f t="shared" si="23"/>
        <v/>
      </c>
      <c r="AL169" t="str">
        <f t="shared" si="24"/>
        <v/>
      </c>
      <c r="AN169" t="str">
        <f t="shared" si="25"/>
        <v/>
      </c>
      <c r="AQ169" t="str">
        <f t="shared" si="26"/>
        <v/>
      </c>
      <c r="AR169" t="str">
        <f t="shared" si="27"/>
        <v/>
      </c>
      <c r="AS169" t="str">
        <f t="shared" si="28"/>
        <v/>
      </c>
      <c r="AT169" t="str">
        <f t="shared" si="29"/>
        <v/>
      </c>
      <c r="BG169" t="str">
        <f t="shared" si="30"/>
        <v/>
      </c>
      <c r="BH169" t="str">
        <f t="shared" si="31"/>
        <v/>
      </c>
      <c r="BL169" t="str">
        <f>IFERROR(INDEX(_names_lookup!$C:$C,MATCH(BK169,_names_lookup!$A:$A,0)),"")</f>
        <v/>
      </c>
      <c r="BM169" t="str">
        <f>IFERROR(INDEX(_names_lookup!$B:$B,MATCH(BK169,_names_lookup!$A:$A,0)),"")</f>
        <v/>
      </c>
      <c r="BS169" t="str">
        <f t="shared" si="32"/>
        <v/>
      </c>
    </row>
    <row r="170" spans="15:71" x14ac:dyDescent="0.2">
      <c r="O170" t="str">
        <f>IFERROR(INDEX(_courses_lookup!$C:$C,MATCH(K170&amp;L170,_courses_lookup!$E:$E,0)),"")</f>
        <v/>
      </c>
      <c r="P170" t="str">
        <f>IFERROR(INDEX(_courses_lookup!$D:$D,MATCH(K170&amp;L170,_courses_lookup!$E:$E,0)),"")</f>
        <v/>
      </c>
      <c r="AG170" t="str">
        <f t="shared" si="22"/>
        <v/>
      </c>
      <c r="AI170" t="str">
        <f t="shared" si="23"/>
        <v/>
      </c>
      <c r="AL170" t="str">
        <f t="shared" si="24"/>
        <v/>
      </c>
      <c r="AN170" t="str">
        <f t="shared" si="25"/>
        <v/>
      </c>
      <c r="AQ170" t="str">
        <f t="shared" si="26"/>
        <v/>
      </c>
      <c r="AR170" t="str">
        <f t="shared" si="27"/>
        <v/>
      </c>
      <c r="AS170" t="str">
        <f t="shared" si="28"/>
        <v/>
      </c>
      <c r="AT170" t="str">
        <f t="shared" si="29"/>
        <v/>
      </c>
      <c r="BG170" t="str">
        <f t="shared" si="30"/>
        <v/>
      </c>
      <c r="BH170" t="str">
        <f t="shared" si="31"/>
        <v/>
      </c>
      <c r="BL170" t="str">
        <f>IFERROR(INDEX(_names_lookup!$C:$C,MATCH(BK170,_names_lookup!$A:$A,0)),"")</f>
        <v/>
      </c>
      <c r="BM170" t="str">
        <f>IFERROR(INDEX(_names_lookup!$B:$B,MATCH(BK170,_names_lookup!$A:$A,0)),"")</f>
        <v/>
      </c>
      <c r="BS170" t="str">
        <f t="shared" si="32"/>
        <v/>
      </c>
    </row>
    <row r="171" spans="15:71" x14ac:dyDescent="0.2">
      <c r="O171" t="str">
        <f>IFERROR(INDEX(_courses_lookup!$C:$C,MATCH(K171&amp;L171,_courses_lookup!$E:$E,0)),"")</f>
        <v/>
      </c>
      <c r="P171" t="str">
        <f>IFERROR(INDEX(_courses_lookup!$D:$D,MATCH(K171&amp;L171,_courses_lookup!$E:$E,0)),"")</f>
        <v/>
      </c>
      <c r="AG171" t="str">
        <f t="shared" si="22"/>
        <v/>
      </c>
      <c r="AI171" t="str">
        <f t="shared" si="23"/>
        <v/>
      </c>
      <c r="AL171" t="str">
        <f t="shared" si="24"/>
        <v/>
      </c>
      <c r="AN171" t="str">
        <f t="shared" si="25"/>
        <v/>
      </c>
      <c r="AQ171" t="str">
        <f t="shared" si="26"/>
        <v/>
      </c>
      <c r="AR171" t="str">
        <f t="shared" si="27"/>
        <v/>
      </c>
      <c r="AS171" t="str">
        <f t="shared" si="28"/>
        <v/>
      </c>
      <c r="AT171" t="str">
        <f t="shared" si="29"/>
        <v/>
      </c>
      <c r="BG171" t="str">
        <f t="shared" si="30"/>
        <v/>
      </c>
      <c r="BH171" t="str">
        <f t="shared" si="31"/>
        <v/>
      </c>
      <c r="BL171" t="str">
        <f>IFERROR(INDEX(_names_lookup!$C:$C,MATCH(BK171,_names_lookup!$A:$A,0)),"")</f>
        <v/>
      </c>
      <c r="BM171" t="str">
        <f>IFERROR(INDEX(_names_lookup!$B:$B,MATCH(BK171,_names_lookup!$A:$A,0)),"")</f>
        <v/>
      </c>
      <c r="BS171" t="str">
        <f t="shared" si="32"/>
        <v/>
      </c>
    </row>
    <row r="172" spans="15:71" x14ac:dyDescent="0.2">
      <c r="O172" t="str">
        <f>IFERROR(INDEX(_courses_lookup!$C:$C,MATCH(K172&amp;L172,_courses_lookup!$E:$E,0)),"")</f>
        <v/>
      </c>
      <c r="P172" t="str">
        <f>IFERROR(INDEX(_courses_lookup!$D:$D,MATCH(K172&amp;L172,_courses_lookup!$E:$E,0)),"")</f>
        <v/>
      </c>
      <c r="AG172" t="str">
        <f t="shared" si="22"/>
        <v/>
      </c>
      <c r="AI172" t="str">
        <f t="shared" si="23"/>
        <v/>
      </c>
      <c r="AL172" t="str">
        <f t="shared" si="24"/>
        <v/>
      </c>
      <c r="AN172" t="str">
        <f t="shared" si="25"/>
        <v/>
      </c>
      <c r="AQ172" t="str">
        <f t="shared" si="26"/>
        <v/>
      </c>
      <c r="AR172" t="str">
        <f t="shared" si="27"/>
        <v/>
      </c>
      <c r="AS172" t="str">
        <f t="shared" si="28"/>
        <v/>
      </c>
      <c r="AT172" t="str">
        <f t="shared" si="29"/>
        <v/>
      </c>
      <c r="BG172" t="str">
        <f t="shared" si="30"/>
        <v/>
      </c>
      <c r="BH172" t="str">
        <f t="shared" si="31"/>
        <v/>
      </c>
      <c r="BL172" t="str">
        <f>IFERROR(INDEX(_names_lookup!$C:$C,MATCH(BK172,_names_lookup!$A:$A,0)),"")</f>
        <v/>
      </c>
      <c r="BM172" t="str">
        <f>IFERROR(INDEX(_names_lookup!$B:$B,MATCH(BK172,_names_lookup!$A:$A,0)),"")</f>
        <v/>
      </c>
      <c r="BS172" t="str">
        <f t="shared" si="32"/>
        <v/>
      </c>
    </row>
    <row r="173" spans="15:71" x14ac:dyDescent="0.2">
      <c r="O173" t="str">
        <f>IFERROR(INDEX(_courses_lookup!$C:$C,MATCH(K173&amp;L173,_courses_lookup!$E:$E,0)),"")</f>
        <v/>
      </c>
      <c r="P173" t="str">
        <f>IFERROR(INDEX(_courses_lookup!$D:$D,MATCH(K173&amp;L173,_courses_lookup!$E:$E,0)),"")</f>
        <v/>
      </c>
      <c r="AG173" t="str">
        <f t="shared" si="22"/>
        <v/>
      </c>
      <c r="AI173" t="str">
        <f t="shared" si="23"/>
        <v/>
      </c>
      <c r="AL173" t="str">
        <f t="shared" si="24"/>
        <v/>
      </c>
      <c r="AN173" t="str">
        <f t="shared" si="25"/>
        <v/>
      </c>
      <c r="AQ173" t="str">
        <f t="shared" si="26"/>
        <v/>
      </c>
      <c r="AR173" t="str">
        <f t="shared" si="27"/>
        <v/>
      </c>
      <c r="AS173" t="str">
        <f t="shared" si="28"/>
        <v/>
      </c>
      <c r="AT173" t="str">
        <f t="shared" si="29"/>
        <v/>
      </c>
      <c r="BG173" t="str">
        <f t="shared" si="30"/>
        <v/>
      </c>
      <c r="BH173" t="str">
        <f t="shared" si="31"/>
        <v/>
      </c>
      <c r="BL173" t="str">
        <f>IFERROR(INDEX(_names_lookup!$C:$C,MATCH(BK173,_names_lookup!$A:$A,0)),"")</f>
        <v/>
      </c>
      <c r="BM173" t="str">
        <f>IFERROR(INDEX(_names_lookup!$B:$B,MATCH(BK173,_names_lookup!$A:$A,0)),"")</f>
        <v/>
      </c>
      <c r="BS173" t="str">
        <f t="shared" si="32"/>
        <v/>
      </c>
    </row>
    <row r="174" spans="15:71" x14ac:dyDescent="0.2">
      <c r="O174" t="str">
        <f>IFERROR(INDEX(_courses_lookup!$C:$C,MATCH(K174&amp;L174,_courses_lookup!$E:$E,0)),"")</f>
        <v/>
      </c>
      <c r="P174" t="str">
        <f>IFERROR(INDEX(_courses_lookup!$D:$D,MATCH(K174&amp;L174,_courses_lookup!$E:$E,0)),"")</f>
        <v/>
      </c>
      <c r="AG174" t="str">
        <f t="shared" si="22"/>
        <v/>
      </c>
      <c r="AI174" t="str">
        <f t="shared" si="23"/>
        <v/>
      </c>
      <c r="AL174" t="str">
        <f t="shared" si="24"/>
        <v/>
      </c>
      <c r="AN174" t="str">
        <f t="shared" si="25"/>
        <v/>
      </c>
      <c r="AQ174" t="str">
        <f t="shared" si="26"/>
        <v/>
      </c>
      <c r="AR174" t="str">
        <f t="shared" si="27"/>
        <v/>
      </c>
      <c r="AS174" t="str">
        <f t="shared" si="28"/>
        <v/>
      </c>
      <c r="AT174" t="str">
        <f t="shared" si="29"/>
        <v/>
      </c>
      <c r="BG174" t="str">
        <f t="shared" si="30"/>
        <v/>
      </c>
      <c r="BH174" t="str">
        <f t="shared" si="31"/>
        <v/>
      </c>
      <c r="BL174" t="str">
        <f>IFERROR(INDEX(_names_lookup!$C:$C,MATCH(BK174,_names_lookup!$A:$A,0)),"")</f>
        <v/>
      </c>
      <c r="BM174" t="str">
        <f>IFERROR(INDEX(_names_lookup!$B:$B,MATCH(BK174,_names_lookup!$A:$A,0)),"")</f>
        <v/>
      </c>
      <c r="BS174" t="str">
        <f t="shared" si="32"/>
        <v/>
      </c>
    </row>
    <row r="175" spans="15:71" x14ac:dyDescent="0.2">
      <c r="O175" t="str">
        <f>IFERROR(INDEX(_courses_lookup!$C:$C,MATCH(K175&amp;L175,_courses_lookup!$E:$E,0)),"")</f>
        <v/>
      </c>
      <c r="P175" t="str">
        <f>IFERROR(INDEX(_courses_lookup!$D:$D,MATCH(K175&amp;L175,_courses_lookup!$E:$E,0)),"")</f>
        <v/>
      </c>
      <c r="AG175" t="str">
        <f t="shared" si="22"/>
        <v/>
      </c>
      <c r="AI175" t="str">
        <f t="shared" si="23"/>
        <v/>
      </c>
      <c r="AL175" t="str">
        <f t="shared" si="24"/>
        <v/>
      </c>
      <c r="AN175" t="str">
        <f t="shared" si="25"/>
        <v/>
      </c>
      <c r="AQ175" t="str">
        <f t="shared" si="26"/>
        <v/>
      </c>
      <c r="AR175" t="str">
        <f t="shared" si="27"/>
        <v/>
      </c>
      <c r="AS175" t="str">
        <f t="shared" si="28"/>
        <v/>
      </c>
      <c r="AT175" t="str">
        <f t="shared" si="29"/>
        <v/>
      </c>
      <c r="BG175" t="str">
        <f t="shared" si="30"/>
        <v/>
      </c>
      <c r="BH175" t="str">
        <f t="shared" si="31"/>
        <v/>
      </c>
      <c r="BL175" t="str">
        <f>IFERROR(INDEX(_names_lookup!$C:$C,MATCH(BK175,_names_lookup!$A:$A,0)),"")</f>
        <v/>
      </c>
      <c r="BM175" t="str">
        <f>IFERROR(INDEX(_names_lookup!$B:$B,MATCH(BK175,_names_lookup!$A:$A,0)),"")</f>
        <v/>
      </c>
      <c r="BS175" t="str">
        <f t="shared" si="32"/>
        <v/>
      </c>
    </row>
    <row r="176" spans="15:71" x14ac:dyDescent="0.2">
      <c r="O176" t="str">
        <f>IFERROR(INDEX(_courses_lookup!$C:$C,MATCH(K176&amp;L176,_courses_lookup!$E:$E,0)),"")</f>
        <v/>
      </c>
      <c r="P176" t="str">
        <f>IFERROR(INDEX(_courses_lookup!$D:$D,MATCH(K176&amp;L176,_courses_lookup!$E:$E,0)),"")</f>
        <v/>
      </c>
      <c r="AG176" t="str">
        <f t="shared" si="22"/>
        <v/>
      </c>
      <c r="AI176" t="str">
        <f t="shared" si="23"/>
        <v/>
      </c>
      <c r="AL176" t="str">
        <f t="shared" si="24"/>
        <v/>
      </c>
      <c r="AN176" t="str">
        <f t="shared" si="25"/>
        <v/>
      </c>
      <c r="AQ176" t="str">
        <f t="shared" si="26"/>
        <v/>
      </c>
      <c r="AR176" t="str">
        <f t="shared" si="27"/>
        <v/>
      </c>
      <c r="AS176" t="str">
        <f t="shared" si="28"/>
        <v/>
      </c>
      <c r="AT176" t="str">
        <f t="shared" si="29"/>
        <v/>
      </c>
      <c r="BG176" t="str">
        <f t="shared" si="30"/>
        <v/>
      </c>
      <c r="BH176" t="str">
        <f t="shared" si="31"/>
        <v/>
      </c>
      <c r="BL176" t="str">
        <f>IFERROR(INDEX(_names_lookup!$C:$C,MATCH(BK176,_names_lookup!$A:$A,0)),"")</f>
        <v/>
      </c>
      <c r="BM176" t="str">
        <f>IFERROR(INDEX(_names_lookup!$B:$B,MATCH(BK176,_names_lookup!$A:$A,0)),"")</f>
        <v/>
      </c>
      <c r="BS176" t="str">
        <f t="shared" si="32"/>
        <v/>
      </c>
    </row>
    <row r="177" spans="15:71" x14ac:dyDescent="0.2">
      <c r="O177" t="str">
        <f>IFERROR(INDEX(_courses_lookup!$C:$C,MATCH(K177&amp;L177,_courses_lookup!$E:$E,0)),"")</f>
        <v/>
      </c>
      <c r="P177" t="str">
        <f>IFERROR(INDEX(_courses_lookup!$D:$D,MATCH(K177&amp;L177,_courses_lookup!$E:$E,0)),"")</f>
        <v/>
      </c>
      <c r="AG177" t="str">
        <f t="shared" si="22"/>
        <v/>
      </c>
      <c r="AI177" t="str">
        <f t="shared" si="23"/>
        <v/>
      </c>
      <c r="AL177" t="str">
        <f t="shared" si="24"/>
        <v/>
      </c>
      <c r="AN177" t="str">
        <f t="shared" si="25"/>
        <v/>
      </c>
      <c r="AQ177" t="str">
        <f t="shared" si="26"/>
        <v/>
      </c>
      <c r="AR177" t="str">
        <f t="shared" si="27"/>
        <v/>
      </c>
      <c r="AS177" t="str">
        <f t="shared" si="28"/>
        <v/>
      </c>
      <c r="AT177" t="str">
        <f t="shared" si="29"/>
        <v/>
      </c>
      <c r="BG177" t="str">
        <f t="shared" si="30"/>
        <v/>
      </c>
      <c r="BH177" t="str">
        <f t="shared" si="31"/>
        <v/>
      </c>
      <c r="BL177" t="str">
        <f>IFERROR(INDEX(_names_lookup!$C:$C,MATCH(BK177,_names_lookup!$A:$A,0)),"")</f>
        <v/>
      </c>
      <c r="BM177" t="str">
        <f>IFERROR(INDEX(_names_lookup!$B:$B,MATCH(BK177,_names_lookup!$A:$A,0)),"")</f>
        <v/>
      </c>
      <c r="BS177" t="str">
        <f t="shared" si="32"/>
        <v/>
      </c>
    </row>
    <row r="178" spans="15:71" x14ac:dyDescent="0.2">
      <c r="O178" t="str">
        <f>IFERROR(INDEX(_courses_lookup!$C:$C,MATCH(K178&amp;L178,_courses_lookup!$E:$E,0)),"")</f>
        <v/>
      </c>
      <c r="P178" t="str">
        <f>IFERROR(INDEX(_courses_lookup!$D:$D,MATCH(K178&amp;L178,_courses_lookup!$E:$E,0)),"")</f>
        <v/>
      </c>
      <c r="AG178" t="str">
        <f t="shared" si="22"/>
        <v/>
      </c>
      <c r="AI178" t="str">
        <f t="shared" si="23"/>
        <v/>
      </c>
      <c r="AL178" t="str">
        <f t="shared" si="24"/>
        <v/>
      </c>
      <c r="AN178" t="str">
        <f t="shared" si="25"/>
        <v/>
      </c>
      <c r="AQ178" t="str">
        <f t="shared" si="26"/>
        <v/>
      </c>
      <c r="AR178" t="str">
        <f t="shared" si="27"/>
        <v/>
      </c>
      <c r="AS178" t="str">
        <f t="shared" si="28"/>
        <v/>
      </c>
      <c r="AT178" t="str">
        <f t="shared" si="29"/>
        <v/>
      </c>
      <c r="BG178" t="str">
        <f t="shared" si="30"/>
        <v/>
      </c>
      <c r="BH178" t="str">
        <f t="shared" si="31"/>
        <v/>
      </c>
      <c r="BL178" t="str">
        <f>IFERROR(INDEX(_names_lookup!$C:$C,MATCH(BK178,_names_lookup!$A:$A,0)),"")</f>
        <v/>
      </c>
      <c r="BM178" t="str">
        <f>IFERROR(INDEX(_names_lookup!$B:$B,MATCH(BK178,_names_lookup!$A:$A,0)),"")</f>
        <v/>
      </c>
      <c r="BS178" t="str">
        <f t="shared" si="32"/>
        <v/>
      </c>
    </row>
    <row r="179" spans="15:71" x14ac:dyDescent="0.2">
      <c r="O179" t="str">
        <f>IFERROR(INDEX(_courses_lookup!$C:$C,MATCH(K179&amp;L179,_courses_lookup!$E:$E,0)),"")</f>
        <v/>
      </c>
      <c r="P179" t="str">
        <f>IFERROR(INDEX(_courses_lookup!$D:$D,MATCH(K179&amp;L179,_courses_lookup!$E:$E,0)),"")</f>
        <v/>
      </c>
      <c r="AG179" t="str">
        <f t="shared" si="22"/>
        <v/>
      </c>
      <c r="AI179" t="str">
        <f t="shared" si="23"/>
        <v/>
      </c>
      <c r="AL179" t="str">
        <f t="shared" si="24"/>
        <v/>
      </c>
      <c r="AN179" t="str">
        <f t="shared" si="25"/>
        <v/>
      </c>
      <c r="AQ179" t="str">
        <f t="shared" si="26"/>
        <v/>
      </c>
      <c r="AR179" t="str">
        <f t="shared" si="27"/>
        <v/>
      </c>
      <c r="AS179" t="str">
        <f t="shared" si="28"/>
        <v/>
      </c>
      <c r="AT179" t="str">
        <f t="shared" si="29"/>
        <v/>
      </c>
      <c r="BG179" t="str">
        <f t="shared" si="30"/>
        <v/>
      </c>
      <c r="BH179" t="str">
        <f t="shared" si="31"/>
        <v/>
      </c>
      <c r="BL179" t="str">
        <f>IFERROR(INDEX(_names_lookup!$C:$C,MATCH(BK179,_names_lookup!$A:$A,0)),"")</f>
        <v/>
      </c>
      <c r="BM179" t="str">
        <f>IFERROR(INDEX(_names_lookup!$B:$B,MATCH(BK179,_names_lookup!$A:$A,0)),"")</f>
        <v/>
      </c>
      <c r="BS179" t="str">
        <f t="shared" si="32"/>
        <v/>
      </c>
    </row>
    <row r="180" spans="15:71" x14ac:dyDescent="0.2">
      <c r="O180" t="str">
        <f>IFERROR(INDEX(_courses_lookup!$C:$C,MATCH(K180&amp;L180,_courses_lookup!$E:$E,0)),"")</f>
        <v/>
      </c>
      <c r="P180" t="str">
        <f>IFERROR(INDEX(_courses_lookup!$D:$D,MATCH(K180&amp;L180,_courses_lookup!$E:$E,0)),"")</f>
        <v/>
      </c>
      <c r="AG180" t="str">
        <f t="shared" si="22"/>
        <v/>
      </c>
      <c r="AI180" t="str">
        <f t="shared" si="23"/>
        <v/>
      </c>
      <c r="AL180" t="str">
        <f t="shared" si="24"/>
        <v/>
      </c>
      <c r="AN180" t="str">
        <f t="shared" si="25"/>
        <v/>
      </c>
      <c r="AQ180" t="str">
        <f t="shared" si="26"/>
        <v/>
      </c>
      <c r="AR180" t="str">
        <f t="shared" si="27"/>
        <v/>
      </c>
      <c r="AS180" t="str">
        <f t="shared" si="28"/>
        <v/>
      </c>
      <c r="AT180" t="str">
        <f t="shared" si="29"/>
        <v/>
      </c>
      <c r="BG180" t="str">
        <f t="shared" si="30"/>
        <v/>
      </c>
      <c r="BH180" t="str">
        <f t="shared" si="31"/>
        <v/>
      </c>
      <c r="BL180" t="str">
        <f>IFERROR(INDEX(_names_lookup!$C:$C,MATCH(BK180,_names_lookup!$A:$A,0)),"")</f>
        <v/>
      </c>
      <c r="BM180" t="str">
        <f>IFERROR(INDEX(_names_lookup!$B:$B,MATCH(BK180,_names_lookup!$A:$A,0)),"")</f>
        <v/>
      </c>
      <c r="BS180" t="str">
        <f t="shared" si="32"/>
        <v/>
      </c>
    </row>
    <row r="181" spans="15:71" x14ac:dyDescent="0.2">
      <c r="O181" t="str">
        <f>IFERROR(INDEX(_courses_lookup!$C:$C,MATCH(K181&amp;L181,_courses_lookup!$E:$E,0)),"")</f>
        <v/>
      </c>
      <c r="P181" t="str">
        <f>IFERROR(INDEX(_courses_lookup!$D:$D,MATCH(K181&amp;L181,_courses_lookup!$E:$E,0)),"")</f>
        <v/>
      </c>
      <c r="AG181" t="str">
        <f t="shared" si="22"/>
        <v/>
      </c>
      <c r="AI181" t="str">
        <f t="shared" si="23"/>
        <v/>
      </c>
      <c r="AL181" t="str">
        <f t="shared" si="24"/>
        <v/>
      </c>
      <c r="AN181" t="str">
        <f t="shared" si="25"/>
        <v/>
      </c>
      <c r="AQ181" t="str">
        <f t="shared" si="26"/>
        <v/>
      </c>
      <c r="AR181" t="str">
        <f t="shared" si="27"/>
        <v/>
      </c>
      <c r="AS181" t="str">
        <f t="shared" si="28"/>
        <v/>
      </c>
      <c r="AT181" t="str">
        <f t="shared" si="29"/>
        <v/>
      </c>
      <c r="BG181" t="str">
        <f t="shared" si="30"/>
        <v/>
      </c>
      <c r="BH181" t="str">
        <f t="shared" si="31"/>
        <v/>
      </c>
      <c r="BL181" t="str">
        <f>IFERROR(INDEX(_names_lookup!$C:$C,MATCH(BK181,_names_lookup!$A:$A,0)),"")</f>
        <v/>
      </c>
      <c r="BM181" t="str">
        <f>IFERROR(INDEX(_names_lookup!$B:$B,MATCH(BK181,_names_lookup!$A:$A,0)),"")</f>
        <v/>
      </c>
      <c r="BS181" t="str">
        <f t="shared" si="32"/>
        <v/>
      </c>
    </row>
    <row r="182" spans="15:71" x14ac:dyDescent="0.2">
      <c r="O182" t="str">
        <f>IFERROR(INDEX(_courses_lookup!$C:$C,MATCH(K182&amp;L182,_courses_lookup!$E:$E,0)),"")</f>
        <v/>
      </c>
      <c r="P182" t="str">
        <f>IFERROR(INDEX(_courses_lookup!$D:$D,MATCH(K182&amp;L182,_courses_lookup!$E:$E,0)),"")</f>
        <v/>
      </c>
      <c r="AG182" t="str">
        <f t="shared" si="22"/>
        <v/>
      </c>
      <c r="AI182" t="str">
        <f t="shared" si="23"/>
        <v/>
      </c>
      <c r="AL182" t="str">
        <f t="shared" si="24"/>
        <v/>
      </c>
      <c r="AN182" t="str">
        <f t="shared" si="25"/>
        <v/>
      </c>
      <c r="AQ182" t="str">
        <f t="shared" si="26"/>
        <v/>
      </c>
      <c r="AR182" t="str">
        <f t="shared" si="27"/>
        <v/>
      </c>
      <c r="AS182" t="str">
        <f t="shared" si="28"/>
        <v/>
      </c>
      <c r="AT182" t="str">
        <f t="shared" si="29"/>
        <v/>
      </c>
      <c r="BG182" t="str">
        <f t="shared" si="30"/>
        <v/>
      </c>
      <c r="BH182" t="str">
        <f t="shared" si="31"/>
        <v/>
      </c>
      <c r="BL182" t="str">
        <f>IFERROR(INDEX(_names_lookup!$C:$C,MATCH(BK182,_names_lookup!$A:$A,0)),"")</f>
        <v/>
      </c>
      <c r="BM182" t="str">
        <f>IFERROR(INDEX(_names_lookup!$B:$B,MATCH(BK182,_names_lookup!$A:$A,0)),"")</f>
        <v/>
      </c>
      <c r="BS182" t="str">
        <f t="shared" si="32"/>
        <v/>
      </c>
    </row>
    <row r="183" spans="15:71" x14ac:dyDescent="0.2">
      <c r="O183" t="str">
        <f>IFERROR(INDEX(_courses_lookup!$C:$C,MATCH(K183&amp;L183,_courses_lookup!$E:$E,0)),"")</f>
        <v/>
      </c>
      <c r="P183" t="str">
        <f>IFERROR(INDEX(_courses_lookup!$D:$D,MATCH(K183&amp;L183,_courses_lookup!$E:$E,0)),"")</f>
        <v/>
      </c>
      <c r="AG183" t="str">
        <f t="shared" si="22"/>
        <v/>
      </c>
      <c r="AI183" t="str">
        <f t="shared" si="23"/>
        <v/>
      </c>
      <c r="AL183" t="str">
        <f t="shared" si="24"/>
        <v/>
      </c>
      <c r="AN183" t="str">
        <f t="shared" si="25"/>
        <v/>
      </c>
      <c r="AQ183" t="str">
        <f t="shared" si="26"/>
        <v/>
      </c>
      <c r="AR183" t="str">
        <f t="shared" si="27"/>
        <v/>
      </c>
      <c r="AS183" t="str">
        <f t="shared" si="28"/>
        <v/>
      </c>
      <c r="AT183" t="str">
        <f t="shared" si="29"/>
        <v/>
      </c>
      <c r="BG183" t="str">
        <f t="shared" si="30"/>
        <v/>
      </c>
      <c r="BH183" t="str">
        <f t="shared" si="31"/>
        <v/>
      </c>
      <c r="BL183" t="str">
        <f>IFERROR(INDEX(_names_lookup!$C:$C,MATCH(BK183,_names_lookup!$A:$A,0)),"")</f>
        <v/>
      </c>
      <c r="BM183" t="str">
        <f>IFERROR(INDEX(_names_lookup!$B:$B,MATCH(BK183,_names_lookup!$A:$A,0)),"")</f>
        <v/>
      </c>
      <c r="BS183" t="str">
        <f t="shared" si="32"/>
        <v/>
      </c>
    </row>
    <row r="184" spans="15:71" x14ac:dyDescent="0.2">
      <c r="O184" t="str">
        <f>IFERROR(INDEX(_courses_lookup!$C:$C,MATCH(K184&amp;L184,_courses_lookup!$E:$E,0)),"")</f>
        <v/>
      </c>
      <c r="P184" t="str">
        <f>IFERROR(INDEX(_courses_lookup!$D:$D,MATCH(K184&amp;L184,_courses_lookup!$E:$E,0)),"")</f>
        <v/>
      </c>
      <c r="AG184" t="str">
        <f t="shared" si="22"/>
        <v/>
      </c>
      <c r="AI184" t="str">
        <f t="shared" si="23"/>
        <v/>
      </c>
      <c r="AL184" t="str">
        <f t="shared" si="24"/>
        <v/>
      </c>
      <c r="AN184" t="str">
        <f t="shared" si="25"/>
        <v/>
      </c>
      <c r="AQ184" t="str">
        <f t="shared" si="26"/>
        <v/>
      </c>
      <c r="AR184" t="str">
        <f t="shared" si="27"/>
        <v/>
      </c>
      <c r="AS184" t="str">
        <f t="shared" si="28"/>
        <v/>
      </c>
      <c r="AT184" t="str">
        <f t="shared" si="29"/>
        <v/>
      </c>
      <c r="BG184" t="str">
        <f t="shared" si="30"/>
        <v/>
      </c>
      <c r="BH184" t="str">
        <f t="shared" si="31"/>
        <v/>
      </c>
      <c r="BL184" t="str">
        <f>IFERROR(INDEX(_names_lookup!$C:$C,MATCH(BK184,_names_lookup!$A:$A,0)),"")</f>
        <v/>
      </c>
      <c r="BM184" t="str">
        <f>IFERROR(INDEX(_names_lookup!$B:$B,MATCH(BK184,_names_lookup!$A:$A,0)),"")</f>
        <v/>
      </c>
      <c r="BS184" t="str">
        <f t="shared" si="32"/>
        <v/>
      </c>
    </row>
    <row r="185" spans="15:71" x14ac:dyDescent="0.2">
      <c r="O185" t="str">
        <f>IFERROR(INDEX(_courses_lookup!$C:$C,MATCH(K185&amp;L185,_courses_lookup!$E:$E,0)),"")</f>
        <v/>
      </c>
      <c r="P185" t="str">
        <f>IFERROR(INDEX(_courses_lookup!$D:$D,MATCH(K185&amp;L185,_courses_lookup!$E:$E,0)),"")</f>
        <v/>
      </c>
      <c r="AG185" t="str">
        <f t="shared" si="22"/>
        <v/>
      </c>
      <c r="AI185" t="str">
        <f t="shared" si="23"/>
        <v/>
      </c>
      <c r="AL185" t="str">
        <f t="shared" si="24"/>
        <v/>
      </c>
      <c r="AN185" t="str">
        <f t="shared" si="25"/>
        <v/>
      </c>
      <c r="AQ185" t="str">
        <f t="shared" si="26"/>
        <v/>
      </c>
      <c r="AR185" t="str">
        <f t="shared" si="27"/>
        <v/>
      </c>
      <c r="AS185" t="str">
        <f t="shared" si="28"/>
        <v/>
      </c>
      <c r="AT185" t="str">
        <f t="shared" si="29"/>
        <v/>
      </c>
      <c r="BG185" t="str">
        <f t="shared" si="30"/>
        <v/>
      </c>
      <c r="BH185" t="str">
        <f t="shared" si="31"/>
        <v/>
      </c>
      <c r="BL185" t="str">
        <f>IFERROR(INDEX(_names_lookup!$C:$C,MATCH(BK185,_names_lookup!$A:$A,0)),"")</f>
        <v/>
      </c>
      <c r="BM185" t="str">
        <f>IFERROR(INDEX(_names_lookup!$B:$B,MATCH(BK185,_names_lookup!$A:$A,0)),"")</f>
        <v/>
      </c>
      <c r="BS185" t="str">
        <f t="shared" si="32"/>
        <v/>
      </c>
    </row>
    <row r="186" spans="15:71" x14ac:dyDescent="0.2">
      <c r="O186" t="str">
        <f>IFERROR(INDEX(_courses_lookup!$C:$C,MATCH(K186&amp;L186,_courses_lookup!$E:$E,0)),"")</f>
        <v/>
      </c>
      <c r="P186" t="str">
        <f>IFERROR(INDEX(_courses_lookup!$D:$D,MATCH(K186&amp;L186,_courses_lookup!$E:$E,0)),"")</f>
        <v/>
      </c>
      <c r="AG186" t="str">
        <f t="shared" si="22"/>
        <v/>
      </c>
      <c r="AI186" t="str">
        <f t="shared" si="23"/>
        <v/>
      </c>
      <c r="AL186" t="str">
        <f t="shared" si="24"/>
        <v/>
      </c>
      <c r="AN186" t="str">
        <f t="shared" si="25"/>
        <v/>
      </c>
      <c r="AQ186" t="str">
        <f t="shared" si="26"/>
        <v/>
      </c>
      <c r="AR186" t="str">
        <f t="shared" si="27"/>
        <v/>
      </c>
      <c r="AS186" t="str">
        <f t="shared" si="28"/>
        <v/>
      </c>
      <c r="AT186" t="str">
        <f t="shared" si="29"/>
        <v/>
      </c>
      <c r="BG186" t="str">
        <f t="shared" si="30"/>
        <v/>
      </c>
      <c r="BH186" t="str">
        <f t="shared" si="31"/>
        <v/>
      </c>
      <c r="BL186" t="str">
        <f>IFERROR(INDEX(_names_lookup!$C:$C,MATCH(BK186,_names_lookup!$A:$A,0)),"")</f>
        <v/>
      </c>
      <c r="BM186" t="str">
        <f>IFERROR(INDEX(_names_lookup!$B:$B,MATCH(BK186,_names_lookup!$A:$A,0)),"")</f>
        <v/>
      </c>
      <c r="BS186" t="str">
        <f t="shared" si="32"/>
        <v/>
      </c>
    </row>
    <row r="187" spans="15:71" x14ac:dyDescent="0.2">
      <c r="O187" t="str">
        <f>IFERROR(INDEX(_courses_lookup!$C:$C,MATCH(K187&amp;L187,_courses_lookup!$E:$E,0)),"")</f>
        <v/>
      </c>
      <c r="P187" t="str">
        <f>IFERROR(INDEX(_courses_lookup!$D:$D,MATCH(K187&amp;L187,_courses_lookup!$E:$E,0)),"")</f>
        <v/>
      </c>
      <c r="AG187" t="str">
        <f t="shared" si="22"/>
        <v/>
      </c>
      <c r="AI187" t="str">
        <f t="shared" si="23"/>
        <v/>
      </c>
      <c r="AL187" t="str">
        <f t="shared" si="24"/>
        <v/>
      </c>
      <c r="AN187" t="str">
        <f t="shared" si="25"/>
        <v/>
      </c>
      <c r="AQ187" t="str">
        <f t="shared" si="26"/>
        <v/>
      </c>
      <c r="AR187" t="str">
        <f t="shared" si="27"/>
        <v/>
      </c>
      <c r="AS187" t="str">
        <f t="shared" si="28"/>
        <v/>
      </c>
      <c r="AT187" t="str">
        <f t="shared" si="29"/>
        <v/>
      </c>
      <c r="BG187" t="str">
        <f t="shared" si="30"/>
        <v/>
      </c>
      <c r="BH187" t="str">
        <f t="shared" si="31"/>
        <v/>
      </c>
      <c r="BL187" t="str">
        <f>IFERROR(INDEX(_names_lookup!$C:$C,MATCH(BK187,_names_lookup!$A:$A,0)),"")</f>
        <v/>
      </c>
      <c r="BM187" t="str">
        <f>IFERROR(INDEX(_names_lookup!$B:$B,MATCH(BK187,_names_lookup!$A:$A,0)),"")</f>
        <v/>
      </c>
      <c r="BS187" t="str">
        <f t="shared" si="32"/>
        <v/>
      </c>
    </row>
    <row r="188" spans="15:71" x14ac:dyDescent="0.2">
      <c r="O188" t="str">
        <f>IFERROR(INDEX(_courses_lookup!$C:$C,MATCH(K188&amp;L188,_courses_lookup!$E:$E,0)),"")</f>
        <v/>
      </c>
      <c r="P188" t="str">
        <f>IFERROR(INDEX(_courses_lookup!$D:$D,MATCH(K188&amp;L188,_courses_lookup!$E:$E,0)),"")</f>
        <v/>
      </c>
      <c r="AG188" t="str">
        <f t="shared" si="22"/>
        <v/>
      </c>
      <c r="AI188" t="str">
        <f t="shared" si="23"/>
        <v/>
      </c>
      <c r="AL188" t="str">
        <f t="shared" si="24"/>
        <v/>
      </c>
      <c r="AN188" t="str">
        <f t="shared" si="25"/>
        <v/>
      </c>
      <c r="AQ188" t="str">
        <f t="shared" si="26"/>
        <v/>
      </c>
      <c r="AR188" t="str">
        <f t="shared" si="27"/>
        <v/>
      </c>
      <c r="AS188" t="str">
        <f t="shared" si="28"/>
        <v/>
      </c>
      <c r="AT188" t="str">
        <f t="shared" si="29"/>
        <v/>
      </c>
      <c r="BG188" t="str">
        <f t="shared" si="30"/>
        <v/>
      </c>
      <c r="BH188" t="str">
        <f t="shared" si="31"/>
        <v/>
      </c>
      <c r="BL188" t="str">
        <f>IFERROR(INDEX(_names_lookup!$C:$C,MATCH(BK188,_names_lookup!$A:$A,0)),"")</f>
        <v/>
      </c>
      <c r="BM188" t="str">
        <f>IFERROR(INDEX(_names_lookup!$B:$B,MATCH(BK188,_names_lookup!$A:$A,0)),"")</f>
        <v/>
      </c>
      <c r="BS188" t="str">
        <f t="shared" si="32"/>
        <v/>
      </c>
    </row>
    <row r="189" spans="15:71" x14ac:dyDescent="0.2">
      <c r="O189" t="str">
        <f>IFERROR(INDEX(_courses_lookup!$C:$C,MATCH(K189&amp;L189,_courses_lookup!$E:$E,0)),"")</f>
        <v/>
      </c>
      <c r="P189" t="str">
        <f>IFERROR(INDEX(_courses_lookup!$D:$D,MATCH(K189&amp;L189,_courses_lookup!$E:$E,0)),"")</f>
        <v/>
      </c>
      <c r="AG189" t="str">
        <f t="shared" si="22"/>
        <v/>
      </c>
      <c r="AI189" t="str">
        <f t="shared" si="23"/>
        <v/>
      </c>
      <c r="AL189" t="str">
        <f t="shared" si="24"/>
        <v/>
      </c>
      <c r="AN189" t="str">
        <f t="shared" si="25"/>
        <v/>
      </c>
      <c r="AQ189" t="str">
        <f t="shared" si="26"/>
        <v/>
      </c>
      <c r="AR189" t="str">
        <f t="shared" si="27"/>
        <v/>
      </c>
      <c r="AS189" t="str">
        <f t="shared" si="28"/>
        <v/>
      </c>
      <c r="AT189" t="str">
        <f t="shared" si="29"/>
        <v/>
      </c>
      <c r="BG189" t="str">
        <f t="shared" si="30"/>
        <v/>
      </c>
      <c r="BH189" t="str">
        <f t="shared" si="31"/>
        <v/>
      </c>
      <c r="BL189" t="str">
        <f>IFERROR(INDEX(_names_lookup!$C:$C,MATCH(BK189,_names_lookup!$A:$A,0)),"")</f>
        <v/>
      </c>
      <c r="BM189" t="str">
        <f>IFERROR(INDEX(_names_lookup!$B:$B,MATCH(BK189,_names_lookup!$A:$A,0)),"")</f>
        <v/>
      </c>
      <c r="BS189" t="str">
        <f t="shared" si="32"/>
        <v/>
      </c>
    </row>
    <row r="190" spans="15:71" x14ac:dyDescent="0.2">
      <c r="O190" t="str">
        <f>IFERROR(INDEX(_courses_lookup!$C:$C,MATCH(K190&amp;L190,_courses_lookup!$E:$E,0)),"")</f>
        <v/>
      </c>
      <c r="P190" t="str">
        <f>IFERROR(INDEX(_courses_lookup!$D:$D,MATCH(K190&amp;L190,_courses_lookup!$E:$E,0)),"")</f>
        <v/>
      </c>
      <c r="AG190" t="str">
        <f t="shared" si="22"/>
        <v/>
      </c>
      <c r="AI190" t="str">
        <f t="shared" si="23"/>
        <v/>
      </c>
      <c r="AL190" t="str">
        <f t="shared" si="24"/>
        <v/>
      </c>
      <c r="AN190" t="str">
        <f t="shared" si="25"/>
        <v/>
      </c>
      <c r="AQ190" t="str">
        <f t="shared" si="26"/>
        <v/>
      </c>
      <c r="AR190" t="str">
        <f t="shared" si="27"/>
        <v/>
      </c>
      <c r="AS190" t="str">
        <f t="shared" si="28"/>
        <v/>
      </c>
      <c r="AT190" t="str">
        <f t="shared" si="29"/>
        <v/>
      </c>
      <c r="BG190" t="str">
        <f t="shared" si="30"/>
        <v/>
      </c>
      <c r="BH190" t="str">
        <f t="shared" si="31"/>
        <v/>
      </c>
      <c r="BL190" t="str">
        <f>IFERROR(INDEX(_names_lookup!$C:$C,MATCH(BK190,_names_lookup!$A:$A,0)),"")</f>
        <v/>
      </c>
      <c r="BM190" t="str">
        <f>IFERROR(INDEX(_names_lookup!$B:$B,MATCH(BK190,_names_lookup!$A:$A,0)),"")</f>
        <v/>
      </c>
      <c r="BS190" t="str">
        <f t="shared" si="32"/>
        <v/>
      </c>
    </row>
    <row r="191" spans="15:71" x14ac:dyDescent="0.2">
      <c r="O191" t="str">
        <f>IFERROR(INDEX(_courses_lookup!$C:$C,MATCH(K191&amp;L191,_courses_lookup!$E:$E,0)),"")</f>
        <v/>
      </c>
      <c r="P191" t="str">
        <f>IFERROR(INDEX(_courses_lookup!$D:$D,MATCH(K191&amp;L191,_courses_lookup!$E:$E,0)),"")</f>
        <v/>
      </c>
      <c r="AG191" t="str">
        <f t="shared" si="22"/>
        <v/>
      </c>
      <c r="AI191" t="str">
        <f t="shared" si="23"/>
        <v/>
      </c>
      <c r="AL191" t="str">
        <f t="shared" si="24"/>
        <v/>
      </c>
      <c r="AN191" t="str">
        <f t="shared" si="25"/>
        <v/>
      </c>
      <c r="AQ191" t="str">
        <f t="shared" si="26"/>
        <v/>
      </c>
      <c r="AR191" t="str">
        <f t="shared" si="27"/>
        <v/>
      </c>
      <c r="AS191" t="str">
        <f t="shared" si="28"/>
        <v/>
      </c>
      <c r="AT191" t="str">
        <f t="shared" si="29"/>
        <v/>
      </c>
      <c r="BG191" t="str">
        <f t="shared" si="30"/>
        <v/>
      </c>
      <c r="BH191" t="str">
        <f t="shared" si="31"/>
        <v/>
      </c>
      <c r="BL191" t="str">
        <f>IFERROR(INDEX(_names_lookup!$C:$C,MATCH(BK191,_names_lookup!$A:$A,0)),"")</f>
        <v/>
      </c>
      <c r="BM191" t="str">
        <f>IFERROR(INDEX(_names_lookup!$B:$B,MATCH(BK191,_names_lookup!$A:$A,0)),"")</f>
        <v/>
      </c>
      <c r="BS191" t="str">
        <f t="shared" si="32"/>
        <v/>
      </c>
    </row>
    <row r="192" spans="15:71" x14ac:dyDescent="0.2">
      <c r="O192" t="str">
        <f>IFERROR(INDEX(_courses_lookup!$C:$C,MATCH(K192&amp;L192,_courses_lookup!$E:$E,0)),"")</f>
        <v/>
      </c>
      <c r="P192" t="str">
        <f>IFERROR(INDEX(_courses_lookup!$D:$D,MATCH(K192&amp;L192,_courses_lookup!$E:$E,0)),"")</f>
        <v/>
      </c>
      <c r="AG192" t="str">
        <f t="shared" si="22"/>
        <v/>
      </c>
      <c r="AI192" t="str">
        <f t="shared" si="23"/>
        <v/>
      </c>
      <c r="AL192" t="str">
        <f t="shared" si="24"/>
        <v/>
      </c>
      <c r="AN192" t="str">
        <f t="shared" si="25"/>
        <v/>
      </c>
      <c r="AQ192" t="str">
        <f t="shared" si="26"/>
        <v/>
      </c>
      <c r="AR192" t="str">
        <f t="shared" si="27"/>
        <v/>
      </c>
      <c r="AS192" t="str">
        <f t="shared" si="28"/>
        <v/>
      </c>
      <c r="AT192" t="str">
        <f t="shared" si="29"/>
        <v/>
      </c>
      <c r="BG192" t="str">
        <f t="shared" si="30"/>
        <v/>
      </c>
      <c r="BH192" t="str">
        <f t="shared" si="31"/>
        <v/>
      </c>
      <c r="BL192" t="str">
        <f>IFERROR(INDEX(_names_lookup!$C:$C,MATCH(BK192,_names_lookup!$A:$A,0)),"")</f>
        <v/>
      </c>
      <c r="BM192" t="str">
        <f>IFERROR(INDEX(_names_lookup!$B:$B,MATCH(BK192,_names_lookup!$A:$A,0)),"")</f>
        <v/>
      </c>
      <c r="BS192" t="str">
        <f t="shared" si="32"/>
        <v/>
      </c>
    </row>
    <row r="193" spans="15:71" x14ac:dyDescent="0.2">
      <c r="O193" t="str">
        <f>IFERROR(INDEX(_courses_lookup!$C:$C,MATCH(K193&amp;L193,_courses_lookup!$E:$E,0)),"")</f>
        <v/>
      </c>
      <c r="P193" t="str">
        <f>IFERROR(INDEX(_courses_lookup!$D:$D,MATCH(K193&amp;L193,_courses_lookup!$E:$E,0)),"")</f>
        <v/>
      </c>
      <c r="AG193" t="str">
        <f t="shared" si="22"/>
        <v/>
      </c>
      <c r="AI193" t="str">
        <f t="shared" si="23"/>
        <v/>
      </c>
      <c r="AL193" t="str">
        <f t="shared" si="24"/>
        <v/>
      </c>
      <c r="AN193" t="str">
        <f t="shared" si="25"/>
        <v/>
      </c>
      <c r="AQ193" t="str">
        <f t="shared" si="26"/>
        <v/>
      </c>
      <c r="AR193" t="str">
        <f t="shared" si="27"/>
        <v/>
      </c>
      <c r="AS193" t="str">
        <f t="shared" si="28"/>
        <v/>
      </c>
      <c r="AT193" t="str">
        <f t="shared" si="29"/>
        <v/>
      </c>
      <c r="BG193" t="str">
        <f t="shared" si="30"/>
        <v/>
      </c>
      <c r="BH193" t="str">
        <f t="shared" si="31"/>
        <v/>
      </c>
      <c r="BL193" t="str">
        <f>IFERROR(INDEX(_names_lookup!$C:$C,MATCH(BK193,_names_lookup!$A:$A,0)),"")</f>
        <v/>
      </c>
      <c r="BM193" t="str">
        <f>IFERROR(INDEX(_names_lookup!$B:$B,MATCH(BK193,_names_lookup!$A:$A,0)),"")</f>
        <v/>
      </c>
      <c r="BS193" t="str">
        <f t="shared" si="32"/>
        <v/>
      </c>
    </row>
    <row r="194" spans="15:71" x14ac:dyDescent="0.2">
      <c r="O194" t="str">
        <f>IFERROR(INDEX(_courses_lookup!$C:$C,MATCH(K194&amp;L194,_courses_lookup!$E:$E,0)),"")</f>
        <v/>
      </c>
      <c r="P194" t="str">
        <f>IFERROR(INDEX(_courses_lookup!$D:$D,MATCH(K194&amp;L194,_courses_lookup!$E:$E,0)),"")</f>
        <v/>
      </c>
      <c r="AG194" t="str">
        <f t="shared" ref="AG194:AG257" si="33">IF(AND(AE194&lt;&gt;"",AF194&lt;&gt;""),ROUNDUP((AF194-AE194)/7,0),"")</f>
        <v/>
      </c>
      <c r="AI194" t="str">
        <f t="shared" ref="AI194:AI257" si="34">IFERROR(IF(AG194*AH194=0,"",AG194*AH194),"")</f>
        <v/>
      </c>
      <c r="AL194" t="str">
        <f t="shared" ref="AL194:AL257" si="35">IF(AND(AJ194&lt;&gt;"",AK194&lt;&gt;""),ROUNDUP((AK194-AJ194)/7,0),"")</f>
        <v/>
      </c>
      <c r="AN194" t="str">
        <f t="shared" ref="AN194:AN257" si="36">IFERROR(IF(AL194*AM194=0,"",AL194*AM194),"")</f>
        <v/>
      </c>
      <c r="AQ194" t="str">
        <f t="shared" ref="AQ194:AQ257" si="37">IF(AND(AO194&lt;&gt;"",AP194&lt;&gt;""),ROUNDUP((AP194-AO194)/7,0),"")</f>
        <v/>
      </c>
      <c r="AR194" t="str">
        <f t="shared" ref="AR194:AR257" si="38">IFERROR(IF((AU194-(AI194+AN194))/AQ194=0,"",ROUNDUP((AU194-(AI194+AN194))/AQ194,0)),"")</f>
        <v/>
      </c>
      <c r="AS194" t="str">
        <f t="shared" ref="AS194:AS257" si="39">IFERROR(IF((AU194-(AI194+AN194))=0,"",(AU194-(AI194+AN194))),"")</f>
        <v/>
      </c>
      <c r="AT194" t="str">
        <f t="shared" ref="AT194:AT257" si="40">IF(AND(AG194="",AQ194=""),AL194,IF(SUM(AG194,AL194,AQ194)=0,"",SUM(AG194,AL194,AQ194)))</f>
        <v/>
      </c>
      <c r="BG194" t="str">
        <f t="shared" ref="BG194:BG257" si="41">IF(AD194="","",YEAR(AD194)+IF(MONTH(AD194)&gt;=5,1,0))</f>
        <v/>
      </c>
      <c r="BH194" t="str">
        <f t="shared" ref="BH194:BH257" si="42">IF(AD194="","",IF(AND(MONTH(AD194)=8,DAY(AD194)&gt;=15),"Fall",IF(MONTH(AD194)&gt;8,"Fall",IF(MONTH(AD194)=5,"Summer",IF(MONTH(AD194)=1,"Spring","")))))</f>
        <v/>
      </c>
      <c r="BL194" t="str">
        <f>IFERROR(INDEX(_names_lookup!$C:$C,MATCH(BK194,_names_lookup!$A:$A,0)),"")</f>
        <v/>
      </c>
      <c r="BM194" t="str">
        <f>IFERROR(INDEX(_names_lookup!$B:$B,MATCH(BK194,_names_lookup!$A:$A,0)),"")</f>
        <v/>
      </c>
      <c r="BS194" t="str">
        <f t="shared" ref="BS194:BS257" si="43">IFERROR(IF(BR194*AA194=0,"",BR194*AA194),"")</f>
        <v/>
      </c>
    </row>
    <row r="195" spans="15:71" x14ac:dyDescent="0.2">
      <c r="O195" t="str">
        <f>IFERROR(INDEX(_courses_lookup!$C:$C,MATCH(K195&amp;L195,_courses_lookup!$E:$E,0)),"")</f>
        <v/>
      </c>
      <c r="P195" t="str">
        <f>IFERROR(INDEX(_courses_lookup!$D:$D,MATCH(K195&amp;L195,_courses_lookup!$E:$E,0)),"")</f>
        <v/>
      </c>
      <c r="AG195" t="str">
        <f t="shared" si="33"/>
        <v/>
      </c>
      <c r="AI195" t="str">
        <f t="shared" si="34"/>
        <v/>
      </c>
      <c r="AL195" t="str">
        <f t="shared" si="35"/>
        <v/>
      </c>
      <c r="AN195" t="str">
        <f t="shared" si="36"/>
        <v/>
      </c>
      <c r="AQ195" t="str">
        <f t="shared" si="37"/>
        <v/>
      </c>
      <c r="AR195" t="str">
        <f t="shared" si="38"/>
        <v/>
      </c>
      <c r="AS195" t="str">
        <f t="shared" si="39"/>
        <v/>
      </c>
      <c r="AT195" t="str">
        <f t="shared" si="40"/>
        <v/>
      </c>
      <c r="BG195" t="str">
        <f t="shared" si="41"/>
        <v/>
      </c>
      <c r="BH195" t="str">
        <f t="shared" si="42"/>
        <v/>
      </c>
      <c r="BL195" t="str">
        <f>IFERROR(INDEX(_names_lookup!$C:$C,MATCH(BK195,_names_lookup!$A:$A,0)),"")</f>
        <v/>
      </c>
      <c r="BM195" t="str">
        <f>IFERROR(INDEX(_names_lookup!$B:$B,MATCH(BK195,_names_lookup!$A:$A,0)),"")</f>
        <v/>
      </c>
      <c r="BS195" t="str">
        <f t="shared" si="43"/>
        <v/>
      </c>
    </row>
    <row r="196" spans="15:71" x14ac:dyDescent="0.2">
      <c r="O196" t="str">
        <f>IFERROR(INDEX(_courses_lookup!$C:$C,MATCH(K196&amp;L196,_courses_lookup!$E:$E,0)),"")</f>
        <v/>
      </c>
      <c r="P196" t="str">
        <f>IFERROR(INDEX(_courses_lookup!$D:$D,MATCH(K196&amp;L196,_courses_lookup!$E:$E,0)),"")</f>
        <v/>
      </c>
      <c r="AG196" t="str">
        <f t="shared" si="33"/>
        <v/>
      </c>
      <c r="AI196" t="str">
        <f t="shared" si="34"/>
        <v/>
      </c>
      <c r="AL196" t="str">
        <f t="shared" si="35"/>
        <v/>
      </c>
      <c r="AN196" t="str">
        <f t="shared" si="36"/>
        <v/>
      </c>
      <c r="AQ196" t="str">
        <f t="shared" si="37"/>
        <v/>
      </c>
      <c r="AR196" t="str">
        <f t="shared" si="38"/>
        <v/>
      </c>
      <c r="AS196" t="str">
        <f t="shared" si="39"/>
        <v/>
      </c>
      <c r="AT196" t="str">
        <f t="shared" si="40"/>
        <v/>
      </c>
      <c r="BG196" t="str">
        <f t="shared" si="41"/>
        <v/>
      </c>
      <c r="BH196" t="str">
        <f t="shared" si="42"/>
        <v/>
      </c>
      <c r="BL196" t="str">
        <f>IFERROR(INDEX(_names_lookup!$C:$C,MATCH(BK196,_names_lookup!$A:$A,0)),"")</f>
        <v/>
      </c>
      <c r="BM196" t="str">
        <f>IFERROR(INDEX(_names_lookup!$B:$B,MATCH(BK196,_names_lookup!$A:$A,0)),"")</f>
        <v/>
      </c>
      <c r="BS196" t="str">
        <f t="shared" si="43"/>
        <v/>
      </c>
    </row>
    <row r="197" spans="15:71" x14ac:dyDescent="0.2">
      <c r="O197" t="str">
        <f>IFERROR(INDEX(_courses_lookup!$C:$C,MATCH(K197&amp;L197,_courses_lookup!$E:$E,0)),"")</f>
        <v/>
      </c>
      <c r="P197" t="str">
        <f>IFERROR(INDEX(_courses_lookup!$D:$D,MATCH(K197&amp;L197,_courses_lookup!$E:$E,0)),"")</f>
        <v/>
      </c>
      <c r="AG197" t="str">
        <f t="shared" si="33"/>
        <v/>
      </c>
      <c r="AI197" t="str">
        <f t="shared" si="34"/>
        <v/>
      </c>
      <c r="AL197" t="str">
        <f t="shared" si="35"/>
        <v/>
      </c>
      <c r="AN197" t="str">
        <f t="shared" si="36"/>
        <v/>
      </c>
      <c r="AQ197" t="str">
        <f t="shared" si="37"/>
        <v/>
      </c>
      <c r="AR197" t="str">
        <f t="shared" si="38"/>
        <v/>
      </c>
      <c r="AS197" t="str">
        <f t="shared" si="39"/>
        <v/>
      </c>
      <c r="AT197" t="str">
        <f t="shared" si="40"/>
        <v/>
      </c>
      <c r="BG197" t="str">
        <f t="shared" si="41"/>
        <v/>
      </c>
      <c r="BH197" t="str">
        <f t="shared" si="42"/>
        <v/>
      </c>
      <c r="BL197" t="str">
        <f>IFERROR(INDEX(_names_lookup!$C:$C,MATCH(BK197,_names_lookup!$A:$A,0)),"")</f>
        <v/>
      </c>
      <c r="BM197" t="str">
        <f>IFERROR(INDEX(_names_lookup!$B:$B,MATCH(BK197,_names_lookup!$A:$A,0)),"")</f>
        <v/>
      </c>
      <c r="BS197" t="str">
        <f t="shared" si="43"/>
        <v/>
      </c>
    </row>
    <row r="198" spans="15:71" x14ac:dyDescent="0.2">
      <c r="O198" t="str">
        <f>IFERROR(INDEX(_courses_lookup!$C:$C,MATCH(K198&amp;L198,_courses_lookup!$E:$E,0)),"")</f>
        <v/>
      </c>
      <c r="P198" t="str">
        <f>IFERROR(INDEX(_courses_lookup!$D:$D,MATCH(K198&amp;L198,_courses_lookup!$E:$E,0)),"")</f>
        <v/>
      </c>
      <c r="AG198" t="str">
        <f t="shared" si="33"/>
        <v/>
      </c>
      <c r="AI198" t="str">
        <f t="shared" si="34"/>
        <v/>
      </c>
      <c r="AL198" t="str">
        <f t="shared" si="35"/>
        <v/>
      </c>
      <c r="AN198" t="str">
        <f t="shared" si="36"/>
        <v/>
      </c>
      <c r="AQ198" t="str">
        <f t="shared" si="37"/>
        <v/>
      </c>
      <c r="AR198" t="str">
        <f t="shared" si="38"/>
        <v/>
      </c>
      <c r="AS198" t="str">
        <f t="shared" si="39"/>
        <v/>
      </c>
      <c r="AT198" t="str">
        <f t="shared" si="40"/>
        <v/>
      </c>
      <c r="BG198" t="str">
        <f t="shared" si="41"/>
        <v/>
      </c>
      <c r="BH198" t="str">
        <f t="shared" si="42"/>
        <v/>
      </c>
      <c r="BL198" t="str">
        <f>IFERROR(INDEX(_names_lookup!$C:$C,MATCH(BK198,_names_lookup!$A:$A,0)),"")</f>
        <v/>
      </c>
      <c r="BM198" t="str">
        <f>IFERROR(INDEX(_names_lookup!$B:$B,MATCH(BK198,_names_lookup!$A:$A,0)),"")</f>
        <v/>
      </c>
      <c r="BS198" t="str">
        <f t="shared" si="43"/>
        <v/>
      </c>
    </row>
    <row r="199" spans="15:71" x14ac:dyDescent="0.2">
      <c r="O199" t="str">
        <f>IFERROR(INDEX(_courses_lookup!$C:$C,MATCH(K199&amp;L199,_courses_lookup!$E:$E,0)),"")</f>
        <v/>
      </c>
      <c r="P199" t="str">
        <f>IFERROR(INDEX(_courses_lookup!$D:$D,MATCH(K199&amp;L199,_courses_lookup!$E:$E,0)),"")</f>
        <v/>
      </c>
      <c r="AG199" t="str">
        <f t="shared" si="33"/>
        <v/>
      </c>
      <c r="AI199" t="str">
        <f t="shared" si="34"/>
        <v/>
      </c>
      <c r="AL199" t="str">
        <f t="shared" si="35"/>
        <v/>
      </c>
      <c r="AN199" t="str">
        <f t="shared" si="36"/>
        <v/>
      </c>
      <c r="AQ199" t="str">
        <f t="shared" si="37"/>
        <v/>
      </c>
      <c r="AR199" t="str">
        <f t="shared" si="38"/>
        <v/>
      </c>
      <c r="AS199" t="str">
        <f t="shared" si="39"/>
        <v/>
      </c>
      <c r="AT199" t="str">
        <f t="shared" si="40"/>
        <v/>
      </c>
      <c r="BG199" t="str">
        <f t="shared" si="41"/>
        <v/>
      </c>
      <c r="BH199" t="str">
        <f t="shared" si="42"/>
        <v/>
      </c>
      <c r="BL199" t="str">
        <f>IFERROR(INDEX(_names_lookup!$C:$C,MATCH(BK199,_names_lookup!$A:$A,0)),"")</f>
        <v/>
      </c>
      <c r="BM199" t="str">
        <f>IFERROR(INDEX(_names_lookup!$B:$B,MATCH(BK199,_names_lookup!$A:$A,0)),"")</f>
        <v/>
      </c>
      <c r="BS199" t="str">
        <f t="shared" si="43"/>
        <v/>
      </c>
    </row>
    <row r="200" spans="15:71" x14ac:dyDescent="0.2">
      <c r="O200" t="str">
        <f>IFERROR(INDEX(_courses_lookup!$C:$C,MATCH(K200&amp;L200,_courses_lookup!$E:$E,0)),"")</f>
        <v/>
      </c>
      <c r="P200" t="str">
        <f>IFERROR(INDEX(_courses_lookup!$D:$D,MATCH(K200&amp;L200,_courses_lookup!$E:$E,0)),"")</f>
        <v/>
      </c>
      <c r="AG200" t="str">
        <f t="shared" si="33"/>
        <v/>
      </c>
      <c r="AI200" t="str">
        <f t="shared" si="34"/>
        <v/>
      </c>
      <c r="AL200" t="str">
        <f t="shared" si="35"/>
        <v/>
      </c>
      <c r="AN200" t="str">
        <f t="shared" si="36"/>
        <v/>
      </c>
      <c r="AQ200" t="str">
        <f t="shared" si="37"/>
        <v/>
      </c>
      <c r="AR200" t="str">
        <f t="shared" si="38"/>
        <v/>
      </c>
      <c r="AS200" t="str">
        <f t="shared" si="39"/>
        <v/>
      </c>
      <c r="AT200" t="str">
        <f t="shared" si="40"/>
        <v/>
      </c>
      <c r="BG200" t="str">
        <f t="shared" si="41"/>
        <v/>
      </c>
      <c r="BH200" t="str">
        <f t="shared" si="42"/>
        <v/>
      </c>
      <c r="BL200" t="str">
        <f>IFERROR(INDEX(_names_lookup!$C:$C,MATCH(BK200,_names_lookup!$A:$A,0)),"")</f>
        <v/>
      </c>
      <c r="BM200" t="str">
        <f>IFERROR(INDEX(_names_lookup!$B:$B,MATCH(BK200,_names_lookup!$A:$A,0)),"")</f>
        <v/>
      </c>
      <c r="BS200" t="str">
        <f t="shared" si="43"/>
        <v/>
      </c>
    </row>
    <row r="201" spans="15:71" x14ac:dyDescent="0.2">
      <c r="O201" t="str">
        <f>IFERROR(INDEX(_courses_lookup!$C:$C,MATCH(K201&amp;L201,_courses_lookup!$E:$E,0)),"")</f>
        <v/>
      </c>
      <c r="P201" t="str">
        <f>IFERROR(INDEX(_courses_lookup!$D:$D,MATCH(K201&amp;L201,_courses_lookup!$E:$E,0)),"")</f>
        <v/>
      </c>
      <c r="AG201" t="str">
        <f t="shared" si="33"/>
        <v/>
      </c>
      <c r="AI201" t="str">
        <f t="shared" si="34"/>
        <v/>
      </c>
      <c r="AL201" t="str">
        <f t="shared" si="35"/>
        <v/>
      </c>
      <c r="AN201" t="str">
        <f t="shared" si="36"/>
        <v/>
      </c>
      <c r="AQ201" t="str">
        <f t="shared" si="37"/>
        <v/>
      </c>
      <c r="AR201" t="str">
        <f t="shared" si="38"/>
        <v/>
      </c>
      <c r="AS201" t="str">
        <f t="shared" si="39"/>
        <v/>
      </c>
      <c r="AT201" t="str">
        <f t="shared" si="40"/>
        <v/>
      </c>
      <c r="BG201" t="str">
        <f t="shared" si="41"/>
        <v/>
      </c>
      <c r="BH201" t="str">
        <f t="shared" si="42"/>
        <v/>
      </c>
      <c r="BL201" t="str">
        <f>IFERROR(INDEX(_names_lookup!$C:$C,MATCH(BK201,_names_lookup!$A:$A,0)),"")</f>
        <v/>
      </c>
      <c r="BM201" t="str">
        <f>IFERROR(INDEX(_names_lookup!$B:$B,MATCH(BK201,_names_lookup!$A:$A,0)),"")</f>
        <v/>
      </c>
      <c r="BS201" t="str">
        <f t="shared" si="43"/>
        <v/>
      </c>
    </row>
    <row r="202" spans="15:71" x14ac:dyDescent="0.2">
      <c r="O202" t="str">
        <f>IFERROR(INDEX(_courses_lookup!$C:$C,MATCH(K202&amp;L202,_courses_lookup!$E:$E,0)),"")</f>
        <v/>
      </c>
      <c r="P202" t="str">
        <f>IFERROR(INDEX(_courses_lookup!$D:$D,MATCH(K202&amp;L202,_courses_lookup!$E:$E,0)),"")</f>
        <v/>
      </c>
      <c r="AG202" t="str">
        <f t="shared" si="33"/>
        <v/>
      </c>
      <c r="AI202" t="str">
        <f t="shared" si="34"/>
        <v/>
      </c>
      <c r="AL202" t="str">
        <f t="shared" si="35"/>
        <v/>
      </c>
      <c r="AN202" t="str">
        <f t="shared" si="36"/>
        <v/>
      </c>
      <c r="AQ202" t="str">
        <f t="shared" si="37"/>
        <v/>
      </c>
      <c r="AR202" t="str">
        <f t="shared" si="38"/>
        <v/>
      </c>
      <c r="AS202" t="str">
        <f t="shared" si="39"/>
        <v/>
      </c>
      <c r="AT202" t="str">
        <f t="shared" si="40"/>
        <v/>
      </c>
      <c r="BG202" t="str">
        <f t="shared" si="41"/>
        <v/>
      </c>
      <c r="BH202" t="str">
        <f t="shared" si="42"/>
        <v/>
      </c>
      <c r="BL202" t="str">
        <f>IFERROR(INDEX(_names_lookup!$C:$C,MATCH(BK202,_names_lookup!$A:$A,0)),"")</f>
        <v/>
      </c>
      <c r="BM202" t="str">
        <f>IFERROR(INDEX(_names_lookup!$B:$B,MATCH(BK202,_names_lookup!$A:$A,0)),"")</f>
        <v/>
      </c>
      <c r="BS202" t="str">
        <f t="shared" si="43"/>
        <v/>
      </c>
    </row>
    <row r="203" spans="15:71" x14ac:dyDescent="0.2">
      <c r="O203" t="str">
        <f>IFERROR(INDEX(_courses_lookup!$C:$C,MATCH(K203&amp;L203,_courses_lookup!$E:$E,0)),"")</f>
        <v/>
      </c>
      <c r="P203" t="str">
        <f>IFERROR(INDEX(_courses_lookup!$D:$D,MATCH(K203&amp;L203,_courses_lookup!$E:$E,0)),"")</f>
        <v/>
      </c>
      <c r="AG203" t="str">
        <f t="shared" si="33"/>
        <v/>
      </c>
      <c r="AI203" t="str">
        <f t="shared" si="34"/>
        <v/>
      </c>
      <c r="AL203" t="str">
        <f t="shared" si="35"/>
        <v/>
      </c>
      <c r="AN203" t="str">
        <f t="shared" si="36"/>
        <v/>
      </c>
      <c r="AQ203" t="str">
        <f t="shared" si="37"/>
        <v/>
      </c>
      <c r="AR203" t="str">
        <f t="shared" si="38"/>
        <v/>
      </c>
      <c r="AS203" t="str">
        <f t="shared" si="39"/>
        <v/>
      </c>
      <c r="AT203" t="str">
        <f t="shared" si="40"/>
        <v/>
      </c>
      <c r="BG203" t="str">
        <f t="shared" si="41"/>
        <v/>
      </c>
      <c r="BH203" t="str">
        <f t="shared" si="42"/>
        <v/>
      </c>
      <c r="BL203" t="str">
        <f>IFERROR(INDEX(_names_lookup!$C:$C,MATCH(BK203,_names_lookup!$A:$A,0)),"")</f>
        <v/>
      </c>
      <c r="BM203" t="str">
        <f>IFERROR(INDEX(_names_lookup!$B:$B,MATCH(BK203,_names_lookup!$A:$A,0)),"")</f>
        <v/>
      </c>
      <c r="BS203" t="str">
        <f t="shared" si="43"/>
        <v/>
      </c>
    </row>
    <row r="204" spans="15:71" x14ac:dyDescent="0.2">
      <c r="O204" t="str">
        <f>IFERROR(INDEX(_courses_lookup!$C:$C,MATCH(K204&amp;L204,_courses_lookup!$E:$E,0)),"")</f>
        <v/>
      </c>
      <c r="P204" t="str">
        <f>IFERROR(INDEX(_courses_lookup!$D:$D,MATCH(K204&amp;L204,_courses_lookup!$E:$E,0)),"")</f>
        <v/>
      </c>
      <c r="AG204" t="str">
        <f t="shared" si="33"/>
        <v/>
      </c>
      <c r="AI204" t="str">
        <f t="shared" si="34"/>
        <v/>
      </c>
      <c r="AL204" t="str">
        <f t="shared" si="35"/>
        <v/>
      </c>
      <c r="AN204" t="str">
        <f t="shared" si="36"/>
        <v/>
      </c>
      <c r="AQ204" t="str">
        <f t="shared" si="37"/>
        <v/>
      </c>
      <c r="AR204" t="str">
        <f t="shared" si="38"/>
        <v/>
      </c>
      <c r="AS204" t="str">
        <f t="shared" si="39"/>
        <v/>
      </c>
      <c r="AT204" t="str">
        <f t="shared" si="40"/>
        <v/>
      </c>
      <c r="BG204" t="str">
        <f t="shared" si="41"/>
        <v/>
      </c>
      <c r="BH204" t="str">
        <f t="shared" si="42"/>
        <v/>
      </c>
      <c r="BL204" t="str">
        <f>IFERROR(INDEX(_names_lookup!$C:$C,MATCH(BK204,_names_lookup!$A:$A,0)),"")</f>
        <v/>
      </c>
      <c r="BM204" t="str">
        <f>IFERROR(INDEX(_names_lookup!$B:$B,MATCH(BK204,_names_lookup!$A:$A,0)),"")</f>
        <v/>
      </c>
      <c r="BS204" t="str">
        <f t="shared" si="43"/>
        <v/>
      </c>
    </row>
    <row r="205" spans="15:71" x14ac:dyDescent="0.2">
      <c r="O205" t="str">
        <f>IFERROR(INDEX(_courses_lookup!$C:$C,MATCH(K205&amp;L205,_courses_lookup!$E:$E,0)),"")</f>
        <v/>
      </c>
      <c r="P205" t="str">
        <f>IFERROR(INDEX(_courses_lookup!$D:$D,MATCH(K205&amp;L205,_courses_lookup!$E:$E,0)),"")</f>
        <v/>
      </c>
      <c r="AG205" t="str">
        <f t="shared" si="33"/>
        <v/>
      </c>
      <c r="AI205" t="str">
        <f t="shared" si="34"/>
        <v/>
      </c>
      <c r="AL205" t="str">
        <f t="shared" si="35"/>
        <v/>
      </c>
      <c r="AN205" t="str">
        <f t="shared" si="36"/>
        <v/>
      </c>
      <c r="AQ205" t="str">
        <f t="shared" si="37"/>
        <v/>
      </c>
      <c r="AR205" t="str">
        <f t="shared" si="38"/>
        <v/>
      </c>
      <c r="AS205" t="str">
        <f t="shared" si="39"/>
        <v/>
      </c>
      <c r="AT205" t="str">
        <f t="shared" si="40"/>
        <v/>
      </c>
      <c r="BG205" t="str">
        <f t="shared" si="41"/>
        <v/>
      </c>
      <c r="BH205" t="str">
        <f t="shared" si="42"/>
        <v/>
      </c>
      <c r="BL205" t="str">
        <f>IFERROR(INDEX(_names_lookup!$C:$C,MATCH(BK205,_names_lookup!$A:$A,0)),"")</f>
        <v/>
      </c>
      <c r="BM205" t="str">
        <f>IFERROR(INDEX(_names_lookup!$B:$B,MATCH(BK205,_names_lookup!$A:$A,0)),"")</f>
        <v/>
      </c>
      <c r="BS205" t="str">
        <f t="shared" si="43"/>
        <v/>
      </c>
    </row>
    <row r="206" spans="15:71" x14ac:dyDescent="0.2">
      <c r="O206" t="str">
        <f>IFERROR(INDEX(_courses_lookup!$C:$C,MATCH(K206&amp;L206,_courses_lookup!$E:$E,0)),"")</f>
        <v/>
      </c>
      <c r="P206" t="str">
        <f>IFERROR(INDEX(_courses_lookup!$D:$D,MATCH(K206&amp;L206,_courses_lookup!$E:$E,0)),"")</f>
        <v/>
      </c>
      <c r="AG206" t="str">
        <f t="shared" si="33"/>
        <v/>
      </c>
      <c r="AI206" t="str">
        <f t="shared" si="34"/>
        <v/>
      </c>
      <c r="AL206" t="str">
        <f t="shared" si="35"/>
        <v/>
      </c>
      <c r="AN206" t="str">
        <f t="shared" si="36"/>
        <v/>
      </c>
      <c r="AQ206" t="str">
        <f t="shared" si="37"/>
        <v/>
      </c>
      <c r="AR206" t="str">
        <f t="shared" si="38"/>
        <v/>
      </c>
      <c r="AS206" t="str">
        <f t="shared" si="39"/>
        <v/>
      </c>
      <c r="AT206" t="str">
        <f t="shared" si="40"/>
        <v/>
      </c>
      <c r="BG206" t="str">
        <f t="shared" si="41"/>
        <v/>
      </c>
      <c r="BH206" t="str">
        <f t="shared" si="42"/>
        <v/>
      </c>
      <c r="BL206" t="str">
        <f>IFERROR(INDEX(_names_lookup!$C:$C,MATCH(BK206,_names_lookup!$A:$A,0)),"")</f>
        <v/>
      </c>
      <c r="BM206" t="str">
        <f>IFERROR(INDEX(_names_lookup!$B:$B,MATCH(BK206,_names_lookup!$A:$A,0)),"")</f>
        <v/>
      </c>
      <c r="BS206" t="str">
        <f t="shared" si="43"/>
        <v/>
      </c>
    </row>
    <row r="207" spans="15:71" x14ac:dyDescent="0.2">
      <c r="O207" t="str">
        <f>IFERROR(INDEX(_courses_lookup!$C:$C,MATCH(K207&amp;L207,_courses_lookup!$E:$E,0)),"")</f>
        <v/>
      </c>
      <c r="P207" t="str">
        <f>IFERROR(INDEX(_courses_lookup!$D:$D,MATCH(K207&amp;L207,_courses_lookup!$E:$E,0)),"")</f>
        <v/>
      </c>
      <c r="AG207" t="str">
        <f t="shared" si="33"/>
        <v/>
      </c>
      <c r="AI207" t="str">
        <f t="shared" si="34"/>
        <v/>
      </c>
      <c r="AL207" t="str">
        <f t="shared" si="35"/>
        <v/>
      </c>
      <c r="AN207" t="str">
        <f t="shared" si="36"/>
        <v/>
      </c>
      <c r="AQ207" t="str">
        <f t="shared" si="37"/>
        <v/>
      </c>
      <c r="AR207" t="str">
        <f t="shared" si="38"/>
        <v/>
      </c>
      <c r="AS207" t="str">
        <f t="shared" si="39"/>
        <v/>
      </c>
      <c r="AT207" t="str">
        <f t="shared" si="40"/>
        <v/>
      </c>
      <c r="BG207" t="str">
        <f t="shared" si="41"/>
        <v/>
      </c>
      <c r="BH207" t="str">
        <f t="shared" si="42"/>
        <v/>
      </c>
      <c r="BL207" t="str">
        <f>IFERROR(INDEX(_names_lookup!$C:$C,MATCH(BK207,_names_lookup!$A:$A,0)),"")</f>
        <v/>
      </c>
      <c r="BM207" t="str">
        <f>IFERROR(INDEX(_names_lookup!$B:$B,MATCH(BK207,_names_lookup!$A:$A,0)),"")</f>
        <v/>
      </c>
      <c r="BS207" t="str">
        <f t="shared" si="43"/>
        <v/>
      </c>
    </row>
    <row r="208" spans="15:71" x14ac:dyDescent="0.2">
      <c r="O208" t="str">
        <f>IFERROR(INDEX(_courses_lookup!$C:$C,MATCH(K208&amp;L208,_courses_lookup!$E:$E,0)),"")</f>
        <v/>
      </c>
      <c r="P208" t="str">
        <f>IFERROR(INDEX(_courses_lookup!$D:$D,MATCH(K208&amp;L208,_courses_lookup!$E:$E,0)),"")</f>
        <v/>
      </c>
      <c r="AG208" t="str">
        <f t="shared" si="33"/>
        <v/>
      </c>
      <c r="AI208" t="str">
        <f t="shared" si="34"/>
        <v/>
      </c>
      <c r="AL208" t="str">
        <f t="shared" si="35"/>
        <v/>
      </c>
      <c r="AN208" t="str">
        <f t="shared" si="36"/>
        <v/>
      </c>
      <c r="AQ208" t="str">
        <f t="shared" si="37"/>
        <v/>
      </c>
      <c r="AR208" t="str">
        <f t="shared" si="38"/>
        <v/>
      </c>
      <c r="AS208" t="str">
        <f t="shared" si="39"/>
        <v/>
      </c>
      <c r="AT208" t="str">
        <f t="shared" si="40"/>
        <v/>
      </c>
      <c r="BG208" t="str">
        <f t="shared" si="41"/>
        <v/>
      </c>
      <c r="BH208" t="str">
        <f t="shared" si="42"/>
        <v/>
      </c>
      <c r="BL208" t="str">
        <f>IFERROR(INDEX(_names_lookup!$C:$C,MATCH(BK208,_names_lookup!$A:$A,0)),"")</f>
        <v/>
      </c>
      <c r="BM208" t="str">
        <f>IFERROR(INDEX(_names_lookup!$B:$B,MATCH(BK208,_names_lookup!$A:$A,0)),"")</f>
        <v/>
      </c>
      <c r="BS208" t="str">
        <f t="shared" si="43"/>
        <v/>
      </c>
    </row>
    <row r="209" spans="15:71" x14ac:dyDescent="0.2">
      <c r="O209" t="str">
        <f>IFERROR(INDEX(_courses_lookup!$C:$C,MATCH(K209&amp;L209,_courses_lookup!$E:$E,0)),"")</f>
        <v/>
      </c>
      <c r="P209" t="str">
        <f>IFERROR(INDEX(_courses_lookup!$D:$D,MATCH(K209&amp;L209,_courses_lookup!$E:$E,0)),"")</f>
        <v/>
      </c>
      <c r="AG209" t="str">
        <f t="shared" si="33"/>
        <v/>
      </c>
      <c r="AI209" t="str">
        <f t="shared" si="34"/>
        <v/>
      </c>
      <c r="AL209" t="str">
        <f t="shared" si="35"/>
        <v/>
      </c>
      <c r="AN209" t="str">
        <f t="shared" si="36"/>
        <v/>
      </c>
      <c r="AQ209" t="str">
        <f t="shared" si="37"/>
        <v/>
      </c>
      <c r="AR209" t="str">
        <f t="shared" si="38"/>
        <v/>
      </c>
      <c r="AS209" t="str">
        <f t="shared" si="39"/>
        <v/>
      </c>
      <c r="AT209" t="str">
        <f t="shared" si="40"/>
        <v/>
      </c>
      <c r="BG209" t="str">
        <f t="shared" si="41"/>
        <v/>
      </c>
      <c r="BH209" t="str">
        <f t="shared" si="42"/>
        <v/>
      </c>
      <c r="BL209" t="str">
        <f>IFERROR(INDEX(_names_lookup!$C:$C,MATCH(BK209,_names_lookup!$A:$A,0)),"")</f>
        <v/>
      </c>
      <c r="BM209" t="str">
        <f>IFERROR(INDEX(_names_lookup!$B:$B,MATCH(BK209,_names_lookup!$A:$A,0)),"")</f>
        <v/>
      </c>
      <c r="BS209" t="str">
        <f t="shared" si="43"/>
        <v/>
      </c>
    </row>
    <row r="210" spans="15:71" x14ac:dyDescent="0.2">
      <c r="O210" t="str">
        <f>IFERROR(INDEX(_courses_lookup!$C:$C,MATCH(K210&amp;L210,_courses_lookup!$E:$E,0)),"")</f>
        <v/>
      </c>
      <c r="P210" t="str">
        <f>IFERROR(INDEX(_courses_lookup!$D:$D,MATCH(K210&amp;L210,_courses_lookup!$E:$E,0)),"")</f>
        <v/>
      </c>
      <c r="AG210" t="str">
        <f t="shared" si="33"/>
        <v/>
      </c>
      <c r="AI210" t="str">
        <f t="shared" si="34"/>
        <v/>
      </c>
      <c r="AL210" t="str">
        <f t="shared" si="35"/>
        <v/>
      </c>
      <c r="AN210" t="str">
        <f t="shared" si="36"/>
        <v/>
      </c>
      <c r="AQ210" t="str">
        <f t="shared" si="37"/>
        <v/>
      </c>
      <c r="AR210" t="str">
        <f t="shared" si="38"/>
        <v/>
      </c>
      <c r="AS210" t="str">
        <f t="shared" si="39"/>
        <v/>
      </c>
      <c r="AT210" t="str">
        <f t="shared" si="40"/>
        <v/>
      </c>
      <c r="BG210" t="str">
        <f t="shared" si="41"/>
        <v/>
      </c>
      <c r="BH210" t="str">
        <f t="shared" si="42"/>
        <v/>
      </c>
      <c r="BL210" t="str">
        <f>IFERROR(INDEX(_names_lookup!$C:$C,MATCH(BK210,_names_lookup!$A:$A,0)),"")</f>
        <v/>
      </c>
      <c r="BM210" t="str">
        <f>IFERROR(INDEX(_names_lookup!$B:$B,MATCH(BK210,_names_lookup!$A:$A,0)),"")</f>
        <v/>
      </c>
      <c r="BS210" t="str">
        <f t="shared" si="43"/>
        <v/>
      </c>
    </row>
    <row r="211" spans="15:71" x14ac:dyDescent="0.2">
      <c r="O211" t="str">
        <f>IFERROR(INDEX(_courses_lookup!$C:$C,MATCH(K211&amp;L211,_courses_lookup!$E:$E,0)),"")</f>
        <v/>
      </c>
      <c r="P211" t="str">
        <f>IFERROR(INDEX(_courses_lookup!$D:$D,MATCH(K211&amp;L211,_courses_lookup!$E:$E,0)),"")</f>
        <v/>
      </c>
      <c r="AG211" t="str">
        <f t="shared" si="33"/>
        <v/>
      </c>
      <c r="AI211" t="str">
        <f t="shared" si="34"/>
        <v/>
      </c>
      <c r="AL211" t="str">
        <f t="shared" si="35"/>
        <v/>
      </c>
      <c r="AN211" t="str">
        <f t="shared" si="36"/>
        <v/>
      </c>
      <c r="AQ211" t="str">
        <f t="shared" si="37"/>
        <v/>
      </c>
      <c r="AR211" t="str">
        <f t="shared" si="38"/>
        <v/>
      </c>
      <c r="AS211" t="str">
        <f t="shared" si="39"/>
        <v/>
      </c>
      <c r="AT211" t="str">
        <f t="shared" si="40"/>
        <v/>
      </c>
      <c r="BG211" t="str">
        <f t="shared" si="41"/>
        <v/>
      </c>
      <c r="BH211" t="str">
        <f t="shared" si="42"/>
        <v/>
      </c>
      <c r="BL211" t="str">
        <f>IFERROR(INDEX(_names_lookup!$C:$C,MATCH(BK211,_names_lookup!$A:$A,0)),"")</f>
        <v/>
      </c>
      <c r="BM211" t="str">
        <f>IFERROR(INDEX(_names_lookup!$B:$B,MATCH(BK211,_names_lookup!$A:$A,0)),"")</f>
        <v/>
      </c>
      <c r="BS211" t="str">
        <f t="shared" si="43"/>
        <v/>
      </c>
    </row>
    <row r="212" spans="15:71" x14ac:dyDescent="0.2">
      <c r="O212" t="str">
        <f>IFERROR(INDEX(_courses_lookup!$C:$C,MATCH(K212&amp;L212,_courses_lookup!$E:$E,0)),"")</f>
        <v/>
      </c>
      <c r="P212" t="str">
        <f>IFERROR(INDEX(_courses_lookup!$D:$D,MATCH(K212&amp;L212,_courses_lookup!$E:$E,0)),"")</f>
        <v/>
      </c>
      <c r="AG212" t="str">
        <f t="shared" si="33"/>
        <v/>
      </c>
      <c r="AI212" t="str">
        <f t="shared" si="34"/>
        <v/>
      </c>
      <c r="AL212" t="str">
        <f t="shared" si="35"/>
        <v/>
      </c>
      <c r="AN212" t="str">
        <f t="shared" si="36"/>
        <v/>
      </c>
      <c r="AQ212" t="str">
        <f t="shared" si="37"/>
        <v/>
      </c>
      <c r="AR212" t="str">
        <f t="shared" si="38"/>
        <v/>
      </c>
      <c r="AS212" t="str">
        <f t="shared" si="39"/>
        <v/>
      </c>
      <c r="AT212" t="str">
        <f t="shared" si="40"/>
        <v/>
      </c>
      <c r="BG212" t="str">
        <f t="shared" si="41"/>
        <v/>
      </c>
      <c r="BH212" t="str">
        <f t="shared" si="42"/>
        <v/>
      </c>
      <c r="BL212" t="str">
        <f>IFERROR(INDEX(_names_lookup!$C:$C,MATCH(BK212,_names_lookup!$A:$A,0)),"")</f>
        <v/>
      </c>
      <c r="BM212" t="str">
        <f>IFERROR(INDEX(_names_lookup!$B:$B,MATCH(BK212,_names_lookup!$A:$A,0)),"")</f>
        <v/>
      </c>
      <c r="BS212" t="str">
        <f t="shared" si="43"/>
        <v/>
      </c>
    </row>
    <row r="213" spans="15:71" x14ac:dyDescent="0.2">
      <c r="O213" t="str">
        <f>IFERROR(INDEX(_courses_lookup!$C:$C,MATCH(K213&amp;L213,_courses_lookup!$E:$E,0)),"")</f>
        <v/>
      </c>
      <c r="P213" t="str">
        <f>IFERROR(INDEX(_courses_lookup!$D:$D,MATCH(K213&amp;L213,_courses_lookup!$E:$E,0)),"")</f>
        <v/>
      </c>
      <c r="AG213" t="str">
        <f t="shared" si="33"/>
        <v/>
      </c>
      <c r="AI213" t="str">
        <f t="shared" si="34"/>
        <v/>
      </c>
      <c r="AL213" t="str">
        <f t="shared" si="35"/>
        <v/>
      </c>
      <c r="AN213" t="str">
        <f t="shared" si="36"/>
        <v/>
      </c>
      <c r="AQ213" t="str">
        <f t="shared" si="37"/>
        <v/>
      </c>
      <c r="AR213" t="str">
        <f t="shared" si="38"/>
        <v/>
      </c>
      <c r="AS213" t="str">
        <f t="shared" si="39"/>
        <v/>
      </c>
      <c r="AT213" t="str">
        <f t="shared" si="40"/>
        <v/>
      </c>
      <c r="BG213" t="str">
        <f t="shared" si="41"/>
        <v/>
      </c>
      <c r="BH213" t="str">
        <f t="shared" si="42"/>
        <v/>
      </c>
      <c r="BL213" t="str">
        <f>IFERROR(INDEX(_names_lookup!$C:$C,MATCH(BK213,_names_lookup!$A:$A,0)),"")</f>
        <v/>
      </c>
      <c r="BM213" t="str">
        <f>IFERROR(INDEX(_names_lookup!$B:$B,MATCH(BK213,_names_lookup!$A:$A,0)),"")</f>
        <v/>
      </c>
      <c r="BS213" t="str">
        <f t="shared" si="43"/>
        <v/>
      </c>
    </row>
    <row r="214" spans="15:71" x14ac:dyDescent="0.2">
      <c r="O214" t="str">
        <f>IFERROR(INDEX(_courses_lookup!$C:$C,MATCH(K214&amp;L214,_courses_lookup!$E:$E,0)),"")</f>
        <v/>
      </c>
      <c r="P214" t="str">
        <f>IFERROR(INDEX(_courses_lookup!$D:$D,MATCH(K214&amp;L214,_courses_lookup!$E:$E,0)),"")</f>
        <v/>
      </c>
      <c r="AG214" t="str">
        <f t="shared" si="33"/>
        <v/>
      </c>
      <c r="AI214" t="str">
        <f t="shared" si="34"/>
        <v/>
      </c>
      <c r="AL214" t="str">
        <f t="shared" si="35"/>
        <v/>
      </c>
      <c r="AN214" t="str">
        <f t="shared" si="36"/>
        <v/>
      </c>
      <c r="AQ214" t="str">
        <f t="shared" si="37"/>
        <v/>
      </c>
      <c r="AR214" t="str">
        <f t="shared" si="38"/>
        <v/>
      </c>
      <c r="AS214" t="str">
        <f t="shared" si="39"/>
        <v/>
      </c>
      <c r="AT214" t="str">
        <f t="shared" si="40"/>
        <v/>
      </c>
      <c r="BG214" t="str">
        <f t="shared" si="41"/>
        <v/>
      </c>
      <c r="BH214" t="str">
        <f t="shared" si="42"/>
        <v/>
      </c>
      <c r="BL214" t="str">
        <f>IFERROR(INDEX(_names_lookup!$C:$C,MATCH(BK214,_names_lookup!$A:$A,0)),"")</f>
        <v/>
      </c>
      <c r="BM214" t="str">
        <f>IFERROR(INDEX(_names_lookup!$B:$B,MATCH(BK214,_names_lookup!$A:$A,0)),"")</f>
        <v/>
      </c>
      <c r="BS214" t="str">
        <f t="shared" si="43"/>
        <v/>
      </c>
    </row>
    <row r="215" spans="15:71" x14ac:dyDescent="0.2">
      <c r="O215" t="str">
        <f>IFERROR(INDEX(_courses_lookup!$C:$C,MATCH(K215&amp;L215,_courses_lookup!$E:$E,0)),"")</f>
        <v/>
      </c>
      <c r="P215" t="str">
        <f>IFERROR(INDEX(_courses_lookup!$D:$D,MATCH(K215&amp;L215,_courses_lookup!$E:$E,0)),"")</f>
        <v/>
      </c>
      <c r="AG215" t="str">
        <f t="shared" si="33"/>
        <v/>
      </c>
      <c r="AI215" t="str">
        <f t="shared" si="34"/>
        <v/>
      </c>
      <c r="AL215" t="str">
        <f t="shared" si="35"/>
        <v/>
      </c>
      <c r="AN215" t="str">
        <f t="shared" si="36"/>
        <v/>
      </c>
      <c r="AQ215" t="str">
        <f t="shared" si="37"/>
        <v/>
      </c>
      <c r="AR215" t="str">
        <f t="shared" si="38"/>
        <v/>
      </c>
      <c r="AS215" t="str">
        <f t="shared" si="39"/>
        <v/>
      </c>
      <c r="AT215" t="str">
        <f t="shared" si="40"/>
        <v/>
      </c>
      <c r="BG215" t="str">
        <f t="shared" si="41"/>
        <v/>
      </c>
      <c r="BH215" t="str">
        <f t="shared" si="42"/>
        <v/>
      </c>
      <c r="BL215" t="str">
        <f>IFERROR(INDEX(_names_lookup!$C:$C,MATCH(BK215,_names_lookup!$A:$A,0)),"")</f>
        <v/>
      </c>
      <c r="BM215" t="str">
        <f>IFERROR(INDEX(_names_lookup!$B:$B,MATCH(BK215,_names_lookup!$A:$A,0)),"")</f>
        <v/>
      </c>
      <c r="BS215" t="str">
        <f t="shared" si="43"/>
        <v/>
      </c>
    </row>
    <row r="216" spans="15:71" x14ac:dyDescent="0.2">
      <c r="O216" t="str">
        <f>IFERROR(INDEX(_courses_lookup!$C:$C,MATCH(K216&amp;L216,_courses_lookup!$E:$E,0)),"")</f>
        <v/>
      </c>
      <c r="P216" t="str">
        <f>IFERROR(INDEX(_courses_lookup!$D:$D,MATCH(K216&amp;L216,_courses_lookup!$E:$E,0)),"")</f>
        <v/>
      </c>
      <c r="AG216" t="str">
        <f t="shared" si="33"/>
        <v/>
      </c>
      <c r="AI216" t="str">
        <f t="shared" si="34"/>
        <v/>
      </c>
      <c r="AL216" t="str">
        <f t="shared" si="35"/>
        <v/>
      </c>
      <c r="AN216" t="str">
        <f t="shared" si="36"/>
        <v/>
      </c>
      <c r="AQ216" t="str">
        <f t="shared" si="37"/>
        <v/>
      </c>
      <c r="AR216" t="str">
        <f t="shared" si="38"/>
        <v/>
      </c>
      <c r="AS216" t="str">
        <f t="shared" si="39"/>
        <v/>
      </c>
      <c r="AT216" t="str">
        <f t="shared" si="40"/>
        <v/>
      </c>
      <c r="BG216" t="str">
        <f t="shared" si="41"/>
        <v/>
      </c>
      <c r="BH216" t="str">
        <f t="shared" si="42"/>
        <v/>
      </c>
      <c r="BL216" t="str">
        <f>IFERROR(INDEX(_names_lookup!$C:$C,MATCH(BK216,_names_lookup!$A:$A,0)),"")</f>
        <v/>
      </c>
      <c r="BM216" t="str">
        <f>IFERROR(INDEX(_names_lookup!$B:$B,MATCH(BK216,_names_lookup!$A:$A,0)),"")</f>
        <v/>
      </c>
      <c r="BS216" t="str">
        <f t="shared" si="43"/>
        <v/>
      </c>
    </row>
    <row r="217" spans="15:71" x14ac:dyDescent="0.2">
      <c r="O217" t="str">
        <f>IFERROR(INDEX(_courses_lookup!$C:$C,MATCH(K217&amp;L217,_courses_lookup!$E:$E,0)),"")</f>
        <v/>
      </c>
      <c r="P217" t="str">
        <f>IFERROR(INDEX(_courses_lookup!$D:$D,MATCH(K217&amp;L217,_courses_lookup!$E:$E,0)),"")</f>
        <v/>
      </c>
      <c r="AG217" t="str">
        <f t="shared" si="33"/>
        <v/>
      </c>
      <c r="AI217" t="str">
        <f t="shared" si="34"/>
        <v/>
      </c>
      <c r="AL217" t="str">
        <f t="shared" si="35"/>
        <v/>
      </c>
      <c r="AN217" t="str">
        <f t="shared" si="36"/>
        <v/>
      </c>
      <c r="AQ217" t="str">
        <f t="shared" si="37"/>
        <v/>
      </c>
      <c r="AR217" t="str">
        <f t="shared" si="38"/>
        <v/>
      </c>
      <c r="AS217" t="str">
        <f t="shared" si="39"/>
        <v/>
      </c>
      <c r="AT217" t="str">
        <f t="shared" si="40"/>
        <v/>
      </c>
      <c r="BG217" t="str">
        <f t="shared" si="41"/>
        <v/>
      </c>
      <c r="BH217" t="str">
        <f t="shared" si="42"/>
        <v/>
      </c>
      <c r="BL217" t="str">
        <f>IFERROR(INDEX(_names_lookup!$C:$C,MATCH(BK217,_names_lookup!$A:$A,0)),"")</f>
        <v/>
      </c>
      <c r="BM217" t="str">
        <f>IFERROR(INDEX(_names_lookup!$B:$B,MATCH(BK217,_names_lookup!$A:$A,0)),"")</f>
        <v/>
      </c>
      <c r="BS217" t="str">
        <f t="shared" si="43"/>
        <v/>
      </c>
    </row>
    <row r="218" spans="15:71" x14ac:dyDescent="0.2">
      <c r="O218" t="str">
        <f>IFERROR(INDEX(_courses_lookup!$C:$C,MATCH(K218&amp;L218,_courses_lookup!$E:$E,0)),"")</f>
        <v/>
      </c>
      <c r="P218" t="str">
        <f>IFERROR(INDEX(_courses_lookup!$D:$D,MATCH(K218&amp;L218,_courses_lookup!$E:$E,0)),"")</f>
        <v/>
      </c>
      <c r="AG218" t="str">
        <f t="shared" si="33"/>
        <v/>
      </c>
      <c r="AI218" t="str">
        <f t="shared" si="34"/>
        <v/>
      </c>
      <c r="AL218" t="str">
        <f t="shared" si="35"/>
        <v/>
      </c>
      <c r="AN218" t="str">
        <f t="shared" si="36"/>
        <v/>
      </c>
      <c r="AQ218" t="str">
        <f t="shared" si="37"/>
        <v/>
      </c>
      <c r="AR218" t="str">
        <f t="shared" si="38"/>
        <v/>
      </c>
      <c r="AS218" t="str">
        <f t="shared" si="39"/>
        <v/>
      </c>
      <c r="AT218" t="str">
        <f t="shared" si="40"/>
        <v/>
      </c>
      <c r="BG218" t="str">
        <f t="shared" si="41"/>
        <v/>
      </c>
      <c r="BH218" t="str">
        <f t="shared" si="42"/>
        <v/>
      </c>
      <c r="BL218" t="str">
        <f>IFERROR(INDEX(_names_lookup!$C:$C,MATCH(BK218,_names_lookup!$A:$A,0)),"")</f>
        <v/>
      </c>
      <c r="BM218" t="str">
        <f>IFERROR(INDEX(_names_lookup!$B:$B,MATCH(BK218,_names_lookup!$A:$A,0)),"")</f>
        <v/>
      </c>
      <c r="BS218" t="str">
        <f t="shared" si="43"/>
        <v/>
      </c>
    </row>
    <row r="219" spans="15:71" x14ac:dyDescent="0.2">
      <c r="O219" t="str">
        <f>IFERROR(INDEX(_courses_lookup!$C:$C,MATCH(K219&amp;L219,_courses_lookup!$E:$E,0)),"")</f>
        <v/>
      </c>
      <c r="P219" t="str">
        <f>IFERROR(INDEX(_courses_lookup!$D:$D,MATCH(K219&amp;L219,_courses_lookup!$E:$E,0)),"")</f>
        <v/>
      </c>
      <c r="AG219" t="str">
        <f t="shared" si="33"/>
        <v/>
      </c>
      <c r="AI219" t="str">
        <f t="shared" si="34"/>
        <v/>
      </c>
      <c r="AL219" t="str">
        <f t="shared" si="35"/>
        <v/>
      </c>
      <c r="AN219" t="str">
        <f t="shared" si="36"/>
        <v/>
      </c>
      <c r="AQ219" t="str">
        <f t="shared" si="37"/>
        <v/>
      </c>
      <c r="AR219" t="str">
        <f t="shared" si="38"/>
        <v/>
      </c>
      <c r="AS219" t="str">
        <f t="shared" si="39"/>
        <v/>
      </c>
      <c r="AT219" t="str">
        <f t="shared" si="40"/>
        <v/>
      </c>
      <c r="BG219" t="str">
        <f t="shared" si="41"/>
        <v/>
      </c>
      <c r="BH219" t="str">
        <f t="shared" si="42"/>
        <v/>
      </c>
      <c r="BL219" t="str">
        <f>IFERROR(INDEX(_names_lookup!$C:$C,MATCH(BK219,_names_lookup!$A:$A,0)),"")</f>
        <v/>
      </c>
      <c r="BM219" t="str">
        <f>IFERROR(INDEX(_names_lookup!$B:$B,MATCH(BK219,_names_lookup!$A:$A,0)),"")</f>
        <v/>
      </c>
      <c r="BS219" t="str">
        <f t="shared" si="43"/>
        <v/>
      </c>
    </row>
    <row r="220" spans="15:71" x14ac:dyDescent="0.2">
      <c r="O220" t="str">
        <f>IFERROR(INDEX(_courses_lookup!$C:$C,MATCH(K220&amp;L220,_courses_lookup!$E:$E,0)),"")</f>
        <v/>
      </c>
      <c r="P220" t="str">
        <f>IFERROR(INDEX(_courses_lookup!$D:$D,MATCH(K220&amp;L220,_courses_lookup!$E:$E,0)),"")</f>
        <v/>
      </c>
      <c r="AG220" t="str">
        <f t="shared" si="33"/>
        <v/>
      </c>
      <c r="AI220" t="str">
        <f t="shared" si="34"/>
        <v/>
      </c>
      <c r="AL220" t="str">
        <f t="shared" si="35"/>
        <v/>
      </c>
      <c r="AN220" t="str">
        <f t="shared" si="36"/>
        <v/>
      </c>
      <c r="AQ220" t="str">
        <f t="shared" si="37"/>
        <v/>
      </c>
      <c r="AR220" t="str">
        <f t="shared" si="38"/>
        <v/>
      </c>
      <c r="AS220" t="str">
        <f t="shared" si="39"/>
        <v/>
      </c>
      <c r="AT220" t="str">
        <f t="shared" si="40"/>
        <v/>
      </c>
      <c r="BG220" t="str">
        <f t="shared" si="41"/>
        <v/>
      </c>
      <c r="BH220" t="str">
        <f t="shared" si="42"/>
        <v/>
      </c>
      <c r="BL220" t="str">
        <f>IFERROR(INDEX(_names_lookup!$C:$C,MATCH(BK220,_names_lookup!$A:$A,0)),"")</f>
        <v/>
      </c>
      <c r="BM220" t="str">
        <f>IFERROR(INDEX(_names_lookup!$B:$B,MATCH(BK220,_names_lookup!$A:$A,0)),"")</f>
        <v/>
      </c>
      <c r="BS220" t="str">
        <f t="shared" si="43"/>
        <v/>
      </c>
    </row>
    <row r="221" spans="15:71" x14ac:dyDescent="0.2">
      <c r="O221" t="str">
        <f>IFERROR(INDEX(_courses_lookup!$C:$C,MATCH(K221&amp;L221,_courses_lookup!$E:$E,0)),"")</f>
        <v/>
      </c>
      <c r="P221" t="str">
        <f>IFERROR(INDEX(_courses_lookup!$D:$D,MATCH(K221&amp;L221,_courses_lookup!$E:$E,0)),"")</f>
        <v/>
      </c>
      <c r="AG221" t="str">
        <f t="shared" si="33"/>
        <v/>
      </c>
      <c r="AI221" t="str">
        <f t="shared" si="34"/>
        <v/>
      </c>
      <c r="AL221" t="str">
        <f t="shared" si="35"/>
        <v/>
      </c>
      <c r="AN221" t="str">
        <f t="shared" si="36"/>
        <v/>
      </c>
      <c r="AQ221" t="str">
        <f t="shared" si="37"/>
        <v/>
      </c>
      <c r="AR221" t="str">
        <f t="shared" si="38"/>
        <v/>
      </c>
      <c r="AS221" t="str">
        <f t="shared" si="39"/>
        <v/>
      </c>
      <c r="AT221" t="str">
        <f t="shared" si="40"/>
        <v/>
      </c>
      <c r="BG221" t="str">
        <f t="shared" si="41"/>
        <v/>
      </c>
      <c r="BH221" t="str">
        <f t="shared" si="42"/>
        <v/>
      </c>
      <c r="BL221" t="str">
        <f>IFERROR(INDEX(_names_lookup!$C:$C,MATCH(BK221,_names_lookup!$A:$A,0)),"")</f>
        <v/>
      </c>
      <c r="BM221" t="str">
        <f>IFERROR(INDEX(_names_lookup!$B:$B,MATCH(BK221,_names_lookup!$A:$A,0)),"")</f>
        <v/>
      </c>
      <c r="BS221" t="str">
        <f t="shared" si="43"/>
        <v/>
      </c>
    </row>
    <row r="222" spans="15:71" x14ac:dyDescent="0.2">
      <c r="O222" t="str">
        <f>IFERROR(INDEX(_courses_lookup!$C:$C,MATCH(K222&amp;L222,_courses_lookup!$E:$E,0)),"")</f>
        <v/>
      </c>
      <c r="P222" t="str">
        <f>IFERROR(INDEX(_courses_lookup!$D:$D,MATCH(K222&amp;L222,_courses_lookup!$E:$E,0)),"")</f>
        <v/>
      </c>
      <c r="AG222" t="str">
        <f t="shared" si="33"/>
        <v/>
      </c>
      <c r="AI222" t="str">
        <f t="shared" si="34"/>
        <v/>
      </c>
      <c r="AL222" t="str">
        <f t="shared" si="35"/>
        <v/>
      </c>
      <c r="AN222" t="str">
        <f t="shared" si="36"/>
        <v/>
      </c>
      <c r="AQ222" t="str">
        <f t="shared" si="37"/>
        <v/>
      </c>
      <c r="AR222" t="str">
        <f t="shared" si="38"/>
        <v/>
      </c>
      <c r="AS222" t="str">
        <f t="shared" si="39"/>
        <v/>
      </c>
      <c r="AT222" t="str">
        <f t="shared" si="40"/>
        <v/>
      </c>
      <c r="BG222" t="str">
        <f t="shared" si="41"/>
        <v/>
      </c>
      <c r="BH222" t="str">
        <f t="shared" si="42"/>
        <v/>
      </c>
      <c r="BL222" t="str">
        <f>IFERROR(INDEX(_names_lookup!$C:$C,MATCH(BK222,_names_lookup!$A:$A,0)),"")</f>
        <v/>
      </c>
      <c r="BM222" t="str">
        <f>IFERROR(INDEX(_names_lookup!$B:$B,MATCH(BK222,_names_lookup!$A:$A,0)),"")</f>
        <v/>
      </c>
      <c r="BS222" t="str">
        <f t="shared" si="43"/>
        <v/>
      </c>
    </row>
    <row r="223" spans="15:71" x14ac:dyDescent="0.2">
      <c r="O223" t="str">
        <f>IFERROR(INDEX(_courses_lookup!$C:$C,MATCH(K223&amp;L223,_courses_lookup!$E:$E,0)),"")</f>
        <v/>
      </c>
      <c r="P223" t="str">
        <f>IFERROR(INDEX(_courses_lookup!$D:$D,MATCH(K223&amp;L223,_courses_lookup!$E:$E,0)),"")</f>
        <v/>
      </c>
      <c r="AG223" t="str">
        <f t="shared" si="33"/>
        <v/>
      </c>
      <c r="AI223" t="str">
        <f t="shared" si="34"/>
        <v/>
      </c>
      <c r="AL223" t="str">
        <f t="shared" si="35"/>
        <v/>
      </c>
      <c r="AN223" t="str">
        <f t="shared" si="36"/>
        <v/>
      </c>
      <c r="AQ223" t="str">
        <f t="shared" si="37"/>
        <v/>
      </c>
      <c r="AR223" t="str">
        <f t="shared" si="38"/>
        <v/>
      </c>
      <c r="AS223" t="str">
        <f t="shared" si="39"/>
        <v/>
      </c>
      <c r="AT223" t="str">
        <f t="shared" si="40"/>
        <v/>
      </c>
      <c r="BG223" t="str">
        <f t="shared" si="41"/>
        <v/>
      </c>
      <c r="BH223" t="str">
        <f t="shared" si="42"/>
        <v/>
      </c>
      <c r="BL223" t="str">
        <f>IFERROR(INDEX(_names_lookup!$C:$C,MATCH(BK223,_names_lookup!$A:$A,0)),"")</f>
        <v/>
      </c>
      <c r="BM223" t="str">
        <f>IFERROR(INDEX(_names_lookup!$B:$B,MATCH(BK223,_names_lookup!$A:$A,0)),"")</f>
        <v/>
      </c>
      <c r="BS223" t="str">
        <f t="shared" si="43"/>
        <v/>
      </c>
    </row>
    <row r="224" spans="15:71" x14ac:dyDescent="0.2">
      <c r="O224" t="str">
        <f>IFERROR(INDEX(_courses_lookup!$C:$C,MATCH(K224&amp;L224,_courses_lookup!$E:$E,0)),"")</f>
        <v/>
      </c>
      <c r="P224" t="str">
        <f>IFERROR(INDEX(_courses_lookup!$D:$D,MATCH(K224&amp;L224,_courses_lookup!$E:$E,0)),"")</f>
        <v/>
      </c>
      <c r="AG224" t="str">
        <f t="shared" si="33"/>
        <v/>
      </c>
      <c r="AI224" t="str">
        <f t="shared" si="34"/>
        <v/>
      </c>
      <c r="AL224" t="str">
        <f t="shared" si="35"/>
        <v/>
      </c>
      <c r="AN224" t="str">
        <f t="shared" si="36"/>
        <v/>
      </c>
      <c r="AQ224" t="str">
        <f t="shared" si="37"/>
        <v/>
      </c>
      <c r="AR224" t="str">
        <f t="shared" si="38"/>
        <v/>
      </c>
      <c r="AS224" t="str">
        <f t="shared" si="39"/>
        <v/>
      </c>
      <c r="AT224" t="str">
        <f t="shared" si="40"/>
        <v/>
      </c>
      <c r="BG224" t="str">
        <f t="shared" si="41"/>
        <v/>
      </c>
      <c r="BH224" t="str">
        <f t="shared" si="42"/>
        <v/>
      </c>
      <c r="BL224" t="str">
        <f>IFERROR(INDEX(_names_lookup!$C:$C,MATCH(BK224,_names_lookup!$A:$A,0)),"")</f>
        <v/>
      </c>
      <c r="BM224" t="str">
        <f>IFERROR(INDEX(_names_lookup!$B:$B,MATCH(BK224,_names_lookup!$A:$A,0)),"")</f>
        <v/>
      </c>
      <c r="BS224" t="str">
        <f t="shared" si="43"/>
        <v/>
      </c>
    </row>
    <row r="225" spans="15:71" x14ac:dyDescent="0.2">
      <c r="O225" t="str">
        <f>IFERROR(INDEX(_courses_lookup!$C:$C,MATCH(K225&amp;L225,_courses_lookup!$E:$E,0)),"")</f>
        <v/>
      </c>
      <c r="P225" t="str">
        <f>IFERROR(INDEX(_courses_lookup!$D:$D,MATCH(K225&amp;L225,_courses_lookup!$E:$E,0)),"")</f>
        <v/>
      </c>
      <c r="AG225" t="str">
        <f t="shared" si="33"/>
        <v/>
      </c>
      <c r="AI225" t="str">
        <f t="shared" si="34"/>
        <v/>
      </c>
      <c r="AL225" t="str">
        <f t="shared" si="35"/>
        <v/>
      </c>
      <c r="AN225" t="str">
        <f t="shared" si="36"/>
        <v/>
      </c>
      <c r="AQ225" t="str">
        <f t="shared" si="37"/>
        <v/>
      </c>
      <c r="AR225" t="str">
        <f t="shared" si="38"/>
        <v/>
      </c>
      <c r="AS225" t="str">
        <f t="shared" si="39"/>
        <v/>
      </c>
      <c r="AT225" t="str">
        <f t="shared" si="40"/>
        <v/>
      </c>
      <c r="BG225" t="str">
        <f t="shared" si="41"/>
        <v/>
      </c>
      <c r="BH225" t="str">
        <f t="shared" si="42"/>
        <v/>
      </c>
      <c r="BL225" t="str">
        <f>IFERROR(INDEX(_names_lookup!$C:$C,MATCH(BK225,_names_lookup!$A:$A,0)),"")</f>
        <v/>
      </c>
      <c r="BM225" t="str">
        <f>IFERROR(INDEX(_names_lookup!$B:$B,MATCH(BK225,_names_lookup!$A:$A,0)),"")</f>
        <v/>
      </c>
      <c r="BS225" t="str">
        <f t="shared" si="43"/>
        <v/>
      </c>
    </row>
    <row r="226" spans="15:71" x14ac:dyDescent="0.2">
      <c r="O226" t="str">
        <f>IFERROR(INDEX(_courses_lookup!$C:$C,MATCH(K226&amp;L226,_courses_lookup!$E:$E,0)),"")</f>
        <v/>
      </c>
      <c r="P226" t="str">
        <f>IFERROR(INDEX(_courses_lookup!$D:$D,MATCH(K226&amp;L226,_courses_lookup!$E:$E,0)),"")</f>
        <v/>
      </c>
      <c r="AG226" t="str">
        <f t="shared" si="33"/>
        <v/>
      </c>
      <c r="AI226" t="str">
        <f t="shared" si="34"/>
        <v/>
      </c>
      <c r="AL226" t="str">
        <f t="shared" si="35"/>
        <v/>
      </c>
      <c r="AN226" t="str">
        <f t="shared" si="36"/>
        <v/>
      </c>
      <c r="AQ226" t="str">
        <f t="shared" si="37"/>
        <v/>
      </c>
      <c r="AR226" t="str">
        <f t="shared" si="38"/>
        <v/>
      </c>
      <c r="AS226" t="str">
        <f t="shared" si="39"/>
        <v/>
      </c>
      <c r="AT226" t="str">
        <f t="shared" si="40"/>
        <v/>
      </c>
      <c r="BG226" t="str">
        <f t="shared" si="41"/>
        <v/>
      </c>
      <c r="BH226" t="str">
        <f t="shared" si="42"/>
        <v/>
      </c>
      <c r="BL226" t="str">
        <f>IFERROR(INDEX(_names_lookup!$C:$C,MATCH(BK226,_names_lookup!$A:$A,0)),"")</f>
        <v/>
      </c>
      <c r="BM226" t="str">
        <f>IFERROR(INDEX(_names_lookup!$B:$B,MATCH(BK226,_names_lookup!$A:$A,0)),"")</f>
        <v/>
      </c>
      <c r="BS226" t="str">
        <f t="shared" si="43"/>
        <v/>
      </c>
    </row>
    <row r="227" spans="15:71" x14ac:dyDescent="0.2">
      <c r="O227" t="str">
        <f>IFERROR(INDEX(_courses_lookup!$C:$C,MATCH(K227&amp;L227,_courses_lookup!$E:$E,0)),"")</f>
        <v/>
      </c>
      <c r="P227" t="str">
        <f>IFERROR(INDEX(_courses_lookup!$D:$D,MATCH(K227&amp;L227,_courses_lookup!$E:$E,0)),"")</f>
        <v/>
      </c>
      <c r="AG227" t="str">
        <f t="shared" si="33"/>
        <v/>
      </c>
      <c r="AI227" t="str">
        <f t="shared" si="34"/>
        <v/>
      </c>
      <c r="AL227" t="str">
        <f t="shared" si="35"/>
        <v/>
      </c>
      <c r="AN227" t="str">
        <f t="shared" si="36"/>
        <v/>
      </c>
      <c r="AQ227" t="str">
        <f t="shared" si="37"/>
        <v/>
      </c>
      <c r="AR227" t="str">
        <f t="shared" si="38"/>
        <v/>
      </c>
      <c r="AS227" t="str">
        <f t="shared" si="39"/>
        <v/>
      </c>
      <c r="AT227" t="str">
        <f t="shared" si="40"/>
        <v/>
      </c>
      <c r="BG227" t="str">
        <f t="shared" si="41"/>
        <v/>
      </c>
      <c r="BH227" t="str">
        <f t="shared" si="42"/>
        <v/>
      </c>
      <c r="BL227" t="str">
        <f>IFERROR(INDEX(_names_lookup!$C:$C,MATCH(BK227,_names_lookup!$A:$A,0)),"")</f>
        <v/>
      </c>
      <c r="BM227" t="str">
        <f>IFERROR(INDEX(_names_lookup!$B:$B,MATCH(BK227,_names_lookup!$A:$A,0)),"")</f>
        <v/>
      </c>
      <c r="BS227" t="str">
        <f t="shared" si="43"/>
        <v/>
      </c>
    </row>
    <row r="228" spans="15:71" x14ac:dyDescent="0.2">
      <c r="O228" t="str">
        <f>IFERROR(INDEX(_courses_lookup!$C:$C,MATCH(K228&amp;L228,_courses_lookup!$E:$E,0)),"")</f>
        <v/>
      </c>
      <c r="P228" t="str">
        <f>IFERROR(INDEX(_courses_lookup!$D:$D,MATCH(K228&amp;L228,_courses_lookup!$E:$E,0)),"")</f>
        <v/>
      </c>
      <c r="AG228" t="str">
        <f t="shared" si="33"/>
        <v/>
      </c>
      <c r="AI228" t="str">
        <f t="shared" si="34"/>
        <v/>
      </c>
      <c r="AL228" t="str">
        <f t="shared" si="35"/>
        <v/>
      </c>
      <c r="AN228" t="str">
        <f t="shared" si="36"/>
        <v/>
      </c>
      <c r="AQ228" t="str">
        <f t="shared" si="37"/>
        <v/>
      </c>
      <c r="AR228" t="str">
        <f t="shared" si="38"/>
        <v/>
      </c>
      <c r="AS228" t="str">
        <f t="shared" si="39"/>
        <v/>
      </c>
      <c r="AT228" t="str">
        <f t="shared" si="40"/>
        <v/>
      </c>
      <c r="BG228" t="str">
        <f t="shared" si="41"/>
        <v/>
      </c>
      <c r="BH228" t="str">
        <f t="shared" si="42"/>
        <v/>
      </c>
      <c r="BL228" t="str">
        <f>IFERROR(INDEX(_names_lookup!$C:$C,MATCH(BK228,_names_lookup!$A:$A,0)),"")</f>
        <v/>
      </c>
      <c r="BM228" t="str">
        <f>IFERROR(INDEX(_names_lookup!$B:$B,MATCH(BK228,_names_lookup!$A:$A,0)),"")</f>
        <v/>
      </c>
      <c r="BS228" t="str">
        <f t="shared" si="43"/>
        <v/>
      </c>
    </row>
    <row r="229" spans="15:71" x14ac:dyDescent="0.2">
      <c r="O229" t="str">
        <f>IFERROR(INDEX(_courses_lookup!$C:$C,MATCH(K229&amp;L229,_courses_lookup!$E:$E,0)),"")</f>
        <v/>
      </c>
      <c r="P229" t="str">
        <f>IFERROR(INDEX(_courses_lookup!$D:$D,MATCH(K229&amp;L229,_courses_lookup!$E:$E,0)),"")</f>
        <v/>
      </c>
      <c r="AG229" t="str">
        <f t="shared" si="33"/>
        <v/>
      </c>
      <c r="AI229" t="str">
        <f t="shared" si="34"/>
        <v/>
      </c>
      <c r="AL229" t="str">
        <f t="shared" si="35"/>
        <v/>
      </c>
      <c r="AN229" t="str">
        <f t="shared" si="36"/>
        <v/>
      </c>
      <c r="AQ229" t="str">
        <f t="shared" si="37"/>
        <v/>
      </c>
      <c r="AR229" t="str">
        <f t="shared" si="38"/>
        <v/>
      </c>
      <c r="AS229" t="str">
        <f t="shared" si="39"/>
        <v/>
      </c>
      <c r="AT229" t="str">
        <f t="shared" si="40"/>
        <v/>
      </c>
      <c r="BG229" t="str">
        <f t="shared" si="41"/>
        <v/>
      </c>
      <c r="BH229" t="str">
        <f t="shared" si="42"/>
        <v/>
      </c>
      <c r="BL229" t="str">
        <f>IFERROR(INDEX(_names_lookup!$C:$C,MATCH(BK229,_names_lookup!$A:$A,0)),"")</f>
        <v/>
      </c>
      <c r="BM229" t="str">
        <f>IFERROR(INDEX(_names_lookup!$B:$B,MATCH(BK229,_names_lookup!$A:$A,0)),"")</f>
        <v/>
      </c>
      <c r="BS229" t="str">
        <f t="shared" si="43"/>
        <v/>
      </c>
    </row>
    <row r="230" spans="15:71" x14ac:dyDescent="0.2">
      <c r="O230" t="str">
        <f>IFERROR(INDEX(_courses_lookup!$C:$C,MATCH(K230&amp;L230,_courses_lookup!$E:$E,0)),"")</f>
        <v/>
      </c>
      <c r="P230" t="str">
        <f>IFERROR(INDEX(_courses_lookup!$D:$D,MATCH(K230&amp;L230,_courses_lookup!$E:$E,0)),"")</f>
        <v/>
      </c>
      <c r="AG230" t="str">
        <f t="shared" si="33"/>
        <v/>
      </c>
      <c r="AI230" t="str">
        <f t="shared" si="34"/>
        <v/>
      </c>
      <c r="AL230" t="str">
        <f t="shared" si="35"/>
        <v/>
      </c>
      <c r="AN230" t="str">
        <f t="shared" si="36"/>
        <v/>
      </c>
      <c r="AQ230" t="str">
        <f t="shared" si="37"/>
        <v/>
      </c>
      <c r="AR230" t="str">
        <f t="shared" si="38"/>
        <v/>
      </c>
      <c r="AS230" t="str">
        <f t="shared" si="39"/>
        <v/>
      </c>
      <c r="AT230" t="str">
        <f t="shared" si="40"/>
        <v/>
      </c>
      <c r="BG230" t="str">
        <f t="shared" si="41"/>
        <v/>
      </c>
      <c r="BH230" t="str">
        <f t="shared" si="42"/>
        <v/>
      </c>
      <c r="BL230" t="str">
        <f>IFERROR(INDEX(_names_lookup!$C:$C,MATCH(BK230,_names_lookup!$A:$A,0)),"")</f>
        <v/>
      </c>
      <c r="BM230" t="str">
        <f>IFERROR(INDEX(_names_lookup!$B:$B,MATCH(BK230,_names_lookup!$A:$A,0)),"")</f>
        <v/>
      </c>
      <c r="BS230" t="str">
        <f t="shared" si="43"/>
        <v/>
      </c>
    </row>
    <row r="231" spans="15:71" x14ac:dyDescent="0.2">
      <c r="O231" t="str">
        <f>IFERROR(INDEX(_courses_lookup!$C:$C,MATCH(K231&amp;L231,_courses_lookup!$E:$E,0)),"")</f>
        <v/>
      </c>
      <c r="P231" t="str">
        <f>IFERROR(INDEX(_courses_lookup!$D:$D,MATCH(K231&amp;L231,_courses_lookup!$E:$E,0)),"")</f>
        <v/>
      </c>
      <c r="AG231" t="str">
        <f t="shared" si="33"/>
        <v/>
      </c>
      <c r="AI231" t="str">
        <f t="shared" si="34"/>
        <v/>
      </c>
      <c r="AL231" t="str">
        <f t="shared" si="35"/>
        <v/>
      </c>
      <c r="AN231" t="str">
        <f t="shared" si="36"/>
        <v/>
      </c>
      <c r="AQ231" t="str">
        <f t="shared" si="37"/>
        <v/>
      </c>
      <c r="AR231" t="str">
        <f t="shared" si="38"/>
        <v/>
      </c>
      <c r="AS231" t="str">
        <f t="shared" si="39"/>
        <v/>
      </c>
      <c r="AT231" t="str">
        <f t="shared" si="40"/>
        <v/>
      </c>
      <c r="BG231" t="str">
        <f t="shared" si="41"/>
        <v/>
      </c>
      <c r="BH231" t="str">
        <f t="shared" si="42"/>
        <v/>
      </c>
      <c r="BL231" t="str">
        <f>IFERROR(INDEX(_names_lookup!$C:$C,MATCH(BK231,_names_lookup!$A:$A,0)),"")</f>
        <v/>
      </c>
      <c r="BM231" t="str">
        <f>IFERROR(INDEX(_names_lookup!$B:$B,MATCH(BK231,_names_lookup!$A:$A,0)),"")</f>
        <v/>
      </c>
      <c r="BS231" t="str">
        <f t="shared" si="43"/>
        <v/>
      </c>
    </row>
    <row r="232" spans="15:71" x14ac:dyDescent="0.2">
      <c r="O232" t="str">
        <f>IFERROR(INDEX(_courses_lookup!$C:$C,MATCH(K232&amp;L232,_courses_lookup!$E:$E,0)),"")</f>
        <v/>
      </c>
      <c r="P232" t="str">
        <f>IFERROR(INDEX(_courses_lookup!$D:$D,MATCH(K232&amp;L232,_courses_lookup!$E:$E,0)),"")</f>
        <v/>
      </c>
      <c r="AG232" t="str">
        <f t="shared" si="33"/>
        <v/>
      </c>
      <c r="AI232" t="str">
        <f t="shared" si="34"/>
        <v/>
      </c>
      <c r="AL232" t="str">
        <f t="shared" si="35"/>
        <v/>
      </c>
      <c r="AN232" t="str">
        <f t="shared" si="36"/>
        <v/>
      </c>
      <c r="AQ232" t="str">
        <f t="shared" si="37"/>
        <v/>
      </c>
      <c r="AR232" t="str">
        <f t="shared" si="38"/>
        <v/>
      </c>
      <c r="AS232" t="str">
        <f t="shared" si="39"/>
        <v/>
      </c>
      <c r="AT232" t="str">
        <f t="shared" si="40"/>
        <v/>
      </c>
      <c r="BG232" t="str">
        <f t="shared" si="41"/>
        <v/>
      </c>
      <c r="BH232" t="str">
        <f t="shared" si="42"/>
        <v/>
      </c>
      <c r="BL232" t="str">
        <f>IFERROR(INDEX(_names_lookup!$C:$C,MATCH(BK232,_names_lookup!$A:$A,0)),"")</f>
        <v/>
      </c>
      <c r="BM232" t="str">
        <f>IFERROR(INDEX(_names_lookup!$B:$B,MATCH(BK232,_names_lookup!$A:$A,0)),"")</f>
        <v/>
      </c>
      <c r="BS232" t="str">
        <f t="shared" si="43"/>
        <v/>
      </c>
    </row>
    <row r="233" spans="15:71" x14ac:dyDescent="0.2">
      <c r="O233" t="str">
        <f>IFERROR(INDEX(_courses_lookup!$C:$C,MATCH(K233&amp;L233,_courses_lookup!$E:$E,0)),"")</f>
        <v/>
      </c>
      <c r="P233" t="str">
        <f>IFERROR(INDEX(_courses_lookup!$D:$D,MATCH(K233&amp;L233,_courses_lookup!$E:$E,0)),"")</f>
        <v/>
      </c>
      <c r="AG233" t="str">
        <f t="shared" si="33"/>
        <v/>
      </c>
      <c r="AI233" t="str">
        <f t="shared" si="34"/>
        <v/>
      </c>
      <c r="AL233" t="str">
        <f t="shared" si="35"/>
        <v/>
      </c>
      <c r="AN233" t="str">
        <f t="shared" si="36"/>
        <v/>
      </c>
      <c r="AQ233" t="str">
        <f t="shared" si="37"/>
        <v/>
      </c>
      <c r="AR233" t="str">
        <f t="shared" si="38"/>
        <v/>
      </c>
      <c r="AS233" t="str">
        <f t="shared" si="39"/>
        <v/>
      </c>
      <c r="AT233" t="str">
        <f t="shared" si="40"/>
        <v/>
      </c>
      <c r="BG233" t="str">
        <f t="shared" si="41"/>
        <v/>
      </c>
      <c r="BH233" t="str">
        <f t="shared" si="42"/>
        <v/>
      </c>
      <c r="BL233" t="str">
        <f>IFERROR(INDEX(_names_lookup!$C:$C,MATCH(BK233,_names_lookup!$A:$A,0)),"")</f>
        <v/>
      </c>
      <c r="BM233" t="str">
        <f>IFERROR(INDEX(_names_lookup!$B:$B,MATCH(BK233,_names_lookup!$A:$A,0)),"")</f>
        <v/>
      </c>
      <c r="BS233" t="str">
        <f t="shared" si="43"/>
        <v/>
      </c>
    </row>
    <row r="234" spans="15:71" x14ac:dyDescent="0.2">
      <c r="O234" t="str">
        <f>IFERROR(INDEX(_courses_lookup!$C:$C,MATCH(K234&amp;L234,_courses_lookup!$E:$E,0)),"")</f>
        <v/>
      </c>
      <c r="P234" t="str">
        <f>IFERROR(INDEX(_courses_lookup!$D:$D,MATCH(K234&amp;L234,_courses_lookup!$E:$E,0)),"")</f>
        <v/>
      </c>
      <c r="AG234" t="str">
        <f t="shared" si="33"/>
        <v/>
      </c>
      <c r="AI234" t="str">
        <f t="shared" si="34"/>
        <v/>
      </c>
      <c r="AL234" t="str">
        <f t="shared" si="35"/>
        <v/>
      </c>
      <c r="AN234" t="str">
        <f t="shared" si="36"/>
        <v/>
      </c>
      <c r="AQ234" t="str">
        <f t="shared" si="37"/>
        <v/>
      </c>
      <c r="AR234" t="str">
        <f t="shared" si="38"/>
        <v/>
      </c>
      <c r="AS234" t="str">
        <f t="shared" si="39"/>
        <v/>
      </c>
      <c r="AT234" t="str">
        <f t="shared" si="40"/>
        <v/>
      </c>
      <c r="BG234" t="str">
        <f t="shared" si="41"/>
        <v/>
      </c>
      <c r="BH234" t="str">
        <f t="shared" si="42"/>
        <v/>
      </c>
      <c r="BL234" t="str">
        <f>IFERROR(INDEX(_names_lookup!$C:$C,MATCH(BK234,_names_lookup!$A:$A,0)),"")</f>
        <v/>
      </c>
      <c r="BM234" t="str">
        <f>IFERROR(INDEX(_names_lookup!$B:$B,MATCH(BK234,_names_lookup!$A:$A,0)),"")</f>
        <v/>
      </c>
      <c r="BS234" t="str">
        <f t="shared" si="43"/>
        <v/>
      </c>
    </row>
    <row r="235" spans="15:71" x14ac:dyDescent="0.2">
      <c r="O235" t="str">
        <f>IFERROR(INDEX(_courses_lookup!$C:$C,MATCH(K235&amp;L235,_courses_lookup!$E:$E,0)),"")</f>
        <v/>
      </c>
      <c r="P235" t="str">
        <f>IFERROR(INDEX(_courses_lookup!$D:$D,MATCH(K235&amp;L235,_courses_lookup!$E:$E,0)),"")</f>
        <v/>
      </c>
      <c r="AG235" t="str">
        <f t="shared" si="33"/>
        <v/>
      </c>
      <c r="AI235" t="str">
        <f t="shared" si="34"/>
        <v/>
      </c>
      <c r="AL235" t="str">
        <f t="shared" si="35"/>
        <v/>
      </c>
      <c r="AN235" t="str">
        <f t="shared" si="36"/>
        <v/>
      </c>
      <c r="AQ235" t="str">
        <f t="shared" si="37"/>
        <v/>
      </c>
      <c r="AR235" t="str">
        <f t="shared" si="38"/>
        <v/>
      </c>
      <c r="AS235" t="str">
        <f t="shared" si="39"/>
        <v/>
      </c>
      <c r="AT235" t="str">
        <f t="shared" si="40"/>
        <v/>
      </c>
      <c r="BG235" t="str">
        <f t="shared" si="41"/>
        <v/>
      </c>
      <c r="BH235" t="str">
        <f t="shared" si="42"/>
        <v/>
      </c>
      <c r="BL235" t="str">
        <f>IFERROR(INDEX(_names_lookup!$C:$C,MATCH(BK235,_names_lookup!$A:$A,0)),"")</f>
        <v/>
      </c>
      <c r="BM235" t="str">
        <f>IFERROR(INDEX(_names_lookup!$B:$B,MATCH(BK235,_names_lookup!$A:$A,0)),"")</f>
        <v/>
      </c>
      <c r="BS235" t="str">
        <f t="shared" si="43"/>
        <v/>
      </c>
    </row>
    <row r="236" spans="15:71" x14ac:dyDescent="0.2">
      <c r="O236" t="str">
        <f>IFERROR(INDEX(_courses_lookup!$C:$C,MATCH(K236&amp;L236,_courses_lookup!$E:$E,0)),"")</f>
        <v/>
      </c>
      <c r="P236" t="str">
        <f>IFERROR(INDEX(_courses_lookup!$D:$D,MATCH(K236&amp;L236,_courses_lookup!$E:$E,0)),"")</f>
        <v/>
      </c>
      <c r="AG236" t="str">
        <f t="shared" si="33"/>
        <v/>
      </c>
      <c r="AI236" t="str">
        <f t="shared" si="34"/>
        <v/>
      </c>
      <c r="AL236" t="str">
        <f t="shared" si="35"/>
        <v/>
      </c>
      <c r="AN236" t="str">
        <f t="shared" si="36"/>
        <v/>
      </c>
      <c r="AQ236" t="str">
        <f t="shared" si="37"/>
        <v/>
      </c>
      <c r="AR236" t="str">
        <f t="shared" si="38"/>
        <v/>
      </c>
      <c r="AS236" t="str">
        <f t="shared" si="39"/>
        <v/>
      </c>
      <c r="AT236" t="str">
        <f t="shared" si="40"/>
        <v/>
      </c>
      <c r="BG236" t="str">
        <f t="shared" si="41"/>
        <v/>
      </c>
      <c r="BH236" t="str">
        <f t="shared" si="42"/>
        <v/>
      </c>
      <c r="BL236" t="str">
        <f>IFERROR(INDEX(_names_lookup!$C:$C,MATCH(BK236,_names_lookup!$A:$A,0)),"")</f>
        <v/>
      </c>
      <c r="BM236" t="str">
        <f>IFERROR(INDEX(_names_lookup!$B:$B,MATCH(BK236,_names_lookup!$A:$A,0)),"")</f>
        <v/>
      </c>
      <c r="BS236" t="str">
        <f t="shared" si="43"/>
        <v/>
      </c>
    </row>
    <row r="237" spans="15:71" x14ac:dyDescent="0.2">
      <c r="O237" t="str">
        <f>IFERROR(INDEX(_courses_lookup!$C:$C,MATCH(K237&amp;L237,_courses_lookup!$E:$E,0)),"")</f>
        <v/>
      </c>
      <c r="P237" t="str">
        <f>IFERROR(INDEX(_courses_lookup!$D:$D,MATCH(K237&amp;L237,_courses_lookup!$E:$E,0)),"")</f>
        <v/>
      </c>
      <c r="AG237" t="str">
        <f t="shared" si="33"/>
        <v/>
      </c>
      <c r="AI237" t="str">
        <f t="shared" si="34"/>
        <v/>
      </c>
      <c r="AL237" t="str">
        <f t="shared" si="35"/>
        <v/>
      </c>
      <c r="AN237" t="str">
        <f t="shared" si="36"/>
        <v/>
      </c>
      <c r="AQ237" t="str">
        <f t="shared" si="37"/>
        <v/>
      </c>
      <c r="AR237" t="str">
        <f t="shared" si="38"/>
        <v/>
      </c>
      <c r="AS237" t="str">
        <f t="shared" si="39"/>
        <v/>
      </c>
      <c r="AT237" t="str">
        <f t="shared" si="40"/>
        <v/>
      </c>
      <c r="BG237" t="str">
        <f t="shared" si="41"/>
        <v/>
      </c>
      <c r="BH237" t="str">
        <f t="shared" si="42"/>
        <v/>
      </c>
      <c r="BL237" t="str">
        <f>IFERROR(INDEX(_names_lookup!$C:$C,MATCH(BK237,_names_lookup!$A:$A,0)),"")</f>
        <v/>
      </c>
      <c r="BM237" t="str">
        <f>IFERROR(INDEX(_names_lookup!$B:$B,MATCH(BK237,_names_lookup!$A:$A,0)),"")</f>
        <v/>
      </c>
      <c r="BS237" t="str">
        <f t="shared" si="43"/>
        <v/>
      </c>
    </row>
    <row r="238" spans="15:71" x14ac:dyDescent="0.2">
      <c r="O238" t="str">
        <f>IFERROR(INDEX(_courses_lookup!$C:$C,MATCH(K238&amp;L238,_courses_lookup!$E:$E,0)),"")</f>
        <v/>
      </c>
      <c r="P238" t="str">
        <f>IFERROR(INDEX(_courses_lookup!$D:$D,MATCH(K238&amp;L238,_courses_lookup!$E:$E,0)),"")</f>
        <v/>
      </c>
      <c r="AG238" t="str">
        <f t="shared" si="33"/>
        <v/>
      </c>
      <c r="AI238" t="str">
        <f t="shared" si="34"/>
        <v/>
      </c>
      <c r="AL238" t="str">
        <f t="shared" si="35"/>
        <v/>
      </c>
      <c r="AN238" t="str">
        <f t="shared" si="36"/>
        <v/>
      </c>
      <c r="AQ238" t="str">
        <f t="shared" si="37"/>
        <v/>
      </c>
      <c r="AR238" t="str">
        <f t="shared" si="38"/>
        <v/>
      </c>
      <c r="AS238" t="str">
        <f t="shared" si="39"/>
        <v/>
      </c>
      <c r="AT238" t="str">
        <f t="shared" si="40"/>
        <v/>
      </c>
      <c r="BG238" t="str">
        <f t="shared" si="41"/>
        <v/>
      </c>
      <c r="BH238" t="str">
        <f t="shared" si="42"/>
        <v/>
      </c>
      <c r="BL238" t="str">
        <f>IFERROR(INDEX(_names_lookup!$C:$C,MATCH(BK238,_names_lookup!$A:$A,0)),"")</f>
        <v/>
      </c>
      <c r="BM238" t="str">
        <f>IFERROR(INDEX(_names_lookup!$B:$B,MATCH(BK238,_names_lookup!$A:$A,0)),"")</f>
        <v/>
      </c>
      <c r="BS238" t="str">
        <f t="shared" si="43"/>
        <v/>
      </c>
    </row>
    <row r="239" spans="15:71" x14ac:dyDescent="0.2">
      <c r="O239" t="str">
        <f>IFERROR(INDEX(_courses_lookup!$C:$C,MATCH(K239&amp;L239,_courses_lookup!$E:$E,0)),"")</f>
        <v/>
      </c>
      <c r="P239" t="str">
        <f>IFERROR(INDEX(_courses_lookup!$D:$D,MATCH(K239&amp;L239,_courses_lookup!$E:$E,0)),"")</f>
        <v/>
      </c>
      <c r="AG239" t="str">
        <f t="shared" si="33"/>
        <v/>
      </c>
      <c r="AI239" t="str">
        <f t="shared" si="34"/>
        <v/>
      </c>
      <c r="AL239" t="str">
        <f t="shared" si="35"/>
        <v/>
      </c>
      <c r="AN239" t="str">
        <f t="shared" si="36"/>
        <v/>
      </c>
      <c r="AQ239" t="str">
        <f t="shared" si="37"/>
        <v/>
      </c>
      <c r="AR239" t="str">
        <f t="shared" si="38"/>
        <v/>
      </c>
      <c r="AS239" t="str">
        <f t="shared" si="39"/>
        <v/>
      </c>
      <c r="AT239" t="str">
        <f t="shared" si="40"/>
        <v/>
      </c>
      <c r="BG239" t="str">
        <f t="shared" si="41"/>
        <v/>
      </c>
      <c r="BH239" t="str">
        <f t="shared" si="42"/>
        <v/>
      </c>
      <c r="BL239" t="str">
        <f>IFERROR(INDEX(_names_lookup!$C:$C,MATCH(BK239,_names_lookup!$A:$A,0)),"")</f>
        <v/>
      </c>
      <c r="BM239" t="str">
        <f>IFERROR(INDEX(_names_lookup!$B:$B,MATCH(BK239,_names_lookup!$A:$A,0)),"")</f>
        <v/>
      </c>
      <c r="BS239" t="str">
        <f t="shared" si="43"/>
        <v/>
      </c>
    </row>
    <row r="240" spans="15:71" x14ac:dyDescent="0.2">
      <c r="O240" t="str">
        <f>IFERROR(INDEX(_courses_lookup!$C:$C,MATCH(K240&amp;L240,_courses_lookup!$E:$E,0)),"")</f>
        <v/>
      </c>
      <c r="P240" t="str">
        <f>IFERROR(INDEX(_courses_lookup!$D:$D,MATCH(K240&amp;L240,_courses_lookup!$E:$E,0)),"")</f>
        <v/>
      </c>
      <c r="AG240" t="str">
        <f t="shared" si="33"/>
        <v/>
      </c>
      <c r="AI240" t="str">
        <f t="shared" si="34"/>
        <v/>
      </c>
      <c r="AL240" t="str">
        <f t="shared" si="35"/>
        <v/>
      </c>
      <c r="AN240" t="str">
        <f t="shared" si="36"/>
        <v/>
      </c>
      <c r="AQ240" t="str">
        <f t="shared" si="37"/>
        <v/>
      </c>
      <c r="AR240" t="str">
        <f t="shared" si="38"/>
        <v/>
      </c>
      <c r="AS240" t="str">
        <f t="shared" si="39"/>
        <v/>
      </c>
      <c r="AT240" t="str">
        <f t="shared" si="40"/>
        <v/>
      </c>
      <c r="BG240" t="str">
        <f t="shared" si="41"/>
        <v/>
      </c>
      <c r="BH240" t="str">
        <f t="shared" si="42"/>
        <v/>
      </c>
      <c r="BL240" t="str">
        <f>IFERROR(INDEX(_names_lookup!$C:$C,MATCH(BK240,_names_lookup!$A:$A,0)),"")</f>
        <v/>
      </c>
      <c r="BM240" t="str">
        <f>IFERROR(INDEX(_names_lookup!$B:$B,MATCH(BK240,_names_lookup!$A:$A,0)),"")</f>
        <v/>
      </c>
      <c r="BS240" t="str">
        <f t="shared" si="43"/>
        <v/>
      </c>
    </row>
    <row r="241" spans="15:71" x14ac:dyDescent="0.2">
      <c r="O241" t="str">
        <f>IFERROR(INDEX(_courses_lookup!$C:$C,MATCH(K241&amp;L241,_courses_lookup!$E:$E,0)),"")</f>
        <v/>
      </c>
      <c r="P241" t="str">
        <f>IFERROR(INDEX(_courses_lookup!$D:$D,MATCH(K241&amp;L241,_courses_lookup!$E:$E,0)),"")</f>
        <v/>
      </c>
      <c r="AG241" t="str">
        <f t="shared" si="33"/>
        <v/>
      </c>
      <c r="AI241" t="str">
        <f t="shared" si="34"/>
        <v/>
      </c>
      <c r="AL241" t="str">
        <f t="shared" si="35"/>
        <v/>
      </c>
      <c r="AN241" t="str">
        <f t="shared" si="36"/>
        <v/>
      </c>
      <c r="AQ241" t="str">
        <f t="shared" si="37"/>
        <v/>
      </c>
      <c r="AR241" t="str">
        <f t="shared" si="38"/>
        <v/>
      </c>
      <c r="AS241" t="str">
        <f t="shared" si="39"/>
        <v/>
      </c>
      <c r="AT241" t="str">
        <f t="shared" si="40"/>
        <v/>
      </c>
      <c r="BG241" t="str">
        <f t="shared" si="41"/>
        <v/>
      </c>
      <c r="BH241" t="str">
        <f t="shared" si="42"/>
        <v/>
      </c>
      <c r="BL241" t="str">
        <f>IFERROR(INDEX(_names_lookup!$C:$C,MATCH(BK241,_names_lookup!$A:$A,0)),"")</f>
        <v/>
      </c>
      <c r="BM241" t="str">
        <f>IFERROR(INDEX(_names_lookup!$B:$B,MATCH(BK241,_names_lookup!$A:$A,0)),"")</f>
        <v/>
      </c>
      <c r="BS241" t="str">
        <f t="shared" si="43"/>
        <v/>
      </c>
    </row>
    <row r="242" spans="15:71" x14ac:dyDescent="0.2">
      <c r="O242" t="str">
        <f>IFERROR(INDEX(_courses_lookup!$C:$C,MATCH(K242&amp;L242,_courses_lookup!$E:$E,0)),"")</f>
        <v/>
      </c>
      <c r="P242" t="str">
        <f>IFERROR(INDEX(_courses_lookup!$D:$D,MATCH(K242&amp;L242,_courses_lookup!$E:$E,0)),"")</f>
        <v/>
      </c>
      <c r="AG242" t="str">
        <f t="shared" si="33"/>
        <v/>
      </c>
      <c r="AI242" t="str">
        <f t="shared" si="34"/>
        <v/>
      </c>
      <c r="AL242" t="str">
        <f t="shared" si="35"/>
        <v/>
      </c>
      <c r="AN242" t="str">
        <f t="shared" si="36"/>
        <v/>
      </c>
      <c r="AQ242" t="str">
        <f t="shared" si="37"/>
        <v/>
      </c>
      <c r="AR242" t="str">
        <f t="shared" si="38"/>
        <v/>
      </c>
      <c r="AS242" t="str">
        <f t="shared" si="39"/>
        <v/>
      </c>
      <c r="AT242" t="str">
        <f t="shared" si="40"/>
        <v/>
      </c>
      <c r="BG242" t="str">
        <f t="shared" si="41"/>
        <v/>
      </c>
      <c r="BH242" t="str">
        <f t="shared" si="42"/>
        <v/>
      </c>
      <c r="BL242" t="str">
        <f>IFERROR(INDEX(_names_lookup!$C:$C,MATCH(BK242,_names_lookup!$A:$A,0)),"")</f>
        <v/>
      </c>
      <c r="BM242" t="str">
        <f>IFERROR(INDEX(_names_lookup!$B:$B,MATCH(BK242,_names_lookup!$A:$A,0)),"")</f>
        <v/>
      </c>
      <c r="BS242" t="str">
        <f t="shared" si="43"/>
        <v/>
      </c>
    </row>
    <row r="243" spans="15:71" x14ac:dyDescent="0.2">
      <c r="O243" t="str">
        <f>IFERROR(INDEX(_courses_lookup!$C:$C,MATCH(K243&amp;L243,_courses_lookup!$E:$E,0)),"")</f>
        <v/>
      </c>
      <c r="P243" t="str">
        <f>IFERROR(INDEX(_courses_lookup!$D:$D,MATCH(K243&amp;L243,_courses_lookup!$E:$E,0)),"")</f>
        <v/>
      </c>
      <c r="AG243" t="str">
        <f t="shared" si="33"/>
        <v/>
      </c>
      <c r="AI243" t="str">
        <f t="shared" si="34"/>
        <v/>
      </c>
      <c r="AL243" t="str">
        <f t="shared" si="35"/>
        <v/>
      </c>
      <c r="AN243" t="str">
        <f t="shared" si="36"/>
        <v/>
      </c>
      <c r="AQ243" t="str">
        <f t="shared" si="37"/>
        <v/>
      </c>
      <c r="AR243" t="str">
        <f t="shared" si="38"/>
        <v/>
      </c>
      <c r="AS243" t="str">
        <f t="shared" si="39"/>
        <v/>
      </c>
      <c r="AT243" t="str">
        <f t="shared" si="40"/>
        <v/>
      </c>
      <c r="BG243" t="str">
        <f t="shared" si="41"/>
        <v/>
      </c>
      <c r="BH243" t="str">
        <f t="shared" si="42"/>
        <v/>
      </c>
      <c r="BL243" t="str">
        <f>IFERROR(INDEX(_names_lookup!$C:$C,MATCH(BK243,_names_lookup!$A:$A,0)),"")</f>
        <v/>
      </c>
      <c r="BM243" t="str">
        <f>IFERROR(INDEX(_names_lookup!$B:$B,MATCH(BK243,_names_lookup!$A:$A,0)),"")</f>
        <v/>
      </c>
      <c r="BS243" t="str">
        <f t="shared" si="43"/>
        <v/>
      </c>
    </row>
    <row r="244" spans="15:71" x14ac:dyDescent="0.2">
      <c r="O244" t="str">
        <f>IFERROR(INDEX(_courses_lookup!$C:$C,MATCH(K244&amp;L244,_courses_lookup!$E:$E,0)),"")</f>
        <v/>
      </c>
      <c r="P244" t="str">
        <f>IFERROR(INDEX(_courses_lookup!$D:$D,MATCH(K244&amp;L244,_courses_lookup!$E:$E,0)),"")</f>
        <v/>
      </c>
      <c r="AG244" t="str">
        <f t="shared" si="33"/>
        <v/>
      </c>
      <c r="AI244" t="str">
        <f t="shared" si="34"/>
        <v/>
      </c>
      <c r="AL244" t="str">
        <f t="shared" si="35"/>
        <v/>
      </c>
      <c r="AN244" t="str">
        <f t="shared" si="36"/>
        <v/>
      </c>
      <c r="AQ244" t="str">
        <f t="shared" si="37"/>
        <v/>
      </c>
      <c r="AR244" t="str">
        <f t="shared" si="38"/>
        <v/>
      </c>
      <c r="AS244" t="str">
        <f t="shared" si="39"/>
        <v/>
      </c>
      <c r="AT244" t="str">
        <f t="shared" si="40"/>
        <v/>
      </c>
      <c r="BG244" t="str">
        <f t="shared" si="41"/>
        <v/>
      </c>
      <c r="BH244" t="str">
        <f t="shared" si="42"/>
        <v/>
      </c>
      <c r="BL244" t="str">
        <f>IFERROR(INDEX(_names_lookup!$C:$C,MATCH(BK244,_names_lookup!$A:$A,0)),"")</f>
        <v/>
      </c>
      <c r="BM244" t="str">
        <f>IFERROR(INDEX(_names_lookup!$B:$B,MATCH(BK244,_names_lookup!$A:$A,0)),"")</f>
        <v/>
      </c>
      <c r="BS244" t="str">
        <f t="shared" si="43"/>
        <v/>
      </c>
    </row>
    <row r="245" spans="15:71" x14ac:dyDescent="0.2">
      <c r="O245" t="str">
        <f>IFERROR(INDEX(_courses_lookup!$C:$C,MATCH(K245&amp;L245,_courses_lookup!$E:$E,0)),"")</f>
        <v/>
      </c>
      <c r="P245" t="str">
        <f>IFERROR(INDEX(_courses_lookup!$D:$D,MATCH(K245&amp;L245,_courses_lookup!$E:$E,0)),"")</f>
        <v/>
      </c>
      <c r="AG245" t="str">
        <f t="shared" si="33"/>
        <v/>
      </c>
      <c r="AI245" t="str">
        <f t="shared" si="34"/>
        <v/>
      </c>
      <c r="AL245" t="str">
        <f t="shared" si="35"/>
        <v/>
      </c>
      <c r="AN245" t="str">
        <f t="shared" si="36"/>
        <v/>
      </c>
      <c r="AQ245" t="str">
        <f t="shared" si="37"/>
        <v/>
      </c>
      <c r="AR245" t="str">
        <f t="shared" si="38"/>
        <v/>
      </c>
      <c r="AS245" t="str">
        <f t="shared" si="39"/>
        <v/>
      </c>
      <c r="AT245" t="str">
        <f t="shared" si="40"/>
        <v/>
      </c>
      <c r="BG245" t="str">
        <f t="shared" si="41"/>
        <v/>
      </c>
      <c r="BH245" t="str">
        <f t="shared" si="42"/>
        <v/>
      </c>
      <c r="BL245" t="str">
        <f>IFERROR(INDEX(_names_lookup!$C:$C,MATCH(BK245,_names_lookup!$A:$A,0)),"")</f>
        <v/>
      </c>
      <c r="BM245" t="str">
        <f>IFERROR(INDEX(_names_lookup!$B:$B,MATCH(BK245,_names_lookup!$A:$A,0)),"")</f>
        <v/>
      </c>
      <c r="BS245" t="str">
        <f t="shared" si="43"/>
        <v/>
      </c>
    </row>
    <row r="246" spans="15:71" x14ac:dyDescent="0.2">
      <c r="O246" t="str">
        <f>IFERROR(INDEX(_courses_lookup!$C:$C,MATCH(K246&amp;L246,_courses_lookup!$E:$E,0)),"")</f>
        <v/>
      </c>
      <c r="P246" t="str">
        <f>IFERROR(INDEX(_courses_lookup!$D:$D,MATCH(K246&amp;L246,_courses_lookup!$E:$E,0)),"")</f>
        <v/>
      </c>
      <c r="AG246" t="str">
        <f t="shared" si="33"/>
        <v/>
      </c>
      <c r="AI246" t="str">
        <f t="shared" si="34"/>
        <v/>
      </c>
      <c r="AL246" t="str">
        <f t="shared" si="35"/>
        <v/>
      </c>
      <c r="AN246" t="str">
        <f t="shared" si="36"/>
        <v/>
      </c>
      <c r="AQ246" t="str">
        <f t="shared" si="37"/>
        <v/>
      </c>
      <c r="AR246" t="str">
        <f t="shared" si="38"/>
        <v/>
      </c>
      <c r="AS246" t="str">
        <f t="shared" si="39"/>
        <v/>
      </c>
      <c r="AT246" t="str">
        <f t="shared" si="40"/>
        <v/>
      </c>
      <c r="BG246" t="str">
        <f t="shared" si="41"/>
        <v/>
      </c>
      <c r="BH246" t="str">
        <f t="shared" si="42"/>
        <v/>
      </c>
      <c r="BL246" t="str">
        <f>IFERROR(INDEX(_names_lookup!$C:$C,MATCH(BK246,_names_lookup!$A:$A,0)),"")</f>
        <v/>
      </c>
      <c r="BM246" t="str">
        <f>IFERROR(INDEX(_names_lookup!$B:$B,MATCH(BK246,_names_lookup!$A:$A,0)),"")</f>
        <v/>
      </c>
      <c r="BS246" t="str">
        <f t="shared" si="43"/>
        <v/>
      </c>
    </row>
    <row r="247" spans="15:71" x14ac:dyDescent="0.2">
      <c r="O247" t="str">
        <f>IFERROR(INDEX(_courses_lookup!$C:$C,MATCH(K247&amp;L247,_courses_lookup!$E:$E,0)),"")</f>
        <v/>
      </c>
      <c r="P247" t="str">
        <f>IFERROR(INDEX(_courses_lookup!$D:$D,MATCH(K247&amp;L247,_courses_lookup!$E:$E,0)),"")</f>
        <v/>
      </c>
      <c r="AG247" t="str">
        <f t="shared" si="33"/>
        <v/>
      </c>
      <c r="AI247" t="str">
        <f t="shared" si="34"/>
        <v/>
      </c>
      <c r="AL247" t="str">
        <f t="shared" si="35"/>
        <v/>
      </c>
      <c r="AN247" t="str">
        <f t="shared" si="36"/>
        <v/>
      </c>
      <c r="AQ247" t="str">
        <f t="shared" si="37"/>
        <v/>
      </c>
      <c r="AR247" t="str">
        <f t="shared" si="38"/>
        <v/>
      </c>
      <c r="AS247" t="str">
        <f t="shared" si="39"/>
        <v/>
      </c>
      <c r="AT247" t="str">
        <f t="shared" si="40"/>
        <v/>
      </c>
      <c r="BG247" t="str">
        <f t="shared" si="41"/>
        <v/>
      </c>
      <c r="BH247" t="str">
        <f t="shared" si="42"/>
        <v/>
      </c>
      <c r="BL247" t="str">
        <f>IFERROR(INDEX(_names_lookup!$C:$C,MATCH(BK247,_names_lookup!$A:$A,0)),"")</f>
        <v/>
      </c>
      <c r="BM247" t="str">
        <f>IFERROR(INDEX(_names_lookup!$B:$B,MATCH(BK247,_names_lookup!$A:$A,0)),"")</f>
        <v/>
      </c>
      <c r="BS247" t="str">
        <f t="shared" si="43"/>
        <v/>
      </c>
    </row>
    <row r="248" spans="15:71" x14ac:dyDescent="0.2">
      <c r="O248" t="str">
        <f>IFERROR(INDEX(_courses_lookup!$C:$C,MATCH(K248&amp;L248,_courses_lookup!$E:$E,0)),"")</f>
        <v/>
      </c>
      <c r="P248" t="str">
        <f>IFERROR(INDEX(_courses_lookup!$D:$D,MATCH(K248&amp;L248,_courses_lookup!$E:$E,0)),"")</f>
        <v/>
      </c>
      <c r="AG248" t="str">
        <f t="shared" si="33"/>
        <v/>
      </c>
      <c r="AI248" t="str">
        <f t="shared" si="34"/>
        <v/>
      </c>
      <c r="AL248" t="str">
        <f t="shared" si="35"/>
        <v/>
      </c>
      <c r="AN248" t="str">
        <f t="shared" si="36"/>
        <v/>
      </c>
      <c r="AQ248" t="str">
        <f t="shared" si="37"/>
        <v/>
      </c>
      <c r="AR248" t="str">
        <f t="shared" si="38"/>
        <v/>
      </c>
      <c r="AS248" t="str">
        <f t="shared" si="39"/>
        <v/>
      </c>
      <c r="AT248" t="str">
        <f t="shared" si="40"/>
        <v/>
      </c>
      <c r="BG248" t="str">
        <f t="shared" si="41"/>
        <v/>
      </c>
      <c r="BH248" t="str">
        <f t="shared" si="42"/>
        <v/>
      </c>
      <c r="BL248" t="str">
        <f>IFERROR(INDEX(_names_lookup!$C:$C,MATCH(BK248,_names_lookup!$A:$A,0)),"")</f>
        <v/>
      </c>
      <c r="BM248" t="str">
        <f>IFERROR(INDEX(_names_lookup!$B:$B,MATCH(BK248,_names_lookup!$A:$A,0)),"")</f>
        <v/>
      </c>
      <c r="BS248" t="str">
        <f t="shared" si="43"/>
        <v/>
      </c>
    </row>
    <row r="249" spans="15:71" x14ac:dyDescent="0.2">
      <c r="O249" t="str">
        <f>IFERROR(INDEX(_courses_lookup!$C:$C,MATCH(K249&amp;L249,_courses_lookup!$E:$E,0)),"")</f>
        <v/>
      </c>
      <c r="P249" t="str">
        <f>IFERROR(INDEX(_courses_lookup!$D:$D,MATCH(K249&amp;L249,_courses_lookup!$E:$E,0)),"")</f>
        <v/>
      </c>
      <c r="AG249" t="str">
        <f t="shared" si="33"/>
        <v/>
      </c>
      <c r="AI249" t="str">
        <f t="shared" si="34"/>
        <v/>
      </c>
      <c r="AL249" t="str">
        <f t="shared" si="35"/>
        <v/>
      </c>
      <c r="AN249" t="str">
        <f t="shared" si="36"/>
        <v/>
      </c>
      <c r="AQ249" t="str">
        <f t="shared" si="37"/>
        <v/>
      </c>
      <c r="AR249" t="str">
        <f t="shared" si="38"/>
        <v/>
      </c>
      <c r="AS249" t="str">
        <f t="shared" si="39"/>
        <v/>
      </c>
      <c r="AT249" t="str">
        <f t="shared" si="40"/>
        <v/>
      </c>
      <c r="BG249" t="str">
        <f t="shared" si="41"/>
        <v/>
      </c>
      <c r="BH249" t="str">
        <f t="shared" si="42"/>
        <v/>
      </c>
      <c r="BL249" t="str">
        <f>IFERROR(INDEX(_names_lookup!$C:$C,MATCH(BK249,_names_lookup!$A:$A,0)),"")</f>
        <v/>
      </c>
      <c r="BM249" t="str">
        <f>IFERROR(INDEX(_names_lookup!$B:$B,MATCH(BK249,_names_lookup!$A:$A,0)),"")</f>
        <v/>
      </c>
      <c r="BS249" t="str">
        <f t="shared" si="43"/>
        <v/>
      </c>
    </row>
    <row r="250" spans="15:71" x14ac:dyDescent="0.2">
      <c r="O250" t="str">
        <f>IFERROR(INDEX(_courses_lookup!$C:$C,MATCH(K250&amp;L250,_courses_lookup!$E:$E,0)),"")</f>
        <v/>
      </c>
      <c r="P250" t="str">
        <f>IFERROR(INDEX(_courses_lookup!$D:$D,MATCH(K250&amp;L250,_courses_lookup!$E:$E,0)),"")</f>
        <v/>
      </c>
      <c r="AG250" t="str">
        <f t="shared" si="33"/>
        <v/>
      </c>
      <c r="AI250" t="str">
        <f t="shared" si="34"/>
        <v/>
      </c>
      <c r="AL250" t="str">
        <f t="shared" si="35"/>
        <v/>
      </c>
      <c r="AN250" t="str">
        <f t="shared" si="36"/>
        <v/>
      </c>
      <c r="AQ250" t="str">
        <f t="shared" si="37"/>
        <v/>
      </c>
      <c r="AR250" t="str">
        <f t="shared" si="38"/>
        <v/>
      </c>
      <c r="AS250" t="str">
        <f t="shared" si="39"/>
        <v/>
      </c>
      <c r="AT250" t="str">
        <f t="shared" si="40"/>
        <v/>
      </c>
      <c r="BG250" t="str">
        <f t="shared" si="41"/>
        <v/>
      </c>
      <c r="BH250" t="str">
        <f t="shared" si="42"/>
        <v/>
      </c>
      <c r="BL250" t="str">
        <f>IFERROR(INDEX(_names_lookup!$C:$C,MATCH(BK250,_names_lookup!$A:$A,0)),"")</f>
        <v/>
      </c>
      <c r="BM250" t="str">
        <f>IFERROR(INDEX(_names_lookup!$B:$B,MATCH(BK250,_names_lookup!$A:$A,0)),"")</f>
        <v/>
      </c>
      <c r="BS250" t="str">
        <f t="shared" si="43"/>
        <v/>
      </c>
    </row>
    <row r="251" spans="15:71" x14ac:dyDescent="0.2">
      <c r="O251" t="str">
        <f>IFERROR(INDEX(_courses_lookup!$C:$C,MATCH(K251&amp;L251,_courses_lookup!$E:$E,0)),"")</f>
        <v/>
      </c>
      <c r="P251" t="str">
        <f>IFERROR(INDEX(_courses_lookup!$D:$D,MATCH(K251&amp;L251,_courses_lookup!$E:$E,0)),"")</f>
        <v/>
      </c>
      <c r="AG251" t="str">
        <f t="shared" si="33"/>
        <v/>
      </c>
      <c r="AI251" t="str">
        <f t="shared" si="34"/>
        <v/>
      </c>
      <c r="AL251" t="str">
        <f t="shared" si="35"/>
        <v/>
      </c>
      <c r="AN251" t="str">
        <f t="shared" si="36"/>
        <v/>
      </c>
      <c r="AQ251" t="str">
        <f t="shared" si="37"/>
        <v/>
      </c>
      <c r="AR251" t="str">
        <f t="shared" si="38"/>
        <v/>
      </c>
      <c r="AS251" t="str">
        <f t="shared" si="39"/>
        <v/>
      </c>
      <c r="AT251" t="str">
        <f t="shared" si="40"/>
        <v/>
      </c>
      <c r="BG251" t="str">
        <f t="shared" si="41"/>
        <v/>
      </c>
      <c r="BH251" t="str">
        <f t="shared" si="42"/>
        <v/>
      </c>
      <c r="BL251" t="str">
        <f>IFERROR(INDEX(_names_lookup!$C:$C,MATCH(BK251,_names_lookup!$A:$A,0)),"")</f>
        <v/>
      </c>
      <c r="BM251" t="str">
        <f>IFERROR(INDEX(_names_lookup!$B:$B,MATCH(BK251,_names_lookup!$A:$A,0)),"")</f>
        <v/>
      </c>
      <c r="BS251" t="str">
        <f t="shared" si="43"/>
        <v/>
      </c>
    </row>
    <row r="252" spans="15:71" x14ac:dyDescent="0.2">
      <c r="O252" t="str">
        <f>IFERROR(INDEX(_courses_lookup!$C:$C,MATCH(K252&amp;L252,_courses_lookup!$E:$E,0)),"")</f>
        <v/>
      </c>
      <c r="P252" t="str">
        <f>IFERROR(INDEX(_courses_lookup!$D:$D,MATCH(K252&amp;L252,_courses_lookup!$E:$E,0)),"")</f>
        <v/>
      </c>
      <c r="AG252" t="str">
        <f t="shared" si="33"/>
        <v/>
      </c>
      <c r="AI252" t="str">
        <f t="shared" si="34"/>
        <v/>
      </c>
      <c r="AL252" t="str">
        <f t="shared" si="35"/>
        <v/>
      </c>
      <c r="AN252" t="str">
        <f t="shared" si="36"/>
        <v/>
      </c>
      <c r="AQ252" t="str">
        <f t="shared" si="37"/>
        <v/>
      </c>
      <c r="AR252" t="str">
        <f t="shared" si="38"/>
        <v/>
      </c>
      <c r="AS252" t="str">
        <f t="shared" si="39"/>
        <v/>
      </c>
      <c r="AT252" t="str">
        <f t="shared" si="40"/>
        <v/>
      </c>
      <c r="BG252" t="str">
        <f t="shared" si="41"/>
        <v/>
      </c>
      <c r="BH252" t="str">
        <f t="shared" si="42"/>
        <v/>
      </c>
      <c r="BL252" t="str">
        <f>IFERROR(INDEX(_names_lookup!$C:$C,MATCH(BK252,_names_lookup!$A:$A,0)),"")</f>
        <v/>
      </c>
      <c r="BM252" t="str">
        <f>IFERROR(INDEX(_names_lookup!$B:$B,MATCH(BK252,_names_lookup!$A:$A,0)),"")</f>
        <v/>
      </c>
      <c r="BS252" t="str">
        <f t="shared" si="43"/>
        <v/>
      </c>
    </row>
    <row r="253" spans="15:71" x14ac:dyDescent="0.2">
      <c r="O253" t="str">
        <f>IFERROR(INDEX(_courses_lookup!$C:$C,MATCH(K253&amp;L253,_courses_lookup!$E:$E,0)),"")</f>
        <v/>
      </c>
      <c r="P253" t="str">
        <f>IFERROR(INDEX(_courses_lookup!$D:$D,MATCH(K253&amp;L253,_courses_lookup!$E:$E,0)),"")</f>
        <v/>
      </c>
      <c r="AG253" t="str">
        <f t="shared" si="33"/>
        <v/>
      </c>
      <c r="AI253" t="str">
        <f t="shared" si="34"/>
        <v/>
      </c>
      <c r="AL253" t="str">
        <f t="shared" si="35"/>
        <v/>
      </c>
      <c r="AN253" t="str">
        <f t="shared" si="36"/>
        <v/>
      </c>
      <c r="AQ253" t="str">
        <f t="shared" si="37"/>
        <v/>
      </c>
      <c r="AR253" t="str">
        <f t="shared" si="38"/>
        <v/>
      </c>
      <c r="AS253" t="str">
        <f t="shared" si="39"/>
        <v/>
      </c>
      <c r="AT253" t="str">
        <f t="shared" si="40"/>
        <v/>
      </c>
      <c r="BG253" t="str">
        <f t="shared" si="41"/>
        <v/>
      </c>
      <c r="BH253" t="str">
        <f t="shared" si="42"/>
        <v/>
      </c>
      <c r="BL253" t="str">
        <f>IFERROR(INDEX(_names_lookup!$C:$C,MATCH(BK253,_names_lookup!$A:$A,0)),"")</f>
        <v/>
      </c>
      <c r="BM253" t="str">
        <f>IFERROR(INDEX(_names_lookup!$B:$B,MATCH(BK253,_names_lookup!$A:$A,0)),"")</f>
        <v/>
      </c>
      <c r="BS253" t="str">
        <f t="shared" si="43"/>
        <v/>
      </c>
    </row>
    <row r="254" spans="15:71" x14ac:dyDescent="0.2">
      <c r="O254" t="str">
        <f>IFERROR(INDEX(_courses_lookup!$C:$C,MATCH(K254&amp;L254,_courses_lookup!$E:$E,0)),"")</f>
        <v/>
      </c>
      <c r="P254" t="str">
        <f>IFERROR(INDEX(_courses_lookup!$D:$D,MATCH(K254&amp;L254,_courses_lookup!$E:$E,0)),"")</f>
        <v/>
      </c>
      <c r="AG254" t="str">
        <f t="shared" si="33"/>
        <v/>
      </c>
      <c r="AI254" t="str">
        <f t="shared" si="34"/>
        <v/>
      </c>
      <c r="AL254" t="str">
        <f t="shared" si="35"/>
        <v/>
      </c>
      <c r="AN254" t="str">
        <f t="shared" si="36"/>
        <v/>
      </c>
      <c r="AQ254" t="str">
        <f t="shared" si="37"/>
        <v/>
      </c>
      <c r="AR254" t="str">
        <f t="shared" si="38"/>
        <v/>
      </c>
      <c r="AS254" t="str">
        <f t="shared" si="39"/>
        <v/>
      </c>
      <c r="AT254" t="str">
        <f t="shared" si="40"/>
        <v/>
      </c>
      <c r="BG254" t="str">
        <f t="shared" si="41"/>
        <v/>
      </c>
      <c r="BH254" t="str">
        <f t="shared" si="42"/>
        <v/>
      </c>
      <c r="BL254" t="str">
        <f>IFERROR(INDEX(_names_lookup!$C:$C,MATCH(BK254,_names_lookup!$A:$A,0)),"")</f>
        <v/>
      </c>
      <c r="BM254" t="str">
        <f>IFERROR(INDEX(_names_lookup!$B:$B,MATCH(BK254,_names_lookup!$A:$A,0)),"")</f>
        <v/>
      </c>
      <c r="BS254" t="str">
        <f t="shared" si="43"/>
        <v/>
      </c>
    </row>
    <row r="255" spans="15:71" x14ac:dyDescent="0.2">
      <c r="O255" t="str">
        <f>IFERROR(INDEX(_courses_lookup!$C:$C,MATCH(K255&amp;L255,_courses_lookup!$E:$E,0)),"")</f>
        <v/>
      </c>
      <c r="P255" t="str">
        <f>IFERROR(INDEX(_courses_lookup!$D:$D,MATCH(K255&amp;L255,_courses_lookup!$E:$E,0)),"")</f>
        <v/>
      </c>
      <c r="AG255" t="str">
        <f t="shared" si="33"/>
        <v/>
      </c>
      <c r="AI255" t="str">
        <f t="shared" si="34"/>
        <v/>
      </c>
      <c r="AL255" t="str">
        <f t="shared" si="35"/>
        <v/>
      </c>
      <c r="AN255" t="str">
        <f t="shared" si="36"/>
        <v/>
      </c>
      <c r="AQ255" t="str">
        <f t="shared" si="37"/>
        <v/>
      </c>
      <c r="AR255" t="str">
        <f t="shared" si="38"/>
        <v/>
      </c>
      <c r="AS255" t="str">
        <f t="shared" si="39"/>
        <v/>
      </c>
      <c r="AT255" t="str">
        <f t="shared" si="40"/>
        <v/>
      </c>
      <c r="BG255" t="str">
        <f t="shared" si="41"/>
        <v/>
      </c>
      <c r="BH255" t="str">
        <f t="shared" si="42"/>
        <v/>
      </c>
      <c r="BL255" t="str">
        <f>IFERROR(INDEX(_names_lookup!$C:$C,MATCH(BK255,_names_lookup!$A:$A,0)),"")</f>
        <v/>
      </c>
      <c r="BM255" t="str">
        <f>IFERROR(INDEX(_names_lookup!$B:$B,MATCH(BK255,_names_lookup!$A:$A,0)),"")</f>
        <v/>
      </c>
      <c r="BS255" t="str">
        <f t="shared" si="43"/>
        <v/>
      </c>
    </row>
    <row r="256" spans="15:71" x14ac:dyDescent="0.2">
      <c r="O256" t="str">
        <f>IFERROR(INDEX(_courses_lookup!$C:$C,MATCH(K256&amp;L256,_courses_lookup!$E:$E,0)),"")</f>
        <v/>
      </c>
      <c r="P256" t="str">
        <f>IFERROR(INDEX(_courses_lookup!$D:$D,MATCH(K256&amp;L256,_courses_lookup!$E:$E,0)),"")</f>
        <v/>
      </c>
      <c r="AG256" t="str">
        <f t="shared" si="33"/>
        <v/>
      </c>
      <c r="AI256" t="str">
        <f t="shared" si="34"/>
        <v/>
      </c>
      <c r="AL256" t="str">
        <f t="shared" si="35"/>
        <v/>
      </c>
      <c r="AN256" t="str">
        <f t="shared" si="36"/>
        <v/>
      </c>
      <c r="AQ256" t="str">
        <f t="shared" si="37"/>
        <v/>
      </c>
      <c r="AR256" t="str">
        <f t="shared" si="38"/>
        <v/>
      </c>
      <c r="AS256" t="str">
        <f t="shared" si="39"/>
        <v/>
      </c>
      <c r="AT256" t="str">
        <f t="shared" si="40"/>
        <v/>
      </c>
      <c r="BG256" t="str">
        <f t="shared" si="41"/>
        <v/>
      </c>
      <c r="BH256" t="str">
        <f t="shared" si="42"/>
        <v/>
      </c>
      <c r="BL256" t="str">
        <f>IFERROR(INDEX(_names_lookup!$C:$C,MATCH(BK256,_names_lookup!$A:$A,0)),"")</f>
        <v/>
      </c>
      <c r="BM256" t="str">
        <f>IFERROR(INDEX(_names_lookup!$B:$B,MATCH(BK256,_names_lookup!$A:$A,0)),"")</f>
        <v/>
      </c>
      <c r="BS256" t="str">
        <f t="shared" si="43"/>
        <v/>
      </c>
    </row>
    <row r="257" spans="15:71" x14ac:dyDescent="0.2">
      <c r="O257" t="str">
        <f>IFERROR(INDEX(_courses_lookup!$C:$C,MATCH(K257&amp;L257,_courses_lookup!$E:$E,0)),"")</f>
        <v/>
      </c>
      <c r="P257" t="str">
        <f>IFERROR(INDEX(_courses_lookup!$D:$D,MATCH(K257&amp;L257,_courses_lookup!$E:$E,0)),"")</f>
        <v/>
      </c>
      <c r="AG257" t="str">
        <f t="shared" si="33"/>
        <v/>
      </c>
      <c r="AI257" t="str">
        <f t="shared" si="34"/>
        <v/>
      </c>
      <c r="AL257" t="str">
        <f t="shared" si="35"/>
        <v/>
      </c>
      <c r="AN257" t="str">
        <f t="shared" si="36"/>
        <v/>
      </c>
      <c r="AQ257" t="str">
        <f t="shared" si="37"/>
        <v/>
      </c>
      <c r="AR257" t="str">
        <f t="shared" si="38"/>
        <v/>
      </c>
      <c r="AS257" t="str">
        <f t="shared" si="39"/>
        <v/>
      </c>
      <c r="AT257" t="str">
        <f t="shared" si="40"/>
        <v/>
      </c>
      <c r="BG257" t="str">
        <f t="shared" si="41"/>
        <v/>
      </c>
      <c r="BH257" t="str">
        <f t="shared" si="42"/>
        <v/>
      </c>
      <c r="BL257" t="str">
        <f>IFERROR(INDEX(_names_lookup!$C:$C,MATCH(BK257,_names_lookup!$A:$A,0)),"")</f>
        <v/>
      </c>
      <c r="BM257" t="str">
        <f>IFERROR(INDEX(_names_lookup!$B:$B,MATCH(BK257,_names_lookup!$A:$A,0)),"")</f>
        <v/>
      </c>
      <c r="BS257" t="str">
        <f t="shared" si="43"/>
        <v/>
      </c>
    </row>
    <row r="258" spans="15:71" x14ac:dyDescent="0.2">
      <c r="O258" t="str">
        <f>IFERROR(INDEX(_courses_lookup!$C:$C,MATCH(K258&amp;L258,_courses_lookup!$E:$E,0)),"")</f>
        <v/>
      </c>
      <c r="P258" t="str">
        <f>IFERROR(INDEX(_courses_lookup!$D:$D,MATCH(K258&amp;L258,_courses_lookup!$E:$E,0)),"")</f>
        <v/>
      </c>
      <c r="AG258" t="str">
        <f t="shared" ref="AG258:AG321" si="44">IF(AND(AE258&lt;&gt;"",AF258&lt;&gt;""),ROUNDUP((AF258-AE258)/7,0),"")</f>
        <v/>
      </c>
      <c r="AI258" t="str">
        <f t="shared" ref="AI258:AI321" si="45">IFERROR(IF(AG258*AH258=0,"",AG258*AH258),"")</f>
        <v/>
      </c>
      <c r="AL258" t="str">
        <f t="shared" ref="AL258:AL321" si="46">IF(AND(AJ258&lt;&gt;"",AK258&lt;&gt;""),ROUNDUP((AK258-AJ258)/7,0),"")</f>
        <v/>
      </c>
      <c r="AN258" t="str">
        <f t="shared" ref="AN258:AN321" si="47">IFERROR(IF(AL258*AM258=0,"",AL258*AM258),"")</f>
        <v/>
      </c>
      <c r="AQ258" t="str">
        <f t="shared" ref="AQ258:AQ321" si="48">IF(AND(AO258&lt;&gt;"",AP258&lt;&gt;""),ROUNDUP((AP258-AO258)/7,0),"")</f>
        <v/>
      </c>
      <c r="AR258" t="str">
        <f t="shared" ref="AR258:AR321" si="49">IFERROR(IF((AU258-(AI258+AN258))/AQ258=0,"",ROUNDUP((AU258-(AI258+AN258))/AQ258,0)),"")</f>
        <v/>
      </c>
      <c r="AS258" t="str">
        <f t="shared" ref="AS258:AS300" si="50">IFERROR(IF((AU258-(AI258+AN258))=0,"",(AU258-(AI258+AN258))),"")</f>
        <v/>
      </c>
      <c r="AT258" t="str">
        <f t="shared" ref="AT258:AT300" si="51">IF(AND(AG258="",AQ258=""),AL258,IF(SUM(AG258,AL258,AQ258)=0,"",SUM(AG258,AL258,AQ258)))</f>
        <v/>
      </c>
      <c r="BG258" t="str">
        <f t="shared" ref="BG258:BG300" si="52">IF(AD258="","",YEAR(AD258)+IF(MONTH(AD258)&gt;=5,1,0))</f>
        <v/>
      </c>
      <c r="BH258" t="str">
        <f t="shared" ref="BH258:BH300" si="53">IF(AD258="","",IF(AND(MONTH(AD258)=8,DAY(AD258)&gt;=15),"Fall",IF(MONTH(AD258)&gt;8,"Fall",IF(MONTH(AD258)=5,"Summer",IF(MONTH(AD258)=1,"Spring","")))))</f>
        <v/>
      </c>
      <c r="BL258" t="str">
        <f>IFERROR(INDEX(_names_lookup!$C:$C,MATCH(BK258,_names_lookup!$A:$A,0)),"")</f>
        <v/>
      </c>
      <c r="BM258" t="str">
        <f>IFERROR(INDEX(_names_lookup!$B:$B,MATCH(BK258,_names_lookup!$A:$A,0)),"")</f>
        <v/>
      </c>
      <c r="BS258" t="str">
        <f t="shared" ref="BS258:BS321" si="54">IFERROR(IF(BR258*AA258=0,"",BR258*AA258),"")</f>
        <v/>
      </c>
    </row>
    <row r="259" spans="15:71" x14ac:dyDescent="0.2">
      <c r="O259" t="str">
        <f>IFERROR(INDEX(_courses_lookup!$C:$C,MATCH(K259&amp;L259,_courses_lookup!$E:$E,0)),"")</f>
        <v/>
      </c>
      <c r="P259" t="str">
        <f>IFERROR(INDEX(_courses_lookup!$D:$D,MATCH(K259&amp;L259,_courses_lookup!$E:$E,0)),"")</f>
        <v/>
      </c>
      <c r="AG259" t="str">
        <f t="shared" si="44"/>
        <v/>
      </c>
      <c r="AI259" t="str">
        <f t="shared" si="45"/>
        <v/>
      </c>
      <c r="AL259" t="str">
        <f t="shared" si="46"/>
        <v/>
      </c>
      <c r="AN259" t="str">
        <f t="shared" si="47"/>
        <v/>
      </c>
      <c r="AQ259" t="str">
        <f t="shared" si="48"/>
        <v/>
      </c>
      <c r="AR259" t="str">
        <f t="shared" si="49"/>
        <v/>
      </c>
      <c r="AS259" t="str">
        <f t="shared" si="50"/>
        <v/>
      </c>
      <c r="AT259" t="str">
        <f t="shared" si="51"/>
        <v/>
      </c>
      <c r="BG259" t="str">
        <f t="shared" si="52"/>
        <v/>
      </c>
      <c r="BH259" t="str">
        <f t="shared" si="53"/>
        <v/>
      </c>
      <c r="BL259" t="str">
        <f>IFERROR(INDEX(_names_lookup!$C:$C,MATCH(BK259,_names_lookup!$A:$A,0)),"")</f>
        <v/>
      </c>
      <c r="BM259" t="str">
        <f>IFERROR(INDEX(_names_lookup!$B:$B,MATCH(BK259,_names_lookup!$A:$A,0)),"")</f>
        <v/>
      </c>
      <c r="BS259" t="str">
        <f t="shared" si="54"/>
        <v/>
      </c>
    </row>
    <row r="260" spans="15:71" x14ac:dyDescent="0.2">
      <c r="O260" t="str">
        <f>IFERROR(INDEX(_courses_lookup!$C:$C,MATCH(K260&amp;L260,_courses_lookup!$E:$E,0)),"")</f>
        <v/>
      </c>
      <c r="P260" t="str">
        <f>IFERROR(INDEX(_courses_lookup!$D:$D,MATCH(K260&amp;L260,_courses_lookup!$E:$E,0)),"")</f>
        <v/>
      </c>
      <c r="AG260" t="str">
        <f t="shared" si="44"/>
        <v/>
      </c>
      <c r="AI260" t="str">
        <f t="shared" si="45"/>
        <v/>
      </c>
      <c r="AL260" t="str">
        <f t="shared" si="46"/>
        <v/>
      </c>
      <c r="AN260" t="str">
        <f t="shared" si="47"/>
        <v/>
      </c>
      <c r="AQ260" t="str">
        <f t="shared" si="48"/>
        <v/>
      </c>
      <c r="AR260" t="str">
        <f t="shared" si="49"/>
        <v/>
      </c>
      <c r="AS260" t="str">
        <f t="shared" si="50"/>
        <v/>
      </c>
      <c r="AT260" t="str">
        <f t="shared" si="51"/>
        <v/>
      </c>
      <c r="BG260" t="str">
        <f t="shared" si="52"/>
        <v/>
      </c>
      <c r="BH260" t="str">
        <f t="shared" si="53"/>
        <v/>
      </c>
      <c r="BL260" t="str">
        <f>IFERROR(INDEX(_names_lookup!$C:$C,MATCH(BK260,_names_lookup!$A:$A,0)),"")</f>
        <v/>
      </c>
      <c r="BM260" t="str">
        <f>IFERROR(INDEX(_names_lookup!$B:$B,MATCH(BK260,_names_lookup!$A:$A,0)),"")</f>
        <v/>
      </c>
      <c r="BS260" t="str">
        <f t="shared" si="54"/>
        <v/>
      </c>
    </row>
    <row r="261" spans="15:71" x14ac:dyDescent="0.2">
      <c r="O261" t="str">
        <f>IFERROR(INDEX(_courses_lookup!$C:$C,MATCH(K261&amp;L261,_courses_lookup!$E:$E,0)),"")</f>
        <v/>
      </c>
      <c r="P261" t="str">
        <f>IFERROR(INDEX(_courses_lookup!$D:$D,MATCH(K261&amp;L261,_courses_lookup!$E:$E,0)),"")</f>
        <v/>
      </c>
      <c r="AG261" t="str">
        <f t="shared" si="44"/>
        <v/>
      </c>
      <c r="AI261" t="str">
        <f t="shared" si="45"/>
        <v/>
      </c>
      <c r="AL261" t="str">
        <f t="shared" si="46"/>
        <v/>
      </c>
      <c r="AN261" t="str">
        <f t="shared" si="47"/>
        <v/>
      </c>
      <c r="AQ261" t="str">
        <f t="shared" si="48"/>
        <v/>
      </c>
      <c r="AR261" t="str">
        <f t="shared" si="49"/>
        <v/>
      </c>
      <c r="AS261" t="str">
        <f t="shared" si="50"/>
        <v/>
      </c>
      <c r="AT261" t="str">
        <f t="shared" si="51"/>
        <v/>
      </c>
      <c r="BG261" t="str">
        <f t="shared" si="52"/>
        <v/>
      </c>
      <c r="BH261" t="str">
        <f t="shared" si="53"/>
        <v/>
      </c>
      <c r="BL261" t="str">
        <f>IFERROR(INDEX(_names_lookup!$C:$C,MATCH(BK261,_names_lookup!$A:$A,0)),"")</f>
        <v/>
      </c>
      <c r="BM261" t="str">
        <f>IFERROR(INDEX(_names_lookup!$B:$B,MATCH(BK261,_names_lookup!$A:$A,0)),"")</f>
        <v/>
      </c>
      <c r="BS261" t="str">
        <f t="shared" si="54"/>
        <v/>
      </c>
    </row>
    <row r="262" spans="15:71" x14ac:dyDescent="0.2">
      <c r="O262" t="str">
        <f>IFERROR(INDEX(_courses_lookup!$C:$C,MATCH(K262&amp;L262,_courses_lookup!$E:$E,0)),"")</f>
        <v/>
      </c>
      <c r="P262" t="str">
        <f>IFERROR(INDEX(_courses_lookup!$D:$D,MATCH(K262&amp;L262,_courses_lookup!$E:$E,0)),"")</f>
        <v/>
      </c>
      <c r="AG262" t="str">
        <f t="shared" si="44"/>
        <v/>
      </c>
      <c r="AI262" t="str">
        <f t="shared" si="45"/>
        <v/>
      </c>
      <c r="AL262" t="str">
        <f t="shared" si="46"/>
        <v/>
      </c>
      <c r="AN262" t="str">
        <f t="shared" si="47"/>
        <v/>
      </c>
      <c r="AQ262" t="str">
        <f t="shared" si="48"/>
        <v/>
      </c>
      <c r="AR262" t="str">
        <f t="shared" si="49"/>
        <v/>
      </c>
      <c r="AS262" t="str">
        <f t="shared" si="50"/>
        <v/>
      </c>
      <c r="AT262" t="str">
        <f t="shared" si="51"/>
        <v/>
      </c>
      <c r="BG262" t="str">
        <f t="shared" si="52"/>
        <v/>
      </c>
      <c r="BH262" t="str">
        <f t="shared" si="53"/>
        <v/>
      </c>
      <c r="BL262" t="str">
        <f>IFERROR(INDEX(_names_lookup!$C:$C,MATCH(BK262,_names_lookup!$A:$A,0)),"")</f>
        <v/>
      </c>
      <c r="BM262" t="str">
        <f>IFERROR(INDEX(_names_lookup!$B:$B,MATCH(BK262,_names_lookup!$A:$A,0)),"")</f>
        <v/>
      </c>
      <c r="BS262" t="str">
        <f t="shared" si="54"/>
        <v/>
      </c>
    </row>
    <row r="263" spans="15:71" x14ac:dyDescent="0.2">
      <c r="O263" t="str">
        <f>IFERROR(INDEX(_courses_lookup!$C:$C,MATCH(K263&amp;L263,_courses_lookup!$E:$E,0)),"")</f>
        <v/>
      </c>
      <c r="P263" t="str">
        <f>IFERROR(INDEX(_courses_lookup!$D:$D,MATCH(K263&amp;L263,_courses_lookup!$E:$E,0)),"")</f>
        <v/>
      </c>
      <c r="AG263" t="str">
        <f t="shared" si="44"/>
        <v/>
      </c>
      <c r="AI263" t="str">
        <f t="shared" si="45"/>
        <v/>
      </c>
      <c r="AL263" t="str">
        <f t="shared" si="46"/>
        <v/>
      </c>
      <c r="AN263" t="str">
        <f t="shared" si="47"/>
        <v/>
      </c>
      <c r="AQ263" t="str">
        <f t="shared" si="48"/>
        <v/>
      </c>
      <c r="AR263" t="str">
        <f t="shared" si="49"/>
        <v/>
      </c>
      <c r="AS263" t="str">
        <f t="shared" si="50"/>
        <v/>
      </c>
      <c r="AT263" t="str">
        <f t="shared" si="51"/>
        <v/>
      </c>
      <c r="BG263" t="str">
        <f t="shared" si="52"/>
        <v/>
      </c>
      <c r="BH263" t="str">
        <f t="shared" si="53"/>
        <v/>
      </c>
      <c r="BL263" t="str">
        <f>IFERROR(INDEX(_names_lookup!$C:$C,MATCH(BK263,_names_lookup!$A:$A,0)),"")</f>
        <v/>
      </c>
      <c r="BM263" t="str">
        <f>IFERROR(INDEX(_names_lookup!$B:$B,MATCH(BK263,_names_lookup!$A:$A,0)),"")</f>
        <v/>
      </c>
      <c r="BS263" t="str">
        <f t="shared" si="54"/>
        <v/>
      </c>
    </row>
    <row r="264" spans="15:71" x14ac:dyDescent="0.2">
      <c r="O264" t="str">
        <f>IFERROR(INDEX(_courses_lookup!$C:$C,MATCH(K264&amp;L264,_courses_lookup!$E:$E,0)),"")</f>
        <v/>
      </c>
      <c r="P264" t="str">
        <f>IFERROR(INDEX(_courses_lookup!$D:$D,MATCH(K264&amp;L264,_courses_lookup!$E:$E,0)),"")</f>
        <v/>
      </c>
      <c r="AG264" t="str">
        <f t="shared" si="44"/>
        <v/>
      </c>
      <c r="AI264" t="str">
        <f t="shared" si="45"/>
        <v/>
      </c>
      <c r="AL264" t="str">
        <f t="shared" si="46"/>
        <v/>
      </c>
      <c r="AN264" t="str">
        <f t="shared" si="47"/>
        <v/>
      </c>
      <c r="AQ264" t="str">
        <f t="shared" si="48"/>
        <v/>
      </c>
      <c r="AR264" t="str">
        <f t="shared" si="49"/>
        <v/>
      </c>
      <c r="AS264" t="str">
        <f t="shared" si="50"/>
        <v/>
      </c>
      <c r="AT264" t="str">
        <f t="shared" si="51"/>
        <v/>
      </c>
      <c r="BG264" t="str">
        <f t="shared" si="52"/>
        <v/>
      </c>
      <c r="BH264" t="str">
        <f t="shared" si="53"/>
        <v/>
      </c>
      <c r="BL264" t="str">
        <f>IFERROR(INDEX(_names_lookup!$C:$C,MATCH(BK264,_names_lookup!$A:$A,0)),"")</f>
        <v/>
      </c>
      <c r="BM264" t="str">
        <f>IFERROR(INDEX(_names_lookup!$B:$B,MATCH(BK264,_names_lookup!$A:$A,0)),"")</f>
        <v/>
      </c>
      <c r="BS264" t="str">
        <f t="shared" si="54"/>
        <v/>
      </c>
    </row>
    <row r="265" spans="15:71" x14ac:dyDescent="0.2">
      <c r="O265" t="str">
        <f>IFERROR(INDEX(_courses_lookup!$C:$C,MATCH(K265&amp;L265,_courses_lookup!$E:$E,0)),"")</f>
        <v/>
      </c>
      <c r="P265" t="str">
        <f>IFERROR(INDEX(_courses_lookup!$D:$D,MATCH(K265&amp;L265,_courses_lookup!$E:$E,0)),"")</f>
        <v/>
      </c>
      <c r="AG265" t="str">
        <f t="shared" si="44"/>
        <v/>
      </c>
      <c r="AI265" t="str">
        <f t="shared" si="45"/>
        <v/>
      </c>
      <c r="AL265" t="str">
        <f t="shared" si="46"/>
        <v/>
      </c>
      <c r="AN265" t="str">
        <f t="shared" si="47"/>
        <v/>
      </c>
      <c r="AQ265" t="str">
        <f t="shared" si="48"/>
        <v/>
      </c>
      <c r="AR265" t="str">
        <f t="shared" si="49"/>
        <v/>
      </c>
      <c r="AS265" t="str">
        <f t="shared" si="50"/>
        <v/>
      </c>
      <c r="AT265" t="str">
        <f t="shared" si="51"/>
        <v/>
      </c>
      <c r="BG265" t="str">
        <f t="shared" si="52"/>
        <v/>
      </c>
      <c r="BH265" t="str">
        <f t="shared" si="53"/>
        <v/>
      </c>
      <c r="BL265" t="str">
        <f>IFERROR(INDEX(_names_lookup!$C:$C,MATCH(BK265,_names_lookup!$A:$A,0)),"")</f>
        <v/>
      </c>
      <c r="BM265" t="str">
        <f>IFERROR(INDEX(_names_lookup!$B:$B,MATCH(BK265,_names_lookup!$A:$A,0)),"")</f>
        <v/>
      </c>
      <c r="BS265" t="str">
        <f t="shared" si="54"/>
        <v/>
      </c>
    </row>
    <row r="266" spans="15:71" x14ac:dyDescent="0.2">
      <c r="O266" t="str">
        <f>IFERROR(INDEX(_courses_lookup!$C:$C,MATCH(K266&amp;L266,_courses_lookup!$E:$E,0)),"")</f>
        <v/>
      </c>
      <c r="P266" t="str">
        <f>IFERROR(INDEX(_courses_lookup!$D:$D,MATCH(K266&amp;L266,_courses_lookup!$E:$E,0)),"")</f>
        <v/>
      </c>
      <c r="AG266" t="str">
        <f t="shared" si="44"/>
        <v/>
      </c>
      <c r="AI266" t="str">
        <f t="shared" si="45"/>
        <v/>
      </c>
      <c r="AL266" t="str">
        <f t="shared" si="46"/>
        <v/>
      </c>
      <c r="AN266" t="str">
        <f t="shared" si="47"/>
        <v/>
      </c>
      <c r="AQ266" t="str">
        <f t="shared" si="48"/>
        <v/>
      </c>
      <c r="AR266" t="str">
        <f t="shared" si="49"/>
        <v/>
      </c>
      <c r="AS266" t="str">
        <f t="shared" si="50"/>
        <v/>
      </c>
      <c r="AT266" t="str">
        <f t="shared" si="51"/>
        <v/>
      </c>
      <c r="BG266" t="str">
        <f t="shared" si="52"/>
        <v/>
      </c>
      <c r="BH266" t="str">
        <f t="shared" si="53"/>
        <v/>
      </c>
      <c r="BL266" t="str">
        <f>IFERROR(INDEX(_names_lookup!$C:$C,MATCH(BK266,_names_lookup!$A:$A,0)),"")</f>
        <v/>
      </c>
      <c r="BM266" t="str">
        <f>IFERROR(INDEX(_names_lookup!$B:$B,MATCH(BK266,_names_lookup!$A:$A,0)),"")</f>
        <v/>
      </c>
      <c r="BS266" t="str">
        <f t="shared" si="54"/>
        <v/>
      </c>
    </row>
    <row r="267" spans="15:71" x14ac:dyDescent="0.2">
      <c r="O267" t="str">
        <f>IFERROR(INDEX(_courses_lookup!$C:$C,MATCH(K267&amp;L267,_courses_lookup!$E:$E,0)),"")</f>
        <v/>
      </c>
      <c r="P267" t="str">
        <f>IFERROR(INDEX(_courses_lookup!$D:$D,MATCH(K267&amp;L267,_courses_lookup!$E:$E,0)),"")</f>
        <v/>
      </c>
      <c r="AG267" t="str">
        <f t="shared" si="44"/>
        <v/>
      </c>
      <c r="AI267" t="str">
        <f t="shared" si="45"/>
        <v/>
      </c>
      <c r="AL267" t="str">
        <f t="shared" si="46"/>
        <v/>
      </c>
      <c r="AN267" t="str">
        <f t="shared" si="47"/>
        <v/>
      </c>
      <c r="AQ267" t="str">
        <f t="shared" si="48"/>
        <v/>
      </c>
      <c r="AR267" t="str">
        <f t="shared" si="49"/>
        <v/>
      </c>
      <c r="AS267" t="str">
        <f t="shared" si="50"/>
        <v/>
      </c>
      <c r="AT267" t="str">
        <f t="shared" si="51"/>
        <v/>
      </c>
      <c r="BG267" t="str">
        <f t="shared" si="52"/>
        <v/>
      </c>
      <c r="BH267" t="str">
        <f t="shared" si="53"/>
        <v/>
      </c>
      <c r="BL267" t="str">
        <f>IFERROR(INDEX(_names_lookup!$C:$C,MATCH(BK267,_names_lookup!$A:$A,0)),"")</f>
        <v/>
      </c>
      <c r="BM267" t="str">
        <f>IFERROR(INDEX(_names_lookup!$B:$B,MATCH(BK267,_names_lookup!$A:$A,0)),"")</f>
        <v/>
      </c>
      <c r="BS267" t="str">
        <f t="shared" si="54"/>
        <v/>
      </c>
    </row>
    <row r="268" spans="15:71" x14ac:dyDescent="0.2">
      <c r="O268" t="str">
        <f>IFERROR(INDEX(_courses_lookup!$C:$C,MATCH(K268&amp;L268,_courses_lookup!$E:$E,0)),"")</f>
        <v/>
      </c>
      <c r="P268" t="str">
        <f>IFERROR(INDEX(_courses_lookup!$D:$D,MATCH(K268&amp;L268,_courses_lookup!$E:$E,0)),"")</f>
        <v/>
      </c>
      <c r="AG268" t="str">
        <f t="shared" si="44"/>
        <v/>
      </c>
      <c r="AI268" t="str">
        <f t="shared" si="45"/>
        <v/>
      </c>
      <c r="AL268" t="str">
        <f t="shared" si="46"/>
        <v/>
      </c>
      <c r="AN268" t="str">
        <f t="shared" si="47"/>
        <v/>
      </c>
      <c r="AQ268" t="str">
        <f t="shared" si="48"/>
        <v/>
      </c>
      <c r="AR268" t="str">
        <f t="shared" si="49"/>
        <v/>
      </c>
      <c r="AS268" t="str">
        <f t="shared" si="50"/>
        <v/>
      </c>
      <c r="AT268" t="str">
        <f t="shared" si="51"/>
        <v/>
      </c>
      <c r="BG268" t="str">
        <f t="shared" si="52"/>
        <v/>
      </c>
      <c r="BH268" t="str">
        <f t="shared" si="53"/>
        <v/>
      </c>
      <c r="BL268" t="str">
        <f>IFERROR(INDEX(_names_lookup!$C:$C,MATCH(BK268,_names_lookup!$A:$A,0)),"")</f>
        <v/>
      </c>
      <c r="BM268" t="str">
        <f>IFERROR(INDEX(_names_lookup!$B:$B,MATCH(BK268,_names_lookup!$A:$A,0)),"")</f>
        <v/>
      </c>
      <c r="BS268" t="str">
        <f t="shared" si="54"/>
        <v/>
      </c>
    </row>
    <row r="269" spans="15:71" x14ac:dyDescent="0.2">
      <c r="O269" t="str">
        <f>IFERROR(INDEX(_courses_lookup!$C:$C,MATCH(K269&amp;L269,_courses_lookup!$E:$E,0)),"")</f>
        <v/>
      </c>
      <c r="P269" t="str">
        <f>IFERROR(INDEX(_courses_lookup!$D:$D,MATCH(K269&amp;L269,_courses_lookup!$E:$E,0)),"")</f>
        <v/>
      </c>
      <c r="AG269" t="str">
        <f t="shared" si="44"/>
        <v/>
      </c>
      <c r="AI269" t="str">
        <f t="shared" si="45"/>
        <v/>
      </c>
      <c r="AL269" t="str">
        <f t="shared" si="46"/>
        <v/>
      </c>
      <c r="AN269" t="str">
        <f t="shared" si="47"/>
        <v/>
      </c>
      <c r="AQ269" t="str">
        <f t="shared" si="48"/>
        <v/>
      </c>
      <c r="AR269" t="str">
        <f t="shared" si="49"/>
        <v/>
      </c>
      <c r="AS269" t="str">
        <f t="shared" si="50"/>
        <v/>
      </c>
      <c r="AT269" t="str">
        <f t="shared" si="51"/>
        <v/>
      </c>
      <c r="BG269" t="str">
        <f t="shared" si="52"/>
        <v/>
      </c>
      <c r="BH269" t="str">
        <f t="shared" si="53"/>
        <v/>
      </c>
      <c r="BL269" t="str">
        <f>IFERROR(INDEX(_names_lookup!$C:$C,MATCH(BK269,_names_lookup!$A:$A,0)),"")</f>
        <v/>
      </c>
      <c r="BM269" t="str">
        <f>IFERROR(INDEX(_names_lookup!$B:$B,MATCH(BK269,_names_lookup!$A:$A,0)),"")</f>
        <v/>
      </c>
      <c r="BS269" t="str">
        <f t="shared" si="54"/>
        <v/>
      </c>
    </row>
    <row r="270" spans="15:71" x14ac:dyDescent="0.2">
      <c r="O270" t="str">
        <f>IFERROR(INDEX(_courses_lookup!$C:$C,MATCH(K270&amp;L270,_courses_lookup!$E:$E,0)),"")</f>
        <v/>
      </c>
      <c r="P270" t="str">
        <f>IFERROR(INDEX(_courses_lookup!$D:$D,MATCH(K270&amp;L270,_courses_lookup!$E:$E,0)),"")</f>
        <v/>
      </c>
      <c r="AG270" t="str">
        <f t="shared" si="44"/>
        <v/>
      </c>
      <c r="AI270" t="str">
        <f t="shared" si="45"/>
        <v/>
      </c>
      <c r="AL270" t="str">
        <f t="shared" si="46"/>
        <v/>
      </c>
      <c r="AN270" t="str">
        <f t="shared" si="47"/>
        <v/>
      </c>
      <c r="AQ270" t="str">
        <f t="shared" si="48"/>
        <v/>
      </c>
      <c r="AR270" t="str">
        <f t="shared" si="49"/>
        <v/>
      </c>
      <c r="AS270" t="str">
        <f t="shared" si="50"/>
        <v/>
      </c>
      <c r="AT270" t="str">
        <f t="shared" si="51"/>
        <v/>
      </c>
      <c r="BG270" t="str">
        <f t="shared" si="52"/>
        <v/>
      </c>
      <c r="BH270" t="str">
        <f t="shared" si="53"/>
        <v/>
      </c>
      <c r="BL270" t="str">
        <f>IFERROR(INDEX(_names_lookup!$C:$C,MATCH(BK270,_names_lookup!$A:$A,0)),"")</f>
        <v/>
      </c>
      <c r="BM270" t="str">
        <f>IFERROR(INDEX(_names_lookup!$B:$B,MATCH(BK270,_names_lookup!$A:$A,0)),"")</f>
        <v/>
      </c>
      <c r="BS270" t="str">
        <f t="shared" si="54"/>
        <v/>
      </c>
    </row>
    <row r="271" spans="15:71" x14ac:dyDescent="0.2">
      <c r="O271" t="str">
        <f>IFERROR(INDEX(_courses_lookup!$C:$C,MATCH(K271&amp;L271,_courses_lookup!$E:$E,0)),"")</f>
        <v/>
      </c>
      <c r="P271" t="str">
        <f>IFERROR(INDEX(_courses_lookup!$D:$D,MATCH(K271&amp;L271,_courses_lookup!$E:$E,0)),"")</f>
        <v/>
      </c>
      <c r="AG271" t="str">
        <f t="shared" si="44"/>
        <v/>
      </c>
      <c r="AI271" t="str">
        <f t="shared" si="45"/>
        <v/>
      </c>
      <c r="AL271" t="str">
        <f t="shared" si="46"/>
        <v/>
      </c>
      <c r="AN271" t="str">
        <f t="shared" si="47"/>
        <v/>
      </c>
      <c r="AQ271" t="str">
        <f t="shared" si="48"/>
        <v/>
      </c>
      <c r="AR271" t="str">
        <f t="shared" si="49"/>
        <v/>
      </c>
      <c r="AS271" t="str">
        <f t="shared" si="50"/>
        <v/>
      </c>
      <c r="AT271" t="str">
        <f t="shared" si="51"/>
        <v/>
      </c>
      <c r="BG271" t="str">
        <f t="shared" si="52"/>
        <v/>
      </c>
      <c r="BH271" t="str">
        <f t="shared" si="53"/>
        <v/>
      </c>
      <c r="BL271" t="str">
        <f>IFERROR(INDEX(_names_lookup!$C:$C,MATCH(BK271,_names_lookup!$A:$A,0)),"")</f>
        <v/>
      </c>
      <c r="BM271" t="str">
        <f>IFERROR(INDEX(_names_lookup!$B:$B,MATCH(BK271,_names_lookup!$A:$A,0)),"")</f>
        <v/>
      </c>
      <c r="BS271" t="str">
        <f t="shared" si="54"/>
        <v/>
      </c>
    </row>
    <row r="272" spans="15:71" x14ac:dyDescent="0.2">
      <c r="O272" t="str">
        <f>IFERROR(INDEX(_courses_lookup!$C:$C,MATCH(K272&amp;L272,_courses_lookup!$E:$E,0)),"")</f>
        <v/>
      </c>
      <c r="P272" t="str">
        <f>IFERROR(INDEX(_courses_lookup!$D:$D,MATCH(K272&amp;L272,_courses_lookup!$E:$E,0)),"")</f>
        <v/>
      </c>
      <c r="AG272" t="str">
        <f t="shared" si="44"/>
        <v/>
      </c>
      <c r="AI272" t="str">
        <f t="shared" si="45"/>
        <v/>
      </c>
      <c r="AL272" t="str">
        <f t="shared" si="46"/>
        <v/>
      </c>
      <c r="AN272" t="str">
        <f t="shared" si="47"/>
        <v/>
      </c>
      <c r="AQ272" t="str">
        <f t="shared" si="48"/>
        <v/>
      </c>
      <c r="AR272" t="str">
        <f t="shared" si="49"/>
        <v/>
      </c>
      <c r="AS272" t="str">
        <f t="shared" si="50"/>
        <v/>
      </c>
      <c r="AT272" t="str">
        <f t="shared" si="51"/>
        <v/>
      </c>
      <c r="BG272" t="str">
        <f t="shared" si="52"/>
        <v/>
      </c>
      <c r="BH272" t="str">
        <f t="shared" si="53"/>
        <v/>
      </c>
      <c r="BL272" t="str">
        <f>IFERROR(INDEX(_names_lookup!$C:$C,MATCH(BK272,_names_lookup!$A:$A,0)),"")</f>
        <v/>
      </c>
      <c r="BM272" t="str">
        <f>IFERROR(INDEX(_names_lookup!$B:$B,MATCH(BK272,_names_lookup!$A:$A,0)),"")</f>
        <v/>
      </c>
      <c r="BS272" t="str">
        <f t="shared" si="54"/>
        <v/>
      </c>
    </row>
    <row r="273" spans="15:71" x14ac:dyDescent="0.2">
      <c r="O273" t="str">
        <f>IFERROR(INDEX(_courses_lookup!$C:$C,MATCH(K273&amp;L273,_courses_lookup!$E:$E,0)),"")</f>
        <v/>
      </c>
      <c r="P273" t="str">
        <f>IFERROR(INDEX(_courses_lookup!$D:$D,MATCH(K273&amp;L273,_courses_lookup!$E:$E,0)),"")</f>
        <v/>
      </c>
      <c r="AG273" t="str">
        <f t="shared" si="44"/>
        <v/>
      </c>
      <c r="AI273" t="str">
        <f t="shared" si="45"/>
        <v/>
      </c>
      <c r="AL273" t="str">
        <f t="shared" si="46"/>
        <v/>
      </c>
      <c r="AN273" t="str">
        <f t="shared" si="47"/>
        <v/>
      </c>
      <c r="AQ273" t="str">
        <f t="shared" si="48"/>
        <v/>
      </c>
      <c r="AR273" t="str">
        <f t="shared" si="49"/>
        <v/>
      </c>
      <c r="AS273" t="str">
        <f t="shared" si="50"/>
        <v/>
      </c>
      <c r="AT273" t="str">
        <f t="shared" si="51"/>
        <v/>
      </c>
      <c r="BG273" t="str">
        <f t="shared" si="52"/>
        <v/>
      </c>
      <c r="BH273" t="str">
        <f t="shared" si="53"/>
        <v/>
      </c>
      <c r="BL273" t="str">
        <f>IFERROR(INDEX(_names_lookup!$C:$C,MATCH(BK273,_names_lookup!$A:$A,0)),"")</f>
        <v/>
      </c>
      <c r="BM273" t="str">
        <f>IFERROR(INDEX(_names_lookup!$B:$B,MATCH(BK273,_names_lookup!$A:$A,0)),"")</f>
        <v/>
      </c>
      <c r="BS273" t="str">
        <f t="shared" si="54"/>
        <v/>
      </c>
    </row>
    <row r="274" spans="15:71" x14ac:dyDescent="0.2">
      <c r="O274" t="str">
        <f>IFERROR(INDEX(_courses_lookup!$C:$C,MATCH(K274&amp;L274,_courses_lookup!$E:$E,0)),"")</f>
        <v/>
      </c>
      <c r="P274" t="str">
        <f>IFERROR(INDEX(_courses_lookup!$D:$D,MATCH(K274&amp;L274,_courses_lookup!$E:$E,0)),"")</f>
        <v/>
      </c>
      <c r="AG274" t="str">
        <f t="shared" si="44"/>
        <v/>
      </c>
      <c r="AI274" t="str">
        <f t="shared" si="45"/>
        <v/>
      </c>
      <c r="AL274" t="str">
        <f t="shared" si="46"/>
        <v/>
      </c>
      <c r="AN274" t="str">
        <f t="shared" si="47"/>
        <v/>
      </c>
      <c r="AQ274" t="str">
        <f t="shared" si="48"/>
        <v/>
      </c>
      <c r="AR274" t="str">
        <f t="shared" si="49"/>
        <v/>
      </c>
      <c r="AS274" t="str">
        <f t="shared" si="50"/>
        <v/>
      </c>
      <c r="AT274" t="str">
        <f t="shared" si="51"/>
        <v/>
      </c>
      <c r="BG274" t="str">
        <f t="shared" si="52"/>
        <v/>
      </c>
      <c r="BH274" t="str">
        <f t="shared" si="53"/>
        <v/>
      </c>
      <c r="BL274" t="str">
        <f>IFERROR(INDEX(_names_lookup!$C:$C,MATCH(BK274,_names_lookup!$A:$A,0)),"")</f>
        <v/>
      </c>
      <c r="BM274" t="str">
        <f>IFERROR(INDEX(_names_lookup!$B:$B,MATCH(BK274,_names_lookup!$A:$A,0)),"")</f>
        <v/>
      </c>
      <c r="BS274" t="str">
        <f t="shared" si="54"/>
        <v/>
      </c>
    </row>
    <row r="275" spans="15:71" x14ac:dyDescent="0.2">
      <c r="O275" t="str">
        <f>IFERROR(INDEX(_courses_lookup!$C:$C,MATCH(K275&amp;L275,_courses_lookup!$E:$E,0)),"")</f>
        <v/>
      </c>
      <c r="P275" t="str">
        <f>IFERROR(INDEX(_courses_lookup!$D:$D,MATCH(K275&amp;L275,_courses_lookup!$E:$E,0)),"")</f>
        <v/>
      </c>
      <c r="AG275" t="str">
        <f t="shared" si="44"/>
        <v/>
      </c>
      <c r="AI275" t="str">
        <f t="shared" si="45"/>
        <v/>
      </c>
      <c r="AL275" t="str">
        <f t="shared" si="46"/>
        <v/>
      </c>
      <c r="AN275" t="str">
        <f t="shared" si="47"/>
        <v/>
      </c>
      <c r="AQ275" t="str">
        <f t="shared" si="48"/>
        <v/>
      </c>
      <c r="AR275" t="str">
        <f t="shared" si="49"/>
        <v/>
      </c>
      <c r="AS275" t="str">
        <f t="shared" si="50"/>
        <v/>
      </c>
      <c r="AT275" t="str">
        <f t="shared" si="51"/>
        <v/>
      </c>
      <c r="BG275" t="str">
        <f t="shared" si="52"/>
        <v/>
      </c>
      <c r="BH275" t="str">
        <f t="shared" si="53"/>
        <v/>
      </c>
      <c r="BL275" t="str">
        <f>IFERROR(INDEX(_names_lookup!$C:$C,MATCH(BK275,_names_lookup!$A:$A,0)),"")</f>
        <v/>
      </c>
      <c r="BM275" t="str">
        <f>IFERROR(INDEX(_names_lookup!$B:$B,MATCH(BK275,_names_lookup!$A:$A,0)),"")</f>
        <v/>
      </c>
      <c r="BS275" t="str">
        <f t="shared" si="54"/>
        <v/>
      </c>
    </row>
    <row r="276" spans="15:71" x14ac:dyDescent="0.2">
      <c r="O276" t="str">
        <f>IFERROR(INDEX(_courses_lookup!$C:$C,MATCH(K276&amp;L276,_courses_lookup!$E:$E,0)),"")</f>
        <v/>
      </c>
      <c r="P276" t="str">
        <f>IFERROR(INDEX(_courses_lookup!$D:$D,MATCH(K276&amp;L276,_courses_lookup!$E:$E,0)),"")</f>
        <v/>
      </c>
      <c r="AG276" t="str">
        <f t="shared" si="44"/>
        <v/>
      </c>
      <c r="AI276" t="str">
        <f t="shared" si="45"/>
        <v/>
      </c>
      <c r="AL276" t="str">
        <f t="shared" si="46"/>
        <v/>
      </c>
      <c r="AN276" t="str">
        <f t="shared" si="47"/>
        <v/>
      </c>
      <c r="AQ276" t="str">
        <f t="shared" si="48"/>
        <v/>
      </c>
      <c r="AR276" t="str">
        <f t="shared" si="49"/>
        <v/>
      </c>
      <c r="AS276" t="str">
        <f t="shared" si="50"/>
        <v/>
      </c>
      <c r="AT276" t="str">
        <f t="shared" si="51"/>
        <v/>
      </c>
      <c r="BG276" t="str">
        <f t="shared" si="52"/>
        <v/>
      </c>
      <c r="BH276" t="str">
        <f t="shared" si="53"/>
        <v/>
      </c>
      <c r="BL276" t="str">
        <f>IFERROR(INDEX(_names_lookup!$C:$C,MATCH(BK276,_names_lookup!$A:$A,0)),"")</f>
        <v/>
      </c>
      <c r="BM276" t="str">
        <f>IFERROR(INDEX(_names_lookup!$B:$B,MATCH(BK276,_names_lookup!$A:$A,0)),"")</f>
        <v/>
      </c>
      <c r="BS276" t="str">
        <f t="shared" si="54"/>
        <v/>
      </c>
    </row>
    <row r="277" spans="15:71" x14ac:dyDescent="0.2">
      <c r="O277" t="str">
        <f>IFERROR(INDEX(_courses_lookup!$C:$C,MATCH(K277&amp;L277,_courses_lookup!$E:$E,0)),"")</f>
        <v/>
      </c>
      <c r="P277" t="str">
        <f>IFERROR(INDEX(_courses_lookup!$D:$D,MATCH(K277&amp;L277,_courses_lookup!$E:$E,0)),"")</f>
        <v/>
      </c>
      <c r="AG277" t="str">
        <f t="shared" si="44"/>
        <v/>
      </c>
      <c r="AI277" t="str">
        <f t="shared" si="45"/>
        <v/>
      </c>
      <c r="AL277" t="str">
        <f t="shared" si="46"/>
        <v/>
      </c>
      <c r="AN277" t="str">
        <f t="shared" si="47"/>
        <v/>
      </c>
      <c r="AQ277" t="str">
        <f t="shared" si="48"/>
        <v/>
      </c>
      <c r="AR277" t="str">
        <f t="shared" si="49"/>
        <v/>
      </c>
      <c r="AS277" t="str">
        <f t="shared" si="50"/>
        <v/>
      </c>
      <c r="AT277" t="str">
        <f t="shared" si="51"/>
        <v/>
      </c>
      <c r="BG277" t="str">
        <f t="shared" si="52"/>
        <v/>
      </c>
      <c r="BH277" t="str">
        <f t="shared" si="53"/>
        <v/>
      </c>
      <c r="BL277" t="str">
        <f>IFERROR(INDEX(_names_lookup!$C:$C,MATCH(BK277,_names_lookup!$A:$A,0)),"")</f>
        <v/>
      </c>
      <c r="BM277" t="str">
        <f>IFERROR(INDEX(_names_lookup!$B:$B,MATCH(BK277,_names_lookup!$A:$A,0)),"")</f>
        <v/>
      </c>
      <c r="BS277" t="str">
        <f t="shared" si="54"/>
        <v/>
      </c>
    </row>
    <row r="278" spans="15:71" x14ac:dyDescent="0.2">
      <c r="O278" t="str">
        <f>IFERROR(INDEX(_courses_lookup!$C:$C,MATCH(K278&amp;L278,_courses_lookup!$E:$E,0)),"")</f>
        <v/>
      </c>
      <c r="P278" t="str">
        <f>IFERROR(INDEX(_courses_lookup!$D:$D,MATCH(K278&amp;L278,_courses_lookup!$E:$E,0)),"")</f>
        <v/>
      </c>
      <c r="AG278" t="str">
        <f t="shared" si="44"/>
        <v/>
      </c>
      <c r="AI278" t="str">
        <f t="shared" si="45"/>
        <v/>
      </c>
      <c r="AL278" t="str">
        <f t="shared" si="46"/>
        <v/>
      </c>
      <c r="AN278" t="str">
        <f t="shared" si="47"/>
        <v/>
      </c>
      <c r="AQ278" t="str">
        <f t="shared" si="48"/>
        <v/>
      </c>
      <c r="AR278" t="str">
        <f t="shared" si="49"/>
        <v/>
      </c>
      <c r="AS278" t="str">
        <f t="shared" si="50"/>
        <v/>
      </c>
      <c r="AT278" t="str">
        <f t="shared" si="51"/>
        <v/>
      </c>
      <c r="BG278" t="str">
        <f t="shared" si="52"/>
        <v/>
      </c>
      <c r="BH278" t="str">
        <f t="shared" si="53"/>
        <v/>
      </c>
      <c r="BL278" t="str">
        <f>IFERROR(INDEX(_names_lookup!$C:$C,MATCH(BK278,_names_lookup!$A:$A,0)),"")</f>
        <v/>
      </c>
      <c r="BM278" t="str">
        <f>IFERROR(INDEX(_names_lookup!$B:$B,MATCH(BK278,_names_lookup!$A:$A,0)),"")</f>
        <v/>
      </c>
      <c r="BS278" t="str">
        <f t="shared" si="54"/>
        <v/>
      </c>
    </row>
    <row r="279" spans="15:71" x14ac:dyDescent="0.2">
      <c r="O279" t="str">
        <f>IFERROR(INDEX(_courses_lookup!$C:$C,MATCH(K279&amp;L279,_courses_lookup!$E:$E,0)),"")</f>
        <v/>
      </c>
      <c r="P279" t="str">
        <f>IFERROR(INDEX(_courses_lookup!$D:$D,MATCH(K279&amp;L279,_courses_lookup!$E:$E,0)),"")</f>
        <v/>
      </c>
      <c r="AG279" t="str">
        <f t="shared" si="44"/>
        <v/>
      </c>
      <c r="AI279" t="str">
        <f t="shared" si="45"/>
        <v/>
      </c>
      <c r="AL279" t="str">
        <f t="shared" si="46"/>
        <v/>
      </c>
      <c r="AN279" t="str">
        <f t="shared" si="47"/>
        <v/>
      </c>
      <c r="AQ279" t="str">
        <f t="shared" si="48"/>
        <v/>
      </c>
      <c r="AR279" t="str">
        <f t="shared" si="49"/>
        <v/>
      </c>
      <c r="AS279" t="str">
        <f t="shared" si="50"/>
        <v/>
      </c>
      <c r="AT279" t="str">
        <f t="shared" si="51"/>
        <v/>
      </c>
      <c r="BG279" t="str">
        <f t="shared" si="52"/>
        <v/>
      </c>
      <c r="BH279" t="str">
        <f t="shared" si="53"/>
        <v/>
      </c>
      <c r="BL279" t="str">
        <f>IFERROR(INDEX(_names_lookup!$C:$C,MATCH(BK279,_names_lookup!$A:$A,0)),"")</f>
        <v/>
      </c>
      <c r="BM279" t="str">
        <f>IFERROR(INDEX(_names_lookup!$B:$B,MATCH(BK279,_names_lookup!$A:$A,0)),"")</f>
        <v/>
      </c>
      <c r="BS279" t="str">
        <f t="shared" si="54"/>
        <v/>
      </c>
    </row>
    <row r="280" spans="15:71" x14ac:dyDescent="0.2">
      <c r="O280" t="str">
        <f>IFERROR(INDEX(_courses_lookup!$C:$C,MATCH(K280&amp;L280,_courses_lookup!$E:$E,0)),"")</f>
        <v/>
      </c>
      <c r="P280" t="str">
        <f>IFERROR(INDEX(_courses_lookup!$D:$D,MATCH(K280&amp;L280,_courses_lookup!$E:$E,0)),"")</f>
        <v/>
      </c>
      <c r="AG280" t="str">
        <f t="shared" si="44"/>
        <v/>
      </c>
      <c r="AI280" t="str">
        <f t="shared" si="45"/>
        <v/>
      </c>
      <c r="AL280" t="str">
        <f t="shared" si="46"/>
        <v/>
      </c>
      <c r="AN280" t="str">
        <f t="shared" si="47"/>
        <v/>
      </c>
      <c r="AQ280" t="str">
        <f t="shared" si="48"/>
        <v/>
      </c>
      <c r="AR280" t="str">
        <f t="shared" si="49"/>
        <v/>
      </c>
      <c r="AS280" t="str">
        <f t="shared" si="50"/>
        <v/>
      </c>
      <c r="AT280" t="str">
        <f t="shared" si="51"/>
        <v/>
      </c>
      <c r="BG280" t="str">
        <f t="shared" si="52"/>
        <v/>
      </c>
      <c r="BH280" t="str">
        <f t="shared" si="53"/>
        <v/>
      </c>
      <c r="BL280" t="str">
        <f>IFERROR(INDEX(_names_lookup!$C:$C,MATCH(BK280,_names_lookup!$A:$A,0)),"")</f>
        <v/>
      </c>
      <c r="BM280" t="str">
        <f>IFERROR(INDEX(_names_lookup!$B:$B,MATCH(BK280,_names_lookup!$A:$A,0)),"")</f>
        <v/>
      </c>
      <c r="BS280" t="str">
        <f t="shared" si="54"/>
        <v/>
      </c>
    </row>
    <row r="281" spans="15:71" x14ac:dyDescent="0.2">
      <c r="O281" t="str">
        <f>IFERROR(INDEX(_courses_lookup!$C:$C,MATCH(K281&amp;L281,_courses_lookup!$E:$E,0)),"")</f>
        <v/>
      </c>
      <c r="P281" t="str">
        <f>IFERROR(INDEX(_courses_lookup!$D:$D,MATCH(K281&amp;L281,_courses_lookup!$E:$E,0)),"")</f>
        <v/>
      </c>
      <c r="AG281" t="str">
        <f t="shared" si="44"/>
        <v/>
      </c>
      <c r="AI281" t="str">
        <f t="shared" si="45"/>
        <v/>
      </c>
      <c r="AL281" t="str">
        <f t="shared" si="46"/>
        <v/>
      </c>
      <c r="AN281" t="str">
        <f t="shared" si="47"/>
        <v/>
      </c>
      <c r="AQ281" t="str">
        <f t="shared" si="48"/>
        <v/>
      </c>
      <c r="AR281" t="str">
        <f t="shared" si="49"/>
        <v/>
      </c>
      <c r="AS281" t="str">
        <f t="shared" si="50"/>
        <v/>
      </c>
      <c r="AT281" t="str">
        <f t="shared" si="51"/>
        <v/>
      </c>
      <c r="BG281" t="str">
        <f t="shared" si="52"/>
        <v/>
      </c>
      <c r="BH281" t="str">
        <f t="shared" si="53"/>
        <v/>
      </c>
      <c r="BL281" t="str">
        <f>IFERROR(INDEX(_names_lookup!$C:$C,MATCH(BK281,_names_lookup!$A:$A,0)),"")</f>
        <v/>
      </c>
      <c r="BM281" t="str">
        <f>IFERROR(INDEX(_names_lookup!$B:$B,MATCH(BK281,_names_lookup!$A:$A,0)),"")</f>
        <v/>
      </c>
      <c r="BS281" t="str">
        <f t="shared" si="54"/>
        <v/>
      </c>
    </row>
    <row r="282" spans="15:71" x14ac:dyDescent="0.2">
      <c r="O282" t="str">
        <f>IFERROR(INDEX(_courses_lookup!$C:$C,MATCH(K282&amp;L282,_courses_lookup!$E:$E,0)),"")</f>
        <v/>
      </c>
      <c r="P282" t="str">
        <f>IFERROR(INDEX(_courses_lookup!$D:$D,MATCH(K282&amp;L282,_courses_lookup!$E:$E,0)),"")</f>
        <v/>
      </c>
      <c r="AG282" t="str">
        <f t="shared" si="44"/>
        <v/>
      </c>
      <c r="AI282" t="str">
        <f t="shared" si="45"/>
        <v/>
      </c>
      <c r="AL282" t="str">
        <f t="shared" si="46"/>
        <v/>
      </c>
      <c r="AN282" t="str">
        <f t="shared" si="47"/>
        <v/>
      </c>
      <c r="AQ282" t="str">
        <f t="shared" si="48"/>
        <v/>
      </c>
      <c r="AR282" t="str">
        <f t="shared" si="49"/>
        <v/>
      </c>
      <c r="AS282" t="str">
        <f t="shared" si="50"/>
        <v/>
      </c>
      <c r="AT282" t="str">
        <f t="shared" si="51"/>
        <v/>
      </c>
      <c r="BG282" t="str">
        <f t="shared" si="52"/>
        <v/>
      </c>
      <c r="BH282" t="str">
        <f t="shared" si="53"/>
        <v/>
      </c>
      <c r="BL282" t="str">
        <f>IFERROR(INDEX(_names_lookup!$C:$C,MATCH(BK282,_names_lookup!$A:$A,0)),"")</f>
        <v/>
      </c>
      <c r="BM282" t="str">
        <f>IFERROR(INDEX(_names_lookup!$B:$B,MATCH(BK282,_names_lookup!$A:$A,0)),"")</f>
        <v/>
      </c>
      <c r="BS282" t="str">
        <f t="shared" si="54"/>
        <v/>
      </c>
    </row>
    <row r="283" spans="15:71" x14ac:dyDescent="0.2">
      <c r="O283" t="str">
        <f>IFERROR(INDEX(_courses_lookup!$C:$C,MATCH(K283&amp;L283,_courses_lookup!$E:$E,0)),"")</f>
        <v/>
      </c>
      <c r="P283" t="str">
        <f>IFERROR(INDEX(_courses_lookup!$D:$D,MATCH(K283&amp;L283,_courses_lookup!$E:$E,0)),"")</f>
        <v/>
      </c>
      <c r="AG283" t="str">
        <f t="shared" si="44"/>
        <v/>
      </c>
      <c r="AI283" t="str">
        <f t="shared" si="45"/>
        <v/>
      </c>
      <c r="AL283" t="str">
        <f t="shared" si="46"/>
        <v/>
      </c>
      <c r="AN283" t="str">
        <f t="shared" si="47"/>
        <v/>
      </c>
      <c r="AQ283" t="str">
        <f t="shared" si="48"/>
        <v/>
      </c>
      <c r="AR283" t="str">
        <f t="shared" si="49"/>
        <v/>
      </c>
      <c r="AS283" t="str">
        <f t="shared" si="50"/>
        <v/>
      </c>
      <c r="AT283" t="str">
        <f t="shared" si="51"/>
        <v/>
      </c>
      <c r="BG283" t="str">
        <f t="shared" si="52"/>
        <v/>
      </c>
      <c r="BH283" t="str">
        <f t="shared" si="53"/>
        <v/>
      </c>
      <c r="BL283" t="str">
        <f>IFERROR(INDEX(_names_lookup!$C:$C,MATCH(BK283,_names_lookup!$A:$A,0)),"")</f>
        <v/>
      </c>
      <c r="BM283" t="str">
        <f>IFERROR(INDEX(_names_lookup!$B:$B,MATCH(BK283,_names_lookup!$A:$A,0)),"")</f>
        <v/>
      </c>
      <c r="BS283" t="str">
        <f t="shared" si="54"/>
        <v/>
      </c>
    </row>
    <row r="284" spans="15:71" x14ac:dyDescent="0.2">
      <c r="O284" t="str">
        <f>IFERROR(INDEX(_courses_lookup!$C:$C,MATCH(K284&amp;L284,_courses_lookup!$E:$E,0)),"")</f>
        <v/>
      </c>
      <c r="P284" t="str">
        <f>IFERROR(INDEX(_courses_lookup!$D:$D,MATCH(K284&amp;L284,_courses_lookup!$E:$E,0)),"")</f>
        <v/>
      </c>
      <c r="AG284" t="str">
        <f t="shared" si="44"/>
        <v/>
      </c>
      <c r="AI284" t="str">
        <f t="shared" si="45"/>
        <v/>
      </c>
      <c r="AL284" t="str">
        <f t="shared" si="46"/>
        <v/>
      </c>
      <c r="AN284" t="str">
        <f t="shared" si="47"/>
        <v/>
      </c>
      <c r="AQ284" t="str">
        <f t="shared" si="48"/>
        <v/>
      </c>
      <c r="AR284" t="str">
        <f t="shared" si="49"/>
        <v/>
      </c>
      <c r="AS284" t="str">
        <f t="shared" si="50"/>
        <v/>
      </c>
      <c r="AT284" t="str">
        <f t="shared" si="51"/>
        <v/>
      </c>
      <c r="BG284" t="str">
        <f t="shared" si="52"/>
        <v/>
      </c>
      <c r="BH284" t="str">
        <f t="shared" si="53"/>
        <v/>
      </c>
      <c r="BL284" t="str">
        <f>IFERROR(INDEX(_names_lookup!$C:$C,MATCH(BK284,_names_lookup!$A:$A,0)),"")</f>
        <v/>
      </c>
      <c r="BM284" t="str">
        <f>IFERROR(INDEX(_names_lookup!$B:$B,MATCH(BK284,_names_lookup!$A:$A,0)),"")</f>
        <v/>
      </c>
      <c r="BS284" t="str">
        <f t="shared" si="54"/>
        <v/>
      </c>
    </row>
    <row r="285" spans="15:71" x14ac:dyDescent="0.2">
      <c r="O285" t="str">
        <f>IFERROR(INDEX(_courses_lookup!$C:$C,MATCH(K285&amp;L285,_courses_lookup!$E:$E,0)),"")</f>
        <v/>
      </c>
      <c r="P285" t="str">
        <f>IFERROR(INDEX(_courses_lookup!$D:$D,MATCH(K285&amp;L285,_courses_lookup!$E:$E,0)),"")</f>
        <v/>
      </c>
      <c r="AG285" t="str">
        <f t="shared" si="44"/>
        <v/>
      </c>
      <c r="AI285" t="str">
        <f t="shared" si="45"/>
        <v/>
      </c>
      <c r="AL285" t="str">
        <f t="shared" si="46"/>
        <v/>
      </c>
      <c r="AN285" t="str">
        <f t="shared" si="47"/>
        <v/>
      </c>
      <c r="AQ285" t="str">
        <f t="shared" si="48"/>
        <v/>
      </c>
      <c r="AR285" t="str">
        <f t="shared" si="49"/>
        <v/>
      </c>
      <c r="AS285" t="str">
        <f t="shared" si="50"/>
        <v/>
      </c>
      <c r="AT285" t="str">
        <f t="shared" si="51"/>
        <v/>
      </c>
      <c r="BG285" t="str">
        <f t="shared" si="52"/>
        <v/>
      </c>
      <c r="BH285" t="str">
        <f t="shared" si="53"/>
        <v/>
      </c>
      <c r="BL285" t="str">
        <f>IFERROR(INDEX(_names_lookup!$C:$C,MATCH(BK285,_names_lookup!$A:$A,0)),"")</f>
        <v/>
      </c>
      <c r="BM285" t="str">
        <f>IFERROR(INDEX(_names_lookup!$B:$B,MATCH(BK285,_names_lookup!$A:$A,0)),"")</f>
        <v/>
      </c>
      <c r="BS285" t="str">
        <f t="shared" si="54"/>
        <v/>
      </c>
    </row>
    <row r="286" spans="15:71" x14ac:dyDescent="0.2">
      <c r="O286" t="str">
        <f>IFERROR(INDEX(_courses_lookup!$C:$C,MATCH(K286&amp;L286,_courses_lookup!$E:$E,0)),"")</f>
        <v/>
      </c>
      <c r="P286" t="str">
        <f>IFERROR(INDEX(_courses_lookup!$D:$D,MATCH(K286&amp;L286,_courses_lookup!$E:$E,0)),"")</f>
        <v/>
      </c>
      <c r="AG286" t="str">
        <f t="shared" si="44"/>
        <v/>
      </c>
      <c r="AI286" t="str">
        <f t="shared" si="45"/>
        <v/>
      </c>
      <c r="AL286" t="str">
        <f t="shared" si="46"/>
        <v/>
      </c>
      <c r="AN286" t="str">
        <f t="shared" si="47"/>
        <v/>
      </c>
      <c r="AQ286" t="str">
        <f t="shared" si="48"/>
        <v/>
      </c>
      <c r="AR286" t="str">
        <f t="shared" si="49"/>
        <v/>
      </c>
      <c r="AS286" t="str">
        <f t="shared" si="50"/>
        <v/>
      </c>
      <c r="AT286" t="str">
        <f t="shared" si="51"/>
        <v/>
      </c>
      <c r="BG286" t="str">
        <f t="shared" si="52"/>
        <v/>
      </c>
      <c r="BH286" t="str">
        <f t="shared" si="53"/>
        <v/>
      </c>
      <c r="BL286" t="str">
        <f>IFERROR(INDEX(_names_lookup!$C:$C,MATCH(BK286,_names_lookup!$A:$A,0)),"")</f>
        <v/>
      </c>
      <c r="BM286" t="str">
        <f>IFERROR(INDEX(_names_lookup!$B:$B,MATCH(BK286,_names_lookup!$A:$A,0)),"")</f>
        <v/>
      </c>
      <c r="BS286" t="str">
        <f t="shared" si="54"/>
        <v/>
      </c>
    </row>
    <row r="287" spans="15:71" x14ac:dyDescent="0.2">
      <c r="O287" t="str">
        <f>IFERROR(INDEX(_courses_lookup!$C:$C,MATCH(K287&amp;L287,_courses_lookup!$E:$E,0)),"")</f>
        <v/>
      </c>
      <c r="P287" t="str">
        <f>IFERROR(INDEX(_courses_lookup!$D:$D,MATCH(K287&amp;L287,_courses_lookup!$E:$E,0)),"")</f>
        <v/>
      </c>
      <c r="AG287" t="str">
        <f t="shared" si="44"/>
        <v/>
      </c>
      <c r="AI287" t="str">
        <f t="shared" si="45"/>
        <v/>
      </c>
      <c r="AL287" t="str">
        <f t="shared" si="46"/>
        <v/>
      </c>
      <c r="AN287" t="str">
        <f t="shared" si="47"/>
        <v/>
      </c>
      <c r="AQ287" t="str">
        <f t="shared" si="48"/>
        <v/>
      </c>
      <c r="AR287" t="str">
        <f t="shared" si="49"/>
        <v/>
      </c>
      <c r="AS287" t="str">
        <f t="shared" si="50"/>
        <v/>
      </c>
      <c r="AT287" t="str">
        <f t="shared" si="51"/>
        <v/>
      </c>
      <c r="BG287" t="str">
        <f t="shared" si="52"/>
        <v/>
      </c>
      <c r="BH287" t="str">
        <f t="shared" si="53"/>
        <v/>
      </c>
      <c r="BL287" t="str">
        <f>IFERROR(INDEX(_names_lookup!$C:$C,MATCH(BK287,_names_lookup!$A:$A,0)),"")</f>
        <v/>
      </c>
      <c r="BM287" t="str">
        <f>IFERROR(INDEX(_names_lookup!$B:$B,MATCH(BK287,_names_lookup!$A:$A,0)),"")</f>
        <v/>
      </c>
      <c r="BS287" t="str">
        <f t="shared" si="54"/>
        <v/>
      </c>
    </row>
    <row r="288" spans="15:71" x14ac:dyDescent="0.2">
      <c r="O288" t="str">
        <f>IFERROR(INDEX(_courses_lookup!$C:$C,MATCH(K288&amp;L288,_courses_lookup!$E:$E,0)),"")</f>
        <v/>
      </c>
      <c r="P288" t="str">
        <f>IFERROR(INDEX(_courses_lookup!$D:$D,MATCH(K288&amp;L288,_courses_lookup!$E:$E,0)),"")</f>
        <v/>
      </c>
      <c r="AG288" t="str">
        <f t="shared" si="44"/>
        <v/>
      </c>
      <c r="AI288" t="str">
        <f t="shared" si="45"/>
        <v/>
      </c>
      <c r="AL288" t="str">
        <f t="shared" si="46"/>
        <v/>
      </c>
      <c r="AN288" t="str">
        <f t="shared" si="47"/>
        <v/>
      </c>
      <c r="AQ288" t="str">
        <f t="shared" si="48"/>
        <v/>
      </c>
      <c r="AR288" t="str">
        <f t="shared" si="49"/>
        <v/>
      </c>
      <c r="AS288" t="str">
        <f t="shared" si="50"/>
        <v/>
      </c>
      <c r="AT288" t="str">
        <f t="shared" si="51"/>
        <v/>
      </c>
      <c r="BG288" t="str">
        <f t="shared" si="52"/>
        <v/>
      </c>
      <c r="BH288" t="str">
        <f t="shared" si="53"/>
        <v/>
      </c>
      <c r="BL288" t="str">
        <f>IFERROR(INDEX(_names_lookup!$C:$C,MATCH(BK288,_names_lookup!$A:$A,0)),"")</f>
        <v/>
      </c>
      <c r="BM288" t="str">
        <f>IFERROR(INDEX(_names_lookup!$B:$B,MATCH(BK288,_names_lookup!$A:$A,0)),"")</f>
        <v/>
      </c>
      <c r="BS288" t="str">
        <f t="shared" si="54"/>
        <v/>
      </c>
    </row>
    <row r="289" spans="15:71" x14ac:dyDescent="0.2">
      <c r="O289" t="str">
        <f>IFERROR(INDEX(_courses_lookup!$C:$C,MATCH(K289&amp;L289,_courses_lookup!$E:$E,0)),"")</f>
        <v/>
      </c>
      <c r="P289" t="str">
        <f>IFERROR(INDEX(_courses_lookup!$D:$D,MATCH(K289&amp;L289,_courses_lookup!$E:$E,0)),"")</f>
        <v/>
      </c>
      <c r="AG289" t="str">
        <f t="shared" si="44"/>
        <v/>
      </c>
      <c r="AI289" t="str">
        <f t="shared" si="45"/>
        <v/>
      </c>
      <c r="AL289" t="str">
        <f t="shared" si="46"/>
        <v/>
      </c>
      <c r="AN289" t="str">
        <f t="shared" si="47"/>
        <v/>
      </c>
      <c r="AQ289" t="str">
        <f t="shared" si="48"/>
        <v/>
      </c>
      <c r="AR289" t="str">
        <f t="shared" si="49"/>
        <v/>
      </c>
      <c r="AS289" t="str">
        <f t="shared" si="50"/>
        <v/>
      </c>
      <c r="AT289" t="str">
        <f t="shared" si="51"/>
        <v/>
      </c>
      <c r="BG289" t="str">
        <f t="shared" si="52"/>
        <v/>
      </c>
      <c r="BH289" t="str">
        <f t="shared" si="53"/>
        <v/>
      </c>
      <c r="BL289" t="str">
        <f>IFERROR(INDEX(_names_lookup!$C:$C,MATCH(BK289,_names_lookup!$A:$A,0)),"")</f>
        <v/>
      </c>
      <c r="BM289" t="str">
        <f>IFERROR(INDEX(_names_lookup!$B:$B,MATCH(BK289,_names_lookup!$A:$A,0)),"")</f>
        <v/>
      </c>
      <c r="BS289" t="str">
        <f t="shared" si="54"/>
        <v/>
      </c>
    </row>
    <row r="290" spans="15:71" x14ac:dyDescent="0.2">
      <c r="O290" t="str">
        <f>IFERROR(INDEX(_courses_lookup!$C:$C,MATCH(K290&amp;L290,_courses_lookup!$E:$E,0)),"")</f>
        <v/>
      </c>
      <c r="P290" t="str">
        <f>IFERROR(INDEX(_courses_lookup!$D:$D,MATCH(K290&amp;L290,_courses_lookup!$E:$E,0)),"")</f>
        <v/>
      </c>
      <c r="AG290" t="str">
        <f t="shared" si="44"/>
        <v/>
      </c>
      <c r="AI290" t="str">
        <f t="shared" si="45"/>
        <v/>
      </c>
      <c r="AL290" t="str">
        <f t="shared" si="46"/>
        <v/>
      </c>
      <c r="AN290" t="str">
        <f t="shared" si="47"/>
        <v/>
      </c>
      <c r="AQ290" t="str">
        <f t="shared" si="48"/>
        <v/>
      </c>
      <c r="AR290" t="str">
        <f t="shared" si="49"/>
        <v/>
      </c>
      <c r="AS290" t="str">
        <f t="shared" si="50"/>
        <v/>
      </c>
      <c r="AT290" t="str">
        <f t="shared" si="51"/>
        <v/>
      </c>
      <c r="BG290" t="str">
        <f t="shared" si="52"/>
        <v/>
      </c>
      <c r="BH290" t="str">
        <f t="shared" si="53"/>
        <v/>
      </c>
      <c r="BL290" t="str">
        <f>IFERROR(INDEX(_names_lookup!$C:$C,MATCH(BK290,_names_lookup!$A:$A,0)),"")</f>
        <v/>
      </c>
      <c r="BM290" t="str">
        <f>IFERROR(INDEX(_names_lookup!$B:$B,MATCH(BK290,_names_lookup!$A:$A,0)),"")</f>
        <v/>
      </c>
      <c r="BS290" t="str">
        <f t="shared" si="54"/>
        <v/>
      </c>
    </row>
    <row r="291" spans="15:71" x14ac:dyDescent="0.2">
      <c r="O291" t="str">
        <f>IFERROR(INDEX(_courses_lookup!$C:$C,MATCH(K291&amp;L291,_courses_lookup!$E:$E,0)),"")</f>
        <v/>
      </c>
      <c r="P291" t="str">
        <f>IFERROR(INDEX(_courses_lookup!$D:$D,MATCH(K291&amp;L291,_courses_lookup!$E:$E,0)),"")</f>
        <v/>
      </c>
      <c r="AG291" t="str">
        <f t="shared" si="44"/>
        <v/>
      </c>
      <c r="AI291" t="str">
        <f t="shared" si="45"/>
        <v/>
      </c>
      <c r="AL291" t="str">
        <f t="shared" si="46"/>
        <v/>
      </c>
      <c r="AN291" t="str">
        <f t="shared" si="47"/>
        <v/>
      </c>
      <c r="AQ291" t="str">
        <f t="shared" si="48"/>
        <v/>
      </c>
      <c r="AR291" t="str">
        <f t="shared" si="49"/>
        <v/>
      </c>
      <c r="AS291" t="str">
        <f t="shared" si="50"/>
        <v/>
      </c>
      <c r="AT291" t="str">
        <f t="shared" si="51"/>
        <v/>
      </c>
      <c r="BG291" t="str">
        <f t="shared" si="52"/>
        <v/>
      </c>
      <c r="BH291" t="str">
        <f t="shared" si="53"/>
        <v/>
      </c>
      <c r="BL291" t="str">
        <f>IFERROR(INDEX(_names_lookup!$C:$C,MATCH(BK291,_names_lookup!$A:$A,0)),"")</f>
        <v/>
      </c>
      <c r="BM291" t="str">
        <f>IFERROR(INDEX(_names_lookup!$B:$B,MATCH(BK291,_names_lookup!$A:$A,0)),"")</f>
        <v/>
      </c>
      <c r="BS291" t="str">
        <f t="shared" si="54"/>
        <v/>
      </c>
    </row>
    <row r="292" spans="15:71" x14ac:dyDescent="0.2">
      <c r="O292" t="str">
        <f>IFERROR(INDEX(_courses_lookup!$C:$C,MATCH(K292&amp;L292,_courses_lookup!$E:$E,0)),"")</f>
        <v/>
      </c>
      <c r="P292" t="str">
        <f>IFERROR(INDEX(_courses_lookup!$D:$D,MATCH(K292&amp;L292,_courses_lookup!$E:$E,0)),"")</f>
        <v/>
      </c>
      <c r="AG292" t="str">
        <f t="shared" si="44"/>
        <v/>
      </c>
      <c r="AI292" t="str">
        <f t="shared" si="45"/>
        <v/>
      </c>
      <c r="AL292" t="str">
        <f t="shared" si="46"/>
        <v/>
      </c>
      <c r="AN292" t="str">
        <f t="shared" si="47"/>
        <v/>
      </c>
      <c r="AQ292" t="str">
        <f t="shared" si="48"/>
        <v/>
      </c>
      <c r="AR292" t="str">
        <f t="shared" si="49"/>
        <v/>
      </c>
      <c r="AS292" t="str">
        <f t="shared" si="50"/>
        <v/>
      </c>
      <c r="AT292" t="str">
        <f t="shared" si="51"/>
        <v/>
      </c>
      <c r="BG292" t="str">
        <f t="shared" si="52"/>
        <v/>
      </c>
      <c r="BH292" t="str">
        <f t="shared" si="53"/>
        <v/>
      </c>
      <c r="BL292" t="str">
        <f>IFERROR(INDEX(_names_lookup!$C:$C,MATCH(BK292,_names_lookup!$A:$A,0)),"")</f>
        <v/>
      </c>
      <c r="BM292" t="str">
        <f>IFERROR(INDEX(_names_lookup!$B:$B,MATCH(BK292,_names_lookup!$A:$A,0)),"")</f>
        <v/>
      </c>
      <c r="BS292" t="str">
        <f t="shared" si="54"/>
        <v/>
      </c>
    </row>
    <row r="293" spans="15:71" x14ac:dyDescent="0.2">
      <c r="O293" t="str">
        <f>IFERROR(INDEX(_courses_lookup!$C:$C,MATCH(K293&amp;L293,_courses_lookup!$E:$E,0)),"")</f>
        <v/>
      </c>
      <c r="P293" t="str">
        <f>IFERROR(INDEX(_courses_lookup!$D:$D,MATCH(K293&amp;L293,_courses_lookup!$E:$E,0)),"")</f>
        <v/>
      </c>
      <c r="AG293" t="str">
        <f t="shared" si="44"/>
        <v/>
      </c>
      <c r="AI293" t="str">
        <f t="shared" si="45"/>
        <v/>
      </c>
      <c r="AL293" t="str">
        <f t="shared" si="46"/>
        <v/>
      </c>
      <c r="AN293" t="str">
        <f t="shared" si="47"/>
        <v/>
      </c>
      <c r="AQ293" t="str">
        <f t="shared" si="48"/>
        <v/>
      </c>
      <c r="AR293" t="str">
        <f t="shared" si="49"/>
        <v/>
      </c>
      <c r="AS293" t="str">
        <f t="shared" si="50"/>
        <v/>
      </c>
      <c r="AT293" t="str">
        <f t="shared" si="51"/>
        <v/>
      </c>
      <c r="BG293" t="str">
        <f t="shared" si="52"/>
        <v/>
      </c>
      <c r="BH293" t="str">
        <f t="shared" si="53"/>
        <v/>
      </c>
      <c r="BL293" t="str">
        <f>IFERROR(INDEX(_names_lookup!$C:$C,MATCH(BK293,_names_lookup!$A:$A,0)),"")</f>
        <v/>
      </c>
      <c r="BM293" t="str">
        <f>IFERROR(INDEX(_names_lookup!$B:$B,MATCH(BK293,_names_lookup!$A:$A,0)),"")</f>
        <v/>
      </c>
      <c r="BS293" t="str">
        <f t="shared" si="54"/>
        <v/>
      </c>
    </row>
    <row r="294" spans="15:71" x14ac:dyDescent="0.2">
      <c r="O294" t="str">
        <f>IFERROR(INDEX(_courses_lookup!$C:$C,MATCH(K294&amp;L294,_courses_lookup!$E:$E,0)),"")</f>
        <v/>
      </c>
      <c r="P294" t="str">
        <f>IFERROR(INDEX(_courses_lookup!$D:$D,MATCH(K294&amp;L294,_courses_lookup!$E:$E,0)),"")</f>
        <v/>
      </c>
      <c r="AG294" t="str">
        <f t="shared" si="44"/>
        <v/>
      </c>
      <c r="AI294" t="str">
        <f t="shared" si="45"/>
        <v/>
      </c>
      <c r="AL294" t="str">
        <f t="shared" si="46"/>
        <v/>
      </c>
      <c r="AN294" t="str">
        <f t="shared" si="47"/>
        <v/>
      </c>
      <c r="AQ294" t="str">
        <f t="shared" si="48"/>
        <v/>
      </c>
      <c r="AR294" t="str">
        <f t="shared" si="49"/>
        <v/>
      </c>
      <c r="AS294" t="str">
        <f t="shared" si="50"/>
        <v/>
      </c>
      <c r="AT294" t="str">
        <f t="shared" si="51"/>
        <v/>
      </c>
      <c r="BG294" t="str">
        <f t="shared" si="52"/>
        <v/>
      </c>
      <c r="BH294" t="str">
        <f t="shared" si="53"/>
        <v/>
      </c>
      <c r="BL294" t="str">
        <f>IFERROR(INDEX(_names_lookup!$C:$C,MATCH(BK294,_names_lookup!$A:$A,0)),"")</f>
        <v/>
      </c>
      <c r="BM294" t="str">
        <f>IFERROR(INDEX(_names_lookup!$B:$B,MATCH(BK294,_names_lookup!$A:$A,0)),"")</f>
        <v/>
      </c>
      <c r="BS294" t="str">
        <f t="shared" si="54"/>
        <v/>
      </c>
    </row>
    <row r="295" spans="15:71" x14ac:dyDescent="0.2">
      <c r="O295" t="str">
        <f>IFERROR(INDEX(_courses_lookup!$C:$C,MATCH(K295&amp;L295,_courses_lookup!$E:$E,0)),"")</f>
        <v/>
      </c>
      <c r="P295" t="str">
        <f>IFERROR(INDEX(_courses_lookup!$D:$D,MATCH(K295&amp;L295,_courses_lookup!$E:$E,0)),"")</f>
        <v/>
      </c>
      <c r="AG295" t="str">
        <f t="shared" si="44"/>
        <v/>
      </c>
      <c r="AI295" t="str">
        <f t="shared" si="45"/>
        <v/>
      </c>
      <c r="AL295" t="str">
        <f t="shared" si="46"/>
        <v/>
      </c>
      <c r="AN295" t="str">
        <f t="shared" si="47"/>
        <v/>
      </c>
      <c r="AQ295" t="str">
        <f t="shared" si="48"/>
        <v/>
      </c>
      <c r="AR295" t="str">
        <f t="shared" si="49"/>
        <v/>
      </c>
      <c r="AS295" t="str">
        <f t="shared" si="50"/>
        <v/>
      </c>
      <c r="AT295" t="str">
        <f t="shared" si="51"/>
        <v/>
      </c>
      <c r="BG295" t="str">
        <f t="shared" si="52"/>
        <v/>
      </c>
      <c r="BH295" t="str">
        <f t="shared" si="53"/>
        <v/>
      </c>
      <c r="BL295" t="str">
        <f>IFERROR(INDEX(_names_lookup!$C:$C,MATCH(BK295,_names_lookup!$A:$A,0)),"")</f>
        <v/>
      </c>
      <c r="BM295" t="str">
        <f>IFERROR(INDEX(_names_lookup!$B:$B,MATCH(BK295,_names_lookup!$A:$A,0)),"")</f>
        <v/>
      </c>
      <c r="BS295" t="str">
        <f t="shared" si="54"/>
        <v/>
      </c>
    </row>
    <row r="296" spans="15:71" x14ac:dyDescent="0.2">
      <c r="O296" t="str">
        <f>IFERROR(INDEX(_courses_lookup!$C:$C,MATCH(K296&amp;L296,_courses_lookup!$E:$E,0)),"")</f>
        <v/>
      </c>
      <c r="P296" t="str">
        <f>IFERROR(INDEX(_courses_lookup!$D:$D,MATCH(K296&amp;L296,_courses_lookup!$E:$E,0)),"")</f>
        <v/>
      </c>
      <c r="AG296" t="str">
        <f t="shared" si="44"/>
        <v/>
      </c>
      <c r="AI296" t="str">
        <f t="shared" si="45"/>
        <v/>
      </c>
      <c r="AL296" t="str">
        <f t="shared" si="46"/>
        <v/>
      </c>
      <c r="AN296" t="str">
        <f t="shared" si="47"/>
        <v/>
      </c>
      <c r="AQ296" t="str">
        <f t="shared" si="48"/>
        <v/>
      </c>
      <c r="AR296" t="str">
        <f t="shared" si="49"/>
        <v/>
      </c>
      <c r="AS296" t="str">
        <f t="shared" si="50"/>
        <v/>
      </c>
      <c r="AT296" t="str">
        <f t="shared" si="51"/>
        <v/>
      </c>
      <c r="BG296" t="str">
        <f t="shared" si="52"/>
        <v/>
      </c>
      <c r="BH296" t="str">
        <f t="shared" si="53"/>
        <v/>
      </c>
      <c r="BL296" t="str">
        <f>IFERROR(INDEX(_names_lookup!$C:$C,MATCH(BK296,_names_lookup!$A:$A,0)),"")</f>
        <v/>
      </c>
      <c r="BM296" t="str">
        <f>IFERROR(INDEX(_names_lookup!$B:$B,MATCH(BK296,_names_lookup!$A:$A,0)),"")</f>
        <v/>
      </c>
      <c r="BS296" t="str">
        <f t="shared" si="54"/>
        <v/>
      </c>
    </row>
    <row r="297" spans="15:71" x14ac:dyDescent="0.2">
      <c r="O297" t="str">
        <f>IFERROR(INDEX(_courses_lookup!$C:$C,MATCH(K297&amp;L297,_courses_lookup!$E:$E,0)),"")</f>
        <v/>
      </c>
      <c r="P297" t="str">
        <f>IFERROR(INDEX(_courses_lookup!$D:$D,MATCH(K297&amp;L297,_courses_lookup!$E:$E,0)),"")</f>
        <v/>
      </c>
      <c r="AG297" t="str">
        <f t="shared" si="44"/>
        <v/>
      </c>
      <c r="AI297" t="str">
        <f t="shared" si="45"/>
        <v/>
      </c>
      <c r="AL297" t="str">
        <f t="shared" si="46"/>
        <v/>
      </c>
      <c r="AN297" t="str">
        <f t="shared" si="47"/>
        <v/>
      </c>
      <c r="AQ297" t="str">
        <f t="shared" si="48"/>
        <v/>
      </c>
      <c r="AR297" t="str">
        <f t="shared" si="49"/>
        <v/>
      </c>
      <c r="AS297" t="str">
        <f t="shared" si="50"/>
        <v/>
      </c>
      <c r="AT297" t="str">
        <f t="shared" si="51"/>
        <v/>
      </c>
      <c r="BG297" t="str">
        <f t="shared" si="52"/>
        <v/>
      </c>
      <c r="BH297" t="str">
        <f t="shared" si="53"/>
        <v/>
      </c>
      <c r="BL297" t="str">
        <f>IFERROR(INDEX(_names_lookup!$C:$C,MATCH(BK297,_names_lookup!$A:$A,0)),"")</f>
        <v/>
      </c>
      <c r="BM297" t="str">
        <f>IFERROR(INDEX(_names_lookup!$B:$B,MATCH(BK297,_names_lookup!$A:$A,0)),"")</f>
        <v/>
      </c>
      <c r="BS297" t="str">
        <f t="shared" si="54"/>
        <v/>
      </c>
    </row>
    <row r="298" spans="15:71" x14ac:dyDescent="0.2">
      <c r="O298" t="str">
        <f>IFERROR(INDEX(_courses_lookup!$C:$C,MATCH(K298&amp;L298,_courses_lookup!$E:$E,0)),"")</f>
        <v/>
      </c>
      <c r="P298" t="str">
        <f>IFERROR(INDEX(_courses_lookup!$D:$D,MATCH(K298&amp;L298,_courses_lookup!$E:$E,0)),"")</f>
        <v/>
      </c>
      <c r="AG298" t="str">
        <f t="shared" si="44"/>
        <v/>
      </c>
      <c r="AI298" t="str">
        <f t="shared" si="45"/>
        <v/>
      </c>
      <c r="AL298" t="str">
        <f t="shared" si="46"/>
        <v/>
      </c>
      <c r="AN298" t="str">
        <f t="shared" si="47"/>
        <v/>
      </c>
      <c r="AQ298" t="str">
        <f t="shared" si="48"/>
        <v/>
      </c>
      <c r="AR298" t="str">
        <f t="shared" si="49"/>
        <v/>
      </c>
      <c r="AS298" t="str">
        <f t="shared" si="50"/>
        <v/>
      </c>
      <c r="AT298" t="str">
        <f t="shared" si="51"/>
        <v/>
      </c>
      <c r="BG298" t="str">
        <f t="shared" si="52"/>
        <v/>
      </c>
      <c r="BH298" t="str">
        <f t="shared" si="53"/>
        <v/>
      </c>
      <c r="BL298" t="str">
        <f>IFERROR(INDEX(_names_lookup!$C:$C,MATCH(BK298,_names_lookup!$A:$A,0)),"")</f>
        <v/>
      </c>
      <c r="BM298" t="str">
        <f>IFERROR(INDEX(_names_lookup!$B:$B,MATCH(BK298,_names_lookup!$A:$A,0)),"")</f>
        <v/>
      </c>
      <c r="BS298" t="str">
        <f t="shared" si="54"/>
        <v/>
      </c>
    </row>
    <row r="299" spans="15:71" x14ac:dyDescent="0.2">
      <c r="O299" t="str">
        <f>IFERROR(INDEX(_courses_lookup!$C:$C,MATCH(K299&amp;L299,_courses_lookup!$E:$E,0)),"")</f>
        <v/>
      </c>
      <c r="P299" t="str">
        <f>IFERROR(INDEX(_courses_lookup!$D:$D,MATCH(K299&amp;L299,_courses_lookup!$E:$E,0)),"")</f>
        <v/>
      </c>
      <c r="AG299" t="str">
        <f t="shared" si="44"/>
        <v/>
      </c>
      <c r="AI299" t="str">
        <f t="shared" si="45"/>
        <v/>
      </c>
      <c r="AL299" t="str">
        <f t="shared" si="46"/>
        <v/>
      </c>
      <c r="AN299" t="str">
        <f t="shared" si="47"/>
        <v/>
      </c>
      <c r="AQ299" t="str">
        <f t="shared" si="48"/>
        <v/>
      </c>
      <c r="AR299" t="str">
        <f t="shared" si="49"/>
        <v/>
      </c>
      <c r="AS299" t="str">
        <f t="shared" si="50"/>
        <v/>
      </c>
      <c r="AT299" t="str">
        <f t="shared" si="51"/>
        <v/>
      </c>
      <c r="BG299" t="str">
        <f t="shared" si="52"/>
        <v/>
      </c>
      <c r="BH299" t="str">
        <f t="shared" si="53"/>
        <v/>
      </c>
      <c r="BL299" t="str">
        <f>IFERROR(INDEX(_names_lookup!$C:$C,MATCH(BK299,_names_lookup!$A:$A,0)),"")</f>
        <v/>
      </c>
      <c r="BM299" t="str">
        <f>IFERROR(INDEX(_names_lookup!$B:$B,MATCH(BK299,_names_lookup!$A:$A,0)),"")</f>
        <v/>
      </c>
      <c r="BS299" t="str">
        <f t="shared" si="54"/>
        <v/>
      </c>
    </row>
    <row r="300" spans="15:71" x14ac:dyDescent="0.2">
      <c r="O300" t="str">
        <f>IFERROR(INDEX(_courses_lookup!$C:$C,MATCH(K300&amp;L300,_courses_lookup!$E:$E,0)),"")</f>
        <v/>
      </c>
      <c r="P300" t="str">
        <f>IFERROR(INDEX(_courses_lookup!$D:$D,MATCH(K300&amp;L300,_courses_lookup!$E:$E,0)),"")</f>
        <v/>
      </c>
      <c r="AG300" t="str">
        <f t="shared" si="44"/>
        <v/>
      </c>
      <c r="AI300" t="str">
        <f t="shared" si="45"/>
        <v/>
      </c>
      <c r="AL300" t="str">
        <f t="shared" si="46"/>
        <v/>
      </c>
      <c r="AN300" t="str">
        <f t="shared" si="47"/>
        <v/>
      </c>
      <c r="AQ300" t="str">
        <f t="shared" si="48"/>
        <v/>
      </c>
      <c r="AR300" t="str">
        <f t="shared" si="49"/>
        <v/>
      </c>
      <c r="AS300" t="str">
        <f t="shared" si="50"/>
        <v/>
      </c>
      <c r="AT300" t="str">
        <f t="shared" si="51"/>
        <v/>
      </c>
      <c r="BG300" t="str">
        <f t="shared" si="52"/>
        <v/>
      </c>
      <c r="BH300" t="str">
        <f t="shared" si="53"/>
        <v/>
      </c>
      <c r="BL300" t="str">
        <f>IFERROR(INDEX(_names_lookup!$C:$C,MATCH(BK300,_names_lookup!$A:$A,0)),"")</f>
        <v/>
      </c>
      <c r="BM300" t="str">
        <f>IFERROR(INDEX(_names_lookup!$B:$B,MATCH(BK300,_names_lookup!$A:$A,0)),"")</f>
        <v/>
      </c>
      <c r="BS300" t="str">
        <f t="shared" si="54"/>
        <v/>
      </c>
    </row>
  </sheetData>
  <autoFilter ref="A1:DQ40" xr:uid="{00000000-0009-0000-0000-000008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800-000000000000}">
          <x14:formula1>
            <xm:f>DropDownMenu!$A$2:$A$3</xm:f>
          </x14:formula1>
          <xm:sqref>A2:A5000</xm:sqref>
        </x14:dataValidation>
        <x14:dataValidation type="list" allowBlank="1" xr:uid="{00000000-0002-0000-0800-000001000000}">
          <x14:formula1>
            <xm:f>DropDownMenu!$B$2:$B$3</xm:f>
          </x14:formula1>
          <xm:sqref>B2:B5000</xm:sqref>
        </x14:dataValidation>
        <x14:dataValidation type="list" allowBlank="1" xr:uid="{00000000-0002-0000-0800-000002000000}">
          <x14:formula1>
            <xm:f>DropDownMenu!$C$2:$C$3</xm:f>
          </x14:formula1>
          <xm:sqref>C2:C5000</xm:sqref>
        </x14:dataValidation>
        <x14:dataValidation type="list" allowBlank="1" xr:uid="{00000000-0002-0000-0800-000003000000}">
          <x14:formula1>
            <xm:f>DropDownMenu!$D$2:$D$3</xm:f>
          </x14:formula1>
          <xm:sqref>D2:D5000</xm:sqref>
        </x14:dataValidation>
        <x14:dataValidation type="list" allowBlank="1" xr:uid="{00000000-0002-0000-0800-000004000000}">
          <x14:formula1>
            <xm:f>DropDownMenu!$E$2:$E$3</xm:f>
          </x14:formula1>
          <xm:sqref>E2:E5000</xm:sqref>
        </x14:dataValidation>
        <x14:dataValidation type="list" allowBlank="1" xr:uid="{00000000-0002-0000-0800-000005000000}">
          <x14:formula1>
            <xm:f>DropDownMenu!$F$2:$F$3</xm:f>
          </x14:formula1>
          <xm:sqref>F2:F5000</xm:sqref>
        </x14:dataValidation>
        <x14:dataValidation type="list" allowBlank="1" xr:uid="{00000000-0002-0000-0800-000006000000}">
          <x14:formula1>
            <xm:f>DropDownMenu!$G$2:$G$19</xm:f>
          </x14:formula1>
          <xm:sqref>G2:G5000</xm:sqref>
        </x14:dataValidation>
        <x14:dataValidation type="list" allowBlank="1" xr:uid="{00000000-0002-0000-0800-000007000000}">
          <x14:formula1>
            <xm:f>DropDownMenu!$H$2:$H$564</xm:f>
          </x14:formula1>
          <xm:sqref>H2:H5000</xm:sqref>
        </x14:dataValidation>
        <x14:dataValidation type="list" allowBlank="1" xr:uid="{00000000-0002-0000-0800-000008000000}">
          <x14:formula1>
            <xm:f>DropDownMenu!$I$2:$I$352</xm:f>
          </x14:formula1>
          <xm:sqref>I2:I5000</xm:sqref>
        </x14:dataValidation>
        <x14:dataValidation type="list" allowBlank="1" xr:uid="{00000000-0002-0000-0800-000009000000}">
          <x14:formula1>
            <xm:f>DropDownMenu!$J$2:$J$10</xm:f>
          </x14:formula1>
          <xm:sqref>K2:K5000</xm:sqref>
        </x14:dataValidation>
        <x14:dataValidation type="list" allowBlank="1" xr:uid="{00000000-0002-0000-0800-00000A000000}">
          <x14:formula1>
            <xm:f>DropDownMenu!$K$2:$K$101</xm:f>
          </x14:formula1>
          <xm:sqref>L2:L5000</xm:sqref>
        </x14:dataValidation>
        <x14:dataValidation type="list" allowBlank="1" xr:uid="{00000000-0002-0000-0800-00000B000000}">
          <x14:formula1>
            <xm:f>DropDownMenu!$L$2:$L$42</xm:f>
          </x14:formula1>
          <xm:sqref>M2:M5000</xm:sqref>
        </x14:dataValidation>
        <x14:dataValidation type="list" allowBlank="1" xr:uid="{00000000-0002-0000-0800-00000C000000}">
          <x14:formula1>
            <xm:f>DropDownMenu!$M$2:$M$15</xm:f>
          </x14:formula1>
          <xm:sqref>N2:N5000</xm:sqref>
        </x14:dataValidation>
        <x14:dataValidation type="list" allowBlank="1" xr:uid="{00000000-0002-0000-0800-00000D000000}">
          <x14:formula1>
            <xm:f>DropDownMenu!$N$2:$N$140</xm:f>
          </x14:formula1>
          <xm:sqref>O2:O5000</xm:sqref>
        </x14:dataValidation>
        <x14:dataValidation type="list" allowBlank="1" xr:uid="{00000000-0002-0000-0800-00000E000000}">
          <x14:formula1>
            <xm:f>DropDownMenu!$O$2:$O$65</xm:f>
          </x14:formula1>
          <xm:sqref>P2:P5000</xm:sqref>
        </x14:dataValidation>
        <x14:dataValidation type="list" allowBlank="1" xr:uid="{00000000-0002-0000-0800-00000F000000}">
          <x14:formula1>
            <xm:f>DropDownMenu!$P$2:$P$45</xm:f>
          </x14:formula1>
          <xm:sqref>R2:R5000</xm:sqref>
        </x14:dataValidation>
        <x14:dataValidation type="list" allowBlank="1" xr:uid="{00000000-0002-0000-0800-000010000000}">
          <x14:formula1>
            <xm:f>DropDownMenu!$Q$2:$Q$6</xm:f>
          </x14:formula1>
          <xm:sqref>S2:S5000</xm:sqref>
        </x14:dataValidation>
        <x14:dataValidation type="list" allowBlank="1" xr:uid="{00000000-0002-0000-0800-000011000000}">
          <x14:formula1>
            <xm:f>DropDownMenu!$R$2:$R$7</xm:f>
          </x14:formula1>
          <xm:sqref>T2:T5000</xm:sqref>
        </x14:dataValidation>
        <x14:dataValidation type="list" allowBlank="1" xr:uid="{00000000-0002-0000-0800-000012000000}">
          <x14:formula1>
            <xm:f>DropDownMenu!$S$2:$S$12</xm:f>
          </x14:formula1>
          <xm:sqref>U2:U5000</xm:sqref>
        </x14:dataValidation>
        <x14:dataValidation type="list" allowBlank="1" xr:uid="{00000000-0002-0000-0800-000013000000}">
          <x14:formula1>
            <xm:f>DropDownMenu!$T$2:$T$13</xm:f>
          </x14:formula1>
          <xm:sqref>V2:V5000</xm:sqref>
        </x14:dataValidation>
        <x14:dataValidation type="list" allowBlank="1" xr:uid="{00000000-0002-0000-0800-000014000000}">
          <x14:formula1>
            <xm:f>DropDownMenu!$U$2:$U$4</xm:f>
          </x14:formula1>
          <xm:sqref>W2:W5000</xm:sqref>
        </x14:dataValidation>
        <x14:dataValidation type="list" allowBlank="1" xr:uid="{00000000-0002-0000-0800-000015000000}">
          <x14:formula1>
            <xm:f>DropDownMenu!$V$2:$V$6</xm:f>
          </x14:formula1>
          <xm:sqref>X2:X5000</xm:sqref>
        </x14:dataValidation>
        <x14:dataValidation type="list" allowBlank="1" xr:uid="{00000000-0002-0000-0800-000016000000}">
          <x14:formula1>
            <xm:f>DropDownMenu!$W$2:$W$26</xm:f>
          </x14:formula1>
          <xm:sqref>Y2:Y5000</xm:sqref>
        </x14:dataValidation>
        <x14:dataValidation type="list" allowBlank="1" xr:uid="{00000000-0002-0000-0800-000017000000}">
          <x14:formula1>
            <xm:f>DropDownMenu!$X$2:$X$7</xm:f>
          </x14:formula1>
          <xm:sqref>Z2:Z5000</xm:sqref>
        </x14:dataValidation>
        <x14:dataValidation type="list" allowBlank="1" xr:uid="{00000000-0002-0000-0800-000018000000}">
          <x14:formula1>
            <xm:f>DropDownMenu!$Y$2:$Y$15</xm:f>
          </x14:formula1>
          <xm:sqref>AB2:AB5000</xm:sqref>
        </x14:dataValidation>
        <x14:dataValidation type="list" allowBlank="1" xr:uid="{00000000-0002-0000-0800-000019000000}">
          <x14:formula1>
            <xm:f>DropDownMenu!$Z$2:$Z$6</xm:f>
          </x14:formula1>
          <xm:sqref>AC2:AC5000</xm:sqref>
        </x14:dataValidation>
        <x14:dataValidation type="list" allowBlank="1" xr:uid="{00000000-0002-0000-0800-00001A000000}">
          <x14:formula1>
            <xm:f>DropDownMenu!$AA$2:$AA$7</xm:f>
          </x14:formula1>
          <xm:sqref>AD2:AD5000</xm:sqref>
        </x14:dataValidation>
        <x14:dataValidation type="list" allowBlank="1" xr:uid="{00000000-0002-0000-0800-00001B000000}">
          <x14:formula1>
            <xm:f>DropDownMenu!$AB$2:$AB$2</xm:f>
          </x14:formula1>
          <xm:sqref>AG2:AG5000</xm:sqref>
        </x14:dataValidation>
        <x14:dataValidation type="list" allowBlank="1" xr:uid="{00000000-0002-0000-0800-00001C000000}">
          <x14:formula1>
            <xm:f>DropDownMenu!$AC$2:$AC$2</xm:f>
          </x14:formula1>
          <xm:sqref>AH2:AH5000</xm:sqref>
        </x14:dataValidation>
        <x14:dataValidation type="list" allowBlank="1" xr:uid="{00000000-0002-0000-0800-00001D000000}">
          <x14:formula1>
            <xm:f>DropDownMenu!$AD$2:$AD$2</xm:f>
          </x14:formula1>
          <xm:sqref>AI2:AI5000</xm:sqref>
        </x14:dataValidation>
        <x14:dataValidation type="list" allowBlank="1" xr:uid="{00000000-0002-0000-0800-00001E000000}">
          <x14:formula1>
            <xm:f>DropDownMenu!$AE$2:$AE$49</xm:f>
          </x14:formula1>
          <xm:sqref>AJ2:AJ5000</xm:sqref>
        </x14:dataValidation>
        <x14:dataValidation type="list" allowBlank="1" xr:uid="{00000000-0002-0000-0800-00001F000000}">
          <x14:formula1>
            <xm:f>DropDownMenu!$AF$2:$AF$52</xm:f>
          </x14:formula1>
          <xm:sqref>AK2:AK5000</xm:sqref>
        </x14:dataValidation>
        <x14:dataValidation type="list" allowBlank="1" xr:uid="{00000000-0002-0000-0800-000020000000}">
          <x14:formula1>
            <xm:f>DropDownMenu!$AG$2:$AG$2</xm:f>
          </x14:formula1>
          <xm:sqref>AL2:AL5000</xm:sqref>
        </x14:dataValidation>
        <x14:dataValidation type="list" allowBlank="1" xr:uid="{00000000-0002-0000-0800-000021000000}">
          <x14:formula1>
            <xm:f>DropDownMenu!$AH$2:$AH$2</xm:f>
          </x14:formula1>
          <xm:sqref>AM2:AM5000</xm:sqref>
        </x14:dataValidation>
        <x14:dataValidation type="list" allowBlank="1" xr:uid="{00000000-0002-0000-0800-000022000000}">
          <x14:formula1>
            <xm:f>DropDownMenu!$AI$2:$AI$2</xm:f>
          </x14:formula1>
          <xm:sqref>AN2:AN5000</xm:sqref>
        </x14:dataValidation>
        <x14:dataValidation type="list" allowBlank="1" xr:uid="{00000000-0002-0000-0800-000023000000}">
          <x14:formula1>
            <xm:f>DropDownMenu!$AJ$2:$AJ$2</xm:f>
          </x14:formula1>
          <xm:sqref>AQ2:AQ5000</xm:sqref>
        </x14:dataValidation>
        <x14:dataValidation type="list" allowBlank="1" xr:uid="{00000000-0002-0000-0800-000024000000}">
          <x14:formula1>
            <xm:f>DropDownMenu!$AK$2:$AK$2</xm:f>
          </x14:formula1>
          <xm:sqref>AR2:AR5000</xm:sqref>
        </x14:dataValidation>
        <x14:dataValidation type="list" allowBlank="1" xr:uid="{00000000-0002-0000-0800-000025000000}">
          <x14:formula1>
            <xm:f>DropDownMenu!$AL$2:$AL$2</xm:f>
          </x14:formula1>
          <xm:sqref>AS2:AS5000</xm:sqref>
        </x14:dataValidation>
        <x14:dataValidation type="list" allowBlank="1" xr:uid="{00000000-0002-0000-0800-000026000000}">
          <x14:formula1>
            <xm:f>DropDownMenu!$AM$2:$AM$2</xm:f>
          </x14:formula1>
          <xm:sqref>AT2:AT5000</xm:sqref>
        </x14:dataValidation>
        <x14:dataValidation type="list" allowBlank="1" xr:uid="{00000000-0002-0000-0800-000027000000}">
          <x14:formula1>
            <xm:f>DropDownMenu!$AN$2:$AN$2</xm:f>
          </x14:formula1>
          <xm:sqref>AU2:AU5000</xm:sqref>
        </x14:dataValidation>
        <x14:dataValidation type="list" allowBlank="1" xr:uid="{00000000-0002-0000-0800-000028000000}">
          <x14:formula1>
            <xm:f>DropDownMenu!$AO$2:$AO$9</xm:f>
          </x14:formula1>
          <xm:sqref>AV2:AV5000</xm:sqref>
        </x14:dataValidation>
        <x14:dataValidation type="list" allowBlank="1" xr:uid="{00000000-0002-0000-0800-000029000000}">
          <x14:formula1>
            <xm:f>DropDownMenu!$AP$2:$AP$6</xm:f>
          </x14:formula1>
          <xm:sqref>AW2:AW5000</xm:sqref>
        </x14:dataValidation>
        <x14:dataValidation type="list" allowBlank="1" xr:uid="{00000000-0002-0000-0800-00002A000000}">
          <x14:formula1>
            <xm:f>DropDownMenu!$AQ$2:$AQ$11</xm:f>
          </x14:formula1>
          <xm:sqref>AX2:AX5000</xm:sqref>
        </x14:dataValidation>
        <x14:dataValidation type="list" allowBlank="1" xr:uid="{00000000-0002-0000-0800-00002B000000}">
          <x14:formula1>
            <xm:f>DropDownMenu!$AR$2:$AR$2</xm:f>
          </x14:formula1>
          <xm:sqref>AY2:AY5000</xm:sqref>
        </x14:dataValidation>
        <x14:dataValidation type="list" allowBlank="1" xr:uid="{00000000-0002-0000-0800-00002C000000}">
          <x14:formula1>
            <xm:f>DropDownMenu!$AS$2:$AS$2</xm:f>
          </x14:formula1>
          <xm:sqref>AZ2:AZ5000</xm:sqref>
        </x14:dataValidation>
        <x14:dataValidation type="list" allowBlank="1" xr:uid="{00000000-0002-0000-0800-00002D000000}">
          <x14:formula1>
            <xm:f>DropDownMenu!$AT$2:$AT$2</xm:f>
          </x14:formula1>
          <xm:sqref>BA2:BA5000</xm:sqref>
        </x14:dataValidation>
        <x14:dataValidation type="list" allowBlank="1" xr:uid="{00000000-0002-0000-0800-00002E000000}">
          <x14:formula1>
            <xm:f>DropDownMenu!$AU$2:$AU$2</xm:f>
          </x14:formula1>
          <xm:sqref>BB2:BB5000</xm:sqref>
        </x14:dataValidation>
        <x14:dataValidation type="list" allowBlank="1" xr:uid="{00000000-0002-0000-0800-00002F000000}">
          <x14:formula1>
            <xm:f>DropDownMenu!$AV$2:$AV$2</xm:f>
          </x14:formula1>
          <xm:sqref>BC2:BC5000</xm:sqref>
        </x14:dataValidation>
        <x14:dataValidation type="list" allowBlank="1" xr:uid="{00000000-0002-0000-0800-000030000000}">
          <x14:formula1>
            <xm:f>DropDownMenu!$AW$2:$AW$5</xm:f>
          </x14:formula1>
          <xm:sqref>BF2:BF5000</xm:sqref>
        </x14:dataValidation>
        <x14:dataValidation type="list" allowBlank="1" xr:uid="{00000000-0002-0000-0800-000031000000}">
          <x14:formula1>
            <xm:f>DropDownMenu!$AX$2:$AX$37</xm:f>
          </x14:formula1>
          <xm:sqref>BG2:BG5000</xm:sqref>
        </x14:dataValidation>
        <x14:dataValidation type="list" allowBlank="1" xr:uid="{00000000-0002-0000-0800-000032000000}">
          <x14:formula1>
            <xm:f>DropDownMenu!$AY$2:$AY$4</xm:f>
          </x14:formula1>
          <xm:sqref>BH2:BH5000</xm:sqref>
        </x14:dataValidation>
        <x14:dataValidation type="list" allowBlank="1" xr:uid="{00000000-0002-0000-0800-000033000000}">
          <x14:formula1>
            <xm:f>DropDownMenu!$AZ$2:$AZ$13</xm:f>
          </x14:formula1>
          <xm:sqref>BI2:BI5000</xm:sqref>
        </x14:dataValidation>
        <x14:dataValidation type="list" allowBlank="1" xr:uid="{00000000-0002-0000-0800-000034000000}">
          <x14:formula1>
            <xm:f>DropDownMenu!$BA$2:$BA$34</xm:f>
          </x14:formula1>
          <xm:sqref>BJ2:BJ5000</xm:sqref>
        </x14:dataValidation>
        <x14:dataValidation type="list" allowBlank="1" xr:uid="{00000000-0002-0000-0800-000035000000}">
          <x14:formula1>
            <xm:f>DropDownMenu!$BB$2:$BB$258</xm:f>
          </x14:formula1>
          <xm:sqref>BK2:BK5000</xm:sqref>
        </x14:dataValidation>
        <x14:dataValidation type="list" allowBlank="1" xr:uid="{00000000-0002-0000-0800-000036000000}">
          <x14:formula1>
            <xm:f>DropDownMenu!$BC$2:$BC$252</xm:f>
          </x14:formula1>
          <xm:sqref>BL2:BL5000</xm:sqref>
        </x14:dataValidation>
        <x14:dataValidation type="list" allowBlank="1" xr:uid="{00000000-0002-0000-0800-000037000000}">
          <x14:formula1>
            <xm:f>DropDownMenu!$BD$2:$BD$258</xm:f>
          </x14:formula1>
          <xm:sqref>BM2:BM5000</xm:sqref>
        </x14:dataValidation>
        <x14:dataValidation type="list" allowBlank="1" xr:uid="{00000000-0002-0000-0800-000038000000}">
          <x14:formula1>
            <xm:f>DropDownMenu!$BE$2:$BE$3</xm:f>
          </x14:formula1>
          <xm:sqref>BN2:BN5000</xm:sqref>
        </x14:dataValidation>
        <x14:dataValidation type="list" allowBlank="1" xr:uid="{00000000-0002-0000-0800-000039000000}">
          <x14:formula1>
            <xm:f>DropDownMenu!$BF$2:$BF$4</xm:f>
          </x14:formula1>
          <xm:sqref>BO2:BO5000</xm:sqref>
        </x14:dataValidation>
        <x14:dataValidation type="list" allowBlank="1" xr:uid="{00000000-0002-0000-0800-00003A000000}">
          <x14:formula1>
            <xm:f>DropDownMenu!$BG$2:$BG$6</xm:f>
          </x14:formula1>
          <xm:sqref>BP2:BP5000</xm:sqref>
        </x14:dataValidation>
        <x14:dataValidation type="list" allowBlank="1" xr:uid="{00000000-0002-0000-0800-00003B000000}">
          <x14:formula1>
            <xm:f>DropDownMenu!$BH$2:$BH$4</xm:f>
          </x14:formula1>
          <xm:sqref>BQ2:BQ5000</xm:sqref>
        </x14:dataValidation>
        <x14:dataValidation type="list" allowBlank="1" xr:uid="{00000000-0002-0000-0800-00003C000000}">
          <x14:formula1>
            <xm:f>DropDownMenu!$BI$2:$BI$3</xm:f>
          </x14:formula1>
          <xm:sqref>BR2:BR5000</xm:sqref>
        </x14:dataValidation>
        <x14:dataValidation type="list" allowBlank="1" xr:uid="{00000000-0002-0000-0800-00003D000000}">
          <x14:formula1>
            <xm:f>DropDownMenu!$BJ$2:$BJ$3</xm:f>
          </x14:formula1>
          <xm:sqref>BT2:BT5000</xm:sqref>
        </x14:dataValidation>
        <x14:dataValidation type="list" allowBlank="1" xr:uid="{00000000-0002-0000-0800-00003E000000}">
          <x14:formula1>
            <xm:f>DropDownMenu!$BK$2:$BK$11</xm:f>
          </x14:formula1>
          <xm:sqref>BU2:BU5000</xm:sqref>
        </x14:dataValidation>
        <x14:dataValidation type="list" allowBlank="1" xr:uid="{00000000-0002-0000-0800-00003F000000}">
          <x14:formula1>
            <xm:f>DropDownMenu!$BL$2:$BL$9</xm:f>
          </x14:formula1>
          <xm:sqref>BV2:BV5000</xm:sqref>
        </x14:dataValidation>
        <x14:dataValidation type="list" allowBlank="1" xr:uid="{00000000-0002-0000-0800-000040000000}">
          <x14:formula1>
            <xm:f>DropDownMenu!$BM$2:$BM$2</xm:f>
          </x14:formula1>
          <xm:sqref>BW2:BW5000</xm:sqref>
        </x14:dataValidation>
        <x14:dataValidation type="list" allowBlank="1" xr:uid="{00000000-0002-0000-0800-000041000000}">
          <x14:formula1>
            <xm:f>DropDownMenu!$BN$2:$BN$2</xm:f>
          </x14:formula1>
          <xm:sqref>BX2:BX5000</xm:sqref>
        </x14:dataValidation>
        <x14:dataValidation type="list" allowBlank="1" xr:uid="{00000000-0002-0000-0800-000042000000}">
          <x14:formula1>
            <xm:f>DropDownMenu!$BO$2:$BO$2</xm:f>
          </x14:formula1>
          <xm:sqref>BY2:BY5000</xm:sqref>
        </x14:dataValidation>
        <x14:dataValidation type="list" allowBlank="1" xr:uid="{00000000-0002-0000-0800-000043000000}">
          <x14:formula1>
            <xm:f>DropDownMenu!$BP$2:$BP$9</xm:f>
          </x14:formula1>
          <xm:sqref>BZ2:BZ5000</xm:sqref>
        </x14:dataValidation>
        <x14:dataValidation type="list" allowBlank="1" xr:uid="{00000000-0002-0000-0800-000044000000}">
          <x14:formula1>
            <xm:f>DropDownMenu!$BQ$2:$BQ$11</xm:f>
          </x14:formula1>
          <xm:sqref>CA2:CA5000</xm:sqref>
        </x14:dataValidation>
        <x14:dataValidation type="list" allowBlank="1" xr:uid="{00000000-0002-0000-0800-000045000000}">
          <x14:formula1>
            <xm:f>DropDownMenu!$BR$2:$BR$3</xm:f>
          </x14:formula1>
          <xm:sqref>CB2:CB5000</xm:sqref>
        </x14:dataValidation>
        <x14:dataValidation type="list" allowBlank="1" xr:uid="{00000000-0002-0000-0800-000046000000}">
          <x14:formula1>
            <xm:f>DropDownMenu!$BS$2:$BS$4</xm:f>
          </x14:formula1>
          <xm:sqref>CC2:CC5000</xm:sqref>
        </x14:dataValidation>
        <x14:dataValidation type="list" allowBlank="1" xr:uid="{00000000-0002-0000-0800-000047000000}">
          <x14:formula1>
            <xm:f>DropDownMenu!$BT$2:$BT$2</xm:f>
          </x14:formula1>
          <xm:sqref>CE2:CE5000</xm:sqref>
        </x14:dataValidation>
        <x14:dataValidation type="list" allowBlank="1" xr:uid="{00000000-0002-0000-0800-000048000000}">
          <x14:formula1>
            <xm:f>DropDownMenu!$BU$2:$BU$81</xm:f>
          </x14:formula1>
          <xm:sqref>CF2:CF5000</xm:sqref>
        </x14:dataValidation>
        <x14:dataValidation type="list" allowBlank="1" xr:uid="{00000000-0002-0000-0800-000049000000}">
          <x14:formula1>
            <xm:f>DropDownMenu!$BV$2:$BV$3</xm:f>
          </x14:formula1>
          <xm:sqref>CG2:CG5000</xm:sqref>
        </x14:dataValidation>
        <x14:dataValidation type="list" allowBlank="1" xr:uid="{00000000-0002-0000-0800-00004A000000}">
          <x14:formula1>
            <xm:f>DropDownMenu!$BW$2:$BW$7</xm:f>
          </x14:formula1>
          <xm:sqref>CH2:CH5000</xm:sqref>
        </x14:dataValidation>
        <x14:dataValidation type="list" allowBlank="1" xr:uid="{00000000-0002-0000-0800-00004B000000}">
          <x14:formula1>
            <xm:f>DropDownMenu!$BX$2:$BX$9</xm:f>
          </x14:formula1>
          <xm:sqref>CI2:CI5000</xm:sqref>
        </x14:dataValidation>
        <x14:dataValidation type="list" allowBlank="1" xr:uid="{00000000-0002-0000-0800-00004C000000}">
          <x14:formula1>
            <xm:f>DropDownMenu!$BY$2:$BY$9</xm:f>
          </x14:formula1>
          <xm:sqref>CJ2:CJ5000</xm:sqref>
        </x14:dataValidation>
        <x14:dataValidation type="list" allowBlank="1" xr:uid="{00000000-0002-0000-0800-00004D000000}">
          <x14:formula1>
            <xm:f>DropDownMenu!$BZ$2:$BZ$3</xm:f>
          </x14:formula1>
          <xm:sqref>CK2:CK5000</xm:sqref>
        </x14:dataValidation>
        <x14:dataValidation type="list" allowBlank="1" xr:uid="{00000000-0002-0000-0800-00004E000000}">
          <x14:formula1>
            <xm:f>DropDownMenu!$CA$2:$CA$2</xm:f>
          </x14:formula1>
          <xm:sqref>CL2:CL5000</xm:sqref>
        </x14:dataValidation>
        <x14:dataValidation type="list" allowBlank="1" xr:uid="{00000000-0002-0000-0800-00004F000000}">
          <x14:formula1>
            <xm:f>DropDownMenu!$CB$2:$CB$29</xm:f>
          </x14:formula1>
          <xm:sqref>CN2:CN5000</xm:sqref>
        </x14:dataValidation>
        <x14:dataValidation type="list" allowBlank="1" xr:uid="{00000000-0002-0000-0800-000050000000}">
          <x14:formula1>
            <xm:f>DropDownMenu!$CC$2:$CC$2</xm:f>
          </x14:formula1>
          <xm:sqref>CQ2:CQ5000</xm:sqref>
        </x14:dataValidation>
        <x14:dataValidation type="list" allowBlank="1" xr:uid="{00000000-0002-0000-0800-000051000000}">
          <x14:formula1>
            <xm:f>DropDownMenu!$CD$2:$CD$33</xm:f>
          </x14:formula1>
          <xm:sqref>CR2:CR5000</xm:sqref>
        </x14:dataValidation>
        <x14:dataValidation type="list" allowBlank="1" xr:uid="{00000000-0002-0000-0800-000052000000}">
          <x14:formula1>
            <xm:f>DropDownMenu!$CE$2:$CE$2</xm:f>
          </x14:formula1>
          <xm:sqref>CS2:CS5000</xm:sqref>
        </x14:dataValidation>
        <x14:dataValidation type="list" allowBlank="1" xr:uid="{00000000-0002-0000-0800-000053000000}">
          <x14:formula1>
            <xm:f>DropDownMenu!$CF$2:$CF$2</xm:f>
          </x14:formula1>
          <xm:sqref>CT2:CT5000</xm:sqref>
        </x14:dataValidation>
        <x14:dataValidation type="list" allowBlank="1" xr:uid="{00000000-0002-0000-0800-000054000000}">
          <x14:formula1>
            <xm:f>DropDownMenu!$CG$2:$CG$2</xm:f>
          </x14:formula1>
          <xm:sqref>CU2:CU5000</xm:sqref>
        </x14:dataValidation>
        <x14:dataValidation type="list" allowBlank="1" xr:uid="{00000000-0002-0000-0800-000055000000}">
          <x14:formula1>
            <xm:f>DropDownMenu!$CH$2:$CH$2</xm:f>
          </x14:formula1>
          <xm:sqref>CV2:CV5000</xm:sqref>
        </x14:dataValidation>
        <x14:dataValidation type="list" allowBlank="1" xr:uid="{00000000-0002-0000-0800-000056000000}">
          <x14:formula1>
            <xm:f>DropDownMenu!$CI$2:$CI$8</xm:f>
          </x14:formula1>
          <xm:sqref>CW2:CW5000</xm:sqref>
        </x14:dataValidation>
        <x14:dataValidation type="list" allowBlank="1" xr:uid="{00000000-0002-0000-0800-000057000000}">
          <x14:formula1>
            <xm:f>DropDownMenu!$CJ$2:$CJ$8</xm:f>
          </x14:formula1>
          <xm:sqref>CX2:CX5000</xm:sqref>
        </x14:dataValidation>
        <x14:dataValidation type="list" allowBlank="1" xr:uid="{00000000-0002-0000-0800-000058000000}">
          <x14:formula1>
            <xm:f>DropDownMenu!$CK$2:$CK$8</xm:f>
          </x14:formula1>
          <xm:sqref>CY2:CY5000</xm:sqref>
        </x14:dataValidation>
        <x14:dataValidation type="list" allowBlank="1" xr:uid="{00000000-0002-0000-0800-000059000000}">
          <x14:formula1>
            <xm:f>DropDownMenu!$CL$2:$CL$6</xm:f>
          </x14:formula1>
          <xm:sqref>CZ2:CZ5000</xm:sqref>
        </x14:dataValidation>
        <x14:dataValidation type="list" allowBlank="1" xr:uid="{00000000-0002-0000-0800-00005A000000}">
          <x14:formula1>
            <xm:f>DropDownMenu!$CM$2:$CM$2</xm:f>
          </x14:formula1>
          <xm:sqref>DA2:DA5000</xm:sqref>
        </x14:dataValidation>
        <x14:dataValidation type="list" allowBlank="1" xr:uid="{00000000-0002-0000-0800-00005B000000}">
          <x14:formula1>
            <xm:f>DropDownMenu!$CN$2:$CN$2</xm:f>
          </x14:formula1>
          <xm:sqref>DB2:DB5000</xm:sqref>
        </x14:dataValidation>
        <x14:dataValidation type="list" allowBlank="1" xr:uid="{00000000-0002-0000-0800-00005C000000}">
          <x14:formula1>
            <xm:f>DropDownMenu!$CO$2:$CO$2</xm:f>
          </x14:formula1>
          <xm:sqref>DC2:DC5000</xm:sqref>
        </x14:dataValidation>
        <x14:dataValidation type="list" allowBlank="1" xr:uid="{00000000-0002-0000-0800-00005D000000}">
          <x14:formula1>
            <xm:f>DropDownMenu!$CP$2:$CP$2</xm:f>
          </x14:formula1>
          <xm:sqref>DD2:DD5000</xm:sqref>
        </x14:dataValidation>
        <x14:dataValidation type="list" allowBlank="1" xr:uid="{00000000-0002-0000-0800-00005E000000}">
          <x14:formula1>
            <xm:f>DropDownMenu!$CQ$2:$CQ$2</xm:f>
          </x14:formula1>
          <xm:sqref>DE2:DE5000</xm:sqref>
        </x14:dataValidation>
        <x14:dataValidation type="list" allowBlank="1" xr:uid="{00000000-0002-0000-0800-00005F000000}">
          <x14:formula1>
            <xm:f>DropDownMenu!$CR$2:$CR$2</xm:f>
          </x14:formula1>
          <xm:sqref>DK2:DK5000</xm:sqref>
        </x14:dataValidation>
        <x14:dataValidation type="list" allowBlank="1" xr:uid="{00000000-0002-0000-0800-000060000000}">
          <x14:formula1>
            <xm:f>DropDownMenu!$CS$2:$CS$2</xm:f>
          </x14:formula1>
          <xm:sqref>DL2:DL5000</xm:sqref>
        </x14:dataValidation>
        <x14:dataValidation type="list" allowBlank="1" xr:uid="{00000000-0002-0000-0800-000061000000}">
          <x14:formula1>
            <xm:f>DropDownMenu!$CT$2:$CT$2</xm:f>
          </x14:formula1>
          <xm:sqref>DN2:DN5000</xm:sqref>
        </x14:dataValidation>
        <x14:dataValidation type="list" allowBlank="1" xr:uid="{00000000-0002-0000-0800-000062000000}">
          <x14:formula1>
            <xm:f>DropDownMenu!$CU$2:$CU$5</xm:f>
          </x14:formula1>
          <xm:sqref>DO2:DO5000</xm:sqref>
        </x14:dataValidation>
        <x14:dataValidation type="list" allowBlank="1" xr:uid="{00000000-0002-0000-0800-000063000000}">
          <x14:formula1>
            <xm:f>DropDownMenu!$CV$2:$CV$3</xm:f>
          </x14:formula1>
          <xm:sqref>DQ2:DQ5000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applyStyles="1" summaryRight="0"/>
  </sheetPr>
  <dimension ref="A1:DQ300"/>
  <sheetViews>
    <sheetView workbookViewId="0">
      <pane xSplit="7" ySplit="1" topLeftCell="H2" activePane="bottomRight" state="frozen"/>
      <selection pane="topRight"/>
      <selection pane="bottomLeft"/>
      <selection pane="bottomRight" activeCell="P22" sqref="P22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3" width="4" customWidth="1"/>
    <col min="14" max="14" width="12" customWidth="1"/>
    <col min="15" max="16" width="25" customWidth="1"/>
    <col min="17" max="17" width="4" customWidth="1"/>
    <col min="18" max="20" width="4" customWidth="1" outlineLevel="1"/>
    <col min="21" max="21" width="15" customWidth="1" outlineLevel="1"/>
    <col min="22" max="22" width="10" customWidth="1" outlineLevel="1"/>
    <col min="23" max="28" width="4" customWidth="1" outlineLevel="1"/>
    <col min="29" max="29" width="5" customWidth="1"/>
    <col min="30" max="32" width="10" customWidth="1" outlineLevel="1"/>
    <col min="33" max="35" width="4" customWidth="1" outlineLevel="1"/>
    <col min="36" max="37" width="10" customWidth="1" outlineLevel="1"/>
    <col min="38" max="40" width="4" customWidth="1" outlineLevel="1"/>
    <col min="41" max="42" width="10" customWidth="1" outlineLevel="1"/>
    <col min="43" max="47" width="4" customWidth="1" outlineLevel="1"/>
    <col min="48" max="48" width="10" customWidth="1" outlineLevel="1"/>
    <col min="49" max="49" width="5" customWidth="1" outlineLevel="1"/>
    <col min="50" max="50" width="5" customWidth="1"/>
    <col min="51" max="59" width="4" customWidth="1" outlineLevel="1"/>
    <col min="60" max="60" width="7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4" customWidth="1" outlineLevel="1"/>
    <col min="68" max="68" width="12" customWidth="1" outlineLevel="1"/>
    <col min="69" max="69" width="20" customWidth="1" outlineLevel="1"/>
    <col min="70" max="70" width="5" customWidth="1" outlineLevel="1"/>
    <col min="71" max="72" width="4" customWidth="1" outlineLevel="1"/>
    <col min="73" max="73" width="25" customWidth="1" outlineLevel="1"/>
    <col min="74" max="74" width="5" customWidth="1" outlineLevel="1"/>
    <col min="75" max="75" width="20" customWidth="1"/>
    <col min="76" max="77" width="20" customWidth="1" outlineLevel="1"/>
    <col min="78" max="83" width="4" customWidth="1" outlineLevel="1"/>
    <col min="84" max="84" width="4" customWidth="1"/>
    <col min="85" max="121" width="4" customWidth="1" outlineLevel="1"/>
  </cols>
  <sheetData>
    <row r="1" spans="1:121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1" t="s">
        <v>35</v>
      </c>
      <c r="AK1" s="1" t="s">
        <v>36</v>
      </c>
      <c r="AL1" s="3" t="s">
        <v>37</v>
      </c>
      <c r="AM1" s="3" t="s">
        <v>38</v>
      </c>
      <c r="AN1" s="3" t="s">
        <v>39</v>
      </c>
      <c r="AO1" s="1" t="s">
        <v>40</v>
      </c>
      <c r="AP1" s="1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 t="s">
        <v>65</v>
      </c>
      <c r="BO1" s="1" t="s">
        <v>66</v>
      </c>
      <c r="BP1" s="1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</row>
    <row r="2" spans="1:121" ht="16" customHeight="1" x14ac:dyDescent="0.2">
      <c r="A2" s="16"/>
      <c r="B2" s="16"/>
      <c r="C2" s="16"/>
      <c r="D2" s="16"/>
      <c r="E2" s="16"/>
      <c r="F2" s="16"/>
      <c r="G2" s="16"/>
      <c r="H2" s="12"/>
      <c r="I2" s="12"/>
      <c r="J2" s="12"/>
      <c r="K2" s="12"/>
      <c r="L2" s="12"/>
      <c r="M2" s="12"/>
      <c r="N2" s="12"/>
      <c r="O2" s="12" t="str">
        <f>IFERROR(INDEX(_courses_lookup!$C:$C,MATCH(K2&amp;L2,_courses_lookup!$E:$E,0)),"")</f>
        <v/>
      </c>
      <c r="P2" s="12" t="str">
        <f>IFERROR(INDEX(_courses_lookup!$D:$D,MATCH(K2&amp;L2,_courses_lookup!$E:$E,0)),"")</f>
        <v/>
      </c>
      <c r="Q2" s="12"/>
      <c r="R2" s="12"/>
      <c r="S2" s="12"/>
      <c r="T2" s="12"/>
      <c r="U2" s="12"/>
      <c r="V2" s="12"/>
      <c r="W2" s="12"/>
      <c r="X2" s="12"/>
      <c r="Y2" s="8"/>
      <c r="Z2" s="12"/>
      <c r="AA2" s="12"/>
      <c r="AB2" s="12"/>
      <c r="AC2" s="12"/>
      <c r="AD2" s="12"/>
      <c r="AE2" s="12"/>
      <c r="AF2" s="12"/>
      <c r="AG2" s="12" t="str">
        <f t="shared" ref="AG2:AG65" si="0">IF(AND(AE2&lt;&gt;"",AF2&lt;&gt;""),ROUNDUP((AF2-AE2)/7,0),"")</f>
        <v/>
      </c>
      <c r="AH2" s="12"/>
      <c r="AI2" s="12" t="str">
        <f t="shared" ref="AI2:AI65" si="1">IFERROR(IF(AG2*AH2=0,"",AG2*AH2),"")</f>
        <v/>
      </c>
      <c r="AJ2" s="12"/>
      <c r="AK2" s="12"/>
      <c r="AL2" s="12" t="str">
        <f t="shared" ref="AL2:AL65" si="2">IF(AND(AJ2&lt;&gt;"",AK2&lt;&gt;""),ROUNDUP((AK2-AJ2)/7,0),"")</f>
        <v/>
      </c>
      <c r="AM2" s="12"/>
      <c r="AN2" s="12" t="str">
        <f t="shared" ref="AN2:AN65" si="3">IFERROR(IF(AL2*AM2=0,"",AL2*AM2),"")</f>
        <v/>
      </c>
      <c r="AO2" s="12"/>
      <c r="AP2" s="12"/>
      <c r="AQ2" s="12" t="str">
        <f t="shared" ref="AQ2:AQ65" si="4">IF(AND(AO2&lt;&gt;"",AP2&lt;&gt;""),ROUNDUP((AP2-AO2)/7,0),"")</f>
        <v/>
      </c>
      <c r="AR2" s="12" t="str">
        <f t="shared" ref="AR2:AR65" si="5">IFERROR(IF((AU2-(AI2+AN2))/AQ2=0,"",ROUNDUP((AU2-(AI2+AN2))/AQ2,0)),"")</f>
        <v/>
      </c>
      <c r="AS2" s="12" t="str">
        <f t="shared" ref="AS2:AS65" si="6">IFERROR(IF((AU2-(AI2+AN2))=0,"",(AU2-(AI2+AN2))),"")</f>
        <v/>
      </c>
      <c r="AT2" s="12" t="str">
        <f t="shared" ref="AT2:AT65" si="7">IF(AND(AG2="",AQ2=""),AL2,IF(SUM(AG2,AL2,AQ2)=0,"",SUM(AG2,AL2,AQ2)))</f>
        <v/>
      </c>
      <c r="AU2" s="12"/>
      <c r="AV2" s="12"/>
      <c r="AW2" s="12"/>
      <c r="AX2" s="12"/>
      <c r="AY2" s="12"/>
      <c r="AZ2" s="8"/>
      <c r="BA2" s="12"/>
      <c r="BB2" s="12"/>
      <c r="BC2" s="12"/>
      <c r="BD2" s="12"/>
      <c r="BE2" s="12"/>
      <c r="BF2" s="12"/>
      <c r="BG2" s="12" t="str">
        <f t="shared" ref="BG2:BG65" si="8">IF(AD2="","",YEAR(AD2)+IF(MONTH(AD2)&gt;=5,1,0))</f>
        <v/>
      </c>
      <c r="BH2" s="12" t="str">
        <f t="shared" ref="BH2:BH65" si="9">IF(AD2="","",IF(AND(MONTH(AD2)=8,DAY(AD2)&gt;=15),"Fall",IF(MONTH(AD2)&gt;8,"Fall",IF(MONTH(AD2)=5,"Summer",IF(MONTH(AD2)=1,"Spring","")))))</f>
        <v/>
      </c>
      <c r="BI2" s="12"/>
      <c r="BJ2" s="12"/>
      <c r="BK2" s="8" t="str">
        <f>IF($BJ2="","",IFERROR(INDEX(InstructorMap!$B:$B, MATCH($BJ2, InstructorMap!$A:$A, 0)),""))</f>
        <v/>
      </c>
      <c r="BL2" s="8" t="str">
        <f>IFERROR(INDEX(_names_lookup!$C:$C,MATCH(BK2,_names_lookup!$A:$A,0)),"")</f>
        <v/>
      </c>
      <c r="BM2" s="12" t="str">
        <f>IFERROR(INDEX(_names_lookup!$B:$B,MATCH(BK2,_names_lookup!$A:$A,0)),"")</f>
        <v/>
      </c>
      <c r="BN2" s="12"/>
      <c r="BO2" s="12"/>
      <c r="BP2" s="12"/>
      <c r="BQ2" s="12"/>
      <c r="BR2" s="12"/>
      <c r="BS2" s="12" t="str">
        <f t="shared" ref="BS2:BS65" si="10">IFERROR(IF(BR2*AA2=0,"",BR2*AA2),"")</f>
        <v/>
      </c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</row>
    <row r="3" spans="1:121" ht="16" customHeight="1" x14ac:dyDescent="0.2">
      <c r="A3" s="16"/>
      <c r="B3" s="16"/>
      <c r="C3" s="16"/>
      <c r="D3" s="16"/>
      <c r="E3" s="16"/>
      <c r="F3" s="16"/>
      <c r="G3" s="16"/>
      <c r="H3" s="12"/>
      <c r="I3" s="12"/>
      <c r="J3" s="12"/>
      <c r="K3" s="12"/>
      <c r="L3" s="12"/>
      <c r="M3" s="12"/>
      <c r="N3" s="12"/>
      <c r="O3" s="12" t="str">
        <f>IFERROR(INDEX(_courses_lookup!$C:$C,MATCH(K3&amp;L3,_courses_lookup!$E:$E,0)),"")</f>
        <v/>
      </c>
      <c r="P3" s="12" t="str">
        <f>IFERROR(INDEX(_courses_lookup!$D:$D,MATCH(K3&amp;L3,_courses_lookup!$E:$E,0)),"")</f>
        <v/>
      </c>
      <c r="Q3" s="12"/>
      <c r="R3" s="12"/>
      <c r="S3" s="12"/>
      <c r="T3" s="12"/>
      <c r="U3" s="12"/>
      <c r="V3" s="12"/>
      <c r="W3" s="12"/>
      <c r="X3" s="12"/>
      <c r="Y3" s="8"/>
      <c r="Z3" s="12"/>
      <c r="AA3" s="12"/>
      <c r="AB3" s="12"/>
      <c r="AC3" s="12"/>
      <c r="AD3" s="12"/>
      <c r="AE3" s="12"/>
      <c r="AF3" s="12"/>
      <c r="AG3" s="12" t="str">
        <f t="shared" si="0"/>
        <v/>
      </c>
      <c r="AH3" s="12"/>
      <c r="AI3" s="12" t="str">
        <f t="shared" si="1"/>
        <v/>
      </c>
      <c r="AJ3" s="12"/>
      <c r="AK3" s="12"/>
      <c r="AL3" s="12" t="str">
        <f t="shared" si="2"/>
        <v/>
      </c>
      <c r="AM3" s="12"/>
      <c r="AN3" s="12" t="str">
        <f t="shared" si="3"/>
        <v/>
      </c>
      <c r="AO3" s="12"/>
      <c r="AP3" s="12"/>
      <c r="AQ3" s="12" t="str">
        <f t="shared" si="4"/>
        <v/>
      </c>
      <c r="AR3" s="12" t="str">
        <f t="shared" si="5"/>
        <v/>
      </c>
      <c r="AS3" s="12" t="str">
        <f t="shared" si="6"/>
        <v/>
      </c>
      <c r="AT3" s="12" t="str">
        <f t="shared" si="7"/>
        <v/>
      </c>
      <c r="AU3" s="12"/>
      <c r="AV3" s="12"/>
      <c r="AW3" s="12"/>
      <c r="AX3" s="12"/>
      <c r="AY3" s="12"/>
      <c r="AZ3" s="8"/>
      <c r="BA3" s="12"/>
      <c r="BB3" s="12"/>
      <c r="BC3" s="12"/>
      <c r="BD3" s="12"/>
      <c r="BE3" s="12"/>
      <c r="BF3" s="12"/>
      <c r="BG3" s="12" t="str">
        <f t="shared" si="8"/>
        <v/>
      </c>
      <c r="BH3" s="12" t="str">
        <f t="shared" si="9"/>
        <v/>
      </c>
      <c r="BI3" s="12"/>
      <c r="BJ3" s="12"/>
      <c r="BK3" s="8" t="str">
        <f>IF($BJ3="","",IFERROR(INDEX(InstructorMap!$B:$B, MATCH($BJ3, InstructorMap!$A:$A, 0)),""))</f>
        <v/>
      </c>
      <c r="BL3" s="8" t="str">
        <f>IFERROR(INDEX(_names_lookup!$C:$C,MATCH(BK3,_names_lookup!$A:$A,0)),"")</f>
        <v/>
      </c>
      <c r="BM3" s="12" t="str">
        <f>IFERROR(INDEX(_names_lookup!$B:$B,MATCH(BK3,_names_lookup!$A:$A,0)),"")</f>
        <v/>
      </c>
      <c r="BN3" s="12"/>
      <c r="BO3" s="12"/>
      <c r="BP3" s="12"/>
      <c r="BQ3" s="12"/>
      <c r="BR3" s="12"/>
      <c r="BS3" s="12" t="str">
        <f t="shared" si="10"/>
        <v/>
      </c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</row>
    <row r="4" spans="1:121" ht="16" customHeight="1" x14ac:dyDescent="0.2">
      <c r="A4" s="16"/>
      <c r="B4" s="16"/>
      <c r="C4" s="16"/>
      <c r="D4" s="16"/>
      <c r="E4" s="16"/>
      <c r="F4" s="16"/>
      <c r="G4" s="16"/>
      <c r="H4" s="12"/>
      <c r="I4" s="12"/>
      <c r="J4" s="12"/>
      <c r="K4" s="12"/>
      <c r="L4" s="12"/>
      <c r="M4" s="12"/>
      <c r="N4" s="12"/>
      <c r="O4" s="12" t="str">
        <f>IFERROR(INDEX(_courses_lookup!$C:$C,MATCH(K4&amp;L4,_courses_lookup!$E:$E,0)),"")</f>
        <v/>
      </c>
      <c r="P4" s="12" t="str">
        <f>IFERROR(INDEX(_courses_lookup!$D:$D,MATCH(K4&amp;L4,_courses_lookup!$E:$E,0)),"")</f>
        <v/>
      </c>
      <c r="Q4" s="12"/>
      <c r="R4" s="12"/>
      <c r="S4" s="12"/>
      <c r="T4" s="12"/>
      <c r="U4" s="12"/>
      <c r="V4" s="12"/>
      <c r="W4" s="12"/>
      <c r="X4" s="12"/>
      <c r="Y4" s="8"/>
      <c r="Z4" s="12"/>
      <c r="AA4" s="12"/>
      <c r="AB4" s="12"/>
      <c r="AC4" s="12"/>
      <c r="AD4" s="12"/>
      <c r="AE4" s="12"/>
      <c r="AF4" s="12"/>
      <c r="AG4" s="12" t="str">
        <f t="shared" si="0"/>
        <v/>
      </c>
      <c r="AH4" s="12"/>
      <c r="AI4" s="12" t="str">
        <f t="shared" si="1"/>
        <v/>
      </c>
      <c r="AJ4" s="12"/>
      <c r="AK4" s="12"/>
      <c r="AL4" s="12" t="str">
        <f t="shared" si="2"/>
        <v/>
      </c>
      <c r="AM4" s="12"/>
      <c r="AN4" s="12" t="str">
        <f t="shared" si="3"/>
        <v/>
      </c>
      <c r="AO4" s="12"/>
      <c r="AP4" s="12"/>
      <c r="AQ4" s="12" t="str">
        <f t="shared" si="4"/>
        <v/>
      </c>
      <c r="AR4" s="12" t="str">
        <f t="shared" si="5"/>
        <v/>
      </c>
      <c r="AS4" s="12" t="str">
        <f t="shared" si="6"/>
        <v/>
      </c>
      <c r="AT4" s="12" t="str">
        <f t="shared" si="7"/>
        <v/>
      </c>
      <c r="AU4" s="12"/>
      <c r="AV4" s="12"/>
      <c r="AW4" s="12"/>
      <c r="AX4" s="12"/>
      <c r="AY4" s="12"/>
      <c r="AZ4" s="8"/>
      <c r="BA4" s="12"/>
      <c r="BB4" s="12"/>
      <c r="BC4" s="12"/>
      <c r="BD4" s="12"/>
      <c r="BE4" s="12"/>
      <c r="BF4" s="12"/>
      <c r="BG4" s="12" t="str">
        <f t="shared" si="8"/>
        <v/>
      </c>
      <c r="BH4" s="12" t="str">
        <f t="shared" si="9"/>
        <v/>
      </c>
      <c r="BI4" s="12"/>
      <c r="BJ4" s="12"/>
      <c r="BK4" s="8" t="str">
        <f>IF($BJ4="","",IFERROR(INDEX(InstructorMap!$B:$B, MATCH($BJ4, InstructorMap!$A:$A, 0)),""))</f>
        <v/>
      </c>
      <c r="BL4" s="8" t="str">
        <f>IFERROR(INDEX(_names_lookup!$C:$C,MATCH(BK4,_names_lookup!$A:$A,0)),"")</f>
        <v/>
      </c>
      <c r="BM4" s="12" t="str">
        <f>IFERROR(INDEX(_names_lookup!$B:$B,MATCH(BK4,_names_lookup!$A:$A,0)),"")</f>
        <v/>
      </c>
      <c r="BN4" s="12"/>
      <c r="BO4" s="12"/>
      <c r="BP4" s="12"/>
      <c r="BQ4" s="12"/>
      <c r="BR4" s="12"/>
      <c r="BS4" s="12" t="str">
        <f t="shared" si="10"/>
        <v/>
      </c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</row>
    <row r="5" spans="1:121" ht="16" customHeight="1" x14ac:dyDescent="0.2">
      <c r="A5" s="16"/>
      <c r="B5" s="16"/>
      <c r="C5" s="16"/>
      <c r="D5" s="16"/>
      <c r="E5" s="16"/>
      <c r="F5" s="16"/>
      <c r="G5" s="16"/>
      <c r="H5" s="12"/>
      <c r="I5" s="12"/>
      <c r="J5" s="12"/>
      <c r="K5" s="12"/>
      <c r="L5" s="12"/>
      <c r="M5" s="12"/>
      <c r="N5" s="12"/>
      <c r="O5" s="12" t="str">
        <f>IFERROR(INDEX(_courses_lookup!$C:$C,MATCH(K5&amp;L5,_courses_lookup!$E:$E,0)),"")</f>
        <v/>
      </c>
      <c r="P5" s="12" t="str">
        <f>IFERROR(INDEX(_courses_lookup!$D:$D,MATCH(K5&amp;L5,_courses_lookup!$E:$E,0)),"")</f>
        <v/>
      </c>
      <c r="Q5" s="12"/>
      <c r="R5" s="12"/>
      <c r="S5" s="12"/>
      <c r="T5" s="12"/>
      <c r="U5" s="12"/>
      <c r="V5" s="12"/>
      <c r="W5" s="12"/>
      <c r="X5" s="12"/>
      <c r="Y5" s="8"/>
      <c r="Z5" s="12"/>
      <c r="AA5" s="12"/>
      <c r="AB5" s="12"/>
      <c r="AC5" s="12"/>
      <c r="AD5" s="12"/>
      <c r="AE5" s="12"/>
      <c r="AF5" s="12"/>
      <c r="AG5" s="12" t="str">
        <f t="shared" si="0"/>
        <v/>
      </c>
      <c r="AH5" s="12"/>
      <c r="AI5" s="12" t="str">
        <f t="shared" si="1"/>
        <v/>
      </c>
      <c r="AJ5" s="12"/>
      <c r="AK5" s="12"/>
      <c r="AL5" s="12" t="str">
        <f t="shared" si="2"/>
        <v/>
      </c>
      <c r="AM5" s="12"/>
      <c r="AN5" s="12" t="str">
        <f t="shared" si="3"/>
        <v/>
      </c>
      <c r="AO5" s="12"/>
      <c r="AP5" s="12"/>
      <c r="AQ5" s="12" t="str">
        <f t="shared" si="4"/>
        <v/>
      </c>
      <c r="AR5" s="12" t="str">
        <f t="shared" si="5"/>
        <v/>
      </c>
      <c r="AS5" s="12" t="str">
        <f t="shared" si="6"/>
        <v/>
      </c>
      <c r="AT5" s="12" t="str">
        <f t="shared" si="7"/>
        <v/>
      </c>
      <c r="AU5" s="12"/>
      <c r="AV5" s="12"/>
      <c r="AW5" s="12"/>
      <c r="AX5" s="12"/>
      <c r="AY5" s="12"/>
      <c r="AZ5" s="8"/>
      <c r="BA5" s="12"/>
      <c r="BB5" s="12"/>
      <c r="BC5" s="12"/>
      <c r="BD5" s="12"/>
      <c r="BE5" s="12"/>
      <c r="BF5" s="12"/>
      <c r="BG5" s="12" t="str">
        <f t="shared" si="8"/>
        <v/>
      </c>
      <c r="BH5" s="12" t="str">
        <f t="shared" si="9"/>
        <v/>
      </c>
      <c r="BI5" s="12"/>
      <c r="BJ5" s="12"/>
      <c r="BK5" s="8" t="str">
        <f>IF($BJ5="","",IFERROR(INDEX(InstructorMap!$B:$B, MATCH($BJ5, InstructorMap!$A:$A, 0)),""))</f>
        <v/>
      </c>
      <c r="BL5" s="8" t="str">
        <f>IFERROR(INDEX(_names_lookup!$C:$C,MATCH(BK5,_names_lookup!$A:$A,0)),"")</f>
        <v/>
      </c>
      <c r="BM5" s="12" t="str">
        <f>IFERROR(INDEX(_names_lookup!$B:$B,MATCH(BK5,_names_lookup!$A:$A,0)),"")</f>
        <v/>
      </c>
      <c r="BN5" s="12"/>
      <c r="BO5" s="12"/>
      <c r="BP5" s="12"/>
      <c r="BQ5" s="12"/>
      <c r="BR5" s="12"/>
      <c r="BS5" s="12" t="str">
        <f t="shared" si="10"/>
        <v/>
      </c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</row>
    <row r="6" spans="1:121" ht="16" customHeight="1" x14ac:dyDescent="0.2">
      <c r="A6" s="16"/>
      <c r="B6" s="16"/>
      <c r="C6" s="16"/>
      <c r="D6" s="16"/>
      <c r="E6" s="16"/>
      <c r="F6" s="16"/>
      <c r="G6" s="16"/>
      <c r="H6" s="12"/>
      <c r="I6" s="12"/>
      <c r="J6" s="12"/>
      <c r="K6" s="12"/>
      <c r="L6" s="12"/>
      <c r="M6" s="12"/>
      <c r="N6" s="12"/>
      <c r="O6" s="12" t="str">
        <f>IFERROR(INDEX(_courses_lookup!$C:$C,MATCH(K6&amp;L6,_courses_lookup!$E:$E,0)),"")</f>
        <v/>
      </c>
      <c r="P6" s="12" t="str">
        <f>IFERROR(INDEX(_courses_lookup!$D:$D,MATCH(K6&amp;L6,_courses_lookup!$E:$E,0)),"")</f>
        <v/>
      </c>
      <c r="Q6" s="12"/>
      <c r="R6" s="12"/>
      <c r="S6" s="12"/>
      <c r="T6" s="12"/>
      <c r="U6" s="12"/>
      <c r="V6" s="12"/>
      <c r="W6" s="12"/>
      <c r="X6" s="12"/>
      <c r="Y6" s="8"/>
      <c r="Z6" s="12"/>
      <c r="AA6" s="12"/>
      <c r="AB6" s="12"/>
      <c r="AC6" s="12"/>
      <c r="AD6" s="12"/>
      <c r="AE6" s="12"/>
      <c r="AF6" s="12"/>
      <c r="AG6" s="12" t="str">
        <f t="shared" si="0"/>
        <v/>
      </c>
      <c r="AH6" s="12"/>
      <c r="AI6" s="12" t="str">
        <f t="shared" si="1"/>
        <v/>
      </c>
      <c r="AJ6" s="12"/>
      <c r="AK6" s="12"/>
      <c r="AL6" s="12" t="str">
        <f t="shared" si="2"/>
        <v/>
      </c>
      <c r="AM6" s="12"/>
      <c r="AN6" s="12" t="str">
        <f t="shared" si="3"/>
        <v/>
      </c>
      <c r="AO6" s="12"/>
      <c r="AP6" s="12"/>
      <c r="AQ6" s="12" t="str">
        <f t="shared" si="4"/>
        <v/>
      </c>
      <c r="AR6" s="12" t="str">
        <f t="shared" si="5"/>
        <v/>
      </c>
      <c r="AS6" s="12" t="str">
        <f t="shared" si="6"/>
        <v/>
      </c>
      <c r="AT6" s="12" t="str">
        <f t="shared" si="7"/>
        <v/>
      </c>
      <c r="AU6" s="12"/>
      <c r="AV6" s="12"/>
      <c r="AW6" s="12"/>
      <c r="AX6" s="12"/>
      <c r="AY6" s="12"/>
      <c r="AZ6" s="8"/>
      <c r="BA6" s="12"/>
      <c r="BB6" s="12"/>
      <c r="BC6" s="12"/>
      <c r="BD6" s="12"/>
      <c r="BE6" s="12"/>
      <c r="BF6" s="12"/>
      <c r="BG6" s="12" t="str">
        <f t="shared" si="8"/>
        <v/>
      </c>
      <c r="BH6" s="12" t="str">
        <f t="shared" si="9"/>
        <v/>
      </c>
      <c r="BI6" s="12"/>
      <c r="BJ6" s="12"/>
      <c r="BK6" s="8" t="str">
        <f>IF($BJ6="","",IFERROR(INDEX(InstructorMap!$B:$B, MATCH($BJ6, InstructorMap!$A:$A, 0)),""))</f>
        <v/>
      </c>
      <c r="BL6" s="8" t="str">
        <f>IFERROR(INDEX(_names_lookup!$C:$C,MATCH(BK6,_names_lookup!$A:$A,0)),"")</f>
        <v/>
      </c>
      <c r="BM6" s="12" t="str">
        <f>IFERROR(INDEX(_names_lookup!$B:$B,MATCH(BK6,_names_lookup!$A:$A,0)),"")</f>
        <v/>
      </c>
      <c r="BN6" s="12"/>
      <c r="BO6" s="12"/>
      <c r="BP6" s="12"/>
      <c r="BQ6" s="12"/>
      <c r="BR6" s="12"/>
      <c r="BS6" s="12" t="str">
        <f t="shared" si="10"/>
        <v/>
      </c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</row>
    <row r="7" spans="1:121" ht="16" customHeight="1" x14ac:dyDescent="0.2">
      <c r="A7" s="16"/>
      <c r="B7" s="16"/>
      <c r="C7" s="16"/>
      <c r="D7" s="16"/>
      <c r="E7" s="16"/>
      <c r="F7" s="16"/>
      <c r="G7" s="16"/>
      <c r="H7" s="12"/>
      <c r="I7" s="12"/>
      <c r="J7" s="12"/>
      <c r="K7" s="12"/>
      <c r="L7" s="12"/>
      <c r="M7" s="12"/>
      <c r="N7" s="12"/>
      <c r="O7" s="12" t="str">
        <f>IFERROR(INDEX(_courses_lookup!$C:$C,MATCH(K7&amp;L7,_courses_lookup!$E:$E,0)),"")</f>
        <v/>
      </c>
      <c r="P7" s="12" t="str">
        <f>IFERROR(INDEX(_courses_lookup!$D:$D,MATCH(K7&amp;L7,_courses_lookup!$E:$E,0)),"")</f>
        <v/>
      </c>
      <c r="Q7" s="12"/>
      <c r="R7" s="12"/>
      <c r="S7" s="12"/>
      <c r="T7" s="12"/>
      <c r="U7" s="12"/>
      <c r="V7" s="12"/>
      <c r="W7" s="12"/>
      <c r="X7" s="12"/>
      <c r="Y7" s="8"/>
      <c r="Z7" s="12"/>
      <c r="AA7" s="12"/>
      <c r="AB7" s="12"/>
      <c r="AC7" s="12"/>
      <c r="AD7" s="12"/>
      <c r="AE7" s="12"/>
      <c r="AF7" s="12"/>
      <c r="AG7" s="12" t="str">
        <f t="shared" si="0"/>
        <v/>
      </c>
      <c r="AH7" s="12"/>
      <c r="AI7" s="12" t="str">
        <f t="shared" si="1"/>
        <v/>
      </c>
      <c r="AJ7" s="12"/>
      <c r="AK7" s="12"/>
      <c r="AL7" s="12" t="str">
        <f t="shared" si="2"/>
        <v/>
      </c>
      <c r="AM7" s="12"/>
      <c r="AN7" s="12" t="str">
        <f t="shared" si="3"/>
        <v/>
      </c>
      <c r="AO7" s="12"/>
      <c r="AP7" s="12"/>
      <c r="AQ7" s="12" t="str">
        <f t="shared" si="4"/>
        <v/>
      </c>
      <c r="AR7" s="12" t="str">
        <f t="shared" si="5"/>
        <v/>
      </c>
      <c r="AS7" s="12" t="str">
        <f t="shared" si="6"/>
        <v/>
      </c>
      <c r="AT7" s="12" t="str">
        <f t="shared" si="7"/>
        <v/>
      </c>
      <c r="AU7" s="12"/>
      <c r="AV7" s="12"/>
      <c r="AW7" s="12"/>
      <c r="AX7" s="12"/>
      <c r="AY7" s="12"/>
      <c r="AZ7" s="8"/>
      <c r="BA7" s="12"/>
      <c r="BB7" s="12"/>
      <c r="BC7" s="12"/>
      <c r="BD7" s="12"/>
      <c r="BE7" s="12"/>
      <c r="BF7" s="12"/>
      <c r="BG7" s="12" t="str">
        <f t="shared" si="8"/>
        <v/>
      </c>
      <c r="BH7" s="12" t="str">
        <f t="shared" si="9"/>
        <v/>
      </c>
      <c r="BI7" s="12"/>
      <c r="BJ7" s="12"/>
      <c r="BK7" s="8" t="str">
        <f>IF($BJ7="","",IFERROR(INDEX(InstructorMap!$B:$B, MATCH($BJ7, InstructorMap!$A:$A, 0)),""))</f>
        <v/>
      </c>
      <c r="BL7" s="8" t="str">
        <f>IFERROR(INDEX(_names_lookup!$C:$C,MATCH(BK7,_names_lookup!$A:$A,0)),"")</f>
        <v/>
      </c>
      <c r="BM7" s="12" t="str">
        <f>IFERROR(INDEX(_names_lookup!$B:$B,MATCH(BK7,_names_lookup!$A:$A,0)),"")</f>
        <v/>
      </c>
      <c r="BN7" s="12"/>
      <c r="BO7" s="12"/>
      <c r="BP7" s="12"/>
      <c r="BQ7" s="12"/>
      <c r="BR7" s="12"/>
      <c r="BS7" s="12" t="str">
        <f t="shared" si="10"/>
        <v/>
      </c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</row>
    <row r="8" spans="1:121" ht="16" customHeight="1" x14ac:dyDescent="0.2">
      <c r="A8" s="16"/>
      <c r="B8" s="16"/>
      <c r="C8" s="16"/>
      <c r="D8" s="16"/>
      <c r="E8" s="16"/>
      <c r="F8" s="16"/>
      <c r="G8" s="16"/>
      <c r="H8" s="12"/>
      <c r="I8" s="12"/>
      <c r="J8" s="12"/>
      <c r="K8" s="12"/>
      <c r="L8" s="12"/>
      <c r="M8" s="12"/>
      <c r="N8" s="12"/>
      <c r="O8" s="12" t="str">
        <f>IFERROR(INDEX(_courses_lookup!$C:$C,MATCH(K8&amp;L8,_courses_lookup!$E:$E,0)),"")</f>
        <v/>
      </c>
      <c r="P8" s="12" t="str">
        <f>IFERROR(INDEX(_courses_lookup!$D:$D,MATCH(K8&amp;L8,_courses_lookup!$E:$E,0)),"")</f>
        <v/>
      </c>
      <c r="Q8" s="12"/>
      <c r="R8" s="12"/>
      <c r="S8" s="12"/>
      <c r="T8" s="12"/>
      <c r="U8" s="12"/>
      <c r="V8" s="12"/>
      <c r="W8" s="12"/>
      <c r="X8" s="12"/>
      <c r="Y8" s="8"/>
      <c r="Z8" s="12"/>
      <c r="AA8" s="12"/>
      <c r="AB8" s="12"/>
      <c r="AC8" s="12"/>
      <c r="AD8" s="12"/>
      <c r="AE8" s="12"/>
      <c r="AF8" s="12"/>
      <c r="AG8" s="12" t="str">
        <f t="shared" si="0"/>
        <v/>
      </c>
      <c r="AH8" s="12"/>
      <c r="AI8" s="12" t="str">
        <f t="shared" si="1"/>
        <v/>
      </c>
      <c r="AJ8" s="12"/>
      <c r="AK8" s="12"/>
      <c r="AL8" s="12" t="str">
        <f t="shared" si="2"/>
        <v/>
      </c>
      <c r="AM8" s="12"/>
      <c r="AN8" s="12" t="str">
        <f t="shared" si="3"/>
        <v/>
      </c>
      <c r="AO8" s="12"/>
      <c r="AP8" s="12"/>
      <c r="AQ8" s="12" t="str">
        <f t="shared" si="4"/>
        <v/>
      </c>
      <c r="AR8" s="12" t="str">
        <f t="shared" si="5"/>
        <v/>
      </c>
      <c r="AS8" s="12" t="str">
        <f t="shared" si="6"/>
        <v/>
      </c>
      <c r="AT8" s="12" t="str">
        <f t="shared" si="7"/>
        <v/>
      </c>
      <c r="AU8" s="12"/>
      <c r="AV8" s="12"/>
      <c r="AW8" s="12"/>
      <c r="AX8" s="12"/>
      <c r="AY8" s="12"/>
      <c r="AZ8" s="8"/>
      <c r="BA8" s="12"/>
      <c r="BB8" s="12"/>
      <c r="BC8" s="12"/>
      <c r="BD8" s="12"/>
      <c r="BE8" s="12"/>
      <c r="BF8" s="12"/>
      <c r="BG8" s="12" t="str">
        <f t="shared" si="8"/>
        <v/>
      </c>
      <c r="BH8" s="12" t="str">
        <f t="shared" si="9"/>
        <v/>
      </c>
      <c r="BI8" s="12"/>
      <c r="BJ8" s="12"/>
      <c r="BK8" s="8" t="str">
        <f>IF($BJ8="","",IFERROR(INDEX(InstructorMap!$B:$B, MATCH($BJ8, InstructorMap!$A:$A, 0)),""))</f>
        <v/>
      </c>
      <c r="BL8" s="8" t="str">
        <f>IFERROR(INDEX(_names_lookup!$C:$C,MATCH(BK8,_names_lookup!$A:$A,0)),"")</f>
        <v/>
      </c>
      <c r="BM8" s="12" t="str">
        <f>IFERROR(INDEX(_names_lookup!$B:$B,MATCH(BK8,_names_lookup!$A:$A,0)),"")</f>
        <v/>
      </c>
      <c r="BN8" s="12"/>
      <c r="BO8" s="12"/>
      <c r="BP8" s="12"/>
      <c r="BQ8" s="12"/>
      <c r="BR8" s="12"/>
      <c r="BS8" s="12" t="str">
        <f t="shared" si="10"/>
        <v/>
      </c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</row>
    <row r="9" spans="1:121" ht="16" customHeight="1" x14ac:dyDescent="0.2">
      <c r="A9" s="16"/>
      <c r="B9" s="16"/>
      <c r="C9" s="16"/>
      <c r="D9" s="16"/>
      <c r="E9" s="16"/>
      <c r="F9" s="16"/>
      <c r="G9" s="16"/>
      <c r="H9" s="12"/>
      <c r="I9" s="12"/>
      <c r="J9" s="12"/>
      <c r="K9" s="12"/>
      <c r="L9" s="12"/>
      <c r="M9" s="12"/>
      <c r="N9" s="12"/>
      <c r="O9" s="12" t="str">
        <f>IFERROR(INDEX(_courses_lookup!$C:$C,MATCH(K9&amp;L9,_courses_lookup!$E:$E,0)),"")</f>
        <v/>
      </c>
      <c r="P9" s="12" t="str">
        <f>IFERROR(INDEX(_courses_lookup!$D:$D,MATCH(K9&amp;L9,_courses_lookup!$E:$E,0)),"")</f>
        <v/>
      </c>
      <c r="Q9" s="12"/>
      <c r="R9" s="12"/>
      <c r="S9" s="12"/>
      <c r="T9" s="12"/>
      <c r="U9" s="12"/>
      <c r="V9" s="12"/>
      <c r="W9" s="12"/>
      <c r="X9" s="12"/>
      <c r="Y9" s="8"/>
      <c r="Z9" s="12"/>
      <c r="AA9" s="12"/>
      <c r="AB9" s="12"/>
      <c r="AC9" s="12"/>
      <c r="AD9" s="12"/>
      <c r="AE9" s="12"/>
      <c r="AF9" s="12"/>
      <c r="AG9" s="12" t="str">
        <f t="shared" si="0"/>
        <v/>
      </c>
      <c r="AH9" s="12"/>
      <c r="AI9" s="12" t="str">
        <f t="shared" si="1"/>
        <v/>
      </c>
      <c r="AJ9" s="12"/>
      <c r="AK9" s="12"/>
      <c r="AL9" s="12" t="str">
        <f t="shared" si="2"/>
        <v/>
      </c>
      <c r="AM9" s="12"/>
      <c r="AN9" s="12" t="str">
        <f t="shared" si="3"/>
        <v/>
      </c>
      <c r="AO9" s="12"/>
      <c r="AP9" s="12"/>
      <c r="AQ9" s="12" t="str">
        <f t="shared" si="4"/>
        <v/>
      </c>
      <c r="AR9" s="12" t="str">
        <f t="shared" si="5"/>
        <v/>
      </c>
      <c r="AS9" s="12" t="str">
        <f t="shared" si="6"/>
        <v/>
      </c>
      <c r="AT9" s="12" t="str">
        <f t="shared" si="7"/>
        <v/>
      </c>
      <c r="AU9" s="12"/>
      <c r="AV9" s="12"/>
      <c r="AW9" s="12"/>
      <c r="AX9" s="12"/>
      <c r="AY9" s="12"/>
      <c r="AZ9" s="8"/>
      <c r="BA9" s="12"/>
      <c r="BB9" s="12"/>
      <c r="BC9" s="12"/>
      <c r="BD9" s="12"/>
      <c r="BE9" s="12"/>
      <c r="BF9" s="12"/>
      <c r="BG9" s="12" t="str">
        <f t="shared" si="8"/>
        <v/>
      </c>
      <c r="BH9" s="12" t="str">
        <f t="shared" si="9"/>
        <v/>
      </c>
      <c r="BI9" s="12"/>
      <c r="BJ9" s="12"/>
      <c r="BK9" s="8" t="str">
        <f>IF($BJ9="","",IFERROR(INDEX(InstructorMap!$B:$B, MATCH($BJ9, InstructorMap!$A:$A, 0)),""))</f>
        <v/>
      </c>
      <c r="BL9" s="8" t="str">
        <f>IFERROR(INDEX(_names_lookup!$C:$C,MATCH(BK9,_names_lookup!$A:$A,0)),"")</f>
        <v/>
      </c>
      <c r="BM9" s="12" t="str">
        <f>IFERROR(INDEX(_names_lookup!$B:$B,MATCH(BK9,_names_lookup!$A:$A,0)),"")</f>
        <v/>
      </c>
      <c r="BN9" s="12"/>
      <c r="BO9" s="12"/>
      <c r="BP9" s="12"/>
      <c r="BQ9" s="12"/>
      <c r="BR9" s="12"/>
      <c r="BS9" s="12" t="str">
        <f t="shared" si="10"/>
        <v/>
      </c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</row>
    <row r="10" spans="1:121" ht="16" customHeight="1" x14ac:dyDescent="0.2">
      <c r="A10" s="16"/>
      <c r="B10" s="16"/>
      <c r="C10" s="16"/>
      <c r="D10" s="16"/>
      <c r="E10" s="16"/>
      <c r="F10" s="16"/>
      <c r="G10" s="16"/>
      <c r="H10" s="12"/>
      <c r="I10" s="12"/>
      <c r="J10" s="12"/>
      <c r="K10" s="12"/>
      <c r="L10" s="12"/>
      <c r="M10" s="12"/>
      <c r="N10" s="12"/>
      <c r="O10" s="12" t="str">
        <f>IFERROR(INDEX(_courses_lookup!$C:$C,MATCH(K10&amp;L10,_courses_lookup!$E:$E,0)),"")</f>
        <v/>
      </c>
      <c r="P10" s="12" t="str">
        <f>IFERROR(INDEX(_courses_lookup!$D:$D,MATCH(K10&amp;L10,_courses_lookup!$E:$E,0)),"")</f>
        <v/>
      </c>
      <c r="Q10" s="12"/>
      <c r="R10" s="12"/>
      <c r="S10" s="12"/>
      <c r="T10" s="12"/>
      <c r="U10" s="12"/>
      <c r="V10" s="12"/>
      <c r="W10" s="12"/>
      <c r="X10" s="12"/>
      <c r="Y10" s="8"/>
      <c r="Z10" s="12"/>
      <c r="AA10" s="12"/>
      <c r="AB10" s="12"/>
      <c r="AC10" s="12"/>
      <c r="AD10" s="12"/>
      <c r="AE10" s="12"/>
      <c r="AF10" s="12"/>
      <c r="AG10" s="12" t="str">
        <f t="shared" si="0"/>
        <v/>
      </c>
      <c r="AH10" s="12"/>
      <c r="AI10" s="12" t="str">
        <f t="shared" si="1"/>
        <v/>
      </c>
      <c r="AJ10" s="12"/>
      <c r="AK10" s="12"/>
      <c r="AL10" s="12" t="str">
        <f t="shared" si="2"/>
        <v/>
      </c>
      <c r="AM10" s="12"/>
      <c r="AN10" s="12" t="str">
        <f t="shared" si="3"/>
        <v/>
      </c>
      <c r="AO10" s="12"/>
      <c r="AP10" s="12"/>
      <c r="AQ10" s="12" t="str">
        <f t="shared" si="4"/>
        <v/>
      </c>
      <c r="AR10" s="12" t="str">
        <f t="shared" si="5"/>
        <v/>
      </c>
      <c r="AS10" s="12" t="str">
        <f t="shared" si="6"/>
        <v/>
      </c>
      <c r="AT10" s="12" t="str">
        <f t="shared" si="7"/>
        <v/>
      </c>
      <c r="AU10" s="12"/>
      <c r="AV10" s="12"/>
      <c r="AW10" s="12"/>
      <c r="AX10" s="12"/>
      <c r="AY10" s="12"/>
      <c r="AZ10" s="8"/>
      <c r="BA10" s="12"/>
      <c r="BB10" s="12"/>
      <c r="BC10" s="12"/>
      <c r="BD10" s="12"/>
      <c r="BE10" s="12"/>
      <c r="BF10" s="12"/>
      <c r="BG10" s="12" t="str">
        <f t="shared" si="8"/>
        <v/>
      </c>
      <c r="BH10" s="12" t="str">
        <f t="shared" si="9"/>
        <v/>
      </c>
      <c r="BI10" s="12"/>
      <c r="BJ10" s="12"/>
      <c r="BK10" s="8" t="str">
        <f>IF($BJ10="","",IFERROR(INDEX(InstructorMap!$B:$B, MATCH($BJ10, InstructorMap!$A:$A, 0)),""))</f>
        <v/>
      </c>
      <c r="BL10" s="8" t="str">
        <f>IFERROR(INDEX(_names_lookup!$C:$C,MATCH(BK10,_names_lookup!$A:$A,0)),"")</f>
        <v/>
      </c>
      <c r="BM10" s="12" t="str">
        <f>IFERROR(INDEX(_names_lookup!$B:$B,MATCH(BK10,_names_lookup!$A:$A,0)),"")</f>
        <v/>
      </c>
      <c r="BN10" s="12"/>
      <c r="BO10" s="12"/>
      <c r="BP10" s="12"/>
      <c r="BQ10" s="12"/>
      <c r="BR10" s="12"/>
      <c r="BS10" s="12" t="str">
        <f t="shared" si="10"/>
        <v/>
      </c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</row>
    <row r="11" spans="1:121" ht="16" customHeight="1" x14ac:dyDescent="0.2">
      <c r="A11" s="16"/>
      <c r="B11" s="16"/>
      <c r="C11" s="16"/>
      <c r="D11" s="16"/>
      <c r="E11" s="16"/>
      <c r="F11" s="16"/>
      <c r="G11" s="16"/>
      <c r="H11" s="12"/>
      <c r="I11" s="12"/>
      <c r="J11" s="12"/>
      <c r="K11" s="12"/>
      <c r="L11" s="12"/>
      <c r="M11" s="12"/>
      <c r="N11" s="12"/>
      <c r="O11" s="12" t="str">
        <f>IFERROR(INDEX(_courses_lookup!$C:$C,MATCH(K11&amp;L11,_courses_lookup!$E:$E,0)),"")</f>
        <v/>
      </c>
      <c r="P11" s="12" t="str">
        <f>IFERROR(INDEX(_courses_lookup!$D:$D,MATCH(K11&amp;L11,_courses_lookup!$E:$E,0)),"")</f>
        <v/>
      </c>
      <c r="Q11" s="12"/>
      <c r="R11" s="12"/>
      <c r="S11" s="12"/>
      <c r="T11" s="12"/>
      <c r="U11" s="12"/>
      <c r="V11" s="12"/>
      <c r="W11" s="12"/>
      <c r="X11" s="12"/>
      <c r="Y11" s="8"/>
      <c r="Z11" s="12"/>
      <c r="AA11" s="12"/>
      <c r="AB11" s="12"/>
      <c r="AC11" s="12"/>
      <c r="AD11" s="12"/>
      <c r="AE11" s="12"/>
      <c r="AF11" s="12"/>
      <c r="AG11" s="12" t="str">
        <f t="shared" si="0"/>
        <v/>
      </c>
      <c r="AH11" s="12"/>
      <c r="AI11" s="12" t="str">
        <f t="shared" si="1"/>
        <v/>
      </c>
      <c r="AJ11" s="12"/>
      <c r="AK11" s="12"/>
      <c r="AL11" s="12" t="str">
        <f t="shared" si="2"/>
        <v/>
      </c>
      <c r="AM11" s="12"/>
      <c r="AN11" s="12" t="str">
        <f t="shared" si="3"/>
        <v/>
      </c>
      <c r="AO11" s="12"/>
      <c r="AP11" s="12"/>
      <c r="AQ11" s="12" t="str">
        <f t="shared" si="4"/>
        <v/>
      </c>
      <c r="AR11" s="12" t="str">
        <f t="shared" si="5"/>
        <v/>
      </c>
      <c r="AS11" s="12" t="str">
        <f t="shared" si="6"/>
        <v/>
      </c>
      <c r="AT11" s="12" t="str">
        <f t="shared" si="7"/>
        <v/>
      </c>
      <c r="AU11" s="12"/>
      <c r="AV11" s="12"/>
      <c r="AW11" s="12"/>
      <c r="AX11" s="12"/>
      <c r="AY11" s="12"/>
      <c r="AZ11" s="8"/>
      <c r="BA11" s="12"/>
      <c r="BB11" s="12"/>
      <c r="BC11" s="12"/>
      <c r="BD11" s="12"/>
      <c r="BE11" s="12"/>
      <c r="BF11" s="12"/>
      <c r="BG11" s="12" t="str">
        <f t="shared" si="8"/>
        <v/>
      </c>
      <c r="BH11" s="12" t="str">
        <f t="shared" si="9"/>
        <v/>
      </c>
      <c r="BI11" s="12"/>
      <c r="BJ11" s="12"/>
      <c r="BK11" s="8" t="str">
        <f>IF($BJ11="","",IFERROR(INDEX(InstructorMap!$B:$B, MATCH($BJ11, InstructorMap!$A:$A, 0)),""))</f>
        <v/>
      </c>
      <c r="BL11" s="8" t="str">
        <f>IFERROR(INDEX(_names_lookup!$C:$C,MATCH(BK11,_names_lookup!$A:$A,0)),"")</f>
        <v/>
      </c>
      <c r="BM11" s="12" t="str">
        <f>IFERROR(INDEX(_names_lookup!$B:$B,MATCH(BK11,_names_lookup!$A:$A,0)),"")</f>
        <v/>
      </c>
      <c r="BN11" s="12"/>
      <c r="BO11" s="12"/>
      <c r="BP11" s="12"/>
      <c r="BQ11" s="12"/>
      <c r="BR11" s="12"/>
      <c r="BS11" s="12" t="str">
        <f t="shared" si="10"/>
        <v/>
      </c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</row>
    <row r="12" spans="1:121" ht="16" customHeight="1" x14ac:dyDescent="0.2">
      <c r="A12" s="16"/>
      <c r="B12" s="16"/>
      <c r="C12" s="16"/>
      <c r="D12" s="16"/>
      <c r="E12" s="16"/>
      <c r="F12" s="16"/>
      <c r="G12" s="16"/>
      <c r="H12" s="12"/>
      <c r="I12" s="12"/>
      <c r="J12" s="12"/>
      <c r="K12" s="12"/>
      <c r="L12" s="12"/>
      <c r="M12" s="12"/>
      <c r="N12" s="12"/>
      <c r="O12" s="12" t="str">
        <f>IFERROR(INDEX(_courses_lookup!$C:$C,MATCH(K12&amp;L12,_courses_lookup!$E:$E,0)),"")</f>
        <v/>
      </c>
      <c r="P12" s="12" t="str">
        <f>IFERROR(INDEX(_courses_lookup!$D:$D,MATCH(K12&amp;L12,_courses_lookup!$E:$E,0)),"")</f>
        <v/>
      </c>
      <c r="Q12" s="12"/>
      <c r="R12" s="12"/>
      <c r="S12" s="12"/>
      <c r="T12" s="12"/>
      <c r="U12" s="12"/>
      <c r="V12" s="12"/>
      <c r="W12" s="12"/>
      <c r="X12" s="12"/>
      <c r="Y12" s="8"/>
      <c r="Z12" s="12"/>
      <c r="AA12" s="12"/>
      <c r="AB12" s="12"/>
      <c r="AC12" s="12"/>
      <c r="AD12" s="12"/>
      <c r="AE12" s="12"/>
      <c r="AF12" s="12"/>
      <c r="AG12" s="12" t="str">
        <f t="shared" si="0"/>
        <v/>
      </c>
      <c r="AH12" s="12"/>
      <c r="AI12" s="12" t="str">
        <f t="shared" si="1"/>
        <v/>
      </c>
      <c r="AJ12" s="12"/>
      <c r="AK12" s="12"/>
      <c r="AL12" s="12" t="str">
        <f t="shared" si="2"/>
        <v/>
      </c>
      <c r="AM12" s="12"/>
      <c r="AN12" s="12" t="str">
        <f t="shared" si="3"/>
        <v/>
      </c>
      <c r="AO12" s="12"/>
      <c r="AP12" s="12"/>
      <c r="AQ12" s="12" t="str">
        <f t="shared" si="4"/>
        <v/>
      </c>
      <c r="AR12" s="12" t="str">
        <f t="shared" si="5"/>
        <v/>
      </c>
      <c r="AS12" s="12" t="str">
        <f t="shared" si="6"/>
        <v/>
      </c>
      <c r="AT12" s="12" t="str">
        <f t="shared" si="7"/>
        <v/>
      </c>
      <c r="AU12" s="12"/>
      <c r="AV12" s="12"/>
      <c r="AW12" s="12"/>
      <c r="AX12" s="12"/>
      <c r="AY12" s="12"/>
      <c r="AZ12" s="8"/>
      <c r="BA12" s="12"/>
      <c r="BB12" s="12"/>
      <c r="BC12" s="12"/>
      <c r="BD12" s="12"/>
      <c r="BE12" s="12"/>
      <c r="BF12" s="12"/>
      <c r="BG12" s="12" t="str">
        <f t="shared" si="8"/>
        <v/>
      </c>
      <c r="BH12" s="12" t="str">
        <f t="shared" si="9"/>
        <v/>
      </c>
      <c r="BI12" s="12"/>
      <c r="BJ12" s="12"/>
      <c r="BK12" s="8" t="str">
        <f>IF($BJ12="","",IFERROR(INDEX(InstructorMap!$B:$B, MATCH($BJ12, InstructorMap!$A:$A, 0)),""))</f>
        <v/>
      </c>
      <c r="BL12" s="8" t="str">
        <f>IFERROR(INDEX(_names_lookup!$C:$C,MATCH(BK12,_names_lookup!$A:$A,0)),"")</f>
        <v/>
      </c>
      <c r="BM12" s="12" t="str">
        <f>IFERROR(INDEX(_names_lookup!$B:$B,MATCH(BK12,_names_lookup!$A:$A,0)),"")</f>
        <v/>
      </c>
      <c r="BN12" s="12"/>
      <c r="BO12" s="12"/>
      <c r="BP12" s="12"/>
      <c r="BQ12" s="12"/>
      <c r="BR12" s="12"/>
      <c r="BS12" s="12" t="str">
        <f t="shared" si="10"/>
        <v/>
      </c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</row>
    <row r="13" spans="1:121" ht="16" customHeight="1" x14ac:dyDescent="0.2">
      <c r="A13" s="16"/>
      <c r="B13" s="16"/>
      <c r="C13" s="16"/>
      <c r="D13" s="16"/>
      <c r="E13" s="16"/>
      <c r="F13" s="16"/>
      <c r="G13" s="16"/>
      <c r="H13" s="12"/>
      <c r="I13" s="12"/>
      <c r="J13" s="12"/>
      <c r="K13" s="12"/>
      <c r="L13" s="12"/>
      <c r="M13" s="12"/>
      <c r="N13" s="12"/>
      <c r="O13" s="12" t="str">
        <f>IFERROR(INDEX(_courses_lookup!$C:$C,MATCH(K13&amp;L13,_courses_lookup!$E:$E,0)),"")</f>
        <v/>
      </c>
      <c r="P13" s="12" t="str">
        <f>IFERROR(INDEX(_courses_lookup!$D:$D,MATCH(K13&amp;L13,_courses_lookup!$E:$E,0)),"")</f>
        <v/>
      </c>
      <c r="Q13" s="12"/>
      <c r="R13" s="12"/>
      <c r="S13" s="12"/>
      <c r="T13" s="12"/>
      <c r="U13" s="12"/>
      <c r="V13" s="12"/>
      <c r="W13" s="12"/>
      <c r="X13" s="12"/>
      <c r="Y13" s="8"/>
      <c r="Z13" s="12"/>
      <c r="AA13" s="12"/>
      <c r="AB13" s="12"/>
      <c r="AC13" s="12"/>
      <c r="AD13" s="12"/>
      <c r="AE13" s="12"/>
      <c r="AF13" s="12"/>
      <c r="AG13" s="12" t="str">
        <f t="shared" si="0"/>
        <v/>
      </c>
      <c r="AH13" s="12"/>
      <c r="AI13" s="12" t="str">
        <f t="shared" si="1"/>
        <v/>
      </c>
      <c r="AJ13" s="12"/>
      <c r="AK13" s="12"/>
      <c r="AL13" s="12" t="str">
        <f t="shared" si="2"/>
        <v/>
      </c>
      <c r="AM13" s="12"/>
      <c r="AN13" s="12" t="str">
        <f t="shared" si="3"/>
        <v/>
      </c>
      <c r="AO13" s="12"/>
      <c r="AP13" s="12"/>
      <c r="AQ13" s="12" t="str">
        <f t="shared" si="4"/>
        <v/>
      </c>
      <c r="AR13" s="12" t="str">
        <f t="shared" si="5"/>
        <v/>
      </c>
      <c r="AS13" s="12" t="str">
        <f t="shared" si="6"/>
        <v/>
      </c>
      <c r="AT13" s="12" t="str">
        <f t="shared" si="7"/>
        <v/>
      </c>
      <c r="AU13" s="12"/>
      <c r="AV13" s="12"/>
      <c r="AW13" s="12"/>
      <c r="AX13" s="12"/>
      <c r="AY13" s="12"/>
      <c r="AZ13" s="8"/>
      <c r="BA13" s="12"/>
      <c r="BB13" s="12"/>
      <c r="BC13" s="12"/>
      <c r="BD13" s="12"/>
      <c r="BE13" s="12"/>
      <c r="BF13" s="12"/>
      <c r="BG13" s="12" t="str">
        <f t="shared" si="8"/>
        <v/>
      </c>
      <c r="BH13" s="12" t="str">
        <f t="shared" si="9"/>
        <v/>
      </c>
      <c r="BI13" s="12"/>
      <c r="BJ13" s="12"/>
      <c r="BK13" s="8" t="str">
        <f>IF($BJ13="","",IFERROR(INDEX(InstructorMap!$B:$B, MATCH($BJ13, InstructorMap!$A:$A, 0)),""))</f>
        <v/>
      </c>
      <c r="BL13" s="8" t="str">
        <f>IFERROR(INDEX(_names_lookup!$C:$C,MATCH(BK13,_names_lookup!$A:$A,0)),"")</f>
        <v/>
      </c>
      <c r="BM13" s="12" t="str">
        <f>IFERROR(INDEX(_names_lookup!$B:$B,MATCH(BK13,_names_lookup!$A:$A,0)),"")</f>
        <v/>
      </c>
      <c r="BN13" s="12"/>
      <c r="BO13" s="12"/>
      <c r="BP13" s="12"/>
      <c r="BQ13" s="12"/>
      <c r="BR13" s="12"/>
      <c r="BS13" s="12" t="str">
        <f t="shared" si="10"/>
        <v/>
      </c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</row>
    <row r="14" spans="1:121" ht="16" customHeight="1" x14ac:dyDescent="0.2">
      <c r="A14" s="16"/>
      <c r="B14" s="16"/>
      <c r="C14" s="16"/>
      <c r="D14" s="16"/>
      <c r="E14" s="16"/>
      <c r="F14" s="16"/>
      <c r="G14" s="16"/>
      <c r="H14" s="12"/>
      <c r="I14" s="12"/>
      <c r="J14" s="12"/>
      <c r="K14" s="12"/>
      <c r="L14" s="12"/>
      <c r="M14" s="12"/>
      <c r="N14" s="12"/>
      <c r="O14" s="12" t="str">
        <f>IFERROR(INDEX(_courses_lookup!$C:$C,MATCH(K14&amp;L14,_courses_lookup!$E:$E,0)),"")</f>
        <v/>
      </c>
      <c r="P14" s="12" t="str">
        <f>IFERROR(INDEX(_courses_lookup!$D:$D,MATCH(K14&amp;L14,_courses_lookup!$E:$E,0)),"")</f>
        <v/>
      </c>
      <c r="Q14" s="12"/>
      <c r="R14" s="12"/>
      <c r="S14" s="12"/>
      <c r="T14" s="12"/>
      <c r="U14" s="12"/>
      <c r="V14" s="12"/>
      <c r="W14" s="12"/>
      <c r="X14" s="12"/>
      <c r="Y14" s="8"/>
      <c r="Z14" s="12"/>
      <c r="AA14" s="12"/>
      <c r="AB14" s="12"/>
      <c r="AC14" s="12"/>
      <c r="AD14" s="12"/>
      <c r="AE14" s="12"/>
      <c r="AF14" s="12"/>
      <c r="AG14" s="12" t="str">
        <f t="shared" si="0"/>
        <v/>
      </c>
      <c r="AH14" s="12"/>
      <c r="AI14" s="12" t="str">
        <f t="shared" si="1"/>
        <v/>
      </c>
      <c r="AJ14" s="12"/>
      <c r="AK14" s="12"/>
      <c r="AL14" s="12" t="str">
        <f t="shared" si="2"/>
        <v/>
      </c>
      <c r="AM14" s="12"/>
      <c r="AN14" s="12" t="str">
        <f t="shared" si="3"/>
        <v/>
      </c>
      <c r="AO14" s="12"/>
      <c r="AP14" s="12"/>
      <c r="AQ14" s="12" t="str">
        <f t="shared" si="4"/>
        <v/>
      </c>
      <c r="AR14" s="12" t="str">
        <f t="shared" si="5"/>
        <v/>
      </c>
      <c r="AS14" s="12" t="str">
        <f t="shared" si="6"/>
        <v/>
      </c>
      <c r="AT14" s="12" t="str">
        <f t="shared" si="7"/>
        <v/>
      </c>
      <c r="AU14" s="12"/>
      <c r="AV14" s="12"/>
      <c r="AW14" s="12"/>
      <c r="AX14" s="12"/>
      <c r="AY14" s="12"/>
      <c r="AZ14" s="8"/>
      <c r="BA14" s="12"/>
      <c r="BB14" s="12"/>
      <c r="BC14" s="12"/>
      <c r="BD14" s="12"/>
      <c r="BE14" s="12"/>
      <c r="BF14" s="12"/>
      <c r="BG14" s="12" t="str">
        <f t="shared" si="8"/>
        <v/>
      </c>
      <c r="BH14" s="12" t="str">
        <f t="shared" si="9"/>
        <v/>
      </c>
      <c r="BI14" s="12"/>
      <c r="BJ14" s="12"/>
      <c r="BK14" s="8" t="str">
        <f>IF($BJ14="","",IFERROR(INDEX(InstructorMap!$B:$B, MATCH($BJ14, InstructorMap!$A:$A, 0)),""))</f>
        <v/>
      </c>
      <c r="BL14" s="8" t="str">
        <f>IFERROR(INDEX(_names_lookup!$C:$C,MATCH(BK14,_names_lookup!$A:$A,0)),"")</f>
        <v/>
      </c>
      <c r="BM14" s="12" t="str">
        <f>IFERROR(INDEX(_names_lookup!$B:$B,MATCH(BK14,_names_lookup!$A:$A,0)),"")</f>
        <v/>
      </c>
      <c r="BN14" s="12"/>
      <c r="BO14" s="12"/>
      <c r="BP14" s="12"/>
      <c r="BQ14" s="12"/>
      <c r="BR14" s="12"/>
      <c r="BS14" s="12" t="str">
        <f t="shared" si="10"/>
        <v/>
      </c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</row>
    <row r="15" spans="1:121" ht="16" customHeight="1" x14ac:dyDescent="0.2">
      <c r="A15" s="16"/>
      <c r="B15" s="16"/>
      <c r="C15" s="16"/>
      <c r="D15" s="16"/>
      <c r="E15" s="16"/>
      <c r="F15" s="16"/>
      <c r="G15" s="16"/>
      <c r="H15" s="12"/>
      <c r="I15" s="12"/>
      <c r="J15" s="12"/>
      <c r="K15" s="12"/>
      <c r="L15" s="12"/>
      <c r="M15" s="12"/>
      <c r="N15" s="12"/>
      <c r="O15" s="12" t="str">
        <f>IFERROR(INDEX(_courses_lookup!$C:$C,MATCH(K15&amp;L15,_courses_lookup!$E:$E,0)),"")</f>
        <v/>
      </c>
      <c r="P15" s="12" t="str">
        <f>IFERROR(INDEX(_courses_lookup!$D:$D,MATCH(K15&amp;L15,_courses_lookup!$E:$E,0)),"")</f>
        <v/>
      </c>
      <c r="Q15" s="12"/>
      <c r="R15" s="12"/>
      <c r="S15" s="12"/>
      <c r="T15" s="12"/>
      <c r="U15" s="12"/>
      <c r="V15" s="12"/>
      <c r="W15" s="12"/>
      <c r="X15" s="12"/>
      <c r="Y15" s="8"/>
      <c r="Z15" s="12"/>
      <c r="AA15" s="12"/>
      <c r="AB15" s="12"/>
      <c r="AC15" s="12"/>
      <c r="AD15" s="12"/>
      <c r="AE15" s="12"/>
      <c r="AF15" s="12"/>
      <c r="AG15" s="12" t="str">
        <f t="shared" si="0"/>
        <v/>
      </c>
      <c r="AH15" s="12"/>
      <c r="AI15" s="12" t="str">
        <f t="shared" si="1"/>
        <v/>
      </c>
      <c r="AJ15" s="12"/>
      <c r="AK15" s="12"/>
      <c r="AL15" s="12" t="str">
        <f t="shared" si="2"/>
        <v/>
      </c>
      <c r="AM15" s="12"/>
      <c r="AN15" s="12" t="str">
        <f t="shared" si="3"/>
        <v/>
      </c>
      <c r="AO15" s="12"/>
      <c r="AP15" s="12"/>
      <c r="AQ15" s="12" t="str">
        <f t="shared" si="4"/>
        <v/>
      </c>
      <c r="AR15" s="12" t="str">
        <f t="shared" si="5"/>
        <v/>
      </c>
      <c r="AS15" s="12" t="str">
        <f t="shared" si="6"/>
        <v/>
      </c>
      <c r="AT15" s="12" t="str">
        <f t="shared" si="7"/>
        <v/>
      </c>
      <c r="AU15" s="12"/>
      <c r="AV15" s="12"/>
      <c r="AW15" s="12"/>
      <c r="AX15" s="12"/>
      <c r="AY15" s="12"/>
      <c r="AZ15" s="8"/>
      <c r="BA15" s="12"/>
      <c r="BB15" s="12"/>
      <c r="BC15" s="12"/>
      <c r="BD15" s="12"/>
      <c r="BE15" s="12"/>
      <c r="BF15" s="12"/>
      <c r="BG15" s="12" t="str">
        <f t="shared" si="8"/>
        <v/>
      </c>
      <c r="BH15" s="12" t="str">
        <f t="shared" si="9"/>
        <v/>
      </c>
      <c r="BI15" s="12"/>
      <c r="BJ15" s="12"/>
      <c r="BK15" s="8" t="str">
        <f>IF($BJ15="","",IFERROR(INDEX(InstructorMap!$B:$B, MATCH($BJ15, InstructorMap!$A:$A, 0)),""))</f>
        <v/>
      </c>
      <c r="BL15" s="8" t="str">
        <f>IFERROR(INDEX(_names_lookup!$C:$C,MATCH(BK15,_names_lookup!$A:$A,0)),"")</f>
        <v/>
      </c>
      <c r="BM15" s="12" t="str">
        <f>IFERROR(INDEX(_names_lookup!$B:$B,MATCH(BK15,_names_lookup!$A:$A,0)),"")</f>
        <v/>
      </c>
      <c r="BN15" s="12"/>
      <c r="BO15" s="12"/>
      <c r="BP15" s="12"/>
      <c r="BQ15" s="12"/>
      <c r="BR15" s="12"/>
      <c r="BS15" s="12" t="str">
        <f t="shared" si="10"/>
        <v/>
      </c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</row>
    <row r="16" spans="1:121" ht="16" customHeight="1" x14ac:dyDescent="0.2">
      <c r="A16" s="16"/>
      <c r="B16" s="16"/>
      <c r="C16" s="16"/>
      <c r="D16" s="16"/>
      <c r="E16" s="16"/>
      <c r="F16" s="16"/>
      <c r="G16" s="16"/>
      <c r="H16" s="12"/>
      <c r="I16" s="12"/>
      <c r="J16" s="12"/>
      <c r="K16" s="12"/>
      <c r="L16" s="12"/>
      <c r="M16" s="12"/>
      <c r="N16" s="12"/>
      <c r="O16" s="12" t="str">
        <f>IFERROR(INDEX(_courses_lookup!$C:$C,MATCH(K16&amp;L16,_courses_lookup!$E:$E,0)),"")</f>
        <v/>
      </c>
      <c r="P16" s="12" t="str">
        <f>IFERROR(INDEX(_courses_lookup!$D:$D,MATCH(K16&amp;L16,_courses_lookup!$E:$E,0)),"")</f>
        <v/>
      </c>
      <c r="Q16" s="12"/>
      <c r="R16" s="12"/>
      <c r="S16" s="12"/>
      <c r="T16" s="12"/>
      <c r="U16" s="12"/>
      <c r="V16" s="12"/>
      <c r="W16" s="12"/>
      <c r="X16" s="12"/>
      <c r="Y16" s="8"/>
      <c r="Z16" s="12"/>
      <c r="AA16" s="12"/>
      <c r="AB16" s="12"/>
      <c r="AC16" s="12"/>
      <c r="AD16" s="12"/>
      <c r="AE16" s="12"/>
      <c r="AF16" s="12"/>
      <c r="AG16" s="12" t="str">
        <f t="shared" si="0"/>
        <v/>
      </c>
      <c r="AH16" s="12"/>
      <c r="AI16" s="12" t="str">
        <f t="shared" si="1"/>
        <v/>
      </c>
      <c r="AJ16" s="12"/>
      <c r="AK16" s="12"/>
      <c r="AL16" s="12" t="str">
        <f t="shared" si="2"/>
        <v/>
      </c>
      <c r="AM16" s="12"/>
      <c r="AN16" s="12" t="str">
        <f t="shared" si="3"/>
        <v/>
      </c>
      <c r="AO16" s="12"/>
      <c r="AP16" s="12"/>
      <c r="AQ16" s="12" t="str">
        <f t="shared" si="4"/>
        <v/>
      </c>
      <c r="AR16" s="12" t="str">
        <f t="shared" si="5"/>
        <v/>
      </c>
      <c r="AS16" s="12" t="str">
        <f t="shared" si="6"/>
        <v/>
      </c>
      <c r="AT16" s="12" t="str">
        <f t="shared" si="7"/>
        <v/>
      </c>
      <c r="AU16" s="12"/>
      <c r="AV16" s="12"/>
      <c r="AW16" s="12"/>
      <c r="AX16" s="12"/>
      <c r="AY16" s="12"/>
      <c r="AZ16" s="8"/>
      <c r="BA16" s="12"/>
      <c r="BB16" s="12"/>
      <c r="BC16" s="12"/>
      <c r="BD16" s="12"/>
      <c r="BE16" s="12"/>
      <c r="BF16" s="12"/>
      <c r="BG16" s="12" t="str">
        <f t="shared" si="8"/>
        <v/>
      </c>
      <c r="BH16" s="12" t="str">
        <f t="shared" si="9"/>
        <v/>
      </c>
      <c r="BI16" s="12"/>
      <c r="BJ16" s="12"/>
      <c r="BK16" s="8" t="str">
        <f>IF($BJ16="","",IFERROR(INDEX(InstructorMap!$B:$B, MATCH($BJ16, InstructorMap!$A:$A, 0)),""))</f>
        <v/>
      </c>
      <c r="BL16" s="8" t="str">
        <f>IFERROR(INDEX(_names_lookup!$C:$C,MATCH(BK16,_names_lookup!$A:$A,0)),"")</f>
        <v/>
      </c>
      <c r="BM16" s="12" t="str">
        <f>IFERROR(INDEX(_names_lookup!$B:$B,MATCH(BK16,_names_lookup!$A:$A,0)),"")</f>
        <v/>
      </c>
      <c r="BN16" s="12"/>
      <c r="BO16" s="12"/>
      <c r="BP16" s="12"/>
      <c r="BQ16" s="12"/>
      <c r="BR16" s="12"/>
      <c r="BS16" s="12" t="str">
        <f t="shared" si="10"/>
        <v/>
      </c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</row>
    <row r="17" spans="1:121" ht="16" customHeight="1" x14ac:dyDescent="0.2">
      <c r="A17" s="16"/>
      <c r="B17" s="16"/>
      <c r="C17" s="16"/>
      <c r="D17" s="16"/>
      <c r="E17" s="16"/>
      <c r="F17" s="16"/>
      <c r="G17" s="16"/>
      <c r="H17" s="12"/>
      <c r="I17" s="12"/>
      <c r="J17" s="12"/>
      <c r="K17" s="12"/>
      <c r="L17" s="12"/>
      <c r="M17" s="12"/>
      <c r="N17" s="12"/>
      <c r="O17" s="12" t="str">
        <f>IFERROR(INDEX(_courses_lookup!$C:$C,MATCH(K17&amp;L17,_courses_lookup!$E:$E,0)),"")</f>
        <v/>
      </c>
      <c r="P17" s="12" t="str">
        <f>IFERROR(INDEX(_courses_lookup!$D:$D,MATCH(K17&amp;L17,_courses_lookup!$E:$E,0)),"")</f>
        <v/>
      </c>
      <c r="Q17" s="12"/>
      <c r="R17" s="12"/>
      <c r="S17" s="12"/>
      <c r="T17" s="12"/>
      <c r="U17" s="12"/>
      <c r="V17" s="12"/>
      <c r="W17" s="12"/>
      <c r="X17" s="12"/>
      <c r="Y17" s="8"/>
      <c r="Z17" s="12"/>
      <c r="AA17" s="12"/>
      <c r="AB17" s="12"/>
      <c r="AC17" s="12"/>
      <c r="AD17" s="12"/>
      <c r="AE17" s="12"/>
      <c r="AF17" s="12"/>
      <c r="AG17" s="12" t="str">
        <f t="shared" si="0"/>
        <v/>
      </c>
      <c r="AH17" s="12"/>
      <c r="AI17" s="12" t="str">
        <f t="shared" si="1"/>
        <v/>
      </c>
      <c r="AJ17" s="12"/>
      <c r="AK17" s="12"/>
      <c r="AL17" s="12" t="str">
        <f t="shared" si="2"/>
        <v/>
      </c>
      <c r="AM17" s="12"/>
      <c r="AN17" s="12" t="str">
        <f t="shared" si="3"/>
        <v/>
      </c>
      <c r="AO17" s="12"/>
      <c r="AP17" s="12"/>
      <c r="AQ17" s="12" t="str">
        <f t="shared" si="4"/>
        <v/>
      </c>
      <c r="AR17" s="12" t="str">
        <f t="shared" si="5"/>
        <v/>
      </c>
      <c r="AS17" s="12" t="str">
        <f t="shared" si="6"/>
        <v/>
      </c>
      <c r="AT17" s="12" t="str">
        <f t="shared" si="7"/>
        <v/>
      </c>
      <c r="AU17" s="12"/>
      <c r="AV17" s="12"/>
      <c r="AW17" s="12"/>
      <c r="AX17" s="12"/>
      <c r="AY17" s="12"/>
      <c r="AZ17" s="8"/>
      <c r="BA17" s="12"/>
      <c r="BB17" s="12"/>
      <c r="BC17" s="12"/>
      <c r="BD17" s="12"/>
      <c r="BE17" s="12"/>
      <c r="BF17" s="12"/>
      <c r="BG17" s="12" t="str">
        <f t="shared" si="8"/>
        <v/>
      </c>
      <c r="BH17" s="12" t="str">
        <f t="shared" si="9"/>
        <v/>
      </c>
      <c r="BI17" s="12"/>
      <c r="BJ17" s="12"/>
      <c r="BK17" s="8" t="str">
        <f>IF($BJ17="","",IFERROR(INDEX(InstructorMap!$B:$B, MATCH($BJ17, InstructorMap!$A:$A, 0)),""))</f>
        <v/>
      </c>
      <c r="BL17" s="8" t="str">
        <f>IFERROR(INDEX(_names_lookup!$C:$C,MATCH(BK17,_names_lookup!$A:$A,0)),"")</f>
        <v/>
      </c>
      <c r="BM17" s="12" t="str">
        <f>IFERROR(INDEX(_names_lookup!$B:$B,MATCH(BK17,_names_lookup!$A:$A,0)),"")</f>
        <v/>
      </c>
      <c r="BN17" s="12"/>
      <c r="BO17" s="12"/>
      <c r="BP17" s="12"/>
      <c r="BQ17" s="12"/>
      <c r="BR17" s="12"/>
      <c r="BS17" s="12" t="str">
        <f t="shared" si="10"/>
        <v/>
      </c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</row>
    <row r="18" spans="1:121" ht="16" customHeight="1" x14ac:dyDescent="0.2">
      <c r="A18" s="16"/>
      <c r="B18" s="16"/>
      <c r="C18" s="16"/>
      <c r="D18" s="16"/>
      <c r="E18" s="16"/>
      <c r="F18" s="16"/>
      <c r="G18" s="16"/>
      <c r="H18" s="12"/>
      <c r="I18" s="12"/>
      <c r="J18" s="12"/>
      <c r="K18" s="12"/>
      <c r="L18" s="12"/>
      <c r="M18" s="12"/>
      <c r="N18" s="12"/>
      <c r="O18" s="12" t="str">
        <f>IFERROR(INDEX(_courses_lookup!$C:$C,MATCH(K18&amp;L18,_courses_lookup!$E:$E,0)),"")</f>
        <v/>
      </c>
      <c r="P18" s="12" t="str">
        <f>IFERROR(INDEX(_courses_lookup!$D:$D,MATCH(K18&amp;L18,_courses_lookup!$E:$E,0)),"")</f>
        <v/>
      </c>
      <c r="Q18" s="12"/>
      <c r="R18" s="12"/>
      <c r="S18" s="12"/>
      <c r="T18" s="12"/>
      <c r="U18" s="12"/>
      <c r="V18" s="12"/>
      <c r="W18" s="12"/>
      <c r="X18" s="12"/>
      <c r="Y18" s="8"/>
      <c r="Z18" s="12"/>
      <c r="AA18" s="12"/>
      <c r="AB18" s="12"/>
      <c r="AC18" s="12"/>
      <c r="AD18" s="12"/>
      <c r="AE18" s="12"/>
      <c r="AF18" s="12"/>
      <c r="AG18" s="12" t="str">
        <f t="shared" si="0"/>
        <v/>
      </c>
      <c r="AH18" s="12"/>
      <c r="AI18" s="12" t="str">
        <f t="shared" si="1"/>
        <v/>
      </c>
      <c r="AJ18" s="12"/>
      <c r="AK18" s="12"/>
      <c r="AL18" s="12" t="str">
        <f t="shared" si="2"/>
        <v/>
      </c>
      <c r="AM18" s="12"/>
      <c r="AN18" s="12" t="str">
        <f t="shared" si="3"/>
        <v/>
      </c>
      <c r="AO18" s="12"/>
      <c r="AP18" s="12"/>
      <c r="AQ18" s="12" t="str">
        <f t="shared" si="4"/>
        <v/>
      </c>
      <c r="AR18" s="12" t="str">
        <f t="shared" si="5"/>
        <v/>
      </c>
      <c r="AS18" s="12" t="str">
        <f t="shared" si="6"/>
        <v/>
      </c>
      <c r="AT18" s="12" t="str">
        <f t="shared" si="7"/>
        <v/>
      </c>
      <c r="AU18" s="12"/>
      <c r="AV18" s="12"/>
      <c r="AW18" s="12"/>
      <c r="AX18" s="12"/>
      <c r="AY18" s="12"/>
      <c r="AZ18" s="8"/>
      <c r="BA18" s="12"/>
      <c r="BB18" s="12"/>
      <c r="BC18" s="12"/>
      <c r="BD18" s="12"/>
      <c r="BE18" s="12"/>
      <c r="BF18" s="12"/>
      <c r="BG18" s="12" t="str">
        <f t="shared" si="8"/>
        <v/>
      </c>
      <c r="BH18" s="12" t="str">
        <f t="shared" si="9"/>
        <v/>
      </c>
      <c r="BI18" s="12"/>
      <c r="BJ18" s="12"/>
      <c r="BK18" s="8" t="str">
        <f>IF($BJ18="","",IFERROR(INDEX(InstructorMap!$B:$B, MATCH($BJ18, InstructorMap!$A:$A, 0)),""))</f>
        <v/>
      </c>
      <c r="BL18" s="8" t="str">
        <f>IFERROR(INDEX(_names_lookup!$C:$C,MATCH(BK18,_names_lookup!$A:$A,0)),"")</f>
        <v/>
      </c>
      <c r="BM18" s="12" t="str">
        <f>IFERROR(INDEX(_names_lookup!$B:$B,MATCH(BK18,_names_lookup!$A:$A,0)),"")</f>
        <v/>
      </c>
      <c r="BN18" s="12"/>
      <c r="BO18" s="12"/>
      <c r="BP18" s="12"/>
      <c r="BQ18" s="12"/>
      <c r="BR18" s="12"/>
      <c r="BS18" s="12" t="str">
        <f t="shared" si="10"/>
        <v/>
      </c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</row>
    <row r="19" spans="1:121" ht="16" customHeight="1" x14ac:dyDescent="0.2">
      <c r="A19" s="16"/>
      <c r="B19" s="16"/>
      <c r="C19" s="16"/>
      <c r="D19" s="16"/>
      <c r="E19" s="16"/>
      <c r="F19" s="16"/>
      <c r="G19" s="16"/>
      <c r="H19" s="12"/>
      <c r="I19" s="12"/>
      <c r="J19" s="12"/>
      <c r="K19" s="12"/>
      <c r="L19" s="12"/>
      <c r="M19" s="12"/>
      <c r="N19" s="12"/>
      <c r="O19" s="12" t="str">
        <f>IFERROR(INDEX(_courses_lookup!$C:$C,MATCH(K19&amp;L19,_courses_lookup!$E:$E,0)),"")</f>
        <v/>
      </c>
      <c r="P19" s="12" t="str">
        <f>IFERROR(INDEX(_courses_lookup!$D:$D,MATCH(K19&amp;L19,_courses_lookup!$E:$E,0)),"")</f>
        <v/>
      </c>
      <c r="Q19" s="12"/>
      <c r="R19" s="12"/>
      <c r="S19" s="12"/>
      <c r="T19" s="12"/>
      <c r="U19" s="12"/>
      <c r="V19" s="12"/>
      <c r="W19" s="12"/>
      <c r="X19" s="12"/>
      <c r="Y19" s="8"/>
      <c r="Z19" s="12"/>
      <c r="AA19" s="12"/>
      <c r="AB19" s="12"/>
      <c r="AC19" s="12"/>
      <c r="AD19" s="12"/>
      <c r="AE19" s="12"/>
      <c r="AF19" s="12"/>
      <c r="AG19" s="12" t="str">
        <f t="shared" si="0"/>
        <v/>
      </c>
      <c r="AH19" s="12"/>
      <c r="AI19" s="12" t="str">
        <f t="shared" si="1"/>
        <v/>
      </c>
      <c r="AJ19" s="12"/>
      <c r="AK19" s="12"/>
      <c r="AL19" s="12" t="str">
        <f t="shared" si="2"/>
        <v/>
      </c>
      <c r="AM19" s="12"/>
      <c r="AN19" s="12" t="str">
        <f t="shared" si="3"/>
        <v/>
      </c>
      <c r="AO19" s="12"/>
      <c r="AP19" s="12"/>
      <c r="AQ19" s="12" t="str">
        <f t="shared" si="4"/>
        <v/>
      </c>
      <c r="AR19" s="12" t="str">
        <f t="shared" si="5"/>
        <v/>
      </c>
      <c r="AS19" s="12" t="str">
        <f t="shared" si="6"/>
        <v/>
      </c>
      <c r="AT19" s="12" t="str">
        <f t="shared" si="7"/>
        <v/>
      </c>
      <c r="AU19" s="12"/>
      <c r="AV19" s="12"/>
      <c r="AW19" s="12"/>
      <c r="AX19" s="12"/>
      <c r="AY19" s="12"/>
      <c r="AZ19" s="8"/>
      <c r="BA19" s="12"/>
      <c r="BB19" s="12"/>
      <c r="BC19" s="12"/>
      <c r="BD19" s="12"/>
      <c r="BE19" s="12"/>
      <c r="BF19" s="12"/>
      <c r="BG19" s="12" t="str">
        <f t="shared" si="8"/>
        <v/>
      </c>
      <c r="BH19" s="12" t="str">
        <f t="shared" si="9"/>
        <v/>
      </c>
      <c r="BI19" s="12"/>
      <c r="BJ19" s="12"/>
      <c r="BK19" s="8" t="str">
        <f>IF($BJ19="","",IFERROR(INDEX(InstructorMap!$B:$B, MATCH($BJ19, InstructorMap!$A:$A, 0)),""))</f>
        <v/>
      </c>
      <c r="BL19" s="8" t="str">
        <f>IFERROR(INDEX(_names_lookup!$C:$C,MATCH(BK19,_names_lookup!$A:$A,0)),"")</f>
        <v/>
      </c>
      <c r="BM19" s="12" t="str">
        <f>IFERROR(INDEX(_names_lookup!$B:$B,MATCH(BK19,_names_lookup!$A:$A,0)),"")</f>
        <v/>
      </c>
      <c r="BN19" s="12"/>
      <c r="BO19" s="12"/>
      <c r="BP19" s="12"/>
      <c r="BQ19" s="12"/>
      <c r="BR19" s="12"/>
      <c r="BS19" s="12" t="str">
        <f t="shared" si="10"/>
        <v/>
      </c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</row>
    <row r="20" spans="1:121" ht="16" customHeight="1" x14ac:dyDescent="0.2">
      <c r="A20" s="16"/>
      <c r="B20" s="16"/>
      <c r="C20" s="16"/>
      <c r="D20" s="16"/>
      <c r="E20" s="16"/>
      <c r="F20" s="16"/>
      <c r="G20" s="16"/>
      <c r="H20" s="12"/>
      <c r="I20" s="12"/>
      <c r="J20" s="12"/>
      <c r="K20" s="12"/>
      <c r="L20" s="12"/>
      <c r="M20" s="12"/>
      <c r="N20" s="12"/>
      <c r="O20" s="12" t="str">
        <f>IFERROR(INDEX(_courses_lookup!$C:$C,MATCH(K20&amp;L20,_courses_lookup!$E:$E,0)),"")</f>
        <v/>
      </c>
      <c r="P20" s="12" t="str">
        <f>IFERROR(INDEX(_courses_lookup!$D:$D,MATCH(K20&amp;L20,_courses_lookup!$E:$E,0)),"")</f>
        <v/>
      </c>
      <c r="Q20" s="12"/>
      <c r="R20" s="12"/>
      <c r="S20" s="12"/>
      <c r="T20" s="12"/>
      <c r="U20" s="12"/>
      <c r="V20" s="12"/>
      <c r="W20" s="12"/>
      <c r="X20" s="12"/>
      <c r="Y20" s="8"/>
      <c r="Z20" s="12"/>
      <c r="AA20" s="12"/>
      <c r="AB20" s="12"/>
      <c r="AC20" s="12"/>
      <c r="AD20" s="12"/>
      <c r="AE20" s="12"/>
      <c r="AF20" s="12"/>
      <c r="AG20" s="12" t="str">
        <f t="shared" si="0"/>
        <v/>
      </c>
      <c r="AH20" s="12"/>
      <c r="AI20" s="12" t="str">
        <f t="shared" si="1"/>
        <v/>
      </c>
      <c r="AJ20" s="12"/>
      <c r="AK20" s="12"/>
      <c r="AL20" s="12" t="str">
        <f t="shared" si="2"/>
        <v/>
      </c>
      <c r="AM20" s="12"/>
      <c r="AN20" s="12" t="str">
        <f t="shared" si="3"/>
        <v/>
      </c>
      <c r="AO20" s="12"/>
      <c r="AP20" s="12"/>
      <c r="AQ20" s="12" t="str">
        <f t="shared" si="4"/>
        <v/>
      </c>
      <c r="AR20" s="12" t="str">
        <f t="shared" si="5"/>
        <v/>
      </c>
      <c r="AS20" s="12" t="str">
        <f t="shared" si="6"/>
        <v/>
      </c>
      <c r="AT20" s="12" t="str">
        <f t="shared" si="7"/>
        <v/>
      </c>
      <c r="AU20" s="12"/>
      <c r="AV20" s="12"/>
      <c r="AW20" s="12"/>
      <c r="AX20" s="12"/>
      <c r="AY20" s="12"/>
      <c r="AZ20" s="8"/>
      <c r="BA20" s="12"/>
      <c r="BB20" s="12"/>
      <c r="BC20" s="12"/>
      <c r="BD20" s="12"/>
      <c r="BE20" s="12"/>
      <c r="BF20" s="12"/>
      <c r="BG20" s="12" t="str">
        <f t="shared" si="8"/>
        <v/>
      </c>
      <c r="BH20" s="12" t="str">
        <f t="shared" si="9"/>
        <v/>
      </c>
      <c r="BI20" s="12"/>
      <c r="BJ20" s="12"/>
      <c r="BK20" s="8" t="str">
        <f>IF($BJ20="","",IFERROR(INDEX(InstructorMap!$B:$B, MATCH($BJ20, InstructorMap!$A:$A, 0)),""))</f>
        <v/>
      </c>
      <c r="BL20" s="8" t="str">
        <f>IFERROR(INDEX(_names_lookup!$C:$C,MATCH(BK20,_names_lookup!$A:$A,0)),"")</f>
        <v/>
      </c>
      <c r="BM20" s="12" t="str">
        <f>IFERROR(INDEX(_names_lookup!$B:$B,MATCH(BK20,_names_lookup!$A:$A,0)),"")</f>
        <v/>
      </c>
      <c r="BN20" s="12"/>
      <c r="BO20" s="12"/>
      <c r="BP20" s="12"/>
      <c r="BQ20" s="12"/>
      <c r="BR20" s="12"/>
      <c r="BS20" s="12" t="str">
        <f t="shared" si="10"/>
        <v/>
      </c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</row>
    <row r="21" spans="1:121" ht="16" customHeight="1" x14ac:dyDescent="0.2">
      <c r="A21" s="16"/>
      <c r="B21" s="16"/>
      <c r="C21" s="16"/>
      <c r="D21" s="16"/>
      <c r="E21" s="16"/>
      <c r="F21" s="16"/>
      <c r="G21" s="16"/>
      <c r="H21" s="12"/>
      <c r="I21" s="12"/>
      <c r="J21" s="12"/>
      <c r="K21" s="12"/>
      <c r="L21" s="12"/>
      <c r="M21" s="12"/>
      <c r="N21" s="12"/>
      <c r="O21" s="12" t="str">
        <f>IFERROR(INDEX(_courses_lookup!$C:$C,MATCH(K21&amp;L21,_courses_lookup!$E:$E,0)),"")</f>
        <v/>
      </c>
      <c r="P21" s="12" t="str">
        <f>IFERROR(INDEX(_courses_lookup!$D:$D,MATCH(K21&amp;L21,_courses_lookup!$E:$E,0)),"")</f>
        <v/>
      </c>
      <c r="Q21" s="12"/>
      <c r="R21" s="12"/>
      <c r="S21" s="12"/>
      <c r="T21" s="12"/>
      <c r="U21" s="12"/>
      <c r="V21" s="12"/>
      <c r="W21" s="12"/>
      <c r="X21" s="12"/>
      <c r="Y21" s="8"/>
      <c r="Z21" s="12"/>
      <c r="AA21" s="12"/>
      <c r="AB21" s="12"/>
      <c r="AC21" s="12"/>
      <c r="AD21" s="12"/>
      <c r="AE21" s="12"/>
      <c r="AF21" s="12"/>
      <c r="AG21" s="12" t="str">
        <f t="shared" si="0"/>
        <v/>
      </c>
      <c r="AH21" s="12"/>
      <c r="AI21" s="12" t="str">
        <f t="shared" si="1"/>
        <v/>
      </c>
      <c r="AJ21" s="12"/>
      <c r="AK21" s="12"/>
      <c r="AL21" s="12" t="str">
        <f t="shared" si="2"/>
        <v/>
      </c>
      <c r="AM21" s="12"/>
      <c r="AN21" s="12" t="str">
        <f t="shared" si="3"/>
        <v/>
      </c>
      <c r="AO21" s="12"/>
      <c r="AP21" s="12"/>
      <c r="AQ21" s="12" t="str">
        <f t="shared" si="4"/>
        <v/>
      </c>
      <c r="AR21" s="12" t="str">
        <f t="shared" si="5"/>
        <v/>
      </c>
      <c r="AS21" s="12" t="str">
        <f t="shared" si="6"/>
        <v/>
      </c>
      <c r="AT21" s="12" t="str">
        <f t="shared" si="7"/>
        <v/>
      </c>
      <c r="AU21" s="12"/>
      <c r="AV21" s="12"/>
      <c r="AW21" s="12"/>
      <c r="AX21" s="12"/>
      <c r="AY21" s="12"/>
      <c r="AZ21" s="8"/>
      <c r="BA21" s="12"/>
      <c r="BB21" s="12"/>
      <c r="BC21" s="12"/>
      <c r="BD21" s="12"/>
      <c r="BE21" s="12"/>
      <c r="BF21" s="12"/>
      <c r="BG21" s="12" t="str">
        <f t="shared" si="8"/>
        <v/>
      </c>
      <c r="BH21" s="12" t="str">
        <f t="shared" si="9"/>
        <v/>
      </c>
      <c r="BI21" s="12"/>
      <c r="BJ21" s="12"/>
      <c r="BK21" s="8" t="str">
        <f>IF($BJ21="","",IFERROR(INDEX(InstructorMap!$B:$B, MATCH($BJ21, InstructorMap!$A:$A, 0)),""))</f>
        <v/>
      </c>
      <c r="BL21" s="8" t="str">
        <f>IFERROR(INDEX(_names_lookup!$C:$C,MATCH(BK21,_names_lookup!$A:$A,0)),"")</f>
        <v/>
      </c>
      <c r="BM21" s="12" t="str">
        <f>IFERROR(INDEX(_names_lookup!$B:$B,MATCH(BK21,_names_lookup!$A:$A,0)),"")</f>
        <v/>
      </c>
      <c r="BN21" s="12"/>
      <c r="BO21" s="12"/>
      <c r="BP21" s="12"/>
      <c r="BQ21" s="12"/>
      <c r="BR21" s="12"/>
      <c r="BS21" s="12" t="str">
        <f t="shared" si="10"/>
        <v/>
      </c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</row>
    <row r="22" spans="1:121" ht="16" customHeight="1" x14ac:dyDescent="0.2">
      <c r="A22" s="16"/>
      <c r="B22" s="16"/>
      <c r="C22" s="16"/>
      <c r="D22" s="16"/>
      <c r="E22" s="16"/>
      <c r="F22" s="16"/>
      <c r="G22" s="16"/>
      <c r="H22" s="12"/>
      <c r="I22" s="12"/>
      <c r="J22" s="12"/>
      <c r="K22" s="12"/>
      <c r="L22" s="12"/>
      <c r="M22" s="12"/>
      <c r="N22" s="12"/>
      <c r="O22" s="12" t="str">
        <f>IFERROR(INDEX(_courses_lookup!$C:$C,MATCH(K22&amp;L22,_courses_lookup!$E:$E,0)),"")</f>
        <v/>
      </c>
      <c r="P22" s="12" t="str">
        <f>IFERROR(INDEX(_courses_lookup!$D:$D,MATCH(K22&amp;L22,_courses_lookup!$E:$E,0)),"")</f>
        <v/>
      </c>
      <c r="Q22" s="12"/>
      <c r="R22" s="12"/>
      <c r="S22" s="12"/>
      <c r="T22" s="12"/>
      <c r="U22" s="12"/>
      <c r="V22" s="12"/>
      <c r="W22" s="12"/>
      <c r="X22" s="12"/>
      <c r="Y22" s="8"/>
      <c r="Z22" s="12"/>
      <c r="AA22" s="12"/>
      <c r="AB22" s="12"/>
      <c r="AC22" s="12"/>
      <c r="AD22" s="12"/>
      <c r="AE22" s="12"/>
      <c r="AF22" s="12"/>
      <c r="AG22" s="12" t="str">
        <f t="shared" si="0"/>
        <v/>
      </c>
      <c r="AH22" s="12"/>
      <c r="AI22" s="12" t="str">
        <f t="shared" si="1"/>
        <v/>
      </c>
      <c r="AJ22" s="12"/>
      <c r="AK22" s="12"/>
      <c r="AL22" s="12" t="str">
        <f t="shared" si="2"/>
        <v/>
      </c>
      <c r="AM22" s="12"/>
      <c r="AN22" s="12" t="str">
        <f t="shared" si="3"/>
        <v/>
      </c>
      <c r="AO22" s="12"/>
      <c r="AP22" s="12"/>
      <c r="AQ22" s="12" t="str">
        <f t="shared" si="4"/>
        <v/>
      </c>
      <c r="AR22" s="12" t="str">
        <f t="shared" si="5"/>
        <v/>
      </c>
      <c r="AS22" s="12" t="str">
        <f t="shared" si="6"/>
        <v/>
      </c>
      <c r="AT22" s="12" t="str">
        <f t="shared" si="7"/>
        <v/>
      </c>
      <c r="AU22" s="12"/>
      <c r="AV22" s="12"/>
      <c r="AW22" s="12"/>
      <c r="AX22" s="12"/>
      <c r="AY22" s="12"/>
      <c r="AZ22" s="8"/>
      <c r="BA22" s="12"/>
      <c r="BB22" s="12"/>
      <c r="BC22" s="12"/>
      <c r="BD22" s="12"/>
      <c r="BE22" s="12"/>
      <c r="BF22" s="12"/>
      <c r="BG22" s="12" t="str">
        <f t="shared" si="8"/>
        <v/>
      </c>
      <c r="BH22" s="12" t="str">
        <f t="shared" si="9"/>
        <v/>
      </c>
      <c r="BI22" s="12"/>
      <c r="BJ22" s="12"/>
      <c r="BK22" s="8" t="str">
        <f>IF($BJ22="","",IFERROR(INDEX(InstructorMap!$B:$B, MATCH($BJ22, InstructorMap!$A:$A, 0)),""))</f>
        <v/>
      </c>
      <c r="BL22" s="8" t="str">
        <f>IFERROR(INDEX(_names_lookup!$C:$C,MATCH(BK22,_names_lookup!$A:$A,0)),"")</f>
        <v/>
      </c>
      <c r="BM22" s="12" t="str">
        <f>IFERROR(INDEX(_names_lookup!$B:$B,MATCH(BK22,_names_lookup!$A:$A,0)),"")</f>
        <v/>
      </c>
      <c r="BN22" s="12"/>
      <c r="BO22" s="12"/>
      <c r="BP22" s="12"/>
      <c r="BQ22" s="12"/>
      <c r="BR22" s="12"/>
      <c r="BS22" s="12" t="str">
        <f t="shared" si="10"/>
        <v/>
      </c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</row>
    <row r="23" spans="1:121" ht="16" customHeight="1" x14ac:dyDescent="0.2">
      <c r="A23" s="16"/>
      <c r="B23" s="16"/>
      <c r="C23" s="16"/>
      <c r="D23" s="16"/>
      <c r="E23" s="16"/>
      <c r="F23" s="16"/>
      <c r="G23" s="16"/>
      <c r="H23" s="12"/>
      <c r="I23" s="12"/>
      <c r="J23" s="12"/>
      <c r="K23" s="12"/>
      <c r="L23" s="12"/>
      <c r="M23" s="12"/>
      <c r="N23" s="12"/>
      <c r="O23" s="12" t="str">
        <f>IFERROR(INDEX(_courses_lookup!$C:$C,MATCH(K23&amp;L23,_courses_lookup!$E:$E,0)),"")</f>
        <v/>
      </c>
      <c r="P23" s="12" t="str">
        <f>IFERROR(INDEX(_courses_lookup!$D:$D,MATCH(K23&amp;L23,_courses_lookup!$E:$E,0)),"")</f>
        <v/>
      </c>
      <c r="Q23" s="12"/>
      <c r="R23" s="12"/>
      <c r="S23" s="12"/>
      <c r="T23" s="12"/>
      <c r="U23" s="12"/>
      <c r="V23" s="12"/>
      <c r="W23" s="12"/>
      <c r="X23" s="12"/>
      <c r="Y23" s="8"/>
      <c r="Z23" s="12"/>
      <c r="AA23" s="12"/>
      <c r="AB23" s="12"/>
      <c r="AC23" s="12"/>
      <c r="AD23" s="12"/>
      <c r="AE23" s="12"/>
      <c r="AF23" s="12"/>
      <c r="AG23" s="12" t="str">
        <f t="shared" si="0"/>
        <v/>
      </c>
      <c r="AH23" s="12"/>
      <c r="AI23" s="12" t="str">
        <f t="shared" si="1"/>
        <v/>
      </c>
      <c r="AJ23" s="12"/>
      <c r="AK23" s="12"/>
      <c r="AL23" s="12" t="str">
        <f t="shared" si="2"/>
        <v/>
      </c>
      <c r="AM23" s="12"/>
      <c r="AN23" s="12" t="str">
        <f t="shared" si="3"/>
        <v/>
      </c>
      <c r="AO23" s="12"/>
      <c r="AP23" s="12"/>
      <c r="AQ23" s="12" t="str">
        <f t="shared" si="4"/>
        <v/>
      </c>
      <c r="AR23" s="12" t="str">
        <f t="shared" si="5"/>
        <v/>
      </c>
      <c r="AS23" s="12" t="str">
        <f t="shared" si="6"/>
        <v/>
      </c>
      <c r="AT23" s="12" t="str">
        <f t="shared" si="7"/>
        <v/>
      </c>
      <c r="AU23" s="12"/>
      <c r="AV23" s="12"/>
      <c r="AW23" s="12"/>
      <c r="AX23" s="12"/>
      <c r="AY23" s="12"/>
      <c r="AZ23" s="8"/>
      <c r="BA23" s="12"/>
      <c r="BB23" s="12"/>
      <c r="BC23" s="12"/>
      <c r="BD23" s="12"/>
      <c r="BE23" s="12"/>
      <c r="BF23" s="12"/>
      <c r="BG23" s="12" t="str">
        <f t="shared" si="8"/>
        <v/>
      </c>
      <c r="BH23" s="12" t="str">
        <f t="shared" si="9"/>
        <v/>
      </c>
      <c r="BI23" s="12"/>
      <c r="BJ23" s="12"/>
      <c r="BK23" s="8" t="str">
        <f>IF($BJ23="","",IFERROR(INDEX(InstructorMap!$B:$B, MATCH($BJ23, InstructorMap!$A:$A, 0)),""))</f>
        <v/>
      </c>
      <c r="BL23" s="8" t="str">
        <f>IFERROR(INDEX(_names_lookup!$C:$C,MATCH(BK23,_names_lookup!$A:$A,0)),"")</f>
        <v/>
      </c>
      <c r="BM23" s="12" t="str">
        <f>IFERROR(INDEX(_names_lookup!$B:$B,MATCH(BK23,_names_lookup!$A:$A,0)),"")</f>
        <v/>
      </c>
      <c r="BN23" s="12"/>
      <c r="BO23" s="12"/>
      <c r="BP23" s="12"/>
      <c r="BQ23" s="12"/>
      <c r="BR23" s="12"/>
      <c r="BS23" s="12" t="str">
        <f t="shared" si="10"/>
        <v/>
      </c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</row>
    <row r="24" spans="1:121" ht="16" customHeight="1" x14ac:dyDescent="0.2">
      <c r="A24" s="16"/>
      <c r="B24" s="16"/>
      <c r="C24" s="16"/>
      <c r="D24" s="16"/>
      <c r="E24" s="16"/>
      <c r="F24" s="16"/>
      <c r="G24" s="16"/>
      <c r="H24" s="12"/>
      <c r="I24" s="12"/>
      <c r="J24" s="12"/>
      <c r="K24" s="12"/>
      <c r="L24" s="12"/>
      <c r="M24" s="12"/>
      <c r="N24" s="12"/>
      <c r="O24" s="12" t="str">
        <f>IFERROR(INDEX(_courses_lookup!$C:$C,MATCH(K24&amp;L24,_courses_lookup!$E:$E,0)),"")</f>
        <v/>
      </c>
      <c r="P24" s="12" t="str">
        <f>IFERROR(INDEX(_courses_lookup!$D:$D,MATCH(K24&amp;L24,_courses_lookup!$E:$E,0)),"")</f>
        <v/>
      </c>
      <c r="Q24" s="12"/>
      <c r="R24" s="12"/>
      <c r="S24" s="12"/>
      <c r="T24" s="12"/>
      <c r="U24" s="12"/>
      <c r="V24" s="12"/>
      <c r="W24" s="12"/>
      <c r="X24" s="12"/>
      <c r="Y24" s="8"/>
      <c r="Z24" s="12"/>
      <c r="AA24" s="12"/>
      <c r="AB24" s="12"/>
      <c r="AC24" s="12"/>
      <c r="AD24" s="12"/>
      <c r="AE24" s="12"/>
      <c r="AF24" s="12"/>
      <c r="AG24" s="12" t="str">
        <f t="shared" si="0"/>
        <v/>
      </c>
      <c r="AH24" s="12"/>
      <c r="AI24" s="12" t="str">
        <f t="shared" si="1"/>
        <v/>
      </c>
      <c r="AJ24" s="12"/>
      <c r="AK24" s="12"/>
      <c r="AL24" s="12" t="str">
        <f t="shared" si="2"/>
        <v/>
      </c>
      <c r="AM24" s="12"/>
      <c r="AN24" s="12" t="str">
        <f t="shared" si="3"/>
        <v/>
      </c>
      <c r="AO24" s="12"/>
      <c r="AP24" s="12"/>
      <c r="AQ24" s="12" t="str">
        <f t="shared" si="4"/>
        <v/>
      </c>
      <c r="AR24" s="12" t="str">
        <f t="shared" si="5"/>
        <v/>
      </c>
      <c r="AS24" s="12" t="str">
        <f t="shared" si="6"/>
        <v/>
      </c>
      <c r="AT24" s="12" t="str">
        <f t="shared" si="7"/>
        <v/>
      </c>
      <c r="AU24" s="12"/>
      <c r="AV24" s="12"/>
      <c r="AW24" s="12"/>
      <c r="AX24" s="12"/>
      <c r="AY24" s="12"/>
      <c r="AZ24" s="8"/>
      <c r="BA24" s="12"/>
      <c r="BB24" s="12"/>
      <c r="BC24" s="12"/>
      <c r="BD24" s="12"/>
      <c r="BE24" s="12"/>
      <c r="BF24" s="12"/>
      <c r="BG24" s="12" t="str">
        <f t="shared" si="8"/>
        <v/>
      </c>
      <c r="BH24" s="12" t="str">
        <f t="shared" si="9"/>
        <v/>
      </c>
      <c r="BI24" s="12"/>
      <c r="BJ24" s="12"/>
      <c r="BK24" s="8" t="str">
        <f>IF($BJ24="","",IFERROR(INDEX(InstructorMap!$B:$B, MATCH($BJ24, InstructorMap!$A:$A, 0)),""))</f>
        <v/>
      </c>
      <c r="BL24" s="8" t="str">
        <f>IFERROR(INDEX(_names_lookup!$C:$C,MATCH(BK24,_names_lookup!$A:$A,0)),"")</f>
        <v/>
      </c>
      <c r="BM24" s="12" t="str">
        <f>IFERROR(INDEX(_names_lookup!$B:$B,MATCH(BK24,_names_lookup!$A:$A,0)),"")</f>
        <v/>
      </c>
      <c r="BN24" s="12"/>
      <c r="BO24" s="12"/>
      <c r="BP24" s="12"/>
      <c r="BQ24" s="12"/>
      <c r="BR24" s="12"/>
      <c r="BS24" s="12" t="str">
        <f t="shared" si="10"/>
        <v/>
      </c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</row>
    <row r="25" spans="1:121" ht="16" customHeight="1" x14ac:dyDescent="0.2">
      <c r="A25" s="16"/>
      <c r="B25" s="16"/>
      <c r="C25" s="16"/>
      <c r="D25" s="16"/>
      <c r="E25" s="16"/>
      <c r="F25" s="16"/>
      <c r="G25" s="16"/>
      <c r="H25" s="12"/>
      <c r="I25" s="12"/>
      <c r="J25" s="12"/>
      <c r="K25" s="12"/>
      <c r="L25" s="12"/>
      <c r="M25" s="12"/>
      <c r="N25" s="12"/>
      <c r="O25" s="12" t="str">
        <f>IFERROR(INDEX(_courses_lookup!$C:$C,MATCH(K25&amp;L25,_courses_lookup!$E:$E,0)),"")</f>
        <v/>
      </c>
      <c r="P25" s="12" t="str">
        <f>IFERROR(INDEX(_courses_lookup!$D:$D,MATCH(K25&amp;L25,_courses_lookup!$E:$E,0)),"")</f>
        <v/>
      </c>
      <c r="Q25" s="12"/>
      <c r="R25" s="12"/>
      <c r="S25" s="12"/>
      <c r="T25" s="12"/>
      <c r="U25" s="12"/>
      <c r="V25" s="12"/>
      <c r="W25" s="12"/>
      <c r="X25" s="12"/>
      <c r="Y25" s="8"/>
      <c r="Z25" s="12"/>
      <c r="AA25" s="12"/>
      <c r="AB25" s="12"/>
      <c r="AC25" s="12"/>
      <c r="AD25" s="12"/>
      <c r="AE25" s="12"/>
      <c r="AF25" s="12"/>
      <c r="AG25" s="12" t="str">
        <f t="shared" si="0"/>
        <v/>
      </c>
      <c r="AH25" s="12"/>
      <c r="AI25" s="12" t="str">
        <f t="shared" si="1"/>
        <v/>
      </c>
      <c r="AJ25" s="12"/>
      <c r="AK25" s="12"/>
      <c r="AL25" s="12" t="str">
        <f t="shared" si="2"/>
        <v/>
      </c>
      <c r="AM25" s="12"/>
      <c r="AN25" s="12" t="str">
        <f t="shared" si="3"/>
        <v/>
      </c>
      <c r="AO25" s="12"/>
      <c r="AP25" s="12"/>
      <c r="AQ25" s="12" t="str">
        <f t="shared" si="4"/>
        <v/>
      </c>
      <c r="AR25" s="12" t="str">
        <f t="shared" si="5"/>
        <v/>
      </c>
      <c r="AS25" s="12" t="str">
        <f t="shared" si="6"/>
        <v/>
      </c>
      <c r="AT25" s="12" t="str">
        <f t="shared" si="7"/>
        <v/>
      </c>
      <c r="AU25" s="12"/>
      <c r="AV25" s="12"/>
      <c r="AW25" s="12"/>
      <c r="AX25" s="12"/>
      <c r="AY25" s="12"/>
      <c r="AZ25" s="8"/>
      <c r="BA25" s="12"/>
      <c r="BB25" s="12"/>
      <c r="BC25" s="12"/>
      <c r="BD25" s="12"/>
      <c r="BE25" s="12"/>
      <c r="BF25" s="12"/>
      <c r="BG25" s="12" t="str">
        <f t="shared" si="8"/>
        <v/>
      </c>
      <c r="BH25" s="12" t="str">
        <f t="shared" si="9"/>
        <v/>
      </c>
      <c r="BI25" s="12"/>
      <c r="BJ25" s="12"/>
      <c r="BK25" s="8" t="str">
        <f>IF($BJ25="","",IFERROR(INDEX(InstructorMap!$B:$B, MATCH($BJ25, InstructorMap!$A:$A, 0)),""))</f>
        <v/>
      </c>
      <c r="BL25" s="8" t="str">
        <f>IFERROR(INDEX(_names_lookup!$C:$C,MATCH(BK25,_names_lookup!$A:$A,0)),"")</f>
        <v/>
      </c>
      <c r="BM25" s="12" t="str">
        <f>IFERROR(INDEX(_names_lookup!$B:$B,MATCH(BK25,_names_lookup!$A:$A,0)),"")</f>
        <v/>
      </c>
      <c r="BN25" s="12"/>
      <c r="BO25" s="12"/>
      <c r="BP25" s="12"/>
      <c r="BQ25" s="12"/>
      <c r="BR25" s="12"/>
      <c r="BS25" s="12" t="str">
        <f t="shared" si="10"/>
        <v/>
      </c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</row>
    <row r="26" spans="1:121" ht="16" customHeight="1" x14ac:dyDescent="0.2">
      <c r="A26" s="16"/>
      <c r="B26" s="16"/>
      <c r="C26" s="16"/>
      <c r="D26" s="16"/>
      <c r="E26" s="16"/>
      <c r="F26" s="16"/>
      <c r="G26" s="16"/>
      <c r="H26" s="12"/>
      <c r="I26" s="12"/>
      <c r="J26" s="12"/>
      <c r="K26" s="12"/>
      <c r="L26" s="12"/>
      <c r="M26" s="12"/>
      <c r="N26" s="12"/>
      <c r="O26" s="12" t="str">
        <f>IFERROR(INDEX(_courses_lookup!$C:$C,MATCH(K26&amp;L26,_courses_lookup!$E:$E,0)),"")</f>
        <v/>
      </c>
      <c r="P26" s="12" t="str">
        <f>IFERROR(INDEX(_courses_lookup!$D:$D,MATCH(K26&amp;L26,_courses_lookup!$E:$E,0)),"")</f>
        <v/>
      </c>
      <c r="Q26" s="12"/>
      <c r="R26" s="12"/>
      <c r="S26" s="12"/>
      <c r="T26" s="12"/>
      <c r="U26" s="12"/>
      <c r="V26" s="12"/>
      <c r="W26" s="12"/>
      <c r="X26" s="12"/>
      <c r="Y26" s="8"/>
      <c r="Z26" s="12"/>
      <c r="AA26" s="12"/>
      <c r="AB26" s="12"/>
      <c r="AC26" s="12"/>
      <c r="AD26" s="12"/>
      <c r="AE26" s="12"/>
      <c r="AF26" s="12"/>
      <c r="AG26" s="12" t="str">
        <f t="shared" si="0"/>
        <v/>
      </c>
      <c r="AH26" s="12"/>
      <c r="AI26" s="12" t="str">
        <f t="shared" si="1"/>
        <v/>
      </c>
      <c r="AJ26" s="12"/>
      <c r="AK26" s="12"/>
      <c r="AL26" s="12" t="str">
        <f t="shared" si="2"/>
        <v/>
      </c>
      <c r="AM26" s="12"/>
      <c r="AN26" s="12" t="str">
        <f t="shared" si="3"/>
        <v/>
      </c>
      <c r="AO26" s="12"/>
      <c r="AP26" s="12"/>
      <c r="AQ26" s="12" t="str">
        <f t="shared" si="4"/>
        <v/>
      </c>
      <c r="AR26" s="12" t="str">
        <f t="shared" si="5"/>
        <v/>
      </c>
      <c r="AS26" s="12" t="str">
        <f t="shared" si="6"/>
        <v/>
      </c>
      <c r="AT26" s="12" t="str">
        <f t="shared" si="7"/>
        <v/>
      </c>
      <c r="AU26" s="12"/>
      <c r="AV26" s="12"/>
      <c r="AW26" s="12"/>
      <c r="AX26" s="12"/>
      <c r="AY26" s="12"/>
      <c r="AZ26" s="8"/>
      <c r="BA26" s="12"/>
      <c r="BB26" s="12"/>
      <c r="BC26" s="12"/>
      <c r="BD26" s="12"/>
      <c r="BE26" s="12"/>
      <c r="BF26" s="12"/>
      <c r="BG26" s="12" t="str">
        <f t="shared" si="8"/>
        <v/>
      </c>
      <c r="BH26" s="12" t="str">
        <f t="shared" si="9"/>
        <v/>
      </c>
      <c r="BI26" s="12"/>
      <c r="BJ26" s="12"/>
      <c r="BK26" s="8" t="str">
        <f>IF($BJ26="","",IFERROR(INDEX(InstructorMap!$B:$B, MATCH($BJ26, InstructorMap!$A:$A, 0)),""))</f>
        <v/>
      </c>
      <c r="BL26" s="8" t="str">
        <f>IFERROR(INDEX(_names_lookup!$C:$C,MATCH(BK26,_names_lookup!$A:$A,0)),"")</f>
        <v/>
      </c>
      <c r="BM26" s="12" t="str">
        <f>IFERROR(INDEX(_names_lookup!$B:$B,MATCH(BK26,_names_lookup!$A:$A,0)),"")</f>
        <v/>
      </c>
      <c r="BN26" s="12"/>
      <c r="BO26" s="12"/>
      <c r="BP26" s="12"/>
      <c r="BQ26" s="12"/>
      <c r="BR26" s="12"/>
      <c r="BS26" s="12" t="str">
        <f t="shared" si="10"/>
        <v/>
      </c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</row>
    <row r="27" spans="1:121" ht="16" customHeight="1" x14ac:dyDescent="0.2">
      <c r="A27" s="16"/>
      <c r="B27" s="16"/>
      <c r="C27" s="16"/>
      <c r="D27" s="16"/>
      <c r="E27" s="16"/>
      <c r="F27" s="16"/>
      <c r="G27" s="16"/>
      <c r="H27" s="12"/>
      <c r="I27" s="12"/>
      <c r="J27" s="12"/>
      <c r="K27" s="12"/>
      <c r="L27" s="12"/>
      <c r="M27" s="12"/>
      <c r="N27" s="12"/>
      <c r="O27" s="12" t="str">
        <f>IFERROR(INDEX(_courses_lookup!$C:$C,MATCH(K27&amp;L27,_courses_lookup!$E:$E,0)),"")</f>
        <v/>
      </c>
      <c r="P27" s="12" t="str">
        <f>IFERROR(INDEX(_courses_lookup!$D:$D,MATCH(K27&amp;L27,_courses_lookup!$E:$E,0)),"")</f>
        <v/>
      </c>
      <c r="Q27" s="12"/>
      <c r="R27" s="12"/>
      <c r="S27" s="12"/>
      <c r="T27" s="12"/>
      <c r="U27" s="12"/>
      <c r="V27" s="12"/>
      <c r="W27" s="12"/>
      <c r="X27" s="12"/>
      <c r="Y27" s="8"/>
      <c r="Z27" s="12"/>
      <c r="AA27" s="12"/>
      <c r="AB27" s="12"/>
      <c r="AC27" s="12"/>
      <c r="AD27" s="12"/>
      <c r="AE27" s="12"/>
      <c r="AF27" s="12"/>
      <c r="AG27" s="12" t="str">
        <f t="shared" si="0"/>
        <v/>
      </c>
      <c r="AH27" s="12"/>
      <c r="AI27" s="12" t="str">
        <f t="shared" si="1"/>
        <v/>
      </c>
      <c r="AJ27" s="12"/>
      <c r="AK27" s="12"/>
      <c r="AL27" s="12" t="str">
        <f t="shared" si="2"/>
        <v/>
      </c>
      <c r="AM27" s="12"/>
      <c r="AN27" s="12" t="str">
        <f t="shared" si="3"/>
        <v/>
      </c>
      <c r="AO27" s="12"/>
      <c r="AP27" s="12"/>
      <c r="AQ27" s="12" t="str">
        <f t="shared" si="4"/>
        <v/>
      </c>
      <c r="AR27" s="12" t="str">
        <f t="shared" si="5"/>
        <v/>
      </c>
      <c r="AS27" s="12" t="str">
        <f t="shared" si="6"/>
        <v/>
      </c>
      <c r="AT27" s="12" t="str">
        <f t="shared" si="7"/>
        <v/>
      </c>
      <c r="AU27" s="12"/>
      <c r="AV27" s="12"/>
      <c r="AW27" s="12"/>
      <c r="AX27" s="12"/>
      <c r="AY27" s="12"/>
      <c r="AZ27" s="8"/>
      <c r="BA27" s="12"/>
      <c r="BB27" s="12"/>
      <c r="BC27" s="12"/>
      <c r="BD27" s="12"/>
      <c r="BE27" s="12"/>
      <c r="BF27" s="12"/>
      <c r="BG27" s="12" t="str">
        <f t="shared" si="8"/>
        <v/>
      </c>
      <c r="BH27" s="12" t="str">
        <f t="shared" si="9"/>
        <v/>
      </c>
      <c r="BI27" s="12"/>
      <c r="BJ27" s="12"/>
      <c r="BK27" s="8" t="str">
        <f>IF($BJ27="","",IFERROR(INDEX(InstructorMap!$B:$B, MATCH($BJ27, InstructorMap!$A:$A, 0)),""))</f>
        <v/>
      </c>
      <c r="BL27" s="8" t="str">
        <f>IFERROR(INDEX(_names_lookup!$C:$C,MATCH(BK27,_names_lookup!$A:$A,0)),"")</f>
        <v/>
      </c>
      <c r="BM27" s="12" t="str">
        <f>IFERROR(INDEX(_names_lookup!$B:$B,MATCH(BK27,_names_lookup!$A:$A,0)),"")</f>
        <v/>
      </c>
      <c r="BN27" s="12"/>
      <c r="BO27" s="12"/>
      <c r="BP27" s="12"/>
      <c r="BQ27" s="12"/>
      <c r="BR27" s="12"/>
      <c r="BS27" s="12" t="str">
        <f t="shared" si="10"/>
        <v/>
      </c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</row>
    <row r="28" spans="1:121" ht="16" customHeight="1" x14ac:dyDescent="0.2">
      <c r="A28" s="16"/>
      <c r="B28" s="16"/>
      <c r="C28" s="16"/>
      <c r="D28" s="16"/>
      <c r="E28" s="16"/>
      <c r="F28" s="16"/>
      <c r="G28" s="16"/>
      <c r="H28" s="12"/>
      <c r="I28" s="12"/>
      <c r="J28" s="12"/>
      <c r="K28" s="12"/>
      <c r="L28" s="12"/>
      <c r="M28" s="12"/>
      <c r="N28" s="12"/>
      <c r="O28" s="12" t="str">
        <f>IFERROR(INDEX(_courses_lookup!$C:$C,MATCH(K28&amp;L28,_courses_lookup!$E:$E,0)),"")</f>
        <v/>
      </c>
      <c r="P28" s="12" t="str">
        <f>IFERROR(INDEX(_courses_lookup!$D:$D,MATCH(K28&amp;L28,_courses_lookup!$E:$E,0)),"")</f>
        <v/>
      </c>
      <c r="Q28" s="12"/>
      <c r="R28" s="12"/>
      <c r="S28" s="12"/>
      <c r="T28" s="12"/>
      <c r="U28" s="12"/>
      <c r="V28" s="12"/>
      <c r="W28" s="12"/>
      <c r="X28" s="12"/>
      <c r="Y28" s="8"/>
      <c r="Z28" s="12"/>
      <c r="AA28" s="12"/>
      <c r="AB28" s="12"/>
      <c r="AC28" s="12"/>
      <c r="AD28" s="12"/>
      <c r="AE28" s="12"/>
      <c r="AF28" s="12"/>
      <c r="AG28" s="12" t="str">
        <f t="shared" si="0"/>
        <v/>
      </c>
      <c r="AH28" s="12"/>
      <c r="AI28" s="12" t="str">
        <f t="shared" si="1"/>
        <v/>
      </c>
      <c r="AJ28" s="12"/>
      <c r="AK28" s="12"/>
      <c r="AL28" s="12" t="str">
        <f t="shared" si="2"/>
        <v/>
      </c>
      <c r="AM28" s="12"/>
      <c r="AN28" s="12" t="str">
        <f t="shared" si="3"/>
        <v/>
      </c>
      <c r="AO28" s="12"/>
      <c r="AP28" s="12"/>
      <c r="AQ28" s="12" t="str">
        <f t="shared" si="4"/>
        <v/>
      </c>
      <c r="AR28" s="12" t="str">
        <f t="shared" si="5"/>
        <v/>
      </c>
      <c r="AS28" s="12" t="str">
        <f t="shared" si="6"/>
        <v/>
      </c>
      <c r="AT28" s="12" t="str">
        <f t="shared" si="7"/>
        <v/>
      </c>
      <c r="AU28" s="12"/>
      <c r="AV28" s="12"/>
      <c r="AW28" s="12"/>
      <c r="AX28" s="12"/>
      <c r="AY28" s="12"/>
      <c r="AZ28" s="8"/>
      <c r="BA28" s="12"/>
      <c r="BB28" s="12"/>
      <c r="BC28" s="12"/>
      <c r="BD28" s="12"/>
      <c r="BE28" s="12"/>
      <c r="BF28" s="12"/>
      <c r="BG28" s="12" t="str">
        <f t="shared" si="8"/>
        <v/>
      </c>
      <c r="BH28" s="12" t="str">
        <f t="shared" si="9"/>
        <v/>
      </c>
      <c r="BI28" s="12"/>
      <c r="BJ28" s="12"/>
      <c r="BK28" s="8" t="str">
        <f>IF($BJ28="","",IFERROR(INDEX(InstructorMap!$B:$B, MATCH($BJ28, InstructorMap!$A:$A, 0)),""))</f>
        <v/>
      </c>
      <c r="BL28" s="8" t="str">
        <f>IFERROR(INDEX(_names_lookup!$C:$C,MATCH(BK28,_names_lookup!$A:$A,0)),"")</f>
        <v/>
      </c>
      <c r="BM28" s="12" t="str">
        <f>IFERROR(INDEX(_names_lookup!$B:$B,MATCH(BK28,_names_lookup!$A:$A,0)),"")</f>
        <v/>
      </c>
      <c r="BN28" s="12"/>
      <c r="BO28" s="12"/>
      <c r="BP28" s="12"/>
      <c r="BQ28" s="12"/>
      <c r="BR28" s="12"/>
      <c r="BS28" s="12" t="str">
        <f t="shared" si="10"/>
        <v/>
      </c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</row>
    <row r="29" spans="1:121" ht="16" customHeight="1" x14ac:dyDescent="0.2">
      <c r="A29" s="16"/>
      <c r="B29" s="16"/>
      <c r="C29" s="16"/>
      <c r="D29" s="16"/>
      <c r="E29" s="16"/>
      <c r="F29" s="16"/>
      <c r="G29" s="16"/>
      <c r="H29" s="12"/>
      <c r="I29" s="12"/>
      <c r="J29" s="12"/>
      <c r="K29" s="12"/>
      <c r="L29" s="12"/>
      <c r="M29" s="12"/>
      <c r="N29" s="12"/>
      <c r="O29" s="12" t="str">
        <f>IFERROR(INDEX(_courses_lookup!$C:$C,MATCH(K29&amp;L29,_courses_lookup!$E:$E,0)),"")</f>
        <v/>
      </c>
      <c r="P29" s="12" t="str">
        <f>IFERROR(INDEX(_courses_lookup!$D:$D,MATCH(K29&amp;L29,_courses_lookup!$E:$E,0)),"")</f>
        <v/>
      </c>
      <c r="Q29" s="12"/>
      <c r="R29" s="12"/>
      <c r="S29" s="12"/>
      <c r="T29" s="12"/>
      <c r="U29" s="12"/>
      <c r="V29" s="12"/>
      <c r="W29" s="12"/>
      <c r="X29" s="12"/>
      <c r="Y29" s="8"/>
      <c r="Z29" s="12"/>
      <c r="AA29" s="12"/>
      <c r="AB29" s="12"/>
      <c r="AC29" s="12"/>
      <c r="AD29" s="12"/>
      <c r="AE29" s="12"/>
      <c r="AF29" s="12"/>
      <c r="AG29" s="12" t="str">
        <f t="shared" si="0"/>
        <v/>
      </c>
      <c r="AH29" s="12"/>
      <c r="AI29" s="12" t="str">
        <f t="shared" si="1"/>
        <v/>
      </c>
      <c r="AJ29" s="12"/>
      <c r="AK29" s="12"/>
      <c r="AL29" s="12" t="str">
        <f t="shared" si="2"/>
        <v/>
      </c>
      <c r="AM29" s="12"/>
      <c r="AN29" s="12" t="str">
        <f t="shared" si="3"/>
        <v/>
      </c>
      <c r="AO29" s="12"/>
      <c r="AP29" s="12"/>
      <c r="AQ29" s="12" t="str">
        <f t="shared" si="4"/>
        <v/>
      </c>
      <c r="AR29" s="12" t="str">
        <f t="shared" si="5"/>
        <v/>
      </c>
      <c r="AS29" s="12" t="str">
        <f t="shared" si="6"/>
        <v/>
      </c>
      <c r="AT29" s="12" t="str">
        <f t="shared" si="7"/>
        <v/>
      </c>
      <c r="AU29" s="12"/>
      <c r="AV29" s="12"/>
      <c r="AW29" s="12"/>
      <c r="AX29" s="12"/>
      <c r="AY29" s="12"/>
      <c r="AZ29" s="8"/>
      <c r="BA29" s="12"/>
      <c r="BB29" s="12"/>
      <c r="BC29" s="12"/>
      <c r="BD29" s="12"/>
      <c r="BE29" s="12"/>
      <c r="BF29" s="12"/>
      <c r="BG29" s="12" t="str">
        <f t="shared" si="8"/>
        <v/>
      </c>
      <c r="BH29" s="12" t="str">
        <f t="shared" si="9"/>
        <v/>
      </c>
      <c r="BI29" s="12"/>
      <c r="BJ29" s="12"/>
      <c r="BK29" s="8" t="str">
        <f>IF($BJ29="","",IFERROR(INDEX(InstructorMap!$B:$B, MATCH($BJ29, InstructorMap!$A:$A, 0)),""))</f>
        <v/>
      </c>
      <c r="BL29" s="8" t="str">
        <f>IFERROR(INDEX(_names_lookup!$C:$C,MATCH(BK29,_names_lookup!$A:$A,0)),"")</f>
        <v/>
      </c>
      <c r="BM29" s="12" t="str">
        <f>IFERROR(INDEX(_names_lookup!$B:$B,MATCH(BK29,_names_lookup!$A:$A,0)),"")</f>
        <v/>
      </c>
      <c r="BN29" s="12"/>
      <c r="BO29" s="12"/>
      <c r="BP29" s="12"/>
      <c r="BQ29" s="12"/>
      <c r="BR29" s="12"/>
      <c r="BS29" s="12" t="str">
        <f t="shared" si="10"/>
        <v/>
      </c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</row>
    <row r="30" spans="1:121" ht="16" customHeight="1" x14ac:dyDescent="0.2">
      <c r="A30" s="16"/>
      <c r="B30" s="16"/>
      <c r="C30" s="16"/>
      <c r="D30" s="16"/>
      <c r="E30" s="16"/>
      <c r="F30" s="16"/>
      <c r="G30" s="16"/>
      <c r="H30" s="12"/>
      <c r="I30" s="12"/>
      <c r="J30" s="12"/>
      <c r="K30" s="12"/>
      <c r="L30" s="12"/>
      <c r="M30" s="12"/>
      <c r="N30" s="12"/>
      <c r="O30" s="12" t="str">
        <f>IFERROR(INDEX(_courses_lookup!$C:$C,MATCH(K30&amp;L30,_courses_lookup!$E:$E,0)),"")</f>
        <v/>
      </c>
      <c r="P30" s="12" t="str">
        <f>IFERROR(INDEX(_courses_lookup!$D:$D,MATCH(K30&amp;L30,_courses_lookup!$E:$E,0)),"")</f>
        <v/>
      </c>
      <c r="Q30" s="12"/>
      <c r="R30" s="12"/>
      <c r="S30" s="12"/>
      <c r="T30" s="12"/>
      <c r="U30" s="12"/>
      <c r="V30" s="12"/>
      <c r="W30" s="12"/>
      <c r="X30" s="12"/>
      <c r="Y30" s="8"/>
      <c r="Z30" s="12"/>
      <c r="AA30" s="12"/>
      <c r="AB30" s="12"/>
      <c r="AC30" s="12"/>
      <c r="AD30" s="12"/>
      <c r="AE30" s="12"/>
      <c r="AF30" s="12"/>
      <c r="AG30" s="12" t="str">
        <f t="shared" si="0"/>
        <v/>
      </c>
      <c r="AH30" s="12"/>
      <c r="AI30" s="12" t="str">
        <f t="shared" si="1"/>
        <v/>
      </c>
      <c r="AJ30" s="12"/>
      <c r="AK30" s="12"/>
      <c r="AL30" s="12" t="str">
        <f t="shared" si="2"/>
        <v/>
      </c>
      <c r="AM30" s="12"/>
      <c r="AN30" s="12" t="str">
        <f t="shared" si="3"/>
        <v/>
      </c>
      <c r="AO30" s="12"/>
      <c r="AP30" s="12"/>
      <c r="AQ30" s="12" t="str">
        <f t="shared" si="4"/>
        <v/>
      </c>
      <c r="AR30" s="12" t="str">
        <f t="shared" si="5"/>
        <v/>
      </c>
      <c r="AS30" s="12" t="str">
        <f t="shared" si="6"/>
        <v/>
      </c>
      <c r="AT30" s="12" t="str">
        <f t="shared" si="7"/>
        <v/>
      </c>
      <c r="AU30" s="12"/>
      <c r="AV30" s="12"/>
      <c r="AW30" s="12"/>
      <c r="AX30" s="12"/>
      <c r="AY30" s="12"/>
      <c r="AZ30" s="8"/>
      <c r="BA30" s="12"/>
      <c r="BB30" s="12"/>
      <c r="BC30" s="12"/>
      <c r="BD30" s="12"/>
      <c r="BE30" s="12"/>
      <c r="BF30" s="12"/>
      <c r="BG30" s="12" t="str">
        <f t="shared" si="8"/>
        <v/>
      </c>
      <c r="BH30" s="12" t="str">
        <f t="shared" si="9"/>
        <v/>
      </c>
      <c r="BI30" s="12"/>
      <c r="BJ30" s="12"/>
      <c r="BK30" s="8" t="str">
        <f>IF($BJ30="","",IFERROR(INDEX(InstructorMap!$B:$B, MATCH($BJ30, InstructorMap!$A:$A, 0)),""))</f>
        <v/>
      </c>
      <c r="BL30" s="8" t="str">
        <f>IFERROR(INDEX(_names_lookup!$C:$C,MATCH(BK30,_names_lookup!$A:$A,0)),"")</f>
        <v/>
      </c>
      <c r="BM30" s="12" t="str">
        <f>IFERROR(INDEX(_names_lookup!$B:$B,MATCH(BK30,_names_lookup!$A:$A,0)),"")</f>
        <v/>
      </c>
      <c r="BN30" s="12"/>
      <c r="BO30" s="12"/>
      <c r="BP30" s="12"/>
      <c r="BQ30" s="12"/>
      <c r="BR30" s="12"/>
      <c r="BS30" s="12" t="str">
        <f t="shared" si="10"/>
        <v/>
      </c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</row>
    <row r="31" spans="1:121" ht="16" customHeight="1" x14ac:dyDescent="0.2">
      <c r="A31" s="16"/>
      <c r="B31" s="16"/>
      <c r="C31" s="16"/>
      <c r="D31" s="16"/>
      <c r="E31" s="16"/>
      <c r="F31" s="16"/>
      <c r="G31" s="16"/>
      <c r="H31" s="12"/>
      <c r="I31" s="12"/>
      <c r="J31" s="12"/>
      <c r="K31" s="12"/>
      <c r="L31" s="12"/>
      <c r="M31" s="12"/>
      <c r="N31" s="12"/>
      <c r="O31" s="12" t="str">
        <f>IFERROR(INDEX(_courses_lookup!$C:$C,MATCH(K31&amp;L31,_courses_lookup!$E:$E,0)),"")</f>
        <v/>
      </c>
      <c r="P31" s="12" t="str">
        <f>IFERROR(INDEX(_courses_lookup!$D:$D,MATCH(K31&amp;L31,_courses_lookup!$E:$E,0)),"")</f>
        <v/>
      </c>
      <c r="Q31" s="12"/>
      <c r="R31" s="12"/>
      <c r="S31" s="12"/>
      <c r="T31" s="12"/>
      <c r="U31" s="12"/>
      <c r="V31" s="12"/>
      <c r="W31" s="12"/>
      <c r="X31" s="12"/>
      <c r="Y31" s="8"/>
      <c r="Z31" s="12"/>
      <c r="AA31" s="12"/>
      <c r="AB31" s="12"/>
      <c r="AC31" s="12"/>
      <c r="AD31" s="12"/>
      <c r="AE31" s="12"/>
      <c r="AF31" s="12"/>
      <c r="AG31" s="12" t="str">
        <f t="shared" si="0"/>
        <v/>
      </c>
      <c r="AH31" s="12"/>
      <c r="AI31" s="12" t="str">
        <f t="shared" si="1"/>
        <v/>
      </c>
      <c r="AJ31" s="12"/>
      <c r="AK31" s="12"/>
      <c r="AL31" s="12" t="str">
        <f t="shared" si="2"/>
        <v/>
      </c>
      <c r="AM31" s="12"/>
      <c r="AN31" s="12" t="str">
        <f t="shared" si="3"/>
        <v/>
      </c>
      <c r="AO31" s="12"/>
      <c r="AP31" s="12"/>
      <c r="AQ31" s="12" t="str">
        <f t="shared" si="4"/>
        <v/>
      </c>
      <c r="AR31" s="12" t="str">
        <f t="shared" si="5"/>
        <v/>
      </c>
      <c r="AS31" s="12" t="str">
        <f t="shared" si="6"/>
        <v/>
      </c>
      <c r="AT31" s="12" t="str">
        <f t="shared" si="7"/>
        <v/>
      </c>
      <c r="AU31" s="12"/>
      <c r="AV31" s="12"/>
      <c r="AW31" s="12"/>
      <c r="AX31" s="12"/>
      <c r="AY31" s="12"/>
      <c r="AZ31" s="8"/>
      <c r="BA31" s="12"/>
      <c r="BB31" s="12"/>
      <c r="BC31" s="12"/>
      <c r="BD31" s="12"/>
      <c r="BE31" s="12"/>
      <c r="BF31" s="12"/>
      <c r="BG31" s="12" t="str">
        <f t="shared" si="8"/>
        <v/>
      </c>
      <c r="BH31" s="12" t="str">
        <f t="shared" si="9"/>
        <v/>
      </c>
      <c r="BI31" s="12"/>
      <c r="BJ31" s="12"/>
      <c r="BK31" s="8" t="str">
        <f>IF($BJ31="","",IFERROR(INDEX(InstructorMap!$B:$B, MATCH($BJ31, InstructorMap!$A:$A, 0)),""))</f>
        <v/>
      </c>
      <c r="BL31" s="8" t="str">
        <f>IFERROR(INDEX(_names_lookup!$C:$C,MATCH(BK31,_names_lookup!$A:$A,0)),"")</f>
        <v/>
      </c>
      <c r="BM31" s="12" t="str">
        <f>IFERROR(INDEX(_names_lookup!$B:$B,MATCH(BK31,_names_lookup!$A:$A,0)),"")</f>
        <v/>
      </c>
      <c r="BN31" s="12"/>
      <c r="BO31" s="12"/>
      <c r="BP31" s="12"/>
      <c r="BQ31" s="12"/>
      <c r="BR31" s="12"/>
      <c r="BS31" s="12" t="str">
        <f t="shared" si="10"/>
        <v/>
      </c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</row>
    <row r="32" spans="1:121" ht="16" customHeight="1" x14ac:dyDescent="0.2">
      <c r="A32" s="16"/>
      <c r="B32" s="16"/>
      <c r="C32" s="16"/>
      <c r="D32" s="16"/>
      <c r="E32" s="16"/>
      <c r="F32" s="16"/>
      <c r="G32" s="16"/>
      <c r="H32" s="12"/>
      <c r="I32" s="12"/>
      <c r="J32" s="12"/>
      <c r="K32" s="12"/>
      <c r="L32" s="12"/>
      <c r="M32" s="12"/>
      <c r="N32" s="12"/>
      <c r="O32" s="12" t="str">
        <f>IFERROR(INDEX(_courses_lookup!$C:$C,MATCH(K32&amp;L32,_courses_lookup!$E:$E,0)),"")</f>
        <v/>
      </c>
      <c r="P32" s="12" t="str">
        <f>IFERROR(INDEX(_courses_lookup!$D:$D,MATCH(K32&amp;L32,_courses_lookup!$E:$E,0)),"")</f>
        <v/>
      </c>
      <c r="Q32" s="12"/>
      <c r="R32" s="12"/>
      <c r="S32" s="12"/>
      <c r="T32" s="12"/>
      <c r="U32" s="12"/>
      <c r="V32" s="12"/>
      <c r="W32" s="12"/>
      <c r="X32" s="12"/>
      <c r="Y32" s="8"/>
      <c r="Z32" s="12"/>
      <c r="AA32" s="12"/>
      <c r="AB32" s="12"/>
      <c r="AC32" s="12"/>
      <c r="AD32" s="12"/>
      <c r="AE32" s="12"/>
      <c r="AF32" s="12"/>
      <c r="AG32" s="12" t="str">
        <f t="shared" si="0"/>
        <v/>
      </c>
      <c r="AH32" s="12"/>
      <c r="AI32" s="12" t="str">
        <f t="shared" si="1"/>
        <v/>
      </c>
      <c r="AJ32" s="12"/>
      <c r="AK32" s="12"/>
      <c r="AL32" s="12" t="str">
        <f t="shared" si="2"/>
        <v/>
      </c>
      <c r="AM32" s="12"/>
      <c r="AN32" s="12" t="str">
        <f t="shared" si="3"/>
        <v/>
      </c>
      <c r="AO32" s="12"/>
      <c r="AP32" s="12"/>
      <c r="AQ32" s="12" t="str">
        <f t="shared" si="4"/>
        <v/>
      </c>
      <c r="AR32" s="12" t="str">
        <f t="shared" si="5"/>
        <v/>
      </c>
      <c r="AS32" s="12" t="str">
        <f t="shared" si="6"/>
        <v/>
      </c>
      <c r="AT32" s="12" t="str">
        <f t="shared" si="7"/>
        <v/>
      </c>
      <c r="AU32" s="12"/>
      <c r="AV32" s="12"/>
      <c r="AW32" s="12"/>
      <c r="AX32" s="12"/>
      <c r="AY32" s="12"/>
      <c r="AZ32" s="8"/>
      <c r="BA32" s="12"/>
      <c r="BB32" s="12"/>
      <c r="BC32" s="12"/>
      <c r="BD32" s="12"/>
      <c r="BE32" s="12"/>
      <c r="BF32" s="12"/>
      <c r="BG32" s="12" t="str">
        <f t="shared" si="8"/>
        <v/>
      </c>
      <c r="BH32" s="12" t="str">
        <f t="shared" si="9"/>
        <v/>
      </c>
      <c r="BI32" s="12"/>
      <c r="BJ32" s="12"/>
      <c r="BK32" s="8" t="str">
        <f>IF($BJ32="","",IFERROR(INDEX(InstructorMap!$B:$B, MATCH($BJ32, InstructorMap!$A:$A, 0)),""))</f>
        <v/>
      </c>
      <c r="BL32" s="8" t="str">
        <f>IFERROR(INDEX(_names_lookup!$C:$C,MATCH(BK32,_names_lookup!$A:$A,0)),"")</f>
        <v/>
      </c>
      <c r="BM32" s="12" t="str">
        <f>IFERROR(INDEX(_names_lookup!$B:$B,MATCH(BK32,_names_lookup!$A:$A,0)),"")</f>
        <v/>
      </c>
      <c r="BN32" s="12"/>
      <c r="BO32" s="12"/>
      <c r="BP32" s="12"/>
      <c r="BQ32" s="12"/>
      <c r="BR32" s="12"/>
      <c r="BS32" s="12" t="str">
        <f t="shared" si="10"/>
        <v/>
      </c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</row>
    <row r="33" spans="1:121" ht="16" customHeight="1" x14ac:dyDescent="0.2">
      <c r="A33" s="16"/>
      <c r="B33" s="16"/>
      <c r="C33" s="16"/>
      <c r="D33" s="16"/>
      <c r="E33" s="16"/>
      <c r="F33" s="16"/>
      <c r="G33" s="16"/>
      <c r="H33" s="12"/>
      <c r="I33" s="12"/>
      <c r="J33" s="12"/>
      <c r="K33" s="12"/>
      <c r="L33" s="12"/>
      <c r="M33" s="12"/>
      <c r="N33" s="12"/>
      <c r="O33" s="12" t="str">
        <f>IFERROR(INDEX(_courses_lookup!$C:$C,MATCH(K33&amp;L33,_courses_lookup!$E:$E,0)),"")</f>
        <v/>
      </c>
      <c r="P33" s="12" t="str">
        <f>IFERROR(INDEX(_courses_lookup!$D:$D,MATCH(K33&amp;L33,_courses_lookup!$E:$E,0)),"")</f>
        <v/>
      </c>
      <c r="Q33" s="12"/>
      <c r="R33" s="12"/>
      <c r="S33" s="12"/>
      <c r="T33" s="12"/>
      <c r="U33" s="12"/>
      <c r="V33" s="12"/>
      <c r="W33" s="12"/>
      <c r="X33" s="12"/>
      <c r="Y33" s="8"/>
      <c r="Z33" s="12"/>
      <c r="AA33" s="12"/>
      <c r="AB33" s="12"/>
      <c r="AC33" s="12"/>
      <c r="AD33" s="12"/>
      <c r="AE33" s="12"/>
      <c r="AF33" s="12"/>
      <c r="AG33" s="12" t="str">
        <f t="shared" si="0"/>
        <v/>
      </c>
      <c r="AH33" s="12"/>
      <c r="AI33" s="12" t="str">
        <f t="shared" si="1"/>
        <v/>
      </c>
      <c r="AJ33" s="12"/>
      <c r="AK33" s="12"/>
      <c r="AL33" s="12" t="str">
        <f t="shared" si="2"/>
        <v/>
      </c>
      <c r="AM33" s="12"/>
      <c r="AN33" s="12" t="str">
        <f t="shared" si="3"/>
        <v/>
      </c>
      <c r="AO33" s="12"/>
      <c r="AP33" s="12"/>
      <c r="AQ33" s="12" t="str">
        <f t="shared" si="4"/>
        <v/>
      </c>
      <c r="AR33" s="12" t="str">
        <f t="shared" si="5"/>
        <v/>
      </c>
      <c r="AS33" s="12" t="str">
        <f t="shared" si="6"/>
        <v/>
      </c>
      <c r="AT33" s="12" t="str">
        <f t="shared" si="7"/>
        <v/>
      </c>
      <c r="AU33" s="12"/>
      <c r="AV33" s="12"/>
      <c r="AW33" s="12"/>
      <c r="AX33" s="12"/>
      <c r="AY33" s="12"/>
      <c r="AZ33" s="8"/>
      <c r="BA33" s="12"/>
      <c r="BB33" s="12"/>
      <c r="BC33" s="12"/>
      <c r="BD33" s="12"/>
      <c r="BE33" s="12"/>
      <c r="BF33" s="12"/>
      <c r="BG33" s="12" t="str">
        <f t="shared" si="8"/>
        <v/>
      </c>
      <c r="BH33" s="12" t="str">
        <f t="shared" si="9"/>
        <v/>
      </c>
      <c r="BI33" s="12"/>
      <c r="BJ33" s="12"/>
      <c r="BK33" s="8" t="str">
        <f>IF($BJ33="","",IFERROR(INDEX(InstructorMap!$B:$B, MATCH($BJ33, InstructorMap!$A:$A, 0)),""))</f>
        <v/>
      </c>
      <c r="BL33" s="8" t="str">
        <f>IFERROR(INDEX(_names_lookup!$C:$C,MATCH(BK33,_names_lookup!$A:$A,0)),"")</f>
        <v/>
      </c>
      <c r="BM33" s="12" t="str">
        <f>IFERROR(INDEX(_names_lookup!$B:$B,MATCH(BK33,_names_lookup!$A:$A,0)),"")</f>
        <v/>
      </c>
      <c r="BN33" s="12"/>
      <c r="BO33" s="12"/>
      <c r="BP33" s="12"/>
      <c r="BQ33" s="12"/>
      <c r="BR33" s="12"/>
      <c r="BS33" s="12" t="str">
        <f t="shared" si="10"/>
        <v/>
      </c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</row>
    <row r="34" spans="1:121" ht="16" customHeight="1" x14ac:dyDescent="0.2">
      <c r="A34" s="16"/>
      <c r="B34" s="16"/>
      <c r="C34" s="16"/>
      <c r="D34" s="16"/>
      <c r="E34" s="16"/>
      <c r="F34" s="16"/>
      <c r="G34" s="16"/>
      <c r="H34" s="12"/>
      <c r="I34" s="12"/>
      <c r="J34" s="12"/>
      <c r="K34" s="12"/>
      <c r="L34" s="12"/>
      <c r="M34" s="12"/>
      <c r="N34" s="12"/>
      <c r="O34" s="12" t="str">
        <f>IFERROR(INDEX(_courses_lookup!$C:$C,MATCH(K34&amp;L34,_courses_lookup!$E:$E,0)),"")</f>
        <v/>
      </c>
      <c r="P34" s="12" t="str">
        <f>IFERROR(INDEX(_courses_lookup!$D:$D,MATCH(K34&amp;L34,_courses_lookup!$E:$E,0)),"")</f>
        <v/>
      </c>
      <c r="Q34" s="12"/>
      <c r="R34" s="12"/>
      <c r="S34" s="12"/>
      <c r="T34" s="12"/>
      <c r="U34" s="12"/>
      <c r="V34" s="12"/>
      <c r="W34" s="12"/>
      <c r="X34" s="12"/>
      <c r="Y34" s="8"/>
      <c r="Z34" s="12"/>
      <c r="AA34" s="12"/>
      <c r="AB34" s="12"/>
      <c r="AC34" s="12"/>
      <c r="AD34" s="12"/>
      <c r="AE34" s="12"/>
      <c r="AF34" s="12"/>
      <c r="AG34" s="12" t="str">
        <f t="shared" si="0"/>
        <v/>
      </c>
      <c r="AH34" s="12"/>
      <c r="AI34" s="12" t="str">
        <f t="shared" si="1"/>
        <v/>
      </c>
      <c r="AJ34" s="12"/>
      <c r="AK34" s="12"/>
      <c r="AL34" s="12" t="str">
        <f t="shared" si="2"/>
        <v/>
      </c>
      <c r="AM34" s="12"/>
      <c r="AN34" s="12" t="str">
        <f t="shared" si="3"/>
        <v/>
      </c>
      <c r="AO34" s="12"/>
      <c r="AP34" s="12"/>
      <c r="AQ34" s="12" t="str">
        <f t="shared" si="4"/>
        <v/>
      </c>
      <c r="AR34" s="12" t="str">
        <f t="shared" si="5"/>
        <v/>
      </c>
      <c r="AS34" s="12" t="str">
        <f t="shared" si="6"/>
        <v/>
      </c>
      <c r="AT34" s="12" t="str">
        <f t="shared" si="7"/>
        <v/>
      </c>
      <c r="AU34" s="12"/>
      <c r="AV34" s="12"/>
      <c r="AW34" s="12"/>
      <c r="AX34" s="12"/>
      <c r="AY34" s="12"/>
      <c r="AZ34" s="8"/>
      <c r="BA34" s="12"/>
      <c r="BB34" s="12"/>
      <c r="BC34" s="12"/>
      <c r="BD34" s="12"/>
      <c r="BE34" s="12"/>
      <c r="BF34" s="12"/>
      <c r="BG34" s="12" t="str">
        <f t="shared" si="8"/>
        <v/>
      </c>
      <c r="BH34" s="12" t="str">
        <f t="shared" si="9"/>
        <v/>
      </c>
      <c r="BI34" s="12"/>
      <c r="BJ34" s="12"/>
      <c r="BK34" s="8" t="str">
        <f>IF($BJ34="","",IFERROR(INDEX(InstructorMap!$B:$B, MATCH($BJ34, InstructorMap!$A:$A, 0)),""))</f>
        <v/>
      </c>
      <c r="BL34" s="8" t="str">
        <f>IFERROR(INDEX(_names_lookup!$C:$C,MATCH(BK34,_names_lookup!$A:$A,0)),"")</f>
        <v/>
      </c>
      <c r="BM34" s="12" t="str">
        <f>IFERROR(INDEX(_names_lookup!$B:$B,MATCH(BK34,_names_lookup!$A:$A,0)),"")</f>
        <v/>
      </c>
      <c r="BN34" s="12"/>
      <c r="BO34" s="12"/>
      <c r="BP34" s="12"/>
      <c r="BQ34" s="12"/>
      <c r="BR34" s="12"/>
      <c r="BS34" s="12" t="str">
        <f t="shared" si="10"/>
        <v/>
      </c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</row>
    <row r="35" spans="1:121" ht="16" customHeight="1" x14ac:dyDescent="0.2">
      <c r="A35" s="16"/>
      <c r="B35" s="16"/>
      <c r="C35" s="16"/>
      <c r="D35" s="16"/>
      <c r="E35" s="16"/>
      <c r="F35" s="16"/>
      <c r="G35" s="16"/>
      <c r="H35" s="12"/>
      <c r="I35" s="12"/>
      <c r="J35" s="12"/>
      <c r="K35" s="12"/>
      <c r="L35" s="12"/>
      <c r="M35" s="12"/>
      <c r="N35" s="12"/>
      <c r="O35" s="12" t="str">
        <f>IFERROR(INDEX(_courses_lookup!$C:$C,MATCH(K35&amp;L35,_courses_lookup!$E:$E,0)),"")</f>
        <v/>
      </c>
      <c r="P35" s="12" t="str">
        <f>IFERROR(INDEX(_courses_lookup!$D:$D,MATCH(K35&amp;L35,_courses_lookup!$E:$E,0)),"")</f>
        <v/>
      </c>
      <c r="Q35" s="12"/>
      <c r="R35" s="12"/>
      <c r="S35" s="12"/>
      <c r="T35" s="12"/>
      <c r="U35" s="12"/>
      <c r="V35" s="12"/>
      <c r="W35" s="12"/>
      <c r="X35" s="12"/>
      <c r="Y35" s="8"/>
      <c r="Z35" s="12"/>
      <c r="AA35" s="12"/>
      <c r="AB35" s="12"/>
      <c r="AC35" s="12"/>
      <c r="AD35" s="12"/>
      <c r="AE35" s="12"/>
      <c r="AF35" s="12"/>
      <c r="AG35" s="12" t="str">
        <f t="shared" si="0"/>
        <v/>
      </c>
      <c r="AH35" s="12"/>
      <c r="AI35" s="12" t="str">
        <f t="shared" si="1"/>
        <v/>
      </c>
      <c r="AJ35" s="12"/>
      <c r="AK35" s="12"/>
      <c r="AL35" s="12" t="str">
        <f t="shared" si="2"/>
        <v/>
      </c>
      <c r="AM35" s="12"/>
      <c r="AN35" s="12" t="str">
        <f t="shared" si="3"/>
        <v/>
      </c>
      <c r="AO35" s="12"/>
      <c r="AP35" s="12"/>
      <c r="AQ35" s="12" t="str">
        <f t="shared" si="4"/>
        <v/>
      </c>
      <c r="AR35" s="12" t="str">
        <f t="shared" si="5"/>
        <v/>
      </c>
      <c r="AS35" s="12" t="str">
        <f t="shared" si="6"/>
        <v/>
      </c>
      <c r="AT35" s="12" t="str">
        <f t="shared" si="7"/>
        <v/>
      </c>
      <c r="AU35" s="12"/>
      <c r="AV35" s="12"/>
      <c r="AW35" s="12"/>
      <c r="AX35" s="12"/>
      <c r="AY35" s="12"/>
      <c r="AZ35" s="8"/>
      <c r="BA35" s="12"/>
      <c r="BB35" s="12"/>
      <c r="BC35" s="12"/>
      <c r="BD35" s="12"/>
      <c r="BE35" s="12"/>
      <c r="BF35" s="12"/>
      <c r="BG35" s="12" t="str">
        <f t="shared" si="8"/>
        <v/>
      </c>
      <c r="BH35" s="12" t="str">
        <f t="shared" si="9"/>
        <v/>
      </c>
      <c r="BI35" s="12"/>
      <c r="BJ35" s="12"/>
      <c r="BK35" s="8" t="str">
        <f>IF($BJ35="","",IFERROR(INDEX(InstructorMap!$B:$B, MATCH($BJ35, InstructorMap!$A:$A, 0)),""))</f>
        <v/>
      </c>
      <c r="BL35" s="8" t="str">
        <f>IFERROR(INDEX(_names_lookup!$C:$C,MATCH(BK35,_names_lookup!$A:$A,0)),"")</f>
        <v/>
      </c>
      <c r="BM35" s="12" t="str">
        <f>IFERROR(INDEX(_names_lookup!$B:$B,MATCH(BK35,_names_lookup!$A:$A,0)),"")</f>
        <v/>
      </c>
      <c r="BN35" s="12"/>
      <c r="BO35" s="12"/>
      <c r="BP35" s="12"/>
      <c r="BQ35" s="12"/>
      <c r="BR35" s="12"/>
      <c r="BS35" s="12" t="str">
        <f t="shared" si="10"/>
        <v/>
      </c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</row>
    <row r="36" spans="1:121" ht="16" customHeight="1" x14ac:dyDescent="0.2">
      <c r="A36" s="16"/>
      <c r="B36" s="16"/>
      <c r="C36" s="16"/>
      <c r="D36" s="16"/>
      <c r="E36" s="16"/>
      <c r="F36" s="16"/>
      <c r="G36" s="16"/>
      <c r="H36" s="12"/>
      <c r="I36" s="12"/>
      <c r="J36" s="12"/>
      <c r="K36" s="12"/>
      <c r="L36" s="12"/>
      <c r="M36" s="12"/>
      <c r="N36" s="12"/>
      <c r="O36" s="12" t="str">
        <f>IFERROR(INDEX(_courses_lookup!$C:$C,MATCH(K36&amp;L36,_courses_lookup!$E:$E,0)),"")</f>
        <v/>
      </c>
      <c r="P36" s="12" t="str">
        <f>IFERROR(INDEX(_courses_lookup!$D:$D,MATCH(K36&amp;L36,_courses_lookup!$E:$E,0)),"")</f>
        <v/>
      </c>
      <c r="Q36" s="12"/>
      <c r="R36" s="12"/>
      <c r="S36" s="12"/>
      <c r="T36" s="12"/>
      <c r="U36" s="12"/>
      <c r="V36" s="12"/>
      <c r="W36" s="12"/>
      <c r="X36" s="12"/>
      <c r="Y36" s="8"/>
      <c r="Z36" s="12"/>
      <c r="AA36" s="12"/>
      <c r="AB36" s="12"/>
      <c r="AC36" s="12"/>
      <c r="AD36" s="12"/>
      <c r="AE36" s="12"/>
      <c r="AF36" s="12"/>
      <c r="AG36" s="12" t="str">
        <f t="shared" si="0"/>
        <v/>
      </c>
      <c r="AH36" s="12"/>
      <c r="AI36" s="12" t="str">
        <f t="shared" si="1"/>
        <v/>
      </c>
      <c r="AJ36" s="12"/>
      <c r="AK36" s="12"/>
      <c r="AL36" s="12" t="str">
        <f t="shared" si="2"/>
        <v/>
      </c>
      <c r="AM36" s="12"/>
      <c r="AN36" s="12" t="str">
        <f t="shared" si="3"/>
        <v/>
      </c>
      <c r="AO36" s="12"/>
      <c r="AP36" s="12"/>
      <c r="AQ36" s="12" t="str">
        <f t="shared" si="4"/>
        <v/>
      </c>
      <c r="AR36" s="12" t="str">
        <f t="shared" si="5"/>
        <v/>
      </c>
      <c r="AS36" s="12" t="str">
        <f t="shared" si="6"/>
        <v/>
      </c>
      <c r="AT36" s="12" t="str">
        <f t="shared" si="7"/>
        <v/>
      </c>
      <c r="AU36" s="12"/>
      <c r="AV36" s="12"/>
      <c r="AW36" s="12"/>
      <c r="AX36" s="12"/>
      <c r="AY36" s="12"/>
      <c r="AZ36" s="8"/>
      <c r="BA36" s="12"/>
      <c r="BB36" s="12"/>
      <c r="BC36" s="12"/>
      <c r="BD36" s="12"/>
      <c r="BE36" s="12"/>
      <c r="BF36" s="12"/>
      <c r="BG36" s="12" t="str">
        <f t="shared" si="8"/>
        <v/>
      </c>
      <c r="BH36" s="12" t="str">
        <f t="shared" si="9"/>
        <v/>
      </c>
      <c r="BI36" s="12"/>
      <c r="BJ36" s="12"/>
      <c r="BK36" s="8" t="str">
        <f>IF($BJ36="","",IFERROR(INDEX(InstructorMap!$B:$B, MATCH($BJ36, InstructorMap!$A:$A, 0)),""))</f>
        <v/>
      </c>
      <c r="BL36" s="8" t="str">
        <f>IFERROR(INDEX(_names_lookup!$C:$C,MATCH(BK36,_names_lookup!$A:$A,0)),"")</f>
        <v/>
      </c>
      <c r="BM36" s="12" t="str">
        <f>IFERROR(INDEX(_names_lookup!$B:$B,MATCH(BK36,_names_lookup!$A:$A,0)),"")</f>
        <v/>
      </c>
      <c r="BN36" s="12"/>
      <c r="BO36" s="12"/>
      <c r="BP36" s="12"/>
      <c r="BQ36" s="12"/>
      <c r="BR36" s="12"/>
      <c r="BS36" s="12" t="str">
        <f t="shared" si="10"/>
        <v/>
      </c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</row>
    <row r="37" spans="1:121" ht="16" customHeight="1" x14ac:dyDescent="0.2">
      <c r="A37" s="16"/>
      <c r="B37" s="16"/>
      <c r="C37" s="16"/>
      <c r="D37" s="16"/>
      <c r="E37" s="16"/>
      <c r="F37" s="16"/>
      <c r="G37" s="16"/>
      <c r="H37" s="12"/>
      <c r="I37" s="12"/>
      <c r="J37" s="12"/>
      <c r="K37" s="12"/>
      <c r="L37" s="12"/>
      <c r="M37" s="12"/>
      <c r="N37" s="12"/>
      <c r="O37" s="12" t="str">
        <f>IFERROR(INDEX(_courses_lookup!$C:$C,MATCH(K37&amp;L37,_courses_lookup!$E:$E,0)),"")</f>
        <v/>
      </c>
      <c r="P37" s="12" t="str">
        <f>IFERROR(INDEX(_courses_lookup!$D:$D,MATCH(K37&amp;L37,_courses_lookup!$E:$E,0)),"")</f>
        <v/>
      </c>
      <c r="Q37" s="12"/>
      <c r="R37" s="12"/>
      <c r="S37" s="12"/>
      <c r="T37" s="12"/>
      <c r="U37" s="12"/>
      <c r="V37" s="12"/>
      <c r="W37" s="12"/>
      <c r="X37" s="12"/>
      <c r="Y37" s="8"/>
      <c r="Z37" s="12"/>
      <c r="AA37" s="12"/>
      <c r="AB37" s="12"/>
      <c r="AC37" s="12"/>
      <c r="AD37" s="12"/>
      <c r="AE37" s="12"/>
      <c r="AF37" s="12"/>
      <c r="AG37" s="12" t="str">
        <f t="shared" si="0"/>
        <v/>
      </c>
      <c r="AH37" s="12"/>
      <c r="AI37" s="12" t="str">
        <f t="shared" si="1"/>
        <v/>
      </c>
      <c r="AJ37" s="12"/>
      <c r="AK37" s="12"/>
      <c r="AL37" s="12" t="str">
        <f t="shared" si="2"/>
        <v/>
      </c>
      <c r="AM37" s="12"/>
      <c r="AN37" s="12" t="str">
        <f t="shared" si="3"/>
        <v/>
      </c>
      <c r="AO37" s="12"/>
      <c r="AP37" s="12"/>
      <c r="AQ37" s="12" t="str">
        <f t="shared" si="4"/>
        <v/>
      </c>
      <c r="AR37" s="12" t="str">
        <f t="shared" si="5"/>
        <v/>
      </c>
      <c r="AS37" s="12" t="str">
        <f t="shared" si="6"/>
        <v/>
      </c>
      <c r="AT37" s="12" t="str">
        <f t="shared" si="7"/>
        <v/>
      </c>
      <c r="AU37" s="12"/>
      <c r="AV37" s="12"/>
      <c r="AW37" s="12"/>
      <c r="AX37" s="12"/>
      <c r="AY37" s="12"/>
      <c r="AZ37" s="8"/>
      <c r="BA37" s="12"/>
      <c r="BB37" s="12"/>
      <c r="BC37" s="12"/>
      <c r="BD37" s="12"/>
      <c r="BE37" s="12"/>
      <c r="BF37" s="12"/>
      <c r="BG37" s="12" t="str">
        <f t="shared" si="8"/>
        <v/>
      </c>
      <c r="BH37" s="12" t="str">
        <f t="shared" si="9"/>
        <v/>
      </c>
      <c r="BI37" s="12"/>
      <c r="BJ37" s="12"/>
      <c r="BK37" s="8" t="str">
        <f>IF($BJ37="","",IFERROR(INDEX(InstructorMap!$B:$B, MATCH($BJ37, InstructorMap!$A:$A, 0)),""))</f>
        <v/>
      </c>
      <c r="BL37" s="8" t="str">
        <f>IFERROR(INDEX(_names_lookup!$C:$C,MATCH(BK37,_names_lookup!$A:$A,0)),"")</f>
        <v/>
      </c>
      <c r="BM37" s="12" t="str">
        <f>IFERROR(INDEX(_names_lookup!$B:$B,MATCH(BK37,_names_lookup!$A:$A,0)),"")</f>
        <v/>
      </c>
      <c r="BN37" s="12"/>
      <c r="BO37" s="12"/>
      <c r="BP37" s="12"/>
      <c r="BQ37" s="12"/>
      <c r="BR37" s="12"/>
      <c r="BS37" s="12" t="str">
        <f t="shared" si="10"/>
        <v/>
      </c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</row>
    <row r="38" spans="1:121" ht="16" customHeight="1" x14ac:dyDescent="0.2">
      <c r="A38" s="16"/>
      <c r="B38" s="16"/>
      <c r="C38" s="16"/>
      <c r="D38" s="16"/>
      <c r="E38" s="16"/>
      <c r="F38" s="16"/>
      <c r="G38" s="16"/>
      <c r="H38" s="12"/>
      <c r="I38" s="12"/>
      <c r="J38" s="12"/>
      <c r="K38" s="12"/>
      <c r="L38" s="12"/>
      <c r="M38" s="12"/>
      <c r="N38" s="12"/>
      <c r="O38" s="12" t="str">
        <f>IFERROR(INDEX(_courses_lookup!$C:$C,MATCH(K38&amp;L38,_courses_lookup!$E:$E,0)),"")</f>
        <v/>
      </c>
      <c r="P38" s="12" t="str">
        <f>IFERROR(INDEX(_courses_lookup!$D:$D,MATCH(K38&amp;L38,_courses_lookup!$E:$E,0)),"")</f>
        <v/>
      </c>
      <c r="Q38" s="12"/>
      <c r="R38" s="12"/>
      <c r="S38" s="12"/>
      <c r="T38" s="12"/>
      <c r="U38" s="12"/>
      <c r="V38" s="12"/>
      <c r="W38" s="12"/>
      <c r="X38" s="12"/>
      <c r="Y38" s="8"/>
      <c r="Z38" s="12"/>
      <c r="AA38" s="12"/>
      <c r="AB38" s="12"/>
      <c r="AC38" s="12"/>
      <c r="AD38" s="12"/>
      <c r="AE38" s="12"/>
      <c r="AF38" s="12"/>
      <c r="AG38" s="12" t="str">
        <f t="shared" si="0"/>
        <v/>
      </c>
      <c r="AH38" s="12"/>
      <c r="AI38" s="12" t="str">
        <f t="shared" si="1"/>
        <v/>
      </c>
      <c r="AJ38" s="12"/>
      <c r="AK38" s="12"/>
      <c r="AL38" s="12" t="str">
        <f t="shared" si="2"/>
        <v/>
      </c>
      <c r="AM38" s="12"/>
      <c r="AN38" s="12" t="str">
        <f t="shared" si="3"/>
        <v/>
      </c>
      <c r="AO38" s="12"/>
      <c r="AP38" s="12"/>
      <c r="AQ38" s="12" t="str">
        <f t="shared" si="4"/>
        <v/>
      </c>
      <c r="AR38" s="12" t="str">
        <f t="shared" si="5"/>
        <v/>
      </c>
      <c r="AS38" s="12" t="str">
        <f t="shared" si="6"/>
        <v/>
      </c>
      <c r="AT38" s="12" t="str">
        <f t="shared" si="7"/>
        <v/>
      </c>
      <c r="AU38" s="12"/>
      <c r="AV38" s="12"/>
      <c r="AW38" s="12"/>
      <c r="AX38" s="12"/>
      <c r="AY38" s="12"/>
      <c r="AZ38" s="8"/>
      <c r="BA38" s="12"/>
      <c r="BB38" s="12"/>
      <c r="BC38" s="12"/>
      <c r="BD38" s="12"/>
      <c r="BE38" s="12"/>
      <c r="BF38" s="12"/>
      <c r="BG38" s="12" t="str">
        <f t="shared" si="8"/>
        <v/>
      </c>
      <c r="BH38" s="12" t="str">
        <f t="shared" si="9"/>
        <v/>
      </c>
      <c r="BI38" s="12"/>
      <c r="BJ38" s="12"/>
      <c r="BK38" s="8" t="str">
        <f>IF($BJ38="","",IFERROR(INDEX(InstructorMap!$B:$B, MATCH($BJ38, InstructorMap!$A:$A, 0)),""))</f>
        <v/>
      </c>
      <c r="BL38" s="8" t="str">
        <f>IFERROR(INDEX(_names_lookup!$C:$C,MATCH(BK38,_names_lookup!$A:$A,0)),"")</f>
        <v/>
      </c>
      <c r="BM38" s="12" t="str">
        <f>IFERROR(INDEX(_names_lookup!$B:$B,MATCH(BK38,_names_lookup!$A:$A,0)),"")</f>
        <v/>
      </c>
      <c r="BN38" s="12"/>
      <c r="BO38" s="12"/>
      <c r="BP38" s="12"/>
      <c r="BQ38" s="12"/>
      <c r="BR38" s="12"/>
      <c r="BS38" s="12" t="str">
        <f t="shared" si="10"/>
        <v/>
      </c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</row>
    <row r="39" spans="1:121" ht="16" customHeight="1" x14ac:dyDescent="0.2">
      <c r="A39" s="16"/>
      <c r="B39" s="16"/>
      <c r="C39" s="16"/>
      <c r="D39" s="16"/>
      <c r="E39" s="16"/>
      <c r="F39" s="16"/>
      <c r="G39" s="16"/>
      <c r="H39" s="12"/>
      <c r="I39" s="12"/>
      <c r="J39" s="12"/>
      <c r="K39" s="12"/>
      <c r="L39" s="12"/>
      <c r="M39" s="12"/>
      <c r="N39" s="12"/>
      <c r="O39" s="12" t="str">
        <f>IFERROR(INDEX(_courses_lookup!$C:$C,MATCH(K39&amp;L39,_courses_lookup!$E:$E,0)),"")</f>
        <v/>
      </c>
      <c r="P39" s="12" t="str">
        <f>IFERROR(INDEX(_courses_lookup!$D:$D,MATCH(K39&amp;L39,_courses_lookup!$E:$E,0)),"")</f>
        <v/>
      </c>
      <c r="Q39" s="12"/>
      <c r="R39" s="12"/>
      <c r="S39" s="12"/>
      <c r="T39" s="12"/>
      <c r="U39" s="12"/>
      <c r="V39" s="12"/>
      <c r="W39" s="12"/>
      <c r="X39" s="12"/>
      <c r="Y39" s="8"/>
      <c r="Z39" s="12"/>
      <c r="AA39" s="12"/>
      <c r="AB39" s="12"/>
      <c r="AC39" s="12"/>
      <c r="AD39" s="12"/>
      <c r="AE39" s="12"/>
      <c r="AF39" s="12"/>
      <c r="AG39" s="12" t="str">
        <f t="shared" si="0"/>
        <v/>
      </c>
      <c r="AH39" s="12"/>
      <c r="AI39" s="12" t="str">
        <f t="shared" si="1"/>
        <v/>
      </c>
      <c r="AJ39" s="12"/>
      <c r="AK39" s="12"/>
      <c r="AL39" s="12" t="str">
        <f t="shared" si="2"/>
        <v/>
      </c>
      <c r="AM39" s="12"/>
      <c r="AN39" s="12" t="str">
        <f t="shared" si="3"/>
        <v/>
      </c>
      <c r="AO39" s="12"/>
      <c r="AP39" s="12"/>
      <c r="AQ39" s="12" t="str">
        <f t="shared" si="4"/>
        <v/>
      </c>
      <c r="AR39" s="12" t="str">
        <f t="shared" si="5"/>
        <v/>
      </c>
      <c r="AS39" s="12" t="str">
        <f t="shared" si="6"/>
        <v/>
      </c>
      <c r="AT39" s="12" t="str">
        <f t="shared" si="7"/>
        <v/>
      </c>
      <c r="AU39" s="12"/>
      <c r="AV39" s="12"/>
      <c r="AW39" s="12"/>
      <c r="AX39" s="12"/>
      <c r="AY39" s="12"/>
      <c r="AZ39" s="8"/>
      <c r="BA39" s="12"/>
      <c r="BB39" s="12"/>
      <c r="BC39" s="12"/>
      <c r="BD39" s="12"/>
      <c r="BE39" s="12"/>
      <c r="BF39" s="12"/>
      <c r="BG39" s="12" t="str">
        <f t="shared" si="8"/>
        <v/>
      </c>
      <c r="BH39" s="12" t="str">
        <f t="shared" si="9"/>
        <v/>
      </c>
      <c r="BI39" s="12"/>
      <c r="BJ39" s="12"/>
      <c r="BK39" s="8" t="str">
        <f>IF($BJ39="","",IFERROR(INDEX(InstructorMap!$B:$B, MATCH($BJ39, InstructorMap!$A:$A, 0)),""))</f>
        <v/>
      </c>
      <c r="BL39" s="8" t="str">
        <f>IFERROR(INDEX(_names_lookup!$C:$C,MATCH(BK39,_names_lookup!$A:$A,0)),"")</f>
        <v/>
      </c>
      <c r="BM39" s="12" t="str">
        <f>IFERROR(INDEX(_names_lookup!$B:$B,MATCH(BK39,_names_lookup!$A:$A,0)),"")</f>
        <v/>
      </c>
      <c r="BN39" s="12"/>
      <c r="BO39" s="12"/>
      <c r="BP39" s="12"/>
      <c r="BQ39" s="12"/>
      <c r="BR39" s="12"/>
      <c r="BS39" s="12" t="str">
        <f t="shared" si="10"/>
        <v/>
      </c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</row>
    <row r="40" spans="1:121" ht="16" customHeight="1" x14ac:dyDescent="0.2">
      <c r="A40" s="16"/>
      <c r="B40" s="16"/>
      <c r="C40" s="16"/>
      <c r="D40" s="16"/>
      <c r="E40" s="16"/>
      <c r="F40" s="16"/>
      <c r="G40" s="16"/>
      <c r="H40" s="12"/>
      <c r="I40" s="12"/>
      <c r="J40" s="12"/>
      <c r="K40" s="12"/>
      <c r="L40" s="12"/>
      <c r="M40" s="12"/>
      <c r="N40" s="12"/>
      <c r="O40" s="12" t="str">
        <f>IFERROR(INDEX(_courses_lookup!$C:$C,MATCH(K40&amp;L40,_courses_lookup!$E:$E,0)),"")</f>
        <v/>
      </c>
      <c r="P40" s="12" t="str">
        <f>IFERROR(INDEX(_courses_lookup!$D:$D,MATCH(K40&amp;L40,_courses_lookup!$E:$E,0)),"")</f>
        <v/>
      </c>
      <c r="Q40" s="12"/>
      <c r="R40" s="12"/>
      <c r="S40" s="12"/>
      <c r="T40" s="12"/>
      <c r="U40" s="12"/>
      <c r="V40" s="12"/>
      <c r="W40" s="12"/>
      <c r="X40" s="12"/>
      <c r="Y40" s="8"/>
      <c r="Z40" s="12"/>
      <c r="AA40" s="12"/>
      <c r="AB40" s="12"/>
      <c r="AC40" s="12"/>
      <c r="AD40" s="12"/>
      <c r="AE40" s="12"/>
      <c r="AF40" s="12"/>
      <c r="AG40" s="12" t="str">
        <f t="shared" si="0"/>
        <v/>
      </c>
      <c r="AH40" s="12"/>
      <c r="AI40" s="12" t="str">
        <f t="shared" si="1"/>
        <v/>
      </c>
      <c r="AJ40" s="12"/>
      <c r="AK40" s="12"/>
      <c r="AL40" s="12" t="str">
        <f t="shared" si="2"/>
        <v/>
      </c>
      <c r="AM40" s="12"/>
      <c r="AN40" s="12" t="str">
        <f t="shared" si="3"/>
        <v/>
      </c>
      <c r="AO40" s="12"/>
      <c r="AP40" s="12"/>
      <c r="AQ40" s="12" t="str">
        <f t="shared" si="4"/>
        <v/>
      </c>
      <c r="AR40" s="12" t="str">
        <f t="shared" si="5"/>
        <v/>
      </c>
      <c r="AS40" s="12" t="str">
        <f t="shared" si="6"/>
        <v/>
      </c>
      <c r="AT40" s="12" t="str">
        <f t="shared" si="7"/>
        <v/>
      </c>
      <c r="AU40" s="12"/>
      <c r="AV40" s="12"/>
      <c r="AW40" s="12"/>
      <c r="AX40" s="12"/>
      <c r="AY40" s="12"/>
      <c r="AZ40" s="8"/>
      <c r="BA40" s="12"/>
      <c r="BB40" s="12"/>
      <c r="BC40" s="12"/>
      <c r="BD40" s="12"/>
      <c r="BE40" s="12"/>
      <c r="BF40" s="12"/>
      <c r="BG40" s="12" t="str">
        <f t="shared" si="8"/>
        <v/>
      </c>
      <c r="BH40" s="12" t="str">
        <f t="shared" si="9"/>
        <v/>
      </c>
      <c r="BI40" s="12"/>
      <c r="BJ40" s="12"/>
      <c r="BK40" s="8" t="str">
        <f>IF($BJ40="","",IFERROR(INDEX(InstructorMap!$B:$B, MATCH($BJ40, InstructorMap!$A:$A, 0)),""))</f>
        <v/>
      </c>
      <c r="BL40" s="8" t="str">
        <f>IFERROR(INDEX(_names_lookup!$C:$C,MATCH(BK40,_names_lookup!$A:$A,0)),"")</f>
        <v/>
      </c>
      <c r="BM40" s="12" t="str">
        <f>IFERROR(INDEX(_names_lookup!$B:$B,MATCH(BK40,_names_lookup!$A:$A,0)),"")</f>
        <v/>
      </c>
      <c r="BN40" s="12"/>
      <c r="BO40" s="12"/>
      <c r="BP40" s="12"/>
      <c r="BQ40" s="12"/>
      <c r="BR40" s="12"/>
      <c r="BS40" s="12" t="str">
        <f t="shared" si="10"/>
        <v/>
      </c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</row>
    <row r="41" spans="1:121" x14ac:dyDescent="0.2">
      <c r="O41" t="str">
        <f>IFERROR(INDEX(_courses_lookup!$C:$C,MATCH(K41&amp;L41,_courses_lookup!$E:$E,0)),"")</f>
        <v/>
      </c>
      <c r="P41" t="str">
        <f>IFERROR(INDEX(_courses_lookup!$D:$D,MATCH(K41&amp;L41,_courses_lookup!$E:$E,0)),"")</f>
        <v/>
      </c>
      <c r="AG41" t="str">
        <f t="shared" si="0"/>
        <v/>
      </c>
      <c r="AI41" t="str">
        <f t="shared" si="1"/>
        <v/>
      </c>
      <c r="AL41" t="str">
        <f t="shared" si="2"/>
        <v/>
      </c>
      <c r="AN41" t="str">
        <f t="shared" si="3"/>
        <v/>
      </c>
      <c r="AQ41" t="str">
        <f t="shared" si="4"/>
        <v/>
      </c>
      <c r="AR41" t="str">
        <f t="shared" si="5"/>
        <v/>
      </c>
      <c r="AS41" t="str">
        <f t="shared" si="6"/>
        <v/>
      </c>
      <c r="AT41" t="str">
        <f t="shared" si="7"/>
        <v/>
      </c>
      <c r="BG41" t="str">
        <f t="shared" si="8"/>
        <v/>
      </c>
      <c r="BH41" t="str">
        <f t="shared" si="9"/>
        <v/>
      </c>
      <c r="BL41" t="str">
        <f>IFERROR(INDEX(_names_lookup!$C:$C,MATCH(BK41,_names_lookup!$A:$A,0)),"")</f>
        <v/>
      </c>
      <c r="BM41" t="str">
        <f>IFERROR(INDEX(_names_lookup!$B:$B,MATCH(BK41,_names_lookup!$A:$A,0)),"")</f>
        <v/>
      </c>
      <c r="BS41" t="str">
        <f t="shared" si="10"/>
        <v/>
      </c>
    </row>
    <row r="42" spans="1:121" x14ac:dyDescent="0.2">
      <c r="O42" t="str">
        <f>IFERROR(INDEX(_courses_lookup!$C:$C,MATCH(K42&amp;L42,_courses_lookup!$E:$E,0)),"")</f>
        <v/>
      </c>
      <c r="P42" t="str">
        <f>IFERROR(INDEX(_courses_lookup!$D:$D,MATCH(K42&amp;L42,_courses_lookup!$E:$E,0)),"")</f>
        <v/>
      </c>
      <c r="AG42" t="str">
        <f t="shared" si="0"/>
        <v/>
      </c>
      <c r="AI42" t="str">
        <f t="shared" si="1"/>
        <v/>
      </c>
      <c r="AL42" t="str">
        <f t="shared" si="2"/>
        <v/>
      </c>
      <c r="AN42" t="str">
        <f t="shared" si="3"/>
        <v/>
      </c>
      <c r="AQ42" t="str">
        <f t="shared" si="4"/>
        <v/>
      </c>
      <c r="AR42" t="str">
        <f t="shared" si="5"/>
        <v/>
      </c>
      <c r="AS42" t="str">
        <f t="shared" si="6"/>
        <v/>
      </c>
      <c r="AT42" t="str">
        <f t="shared" si="7"/>
        <v/>
      </c>
      <c r="BG42" t="str">
        <f t="shared" si="8"/>
        <v/>
      </c>
      <c r="BH42" t="str">
        <f t="shared" si="9"/>
        <v/>
      </c>
      <c r="BL42" t="str">
        <f>IFERROR(INDEX(_names_lookup!$C:$C,MATCH(BK42,_names_lookup!$A:$A,0)),"")</f>
        <v/>
      </c>
      <c r="BM42" t="str">
        <f>IFERROR(INDEX(_names_lookup!$B:$B,MATCH(BK42,_names_lookup!$A:$A,0)),"")</f>
        <v/>
      </c>
      <c r="BS42" t="str">
        <f t="shared" si="10"/>
        <v/>
      </c>
    </row>
    <row r="43" spans="1:121" x14ac:dyDescent="0.2">
      <c r="O43" t="str">
        <f>IFERROR(INDEX(_courses_lookup!$C:$C,MATCH(K43&amp;L43,_courses_lookup!$E:$E,0)),"")</f>
        <v/>
      </c>
      <c r="P43" t="str">
        <f>IFERROR(INDEX(_courses_lookup!$D:$D,MATCH(K43&amp;L43,_courses_lookup!$E:$E,0)),"")</f>
        <v/>
      </c>
      <c r="AG43" t="str">
        <f t="shared" si="0"/>
        <v/>
      </c>
      <c r="AI43" t="str">
        <f t="shared" si="1"/>
        <v/>
      </c>
      <c r="AL43" t="str">
        <f t="shared" si="2"/>
        <v/>
      </c>
      <c r="AN43" t="str">
        <f t="shared" si="3"/>
        <v/>
      </c>
      <c r="AQ43" t="str">
        <f t="shared" si="4"/>
        <v/>
      </c>
      <c r="AR43" t="str">
        <f t="shared" si="5"/>
        <v/>
      </c>
      <c r="AS43" t="str">
        <f t="shared" si="6"/>
        <v/>
      </c>
      <c r="AT43" t="str">
        <f t="shared" si="7"/>
        <v/>
      </c>
      <c r="BG43" t="str">
        <f t="shared" si="8"/>
        <v/>
      </c>
      <c r="BH43" t="str">
        <f t="shared" si="9"/>
        <v/>
      </c>
      <c r="BL43" t="str">
        <f>IFERROR(INDEX(_names_lookup!$C:$C,MATCH(BK43,_names_lookup!$A:$A,0)),"")</f>
        <v/>
      </c>
      <c r="BM43" t="str">
        <f>IFERROR(INDEX(_names_lookup!$B:$B,MATCH(BK43,_names_lookup!$A:$A,0)),"")</f>
        <v/>
      </c>
      <c r="BS43" t="str">
        <f t="shared" si="10"/>
        <v/>
      </c>
    </row>
    <row r="44" spans="1:121" x14ac:dyDescent="0.2">
      <c r="O44" t="str">
        <f>IFERROR(INDEX(_courses_lookup!$C:$C,MATCH(K44&amp;L44,_courses_lookup!$E:$E,0)),"")</f>
        <v/>
      </c>
      <c r="P44" t="str">
        <f>IFERROR(INDEX(_courses_lookup!$D:$D,MATCH(K44&amp;L44,_courses_lookup!$E:$E,0)),"")</f>
        <v/>
      </c>
      <c r="AG44" t="str">
        <f t="shared" si="0"/>
        <v/>
      </c>
      <c r="AI44" t="str">
        <f t="shared" si="1"/>
        <v/>
      </c>
      <c r="AL44" t="str">
        <f t="shared" si="2"/>
        <v/>
      </c>
      <c r="AN44" t="str">
        <f t="shared" si="3"/>
        <v/>
      </c>
      <c r="AQ44" t="str">
        <f t="shared" si="4"/>
        <v/>
      </c>
      <c r="AR44" t="str">
        <f t="shared" si="5"/>
        <v/>
      </c>
      <c r="AS44" t="str">
        <f t="shared" si="6"/>
        <v/>
      </c>
      <c r="AT44" t="str">
        <f t="shared" si="7"/>
        <v/>
      </c>
      <c r="BG44" t="str">
        <f t="shared" si="8"/>
        <v/>
      </c>
      <c r="BH44" t="str">
        <f t="shared" si="9"/>
        <v/>
      </c>
      <c r="BL44" t="str">
        <f>IFERROR(INDEX(_names_lookup!$C:$C,MATCH(BK44,_names_lookup!$A:$A,0)),"")</f>
        <v/>
      </c>
      <c r="BM44" t="str">
        <f>IFERROR(INDEX(_names_lookup!$B:$B,MATCH(BK44,_names_lookup!$A:$A,0)),"")</f>
        <v/>
      </c>
      <c r="BS44" t="str">
        <f t="shared" si="10"/>
        <v/>
      </c>
    </row>
    <row r="45" spans="1:121" x14ac:dyDescent="0.2">
      <c r="O45" t="str">
        <f>IFERROR(INDEX(_courses_lookup!$C:$C,MATCH(K45&amp;L45,_courses_lookup!$E:$E,0)),"")</f>
        <v/>
      </c>
      <c r="P45" t="str">
        <f>IFERROR(INDEX(_courses_lookup!$D:$D,MATCH(K45&amp;L45,_courses_lookup!$E:$E,0)),"")</f>
        <v/>
      </c>
      <c r="AG45" t="str">
        <f t="shared" si="0"/>
        <v/>
      </c>
      <c r="AI45" t="str">
        <f t="shared" si="1"/>
        <v/>
      </c>
      <c r="AL45" t="str">
        <f t="shared" si="2"/>
        <v/>
      </c>
      <c r="AN45" t="str">
        <f t="shared" si="3"/>
        <v/>
      </c>
      <c r="AQ45" t="str">
        <f t="shared" si="4"/>
        <v/>
      </c>
      <c r="AR45" t="str">
        <f t="shared" si="5"/>
        <v/>
      </c>
      <c r="AS45" t="str">
        <f t="shared" si="6"/>
        <v/>
      </c>
      <c r="AT45" t="str">
        <f t="shared" si="7"/>
        <v/>
      </c>
      <c r="BG45" t="str">
        <f t="shared" si="8"/>
        <v/>
      </c>
      <c r="BH45" t="str">
        <f t="shared" si="9"/>
        <v/>
      </c>
      <c r="BL45" t="str">
        <f>IFERROR(INDEX(_names_lookup!$C:$C,MATCH(BK45,_names_lookup!$A:$A,0)),"")</f>
        <v/>
      </c>
      <c r="BM45" t="str">
        <f>IFERROR(INDEX(_names_lookup!$B:$B,MATCH(BK45,_names_lookup!$A:$A,0)),"")</f>
        <v/>
      </c>
      <c r="BS45" t="str">
        <f t="shared" si="10"/>
        <v/>
      </c>
    </row>
    <row r="46" spans="1:121" x14ac:dyDescent="0.2">
      <c r="O46" t="str">
        <f>IFERROR(INDEX(_courses_lookup!$C:$C,MATCH(K46&amp;L46,_courses_lookup!$E:$E,0)),"")</f>
        <v/>
      </c>
      <c r="P46" t="str">
        <f>IFERROR(INDEX(_courses_lookup!$D:$D,MATCH(K46&amp;L46,_courses_lookup!$E:$E,0)),"")</f>
        <v/>
      </c>
      <c r="AG46" t="str">
        <f t="shared" si="0"/>
        <v/>
      </c>
      <c r="AI46" t="str">
        <f t="shared" si="1"/>
        <v/>
      </c>
      <c r="AL46" t="str">
        <f t="shared" si="2"/>
        <v/>
      </c>
      <c r="AN46" t="str">
        <f t="shared" si="3"/>
        <v/>
      </c>
      <c r="AQ46" t="str">
        <f t="shared" si="4"/>
        <v/>
      </c>
      <c r="AR46" t="str">
        <f t="shared" si="5"/>
        <v/>
      </c>
      <c r="AS46" t="str">
        <f t="shared" si="6"/>
        <v/>
      </c>
      <c r="AT46" t="str">
        <f t="shared" si="7"/>
        <v/>
      </c>
      <c r="BG46" t="str">
        <f t="shared" si="8"/>
        <v/>
      </c>
      <c r="BH46" t="str">
        <f t="shared" si="9"/>
        <v/>
      </c>
      <c r="BL46" t="str">
        <f>IFERROR(INDEX(_names_lookup!$C:$C,MATCH(BK46,_names_lookup!$A:$A,0)),"")</f>
        <v/>
      </c>
      <c r="BM46" t="str">
        <f>IFERROR(INDEX(_names_lookup!$B:$B,MATCH(BK46,_names_lookup!$A:$A,0)),"")</f>
        <v/>
      </c>
      <c r="BS46" t="str">
        <f t="shared" si="10"/>
        <v/>
      </c>
    </row>
    <row r="47" spans="1:121" x14ac:dyDescent="0.2">
      <c r="O47" t="str">
        <f>IFERROR(INDEX(_courses_lookup!$C:$C,MATCH(K47&amp;L47,_courses_lookup!$E:$E,0)),"")</f>
        <v/>
      </c>
      <c r="P47" t="str">
        <f>IFERROR(INDEX(_courses_lookup!$D:$D,MATCH(K47&amp;L47,_courses_lookup!$E:$E,0)),"")</f>
        <v/>
      </c>
      <c r="AG47" t="str">
        <f t="shared" si="0"/>
        <v/>
      </c>
      <c r="AI47" t="str">
        <f t="shared" si="1"/>
        <v/>
      </c>
      <c r="AL47" t="str">
        <f t="shared" si="2"/>
        <v/>
      </c>
      <c r="AN47" t="str">
        <f t="shared" si="3"/>
        <v/>
      </c>
      <c r="AQ47" t="str">
        <f t="shared" si="4"/>
        <v/>
      </c>
      <c r="AR47" t="str">
        <f t="shared" si="5"/>
        <v/>
      </c>
      <c r="AS47" t="str">
        <f t="shared" si="6"/>
        <v/>
      </c>
      <c r="AT47" t="str">
        <f t="shared" si="7"/>
        <v/>
      </c>
      <c r="BG47" t="str">
        <f t="shared" si="8"/>
        <v/>
      </c>
      <c r="BH47" t="str">
        <f t="shared" si="9"/>
        <v/>
      </c>
      <c r="BL47" t="str">
        <f>IFERROR(INDEX(_names_lookup!$C:$C,MATCH(BK47,_names_lookup!$A:$A,0)),"")</f>
        <v/>
      </c>
      <c r="BM47" t="str">
        <f>IFERROR(INDEX(_names_lookup!$B:$B,MATCH(BK47,_names_lookup!$A:$A,0)),"")</f>
        <v/>
      </c>
      <c r="BS47" t="str">
        <f t="shared" si="10"/>
        <v/>
      </c>
    </row>
    <row r="48" spans="1:121" x14ac:dyDescent="0.2">
      <c r="O48" t="str">
        <f>IFERROR(INDEX(_courses_lookup!$C:$C,MATCH(K48&amp;L48,_courses_lookup!$E:$E,0)),"")</f>
        <v/>
      </c>
      <c r="P48" t="str">
        <f>IFERROR(INDEX(_courses_lookup!$D:$D,MATCH(K48&amp;L48,_courses_lookup!$E:$E,0)),"")</f>
        <v/>
      </c>
      <c r="AG48" t="str">
        <f t="shared" si="0"/>
        <v/>
      </c>
      <c r="AI48" t="str">
        <f t="shared" si="1"/>
        <v/>
      </c>
      <c r="AL48" t="str">
        <f t="shared" si="2"/>
        <v/>
      </c>
      <c r="AN48" t="str">
        <f t="shared" si="3"/>
        <v/>
      </c>
      <c r="AQ48" t="str">
        <f t="shared" si="4"/>
        <v/>
      </c>
      <c r="AR48" t="str">
        <f t="shared" si="5"/>
        <v/>
      </c>
      <c r="AS48" t="str">
        <f t="shared" si="6"/>
        <v/>
      </c>
      <c r="AT48" t="str">
        <f t="shared" si="7"/>
        <v/>
      </c>
      <c r="BG48" t="str">
        <f t="shared" si="8"/>
        <v/>
      </c>
      <c r="BH48" t="str">
        <f t="shared" si="9"/>
        <v/>
      </c>
      <c r="BL48" t="str">
        <f>IFERROR(INDEX(_names_lookup!$C:$C,MATCH(BK48,_names_lookup!$A:$A,0)),"")</f>
        <v/>
      </c>
      <c r="BM48" t="str">
        <f>IFERROR(INDEX(_names_lookup!$B:$B,MATCH(BK48,_names_lookup!$A:$A,0)),"")</f>
        <v/>
      </c>
      <c r="BS48" t="str">
        <f t="shared" si="10"/>
        <v/>
      </c>
    </row>
    <row r="49" spans="15:71" x14ac:dyDescent="0.2">
      <c r="O49" t="str">
        <f>IFERROR(INDEX(_courses_lookup!$C:$C,MATCH(K49&amp;L49,_courses_lookup!$E:$E,0)),"")</f>
        <v/>
      </c>
      <c r="P49" t="str">
        <f>IFERROR(INDEX(_courses_lookup!$D:$D,MATCH(K49&amp;L49,_courses_lookup!$E:$E,0)),"")</f>
        <v/>
      </c>
      <c r="AG49" t="str">
        <f t="shared" si="0"/>
        <v/>
      </c>
      <c r="AI49" t="str">
        <f t="shared" si="1"/>
        <v/>
      </c>
      <c r="AL49" t="str">
        <f t="shared" si="2"/>
        <v/>
      </c>
      <c r="AN49" t="str">
        <f t="shared" si="3"/>
        <v/>
      </c>
      <c r="AQ49" t="str">
        <f t="shared" si="4"/>
        <v/>
      </c>
      <c r="AR49" t="str">
        <f t="shared" si="5"/>
        <v/>
      </c>
      <c r="AS49" t="str">
        <f t="shared" si="6"/>
        <v/>
      </c>
      <c r="AT49" t="str">
        <f t="shared" si="7"/>
        <v/>
      </c>
      <c r="BG49" t="str">
        <f t="shared" si="8"/>
        <v/>
      </c>
      <c r="BH49" t="str">
        <f t="shared" si="9"/>
        <v/>
      </c>
      <c r="BL49" t="str">
        <f>IFERROR(INDEX(_names_lookup!$C:$C,MATCH(BK49,_names_lookup!$A:$A,0)),"")</f>
        <v/>
      </c>
      <c r="BM49" t="str">
        <f>IFERROR(INDEX(_names_lookup!$B:$B,MATCH(BK49,_names_lookup!$A:$A,0)),"")</f>
        <v/>
      </c>
      <c r="BS49" t="str">
        <f t="shared" si="10"/>
        <v/>
      </c>
    </row>
    <row r="50" spans="15:71" x14ac:dyDescent="0.2">
      <c r="O50" t="str">
        <f>IFERROR(INDEX(_courses_lookup!$C:$C,MATCH(K50&amp;L50,_courses_lookup!$E:$E,0)),"")</f>
        <v/>
      </c>
      <c r="P50" t="str">
        <f>IFERROR(INDEX(_courses_lookup!$D:$D,MATCH(K50&amp;L50,_courses_lookup!$E:$E,0)),"")</f>
        <v/>
      </c>
      <c r="AG50" t="str">
        <f t="shared" si="0"/>
        <v/>
      </c>
      <c r="AI50" t="str">
        <f t="shared" si="1"/>
        <v/>
      </c>
      <c r="AL50" t="str">
        <f t="shared" si="2"/>
        <v/>
      </c>
      <c r="AN50" t="str">
        <f t="shared" si="3"/>
        <v/>
      </c>
      <c r="AQ50" t="str">
        <f t="shared" si="4"/>
        <v/>
      </c>
      <c r="AR50" t="str">
        <f t="shared" si="5"/>
        <v/>
      </c>
      <c r="AS50" t="str">
        <f t="shared" si="6"/>
        <v/>
      </c>
      <c r="AT50" t="str">
        <f t="shared" si="7"/>
        <v/>
      </c>
      <c r="BG50" t="str">
        <f t="shared" si="8"/>
        <v/>
      </c>
      <c r="BH50" t="str">
        <f t="shared" si="9"/>
        <v/>
      </c>
      <c r="BL50" t="str">
        <f>IFERROR(INDEX(_names_lookup!$C:$C,MATCH(BK50,_names_lookup!$A:$A,0)),"")</f>
        <v/>
      </c>
      <c r="BM50" t="str">
        <f>IFERROR(INDEX(_names_lookup!$B:$B,MATCH(BK50,_names_lookup!$A:$A,0)),"")</f>
        <v/>
      </c>
      <c r="BS50" t="str">
        <f t="shared" si="10"/>
        <v/>
      </c>
    </row>
    <row r="51" spans="15:71" x14ac:dyDescent="0.2">
      <c r="O51" t="str">
        <f>IFERROR(INDEX(_courses_lookup!$C:$C,MATCH(K51&amp;L51,_courses_lookup!$E:$E,0)),"")</f>
        <v/>
      </c>
      <c r="P51" t="str">
        <f>IFERROR(INDEX(_courses_lookup!$D:$D,MATCH(K51&amp;L51,_courses_lookup!$E:$E,0)),"")</f>
        <v/>
      </c>
      <c r="AG51" t="str">
        <f t="shared" si="0"/>
        <v/>
      </c>
      <c r="AI51" t="str">
        <f t="shared" si="1"/>
        <v/>
      </c>
      <c r="AL51" t="str">
        <f t="shared" si="2"/>
        <v/>
      </c>
      <c r="AN51" t="str">
        <f t="shared" si="3"/>
        <v/>
      </c>
      <c r="AQ51" t="str">
        <f t="shared" si="4"/>
        <v/>
      </c>
      <c r="AR51" t="str">
        <f t="shared" si="5"/>
        <v/>
      </c>
      <c r="AS51" t="str">
        <f t="shared" si="6"/>
        <v/>
      </c>
      <c r="AT51" t="str">
        <f t="shared" si="7"/>
        <v/>
      </c>
      <c r="BG51" t="str">
        <f t="shared" si="8"/>
        <v/>
      </c>
      <c r="BH51" t="str">
        <f t="shared" si="9"/>
        <v/>
      </c>
      <c r="BL51" t="str">
        <f>IFERROR(INDEX(_names_lookup!$C:$C,MATCH(BK51,_names_lookup!$A:$A,0)),"")</f>
        <v/>
      </c>
      <c r="BM51" t="str">
        <f>IFERROR(INDEX(_names_lookup!$B:$B,MATCH(BK51,_names_lookup!$A:$A,0)),"")</f>
        <v/>
      </c>
      <c r="BS51" t="str">
        <f t="shared" si="10"/>
        <v/>
      </c>
    </row>
    <row r="52" spans="15:71" x14ac:dyDescent="0.2">
      <c r="O52" t="str">
        <f>IFERROR(INDEX(_courses_lookup!$C:$C,MATCH(K52&amp;L52,_courses_lookup!$E:$E,0)),"")</f>
        <v/>
      </c>
      <c r="P52" t="str">
        <f>IFERROR(INDEX(_courses_lookup!$D:$D,MATCH(K52&amp;L52,_courses_lookup!$E:$E,0)),"")</f>
        <v/>
      </c>
      <c r="AG52" t="str">
        <f t="shared" si="0"/>
        <v/>
      </c>
      <c r="AI52" t="str">
        <f t="shared" si="1"/>
        <v/>
      </c>
      <c r="AL52" t="str">
        <f t="shared" si="2"/>
        <v/>
      </c>
      <c r="AN52" t="str">
        <f t="shared" si="3"/>
        <v/>
      </c>
      <c r="AQ52" t="str">
        <f t="shared" si="4"/>
        <v/>
      </c>
      <c r="AR52" t="str">
        <f t="shared" si="5"/>
        <v/>
      </c>
      <c r="AS52" t="str">
        <f t="shared" si="6"/>
        <v/>
      </c>
      <c r="AT52" t="str">
        <f t="shared" si="7"/>
        <v/>
      </c>
      <c r="BG52" t="str">
        <f t="shared" si="8"/>
        <v/>
      </c>
      <c r="BH52" t="str">
        <f t="shared" si="9"/>
        <v/>
      </c>
      <c r="BL52" t="str">
        <f>IFERROR(INDEX(_names_lookup!$C:$C,MATCH(BK52,_names_lookup!$A:$A,0)),"")</f>
        <v/>
      </c>
      <c r="BM52" t="str">
        <f>IFERROR(INDEX(_names_lookup!$B:$B,MATCH(BK52,_names_lookup!$A:$A,0)),"")</f>
        <v/>
      </c>
      <c r="BS52" t="str">
        <f t="shared" si="10"/>
        <v/>
      </c>
    </row>
    <row r="53" spans="15:71" x14ac:dyDescent="0.2">
      <c r="O53" t="str">
        <f>IFERROR(INDEX(_courses_lookup!$C:$C,MATCH(K53&amp;L53,_courses_lookup!$E:$E,0)),"")</f>
        <v/>
      </c>
      <c r="P53" t="str">
        <f>IFERROR(INDEX(_courses_lookup!$D:$D,MATCH(K53&amp;L53,_courses_lookup!$E:$E,0)),"")</f>
        <v/>
      </c>
      <c r="AG53" t="str">
        <f t="shared" si="0"/>
        <v/>
      </c>
      <c r="AI53" t="str">
        <f t="shared" si="1"/>
        <v/>
      </c>
      <c r="AL53" t="str">
        <f t="shared" si="2"/>
        <v/>
      </c>
      <c r="AN53" t="str">
        <f t="shared" si="3"/>
        <v/>
      </c>
      <c r="AQ53" t="str">
        <f t="shared" si="4"/>
        <v/>
      </c>
      <c r="AR53" t="str">
        <f t="shared" si="5"/>
        <v/>
      </c>
      <c r="AS53" t="str">
        <f t="shared" si="6"/>
        <v/>
      </c>
      <c r="AT53" t="str">
        <f t="shared" si="7"/>
        <v/>
      </c>
      <c r="BG53" t="str">
        <f t="shared" si="8"/>
        <v/>
      </c>
      <c r="BH53" t="str">
        <f t="shared" si="9"/>
        <v/>
      </c>
      <c r="BL53" t="str">
        <f>IFERROR(INDEX(_names_lookup!$C:$C,MATCH(BK53,_names_lookup!$A:$A,0)),"")</f>
        <v/>
      </c>
      <c r="BM53" t="str">
        <f>IFERROR(INDEX(_names_lookup!$B:$B,MATCH(BK53,_names_lookup!$A:$A,0)),"")</f>
        <v/>
      </c>
      <c r="BS53" t="str">
        <f t="shared" si="10"/>
        <v/>
      </c>
    </row>
    <row r="54" spans="15:71" x14ac:dyDescent="0.2">
      <c r="O54" t="str">
        <f>IFERROR(INDEX(_courses_lookup!$C:$C,MATCH(K54&amp;L54,_courses_lookup!$E:$E,0)),"")</f>
        <v/>
      </c>
      <c r="P54" t="str">
        <f>IFERROR(INDEX(_courses_lookup!$D:$D,MATCH(K54&amp;L54,_courses_lookup!$E:$E,0)),"")</f>
        <v/>
      </c>
      <c r="AG54" t="str">
        <f t="shared" si="0"/>
        <v/>
      </c>
      <c r="AI54" t="str">
        <f t="shared" si="1"/>
        <v/>
      </c>
      <c r="AL54" t="str">
        <f t="shared" si="2"/>
        <v/>
      </c>
      <c r="AN54" t="str">
        <f t="shared" si="3"/>
        <v/>
      </c>
      <c r="AQ54" t="str">
        <f t="shared" si="4"/>
        <v/>
      </c>
      <c r="AR54" t="str">
        <f t="shared" si="5"/>
        <v/>
      </c>
      <c r="AS54" t="str">
        <f t="shared" si="6"/>
        <v/>
      </c>
      <c r="AT54" t="str">
        <f t="shared" si="7"/>
        <v/>
      </c>
      <c r="BG54" t="str">
        <f t="shared" si="8"/>
        <v/>
      </c>
      <c r="BH54" t="str">
        <f t="shared" si="9"/>
        <v/>
      </c>
      <c r="BL54" t="str">
        <f>IFERROR(INDEX(_names_lookup!$C:$C,MATCH(BK54,_names_lookup!$A:$A,0)),"")</f>
        <v/>
      </c>
      <c r="BM54" t="str">
        <f>IFERROR(INDEX(_names_lookup!$B:$B,MATCH(BK54,_names_lookup!$A:$A,0)),"")</f>
        <v/>
      </c>
      <c r="BS54" t="str">
        <f t="shared" si="10"/>
        <v/>
      </c>
    </row>
    <row r="55" spans="15:71" x14ac:dyDescent="0.2">
      <c r="O55" t="str">
        <f>IFERROR(INDEX(_courses_lookup!$C:$C,MATCH(K55&amp;L55,_courses_lookup!$E:$E,0)),"")</f>
        <v/>
      </c>
      <c r="P55" t="str">
        <f>IFERROR(INDEX(_courses_lookup!$D:$D,MATCH(K55&amp;L55,_courses_lookup!$E:$E,0)),"")</f>
        <v/>
      </c>
      <c r="AG55" t="str">
        <f t="shared" si="0"/>
        <v/>
      </c>
      <c r="AI55" t="str">
        <f t="shared" si="1"/>
        <v/>
      </c>
      <c r="AL55" t="str">
        <f t="shared" si="2"/>
        <v/>
      </c>
      <c r="AN55" t="str">
        <f t="shared" si="3"/>
        <v/>
      </c>
      <c r="AQ55" t="str">
        <f t="shared" si="4"/>
        <v/>
      </c>
      <c r="AR55" t="str">
        <f t="shared" si="5"/>
        <v/>
      </c>
      <c r="AS55" t="str">
        <f t="shared" si="6"/>
        <v/>
      </c>
      <c r="AT55" t="str">
        <f t="shared" si="7"/>
        <v/>
      </c>
      <c r="BG55" t="str">
        <f t="shared" si="8"/>
        <v/>
      </c>
      <c r="BH55" t="str">
        <f t="shared" si="9"/>
        <v/>
      </c>
      <c r="BL55" t="str">
        <f>IFERROR(INDEX(_names_lookup!$C:$C,MATCH(BK55,_names_lookup!$A:$A,0)),"")</f>
        <v/>
      </c>
      <c r="BM55" t="str">
        <f>IFERROR(INDEX(_names_lookup!$B:$B,MATCH(BK55,_names_lookup!$A:$A,0)),"")</f>
        <v/>
      </c>
      <c r="BS55" t="str">
        <f t="shared" si="10"/>
        <v/>
      </c>
    </row>
    <row r="56" spans="15:71" x14ac:dyDescent="0.2">
      <c r="O56" t="str">
        <f>IFERROR(INDEX(_courses_lookup!$C:$C,MATCH(K56&amp;L56,_courses_lookup!$E:$E,0)),"")</f>
        <v/>
      </c>
      <c r="P56" t="str">
        <f>IFERROR(INDEX(_courses_lookup!$D:$D,MATCH(K56&amp;L56,_courses_lookup!$E:$E,0)),"")</f>
        <v/>
      </c>
      <c r="AG56" t="str">
        <f t="shared" si="0"/>
        <v/>
      </c>
      <c r="AI56" t="str">
        <f t="shared" si="1"/>
        <v/>
      </c>
      <c r="AL56" t="str">
        <f t="shared" si="2"/>
        <v/>
      </c>
      <c r="AN56" t="str">
        <f t="shared" si="3"/>
        <v/>
      </c>
      <c r="AQ56" t="str">
        <f t="shared" si="4"/>
        <v/>
      </c>
      <c r="AR56" t="str">
        <f t="shared" si="5"/>
        <v/>
      </c>
      <c r="AS56" t="str">
        <f t="shared" si="6"/>
        <v/>
      </c>
      <c r="AT56" t="str">
        <f t="shared" si="7"/>
        <v/>
      </c>
      <c r="BG56" t="str">
        <f t="shared" si="8"/>
        <v/>
      </c>
      <c r="BH56" t="str">
        <f t="shared" si="9"/>
        <v/>
      </c>
      <c r="BL56" t="str">
        <f>IFERROR(INDEX(_names_lookup!$C:$C,MATCH(BK56,_names_lookup!$A:$A,0)),"")</f>
        <v/>
      </c>
      <c r="BM56" t="str">
        <f>IFERROR(INDEX(_names_lookup!$B:$B,MATCH(BK56,_names_lookup!$A:$A,0)),"")</f>
        <v/>
      </c>
      <c r="BS56" t="str">
        <f t="shared" si="10"/>
        <v/>
      </c>
    </row>
    <row r="57" spans="15:71" x14ac:dyDescent="0.2">
      <c r="O57" t="str">
        <f>IFERROR(INDEX(_courses_lookup!$C:$C,MATCH(K57&amp;L57,_courses_lookup!$E:$E,0)),"")</f>
        <v/>
      </c>
      <c r="P57" t="str">
        <f>IFERROR(INDEX(_courses_lookup!$D:$D,MATCH(K57&amp;L57,_courses_lookup!$E:$E,0)),"")</f>
        <v/>
      </c>
      <c r="AG57" t="str">
        <f t="shared" si="0"/>
        <v/>
      </c>
      <c r="AI57" t="str">
        <f t="shared" si="1"/>
        <v/>
      </c>
      <c r="AL57" t="str">
        <f t="shared" si="2"/>
        <v/>
      </c>
      <c r="AN57" t="str">
        <f t="shared" si="3"/>
        <v/>
      </c>
      <c r="AQ57" t="str">
        <f t="shared" si="4"/>
        <v/>
      </c>
      <c r="AR57" t="str">
        <f t="shared" si="5"/>
        <v/>
      </c>
      <c r="AS57" t="str">
        <f t="shared" si="6"/>
        <v/>
      </c>
      <c r="AT57" t="str">
        <f t="shared" si="7"/>
        <v/>
      </c>
      <c r="BG57" t="str">
        <f t="shared" si="8"/>
        <v/>
      </c>
      <c r="BH57" t="str">
        <f t="shared" si="9"/>
        <v/>
      </c>
      <c r="BL57" t="str">
        <f>IFERROR(INDEX(_names_lookup!$C:$C,MATCH(BK57,_names_lookup!$A:$A,0)),"")</f>
        <v/>
      </c>
      <c r="BM57" t="str">
        <f>IFERROR(INDEX(_names_lookup!$B:$B,MATCH(BK57,_names_lookup!$A:$A,0)),"")</f>
        <v/>
      </c>
      <c r="BS57" t="str">
        <f t="shared" si="10"/>
        <v/>
      </c>
    </row>
    <row r="58" spans="15:71" x14ac:dyDescent="0.2">
      <c r="O58" t="str">
        <f>IFERROR(INDEX(_courses_lookup!$C:$C,MATCH(K58&amp;L58,_courses_lookup!$E:$E,0)),"")</f>
        <v/>
      </c>
      <c r="P58" t="str">
        <f>IFERROR(INDEX(_courses_lookup!$D:$D,MATCH(K58&amp;L58,_courses_lookup!$E:$E,0)),"")</f>
        <v/>
      </c>
      <c r="AG58" t="str">
        <f t="shared" si="0"/>
        <v/>
      </c>
      <c r="AI58" t="str">
        <f t="shared" si="1"/>
        <v/>
      </c>
      <c r="AL58" t="str">
        <f t="shared" si="2"/>
        <v/>
      </c>
      <c r="AN58" t="str">
        <f t="shared" si="3"/>
        <v/>
      </c>
      <c r="AQ58" t="str">
        <f t="shared" si="4"/>
        <v/>
      </c>
      <c r="AR58" t="str">
        <f t="shared" si="5"/>
        <v/>
      </c>
      <c r="AS58" t="str">
        <f t="shared" si="6"/>
        <v/>
      </c>
      <c r="AT58" t="str">
        <f t="shared" si="7"/>
        <v/>
      </c>
      <c r="BG58" t="str">
        <f t="shared" si="8"/>
        <v/>
      </c>
      <c r="BH58" t="str">
        <f t="shared" si="9"/>
        <v/>
      </c>
      <c r="BL58" t="str">
        <f>IFERROR(INDEX(_names_lookup!$C:$C,MATCH(BK58,_names_lookup!$A:$A,0)),"")</f>
        <v/>
      </c>
      <c r="BM58" t="str">
        <f>IFERROR(INDEX(_names_lookup!$B:$B,MATCH(BK58,_names_lookup!$A:$A,0)),"")</f>
        <v/>
      </c>
      <c r="BS58" t="str">
        <f t="shared" si="10"/>
        <v/>
      </c>
    </row>
    <row r="59" spans="15:71" x14ac:dyDescent="0.2">
      <c r="O59" t="str">
        <f>IFERROR(INDEX(_courses_lookup!$C:$C,MATCH(K59&amp;L59,_courses_lookup!$E:$E,0)),"")</f>
        <v/>
      </c>
      <c r="P59" t="str">
        <f>IFERROR(INDEX(_courses_lookup!$D:$D,MATCH(K59&amp;L59,_courses_lookup!$E:$E,0)),"")</f>
        <v/>
      </c>
      <c r="AG59" t="str">
        <f t="shared" si="0"/>
        <v/>
      </c>
      <c r="AI59" t="str">
        <f t="shared" si="1"/>
        <v/>
      </c>
      <c r="AL59" t="str">
        <f t="shared" si="2"/>
        <v/>
      </c>
      <c r="AN59" t="str">
        <f t="shared" si="3"/>
        <v/>
      </c>
      <c r="AQ59" t="str">
        <f t="shared" si="4"/>
        <v/>
      </c>
      <c r="AR59" t="str">
        <f t="shared" si="5"/>
        <v/>
      </c>
      <c r="AS59" t="str">
        <f t="shared" si="6"/>
        <v/>
      </c>
      <c r="AT59" t="str">
        <f t="shared" si="7"/>
        <v/>
      </c>
      <c r="BG59" t="str">
        <f t="shared" si="8"/>
        <v/>
      </c>
      <c r="BH59" t="str">
        <f t="shared" si="9"/>
        <v/>
      </c>
      <c r="BL59" t="str">
        <f>IFERROR(INDEX(_names_lookup!$C:$C,MATCH(BK59,_names_lookup!$A:$A,0)),"")</f>
        <v/>
      </c>
      <c r="BM59" t="str">
        <f>IFERROR(INDEX(_names_lookup!$B:$B,MATCH(BK59,_names_lookup!$A:$A,0)),"")</f>
        <v/>
      </c>
      <c r="BS59" t="str">
        <f t="shared" si="10"/>
        <v/>
      </c>
    </row>
    <row r="60" spans="15:71" x14ac:dyDescent="0.2">
      <c r="O60" t="str">
        <f>IFERROR(INDEX(_courses_lookup!$C:$C,MATCH(K60&amp;L60,_courses_lookup!$E:$E,0)),"")</f>
        <v/>
      </c>
      <c r="P60" t="str">
        <f>IFERROR(INDEX(_courses_lookup!$D:$D,MATCH(K60&amp;L60,_courses_lookup!$E:$E,0)),"")</f>
        <v/>
      </c>
      <c r="AG60" t="str">
        <f t="shared" si="0"/>
        <v/>
      </c>
      <c r="AI60" t="str">
        <f t="shared" si="1"/>
        <v/>
      </c>
      <c r="AL60" t="str">
        <f t="shared" si="2"/>
        <v/>
      </c>
      <c r="AN60" t="str">
        <f t="shared" si="3"/>
        <v/>
      </c>
      <c r="AQ60" t="str">
        <f t="shared" si="4"/>
        <v/>
      </c>
      <c r="AR60" t="str">
        <f t="shared" si="5"/>
        <v/>
      </c>
      <c r="AS60" t="str">
        <f t="shared" si="6"/>
        <v/>
      </c>
      <c r="AT60" t="str">
        <f t="shared" si="7"/>
        <v/>
      </c>
      <c r="BG60" t="str">
        <f t="shared" si="8"/>
        <v/>
      </c>
      <c r="BH60" t="str">
        <f t="shared" si="9"/>
        <v/>
      </c>
      <c r="BL60" t="str">
        <f>IFERROR(INDEX(_names_lookup!$C:$C,MATCH(BK60,_names_lookup!$A:$A,0)),"")</f>
        <v/>
      </c>
      <c r="BM60" t="str">
        <f>IFERROR(INDEX(_names_lookup!$B:$B,MATCH(BK60,_names_lookup!$A:$A,0)),"")</f>
        <v/>
      </c>
      <c r="BS60" t="str">
        <f t="shared" si="10"/>
        <v/>
      </c>
    </row>
    <row r="61" spans="15:71" x14ac:dyDescent="0.2">
      <c r="O61" t="str">
        <f>IFERROR(INDEX(_courses_lookup!$C:$C,MATCH(K61&amp;L61,_courses_lookup!$E:$E,0)),"")</f>
        <v/>
      </c>
      <c r="P61" t="str">
        <f>IFERROR(INDEX(_courses_lookup!$D:$D,MATCH(K61&amp;L61,_courses_lookup!$E:$E,0)),"")</f>
        <v/>
      </c>
      <c r="AG61" t="str">
        <f t="shared" si="0"/>
        <v/>
      </c>
      <c r="AI61" t="str">
        <f t="shared" si="1"/>
        <v/>
      </c>
      <c r="AL61" t="str">
        <f t="shared" si="2"/>
        <v/>
      </c>
      <c r="AN61" t="str">
        <f t="shared" si="3"/>
        <v/>
      </c>
      <c r="AQ61" t="str">
        <f t="shared" si="4"/>
        <v/>
      </c>
      <c r="AR61" t="str">
        <f t="shared" si="5"/>
        <v/>
      </c>
      <c r="AS61" t="str">
        <f t="shared" si="6"/>
        <v/>
      </c>
      <c r="AT61" t="str">
        <f t="shared" si="7"/>
        <v/>
      </c>
      <c r="BG61" t="str">
        <f t="shared" si="8"/>
        <v/>
      </c>
      <c r="BH61" t="str">
        <f t="shared" si="9"/>
        <v/>
      </c>
      <c r="BL61" t="str">
        <f>IFERROR(INDEX(_names_lookup!$C:$C,MATCH(BK61,_names_lookup!$A:$A,0)),"")</f>
        <v/>
      </c>
      <c r="BM61" t="str">
        <f>IFERROR(INDEX(_names_lookup!$B:$B,MATCH(BK61,_names_lookup!$A:$A,0)),"")</f>
        <v/>
      </c>
      <c r="BS61" t="str">
        <f t="shared" si="10"/>
        <v/>
      </c>
    </row>
    <row r="62" spans="15:71" x14ac:dyDescent="0.2">
      <c r="O62" t="str">
        <f>IFERROR(INDEX(_courses_lookup!$C:$C,MATCH(K62&amp;L62,_courses_lookup!$E:$E,0)),"")</f>
        <v/>
      </c>
      <c r="P62" t="str">
        <f>IFERROR(INDEX(_courses_lookup!$D:$D,MATCH(K62&amp;L62,_courses_lookup!$E:$E,0)),"")</f>
        <v/>
      </c>
      <c r="AG62" t="str">
        <f t="shared" si="0"/>
        <v/>
      </c>
      <c r="AI62" t="str">
        <f t="shared" si="1"/>
        <v/>
      </c>
      <c r="AL62" t="str">
        <f t="shared" si="2"/>
        <v/>
      </c>
      <c r="AN62" t="str">
        <f t="shared" si="3"/>
        <v/>
      </c>
      <c r="AQ62" t="str">
        <f t="shared" si="4"/>
        <v/>
      </c>
      <c r="AR62" t="str">
        <f t="shared" si="5"/>
        <v/>
      </c>
      <c r="AS62" t="str">
        <f t="shared" si="6"/>
        <v/>
      </c>
      <c r="AT62" t="str">
        <f t="shared" si="7"/>
        <v/>
      </c>
      <c r="BG62" t="str">
        <f t="shared" si="8"/>
        <v/>
      </c>
      <c r="BH62" t="str">
        <f t="shared" si="9"/>
        <v/>
      </c>
      <c r="BL62" t="str">
        <f>IFERROR(INDEX(_names_lookup!$C:$C,MATCH(BK62,_names_lookup!$A:$A,0)),"")</f>
        <v/>
      </c>
      <c r="BM62" t="str">
        <f>IFERROR(INDEX(_names_lookup!$B:$B,MATCH(BK62,_names_lookup!$A:$A,0)),"")</f>
        <v/>
      </c>
      <c r="BS62" t="str">
        <f t="shared" si="10"/>
        <v/>
      </c>
    </row>
    <row r="63" spans="15:71" x14ac:dyDescent="0.2">
      <c r="O63" t="str">
        <f>IFERROR(INDEX(_courses_lookup!$C:$C,MATCH(K63&amp;L63,_courses_lookup!$E:$E,0)),"")</f>
        <v/>
      </c>
      <c r="P63" t="str">
        <f>IFERROR(INDEX(_courses_lookup!$D:$D,MATCH(K63&amp;L63,_courses_lookup!$E:$E,0)),"")</f>
        <v/>
      </c>
      <c r="AG63" t="str">
        <f t="shared" si="0"/>
        <v/>
      </c>
      <c r="AI63" t="str">
        <f t="shared" si="1"/>
        <v/>
      </c>
      <c r="AL63" t="str">
        <f t="shared" si="2"/>
        <v/>
      </c>
      <c r="AN63" t="str">
        <f t="shared" si="3"/>
        <v/>
      </c>
      <c r="AQ63" t="str">
        <f t="shared" si="4"/>
        <v/>
      </c>
      <c r="AR63" t="str">
        <f t="shared" si="5"/>
        <v/>
      </c>
      <c r="AS63" t="str">
        <f t="shared" si="6"/>
        <v/>
      </c>
      <c r="AT63" t="str">
        <f t="shared" si="7"/>
        <v/>
      </c>
      <c r="BG63" t="str">
        <f t="shared" si="8"/>
        <v/>
      </c>
      <c r="BH63" t="str">
        <f t="shared" si="9"/>
        <v/>
      </c>
      <c r="BL63" t="str">
        <f>IFERROR(INDEX(_names_lookup!$C:$C,MATCH(BK63,_names_lookup!$A:$A,0)),"")</f>
        <v/>
      </c>
      <c r="BM63" t="str">
        <f>IFERROR(INDEX(_names_lookup!$B:$B,MATCH(BK63,_names_lookup!$A:$A,0)),"")</f>
        <v/>
      </c>
      <c r="BS63" t="str">
        <f t="shared" si="10"/>
        <v/>
      </c>
    </row>
    <row r="64" spans="15:71" x14ac:dyDescent="0.2">
      <c r="O64" t="str">
        <f>IFERROR(INDEX(_courses_lookup!$C:$C,MATCH(K64&amp;L64,_courses_lookup!$E:$E,0)),"")</f>
        <v/>
      </c>
      <c r="P64" t="str">
        <f>IFERROR(INDEX(_courses_lookup!$D:$D,MATCH(K64&amp;L64,_courses_lookup!$E:$E,0)),"")</f>
        <v/>
      </c>
      <c r="AG64" t="str">
        <f t="shared" si="0"/>
        <v/>
      </c>
      <c r="AI64" t="str">
        <f t="shared" si="1"/>
        <v/>
      </c>
      <c r="AL64" t="str">
        <f t="shared" si="2"/>
        <v/>
      </c>
      <c r="AN64" t="str">
        <f t="shared" si="3"/>
        <v/>
      </c>
      <c r="AQ64" t="str">
        <f t="shared" si="4"/>
        <v/>
      </c>
      <c r="AR64" t="str">
        <f t="shared" si="5"/>
        <v/>
      </c>
      <c r="AS64" t="str">
        <f t="shared" si="6"/>
        <v/>
      </c>
      <c r="AT64" t="str">
        <f t="shared" si="7"/>
        <v/>
      </c>
      <c r="BG64" t="str">
        <f t="shared" si="8"/>
        <v/>
      </c>
      <c r="BH64" t="str">
        <f t="shared" si="9"/>
        <v/>
      </c>
      <c r="BL64" t="str">
        <f>IFERROR(INDEX(_names_lookup!$C:$C,MATCH(BK64,_names_lookup!$A:$A,0)),"")</f>
        <v/>
      </c>
      <c r="BM64" t="str">
        <f>IFERROR(INDEX(_names_lookup!$B:$B,MATCH(BK64,_names_lookup!$A:$A,0)),"")</f>
        <v/>
      </c>
      <c r="BS64" t="str">
        <f t="shared" si="10"/>
        <v/>
      </c>
    </row>
    <row r="65" spans="15:71" x14ac:dyDescent="0.2">
      <c r="O65" t="str">
        <f>IFERROR(INDEX(_courses_lookup!$C:$C,MATCH(K65&amp;L65,_courses_lookup!$E:$E,0)),"")</f>
        <v/>
      </c>
      <c r="P65" t="str">
        <f>IFERROR(INDEX(_courses_lookup!$D:$D,MATCH(K65&amp;L65,_courses_lookup!$E:$E,0)),"")</f>
        <v/>
      </c>
      <c r="AG65" t="str">
        <f t="shared" si="0"/>
        <v/>
      </c>
      <c r="AI65" t="str">
        <f t="shared" si="1"/>
        <v/>
      </c>
      <c r="AL65" t="str">
        <f t="shared" si="2"/>
        <v/>
      </c>
      <c r="AN65" t="str">
        <f t="shared" si="3"/>
        <v/>
      </c>
      <c r="AQ65" t="str">
        <f t="shared" si="4"/>
        <v/>
      </c>
      <c r="AR65" t="str">
        <f t="shared" si="5"/>
        <v/>
      </c>
      <c r="AS65" t="str">
        <f t="shared" si="6"/>
        <v/>
      </c>
      <c r="AT65" t="str">
        <f t="shared" si="7"/>
        <v/>
      </c>
      <c r="BG65" t="str">
        <f t="shared" si="8"/>
        <v/>
      </c>
      <c r="BH65" t="str">
        <f t="shared" si="9"/>
        <v/>
      </c>
      <c r="BL65" t="str">
        <f>IFERROR(INDEX(_names_lookup!$C:$C,MATCH(BK65,_names_lookup!$A:$A,0)),"")</f>
        <v/>
      </c>
      <c r="BM65" t="str">
        <f>IFERROR(INDEX(_names_lookup!$B:$B,MATCH(BK65,_names_lookup!$A:$A,0)),"")</f>
        <v/>
      </c>
      <c r="BS65" t="str">
        <f t="shared" si="10"/>
        <v/>
      </c>
    </row>
    <row r="66" spans="15:71" x14ac:dyDescent="0.2">
      <c r="O66" t="str">
        <f>IFERROR(INDEX(_courses_lookup!$C:$C,MATCH(K66&amp;L66,_courses_lookup!$E:$E,0)),"")</f>
        <v/>
      </c>
      <c r="P66" t="str">
        <f>IFERROR(INDEX(_courses_lookup!$D:$D,MATCH(K66&amp;L66,_courses_lookup!$E:$E,0)),"")</f>
        <v/>
      </c>
      <c r="AG66" t="str">
        <f t="shared" ref="AG66:AG129" si="11">IF(AND(AE66&lt;&gt;"",AF66&lt;&gt;""),ROUNDUP((AF66-AE66)/7,0),"")</f>
        <v/>
      </c>
      <c r="AI66" t="str">
        <f t="shared" ref="AI66:AI129" si="12">IFERROR(IF(AG66*AH66=0,"",AG66*AH66),"")</f>
        <v/>
      </c>
      <c r="AL66" t="str">
        <f t="shared" ref="AL66:AL129" si="13">IF(AND(AJ66&lt;&gt;"",AK66&lt;&gt;""),ROUNDUP((AK66-AJ66)/7,0),"")</f>
        <v/>
      </c>
      <c r="AN66" t="str">
        <f t="shared" ref="AN66:AN129" si="14">IFERROR(IF(AL66*AM66=0,"",AL66*AM66),"")</f>
        <v/>
      </c>
      <c r="AQ66" t="str">
        <f t="shared" ref="AQ66:AQ129" si="15">IF(AND(AO66&lt;&gt;"",AP66&lt;&gt;""),ROUNDUP((AP66-AO66)/7,0),"")</f>
        <v/>
      </c>
      <c r="AR66" t="str">
        <f t="shared" ref="AR66:AR129" si="16">IFERROR(IF((AU66-(AI66+AN66))/AQ66=0,"",ROUNDUP((AU66-(AI66+AN66))/AQ66,0)),"")</f>
        <v/>
      </c>
      <c r="AS66" t="str">
        <f t="shared" ref="AS66:AS129" si="17">IFERROR(IF((AU66-(AI66+AN66))=0,"",(AU66-(AI66+AN66))),"")</f>
        <v/>
      </c>
      <c r="AT66" t="str">
        <f t="shared" ref="AT66:AT129" si="18">IF(AND(AG66="",AQ66=""),AL66,IF(SUM(AG66,AL66,AQ66)=0,"",SUM(AG66,AL66,AQ66)))</f>
        <v/>
      </c>
      <c r="BG66" t="str">
        <f t="shared" ref="BG66:BG129" si="19">IF(AD66="","",YEAR(AD66)+IF(MONTH(AD66)&gt;=5,1,0))</f>
        <v/>
      </c>
      <c r="BH66" t="str">
        <f t="shared" ref="BH66:BH129" si="20">IF(AD66="","",IF(AND(MONTH(AD66)=8,DAY(AD66)&gt;=15),"Fall",IF(MONTH(AD66)&gt;8,"Fall",IF(MONTH(AD66)=5,"Summer",IF(MONTH(AD66)=1,"Spring","")))))</f>
        <v/>
      </c>
      <c r="BL66" t="str">
        <f>IFERROR(INDEX(_names_lookup!$C:$C,MATCH(BK66,_names_lookup!$A:$A,0)),"")</f>
        <v/>
      </c>
      <c r="BM66" t="str">
        <f>IFERROR(INDEX(_names_lookup!$B:$B,MATCH(BK66,_names_lookup!$A:$A,0)),"")</f>
        <v/>
      </c>
      <c r="BS66" t="str">
        <f t="shared" ref="BS66:BS129" si="21">IFERROR(IF(BR66*AA66=0,"",BR66*AA66),"")</f>
        <v/>
      </c>
    </row>
    <row r="67" spans="15:71" x14ac:dyDescent="0.2">
      <c r="O67" t="str">
        <f>IFERROR(INDEX(_courses_lookup!$C:$C,MATCH(K67&amp;L67,_courses_lookup!$E:$E,0)),"")</f>
        <v/>
      </c>
      <c r="P67" t="str">
        <f>IFERROR(INDEX(_courses_lookup!$D:$D,MATCH(K67&amp;L67,_courses_lookup!$E:$E,0)),"")</f>
        <v/>
      </c>
      <c r="AG67" t="str">
        <f t="shared" si="11"/>
        <v/>
      </c>
      <c r="AI67" t="str">
        <f t="shared" si="12"/>
        <v/>
      </c>
      <c r="AL67" t="str">
        <f t="shared" si="13"/>
        <v/>
      </c>
      <c r="AN67" t="str">
        <f t="shared" si="14"/>
        <v/>
      </c>
      <c r="AQ67" t="str">
        <f t="shared" si="15"/>
        <v/>
      </c>
      <c r="AR67" t="str">
        <f t="shared" si="16"/>
        <v/>
      </c>
      <c r="AS67" t="str">
        <f t="shared" si="17"/>
        <v/>
      </c>
      <c r="AT67" t="str">
        <f t="shared" si="18"/>
        <v/>
      </c>
      <c r="BG67" t="str">
        <f t="shared" si="19"/>
        <v/>
      </c>
      <c r="BH67" t="str">
        <f t="shared" si="20"/>
        <v/>
      </c>
      <c r="BL67" t="str">
        <f>IFERROR(INDEX(_names_lookup!$C:$C,MATCH(BK67,_names_lookup!$A:$A,0)),"")</f>
        <v/>
      </c>
      <c r="BM67" t="str">
        <f>IFERROR(INDEX(_names_lookup!$B:$B,MATCH(BK67,_names_lookup!$A:$A,0)),"")</f>
        <v/>
      </c>
      <c r="BS67" t="str">
        <f t="shared" si="21"/>
        <v/>
      </c>
    </row>
    <row r="68" spans="15:71" x14ac:dyDescent="0.2">
      <c r="O68" t="str">
        <f>IFERROR(INDEX(_courses_lookup!$C:$C,MATCH(K68&amp;L68,_courses_lookup!$E:$E,0)),"")</f>
        <v/>
      </c>
      <c r="P68" t="str">
        <f>IFERROR(INDEX(_courses_lookup!$D:$D,MATCH(K68&amp;L68,_courses_lookup!$E:$E,0)),"")</f>
        <v/>
      </c>
      <c r="AG68" t="str">
        <f t="shared" si="11"/>
        <v/>
      </c>
      <c r="AI68" t="str">
        <f t="shared" si="12"/>
        <v/>
      </c>
      <c r="AL68" t="str">
        <f t="shared" si="13"/>
        <v/>
      </c>
      <c r="AN68" t="str">
        <f t="shared" si="14"/>
        <v/>
      </c>
      <c r="AQ68" t="str">
        <f t="shared" si="15"/>
        <v/>
      </c>
      <c r="AR68" t="str">
        <f t="shared" si="16"/>
        <v/>
      </c>
      <c r="AS68" t="str">
        <f t="shared" si="17"/>
        <v/>
      </c>
      <c r="AT68" t="str">
        <f t="shared" si="18"/>
        <v/>
      </c>
      <c r="BG68" t="str">
        <f t="shared" si="19"/>
        <v/>
      </c>
      <c r="BH68" t="str">
        <f t="shared" si="20"/>
        <v/>
      </c>
      <c r="BL68" t="str">
        <f>IFERROR(INDEX(_names_lookup!$C:$C,MATCH(BK68,_names_lookup!$A:$A,0)),"")</f>
        <v/>
      </c>
      <c r="BM68" t="str">
        <f>IFERROR(INDEX(_names_lookup!$B:$B,MATCH(BK68,_names_lookup!$A:$A,0)),"")</f>
        <v/>
      </c>
      <c r="BS68" t="str">
        <f t="shared" si="21"/>
        <v/>
      </c>
    </row>
    <row r="69" spans="15:71" x14ac:dyDescent="0.2">
      <c r="O69" t="str">
        <f>IFERROR(INDEX(_courses_lookup!$C:$C,MATCH(K69&amp;L69,_courses_lookup!$E:$E,0)),"")</f>
        <v/>
      </c>
      <c r="P69" t="str">
        <f>IFERROR(INDEX(_courses_lookup!$D:$D,MATCH(K69&amp;L69,_courses_lookup!$E:$E,0)),"")</f>
        <v/>
      </c>
      <c r="AG69" t="str">
        <f t="shared" si="11"/>
        <v/>
      </c>
      <c r="AI69" t="str">
        <f t="shared" si="12"/>
        <v/>
      </c>
      <c r="AL69" t="str">
        <f t="shared" si="13"/>
        <v/>
      </c>
      <c r="AN69" t="str">
        <f t="shared" si="14"/>
        <v/>
      </c>
      <c r="AQ69" t="str">
        <f t="shared" si="15"/>
        <v/>
      </c>
      <c r="AR69" t="str">
        <f t="shared" si="16"/>
        <v/>
      </c>
      <c r="AS69" t="str">
        <f t="shared" si="17"/>
        <v/>
      </c>
      <c r="AT69" t="str">
        <f t="shared" si="18"/>
        <v/>
      </c>
      <c r="BG69" t="str">
        <f t="shared" si="19"/>
        <v/>
      </c>
      <c r="BH69" t="str">
        <f t="shared" si="20"/>
        <v/>
      </c>
      <c r="BL69" t="str">
        <f>IFERROR(INDEX(_names_lookup!$C:$C,MATCH(BK69,_names_lookup!$A:$A,0)),"")</f>
        <v/>
      </c>
      <c r="BM69" t="str">
        <f>IFERROR(INDEX(_names_lookup!$B:$B,MATCH(BK69,_names_lookup!$A:$A,0)),"")</f>
        <v/>
      </c>
      <c r="BS69" t="str">
        <f t="shared" si="21"/>
        <v/>
      </c>
    </row>
    <row r="70" spans="15:71" x14ac:dyDescent="0.2">
      <c r="O70" t="str">
        <f>IFERROR(INDEX(_courses_lookup!$C:$C,MATCH(K70&amp;L70,_courses_lookup!$E:$E,0)),"")</f>
        <v/>
      </c>
      <c r="P70" t="str">
        <f>IFERROR(INDEX(_courses_lookup!$D:$D,MATCH(K70&amp;L70,_courses_lookup!$E:$E,0)),"")</f>
        <v/>
      </c>
      <c r="AG70" t="str">
        <f t="shared" si="11"/>
        <v/>
      </c>
      <c r="AI70" t="str">
        <f t="shared" si="12"/>
        <v/>
      </c>
      <c r="AL70" t="str">
        <f t="shared" si="13"/>
        <v/>
      </c>
      <c r="AN70" t="str">
        <f t="shared" si="14"/>
        <v/>
      </c>
      <c r="AQ70" t="str">
        <f t="shared" si="15"/>
        <v/>
      </c>
      <c r="AR70" t="str">
        <f t="shared" si="16"/>
        <v/>
      </c>
      <c r="AS70" t="str">
        <f t="shared" si="17"/>
        <v/>
      </c>
      <c r="AT70" t="str">
        <f t="shared" si="18"/>
        <v/>
      </c>
      <c r="BG70" t="str">
        <f t="shared" si="19"/>
        <v/>
      </c>
      <c r="BH70" t="str">
        <f t="shared" si="20"/>
        <v/>
      </c>
      <c r="BL70" t="str">
        <f>IFERROR(INDEX(_names_lookup!$C:$C,MATCH(BK70,_names_lookup!$A:$A,0)),"")</f>
        <v/>
      </c>
      <c r="BM70" t="str">
        <f>IFERROR(INDEX(_names_lookup!$B:$B,MATCH(BK70,_names_lookup!$A:$A,0)),"")</f>
        <v/>
      </c>
      <c r="BS70" t="str">
        <f t="shared" si="21"/>
        <v/>
      </c>
    </row>
    <row r="71" spans="15:71" x14ac:dyDescent="0.2">
      <c r="O71" t="str">
        <f>IFERROR(INDEX(_courses_lookup!$C:$C,MATCH(K71&amp;L71,_courses_lookup!$E:$E,0)),"")</f>
        <v/>
      </c>
      <c r="P71" t="str">
        <f>IFERROR(INDEX(_courses_lookup!$D:$D,MATCH(K71&amp;L71,_courses_lookup!$E:$E,0)),"")</f>
        <v/>
      </c>
      <c r="AG71" t="str">
        <f t="shared" si="11"/>
        <v/>
      </c>
      <c r="AI71" t="str">
        <f t="shared" si="12"/>
        <v/>
      </c>
      <c r="AL71" t="str">
        <f t="shared" si="13"/>
        <v/>
      </c>
      <c r="AN71" t="str">
        <f t="shared" si="14"/>
        <v/>
      </c>
      <c r="AQ71" t="str">
        <f t="shared" si="15"/>
        <v/>
      </c>
      <c r="AR71" t="str">
        <f t="shared" si="16"/>
        <v/>
      </c>
      <c r="AS71" t="str">
        <f t="shared" si="17"/>
        <v/>
      </c>
      <c r="AT71" t="str">
        <f t="shared" si="18"/>
        <v/>
      </c>
      <c r="BG71" t="str">
        <f t="shared" si="19"/>
        <v/>
      </c>
      <c r="BH71" t="str">
        <f t="shared" si="20"/>
        <v/>
      </c>
      <c r="BL71" t="str">
        <f>IFERROR(INDEX(_names_lookup!$C:$C,MATCH(BK71,_names_lookup!$A:$A,0)),"")</f>
        <v/>
      </c>
      <c r="BM71" t="str">
        <f>IFERROR(INDEX(_names_lookup!$B:$B,MATCH(BK71,_names_lookup!$A:$A,0)),"")</f>
        <v/>
      </c>
      <c r="BS71" t="str">
        <f t="shared" si="21"/>
        <v/>
      </c>
    </row>
    <row r="72" spans="15:71" x14ac:dyDescent="0.2">
      <c r="O72" t="str">
        <f>IFERROR(INDEX(_courses_lookup!$C:$C,MATCH(K72&amp;L72,_courses_lookup!$E:$E,0)),"")</f>
        <v/>
      </c>
      <c r="P72" t="str">
        <f>IFERROR(INDEX(_courses_lookup!$D:$D,MATCH(K72&amp;L72,_courses_lookup!$E:$E,0)),"")</f>
        <v/>
      </c>
      <c r="AG72" t="str">
        <f t="shared" si="11"/>
        <v/>
      </c>
      <c r="AI72" t="str">
        <f t="shared" si="12"/>
        <v/>
      </c>
      <c r="AL72" t="str">
        <f t="shared" si="13"/>
        <v/>
      </c>
      <c r="AN72" t="str">
        <f t="shared" si="14"/>
        <v/>
      </c>
      <c r="AQ72" t="str">
        <f t="shared" si="15"/>
        <v/>
      </c>
      <c r="AR72" t="str">
        <f t="shared" si="16"/>
        <v/>
      </c>
      <c r="AS72" t="str">
        <f t="shared" si="17"/>
        <v/>
      </c>
      <c r="AT72" t="str">
        <f t="shared" si="18"/>
        <v/>
      </c>
      <c r="BG72" t="str">
        <f t="shared" si="19"/>
        <v/>
      </c>
      <c r="BH72" t="str">
        <f t="shared" si="20"/>
        <v/>
      </c>
      <c r="BL72" t="str">
        <f>IFERROR(INDEX(_names_lookup!$C:$C,MATCH(BK72,_names_lookup!$A:$A,0)),"")</f>
        <v/>
      </c>
      <c r="BM72" t="str">
        <f>IFERROR(INDEX(_names_lookup!$B:$B,MATCH(BK72,_names_lookup!$A:$A,0)),"")</f>
        <v/>
      </c>
      <c r="BS72" t="str">
        <f t="shared" si="21"/>
        <v/>
      </c>
    </row>
    <row r="73" spans="15:71" x14ac:dyDescent="0.2">
      <c r="O73" t="str">
        <f>IFERROR(INDEX(_courses_lookup!$C:$C,MATCH(K73&amp;L73,_courses_lookup!$E:$E,0)),"")</f>
        <v/>
      </c>
      <c r="P73" t="str">
        <f>IFERROR(INDEX(_courses_lookup!$D:$D,MATCH(K73&amp;L73,_courses_lookup!$E:$E,0)),"")</f>
        <v/>
      </c>
      <c r="AG73" t="str">
        <f t="shared" si="11"/>
        <v/>
      </c>
      <c r="AI73" t="str">
        <f t="shared" si="12"/>
        <v/>
      </c>
      <c r="AL73" t="str">
        <f t="shared" si="13"/>
        <v/>
      </c>
      <c r="AN73" t="str">
        <f t="shared" si="14"/>
        <v/>
      </c>
      <c r="AQ73" t="str">
        <f t="shared" si="15"/>
        <v/>
      </c>
      <c r="AR73" t="str">
        <f t="shared" si="16"/>
        <v/>
      </c>
      <c r="AS73" t="str">
        <f t="shared" si="17"/>
        <v/>
      </c>
      <c r="AT73" t="str">
        <f t="shared" si="18"/>
        <v/>
      </c>
      <c r="BG73" t="str">
        <f t="shared" si="19"/>
        <v/>
      </c>
      <c r="BH73" t="str">
        <f t="shared" si="20"/>
        <v/>
      </c>
      <c r="BL73" t="str">
        <f>IFERROR(INDEX(_names_lookup!$C:$C,MATCH(BK73,_names_lookup!$A:$A,0)),"")</f>
        <v/>
      </c>
      <c r="BM73" t="str">
        <f>IFERROR(INDEX(_names_lookup!$B:$B,MATCH(BK73,_names_lookup!$A:$A,0)),"")</f>
        <v/>
      </c>
      <c r="BS73" t="str">
        <f t="shared" si="21"/>
        <v/>
      </c>
    </row>
    <row r="74" spans="15:71" x14ac:dyDescent="0.2">
      <c r="O74" t="str">
        <f>IFERROR(INDEX(_courses_lookup!$C:$C,MATCH(K74&amp;L74,_courses_lookup!$E:$E,0)),"")</f>
        <v/>
      </c>
      <c r="P74" t="str">
        <f>IFERROR(INDEX(_courses_lookup!$D:$D,MATCH(K74&amp;L74,_courses_lookup!$E:$E,0)),"")</f>
        <v/>
      </c>
      <c r="AG74" t="str">
        <f t="shared" si="11"/>
        <v/>
      </c>
      <c r="AI74" t="str">
        <f t="shared" si="12"/>
        <v/>
      </c>
      <c r="AL74" t="str">
        <f t="shared" si="13"/>
        <v/>
      </c>
      <c r="AN74" t="str">
        <f t="shared" si="14"/>
        <v/>
      </c>
      <c r="AQ74" t="str">
        <f t="shared" si="15"/>
        <v/>
      </c>
      <c r="AR74" t="str">
        <f t="shared" si="16"/>
        <v/>
      </c>
      <c r="AS74" t="str">
        <f t="shared" si="17"/>
        <v/>
      </c>
      <c r="AT74" t="str">
        <f t="shared" si="18"/>
        <v/>
      </c>
      <c r="BG74" t="str">
        <f t="shared" si="19"/>
        <v/>
      </c>
      <c r="BH74" t="str">
        <f t="shared" si="20"/>
        <v/>
      </c>
      <c r="BL74" t="str">
        <f>IFERROR(INDEX(_names_lookup!$C:$C,MATCH(BK74,_names_lookup!$A:$A,0)),"")</f>
        <v/>
      </c>
      <c r="BM74" t="str">
        <f>IFERROR(INDEX(_names_lookup!$B:$B,MATCH(BK74,_names_lookup!$A:$A,0)),"")</f>
        <v/>
      </c>
      <c r="BS74" t="str">
        <f t="shared" si="21"/>
        <v/>
      </c>
    </row>
    <row r="75" spans="15:71" x14ac:dyDescent="0.2">
      <c r="O75" t="str">
        <f>IFERROR(INDEX(_courses_lookup!$C:$C,MATCH(K75&amp;L75,_courses_lookup!$E:$E,0)),"")</f>
        <v/>
      </c>
      <c r="P75" t="str">
        <f>IFERROR(INDEX(_courses_lookup!$D:$D,MATCH(K75&amp;L75,_courses_lookup!$E:$E,0)),"")</f>
        <v/>
      </c>
      <c r="AG75" t="str">
        <f t="shared" si="11"/>
        <v/>
      </c>
      <c r="AI75" t="str">
        <f t="shared" si="12"/>
        <v/>
      </c>
      <c r="AL75" t="str">
        <f t="shared" si="13"/>
        <v/>
      </c>
      <c r="AN75" t="str">
        <f t="shared" si="14"/>
        <v/>
      </c>
      <c r="AQ75" t="str">
        <f t="shared" si="15"/>
        <v/>
      </c>
      <c r="AR75" t="str">
        <f t="shared" si="16"/>
        <v/>
      </c>
      <c r="AS75" t="str">
        <f t="shared" si="17"/>
        <v/>
      </c>
      <c r="AT75" t="str">
        <f t="shared" si="18"/>
        <v/>
      </c>
      <c r="BG75" t="str">
        <f t="shared" si="19"/>
        <v/>
      </c>
      <c r="BH75" t="str">
        <f t="shared" si="20"/>
        <v/>
      </c>
      <c r="BL75" t="str">
        <f>IFERROR(INDEX(_names_lookup!$C:$C,MATCH(BK75,_names_lookup!$A:$A,0)),"")</f>
        <v/>
      </c>
      <c r="BM75" t="str">
        <f>IFERROR(INDEX(_names_lookup!$B:$B,MATCH(BK75,_names_lookup!$A:$A,0)),"")</f>
        <v/>
      </c>
      <c r="BS75" t="str">
        <f t="shared" si="21"/>
        <v/>
      </c>
    </row>
    <row r="76" spans="15:71" x14ac:dyDescent="0.2">
      <c r="O76" t="str">
        <f>IFERROR(INDEX(_courses_lookup!$C:$C,MATCH(K76&amp;L76,_courses_lookup!$E:$E,0)),"")</f>
        <v/>
      </c>
      <c r="P76" t="str">
        <f>IFERROR(INDEX(_courses_lookup!$D:$D,MATCH(K76&amp;L76,_courses_lookup!$E:$E,0)),"")</f>
        <v/>
      </c>
      <c r="AG76" t="str">
        <f t="shared" si="11"/>
        <v/>
      </c>
      <c r="AI76" t="str">
        <f t="shared" si="12"/>
        <v/>
      </c>
      <c r="AL76" t="str">
        <f t="shared" si="13"/>
        <v/>
      </c>
      <c r="AN76" t="str">
        <f t="shared" si="14"/>
        <v/>
      </c>
      <c r="AQ76" t="str">
        <f t="shared" si="15"/>
        <v/>
      </c>
      <c r="AR76" t="str">
        <f t="shared" si="16"/>
        <v/>
      </c>
      <c r="AS76" t="str">
        <f t="shared" si="17"/>
        <v/>
      </c>
      <c r="AT76" t="str">
        <f t="shared" si="18"/>
        <v/>
      </c>
      <c r="BG76" t="str">
        <f t="shared" si="19"/>
        <v/>
      </c>
      <c r="BH76" t="str">
        <f t="shared" si="20"/>
        <v/>
      </c>
      <c r="BL76" t="str">
        <f>IFERROR(INDEX(_names_lookup!$C:$C,MATCH(BK76,_names_lookup!$A:$A,0)),"")</f>
        <v/>
      </c>
      <c r="BM76" t="str">
        <f>IFERROR(INDEX(_names_lookup!$B:$B,MATCH(BK76,_names_lookup!$A:$A,0)),"")</f>
        <v/>
      </c>
      <c r="BS76" t="str">
        <f t="shared" si="21"/>
        <v/>
      </c>
    </row>
    <row r="77" spans="15:71" x14ac:dyDescent="0.2">
      <c r="O77" t="str">
        <f>IFERROR(INDEX(_courses_lookup!$C:$C,MATCH(K77&amp;L77,_courses_lookup!$E:$E,0)),"")</f>
        <v/>
      </c>
      <c r="P77" t="str">
        <f>IFERROR(INDEX(_courses_lookup!$D:$D,MATCH(K77&amp;L77,_courses_lookup!$E:$E,0)),"")</f>
        <v/>
      </c>
      <c r="AG77" t="str">
        <f t="shared" si="11"/>
        <v/>
      </c>
      <c r="AI77" t="str">
        <f t="shared" si="12"/>
        <v/>
      </c>
      <c r="AL77" t="str">
        <f t="shared" si="13"/>
        <v/>
      </c>
      <c r="AN77" t="str">
        <f t="shared" si="14"/>
        <v/>
      </c>
      <c r="AQ77" t="str">
        <f t="shared" si="15"/>
        <v/>
      </c>
      <c r="AR77" t="str">
        <f t="shared" si="16"/>
        <v/>
      </c>
      <c r="AS77" t="str">
        <f t="shared" si="17"/>
        <v/>
      </c>
      <c r="AT77" t="str">
        <f t="shared" si="18"/>
        <v/>
      </c>
      <c r="BG77" t="str">
        <f t="shared" si="19"/>
        <v/>
      </c>
      <c r="BH77" t="str">
        <f t="shared" si="20"/>
        <v/>
      </c>
      <c r="BL77" t="str">
        <f>IFERROR(INDEX(_names_lookup!$C:$C,MATCH(BK77,_names_lookup!$A:$A,0)),"")</f>
        <v/>
      </c>
      <c r="BM77" t="str">
        <f>IFERROR(INDEX(_names_lookup!$B:$B,MATCH(BK77,_names_lookup!$A:$A,0)),"")</f>
        <v/>
      </c>
      <c r="BS77" t="str">
        <f t="shared" si="21"/>
        <v/>
      </c>
    </row>
    <row r="78" spans="15:71" x14ac:dyDescent="0.2">
      <c r="O78" t="str">
        <f>IFERROR(INDEX(_courses_lookup!$C:$C,MATCH(K78&amp;L78,_courses_lookup!$E:$E,0)),"")</f>
        <v/>
      </c>
      <c r="P78" t="str">
        <f>IFERROR(INDEX(_courses_lookup!$D:$D,MATCH(K78&amp;L78,_courses_lookup!$E:$E,0)),"")</f>
        <v/>
      </c>
      <c r="AG78" t="str">
        <f t="shared" si="11"/>
        <v/>
      </c>
      <c r="AI78" t="str">
        <f t="shared" si="12"/>
        <v/>
      </c>
      <c r="AL78" t="str">
        <f t="shared" si="13"/>
        <v/>
      </c>
      <c r="AN78" t="str">
        <f t="shared" si="14"/>
        <v/>
      </c>
      <c r="AQ78" t="str">
        <f t="shared" si="15"/>
        <v/>
      </c>
      <c r="AR78" t="str">
        <f t="shared" si="16"/>
        <v/>
      </c>
      <c r="AS78" t="str">
        <f t="shared" si="17"/>
        <v/>
      </c>
      <c r="AT78" t="str">
        <f t="shared" si="18"/>
        <v/>
      </c>
      <c r="BG78" t="str">
        <f t="shared" si="19"/>
        <v/>
      </c>
      <c r="BH78" t="str">
        <f t="shared" si="20"/>
        <v/>
      </c>
      <c r="BL78" t="str">
        <f>IFERROR(INDEX(_names_lookup!$C:$C,MATCH(BK78,_names_lookup!$A:$A,0)),"")</f>
        <v/>
      </c>
      <c r="BM78" t="str">
        <f>IFERROR(INDEX(_names_lookup!$B:$B,MATCH(BK78,_names_lookup!$A:$A,0)),"")</f>
        <v/>
      </c>
      <c r="BS78" t="str">
        <f t="shared" si="21"/>
        <v/>
      </c>
    </row>
    <row r="79" spans="15:71" x14ac:dyDescent="0.2">
      <c r="O79" t="str">
        <f>IFERROR(INDEX(_courses_lookup!$C:$C,MATCH(K79&amp;L79,_courses_lookup!$E:$E,0)),"")</f>
        <v/>
      </c>
      <c r="P79" t="str">
        <f>IFERROR(INDEX(_courses_lookup!$D:$D,MATCH(K79&amp;L79,_courses_lookup!$E:$E,0)),"")</f>
        <v/>
      </c>
      <c r="AG79" t="str">
        <f t="shared" si="11"/>
        <v/>
      </c>
      <c r="AI79" t="str">
        <f t="shared" si="12"/>
        <v/>
      </c>
      <c r="AL79" t="str">
        <f t="shared" si="13"/>
        <v/>
      </c>
      <c r="AN79" t="str">
        <f t="shared" si="14"/>
        <v/>
      </c>
      <c r="AQ79" t="str">
        <f t="shared" si="15"/>
        <v/>
      </c>
      <c r="AR79" t="str">
        <f t="shared" si="16"/>
        <v/>
      </c>
      <c r="AS79" t="str">
        <f t="shared" si="17"/>
        <v/>
      </c>
      <c r="AT79" t="str">
        <f t="shared" si="18"/>
        <v/>
      </c>
      <c r="BG79" t="str">
        <f t="shared" si="19"/>
        <v/>
      </c>
      <c r="BH79" t="str">
        <f t="shared" si="20"/>
        <v/>
      </c>
      <c r="BL79" t="str">
        <f>IFERROR(INDEX(_names_lookup!$C:$C,MATCH(BK79,_names_lookup!$A:$A,0)),"")</f>
        <v/>
      </c>
      <c r="BM79" t="str">
        <f>IFERROR(INDEX(_names_lookup!$B:$B,MATCH(BK79,_names_lookup!$A:$A,0)),"")</f>
        <v/>
      </c>
      <c r="BS79" t="str">
        <f t="shared" si="21"/>
        <v/>
      </c>
    </row>
    <row r="80" spans="15:71" x14ac:dyDescent="0.2">
      <c r="O80" t="str">
        <f>IFERROR(INDEX(_courses_lookup!$C:$C,MATCH(K80&amp;L80,_courses_lookup!$E:$E,0)),"")</f>
        <v/>
      </c>
      <c r="P80" t="str">
        <f>IFERROR(INDEX(_courses_lookup!$D:$D,MATCH(K80&amp;L80,_courses_lookup!$E:$E,0)),"")</f>
        <v/>
      </c>
      <c r="AG80" t="str">
        <f t="shared" si="11"/>
        <v/>
      </c>
      <c r="AI80" t="str">
        <f t="shared" si="12"/>
        <v/>
      </c>
      <c r="AL80" t="str">
        <f t="shared" si="13"/>
        <v/>
      </c>
      <c r="AN80" t="str">
        <f t="shared" si="14"/>
        <v/>
      </c>
      <c r="AQ80" t="str">
        <f t="shared" si="15"/>
        <v/>
      </c>
      <c r="AR80" t="str">
        <f t="shared" si="16"/>
        <v/>
      </c>
      <c r="AS80" t="str">
        <f t="shared" si="17"/>
        <v/>
      </c>
      <c r="AT80" t="str">
        <f t="shared" si="18"/>
        <v/>
      </c>
      <c r="BG80" t="str">
        <f t="shared" si="19"/>
        <v/>
      </c>
      <c r="BH80" t="str">
        <f t="shared" si="20"/>
        <v/>
      </c>
      <c r="BL80" t="str">
        <f>IFERROR(INDEX(_names_lookup!$C:$C,MATCH(BK80,_names_lookup!$A:$A,0)),"")</f>
        <v/>
      </c>
      <c r="BM80" t="str">
        <f>IFERROR(INDEX(_names_lookup!$B:$B,MATCH(BK80,_names_lookup!$A:$A,0)),"")</f>
        <v/>
      </c>
      <c r="BS80" t="str">
        <f t="shared" si="21"/>
        <v/>
      </c>
    </row>
    <row r="81" spans="15:71" x14ac:dyDescent="0.2">
      <c r="O81" t="str">
        <f>IFERROR(INDEX(_courses_lookup!$C:$C,MATCH(K81&amp;L81,_courses_lookup!$E:$E,0)),"")</f>
        <v/>
      </c>
      <c r="P81" t="str">
        <f>IFERROR(INDEX(_courses_lookup!$D:$D,MATCH(K81&amp;L81,_courses_lookup!$E:$E,0)),"")</f>
        <v/>
      </c>
      <c r="AG81" t="str">
        <f t="shared" si="11"/>
        <v/>
      </c>
      <c r="AI81" t="str">
        <f t="shared" si="12"/>
        <v/>
      </c>
      <c r="AL81" t="str">
        <f t="shared" si="13"/>
        <v/>
      </c>
      <c r="AN81" t="str">
        <f t="shared" si="14"/>
        <v/>
      </c>
      <c r="AQ81" t="str">
        <f t="shared" si="15"/>
        <v/>
      </c>
      <c r="AR81" t="str">
        <f t="shared" si="16"/>
        <v/>
      </c>
      <c r="AS81" t="str">
        <f t="shared" si="17"/>
        <v/>
      </c>
      <c r="AT81" t="str">
        <f t="shared" si="18"/>
        <v/>
      </c>
      <c r="BG81" t="str">
        <f t="shared" si="19"/>
        <v/>
      </c>
      <c r="BH81" t="str">
        <f t="shared" si="20"/>
        <v/>
      </c>
      <c r="BL81" t="str">
        <f>IFERROR(INDEX(_names_lookup!$C:$C,MATCH(BK81,_names_lookup!$A:$A,0)),"")</f>
        <v/>
      </c>
      <c r="BM81" t="str">
        <f>IFERROR(INDEX(_names_lookup!$B:$B,MATCH(BK81,_names_lookup!$A:$A,0)),"")</f>
        <v/>
      </c>
      <c r="BS81" t="str">
        <f t="shared" si="21"/>
        <v/>
      </c>
    </row>
    <row r="82" spans="15:71" x14ac:dyDescent="0.2">
      <c r="O82" t="str">
        <f>IFERROR(INDEX(_courses_lookup!$C:$C,MATCH(K82&amp;L82,_courses_lookup!$E:$E,0)),"")</f>
        <v/>
      </c>
      <c r="P82" t="str">
        <f>IFERROR(INDEX(_courses_lookup!$D:$D,MATCH(K82&amp;L82,_courses_lookup!$E:$E,0)),"")</f>
        <v/>
      </c>
      <c r="AG82" t="str">
        <f t="shared" si="11"/>
        <v/>
      </c>
      <c r="AI82" t="str">
        <f t="shared" si="12"/>
        <v/>
      </c>
      <c r="AL82" t="str">
        <f t="shared" si="13"/>
        <v/>
      </c>
      <c r="AN82" t="str">
        <f t="shared" si="14"/>
        <v/>
      </c>
      <c r="AQ82" t="str">
        <f t="shared" si="15"/>
        <v/>
      </c>
      <c r="AR82" t="str">
        <f t="shared" si="16"/>
        <v/>
      </c>
      <c r="AS82" t="str">
        <f t="shared" si="17"/>
        <v/>
      </c>
      <c r="AT82" t="str">
        <f t="shared" si="18"/>
        <v/>
      </c>
      <c r="BG82" t="str">
        <f t="shared" si="19"/>
        <v/>
      </c>
      <c r="BH82" t="str">
        <f t="shared" si="20"/>
        <v/>
      </c>
      <c r="BL82" t="str">
        <f>IFERROR(INDEX(_names_lookup!$C:$C,MATCH(BK82,_names_lookup!$A:$A,0)),"")</f>
        <v/>
      </c>
      <c r="BM82" t="str">
        <f>IFERROR(INDEX(_names_lookup!$B:$B,MATCH(BK82,_names_lookup!$A:$A,0)),"")</f>
        <v/>
      </c>
      <c r="BS82" t="str">
        <f t="shared" si="21"/>
        <v/>
      </c>
    </row>
    <row r="83" spans="15:71" x14ac:dyDescent="0.2">
      <c r="O83" t="str">
        <f>IFERROR(INDEX(_courses_lookup!$C:$C,MATCH(K83&amp;L83,_courses_lookup!$E:$E,0)),"")</f>
        <v/>
      </c>
      <c r="P83" t="str">
        <f>IFERROR(INDEX(_courses_lookup!$D:$D,MATCH(K83&amp;L83,_courses_lookup!$E:$E,0)),"")</f>
        <v/>
      </c>
      <c r="AG83" t="str">
        <f t="shared" si="11"/>
        <v/>
      </c>
      <c r="AI83" t="str">
        <f t="shared" si="12"/>
        <v/>
      </c>
      <c r="AL83" t="str">
        <f t="shared" si="13"/>
        <v/>
      </c>
      <c r="AN83" t="str">
        <f t="shared" si="14"/>
        <v/>
      </c>
      <c r="AQ83" t="str">
        <f t="shared" si="15"/>
        <v/>
      </c>
      <c r="AR83" t="str">
        <f t="shared" si="16"/>
        <v/>
      </c>
      <c r="AS83" t="str">
        <f t="shared" si="17"/>
        <v/>
      </c>
      <c r="AT83" t="str">
        <f t="shared" si="18"/>
        <v/>
      </c>
      <c r="BG83" t="str">
        <f t="shared" si="19"/>
        <v/>
      </c>
      <c r="BH83" t="str">
        <f t="shared" si="20"/>
        <v/>
      </c>
      <c r="BL83" t="str">
        <f>IFERROR(INDEX(_names_lookup!$C:$C,MATCH(BK83,_names_lookup!$A:$A,0)),"")</f>
        <v/>
      </c>
      <c r="BM83" t="str">
        <f>IFERROR(INDEX(_names_lookup!$B:$B,MATCH(BK83,_names_lookup!$A:$A,0)),"")</f>
        <v/>
      </c>
      <c r="BS83" t="str">
        <f t="shared" si="21"/>
        <v/>
      </c>
    </row>
    <row r="84" spans="15:71" x14ac:dyDescent="0.2">
      <c r="O84" t="str">
        <f>IFERROR(INDEX(_courses_lookup!$C:$C,MATCH(K84&amp;L84,_courses_lookup!$E:$E,0)),"")</f>
        <v/>
      </c>
      <c r="P84" t="str">
        <f>IFERROR(INDEX(_courses_lookup!$D:$D,MATCH(K84&amp;L84,_courses_lookup!$E:$E,0)),"")</f>
        <v/>
      </c>
      <c r="AG84" t="str">
        <f t="shared" si="11"/>
        <v/>
      </c>
      <c r="AI84" t="str">
        <f t="shared" si="12"/>
        <v/>
      </c>
      <c r="AL84" t="str">
        <f t="shared" si="13"/>
        <v/>
      </c>
      <c r="AN84" t="str">
        <f t="shared" si="14"/>
        <v/>
      </c>
      <c r="AQ84" t="str">
        <f t="shared" si="15"/>
        <v/>
      </c>
      <c r="AR84" t="str">
        <f t="shared" si="16"/>
        <v/>
      </c>
      <c r="AS84" t="str">
        <f t="shared" si="17"/>
        <v/>
      </c>
      <c r="AT84" t="str">
        <f t="shared" si="18"/>
        <v/>
      </c>
      <c r="BG84" t="str">
        <f t="shared" si="19"/>
        <v/>
      </c>
      <c r="BH84" t="str">
        <f t="shared" si="20"/>
        <v/>
      </c>
      <c r="BL84" t="str">
        <f>IFERROR(INDEX(_names_lookup!$C:$C,MATCH(BK84,_names_lookup!$A:$A,0)),"")</f>
        <v/>
      </c>
      <c r="BM84" t="str">
        <f>IFERROR(INDEX(_names_lookup!$B:$B,MATCH(BK84,_names_lookup!$A:$A,0)),"")</f>
        <v/>
      </c>
      <c r="BS84" t="str">
        <f t="shared" si="21"/>
        <v/>
      </c>
    </row>
    <row r="85" spans="15:71" x14ac:dyDescent="0.2">
      <c r="O85" t="str">
        <f>IFERROR(INDEX(_courses_lookup!$C:$C,MATCH(K85&amp;L85,_courses_lookup!$E:$E,0)),"")</f>
        <v/>
      </c>
      <c r="P85" t="str">
        <f>IFERROR(INDEX(_courses_lookup!$D:$D,MATCH(K85&amp;L85,_courses_lookup!$E:$E,0)),"")</f>
        <v/>
      </c>
      <c r="AG85" t="str">
        <f t="shared" si="11"/>
        <v/>
      </c>
      <c r="AI85" t="str">
        <f t="shared" si="12"/>
        <v/>
      </c>
      <c r="AL85" t="str">
        <f t="shared" si="13"/>
        <v/>
      </c>
      <c r="AN85" t="str">
        <f t="shared" si="14"/>
        <v/>
      </c>
      <c r="AQ85" t="str">
        <f t="shared" si="15"/>
        <v/>
      </c>
      <c r="AR85" t="str">
        <f t="shared" si="16"/>
        <v/>
      </c>
      <c r="AS85" t="str">
        <f t="shared" si="17"/>
        <v/>
      </c>
      <c r="AT85" t="str">
        <f t="shared" si="18"/>
        <v/>
      </c>
      <c r="BG85" t="str">
        <f t="shared" si="19"/>
        <v/>
      </c>
      <c r="BH85" t="str">
        <f t="shared" si="20"/>
        <v/>
      </c>
      <c r="BL85" t="str">
        <f>IFERROR(INDEX(_names_lookup!$C:$C,MATCH(BK85,_names_lookup!$A:$A,0)),"")</f>
        <v/>
      </c>
      <c r="BM85" t="str">
        <f>IFERROR(INDEX(_names_lookup!$B:$B,MATCH(BK85,_names_lookup!$A:$A,0)),"")</f>
        <v/>
      </c>
      <c r="BS85" t="str">
        <f t="shared" si="21"/>
        <v/>
      </c>
    </row>
    <row r="86" spans="15:71" x14ac:dyDescent="0.2">
      <c r="O86" t="str">
        <f>IFERROR(INDEX(_courses_lookup!$C:$C,MATCH(K86&amp;L86,_courses_lookup!$E:$E,0)),"")</f>
        <v/>
      </c>
      <c r="P86" t="str">
        <f>IFERROR(INDEX(_courses_lookup!$D:$D,MATCH(K86&amp;L86,_courses_lookup!$E:$E,0)),"")</f>
        <v/>
      </c>
      <c r="AG86" t="str">
        <f t="shared" si="11"/>
        <v/>
      </c>
      <c r="AI86" t="str">
        <f t="shared" si="12"/>
        <v/>
      </c>
      <c r="AL86" t="str">
        <f t="shared" si="13"/>
        <v/>
      </c>
      <c r="AN86" t="str">
        <f t="shared" si="14"/>
        <v/>
      </c>
      <c r="AQ86" t="str">
        <f t="shared" si="15"/>
        <v/>
      </c>
      <c r="AR86" t="str">
        <f t="shared" si="16"/>
        <v/>
      </c>
      <c r="AS86" t="str">
        <f t="shared" si="17"/>
        <v/>
      </c>
      <c r="AT86" t="str">
        <f t="shared" si="18"/>
        <v/>
      </c>
      <c r="BG86" t="str">
        <f t="shared" si="19"/>
        <v/>
      </c>
      <c r="BH86" t="str">
        <f t="shared" si="20"/>
        <v/>
      </c>
      <c r="BL86" t="str">
        <f>IFERROR(INDEX(_names_lookup!$C:$C,MATCH(BK86,_names_lookup!$A:$A,0)),"")</f>
        <v/>
      </c>
      <c r="BM86" t="str">
        <f>IFERROR(INDEX(_names_lookup!$B:$B,MATCH(BK86,_names_lookup!$A:$A,0)),"")</f>
        <v/>
      </c>
      <c r="BS86" t="str">
        <f t="shared" si="21"/>
        <v/>
      </c>
    </row>
    <row r="87" spans="15:71" x14ac:dyDescent="0.2">
      <c r="O87" t="str">
        <f>IFERROR(INDEX(_courses_lookup!$C:$C,MATCH(K87&amp;L87,_courses_lookup!$E:$E,0)),"")</f>
        <v/>
      </c>
      <c r="P87" t="str">
        <f>IFERROR(INDEX(_courses_lookup!$D:$D,MATCH(K87&amp;L87,_courses_lookup!$E:$E,0)),"")</f>
        <v/>
      </c>
      <c r="AG87" t="str">
        <f t="shared" si="11"/>
        <v/>
      </c>
      <c r="AI87" t="str">
        <f t="shared" si="12"/>
        <v/>
      </c>
      <c r="AL87" t="str">
        <f t="shared" si="13"/>
        <v/>
      </c>
      <c r="AN87" t="str">
        <f t="shared" si="14"/>
        <v/>
      </c>
      <c r="AQ87" t="str">
        <f t="shared" si="15"/>
        <v/>
      </c>
      <c r="AR87" t="str">
        <f t="shared" si="16"/>
        <v/>
      </c>
      <c r="AS87" t="str">
        <f t="shared" si="17"/>
        <v/>
      </c>
      <c r="AT87" t="str">
        <f t="shared" si="18"/>
        <v/>
      </c>
      <c r="BG87" t="str">
        <f t="shared" si="19"/>
        <v/>
      </c>
      <c r="BH87" t="str">
        <f t="shared" si="20"/>
        <v/>
      </c>
      <c r="BL87" t="str">
        <f>IFERROR(INDEX(_names_lookup!$C:$C,MATCH(BK87,_names_lookup!$A:$A,0)),"")</f>
        <v/>
      </c>
      <c r="BM87" t="str">
        <f>IFERROR(INDEX(_names_lookup!$B:$B,MATCH(BK87,_names_lookup!$A:$A,0)),"")</f>
        <v/>
      </c>
      <c r="BS87" t="str">
        <f t="shared" si="21"/>
        <v/>
      </c>
    </row>
    <row r="88" spans="15:71" x14ac:dyDescent="0.2">
      <c r="O88" t="str">
        <f>IFERROR(INDEX(_courses_lookup!$C:$C,MATCH(K88&amp;L88,_courses_lookup!$E:$E,0)),"")</f>
        <v/>
      </c>
      <c r="P88" t="str">
        <f>IFERROR(INDEX(_courses_lookup!$D:$D,MATCH(K88&amp;L88,_courses_lookup!$E:$E,0)),"")</f>
        <v/>
      </c>
      <c r="AG88" t="str">
        <f t="shared" si="11"/>
        <v/>
      </c>
      <c r="AI88" t="str">
        <f t="shared" si="12"/>
        <v/>
      </c>
      <c r="AL88" t="str">
        <f t="shared" si="13"/>
        <v/>
      </c>
      <c r="AN88" t="str">
        <f t="shared" si="14"/>
        <v/>
      </c>
      <c r="AQ88" t="str">
        <f t="shared" si="15"/>
        <v/>
      </c>
      <c r="AR88" t="str">
        <f t="shared" si="16"/>
        <v/>
      </c>
      <c r="AS88" t="str">
        <f t="shared" si="17"/>
        <v/>
      </c>
      <c r="AT88" t="str">
        <f t="shared" si="18"/>
        <v/>
      </c>
      <c r="BG88" t="str">
        <f t="shared" si="19"/>
        <v/>
      </c>
      <c r="BH88" t="str">
        <f t="shared" si="20"/>
        <v/>
      </c>
      <c r="BL88" t="str">
        <f>IFERROR(INDEX(_names_lookup!$C:$C,MATCH(BK88,_names_lookup!$A:$A,0)),"")</f>
        <v/>
      </c>
      <c r="BM88" t="str">
        <f>IFERROR(INDEX(_names_lookup!$B:$B,MATCH(BK88,_names_lookup!$A:$A,0)),"")</f>
        <v/>
      </c>
      <c r="BS88" t="str">
        <f t="shared" si="21"/>
        <v/>
      </c>
    </row>
    <row r="89" spans="15:71" x14ac:dyDescent="0.2">
      <c r="O89" t="str">
        <f>IFERROR(INDEX(_courses_lookup!$C:$C,MATCH(K89&amp;L89,_courses_lookup!$E:$E,0)),"")</f>
        <v/>
      </c>
      <c r="P89" t="str">
        <f>IFERROR(INDEX(_courses_lookup!$D:$D,MATCH(K89&amp;L89,_courses_lookup!$E:$E,0)),"")</f>
        <v/>
      </c>
      <c r="AG89" t="str">
        <f t="shared" si="11"/>
        <v/>
      </c>
      <c r="AI89" t="str">
        <f t="shared" si="12"/>
        <v/>
      </c>
      <c r="AL89" t="str">
        <f t="shared" si="13"/>
        <v/>
      </c>
      <c r="AN89" t="str">
        <f t="shared" si="14"/>
        <v/>
      </c>
      <c r="AQ89" t="str">
        <f t="shared" si="15"/>
        <v/>
      </c>
      <c r="AR89" t="str">
        <f t="shared" si="16"/>
        <v/>
      </c>
      <c r="AS89" t="str">
        <f t="shared" si="17"/>
        <v/>
      </c>
      <c r="AT89" t="str">
        <f t="shared" si="18"/>
        <v/>
      </c>
      <c r="BG89" t="str">
        <f t="shared" si="19"/>
        <v/>
      </c>
      <c r="BH89" t="str">
        <f t="shared" si="20"/>
        <v/>
      </c>
      <c r="BL89" t="str">
        <f>IFERROR(INDEX(_names_lookup!$C:$C,MATCH(BK89,_names_lookup!$A:$A,0)),"")</f>
        <v/>
      </c>
      <c r="BM89" t="str">
        <f>IFERROR(INDEX(_names_lookup!$B:$B,MATCH(BK89,_names_lookup!$A:$A,0)),"")</f>
        <v/>
      </c>
      <c r="BS89" t="str">
        <f t="shared" si="21"/>
        <v/>
      </c>
    </row>
    <row r="90" spans="15:71" x14ac:dyDescent="0.2">
      <c r="O90" t="str">
        <f>IFERROR(INDEX(_courses_lookup!$C:$C,MATCH(K90&amp;L90,_courses_lookup!$E:$E,0)),"")</f>
        <v/>
      </c>
      <c r="P90" t="str">
        <f>IFERROR(INDEX(_courses_lookup!$D:$D,MATCH(K90&amp;L90,_courses_lookup!$E:$E,0)),"")</f>
        <v/>
      </c>
      <c r="AG90" t="str">
        <f t="shared" si="11"/>
        <v/>
      </c>
      <c r="AI90" t="str">
        <f t="shared" si="12"/>
        <v/>
      </c>
      <c r="AL90" t="str">
        <f t="shared" si="13"/>
        <v/>
      </c>
      <c r="AN90" t="str">
        <f t="shared" si="14"/>
        <v/>
      </c>
      <c r="AQ90" t="str">
        <f t="shared" si="15"/>
        <v/>
      </c>
      <c r="AR90" t="str">
        <f t="shared" si="16"/>
        <v/>
      </c>
      <c r="AS90" t="str">
        <f t="shared" si="17"/>
        <v/>
      </c>
      <c r="AT90" t="str">
        <f t="shared" si="18"/>
        <v/>
      </c>
      <c r="BG90" t="str">
        <f t="shared" si="19"/>
        <v/>
      </c>
      <c r="BH90" t="str">
        <f t="shared" si="20"/>
        <v/>
      </c>
      <c r="BL90" t="str">
        <f>IFERROR(INDEX(_names_lookup!$C:$C,MATCH(BK90,_names_lookup!$A:$A,0)),"")</f>
        <v/>
      </c>
      <c r="BM90" t="str">
        <f>IFERROR(INDEX(_names_lookup!$B:$B,MATCH(BK90,_names_lookup!$A:$A,0)),"")</f>
        <v/>
      </c>
      <c r="BS90" t="str">
        <f t="shared" si="21"/>
        <v/>
      </c>
    </row>
    <row r="91" spans="15:71" x14ac:dyDescent="0.2">
      <c r="O91" t="str">
        <f>IFERROR(INDEX(_courses_lookup!$C:$C,MATCH(K91&amp;L91,_courses_lookup!$E:$E,0)),"")</f>
        <v/>
      </c>
      <c r="P91" t="str">
        <f>IFERROR(INDEX(_courses_lookup!$D:$D,MATCH(K91&amp;L91,_courses_lookup!$E:$E,0)),"")</f>
        <v/>
      </c>
      <c r="AG91" t="str">
        <f t="shared" si="11"/>
        <v/>
      </c>
      <c r="AI91" t="str">
        <f t="shared" si="12"/>
        <v/>
      </c>
      <c r="AL91" t="str">
        <f t="shared" si="13"/>
        <v/>
      </c>
      <c r="AN91" t="str">
        <f t="shared" si="14"/>
        <v/>
      </c>
      <c r="AQ91" t="str">
        <f t="shared" si="15"/>
        <v/>
      </c>
      <c r="AR91" t="str">
        <f t="shared" si="16"/>
        <v/>
      </c>
      <c r="AS91" t="str">
        <f t="shared" si="17"/>
        <v/>
      </c>
      <c r="AT91" t="str">
        <f t="shared" si="18"/>
        <v/>
      </c>
      <c r="BG91" t="str">
        <f t="shared" si="19"/>
        <v/>
      </c>
      <c r="BH91" t="str">
        <f t="shared" si="20"/>
        <v/>
      </c>
      <c r="BL91" t="str">
        <f>IFERROR(INDEX(_names_lookup!$C:$C,MATCH(BK91,_names_lookup!$A:$A,0)),"")</f>
        <v/>
      </c>
      <c r="BM91" t="str">
        <f>IFERROR(INDEX(_names_lookup!$B:$B,MATCH(BK91,_names_lookup!$A:$A,0)),"")</f>
        <v/>
      </c>
      <c r="BS91" t="str">
        <f t="shared" si="21"/>
        <v/>
      </c>
    </row>
    <row r="92" spans="15:71" x14ac:dyDescent="0.2">
      <c r="O92" t="str">
        <f>IFERROR(INDEX(_courses_lookup!$C:$C,MATCH(K92&amp;L92,_courses_lookup!$E:$E,0)),"")</f>
        <v/>
      </c>
      <c r="P92" t="str">
        <f>IFERROR(INDEX(_courses_lookup!$D:$D,MATCH(K92&amp;L92,_courses_lookup!$E:$E,0)),"")</f>
        <v/>
      </c>
      <c r="AG92" t="str">
        <f t="shared" si="11"/>
        <v/>
      </c>
      <c r="AI92" t="str">
        <f t="shared" si="12"/>
        <v/>
      </c>
      <c r="AL92" t="str">
        <f t="shared" si="13"/>
        <v/>
      </c>
      <c r="AN92" t="str">
        <f t="shared" si="14"/>
        <v/>
      </c>
      <c r="AQ92" t="str">
        <f t="shared" si="15"/>
        <v/>
      </c>
      <c r="AR92" t="str">
        <f t="shared" si="16"/>
        <v/>
      </c>
      <c r="AS92" t="str">
        <f t="shared" si="17"/>
        <v/>
      </c>
      <c r="AT92" t="str">
        <f t="shared" si="18"/>
        <v/>
      </c>
      <c r="BG92" t="str">
        <f t="shared" si="19"/>
        <v/>
      </c>
      <c r="BH92" t="str">
        <f t="shared" si="20"/>
        <v/>
      </c>
      <c r="BL92" t="str">
        <f>IFERROR(INDEX(_names_lookup!$C:$C,MATCH(BK92,_names_lookup!$A:$A,0)),"")</f>
        <v/>
      </c>
      <c r="BM92" t="str">
        <f>IFERROR(INDEX(_names_lookup!$B:$B,MATCH(BK92,_names_lookup!$A:$A,0)),"")</f>
        <v/>
      </c>
      <c r="BS92" t="str">
        <f t="shared" si="21"/>
        <v/>
      </c>
    </row>
    <row r="93" spans="15:71" x14ac:dyDescent="0.2">
      <c r="O93" t="str">
        <f>IFERROR(INDEX(_courses_lookup!$C:$C,MATCH(K93&amp;L93,_courses_lookup!$E:$E,0)),"")</f>
        <v/>
      </c>
      <c r="P93" t="str">
        <f>IFERROR(INDEX(_courses_lookup!$D:$D,MATCH(K93&amp;L93,_courses_lookup!$E:$E,0)),"")</f>
        <v/>
      </c>
      <c r="AG93" t="str">
        <f t="shared" si="11"/>
        <v/>
      </c>
      <c r="AI93" t="str">
        <f t="shared" si="12"/>
        <v/>
      </c>
      <c r="AL93" t="str">
        <f t="shared" si="13"/>
        <v/>
      </c>
      <c r="AN93" t="str">
        <f t="shared" si="14"/>
        <v/>
      </c>
      <c r="AQ93" t="str">
        <f t="shared" si="15"/>
        <v/>
      </c>
      <c r="AR93" t="str">
        <f t="shared" si="16"/>
        <v/>
      </c>
      <c r="AS93" t="str">
        <f t="shared" si="17"/>
        <v/>
      </c>
      <c r="AT93" t="str">
        <f t="shared" si="18"/>
        <v/>
      </c>
      <c r="BG93" t="str">
        <f t="shared" si="19"/>
        <v/>
      </c>
      <c r="BH93" t="str">
        <f t="shared" si="20"/>
        <v/>
      </c>
      <c r="BL93" t="str">
        <f>IFERROR(INDEX(_names_lookup!$C:$C,MATCH(BK93,_names_lookup!$A:$A,0)),"")</f>
        <v/>
      </c>
      <c r="BM93" t="str">
        <f>IFERROR(INDEX(_names_lookup!$B:$B,MATCH(BK93,_names_lookup!$A:$A,0)),"")</f>
        <v/>
      </c>
      <c r="BS93" t="str">
        <f t="shared" si="21"/>
        <v/>
      </c>
    </row>
    <row r="94" spans="15:71" x14ac:dyDescent="0.2">
      <c r="O94" t="str">
        <f>IFERROR(INDEX(_courses_lookup!$C:$C,MATCH(K94&amp;L94,_courses_lookup!$E:$E,0)),"")</f>
        <v/>
      </c>
      <c r="P94" t="str">
        <f>IFERROR(INDEX(_courses_lookup!$D:$D,MATCH(K94&amp;L94,_courses_lookup!$E:$E,0)),"")</f>
        <v/>
      </c>
      <c r="AG94" t="str">
        <f t="shared" si="11"/>
        <v/>
      </c>
      <c r="AI94" t="str">
        <f t="shared" si="12"/>
        <v/>
      </c>
      <c r="AL94" t="str">
        <f t="shared" si="13"/>
        <v/>
      </c>
      <c r="AN94" t="str">
        <f t="shared" si="14"/>
        <v/>
      </c>
      <c r="AQ94" t="str">
        <f t="shared" si="15"/>
        <v/>
      </c>
      <c r="AR94" t="str">
        <f t="shared" si="16"/>
        <v/>
      </c>
      <c r="AS94" t="str">
        <f t="shared" si="17"/>
        <v/>
      </c>
      <c r="AT94" t="str">
        <f t="shared" si="18"/>
        <v/>
      </c>
      <c r="BG94" t="str">
        <f t="shared" si="19"/>
        <v/>
      </c>
      <c r="BH94" t="str">
        <f t="shared" si="20"/>
        <v/>
      </c>
      <c r="BL94" t="str">
        <f>IFERROR(INDEX(_names_lookup!$C:$C,MATCH(BK94,_names_lookup!$A:$A,0)),"")</f>
        <v/>
      </c>
      <c r="BM94" t="str">
        <f>IFERROR(INDEX(_names_lookup!$B:$B,MATCH(BK94,_names_lookup!$A:$A,0)),"")</f>
        <v/>
      </c>
      <c r="BS94" t="str">
        <f t="shared" si="21"/>
        <v/>
      </c>
    </row>
    <row r="95" spans="15:71" x14ac:dyDescent="0.2">
      <c r="O95" t="str">
        <f>IFERROR(INDEX(_courses_lookup!$C:$C,MATCH(K95&amp;L95,_courses_lookup!$E:$E,0)),"")</f>
        <v/>
      </c>
      <c r="P95" t="str">
        <f>IFERROR(INDEX(_courses_lookup!$D:$D,MATCH(K95&amp;L95,_courses_lookup!$E:$E,0)),"")</f>
        <v/>
      </c>
      <c r="AG95" t="str">
        <f t="shared" si="11"/>
        <v/>
      </c>
      <c r="AI95" t="str">
        <f t="shared" si="12"/>
        <v/>
      </c>
      <c r="AL95" t="str">
        <f t="shared" si="13"/>
        <v/>
      </c>
      <c r="AN95" t="str">
        <f t="shared" si="14"/>
        <v/>
      </c>
      <c r="AQ95" t="str">
        <f t="shared" si="15"/>
        <v/>
      </c>
      <c r="AR95" t="str">
        <f t="shared" si="16"/>
        <v/>
      </c>
      <c r="AS95" t="str">
        <f t="shared" si="17"/>
        <v/>
      </c>
      <c r="AT95" t="str">
        <f t="shared" si="18"/>
        <v/>
      </c>
      <c r="BG95" t="str">
        <f t="shared" si="19"/>
        <v/>
      </c>
      <c r="BH95" t="str">
        <f t="shared" si="20"/>
        <v/>
      </c>
      <c r="BL95" t="str">
        <f>IFERROR(INDEX(_names_lookup!$C:$C,MATCH(BK95,_names_lookup!$A:$A,0)),"")</f>
        <v/>
      </c>
      <c r="BM95" t="str">
        <f>IFERROR(INDEX(_names_lookup!$B:$B,MATCH(BK95,_names_lookup!$A:$A,0)),"")</f>
        <v/>
      </c>
      <c r="BS95" t="str">
        <f t="shared" si="21"/>
        <v/>
      </c>
    </row>
    <row r="96" spans="15:71" x14ac:dyDescent="0.2">
      <c r="O96" t="str">
        <f>IFERROR(INDEX(_courses_lookup!$C:$C,MATCH(K96&amp;L96,_courses_lookup!$E:$E,0)),"")</f>
        <v/>
      </c>
      <c r="P96" t="str">
        <f>IFERROR(INDEX(_courses_lookup!$D:$D,MATCH(K96&amp;L96,_courses_lookup!$E:$E,0)),"")</f>
        <v/>
      </c>
      <c r="AG96" t="str">
        <f t="shared" si="11"/>
        <v/>
      </c>
      <c r="AI96" t="str">
        <f t="shared" si="12"/>
        <v/>
      </c>
      <c r="AL96" t="str">
        <f t="shared" si="13"/>
        <v/>
      </c>
      <c r="AN96" t="str">
        <f t="shared" si="14"/>
        <v/>
      </c>
      <c r="AQ96" t="str">
        <f t="shared" si="15"/>
        <v/>
      </c>
      <c r="AR96" t="str">
        <f t="shared" si="16"/>
        <v/>
      </c>
      <c r="AS96" t="str">
        <f t="shared" si="17"/>
        <v/>
      </c>
      <c r="AT96" t="str">
        <f t="shared" si="18"/>
        <v/>
      </c>
      <c r="BG96" t="str">
        <f t="shared" si="19"/>
        <v/>
      </c>
      <c r="BH96" t="str">
        <f t="shared" si="20"/>
        <v/>
      </c>
      <c r="BL96" t="str">
        <f>IFERROR(INDEX(_names_lookup!$C:$C,MATCH(BK96,_names_lookup!$A:$A,0)),"")</f>
        <v/>
      </c>
      <c r="BM96" t="str">
        <f>IFERROR(INDEX(_names_lookup!$B:$B,MATCH(BK96,_names_lookup!$A:$A,0)),"")</f>
        <v/>
      </c>
      <c r="BS96" t="str">
        <f t="shared" si="21"/>
        <v/>
      </c>
    </row>
    <row r="97" spans="15:71" x14ac:dyDescent="0.2">
      <c r="O97" t="str">
        <f>IFERROR(INDEX(_courses_lookup!$C:$C,MATCH(K97&amp;L97,_courses_lookup!$E:$E,0)),"")</f>
        <v/>
      </c>
      <c r="P97" t="str">
        <f>IFERROR(INDEX(_courses_lookup!$D:$D,MATCH(K97&amp;L97,_courses_lookup!$E:$E,0)),"")</f>
        <v/>
      </c>
      <c r="AG97" t="str">
        <f t="shared" si="11"/>
        <v/>
      </c>
      <c r="AI97" t="str">
        <f t="shared" si="12"/>
        <v/>
      </c>
      <c r="AL97" t="str">
        <f t="shared" si="13"/>
        <v/>
      </c>
      <c r="AN97" t="str">
        <f t="shared" si="14"/>
        <v/>
      </c>
      <c r="AQ97" t="str">
        <f t="shared" si="15"/>
        <v/>
      </c>
      <c r="AR97" t="str">
        <f t="shared" si="16"/>
        <v/>
      </c>
      <c r="AS97" t="str">
        <f t="shared" si="17"/>
        <v/>
      </c>
      <c r="AT97" t="str">
        <f t="shared" si="18"/>
        <v/>
      </c>
      <c r="BG97" t="str">
        <f t="shared" si="19"/>
        <v/>
      </c>
      <c r="BH97" t="str">
        <f t="shared" si="20"/>
        <v/>
      </c>
      <c r="BL97" t="str">
        <f>IFERROR(INDEX(_names_lookup!$C:$C,MATCH(BK97,_names_lookup!$A:$A,0)),"")</f>
        <v/>
      </c>
      <c r="BM97" t="str">
        <f>IFERROR(INDEX(_names_lookup!$B:$B,MATCH(BK97,_names_lookup!$A:$A,0)),"")</f>
        <v/>
      </c>
      <c r="BS97" t="str">
        <f t="shared" si="21"/>
        <v/>
      </c>
    </row>
    <row r="98" spans="15:71" x14ac:dyDescent="0.2">
      <c r="O98" t="str">
        <f>IFERROR(INDEX(_courses_lookup!$C:$C,MATCH(K98&amp;L98,_courses_lookup!$E:$E,0)),"")</f>
        <v/>
      </c>
      <c r="P98" t="str">
        <f>IFERROR(INDEX(_courses_lookup!$D:$D,MATCH(K98&amp;L98,_courses_lookup!$E:$E,0)),"")</f>
        <v/>
      </c>
      <c r="AG98" t="str">
        <f t="shared" si="11"/>
        <v/>
      </c>
      <c r="AI98" t="str">
        <f t="shared" si="12"/>
        <v/>
      </c>
      <c r="AL98" t="str">
        <f t="shared" si="13"/>
        <v/>
      </c>
      <c r="AN98" t="str">
        <f t="shared" si="14"/>
        <v/>
      </c>
      <c r="AQ98" t="str">
        <f t="shared" si="15"/>
        <v/>
      </c>
      <c r="AR98" t="str">
        <f t="shared" si="16"/>
        <v/>
      </c>
      <c r="AS98" t="str">
        <f t="shared" si="17"/>
        <v/>
      </c>
      <c r="AT98" t="str">
        <f t="shared" si="18"/>
        <v/>
      </c>
      <c r="BG98" t="str">
        <f t="shared" si="19"/>
        <v/>
      </c>
      <c r="BH98" t="str">
        <f t="shared" si="20"/>
        <v/>
      </c>
      <c r="BL98" t="str">
        <f>IFERROR(INDEX(_names_lookup!$C:$C,MATCH(BK98,_names_lookup!$A:$A,0)),"")</f>
        <v/>
      </c>
      <c r="BM98" t="str">
        <f>IFERROR(INDEX(_names_lookup!$B:$B,MATCH(BK98,_names_lookup!$A:$A,0)),"")</f>
        <v/>
      </c>
      <c r="BS98" t="str">
        <f t="shared" si="21"/>
        <v/>
      </c>
    </row>
    <row r="99" spans="15:71" x14ac:dyDescent="0.2">
      <c r="O99" t="str">
        <f>IFERROR(INDEX(_courses_lookup!$C:$C,MATCH(K99&amp;L99,_courses_lookup!$E:$E,0)),"")</f>
        <v/>
      </c>
      <c r="P99" t="str">
        <f>IFERROR(INDEX(_courses_lookup!$D:$D,MATCH(K99&amp;L99,_courses_lookup!$E:$E,0)),"")</f>
        <v/>
      </c>
      <c r="AG99" t="str">
        <f t="shared" si="11"/>
        <v/>
      </c>
      <c r="AI99" t="str">
        <f t="shared" si="12"/>
        <v/>
      </c>
      <c r="AL99" t="str">
        <f t="shared" si="13"/>
        <v/>
      </c>
      <c r="AN99" t="str">
        <f t="shared" si="14"/>
        <v/>
      </c>
      <c r="AQ99" t="str">
        <f t="shared" si="15"/>
        <v/>
      </c>
      <c r="AR99" t="str">
        <f t="shared" si="16"/>
        <v/>
      </c>
      <c r="AS99" t="str">
        <f t="shared" si="17"/>
        <v/>
      </c>
      <c r="AT99" t="str">
        <f t="shared" si="18"/>
        <v/>
      </c>
      <c r="BG99" t="str">
        <f t="shared" si="19"/>
        <v/>
      </c>
      <c r="BH99" t="str">
        <f t="shared" si="20"/>
        <v/>
      </c>
      <c r="BL99" t="str">
        <f>IFERROR(INDEX(_names_lookup!$C:$C,MATCH(BK99,_names_lookup!$A:$A,0)),"")</f>
        <v/>
      </c>
      <c r="BM99" t="str">
        <f>IFERROR(INDEX(_names_lookup!$B:$B,MATCH(BK99,_names_lookup!$A:$A,0)),"")</f>
        <v/>
      </c>
      <c r="BS99" t="str">
        <f t="shared" si="21"/>
        <v/>
      </c>
    </row>
    <row r="100" spans="15:71" x14ac:dyDescent="0.2">
      <c r="O100" t="str">
        <f>IFERROR(INDEX(_courses_lookup!$C:$C,MATCH(K100&amp;L100,_courses_lookup!$E:$E,0)),"")</f>
        <v/>
      </c>
      <c r="P100" t="str">
        <f>IFERROR(INDEX(_courses_lookup!$D:$D,MATCH(K100&amp;L100,_courses_lookup!$E:$E,0)),"")</f>
        <v/>
      </c>
      <c r="AG100" t="str">
        <f t="shared" si="11"/>
        <v/>
      </c>
      <c r="AI100" t="str">
        <f t="shared" si="12"/>
        <v/>
      </c>
      <c r="AL100" t="str">
        <f t="shared" si="13"/>
        <v/>
      </c>
      <c r="AN100" t="str">
        <f t="shared" si="14"/>
        <v/>
      </c>
      <c r="AQ100" t="str">
        <f t="shared" si="15"/>
        <v/>
      </c>
      <c r="AR100" t="str">
        <f t="shared" si="16"/>
        <v/>
      </c>
      <c r="AS100" t="str">
        <f t="shared" si="17"/>
        <v/>
      </c>
      <c r="AT100" t="str">
        <f t="shared" si="18"/>
        <v/>
      </c>
      <c r="BG100" t="str">
        <f t="shared" si="19"/>
        <v/>
      </c>
      <c r="BH100" t="str">
        <f t="shared" si="20"/>
        <v/>
      </c>
      <c r="BL100" t="str">
        <f>IFERROR(INDEX(_names_lookup!$C:$C,MATCH(BK100,_names_lookup!$A:$A,0)),"")</f>
        <v/>
      </c>
      <c r="BM100" t="str">
        <f>IFERROR(INDEX(_names_lookup!$B:$B,MATCH(BK100,_names_lookup!$A:$A,0)),"")</f>
        <v/>
      </c>
      <c r="BS100" t="str">
        <f t="shared" si="21"/>
        <v/>
      </c>
    </row>
    <row r="101" spans="15:71" x14ac:dyDescent="0.2">
      <c r="O101" t="str">
        <f>IFERROR(INDEX(_courses_lookup!$C:$C,MATCH(K101&amp;L101,_courses_lookup!$E:$E,0)),"")</f>
        <v/>
      </c>
      <c r="P101" t="str">
        <f>IFERROR(INDEX(_courses_lookup!$D:$D,MATCH(K101&amp;L101,_courses_lookup!$E:$E,0)),"")</f>
        <v/>
      </c>
      <c r="AG101" t="str">
        <f t="shared" si="11"/>
        <v/>
      </c>
      <c r="AI101" t="str">
        <f t="shared" si="12"/>
        <v/>
      </c>
      <c r="AL101" t="str">
        <f t="shared" si="13"/>
        <v/>
      </c>
      <c r="AN101" t="str">
        <f t="shared" si="14"/>
        <v/>
      </c>
      <c r="AQ101" t="str">
        <f t="shared" si="15"/>
        <v/>
      </c>
      <c r="AR101" t="str">
        <f t="shared" si="16"/>
        <v/>
      </c>
      <c r="AS101" t="str">
        <f t="shared" si="17"/>
        <v/>
      </c>
      <c r="AT101" t="str">
        <f t="shared" si="18"/>
        <v/>
      </c>
      <c r="BG101" t="str">
        <f t="shared" si="19"/>
        <v/>
      </c>
      <c r="BH101" t="str">
        <f t="shared" si="20"/>
        <v/>
      </c>
      <c r="BL101" t="str">
        <f>IFERROR(INDEX(_names_lookup!$C:$C,MATCH(BK101,_names_lookup!$A:$A,0)),"")</f>
        <v/>
      </c>
      <c r="BM101" t="str">
        <f>IFERROR(INDEX(_names_lookup!$B:$B,MATCH(BK101,_names_lookup!$A:$A,0)),"")</f>
        <v/>
      </c>
      <c r="BS101" t="str">
        <f t="shared" si="21"/>
        <v/>
      </c>
    </row>
    <row r="102" spans="15:71" x14ac:dyDescent="0.2">
      <c r="O102" t="str">
        <f>IFERROR(INDEX(_courses_lookup!$C:$C,MATCH(K102&amp;L102,_courses_lookup!$E:$E,0)),"")</f>
        <v/>
      </c>
      <c r="P102" t="str">
        <f>IFERROR(INDEX(_courses_lookup!$D:$D,MATCH(K102&amp;L102,_courses_lookup!$E:$E,0)),"")</f>
        <v/>
      </c>
      <c r="AG102" t="str">
        <f t="shared" si="11"/>
        <v/>
      </c>
      <c r="AI102" t="str">
        <f t="shared" si="12"/>
        <v/>
      </c>
      <c r="AL102" t="str">
        <f t="shared" si="13"/>
        <v/>
      </c>
      <c r="AN102" t="str">
        <f t="shared" si="14"/>
        <v/>
      </c>
      <c r="AQ102" t="str">
        <f t="shared" si="15"/>
        <v/>
      </c>
      <c r="AR102" t="str">
        <f t="shared" si="16"/>
        <v/>
      </c>
      <c r="AS102" t="str">
        <f t="shared" si="17"/>
        <v/>
      </c>
      <c r="AT102" t="str">
        <f t="shared" si="18"/>
        <v/>
      </c>
      <c r="BG102" t="str">
        <f t="shared" si="19"/>
        <v/>
      </c>
      <c r="BH102" t="str">
        <f t="shared" si="20"/>
        <v/>
      </c>
      <c r="BL102" t="str">
        <f>IFERROR(INDEX(_names_lookup!$C:$C,MATCH(BK102,_names_lookup!$A:$A,0)),"")</f>
        <v/>
      </c>
      <c r="BM102" t="str">
        <f>IFERROR(INDEX(_names_lookup!$B:$B,MATCH(BK102,_names_lookup!$A:$A,0)),"")</f>
        <v/>
      </c>
      <c r="BS102" t="str">
        <f t="shared" si="21"/>
        <v/>
      </c>
    </row>
    <row r="103" spans="15:71" x14ac:dyDescent="0.2">
      <c r="O103" t="str">
        <f>IFERROR(INDEX(_courses_lookup!$C:$C,MATCH(K103&amp;L103,_courses_lookup!$E:$E,0)),"")</f>
        <v/>
      </c>
      <c r="P103" t="str">
        <f>IFERROR(INDEX(_courses_lookup!$D:$D,MATCH(K103&amp;L103,_courses_lookup!$E:$E,0)),"")</f>
        <v/>
      </c>
      <c r="AG103" t="str">
        <f t="shared" si="11"/>
        <v/>
      </c>
      <c r="AI103" t="str">
        <f t="shared" si="12"/>
        <v/>
      </c>
      <c r="AL103" t="str">
        <f t="shared" si="13"/>
        <v/>
      </c>
      <c r="AN103" t="str">
        <f t="shared" si="14"/>
        <v/>
      </c>
      <c r="AQ103" t="str">
        <f t="shared" si="15"/>
        <v/>
      </c>
      <c r="AR103" t="str">
        <f t="shared" si="16"/>
        <v/>
      </c>
      <c r="AS103" t="str">
        <f t="shared" si="17"/>
        <v/>
      </c>
      <c r="AT103" t="str">
        <f t="shared" si="18"/>
        <v/>
      </c>
      <c r="BG103" t="str">
        <f t="shared" si="19"/>
        <v/>
      </c>
      <c r="BH103" t="str">
        <f t="shared" si="20"/>
        <v/>
      </c>
      <c r="BL103" t="str">
        <f>IFERROR(INDEX(_names_lookup!$C:$C,MATCH(BK103,_names_lookup!$A:$A,0)),"")</f>
        <v/>
      </c>
      <c r="BM103" t="str">
        <f>IFERROR(INDEX(_names_lookup!$B:$B,MATCH(BK103,_names_lookup!$A:$A,0)),"")</f>
        <v/>
      </c>
      <c r="BS103" t="str">
        <f t="shared" si="21"/>
        <v/>
      </c>
    </row>
    <row r="104" spans="15:71" x14ac:dyDescent="0.2">
      <c r="O104" t="str">
        <f>IFERROR(INDEX(_courses_lookup!$C:$C,MATCH(K104&amp;L104,_courses_lookup!$E:$E,0)),"")</f>
        <v/>
      </c>
      <c r="P104" t="str">
        <f>IFERROR(INDEX(_courses_lookup!$D:$D,MATCH(K104&amp;L104,_courses_lookup!$E:$E,0)),"")</f>
        <v/>
      </c>
      <c r="AG104" t="str">
        <f t="shared" si="11"/>
        <v/>
      </c>
      <c r="AI104" t="str">
        <f t="shared" si="12"/>
        <v/>
      </c>
      <c r="AL104" t="str">
        <f t="shared" si="13"/>
        <v/>
      </c>
      <c r="AN104" t="str">
        <f t="shared" si="14"/>
        <v/>
      </c>
      <c r="AQ104" t="str">
        <f t="shared" si="15"/>
        <v/>
      </c>
      <c r="AR104" t="str">
        <f t="shared" si="16"/>
        <v/>
      </c>
      <c r="AS104" t="str">
        <f t="shared" si="17"/>
        <v/>
      </c>
      <c r="AT104" t="str">
        <f t="shared" si="18"/>
        <v/>
      </c>
      <c r="BG104" t="str">
        <f t="shared" si="19"/>
        <v/>
      </c>
      <c r="BH104" t="str">
        <f t="shared" si="20"/>
        <v/>
      </c>
      <c r="BL104" t="str">
        <f>IFERROR(INDEX(_names_lookup!$C:$C,MATCH(BK104,_names_lookup!$A:$A,0)),"")</f>
        <v/>
      </c>
      <c r="BM104" t="str">
        <f>IFERROR(INDEX(_names_lookup!$B:$B,MATCH(BK104,_names_lookup!$A:$A,0)),"")</f>
        <v/>
      </c>
      <c r="BS104" t="str">
        <f t="shared" si="21"/>
        <v/>
      </c>
    </row>
    <row r="105" spans="15:71" x14ac:dyDescent="0.2">
      <c r="O105" t="str">
        <f>IFERROR(INDEX(_courses_lookup!$C:$C,MATCH(K105&amp;L105,_courses_lookup!$E:$E,0)),"")</f>
        <v/>
      </c>
      <c r="P105" t="str">
        <f>IFERROR(INDEX(_courses_lookup!$D:$D,MATCH(K105&amp;L105,_courses_lookup!$E:$E,0)),"")</f>
        <v/>
      </c>
      <c r="AG105" t="str">
        <f t="shared" si="11"/>
        <v/>
      </c>
      <c r="AI105" t="str">
        <f t="shared" si="12"/>
        <v/>
      </c>
      <c r="AL105" t="str">
        <f t="shared" si="13"/>
        <v/>
      </c>
      <c r="AN105" t="str">
        <f t="shared" si="14"/>
        <v/>
      </c>
      <c r="AQ105" t="str">
        <f t="shared" si="15"/>
        <v/>
      </c>
      <c r="AR105" t="str">
        <f t="shared" si="16"/>
        <v/>
      </c>
      <c r="AS105" t="str">
        <f t="shared" si="17"/>
        <v/>
      </c>
      <c r="AT105" t="str">
        <f t="shared" si="18"/>
        <v/>
      </c>
      <c r="BG105" t="str">
        <f t="shared" si="19"/>
        <v/>
      </c>
      <c r="BH105" t="str">
        <f t="shared" si="20"/>
        <v/>
      </c>
      <c r="BL105" t="str">
        <f>IFERROR(INDEX(_names_lookup!$C:$C,MATCH(BK105,_names_lookup!$A:$A,0)),"")</f>
        <v/>
      </c>
      <c r="BM105" t="str">
        <f>IFERROR(INDEX(_names_lookup!$B:$B,MATCH(BK105,_names_lookup!$A:$A,0)),"")</f>
        <v/>
      </c>
      <c r="BS105" t="str">
        <f t="shared" si="21"/>
        <v/>
      </c>
    </row>
    <row r="106" spans="15:71" x14ac:dyDescent="0.2">
      <c r="O106" t="str">
        <f>IFERROR(INDEX(_courses_lookup!$C:$C,MATCH(K106&amp;L106,_courses_lookup!$E:$E,0)),"")</f>
        <v/>
      </c>
      <c r="P106" t="str">
        <f>IFERROR(INDEX(_courses_lookup!$D:$D,MATCH(K106&amp;L106,_courses_lookup!$E:$E,0)),"")</f>
        <v/>
      </c>
      <c r="AG106" t="str">
        <f t="shared" si="11"/>
        <v/>
      </c>
      <c r="AI106" t="str">
        <f t="shared" si="12"/>
        <v/>
      </c>
      <c r="AL106" t="str">
        <f t="shared" si="13"/>
        <v/>
      </c>
      <c r="AN106" t="str">
        <f t="shared" si="14"/>
        <v/>
      </c>
      <c r="AQ106" t="str">
        <f t="shared" si="15"/>
        <v/>
      </c>
      <c r="AR106" t="str">
        <f t="shared" si="16"/>
        <v/>
      </c>
      <c r="AS106" t="str">
        <f t="shared" si="17"/>
        <v/>
      </c>
      <c r="AT106" t="str">
        <f t="shared" si="18"/>
        <v/>
      </c>
      <c r="BG106" t="str">
        <f t="shared" si="19"/>
        <v/>
      </c>
      <c r="BH106" t="str">
        <f t="shared" si="20"/>
        <v/>
      </c>
      <c r="BL106" t="str">
        <f>IFERROR(INDEX(_names_lookup!$C:$C,MATCH(BK106,_names_lookup!$A:$A,0)),"")</f>
        <v/>
      </c>
      <c r="BM106" t="str">
        <f>IFERROR(INDEX(_names_lookup!$B:$B,MATCH(BK106,_names_lookup!$A:$A,0)),"")</f>
        <v/>
      </c>
      <c r="BS106" t="str">
        <f t="shared" si="21"/>
        <v/>
      </c>
    </row>
    <row r="107" spans="15:71" x14ac:dyDescent="0.2">
      <c r="O107" t="str">
        <f>IFERROR(INDEX(_courses_lookup!$C:$C,MATCH(K107&amp;L107,_courses_lookup!$E:$E,0)),"")</f>
        <v/>
      </c>
      <c r="P107" t="str">
        <f>IFERROR(INDEX(_courses_lookup!$D:$D,MATCH(K107&amp;L107,_courses_lookup!$E:$E,0)),"")</f>
        <v/>
      </c>
      <c r="AG107" t="str">
        <f t="shared" si="11"/>
        <v/>
      </c>
      <c r="AI107" t="str">
        <f t="shared" si="12"/>
        <v/>
      </c>
      <c r="AL107" t="str">
        <f t="shared" si="13"/>
        <v/>
      </c>
      <c r="AN107" t="str">
        <f t="shared" si="14"/>
        <v/>
      </c>
      <c r="AQ107" t="str">
        <f t="shared" si="15"/>
        <v/>
      </c>
      <c r="AR107" t="str">
        <f t="shared" si="16"/>
        <v/>
      </c>
      <c r="AS107" t="str">
        <f t="shared" si="17"/>
        <v/>
      </c>
      <c r="AT107" t="str">
        <f t="shared" si="18"/>
        <v/>
      </c>
      <c r="BG107" t="str">
        <f t="shared" si="19"/>
        <v/>
      </c>
      <c r="BH107" t="str">
        <f t="shared" si="20"/>
        <v/>
      </c>
      <c r="BL107" t="str">
        <f>IFERROR(INDEX(_names_lookup!$C:$C,MATCH(BK107,_names_lookup!$A:$A,0)),"")</f>
        <v/>
      </c>
      <c r="BM107" t="str">
        <f>IFERROR(INDEX(_names_lookup!$B:$B,MATCH(BK107,_names_lookup!$A:$A,0)),"")</f>
        <v/>
      </c>
      <c r="BS107" t="str">
        <f t="shared" si="21"/>
        <v/>
      </c>
    </row>
    <row r="108" spans="15:71" x14ac:dyDescent="0.2">
      <c r="O108" t="str">
        <f>IFERROR(INDEX(_courses_lookup!$C:$C,MATCH(K108&amp;L108,_courses_lookup!$E:$E,0)),"")</f>
        <v/>
      </c>
      <c r="P108" t="str">
        <f>IFERROR(INDEX(_courses_lookup!$D:$D,MATCH(K108&amp;L108,_courses_lookup!$E:$E,0)),"")</f>
        <v/>
      </c>
      <c r="AG108" t="str">
        <f t="shared" si="11"/>
        <v/>
      </c>
      <c r="AI108" t="str">
        <f t="shared" si="12"/>
        <v/>
      </c>
      <c r="AL108" t="str">
        <f t="shared" si="13"/>
        <v/>
      </c>
      <c r="AN108" t="str">
        <f t="shared" si="14"/>
        <v/>
      </c>
      <c r="AQ108" t="str">
        <f t="shared" si="15"/>
        <v/>
      </c>
      <c r="AR108" t="str">
        <f t="shared" si="16"/>
        <v/>
      </c>
      <c r="AS108" t="str">
        <f t="shared" si="17"/>
        <v/>
      </c>
      <c r="AT108" t="str">
        <f t="shared" si="18"/>
        <v/>
      </c>
      <c r="BG108" t="str">
        <f t="shared" si="19"/>
        <v/>
      </c>
      <c r="BH108" t="str">
        <f t="shared" si="20"/>
        <v/>
      </c>
      <c r="BL108" t="str">
        <f>IFERROR(INDEX(_names_lookup!$C:$C,MATCH(BK108,_names_lookup!$A:$A,0)),"")</f>
        <v/>
      </c>
      <c r="BM108" t="str">
        <f>IFERROR(INDEX(_names_lookup!$B:$B,MATCH(BK108,_names_lookup!$A:$A,0)),"")</f>
        <v/>
      </c>
      <c r="BS108" t="str">
        <f t="shared" si="21"/>
        <v/>
      </c>
    </row>
    <row r="109" spans="15:71" x14ac:dyDescent="0.2">
      <c r="O109" t="str">
        <f>IFERROR(INDEX(_courses_lookup!$C:$C,MATCH(K109&amp;L109,_courses_lookup!$E:$E,0)),"")</f>
        <v/>
      </c>
      <c r="P109" t="str">
        <f>IFERROR(INDEX(_courses_lookup!$D:$D,MATCH(K109&amp;L109,_courses_lookup!$E:$E,0)),"")</f>
        <v/>
      </c>
      <c r="AG109" t="str">
        <f t="shared" si="11"/>
        <v/>
      </c>
      <c r="AI109" t="str">
        <f t="shared" si="12"/>
        <v/>
      </c>
      <c r="AL109" t="str">
        <f t="shared" si="13"/>
        <v/>
      </c>
      <c r="AN109" t="str">
        <f t="shared" si="14"/>
        <v/>
      </c>
      <c r="AQ109" t="str">
        <f t="shared" si="15"/>
        <v/>
      </c>
      <c r="AR109" t="str">
        <f t="shared" si="16"/>
        <v/>
      </c>
      <c r="AS109" t="str">
        <f t="shared" si="17"/>
        <v/>
      </c>
      <c r="AT109" t="str">
        <f t="shared" si="18"/>
        <v/>
      </c>
      <c r="BG109" t="str">
        <f t="shared" si="19"/>
        <v/>
      </c>
      <c r="BH109" t="str">
        <f t="shared" si="20"/>
        <v/>
      </c>
      <c r="BL109" t="str">
        <f>IFERROR(INDEX(_names_lookup!$C:$C,MATCH(BK109,_names_lookup!$A:$A,0)),"")</f>
        <v/>
      </c>
      <c r="BM109" t="str">
        <f>IFERROR(INDEX(_names_lookup!$B:$B,MATCH(BK109,_names_lookup!$A:$A,0)),"")</f>
        <v/>
      </c>
      <c r="BS109" t="str">
        <f t="shared" si="21"/>
        <v/>
      </c>
    </row>
    <row r="110" spans="15:71" x14ac:dyDescent="0.2">
      <c r="O110" t="str">
        <f>IFERROR(INDEX(_courses_lookup!$C:$C,MATCH(K110&amp;L110,_courses_lookup!$E:$E,0)),"")</f>
        <v/>
      </c>
      <c r="P110" t="str">
        <f>IFERROR(INDEX(_courses_lookup!$D:$D,MATCH(K110&amp;L110,_courses_lookup!$E:$E,0)),"")</f>
        <v/>
      </c>
      <c r="AG110" t="str">
        <f t="shared" si="11"/>
        <v/>
      </c>
      <c r="AI110" t="str">
        <f t="shared" si="12"/>
        <v/>
      </c>
      <c r="AL110" t="str">
        <f t="shared" si="13"/>
        <v/>
      </c>
      <c r="AN110" t="str">
        <f t="shared" si="14"/>
        <v/>
      </c>
      <c r="AQ110" t="str">
        <f t="shared" si="15"/>
        <v/>
      </c>
      <c r="AR110" t="str">
        <f t="shared" si="16"/>
        <v/>
      </c>
      <c r="AS110" t="str">
        <f t="shared" si="17"/>
        <v/>
      </c>
      <c r="AT110" t="str">
        <f t="shared" si="18"/>
        <v/>
      </c>
      <c r="BG110" t="str">
        <f t="shared" si="19"/>
        <v/>
      </c>
      <c r="BH110" t="str">
        <f t="shared" si="20"/>
        <v/>
      </c>
      <c r="BL110" t="str">
        <f>IFERROR(INDEX(_names_lookup!$C:$C,MATCH(BK110,_names_lookup!$A:$A,0)),"")</f>
        <v/>
      </c>
      <c r="BM110" t="str">
        <f>IFERROR(INDEX(_names_lookup!$B:$B,MATCH(BK110,_names_lookup!$A:$A,0)),"")</f>
        <v/>
      </c>
      <c r="BS110" t="str">
        <f t="shared" si="21"/>
        <v/>
      </c>
    </row>
    <row r="111" spans="15:71" x14ac:dyDescent="0.2">
      <c r="O111" t="str">
        <f>IFERROR(INDEX(_courses_lookup!$C:$C,MATCH(K111&amp;L111,_courses_lookup!$E:$E,0)),"")</f>
        <v/>
      </c>
      <c r="P111" t="str">
        <f>IFERROR(INDEX(_courses_lookup!$D:$D,MATCH(K111&amp;L111,_courses_lookup!$E:$E,0)),"")</f>
        <v/>
      </c>
      <c r="AG111" t="str">
        <f t="shared" si="11"/>
        <v/>
      </c>
      <c r="AI111" t="str">
        <f t="shared" si="12"/>
        <v/>
      </c>
      <c r="AL111" t="str">
        <f t="shared" si="13"/>
        <v/>
      </c>
      <c r="AN111" t="str">
        <f t="shared" si="14"/>
        <v/>
      </c>
      <c r="AQ111" t="str">
        <f t="shared" si="15"/>
        <v/>
      </c>
      <c r="AR111" t="str">
        <f t="shared" si="16"/>
        <v/>
      </c>
      <c r="AS111" t="str">
        <f t="shared" si="17"/>
        <v/>
      </c>
      <c r="AT111" t="str">
        <f t="shared" si="18"/>
        <v/>
      </c>
      <c r="BG111" t="str">
        <f t="shared" si="19"/>
        <v/>
      </c>
      <c r="BH111" t="str">
        <f t="shared" si="20"/>
        <v/>
      </c>
      <c r="BL111" t="str">
        <f>IFERROR(INDEX(_names_lookup!$C:$C,MATCH(BK111,_names_lookup!$A:$A,0)),"")</f>
        <v/>
      </c>
      <c r="BM111" t="str">
        <f>IFERROR(INDEX(_names_lookup!$B:$B,MATCH(BK111,_names_lookup!$A:$A,0)),"")</f>
        <v/>
      </c>
      <c r="BS111" t="str">
        <f t="shared" si="21"/>
        <v/>
      </c>
    </row>
    <row r="112" spans="15:71" x14ac:dyDescent="0.2">
      <c r="O112" t="str">
        <f>IFERROR(INDEX(_courses_lookup!$C:$C,MATCH(K112&amp;L112,_courses_lookup!$E:$E,0)),"")</f>
        <v/>
      </c>
      <c r="P112" t="str">
        <f>IFERROR(INDEX(_courses_lookup!$D:$D,MATCH(K112&amp;L112,_courses_lookup!$E:$E,0)),"")</f>
        <v/>
      </c>
      <c r="AG112" t="str">
        <f t="shared" si="11"/>
        <v/>
      </c>
      <c r="AI112" t="str">
        <f t="shared" si="12"/>
        <v/>
      </c>
      <c r="AL112" t="str">
        <f t="shared" si="13"/>
        <v/>
      </c>
      <c r="AN112" t="str">
        <f t="shared" si="14"/>
        <v/>
      </c>
      <c r="AQ112" t="str">
        <f t="shared" si="15"/>
        <v/>
      </c>
      <c r="AR112" t="str">
        <f t="shared" si="16"/>
        <v/>
      </c>
      <c r="AS112" t="str">
        <f t="shared" si="17"/>
        <v/>
      </c>
      <c r="AT112" t="str">
        <f t="shared" si="18"/>
        <v/>
      </c>
      <c r="BG112" t="str">
        <f t="shared" si="19"/>
        <v/>
      </c>
      <c r="BH112" t="str">
        <f t="shared" si="20"/>
        <v/>
      </c>
      <c r="BL112" t="str">
        <f>IFERROR(INDEX(_names_lookup!$C:$C,MATCH(BK112,_names_lookup!$A:$A,0)),"")</f>
        <v/>
      </c>
      <c r="BM112" t="str">
        <f>IFERROR(INDEX(_names_lookup!$B:$B,MATCH(BK112,_names_lookup!$A:$A,0)),"")</f>
        <v/>
      </c>
      <c r="BS112" t="str">
        <f t="shared" si="21"/>
        <v/>
      </c>
    </row>
    <row r="113" spans="15:71" x14ac:dyDescent="0.2">
      <c r="O113" t="str">
        <f>IFERROR(INDEX(_courses_lookup!$C:$C,MATCH(K113&amp;L113,_courses_lookup!$E:$E,0)),"")</f>
        <v/>
      </c>
      <c r="P113" t="str">
        <f>IFERROR(INDEX(_courses_lookup!$D:$D,MATCH(K113&amp;L113,_courses_lookup!$E:$E,0)),"")</f>
        <v/>
      </c>
      <c r="AG113" t="str">
        <f t="shared" si="11"/>
        <v/>
      </c>
      <c r="AI113" t="str">
        <f t="shared" si="12"/>
        <v/>
      </c>
      <c r="AL113" t="str">
        <f t="shared" si="13"/>
        <v/>
      </c>
      <c r="AN113" t="str">
        <f t="shared" si="14"/>
        <v/>
      </c>
      <c r="AQ113" t="str">
        <f t="shared" si="15"/>
        <v/>
      </c>
      <c r="AR113" t="str">
        <f t="shared" si="16"/>
        <v/>
      </c>
      <c r="AS113" t="str">
        <f t="shared" si="17"/>
        <v/>
      </c>
      <c r="AT113" t="str">
        <f t="shared" si="18"/>
        <v/>
      </c>
      <c r="BG113" t="str">
        <f t="shared" si="19"/>
        <v/>
      </c>
      <c r="BH113" t="str">
        <f t="shared" si="20"/>
        <v/>
      </c>
      <c r="BL113" t="str">
        <f>IFERROR(INDEX(_names_lookup!$C:$C,MATCH(BK113,_names_lookup!$A:$A,0)),"")</f>
        <v/>
      </c>
      <c r="BM113" t="str">
        <f>IFERROR(INDEX(_names_lookup!$B:$B,MATCH(BK113,_names_lookup!$A:$A,0)),"")</f>
        <v/>
      </c>
      <c r="BS113" t="str">
        <f t="shared" si="21"/>
        <v/>
      </c>
    </row>
    <row r="114" spans="15:71" x14ac:dyDescent="0.2">
      <c r="O114" t="str">
        <f>IFERROR(INDEX(_courses_lookup!$C:$C,MATCH(K114&amp;L114,_courses_lookup!$E:$E,0)),"")</f>
        <v/>
      </c>
      <c r="P114" t="str">
        <f>IFERROR(INDEX(_courses_lookup!$D:$D,MATCH(K114&amp;L114,_courses_lookup!$E:$E,0)),"")</f>
        <v/>
      </c>
      <c r="AG114" t="str">
        <f t="shared" si="11"/>
        <v/>
      </c>
      <c r="AI114" t="str">
        <f t="shared" si="12"/>
        <v/>
      </c>
      <c r="AL114" t="str">
        <f t="shared" si="13"/>
        <v/>
      </c>
      <c r="AN114" t="str">
        <f t="shared" si="14"/>
        <v/>
      </c>
      <c r="AQ114" t="str">
        <f t="shared" si="15"/>
        <v/>
      </c>
      <c r="AR114" t="str">
        <f t="shared" si="16"/>
        <v/>
      </c>
      <c r="AS114" t="str">
        <f t="shared" si="17"/>
        <v/>
      </c>
      <c r="AT114" t="str">
        <f t="shared" si="18"/>
        <v/>
      </c>
      <c r="BG114" t="str">
        <f t="shared" si="19"/>
        <v/>
      </c>
      <c r="BH114" t="str">
        <f t="shared" si="20"/>
        <v/>
      </c>
      <c r="BL114" t="str">
        <f>IFERROR(INDEX(_names_lookup!$C:$C,MATCH(BK114,_names_lookup!$A:$A,0)),"")</f>
        <v/>
      </c>
      <c r="BM114" t="str">
        <f>IFERROR(INDEX(_names_lookup!$B:$B,MATCH(BK114,_names_lookup!$A:$A,0)),"")</f>
        <v/>
      </c>
      <c r="BS114" t="str">
        <f t="shared" si="21"/>
        <v/>
      </c>
    </row>
    <row r="115" spans="15:71" x14ac:dyDescent="0.2">
      <c r="O115" t="str">
        <f>IFERROR(INDEX(_courses_lookup!$C:$C,MATCH(K115&amp;L115,_courses_lookup!$E:$E,0)),"")</f>
        <v/>
      </c>
      <c r="P115" t="str">
        <f>IFERROR(INDEX(_courses_lookup!$D:$D,MATCH(K115&amp;L115,_courses_lookup!$E:$E,0)),"")</f>
        <v/>
      </c>
      <c r="AG115" t="str">
        <f t="shared" si="11"/>
        <v/>
      </c>
      <c r="AI115" t="str">
        <f t="shared" si="12"/>
        <v/>
      </c>
      <c r="AL115" t="str">
        <f t="shared" si="13"/>
        <v/>
      </c>
      <c r="AN115" t="str">
        <f t="shared" si="14"/>
        <v/>
      </c>
      <c r="AQ115" t="str">
        <f t="shared" si="15"/>
        <v/>
      </c>
      <c r="AR115" t="str">
        <f t="shared" si="16"/>
        <v/>
      </c>
      <c r="AS115" t="str">
        <f t="shared" si="17"/>
        <v/>
      </c>
      <c r="AT115" t="str">
        <f t="shared" si="18"/>
        <v/>
      </c>
      <c r="BG115" t="str">
        <f t="shared" si="19"/>
        <v/>
      </c>
      <c r="BH115" t="str">
        <f t="shared" si="20"/>
        <v/>
      </c>
      <c r="BL115" t="str">
        <f>IFERROR(INDEX(_names_lookup!$C:$C,MATCH(BK115,_names_lookup!$A:$A,0)),"")</f>
        <v/>
      </c>
      <c r="BM115" t="str">
        <f>IFERROR(INDEX(_names_lookup!$B:$B,MATCH(BK115,_names_lookup!$A:$A,0)),"")</f>
        <v/>
      </c>
      <c r="BS115" t="str">
        <f t="shared" si="21"/>
        <v/>
      </c>
    </row>
    <row r="116" spans="15:71" x14ac:dyDescent="0.2">
      <c r="O116" t="str">
        <f>IFERROR(INDEX(_courses_lookup!$C:$C,MATCH(K116&amp;L116,_courses_lookup!$E:$E,0)),"")</f>
        <v/>
      </c>
      <c r="P116" t="str">
        <f>IFERROR(INDEX(_courses_lookup!$D:$D,MATCH(K116&amp;L116,_courses_lookup!$E:$E,0)),"")</f>
        <v/>
      </c>
      <c r="AG116" t="str">
        <f t="shared" si="11"/>
        <v/>
      </c>
      <c r="AI116" t="str">
        <f t="shared" si="12"/>
        <v/>
      </c>
      <c r="AL116" t="str">
        <f t="shared" si="13"/>
        <v/>
      </c>
      <c r="AN116" t="str">
        <f t="shared" si="14"/>
        <v/>
      </c>
      <c r="AQ116" t="str">
        <f t="shared" si="15"/>
        <v/>
      </c>
      <c r="AR116" t="str">
        <f t="shared" si="16"/>
        <v/>
      </c>
      <c r="AS116" t="str">
        <f t="shared" si="17"/>
        <v/>
      </c>
      <c r="AT116" t="str">
        <f t="shared" si="18"/>
        <v/>
      </c>
      <c r="BG116" t="str">
        <f t="shared" si="19"/>
        <v/>
      </c>
      <c r="BH116" t="str">
        <f t="shared" si="20"/>
        <v/>
      </c>
      <c r="BL116" t="str">
        <f>IFERROR(INDEX(_names_lookup!$C:$C,MATCH(BK116,_names_lookup!$A:$A,0)),"")</f>
        <v/>
      </c>
      <c r="BM116" t="str">
        <f>IFERROR(INDEX(_names_lookup!$B:$B,MATCH(BK116,_names_lookup!$A:$A,0)),"")</f>
        <v/>
      </c>
      <c r="BS116" t="str">
        <f t="shared" si="21"/>
        <v/>
      </c>
    </row>
    <row r="117" spans="15:71" x14ac:dyDescent="0.2">
      <c r="O117" t="str">
        <f>IFERROR(INDEX(_courses_lookup!$C:$C,MATCH(K117&amp;L117,_courses_lookup!$E:$E,0)),"")</f>
        <v/>
      </c>
      <c r="P117" t="str">
        <f>IFERROR(INDEX(_courses_lookup!$D:$D,MATCH(K117&amp;L117,_courses_lookup!$E:$E,0)),"")</f>
        <v/>
      </c>
      <c r="AG117" t="str">
        <f t="shared" si="11"/>
        <v/>
      </c>
      <c r="AI117" t="str">
        <f t="shared" si="12"/>
        <v/>
      </c>
      <c r="AL117" t="str">
        <f t="shared" si="13"/>
        <v/>
      </c>
      <c r="AN117" t="str">
        <f t="shared" si="14"/>
        <v/>
      </c>
      <c r="AQ117" t="str">
        <f t="shared" si="15"/>
        <v/>
      </c>
      <c r="AR117" t="str">
        <f t="shared" si="16"/>
        <v/>
      </c>
      <c r="AS117" t="str">
        <f t="shared" si="17"/>
        <v/>
      </c>
      <c r="AT117" t="str">
        <f t="shared" si="18"/>
        <v/>
      </c>
      <c r="BG117" t="str">
        <f t="shared" si="19"/>
        <v/>
      </c>
      <c r="BH117" t="str">
        <f t="shared" si="20"/>
        <v/>
      </c>
      <c r="BL117" t="str">
        <f>IFERROR(INDEX(_names_lookup!$C:$C,MATCH(BK117,_names_lookup!$A:$A,0)),"")</f>
        <v/>
      </c>
      <c r="BM117" t="str">
        <f>IFERROR(INDEX(_names_lookup!$B:$B,MATCH(BK117,_names_lookup!$A:$A,0)),"")</f>
        <v/>
      </c>
      <c r="BS117" t="str">
        <f t="shared" si="21"/>
        <v/>
      </c>
    </row>
    <row r="118" spans="15:71" x14ac:dyDescent="0.2">
      <c r="O118" t="str">
        <f>IFERROR(INDEX(_courses_lookup!$C:$C,MATCH(K118&amp;L118,_courses_lookup!$E:$E,0)),"")</f>
        <v/>
      </c>
      <c r="P118" t="str">
        <f>IFERROR(INDEX(_courses_lookup!$D:$D,MATCH(K118&amp;L118,_courses_lookup!$E:$E,0)),"")</f>
        <v/>
      </c>
      <c r="AG118" t="str">
        <f t="shared" si="11"/>
        <v/>
      </c>
      <c r="AI118" t="str">
        <f t="shared" si="12"/>
        <v/>
      </c>
      <c r="AL118" t="str">
        <f t="shared" si="13"/>
        <v/>
      </c>
      <c r="AN118" t="str">
        <f t="shared" si="14"/>
        <v/>
      </c>
      <c r="AQ118" t="str">
        <f t="shared" si="15"/>
        <v/>
      </c>
      <c r="AR118" t="str">
        <f t="shared" si="16"/>
        <v/>
      </c>
      <c r="AS118" t="str">
        <f t="shared" si="17"/>
        <v/>
      </c>
      <c r="AT118" t="str">
        <f t="shared" si="18"/>
        <v/>
      </c>
      <c r="BG118" t="str">
        <f t="shared" si="19"/>
        <v/>
      </c>
      <c r="BH118" t="str">
        <f t="shared" si="20"/>
        <v/>
      </c>
      <c r="BL118" t="str">
        <f>IFERROR(INDEX(_names_lookup!$C:$C,MATCH(BK118,_names_lookup!$A:$A,0)),"")</f>
        <v/>
      </c>
      <c r="BM118" t="str">
        <f>IFERROR(INDEX(_names_lookup!$B:$B,MATCH(BK118,_names_lookup!$A:$A,0)),"")</f>
        <v/>
      </c>
      <c r="BS118" t="str">
        <f t="shared" si="21"/>
        <v/>
      </c>
    </row>
    <row r="119" spans="15:71" x14ac:dyDescent="0.2">
      <c r="O119" t="str">
        <f>IFERROR(INDEX(_courses_lookup!$C:$C,MATCH(K119&amp;L119,_courses_lookup!$E:$E,0)),"")</f>
        <v/>
      </c>
      <c r="P119" t="str">
        <f>IFERROR(INDEX(_courses_lookup!$D:$D,MATCH(K119&amp;L119,_courses_lookup!$E:$E,0)),"")</f>
        <v/>
      </c>
      <c r="AG119" t="str">
        <f t="shared" si="11"/>
        <v/>
      </c>
      <c r="AI119" t="str">
        <f t="shared" si="12"/>
        <v/>
      </c>
      <c r="AL119" t="str">
        <f t="shared" si="13"/>
        <v/>
      </c>
      <c r="AN119" t="str">
        <f t="shared" si="14"/>
        <v/>
      </c>
      <c r="AQ119" t="str">
        <f t="shared" si="15"/>
        <v/>
      </c>
      <c r="AR119" t="str">
        <f t="shared" si="16"/>
        <v/>
      </c>
      <c r="AS119" t="str">
        <f t="shared" si="17"/>
        <v/>
      </c>
      <c r="AT119" t="str">
        <f t="shared" si="18"/>
        <v/>
      </c>
      <c r="BG119" t="str">
        <f t="shared" si="19"/>
        <v/>
      </c>
      <c r="BH119" t="str">
        <f t="shared" si="20"/>
        <v/>
      </c>
      <c r="BL119" t="str">
        <f>IFERROR(INDEX(_names_lookup!$C:$C,MATCH(BK119,_names_lookup!$A:$A,0)),"")</f>
        <v/>
      </c>
      <c r="BM119" t="str">
        <f>IFERROR(INDEX(_names_lookup!$B:$B,MATCH(BK119,_names_lookup!$A:$A,0)),"")</f>
        <v/>
      </c>
      <c r="BS119" t="str">
        <f t="shared" si="21"/>
        <v/>
      </c>
    </row>
    <row r="120" spans="15:71" x14ac:dyDescent="0.2">
      <c r="O120" t="str">
        <f>IFERROR(INDEX(_courses_lookup!$C:$C,MATCH(K120&amp;L120,_courses_lookup!$E:$E,0)),"")</f>
        <v/>
      </c>
      <c r="P120" t="str">
        <f>IFERROR(INDEX(_courses_lookup!$D:$D,MATCH(K120&amp;L120,_courses_lookup!$E:$E,0)),"")</f>
        <v/>
      </c>
      <c r="AG120" t="str">
        <f t="shared" si="11"/>
        <v/>
      </c>
      <c r="AI120" t="str">
        <f t="shared" si="12"/>
        <v/>
      </c>
      <c r="AL120" t="str">
        <f t="shared" si="13"/>
        <v/>
      </c>
      <c r="AN120" t="str">
        <f t="shared" si="14"/>
        <v/>
      </c>
      <c r="AQ120" t="str">
        <f t="shared" si="15"/>
        <v/>
      </c>
      <c r="AR120" t="str">
        <f t="shared" si="16"/>
        <v/>
      </c>
      <c r="AS120" t="str">
        <f t="shared" si="17"/>
        <v/>
      </c>
      <c r="AT120" t="str">
        <f t="shared" si="18"/>
        <v/>
      </c>
      <c r="BG120" t="str">
        <f t="shared" si="19"/>
        <v/>
      </c>
      <c r="BH120" t="str">
        <f t="shared" si="20"/>
        <v/>
      </c>
      <c r="BL120" t="str">
        <f>IFERROR(INDEX(_names_lookup!$C:$C,MATCH(BK120,_names_lookup!$A:$A,0)),"")</f>
        <v/>
      </c>
      <c r="BM120" t="str">
        <f>IFERROR(INDEX(_names_lookup!$B:$B,MATCH(BK120,_names_lookup!$A:$A,0)),"")</f>
        <v/>
      </c>
      <c r="BS120" t="str">
        <f t="shared" si="21"/>
        <v/>
      </c>
    </row>
    <row r="121" spans="15:71" x14ac:dyDescent="0.2">
      <c r="O121" t="str">
        <f>IFERROR(INDEX(_courses_lookup!$C:$C,MATCH(K121&amp;L121,_courses_lookup!$E:$E,0)),"")</f>
        <v/>
      </c>
      <c r="P121" t="str">
        <f>IFERROR(INDEX(_courses_lookup!$D:$D,MATCH(K121&amp;L121,_courses_lookup!$E:$E,0)),"")</f>
        <v/>
      </c>
      <c r="AG121" t="str">
        <f t="shared" si="11"/>
        <v/>
      </c>
      <c r="AI121" t="str">
        <f t="shared" si="12"/>
        <v/>
      </c>
      <c r="AL121" t="str">
        <f t="shared" si="13"/>
        <v/>
      </c>
      <c r="AN121" t="str">
        <f t="shared" si="14"/>
        <v/>
      </c>
      <c r="AQ121" t="str">
        <f t="shared" si="15"/>
        <v/>
      </c>
      <c r="AR121" t="str">
        <f t="shared" si="16"/>
        <v/>
      </c>
      <c r="AS121" t="str">
        <f t="shared" si="17"/>
        <v/>
      </c>
      <c r="AT121" t="str">
        <f t="shared" si="18"/>
        <v/>
      </c>
      <c r="BG121" t="str">
        <f t="shared" si="19"/>
        <v/>
      </c>
      <c r="BH121" t="str">
        <f t="shared" si="20"/>
        <v/>
      </c>
      <c r="BL121" t="str">
        <f>IFERROR(INDEX(_names_lookup!$C:$C,MATCH(BK121,_names_lookup!$A:$A,0)),"")</f>
        <v/>
      </c>
      <c r="BM121" t="str">
        <f>IFERROR(INDEX(_names_lookup!$B:$B,MATCH(BK121,_names_lookup!$A:$A,0)),"")</f>
        <v/>
      </c>
      <c r="BS121" t="str">
        <f t="shared" si="21"/>
        <v/>
      </c>
    </row>
    <row r="122" spans="15:71" x14ac:dyDescent="0.2">
      <c r="O122" t="str">
        <f>IFERROR(INDEX(_courses_lookup!$C:$C,MATCH(K122&amp;L122,_courses_lookup!$E:$E,0)),"")</f>
        <v/>
      </c>
      <c r="P122" t="str">
        <f>IFERROR(INDEX(_courses_lookup!$D:$D,MATCH(K122&amp;L122,_courses_lookup!$E:$E,0)),"")</f>
        <v/>
      </c>
      <c r="AG122" t="str">
        <f t="shared" si="11"/>
        <v/>
      </c>
      <c r="AI122" t="str">
        <f t="shared" si="12"/>
        <v/>
      </c>
      <c r="AL122" t="str">
        <f t="shared" si="13"/>
        <v/>
      </c>
      <c r="AN122" t="str">
        <f t="shared" si="14"/>
        <v/>
      </c>
      <c r="AQ122" t="str">
        <f t="shared" si="15"/>
        <v/>
      </c>
      <c r="AR122" t="str">
        <f t="shared" si="16"/>
        <v/>
      </c>
      <c r="AS122" t="str">
        <f t="shared" si="17"/>
        <v/>
      </c>
      <c r="AT122" t="str">
        <f t="shared" si="18"/>
        <v/>
      </c>
      <c r="BG122" t="str">
        <f t="shared" si="19"/>
        <v/>
      </c>
      <c r="BH122" t="str">
        <f t="shared" si="20"/>
        <v/>
      </c>
      <c r="BL122" t="str">
        <f>IFERROR(INDEX(_names_lookup!$C:$C,MATCH(BK122,_names_lookup!$A:$A,0)),"")</f>
        <v/>
      </c>
      <c r="BM122" t="str">
        <f>IFERROR(INDEX(_names_lookup!$B:$B,MATCH(BK122,_names_lookup!$A:$A,0)),"")</f>
        <v/>
      </c>
      <c r="BS122" t="str">
        <f t="shared" si="21"/>
        <v/>
      </c>
    </row>
    <row r="123" spans="15:71" x14ac:dyDescent="0.2">
      <c r="O123" t="str">
        <f>IFERROR(INDEX(_courses_lookup!$C:$C,MATCH(K123&amp;L123,_courses_lookup!$E:$E,0)),"")</f>
        <v/>
      </c>
      <c r="P123" t="str">
        <f>IFERROR(INDEX(_courses_lookup!$D:$D,MATCH(K123&amp;L123,_courses_lookup!$E:$E,0)),"")</f>
        <v/>
      </c>
      <c r="AG123" t="str">
        <f t="shared" si="11"/>
        <v/>
      </c>
      <c r="AI123" t="str">
        <f t="shared" si="12"/>
        <v/>
      </c>
      <c r="AL123" t="str">
        <f t="shared" si="13"/>
        <v/>
      </c>
      <c r="AN123" t="str">
        <f t="shared" si="14"/>
        <v/>
      </c>
      <c r="AQ123" t="str">
        <f t="shared" si="15"/>
        <v/>
      </c>
      <c r="AR123" t="str">
        <f t="shared" si="16"/>
        <v/>
      </c>
      <c r="AS123" t="str">
        <f t="shared" si="17"/>
        <v/>
      </c>
      <c r="AT123" t="str">
        <f t="shared" si="18"/>
        <v/>
      </c>
      <c r="BG123" t="str">
        <f t="shared" si="19"/>
        <v/>
      </c>
      <c r="BH123" t="str">
        <f t="shared" si="20"/>
        <v/>
      </c>
      <c r="BL123" t="str">
        <f>IFERROR(INDEX(_names_lookup!$C:$C,MATCH(BK123,_names_lookup!$A:$A,0)),"")</f>
        <v/>
      </c>
      <c r="BM123" t="str">
        <f>IFERROR(INDEX(_names_lookup!$B:$B,MATCH(BK123,_names_lookup!$A:$A,0)),"")</f>
        <v/>
      </c>
      <c r="BS123" t="str">
        <f t="shared" si="21"/>
        <v/>
      </c>
    </row>
    <row r="124" spans="15:71" x14ac:dyDescent="0.2">
      <c r="O124" t="str">
        <f>IFERROR(INDEX(_courses_lookup!$C:$C,MATCH(K124&amp;L124,_courses_lookup!$E:$E,0)),"")</f>
        <v/>
      </c>
      <c r="P124" t="str">
        <f>IFERROR(INDEX(_courses_lookup!$D:$D,MATCH(K124&amp;L124,_courses_lookup!$E:$E,0)),"")</f>
        <v/>
      </c>
      <c r="AG124" t="str">
        <f t="shared" si="11"/>
        <v/>
      </c>
      <c r="AI124" t="str">
        <f t="shared" si="12"/>
        <v/>
      </c>
      <c r="AL124" t="str">
        <f t="shared" si="13"/>
        <v/>
      </c>
      <c r="AN124" t="str">
        <f t="shared" si="14"/>
        <v/>
      </c>
      <c r="AQ124" t="str">
        <f t="shared" si="15"/>
        <v/>
      </c>
      <c r="AR124" t="str">
        <f t="shared" si="16"/>
        <v/>
      </c>
      <c r="AS124" t="str">
        <f t="shared" si="17"/>
        <v/>
      </c>
      <c r="AT124" t="str">
        <f t="shared" si="18"/>
        <v/>
      </c>
      <c r="BG124" t="str">
        <f t="shared" si="19"/>
        <v/>
      </c>
      <c r="BH124" t="str">
        <f t="shared" si="20"/>
        <v/>
      </c>
      <c r="BL124" t="str">
        <f>IFERROR(INDEX(_names_lookup!$C:$C,MATCH(BK124,_names_lookup!$A:$A,0)),"")</f>
        <v/>
      </c>
      <c r="BM124" t="str">
        <f>IFERROR(INDEX(_names_lookup!$B:$B,MATCH(BK124,_names_lookup!$A:$A,0)),"")</f>
        <v/>
      </c>
      <c r="BS124" t="str">
        <f t="shared" si="21"/>
        <v/>
      </c>
    </row>
    <row r="125" spans="15:71" x14ac:dyDescent="0.2">
      <c r="O125" t="str">
        <f>IFERROR(INDEX(_courses_lookup!$C:$C,MATCH(K125&amp;L125,_courses_lookup!$E:$E,0)),"")</f>
        <v/>
      </c>
      <c r="P125" t="str">
        <f>IFERROR(INDEX(_courses_lookup!$D:$D,MATCH(K125&amp;L125,_courses_lookup!$E:$E,0)),"")</f>
        <v/>
      </c>
      <c r="AG125" t="str">
        <f t="shared" si="11"/>
        <v/>
      </c>
      <c r="AI125" t="str">
        <f t="shared" si="12"/>
        <v/>
      </c>
      <c r="AL125" t="str">
        <f t="shared" si="13"/>
        <v/>
      </c>
      <c r="AN125" t="str">
        <f t="shared" si="14"/>
        <v/>
      </c>
      <c r="AQ125" t="str">
        <f t="shared" si="15"/>
        <v/>
      </c>
      <c r="AR125" t="str">
        <f t="shared" si="16"/>
        <v/>
      </c>
      <c r="AS125" t="str">
        <f t="shared" si="17"/>
        <v/>
      </c>
      <c r="AT125" t="str">
        <f t="shared" si="18"/>
        <v/>
      </c>
      <c r="BG125" t="str">
        <f t="shared" si="19"/>
        <v/>
      </c>
      <c r="BH125" t="str">
        <f t="shared" si="20"/>
        <v/>
      </c>
      <c r="BL125" t="str">
        <f>IFERROR(INDEX(_names_lookup!$C:$C,MATCH(BK125,_names_lookup!$A:$A,0)),"")</f>
        <v/>
      </c>
      <c r="BM125" t="str">
        <f>IFERROR(INDEX(_names_lookup!$B:$B,MATCH(BK125,_names_lookup!$A:$A,0)),"")</f>
        <v/>
      </c>
      <c r="BS125" t="str">
        <f t="shared" si="21"/>
        <v/>
      </c>
    </row>
    <row r="126" spans="15:71" x14ac:dyDescent="0.2">
      <c r="O126" t="str">
        <f>IFERROR(INDEX(_courses_lookup!$C:$C,MATCH(K126&amp;L126,_courses_lookup!$E:$E,0)),"")</f>
        <v/>
      </c>
      <c r="P126" t="str">
        <f>IFERROR(INDEX(_courses_lookup!$D:$D,MATCH(K126&amp;L126,_courses_lookup!$E:$E,0)),"")</f>
        <v/>
      </c>
      <c r="AG126" t="str">
        <f t="shared" si="11"/>
        <v/>
      </c>
      <c r="AI126" t="str">
        <f t="shared" si="12"/>
        <v/>
      </c>
      <c r="AL126" t="str">
        <f t="shared" si="13"/>
        <v/>
      </c>
      <c r="AN126" t="str">
        <f t="shared" si="14"/>
        <v/>
      </c>
      <c r="AQ126" t="str">
        <f t="shared" si="15"/>
        <v/>
      </c>
      <c r="AR126" t="str">
        <f t="shared" si="16"/>
        <v/>
      </c>
      <c r="AS126" t="str">
        <f t="shared" si="17"/>
        <v/>
      </c>
      <c r="AT126" t="str">
        <f t="shared" si="18"/>
        <v/>
      </c>
      <c r="BG126" t="str">
        <f t="shared" si="19"/>
        <v/>
      </c>
      <c r="BH126" t="str">
        <f t="shared" si="20"/>
        <v/>
      </c>
      <c r="BL126" t="str">
        <f>IFERROR(INDEX(_names_lookup!$C:$C,MATCH(BK126,_names_lookup!$A:$A,0)),"")</f>
        <v/>
      </c>
      <c r="BM126" t="str">
        <f>IFERROR(INDEX(_names_lookup!$B:$B,MATCH(BK126,_names_lookup!$A:$A,0)),"")</f>
        <v/>
      </c>
      <c r="BS126" t="str">
        <f t="shared" si="21"/>
        <v/>
      </c>
    </row>
    <row r="127" spans="15:71" x14ac:dyDescent="0.2">
      <c r="O127" t="str">
        <f>IFERROR(INDEX(_courses_lookup!$C:$C,MATCH(K127&amp;L127,_courses_lookup!$E:$E,0)),"")</f>
        <v/>
      </c>
      <c r="P127" t="str">
        <f>IFERROR(INDEX(_courses_lookup!$D:$D,MATCH(K127&amp;L127,_courses_lookup!$E:$E,0)),"")</f>
        <v/>
      </c>
      <c r="AG127" t="str">
        <f t="shared" si="11"/>
        <v/>
      </c>
      <c r="AI127" t="str">
        <f t="shared" si="12"/>
        <v/>
      </c>
      <c r="AL127" t="str">
        <f t="shared" si="13"/>
        <v/>
      </c>
      <c r="AN127" t="str">
        <f t="shared" si="14"/>
        <v/>
      </c>
      <c r="AQ127" t="str">
        <f t="shared" si="15"/>
        <v/>
      </c>
      <c r="AR127" t="str">
        <f t="shared" si="16"/>
        <v/>
      </c>
      <c r="AS127" t="str">
        <f t="shared" si="17"/>
        <v/>
      </c>
      <c r="AT127" t="str">
        <f t="shared" si="18"/>
        <v/>
      </c>
      <c r="BG127" t="str">
        <f t="shared" si="19"/>
        <v/>
      </c>
      <c r="BH127" t="str">
        <f t="shared" si="20"/>
        <v/>
      </c>
      <c r="BL127" t="str">
        <f>IFERROR(INDEX(_names_lookup!$C:$C,MATCH(BK127,_names_lookup!$A:$A,0)),"")</f>
        <v/>
      </c>
      <c r="BM127" t="str">
        <f>IFERROR(INDEX(_names_lookup!$B:$B,MATCH(BK127,_names_lookup!$A:$A,0)),"")</f>
        <v/>
      </c>
      <c r="BS127" t="str">
        <f t="shared" si="21"/>
        <v/>
      </c>
    </row>
    <row r="128" spans="15:71" x14ac:dyDescent="0.2">
      <c r="O128" t="str">
        <f>IFERROR(INDEX(_courses_lookup!$C:$C,MATCH(K128&amp;L128,_courses_lookup!$E:$E,0)),"")</f>
        <v/>
      </c>
      <c r="P128" t="str">
        <f>IFERROR(INDEX(_courses_lookup!$D:$D,MATCH(K128&amp;L128,_courses_lookup!$E:$E,0)),"")</f>
        <v/>
      </c>
      <c r="AG128" t="str">
        <f t="shared" si="11"/>
        <v/>
      </c>
      <c r="AI128" t="str">
        <f t="shared" si="12"/>
        <v/>
      </c>
      <c r="AL128" t="str">
        <f t="shared" si="13"/>
        <v/>
      </c>
      <c r="AN128" t="str">
        <f t="shared" si="14"/>
        <v/>
      </c>
      <c r="AQ128" t="str">
        <f t="shared" si="15"/>
        <v/>
      </c>
      <c r="AR128" t="str">
        <f t="shared" si="16"/>
        <v/>
      </c>
      <c r="AS128" t="str">
        <f t="shared" si="17"/>
        <v/>
      </c>
      <c r="AT128" t="str">
        <f t="shared" si="18"/>
        <v/>
      </c>
      <c r="BG128" t="str">
        <f t="shared" si="19"/>
        <v/>
      </c>
      <c r="BH128" t="str">
        <f t="shared" si="20"/>
        <v/>
      </c>
      <c r="BL128" t="str">
        <f>IFERROR(INDEX(_names_lookup!$C:$C,MATCH(BK128,_names_lookup!$A:$A,0)),"")</f>
        <v/>
      </c>
      <c r="BM128" t="str">
        <f>IFERROR(INDEX(_names_lookup!$B:$B,MATCH(BK128,_names_lookup!$A:$A,0)),"")</f>
        <v/>
      </c>
      <c r="BS128" t="str">
        <f t="shared" si="21"/>
        <v/>
      </c>
    </row>
    <row r="129" spans="15:71" x14ac:dyDescent="0.2">
      <c r="O129" t="str">
        <f>IFERROR(INDEX(_courses_lookup!$C:$C,MATCH(K129&amp;L129,_courses_lookup!$E:$E,0)),"")</f>
        <v/>
      </c>
      <c r="P129" t="str">
        <f>IFERROR(INDEX(_courses_lookup!$D:$D,MATCH(K129&amp;L129,_courses_lookup!$E:$E,0)),"")</f>
        <v/>
      </c>
      <c r="AG129" t="str">
        <f t="shared" si="11"/>
        <v/>
      </c>
      <c r="AI129" t="str">
        <f t="shared" si="12"/>
        <v/>
      </c>
      <c r="AL129" t="str">
        <f t="shared" si="13"/>
        <v/>
      </c>
      <c r="AN129" t="str">
        <f t="shared" si="14"/>
        <v/>
      </c>
      <c r="AQ129" t="str">
        <f t="shared" si="15"/>
        <v/>
      </c>
      <c r="AR129" t="str">
        <f t="shared" si="16"/>
        <v/>
      </c>
      <c r="AS129" t="str">
        <f t="shared" si="17"/>
        <v/>
      </c>
      <c r="AT129" t="str">
        <f t="shared" si="18"/>
        <v/>
      </c>
      <c r="BG129" t="str">
        <f t="shared" si="19"/>
        <v/>
      </c>
      <c r="BH129" t="str">
        <f t="shared" si="20"/>
        <v/>
      </c>
      <c r="BL129" t="str">
        <f>IFERROR(INDEX(_names_lookup!$C:$C,MATCH(BK129,_names_lookup!$A:$A,0)),"")</f>
        <v/>
      </c>
      <c r="BM129" t="str">
        <f>IFERROR(INDEX(_names_lookup!$B:$B,MATCH(BK129,_names_lookup!$A:$A,0)),"")</f>
        <v/>
      </c>
      <c r="BS129" t="str">
        <f t="shared" si="21"/>
        <v/>
      </c>
    </row>
    <row r="130" spans="15:71" x14ac:dyDescent="0.2">
      <c r="O130" t="str">
        <f>IFERROR(INDEX(_courses_lookup!$C:$C,MATCH(K130&amp;L130,_courses_lookup!$E:$E,0)),"")</f>
        <v/>
      </c>
      <c r="P130" t="str">
        <f>IFERROR(INDEX(_courses_lookup!$D:$D,MATCH(K130&amp;L130,_courses_lookup!$E:$E,0)),"")</f>
        <v/>
      </c>
      <c r="AG130" t="str">
        <f t="shared" ref="AG130:AG193" si="22">IF(AND(AE130&lt;&gt;"",AF130&lt;&gt;""),ROUNDUP((AF130-AE130)/7,0),"")</f>
        <v/>
      </c>
      <c r="AI130" t="str">
        <f t="shared" ref="AI130:AI193" si="23">IFERROR(IF(AG130*AH130=0,"",AG130*AH130),"")</f>
        <v/>
      </c>
      <c r="AL130" t="str">
        <f t="shared" ref="AL130:AL193" si="24">IF(AND(AJ130&lt;&gt;"",AK130&lt;&gt;""),ROUNDUP((AK130-AJ130)/7,0),"")</f>
        <v/>
      </c>
      <c r="AN130" t="str">
        <f t="shared" ref="AN130:AN193" si="25">IFERROR(IF(AL130*AM130=0,"",AL130*AM130),"")</f>
        <v/>
      </c>
      <c r="AQ130" t="str">
        <f t="shared" ref="AQ130:AQ193" si="26">IF(AND(AO130&lt;&gt;"",AP130&lt;&gt;""),ROUNDUP((AP130-AO130)/7,0),"")</f>
        <v/>
      </c>
      <c r="AR130" t="str">
        <f t="shared" ref="AR130:AR193" si="27">IFERROR(IF((AU130-(AI130+AN130))/AQ130=0,"",ROUNDUP((AU130-(AI130+AN130))/AQ130,0)),"")</f>
        <v/>
      </c>
      <c r="AS130" t="str">
        <f t="shared" ref="AS130:AS193" si="28">IFERROR(IF((AU130-(AI130+AN130))=0,"",(AU130-(AI130+AN130))),"")</f>
        <v/>
      </c>
      <c r="AT130" t="str">
        <f t="shared" ref="AT130:AT193" si="29">IF(AND(AG130="",AQ130=""),AL130,IF(SUM(AG130,AL130,AQ130)=0,"",SUM(AG130,AL130,AQ130)))</f>
        <v/>
      </c>
      <c r="BG130" t="str">
        <f t="shared" ref="BG130:BG193" si="30">IF(AD130="","",YEAR(AD130)+IF(MONTH(AD130)&gt;=5,1,0))</f>
        <v/>
      </c>
      <c r="BH130" t="str">
        <f t="shared" ref="BH130:BH193" si="31">IF(AD130="","",IF(AND(MONTH(AD130)=8,DAY(AD130)&gt;=15),"Fall",IF(MONTH(AD130)&gt;8,"Fall",IF(MONTH(AD130)=5,"Summer",IF(MONTH(AD130)=1,"Spring","")))))</f>
        <v/>
      </c>
      <c r="BL130" t="str">
        <f>IFERROR(INDEX(_names_lookup!$C:$C,MATCH(BK130,_names_lookup!$A:$A,0)),"")</f>
        <v/>
      </c>
      <c r="BM130" t="str">
        <f>IFERROR(INDEX(_names_lookup!$B:$B,MATCH(BK130,_names_lookup!$A:$A,0)),"")</f>
        <v/>
      </c>
      <c r="BS130" t="str">
        <f t="shared" ref="BS130:BS193" si="32">IFERROR(IF(BR130*AA130=0,"",BR130*AA130),"")</f>
        <v/>
      </c>
    </row>
    <row r="131" spans="15:71" x14ac:dyDescent="0.2">
      <c r="O131" t="str">
        <f>IFERROR(INDEX(_courses_lookup!$C:$C,MATCH(K131&amp;L131,_courses_lookup!$E:$E,0)),"")</f>
        <v/>
      </c>
      <c r="P131" t="str">
        <f>IFERROR(INDEX(_courses_lookup!$D:$D,MATCH(K131&amp;L131,_courses_lookup!$E:$E,0)),"")</f>
        <v/>
      </c>
      <c r="AG131" t="str">
        <f t="shared" si="22"/>
        <v/>
      </c>
      <c r="AI131" t="str">
        <f t="shared" si="23"/>
        <v/>
      </c>
      <c r="AL131" t="str">
        <f t="shared" si="24"/>
        <v/>
      </c>
      <c r="AN131" t="str">
        <f t="shared" si="25"/>
        <v/>
      </c>
      <c r="AQ131" t="str">
        <f t="shared" si="26"/>
        <v/>
      </c>
      <c r="AR131" t="str">
        <f t="shared" si="27"/>
        <v/>
      </c>
      <c r="AS131" t="str">
        <f t="shared" si="28"/>
        <v/>
      </c>
      <c r="AT131" t="str">
        <f t="shared" si="29"/>
        <v/>
      </c>
      <c r="BG131" t="str">
        <f t="shared" si="30"/>
        <v/>
      </c>
      <c r="BH131" t="str">
        <f t="shared" si="31"/>
        <v/>
      </c>
      <c r="BL131" t="str">
        <f>IFERROR(INDEX(_names_lookup!$C:$C,MATCH(BK131,_names_lookup!$A:$A,0)),"")</f>
        <v/>
      </c>
      <c r="BM131" t="str">
        <f>IFERROR(INDEX(_names_lookup!$B:$B,MATCH(BK131,_names_lookup!$A:$A,0)),"")</f>
        <v/>
      </c>
      <c r="BS131" t="str">
        <f t="shared" si="32"/>
        <v/>
      </c>
    </row>
    <row r="132" spans="15:71" x14ac:dyDescent="0.2">
      <c r="O132" t="str">
        <f>IFERROR(INDEX(_courses_lookup!$C:$C,MATCH(K132&amp;L132,_courses_lookup!$E:$E,0)),"")</f>
        <v/>
      </c>
      <c r="P132" t="str">
        <f>IFERROR(INDEX(_courses_lookup!$D:$D,MATCH(K132&amp;L132,_courses_lookup!$E:$E,0)),"")</f>
        <v/>
      </c>
      <c r="AG132" t="str">
        <f t="shared" si="22"/>
        <v/>
      </c>
      <c r="AI132" t="str">
        <f t="shared" si="23"/>
        <v/>
      </c>
      <c r="AL132" t="str">
        <f t="shared" si="24"/>
        <v/>
      </c>
      <c r="AN132" t="str">
        <f t="shared" si="25"/>
        <v/>
      </c>
      <c r="AQ132" t="str">
        <f t="shared" si="26"/>
        <v/>
      </c>
      <c r="AR132" t="str">
        <f t="shared" si="27"/>
        <v/>
      </c>
      <c r="AS132" t="str">
        <f t="shared" si="28"/>
        <v/>
      </c>
      <c r="AT132" t="str">
        <f t="shared" si="29"/>
        <v/>
      </c>
      <c r="BG132" t="str">
        <f t="shared" si="30"/>
        <v/>
      </c>
      <c r="BH132" t="str">
        <f t="shared" si="31"/>
        <v/>
      </c>
      <c r="BL132" t="str">
        <f>IFERROR(INDEX(_names_lookup!$C:$C,MATCH(BK132,_names_lookup!$A:$A,0)),"")</f>
        <v/>
      </c>
      <c r="BM132" t="str">
        <f>IFERROR(INDEX(_names_lookup!$B:$B,MATCH(BK132,_names_lookup!$A:$A,0)),"")</f>
        <v/>
      </c>
      <c r="BS132" t="str">
        <f t="shared" si="32"/>
        <v/>
      </c>
    </row>
    <row r="133" spans="15:71" x14ac:dyDescent="0.2">
      <c r="O133" t="str">
        <f>IFERROR(INDEX(_courses_lookup!$C:$C,MATCH(K133&amp;L133,_courses_lookup!$E:$E,0)),"")</f>
        <v/>
      </c>
      <c r="P133" t="str">
        <f>IFERROR(INDEX(_courses_lookup!$D:$D,MATCH(K133&amp;L133,_courses_lookup!$E:$E,0)),"")</f>
        <v/>
      </c>
      <c r="AG133" t="str">
        <f t="shared" si="22"/>
        <v/>
      </c>
      <c r="AI133" t="str">
        <f t="shared" si="23"/>
        <v/>
      </c>
      <c r="AL133" t="str">
        <f t="shared" si="24"/>
        <v/>
      </c>
      <c r="AN133" t="str">
        <f t="shared" si="25"/>
        <v/>
      </c>
      <c r="AQ133" t="str">
        <f t="shared" si="26"/>
        <v/>
      </c>
      <c r="AR133" t="str">
        <f t="shared" si="27"/>
        <v/>
      </c>
      <c r="AS133" t="str">
        <f t="shared" si="28"/>
        <v/>
      </c>
      <c r="AT133" t="str">
        <f t="shared" si="29"/>
        <v/>
      </c>
      <c r="BG133" t="str">
        <f t="shared" si="30"/>
        <v/>
      </c>
      <c r="BH133" t="str">
        <f t="shared" si="31"/>
        <v/>
      </c>
      <c r="BL133" t="str">
        <f>IFERROR(INDEX(_names_lookup!$C:$C,MATCH(BK133,_names_lookup!$A:$A,0)),"")</f>
        <v/>
      </c>
      <c r="BM133" t="str">
        <f>IFERROR(INDEX(_names_lookup!$B:$B,MATCH(BK133,_names_lookup!$A:$A,0)),"")</f>
        <v/>
      </c>
      <c r="BS133" t="str">
        <f t="shared" si="32"/>
        <v/>
      </c>
    </row>
    <row r="134" spans="15:71" x14ac:dyDescent="0.2">
      <c r="O134" t="str">
        <f>IFERROR(INDEX(_courses_lookup!$C:$C,MATCH(K134&amp;L134,_courses_lookup!$E:$E,0)),"")</f>
        <v/>
      </c>
      <c r="P134" t="str">
        <f>IFERROR(INDEX(_courses_lookup!$D:$D,MATCH(K134&amp;L134,_courses_lookup!$E:$E,0)),"")</f>
        <v/>
      </c>
      <c r="AG134" t="str">
        <f t="shared" si="22"/>
        <v/>
      </c>
      <c r="AI134" t="str">
        <f t="shared" si="23"/>
        <v/>
      </c>
      <c r="AL134" t="str">
        <f t="shared" si="24"/>
        <v/>
      </c>
      <c r="AN134" t="str">
        <f t="shared" si="25"/>
        <v/>
      </c>
      <c r="AQ134" t="str">
        <f t="shared" si="26"/>
        <v/>
      </c>
      <c r="AR134" t="str">
        <f t="shared" si="27"/>
        <v/>
      </c>
      <c r="AS134" t="str">
        <f t="shared" si="28"/>
        <v/>
      </c>
      <c r="AT134" t="str">
        <f t="shared" si="29"/>
        <v/>
      </c>
      <c r="BG134" t="str">
        <f t="shared" si="30"/>
        <v/>
      </c>
      <c r="BH134" t="str">
        <f t="shared" si="31"/>
        <v/>
      </c>
      <c r="BL134" t="str">
        <f>IFERROR(INDEX(_names_lookup!$C:$C,MATCH(BK134,_names_lookup!$A:$A,0)),"")</f>
        <v/>
      </c>
      <c r="BM134" t="str">
        <f>IFERROR(INDEX(_names_lookup!$B:$B,MATCH(BK134,_names_lookup!$A:$A,0)),"")</f>
        <v/>
      </c>
      <c r="BS134" t="str">
        <f t="shared" si="32"/>
        <v/>
      </c>
    </row>
    <row r="135" spans="15:71" x14ac:dyDescent="0.2">
      <c r="O135" t="str">
        <f>IFERROR(INDEX(_courses_lookup!$C:$C,MATCH(K135&amp;L135,_courses_lookup!$E:$E,0)),"")</f>
        <v/>
      </c>
      <c r="P135" t="str">
        <f>IFERROR(INDEX(_courses_lookup!$D:$D,MATCH(K135&amp;L135,_courses_lookup!$E:$E,0)),"")</f>
        <v/>
      </c>
      <c r="AG135" t="str">
        <f t="shared" si="22"/>
        <v/>
      </c>
      <c r="AI135" t="str">
        <f t="shared" si="23"/>
        <v/>
      </c>
      <c r="AL135" t="str">
        <f t="shared" si="24"/>
        <v/>
      </c>
      <c r="AN135" t="str">
        <f t="shared" si="25"/>
        <v/>
      </c>
      <c r="AQ135" t="str">
        <f t="shared" si="26"/>
        <v/>
      </c>
      <c r="AR135" t="str">
        <f t="shared" si="27"/>
        <v/>
      </c>
      <c r="AS135" t="str">
        <f t="shared" si="28"/>
        <v/>
      </c>
      <c r="AT135" t="str">
        <f t="shared" si="29"/>
        <v/>
      </c>
      <c r="BG135" t="str">
        <f t="shared" si="30"/>
        <v/>
      </c>
      <c r="BH135" t="str">
        <f t="shared" si="31"/>
        <v/>
      </c>
      <c r="BL135" t="str">
        <f>IFERROR(INDEX(_names_lookup!$C:$C,MATCH(BK135,_names_lookup!$A:$A,0)),"")</f>
        <v/>
      </c>
      <c r="BM135" t="str">
        <f>IFERROR(INDEX(_names_lookup!$B:$B,MATCH(BK135,_names_lookup!$A:$A,0)),"")</f>
        <v/>
      </c>
      <c r="BS135" t="str">
        <f t="shared" si="32"/>
        <v/>
      </c>
    </row>
    <row r="136" spans="15:71" x14ac:dyDescent="0.2">
      <c r="O136" t="str">
        <f>IFERROR(INDEX(_courses_lookup!$C:$C,MATCH(K136&amp;L136,_courses_lookup!$E:$E,0)),"")</f>
        <v/>
      </c>
      <c r="P136" t="str">
        <f>IFERROR(INDEX(_courses_lookup!$D:$D,MATCH(K136&amp;L136,_courses_lookup!$E:$E,0)),"")</f>
        <v/>
      </c>
      <c r="AG136" t="str">
        <f t="shared" si="22"/>
        <v/>
      </c>
      <c r="AI136" t="str">
        <f t="shared" si="23"/>
        <v/>
      </c>
      <c r="AL136" t="str">
        <f t="shared" si="24"/>
        <v/>
      </c>
      <c r="AN136" t="str">
        <f t="shared" si="25"/>
        <v/>
      </c>
      <c r="AQ136" t="str">
        <f t="shared" si="26"/>
        <v/>
      </c>
      <c r="AR136" t="str">
        <f t="shared" si="27"/>
        <v/>
      </c>
      <c r="AS136" t="str">
        <f t="shared" si="28"/>
        <v/>
      </c>
      <c r="AT136" t="str">
        <f t="shared" si="29"/>
        <v/>
      </c>
      <c r="BG136" t="str">
        <f t="shared" si="30"/>
        <v/>
      </c>
      <c r="BH136" t="str">
        <f t="shared" si="31"/>
        <v/>
      </c>
      <c r="BL136" t="str">
        <f>IFERROR(INDEX(_names_lookup!$C:$C,MATCH(BK136,_names_lookup!$A:$A,0)),"")</f>
        <v/>
      </c>
      <c r="BM136" t="str">
        <f>IFERROR(INDEX(_names_lookup!$B:$B,MATCH(BK136,_names_lookup!$A:$A,0)),"")</f>
        <v/>
      </c>
      <c r="BS136" t="str">
        <f t="shared" si="32"/>
        <v/>
      </c>
    </row>
    <row r="137" spans="15:71" x14ac:dyDescent="0.2">
      <c r="O137" t="str">
        <f>IFERROR(INDEX(_courses_lookup!$C:$C,MATCH(K137&amp;L137,_courses_lookup!$E:$E,0)),"")</f>
        <v/>
      </c>
      <c r="P137" t="str">
        <f>IFERROR(INDEX(_courses_lookup!$D:$D,MATCH(K137&amp;L137,_courses_lookup!$E:$E,0)),"")</f>
        <v/>
      </c>
      <c r="AG137" t="str">
        <f t="shared" si="22"/>
        <v/>
      </c>
      <c r="AI137" t="str">
        <f t="shared" si="23"/>
        <v/>
      </c>
      <c r="AL137" t="str">
        <f t="shared" si="24"/>
        <v/>
      </c>
      <c r="AN137" t="str">
        <f t="shared" si="25"/>
        <v/>
      </c>
      <c r="AQ137" t="str">
        <f t="shared" si="26"/>
        <v/>
      </c>
      <c r="AR137" t="str">
        <f t="shared" si="27"/>
        <v/>
      </c>
      <c r="AS137" t="str">
        <f t="shared" si="28"/>
        <v/>
      </c>
      <c r="AT137" t="str">
        <f t="shared" si="29"/>
        <v/>
      </c>
      <c r="BG137" t="str">
        <f t="shared" si="30"/>
        <v/>
      </c>
      <c r="BH137" t="str">
        <f t="shared" si="31"/>
        <v/>
      </c>
      <c r="BL137" t="str">
        <f>IFERROR(INDEX(_names_lookup!$C:$C,MATCH(BK137,_names_lookup!$A:$A,0)),"")</f>
        <v/>
      </c>
      <c r="BM137" t="str">
        <f>IFERROR(INDEX(_names_lookup!$B:$B,MATCH(BK137,_names_lookup!$A:$A,0)),"")</f>
        <v/>
      </c>
      <c r="BS137" t="str">
        <f t="shared" si="32"/>
        <v/>
      </c>
    </row>
    <row r="138" spans="15:71" x14ac:dyDescent="0.2">
      <c r="O138" t="str">
        <f>IFERROR(INDEX(_courses_lookup!$C:$C,MATCH(K138&amp;L138,_courses_lookup!$E:$E,0)),"")</f>
        <v/>
      </c>
      <c r="P138" t="str">
        <f>IFERROR(INDEX(_courses_lookup!$D:$D,MATCH(K138&amp;L138,_courses_lookup!$E:$E,0)),"")</f>
        <v/>
      </c>
      <c r="AG138" t="str">
        <f t="shared" si="22"/>
        <v/>
      </c>
      <c r="AI138" t="str">
        <f t="shared" si="23"/>
        <v/>
      </c>
      <c r="AL138" t="str">
        <f t="shared" si="24"/>
        <v/>
      </c>
      <c r="AN138" t="str">
        <f t="shared" si="25"/>
        <v/>
      </c>
      <c r="AQ138" t="str">
        <f t="shared" si="26"/>
        <v/>
      </c>
      <c r="AR138" t="str">
        <f t="shared" si="27"/>
        <v/>
      </c>
      <c r="AS138" t="str">
        <f t="shared" si="28"/>
        <v/>
      </c>
      <c r="AT138" t="str">
        <f t="shared" si="29"/>
        <v/>
      </c>
      <c r="BG138" t="str">
        <f t="shared" si="30"/>
        <v/>
      </c>
      <c r="BH138" t="str">
        <f t="shared" si="31"/>
        <v/>
      </c>
      <c r="BL138" t="str">
        <f>IFERROR(INDEX(_names_lookup!$C:$C,MATCH(BK138,_names_lookup!$A:$A,0)),"")</f>
        <v/>
      </c>
      <c r="BM138" t="str">
        <f>IFERROR(INDEX(_names_lookup!$B:$B,MATCH(BK138,_names_lookup!$A:$A,0)),"")</f>
        <v/>
      </c>
      <c r="BS138" t="str">
        <f t="shared" si="32"/>
        <v/>
      </c>
    </row>
    <row r="139" spans="15:71" x14ac:dyDescent="0.2">
      <c r="O139" t="str">
        <f>IFERROR(INDEX(_courses_lookup!$C:$C,MATCH(K139&amp;L139,_courses_lookup!$E:$E,0)),"")</f>
        <v/>
      </c>
      <c r="P139" t="str">
        <f>IFERROR(INDEX(_courses_lookup!$D:$D,MATCH(K139&amp;L139,_courses_lookup!$E:$E,0)),"")</f>
        <v/>
      </c>
      <c r="AG139" t="str">
        <f t="shared" si="22"/>
        <v/>
      </c>
      <c r="AI139" t="str">
        <f t="shared" si="23"/>
        <v/>
      </c>
      <c r="AL139" t="str">
        <f t="shared" si="24"/>
        <v/>
      </c>
      <c r="AN139" t="str">
        <f t="shared" si="25"/>
        <v/>
      </c>
      <c r="AQ139" t="str">
        <f t="shared" si="26"/>
        <v/>
      </c>
      <c r="AR139" t="str">
        <f t="shared" si="27"/>
        <v/>
      </c>
      <c r="AS139" t="str">
        <f t="shared" si="28"/>
        <v/>
      </c>
      <c r="AT139" t="str">
        <f t="shared" si="29"/>
        <v/>
      </c>
      <c r="BG139" t="str">
        <f t="shared" si="30"/>
        <v/>
      </c>
      <c r="BH139" t="str">
        <f t="shared" si="31"/>
        <v/>
      </c>
      <c r="BL139" t="str">
        <f>IFERROR(INDEX(_names_lookup!$C:$C,MATCH(BK139,_names_lookup!$A:$A,0)),"")</f>
        <v/>
      </c>
      <c r="BM139" t="str">
        <f>IFERROR(INDEX(_names_lookup!$B:$B,MATCH(BK139,_names_lookup!$A:$A,0)),"")</f>
        <v/>
      </c>
      <c r="BS139" t="str">
        <f t="shared" si="32"/>
        <v/>
      </c>
    </row>
    <row r="140" spans="15:71" x14ac:dyDescent="0.2">
      <c r="O140" t="str">
        <f>IFERROR(INDEX(_courses_lookup!$C:$C,MATCH(K140&amp;L140,_courses_lookup!$E:$E,0)),"")</f>
        <v/>
      </c>
      <c r="P140" t="str">
        <f>IFERROR(INDEX(_courses_lookup!$D:$D,MATCH(K140&amp;L140,_courses_lookup!$E:$E,0)),"")</f>
        <v/>
      </c>
      <c r="AG140" t="str">
        <f t="shared" si="22"/>
        <v/>
      </c>
      <c r="AI140" t="str">
        <f t="shared" si="23"/>
        <v/>
      </c>
      <c r="AL140" t="str">
        <f t="shared" si="24"/>
        <v/>
      </c>
      <c r="AN140" t="str">
        <f t="shared" si="25"/>
        <v/>
      </c>
      <c r="AQ140" t="str">
        <f t="shared" si="26"/>
        <v/>
      </c>
      <c r="AR140" t="str">
        <f t="shared" si="27"/>
        <v/>
      </c>
      <c r="AS140" t="str">
        <f t="shared" si="28"/>
        <v/>
      </c>
      <c r="AT140" t="str">
        <f t="shared" si="29"/>
        <v/>
      </c>
      <c r="BG140" t="str">
        <f t="shared" si="30"/>
        <v/>
      </c>
      <c r="BH140" t="str">
        <f t="shared" si="31"/>
        <v/>
      </c>
      <c r="BL140" t="str">
        <f>IFERROR(INDEX(_names_lookup!$C:$C,MATCH(BK140,_names_lookup!$A:$A,0)),"")</f>
        <v/>
      </c>
      <c r="BM140" t="str">
        <f>IFERROR(INDEX(_names_lookup!$B:$B,MATCH(BK140,_names_lookup!$A:$A,0)),"")</f>
        <v/>
      </c>
      <c r="BS140" t="str">
        <f t="shared" si="32"/>
        <v/>
      </c>
    </row>
    <row r="141" spans="15:71" x14ac:dyDescent="0.2">
      <c r="O141" t="str">
        <f>IFERROR(INDEX(_courses_lookup!$C:$C,MATCH(K141&amp;L141,_courses_lookup!$E:$E,0)),"")</f>
        <v/>
      </c>
      <c r="P141" t="str">
        <f>IFERROR(INDEX(_courses_lookup!$D:$D,MATCH(K141&amp;L141,_courses_lookup!$E:$E,0)),"")</f>
        <v/>
      </c>
      <c r="AG141" t="str">
        <f t="shared" si="22"/>
        <v/>
      </c>
      <c r="AI141" t="str">
        <f t="shared" si="23"/>
        <v/>
      </c>
      <c r="AL141" t="str">
        <f t="shared" si="24"/>
        <v/>
      </c>
      <c r="AN141" t="str">
        <f t="shared" si="25"/>
        <v/>
      </c>
      <c r="AQ141" t="str">
        <f t="shared" si="26"/>
        <v/>
      </c>
      <c r="AR141" t="str">
        <f t="shared" si="27"/>
        <v/>
      </c>
      <c r="AS141" t="str">
        <f t="shared" si="28"/>
        <v/>
      </c>
      <c r="AT141" t="str">
        <f t="shared" si="29"/>
        <v/>
      </c>
      <c r="BG141" t="str">
        <f t="shared" si="30"/>
        <v/>
      </c>
      <c r="BH141" t="str">
        <f t="shared" si="31"/>
        <v/>
      </c>
      <c r="BL141" t="str">
        <f>IFERROR(INDEX(_names_lookup!$C:$C,MATCH(BK141,_names_lookup!$A:$A,0)),"")</f>
        <v/>
      </c>
      <c r="BM141" t="str">
        <f>IFERROR(INDEX(_names_lookup!$B:$B,MATCH(BK141,_names_lookup!$A:$A,0)),"")</f>
        <v/>
      </c>
      <c r="BS141" t="str">
        <f t="shared" si="32"/>
        <v/>
      </c>
    </row>
    <row r="142" spans="15:71" x14ac:dyDescent="0.2">
      <c r="O142" t="str">
        <f>IFERROR(INDEX(_courses_lookup!$C:$C,MATCH(K142&amp;L142,_courses_lookup!$E:$E,0)),"")</f>
        <v/>
      </c>
      <c r="P142" t="str">
        <f>IFERROR(INDEX(_courses_lookup!$D:$D,MATCH(K142&amp;L142,_courses_lookup!$E:$E,0)),"")</f>
        <v/>
      </c>
      <c r="AG142" t="str">
        <f t="shared" si="22"/>
        <v/>
      </c>
      <c r="AI142" t="str">
        <f t="shared" si="23"/>
        <v/>
      </c>
      <c r="AL142" t="str">
        <f t="shared" si="24"/>
        <v/>
      </c>
      <c r="AN142" t="str">
        <f t="shared" si="25"/>
        <v/>
      </c>
      <c r="AQ142" t="str">
        <f t="shared" si="26"/>
        <v/>
      </c>
      <c r="AR142" t="str">
        <f t="shared" si="27"/>
        <v/>
      </c>
      <c r="AS142" t="str">
        <f t="shared" si="28"/>
        <v/>
      </c>
      <c r="AT142" t="str">
        <f t="shared" si="29"/>
        <v/>
      </c>
      <c r="BG142" t="str">
        <f t="shared" si="30"/>
        <v/>
      </c>
      <c r="BH142" t="str">
        <f t="shared" si="31"/>
        <v/>
      </c>
      <c r="BL142" t="str">
        <f>IFERROR(INDEX(_names_lookup!$C:$C,MATCH(BK142,_names_lookup!$A:$A,0)),"")</f>
        <v/>
      </c>
      <c r="BM142" t="str">
        <f>IFERROR(INDEX(_names_lookup!$B:$B,MATCH(BK142,_names_lookup!$A:$A,0)),"")</f>
        <v/>
      </c>
      <c r="BS142" t="str">
        <f t="shared" si="32"/>
        <v/>
      </c>
    </row>
    <row r="143" spans="15:71" x14ac:dyDescent="0.2">
      <c r="O143" t="str">
        <f>IFERROR(INDEX(_courses_lookup!$C:$C,MATCH(K143&amp;L143,_courses_lookup!$E:$E,0)),"")</f>
        <v/>
      </c>
      <c r="P143" t="str">
        <f>IFERROR(INDEX(_courses_lookup!$D:$D,MATCH(K143&amp;L143,_courses_lookup!$E:$E,0)),"")</f>
        <v/>
      </c>
      <c r="AG143" t="str">
        <f t="shared" si="22"/>
        <v/>
      </c>
      <c r="AI143" t="str">
        <f t="shared" si="23"/>
        <v/>
      </c>
      <c r="AL143" t="str">
        <f t="shared" si="24"/>
        <v/>
      </c>
      <c r="AN143" t="str">
        <f t="shared" si="25"/>
        <v/>
      </c>
      <c r="AQ143" t="str">
        <f t="shared" si="26"/>
        <v/>
      </c>
      <c r="AR143" t="str">
        <f t="shared" si="27"/>
        <v/>
      </c>
      <c r="AS143" t="str">
        <f t="shared" si="28"/>
        <v/>
      </c>
      <c r="AT143" t="str">
        <f t="shared" si="29"/>
        <v/>
      </c>
      <c r="BG143" t="str">
        <f t="shared" si="30"/>
        <v/>
      </c>
      <c r="BH143" t="str">
        <f t="shared" si="31"/>
        <v/>
      </c>
      <c r="BL143" t="str">
        <f>IFERROR(INDEX(_names_lookup!$C:$C,MATCH(BK143,_names_lookup!$A:$A,0)),"")</f>
        <v/>
      </c>
      <c r="BM143" t="str">
        <f>IFERROR(INDEX(_names_lookup!$B:$B,MATCH(BK143,_names_lookup!$A:$A,0)),"")</f>
        <v/>
      </c>
      <c r="BS143" t="str">
        <f t="shared" si="32"/>
        <v/>
      </c>
    </row>
    <row r="144" spans="15:71" x14ac:dyDescent="0.2">
      <c r="O144" t="str">
        <f>IFERROR(INDEX(_courses_lookup!$C:$C,MATCH(K144&amp;L144,_courses_lookup!$E:$E,0)),"")</f>
        <v/>
      </c>
      <c r="P144" t="str">
        <f>IFERROR(INDEX(_courses_lookup!$D:$D,MATCH(K144&amp;L144,_courses_lookup!$E:$E,0)),"")</f>
        <v/>
      </c>
      <c r="AG144" t="str">
        <f t="shared" si="22"/>
        <v/>
      </c>
      <c r="AI144" t="str">
        <f t="shared" si="23"/>
        <v/>
      </c>
      <c r="AL144" t="str">
        <f t="shared" si="24"/>
        <v/>
      </c>
      <c r="AN144" t="str">
        <f t="shared" si="25"/>
        <v/>
      </c>
      <c r="AQ144" t="str">
        <f t="shared" si="26"/>
        <v/>
      </c>
      <c r="AR144" t="str">
        <f t="shared" si="27"/>
        <v/>
      </c>
      <c r="AS144" t="str">
        <f t="shared" si="28"/>
        <v/>
      </c>
      <c r="AT144" t="str">
        <f t="shared" si="29"/>
        <v/>
      </c>
      <c r="BG144" t="str">
        <f t="shared" si="30"/>
        <v/>
      </c>
      <c r="BH144" t="str">
        <f t="shared" si="31"/>
        <v/>
      </c>
      <c r="BL144" t="str">
        <f>IFERROR(INDEX(_names_lookup!$C:$C,MATCH(BK144,_names_lookup!$A:$A,0)),"")</f>
        <v/>
      </c>
      <c r="BM144" t="str">
        <f>IFERROR(INDEX(_names_lookup!$B:$B,MATCH(BK144,_names_lookup!$A:$A,0)),"")</f>
        <v/>
      </c>
      <c r="BS144" t="str">
        <f t="shared" si="32"/>
        <v/>
      </c>
    </row>
    <row r="145" spans="15:71" x14ac:dyDescent="0.2">
      <c r="O145" t="str">
        <f>IFERROR(INDEX(_courses_lookup!$C:$C,MATCH(K145&amp;L145,_courses_lookup!$E:$E,0)),"")</f>
        <v/>
      </c>
      <c r="P145" t="str">
        <f>IFERROR(INDEX(_courses_lookup!$D:$D,MATCH(K145&amp;L145,_courses_lookup!$E:$E,0)),"")</f>
        <v/>
      </c>
      <c r="AG145" t="str">
        <f t="shared" si="22"/>
        <v/>
      </c>
      <c r="AI145" t="str">
        <f t="shared" si="23"/>
        <v/>
      </c>
      <c r="AL145" t="str">
        <f t="shared" si="24"/>
        <v/>
      </c>
      <c r="AN145" t="str">
        <f t="shared" si="25"/>
        <v/>
      </c>
      <c r="AQ145" t="str">
        <f t="shared" si="26"/>
        <v/>
      </c>
      <c r="AR145" t="str">
        <f t="shared" si="27"/>
        <v/>
      </c>
      <c r="AS145" t="str">
        <f t="shared" si="28"/>
        <v/>
      </c>
      <c r="AT145" t="str">
        <f t="shared" si="29"/>
        <v/>
      </c>
      <c r="BG145" t="str">
        <f t="shared" si="30"/>
        <v/>
      </c>
      <c r="BH145" t="str">
        <f t="shared" si="31"/>
        <v/>
      </c>
      <c r="BL145" t="str">
        <f>IFERROR(INDEX(_names_lookup!$C:$C,MATCH(BK145,_names_lookup!$A:$A,0)),"")</f>
        <v/>
      </c>
      <c r="BM145" t="str">
        <f>IFERROR(INDEX(_names_lookup!$B:$B,MATCH(BK145,_names_lookup!$A:$A,0)),"")</f>
        <v/>
      </c>
      <c r="BS145" t="str">
        <f t="shared" si="32"/>
        <v/>
      </c>
    </row>
    <row r="146" spans="15:71" x14ac:dyDescent="0.2">
      <c r="O146" t="str">
        <f>IFERROR(INDEX(_courses_lookup!$C:$C,MATCH(K146&amp;L146,_courses_lookup!$E:$E,0)),"")</f>
        <v/>
      </c>
      <c r="P146" t="str">
        <f>IFERROR(INDEX(_courses_lookup!$D:$D,MATCH(K146&amp;L146,_courses_lookup!$E:$E,0)),"")</f>
        <v/>
      </c>
      <c r="AG146" t="str">
        <f t="shared" si="22"/>
        <v/>
      </c>
      <c r="AI146" t="str">
        <f t="shared" si="23"/>
        <v/>
      </c>
      <c r="AL146" t="str">
        <f t="shared" si="24"/>
        <v/>
      </c>
      <c r="AN146" t="str">
        <f t="shared" si="25"/>
        <v/>
      </c>
      <c r="AQ146" t="str">
        <f t="shared" si="26"/>
        <v/>
      </c>
      <c r="AR146" t="str">
        <f t="shared" si="27"/>
        <v/>
      </c>
      <c r="AS146" t="str">
        <f t="shared" si="28"/>
        <v/>
      </c>
      <c r="AT146" t="str">
        <f t="shared" si="29"/>
        <v/>
      </c>
      <c r="BG146" t="str">
        <f t="shared" si="30"/>
        <v/>
      </c>
      <c r="BH146" t="str">
        <f t="shared" si="31"/>
        <v/>
      </c>
      <c r="BL146" t="str">
        <f>IFERROR(INDEX(_names_lookup!$C:$C,MATCH(BK146,_names_lookup!$A:$A,0)),"")</f>
        <v/>
      </c>
      <c r="BM146" t="str">
        <f>IFERROR(INDEX(_names_lookup!$B:$B,MATCH(BK146,_names_lookup!$A:$A,0)),"")</f>
        <v/>
      </c>
      <c r="BS146" t="str">
        <f t="shared" si="32"/>
        <v/>
      </c>
    </row>
    <row r="147" spans="15:71" x14ac:dyDescent="0.2">
      <c r="O147" t="str">
        <f>IFERROR(INDEX(_courses_lookup!$C:$C,MATCH(K147&amp;L147,_courses_lookup!$E:$E,0)),"")</f>
        <v/>
      </c>
      <c r="P147" t="str">
        <f>IFERROR(INDEX(_courses_lookup!$D:$D,MATCH(K147&amp;L147,_courses_lookup!$E:$E,0)),"")</f>
        <v/>
      </c>
      <c r="AG147" t="str">
        <f t="shared" si="22"/>
        <v/>
      </c>
      <c r="AI147" t="str">
        <f t="shared" si="23"/>
        <v/>
      </c>
      <c r="AL147" t="str">
        <f t="shared" si="24"/>
        <v/>
      </c>
      <c r="AN147" t="str">
        <f t="shared" si="25"/>
        <v/>
      </c>
      <c r="AQ147" t="str">
        <f t="shared" si="26"/>
        <v/>
      </c>
      <c r="AR147" t="str">
        <f t="shared" si="27"/>
        <v/>
      </c>
      <c r="AS147" t="str">
        <f t="shared" si="28"/>
        <v/>
      </c>
      <c r="AT147" t="str">
        <f t="shared" si="29"/>
        <v/>
      </c>
      <c r="BG147" t="str">
        <f t="shared" si="30"/>
        <v/>
      </c>
      <c r="BH147" t="str">
        <f t="shared" si="31"/>
        <v/>
      </c>
      <c r="BL147" t="str">
        <f>IFERROR(INDEX(_names_lookup!$C:$C,MATCH(BK147,_names_lookup!$A:$A,0)),"")</f>
        <v/>
      </c>
      <c r="BM147" t="str">
        <f>IFERROR(INDEX(_names_lookup!$B:$B,MATCH(BK147,_names_lookup!$A:$A,0)),"")</f>
        <v/>
      </c>
      <c r="BS147" t="str">
        <f t="shared" si="32"/>
        <v/>
      </c>
    </row>
    <row r="148" spans="15:71" x14ac:dyDescent="0.2">
      <c r="O148" t="str">
        <f>IFERROR(INDEX(_courses_lookup!$C:$C,MATCH(K148&amp;L148,_courses_lookup!$E:$E,0)),"")</f>
        <v/>
      </c>
      <c r="P148" t="str">
        <f>IFERROR(INDEX(_courses_lookup!$D:$D,MATCH(K148&amp;L148,_courses_lookup!$E:$E,0)),"")</f>
        <v/>
      </c>
      <c r="AG148" t="str">
        <f t="shared" si="22"/>
        <v/>
      </c>
      <c r="AI148" t="str">
        <f t="shared" si="23"/>
        <v/>
      </c>
      <c r="AL148" t="str">
        <f t="shared" si="24"/>
        <v/>
      </c>
      <c r="AN148" t="str">
        <f t="shared" si="25"/>
        <v/>
      </c>
      <c r="AQ148" t="str">
        <f t="shared" si="26"/>
        <v/>
      </c>
      <c r="AR148" t="str">
        <f t="shared" si="27"/>
        <v/>
      </c>
      <c r="AS148" t="str">
        <f t="shared" si="28"/>
        <v/>
      </c>
      <c r="AT148" t="str">
        <f t="shared" si="29"/>
        <v/>
      </c>
      <c r="BG148" t="str">
        <f t="shared" si="30"/>
        <v/>
      </c>
      <c r="BH148" t="str">
        <f t="shared" si="31"/>
        <v/>
      </c>
      <c r="BL148" t="str">
        <f>IFERROR(INDEX(_names_lookup!$C:$C,MATCH(BK148,_names_lookup!$A:$A,0)),"")</f>
        <v/>
      </c>
      <c r="BM148" t="str">
        <f>IFERROR(INDEX(_names_lookup!$B:$B,MATCH(BK148,_names_lookup!$A:$A,0)),"")</f>
        <v/>
      </c>
      <c r="BS148" t="str">
        <f t="shared" si="32"/>
        <v/>
      </c>
    </row>
    <row r="149" spans="15:71" x14ac:dyDescent="0.2">
      <c r="O149" t="str">
        <f>IFERROR(INDEX(_courses_lookup!$C:$C,MATCH(K149&amp;L149,_courses_lookup!$E:$E,0)),"")</f>
        <v/>
      </c>
      <c r="P149" t="str">
        <f>IFERROR(INDEX(_courses_lookup!$D:$D,MATCH(K149&amp;L149,_courses_lookup!$E:$E,0)),"")</f>
        <v/>
      </c>
      <c r="AG149" t="str">
        <f t="shared" si="22"/>
        <v/>
      </c>
      <c r="AI149" t="str">
        <f t="shared" si="23"/>
        <v/>
      </c>
      <c r="AL149" t="str">
        <f t="shared" si="24"/>
        <v/>
      </c>
      <c r="AN149" t="str">
        <f t="shared" si="25"/>
        <v/>
      </c>
      <c r="AQ149" t="str">
        <f t="shared" si="26"/>
        <v/>
      </c>
      <c r="AR149" t="str">
        <f t="shared" si="27"/>
        <v/>
      </c>
      <c r="AS149" t="str">
        <f t="shared" si="28"/>
        <v/>
      </c>
      <c r="AT149" t="str">
        <f t="shared" si="29"/>
        <v/>
      </c>
      <c r="BG149" t="str">
        <f t="shared" si="30"/>
        <v/>
      </c>
      <c r="BH149" t="str">
        <f t="shared" si="31"/>
        <v/>
      </c>
      <c r="BL149" t="str">
        <f>IFERROR(INDEX(_names_lookup!$C:$C,MATCH(BK149,_names_lookup!$A:$A,0)),"")</f>
        <v/>
      </c>
      <c r="BM149" t="str">
        <f>IFERROR(INDEX(_names_lookup!$B:$B,MATCH(BK149,_names_lookup!$A:$A,0)),"")</f>
        <v/>
      </c>
      <c r="BS149" t="str">
        <f t="shared" si="32"/>
        <v/>
      </c>
    </row>
    <row r="150" spans="15:71" x14ac:dyDescent="0.2">
      <c r="O150" t="str">
        <f>IFERROR(INDEX(_courses_lookup!$C:$C,MATCH(K150&amp;L150,_courses_lookup!$E:$E,0)),"")</f>
        <v/>
      </c>
      <c r="P150" t="str">
        <f>IFERROR(INDEX(_courses_lookup!$D:$D,MATCH(K150&amp;L150,_courses_lookup!$E:$E,0)),"")</f>
        <v/>
      </c>
      <c r="AG150" t="str">
        <f t="shared" si="22"/>
        <v/>
      </c>
      <c r="AI150" t="str">
        <f t="shared" si="23"/>
        <v/>
      </c>
      <c r="AL150" t="str">
        <f t="shared" si="24"/>
        <v/>
      </c>
      <c r="AN150" t="str">
        <f t="shared" si="25"/>
        <v/>
      </c>
      <c r="AQ150" t="str">
        <f t="shared" si="26"/>
        <v/>
      </c>
      <c r="AR150" t="str">
        <f t="shared" si="27"/>
        <v/>
      </c>
      <c r="AS150" t="str">
        <f t="shared" si="28"/>
        <v/>
      </c>
      <c r="AT150" t="str">
        <f t="shared" si="29"/>
        <v/>
      </c>
      <c r="BG150" t="str">
        <f t="shared" si="30"/>
        <v/>
      </c>
      <c r="BH150" t="str">
        <f t="shared" si="31"/>
        <v/>
      </c>
      <c r="BL150" t="str">
        <f>IFERROR(INDEX(_names_lookup!$C:$C,MATCH(BK150,_names_lookup!$A:$A,0)),"")</f>
        <v/>
      </c>
      <c r="BM150" t="str">
        <f>IFERROR(INDEX(_names_lookup!$B:$B,MATCH(BK150,_names_lookup!$A:$A,0)),"")</f>
        <v/>
      </c>
      <c r="BS150" t="str">
        <f t="shared" si="32"/>
        <v/>
      </c>
    </row>
    <row r="151" spans="15:71" x14ac:dyDescent="0.2">
      <c r="O151" t="str">
        <f>IFERROR(INDEX(_courses_lookup!$C:$C,MATCH(K151&amp;L151,_courses_lookup!$E:$E,0)),"")</f>
        <v/>
      </c>
      <c r="P151" t="str">
        <f>IFERROR(INDEX(_courses_lookup!$D:$D,MATCH(K151&amp;L151,_courses_lookup!$E:$E,0)),"")</f>
        <v/>
      </c>
      <c r="AG151" t="str">
        <f t="shared" si="22"/>
        <v/>
      </c>
      <c r="AI151" t="str">
        <f t="shared" si="23"/>
        <v/>
      </c>
      <c r="AL151" t="str">
        <f t="shared" si="24"/>
        <v/>
      </c>
      <c r="AN151" t="str">
        <f t="shared" si="25"/>
        <v/>
      </c>
      <c r="AQ151" t="str">
        <f t="shared" si="26"/>
        <v/>
      </c>
      <c r="AR151" t="str">
        <f t="shared" si="27"/>
        <v/>
      </c>
      <c r="AS151" t="str">
        <f t="shared" si="28"/>
        <v/>
      </c>
      <c r="AT151" t="str">
        <f t="shared" si="29"/>
        <v/>
      </c>
      <c r="BG151" t="str">
        <f t="shared" si="30"/>
        <v/>
      </c>
      <c r="BH151" t="str">
        <f t="shared" si="31"/>
        <v/>
      </c>
      <c r="BL151" t="str">
        <f>IFERROR(INDEX(_names_lookup!$C:$C,MATCH(BK151,_names_lookup!$A:$A,0)),"")</f>
        <v/>
      </c>
      <c r="BM151" t="str">
        <f>IFERROR(INDEX(_names_lookup!$B:$B,MATCH(BK151,_names_lookup!$A:$A,0)),"")</f>
        <v/>
      </c>
      <c r="BS151" t="str">
        <f t="shared" si="32"/>
        <v/>
      </c>
    </row>
    <row r="152" spans="15:71" x14ac:dyDescent="0.2">
      <c r="O152" t="str">
        <f>IFERROR(INDEX(_courses_lookup!$C:$C,MATCH(K152&amp;L152,_courses_lookup!$E:$E,0)),"")</f>
        <v/>
      </c>
      <c r="P152" t="str">
        <f>IFERROR(INDEX(_courses_lookup!$D:$D,MATCH(K152&amp;L152,_courses_lookup!$E:$E,0)),"")</f>
        <v/>
      </c>
      <c r="AG152" t="str">
        <f t="shared" si="22"/>
        <v/>
      </c>
      <c r="AI152" t="str">
        <f t="shared" si="23"/>
        <v/>
      </c>
      <c r="AL152" t="str">
        <f t="shared" si="24"/>
        <v/>
      </c>
      <c r="AN152" t="str">
        <f t="shared" si="25"/>
        <v/>
      </c>
      <c r="AQ152" t="str">
        <f t="shared" si="26"/>
        <v/>
      </c>
      <c r="AR152" t="str">
        <f t="shared" si="27"/>
        <v/>
      </c>
      <c r="AS152" t="str">
        <f t="shared" si="28"/>
        <v/>
      </c>
      <c r="AT152" t="str">
        <f t="shared" si="29"/>
        <v/>
      </c>
      <c r="BG152" t="str">
        <f t="shared" si="30"/>
        <v/>
      </c>
      <c r="BH152" t="str">
        <f t="shared" si="31"/>
        <v/>
      </c>
      <c r="BL152" t="str">
        <f>IFERROR(INDEX(_names_lookup!$C:$C,MATCH(BK152,_names_lookup!$A:$A,0)),"")</f>
        <v/>
      </c>
      <c r="BM152" t="str">
        <f>IFERROR(INDEX(_names_lookup!$B:$B,MATCH(BK152,_names_lookup!$A:$A,0)),"")</f>
        <v/>
      </c>
      <c r="BS152" t="str">
        <f t="shared" si="32"/>
        <v/>
      </c>
    </row>
    <row r="153" spans="15:71" x14ac:dyDescent="0.2">
      <c r="O153" t="str">
        <f>IFERROR(INDEX(_courses_lookup!$C:$C,MATCH(K153&amp;L153,_courses_lookup!$E:$E,0)),"")</f>
        <v/>
      </c>
      <c r="P153" t="str">
        <f>IFERROR(INDEX(_courses_lookup!$D:$D,MATCH(K153&amp;L153,_courses_lookup!$E:$E,0)),"")</f>
        <v/>
      </c>
      <c r="AG153" t="str">
        <f t="shared" si="22"/>
        <v/>
      </c>
      <c r="AI153" t="str">
        <f t="shared" si="23"/>
        <v/>
      </c>
      <c r="AL153" t="str">
        <f t="shared" si="24"/>
        <v/>
      </c>
      <c r="AN153" t="str">
        <f t="shared" si="25"/>
        <v/>
      </c>
      <c r="AQ153" t="str">
        <f t="shared" si="26"/>
        <v/>
      </c>
      <c r="AR153" t="str">
        <f t="shared" si="27"/>
        <v/>
      </c>
      <c r="AS153" t="str">
        <f t="shared" si="28"/>
        <v/>
      </c>
      <c r="AT153" t="str">
        <f t="shared" si="29"/>
        <v/>
      </c>
      <c r="BG153" t="str">
        <f t="shared" si="30"/>
        <v/>
      </c>
      <c r="BH153" t="str">
        <f t="shared" si="31"/>
        <v/>
      </c>
      <c r="BL153" t="str">
        <f>IFERROR(INDEX(_names_lookup!$C:$C,MATCH(BK153,_names_lookup!$A:$A,0)),"")</f>
        <v/>
      </c>
      <c r="BM153" t="str">
        <f>IFERROR(INDEX(_names_lookup!$B:$B,MATCH(BK153,_names_lookup!$A:$A,0)),"")</f>
        <v/>
      </c>
      <c r="BS153" t="str">
        <f t="shared" si="32"/>
        <v/>
      </c>
    </row>
    <row r="154" spans="15:71" x14ac:dyDescent="0.2">
      <c r="O154" t="str">
        <f>IFERROR(INDEX(_courses_lookup!$C:$C,MATCH(K154&amp;L154,_courses_lookup!$E:$E,0)),"")</f>
        <v/>
      </c>
      <c r="P154" t="str">
        <f>IFERROR(INDEX(_courses_lookup!$D:$D,MATCH(K154&amp;L154,_courses_lookup!$E:$E,0)),"")</f>
        <v/>
      </c>
      <c r="AG154" t="str">
        <f t="shared" si="22"/>
        <v/>
      </c>
      <c r="AI154" t="str">
        <f t="shared" si="23"/>
        <v/>
      </c>
      <c r="AL154" t="str">
        <f t="shared" si="24"/>
        <v/>
      </c>
      <c r="AN154" t="str">
        <f t="shared" si="25"/>
        <v/>
      </c>
      <c r="AQ154" t="str">
        <f t="shared" si="26"/>
        <v/>
      </c>
      <c r="AR154" t="str">
        <f t="shared" si="27"/>
        <v/>
      </c>
      <c r="AS154" t="str">
        <f t="shared" si="28"/>
        <v/>
      </c>
      <c r="AT154" t="str">
        <f t="shared" si="29"/>
        <v/>
      </c>
      <c r="BG154" t="str">
        <f t="shared" si="30"/>
        <v/>
      </c>
      <c r="BH154" t="str">
        <f t="shared" si="31"/>
        <v/>
      </c>
      <c r="BL154" t="str">
        <f>IFERROR(INDEX(_names_lookup!$C:$C,MATCH(BK154,_names_lookup!$A:$A,0)),"")</f>
        <v/>
      </c>
      <c r="BM154" t="str">
        <f>IFERROR(INDEX(_names_lookup!$B:$B,MATCH(BK154,_names_lookup!$A:$A,0)),"")</f>
        <v/>
      </c>
      <c r="BS154" t="str">
        <f t="shared" si="32"/>
        <v/>
      </c>
    </row>
    <row r="155" spans="15:71" x14ac:dyDescent="0.2">
      <c r="O155" t="str">
        <f>IFERROR(INDEX(_courses_lookup!$C:$C,MATCH(K155&amp;L155,_courses_lookup!$E:$E,0)),"")</f>
        <v/>
      </c>
      <c r="P155" t="str">
        <f>IFERROR(INDEX(_courses_lookup!$D:$D,MATCH(K155&amp;L155,_courses_lookup!$E:$E,0)),"")</f>
        <v/>
      </c>
      <c r="AG155" t="str">
        <f t="shared" si="22"/>
        <v/>
      </c>
      <c r="AI155" t="str">
        <f t="shared" si="23"/>
        <v/>
      </c>
      <c r="AL155" t="str">
        <f t="shared" si="24"/>
        <v/>
      </c>
      <c r="AN155" t="str">
        <f t="shared" si="25"/>
        <v/>
      </c>
      <c r="AQ155" t="str">
        <f t="shared" si="26"/>
        <v/>
      </c>
      <c r="AR155" t="str">
        <f t="shared" si="27"/>
        <v/>
      </c>
      <c r="AS155" t="str">
        <f t="shared" si="28"/>
        <v/>
      </c>
      <c r="AT155" t="str">
        <f t="shared" si="29"/>
        <v/>
      </c>
      <c r="BG155" t="str">
        <f t="shared" si="30"/>
        <v/>
      </c>
      <c r="BH155" t="str">
        <f t="shared" si="31"/>
        <v/>
      </c>
      <c r="BL155" t="str">
        <f>IFERROR(INDEX(_names_lookup!$C:$C,MATCH(BK155,_names_lookup!$A:$A,0)),"")</f>
        <v/>
      </c>
      <c r="BM155" t="str">
        <f>IFERROR(INDEX(_names_lookup!$B:$B,MATCH(BK155,_names_lookup!$A:$A,0)),"")</f>
        <v/>
      </c>
      <c r="BS155" t="str">
        <f t="shared" si="32"/>
        <v/>
      </c>
    </row>
    <row r="156" spans="15:71" x14ac:dyDescent="0.2">
      <c r="O156" t="str">
        <f>IFERROR(INDEX(_courses_lookup!$C:$C,MATCH(K156&amp;L156,_courses_lookup!$E:$E,0)),"")</f>
        <v/>
      </c>
      <c r="P156" t="str">
        <f>IFERROR(INDEX(_courses_lookup!$D:$D,MATCH(K156&amp;L156,_courses_lookup!$E:$E,0)),"")</f>
        <v/>
      </c>
      <c r="AG156" t="str">
        <f t="shared" si="22"/>
        <v/>
      </c>
      <c r="AI156" t="str">
        <f t="shared" si="23"/>
        <v/>
      </c>
      <c r="AL156" t="str">
        <f t="shared" si="24"/>
        <v/>
      </c>
      <c r="AN156" t="str">
        <f t="shared" si="25"/>
        <v/>
      </c>
      <c r="AQ156" t="str">
        <f t="shared" si="26"/>
        <v/>
      </c>
      <c r="AR156" t="str">
        <f t="shared" si="27"/>
        <v/>
      </c>
      <c r="AS156" t="str">
        <f t="shared" si="28"/>
        <v/>
      </c>
      <c r="AT156" t="str">
        <f t="shared" si="29"/>
        <v/>
      </c>
      <c r="BG156" t="str">
        <f t="shared" si="30"/>
        <v/>
      </c>
      <c r="BH156" t="str">
        <f t="shared" si="31"/>
        <v/>
      </c>
      <c r="BL156" t="str">
        <f>IFERROR(INDEX(_names_lookup!$C:$C,MATCH(BK156,_names_lookup!$A:$A,0)),"")</f>
        <v/>
      </c>
      <c r="BM156" t="str">
        <f>IFERROR(INDEX(_names_lookup!$B:$B,MATCH(BK156,_names_lookup!$A:$A,0)),"")</f>
        <v/>
      </c>
      <c r="BS156" t="str">
        <f t="shared" si="32"/>
        <v/>
      </c>
    </row>
    <row r="157" spans="15:71" x14ac:dyDescent="0.2">
      <c r="O157" t="str">
        <f>IFERROR(INDEX(_courses_lookup!$C:$C,MATCH(K157&amp;L157,_courses_lookup!$E:$E,0)),"")</f>
        <v/>
      </c>
      <c r="P157" t="str">
        <f>IFERROR(INDEX(_courses_lookup!$D:$D,MATCH(K157&amp;L157,_courses_lookup!$E:$E,0)),"")</f>
        <v/>
      </c>
      <c r="AG157" t="str">
        <f t="shared" si="22"/>
        <v/>
      </c>
      <c r="AI157" t="str">
        <f t="shared" si="23"/>
        <v/>
      </c>
      <c r="AL157" t="str">
        <f t="shared" si="24"/>
        <v/>
      </c>
      <c r="AN157" t="str">
        <f t="shared" si="25"/>
        <v/>
      </c>
      <c r="AQ157" t="str">
        <f t="shared" si="26"/>
        <v/>
      </c>
      <c r="AR157" t="str">
        <f t="shared" si="27"/>
        <v/>
      </c>
      <c r="AS157" t="str">
        <f t="shared" si="28"/>
        <v/>
      </c>
      <c r="AT157" t="str">
        <f t="shared" si="29"/>
        <v/>
      </c>
      <c r="BG157" t="str">
        <f t="shared" si="30"/>
        <v/>
      </c>
      <c r="BH157" t="str">
        <f t="shared" si="31"/>
        <v/>
      </c>
      <c r="BL157" t="str">
        <f>IFERROR(INDEX(_names_lookup!$C:$C,MATCH(BK157,_names_lookup!$A:$A,0)),"")</f>
        <v/>
      </c>
      <c r="BM157" t="str">
        <f>IFERROR(INDEX(_names_lookup!$B:$B,MATCH(BK157,_names_lookup!$A:$A,0)),"")</f>
        <v/>
      </c>
      <c r="BS157" t="str">
        <f t="shared" si="32"/>
        <v/>
      </c>
    </row>
    <row r="158" spans="15:71" x14ac:dyDescent="0.2">
      <c r="O158" t="str">
        <f>IFERROR(INDEX(_courses_lookup!$C:$C,MATCH(K158&amp;L158,_courses_lookup!$E:$E,0)),"")</f>
        <v/>
      </c>
      <c r="P158" t="str">
        <f>IFERROR(INDEX(_courses_lookup!$D:$D,MATCH(K158&amp;L158,_courses_lookup!$E:$E,0)),"")</f>
        <v/>
      </c>
      <c r="AG158" t="str">
        <f t="shared" si="22"/>
        <v/>
      </c>
      <c r="AI158" t="str">
        <f t="shared" si="23"/>
        <v/>
      </c>
      <c r="AL158" t="str">
        <f t="shared" si="24"/>
        <v/>
      </c>
      <c r="AN158" t="str">
        <f t="shared" si="25"/>
        <v/>
      </c>
      <c r="AQ158" t="str">
        <f t="shared" si="26"/>
        <v/>
      </c>
      <c r="AR158" t="str">
        <f t="shared" si="27"/>
        <v/>
      </c>
      <c r="AS158" t="str">
        <f t="shared" si="28"/>
        <v/>
      </c>
      <c r="AT158" t="str">
        <f t="shared" si="29"/>
        <v/>
      </c>
      <c r="BG158" t="str">
        <f t="shared" si="30"/>
        <v/>
      </c>
      <c r="BH158" t="str">
        <f t="shared" si="31"/>
        <v/>
      </c>
      <c r="BL158" t="str">
        <f>IFERROR(INDEX(_names_lookup!$C:$C,MATCH(BK158,_names_lookup!$A:$A,0)),"")</f>
        <v/>
      </c>
      <c r="BM158" t="str">
        <f>IFERROR(INDEX(_names_lookup!$B:$B,MATCH(BK158,_names_lookup!$A:$A,0)),"")</f>
        <v/>
      </c>
      <c r="BS158" t="str">
        <f t="shared" si="32"/>
        <v/>
      </c>
    </row>
    <row r="159" spans="15:71" x14ac:dyDescent="0.2">
      <c r="O159" t="str">
        <f>IFERROR(INDEX(_courses_lookup!$C:$C,MATCH(K159&amp;L159,_courses_lookup!$E:$E,0)),"")</f>
        <v/>
      </c>
      <c r="P159" t="str">
        <f>IFERROR(INDEX(_courses_lookup!$D:$D,MATCH(K159&amp;L159,_courses_lookup!$E:$E,0)),"")</f>
        <v/>
      </c>
      <c r="AG159" t="str">
        <f t="shared" si="22"/>
        <v/>
      </c>
      <c r="AI159" t="str">
        <f t="shared" si="23"/>
        <v/>
      </c>
      <c r="AL159" t="str">
        <f t="shared" si="24"/>
        <v/>
      </c>
      <c r="AN159" t="str">
        <f t="shared" si="25"/>
        <v/>
      </c>
      <c r="AQ159" t="str">
        <f t="shared" si="26"/>
        <v/>
      </c>
      <c r="AR159" t="str">
        <f t="shared" si="27"/>
        <v/>
      </c>
      <c r="AS159" t="str">
        <f t="shared" si="28"/>
        <v/>
      </c>
      <c r="AT159" t="str">
        <f t="shared" si="29"/>
        <v/>
      </c>
      <c r="BG159" t="str">
        <f t="shared" si="30"/>
        <v/>
      </c>
      <c r="BH159" t="str">
        <f t="shared" si="31"/>
        <v/>
      </c>
      <c r="BL159" t="str">
        <f>IFERROR(INDEX(_names_lookup!$C:$C,MATCH(BK159,_names_lookup!$A:$A,0)),"")</f>
        <v/>
      </c>
      <c r="BM159" t="str">
        <f>IFERROR(INDEX(_names_lookup!$B:$B,MATCH(BK159,_names_lookup!$A:$A,0)),"")</f>
        <v/>
      </c>
      <c r="BS159" t="str">
        <f t="shared" si="32"/>
        <v/>
      </c>
    </row>
    <row r="160" spans="15:71" x14ac:dyDescent="0.2">
      <c r="O160" t="str">
        <f>IFERROR(INDEX(_courses_lookup!$C:$C,MATCH(K160&amp;L160,_courses_lookup!$E:$E,0)),"")</f>
        <v/>
      </c>
      <c r="P160" t="str">
        <f>IFERROR(INDEX(_courses_lookup!$D:$D,MATCH(K160&amp;L160,_courses_lookup!$E:$E,0)),"")</f>
        <v/>
      </c>
      <c r="AG160" t="str">
        <f t="shared" si="22"/>
        <v/>
      </c>
      <c r="AI160" t="str">
        <f t="shared" si="23"/>
        <v/>
      </c>
      <c r="AL160" t="str">
        <f t="shared" si="24"/>
        <v/>
      </c>
      <c r="AN160" t="str">
        <f t="shared" si="25"/>
        <v/>
      </c>
      <c r="AQ160" t="str">
        <f t="shared" si="26"/>
        <v/>
      </c>
      <c r="AR160" t="str">
        <f t="shared" si="27"/>
        <v/>
      </c>
      <c r="AS160" t="str">
        <f t="shared" si="28"/>
        <v/>
      </c>
      <c r="AT160" t="str">
        <f t="shared" si="29"/>
        <v/>
      </c>
      <c r="BG160" t="str">
        <f t="shared" si="30"/>
        <v/>
      </c>
      <c r="BH160" t="str">
        <f t="shared" si="31"/>
        <v/>
      </c>
      <c r="BL160" t="str">
        <f>IFERROR(INDEX(_names_lookup!$C:$C,MATCH(BK160,_names_lookup!$A:$A,0)),"")</f>
        <v/>
      </c>
      <c r="BM160" t="str">
        <f>IFERROR(INDEX(_names_lookup!$B:$B,MATCH(BK160,_names_lookup!$A:$A,0)),"")</f>
        <v/>
      </c>
      <c r="BS160" t="str">
        <f t="shared" si="32"/>
        <v/>
      </c>
    </row>
    <row r="161" spans="15:71" x14ac:dyDescent="0.2">
      <c r="O161" t="str">
        <f>IFERROR(INDEX(_courses_lookup!$C:$C,MATCH(K161&amp;L161,_courses_lookup!$E:$E,0)),"")</f>
        <v/>
      </c>
      <c r="P161" t="str">
        <f>IFERROR(INDEX(_courses_lookup!$D:$D,MATCH(K161&amp;L161,_courses_lookup!$E:$E,0)),"")</f>
        <v/>
      </c>
      <c r="AG161" t="str">
        <f t="shared" si="22"/>
        <v/>
      </c>
      <c r="AI161" t="str">
        <f t="shared" si="23"/>
        <v/>
      </c>
      <c r="AL161" t="str">
        <f t="shared" si="24"/>
        <v/>
      </c>
      <c r="AN161" t="str">
        <f t="shared" si="25"/>
        <v/>
      </c>
      <c r="AQ161" t="str">
        <f t="shared" si="26"/>
        <v/>
      </c>
      <c r="AR161" t="str">
        <f t="shared" si="27"/>
        <v/>
      </c>
      <c r="AS161" t="str">
        <f t="shared" si="28"/>
        <v/>
      </c>
      <c r="AT161" t="str">
        <f t="shared" si="29"/>
        <v/>
      </c>
      <c r="BG161" t="str">
        <f t="shared" si="30"/>
        <v/>
      </c>
      <c r="BH161" t="str">
        <f t="shared" si="31"/>
        <v/>
      </c>
      <c r="BL161" t="str">
        <f>IFERROR(INDEX(_names_lookup!$C:$C,MATCH(BK161,_names_lookup!$A:$A,0)),"")</f>
        <v/>
      </c>
      <c r="BM161" t="str">
        <f>IFERROR(INDEX(_names_lookup!$B:$B,MATCH(BK161,_names_lookup!$A:$A,0)),"")</f>
        <v/>
      </c>
      <c r="BS161" t="str">
        <f t="shared" si="32"/>
        <v/>
      </c>
    </row>
    <row r="162" spans="15:71" x14ac:dyDescent="0.2">
      <c r="O162" t="str">
        <f>IFERROR(INDEX(_courses_lookup!$C:$C,MATCH(K162&amp;L162,_courses_lookup!$E:$E,0)),"")</f>
        <v/>
      </c>
      <c r="P162" t="str">
        <f>IFERROR(INDEX(_courses_lookup!$D:$D,MATCH(K162&amp;L162,_courses_lookup!$E:$E,0)),"")</f>
        <v/>
      </c>
      <c r="AG162" t="str">
        <f t="shared" si="22"/>
        <v/>
      </c>
      <c r="AI162" t="str">
        <f t="shared" si="23"/>
        <v/>
      </c>
      <c r="AL162" t="str">
        <f t="shared" si="24"/>
        <v/>
      </c>
      <c r="AN162" t="str">
        <f t="shared" si="25"/>
        <v/>
      </c>
      <c r="AQ162" t="str">
        <f t="shared" si="26"/>
        <v/>
      </c>
      <c r="AR162" t="str">
        <f t="shared" si="27"/>
        <v/>
      </c>
      <c r="AS162" t="str">
        <f t="shared" si="28"/>
        <v/>
      </c>
      <c r="AT162" t="str">
        <f t="shared" si="29"/>
        <v/>
      </c>
      <c r="BG162" t="str">
        <f t="shared" si="30"/>
        <v/>
      </c>
      <c r="BH162" t="str">
        <f t="shared" si="31"/>
        <v/>
      </c>
      <c r="BL162" t="str">
        <f>IFERROR(INDEX(_names_lookup!$C:$C,MATCH(BK162,_names_lookup!$A:$A,0)),"")</f>
        <v/>
      </c>
      <c r="BM162" t="str">
        <f>IFERROR(INDEX(_names_lookup!$B:$B,MATCH(BK162,_names_lookup!$A:$A,0)),"")</f>
        <v/>
      </c>
      <c r="BS162" t="str">
        <f t="shared" si="32"/>
        <v/>
      </c>
    </row>
    <row r="163" spans="15:71" x14ac:dyDescent="0.2">
      <c r="O163" t="str">
        <f>IFERROR(INDEX(_courses_lookup!$C:$C,MATCH(K163&amp;L163,_courses_lookup!$E:$E,0)),"")</f>
        <v/>
      </c>
      <c r="P163" t="str">
        <f>IFERROR(INDEX(_courses_lookup!$D:$D,MATCH(K163&amp;L163,_courses_lookup!$E:$E,0)),"")</f>
        <v/>
      </c>
      <c r="AG163" t="str">
        <f t="shared" si="22"/>
        <v/>
      </c>
      <c r="AI163" t="str">
        <f t="shared" si="23"/>
        <v/>
      </c>
      <c r="AL163" t="str">
        <f t="shared" si="24"/>
        <v/>
      </c>
      <c r="AN163" t="str">
        <f t="shared" si="25"/>
        <v/>
      </c>
      <c r="AQ163" t="str">
        <f t="shared" si="26"/>
        <v/>
      </c>
      <c r="AR163" t="str">
        <f t="shared" si="27"/>
        <v/>
      </c>
      <c r="AS163" t="str">
        <f t="shared" si="28"/>
        <v/>
      </c>
      <c r="AT163" t="str">
        <f t="shared" si="29"/>
        <v/>
      </c>
      <c r="BG163" t="str">
        <f t="shared" si="30"/>
        <v/>
      </c>
      <c r="BH163" t="str">
        <f t="shared" si="31"/>
        <v/>
      </c>
      <c r="BL163" t="str">
        <f>IFERROR(INDEX(_names_lookup!$C:$C,MATCH(BK163,_names_lookup!$A:$A,0)),"")</f>
        <v/>
      </c>
      <c r="BM163" t="str">
        <f>IFERROR(INDEX(_names_lookup!$B:$B,MATCH(BK163,_names_lookup!$A:$A,0)),"")</f>
        <v/>
      </c>
      <c r="BS163" t="str">
        <f t="shared" si="32"/>
        <v/>
      </c>
    </row>
    <row r="164" spans="15:71" x14ac:dyDescent="0.2">
      <c r="O164" t="str">
        <f>IFERROR(INDEX(_courses_lookup!$C:$C,MATCH(K164&amp;L164,_courses_lookup!$E:$E,0)),"")</f>
        <v/>
      </c>
      <c r="P164" t="str">
        <f>IFERROR(INDEX(_courses_lookup!$D:$D,MATCH(K164&amp;L164,_courses_lookup!$E:$E,0)),"")</f>
        <v/>
      </c>
      <c r="AG164" t="str">
        <f t="shared" si="22"/>
        <v/>
      </c>
      <c r="AI164" t="str">
        <f t="shared" si="23"/>
        <v/>
      </c>
      <c r="AL164" t="str">
        <f t="shared" si="24"/>
        <v/>
      </c>
      <c r="AN164" t="str">
        <f t="shared" si="25"/>
        <v/>
      </c>
      <c r="AQ164" t="str">
        <f t="shared" si="26"/>
        <v/>
      </c>
      <c r="AR164" t="str">
        <f t="shared" si="27"/>
        <v/>
      </c>
      <c r="AS164" t="str">
        <f t="shared" si="28"/>
        <v/>
      </c>
      <c r="AT164" t="str">
        <f t="shared" si="29"/>
        <v/>
      </c>
      <c r="BG164" t="str">
        <f t="shared" si="30"/>
        <v/>
      </c>
      <c r="BH164" t="str">
        <f t="shared" si="31"/>
        <v/>
      </c>
      <c r="BL164" t="str">
        <f>IFERROR(INDEX(_names_lookup!$C:$C,MATCH(BK164,_names_lookup!$A:$A,0)),"")</f>
        <v/>
      </c>
      <c r="BM164" t="str">
        <f>IFERROR(INDEX(_names_lookup!$B:$B,MATCH(BK164,_names_lookup!$A:$A,0)),"")</f>
        <v/>
      </c>
      <c r="BS164" t="str">
        <f t="shared" si="32"/>
        <v/>
      </c>
    </row>
    <row r="165" spans="15:71" x14ac:dyDescent="0.2">
      <c r="O165" t="str">
        <f>IFERROR(INDEX(_courses_lookup!$C:$C,MATCH(K165&amp;L165,_courses_lookup!$E:$E,0)),"")</f>
        <v/>
      </c>
      <c r="P165" t="str">
        <f>IFERROR(INDEX(_courses_lookup!$D:$D,MATCH(K165&amp;L165,_courses_lookup!$E:$E,0)),"")</f>
        <v/>
      </c>
      <c r="AG165" t="str">
        <f t="shared" si="22"/>
        <v/>
      </c>
      <c r="AI165" t="str">
        <f t="shared" si="23"/>
        <v/>
      </c>
      <c r="AL165" t="str">
        <f t="shared" si="24"/>
        <v/>
      </c>
      <c r="AN165" t="str">
        <f t="shared" si="25"/>
        <v/>
      </c>
      <c r="AQ165" t="str">
        <f t="shared" si="26"/>
        <v/>
      </c>
      <c r="AR165" t="str">
        <f t="shared" si="27"/>
        <v/>
      </c>
      <c r="AS165" t="str">
        <f t="shared" si="28"/>
        <v/>
      </c>
      <c r="AT165" t="str">
        <f t="shared" si="29"/>
        <v/>
      </c>
      <c r="BG165" t="str">
        <f t="shared" si="30"/>
        <v/>
      </c>
      <c r="BH165" t="str">
        <f t="shared" si="31"/>
        <v/>
      </c>
      <c r="BL165" t="str">
        <f>IFERROR(INDEX(_names_lookup!$C:$C,MATCH(BK165,_names_lookup!$A:$A,0)),"")</f>
        <v/>
      </c>
      <c r="BM165" t="str">
        <f>IFERROR(INDEX(_names_lookup!$B:$B,MATCH(BK165,_names_lookup!$A:$A,0)),"")</f>
        <v/>
      </c>
      <c r="BS165" t="str">
        <f t="shared" si="32"/>
        <v/>
      </c>
    </row>
    <row r="166" spans="15:71" x14ac:dyDescent="0.2">
      <c r="O166" t="str">
        <f>IFERROR(INDEX(_courses_lookup!$C:$C,MATCH(K166&amp;L166,_courses_lookup!$E:$E,0)),"")</f>
        <v/>
      </c>
      <c r="P166" t="str">
        <f>IFERROR(INDEX(_courses_lookup!$D:$D,MATCH(K166&amp;L166,_courses_lookup!$E:$E,0)),"")</f>
        <v/>
      </c>
      <c r="AG166" t="str">
        <f t="shared" si="22"/>
        <v/>
      </c>
      <c r="AI166" t="str">
        <f t="shared" si="23"/>
        <v/>
      </c>
      <c r="AL166" t="str">
        <f t="shared" si="24"/>
        <v/>
      </c>
      <c r="AN166" t="str">
        <f t="shared" si="25"/>
        <v/>
      </c>
      <c r="AQ166" t="str">
        <f t="shared" si="26"/>
        <v/>
      </c>
      <c r="AR166" t="str">
        <f t="shared" si="27"/>
        <v/>
      </c>
      <c r="AS166" t="str">
        <f t="shared" si="28"/>
        <v/>
      </c>
      <c r="AT166" t="str">
        <f t="shared" si="29"/>
        <v/>
      </c>
      <c r="BG166" t="str">
        <f t="shared" si="30"/>
        <v/>
      </c>
      <c r="BH166" t="str">
        <f t="shared" si="31"/>
        <v/>
      </c>
      <c r="BL166" t="str">
        <f>IFERROR(INDEX(_names_lookup!$C:$C,MATCH(BK166,_names_lookup!$A:$A,0)),"")</f>
        <v/>
      </c>
      <c r="BM166" t="str">
        <f>IFERROR(INDEX(_names_lookup!$B:$B,MATCH(BK166,_names_lookup!$A:$A,0)),"")</f>
        <v/>
      </c>
      <c r="BS166" t="str">
        <f t="shared" si="32"/>
        <v/>
      </c>
    </row>
    <row r="167" spans="15:71" x14ac:dyDescent="0.2">
      <c r="O167" t="str">
        <f>IFERROR(INDEX(_courses_lookup!$C:$C,MATCH(K167&amp;L167,_courses_lookup!$E:$E,0)),"")</f>
        <v/>
      </c>
      <c r="P167" t="str">
        <f>IFERROR(INDEX(_courses_lookup!$D:$D,MATCH(K167&amp;L167,_courses_lookup!$E:$E,0)),"")</f>
        <v/>
      </c>
      <c r="AG167" t="str">
        <f t="shared" si="22"/>
        <v/>
      </c>
      <c r="AI167" t="str">
        <f t="shared" si="23"/>
        <v/>
      </c>
      <c r="AL167" t="str">
        <f t="shared" si="24"/>
        <v/>
      </c>
      <c r="AN167" t="str">
        <f t="shared" si="25"/>
        <v/>
      </c>
      <c r="AQ167" t="str">
        <f t="shared" si="26"/>
        <v/>
      </c>
      <c r="AR167" t="str">
        <f t="shared" si="27"/>
        <v/>
      </c>
      <c r="AS167" t="str">
        <f t="shared" si="28"/>
        <v/>
      </c>
      <c r="AT167" t="str">
        <f t="shared" si="29"/>
        <v/>
      </c>
      <c r="BG167" t="str">
        <f t="shared" si="30"/>
        <v/>
      </c>
      <c r="BH167" t="str">
        <f t="shared" si="31"/>
        <v/>
      </c>
      <c r="BL167" t="str">
        <f>IFERROR(INDEX(_names_lookup!$C:$C,MATCH(BK167,_names_lookup!$A:$A,0)),"")</f>
        <v/>
      </c>
      <c r="BM167" t="str">
        <f>IFERROR(INDEX(_names_lookup!$B:$B,MATCH(BK167,_names_lookup!$A:$A,0)),"")</f>
        <v/>
      </c>
      <c r="BS167" t="str">
        <f t="shared" si="32"/>
        <v/>
      </c>
    </row>
    <row r="168" spans="15:71" x14ac:dyDescent="0.2">
      <c r="O168" t="str">
        <f>IFERROR(INDEX(_courses_lookup!$C:$C,MATCH(K168&amp;L168,_courses_lookup!$E:$E,0)),"")</f>
        <v/>
      </c>
      <c r="P168" t="str">
        <f>IFERROR(INDEX(_courses_lookup!$D:$D,MATCH(K168&amp;L168,_courses_lookup!$E:$E,0)),"")</f>
        <v/>
      </c>
      <c r="AG168" t="str">
        <f t="shared" si="22"/>
        <v/>
      </c>
      <c r="AI168" t="str">
        <f t="shared" si="23"/>
        <v/>
      </c>
      <c r="AL168" t="str">
        <f t="shared" si="24"/>
        <v/>
      </c>
      <c r="AN168" t="str">
        <f t="shared" si="25"/>
        <v/>
      </c>
      <c r="AQ168" t="str">
        <f t="shared" si="26"/>
        <v/>
      </c>
      <c r="AR168" t="str">
        <f t="shared" si="27"/>
        <v/>
      </c>
      <c r="AS168" t="str">
        <f t="shared" si="28"/>
        <v/>
      </c>
      <c r="AT168" t="str">
        <f t="shared" si="29"/>
        <v/>
      </c>
      <c r="BG168" t="str">
        <f t="shared" si="30"/>
        <v/>
      </c>
      <c r="BH168" t="str">
        <f t="shared" si="31"/>
        <v/>
      </c>
      <c r="BL168" t="str">
        <f>IFERROR(INDEX(_names_lookup!$C:$C,MATCH(BK168,_names_lookup!$A:$A,0)),"")</f>
        <v/>
      </c>
      <c r="BM168" t="str">
        <f>IFERROR(INDEX(_names_lookup!$B:$B,MATCH(BK168,_names_lookup!$A:$A,0)),"")</f>
        <v/>
      </c>
      <c r="BS168" t="str">
        <f t="shared" si="32"/>
        <v/>
      </c>
    </row>
    <row r="169" spans="15:71" x14ac:dyDescent="0.2">
      <c r="O169" t="str">
        <f>IFERROR(INDEX(_courses_lookup!$C:$C,MATCH(K169&amp;L169,_courses_lookup!$E:$E,0)),"")</f>
        <v/>
      </c>
      <c r="P169" t="str">
        <f>IFERROR(INDEX(_courses_lookup!$D:$D,MATCH(K169&amp;L169,_courses_lookup!$E:$E,0)),"")</f>
        <v/>
      </c>
      <c r="AG169" t="str">
        <f t="shared" si="22"/>
        <v/>
      </c>
      <c r="AI169" t="str">
        <f t="shared" si="23"/>
        <v/>
      </c>
      <c r="AL169" t="str">
        <f t="shared" si="24"/>
        <v/>
      </c>
      <c r="AN169" t="str">
        <f t="shared" si="25"/>
        <v/>
      </c>
      <c r="AQ169" t="str">
        <f t="shared" si="26"/>
        <v/>
      </c>
      <c r="AR169" t="str">
        <f t="shared" si="27"/>
        <v/>
      </c>
      <c r="AS169" t="str">
        <f t="shared" si="28"/>
        <v/>
      </c>
      <c r="AT169" t="str">
        <f t="shared" si="29"/>
        <v/>
      </c>
      <c r="BG169" t="str">
        <f t="shared" si="30"/>
        <v/>
      </c>
      <c r="BH169" t="str">
        <f t="shared" si="31"/>
        <v/>
      </c>
      <c r="BL169" t="str">
        <f>IFERROR(INDEX(_names_lookup!$C:$C,MATCH(BK169,_names_lookup!$A:$A,0)),"")</f>
        <v/>
      </c>
      <c r="BM169" t="str">
        <f>IFERROR(INDEX(_names_lookup!$B:$B,MATCH(BK169,_names_lookup!$A:$A,0)),"")</f>
        <v/>
      </c>
      <c r="BS169" t="str">
        <f t="shared" si="32"/>
        <v/>
      </c>
    </row>
    <row r="170" spans="15:71" x14ac:dyDescent="0.2">
      <c r="O170" t="str">
        <f>IFERROR(INDEX(_courses_lookup!$C:$C,MATCH(K170&amp;L170,_courses_lookup!$E:$E,0)),"")</f>
        <v/>
      </c>
      <c r="P170" t="str">
        <f>IFERROR(INDEX(_courses_lookup!$D:$D,MATCH(K170&amp;L170,_courses_lookup!$E:$E,0)),"")</f>
        <v/>
      </c>
      <c r="AG170" t="str">
        <f t="shared" si="22"/>
        <v/>
      </c>
      <c r="AI170" t="str">
        <f t="shared" si="23"/>
        <v/>
      </c>
      <c r="AL170" t="str">
        <f t="shared" si="24"/>
        <v/>
      </c>
      <c r="AN170" t="str">
        <f t="shared" si="25"/>
        <v/>
      </c>
      <c r="AQ170" t="str">
        <f t="shared" si="26"/>
        <v/>
      </c>
      <c r="AR170" t="str">
        <f t="shared" si="27"/>
        <v/>
      </c>
      <c r="AS170" t="str">
        <f t="shared" si="28"/>
        <v/>
      </c>
      <c r="AT170" t="str">
        <f t="shared" si="29"/>
        <v/>
      </c>
      <c r="BG170" t="str">
        <f t="shared" si="30"/>
        <v/>
      </c>
      <c r="BH170" t="str">
        <f t="shared" si="31"/>
        <v/>
      </c>
      <c r="BL170" t="str">
        <f>IFERROR(INDEX(_names_lookup!$C:$C,MATCH(BK170,_names_lookup!$A:$A,0)),"")</f>
        <v/>
      </c>
      <c r="BM170" t="str">
        <f>IFERROR(INDEX(_names_lookup!$B:$B,MATCH(BK170,_names_lookup!$A:$A,0)),"")</f>
        <v/>
      </c>
      <c r="BS170" t="str">
        <f t="shared" si="32"/>
        <v/>
      </c>
    </row>
    <row r="171" spans="15:71" x14ac:dyDescent="0.2">
      <c r="O171" t="str">
        <f>IFERROR(INDEX(_courses_lookup!$C:$C,MATCH(K171&amp;L171,_courses_lookup!$E:$E,0)),"")</f>
        <v/>
      </c>
      <c r="P171" t="str">
        <f>IFERROR(INDEX(_courses_lookup!$D:$D,MATCH(K171&amp;L171,_courses_lookup!$E:$E,0)),"")</f>
        <v/>
      </c>
      <c r="AG171" t="str">
        <f t="shared" si="22"/>
        <v/>
      </c>
      <c r="AI171" t="str">
        <f t="shared" si="23"/>
        <v/>
      </c>
      <c r="AL171" t="str">
        <f t="shared" si="24"/>
        <v/>
      </c>
      <c r="AN171" t="str">
        <f t="shared" si="25"/>
        <v/>
      </c>
      <c r="AQ171" t="str">
        <f t="shared" si="26"/>
        <v/>
      </c>
      <c r="AR171" t="str">
        <f t="shared" si="27"/>
        <v/>
      </c>
      <c r="AS171" t="str">
        <f t="shared" si="28"/>
        <v/>
      </c>
      <c r="AT171" t="str">
        <f t="shared" si="29"/>
        <v/>
      </c>
      <c r="BG171" t="str">
        <f t="shared" si="30"/>
        <v/>
      </c>
      <c r="BH171" t="str">
        <f t="shared" si="31"/>
        <v/>
      </c>
      <c r="BL171" t="str">
        <f>IFERROR(INDEX(_names_lookup!$C:$C,MATCH(BK171,_names_lookup!$A:$A,0)),"")</f>
        <v/>
      </c>
      <c r="BM171" t="str">
        <f>IFERROR(INDEX(_names_lookup!$B:$B,MATCH(BK171,_names_lookup!$A:$A,0)),"")</f>
        <v/>
      </c>
      <c r="BS171" t="str">
        <f t="shared" si="32"/>
        <v/>
      </c>
    </row>
    <row r="172" spans="15:71" x14ac:dyDescent="0.2">
      <c r="O172" t="str">
        <f>IFERROR(INDEX(_courses_lookup!$C:$C,MATCH(K172&amp;L172,_courses_lookup!$E:$E,0)),"")</f>
        <v/>
      </c>
      <c r="P172" t="str">
        <f>IFERROR(INDEX(_courses_lookup!$D:$D,MATCH(K172&amp;L172,_courses_lookup!$E:$E,0)),"")</f>
        <v/>
      </c>
      <c r="AG172" t="str">
        <f t="shared" si="22"/>
        <v/>
      </c>
      <c r="AI172" t="str">
        <f t="shared" si="23"/>
        <v/>
      </c>
      <c r="AL172" t="str">
        <f t="shared" si="24"/>
        <v/>
      </c>
      <c r="AN172" t="str">
        <f t="shared" si="25"/>
        <v/>
      </c>
      <c r="AQ172" t="str">
        <f t="shared" si="26"/>
        <v/>
      </c>
      <c r="AR172" t="str">
        <f t="shared" si="27"/>
        <v/>
      </c>
      <c r="AS172" t="str">
        <f t="shared" si="28"/>
        <v/>
      </c>
      <c r="AT172" t="str">
        <f t="shared" si="29"/>
        <v/>
      </c>
      <c r="BG172" t="str">
        <f t="shared" si="30"/>
        <v/>
      </c>
      <c r="BH172" t="str">
        <f t="shared" si="31"/>
        <v/>
      </c>
      <c r="BL172" t="str">
        <f>IFERROR(INDEX(_names_lookup!$C:$C,MATCH(BK172,_names_lookup!$A:$A,0)),"")</f>
        <v/>
      </c>
      <c r="BM172" t="str">
        <f>IFERROR(INDEX(_names_lookup!$B:$B,MATCH(BK172,_names_lookup!$A:$A,0)),"")</f>
        <v/>
      </c>
      <c r="BS172" t="str">
        <f t="shared" si="32"/>
        <v/>
      </c>
    </row>
    <row r="173" spans="15:71" x14ac:dyDescent="0.2">
      <c r="O173" t="str">
        <f>IFERROR(INDEX(_courses_lookup!$C:$C,MATCH(K173&amp;L173,_courses_lookup!$E:$E,0)),"")</f>
        <v/>
      </c>
      <c r="P173" t="str">
        <f>IFERROR(INDEX(_courses_lookup!$D:$D,MATCH(K173&amp;L173,_courses_lookup!$E:$E,0)),"")</f>
        <v/>
      </c>
      <c r="AG173" t="str">
        <f t="shared" si="22"/>
        <v/>
      </c>
      <c r="AI173" t="str">
        <f t="shared" si="23"/>
        <v/>
      </c>
      <c r="AL173" t="str">
        <f t="shared" si="24"/>
        <v/>
      </c>
      <c r="AN173" t="str">
        <f t="shared" si="25"/>
        <v/>
      </c>
      <c r="AQ173" t="str">
        <f t="shared" si="26"/>
        <v/>
      </c>
      <c r="AR173" t="str">
        <f t="shared" si="27"/>
        <v/>
      </c>
      <c r="AS173" t="str">
        <f t="shared" si="28"/>
        <v/>
      </c>
      <c r="AT173" t="str">
        <f t="shared" si="29"/>
        <v/>
      </c>
      <c r="BG173" t="str">
        <f t="shared" si="30"/>
        <v/>
      </c>
      <c r="BH173" t="str">
        <f t="shared" si="31"/>
        <v/>
      </c>
      <c r="BL173" t="str">
        <f>IFERROR(INDEX(_names_lookup!$C:$C,MATCH(BK173,_names_lookup!$A:$A,0)),"")</f>
        <v/>
      </c>
      <c r="BM173" t="str">
        <f>IFERROR(INDEX(_names_lookup!$B:$B,MATCH(BK173,_names_lookup!$A:$A,0)),"")</f>
        <v/>
      </c>
      <c r="BS173" t="str">
        <f t="shared" si="32"/>
        <v/>
      </c>
    </row>
    <row r="174" spans="15:71" x14ac:dyDescent="0.2">
      <c r="O174" t="str">
        <f>IFERROR(INDEX(_courses_lookup!$C:$C,MATCH(K174&amp;L174,_courses_lookup!$E:$E,0)),"")</f>
        <v/>
      </c>
      <c r="P174" t="str">
        <f>IFERROR(INDEX(_courses_lookup!$D:$D,MATCH(K174&amp;L174,_courses_lookup!$E:$E,0)),"")</f>
        <v/>
      </c>
      <c r="AG174" t="str">
        <f t="shared" si="22"/>
        <v/>
      </c>
      <c r="AI174" t="str">
        <f t="shared" si="23"/>
        <v/>
      </c>
      <c r="AL174" t="str">
        <f t="shared" si="24"/>
        <v/>
      </c>
      <c r="AN174" t="str">
        <f t="shared" si="25"/>
        <v/>
      </c>
      <c r="AQ174" t="str">
        <f t="shared" si="26"/>
        <v/>
      </c>
      <c r="AR174" t="str">
        <f t="shared" si="27"/>
        <v/>
      </c>
      <c r="AS174" t="str">
        <f t="shared" si="28"/>
        <v/>
      </c>
      <c r="AT174" t="str">
        <f t="shared" si="29"/>
        <v/>
      </c>
      <c r="BG174" t="str">
        <f t="shared" si="30"/>
        <v/>
      </c>
      <c r="BH174" t="str">
        <f t="shared" si="31"/>
        <v/>
      </c>
      <c r="BL174" t="str">
        <f>IFERROR(INDEX(_names_lookup!$C:$C,MATCH(BK174,_names_lookup!$A:$A,0)),"")</f>
        <v/>
      </c>
      <c r="BM174" t="str">
        <f>IFERROR(INDEX(_names_lookup!$B:$B,MATCH(BK174,_names_lookup!$A:$A,0)),"")</f>
        <v/>
      </c>
      <c r="BS174" t="str">
        <f t="shared" si="32"/>
        <v/>
      </c>
    </row>
    <row r="175" spans="15:71" x14ac:dyDescent="0.2">
      <c r="O175" t="str">
        <f>IFERROR(INDEX(_courses_lookup!$C:$C,MATCH(K175&amp;L175,_courses_lookup!$E:$E,0)),"")</f>
        <v/>
      </c>
      <c r="P175" t="str">
        <f>IFERROR(INDEX(_courses_lookup!$D:$D,MATCH(K175&amp;L175,_courses_lookup!$E:$E,0)),"")</f>
        <v/>
      </c>
      <c r="AG175" t="str">
        <f t="shared" si="22"/>
        <v/>
      </c>
      <c r="AI175" t="str">
        <f t="shared" si="23"/>
        <v/>
      </c>
      <c r="AL175" t="str">
        <f t="shared" si="24"/>
        <v/>
      </c>
      <c r="AN175" t="str">
        <f t="shared" si="25"/>
        <v/>
      </c>
      <c r="AQ175" t="str">
        <f t="shared" si="26"/>
        <v/>
      </c>
      <c r="AR175" t="str">
        <f t="shared" si="27"/>
        <v/>
      </c>
      <c r="AS175" t="str">
        <f t="shared" si="28"/>
        <v/>
      </c>
      <c r="AT175" t="str">
        <f t="shared" si="29"/>
        <v/>
      </c>
      <c r="BG175" t="str">
        <f t="shared" si="30"/>
        <v/>
      </c>
      <c r="BH175" t="str">
        <f t="shared" si="31"/>
        <v/>
      </c>
      <c r="BL175" t="str">
        <f>IFERROR(INDEX(_names_lookup!$C:$C,MATCH(BK175,_names_lookup!$A:$A,0)),"")</f>
        <v/>
      </c>
      <c r="BM175" t="str">
        <f>IFERROR(INDEX(_names_lookup!$B:$B,MATCH(BK175,_names_lookup!$A:$A,0)),"")</f>
        <v/>
      </c>
      <c r="BS175" t="str">
        <f t="shared" si="32"/>
        <v/>
      </c>
    </row>
    <row r="176" spans="15:71" x14ac:dyDescent="0.2">
      <c r="O176" t="str">
        <f>IFERROR(INDEX(_courses_lookup!$C:$C,MATCH(K176&amp;L176,_courses_lookup!$E:$E,0)),"")</f>
        <v/>
      </c>
      <c r="P176" t="str">
        <f>IFERROR(INDEX(_courses_lookup!$D:$D,MATCH(K176&amp;L176,_courses_lookup!$E:$E,0)),"")</f>
        <v/>
      </c>
      <c r="AG176" t="str">
        <f t="shared" si="22"/>
        <v/>
      </c>
      <c r="AI176" t="str">
        <f t="shared" si="23"/>
        <v/>
      </c>
      <c r="AL176" t="str">
        <f t="shared" si="24"/>
        <v/>
      </c>
      <c r="AN176" t="str">
        <f t="shared" si="25"/>
        <v/>
      </c>
      <c r="AQ176" t="str">
        <f t="shared" si="26"/>
        <v/>
      </c>
      <c r="AR176" t="str">
        <f t="shared" si="27"/>
        <v/>
      </c>
      <c r="AS176" t="str">
        <f t="shared" si="28"/>
        <v/>
      </c>
      <c r="AT176" t="str">
        <f t="shared" si="29"/>
        <v/>
      </c>
      <c r="BG176" t="str">
        <f t="shared" si="30"/>
        <v/>
      </c>
      <c r="BH176" t="str">
        <f t="shared" si="31"/>
        <v/>
      </c>
      <c r="BL176" t="str">
        <f>IFERROR(INDEX(_names_lookup!$C:$C,MATCH(BK176,_names_lookup!$A:$A,0)),"")</f>
        <v/>
      </c>
      <c r="BM176" t="str">
        <f>IFERROR(INDEX(_names_lookup!$B:$B,MATCH(BK176,_names_lookup!$A:$A,0)),"")</f>
        <v/>
      </c>
      <c r="BS176" t="str">
        <f t="shared" si="32"/>
        <v/>
      </c>
    </row>
    <row r="177" spans="15:71" x14ac:dyDescent="0.2">
      <c r="O177" t="str">
        <f>IFERROR(INDEX(_courses_lookup!$C:$C,MATCH(K177&amp;L177,_courses_lookup!$E:$E,0)),"")</f>
        <v/>
      </c>
      <c r="P177" t="str">
        <f>IFERROR(INDEX(_courses_lookup!$D:$D,MATCH(K177&amp;L177,_courses_lookup!$E:$E,0)),"")</f>
        <v/>
      </c>
      <c r="AG177" t="str">
        <f t="shared" si="22"/>
        <v/>
      </c>
      <c r="AI177" t="str">
        <f t="shared" si="23"/>
        <v/>
      </c>
      <c r="AL177" t="str">
        <f t="shared" si="24"/>
        <v/>
      </c>
      <c r="AN177" t="str">
        <f t="shared" si="25"/>
        <v/>
      </c>
      <c r="AQ177" t="str">
        <f t="shared" si="26"/>
        <v/>
      </c>
      <c r="AR177" t="str">
        <f t="shared" si="27"/>
        <v/>
      </c>
      <c r="AS177" t="str">
        <f t="shared" si="28"/>
        <v/>
      </c>
      <c r="AT177" t="str">
        <f t="shared" si="29"/>
        <v/>
      </c>
      <c r="BG177" t="str">
        <f t="shared" si="30"/>
        <v/>
      </c>
      <c r="BH177" t="str">
        <f t="shared" si="31"/>
        <v/>
      </c>
      <c r="BL177" t="str">
        <f>IFERROR(INDEX(_names_lookup!$C:$C,MATCH(BK177,_names_lookup!$A:$A,0)),"")</f>
        <v/>
      </c>
      <c r="BM177" t="str">
        <f>IFERROR(INDEX(_names_lookup!$B:$B,MATCH(BK177,_names_lookup!$A:$A,0)),"")</f>
        <v/>
      </c>
      <c r="BS177" t="str">
        <f t="shared" si="32"/>
        <v/>
      </c>
    </row>
    <row r="178" spans="15:71" x14ac:dyDescent="0.2">
      <c r="O178" t="str">
        <f>IFERROR(INDEX(_courses_lookup!$C:$C,MATCH(K178&amp;L178,_courses_lookup!$E:$E,0)),"")</f>
        <v/>
      </c>
      <c r="P178" t="str">
        <f>IFERROR(INDEX(_courses_lookup!$D:$D,MATCH(K178&amp;L178,_courses_lookup!$E:$E,0)),"")</f>
        <v/>
      </c>
      <c r="AG178" t="str">
        <f t="shared" si="22"/>
        <v/>
      </c>
      <c r="AI178" t="str">
        <f t="shared" si="23"/>
        <v/>
      </c>
      <c r="AL178" t="str">
        <f t="shared" si="24"/>
        <v/>
      </c>
      <c r="AN178" t="str">
        <f t="shared" si="25"/>
        <v/>
      </c>
      <c r="AQ178" t="str">
        <f t="shared" si="26"/>
        <v/>
      </c>
      <c r="AR178" t="str">
        <f t="shared" si="27"/>
        <v/>
      </c>
      <c r="AS178" t="str">
        <f t="shared" si="28"/>
        <v/>
      </c>
      <c r="AT178" t="str">
        <f t="shared" si="29"/>
        <v/>
      </c>
      <c r="BG178" t="str">
        <f t="shared" si="30"/>
        <v/>
      </c>
      <c r="BH178" t="str">
        <f t="shared" si="31"/>
        <v/>
      </c>
      <c r="BL178" t="str">
        <f>IFERROR(INDEX(_names_lookup!$C:$C,MATCH(BK178,_names_lookup!$A:$A,0)),"")</f>
        <v/>
      </c>
      <c r="BM178" t="str">
        <f>IFERROR(INDEX(_names_lookup!$B:$B,MATCH(BK178,_names_lookup!$A:$A,0)),"")</f>
        <v/>
      </c>
      <c r="BS178" t="str">
        <f t="shared" si="32"/>
        <v/>
      </c>
    </row>
    <row r="179" spans="15:71" x14ac:dyDescent="0.2">
      <c r="O179" t="str">
        <f>IFERROR(INDEX(_courses_lookup!$C:$C,MATCH(K179&amp;L179,_courses_lookup!$E:$E,0)),"")</f>
        <v/>
      </c>
      <c r="P179" t="str">
        <f>IFERROR(INDEX(_courses_lookup!$D:$D,MATCH(K179&amp;L179,_courses_lookup!$E:$E,0)),"")</f>
        <v/>
      </c>
      <c r="AG179" t="str">
        <f t="shared" si="22"/>
        <v/>
      </c>
      <c r="AI179" t="str">
        <f t="shared" si="23"/>
        <v/>
      </c>
      <c r="AL179" t="str">
        <f t="shared" si="24"/>
        <v/>
      </c>
      <c r="AN179" t="str">
        <f t="shared" si="25"/>
        <v/>
      </c>
      <c r="AQ179" t="str">
        <f t="shared" si="26"/>
        <v/>
      </c>
      <c r="AR179" t="str">
        <f t="shared" si="27"/>
        <v/>
      </c>
      <c r="AS179" t="str">
        <f t="shared" si="28"/>
        <v/>
      </c>
      <c r="AT179" t="str">
        <f t="shared" si="29"/>
        <v/>
      </c>
      <c r="BG179" t="str">
        <f t="shared" si="30"/>
        <v/>
      </c>
      <c r="BH179" t="str">
        <f t="shared" si="31"/>
        <v/>
      </c>
      <c r="BL179" t="str">
        <f>IFERROR(INDEX(_names_lookup!$C:$C,MATCH(BK179,_names_lookup!$A:$A,0)),"")</f>
        <v/>
      </c>
      <c r="BM179" t="str">
        <f>IFERROR(INDEX(_names_lookup!$B:$B,MATCH(BK179,_names_lookup!$A:$A,0)),"")</f>
        <v/>
      </c>
      <c r="BS179" t="str">
        <f t="shared" si="32"/>
        <v/>
      </c>
    </row>
    <row r="180" spans="15:71" x14ac:dyDescent="0.2">
      <c r="O180" t="str">
        <f>IFERROR(INDEX(_courses_lookup!$C:$C,MATCH(K180&amp;L180,_courses_lookup!$E:$E,0)),"")</f>
        <v/>
      </c>
      <c r="P180" t="str">
        <f>IFERROR(INDEX(_courses_lookup!$D:$D,MATCH(K180&amp;L180,_courses_lookup!$E:$E,0)),"")</f>
        <v/>
      </c>
      <c r="AG180" t="str">
        <f t="shared" si="22"/>
        <v/>
      </c>
      <c r="AI180" t="str">
        <f t="shared" si="23"/>
        <v/>
      </c>
      <c r="AL180" t="str">
        <f t="shared" si="24"/>
        <v/>
      </c>
      <c r="AN180" t="str">
        <f t="shared" si="25"/>
        <v/>
      </c>
      <c r="AQ180" t="str">
        <f t="shared" si="26"/>
        <v/>
      </c>
      <c r="AR180" t="str">
        <f t="shared" si="27"/>
        <v/>
      </c>
      <c r="AS180" t="str">
        <f t="shared" si="28"/>
        <v/>
      </c>
      <c r="AT180" t="str">
        <f t="shared" si="29"/>
        <v/>
      </c>
      <c r="BG180" t="str">
        <f t="shared" si="30"/>
        <v/>
      </c>
      <c r="BH180" t="str">
        <f t="shared" si="31"/>
        <v/>
      </c>
      <c r="BL180" t="str">
        <f>IFERROR(INDEX(_names_lookup!$C:$C,MATCH(BK180,_names_lookup!$A:$A,0)),"")</f>
        <v/>
      </c>
      <c r="BM180" t="str">
        <f>IFERROR(INDEX(_names_lookup!$B:$B,MATCH(BK180,_names_lookup!$A:$A,0)),"")</f>
        <v/>
      </c>
      <c r="BS180" t="str">
        <f t="shared" si="32"/>
        <v/>
      </c>
    </row>
    <row r="181" spans="15:71" x14ac:dyDescent="0.2">
      <c r="O181" t="str">
        <f>IFERROR(INDEX(_courses_lookup!$C:$C,MATCH(K181&amp;L181,_courses_lookup!$E:$E,0)),"")</f>
        <v/>
      </c>
      <c r="P181" t="str">
        <f>IFERROR(INDEX(_courses_lookup!$D:$D,MATCH(K181&amp;L181,_courses_lookup!$E:$E,0)),"")</f>
        <v/>
      </c>
      <c r="AG181" t="str">
        <f t="shared" si="22"/>
        <v/>
      </c>
      <c r="AI181" t="str">
        <f t="shared" si="23"/>
        <v/>
      </c>
      <c r="AL181" t="str">
        <f t="shared" si="24"/>
        <v/>
      </c>
      <c r="AN181" t="str">
        <f t="shared" si="25"/>
        <v/>
      </c>
      <c r="AQ181" t="str">
        <f t="shared" si="26"/>
        <v/>
      </c>
      <c r="AR181" t="str">
        <f t="shared" si="27"/>
        <v/>
      </c>
      <c r="AS181" t="str">
        <f t="shared" si="28"/>
        <v/>
      </c>
      <c r="AT181" t="str">
        <f t="shared" si="29"/>
        <v/>
      </c>
      <c r="BG181" t="str">
        <f t="shared" si="30"/>
        <v/>
      </c>
      <c r="BH181" t="str">
        <f t="shared" si="31"/>
        <v/>
      </c>
      <c r="BL181" t="str">
        <f>IFERROR(INDEX(_names_lookup!$C:$C,MATCH(BK181,_names_lookup!$A:$A,0)),"")</f>
        <v/>
      </c>
      <c r="BM181" t="str">
        <f>IFERROR(INDEX(_names_lookup!$B:$B,MATCH(BK181,_names_lookup!$A:$A,0)),"")</f>
        <v/>
      </c>
      <c r="BS181" t="str">
        <f t="shared" si="32"/>
        <v/>
      </c>
    </row>
    <row r="182" spans="15:71" x14ac:dyDescent="0.2">
      <c r="O182" t="str">
        <f>IFERROR(INDEX(_courses_lookup!$C:$C,MATCH(K182&amp;L182,_courses_lookup!$E:$E,0)),"")</f>
        <v/>
      </c>
      <c r="P182" t="str">
        <f>IFERROR(INDEX(_courses_lookup!$D:$D,MATCH(K182&amp;L182,_courses_lookup!$E:$E,0)),"")</f>
        <v/>
      </c>
      <c r="AG182" t="str">
        <f t="shared" si="22"/>
        <v/>
      </c>
      <c r="AI182" t="str">
        <f t="shared" si="23"/>
        <v/>
      </c>
      <c r="AL182" t="str">
        <f t="shared" si="24"/>
        <v/>
      </c>
      <c r="AN182" t="str">
        <f t="shared" si="25"/>
        <v/>
      </c>
      <c r="AQ182" t="str">
        <f t="shared" si="26"/>
        <v/>
      </c>
      <c r="AR182" t="str">
        <f t="shared" si="27"/>
        <v/>
      </c>
      <c r="AS182" t="str">
        <f t="shared" si="28"/>
        <v/>
      </c>
      <c r="AT182" t="str">
        <f t="shared" si="29"/>
        <v/>
      </c>
      <c r="BG182" t="str">
        <f t="shared" si="30"/>
        <v/>
      </c>
      <c r="BH182" t="str">
        <f t="shared" si="31"/>
        <v/>
      </c>
      <c r="BL182" t="str">
        <f>IFERROR(INDEX(_names_lookup!$C:$C,MATCH(BK182,_names_lookup!$A:$A,0)),"")</f>
        <v/>
      </c>
      <c r="BM182" t="str">
        <f>IFERROR(INDEX(_names_lookup!$B:$B,MATCH(BK182,_names_lookup!$A:$A,0)),"")</f>
        <v/>
      </c>
      <c r="BS182" t="str">
        <f t="shared" si="32"/>
        <v/>
      </c>
    </row>
    <row r="183" spans="15:71" x14ac:dyDescent="0.2">
      <c r="O183" t="str">
        <f>IFERROR(INDEX(_courses_lookup!$C:$C,MATCH(K183&amp;L183,_courses_lookup!$E:$E,0)),"")</f>
        <v/>
      </c>
      <c r="P183" t="str">
        <f>IFERROR(INDEX(_courses_lookup!$D:$D,MATCH(K183&amp;L183,_courses_lookup!$E:$E,0)),"")</f>
        <v/>
      </c>
      <c r="AG183" t="str">
        <f t="shared" si="22"/>
        <v/>
      </c>
      <c r="AI183" t="str">
        <f t="shared" si="23"/>
        <v/>
      </c>
      <c r="AL183" t="str">
        <f t="shared" si="24"/>
        <v/>
      </c>
      <c r="AN183" t="str">
        <f t="shared" si="25"/>
        <v/>
      </c>
      <c r="AQ183" t="str">
        <f t="shared" si="26"/>
        <v/>
      </c>
      <c r="AR183" t="str">
        <f t="shared" si="27"/>
        <v/>
      </c>
      <c r="AS183" t="str">
        <f t="shared" si="28"/>
        <v/>
      </c>
      <c r="AT183" t="str">
        <f t="shared" si="29"/>
        <v/>
      </c>
      <c r="BG183" t="str">
        <f t="shared" si="30"/>
        <v/>
      </c>
      <c r="BH183" t="str">
        <f t="shared" si="31"/>
        <v/>
      </c>
      <c r="BL183" t="str">
        <f>IFERROR(INDEX(_names_lookup!$C:$C,MATCH(BK183,_names_lookup!$A:$A,0)),"")</f>
        <v/>
      </c>
      <c r="BM183" t="str">
        <f>IFERROR(INDEX(_names_lookup!$B:$B,MATCH(BK183,_names_lookup!$A:$A,0)),"")</f>
        <v/>
      </c>
      <c r="BS183" t="str">
        <f t="shared" si="32"/>
        <v/>
      </c>
    </row>
    <row r="184" spans="15:71" x14ac:dyDescent="0.2">
      <c r="O184" t="str">
        <f>IFERROR(INDEX(_courses_lookup!$C:$C,MATCH(K184&amp;L184,_courses_lookup!$E:$E,0)),"")</f>
        <v/>
      </c>
      <c r="P184" t="str">
        <f>IFERROR(INDEX(_courses_lookup!$D:$D,MATCH(K184&amp;L184,_courses_lookup!$E:$E,0)),"")</f>
        <v/>
      </c>
      <c r="AG184" t="str">
        <f t="shared" si="22"/>
        <v/>
      </c>
      <c r="AI184" t="str">
        <f t="shared" si="23"/>
        <v/>
      </c>
      <c r="AL184" t="str">
        <f t="shared" si="24"/>
        <v/>
      </c>
      <c r="AN184" t="str">
        <f t="shared" si="25"/>
        <v/>
      </c>
      <c r="AQ184" t="str">
        <f t="shared" si="26"/>
        <v/>
      </c>
      <c r="AR184" t="str">
        <f t="shared" si="27"/>
        <v/>
      </c>
      <c r="AS184" t="str">
        <f t="shared" si="28"/>
        <v/>
      </c>
      <c r="AT184" t="str">
        <f t="shared" si="29"/>
        <v/>
      </c>
      <c r="BG184" t="str">
        <f t="shared" si="30"/>
        <v/>
      </c>
      <c r="BH184" t="str">
        <f t="shared" si="31"/>
        <v/>
      </c>
      <c r="BL184" t="str">
        <f>IFERROR(INDEX(_names_lookup!$C:$C,MATCH(BK184,_names_lookup!$A:$A,0)),"")</f>
        <v/>
      </c>
      <c r="BM184" t="str">
        <f>IFERROR(INDEX(_names_lookup!$B:$B,MATCH(BK184,_names_lookup!$A:$A,0)),"")</f>
        <v/>
      </c>
      <c r="BS184" t="str">
        <f t="shared" si="32"/>
        <v/>
      </c>
    </row>
    <row r="185" spans="15:71" x14ac:dyDescent="0.2">
      <c r="O185" t="str">
        <f>IFERROR(INDEX(_courses_lookup!$C:$C,MATCH(K185&amp;L185,_courses_lookup!$E:$E,0)),"")</f>
        <v/>
      </c>
      <c r="P185" t="str">
        <f>IFERROR(INDEX(_courses_lookup!$D:$D,MATCH(K185&amp;L185,_courses_lookup!$E:$E,0)),"")</f>
        <v/>
      </c>
      <c r="AG185" t="str">
        <f t="shared" si="22"/>
        <v/>
      </c>
      <c r="AI185" t="str">
        <f t="shared" si="23"/>
        <v/>
      </c>
      <c r="AL185" t="str">
        <f t="shared" si="24"/>
        <v/>
      </c>
      <c r="AN185" t="str">
        <f t="shared" si="25"/>
        <v/>
      </c>
      <c r="AQ185" t="str">
        <f t="shared" si="26"/>
        <v/>
      </c>
      <c r="AR185" t="str">
        <f t="shared" si="27"/>
        <v/>
      </c>
      <c r="AS185" t="str">
        <f t="shared" si="28"/>
        <v/>
      </c>
      <c r="AT185" t="str">
        <f t="shared" si="29"/>
        <v/>
      </c>
      <c r="BG185" t="str">
        <f t="shared" si="30"/>
        <v/>
      </c>
      <c r="BH185" t="str">
        <f t="shared" si="31"/>
        <v/>
      </c>
      <c r="BL185" t="str">
        <f>IFERROR(INDEX(_names_lookup!$C:$C,MATCH(BK185,_names_lookup!$A:$A,0)),"")</f>
        <v/>
      </c>
      <c r="BM185" t="str">
        <f>IFERROR(INDEX(_names_lookup!$B:$B,MATCH(BK185,_names_lookup!$A:$A,0)),"")</f>
        <v/>
      </c>
      <c r="BS185" t="str">
        <f t="shared" si="32"/>
        <v/>
      </c>
    </row>
    <row r="186" spans="15:71" x14ac:dyDescent="0.2">
      <c r="O186" t="str">
        <f>IFERROR(INDEX(_courses_lookup!$C:$C,MATCH(K186&amp;L186,_courses_lookup!$E:$E,0)),"")</f>
        <v/>
      </c>
      <c r="P186" t="str">
        <f>IFERROR(INDEX(_courses_lookup!$D:$D,MATCH(K186&amp;L186,_courses_lookup!$E:$E,0)),"")</f>
        <v/>
      </c>
      <c r="AG186" t="str">
        <f t="shared" si="22"/>
        <v/>
      </c>
      <c r="AI186" t="str">
        <f t="shared" si="23"/>
        <v/>
      </c>
      <c r="AL186" t="str">
        <f t="shared" si="24"/>
        <v/>
      </c>
      <c r="AN186" t="str">
        <f t="shared" si="25"/>
        <v/>
      </c>
      <c r="AQ186" t="str">
        <f t="shared" si="26"/>
        <v/>
      </c>
      <c r="AR186" t="str">
        <f t="shared" si="27"/>
        <v/>
      </c>
      <c r="AS186" t="str">
        <f t="shared" si="28"/>
        <v/>
      </c>
      <c r="AT186" t="str">
        <f t="shared" si="29"/>
        <v/>
      </c>
      <c r="BG186" t="str">
        <f t="shared" si="30"/>
        <v/>
      </c>
      <c r="BH186" t="str">
        <f t="shared" si="31"/>
        <v/>
      </c>
      <c r="BL186" t="str">
        <f>IFERROR(INDEX(_names_lookup!$C:$C,MATCH(BK186,_names_lookup!$A:$A,0)),"")</f>
        <v/>
      </c>
      <c r="BM186" t="str">
        <f>IFERROR(INDEX(_names_lookup!$B:$B,MATCH(BK186,_names_lookup!$A:$A,0)),"")</f>
        <v/>
      </c>
      <c r="BS186" t="str">
        <f t="shared" si="32"/>
        <v/>
      </c>
    </row>
    <row r="187" spans="15:71" x14ac:dyDescent="0.2">
      <c r="O187" t="str">
        <f>IFERROR(INDEX(_courses_lookup!$C:$C,MATCH(K187&amp;L187,_courses_lookup!$E:$E,0)),"")</f>
        <v/>
      </c>
      <c r="P187" t="str">
        <f>IFERROR(INDEX(_courses_lookup!$D:$D,MATCH(K187&amp;L187,_courses_lookup!$E:$E,0)),"")</f>
        <v/>
      </c>
      <c r="AG187" t="str">
        <f t="shared" si="22"/>
        <v/>
      </c>
      <c r="AI187" t="str">
        <f t="shared" si="23"/>
        <v/>
      </c>
      <c r="AL187" t="str">
        <f t="shared" si="24"/>
        <v/>
      </c>
      <c r="AN187" t="str">
        <f t="shared" si="25"/>
        <v/>
      </c>
      <c r="AQ187" t="str">
        <f t="shared" si="26"/>
        <v/>
      </c>
      <c r="AR187" t="str">
        <f t="shared" si="27"/>
        <v/>
      </c>
      <c r="AS187" t="str">
        <f t="shared" si="28"/>
        <v/>
      </c>
      <c r="AT187" t="str">
        <f t="shared" si="29"/>
        <v/>
      </c>
      <c r="BG187" t="str">
        <f t="shared" si="30"/>
        <v/>
      </c>
      <c r="BH187" t="str">
        <f t="shared" si="31"/>
        <v/>
      </c>
      <c r="BL187" t="str">
        <f>IFERROR(INDEX(_names_lookup!$C:$C,MATCH(BK187,_names_lookup!$A:$A,0)),"")</f>
        <v/>
      </c>
      <c r="BM187" t="str">
        <f>IFERROR(INDEX(_names_lookup!$B:$B,MATCH(BK187,_names_lookup!$A:$A,0)),"")</f>
        <v/>
      </c>
      <c r="BS187" t="str">
        <f t="shared" si="32"/>
        <v/>
      </c>
    </row>
    <row r="188" spans="15:71" x14ac:dyDescent="0.2">
      <c r="O188" t="str">
        <f>IFERROR(INDEX(_courses_lookup!$C:$C,MATCH(K188&amp;L188,_courses_lookup!$E:$E,0)),"")</f>
        <v/>
      </c>
      <c r="P188" t="str">
        <f>IFERROR(INDEX(_courses_lookup!$D:$D,MATCH(K188&amp;L188,_courses_lookup!$E:$E,0)),"")</f>
        <v/>
      </c>
      <c r="AG188" t="str">
        <f t="shared" si="22"/>
        <v/>
      </c>
      <c r="AI188" t="str">
        <f t="shared" si="23"/>
        <v/>
      </c>
      <c r="AL188" t="str">
        <f t="shared" si="24"/>
        <v/>
      </c>
      <c r="AN188" t="str">
        <f t="shared" si="25"/>
        <v/>
      </c>
      <c r="AQ188" t="str">
        <f t="shared" si="26"/>
        <v/>
      </c>
      <c r="AR188" t="str">
        <f t="shared" si="27"/>
        <v/>
      </c>
      <c r="AS188" t="str">
        <f t="shared" si="28"/>
        <v/>
      </c>
      <c r="AT188" t="str">
        <f t="shared" si="29"/>
        <v/>
      </c>
      <c r="BG188" t="str">
        <f t="shared" si="30"/>
        <v/>
      </c>
      <c r="BH188" t="str">
        <f t="shared" si="31"/>
        <v/>
      </c>
      <c r="BL188" t="str">
        <f>IFERROR(INDEX(_names_lookup!$C:$C,MATCH(BK188,_names_lookup!$A:$A,0)),"")</f>
        <v/>
      </c>
      <c r="BM188" t="str">
        <f>IFERROR(INDEX(_names_lookup!$B:$B,MATCH(BK188,_names_lookup!$A:$A,0)),"")</f>
        <v/>
      </c>
      <c r="BS188" t="str">
        <f t="shared" si="32"/>
        <v/>
      </c>
    </row>
    <row r="189" spans="15:71" x14ac:dyDescent="0.2">
      <c r="O189" t="str">
        <f>IFERROR(INDEX(_courses_lookup!$C:$C,MATCH(K189&amp;L189,_courses_lookup!$E:$E,0)),"")</f>
        <v/>
      </c>
      <c r="P189" t="str">
        <f>IFERROR(INDEX(_courses_lookup!$D:$D,MATCH(K189&amp;L189,_courses_lookup!$E:$E,0)),"")</f>
        <v/>
      </c>
      <c r="AG189" t="str">
        <f t="shared" si="22"/>
        <v/>
      </c>
      <c r="AI189" t="str">
        <f t="shared" si="23"/>
        <v/>
      </c>
      <c r="AL189" t="str">
        <f t="shared" si="24"/>
        <v/>
      </c>
      <c r="AN189" t="str">
        <f t="shared" si="25"/>
        <v/>
      </c>
      <c r="AQ189" t="str">
        <f t="shared" si="26"/>
        <v/>
      </c>
      <c r="AR189" t="str">
        <f t="shared" si="27"/>
        <v/>
      </c>
      <c r="AS189" t="str">
        <f t="shared" si="28"/>
        <v/>
      </c>
      <c r="AT189" t="str">
        <f t="shared" si="29"/>
        <v/>
      </c>
      <c r="BG189" t="str">
        <f t="shared" si="30"/>
        <v/>
      </c>
      <c r="BH189" t="str">
        <f t="shared" si="31"/>
        <v/>
      </c>
      <c r="BL189" t="str">
        <f>IFERROR(INDEX(_names_lookup!$C:$C,MATCH(BK189,_names_lookup!$A:$A,0)),"")</f>
        <v/>
      </c>
      <c r="BM189" t="str">
        <f>IFERROR(INDEX(_names_lookup!$B:$B,MATCH(BK189,_names_lookup!$A:$A,0)),"")</f>
        <v/>
      </c>
      <c r="BS189" t="str">
        <f t="shared" si="32"/>
        <v/>
      </c>
    </row>
    <row r="190" spans="15:71" x14ac:dyDescent="0.2">
      <c r="O190" t="str">
        <f>IFERROR(INDEX(_courses_lookup!$C:$C,MATCH(K190&amp;L190,_courses_lookup!$E:$E,0)),"")</f>
        <v/>
      </c>
      <c r="P190" t="str">
        <f>IFERROR(INDEX(_courses_lookup!$D:$D,MATCH(K190&amp;L190,_courses_lookup!$E:$E,0)),"")</f>
        <v/>
      </c>
      <c r="AG190" t="str">
        <f t="shared" si="22"/>
        <v/>
      </c>
      <c r="AI190" t="str">
        <f t="shared" si="23"/>
        <v/>
      </c>
      <c r="AL190" t="str">
        <f t="shared" si="24"/>
        <v/>
      </c>
      <c r="AN190" t="str">
        <f t="shared" si="25"/>
        <v/>
      </c>
      <c r="AQ190" t="str">
        <f t="shared" si="26"/>
        <v/>
      </c>
      <c r="AR190" t="str">
        <f t="shared" si="27"/>
        <v/>
      </c>
      <c r="AS190" t="str">
        <f t="shared" si="28"/>
        <v/>
      </c>
      <c r="AT190" t="str">
        <f t="shared" si="29"/>
        <v/>
      </c>
      <c r="BG190" t="str">
        <f t="shared" si="30"/>
        <v/>
      </c>
      <c r="BH190" t="str">
        <f t="shared" si="31"/>
        <v/>
      </c>
      <c r="BL190" t="str">
        <f>IFERROR(INDEX(_names_lookup!$C:$C,MATCH(BK190,_names_lookup!$A:$A,0)),"")</f>
        <v/>
      </c>
      <c r="BM190" t="str">
        <f>IFERROR(INDEX(_names_lookup!$B:$B,MATCH(BK190,_names_lookup!$A:$A,0)),"")</f>
        <v/>
      </c>
      <c r="BS190" t="str">
        <f t="shared" si="32"/>
        <v/>
      </c>
    </row>
    <row r="191" spans="15:71" x14ac:dyDescent="0.2">
      <c r="O191" t="str">
        <f>IFERROR(INDEX(_courses_lookup!$C:$C,MATCH(K191&amp;L191,_courses_lookup!$E:$E,0)),"")</f>
        <v/>
      </c>
      <c r="P191" t="str">
        <f>IFERROR(INDEX(_courses_lookup!$D:$D,MATCH(K191&amp;L191,_courses_lookup!$E:$E,0)),"")</f>
        <v/>
      </c>
      <c r="AG191" t="str">
        <f t="shared" si="22"/>
        <v/>
      </c>
      <c r="AI191" t="str">
        <f t="shared" si="23"/>
        <v/>
      </c>
      <c r="AL191" t="str">
        <f t="shared" si="24"/>
        <v/>
      </c>
      <c r="AN191" t="str">
        <f t="shared" si="25"/>
        <v/>
      </c>
      <c r="AQ191" t="str">
        <f t="shared" si="26"/>
        <v/>
      </c>
      <c r="AR191" t="str">
        <f t="shared" si="27"/>
        <v/>
      </c>
      <c r="AS191" t="str">
        <f t="shared" si="28"/>
        <v/>
      </c>
      <c r="AT191" t="str">
        <f t="shared" si="29"/>
        <v/>
      </c>
      <c r="BG191" t="str">
        <f t="shared" si="30"/>
        <v/>
      </c>
      <c r="BH191" t="str">
        <f t="shared" si="31"/>
        <v/>
      </c>
      <c r="BL191" t="str">
        <f>IFERROR(INDEX(_names_lookup!$C:$C,MATCH(BK191,_names_lookup!$A:$A,0)),"")</f>
        <v/>
      </c>
      <c r="BM191" t="str">
        <f>IFERROR(INDEX(_names_lookup!$B:$B,MATCH(BK191,_names_lookup!$A:$A,0)),"")</f>
        <v/>
      </c>
      <c r="BS191" t="str">
        <f t="shared" si="32"/>
        <v/>
      </c>
    </row>
    <row r="192" spans="15:71" x14ac:dyDescent="0.2">
      <c r="O192" t="str">
        <f>IFERROR(INDEX(_courses_lookup!$C:$C,MATCH(K192&amp;L192,_courses_lookup!$E:$E,0)),"")</f>
        <v/>
      </c>
      <c r="P192" t="str">
        <f>IFERROR(INDEX(_courses_lookup!$D:$D,MATCH(K192&amp;L192,_courses_lookup!$E:$E,0)),"")</f>
        <v/>
      </c>
      <c r="AG192" t="str">
        <f t="shared" si="22"/>
        <v/>
      </c>
      <c r="AI192" t="str">
        <f t="shared" si="23"/>
        <v/>
      </c>
      <c r="AL192" t="str">
        <f t="shared" si="24"/>
        <v/>
      </c>
      <c r="AN192" t="str">
        <f t="shared" si="25"/>
        <v/>
      </c>
      <c r="AQ192" t="str">
        <f t="shared" si="26"/>
        <v/>
      </c>
      <c r="AR192" t="str">
        <f t="shared" si="27"/>
        <v/>
      </c>
      <c r="AS192" t="str">
        <f t="shared" si="28"/>
        <v/>
      </c>
      <c r="AT192" t="str">
        <f t="shared" si="29"/>
        <v/>
      </c>
      <c r="BG192" t="str">
        <f t="shared" si="30"/>
        <v/>
      </c>
      <c r="BH192" t="str">
        <f t="shared" si="31"/>
        <v/>
      </c>
      <c r="BL192" t="str">
        <f>IFERROR(INDEX(_names_lookup!$C:$C,MATCH(BK192,_names_lookup!$A:$A,0)),"")</f>
        <v/>
      </c>
      <c r="BM192" t="str">
        <f>IFERROR(INDEX(_names_lookup!$B:$B,MATCH(BK192,_names_lookup!$A:$A,0)),"")</f>
        <v/>
      </c>
      <c r="BS192" t="str">
        <f t="shared" si="32"/>
        <v/>
      </c>
    </row>
    <row r="193" spans="15:71" x14ac:dyDescent="0.2">
      <c r="O193" t="str">
        <f>IFERROR(INDEX(_courses_lookup!$C:$C,MATCH(K193&amp;L193,_courses_lookup!$E:$E,0)),"")</f>
        <v/>
      </c>
      <c r="P193" t="str">
        <f>IFERROR(INDEX(_courses_lookup!$D:$D,MATCH(K193&amp;L193,_courses_lookup!$E:$E,0)),"")</f>
        <v/>
      </c>
      <c r="AG193" t="str">
        <f t="shared" si="22"/>
        <v/>
      </c>
      <c r="AI193" t="str">
        <f t="shared" si="23"/>
        <v/>
      </c>
      <c r="AL193" t="str">
        <f t="shared" si="24"/>
        <v/>
      </c>
      <c r="AN193" t="str">
        <f t="shared" si="25"/>
        <v/>
      </c>
      <c r="AQ193" t="str">
        <f t="shared" si="26"/>
        <v/>
      </c>
      <c r="AR193" t="str">
        <f t="shared" si="27"/>
        <v/>
      </c>
      <c r="AS193" t="str">
        <f t="shared" si="28"/>
        <v/>
      </c>
      <c r="AT193" t="str">
        <f t="shared" si="29"/>
        <v/>
      </c>
      <c r="BG193" t="str">
        <f t="shared" si="30"/>
        <v/>
      </c>
      <c r="BH193" t="str">
        <f t="shared" si="31"/>
        <v/>
      </c>
      <c r="BL193" t="str">
        <f>IFERROR(INDEX(_names_lookup!$C:$C,MATCH(BK193,_names_lookup!$A:$A,0)),"")</f>
        <v/>
      </c>
      <c r="BM193" t="str">
        <f>IFERROR(INDEX(_names_lookup!$B:$B,MATCH(BK193,_names_lookup!$A:$A,0)),"")</f>
        <v/>
      </c>
      <c r="BS193" t="str">
        <f t="shared" si="32"/>
        <v/>
      </c>
    </row>
    <row r="194" spans="15:71" x14ac:dyDescent="0.2">
      <c r="O194" t="str">
        <f>IFERROR(INDEX(_courses_lookup!$C:$C,MATCH(K194&amp;L194,_courses_lookup!$E:$E,0)),"")</f>
        <v/>
      </c>
      <c r="P194" t="str">
        <f>IFERROR(INDEX(_courses_lookup!$D:$D,MATCH(K194&amp;L194,_courses_lookup!$E:$E,0)),"")</f>
        <v/>
      </c>
      <c r="AG194" t="str">
        <f t="shared" ref="AG194:AG257" si="33">IF(AND(AE194&lt;&gt;"",AF194&lt;&gt;""),ROUNDUP((AF194-AE194)/7,0),"")</f>
        <v/>
      </c>
      <c r="AI194" t="str">
        <f t="shared" ref="AI194:AI257" si="34">IFERROR(IF(AG194*AH194=0,"",AG194*AH194),"")</f>
        <v/>
      </c>
      <c r="AL194" t="str">
        <f t="shared" ref="AL194:AL257" si="35">IF(AND(AJ194&lt;&gt;"",AK194&lt;&gt;""),ROUNDUP((AK194-AJ194)/7,0),"")</f>
        <v/>
      </c>
      <c r="AN194" t="str">
        <f t="shared" ref="AN194:AN257" si="36">IFERROR(IF(AL194*AM194=0,"",AL194*AM194),"")</f>
        <v/>
      </c>
      <c r="AQ194" t="str">
        <f t="shared" ref="AQ194:AQ257" si="37">IF(AND(AO194&lt;&gt;"",AP194&lt;&gt;""),ROUNDUP((AP194-AO194)/7,0),"")</f>
        <v/>
      </c>
      <c r="AR194" t="str">
        <f t="shared" ref="AR194:AR257" si="38">IFERROR(IF((AU194-(AI194+AN194))/AQ194=0,"",ROUNDUP((AU194-(AI194+AN194))/AQ194,0)),"")</f>
        <v/>
      </c>
      <c r="AS194" t="str">
        <f t="shared" ref="AS194:AS257" si="39">IFERROR(IF((AU194-(AI194+AN194))=0,"",(AU194-(AI194+AN194))),"")</f>
        <v/>
      </c>
      <c r="AT194" t="str">
        <f t="shared" ref="AT194:AT257" si="40">IF(AND(AG194="",AQ194=""),AL194,IF(SUM(AG194,AL194,AQ194)=0,"",SUM(AG194,AL194,AQ194)))</f>
        <v/>
      </c>
      <c r="BG194" t="str">
        <f t="shared" ref="BG194:BG257" si="41">IF(AD194="","",YEAR(AD194)+IF(MONTH(AD194)&gt;=5,1,0))</f>
        <v/>
      </c>
      <c r="BH194" t="str">
        <f t="shared" ref="BH194:BH257" si="42">IF(AD194="","",IF(AND(MONTH(AD194)=8,DAY(AD194)&gt;=15),"Fall",IF(MONTH(AD194)&gt;8,"Fall",IF(MONTH(AD194)=5,"Summer",IF(MONTH(AD194)=1,"Spring","")))))</f>
        <v/>
      </c>
      <c r="BL194" t="str">
        <f>IFERROR(INDEX(_names_lookup!$C:$C,MATCH(BK194,_names_lookup!$A:$A,0)),"")</f>
        <v/>
      </c>
      <c r="BM194" t="str">
        <f>IFERROR(INDEX(_names_lookup!$B:$B,MATCH(BK194,_names_lookup!$A:$A,0)),"")</f>
        <v/>
      </c>
      <c r="BS194" t="str">
        <f t="shared" ref="BS194:BS257" si="43">IFERROR(IF(BR194*AA194=0,"",BR194*AA194),"")</f>
        <v/>
      </c>
    </row>
    <row r="195" spans="15:71" x14ac:dyDescent="0.2">
      <c r="O195" t="str">
        <f>IFERROR(INDEX(_courses_lookup!$C:$C,MATCH(K195&amp;L195,_courses_lookup!$E:$E,0)),"")</f>
        <v/>
      </c>
      <c r="P195" t="str">
        <f>IFERROR(INDEX(_courses_lookup!$D:$D,MATCH(K195&amp;L195,_courses_lookup!$E:$E,0)),"")</f>
        <v/>
      </c>
      <c r="AG195" t="str">
        <f t="shared" si="33"/>
        <v/>
      </c>
      <c r="AI195" t="str">
        <f t="shared" si="34"/>
        <v/>
      </c>
      <c r="AL195" t="str">
        <f t="shared" si="35"/>
        <v/>
      </c>
      <c r="AN195" t="str">
        <f t="shared" si="36"/>
        <v/>
      </c>
      <c r="AQ195" t="str">
        <f t="shared" si="37"/>
        <v/>
      </c>
      <c r="AR195" t="str">
        <f t="shared" si="38"/>
        <v/>
      </c>
      <c r="AS195" t="str">
        <f t="shared" si="39"/>
        <v/>
      </c>
      <c r="AT195" t="str">
        <f t="shared" si="40"/>
        <v/>
      </c>
      <c r="BG195" t="str">
        <f t="shared" si="41"/>
        <v/>
      </c>
      <c r="BH195" t="str">
        <f t="shared" si="42"/>
        <v/>
      </c>
      <c r="BL195" t="str">
        <f>IFERROR(INDEX(_names_lookup!$C:$C,MATCH(BK195,_names_lookup!$A:$A,0)),"")</f>
        <v/>
      </c>
      <c r="BM195" t="str">
        <f>IFERROR(INDEX(_names_lookup!$B:$B,MATCH(BK195,_names_lookup!$A:$A,0)),"")</f>
        <v/>
      </c>
      <c r="BS195" t="str">
        <f t="shared" si="43"/>
        <v/>
      </c>
    </row>
    <row r="196" spans="15:71" x14ac:dyDescent="0.2">
      <c r="O196" t="str">
        <f>IFERROR(INDEX(_courses_lookup!$C:$C,MATCH(K196&amp;L196,_courses_lookup!$E:$E,0)),"")</f>
        <v/>
      </c>
      <c r="P196" t="str">
        <f>IFERROR(INDEX(_courses_lookup!$D:$D,MATCH(K196&amp;L196,_courses_lookup!$E:$E,0)),"")</f>
        <v/>
      </c>
      <c r="AG196" t="str">
        <f t="shared" si="33"/>
        <v/>
      </c>
      <c r="AI196" t="str">
        <f t="shared" si="34"/>
        <v/>
      </c>
      <c r="AL196" t="str">
        <f t="shared" si="35"/>
        <v/>
      </c>
      <c r="AN196" t="str">
        <f t="shared" si="36"/>
        <v/>
      </c>
      <c r="AQ196" t="str">
        <f t="shared" si="37"/>
        <v/>
      </c>
      <c r="AR196" t="str">
        <f t="shared" si="38"/>
        <v/>
      </c>
      <c r="AS196" t="str">
        <f t="shared" si="39"/>
        <v/>
      </c>
      <c r="AT196" t="str">
        <f t="shared" si="40"/>
        <v/>
      </c>
      <c r="BG196" t="str">
        <f t="shared" si="41"/>
        <v/>
      </c>
      <c r="BH196" t="str">
        <f t="shared" si="42"/>
        <v/>
      </c>
      <c r="BL196" t="str">
        <f>IFERROR(INDEX(_names_lookup!$C:$C,MATCH(BK196,_names_lookup!$A:$A,0)),"")</f>
        <v/>
      </c>
      <c r="BM196" t="str">
        <f>IFERROR(INDEX(_names_lookup!$B:$B,MATCH(BK196,_names_lookup!$A:$A,0)),"")</f>
        <v/>
      </c>
      <c r="BS196" t="str">
        <f t="shared" si="43"/>
        <v/>
      </c>
    </row>
    <row r="197" spans="15:71" x14ac:dyDescent="0.2">
      <c r="O197" t="str">
        <f>IFERROR(INDEX(_courses_lookup!$C:$C,MATCH(K197&amp;L197,_courses_lookup!$E:$E,0)),"")</f>
        <v/>
      </c>
      <c r="P197" t="str">
        <f>IFERROR(INDEX(_courses_lookup!$D:$D,MATCH(K197&amp;L197,_courses_lookup!$E:$E,0)),"")</f>
        <v/>
      </c>
      <c r="AG197" t="str">
        <f t="shared" si="33"/>
        <v/>
      </c>
      <c r="AI197" t="str">
        <f t="shared" si="34"/>
        <v/>
      </c>
      <c r="AL197" t="str">
        <f t="shared" si="35"/>
        <v/>
      </c>
      <c r="AN197" t="str">
        <f t="shared" si="36"/>
        <v/>
      </c>
      <c r="AQ197" t="str">
        <f t="shared" si="37"/>
        <v/>
      </c>
      <c r="AR197" t="str">
        <f t="shared" si="38"/>
        <v/>
      </c>
      <c r="AS197" t="str">
        <f t="shared" si="39"/>
        <v/>
      </c>
      <c r="AT197" t="str">
        <f t="shared" si="40"/>
        <v/>
      </c>
      <c r="BG197" t="str">
        <f t="shared" si="41"/>
        <v/>
      </c>
      <c r="BH197" t="str">
        <f t="shared" si="42"/>
        <v/>
      </c>
      <c r="BL197" t="str">
        <f>IFERROR(INDEX(_names_lookup!$C:$C,MATCH(BK197,_names_lookup!$A:$A,0)),"")</f>
        <v/>
      </c>
      <c r="BM197" t="str">
        <f>IFERROR(INDEX(_names_lookup!$B:$B,MATCH(BK197,_names_lookup!$A:$A,0)),"")</f>
        <v/>
      </c>
      <c r="BS197" t="str">
        <f t="shared" si="43"/>
        <v/>
      </c>
    </row>
    <row r="198" spans="15:71" x14ac:dyDescent="0.2">
      <c r="O198" t="str">
        <f>IFERROR(INDEX(_courses_lookup!$C:$C,MATCH(K198&amp;L198,_courses_lookup!$E:$E,0)),"")</f>
        <v/>
      </c>
      <c r="P198" t="str">
        <f>IFERROR(INDEX(_courses_lookup!$D:$D,MATCH(K198&amp;L198,_courses_lookup!$E:$E,0)),"")</f>
        <v/>
      </c>
      <c r="AG198" t="str">
        <f t="shared" si="33"/>
        <v/>
      </c>
      <c r="AI198" t="str">
        <f t="shared" si="34"/>
        <v/>
      </c>
      <c r="AL198" t="str">
        <f t="shared" si="35"/>
        <v/>
      </c>
      <c r="AN198" t="str">
        <f t="shared" si="36"/>
        <v/>
      </c>
      <c r="AQ198" t="str">
        <f t="shared" si="37"/>
        <v/>
      </c>
      <c r="AR198" t="str">
        <f t="shared" si="38"/>
        <v/>
      </c>
      <c r="AS198" t="str">
        <f t="shared" si="39"/>
        <v/>
      </c>
      <c r="AT198" t="str">
        <f t="shared" si="40"/>
        <v/>
      </c>
      <c r="BG198" t="str">
        <f t="shared" si="41"/>
        <v/>
      </c>
      <c r="BH198" t="str">
        <f t="shared" si="42"/>
        <v/>
      </c>
      <c r="BL198" t="str">
        <f>IFERROR(INDEX(_names_lookup!$C:$C,MATCH(BK198,_names_lookup!$A:$A,0)),"")</f>
        <v/>
      </c>
      <c r="BM198" t="str">
        <f>IFERROR(INDEX(_names_lookup!$B:$B,MATCH(BK198,_names_lookup!$A:$A,0)),"")</f>
        <v/>
      </c>
      <c r="BS198" t="str">
        <f t="shared" si="43"/>
        <v/>
      </c>
    </row>
    <row r="199" spans="15:71" x14ac:dyDescent="0.2">
      <c r="O199" t="str">
        <f>IFERROR(INDEX(_courses_lookup!$C:$C,MATCH(K199&amp;L199,_courses_lookup!$E:$E,0)),"")</f>
        <v/>
      </c>
      <c r="P199" t="str">
        <f>IFERROR(INDEX(_courses_lookup!$D:$D,MATCH(K199&amp;L199,_courses_lookup!$E:$E,0)),"")</f>
        <v/>
      </c>
      <c r="AG199" t="str">
        <f t="shared" si="33"/>
        <v/>
      </c>
      <c r="AI199" t="str">
        <f t="shared" si="34"/>
        <v/>
      </c>
      <c r="AL199" t="str">
        <f t="shared" si="35"/>
        <v/>
      </c>
      <c r="AN199" t="str">
        <f t="shared" si="36"/>
        <v/>
      </c>
      <c r="AQ199" t="str">
        <f t="shared" si="37"/>
        <v/>
      </c>
      <c r="AR199" t="str">
        <f t="shared" si="38"/>
        <v/>
      </c>
      <c r="AS199" t="str">
        <f t="shared" si="39"/>
        <v/>
      </c>
      <c r="AT199" t="str">
        <f t="shared" si="40"/>
        <v/>
      </c>
      <c r="BG199" t="str">
        <f t="shared" si="41"/>
        <v/>
      </c>
      <c r="BH199" t="str">
        <f t="shared" si="42"/>
        <v/>
      </c>
      <c r="BL199" t="str">
        <f>IFERROR(INDEX(_names_lookup!$C:$C,MATCH(BK199,_names_lookup!$A:$A,0)),"")</f>
        <v/>
      </c>
      <c r="BM199" t="str">
        <f>IFERROR(INDEX(_names_lookup!$B:$B,MATCH(BK199,_names_lookup!$A:$A,0)),"")</f>
        <v/>
      </c>
      <c r="BS199" t="str">
        <f t="shared" si="43"/>
        <v/>
      </c>
    </row>
    <row r="200" spans="15:71" x14ac:dyDescent="0.2">
      <c r="O200" t="str">
        <f>IFERROR(INDEX(_courses_lookup!$C:$C,MATCH(K200&amp;L200,_courses_lookup!$E:$E,0)),"")</f>
        <v/>
      </c>
      <c r="P200" t="str">
        <f>IFERROR(INDEX(_courses_lookup!$D:$D,MATCH(K200&amp;L200,_courses_lookup!$E:$E,0)),"")</f>
        <v/>
      </c>
      <c r="AG200" t="str">
        <f t="shared" si="33"/>
        <v/>
      </c>
      <c r="AI200" t="str">
        <f t="shared" si="34"/>
        <v/>
      </c>
      <c r="AL200" t="str">
        <f t="shared" si="35"/>
        <v/>
      </c>
      <c r="AN200" t="str">
        <f t="shared" si="36"/>
        <v/>
      </c>
      <c r="AQ200" t="str">
        <f t="shared" si="37"/>
        <v/>
      </c>
      <c r="AR200" t="str">
        <f t="shared" si="38"/>
        <v/>
      </c>
      <c r="AS200" t="str">
        <f t="shared" si="39"/>
        <v/>
      </c>
      <c r="AT200" t="str">
        <f t="shared" si="40"/>
        <v/>
      </c>
      <c r="BG200" t="str">
        <f t="shared" si="41"/>
        <v/>
      </c>
      <c r="BH200" t="str">
        <f t="shared" si="42"/>
        <v/>
      </c>
      <c r="BL200" t="str">
        <f>IFERROR(INDEX(_names_lookup!$C:$C,MATCH(BK200,_names_lookup!$A:$A,0)),"")</f>
        <v/>
      </c>
      <c r="BM200" t="str">
        <f>IFERROR(INDEX(_names_lookup!$B:$B,MATCH(BK200,_names_lookup!$A:$A,0)),"")</f>
        <v/>
      </c>
      <c r="BS200" t="str">
        <f t="shared" si="43"/>
        <v/>
      </c>
    </row>
    <row r="201" spans="15:71" x14ac:dyDescent="0.2">
      <c r="O201" t="str">
        <f>IFERROR(INDEX(_courses_lookup!$C:$C,MATCH(K201&amp;L201,_courses_lookup!$E:$E,0)),"")</f>
        <v/>
      </c>
      <c r="P201" t="str">
        <f>IFERROR(INDEX(_courses_lookup!$D:$D,MATCH(K201&amp;L201,_courses_lookup!$E:$E,0)),"")</f>
        <v/>
      </c>
      <c r="AG201" t="str">
        <f t="shared" si="33"/>
        <v/>
      </c>
      <c r="AI201" t="str">
        <f t="shared" si="34"/>
        <v/>
      </c>
      <c r="AL201" t="str">
        <f t="shared" si="35"/>
        <v/>
      </c>
      <c r="AN201" t="str">
        <f t="shared" si="36"/>
        <v/>
      </c>
      <c r="AQ201" t="str">
        <f t="shared" si="37"/>
        <v/>
      </c>
      <c r="AR201" t="str">
        <f t="shared" si="38"/>
        <v/>
      </c>
      <c r="AS201" t="str">
        <f t="shared" si="39"/>
        <v/>
      </c>
      <c r="AT201" t="str">
        <f t="shared" si="40"/>
        <v/>
      </c>
      <c r="BG201" t="str">
        <f t="shared" si="41"/>
        <v/>
      </c>
      <c r="BH201" t="str">
        <f t="shared" si="42"/>
        <v/>
      </c>
      <c r="BL201" t="str">
        <f>IFERROR(INDEX(_names_lookup!$C:$C,MATCH(BK201,_names_lookup!$A:$A,0)),"")</f>
        <v/>
      </c>
      <c r="BM201" t="str">
        <f>IFERROR(INDEX(_names_lookup!$B:$B,MATCH(BK201,_names_lookup!$A:$A,0)),"")</f>
        <v/>
      </c>
      <c r="BS201" t="str">
        <f t="shared" si="43"/>
        <v/>
      </c>
    </row>
    <row r="202" spans="15:71" x14ac:dyDescent="0.2">
      <c r="O202" t="str">
        <f>IFERROR(INDEX(_courses_lookup!$C:$C,MATCH(K202&amp;L202,_courses_lookup!$E:$E,0)),"")</f>
        <v/>
      </c>
      <c r="P202" t="str">
        <f>IFERROR(INDEX(_courses_lookup!$D:$D,MATCH(K202&amp;L202,_courses_lookup!$E:$E,0)),"")</f>
        <v/>
      </c>
      <c r="AG202" t="str">
        <f t="shared" si="33"/>
        <v/>
      </c>
      <c r="AI202" t="str">
        <f t="shared" si="34"/>
        <v/>
      </c>
      <c r="AL202" t="str">
        <f t="shared" si="35"/>
        <v/>
      </c>
      <c r="AN202" t="str">
        <f t="shared" si="36"/>
        <v/>
      </c>
      <c r="AQ202" t="str">
        <f t="shared" si="37"/>
        <v/>
      </c>
      <c r="AR202" t="str">
        <f t="shared" si="38"/>
        <v/>
      </c>
      <c r="AS202" t="str">
        <f t="shared" si="39"/>
        <v/>
      </c>
      <c r="AT202" t="str">
        <f t="shared" si="40"/>
        <v/>
      </c>
      <c r="BG202" t="str">
        <f t="shared" si="41"/>
        <v/>
      </c>
      <c r="BH202" t="str">
        <f t="shared" si="42"/>
        <v/>
      </c>
      <c r="BL202" t="str">
        <f>IFERROR(INDEX(_names_lookup!$C:$C,MATCH(BK202,_names_lookup!$A:$A,0)),"")</f>
        <v/>
      </c>
      <c r="BM202" t="str">
        <f>IFERROR(INDEX(_names_lookup!$B:$B,MATCH(BK202,_names_lookup!$A:$A,0)),"")</f>
        <v/>
      </c>
      <c r="BS202" t="str">
        <f t="shared" si="43"/>
        <v/>
      </c>
    </row>
    <row r="203" spans="15:71" x14ac:dyDescent="0.2">
      <c r="O203" t="str">
        <f>IFERROR(INDEX(_courses_lookup!$C:$C,MATCH(K203&amp;L203,_courses_lookup!$E:$E,0)),"")</f>
        <v/>
      </c>
      <c r="P203" t="str">
        <f>IFERROR(INDEX(_courses_lookup!$D:$D,MATCH(K203&amp;L203,_courses_lookup!$E:$E,0)),"")</f>
        <v/>
      </c>
      <c r="AG203" t="str">
        <f t="shared" si="33"/>
        <v/>
      </c>
      <c r="AI203" t="str">
        <f t="shared" si="34"/>
        <v/>
      </c>
      <c r="AL203" t="str">
        <f t="shared" si="35"/>
        <v/>
      </c>
      <c r="AN203" t="str">
        <f t="shared" si="36"/>
        <v/>
      </c>
      <c r="AQ203" t="str">
        <f t="shared" si="37"/>
        <v/>
      </c>
      <c r="AR203" t="str">
        <f t="shared" si="38"/>
        <v/>
      </c>
      <c r="AS203" t="str">
        <f t="shared" si="39"/>
        <v/>
      </c>
      <c r="AT203" t="str">
        <f t="shared" si="40"/>
        <v/>
      </c>
      <c r="BG203" t="str">
        <f t="shared" si="41"/>
        <v/>
      </c>
      <c r="BH203" t="str">
        <f t="shared" si="42"/>
        <v/>
      </c>
      <c r="BL203" t="str">
        <f>IFERROR(INDEX(_names_lookup!$C:$C,MATCH(BK203,_names_lookup!$A:$A,0)),"")</f>
        <v/>
      </c>
      <c r="BM203" t="str">
        <f>IFERROR(INDEX(_names_lookup!$B:$B,MATCH(BK203,_names_lookup!$A:$A,0)),"")</f>
        <v/>
      </c>
      <c r="BS203" t="str">
        <f t="shared" si="43"/>
        <v/>
      </c>
    </row>
    <row r="204" spans="15:71" x14ac:dyDescent="0.2">
      <c r="O204" t="str">
        <f>IFERROR(INDEX(_courses_lookup!$C:$C,MATCH(K204&amp;L204,_courses_lookup!$E:$E,0)),"")</f>
        <v/>
      </c>
      <c r="P204" t="str">
        <f>IFERROR(INDEX(_courses_lookup!$D:$D,MATCH(K204&amp;L204,_courses_lookup!$E:$E,0)),"")</f>
        <v/>
      </c>
      <c r="AG204" t="str">
        <f t="shared" si="33"/>
        <v/>
      </c>
      <c r="AI204" t="str">
        <f t="shared" si="34"/>
        <v/>
      </c>
      <c r="AL204" t="str">
        <f t="shared" si="35"/>
        <v/>
      </c>
      <c r="AN204" t="str">
        <f t="shared" si="36"/>
        <v/>
      </c>
      <c r="AQ204" t="str">
        <f t="shared" si="37"/>
        <v/>
      </c>
      <c r="AR204" t="str">
        <f t="shared" si="38"/>
        <v/>
      </c>
      <c r="AS204" t="str">
        <f t="shared" si="39"/>
        <v/>
      </c>
      <c r="AT204" t="str">
        <f t="shared" si="40"/>
        <v/>
      </c>
      <c r="BG204" t="str">
        <f t="shared" si="41"/>
        <v/>
      </c>
      <c r="BH204" t="str">
        <f t="shared" si="42"/>
        <v/>
      </c>
      <c r="BL204" t="str">
        <f>IFERROR(INDEX(_names_lookup!$C:$C,MATCH(BK204,_names_lookup!$A:$A,0)),"")</f>
        <v/>
      </c>
      <c r="BM204" t="str">
        <f>IFERROR(INDEX(_names_lookup!$B:$B,MATCH(BK204,_names_lookup!$A:$A,0)),"")</f>
        <v/>
      </c>
      <c r="BS204" t="str">
        <f t="shared" si="43"/>
        <v/>
      </c>
    </row>
    <row r="205" spans="15:71" x14ac:dyDescent="0.2">
      <c r="O205" t="str">
        <f>IFERROR(INDEX(_courses_lookup!$C:$C,MATCH(K205&amp;L205,_courses_lookup!$E:$E,0)),"")</f>
        <v/>
      </c>
      <c r="P205" t="str">
        <f>IFERROR(INDEX(_courses_lookup!$D:$D,MATCH(K205&amp;L205,_courses_lookup!$E:$E,0)),"")</f>
        <v/>
      </c>
      <c r="AG205" t="str">
        <f t="shared" si="33"/>
        <v/>
      </c>
      <c r="AI205" t="str">
        <f t="shared" si="34"/>
        <v/>
      </c>
      <c r="AL205" t="str">
        <f t="shared" si="35"/>
        <v/>
      </c>
      <c r="AN205" t="str">
        <f t="shared" si="36"/>
        <v/>
      </c>
      <c r="AQ205" t="str">
        <f t="shared" si="37"/>
        <v/>
      </c>
      <c r="AR205" t="str">
        <f t="shared" si="38"/>
        <v/>
      </c>
      <c r="AS205" t="str">
        <f t="shared" si="39"/>
        <v/>
      </c>
      <c r="AT205" t="str">
        <f t="shared" si="40"/>
        <v/>
      </c>
      <c r="BG205" t="str">
        <f t="shared" si="41"/>
        <v/>
      </c>
      <c r="BH205" t="str">
        <f t="shared" si="42"/>
        <v/>
      </c>
      <c r="BL205" t="str">
        <f>IFERROR(INDEX(_names_lookup!$C:$C,MATCH(BK205,_names_lookup!$A:$A,0)),"")</f>
        <v/>
      </c>
      <c r="BM205" t="str">
        <f>IFERROR(INDEX(_names_lookup!$B:$B,MATCH(BK205,_names_lookup!$A:$A,0)),"")</f>
        <v/>
      </c>
      <c r="BS205" t="str">
        <f t="shared" si="43"/>
        <v/>
      </c>
    </row>
    <row r="206" spans="15:71" x14ac:dyDescent="0.2">
      <c r="O206" t="str">
        <f>IFERROR(INDEX(_courses_lookup!$C:$C,MATCH(K206&amp;L206,_courses_lookup!$E:$E,0)),"")</f>
        <v/>
      </c>
      <c r="P206" t="str">
        <f>IFERROR(INDEX(_courses_lookup!$D:$D,MATCH(K206&amp;L206,_courses_lookup!$E:$E,0)),"")</f>
        <v/>
      </c>
      <c r="AG206" t="str">
        <f t="shared" si="33"/>
        <v/>
      </c>
      <c r="AI206" t="str">
        <f t="shared" si="34"/>
        <v/>
      </c>
      <c r="AL206" t="str">
        <f t="shared" si="35"/>
        <v/>
      </c>
      <c r="AN206" t="str">
        <f t="shared" si="36"/>
        <v/>
      </c>
      <c r="AQ206" t="str">
        <f t="shared" si="37"/>
        <v/>
      </c>
      <c r="AR206" t="str">
        <f t="shared" si="38"/>
        <v/>
      </c>
      <c r="AS206" t="str">
        <f t="shared" si="39"/>
        <v/>
      </c>
      <c r="AT206" t="str">
        <f t="shared" si="40"/>
        <v/>
      </c>
      <c r="BG206" t="str">
        <f t="shared" si="41"/>
        <v/>
      </c>
      <c r="BH206" t="str">
        <f t="shared" si="42"/>
        <v/>
      </c>
      <c r="BL206" t="str">
        <f>IFERROR(INDEX(_names_lookup!$C:$C,MATCH(BK206,_names_lookup!$A:$A,0)),"")</f>
        <v/>
      </c>
      <c r="BM206" t="str">
        <f>IFERROR(INDEX(_names_lookup!$B:$B,MATCH(BK206,_names_lookup!$A:$A,0)),"")</f>
        <v/>
      </c>
      <c r="BS206" t="str">
        <f t="shared" si="43"/>
        <v/>
      </c>
    </row>
    <row r="207" spans="15:71" x14ac:dyDescent="0.2">
      <c r="O207" t="str">
        <f>IFERROR(INDEX(_courses_lookup!$C:$C,MATCH(K207&amp;L207,_courses_lookup!$E:$E,0)),"")</f>
        <v/>
      </c>
      <c r="P207" t="str">
        <f>IFERROR(INDEX(_courses_lookup!$D:$D,MATCH(K207&amp;L207,_courses_lookup!$E:$E,0)),"")</f>
        <v/>
      </c>
      <c r="AG207" t="str">
        <f t="shared" si="33"/>
        <v/>
      </c>
      <c r="AI207" t="str">
        <f t="shared" si="34"/>
        <v/>
      </c>
      <c r="AL207" t="str">
        <f t="shared" si="35"/>
        <v/>
      </c>
      <c r="AN207" t="str">
        <f t="shared" si="36"/>
        <v/>
      </c>
      <c r="AQ207" t="str">
        <f t="shared" si="37"/>
        <v/>
      </c>
      <c r="AR207" t="str">
        <f t="shared" si="38"/>
        <v/>
      </c>
      <c r="AS207" t="str">
        <f t="shared" si="39"/>
        <v/>
      </c>
      <c r="AT207" t="str">
        <f t="shared" si="40"/>
        <v/>
      </c>
      <c r="BG207" t="str">
        <f t="shared" si="41"/>
        <v/>
      </c>
      <c r="BH207" t="str">
        <f t="shared" si="42"/>
        <v/>
      </c>
      <c r="BL207" t="str">
        <f>IFERROR(INDEX(_names_lookup!$C:$C,MATCH(BK207,_names_lookup!$A:$A,0)),"")</f>
        <v/>
      </c>
      <c r="BM207" t="str">
        <f>IFERROR(INDEX(_names_lookup!$B:$B,MATCH(BK207,_names_lookup!$A:$A,0)),"")</f>
        <v/>
      </c>
      <c r="BS207" t="str">
        <f t="shared" si="43"/>
        <v/>
      </c>
    </row>
    <row r="208" spans="15:71" x14ac:dyDescent="0.2">
      <c r="O208" t="str">
        <f>IFERROR(INDEX(_courses_lookup!$C:$C,MATCH(K208&amp;L208,_courses_lookup!$E:$E,0)),"")</f>
        <v/>
      </c>
      <c r="P208" t="str">
        <f>IFERROR(INDEX(_courses_lookup!$D:$D,MATCH(K208&amp;L208,_courses_lookup!$E:$E,0)),"")</f>
        <v/>
      </c>
      <c r="AG208" t="str">
        <f t="shared" si="33"/>
        <v/>
      </c>
      <c r="AI208" t="str">
        <f t="shared" si="34"/>
        <v/>
      </c>
      <c r="AL208" t="str">
        <f t="shared" si="35"/>
        <v/>
      </c>
      <c r="AN208" t="str">
        <f t="shared" si="36"/>
        <v/>
      </c>
      <c r="AQ208" t="str">
        <f t="shared" si="37"/>
        <v/>
      </c>
      <c r="AR208" t="str">
        <f t="shared" si="38"/>
        <v/>
      </c>
      <c r="AS208" t="str">
        <f t="shared" si="39"/>
        <v/>
      </c>
      <c r="AT208" t="str">
        <f t="shared" si="40"/>
        <v/>
      </c>
      <c r="BG208" t="str">
        <f t="shared" si="41"/>
        <v/>
      </c>
      <c r="BH208" t="str">
        <f t="shared" si="42"/>
        <v/>
      </c>
      <c r="BL208" t="str">
        <f>IFERROR(INDEX(_names_lookup!$C:$C,MATCH(BK208,_names_lookup!$A:$A,0)),"")</f>
        <v/>
      </c>
      <c r="BM208" t="str">
        <f>IFERROR(INDEX(_names_lookup!$B:$B,MATCH(BK208,_names_lookup!$A:$A,0)),"")</f>
        <v/>
      </c>
      <c r="BS208" t="str">
        <f t="shared" si="43"/>
        <v/>
      </c>
    </row>
    <row r="209" spans="15:71" x14ac:dyDescent="0.2">
      <c r="O209" t="str">
        <f>IFERROR(INDEX(_courses_lookup!$C:$C,MATCH(K209&amp;L209,_courses_lookup!$E:$E,0)),"")</f>
        <v/>
      </c>
      <c r="P209" t="str">
        <f>IFERROR(INDEX(_courses_lookup!$D:$D,MATCH(K209&amp;L209,_courses_lookup!$E:$E,0)),"")</f>
        <v/>
      </c>
      <c r="AG209" t="str">
        <f t="shared" si="33"/>
        <v/>
      </c>
      <c r="AI209" t="str">
        <f t="shared" si="34"/>
        <v/>
      </c>
      <c r="AL209" t="str">
        <f t="shared" si="35"/>
        <v/>
      </c>
      <c r="AN209" t="str">
        <f t="shared" si="36"/>
        <v/>
      </c>
      <c r="AQ209" t="str">
        <f t="shared" si="37"/>
        <v/>
      </c>
      <c r="AR209" t="str">
        <f t="shared" si="38"/>
        <v/>
      </c>
      <c r="AS209" t="str">
        <f t="shared" si="39"/>
        <v/>
      </c>
      <c r="AT209" t="str">
        <f t="shared" si="40"/>
        <v/>
      </c>
      <c r="BG209" t="str">
        <f t="shared" si="41"/>
        <v/>
      </c>
      <c r="BH209" t="str">
        <f t="shared" si="42"/>
        <v/>
      </c>
      <c r="BL209" t="str">
        <f>IFERROR(INDEX(_names_lookup!$C:$C,MATCH(BK209,_names_lookup!$A:$A,0)),"")</f>
        <v/>
      </c>
      <c r="BM209" t="str">
        <f>IFERROR(INDEX(_names_lookup!$B:$B,MATCH(BK209,_names_lookup!$A:$A,0)),"")</f>
        <v/>
      </c>
      <c r="BS209" t="str">
        <f t="shared" si="43"/>
        <v/>
      </c>
    </row>
    <row r="210" spans="15:71" x14ac:dyDescent="0.2">
      <c r="O210" t="str">
        <f>IFERROR(INDEX(_courses_lookup!$C:$C,MATCH(K210&amp;L210,_courses_lookup!$E:$E,0)),"")</f>
        <v/>
      </c>
      <c r="P210" t="str">
        <f>IFERROR(INDEX(_courses_lookup!$D:$D,MATCH(K210&amp;L210,_courses_lookup!$E:$E,0)),"")</f>
        <v/>
      </c>
      <c r="AG210" t="str">
        <f t="shared" si="33"/>
        <v/>
      </c>
      <c r="AI210" t="str">
        <f t="shared" si="34"/>
        <v/>
      </c>
      <c r="AL210" t="str">
        <f t="shared" si="35"/>
        <v/>
      </c>
      <c r="AN210" t="str">
        <f t="shared" si="36"/>
        <v/>
      </c>
      <c r="AQ210" t="str">
        <f t="shared" si="37"/>
        <v/>
      </c>
      <c r="AR210" t="str">
        <f t="shared" si="38"/>
        <v/>
      </c>
      <c r="AS210" t="str">
        <f t="shared" si="39"/>
        <v/>
      </c>
      <c r="AT210" t="str">
        <f t="shared" si="40"/>
        <v/>
      </c>
      <c r="BG210" t="str">
        <f t="shared" si="41"/>
        <v/>
      </c>
      <c r="BH210" t="str">
        <f t="shared" si="42"/>
        <v/>
      </c>
      <c r="BL210" t="str">
        <f>IFERROR(INDEX(_names_lookup!$C:$C,MATCH(BK210,_names_lookup!$A:$A,0)),"")</f>
        <v/>
      </c>
      <c r="BM210" t="str">
        <f>IFERROR(INDEX(_names_lookup!$B:$B,MATCH(BK210,_names_lookup!$A:$A,0)),"")</f>
        <v/>
      </c>
      <c r="BS210" t="str">
        <f t="shared" si="43"/>
        <v/>
      </c>
    </row>
    <row r="211" spans="15:71" x14ac:dyDescent="0.2">
      <c r="O211" t="str">
        <f>IFERROR(INDEX(_courses_lookup!$C:$C,MATCH(K211&amp;L211,_courses_lookup!$E:$E,0)),"")</f>
        <v/>
      </c>
      <c r="P211" t="str">
        <f>IFERROR(INDEX(_courses_lookup!$D:$D,MATCH(K211&amp;L211,_courses_lookup!$E:$E,0)),"")</f>
        <v/>
      </c>
      <c r="AG211" t="str">
        <f t="shared" si="33"/>
        <v/>
      </c>
      <c r="AI211" t="str">
        <f t="shared" si="34"/>
        <v/>
      </c>
      <c r="AL211" t="str">
        <f t="shared" si="35"/>
        <v/>
      </c>
      <c r="AN211" t="str">
        <f t="shared" si="36"/>
        <v/>
      </c>
      <c r="AQ211" t="str">
        <f t="shared" si="37"/>
        <v/>
      </c>
      <c r="AR211" t="str">
        <f t="shared" si="38"/>
        <v/>
      </c>
      <c r="AS211" t="str">
        <f t="shared" si="39"/>
        <v/>
      </c>
      <c r="AT211" t="str">
        <f t="shared" si="40"/>
        <v/>
      </c>
      <c r="BG211" t="str">
        <f t="shared" si="41"/>
        <v/>
      </c>
      <c r="BH211" t="str">
        <f t="shared" si="42"/>
        <v/>
      </c>
      <c r="BL211" t="str">
        <f>IFERROR(INDEX(_names_lookup!$C:$C,MATCH(BK211,_names_lookup!$A:$A,0)),"")</f>
        <v/>
      </c>
      <c r="BM211" t="str">
        <f>IFERROR(INDEX(_names_lookup!$B:$B,MATCH(BK211,_names_lookup!$A:$A,0)),"")</f>
        <v/>
      </c>
      <c r="BS211" t="str">
        <f t="shared" si="43"/>
        <v/>
      </c>
    </row>
    <row r="212" spans="15:71" x14ac:dyDescent="0.2">
      <c r="O212" t="str">
        <f>IFERROR(INDEX(_courses_lookup!$C:$C,MATCH(K212&amp;L212,_courses_lookup!$E:$E,0)),"")</f>
        <v/>
      </c>
      <c r="P212" t="str">
        <f>IFERROR(INDEX(_courses_lookup!$D:$D,MATCH(K212&amp;L212,_courses_lookup!$E:$E,0)),"")</f>
        <v/>
      </c>
      <c r="AG212" t="str">
        <f t="shared" si="33"/>
        <v/>
      </c>
      <c r="AI212" t="str">
        <f t="shared" si="34"/>
        <v/>
      </c>
      <c r="AL212" t="str">
        <f t="shared" si="35"/>
        <v/>
      </c>
      <c r="AN212" t="str">
        <f t="shared" si="36"/>
        <v/>
      </c>
      <c r="AQ212" t="str">
        <f t="shared" si="37"/>
        <v/>
      </c>
      <c r="AR212" t="str">
        <f t="shared" si="38"/>
        <v/>
      </c>
      <c r="AS212" t="str">
        <f t="shared" si="39"/>
        <v/>
      </c>
      <c r="AT212" t="str">
        <f t="shared" si="40"/>
        <v/>
      </c>
      <c r="BG212" t="str">
        <f t="shared" si="41"/>
        <v/>
      </c>
      <c r="BH212" t="str">
        <f t="shared" si="42"/>
        <v/>
      </c>
      <c r="BL212" t="str">
        <f>IFERROR(INDEX(_names_lookup!$C:$C,MATCH(BK212,_names_lookup!$A:$A,0)),"")</f>
        <v/>
      </c>
      <c r="BM212" t="str">
        <f>IFERROR(INDEX(_names_lookup!$B:$B,MATCH(BK212,_names_lookup!$A:$A,0)),"")</f>
        <v/>
      </c>
      <c r="BS212" t="str">
        <f t="shared" si="43"/>
        <v/>
      </c>
    </row>
    <row r="213" spans="15:71" x14ac:dyDescent="0.2">
      <c r="O213" t="str">
        <f>IFERROR(INDEX(_courses_lookup!$C:$C,MATCH(K213&amp;L213,_courses_lookup!$E:$E,0)),"")</f>
        <v/>
      </c>
      <c r="P213" t="str">
        <f>IFERROR(INDEX(_courses_lookup!$D:$D,MATCH(K213&amp;L213,_courses_lookup!$E:$E,0)),"")</f>
        <v/>
      </c>
      <c r="AG213" t="str">
        <f t="shared" si="33"/>
        <v/>
      </c>
      <c r="AI213" t="str">
        <f t="shared" si="34"/>
        <v/>
      </c>
      <c r="AL213" t="str">
        <f t="shared" si="35"/>
        <v/>
      </c>
      <c r="AN213" t="str">
        <f t="shared" si="36"/>
        <v/>
      </c>
      <c r="AQ213" t="str">
        <f t="shared" si="37"/>
        <v/>
      </c>
      <c r="AR213" t="str">
        <f t="shared" si="38"/>
        <v/>
      </c>
      <c r="AS213" t="str">
        <f t="shared" si="39"/>
        <v/>
      </c>
      <c r="AT213" t="str">
        <f t="shared" si="40"/>
        <v/>
      </c>
      <c r="BG213" t="str">
        <f t="shared" si="41"/>
        <v/>
      </c>
      <c r="BH213" t="str">
        <f t="shared" si="42"/>
        <v/>
      </c>
      <c r="BL213" t="str">
        <f>IFERROR(INDEX(_names_lookup!$C:$C,MATCH(BK213,_names_lookup!$A:$A,0)),"")</f>
        <v/>
      </c>
      <c r="BM213" t="str">
        <f>IFERROR(INDEX(_names_lookup!$B:$B,MATCH(BK213,_names_lookup!$A:$A,0)),"")</f>
        <v/>
      </c>
      <c r="BS213" t="str">
        <f t="shared" si="43"/>
        <v/>
      </c>
    </row>
    <row r="214" spans="15:71" x14ac:dyDescent="0.2">
      <c r="O214" t="str">
        <f>IFERROR(INDEX(_courses_lookup!$C:$C,MATCH(K214&amp;L214,_courses_lookup!$E:$E,0)),"")</f>
        <v/>
      </c>
      <c r="P214" t="str">
        <f>IFERROR(INDEX(_courses_lookup!$D:$D,MATCH(K214&amp;L214,_courses_lookup!$E:$E,0)),"")</f>
        <v/>
      </c>
      <c r="AG214" t="str">
        <f t="shared" si="33"/>
        <v/>
      </c>
      <c r="AI214" t="str">
        <f t="shared" si="34"/>
        <v/>
      </c>
      <c r="AL214" t="str">
        <f t="shared" si="35"/>
        <v/>
      </c>
      <c r="AN214" t="str">
        <f t="shared" si="36"/>
        <v/>
      </c>
      <c r="AQ214" t="str">
        <f t="shared" si="37"/>
        <v/>
      </c>
      <c r="AR214" t="str">
        <f t="shared" si="38"/>
        <v/>
      </c>
      <c r="AS214" t="str">
        <f t="shared" si="39"/>
        <v/>
      </c>
      <c r="AT214" t="str">
        <f t="shared" si="40"/>
        <v/>
      </c>
      <c r="BG214" t="str">
        <f t="shared" si="41"/>
        <v/>
      </c>
      <c r="BH214" t="str">
        <f t="shared" si="42"/>
        <v/>
      </c>
      <c r="BL214" t="str">
        <f>IFERROR(INDEX(_names_lookup!$C:$C,MATCH(BK214,_names_lookup!$A:$A,0)),"")</f>
        <v/>
      </c>
      <c r="BM214" t="str">
        <f>IFERROR(INDEX(_names_lookup!$B:$B,MATCH(BK214,_names_lookup!$A:$A,0)),"")</f>
        <v/>
      </c>
      <c r="BS214" t="str">
        <f t="shared" si="43"/>
        <v/>
      </c>
    </row>
    <row r="215" spans="15:71" x14ac:dyDescent="0.2">
      <c r="O215" t="str">
        <f>IFERROR(INDEX(_courses_lookup!$C:$C,MATCH(K215&amp;L215,_courses_lookup!$E:$E,0)),"")</f>
        <v/>
      </c>
      <c r="P215" t="str">
        <f>IFERROR(INDEX(_courses_lookup!$D:$D,MATCH(K215&amp;L215,_courses_lookup!$E:$E,0)),"")</f>
        <v/>
      </c>
      <c r="AG215" t="str">
        <f t="shared" si="33"/>
        <v/>
      </c>
      <c r="AI215" t="str">
        <f t="shared" si="34"/>
        <v/>
      </c>
      <c r="AL215" t="str">
        <f t="shared" si="35"/>
        <v/>
      </c>
      <c r="AN215" t="str">
        <f t="shared" si="36"/>
        <v/>
      </c>
      <c r="AQ215" t="str">
        <f t="shared" si="37"/>
        <v/>
      </c>
      <c r="AR215" t="str">
        <f t="shared" si="38"/>
        <v/>
      </c>
      <c r="AS215" t="str">
        <f t="shared" si="39"/>
        <v/>
      </c>
      <c r="AT215" t="str">
        <f t="shared" si="40"/>
        <v/>
      </c>
      <c r="BG215" t="str">
        <f t="shared" si="41"/>
        <v/>
      </c>
      <c r="BH215" t="str">
        <f t="shared" si="42"/>
        <v/>
      </c>
      <c r="BL215" t="str">
        <f>IFERROR(INDEX(_names_lookup!$C:$C,MATCH(BK215,_names_lookup!$A:$A,0)),"")</f>
        <v/>
      </c>
      <c r="BM215" t="str">
        <f>IFERROR(INDEX(_names_lookup!$B:$B,MATCH(BK215,_names_lookup!$A:$A,0)),"")</f>
        <v/>
      </c>
      <c r="BS215" t="str">
        <f t="shared" si="43"/>
        <v/>
      </c>
    </row>
    <row r="216" spans="15:71" x14ac:dyDescent="0.2">
      <c r="O216" t="str">
        <f>IFERROR(INDEX(_courses_lookup!$C:$C,MATCH(K216&amp;L216,_courses_lookup!$E:$E,0)),"")</f>
        <v/>
      </c>
      <c r="P216" t="str">
        <f>IFERROR(INDEX(_courses_lookup!$D:$D,MATCH(K216&amp;L216,_courses_lookup!$E:$E,0)),"")</f>
        <v/>
      </c>
      <c r="AG216" t="str">
        <f t="shared" si="33"/>
        <v/>
      </c>
      <c r="AI216" t="str">
        <f t="shared" si="34"/>
        <v/>
      </c>
      <c r="AL216" t="str">
        <f t="shared" si="35"/>
        <v/>
      </c>
      <c r="AN216" t="str">
        <f t="shared" si="36"/>
        <v/>
      </c>
      <c r="AQ216" t="str">
        <f t="shared" si="37"/>
        <v/>
      </c>
      <c r="AR216" t="str">
        <f t="shared" si="38"/>
        <v/>
      </c>
      <c r="AS216" t="str">
        <f t="shared" si="39"/>
        <v/>
      </c>
      <c r="AT216" t="str">
        <f t="shared" si="40"/>
        <v/>
      </c>
      <c r="BG216" t="str">
        <f t="shared" si="41"/>
        <v/>
      </c>
      <c r="BH216" t="str">
        <f t="shared" si="42"/>
        <v/>
      </c>
      <c r="BL216" t="str">
        <f>IFERROR(INDEX(_names_lookup!$C:$C,MATCH(BK216,_names_lookup!$A:$A,0)),"")</f>
        <v/>
      </c>
      <c r="BM216" t="str">
        <f>IFERROR(INDEX(_names_lookup!$B:$B,MATCH(BK216,_names_lookup!$A:$A,0)),"")</f>
        <v/>
      </c>
      <c r="BS216" t="str">
        <f t="shared" si="43"/>
        <v/>
      </c>
    </row>
    <row r="217" spans="15:71" x14ac:dyDescent="0.2">
      <c r="O217" t="str">
        <f>IFERROR(INDEX(_courses_lookup!$C:$C,MATCH(K217&amp;L217,_courses_lookup!$E:$E,0)),"")</f>
        <v/>
      </c>
      <c r="P217" t="str">
        <f>IFERROR(INDEX(_courses_lookup!$D:$D,MATCH(K217&amp;L217,_courses_lookup!$E:$E,0)),"")</f>
        <v/>
      </c>
      <c r="AG217" t="str">
        <f t="shared" si="33"/>
        <v/>
      </c>
      <c r="AI217" t="str">
        <f t="shared" si="34"/>
        <v/>
      </c>
      <c r="AL217" t="str">
        <f t="shared" si="35"/>
        <v/>
      </c>
      <c r="AN217" t="str">
        <f t="shared" si="36"/>
        <v/>
      </c>
      <c r="AQ217" t="str">
        <f t="shared" si="37"/>
        <v/>
      </c>
      <c r="AR217" t="str">
        <f t="shared" si="38"/>
        <v/>
      </c>
      <c r="AS217" t="str">
        <f t="shared" si="39"/>
        <v/>
      </c>
      <c r="AT217" t="str">
        <f t="shared" si="40"/>
        <v/>
      </c>
      <c r="BG217" t="str">
        <f t="shared" si="41"/>
        <v/>
      </c>
      <c r="BH217" t="str">
        <f t="shared" si="42"/>
        <v/>
      </c>
      <c r="BL217" t="str">
        <f>IFERROR(INDEX(_names_lookup!$C:$C,MATCH(BK217,_names_lookup!$A:$A,0)),"")</f>
        <v/>
      </c>
      <c r="BM217" t="str">
        <f>IFERROR(INDEX(_names_lookup!$B:$B,MATCH(BK217,_names_lookup!$A:$A,0)),"")</f>
        <v/>
      </c>
      <c r="BS217" t="str">
        <f t="shared" si="43"/>
        <v/>
      </c>
    </row>
    <row r="218" spans="15:71" x14ac:dyDescent="0.2">
      <c r="O218" t="str">
        <f>IFERROR(INDEX(_courses_lookup!$C:$C,MATCH(K218&amp;L218,_courses_lookup!$E:$E,0)),"")</f>
        <v/>
      </c>
      <c r="P218" t="str">
        <f>IFERROR(INDEX(_courses_lookup!$D:$D,MATCH(K218&amp;L218,_courses_lookup!$E:$E,0)),"")</f>
        <v/>
      </c>
      <c r="AG218" t="str">
        <f t="shared" si="33"/>
        <v/>
      </c>
      <c r="AI218" t="str">
        <f t="shared" si="34"/>
        <v/>
      </c>
      <c r="AL218" t="str">
        <f t="shared" si="35"/>
        <v/>
      </c>
      <c r="AN218" t="str">
        <f t="shared" si="36"/>
        <v/>
      </c>
      <c r="AQ218" t="str">
        <f t="shared" si="37"/>
        <v/>
      </c>
      <c r="AR218" t="str">
        <f t="shared" si="38"/>
        <v/>
      </c>
      <c r="AS218" t="str">
        <f t="shared" si="39"/>
        <v/>
      </c>
      <c r="AT218" t="str">
        <f t="shared" si="40"/>
        <v/>
      </c>
      <c r="BG218" t="str">
        <f t="shared" si="41"/>
        <v/>
      </c>
      <c r="BH218" t="str">
        <f t="shared" si="42"/>
        <v/>
      </c>
      <c r="BL218" t="str">
        <f>IFERROR(INDEX(_names_lookup!$C:$C,MATCH(BK218,_names_lookup!$A:$A,0)),"")</f>
        <v/>
      </c>
      <c r="BM218" t="str">
        <f>IFERROR(INDEX(_names_lookup!$B:$B,MATCH(BK218,_names_lookup!$A:$A,0)),"")</f>
        <v/>
      </c>
      <c r="BS218" t="str">
        <f t="shared" si="43"/>
        <v/>
      </c>
    </row>
    <row r="219" spans="15:71" x14ac:dyDescent="0.2">
      <c r="O219" t="str">
        <f>IFERROR(INDEX(_courses_lookup!$C:$C,MATCH(K219&amp;L219,_courses_lookup!$E:$E,0)),"")</f>
        <v/>
      </c>
      <c r="P219" t="str">
        <f>IFERROR(INDEX(_courses_lookup!$D:$D,MATCH(K219&amp;L219,_courses_lookup!$E:$E,0)),"")</f>
        <v/>
      </c>
      <c r="AG219" t="str">
        <f t="shared" si="33"/>
        <v/>
      </c>
      <c r="AI219" t="str">
        <f t="shared" si="34"/>
        <v/>
      </c>
      <c r="AL219" t="str">
        <f t="shared" si="35"/>
        <v/>
      </c>
      <c r="AN219" t="str">
        <f t="shared" si="36"/>
        <v/>
      </c>
      <c r="AQ219" t="str">
        <f t="shared" si="37"/>
        <v/>
      </c>
      <c r="AR219" t="str">
        <f t="shared" si="38"/>
        <v/>
      </c>
      <c r="AS219" t="str">
        <f t="shared" si="39"/>
        <v/>
      </c>
      <c r="AT219" t="str">
        <f t="shared" si="40"/>
        <v/>
      </c>
      <c r="BG219" t="str">
        <f t="shared" si="41"/>
        <v/>
      </c>
      <c r="BH219" t="str">
        <f t="shared" si="42"/>
        <v/>
      </c>
      <c r="BL219" t="str">
        <f>IFERROR(INDEX(_names_lookup!$C:$C,MATCH(BK219,_names_lookup!$A:$A,0)),"")</f>
        <v/>
      </c>
      <c r="BM219" t="str">
        <f>IFERROR(INDEX(_names_lookup!$B:$B,MATCH(BK219,_names_lookup!$A:$A,0)),"")</f>
        <v/>
      </c>
      <c r="BS219" t="str">
        <f t="shared" si="43"/>
        <v/>
      </c>
    </row>
    <row r="220" spans="15:71" x14ac:dyDescent="0.2">
      <c r="O220" t="str">
        <f>IFERROR(INDEX(_courses_lookup!$C:$C,MATCH(K220&amp;L220,_courses_lookup!$E:$E,0)),"")</f>
        <v/>
      </c>
      <c r="P220" t="str">
        <f>IFERROR(INDEX(_courses_lookup!$D:$D,MATCH(K220&amp;L220,_courses_lookup!$E:$E,0)),"")</f>
        <v/>
      </c>
      <c r="AG220" t="str">
        <f t="shared" si="33"/>
        <v/>
      </c>
      <c r="AI220" t="str">
        <f t="shared" si="34"/>
        <v/>
      </c>
      <c r="AL220" t="str">
        <f t="shared" si="35"/>
        <v/>
      </c>
      <c r="AN220" t="str">
        <f t="shared" si="36"/>
        <v/>
      </c>
      <c r="AQ220" t="str">
        <f t="shared" si="37"/>
        <v/>
      </c>
      <c r="AR220" t="str">
        <f t="shared" si="38"/>
        <v/>
      </c>
      <c r="AS220" t="str">
        <f t="shared" si="39"/>
        <v/>
      </c>
      <c r="AT220" t="str">
        <f t="shared" si="40"/>
        <v/>
      </c>
      <c r="BG220" t="str">
        <f t="shared" si="41"/>
        <v/>
      </c>
      <c r="BH220" t="str">
        <f t="shared" si="42"/>
        <v/>
      </c>
      <c r="BL220" t="str">
        <f>IFERROR(INDEX(_names_lookup!$C:$C,MATCH(BK220,_names_lookup!$A:$A,0)),"")</f>
        <v/>
      </c>
      <c r="BM220" t="str">
        <f>IFERROR(INDEX(_names_lookup!$B:$B,MATCH(BK220,_names_lookup!$A:$A,0)),"")</f>
        <v/>
      </c>
      <c r="BS220" t="str">
        <f t="shared" si="43"/>
        <v/>
      </c>
    </row>
    <row r="221" spans="15:71" x14ac:dyDescent="0.2">
      <c r="O221" t="str">
        <f>IFERROR(INDEX(_courses_lookup!$C:$C,MATCH(K221&amp;L221,_courses_lookup!$E:$E,0)),"")</f>
        <v/>
      </c>
      <c r="P221" t="str">
        <f>IFERROR(INDEX(_courses_lookup!$D:$D,MATCH(K221&amp;L221,_courses_lookup!$E:$E,0)),"")</f>
        <v/>
      </c>
      <c r="AG221" t="str">
        <f t="shared" si="33"/>
        <v/>
      </c>
      <c r="AI221" t="str">
        <f t="shared" si="34"/>
        <v/>
      </c>
      <c r="AL221" t="str">
        <f t="shared" si="35"/>
        <v/>
      </c>
      <c r="AN221" t="str">
        <f t="shared" si="36"/>
        <v/>
      </c>
      <c r="AQ221" t="str">
        <f t="shared" si="37"/>
        <v/>
      </c>
      <c r="AR221" t="str">
        <f t="shared" si="38"/>
        <v/>
      </c>
      <c r="AS221" t="str">
        <f t="shared" si="39"/>
        <v/>
      </c>
      <c r="AT221" t="str">
        <f t="shared" si="40"/>
        <v/>
      </c>
      <c r="BG221" t="str">
        <f t="shared" si="41"/>
        <v/>
      </c>
      <c r="BH221" t="str">
        <f t="shared" si="42"/>
        <v/>
      </c>
      <c r="BL221" t="str">
        <f>IFERROR(INDEX(_names_lookup!$C:$C,MATCH(BK221,_names_lookup!$A:$A,0)),"")</f>
        <v/>
      </c>
      <c r="BM221" t="str">
        <f>IFERROR(INDEX(_names_lookup!$B:$B,MATCH(BK221,_names_lookup!$A:$A,0)),"")</f>
        <v/>
      </c>
      <c r="BS221" t="str">
        <f t="shared" si="43"/>
        <v/>
      </c>
    </row>
    <row r="222" spans="15:71" x14ac:dyDescent="0.2">
      <c r="O222" t="str">
        <f>IFERROR(INDEX(_courses_lookup!$C:$C,MATCH(K222&amp;L222,_courses_lookup!$E:$E,0)),"")</f>
        <v/>
      </c>
      <c r="P222" t="str">
        <f>IFERROR(INDEX(_courses_lookup!$D:$D,MATCH(K222&amp;L222,_courses_lookup!$E:$E,0)),"")</f>
        <v/>
      </c>
      <c r="AG222" t="str">
        <f t="shared" si="33"/>
        <v/>
      </c>
      <c r="AI222" t="str">
        <f t="shared" si="34"/>
        <v/>
      </c>
      <c r="AL222" t="str">
        <f t="shared" si="35"/>
        <v/>
      </c>
      <c r="AN222" t="str">
        <f t="shared" si="36"/>
        <v/>
      </c>
      <c r="AQ222" t="str">
        <f t="shared" si="37"/>
        <v/>
      </c>
      <c r="AR222" t="str">
        <f t="shared" si="38"/>
        <v/>
      </c>
      <c r="AS222" t="str">
        <f t="shared" si="39"/>
        <v/>
      </c>
      <c r="AT222" t="str">
        <f t="shared" si="40"/>
        <v/>
      </c>
      <c r="BG222" t="str">
        <f t="shared" si="41"/>
        <v/>
      </c>
      <c r="BH222" t="str">
        <f t="shared" si="42"/>
        <v/>
      </c>
      <c r="BL222" t="str">
        <f>IFERROR(INDEX(_names_lookup!$C:$C,MATCH(BK222,_names_lookup!$A:$A,0)),"")</f>
        <v/>
      </c>
      <c r="BM222" t="str">
        <f>IFERROR(INDEX(_names_lookup!$B:$B,MATCH(BK222,_names_lookup!$A:$A,0)),"")</f>
        <v/>
      </c>
      <c r="BS222" t="str">
        <f t="shared" si="43"/>
        <v/>
      </c>
    </row>
    <row r="223" spans="15:71" x14ac:dyDescent="0.2">
      <c r="O223" t="str">
        <f>IFERROR(INDEX(_courses_lookup!$C:$C,MATCH(K223&amp;L223,_courses_lookup!$E:$E,0)),"")</f>
        <v/>
      </c>
      <c r="P223" t="str">
        <f>IFERROR(INDEX(_courses_lookup!$D:$D,MATCH(K223&amp;L223,_courses_lookup!$E:$E,0)),"")</f>
        <v/>
      </c>
      <c r="AG223" t="str">
        <f t="shared" si="33"/>
        <v/>
      </c>
      <c r="AI223" t="str">
        <f t="shared" si="34"/>
        <v/>
      </c>
      <c r="AL223" t="str">
        <f t="shared" si="35"/>
        <v/>
      </c>
      <c r="AN223" t="str">
        <f t="shared" si="36"/>
        <v/>
      </c>
      <c r="AQ223" t="str">
        <f t="shared" si="37"/>
        <v/>
      </c>
      <c r="AR223" t="str">
        <f t="shared" si="38"/>
        <v/>
      </c>
      <c r="AS223" t="str">
        <f t="shared" si="39"/>
        <v/>
      </c>
      <c r="AT223" t="str">
        <f t="shared" si="40"/>
        <v/>
      </c>
      <c r="BG223" t="str">
        <f t="shared" si="41"/>
        <v/>
      </c>
      <c r="BH223" t="str">
        <f t="shared" si="42"/>
        <v/>
      </c>
      <c r="BL223" t="str">
        <f>IFERROR(INDEX(_names_lookup!$C:$C,MATCH(BK223,_names_lookup!$A:$A,0)),"")</f>
        <v/>
      </c>
      <c r="BM223" t="str">
        <f>IFERROR(INDEX(_names_lookup!$B:$B,MATCH(BK223,_names_lookup!$A:$A,0)),"")</f>
        <v/>
      </c>
      <c r="BS223" t="str">
        <f t="shared" si="43"/>
        <v/>
      </c>
    </row>
    <row r="224" spans="15:71" x14ac:dyDescent="0.2">
      <c r="O224" t="str">
        <f>IFERROR(INDEX(_courses_lookup!$C:$C,MATCH(K224&amp;L224,_courses_lookup!$E:$E,0)),"")</f>
        <v/>
      </c>
      <c r="P224" t="str">
        <f>IFERROR(INDEX(_courses_lookup!$D:$D,MATCH(K224&amp;L224,_courses_lookup!$E:$E,0)),"")</f>
        <v/>
      </c>
      <c r="AG224" t="str">
        <f t="shared" si="33"/>
        <v/>
      </c>
      <c r="AI224" t="str">
        <f t="shared" si="34"/>
        <v/>
      </c>
      <c r="AL224" t="str">
        <f t="shared" si="35"/>
        <v/>
      </c>
      <c r="AN224" t="str">
        <f t="shared" si="36"/>
        <v/>
      </c>
      <c r="AQ224" t="str">
        <f t="shared" si="37"/>
        <v/>
      </c>
      <c r="AR224" t="str">
        <f t="shared" si="38"/>
        <v/>
      </c>
      <c r="AS224" t="str">
        <f t="shared" si="39"/>
        <v/>
      </c>
      <c r="AT224" t="str">
        <f t="shared" si="40"/>
        <v/>
      </c>
      <c r="BG224" t="str">
        <f t="shared" si="41"/>
        <v/>
      </c>
      <c r="BH224" t="str">
        <f t="shared" si="42"/>
        <v/>
      </c>
      <c r="BL224" t="str">
        <f>IFERROR(INDEX(_names_lookup!$C:$C,MATCH(BK224,_names_lookup!$A:$A,0)),"")</f>
        <v/>
      </c>
      <c r="BM224" t="str">
        <f>IFERROR(INDEX(_names_lookup!$B:$B,MATCH(BK224,_names_lookup!$A:$A,0)),"")</f>
        <v/>
      </c>
      <c r="BS224" t="str">
        <f t="shared" si="43"/>
        <v/>
      </c>
    </row>
    <row r="225" spans="15:71" x14ac:dyDescent="0.2">
      <c r="O225" t="str">
        <f>IFERROR(INDEX(_courses_lookup!$C:$C,MATCH(K225&amp;L225,_courses_lookup!$E:$E,0)),"")</f>
        <v/>
      </c>
      <c r="P225" t="str">
        <f>IFERROR(INDEX(_courses_lookup!$D:$D,MATCH(K225&amp;L225,_courses_lookup!$E:$E,0)),"")</f>
        <v/>
      </c>
      <c r="AG225" t="str">
        <f t="shared" si="33"/>
        <v/>
      </c>
      <c r="AI225" t="str">
        <f t="shared" si="34"/>
        <v/>
      </c>
      <c r="AL225" t="str">
        <f t="shared" si="35"/>
        <v/>
      </c>
      <c r="AN225" t="str">
        <f t="shared" si="36"/>
        <v/>
      </c>
      <c r="AQ225" t="str">
        <f t="shared" si="37"/>
        <v/>
      </c>
      <c r="AR225" t="str">
        <f t="shared" si="38"/>
        <v/>
      </c>
      <c r="AS225" t="str">
        <f t="shared" si="39"/>
        <v/>
      </c>
      <c r="AT225" t="str">
        <f t="shared" si="40"/>
        <v/>
      </c>
      <c r="BG225" t="str">
        <f t="shared" si="41"/>
        <v/>
      </c>
      <c r="BH225" t="str">
        <f t="shared" si="42"/>
        <v/>
      </c>
      <c r="BL225" t="str">
        <f>IFERROR(INDEX(_names_lookup!$C:$C,MATCH(BK225,_names_lookup!$A:$A,0)),"")</f>
        <v/>
      </c>
      <c r="BM225" t="str">
        <f>IFERROR(INDEX(_names_lookup!$B:$B,MATCH(BK225,_names_lookup!$A:$A,0)),"")</f>
        <v/>
      </c>
      <c r="BS225" t="str">
        <f t="shared" si="43"/>
        <v/>
      </c>
    </row>
    <row r="226" spans="15:71" x14ac:dyDescent="0.2">
      <c r="O226" t="str">
        <f>IFERROR(INDEX(_courses_lookup!$C:$C,MATCH(K226&amp;L226,_courses_lookup!$E:$E,0)),"")</f>
        <v/>
      </c>
      <c r="P226" t="str">
        <f>IFERROR(INDEX(_courses_lookup!$D:$D,MATCH(K226&amp;L226,_courses_lookup!$E:$E,0)),"")</f>
        <v/>
      </c>
      <c r="AG226" t="str">
        <f t="shared" si="33"/>
        <v/>
      </c>
      <c r="AI226" t="str">
        <f t="shared" si="34"/>
        <v/>
      </c>
      <c r="AL226" t="str">
        <f t="shared" si="35"/>
        <v/>
      </c>
      <c r="AN226" t="str">
        <f t="shared" si="36"/>
        <v/>
      </c>
      <c r="AQ226" t="str">
        <f t="shared" si="37"/>
        <v/>
      </c>
      <c r="AR226" t="str">
        <f t="shared" si="38"/>
        <v/>
      </c>
      <c r="AS226" t="str">
        <f t="shared" si="39"/>
        <v/>
      </c>
      <c r="AT226" t="str">
        <f t="shared" si="40"/>
        <v/>
      </c>
      <c r="BG226" t="str">
        <f t="shared" si="41"/>
        <v/>
      </c>
      <c r="BH226" t="str">
        <f t="shared" si="42"/>
        <v/>
      </c>
      <c r="BL226" t="str">
        <f>IFERROR(INDEX(_names_lookup!$C:$C,MATCH(BK226,_names_lookup!$A:$A,0)),"")</f>
        <v/>
      </c>
      <c r="BM226" t="str">
        <f>IFERROR(INDEX(_names_lookup!$B:$B,MATCH(BK226,_names_lookup!$A:$A,0)),"")</f>
        <v/>
      </c>
      <c r="BS226" t="str">
        <f t="shared" si="43"/>
        <v/>
      </c>
    </row>
    <row r="227" spans="15:71" x14ac:dyDescent="0.2">
      <c r="O227" t="str">
        <f>IFERROR(INDEX(_courses_lookup!$C:$C,MATCH(K227&amp;L227,_courses_lookup!$E:$E,0)),"")</f>
        <v/>
      </c>
      <c r="P227" t="str">
        <f>IFERROR(INDEX(_courses_lookup!$D:$D,MATCH(K227&amp;L227,_courses_lookup!$E:$E,0)),"")</f>
        <v/>
      </c>
      <c r="AG227" t="str">
        <f t="shared" si="33"/>
        <v/>
      </c>
      <c r="AI227" t="str">
        <f t="shared" si="34"/>
        <v/>
      </c>
      <c r="AL227" t="str">
        <f t="shared" si="35"/>
        <v/>
      </c>
      <c r="AN227" t="str">
        <f t="shared" si="36"/>
        <v/>
      </c>
      <c r="AQ227" t="str">
        <f t="shared" si="37"/>
        <v/>
      </c>
      <c r="AR227" t="str">
        <f t="shared" si="38"/>
        <v/>
      </c>
      <c r="AS227" t="str">
        <f t="shared" si="39"/>
        <v/>
      </c>
      <c r="AT227" t="str">
        <f t="shared" si="40"/>
        <v/>
      </c>
      <c r="BG227" t="str">
        <f t="shared" si="41"/>
        <v/>
      </c>
      <c r="BH227" t="str">
        <f t="shared" si="42"/>
        <v/>
      </c>
      <c r="BL227" t="str">
        <f>IFERROR(INDEX(_names_lookup!$C:$C,MATCH(BK227,_names_lookup!$A:$A,0)),"")</f>
        <v/>
      </c>
      <c r="BM227" t="str">
        <f>IFERROR(INDEX(_names_lookup!$B:$B,MATCH(BK227,_names_lookup!$A:$A,0)),"")</f>
        <v/>
      </c>
      <c r="BS227" t="str">
        <f t="shared" si="43"/>
        <v/>
      </c>
    </row>
    <row r="228" spans="15:71" x14ac:dyDescent="0.2">
      <c r="O228" t="str">
        <f>IFERROR(INDEX(_courses_lookup!$C:$C,MATCH(K228&amp;L228,_courses_lookup!$E:$E,0)),"")</f>
        <v/>
      </c>
      <c r="P228" t="str">
        <f>IFERROR(INDEX(_courses_lookup!$D:$D,MATCH(K228&amp;L228,_courses_lookup!$E:$E,0)),"")</f>
        <v/>
      </c>
      <c r="AG228" t="str">
        <f t="shared" si="33"/>
        <v/>
      </c>
      <c r="AI228" t="str">
        <f t="shared" si="34"/>
        <v/>
      </c>
      <c r="AL228" t="str">
        <f t="shared" si="35"/>
        <v/>
      </c>
      <c r="AN228" t="str">
        <f t="shared" si="36"/>
        <v/>
      </c>
      <c r="AQ228" t="str">
        <f t="shared" si="37"/>
        <v/>
      </c>
      <c r="AR228" t="str">
        <f t="shared" si="38"/>
        <v/>
      </c>
      <c r="AS228" t="str">
        <f t="shared" si="39"/>
        <v/>
      </c>
      <c r="AT228" t="str">
        <f t="shared" si="40"/>
        <v/>
      </c>
      <c r="BG228" t="str">
        <f t="shared" si="41"/>
        <v/>
      </c>
      <c r="BH228" t="str">
        <f t="shared" si="42"/>
        <v/>
      </c>
      <c r="BL228" t="str">
        <f>IFERROR(INDEX(_names_lookup!$C:$C,MATCH(BK228,_names_lookup!$A:$A,0)),"")</f>
        <v/>
      </c>
      <c r="BM228" t="str">
        <f>IFERROR(INDEX(_names_lookup!$B:$B,MATCH(BK228,_names_lookup!$A:$A,0)),"")</f>
        <v/>
      </c>
      <c r="BS228" t="str">
        <f t="shared" si="43"/>
        <v/>
      </c>
    </row>
    <row r="229" spans="15:71" x14ac:dyDescent="0.2">
      <c r="O229" t="str">
        <f>IFERROR(INDEX(_courses_lookup!$C:$C,MATCH(K229&amp;L229,_courses_lookup!$E:$E,0)),"")</f>
        <v/>
      </c>
      <c r="P229" t="str">
        <f>IFERROR(INDEX(_courses_lookup!$D:$D,MATCH(K229&amp;L229,_courses_lookup!$E:$E,0)),"")</f>
        <v/>
      </c>
      <c r="AG229" t="str">
        <f t="shared" si="33"/>
        <v/>
      </c>
      <c r="AI229" t="str">
        <f t="shared" si="34"/>
        <v/>
      </c>
      <c r="AL229" t="str">
        <f t="shared" si="35"/>
        <v/>
      </c>
      <c r="AN229" t="str">
        <f t="shared" si="36"/>
        <v/>
      </c>
      <c r="AQ229" t="str">
        <f t="shared" si="37"/>
        <v/>
      </c>
      <c r="AR229" t="str">
        <f t="shared" si="38"/>
        <v/>
      </c>
      <c r="AS229" t="str">
        <f t="shared" si="39"/>
        <v/>
      </c>
      <c r="AT229" t="str">
        <f t="shared" si="40"/>
        <v/>
      </c>
      <c r="BG229" t="str">
        <f t="shared" si="41"/>
        <v/>
      </c>
      <c r="BH229" t="str">
        <f t="shared" si="42"/>
        <v/>
      </c>
      <c r="BL229" t="str">
        <f>IFERROR(INDEX(_names_lookup!$C:$C,MATCH(BK229,_names_lookup!$A:$A,0)),"")</f>
        <v/>
      </c>
      <c r="BM229" t="str">
        <f>IFERROR(INDEX(_names_lookup!$B:$B,MATCH(BK229,_names_lookup!$A:$A,0)),"")</f>
        <v/>
      </c>
      <c r="BS229" t="str">
        <f t="shared" si="43"/>
        <v/>
      </c>
    </row>
    <row r="230" spans="15:71" x14ac:dyDescent="0.2">
      <c r="O230" t="str">
        <f>IFERROR(INDEX(_courses_lookup!$C:$C,MATCH(K230&amp;L230,_courses_lookup!$E:$E,0)),"")</f>
        <v/>
      </c>
      <c r="P230" t="str">
        <f>IFERROR(INDEX(_courses_lookup!$D:$D,MATCH(K230&amp;L230,_courses_lookup!$E:$E,0)),"")</f>
        <v/>
      </c>
      <c r="AG230" t="str">
        <f t="shared" si="33"/>
        <v/>
      </c>
      <c r="AI230" t="str">
        <f t="shared" si="34"/>
        <v/>
      </c>
      <c r="AL230" t="str">
        <f t="shared" si="35"/>
        <v/>
      </c>
      <c r="AN230" t="str">
        <f t="shared" si="36"/>
        <v/>
      </c>
      <c r="AQ230" t="str">
        <f t="shared" si="37"/>
        <v/>
      </c>
      <c r="AR230" t="str">
        <f t="shared" si="38"/>
        <v/>
      </c>
      <c r="AS230" t="str">
        <f t="shared" si="39"/>
        <v/>
      </c>
      <c r="AT230" t="str">
        <f t="shared" si="40"/>
        <v/>
      </c>
      <c r="BG230" t="str">
        <f t="shared" si="41"/>
        <v/>
      </c>
      <c r="BH230" t="str">
        <f t="shared" si="42"/>
        <v/>
      </c>
      <c r="BL230" t="str">
        <f>IFERROR(INDEX(_names_lookup!$C:$C,MATCH(BK230,_names_lookup!$A:$A,0)),"")</f>
        <v/>
      </c>
      <c r="BM230" t="str">
        <f>IFERROR(INDEX(_names_lookup!$B:$B,MATCH(BK230,_names_lookup!$A:$A,0)),"")</f>
        <v/>
      </c>
      <c r="BS230" t="str">
        <f t="shared" si="43"/>
        <v/>
      </c>
    </row>
    <row r="231" spans="15:71" x14ac:dyDescent="0.2">
      <c r="O231" t="str">
        <f>IFERROR(INDEX(_courses_lookup!$C:$C,MATCH(K231&amp;L231,_courses_lookup!$E:$E,0)),"")</f>
        <v/>
      </c>
      <c r="P231" t="str">
        <f>IFERROR(INDEX(_courses_lookup!$D:$D,MATCH(K231&amp;L231,_courses_lookup!$E:$E,0)),"")</f>
        <v/>
      </c>
      <c r="AG231" t="str">
        <f t="shared" si="33"/>
        <v/>
      </c>
      <c r="AI231" t="str">
        <f t="shared" si="34"/>
        <v/>
      </c>
      <c r="AL231" t="str">
        <f t="shared" si="35"/>
        <v/>
      </c>
      <c r="AN231" t="str">
        <f t="shared" si="36"/>
        <v/>
      </c>
      <c r="AQ231" t="str">
        <f t="shared" si="37"/>
        <v/>
      </c>
      <c r="AR231" t="str">
        <f t="shared" si="38"/>
        <v/>
      </c>
      <c r="AS231" t="str">
        <f t="shared" si="39"/>
        <v/>
      </c>
      <c r="AT231" t="str">
        <f t="shared" si="40"/>
        <v/>
      </c>
      <c r="BG231" t="str">
        <f t="shared" si="41"/>
        <v/>
      </c>
      <c r="BH231" t="str">
        <f t="shared" si="42"/>
        <v/>
      </c>
      <c r="BL231" t="str">
        <f>IFERROR(INDEX(_names_lookup!$C:$C,MATCH(BK231,_names_lookup!$A:$A,0)),"")</f>
        <v/>
      </c>
      <c r="BM231" t="str">
        <f>IFERROR(INDEX(_names_lookup!$B:$B,MATCH(BK231,_names_lookup!$A:$A,0)),"")</f>
        <v/>
      </c>
      <c r="BS231" t="str">
        <f t="shared" si="43"/>
        <v/>
      </c>
    </row>
    <row r="232" spans="15:71" x14ac:dyDescent="0.2">
      <c r="O232" t="str">
        <f>IFERROR(INDEX(_courses_lookup!$C:$C,MATCH(K232&amp;L232,_courses_lookup!$E:$E,0)),"")</f>
        <v/>
      </c>
      <c r="P232" t="str">
        <f>IFERROR(INDEX(_courses_lookup!$D:$D,MATCH(K232&amp;L232,_courses_lookup!$E:$E,0)),"")</f>
        <v/>
      </c>
      <c r="AG232" t="str">
        <f t="shared" si="33"/>
        <v/>
      </c>
      <c r="AI232" t="str">
        <f t="shared" si="34"/>
        <v/>
      </c>
      <c r="AL232" t="str">
        <f t="shared" si="35"/>
        <v/>
      </c>
      <c r="AN232" t="str">
        <f t="shared" si="36"/>
        <v/>
      </c>
      <c r="AQ232" t="str">
        <f t="shared" si="37"/>
        <v/>
      </c>
      <c r="AR232" t="str">
        <f t="shared" si="38"/>
        <v/>
      </c>
      <c r="AS232" t="str">
        <f t="shared" si="39"/>
        <v/>
      </c>
      <c r="AT232" t="str">
        <f t="shared" si="40"/>
        <v/>
      </c>
      <c r="BG232" t="str">
        <f t="shared" si="41"/>
        <v/>
      </c>
      <c r="BH232" t="str">
        <f t="shared" si="42"/>
        <v/>
      </c>
      <c r="BL232" t="str">
        <f>IFERROR(INDEX(_names_lookup!$C:$C,MATCH(BK232,_names_lookup!$A:$A,0)),"")</f>
        <v/>
      </c>
      <c r="BM232" t="str">
        <f>IFERROR(INDEX(_names_lookup!$B:$B,MATCH(BK232,_names_lookup!$A:$A,0)),"")</f>
        <v/>
      </c>
      <c r="BS232" t="str">
        <f t="shared" si="43"/>
        <v/>
      </c>
    </row>
    <row r="233" spans="15:71" x14ac:dyDescent="0.2">
      <c r="O233" t="str">
        <f>IFERROR(INDEX(_courses_lookup!$C:$C,MATCH(K233&amp;L233,_courses_lookup!$E:$E,0)),"")</f>
        <v/>
      </c>
      <c r="P233" t="str">
        <f>IFERROR(INDEX(_courses_lookup!$D:$D,MATCH(K233&amp;L233,_courses_lookup!$E:$E,0)),"")</f>
        <v/>
      </c>
      <c r="AG233" t="str">
        <f t="shared" si="33"/>
        <v/>
      </c>
      <c r="AI233" t="str">
        <f t="shared" si="34"/>
        <v/>
      </c>
      <c r="AL233" t="str">
        <f t="shared" si="35"/>
        <v/>
      </c>
      <c r="AN233" t="str">
        <f t="shared" si="36"/>
        <v/>
      </c>
      <c r="AQ233" t="str">
        <f t="shared" si="37"/>
        <v/>
      </c>
      <c r="AR233" t="str">
        <f t="shared" si="38"/>
        <v/>
      </c>
      <c r="AS233" t="str">
        <f t="shared" si="39"/>
        <v/>
      </c>
      <c r="AT233" t="str">
        <f t="shared" si="40"/>
        <v/>
      </c>
      <c r="BG233" t="str">
        <f t="shared" si="41"/>
        <v/>
      </c>
      <c r="BH233" t="str">
        <f t="shared" si="42"/>
        <v/>
      </c>
      <c r="BL233" t="str">
        <f>IFERROR(INDEX(_names_lookup!$C:$C,MATCH(BK233,_names_lookup!$A:$A,0)),"")</f>
        <v/>
      </c>
      <c r="BM233" t="str">
        <f>IFERROR(INDEX(_names_lookup!$B:$B,MATCH(BK233,_names_lookup!$A:$A,0)),"")</f>
        <v/>
      </c>
      <c r="BS233" t="str">
        <f t="shared" si="43"/>
        <v/>
      </c>
    </row>
    <row r="234" spans="15:71" x14ac:dyDescent="0.2">
      <c r="O234" t="str">
        <f>IFERROR(INDEX(_courses_lookup!$C:$C,MATCH(K234&amp;L234,_courses_lookup!$E:$E,0)),"")</f>
        <v/>
      </c>
      <c r="P234" t="str">
        <f>IFERROR(INDEX(_courses_lookup!$D:$D,MATCH(K234&amp;L234,_courses_lookup!$E:$E,0)),"")</f>
        <v/>
      </c>
      <c r="AG234" t="str">
        <f t="shared" si="33"/>
        <v/>
      </c>
      <c r="AI234" t="str">
        <f t="shared" si="34"/>
        <v/>
      </c>
      <c r="AL234" t="str">
        <f t="shared" si="35"/>
        <v/>
      </c>
      <c r="AN234" t="str">
        <f t="shared" si="36"/>
        <v/>
      </c>
      <c r="AQ234" t="str">
        <f t="shared" si="37"/>
        <v/>
      </c>
      <c r="AR234" t="str">
        <f t="shared" si="38"/>
        <v/>
      </c>
      <c r="AS234" t="str">
        <f t="shared" si="39"/>
        <v/>
      </c>
      <c r="AT234" t="str">
        <f t="shared" si="40"/>
        <v/>
      </c>
      <c r="BG234" t="str">
        <f t="shared" si="41"/>
        <v/>
      </c>
      <c r="BH234" t="str">
        <f t="shared" si="42"/>
        <v/>
      </c>
      <c r="BL234" t="str">
        <f>IFERROR(INDEX(_names_lookup!$C:$C,MATCH(BK234,_names_lookup!$A:$A,0)),"")</f>
        <v/>
      </c>
      <c r="BM234" t="str">
        <f>IFERROR(INDEX(_names_lookup!$B:$B,MATCH(BK234,_names_lookup!$A:$A,0)),"")</f>
        <v/>
      </c>
      <c r="BS234" t="str">
        <f t="shared" si="43"/>
        <v/>
      </c>
    </row>
    <row r="235" spans="15:71" x14ac:dyDescent="0.2">
      <c r="O235" t="str">
        <f>IFERROR(INDEX(_courses_lookup!$C:$C,MATCH(K235&amp;L235,_courses_lookup!$E:$E,0)),"")</f>
        <v/>
      </c>
      <c r="P235" t="str">
        <f>IFERROR(INDEX(_courses_lookup!$D:$D,MATCH(K235&amp;L235,_courses_lookup!$E:$E,0)),"")</f>
        <v/>
      </c>
      <c r="AG235" t="str">
        <f t="shared" si="33"/>
        <v/>
      </c>
      <c r="AI235" t="str">
        <f t="shared" si="34"/>
        <v/>
      </c>
      <c r="AL235" t="str">
        <f t="shared" si="35"/>
        <v/>
      </c>
      <c r="AN235" t="str">
        <f t="shared" si="36"/>
        <v/>
      </c>
      <c r="AQ235" t="str">
        <f t="shared" si="37"/>
        <v/>
      </c>
      <c r="AR235" t="str">
        <f t="shared" si="38"/>
        <v/>
      </c>
      <c r="AS235" t="str">
        <f t="shared" si="39"/>
        <v/>
      </c>
      <c r="AT235" t="str">
        <f t="shared" si="40"/>
        <v/>
      </c>
      <c r="BG235" t="str">
        <f t="shared" si="41"/>
        <v/>
      </c>
      <c r="BH235" t="str">
        <f t="shared" si="42"/>
        <v/>
      </c>
      <c r="BL235" t="str">
        <f>IFERROR(INDEX(_names_lookup!$C:$C,MATCH(BK235,_names_lookup!$A:$A,0)),"")</f>
        <v/>
      </c>
      <c r="BM235" t="str">
        <f>IFERROR(INDEX(_names_lookup!$B:$B,MATCH(BK235,_names_lookup!$A:$A,0)),"")</f>
        <v/>
      </c>
      <c r="BS235" t="str">
        <f t="shared" si="43"/>
        <v/>
      </c>
    </row>
    <row r="236" spans="15:71" x14ac:dyDescent="0.2">
      <c r="O236" t="str">
        <f>IFERROR(INDEX(_courses_lookup!$C:$C,MATCH(K236&amp;L236,_courses_lookup!$E:$E,0)),"")</f>
        <v/>
      </c>
      <c r="P236" t="str">
        <f>IFERROR(INDEX(_courses_lookup!$D:$D,MATCH(K236&amp;L236,_courses_lookup!$E:$E,0)),"")</f>
        <v/>
      </c>
      <c r="AG236" t="str">
        <f t="shared" si="33"/>
        <v/>
      </c>
      <c r="AI236" t="str">
        <f t="shared" si="34"/>
        <v/>
      </c>
      <c r="AL236" t="str">
        <f t="shared" si="35"/>
        <v/>
      </c>
      <c r="AN236" t="str">
        <f t="shared" si="36"/>
        <v/>
      </c>
      <c r="AQ236" t="str">
        <f t="shared" si="37"/>
        <v/>
      </c>
      <c r="AR236" t="str">
        <f t="shared" si="38"/>
        <v/>
      </c>
      <c r="AS236" t="str">
        <f t="shared" si="39"/>
        <v/>
      </c>
      <c r="AT236" t="str">
        <f t="shared" si="40"/>
        <v/>
      </c>
      <c r="BG236" t="str">
        <f t="shared" si="41"/>
        <v/>
      </c>
      <c r="BH236" t="str">
        <f t="shared" si="42"/>
        <v/>
      </c>
      <c r="BL236" t="str">
        <f>IFERROR(INDEX(_names_lookup!$C:$C,MATCH(BK236,_names_lookup!$A:$A,0)),"")</f>
        <v/>
      </c>
      <c r="BM236" t="str">
        <f>IFERROR(INDEX(_names_lookup!$B:$B,MATCH(BK236,_names_lookup!$A:$A,0)),"")</f>
        <v/>
      </c>
      <c r="BS236" t="str">
        <f t="shared" si="43"/>
        <v/>
      </c>
    </row>
    <row r="237" spans="15:71" x14ac:dyDescent="0.2">
      <c r="O237" t="str">
        <f>IFERROR(INDEX(_courses_lookup!$C:$C,MATCH(K237&amp;L237,_courses_lookup!$E:$E,0)),"")</f>
        <v/>
      </c>
      <c r="P237" t="str">
        <f>IFERROR(INDEX(_courses_lookup!$D:$D,MATCH(K237&amp;L237,_courses_lookup!$E:$E,0)),"")</f>
        <v/>
      </c>
      <c r="AG237" t="str">
        <f t="shared" si="33"/>
        <v/>
      </c>
      <c r="AI237" t="str">
        <f t="shared" si="34"/>
        <v/>
      </c>
      <c r="AL237" t="str">
        <f t="shared" si="35"/>
        <v/>
      </c>
      <c r="AN237" t="str">
        <f t="shared" si="36"/>
        <v/>
      </c>
      <c r="AQ237" t="str">
        <f t="shared" si="37"/>
        <v/>
      </c>
      <c r="AR237" t="str">
        <f t="shared" si="38"/>
        <v/>
      </c>
      <c r="AS237" t="str">
        <f t="shared" si="39"/>
        <v/>
      </c>
      <c r="AT237" t="str">
        <f t="shared" si="40"/>
        <v/>
      </c>
      <c r="BG237" t="str">
        <f t="shared" si="41"/>
        <v/>
      </c>
      <c r="BH237" t="str">
        <f t="shared" si="42"/>
        <v/>
      </c>
      <c r="BL237" t="str">
        <f>IFERROR(INDEX(_names_lookup!$C:$C,MATCH(BK237,_names_lookup!$A:$A,0)),"")</f>
        <v/>
      </c>
      <c r="BM237" t="str">
        <f>IFERROR(INDEX(_names_lookup!$B:$B,MATCH(BK237,_names_lookup!$A:$A,0)),"")</f>
        <v/>
      </c>
      <c r="BS237" t="str">
        <f t="shared" si="43"/>
        <v/>
      </c>
    </row>
    <row r="238" spans="15:71" x14ac:dyDescent="0.2">
      <c r="O238" t="str">
        <f>IFERROR(INDEX(_courses_lookup!$C:$C,MATCH(K238&amp;L238,_courses_lookup!$E:$E,0)),"")</f>
        <v/>
      </c>
      <c r="P238" t="str">
        <f>IFERROR(INDEX(_courses_lookup!$D:$D,MATCH(K238&amp;L238,_courses_lookup!$E:$E,0)),"")</f>
        <v/>
      </c>
      <c r="AG238" t="str">
        <f t="shared" si="33"/>
        <v/>
      </c>
      <c r="AI238" t="str">
        <f t="shared" si="34"/>
        <v/>
      </c>
      <c r="AL238" t="str">
        <f t="shared" si="35"/>
        <v/>
      </c>
      <c r="AN238" t="str">
        <f t="shared" si="36"/>
        <v/>
      </c>
      <c r="AQ238" t="str">
        <f t="shared" si="37"/>
        <v/>
      </c>
      <c r="AR238" t="str">
        <f t="shared" si="38"/>
        <v/>
      </c>
      <c r="AS238" t="str">
        <f t="shared" si="39"/>
        <v/>
      </c>
      <c r="AT238" t="str">
        <f t="shared" si="40"/>
        <v/>
      </c>
      <c r="BG238" t="str">
        <f t="shared" si="41"/>
        <v/>
      </c>
      <c r="BH238" t="str">
        <f t="shared" si="42"/>
        <v/>
      </c>
      <c r="BL238" t="str">
        <f>IFERROR(INDEX(_names_lookup!$C:$C,MATCH(BK238,_names_lookup!$A:$A,0)),"")</f>
        <v/>
      </c>
      <c r="BM238" t="str">
        <f>IFERROR(INDEX(_names_lookup!$B:$B,MATCH(BK238,_names_lookup!$A:$A,0)),"")</f>
        <v/>
      </c>
      <c r="BS238" t="str">
        <f t="shared" si="43"/>
        <v/>
      </c>
    </row>
    <row r="239" spans="15:71" x14ac:dyDescent="0.2">
      <c r="O239" t="str">
        <f>IFERROR(INDEX(_courses_lookup!$C:$C,MATCH(K239&amp;L239,_courses_lookup!$E:$E,0)),"")</f>
        <v/>
      </c>
      <c r="P239" t="str">
        <f>IFERROR(INDEX(_courses_lookup!$D:$D,MATCH(K239&amp;L239,_courses_lookup!$E:$E,0)),"")</f>
        <v/>
      </c>
      <c r="AG239" t="str">
        <f t="shared" si="33"/>
        <v/>
      </c>
      <c r="AI239" t="str">
        <f t="shared" si="34"/>
        <v/>
      </c>
      <c r="AL239" t="str">
        <f t="shared" si="35"/>
        <v/>
      </c>
      <c r="AN239" t="str">
        <f t="shared" si="36"/>
        <v/>
      </c>
      <c r="AQ239" t="str">
        <f t="shared" si="37"/>
        <v/>
      </c>
      <c r="AR239" t="str">
        <f t="shared" si="38"/>
        <v/>
      </c>
      <c r="AS239" t="str">
        <f t="shared" si="39"/>
        <v/>
      </c>
      <c r="AT239" t="str">
        <f t="shared" si="40"/>
        <v/>
      </c>
      <c r="BG239" t="str">
        <f t="shared" si="41"/>
        <v/>
      </c>
      <c r="BH239" t="str">
        <f t="shared" si="42"/>
        <v/>
      </c>
      <c r="BL239" t="str">
        <f>IFERROR(INDEX(_names_lookup!$C:$C,MATCH(BK239,_names_lookup!$A:$A,0)),"")</f>
        <v/>
      </c>
      <c r="BM239" t="str">
        <f>IFERROR(INDEX(_names_lookup!$B:$B,MATCH(BK239,_names_lookup!$A:$A,0)),"")</f>
        <v/>
      </c>
      <c r="BS239" t="str">
        <f t="shared" si="43"/>
        <v/>
      </c>
    </row>
    <row r="240" spans="15:71" x14ac:dyDescent="0.2">
      <c r="O240" t="str">
        <f>IFERROR(INDEX(_courses_lookup!$C:$C,MATCH(K240&amp;L240,_courses_lookup!$E:$E,0)),"")</f>
        <v/>
      </c>
      <c r="P240" t="str">
        <f>IFERROR(INDEX(_courses_lookup!$D:$D,MATCH(K240&amp;L240,_courses_lookup!$E:$E,0)),"")</f>
        <v/>
      </c>
      <c r="AG240" t="str">
        <f t="shared" si="33"/>
        <v/>
      </c>
      <c r="AI240" t="str">
        <f t="shared" si="34"/>
        <v/>
      </c>
      <c r="AL240" t="str">
        <f t="shared" si="35"/>
        <v/>
      </c>
      <c r="AN240" t="str">
        <f t="shared" si="36"/>
        <v/>
      </c>
      <c r="AQ240" t="str">
        <f t="shared" si="37"/>
        <v/>
      </c>
      <c r="AR240" t="str">
        <f t="shared" si="38"/>
        <v/>
      </c>
      <c r="AS240" t="str">
        <f t="shared" si="39"/>
        <v/>
      </c>
      <c r="AT240" t="str">
        <f t="shared" si="40"/>
        <v/>
      </c>
      <c r="BG240" t="str">
        <f t="shared" si="41"/>
        <v/>
      </c>
      <c r="BH240" t="str">
        <f t="shared" si="42"/>
        <v/>
      </c>
      <c r="BL240" t="str">
        <f>IFERROR(INDEX(_names_lookup!$C:$C,MATCH(BK240,_names_lookup!$A:$A,0)),"")</f>
        <v/>
      </c>
      <c r="BM240" t="str">
        <f>IFERROR(INDEX(_names_lookup!$B:$B,MATCH(BK240,_names_lookup!$A:$A,0)),"")</f>
        <v/>
      </c>
      <c r="BS240" t="str">
        <f t="shared" si="43"/>
        <v/>
      </c>
    </row>
    <row r="241" spans="15:71" x14ac:dyDescent="0.2">
      <c r="O241" t="str">
        <f>IFERROR(INDEX(_courses_lookup!$C:$C,MATCH(K241&amp;L241,_courses_lookup!$E:$E,0)),"")</f>
        <v/>
      </c>
      <c r="P241" t="str">
        <f>IFERROR(INDEX(_courses_lookup!$D:$D,MATCH(K241&amp;L241,_courses_lookup!$E:$E,0)),"")</f>
        <v/>
      </c>
      <c r="AG241" t="str">
        <f t="shared" si="33"/>
        <v/>
      </c>
      <c r="AI241" t="str">
        <f t="shared" si="34"/>
        <v/>
      </c>
      <c r="AL241" t="str">
        <f t="shared" si="35"/>
        <v/>
      </c>
      <c r="AN241" t="str">
        <f t="shared" si="36"/>
        <v/>
      </c>
      <c r="AQ241" t="str">
        <f t="shared" si="37"/>
        <v/>
      </c>
      <c r="AR241" t="str">
        <f t="shared" si="38"/>
        <v/>
      </c>
      <c r="AS241" t="str">
        <f t="shared" si="39"/>
        <v/>
      </c>
      <c r="AT241" t="str">
        <f t="shared" si="40"/>
        <v/>
      </c>
      <c r="BG241" t="str">
        <f t="shared" si="41"/>
        <v/>
      </c>
      <c r="BH241" t="str">
        <f t="shared" si="42"/>
        <v/>
      </c>
      <c r="BL241" t="str">
        <f>IFERROR(INDEX(_names_lookup!$C:$C,MATCH(BK241,_names_lookup!$A:$A,0)),"")</f>
        <v/>
      </c>
      <c r="BM241" t="str">
        <f>IFERROR(INDEX(_names_lookup!$B:$B,MATCH(BK241,_names_lookup!$A:$A,0)),"")</f>
        <v/>
      </c>
      <c r="BS241" t="str">
        <f t="shared" si="43"/>
        <v/>
      </c>
    </row>
    <row r="242" spans="15:71" x14ac:dyDescent="0.2">
      <c r="O242" t="str">
        <f>IFERROR(INDEX(_courses_lookup!$C:$C,MATCH(K242&amp;L242,_courses_lookup!$E:$E,0)),"")</f>
        <v/>
      </c>
      <c r="P242" t="str">
        <f>IFERROR(INDEX(_courses_lookup!$D:$D,MATCH(K242&amp;L242,_courses_lookup!$E:$E,0)),"")</f>
        <v/>
      </c>
      <c r="AG242" t="str">
        <f t="shared" si="33"/>
        <v/>
      </c>
      <c r="AI242" t="str">
        <f t="shared" si="34"/>
        <v/>
      </c>
      <c r="AL242" t="str">
        <f t="shared" si="35"/>
        <v/>
      </c>
      <c r="AN242" t="str">
        <f t="shared" si="36"/>
        <v/>
      </c>
      <c r="AQ242" t="str">
        <f t="shared" si="37"/>
        <v/>
      </c>
      <c r="AR242" t="str">
        <f t="shared" si="38"/>
        <v/>
      </c>
      <c r="AS242" t="str">
        <f t="shared" si="39"/>
        <v/>
      </c>
      <c r="AT242" t="str">
        <f t="shared" si="40"/>
        <v/>
      </c>
      <c r="BG242" t="str">
        <f t="shared" si="41"/>
        <v/>
      </c>
      <c r="BH242" t="str">
        <f t="shared" si="42"/>
        <v/>
      </c>
      <c r="BL242" t="str">
        <f>IFERROR(INDEX(_names_lookup!$C:$C,MATCH(BK242,_names_lookup!$A:$A,0)),"")</f>
        <v/>
      </c>
      <c r="BM242" t="str">
        <f>IFERROR(INDEX(_names_lookup!$B:$B,MATCH(BK242,_names_lookup!$A:$A,0)),"")</f>
        <v/>
      </c>
      <c r="BS242" t="str">
        <f t="shared" si="43"/>
        <v/>
      </c>
    </row>
    <row r="243" spans="15:71" x14ac:dyDescent="0.2">
      <c r="O243" t="str">
        <f>IFERROR(INDEX(_courses_lookup!$C:$C,MATCH(K243&amp;L243,_courses_lookup!$E:$E,0)),"")</f>
        <v/>
      </c>
      <c r="P243" t="str">
        <f>IFERROR(INDEX(_courses_lookup!$D:$D,MATCH(K243&amp;L243,_courses_lookup!$E:$E,0)),"")</f>
        <v/>
      </c>
      <c r="AG243" t="str">
        <f t="shared" si="33"/>
        <v/>
      </c>
      <c r="AI243" t="str">
        <f t="shared" si="34"/>
        <v/>
      </c>
      <c r="AL243" t="str">
        <f t="shared" si="35"/>
        <v/>
      </c>
      <c r="AN243" t="str">
        <f t="shared" si="36"/>
        <v/>
      </c>
      <c r="AQ243" t="str">
        <f t="shared" si="37"/>
        <v/>
      </c>
      <c r="AR243" t="str">
        <f t="shared" si="38"/>
        <v/>
      </c>
      <c r="AS243" t="str">
        <f t="shared" si="39"/>
        <v/>
      </c>
      <c r="AT243" t="str">
        <f t="shared" si="40"/>
        <v/>
      </c>
      <c r="BG243" t="str">
        <f t="shared" si="41"/>
        <v/>
      </c>
      <c r="BH243" t="str">
        <f t="shared" si="42"/>
        <v/>
      </c>
      <c r="BL243" t="str">
        <f>IFERROR(INDEX(_names_lookup!$C:$C,MATCH(BK243,_names_lookup!$A:$A,0)),"")</f>
        <v/>
      </c>
      <c r="BM243" t="str">
        <f>IFERROR(INDEX(_names_lookup!$B:$B,MATCH(BK243,_names_lookup!$A:$A,0)),"")</f>
        <v/>
      </c>
      <c r="BS243" t="str">
        <f t="shared" si="43"/>
        <v/>
      </c>
    </row>
    <row r="244" spans="15:71" x14ac:dyDescent="0.2">
      <c r="O244" t="str">
        <f>IFERROR(INDEX(_courses_lookup!$C:$C,MATCH(K244&amp;L244,_courses_lookup!$E:$E,0)),"")</f>
        <v/>
      </c>
      <c r="P244" t="str">
        <f>IFERROR(INDEX(_courses_lookup!$D:$D,MATCH(K244&amp;L244,_courses_lookup!$E:$E,0)),"")</f>
        <v/>
      </c>
      <c r="AG244" t="str">
        <f t="shared" si="33"/>
        <v/>
      </c>
      <c r="AI244" t="str">
        <f t="shared" si="34"/>
        <v/>
      </c>
      <c r="AL244" t="str">
        <f t="shared" si="35"/>
        <v/>
      </c>
      <c r="AN244" t="str">
        <f t="shared" si="36"/>
        <v/>
      </c>
      <c r="AQ244" t="str">
        <f t="shared" si="37"/>
        <v/>
      </c>
      <c r="AR244" t="str">
        <f t="shared" si="38"/>
        <v/>
      </c>
      <c r="AS244" t="str">
        <f t="shared" si="39"/>
        <v/>
      </c>
      <c r="AT244" t="str">
        <f t="shared" si="40"/>
        <v/>
      </c>
      <c r="BG244" t="str">
        <f t="shared" si="41"/>
        <v/>
      </c>
      <c r="BH244" t="str">
        <f t="shared" si="42"/>
        <v/>
      </c>
      <c r="BL244" t="str">
        <f>IFERROR(INDEX(_names_lookup!$C:$C,MATCH(BK244,_names_lookup!$A:$A,0)),"")</f>
        <v/>
      </c>
      <c r="BM244" t="str">
        <f>IFERROR(INDEX(_names_lookup!$B:$B,MATCH(BK244,_names_lookup!$A:$A,0)),"")</f>
        <v/>
      </c>
      <c r="BS244" t="str">
        <f t="shared" si="43"/>
        <v/>
      </c>
    </row>
    <row r="245" spans="15:71" x14ac:dyDescent="0.2">
      <c r="O245" t="str">
        <f>IFERROR(INDEX(_courses_lookup!$C:$C,MATCH(K245&amp;L245,_courses_lookup!$E:$E,0)),"")</f>
        <v/>
      </c>
      <c r="P245" t="str">
        <f>IFERROR(INDEX(_courses_lookup!$D:$D,MATCH(K245&amp;L245,_courses_lookup!$E:$E,0)),"")</f>
        <v/>
      </c>
      <c r="AG245" t="str">
        <f t="shared" si="33"/>
        <v/>
      </c>
      <c r="AI245" t="str">
        <f t="shared" si="34"/>
        <v/>
      </c>
      <c r="AL245" t="str">
        <f t="shared" si="35"/>
        <v/>
      </c>
      <c r="AN245" t="str">
        <f t="shared" si="36"/>
        <v/>
      </c>
      <c r="AQ245" t="str">
        <f t="shared" si="37"/>
        <v/>
      </c>
      <c r="AR245" t="str">
        <f t="shared" si="38"/>
        <v/>
      </c>
      <c r="AS245" t="str">
        <f t="shared" si="39"/>
        <v/>
      </c>
      <c r="AT245" t="str">
        <f t="shared" si="40"/>
        <v/>
      </c>
      <c r="BG245" t="str">
        <f t="shared" si="41"/>
        <v/>
      </c>
      <c r="BH245" t="str">
        <f t="shared" si="42"/>
        <v/>
      </c>
      <c r="BL245" t="str">
        <f>IFERROR(INDEX(_names_lookup!$C:$C,MATCH(BK245,_names_lookup!$A:$A,0)),"")</f>
        <v/>
      </c>
      <c r="BM245" t="str">
        <f>IFERROR(INDEX(_names_lookup!$B:$B,MATCH(BK245,_names_lookup!$A:$A,0)),"")</f>
        <v/>
      </c>
      <c r="BS245" t="str">
        <f t="shared" si="43"/>
        <v/>
      </c>
    </row>
    <row r="246" spans="15:71" x14ac:dyDescent="0.2">
      <c r="O246" t="str">
        <f>IFERROR(INDEX(_courses_lookup!$C:$C,MATCH(K246&amp;L246,_courses_lookup!$E:$E,0)),"")</f>
        <v/>
      </c>
      <c r="P246" t="str">
        <f>IFERROR(INDEX(_courses_lookup!$D:$D,MATCH(K246&amp;L246,_courses_lookup!$E:$E,0)),"")</f>
        <v/>
      </c>
      <c r="AG246" t="str">
        <f t="shared" si="33"/>
        <v/>
      </c>
      <c r="AI246" t="str">
        <f t="shared" si="34"/>
        <v/>
      </c>
      <c r="AL246" t="str">
        <f t="shared" si="35"/>
        <v/>
      </c>
      <c r="AN246" t="str">
        <f t="shared" si="36"/>
        <v/>
      </c>
      <c r="AQ246" t="str">
        <f t="shared" si="37"/>
        <v/>
      </c>
      <c r="AR246" t="str">
        <f t="shared" si="38"/>
        <v/>
      </c>
      <c r="AS246" t="str">
        <f t="shared" si="39"/>
        <v/>
      </c>
      <c r="AT246" t="str">
        <f t="shared" si="40"/>
        <v/>
      </c>
      <c r="BG246" t="str">
        <f t="shared" si="41"/>
        <v/>
      </c>
      <c r="BH246" t="str">
        <f t="shared" si="42"/>
        <v/>
      </c>
      <c r="BL246" t="str">
        <f>IFERROR(INDEX(_names_lookup!$C:$C,MATCH(BK246,_names_lookup!$A:$A,0)),"")</f>
        <v/>
      </c>
      <c r="BM246" t="str">
        <f>IFERROR(INDEX(_names_lookup!$B:$B,MATCH(BK246,_names_lookup!$A:$A,0)),"")</f>
        <v/>
      </c>
      <c r="BS246" t="str">
        <f t="shared" si="43"/>
        <v/>
      </c>
    </row>
    <row r="247" spans="15:71" x14ac:dyDescent="0.2">
      <c r="O247" t="str">
        <f>IFERROR(INDEX(_courses_lookup!$C:$C,MATCH(K247&amp;L247,_courses_lookup!$E:$E,0)),"")</f>
        <v/>
      </c>
      <c r="P247" t="str">
        <f>IFERROR(INDEX(_courses_lookup!$D:$D,MATCH(K247&amp;L247,_courses_lookup!$E:$E,0)),"")</f>
        <v/>
      </c>
      <c r="AG247" t="str">
        <f t="shared" si="33"/>
        <v/>
      </c>
      <c r="AI247" t="str">
        <f t="shared" si="34"/>
        <v/>
      </c>
      <c r="AL247" t="str">
        <f t="shared" si="35"/>
        <v/>
      </c>
      <c r="AN247" t="str">
        <f t="shared" si="36"/>
        <v/>
      </c>
      <c r="AQ247" t="str">
        <f t="shared" si="37"/>
        <v/>
      </c>
      <c r="AR247" t="str">
        <f t="shared" si="38"/>
        <v/>
      </c>
      <c r="AS247" t="str">
        <f t="shared" si="39"/>
        <v/>
      </c>
      <c r="AT247" t="str">
        <f t="shared" si="40"/>
        <v/>
      </c>
      <c r="BG247" t="str">
        <f t="shared" si="41"/>
        <v/>
      </c>
      <c r="BH247" t="str">
        <f t="shared" si="42"/>
        <v/>
      </c>
      <c r="BL247" t="str">
        <f>IFERROR(INDEX(_names_lookup!$C:$C,MATCH(BK247,_names_lookup!$A:$A,0)),"")</f>
        <v/>
      </c>
      <c r="BM247" t="str">
        <f>IFERROR(INDEX(_names_lookup!$B:$B,MATCH(BK247,_names_lookup!$A:$A,0)),"")</f>
        <v/>
      </c>
      <c r="BS247" t="str">
        <f t="shared" si="43"/>
        <v/>
      </c>
    </row>
    <row r="248" spans="15:71" x14ac:dyDescent="0.2">
      <c r="O248" t="str">
        <f>IFERROR(INDEX(_courses_lookup!$C:$C,MATCH(K248&amp;L248,_courses_lookup!$E:$E,0)),"")</f>
        <v/>
      </c>
      <c r="P248" t="str">
        <f>IFERROR(INDEX(_courses_lookup!$D:$D,MATCH(K248&amp;L248,_courses_lookup!$E:$E,0)),"")</f>
        <v/>
      </c>
      <c r="AG248" t="str">
        <f t="shared" si="33"/>
        <v/>
      </c>
      <c r="AI248" t="str">
        <f t="shared" si="34"/>
        <v/>
      </c>
      <c r="AL248" t="str">
        <f t="shared" si="35"/>
        <v/>
      </c>
      <c r="AN248" t="str">
        <f t="shared" si="36"/>
        <v/>
      </c>
      <c r="AQ248" t="str">
        <f t="shared" si="37"/>
        <v/>
      </c>
      <c r="AR248" t="str">
        <f t="shared" si="38"/>
        <v/>
      </c>
      <c r="AS248" t="str">
        <f t="shared" si="39"/>
        <v/>
      </c>
      <c r="AT248" t="str">
        <f t="shared" si="40"/>
        <v/>
      </c>
      <c r="BG248" t="str">
        <f t="shared" si="41"/>
        <v/>
      </c>
      <c r="BH248" t="str">
        <f t="shared" si="42"/>
        <v/>
      </c>
      <c r="BL248" t="str">
        <f>IFERROR(INDEX(_names_lookup!$C:$C,MATCH(BK248,_names_lookup!$A:$A,0)),"")</f>
        <v/>
      </c>
      <c r="BM248" t="str">
        <f>IFERROR(INDEX(_names_lookup!$B:$B,MATCH(BK248,_names_lookup!$A:$A,0)),"")</f>
        <v/>
      </c>
      <c r="BS248" t="str">
        <f t="shared" si="43"/>
        <v/>
      </c>
    </row>
    <row r="249" spans="15:71" x14ac:dyDescent="0.2">
      <c r="O249" t="str">
        <f>IFERROR(INDEX(_courses_lookup!$C:$C,MATCH(K249&amp;L249,_courses_lookup!$E:$E,0)),"")</f>
        <v/>
      </c>
      <c r="P249" t="str">
        <f>IFERROR(INDEX(_courses_lookup!$D:$D,MATCH(K249&amp;L249,_courses_lookup!$E:$E,0)),"")</f>
        <v/>
      </c>
      <c r="AG249" t="str">
        <f t="shared" si="33"/>
        <v/>
      </c>
      <c r="AI249" t="str">
        <f t="shared" si="34"/>
        <v/>
      </c>
      <c r="AL249" t="str">
        <f t="shared" si="35"/>
        <v/>
      </c>
      <c r="AN249" t="str">
        <f t="shared" si="36"/>
        <v/>
      </c>
      <c r="AQ249" t="str">
        <f t="shared" si="37"/>
        <v/>
      </c>
      <c r="AR249" t="str">
        <f t="shared" si="38"/>
        <v/>
      </c>
      <c r="AS249" t="str">
        <f t="shared" si="39"/>
        <v/>
      </c>
      <c r="AT249" t="str">
        <f t="shared" si="40"/>
        <v/>
      </c>
      <c r="BG249" t="str">
        <f t="shared" si="41"/>
        <v/>
      </c>
      <c r="BH249" t="str">
        <f t="shared" si="42"/>
        <v/>
      </c>
      <c r="BL249" t="str">
        <f>IFERROR(INDEX(_names_lookup!$C:$C,MATCH(BK249,_names_lookup!$A:$A,0)),"")</f>
        <v/>
      </c>
      <c r="BM249" t="str">
        <f>IFERROR(INDEX(_names_lookup!$B:$B,MATCH(BK249,_names_lookup!$A:$A,0)),"")</f>
        <v/>
      </c>
      <c r="BS249" t="str">
        <f t="shared" si="43"/>
        <v/>
      </c>
    </row>
    <row r="250" spans="15:71" x14ac:dyDescent="0.2">
      <c r="O250" t="str">
        <f>IFERROR(INDEX(_courses_lookup!$C:$C,MATCH(K250&amp;L250,_courses_lookup!$E:$E,0)),"")</f>
        <v/>
      </c>
      <c r="P250" t="str">
        <f>IFERROR(INDEX(_courses_lookup!$D:$D,MATCH(K250&amp;L250,_courses_lookup!$E:$E,0)),"")</f>
        <v/>
      </c>
      <c r="AG250" t="str">
        <f t="shared" si="33"/>
        <v/>
      </c>
      <c r="AI250" t="str">
        <f t="shared" si="34"/>
        <v/>
      </c>
      <c r="AL250" t="str">
        <f t="shared" si="35"/>
        <v/>
      </c>
      <c r="AN250" t="str">
        <f t="shared" si="36"/>
        <v/>
      </c>
      <c r="AQ250" t="str">
        <f t="shared" si="37"/>
        <v/>
      </c>
      <c r="AR250" t="str">
        <f t="shared" si="38"/>
        <v/>
      </c>
      <c r="AS250" t="str">
        <f t="shared" si="39"/>
        <v/>
      </c>
      <c r="AT250" t="str">
        <f t="shared" si="40"/>
        <v/>
      </c>
      <c r="BG250" t="str">
        <f t="shared" si="41"/>
        <v/>
      </c>
      <c r="BH250" t="str">
        <f t="shared" si="42"/>
        <v/>
      </c>
      <c r="BL250" t="str">
        <f>IFERROR(INDEX(_names_lookup!$C:$C,MATCH(BK250,_names_lookup!$A:$A,0)),"")</f>
        <v/>
      </c>
      <c r="BM250" t="str">
        <f>IFERROR(INDEX(_names_lookup!$B:$B,MATCH(BK250,_names_lookup!$A:$A,0)),"")</f>
        <v/>
      </c>
      <c r="BS250" t="str">
        <f t="shared" si="43"/>
        <v/>
      </c>
    </row>
    <row r="251" spans="15:71" x14ac:dyDescent="0.2">
      <c r="O251" t="str">
        <f>IFERROR(INDEX(_courses_lookup!$C:$C,MATCH(K251&amp;L251,_courses_lookup!$E:$E,0)),"")</f>
        <v/>
      </c>
      <c r="P251" t="str">
        <f>IFERROR(INDEX(_courses_lookup!$D:$D,MATCH(K251&amp;L251,_courses_lookup!$E:$E,0)),"")</f>
        <v/>
      </c>
      <c r="AG251" t="str">
        <f t="shared" si="33"/>
        <v/>
      </c>
      <c r="AI251" t="str">
        <f t="shared" si="34"/>
        <v/>
      </c>
      <c r="AL251" t="str">
        <f t="shared" si="35"/>
        <v/>
      </c>
      <c r="AN251" t="str">
        <f t="shared" si="36"/>
        <v/>
      </c>
      <c r="AQ251" t="str">
        <f t="shared" si="37"/>
        <v/>
      </c>
      <c r="AR251" t="str">
        <f t="shared" si="38"/>
        <v/>
      </c>
      <c r="AS251" t="str">
        <f t="shared" si="39"/>
        <v/>
      </c>
      <c r="AT251" t="str">
        <f t="shared" si="40"/>
        <v/>
      </c>
      <c r="BG251" t="str">
        <f t="shared" si="41"/>
        <v/>
      </c>
      <c r="BH251" t="str">
        <f t="shared" si="42"/>
        <v/>
      </c>
      <c r="BL251" t="str">
        <f>IFERROR(INDEX(_names_lookup!$C:$C,MATCH(BK251,_names_lookup!$A:$A,0)),"")</f>
        <v/>
      </c>
      <c r="BM251" t="str">
        <f>IFERROR(INDEX(_names_lookup!$B:$B,MATCH(BK251,_names_lookup!$A:$A,0)),"")</f>
        <v/>
      </c>
      <c r="BS251" t="str">
        <f t="shared" si="43"/>
        <v/>
      </c>
    </row>
    <row r="252" spans="15:71" x14ac:dyDescent="0.2">
      <c r="O252" t="str">
        <f>IFERROR(INDEX(_courses_lookup!$C:$C,MATCH(K252&amp;L252,_courses_lookup!$E:$E,0)),"")</f>
        <v/>
      </c>
      <c r="P252" t="str">
        <f>IFERROR(INDEX(_courses_lookup!$D:$D,MATCH(K252&amp;L252,_courses_lookup!$E:$E,0)),"")</f>
        <v/>
      </c>
      <c r="AG252" t="str">
        <f t="shared" si="33"/>
        <v/>
      </c>
      <c r="AI252" t="str">
        <f t="shared" si="34"/>
        <v/>
      </c>
      <c r="AL252" t="str">
        <f t="shared" si="35"/>
        <v/>
      </c>
      <c r="AN252" t="str">
        <f t="shared" si="36"/>
        <v/>
      </c>
      <c r="AQ252" t="str">
        <f t="shared" si="37"/>
        <v/>
      </c>
      <c r="AR252" t="str">
        <f t="shared" si="38"/>
        <v/>
      </c>
      <c r="AS252" t="str">
        <f t="shared" si="39"/>
        <v/>
      </c>
      <c r="AT252" t="str">
        <f t="shared" si="40"/>
        <v/>
      </c>
      <c r="BG252" t="str">
        <f t="shared" si="41"/>
        <v/>
      </c>
      <c r="BH252" t="str">
        <f t="shared" si="42"/>
        <v/>
      </c>
      <c r="BL252" t="str">
        <f>IFERROR(INDEX(_names_lookup!$C:$C,MATCH(BK252,_names_lookup!$A:$A,0)),"")</f>
        <v/>
      </c>
      <c r="BM252" t="str">
        <f>IFERROR(INDEX(_names_lookup!$B:$B,MATCH(BK252,_names_lookup!$A:$A,0)),"")</f>
        <v/>
      </c>
      <c r="BS252" t="str">
        <f t="shared" si="43"/>
        <v/>
      </c>
    </row>
    <row r="253" spans="15:71" x14ac:dyDescent="0.2">
      <c r="O253" t="str">
        <f>IFERROR(INDEX(_courses_lookup!$C:$C,MATCH(K253&amp;L253,_courses_lookup!$E:$E,0)),"")</f>
        <v/>
      </c>
      <c r="P253" t="str">
        <f>IFERROR(INDEX(_courses_lookup!$D:$D,MATCH(K253&amp;L253,_courses_lookup!$E:$E,0)),"")</f>
        <v/>
      </c>
      <c r="AG253" t="str">
        <f t="shared" si="33"/>
        <v/>
      </c>
      <c r="AI253" t="str">
        <f t="shared" si="34"/>
        <v/>
      </c>
      <c r="AL253" t="str">
        <f t="shared" si="35"/>
        <v/>
      </c>
      <c r="AN253" t="str">
        <f t="shared" si="36"/>
        <v/>
      </c>
      <c r="AQ253" t="str">
        <f t="shared" si="37"/>
        <v/>
      </c>
      <c r="AR253" t="str">
        <f t="shared" si="38"/>
        <v/>
      </c>
      <c r="AS253" t="str">
        <f t="shared" si="39"/>
        <v/>
      </c>
      <c r="AT253" t="str">
        <f t="shared" si="40"/>
        <v/>
      </c>
      <c r="BG253" t="str">
        <f t="shared" si="41"/>
        <v/>
      </c>
      <c r="BH253" t="str">
        <f t="shared" si="42"/>
        <v/>
      </c>
      <c r="BL253" t="str">
        <f>IFERROR(INDEX(_names_lookup!$C:$C,MATCH(BK253,_names_lookup!$A:$A,0)),"")</f>
        <v/>
      </c>
      <c r="BM253" t="str">
        <f>IFERROR(INDEX(_names_lookup!$B:$B,MATCH(BK253,_names_lookup!$A:$A,0)),"")</f>
        <v/>
      </c>
      <c r="BS253" t="str">
        <f t="shared" si="43"/>
        <v/>
      </c>
    </row>
    <row r="254" spans="15:71" x14ac:dyDescent="0.2">
      <c r="O254" t="str">
        <f>IFERROR(INDEX(_courses_lookup!$C:$C,MATCH(K254&amp;L254,_courses_lookup!$E:$E,0)),"")</f>
        <v/>
      </c>
      <c r="P254" t="str">
        <f>IFERROR(INDEX(_courses_lookup!$D:$D,MATCH(K254&amp;L254,_courses_lookup!$E:$E,0)),"")</f>
        <v/>
      </c>
      <c r="AG254" t="str">
        <f t="shared" si="33"/>
        <v/>
      </c>
      <c r="AI254" t="str">
        <f t="shared" si="34"/>
        <v/>
      </c>
      <c r="AL254" t="str">
        <f t="shared" si="35"/>
        <v/>
      </c>
      <c r="AN254" t="str">
        <f t="shared" si="36"/>
        <v/>
      </c>
      <c r="AQ254" t="str">
        <f t="shared" si="37"/>
        <v/>
      </c>
      <c r="AR254" t="str">
        <f t="shared" si="38"/>
        <v/>
      </c>
      <c r="AS254" t="str">
        <f t="shared" si="39"/>
        <v/>
      </c>
      <c r="AT254" t="str">
        <f t="shared" si="40"/>
        <v/>
      </c>
      <c r="BG254" t="str">
        <f t="shared" si="41"/>
        <v/>
      </c>
      <c r="BH254" t="str">
        <f t="shared" si="42"/>
        <v/>
      </c>
      <c r="BL254" t="str">
        <f>IFERROR(INDEX(_names_lookup!$C:$C,MATCH(BK254,_names_lookup!$A:$A,0)),"")</f>
        <v/>
      </c>
      <c r="BM254" t="str">
        <f>IFERROR(INDEX(_names_lookup!$B:$B,MATCH(BK254,_names_lookup!$A:$A,0)),"")</f>
        <v/>
      </c>
      <c r="BS254" t="str">
        <f t="shared" si="43"/>
        <v/>
      </c>
    </row>
    <row r="255" spans="15:71" x14ac:dyDescent="0.2">
      <c r="O255" t="str">
        <f>IFERROR(INDEX(_courses_lookup!$C:$C,MATCH(K255&amp;L255,_courses_lookup!$E:$E,0)),"")</f>
        <v/>
      </c>
      <c r="P255" t="str">
        <f>IFERROR(INDEX(_courses_lookup!$D:$D,MATCH(K255&amp;L255,_courses_lookup!$E:$E,0)),"")</f>
        <v/>
      </c>
      <c r="AG255" t="str">
        <f t="shared" si="33"/>
        <v/>
      </c>
      <c r="AI255" t="str">
        <f t="shared" si="34"/>
        <v/>
      </c>
      <c r="AL255" t="str">
        <f t="shared" si="35"/>
        <v/>
      </c>
      <c r="AN255" t="str">
        <f t="shared" si="36"/>
        <v/>
      </c>
      <c r="AQ255" t="str">
        <f t="shared" si="37"/>
        <v/>
      </c>
      <c r="AR255" t="str">
        <f t="shared" si="38"/>
        <v/>
      </c>
      <c r="AS255" t="str">
        <f t="shared" si="39"/>
        <v/>
      </c>
      <c r="AT255" t="str">
        <f t="shared" si="40"/>
        <v/>
      </c>
      <c r="BG255" t="str">
        <f t="shared" si="41"/>
        <v/>
      </c>
      <c r="BH255" t="str">
        <f t="shared" si="42"/>
        <v/>
      </c>
      <c r="BL255" t="str">
        <f>IFERROR(INDEX(_names_lookup!$C:$C,MATCH(BK255,_names_lookup!$A:$A,0)),"")</f>
        <v/>
      </c>
      <c r="BM255" t="str">
        <f>IFERROR(INDEX(_names_lookup!$B:$B,MATCH(BK255,_names_lookup!$A:$A,0)),"")</f>
        <v/>
      </c>
      <c r="BS255" t="str">
        <f t="shared" si="43"/>
        <v/>
      </c>
    </row>
    <row r="256" spans="15:71" x14ac:dyDescent="0.2">
      <c r="O256" t="str">
        <f>IFERROR(INDEX(_courses_lookup!$C:$C,MATCH(K256&amp;L256,_courses_lookup!$E:$E,0)),"")</f>
        <v/>
      </c>
      <c r="P256" t="str">
        <f>IFERROR(INDEX(_courses_lookup!$D:$D,MATCH(K256&amp;L256,_courses_lookup!$E:$E,0)),"")</f>
        <v/>
      </c>
      <c r="AG256" t="str">
        <f t="shared" si="33"/>
        <v/>
      </c>
      <c r="AI256" t="str">
        <f t="shared" si="34"/>
        <v/>
      </c>
      <c r="AL256" t="str">
        <f t="shared" si="35"/>
        <v/>
      </c>
      <c r="AN256" t="str">
        <f t="shared" si="36"/>
        <v/>
      </c>
      <c r="AQ256" t="str">
        <f t="shared" si="37"/>
        <v/>
      </c>
      <c r="AR256" t="str">
        <f t="shared" si="38"/>
        <v/>
      </c>
      <c r="AS256" t="str">
        <f t="shared" si="39"/>
        <v/>
      </c>
      <c r="AT256" t="str">
        <f t="shared" si="40"/>
        <v/>
      </c>
      <c r="BG256" t="str">
        <f t="shared" si="41"/>
        <v/>
      </c>
      <c r="BH256" t="str">
        <f t="shared" si="42"/>
        <v/>
      </c>
      <c r="BL256" t="str">
        <f>IFERROR(INDEX(_names_lookup!$C:$C,MATCH(BK256,_names_lookup!$A:$A,0)),"")</f>
        <v/>
      </c>
      <c r="BM256" t="str">
        <f>IFERROR(INDEX(_names_lookup!$B:$B,MATCH(BK256,_names_lookup!$A:$A,0)),"")</f>
        <v/>
      </c>
      <c r="BS256" t="str">
        <f t="shared" si="43"/>
        <v/>
      </c>
    </row>
    <row r="257" spans="15:71" x14ac:dyDescent="0.2">
      <c r="O257" t="str">
        <f>IFERROR(INDEX(_courses_lookup!$C:$C,MATCH(K257&amp;L257,_courses_lookup!$E:$E,0)),"")</f>
        <v/>
      </c>
      <c r="P257" t="str">
        <f>IFERROR(INDEX(_courses_lookup!$D:$D,MATCH(K257&amp;L257,_courses_lookup!$E:$E,0)),"")</f>
        <v/>
      </c>
      <c r="AG257" t="str">
        <f t="shared" si="33"/>
        <v/>
      </c>
      <c r="AI257" t="str">
        <f t="shared" si="34"/>
        <v/>
      </c>
      <c r="AL257" t="str">
        <f t="shared" si="35"/>
        <v/>
      </c>
      <c r="AN257" t="str">
        <f t="shared" si="36"/>
        <v/>
      </c>
      <c r="AQ257" t="str">
        <f t="shared" si="37"/>
        <v/>
      </c>
      <c r="AR257" t="str">
        <f t="shared" si="38"/>
        <v/>
      </c>
      <c r="AS257" t="str">
        <f t="shared" si="39"/>
        <v/>
      </c>
      <c r="AT257" t="str">
        <f t="shared" si="40"/>
        <v/>
      </c>
      <c r="BG257" t="str">
        <f t="shared" si="41"/>
        <v/>
      </c>
      <c r="BH257" t="str">
        <f t="shared" si="42"/>
        <v/>
      </c>
      <c r="BL257" t="str">
        <f>IFERROR(INDEX(_names_lookup!$C:$C,MATCH(BK257,_names_lookup!$A:$A,0)),"")</f>
        <v/>
      </c>
      <c r="BM257" t="str">
        <f>IFERROR(INDEX(_names_lookup!$B:$B,MATCH(BK257,_names_lookup!$A:$A,0)),"")</f>
        <v/>
      </c>
      <c r="BS257" t="str">
        <f t="shared" si="43"/>
        <v/>
      </c>
    </row>
    <row r="258" spans="15:71" x14ac:dyDescent="0.2">
      <c r="O258" t="str">
        <f>IFERROR(INDEX(_courses_lookup!$C:$C,MATCH(K258&amp;L258,_courses_lookup!$E:$E,0)),"")</f>
        <v/>
      </c>
      <c r="P258" t="str">
        <f>IFERROR(INDEX(_courses_lookup!$D:$D,MATCH(K258&amp;L258,_courses_lookup!$E:$E,0)),"")</f>
        <v/>
      </c>
      <c r="AG258" t="str">
        <f t="shared" ref="AG258:AG321" si="44">IF(AND(AE258&lt;&gt;"",AF258&lt;&gt;""),ROUNDUP((AF258-AE258)/7,0),"")</f>
        <v/>
      </c>
      <c r="AI258" t="str">
        <f t="shared" ref="AI258:AI321" si="45">IFERROR(IF(AG258*AH258=0,"",AG258*AH258),"")</f>
        <v/>
      </c>
      <c r="AL258" t="str">
        <f t="shared" ref="AL258:AL321" si="46">IF(AND(AJ258&lt;&gt;"",AK258&lt;&gt;""),ROUNDUP((AK258-AJ258)/7,0),"")</f>
        <v/>
      </c>
      <c r="AN258" t="str">
        <f t="shared" ref="AN258:AN321" si="47">IFERROR(IF(AL258*AM258=0,"",AL258*AM258),"")</f>
        <v/>
      </c>
      <c r="AQ258" t="str">
        <f t="shared" ref="AQ258:AQ321" si="48">IF(AND(AO258&lt;&gt;"",AP258&lt;&gt;""),ROUNDUP((AP258-AO258)/7,0),"")</f>
        <v/>
      </c>
      <c r="AR258" t="str">
        <f t="shared" ref="AR258:AR321" si="49">IFERROR(IF((AU258-(AI258+AN258))/AQ258=0,"",ROUNDUP((AU258-(AI258+AN258))/AQ258,0)),"")</f>
        <v/>
      </c>
      <c r="AS258" t="str">
        <f t="shared" ref="AS258:AS300" si="50">IFERROR(IF((AU258-(AI258+AN258))=0,"",(AU258-(AI258+AN258))),"")</f>
        <v/>
      </c>
      <c r="AT258" t="str">
        <f t="shared" ref="AT258:AT300" si="51">IF(AND(AG258="",AQ258=""),AL258,IF(SUM(AG258,AL258,AQ258)=0,"",SUM(AG258,AL258,AQ258)))</f>
        <v/>
      </c>
      <c r="BG258" t="str">
        <f t="shared" ref="BG258:BG300" si="52">IF(AD258="","",YEAR(AD258)+IF(MONTH(AD258)&gt;=5,1,0))</f>
        <v/>
      </c>
      <c r="BH258" t="str">
        <f t="shared" ref="BH258:BH300" si="53">IF(AD258="","",IF(AND(MONTH(AD258)=8,DAY(AD258)&gt;=15),"Fall",IF(MONTH(AD258)&gt;8,"Fall",IF(MONTH(AD258)=5,"Summer",IF(MONTH(AD258)=1,"Spring","")))))</f>
        <v/>
      </c>
      <c r="BL258" t="str">
        <f>IFERROR(INDEX(_names_lookup!$C:$C,MATCH(BK258,_names_lookup!$A:$A,0)),"")</f>
        <v/>
      </c>
      <c r="BM258" t="str">
        <f>IFERROR(INDEX(_names_lookup!$B:$B,MATCH(BK258,_names_lookup!$A:$A,0)),"")</f>
        <v/>
      </c>
      <c r="BS258" t="str">
        <f t="shared" ref="BS258:BS321" si="54">IFERROR(IF(BR258*AA258=0,"",BR258*AA258),"")</f>
        <v/>
      </c>
    </row>
    <row r="259" spans="15:71" x14ac:dyDescent="0.2">
      <c r="O259" t="str">
        <f>IFERROR(INDEX(_courses_lookup!$C:$C,MATCH(K259&amp;L259,_courses_lookup!$E:$E,0)),"")</f>
        <v/>
      </c>
      <c r="P259" t="str">
        <f>IFERROR(INDEX(_courses_lookup!$D:$D,MATCH(K259&amp;L259,_courses_lookup!$E:$E,0)),"")</f>
        <v/>
      </c>
      <c r="AG259" t="str">
        <f t="shared" si="44"/>
        <v/>
      </c>
      <c r="AI259" t="str">
        <f t="shared" si="45"/>
        <v/>
      </c>
      <c r="AL259" t="str">
        <f t="shared" si="46"/>
        <v/>
      </c>
      <c r="AN259" t="str">
        <f t="shared" si="47"/>
        <v/>
      </c>
      <c r="AQ259" t="str">
        <f t="shared" si="48"/>
        <v/>
      </c>
      <c r="AR259" t="str">
        <f t="shared" si="49"/>
        <v/>
      </c>
      <c r="AS259" t="str">
        <f t="shared" si="50"/>
        <v/>
      </c>
      <c r="AT259" t="str">
        <f t="shared" si="51"/>
        <v/>
      </c>
      <c r="BG259" t="str">
        <f t="shared" si="52"/>
        <v/>
      </c>
      <c r="BH259" t="str">
        <f t="shared" si="53"/>
        <v/>
      </c>
      <c r="BL259" t="str">
        <f>IFERROR(INDEX(_names_lookup!$C:$C,MATCH(BK259,_names_lookup!$A:$A,0)),"")</f>
        <v/>
      </c>
      <c r="BM259" t="str">
        <f>IFERROR(INDEX(_names_lookup!$B:$B,MATCH(BK259,_names_lookup!$A:$A,0)),"")</f>
        <v/>
      </c>
      <c r="BS259" t="str">
        <f t="shared" si="54"/>
        <v/>
      </c>
    </row>
    <row r="260" spans="15:71" x14ac:dyDescent="0.2">
      <c r="O260" t="str">
        <f>IFERROR(INDEX(_courses_lookup!$C:$C,MATCH(K260&amp;L260,_courses_lookup!$E:$E,0)),"")</f>
        <v/>
      </c>
      <c r="P260" t="str">
        <f>IFERROR(INDEX(_courses_lookup!$D:$D,MATCH(K260&amp;L260,_courses_lookup!$E:$E,0)),"")</f>
        <v/>
      </c>
      <c r="AG260" t="str">
        <f t="shared" si="44"/>
        <v/>
      </c>
      <c r="AI260" t="str">
        <f t="shared" si="45"/>
        <v/>
      </c>
      <c r="AL260" t="str">
        <f t="shared" si="46"/>
        <v/>
      </c>
      <c r="AN260" t="str">
        <f t="shared" si="47"/>
        <v/>
      </c>
      <c r="AQ260" t="str">
        <f t="shared" si="48"/>
        <v/>
      </c>
      <c r="AR260" t="str">
        <f t="shared" si="49"/>
        <v/>
      </c>
      <c r="AS260" t="str">
        <f t="shared" si="50"/>
        <v/>
      </c>
      <c r="AT260" t="str">
        <f t="shared" si="51"/>
        <v/>
      </c>
      <c r="BG260" t="str">
        <f t="shared" si="52"/>
        <v/>
      </c>
      <c r="BH260" t="str">
        <f t="shared" si="53"/>
        <v/>
      </c>
      <c r="BL260" t="str">
        <f>IFERROR(INDEX(_names_lookup!$C:$C,MATCH(BK260,_names_lookup!$A:$A,0)),"")</f>
        <v/>
      </c>
      <c r="BM260" t="str">
        <f>IFERROR(INDEX(_names_lookup!$B:$B,MATCH(BK260,_names_lookup!$A:$A,0)),"")</f>
        <v/>
      </c>
      <c r="BS260" t="str">
        <f t="shared" si="54"/>
        <v/>
      </c>
    </row>
    <row r="261" spans="15:71" x14ac:dyDescent="0.2">
      <c r="O261" t="str">
        <f>IFERROR(INDEX(_courses_lookup!$C:$C,MATCH(K261&amp;L261,_courses_lookup!$E:$E,0)),"")</f>
        <v/>
      </c>
      <c r="P261" t="str">
        <f>IFERROR(INDEX(_courses_lookup!$D:$D,MATCH(K261&amp;L261,_courses_lookup!$E:$E,0)),"")</f>
        <v/>
      </c>
      <c r="AG261" t="str">
        <f t="shared" si="44"/>
        <v/>
      </c>
      <c r="AI261" t="str">
        <f t="shared" si="45"/>
        <v/>
      </c>
      <c r="AL261" t="str">
        <f t="shared" si="46"/>
        <v/>
      </c>
      <c r="AN261" t="str">
        <f t="shared" si="47"/>
        <v/>
      </c>
      <c r="AQ261" t="str">
        <f t="shared" si="48"/>
        <v/>
      </c>
      <c r="AR261" t="str">
        <f t="shared" si="49"/>
        <v/>
      </c>
      <c r="AS261" t="str">
        <f t="shared" si="50"/>
        <v/>
      </c>
      <c r="AT261" t="str">
        <f t="shared" si="51"/>
        <v/>
      </c>
      <c r="BG261" t="str">
        <f t="shared" si="52"/>
        <v/>
      </c>
      <c r="BH261" t="str">
        <f t="shared" si="53"/>
        <v/>
      </c>
      <c r="BL261" t="str">
        <f>IFERROR(INDEX(_names_lookup!$C:$C,MATCH(BK261,_names_lookup!$A:$A,0)),"")</f>
        <v/>
      </c>
      <c r="BM261" t="str">
        <f>IFERROR(INDEX(_names_lookup!$B:$B,MATCH(BK261,_names_lookup!$A:$A,0)),"")</f>
        <v/>
      </c>
      <c r="BS261" t="str">
        <f t="shared" si="54"/>
        <v/>
      </c>
    </row>
    <row r="262" spans="15:71" x14ac:dyDescent="0.2">
      <c r="O262" t="str">
        <f>IFERROR(INDEX(_courses_lookup!$C:$C,MATCH(K262&amp;L262,_courses_lookup!$E:$E,0)),"")</f>
        <v/>
      </c>
      <c r="P262" t="str">
        <f>IFERROR(INDEX(_courses_lookup!$D:$D,MATCH(K262&amp;L262,_courses_lookup!$E:$E,0)),"")</f>
        <v/>
      </c>
      <c r="AG262" t="str">
        <f t="shared" si="44"/>
        <v/>
      </c>
      <c r="AI262" t="str">
        <f t="shared" si="45"/>
        <v/>
      </c>
      <c r="AL262" t="str">
        <f t="shared" si="46"/>
        <v/>
      </c>
      <c r="AN262" t="str">
        <f t="shared" si="47"/>
        <v/>
      </c>
      <c r="AQ262" t="str">
        <f t="shared" si="48"/>
        <v/>
      </c>
      <c r="AR262" t="str">
        <f t="shared" si="49"/>
        <v/>
      </c>
      <c r="AS262" t="str">
        <f t="shared" si="50"/>
        <v/>
      </c>
      <c r="AT262" t="str">
        <f t="shared" si="51"/>
        <v/>
      </c>
      <c r="BG262" t="str">
        <f t="shared" si="52"/>
        <v/>
      </c>
      <c r="BH262" t="str">
        <f t="shared" si="53"/>
        <v/>
      </c>
      <c r="BL262" t="str">
        <f>IFERROR(INDEX(_names_lookup!$C:$C,MATCH(BK262,_names_lookup!$A:$A,0)),"")</f>
        <v/>
      </c>
      <c r="BM262" t="str">
        <f>IFERROR(INDEX(_names_lookup!$B:$B,MATCH(BK262,_names_lookup!$A:$A,0)),"")</f>
        <v/>
      </c>
      <c r="BS262" t="str">
        <f t="shared" si="54"/>
        <v/>
      </c>
    </row>
    <row r="263" spans="15:71" x14ac:dyDescent="0.2">
      <c r="O263" t="str">
        <f>IFERROR(INDEX(_courses_lookup!$C:$C,MATCH(K263&amp;L263,_courses_lookup!$E:$E,0)),"")</f>
        <v/>
      </c>
      <c r="P263" t="str">
        <f>IFERROR(INDEX(_courses_lookup!$D:$D,MATCH(K263&amp;L263,_courses_lookup!$E:$E,0)),"")</f>
        <v/>
      </c>
      <c r="AG263" t="str">
        <f t="shared" si="44"/>
        <v/>
      </c>
      <c r="AI263" t="str">
        <f t="shared" si="45"/>
        <v/>
      </c>
      <c r="AL263" t="str">
        <f t="shared" si="46"/>
        <v/>
      </c>
      <c r="AN263" t="str">
        <f t="shared" si="47"/>
        <v/>
      </c>
      <c r="AQ263" t="str">
        <f t="shared" si="48"/>
        <v/>
      </c>
      <c r="AR263" t="str">
        <f t="shared" si="49"/>
        <v/>
      </c>
      <c r="AS263" t="str">
        <f t="shared" si="50"/>
        <v/>
      </c>
      <c r="AT263" t="str">
        <f t="shared" si="51"/>
        <v/>
      </c>
      <c r="BG263" t="str">
        <f t="shared" si="52"/>
        <v/>
      </c>
      <c r="BH263" t="str">
        <f t="shared" si="53"/>
        <v/>
      </c>
      <c r="BL263" t="str">
        <f>IFERROR(INDEX(_names_lookup!$C:$C,MATCH(BK263,_names_lookup!$A:$A,0)),"")</f>
        <v/>
      </c>
      <c r="BM263" t="str">
        <f>IFERROR(INDEX(_names_lookup!$B:$B,MATCH(BK263,_names_lookup!$A:$A,0)),"")</f>
        <v/>
      </c>
      <c r="BS263" t="str">
        <f t="shared" si="54"/>
        <v/>
      </c>
    </row>
    <row r="264" spans="15:71" x14ac:dyDescent="0.2">
      <c r="O264" t="str">
        <f>IFERROR(INDEX(_courses_lookup!$C:$C,MATCH(K264&amp;L264,_courses_lookup!$E:$E,0)),"")</f>
        <v/>
      </c>
      <c r="P264" t="str">
        <f>IFERROR(INDEX(_courses_lookup!$D:$D,MATCH(K264&amp;L264,_courses_lookup!$E:$E,0)),"")</f>
        <v/>
      </c>
      <c r="AG264" t="str">
        <f t="shared" si="44"/>
        <v/>
      </c>
      <c r="AI264" t="str">
        <f t="shared" si="45"/>
        <v/>
      </c>
      <c r="AL264" t="str">
        <f t="shared" si="46"/>
        <v/>
      </c>
      <c r="AN264" t="str">
        <f t="shared" si="47"/>
        <v/>
      </c>
      <c r="AQ264" t="str">
        <f t="shared" si="48"/>
        <v/>
      </c>
      <c r="AR264" t="str">
        <f t="shared" si="49"/>
        <v/>
      </c>
      <c r="AS264" t="str">
        <f t="shared" si="50"/>
        <v/>
      </c>
      <c r="AT264" t="str">
        <f t="shared" si="51"/>
        <v/>
      </c>
      <c r="BG264" t="str">
        <f t="shared" si="52"/>
        <v/>
      </c>
      <c r="BH264" t="str">
        <f t="shared" si="53"/>
        <v/>
      </c>
      <c r="BL264" t="str">
        <f>IFERROR(INDEX(_names_lookup!$C:$C,MATCH(BK264,_names_lookup!$A:$A,0)),"")</f>
        <v/>
      </c>
      <c r="BM264" t="str">
        <f>IFERROR(INDEX(_names_lookup!$B:$B,MATCH(BK264,_names_lookup!$A:$A,0)),"")</f>
        <v/>
      </c>
      <c r="BS264" t="str">
        <f t="shared" si="54"/>
        <v/>
      </c>
    </row>
    <row r="265" spans="15:71" x14ac:dyDescent="0.2">
      <c r="O265" t="str">
        <f>IFERROR(INDEX(_courses_lookup!$C:$C,MATCH(K265&amp;L265,_courses_lookup!$E:$E,0)),"")</f>
        <v/>
      </c>
      <c r="P265" t="str">
        <f>IFERROR(INDEX(_courses_lookup!$D:$D,MATCH(K265&amp;L265,_courses_lookup!$E:$E,0)),"")</f>
        <v/>
      </c>
      <c r="AG265" t="str">
        <f t="shared" si="44"/>
        <v/>
      </c>
      <c r="AI265" t="str">
        <f t="shared" si="45"/>
        <v/>
      </c>
      <c r="AL265" t="str">
        <f t="shared" si="46"/>
        <v/>
      </c>
      <c r="AN265" t="str">
        <f t="shared" si="47"/>
        <v/>
      </c>
      <c r="AQ265" t="str">
        <f t="shared" si="48"/>
        <v/>
      </c>
      <c r="AR265" t="str">
        <f t="shared" si="49"/>
        <v/>
      </c>
      <c r="AS265" t="str">
        <f t="shared" si="50"/>
        <v/>
      </c>
      <c r="AT265" t="str">
        <f t="shared" si="51"/>
        <v/>
      </c>
      <c r="BG265" t="str">
        <f t="shared" si="52"/>
        <v/>
      </c>
      <c r="BH265" t="str">
        <f t="shared" si="53"/>
        <v/>
      </c>
      <c r="BL265" t="str">
        <f>IFERROR(INDEX(_names_lookup!$C:$C,MATCH(BK265,_names_lookup!$A:$A,0)),"")</f>
        <v/>
      </c>
      <c r="BM265" t="str">
        <f>IFERROR(INDEX(_names_lookup!$B:$B,MATCH(BK265,_names_lookup!$A:$A,0)),"")</f>
        <v/>
      </c>
      <c r="BS265" t="str">
        <f t="shared" si="54"/>
        <v/>
      </c>
    </row>
    <row r="266" spans="15:71" x14ac:dyDescent="0.2">
      <c r="O266" t="str">
        <f>IFERROR(INDEX(_courses_lookup!$C:$C,MATCH(K266&amp;L266,_courses_lookup!$E:$E,0)),"")</f>
        <v/>
      </c>
      <c r="P266" t="str">
        <f>IFERROR(INDEX(_courses_lookup!$D:$D,MATCH(K266&amp;L266,_courses_lookup!$E:$E,0)),"")</f>
        <v/>
      </c>
      <c r="AG266" t="str">
        <f t="shared" si="44"/>
        <v/>
      </c>
      <c r="AI266" t="str">
        <f t="shared" si="45"/>
        <v/>
      </c>
      <c r="AL266" t="str">
        <f t="shared" si="46"/>
        <v/>
      </c>
      <c r="AN266" t="str">
        <f t="shared" si="47"/>
        <v/>
      </c>
      <c r="AQ266" t="str">
        <f t="shared" si="48"/>
        <v/>
      </c>
      <c r="AR266" t="str">
        <f t="shared" si="49"/>
        <v/>
      </c>
      <c r="AS266" t="str">
        <f t="shared" si="50"/>
        <v/>
      </c>
      <c r="AT266" t="str">
        <f t="shared" si="51"/>
        <v/>
      </c>
      <c r="BG266" t="str">
        <f t="shared" si="52"/>
        <v/>
      </c>
      <c r="BH266" t="str">
        <f t="shared" si="53"/>
        <v/>
      </c>
      <c r="BL266" t="str">
        <f>IFERROR(INDEX(_names_lookup!$C:$C,MATCH(BK266,_names_lookup!$A:$A,0)),"")</f>
        <v/>
      </c>
      <c r="BM266" t="str">
        <f>IFERROR(INDEX(_names_lookup!$B:$B,MATCH(BK266,_names_lookup!$A:$A,0)),"")</f>
        <v/>
      </c>
      <c r="BS266" t="str">
        <f t="shared" si="54"/>
        <v/>
      </c>
    </row>
    <row r="267" spans="15:71" x14ac:dyDescent="0.2">
      <c r="O267" t="str">
        <f>IFERROR(INDEX(_courses_lookup!$C:$C,MATCH(K267&amp;L267,_courses_lookup!$E:$E,0)),"")</f>
        <v/>
      </c>
      <c r="P267" t="str">
        <f>IFERROR(INDEX(_courses_lookup!$D:$D,MATCH(K267&amp;L267,_courses_lookup!$E:$E,0)),"")</f>
        <v/>
      </c>
      <c r="AG267" t="str">
        <f t="shared" si="44"/>
        <v/>
      </c>
      <c r="AI267" t="str">
        <f t="shared" si="45"/>
        <v/>
      </c>
      <c r="AL267" t="str">
        <f t="shared" si="46"/>
        <v/>
      </c>
      <c r="AN267" t="str">
        <f t="shared" si="47"/>
        <v/>
      </c>
      <c r="AQ267" t="str">
        <f t="shared" si="48"/>
        <v/>
      </c>
      <c r="AR267" t="str">
        <f t="shared" si="49"/>
        <v/>
      </c>
      <c r="AS267" t="str">
        <f t="shared" si="50"/>
        <v/>
      </c>
      <c r="AT267" t="str">
        <f t="shared" si="51"/>
        <v/>
      </c>
      <c r="BG267" t="str">
        <f t="shared" si="52"/>
        <v/>
      </c>
      <c r="BH267" t="str">
        <f t="shared" si="53"/>
        <v/>
      </c>
      <c r="BL267" t="str">
        <f>IFERROR(INDEX(_names_lookup!$C:$C,MATCH(BK267,_names_lookup!$A:$A,0)),"")</f>
        <v/>
      </c>
      <c r="BM267" t="str">
        <f>IFERROR(INDEX(_names_lookup!$B:$B,MATCH(BK267,_names_lookup!$A:$A,0)),"")</f>
        <v/>
      </c>
      <c r="BS267" t="str">
        <f t="shared" si="54"/>
        <v/>
      </c>
    </row>
    <row r="268" spans="15:71" x14ac:dyDescent="0.2">
      <c r="O268" t="str">
        <f>IFERROR(INDEX(_courses_lookup!$C:$C,MATCH(K268&amp;L268,_courses_lookup!$E:$E,0)),"")</f>
        <v/>
      </c>
      <c r="P268" t="str">
        <f>IFERROR(INDEX(_courses_lookup!$D:$D,MATCH(K268&amp;L268,_courses_lookup!$E:$E,0)),"")</f>
        <v/>
      </c>
      <c r="AG268" t="str">
        <f t="shared" si="44"/>
        <v/>
      </c>
      <c r="AI268" t="str">
        <f t="shared" si="45"/>
        <v/>
      </c>
      <c r="AL268" t="str">
        <f t="shared" si="46"/>
        <v/>
      </c>
      <c r="AN268" t="str">
        <f t="shared" si="47"/>
        <v/>
      </c>
      <c r="AQ268" t="str">
        <f t="shared" si="48"/>
        <v/>
      </c>
      <c r="AR268" t="str">
        <f t="shared" si="49"/>
        <v/>
      </c>
      <c r="AS268" t="str">
        <f t="shared" si="50"/>
        <v/>
      </c>
      <c r="AT268" t="str">
        <f t="shared" si="51"/>
        <v/>
      </c>
      <c r="BG268" t="str">
        <f t="shared" si="52"/>
        <v/>
      </c>
      <c r="BH268" t="str">
        <f t="shared" si="53"/>
        <v/>
      </c>
      <c r="BL268" t="str">
        <f>IFERROR(INDEX(_names_lookup!$C:$C,MATCH(BK268,_names_lookup!$A:$A,0)),"")</f>
        <v/>
      </c>
      <c r="BM268" t="str">
        <f>IFERROR(INDEX(_names_lookup!$B:$B,MATCH(BK268,_names_lookup!$A:$A,0)),"")</f>
        <v/>
      </c>
      <c r="BS268" t="str">
        <f t="shared" si="54"/>
        <v/>
      </c>
    </row>
    <row r="269" spans="15:71" x14ac:dyDescent="0.2">
      <c r="O269" t="str">
        <f>IFERROR(INDEX(_courses_lookup!$C:$C,MATCH(K269&amp;L269,_courses_lookup!$E:$E,0)),"")</f>
        <v/>
      </c>
      <c r="P269" t="str">
        <f>IFERROR(INDEX(_courses_lookup!$D:$D,MATCH(K269&amp;L269,_courses_lookup!$E:$E,0)),"")</f>
        <v/>
      </c>
      <c r="AG269" t="str">
        <f t="shared" si="44"/>
        <v/>
      </c>
      <c r="AI269" t="str">
        <f t="shared" si="45"/>
        <v/>
      </c>
      <c r="AL269" t="str">
        <f t="shared" si="46"/>
        <v/>
      </c>
      <c r="AN269" t="str">
        <f t="shared" si="47"/>
        <v/>
      </c>
      <c r="AQ269" t="str">
        <f t="shared" si="48"/>
        <v/>
      </c>
      <c r="AR269" t="str">
        <f t="shared" si="49"/>
        <v/>
      </c>
      <c r="AS269" t="str">
        <f t="shared" si="50"/>
        <v/>
      </c>
      <c r="AT269" t="str">
        <f t="shared" si="51"/>
        <v/>
      </c>
      <c r="BG269" t="str">
        <f t="shared" si="52"/>
        <v/>
      </c>
      <c r="BH269" t="str">
        <f t="shared" si="53"/>
        <v/>
      </c>
      <c r="BL269" t="str">
        <f>IFERROR(INDEX(_names_lookup!$C:$C,MATCH(BK269,_names_lookup!$A:$A,0)),"")</f>
        <v/>
      </c>
      <c r="BM269" t="str">
        <f>IFERROR(INDEX(_names_lookup!$B:$B,MATCH(BK269,_names_lookup!$A:$A,0)),"")</f>
        <v/>
      </c>
      <c r="BS269" t="str">
        <f t="shared" si="54"/>
        <v/>
      </c>
    </row>
    <row r="270" spans="15:71" x14ac:dyDescent="0.2">
      <c r="O270" t="str">
        <f>IFERROR(INDEX(_courses_lookup!$C:$C,MATCH(K270&amp;L270,_courses_lookup!$E:$E,0)),"")</f>
        <v/>
      </c>
      <c r="P270" t="str">
        <f>IFERROR(INDEX(_courses_lookup!$D:$D,MATCH(K270&amp;L270,_courses_lookup!$E:$E,0)),"")</f>
        <v/>
      </c>
      <c r="AG270" t="str">
        <f t="shared" si="44"/>
        <v/>
      </c>
      <c r="AI270" t="str">
        <f t="shared" si="45"/>
        <v/>
      </c>
      <c r="AL270" t="str">
        <f t="shared" si="46"/>
        <v/>
      </c>
      <c r="AN270" t="str">
        <f t="shared" si="47"/>
        <v/>
      </c>
      <c r="AQ270" t="str">
        <f t="shared" si="48"/>
        <v/>
      </c>
      <c r="AR270" t="str">
        <f t="shared" si="49"/>
        <v/>
      </c>
      <c r="AS270" t="str">
        <f t="shared" si="50"/>
        <v/>
      </c>
      <c r="AT270" t="str">
        <f t="shared" si="51"/>
        <v/>
      </c>
      <c r="BG270" t="str">
        <f t="shared" si="52"/>
        <v/>
      </c>
      <c r="BH270" t="str">
        <f t="shared" si="53"/>
        <v/>
      </c>
      <c r="BL270" t="str">
        <f>IFERROR(INDEX(_names_lookup!$C:$C,MATCH(BK270,_names_lookup!$A:$A,0)),"")</f>
        <v/>
      </c>
      <c r="BM270" t="str">
        <f>IFERROR(INDEX(_names_lookup!$B:$B,MATCH(BK270,_names_lookup!$A:$A,0)),"")</f>
        <v/>
      </c>
      <c r="BS270" t="str">
        <f t="shared" si="54"/>
        <v/>
      </c>
    </row>
    <row r="271" spans="15:71" x14ac:dyDescent="0.2">
      <c r="O271" t="str">
        <f>IFERROR(INDEX(_courses_lookup!$C:$C,MATCH(K271&amp;L271,_courses_lookup!$E:$E,0)),"")</f>
        <v/>
      </c>
      <c r="P271" t="str">
        <f>IFERROR(INDEX(_courses_lookup!$D:$D,MATCH(K271&amp;L271,_courses_lookup!$E:$E,0)),"")</f>
        <v/>
      </c>
      <c r="AG271" t="str">
        <f t="shared" si="44"/>
        <v/>
      </c>
      <c r="AI271" t="str">
        <f t="shared" si="45"/>
        <v/>
      </c>
      <c r="AL271" t="str">
        <f t="shared" si="46"/>
        <v/>
      </c>
      <c r="AN271" t="str">
        <f t="shared" si="47"/>
        <v/>
      </c>
      <c r="AQ271" t="str">
        <f t="shared" si="48"/>
        <v/>
      </c>
      <c r="AR271" t="str">
        <f t="shared" si="49"/>
        <v/>
      </c>
      <c r="AS271" t="str">
        <f t="shared" si="50"/>
        <v/>
      </c>
      <c r="AT271" t="str">
        <f t="shared" si="51"/>
        <v/>
      </c>
      <c r="BG271" t="str">
        <f t="shared" si="52"/>
        <v/>
      </c>
      <c r="BH271" t="str">
        <f t="shared" si="53"/>
        <v/>
      </c>
      <c r="BL271" t="str">
        <f>IFERROR(INDEX(_names_lookup!$C:$C,MATCH(BK271,_names_lookup!$A:$A,0)),"")</f>
        <v/>
      </c>
      <c r="BM271" t="str">
        <f>IFERROR(INDEX(_names_lookup!$B:$B,MATCH(BK271,_names_lookup!$A:$A,0)),"")</f>
        <v/>
      </c>
      <c r="BS271" t="str">
        <f t="shared" si="54"/>
        <v/>
      </c>
    </row>
    <row r="272" spans="15:71" x14ac:dyDescent="0.2">
      <c r="O272" t="str">
        <f>IFERROR(INDEX(_courses_lookup!$C:$C,MATCH(K272&amp;L272,_courses_lookup!$E:$E,0)),"")</f>
        <v/>
      </c>
      <c r="P272" t="str">
        <f>IFERROR(INDEX(_courses_lookup!$D:$D,MATCH(K272&amp;L272,_courses_lookup!$E:$E,0)),"")</f>
        <v/>
      </c>
      <c r="AG272" t="str">
        <f t="shared" si="44"/>
        <v/>
      </c>
      <c r="AI272" t="str">
        <f t="shared" si="45"/>
        <v/>
      </c>
      <c r="AL272" t="str">
        <f t="shared" si="46"/>
        <v/>
      </c>
      <c r="AN272" t="str">
        <f t="shared" si="47"/>
        <v/>
      </c>
      <c r="AQ272" t="str">
        <f t="shared" si="48"/>
        <v/>
      </c>
      <c r="AR272" t="str">
        <f t="shared" si="49"/>
        <v/>
      </c>
      <c r="AS272" t="str">
        <f t="shared" si="50"/>
        <v/>
      </c>
      <c r="AT272" t="str">
        <f t="shared" si="51"/>
        <v/>
      </c>
      <c r="BG272" t="str">
        <f t="shared" si="52"/>
        <v/>
      </c>
      <c r="BH272" t="str">
        <f t="shared" si="53"/>
        <v/>
      </c>
      <c r="BL272" t="str">
        <f>IFERROR(INDEX(_names_lookup!$C:$C,MATCH(BK272,_names_lookup!$A:$A,0)),"")</f>
        <v/>
      </c>
      <c r="BM272" t="str">
        <f>IFERROR(INDEX(_names_lookup!$B:$B,MATCH(BK272,_names_lookup!$A:$A,0)),"")</f>
        <v/>
      </c>
      <c r="BS272" t="str">
        <f t="shared" si="54"/>
        <v/>
      </c>
    </row>
    <row r="273" spans="15:71" x14ac:dyDescent="0.2">
      <c r="O273" t="str">
        <f>IFERROR(INDEX(_courses_lookup!$C:$C,MATCH(K273&amp;L273,_courses_lookup!$E:$E,0)),"")</f>
        <v/>
      </c>
      <c r="P273" t="str">
        <f>IFERROR(INDEX(_courses_lookup!$D:$D,MATCH(K273&amp;L273,_courses_lookup!$E:$E,0)),"")</f>
        <v/>
      </c>
      <c r="AG273" t="str">
        <f t="shared" si="44"/>
        <v/>
      </c>
      <c r="AI273" t="str">
        <f t="shared" si="45"/>
        <v/>
      </c>
      <c r="AL273" t="str">
        <f t="shared" si="46"/>
        <v/>
      </c>
      <c r="AN273" t="str">
        <f t="shared" si="47"/>
        <v/>
      </c>
      <c r="AQ273" t="str">
        <f t="shared" si="48"/>
        <v/>
      </c>
      <c r="AR273" t="str">
        <f t="shared" si="49"/>
        <v/>
      </c>
      <c r="AS273" t="str">
        <f t="shared" si="50"/>
        <v/>
      </c>
      <c r="AT273" t="str">
        <f t="shared" si="51"/>
        <v/>
      </c>
      <c r="BG273" t="str">
        <f t="shared" si="52"/>
        <v/>
      </c>
      <c r="BH273" t="str">
        <f t="shared" si="53"/>
        <v/>
      </c>
      <c r="BL273" t="str">
        <f>IFERROR(INDEX(_names_lookup!$C:$C,MATCH(BK273,_names_lookup!$A:$A,0)),"")</f>
        <v/>
      </c>
      <c r="BM273" t="str">
        <f>IFERROR(INDEX(_names_lookup!$B:$B,MATCH(BK273,_names_lookup!$A:$A,0)),"")</f>
        <v/>
      </c>
      <c r="BS273" t="str">
        <f t="shared" si="54"/>
        <v/>
      </c>
    </row>
    <row r="274" spans="15:71" x14ac:dyDescent="0.2">
      <c r="O274" t="str">
        <f>IFERROR(INDEX(_courses_lookup!$C:$C,MATCH(K274&amp;L274,_courses_lookup!$E:$E,0)),"")</f>
        <v/>
      </c>
      <c r="P274" t="str">
        <f>IFERROR(INDEX(_courses_lookup!$D:$D,MATCH(K274&amp;L274,_courses_lookup!$E:$E,0)),"")</f>
        <v/>
      </c>
      <c r="AG274" t="str">
        <f t="shared" si="44"/>
        <v/>
      </c>
      <c r="AI274" t="str">
        <f t="shared" si="45"/>
        <v/>
      </c>
      <c r="AL274" t="str">
        <f t="shared" si="46"/>
        <v/>
      </c>
      <c r="AN274" t="str">
        <f t="shared" si="47"/>
        <v/>
      </c>
      <c r="AQ274" t="str">
        <f t="shared" si="48"/>
        <v/>
      </c>
      <c r="AR274" t="str">
        <f t="shared" si="49"/>
        <v/>
      </c>
      <c r="AS274" t="str">
        <f t="shared" si="50"/>
        <v/>
      </c>
      <c r="AT274" t="str">
        <f t="shared" si="51"/>
        <v/>
      </c>
      <c r="BG274" t="str">
        <f t="shared" si="52"/>
        <v/>
      </c>
      <c r="BH274" t="str">
        <f t="shared" si="53"/>
        <v/>
      </c>
      <c r="BL274" t="str">
        <f>IFERROR(INDEX(_names_lookup!$C:$C,MATCH(BK274,_names_lookup!$A:$A,0)),"")</f>
        <v/>
      </c>
      <c r="BM274" t="str">
        <f>IFERROR(INDEX(_names_lookup!$B:$B,MATCH(BK274,_names_lookup!$A:$A,0)),"")</f>
        <v/>
      </c>
      <c r="BS274" t="str">
        <f t="shared" si="54"/>
        <v/>
      </c>
    </row>
    <row r="275" spans="15:71" x14ac:dyDescent="0.2">
      <c r="O275" t="str">
        <f>IFERROR(INDEX(_courses_lookup!$C:$C,MATCH(K275&amp;L275,_courses_lookup!$E:$E,0)),"")</f>
        <v/>
      </c>
      <c r="P275" t="str">
        <f>IFERROR(INDEX(_courses_lookup!$D:$D,MATCH(K275&amp;L275,_courses_lookup!$E:$E,0)),"")</f>
        <v/>
      </c>
      <c r="AG275" t="str">
        <f t="shared" si="44"/>
        <v/>
      </c>
      <c r="AI275" t="str">
        <f t="shared" si="45"/>
        <v/>
      </c>
      <c r="AL275" t="str">
        <f t="shared" si="46"/>
        <v/>
      </c>
      <c r="AN275" t="str">
        <f t="shared" si="47"/>
        <v/>
      </c>
      <c r="AQ275" t="str">
        <f t="shared" si="48"/>
        <v/>
      </c>
      <c r="AR275" t="str">
        <f t="shared" si="49"/>
        <v/>
      </c>
      <c r="AS275" t="str">
        <f t="shared" si="50"/>
        <v/>
      </c>
      <c r="AT275" t="str">
        <f t="shared" si="51"/>
        <v/>
      </c>
      <c r="BG275" t="str">
        <f t="shared" si="52"/>
        <v/>
      </c>
      <c r="BH275" t="str">
        <f t="shared" si="53"/>
        <v/>
      </c>
      <c r="BL275" t="str">
        <f>IFERROR(INDEX(_names_lookup!$C:$C,MATCH(BK275,_names_lookup!$A:$A,0)),"")</f>
        <v/>
      </c>
      <c r="BM275" t="str">
        <f>IFERROR(INDEX(_names_lookup!$B:$B,MATCH(BK275,_names_lookup!$A:$A,0)),"")</f>
        <v/>
      </c>
      <c r="BS275" t="str">
        <f t="shared" si="54"/>
        <v/>
      </c>
    </row>
    <row r="276" spans="15:71" x14ac:dyDescent="0.2">
      <c r="O276" t="str">
        <f>IFERROR(INDEX(_courses_lookup!$C:$C,MATCH(K276&amp;L276,_courses_lookup!$E:$E,0)),"")</f>
        <v/>
      </c>
      <c r="P276" t="str">
        <f>IFERROR(INDEX(_courses_lookup!$D:$D,MATCH(K276&amp;L276,_courses_lookup!$E:$E,0)),"")</f>
        <v/>
      </c>
      <c r="AG276" t="str">
        <f t="shared" si="44"/>
        <v/>
      </c>
      <c r="AI276" t="str">
        <f t="shared" si="45"/>
        <v/>
      </c>
      <c r="AL276" t="str">
        <f t="shared" si="46"/>
        <v/>
      </c>
      <c r="AN276" t="str">
        <f t="shared" si="47"/>
        <v/>
      </c>
      <c r="AQ276" t="str">
        <f t="shared" si="48"/>
        <v/>
      </c>
      <c r="AR276" t="str">
        <f t="shared" si="49"/>
        <v/>
      </c>
      <c r="AS276" t="str">
        <f t="shared" si="50"/>
        <v/>
      </c>
      <c r="AT276" t="str">
        <f t="shared" si="51"/>
        <v/>
      </c>
      <c r="BG276" t="str">
        <f t="shared" si="52"/>
        <v/>
      </c>
      <c r="BH276" t="str">
        <f t="shared" si="53"/>
        <v/>
      </c>
      <c r="BL276" t="str">
        <f>IFERROR(INDEX(_names_lookup!$C:$C,MATCH(BK276,_names_lookup!$A:$A,0)),"")</f>
        <v/>
      </c>
      <c r="BM276" t="str">
        <f>IFERROR(INDEX(_names_lookup!$B:$B,MATCH(BK276,_names_lookup!$A:$A,0)),"")</f>
        <v/>
      </c>
      <c r="BS276" t="str">
        <f t="shared" si="54"/>
        <v/>
      </c>
    </row>
    <row r="277" spans="15:71" x14ac:dyDescent="0.2">
      <c r="O277" t="str">
        <f>IFERROR(INDEX(_courses_lookup!$C:$C,MATCH(K277&amp;L277,_courses_lookup!$E:$E,0)),"")</f>
        <v/>
      </c>
      <c r="P277" t="str">
        <f>IFERROR(INDEX(_courses_lookup!$D:$D,MATCH(K277&amp;L277,_courses_lookup!$E:$E,0)),"")</f>
        <v/>
      </c>
      <c r="AG277" t="str">
        <f t="shared" si="44"/>
        <v/>
      </c>
      <c r="AI277" t="str">
        <f t="shared" si="45"/>
        <v/>
      </c>
      <c r="AL277" t="str">
        <f t="shared" si="46"/>
        <v/>
      </c>
      <c r="AN277" t="str">
        <f t="shared" si="47"/>
        <v/>
      </c>
      <c r="AQ277" t="str">
        <f t="shared" si="48"/>
        <v/>
      </c>
      <c r="AR277" t="str">
        <f t="shared" si="49"/>
        <v/>
      </c>
      <c r="AS277" t="str">
        <f t="shared" si="50"/>
        <v/>
      </c>
      <c r="AT277" t="str">
        <f t="shared" si="51"/>
        <v/>
      </c>
      <c r="BG277" t="str">
        <f t="shared" si="52"/>
        <v/>
      </c>
      <c r="BH277" t="str">
        <f t="shared" si="53"/>
        <v/>
      </c>
      <c r="BL277" t="str">
        <f>IFERROR(INDEX(_names_lookup!$C:$C,MATCH(BK277,_names_lookup!$A:$A,0)),"")</f>
        <v/>
      </c>
      <c r="BM277" t="str">
        <f>IFERROR(INDEX(_names_lookup!$B:$B,MATCH(BK277,_names_lookup!$A:$A,0)),"")</f>
        <v/>
      </c>
      <c r="BS277" t="str">
        <f t="shared" si="54"/>
        <v/>
      </c>
    </row>
    <row r="278" spans="15:71" x14ac:dyDescent="0.2">
      <c r="O278" t="str">
        <f>IFERROR(INDEX(_courses_lookup!$C:$C,MATCH(K278&amp;L278,_courses_lookup!$E:$E,0)),"")</f>
        <v/>
      </c>
      <c r="P278" t="str">
        <f>IFERROR(INDEX(_courses_lookup!$D:$D,MATCH(K278&amp;L278,_courses_lookup!$E:$E,0)),"")</f>
        <v/>
      </c>
      <c r="AG278" t="str">
        <f t="shared" si="44"/>
        <v/>
      </c>
      <c r="AI278" t="str">
        <f t="shared" si="45"/>
        <v/>
      </c>
      <c r="AL278" t="str">
        <f t="shared" si="46"/>
        <v/>
      </c>
      <c r="AN278" t="str">
        <f t="shared" si="47"/>
        <v/>
      </c>
      <c r="AQ278" t="str">
        <f t="shared" si="48"/>
        <v/>
      </c>
      <c r="AR278" t="str">
        <f t="shared" si="49"/>
        <v/>
      </c>
      <c r="AS278" t="str">
        <f t="shared" si="50"/>
        <v/>
      </c>
      <c r="AT278" t="str">
        <f t="shared" si="51"/>
        <v/>
      </c>
      <c r="BG278" t="str">
        <f t="shared" si="52"/>
        <v/>
      </c>
      <c r="BH278" t="str">
        <f t="shared" si="53"/>
        <v/>
      </c>
      <c r="BL278" t="str">
        <f>IFERROR(INDEX(_names_lookup!$C:$C,MATCH(BK278,_names_lookup!$A:$A,0)),"")</f>
        <v/>
      </c>
      <c r="BM278" t="str">
        <f>IFERROR(INDEX(_names_lookup!$B:$B,MATCH(BK278,_names_lookup!$A:$A,0)),"")</f>
        <v/>
      </c>
      <c r="BS278" t="str">
        <f t="shared" si="54"/>
        <v/>
      </c>
    </row>
    <row r="279" spans="15:71" x14ac:dyDescent="0.2">
      <c r="O279" t="str">
        <f>IFERROR(INDEX(_courses_lookup!$C:$C,MATCH(K279&amp;L279,_courses_lookup!$E:$E,0)),"")</f>
        <v/>
      </c>
      <c r="P279" t="str">
        <f>IFERROR(INDEX(_courses_lookup!$D:$D,MATCH(K279&amp;L279,_courses_lookup!$E:$E,0)),"")</f>
        <v/>
      </c>
      <c r="AG279" t="str">
        <f t="shared" si="44"/>
        <v/>
      </c>
      <c r="AI279" t="str">
        <f t="shared" si="45"/>
        <v/>
      </c>
      <c r="AL279" t="str">
        <f t="shared" si="46"/>
        <v/>
      </c>
      <c r="AN279" t="str">
        <f t="shared" si="47"/>
        <v/>
      </c>
      <c r="AQ279" t="str">
        <f t="shared" si="48"/>
        <v/>
      </c>
      <c r="AR279" t="str">
        <f t="shared" si="49"/>
        <v/>
      </c>
      <c r="AS279" t="str">
        <f t="shared" si="50"/>
        <v/>
      </c>
      <c r="AT279" t="str">
        <f t="shared" si="51"/>
        <v/>
      </c>
      <c r="BG279" t="str">
        <f t="shared" si="52"/>
        <v/>
      </c>
      <c r="BH279" t="str">
        <f t="shared" si="53"/>
        <v/>
      </c>
      <c r="BL279" t="str">
        <f>IFERROR(INDEX(_names_lookup!$C:$C,MATCH(BK279,_names_lookup!$A:$A,0)),"")</f>
        <v/>
      </c>
      <c r="BM279" t="str">
        <f>IFERROR(INDEX(_names_lookup!$B:$B,MATCH(BK279,_names_lookup!$A:$A,0)),"")</f>
        <v/>
      </c>
      <c r="BS279" t="str">
        <f t="shared" si="54"/>
        <v/>
      </c>
    </row>
    <row r="280" spans="15:71" x14ac:dyDescent="0.2">
      <c r="O280" t="str">
        <f>IFERROR(INDEX(_courses_lookup!$C:$C,MATCH(K280&amp;L280,_courses_lookup!$E:$E,0)),"")</f>
        <v/>
      </c>
      <c r="P280" t="str">
        <f>IFERROR(INDEX(_courses_lookup!$D:$D,MATCH(K280&amp;L280,_courses_lookup!$E:$E,0)),"")</f>
        <v/>
      </c>
      <c r="AG280" t="str">
        <f t="shared" si="44"/>
        <v/>
      </c>
      <c r="AI280" t="str">
        <f t="shared" si="45"/>
        <v/>
      </c>
      <c r="AL280" t="str">
        <f t="shared" si="46"/>
        <v/>
      </c>
      <c r="AN280" t="str">
        <f t="shared" si="47"/>
        <v/>
      </c>
      <c r="AQ280" t="str">
        <f t="shared" si="48"/>
        <v/>
      </c>
      <c r="AR280" t="str">
        <f t="shared" si="49"/>
        <v/>
      </c>
      <c r="AS280" t="str">
        <f t="shared" si="50"/>
        <v/>
      </c>
      <c r="AT280" t="str">
        <f t="shared" si="51"/>
        <v/>
      </c>
      <c r="BG280" t="str">
        <f t="shared" si="52"/>
        <v/>
      </c>
      <c r="BH280" t="str">
        <f t="shared" si="53"/>
        <v/>
      </c>
      <c r="BL280" t="str">
        <f>IFERROR(INDEX(_names_lookup!$C:$C,MATCH(BK280,_names_lookup!$A:$A,0)),"")</f>
        <v/>
      </c>
      <c r="BM280" t="str">
        <f>IFERROR(INDEX(_names_lookup!$B:$B,MATCH(BK280,_names_lookup!$A:$A,0)),"")</f>
        <v/>
      </c>
      <c r="BS280" t="str">
        <f t="shared" si="54"/>
        <v/>
      </c>
    </row>
    <row r="281" spans="15:71" x14ac:dyDescent="0.2">
      <c r="O281" t="str">
        <f>IFERROR(INDEX(_courses_lookup!$C:$C,MATCH(K281&amp;L281,_courses_lookup!$E:$E,0)),"")</f>
        <v/>
      </c>
      <c r="P281" t="str">
        <f>IFERROR(INDEX(_courses_lookup!$D:$D,MATCH(K281&amp;L281,_courses_lookup!$E:$E,0)),"")</f>
        <v/>
      </c>
      <c r="AG281" t="str">
        <f t="shared" si="44"/>
        <v/>
      </c>
      <c r="AI281" t="str">
        <f t="shared" si="45"/>
        <v/>
      </c>
      <c r="AL281" t="str">
        <f t="shared" si="46"/>
        <v/>
      </c>
      <c r="AN281" t="str">
        <f t="shared" si="47"/>
        <v/>
      </c>
      <c r="AQ281" t="str">
        <f t="shared" si="48"/>
        <v/>
      </c>
      <c r="AR281" t="str">
        <f t="shared" si="49"/>
        <v/>
      </c>
      <c r="AS281" t="str">
        <f t="shared" si="50"/>
        <v/>
      </c>
      <c r="AT281" t="str">
        <f t="shared" si="51"/>
        <v/>
      </c>
      <c r="BG281" t="str">
        <f t="shared" si="52"/>
        <v/>
      </c>
      <c r="BH281" t="str">
        <f t="shared" si="53"/>
        <v/>
      </c>
      <c r="BL281" t="str">
        <f>IFERROR(INDEX(_names_lookup!$C:$C,MATCH(BK281,_names_lookup!$A:$A,0)),"")</f>
        <v/>
      </c>
      <c r="BM281" t="str">
        <f>IFERROR(INDEX(_names_lookup!$B:$B,MATCH(BK281,_names_lookup!$A:$A,0)),"")</f>
        <v/>
      </c>
      <c r="BS281" t="str">
        <f t="shared" si="54"/>
        <v/>
      </c>
    </row>
    <row r="282" spans="15:71" x14ac:dyDescent="0.2">
      <c r="O282" t="str">
        <f>IFERROR(INDEX(_courses_lookup!$C:$C,MATCH(K282&amp;L282,_courses_lookup!$E:$E,0)),"")</f>
        <v/>
      </c>
      <c r="P282" t="str">
        <f>IFERROR(INDEX(_courses_lookup!$D:$D,MATCH(K282&amp;L282,_courses_lookup!$E:$E,0)),"")</f>
        <v/>
      </c>
      <c r="AG282" t="str">
        <f t="shared" si="44"/>
        <v/>
      </c>
      <c r="AI282" t="str">
        <f t="shared" si="45"/>
        <v/>
      </c>
      <c r="AL282" t="str">
        <f t="shared" si="46"/>
        <v/>
      </c>
      <c r="AN282" t="str">
        <f t="shared" si="47"/>
        <v/>
      </c>
      <c r="AQ282" t="str">
        <f t="shared" si="48"/>
        <v/>
      </c>
      <c r="AR282" t="str">
        <f t="shared" si="49"/>
        <v/>
      </c>
      <c r="AS282" t="str">
        <f t="shared" si="50"/>
        <v/>
      </c>
      <c r="AT282" t="str">
        <f t="shared" si="51"/>
        <v/>
      </c>
      <c r="BG282" t="str">
        <f t="shared" si="52"/>
        <v/>
      </c>
      <c r="BH282" t="str">
        <f t="shared" si="53"/>
        <v/>
      </c>
      <c r="BL282" t="str">
        <f>IFERROR(INDEX(_names_lookup!$C:$C,MATCH(BK282,_names_lookup!$A:$A,0)),"")</f>
        <v/>
      </c>
      <c r="BM282" t="str">
        <f>IFERROR(INDEX(_names_lookup!$B:$B,MATCH(BK282,_names_lookup!$A:$A,0)),"")</f>
        <v/>
      </c>
      <c r="BS282" t="str">
        <f t="shared" si="54"/>
        <v/>
      </c>
    </row>
    <row r="283" spans="15:71" x14ac:dyDescent="0.2">
      <c r="O283" t="str">
        <f>IFERROR(INDEX(_courses_lookup!$C:$C,MATCH(K283&amp;L283,_courses_lookup!$E:$E,0)),"")</f>
        <v/>
      </c>
      <c r="P283" t="str">
        <f>IFERROR(INDEX(_courses_lookup!$D:$D,MATCH(K283&amp;L283,_courses_lookup!$E:$E,0)),"")</f>
        <v/>
      </c>
      <c r="AG283" t="str">
        <f t="shared" si="44"/>
        <v/>
      </c>
      <c r="AI283" t="str">
        <f t="shared" si="45"/>
        <v/>
      </c>
      <c r="AL283" t="str">
        <f t="shared" si="46"/>
        <v/>
      </c>
      <c r="AN283" t="str">
        <f t="shared" si="47"/>
        <v/>
      </c>
      <c r="AQ283" t="str">
        <f t="shared" si="48"/>
        <v/>
      </c>
      <c r="AR283" t="str">
        <f t="shared" si="49"/>
        <v/>
      </c>
      <c r="AS283" t="str">
        <f t="shared" si="50"/>
        <v/>
      </c>
      <c r="AT283" t="str">
        <f t="shared" si="51"/>
        <v/>
      </c>
      <c r="BG283" t="str">
        <f t="shared" si="52"/>
        <v/>
      </c>
      <c r="BH283" t="str">
        <f t="shared" si="53"/>
        <v/>
      </c>
      <c r="BL283" t="str">
        <f>IFERROR(INDEX(_names_lookup!$C:$C,MATCH(BK283,_names_lookup!$A:$A,0)),"")</f>
        <v/>
      </c>
      <c r="BM283" t="str">
        <f>IFERROR(INDEX(_names_lookup!$B:$B,MATCH(BK283,_names_lookup!$A:$A,0)),"")</f>
        <v/>
      </c>
      <c r="BS283" t="str">
        <f t="shared" si="54"/>
        <v/>
      </c>
    </row>
    <row r="284" spans="15:71" x14ac:dyDescent="0.2">
      <c r="O284" t="str">
        <f>IFERROR(INDEX(_courses_lookup!$C:$C,MATCH(K284&amp;L284,_courses_lookup!$E:$E,0)),"")</f>
        <v/>
      </c>
      <c r="P284" t="str">
        <f>IFERROR(INDEX(_courses_lookup!$D:$D,MATCH(K284&amp;L284,_courses_lookup!$E:$E,0)),"")</f>
        <v/>
      </c>
      <c r="AG284" t="str">
        <f t="shared" si="44"/>
        <v/>
      </c>
      <c r="AI284" t="str">
        <f t="shared" si="45"/>
        <v/>
      </c>
      <c r="AL284" t="str">
        <f t="shared" si="46"/>
        <v/>
      </c>
      <c r="AN284" t="str">
        <f t="shared" si="47"/>
        <v/>
      </c>
      <c r="AQ284" t="str">
        <f t="shared" si="48"/>
        <v/>
      </c>
      <c r="AR284" t="str">
        <f t="shared" si="49"/>
        <v/>
      </c>
      <c r="AS284" t="str">
        <f t="shared" si="50"/>
        <v/>
      </c>
      <c r="AT284" t="str">
        <f t="shared" si="51"/>
        <v/>
      </c>
      <c r="BG284" t="str">
        <f t="shared" si="52"/>
        <v/>
      </c>
      <c r="BH284" t="str">
        <f t="shared" si="53"/>
        <v/>
      </c>
      <c r="BL284" t="str">
        <f>IFERROR(INDEX(_names_lookup!$C:$C,MATCH(BK284,_names_lookup!$A:$A,0)),"")</f>
        <v/>
      </c>
      <c r="BM284" t="str">
        <f>IFERROR(INDEX(_names_lookup!$B:$B,MATCH(BK284,_names_lookup!$A:$A,0)),"")</f>
        <v/>
      </c>
      <c r="BS284" t="str">
        <f t="shared" si="54"/>
        <v/>
      </c>
    </row>
    <row r="285" spans="15:71" x14ac:dyDescent="0.2">
      <c r="O285" t="str">
        <f>IFERROR(INDEX(_courses_lookup!$C:$C,MATCH(K285&amp;L285,_courses_lookup!$E:$E,0)),"")</f>
        <v/>
      </c>
      <c r="P285" t="str">
        <f>IFERROR(INDEX(_courses_lookup!$D:$D,MATCH(K285&amp;L285,_courses_lookup!$E:$E,0)),"")</f>
        <v/>
      </c>
      <c r="AG285" t="str">
        <f t="shared" si="44"/>
        <v/>
      </c>
      <c r="AI285" t="str">
        <f t="shared" si="45"/>
        <v/>
      </c>
      <c r="AL285" t="str">
        <f t="shared" si="46"/>
        <v/>
      </c>
      <c r="AN285" t="str">
        <f t="shared" si="47"/>
        <v/>
      </c>
      <c r="AQ285" t="str">
        <f t="shared" si="48"/>
        <v/>
      </c>
      <c r="AR285" t="str">
        <f t="shared" si="49"/>
        <v/>
      </c>
      <c r="AS285" t="str">
        <f t="shared" si="50"/>
        <v/>
      </c>
      <c r="AT285" t="str">
        <f t="shared" si="51"/>
        <v/>
      </c>
      <c r="BG285" t="str">
        <f t="shared" si="52"/>
        <v/>
      </c>
      <c r="BH285" t="str">
        <f t="shared" si="53"/>
        <v/>
      </c>
      <c r="BL285" t="str">
        <f>IFERROR(INDEX(_names_lookup!$C:$C,MATCH(BK285,_names_lookup!$A:$A,0)),"")</f>
        <v/>
      </c>
      <c r="BM285" t="str">
        <f>IFERROR(INDEX(_names_lookup!$B:$B,MATCH(BK285,_names_lookup!$A:$A,0)),"")</f>
        <v/>
      </c>
      <c r="BS285" t="str">
        <f t="shared" si="54"/>
        <v/>
      </c>
    </row>
    <row r="286" spans="15:71" x14ac:dyDescent="0.2">
      <c r="O286" t="str">
        <f>IFERROR(INDEX(_courses_lookup!$C:$C,MATCH(K286&amp;L286,_courses_lookup!$E:$E,0)),"")</f>
        <v/>
      </c>
      <c r="P286" t="str">
        <f>IFERROR(INDEX(_courses_lookup!$D:$D,MATCH(K286&amp;L286,_courses_lookup!$E:$E,0)),"")</f>
        <v/>
      </c>
      <c r="AG286" t="str">
        <f t="shared" si="44"/>
        <v/>
      </c>
      <c r="AI286" t="str">
        <f t="shared" si="45"/>
        <v/>
      </c>
      <c r="AL286" t="str">
        <f t="shared" si="46"/>
        <v/>
      </c>
      <c r="AN286" t="str">
        <f t="shared" si="47"/>
        <v/>
      </c>
      <c r="AQ286" t="str">
        <f t="shared" si="48"/>
        <v/>
      </c>
      <c r="AR286" t="str">
        <f t="shared" si="49"/>
        <v/>
      </c>
      <c r="AS286" t="str">
        <f t="shared" si="50"/>
        <v/>
      </c>
      <c r="AT286" t="str">
        <f t="shared" si="51"/>
        <v/>
      </c>
      <c r="BG286" t="str">
        <f t="shared" si="52"/>
        <v/>
      </c>
      <c r="BH286" t="str">
        <f t="shared" si="53"/>
        <v/>
      </c>
      <c r="BL286" t="str">
        <f>IFERROR(INDEX(_names_lookup!$C:$C,MATCH(BK286,_names_lookup!$A:$A,0)),"")</f>
        <v/>
      </c>
      <c r="BM286" t="str">
        <f>IFERROR(INDEX(_names_lookup!$B:$B,MATCH(BK286,_names_lookup!$A:$A,0)),"")</f>
        <v/>
      </c>
      <c r="BS286" t="str">
        <f t="shared" si="54"/>
        <v/>
      </c>
    </row>
    <row r="287" spans="15:71" x14ac:dyDescent="0.2">
      <c r="O287" t="str">
        <f>IFERROR(INDEX(_courses_lookup!$C:$C,MATCH(K287&amp;L287,_courses_lookup!$E:$E,0)),"")</f>
        <v/>
      </c>
      <c r="P287" t="str">
        <f>IFERROR(INDEX(_courses_lookup!$D:$D,MATCH(K287&amp;L287,_courses_lookup!$E:$E,0)),"")</f>
        <v/>
      </c>
      <c r="AG287" t="str">
        <f t="shared" si="44"/>
        <v/>
      </c>
      <c r="AI287" t="str">
        <f t="shared" si="45"/>
        <v/>
      </c>
      <c r="AL287" t="str">
        <f t="shared" si="46"/>
        <v/>
      </c>
      <c r="AN287" t="str">
        <f t="shared" si="47"/>
        <v/>
      </c>
      <c r="AQ287" t="str">
        <f t="shared" si="48"/>
        <v/>
      </c>
      <c r="AR287" t="str">
        <f t="shared" si="49"/>
        <v/>
      </c>
      <c r="AS287" t="str">
        <f t="shared" si="50"/>
        <v/>
      </c>
      <c r="AT287" t="str">
        <f t="shared" si="51"/>
        <v/>
      </c>
      <c r="BG287" t="str">
        <f t="shared" si="52"/>
        <v/>
      </c>
      <c r="BH287" t="str">
        <f t="shared" si="53"/>
        <v/>
      </c>
      <c r="BL287" t="str">
        <f>IFERROR(INDEX(_names_lookup!$C:$C,MATCH(BK287,_names_lookup!$A:$A,0)),"")</f>
        <v/>
      </c>
      <c r="BM287" t="str">
        <f>IFERROR(INDEX(_names_lookup!$B:$B,MATCH(BK287,_names_lookup!$A:$A,0)),"")</f>
        <v/>
      </c>
      <c r="BS287" t="str">
        <f t="shared" si="54"/>
        <v/>
      </c>
    </row>
    <row r="288" spans="15:71" x14ac:dyDescent="0.2">
      <c r="O288" t="str">
        <f>IFERROR(INDEX(_courses_lookup!$C:$C,MATCH(K288&amp;L288,_courses_lookup!$E:$E,0)),"")</f>
        <v/>
      </c>
      <c r="P288" t="str">
        <f>IFERROR(INDEX(_courses_lookup!$D:$D,MATCH(K288&amp;L288,_courses_lookup!$E:$E,0)),"")</f>
        <v/>
      </c>
      <c r="AG288" t="str">
        <f t="shared" si="44"/>
        <v/>
      </c>
      <c r="AI288" t="str">
        <f t="shared" si="45"/>
        <v/>
      </c>
      <c r="AL288" t="str">
        <f t="shared" si="46"/>
        <v/>
      </c>
      <c r="AN288" t="str">
        <f t="shared" si="47"/>
        <v/>
      </c>
      <c r="AQ288" t="str">
        <f t="shared" si="48"/>
        <v/>
      </c>
      <c r="AR288" t="str">
        <f t="shared" si="49"/>
        <v/>
      </c>
      <c r="AS288" t="str">
        <f t="shared" si="50"/>
        <v/>
      </c>
      <c r="AT288" t="str">
        <f t="shared" si="51"/>
        <v/>
      </c>
      <c r="BG288" t="str">
        <f t="shared" si="52"/>
        <v/>
      </c>
      <c r="BH288" t="str">
        <f t="shared" si="53"/>
        <v/>
      </c>
      <c r="BL288" t="str">
        <f>IFERROR(INDEX(_names_lookup!$C:$C,MATCH(BK288,_names_lookup!$A:$A,0)),"")</f>
        <v/>
      </c>
      <c r="BM288" t="str">
        <f>IFERROR(INDEX(_names_lookup!$B:$B,MATCH(BK288,_names_lookup!$A:$A,0)),"")</f>
        <v/>
      </c>
      <c r="BS288" t="str">
        <f t="shared" si="54"/>
        <v/>
      </c>
    </row>
    <row r="289" spans="15:71" x14ac:dyDescent="0.2">
      <c r="O289" t="str">
        <f>IFERROR(INDEX(_courses_lookup!$C:$C,MATCH(K289&amp;L289,_courses_lookup!$E:$E,0)),"")</f>
        <v/>
      </c>
      <c r="P289" t="str">
        <f>IFERROR(INDEX(_courses_lookup!$D:$D,MATCH(K289&amp;L289,_courses_lookup!$E:$E,0)),"")</f>
        <v/>
      </c>
      <c r="AG289" t="str">
        <f t="shared" si="44"/>
        <v/>
      </c>
      <c r="AI289" t="str">
        <f t="shared" si="45"/>
        <v/>
      </c>
      <c r="AL289" t="str">
        <f t="shared" si="46"/>
        <v/>
      </c>
      <c r="AN289" t="str">
        <f t="shared" si="47"/>
        <v/>
      </c>
      <c r="AQ289" t="str">
        <f t="shared" si="48"/>
        <v/>
      </c>
      <c r="AR289" t="str">
        <f t="shared" si="49"/>
        <v/>
      </c>
      <c r="AS289" t="str">
        <f t="shared" si="50"/>
        <v/>
      </c>
      <c r="AT289" t="str">
        <f t="shared" si="51"/>
        <v/>
      </c>
      <c r="BG289" t="str">
        <f t="shared" si="52"/>
        <v/>
      </c>
      <c r="BH289" t="str">
        <f t="shared" si="53"/>
        <v/>
      </c>
      <c r="BL289" t="str">
        <f>IFERROR(INDEX(_names_lookup!$C:$C,MATCH(BK289,_names_lookup!$A:$A,0)),"")</f>
        <v/>
      </c>
      <c r="BM289" t="str">
        <f>IFERROR(INDEX(_names_lookup!$B:$B,MATCH(BK289,_names_lookup!$A:$A,0)),"")</f>
        <v/>
      </c>
      <c r="BS289" t="str">
        <f t="shared" si="54"/>
        <v/>
      </c>
    </row>
    <row r="290" spans="15:71" x14ac:dyDescent="0.2">
      <c r="O290" t="str">
        <f>IFERROR(INDEX(_courses_lookup!$C:$C,MATCH(K290&amp;L290,_courses_lookup!$E:$E,0)),"")</f>
        <v/>
      </c>
      <c r="P290" t="str">
        <f>IFERROR(INDEX(_courses_lookup!$D:$D,MATCH(K290&amp;L290,_courses_lookup!$E:$E,0)),"")</f>
        <v/>
      </c>
      <c r="AG290" t="str">
        <f t="shared" si="44"/>
        <v/>
      </c>
      <c r="AI290" t="str">
        <f t="shared" si="45"/>
        <v/>
      </c>
      <c r="AL290" t="str">
        <f t="shared" si="46"/>
        <v/>
      </c>
      <c r="AN290" t="str">
        <f t="shared" si="47"/>
        <v/>
      </c>
      <c r="AQ290" t="str">
        <f t="shared" si="48"/>
        <v/>
      </c>
      <c r="AR290" t="str">
        <f t="shared" si="49"/>
        <v/>
      </c>
      <c r="AS290" t="str">
        <f t="shared" si="50"/>
        <v/>
      </c>
      <c r="AT290" t="str">
        <f t="shared" si="51"/>
        <v/>
      </c>
      <c r="BG290" t="str">
        <f t="shared" si="52"/>
        <v/>
      </c>
      <c r="BH290" t="str">
        <f t="shared" si="53"/>
        <v/>
      </c>
      <c r="BL290" t="str">
        <f>IFERROR(INDEX(_names_lookup!$C:$C,MATCH(BK290,_names_lookup!$A:$A,0)),"")</f>
        <v/>
      </c>
      <c r="BM290" t="str">
        <f>IFERROR(INDEX(_names_lookup!$B:$B,MATCH(BK290,_names_lookup!$A:$A,0)),"")</f>
        <v/>
      </c>
      <c r="BS290" t="str">
        <f t="shared" si="54"/>
        <v/>
      </c>
    </row>
    <row r="291" spans="15:71" x14ac:dyDescent="0.2">
      <c r="O291" t="str">
        <f>IFERROR(INDEX(_courses_lookup!$C:$C,MATCH(K291&amp;L291,_courses_lookup!$E:$E,0)),"")</f>
        <v/>
      </c>
      <c r="P291" t="str">
        <f>IFERROR(INDEX(_courses_lookup!$D:$D,MATCH(K291&amp;L291,_courses_lookup!$E:$E,0)),"")</f>
        <v/>
      </c>
      <c r="AG291" t="str">
        <f t="shared" si="44"/>
        <v/>
      </c>
      <c r="AI291" t="str">
        <f t="shared" si="45"/>
        <v/>
      </c>
      <c r="AL291" t="str">
        <f t="shared" si="46"/>
        <v/>
      </c>
      <c r="AN291" t="str">
        <f t="shared" si="47"/>
        <v/>
      </c>
      <c r="AQ291" t="str">
        <f t="shared" si="48"/>
        <v/>
      </c>
      <c r="AR291" t="str">
        <f t="shared" si="49"/>
        <v/>
      </c>
      <c r="AS291" t="str">
        <f t="shared" si="50"/>
        <v/>
      </c>
      <c r="AT291" t="str">
        <f t="shared" si="51"/>
        <v/>
      </c>
      <c r="BG291" t="str">
        <f t="shared" si="52"/>
        <v/>
      </c>
      <c r="BH291" t="str">
        <f t="shared" si="53"/>
        <v/>
      </c>
      <c r="BL291" t="str">
        <f>IFERROR(INDEX(_names_lookup!$C:$C,MATCH(BK291,_names_lookup!$A:$A,0)),"")</f>
        <v/>
      </c>
      <c r="BM291" t="str">
        <f>IFERROR(INDEX(_names_lookup!$B:$B,MATCH(BK291,_names_lookup!$A:$A,0)),"")</f>
        <v/>
      </c>
      <c r="BS291" t="str">
        <f t="shared" si="54"/>
        <v/>
      </c>
    </row>
    <row r="292" spans="15:71" x14ac:dyDescent="0.2">
      <c r="O292" t="str">
        <f>IFERROR(INDEX(_courses_lookup!$C:$C,MATCH(K292&amp;L292,_courses_lookup!$E:$E,0)),"")</f>
        <v/>
      </c>
      <c r="P292" t="str">
        <f>IFERROR(INDEX(_courses_lookup!$D:$D,MATCH(K292&amp;L292,_courses_lookup!$E:$E,0)),"")</f>
        <v/>
      </c>
      <c r="AG292" t="str">
        <f t="shared" si="44"/>
        <v/>
      </c>
      <c r="AI292" t="str">
        <f t="shared" si="45"/>
        <v/>
      </c>
      <c r="AL292" t="str">
        <f t="shared" si="46"/>
        <v/>
      </c>
      <c r="AN292" t="str">
        <f t="shared" si="47"/>
        <v/>
      </c>
      <c r="AQ292" t="str">
        <f t="shared" si="48"/>
        <v/>
      </c>
      <c r="AR292" t="str">
        <f t="shared" si="49"/>
        <v/>
      </c>
      <c r="AS292" t="str">
        <f t="shared" si="50"/>
        <v/>
      </c>
      <c r="AT292" t="str">
        <f t="shared" si="51"/>
        <v/>
      </c>
      <c r="BG292" t="str">
        <f t="shared" si="52"/>
        <v/>
      </c>
      <c r="BH292" t="str">
        <f t="shared" si="53"/>
        <v/>
      </c>
      <c r="BL292" t="str">
        <f>IFERROR(INDEX(_names_lookup!$C:$C,MATCH(BK292,_names_lookup!$A:$A,0)),"")</f>
        <v/>
      </c>
      <c r="BM292" t="str">
        <f>IFERROR(INDEX(_names_lookup!$B:$B,MATCH(BK292,_names_lookup!$A:$A,0)),"")</f>
        <v/>
      </c>
      <c r="BS292" t="str">
        <f t="shared" si="54"/>
        <v/>
      </c>
    </row>
    <row r="293" spans="15:71" x14ac:dyDescent="0.2">
      <c r="O293" t="str">
        <f>IFERROR(INDEX(_courses_lookup!$C:$C,MATCH(K293&amp;L293,_courses_lookup!$E:$E,0)),"")</f>
        <v/>
      </c>
      <c r="P293" t="str">
        <f>IFERROR(INDEX(_courses_lookup!$D:$D,MATCH(K293&amp;L293,_courses_lookup!$E:$E,0)),"")</f>
        <v/>
      </c>
      <c r="AG293" t="str">
        <f t="shared" si="44"/>
        <v/>
      </c>
      <c r="AI293" t="str">
        <f t="shared" si="45"/>
        <v/>
      </c>
      <c r="AL293" t="str">
        <f t="shared" si="46"/>
        <v/>
      </c>
      <c r="AN293" t="str">
        <f t="shared" si="47"/>
        <v/>
      </c>
      <c r="AQ293" t="str">
        <f t="shared" si="48"/>
        <v/>
      </c>
      <c r="AR293" t="str">
        <f t="shared" si="49"/>
        <v/>
      </c>
      <c r="AS293" t="str">
        <f t="shared" si="50"/>
        <v/>
      </c>
      <c r="AT293" t="str">
        <f t="shared" si="51"/>
        <v/>
      </c>
      <c r="BG293" t="str">
        <f t="shared" si="52"/>
        <v/>
      </c>
      <c r="BH293" t="str">
        <f t="shared" si="53"/>
        <v/>
      </c>
      <c r="BL293" t="str">
        <f>IFERROR(INDEX(_names_lookup!$C:$C,MATCH(BK293,_names_lookup!$A:$A,0)),"")</f>
        <v/>
      </c>
      <c r="BM293" t="str">
        <f>IFERROR(INDEX(_names_lookup!$B:$B,MATCH(BK293,_names_lookup!$A:$A,0)),"")</f>
        <v/>
      </c>
      <c r="BS293" t="str">
        <f t="shared" si="54"/>
        <v/>
      </c>
    </row>
    <row r="294" spans="15:71" x14ac:dyDescent="0.2">
      <c r="O294" t="str">
        <f>IFERROR(INDEX(_courses_lookup!$C:$C,MATCH(K294&amp;L294,_courses_lookup!$E:$E,0)),"")</f>
        <v/>
      </c>
      <c r="P294" t="str">
        <f>IFERROR(INDEX(_courses_lookup!$D:$D,MATCH(K294&amp;L294,_courses_lookup!$E:$E,0)),"")</f>
        <v/>
      </c>
      <c r="AG294" t="str">
        <f t="shared" si="44"/>
        <v/>
      </c>
      <c r="AI294" t="str">
        <f t="shared" si="45"/>
        <v/>
      </c>
      <c r="AL294" t="str">
        <f t="shared" si="46"/>
        <v/>
      </c>
      <c r="AN294" t="str">
        <f t="shared" si="47"/>
        <v/>
      </c>
      <c r="AQ294" t="str">
        <f t="shared" si="48"/>
        <v/>
      </c>
      <c r="AR294" t="str">
        <f t="shared" si="49"/>
        <v/>
      </c>
      <c r="AS294" t="str">
        <f t="shared" si="50"/>
        <v/>
      </c>
      <c r="AT294" t="str">
        <f t="shared" si="51"/>
        <v/>
      </c>
      <c r="BG294" t="str">
        <f t="shared" si="52"/>
        <v/>
      </c>
      <c r="BH294" t="str">
        <f t="shared" si="53"/>
        <v/>
      </c>
      <c r="BL294" t="str">
        <f>IFERROR(INDEX(_names_lookup!$C:$C,MATCH(BK294,_names_lookup!$A:$A,0)),"")</f>
        <v/>
      </c>
      <c r="BM294" t="str">
        <f>IFERROR(INDEX(_names_lookup!$B:$B,MATCH(BK294,_names_lookup!$A:$A,0)),"")</f>
        <v/>
      </c>
      <c r="BS294" t="str">
        <f t="shared" si="54"/>
        <v/>
      </c>
    </row>
    <row r="295" spans="15:71" x14ac:dyDescent="0.2">
      <c r="O295" t="str">
        <f>IFERROR(INDEX(_courses_lookup!$C:$C,MATCH(K295&amp;L295,_courses_lookup!$E:$E,0)),"")</f>
        <v/>
      </c>
      <c r="P295" t="str">
        <f>IFERROR(INDEX(_courses_lookup!$D:$D,MATCH(K295&amp;L295,_courses_lookup!$E:$E,0)),"")</f>
        <v/>
      </c>
      <c r="AG295" t="str">
        <f t="shared" si="44"/>
        <v/>
      </c>
      <c r="AI295" t="str">
        <f t="shared" si="45"/>
        <v/>
      </c>
      <c r="AL295" t="str">
        <f t="shared" si="46"/>
        <v/>
      </c>
      <c r="AN295" t="str">
        <f t="shared" si="47"/>
        <v/>
      </c>
      <c r="AQ295" t="str">
        <f t="shared" si="48"/>
        <v/>
      </c>
      <c r="AR295" t="str">
        <f t="shared" si="49"/>
        <v/>
      </c>
      <c r="AS295" t="str">
        <f t="shared" si="50"/>
        <v/>
      </c>
      <c r="AT295" t="str">
        <f t="shared" si="51"/>
        <v/>
      </c>
      <c r="BG295" t="str">
        <f t="shared" si="52"/>
        <v/>
      </c>
      <c r="BH295" t="str">
        <f t="shared" si="53"/>
        <v/>
      </c>
      <c r="BL295" t="str">
        <f>IFERROR(INDEX(_names_lookup!$C:$C,MATCH(BK295,_names_lookup!$A:$A,0)),"")</f>
        <v/>
      </c>
      <c r="BM295" t="str">
        <f>IFERROR(INDEX(_names_lookup!$B:$B,MATCH(BK295,_names_lookup!$A:$A,0)),"")</f>
        <v/>
      </c>
      <c r="BS295" t="str">
        <f t="shared" si="54"/>
        <v/>
      </c>
    </row>
    <row r="296" spans="15:71" x14ac:dyDescent="0.2">
      <c r="O296" t="str">
        <f>IFERROR(INDEX(_courses_lookup!$C:$C,MATCH(K296&amp;L296,_courses_lookup!$E:$E,0)),"")</f>
        <v/>
      </c>
      <c r="P296" t="str">
        <f>IFERROR(INDEX(_courses_lookup!$D:$D,MATCH(K296&amp;L296,_courses_lookup!$E:$E,0)),"")</f>
        <v/>
      </c>
      <c r="AG296" t="str">
        <f t="shared" si="44"/>
        <v/>
      </c>
      <c r="AI296" t="str">
        <f t="shared" si="45"/>
        <v/>
      </c>
      <c r="AL296" t="str">
        <f t="shared" si="46"/>
        <v/>
      </c>
      <c r="AN296" t="str">
        <f t="shared" si="47"/>
        <v/>
      </c>
      <c r="AQ296" t="str">
        <f t="shared" si="48"/>
        <v/>
      </c>
      <c r="AR296" t="str">
        <f t="shared" si="49"/>
        <v/>
      </c>
      <c r="AS296" t="str">
        <f t="shared" si="50"/>
        <v/>
      </c>
      <c r="AT296" t="str">
        <f t="shared" si="51"/>
        <v/>
      </c>
      <c r="BG296" t="str">
        <f t="shared" si="52"/>
        <v/>
      </c>
      <c r="BH296" t="str">
        <f t="shared" si="53"/>
        <v/>
      </c>
      <c r="BL296" t="str">
        <f>IFERROR(INDEX(_names_lookup!$C:$C,MATCH(BK296,_names_lookup!$A:$A,0)),"")</f>
        <v/>
      </c>
      <c r="BM296" t="str">
        <f>IFERROR(INDEX(_names_lookup!$B:$B,MATCH(BK296,_names_lookup!$A:$A,0)),"")</f>
        <v/>
      </c>
      <c r="BS296" t="str">
        <f t="shared" si="54"/>
        <v/>
      </c>
    </row>
    <row r="297" spans="15:71" x14ac:dyDescent="0.2">
      <c r="O297" t="str">
        <f>IFERROR(INDEX(_courses_lookup!$C:$C,MATCH(K297&amp;L297,_courses_lookup!$E:$E,0)),"")</f>
        <v/>
      </c>
      <c r="P297" t="str">
        <f>IFERROR(INDEX(_courses_lookup!$D:$D,MATCH(K297&amp;L297,_courses_lookup!$E:$E,0)),"")</f>
        <v/>
      </c>
      <c r="AG297" t="str">
        <f t="shared" si="44"/>
        <v/>
      </c>
      <c r="AI297" t="str">
        <f t="shared" si="45"/>
        <v/>
      </c>
      <c r="AL297" t="str">
        <f t="shared" si="46"/>
        <v/>
      </c>
      <c r="AN297" t="str">
        <f t="shared" si="47"/>
        <v/>
      </c>
      <c r="AQ297" t="str">
        <f t="shared" si="48"/>
        <v/>
      </c>
      <c r="AR297" t="str">
        <f t="shared" si="49"/>
        <v/>
      </c>
      <c r="AS297" t="str">
        <f t="shared" si="50"/>
        <v/>
      </c>
      <c r="AT297" t="str">
        <f t="shared" si="51"/>
        <v/>
      </c>
      <c r="BG297" t="str">
        <f t="shared" si="52"/>
        <v/>
      </c>
      <c r="BH297" t="str">
        <f t="shared" si="53"/>
        <v/>
      </c>
      <c r="BL297" t="str">
        <f>IFERROR(INDEX(_names_lookup!$C:$C,MATCH(BK297,_names_lookup!$A:$A,0)),"")</f>
        <v/>
      </c>
      <c r="BM297" t="str">
        <f>IFERROR(INDEX(_names_lookup!$B:$B,MATCH(BK297,_names_lookup!$A:$A,0)),"")</f>
        <v/>
      </c>
      <c r="BS297" t="str">
        <f t="shared" si="54"/>
        <v/>
      </c>
    </row>
    <row r="298" spans="15:71" x14ac:dyDescent="0.2">
      <c r="O298" t="str">
        <f>IFERROR(INDEX(_courses_lookup!$C:$C,MATCH(K298&amp;L298,_courses_lookup!$E:$E,0)),"")</f>
        <v/>
      </c>
      <c r="P298" t="str">
        <f>IFERROR(INDEX(_courses_lookup!$D:$D,MATCH(K298&amp;L298,_courses_lookup!$E:$E,0)),"")</f>
        <v/>
      </c>
      <c r="AG298" t="str">
        <f t="shared" si="44"/>
        <v/>
      </c>
      <c r="AI298" t="str">
        <f t="shared" si="45"/>
        <v/>
      </c>
      <c r="AL298" t="str">
        <f t="shared" si="46"/>
        <v/>
      </c>
      <c r="AN298" t="str">
        <f t="shared" si="47"/>
        <v/>
      </c>
      <c r="AQ298" t="str">
        <f t="shared" si="48"/>
        <v/>
      </c>
      <c r="AR298" t="str">
        <f t="shared" si="49"/>
        <v/>
      </c>
      <c r="AS298" t="str">
        <f t="shared" si="50"/>
        <v/>
      </c>
      <c r="AT298" t="str">
        <f t="shared" si="51"/>
        <v/>
      </c>
      <c r="BG298" t="str">
        <f t="shared" si="52"/>
        <v/>
      </c>
      <c r="BH298" t="str">
        <f t="shared" si="53"/>
        <v/>
      </c>
      <c r="BL298" t="str">
        <f>IFERROR(INDEX(_names_lookup!$C:$C,MATCH(BK298,_names_lookup!$A:$A,0)),"")</f>
        <v/>
      </c>
      <c r="BM298" t="str">
        <f>IFERROR(INDEX(_names_lookup!$B:$B,MATCH(BK298,_names_lookup!$A:$A,0)),"")</f>
        <v/>
      </c>
      <c r="BS298" t="str">
        <f t="shared" si="54"/>
        <v/>
      </c>
    </row>
    <row r="299" spans="15:71" x14ac:dyDescent="0.2">
      <c r="O299" t="str">
        <f>IFERROR(INDEX(_courses_lookup!$C:$C,MATCH(K299&amp;L299,_courses_lookup!$E:$E,0)),"")</f>
        <v/>
      </c>
      <c r="P299" t="str">
        <f>IFERROR(INDEX(_courses_lookup!$D:$D,MATCH(K299&amp;L299,_courses_lookup!$E:$E,0)),"")</f>
        <v/>
      </c>
      <c r="AG299" t="str">
        <f t="shared" si="44"/>
        <v/>
      </c>
      <c r="AI299" t="str">
        <f t="shared" si="45"/>
        <v/>
      </c>
      <c r="AL299" t="str">
        <f t="shared" si="46"/>
        <v/>
      </c>
      <c r="AN299" t="str">
        <f t="shared" si="47"/>
        <v/>
      </c>
      <c r="AQ299" t="str">
        <f t="shared" si="48"/>
        <v/>
      </c>
      <c r="AR299" t="str">
        <f t="shared" si="49"/>
        <v/>
      </c>
      <c r="AS299" t="str">
        <f t="shared" si="50"/>
        <v/>
      </c>
      <c r="AT299" t="str">
        <f t="shared" si="51"/>
        <v/>
      </c>
      <c r="BG299" t="str">
        <f t="shared" si="52"/>
        <v/>
      </c>
      <c r="BH299" t="str">
        <f t="shared" si="53"/>
        <v/>
      </c>
      <c r="BL299" t="str">
        <f>IFERROR(INDEX(_names_lookup!$C:$C,MATCH(BK299,_names_lookup!$A:$A,0)),"")</f>
        <v/>
      </c>
      <c r="BM299" t="str">
        <f>IFERROR(INDEX(_names_lookup!$B:$B,MATCH(BK299,_names_lookup!$A:$A,0)),"")</f>
        <v/>
      </c>
      <c r="BS299" t="str">
        <f t="shared" si="54"/>
        <v/>
      </c>
    </row>
    <row r="300" spans="15:71" x14ac:dyDescent="0.2">
      <c r="O300" t="str">
        <f>IFERROR(INDEX(_courses_lookup!$C:$C,MATCH(K300&amp;L300,_courses_lookup!$E:$E,0)),"")</f>
        <v/>
      </c>
      <c r="P300" t="str">
        <f>IFERROR(INDEX(_courses_lookup!$D:$D,MATCH(K300&amp;L300,_courses_lookup!$E:$E,0)),"")</f>
        <v/>
      </c>
      <c r="AG300" t="str">
        <f t="shared" si="44"/>
        <v/>
      </c>
      <c r="AI300" t="str">
        <f t="shared" si="45"/>
        <v/>
      </c>
      <c r="AL300" t="str">
        <f t="shared" si="46"/>
        <v/>
      </c>
      <c r="AN300" t="str">
        <f t="shared" si="47"/>
        <v/>
      </c>
      <c r="AQ300" t="str">
        <f t="shared" si="48"/>
        <v/>
      </c>
      <c r="AR300" t="str">
        <f t="shared" si="49"/>
        <v/>
      </c>
      <c r="AS300" t="str">
        <f t="shared" si="50"/>
        <v/>
      </c>
      <c r="AT300" t="str">
        <f t="shared" si="51"/>
        <v/>
      </c>
      <c r="BG300" t="str">
        <f t="shared" si="52"/>
        <v/>
      </c>
      <c r="BH300" t="str">
        <f t="shared" si="53"/>
        <v/>
      </c>
      <c r="BL300" t="str">
        <f>IFERROR(INDEX(_names_lookup!$C:$C,MATCH(BK300,_names_lookup!$A:$A,0)),"")</f>
        <v/>
      </c>
      <c r="BM300" t="str">
        <f>IFERROR(INDEX(_names_lookup!$B:$B,MATCH(BK300,_names_lookup!$A:$A,0)),"")</f>
        <v/>
      </c>
      <c r="BS300" t="str">
        <f t="shared" si="54"/>
        <v/>
      </c>
    </row>
  </sheetData>
  <autoFilter ref="A1:DQ40" xr:uid="{00000000-0009-0000-0000-000009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900-000000000000}">
          <x14:formula1>
            <xm:f>DropDownMenu!$A$2:$A$3</xm:f>
          </x14:formula1>
          <xm:sqref>A2:A5000</xm:sqref>
        </x14:dataValidation>
        <x14:dataValidation type="list" allowBlank="1" xr:uid="{00000000-0002-0000-0900-000001000000}">
          <x14:formula1>
            <xm:f>DropDownMenu!$B$2:$B$3</xm:f>
          </x14:formula1>
          <xm:sqref>B2:B5000</xm:sqref>
        </x14:dataValidation>
        <x14:dataValidation type="list" allowBlank="1" xr:uid="{00000000-0002-0000-0900-000002000000}">
          <x14:formula1>
            <xm:f>DropDownMenu!$C$2:$C$3</xm:f>
          </x14:formula1>
          <xm:sqref>C2:C5000</xm:sqref>
        </x14:dataValidation>
        <x14:dataValidation type="list" allowBlank="1" xr:uid="{00000000-0002-0000-0900-000003000000}">
          <x14:formula1>
            <xm:f>DropDownMenu!$D$2:$D$3</xm:f>
          </x14:formula1>
          <xm:sqref>D2:D5000</xm:sqref>
        </x14:dataValidation>
        <x14:dataValidation type="list" allowBlank="1" xr:uid="{00000000-0002-0000-0900-000004000000}">
          <x14:formula1>
            <xm:f>DropDownMenu!$E$2:$E$3</xm:f>
          </x14:formula1>
          <xm:sqref>E2:E5000</xm:sqref>
        </x14:dataValidation>
        <x14:dataValidation type="list" allowBlank="1" xr:uid="{00000000-0002-0000-0900-000005000000}">
          <x14:formula1>
            <xm:f>DropDownMenu!$F$2:$F$3</xm:f>
          </x14:formula1>
          <xm:sqref>F2:F5000</xm:sqref>
        </x14:dataValidation>
        <x14:dataValidation type="list" allowBlank="1" xr:uid="{00000000-0002-0000-0900-000006000000}">
          <x14:formula1>
            <xm:f>DropDownMenu!$G$2:$G$19</xm:f>
          </x14:formula1>
          <xm:sqref>G2:G5000</xm:sqref>
        </x14:dataValidation>
        <x14:dataValidation type="list" allowBlank="1" xr:uid="{00000000-0002-0000-0900-000007000000}">
          <x14:formula1>
            <xm:f>DropDownMenu!$H$2:$H$564</xm:f>
          </x14:formula1>
          <xm:sqref>H2:H5000</xm:sqref>
        </x14:dataValidation>
        <x14:dataValidation type="list" allowBlank="1" xr:uid="{00000000-0002-0000-0900-000008000000}">
          <x14:formula1>
            <xm:f>DropDownMenu!$I$2:$I$352</xm:f>
          </x14:formula1>
          <xm:sqref>I2:I5000</xm:sqref>
        </x14:dataValidation>
        <x14:dataValidation type="list" allowBlank="1" xr:uid="{00000000-0002-0000-0900-000009000000}">
          <x14:formula1>
            <xm:f>DropDownMenu!$J$2:$J$10</xm:f>
          </x14:formula1>
          <xm:sqref>K2:K5000</xm:sqref>
        </x14:dataValidation>
        <x14:dataValidation type="list" allowBlank="1" xr:uid="{00000000-0002-0000-0900-00000A000000}">
          <x14:formula1>
            <xm:f>DropDownMenu!$K$2:$K$101</xm:f>
          </x14:formula1>
          <xm:sqref>L2:L5000</xm:sqref>
        </x14:dataValidation>
        <x14:dataValidation type="list" allowBlank="1" xr:uid="{00000000-0002-0000-0900-00000B000000}">
          <x14:formula1>
            <xm:f>DropDownMenu!$L$2:$L$42</xm:f>
          </x14:formula1>
          <xm:sqref>M2:M5000</xm:sqref>
        </x14:dataValidation>
        <x14:dataValidation type="list" allowBlank="1" xr:uid="{00000000-0002-0000-0900-00000C000000}">
          <x14:formula1>
            <xm:f>DropDownMenu!$M$2:$M$15</xm:f>
          </x14:formula1>
          <xm:sqref>N2:N5000</xm:sqref>
        </x14:dataValidation>
        <x14:dataValidation type="list" allowBlank="1" xr:uid="{00000000-0002-0000-0900-00000D000000}">
          <x14:formula1>
            <xm:f>DropDownMenu!$N$2:$N$140</xm:f>
          </x14:formula1>
          <xm:sqref>O2:O5000</xm:sqref>
        </x14:dataValidation>
        <x14:dataValidation type="list" allowBlank="1" xr:uid="{00000000-0002-0000-0900-00000E000000}">
          <x14:formula1>
            <xm:f>DropDownMenu!$O$2:$O$65</xm:f>
          </x14:formula1>
          <xm:sqref>P2:P5000</xm:sqref>
        </x14:dataValidation>
        <x14:dataValidation type="list" allowBlank="1" xr:uid="{00000000-0002-0000-0900-00000F000000}">
          <x14:formula1>
            <xm:f>DropDownMenu!$P$2:$P$45</xm:f>
          </x14:formula1>
          <xm:sqref>R2:R5000</xm:sqref>
        </x14:dataValidation>
        <x14:dataValidation type="list" allowBlank="1" xr:uid="{00000000-0002-0000-0900-000010000000}">
          <x14:formula1>
            <xm:f>DropDownMenu!$Q$2:$Q$6</xm:f>
          </x14:formula1>
          <xm:sqref>S2:S5000</xm:sqref>
        </x14:dataValidation>
        <x14:dataValidation type="list" allowBlank="1" xr:uid="{00000000-0002-0000-0900-000011000000}">
          <x14:formula1>
            <xm:f>DropDownMenu!$R$2:$R$7</xm:f>
          </x14:formula1>
          <xm:sqref>T2:T5000</xm:sqref>
        </x14:dataValidation>
        <x14:dataValidation type="list" allowBlank="1" xr:uid="{00000000-0002-0000-0900-000012000000}">
          <x14:formula1>
            <xm:f>DropDownMenu!$S$2:$S$12</xm:f>
          </x14:formula1>
          <xm:sqref>U2:U5000</xm:sqref>
        </x14:dataValidation>
        <x14:dataValidation type="list" allowBlank="1" xr:uid="{00000000-0002-0000-0900-000013000000}">
          <x14:formula1>
            <xm:f>DropDownMenu!$T$2:$T$13</xm:f>
          </x14:formula1>
          <xm:sqref>V2:V5000</xm:sqref>
        </x14:dataValidation>
        <x14:dataValidation type="list" allowBlank="1" xr:uid="{00000000-0002-0000-0900-000014000000}">
          <x14:formula1>
            <xm:f>DropDownMenu!$U$2:$U$4</xm:f>
          </x14:formula1>
          <xm:sqref>W2:W5000</xm:sqref>
        </x14:dataValidation>
        <x14:dataValidation type="list" allowBlank="1" xr:uid="{00000000-0002-0000-0900-000015000000}">
          <x14:formula1>
            <xm:f>DropDownMenu!$V$2:$V$6</xm:f>
          </x14:formula1>
          <xm:sqref>X2:X5000</xm:sqref>
        </x14:dataValidation>
        <x14:dataValidation type="list" allowBlank="1" xr:uid="{00000000-0002-0000-0900-000016000000}">
          <x14:formula1>
            <xm:f>DropDownMenu!$W$2:$W$26</xm:f>
          </x14:formula1>
          <xm:sqref>Y2:Y5000</xm:sqref>
        </x14:dataValidation>
        <x14:dataValidation type="list" allowBlank="1" xr:uid="{00000000-0002-0000-0900-000017000000}">
          <x14:formula1>
            <xm:f>DropDownMenu!$X$2:$X$7</xm:f>
          </x14:formula1>
          <xm:sqref>Z2:Z5000</xm:sqref>
        </x14:dataValidation>
        <x14:dataValidation type="list" allowBlank="1" xr:uid="{00000000-0002-0000-0900-000018000000}">
          <x14:formula1>
            <xm:f>DropDownMenu!$Y$2:$Y$15</xm:f>
          </x14:formula1>
          <xm:sqref>AB2:AB5000</xm:sqref>
        </x14:dataValidation>
        <x14:dataValidation type="list" allowBlank="1" xr:uid="{00000000-0002-0000-0900-000019000000}">
          <x14:formula1>
            <xm:f>DropDownMenu!$Z$2:$Z$6</xm:f>
          </x14:formula1>
          <xm:sqref>AC2:AC5000</xm:sqref>
        </x14:dataValidation>
        <x14:dataValidation type="list" allowBlank="1" xr:uid="{00000000-0002-0000-0900-00001A000000}">
          <x14:formula1>
            <xm:f>DropDownMenu!$AA$2:$AA$7</xm:f>
          </x14:formula1>
          <xm:sqref>AD2:AD5000</xm:sqref>
        </x14:dataValidation>
        <x14:dataValidation type="list" allowBlank="1" xr:uid="{00000000-0002-0000-0900-00001B000000}">
          <x14:formula1>
            <xm:f>DropDownMenu!$AB$2:$AB$2</xm:f>
          </x14:formula1>
          <xm:sqref>AG2:AG5000</xm:sqref>
        </x14:dataValidation>
        <x14:dataValidation type="list" allowBlank="1" xr:uid="{00000000-0002-0000-0900-00001C000000}">
          <x14:formula1>
            <xm:f>DropDownMenu!$AC$2:$AC$2</xm:f>
          </x14:formula1>
          <xm:sqref>AH2:AH5000</xm:sqref>
        </x14:dataValidation>
        <x14:dataValidation type="list" allowBlank="1" xr:uid="{00000000-0002-0000-0900-00001D000000}">
          <x14:formula1>
            <xm:f>DropDownMenu!$AD$2:$AD$2</xm:f>
          </x14:formula1>
          <xm:sqref>AI2:AI5000</xm:sqref>
        </x14:dataValidation>
        <x14:dataValidation type="list" allowBlank="1" xr:uid="{00000000-0002-0000-0900-00001E000000}">
          <x14:formula1>
            <xm:f>DropDownMenu!$AE$2:$AE$49</xm:f>
          </x14:formula1>
          <xm:sqref>AJ2:AJ5000</xm:sqref>
        </x14:dataValidation>
        <x14:dataValidation type="list" allowBlank="1" xr:uid="{00000000-0002-0000-0900-00001F000000}">
          <x14:formula1>
            <xm:f>DropDownMenu!$AF$2:$AF$52</xm:f>
          </x14:formula1>
          <xm:sqref>AK2:AK5000</xm:sqref>
        </x14:dataValidation>
        <x14:dataValidation type="list" allowBlank="1" xr:uid="{00000000-0002-0000-0900-000020000000}">
          <x14:formula1>
            <xm:f>DropDownMenu!$AG$2:$AG$2</xm:f>
          </x14:formula1>
          <xm:sqref>AL2:AL5000</xm:sqref>
        </x14:dataValidation>
        <x14:dataValidation type="list" allowBlank="1" xr:uid="{00000000-0002-0000-0900-000021000000}">
          <x14:formula1>
            <xm:f>DropDownMenu!$AH$2:$AH$2</xm:f>
          </x14:formula1>
          <xm:sqref>AM2:AM5000</xm:sqref>
        </x14:dataValidation>
        <x14:dataValidation type="list" allowBlank="1" xr:uid="{00000000-0002-0000-0900-000022000000}">
          <x14:formula1>
            <xm:f>DropDownMenu!$AI$2:$AI$2</xm:f>
          </x14:formula1>
          <xm:sqref>AN2:AN5000</xm:sqref>
        </x14:dataValidation>
        <x14:dataValidation type="list" allowBlank="1" xr:uid="{00000000-0002-0000-0900-000023000000}">
          <x14:formula1>
            <xm:f>DropDownMenu!$AJ$2:$AJ$2</xm:f>
          </x14:formula1>
          <xm:sqref>AQ2:AQ5000</xm:sqref>
        </x14:dataValidation>
        <x14:dataValidation type="list" allowBlank="1" xr:uid="{00000000-0002-0000-0900-000024000000}">
          <x14:formula1>
            <xm:f>DropDownMenu!$AK$2:$AK$2</xm:f>
          </x14:formula1>
          <xm:sqref>AR2:AR5000</xm:sqref>
        </x14:dataValidation>
        <x14:dataValidation type="list" allowBlank="1" xr:uid="{00000000-0002-0000-0900-000025000000}">
          <x14:formula1>
            <xm:f>DropDownMenu!$AL$2:$AL$2</xm:f>
          </x14:formula1>
          <xm:sqref>AS2:AS5000</xm:sqref>
        </x14:dataValidation>
        <x14:dataValidation type="list" allowBlank="1" xr:uid="{00000000-0002-0000-0900-000026000000}">
          <x14:formula1>
            <xm:f>DropDownMenu!$AM$2:$AM$2</xm:f>
          </x14:formula1>
          <xm:sqref>AT2:AT5000</xm:sqref>
        </x14:dataValidation>
        <x14:dataValidation type="list" allowBlank="1" xr:uid="{00000000-0002-0000-0900-000027000000}">
          <x14:formula1>
            <xm:f>DropDownMenu!$AN$2:$AN$2</xm:f>
          </x14:formula1>
          <xm:sqref>AU2:AU5000</xm:sqref>
        </x14:dataValidation>
        <x14:dataValidation type="list" allowBlank="1" xr:uid="{00000000-0002-0000-0900-000028000000}">
          <x14:formula1>
            <xm:f>DropDownMenu!$AO$2:$AO$9</xm:f>
          </x14:formula1>
          <xm:sqref>AV2:AV5000</xm:sqref>
        </x14:dataValidation>
        <x14:dataValidation type="list" allowBlank="1" xr:uid="{00000000-0002-0000-0900-000029000000}">
          <x14:formula1>
            <xm:f>DropDownMenu!$AP$2:$AP$6</xm:f>
          </x14:formula1>
          <xm:sqref>AW2:AW5000</xm:sqref>
        </x14:dataValidation>
        <x14:dataValidation type="list" allowBlank="1" xr:uid="{00000000-0002-0000-0900-00002A000000}">
          <x14:formula1>
            <xm:f>DropDownMenu!$AQ$2:$AQ$11</xm:f>
          </x14:formula1>
          <xm:sqref>AX2:AX5000</xm:sqref>
        </x14:dataValidation>
        <x14:dataValidation type="list" allowBlank="1" xr:uid="{00000000-0002-0000-0900-00002B000000}">
          <x14:formula1>
            <xm:f>DropDownMenu!$AR$2:$AR$2</xm:f>
          </x14:formula1>
          <xm:sqref>AY2:AY5000</xm:sqref>
        </x14:dataValidation>
        <x14:dataValidation type="list" allowBlank="1" xr:uid="{00000000-0002-0000-0900-00002C000000}">
          <x14:formula1>
            <xm:f>DropDownMenu!$AS$2:$AS$2</xm:f>
          </x14:formula1>
          <xm:sqref>AZ2:AZ5000</xm:sqref>
        </x14:dataValidation>
        <x14:dataValidation type="list" allowBlank="1" xr:uid="{00000000-0002-0000-0900-00002D000000}">
          <x14:formula1>
            <xm:f>DropDownMenu!$AT$2:$AT$2</xm:f>
          </x14:formula1>
          <xm:sqref>BA2:BA5000</xm:sqref>
        </x14:dataValidation>
        <x14:dataValidation type="list" allowBlank="1" xr:uid="{00000000-0002-0000-0900-00002E000000}">
          <x14:formula1>
            <xm:f>DropDownMenu!$AU$2:$AU$2</xm:f>
          </x14:formula1>
          <xm:sqref>BB2:BB5000</xm:sqref>
        </x14:dataValidation>
        <x14:dataValidation type="list" allowBlank="1" xr:uid="{00000000-0002-0000-0900-00002F000000}">
          <x14:formula1>
            <xm:f>DropDownMenu!$AV$2:$AV$2</xm:f>
          </x14:formula1>
          <xm:sqref>BC2:BC5000</xm:sqref>
        </x14:dataValidation>
        <x14:dataValidation type="list" allowBlank="1" xr:uid="{00000000-0002-0000-0900-000030000000}">
          <x14:formula1>
            <xm:f>DropDownMenu!$AW$2:$AW$5</xm:f>
          </x14:formula1>
          <xm:sqref>BF2:BF5000</xm:sqref>
        </x14:dataValidation>
        <x14:dataValidation type="list" allowBlank="1" xr:uid="{00000000-0002-0000-0900-000031000000}">
          <x14:formula1>
            <xm:f>DropDownMenu!$AX$2:$AX$37</xm:f>
          </x14:formula1>
          <xm:sqref>BG2:BG5000</xm:sqref>
        </x14:dataValidation>
        <x14:dataValidation type="list" allowBlank="1" xr:uid="{00000000-0002-0000-0900-000032000000}">
          <x14:formula1>
            <xm:f>DropDownMenu!$AY$2:$AY$4</xm:f>
          </x14:formula1>
          <xm:sqref>BH2:BH5000</xm:sqref>
        </x14:dataValidation>
        <x14:dataValidation type="list" allowBlank="1" xr:uid="{00000000-0002-0000-0900-000033000000}">
          <x14:formula1>
            <xm:f>DropDownMenu!$AZ$2:$AZ$13</xm:f>
          </x14:formula1>
          <xm:sqref>BI2:BI5000</xm:sqref>
        </x14:dataValidation>
        <x14:dataValidation type="list" allowBlank="1" xr:uid="{00000000-0002-0000-0900-000034000000}">
          <x14:formula1>
            <xm:f>DropDownMenu!$BA$2:$BA$34</xm:f>
          </x14:formula1>
          <xm:sqref>BJ2:BJ5000</xm:sqref>
        </x14:dataValidation>
        <x14:dataValidation type="list" allowBlank="1" xr:uid="{00000000-0002-0000-0900-000035000000}">
          <x14:formula1>
            <xm:f>DropDownMenu!$BB$2:$BB$258</xm:f>
          </x14:formula1>
          <xm:sqref>BK2:BK5000</xm:sqref>
        </x14:dataValidation>
        <x14:dataValidation type="list" allowBlank="1" xr:uid="{00000000-0002-0000-0900-000036000000}">
          <x14:formula1>
            <xm:f>DropDownMenu!$BC$2:$BC$252</xm:f>
          </x14:formula1>
          <xm:sqref>BL2:BL5000</xm:sqref>
        </x14:dataValidation>
        <x14:dataValidation type="list" allowBlank="1" xr:uid="{00000000-0002-0000-0900-000037000000}">
          <x14:formula1>
            <xm:f>DropDownMenu!$BD$2:$BD$258</xm:f>
          </x14:formula1>
          <xm:sqref>BM2:BM5000</xm:sqref>
        </x14:dataValidation>
        <x14:dataValidation type="list" allowBlank="1" xr:uid="{00000000-0002-0000-0900-000038000000}">
          <x14:formula1>
            <xm:f>DropDownMenu!$BE$2:$BE$3</xm:f>
          </x14:formula1>
          <xm:sqref>BN2:BN5000</xm:sqref>
        </x14:dataValidation>
        <x14:dataValidation type="list" allowBlank="1" xr:uid="{00000000-0002-0000-0900-000039000000}">
          <x14:formula1>
            <xm:f>DropDownMenu!$BF$2:$BF$4</xm:f>
          </x14:formula1>
          <xm:sqref>BO2:BO5000</xm:sqref>
        </x14:dataValidation>
        <x14:dataValidation type="list" allowBlank="1" xr:uid="{00000000-0002-0000-0900-00003A000000}">
          <x14:formula1>
            <xm:f>DropDownMenu!$BG$2:$BG$6</xm:f>
          </x14:formula1>
          <xm:sqref>BP2:BP5000</xm:sqref>
        </x14:dataValidation>
        <x14:dataValidation type="list" allowBlank="1" xr:uid="{00000000-0002-0000-0900-00003B000000}">
          <x14:formula1>
            <xm:f>DropDownMenu!$BH$2:$BH$4</xm:f>
          </x14:formula1>
          <xm:sqref>BQ2:BQ5000</xm:sqref>
        </x14:dataValidation>
        <x14:dataValidation type="list" allowBlank="1" xr:uid="{00000000-0002-0000-0900-00003C000000}">
          <x14:formula1>
            <xm:f>DropDownMenu!$BI$2:$BI$3</xm:f>
          </x14:formula1>
          <xm:sqref>BR2:BR5000</xm:sqref>
        </x14:dataValidation>
        <x14:dataValidation type="list" allowBlank="1" xr:uid="{00000000-0002-0000-0900-00003D000000}">
          <x14:formula1>
            <xm:f>DropDownMenu!$BJ$2:$BJ$3</xm:f>
          </x14:formula1>
          <xm:sqref>BT2:BT5000</xm:sqref>
        </x14:dataValidation>
        <x14:dataValidation type="list" allowBlank="1" xr:uid="{00000000-0002-0000-0900-00003E000000}">
          <x14:formula1>
            <xm:f>DropDownMenu!$BK$2:$BK$11</xm:f>
          </x14:formula1>
          <xm:sqref>BU2:BU5000</xm:sqref>
        </x14:dataValidation>
        <x14:dataValidation type="list" allowBlank="1" xr:uid="{00000000-0002-0000-0900-00003F000000}">
          <x14:formula1>
            <xm:f>DropDownMenu!$BL$2:$BL$9</xm:f>
          </x14:formula1>
          <xm:sqref>BV2:BV5000</xm:sqref>
        </x14:dataValidation>
        <x14:dataValidation type="list" allowBlank="1" xr:uid="{00000000-0002-0000-0900-000040000000}">
          <x14:formula1>
            <xm:f>DropDownMenu!$BM$2:$BM$2</xm:f>
          </x14:formula1>
          <xm:sqref>BW2:BW5000</xm:sqref>
        </x14:dataValidation>
        <x14:dataValidation type="list" allowBlank="1" xr:uid="{00000000-0002-0000-0900-000041000000}">
          <x14:formula1>
            <xm:f>DropDownMenu!$BN$2:$BN$2</xm:f>
          </x14:formula1>
          <xm:sqref>BX2:BX5000</xm:sqref>
        </x14:dataValidation>
        <x14:dataValidation type="list" allowBlank="1" xr:uid="{00000000-0002-0000-0900-000042000000}">
          <x14:formula1>
            <xm:f>DropDownMenu!$BO$2:$BO$2</xm:f>
          </x14:formula1>
          <xm:sqref>BY2:BY5000</xm:sqref>
        </x14:dataValidation>
        <x14:dataValidation type="list" allowBlank="1" xr:uid="{00000000-0002-0000-0900-000043000000}">
          <x14:formula1>
            <xm:f>DropDownMenu!$BP$2:$BP$9</xm:f>
          </x14:formula1>
          <xm:sqref>BZ2:BZ5000</xm:sqref>
        </x14:dataValidation>
        <x14:dataValidation type="list" allowBlank="1" xr:uid="{00000000-0002-0000-0900-000044000000}">
          <x14:formula1>
            <xm:f>DropDownMenu!$BQ$2:$BQ$11</xm:f>
          </x14:formula1>
          <xm:sqref>CA2:CA5000</xm:sqref>
        </x14:dataValidation>
        <x14:dataValidation type="list" allowBlank="1" xr:uid="{00000000-0002-0000-0900-000045000000}">
          <x14:formula1>
            <xm:f>DropDownMenu!$BR$2:$BR$3</xm:f>
          </x14:formula1>
          <xm:sqref>CB2:CB5000</xm:sqref>
        </x14:dataValidation>
        <x14:dataValidation type="list" allowBlank="1" xr:uid="{00000000-0002-0000-0900-000046000000}">
          <x14:formula1>
            <xm:f>DropDownMenu!$BS$2:$BS$4</xm:f>
          </x14:formula1>
          <xm:sqref>CC2:CC5000</xm:sqref>
        </x14:dataValidation>
        <x14:dataValidation type="list" allowBlank="1" xr:uid="{00000000-0002-0000-0900-000047000000}">
          <x14:formula1>
            <xm:f>DropDownMenu!$BT$2:$BT$2</xm:f>
          </x14:formula1>
          <xm:sqref>CE2:CE5000</xm:sqref>
        </x14:dataValidation>
        <x14:dataValidation type="list" allowBlank="1" xr:uid="{00000000-0002-0000-0900-000048000000}">
          <x14:formula1>
            <xm:f>DropDownMenu!$BU$2:$BU$81</xm:f>
          </x14:formula1>
          <xm:sqref>CF2:CF5000</xm:sqref>
        </x14:dataValidation>
        <x14:dataValidation type="list" allowBlank="1" xr:uid="{00000000-0002-0000-0900-000049000000}">
          <x14:formula1>
            <xm:f>DropDownMenu!$BV$2:$BV$3</xm:f>
          </x14:formula1>
          <xm:sqref>CG2:CG5000</xm:sqref>
        </x14:dataValidation>
        <x14:dataValidation type="list" allowBlank="1" xr:uid="{00000000-0002-0000-0900-00004A000000}">
          <x14:formula1>
            <xm:f>DropDownMenu!$BW$2:$BW$7</xm:f>
          </x14:formula1>
          <xm:sqref>CH2:CH5000</xm:sqref>
        </x14:dataValidation>
        <x14:dataValidation type="list" allowBlank="1" xr:uid="{00000000-0002-0000-0900-00004B000000}">
          <x14:formula1>
            <xm:f>DropDownMenu!$BX$2:$BX$9</xm:f>
          </x14:formula1>
          <xm:sqref>CI2:CI5000</xm:sqref>
        </x14:dataValidation>
        <x14:dataValidation type="list" allowBlank="1" xr:uid="{00000000-0002-0000-0900-00004C000000}">
          <x14:formula1>
            <xm:f>DropDownMenu!$BY$2:$BY$9</xm:f>
          </x14:formula1>
          <xm:sqref>CJ2:CJ5000</xm:sqref>
        </x14:dataValidation>
        <x14:dataValidation type="list" allowBlank="1" xr:uid="{00000000-0002-0000-0900-00004D000000}">
          <x14:formula1>
            <xm:f>DropDownMenu!$BZ$2:$BZ$3</xm:f>
          </x14:formula1>
          <xm:sqref>CK2:CK5000</xm:sqref>
        </x14:dataValidation>
        <x14:dataValidation type="list" allowBlank="1" xr:uid="{00000000-0002-0000-0900-00004E000000}">
          <x14:formula1>
            <xm:f>DropDownMenu!$CA$2:$CA$2</xm:f>
          </x14:formula1>
          <xm:sqref>CL2:CL5000</xm:sqref>
        </x14:dataValidation>
        <x14:dataValidation type="list" allowBlank="1" xr:uid="{00000000-0002-0000-0900-00004F000000}">
          <x14:formula1>
            <xm:f>DropDownMenu!$CB$2:$CB$29</xm:f>
          </x14:formula1>
          <xm:sqref>CN2:CN5000</xm:sqref>
        </x14:dataValidation>
        <x14:dataValidation type="list" allowBlank="1" xr:uid="{00000000-0002-0000-0900-000050000000}">
          <x14:formula1>
            <xm:f>DropDownMenu!$CC$2:$CC$2</xm:f>
          </x14:formula1>
          <xm:sqref>CQ2:CQ5000</xm:sqref>
        </x14:dataValidation>
        <x14:dataValidation type="list" allowBlank="1" xr:uid="{00000000-0002-0000-0900-000051000000}">
          <x14:formula1>
            <xm:f>DropDownMenu!$CD$2:$CD$33</xm:f>
          </x14:formula1>
          <xm:sqref>CR2:CR5000</xm:sqref>
        </x14:dataValidation>
        <x14:dataValidation type="list" allowBlank="1" xr:uid="{00000000-0002-0000-0900-000052000000}">
          <x14:formula1>
            <xm:f>DropDownMenu!$CE$2:$CE$2</xm:f>
          </x14:formula1>
          <xm:sqref>CS2:CS5000</xm:sqref>
        </x14:dataValidation>
        <x14:dataValidation type="list" allowBlank="1" xr:uid="{00000000-0002-0000-0900-000053000000}">
          <x14:formula1>
            <xm:f>DropDownMenu!$CF$2:$CF$2</xm:f>
          </x14:formula1>
          <xm:sqref>CT2:CT5000</xm:sqref>
        </x14:dataValidation>
        <x14:dataValidation type="list" allowBlank="1" xr:uid="{00000000-0002-0000-0900-000054000000}">
          <x14:formula1>
            <xm:f>DropDownMenu!$CG$2:$CG$2</xm:f>
          </x14:formula1>
          <xm:sqref>CU2:CU5000</xm:sqref>
        </x14:dataValidation>
        <x14:dataValidation type="list" allowBlank="1" xr:uid="{00000000-0002-0000-0900-000055000000}">
          <x14:formula1>
            <xm:f>DropDownMenu!$CH$2:$CH$2</xm:f>
          </x14:formula1>
          <xm:sqref>CV2:CV5000</xm:sqref>
        </x14:dataValidation>
        <x14:dataValidation type="list" allowBlank="1" xr:uid="{00000000-0002-0000-0900-000056000000}">
          <x14:formula1>
            <xm:f>DropDownMenu!$CI$2:$CI$8</xm:f>
          </x14:formula1>
          <xm:sqref>CW2:CW5000</xm:sqref>
        </x14:dataValidation>
        <x14:dataValidation type="list" allowBlank="1" xr:uid="{00000000-0002-0000-0900-000057000000}">
          <x14:formula1>
            <xm:f>DropDownMenu!$CJ$2:$CJ$8</xm:f>
          </x14:formula1>
          <xm:sqref>CX2:CX5000</xm:sqref>
        </x14:dataValidation>
        <x14:dataValidation type="list" allowBlank="1" xr:uid="{00000000-0002-0000-0900-000058000000}">
          <x14:formula1>
            <xm:f>DropDownMenu!$CK$2:$CK$8</xm:f>
          </x14:formula1>
          <xm:sqref>CY2:CY5000</xm:sqref>
        </x14:dataValidation>
        <x14:dataValidation type="list" allowBlank="1" xr:uid="{00000000-0002-0000-0900-000059000000}">
          <x14:formula1>
            <xm:f>DropDownMenu!$CL$2:$CL$6</xm:f>
          </x14:formula1>
          <xm:sqref>CZ2:CZ5000</xm:sqref>
        </x14:dataValidation>
        <x14:dataValidation type="list" allowBlank="1" xr:uid="{00000000-0002-0000-0900-00005A000000}">
          <x14:formula1>
            <xm:f>DropDownMenu!$CM$2:$CM$2</xm:f>
          </x14:formula1>
          <xm:sqref>DA2:DA5000</xm:sqref>
        </x14:dataValidation>
        <x14:dataValidation type="list" allowBlank="1" xr:uid="{00000000-0002-0000-0900-00005B000000}">
          <x14:formula1>
            <xm:f>DropDownMenu!$CN$2:$CN$2</xm:f>
          </x14:formula1>
          <xm:sqref>DB2:DB5000</xm:sqref>
        </x14:dataValidation>
        <x14:dataValidation type="list" allowBlank="1" xr:uid="{00000000-0002-0000-0900-00005C000000}">
          <x14:formula1>
            <xm:f>DropDownMenu!$CO$2:$CO$2</xm:f>
          </x14:formula1>
          <xm:sqref>DC2:DC5000</xm:sqref>
        </x14:dataValidation>
        <x14:dataValidation type="list" allowBlank="1" xr:uid="{00000000-0002-0000-0900-00005D000000}">
          <x14:formula1>
            <xm:f>DropDownMenu!$CP$2:$CP$2</xm:f>
          </x14:formula1>
          <xm:sqref>DD2:DD5000</xm:sqref>
        </x14:dataValidation>
        <x14:dataValidation type="list" allowBlank="1" xr:uid="{00000000-0002-0000-0900-00005E000000}">
          <x14:formula1>
            <xm:f>DropDownMenu!$CQ$2:$CQ$2</xm:f>
          </x14:formula1>
          <xm:sqref>DE2:DE5000</xm:sqref>
        </x14:dataValidation>
        <x14:dataValidation type="list" allowBlank="1" xr:uid="{00000000-0002-0000-0900-00005F000000}">
          <x14:formula1>
            <xm:f>DropDownMenu!$CR$2:$CR$2</xm:f>
          </x14:formula1>
          <xm:sqref>DK2:DK5000</xm:sqref>
        </x14:dataValidation>
        <x14:dataValidation type="list" allowBlank="1" xr:uid="{00000000-0002-0000-0900-000060000000}">
          <x14:formula1>
            <xm:f>DropDownMenu!$CS$2:$CS$2</xm:f>
          </x14:formula1>
          <xm:sqref>DL2:DL5000</xm:sqref>
        </x14:dataValidation>
        <x14:dataValidation type="list" allowBlank="1" xr:uid="{00000000-0002-0000-0900-000061000000}">
          <x14:formula1>
            <xm:f>DropDownMenu!$CT$2:$CT$2</xm:f>
          </x14:formula1>
          <xm:sqref>DN2:DN5000</xm:sqref>
        </x14:dataValidation>
        <x14:dataValidation type="list" allowBlank="1" xr:uid="{00000000-0002-0000-0900-000062000000}">
          <x14:formula1>
            <xm:f>DropDownMenu!$CU$2:$CU$5</xm:f>
          </x14:formula1>
          <xm:sqref>DO2:DO5000</xm:sqref>
        </x14:dataValidation>
        <x14:dataValidation type="list" allowBlank="1" xr:uid="{00000000-0002-0000-0900-000063000000}">
          <x14:formula1>
            <xm:f>DropDownMenu!$CV$2:$CV$3</xm:f>
          </x14:formula1>
          <xm:sqref>DQ2:DQ5000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applyStyles="1" summaryRight="0"/>
  </sheetPr>
  <dimension ref="A1:DQ300"/>
  <sheetViews>
    <sheetView tabSelected="1" zoomScale="139" workbookViewId="0">
      <pane xSplit="7" ySplit="1" topLeftCell="U2" activePane="bottomRight" state="frozen"/>
      <selection pane="topRight"/>
      <selection pane="bottomLeft"/>
      <selection pane="bottomRight" activeCell="AF8" sqref="AF8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3" width="4" customWidth="1"/>
    <col min="14" max="14" width="12" customWidth="1"/>
    <col min="15" max="16" width="25" customWidth="1"/>
    <col min="17" max="17" width="4" customWidth="1"/>
    <col min="18" max="20" width="4" customWidth="1" outlineLevel="1"/>
    <col min="21" max="21" width="15" customWidth="1" outlineLevel="1"/>
    <col min="22" max="22" width="10" customWidth="1" outlineLevel="1"/>
    <col min="23" max="28" width="4" customWidth="1" outlineLevel="1"/>
    <col min="29" max="29" width="5" customWidth="1"/>
    <col min="30" max="32" width="10" customWidth="1" outlineLevel="1"/>
    <col min="33" max="35" width="4" customWidth="1" outlineLevel="1"/>
    <col min="36" max="37" width="10" customWidth="1" outlineLevel="1"/>
    <col min="38" max="40" width="4" customWidth="1" outlineLevel="1"/>
    <col min="41" max="42" width="10" customWidth="1" outlineLevel="1"/>
    <col min="43" max="47" width="4" customWidth="1" outlineLevel="1"/>
    <col min="48" max="48" width="10" customWidth="1" outlineLevel="1"/>
    <col min="49" max="49" width="5" customWidth="1" outlineLevel="1"/>
    <col min="50" max="50" width="5" customWidth="1"/>
    <col min="51" max="59" width="4" customWidth="1" outlineLevel="1"/>
    <col min="60" max="60" width="7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4" customWidth="1" outlineLevel="1"/>
    <col min="68" max="68" width="12" customWidth="1" outlineLevel="1"/>
    <col min="69" max="69" width="20" customWidth="1" outlineLevel="1"/>
    <col min="70" max="70" width="5" customWidth="1" outlineLevel="1"/>
    <col min="71" max="72" width="4" customWidth="1" outlineLevel="1"/>
    <col min="73" max="73" width="25" customWidth="1" outlineLevel="1"/>
    <col min="74" max="74" width="5" customWidth="1" outlineLevel="1"/>
    <col min="75" max="75" width="20" customWidth="1"/>
    <col min="76" max="77" width="20" customWidth="1" outlineLevel="1"/>
    <col min="78" max="83" width="4" customWidth="1" outlineLevel="1"/>
    <col min="84" max="84" width="4" customWidth="1"/>
    <col min="85" max="121" width="4" customWidth="1" outlineLevel="1"/>
  </cols>
  <sheetData>
    <row r="1" spans="1:121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1" t="s">
        <v>35</v>
      </c>
      <c r="AK1" s="1" t="s">
        <v>36</v>
      </c>
      <c r="AL1" s="3" t="s">
        <v>37</v>
      </c>
      <c r="AM1" s="3" t="s">
        <v>38</v>
      </c>
      <c r="AN1" s="3" t="s">
        <v>39</v>
      </c>
      <c r="AO1" s="1" t="s">
        <v>40</v>
      </c>
      <c r="AP1" s="1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 t="s">
        <v>65</v>
      </c>
      <c r="BO1" s="1" t="s">
        <v>66</v>
      </c>
      <c r="BP1" s="1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</row>
    <row r="2" spans="1:121" ht="16" customHeight="1" x14ac:dyDescent="0.2">
      <c r="A2" s="18"/>
      <c r="B2" s="18"/>
      <c r="C2" s="18"/>
      <c r="D2" s="18"/>
      <c r="E2" s="18"/>
      <c r="F2" s="18"/>
      <c r="G2" s="19"/>
      <c r="H2" s="20"/>
      <c r="I2" s="20"/>
      <c r="J2" s="20"/>
      <c r="K2" s="20" t="s">
        <v>567</v>
      </c>
      <c r="L2" s="20" t="s">
        <v>785</v>
      </c>
      <c r="M2" s="20"/>
      <c r="N2" s="21" t="s">
        <v>385</v>
      </c>
      <c r="O2" s="20" t="str">
        <f>IFERROR(INDEX([1]_courses_lookup!$C:$C,MATCH(K2&amp;L2,[1]_courses_lookup!$E:$E,0)),"")</f>
        <v>Biblical Hebrew I</v>
      </c>
      <c r="P2" s="20">
        <f>IFERROR(INDEX([1]_courses_lookup!$D:$D,MATCH(K2&amp;L2,[1]_courses_lookup!$E:$E,0)),"")</f>
        <v>0</v>
      </c>
      <c r="Q2" s="20"/>
      <c r="R2" s="20"/>
      <c r="S2" s="20"/>
      <c r="T2" s="20"/>
      <c r="U2" s="20" t="s">
        <v>557</v>
      </c>
      <c r="V2" s="20" t="s">
        <v>607</v>
      </c>
      <c r="W2" s="20" t="s">
        <v>489</v>
      </c>
      <c r="X2" s="20"/>
      <c r="Y2" s="20" t="s">
        <v>766</v>
      </c>
      <c r="Z2" s="20" t="s">
        <v>766</v>
      </c>
      <c r="AA2" s="20" t="s">
        <v>457</v>
      </c>
      <c r="AB2" s="20" t="s">
        <v>634</v>
      </c>
      <c r="AC2" s="20"/>
      <c r="AD2" s="20" t="s">
        <v>4422</v>
      </c>
      <c r="AE2" s="20" t="s">
        <v>4422</v>
      </c>
      <c r="AF2" s="20" t="s">
        <v>4423</v>
      </c>
      <c r="AG2" s="20">
        <f t="shared" ref="AG2" si="0">IF(AND(AE2&lt;&gt;"",AF2&lt;&gt;""),ROUND((AF2-AE2)/7,1),"")</f>
        <v>0.6</v>
      </c>
      <c r="AH2" s="20" t="s">
        <v>390</v>
      </c>
      <c r="AI2" s="20" t="s">
        <v>390</v>
      </c>
      <c r="AJ2" s="20" t="s">
        <v>4424</v>
      </c>
      <c r="AK2" s="20" t="s">
        <v>4425</v>
      </c>
      <c r="AL2" s="20">
        <f t="shared" ref="AL2" si="1">IF(AND(AJ2&lt;&gt;"",AK2&lt;&gt;""),ROUND((AK2-AJ2)/7,1),"")</f>
        <v>0.6</v>
      </c>
      <c r="AM2" s="20" t="s">
        <v>395</v>
      </c>
      <c r="AN2" s="20" t="s">
        <v>390</v>
      </c>
      <c r="AO2" s="20" t="s">
        <v>4426</v>
      </c>
      <c r="AP2" s="20" t="s">
        <v>4427</v>
      </c>
      <c r="AQ2" s="20">
        <f t="shared" ref="AQ2" si="2">IF(AND(AO2&lt;&gt;"",AP2&lt;&gt;""),ROUND((AP2-AO2)/7,1),"")</f>
        <v>12.6</v>
      </c>
      <c r="AR2" s="20" t="s">
        <v>390</v>
      </c>
      <c r="AS2" s="20" t="s">
        <v>390</v>
      </c>
      <c r="AT2" s="20" t="s">
        <v>390</v>
      </c>
      <c r="AU2" s="20" t="s">
        <v>396</v>
      </c>
      <c r="AV2" s="20"/>
      <c r="AW2" s="20" t="s">
        <v>455</v>
      </c>
      <c r="AX2" s="20" t="s">
        <v>456</v>
      </c>
      <c r="AY2" s="20"/>
      <c r="AZ2" s="20" t="s">
        <v>400</v>
      </c>
      <c r="BA2" s="20" t="s">
        <v>401</v>
      </c>
      <c r="BB2" s="20" t="s">
        <v>402</v>
      </c>
      <c r="BC2" s="20" t="s">
        <v>403</v>
      </c>
      <c r="BD2" s="20"/>
      <c r="BE2" s="20"/>
      <c r="BF2" s="20"/>
      <c r="BG2" s="20">
        <f t="shared" ref="BG2" si="3">IF(AD2="","",YEAR(AD2)+IF(MONTH(AD2)&gt;=5,1,0))</f>
        <v>2027</v>
      </c>
      <c r="BH2" s="20" t="str">
        <f t="shared" ref="BH2" si="4">IF(AD2="","",IF(AND(MONTH(AD2)=8,DAY(AD2)&gt;=15),"Fall",IF(MONTH(AD2)&gt;8,"Fall",IF(MONTH(AD2)=5,"Summer",IF(MONTH(AD2)=1,"Spring","")))))</f>
        <v>Summer</v>
      </c>
      <c r="BI2" s="20" t="s">
        <v>563</v>
      </c>
      <c r="BJ2" s="20" t="s">
        <v>696</v>
      </c>
      <c r="BK2" s="22" t="s">
        <v>208</v>
      </c>
      <c r="BL2" s="22" t="str">
        <f>IFERROR(INDEX([1]_names_lookup!$C:$C,MATCH(BK2,[1]_names_lookup!$A:$A,0)),"")</f>
        <v>glanz@andrews.edu</v>
      </c>
      <c r="BM2" s="23" t="str">
        <f>IFERROR(INDEX([1]_names_lookup!$B:$B,MATCH(BK2,[1]_names_lookup!$A:$A,0)),"")</f>
        <v>000162826</v>
      </c>
      <c r="BN2" s="23"/>
      <c r="BO2" s="20"/>
      <c r="BP2" s="20" t="s">
        <v>462</v>
      </c>
      <c r="BQ2" s="20" t="s">
        <v>463</v>
      </c>
      <c r="BR2" s="20" t="s">
        <v>464</v>
      </c>
      <c r="BS2" s="24"/>
      <c r="BT2" s="20"/>
      <c r="BU2" s="20"/>
      <c r="BV2" s="20"/>
      <c r="BW2" s="25"/>
      <c r="BX2" s="25"/>
      <c r="BY2" s="25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4"/>
      <c r="DG2" s="24"/>
      <c r="DH2" s="20"/>
      <c r="DI2" s="20"/>
      <c r="DJ2" s="20"/>
      <c r="DK2" s="20"/>
      <c r="DL2" s="20"/>
      <c r="DM2" s="20"/>
      <c r="DN2" s="20"/>
      <c r="DO2" s="20"/>
      <c r="DP2" s="20"/>
      <c r="DQ2" s="20"/>
    </row>
    <row r="3" spans="1:121" x14ac:dyDescent="0.2">
      <c r="O3" t="str">
        <f>IFERROR(INDEX(_courses_lookup!$C:$C,MATCH(K3&amp;L3,_courses_lookup!$E:$E,0)),"")</f>
        <v/>
      </c>
      <c r="P3" t="str">
        <f>IFERROR(INDEX(_courses_lookup!$D:$D,MATCH(K3&amp;L3,_courses_lookup!$E:$E,0)),"")</f>
        <v/>
      </c>
      <c r="AD3" s="20" t="s">
        <v>4422</v>
      </c>
      <c r="AE3" s="20" t="s">
        <v>4422</v>
      </c>
      <c r="AF3" s="20" t="s">
        <v>4423</v>
      </c>
      <c r="AG3">
        <f t="shared" ref="AG2:AG65" si="5">IF(AND(AE3&lt;&gt;"",AF3&lt;&gt;""),ROUNDUP((AF3-AE3)/7,0),"")</f>
        <v>1</v>
      </c>
      <c r="AI3" t="str">
        <f t="shared" ref="AI2:AI65" si="6">IFERROR(IF(AG3*AH3=0,"",AG3*AH3),"")</f>
        <v/>
      </c>
      <c r="AL3" t="str">
        <f t="shared" ref="AL2:AL65" si="7">IF(AND(AJ3&lt;&gt;"",AK3&lt;&gt;""),ROUNDUP((AK3-AJ3)/7,0),"")</f>
        <v/>
      </c>
      <c r="AN3" t="str">
        <f t="shared" ref="AN2:AN65" si="8">IFERROR(IF(AL3*AM3=0,"",AL3*AM3),"")</f>
        <v/>
      </c>
      <c r="AQ3" t="str">
        <f t="shared" ref="AQ2:AQ65" si="9">IF(AND(AO3&lt;&gt;"",AP3&lt;&gt;""),ROUNDUP((AP3-AO3)/7,0),"")</f>
        <v/>
      </c>
      <c r="AR3" t="str">
        <f t="shared" ref="AR2:AR65" si="10">IFERROR(IF((AU3-(AI3+AN3))/AQ3=0,"",ROUNDUP((AU3-(AI3+AN3))/AQ3,0)),"")</f>
        <v/>
      </c>
      <c r="AS3" t="str">
        <f t="shared" ref="AS2:AS65" si="11">IFERROR(IF((AU3-(AI3+AN3))=0,"",(AU3-(AI3+AN3))),"")</f>
        <v/>
      </c>
      <c r="AT3">
        <f t="shared" ref="AT2:AT65" si="12">IF(AND(AG3="",AQ3=""),AL3,IF(SUM(AG3,AL3,AQ3)=0,"",SUM(AG3,AL3,AQ3)))</f>
        <v>1</v>
      </c>
      <c r="BG3">
        <f t="shared" ref="BG2:BG65" si="13">IF(AD3="","",YEAR(AD3)+IF(MONTH(AD3)&gt;=5,1,0))</f>
        <v>2027</v>
      </c>
      <c r="BH3" t="str">
        <f t="shared" ref="BH2:BH65" si="14">IF(AD3="","",IF(AND(MONTH(AD3)=8,DAY(AD3)&gt;=15),"Fall",IF(MONTH(AD3)&gt;8,"Fall",IF(MONTH(AD3)=5,"Summer",IF(MONTH(AD3)=1,"Spring","")))))</f>
        <v>Summer</v>
      </c>
      <c r="BL3" t="str">
        <f>IFERROR(INDEX(_names_lookup!$C:$C,MATCH(BK3,_names_lookup!$A:$A,0)),"")</f>
        <v/>
      </c>
      <c r="BM3" t="str">
        <f>IFERROR(INDEX(_names_lookup!$B:$B,MATCH(BK3,_names_lookup!$A:$A,0)),"")</f>
        <v/>
      </c>
      <c r="BS3" t="str">
        <f t="shared" ref="BS2:BS65" si="15">IFERROR(IF(BR3*AA3=0,"",BR3*AA3),"")</f>
        <v/>
      </c>
    </row>
    <row r="4" spans="1:121" x14ac:dyDescent="0.2">
      <c r="O4" t="str">
        <f>IFERROR(INDEX(_courses_lookup!$C:$C,MATCH(K4&amp;L4,_courses_lookup!$E:$E,0)),"")</f>
        <v/>
      </c>
      <c r="P4" t="str">
        <f>IFERROR(INDEX(_courses_lookup!$D:$D,MATCH(K4&amp;L4,_courses_lookup!$E:$E,0)),"")</f>
        <v/>
      </c>
      <c r="AG4" t="str">
        <f t="shared" si="5"/>
        <v/>
      </c>
      <c r="AI4" t="str">
        <f t="shared" si="6"/>
        <v/>
      </c>
      <c r="AL4" t="str">
        <f t="shared" si="7"/>
        <v/>
      </c>
      <c r="AN4" t="str">
        <f t="shared" si="8"/>
        <v/>
      </c>
      <c r="AQ4" t="str">
        <f t="shared" si="9"/>
        <v/>
      </c>
      <c r="AR4" t="str">
        <f t="shared" si="10"/>
        <v/>
      </c>
      <c r="AS4" t="str">
        <f t="shared" si="11"/>
        <v/>
      </c>
      <c r="AT4" t="str">
        <f t="shared" si="12"/>
        <v/>
      </c>
      <c r="BG4" t="str">
        <f t="shared" si="13"/>
        <v/>
      </c>
      <c r="BH4" t="str">
        <f t="shared" si="14"/>
        <v/>
      </c>
      <c r="BL4" t="str">
        <f>IFERROR(INDEX(_names_lookup!$C:$C,MATCH(BK4,_names_lookup!$A:$A,0)),"")</f>
        <v/>
      </c>
      <c r="BM4" t="str">
        <f>IFERROR(INDEX(_names_lookup!$B:$B,MATCH(BK4,_names_lookup!$A:$A,0)),"")</f>
        <v/>
      </c>
      <c r="BS4" t="str">
        <f t="shared" si="15"/>
        <v/>
      </c>
    </row>
    <row r="5" spans="1:121" x14ac:dyDescent="0.2">
      <c r="O5" t="str">
        <f>IFERROR(INDEX(_courses_lookup!$C:$C,MATCH(K5&amp;L5,_courses_lookup!$E:$E,0)),"")</f>
        <v/>
      </c>
      <c r="P5" t="str">
        <f>IFERROR(INDEX(_courses_lookup!$D:$D,MATCH(K5&amp;L5,_courses_lookup!$E:$E,0)),"")</f>
        <v/>
      </c>
      <c r="AG5" t="str">
        <f t="shared" si="5"/>
        <v/>
      </c>
      <c r="AI5" t="str">
        <f t="shared" si="6"/>
        <v/>
      </c>
      <c r="AL5" t="str">
        <f t="shared" si="7"/>
        <v/>
      </c>
      <c r="AN5" t="str">
        <f t="shared" si="8"/>
        <v/>
      </c>
      <c r="AQ5" t="str">
        <f t="shared" si="9"/>
        <v/>
      </c>
      <c r="AR5" t="str">
        <f t="shared" si="10"/>
        <v/>
      </c>
      <c r="AS5" t="str">
        <f t="shared" si="11"/>
        <v/>
      </c>
      <c r="AT5" t="str">
        <f t="shared" si="12"/>
        <v/>
      </c>
      <c r="BG5" t="str">
        <f t="shared" si="13"/>
        <v/>
      </c>
      <c r="BH5" t="str">
        <f t="shared" si="14"/>
        <v/>
      </c>
      <c r="BL5" t="str">
        <f>IFERROR(INDEX(_names_lookup!$C:$C,MATCH(BK5,_names_lookup!$A:$A,0)),"")</f>
        <v/>
      </c>
      <c r="BM5" t="str">
        <f>IFERROR(INDEX(_names_lookup!$B:$B,MATCH(BK5,_names_lookup!$A:$A,0)),"")</f>
        <v/>
      </c>
      <c r="BS5" t="str">
        <f t="shared" si="15"/>
        <v/>
      </c>
    </row>
    <row r="6" spans="1:121" x14ac:dyDescent="0.2">
      <c r="O6" t="str">
        <f>IFERROR(INDEX(_courses_lookup!$C:$C,MATCH(K6&amp;L6,_courses_lookup!$E:$E,0)),"")</f>
        <v/>
      </c>
      <c r="P6" t="str">
        <f>IFERROR(INDEX(_courses_lookup!$D:$D,MATCH(K6&amp;L6,_courses_lookup!$E:$E,0)),"")</f>
        <v/>
      </c>
      <c r="AG6" t="str">
        <f t="shared" si="5"/>
        <v/>
      </c>
      <c r="AI6" t="str">
        <f t="shared" si="6"/>
        <v/>
      </c>
      <c r="AL6" t="str">
        <f t="shared" si="7"/>
        <v/>
      </c>
      <c r="AN6" t="str">
        <f t="shared" si="8"/>
        <v/>
      </c>
      <c r="AQ6" t="str">
        <f t="shared" si="9"/>
        <v/>
      </c>
      <c r="AR6" t="str">
        <f t="shared" si="10"/>
        <v/>
      </c>
      <c r="AS6" t="str">
        <f t="shared" si="11"/>
        <v/>
      </c>
      <c r="AT6" t="str">
        <f t="shared" si="12"/>
        <v/>
      </c>
      <c r="BG6" t="str">
        <f t="shared" si="13"/>
        <v/>
      </c>
      <c r="BH6" t="str">
        <f t="shared" si="14"/>
        <v/>
      </c>
      <c r="BL6" t="str">
        <f>IFERROR(INDEX(_names_lookup!$C:$C,MATCH(BK6,_names_lookup!$A:$A,0)),"")</f>
        <v/>
      </c>
      <c r="BM6" t="str">
        <f>IFERROR(INDEX(_names_lookup!$B:$B,MATCH(BK6,_names_lookup!$A:$A,0)),"")</f>
        <v/>
      </c>
      <c r="BS6" t="str">
        <f t="shared" si="15"/>
        <v/>
      </c>
    </row>
    <row r="7" spans="1:121" x14ac:dyDescent="0.2">
      <c r="O7" t="str">
        <f>IFERROR(INDEX(_courses_lookup!$C:$C,MATCH(K7&amp;L7,_courses_lookup!$E:$E,0)),"")</f>
        <v/>
      </c>
      <c r="P7" t="str">
        <f>IFERROR(INDEX(_courses_lookup!$D:$D,MATCH(K7&amp;L7,_courses_lookup!$E:$E,0)),"")</f>
        <v/>
      </c>
      <c r="AG7" t="str">
        <f t="shared" si="5"/>
        <v/>
      </c>
      <c r="AI7" t="str">
        <f t="shared" si="6"/>
        <v/>
      </c>
      <c r="AL7" t="str">
        <f t="shared" si="7"/>
        <v/>
      </c>
      <c r="AN7" t="str">
        <f t="shared" si="8"/>
        <v/>
      </c>
      <c r="AQ7" t="str">
        <f t="shared" si="9"/>
        <v/>
      </c>
      <c r="AR7" t="str">
        <f t="shared" si="10"/>
        <v/>
      </c>
      <c r="AS7" t="str">
        <f t="shared" si="11"/>
        <v/>
      </c>
      <c r="AT7" t="str">
        <f t="shared" si="12"/>
        <v/>
      </c>
      <c r="BG7" t="str">
        <f t="shared" si="13"/>
        <v/>
      </c>
      <c r="BH7" t="str">
        <f t="shared" si="14"/>
        <v/>
      </c>
      <c r="BL7" t="str">
        <f>IFERROR(INDEX(_names_lookup!$C:$C,MATCH(BK7,_names_lookup!$A:$A,0)),"")</f>
        <v/>
      </c>
      <c r="BM7" t="str">
        <f>IFERROR(INDEX(_names_lookup!$B:$B,MATCH(BK7,_names_lookup!$A:$A,0)),"")</f>
        <v/>
      </c>
      <c r="BS7" t="str">
        <f t="shared" si="15"/>
        <v/>
      </c>
    </row>
    <row r="8" spans="1:121" x14ac:dyDescent="0.2">
      <c r="O8" t="str">
        <f>IFERROR(INDEX(_courses_lookup!$C:$C,MATCH(K8&amp;L8,_courses_lookup!$E:$E,0)),"")</f>
        <v/>
      </c>
      <c r="P8" t="str">
        <f>IFERROR(INDEX(_courses_lookup!$D:$D,MATCH(K8&amp;L8,_courses_lookup!$E:$E,0)),"")</f>
        <v/>
      </c>
      <c r="AG8" t="str">
        <f t="shared" si="5"/>
        <v/>
      </c>
      <c r="AI8" t="str">
        <f t="shared" si="6"/>
        <v/>
      </c>
      <c r="AL8" t="str">
        <f t="shared" si="7"/>
        <v/>
      </c>
      <c r="AN8" t="str">
        <f t="shared" si="8"/>
        <v/>
      </c>
      <c r="AQ8" t="str">
        <f t="shared" si="9"/>
        <v/>
      </c>
      <c r="AR8" t="str">
        <f t="shared" si="10"/>
        <v/>
      </c>
      <c r="AS8" t="str">
        <f t="shared" si="11"/>
        <v/>
      </c>
      <c r="AT8" t="str">
        <f t="shared" si="12"/>
        <v/>
      </c>
      <c r="BG8" t="str">
        <f t="shared" si="13"/>
        <v/>
      </c>
      <c r="BH8" t="str">
        <f t="shared" si="14"/>
        <v/>
      </c>
      <c r="BL8" t="str">
        <f>IFERROR(INDEX(_names_lookup!$C:$C,MATCH(BK8,_names_lookup!$A:$A,0)),"")</f>
        <v/>
      </c>
      <c r="BM8" t="str">
        <f>IFERROR(INDEX(_names_lookup!$B:$B,MATCH(BK8,_names_lookup!$A:$A,0)),"")</f>
        <v/>
      </c>
      <c r="BS8" t="str">
        <f t="shared" si="15"/>
        <v/>
      </c>
    </row>
    <row r="9" spans="1:121" x14ac:dyDescent="0.2">
      <c r="O9" t="str">
        <f>IFERROR(INDEX(_courses_lookup!$C:$C,MATCH(K9&amp;L9,_courses_lookup!$E:$E,0)),"")</f>
        <v/>
      </c>
      <c r="P9" t="str">
        <f>IFERROR(INDEX(_courses_lookup!$D:$D,MATCH(K9&amp;L9,_courses_lookup!$E:$E,0)),"")</f>
        <v/>
      </c>
      <c r="AG9" t="str">
        <f t="shared" si="5"/>
        <v/>
      </c>
      <c r="AI9" t="str">
        <f t="shared" si="6"/>
        <v/>
      </c>
      <c r="AL9" t="str">
        <f t="shared" si="7"/>
        <v/>
      </c>
      <c r="AN9" t="str">
        <f t="shared" si="8"/>
        <v/>
      </c>
      <c r="AQ9" t="str">
        <f t="shared" si="9"/>
        <v/>
      </c>
      <c r="AR9" t="str">
        <f t="shared" si="10"/>
        <v/>
      </c>
      <c r="AS9" t="str">
        <f t="shared" si="11"/>
        <v/>
      </c>
      <c r="AT9" t="str">
        <f t="shared" si="12"/>
        <v/>
      </c>
      <c r="BG9" t="str">
        <f t="shared" si="13"/>
        <v/>
      </c>
      <c r="BH9" t="str">
        <f t="shared" si="14"/>
        <v/>
      </c>
      <c r="BL9" t="str">
        <f>IFERROR(INDEX(_names_lookup!$C:$C,MATCH(BK9,_names_lookup!$A:$A,0)),"")</f>
        <v/>
      </c>
      <c r="BM9" t="str">
        <f>IFERROR(INDEX(_names_lookup!$B:$B,MATCH(BK9,_names_lookup!$A:$A,0)),"")</f>
        <v/>
      </c>
      <c r="BS9" t="str">
        <f t="shared" si="15"/>
        <v/>
      </c>
    </row>
    <row r="10" spans="1:121" x14ac:dyDescent="0.2">
      <c r="O10" t="str">
        <f>IFERROR(INDEX(_courses_lookup!$C:$C,MATCH(K10&amp;L10,_courses_lookup!$E:$E,0)),"")</f>
        <v/>
      </c>
      <c r="P10" t="str">
        <f>IFERROR(INDEX(_courses_lookup!$D:$D,MATCH(K10&amp;L10,_courses_lookup!$E:$E,0)),"")</f>
        <v/>
      </c>
      <c r="AG10" t="str">
        <f t="shared" si="5"/>
        <v/>
      </c>
      <c r="AI10" t="str">
        <f t="shared" si="6"/>
        <v/>
      </c>
      <c r="AL10" t="str">
        <f t="shared" si="7"/>
        <v/>
      </c>
      <c r="AN10" t="str">
        <f t="shared" si="8"/>
        <v/>
      </c>
      <c r="AQ10" t="str">
        <f t="shared" si="9"/>
        <v/>
      </c>
      <c r="AR10" t="str">
        <f t="shared" si="10"/>
        <v/>
      </c>
      <c r="AS10" t="str">
        <f t="shared" si="11"/>
        <v/>
      </c>
      <c r="AT10" t="str">
        <f t="shared" si="12"/>
        <v/>
      </c>
      <c r="BG10" t="str">
        <f t="shared" si="13"/>
        <v/>
      </c>
      <c r="BH10" t="str">
        <f t="shared" si="14"/>
        <v/>
      </c>
      <c r="BL10" t="str">
        <f>IFERROR(INDEX(_names_lookup!$C:$C,MATCH(BK10,_names_lookup!$A:$A,0)),"")</f>
        <v/>
      </c>
      <c r="BM10" t="str">
        <f>IFERROR(INDEX(_names_lookup!$B:$B,MATCH(BK10,_names_lookup!$A:$A,0)),"")</f>
        <v/>
      </c>
      <c r="BS10" t="str">
        <f t="shared" si="15"/>
        <v/>
      </c>
    </row>
    <row r="11" spans="1:121" x14ac:dyDescent="0.2">
      <c r="O11" t="str">
        <f>IFERROR(INDEX(_courses_lookup!$C:$C,MATCH(K11&amp;L11,_courses_lookup!$E:$E,0)),"")</f>
        <v/>
      </c>
      <c r="P11" t="str">
        <f>IFERROR(INDEX(_courses_lookup!$D:$D,MATCH(K11&amp;L11,_courses_lookup!$E:$E,0)),"")</f>
        <v/>
      </c>
      <c r="AG11" t="str">
        <f t="shared" si="5"/>
        <v/>
      </c>
      <c r="AI11" t="str">
        <f t="shared" si="6"/>
        <v/>
      </c>
      <c r="AL11" t="str">
        <f t="shared" si="7"/>
        <v/>
      </c>
      <c r="AN11" t="str">
        <f t="shared" si="8"/>
        <v/>
      </c>
      <c r="AQ11" t="str">
        <f t="shared" si="9"/>
        <v/>
      </c>
      <c r="AR11" t="str">
        <f t="shared" si="10"/>
        <v/>
      </c>
      <c r="AS11" t="str">
        <f t="shared" si="11"/>
        <v/>
      </c>
      <c r="AT11" t="str">
        <f t="shared" si="12"/>
        <v/>
      </c>
      <c r="BG11" t="str">
        <f t="shared" si="13"/>
        <v/>
      </c>
      <c r="BH11" t="str">
        <f t="shared" si="14"/>
        <v/>
      </c>
      <c r="BL11" t="str">
        <f>IFERROR(INDEX(_names_lookup!$C:$C,MATCH(BK11,_names_lookup!$A:$A,0)),"")</f>
        <v/>
      </c>
      <c r="BM11" t="str">
        <f>IFERROR(INDEX(_names_lookup!$B:$B,MATCH(BK11,_names_lookup!$A:$A,0)),"")</f>
        <v/>
      </c>
      <c r="BS11" t="str">
        <f t="shared" si="15"/>
        <v/>
      </c>
    </row>
    <row r="12" spans="1:121" x14ac:dyDescent="0.2">
      <c r="O12" t="str">
        <f>IFERROR(INDEX(_courses_lookup!$C:$C,MATCH(K12&amp;L12,_courses_lookup!$E:$E,0)),"")</f>
        <v/>
      </c>
      <c r="P12" t="str">
        <f>IFERROR(INDEX(_courses_lookup!$D:$D,MATCH(K12&amp;L12,_courses_lookup!$E:$E,0)),"")</f>
        <v/>
      </c>
      <c r="AG12" t="str">
        <f t="shared" si="5"/>
        <v/>
      </c>
      <c r="AI12" t="str">
        <f t="shared" si="6"/>
        <v/>
      </c>
      <c r="AL12" t="str">
        <f t="shared" si="7"/>
        <v/>
      </c>
      <c r="AN12" t="str">
        <f t="shared" si="8"/>
        <v/>
      </c>
      <c r="AQ12" t="str">
        <f t="shared" si="9"/>
        <v/>
      </c>
      <c r="AR12" t="str">
        <f t="shared" si="10"/>
        <v/>
      </c>
      <c r="AS12" t="str">
        <f t="shared" si="11"/>
        <v/>
      </c>
      <c r="AT12" t="str">
        <f t="shared" si="12"/>
        <v/>
      </c>
      <c r="BG12" t="str">
        <f t="shared" si="13"/>
        <v/>
      </c>
      <c r="BH12" t="str">
        <f t="shared" si="14"/>
        <v/>
      </c>
      <c r="BL12" t="str">
        <f>IFERROR(INDEX(_names_lookup!$C:$C,MATCH(BK12,_names_lookup!$A:$A,0)),"")</f>
        <v/>
      </c>
      <c r="BM12" t="str">
        <f>IFERROR(INDEX(_names_lookup!$B:$B,MATCH(BK12,_names_lookup!$A:$A,0)),"")</f>
        <v/>
      </c>
      <c r="BS12" t="str">
        <f t="shared" si="15"/>
        <v/>
      </c>
    </row>
    <row r="13" spans="1:121" x14ac:dyDescent="0.2">
      <c r="O13" t="str">
        <f>IFERROR(INDEX(_courses_lookup!$C:$C,MATCH(K13&amp;L13,_courses_lookup!$E:$E,0)),"")</f>
        <v/>
      </c>
      <c r="P13" t="str">
        <f>IFERROR(INDEX(_courses_lookup!$D:$D,MATCH(K13&amp;L13,_courses_lookup!$E:$E,0)),"")</f>
        <v/>
      </c>
      <c r="AG13" t="str">
        <f t="shared" si="5"/>
        <v/>
      </c>
      <c r="AI13" t="str">
        <f t="shared" si="6"/>
        <v/>
      </c>
      <c r="AL13" t="str">
        <f t="shared" si="7"/>
        <v/>
      </c>
      <c r="AN13" t="str">
        <f t="shared" si="8"/>
        <v/>
      </c>
      <c r="AQ13" t="str">
        <f t="shared" si="9"/>
        <v/>
      </c>
      <c r="AR13" t="str">
        <f t="shared" si="10"/>
        <v/>
      </c>
      <c r="AS13" t="str">
        <f t="shared" si="11"/>
        <v/>
      </c>
      <c r="AT13" t="str">
        <f t="shared" si="12"/>
        <v/>
      </c>
      <c r="BG13" t="str">
        <f t="shared" si="13"/>
        <v/>
      </c>
      <c r="BH13" t="str">
        <f t="shared" si="14"/>
        <v/>
      </c>
      <c r="BL13" t="str">
        <f>IFERROR(INDEX(_names_lookup!$C:$C,MATCH(BK13,_names_lookup!$A:$A,0)),"")</f>
        <v/>
      </c>
      <c r="BM13" t="str">
        <f>IFERROR(INDEX(_names_lookup!$B:$B,MATCH(BK13,_names_lookup!$A:$A,0)),"")</f>
        <v/>
      </c>
      <c r="BS13" t="str">
        <f t="shared" si="15"/>
        <v/>
      </c>
    </row>
    <row r="14" spans="1:121" x14ac:dyDescent="0.2">
      <c r="O14" t="str">
        <f>IFERROR(INDEX(_courses_lookup!$C:$C,MATCH(K14&amp;L14,_courses_lookup!$E:$E,0)),"")</f>
        <v/>
      </c>
      <c r="P14" t="str">
        <f>IFERROR(INDEX(_courses_lookup!$D:$D,MATCH(K14&amp;L14,_courses_lookup!$E:$E,0)),"")</f>
        <v/>
      </c>
      <c r="AG14" t="str">
        <f t="shared" si="5"/>
        <v/>
      </c>
      <c r="AI14" t="str">
        <f t="shared" si="6"/>
        <v/>
      </c>
      <c r="AL14" t="str">
        <f t="shared" si="7"/>
        <v/>
      </c>
      <c r="AN14" t="str">
        <f t="shared" si="8"/>
        <v/>
      </c>
      <c r="AQ14" t="str">
        <f t="shared" si="9"/>
        <v/>
      </c>
      <c r="AR14" t="str">
        <f t="shared" si="10"/>
        <v/>
      </c>
      <c r="AS14" t="str">
        <f t="shared" si="11"/>
        <v/>
      </c>
      <c r="AT14" t="str">
        <f t="shared" si="12"/>
        <v/>
      </c>
      <c r="BG14" t="str">
        <f t="shared" si="13"/>
        <v/>
      </c>
      <c r="BH14" t="str">
        <f t="shared" si="14"/>
        <v/>
      </c>
      <c r="BL14" t="str">
        <f>IFERROR(INDEX(_names_lookup!$C:$C,MATCH(BK14,_names_lookup!$A:$A,0)),"")</f>
        <v/>
      </c>
      <c r="BM14" t="str">
        <f>IFERROR(INDEX(_names_lookup!$B:$B,MATCH(BK14,_names_lookup!$A:$A,0)),"")</f>
        <v/>
      </c>
      <c r="BS14" t="str">
        <f t="shared" si="15"/>
        <v/>
      </c>
    </row>
    <row r="15" spans="1:121" x14ac:dyDescent="0.2">
      <c r="O15" t="str">
        <f>IFERROR(INDEX(_courses_lookup!$C:$C,MATCH(K15&amp;L15,_courses_lookup!$E:$E,0)),"")</f>
        <v/>
      </c>
      <c r="P15" t="str">
        <f>IFERROR(INDEX(_courses_lookup!$D:$D,MATCH(K15&amp;L15,_courses_lookup!$E:$E,0)),"")</f>
        <v/>
      </c>
      <c r="AG15" t="str">
        <f t="shared" si="5"/>
        <v/>
      </c>
      <c r="AI15" t="str">
        <f t="shared" si="6"/>
        <v/>
      </c>
      <c r="AL15" t="str">
        <f t="shared" si="7"/>
        <v/>
      </c>
      <c r="AN15" t="str">
        <f t="shared" si="8"/>
        <v/>
      </c>
      <c r="AQ15" t="str">
        <f t="shared" si="9"/>
        <v/>
      </c>
      <c r="AR15" t="str">
        <f t="shared" si="10"/>
        <v/>
      </c>
      <c r="AS15" t="str">
        <f t="shared" si="11"/>
        <v/>
      </c>
      <c r="AT15" t="str">
        <f t="shared" si="12"/>
        <v/>
      </c>
      <c r="BG15" t="str">
        <f t="shared" si="13"/>
        <v/>
      </c>
      <c r="BH15" t="str">
        <f t="shared" si="14"/>
        <v/>
      </c>
      <c r="BL15" t="str">
        <f>IFERROR(INDEX(_names_lookup!$C:$C,MATCH(BK15,_names_lookup!$A:$A,0)),"")</f>
        <v/>
      </c>
      <c r="BM15" t="str">
        <f>IFERROR(INDEX(_names_lookup!$B:$B,MATCH(BK15,_names_lookup!$A:$A,0)),"")</f>
        <v/>
      </c>
      <c r="BS15" t="str">
        <f t="shared" si="15"/>
        <v/>
      </c>
    </row>
    <row r="16" spans="1:121" x14ac:dyDescent="0.2">
      <c r="O16" t="str">
        <f>IFERROR(INDEX(_courses_lookup!$C:$C,MATCH(K16&amp;L16,_courses_lookup!$E:$E,0)),"")</f>
        <v/>
      </c>
      <c r="P16" t="str">
        <f>IFERROR(INDEX(_courses_lookup!$D:$D,MATCH(K16&amp;L16,_courses_lookup!$E:$E,0)),"")</f>
        <v/>
      </c>
      <c r="AG16" t="str">
        <f t="shared" si="5"/>
        <v/>
      </c>
      <c r="AI16" t="str">
        <f t="shared" si="6"/>
        <v/>
      </c>
      <c r="AL16" t="str">
        <f t="shared" si="7"/>
        <v/>
      </c>
      <c r="AN16" t="str">
        <f t="shared" si="8"/>
        <v/>
      </c>
      <c r="AQ16" t="str">
        <f t="shared" si="9"/>
        <v/>
      </c>
      <c r="AR16" t="str">
        <f t="shared" si="10"/>
        <v/>
      </c>
      <c r="AS16" t="str">
        <f t="shared" si="11"/>
        <v/>
      </c>
      <c r="AT16" t="str">
        <f t="shared" si="12"/>
        <v/>
      </c>
      <c r="BG16" t="str">
        <f t="shared" si="13"/>
        <v/>
      </c>
      <c r="BH16" t="str">
        <f t="shared" si="14"/>
        <v/>
      </c>
      <c r="BL16" t="str">
        <f>IFERROR(INDEX(_names_lookup!$C:$C,MATCH(BK16,_names_lookup!$A:$A,0)),"")</f>
        <v/>
      </c>
      <c r="BM16" t="str">
        <f>IFERROR(INDEX(_names_lookup!$B:$B,MATCH(BK16,_names_lookup!$A:$A,0)),"")</f>
        <v/>
      </c>
      <c r="BS16" t="str">
        <f t="shared" si="15"/>
        <v/>
      </c>
    </row>
    <row r="17" spans="15:71" x14ac:dyDescent="0.2">
      <c r="O17" t="str">
        <f>IFERROR(INDEX(_courses_lookup!$C:$C,MATCH(K17&amp;L17,_courses_lookup!$E:$E,0)),"")</f>
        <v/>
      </c>
      <c r="P17" t="str">
        <f>IFERROR(INDEX(_courses_lookup!$D:$D,MATCH(K17&amp;L17,_courses_lookup!$E:$E,0)),"")</f>
        <v/>
      </c>
      <c r="AG17" t="str">
        <f t="shared" si="5"/>
        <v/>
      </c>
      <c r="AI17" t="str">
        <f t="shared" si="6"/>
        <v/>
      </c>
      <c r="AL17" t="str">
        <f t="shared" si="7"/>
        <v/>
      </c>
      <c r="AN17" t="str">
        <f t="shared" si="8"/>
        <v/>
      </c>
      <c r="AQ17" t="str">
        <f t="shared" si="9"/>
        <v/>
      </c>
      <c r="AR17" t="str">
        <f t="shared" si="10"/>
        <v/>
      </c>
      <c r="AS17" t="str">
        <f t="shared" si="11"/>
        <v/>
      </c>
      <c r="AT17" t="str">
        <f t="shared" si="12"/>
        <v/>
      </c>
      <c r="BG17" t="str">
        <f t="shared" si="13"/>
        <v/>
      </c>
      <c r="BH17" t="str">
        <f t="shared" si="14"/>
        <v/>
      </c>
      <c r="BL17" t="str">
        <f>IFERROR(INDEX(_names_lookup!$C:$C,MATCH(BK17,_names_lookup!$A:$A,0)),"")</f>
        <v/>
      </c>
      <c r="BM17" t="str">
        <f>IFERROR(INDEX(_names_lookup!$B:$B,MATCH(BK17,_names_lookup!$A:$A,0)),"")</f>
        <v/>
      </c>
      <c r="BS17" t="str">
        <f t="shared" si="15"/>
        <v/>
      </c>
    </row>
    <row r="18" spans="15:71" x14ac:dyDescent="0.2">
      <c r="O18" t="str">
        <f>IFERROR(INDEX(_courses_lookup!$C:$C,MATCH(K18&amp;L18,_courses_lookup!$E:$E,0)),"")</f>
        <v/>
      </c>
      <c r="P18" t="str">
        <f>IFERROR(INDEX(_courses_lookup!$D:$D,MATCH(K18&amp;L18,_courses_lookup!$E:$E,0)),"")</f>
        <v/>
      </c>
      <c r="AG18" t="str">
        <f t="shared" si="5"/>
        <v/>
      </c>
      <c r="AI18" t="str">
        <f t="shared" si="6"/>
        <v/>
      </c>
      <c r="AL18" t="str">
        <f t="shared" si="7"/>
        <v/>
      </c>
      <c r="AN18" t="str">
        <f t="shared" si="8"/>
        <v/>
      </c>
      <c r="AQ18" t="str">
        <f t="shared" si="9"/>
        <v/>
      </c>
      <c r="AR18" t="str">
        <f t="shared" si="10"/>
        <v/>
      </c>
      <c r="AS18" t="str">
        <f t="shared" si="11"/>
        <v/>
      </c>
      <c r="AT18" t="str">
        <f t="shared" si="12"/>
        <v/>
      </c>
      <c r="BG18" t="str">
        <f t="shared" si="13"/>
        <v/>
      </c>
      <c r="BH18" t="str">
        <f t="shared" si="14"/>
        <v/>
      </c>
      <c r="BL18" t="str">
        <f>IFERROR(INDEX(_names_lookup!$C:$C,MATCH(BK18,_names_lookup!$A:$A,0)),"")</f>
        <v/>
      </c>
      <c r="BM18" t="str">
        <f>IFERROR(INDEX(_names_lookup!$B:$B,MATCH(BK18,_names_lookup!$A:$A,0)),"")</f>
        <v/>
      </c>
      <c r="BS18" t="str">
        <f t="shared" si="15"/>
        <v/>
      </c>
    </row>
    <row r="19" spans="15:71" x14ac:dyDescent="0.2">
      <c r="O19" t="str">
        <f>IFERROR(INDEX(_courses_lookup!$C:$C,MATCH(K19&amp;L19,_courses_lookup!$E:$E,0)),"")</f>
        <v/>
      </c>
      <c r="P19" t="str">
        <f>IFERROR(INDEX(_courses_lookup!$D:$D,MATCH(K19&amp;L19,_courses_lookup!$E:$E,0)),"")</f>
        <v/>
      </c>
      <c r="AG19" t="str">
        <f t="shared" si="5"/>
        <v/>
      </c>
      <c r="AI19" t="str">
        <f t="shared" si="6"/>
        <v/>
      </c>
      <c r="AL19" t="str">
        <f t="shared" si="7"/>
        <v/>
      </c>
      <c r="AN19" t="str">
        <f t="shared" si="8"/>
        <v/>
      </c>
      <c r="AQ19" t="str">
        <f t="shared" si="9"/>
        <v/>
      </c>
      <c r="AR19" t="str">
        <f t="shared" si="10"/>
        <v/>
      </c>
      <c r="AS19" t="str">
        <f t="shared" si="11"/>
        <v/>
      </c>
      <c r="AT19" t="str">
        <f t="shared" si="12"/>
        <v/>
      </c>
      <c r="BG19" t="str">
        <f t="shared" si="13"/>
        <v/>
      </c>
      <c r="BH19" t="str">
        <f t="shared" si="14"/>
        <v/>
      </c>
      <c r="BL19" t="str">
        <f>IFERROR(INDEX(_names_lookup!$C:$C,MATCH(BK19,_names_lookup!$A:$A,0)),"")</f>
        <v/>
      </c>
      <c r="BM19" t="str">
        <f>IFERROR(INDEX(_names_lookup!$B:$B,MATCH(BK19,_names_lookup!$A:$A,0)),"")</f>
        <v/>
      </c>
      <c r="BS19" t="str">
        <f t="shared" si="15"/>
        <v/>
      </c>
    </row>
    <row r="20" spans="15:71" x14ac:dyDescent="0.2">
      <c r="O20" t="str">
        <f>IFERROR(INDEX(_courses_lookup!$C:$C,MATCH(K20&amp;L20,_courses_lookup!$E:$E,0)),"")</f>
        <v/>
      </c>
      <c r="P20" t="str">
        <f>IFERROR(INDEX(_courses_lookup!$D:$D,MATCH(K20&amp;L20,_courses_lookup!$E:$E,0)),"")</f>
        <v/>
      </c>
      <c r="AG20" t="str">
        <f t="shared" si="5"/>
        <v/>
      </c>
      <c r="AI20" t="str">
        <f t="shared" si="6"/>
        <v/>
      </c>
      <c r="AL20" t="str">
        <f t="shared" si="7"/>
        <v/>
      </c>
      <c r="AN20" t="str">
        <f t="shared" si="8"/>
        <v/>
      </c>
      <c r="AQ20" t="str">
        <f t="shared" si="9"/>
        <v/>
      </c>
      <c r="AR20" t="str">
        <f t="shared" si="10"/>
        <v/>
      </c>
      <c r="AS20" t="str">
        <f t="shared" si="11"/>
        <v/>
      </c>
      <c r="AT20" t="str">
        <f t="shared" si="12"/>
        <v/>
      </c>
      <c r="BG20" t="str">
        <f t="shared" si="13"/>
        <v/>
      </c>
      <c r="BH20" t="str">
        <f t="shared" si="14"/>
        <v/>
      </c>
      <c r="BL20" t="str">
        <f>IFERROR(INDEX(_names_lookup!$C:$C,MATCH(BK20,_names_lookup!$A:$A,0)),"")</f>
        <v/>
      </c>
      <c r="BM20" t="str">
        <f>IFERROR(INDEX(_names_lookup!$B:$B,MATCH(BK20,_names_lookup!$A:$A,0)),"")</f>
        <v/>
      </c>
      <c r="BS20" t="str">
        <f t="shared" si="15"/>
        <v/>
      </c>
    </row>
    <row r="21" spans="15:71" x14ac:dyDescent="0.2">
      <c r="O21" t="str">
        <f>IFERROR(INDEX(_courses_lookup!$C:$C,MATCH(K21&amp;L21,_courses_lookup!$E:$E,0)),"")</f>
        <v/>
      </c>
      <c r="P21" t="str">
        <f>IFERROR(INDEX(_courses_lookup!$D:$D,MATCH(K21&amp;L21,_courses_lookup!$E:$E,0)),"")</f>
        <v/>
      </c>
      <c r="AG21" t="str">
        <f t="shared" si="5"/>
        <v/>
      </c>
      <c r="AI21" t="str">
        <f t="shared" si="6"/>
        <v/>
      </c>
      <c r="AL21" t="str">
        <f t="shared" si="7"/>
        <v/>
      </c>
      <c r="AN21" t="str">
        <f t="shared" si="8"/>
        <v/>
      </c>
      <c r="AQ21" t="str">
        <f t="shared" si="9"/>
        <v/>
      </c>
      <c r="AR21" t="str">
        <f t="shared" si="10"/>
        <v/>
      </c>
      <c r="AS21" t="str">
        <f t="shared" si="11"/>
        <v/>
      </c>
      <c r="AT21" t="str">
        <f t="shared" si="12"/>
        <v/>
      </c>
      <c r="BG21" t="str">
        <f t="shared" si="13"/>
        <v/>
      </c>
      <c r="BH21" t="str">
        <f t="shared" si="14"/>
        <v/>
      </c>
      <c r="BL21" t="str">
        <f>IFERROR(INDEX(_names_lookup!$C:$C,MATCH(BK21,_names_lookup!$A:$A,0)),"")</f>
        <v/>
      </c>
      <c r="BM21" t="str">
        <f>IFERROR(INDEX(_names_lookup!$B:$B,MATCH(BK21,_names_lookup!$A:$A,0)),"")</f>
        <v/>
      </c>
      <c r="BS21" t="str">
        <f t="shared" si="15"/>
        <v/>
      </c>
    </row>
    <row r="22" spans="15:71" x14ac:dyDescent="0.2">
      <c r="O22" t="str">
        <f>IFERROR(INDEX(_courses_lookup!$C:$C,MATCH(K22&amp;L22,_courses_lookup!$E:$E,0)),"")</f>
        <v/>
      </c>
      <c r="P22" t="str">
        <f>IFERROR(INDEX(_courses_lookup!$D:$D,MATCH(K22&amp;L22,_courses_lookup!$E:$E,0)),"")</f>
        <v/>
      </c>
      <c r="AG22" t="str">
        <f t="shared" si="5"/>
        <v/>
      </c>
      <c r="AI22" t="str">
        <f t="shared" si="6"/>
        <v/>
      </c>
      <c r="AL22" t="str">
        <f t="shared" si="7"/>
        <v/>
      </c>
      <c r="AN22" t="str">
        <f t="shared" si="8"/>
        <v/>
      </c>
      <c r="AQ22" t="str">
        <f t="shared" si="9"/>
        <v/>
      </c>
      <c r="AR22" t="str">
        <f t="shared" si="10"/>
        <v/>
      </c>
      <c r="AS22" t="str">
        <f t="shared" si="11"/>
        <v/>
      </c>
      <c r="AT22" t="str">
        <f t="shared" si="12"/>
        <v/>
      </c>
      <c r="BG22" t="str">
        <f t="shared" si="13"/>
        <v/>
      </c>
      <c r="BH22" t="str">
        <f t="shared" si="14"/>
        <v/>
      </c>
      <c r="BL22" t="str">
        <f>IFERROR(INDEX(_names_lookup!$C:$C,MATCH(BK22,_names_lookup!$A:$A,0)),"")</f>
        <v/>
      </c>
      <c r="BM22" t="str">
        <f>IFERROR(INDEX(_names_lookup!$B:$B,MATCH(BK22,_names_lookup!$A:$A,0)),"")</f>
        <v/>
      </c>
      <c r="BS22" t="str">
        <f t="shared" si="15"/>
        <v/>
      </c>
    </row>
    <row r="23" spans="15:71" x14ac:dyDescent="0.2">
      <c r="O23" t="str">
        <f>IFERROR(INDEX(_courses_lookup!$C:$C,MATCH(K23&amp;L23,_courses_lookup!$E:$E,0)),"")</f>
        <v/>
      </c>
      <c r="P23" t="str">
        <f>IFERROR(INDEX(_courses_lookup!$D:$D,MATCH(K23&amp;L23,_courses_lookup!$E:$E,0)),"")</f>
        <v/>
      </c>
      <c r="AG23" t="str">
        <f t="shared" si="5"/>
        <v/>
      </c>
      <c r="AI23" t="str">
        <f t="shared" si="6"/>
        <v/>
      </c>
      <c r="AL23" t="str">
        <f t="shared" si="7"/>
        <v/>
      </c>
      <c r="AN23" t="str">
        <f t="shared" si="8"/>
        <v/>
      </c>
      <c r="AQ23" t="str">
        <f t="shared" si="9"/>
        <v/>
      </c>
      <c r="AR23" t="str">
        <f t="shared" si="10"/>
        <v/>
      </c>
      <c r="AS23" t="str">
        <f t="shared" si="11"/>
        <v/>
      </c>
      <c r="AT23" t="str">
        <f t="shared" si="12"/>
        <v/>
      </c>
      <c r="BG23" t="str">
        <f t="shared" si="13"/>
        <v/>
      </c>
      <c r="BH23" t="str">
        <f t="shared" si="14"/>
        <v/>
      </c>
      <c r="BL23" t="str">
        <f>IFERROR(INDEX(_names_lookup!$C:$C,MATCH(BK23,_names_lookup!$A:$A,0)),"")</f>
        <v/>
      </c>
      <c r="BM23" t="str">
        <f>IFERROR(INDEX(_names_lookup!$B:$B,MATCH(BK23,_names_lookup!$A:$A,0)),"")</f>
        <v/>
      </c>
      <c r="BS23" t="str">
        <f t="shared" si="15"/>
        <v/>
      </c>
    </row>
    <row r="24" spans="15:71" x14ac:dyDescent="0.2">
      <c r="O24" t="str">
        <f>IFERROR(INDEX(_courses_lookup!$C:$C,MATCH(K24&amp;L24,_courses_lookup!$E:$E,0)),"")</f>
        <v/>
      </c>
      <c r="P24" t="str">
        <f>IFERROR(INDEX(_courses_lookup!$D:$D,MATCH(K24&amp;L24,_courses_lookup!$E:$E,0)),"")</f>
        <v/>
      </c>
      <c r="AG24" t="str">
        <f t="shared" si="5"/>
        <v/>
      </c>
      <c r="AI24" t="str">
        <f t="shared" si="6"/>
        <v/>
      </c>
      <c r="AL24" t="str">
        <f t="shared" si="7"/>
        <v/>
      </c>
      <c r="AN24" t="str">
        <f t="shared" si="8"/>
        <v/>
      </c>
      <c r="AQ24" t="str">
        <f t="shared" si="9"/>
        <v/>
      </c>
      <c r="AR24" t="str">
        <f t="shared" si="10"/>
        <v/>
      </c>
      <c r="AS24" t="str">
        <f t="shared" si="11"/>
        <v/>
      </c>
      <c r="AT24" t="str">
        <f t="shared" si="12"/>
        <v/>
      </c>
      <c r="BG24" t="str">
        <f t="shared" si="13"/>
        <v/>
      </c>
      <c r="BH24" t="str">
        <f t="shared" si="14"/>
        <v/>
      </c>
      <c r="BL24" t="str">
        <f>IFERROR(INDEX(_names_lookup!$C:$C,MATCH(BK24,_names_lookup!$A:$A,0)),"")</f>
        <v/>
      </c>
      <c r="BM24" t="str">
        <f>IFERROR(INDEX(_names_lookup!$B:$B,MATCH(BK24,_names_lookup!$A:$A,0)),"")</f>
        <v/>
      </c>
      <c r="BS24" t="str">
        <f t="shared" si="15"/>
        <v/>
      </c>
    </row>
    <row r="25" spans="15:71" x14ac:dyDescent="0.2">
      <c r="O25" t="str">
        <f>IFERROR(INDEX(_courses_lookup!$C:$C,MATCH(K25&amp;L25,_courses_lookup!$E:$E,0)),"")</f>
        <v/>
      </c>
      <c r="P25" t="str">
        <f>IFERROR(INDEX(_courses_lookup!$D:$D,MATCH(K25&amp;L25,_courses_lookup!$E:$E,0)),"")</f>
        <v/>
      </c>
      <c r="AG25" t="str">
        <f t="shared" si="5"/>
        <v/>
      </c>
      <c r="AI25" t="str">
        <f t="shared" si="6"/>
        <v/>
      </c>
      <c r="AL25" t="str">
        <f t="shared" si="7"/>
        <v/>
      </c>
      <c r="AN25" t="str">
        <f t="shared" si="8"/>
        <v/>
      </c>
      <c r="AQ25" t="str">
        <f t="shared" si="9"/>
        <v/>
      </c>
      <c r="AR25" t="str">
        <f t="shared" si="10"/>
        <v/>
      </c>
      <c r="AS25" t="str">
        <f t="shared" si="11"/>
        <v/>
      </c>
      <c r="AT25" t="str">
        <f t="shared" si="12"/>
        <v/>
      </c>
      <c r="BG25" t="str">
        <f t="shared" si="13"/>
        <v/>
      </c>
      <c r="BH25" t="str">
        <f t="shared" si="14"/>
        <v/>
      </c>
      <c r="BL25" t="str">
        <f>IFERROR(INDEX(_names_lookup!$C:$C,MATCH(BK25,_names_lookup!$A:$A,0)),"")</f>
        <v/>
      </c>
      <c r="BM25" t="str">
        <f>IFERROR(INDEX(_names_lookup!$B:$B,MATCH(BK25,_names_lookup!$A:$A,0)),"")</f>
        <v/>
      </c>
      <c r="BS25" t="str">
        <f t="shared" si="15"/>
        <v/>
      </c>
    </row>
    <row r="26" spans="15:71" x14ac:dyDescent="0.2">
      <c r="O26" t="str">
        <f>IFERROR(INDEX(_courses_lookup!$C:$C,MATCH(K26&amp;L26,_courses_lookup!$E:$E,0)),"")</f>
        <v/>
      </c>
      <c r="P26" t="str">
        <f>IFERROR(INDEX(_courses_lookup!$D:$D,MATCH(K26&amp;L26,_courses_lookup!$E:$E,0)),"")</f>
        <v/>
      </c>
      <c r="AG26" t="str">
        <f t="shared" si="5"/>
        <v/>
      </c>
      <c r="AI26" t="str">
        <f t="shared" si="6"/>
        <v/>
      </c>
      <c r="AL26" t="str">
        <f t="shared" si="7"/>
        <v/>
      </c>
      <c r="AN26" t="str">
        <f t="shared" si="8"/>
        <v/>
      </c>
      <c r="AQ26" t="str">
        <f t="shared" si="9"/>
        <v/>
      </c>
      <c r="AR26" t="str">
        <f t="shared" si="10"/>
        <v/>
      </c>
      <c r="AS26" t="str">
        <f t="shared" si="11"/>
        <v/>
      </c>
      <c r="AT26" t="str">
        <f t="shared" si="12"/>
        <v/>
      </c>
      <c r="BG26" t="str">
        <f t="shared" si="13"/>
        <v/>
      </c>
      <c r="BH26" t="str">
        <f t="shared" si="14"/>
        <v/>
      </c>
      <c r="BL26" t="str">
        <f>IFERROR(INDEX(_names_lookup!$C:$C,MATCH(BK26,_names_lookup!$A:$A,0)),"")</f>
        <v/>
      </c>
      <c r="BM26" t="str">
        <f>IFERROR(INDEX(_names_lookup!$B:$B,MATCH(BK26,_names_lookup!$A:$A,0)),"")</f>
        <v/>
      </c>
      <c r="BS26" t="str">
        <f t="shared" si="15"/>
        <v/>
      </c>
    </row>
    <row r="27" spans="15:71" x14ac:dyDescent="0.2">
      <c r="O27" t="str">
        <f>IFERROR(INDEX(_courses_lookup!$C:$C,MATCH(K27&amp;L27,_courses_lookup!$E:$E,0)),"")</f>
        <v/>
      </c>
      <c r="P27" t="str">
        <f>IFERROR(INDEX(_courses_lookup!$D:$D,MATCH(K27&amp;L27,_courses_lookup!$E:$E,0)),"")</f>
        <v/>
      </c>
      <c r="AG27" t="str">
        <f t="shared" si="5"/>
        <v/>
      </c>
      <c r="AI27" t="str">
        <f t="shared" si="6"/>
        <v/>
      </c>
      <c r="AL27" t="str">
        <f t="shared" si="7"/>
        <v/>
      </c>
      <c r="AN27" t="str">
        <f t="shared" si="8"/>
        <v/>
      </c>
      <c r="AQ27" t="str">
        <f t="shared" si="9"/>
        <v/>
      </c>
      <c r="AR27" t="str">
        <f t="shared" si="10"/>
        <v/>
      </c>
      <c r="AS27" t="str">
        <f t="shared" si="11"/>
        <v/>
      </c>
      <c r="AT27" t="str">
        <f t="shared" si="12"/>
        <v/>
      </c>
      <c r="BG27" t="str">
        <f t="shared" si="13"/>
        <v/>
      </c>
      <c r="BH27" t="str">
        <f t="shared" si="14"/>
        <v/>
      </c>
      <c r="BL27" t="str">
        <f>IFERROR(INDEX(_names_lookup!$C:$C,MATCH(BK27,_names_lookup!$A:$A,0)),"")</f>
        <v/>
      </c>
      <c r="BM27" t="str">
        <f>IFERROR(INDEX(_names_lookup!$B:$B,MATCH(BK27,_names_lookup!$A:$A,0)),"")</f>
        <v/>
      </c>
      <c r="BS27" t="str">
        <f t="shared" si="15"/>
        <v/>
      </c>
    </row>
    <row r="28" spans="15:71" x14ac:dyDescent="0.2">
      <c r="O28" t="str">
        <f>IFERROR(INDEX(_courses_lookup!$C:$C,MATCH(K28&amp;L28,_courses_lookup!$E:$E,0)),"")</f>
        <v/>
      </c>
      <c r="P28" t="str">
        <f>IFERROR(INDEX(_courses_lookup!$D:$D,MATCH(K28&amp;L28,_courses_lookup!$E:$E,0)),"")</f>
        <v/>
      </c>
      <c r="AG28" t="str">
        <f t="shared" si="5"/>
        <v/>
      </c>
      <c r="AI28" t="str">
        <f t="shared" si="6"/>
        <v/>
      </c>
      <c r="AL28" t="str">
        <f t="shared" si="7"/>
        <v/>
      </c>
      <c r="AN28" t="str">
        <f t="shared" si="8"/>
        <v/>
      </c>
      <c r="AQ28" t="str">
        <f t="shared" si="9"/>
        <v/>
      </c>
      <c r="AR28" t="str">
        <f t="shared" si="10"/>
        <v/>
      </c>
      <c r="AS28" t="str">
        <f t="shared" si="11"/>
        <v/>
      </c>
      <c r="AT28" t="str">
        <f t="shared" si="12"/>
        <v/>
      </c>
      <c r="BG28" t="str">
        <f t="shared" si="13"/>
        <v/>
      </c>
      <c r="BH28" t="str">
        <f t="shared" si="14"/>
        <v/>
      </c>
      <c r="BL28" t="str">
        <f>IFERROR(INDEX(_names_lookup!$C:$C,MATCH(BK28,_names_lookup!$A:$A,0)),"")</f>
        <v/>
      </c>
      <c r="BM28" t="str">
        <f>IFERROR(INDEX(_names_lookup!$B:$B,MATCH(BK28,_names_lookup!$A:$A,0)),"")</f>
        <v/>
      </c>
      <c r="BS28" t="str">
        <f t="shared" si="15"/>
        <v/>
      </c>
    </row>
    <row r="29" spans="15:71" x14ac:dyDescent="0.2">
      <c r="O29" t="str">
        <f>IFERROR(INDEX(_courses_lookup!$C:$C,MATCH(K29&amp;L29,_courses_lookup!$E:$E,0)),"")</f>
        <v/>
      </c>
      <c r="P29" t="str">
        <f>IFERROR(INDEX(_courses_lookup!$D:$D,MATCH(K29&amp;L29,_courses_lookup!$E:$E,0)),"")</f>
        <v/>
      </c>
      <c r="AG29" t="str">
        <f t="shared" si="5"/>
        <v/>
      </c>
      <c r="AI29" t="str">
        <f t="shared" si="6"/>
        <v/>
      </c>
      <c r="AL29" t="str">
        <f t="shared" si="7"/>
        <v/>
      </c>
      <c r="AN29" t="str">
        <f t="shared" si="8"/>
        <v/>
      </c>
      <c r="AQ29" t="str">
        <f t="shared" si="9"/>
        <v/>
      </c>
      <c r="AR29" t="str">
        <f t="shared" si="10"/>
        <v/>
      </c>
      <c r="AS29" t="str">
        <f t="shared" si="11"/>
        <v/>
      </c>
      <c r="AT29" t="str">
        <f t="shared" si="12"/>
        <v/>
      </c>
      <c r="BG29" t="str">
        <f t="shared" si="13"/>
        <v/>
      </c>
      <c r="BH29" t="str">
        <f t="shared" si="14"/>
        <v/>
      </c>
      <c r="BL29" t="str">
        <f>IFERROR(INDEX(_names_lookup!$C:$C,MATCH(BK29,_names_lookup!$A:$A,0)),"")</f>
        <v/>
      </c>
      <c r="BM29" t="str">
        <f>IFERROR(INDEX(_names_lookup!$B:$B,MATCH(BK29,_names_lookup!$A:$A,0)),"")</f>
        <v/>
      </c>
      <c r="BS29" t="str">
        <f t="shared" si="15"/>
        <v/>
      </c>
    </row>
    <row r="30" spans="15:71" x14ac:dyDescent="0.2">
      <c r="O30" t="str">
        <f>IFERROR(INDEX(_courses_lookup!$C:$C,MATCH(K30&amp;L30,_courses_lookup!$E:$E,0)),"")</f>
        <v/>
      </c>
      <c r="P30" t="str">
        <f>IFERROR(INDEX(_courses_lookup!$D:$D,MATCH(K30&amp;L30,_courses_lookup!$E:$E,0)),"")</f>
        <v/>
      </c>
      <c r="AG30" t="str">
        <f t="shared" si="5"/>
        <v/>
      </c>
      <c r="AI30" t="str">
        <f t="shared" si="6"/>
        <v/>
      </c>
      <c r="AL30" t="str">
        <f t="shared" si="7"/>
        <v/>
      </c>
      <c r="AN30" t="str">
        <f t="shared" si="8"/>
        <v/>
      </c>
      <c r="AQ30" t="str">
        <f t="shared" si="9"/>
        <v/>
      </c>
      <c r="AR30" t="str">
        <f t="shared" si="10"/>
        <v/>
      </c>
      <c r="AS30" t="str">
        <f t="shared" si="11"/>
        <v/>
      </c>
      <c r="AT30" t="str">
        <f t="shared" si="12"/>
        <v/>
      </c>
      <c r="BG30" t="str">
        <f t="shared" si="13"/>
        <v/>
      </c>
      <c r="BH30" t="str">
        <f t="shared" si="14"/>
        <v/>
      </c>
      <c r="BL30" t="str">
        <f>IFERROR(INDEX(_names_lookup!$C:$C,MATCH(BK30,_names_lookup!$A:$A,0)),"")</f>
        <v/>
      </c>
      <c r="BM30" t="str">
        <f>IFERROR(INDEX(_names_lookup!$B:$B,MATCH(BK30,_names_lookup!$A:$A,0)),"")</f>
        <v/>
      </c>
      <c r="BS30" t="str">
        <f t="shared" si="15"/>
        <v/>
      </c>
    </row>
    <row r="31" spans="15:71" x14ac:dyDescent="0.2">
      <c r="O31" t="str">
        <f>IFERROR(INDEX(_courses_lookup!$C:$C,MATCH(K31&amp;L31,_courses_lookup!$E:$E,0)),"")</f>
        <v/>
      </c>
      <c r="P31" t="str">
        <f>IFERROR(INDEX(_courses_lookup!$D:$D,MATCH(K31&amp;L31,_courses_lookup!$E:$E,0)),"")</f>
        <v/>
      </c>
      <c r="AG31" t="str">
        <f t="shared" si="5"/>
        <v/>
      </c>
      <c r="AI31" t="str">
        <f t="shared" si="6"/>
        <v/>
      </c>
      <c r="AL31" t="str">
        <f t="shared" si="7"/>
        <v/>
      </c>
      <c r="AN31" t="str">
        <f t="shared" si="8"/>
        <v/>
      </c>
      <c r="AQ31" t="str">
        <f t="shared" si="9"/>
        <v/>
      </c>
      <c r="AR31" t="str">
        <f t="shared" si="10"/>
        <v/>
      </c>
      <c r="AS31" t="str">
        <f t="shared" si="11"/>
        <v/>
      </c>
      <c r="AT31" t="str">
        <f t="shared" si="12"/>
        <v/>
      </c>
      <c r="BG31" t="str">
        <f t="shared" si="13"/>
        <v/>
      </c>
      <c r="BH31" t="str">
        <f t="shared" si="14"/>
        <v/>
      </c>
      <c r="BL31" t="str">
        <f>IFERROR(INDEX(_names_lookup!$C:$C,MATCH(BK31,_names_lookup!$A:$A,0)),"")</f>
        <v/>
      </c>
      <c r="BM31" t="str">
        <f>IFERROR(INDEX(_names_lookup!$B:$B,MATCH(BK31,_names_lookup!$A:$A,0)),"")</f>
        <v/>
      </c>
      <c r="BS31" t="str">
        <f t="shared" si="15"/>
        <v/>
      </c>
    </row>
    <row r="32" spans="15:71" x14ac:dyDescent="0.2">
      <c r="O32" t="str">
        <f>IFERROR(INDEX(_courses_lookup!$C:$C,MATCH(K32&amp;L32,_courses_lookup!$E:$E,0)),"")</f>
        <v/>
      </c>
      <c r="P32" t="str">
        <f>IFERROR(INDEX(_courses_lookup!$D:$D,MATCH(K32&amp;L32,_courses_lookup!$E:$E,0)),"")</f>
        <v/>
      </c>
      <c r="AG32" t="str">
        <f t="shared" si="5"/>
        <v/>
      </c>
      <c r="AI32" t="str">
        <f t="shared" si="6"/>
        <v/>
      </c>
      <c r="AL32" t="str">
        <f t="shared" si="7"/>
        <v/>
      </c>
      <c r="AN32" t="str">
        <f t="shared" si="8"/>
        <v/>
      </c>
      <c r="AQ32" t="str">
        <f t="shared" si="9"/>
        <v/>
      </c>
      <c r="AR32" t="str">
        <f t="shared" si="10"/>
        <v/>
      </c>
      <c r="AS32" t="str">
        <f t="shared" si="11"/>
        <v/>
      </c>
      <c r="AT32" t="str">
        <f t="shared" si="12"/>
        <v/>
      </c>
      <c r="BG32" t="str">
        <f t="shared" si="13"/>
        <v/>
      </c>
      <c r="BH32" t="str">
        <f t="shared" si="14"/>
        <v/>
      </c>
      <c r="BL32" t="str">
        <f>IFERROR(INDEX(_names_lookup!$C:$C,MATCH(BK32,_names_lookup!$A:$A,0)),"")</f>
        <v/>
      </c>
      <c r="BM32" t="str">
        <f>IFERROR(INDEX(_names_lookup!$B:$B,MATCH(BK32,_names_lookup!$A:$A,0)),"")</f>
        <v/>
      </c>
      <c r="BS32" t="str">
        <f t="shared" si="15"/>
        <v/>
      </c>
    </row>
    <row r="33" spans="15:71" x14ac:dyDescent="0.2">
      <c r="O33" t="str">
        <f>IFERROR(INDEX(_courses_lookup!$C:$C,MATCH(K33&amp;L33,_courses_lookup!$E:$E,0)),"")</f>
        <v/>
      </c>
      <c r="P33" t="str">
        <f>IFERROR(INDEX(_courses_lookup!$D:$D,MATCH(K33&amp;L33,_courses_lookup!$E:$E,0)),"")</f>
        <v/>
      </c>
      <c r="AG33" t="str">
        <f t="shared" si="5"/>
        <v/>
      </c>
      <c r="AI33" t="str">
        <f t="shared" si="6"/>
        <v/>
      </c>
      <c r="AL33" t="str">
        <f t="shared" si="7"/>
        <v/>
      </c>
      <c r="AN33" t="str">
        <f t="shared" si="8"/>
        <v/>
      </c>
      <c r="AQ33" t="str">
        <f t="shared" si="9"/>
        <v/>
      </c>
      <c r="AR33" t="str">
        <f t="shared" si="10"/>
        <v/>
      </c>
      <c r="AS33" t="str">
        <f t="shared" si="11"/>
        <v/>
      </c>
      <c r="AT33" t="str">
        <f t="shared" si="12"/>
        <v/>
      </c>
      <c r="BG33" t="str">
        <f t="shared" si="13"/>
        <v/>
      </c>
      <c r="BH33" t="str">
        <f t="shared" si="14"/>
        <v/>
      </c>
      <c r="BL33" t="str">
        <f>IFERROR(INDEX(_names_lookup!$C:$C,MATCH(BK33,_names_lookup!$A:$A,0)),"")</f>
        <v/>
      </c>
      <c r="BM33" t="str">
        <f>IFERROR(INDEX(_names_lookup!$B:$B,MATCH(BK33,_names_lookup!$A:$A,0)),"")</f>
        <v/>
      </c>
      <c r="BS33" t="str">
        <f t="shared" si="15"/>
        <v/>
      </c>
    </row>
    <row r="34" spans="15:71" x14ac:dyDescent="0.2">
      <c r="O34" t="str">
        <f>IFERROR(INDEX(_courses_lookup!$C:$C,MATCH(K34&amp;L34,_courses_lookup!$E:$E,0)),"")</f>
        <v/>
      </c>
      <c r="P34" t="str">
        <f>IFERROR(INDEX(_courses_lookup!$D:$D,MATCH(K34&amp;L34,_courses_lookup!$E:$E,0)),"")</f>
        <v/>
      </c>
      <c r="AG34" t="str">
        <f t="shared" si="5"/>
        <v/>
      </c>
      <c r="AI34" t="str">
        <f t="shared" si="6"/>
        <v/>
      </c>
      <c r="AL34" t="str">
        <f t="shared" si="7"/>
        <v/>
      </c>
      <c r="AN34" t="str">
        <f t="shared" si="8"/>
        <v/>
      </c>
      <c r="AQ34" t="str">
        <f t="shared" si="9"/>
        <v/>
      </c>
      <c r="AR34" t="str">
        <f t="shared" si="10"/>
        <v/>
      </c>
      <c r="AS34" t="str">
        <f t="shared" si="11"/>
        <v/>
      </c>
      <c r="AT34" t="str">
        <f t="shared" si="12"/>
        <v/>
      </c>
      <c r="BG34" t="str">
        <f t="shared" si="13"/>
        <v/>
      </c>
      <c r="BH34" t="str">
        <f t="shared" si="14"/>
        <v/>
      </c>
      <c r="BL34" t="str">
        <f>IFERROR(INDEX(_names_lookup!$C:$C,MATCH(BK34,_names_lookup!$A:$A,0)),"")</f>
        <v/>
      </c>
      <c r="BM34" t="str">
        <f>IFERROR(INDEX(_names_lookup!$B:$B,MATCH(BK34,_names_lookup!$A:$A,0)),"")</f>
        <v/>
      </c>
      <c r="BS34" t="str">
        <f t="shared" si="15"/>
        <v/>
      </c>
    </row>
    <row r="35" spans="15:71" x14ac:dyDescent="0.2">
      <c r="O35" t="str">
        <f>IFERROR(INDEX(_courses_lookup!$C:$C,MATCH(K35&amp;L35,_courses_lookup!$E:$E,0)),"")</f>
        <v/>
      </c>
      <c r="P35" t="str">
        <f>IFERROR(INDEX(_courses_lookup!$D:$D,MATCH(K35&amp;L35,_courses_lookup!$E:$E,0)),"")</f>
        <v/>
      </c>
      <c r="AG35" t="str">
        <f t="shared" si="5"/>
        <v/>
      </c>
      <c r="AI35" t="str">
        <f t="shared" si="6"/>
        <v/>
      </c>
      <c r="AL35" t="str">
        <f t="shared" si="7"/>
        <v/>
      </c>
      <c r="AN35" t="str">
        <f t="shared" si="8"/>
        <v/>
      </c>
      <c r="AQ35" t="str">
        <f t="shared" si="9"/>
        <v/>
      </c>
      <c r="AR35" t="str">
        <f t="shared" si="10"/>
        <v/>
      </c>
      <c r="AS35" t="str">
        <f t="shared" si="11"/>
        <v/>
      </c>
      <c r="AT35" t="str">
        <f t="shared" si="12"/>
        <v/>
      </c>
      <c r="BG35" t="str">
        <f t="shared" si="13"/>
        <v/>
      </c>
      <c r="BH35" t="str">
        <f t="shared" si="14"/>
        <v/>
      </c>
      <c r="BL35" t="str">
        <f>IFERROR(INDEX(_names_lookup!$C:$C,MATCH(BK35,_names_lookup!$A:$A,0)),"")</f>
        <v/>
      </c>
      <c r="BM35" t="str">
        <f>IFERROR(INDEX(_names_lookup!$B:$B,MATCH(BK35,_names_lookup!$A:$A,0)),"")</f>
        <v/>
      </c>
      <c r="BS35" t="str">
        <f t="shared" si="15"/>
        <v/>
      </c>
    </row>
    <row r="36" spans="15:71" x14ac:dyDescent="0.2">
      <c r="O36" t="str">
        <f>IFERROR(INDEX(_courses_lookup!$C:$C,MATCH(K36&amp;L36,_courses_lookup!$E:$E,0)),"")</f>
        <v/>
      </c>
      <c r="P36" t="str">
        <f>IFERROR(INDEX(_courses_lookup!$D:$D,MATCH(K36&amp;L36,_courses_lookup!$E:$E,0)),"")</f>
        <v/>
      </c>
      <c r="AG36" t="str">
        <f t="shared" si="5"/>
        <v/>
      </c>
      <c r="AI36" t="str">
        <f t="shared" si="6"/>
        <v/>
      </c>
      <c r="AL36" t="str">
        <f t="shared" si="7"/>
        <v/>
      </c>
      <c r="AN36" t="str">
        <f t="shared" si="8"/>
        <v/>
      </c>
      <c r="AQ36" t="str">
        <f t="shared" si="9"/>
        <v/>
      </c>
      <c r="AR36" t="str">
        <f t="shared" si="10"/>
        <v/>
      </c>
      <c r="AS36" t="str">
        <f t="shared" si="11"/>
        <v/>
      </c>
      <c r="AT36" t="str">
        <f t="shared" si="12"/>
        <v/>
      </c>
      <c r="BG36" t="str">
        <f t="shared" si="13"/>
        <v/>
      </c>
      <c r="BH36" t="str">
        <f t="shared" si="14"/>
        <v/>
      </c>
      <c r="BL36" t="str">
        <f>IFERROR(INDEX(_names_lookup!$C:$C,MATCH(BK36,_names_lookup!$A:$A,0)),"")</f>
        <v/>
      </c>
      <c r="BM36" t="str">
        <f>IFERROR(INDEX(_names_lookup!$B:$B,MATCH(BK36,_names_lookup!$A:$A,0)),"")</f>
        <v/>
      </c>
      <c r="BS36" t="str">
        <f t="shared" si="15"/>
        <v/>
      </c>
    </row>
    <row r="37" spans="15:71" x14ac:dyDescent="0.2">
      <c r="O37" t="str">
        <f>IFERROR(INDEX(_courses_lookup!$C:$C,MATCH(K37&amp;L37,_courses_lookup!$E:$E,0)),"")</f>
        <v/>
      </c>
      <c r="P37" t="str">
        <f>IFERROR(INDEX(_courses_lookup!$D:$D,MATCH(K37&amp;L37,_courses_lookup!$E:$E,0)),"")</f>
        <v/>
      </c>
      <c r="AG37" t="str">
        <f t="shared" si="5"/>
        <v/>
      </c>
      <c r="AI37" t="str">
        <f t="shared" si="6"/>
        <v/>
      </c>
      <c r="AL37" t="str">
        <f t="shared" si="7"/>
        <v/>
      </c>
      <c r="AN37" t="str">
        <f t="shared" si="8"/>
        <v/>
      </c>
      <c r="AQ37" t="str">
        <f t="shared" si="9"/>
        <v/>
      </c>
      <c r="AR37" t="str">
        <f t="shared" si="10"/>
        <v/>
      </c>
      <c r="AS37" t="str">
        <f t="shared" si="11"/>
        <v/>
      </c>
      <c r="AT37" t="str">
        <f t="shared" si="12"/>
        <v/>
      </c>
      <c r="BG37" t="str">
        <f t="shared" si="13"/>
        <v/>
      </c>
      <c r="BH37" t="str">
        <f t="shared" si="14"/>
        <v/>
      </c>
      <c r="BL37" t="str">
        <f>IFERROR(INDEX(_names_lookup!$C:$C,MATCH(BK37,_names_lookup!$A:$A,0)),"")</f>
        <v/>
      </c>
      <c r="BM37" t="str">
        <f>IFERROR(INDEX(_names_lookup!$B:$B,MATCH(BK37,_names_lookup!$A:$A,0)),"")</f>
        <v/>
      </c>
      <c r="BS37" t="str">
        <f t="shared" si="15"/>
        <v/>
      </c>
    </row>
    <row r="38" spans="15:71" x14ac:dyDescent="0.2">
      <c r="O38" t="str">
        <f>IFERROR(INDEX(_courses_lookup!$C:$C,MATCH(K38&amp;L38,_courses_lookup!$E:$E,0)),"")</f>
        <v/>
      </c>
      <c r="P38" t="str">
        <f>IFERROR(INDEX(_courses_lookup!$D:$D,MATCH(K38&amp;L38,_courses_lookup!$E:$E,0)),"")</f>
        <v/>
      </c>
      <c r="AG38" t="str">
        <f t="shared" si="5"/>
        <v/>
      </c>
      <c r="AI38" t="str">
        <f t="shared" si="6"/>
        <v/>
      </c>
      <c r="AL38" t="str">
        <f t="shared" si="7"/>
        <v/>
      </c>
      <c r="AN38" t="str">
        <f t="shared" si="8"/>
        <v/>
      </c>
      <c r="AQ38" t="str">
        <f t="shared" si="9"/>
        <v/>
      </c>
      <c r="AR38" t="str">
        <f t="shared" si="10"/>
        <v/>
      </c>
      <c r="AS38" t="str">
        <f t="shared" si="11"/>
        <v/>
      </c>
      <c r="AT38" t="str">
        <f t="shared" si="12"/>
        <v/>
      </c>
      <c r="BG38" t="str">
        <f t="shared" si="13"/>
        <v/>
      </c>
      <c r="BH38" t="str">
        <f t="shared" si="14"/>
        <v/>
      </c>
      <c r="BL38" t="str">
        <f>IFERROR(INDEX(_names_lookup!$C:$C,MATCH(BK38,_names_lookup!$A:$A,0)),"")</f>
        <v/>
      </c>
      <c r="BM38" t="str">
        <f>IFERROR(INDEX(_names_lookup!$B:$B,MATCH(BK38,_names_lookup!$A:$A,0)),"")</f>
        <v/>
      </c>
      <c r="BS38" t="str">
        <f t="shared" si="15"/>
        <v/>
      </c>
    </row>
    <row r="39" spans="15:71" x14ac:dyDescent="0.2">
      <c r="O39" t="str">
        <f>IFERROR(INDEX(_courses_lookup!$C:$C,MATCH(K39&amp;L39,_courses_lookup!$E:$E,0)),"")</f>
        <v/>
      </c>
      <c r="P39" t="str">
        <f>IFERROR(INDEX(_courses_lookup!$D:$D,MATCH(K39&amp;L39,_courses_lookup!$E:$E,0)),"")</f>
        <v/>
      </c>
      <c r="AG39" t="str">
        <f t="shared" si="5"/>
        <v/>
      </c>
      <c r="AI39" t="str">
        <f t="shared" si="6"/>
        <v/>
      </c>
      <c r="AL39" t="str">
        <f t="shared" si="7"/>
        <v/>
      </c>
      <c r="AN39" t="str">
        <f t="shared" si="8"/>
        <v/>
      </c>
      <c r="AQ39" t="str">
        <f t="shared" si="9"/>
        <v/>
      </c>
      <c r="AR39" t="str">
        <f t="shared" si="10"/>
        <v/>
      </c>
      <c r="AS39" t="str">
        <f t="shared" si="11"/>
        <v/>
      </c>
      <c r="AT39" t="str">
        <f t="shared" si="12"/>
        <v/>
      </c>
      <c r="BG39" t="str">
        <f t="shared" si="13"/>
        <v/>
      </c>
      <c r="BH39" t="str">
        <f t="shared" si="14"/>
        <v/>
      </c>
      <c r="BL39" t="str">
        <f>IFERROR(INDEX(_names_lookup!$C:$C,MATCH(BK39,_names_lookup!$A:$A,0)),"")</f>
        <v/>
      </c>
      <c r="BM39" t="str">
        <f>IFERROR(INDEX(_names_lookup!$B:$B,MATCH(BK39,_names_lookup!$A:$A,0)),"")</f>
        <v/>
      </c>
      <c r="BS39" t="str">
        <f t="shared" si="15"/>
        <v/>
      </c>
    </row>
    <row r="40" spans="15:71" x14ac:dyDescent="0.2">
      <c r="O40" t="str">
        <f>IFERROR(INDEX(_courses_lookup!$C:$C,MATCH(K40&amp;L40,_courses_lookup!$E:$E,0)),"")</f>
        <v/>
      </c>
      <c r="P40" t="str">
        <f>IFERROR(INDEX(_courses_lookup!$D:$D,MATCH(K40&amp;L40,_courses_lookup!$E:$E,0)),"")</f>
        <v/>
      </c>
      <c r="AG40" t="str">
        <f t="shared" si="5"/>
        <v/>
      </c>
      <c r="AI40" t="str">
        <f t="shared" si="6"/>
        <v/>
      </c>
      <c r="AL40" t="str">
        <f t="shared" si="7"/>
        <v/>
      </c>
      <c r="AN40" t="str">
        <f t="shared" si="8"/>
        <v/>
      </c>
      <c r="AQ40" t="str">
        <f t="shared" si="9"/>
        <v/>
      </c>
      <c r="AR40" t="str">
        <f t="shared" si="10"/>
        <v/>
      </c>
      <c r="AS40" t="str">
        <f t="shared" si="11"/>
        <v/>
      </c>
      <c r="AT40" t="str">
        <f t="shared" si="12"/>
        <v/>
      </c>
      <c r="BG40" t="str">
        <f t="shared" si="13"/>
        <v/>
      </c>
      <c r="BH40" t="str">
        <f t="shared" si="14"/>
        <v/>
      </c>
      <c r="BL40" t="str">
        <f>IFERROR(INDEX(_names_lookup!$C:$C,MATCH(BK40,_names_lookup!$A:$A,0)),"")</f>
        <v/>
      </c>
      <c r="BM40" t="str">
        <f>IFERROR(INDEX(_names_lookup!$B:$B,MATCH(BK40,_names_lookup!$A:$A,0)),"")</f>
        <v/>
      </c>
      <c r="BS40" t="str">
        <f t="shared" si="15"/>
        <v/>
      </c>
    </row>
    <row r="41" spans="15:71" x14ac:dyDescent="0.2">
      <c r="O41" t="str">
        <f>IFERROR(INDEX(_courses_lookup!$C:$C,MATCH(K41&amp;L41,_courses_lookup!$E:$E,0)),"")</f>
        <v/>
      </c>
      <c r="P41" t="str">
        <f>IFERROR(INDEX(_courses_lookup!$D:$D,MATCH(K41&amp;L41,_courses_lookup!$E:$E,0)),"")</f>
        <v/>
      </c>
      <c r="AG41" t="str">
        <f t="shared" si="5"/>
        <v/>
      </c>
      <c r="AI41" t="str">
        <f t="shared" si="6"/>
        <v/>
      </c>
      <c r="AL41" t="str">
        <f t="shared" si="7"/>
        <v/>
      </c>
      <c r="AN41" t="str">
        <f t="shared" si="8"/>
        <v/>
      </c>
      <c r="AQ41" t="str">
        <f t="shared" si="9"/>
        <v/>
      </c>
      <c r="AR41" t="str">
        <f t="shared" si="10"/>
        <v/>
      </c>
      <c r="AS41" t="str">
        <f t="shared" si="11"/>
        <v/>
      </c>
      <c r="AT41" t="str">
        <f t="shared" si="12"/>
        <v/>
      </c>
      <c r="BG41" t="str">
        <f t="shared" si="13"/>
        <v/>
      </c>
      <c r="BH41" t="str">
        <f t="shared" si="14"/>
        <v/>
      </c>
      <c r="BL41" t="str">
        <f>IFERROR(INDEX(_names_lookup!$C:$C,MATCH(BK41,_names_lookup!$A:$A,0)),"")</f>
        <v/>
      </c>
      <c r="BM41" t="str">
        <f>IFERROR(INDEX(_names_lookup!$B:$B,MATCH(BK41,_names_lookup!$A:$A,0)),"")</f>
        <v/>
      </c>
      <c r="BS41" t="str">
        <f t="shared" si="15"/>
        <v/>
      </c>
    </row>
    <row r="42" spans="15:71" x14ac:dyDescent="0.2">
      <c r="O42" t="str">
        <f>IFERROR(INDEX(_courses_lookup!$C:$C,MATCH(K42&amp;L42,_courses_lookup!$E:$E,0)),"")</f>
        <v/>
      </c>
      <c r="P42" t="str">
        <f>IFERROR(INDEX(_courses_lookup!$D:$D,MATCH(K42&amp;L42,_courses_lookup!$E:$E,0)),"")</f>
        <v/>
      </c>
      <c r="AG42" t="str">
        <f t="shared" si="5"/>
        <v/>
      </c>
      <c r="AI42" t="str">
        <f t="shared" si="6"/>
        <v/>
      </c>
      <c r="AL42" t="str">
        <f t="shared" si="7"/>
        <v/>
      </c>
      <c r="AN42" t="str">
        <f t="shared" si="8"/>
        <v/>
      </c>
      <c r="AQ42" t="str">
        <f t="shared" si="9"/>
        <v/>
      </c>
      <c r="AR42" t="str">
        <f t="shared" si="10"/>
        <v/>
      </c>
      <c r="AS42" t="str">
        <f t="shared" si="11"/>
        <v/>
      </c>
      <c r="AT42" t="str">
        <f t="shared" si="12"/>
        <v/>
      </c>
      <c r="BG42" t="str">
        <f t="shared" si="13"/>
        <v/>
      </c>
      <c r="BH42" t="str">
        <f t="shared" si="14"/>
        <v/>
      </c>
      <c r="BL42" t="str">
        <f>IFERROR(INDEX(_names_lookup!$C:$C,MATCH(BK42,_names_lookup!$A:$A,0)),"")</f>
        <v/>
      </c>
      <c r="BM42" t="str">
        <f>IFERROR(INDEX(_names_lookup!$B:$B,MATCH(BK42,_names_lookup!$A:$A,0)),"")</f>
        <v/>
      </c>
      <c r="BS42" t="str">
        <f t="shared" si="15"/>
        <v/>
      </c>
    </row>
    <row r="43" spans="15:71" x14ac:dyDescent="0.2">
      <c r="O43" t="str">
        <f>IFERROR(INDEX(_courses_lookup!$C:$C,MATCH(K43&amp;L43,_courses_lookup!$E:$E,0)),"")</f>
        <v/>
      </c>
      <c r="P43" t="str">
        <f>IFERROR(INDEX(_courses_lookup!$D:$D,MATCH(K43&amp;L43,_courses_lookup!$E:$E,0)),"")</f>
        <v/>
      </c>
      <c r="AG43" t="str">
        <f t="shared" si="5"/>
        <v/>
      </c>
      <c r="AI43" t="str">
        <f t="shared" si="6"/>
        <v/>
      </c>
      <c r="AL43" t="str">
        <f t="shared" si="7"/>
        <v/>
      </c>
      <c r="AN43" t="str">
        <f t="shared" si="8"/>
        <v/>
      </c>
      <c r="AQ43" t="str">
        <f t="shared" si="9"/>
        <v/>
      </c>
      <c r="AR43" t="str">
        <f t="shared" si="10"/>
        <v/>
      </c>
      <c r="AS43" t="str">
        <f t="shared" si="11"/>
        <v/>
      </c>
      <c r="AT43" t="str">
        <f t="shared" si="12"/>
        <v/>
      </c>
      <c r="BG43" t="str">
        <f t="shared" si="13"/>
        <v/>
      </c>
      <c r="BH43" t="str">
        <f t="shared" si="14"/>
        <v/>
      </c>
      <c r="BL43" t="str">
        <f>IFERROR(INDEX(_names_lookup!$C:$C,MATCH(BK43,_names_lookup!$A:$A,0)),"")</f>
        <v/>
      </c>
      <c r="BM43" t="str">
        <f>IFERROR(INDEX(_names_lookup!$B:$B,MATCH(BK43,_names_lookup!$A:$A,0)),"")</f>
        <v/>
      </c>
      <c r="BS43" t="str">
        <f t="shared" si="15"/>
        <v/>
      </c>
    </row>
    <row r="44" spans="15:71" x14ac:dyDescent="0.2">
      <c r="O44" t="str">
        <f>IFERROR(INDEX(_courses_lookup!$C:$C,MATCH(K44&amp;L44,_courses_lookup!$E:$E,0)),"")</f>
        <v/>
      </c>
      <c r="P44" t="str">
        <f>IFERROR(INDEX(_courses_lookup!$D:$D,MATCH(K44&amp;L44,_courses_lookup!$E:$E,0)),"")</f>
        <v/>
      </c>
      <c r="AG44" t="str">
        <f t="shared" si="5"/>
        <v/>
      </c>
      <c r="AI44" t="str">
        <f t="shared" si="6"/>
        <v/>
      </c>
      <c r="AL44" t="str">
        <f t="shared" si="7"/>
        <v/>
      </c>
      <c r="AN44" t="str">
        <f t="shared" si="8"/>
        <v/>
      </c>
      <c r="AQ44" t="str">
        <f t="shared" si="9"/>
        <v/>
      </c>
      <c r="AR44" t="str">
        <f t="shared" si="10"/>
        <v/>
      </c>
      <c r="AS44" t="str">
        <f t="shared" si="11"/>
        <v/>
      </c>
      <c r="AT44" t="str">
        <f t="shared" si="12"/>
        <v/>
      </c>
      <c r="BG44" t="str">
        <f t="shared" si="13"/>
        <v/>
      </c>
      <c r="BH44" t="str">
        <f t="shared" si="14"/>
        <v/>
      </c>
      <c r="BL44" t="str">
        <f>IFERROR(INDEX(_names_lookup!$C:$C,MATCH(BK44,_names_lookup!$A:$A,0)),"")</f>
        <v/>
      </c>
      <c r="BM44" t="str">
        <f>IFERROR(INDEX(_names_lookup!$B:$B,MATCH(BK44,_names_lookup!$A:$A,0)),"")</f>
        <v/>
      </c>
      <c r="BS44" t="str">
        <f t="shared" si="15"/>
        <v/>
      </c>
    </row>
    <row r="45" spans="15:71" x14ac:dyDescent="0.2">
      <c r="O45" t="str">
        <f>IFERROR(INDEX(_courses_lookup!$C:$C,MATCH(K45&amp;L45,_courses_lookup!$E:$E,0)),"")</f>
        <v/>
      </c>
      <c r="P45" t="str">
        <f>IFERROR(INDEX(_courses_lookup!$D:$D,MATCH(K45&amp;L45,_courses_lookup!$E:$E,0)),"")</f>
        <v/>
      </c>
      <c r="AG45" t="str">
        <f t="shared" si="5"/>
        <v/>
      </c>
      <c r="AI45" t="str">
        <f t="shared" si="6"/>
        <v/>
      </c>
      <c r="AL45" t="str">
        <f t="shared" si="7"/>
        <v/>
      </c>
      <c r="AN45" t="str">
        <f t="shared" si="8"/>
        <v/>
      </c>
      <c r="AQ45" t="str">
        <f t="shared" si="9"/>
        <v/>
      </c>
      <c r="AR45" t="str">
        <f t="shared" si="10"/>
        <v/>
      </c>
      <c r="AS45" t="str">
        <f t="shared" si="11"/>
        <v/>
      </c>
      <c r="AT45" t="str">
        <f t="shared" si="12"/>
        <v/>
      </c>
      <c r="BG45" t="str">
        <f t="shared" si="13"/>
        <v/>
      </c>
      <c r="BH45" t="str">
        <f t="shared" si="14"/>
        <v/>
      </c>
      <c r="BL45" t="str">
        <f>IFERROR(INDEX(_names_lookup!$C:$C,MATCH(BK45,_names_lookup!$A:$A,0)),"")</f>
        <v/>
      </c>
      <c r="BM45" t="str">
        <f>IFERROR(INDEX(_names_lookup!$B:$B,MATCH(BK45,_names_lookup!$A:$A,0)),"")</f>
        <v/>
      </c>
      <c r="BS45" t="str">
        <f t="shared" si="15"/>
        <v/>
      </c>
    </row>
    <row r="46" spans="15:71" x14ac:dyDescent="0.2">
      <c r="O46" t="str">
        <f>IFERROR(INDEX(_courses_lookup!$C:$C,MATCH(K46&amp;L46,_courses_lookup!$E:$E,0)),"")</f>
        <v/>
      </c>
      <c r="P46" t="str">
        <f>IFERROR(INDEX(_courses_lookup!$D:$D,MATCH(K46&amp;L46,_courses_lookup!$E:$E,0)),"")</f>
        <v/>
      </c>
      <c r="AG46" t="str">
        <f t="shared" si="5"/>
        <v/>
      </c>
      <c r="AI46" t="str">
        <f t="shared" si="6"/>
        <v/>
      </c>
      <c r="AL46" t="str">
        <f t="shared" si="7"/>
        <v/>
      </c>
      <c r="AN46" t="str">
        <f t="shared" si="8"/>
        <v/>
      </c>
      <c r="AQ46" t="str">
        <f t="shared" si="9"/>
        <v/>
      </c>
      <c r="AR46" t="str">
        <f t="shared" si="10"/>
        <v/>
      </c>
      <c r="AS46" t="str">
        <f t="shared" si="11"/>
        <v/>
      </c>
      <c r="AT46" t="str">
        <f t="shared" si="12"/>
        <v/>
      </c>
      <c r="BG46" t="str">
        <f t="shared" si="13"/>
        <v/>
      </c>
      <c r="BH46" t="str">
        <f t="shared" si="14"/>
        <v/>
      </c>
      <c r="BL46" t="str">
        <f>IFERROR(INDEX(_names_lookup!$C:$C,MATCH(BK46,_names_lookup!$A:$A,0)),"")</f>
        <v/>
      </c>
      <c r="BM46" t="str">
        <f>IFERROR(INDEX(_names_lookup!$B:$B,MATCH(BK46,_names_lookup!$A:$A,0)),"")</f>
        <v/>
      </c>
      <c r="BS46" t="str">
        <f t="shared" si="15"/>
        <v/>
      </c>
    </row>
    <row r="47" spans="15:71" x14ac:dyDescent="0.2">
      <c r="O47" t="str">
        <f>IFERROR(INDEX(_courses_lookup!$C:$C,MATCH(K47&amp;L47,_courses_lookup!$E:$E,0)),"")</f>
        <v/>
      </c>
      <c r="P47" t="str">
        <f>IFERROR(INDEX(_courses_lookup!$D:$D,MATCH(K47&amp;L47,_courses_lookup!$E:$E,0)),"")</f>
        <v/>
      </c>
      <c r="AG47" t="str">
        <f t="shared" si="5"/>
        <v/>
      </c>
      <c r="AI47" t="str">
        <f t="shared" si="6"/>
        <v/>
      </c>
      <c r="AL47" t="str">
        <f t="shared" si="7"/>
        <v/>
      </c>
      <c r="AN47" t="str">
        <f t="shared" si="8"/>
        <v/>
      </c>
      <c r="AQ47" t="str">
        <f t="shared" si="9"/>
        <v/>
      </c>
      <c r="AR47" t="str">
        <f t="shared" si="10"/>
        <v/>
      </c>
      <c r="AS47" t="str">
        <f t="shared" si="11"/>
        <v/>
      </c>
      <c r="AT47" t="str">
        <f t="shared" si="12"/>
        <v/>
      </c>
      <c r="BG47" t="str">
        <f t="shared" si="13"/>
        <v/>
      </c>
      <c r="BH47" t="str">
        <f t="shared" si="14"/>
        <v/>
      </c>
      <c r="BL47" t="str">
        <f>IFERROR(INDEX(_names_lookup!$C:$C,MATCH(BK47,_names_lookup!$A:$A,0)),"")</f>
        <v/>
      </c>
      <c r="BM47" t="str">
        <f>IFERROR(INDEX(_names_lookup!$B:$B,MATCH(BK47,_names_lookup!$A:$A,0)),"")</f>
        <v/>
      </c>
      <c r="BS47" t="str">
        <f t="shared" si="15"/>
        <v/>
      </c>
    </row>
    <row r="48" spans="15:71" x14ac:dyDescent="0.2">
      <c r="O48" t="str">
        <f>IFERROR(INDEX(_courses_lookup!$C:$C,MATCH(K48&amp;L48,_courses_lookup!$E:$E,0)),"")</f>
        <v/>
      </c>
      <c r="P48" t="str">
        <f>IFERROR(INDEX(_courses_lookup!$D:$D,MATCH(K48&amp;L48,_courses_lookup!$E:$E,0)),"")</f>
        <v/>
      </c>
      <c r="AG48" t="str">
        <f t="shared" si="5"/>
        <v/>
      </c>
      <c r="AI48" t="str">
        <f t="shared" si="6"/>
        <v/>
      </c>
      <c r="AL48" t="str">
        <f t="shared" si="7"/>
        <v/>
      </c>
      <c r="AN48" t="str">
        <f t="shared" si="8"/>
        <v/>
      </c>
      <c r="AQ48" t="str">
        <f t="shared" si="9"/>
        <v/>
      </c>
      <c r="AR48" t="str">
        <f t="shared" si="10"/>
        <v/>
      </c>
      <c r="AS48" t="str">
        <f t="shared" si="11"/>
        <v/>
      </c>
      <c r="AT48" t="str">
        <f t="shared" si="12"/>
        <v/>
      </c>
      <c r="BG48" t="str">
        <f t="shared" si="13"/>
        <v/>
      </c>
      <c r="BH48" t="str">
        <f t="shared" si="14"/>
        <v/>
      </c>
      <c r="BL48" t="str">
        <f>IFERROR(INDEX(_names_lookup!$C:$C,MATCH(BK48,_names_lookup!$A:$A,0)),"")</f>
        <v/>
      </c>
      <c r="BM48" t="str">
        <f>IFERROR(INDEX(_names_lookup!$B:$B,MATCH(BK48,_names_lookup!$A:$A,0)),"")</f>
        <v/>
      </c>
      <c r="BS48" t="str">
        <f t="shared" si="15"/>
        <v/>
      </c>
    </row>
    <row r="49" spans="15:71" x14ac:dyDescent="0.2">
      <c r="O49" t="str">
        <f>IFERROR(INDEX(_courses_lookup!$C:$C,MATCH(K49&amp;L49,_courses_lookup!$E:$E,0)),"")</f>
        <v/>
      </c>
      <c r="P49" t="str">
        <f>IFERROR(INDEX(_courses_lookup!$D:$D,MATCH(K49&amp;L49,_courses_lookup!$E:$E,0)),"")</f>
        <v/>
      </c>
      <c r="AG49" t="str">
        <f t="shared" si="5"/>
        <v/>
      </c>
      <c r="AI49" t="str">
        <f t="shared" si="6"/>
        <v/>
      </c>
      <c r="AL49" t="str">
        <f t="shared" si="7"/>
        <v/>
      </c>
      <c r="AN49" t="str">
        <f t="shared" si="8"/>
        <v/>
      </c>
      <c r="AQ49" t="str">
        <f t="shared" si="9"/>
        <v/>
      </c>
      <c r="AR49" t="str">
        <f t="shared" si="10"/>
        <v/>
      </c>
      <c r="AS49" t="str">
        <f t="shared" si="11"/>
        <v/>
      </c>
      <c r="AT49" t="str">
        <f t="shared" si="12"/>
        <v/>
      </c>
      <c r="BG49" t="str">
        <f t="shared" si="13"/>
        <v/>
      </c>
      <c r="BH49" t="str">
        <f t="shared" si="14"/>
        <v/>
      </c>
      <c r="BL49" t="str">
        <f>IFERROR(INDEX(_names_lookup!$C:$C,MATCH(BK49,_names_lookup!$A:$A,0)),"")</f>
        <v/>
      </c>
      <c r="BM49" t="str">
        <f>IFERROR(INDEX(_names_lookup!$B:$B,MATCH(BK49,_names_lookup!$A:$A,0)),"")</f>
        <v/>
      </c>
      <c r="BS49" t="str">
        <f t="shared" si="15"/>
        <v/>
      </c>
    </row>
    <row r="50" spans="15:71" x14ac:dyDescent="0.2">
      <c r="O50" t="str">
        <f>IFERROR(INDEX(_courses_lookup!$C:$C,MATCH(K50&amp;L50,_courses_lookup!$E:$E,0)),"")</f>
        <v/>
      </c>
      <c r="P50" t="str">
        <f>IFERROR(INDEX(_courses_lookup!$D:$D,MATCH(K50&amp;L50,_courses_lookup!$E:$E,0)),"")</f>
        <v/>
      </c>
      <c r="AG50" t="str">
        <f t="shared" si="5"/>
        <v/>
      </c>
      <c r="AI50" t="str">
        <f t="shared" si="6"/>
        <v/>
      </c>
      <c r="AL50" t="str">
        <f t="shared" si="7"/>
        <v/>
      </c>
      <c r="AN50" t="str">
        <f t="shared" si="8"/>
        <v/>
      </c>
      <c r="AQ50" t="str">
        <f t="shared" si="9"/>
        <v/>
      </c>
      <c r="AR50" t="str">
        <f t="shared" si="10"/>
        <v/>
      </c>
      <c r="AS50" t="str">
        <f t="shared" si="11"/>
        <v/>
      </c>
      <c r="AT50" t="str">
        <f t="shared" si="12"/>
        <v/>
      </c>
      <c r="BG50" t="str">
        <f t="shared" si="13"/>
        <v/>
      </c>
      <c r="BH50" t="str">
        <f t="shared" si="14"/>
        <v/>
      </c>
      <c r="BL50" t="str">
        <f>IFERROR(INDEX(_names_lookup!$C:$C,MATCH(BK50,_names_lookup!$A:$A,0)),"")</f>
        <v/>
      </c>
      <c r="BM50" t="str">
        <f>IFERROR(INDEX(_names_lookup!$B:$B,MATCH(BK50,_names_lookup!$A:$A,0)),"")</f>
        <v/>
      </c>
      <c r="BS50" t="str">
        <f t="shared" si="15"/>
        <v/>
      </c>
    </row>
    <row r="51" spans="15:71" x14ac:dyDescent="0.2">
      <c r="O51" t="str">
        <f>IFERROR(INDEX(_courses_lookup!$C:$C,MATCH(K51&amp;L51,_courses_lookup!$E:$E,0)),"")</f>
        <v/>
      </c>
      <c r="P51" t="str">
        <f>IFERROR(INDEX(_courses_lookup!$D:$D,MATCH(K51&amp;L51,_courses_lookup!$E:$E,0)),"")</f>
        <v/>
      </c>
      <c r="AG51" t="str">
        <f t="shared" si="5"/>
        <v/>
      </c>
      <c r="AI51" t="str">
        <f t="shared" si="6"/>
        <v/>
      </c>
      <c r="AL51" t="str">
        <f t="shared" si="7"/>
        <v/>
      </c>
      <c r="AN51" t="str">
        <f t="shared" si="8"/>
        <v/>
      </c>
      <c r="AQ51" t="str">
        <f t="shared" si="9"/>
        <v/>
      </c>
      <c r="AR51" t="str">
        <f t="shared" si="10"/>
        <v/>
      </c>
      <c r="AS51" t="str">
        <f t="shared" si="11"/>
        <v/>
      </c>
      <c r="AT51" t="str">
        <f t="shared" si="12"/>
        <v/>
      </c>
      <c r="BG51" t="str">
        <f t="shared" si="13"/>
        <v/>
      </c>
      <c r="BH51" t="str">
        <f t="shared" si="14"/>
        <v/>
      </c>
      <c r="BL51" t="str">
        <f>IFERROR(INDEX(_names_lookup!$C:$C,MATCH(BK51,_names_lookup!$A:$A,0)),"")</f>
        <v/>
      </c>
      <c r="BM51" t="str">
        <f>IFERROR(INDEX(_names_lookup!$B:$B,MATCH(BK51,_names_lookup!$A:$A,0)),"")</f>
        <v/>
      </c>
      <c r="BS51" t="str">
        <f t="shared" si="15"/>
        <v/>
      </c>
    </row>
    <row r="52" spans="15:71" x14ac:dyDescent="0.2">
      <c r="O52" t="str">
        <f>IFERROR(INDEX(_courses_lookup!$C:$C,MATCH(K52&amp;L52,_courses_lookup!$E:$E,0)),"")</f>
        <v/>
      </c>
      <c r="P52" t="str">
        <f>IFERROR(INDEX(_courses_lookup!$D:$D,MATCH(K52&amp;L52,_courses_lookup!$E:$E,0)),"")</f>
        <v/>
      </c>
      <c r="AG52" t="str">
        <f t="shared" si="5"/>
        <v/>
      </c>
      <c r="AI52" t="str">
        <f t="shared" si="6"/>
        <v/>
      </c>
      <c r="AL52" t="str">
        <f t="shared" si="7"/>
        <v/>
      </c>
      <c r="AN52" t="str">
        <f t="shared" si="8"/>
        <v/>
      </c>
      <c r="AQ52" t="str">
        <f t="shared" si="9"/>
        <v/>
      </c>
      <c r="AR52" t="str">
        <f t="shared" si="10"/>
        <v/>
      </c>
      <c r="AS52" t="str">
        <f t="shared" si="11"/>
        <v/>
      </c>
      <c r="AT52" t="str">
        <f t="shared" si="12"/>
        <v/>
      </c>
      <c r="BG52" t="str">
        <f t="shared" si="13"/>
        <v/>
      </c>
      <c r="BH52" t="str">
        <f t="shared" si="14"/>
        <v/>
      </c>
      <c r="BL52" t="str">
        <f>IFERROR(INDEX(_names_lookup!$C:$C,MATCH(BK52,_names_lookup!$A:$A,0)),"")</f>
        <v/>
      </c>
      <c r="BM52" t="str">
        <f>IFERROR(INDEX(_names_lookup!$B:$B,MATCH(BK52,_names_lookup!$A:$A,0)),"")</f>
        <v/>
      </c>
      <c r="BS52" t="str">
        <f t="shared" si="15"/>
        <v/>
      </c>
    </row>
    <row r="53" spans="15:71" x14ac:dyDescent="0.2">
      <c r="O53" t="str">
        <f>IFERROR(INDEX(_courses_lookup!$C:$C,MATCH(K53&amp;L53,_courses_lookup!$E:$E,0)),"")</f>
        <v/>
      </c>
      <c r="P53" t="str">
        <f>IFERROR(INDEX(_courses_lookup!$D:$D,MATCH(K53&amp;L53,_courses_lookup!$E:$E,0)),"")</f>
        <v/>
      </c>
      <c r="AG53" t="str">
        <f t="shared" si="5"/>
        <v/>
      </c>
      <c r="AI53" t="str">
        <f t="shared" si="6"/>
        <v/>
      </c>
      <c r="AL53" t="str">
        <f t="shared" si="7"/>
        <v/>
      </c>
      <c r="AN53" t="str">
        <f t="shared" si="8"/>
        <v/>
      </c>
      <c r="AQ53" t="str">
        <f t="shared" si="9"/>
        <v/>
      </c>
      <c r="AR53" t="str">
        <f t="shared" si="10"/>
        <v/>
      </c>
      <c r="AS53" t="str">
        <f t="shared" si="11"/>
        <v/>
      </c>
      <c r="AT53" t="str">
        <f t="shared" si="12"/>
        <v/>
      </c>
      <c r="BG53" t="str">
        <f t="shared" si="13"/>
        <v/>
      </c>
      <c r="BH53" t="str">
        <f t="shared" si="14"/>
        <v/>
      </c>
      <c r="BL53" t="str">
        <f>IFERROR(INDEX(_names_lookup!$C:$C,MATCH(BK53,_names_lookup!$A:$A,0)),"")</f>
        <v/>
      </c>
      <c r="BM53" t="str">
        <f>IFERROR(INDEX(_names_lookup!$B:$B,MATCH(BK53,_names_lookup!$A:$A,0)),"")</f>
        <v/>
      </c>
      <c r="BS53" t="str">
        <f t="shared" si="15"/>
        <v/>
      </c>
    </row>
    <row r="54" spans="15:71" x14ac:dyDescent="0.2">
      <c r="O54" t="str">
        <f>IFERROR(INDEX(_courses_lookup!$C:$C,MATCH(K54&amp;L54,_courses_lookup!$E:$E,0)),"")</f>
        <v/>
      </c>
      <c r="P54" t="str">
        <f>IFERROR(INDEX(_courses_lookup!$D:$D,MATCH(K54&amp;L54,_courses_lookup!$E:$E,0)),"")</f>
        <v/>
      </c>
      <c r="AG54" t="str">
        <f t="shared" si="5"/>
        <v/>
      </c>
      <c r="AI54" t="str">
        <f t="shared" si="6"/>
        <v/>
      </c>
      <c r="AL54" t="str">
        <f t="shared" si="7"/>
        <v/>
      </c>
      <c r="AN54" t="str">
        <f t="shared" si="8"/>
        <v/>
      </c>
      <c r="AQ54" t="str">
        <f t="shared" si="9"/>
        <v/>
      </c>
      <c r="AR54" t="str">
        <f t="shared" si="10"/>
        <v/>
      </c>
      <c r="AS54" t="str">
        <f t="shared" si="11"/>
        <v/>
      </c>
      <c r="AT54" t="str">
        <f t="shared" si="12"/>
        <v/>
      </c>
      <c r="BG54" t="str">
        <f t="shared" si="13"/>
        <v/>
      </c>
      <c r="BH54" t="str">
        <f t="shared" si="14"/>
        <v/>
      </c>
      <c r="BL54" t="str">
        <f>IFERROR(INDEX(_names_lookup!$C:$C,MATCH(BK54,_names_lookup!$A:$A,0)),"")</f>
        <v/>
      </c>
      <c r="BM54" t="str">
        <f>IFERROR(INDEX(_names_lookup!$B:$B,MATCH(BK54,_names_lookup!$A:$A,0)),"")</f>
        <v/>
      </c>
      <c r="BS54" t="str">
        <f t="shared" si="15"/>
        <v/>
      </c>
    </row>
    <row r="55" spans="15:71" x14ac:dyDescent="0.2">
      <c r="O55" t="str">
        <f>IFERROR(INDEX(_courses_lookup!$C:$C,MATCH(K55&amp;L55,_courses_lookup!$E:$E,0)),"")</f>
        <v/>
      </c>
      <c r="P55" t="str">
        <f>IFERROR(INDEX(_courses_lookup!$D:$D,MATCH(K55&amp;L55,_courses_lookup!$E:$E,0)),"")</f>
        <v/>
      </c>
      <c r="AG55" t="str">
        <f t="shared" si="5"/>
        <v/>
      </c>
      <c r="AI55" t="str">
        <f t="shared" si="6"/>
        <v/>
      </c>
      <c r="AL55" t="str">
        <f t="shared" si="7"/>
        <v/>
      </c>
      <c r="AN55" t="str">
        <f t="shared" si="8"/>
        <v/>
      </c>
      <c r="AQ55" t="str">
        <f t="shared" si="9"/>
        <v/>
      </c>
      <c r="AR55" t="str">
        <f t="shared" si="10"/>
        <v/>
      </c>
      <c r="AS55" t="str">
        <f t="shared" si="11"/>
        <v/>
      </c>
      <c r="AT55" t="str">
        <f t="shared" si="12"/>
        <v/>
      </c>
      <c r="BG55" t="str">
        <f t="shared" si="13"/>
        <v/>
      </c>
      <c r="BH55" t="str">
        <f t="shared" si="14"/>
        <v/>
      </c>
      <c r="BL55" t="str">
        <f>IFERROR(INDEX(_names_lookup!$C:$C,MATCH(BK55,_names_lookup!$A:$A,0)),"")</f>
        <v/>
      </c>
      <c r="BM55" t="str">
        <f>IFERROR(INDEX(_names_lookup!$B:$B,MATCH(BK55,_names_lookup!$A:$A,0)),"")</f>
        <v/>
      </c>
      <c r="BS55" t="str">
        <f t="shared" si="15"/>
        <v/>
      </c>
    </row>
    <row r="56" spans="15:71" x14ac:dyDescent="0.2">
      <c r="O56" t="str">
        <f>IFERROR(INDEX(_courses_lookup!$C:$C,MATCH(K56&amp;L56,_courses_lookup!$E:$E,0)),"")</f>
        <v/>
      </c>
      <c r="P56" t="str">
        <f>IFERROR(INDEX(_courses_lookup!$D:$D,MATCH(K56&amp;L56,_courses_lookup!$E:$E,0)),"")</f>
        <v/>
      </c>
      <c r="AG56" t="str">
        <f t="shared" si="5"/>
        <v/>
      </c>
      <c r="AI56" t="str">
        <f t="shared" si="6"/>
        <v/>
      </c>
      <c r="AL56" t="str">
        <f t="shared" si="7"/>
        <v/>
      </c>
      <c r="AN56" t="str">
        <f t="shared" si="8"/>
        <v/>
      </c>
      <c r="AQ56" t="str">
        <f t="shared" si="9"/>
        <v/>
      </c>
      <c r="AR56" t="str">
        <f t="shared" si="10"/>
        <v/>
      </c>
      <c r="AS56" t="str">
        <f t="shared" si="11"/>
        <v/>
      </c>
      <c r="AT56" t="str">
        <f t="shared" si="12"/>
        <v/>
      </c>
      <c r="BG56" t="str">
        <f t="shared" si="13"/>
        <v/>
      </c>
      <c r="BH56" t="str">
        <f t="shared" si="14"/>
        <v/>
      </c>
      <c r="BL56" t="str">
        <f>IFERROR(INDEX(_names_lookup!$C:$C,MATCH(BK56,_names_lookup!$A:$A,0)),"")</f>
        <v/>
      </c>
      <c r="BM56" t="str">
        <f>IFERROR(INDEX(_names_lookup!$B:$B,MATCH(BK56,_names_lookup!$A:$A,0)),"")</f>
        <v/>
      </c>
      <c r="BS56" t="str">
        <f t="shared" si="15"/>
        <v/>
      </c>
    </row>
    <row r="57" spans="15:71" x14ac:dyDescent="0.2">
      <c r="O57" t="str">
        <f>IFERROR(INDEX(_courses_lookup!$C:$C,MATCH(K57&amp;L57,_courses_lookup!$E:$E,0)),"")</f>
        <v/>
      </c>
      <c r="P57" t="str">
        <f>IFERROR(INDEX(_courses_lookup!$D:$D,MATCH(K57&amp;L57,_courses_lookup!$E:$E,0)),"")</f>
        <v/>
      </c>
      <c r="AG57" t="str">
        <f t="shared" si="5"/>
        <v/>
      </c>
      <c r="AI57" t="str">
        <f t="shared" si="6"/>
        <v/>
      </c>
      <c r="AL57" t="str">
        <f t="shared" si="7"/>
        <v/>
      </c>
      <c r="AN57" t="str">
        <f t="shared" si="8"/>
        <v/>
      </c>
      <c r="AQ57" t="str">
        <f t="shared" si="9"/>
        <v/>
      </c>
      <c r="AR57" t="str">
        <f t="shared" si="10"/>
        <v/>
      </c>
      <c r="AS57" t="str">
        <f t="shared" si="11"/>
        <v/>
      </c>
      <c r="AT57" t="str">
        <f t="shared" si="12"/>
        <v/>
      </c>
      <c r="BG57" t="str">
        <f t="shared" si="13"/>
        <v/>
      </c>
      <c r="BH57" t="str">
        <f t="shared" si="14"/>
        <v/>
      </c>
      <c r="BL57" t="str">
        <f>IFERROR(INDEX(_names_lookup!$C:$C,MATCH(BK57,_names_lookup!$A:$A,0)),"")</f>
        <v/>
      </c>
      <c r="BM57" t="str">
        <f>IFERROR(INDEX(_names_lookup!$B:$B,MATCH(BK57,_names_lookup!$A:$A,0)),"")</f>
        <v/>
      </c>
      <c r="BS57" t="str">
        <f t="shared" si="15"/>
        <v/>
      </c>
    </row>
    <row r="58" spans="15:71" x14ac:dyDescent="0.2">
      <c r="O58" t="str">
        <f>IFERROR(INDEX(_courses_lookup!$C:$C,MATCH(K58&amp;L58,_courses_lookup!$E:$E,0)),"")</f>
        <v/>
      </c>
      <c r="P58" t="str">
        <f>IFERROR(INDEX(_courses_lookup!$D:$D,MATCH(K58&amp;L58,_courses_lookup!$E:$E,0)),"")</f>
        <v/>
      </c>
      <c r="AG58" t="str">
        <f t="shared" si="5"/>
        <v/>
      </c>
      <c r="AI58" t="str">
        <f t="shared" si="6"/>
        <v/>
      </c>
      <c r="AL58" t="str">
        <f t="shared" si="7"/>
        <v/>
      </c>
      <c r="AN58" t="str">
        <f t="shared" si="8"/>
        <v/>
      </c>
      <c r="AQ58" t="str">
        <f t="shared" si="9"/>
        <v/>
      </c>
      <c r="AR58" t="str">
        <f t="shared" si="10"/>
        <v/>
      </c>
      <c r="AS58" t="str">
        <f t="shared" si="11"/>
        <v/>
      </c>
      <c r="AT58" t="str">
        <f t="shared" si="12"/>
        <v/>
      </c>
      <c r="BG58" t="str">
        <f t="shared" si="13"/>
        <v/>
      </c>
      <c r="BH58" t="str">
        <f t="shared" si="14"/>
        <v/>
      </c>
      <c r="BL58" t="str">
        <f>IFERROR(INDEX(_names_lookup!$C:$C,MATCH(BK58,_names_lookup!$A:$A,0)),"")</f>
        <v/>
      </c>
      <c r="BM58" t="str">
        <f>IFERROR(INDEX(_names_lookup!$B:$B,MATCH(BK58,_names_lookup!$A:$A,0)),"")</f>
        <v/>
      </c>
      <c r="BS58" t="str">
        <f t="shared" si="15"/>
        <v/>
      </c>
    </row>
    <row r="59" spans="15:71" x14ac:dyDescent="0.2">
      <c r="O59" t="str">
        <f>IFERROR(INDEX(_courses_lookup!$C:$C,MATCH(K59&amp;L59,_courses_lookup!$E:$E,0)),"")</f>
        <v/>
      </c>
      <c r="P59" t="str">
        <f>IFERROR(INDEX(_courses_lookup!$D:$D,MATCH(K59&amp;L59,_courses_lookup!$E:$E,0)),"")</f>
        <v/>
      </c>
      <c r="AG59" t="str">
        <f t="shared" si="5"/>
        <v/>
      </c>
      <c r="AI59" t="str">
        <f t="shared" si="6"/>
        <v/>
      </c>
      <c r="AL59" t="str">
        <f t="shared" si="7"/>
        <v/>
      </c>
      <c r="AN59" t="str">
        <f t="shared" si="8"/>
        <v/>
      </c>
      <c r="AQ59" t="str">
        <f t="shared" si="9"/>
        <v/>
      </c>
      <c r="AR59" t="str">
        <f t="shared" si="10"/>
        <v/>
      </c>
      <c r="AS59" t="str">
        <f t="shared" si="11"/>
        <v/>
      </c>
      <c r="AT59" t="str">
        <f t="shared" si="12"/>
        <v/>
      </c>
      <c r="BG59" t="str">
        <f t="shared" si="13"/>
        <v/>
      </c>
      <c r="BH59" t="str">
        <f t="shared" si="14"/>
        <v/>
      </c>
      <c r="BL59" t="str">
        <f>IFERROR(INDEX(_names_lookup!$C:$C,MATCH(BK59,_names_lookup!$A:$A,0)),"")</f>
        <v/>
      </c>
      <c r="BM59" t="str">
        <f>IFERROR(INDEX(_names_lookup!$B:$B,MATCH(BK59,_names_lookup!$A:$A,0)),"")</f>
        <v/>
      </c>
      <c r="BS59" t="str">
        <f t="shared" si="15"/>
        <v/>
      </c>
    </row>
    <row r="60" spans="15:71" x14ac:dyDescent="0.2">
      <c r="O60" t="str">
        <f>IFERROR(INDEX(_courses_lookup!$C:$C,MATCH(K60&amp;L60,_courses_lookup!$E:$E,0)),"")</f>
        <v/>
      </c>
      <c r="P60" t="str">
        <f>IFERROR(INDEX(_courses_lookup!$D:$D,MATCH(K60&amp;L60,_courses_lookup!$E:$E,0)),"")</f>
        <v/>
      </c>
      <c r="AG60" t="str">
        <f t="shared" si="5"/>
        <v/>
      </c>
      <c r="AI60" t="str">
        <f t="shared" si="6"/>
        <v/>
      </c>
      <c r="AL60" t="str">
        <f t="shared" si="7"/>
        <v/>
      </c>
      <c r="AN60" t="str">
        <f t="shared" si="8"/>
        <v/>
      </c>
      <c r="AQ60" t="str">
        <f t="shared" si="9"/>
        <v/>
      </c>
      <c r="AR60" t="str">
        <f t="shared" si="10"/>
        <v/>
      </c>
      <c r="AS60" t="str">
        <f t="shared" si="11"/>
        <v/>
      </c>
      <c r="AT60" t="str">
        <f t="shared" si="12"/>
        <v/>
      </c>
      <c r="BG60" t="str">
        <f t="shared" si="13"/>
        <v/>
      </c>
      <c r="BH60" t="str">
        <f t="shared" si="14"/>
        <v/>
      </c>
      <c r="BL60" t="str">
        <f>IFERROR(INDEX(_names_lookup!$C:$C,MATCH(BK60,_names_lookup!$A:$A,0)),"")</f>
        <v/>
      </c>
      <c r="BM60" t="str">
        <f>IFERROR(INDEX(_names_lookup!$B:$B,MATCH(BK60,_names_lookup!$A:$A,0)),"")</f>
        <v/>
      </c>
      <c r="BS60" t="str">
        <f t="shared" si="15"/>
        <v/>
      </c>
    </row>
    <row r="61" spans="15:71" x14ac:dyDescent="0.2">
      <c r="O61" t="str">
        <f>IFERROR(INDEX(_courses_lookup!$C:$C,MATCH(K61&amp;L61,_courses_lookup!$E:$E,0)),"")</f>
        <v/>
      </c>
      <c r="P61" t="str">
        <f>IFERROR(INDEX(_courses_lookup!$D:$D,MATCH(K61&amp;L61,_courses_lookup!$E:$E,0)),"")</f>
        <v/>
      </c>
      <c r="AG61" t="str">
        <f t="shared" si="5"/>
        <v/>
      </c>
      <c r="AI61" t="str">
        <f t="shared" si="6"/>
        <v/>
      </c>
      <c r="AL61" t="str">
        <f t="shared" si="7"/>
        <v/>
      </c>
      <c r="AN61" t="str">
        <f t="shared" si="8"/>
        <v/>
      </c>
      <c r="AQ61" t="str">
        <f t="shared" si="9"/>
        <v/>
      </c>
      <c r="AR61" t="str">
        <f t="shared" si="10"/>
        <v/>
      </c>
      <c r="AS61" t="str">
        <f t="shared" si="11"/>
        <v/>
      </c>
      <c r="AT61" t="str">
        <f t="shared" si="12"/>
        <v/>
      </c>
      <c r="BG61" t="str">
        <f t="shared" si="13"/>
        <v/>
      </c>
      <c r="BH61" t="str">
        <f t="shared" si="14"/>
        <v/>
      </c>
      <c r="BL61" t="str">
        <f>IFERROR(INDEX(_names_lookup!$C:$C,MATCH(BK61,_names_lookup!$A:$A,0)),"")</f>
        <v/>
      </c>
      <c r="BM61" t="str">
        <f>IFERROR(INDEX(_names_lookup!$B:$B,MATCH(BK61,_names_lookup!$A:$A,0)),"")</f>
        <v/>
      </c>
      <c r="BS61" t="str">
        <f t="shared" si="15"/>
        <v/>
      </c>
    </row>
    <row r="62" spans="15:71" x14ac:dyDescent="0.2">
      <c r="O62" t="str">
        <f>IFERROR(INDEX(_courses_lookup!$C:$C,MATCH(K62&amp;L62,_courses_lookup!$E:$E,0)),"")</f>
        <v/>
      </c>
      <c r="P62" t="str">
        <f>IFERROR(INDEX(_courses_lookup!$D:$D,MATCH(K62&amp;L62,_courses_lookup!$E:$E,0)),"")</f>
        <v/>
      </c>
      <c r="AG62" t="str">
        <f t="shared" si="5"/>
        <v/>
      </c>
      <c r="AI62" t="str">
        <f t="shared" si="6"/>
        <v/>
      </c>
      <c r="AL62" t="str">
        <f t="shared" si="7"/>
        <v/>
      </c>
      <c r="AN62" t="str">
        <f t="shared" si="8"/>
        <v/>
      </c>
      <c r="AQ62" t="str">
        <f t="shared" si="9"/>
        <v/>
      </c>
      <c r="AR62" t="str">
        <f t="shared" si="10"/>
        <v/>
      </c>
      <c r="AS62" t="str">
        <f t="shared" si="11"/>
        <v/>
      </c>
      <c r="AT62" t="str">
        <f t="shared" si="12"/>
        <v/>
      </c>
      <c r="BG62" t="str">
        <f t="shared" si="13"/>
        <v/>
      </c>
      <c r="BH62" t="str">
        <f t="shared" si="14"/>
        <v/>
      </c>
      <c r="BL62" t="str">
        <f>IFERROR(INDEX(_names_lookup!$C:$C,MATCH(BK62,_names_lookup!$A:$A,0)),"")</f>
        <v/>
      </c>
      <c r="BM62" t="str">
        <f>IFERROR(INDEX(_names_lookup!$B:$B,MATCH(BK62,_names_lookup!$A:$A,0)),"")</f>
        <v/>
      </c>
      <c r="BS62" t="str">
        <f t="shared" si="15"/>
        <v/>
      </c>
    </row>
    <row r="63" spans="15:71" x14ac:dyDescent="0.2">
      <c r="O63" t="str">
        <f>IFERROR(INDEX(_courses_lookup!$C:$C,MATCH(K63&amp;L63,_courses_lookup!$E:$E,0)),"")</f>
        <v/>
      </c>
      <c r="P63" t="str">
        <f>IFERROR(INDEX(_courses_lookup!$D:$D,MATCH(K63&amp;L63,_courses_lookup!$E:$E,0)),"")</f>
        <v/>
      </c>
      <c r="AG63" t="str">
        <f t="shared" si="5"/>
        <v/>
      </c>
      <c r="AI63" t="str">
        <f t="shared" si="6"/>
        <v/>
      </c>
      <c r="AL63" t="str">
        <f t="shared" si="7"/>
        <v/>
      </c>
      <c r="AN63" t="str">
        <f t="shared" si="8"/>
        <v/>
      </c>
      <c r="AQ63" t="str">
        <f t="shared" si="9"/>
        <v/>
      </c>
      <c r="AR63" t="str">
        <f t="shared" si="10"/>
        <v/>
      </c>
      <c r="AS63" t="str">
        <f t="shared" si="11"/>
        <v/>
      </c>
      <c r="AT63" t="str">
        <f t="shared" si="12"/>
        <v/>
      </c>
      <c r="BG63" t="str">
        <f t="shared" si="13"/>
        <v/>
      </c>
      <c r="BH63" t="str">
        <f t="shared" si="14"/>
        <v/>
      </c>
      <c r="BL63" t="str">
        <f>IFERROR(INDEX(_names_lookup!$C:$C,MATCH(BK63,_names_lookup!$A:$A,0)),"")</f>
        <v/>
      </c>
      <c r="BM63" t="str">
        <f>IFERROR(INDEX(_names_lookup!$B:$B,MATCH(BK63,_names_lookup!$A:$A,0)),"")</f>
        <v/>
      </c>
      <c r="BS63" t="str">
        <f t="shared" si="15"/>
        <v/>
      </c>
    </row>
    <row r="64" spans="15:71" x14ac:dyDescent="0.2">
      <c r="O64" t="str">
        <f>IFERROR(INDEX(_courses_lookup!$C:$C,MATCH(K64&amp;L64,_courses_lookup!$E:$E,0)),"")</f>
        <v/>
      </c>
      <c r="P64" t="str">
        <f>IFERROR(INDEX(_courses_lookup!$D:$D,MATCH(K64&amp;L64,_courses_lookup!$E:$E,0)),"")</f>
        <v/>
      </c>
      <c r="AG64" t="str">
        <f t="shared" si="5"/>
        <v/>
      </c>
      <c r="AI64" t="str">
        <f t="shared" si="6"/>
        <v/>
      </c>
      <c r="AL64" t="str">
        <f t="shared" si="7"/>
        <v/>
      </c>
      <c r="AN64" t="str">
        <f t="shared" si="8"/>
        <v/>
      </c>
      <c r="AQ64" t="str">
        <f t="shared" si="9"/>
        <v/>
      </c>
      <c r="AR64" t="str">
        <f t="shared" si="10"/>
        <v/>
      </c>
      <c r="AS64" t="str">
        <f t="shared" si="11"/>
        <v/>
      </c>
      <c r="AT64" t="str">
        <f t="shared" si="12"/>
        <v/>
      </c>
      <c r="BG64" t="str">
        <f t="shared" si="13"/>
        <v/>
      </c>
      <c r="BH64" t="str">
        <f t="shared" si="14"/>
        <v/>
      </c>
      <c r="BL64" t="str">
        <f>IFERROR(INDEX(_names_lookup!$C:$C,MATCH(BK64,_names_lookup!$A:$A,0)),"")</f>
        <v/>
      </c>
      <c r="BM64" t="str">
        <f>IFERROR(INDEX(_names_lookup!$B:$B,MATCH(BK64,_names_lookup!$A:$A,0)),"")</f>
        <v/>
      </c>
      <c r="BS64" t="str">
        <f t="shared" si="15"/>
        <v/>
      </c>
    </row>
    <row r="65" spans="15:71" x14ac:dyDescent="0.2">
      <c r="O65" t="str">
        <f>IFERROR(INDEX(_courses_lookup!$C:$C,MATCH(K65&amp;L65,_courses_lookup!$E:$E,0)),"")</f>
        <v/>
      </c>
      <c r="P65" t="str">
        <f>IFERROR(INDEX(_courses_lookup!$D:$D,MATCH(K65&amp;L65,_courses_lookup!$E:$E,0)),"")</f>
        <v/>
      </c>
      <c r="AG65" t="str">
        <f t="shared" si="5"/>
        <v/>
      </c>
      <c r="AI65" t="str">
        <f t="shared" si="6"/>
        <v/>
      </c>
      <c r="AL65" t="str">
        <f t="shared" si="7"/>
        <v/>
      </c>
      <c r="AN65" t="str">
        <f t="shared" si="8"/>
        <v/>
      </c>
      <c r="AQ65" t="str">
        <f t="shared" si="9"/>
        <v/>
      </c>
      <c r="AR65" t="str">
        <f t="shared" si="10"/>
        <v/>
      </c>
      <c r="AS65" t="str">
        <f t="shared" si="11"/>
        <v/>
      </c>
      <c r="AT65" t="str">
        <f t="shared" si="12"/>
        <v/>
      </c>
      <c r="BG65" t="str">
        <f t="shared" si="13"/>
        <v/>
      </c>
      <c r="BH65" t="str">
        <f t="shared" si="14"/>
        <v/>
      </c>
      <c r="BL65" t="str">
        <f>IFERROR(INDEX(_names_lookup!$C:$C,MATCH(BK65,_names_lookup!$A:$A,0)),"")</f>
        <v/>
      </c>
      <c r="BM65" t="str">
        <f>IFERROR(INDEX(_names_lookup!$B:$B,MATCH(BK65,_names_lookup!$A:$A,0)),"")</f>
        <v/>
      </c>
      <c r="BS65" t="str">
        <f t="shared" si="15"/>
        <v/>
      </c>
    </row>
    <row r="66" spans="15:71" x14ac:dyDescent="0.2">
      <c r="O66" t="str">
        <f>IFERROR(INDEX(_courses_lookup!$C:$C,MATCH(K66&amp;L66,_courses_lookup!$E:$E,0)),"")</f>
        <v/>
      </c>
      <c r="P66" t="str">
        <f>IFERROR(INDEX(_courses_lookup!$D:$D,MATCH(K66&amp;L66,_courses_lookup!$E:$E,0)),"")</f>
        <v/>
      </c>
      <c r="AG66" t="str">
        <f t="shared" ref="AG66:AG129" si="16">IF(AND(AE66&lt;&gt;"",AF66&lt;&gt;""),ROUNDUP((AF66-AE66)/7,0),"")</f>
        <v/>
      </c>
      <c r="AI66" t="str">
        <f t="shared" ref="AI66:AI129" si="17">IFERROR(IF(AG66*AH66=0,"",AG66*AH66),"")</f>
        <v/>
      </c>
      <c r="AL66" t="str">
        <f t="shared" ref="AL66:AL129" si="18">IF(AND(AJ66&lt;&gt;"",AK66&lt;&gt;""),ROUNDUP((AK66-AJ66)/7,0),"")</f>
        <v/>
      </c>
      <c r="AN66" t="str">
        <f t="shared" ref="AN66:AN129" si="19">IFERROR(IF(AL66*AM66=0,"",AL66*AM66),"")</f>
        <v/>
      </c>
      <c r="AQ66" t="str">
        <f t="shared" ref="AQ66:AQ129" si="20">IF(AND(AO66&lt;&gt;"",AP66&lt;&gt;""),ROUNDUP((AP66-AO66)/7,0),"")</f>
        <v/>
      </c>
      <c r="AR66" t="str">
        <f t="shared" ref="AR66:AR129" si="21">IFERROR(IF((AU66-(AI66+AN66))/AQ66=0,"",ROUNDUP((AU66-(AI66+AN66))/AQ66,0)),"")</f>
        <v/>
      </c>
      <c r="AS66" t="str">
        <f t="shared" ref="AS66:AS129" si="22">IFERROR(IF((AU66-(AI66+AN66))=0,"",(AU66-(AI66+AN66))),"")</f>
        <v/>
      </c>
      <c r="AT66" t="str">
        <f t="shared" ref="AT66:AT129" si="23">IF(AND(AG66="",AQ66=""),AL66,IF(SUM(AG66,AL66,AQ66)=0,"",SUM(AG66,AL66,AQ66)))</f>
        <v/>
      </c>
      <c r="BG66" t="str">
        <f t="shared" ref="BG66:BG129" si="24">IF(AD66="","",YEAR(AD66)+IF(MONTH(AD66)&gt;=5,1,0))</f>
        <v/>
      </c>
      <c r="BH66" t="str">
        <f t="shared" ref="BH66:BH129" si="25">IF(AD66="","",IF(AND(MONTH(AD66)=8,DAY(AD66)&gt;=15),"Fall",IF(MONTH(AD66)&gt;8,"Fall",IF(MONTH(AD66)=5,"Summer",IF(MONTH(AD66)=1,"Spring","")))))</f>
        <v/>
      </c>
      <c r="BL66" t="str">
        <f>IFERROR(INDEX(_names_lookup!$C:$C,MATCH(BK66,_names_lookup!$A:$A,0)),"")</f>
        <v/>
      </c>
      <c r="BM66" t="str">
        <f>IFERROR(INDEX(_names_lookup!$B:$B,MATCH(BK66,_names_lookup!$A:$A,0)),"")</f>
        <v/>
      </c>
      <c r="BS66" t="str">
        <f t="shared" ref="BS66:BS129" si="26">IFERROR(IF(BR66*AA66=0,"",BR66*AA66),"")</f>
        <v/>
      </c>
    </row>
    <row r="67" spans="15:71" x14ac:dyDescent="0.2">
      <c r="O67" t="str">
        <f>IFERROR(INDEX(_courses_lookup!$C:$C,MATCH(K67&amp;L67,_courses_lookup!$E:$E,0)),"")</f>
        <v/>
      </c>
      <c r="P67" t="str">
        <f>IFERROR(INDEX(_courses_lookup!$D:$D,MATCH(K67&amp;L67,_courses_lookup!$E:$E,0)),"")</f>
        <v/>
      </c>
      <c r="AG67" t="str">
        <f t="shared" si="16"/>
        <v/>
      </c>
      <c r="AI67" t="str">
        <f t="shared" si="17"/>
        <v/>
      </c>
      <c r="AL67" t="str">
        <f t="shared" si="18"/>
        <v/>
      </c>
      <c r="AN67" t="str">
        <f t="shared" si="19"/>
        <v/>
      </c>
      <c r="AQ67" t="str">
        <f t="shared" si="20"/>
        <v/>
      </c>
      <c r="AR67" t="str">
        <f t="shared" si="21"/>
        <v/>
      </c>
      <c r="AS67" t="str">
        <f t="shared" si="22"/>
        <v/>
      </c>
      <c r="AT67" t="str">
        <f t="shared" si="23"/>
        <v/>
      </c>
      <c r="BG67" t="str">
        <f t="shared" si="24"/>
        <v/>
      </c>
      <c r="BH67" t="str">
        <f t="shared" si="25"/>
        <v/>
      </c>
      <c r="BL67" t="str">
        <f>IFERROR(INDEX(_names_lookup!$C:$C,MATCH(BK67,_names_lookup!$A:$A,0)),"")</f>
        <v/>
      </c>
      <c r="BM67" t="str">
        <f>IFERROR(INDEX(_names_lookup!$B:$B,MATCH(BK67,_names_lookup!$A:$A,0)),"")</f>
        <v/>
      </c>
      <c r="BS67" t="str">
        <f t="shared" si="26"/>
        <v/>
      </c>
    </row>
    <row r="68" spans="15:71" x14ac:dyDescent="0.2">
      <c r="O68" t="str">
        <f>IFERROR(INDEX(_courses_lookup!$C:$C,MATCH(K68&amp;L68,_courses_lookup!$E:$E,0)),"")</f>
        <v/>
      </c>
      <c r="P68" t="str">
        <f>IFERROR(INDEX(_courses_lookup!$D:$D,MATCH(K68&amp;L68,_courses_lookup!$E:$E,0)),"")</f>
        <v/>
      </c>
      <c r="AG68" t="str">
        <f t="shared" si="16"/>
        <v/>
      </c>
      <c r="AI68" t="str">
        <f t="shared" si="17"/>
        <v/>
      </c>
      <c r="AL68" t="str">
        <f t="shared" si="18"/>
        <v/>
      </c>
      <c r="AN68" t="str">
        <f t="shared" si="19"/>
        <v/>
      </c>
      <c r="AQ68" t="str">
        <f t="shared" si="20"/>
        <v/>
      </c>
      <c r="AR68" t="str">
        <f t="shared" si="21"/>
        <v/>
      </c>
      <c r="AS68" t="str">
        <f t="shared" si="22"/>
        <v/>
      </c>
      <c r="AT68" t="str">
        <f t="shared" si="23"/>
        <v/>
      </c>
      <c r="BG68" t="str">
        <f t="shared" si="24"/>
        <v/>
      </c>
      <c r="BH68" t="str">
        <f t="shared" si="25"/>
        <v/>
      </c>
      <c r="BL68" t="str">
        <f>IFERROR(INDEX(_names_lookup!$C:$C,MATCH(BK68,_names_lookup!$A:$A,0)),"")</f>
        <v/>
      </c>
      <c r="BM68" t="str">
        <f>IFERROR(INDEX(_names_lookup!$B:$B,MATCH(BK68,_names_lookup!$A:$A,0)),"")</f>
        <v/>
      </c>
      <c r="BS68" t="str">
        <f t="shared" si="26"/>
        <v/>
      </c>
    </row>
    <row r="69" spans="15:71" x14ac:dyDescent="0.2">
      <c r="O69" t="str">
        <f>IFERROR(INDEX(_courses_lookup!$C:$C,MATCH(K69&amp;L69,_courses_lookup!$E:$E,0)),"")</f>
        <v/>
      </c>
      <c r="P69" t="str">
        <f>IFERROR(INDEX(_courses_lookup!$D:$D,MATCH(K69&amp;L69,_courses_lookup!$E:$E,0)),"")</f>
        <v/>
      </c>
      <c r="AG69" t="str">
        <f t="shared" si="16"/>
        <v/>
      </c>
      <c r="AI69" t="str">
        <f t="shared" si="17"/>
        <v/>
      </c>
      <c r="AL69" t="str">
        <f t="shared" si="18"/>
        <v/>
      </c>
      <c r="AN69" t="str">
        <f t="shared" si="19"/>
        <v/>
      </c>
      <c r="AQ69" t="str">
        <f t="shared" si="20"/>
        <v/>
      </c>
      <c r="AR69" t="str">
        <f t="shared" si="21"/>
        <v/>
      </c>
      <c r="AS69" t="str">
        <f t="shared" si="22"/>
        <v/>
      </c>
      <c r="AT69" t="str">
        <f t="shared" si="23"/>
        <v/>
      </c>
      <c r="BG69" t="str">
        <f t="shared" si="24"/>
        <v/>
      </c>
      <c r="BH69" t="str">
        <f t="shared" si="25"/>
        <v/>
      </c>
      <c r="BL69" t="str">
        <f>IFERROR(INDEX(_names_lookup!$C:$C,MATCH(BK69,_names_lookup!$A:$A,0)),"")</f>
        <v/>
      </c>
      <c r="BM69" t="str">
        <f>IFERROR(INDEX(_names_lookup!$B:$B,MATCH(BK69,_names_lookup!$A:$A,0)),"")</f>
        <v/>
      </c>
      <c r="BS69" t="str">
        <f t="shared" si="26"/>
        <v/>
      </c>
    </row>
    <row r="70" spans="15:71" x14ac:dyDescent="0.2">
      <c r="O70" t="str">
        <f>IFERROR(INDEX(_courses_lookup!$C:$C,MATCH(K70&amp;L70,_courses_lookup!$E:$E,0)),"")</f>
        <v/>
      </c>
      <c r="P70" t="str">
        <f>IFERROR(INDEX(_courses_lookup!$D:$D,MATCH(K70&amp;L70,_courses_lookup!$E:$E,0)),"")</f>
        <v/>
      </c>
      <c r="AG70" t="str">
        <f t="shared" si="16"/>
        <v/>
      </c>
      <c r="AI70" t="str">
        <f t="shared" si="17"/>
        <v/>
      </c>
      <c r="AL70" t="str">
        <f t="shared" si="18"/>
        <v/>
      </c>
      <c r="AN70" t="str">
        <f t="shared" si="19"/>
        <v/>
      </c>
      <c r="AQ70" t="str">
        <f t="shared" si="20"/>
        <v/>
      </c>
      <c r="AR70" t="str">
        <f t="shared" si="21"/>
        <v/>
      </c>
      <c r="AS70" t="str">
        <f t="shared" si="22"/>
        <v/>
      </c>
      <c r="AT70" t="str">
        <f t="shared" si="23"/>
        <v/>
      </c>
      <c r="BG70" t="str">
        <f t="shared" si="24"/>
        <v/>
      </c>
      <c r="BH70" t="str">
        <f t="shared" si="25"/>
        <v/>
      </c>
      <c r="BL70" t="str">
        <f>IFERROR(INDEX(_names_lookup!$C:$C,MATCH(BK70,_names_lookup!$A:$A,0)),"")</f>
        <v/>
      </c>
      <c r="BM70" t="str">
        <f>IFERROR(INDEX(_names_lookup!$B:$B,MATCH(BK70,_names_lookup!$A:$A,0)),"")</f>
        <v/>
      </c>
      <c r="BS70" t="str">
        <f t="shared" si="26"/>
        <v/>
      </c>
    </row>
    <row r="71" spans="15:71" x14ac:dyDescent="0.2">
      <c r="O71" t="str">
        <f>IFERROR(INDEX(_courses_lookup!$C:$C,MATCH(K71&amp;L71,_courses_lookup!$E:$E,0)),"")</f>
        <v/>
      </c>
      <c r="P71" t="str">
        <f>IFERROR(INDEX(_courses_lookup!$D:$D,MATCH(K71&amp;L71,_courses_lookup!$E:$E,0)),"")</f>
        <v/>
      </c>
      <c r="AG71" t="str">
        <f t="shared" si="16"/>
        <v/>
      </c>
      <c r="AI71" t="str">
        <f t="shared" si="17"/>
        <v/>
      </c>
      <c r="AL71" t="str">
        <f t="shared" si="18"/>
        <v/>
      </c>
      <c r="AN71" t="str">
        <f t="shared" si="19"/>
        <v/>
      </c>
      <c r="AQ71" t="str">
        <f t="shared" si="20"/>
        <v/>
      </c>
      <c r="AR71" t="str">
        <f t="shared" si="21"/>
        <v/>
      </c>
      <c r="AS71" t="str">
        <f t="shared" si="22"/>
        <v/>
      </c>
      <c r="AT71" t="str">
        <f t="shared" si="23"/>
        <v/>
      </c>
      <c r="BG71" t="str">
        <f t="shared" si="24"/>
        <v/>
      </c>
      <c r="BH71" t="str">
        <f t="shared" si="25"/>
        <v/>
      </c>
      <c r="BL71" t="str">
        <f>IFERROR(INDEX(_names_lookup!$C:$C,MATCH(BK71,_names_lookup!$A:$A,0)),"")</f>
        <v/>
      </c>
      <c r="BM71" t="str">
        <f>IFERROR(INDEX(_names_lookup!$B:$B,MATCH(BK71,_names_lookup!$A:$A,0)),"")</f>
        <v/>
      </c>
      <c r="BS71" t="str">
        <f t="shared" si="26"/>
        <v/>
      </c>
    </row>
    <row r="72" spans="15:71" x14ac:dyDescent="0.2">
      <c r="O72" t="str">
        <f>IFERROR(INDEX(_courses_lookup!$C:$C,MATCH(K72&amp;L72,_courses_lookup!$E:$E,0)),"")</f>
        <v/>
      </c>
      <c r="P72" t="str">
        <f>IFERROR(INDEX(_courses_lookup!$D:$D,MATCH(K72&amp;L72,_courses_lookup!$E:$E,0)),"")</f>
        <v/>
      </c>
      <c r="AG72" t="str">
        <f t="shared" si="16"/>
        <v/>
      </c>
      <c r="AI72" t="str">
        <f t="shared" si="17"/>
        <v/>
      </c>
      <c r="AL72" t="str">
        <f t="shared" si="18"/>
        <v/>
      </c>
      <c r="AN72" t="str">
        <f t="shared" si="19"/>
        <v/>
      </c>
      <c r="AQ72" t="str">
        <f t="shared" si="20"/>
        <v/>
      </c>
      <c r="AR72" t="str">
        <f t="shared" si="21"/>
        <v/>
      </c>
      <c r="AS72" t="str">
        <f t="shared" si="22"/>
        <v/>
      </c>
      <c r="AT72" t="str">
        <f t="shared" si="23"/>
        <v/>
      </c>
      <c r="BG72" t="str">
        <f t="shared" si="24"/>
        <v/>
      </c>
      <c r="BH72" t="str">
        <f t="shared" si="25"/>
        <v/>
      </c>
      <c r="BL72" t="str">
        <f>IFERROR(INDEX(_names_lookup!$C:$C,MATCH(BK72,_names_lookup!$A:$A,0)),"")</f>
        <v/>
      </c>
      <c r="BM72" t="str">
        <f>IFERROR(INDEX(_names_lookup!$B:$B,MATCH(BK72,_names_lookup!$A:$A,0)),"")</f>
        <v/>
      </c>
      <c r="BS72" t="str">
        <f t="shared" si="26"/>
        <v/>
      </c>
    </row>
    <row r="73" spans="15:71" x14ac:dyDescent="0.2">
      <c r="O73" t="str">
        <f>IFERROR(INDEX(_courses_lookup!$C:$C,MATCH(K73&amp;L73,_courses_lookup!$E:$E,0)),"")</f>
        <v/>
      </c>
      <c r="P73" t="str">
        <f>IFERROR(INDEX(_courses_lookup!$D:$D,MATCH(K73&amp;L73,_courses_lookup!$E:$E,0)),"")</f>
        <v/>
      </c>
      <c r="AG73" t="str">
        <f t="shared" si="16"/>
        <v/>
      </c>
      <c r="AI73" t="str">
        <f t="shared" si="17"/>
        <v/>
      </c>
      <c r="AL73" t="str">
        <f t="shared" si="18"/>
        <v/>
      </c>
      <c r="AN73" t="str">
        <f t="shared" si="19"/>
        <v/>
      </c>
      <c r="AQ73" t="str">
        <f t="shared" si="20"/>
        <v/>
      </c>
      <c r="AR73" t="str">
        <f t="shared" si="21"/>
        <v/>
      </c>
      <c r="AS73" t="str">
        <f t="shared" si="22"/>
        <v/>
      </c>
      <c r="AT73" t="str">
        <f t="shared" si="23"/>
        <v/>
      </c>
      <c r="BG73" t="str">
        <f t="shared" si="24"/>
        <v/>
      </c>
      <c r="BH73" t="str">
        <f t="shared" si="25"/>
        <v/>
      </c>
      <c r="BL73" t="str">
        <f>IFERROR(INDEX(_names_lookup!$C:$C,MATCH(BK73,_names_lookup!$A:$A,0)),"")</f>
        <v/>
      </c>
      <c r="BM73" t="str">
        <f>IFERROR(INDEX(_names_lookup!$B:$B,MATCH(BK73,_names_lookup!$A:$A,0)),"")</f>
        <v/>
      </c>
      <c r="BS73" t="str">
        <f t="shared" si="26"/>
        <v/>
      </c>
    </row>
    <row r="74" spans="15:71" x14ac:dyDescent="0.2">
      <c r="O74" t="str">
        <f>IFERROR(INDEX(_courses_lookup!$C:$C,MATCH(K74&amp;L74,_courses_lookup!$E:$E,0)),"")</f>
        <v/>
      </c>
      <c r="P74" t="str">
        <f>IFERROR(INDEX(_courses_lookup!$D:$D,MATCH(K74&amp;L74,_courses_lookup!$E:$E,0)),"")</f>
        <v/>
      </c>
      <c r="AG74" t="str">
        <f t="shared" si="16"/>
        <v/>
      </c>
      <c r="AI74" t="str">
        <f t="shared" si="17"/>
        <v/>
      </c>
      <c r="AL74" t="str">
        <f t="shared" si="18"/>
        <v/>
      </c>
      <c r="AN74" t="str">
        <f t="shared" si="19"/>
        <v/>
      </c>
      <c r="AQ74" t="str">
        <f t="shared" si="20"/>
        <v/>
      </c>
      <c r="AR74" t="str">
        <f t="shared" si="21"/>
        <v/>
      </c>
      <c r="AS74" t="str">
        <f t="shared" si="22"/>
        <v/>
      </c>
      <c r="AT74" t="str">
        <f t="shared" si="23"/>
        <v/>
      </c>
      <c r="BG74" t="str">
        <f t="shared" si="24"/>
        <v/>
      </c>
      <c r="BH74" t="str">
        <f t="shared" si="25"/>
        <v/>
      </c>
      <c r="BL74" t="str">
        <f>IFERROR(INDEX(_names_lookup!$C:$C,MATCH(BK74,_names_lookup!$A:$A,0)),"")</f>
        <v/>
      </c>
      <c r="BM74" t="str">
        <f>IFERROR(INDEX(_names_lookup!$B:$B,MATCH(BK74,_names_lookup!$A:$A,0)),"")</f>
        <v/>
      </c>
      <c r="BS74" t="str">
        <f t="shared" si="26"/>
        <v/>
      </c>
    </row>
    <row r="75" spans="15:71" x14ac:dyDescent="0.2">
      <c r="O75" t="str">
        <f>IFERROR(INDEX(_courses_lookup!$C:$C,MATCH(K75&amp;L75,_courses_lookup!$E:$E,0)),"")</f>
        <v/>
      </c>
      <c r="P75" t="str">
        <f>IFERROR(INDEX(_courses_lookup!$D:$D,MATCH(K75&amp;L75,_courses_lookup!$E:$E,0)),"")</f>
        <v/>
      </c>
      <c r="AG75" t="str">
        <f t="shared" si="16"/>
        <v/>
      </c>
      <c r="AI75" t="str">
        <f t="shared" si="17"/>
        <v/>
      </c>
      <c r="AL75" t="str">
        <f t="shared" si="18"/>
        <v/>
      </c>
      <c r="AN75" t="str">
        <f t="shared" si="19"/>
        <v/>
      </c>
      <c r="AQ75" t="str">
        <f t="shared" si="20"/>
        <v/>
      </c>
      <c r="AR75" t="str">
        <f t="shared" si="21"/>
        <v/>
      </c>
      <c r="AS75" t="str">
        <f t="shared" si="22"/>
        <v/>
      </c>
      <c r="AT75" t="str">
        <f t="shared" si="23"/>
        <v/>
      </c>
      <c r="BG75" t="str">
        <f t="shared" si="24"/>
        <v/>
      </c>
      <c r="BH75" t="str">
        <f t="shared" si="25"/>
        <v/>
      </c>
      <c r="BL75" t="str">
        <f>IFERROR(INDEX(_names_lookup!$C:$C,MATCH(BK75,_names_lookup!$A:$A,0)),"")</f>
        <v/>
      </c>
      <c r="BM75" t="str">
        <f>IFERROR(INDEX(_names_lookup!$B:$B,MATCH(BK75,_names_lookup!$A:$A,0)),"")</f>
        <v/>
      </c>
      <c r="BS75" t="str">
        <f t="shared" si="26"/>
        <v/>
      </c>
    </row>
    <row r="76" spans="15:71" x14ac:dyDescent="0.2">
      <c r="O76" t="str">
        <f>IFERROR(INDEX(_courses_lookup!$C:$C,MATCH(K76&amp;L76,_courses_lookup!$E:$E,0)),"")</f>
        <v/>
      </c>
      <c r="P76" t="str">
        <f>IFERROR(INDEX(_courses_lookup!$D:$D,MATCH(K76&amp;L76,_courses_lookup!$E:$E,0)),"")</f>
        <v/>
      </c>
      <c r="AG76" t="str">
        <f t="shared" si="16"/>
        <v/>
      </c>
      <c r="AI76" t="str">
        <f t="shared" si="17"/>
        <v/>
      </c>
      <c r="AL76" t="str">
        <f t="shared" si="18"/>
        <v/>
      </c>
      <c r="AN76" t="str">
        <f t="shared" si="19"/>
        <v/>
      </c>
      <c r="AQ76" t="str">
        <f t="shared" si="20"/>
        <v/>
      </c>
      <c r="AR76" t="str">
        <f t="shared" si="21"/>
        <v/>
      </c>
      <c r="AS76" t="str">
        <f t="shared" si="22"/>
        <v/>
      </c>
      <c r="AT76" t="str">
        <f t="shared" si="23"/>
        <v/>
      </c>
      <c r="BG76" t="str">
        <f t="shared" si="24"/>
        <v/>
      </c>
      <c r="BH76" t="str">
        <f t="shared" si="25"/>
        <v/>
      </c>
      <c r="BL76" t="str">
        <f>IFERROR(INDEX(_names_lookup!$C:$C,MATCH(BK76,_names_lookup!$A:$A,0)),"")</f>
        <v/>
      </c>
      <c r="BM76" t="str">
        <f>IFERROR(INDEX(_names_lookup!$B:$B,MATCH(BK76,_names_lookup!$A:$A,0)),"")</f>
        <v/>
      </c>
      <c r="BS76" t="str">
        <f t="shared" si="26"/>
        <v/>
      </c>
    </row>
    <row r="77" spans="15:71" x14ac:dyDescent="0.2">
      <c r="O77" t="str">
        <f>IFERROR(INDEX(_courses_lookup!$C:$C,MATCH(K77&amp;L77,_courses_lookup!$E:$E,0)),"")</f>
        <v/>
      </c>
      <c r="P77" t="str">
        <f>IFERROR(INDEX(_courses_lookup!$D:$D,MATCH(K77&amp;L77,_courses_lookup!$E:$E,0)),"")</f>
        <v/>
      </c>
      <c r="AG77" t="str">
        <f t="shared" si="16"/>
        <v/>
      </c>
      <c r="AI77" t="str">
        <f t="shared" si="17"/>
        <v/>
      </c>
      <c r="AL77" t="str">
        <f t="shared" si="18"/>
        <v/>
      </c>
      <c r="AN77" t="str">
        <f t="shared" si="19"/>
        <v/>
      </c>
      <c r="AQ77" t="str">
        <f t="shared" si="20"/>
        <v/>
      </c>
      <c r="AR77" t="str">
        <f t="shared" si="21"/>
        <v/>
      </c>
      <c r="AS77" t="str">
        <f t="shared" si="22"/>
        <v/>
      </c>
      <c r="AT77" t="str">
        <f t="shared" si="23"/>
        <v/>
      </c>
      <c r="BG77" t="str">
        <f t="shared" si="24"/>
        <v/>
      </c>
      <c r="BH77" t="str">
        <f t="shared" si="25"/>
        <v/>
      </c>
      <c r="BL77" t="str">
        <f>IFERROR(INDEX(_names_lookup!$C:$C,MATCH(BK77,_names_lookup!$A:$A,0)),"")</f>
        <v/>
      </c>
      <c r="BM77" t="str">
        <f>IFERROR(INDEX(_names_lookup!$B:$B,MATCH(BK77,_names_lookup!$A:$A,0)),"")</f>
        <v/>
      </c>
      <c r="BS77" t="str">
        <f t="shared" si="26"/>
        <v/>
      </c>
    </row>
    <row r="78" spans="15:71" x14ac:dyDescent="0.2">
      <c r="O78" t="str">
        <f>IFERROR(INDEX(_courses_lookup!$C:$C,MATCH(K78&amp;L78,_courses_lookup!$E:$E,0)),"")</f>
        <v/>
      </c>
      <c r="P78" t="str">
        <f>IFERROR(INDEX(_courses_lookup!$D:$D,MATCH(K78&amp;L78,_courses_lookup!$E:$E,0)),"")</f>
        <v/>
      </c>
      <c r="AG78" t="str">
        <f t="shared" si="16"/>
        <v/>
      </c>
      <c r="AI78" t="str">
        <f t="shared" si="17"/>
        <v/>
      </c>
      <c r="AL78" t="str">
        <f t="shared" si="18"/>
        <v/>
      </c>
      <c r="AN78" t="str">
        <f t="shared" si="19"/>
        <v/>
      </c>
      <c r="AQ78" t="str">
        <f t="shared" si="20"/>
        <v/>
      </c>
      <c r="AR78" t="str">
        <f t="shared" si="21"/>
        <v/>
      </c>
      <c r="AS78" t="str">
        <f t="shared" si="22"/>
        <v/>
      </c>
      <c r="AT78" t="str">
        <f t="shared" si="23"/>
        <v/>
      </c>
      <c r="BG78" t="str">
        <f t="shared" si="24"/>
        <v/>
      </c>
      <c r="BH78" t="str">
        <f t="shared" si="25"/>
        <v/>
      </c>
      <c r="BL78" t="str">
        <f>IFERROR(INDEX(_names_lookup!$C:$C,MATCH(BK78,_names_lookup!$A:$A,0)),"")</f>
        <v/>
      </c>
      <c r="BM78" t="str">
        <f>IFERROR(INDEX(_names_lookup!$B:$B,MATCH(BK78,_names_lookup!$A:$A,0)),"")</f>
        <v/>
      </c>
      <c r="BS78" t="str">
        <f t="shared" si="26"/>
        <v/>
      </c>
    </row>
    <row r="79" spans="15:71" x14ac:dyDescent="0.2">
      <c r="O79" t="str">
        <f>IFERROR(INDEX(_courses_lookup!$C:$C,MATCH(K79&amp;L79,_courses_lookup!$E:$E,0)),"")</f>
        <v/>
      </c>
      <c r="P79" t="str">
        <f>IFERROR(INDEX(_courses_lookup!$D:$D,MATCH(K79&amp;L79,_courses_lookup!$E:$E,0)),"")</f>
        <v/>
      </c>
      <c r="AG79" t="str">
        <f t="shared" si="16"/>
        <v/>
      </c>
      <c r="AI79" t="str">
        <f t="shared" si="17"/>
        <v/>
      </c>
      <c r="AL79" t="str">
        <f t="shared" si="18"/>
        <v/>
      </c>
      <c r="AN79" t="str">
        <f t="shared" si="19"/>
        <v/>
      </c>
      <c r="AQ79" t="str">
        <f t="shared" si="20"/>
        <v/>
      </c>
      <c r="AR79" t="str">
        <f t="shared" si="21"/>
        <v/>
      </c>
      <c r="AS79" t="str">
        <f t="shared" si="22"/>
        <v/>
      </c>
      <c r="AT79" t="str">
        <f t="shared" si="23"/>
        <v/>
      </c>
      <c r="BG79" t="str">
        <f t="shared" si="24"/>
        <v/>
      </c>
      <c r="BH79" t="str">
        <f t="shared" si="25"/>
        <v/>
      </c>
      <c r="BL79" t="str">
        <f>IFERROR(INDEX(_names_lookup!$C:$C,MATCH(BK79,_names_lookup!$A:$A,0)),"")</f>
        <v/>
      </c>
      <c r="BM79" t="str">
        <f>IFERROR(INDEX(_names_lookup!$B:$B,MATCH(BK79,_names_lookup!$A:$A,0)),"")</f>
        <v/>
      </c>
      <c r="BS79" t="str">
        <f t="shared" si="26"/>
        <v/>
      </c>
    </row>
    <row r="80" spans="15:71" x14ac:dyDescent="0.2">
      <c r="O80" t="str">
        <f>IFERROR(INDEX(_courses_lookup!$C:$C,MATCH(K80&amp;L80,_courses_lookup!$E:$E,0)),"")</f>
        <v/>
      </c>
      <c r="P80" t="str">
        <f>IFERROR(INDEX(_courses_lookup!$D:$D,MATCH(K80&amp;L80,_courses_lookup!$E:$E,0)),"")</f>
        <v/>
      </c>
      <c r="AG80" t="str">
        <f t="shared" si="16"/>
        <v/>
      </c>
      <c r="AI80" t="str">
        <f t="shared" si="17"/>
        <v/>
      </c>
      <c r="AL80" t="str">
        <f t="shared" si="18"/>
        <v/>
      </c>
      <c r="AN80" t="str">
        <f t="shared" si="19"/>
        <v/>
      </c>
      <c r="AQ80" t="str">
        <f t="shared" si="20"/>
        <v/>
      </c>
      <c r="AR80" t="str">
        <f t="shared" si="21"/>
        <v/>
      </c>
      <c r="AS80" t="str">
        <f t="shared" si="22"/>
        <v/>
      </c>
      <c r="AT80" t="str">
        <f t="shared" si="23"/>
        <v/>
      </c>
      <c r="BG80" t="str">
        <f t="shared" si="24"/>
        <v/>
      </c>
      <c r="BH80" t="str">
        <f t="shared" si="25"/>
        <v/>
      </c>
      <c r="BL80" t="str">
        <f>IFERROR(INDEX(_names_lookup!$C:$C,MATCH(BK80,_names_lookup!$A:$A,0)),"")</f>
        <v/>
      </c>
      <c r="BM80" t="str">
        <f>IFERROR(INDEX(_names_lookup!$B:$B,MATCH(BK80,_names_lookup!$A:$A,0)),"")</f>
        <v/>
      </c>
      <c r="BS80" t="str">
        <f t="shared" si="26"/>
        <v/>
      </c>
    </row>
    <row r="81" spans="15:71" x14ac:dyDescent="0.2">
      <c r="O81" t="str">
        <f>IFERROR(INDEX(_courses_lookup!$C:$C,MATCH(K81&amp;L81,_courses_lookup!$E:$E,0)),"")</f>
        <v/>
      </c>
      <c r="P81" t="str">
        <f>IFERROR(INDEX(_courses_lookup!$D:$D,MATCH(K81&amp;L81,_courses_lookup!$E:$E,0)),"")</f>
        <v/>
      </c>
      <c r="AG81" t="str">
        <f t="shared" si="16"/>
        <v/>
      </c>
      <c r="AI81" t="str">
        <f t="shared" si="17"/>
        <v/>
      </c>
      <c r="AL81" t="str">
        <f t="shared" si="18"/>
        <v/>
      </c>
      <c r="AN81" t="str">
        <f t="shared" si="19"/>
        <v/>
      </c>
      <c r="AQ81" t="str">
        <f t="shared" si="20"/>
        <v/>
      </c>
      <c r="AR81" t="str">
        <f t="shared" si="21"/>
        <v/>
      </c>
      <c r="AS81" t="str">
        <f t="shared" si="22"/>
        <v/>
      </c>
      <c r="AT81" t="str">
        <f t="shared" si="23"/>
        <v/>
      </c>
      <c r="BG81" t="str">
        <f t="shared" si="24"/>
        <v/>
      </c>
      <c r="BH81" t="str">
        <f t="shared" si="25"/>
        <v/>
      </c>
      <c r="BL81" t="str">
        <f>IFERROR(INDEX(_names_lookup!$C:$C,MATCH(BK81,_names_lookup!$A:$A,0)),"")</f>
        <v/>
      </c>
      <c r="BM81" t="str">
        <f>IFERROR(INDEX(_names_lookup!$B:$B,MATCH(BK81,_names_lookup!$A:$A,0)),"")</f>
        <v/>
      </c>
      <c r="BS81" t="str">
        <f t="shared" si="26"/>
        <v/>
      </c>
    </row>
    <row r="82" spans="15:71" x14ac:dyDescent="0.2">
      <c r="O82" t="str">
        <f>IFERROR(INDEX(_courses_lookup!$C:$C,MATCH(K82&amp;L82,_courses_lookup!$E:$E,0)),"")</f>
        <v/>
      </c>
      <c r="P82" t="str">
        <f>IFERROR(INDEX(_courses_lookup!$D:$D,MATCH(K82&amp;L82,_courses_lookup!$E:$E,0)),"")</f>
        <v/>
      </c>
      <c r="AG82" t="str">
        <f t="shared" si="16"/>
        <v/>
      </c>
      <c r="AI82" t="str">
        <f t="shared" si="17"/>
        <v/>
      </c>
      <c r="AL82" t="str">
        <f t="shared" si="18"/>
        <v/>
      </c>
      <c r="AN82" t="str">
        <f t="shared" si="19"/>
        <v/>
      </c>
      <c r="AQ82" t="str">
        <f t="shared" si="20"/>
        <v/>
      </c>
      <c r="AR82" t="str">
        <f t="shared" si="21"/>
        <v/>
      </c>
      <c r="AS82" t="str">
        <f t="shared" si="22"/>
        <v/>
      </c>
      <c r="AT82" t="str">
        <f t="shared" si="23"/>
        <v/>
      </c>
      <c r="BG82" t="str">
        <f t="shared" si="24"/>
        <v/>
      </c>
      <c r="BH82" t="str">
        <f t="shared" si="25"/>
        <v/>
      </c>
      <c r="BL82" t="str">
        <f>IFERROR(INDEX(_names_lookup!$C:$C,MATCH(BK82,_names_lookup!$A:$A,0)),"")</f>
        <v/>
      </c>
      <c r="BM82" t="str">
        <f>IFERROR(INDEX(_names_lookup!$B:$B,MATCH(BK82,_names_lookup!$A:$A,0)),"")</f>
        <v/>
      </c>
      <c r="BS82" t="str">
        <f t="shared" si="26"/>
        <v/>
      </c>
    </row>
    <row r="83" spans="15:71" x14ac:dyDescent="0.2">
      <c r="O83" t="str">
        <f>IFERROR(INDEX(_courses_lookup!$C:$C,MATCH(K83&amp;L83,_courses_lookup!$E:$E,0)),"")</f>
        <v/>
      </c>
      <c r="P83" t="str">
        <f>IFERROR(INDEX(_courses_lookup!$D:$D,MATCH(K83&amp;L83,_courses_lookup!$E:$E,0)),"")</f>
        <v/>
      </c>
      <c r="AG83" t="str">
        <f t="shared" si="16"/>
        <v/>
      </c>
      <c r="AI83" t="str">
        <f t="shared" si="17"/>
        <v/>
      </c>
      <c r="AL83" t="str">
        <f t="shared" si="18"/>
        <v/>
      </c>
      <c r="AN83" t="str">
        <f t="shared" si="19"/>
        <v/>
      </c>
      <c r="AQ83" t="str">
        <f t="shared" si="20"/>
        <v/>
      </c>
      <c r="AR83" t="str">
        <f t="shared" si="21"/>
        <v/>
      </c>
      <c r="AS83" t="str">
        <f t="shared" si="22"/>
        <v/>
      </c>
      <c r="AT83" t="str">
        <f t="shared" si="23"/>
        <v/>
      </c>
      <c r="BG83" t="str">
        <f t="shared" si="24"/>
        <v/>
      </c>
      <c r="BH83" t="str">
        <f t="shared" si="25"/>
        <v/>
      </c>
      <c r="BL83" t="str">
        <f>IFERROR(INDEX(_names_lookup!$C:$C,MATCH(BK83,_names_lookup!$A:$A,0)),"")</f>
        <v/>
      </c>
      <c r="BM83" t="str">
        <f>IFERROR(INDEX(_names_lookup!$B:$B,MATCH(BK83,_names_lookup!$A:$A,0)),"")</f>
        <v/>
      </c>
      <c r="BS83" t="str">
        <f t="shared" si="26"/>
        <v/>
      </c>
    </row>
    <row r="84" spans="15:71" x14ac:dyDescent="0.2">
      <c r="O84" t="str">
        <f>IFERROR(INDEX(_courses_lookup!$C:$C,MATCH(K84&amp;L84,_courses_lookup!$E:$E,0)),"")</f>
        <v/>
      </c>
      <c r="P84" t="str">
        <f>IFERROR(INDEX(_courses_lookup!$D:$D,MATCH(K84&amp;L84,_courses_lookup!$E:$E,0)),"")</f>
        <v/>
      </c>
      <c r="AG84" t="str">
        <f t="shared" si="16"/>
        <v/>
      </c>
      <c r="AI84" t="str">
        <f t="shared" si="17"/>
        <v/>
      </c>
      <c r="AL84" t="str">
        <f t="shared" si="18"/>
        <v/>
      </c>
      <c r="AN84" t="str">
        <f t="shared" si="19"/>
        <v/>
      </c>
      <c r="AQ84" t="str">
        <f t="shared" si="20"/>
        <v/>
      </c>
      <c r="AR84" t="str">
        <f t="shared" si="21"/>
        <v/>
      </c>
      <c r="AS84" t="str">
        <f t="shared" si="22"/>
        <v/>
      </c>
      <c r="AT84" t="str">
        <f t="shared" si="23"/>
        <v/>
      </c>
      <c r="BG84" t="str">
        <f t="shared" si="24"/>
        <v/>
      </c>
      <c r="BH84" t="str">
        <f t="shared" si="25"/>
        <v/>
      </c>
      <c r="BL84" t="str">
        <f>IFERROR(INDEX(_names_lookup!$C:$C,MATCH(BK84,_names_lookup!$A:$A,0)),"")</f>
        <v/>
      </c>
      <c r="BM84" t="str">
        <f>IFERROR(INDEX(_names_lookup!$B:$B,MATCH(BK84,_names_lookup!$A:$A,0)),"")</f>
        <v/>
      </c>
      <c r="BS84" t="str">
        <f t="shared" si="26"/>
        <v/>
      </c>
    </row>
    <row r="85" spans="15:71" x14ac:dyDescent="0.2">
      <c r="O85" t="str">
        <f>IFERROR(INDEX(_courses_lookup!$C:$C,MATCH(K85&amp;L85,_courses_lookup!$E:$E,0)),"")</f>
        <v/>
      </c>
      <c r="P85" t="str">
        <f>IFERROR(INDEX(_courses_lookup!$D:$D,MATCH(K85&amp;L85,_courses_lookup!$E:$E,0)),"")</f>
        <v/>
      </c>
      <c r="AG85" t="str">
        <f t="shared" si="16"/>
        <v/>
      </c>
      <c r="AI85" t="str">
        <f t="shared" si="17"/>
        <v/>
      </c>
      <c r="AL85" t="str">
        <f t="shared" si="18"/>
        <v/>
      </c>
      <c r="AN85" t="str">
        <f t="shared" si="19"/>
        <v/>
      </c>
      <c r="AQ85" t="str">
        <f t="shared" si="20"/>
        <v/>
      </c>
      <c r="AR85" t="str">
        <f t="shared" si="21"/>
        <v/>
      </c>
      <c r="AS85" t="str">
        <f t="shared" si="22"/>
        <v/>
      </c>
      <c r="AT85" t="str">
        <f t="shared" si="23"/>
        <v/>
      </c>
      <c r="BG85" t="str">
        <f t="shared" si="24"/>
        <v/>
      </c>
      <c r="BH85" t="str">
        <f t="shared" si="25"/>
        <v/>
      </c>
      <c r="BL85" t="str">
        <f>IFERROR(INDEX(_names_lookup!$C:$C,MATCH(BK85,_names_lookup!$A:$A,0)),"")</f>
        <v/>
      </c>
      <c r="BM85" t="str">
        <f>IFERROR(INDEX(_names_lookup!$B:$B,MATCH(BK85,_names_lookup!$A:$A,0)),"")</f>
        <v/>
      </c>
      <c r="BS85" t="str">
        <f t="shared" si="26"/>
        <v/>
      </c>
    </row>
    <row r="86" spans="15:71" x14ac:dyDescent="0.2">
      <c r="O86" t="str">
        <f>IFERROR(INDEX(_courses_lookup!$C:$C,MATCH(K86&amp;L86,_courses_lookup!$E:$E,0)),"")</f>
        <v/>
      </c>
      <c r="P86" t="str">
        <f>IFERROR(INDEX(_courses_lookup!$D:$D,MATCH(K86&amp;L86,_courses_lookup!$E:$E,0)),"")</f>
        <v/>
      </c>
      <c r="AG86" t="str">
        <f t="shared" si="16"/>
        <v/>
      </c>
      <c r="AI86" t="str">
        <f t="shared" si="17"/>
        <v/>
      </c>
      <c r="AL86" t="str">
        <f t="shared" si="18"/>
        <v/>
      </c>
      <c r="AN86" t="str">
        <f t="shared" si="19"/>
        <v/>
      </c>
      <c r="AQ86" t="str">
        <f t="shared" si="20"/>
        <v/>
      </c>
      <c r="AR86" t="str">
        <f t="shared" si="21"/>
        <v/>
      </c>
      <c r="AS86" t="str">
        <f t="shared" si="22"/>
        <v/>
      </c>
      <c r="AT86" t="str">
        <f t="shared" si="23"/>
        <v/>
      </c>
      <c r="BG86" t="str">
        <f t="shared" si="24"/>
        <v/>
      </c>
      <c r="BH86" t="str">
        <f t="shared" si="25"/>
        <v/>
      </c>
      <c r="BL86" t="str">
        <f>IFERROR(INDEX(_names_lookup!$C:$C,MATCH(BK86,_names_lookup!$A:$A,0)),"")</f>
        <v/>
      </c>
      <c r="BM86" t="str">
        <f>IFERROR(INDEX(_names_lookup!$B:$B,MATCH(BK86,_names_lookup!$A:$A,0)),"")</f>
        <v/>
      </c>
      <c r="BS86" t="str">
        <f t="shared" si="26"/>
        <v/>
      </c>
    </row>
    <row r="87" spans="15:71" x14ac:dyDescent="0.2">
      <c r="O87" t="str">
        <f>IFERROR(INDEX(_courses_lookup!$C:$C,MATCH(K87&amp;L87,_courses_lookup!$E:$E,0)),"")</f>
        <v/>
      </c>
      <c r="P87" t="str">
        <f>IFERROR(INDEX(_courses_lookup!$D:$D,MATCH(K87&amp;L87,_courses_lookup!$E:$E,0)),"")</f>
        <v/>
      </c>
      <c r="AG87" t="str">
        <f t="shared" si="16"/>
        <v/>
      </c>
      <c r="AI87" t="str">
        <f t="shared" si="17"/>
        <v/>
      </c>
      <c r="AL87" t="str">
        <f t="shared" si="18"/>
        <v/>
      </c>
      <c r="AN87" t="str">
        <f t="shared" si="19"/>
        <v/>
      </c>
      <c r="AQ87" t="str">
        <f t="shared" si="20"/>
        <v/>
      </c>
      <c r="AR87" t="str">
        <f t="shared" si="21"/>
        <v/>
      </c>
      <c r="AS87" t="str">
        <f t="shared" si="22"/>
        <v/>
      </c>
      <c r="AT87" t="str">
        <f t="shared" si="23"/>
        <v/>
      </c>
      <c r="BG87" t="str">
        <f t="shared" si="24"/>
        <v/>
      </c>
      <c r="BH87" t="str">
        <f t="shared" si="25"/>
        <v/>
      </c>
      <c r="BL87" t="str">
        <f>IFERROR(INDEX(_names_lookup!$C:$C,MATCH(BK87,_names_lookup!$A:$A,0)),"")</f>
        <v/>
      </c>
      <c r="BM87" t="str">
        <f>IFERROR(INDEX(_names_lookup!$B:$B,MATCH(BK87,_names_lookup!$A:$A,0)),"")</f>
        <v/>
      </c>
      <c r="BS87" t="str">
        <f t="shared" si="26"/>
        <v/>
      </c>
    </row>
    <row r="88" spans="15:71" x14ac:dyDescent="0.2">
      <c r="O88" t="str">
        <f>IFERROR(INDEX(_courses_lookup!$C:$C,MATCH(K88&amp;L88,_courses_lookup!$E:$E,0)),"")</f>
        <v/>
      </c>
      <c r="P88" t="str">
        <f>IFERROR(INDEX(_courses_lookup!$D:$D,MATCH(K88&amp;L88,_courses_lookup!$E:$E,0)),"")</f>
        <v/>
      </c>
      <c r="AG88" t="str">
        <f t="shared" si="16"/>
        <v/>
      </c>
      <c r="AI88" t="str">
        <f t="shared" si="17"/>
        <v/>
      </c>
      <c r="AL88" t="str">
        <f t="shared" si="18"/>
        <v/>
      </c>
      <c r="AN88" t="str">
        <f t="shared" si="19"/>
        <v/>
      </c>
      <c r="AQ88" t="str">
        <f t="shared" si="20"/>
        <v/>
      </c>
      <c r="AR88" t="str">
        <f t="shared" si="21"/>
        <v/>
      </c>
      <c r="AS88" t="str">
        <f t="shared" si="22"/>
        <v/>
      </c>
      <c r="AT88" t="str">
        <f t="shared" si="23"/>
        <v/>
      </c>
      <c r="BG88" t="str">
        <f t="shared" si="24"/>
        <v/>
      </c>
      <c r="BH88" t="str">
        <f t="shared" si="25"/>
        <v/>
      </c>
      <c r="BL88" t="str">
        <f>IFERROR(INDEX(_names_lookup!$C:$C,MATCH(BK88,_names_lookup!$A:$A,0)),"")</f>
        <v/>
      </c>
      <c r="BM88" t="str">
        <f>IFERROR(INDEX(_names_lookup!$B:$B,MATCH(BK88,_names_lookup!$A:$A,0)),"")</f>
        <v/>
      </c>
      <c r="BS88" t="str">
        <f t="shared" si="26"/>
        <v/>
      </c>
    </row>
    <row r="89" spans="15:71" x14ac:dyDescent="0.2">
      <c r="O89" t="str">
        <f>IFERROR(INDEX(_courses_lookup!$C:$C,MATCH(K89&amp;L89,_courses_lookup!$E:$E,0)),"")</f>
        <v/>
      </c>
      <c r="P89" t="str">
        <f>IFERROR(INDEX(_courses_lookup!$D:$D,MATCH(K89&amp;L89,_courses_lookup!$E:$E,0)),"")</f>
        <v/>
      </c>
      <c r="AG89" t="str">
        <f t="shared" si="16"/>
        <v/>
      </c>
      <c r="AI89" t="str">
        <f t="shared" si="17"/>
        <v/>
      </c>
      <c r="AL89" t="str">
        <f t="shared" si="18"/>
        <v/>
      </c>
      <c r="AN89" t="str">
        <f t="shared" si="19"/>
        <v/>
      </c>
      <c r="AQ89" t="str">
        <f t="shared" si="20"/>
        <v/>
      </c>
      <c r="AR89" t="str">
        <f t="shared" si="21"/>
        <v/>
      </c>
      <c r="AS89" t="str">
        <f t="shared" si="22"/>
        <v/>
      </c>
      <c r="AT89" t="str">
        <f t="shared" si="23"/>
        <v/>
      </c>
      <c r="BG89" t="str">
        <f t="shared" si="24"/>
        <v/>
      </c>
      <c r="BH89" t="str">
        <f t="shared" si="25"/>
        <v/>
      </c>
      <c r="BL89" t="str">
        <f>IFERROR(INDEX(_names_lookup!$C:$C,MATCH(BK89,_names_lookup!$A:$A,0)),"")</f>
        <v/>
      </c>
      <c r="BM89" t="str">
        <f>IFERROR(INDEX(_names_lookup!$B:$B,MATCH(BK89,_names_lookup!$A:$A,0)),"")</f>
        <v/>
      </c>
      <c r="BS89" t="str">
        <f t="shared" si="26"/>
        <v/>
      </c>
    </row>
    <row r="90" spans="15:71" x14ac:dyDescent="0.2">
      <c r="O90" t="str">
        <f>IFERROR(INDEX(_courses_lookup!$C:$C,MATCH(K90&amp;L90,_courses_lookup!$E:$E,0)),"")</f>
        <v/>
      </c>
      <c r="P90" t="str">
        <f>IFERROR(INDEX(_courses_lookup!$D:$D,MATCH(K90&amp;L90,_courses_lookup!$E:$E,0)),"")</f>
        <v/>
      </c>
      <c r="AG90" t="str">
        <f t="shared" si="16"/>
        <v/>
      </c>
      <c r="AI90" t="str">
        <f t="shared" si="17"/>
        <v/>
      </c>
      <c r="AL90" t="str">
        <f t="shared" si="18"/>
        <v/>
      </c>
      <c r="AN90" t="str">
        <f t="shared" si="19"/>
        <v/>
      </c>
      <c r="AQ90" t="str">
        <f t="shared" si="20"/>
        <v/>
      </c>
      <c r="AR90" t="str">
        <f t="shared" si="21"/>
        <v/>
      </c>
      <c r="AS90" t="str">
        <f t="shared" si="22"/>
        <v/>
      </c>
      <c r="AT90" t="str">
        <f t="shared" si="23"/>
        <v/>
      </c>
      <c r="BG90" t="str">
        <f t="shared" si="24"/>
        <v/>
      </c>
      <c r="BH90" t="str">
        <f t="shared" si="25"/>
        <v/>
      </c>
      <c r="BL90" t="str">
        <f>IFERROR(INDEX(_names_lookup!$C:$C,MATCH(BK90,_names_lookup!$A:$A,0)),"")</f>
        <v/>
      </c>
      <c r="BM90" t="str">
        <f>IFERROR(INDEX(_names_lookup!$B:$B,MATCH(BK90,_names_lookup!$A:$A,0)),"")</f>
        <v/>
      </c>
      <c r="BS90" t="str">
        <f t="shared" si="26"/>
        <v/>
      </c>
    </row>
    <row r="91" spans="15:71" x14ac:dyDescent="0.2">
      <c r="O91" t="str">
        <f>IFERROR(INDEX(_courses_lookup!$C:$C,MATCH(K91&amp;L91,_courses_lookup!$E:$E,0)),"")</f>
        <v/>
      </c>
      <c r="P91" t="str">
        <f>IFERROR(INDEX(_courses_lookup!$D:$D,MATCH(K91&amp;L91,_courses_lookup!$E:$E,0)),"")</f>
        <v/>
      </c>
      <c r="AG91" t="str">
        <f t="shared" si="16"/>
        <v/>
      </c>
      <c r="AI91" t="str">
        <f t="shared" si="17"/>
        <v/>
      </c>
      <c r="AL91" t="str">
        <f t="shared" si="18"/>
        <v/>
      </c>
      <c r="AN91" t="str">
        <f t="shared" si="19"/>
        <v/>
      </c>
      <c r="AQ91" t="str">
        <f t="shared" si="20"/>
        <v/>
      </c>
      <c r="AR91" t="str">
        <f t="shared" si="21"/>
        <v/>
      </c>
      <c r="AS91" t="str">
        <f t="shared" si="22"/>
        <v/>
      </c>
      <c r="AT91" t="str">
        <f t="shared" si="23"/>
        <v/>
      </c>
      <c r="BG91" t="str">
        <f t="shared" si="24"/>
        <v/>
      </c>
      <c r="BH91" t="str">
        <f t="shared" si="25"/>
        <v/>
      </c>
      <c r="BL91" t="str">
        <f>IFERROR(INDEX(_names_lookup!$C:$C,MATCH(BK91,_names_lookup!$A:$A,0)),"")</f>
        <v/>
      </c>
      <c r="BM91" t="str">
        <f>IFERROR(INDEX(_names_lookup!$B:$B,MATCH(BK91,_names_lookup!$A:$A,0)),"")</f>
        <v/>
      </c>
      <c r="BS91" t="str">
        <f t="shared" si="26"/>
        <v/>
      </c>
    </row>
    <row r="92" spans="15:71" x14ac:dyDescent="0.2">
      <c r="O92" t="str">
        <f>IFERROR(INDEX(_courses_lookup!$C:$C,MATCH(K92&amp;L92,_courses_lookup!$E:$E,0)),"")</f>
        <v/>
      </c>
      <c r="P92" t="str">
        <f>IFERROR(INDEX(_courses_lookup!$D:$D,MATCH(K92&amp;L92,_courses_lookup!$E:$E,0)),"")</f>
        <v/>
      </c>
      <c r="AG92" t="str">
        <f t="shared" si="16"/>
        <v/>
      </c>
      <c r="AI92" t="str">
        <f t="shared" si="17"/>
        <v/>
      </c>
      <c r="AL92" t="str">
        <f t="shared" si="18"/>
        <v/>
      </c>
      <c r="AN92" t="str">
        <f t="shared" si="19"/>
        <v/>
      </c>
      <c r="AQ92" t="str">
        <f t="shared" si="20"/>
        <v/>
      </c>
      <c r="AR92" t="str">
        <f t="shared" si="21"/>
        <v/>
      </c>
      <c r="AS92" t="str">
        <f t="shared" si="22"/>
        <v/>
      </c>
      <c r="AT92" t="str">
        <f t="shared" si="23"/>
        <v/>
      </c>
      <c r="BG92" t="str">
        <f t="shared" si="24"/>
        <v/>
      </c>
      <c r="BH92" t="str">
        <f t="shared" si="25"/>
        <v/>
      </c>
      <c r="BL92" t="str">
        <f>IFERROR(INDEX(_names_lookup!$C:$C,MATCH(BK92,_names_lookup!$A:$A,0)),"")</f>
        <v/>
      </c>
      <c r="BM92" t="str">
        <f>IFERROR(INDEX(_names_lookup!$B:$B,MATCH(BK92,_names_lookup!$A:$A,0)),"")</f>
        <v/>
      </c>
      <c r="BS92" t="str">
        <f t="shared" si="26"/>
        <v/>
      </c>
    </row>
    <row r="93" spans="15:71" x14ac:dyDescent="0.2">
      <c r="O93" t="str">
        <f>IFERROR(INDEX(_courses_lookup!$C:$C,MATCH(K93&amp;L93,_courses_lookup!$E:$E,0)),"")</f>
        <v/>
      </c>
      <c r="P93" t="str">
        <f>IFERROR(INDEX(_courses_lookup!$D:$D,MATCH(K93&amp;L93,_courses_lookup!$E:$E,0)),"")</f>
        <v/>
      </c>
      <c r="AG93" t="str">
        <f t="shared" si="16"/>
        <v/>
      </c>
      <c r="AI93" t="str">
        <f t="shared" si="17"/>
        <v/>
      </c>
      <c r="AL93" t="str">
        <f t="shared" si="18"/>
        <v/>
      </c>
      <c r="AN93" t="str">
        <f t="shared" si="19"/>
        <v/>
      </c>
      <c r="AQ93" t="str">
        <f t="shared" si="20"/>
        <v/>
      </c>
      <c r="AR93" t="str">
        <f t="shared" si="21"/>
        <v/>
      </c>
      <c r="AS93" t="str">
        <f t="shared" si="22"/>
        <v/>
      </c>
      <c r="AT93" t="str">
        <f t="shared" si="23"/>
        <v/>
      </c>
      <c r="BG93" t="str">
        <f t="shared" si="24"/>
        <v/>
      </c>
      <c r="BH93" t="str">
        <f t="shared" si="25"/>
        <v/>
      </c>
      <c r="BL93" t="str">
        <f>IFERROR(INDEX(_names_lookup!$C:$C,MATCH(BK93,_names_lookup!$A:$A,0)),"")</f>
        <v/>
      </c>
      <c r="BM93" t="str">
        <f>IFERROR(INDEX(_names_lookup!$B:$B,MATCH(BK93,_names_lookup!$A:$A,0)),"")</f>
        <v/>
      </c>
      <c r="BS93" t="str">
        <f t="shared" si="26"/>
        <v/>
      </c>
    </row>
    <row r="94" spans="15:71" x14ac:dyDescent="0.2">
      <c r="O94" t="str">
        <f>IFERROR(INDEX(_courses_lookup!$C:$C,MATCH(K94&amp;L94,_courses_lookup!$E:$E,0)),"")</f>
        <v/>
      </c>
      <c r="P94" t="str">
        <f>IFERROR(INDEX(_courses_lookup!$D:$D,MATCH(K94&amp;L94,_courses_lookup!$E:$E,0)),"")</f>
        <v/>
      </c>
      <c r="AG94" t="str">
        <f t="shared" si="16"/>
        <v/>
      </c>
      <c r="AI94" t="str">
        <f t="shared" si="17"/>
        <v/>
      </c>
      <c r="AL94" t="str">
        <f t="shared" si="18"/>
        <v/>
      </c>
      <c r="AN94" t="str">
        <f t="shared" si="19"/>
        <v/>
      </c>
      <c r="AQ94" t="str">
        <f t="shared" si="20"/>
        <v/>
      </c>
      <c r="AR94" t="str">
        <f t="shared" si="21"/>
        <v/>
      </c>
      <c r="AS94" t="str">
        <f t="shared" si="22"/>
        <v/>
      </c>
      <c r="AT94" t="str">
        <f t="shared" si="23"/>
        <v/>
      </c>
      <c r="BG94" t="str">
        <f t="shared" si="24"/>
        <v/>
      </c>
      <c r="BH94" t="str">
        <f t="shared" si="25"/>
        <v/>
      </c>
      <c r="BL94" t="str">
        <f>IFERROR(INDEX(_names_lookup!$C:$C,MATCH(BK94,_names_lookup!$A:$A,0)),"")</f>
        <v/>
      </c>
      <c r="BM94" t="str">
        <f>IFERROR(INDEX(_names_lookup!$B:$B,MATCH(BK94,_names_lookup!$A:$A,0)),"")</f>
        <v/>
      </c>
      <c r="BS94" t="str">
        <f t="shared" si="26"/>
        <v/>
      </c>
    </row>
    <row r="95" spans="15:71" x14ac:dyDescent="0.2">
      <c r="O95" t="str">
        <f>IFERROR(INDEX(_courses_lookup!$C:$C,MATCH(K95&amp;L95,_courses_lookup!$E:$E,0)),"")</f>
        <v/>
      </c>
      <c r="P95" t="str">
        <f>IFERROR(INDEX(_courses_lookup!$D:$D,MATCH(K95&amp;L95,_courses_lookup!$E:$E,0)),"")</f>
        <v/>
      </c>
      <c r="AG95" t="str">
        <f t="shared" si="16"/>
        <v/>
      </c>
      <c r="AI95" t="str">
        <f t="shared" si="17"/>
        <v/>
      </c>
      <c r="AL95" t="str">
        <f t="shared" si="18"/>
        <v/>
      </c>
      <c r="AN95" t="str">
        <f t="shared" si="19"/>
        <v/>
      </c>
      <c r="AQ95" t="str">
        <f t="shared" si="20"/>
        <v/>
      </c>
      <c r="AR95" t="str">
        <f t="shared" si="21"/>
        <v/>
      </c>
      <c r="AS95" t="str">
        <f t="shared" si="22"/>
        <v/>
      </c>
      <c r="AT95" t="str">
        <f t="shared" si="23"/>
        <v/>
      </c>
      <c r="BG95" t="str">
        <f t="shared" si="24"/>
        <v/>
      </c>
      <c r="BH95" t="str">
        <f t="shared" si="25"/>
        <v/>
      </c>
      <c r="BL95" t="str">
        <f>IFERROR(INDEX(_names_lookup!$C:$C,MATCH(BK95,_names_lookup!$A:$A,0)),"")</f>
        <v/>
      </c>
      <c r="BM95" t="str">
        <f>IFERROR(INDEX(_names_lookup!$B:$B,MATCH(BK95,_names_lookup!$A:$A,0)),"")</f>
        <v/>
      </c>
      <c r="BS95" t="str">
        <f t="shared" si="26"/>
        <v/>
      </c>
    </row>
    <row r="96" spans="15:71" x14ac:dyDescent="0.2">
      <c r="O96" t="str">
        <f>IFERROR(INDEX(_courses_lookup!$C:$C,MATCH(K96&amp;L96,_courses_lookup!$E:$E,0)),"")</f>
        <v/>
      </c>
      <c r="P96" t="str">
        <f>IFERROR(INDEX(_courses_lookup!$D:$D,MATCH(K96&amp;L96,_courses_lookup!$E:$E,0)),"")</f>
        <v/>
      </c>
      <c r="AG96" t="str">
        <f t="shared" si="16"/>
        <v/>
      </c>
      <c r="AI96" t="str">
        <f t="shared" si="17"/>
        <v/>
      </c>
      <c r="AL96" t="str">
        <f t="shared" si="18"/>
        <v/>
      </c>
      <c r="AN96" t="str">
        <f t="shared" si="19"/>
        <v/>
      </c>
      <c r="AQ96" t="str">
        <f t="shared" si="20"/>
        <v/>
      </c>
      <c r="AR96" t="str">
        <f t="shared" si="21"/>
        <v/>
      </c>
      <c r="AS96" t="str">
        <f t="shared" si="22"/>
        <v/>
      </c>
      <c r="AT96" t="str">
        <f t="shared" si="23"/>
        <v/>
      </c>
      <c r="BG96" t="str">
        <f t="shared" si="24"/>
        <v/>
      </c>
      <c r="BH96" t="str">
        <f t="shared" si="25"/>
        <v/>
      </c>
      <c r="BL96" t="str">
        <f>IFERROR(INDEX(_names_lookup!$C:$C,MATCH(BK96,_names_lookup!$A:$A,0)),"")</f>
        <v/>
      </c>
      <c r="BM96" t="str">
        <f>IFERROR(INDEX(_names_lookup!$B:$B,MATCH(BK96,_names_lookup!$A:$A,0)),"")</f>
        <v/>
      </c>
      <c r="BS96" t="str">
        <f t="shared" si="26"/>
        <v/>
      </c>
    </row>
    <row r="97" spans="15:71" x14ac:dyDescent="0.2">
      <c r="O97" t="str">
        <f>IFERROR(INDEX(_courses_lookup!$C:$C,MATCH(K97&amp;L97,_courses_lookup!$E:$E,0)),"")</f>
        <v/>
      </c>
      <c r="P97" t="str">
        <f>IFERROR(INDEX(_courses_lookup!$D:$D,MATCH(K97&amp;L97,_courses_lookup!$E:$E,0)),"")</f>
        <v/>
      </c>
      <c r="AG97" t="str">
        <f t="shared" si="16"/>
        <v/>
      </c>
      <c r="AI97" t="str">
        <f t="shared" si="17"/>
        <v/>
      </c>
      <c r="AL97" t="str">
        <f t="shared" si="18"/>
        <v/>
      </c>
      <c r="AN97" t="str">
        <f t="shared" si="19"/>
        <v/>
      </c>
      <c r="AQ97" t="str">
        <f t="shared" si="20"/>
        <v/>
      </c>
      <c r="AR97" t="str">
        <f t="shared" si="21"/>
        <v/>
      </c>
      <c r="AS97" t="str">
        <f t="shared" si="22"/>
        <v/>
      </c>
      <c r="AT97" t="str">
        <f t="shared" si="23"/>
        <v/>
      </c>
      <c r="BG97" t="str">
        <f t="shared" si="24"/>
        <v/>
      </c>
      <c r="BH97" t="str">
        <f t="shared" si="25"/>
        <v/>
      </c>
      <c r="BL97" t="str">
        <f>IFERROR(INDEX(_names_lookup!$C:$C,MATCH(BK97,_names_lookup!$A:$A,0)),"")</f>
        <v/>
      </c>
      <c r="BM97" t="str">
        <f>IFERROR(INDEX(_names_lookup!$B:$B,MATCH(BK97,_names_lookup!$A:$A,0)),"")</f>
        <v/>
      </c>
      <c r="BS97" t="str">
        <f t="shared" si="26"/>
        <v/>
      </c>
    </row>
    <row r="98" spans="15:71" x14ac:dyDescent="0.2">
      <c r="O98" t="str">
        <f>IFERROR(INDEX(_courses_lookup!$C:$C,MATCH(K98&amp;L98,_courses_lookup!$E:$E,0)),"")</f>
        <v/>
      </c>
      <c r="P98" t="str">
        <f>IFERROR(INDEX(_courses_lookup!$D:$D,MATCH(K98&amp;L98,_courses_lookup!$E:$E,0)),"")</f>
        <v/>
      </c>
      <c r="AG98" t="str">
        <f t="shared" si="16"/>
        <v/>
      </c>
      <c r="AI98" t="str">
        <f t="shared" si="17"/>
        <v/>
      </c>
      <c r="AL98" t="str">
        <f t="shared" si="18"/>
        <v/>
      </c>
      <c r="AN98" t="str">
        <f t="shared" si="19"/>
        <v/>
      </c>
      <c r="AQ98" t="str">
        <f t="shared" si="20"/>
        <v/>
      </c>
      <c r="AR98" t="str">
        <f t="shared" si="21"/>
        <v/>
      </c>
      <c r="AS98" t="str">
        <f t="shared" si="22"/>
        <v/>
      </c>
      <c r="AT98" t="str">
        <f t="shared" si="23"/>
        <v/>
      </c>
      <c r="BG98" t="str">
        <f t="shared" si="24"/>
        <v/>
      </c>
      <c r="BH98" t="str">
        <f t="shared" si="25"/>
        <v/>
      </c>
      <c r="BL98" t="str">
        <f>IFERROR(INDEX(_names_lookup!$C:$C,MATCH(BK98,_names_lookup!$A:$A,0)),"")</f>
        <v/>
      </c>
      <c r="BM98" t="str">
        <f>IFERROR(INDEX(_names_lookup!$B:$B,MATCH(BK98,_names_lookup!$A:$A,0)),"")</f>
        <v/>
      </c>
      <c r="BS98" t="str">
        <f t="shared" si="26"/>
        <v/>
      </c>
    </row>
    <row r="99" spans="15:71" x14ac:dyDescent="0.2">
      <c r="O99" t="str">
        <f>IFERROR(INDEX(_courses_lookup!$C:$C,MATCH(K99&amp;L99,_courses_lookup!$E:$E,0)),"")</f>
        <v/>
      </c>
      <c r="P99" t="str">
        <f>IFERROR(INDEX(_courses_lookup!$D:$D,MATCH(K99&amp;L99,_courses_lookup!$E:$E,0)),"")</f>
        <v/>
      </c>
      <c r="AG99" t="str">
        <f t="shared" si="16"/>
        <v/>
      </c>
      <c r="AI99" t="str">
        <f t="shared" si="17"/>
        <v/>
      </c>
      <c r="AL99" t="str">
        <f t="shared" si="18"/>
        <v/>
      </c>
      <c r="AN99" t="str">
        <f t="shared" si="19"/>
        <v/>
      </c>
      <c r="AQ99" t="str">
        <f t="shared" si="20"/>
        <v/>
      </c>
      <c r="AR99" t="str">
        <f t="shared" si="21"/>
        <v/>
      </c>
      <c r="AS99" t="str">
        <f t="shared" si="22"/>
        <v/>
      </c>
      <c r="AT99" t="str">
        <f t="shared" si="23"/>
        <v/>
      </c>
      <c r="BG99" t="str">
        <f t="shared" si="24"/>
        <v/>
      </c>
      <c r="BH99" t="str">
        <f t="shared" si="25"/>
        <v/>
      </c>
      <c r="BL99" t="str">
        <f>IFERROR(INDEX(_names_lookup!$C:$C,MATCH(BK99,_names_lookup!$A:$A,0)),"")</f>
        <v/>
      </c>
      <c r="BM99" t="str">
        <f>IFERROR(INDEX(_names_lookup!$B:$B,MATCH(BK99,_names_lookup!$A:$A,0)),"")</f>
        <v/>
      </c>
      <c r="BS99" t="str">
        <f t="shared" si="26"/>
        <v/>
      </c>
    </row>
    <row r="100" spans="15:71" x14ac:dyDescent="0.2">
      <c r="O100" t="str">
        <f>IFERROR(INDEX(_courses_lookup!$C:$C,MATCH(K100&amp;L100,_courses_lookup!$E:$E,0)),"")</f>
        <v/>
      </c>
      <c r="P100" t="str">
        <f>IFERROR(INDEX(_courses_lookup!$D:$D,MATCH(K100&amp;L100,_courses_lookup!$E:$E,0)),"")</f>
        <v/>
      </c>
      <c r="AG100" t="str">
        <f t="shared" si="16"/>
        <v/>
      </c>
      <c r="AI100" t="str">
        <f t="shared" si="17"/>
        <v/>
      </c>
      <c r="AL100" t="str">
        <f t="shared" si="18"/>
        <v/>
      </c>
      <c r="AN100" t="str">
        <f t="shared" si="19"/>
        <v/>
      </c>
      <c r="AQ100" t="str">
        <f t="shared" si="20"/>
        <v/>
      </c>
      <c r="AR100" t="str">
        <f t="shared" si="21"/>
        <v/>
      </c>
      <c r="AS100" t="str">
        <f t="shared" si="22"/>
        <v/>
      </c>
      <c r="AT100" t="str">
        <f t="shared" si="23"/>
        <v/>
      </c>
      <c r="BG100" t="str">
        <f t="shared" si="24"/>
        <v/>
      </c>
      <c r="BH100" t="str">
        <f t="shared" si="25"/>
        <v/>
      </c>
      <c r="BL100" t="str">
        <f>IFERROR(INDEX(_names_lookup!$C:$C,MATCH(BK100,_names_lookup!$A:$A,0)),"")</f>
        <v/>
      </c>
      <c r="BM100" t="str">
        <f>IFERROR(INDEX(_names_lookup!$B:$B,MATCH(BK100,_names_lookup!$A:$A,0)),"")</f>
        <v/>
      </c>
      <c r="BS100" t="str">
        <f t="shared" si="26"/>
        <v/>
      </c>
    </row>
    <row r="101" spans="15:71" x14ac:dyDescent="0.2">
      <c r="O101" t="str">
        <f>IFERROR(INDEX(_courses_lookup!$C:$C,MATCH(K101&amp;L101,_courses_lookup!$E:$E,0)),"")</f>
        <v/>
      </c>
      <c r="P101" t="str">
        <f>IFERROR(INDEX(_courses_lookup!$D:$D,MATCH(K101&amp;L101,_courses_lookup!$E:$E,0)),"")</f>
        <v/>
      </c>
      <c r="AG101" t="str">
        <f t="shared" si="16"/>
        <v/>
      </c>
      <c r="AI101" t="str">
        <f t="shared" si="17"/>
        <v/>
      </c>
      <c r="AL101" t="str">
        <f t="shared" si="18"/>
        <v/>
      </c>
      <c r="AN101" t="str">
        <f t="shared" si="19"/>
        <v/>
      </c>
      <c r="AQ101" t="str">
        <f t="shared" si="20"/>
        <v/>
      </c>
      <c r="AR101" t="str">
        <f t="shared" si="21"/>
        <v/>
      </c>
      <c r="AS101" t="str">
        <f t="shared" si="22"/>
        <v/>
      </c>
      <c r="AT101" t="str">
        <f t="shared" si="23"/>
        <v/>
      </c>
      <c r="BG101" t="str">
        <f t="shared" si="24"/>
        <v/>
      </c>
      <c r="BH101" t="str">
        <f t="shared" si="25"/>
        <v/>
      </c>
      <c r="BL101" t="str">
        <f>IFERROR(INDEX(_names_lookup!$C:$C,MATCH(BK101,_names_lookup!$A:$A,0)),"")</f>
        <v/>
      </c>
      <c r="BM101" t="str">
        <f>IFERROR(INDEX(_names_lookup!$B:$B,MATCH(BK101,_names_lookup!$A:$A,0)),"")</f>
        <v/>
      </c>
      <c r="BS101" t="str">
        <f t="shared" si="26"/>
        <v/>
      </c>
    </row>
    <row r="102" spans="15:71" x14ac:dyDescent="0.2">
      <c r="O102" t="str">
        <f>IFERROR(INDEX(_courses_lookup!$C:$C,MATCH(K102&amp;L102,_courses_lookup!$E:$E,0)),"")</f>
        <v/>
      </c>
      <c r="P102" t="str">
        <f>IFERROR(INDEX(_courses_lookup!$D:$D,MATCH(K102&amp;L102,_courses_lookup!$E:$E,0)),"")</f>
        <v/>
      </c>
      <c r="AG102" t="str">
        <f t="shared" si="16"/>
        <v/>
      </c>
      <c r="AI102" t="str">
        <f t="shared" si="17"/>
        <v/>
      </c>
      <c r="AL102" t="str">
        <f t="shared" si="18"/>
        <v/>
      </c>
      <c r="AN102" t="str">
        <f t="shared" si="19"/>
        <v/>
      </c>
      <c r="AQ102" t="str">
        <f t="shared" si="20"/>
        <v/>
      </c>
      <c r="AR102" t="str">
        <f t="shared" si="21"/>
        <v/>
      </c>
      <c r="AS102" t="str">
        <f t="shared" si="22"/>
        <v/>
      </c>
      <c r="AT102" t="str">
        <f t="shared" si="23"/>
        <v/>
      </c>
      <c r="BG102" t="str">
        <f t="shared" si="24"/>
        <v/>
      </c>
      <c r="BH102" t="str">
        <f t="shared" si="25"/>
        <v/>
      </c>
      <c r="BL102" t="str">
        <f>IFERROR(INDEX(_names_lookup!$C:$C,MATCH(BK102,_names_lookup!$A:$A,0)),"")</f>
        <v/>
      </c>
      <c r="BM102" t="str">
        <f>IFERROR(INDEX(_names_lookup!$B:$B,MATCH(BK102,_names_lookup!$A:$A,0)),"")</f>
        <v/>
      </c>
      <c r="BS102" t="str">
        <f t="shared" si="26"/>
        <v/>
      </c>
    </row>
    <row r="103" spans="15:71" x14ac:dyDescent="0.2">
      <c r="O103" t="str">
        <f>IFERROR(INDEX(_courses_lookup!$C:$C,MATCH(K103&amp;L103,_courses_lookup!$E:$E,0)),"")</f>
        <v/>
      </c>
      <c r="P103" t="str">
        <f>IFERROR(INDEX(_courses_lookup!$D:$D,MATCH(K103&amp;L103,_courses_lookup!$E:$E,0)),"")</f>
        <v/>
      </c>
      <c r="AG103" t="str">
        <f t="shared" si="16"/>
        <v/>
      </c>
      <c r="AI103" t="str">
        <f t="shared" si="17"/>
        <v/>
      </c>
      <c r="AL103" t="str">
        <f t="shared" si="18"/>
        <v/>
      </c>
      <c r="AN103" t="str">
        <f t="shared" si="19"/>
        <v/>
      </c>
      <c r="AQ103" t="str">
        <f t="shared" si="20"/>
        <v/>
      </c>
      <c r="AR103" t="str">
        <f t="shared" si="21"/>
        <v/>
      </c>
      <c r="AS103" t="str">
        <f t="shared" si="22"/>
        <v/>
      </c>
      <c r="AT103" t="str">
        <f t="shared" si="23"/>
        <v/>
      </c>
      <c r="BG103" t="str">
        <f t="shared" si="24"/>
        <v/>
      </c>
      <c r="BH103" t="str">
        <f t="shared" si="25"/>
        <v/>
      </c>
      <c r="BL103" t="str">
        <f>IFERROR(INDEX(_names_lookup!$C:$C,MATCH(BK103,_names_lookup!$A:$A,0)),"")</f>
        <v/>
      </c>
      <c r="BM103" t="str">
        <f>IFERROR(INDEX(_names_lookup!$B:$B,MATCH(BK103,_names_lookup!$A:$A,0)),"")</f>
        <v/>
      </c>
      <c r="BS103" t="str">
        <f t="shared" si="26"/>
        <v/>
      </c>
    </row>
    <row r="104" spans="15:71" x14ac:dyDescent="0.2">
      <c r="O104" t="str">
        <f>IFERROR(INDEX(_courses_lookup!$C:$C,MATCH(K104&amp;L104,_courses_lookup!$E:$E,0)),"")</f>
        <v/>
      </c>
      <c r="P104" t="str">
        <f>IFERROR(INDEX(_courses_lookup!$D:$D,MATCH(K104&amp;L104,_courses_lookup!$E:$E,0)),"")</f>
        <v/>
      </c>
      <c r="AG104" t="str">
        <f t="shared" si="16"/>
        <v/>
      </c>
      <c r="AI104" t="str">
        <f t="shared" si="17"/>
        <v/>
      </c>
      <c r="AL104" t="str">
        <f t="shared" si="18"/>
        <v/>
      </c>
      <c r="AN104" t="str">
        <f t="shared" si="19"/>
        <v/>
      </c>
      <c r="AQ104" t="str">
        <f t="shared" si="20"/>
        <v/>
      </c>
      <c r="AR104" t="str">
        <f t="shared" si="21"/>
        <v/>
      </c>
      <c r="AS104" t="str">
        <f t="shared" si="22"/>
        <v/>
      </c>
      <c r="AT104" t="str">
        <f t="shared" si="23"/>
        <v/>
      </c>
      <c r="BG104" t="str">
        <f t="shared" si="24"/>
        <v/>
      </c>
      <c r="BH104" t="str">
        <f t="shared" si="25"/>
        <v/>
      </c>
      <c r="BL104" t="str">
        <f>IFERROR(INDEX(_names_lookup!$C:$C,MATCH(BK104,_names_lookup!$A:$A,0)),"")</f>
        <v/>
      </c>
      <c r="BM104" t="str">
        <f>IFERROR(INDEX(_names_lookup!$B:$B,MATCH(BK104,_names_lookup!$A:$A,0)),"")</f>
        <v/>
      </c>
      <c r="BS104" t="str">
        <f t="shared" si="26"/>
        <v/>
      </c>
    </row>
    <row r="105" spans="15:71" x14ac:dyDescent="0.2">
      <c r="O105" t="str">
        <f>IFERROR(INDEX(_courses_lookup!$C:$C,MATCH(K105&amp;L105,_courses_lookup!$E:$E,0)),"")</f>
        <v/>
      </c>
      <c r="P105" t="str">
        <f>IFERROR(INDEX(_courses_lookup!$D:$D,MATCH(K105&amp;L105,_courses_lookup!$E:$E,0)),"")</f>
        <v/>
      </c>
      <c r="AG105" t="str">
        <f t="shared" si="16"/>
        <v/>
      </c>
      <c r="AI105" t="str">
        <f t="shared" si="17"/>
        <v/>
      </c>
      <c r="AL105" t="str">
        <f t="shared" si="18"/>
        <v/>
      </c>
      <c r="AN105" t="str">
        <f t="shared" si="19"/>
        <v/>
      </c>
      <c r="AQ105" t="str">
        <f t="shared" si="20"/>
        <v/>
      </c>
      <c r="AR105" t="str">
        <f t="shared" si="21"/>
        <v/>
      </c>
      <c r="AS105" t="str">
        <f t="shared" si="22"/>
        <v/>
      </c>
      <c r="AT105" t="str">
        <f t="shared" si="23"/>
        <v/>
      </c>
      <c r="BG105" t="str">
        <f t="shared" si="24"/>
        <v/>
      </c>
      <c r="BH105" t="str">
        <f t="shared" si="25"/>
        <v/>
      </c>
      <c r="BL105" t="str">
        <f>IFERROR(INDEX(_names_lookup!$C:$C,MATCH(BK105,_names_lookup!$A:$A,0)),"")</f>
        <v/>
      </c>
      <c r="BM105" t="str">
        <f>IFERROR(INDEX(_names_lookup!$B:$B,MATCH(BK105,_names_lookup!$A:$A,0)),"")</f>
        <v/>
      </c>
      <c r="BS105" t="str">
        <f t="shared" si="26"/>
        <v/>
      </c>
    </row>
    <row r="106" spans="15:71" x14ac:dyDescent="0.2">
      <c r="O106" t="str">
        <f>IFERROR(INDEX(_courses_lookup!$C:$C,MATCH(K106&amp;L106,_courses_lookup!$E:$E,0)),"")</f>
        <v/>
      </c>
      <c r="P106" t="str">
        <f>IFERROR(INDEX(_courses_lookup!$D:$D,MATCH(K106&amp;L106,_courses_lookup!$E:$E,0)),"")</f>
        <v/>
      </c>
      <c r="AG106" t="str">
        <f t="shared" si="16"/>
        <v/>
      </c>
      <c r="AI106" t="str">
        <f t="shared" si="17"/>
        <v/>
      </c>
      <c r="AL106" t="str">
        <f t="shared" si="18"/>
        <v/>
      </c>
      <c r="AN106" t="str">
        <f t="shared" si="19"/>
        <v/>
      </c>
      <c r="AQ106" t="str">
        <f t="shared" si="20"/>
        <v/>
      </c>
      <c r="AR106" t="str">
        <f t="shared" si="21"/>
        <v/>
      </c>
      <c r="AS106" t="str">
        <f t="shared" si="22"/>
        <v/>
      </c>
      <c r="AT106" t="str">
        <f t="shared" si="23"/>
        <v/>
      </c>
      <c r="BG106" t="str">
        <f t="shared" si="24"/>
        <v/>
      </c>
      <c r="BH106" t="str">
        <f t="shared" si="25"/>
        <v/>
      </c>
      <c r="BL106" t="str">
        <f>IFERROR(INDEX(_names_lookup!$C:$C,MATCH(BK106,_names_lookup!$A:$A,0)),"")</f>
        <v/>
      </c>
      <c r="BM106" t="str">
        <f>IFERROR(INDEX(_names_lookup!$B:$B,MATCH(BK106,_names_lookup!$A:$A,0)),"")</f>
        <v/>
      </c>
      <c r="BS106" t="str">
        <f t="shared" si="26"/>
        <v/>
      </c>
    </row>
    <row r="107" spans="15:71" x14ac:dyDescent="0.2">
      <c r="O107" t="str">
        <f>IFERROR(INDEX(_courses_lookup!$C:$C,MATCH(K107&amp;L107,_courses_lookup!$E:$E,0)),"")</f>
        <v/>
      </c>
      <c r="P107" t="str">
        <f>IFERROR(INDEX(_courses_lookup!$D:$D,MATCH(K107&amp;L107,_courses_lookup!$E:$E,0)),"")</f>
        <v/>
      </c>
      <c r="AG107" t="str">
        <f t="shared" si="16"/>
        <v/>
      </c>
      <c r="AI107" t="str">
        <f t="shared" si="17"/>
        <v/>
      </c>
      <c r="AL107" t="str">
        <f t="shared" si="18"/>
        <v/>
      </c>
      <c r="AN107" t="str">
        <f t="shared" si="19"/>
        <v/>
      </c>
      <c r="AQ107" t="str">
        <f t="shared" si="20"/>
        <v/>
      </c>
      <c r="AR107" t="str">
        <f t="shared" si="21"/>
        <v/>
      </c>
      <c r="AS107" t="str">
        <f t="shared" si="22"/>
        <v/>
      </c>
      <c r="AT107" t="str">
        <f t="shared" si="23"/>
        <v/>
      </c>
      <c r="BG107" t="str">
        <f t="shared" si="24"/>
        <v/>
      </c>
      <c r="BH107" t="str">
        <f t="shared" si="25"/>
        <v/>
      </c>
      <c r="BL107" t="str">
        <f>IFERROR(INDEX(_names_lookup!$C:$C,MATCH(BK107,_names_lookup!$A:$A,0)),"")</f>
        <v/>
      </c>
      <c r="BM107" t="str">
        <f>IFERROR(INDEX(_names_lookup!$B:$B,MATCH(BK107,_names_lookup!$A:$A,0)),"")</f>
        <v/>
      </c>
      <c r="BS107" t="str">
        <f t="shared" si="26"/>
        <v/>
      </c>
    </row>
    <row r="108" spans="15:71" x14ac:dyDescent="0.2">
      <c r="O108" t="str">
        <f>IFERROR(INDEX(_courses_lookup!$C:$C,MATCH(K108&amp;L108,_courses_lookup!$E:$E,0)),"")</f>
        <v/>
      </c>
      <c r="P108" t="str">
        <f>IFERROR(INDEX(_courses_lookup!$D:$D,MATCH(K108&amp;L108,_courses_lookup!$E:$E,0)),"")</f>
        <v/>
      </c>
      <c r="AG108" t="str">
        <f t="shared" si="16"/>
        <v/>
      </c>
      <c r="AI108" t="str">
        <f t="shared" si="17"/>
        <v/>
      </c>
      <c r="AL108" t="str">
        <f t="shared" si="18"/>
        <v/>
      </c>
      <c r="AN108" t="str">
        <f t="shared" si="19"/>
        <v/>
      </c>
      <c r="AQ108" t="str">
        <f t="shared" si="20"/>
        <v/>
      </c>
      <c r="AR108" t="str">
        <f t="shared" si="21"/>
        <v/>
      </c>
      <c r="AS108" t="str">
        <f t="shared" si="22"/>
        <v/>
      </c>
      <c r="AT108" t="str">
        <f t="shared" si="23"/>
        <v/>
      </c>
      <c r="BG108" t="str">
        <f t="shared" si="24"/>
        <v/>
      </c>
      <c r="BH108" t="str">
        <f t="shared" si="25"/>
        <v/>
      </c>
      <c r="BL108" t="str">
        <f>IFERROR(INDEX(_names_lookup!$C:$C,MATCH(BK108,_names_lookup!$A:$A,0)),"")</f>
        <v/>
      </c>
      <c r="BM108" t="str">
        <f>IFERROR(INDEX(_names_lookup!$B:$B,MATCH(BK108,_names_lookup!$A:$A,0)),"")</f>
        <v/>
      </c>
      <c r="BS108" t="str">
        <f t="shared" si="26"/>
        <v/>
      </c>
    </row>
    <row r="109" spans="15:71" x14ac:dyDescent="0.2">
      <c r="O109" t="str">
        <f>IFERROR(INDEX(_courses_lookup!$C:$C,MATCH(K109&amp;L109,_courses_lookup!$E:$E,0)),"")</f>
        <v/>
      </c>
      <c r="P109" t="str">
        <f>IFERROR(INDEX(_courses_lookup!$D:$D,MATCH(K109&amp;L109,_courses_lookup!$E:$E,0)),"")</f>
        <v/>
      </c>
      <c r="AG109" t="str">
        <f t="shared" si="16"/>
        <v/>
      </c>
      <c r="AI109" t="str">
        <f t="shared" si="17"/>
        <v/>
      </c>
      <c r="AL109" t="str">
        <f t="shared" si="18"/>
        <v/>
      </c>
      <c r="AN109" t="str">
        <f t="shared" si="19"/>
        <v/>
      </c>
      <c r="AQ109" t="str">
        <f t="shared" si="20"/>
        <v/>
      </c>
      <c r="AR109" t="str">
        <f t="shared" si="21"/>
        <v/>
      </c>
      <c r="AS109" t="str">
        <f t="shared" si="22"/>
        <v/>
      </c>
      <c r="AT109" t="str">
        <f t="shared" si="23"/>
        <v/>
      </c>
      <c r="BG109" t="str">
        <f t="shared" si="24"/>
        <v/>
      </c>
      <c r="BH109" t="str">
        <f t="shared" si="25"/>
        <v/>
      </c>
      <c r="BL109" t="str">
        <f>IFERROR(INDEX(_names_lookup!$C:$C,MATCH(BK109,_names_lookup!$A:$A,0)),"")</f>
        <v/>
      </c>
      <c r="BM109" t="str">
        <f>IFERROR(INDEX(_names_lookup!$B:$B,MATCH(BK109,_names_lookup!$A:$A,0)),"")</f>
        <v/>
      </c>
      <c r="BS109" t="str">
        <f t="shared" si="26"/>
        <v/>
      </c>
    </row>
    <row r="110" spans="15:71" x14ac:dyDescent="0.2">
      <c r="O110" t="str">
        <f>IFERROR(INDEX(_courses_lookup!$C:$C,MATCH(K110&amp;L110,_courses_lookup!$E:$E,0)),"")</f>
        <v/>
      </c>
      <c r="P110" t="str">
        <f>IFERROR(INDEX(_courses_lookup!$D:$D,MATCH(K110&amp;L110,_courses_lookup!$E:$E,0)),"")</f>
        <v/>
      </c>
      <c r="AG110" t="str">
        <f t="shared" si="16"/>
        <v/>
      </c>
      <c r="AI110" t="str">
        <f t="shared" si="17"/>
        <v/>
      </c>
      <c r="AL110" t="str">
        <f t="shared" si="18"/>
        <v/>
      </c>
      <c r="AN110" t="str">
        <f t="shared" si="19"/>
        <v/>
      </c>
      <c r="AQ110" t="str">
        <f t="shared" si="20"/>
        <v/>
      </c>
      <c r="AR110" t="str">
        <f t="shared" si="21"/>
        <v/>
      </c>
      <c r="AS110" t="str">
        <f t="shared" si="22"/>
        <v/>
      </c>
      <c r="AT110" t="str">
        <f t="shared" si="23"/>
        <v/>
      </c>
      <c r="BG110" t="str">
        <f t="shared" si="24"/>
        <v/>
      </c>
      <c r="BH110" t="str">
        <f t="shared" si="25"/>
        <v/>
      </c>
      <c r="BL110" t="str">
        <f>IFERROR(INDEX(_names_lookup!$C:$C,MATCH(BK110,_names_lookup!$A:$A,0)),"")</f>
        <v/>
      </c>
      <c r="BM110" t="str">
        <f>IFERROR(INDEX(_names_lookup!$B:$B,MATCH(BK110,_names_lookup!$A:$A,0)),"")</f>
        <v/>
      </c>
      <c r="BS110" t="str">
        <f t="shared" si="26"/>
        <v/>
      </c>
    </row>
    <row r="111" spans="15:71" x14ac:dyDescent="0.2">
      <c r="O111" t="str">
        <f>IFERROR(INDEX(_courses_lookup!$C:$C,MATCH(K111&amp;L111,_courses_lookup!$E:$E,0)),"")</f>
        <v/>
      </c>
      <c r="P111" t="str">
        <f>IFERROR(INDEX(_courses_lookup!$D:$D,MATCH(K111&amp;L111,_courses_lookup!$E:$E,0)),"")</f>
        <v/>
      </c>
      <c r="AG111" t="str">
        <f t="shared" si="16"/>
        <v/>
      </c>
      <c r="AI111" t="str">
        <f t="shared" si="17"/>
        <v/>
      </c>
      <c r="AL111" t="str">
        <f t="shared" si="18"/>
        <v/>
      </c>
      <c r="AN111" t="str">
        <f t="shared" si="19"/>
        <v/>
      </c>
      <c r="AQ111" t="str">
        <f t="shared" si="20"/>
        <v/>
      </c>
      <c r="AR111" t="str">
        <f t="shared" si="21"/>
        <v/>
      </c>
      <c r="AS111" t="str">
        <f t="shared" si="22"/>
        <v/>
      </c>
      <c r="AT111" t="str">
        <f t="shared" si="23"/>
        <v/>
      </c>
      <c r="BG111" t="str">
        <f t="shared" si="24"/>
        <v/>
      </c>
      <c r="BH111" t="str">
        <f t="shared" si="25"/>
        <v/>
      </c>
      <c r="BL111" t="str">
        <f>IFERROR(INDEX(_names_lookup!$C:$C,MATCH(BK111,_names_lookup!$A:$A,0)),"")</f>
        <v/>
      </c>
      <c r="BM111" t="str">
        <f>IFERROR(INDEX(_names_lookup!$B:$B,MATCH(BK111,_names_lookup!$A:$A,0)),"")</f>
        <v/>
      </c>
      <c r="BS111" t="str">
        <f t="shared" si="26"/>
        <v/>
      </c>
    </row>
    <row r="112" spans="15:71" x14ac:dyDescent="0.2">
      <c r="O112" t="str">
        <f>IFERROR(INDEX(_courses_lookup!$C:$C,MATCH(K112&amp;L112,_courses_lookup!$E:$E,0)),"")</f>
        <v/>
      </c>
      <c r="P112" t="str">
        <f>IFERROR(INDEX(_courses_lookup!$D:$D,MATCH(K112&amp;L112,_courses_lookup!$E:$E,0)),"")</f>
        <v/>
      </c>
      <c r="AG112" t="str">
        <f t="shared" si="16"/>
        <v/>
      </c>
      <c r="AI112" t="str">
        <f t="shared" si="17"/>
        <v/>
      </c>
      <c r="AL112" t="str">
        <f t="shared" si="18"/>
        <v/>
      </c>
      <c r="AN112" t="str">
        <f t="shared" si="19"/>
        <v/>
      </c>
      <c r="AQ112" t="str">
        <f t="shared" si="20"/>
        <v/>
      </c>
      <c r="AR112" t="str">
        <f t="shared" si="21"/>
        <v/>
      </c>
      <c r="AS112" t="str">
        <f t="shared" si="22"/>
        <v/>
      </c>
      <c r="AT112" t="str">
        <f t="shared" si="23"/>
        <v/>
      </c>
      <c r="BG112" t="str">
        <f t="shared" si="24"/>
        <v/>
      </c>
      <c r="BH112" t="str">
        <f t="shared" si="25"/>
        <v/>
      </c>
      <c r="BL112" t="str">
        <f>IFERROR(INDEX(_names_lookup!$C:$C,MATCH(BK112,_names_lookup!$A:$A,0)),"")</f>
        <v/>
      </c>
      <c r="BM112" t="str">
        <f>IFERROR(INDEX(_names_lookup!$B:$B,MATCH(BK112,_names_lookup!$A:$A,0)),"")</f>
        <v/>
      </c>
      <c r="BS112" t="str">
        <f t="shared" si="26"/>
        <v/>
      </c>
    </row>
    <row r="113" spans="15:71" x14ac:dyDescent="0.2">
      <c r="O113" t="str">
        <f>IFERROR(INDEX(_courses_lookup!$C:$C,MATCH(K113&amp;L113,_courses_lookup!$E:$E,0)),"")</f>
        <v/>
      </c>
      <c r="P113" t="str">
        <f>IFERROR(INDEX(_courses_lookup!$D:$D,MATCH(K113&amp;L113,_courses_lookup!$E:$E,0)),"")</f>
        <v/>
      </c>
      <c r="AG113" t="str">
        <f t="shared" si="16"/>
        <v/>
      </c>
      <c r="AI113" t="str">
        <f t="shared" si="17"/>
        <v/>
      </c>
      <c r="AL113" t="str">
        <f t="shared" si="18"/>
        <v/>
      </c>
      <c r="AN113" t="str">
        <f t="shared" si="19"/>
        <v/>
      </c>
      <c r="AQ113" t="str">
        <f t="shared" si="20"/>
        <v/>
      </c>
      <c r="AR113" t="str">
        <f t="shared" si="21"/>
        <v/>
      </c>
      <c r="AS113" t="str">
        <f t="shared" si="22"/>
        <v/>
      </c>
      <c r="AT113" t="str">
        <f t="shared" si="23"/>
        <v/>
      </c>
      <c r="BG113" t="str">
        <f t="shared" si="24"/>
        <v/>
      </c>
      <c r="BH113" t="str">
        <f t="shared" si="25"/>
        <v/>
      </c>
      <c r="BL113" t="str">
        <f>IFERROR(INDEX(_names_lookup!$C:$C,MATCH(BK113,_names_lookup!$A:$A,0)),"")</f>
        <v/>
      </c>
      <c r="BM113" t="str">
        <f>IFERROR(INDEX(_names_lookup!$B:$B,MATCH(BK113,_names_lookup!$A:$A,0)),"")</f>
        <v/>
      </c>
      <c r="BS113" t="str">
        <f t="shared" si="26"/>
        <v/>
      </c>
    </row>
    <row r="114" spans="15:71" x14ac:dyDescent="0.2">
      <c r="O114" t="str">
        <f>IFERROR(INDEX(_courses_lookup!$C:$C,MATCH(K114&amp;L114,_courses_lookup!$E:$E,0)),"")</f>
        <v/>
      </c>
      <c r="P114" t="str">
        <f>IFERROR(INDEX(_courses_lookup!$D:$D,MATCH(K114&amp;L114,_courses_lookup!$E:$E,0)),"")</f>
        <v/>
      </c>
      <c r="AG114" t="str">
        <f t="shared" si="16"/>
        <v/>
      </c>
      <c r="AI114" t="str">
        <f t="shared" si="17"/>
        <v/>
      </c>
      <c r="AL114" t="str">
        <f t="shared" si="18"/>
        <v/>
      </c>
      <c r="AN114" t="str">
        <f t="shared" si="19"/>
        <v/>
      </c>
      <c r="AQ114" t="str">
        <f t="shared" si="20"/>
        <v/>
      </c>
      <c r="AR114" t="str">
        <f t="shared" si="21"/>
        <v/>
      </c>
      <c r="AS114" t="str">
        <f t="shared" si="22"/>
        <v/>
      </c>
      <c r="AT114" t="str">
        <f t="shared" si="23"/>
        <v/>
      </c>
      <c r="BG114" t="str">
        <f t="shared" si="24"/>
        <v/>
      </c>
      <c r="BH114" t="str">
        <f t="shared" si="25"/>
        <v/>
      </c>
      <c r="BL114" t="str">
        <f>IFERROR(INDEX(_names_lookup!$C:$C,MATCH(BK114,_names_lookup!$A:$A,0)),"")</f>
        <v/>
      </c>
      <c r="BM114" t="str">
        <f>IFERROR(INDEX(_names_lookup!$B:$B,MATCH(BK114,_names_lookup!$A:$A,0)),"")</f>
        <v/>
      </c>
      <c r="BS114" t="str">
        <f t="shared" si="26"/>
        <v/>
      </c>
    </row>
    <row r="115" spans="15:71" x14ac:dyDescent="0.2">
      <c r="O115" t="str">
        <f>IFERROR(INDEX(_courses_lookup!$C:$C,MATCH(K115&amp;L115,_courses_lookup!$E:$E,0)),"")</f>
        <v/>
      </c>
      <c r="P115" t="str">
        <f>IFERROR(INDEX(_courses_lookup!$D:$D,MATCH(K115&amp;L115,_courses_lookup!$E:$E,0)),"")</f>
        <v/>
      </c>
      <c r="AG115" t="str">
        <f t="shared" si="16"/>
        <v/>
      </c>
      <c r="AI115" t="str">
        <f t="shared" si="17"/>
        <v/>
      </c>
      <c r="AL115" t="str">
        <f t="shared" si="18"/>
        <v/>
      </c>
      <c r="AN115" t="str">
        <f t="shared" si="19"/>
        <v/>
      </c>
      <c r="AQ115" t="str">
        <f t="shared" si="20"/>
        <v/>
      </c>
      <c r="AR115" t="str">
        <f t="shared" si="21"/>
        <v/>
      </c>
      <c r="AS115" t="str">
        <f t="shared" si="22"/>
        <v/>
      </c>
      <c r="AT115" t="str">
        <f t="shared" si="23"/>
        <v/>
      </c>
      <c r="BG115" t="str">
        <f t="shared" si="24"/>
        <v/>
      </c>
      <c r="BH115" t="str">
        <f t="shared" si="25"/>
        <v/>
      </c>
      <c r="BL115" t="str">
        <f>IFERROR(INDEX(_names_lookup!$C:$C,MATCH(BK115,_names_lookup!$A:$A,0)),"")</f>
        <v/>
      </c>
      <c r="BM115" t="str">
        <f>IFERROR(INDEX(_names_lookup!$B:$B,MATCH(BK115,_names_lookup!$A:$A,0)),"")</f>
        <v/>
      </c>
      <c r="BS115" t="str">
        <f t="shared" si="26"/>
        <v/>
      </c>
    </row>
    <row r="116" spans="15:71" x14ac:dyDescent="0.2">
      <c r="O116" t="str">
        <f>IFERROR(INDEX(_courses_lookup!$C:$C,MATCH(K116&amp;L116,_courses_lookup!$E:$E,0)),"")</f>
        <v/>
      </c>
      <c r="P116" t="str">
        <f>IFERROR(INDEX(_courses_lookup!$D:$D,MATCH(K116&amp;L116,_courses_lookup!$E:$E,0)),"")</f>
        <v/>
      </c>
      <c r="AG116" t="str">
        <f t="shared" si="16"/>
        <v/>
      </c>
      <c r="AI116" t="str">
        <f t="shared" si="17"/>
        <v/>
      </c>
      <c r="AL116" t="str">
        <f t="shared" si="18"/>
        <v/>
      </c>
      <c r="AN116" t="str">
        <f t="shared" si="19"/>
        <v/>
      </c>
      <c r="AQ116" t="str">
        <f t="shared" si="20"/>
        <v/>
      </c>
      <c r="AR116" t="str">
        <f t="shared" si="21"/>
        <v/>
      </c>
      <c r="AS116" t="str">
        <f t="shared" si="22"/>
        <v/>
      </c>
      <c r="AT116" t="str">
        <f t="shared" si="23"/>
        <v/>
      </c>
      <c r="BG116" t="str">
        <f t="shared" si="24"/>
        <v/>
      </c>
      <c r="BH116" t="str">
        <f t="shared" si="25"/>
        <v/>
      </c>
      <c r="BL116" t="str">
        <f>IFERROR(INDEX(_names_lookup!$C:$C,MATCH(BK116,_names_lookup!$A:$A,0)),"")</f>
        <v/>
      </c>
      <c r="BM116" t="str">
        <f>IFERROR(INDEX(_names_lookup!$B:$B,MATCH(BK116,_names_lookup!$A:$A,0)),"")</f>
        <v/>
      </c>
      <c r="BS116" t="str">
        <f t="shared" si="26"/>
        <v/>
      </c>
    </row>
    <row r="117" spans="15:71" x14ac:dyDescent="0.2">
      <c r="O117" t="str">
        <f>IFERROR(INDEX(_courses_lookup!$C:$C,MATCH(K117&amp;L117,_courses_lookup!$E:$E,0)),"")</f>
        <v/>
      </c>
      <c r="P117" t="str">
        <f>IFERROR(INDEX(_courses_lookup!$D:$D,MATCH(K117&amp;L117,_courses_lookup!$E:$E,0)),"")</f>
        <v/>
      </c>
      <c r="AG117" t="str">
        <f t="shared" si="16"/>
        <v/>
      </c>
      <c r="AI117" t="str">
        <f t="shared" si="17"/>
        <v/>
      </c>
      <c r="AL117" t="str">
        <f t="shared" si="18"/>
        <v/>
      </c>
      <c r="AN117" t="str">
        <f t="shared" si="19"/>
        <v/>
      </c>
      <c r="AQ117" t="str">
        <f t="shared" si="20"/>
        <v/>
      </c>
      <c r="AR117" t="str">
        <f t="shared" si="21"/>
        <v/>
      </c>
      <c r="AS117" t="str">
        <f t="shared" si="22"/>
        <v/>
      </c>
      <c r="AT117" t="str">
        <f t="shared" si="23"/>
        <v/>
      </c>
      <c r="BG117" t="str">
        <f t="shared" si="24"/>
        <v/>
      </c>
      <c r="BH117" t="str">
        <f t="shared" si="25"/>
        <v/>
      </c>
      <c r="BL117" t="str">
        <f>IFERROR(INDEX(_names_lookup!$C:$C,MATCH(BK117,_names_lookup!$A:$A,0)),"")</f>
        <v/>
      </c>
      <c r="BM117" t="str">
        <f>IFERROR(INDEX(_names_lookup!$B:$B,MATCH(BK117,_names_lookup!$A:$A,0)),"")</f>
        <v/>
      </c>
      <c r="BS117" t="str">
        <f t="shared" si="26"/>
        <v/>
      </c>
    </row>
    <row r="118" spans="15:71" x14ac:dyDescent="0.2">
      <c r="O118" t="str">
        <f>IFERROR(INDEX(_courses_lookup!$C:$C,MATCH(K118&amp;L118,_courses_lookup!$E:$E,0)),"")</f>
        <v/>
      </c>
      <c r="P118" t="str">
        <f>IFERROR(INDEX(_courses_lookup!$D:$D,MATCH(K118&amp;L118,_courses_lookup!$E:$E,0)),"")</f>
        <v/>
      </c>
      <c r="AG118" t="str">
        <f t="shared" si="16"/>
        <v/>
      </c>
      <c r="AI118" t="str">
        <f t="shared" si="17"/>
        <v/>
      </c>
      <c r="AL118" t="str">
        <f t="shared" si="18"/>
        <v/>
      </c>
      <c r="AN118" t="str">
        <f t="shared" si="19"/>
        <v/>
      </c>
      <c r="AQ118" t="str">
        <f t="shared" si="20"/>
        <v/>
      </c>
      <c r="AR118" t="str">
        <f t="shared" si="21"/>
        <v/>
      </c>
      <c r="AS118" t="str">
        <f t="shared" si="22"/>
        <v/>
      </c>
      <c r="AT118" t="str">
        <f t="shared" si="23"/>
        <v/>
      </c>
      <c r="BG118" t="str">
        <f t="shared" si="24"/>
        <v/>
      </c>
      <c r="BH118" t="str">
        <f t="shared" si="25"/>
        <v/>
      </c>
      <c r="BL118" t="str">
        <f>IFERROR(INDEX(_names_lookup!$C:$C,MATCH(BK118,_names_lookup!$A:$A,0)),"")</f>
        <v/>
      </c>
      <c r="BM118" t="str">
        <f>IFERROR(INDEX(_names_lookup!$B:$B,MATCH(BK118,_names_lookup!$A:$A,0)),"")</f>
        <v/>
      </c>
      <c r="BS118" t="str">
        <f t="shared" si="26"/>
        <v/>
      </c>
    </row>
    <row r="119" spans="15:71" x14ac:dyDescent="0.2">
      <c r="O119" t="str">
        <f>IFERROR(INDEX(_courses_lookup!$C:$C,MATCH(K119&amp;L119,_courses_lookup!$E:$E,0)),"")</f>
        <v/>
      </c>
      <c r="P119" t="str">
        <f>IFERROR(INDEX(_courses_lookup!$D:$D,MATCH(K119&amp;L119,_courses_lookup!$E:$E,0)),"")</f>
        <v/>
      </c>
      <c r="AG119" t="str">
        <f t="shared" si="16"/>
        <v/>
      </c>
      <c r="AI119" t="str">
        <f t="shared" si="17"/>
        <v/>
      </c>
      <c r="AL119" t="str">
        <f t="shared" si="18"/>
        <v/>
      </c>
      <c r="AN119" t="str">
        <f t="shared" si="19"/>
        <v/>
      </c>
      <c r="AQ119" t="str">
        <f t="shared" si="20"/>
        <v/>
      </c>
      <c r="AR119" t="str">
        <f t="shared" si="21"/>
        <v/>
      </c>
      <c r="AS119" t="str">
        <f t="shared" si="22"/>
        <v/>
      </c>
      <c r="AT119" t="str">
        <f t="shared" si="23"/>
        <v/>
      </c>
      <c r="BG119" t="str">
        <f t="shared" si="24"/>
        <v/>
      </c>
      <c r="BH119" t="str">
        <f t="shared" si="25"/>
        <v/>
      </c>
      <c r="BL119" t="str">
        <f>IFERROR(INDEX(_names_lookup!$C:$C,MATCH(BK119,_names_lookup!$A:$A,0)),"")</f>
        <v/>
      </c>
      <c r="BM119" t="str">
        <f>IFERROR(INDEX(_names_lookup!$B:$B,MATCH(BK119,_names_lookup!$A:$A,0)),"")</f>
        <v/>
      </c>
      <c r="BS119" t="str">
        <f t="shared" si="26"/>
        <v/>
      </c>
    </row>
    <row r="120" spans="15:71" x14ac:dyDescent="0.2">
      <c r="O120" t="str">
        <f>IFERROR(INDEX(_courses_lookup!$C:$C,MATCH(K120&amp;L120,_courses_lookup!$E:$E,0)),"")</f>
        <v/>
      </c>
      <c r="P120" t="str">
        <f>IFERROR(INDEX(_courses_lookup!$D:$D,MATCH(K120&amp;L120,_courses_lookup!$E:$E,0)),"")</f>
        <v/>
      </c>
      <c r="AG120" t="str">
        <f t="shared" si="16"/>
        <v/>
      </c>
      <c r="AI120" t="str">
        <f t="shared" si="17"/>
        <v/>
      </c>
      <c r="AL120" t="str">
        <f t="shared" si="18"/>
        <v/>
      </c>
      <c r="AN120" t="str">
        <f t="shared" si="19"/>
        <v/>
      </c>
      <c r="AQ120" t="str">
        <f t="shared" si="20"/>
        <v/>
      </c>
      <c r="AR120" t="str">
        <f t="shared" si="21"/>
        <v/>
      </c>
      <c r="AS120" t="str">
        <f t="shared" si="22"/>
        <v/>
      </c>
      <c r="AT120" t="str">
        <f t="shared" si="23"/>
        <v/>
      </c>
      <c r="BG120" t="str">
        <f t="shared" si="24"/>
        <v/>
      </c>
      <c r="BH120" t="str">
        <f t="shared" si="25"/>
        <v/>
      </c>
      <c r="BL120" t="str">
        <f>IFERROR(INDEX(_names_lookup!$C:$C,MATCH(BK120,_names_lookup!$A:$A,0)),"")</f>
        <v/>
      </c>
      <c r="BM120" t="str">
        <f>IFERROR(INDEX(_names_lookup!$B:$B,MATCH(BK120,_names_lookup!$A:$A,0)),"")</f>
        <v/>
      </c>
      <c r="BS120" t="str">
        <f t="shared" si="26"/>
        <v/>
      </c>
    </row>
    <row r="121" spans="15:71" x14ac:dyDescent="0.2">
      <c r="O121" t="str">
        <f>IFERROR(INDEX(_courses_lookup!$C:$C,MATCH(K121&amp;L121,_courses_lookup!$E:$E,0)),"")</f>
        <v/>
      </c>
      <c r="P121" t="str">
        <f>IFERROR(INDEX(_courses_lookup!$D:$D,MATCH(K121&amp;L121,_courses_lookup!$E:$E,0)),"")</f>
        <v/>
      </c>
      <c r="AG121" t="str">
        <f t="shared" si="16"/>
        <v/>
      </c>
      <c r="AI121" t="str">
        <f t="shared" si="17"/>
        <v/>
      </c>
      <c r="AL121" t="str">
        <f t="shared" si="18"/>
        <v/>
      </c>
      <c r="AN121" t="str">
        <f t="shared" si="19"/>
        <v/>
      </c>
      <c r="AQ121" t="str">
        <f t="shared" si="20"/>
        <v/>
      </c>
      <c r="AR121" t="str">
        <f t="shared" si="21"/>
        <v/>
      </c>
      <c r="AS121" t="str">
        <f t="shared" si="22"/>
        <v/>
      </c>
      <c r="AT121" t="str">
        <f t="shared" si="23"/>
        <v/>
      </c>
      <c r="BG121" t="str">
        <f t="shared" si="24"/>
        <v/>
      </c>
      <c r="BH121" t="str">
        <f t="shared" si="25"/>
        <v/>
      </c>
      <c r="BL121" t="str">
        <f>IFERROR(INDEX(_names_lookup!$C:$C,MATCH(BK121,_names_lookup!$A:$A,0)),"")</f>
        <v/>
      </c>
      <c r="BM121" t="str">
        <f>IFERROR(INDEX(_names_lookup!$B:$B,MATCH(BK121,_names_lookup!$A:$A,0)),"")</f>
        <v/>
      </c>
      <c r="BS121" t="str">
        <f t="shared" si="26"/>
        <v/>
      </c>
    </row>
    <row r="122" spans="15:71" x14ac:dyDescent="0.2">
      <c r="O122" t="str">
        <f>IFERROR(INDEX(_courses_lookup!$C:$C,MATCH(K122&amp;L122,_courses_lookup!$E:$E,0)),"")</f>
        <v/>
      </c>
      <c r="P122" t="str">
        <f>IFERROR(INDEX(_courses_lookup!$D:$D,MATCH(K122&amp;L122,_courses_lookup!$E:$E,0)),"")</f>
        <v/>
      </c>
      <c r="AG122" t="str">
        <f t="shared" si="16"/>
        <v/>
      </c>
      <c r="AI122" t="str">
        <f t="shared" si="17"/>
        <v/>
      </c>
      <c r="AL122" t="str">
        <f t="shared" si="18"/>
        <v/>
      </c>
      <c r="AN122" t="str">
        <f t="shared" si="19"/>
        <v/>
      </c>
      <c r="AQ122" t="str">
        <f t="shared" si="20"/>
        <v/>
      </c>
      <c r="AR122" t="str">
        <f t="shared" si="21"/>
        <v/>
      </c>
      <c r="AS122" t="str">
        <f t="shared" si="22"/>
        <v/>
      </c>
      <c r="AT122" t="str">
        <f t="shared" si="23"/>
        <v/>
      </c>
      <c r="BG122" t="str">
        <f t="shared" si="24"/>
        <v/>
      </c>
      <c r="BH122" t="str">
        <f t="shared" si="25"/>
        <v/>
      </c>
      <c r="BL122" t="str">
        <f>IFERROR(INDEX(_names_lookup!$C:$C,MATCH(BK122,_names_lookup!$A:$A,0)),"")</f>
        <v/>
      </c>
      <c r="BM122" t="str">
        <f>IFERROR(INDEX(_names_lookup!$B:$B,MATCH(BK122,_names_lookup!$A:$A,0)),"")</f>
        <v/>
      </c>
      <c r="BS122" t="str">
        <f t="shared" si="26"/>
        <v/>
      </c>
    </row>
    <row r="123" spans="15:71" x14ac:dyDescent="0.2">
      <c r="O123" t="str">
        <f>IFERROR(INDEX(_courses_lookup!$C:$C,MATCH(K123&amp;L123,_courses_lookup!$E:$E,0)),"")</f>
        <v/>
      </c>
      <c r="P123" t="str">
        <f>IFERROR(INDEX(_courses_lookup!$D:$D,MATCH(K123&amp;L123,_courses_lookup!$E:$E,0)),"")</f>
        <v/>
      </c>
      <c r="AG123" t="str">
        <f t="shared" si="16"/>
        <v/>
      </c>
      <c r="AI123" t="str">
        <f t="shared" si="17"/>
        <v/>
      </c>
      <c r="AL123" t="str">
        <f t="shared" si="18"/>
        <v/>
      </c>
      <c r="AN123" t="str">
        <f t="shared" si="19"/>
        <v/>
      </c>
      <c r="AQ123" t="str">
        <f t="shared" si="20"/>
        <v/>
      </c>
      <c r="AR123" t="str">
        <f t="shared" si="21"/>
        <v/>
      </c>
      <c r="AS123" t="str">
        <f t="shared" si="22"/>
        <v/>
      </c>
      <c r="AT123" t="str">
        <f t="shared" si="23"/>
        <v/>
      </c>
      <c r="BG123" t="str">
        <f t="shared" si="24"/>
        <v/>
      </c>
      <c r="BH123" t="str">
        <f t="shared" si="25"/>
        <v/>
      </c>
      <c r="BL123" t="str">
        <f>IFERROR(INDEX(_names_lookup!$C:$C,MATCH(BK123,_names_lookup!$A:$A,0)),"")</f>
        <v/>
      </c>
      <c r="BM123" t="str">
        <f>IFERROR(INDEX(_names_lookup!$B:$B,MATCH(BK123,_names_lookup!$A:$A,0)),"")</f>
        <v/>
      </c>
      <c r="BS123" t="str">
        <f t="shared" si="26"/>
        <v/>
      </c>
    </row>
    <row r="124" spans="15:71" x14ac:dyDescent="0.2">
      <c r="O124" t="str">
        <f>IFERROR(INDEX(_courses_lookup!$C:$C,MATCH(K124&amp;L124,_courses_lookup!$E:$E,0)),"")</f>
        <v/>
      </c>
      <c r="P124" t="str">
        <f>IFERROR(INDEX(_courses_lookup!$D:$D,MATCH(K124&amp;L124,_courses_lookup!$E:$E,0)),"")</f>
        <v/>
      </c>
      <c r="AG124" t="str">
        <f t="shared" si="16"/>
        <v/>
      </c>
      <c r="AI124" t="str">
        <f t="shared" si="17"/>
        <v/>
      </c>
      <c r="AL124" t="str">
        <f t="shared" si="18"/>
        <v/>
      </c>
      <c r="AN124" t="str">
        <f t="shared" si="19"/>
        <v/>
      </c>
      <c r="AQ124" t="str">
        <f t="shared" si="20"/>
        <v/>
      </c>
      <c r="AR124" t="str">
        <f t="shared" si="21"/>
        <v/>
      </c>
      <c r="AS124" t="str">
        <f t="shared" si="22"/>
        <v/>
      </c>
      <c r="AT124" t="str">
        <f t="shared" si="23"/>
        <v/>
      </c>
      <c r="BG124" t="str">
        <f t="shared" si="24"/>
        <v/>
      </c>
      <c r="BH124" t="str">
        <f t="shared" si="25"/>
        <v/>
      </c>
      <c r="BL124" t="str">
        <f>IFERROR(INDEX(_names_lookup!$C:$C,MATCH(BK124,_names_lookup!$A:$A,0)),"")</f>
        <v/>
      </c>
      <c r="BM124" t="str">
        <f>IFERROR(INDEX(_names_lookup!$B:$B,MATCH(BK124,_names_lookup!$A:$A,0)),"")</f>
        <v/>
      </c>
      <c r="BS124" t="str">
        <f t="shared" si="26"/>
        <v/>
      </c>
    </row>
    <row r="125" spans="15:71" x14ac:dyDescent="0.2">
      <c r="O125" t="str">
        <f>IFERROR(INDEX(_courses_lookup!$C:$C,MATCH(K125&amp;L125,_courses_lookup!$E:$E,0)),"")</f>
        <v/>
      </c>
      <c r="P125" t="str">
        <f>IFERROR(INDEX(_courses_lookup!$D:$D,MATCH(K125&amp;L125,_courses_lookup!$E:$E,0)),"")</f>
        <v/>
      </c>
      <c r="AG125" t="str">
        <f t="shared" si="16"/>
        <v/>
      </c>
      <c r="AI125" t="str">
        <f t="shared" si="17"/>
        <v/>
      </c>
      <c r="AL125" t="str">
        <f t="shared" si="18"/>
        <v/>
      </c>
      <c r="AN125" t="str">
        <f t="shared" si="19"/>
        <v/>
      </c>
      <c r="AQ125" t="str">
        <f t="shared" si="20"/>
        <v/>
      </c>
      <c r="AR125" t="str">
        <f t="shared" si="21"/>
        <v/>
      </c>
      <c r="AS125" t="str">
        <f t="shared" si="22"/>
        <v/>
      </c>
      <c r="AT125" t="str">
        <f t="shared" si="23"/>
        <v/>
      </c>
      <c r="BG125" t="str">
        <f t="shared" si="24"/>
        <v/>
      </c>
      <c r="BH125" t="str">
        <f t="shared" si="25"/>
        <v/>
      </c>
      <c r="BL125" t="str">
        <f>IFERROR(INDEX(_names_lookup!$C:$C,MATCH(BK125,_names_lookup!$A:$A,0)),"")</f>
        <v/>
      </c>
      <c r="BM125" t="str">
        <f>IFERROR(INDEX(_names_lookup!$B:$B,MATCH(BK125,_names_lookup!$A:$A,0)),"")</f>
        <v/>
      </c>
      <c r="BS125" t="str">
        <f t="shared" si="26"/>
        <v/>
      </c>
    </row>
    <row r="126" spans="15:71" x14ac:dyDescent="0.2">
      <c r="O126" t="str">
        <f>IFERROR(INDEX(_courses_lookup!$C:$C,MATCH(K126&amp;L126,_courses_lookup!$E:$E,0)),"")</f>
        <v/>
      </c>
      <c r="P126" t="str">
        <f>IFERROR(INDEX(_courses_lookup!$D:$D,MATCH(K126&amp;L126,_courses_lookup!$E:$E,0)),"")</f>
        <v/>
      </c>
      <c r="AG126" t="str">
        <f t="shared" si="16"/>
        <v/>
      </c>
      <c r="AI126" t="str">
        <f t="shared" si="17"/>
        <v/>
      </c>
      <c r="AL126" t="str">
        <f t="shared" si="18"/>
        <v/>
      </c>
      <c r="AN126" t="str">
        <f t="shared" si="19"/>
        <v/>
      </c>
      <c r="AQ126" t="str">
        <f t="shared" si="20"/>
        <v/>
      </c>
      <c r="AR126" t="str">
        <f t="shared" si="21"/>
        <v/>
      </c>
      <c r="AS126" t="str">
        <f t="shared" si="22"/>
        <v/>
      </c>
      <c r="AT126" t="str">
        <f t="shared" si="23"/>
        <v/>
      </c>
      <c r="BG126" t="str">
        <f t="shared" si="24"/>
        <v/>
      </c>
      <c r="BH126" t="str">
        <f t="shared" si="25"/>
        <v/>
      </c>
      <c r="BL126" t="str">
        <f>IFERROR(INDEX(_names_lookup!$C:$C,MATCH(BK126,_names_lookup!$A:$A,0)),"")</f>
        <v/>
      </c>
      <c r="BM126" t="str">
        <f>IFERROR(INDEX(_names_lookup!$B:$B,MATCH(BK126,_names_lookup!$A:$A,0)),"")</f>
        <v/>
      </c>
      <c r="BS126" t="str">
        <f t="shared" si="26"/>
        <v/>
      </c>
    </row>
    <row r="127" spans="15:71" x14ac:dyDescent="0.2">
      <c r="O127" t="str">
        <f>IFERROR(INDEX(_courses_lookup!$C:$C,MATCH(K127&amp;L127,_courses_lookup!$E:$E,0)),"")</f>
        <v/>
      </c>
      <c r="P127" t="str">
        <f>IFERROR(INDEX(_courses_lookup!$D:$D,MATCH(K127&amp;L127,_courses_lookup!$E:$E,0)),"")</f>
        <v/>
      </c>
      <c r="AG127" t="str">
        <f t="shared" si="16"/>
        <v/>
      </c>
      <c r="AI127" t="str">
        <f t="shared" si="17"/>
        <v/>
      </c>
      <c r="AL127" t="str">
        <f t="shared" si="18"/>
        <v/>
      </c>
      <c r="AN127" t="str">
        <f t="shared" si="19"/>
        <v/>
      </c>
      <c r="AQ127" t="str">
        <f t="shared" si="20"/>
        <v/>
      </c>
      <c r="AR127" t="str">
        <f t="shared" si="21"/>
        <v/>
      </c>
      <c r="AS127" t="str">
        <f t="shared" si="22"/>
        <v/>
      </c>
      <c r="AT127" t="str">
        <f t="shared" si="23"/>
        <v/>
      </c>
      <c r="BG127" t="str">
        <f t="shared" si="24"/>
        <v/>
      </c>
      <c r="BH127" t="str">
        <f t="shared" si="25"/>
        <v/>
      </c>
      <c r="BL127" t="str">
        <f>IFERROR(INDEX(_names_lookup!$C:$C,MATCH(BK127,_names_lookup!$A:$A,0)),"")</f>
        <v/>
      </c>
      <c r="BM127" t="str">
        <f>IFERROR(INDEX(_names_lookup!$B:$B,MATCH(BK127,_names_lookup!$A:$A,0)),"")</f>
        <v/>
      </c>
      <c r="BS127" t="str">
        <f t="shared" si="26"/>
        <v/>
      </c>
    </row>
    <row r="128" spans="15:71" x14ac:dyDescent="0.2">
      <c r="O128" t="str">
        <f>IFERROR(INDEX(_courses_lookup!$C:$C,MATCH(K128&amp;L128,_courses_lookup!$E:$E,0)),"")</f>
        <v/>
      </c>
      <c r="P128" t="str">
        <f>IFERROR(INDEX(_courses_lookup!$D:$D,MATCH(K128&amp;L128,_courses_lookup!$E:$E,0)),"")</f>
        <v/>
      </c>
      <c r="AG128" t="str">
        <f t="shared" si="16"/>
        <v/>
      </c>
      <c r="AI128" t="str">
        <f t="shared" si="17"/>
        <v/>
      </c>
      <c r="AL128" t="str">
        <f t="shared" si="18"/>
        <v/>
      </c>
      <c r="AN128" t="str">
        <f t="shared" si="19"/>
        <v/>
      </c>
      <c r="AQ128" t="str">
        <f t="shared" si="20"/>
        <v/>
      </c>
      <c r="AR128" t="str">
        <f t="shared" si="21"/>
        <v/>
      </c>
      <c r="AS128" t="str">
        <f t="shared" si="22"/>
        <v/>
      </c>
      <c r="AT128" t="str">
        <f t="shared" si="23"/>
        <v/>
      </c>
      <c r="BG128" t="str">
        <f t="shared" si="24"/>
        <v/>
      </c>
      <c r="BH128" t="str">
        <f t="shared" si="25"/>
        <v/>
      </c>
      <c r="BL128" t="str">
        <f>IFERROR(INDEX(_names_lookup!$C:$C,MATCH(BK128,_names_lookup!$A:$A,0)),"")</f>
        <v/>
      </c>
      <c r="BM128" t="str">
        <f>IFERROR(INDEX(_names_lookup!$B:$B,MATCH(BK128,_names_lookup!$A:$A,0)),"")</f>
        <v/>
      </c>
      <c r="BS128" t="str">
        <f t="shared" si="26"/>
        <v/>
      </c>
    </row>
    <row r="129" spans="15:71" x14ac:dyDescent="0.2">
      <c r="O129" t="str">
        <f>IFERROR(INDEX(_courses_lookup!$C:$C,MATCH(K129&amp;L129,_courses_lookup!$E:$E,0)),"")</f>
        <v/>
      </c>
      <c r="P129" t="str">
        <f>IFERROR(INDEX(_courses_lookup!$D:$D,MATCH(K129&amp;L129,_courses_lookup!$E:$E,0)),"")</f>
        <v/>
      </c>
      <c r="AG129" t="str">
        <f t="shared" si="16"/>
        <v/>
      </c>
      <c r="AI129" t="str">
        <f t="shared" si="17"/>
        <v/>
      </c>
      <c r="AL129" t="str">
        <f t="shared" si="18"/>
        <v/>
      </c>
      <c r="AN129" t="str">
        <f t="shared" si="19"/>
        <v/>
      </c>
      <c r="AQ129" t="str">
        <f t="shared" si="20"/>
        <v/>
      </c>
      <c r="AR129" t="str">
        <f t="shared" si="21"/>
        <v/>
      </c>
      <c r="AS129" t="str">
        <f t="shared" si="22"/>
        <v/>
      </c>
      <c r="AT129" t="str">
        <f t="shared" si="23"/>
        <v/>
      </c>
      <c r="BG129" t="str">
        <f t="shared" si="24"/>
        <v/>
      </c>
      <c r="BH129" t="str">
        <f t="shared" si="25"/>
        <v/>
      </c>
      <c r="BL129" t="str">
        <f>IFERROR(INDEX(_names_lookup!$C:$C,MATCH(BK129,_names_lookup!$A:$A,0)),"")</f>
        <v/>
      </c>
      <c r="BM129" t="str">
        <f>IFERROR(INDEX(_names_lookup!$B:$B,MATCH(BK129,_names_lookup!$A:$A,0)),"")</f>
        <v/>
      </c>
      <c r="BS129" t="str">
        <f t="shared" si="26"/>
        <v/>
      </c>
    </row>
    <row r="130" spans="15:71" x14ac:dyDescent="0.2">
      <c r="O130" t="str">
        <f>IFERROR(INDEX(_courses_lookup!$C:$C,MATCH(K130&amp;L130,_courses_lookup!$E:$E,0)),"")</f>
        <v/>
      </c>
      <c r="P130" t="str">
        <f>IFERROR(INDEX(_courses_lookup!$D:$D,MATCH(K130&amp;L130,_courses_lookup!$E:$E,0)),"")</f>
        <v/>
      </c>
      <c r="AG130" t="str">
        <f t="shared" ref="AG130:AG193" si="27">IF(AND(AE130&lt;&gt;"",AF130&lt;&gt;""),ROUNDUP((AF130-AE130)/7,0),"")</f>
        <v/>
      </c>
      <c r="AI130" t="str">
        <f t="shared" ref="AI130:AI193" si="28">IFERROR(IF(AG130*AH130=0,"",AG130*AH130),"")</f>
        <v/>
      </c>
      <c r="AL130" t="str">
        <f t="shared" ref="AL130:AL193" si="29">IF(AND(AJ130&lt;&gt;"",AK130&lt;&gt;""),ROUNDUP((AK130-AJ130)/7,0),"")</f>
        <v/>
      </c>
      <c r="AN130" t="str">
        <f t="shared" ref="AN130:AN193" si="30">IFERROR(IF(AL130*AM130=0,"",AL130*AM130),"")</f>
        <v/>
      </c>
      <c r="AQ130" t="str">
        <f t="shared" ref="AQ130:AQ193" si="31">IF(AND(AO130&lt;&gt;"",AP130&lt;&gt;""),ROUNDUP((AP130-AO130)/7,0),"")</f>
        <v/>
      </c>
      <c r="AR130" t="str">
        <f t="shared" ref="AR130:AR193" si="32">IFERROR(IF((AU130-(AI130+AN130))/AQ130=0,"",ROUNDUP((AU130-(AI130+AN130))/AQ130,0)),"")</f>
        <v/>
      </c>
      <c r="AS130" t="str">
        <f t="shared" ref="AS130:AS193" si="33">IFERROR(IF((AU130-(AI130+AN130))=0,"",(AU130-(AI130+AN130))),"")</f>
        <v/>
      </c>
      <c r="AT130" t="str">
        <f t="shared" ref="AT130:AT193" si="34">IF(AND(AG130="",AQ130=""),AL130,IF(SUM(AG130,AL130,AQ130)=0,"",SUM(AG130,AL130,AQ130)))</f>
        <v/>
      </c>
      <c r="BG130" t="str">
        <f t="shared" ref="BG130:BG193" si="35">IF(AD130="","",YEAR(AD130)+IF(MONTH(AD130)&gt;=5,1,0))</f>
        <v/>
      </c>
      <c r="BH130" t="str">
        <f t="shared" ref="BH130:BH193" si="36">IF(AD130="","",IF(AND(MONTH(AD130)=8,DAY(AD130)&gt;=15),"Fall",IF(MONTH(AD130)&gt;8,"Fall",IF(MONTH(AD130)=5,"Summer",IF(MONTH(AD130)=1,"Spring","")))))</f>
        <v/>
      </c>
      <c r="BL130" t="str">
        <f>IFERROR(INDEX(_names_lookup!$C:$C,MATCH(BK130,_names_lookup!$A:$A,0)),"")</f>
        <v/>
      </c>
      <c r="BM130" t="str">
        <f>IFERROR(INDEX(_names_lookup!$B:$B,MATCH(BK130,_names_lookup!$A:$A,0)),"")</f>
        <v/>
      </c>
      <c r="BS130" t="str">
        <f t="shared" ref="BS130:BS193" si="37">IFERROR(IF(BR130*AA130=0,"",BR130*AA130),"")</f>
        <v/>
      </c>
    </row>
    <row r="131" spans="15:71" x14ac:dyDescent="0.2">
      <c r="O131" t="str">
        <f>IFERROR(INDEX(_courses_lookup!$C:$C,MATCH(K131&amp;L131,_courses_lookup!$E:$E,0)),"")</f>
        <v/>
      </c>
      <c r="P131" t="str">
        <f>IFERROR(INDEX(_courses_lookup!$D:$D,MATCH(K131&amp;L131,_courses_lookup!$E:$E,0)),"")</f>
        <v/>
      </c>
      <c r="AG131" t="str">
        <f t="shared" si="27"/>
        <v/>
      </c>
      <c r="AI131" t="str">
        <f t="shared" si="28"/>
        <v/>
      </c>
      <c r="AL131" t="str">
        <f t="shared" si="29"/>
        <v/>
      </c>
      <c r="AN131" t="str">
        <f t="shared" si="30"/>
        <v/>
      </c>
      <c r="AQ131" t="str">
        <f t="shared" si="31"/>
        <v/>
      </c>
      <c r="AR131" t="str">
        <f t="shared" si="32"/>
        <v/>
      </c>
      <c r="AS131" t="str">
        <f t="shared" si="33"/>
        <v/>
      </c>
      <c r="AT131" t="str">
        <f t="shared" si="34"/>
        <v/>
      </c>
      <c r="BG131" t="str">
        <f t="shared" si="35"/>
        <v/>
      </c>
      <c r="BH131" t="str">
        <f t="shared" si="36"/>
        <v/>
      </c>
      <c r="BL131" t="str">
        <f>IFERROR(INDEX(_names_lookup!$C:$C,MATCH(BK131,_names_lookup!$A:$A,0)),"")</f>
        <v/>
      </c>
      <c r="BM131" t="str">
        <f>IFERROR(INDEX(_names_lookup!$B:$B,MATCH(BK131,_names_lookup!$A:$A,0)),"")</f>
        <v/>
      </c>
      <c r="BS131" t="str">
        <f t="shared" si="37"/>
        <v/>
      </c>
    </row>
    <row r="132" spans="15:71" x14ac:dyDescent="0.2">
      <c r="O132" t="str">
        <f>IFERROR(INDEX(_courses_lookup!$C:$C,MATCH(K132&amp;L132,_courses_lookup!$E:$E,0)),"")</f>
        <v/>
      </c>
      <c r="P132" t="str">
        <f>IFERROR(INDEX(_courses_lookup!$D:$D,MATCH(K132&amp;L132,_courses_lookup!$E:$E,0)),"")</f>
        <v/>
      </c>
      <c r="AG132" t="str">
        <f t="shared" si="27"/>
        <v/>
      </c>
      <c r="AI132" t="str">
        <f t="shared" si="28"/>
        <v/>
      </c>
      <c r="AL132" t="str">
        <f t="shared" si="29"/>
        <v/>
      </c>
      <c r="AN132" t="str">
        <f t="shared" si="30"/>
        <v/>
      </c>
      <c r="AQ132" t="str">
        <f t="shared" si="31"/>
        <v/>
      </c>
      <c r="AR132" t="str">
        <f t="shared" si="32"/>
        <v/>
      </c>
      <c r="AS132" t="str">
        <f t="shared" si="33"/>
        <v/>
      </c>
      <c r="AT132" t="str">
        <f t="shared" si="34"/>
        <v/>
      </c>
      <c r="BG132" t="str">
        <f t="shared" si="35"/>
        <v/>
      </c>
      <c r="BH132" t="str">
        <f t="shared" si="36"/>
        <v/>
      </c>
      <c r="BL132" t="str">
        <f>IFERROR(INDEX(_names_lookup!$C:$C,MATCH(BK132,_names_lookup!$A:$A,0)),"")</f>
        <v/>
      </c>
      <c r="BM132" t="str">
        <f>IFERROR(INDEX(_names_lookup!$B:$B,MATCH(BK132,_names_lookup!$A:$A,0)),"")</f>
        <v/>
      </c>
      <c r="BS132" t="str">
        <f t="shared" si="37"/>
        <v/>
      </c>
    </row>
    <row r="133" spans="15:71" x14ac:dyDescent="0.2">
      <c r="O133" t="str">
        <f>IFERROR(INDEX(_courses_lookup!$C:$C,MATCH(K133&amp;L133,_courses_lookup!$E:$E,0)),"")</f>
        <v/>
      </c>
      <c r="P133" t="str">
        <f>IFERROR(INDEX(_courses_lookup!$D:$D,MATCH(K133&amp;L133,_courses_lookup!$E:$E,0)),"")</f>
        <v/>
      </c>
      <c r="AG133" t="str">
        <f t="shared" si="27"/>
        <v/>
      </c>
      <c r="AI133" t="str">
        <f t="shared" si="28"/>
        <v/>
      </c>
      <c r="AL133" t="str">
        <f t="shared" si="29"/>
        <v/>
      </c>
      <c r="AN133" t="str">
        <f t="shared" si="30"/>
        <v/>
      </c>
      <c r="AQ133" t="str">
        <f t="shared" si="31"/>
        <v/>
      </c>
      <c r="AR133" t="str">
        <f t="shared" si="32"/>
        <v/>
      </c>
      <c r="AS133" t="str">
        <f t="shared" si="33"/>
        <v/>
      </c>
      <c r="AT133" t="str">
        <f t="shared" si="34"/>
        <v/>
      </c>
      <c r="BG133" t="str">
        <f t="shared" si="35"/>
        <v/>
      </c>
      <c r="BH133" t="str">
        <f t="shared" si="36"/>
        <v/>
      </c>
      <c r="BL133" t="str">
        <f>IFERROR(INDEX(_names_lookup!$C:$C,MATCH(BK133,_names_lookup!$A:$A,0)),"")</f>
        <v/>
      </c>
      <c r="BM133" t="str">
        <f>IFERROR(INDEX(_names_lookup!$B:$B,MATCH(BK133,_names_lookup!$A:$A,0)),"")</f>
        <v/>
      </c>
      <c r="BS133" t="str">
        <f t="shared" si="37"/>
        <v/>
      </c>
    </row>
    <row r="134" spans="15:71" x14ac:dyDescent="0.2">
      <c r="O134" t="str">
        <f>IFERROR(INDEX(_courses_lookup!$C:$C,MATCH(K134&amp;L134,_courses_lookup!$E:$E,0)),"")</f>
        <v/>
      </c>
      <c r="P134" t="str">
        <f>IFERROR(INDEX(_courses_lookup!$D:$D,MATCH(K134&amp;L134,_courses_lookup!$E:$E,0)),"")</f>
        <v/>
      </c>
      <c r="AG134" t="str">
        <f t="shared" si="27"/>
        <v/>
      </c>
      <c r="AI134" t="str">
        <f t="shared" si="28"/>
        <v/>
      </c>
      <c r="AL134" t="str">
        <f t="shared" si="29"/>
        <v/>
      </c>
      <c r="AN134" t="str">
        <f t="shared" si="30"/>
        <v/>
      </c>
      <c r="AQ134" t="str">
        <f t="shared" si="31"/>
        <v/>
      </c>
      <c r="AR134" t="str">
        <f t="shared" si="32"/>
        <v/>
      </c>
      <c r="AS134" t="str">
        <f t="shared" si="33"/>
        <v/>
      </c>
      <c r="AT134" t="str">
        <f t="shared" si="34"/>
        <v/>
      </c>
      <c r="BG134" t="str">
        <f t="shared" si="35"/>
        <v/>
      </c>
      <c r="BH134" t="str">
        <f t="shared" si="36"/>
        <v/>
      </c>
      <c r="BL134" t="str">
        <f>IFERROR(INDEX(_names_lookup!$C:$C,MATCH(BK134,_names_lookup!$A:$A,0)),"")</f>
        <v/>
      </c>
      <c r="BM134" t="str">
        <f>IFERROR(INDEX(_names_lookup!$B:$B,MATCH(BK134,_names_lookup!$A:$A,0)),"")</f>
        <v/>
      </c>
      <c r="BS134" t="str">
        <f t="shared" si="37"/>
        <v/>
      </c>
    </row>
    <row r="135" spans="15:71" x14ac:dyDescent="0.2">
      <c r="O135" t="str">
        <f>IFERROR(INDEX(_courses_lookup!$C:$C,MATCH(K135&amp;L135,_courses_lookup!$E:$E,0)),"")</f>
        <v/>
      </c>
      <c r="P135" t="str">
        <f>IFERROR(INDEX(_courses_lookup!$D:$D,MATCH(K135&amp;L135,_courses_lookup!$E:$E,0)),"")</f>
        <v/>
      </c>
      <c r="AG135" t="str">
        <f t="shared" si="27"/>
        <v/>
      </c>
      <c r="AI135" t="str">
        <f t="shared" si="28"/>
        <v/>
      </c>
      <c r="AL135" t="str">
        <f t="shared" si="29"/>
        <v/>
      </c>
      <c r="AN135" t="str">
        <f t="shared" si="30"/>
        <v/>
      </c>
      <c r="AQ135" t="str">
        <f t="shared" si="31"/>
        <v/>
      </c>
      <c r="AR135" t="str">
        <f t="shared" si="32"/>
        <v/>
      </c>
      <c r="AS135" t="str">
        <f t="shared" si="33"/>
        <v/>
      </c>
      <c r="AT135" t="str">
        <f t="shared" si="34"/>
        <v/>
      </c>
      <c r="BG135" t="str">
        <f t="shared" si="35"/>
        <v/>
      </c>
      <c r="BH135" t="str">
        <f t="shared" si="36"/>
        <v/>
      </c>
      <c r="BL135" t="str">
        <f>IFERROR(INDEX(_names_lookup!$C:$C,MATCH(BK135,_names_lookup!$A:$A,0)),"")</f>
        <v/>
      </c>
      <c r="BM135" t="str">
        <f>IFERROR(INDEX(_names_lookup!$B:$B,MATCH(BK135,_names_lookup!$A:$A,0)),"")</f>
        <v/>
      </c>
      <c r="BS135" t="str">
        <f t="shared" si="37"/>
        <v/>
      </c>
    </row>
    <row r="136" spans="15:71" x14ac:dyDescent="0.2">
      <c r="O136" t="str">
        <f>IFERROR(INDEX(_courses_lookup!$C:$C,MATCH(K136&amp;L136,_courses_lookup!$E:$E,0)),"")</f>
        <v/>
      </c>
      <c r="P136" t="str">
        <f>IFERROR(INDEX(_courses_lookup!$D:$D,MATCH(K136&amp;L136,_courses_lookup!$E:$E,0)),"")</f>
        <v/>
      </c>
      <c r="AG136" t="str">
        <f t="shared" si="27"/>
        <v/>
      </c>
      <c r="AI136" t="str">
        <f t="shared" si="28"/>
        <v/>
      </c>
      <c r="AL136" t="str">
        <f t="shared" si="29"/>
        <v/>
      </c>
      <c r="AN136" t="str">
        <f t="shared" si="30"/>
        <v/>
      </c>
      <c r="AQ136" t="str">
        <f t="shared" si="31"/>
        <v/>
      </c>
      <c r="AR136" t="str">
        <f t="shared" si="32"/>
        <v/>
      </c>
      <c r="AS136" t="str">
        <f t="shared" si="33"/>
        <v/>
      </c>
      <c r="AT136" t="str">
        <f t="shared" si="34"/>
        <v/>
      </c>
      <c r="BG136" t="str">
        <f t="shared" si="35"/>
        <v/>
      </c>
      <c r="BH136" t="str">
        <f t="shared" si="36"/>
        <v/>
      </c>
      <c r="BL136" t="str">
        <f>IFERROR(INDEX(_names_lookup!$C:$C,MATCH(BK136,_names_lookup!$A:$A,0)),"")</f>
        <v/>
      </c>
      <c r="BM136" t="str">
        <f>IFERROR(INDEX(_names_lookup!$B:$B,MATCH(BK136,_names_lookup!$A:$A,0)),"")</f>
        <v/>
      </c>
      <c r="BS136" t="str">
        <f t="shared" si="37"/>
        <v/>
      </c>
    </row>
    <row r="137" spans="15:71" x14ac:dyDescent="0.2">
      <c r="O137" t="str">
        <f>IFERROR(INDEX(_courses_lookup!$C:$C,MATCH(K137&amp;L137,_courses_lookup!$E:$E,0)),"")</f>
        <v/>
      </c>
      <c r="P137" t="str">
        <f>IFERROR(INDEX(_courses_lookup!$D:$D,MATCH(K137&amp;L137,_courses_lookup!$E:$E,0)),"")</f>
        <v/>
      </c>
      <c r="AG137" t="str">
        <f t="shared" si="27"/>
        <v/>
      </c>
      <c r="AI137" t="str">
        <f t="shared" si="28"/>
        <v/>
      </c>
      <c r="AL137" t="str">
        <f t="shared" si="29"/>
        <v/>
      </c>
      <c r="AN137" t="str">
        <f t="shared" si="30"/>
        <v/>
      </c>
      <c r="AQ137" t="str">
        <f t="shared" si="31"/>
        <v/>
      </c>
      <c r="AR137" t="str">
        <f t="shared" si="32"/>
        <v/>
      </c>
      <c r="AS137" t="str">
        <f t="shared" si="33"/>
        <v/>
      </c>
      <c r="AT137" t="str">
        <f t="shared" si="34"/>
        <v/>
      </c>
      <c r="BG137" t="str">
        <f t="shared" si="35"/>
        <v/>
      </c>
      <c r="BH137" t="str">
        <f t="shared" si="36"/>
        <v/>
      </c>
      <c r="BL137" t="str">
        <f>IFERROR(INDEX(_names_lookup!$C:$C,MATCH(BK137,_names_lookup!$A:$A,0)),"")</f>
        <v/>
      </c>
      <c r="BM137" t="str">
        <f>IFERROR(INDEX(_names_lookup!$B:$B,MATCH(BK137,_names_lookup!$A:$A,0)),"")</f>
        <v/>
      </c>
      <c r="BS137" t="str">
        <f t="shared" si="37"/>
        <v/>
      </c>
    </row>
    <row r="138" spans="15:71" x14ac:dyDescent="0.2">
      <c r="O138" t="str">
        <f>IFERROR(INDEX(_courses_lookup!$C:$C,MATCH(K138&amp;L138,_courses_lookup!$E:$E,0)),"")</f>
        <v/>
      </c>
      <c r="P138" t="str">
        <f>IFERROR(INDEX(_courses_lookup!$D:$D,MATCH(K138&amp;L138,_courses_lookup!$E:$E,0)),"")</f>
        <v/>
      </c>
      <c r="AG138" t="str">
        <f t="shared" si="27"/>
        <v/>
      </c>
      <c r="AI138" t="str">
        <f t="shared" si="28"/>
        <v/>
      </c>
      <c r="AL138" t="str">
        <f t="shared" si="29"/>
        <v/>
      </c>
      <c r="AN138" t="str">
        <f t="shared" si="30"/>
        <v/>
      </c>
      <c r="AQ138" t="str">
        <f t="shared" si="31"/>
        <v/>
      </c>
      <c r="AR138" t="str">
        <f t="shared" si="32"/>
        <v/>
      </c>
      <c r="AS138" t="str">
        <f t="shared" si="33"/>
        <v/>
      </c>
      <c r="AT138" t="str">
        <f t="shared" si="34"/>
        <v/>
      </c>
      <c r="BG138" t="str">
        <f t="shared" si="35"/>
        <v/>
      </c>
      <c r="BH138" t="str">
        <f t="shared" si="36"/>
        <v/>
      </c>
      <c r="BL138" t="str">
        <f>IFERROR(INDEX(_names_lookup!$C:$C,MATCH(BK138,_names_lookup!$A:$A,0)),"")</f>
        <v/>
      </c>
      <c r="BM138" t="str">
        <f>IFERROR(INDEX(_names_lookup!$B:$B,MATCH(BK138,_names_lookup!$A:$A,0)),"")</f>
        <v/>
      </c>
      <c r="BS138" t="str">
        <f t="shared" si="37"/>
        <v/>
      </c>
    </row>
    <row r="139" spans="15:71" x14ac:dyDescent="0.2">
      <c r="O139" t="str">
        <f>IFERROR(INDEX(_courses_lookup!$C:$C,MATCH(K139&amp;L139,_courses_lookup!$E:$E,0)),"")</f>
        <v/>
      </c>
      <c r="P139" t="str">
        <f>IFERROR(INDEX(_courses_lookup!$D:$D,MATCH(K139&amp;L139,_courses_lookup!$E:$E,0)),"")</f>
        <v/>
      </c>
      <c r="AG139" t="str">
        <f t="shared" si="27"/>
        <v/>
      </c>
      <c r="AI139" t="str">
        <f t="shared" si="28"/>
        <v/>
      </c>
      <c r="AL139" t="str">
        <f t="shared" si="29"/>
        <v/>
      </c>
      <c r="AN139" t="str">
        <f t="shared" si="30"/>
        <v/>
      </c>
      <c r="AQ139" t="str">
        <f t="shared" si="31"/>
        <v/>
      </c>
      <c r="AR139" t="str">
        <f t="shared" si="32"/>
        <v/>
      </c>
      <c r="AS139" t="str">
        <f t="shared" si="33"/>
        <v/>
      </c>
      <c r="AT139" t="str">
        <f t="shared" si="34"/>
        <v/>
      </c>
      <c r="BG139" t="str">
        <f t="shared" si="35"/>
        <v/>
      </c>
      <c r="BH139" t="str">
        <f t="shared" si="36"/>
        <v/>
      </c>
      <c r="BL139" t="str">
        <f>IFERROR(INDEX(_names_lookup!$C:$C,MATCH(BK139,_names_lookup!$A:$A,0)),"")</f>
        <v/>
      </c>
      <c r="BM139" t="str">
        <f>IFERROR(INDEX(_names_lookup!$B:$B,MATCH(BK139,_names_lookup!$A:$A,0)),"")</f>
        <v/>
      </c>
      <c r="BS139" t="str">
        <f t="shared" si="37"/>
        <v/>
      </c>
    </row>
    <row r="140" spans="15:71" x14ac:dyDescent="0.2">
      <c r="O140" t="str">
        <f>IFERROR(INDEX(_courses_lookup!$C:$C,MATCH(K140&amp;L140,_courses_lookup!$E:$E,0)),"")</f>
        <v/>
      </c>
      <c r="P140" t="str">
        <f>IFERROR(INDEX(_courses_lookup!$D:$D,MATCH(K140&amp;L140,_courses_lookup!$E:$E,0)),"")</f>
        <v/>
      </c>
      <c r="AG140" t="str">
        <f t="shared" si="27"/>
        <v/>
      </c>
      <c r="AI140" t="str">
        <f t="shared" si="28"/>
        <v/>
      </c>
      <c r="AL140" t="str">
        <f t="shared" si="29"/>
        <v/>
      </c>
      <c r="AN140" t="str">
        <f t="shared" si="30"/>
        <v/>
      </c>
      <c r="AQ140" t="str">
        <f t="shared" si="31"/>
        <v/>
      </c>
      <c r="AR140" t="str">
        <f t="shared" si="32"/>
        <v/>
      </c>
      <c r="AS140" t="str">
        <f t="shared" si="33"/>
        <v/>
      </c>
      <c r="AT140" t="str">
        <f t="shared" si="34"/>
        <v/>
      </c>
      <c r="BG140" t="str">
        <f t="shared" si="35"/>
        <v/>
      </c>
      <c r="BH140" t="str">
        <f t="shared" si="36"/>
        <v/>
      </c>
      <c r="BL140" t="str">
        <f>IFERROR(INDEX(_names_lookup!$C:$C,MATCH(BK140,_names_lookup!$A:$A,0)),"")</f>
        <v/>
      </c>
      <c r="BM140" t="str">
        <f>IFERROR(INDEX(_names_lookup!$B:$B,MATCH(BK140,_names_lookup!$A:$A,0)),"")</f>
        <v/>
      </c>
      <c r="BS140" t="str">
        <f t="shared" si="37"/>
        <v/>
      </c>
    </row>
    <row r="141" spans="15:71" x14ac:dyDescent="0.2">
      <c r="O141" t="str">
        <f>IFERROR(INDEX(_courses_lookup!$C:$C,MATCH(K141&amp;L141,_courses_lookup!$E:$E,0)),"")</f>
        <v/>
      </c>
      <c r="P141" t="str">
        <f>IFERROR(INDEX(_courses_lookup!$D:$D,MATCH(K141&amp;L141,_courses_lookup!$E:$E,0)),"")</f>
        <v/>
      </c>
      <c r="AG141" t="str">
        <f t="shared" si="27"/>
        <v/>
      </c>
      <c r="AI141" t="str">
        <f t="shared" si="28"/>
        <v/>
      </c>
      <c r="AL141" t="str">
        <f t="shared" si="29"/>
        <v/>
      </c>
      <c r="AN141" t="str">
        <f t="shared" si="30"/>
        <v/>
      </c>
      <c r="AQ141" t="str">
        <f t="shared" si="31"/>
        <v/>
      </c>
      <c r="AR141" t="str">
        <f t="shared" si="32"/>
        <v/>
      </c>
      <c r="AS141" t="str">
        <f t="shared" si="33"/>
        <v/>
      </c>
      <c r="AT141" t="str">
        <f t="shared" si="34"/>
        <v/>
      </c>
      <c r="BG141" t="str">
        <f t="shared" si="35"/>
        <v/>
      </c>
      <c r="BH141" t="str">
        <f t="shared" si="36"/>
        <v/>
      </c>
      <c r="BL141" t="str">
        <f>IFERROR(INDEX(_names_lookup!$C:$C,MATCH(BK141,_names_lookup!$A:$A,0)),"")</f>
        <v/>
      </c>
      <c r="BM141" t="str">
        <f>IFERROR(INDEX(_names_lookup!$B:$B,MATCH(BK141,_names_lookup!$A:$A,0)),"")</f>
        <v/>
      </c>
      <c r="BS141" t="str">
        <f t="shared" si="37"/>
        <v/>
      </c>
    </row>
    <row r="142" spans="15:71" x14ac:dyDescent="0.2">
      <c r="O142" t="str">
        <f>IFERROR(INDEX(_courses_lookup!$C:$C,MATCH(K142&amp;L142,_courses_lookup!$E:$E,0)),"")</f>
        <v/>
      </c>
      <c r="P142" t="str">
        <f>IFERROR(INDEX(_courses_lookup!$D:$D,MATCH(K142&amp;L142,_courses_lookup!$E:$E,0)),"")</f>
        <v/>
      </c>
      <c r="AG142" t="str">
        <f t="shared" si="27"/>
        <v/>
      </c>
      <c r="AI142" t="str">
        <f t="shared" si="28"/>
        <v/>
      </c>
      <c r="AL142" t="str">
        <f t="shared" si="29"/>
        <v/>
      </c>
      <c r="AN142" t="str">
        <f t="shared" si="30"/>
        <v/>
      </c>
      <c r="AQ142" t="str">
        <f t="shared" si="31"/>
        <v/>
      </c>
      <c r="AR142" t="str">
        <f t="shared" si="32"/>
        <v/>
      </c>
      <c r="AS142" t="str">
        <f t="shared" si="33"/>
        <v/>
      </c>
      <c r="AT142" t="str">
        <f t="shared" si="34"/>
        <v/>
      </c>
      <c r="BG142" t="str">
        <f t="shared" si="35"/>
        <v/>
      </c>
      <c r="BH142" t="str">
        <f t="shared" si="36"/>
        <v/>
      </c>
      <c r="BL142" t="str">
        <f>IFERROR(INDEX(_names_lookup!$C:$C,MATCH(BK142,_names_lookup!$A:$A,0)),"")</f>
        <v/>
      </c>
      <c r="BM142" t="str">
        <f>IFERROR(INDEX(_names_lookup!$B:$B,MATCH(BK142,_names_lookup!$A:$A,0)),"")</f>
        <v/>
      </c>
      <c r="BS142" t="str">
        <f t="shared" si="37"/>
        <v/>
      </c>
    </row>
    <row r="143" spans="15:71" x14ac:dyDescent="0.2">
      <c r="O143" t="str">
        <f>IFERROR(INDEX(_courses_lookup!$C:$C,MATCH(K143&amp;L143,_courses_lookup!$E:$E,0)),"")</f>
        <v/>
      </c>
      <c r="P143" t="str">
        <f>IFERROR(INDEX(_courses_lookup!$D:$D,MATCH(K143&amp;L143,_courses_lookup!$E:$E,0)),"")</f>
        <v/>
      </c>
      <c r="AG143" t="str">
        <f t="shared" si="27"/>
        <v/>
      </c>
      <c r="AI143" t="str">
        <f t="shared" si="28"/>
        <v/>
      </c>
      <c r="AL143" t="str">
        <f t="shared" si="29"/>
        <v/>
      </c>
      <c r="AN143" t="str">
        <f t="shared" si="30"/>
        <v/>
      </c>
      <c r="AQ143" t="str">
        <f t="shared" si="31"/>
        <v/>
      </c>
      <c r="AR143" t="str">
        <f t="shared" si="32"/>
        <v/>
      </c>
      <c r="AS143" t="str">
        <f t="shared" si="33"/>
        <v/>
      </c>
      <c r="AT143" t="str">
        <f t="shared" si="34"/>
        <v/>
      </c>
      <c r="BG143" t="str">
        <f t="shared" si="35"/>
        <v/>
      </c>
      <c r="BH143" t="str">
        <f t="shared" si="36"/>
        <v/>
      </c>
      <c r="BL143" t="str">
        <f>IFERROR(INDEX(_names_lookup!$C:$C,MATCH(BK143,_names_lookup!$A:$A,0)),"")</f>
        <v/>
      </c>
      <c r="BM143" t="str">
        <f>IFERROR(INDEX(_names_lookup!$B:$B,MATCH(BK143,_names_lookup!$A:$A,0)),"")</f>
        <v/>
      </c>
      <c r="BS143" t="str">
        <f t="shared" si="37"/>
        <v/>
      </c>
    </row>
    <row r="144" spans="15:71" x14ac:dyDescent="0.2">
      <c r="O144" t="str">
        <f>IFERROR(INDEX(_courses_lookup!$C:$C,MATCH(K144&amp;L144,_courses_lookup!$E:$E,0)),"")</f>
        <v/>
      </c>
      <c r="P144" t="str">
        <f>IFERROR(INDEX(_courses_lookup!$D:$D,MATCH(K144&amp;L144,_courses_lookup!$E:$E,0)),"")</f>
        <v/>
      </c>
      <c r="AG144" t="str">
        <f t="shared" si="27"/>
        <v/>
      </c>
      <c r="AI144" t="str">
        <f t="shared" si="28"/>
        <v/>
      </c>
      <c r="AL144" t="str">
        <f t="shared" si="29"/>
        <v/>
      </c>
      <c r="AN144" t="str">
        <f t="shared" si="30"/>
        <v/>
      </c>
      <c r="AQ144" t="str">
        <f t="shared" si="31"/>
        <v/>
      </c>
      <c r="AR144" t="str">
        <f t="shared" si="32"/>
        <v/>
      </c>
      <c r="AS144" t="str">
        <f t="shared" si="33"/>
        <v/>
      </c>
      <c r="AT144" t="str">
        <f t="shared" si="34"/>
        <v/>
      </c>
      <c r="BG144" t="str">
        <f t="shared" si="35"/>
        <v/>
      </c>
      <c r="BH144" t="str">
        <f t="shared" si="36"/>
        <v/>
      </c>
      <c r="BL144" t="str">
        <f>IFERROR(INDEX(_names_lookup!$C:$C,MATCH(BK144,_names_lookup!$A:$A,0)),"")</f>
        <v/>
      </c>
      <c r="BM144" t="str">
        <f>IFERROR(INDEX(_names_lookup!$B:$B,MATCH(BK144,_names_lookup!$A:$A,0)),"")</f>
        <v/>
      </c>
      <c r="BS144" t="str">
        <f t="shared" si="37"/>
        <v/>
      </c>
    </row>
    <row r="145" spans="15:71" x14ac:dyDescent="0.2">
      <c r="O145" t="str">
        <f>IFERROR(INDEX(_courses_lookup!$C:$C,MATCH(K145&amp;L145,_courses_lookup!$E:$E,0)),"")</f>
        <v/>
      </c>
      <c r="P145" t="str">
        <f>IFERROR(INDEX(_courses_lookup!$D:$D,MATCH(K145&amp;L145,_courses_lookup!$E:$E,0)),"")</f>
        <v/>
      </c>
      <c r="AG145" t="str">
        <f t="shared" si="27"/>
        <v/>
      </c>
      <c r="AI145" t="str">
        <f t="shared" si="28"/>
        <v/>
      </c>
      <c r="AL145" t="str">
        <f t="shared" si="29"/>
        <v/>
      </c>
      <c r="AN145" t="str">
        <f t="shared" si="30"/>
        <v/>
      </c>
      <c r="AQ145" t="str">
        <f t="shared" si="31"/>
        <v/>
      </c>
      <c r="AR145" t="str">
        <f t="shared" si="32"/>
        <v/>
      </c>
      <c r="AS145" t="str">
        <f t="shared" si="33"/>
        <v/>
      </c>
      <c r="AT145" t="str">
        <f t="shared" si="34"/>
        <v/>
      </c>
      <c r="BG145" t="str">
        <f t="shared" si="35"/>
        <v/>
      </c>
      <c r="BH145" t="str">
        <f t="shared" si="36"/>
        <v/>
      </c>
      <c r="BL145" t="str">
        <f>IFERROR(INDEX(_names_lookup!$C:$C,MATCH(BK145,_names_lookup!$A:$A,0)),"")</f>
        <v/>
      </c>
      <c r="BM145" t="str">
        <f>IFERROR(INDEX(_names_lookup!$B:$B,MATCH(BK145,_names_lookup!$A:$A,0)),"")</f>
        <v/>
      </c>
      <c r="BS145" t="str">
        <f t="shared" si="37"/>
        <v/>
      </c>
    </row>
    <row r="146" spans="15:71" x14ac:dyDescent="0.2">
      <c r="O146" t="str">
        <f>IFERROR(INDEX(_courses_lookup!$C:$C,MATCH(K146&amp;L146,_courses_lookup!$E:$E,0)),"")</f>
        <v/>
      </c>
      <c r="P146" t="str">
        <f>IFERROR(INDEX(_courses_lookup!$D:$D,MATCH(K146&amp;L146,_courses_lookup!$E:$E,0)),"")</f>
        <v/>
      </c>
      <c r="AG146" t="str">
        <f t="shared" si="27"/>
        <v/>
      </c>
      <c r="AI146" t="str">
        <f t="shared" si="28"/>
        <v/>
      </c>
      <c r="AL146" t="str">
        <f t="shared" si="29"/>
        <v/>
      </c>
      <c r="AN146" t="str">
        <f t="shared" si="30"/>
        <v/>
      </c>
      <c r="AQ146" t="str">
        <f t="shared" si="31"/>
        <v/>
      </c>
      <c r="AR146" t="str">
        <f t="shared" si="32"/>
        <v/>
      </c>
      <c r="AS146" t="str">
        <f t="shared" si="33"/>
        <v/>
      </c>
      <c r="AT146" t="str">
        <f t="shared" si="34"/>
        <v/>
      </c>
      <c r="BG146" t="str">
        <f t="shared" si="35"/>
        <v/>
      </c>
      <c r="BH146" t="str">
        <f t="shared" si="36"/>
        <v/>
      </c>
      <c r="BL146" t="str">
        <f>IFERROR(INDEX(_names_lookup!$C:$C,MATCH(BK146,_names_lookup!$A:$A,0)),"")</f>
        <v/>
      </c>
      <c r="BM146" t="str">
        <f>IFERROR(INDEX(_names_lookup!$B:$B,MATCH(BK146,_names_lookup!$A:$A,0)),"")</f>
        <v/>
      </c>
      <c r="BS146" t="str">
        <f t="shared" si="37"/>
        <v/>
      </c>
    </row>
    <row r="147" spans="15:71" x14ac:dyDescent="0.2">
      <c r="O147" t="str">
        <f>IFERROR(INDEX(_courses_lookup!$C:$C,MATCH(K147&amp;L147,_courses_lookup!$E:$E,0)),"")</f>
        <v/>
      </c>
      <c r="P147" t="str">
        <f>IFERROR(INDEX(_courses_lookup!$D:$D,MATCH(K147&amp;L147,_courses_lookup!$E:$E,0)),"")</f>
        <v/>
      </c>
      <c r="AG147" t="str">
        <f t="shared" si="27"/>
        <v/>
      </c>
      <c r="AI147" t="str">
        <f t="shared" si="28"/>
        <v/>
      </c>
      <c r="AL147" t="str">
        <f t="shared" si="29"/>
        <v/>
      </c>
      <c r="AN147" t="str">
        <f t="shared" si="30"/>
        <v/>
      </c>
      <c r="AQ147" t="str">
        <f t="shared" si="31"/>
        <v/>
      </c>
      <c r="AR147" t="str">
        <f t="shared" si="32"/>
        <v/>
      </c>
      <c r="AS147" t="str">
        <f t="shared" si="33"/>
        <v/>
      </c>
      <c r="AT147" t="str">
        <f t="shared" si="34"/>
        <v/>
      </c>
      <c r="BG147" t="str">
        <f t="shared" si="35"/>
        <v/>
      </c>
      <c r="BH147" t="str">
        <f t="shared" si="36"/>
        <v/>
      </c>
      <c r="BL147" t="str">
        <f>IFERROR(INDEX(_names_lookup!$C:$C,MATCH(BK147,_names_lookup!$A:$A,0)),"")</f>
        <v/>
      </c>
      <c r="BM147" t="str">
        <f>IFERROR(INDEX(_names_lookup!$B:$B,MATCH(BK147,_names_lookup!$A:$A,0)),"")</f>
        <v/>
      </c>
      <c r="BS147" t="str">
        <f t="shared" si="37"/>
        <v/>
      </c>
    </row>
    <row r="148" spans="15:71" x14ac:dyDescent="0.2">
      <c r="O148" t="str">
        <f>IFERROR(INDEX(_courses_lookup!$C:$C,MATCH(K148&amp;L148,_courses_lookup!$E:$E,0)),"")</f>
        <v/>
      </c>
      <c r="P148" t="str">
        <f>IFERROR(INDEX(_courses_lookup!$D:$D,MATCH(K148&amp;L148,_courses_lookup!$E:$E,0)),"")</f>
        <v/>
      </c>
      <c r="AG148" t="str">
        <f t="shared" si="27"/>
        <v/>
      </c>
      <c r="AI148" t="str">
        <f t="shared" si="28"/>
        <v/>
      </c>
      <c r="AL148" t="str">
        <f t="shared" si="29"/>
        <v/>
      </c>
      <c r="AN148" t="str">
        <f t="shared" si="30"/>
        <v/>
      </c>
      <c r="AQ148" t="str">
        <f t="shared" si="31"/>
        <v/>
      </c>
      <c r="AR148" t="str">
        <f t="shared" si="32"/>
        <v/>
      </c>
      <c r="AS148" t="str">
        <f t="shared" si="33"/>
        <v/>
      </c>
      <c r="AT148" t="str">
        <f t="shared" si="34"/>
        <v/>
      </c>
      <c r="BG148" t="str">
        <f t="shared" si="35"/>
        <v/>
      </c>
      <c r="BH148" t="str">
        <f t="shared" si="36"/>
        <v/>
      </c>
      <c r="BL148" t="str">
        <f>IFERROR(INDEX(_names_lookup!$C:$C,MATCH(BK148,_names_lookup!$A:$A,0)),"")</f>
        <v/>
      </c>
      <c r="BM148" t="str">
        <f>IFERROR(INDEX(_names_lookup!$B:$B,MATCH(BK148,_names_lookup!$A:$A,0)),"")</f>
        <v/>
      </c>
      <c r="BS148" t="str">
        <f t="shared" si="37"/>
        <v/>
      </c>
    </row>
    <row r="149" spans="15:71" x14ac:dyDescent="0.2">
      <c r="O149" t="str">
        <f>IFERROR(INDEX(_courses_lookup!$C:$C,MATCH(K149&amp;L149,_courses_lookup!$E:$E,0)),"")</f>
        <v/>
      </c>
      <c r="P149" t="str">
        <f>IFERROR(INDEX(_courses_lookup!$D:$D,MATCH(K149&amp;L149,_courses_lookup!$E:$E,0)),"")</f>
        <v/>
      </c>
      <c r="AG149" t="str">
        <f t="shared" si="27"/>
        <v/>
      </c>
      <c r="AI149" t="str">
        <f t="shared" si="28"/>
        <v/>
      </c>
      <c r="AL149" t="str">
        <f t="shared" si="29"/>
        <v/>
      </c>
      <c r="AN149" t="str">
        <f t="shared" si="30"/>
        <v/>
      </c>
      <c r="AQ149" t="str">
        <f t="shared" si="31"/>
        <v/>
      </c>
      <c r="AR149" t="str">
        <f t="shared" si="32"/>
        <v/>
      </c>
      <c r="AS149" t="str">
        <f t="shared" si="33"/>
        <v/>
      </c>
      <c r="AT149" t="str">
        <f t="shared" si="34"/>
        <v/>
      </c>
      <c r="BG149" t="str">
        <f t="shared" si="35"/>
        <v/>
      </c>
      <c r="BH149" t="str">
        <f t="shared" si="36"/>
        <v/>
      </c>
      <c r="BL149" t="str">
        <f>IFERROR(INDEX(_names_lookup!$C:$C,MATCH(BK149,_names_lookup!$A:$A,0)),"")</f>
        <v/>
      </c>
      <c r="BM149" t="str">
        <f>IFERROR(INDEX(_names_lookup!$B:$B,MATCH(BK149,_names_lookup!$A:$A,0)),"")</f>
        <v/>
      </c>
      <c r="BS149" t="str">
        <f t="shared" si="37"/>
        <v/>
      </c>
    </row>
    <row r="150" spans="15:71" x14ac:dyDescent="0.2">
      <c r="O150" t="str">
        <f>IFERROR(INDEX(_courses_lookup!$C:$C,MATCH(K150&amp;L150,_courses_lookup!$E:$E,0)),"")</f>
        <v/>
      </c>
      <c r="P150" t="str">
        <f>IFERROR(INDEX(_courses_lookup!$D:$D,MATCH(K150&amp;L150,_courses_lookup!$E:$E,0)),"")</f>
        <v/>
      </c>
      <c r="AG150" t="str">
        <f t="shared" si="27"/>
        <v/>
      </c>
      <c r="AI150" t="str">
        <f t="shared" si="28"/>
        <v/>
      </c>
      <c r="AL150" t="str">
        <f t="shared" si="29"/>
        <v/>
      </c>
      <c r="AN150" t="str">
        <f t="shared" si="30"/>
        <v/>
      </c>
      <c r="AQ150" t="str">
        <f t="shared" si="31"/>
        <v/>
      </c>
      <c r="AR150" t="str">
        <f t="shared" si="32"/>
        <v/>
      </c>
      <c r="AS150" t="str">
        <f t="shared" si="33"/>
        <v/>
      </c>
      <c r="AT150" t="str">
        <f t="shared" si="34"/>
        <v/>
      </c>
      <c r="BG150" t="str">
        <f t="shared" si="35"/>
        <v/>
      </c>
      <c r="BH150" t="str">
        <f t="shared" si="36"/>
        <v/>
      </c>
      <c r="BL150" t="str">
        <f>IFERROR(INDEX(_names_lookup!$C:$C,MATCH(BK150,_names_lookup!$A:$A,0)),"")</f>
        <v/>
      </c>
      <c r="BM150" t="str">
        <f>IFERROR(INDEX(_names_lookup!$B:$B,MATCH(BK150,_names_lookup!$A:$A,0)),"")</f>
        <v/>
      </c>
      <c r="BS150" t="str">
        <f t="shared" si="37"/>
        <v/>
      </c>
    </row>
    <row r="151" spans="15:71" x14ac:dyDescent="0.2">
      <c r="O151" t="str">
        <f>IFERROR(INDEX(_courses_lookup!$C:$C,MATCH(K151&amp;L151,_courses_lookup!$E:$E,0)),"")</f>
        <v/>
      </c>
      <c r="P151" t="str">
        <f>IFERROR(INDEX(_courses_lookup!$D:$D,MATCH(K151&amp;L151,_courses_lookup!$E:$E,0)),"")</f>
        <v/>
      </c>
      <c r="AG151" t="str">
        <f t="shared" si="27"/>
        <v/>
      </c>
      <c r="AI151" t="str">
        <f t="shared" si="28"/>
        <v/>
      </c>
      <c r="AL151" t="str">
        <f t="shared" si="29"/>
        <v/>
      </c>
      <c r="AN151" t="str">
        <f t="shared" si="30"/>
        <v/>
      </c>
      <c r="AQ151" t="str">
        <f t="shared" si="31"/>
        <v/>
      </c>
      <c r="AR151" t="str">
        <f t="shared" si="32"/>
        <v/>
      </c>
      <c r="AS151" t="str">
        <f t="shared" si="33"/>
        <v/>
      </c>
      <c r="AT151" t="str">
        <f t="shared" si="34"/>
        <v/>
      </c>
      <c r="BG151" t="str">
        <f t="shared" si="35"/>
        <v/>
      </c>
      <c r="BH151" t="str">
        <f t="shared" si="36"/>
        <v/>
      </c>
      <c r="BL151" t="str">
        <f>IFERROR(INDEX(_names_lookup!$C:$C,MATCH(BK151,_names_lookup!$A:$A,0)),"")</f>
        <v/>
      </c>
      <c r="BM151" t="str">
        <f>IFERROR(INDEX(_names_lookup!$B:$B,MATCH(BK151,_names_lookup!$A:$A,0)),"")</f>
        <v/>
      </c>
      <c r="BS151" t="str">
        <f t="shared" si="37"/>
        <v/>
      </c>
    </row>
    <row r="152" spans="15:71" x14ac:dyDescent="0.2">
      <c r="O152" t="str">
        <f>IFERROR(INDEX(_courses_lookup!$C:$C,MATCH(K152&amp;L152,_courses_lookup!$E:$E,0)),"")</f>
        <v/>
      </c>
      <c r="P152" t="str">
        <f>IFERROR(INDEX(_courses_lookup!$D:$D,MATCH(K152&amp;L152,_courses_lookup!$E:$E,0)),"")</f>
        <v/>
      </c>
      <c r="AG152" t="str">
        <f t="shared" si="27"/>
        <v/>
      </c>
      <c r="AI152" t="str">
        <f t="shared" si="28"/>
        <v/>
      </c>
      <c r="AL152" t="str">
        <f t="shared" si="29"/>
        <v/>
      </c>
      <c r="AN152" t="str">
        <f t="shared" si="30"/>
        <v/>
      </c>
      <c r="AQ152" t="str">
        <f t="shared" si="31"/>
        <v/>
      </c>
      <c r="AR152" t="str">
        <f t="shared" si="32"/>
        <v/>
      </c>
      <c r="AS152" t="str">
        <f t="shared" si="33"/>
        <v/>
      </c>
      <c r="AT152" t="str">
        <f t="shared" si="34"/>
        <v/>
      </c>
      <c r="BG152" t="str">
        <f t="shared" si="35"/>
        <v/>
      </c>
      <c r="BH152" t="str">
        <f t="shared" si="36"/>
        <v/>
      </c>
      <c r="BL152" t="str">
        <f>IFERROR(INDEX(_names_lookup!$C:$C,MATCH(BK152,_names_lookup!$A:$A,0)),"")</f>
        <v/>
      </c>
      <c r="BM152" t="str">
        <f>IFERROR(INDEX(_names_lookup!$B:$B,MATCH(BK152,_names_lookup!$A:$A,0)),"")</f>
        <v/>
      </c>
      <c r="BS152" t="str">
        <f t="shared" si="37"/>
        <v/>
      </c>
    </row>
    <row r="153" spans="15:71" x14ac:dyDescent="0.2">
      <c r="O153" t="str">
        <f>IFERROR(INDEX(_courses_lookup!$C:$C,MATCH(K153&amp;L153,_courses_lookup!$E:$E,0)),"")</f>
        <v/>
      </c>
      <c r="P153" t="str">
        <f>IFERROR(INDEX(_courses_lookup!$D:$D,MATCH(K153&amp;L153,_courses_lookup!$E:$E,0)),"")</f>
        <v/>
      </c>
      <c r="AG153" t="str">
        <f t="shared" si="27"/>
        <v/>
      </c>
      <c r="AI153" t="str">
        <f t="shared" si="28"/>
        <v/>
      </c>
      <c r="AL153" t="str">
        <f t="shared" si="29"/>
        <v/>
      </c>
      <c r="AN153" t="str">
        <f t="shared" si="30"/>
        <v/>
      </c>
      <c r="AQ153" t="str">
        <f t="shared" si="31"/>
        <v/>
      </c>
      <c r="AR153" t="str">
        <f t="shared" si="32"/>
        <v/>
      </c>
      <c r="AS153" t="str">
        <f t="shared" si="33"/>
        <v/>
      </c>
      <c r="AT153" t="str">
        <f t="shared" si="34"/>
        <v/>
      </c>
      <c r="BG153" t="str">
        <f t="shared" si="35"/>
        <v/>
      </c>
      <c r="BH153" t="str">
        <f t="shared" si="36"/>
        <v/>
      </c>
      <c r="BL153" t="str">
        <f>IFERROR(INDEX(_names_lookup!$C:$C,MATCH(BK153,_names_lookup!$A:$A,0)),"")</f>
        <v/>
      </c>
      <c r="BM153" t="str">
        <f>IFERROR(INDEX(_names_lookup!$B:$B,MATCH(BK153,_names_lookup!$A:$A,0)),"")</f>
        <v/>
      </c>
      <c r="BS153" t="str">
        <f t="shared" si="37"/>
        <v/>
      </c>
    </row>
    <row r="154" spans="15:71" x14ac:dyDescent="0.2">
      <c r="O154" t="str">
        <f>IFERROR(INDEX(_courses_lookup!$C:$C,MATCH(K154&amp;L154,_courses_lookup!$E:$E,0)),"")</f>
        <v/>
      </c>
      <c r="P154" t="str">
        <f>IFERROR(INDEX(_courses_lookup!$D:$D,MATCH(K154&amp;L154,_courses_lookup!$E:$E,0)),"")</f>
        <v/>
      </c>
      <c r="AG154" t="str">
        <f t="shared" si="27"/>
        <v/>
      </c>
      <c r="AI154" t="str">
        <f t="shared" si="28"/>
        <v/>
      </c>
      <c r="AL154" t="str">
        <f t="shared" si="29"/>
        <v/>
      </c>
      <c r="AN154" t="str">
        <f t="shared" si="30"/>
        <v/>
      </c>
      <c r="AQ154" t="str">
        <f t="shared" si="31"/>
        <v/>
      </c>
      <c r="AR154" t="str">
        <f t="shared" si="32"/>
        <v/>
      </c>
      <c r="AS154" t="str">
        <f t="shared" si="33"/>
        <v/>
      </c>
      <c r="AT154" t="str">
        <f t="shared" si="34"/>
        <v/>
      </c>
      <c r="BG154" t="str">
        <f t="shared" si="35"/>
        <v/>
      </c>
      <c r="BH154" t="str">
        <f t="shared" si="36"/>
        <v/>
      </c>
      <c r="BL154" t="str">
        <f>IFERROR(INDEX(_names_lookup!$C:$C,MATCH(BK154,_names_lookup!$A:$A,0)),"")</f>
        <v/>
      </c>
      <c r="BM154" t="str">
        <f>IFERROR(INDEX(_names_lookup!$B:$B,MATCH(BK154,_names_lookup!$A:$A,0)),"")</f>
        <v/>
      </c>
      <c r="BS154" t="str">
        <f t="shared" si="37"/>
        <v/>
      </c>
    </row>
    <row r="155" spans="15:71" x14ac:dyDescent="0.2">
      <c r="O155" t="str">
        <f>IFERROR(INDEX(_courses_lookup!$C:$C,MATCH(K155&amp;L155,_courses_lookup!$E:$E,0)),"")</f>
        <v/>
      </c>
      <c r="P155" t="str">
        <f>IFERROR(INDEX(_courses_lookup!$D:$D,MATCH(K155&amp;L155,_courses_lookup!$E:$E,0)),"")</f>
        <v/>
      </c>
      <c r="AG155" t="str">
        <f t="shared" si="27"/>
        <v/>
      </c>
      <c r="AI155" t="str">
        <f t="shared" si="28"/>
        <v/>
      </c>
      <c r="AL155" t="str">
        <f t="shared" si="29"/>
        <v/>
      </c>
      <c r="AN155" t="str">
        <f t="shared" si="30"/>
        <v/>
      </c>
      <c r="AQ155" t="str">
        <f t="shared" si="31"/>
        <v/>
      </c>
      <c r="AR155" t="str">
        <f t="shared" si="32"/>
        <v/>
      </c>
      <c r="AS155" t="str">
        <f t="shared" si="33"/>
        <v/>
      </c>
      <c r="AT155" t="str">
        <f t="shared" si="34"/>
        <v/>
      </c>
      <c r="BG155" t="str">
        <f t="shared" si="35"/>
        <v/>
      </c>
      <c r="BH155" t="str">
        <f t="shared" si="36"/>
        <v/>
      </c>
      <c r="BL155" t="str">
        <f>IFERROR(INDEX(_names_lookup!$C:$C,MATCH(BK155,_names_lookup!$A:$A,0)),"")</f>
        <v/>
      </c>
      <c r="BM155" t="str">
        <f>IFERROR(INDEX(_names_lookup!$B:$B,MATCH(BK155,_names_lookup!$A:$A,0)),"")</f>
        <v/>
      </c>
      <c r="BS155" t="str">
        <f t="shared" si="37"/>
        <v/>
      </c>
    </row>
    <row r="156" spans="15:71" x14ac:dyDescent="0.2">
      <c r="O156" t="str">
        <f>IFERROR(INDEX(_courses_lookup!$C:$C,MATCH(K156&amp;L156,_courses_lookup!$E:$E,0)),"")</f>
        <v/>
      </c>
      <c r="P156" t="str">
        <f>IFERROR(INDEX(_courses_lookup!$D:$D,MATCH(K156&amp;L156,_courses_lookup!$E:$E,0)),"")</f>
        <v/>
      </c>
      <c r="AG156" t="str">
        <f t="shared" si="27"/>
        <v/>
      </c>
      <c r="AI156" t="str">
        <f t="shared" si="28"/>
        <v/>
      </c>
      <c r="AL156" t="str">
        <f t="shared" si="29"/>
        <v/>
      </c>
      <c r="AN156" t="str">
        <f t="shared" si="30"/>
        <v/>
      </c>
      <c r="AQ156" t="str">
        <f t="shared" si="31"/>
        <v/>
      </c>
      <c r="AR156" t="str">
        <f t="shared" si="32"/>
        <v/>
      </c>
      <c r="AS156" t="str">
        <f t="shared" si="33"/>
        <v/>
      </c>
      <c r="AT156" t="str">
        <f t="shared" si="34"/>
        <v/>
      </c>
      <c r="BG156" t="str">
        <f t="shared" si="35"/>
        <v/>
      </c>
      <c r="BH156" t="str">
        <f t="shared" si="36"/>
        <v/>
      </c>
      <c r="BL156" t="str">
        <f>IFERROR(INDEX(_names_lookup!$C:$C,MATCH(BK156,_names_lookup!$A:$A,0)),"")</f>
        <v/>
      </c>
      <c r="BM156" t="str">
        <f>IFERROR(INDEX(_names_lookup!$B:$B,MATCH(BK156,_names_lookup!$A:$A,0)),"")</f>
        <v/>
      </c>
      <c r="BS156" t="str">
        <f t="shared" si="37"/>
        <v/>
      </c>
    </row>
    <row r="157" spans="15:71" x14ac:dyDescent="0.2">
      <c r="O157" t="str">
        <f>IFERROR(INDEX(_courses_lookup!$C:$C,MATCH(K157&amp;L157,_courses_lookup!$E:$E,0)),"")</f>
        <v/>
      </c>
      <c r="P157" t="str">
        <f>IFERROR(INDEX(_courses_lookup!$D:$D,MATCH(K157&amp;L157,_courses_lookup!$E:$E,0)),"")</f>
        <v/>
      </c>
      <c r="AG157" t="str">
        <f t="shared" si="27"/>
        <v/>
      </c>
      <c r="AI157" t="str">
        <f t="shared" si="28"/>
        <v/>
      </c>
      <c r="AL157" t="str">
        <f t="shared" si="29"/>
        <v/>
      </c>
      <c r="AN157" t="str">
        <f t="shared" si="30"/>
        <v/>
      </c>
      <c r="AQ157" t="str">
        <f t="shared" si="31"/>
        <v/>
      </c>
      <c r="AR157" t="str">
        <f t="shared" si="32"/>
        <v/>
      </c>
      <c r="AS157" t="str">
        <f t="shared" si="33"/>
        <v/>
      </c>
      <c r="AT157" t="str">
        <f t="shared" si="34"/>
        <v/>
      </c>
      <c r="BG157" t="str">
        <f t="shared" si="35"/>
        <v/>
      </c>
      <c r="BH157" t="str">
        <f t="shared" si="36"/>
        <v/>
      </c>
      <c r="BL157" t="str">
        <f>IFERROR(INDEX(_names_lookup!$C:$C,MATCH(BK157,_names_lookup!$A:$A,0)),"")</f>
        <v/>
      </c>
      <c r="BM157" t="str">
        <f>IFERROR(INDEX(_names_lookup!$B:$B,MATCH(BK157,_names_lookup!$A:$A,0)),"")</f>
        <v/>
      </c>
      <c r="BS157" t="str">
        <f t="shared" si="37"/>
        <v/>
      </c>
    </row>
    <row r="158" spans="15:71" x14ac:dyDescent="0.2">
      <c r="O158" t="str">
        <f>IFERROR(INDEX(_courses_lookup!$C:$C,MATCH(K158&amp;L158,_courses_lookup!$E:$E,0)),"")</f>
        <v/>
      </c>
      <c r="P158" t="str">
        <f>IFERROR(INDEX(_courses_lookup!$D:$D,MATCH(K158&amp;L158,_courses_lookup!$E:$E,0)),"")</f>
        <v/>
      </c>
      <c r="AG158" t="str">
        <f t="shared" si="27"/>
        <v/>
      </c>
      <c r="AI158" t="str">
        <f t="shared" si="28"/>
        <v/>
      </c>
      <c r="AL158" t="str">
        <f t="shared" si="29"/>
        <v/>
      </c>
      <c r="AN158" t="str">
        <f t="shared" si="30"/>
        <v/>
      </c>
      <c r="AQ158" t="str">
        <f t="shared" si="31"/>
        <v/>
      </c>
      <c r="AR158" t="str">
        <f t="shared" si="32"/>
        <v/>
      </c>
      <c r="AS158" t="str">
        <f t="shared" si="33"/>
        <v/>
      </c>
      <c r="AT158" t="str">
        <f t="shared" si="34"/>
        <v/>
      </c>
      <c r="BG158" t="str">
        <f t="shared" si="35"/>
        <v/>
      </c>
      <c r="BH158" t="str">
        <f t="shared" si="36"/>
        <v/>
      </c>
      <c r="BL158" t="str">
        <f>IFERROR(INDEX(_names_lookup!$C:$C,MATCH(BK158,_names_lookup!$A:$A,0)),"")</f>
        <v/>
      </c>
      <c r="BM158" t="str">
        <f>IFERROR(INDEX(_names_lookup!$B:$B,MATCH(BK158,_names_lookup!$A:$A,0)),"")</f>
        <v/>
      </c>
      <c r="BS158" t="str">
        <f t="shared" si="37"/>
        <v/>
      </c>
    </row>
    <row r="159" spans="15:71" x14ac:dyDescent="0.2">
      <c r="O159" t="str">
        <f>IFERROR(INDEX(_courses_lookup!$C:$C,MATCH(K159&amp;L159,_courses_lookup!$E:$E,0)),"")</f>
        <v/>
      </c>
      <c r="P159" t="str">
        <f>IFERROR(INDEX(_courses_lookup!$D:$D,MATCH(K159&amp;L159,_courses_lookup!$E:$E,0)),"")</f>
        <v/>
      </c>
      <c r="AG159" t="str">
        <f t="shared" si="27"/>
        <v/>
      </c>
      <c r="AI159" t="str">
        <f t="shared" si="28"/>
        <v/>
      </c>
      <c r="AL159" t="str">
        <f t="shared" si="29"/>
        <v/>
      </c>
      <c r="AN159" t="str">
        <f t="shared" si="30"/>
        <v/>
      </c>
      <c r="AQ159" t="str">
        <f t="shared" si="31"/>
        <v/>
      </c>
      <c r="AR159" t="str">
        <f t="shared" si="32"/>
        <v/>
      </c>
      <c r="AS159" t="str">
        <f t="shared" si="33"/>
        <v/>
      </c>
      <c r="AT159" t="str">
        <f t="shared" si="34"/>
        <v/>
      </c>
      <c r="BG159" t="str">
        <f t="shared" si="35"/>
        <v/>
      </c>
      <c r="BH159" t="str">
        <f t="shared" si="36"/>
        <v/>
      </c>
      <c r="BL159" t="str">
        <f>IFERROR(INDEX(_names_lookup!$C:$C,MATCH(BK159,_names_lookup!$A:$A,0)),"")</f>
        <v/>
      </c>
      <c r="BM159" t="str">
        <f>IFERROR(INDEX(_names_lookup!$B:$B,MATCH(BK159,_names_lookup!$A:$A,0)),"")</f>
        <v/>
      </c>
      <c r="BS159" t="str">
        <f t="shared" si="37"/>
        <v/>
      </c>
    </row>
    <row r="160" spans="15:71" x14ac:dyDescent="0.2">
      <c r="O160" t="str">
        <f>IFERROR(INDEX(_courses_lookup!$C:$C,MATCH(K160&amp;L160,_courses_lookup!$E:$E,0)),"")</f>
        <v/>
      </c>
      <c r="P160" t="str">
        <f>IFERROR(INDEX(_courses_lookup!$D:$D,MATCH(K160&amp;L160,_courses_lookup!$E:$E,0)),"")</f>
        <v/>
      </c>
      <c r="AG160" t="str">
        <f t="shared" si="27"/>
        <v/>
      </c>
      <c r="AI160" t="str">
        <f t="shared" si="28"/>
        <v/>
      </c>
      <c r="AL160" t="str">
        <f t="shared" si="29"/>
        <v/>
      </c>
      <c r="AN160" t="str">
        <f t="shared" si="30"/>
        <v/>
      </c>
      <c r="AQ160" t="str">
        <f t="shared" si="31"/>
        <v/>
      </c>
      <c r="AR160" t="str">
        <f t="shared" si="32"/>
        <v/>
      </c>
      <c r="AS160" t="str">
        <f t="shared" si="33"/>
        <v/>
      </c>
      <c r="AT160" t="str">
        <f t="shared" si="34"/>
        <v/>
      </c>
      <c r="BG160" t="str">
        <f t="shared" si="35"/>
        <v/>
      </c>
      <c r="BH160" t="str">
        <f t="shared" si="36"/>
        <v/>
      </c>
      <c r="BL160" t="str">
        <f>IFERROR(INDEX(_names_lookup!$C:$C,MATCH(BK160,_names_lookup!$A:$A,0)),"")</f>
        <v/>
      </c>
      <c r="BM160" t="str">
        <f>IFERROR(INDEX(_names_lookup!$B:$B,MATCH(BK160,_names_lookup!$A:$A,0)),"")</f>
        <v/>
      </c>
      <c r="BS160" t="str">
        <f t="shared" si="37"/>
        <v/>
      </c>
    </row>
    <row r="161" spans="15:71" x14ac:dyDescent="0.2">
      <c r="O161" t="str">
        <f>IFERROR(INDEX(_courses_lookup!$C:$C,MATCH(K161&amp;L161,_courses_lookup!$E:$E,0)),"")</f>
        <v/>
      </c>
      <c r="P161" t="str">
        <f>IFERROR(INDEX(_courses_lookup!$D:$D,MATCH(K161&amp;L161,_courses_lookup!$E:$E,0)),"")</f>
        <v/>
      </c>
      <c r="AG161" t="str">
        <f t="shared" si="27"/>
        <v/>
      </c>
      <c r="AI161" t="str">
        <f t="shared" si="28"/>
        <v/>
      </c>
      <c r="AL161" t="str">
        <f t="shared" si="29"/>
        <v/>
      </c>
      <c r="AN161" t="str">
        <f t="shared" si="30"/>
        <v/>
      </c>
      <c r="AQ161" t="str">
        <f t="shared" si="31"/>
        <v/>
      </c>
      <c r="AR161" t="str">
        <f t="shared" si="32"/>
        <v/>
      </c>
      <c r="AS161" t="str">
        <f t="shared" si="33"/>
        <v/>
      </c>
      <c r="AT161" t="str">
        <f t="shared" si="34"/>
        <v/>
      </c>
      <c r="BG161" t="str">
        <f t="shared" si="35"/>
        <v/>
      </c>
      <c r="BH161" t="str">
        <f t="shared" si="36"/>
        <v/>
      </c>
      <c r="BL161" t="str">
        <f>IFERROR(INDEX(_names_lookup!$C:$C,MATCH(BK161,_names_lookup!$A:$A,0)),"")</f>
        <v/>
      </c>
      <c r="BM161" t="str">
        <f>IFERROR(INDEX(_names_lookup!$B:$B,MATCH(BK161,_names_lookup!$A:$A,0)),"")</f>
        <v/>
      </c>
      <c r="BS161" t="str">
        <f t="shared" si="37"/>
        <v/>
      </c>
    </row>
    <row r="162" spans="15:71" x14ac:dyDescent="0.2">
      <c r="O162" t="str">
        <f>IFERROR(INDEX(_courses_lookup!$C:$C,MATCH(K162&amp;L162,_courses_lookup!$E:$E,0)),"")</f>
        <v/>
      </c>
      <c r="P162" t="str">
        <f>IFERROR(INDEX(_courses_lookup!$D:$D,MATCH(K162&amp;L162,_courses_lookup!$E:$E,0)),"")</f>
        <v/>
      </c>
      <c r="AG162" t="str">
        <f t="shared" si="27"/>
        <v/>
      </c>
      <c r="AI162" t="str">
        <f t="shared" si="28"/>
        <v/>
      </c>
      <c r="AL162" t="str">
        <f t="shared" si="29"/>
        <v/>
      </c>
      <c r="AN162" t="str">
        <f t="shared" si="30"/>
        <v/>
      </c>
      <c r="AQ162" t="str">
        <f t="shared" si="31"/>
        <v/>
      </c>
      <c r="AR162" t="str">
        <f t="shared" si="32"/>
        <v/>
      </c>
      <c r="AS162" t="str">
        <f t="shared" si="33"/>
        <v/>
      </c>
      <c r="AT162" t="str">
        <f t="shared" si="34"/>
        <v/>
      </c>
      <c r="BG162" t="str">
        <f t="shared" si="35"/>
        <v/>
      </c>
      <c r="BH162" t="str">
        <f t="shared" si="36"/>
        <v/>
      </c>
      <c r="BL162" t="str">
        <f>IFERROR(INDEX(_names_lookup!$C:$C,MATCH(BK162,_names_lookup!$A:$A,0)),"")</f>
        <v/>
      </c>
      <c r="BM162" t="str">
        <f>IFERROR(INDEX(_names_lookup!$B:$B,MATCH(BK162,_names_lookup!$A:$A,0)),"")</f>
        <v/>
      </c>
      <c r="BS162" t="str">
        <f t="shared" si="37"/>
        <v/>
      </c>
    </row>
    <row r="163" spans="15:71" x14ac:dyDescent="0.2">
      <c r="O163" t="str">
        <f>IFERROR(INDEX(_courses_lookup!$C:$C,MATCH(K163&amp;L163,_courses_lookup!$E:$E,0)),"")</f>
        <v/>
      </c>
      <c r="P163" t="str">
        <f>IFERROR(INDEX(_courses_lookup!$D:$D,MATCH(K163&amp;L163,_courses_lookup!$E:$E,0)),"")</f>
        <v/>
      </c>
      <c r="AG163" t="str">
        <f t="shared" si="27"/>
        <v/>
      </c>
      <c r="AI163" t="str">
        <f t="shared" si="28"/>
        <v/>
      </c>
      <c r="AL163" t="str">
        <f t="shared" si="29"/>
        <v/>
      </c>
      <c r="AN163" t="str">
        <f t="shared" si="30"/>
        <v/>
      </c>
      <c r="AQ163" t="str">
        <f t="shared" si="31"/>
        <v/>
      </c>
      <c r="AR163" t="str">
        <f t="shared" si="32"/>
        <v/>
      </c>
      <c r="AS163" t="str">
        <f t="shared" si="33"/>
        <v/>
      </c>
      <c r="AT163" t="str">
        <f t="shared" si="34"/>
        <v/>
      </c>
      <c r="BG163" t="str">
        <f t="shared" si="35"/>
        <v/>
      </c>
      <c r="BH163" t="str">
        <f t="shared" si="36"/>
        <v/>
      </c>
      <c r="BL163" t="str">
        <f>IFERROR(INDEX(_names_lookup!$C:$C,MATCH(BK163,_names_lookup!$A:$A,0)),"")</f>
        <v/>
      </c>
      <c r="BM163" t="str">
        <f>IFERROR(INDEX(_names_lookup!$B:$B,MATCH(BK163,_names_lookup!$A:$A,0)),"")</f>
        <v/>
      </c>
      <c r="BS163" t="str">
        <f t="shared" si="37"/>
        <v/>
      </c>
    </row>
    <row r="164" spans="15:71" x14ac:dyDescent="0.2">
      <c r="O164" t="str">
        <f>IFERROR(INDEX(_courses_lookup!$C:$C,MATCH(K164&amp;L164,_courses_lookup!$E:$E,0)),"")</f>
        <v/>
      </c>
      <c r="P164" t="str">
        <f>IFERROR(INDEX(_courses_lookup!$D:$D,MATCH(K164&amp;L164,_courses_lookup!$E:$E,0)),"")</f>
        <v/>
      </c>
      <c r="AG164" t="str">
        <f t="shared" si="27"/>
        <v/>
      </c>
      <c r="AI164" t="str">
        <f t="shared" si="28"/>
        <v/>
      </c>
      <c r="AL164" t="str">
        <f t="shared" si="29"/>
        <v/>
      </c>
      <c r="AN164" t="str">
        <f t="shared" si="30"/>
        <v/>
      </c>
      <c r="AQ164" t="str">
        <f t="shared" si="31"/>
        <v/>
      </c>
      <c r="AR164" t="str">
        <f t="shared" si="32"/>
        <v/>
      </c>
      <c r="AS164" t="str">
        <f t="shared" si="33"/>
        <v/>
      </c>
      <c r="AT164" t="str">
        <f t="shared" si="34"/>
        <v/>
      </c>
      <c r="BG164" t="str">
        <f t="shared" si="35"/>
        <v/>
      </c>
      <c r="BH164" t="str">
        <f t="shared" si="36"/>
        <v/>
      </c>
      <c r="BL164" t="str">
        <f>IFERROR(INDEX(_names_lookup!$C:$C,MATCH(BK164,_names_lookup!$A:$A,0)),"")</f>
        <v/>
      </c>
      <c r="BM164" t="str">
        <f>IFERROR(INDEX(_names_lookup!$B:$B,MATCH(BK164,_names_lookup!$A:$A,0)),"")</f>
        <v/>
      </c>
      <c r="BS164" t="str">
        <f t="shared" si="37"/>
        <v/>
      </c>
    </row>
    <row r="165" spans="15:71" x14ac:dyDescent="0.2">
      <c r="O165" t="str">
        <f>IFERROR(INDEX(_courses_lookup!$C:$C,MATCH(K165&amp;L165,_courses_lookup!$E:$E,0)),"")</f>
        <v/>
      </c>
      <c r="P165" t="str">
        <f>IFERROR(INDEX(_courses_lookup!$D:$D,MATCH(K165&amp;L165,_courses_lookup!$E:$E,0)),"")</f>
        <v/>
      </c>
      <c r="AG165" t="str">
        <f t="shared" si="27"/>
        <v/>
      </c>
      <c r="AI165" t="str">
        <f t="shared" si="28"/>
        <v/>
      </c>
      <c r="AL165" t="str">
        <f t="shared" si="29"/>
        <v/>
      </c>
      <c r="AN165" t="str">
        <f t="shared" si="30"/>
        <v/>
      </c>
      <c r="AQ165" t="str">
        <f t="shared" si="31"/>
        <v/>
      </c>
      <c r="AR165" t="str">
        <f t="shared" si="32"/>
        <v/>
      </c>
      <c r="AS165" t="str">
        <f t="shared" si="33"/>
        <v/>
      </c>
      <c r="AT165" t="str">
        <f t="shared" si="34"/>
        <v/>
      </c>
      <c r="BG165" t="str">
        <f t="shared" si="35"/>
        <v/>
      </c>
      <c r="BH165" t="str">
        <f t="shared" si="36"/>
        <v/>
      </c>
      <c r="BL165" t="str">
        <f>IFERROR(INDEX(_names_lookup!$C:$C,MATCH(BK165,_names_lookup!$A:$A,0)),"")</f>
        <v/>
      </c>
      <c r="BM165" t="str">
        <f>IFERROR(INDEX(_names_lookup!$B:$B,MATCH(BK165,_names_lookup!$A:$A,0)),"")</f>
        <v/>
      </c>
      <c r="BS165" t="str">
        <f t="shared" si="37"/>
        <v/>
      </c>
    </row>
    <row r="166" spans="15:71" x14ac:dyDescent="0.2">
      <c r="O166" t="str">
        <f>IFERROR(INDEX(_courses_lookup!$C:$C,MATCH(K166&amp;L166,_courses_lookup!$E:$E,0)),"")</f>
        <v/>
      </c>
      <c r="P166" t="str">
        <f>IFERROR(INDEX(_courses_lookup!$D:$D,MATCH(K166&amp;L166,_courses_lookup!$E:$E,0)),"")</f>
        <v/>
      </c>
      <c r="AG166" t="str">
        <f t="shared" si="27"/>
        <v/>
      </c>
      <c r="AI166" t="str">
        <f t="shared" si="28"/>
        <v/>
      </c>
      <c r="AL166" t="str">
        <f t="shared" si="29"/>
        <v/>
      </c>
      <c r="AN166" t="str">
        <f t="shared" si="30"/>
        <v/>
      </c>
      <c r="AQ166" t="str">
        <f t="shared" si="31"/>
        <v/>
      </c>
      <c r="AR166" t="str">
        <f t="shared" si="32"/>
        <v/>
      </c>
      <c r="AS166" t="str">
        <f t="shared" si="33"/>
        <v/>
      </c>
      <c r="AT166" t="str">
        <f t="shared" si="34"/>
        <v/>
      </c>
      <c r="BG166" t="str">
        <f t="shared" si="35"/>
        <v/>
      </c>
      <c r="BH166" t="str">
        <f t="shared" si="36"/>
        <v/>
      </c>
      <c r="BL166" t="str">
        <f>IFERROR(INDEX(_names_lookup!$C:$C,MATCH(BK166,_names_lookup!$A:$A,0)),"")</f>
        <v/>
      </c>
      <c r="BM166" t="str">
        <f>IFERROR(INDEX(_names_lookup!$B:$B,MATCH(BK166,_names_lookup!$A:$A,0)),"")</f>
        <v/>
      </c>
      <c r="BS166" t="str">
        <f t="shared" si="37"/>
        <v/>
      </c>
    </row>
    <row r="167" spans="15:71" x14ac:dyDescent="0.2">
      <c r="O167" t="str">
        <f>IFERROR(INDEX(_courses_lookup!$C:$C,MATCH(K167&amp;L167,_courses_lookup!$E:$E,0)),"")</f>
        <v/>
      </c>
      <c r="P167" t="str">
        <f>IFERROR(INDEX(_courses_lookup!$D:$D,MATCH(K167&amp;L167,_courses_lookup!$E:$E,0)),"")</f>
        <v/>
      </c>
      <c r="AG167" t="str">
        <f t="shared" si="27"/>
        <v/>
      </c>
      <c r="AI167" t="str">
        <f t="shared" si="28"/>
        <v/>
      </c>
      <c r="AL167" t="str">
        <f t="shared" si="29"/>
        <v/>
      </c>
      <c r="AN167" t="str">
        <f t="shared" si="30"/>
        <v/>
      </c>
      <c r="AQ167" t="str">
        <f t="shared" si="31"/>
        <v/>
      </c>
      <c r="AR167" t="str">
        <f t="shared" si="32"/>
        <v/>
      </c>
      <c r="AS167" t="str">
        <f t="shared" si="33"/>
        <v/>
      </c>
      <c r="AT167" t="str">
        <f t="shared" si="34"/>
        <v/>
      </c>
      <c r="BG167" t="str">
        <f t="shared" si="35"/>
        <v/>
      </c>
      <c r="BH167" t="str">
        <f t="shared" si="36"/>
        <v/>
      </c>
      <c r="BL167" t="str">
        <f>IFERROR(INDEX(_names_lookup!$C:$C,MATCH(BK167,_names_lookup!$A:$A,0)),"")</f>
        <v/>
      </c>
      <c r="BM167" t="str">
        <f>IFERROR(INDEX(_names_lookup!$B:$B,MATCH(BK167,_names_lookup!$A:$A,0)),"")</f>
        <v/>
      </c>
      <c r="BS167" t="str">
        <f t="shared" si="37"/>
        <v/>
      </c>
    </row>
    <row r="168" spans="15:71" x14ac:dyDescent="0.2">
      <c r="O168" t="str">
        <f>IFERROR(INDEX(_courses_lookup!$C:$C,MATCH(K168&amp;L168,_courses_lookup!$E:$E,0)),"")</f>
        <v/>
      </c>
      <c r="P168" t="str">
        <f>IFERROR(INDEX(_courses_lookup!$D:$D,MATCH(K168&amp;L168,_courses_lookup!$E:$E,0)),"")</f>
        <v/>
      </c>
      <c r="AG168" t="str">
        <f t="shared" si="27"/>
        <v/>
      </c>
      <c r="AI168" t="str">
        <f t="shared" si="28"/>
        <v/>
      </c>
      <c r="AL168" t="str">
        <f t="shared" si="29"/>
        <v/>
      </c>
      <c r="AN168" t="str">
        <f t="shared" si="30"/>
        <v/>
      </c>
      <c r="AQ168" t="str">
        <f t="shared" si="31"/>
        <v/>
      </c>
      <c r="AR168" t="str">
        <f t="shared" si="32"/>
        <v/>
      </c>
      <c r="AS168" t="str">
        <f t="shared" si="33"/>
        <v/>
      </c>
      <c r="AT168" t="str">
        <f t="shared" si="34"/>
        <v/>
      </c>
      <c r="BG168" t="str">
        <f t="shared" si="35"/>
        <v/>
      </c>
      <c r="BH168" t="str">
        <f t="shared" si="36"/>
        <v/>
      </c>
      <c r="BL168" t="str">
        <f>IFERROR(INDEX(_names_lookup!$C:$C,MATCH(BK168,_names_lookup!$A:$A,0)),"")</f>
        <v/>
      </c>
      <c r="BM168" t="str">
        <f>IFERROR(INDEX(_names_lookup!$B:$B,MATCH(BK168,_names_lookup!$A:$A,0)),"")</f>
        <v/>
      </c>
      <c r="BS168" t="str">
        <f t="shared" si="37"/>
        <v/>
      </c>
    </row>
    <row r="169" spans="15:71" x14ac:dyDescent="0.2">
      <c r="O169" t="str">
        <f>IFERROR(INDEX(_courses_lookup!$C:$C,MATCH(K169&amp;L169,_courses_lookup!$E:$E,0)),"")</f>
        <v/>
      </c>
      <c r="P169" t="str">
        <f>IFERROR(INDEX(_courses_lookup!$D:$D,MATCH(K169&amp;L169,_courses_lookup!$E:$E,0)),"")</f>
        <v/>
      </c>
      <c r="AG169" t="str">
        <f t="shared" si="27"/>
        <v/>
      </c>
      <c r="AI169" t="str">
        <f t="shared" si="28"/>
        <v/>
      </c>
      <c r="AL169" t="str">
        <f t="shared" si="29"/>
        <v/>
      </c>
      <c r="AN169" t="str">
        <f t="shared" si="30"/>
        <v/>
      </c>
      <c r="AQ169" t="str">
        <f t="shared" si="31"/>
        <v/>
      </c>
      <c r="AR169" t="str">
        <f t="shared" si="32"/>
        <v/>
      </c>
      <c r="AS169" t="str">
        <f t="shared" si="33"/>
        <v/>
      </c>
      <c r="AT169" t="str">
        <f t="shared" si="34"/>
        <v/>
      </c>
      <c r="BG169" t="str">
        <f t="shared" si="35"/>
        <v/>
      </c>
      <c r="BH169" t="str">
        <f t="shared" si="36"/>
        <v/>
      </c>
      <c r="BL169" t="str">
        <f>IFERROR(INDEX(_names_lookup!$C:$C,MATCH(BK169,_names_lookup!$A:$A,0)),"")</f>
        <v/>
      </c>
      <c r="BM169" t="str">
        <f>IFERROR(INDEX(_names_lookup!$B:$B,MATCH(BK169,_names_lookup!$A:$A,0)),"")</f>
        <v/>
      </c>
      <c r="BS169" t="str">
        <f t="shared" si="37"/>
        <v/>
      </c>
    </row>
    <row r="170" spans="15:71" x14ac:dyDescent="0.2">
      <c r="O170" t="str">
        <f>IFERROR(INDEX(_courses_lookup!$C:$C,MATCH(K170&amp;L170,_courses_lookup!$E:$E,0)),"")</f>
        <v/>
      </c>
      <c r="P170" t="str">
        <f>IFERROR(INDEX(_courses_lookup!$D:$D,MATCH(K170&amp;L170,_courses_lookup!$E:$E,0)),"")</f>
        <v/>
      </c>
      <c r="AG170" t="str">
        <f t="shared" si="27"/>
        <v/>
      </c>
      <c r="AI170" t="str">
        <f t="shared" si="28"/>
        <v/>
      </c>
      <c r="AL170" t="str">
        <f t="shared" si="29"/>
        <v/>
      </c>
      <c r="AN170" t="str">
        <f t="shared" si="30"/>
        <v/>
      </c>
      <c r="AQ170" t="str">
        <f t="shared" si="31"/>
        <v/>
      </c>
      <c r="AR170" t="str">
        <f t="shared" si="32"/>
        <v/>
      </c>
      <c r="AS170" t="str">
        <f t="shared" si="33"/>
        <v/>
      </c>
      <c r="AT170" t="str">
        <f t="shared" si="34"/>
        <v/>
      </c>
      <c r="BG170" t="str">
        <f t="shared" si="35"/>
        <v/>
      </c>
      <c r="BH170" t="str">
        <f t="shared" si="36"/>
        <v/>
      </c>
      <c r="BL170" t="str">
        <f>IFERROR(INDEX(_names_lookup!$C:$C,MATCH(BK170,_names_lookup!$A:$A,0)),"")</f>
        <v/>
      </c>
      <c r="BM170" t="str">
        <f>IFERROR(INDEX(_names_lookup!$B:$B,MATCH(BK170,_names_lookup!$A:$A,0)),"")</f>
        <v/>
      </c>
      <c r="BS170" t="str">
        <f t="shared" si="37"/>
        <v/>
      </c>
    </row>
    <row r="171" spans="15:71" x14ac:dyDescent="0.2">
      <c r="O171" t="str">
        <f>IFERROR(INDEX(_courses_lookup!$C:$C,MATCH(K171&amp;L171,_courses_lookup!$E:$E,0)),"")</f>
        <v/>
      </c>
      <c r="P171" t="str">
        <f>IFERROR(INDEX(_courses_lookup!$D:$D,MATCH(K171&amp;L171,_courses_lookup!$E:$E,0)),"")</f>
        <v/>
      </c>
      <c r="AG171" t="str">
        <f t="shared" si="27"/>
        <v/>
      </c>
      <c r="AI171" t="str">
        <f t="shared" si="28"/>
        <v/>
      </c>
      <c r="AL171" t="str">
        <f t="shared" si="29"/>
        <v/>
      </c>
      <c r="AN171" t="str">
        <f t="shared" si="30"/>
        <v/>
      </c>
      <c r="AQ171" t="str">
        <f t="shared" si="31"/>
        <v/>
      </c>
      <c r="AR171" t="str">
        <f t="shared" si="32"/>
        <v/>
      </c>
      <c r="AS171" t="str">
        <f t="shared" si="33"/>
        <v/>
      </c>
      <c r="AT171" t="str">
        <f t="shared" si="34"/>
        <v/>
      </c>
      <c r="BG171" t="str">
        <f t="shared" si="35"/>
        <v/>
      </c>
      <c r="BH171" t="str">
        <f t="shared" si="36"/>
        <v/>
      </c>
      <c r="BL171" t="str">
        <f>IFERROR(INDEX(_names_lookup!$C:$C,MATCH(BK171,_names_lookup!$A:$A,0)),"")</f>
        <v/>
      </c>
      <c r="BM171" t="str">
        <f>IFERROR(INDEX(_names_lookup!$B:$B,MATCH(BK171,_names_lookup!$A:$A,0)),"")</f>
        <v/>
      </c>
      <c r="BS171" t="str">
        <f t="shared" si="37"/>
        <v/>
      </c>
    </row>
    <row r="172" spans="15:71" x14ac:dyDescent="0.2">
      <c r="O172" t="str">
        <f>IFERROR(INDEX(_courses_lookup!$C:$C,MATCH(K172&amp;L172,_courses_lookup!$E:$E,0)),"")</f>
        <v/>
      </c>
      <c r="P172" t="str">
        <f>IFERROR(INDEX(_courses_lookup!$D:$D,MATCH(K172&amp;L172,_courses_lookup!$E:$E,0)),"")</f>
        <v/>
      </c>
      <c r="AG172" t="str">
        <f t="shared" si="27"/>
        <v/>
      </c>
      <c r="AI172" t="str">
        <f t="shared" si="28"/>
        <v/>
      </c>
      <c r="AL172" t="str">
        <f t="shared" si="29"/>
        <v/>
      </c>
      <c r="AN172" t="str">
        <f t="shared" si="30"/>
        <v/>
      </c>
      <c r="AQ172" t="str">
        <f t="shared" si="31"/>
        <v/>
      </c>
      <c r="AR172" t="str">
        <f t="shared" si="32"/>
        <v/>
      </c>
      <c r="AS172" t="str">
        <f t="shared" si="33"/>
        <v/>
      </c>
      <c r="AT172" t="str">
        <f t="shared" si="34"/>
        <v/>
      </c>
      <c r="BG172" t="str">
        <f t="shared" si="35"/>
        <v/>
      </c>
      <c r="BH172" t="str">
        <f t="shared" si="36"/>
        <v/>
      </c>
      <c r="BL172" t="str">
        <f>IFERROR(INDEX(_names_lookup!$C:$C,MATCH(BK172,_names_lookup!$A:$A,0)),"")</f>
        <v/>
      </c>
      <c r="BM172" t="str">
        <f>IFERROR(INDEX(_names_lookup!$B:$B,MATCH(BK172,_names_lookup!$A:$A,0)),"")</f>
        <v/>
      </c>
      <c r="BS172" t="str">
        <f t="shared" si="37"/>
        <v/>
      </c>
    </row>
    <row r="173" spans="15:71" x14ac:dyDescent="0.2">
      <c r="O173" t="str">
        <f>IFERROR(INDEX(_courses_lookup!$C:$C,MATCH(K173&amp;L173,_courses_lookup!$E:$E,0)),"")</f>
        <v/>
      </c>
      <c r="P173" t="str">
        <f>IFERROR(INDEX(_courses_lookup!$D:$D,MATCH(K173&amp;L173,_courses_lookup!$E:$E,0)),"")</f>
        <v/>
      </c>
      <c r="AG173" t="str">
        <f t="shared" si="27"/>
        <v/>
      </c>
      <c r="AI173" t="str">
        <f t="shared" si="28"/>
        <v/>
      </c>
      <c r="AL173" t="str">
        <f t="shared" si="29"/>
        <v/>
      </c>
      <c r="AN173" t="str">
        <f t="shared" si="30"/>
        <v/>
      </c>
      <c r="AQ173" t="str">
        <f t="shared" si="31"/>
        <v/>
      </c>
      <c r="AR173" t="str">
        <f t="shared" si="32"/>
        <v/>
      </c>
      <c r="AS173" t="str">
        <f t="shared" si="33"/>
        <v/>
      </c>
      <c r="AT173" t="str">
        <f t="shared" si="34"/>
        <v/>
      </c>
      <c r="BG173" t="str">
        <f t="shared" si="35"/>
        <v/>
      </c>
      <c r="BH173" t="str">
        <f t="shared" si="36"/>
        <v/>
      </c>
      <c r="BL173" t="str">
        <f>IFERROR(INDEX(_names_lookup!$C:$C,MATCH(BK173,_names_lookup!$A:$A,0)),"")</f>
        <v/>
      </c>
      <c r="BM173" t="str">
        <f>IFERROR(INDEX(_names_lookup!$B:$B,MATCH(BK173,_names_lookup!$A:$A,0)),"")</f>
        <v/>
      </c>
      <c r="BS173" t="str">
        <f t="shared" si="37"/>
        <v/>
      </c>
    </row>
    <row r="174" spans="15:71" x14ac:dyDescent="0.2">
      <c r="O174" t="str">
        <f>IFERROR(INDEX(_courses_lookup!$C:$C,MATCH(K174&amp;L174,_courses_lookup!$E:$E,0)),"")</f>
        <v/>
      </c>
      <c r="P174" t="str">
        <f>IFERROR(INDEX(_courses_lookup!$D:$D,MATCH(K174&amp;L174,_courses_lookup!$E:$E,0)),"")</f>
        <v/>
      </c>
      <c r="AG174" t="str">
        <f t="shared" si="27"/>
        <v/>
      </c>
      <c r="AI174" t="str">
        <f t="shared" si="28"/>
        <v/>
      </c>
      <c r="AL174" t="str">
        <f t="shared" si="29"/>
        <v/>
      </c>
      <c r="AN174" t="str">
        <f t="shared" si="30"/>
        <v/>
      </c>
      <c r="AQ174" t="str">
        <f t="shared" si="31"/>
        <v/>
      </c>
      <c r="AR174" t="str">
        <f t="shared" si="32"/>
        <v/>
      </c>
      <c r="AS174" t="str">
        <f t="shared" si="33"/>
        <v/>
      </c>
      <c r="AT174" t="str">
        <f t="shared" si="34"/>
        <v/>
      </c>
      <c r="BG174" t="str">
        <f t="shared" si="35"/>
        <v/>
      </c>
      <c r="BH174" t="str">
        <f t="shared" si="36"/>
        <v/>
      </c>
      <c r="BL174" t="str">
        <f>IFERROR(INDEX(_names_lookup!$C:$C,MATCH(BK174,_names_lookup!$A:$A,0)),"")</f>
        <v/>
      </c>
      <c r="BM174" t="str">
        <f>IFERROR(INDEX(_names_lookup!$B:$B,MATCH(BK174,_names_lookup!$A:$A,0)),"")</f>
        <v/>
      </c>
      <c r="BS174" t="str">
        <f t="shared" si="37"/>
        <v/>
      </c>
    </row>
    <row r="175" spans="15:71" x14ac:dyDescent="0.2">
      <c r="O175" t="str">
        <f>IFERROR(INDEX(_courses_lookup!$C:$C,MATCH(K175&amp;L175,_courses_lookup!$E:$E,0)),"")</f>
        <v/>
      </c>
      <c r="P175" t="str">
        <f>IFERROR(INDEX(_courses_lookup!$D:$D,MATCH(K175&amp;L175,_courses_lookup!$E:$E,0)),"")</f>
        <v/>
      </c>
      <c r="AG175" t="str">
        <f t="shared" si="27"/>
        <v/>
      </c>
      <c r="AI175" t="str">
        <f t="shared" si="28"/>
        <v/>
      </c>
      <c r="AL175" t="str">
        <f t="shared" si="29"/>
        <v/>
      </c>
      <c r="AN175" t="str">
        <f t="shared" si="30"/>
        <v/>
      </c>
      <c r="AQ175" t="str">
        <f t="shared" si="31"/>
        <v/>
      </c>
      <c r="AR175" t="str">
        <f t="shared" si="32"/>
        <v/>
      </c>
      <c r="AS175" t="str">
        <f t="shared" si="33"/>
        <v/>
      </c>
      <c r="AT175" t="str">
        <f t="shared" si="34"/>
        <v/>
      </c>
      <c r="BG175" t="str">
        <f t="shared" si="35"/>
        <v/>
      </c>
      <c r="BH175" t="str">
        <f t="shared" si="36"/>
        <v/>
      </c>
      <c r="BL175" t="str">
        <f>IFERROR(INDEX(_names_lookup!$C:$C,MATCH(BK175,_names_lookup!$A:$A,0)),"")</f>
        <v/>
      </c>
      <c r="BM175" t="str">
        <f>IFERROR(INDEX(_names_lookup!$B:$B,MATCH(BK175,_names_lookup!$A:$A,0)),"")</f>
        <v/>
      </c>
      <c r="BS175" t="str">
        <f t="shared" si="37"/>
        <v/>
      </c>
    </row>
    <row r="176" spans="15:71" x14ac:dyDescent="0.2">
      <c r="O176" t="str">
        <f>IFERROR(INDEX(_courses_lookup!$C:$C,MATCH(K176&amp;L176,_courses_lookup!$E:$E,0)),"")</f>
        <v/>
      </c>
      <c r="P176" t="str">
        <f>IFERROR(INDEX(_courses_lookup!$D:$D,MATCH(K176&amp;L176,_courses_lookup!$E:$E,0)),"")</f>
        <v/>
      </c>
      <c r="AG176" t="str">
        <f t="shared" si="27"/>
        <v/>
      </c>
      <c r="AI176" t="str">
        <f t="shared" si="28"/>
        <v/>
      </c>
      <c r="AL176" t="str">
        <f t="shared" si="29"/>
        <v/>
      </c>
      <c r="AN176" t="str">
        <f t="shared" si="30"/>
        <v/>
      </c>
      <c r="AQ176" t="str">
        <f t="shared" si="31"/>
        <v/>
      </c>
      <c r="AR176" t="str">
        <f t="shared" si="32"/>
        <v/>
      </c>
      <c r="AS176" t="str">
        <f t="shared" si="33"/>
        <v/>
      </c>
      <c r="AT176" t="str">
        <f t="shared" si="34"/>
        <v/>
      </c>
      <c r="BG176" t="str">
        <f t="shared" si="35"/>
        <v/>
      </c>
      <c r="BH176" t="str">
        <f t="shared" si="36"/>
        <v/>
      </c>
      <c r="BL176" t="str">
        <f>IFERROR(INDEX(_names_lookup!$C:$C,MATCH(BK176,_names_lookup!$A:$A,0)),"")</f>
        <v/>
      </c>
      <c r="BM176" t="str">
        <f>IFERROR(INDEX(_names_lookup!$B:$B,MATCH(BK176,_names_lookup!$A:$A,0)),"")</f>
        <v/>
      </c>
      <c r="BS176" t="str">
        <f t="shared" si="37"/>
        <v/>
      </c>
    </row>
    <row r="177" spans="15:71" x14ac:dyDescent="0.2">
      <c r="O177" t="str">
        <f>IFERROR(INDEX(_courses_lookup!$C:$C,MATCH(K177&amp;L177,_courses_lookup!$E:$E,0)),"")</f>
        <v/>
      </c>
      <c r="P177" t="str">
        <f>IFERROR(INDEX(_courses_lookup!$D:$D,MATCH(K177&amp;L177,_courses_lookup!$E:$E,0)),"")</f>
        <v/>
      </c>
      <c r="AG177" t="str">
        <f t="shared" si="27"/>
        <v/>
      </c>
      <c r="AI177" t="str">
        <f t="shared" si="28"/>
        <v/>
      </c>
      <c r="AL177" t="str">
        <f t="shared" si="29"/>
        <v/>
      </c>
      <c r="AN177" t="str">
        <f t="shared" si="30"/>
        <v/>
      </c>
      <c r="AQ177" t="str">
        <f t="shared" si="31"/>
        <v/>
      </c>
      <c r="AR177" t="str">
        <f t="shared" si="32"/>
        <v/>
      </c>
      <c r="AS177" t="str">
        <f t="shared" si="33"/>
        <v/>
      </c>
      <c r="AT177" t="str">
        <f t="shared" si="34"/>
        <v/>
      </c>
      <c r="BG177" t="str">
        <f t="shared" si="35"/>
        <v/>
      </c>
      <c r="BH177" t="str">
        <f t="shared" si="36"/>
        <v/>
      </c>
      <c r="BL177" t="str">
        <f>IFERROR(INDEX(_names_lookup!$C:$C,MATCH(BK177,_names_lookup!$A:$A,0)),"")</f>
        <v/>
      </c>
      <c r="BM177" t="str">
        <f>IFERROR(INDEX(_names_lookup!$B:$B,MATCH(BK177,_names_lookup!$A:$A,0)),"")</f>
        <v/>
      </c>
      <c r="BS177" t="str">
        <f t="shared" si="37"/>
        <v/>
      </c>
    </row>
    <row r="178" spans="15:71" x14ac:dyDescent="0.2">
      <c r="O178" t="str">
        <f>IFERROR(INDEX(_courses_lookup!$C:$C,MATCH(K178&amp;L178,_courses_lookup!$E:$E,0)),"")</f>
        <v/>
      </c>
      <c r="P178" t="str">
        <f>IFERROR(INDEX(_courses_lookup!$D:$D,MATCH(K178&amp;L178,_courses_lookup!$E:$E,0)),"")</f>
        <v/>
      </c>
      <c r="AG178" t="str">
        <f t="shared" si="27"/>
        <v/>
      </c>
      <c r="AI178" t="str">
        <f t="shared" si="28"/>
        <v/>
      </c>
      <c r="AL178" t="str">
        <f t="shared" si="29"/>
        <v/>
      </c>
      <c r="AN178" t="str">
        <f t="shared" si="30"/>
        <v/>
      </c>
      <c r="AQ178" t="str">
        <f t="shared" si="31"/>
        <v/>
      </c>
      <c r="AR178" t="str">
        <f t="shared" si="32"/>
        <v/>
      </c>
      <c r="AS178" t="str">
        <f t="shared" si="33"/>
        <v/>
      </c>
      <c r="AT178" t="str">
        <f t="shared" si="34"/>
        <v/>
      </c>
      <c r="BG178" t="str">
        <f t="shared" si="35"/>
        <v/>
      </c>
      <c r="BH178" t="str">
        <f t="shared" si="36"/>
        <v/>
      </c>
      <c r="BL178" t="str">
        <f>IFERROR(INDEX(_names_lookup!$C:$C,MATCH(BK178,_names_lookup!$A:$A,0)),"")</f>
        <v/>
      </c>
      <c r="BM178" t="str">
        <f>IFERROR(INDEX(_names_lookup!$B:$B,MATCH(BK178,_names_lookup!$A:$A,0)),"")</f>
        <v/>
      </c>
      <c r="BS178" t="str">
        <f t="shared" si="37"/>
        <v/>
      </c>
    </row>
    <row r="179" spans="15:71" x14ac:dyDescent="0.2">
      <c r="O179" t="str">
        <f>IFERROR(INDEX(_courses_lookup!$C:$C,MATCH(K179&amp;L179,_courses_lookup!$E:$E,0)),"")</f>
        <v/>
      </c>
      <c r="P179" t="str">
        <f>IFERROR(INDEX(_courses_lookup!$D:$D,MATCH(K179&amp;L179,_courses_lookup!$E:$E,0)),"")</f>
        <v/>
      </c>
      <c r="AG179" t="str">
        <f t="shared" si="27"/>
        <v/>
      </c>
      <c r="AI179" t="str">
        <f t="shared" si="28"/>
        <v/>
      </c>
      <c r="AL179" t="str">
        <f t="shared" si="29"/>
        <v/>
      </c>
      <c r="AN179" t="str">
        <f t="shared" si="30"/>
        <v/>
      </c>
      <c r="AQ179" t="str">
        <f t="shared" si="31"/>
        <v/>
      </c>
      <c r="AR179" t="str">
        <f t="shared" si="32"/>
        <v/>
      </c>
      <c r="AS179" t="str">
        <f t="shared" si="33"/>
        <v/>
      </c>
      <c r="AT179" t="str">
        <f t="shared" si="34"/>
        <v/>
      </c>
      <c r="BG179" t="str">
        <f t="shared" si="35"/>
        <v/>
      </c>
      <c r="BH179" t="str">
        <f t="shared" si="36"/>
        <v/>
      </c>
      <c r="BL179" t="str">
        <f>IFERROR(INDEX(_names_lookup!$C:$C,MATCH(BK179,_names_lookup!$A:$A,0)),"")</f>
        <v/>
      </c>
      <c r="BM179" t="str">
        <f>IFERROR(INDEX(_names_lookup!$B:$B,MATCH(BK179,_names_lookup!$A:$A,0)),"")</f>
        <v/>
      </c>
      <c r="BS179" t="str">
        <f t="shared" si="37"/>
        <v/>
      </c>
    </row>
    <row r="180" spans="15:71" x14ac:dyDescent="0.2">
      <c r="O180" t="str">
        <f>IFERROR(INDEX(_courses_lookup!$C:$C,MATCH(K180&amp;L180,_courses_lookup!$E:$E,0)),"")</f>
        <v/>
      </c>
      <c r="P180" t="str">
        <f>IFERROR(INDEX(_courses_lookup!$D:$D,MATCH(K180&amp;L180,_courses_lookup!$E:$E,0)),"")</f>
        <v/>
      </c>
      <c r="AG180" t="str">
        <f t="shared" si="27"/>
        <v/>
      </c>
      <c r="AI180" t="str">
        <f t="shared" si="28"/>
        <v/>
      </c>
      <c r="AL180" t="str">
        <f t="shared" si="29"/>
        <v/>
      </c>
      <c r="AN180" t="str">
        <f t="shared" si="30"/>
        <v/>
      </c>
      <c r="AQ180" t="str">
        <f t="shared" si="31"/>
        <v/>
      </c>
      <c r="AR180" t="str">
        <f t="shared" si="32"/>
        <v/>
      </c>
      <c r="AS180" t="str">
        <f t="shared" si="33"/>
        <v/>
      </c>
      <c r="AT180" t="str">
        <f t="shared" si="34"/>
        <v/>
      </c>
      <c r="BG180" t="str">
        <f t="shared" si="35"/>
        <v/>
      </c>
      <c r="BH180" t="str">
        <f t="shared" si="36"/>
        <v/>
      </c>
      <c r="BL180" t="str">
        <f>IFERROR(INDEX(_names_lookup!$C:$C,MATCH(BK180,_names_lookup!$A:$A,0)),"")</f>
        <v/>
      </c>
      <c r="BM180" t="str">
        <f>IFERROR(INDEX(_names_lookup!$B:$B,MATCH(BK180,_names_lookup!$A:$A,0)),"")</f>
        <v/>
      </c>
      <c r="BS180" t="str">
        <f t="shared" si="37"/>
        <v/>
      </c>
    </row>
    <row r="181" spans="15:71" x14ac:dyDescent="0.2">
      <c r="O181" t="str">
        <f>IFERROR(INDEX(_courses_lookup!$C:$C,MATCH(K181&amp;L181,_courses_lookup!$E:$E,0)),"")</f>
        <v/>
      </c>
      <c r="P181" t="str">
        <f>IFERROR(INDEX(_courses_lookup!$D:$D,MATCH(K181&amp;L181,_courses_lookup!$E:$E,0)),"")</f>
        <v/>
      </c>
      <c r="AG181" t="str">
        <f t="shared" si="27"/>
        <v/>
      </c>
      <c r="AI181" t="str">
        <f t="shared" si="28"/>
        <v/>
      </c>
      <c r="AL181" t="str">
        <f t="shared" si="29"/>
        <v/>
      </c>
      <c r="AN181" t="str">
        <f t="shared" si="30"/>
        <v/>
      </c>
      <c r="AQ181" t="str">
        <f t="shared" si="31"/>
        <v/>
      </c>
      <c r="AR181" t="str">
        <f t="shared" si="32"/>
        <v/>
      </c>
      <c r="AS181" t="str">
        <f t="shared" si="33"/>
        <v/>
      </c>
      <c r="AT181" t="str">
        <f t="shared" si="34"/>
        <v/>
      </c>
      <c r="BG181" t="str">
        <f t="shared" si="35"/>
        <v/>
      </c>
      <c r="BH181" t="str">
        <f t="shared" si="36"/>
        <v/>
      </c>
      <c r="BL181" t="str">
        <f>IFERROR(INDEX(_names_lookup!$C:$C,MATCH(BK181,_names_lookup!$A:$A,0)),"")</f>
        <v/>
      </c>
      <c r="BM181" t="str">
        <f>IFERROR(INDEX(_names_lookup!$B:$B,MATCH(BK181,_names_lookup!$A:$A,0)),"")</f>
        <v/>
      </c>
      <c r="BS181" t="str">
        <f t="shared" si="37"/>
        <v/>
      </c>
    </row>
    <row r="182" spans="15:71" x14ac:dyDescent="0.2">
      <c r="O182" t="str">
        <f>IFERROR(INDEX(_courses_lookup!$C:$C,MATCH(K182&amp;L182,_courses_lookup!$E:$E,0)),"")</f>
        <v/>
      </c>
      <c r="P182" t="str">
        <f>IFERROR(INDEX(_courses_lookup!$D:$D,MATCH(K182&amp;L182,_courses_lookup!$E:$E,0)),"")</f>
        <v/>
      </c>
      <c r="AG182" t="str">
        <f t="shared" si="27"/>
        <v/>
      </c>
      <c r="AI182" t="str">
        <f t="shared" si="28"/>
        <v/>
      </c>
      <c r="AL182" t="str">
        <f t="shared" si="29"/>
        <v/>
      </c>
      <c r="AN182" t="str">
        <f t="shared" si="30"/>
        <v/>
      </c>
      <c r="AQ182" t="str">
        <f t="shared" si="31"/>
        <v/>
      </c>
      <c r="AR182" t="str">
        <f t="shared" si="32"/>
        <v/>
      </c>
      <c r="AS182" t="str">
        <f t="shared" si="33"/>
        <v/>
      </c>
      <c r="AT182" t="str">
        <f t="shared" si="34"/>
        <v/>
      </c>
      <c r="BG182" t="str">
        <f t="shared" si="35"/>
        <v/>
      </c>
      <c r="BH182" t="str">
        <f t="shared" si="36"/>
        <v/>
      </c>
      <c r="BL182" t="str">
        <f>IFERROR(INDEX(_names_lookup!$C:$C,MATCH(BK182,_names_lookup!$A:$A,0)),"")</f>
        <v/>
      </c>
      <c r="BM182" t="str">
        <f>IFERROR(INDEX(_names_lookup!$B:$B,MATCH(BK182,_names_lookup!$A:$A,0)),"")</f>
        <v/>
      </c>
      <c r="BS182" t="str">
        <f t="shared" si="37"/>
        <v/>
      </c>
    </row>
    <row r="183" spans="15:71" x14ac:dyDescent="0.2">
      <c r="O183" t="str">
        <f>IFERROR(INDEX(_courses_lookup!$C:$C,MATCH(K183&amp;L183,_courses_lookup!$E:$E,0)),"")</f>
        <v/>
      </c>
      <c r="P183" t="str">
        <f>IFERROR(INDEX(_courses_lookup!$D:$D,MATCH(K183&amp;L183,_courses_lookup!$E:$E,0)),"")</f>
        <v/>
      </c>
      <c r="AG183" t="str">
        <f t="shared" si="27"/>
        <v/>
      </c>
      <c r="AI183" t="str">
        <f t="shared" si="28"/>
        <v/>
      </c>
      <c r="AL183" t="str">
        <f t="shared" si="29"/>
        <v/>
      </c>
      <c r="AN183" t="str">
        <f t="shared" si="30"/>
        <v/>
      </c>
      <c r="AQ183" t="str">
        <f t="shared" si="31"/>
        <v/>
      </c>
      <c r="AR183" t="str">
        <f t="shared" si="32"/>
        <v/>
      </c>
      <c r="AS183" t="str">
        <f t="shared" si="33"/>
        <v/>
      </c>
      <c r="AT183" t="str">
        <f t="shared" si="34"/>
        <v/>
      </c>
      <c r="BG183" t="str">
        <f t="shared" si="35"/>
        <v/>
      </c>
      <c r="BH183" t="str">
        <f t="shared" si="36"/>
        <v/>
      </c>
      <c r="BL183" t="str">
        <f>IFERROR(INDEX(_names_lookup!$C:$C,MATCH(BK183,_names_lookup!$A:$A,0)),"")</f>
        <v/>
      </c>
      <c r="BM183" t="str">
        <f>IFERROR(INDEX(_names_lookup!$B:$B,MATCH(BK183,_names_lookup!$A:$A,0)),"")</f>
        <v/>
      </c>
      <c r="BS183" t="str">
        <f t="shared" si="37"/>
        <v/>
      </c>
    </row>
    <row r="184" spans="15:71" x14ac:dyDescent="0.2">
      <c r="O184" t="str">
        <f>IFERROR(INDEX(_courses_lookup!$C:$C,MATCH(K184&amp;L184,_courses_lookup!$E:$E,0)),"")</f>
        <v/>
      </c>
      <c r="P184" t="str">
        <f>IFERROR(INDEX(_courses_lookup!$D:$D,MATCH(K184&amp;L184,_courses_lookup!$E:$E,0)),"")</f>
        <v/>
      </c>
      <c r="AG184" t="str">
        <f t="shared" si="27"/>
        <v/>
      </c>
      <c r="AI184" t="str">
        <f t="shared" si="28"/>
        <v/>
      </c>
      <c r="AL184" t="str">
        <f t="shared" si="29"/>
        <v/>
      </c>
      <c r="AN184" t="str">
        <f t="shared" si="30"/>
        <v/>
      </c>
      <c r="AQ184" t="str">
        <f t="shared" si="31"/>
        <v/>
      </c>
      <c r="AR184" t="str">
        <f t="shared" si="32"/>
        <v/>
      </c>
      <c r="AS184" t="str">
        <f t="shared" si="33"/>
        <v/>
      </c>
      <c r="AT184" t="str">
        <f t="shared" si="34"/>
        <v/>
      </c>
      <c r="BG184" t="str">
        <f t="shared" si="35"/>
        <v/>
      </c>
      <c r="BH184" t="str">
        <f t="shared" si="36"/>
        <v/>
      </c>
      <c r="BL184" t="str">
        <f>IFERROR(INDEX(_names_lookup!$C:$C,MATCH(BK184,_names_lookup!$A:$A,0)),"")</f>
        <v/>
      </c>
      <c r="BM184" t="str">
        <f>IFERROR(INDEX(_names_lookup!$B:$B,MATCH(BK184,_names_lookup!$A:$A,0)),"")</f>
        <v/>
      </c>
      <c r="BS184" t="str">
        <f t="shared" si="37"/>
        <v/>
      </c>
    </row>
    <row r="185" spans="15:71" x14ac:dyDescent="0.2">
      <c r="O185" t="str">
        <f>IFERROR(INDEX(_courses_lookup!$C:$C,MATCH(K185&amp;L185,_courses_lookup!$E:$E,0)),"")</f>
        <v/>
      </c>
      <c r="P185" t="str">
        <f>IFERROR(INDEX(_courses_lookup!$D:$D,MATCH(K185&amp;L185,_courses_lookup!$E:$E,0)),"")</f>
        <v/>
      </c>
      <c r="AG185" t="str">
        <f t="shared" si="27"/>
        <v/>
      </c>
      <c r="AI185" t="str">
        <f t="shared" si="28"/>
        <v/>
      </c>
      <c r="AL185" t="str">
        <f t="shared" si="29"/>
        <v/>
      </c>
      <c r="AN185" t="str">
        <f t="shared" si="30"/>
        <v/>
      </c>
      <c r="AQ185" t="str">
        <f t="shared" si="31"/>
        <v/>
      </c>
      <c r="AR185" t="str">
        <f t="shared" si="32"/>
        <v/>
      </c>
      <c r="AS185" t="str">
        <f t="shared" si="33"/>
        <v/>
      </c>
      <c r="AT185" t="str">
        <f t="shared" si="34"/>
        <v/>
      </c>
      <c r="BG185" t="str">
        <f t="shared" si="35"/>
        <v/>
      </c>
      <c r="BH185" t="str">
        <f t="shared" si="36"/>
        <v/>
      </c>
      <c r="BL185" t="str">
        <f>IFERROR(INDEX(_names_lookup!$C:$C,MATCH(BK185,_names_lookup!$A:$A,0)),"")</f>
        <v/>
      </c>
      <c r="BM185" t="str">
        <f>IFERROR(INDEX(_names_lookup!$B:$B,MATCH(BK185,_names_lookup!$A:$A,0)),"")</f>
        <v/>
      </c>
      <c r="BS185" t="str">
        <f t="shared" si="37"/>
        <v/>
      </c>
    </row>
    <row r="186" spans="15:71" x14ac:dyDescent="0.2">
      <c r="O186" t="str">
        <f>IFERROR(INDEX(_courses_lookup!$C:$C,MATCH(K186&amp;L186,_courses_lookup!$E:$E,0)),"")</f>
        <v/>
      </c>
      <c r="P186" t="str">
        <f>IFERROR(INDEX(_courses_lookup!$D:$D,MATCH(K186&amp;L186,_courses_lookup!$E:$E,0)),"")</f>
        <v/>
      </c>
      <c r="AG186" t="str">
        <f t="shared" si="27"/>
        <v/>
      </c>
      <c r="AI186" t="str">
        <f t="shared" si="28"/>
        <v/>
      </c>
      <c r="AL186" t="str">
        <f t="shared" si="29"/>
        <v/>
      </c>
      <c r="AN186" t="str">
        <f t="shared" si="30"/>
        <v/>
      </c>
      <c r="AQ186" t="str">
        <f t="shared" si="31"/>
        <v/>
      </c>
      <c r="AR186" t="str">
        <f t="shared" si="32"/>
        <v/>
      </c>
      <c r="AS186" t="str">
        <f t="shared" si="33"/>
        <v/>
      </c>
      <c r="AT186" t="str">
        <f t="shared" si="34"/>
        <v/>
      </c>
      <c r="BG186" t="str">
        <f t="shared" si="35"/>
        <v/>
      </c>
      <c r="BH186" t="str">
        <f t="shared" si="36"/>
        <v/>
      </c>
      <c r="BL186" t="str">
        <f>IFERROR(INDEX(_names_lookup!$C:$C,MATCH(BK186,_names_lookup!$A:$A,0)),"")</f>
        <v/>
      </c>
      <c r="BM186" t="str">
        <f>IFERROR(INDEX(_names_lookup!$B:$B,MATCH(BK186,_names_lookup!$A:$A,0)),"")</f>
        <v/>
      </c>
      <c r="BS186" t="str">
        <f t="shared" si="37"/>
        <v/>
      </c>
    </row>
    <row r="187" spans="15:71" x14ac:dyDescent="0.2">
      <c r="O187" t="str">
        <f>IFERROR(INDEX(_courses_lookup!$C:$C,MATCH(K187&amp;L187,_courses_lookup!$E:$E,0)),"")</f>
        <v/>
      </c>
      <c r="P187" t="str">
        <f>IFERROR(INDEX(_courses_lookup!$D:$D,MATCH(K187&amp;L187,_courses_lookup!$E:$E,0)),"")</f>
        <v/>
      </c>
      <c r="AG187" t="str">
        <f t="shared" si="27"/>
        <v/>
      </c>
      <c r="AI187" t="str">
        <f t="shared" si="28"/>
        <v/>
      </c>
      <c r="AL187" t="str">
        <f t="shared" si="29"/>
        <v/>
      </c>
      <c r="AN187" t="str">
        <f t="shared" si="30"/>
        <v/>
      </c>
      <c r="AQ187" t="str">
        <f t="shared" si="31"/>
        <v/>
      </c>
      <c r="AR187" t="str">
        <f t="shared" si="32"/>
        <v/>
      </c>
      <c r="AS187" t="str">
        <f t="shared" si="33"/>
        <v/>
      </c>
      <c r="AT187" t="str">
        <f t="shared" si="34"/>
        <v/>
      </c>
      <c r="BG187" t="str">
        <f t="shared" si="35"/>
        <v/>
      </c>
      <c r="BH187" t="str">
        <f t="shared" si="36"/>
        <v/>
      </c>
      <c r="BL187" t="str">
        <f>IFERROR(INDEX(_names_lookup!$C:$C,MATCH(BK187,_names_lookup!$A:$A,0)),"")</f>
        <v/>
      </c>
      <c r="BM187" t="str">
        <f>IFERROR(INDEX(_names_lookup!$B:$B,MATCH(BK187,_names_lookup!$A:$A,0)),"")</f>
        <v/>
      </c>
      <c r="BS187" t="str">
        <f t="shared" si="37"/>
        <v/>
      </c>
    </row>
    <row r="188" spans="15:71" x14ac:dyDescent="0.2">
      <c r="O188" t="str">
        <f>IFERROR(INDEX(_courses_lookup!$C:$C,MATCH(K188&amp;L188,_courses_lookup!$E:$E,0)),"")</f>
        <v/>
      </c>
      <c r="P188" t="str">
        <f>IFERROR(INDEX(_courses_lookup!$D:$D,MATCH(K188&amp;L188,_courses_lookup!$E:$E,0)),"")</f>
        <v/>
      </c>
      <c r="AG188" t="str">
        <f t="shared" si="27"/>
        <v/>
      </c>
      <c r="AI188" t="str">
        <f t="shared" si="28"/>
        <v/>
      </c>
      <c r="AL188" t="str">
        <f t="shared" si="29"/>
        <v/>
      </c>
      <c r="AN188" t="str">
        <f t="shared" si="30"/>
        <v/>
      </c>
      <c r="AQ188" t="str">
        <f t="shared" si="31"/>
        <v/>
      </c>
      <c r="AR188" t="str">
        <f t="shared" si="32"/>
        <v/>
      </c>
      <c r="AS188" t="str">
        <f t="shared" si="33"/>
        <v/>
      </c>
      <c r="AT188" t="str">
        <f t="shared" si="34"/>
        <v/>
      </c>
      <c r="BG188" t="str">
        <f t="shared" si="35"/>
        <v/>
      </c>
      <c r="BH188" t="str">
        <f t="shared" si="36"/>
        <v/>
      </c>
      <c r="BL188" t="str">
        <f>IFERROR(INDEX(_names_lookup!$C:$C,MATCH(BK188,_names_lookup!$A:$A,0)),"")</f>
        <v/>
      </c>
      <c r="BM188" t="str">
        <f>IFERROR(INDEX(_names_lookup!$B:$B,MATCH(BK188,_names_lookup!$A:$A,0)),"")</f>
        <v/>
      </c>
      <c r="BS188" t="str">
        <f t="shared" si="37"/>
        <v/>
      </c>
    </row>
    <row r="189" spans="15:71" x14ac:dyDescent="0.2">
      <c r="O189" t="str">
        <f>IFERROR(INDEX(_courses_lookup!$C:$C,MATCH(K189&amp;L189,_courses_lookup!$E:$E,0)),"")</f>
        <v/>
      </c>
      <c r="P189" t="str">
        <f>IFERROR(INDEX(_courses_lookup!$D:$D,MATCH(K189&amp;L189,_courses_lookup!$E:$E,0)),"")</f>
        <v/>
      </c>
      <c r="AG189" t="str">
        <f t="shared" si="27"/>
        <v/>
      </c>
      <c r="AI189" t="str">
        <f t="shared" si="28"/>
        <v/>
      </c>
      <c r="AL189" t="str">
        <f t="shared" si="29"/>
        <v/>
      </c>
      <c r="AN189" t="str">
        <f t="shared" si="30"/>
        <v/>
      </c>
      <c r="AQ189" t="str">
        <f t="shared" si="31"/>
        <v/>
      </c>
      <c r="AR189" t="str">
        <f t="shared" si="32"/>
        <v/>
      </c>
      <c r="AS189" t="str">
        <f t="shared" si="33"/>
        <v/>
      </c>
      <c r="AT189" t="str">
        <f t="shared" si="34"/>
        <v/>
      </c>
      <c r="BG189" t="str">
        <f t="shared" si="35"/>
        <v/>
      </c>
      <c r="BH189" t="str">
        <f t="shared" si="36"/>
        <v/>
      </c>
      <c r="BL189" t="str">
        <f>IFERROR(INDEX(_names_lookup!$C:$C,MATCH(BK189,_names_lookup!$A:$A,0)),"")</f>
        <v/>
      </c>
      <c r="BM189" t="str">
        <f>IFERROR(INDEX(_names_lookup!$B:$B,MATCH(BK189,_names_lookup!$A:$A,0)),"")</f>
        <v/>
      </c>
      <c r="BS189" t="str">
        <f t="shared" si="37"/>
        <v/>
      </c>
    </row>
    <row r="190" spans="15:71" x14ac:dyDescent="0.2">
      <c r="O190" t="str">
        <f>IFERROR(INDEX(_courses_lookup!$C:$C,MATCH(K190&amp;L190,_courses_lookup!$E:$E,0)),"")</f>
        <v/>
      </c>
      <c r="P190" t="str">
        <f>IFERROR(INDEX(_courses_lookup!$D:$D,MATCH(K190&amp;L190,_courses_lookup!$E:$E,0)),"")</f>
        <v/>
      </c>
      <c r="AG190" t="str">
        <f t="shared" si="27"/>
        <v/>
      </c>
      <c r="AI190" t="str">
        <f t="shared" si="28"/>
        <v/>
      </c>
      <c r="AL190" t="str">
        <f t="shared" si="29"/>
        <v/>
      </c>
      <c r="AN190" t="str">
        <f t="shared" si="30"/>
        <v/>
      </c>
      <c r="AQ190" t="str">
        <f t="shared" si="31"/>
        <v/>
      </c>
      <c r="AR190" t="str">
        <f t="shared" si="32"/>
        <v/>
      </c>
      <c r="AS190" t="str">
        <f t="shared" si="33"/>
        <v/>
      </c>
      <c r="AT190" t="str">
        <f t="shared" si="34"/>
        <v/>
      </c>
      <c r="BG190" t="str">
        <f t="shared" si="35"/>
        <v/>
      </c>
      <c r="BH190" t="str">
        <f t="shared" si="36"/>
        <v/>
      </c>
      <c r="BL190" t="str">
        <f>IFERROR(INDEX(_names_lookup!$C:$C,MATCH(BK190,_names_lookup!$A:$A,0)),"")</f>
        <v/>
      </c>
      <c r="BM190" t="str">
        <f>IFERROR(INDEX(_names_lookup!$B:$B,MATCH(BK190,_names_lookup!$A:$A,0)),"")</f>
        <v/>
      </c>
      <c r="BS190" t="str">
        <f t="shared" si="37"/>
        <v/>
      </c>
    </row>
    <row r="191" spans="15:71" x14ac:dyDescent="0.2">
      <c r="O191" t="str">
        <f>IFERROR(INDEX(_courses_lookup!$C:$C,MATCH(K191&amp;L191,_courses_lookup!$E:$E,0)),"")</f>
        <v/>
      </c>
      <c r="P191" t="str">
        <f>IFERROR(INDEX(_courses_lookup!$D:$D,MATCH(K191&amp;L191,_courses_lookup!$E:$E,0)),"")</f>
        <v/>
      </c>
      <c r="AG191" t="str">
        <f t="shared" si="27"/>
        <v/>
      </c>
      <c r="AI191" t="str">
        <f t="shared" si="28"/>
        <v/>
      </c>
      <c r="AL191" t="str">
        <f t="shared" si="29"/>
        <v/>
      </c>
      <c r="AN191" t="str">
        <f t="shared" si="30"/>
        <v/>
      </c>
      <c r="AQ191" t="str">
        <f t="shared" si="31"/>
        <v/>
      </c>
      <c r="AR191" t="str">
        <f t="shared" si="32"/>
        <v/>
      </c>
      <c r="AS191" t="str">
        <f t="shared" si="33"/>
        <v/>
      </c>
      <c r="AT191" t="str">
        <f t="shared" si="34"/>
        <v/>
      </c>
      <c r="BG191" t="str">
        <f t="shared" si="35"/>
        <v/>
      </c>
      <c r="BH191" t="str">
        <f t="shared" si="36"/>
        <v/>
      </c>
      <c r="BL191" t="str">
        <f>IFERROR(INDEX(_names_lookup!$C:$C,MATCH(BK191,_names_lookup!$A:$A,0)),"")</f>
        <v/>
      </c>
      <c r="BM191" t="str">
        <f>IFERROR(INDEX(_names_lookup!$B:$B,MATCH(BK191,_names_lookup!$A:$A,0)),"")</f>
        <v/>
      </c>
      <c r="BS191" t="str">
        <f t="shared" si="37"/>
        <v/>
      </c>
    </row>
    <row r="192" spans="15:71" x14ac:dyDescent="0.2">
      <c r="O192" t="str">
        <f>IFERROR(INDEX(_courses_lookup!$C:$C,MATCH(K192&amp;L192,_courses_lookup!$E:$E,0)),"")</f>
        <v/>
      </c>
      <c r="P192" t="str">
        <f>IFERROR(INDEX(_courses_lookup!$D:$D,MATCH(K192&amp;L192,_courses_lookup!$E:$E,0)),"")</f>
        <v/>
      </c>
      <c r="AG192" t="str">
        <f t="shared" si="27"/>
        <v/>
      </c>
      <c r="AI192" t="str">
        <f t="shared" si="28"/>
        <v/>
      </c>
      <c r="AL192" t="str">
        <f t="shared" si="29"/>
        <v/>
      </c>
      <c r="AN192" t="str">
        <f t="shared" si="30"/>
        <v/>
      </c>
      <c r="AQ192" t="str">
        <f t="shared" si="31"/>
        <v/>
      </c>
      <c r="AR192" t="str">
        <f t="shared" si="32"/>
        <v/>
      </c>
      <c r="AS192" t="str">
        <f t="shared" si="33"/>
        <v/>
      </c>
      <c r="AT192" t="str">
        <f t="shared" si="34"/>
        <v/>
      </c>
      <c r="BG192" t="str">
        <f t="shared" si="35"/>
        <v/>
      </c>
      <c r="BH192" t="str">
        <f t="shared" si="36"/>
        <v/>
      </c>
      <c r="BL192" t="str">
        <f>IFERROR(INDEX(_names_lookup!$C:$C,MATCH(BK192,_names_lookup!$A:$A,0)),"")</f>
        <v/>
      </c>
      <c r="BM192" t="str">
        <f>IFERROR(INDEX(_names_lookup!$B:$B,MATCH(BK192,_names_lookup!$A:$A,0)),"")</f>
        <v/>
      </c>
      <c r="BS192" t="str">
        <f t="shared" si="37"/>
        <v/>
      </c>
    </row>
    <row r="193" spans="15:71" x14ac:dyDescent="0.2">
      <c r="O193" t="str">
        <f>IFERROR(INDEX(_courses_lookup!$C:$C,MATCH(K193&amp;L193,_courses_lookup!$E:$E,0)),"")</f>
        <v/>
      </c>
      <c r="P193" t="str">
        <f>IFERROR(INDEX(_courses_lookup!$D:$D,MATCH(K193&amp;L193,_courses_lookup!$E:$E,0)),"")</f>
        <v/>
      </c>
      <c r="AG193" t="str">
        <f t="shared" si="27"/>
        <v/>
      </c>
      <c r="AI193" t="str">
        <f t="shared" si="28"/>
        <v/>
      </c>
      <c r="AL193" t="str">
        <f t="shared" si="29"/>
        <v/>
      </c>
      <c r="AN193" t="str">
        <f t="shared" si="30"/>
        <v/>
      </c>
      <c r="AQ193" t="str">
        <f t="shared" si="31"/>
        <v/>
      </c>
      <c r="AR193" t="str">
        <f t="shared" si="32"/>
        <v/>
      </c>
      <c r="AS193" t="str">
        <f t="shared" si="33"/>
        <v/>
      </c>
      <c r="AT193" t="str">
        <f t="shared" si="34"/>
        <v/>
      </c>
      <c r="BG193" t="str">
        <f t="shared" si="35"/>
        <v/>
      </c>
      <c r="BH193" t="str">
        <f t="shared" si="36"/>
        <v/>
      </c>
      <c r="BL193" t="str">
        <f>IFERROR(INDEX(_names_lookup!$C:$C,MATCH(BK193,_names_lookup!$A:$A,0)),"")</f>
        <v/>
      </c>
      <c r="BM193" t="str">
        <f>IFERROR(INDEX(_names_lookup!$B:$B,MATCH(BK193,_names_lookup!$A:$A,0)),"")</f>
        <v/>
      </c>
      <c r="BS193" t="str">
        <f t="shared" si="37"/>
        <v/>
      </c>
    </row>
    <row r="194" spans="15:71" x14ac:dyDescent="0.2">
      <c r="O194" t="str">
        <f>IFERROR(INDEX(_courses_lookup!$C:$C,MATCH(K194&amp;L194,_courses_lookup!$E:$E,0)),"")</f>
        <v/>
      </c>
      <c r="P194" t="str">
        <f>IFERROR(INDEX(_courses_lookup!$D:$D,MATCH(K194&amp;L194,_courses_lookup!$E:$E,0)),"")</f>
        <v/>
      </c>
      <c r="AG194" t="str">
        <f t="shared" ref="AG194:AG257" si="38">IF(AND(AE194&lt;&gt;"",AF194&lt;&gt;""),ROUNDUP((AF194-AE194)/7,0),"")</f>
        <v/>
      </c>
      <c r="AI194" t="str">
        <f t="shared" ref="AI194:AI257" si="39">IFERROR(IF(AG194*AH194=0,"",AG194*AH194),"")</f>
        <v/>
      </c>
      <c r="AL194" t="str">
        <f t="shared" ref="AL194:AL257" si="40">IF(AND(AJ194&lt;&gt;"",AK194&lt;&gt;""),ROUNDUP((AK194-AJ194)/7,0),"")</f>
        <v/>
      </c>
      <c r="AN194" t="str">
        <f t="shared" ref="AN194:AN257" si="41">IFERROR(IF(AL194*AM194=0,"",AL194*AM194),"")</f>
        <v/>
      </c>
      <c r="AQ194" t="str">
        <f t="shared" ref="AQ194:AQ257" si="42">IF(AND(AO194&lt;&gt;"",AP194&lt;&gt;""),ROUNDUP((AP194-AO194)/7,0),"")</f>
        <v/>
      </c>
      <c r="AR194" t="str">
        <f t="shared" ref="AR194:AR257" si="43">IFERROR(IF((AU194-(AI194+AN194))/AQ194=0,"",ROUNDUP((AU194-(AI194+AN194))/AQ194,0)),"")</f>
        <v/>
      </c>
      <c r="AS194" t="str">
        <f t="shared" ref="AS194:AS257" si="44">IFERROR(IF((AU194-(AI194+AN194))=0,"",(AU194-(AI194+AN194))),"")</f>
        <v/>
      </c>
      <c r="AT194" t="str">
        <f t="shared" ref="AT194:AT257" si="45">IF(AND(AG194="",AQ194=""),AL194,IF(SUM(AG194,AL194,AQ194)=0,"",SUM(AG194,AL194,AQ194)))</f>
        <v/>
      </c>
      <c r="BG194" t="str">
        <f t="shared" ref="BG194:BG257" si="46">IF(AD194="","",YEAR(AD194)+IF(MONTH(AD194)&gt;=5,1,0))</f>
        <v/>
      </c>
      <c r="BH194" t="str">
        <f t="shared" ref="BH194:BH257" si="47">IF(AD194="","",IF(AND(MONTH(AD194)=8,DAY(AD194)&gt;=15),"Fall",IF(MONTH(AD194)&gt;8,"Fall",IF(MONTH(AD194)=5,"Summer",IF(MONTH(AD194)=1,"Spring","")))))</f>
        <v/>
      </c>
      <c r="BL194" t="str">
        <f>IFERROR(INDEX(_names_lookup!$C:$C,MATCH(BK194,_names_lookup!$A:$A,0)),"")</f>
        <v/>
      </c>
      <c r="BM194" t="str">
        <f>IFERROR(INDEX(_names_lookup!$B:$B,MATCH(BK194,_names_lookup!$A:$A,0)),"")</f>
        <v/>
      </c>
      <c r="BS194" t="str">
        <f t="shared" ref="BS194:BS257" si="48">IFERROR(IF(BR194*AA194=0,"",BR194*AA194),"")</f>
        <v/>
      </c>
    </row>
    <row r="195" spans="15:71" x14ac:dyDescent="0.2">
      <c r="O195" t="str">
        <f>IFERROR(INDEX(_courses_lookup!$C:$C,MATCH(K195&amp;L195,_courses_lookup!$E:$E,0)),"")</f>
        <v/>
      </c>
      <c r="P195" t="str">
        <f>IFERROR(INDEX(_courses_lookup!$D:$D,MATCH(K195&amp;L195,_courses_lookup!$E:$E,0)),"")</f>
        <v/>
      </c>
      <c r="AG195" t="str">
        <f t="shared" si="38"/>
        <v/>
      </c>
      <c r="AI195" t="str">
        <f t="shared" si="39"/>
        <v/>
      </c>
      <c r="AL195" t="str">
        <f t="shared" si="40"/>
        <v/>
      </c>
      <c r="AN195" t="str">
        <f t="shared" si="41"/>
        <v/>
      </c>
      <c r="AQ195" t="str">
        <f t="shared" si="42"/>
        <v/>
      </c>
      <c r="AR195" t="str">
        <f t="shared" si="43"/>
        <v/>
      </c>
      <c r="AS195" t="str">
        <f t="shared" si="44"/>
        <v/>
      </c>
      <c r="AT195" t="str">
        <f t="shared" si="45"/>
        <v/>
      </c>
      <c r="BG195" t="str">
        <f t="shared" si="46"/>
        <v/>
      </c>
      <c r="BH195" t="str">
        <f t="shared" si="47"/>
        <v/>
      </c>
      <c r="BL195" t="str">
        <f>IFERROR(INDEX(_names_lookup!$C:$C,MATCH(BK195,_names_lookup!$A:$A,0)),"")</f>
        <v/>
      </c>
      <c r="BM195" t="str">
        <f>IFERROR(INDEX(_names_lookup!$B:$B,MATCH(BK195,_names_lookup!$A:$A,0)),"")</f>
        <v/>
      </c>
      <c r="BS195" t="str">
        <f t="shared" si="48"/>
        <v/>
      </c>
    </row>
    <row r="196" spans="15:71" x14ac:dyDescent="0.2">
      <c r="O196" t="str">
        <f>IFERROR(INDEX(_courses_lookup!$C:$C,MATCH(K196&amp;L196,_courses_lookup!$E:$E,0)),"")</f>
        <v/>
      </c>
      <c r="P196" t="str">
        <f>IFERROR(INDEX(_courses_lookup!$D:$D,MATCH(K196&amp;L196,_courses_lookup!$E:$E,0)),"")</f>
        <v/>
      </c>
      <c r="AG196" t="str">
        <f t="shared" si="38"/>
        <v/>
      </c>
      <c r="AI196" t="str">
        <f t="shared" si="39"/>
        <v/>
      </c>
      <c r="AL196" t="str">
        <f t="shared" si="40"/>
        <v/>
      </c>
      <c r="AN196" t="str">
        <f t="shared" si="41"/>
        <v/>
      </c>
      <c r="AQ196" t="str">
        <f t="shared" si="42"/>
        <v/>
      </c>
      <c r="AR196" t="str">
        <f t="shared" si="43"/>
        <v/>
      </c>
      <c r="AS196" t="str">
        <f t="shared" si="44"/>
        <v/>
      </c>
      <c r="AT196" t="str">
        <f t="shared" si="45"/>
        <v/>
      </c>
      <c r="BG196" t="str">
        <f t="shared" si="46"/>
        <v/>
      </c>
      <c r="BH196" t="str">
        <f t="shared" si="47"/>
        <v/>
      </c>
      <c r="BL196" t="str">
        <f>IFERROR(INDEX(_names_lookup!$C:$C,MATCH(BK196,_names_lookup!$A:$A,0)),"")</f>
        <v/>
      </c>
      <c r="BM196" t="str">
        <f>IFERROR(INDEX(_names_lookup!$B:$B,MATCH(BK196,_names_lookup!$A:$A,0)),"")</f>
        <v/>
      </c>
      <c r="BS196" t="str">
        <f t="shared" si="48"/>
        <v/>
      </c>
    </row>
    <row r="197" spans="15:71" x14ac:dyDescent="0.2">
      <c r="O197" t="str">
        <f>IFERROR(INDEX(_courses_lookup!$C:$C,MATCH(K197&amp;L197,_courses_lookup!$E:$E,0)),"")</f>
        <v/>
      </c>
      <c r="P197" t="str">
        <f>IFERROR(INDEX(_courses_lookup!$D:$D,MATCH(K197&amp;L197,_courses_lookup!$E:$E,0)),"")</f>
        <v/>
      </c>
      <c r="AG197" t="str">
        <f t="shared" si="38"/>
        <v/>
      </c>
      <c r="AI197" t="str">
        <f t="shared" si="39"/>
        <v/>
      </c>
      <c r="AL197" t="str">
        <f t="shared" si="40"/>
        <v/>
      </c>
      <c r="AN197" t="str">
        <f t="shared" si="41"/>
        <v/>
      </c>
      <c r="AQ197" t="str">
        <f t="shared" si="42"/>
        <v/>
      </c>
      <c r="AR197" t="str">
        <f t="shared" si="43"/>
        <v/>
      </c>
      <c r="AS197" t="str">
        <f t="shared" si="44"/>
        <v/>
      </c>
      <c r="AT197" t="str">
        <f t="shared" si="45"/>
        <v/>
      </c>
      <c r="BG197" t="str">
        <f t="shared" si="46"/>
        <v/>
      </c>
      <c r="BH197" t="str">
        <f t="shared" si="47"/>
        <v/>
      </c>
      <c r="BL197" t="str">
        <f>IFERROR(INDEX(_names_lookup!$C:$C,MATCH(BK197,_names_lookup!$A:$A,0)),"")</f>
        <v/>
      </c>
      <c r="BM197" t="str">
        <f>IFERROR(INDEX(_names_lookup!$B:$B,MATCH(BK197,_names_lookup!$A:$A,0)),"")</f>
        <v/>
      </c>
      <c r="BS197" t="str">
        <f t="shared" si="48"/>
        <v/>
      </c>
    </row>
    <row r="198" spans="15:71" x14ac:dyDescent="0.2">
      <c r="O198" t="str">
        <f>IFERROR(INDEX(_courses_lookup!$C:$C,MATCH(K198&amp;L198,_courses_lookup!$E:$E,0)),"")</f>
        <v/>
      </c>
      <c r="P198" t="str">
        <f>IFERROR(INDEX(_courses_lookup!$D:$D,MATCH(K198&amp;L198,_courses_lookup!$E:$E,0)),"")</f>
        <v/>
      </c>
      <c r="AG198" t="str">
        <f t="shared" si="38"/>
        <v/>
      </c>
      <c r="AI198" t="str">
        <f t="shared" si="39"/>
        <v/>
      </c>
      <c r="AL198" t="str">
        <f t="shared" si="40"/>
        <v/>
      </c>
      <c r="AN198" t="str">
        <f t="shared" si="41"/>
        <v/>
      </c>
      <c r="AQ198" t="str">
        <f t="shared" si="42"/>
        <v/>
      </c>
      <c r="AR198" t="str">
        <f t="shared" si="43"/>
        <v/>
      </c>
      <c r="AS198" t="str">
        <f t="shared" si="44"/>
        <v/>
      </c>
      <c r="AT198" t="str">
        <f t="shared" si="45"/>
        <v/>
      </c>
      <c r="BG198" t="str">
        <f t="shared" si="46"/>
        <v/>
      </c>
      <c r="BH198" t="str">
        <f t="shared" si="47"/>
        <v/>
      </c>
      <c r="BL198" t="str">
        <f>IFERROR(INDEX(_names_lookup!$C:$C,MATCH(BK198,_names_lookup!$A:$A,0)),"")</f>
        <v/>
      </c>
      <c r="BM198" t="str">
        <f>IFERROR(INDEX(_names_lookup!$B:$B,MATCH(BK198,_names_lookup!$A:$A,0)),"")</f>
        <v/>
      </c>
      <c r="BS198" t="str">
        <f t="shared" si="48"/>
        <v/>
      </c>
    </row>
    <row r="199" spans="15:71" x14ac:dyDescent="0.2">
      <c r="O199" t="str">
        <f>IFERROR(INDEX(_courses_lookup!$C:$C,MATCH(K199&amp;L199,_courses_lookup!$E:$E,0)),"")</f>
        <v/>
      </c>
      <c r="P199" t="str">
        <f>IFERROR(INDEX(_courses_lookup!$D:$D,MATCH(K199&amp;L199,_courses_lookup!$E:$E,0)),"")</f>
        <v/>
      </c>
      <c r="AG199" t="str">
        <f t="shared" si="38"/>
        <v/>
      </c>
      <c r="AI199" t="str">
        <f t="shared" si="39"/>
        <v/>
      </c>
      <c r="AL199" t="str">
        <f t="shared" si="40"/>
        <v/>
      </c>
      <c r="AN199" t="str">
        <f t="shared" si="41"/>
        <v/>
      </c>
      <c r="AQ199" t="str">
        <f t="shared" si="42"/>
        <v/>
      </c>
      <c r="AR199" t="str">
        <f t="shared" si="43"/>
        <v/>
      </c>
      <c r="AS199" t="str">
        <f t="shared" si="44"/>
        <v/>
      </c>
      <c r="AT199" t="str">
        <f t="shared" si="45"/>
        <v/>
      </c>
      <c r="BG199" t="str">
        <f t="shared" si="46"/>
        <v/>
      </c>
      <c r="BH199" t="str">
        <f t="shared" si="47"/>
        <v/>
      </c>
      <c r="BL199" t="str">
        <f>IFERROR(INDEX(_names_lookup!$C:$C,MATCH(BK199,_names_lookup!$A:$A,0)),"")</f>
        <v/>
      </c>
      <c r="BM199" t="str">
        <f>IFERROR(INDEX(_names_lookup!$B:$B,MATCH(BK199,_names_lookup!$A:$A,0)),"")</f>
        <v/>
      </c>
      <c r="BS199" t="str">
        <f t="shared" si="48"/>
        <v/>
      </c>
    </row>
    <row r="200" spans="15:71" x14ac:dyDescent="0.2">
      <c r="O200" t="str">
        <f>IFERROR(INDEX(_courses_lookup!$C:$C,MATCH(K200&amp;L200,_courses_lookup!$E:$E,0)),"")</f>
        <v/>
      </c>
      <c r="P200" t="str">
        <f>IFERROR(INDEX(_courses_lookup!$D:$D,MATCH(K200&amp;L200,_courses_lookup!$E:$E,0)),"")</f>
        <v/>
      </c>
      <c r="AG200" t="str">
        <f t="shared" si="38"/>
        <v/>
      </c>
      <c r="AI200" t="str">
        <f t="shared" si="39"/>
        <v/>
      </c>
      <c r="AL200" t="str">
        <f t="shared" si="40"/>
        <v/>
      </c>
      <c r="AN200" t="str">
        <f t="shared" si="41"/>
        <v/>
      </c>
      <c r="AQ200" t="str">
        <f t="shared" si="42"/>
        <v/>
      </c>
      <c r="AR200" t="str">
        <f t="shared" si="43"/>
        <v/>
      </c>
      <c r="AS200" t="str">
        <f t="shared" si="44"/>
        <v/>
      </c>
      <c r="AT200" t="str">
        <f t="shared" si="45"/>
        <v/>
      </c>
      <c r="BG200" t="str">
        <f t="shared" si="46"/>
        <v/>
      </c>
      <c r="BH200" t="str">
        <f t="shared" si="47"/>
        <v/>
      </c>
      <c r="BL200" t="str">
        <f>IFERROR(INDEX(_names_lookup!$C:$C,MATCH(BK200,_names_lookup!$A:$A,0)),"")</f>
        <v/>
      </c>
      <c r="BM200" t="str">
        <f>IFERROR(INDEX(_names_lookup!$B:$B,MATCH(BK200,_names_lookup!$A:$A,0)),"")</f>
        <v/>
      </c>
      <c r="BS200" t="str">
        <f t="shared" si="48"/>
        <v/>
      </c>
    </row>
    <row r="201" spans="15:71" x14ac:dyDescent="0.2">
      <c r="O201" t="str">
        <f>IFERROR(INDEX(_courses_lookup!$C:$C,MATCH(K201&amp;L201,_courses_lookup!$E:$E,0)),"")</f>
        <v/>
      </c>
      <c r="P201" t="str">
        <f>IFERROR(INDEX(_courses_lookup!$D:$D,MATCH(K201&amp;L201,_courses_lookup!$E:$E,0)),"")</f>
        <v/>
      </c>
      <c r="AG201" t="str">
        <f t="shared" si="38"/>
        <v/>
      </c>
      <c r="AI201" t="str">
        <f t="shared" si="39"/>
        <v/>
      </c>
      <c r="AL201" t="str">
        <f t="shared" si="40"/>
        <v/>
      </c>
      <c r="AN201" t="str">
        <f t="shared" si="41"/>
        <v/>
      </c>
      <c r="AQ201" t="str">
        <f t="shared" si="42"/>
        <v/>
      </c>
      <c r="AR201" t="str">
        <f t="shared" si="43"/>
        <v/>
      </c>
      <c r="AS201" t="str">
        <f t="shared" si="44"/>
        <v/>
      </c>
      <c r="AT201" t="str">
        <f t="shared" si="45"/>
        <v/>
      </c>
      <c r="BG201" t="str">
        <f t="shared" si="46"/>
        <v/>
      </c>
      <c r="BH201" t="str">
        <f t="shared" si="47"/>
        <v/>
      </c>
      <c r="BL201" t="str">
        <f>IFERROR(INDEX(_names_lookup!$C:$C,MATCH(BK201,_names_lookup!$A:$A,0)),"")</f>
        <v/>
      </c>
      <c r="BM201" t="str">
        <f>IFERROR(INDEX(_names_lookup!$B:$B,MATCH(BK201,_names_lookup!$A:$A,0)),"")</f>
        <v/>
      </c>
      <c r="BS201" t="str">
        <f t="shared" si="48"/>
        <v/>
      </c>
    </row>
    <row r="202" spans="15:71" x14ac:dyDescent="0.2">
      <c r="O202" t="str">
        <f>IFERROR(INDEX(_courses_lookup!$C:$C,MATCH(K202&amp;L202,_courses_lookup!$E:$E,0)),"")</f>
        <v/>
      </c>
      <c r="P202" t="str">
        <f>IFERROR(INDEX(_courses_lookup!$D:$D,MATCH(K202&amp;L202,_courses_lookup!$E:$E,0)),"")</f>
        <v/>
      </c>
      <c r="AG202" t="str">
        <f t="shared" si="38"/>
        <v/>
      </c>
      <c r="AI202" t="str">
        <f t="shared" si="39"/>
        <v/>
      </c>
      <c r="AL202" t="str">
        <f t="shared" si="40"/>
        <v/>
      </c>
      <c r="AN202" t="str">
        <f t="shared" si="41"/>
        <v/>
      </c>
      <c r="AQ202" t="str">
        <f t="shared" si="42"/>
        <v/>
      </c>
      <c r="AR202" t="str">
        <f t="shared" si="43"/>
        <v/>
      </c>
      <c r="AS202" t="str">
        <f t="shared" si="44"/>
        <v/>
      </c>
      <c r="AT202" t="str">
        <f t="shared" si="45"/>
        <v/>
      </c>
      <c r="BG202" t="str">
        <f t="shared" si="46"/>
        <v/>
      </c>
      <c r="BH202" t="str">
        <f t="shared" si="47"/>
        <v/>
      </c>
      <c r="BL202" t="str">
        <f>IFERROR(INDEX(_names_lookup!$C:$C,MATCH(BK202,_names_lookup!$A:$A,0)),"")</f>
        <v/>
      </c>
      <c r="BM202" t="str">
        <f>IFERROR(INDEX(_names_lookup!$B:$B,MATCH(BK202,_names_lookup!$A:$A,0)),"")</f>
        <v/>
      </c>
      <c r="BS202" t="str">
        <f t="shared" si="48"/>
        <v/>
      </c>
    </row>
    <row r="203" spans="15:71" x14ac:dyDescent="0.2">
      <c r="O203" t="str">
        <f>IFERROR(INDEX(_courses_lookup!$C:$C,MATCH(K203&amp;L203,_courses_lookup!$E:$E,0)),"")</f>
        <v/>
      </c>
      <c r="P203" t="str">
        <f>IFERROR(INDEX(_courses_lookup!$D:$D,MATCH(K203&amp;L203,_courses_lookup!$E:$E,0)),"")</f>
        <v/>
      </c>
      <c r="AG203" t="str">
        <f t="shared" si="38"/>
        <v/>
      </c>
      <c r="AI203" t="str">
        <f t="shared" si="39"/>
        <v/>
      </c>
      <c r="AL203" t="str">
        <f t="shared" si="40"/>
        <v/>
      </c>
      <c r="AN203" t="str">
        <f t="shared" si="41"/>
        <v/>
      </c>
      <c r="AQ203" t="str">
        <f t="shared" si="42"/>
        <v/>
      </c>
      <c r="AR203" t="str">
        <f t="shared" si="43"/>
        <v/>
      </c>
      <c r="AS203" t="str">
        <f t="shared" si="44"/>
        <v/>
      </c>
      <c r="AT203" t="str">
        <f t="shared" si="45"/>
        <v/>
      </c>
      <c r="BG203" t="str">
        <f t="shared" si="46"/>
        <v/>
      </c>
      <c r="BH203" t="str">
        <f t="shared" si="47"/>
        <v/>
      </c>
      <c r="BL203" t="str">
        <f>IFERROR(INDEX(_names_lookup!$C:$C,MATCH(BK203,_names_lookup!$A:$A,0)),"")</f>
        <v/>
      </c>
      <c r="BM203" t="str">
        <f>IFERROR(INDEX(_names_lookup!$B:$B,MATCH(BK203,_names_lookup!$A:$A,0)),"")</f>
        <v/>
      </c>
      <c r="BS203" t="str">
        <f t="shared" si="48"/>
        <v/>
      </c>
    </row>
    <row r="204" spans="15:71" x14ac:dyDescent="0.2">
      <c r="O204" t="str">
        <f>IFERROR(INDEX(_courses_lookup!$C:$C,MATCH(K204&amp;L204,_courses_lookup!$E:$E,0)),"")</f>
        <v/>
      </c>
      <c r="P204" t="str">
        <f>IFERROR(INDEX(_courses_lookup!$D:$D,MATCH(K204&amp;L204,_courses_lookup!$E:$E,0)),"")</f>
        <v/>
      </c>
      <c r="AG204" t="str">
        <f t="shared" si="38"/>
        <v/>
      </c>
      <c r="AI204" t="str">
        <f t="shared" si="39"/>
        <v/>
      </c>
      <c r="AL204" t="str">
        <f t="shared" si="40"/>
        <v/>
      </c>
      <c r="AN204" t="str">
        <f t="shared" si="41"/>
        <v/>
      </c>
      <c r="AQ204" t="str">
        <f t="shared" si="42"/>
        <v/>
      </c>
      <c r="AR204" t="str">
        <f t="shared" si="43"/>
        <v/>
      </c>
      <c r="AS204" t="str">
        <f t="shared" si="44"/>
        <v/>
      </c>
      <c r="AT204" t="str">
        <f t="shared" si="45"/>
        <v/>
      </c>
      <c r="BG204" t="str">
        <f t="shared" si="46"/>
        <v/>
      </c>
      <c r="BH204" t="str">
        <f t="shared" si="47"/>
        <v/>
      </c>
      <c r="BL204" t="str">
        <f>IFERROR(INDEX(_names_lookup!$C:$C,MATCH(BK204,_names_lookup!$A:$A,0)),"")</f>
        <v/>
      </c>
      <c r="BM204" t="str">
        <f>IFERROR(INDEX(_names_lookup!$B:$B,MATCH(BK204,_names_lookup!$A:$A,0)),"")</f>
        <v/>
      </c>
      <c r="BS204" t="str">
        <f t="shared" si="48"/>
        <v/>
      </c>
    </row>
    <row r="205" spans="15:71" x14ac:dyDescent="0.2">
      <c r="O205" t="str">
        <f>IFERROR(INDEX(_courses_lookup!$C:$C,MATCH(K205&amp;L205,_courses_lookup!$E:$E,0)),"")</f>
        <v/>
      </c>
      <c r="P205" t="str">
        <f>IFERROR(INDEX(_courses_lookup!$D:$D,MATCH(K205&amp;L205,_courses_lookup!$E:$E,0)),"")</f>
        <v/>
      </c>
      <c r="AG205" t="str">
        <f t="shared" si="38"/>
        <v/>
      </c>
      <c r="AI205" t="str">
        <f t="shared" si="39"/>
        <v/>
      </c>
      <c r="AL205" t="str">
        <f t="shared" si="40"/>
        <v/>
      </c>
      <c r="AN205" t="str">
        <f t="shared" si="41"/>
        <v/>
      </c>
      <c r="AQ205" t="str">
        <f t="shared" si="42"/>
        <v/>
      </c>
      <c r="AR205" t="str">
        <f t="shared" si="43"/>
        <v/>
      </c>
      <c r="AS205" t="str">
        <f t="shared" si="44"/>
        <v/>
      </c>
      <c r="AT205" t="str">
        <f t="shared" si="45"/>
        <v/>
      </c>
      <c r="BG205" t="str">
        <f t="shared" si="46"/>
        <v/>
      </c>
      <c r="BH205" t="str">
        <f t="shared" si="47"/>
        <v/>
      </c>
      <c r="BL205" t="str">
        <f>IFERROR(INDEX(_names_lookup!$C:$C,MATCH(BK205,_names_lookup!$A:$A,0)),"")</f>
        <v/>
      </c>
      <c r="BM205" t="str">
        <f>IFERROR(INDEX(_names_lookup!$B:$B,MATCH(BK205,_names_lookup!$A:$A,0)),"")</f>
        <v/>
      </c>
      <c r="BS205" t="str">
        <f t="shared" si="48"/>
        <v/>
      </c>
    </row>
    <row r="206" spans="15:71" x14ac:dyDescent="0.2">
      <c r="O206" t="str">
        <f>IFERROR(INDEX(_courses_lookup!$C:$C,MATCH(K206&amp;L206,_courses_lookup!$E:$E,0)),"")</f>
        <v/>
      </c>
      <c r="P206" t="str">
        <f>IFERROR(INDEX(_courses_lookup!$D:$D,MATCH(K206&amp;L206,_courses_lookup!$E:$E,0)),"")</f>
        <v/>
      </c>
      <c r="AG206" t="str">
        <f t="shared" si="38"/>
        <v/>
      </c>
      <c r="AI206" t="str">
        <f t="shared" si="39"/>
        <v/>
      </c>
      <c r="AL206" t="str">
        <f t="shared" si="40"/>
        <v/>
      </c>
      <c r="AN206" t="str">
        <f t="shared" si="41"/>
        <v/>
      </c>
      <c r="AQ206" t="str">
        <f t="shared" si="42"/>
        <v/>
      </c>
      <c r="AR206" t="str">
        <f t="shared" si="43"/>
        <v/>
      </c>
      <c r="AS206" t="str">
        <f t="shared" si="44"/>
        <v/>
      </c>
      <c r="AT206" t="str">
        <f t="shared" si="45"/>
        <v/>
      </c>
      <c r="BG206" t="str">
        <f t="shared" si="46"/>
        <v/>
      </c>
      <c r="BH206" t="str">
        <f t="shared" si="47"/>
        <v/>
      </c>
      <c r="BL206" t="str">
        <f>IFERROR(INDEX(_names_lookup!$C:$C,MATCH(BK206,_names_lookup!$A:$A,0)),"")</f>
        <v/>
      </c>
      <c r="BM206" t="str">
        <f>IFERROR(INDEX(_names_lookup!$B:$B,MATCH(BK206,_names_lookup!$A:$A,0)),"")</f>
        <v/>
      </c>
      <c r="BS206" t="str">
        <f t="shared" si="48"/>
        <v/>
      </c>
    </row>
    <row r="207" spans="15:71" x14ac:dyDescent="0.2">
      <c r="O207" t="str">
        <f>IFERROR(INDEX(_courses_lookup!$C:$C,MATCH(K207&amp;L207,_courses_lookup!$E:$E,0)),"")</f>
        <v/>
      </c>
      <c r="P207" t="str">
        <f>IFERROR(INDEX(_courses_lookup!$D:$D,MATCH(K207&amp;L207,_courses_lookup!$E:$E,0)),"")</f>
        <v/>
      </c>
      <c r="AG207" t="str">
        <f t="shared" si="38"/>
        <v/>
      </c>
      <c r="AI207" t="str">
        <f t="shared" si="39"/>
        <v/>
      </c>
      <c r="AL207" t="str">
        <f t="shared" si="40"/>
        <v/>
      </c>
      <c r="AN207" t="str">
        <f t="shared" si="41"/>
        <v/>
      </c>
      <c r="AQ207" t="str">
        <f t="shared" si="42"/>
        <v/>
      </c>
      <c r="AR207" t="str">
        <f t="shared" si="43"/>
        <v/>
      </c>
      <c r="AS207" t="str">
        <f t="shared" si="44"/>
        <v/>
      </c>
      <c r="AT207" t="str">
        <f t="shared" si="45"/>
        <v/>
      </c>
      <c r="BG207" t="str">
        <f t="shared" si="46"/>
        <v/>
      </c>
      <c r="BH207" t="str">
        <f t="shared" si="47"/>
        <v/>
      </c>
      <c r="BL207" t="str">
        <f>IFERROR(INDEX(_names_lookup!$C:$C,MATCH(BK207,_names_lookup!$A:$A,0)),"")</f>
        <v/>
      </c>
      <c r="BM207" t="str">
        <f>IFERROR(INDEX(_names_lookup!$B:$B,MATCH(BK207,_names_lookup!$A:$A,0)),"")</f>
        <v/>
      </c>
      <c r="BS207" t="str">
        <f t="shared" si="48"/>
        <v/>
      </c>
    </row>
    <row r="208" spans="15:71" x14ac:dyDescent="0.2">
      <c r="O208" t="str">
        <f>IFERROR(INDEX(_courses_lookup!$C:$C,MATCH(K208&amp;L208,_courses_lookup!$E:$E,0)),"")</f>
        <v/>
      </c>
      <c r="P208" t="str">
        <f>IFERROR(INDEX(_courses_lookup!$D:$D,MATCH(K208&amp;L208,_courses_lookup!$E:$E,0)),"")</f>
        <v/>
      </c>
      <c r="AG208" t="str">
        <f t="shared" si="38"/>
        <v/>
      </c>
      <c r="AI208" t="str">
        <f t="shared" si="39"/>
        <v/>
      </c>
      <c r="AL208" t="str">
        <f t="shared" si="40"/>
        <v/>
      </c>
      <c r="AN208" t="str">
        <f t="shared" si="41"/>
        <v/>
      </c>
      <c r="AQ208" t="str">
        <f t="shared" si="42"/>
        <v/>
      </c>
      <c r="AR208" t="str">
        <f t="shared" si="43"/>
        <v/>
      </c>
      <c r="AS208" t="str">
        <f t="shared" si="44"/>
        <v/>
      </c>
      <c r="AT208" t="str">
        <f t="shared" si="45"/>
        <v/>
      </c>
      <c r="BG208" t="str">
        <f t="shared" si="46"/>
        <v/>
      </c>
      <c r="BH208" t="str">
        <f t="shared" si="47"/>
        <v/>
      </c>
      <c r="BL208" t="str">
        <f>IFERROR(INDEX(_names_lookup!$C:$C,MATCH(BK208,_names_lookup!$A:$A,0)),"")</f>
        <v/>
      </c>
      <c r="BM208" t="str">
        <f>IFERROR(INDEX(_names_lookup!$B:$B,MATCH(BK208,_names_lookup!$A:$A,0)),"")</f>
        <v/>
      </c>
      <c r="BS208" t="str">
        <f t="shared" si="48"/>
        <v/>
      </c>
    </row>
    <row r="209" spans="15:71" x14ac:dyDescent="0.2">
      <c r="O209" t="str">
        <f>IFERROR(INDEX(_courses_lookup!$C:$C,MATCH(K209&amp;L209,_courses_lookup!$E:$E,0)),"")</f>
        <v/>
      </c>
      <c r="P209" t="str">
        <f>IFERROR(INDEX(_courses_lookup!$D:$D,MATCH(K209&amp;L209,_courses_lookup!$E:$E,0)),"")</f>
        <v/>
      </c>
      <c r="AG209" t="str">
        <f t="shared" si="38"/>
        <v/>
      </c>
      <c r="AI209" t="str">
        <f t="shared" si="39"/>
        <v/>
      </c>
      <c r="AL209" t="str">
        <f t="shared" si="40"/>
        <v/>
      </c>
      <c r="AN209" t="str">
        <f t="shared" si="41"/>
        <v/>
      </c>
      <c r="AQ209" t="str">
        <f t="shared" si="42"/>
        <v/>
      </c>
      <c r="AR209" t="str">
        <f t="shared" si="43"/>
        <v/>
      </c>
      <c r="AS209" t="str">
        <f t="shared" si="44"/>
        <v/>
      </c>
      <c r="AT209" t="str">
        <f t="shared" si="45"/>
        <v/>
      </c>
      <c r="BG209" t="str">
        <f t="shared" si="46"/>
        <v/>
      </c>
      <c r="BH209" t="str">
        <f t="shared" si="47"/>
        <v/>
      </c>
      <c r="BL209" t="str">
        <f>IFERROR(INDEX(_names_lookup!$C:$C,MATCH(BK209,_names_lookup!$A:$A,0)),"")</f>
        <v/>
      </c>
      <c r="BM209" t="str">
        <f>IFERROR(INDEX(_names_lookup!$B:$B,MATCH(BK209,_names_lookup!$A:$A,0)),"")</f>
        <v/>
      </c>
      <c r="BS209" t="str">
        <f t="shared" si="48"/>
        <v/>
      </c>
    </row>
    <row r="210" spans="15:71" x14ac:dyDescent="0.2">
      <c r="O210" t="str">
        <f>IFERROR(INDEX(_courses_lookup!$C:$C,MATCH(K210&amp;L210,_courses_lookup!$E:$E,0)),"")</f>
        <v/>
      </c>
      <c r="P210" t="str">
        <f>IFERROR(INDEX(_courses_lookup!$D:$D,MATCH(K210&amp;L210,_courses_lookup!$E:$E,0)),"")</f>
        <v/>
      </c>
      <c r="AG210" t="str">
        <f t="shared" si="38"/>
        <v/>
      </c>
      <c r="AI210" t="str">
        <f t="shared" si="39"/>
        <v/>
      </c>
      <c r="AL210" t="str">
        <f t="shared" si="40"/>
        <v/>
      </c>
      <c r="AN210" t="str">
        <f t="shared" si="41"/>
        <v/>
      </c>
      <c r="AQ210" t="str">
        <f t="shared" si="42"/>
        <v/>
      </c>
      <c r="AR210" t="str">
        <f t="shared" si="43"/>
        <v/>
      </c>
      <c r="AS210" t="str">
        <f t="shared" si="44"/>
        <v/>
      </c>
      <c r="AT210" t="str">
        <f t="shared" si="45"/>
        <v/>
      </c>
      <c r="BG210" t="str">
        <f t="shared" si="46"/>
        <v/>
      </c>
      <c r="BH210" t="str">
        <f t="shared" si="47"/>
        <v/>
      </c>
      <c r="BL210" t="str">
        <f>IFERROR(INDEX(_names_lookup!$C:$C,MATCH(BK210,_names_lookup!$A:$A,0)),"")</f>
        <v/>
      </c>
      <c r="BM210" t="str">
        <f>IFERROR(INDEX(_names_lookup!$B:$B,MATCH(BK210,_names_lookup!$A:$A,0)),"")</f>
        <v/>
      </c>
      <c r="BS210" t="str">
        <f t="shared" si="48"/>
        <v/>
      </c>
    </row>
    <row r="211" spans="15:71" x14ac:dyDescent="0.2">
      <c r="O211" t="str">
        <f>IFERROR(INDEX(_courses_lookup!$C:$C,MATCH(K211&amp;L211,_courses_lookup!$E:$E,0)),"")</f>
        <v/>
      </c>
      <c r="P211" t="str">
        <f>IFERROR(INDEX(_courses_lookup!$D:$D,MATCH(K211&amp;L211,_courses_lookup!$E:$E,0)),"")</f>
        <v/>
      </c>
      <c r="AG211" t="str">
        <f t="shared" si="38"/>
        <v/>
      </c>
      <c r="AI211" t="str">
        <f t="shared" si="39"/>
        <v/>
      </c>
      <c r="AL211" t="str">
        <f t="shared" si="40"/>
        <v/>
      </c>
      <c r="AN211" t="str">
        <f t="shared" si="41"/>
        <v/>
      </c>
      <c r="AQ211" t="str">
        <f t="shared" si="42"/>
        <v/>
      </c>
      <c r="AR211" t="str">
        <f t="shared" si="43"/>
        <v/>
      </c>
      <c r="AS211" t="str">
        <f t="shared" si="44"/>
        <v/>
      </c>
      <c r="AT211" t="str">
        <f t="shared" si="45"/>
        <v/>
      </c>
      <c r="BG211" t="str">
        <f t="shared" si="46"/>
        <v/>
      </c>
      <c r="BH211" t="str">
        <f t="shared" si="47"/>
        <v/>
      </c>
      <c r="BL211" t="str">
        <f>IFERROR(INDEX(_names_lookup!$C:$C,MATCH(BK211,_names_lookup!$A:$A,0)),"")</f>
        <v/>
      </c>
      <c r="BM211" t="str">
        <f>IFERROR(INDEX(_names_lookup!$B:$B,MATCH(BK211,_names_lookup!$A:$A,0)),"")</f>
        <v/>
      </c>
      <c r="BS211" t="str">
        <f t="shared" si="48"/>
        <v/>
      </c>
    </row>
    <row r="212" spans="15:71" x14ac:dyDescent="0.2">
      <c r="O212" t="str">
        <f>IFERROR(INDEX(_courses_lookup!$C:$C,MATCH(K212&amp;L212,_courses_lookup!$E:$E,0)),"")</f>
        <v/>
      </c>
      <c r="P212" t="str">
        <f>IFERROR(INDEX(_courses_lookup!$D:$D,MATCH(K212&amp;L212,_courses_lookup!$E:$E,0)),"")</f>
        <v/>
      </c>
      <c r="AG212" t="str">
        <f t="shared" si="38"/>
        <v/>
      </c>
      <c r="AI212" t="str">
        <f t="shared" si="39"/>
        <v/>
      </c>
      <c r="AL212" t="str">
        <f t="shared" si="40"/>
        <v/>
      </c>
      <c r="AN212" t="str">
        <f t="shared" si="41"/>
        <v/>
      </c>
      <c r="AQ212" t="str">
        <f t="shared" si="42"/>
        <v/>
      </c>
      <c r="AR212" t="str">
        <f t="shared" si="43"/>
        <v/>
      </c>
      <c r="AS212" t="str">
        <f t="shared" si="44"/>
        <v/>
      </c>
      <c r="AT212" t="str">
        <f t="shared" si="45"/>
        <v/>
      </c>
      <c r="BG212" t="str">
        <f t="shared" si="46"/>
        <v/>
      </c>
      <c r="BH212" t="str">
        <f t="shared" si="47"/>
        <v/>
      </c>
      <c r="BL212" t="str">
        <f>IFERROR(INDEX(_names_lookup!$C:$C,MATCH(BK212,_names_lookup!$A:$A,0)),"")</f>
        <v/>
      </c>
      <c r="BM212" t="str">
        <f>IFERROR(INDEX(_names_lookup!$B:$B,MATCH(BK212,_names_lookup!$A:$A,0)),"")</f>
        <v/>
      </c>
      <c r="BS212" t="str">
        <f t="shared" si="48"/>
        <v/>
      </c>
    </row>
    <row r="213" spans="15:71" x14ac:dyDescent="0.2">
      <c r="O213" t="str">
        <f>IFERROR(INDEX(_courses_lookup!$C:$C,MATCH(K213&amp;L213,_courses_lookup!$E:$E,0)),"")</f>
        <v/>
      </c>
      <c r="P213" t="str">
        <f>IFERROR(INDEX(_courses_lookup!$D:$D,MATCH(K213&amp;L213,_courses_lookup!$E:$E,0)),"")</f>
        <v/>
      </c>
      <c r="AG213" t="str">
        <f t="shared" si="38"/>
        <v/>
      </c>
      <c r="AI213" t="str">
        <f t="shared" si="39"/>
        <v/>
      </c>
      <c r="AL213" t="str">
        <f t="shared" si="40"/>
        <v/>
      </c>
      <c r="AN213" t="str">
        <f t="shared" si="41"/>
        <v/>
      </c>
      <c r="AQ213" t="str">
        <f t="shared" si="42"/>
        <v/>
      </c>
      <c r="AR213" t="str">
        <f t="shared" si="43"/>
        <v/>
      </c>
      <c r="AS213" t="str">
        <f t="shared" si="44"/>
        <v/>
      </c>
      <c r="AT213" t="str">
        <f t="shared" si="45"/>
        <v/>
      </c>
      <c r="BG213" t="str">
        <f t="shared" si="46"/>
        <v/>
      </c>
      <c r="BH213" t="str">
        <f t="shared" si="47"/>
        <v/>
      </c>
      <c r="BL213" t="str">
        <f>IFERROR(INDEX(_names_lookup!$C:$C,MATCH(BK213,_names_lookup!$A:$A,0)),"")</f>
        <v/>
      </c>
      <c r="BM213" t="str">
        <f>IFERROR(INDEX(_names_lookup!$B:$B,MATCH(BK213,_names_lookup!$A:$A,0)),"")</f>
        <v/>
      </c>
      <c r="BS213" t="str">
        <f t="shared" si="48"/>
        <v/>
      </c>
    </row>
    <row r="214" spans="15:71" x14ac:dyDescent="0.2">
      <c r="O214" t="str">
        <f>IFERROR(INDEX(_courses_lookup!$C:$C,MATCH(K214&amp;L214,_courses_lookup!$E:$E,0)),"")</f>
        <v/>
      </c>
      <c r="P214" t="str">
        <f>IFERROR(INDEX(_courses_lookup!$D:$D,MATCH(K214&amp;L214,_courses_lookup!$E:$E,0)),"")</f>
        <v/>
      </c>
      <c r="AG214" t="str">
        <f t="shared" si="38"/>
        <v/>
      </c>
      <c r="AI214" t="str">
        <f t="shared" si="39"/>
        <v/>
      </c>
      <c r="AL214" t="str">
        <f t="shared" si="40"/>
        <v/>
      </c>
      <c r="AN214" t="str">
        <f t="shared" si="41"/>
        <v/>
      </c>
      <c r="AQ214" t="str">
        <f t="shared" si="42"/>
        <v/>
      </c>
      <c r="AR214" t="str">
        <f t="shared" si="43"/>
        <v/>
      </c>
      <c r="AS214" t="str">
        <f t="shared" si="44"/>
        <v/>
      </c>
      <c r="AT214" t="str">
        <f t="shared" si="45"/>
        <v/>
      </c>
      <c r="BG214" t="str">
        <f t="shared" si="46"/>
        <v/>
      </c>
      <c r="BH214" t="str">
        <f t="shared" si="47"/>
        <v/>
      </c>
      <c r="BL214" t="str">
        <f>IFERROR(INDEX(_names_lookup!$C:$C,MATCH(BK214,_names_lookup!$A:$A,0)),"")</f>
        <v/>
      </c>
      <c r="BM214" t="str">
        <f>IFERROR(INDEX(_names_lookup!$B:$B,MATCH(BK214,_names_lookup!$A:$A,0)),"")</f>
        <v/>
      </c>
      <c r="BS214" t="str">
        <f t="shared" si="48"/>
        <v/>
      </c>
    </row>
    <row r="215" spans="15:71" x14ac:dyDescent="0.2">
      <c r="O215" t="str">
        <f>IFERROR(INDEX(_courses_lookup!$C:$C,MATCH(K215&amp;L215,_courses_lookup!$E:$E,0)),"")</f>
        <v/>
      </c>
      <c r="P215" t="str">
        <f>IFERROR(INDEX(_courses_lookup!$D:$D,MATCH(K215&amp;L215,_courses_lookup!$E:$E,0)),"")</f>
        <v/>
      </c>
      <c r="AG215" t="str">
        <f t="shared" si="38"/>
        <v/>
      </c>
      <c r="AI215" t="str">
        <f t="shared" si="39"/>
        <v/>
      </c>
      <c r="AL215" t="str">
        <f t="shared" si="40"/>
        <v/>
      </c>
      <c r="AN215" t="str">
        <f t="shared" si="41"/>
        <v/>
      </c>
      <c r="AQ215" t="str">
        <f t="shared" si="42"/>
        <v/>
      </c>
      <c r="AR215" t="str">
        <f t="shared" si="43"/>
        <v/>
      </c>
      <c r="AS215" t="str">
        <f t="shared" si="44"/>
        <v/>
      </c>
      <c r="AT215" t="str">
        <f t="shared" si="45"/>
        <v/>
      </c>
      <c r="BG215" t="str">
        <f t="shared" si="46"/>
        <v/>
      </c>
      <c r="BH215" t="str">
        <f t="shared" si="47"/>
        <v/>
      </c>
      <c r="BL215" t="str">
        <f>IFERROR(INDEX(_names_lookup!$C:$C,MATCH(BK215,_names_lookup!$A:$A,0)),"")</f>
        <v/>
      </c>
      <c r="BM215" t="str">
        <f>IFERROR(INDEX(_names_lookup!$B:$B,MATCH(BK215,_names_lookup!$A:$A,0)),"")</f>
        <v/>
      </c>
      <c r="BS215" t="str">
        <f t="shared" si="48"/>
        <v/>
      </c>
    </row>
    <row r="216" spans="15:71" x14ac:dyDescent="0.2">
      <c r="O216" t="str">
        <f>IFERROR(INDEX(_courses_lookup!$C:$C,MATCH(K216&amp;L216,_courses_lookup!$E:$E,0)),"")</f>
        <v/>
      </c>
      <c r="P216" t="str">
        <f>IFERROR(INDEX(_courses_lookup!$D:$D,MATCH(K216&amp;L216,_courses_lookup!$E:$E,0)),"")</f>
        <v/>
      </c>
      <c r="AG216" t="str">
        <f t="shared" si="38"/>
        <v/>
      </c>
      <c r="AI216" t="str">
        <f t="shared" si="39"/>
        <v/>
      </c>
      <c r="AL216" t="str">
        <f t="shared" si="40"/>
        <v/>
      </c>
      <c r="AN216" t="str">
        <f t="shared" si="41"/>
        <v/>
      </c>
      <c r="AQ216" t="str">
        <f t="shared" si="42"/>
        <v/>
      </c>
      <c r="AR216" t="str">
        <f t="shared" si="43"/>
        <v/>
      </c>
      <c r="AS216" t="str">
        <f t="shared" si="44"/>
        <v/>
      </c>
      <c r="AT216" t="str">
        <f t="shared" si="45"/>
        <v/>
      </c>
      <c r="BG216" t="str">
        <f t="shared" si="46"/>
        <v/>
      </c>
      <c r="BH216" t="str">
        <f t="shared" si="47"/>
        <v/>
      </c>
      <c r="BL216" t="str">
        <f>IFERROR(INDEX(_names_lookup!$C:$C,MATCH(BK216,_names_lookup!$A:$A,0)),"")</f>
        <v/>
      </c>
      <c r="BM216" t="str">
        <f>IFERROR(INDEX(_names_lookup!$B:$B,MATCH(BK216,_names_lookup!$A:$A,0)),"")</f>
        <v/>
      </c>
      <c r="BS216" t="str">
        <f t="shared" si="48"/>
        <v/>
      </c>
    </row>
    <row r="217" spans="15:71" x14ac:dyDescent="0.2">
      <c r="O217" t="str">
        <f>IFERROR(INDEX(_courses_lookup!$C:$C,MATCH(K217&amp;L217,_courses_lookup!$E:$E,0)),"")</f>
        <v/>
      </c>
      <c r="P217" t="str">
        <f>IFERROR(INDEX(_courses_lookup!$D:$D,MATCH(K217&amp;L217,_courses_lookup!$E:$E,0)),"")</f>
        <v/>
      </c>
      <c r="AG217" t="str">
        <f t="shared" si="38"/>
        <v/>
      </c>
      <c r="AI217" t="str">
        <f t="shared" si="39"/>
        <v/>
      </c>
      <c r="AL217" t="str">
        <f t="shared" si="40"/>
        <v/>
      </c>
      <c r="AN217" t="str">
        <f t="shared" si="41"/>
        <v/>
      </c>
      <c r="AQ217" t="str">
        <f t="shared" si="42"/>
        <v/>
      </c>
      <c r="AR217" t="str">
        <f t="shared" si="43"/>
        <v/>
      </c>
      <c r="AS217" t="str">
        <f t="shared" si="44"/>
        <v/>
      </c>
      <c r="AT217" t="str">
        <f t="shared" si="45"/>
        <v/>
      </c>
      <c r="BG217" t="str">
        <f t="shared" si="46"/>
        <v/>
      </c>
      <c r="BH217" t="str">
        <f t="shared" si="47"/>
        <v/>
      </c>
      <c r="BL217" t="str">
        <f>IFERROR(INDEX(_names_lookup!$C:$C,MATCH(BK217,_names_lookup!$A:$A,0)),"")</f>
        <v/>
      </c>
      <c r="BM217" t="str">
        <f>IFERROR(INDEX(_names_lookup!$B:$B,MATCH(BK217,_names_lookup!$A:$A,0)),"")</f>
        <v/>
      </c>
      <c r="BS217" t="str">
        <f t="shared" si="48"/>
        <v/>
      </c>
    </row>
    <row r="218" spans="15:71" x14ac:dyDescent="0.2">
      <c r="O218" t="str">
        <f>IFERROR(INDEX(_courses_lookup!$C:$C,MATCH(K218&amp;L218,_courses_lookup!$E:$E,0)),"")</f>
        <v/>
      </c>
      <c r="P218" t="str">
        <f>IFERROR(INDEX(_courses_lookup!$D:$D,MATCH(K218&amp;L218,_courses_lookup!$E:$E,0)),"")</f>
        <v/>
      </c>
      <c r="AG218" t="str">
        <f t="shared" si="38"/>
        <v/>
      </c>
      <c r="AI218" t="str">
        <f t="shared" si="39"/>
        <v/>
      </c>
      <c r="AL218" t="str">
        <f t="shared" si="40"/>
        <v/>
      </c>
      <c r="AN218" t="str">
        <f t="shared" si="41"/>
        <v/>
      </c>
      <c r="AQ218" t="str">
        <f t="shared" si="42"/>
        <v/>
      </c>
      <c r="AR218" t="str">
        <f t="shared" si="43"/>
        <v/>
      </c>
      <c r="AS218" t="str">
        <f t="shared" si="44"/>
        <v/>
      </c>
      <c r="AT218" t="str">
        <f t="shared" si="45"/>
        <v/>
      </c>
      <c r="BG218" t="str">
        <f t="shared" si="46"/>
        <v/>
      </c>
      <c r="BH218" t="str">
        <f t="shared" si="47"/>
        <v/>
      </c>
      <c r="BL218" t="str">
        <f>IFERROR(INDEX(_names_lookup!$C:$C,MATCH(BK218,_names_lookup!$A:$A,0)),"")</f>
        <v/>
      </c>
      <c r="BM218" t="str">
        <f>IFERROR(INDEX(_names_lookup!$B:$B,MATCH(BK218,_names_lookup!$A:$A,0)),"")</f>
        <v/>
      </c>
      <c r="BS218" t="str">
        <f t="shared" si="48"/>
        <v/>
      </c>
    </row>
    <row r="219" spans="15:71" x14ac:dyDescent="0.2">
      <c r="O219" t="str">
        <f>IFERROR(INDEX(_courses_lookup!$C:$C,MATCH(K219&amp;L219,_courses_lookup!$E:$E,0)),"")</f>
        <v/>
      </c>
      <c r="P219" t="str">
        <f>IFERROR(INDEX(_courses_lookup!$D:$D,MATCH(K219&amp;L219,_courses_lookup!$E:$E,0)),"")</f>
        <v/>
      </c>
      <c r="AG219" t="str">
        <f t="shared" si="38"/>
        <v/>
      </c>
      <c r="AI219" t="str">
        <f t="shared" si="39"/>
        <v/>
      </c>
      <c r="AL219" t="str">
        <f t="shared" si="40"/>
        <v/>
      </c>
      <c r="AN219" t="str">
        <f t="shared" si="41"/>
        <v/>
      </c>
      <c r="AQ219" t="str">
        <f t="shared" si="42"/>
        <v/>
      </c>
      <c r="AR219" t="str">
        <f t="shared" si="43"/>
        <v/>
      </c>
      <c r="AS219" t="str">
        <f t="shared" si="44"/>
        <v/>
      </c>
      <c r="AT219" t="str">
        <f t="shared" si="45"/>
        <v/>
      </c>
      <c r="BG219" t="str">
        <f t="shared" si="46"/>
        <v/>
      </c>
      <c r="BH219" t="str">
        <f t="shared" si="47"/>
        <v/>
      </c>
      <c r="BL219" t="str">
        <f>IFERROR(INDEX(_names_lookup!$C:$C,MATCH(BK219,_names_lookup!$A:$A,0)),"")</f>
        <v/>
      </c>
      <c r="BM219" t="str">
        <f>IFERROR(INDEX(_names_lookup!$B:$B,MATCH(BK219,_names_lookup!$A:$A,0)),"")</f>
        <v/>
      </c>
      <c r="BS219" t="str">
        <f t="shared" si="48"/>
        <v/>
      </c>
    </row>
    <row r="220" spans="15:71" x14ac:dyDescent="0.2">
      <c r="O220" t="str">
        <f>IFERROR(INDEX(_courses_lookup!$C:$C,MATCH(K220&amp;L220,_courses_lookup!$E:$E,0)),"")</f>
        <v/>
      </c>
      <c r="P220" t="str">
        <f>IFERROR(INDEX(_courses_lookup!$D:$D,MATCH(K220&amp;L220,_courses_lookup!$E:$E,0)),"")</f>
        <v/>
      </c>
      <c r="AG220" t="str">
        <f t="shared" si="38"/>
        <v/>
      </c>
      <c r="AI220" t="str">
        <f t="shared" si="39"/>
        <v/>
      </c>
      <c r="AL220" t="str">
        <f t="shared" si="40"/>
        <v/>
      </c>
      <c r="AN220" t="str">
        <f t="shared" si="41"/>
        <v/>
      </c>
      <c r="AQ220" t="str">
        <f t="shared" si="42"/>
        <v/>
      </c>
      <c r="AR220" t="str">
        <f t="shared" si="43"/>
        <v/>
      </c>
      <c r="AS220" t="str">
        <f t="shared" si="44"/>
        <v/>
      </c>
      <c r="AT220" t="str">
        <f t="shared" si="45"/>
        <v/>
      </c>
      <c r="BG220" t="str">
        <f t="shared" si="46"/>
        <v/>
      </c>
      <c r="BH220" t="str">
        <f t="shared" si="47"/>
        <v/>
      </c>
      <c r="BL220" t="str">
        <f>IFERROR(INDEX(_names_lookup!$C:$C,MATCH(BK220,_names_lookup!$A:$A,0)),"")</f>
        <v/>
      </c>
      <c r="BM220" t="str">
        <f>IFERROR(INDEX(_names_lookup!$B:$B,MATCH(BK220,_names_lookup!$A:$A,0)),"")</f>
        <v/>
      </c>
      <c r="BS220" t="str">
        <f t="shared" si="48"/>
        <v/>
      </c>
    </row>
    <row r="221" spans="15:71" x14ac:dyDescent="0.2">
      <c r="O221" t="str">
        <f>IFERROR(INDEX(_courses_lookup!$C:$C,MATCH(K221&amp;L221,_courses_lookup!$E:$E,0)),"")</f>
        <v/>
      </c>
      <c r="P221" t="str">
        <f>IFERROR(INDEX(_courses_lookup!$D:$D,MATCH(K221&amp;L221,_courses_lookup!$E:$E,0)),"")</f>
        <v/>
      </c>
      <c r="AG221" t="str">
        <f t="shared" si="38"/>
        <v/>
      </c>
      <c r="AI221" t="str">
        <f t="shared" si="39"/>
        <v/>
      </c>
      <c r="AL221" t="str">
        <f t="shared" si="40"/>
        <v/>
      </c>
      <c r="AN221" t="str">
        <f t="shared" si="41"/>
        <v/>
      </c>
      <c r="AQ221" t="str">
        <f t="shared" si="42"/>
        <v/>
      </c>
      <c r="AR221" t="str">
        <f t="shared" si="43"/>
        <v/>
      </c>
      <c r="AS221" t="str">
        <f t="shared" si="44"/>
        <v/>
      </c>
      <c r="AT221" t="str">
        <f t="shared" si="45"/>
        <v/>
      </c>
      <c r="BG221" t="str">
        <f t="shared" si="46"/>
        <v/>
      </c>
      <c r="BH221" t="str">
        <f t="shared" si="47"/>
        <v/>
      </c>
      <c r="BL221" t="str">
        <f>IFERROR(INDEX(_names_lookup!$C:$C,MATCH(BK221,_names_lookup!$A:$A,0)),"")</f>
        <v/>
      </c>
      <c r="BM221" t="str">
        <f>IFERROR(INDEX(_names_lookup!$B:$B,MATCH(BK221,_names_lookup!$A:$A,0)),"")</f>
        <v/>
      </c>
      <c r="BS221" t="str">
        <f t="shared" si="48"/>
        <v/>
      </c>
    </row>
    <row r="222" spans="15:71" x14ac:dyDescent="0.2">
      <c r="O222" t="str">
        <f>IFERROR(INDEX(_courses_lookup!$C:$C,MATCH(K222&amp;L222,_courses_lookup!$E:$E,0)),"")</f>
        <v/>
      </c>
      <c r="P222" t="str">
        <f>IFERROR(INDEX(_courses_lookup!$D:$D,MATCH(K222&amp;L222,_courses_lookup!$E:$E,0)),"")</f>
        <v/>
      </c>
      <c r="AG222" t="str">
        <f t="shared" si="38"/>
        <v/>
      </c>
      <c r="AI222" t="str">
        <f t="shared" si="39"/>
        <v/>
      </c>
      <c r="AL222" t="str">
        <f t="shared" si="40"/>
        <v/>
      </c>
      <c r="AN222" t="str">
        <f t="shared" si="41"/>
        <v/>
      </c>
      <c r="AQ222" t="str">
        <f t="shared" si="42"/>
        <v/>
      </c>
      <c r="AR222" t="str">
        <f t="shared" si="43"/>
        <v/>
      </c>
      <c r="AS222" t="str">
        <f t="shared" si="44"/>
        <v/>
      </c>
      <c r="AT222" t="str">
        <f t="shared" si="45"/>
        <v/>
      </c>
      <c r="BG222" t="str">
        <f t="shared" si="46"/>
        <v/>
      </c>
      <c r="BH222" t="str">
        <f t="shared" si="47"/>
        <v/>
      </c>
      <c r="BL222" t="str">
        <f>IFERROR(INDEX(_names_lookup!$C:$C,MATCH(BK222,_names_lookup!$A:$A,0)),"")</f>
        <v/>
      </c>
      <c r="BM222" t="str">
        <f>IFERROR(INDEX(_names_lookup!$B:$B,MATCH(BK222,_names_lookup!$A:$A,0)),"")</f>
        <v/>
      </c>
      <c r="BS222" t="str">
        <f t="shared" si="48"/>
        <v/>
      </c>
    </row>
    <row r="223" spans="15:71" x14ac:dyDescent="0.2">
      <c r="O223" t="str">
        <f>IFERROR(INDEX(_courses_lookup!$C:$C,MATCH(K223&amp;L223,_courses_lookup!$E:$E,0)),"")</f>
        <v/>
      </c>
      <c r="P223" t="str">
        <f>IFERROR(INDEX(_courses_lookup!$D:$D,MATCH(K223&amp;L223,_courses_lookup!$E:$E,0)),"")</f>
        <v/>
      </c>
      <c r="AG223" t="str">
        <f t="shared" si="38"/>
        <v/>
      </c>
      <c r="AI223" t="str">
        <f t="shared" si="39"/>
        <v/>
      </c>
      <c r="AL223" t="str">
        <f t="shared" si="40"/>
        <v/>
      </c>
      <c r="AN223" t="str">
        <f t="shared" si="41"/>
        <v/>
      </c>
      <c r="AQ223" t="str">
        <f t="shared" si="42"/>
        <v/>
      </c>
      <c r="AR223" t="str">
        <f t="shared" si="43"/>
        <v/>
      </c>
      <c r="AS223" t="str">
        <f t="shared" si="44"/>
        <v/>
      </c>
      <c r="AT223" t="str">
        <f t="shared" si="45"/>
        <v/>
      </c>
      <c r="BG223" t="str">
        <f t="shared" si="46"/>
        <v/>
      </c>
      <c r="BH223" t="str">
        <f t="shared" si="47"/>
        <v/>
      </c>
      <c r="BL223" t="str">
        <f>IFERROR(INDEX(_names_lookup!$C:$C,MATCH(BK223,_names_lookup!$A:$A,0)),"")</f>
        <v/>
      </c>
      <c r="BM223" t="str">
        <f>IFERROR(INDEX(_names_lookup!$B:$B,MATCH(BK223,_names_lookup!$A:$A,0)),"")</f>
        <v/>
      </c>
      <c r="BS223" t="str">
        <f t="shared" si="48"/>
        <v/>
      </c>
    </row>
    <row r="224" spans="15:71" x14ac:dyDescent="0.2">
      <c r="O224" t="str">
        <f>IFERROR(INDEX(_courses_lookup!$C:$C,MATCH(K224&amp;L224,_courses_lookup!$E:$E,0)),"")</f>
        <v/>
      </c>
      <c r="P224" t="str">
        <f>IFERROR(INDEX(_courses_lookup!$D:$D,MATCH(K224&amp;L224,_courses_lookup!$E:$E,0)),"")</f>
        <v/>
      </c>
      <c r="AG224" t="str">
        <f t="shared" si="38"/>
        <v/>
      </c>
      <c r="AI224" t="str">
        <f t="shared" si="39"/>
        <v/>
      </c>
      <c r="AL224" t="str">
        <f t="shared" si="40"/>
        <v/>
      </c>
      <c r="AN224" t="str">
        <f t="shared" si="41"/>
        <v/>
      </c>
      <c r="AQ224" t="str">
        <f t="shared" si="42"/>
        <v/>
      </c>
      <c r="AR224" t="str">
        <f t="shared" si="43"/>
        <v/>
      </c>
      <c r="AS224" t="str">
        <f t="shared" si="44"/>
        <v/>
      </c>
      <c r="AT224" t="str">
        <f t="shared" si="45"/>
        <v/>
      </c>
      <c r="BG224" t="str">
        <f t="shared" si="46"/>
        <v/>
      </c>
      <c r="BH224" t="str">
        <f t="shared" si="47"/>
        <v/>
      </c>
      <c r="BL224" t="str">
        <f>IFERROR(INDEX(_names_lookup!$C:$C,MATCH(BK224,_names_lookup!$A:$A,0)),"")</f>
        <v/>
      </c>
      <c r="BM224" t="str">
        <f>IFERROR(INDEX(_names_lookup!$B:$B,MATCH(BK224,_names_lookup!$A:$A,0)),"")</f>
        <v/>
      </c>
      <c r="BS224" t="str">
        <f t="shared" si="48"/>
        <v/>
      </c>
    </row>
    <row r="225" spans="15:71" x14ac:dyDescent="0.2">
      <c r="O225" t="str">
        <f>IFERROR(INDEX(_courses_lookup!$C:$C,MATCH(K225&amp;L225,_courses_lookup!$E:$E,0)),"")</f>
        <v/>
      </c>
      <c r="P225" t="str">
        <f>IFERROR(INDEX(_courses_lookup!$D:$D,MATCH(K225&amp;L225,_courses_lookup!$E:$E,0)),"")</f>
        <v/>
      </c>
      <c r="AG225" t="str">
        <f t="shared" si="38"/>
        <v/>
      </c>
      <c r="AI225" t="str">
        <f t="shared" si="39"/>
        <v/>
      </c>
      <c r="AL225" t="str">
        <f t="shared" si="40"/>
        <v/>
      </c>
      <c r="AN225" t="str">
        <f t="shared" si="41"/>
        <v/>
      </c>
      <c r="AQ225" t="str">
        <f t="shared" si="42"/>
        <v/>
      </c>
      <c r="AR225" t="str">
        <f t="shared" si="43"/>
        <v/>
      </c>
      <c r="AS225" t="str">
        <f t="shared" si="44"/>
        <v/>
      </c>
      <c r="AT225" t="str">
        <f t="shared" si="45"/>
        <v/>
      </c>
      <c r="BG225" t="str">
        <f t="shared" si="46"/>
        <v/>
      </c>
      <c r="BH225" t="str">
        <f t="shared" si="47"/>
        <v/>
      </c>
      <c r="BL225" t="str">
        <f>IFERROR(INDEX(_names_lookup!$C:$C,MATCH(BK225,_names_lookup!$A:$A,0)),"")</f>
        <v/>
      </c>
      <c r="BM225" t="str">
        <f>IFERROR(INDEX(_names_lookup!$B:$B,MATCH(BK225,_names_lookup!$A:$A,0)),"")</f>
        <v/>
      </c>
      <c r="BS225" t="str">
        <f t="shared" si="48"/>
        <v/>
      </c>
    </row>
    <row r="226" spans="15:71" x14ac:dyDescent="0.2">
      <c r="O226" t="str">
        <f>IFERROR(INDEX(_courses_lookup!$C:$C,MATCH(K226&amp;L226,_courses_lookup!$E:$E,0)),"")</f>
        <v/>
      </c>
      <c r="P226" t="str">
        <f>IFERROR(INDEX(_courses_lookup!$D:$D,MATCH(K226&amp;L226,_courses_lookup!$E:$E,0)),"")</f>
        <v/>
      </c>
      <c r="AG226" t="str">
        <f t="shared" si="38"/>
        <v/>
      </c>
      <c r="AI226" t="str">
        <f t="shared" si="39"/>
        <v/>
      </c>
      <c r="AL226" t="str">
        <f t="shared" si="40"/>
        <v/>
      </c>
      <c r="AN226" t="str">
        <f t="shared" si="41"/>
        <v/>
      </c>
      <c r="AQ226" t="str">
        <f t="shared" si="42"/>
        <v/>
      </c>
      <c r="AR226" t="str">
        <f t="shared" si="43"/>
        <v/>
      </c>
      <c r="AS226" t="str">
        <f t="shared" si="44"/>
        <v/>
      </c>
      <c r="AT226" t="str">
        <f t="shared" si="45"/>
        <v/>
      </c>
      <c r="BG226" t="str">
        <f t="shared" si="46"/>
        <v/>
      </c>
      <c r="BH226" t="str">
        <f t="shared" si="47"/>
        <v/>
      </c>
      <c r="BL226" t="str">
        <f>IFERROR(INDEX(_names_lookup!$C:$C,MATCH(BK226,_names_lookup!$A:$A,0)),"")</f>
        <v/>
      </c>
      <c r="BM226" t="str">
        <f>IFERROR(INDEX(_names_lookup!$B:$B,MATCH(BK226,_names_lookup!$A:$A,0)),"")</f>
        <v/>
      </c>
      <c r="BS226" t="str">
        <f t="shared" si="48"/>
        <v/>
      </c>
    </row>
    <row r="227" spans="15:71" x14ac:dyDescent="0.2">
      <c r="O227" t="str">
        <f>IFERROR(INDEX(_courses_lookup!$C:$C,MATCH(K227&amp;L227,_courses_lookup!$E:$E,0)),"")</f>
        <v/>
      </c>
      <c r="P227" t="str">
        <f>IFERROR(INDEX(_courses_lookup!$D:$D,MATCH(K227&amp;L227,_courses_lookup!$E:$E,0)),"")</f>
        <v/>
      </c>
      <c r="AG227" t="str">
        <f t="shared" si="38"/>
        <v/>
      </c>
      <c r="AI227" t="str">
        <f t="shared" si="39"/>
        <v/>
      </c>
      <c r="AL227" t="str">
        <f t="shared" si="40"/>
        <v/>
      </c>
      <c r="AN227" t="str">
        <f t="shared" si="41"/>
        <v/>
      </c>
      <c r="AQ227" t="str">
        <f t="shared" si="42"/>
        <v/>
      </c>
      <c r="AR227" t="str">
        <f t="shared" si="43"/>
        <v/>
      </c>
      <c r="AS227" t="str">
        <f t="shared" si="44"/>
        <v/>
      </c>
      <c r="AT227" t="str">
        <f t="shared" si="45"/>
        <v/>
      </c>
      <c r="BG227" t="str">
        <f t="shared" si="46"/>
        <v/>
      </c>
      <c r="BH227" t="str">
        <f t="shared" si="47"/>
        <v/>
      </c>
      <c r="BL227" t="str">
        <f>IFERROR(INDEX(_names_lookup!$C:$C,MATCH(BK227,_names_lookup!$A:$A,0)),"")</f>
        <v/>
      </c>
      <c r="BM227" t="str">
        <f>IFERROR(INDEX(_names_lookup!$B:$B,MATCH(BK227,_names_lookup!$A:$A,0)),"")</f>
        <v/>
      </c>
      <c r="BS227" t="str">
        <f t="shared" si="48"/>
        <v/>
      </c>
    </row>
    <row r="228" spans="15:71" x14ac:dyDescent="0.2">
      <c r="O228" t="str">
        <f>IFERROR(INDEX(_courses_lookup!$C:$C,MATCH(K228&amp;L228,_courses_lookup!$E:$E,0)),"")</f>
        <v/>
      </c>
      <c r="P228" t="str">
        <f>IFERROR(INDEX(_courses_lookup!$D:$D,MATCH(K228&amp;L228,_courses_lookup!$E:$E,0)),"")</f>
        <v/>
      </c>
      <c r="AG228" t="str">
        <f t="shared" si="38"/>
        <v/>
      </c>
      <c r="AI228" t="str">
        <f t="shared" si="39"/>
        <v/>
      </c>
      <c r="AL228" t="str">
        <f t="shared" si="40"/>
        <v/>
      </c>
      <c r="AN228" t="str">
        <f t="shared" si="41"/>
        <v/>
      </c>
      <c r="AQ228" t="str">
        <f t="shared" si="42"/>
        <v/>
      </c>
      <c r="AR228" t="str">
        <f t="shared" si="43"/>
        <v/>
      </c>
      <c r="AS228" t="str">
        <f t="shared" si="44"/>
        <v/>
      </c>
      <c r="AT228" t="str">
        <f t="shared" si="45"/>
        <v/>
      </c>
      <c r="BG228" t="str">
        <f t="shared" si="46"/>
        <v/>
      </c>
      <c r="BH228" t="str">
        <f t="shared" si="47"/>
        <v/>
      </c>
      <c r="BL228" t="str">
        <f>IFERROR(INDEX(_names_lookup!$C:$C,MATCH(BK228,_names_lookup!$A:$A,0)),"")</f>
        <v/>
      </c>
      <c r="BM228" t="str">
        <f>IFERROR(INDEX(_names_lookup!$B:$B,MATCH(BK228,_names_lookup!$A:$A,0)),"")</f>
        <v/>
      </c>
      <c r="BS228" t="str">
        <f t="shared" si="48"/>
        <v/>
      </c>
    </row>
    <row r="229" spans="15:71" x14ac:dyDescent="0.2">
      <c r="O229" t="str">
        <f>IFERROR(INDEX(_courses_lookup!$C:$C,MATCH(K229&amp;L229,_courses_lookup!$E:$E,0)),"")</f>
        <v/>
      </c>
      <c r="P229" t="str">
        <f>IFERROR(INDEX(_courses_lookup!$D:$D,MATCH(K229&amp;L229,_courses_lookup!$E:$E,0)),"")</f>
        <v/>
      </c>
      <c r="AG229" t="str">
        <f t="shared" si="38"/>
        <v/>
      </c>
      <c r="AI229" t="str">
        <f t="shared" si="39"/>
        <v/>
      </c>
      <c r="AL229" t="str">
        <f t="shared" si="40"/>
        <v/>
      </c>
      <c r="AN229" t="str">
        <f t="shared" si="41"/>
        <v/>
      </c>
      <c r="AQ229" t="str">
        <f t="shared" si="42"/>
        <v/>
      </c>
      <c r="AR229" t="str">
        <f t="shared" si="43"/>
        <v/>
      </c>
      <c r="AS229" t="str">
        <f t="shared" si="44"/>
        <v/>
      </c>
      <c r="AT229" t="str">
        <f t="shared" si="45"/>
        <v/>
      </c>
      <c r="BG229" t="str">
        <f t="shared" si="46"/>
        <v/>
      </c>
      <c r="BH229" t="str">
        <f t="shared" si="47"/>
        <v/>
      </c>
      <c r="BL229" t="str">
        <f>IFERROR(INDEX(_names_lookup!$C:$C,MATCH(BK229,_names_lookup!$A:$A,0)),"")</f>
        <v/>
      </c>
      <c r="BM229" t="str">
        <f>IFERROR(INDEX(_names_lookup!$B:$B,MATCH(BK229,_names_lookup!$A:$A,0)),"")</f>
        <v/>
      </c>
      <c r="BS229" t="str">
        <f t="shared" si="48"/>
        <v/>
      </c>
    </row>
    <row r="230" spans="15:71" x14ac:dyDescent="0.2">
      <c r="O230" t="str">
        <f>IFERROR(INDEX(_courses_lookup!$C:$C,MATCH(K230&amp;L230,_courses_lookup!$E:$E,0)),"")</f>
        <v/>
      </c>
      <c r="P230" t="str">
        <f>IFERROR(INDEX(_courses_lookup!$D:$D,MATCH(K230&amp;L230,_courses_lookup!$E:$E,0)),"")</f>
        <v/>
      </c>
      <c r="AG230" t="str">
        <f t="shared" si="38"/>
        <v/>
      </c>
      <c r="AI230" t="str">
        <f t="shared" si="39"/>
        <v/>
      </c>
      <c r="AL230" t="str">
        <f t="shared" si="40"/>
        <v/>
      </c>
      <c r="AN230" t="str">
        <f t="shared" si="41"/>
        <v/>
      </c>
      <c r="AQ230" t="str">
        <f t="shared" si="42"/>
        <v/>
      </c>
      <c r="AR230" t="str">
        <f t="shared" si="43"/>
        <v/>
      </c>
      <c r="AS230" t="str">
        <f t="shared" si="44"/>
        <v/>
      </c>
      <c r="AT230" t="str">
        <f t="shared" si="45"/>
        <v/>
      </c>
      <c r="BG230" t="str">
        <f t="shared" si="46"/>
        <v/>
      </c>
      <c r="BH230" t="str">
        <f t="shared" si="47"/>
        <v/>
      </c>
      <c r="BL230" t="str">
        <f>IFERROR(INDEX(_names_lookup!$C:$C,MATCH(BK230,_names_lookup!$A:$A,0)),"")</f>
        <v/>
      </c>
      <c r="BM230" t="str">
        <f>IFERROR(INDEX(_names_lookup!$B:$B,MATCH(BK230,_names_lookup!$A:$A,0)),"")</f>
        <v/>
      </c>
      <c r="BS230" t="str">
        <f t="shared" si="48"/>
        <v/>
      </c>
    </row>
    <row r="231" spans="15:71" x14ac:dyDescent="0.2">
      <c r="O231" t="str">
        <f>IFERROR(INDEX(_courses_lookup!$C:$C,MATCH(K231&amp;L231,_courses_lookup!$E:$E,0)),"")</f>
        <v/>
      </c>
      <c r="P231" t="str">
        <f>IFERROR(INDEX(_courses_lookup!$D:$D,MATCH(K231&amp;L231,_courses_lookup!$E:$E,0)),"")</f>
        <v/>
      </c>
      <c r="AG231" t="str">
        <f t="shared" si="38"/>
        <v/>
      </c>
      <c r="AI231" t="str">
        <f t="shared" si="39"/>
        <v/>
      </c>
      <c r="AL231" t="str">
        <f t="shared" si="40"/>
        <v/>
      </c>
      <c r="AN231" t="str">
        <f t="shared" si="41"/>
        <v/>
      </c>
      <c r="AQ231" t="str">
        <f t="shared" si="42"/>
        <v/>
      </c>
      <c r="AR231" t="str">
        <f t="shared" si="43"/>
        <v/>
      </c>
      <c r="AS231" t="str">
        <f t="shared" si="44"/>
        <v/>
      </c>
      <c r="AT231" t="str">
        <f t="shared" si="45"/>
        <v/>
      </c>
      <c r="BG231" t="str">
        <f t="shared" si="46"/>
        <v/>
      </c>
      <c r="BH231" t="str">
        <f t="shared" si="47"/>
        <v/>
      </c>
      <c r="BL231" t="str">
        <f>IFERROR(INDEX(_names_lookup!$C:$C,MATCH(BK231,_names_lookup!$A:$A,0)),"")</f>
        <v/>
      </c>
      <c r="BM231" t="str">
        <f>IFERROR(INDEX(_names_lookup!$B:$B,MATCH(BK231,_names_lookup!$A:$A,0)),"")</f>
        <v/>
      </c>
      <c r="BS231" t="str">
        <f t="shared" si="48"/>
        <v/>
      </c>
    </row>
    <row r="232" spans="15:71" x14ac:dyDescent="0.2">
      <c r="O232" t="str">
        <f>IFERROR(INDEX(_courses_lookup!$C:$C,MATCH(K232&amp;L232,_courses_lookup!$E:$E,0)),"")</f>
        <v/>
      </c>
      <c r="P232" t="str">
        <f>IFERROR(INDEX(_courses_lookup!$D:$D,MATCH(K232&amp;L232,_courses_lookup!$E:$E,0)),"")</f>
        <v/>
      </c>
      <c r="AG232" t="str">
        <f t="shared" si="38"/>
        <v/>
      </c>
      <c r="AI232" t="str">
        <f t="shared" si="39"/>
        <v/>
      </c>
      <c r="AL232" t="str">
        <f t="shared" si="40"/>
        <v/>
      </c>
      <c r="AN232" t="str">
        <f t="shared" si="41"/>
        <v/>
      </c>
      <c r="AQ232" t="str">
        <f t="shared" si="42"/>
        <v/>
      </c>
      <c r="AR232" t="str">
        <f t="shared" si="43"/>
        <v/>
      </c>
      <c r="AS232" t="str">
        <f t="shared" si="44"/>
        <v/>
      </c>
      <c r="AT232" t="str">
        <f t="shared" si="45"/>
        <v/>
      </c>
      <c r="BG232" t="str">
        <f t="shared" si="46"/>
        <v/>
      </c>
      <c r="BH232" t="str">
        <f t="shared" si="47"/>
        <v/>
      </c>
      <c r="BL232" t="str">
        <f>IFERROR(INDEX(_names_lookup!$C:$C,MATCH(BK232,_names_lookup!$A:$A,0)),"")</f>
        <v/>
      </c>
      <c r="BM232" t="str">
        <f>IFERROR(INDEX(_names_lookup!$B:$B,MATCH(BK232,_names_lookup!$A:$A,0)),"")</f>
        <v/>
      </c>
      <c r="BS232" t="str">
        <f t="shared" si="48"/>
        <v/>
      </c>
    </row>
    <row r="233" spans="15:71" x14ac:dyDescent="0.2">
      <c r="O233" t="str">
        <f>IFERROR(INDEX(_courses_lookup!$C:$C,MATCH(K233&amp;L233,_courses_lookup!$E:$E,0)),"")</f>
        <v/>
      </c>
      <c r="P233" t="str">
        <f>IFERROR(INDEX(_courses_lookup!$D:$D,MATCH(K233&amp;L233,_courses_lookup!$E:$E,0)),"")</f>
        <v/>
      </c>
      <c r="AG233" t="str">
        <f t="shared" si="38"/>
        <v/>
      </c>
      <c r="AI233" t="str">
        <f t="shared" si="39"/>
        <v/>
      </c>
      <c r="AL233" t="str">
        <f t="shared" si="40"/>
        <v/>
      </c>
      <c r="AN233" t="str">
        <f t="shared" si="41"/>
        <v/>
      </c>
      <c r="AQ233" t="str">
        <f t="shared" si="42"/>
        <v/>
      </c>
      <c r="AR233" t="str">
        <f t="shared" si="43"/>
        <v/>
      </c>
      <c r="AS233" t="str">
        <f t="shared" si="44"/>
        <v/>
      </c>
      <c r="AT233" t="str">
        <f t="shared" si="45"/>
        <v/>
      </c>
      <c r="BG233" t="str">
        <f t="shared" si="46"/>
        <v/>
      </c>
      <c r="BH233" t="str">
        <f t="shared" si="47"/>
        <v/>
      </c>
      <c r="BL233" t="str">
        <f>IFERROR(INDEX(_names_lookup!$C:$C,MATCH(BK233,_names_lookup!$A:$A,0)),"")</f>
        <v/>
      </c>
      <c r="BM233" t="str">
        <f>IFERROR(INDEX(_names_lookup!$B:$B,MATCH(BK233,_names_lookup!$A:$A,0)),"")</f>
        <v/>
      </c>
      <c r="BS233" t="str">
        <f t="shared" si="48"/>
        <v/>
      </c>
    </row>
    <row r="234" spans="15:71" x14ac:dyDescent="0.2">
      <c r="O234" t="str">
        <f>IFERROR(INDEX(_courses_lookup!$C:$C,MATCH(K234&amp;L234,_courses_lookup!$E:$E,0)),"")</f>
        <v/>
      </c>
      <c r="P234" t="str">
        <f>IFERROR(INDEX(_courses_lookup!$D:$D,MATCH(K234&amp;L234,_courses_lookup!$E:$E,0)),"")</f>
        <v/>
      </c>
      <c r="AG234" t="str">
        <f t="shared" si="38"/>
        <v/>
      </c>
      <c r="AI234" t="str">
        <f t="shared" si="39"/>
        <v/>
      </c>
      <c r="AL234" t="str">
        <f t="shared" si="40"/>
        <v/>
      </c>
      <c r="AN234" t="str">
        <f t="shared" si="41"/>
        <v/>
      </c>
      <c r="AQ234" t="str">
        <f t="shared" si="42"/>
        <v/>
      </c>
      <c r="AR234" t="str">
        <f t="shared" si="43"/>
        <v/>
      </c>
      <c r="AS234" t="str">
        <f t="shared" si="44"/>
        <v/>
      </c>
      <c r="AT234" t="str">
        <f t="shared" si="45"/>
        <v/>
      </c>
      <c r="BG234" t="str">
        <f t="shared" si="46"/>
        <v/>
      </c>
      <c r="BH234" t="str">
        <f t="shared" si="47"/>
        <v/>
      </c>
      <c r="BL234" t="str">
        <f>IFERROR(INDEX(_names_lookup!$C:$C,MATCH(BK234,_names_lookup!$A:$A,0)),"")</f>
        <v/>
      </c>
      <c r="BM234" t="str">
        <f>IFERROR(INDEX(_names_lookup!$B:$B,MATCH(BK234,_names_lookup!$A:$A,0)),"")</f>
        <v/>
      </c>
      <c r="BS234" t="str">
        <f t="shared" si="48"/>
        <v/>
      </c>
    </row>
    <row r="235" spans="15:71" x14ac:dyDescent="0.2">
      <c r="O235" t="str">
        <f>IFERROR(INDEX(_courses_lookup!$C:$C,MATCH(K235&amp;L235,_courses_lookup!$E:$E,0)),"")</f>
        <v/>
      </c>
      <c r="P235" t="str">
        <f>IFERROR(INDEX(_courses_lookup!$D:$D,MATCH(K235&amp;L235,_courses_lookup!$E:$E,0)),"")</f>
        <v/>
      </c>
      <c r="AG235" t="str">
        <f t="shared" si="38"/>
        <v/>
      </c>
      <c r="AI235" t="str">
        <f t="shared" si="39"/>
        <v/>
      </c>
      <c r="AL235" t="str">
        <f t="shared" si="40"/>
        <v/>
      </c>
      <c r="AN235" t="str">
        <f t="shared" si="41"/>
        <v/>
      </c>
      <c r="AQ235" t="str">
        <f t="shared" si="42"/>
        <v/>
      </c>
      <c r="AR235" t="str">
        <f t="shared" si="43"/>
        <v/>
      </c>
      <c r="AS235" t="str">
        <f t="shared" si="44"/>
        <v/>
      </c>
      <c r="AT235" t="str">
        <f t="shared" si="45"/>
        <v/>
      </c>
      <c r="BG235" t="str">
        <f t="shared" si="46"/>
        <v/>
      </c>
      <c r="BH235" t="str">
        <f t="shared" si="47"/>
        <v/>
      </c>
      <c r="BL235" t="str">
        <f>IFERROR(INDEX(_names_lookup!$C:$C,MATCH(BK235,_names_lookup!$A:$A,0)),"")</f>
        <v/>
      </c>
      <c r="BM235" t="str">
        <f>IFERROR(INDEX(_names_lookup!$B:$B,MATCH(BK235,_names_lookup!$A:$A,0)),"")</f>
        <v/>
      </c>
      <c r="BS235" t="str">
        <f t="shared" si="48"/>
        <v/>
      </c>
    </row>
    <row r="236" spans="15:71" x14ac:dyDescent="0.2">
      <c r="O236" t="str">
        <f>IFERROR(INDEX(_courses_lookup!$C:$C,MATCH(K236&amp;L236,_courses_lookup!$E:$E,0)),"")</f>
        <v/>
      </c>
      <c r="P236" t="str">
        <f>IFERROR(INDEX(_courses_lookup!$D:$D,MATCH(K236&amp;L236,_courses_lookup!$E:$E,0)),"")</f>
        <v/>
      </c>
      <c r="AG236" t="str">
        <f t="shared" si="38"/>
        <v/>
      </c>
      <c r="AI236" t="str">
        <f t="shared" si="39"/>
        <v/>
      </c>
      <c r="AL236" t="str">
        <f t="shared" si="40"/>
        <v/>
      </c>
      <c r="AN236" t="str">
        <f t="shared" si="41"/>
        <v/>
      </c>
      <c r="AQ236" t="str">
        <f t="shared" si="42"/>
        <v/>
      </c>
      <c r="AR236" t="str">
        <f t="shared" si="43"/>
        <v/>
      </c>
      <c r="AS236" t="str">
        <f t="shared" si="44"/>
        <v/>
      </c>
      <c r="AT236" t="str">
        <f t="shared" si="45"/>
        <v/>
      </c>
      <c r="BG236" t="str">
        <f t="shared" si="46"/>
        <v/>
      </c>
      <c r="BH236" t="str">
        <f t="shared" si="47"/>
        <v/>
      </c>
      <c r="BL236" t="str">
        <f>IFERROR(INDEX(_names_lookup!$C:$C,MATCH(BK236,_names_lookup!$A:$A,0)),"")</f>
        <v/>
      </c>
      <c r="BM236" t="str">
        <f>IFERROR(INDEX(_names_lookup!$B:$B,MATCH(BK236,_names_lookup!$A:$A,0)),"")</f>
        <v/>
      </c>
      <c r="BS236" t="str">
        <f t="shared" si="48"/>
        <v/>
      </c>
    </row>
    <row r="237" spans="15:71" x14ac:dyDescent="0.2">
      <c r="O237" t="str">
        <f>IFERROR(INDEX(_courses_lookup!$C:$C,MATCH(K237&amp;L237,_courses_lookup!$E:$E,0)),"")</f>
        <v/>
      </c>
      <c r="P237" t="str">
        <f>IFERROR(INDEX(_courses_lookup!$D:$D,MATCH(K237&amp;L237,_courses_lookup!$E:$E,0)),"")</f>
        <v/>
      </c>
      <c r="AG237" t="str">
        <f t="shared" si="38"/>
        <v/>
      </c>
      <c r="AI237" t="str">
        <f t="shared" si="39"/>
        <v/>
      </c>
      <c r="AL237" t="str">
        <f t="shared" si="40"/>
        <v/>
      </c>
      <c r="AN237" t="str">
        <f t="shared" si="41"/>
        <v/>
      </c>
      <c r="AQ237" t="str">
        <f t="shared" si="42"/>
        <v/>
      </c>
      <c r="AR237" t="str">
        <f t="shared" si="43"/>
        <v/>
      </c>
      <c r="AS237" t="str">
        <f t="shared" si="44"/>
        <v/>
      </c>
      <c r="AT237" t="str">
        <f t="shared" si="45"/>
        <v/>
      </c>
      <c r="BG237" t="str">
        <f t="shared" si="46"/>
        <v/>
      </c>
      <c r="BH237" t="str">
        <f t="shared" si="47"/>
        <v/>
      </c>
      <c r="BL237" t="str">
        <f>IFERROR(INDEX(_names_lookup!$C:$C,MATCH(BK237,_names_lookup!$A:$A,0)),"")</f>
        <v/>
      </c>
      <c r="BM237" t="str">
        <f>IFERROR(INDEX(_names_lookup!$B:$B,MATCH(BK237,_names_lookup!$A:$A,0)),"")</f>
        <v/>
      </c>
      <c r="BS237" t="str">
        <f t="shared" si="48"/>
        <v/>
      </c>
    </row>
    <row r="238" spans="15:71" x14ac:dyDescent="0.2">
      <c r="O238" t="str">
        <f>IFERROR(INDEX(_courses_lookup!$C:$C,MATCH(K238&amp;L238,_courses_lookup!$E:$E,0)),"")</f>
        <v/>
      </c>
      <c r="P238" t="str">
        <f>IFERROR(INDEX(_courses_lookup!$D:$D,MATCH(K238&amp;L238,_courses_lookup!$E:$E,0)),"")</f>
        <v/>
      </c>
      <c r="AG238" t="str">
        <f t="shared" si="38"/>
        <v/>
      </c>
      <c r="AI238" t="str">
        <f t="shared" si="39"/>
        <v/>
      </c>
      <c r="AL238" t="str">
        <f t="shared" si="40"/>
        <v/>
      </c>
      <c r="AN238" t="str">
        <f t="shared" si="41"/>
        <v/>
      </c>
      <c r="AQ238" t="str">
        <f t="shared" si="42"/>
        <v/>
      </c>
      <c r="AR238" t="str">
        <f t="shared" si="43"/>
        <v/>
      </c>
      <c r="AS238" t="str">
        <f t="shared" si="44"/>
        <v/>
      </c>
      <c r="AT238" t="str">
        <f t="shared" si="45"/>
        <v/>
      </c>
      <c r="BG238" t="str">
        <f t="shared" si="46"/>
        <v/>
      </c>
      <c r="BH238" t="str">
        <f t="shared" si="47"/>
        <v/>
      </c>
      <c r="BL238" t="str">
        <f>IFERROR(INDEX(_names_lookup!$C:$C,MATCH(BK238,_names_lookup!$A:$A,0)),"")</f>
        <v/>
      </c>
      <c r="BM238" t="str">
        <f>IFERROR(INDEX(_names_lookup!$B:$B,MATCH(BK238,_names_lookup!$A:$A,0)),"")</f>
        <v/>
      </c>
      <c r="BS238" t="str">
        <f t="shared" si="48"/>
        <v/>
      </c>
    </row>
    <row r="239" spans="15:71" x14ac:dyDescent="0.2">
      <c r="O239" t="str">
        <f>IFERROR(INDEX(_courses_lookup!$C:$C,MATCH(K239&amp;L239,_courses_lookup!$E:$E,0)),"")</f>
        <v/>
      </c>
      <c r="P239" t="str">
        <f>IFERROR(INDEX(_courses_lookup!$D:$D,MATCH(K239&amp;L239,_courses_lookup!$E:$E,0)),"")</f>
        <v/>
      </c>
      <c r="AG239" t="str">
        <f t="shared" si="38"/>
        <v/>
      </c>
      <c r="AI239" t="str">
        <f t="shared" si="39"/>
        <v/>
      </c>
      <c r="AL239" t="str">
        <f t="shared" si="40"/>
        <v/>
      </c>
      <c r="AN239" t="str">
        <f t="shared" si="41"/>
        <v/>
      </c>
      <c r="AQ239" t="str">
        <f t="shared" si="42"/>
        <v/>
      </c>
      <c r="AR239" t="str">
        <f t="shared" si="43"/>
        <v/>
      </c>
      <c r="AS239" t="str">
        <f t="shared" si="44"/>
        <v/>
      </c>
      <c r="AT239" t="str">
        <f t="shared" si="45"/>
        <v/>
      </c>
      <c r="BG239" t="str">
        <f t="shared" si="46"/>
        <v/>
      </c>
      <c r="BH239" t="str">
        <f t="shared" si="47"/>
        <v/>
      </c>
      <c r="BL239" t="str">
        <f>IFERROR(INDEX(_names_lookup!$C:$C,MATCH(BK239,_names_lookup!$A:$A,0)),"")</f>
        <v/>
      </c>
      <c r="BM239" t="str">
        <f>IFERROR(INDEX(_names_lookup!$B:$B,MATCH(BK239,_names_lookup!$A:$A,0)),"")</f>
        <v/>
      </c>
      <c r="BS239" t="str">
        <f t="shared" si="48"/>
        <v/>
      </c>
    </row>
    <row r="240" spans="15:71" x14ac:dyDescent="0.2">
      <c r="O240" t="str">
        <f>IFERROR(INDEX(_courses_lookup!$C:$C,MATCH(K240&amp;L240,_courses_lookup!$E:$E,0)),"")</f>
        <v/>
      </c>
      <c r="P240" t="str">
        <f>IFERROR(INDEX(_courses_lookup!$D:$D,MATCH(K240&amp;L240,_courses_lookup!$E:$E,0)),"")</f>
        <v/>
      </c>
      <c r="AG240" t="str">
        <f t="shared" si="38"/>
        <v/>
      </c>
      <c r="AI240" t="str">
        <f t="shared" si="39"/>
        <v/>
      </c>
      <c r="AL240" t="str">
        <f t="shared" si="40"/>
        <v/>
      </c>
      <c r="AN240" t="str">
        <f t="shared" si="41"/>
        <v/>
      </c>
      <c r="AQ240" t="str">
        <f t="shared" si="42"/>
        <v/>
      </c>
      <c r="AR240" t="str">
        <f t="shared" si="43"/>
        <v/>
      </c>
      <c r="AS240" t="str">
        <f t="shared" si="44"/>
        <v/>
      </c>
      <c r="AT240" t="str">
        <f t="shared" si="45"/>
        <v/>
      </c>
      <c r="BG240" t="str">
        <f t="shared" si="46"/>
        <v/>
      </c>
      <c r="BH240" t="str">
        <f t="shared" si="47"/>
        <v/>
      </c>
      <c r="BL240" t="str">
        <f>IFERROR(INDEX(_names_lookup!$C:$C,MATCH(BK240,_names_lookup!$A:$A,0)),"")</f>
        <v/>
      </c>
      <c r="BM240" t="str">
        <f>IFERROR(INDEX(_names_lookup!$B:$B,MATCH(BK240,_names_lookup!$A:$A,0)),"")</f>
        <v/>
      </c>
      <c r="BS240" t="str">
        <f t="shared" si="48"/>
        <v/>
      </c>
    </row>
    <row r="241" spans="15:71" x14ac:dyDescent="0.2">
      <c r="O241" t="str">
        <f>IFERROR(INDEX(_courses_lookup!$C:$C,MATCH(K241&amp;L241,_courses_lookup!$E:$E,0)),"")</f>
        <v/>
      </c>
      <c r="P241" t="str">
        <f>IFERROR(INDEX(_courses_lookup!$D:$D,MATCH(K241&amp;L241,_courses_lookup!$E:$E,0)),"")</f>
        <v/>
      </c>
      <c r="AG241" t="str">
        <f t="shared" si="38"/>
        <v/>
      </c>
      <c r="AI241" t="str">
        <f t="shared" si="39"/>
        <v/>
      </c>
      <c r="AL241" t="str">
        <f t="shared" si="40"/>
        <v/>
      </c>
      <c r="AN241" t="str">
        <f t="shared" si="41"/>
        <v/>
      </c>
      <c r="AQ241" t="str">
        <f t="shared" si="42"/>
        <v/>
      </c>
      <c r="AR241" t="str">
        <f t="shared" si="43"/>
        <v/>
      </c>
      <c r="AS241" t="str">
        <f t="shared" si="44"/>
        <v/>
      </c>
      <c r="AT241" t="str">
        <f t="shared" si="45"/>
        <v/>
      </c>
      <c r="BG241" t="str">
        <f t="shared" si="46"/>
        <v/>
      </c>
      <c r="BH241" t="str">
        <f t="shared" si="47"/>
        <v/>
      </c>
      <c r="BL241" t="str">
        <f>IFERROR(INDEX(_names_lookup!$C:$C,MATCH(BK241,_names_lookup!$A:$A,0)),"")</f>
        <v/>
      </c>
      <c r="BM241" t="str">
        <f>IFERROR(INDEX(_names_lookup!$B:$B,MATCH(BK241,_names_lookup!$A:$A,0)),"")</f>
        <v/>
      </c>
      <c r="BS241" t="str">
        <f t="shared" si="48"/>
        <v/>
      </c>
    </row>
    <row r="242" spans="15:71" x14ac:dyDescent="0.2">
      <c r="O242" t="str">
        <f>IFERROR(INDEX(_courses_lookup!$C:$C,MATCH(K242&amp;L242,_courses_lookup!$E:$E,0)),"")</f>
        <v/>
      </c>
      <c r="P242" t="str">
        <f>IFERROR(INDEX(_courses_lookup!$D:$D,MATCH(K242&amp;L242,_courses_lookup!$E:$E,0)),"")</f>
        <v/>
      </c>
      <c r="AG242" t="str">
        <f t="shared" si="38"/>
        <v/>
      </c>
      <c r="AI242" t="str">
        <f t="shared" si="39"/>
        <v/>
      </c>
      <c r="AL242" t="str">
        <f t="shared" si="40"/>
        <v/>
      </c>
      <c r="AN242" t="str">
        <f t="shared" si="41"/>
        <v/>
      </c>
      <c r="AQ242" t="str">
        <f t="shared" si="42"/>
        <v/>
      </c>
      <c r="AR242" t="str">
        <f t="shared" si="43"/>
        <v/>
      </c>
      <c r="AS242" t="str">
        <f t="shared" si="44"/>
        <v/>
      </c>
      <c r="AT242" t="str">
        <f t="shared" si="45"/>
        <v/>
      </c>
      <c r="BG242" t="str">
        <f t="shared" si="46"/>
        <v/>
      </c>
      <c r="BH242" t="str">
        <f t="shared" si="47"/>
        <v/>
      </c>
      <c r="BL242" t="str">
        <f>IFERROR(INDEX(_names_lookup!$C:$C,MATCH(BK242,_names_lookup!$A:$A,0)),"")</f>
        <v/>
      </c>
      <c r="BM242" t="str">
        <f>IFERROR(INDEX(_names_lookup!$B:$B,MATCH(BK242,_names_lookup!$A:$A,0)),"")</f>
        <v/>
      </c>
      <c r="BS242" t="str">
        <f t="shared" si="48"/>
        <v/>
      </c>
    </row>
    <row r="243" spans="15:71" x14ac:dyDescent="0.2">
      <c r="O243" t="str">
        <f>IFERROR(INDEX(_courses_lookup!$C:$C,MATCH(K243&amp;L243,_courses_lookup!$E:$E,0)),"")</f>
        <v/>
      </c>
      <c r="P243" t="str">
        <f>IFERROR(INDEX(_courses_lookup!$D:$D,MATCH(K243&amp;L243,_courses_lookup!$E:$E,0)),"")</f>
        <v/>
      </c>
      <c r="AG243" t="str">
        <f t="shared" si="38"/>
        <v/>
      </c>
      <c r="AI243" t="str">
        <f t="shared" si="39"/>
        <v/>
      </c>
      <c r="AL243" t="str">
        <f t="shared" si="40"/>
        <v/>
      </c>
      <c r="AN243" t="str">
        <f t="shared" si="41"/>
        <v/>
      </c>
      <c r="AQ243" t="str">
        <f t="shared" si="42"/>
        <v/>
      </c>
      <c r="AR243" t="str">
        <f t="shared" si="43"/>
        <v/>
      </c>
      <c r="AS243" t="str">
        <f t="shared" si="44"/>
        <v/>
      </c>
      <c r="AT243" t="str">
        <f t="shared" si="45"/>
        <v/>
      </c>
      <c r="BG243" t="str">
        <f t="shared" si="46"/>
        <v/>
      </c>
      <c r="BH243" t="str">
        <f t="shared" si="47"/>
        <v/>
      </c>
      <c r="BL243" t="str">
        <f>IFERROR(INDEX(_names_lookup!$C:$C,MATCH(BK243,_names_lookup!$A:$A,0)),"")</f>
        <v/>
      </c>
      <c r="BM243" t="str">
        <f>IFERROR(INDEX(_names_lookup!$B:$B,MATCH(BK243,_names_lookup!$A:$A,0)),"")</f>
        <v/>
      </c>
      <c r="BS243" t="str">
        <f t="shared" si="48"/>
        <v/>
      </c>
    </row>
    <row r="244" spans="15:71" x14ac:dyDescent="0.2">
      <c r="O244" t="str">
        <f>IFERROR(INDEX(_courses_lookup!$C:$C,MATCH(K244&amp;L244,_courses_lookup!$E:$E,0)),"")</f>
        <v/>
      </c>
      <c r="P244" t="str">
        <f>IFERROR(INDEX(_courses_lookup!$D:$D,MATCH(K244&amp;L244,_courses_lookup!$E:$E,0)),"")</f>
        <v/>
      </c>
      <c r="AG244" t="str">
        <f t="shared" si="38"/>
        <v/>
      </c>
      <c r="AI244" t="str">
        <f t="shared" si="39"/>
        <v/>
      </c>
      <c r="AL244" t="str">
        <f t="shared" si="40"/>
        <v/>
      </c>
      <c r="AN244" t="str">
        <f t="shared" si="41"/>
        <v/>
      </c>
      <c r="AQ244" t="str">
        <f t="shared" si="42"/>
        <v/>
      </c>
      <c r="AR244" t="str">
        <f t="shared" si="43"/>
        <v/>
      </c>
      <c r="AS244" t="str">
        <f t="shared" si="44"/>
        <v/>
      </c>
      <c r="AT244" t="str">
        <f t="shared" si="45"/>
        <v/>
      </c>
      <c r="BG244" t="str">
        <f t="shared" si="46"/>
        <v/>
      </c>
      <c r="BH244" t="str">
        <f t="shared" si="47"/>
        <v/>
      </c>
      <c r="BL244" t="str">
        <f>IFERROR(INDEX(_names_lookup!$C:$C,MATCH(BK244,_names_lookup!$A:$A,0)),"")</f>
        <v/>
      </c>
      <c r="BM244" t="str">
        <f>IFERROR(INDEX(_names_lookup!$B:$B,MATCH(BK244,_names_lookup!$A:$A,0)),"")</f>
        <v/>
      </c>
      <c r="BS244" t="str">
        <f t="shared" si="48"/>
        <v/>
      </c>
    </row>
    <row r="245" spans="15:71" x14ac:dyDescent="0.2">
      <c r="O245" t="str">
        <f>IFERROR(INDEX(_courses_lookup!$C:$C,MATCH(K245&amp;L245,_courses_lookup!$E:$E,0)),"")</f>
        <v/>
      </c>
      <c r="P245" t="str">
        <f>IFERROR(INDEX(_courses_lookup!$D:$D,MATCH(K245&amp;L245,_courses_lookup!$E:$E,0)),"")</f>
        <v/>
      </c>
      <c r="AG245" t="str">
        <f t="shared" si="38"/>
        <v/>
      </c>
      <c r="AI245" t="str">
        <f t="shared" si="39"/>
        <v/>
      </c>
      <c r="AL245" t="str">
        <f t="shared" si="40"/>
        <v/>
      </c>
      <c r="AN245" t="str">
        <f t="shared" si="41"/>
        <v/>
      </c>
      <c r="AQ245" t="str">
        <f t="shared" si="42"/>
        <v/>
      </c>
      <c r="AR245" t="str">
        <f t="shared" si="43"/>
        <v/>
      </c>
      <c r="AS245" t="str">
        <f t="shared" si="44"/>
        <v/>
      </c>
      <c r="AT245" t="str">
        <f t="shared" si="45"/>
        <v/>
      </c>
      <c r="BG245" t="str">
        <f t="shared" si="46"/>
        <v/>
      </c>
      <c r="BH245" t="str">
        <f t="shared" si="47"/>
        <v/>
      </c>
      <c r="BL245" t="str">
        <f>IFERROR(INDEX(_names_lookup!$C:$C,MATCH(BK245,_names_lookup!$A:$A,0)),"")</f>
        <v/>
      </c>
      <c r="BM245" t="str">
        <f>IFERROR(INDEX(_names_lookup!$B:$B,MATCH(BK245,_names_lookup!$A:$A,0)),"")</f>
        <v/>
      </c>
      <c r="BS245" t="str">
        <f t="shared" si="48"/>
        <v/>
      </c>
    </row>
    <row r="246" spans="15:71" x14ac:dyDescent="0.2">
      <c r="O246" t="str">
        <f>IFERROR(INDEX(_courses_lookup!$C:$C,MATCH(K246&amp;L246,_courses_lookup!$E:$E,0)),"")</f>
        <v/>
      </c>
      <c r="P246" t="str">
        <f>IFERROR(INDEX(_courses_lookup!$D:$D,MATCH(K246&amp;L246,_courses_lookup!$E:$E,0)),"")</f>
        <v/>
      </c>
      <c r="AG246" t="str">
        <f t="shared" si="38"/>
        <v/>
      </c>
      <c r="AI246" t="str">
        <f t="shared" si="39"/>
        <v/>
      </c>
      <c r="AL246" t="str">
        <f t="shared" si="40"/>
        <v/>
      </c>
      <c r="AN246" t="str">
        <f t="shared" si="41"/>
        <v/>
      </c>
      <c r="AQ246" t="str">
        <f t="shared" si="42"/>
        <v/>
      </c>
      <c r="AR246" t="str">
        <f t="shared" si="43"/>
        <v/>
      </c>
      <c r="AS246" t="str">
        <f t="shared" si="44"/>
        <v/>
      </c>
      <c r="AT246" t="str">
        <f t="shared" si="45"/>
        <v/>
      </c>
      <c r="BG246" t="str">
        <f t="shared" si="46"/>
        <v/>
      </c>
      <c r="BH246" t="str">
        <f t="shared" si="47"/>
        <v/>
      </c>
      <c r="BL246" t="str">
        <f>IFERROR(INDEX(_names_lookup!$C:$C,MATCH(BK246,_names_lookup!$A:$A,0)),"")</f>
        <v/>
      </c>
      <c r="BM246" t="str">
        <f>IFERROR(INDEX(_names_lookup!$B:$B,MATCH(BK246,_names_lookup!$A:$A,0)),"")</f>
        <v/>
      </c>
      <c r="BS246" t="str">
        <f t="shared" si="48"/>
        <v/>
      </c>
    </row>
    <row r="247" spans="15:71" x14ac:dyDescent="0.2">
      <c r="O247" t="str">
        <f>IFERROR(INDEX(_courses_lookup!$C:$C,MATCH(K247&amp;L247,_courses_lookup!$E:$E,0)),"")</f>
        <v/>
      </c>
      <c r="P247" t="str">
        <f>IFERROR(INDEX(_courses_lookup!$D:$D,MATCH(K247&amp;L247,_courses_lookup!$E:$E,0)),"")</f>
        <v/>
      </c>
      <c r="AG247" t="str">
        <f t="shared" si="38"/>
        <v/>
      </c>
      <c r="AI247" t="str">
        <f t="shared" si="39"/>
        <v/>
      </c>
      <c r="AL247" t="str">
        <f t="shared" si="40"/>
        <v/>
      </c>
      <c r="AN247" t="str">
        <f t="shared" si="41"/>
        <v/>
      </c>
      <c r="AQ247" t="str">
        <f t="shared" si="42"/>
        <v/>
      </c>
      <c r="AR247" t="str">
        <f t="shared" si="43"/>
        <v/>
      </c>
      <c r="AS247" t="str">
        <f t="shared" si="44"/>
        <v/>
      </c>
      <c r="AT247" t="str">
        <f t="shared" si="45"/>
        <v/>
      </c>
      <c r="BG247" t="str">
        <f t="shared" si="46"/>
        <v/>
      </c>
      <c r="BH247" t="str">
        <f t="shared" si="47"/>
        <v/>
      </c>
      <c r="BL247" t="str">
        <f>IFERROR(INDEX(_names_lookup!$C:$C,MATCH(BK247,_names_lookup!$A:$A,0)),"")</f>
        <v/>
      </c>
      <c r="BM247" t="str">
        <f>IFERROR(INDEX(_names_lookup!$B:$B,MATCH(BK247,_names_lookup!$A:$A,0)),"")</f>
        <v/>
      </c>
      <c r="BS247" t="str">
        <f t="shared" si="48"/>
        <v/>
      </c>
    </row>
    <row r="248" spans="15:71" x14ac:dyDescent="0.2">
      <c r="O248" t="str">
        <f>IFERROR(INDEX(_courses_lookup!$C:$C,MATCH(K248&amp;L248,_courses_lookup!$E:$E,0)),"")</f>
        <v/>
      </c>
      <c r="P248" t="str">
        <f>IFERROR(INDEX(_courses_lookup!$D:$D,MATCH(K248&amp;L248,_courses_lookup!$E:$E,0)),"")</f>
        <v/>
      </c>
      <c r="AG248" t="str">
        <f t="shared" si="38"/>
        <v/>
      </c>
      <c r="AI248" t="str">
        <f t="shared" si="39"/>
        <v/>
      </c>
      <c r="AL248" t="str">
        <f t="shared" si="40"/>
        <v/>
      </c>
      <c r="AN248" t="str">
        <f t="shared" si="41"/>
        <v/>
      </c>
      <c r="AQ248" t="str">
        <f t="shared" si="42"/>
        <v/>
      </c>
      <c r="AR248" t="str">
        <f t="shared" si="43"/>
        <v/>
      </c>
      <c r="AS248" t="str">
        <f t="shared" si="44"/>
        <v/>
      </c>
      <c r="AT248" t="str">
        <f t="shared" si="45"/>
        <v/>
      </c>
      <c r="BG248" t="str">
        <f t="shared" si="46"/>
        <v/>
      </c>
      <c r="BH248" t="str">
        <f t="shared" si="47"/>
        <v/>
      </c>
      <c r="BL248" t="str">
        <f>IFERROR(INDEX(_names_lookup!$C:$C,MATCH(BK248,_names_lookup!$A:$A,0)),"")</f>
        <v/>
      </c>
      <c r="BM248" t="str">
        <f>IFERROR(INDEX(_names_lookup!$B:$B,MATCH(BK248,_names_lookup!$A:$A,0)),"")</f>
        <v/>
      </c>
      <c r="BS248" t="str">
        <f t="shared" si="48"/>
        <v/>
      </c>
    </row>
    <row r="249" spans="15:71" x14ac:dyDescent="0.2">
      <c r="O249" t="str">
        <f>IFERROR(INDEX(_courses_lookup!$C:$C,MATCH(K249&amp;L249,_courses_lookup!$E:$E,0)),"")</f>
        <v/>
      </c>
      <c r="P249" t="str">
        <f>IFERROR(INDEX(_courses_lookup!$D:$D,MATCH(K249&amp;L249,_courses_lookup!$E:$E,0)),"")</f>
        <v/>
      </c>
      <c r="AG249" t="str">
        <f t="shared" si="38"/>
        <v/>
      </c>
      <c r="AI249" t="str">
        <f t="shared" si="39"/>
        <v/>
      </c>
      <c r="AL249" t="str">
        <f t="shared" si="40"/>
        <v/>
      </c>
      <c r="AN249" t="str">
        <f t="shared" si="41"/>
        <v/>
      </c>
      <c r="AQ249" t="str">
        <f t="shared" si="42"/>
        <v/>
      </c>
      <c r="AR249" t="str">
        <f t="shared" si="43"/>
        <v/>
      </c>
      <c r="AS249" t="str">
        <f t="shared" si="44"/>
        <v/>
      </c>
      <c r="AT249" t="str">
        <f t="shared" si="45"/>
        <v/>
      </c>
      <c r="BG249" t="str">
        <f t="shared" si="46"/>
        <v/>
      </c>
      <c r="BH249" t="str">
        <f t="shared" si="47"/>
        <v/>
      </c>
      <c r="BL249" t="str">
        <f>IFERROR(INDEX(_names_lookup!$C:$C,MATCH(BK249,_names_lookup!$A:$A,0)),"")</f>
        <v/>
      </c>
      <c r="BM249" t="str">
        <f>IFERROR(INDEX(_names_lookup!$B:$B,MATCH(BK249,_names_lookup!$A:$A,0)),"")</f>
        <v/>
      </c>
      <c r="BS249" t="str">
        <f t="shared" si="48"/>
        <v/>
      </c>
    </row>
    <row r="250" spans="15:71" x14ac:dyDescent="0.2">
      <c r="O250" t="str">
        <f>IFERROR(INDEX(_courses_lookup!$C:$C,MATCH(K250&amp;L250,_courses_lookup!$E:$E,0)),"")</f>
        <v/>
      </c>
      <c r="P250" t="str">
        <f>IFERROR(INDEX(_courses_lookup!$D:$D,MATCH(K250&amp;L250,_courses_lookup!$E:$E,0)),"")</f>
        <v/>
      </c>
      <c r="AG250" t="str">
        <f t="shared" si="38"/>
        <v/>
      </c>
      <c r="AI250" t="str">
        <f t="shared" si="39"/>
        <v/>
      </c>
      <c r="AL250" t="str">
        <f t="shared" si="40"/>
        <v/>
      </c>
      <c r="AN250" t="str">
        <f t="shared" si="41"/>
        <v/>
      </c>
      <c r="AQ250" t="str">
        <f t="shared" si="42"/>
        <v/>
      </c>
      <c r="AR250" t="str">
        <f t="shared" si="43"/>
        <v/>
      </c>
      <c r="AS250" t="str">
        <f t="shared" si="44"/>
        <v/>
      </c>
      <c r="AT250" t="str">
        <f t="shared" si="45"/>
        <v/>
      </c>
      <c r="BG250" t="str">
        <f t="shared" si="46"/>
        <v/>
      </c>
      <c r="BH250" t="str">
        <f t="shared" si="47"/>
        <v/>
      </c>
      <c r="BL250" t="str">
        <f>IFERROR(INDEX(_names_lookup!$C:$C,MATCH(BK250,_names_lookup!$A:$A,0)),"")</f>
        <v/>
      </c>
      <c r="BM250" t="str">
        <f>IFERROR(INDEX(_names_lookup!$B:$B,MATCH(BK250,_names_lookup!$A:$A,0)),"")</f>
        <v/>
      </c>
      <c r="BS250" t="str">
        <f t="shared" si="48"/>
        <v/>
      </c>
    </row>
    <row r="251" spans="15:71" x14ac:dyDescent="0.2">
      <c r="O251" t="str">
        <f>IFERROR(INDEX(_courses_lookup!$C:$C,MATCH(K251&amp;L251,_courses_lookup!$E:$E,0)),"")</f>
        <v/>
      </c>
      <c r="P251" t="str">
        <f>IFERROR(INDEX(_courses_lookup!$D:$D,MATCH(K251&amp;L251,_courses_lookup!$E:$E,0)),"")</f>
        <v/>
      </c>
      <c r="AG251" t="str">
        <f t="shared" si="38"/>
        <v/>
      </c>
      <c r="AI251" t="str">
        <f t="shared" si="39"/>
        <v/>
      </c>
      <c r="AL251" t="str">
        <f t="shared" si="40"/>
        <v/>
      </c>
      <c r="AN251" t="str">
        <f t="shared" si="41"/>
        <v/>
      </c>
      <c r="AQ251" t="str">
        <f t="shared" si="42"/>
        <v/>
      </c>
      <c r="AR251" t="str">
        <f t="shared" si="43"/>
        <v/>
      </c>
      <c r="AS251" t="str">
        <f t="shared" si="44"/>
        <v/>
      </c>
      <c r="AT251" t="str">
        <f t="shared" si="45"/>
        <v/>
      </c>
      <c r="BG251" t="str">
        <f t="shared" si="46"/>
        <v/>
      </c>
      <c r="BH251" t="str">
        <f t="shared" si="47"/>
        <v/>
      </c>
      <c r="BL251" t="str">
        <f>IFERROR(INDEX(_names_lookup!$C:$C,MATCH(BK251,_names_lookup!$A:$A,0)),"")</f>
        <v/>
      </c>
      <c r="BM251" t="str">
        <f>IFERROR(INDEX(_names_lookup!$B:$B,MATCH(BK251,_names_lookup!$A:$A,0)),"")</f>
        <v/>
      </c>
      <c r="BS251" t="str">
        <f t="shared" si="48"/>
        <v/>
      </c>
    </row>
    <row r="252" spans="15:71" x14ac:dyDescent="0.2">
      <c r="O252" t="str">
        <f>IFERROR(INDEX(_courses_lookup!$C:$C,MATCH(K252&amp;L252,_courses_lookup!$E:$E,0)),"")</f>
        <v/>
      </c>
      <c r="P252" t="str">
        <f>IFERROR(INDEX(_courses_lookup!$D:$D,MATCH(K252&amp;L252,_courses_lookup!$E:$E,0)),"")</f>
        <v/>
      </c>
      <c r="AG252" t="str">
        <f t="shared" si="38"/>
        <v/>
      </c>
      <c r="AI252" t="str">
        <f t="shared" si="39"/>
        <v/>
      </c>
      <c r="AL252" t="str">
        <f t="shared" si="40"/>
        <v/>
      </c>
      <c r="AN252" t="str">
        <f t="shared" si="41"/>
        <v/>
      </c>
      <c r="AQ252" t="str">
        <f t="shared" si="42"/>
        <v/>
      </c>
      <c r="AR252" t="str">
        <f t="shared" si="43"/>
        <v/>
      </c>
      <c r="AS252" t="str">
        <f t="shared" si="44"/>
        <v/>
      </c>
      <c r="AT252" t="str">
        <f t="shared" si="45"/>
        <v/>
      </c>
      <c r="BG252" t="str">
        <f t="shared" si="46"/>
        <v/>
      </c>
      <c r="BH252" t="str">
        <f t="shared" si="47"/>
        <v/>
      </c>
      <c r="BL252" t="str">
        <f>IFERROR(INDEX(_names_lookup!$C:$C,MATCH(BK252,_names_lookup!$A:$A,0)),"")</f>
        <v/>
      </c>
      <c r="BM252" t="str">
        <f>IFERROR(INDEX(_names_lookup!$B:$B,MATCH(BK252,_names_lookup!$A:$A,0)),"")</f>
        <v/>
      </c>
      <c r="BS252" t="str">
        <f t="shared" si="48"/>
        <v/>
      </c>
    </row>
    <row r="253" spans="15:71" x14ac:dyDescent="0.2">
      <c r="O253" t="str">
        <f>IFERROR(INDEX(_courses_lookup!$C:$C,MATCH(K253&amp;L253,_courses_lookup!$E:$E,0)),"")</f>
        <v/>
      </c>
      <c r="P253" t="str">
        <f>IFERROR(INDEX(_courses_lookup!$D:$D,MATCH(K253&amp;L253,_courses_lookup!$E:$E,0)),"")</f>
        <v/>
      </c>
      <c r="AG253" t="str">
        <f t="shared" si="38"/>
        <v/>
      </c>
      <c r="AI253" t="str">
        <f t="shared" si="39"/>
        <v/>
      </c>
      <c r="AL253" t="str">
        <f t="shared" si="40"/>
        <v/>
      </c>
      <c r="AN253" t="str">
        <f t="shared" si="41"/>
        <v/>
      </c>
      <c r="AQ253" t="str">
        <f t="shared" si="42"/>
        <v/>
      </c>
      <c r="AR253" t="str">
        <f t="shared" si="43"/>
        <v/>
      </c>
      <c r="AS253" t="str">
        <f t="shared" si="44"/>
        <v/>
      </c>
      <c r="AT253" t="str">
        <f t="shared" si="45"/>
        <v/>
      </c>
      <c r="BG253" t="str">
        <f t="shared" si="46"/>
        <v/>
      </c>
      <c r="BH253" t="str">
        <f t="shared" si="47"/>
        <v/>
      </c>
      <c r="BL253" t="str">
        <f>IFERROR(INDEX(_names_lookup!$C:$C,MATCH(BK253,_names_lookup!$A:$A,0)),"")</f>
        <v/>
      </c>
      <c r="BM253" t="str">
        <f>IFERROR(INDEX(_names_lookup!$B:$B,MATCH(BK253,_names_lookup!$A:$A,0)),"")</f>
        <v/>
      </c>
      <c r="BS253" t="str">
        <f t="shared" si="48"/>
        <v/>
      </c>
    </row>
    <row r="254" spans="15:71" x14ac:dyDescent="0.2">
      <c r="O254" t="str">
        <f>IFERROR(INDEX(_courses_lookup!$C:$C,MATCH(K254&amp;L254,_courses_lookup!$E:$E,0)),"")</f>
        <v/>
      </c>
      <c r="P254" t="str">
        <f>IFERROR(INDEX(_courses_lookup!$D:$D,MATCH(K254&amp;L254,_courses_lookup!$E:$E,0)),"")</f>
        <v/>
      </c>
      <c r="AG254" t="str">
        <f t="shared" si="38"/>
        <v/>
      </c>
      <c r="AI254" t="str">
        <f t="shared" si="39"/>
        <v/>
      </c>
      <c r="AL254" t="str">
        <f t="shared" si="40"/>
        <v/>
      </c>
      <c r="AN254" t="str">
        <f t="shared" si="41"/>
        <v/>
      </c>
      <c r="AQ254" t="str">
        <f t="shared" si="42"/>
        <v/>
      </c>
      <c r="AR254" t="str">
        <f t="shared" si="43"/>
        <v/>
      </c>
      <c r="AS254" t="str">
        <f t="shared" si="44"/>
        <v/>
      </c>
      <c r="AT254" t="str">
        <f t="shared" si="45"/>
        <v/>
      </c>
      <c r="BG254" t="str">
        <f t="shared" si="46"/>
        <v/>
      </c>
      <c r="BH254" t="str">
        <f t="shared" si="47"/>
        <v/>
      </c>
      <c r="BL254" t="str">
        <f>IFERROR(INDEX(_names_lookup!$C:$C,MATCH(BK254,_names_lookup!$A:$A,0)),"")</f>
        <v/>
      </c>
      <c r="BM254" t="str">
        <f>IFERROR(INDEX(_names_lookup!$B:$B,MATCH(BK254,_names_lookup!$A:$A,0)),"")</f>
        <v/>
      </c>
      <c r="BS254" t="str">
        <f t="shared" si="48"/>
        <v/>
      </c>
    </row>
    <row r="255" spans="15:71" x14ac:dyDescent="0.2">
      <c r="O255" t="str">
        <f>IFERROR(INDEX(_courses_lookup!$C:$C,MATCH(K255&amp;L255,_courses_lookup!$E:$E,0)),"")</f>
        <v/>
      </c>
      <c r="P255" t="str">
        <f>IFERROR(INDEX(_courses_lookup!$D:$D,MATCH(K255&amp;L255,_courses_lookup!$E:$E,0)),"")</f>
        <v/>
      </c>
      <c r="AG255" t="str">
        <f t="shared" si="38"/>
        <v/>
      </c>
      <c r="AI255" t="str">
        <f t="shared" si="39"/>
        <v/>
      </c>
      <c r="AL255" t="str">
        <f t="shared" si="40"/>
        <v/>
      </c>
      <c r="AN255" t="str">
        <f t="shared" si="41"/>
        <v/>
      </c>
      <c r="AQ255" t="str">
        <f t="shared" si="42"/>
        <v/>
      </c>
      <c r="AR255" t="str">
        <f t="shared" si="43"/>
        <v/>
      </c>
      <c r="AS255" t="str">
        <f t="shared" si="44"/>
        <v/>
      </c>
      <c r="AT255" t="str">
        <f t="shared" si="45"/>
        <v/>
      </c>
      <c r="BG255" t="str">
        <f t="shared" si="46"/>
        <v/>
      </c>
      <c r="BH255" t="str">
        <f t="shared" si="47"/>
        <v/>
      </c>
      <c r="BL255" t="str">
        <f>IFERROR(INDEX(_names_lookup!$C:$C,MATCH(BK255,_names_lookup!$A:$A,0)),"")</f>
        <v/>
      </c>
      <c r="BM255" t="str">
        <f>IFERROR(INDEX(_names_lookup!$B:$B,MATCH(BK255,_names_lookup!$A:$A,0)),"")</f>
        <v/>
      </c>
      <c r="BS255" t="str">
        <f t="shared" si="48"/>
        <v/>
      </c>
    </row>
    <row r="256" spans="15:71" x14ac:dyDescent="0.2">
      <c r="O256" t="str">
        <f>IFERROR(INDEX(_courses_lookup!$C:$C,MATCH(K256&amp;L256,_courses_lookup!$E:$E,0)),"")</f>
        <v/>
      </c>
      <c r="P256" t="str">
        <f>IFERROR(INDEX(_courses_lookup!$D:$D,MATCH(K256&amp;L256,_courses_lookup!$E:$E,0)),"")</f>
        <v/>
      </c>
      <c r="AG256" t="str">
        <f t="shared" si="38"/>
        <v/>
      </c>
      <c r="AI256" t="str">
        <f t="shared" si="39"/>
        <v/>
      </c>
      <c r="AL256" t="str">
        <f t="shared" si="40"/>
        <v/>
      </c>
      <c r="AN256" t="str">
        <f t="shared" si="41"/>
        <v/>
      </c>
      <c r="AQ256" t="str">
        <f t="shared" si="42"/>
        <v/>
      </c>
      <c r="AR256" t="str">
        <f t="shared" si="43"/>
        <v/>
      </c>
      <c r="AS256" t="str">
        <f t="shared" si="44"/>
        <v/>
      </c>
      <c r="AT256" t="str">
        <f t="shared" si="45"/>
        <v/>
      </c>
      <c r="BG256" t="str">
        <f t="shared" si="46"/>
        <v/>
      </c>
      <c r="BH256" t="str">
        <f t="shared" si="47"/>
        <v/>
      </c>
      <c r="BL256" t="str">
        <f>IFERROR(INDEX(_names_lookup!$C:$C,MATCH(BK256,_names_lookup!$A:$A,0)),"")</f>
        <v/>
      </c>
      <c r="BM256" t="str">
        <f>IFERROR(INDEX(_names_lookup!$B:$B,MATCH(BK256,_names_lookup!$A:$A,0)),"")</f>
        <v/>
      </c>
      <c r="BS256" t="str">
        <f t="shared" si="48"/>
        <v/>
      </c>
    </row>
    <row r="257" spans="15:71" x14ac:dyDescent="0.2">
      <c r="O257" t="str">
        <f>IFERROR(INDEX(_courses_lookup!$C:$C,MATCH(K257&amp;L257,_courses_lookup!$E:$E,0)),"")</f>
        <v/>
      </c>
      <c r="P257" t="str">
        <f>IFERROR(INDEX(_courses_lookup!$D:$D,MATCH(K257&amp;L257,_courses_lookup!$E:$E,0)),"")</f>
        <v/>
      </c>
      <c r="AG257" t="str">
        <f t="shared" si="38"/>
        <v/>
      </c>
      <c r="AI257" t="str">
        <f t="shared" si="39"/>
        <v/>
      </c>
      <c r="AL257" t="str">
        <f t="shared" si="40"/>
        <v/>
      </c>
      <c r="AN257" t="str">
        <f t="shared" si="41"/>
        <v/>
      </c>
      <c r="AQ257" t="str">
        <f t="shared" si="42"/>
        <v/>
      </c>
      <c r="AR257" t="str">
        <f t="shared" si="43"/>
        <v/>
      </c>
      <c r="AS257" t="str">
        <f t="shared" si="44"/>
        <v/>
      </c>
      <c r="AT257" t="str">
        <f t="shared" si="45"/>
        <v/>
      </c>
      <c r="BG257" t="str">
        <f t="shared" si="46"/>
        <v/>
      </c>
      <c r="BH257" t="str">
        <f t="shared" si="47"/>
        <v/>
      </c>
      <c r="BL257" t="str">
        <f>IFERROR(INDEX(_names_lookup!$C:$C,MATCH(BK257,_names_lookup!$A:$A,0)),"")</f>
        <v/>
      </c>
      <c r="BM257" t="str">
        <f>IFERROR(INDEX(_names_lookup!$B:$B,MATCH(BK257,_names_lookup!$A:$A,0)),"")</f>
        <v/>
      </c>
      <c r="BS257" t="str">
        <f t="shared" si="48"/>
        <v/>
      </c>
    </row>
    <row r="258" spans="15:71" x14ac:dyDescent="0.2">
      <c r="O258" t="str">
        <f>IFERROR(INDEX(_courses_lookup!$C:$C,MATCH(K258&amp;L258,_courses_lookup!$E:$E,0)),"")</f>
        <v/>
      </c>
      <c r="P258" t="str">
        <f>IFERROR(INDEX(_courses_lookup!$D:$D,MATCH(K258&amp;L258,_courses_lookup!$E:$E,0)),"")</f>
        <v/>
      </c>
      <c r="AG258" t="str">
        <f t="shared" ref="AG258:AG321" si="49">IF(AND(AE258&lt;&gt;"",AF258&lt;&gt;""),ROUNDUP((AF258-AE258)/7,0),"")</f>
        <v/>
      </c>
      <c r="AI258" t="str">
        <f t="shared" ref="AI258:AI321" si="50">IFERROR(IF(AG258*AH258=0,"",AG258*AH258),"")</f>
        <v/>
      </c>
      <c r="AL258" t="str">
        <f t="shared" ref="AL258:AL321" si="51">IF(AND(AJ258&lt;&gt;"",AK258&lt;&gt;""),ROUNDUP((AK258-AJ258)/7,0),"")</f>
        <v/>
      </c>
      <c r="AN258" t="str">
        <f t="shared" ref="AN258:AN321" si="52">IFERROR(IF(AL258*AM258=0,"",AL258*AM258),"")</f>
        <v/>
      </c>
      <c r="AQ258" t="str">
        <f t="shared" ref="AQ258:AQ321" si="53">IF(AND(AO258&lt;&gt;"",AP258&lt;&gt;""),ROUNDUP((AP258-AO258)/7,0),"")</f>
        <v/>
      </c>
      <c r="AR258" t="str">
        <f t="shared" ref="AR258:AR321" si="54">IFERROR(IF((AU258-(AI258+AN258))/AQ258=0,"",ROUNDUP((AU258-(AI258+AN258))/AQ258,0)),"")</f>
        <v/>
      </c>
      <c r="AS258" t="str">
        <f t="shared" ref="AS258:AS300" si="55">IFERROR(IF((AU258-(AI258+AN258))=0,"",(AU258-(AI258+AN258))),"")</f>
        <v/>
      </c>
      <c r="AT258" t="str">
        <f t="shared" ref="AT258:AT300" si="56">IF(AND(AG258="",AQ258=""),AL258,IF(SUM(AG258,AL258,AQ258)=0,"",SUM(AG258,AL258,AQ258)))</f>
        <v/>
      </c>
      <c r="BG258" t="str">
        <f t="shared" ref="BG258:BG300" si="57">IF(AD258="","",YEAR(AD258)+IF(MONTH(AD258)&gt;=5,1,0))</f>
        <v/>
      </c>
      <c r="BH258" t="str">
        <f t="shared" ref="BH258:BH300" si="58">IF(AD258="","",IF(AND(MONTH(AD258)=8,DAY(AD258)&gt;=15),"Fall",IF(MONTH(AD258)&gt;8,"Fall",IF(MONTH(AD258)=5,"Summer",IF(MONTH(AD258)=1,"Spring","")))))</f>
        <v/>
      </c>
      <c r="BL258" t="str">
        <f>IFERROR(INDEX(_names_lookup!$C:$C,MATCH(BK258,_names_lookup!$A:$A,0)),"")</f>
        <v/>
      </c>
      <c r="BM258" t="str">
        <f>IFERROR(INDEX(_names_lookup!$B:$B,MATCH(BK258,_names_lookup!$A:$A,0)),"")</f>
        <v/>
      </c>
      <c r="BS258" t="str">
        <f t="shared" ref="BS258:BS321" si="59">IFERROR(IF(BR258*AA258=0,"",BR258*AA258),"")</f>
        <v/>
      </c>
    </row>
    <row r="259" spans="15:71" x14ac:dyDescent="0.2">
      <c r="O259" t="str">
        <f>IFERROR(INDEX(_courses_lookup!$C:$C,MATCH(K259&amp;L259,_courses_lookup!$E:$E,0)),"")</f>
        <v/>
      </c>
      <c r="P259" t="str">
        <f>IFERROR(INDEX(_courses_lookup!$D:$D,MATCH(K259&amp;L259,_courses_lookup!$E:$E,0)),"")</f>
        <v/>
      </c>
      <c r="AG259" t="str">
        <f t="shared" si="49"/>
        <v/>
      </c>
      <c r="AI259" t="str">
        <f t="shared" si="50"/>
        <v/>
      </c>
      <c r="AL259" t="str">
        <f t="shared" si="51"/>
        <v/>
      </c>
      <c r="AN259" t="str">
        <f t="shared" si="52"/>
        <v/>
      </c>
      <c r="AQ259" t="str">
        <f t="shared" si="53"/>
        <v/>
      </c>
      <c r="AR259" t="str">
        <f t="shared" si="54"/>
        <v/>
      </c>
      <c r="AS259" t="str">
        <f t="shared" si="55"/>
        <v/>
      </c>
      <c r="AT259" t="str">
        <f t="shared" si="56"/>
        <v/>
      </c>
      <c r="BG259" t="str">
        <f t="shared" si="57"/>
        <v/>
      </c>
      <c r="BH259" t="str">
        <f t="shared" si="58"/>
        <v/>
      </c>
      <c r="BL259" t="str">
        <f>IFERROR(INDEX(_names_lookup!$C:$C,MATCH(BK259,_names_lookup!$A:$A,0)),"")</f>
        <v/>
      </c>
      <c r="BM259" t="str">
        <f>IFERROR(INDEX(_names_lookup!$B:$B,MATCH(BK259,_names_lookup!$A:$A,0)),"")</f>
        <v/>
      </c>
      <c r="BS259" t="str">
        <f t="shared" si="59"/>
        <v/>
      </c>
    </row>
    <row r="260" spans="15:71" x14ac:dyDescent="0.2">
      <c r="O260" t="str">
        <f>IFERROR(INDEX(_courses_lookup!$C:$C,MATCH(K260&amp;L260,_courses_lookup!$E:$E,0)),"")</f>
        <v/>
      </c>
      <c r="P260" t="str">
        <f>IFERROR(INDEX(_courses_lookup!$D:$D,MATCH(K260&amp;L260,_courses_lookup!$E:$E,0)),"")</f>
        <v/>
      </c>
      <c r="AG260" t="str">
        <f t="shared" si="49"/>
        <v/>
      </c>
      <c r="AI260" t="str">
        <f t="shared" si="50"/>
        <v/>
      </c>
      <c r="AL260" t="str">
        <f t="shared" si="51"/>
        <v/>
      </c>
      <c r="AN260" t="str">
        <f t="shared" si="52"/>
        <v/>
      </c>
      <c r="AQ260" t="str">
        <f t="shared" si="53"/>
        <v/>
      </c>
      <c r="AR260" t="str">
        <f t="shared" si="54"/>
        <v/>
      </c>
      <c r="AS260" t="str">
        <f t="shared" si="55"/>
        <v/>
      </c>
      <c r="AT260" t="str">
        <f t="shared" si="56"/>
        <v/>
      </c>
      <c r="BG260" t="str">
        <f t="shared" si="57"/>
        <v/>
      </c>
      <c r="BH260" t="str">
        <f t="shared" si="58"/>
        <v/>
      </c>
      <c r="BL260" t="str">
        <f>IFERROR(INDEX(_names_lookup!$C:$C,MATCH(BK260,_names_lookup!$A:$A,0)),"")</f>
        <v/>
      </c>
      <c r="BM260" t="str">
        <f>IFERROR(INDEX(_names_lookup!$B:$B,MATCH(BK260,_names_lookup!$A:$A,0)),"")</f>
        <v/>
      </c>
      <c r="BS260" t="str">
        <f t="shared" si="59"/>
        <v/>
      </c>
    </row>
    <row r="261" spans="15:71" x14ac:dyDescent="0.2">
      <c r="O261" t="str">
        <f>IFERROR(INDEX(_courses_lookup!$C:$C,MATCH(K261&amp;L261,_courses_lookup!$E:$E,0)),"")</f>
        <v/>
      </c>
      <c r="P261" t="str">
        <f>IFERROR(INDEX(_courses_lookup!$D:$D,MATCH(K261&amp;L261,_courses_lookup!$E:$E,0)),"")</f>
        <v/>
      </c>
      <c r="AG261" t="str">
        <f t="shared" si="49"/>
        <v/>
      </c>
      <c r="AI261" t="str">
        <f t="shared" si="50"/>
        <v/>
      </c>
      <c r="AL261" t="str">
        <f t="shared" si="51"/>
        <v/>
      </c>
      <c r="AN261" t="str">
        <f t="shared" si="52"/>
        <v/>
      </c>
      <c r="AQ261" t="str">
        <f t="shared" si="53"/>
        <v/>
      </c>
      <c r="AR261" t="str">
        <f t="shared" si="54"/>
        <v/>
      </c>
      <c r="AS261" t="str">
        <f t="shared" si="55"/>
        <v/>
      </c>
      <c r="AT261" t="str">
        <f t="shared" si="56"/>
        <v/>
      </c>
      <c r="BG261" t="str">
        <f t="shared" si="57"/>
        <v/>
      </c>
      <c r="BH261" t="str">
        <f t="shared" si="58"/>
        <v/>
      </c>
      <c r="BL261" t="str">
        <f>IFERROR(INDEX(_names_lookup!$C:$C,MATCH(BK261,_names_lookup!$A:$A,0)),"")</f>
        <v/>
      </c>
      <c r="BM261" t="str">
        <f>IFERROR(INDEX(_names_lookup!$B:$B,MATCH(BK261,_names_lookup!$A:$A,0)),"")</f>
        <v/>
      </c>
      <c r="BS261" t="str">
        <f t="shared" si="59"/>
        <v/>
      </c>
    </row>
    <row r="262" spans="15:71" x14ac:dyDescent="0.2">
      <c r="O262" t="str">
        <f>IFERROR(INDEX(_courses_lookup!$C:$C,MATCH(K262&amp;L262,_courses_lookup!$E:$E,0)),"")</f>
        <v/>
      </c>
      <c r="P262" t="str">
        <f>IFERROR(INDEX(_courses_lookup!$D:$D,MATCH(K262&amp;L262,_courses_lookup!$E:$E,0)),"")</f>
        <v/>
      </c>
      <c r="AG262" t="str">
        <f t="shared" si="49"/>
        <v/>
      </c>
      <c r="AI262" t="str">
        <f t="shared" si="50"/>
        <v/>
      </c>
      <c r="AL262" t="str">
        <f t="shared" si="51"/>
        <v/>
      </c>
      <c r="AN262" t="str">
        <f t="shared" si="52"/>
        <v/>
      </c>
      <c r="AQ262" t="str">
        <f t="shared" si="53"/>
        <v/>
      </c>
      <c r="AR262" t="str">
        <f t="shared" si="54"/>
        <v/>
      </c>
      <c r="AS262" t="str">
        <f t="shared" si="55"/>
        <v/>
      </c>
      <c r="AT262" t="str">
        <f t="shared" si="56"/>
        <v/>
      </c>
      <c r="BG262" t="str">
        <f t="shared" si="57"/>
        <v/>
      </c>
      <c r="BH262" t="str">
        <f t="shared" si="58"/>
        <v/>
      </c>
      <c r="BL262" t="str">
        <f>IFERROR(INDEX(_names_lookup!$C:$C,MATCH(BK262,_names_lookup!$A:$A,0)),"")</f>
        <v/>
      </c>
      <c r="BM262" t="str">
        <f>IFERROR(INDEX(_names_lookup!$B:$B,MATCH(BK262,_names_lookup!$A:$A,0)),"")</f>
        <v/>
      </c>
      <c r="BS262" t="str">
        <f t="shared" si="59"/>
        <v/>
      </c>
    </row>
    <row r="263" spans="15:71" x14ac:dyDescent="0.2">
      <c r="O263" t="str">
        <f>IFERROR(INDEX(_courses_lookup!$C:$C,MATCH(K263&amp;L263,_courses_lookup!$E:$E,0)),"")</f>
        <v/>
      </c>
      <c r="P263" t="str">
        <f>IFERROR(INDEX(_courses_lookup!$D:$D,MATCH(K263&amp;L263,_courses_lookup!$E:$E,0)),"")</f>
        <v/>
      </c>
      <c r="AG263" t="str">
        <f t="shared" si="49"/>
        <v/>
      </c>
      <c r="AI263" t="str">
        <f t="shared" si="50"/>
        <v/>
      </c>
      <c r="AL263" t="str">
        <f t="shared" si="51"/>
        <v/>
      </c>
      <c r="AN263" t="str">
        <f t="shared" si="52"/>
        <v/>
      </c>
      <c r="AQ263" t="str">
        <f t="shared" si="53"/>
        <v/>
      </c>
      <c r="AR263" t="str">
        <f t="shared" si="54"/>
        <v/>
      </c>
      <c r="AS263" t="str">
        <f t="shared" si="55"/>
        <v/>
      </c>
      <c r="AT263" t="str">
        <f t="shared" si="56"/>
        <v/>
      </c>
      <c r="BG263" t="str">
        <f t="shared" si="57"/>
        <v/>
      </c>
      <c r="BH263" t="str">
        <f t="shared" si="58"/>
        <v/>
      </c>
      <c r="BL263" t="str">
        <f>IFERROR(INDEX(_names_lookup!$C:$C,MATCH(BK263,_names_lookup!$A:$A,0)),"")</f>
        <v/>
      </c>
      <c r="BM263" t="str">
        <f>IFERROR(INDEX(_names_lookup!$B:$B,MATCH(BK263,_names_lookup!$A:$A,0)),"")</f>
        <v/>
      </c>
      <c r="BS263" t="str">
        <f t="shared" si="59"/>
        <v/>
      </c>
    </row>
    <row r="264" spans="15:71" x14ac:dyDescent="0.2">
      <c r="O264" t="str">
        <f>IFERROR(INDEX(_courses_lookup!$C:$C,MATCH(K264&amp;L264,_courses_lookup!$E:$E,0)),"")</f>
        <v/>
      </c>
      <c r="P264" t="str">
        <f>IFERROR(INDEX(_courses_lookup!$D:$D,MATCH(K264&amp;L264,_courses_lookup!$E:$E,0)),"")</f>
        <v/>
      </c>
      <c r="AG264" t="str">
        <f t="shared" si="49"/>
        <v/>
      </c>
      <c r="AI264" t="str">
        <f t="shared" si="50"/>
        <v/>
      </c>
      <c r="AL264" t="str">
        <f t="shared" si="51"/>
        <v/>
      </c>
      <c r="AN264" t="str">
        <f t="shared" si="52"/>
        <v/>
      </c>
      <c r="AQ264" t="str">
        <f t="shared" si="53"/>
        <v/>
      </c>
      <c r="AR264" t="str">
        <f t="shared" si="54"/>
        <v/>
      </c>
      <c r="AS264" t="str">
        <f t="shared" si="55"/>
        <v/>
      </c>
      <c r="AT264" t="str">
        <f t="shared" si="56"/>
        <v/>
      </c>
      <c r="BG264" t="str">
        <f t="shared" si="57"/>
        <v/>
      </c>
      <c r="BH264" t="str">
        <f t="shared" si="58"/>
        <v/>
      </c>
      <c r="BL264" t="str">
        <f>IFERROR(INDEX(_names_lookup!$C:$C,MATCH(BK264,_names_lookup!$A:$A,0)),"")</f>
        <v/>
      </c>
      <c r="BM264" t="str">
        <f>IFERROR(INDEX(_names_lookup!$B:$B,MATCH(BK264,_names_lookup!$A:$A,0)),"")</f>
        <v/>
      </c>
      <c r="BS264" t="str">
        <f t="shared" si="59"/>
        <v/>
      </c>
    </row>
    <row r="265" spans="15:71" x14ac:dyDescent="0.2">
      <c r="O265" t="str">
        <f>IFERROR(INDEX(_courses_lookup!$C:$C,MATCH(K265&amp;L265,_courses_lookup!$E:$E,0)),"")</f>
        <v/>
      </c>
      <c r="P265" t="str">
        <f>IFERROR(INDEX(_courses_lookup!$D:$D,MATCH(K265&amp;L265,_courses_lookup!$E:$E,0)),"")</f>
        <v/>
      </c>
      <c r="AG265" t="str">
        <f t="shared" si="49"/>
        <v/>
      </c>
      <c r="AI265" t="str">
        <f t="shared" si="50"/>
        <v/>
      </c>
      <c r="AL265" t="str">
        <f t="shared" si="51"/>
        <v/>
      </c>
      <c r="AN265" t="str">
        <f t="shared" si="52"/>
        <v/>
      </c>
      <c r="AQ265" t="str">
        <f t="shared" si="53"/>
        <v/>
      </c>
      <c r="AR265" t="str">
        <f t="shared" si="54"/>
        <v/>
      </c>
      <c r="AS265" t="str">
        <f t="shared" si="55"/>
        <v/>
      </c>
      <c r="AT265" t="str">
        <f t="shared" si="56"/>
        <v/>
      </c>
      <c r="BG265" t="str">
        <f t="shared" si="57"/>
        <v/>
      </c>
      <c r="BH265" t="str">
        <f t="shared" si="58"/>
        <v/>
      </c>
      <c r="BL265" t="str">
        <f>IFERROR(INDEX(_names_lookup!$C:$C,MATCH(BK265,_names_lookup!$A:$A,0)),"")</f>
        <v/>
      </c>
      <c r="BM265" t="str">
        <f>IFERROR(INDEX(_names_lookup!$B:$B,MATCH(BK265,_names_lookup!$A:$A,0)),"")</f>
        <v/>
      </c>
      <c r="BS265" t="str">
        <f t="shared" si="59"/>
        <v/>
      </c>
    </row>
    <row r="266" spans="15:71" x14ac:dyDescent="0.2">
      <c r="O266" t="str">
        <f>IFERROR(INDEX(_courses_lookup!$C:$C,MATCH(K266&amp;L266,_courses_lookup!$E:$E,0)),"")</f>
        <v/>
      </c>
      <c r="P266" t="str">
        <f>IFERROR(INDEX(_courses_lookup!$D:$D,MATCH(K266&amp;L266,_courses_lookup!$E:$E,0)),"")</f>
        <v/>
      </c>
      <c r="AG266" t="str">
        <f t="shared" si="49"/>
        <v/>
      </c>
      <c r="AI266" t="str">
        <f t="shared" si="50"/>
        <v/>
      </c>
      <c r="AL266" t="str">
        <f t="shared" si="51"/>
        <v/>
      </c>
      <c r="AN266" t="str">
        <f t="shared" si="52"/>
        <v/>
      </c>
      <c r="AQ266" t="str">
        <f t="shared" si="53"/>
        <v/>
      </c>
      <c r="AR266" t="str">
        <f t="shared" si="54"/>
        <v/>
      </c>
      <c r="AS266" t="str">
        <f t="shared" si="55"/>
        <v/>
      </c>
      <c r="AT266" t="str">
        <f t="shared" si="56"/>
        <v/>
      </c>
      <c r="BG266" t="str">
        <f t="shared" si="57"/>
        <v/>
      </c>
      <c r="BH266" t="str">
        <f t="shared" si="58"/>
        <v/>
      </c>
      <c r="BL266" t="str">
        <f>IFERROR(INDEX(_names_lookup!$C:$C,MATCH(BK266,_names_lookup!$A:$A,0)),"")</f>
        <v/>
      </c>
      <c r="BM266" t="str">
        <f>IFERROR(INDEX(_names_lookup!$B:$B,MATCH(BK266,_names_lookup!$A:$A,0)),"")</f>
        <v/>
      </c>
      <c r="BS266" t="str">
        <f t="shared" si="59"/>
        <v/>
      </c>
    </row>
    <row r="267" spans="15:71" x14ac:dyDescent="0.2">
      <c r="O267" t="str">
        <f>IFERROR(INDEX(_courses_lookup!$C:$C,MATCH(K267&amp;L267,_courses_lookup!$E:$E,0)),"")</f>
        <v/>
      </c>
      <c r="P267" t="str">
        <f>IFERROR(INDEX(_courses_lookup!$D:$D,MATCH(K267&amp;L267,_courses_lookup!$E:$E,0)),"")</f>
        <v/>
      </c>
      <c r="AG267" t="str">
        <f t="shared" si="49"/>
        <v/>
      </c>
      <c r="AI267" t="str">
        <f t="shared" si="50"/>
        <v/>
      </c>
      <c r="AL267" t="str">
        <f t="shared" si="51"/>
        <v/>
      </c>
      <c r="AN267" t="str">
        <f t="shared" si="52"/>
        <v/>
      </c>
      <c r="AQ267" t="str">
        <f t="shared" si="53"/>
        <v/>
      </c>
      <c r="AR267" t="str">
        <f t="shared" si="54"/>
        <v/>
      </c>
      <c r="AS267" t="str">
        <f t="shared" si="55"/>
        <v/>
      </c>
      <c r="AT267" t="str">
        <f t="shared" si="56"/>
        <v/>
      </c>
      <c r="BG267" t="str">
        <f t="shared" si="57"/>
        <v/>
      </c>
      <c r="BH267" t="str">
        <f t="shared" si="58"/>
        <v/>
      </c>
      <c r="BL267" t="str">
        <f>IFERROR(INDEX(_names_lookup!$C:$C,MATCH(BK267,_names_lookup!$A:$A,0)),"")</f>
        <v/>
      </c>
      <c r="BM267" t="str">
        <f>IFERROR(INDEX(_names_lookup!$B:$B,MATCH(BK267,_names_lookup!$A:$A,0)),"")</f>
        <v/>
      </c>
      <c r="BS267" t="str">
        <f t="shared" si="59"/>
        <v/>
      </c>
    </row>
    <row r="268" spans="15:71" x14ac:dyDescent="0.2">
      <c r="O268" t="str">
        <f>IFERROR(INDEX(_courses_lookup!$C:$C,MATCH(K268&amp;L268,_courses_lookup!$E:$E,0)),"")</f>
        <v/>
      </c>
      <c r="P268" t="str">
        <f>IFERROR(INDEX(_courses_lookup!$D:$D,MATCH(K268&amp;L268,_courses_lookup!$E:$E,0)),"")</f>
        <v/>
      </c>
      <c r="AG268" t="str">
        <f t="shared" si="49"/>
        <v/>
      </c>
      <c r="AI268" t="str">
        <f t="shared" si="50"/>
        <v/>
      </c>
      <c r="AL268" t="str">
        <f t="shared" si="51"/>
        <v/>
      </c>
      <c r="AN268" t="str">
        <f t="shared" si="52"/>
        <v/>
      </c>
      <c r="AQ268" t="str">
        <f t="shared" si="53"/>
        <v/>
      </c>
      <c r="AR268" t="str">
        <f t="shared" si="54"/>
        <v/>
      </c>
      <c r="AS268" t="str">
        <f t="shared" si="55"/>
        <v/>
      </c>
      <c r="AT268" t="str">
        <f t="shared" si="56"/>
        <v/>
      </c>
      <c r="BG268" t="str">
        <f t="shared" si="57"/>
        <v/>
      </c>
      <c r="BH268" t="str">
        <f t="shared" si="58"/>
        <v/>
      </c>
      <c r="BL268" t="str">
        <f>IFERROR(INDEX(_names_lookup!$C:$C,MATCH(BK268,_names_lookup!$A:$A,0)),"")</f>
        <v/>
      </c>
      <c r="BM268" t="str">
        <f>IFERROR(INDEX(_names_lookup!$B:$B,MATCH(BK268,_names_lookup!$A:$A,0)),"")</f>
        <v/>
      </c>
      <c r="BS268" t="str">
        <f t="shared" si="59"/>
        <v/>
      </c>
    </row>
    <row r="269" spans="15:71" x14ac:dyDescent="0.2">
      <c r="O269" t="str">
        <f>IFERROR(INDEX(_courses_lookup!$C:$C,MATCH(K269&amp;L269,_courses_lookup!$E:$E,0)),"")</f>
        <v/>
      </c>
      <c r="P269" t="str">
        <f>IFERROR(INDEX(_courses_lookup!$D:$D,MATCH(K269&amp;L269,_courses_lookup!$E:$E,0)),"")</f>
        <v/>
      </c>
      <c r="AG269" t="str">
        <f t="shared" si="49"/>
        <v/>
      </c>
      <c r="AI269" t="str">
        <f t="shared" si="50"/>
        <v/>
      </c>
      <c r="AL269" t="str">
        <f t="shared" si="51"/>
        <v/>
      </c>
      <c r="AN269" t="str">
        <f t="shared" si="52"/>
        <v/>
      </c>
      <c r="AQ269" t="str">
        <f t="shared" si="53"/>
        <v/>
      </c>
      <c r="AR269" t="str">
        <f t="shared" si="54"/>
        <v/>
      </c>
      <c r="AS269" t="str">
        <f t="shared" si="55"/>
        <v/>
      </c>
      <c r="AT269" t="str">
        <f t="shared" si="56"/>
        <v/>
      </c>
      <c r="BG269" t="str">
        <f t="shared" si="57"/>
        <v/>
      </c>
      <c r="BH269" t="str">
        <f t="shared" si="58"/>
        <v/>
      </c>
      <c r="BL269" t="str">
        <f>IFERROR(INDEX(_names_lookup!$C:$C,MATCH(BK269,_names_lookup!$A:$A,0)),"")</f>
        <v/>
      </c>
      <c r="BM269" t="str">
        <f>IFERROR(INDEX(_names_lookup!$B:$B,MATCH(BK269,_names_lookup!$A:$A,0)),"")</f>
        <v/>
      </c>
      <c r="BS269" t="str">
        <f t="shared" si="59"/>
        <v/>
      </c>
    </row>
    <row r="270" spans="15:71" x14ac:dyDescent="0.2">
      <c r="O270" t="str">
        <f>IFERROR(INDEX(_courses_lookup!$C:$C,MATCH(K270&amp;L270,_courses_lookup!$E:$E,0)),"")</f>
        <v/>
      </c>
      <c r="P270" t="str">
        <f>IFERROR(INDEX(_courses_lookup!$D:$D,MATCH(K270&amp;L270,_courses_lookup!$E:$E,0)),"")</f>
        <v/>
      </c>
      <c r="AG270" t="str">
        <f t="shared" si="49"/>
        <v/>
      </c>
      <c r="AI270" t="str">
        <f t="shared" si="50"/>
        <v/>
      </c>
      <c r="AL270" t="str">
        <f t="shared" si="51"/>
        <v/>
      </c>
      <c r="AN270" t="str">
        <f t="shared" si="52"/>
        <v/>
      </c>
      <c r="AQ270" t="str">
        <f t="shared" si="53"/>
        <v/>
      </c>
      <c r="AR270" t="str">
        <f t="shared" si="54"/>
        <v/>
      </c>
      <c r="AS270" t="str">
        <f t="shared" si="55"/>
        <v/>
      </c>
      <c r="AT270" t="str">
        <f t="shared" si="56"/>
        <v/>
      </c>
      <c r="BG270" t="str">
        <f t="shared" si="57"/>
        <v/>
      </c>
      <c r="BH270" t="str">
        <f t="shared" si="58"/>
        <v/>
      </c>
      <c r="BL270" t="str">
        <f>IFERROR(INDEX(_names_lookup!$C:$C,MATCH(BK270,_names_lookup!$A:$A,0)),"")</f>
        <v/>
      </c>
      <c r="BM270" t="str">
        <f>IFERROR(INDEX(_names_lookup!$B:$B,MATCH(BK270,_names_lookup!$A:$A,0)),"")</f>
        <v/>
      </c>
      <c r="BS270" t="str">
        <f t="shared" si="59"/>
        <v/>
      </c>
    </row>
    <row r="271" spans="15:71" x14ac:dyDescent="0.2">
      <c r="O271" t="str">
        <f>IFERROR(INDEX(_courses_lookup!$C:$C,MATCH(K271&amp;L271,_courses_lookup!$E:$E,0)),"")</f>
        <v/>
      </c>
      <c r="P271" t="str">
        <f>IFERROR(INDEX(_courses_lookup!$D:$D,MATCH(K271&amp;L271,_courses_lookup!$E:$E,0)),"")</f>
        <v/>
      </c>
      <c r="AG271" t="str">
        <f t="shared" si="49"/>
        <v/>
      </c>
      <c r="AI271" t="str">
        <f t="shared" si="50"/>
        <v/>
      </c>
      <c r="AL271" t="str">
        <f t="shared" si="51"/>
        <v/>
      </c>
      <c r="AN271" t="str">
        <f t="shared" si="52"/>
        <v/>
      </c>
      <c r="AQ271" t="str">
        <f t="shared" si="53"/>
        <v/>
      </c>
      <c r="AR271" t="str">
        <f t="shared" si="54"/>
        <v/>
      </c>
      <c r="AS271" t="str">
        <f t="shared" si="55"/>
        <v/>
      </c>
      <c r="AT271" t="str">
        <f t="shared" si="56"/>
        <v/>
      </c>
      <c r="BG271" t="str">
        <f t="shared" si="57"/>
        <v/>
      </c>
      <c r="BH271" t="str">
        <f t="shared" si="58"/>
        <v/>
      </c>
      <c r="BL271" t="str">
        <f>IFERROR(INDEX(_names_lookup!$C:$C,MATCH(BK271,_names_lookup!$A:$A,0)),"")</f>
        <v/>
      </c>
      <c r="BM271" t="str">
        <f>IFERROR(INDEX(_names_lookup!$B:$B,MATCH(BK271,_names_lookup!$A:$A,0)),"")</f>
        <v/>
      </c>
      <c r="BS271" t="str">
        <f t="shared" si="59"/>
        <v/>
      </c>
    </row>
    <row r="272" spans="15:71" x14ac:dyDescent="0.2">
      <c r="O272" t="str">
        <f>IFERROR(INDEX(_courses_lookup!$C:$C,MATCH(K272&amp;L272,_courses_lookup!$E:$E,0)),"")</f>
        <v/>
      </c>
      <c r="P272" t="str">
        <f>IFERROR(INDEX(_courses_lookup!$D:$D,MATCH(K272&amp;L272,_courses_lookup!$E:$E,0)),"")</f>
        <v/>
      </c>
      <c r="AG272" t="str">
        <f t="shared" si="49"/>
        <v/>
      </c>
      <c r="AI272" t="str">
        <f t="shared" si="50"/>
        <v/>
      </c>
      <c r="AL272" t="str">
        <f t="shared" si="51"/>
        <v/>
      </c>
      <c r="AN272" t="str">
        <f t="shared" si="52"/>
        <v/>
      </c>
      <c r="AQ272" t="str">
        <f t="shared" si="53"/>
        <v/>
      </c>
      <c r="AR272" t="str">
        <f t="shared" si="54"/>
        <v/>
      </c>
      <c r="AS272" t="str">
        <f t="shared" si="55"/>
        <v/>
      </c>
      <c r="AT272" t="str">
        <f t="shared" si="56"/>
        <v/>
      </c>
      <c r="BG272" t="str">
        <f t="shared" si="57"/>
        <v/>
      </c>
      <c r="BH272" t="str">
        <f t="shared" si="58"/>
        <v/>
      </c>
      <c r="BL272" t="str">
        <f>IFERROR(INDEX(_names_lookup!$C:$C,MATCH(BK272,_names_lookup!$A:$A,0)),"")</f>
        <v/>
      </c>
      <c r="BM272" t="str">
        <f>IFERROR(INDEX(_names_lookup!$B:$B,MATCH(BK272,_names_lookup!$A:$A,0)),"")</f>
        <v/>
      </c>
      <c r="BS272" t="str">
        <f t="shared" si="59"/>
        <v/>
      </c>
    </row>
    <row r="273" spans="15:71" x14ac:dyDescent="0.2">
      <c r="O273" t="str">
        <f>IFERROR(INDEX(_courses_lookup!$C:$C,MATCH(K273&amp;L273,_courses_lookup!$E:$E,0)),"")</f>
        <v/>
      </c>
      <c r="P273" t="str">
        <f>IFERROR(INDEX(_courses_lookup!$D:$D,MATCH(K273&amp;L273,_courses_lookup!$E:$E,0)),"")</f>
        <v/>
      </c>
      <c r="AG273" t="str">
        <f t="shared" si="49"/>
        <v/>
      </c>
      <c r="AI273" t="str">
        <f t="shared" si="50"/>
        <v/>
      </c>
      <c r="AL273" t="str">
        <f t="shared" si="51"/>
        <v/>
      </c>
      <c r="AN273" t="str">
        <f t="shared" si="52"/>
        <v/>
      </c>
      <c r="AQ273" t="str">
        <f t="shared" si="53"/>
        <v/>
      </c>
      <c r="AR273" t="str">
        <f t="shared" si="54"/>
        <v/>
      </c>
      <c r="AS273" t="str">
        <f t="shared" si="55"/>
        <v/>
      </c>
      <c r="AT273" t="str">
        <f t="shared" si="56"/>
        <v/>
      </c>
      <c r="BG273" t="str">
        <f t="shared" si="57"/>
        <v/>
      </c>
      <c r="BH273" t="str">
        <f t="shared" si="58"/>
        <v/>
      </c>
      <c r="BL273" t="str">
        <f>IFERROR(INDEX(_names_lookup!$C:$C,MATCH(BK273,_names_lookup!$A:$A,0)),"")</f>
        <v/>
      </c>
      <c r="BM273" t="str">
        <f>IFERROR(INDEX(_names_lookup!$B:$B,MATCH(BK273,_names_lookup!$A:$A,0)),"")</f>
        <v/>
      </c>
      <c r="BS273" t="str">
        <f t="shared" si="59"/>
        <v/>
      </c>
    </row>
    <row r="274" spans="15:71" x14ac:dyDescent="0.2">
      <c r="O274" t="str">
        <f>IFERROR(INDEX(_courses_lookup!$C:$C,MATCH(K274&amp;L274,_courses_lookup!$E:$E,0)),"")</f>
        <v/>
      </c>
      <c r="P274" t="str">
        <f>IFERROR(INDEX(_courses_lookup!$D:$D,MATCH(K274&amp;L274,_courses_lookup!$E:$E,0)),"")</f>
        <v/>
      </c>
      <c r="AG274" t="str">
        <f t="shared" si="49"/>
        <v/>
      </c>
      <c r="AI274" t="str">
        <f t="shared" si="50"/>
        <v/>
      </c>
      <c r="AL274" t="str">
        <f t="shared" si="51"/>
        <v/>
      </c>
      <c r="AN274" t="str">
        <f t="shared" si="52"/>
        <v/>
      </c>
      <c r="AQ274" t="str">
        <f t="shared" si="53"/>
        <v/>
      </c>
      <c r="AR274" t="str">
        <f t="shared" si="54"/>
        <v/>
      </c>
      <c r="AS274" t="str">
        <f t="shared" si="55"/>
        <v/>
      </c>
      <c r="AT274" t="str">
        <f t="shared" si="56"/>
        <v/>
      </c>
      <c r="BG274" t="str">
        <f t="shared" si="57"/>
        <v/>
      </c>
      <c r="BH274" t="str">
        <f t="shared" si="58"/>
        <v/>
      </c>
      <c r="BL274" t="str">
        <f>IFERROR(INDEX(_names_lookup!$C:$C,MATCH(BK274,_names_lookup!$A:$A,0)),"")</f>
        <v/>
      </c>
      <c r="BM274" t="str">
        <f>IFERROR(INDEX(_names_lookup!$B:$B,MATCH(BK274,_names_lookup!$A:$A,0)),"")</f>
        <v/>
      </c>
      <c r="BS274" t="str">
        <f t="shared" si="59"/>
        <v/>
      </c>
    </row>
    <row r="275" spans="15:71" x14ac:dyDescent="0.2">
      <c r="O275" t="str">
        <f>IFERROR(INDEX(_courses_lookup!$C:$C,MATCH(K275&amp;L275,_courses_lookup!$E:$E,0)),"")</f>
        <v/>
      </c>
      <c r="P275" t="str">
        <f>IFERROR(INDEX(_courses_lookup!$D:$D,MATCH(K275&amp;L275,_courses_lookup!$E:$E,0)),"")</f>
        <v/>
      </c>
      <c r="AG275" t="str">
        <f t="shared" si="49"/>
        <v/>
      </c>
      <c r="AI275" t="str">
        <f t="shared" si="50"/>
        <v/>
      </c>
      <c r="AL275" t="str">
        <f t="shared" si="51"/>
        <v/>
      </c>
      <c r="AN275" t="str">
        <f t="shared" si="52"/>
        <v/>
      </c>
      <c r="AQ275" t="str">
        <f t="shared" si="53"/>
        <v/>
      </c>
      <c r="AR275" t="str">
        <f t="shared" si="54"/>
        <v/>
      </c>
      <c r="AS275" t="str">
        <f t="shared" si="55"/>
        <v/>
      </c>
      <c r="AT275" t="str">
        <f t="shared" si="56"/>
        <v/>
      </c>
      <c r="BG275" t="str">
        <f t="shared" si="57"/>
        <v/>
      </c>
      <c r="BH275" t="str">
        <f t="shared" si="58"/>
        <v/>
      </c>
      <c r="BL275" t="str">
        <f>IFERROR(INDEX(_names_lookup!$C:$C,MATCH(BK275,_names_lookup!$A:$A,0)),"")</f>
        <v/>
      </c>
      <c r="BM275" t="str">
        <f>IFERROR(INDEX(_names_lookup!$B:$B,MATCH(BK275,_names_lookup!$A:$A,0)),"")</f>
        <v/>
      </c>
      <c r="BS275" t="str">
        <f t="shared" si="59"/>
        <v/>
      </c>
    </row>
    <row r="276" spans="15:71" x14ac:dyDescent="0.2">
      <c r="O276" t="str">
        <f>IFERROR(INDEX(_courses_lookup!$C:$C,MATCH(K276&amp;L276,_courses_lookup!$E:$E,0)),"")</f>
        <v/>
      </c>
      <c r="P276" t="str">
        <f>IFERROR(INDEX(_courses_lookup!$D:$D,MATCH(K276&amp;L276,_courses_lookup!$E:$E,0)),"")</f>
        <v/>
      </c>
      <c r="AG276" t="str">
        <f t="shared" si="49"/>
        <v/>
      </c>
      <c r="AI276" t="str">
        <f t="shared" si="50"/>
        <v/>
      </c>
      <c r="AL276" t="str">
        <f t="shared" si="51"/>
        <v/>
      </c>
      <c r="AN276" t="str">
        <f t="shared" si="52"/>
        <v/>
      </c>
      <c r="AQ276" t="str">
        <f t="shared" si="53"/>
        <v/>
      </c>
      <c r="AR276" t="str">
        <f t="shared" si="54"/>
        <v/>
      </c>
      <c r="AS276" t="str">
        <f t="shared" si="55"/>
        <v/>
      </c>
      <c r="AT276" t="str">
        <f t="shared" si="56"/>
        <v/>
      </c>
      <c r="BG276" t="str">
        <f t="shared" si="57"/>
        <v/>
      </c>
      <c r="BH276" t="str">
        <f t="shared" si="58"/>
        <v/>
      </c>
      <c r="BL276" t="str">
        <f>IFERROR(INDEX(_names_lookup!$C:$C,MATCH(BK276,_names_lookup!$A:$A,0)),"")</f>
        <v/>
      </c>
      <c r="BM276" t="str">
        <f>IFERROR(INDEX(_names_lookup!$B:$B,MATCH(BK276,_names_lookup!$A:$A,0)),"")</f>
        <v/>
      </c>
      <c r="BS276" t="str">
        <f t="shared" si="59"/>
        <v/>
      </c>
    </row>
    <row r="277" spans="15:71" x14ac:dyDescent="0.2">
      <c r="O277" t="str">
        <f>IFERROR(INDEX(_courses_lookup!$C:$C,MATCH(K277&amp;L277,_courses_lookup!$E:$E,0)),"")</f>
        <v/>
      </c>
      <c r="P277" t="str">
        <f>IFERROR(INDEX(_courses_lookup!$D:$D,MATCH(K277&amp;L277,_courses_lookup!$E:$E,0)),"")</f>
        <v/>
      </c>
      <c r="AG277" t="str">
        <f t="shared" si="49"/>
        <v/>
      </c>
      <c r="AI277" t="str">
        <f t="shared" si="50"/>
        <v/>
      </c>
      <c r="AL277" t="str">
        <f t="shared" si="51"/>
        <v/>
      </c>
      <c r="AN277" t="str">
        <f t="shared" si="52"/>
        <v/>
      </c>
      <c r="AQ277" t="str">
        <f t="shared" si="53"/>
        <v/>
      </c>
      <c r="AR277" t="str">
        <f t="shared" si="54"/>
        <v/>
      </c>
      <c r="AS277" t="str">
        <f t="shared" si="55"/>
        <v/>
      </c>
      <c r="AT277" t="str">
        <f t="shared" si="56"/>
        <v/>
      </c>
      <c r="BG277" t="str">
        <f t="shared" si="57"/>
        <v/>
      </c>
      <c r="BH277" t="str">
        <f t="shared" si="58"/>
        <v/>
      </c>
      <c r="BL277" t="str">
        <f>IFERROR(INDEX(_names_lookup!$C:$C,MATCH(BK277,_names_lookup!$A:$A,0)),"")</f>
        <v/>
      </c>
      <c r="BM277" t="str">
        <f>IFERROR(INDEX(_names_lookup!$B:$B,MATCH(BK277,_names_lookup!$A:$A,0)),"")</f>
        <v/>
      </c>
      <c r="BS277" t="str">
        <f t="shared" si="59"/>
        <v/>
      </c>
    </row>
    <row r="278" spans="15:71" x14ac:dyDescent="0.2">
      <c r="O278" t="str">
        <f>IFERROR(INDEX(_courses_lookup!$C:$C,MATCH(K278&amp;L278,_courses_lookup!$E:$E,0)),"")</f>
        <v/>
      </c>
      <c r="P278" t="str">
        <f>IFERROR(INDEX(_courses_lookup!$D:$D,MATCH(K278&amp;L278,_courses_lookup!$E:$E,0)),"")</f>
        <v/>
      </c>
      <c r="AG278" t="str">
        <f t="shared" si="49"/>
        <v/>
      </c>
      <c r="AI278" t="str">
        <f t="shared" si="50"/>
        <v/>
      </c>
      <c r="AL278" t="str">
        <f t="shared" si="51"/>
        <v/>
      </c>
      <c r="AN278" t="str">
        <f t="shared" si="52"/>
        <v/>
      </c>
      <c r="AQ278" t="str">
        <f t="shared" si="53"/>
        <v/>
      </c>
      <c r="AR278" t="str">
        <f t="shared" si="54"/>
        <v/>
      </c>
      <c r="AS278" t="str">
        <f t="shared" si="55"/>
        <v/>
      </c>
      <c r="AT278" t="str">
        <f t="shared" si="56"/>
        <v/>
      </c>
      <c r="BG278" t="str">
        <f t="shared" si="57"/>
        <v/>
      </c>
      <c r="BH278" t="str">
        <f t="shared" si="58"/>
        <v/>
      </c>
      <c r="BL278" t="str">
        <f>IFERROR(INDEX(_names_lookup!$C:$C,MATCH(BK278,_names_lookup!$A:$A,0)),"")</f>
        <v/>
      </c>
      <c r="BM278" t="str">
        <f>IFERROR(INDEX(_names_lookup!$B:$B,MATCH(BK278,_names_lookup!$A:$A,0)),"")</f>
        <v/>
      </c>
      <c r="BS278" t="str">
        <f t="shared" si="59"/>
        <v/>
      </c>
    </row>
    <row r="279" spans="15:71" x14ac:dyDescent="0.2">
      <c r="O279" t="str">
        <f>IFERROR(INDEX(_courses_lookup!$C:$C,MATCH(K279&amp;L279,_courses_lookup!$E:$E,0)),"")</f>
        <v/>
      </c>
      <c r="P279" t="str">
        <f>IFERROR(INDEX(_courses_lookup!$D:$D,MATCH(K279&amp;L279,_courses_lookup!$E:$E,0)),"")</f>
        <v/>
      </c>
      <c r="AG279" t="str">
        <f t="shared" si="49"/>
        <v/>
      </c>
      <c r="AI279" t="str">
        <f t="shared" si="50"/>
        <v/>
      </c>
      <c r="AL279" t="str">
        <f t="shared" si="51"/>
        <v/>
      </c>
      <c r="AN279" t="str">
        <f t="shared" si="52"/>
        <v/>
      </c>
      <c r="AQ279" t="str">
        <f t="shared" si="53"/>
        <v/>
      </c>
      <c r="AR279" t="str">
        <f t="shared" si="54"/>
        <v/>
      </c>
      <c r="AS279" t="str">
        <f t="shared" si="55"/>
        <v/>
      </c>
      <c r="AT279" t="str">
        <f t="shared" si="56"/>
        <v/>
      </c>
      <c r="BG279" t="str">
        <f t="shared" si="57"/>
        <v/>
      </c>
      <c r="BH279" t="str">
        <f t="shared" si="58"/>
        <v/>
      </c>
      <c r="BL279" t="str">
        <f>IFERROR(INDEX(_names_lookup!$C:$C,MATCH(BK279,_names_lookup!$A:$A,0)),"")</f>
        <v/>
      </c>
      <c r="BM279" t="str">
        <f>IFERROR(INDEX(_names_lookup!$B:$B,MATCH(BK279,_names_lookup!$A:$A,0)),"")</f>
        <v/>
      </c>
      <c r="BS279" t="str">
        <f t="shared" si="59"/>
        <v/>
      </c>
    </row>
    <row r="280" spans="15:71" x14ac:dyDescent="0.2">
      <c r="O280" t="str">
        <f>IFERROR(INDEX(_courses_lookup!$C:$C,MATCH(K280&amp;L280,_courses_lookup!$E:$E,0)),"")</f>
        <v/>
      </c>
      <c r="P280" t="str">
        <f>IFERROR(INDEX(_courses_lookup!$D:$D,MATCH(K280&amp;L280,_courses_lookup!$E:$E,0)),"")</f>
        <v/>
      </c>
      <c r="AG280" t="str">
        <f t="shared" si="49"/>
        <v/>
      </c>
      <c r="AI280" t="str">
        <f t="shared" si="50"/>
        <v/>
      </c>
      <c r="AL280" t="str">
        <f t="shared" si="51"/>
        <v/>
      </c>
      <c r="AN280" t="str">
        <f t="shared" si="52"/>
        <v/>
      </c>
      <c r="AQ280" t="str">
        <f t="shared" si="53"/>
        <v/>
      </c>
      <c r="AR280" t="str">
        <f t="shared" si="54"/>
        <v/>
      </c>
      <c r="AS280" t="str">
        <f t="shared" si="55"/>
        <v/>
      </c>
      <c r="AT280" t="str">
        <f t="shared" si="56"/>
        <v/>
      </c>
      <c r="BG280" t="str">
        <f t="shared" si="57"/>
        <v/>
      </c>
      <c r="BH280" t="str">
        <f t="shared" si="58"/>
        <v/>
      </c>
      <c r="BL280" t="str">
        <f>IFERROR(INDEX(_names_lookup!$C:$C,MATCH(BK280,_names_lookup!$A:$A,0)),"")</f>
        <v/>
      </c>
      <c r="BM280" t="str">
        <f>IFERROR(INDEX(_names_lookup!$B:$B,MATCH(BK280,_names_lookup!$A:$A,0)),"")</f>
        <v/>
      </c>
      <c r="BS280" t="str">
        <f t="shared" si="59"/>
        <v/>
      </c>
    </row>
    <row r="281" spans="15:71" x14ac:dyDescent="0.2">
      <c r="O281" t="str">
        <f>IFERROR(INDEX(_courses_lookup!$C:$C,MATCH(K281&amp;L281,_courses_lookup!$E:$E,0)),"")</f>
        <v/>
      </c>
      <c r="P281" t="str">
        <f>IFERROR(INDEX(_courses_lookup!$D:$D,MATCH(K281&amp;L281,_courses_lookup!$E:$E,0)),"")</f>
        <v/>
      </c>
      <c r="AG281" t="str">
        <f t="shared" si="49"/>
        <v/>
      </c>
      <c r="AI281" t="str">
        <f t="shared" si="50"/>
        <v/>
      </c>
      <c r="AL281" t="str">
        <f t="shared" si="51"/>
        <v/>
      </c>
      <c r="AN281" t="str">
        <f t="shared" si="52"/>
        <v/>
      </c>
      <c r="AQ281" t="str">
        <f t="shared" si="53"/>
        <v/>
      </c>
      <c r="AR281" t="str">
        <f t="shared" si="54"/>
        <v/>
      </c>
      <c r="AS281" t="str">
        <f t="shared" si="55"/>
        <v/>
      </c>
      <c r="AT281" t="str">
        <f t="shared" si="56"/>
        <v/>
      </c>
      <c r="BG281" t="str">
        <f t="shared" si="57"/>
        <v/>
      </c>
      <c r="BH281" t="str">
        <f t="shared" si="58"/>
        <v/>
      </c>
      <c r="BL281" t="str">
        <f>IFERROR(INDEX(_names_lookup!$C:$C,MATCH(BK281,_names_lookup!$A:$A,0)),"")</f>
        <v/>
      </c>
      <c r="BM281" t="str">
        <f>IFERROR(INDEX(_names_lookup!$B:$B,MATCH(BK281,_names_lookup!$A:$A,0)),"")</f>
        <v/>
      </c>
      <c r="BS281" t="str">
        <f t="shared" si="59"/>
        <v/>
      </c>
    </row>
    <row r="282" spans="15:71" x14ac:dyDescent="0.2">
      <c r="O282" t="str">
        <f>IFERROR(INDEX(_courses_lookup!$C:$C,MATCH(K282&amp;L282,_courses_lookup!$E:$E,0)),"")</f>
        <v/>
      </c>
      <c r="P282" t="str">
        <f>IFERROR(INDEX(_courses_lookup!$D:$D,MATCH(K282&amp;L282,_courses_lookup!$E:$E,0)),"")</f>
        <v/>
      </c>
      <c r="AG282" t="str">
        <f t="shared" si="49"/>
        <v/>
      </c>
      <c r="AI282" t="str">
        <f t="shared" si="50"/>
        <v/>
      </c>
      <c r="AL282" t="str">
        <f t="shared" si="51"/>
        <v/>
      </c>
      <c r="AN282" t="str">
        <f t="shared" si="52"/>
        <v/>
      </c>
      <c r="AQ282" t="str">
        <f t="shared" si="53"/>
        <v/>
      </c>
      <c r="AR282" t="str">
        <f t="shared" si="54"/>
        <v/>
      </c>
      <c r="AS282" t="str">
        <f t="shared" si="55"/>
        <v/>
      </c>
      <c r="AT282" t="str">
        <f t="shared" si="56"/>
        <v/>
      </c>
      <c r="BG282" t="str">
        <f t="shared" si="57"/>
        <v/>
      </c>
      <c r="BH282" t="str">
        <f t="shared" si="58"/>
        <v/>
      </c>
      <c r="BL282" t="str">
        <f>IFERROR(INDEX(_names_lookup!$C:$C,MATCH(BK282,_names_lookup!$A:$A,0)),"")</f>
        <v/>
      </c>
      <c r="BM282" t="str">
        <f>IFERROR(INDEX(_names_lookup!$B:$B,MATCH(BK282,_names_lookup!$A:$A,0)),"")</f>
        <v/>
      </c>
      <c r="BS282" t="str">
        <f t="shared" si="59"/>
        <v/>
      </c>
    </row>
    <row r="283" spans="15:71" x14ac:dyDescent="0.2">
      <c r="O283" t="str">
        <f>IFERROR(INDEX(_courses_lookup!$C:$C,MATCH(K283&amp;L283,_courses_lookup!$E:$E,0)),"")</f>
        <v/>
      </c>
      <c r="P283" t="str">
        <f>IFERROR(INDEX(_courses_lookup!$D:$D,MATCH(K283&amp;L283,_courses_lookup!$E:$E,0)),"")</f>
        <v/>
      </c>
      <c r="AG283" t="str">
        <f t="shared" si="49"/>
        <v/>
      </c>
      <c r="AI283" t="str">
        <f t="shared" si="50"/>
        <v/>
      </c>
      <c r="AL283" t="str">
        <f t="shared" si="51"/>
        <v/>
      </c>
      <c r="AN283" t="str">
        <f t="shared" si="52"/>
        <v/>
      </c>
      <c r="AQ283" t="str">
        <f t="shared" si="53"/>
        <v/>
      </c>
      <c r="AR283" t="str">
        <f t="shared" si="54"/>
        <v/>
      </c>
      <c r="AS283" t="str">
        <f t="shared" si="55"/>
        <v/>
      </c>
      <c r="AT283" t="str">
        <f t="shared" si="56"/>
        <v/>
      </c>
      <c r="BG283" t="str">
        <f t="shared" si="57"/>
        <v/>
      </c>
      <c r="BH283" t="str">
        <f t="shared" si="58"/>
        <v/>
      </c>
      <c r="BL283" t="str">
        <f>IFERROR(INDEX(_names_lookup!$C:$C,MATCH(BK283,_names_lookup!$A:$A,0)),"")</f>
        <v/>
      </c>
      <c r="BM283" t="str">
        <f>IFERROR(INDEX(_names_lookup!$B:$B,MATCH(BK283,_names_lookup!$A:$A,0)),"")</f>
        <v/>
      </c>
      <c r="BS283" t="str">
        <f t="shared" si="59"/>
        <v/>
      </c>
    </row>
    <row r="284" spans="15:71" x14ac:dyDescent="0.2">
      <c r="O284" t="str">
        <f>IFERROR(INDEX(_courses_lookup!$C:$C,MATCH(K284&amp;L284,_courses_lookup!$E:$E,0)),"")</f>
        <v/>
      </c>
      <c r="P284" t="str">
        <f>IFERROR(INDEX(_courses_lookup!$D:$D,MATCH(K284&amp;L284,_courses_lookup!$E:$E,0)),"")</f>
        <v/>
      </c>
      <c r="AG284" t="str">
        <f t="shared" si="49"/>
        <v/>
      </c>
      <c r="AI284" t="str">
        <f t="shared" si="50"/>
        <v/>
      </c>
      <c r="AL284" t="str">
        <f t="shared" si="51"/>
        <v/>
      </c>
      <c r="AN284" t="str">
        <f t="shared" si="52"/>
        <v/>
      </c>
      <c r="AQ284" t="str">
        <f t="shared" si="53"/>
        <v/>
      </c>
      <c r="AR284" t="str">
        <f t="shared" si="54"/>
        <v/>
      </c>
      <c r="AS284" t="str">
        <f t="shared" si="55"/>
        <v/>
      </c>
      <c r="AT284" t="str">
        <f t="shared" si="56"/>
        <v/>
      </c>
      <c r="BG284" t="str">
        <f t="shared" si="57"/>
        <v/>
      </c>
      <c r="BH284" t="str">
        <f t="shared" si="58"/>
        <v/>
      </c>
      <c r="BL284" t="str">
        <f>IFERROR(INDEX(_names_lookup!$C:$C,MATCH(BK284,_names_lookup!$A:$A,0)),"")</f>
        <v/>
      </c>
      <c r="BM284" t="str">
        <f>IFERROR(INDEX(_names_lookup!$B:$B,MATCH(BK284,_names_lookup!$A:$A,0)),"")</f>
        <v/>
      </c>
      <c r="BS284" t="str">
        <f t="shared" si="59"/>
        <v/>
      </c>
    </row>
    <row r="285" spans="15:71" x14ac:dyDescent="0.2">
      <c r="O285" t="str">
        <f>IFERROR(INDEX(_courses_lookup!$C:$C,MATCH(K285&amp;L285,_courses_lookup!$E:$E,0)),"")</f>
        <v/>
      </c>
      <c r="P285" t="str">
        <f>IFERROR(INDEX(_courses_lookup!$D:$D,MATCH(K285&amp;L285,_courses_lookup!$E:$E,0)),"")</f>
        <v/>
      </c>
      <c r="AG285" t="str">
        <f t="shared" si="49"/>
        <v/>
      </c>
      <c r="AI285" t="str">
        <f t="shared" si="50"/>
        <v/>
      </c>
      <c r="AL285" t="str">
        <f t="shared" si="51"/>
        <v/>
      </c>
      <c r="AN285" t="str">
        <f t="shared" si="52"/>
        <v/>
      </c>
      <c r="AQ285" t="str">
        <f t="shared" si="53"/>
        <v/>
      </c>
      <c r="AR285" t="str">
        <f t="shared" si="54"/>
        <v/>
      </c>
      <c r="AS285" t="str">
        <f t="shared" si="55"/>
        <v/>
      </c>
      <c r="AT285" t="str">
        <f t="shared" si="56"/>
        <v/>
      </c>
      <c r="BG285" t="str">
        <f t="shared" si="57"/>
        <v/>
      </c>
      <c r="BH285" t="str">
        <f t="shared" si="58"/>
        <v/>
      </c>
      <c r="BL285" t="str">
        <f>IFERROR(INDEX(_names_lookup!$C:$C,MATCH(BK285,_names_lookup!$A:$A,0)),"")</f>
        <v/>
      </c>
      <c r="BM285" t="str">
        <f>IFERROR(INDEX(_names_lookup!$B:$B,MATCH(BK285,_names_lookup!$A:$A,0)),"")</f>
        <v/>
      </c>
      <c r="BS285" t="str">
        <f t="shared" si="59"/>
        <v/>
      </c>
    </row>
    <row r="286" spans="15:71" x14ac:dyDescent="0.2">
      <c r="O286" t="str">
        <f>IFERROR(INDEX(_courses_lookup!$C:$C,MATCH(K286&amp;L286,_courses_lookup!$E:$E,0)),"")</f>
        <v/>
      </c>
      <c r="P286" t="str">
        <f>IFERROR(INDEX(_courses_lookup!$D:$D,MATCH(K286&amp;L286,_courses_lookup!$E:$E,0)),"")</f>
        <v/>
      </c>
      <c r="AG286" t="str">
        <f t="shared" si="49"/>
        <v/>
      </c>
      <c r="AI286" t="str">
        <f t="shared" si="50"/>
        <v/>
      </c>
      <c r="AL286" t="str">
        <f t="shared" si="51"/>
        <v/>
      </c>
      <c r="AN286" t="str">
        <f t="shared" si="52"/>
        <v/>
      </c>
      <c r="AQ286" t="str">
        <f t="shared" si="53"/>
        <v/>
      </c>
      <c r="AR286" t="str">
        <f t="shared" si="54"/>
        <v/>
      </c>
      <c r="AS286" t="str">
        <f t="shared" si="55"/>
        <v/>
      </c>
      <c r="AT286" t="str">
        <f t="shared" si="56"/>
        <v/>
      </c>
      <c r="BG286" t="str">
        <f t="shared" si="57"/>
        <v/>
      </c>
      <c r="BH286" t="str">
        <f t="shared" si="58"/>
        <v/>
      </c>
      <c r="BL286" t="str">
        <f>IFERROR(INDEX(_names_lookup!$C:$C,MATCH(BK286,_names_lookup!$A:$A,0)),"")</f>
        <v/>
      </c>
      <c r="BM286" t="str">
        <f>IFERROR(INDEX(_names_lookup!$B:$B,MATCH(BK286,_names_lookup!$A:$A,0)),"")</f>
        <v/>
      </c>
      <c r="BS286" t="str">
        <f t="shared" si="59"/>
        <v/>
      </c>
    </row>
    <row r="287" spans="15:71" x14ac:dyDescent="0.2">
      <c r="O287" t="str">
        <f>IFERROR(INDEX(_courses_lookup!$C:$C,MATCH(K287&amp;L287,_courses_lookup!$E:$E,0)),"")</f>
        <v/>
      </c>
      <c r="P287" t="str">
        <f>IFERROR(INDEX(_courses_lookup!$D:$D,MATCH(K287&amp;L287,_courses_lookup!$E:$E,0)),"")</f>
        <v/>
      </c>
      <c r="AG287" t="str">
        <f t="shared" si="49"/>
        <v/>
      </c>
      <c r="AI287" t="str">
        <f t="shared" si="50"/>
        <v/>
      </c>
      <c r="AL287" t="str">
        <f t="shared" si="51"/>
        <v/>
      </c>
      <c r="AN287" t="str">
        <f t="shared" si="52"/>
        <v/>
      </c>
      <c r="AQ287" t="str">
        <f t="shared" si="53"/>
        <v/>
      </c>
      <c r="AR287" t="str">
        <f t="shared" si="54"/>
        <v/>
      </c>
      <c r="AS287" t="str">
        <f t="shared" si="55"/>
        <v/>
      </c>
      <c r="AT287" t="str">
        <f t="shared" si="56"/>
        <v/>
      </c>
      <c r="BG287" t="str">
        <f t="shared" si="57"/>
        <v/>
      </c>
      <c r="BH287" t="str">
        <f t="shared" si="58"/>
        <v/>
      </c>
      <c r="BL287" t="str">
        <f>IFERROR(INDEX(_names_lookup!$C:$C,MATCH(BK287,_names_lookup!$A:$A,0)),"")</f>
        <v/>
      </c>
      <c r="BM287" t="str">
        <f>IFERROR(INDEX(_names_lookup!$B:$B,MATCH(BK287,_names_lookup!$A:$A,0)),"")</f>
        <v/>
      </c>
      <c r="BS287" t="str">
        <f t="shared" si="59"/>
        <v/>
      </c>
    </row>
    <row r="288" spans="15:71" x14ac:dyDescent="0.2">
      <c r="O288" t="str">
        <f>IFERROR(INDEX(_courses_lookup!$C:$C,MATCH(K288&amp;L288,_courses_lookup!$E:$E,0)),"")</f>
        <v/>
      </c>
      <c r="P288" t="str">
        <f>IFERROR(INDEX(_courses_lookup!$D:$D,MATCH(K288&amp;L288,_courses_lookup!$E:$E,0)),"")</f>
        <v/>
      </c>
      <c r="AG288" t="str">
        <f t="shared" si="49"/>
        <v/>
      </c>
      <c r="AI288" t="str">
        <f t="shared" si="50"/>
        <v/>
      </c>
      <c r="AL288" t="str">
        <f t="shared" si="51"/>
        <v/>
      </c>
      <c r="AN288" t="str">
        <f t="shared" si="52"/>
        <v/>
      </c>
      <c r="AQ288" t="str">
        <f t="shared" si="53"/>
        <v/>
      </c>
      <c r="AR288" t="str">
        <f t="shared" si="54"/>
        <v/>
      </c>
      <c r="AS288" t="str">
        <f t="shared" si="55"/>
        <v/>
      </c>
      <c r="AT288" t="str">
        <f t="shared" si="56"/>
        <v/>
      </c>
      <c r="BG288" t="str">
        <f t="shared" si="57"/>
        <v/>
      </c>
      <c r="BH288" t="str">
        <f t="shared" si="58"/>
        <v/>
      </c>
      <c r="BL288" t="str">
        <f>IFERROR(INDEX(_names_lookup!$C:$C,MATCH(BK288,_names_lookup!$A:$A,0)),"")</f>
        <v/>
      </c>
      <c r="BM288" t="str">
        <f>IFERROR(INDEX(_names_lookup!$B:$B,MATCH(BK288,_names_lookup!$A:$A,0)),"")</f>
        <v/>
      </c>
      <c r="BS288" t="str">
        <f t="shared" si="59"/>
        <v/>
      </c>
    </row>
    <row r="289" spans="15:71" x14ac:dyDescent="0.2">
      <c r="O289" t="str">
        <f>IFERROR(INDEX(_courses_lookup!$C:$C,MATCH(K289&amp;L289,_courses_lookup!$E:$E,0)),"")</f>
        <v/>
      </c>
      <c r="P289" t="str">
        <f>IFERROR(INDEX(_courses_lookup!$D:$D,MATCH(K289&amp;L289,_courses_lookup!$E:$E,0)),"")</f>
        <v/>
      </c>
      <c r="AG289" t="str">
        <f t="shared" si="49"/>
        <v/>
      </c>
      <c r="AI289" t="str">
        <f t="shared" si="50"/>
        <v/>
      </c>
      <c r="AL289" t="str">
        <f t="shared" si="51"/>
        <v/>
      </c>
      <c r="AN289" t="str">
        <f t="shared" si="52"/>
        <v/>
      </c>
      <c r="AQ289" t="str">
        <f t="shared" si="53"/>
        <v/>
      </c>
      <c r="AR289" t="str">
        <f t="shared" si="54"/>
        <v/>
      </c>
      <c r="AS289" t="str">
        <f t="shared" si="55"/>
        <v/>
      </c>
      <c r="AT289" t="str">
        <f t="shared" si="56"/>
        <v/>
      </c>
      <c r="BG289" t="str">
        <f t="shared" si="57"/>
        <v/>
      </c>
      <c r="BH289" t="str">
        <f t="shared" si="58"/>
        <v/>
      </c>
      <c r="BL289" t="str">
        <f>IFERROR(INDEX(_names_lookup!$C:$C,MATCH(BK289,_names_lookup!$A:$A,0)),"")</f>
        <v/>
      </c>
      <c r="BM289" t="str">
        <f>IFERROR(INDEX(_names_lookup!$B:$B,MATCH(BK289,_names_lookup!$A:$A,0)),"")</f>
        <v/>
      </c>
      <c r="BS289" t="str">
        <f t="shared" si="59"/>
        <v/>
      </c>
    </row>
    <row r="290" spans="15:71" x14ac:dyDescent="0.2">
      <c r="O290" t="str">
        <f>IFERROR(INDEX(_courses_lookup!$C:$C,MATCH(K290&amp;L290,_courses_lookup!$E:$E,0)),"")</f>
        <v/>
      </c>
      <c r="P290" t="str">
        <f>IFERROR(INDEX(_courses_lookup!$D:$D,MATCH(K290&amp;L290,_courses_lookup!$E:$E,0)),"")</f>
        <v/>
      </c>
      <c r="AG290" t="str">
        <f t="shared" si="49"/>
        <v/>
      </c>
      <c r="AI290" t="str">
        <f t="shared" si="50"/>
        <v/>
      </c>
      <c r="AL290" t="str">
        <f t="shared" si="51"/>
        <v/>
      </c>
      <c r="AN290" t="str">
        <f t="shared" si="52"/>
        <v/>
      </c>
      <c r="AQ290" t="str">
        <f t="shared" si="53"/>
        <v/>
      </c>
      <c r="AR290" t="str">
        <f t="shared" si="54"/>
        <v/>
      </c>
      <c r="AS290" t="str">
        <f t="shared" si="55"/>
        <v/>
      </c>
      <c r="AT290" t="str">
        <f t="shared" si="56"/>
        <v/>
      </c>
      <c r="BG290" t="str">
        <f t="shared" si="57"/>
        <v/>
      </c>
      <c r="BH290" t="str">
        <f t="shared" si="58"/>
        <v/>
      </c>
      <c r="BL290" t="str">
        <f>IFERROR(INDEX(_names_lookup!$C:$C,MATCH(BK290,_names_lookup!$A:$A,0)),"")</f>
        <v/>
      </c>
      <c r="BM290" t="str">
        <f>IFERROR(INDEX(_names_lookup!$B:$B,MATCH(BK290,_names_lookup!$A:$A,0)),"")</f>
        <v/>
      </c>
      <c r="BS290" t="str">
        <f t="shared" si="59"/>
        <v/>
      </c>
    </row>
    <row r="291" spans="15:71" x14ac:dyDescent="0.2">
      <c r="O291" t="str">
        <f>IFERROR(INDEX(_courses_lookup!$C:$C,MATCH(K291&amp;L291,_courses_lookup!$E:$E,0)),"")</f>
        <v/>
      </c>
      <c r="P291" t="str">
        <f>IFERROR(INDEX(_courses_lookup!$D:$D,MATCH(K291&amp;L291,_courses_lookup!$E:$E,0)),"")</f>
        <v/>
      </c>
      <c r="AG291" t="str">
        <f t="shared" si="49"/>
        <v/>
      </c>
      <c r="AI291" t="str">
        <f t="shared" si="50"/>
        <v/>
      </c>
      <c r="AL291" t="str">
        <f t="shared" si="51"/>
        <v/>
      </c>
      <c r="AN291" t="str">
        <f t="shared" si="52"/>
        <v/>
      </c>
      <c r="AQ291" t="str">
        <f t="shared" si="53"/>
        <v/>
      </c>
      <c r="AR291" t="str">
        <f t="shared" si="54"/>
        <v/>
      </c>
      <c r="AS291" t="str">
        <f t="shared" si="55"/>
        <v/>
      </c>
      <c r="AT291" t="str">
        <f t="shared" si="56"/>
        <v/>
      </c>
      <c r="BG291" t="str">
        <f t="shared" si="57"/>
        <v/>
      </c>
      <c r="BH291" t="str">
        <f t="shared" si="58"/>
        <v/>
      </c>
      <c r="BL291" t="str">
        <f>IFERROR(INDEX(_names_lookup!$C:$C,MATCH(BK291,_names_lookup!$A:$A,0)),"")</f>
        <v/>
      </c>
      <c r="BM291" t="str">
        <f>IFERROR(INDEX(_names_lookup!$B:$B,MATCH(BK291,_names_lookup!$A:$A,0)),"")</f>
        <v/>
      </c>
      <c r="BS291" t="str">
        <f t="shared" si="59"/>
        <v/>
      </c>
    </row>
    <row r="292" spans="15:71" x14ac:dyDescent="0.2">
      <c r="O292" t="str">
        <f>IFERROR(INDEX(_courses_lookup!$C:$C,MATCH(K292&amp;L292,_courses_lookup!$E:$E,0)),"")</f>
        <v/>
      </c>
      <c r="P292" t="str">
        <f>IFERROR(INDEX(_courses_lookup!$D:$D,MATCH(K292&amp;L292,_courses_lookup!$E:$E,0)),"")</f>
        <v/>
      </c>
      <c r="AG292" t="str">
        <f t="shared" si="49"/>
        <v/>
      </c>
      <c r="AI292" t="str">
        <f t="shared" si="50"/>
        <v/>
      </c>
      <c r="AL292" t="str">
        <f t="shared" si="51"/>
        <v/>
      </c>
      <c r="AN292" t="str">
        <f t="shared" si="52"/>
        <v/>
      </c>
      <c r="AQ292" t="str">
        <f t="shared" si="53"/>
        <v/>
      </c>
      <c r="AR292" t="str">
        <f t="shared" si="54"/>
        <v/>
      </c>
      <c r="AS292" t="str">
        <f t="shared" si="55"/>
        <v/>
      </c>
      <c r="AT292" t="str">
        <f t="shared" si="56"/>
        <v/>
      </c>
      <c r="BG292" t="str">
        <f t="shared" si="57"/>
        <v/>
      </c>
      <c r="BH292" t="str">
        <f t="shared" si="58"/>
        <v/>
      </c>
      <c r="BL292" t="str">
        <f>IFERROR(INDEX(_names_lookup!$C:$C,MATCH(BK292,_names_lookup!$A:$A,0)),"")</f>
        <v/>
      </c>
      <c r="BM292" t="str">
        <f>IFERROR(INDEX(_names_lookup!$B:$B,MATCH(BK292,_names_lookup!$A:$A,0)),"")</f>
        <v/>
      </c>
      <c r="BS292" t="str">
        <f t="shared" si="59"/>
        <v/>
      </c>
    </row>
    <row r="293" spans="15:71" x14ac:dyDescent="0.2">
      <c r="O293" t="str">
        <f>IFERROR(INDEX(_courses_lookup!$C:$C,MATCH(K293&amp;L293,_courses_lookup!$E:$E,0)),"")</f>
        <v/>
      </c>
      <c r="P293" t="str">
        <f>IFERROR(INDEX(_courses_lookup!$D:$D,MATCH(K293&amp;L293,_courses_lookup!$E:$E,0)),"")</f>
        <v/>
      </c>
      <c r="AG293" t="str">
        <f t="shared" si="49"/>
        <v/>
      </c>
      <c r="AI293" t="str">
        <f t="shared" si="50"/>
        <v/>
      </c>
      <c r="AL293" t="str">
        <f t="shared" si="51"/>
        <v/>
      </c>
      <c r="AN293" t="str">
        <f t="shared" si="52"/>
        <v/>
      </c>
      <c r="AQ293" t="str">
        <f t="shared" si="53"/>
        <v/>
      </c>
      <c r="AR293" t="str">
        <f t="shared" si="54"/>
        <v/>
      </c>
      <c r="AS293" t="str">
        <f t="shared" si="55"/>
        <v/>
      </c>
      <c r="AT293" t="str">
        <f t="shared" si="56"/>
        <v/>
      </c>
      <c r="BG293" t="str">
        <f t="shared" si="57"/>
        <v/>
      </c>
      <c r="BH293" t="str">
        <f t="shared" si="58"/>
        <v/>
      </c>
      <c r="BL293" t="str">
        <f>IFERROR(INDEX(_names_lookup!$C:$C,MATCH(BK293,_names_lookup!$A:$A,0)),"")</f>
        <v/>
      </c>
      <c r="BM293" t="str">
        <f>IFERROR(INDEX(_names_lookup!$B:$B,MATCH(BK293,_names_lookup!$A:$A,0)),"")</f>
        <v/>
      </c>
      <c r="BS293" t="str">
        <f t="shared" si="59"/>
        <v/>
      </c>
    </row>
    <row r="294" spans="15:71" x14ac:dyDescent="0.2">
      <c r="O294" t="str">
        <f>IFERROR(INDEX(_courses_lookup!$C:$C,MATCH(K294&amp;L294,_courses_lookup!$E:$E,0)),"")</f>
        <v/>
      </c>
      <c r="P294" t="str">
        <f>IFERROR(INDEX(_courses_lookup!$D:$D,MATCH(K294&amp;L294,_courses_lookup!$E:$E,0)),"")</f>
        <v/>
      </c>
      <c r="AG294" t="str">
        <f t="shared" si="49"/>
        <v/>
      </c>
      <c r="AI294" t="str">
        <f t="shared" si="50"/>
        <v/>
      </c>
      <c r="AL294" t="str">
        <f t="shared" si="51"/>
        <v/>
      </c>
      <c r="AN294" t="str">
        <f t="shared" si="52"/>
        <v/>
      </c>
      <c r="AQ294" t="str">
        <f t="shared" si="53"/>
        <v/>
      </c>
      <c r="AR294" t="str">
        <f t="shared" si="54"/>
        <v/>
      </c>
      <c r="AS294" t="str">
        <f t="shared" si="55"/>
        <v/>
      </c>
      <c r="AT294" t="str">
        <f t="shared" si="56"/>
        <v/>
      </c>
      <c r="BG294" t="str">
        <f t="shared" si="57"/>
        <v/>
      </c>
      <c r="BH294" t="str">
        <f t="shared" si="58"/>
        <v/>
      </c>
      <c r="BL294" t="str">
        <f>IFERROR(INDEX(_names_lookup!$C:$C,MATCH(BK294,_names_lookup!$A:$A,0)),"")</f>
        <v/>
      </c>
      <c r="BM294" t="str">
        <f>IFERROR(INDEX(_names_lookup!$B:$B,MATCH(BK294,_names_lookup!$A:$A,0)),"")</f>
        <v/>
      </c>
      <c r="BS294" t="str">
        <f t="shared" si="59"/>
        <v/>
      </c>
    </row>
    <row r="295" spans="15:71" x14ac:dyDescent="0.2">
      <c r="O295" t="str">
        <f>IFERROR(INDEX(_courses_lookup!$C:$C,MATCH(K295&amp;L295,_courses_lookup!$E:$E,0)),"")</f>
        <v/>
      </c>
      <c r="P295" t="str">
        <f>IFERROR(INDEX(_courses_lookup!$D:$D,MATCH(K295&amp;L295,_courses_lookup!$E:$E,0)),"")</f>
        <v/>
      </c>
      <c r="AG295" t="str">
        <f t="shared" si="49"/>
        <v/>
      </c>
      <c r="AI295" t="str">
        <f t="shared" si="50"/>
        <v/>
      </c>
      <c r="AL295" t="str">
        <f t="shared" si="51"/>
        <v/>
      </c>
      <c r="AN295" t="str">
        <f t="shared" si="52"/>
        <v/>
      </c>
      <c r="AQ295" t="str">
        <f t="shared" si="53"/>
        <v/>
      </c>
      <c r="AR295" t="str">
        <f t="shared" si="54"/>
        <v/>
      </c>
      <c r="AS295" t="str">
        <f t="shared" si="55"/>
        <v/>
      </c>
      <c r="AT295" t="str">
        <f t="shared" si="56"/>
        <v/>
      </c>
      <c r="BG295" t="str">
        <f t="shared" si="57"/>
        <v/>
      </c>
      <c r="BH295" t="str">
        <f t="shared" si="58"/>
        <v/>
      </c>
      <c r="BL295" t="str">
        <f>IFERROR(INDEX(_names_lookup!$C:$C,MATCH(BK295,_names_lookup!$A:$A,0)),"")</f>
        <v/>
      </c>
      <c r="BM295" t="str">
        <f>IFERROR(INDEX(_names_lookup!$B:$B,MATCH(BK295,_names_lookup!$A:$A,0)),"")</f>
        <v/>
      </c>
      <c r="BS295" t="str">
        <f t="shared" si="59"/>
        <v/>
      </c>
    </row>
    <row r="296" spans="15:71" x14ac:dyDescent="0.2">
      <c r="O296" t="str">
        <f>IFERROR(INDEX(_courses_lookup!$C:$C,MATCH(K296&amp;L296,_courses_lookup!$E:$E,0)),"")</f>
        <v/>
      </c>
      <c r="P296" t="str">
        <f>IFERROR(INDEX(_courses_lookup!$D:$D,MATCH(K296&amp;L296,_courses_lookup!$E:$E,0)),"")</f>
        <v/>
      </c>
      <c r="AG296" t="str">
        <f t="shared" si="49"/>
        <v/>
      </c>
      <c r="AI296" t="str">
        <f t="shared" si="50"/>
        <v/>
      </c>
      <c r="AL296" t="str">
        <f t="shared" si="51"/>
        <v/>
      </c>
      <c r="AN296" t="str">
        <f t="shared" si="52"/>
        <v/>
      </c>
      <c r="AQ296" t="str">
        <f t="shared" si="53"/>
        <v/>
      </c>
      <c r="AR296" t="str">
        <f t="shared" si="54"/>
        <v/>
      </c>
      <c r="AS296" t="str">
        <f t="shared" si="55"/>
        <v/>
      </c>
      <c r="AT296" t="str">
        <f t="shared" si="56"/>
        <v/>
      </c>
      <c r="BG296" t="str">
        <f t="shared" si="57"/>
        <v/>
      </c>
      <c r="BH296" t="str">
        <f t="shared" si="58"/>
        <v/>
      </c>
      <c r="BL296" t="str">
        <f>IFERROR(INDEX(_names_lookup!$C:$C,MATCH(BK296,_names_lookup!$A:$A,0)),"")</f>
        <v/>
      </c>
      <c r="BM296" t="str">
        <f>IFERROR(INDEX(_names_lookup!$B:$B,MATCH(BK296,_names_lookup!$A:$A,0)),"")</f>
        <v/>
      </c>
      <c r="BS296" t="str">
        <f t="shared" si="59"/>
        <v/>
      </c>
    </row>
    <row r="297" spans="15:71" x14ac:dyDescent="0.2">
      <c r="O297" t="str">
        <f>IFERROR(INDEX(_courses_lookup!$C:$C,MATCH(K297&amp;L297,_courses_lookup!$E:$E,0)),"")</f>
        <v/>
      </c>
      <c r="P297" t="str">
        <f>IFERROR(INDEX(_courses_lookup!$D:$D,MATCH(K297&amp;L297,_courses_lookup!$E:$E,0)),"")</f>
        <v/>
      </c>
      <c r="AG297" t="str">
        <f t="shared" si="49"/>
        <v/>
      </c>
      <c r="AI297" t="str">
        <f t="shared" si="50"/>
        <v/>
      </c>
      <c r="AL297" t="str">
        <f t="shared" si="51"/>
        <v/>
      </c>
      <c r="AN297" t="str">
        <f t="shared" si="52"/>
        <v/>
      </c>
      <c r="AQ297" t="str">
        <f t="shared" si="53"/>
        <v/>
      </c>
      <c r="AR297" t="str">
        <f t="shared" si="54"/>
        <v/>
      </c>
      <c r="AS297" t="str">
        <f t="shared" si="55"/>
        <v/>
      </c>
      <c r="AT297" t="str">
        <f t="shared" si="56"/>
        <v/>
      </c>
      <c r="BG297" t="str">
        <f t="shared" si="57"/>
        <v/>
      </c>
      <c r="BH297" t="str">
        <f t="shared" si="58"/>
        <v/>
      </c>
      <c r="BL297" t="str">
        <f>IFERROR(INDEX(_names_lookup!$C:$C,MATCH(BK297,_names_lookup!$A:$A,0)),"")</f>
        <v/>
      </c>
      <c r="BM297" t="str">
        <f>IFERROR(INDEX(_names_lookup!$B:$B,MATCH(BK297,_names_lookup!$A:$A,0)),"")</f>
        <v/>
      </c>
      <c r="BS297" t="str">
        <f t="shared" si="59"/>
        <v/>
      </c>
    </row>
    <row r="298" spans="15:71" x14ac:dyDescent="0.2">
      <c r="O298" t="str">
        <f>IFERROR(INDEX(_courses_lookup!$C:$C,MATCH(K298&amp;L298,_courses_lookup!$E:$E,0)),"")</f>
        <v/>
      </c>
      <c r="P298" t="str">
        <f>IFERROR(INDEX(_courses_lookup!$D:$D,MATCH(K298&amp;L298,_courses_lookup!$E:$E,0)),"")</f>
        <v/>
      </c>
      <c r="AG298" t="str">
        <f t="shared" si="49"/>
        <v/>
      </c>
      <c r="AI298" t="str">
        <f t="shared" si="50"/>
        <v/>
      </c>
      <c r="AL298" t="str">
        <f t="shared" si="51"/>
        <v/>
      </c>
      <c r="AN298" t="str">
        <f t="shared" si="52"/>
        <v/>
      </c>
      <c r="AQ298" t="str">
        <f t="shared" si="53"/>
        <v/>
      </c>
      <c r="AR298" t="str">
        <f t="shared" si="54"/>
        <v/>
      </c>
      <c r="AS298" t="str">
        <f t="shared" si="55"/>
        <v/>
      </c>
      <c r="AT298" t="str">
        <f t="shared" si="56"/>
        <v/>
      </c>
      <c r="BG298" t="str">
        <f t="shared" si="57"/>
        <v/>
      </c>
      <c r="BH298" t="str">
        <f t="shared" si="58"/>
        <v/>
      </c>
      <c r="BL298" t="str">
        <f>IFERROR(INDEX(_names_lookup!$C:$C,MATCH(BK298,_names_lookup!$A:$A,0)),"")</f>
        <v/>
      </c>
      <c r="BM298" t="str">
        <f>IFERROR(INDEX(_names_lookup!$B:$B,MATCH(BK298,_names_lookup!$A:$A,0)),"")</f>
        <v/>
      </c>
      <c r="BS298" t="str">
        <f t="shared" si="59"/>
        <v/>
      </c>
    </row>
    <row r="299" spans="15:71" x14ac:dyDescent="0.2">
      <c r="O299" t="str">
        <f>IFERROR(INDEX(_courses_lookup!$C:$C,MATCH(K299&amp;L299,_courses_lookup!$E:$E,0)),"")</f>
        <v/>
      </c>
      <c r="P299" t="str">
        <f>IFERROR(INDEX(_courses_lookup!$D:$D,MATCH(K299&amp;L299,_courses_lookup!$E:$E,0)),"")</f>
        <v/>
      </c>
      <c r="AG299" t="str">
        <f t="shared" si="49"/>
        <v/>
      </c>
      <c r="AI299" t="str">
        <f t="shared" si="50"/>
        <v/>
      </c>
      <c r="AL299" t="str">
        <f t="shared" si="51"/>
        <v/>
      </c>
      <c r="AN299" t="str">
        <f t="shared" si="52"/>
        <v/>
      </c>
      <c r="AQ299" t="str">
        <f t="shared" si="53"/>
        <v/>
      </c>
      <c r="AR299" t="str">
        <f t="shared" si="54"/>
        <v/>
      </c>
      <c r="AS299" t="str">
        <f t="shared" si="55"/>
        <v/>
      </c>
      <c r="AT299" t="str">
        <f t="shared" si="56"/>
        <v/>
      </c>
      <c r="BG299" t="str">
        <f t="shared" si="57"/>
        <v/>
      </c>
      <c r="BH299" t="str">
        <f t="shared" si="58"/>
        <v/>
      </c>
      <c r="BL299" t="str">
        <f>IFERROR(INDEX(_names_lookup!$C:$C,MATCH(BK299,_names_lookup!$A:$A,0)),"")</f>
        <v/>
      </c>
      <c r="BM299" t="str">
        <f>IFERROR(INDEX(_names_lookup!$B:$B,MATCH(BK299,_names_lookup!$A:$A,0)),"")</f>
        <v/>
      </c>
      <c r="BS299" t="str">
        <f t="shared" si="59"/>
        <v/>
      </c>
    </row>
    <row r="300" spans="15:71" x14ac:dyDescent="0.2">
      <c r="O300" t="str">
        <f>IFERROR(INDEX(_courses_lookup!$C:$C,MATCH(K300&amp;L300,_courses_lookup!$E:$E,0)),"")</f>
        <v/>
      </c>
      <c r="P300" t="str">
        <f>IFERROR(INDEX(_courses_lookup!$D:$D,MATCH(K300&amp;L300,_courses_lookup!$E:$E,0)),"")</f>
        <v/>
      </c>
      <c r="AG300" t="str">
        <f t="shared" si="49"/>
        <v/>
      </c>
      <c r="AI300" t="str">
        <f t="shared" si="50"/>
        <v/>
      </c>
      <c r="AL300" t="str">
        <f t="shared" si="51"/>
        <v/>
      </c>
      <c r="AN300" t="str">
        <f t="shared" si="52"/>
        <v/>
      </c>
      <c r="AQ300" t="str">
        <f t="shared" si="53"/>
        <v/>
      </c>
      <c r="AR300" t="str">
        <f t="shared" si="54"/>
        <v/>
      </c>
      <c r="AS300" t="str">
        <f t="shared" si="55"/>
        <v/>
      </c>
      <c r="AT300" t="str">
        <f t="shared" si="56"/>
        <v/>
      </c>
      <c r="BG300" t="str">
        <f t="shared" si="57"/>
        <v/>
      </c>
      <c r="BH300" t="str">
        <f t="shared" si="58"/>
        <v/>
      </c>
      <c r="BL300" t="str">
        <f>IFERROR(INDEX(_names_lookup!$C:$C,MATCH(BK300,_names_lookup!$A:$A,0)),"")</f>
        <v/>
      </c>
      <c r="BM300" t="str">
        <f>IFERROR(INDEX(_names_lookup!$B:$B,MATCH(BK300,_names_lookup!$A:$A,0)),"")</f>
        <v/>
      </c>
      <c r="BS300" t="str">
        <f t="shared" si="59"/>
        <v/>
      </c>
    </row>
  </sheetData>
  <autoFilter ref="A1:DQ1" xr:uid="{00000000-0009-0000-0000-00000A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0">
        <x14:dataValidation type="list" allowBlank="1" xr:uid="{00000000-0002-0000-0A00-000000000000}">
          <x14:formula1>
            <xm:f>DropDownMenu!$A$2:$A$3</xm:f>
          </x14:formula1>
          <xm:sqref>A3:A5000</xm:sqref>
        </x14:dataValidation>
        <x14:dataValidation type="list" allowBlank="1" xr:uid="{00000000-0002-0000-0A00-000001000000}">
          <x14:formula1>
            <xm:f>DropDownMenu!$B$2:$B$3</xm:f>
          </x14:formula1>
          <xm:sqref>B3:B5000</xm:sqref>
        </x14:dataValidation>
        <x14:dataValidation type="list" allowBlank="1" xr:uid="{00000000-0002-0000-0A00-000002000000}">
          <x14:formula1>
            <xm:f>DropDownMenu!$C$2:$C$3</xm:f>
          </x14:formula1>
          <xm:sqref>C3:C5000</xm:sqref>
        </x14:dataValidation>
        <x14:dataValidation type="list" allowBlank="1" xr:uid="{00000000-0002-0000-0A00-000003000000}">
          <x14:formula1>
            <xm:f>DropDownMenu!$D$2:$D$3</xm:f>
          </x14:formula1>
          <xm:sqref>D3:D5000</xm:sqref>
        </x14:dataValidation>
        <x14:dataValidation type="list" allowBlank="1" xr:uid="{00000000-0002-0000-0A00-000004000000}">
          <x14:formula1>
            <xm:f>DropDownMenu!$E$2:$E$3</xm:f>
          </x14:formula1>
          <xm:sqref>E3:E5000</xm:sqref>
        </x14:dataValidation>
        <x14:dataValidation type="list" allowBlank="1" xr:uid="{00000000-0002-0000-0A00-000005000000}">
          <x14:formula1>
            <xm:f>DropDownMenu!$F$2:$F$3</xm:f>
          </x14:formula1>
          <xm:sqref>F3:F5000</xm:sqref>
        </x14:dataValidation>
        <x14:dataValidation type="list" allowBlank="1" xr:uid="{00000000-0002-0000-0A00-000006000000}">
          <x14:formula1>
            <xm:f>DropDownMenu!$G$2:$G$19</xm:f>
          </x14:formula1>
          <xm:sqref>G3:G5000</xm:sqref>
        </x14:dataValidation>
        <x14:dataValidation type="list" allowBlank="1" xr:uid="{00000000-0002-0000-0A00-000007000000}">
          <x14:formula1>
            <xm:f>DropDownMenu!$H$2:$H$564</xm:f>
          </x14:formula1>
          <xm:sqref>H3:H5000</xm:sqref>
        </x14:dataValidation>
        <x14:dataValidation type="list" allowBlank="1" xr:uid="{00000000-0002-0000-0A00-000008000000}">
          <x14:formula1>
            <xm:f>DropDownMenu!$I$2:$I$352</xm:f>
          </x14:formula1>
          <xm:sqref>I3:I5000</xm:sqref>
        </x14:dataValidation>
        <x14:dataValidation type="list" allowBlank="1" xr:uid="{00000000-0002-0000-0A00-000009000000}">
          <x14:formula1>
            <xm:f>DropDownMenu!$J$2:$J$10</xm:f>
          </x14:formula1>
          <xm:sqref>K3:K5000</xm:sqref>
        </x14:dataValidation>
        <x14:dataValidation type="list" allowBlank="1" xr:uid="{00000000-0002-0000-0A00-00000A000000}">
          <x14:formula1>
            <xm:f>DropDownMenu!$K$2:$K$101</xm:f>
          </x14:formula1>
          <xm:sqref>L3:L5000</xm:sqref>
        </x14:dataValidation>
        <x14:dataValidation type="list" allowBlank="1" xr:uid="{00000000-0002-0000-0A00-00000B000000}">
          <x14:formula1>
            <xm:f>DropDownMenu!$L$2:$L$42</xm:f>
          </x14:formula1>
          <xm:sqref>M3:M5000</xm:sqref>
        </x14:dataValidation>
        <x14:dataValidation type="list" allowBlank="1" xr:uid="{00000000-0002-0000-0A00-00000C000000}">
          <x14:formula1>
            <xm:f>DropDownMenu!$M$2:$M$15</xm:f>
          </x14:formula1>
          <xm:sqref>N3:N5000</xm:sqref>
        </x14:dataValidation>
        <x14:dataValidation type="list" allowBlank="1" xr:uid="{00000000-0002-0000-0A00-00000D000000}">
          <x14:formula1>
            <xm:f>DropDownMenu!$N$2:$N$140</xm:f>
          </x14:formula1>
          <xm:sqref>O3:O5000</xm:sqref>
        </x14:dataValidation>
        <x14:dataValidation type="list" allowBlank="1" xr:uid="{00000000-0002-0000-0A00-00000E000000}">
          <x14:formula1>
            <xm:f>DropDownMenu!$O$2:$O$65</xm:f>
          </x14:formula1>
          <xm:sqref>P3:P5000</xm:sqref>
        </x14:dataValidation>
        <x14:dataValidation type="list" allowBlank="1" xr:uid="{00000000-0002-0000-0A00-00000F000000}">
          <x14:formula1>
            <xm:f>DropDownMenu!$P$2:$P$45</xm:f>
          </x14:formula1>
          <xm:sqref>R3:R5000</xm:sqref>
        </x14:dataValidation>
        <x14:dataValidation type="list" allowBlank="1" xr:uid="{00000000-0002-0000-0A00-000010000000}">
          <x14:formula1>
            <xm:f>DropDownMenu!$Q$2:$Q$6</xm:f>
          </x14:formula1>
          <xm:sqref>S3:S5000</xm:sqref>
        </x14:dataValidation>
        <x14:dataValidation type="list" allowBlank="1" xr:uid="{00000000-0002-0000-0A00-000011000000}">
          <x14:formula1>
            <xm:f>DropDownMenu!$R$2:$R$7</xm:f>
          </x14:formula1>
          <xm:sqref>T3:T5000</xm:sqref>
        </x14:dataValidation>
        <x14:dataValidation type="list" allowBlank="1" xr:uid="{00000000-0002-0000-0A00-000012000000}">
          <x14:formula1>
            <xm:f>DropDownMenu!$S$2:$S$12</xm:f>
          </x14:formula1>
          <xm:sqref>U3:U5000</xm:sqref>
        </x14:dataValidation>
        <x14:dataValidation type="list" allowBlank="1" xr:uid="{00000000-0002-0000-0A00-000013000000}">
          <x14:formula1>
            <xm:f>DropDownMenu!$T$2:$T$13</xm:f>
          </x14:formula1>
          <xm:sqref>V3:V5000</xm:sqref>
        </x14:dataValidation>
        <x14:dataValidation type="list" allowBlank="1" xr:uid="{00000000-0002-0000-0A00-000014000000}">
          <x14:formula1>
            <xm:f>DropDownMenu!$U$2:$U$4</xm:f>
          </x14:formula1>
          <xm:sqref>W3:W5000</xm:sqref>
        </x14:dataValidation>
        <x14:dataValidation type="list" allowBlank="1" xr:uid="{00000000-0002-0000-0A00-000015000000}">
          <x14:formula1>
            <xm:f>DropDownMenu!$V$2:$V$6</xm:f>
          </x14:formula1>
          <xm:sqref>X3:X5000</xm:sqref>
        </x14:dataValidation>
        <x14:dataValidation type="list" allowBlank="1" xr:uid="{00000000-0002-0000-0A00-000016000000}">
          <x14:formula1>
            <xm:f>DropDownMenu!$W$2:$W$26</xm:f>
          </x14:formula1>
          <xm:sqref>Y3:Y5000</xm:sqref>
        </x14:dataValidation>
        <x14:dataValidation type="list" allowBlank="1" xr:uid="{00000000-0002-0000-0A00-000017000000}">
          <x14:formula1>
            <xm:f>DropDownMenu!$X$2:$X$7</xm:f>
          </x14:formula1>
          <xm:sqref>Z3:Z5000</xm:sqref>
        </x14:dataValidation>
        <x14:dataValidation type="list" allowBlank="1" xr:uid="{00000000-0002-0000-0A00-000018000000}">
          <x14:formula1>
            <xm:f>DropDownMenu!$Y$2:$Y$15</xm:f>
          </x14:formula1>
          <xm:sqref>AB3:AB5000</xm:sqref>
        </x14:dataValidation>
        <x14:dataValidation type="list" allowBlank="1" xr:uid="{00000000-0002-0000-0A00-000019000000}">
          <x14:formula1>
            <xm:f>DropDownMenu!$Z$2:$Z$6</xm:f>
          </x14:formula1>
          <xm:sqref>AC3:AC5000</xm:sqref>
        </x14:dataValidation>
        <x14:dataValidation type="list" allowBlank="1" xr:uid="{00000000-0002-0000-0A00-00001A000000}">
          <x14:formula1>
            <xm:f>DropDownMenu!$AA$2:$AA$7</xm:f>
          </x14:formula1>
          <xm:sqref>AD4:AD5000</xm:sqref>
        </x14:dataValidation>
        <x14:dataValidation type="list" allowBlank="1" xr:uid="{00000000-0002-0000-0A00-00001B000000}">
          <x14:formula1>
            <xm:f>DropDownMenu!$AB$2:$AB$2</xm:f>
          </x14:formula1>
          <xm:sqref>AG3:AG5000</xm:sqref>
        </x14:dataValidation>
        <x14:dataValidation type="list" allowBlank="1" xr:uid="{00000000-0002-0000-0A00-00001C000000}">
          <x14:formula1>
            <xm:f>DropDownMenu!$AC$2:$AC$2</xm:f>
          </x14:formula1>
          <xm:sqref>AH3:AH5000</xm:sqref>
        </x14:dataValidation>
        <x14:dataValidation type="list" allowBlank="1" xr:uid="{00000000-0002-0000-0A00-00001D000000}">
          <x14:formula1>
            <xm:f>DropDownMenu!$AD$2:$AD$2</xm:f>
          </x14:formula1>
          <xm:sqref>AI3:AI5000</xm:sqref>
        </x14:dataValidation>
        <x14:dataValidation type="list" allowBlank="1" xr:uid="{00000000-0002-0000-0A00-00001E000000}">
          <x14:formula1>
            <xm:f>DropDownMenu!$AE$2:$AE$49</xm:f>
          </x14:formula1>
          <xm:sqref>AJ3:AJ5000</xm:sqref>
        </x14:dataValidation>
        <x14:dataValidation type="list" allowBlank="1" xr:uid="{00000000-0002-0000-0A00-00001F000000}">
          <x14:formula1>
            <xm:f>DropDownMenu!$AF$2:$AF$52</xm:f>
          </x14:formula1>
          <xm:sqref>AK3:AK5000</xm:sqref>
        </x14:dataValidation>
        <x14:dataValidation type="list" allowBlank="1" xr:uid="{00000000-0002-0000-0A00-000020000000}">
          <x14:formula1>
            <xm:f>DropDownMenu!$AG$2:$AG$2</xm:f>
          </x14:formula1>
          <xm:sqref>AL3:AL5000</xm:sqref>
        </x14:dataValidation>
        <x14:dataValidation type="list" allowBlank="1" xr:uid="{00000000-0002-0000-0A00-000021000000}">
          <x14:formula1>
            <xm:f>DropDownMenu!$AH$2:$AH$2</xm:f>
          </x14:formula1>
          <xm:sqref>AM3:AM5000</xm:sqref>
        </x14:dataValidation>
        <x14:dataValidation type="list" allowBlank="1" xr:uid="{00000000-0002-0000-0A00-000022000000}">
          <x14:formula1>
            <xm:f>DropDownMenu!$AI$2:$AI$2</xm:f>
          </x14:formula1>
          <xm:sqref>AN3:AN5000</xm:sqref>
        </x14:dataValidation>
        <x14:dataValidation type="list" allowBlank="1" xr:uid="{00000000-0002-0000-0A00-000023000000}">
          <x14:formula1>
            <xm:f>DropDownMenu!$AJ$2:$AJ$2</xm:f>
          </x14:formula1>
          <xm:sqref>AQ3:AQ5000</xm:sqref>
        </x14:dataValidation>
        <x14:dataValidation type="list" allowBlank="1" xr:uid="{00000000-0002-0000-0A00-000024000000}">
          <x14:formula1>
            <xm:f>DropDownMenu!$AK$2:$AK$2</xm:f>
          </x14:formula1>
          <xm:sqref>AR3:AR5000</xm:sqref>
        </x14:dataValidation>
        <x14:dataValidation type="list" allowBlank="1" xr:uid="{00000000-0002-0000-0A00-000025000000}">
          <x14:formula1>
            <xm:f>DropDownMenu!$AL$2:$AL$2</xm:f>
          </x14:formula1>
          <xm:sqref>AS3:AS5000</xm:sqref>
        </x14:dataValidation>
        <x14:dataValidation type="list" allowBlank="1" xr:uid="{00000000-0002-0000-0A00-000026000000}">
          <x14:formula1>
            <xm:f>DropDownMenu!$AM$2:$AM$2</xm:f>
          </x14:formula1>
          <xm:sqref>AT3:AT5000</xm:sqref>
        </x14:dataValidation>
        <x14:dataValidation type="list" allowBlank="1" xr:uid="{00000000-0002-0000-0A00-000027000000}">
          <x14:formula1>
            <xm:f>DropDownMenu!$AN$2:$AN$2</xm:f>
          </x14:formula1>
          <xm:sqref>AU3:AU5000</xm:sqref>
        </x14:dataValidation>
        <x14:dataValidation type="list" allowBlank="1" xr:uid="{00000000-0002-0000-0A00-000028000000}">
          <x14:formula1>
            <xm:f>DropDownMenu!$AO$2:$AO$9</xm:f>
          </x14:formula1>
          <xm:sqref>AV3:AV5000</xm:sqref>
        </x14:dataValidation>
        <x14:dataValidation type="list" allowBlank="1" xr:uid="{00000000-0002-0000-0A00-000029000000}">
          <x14:formula1>
            <xm:f>DropDownMenu!$AP$2:$AP$6</xm:f>
          </x14:formula1>
          <xm:sqref>AW3:AW5000</xm:sqref>
        </x14:dataValidation>
        <x14:dataValidation type="list" allowBlank="1" xr:uid="{00000000-0002-0000-0A00-00002A000000}">
          <x14:formula1>
            <xm:f>DropDownMenu!$AQ$2:$AQ$11</xm:f>
          </x14:formula1>
          <xm:sqref>AX3:AX5000</xm:sqref>
        </x14:dataValidation>
        <x14:dataValidation type="list" allowBlank="1" xr:uid="{00000000-0002-0000-0A00-00002B000000}">
          <x14:formula1>
            <xm:f>DropDownMenu!$AR$2:$AR$2</xm:f>
          </x14:formula1>
          <xm:sqref>AY3:AY5000</xm:sqref>
        </x14:dataValidation>
        <x14:dataValidation type="list" allowBlank="1" xr:uid="{00000000-0002-0000-0A00-00002C000000}">
          <x14:formula1>
            <xm:f>DropDownMenu!$AS$2:$AS$2</xm:f>
          </x14:formula1>
          <xm:sqref>AZ3:AZ5000</xm:sqref>
        </x14:dataValidation>
        <x14:dataValidation type="list" allowBlank="1" xr:uid="{00000000-0002-0000-0A00-00002D000000}">
          <x14:formula1>
            <xm:f>DropDownMenu!$AT$2:$AT$2</xm:f>
          </x14:formula1>
          <xm:sqref>BA3:BA5000</xm:sqref>
        </x14:dataValidation>
        <x14:dataValidation type="list" allowBlank="1" xr:uid="{00000000-0002-0000-0A00-00002E000000}">
          <x14:formula1>
            <xm:f>DropDownMenu!$AU$2:$AU$2</xm:f>
          </x14:formula1>
          <xm:sqref>BB3:BB5000</xm:sqref>
        </x14:dataValidation>
        <x14:dataValidation type="list" allowBlank="1" xr:uid="{00000000-0002-0000-0A00-00002F000000}">
          <x14:formula1>
            <xm:f>DropDownMenu!$AV$2:$AV$2</xm:f>
          </x14:formula1>
          <xm:sqref>BC3:BC5000</xm:sqref>
        </x14:dataValidation>
        <x14:dataValidation type="list" allowBlank="1" xr:uid="{00000000-0002-0000-0A00-000030000000}">
          <x14:formula1>
            <xm:f>DropDownMenu!$AW$2:$AW$5</xm:f>
          </x14:formula1>
          <xm:sqref>BF3:BF5000</xm:sqref>
        </x14:dataValidation>
        <x14:dataValidation type="list" allowBlank="1" xr:uid="{00000000-0002-0000-0A00-000031000000}">
          <x14:formula1>
            <xm:f>DropDownMenu!$AX$2:$AX$37</xm:f>
          </x14:formula1>
          <xm:sqref>BG3:BG5000</xm:sqref>
        </x14:dataValidation>
        <x14:dataValidation type="list" allowBlank="1" xr:uid="{00000000-0002-0000-0A00-000032000000}">
          <x14:formula1>
            <xm:f>DropDownMenu!$AY$2:$AY$4</xm:f>
          </x14:formula1>
          <xm:sqref>BH3:BH5000</xm:sqref>
        </x14:dataValidation>
        <x14:dataValidation type="list" allowBlank="1" xr:uid="{00000000-0002-0000-0A00-000033000000}">
          <x14:formula1>
            <xm:f>DropDownMenu!$AZ$2:$AZ$13</xm:f>
          </x14:formula1>
          <xm:sqref>BI3:BI5000</xm:sqref>
        </x14:dataValidation>
        <x14:dataValidation type="list" allowBlank="1" xr:uid="{00000000-0002-0000-0A00-000034000000}">
          <x14:formula1>
            <xm:f>DropDownMenu!$BA$2:$BA$34</xm:f>
          </x14:formula1>
          <xm:sqref>BJ3:BJ5000</xm:sqref>
        </x14:dataValidation>
        <x14:dataValidation type="list" allowBlank="1" xr:uid="{00000000-0002-0000-0A00-000035000000}">
          <x14:formula1>
            <xm:f>DropDownMenu!$BB$2:$BB$258</xm:f>
          </x14:formula1>
          <xm:sqref>BK3:BK5000</xm:sqref>
        </x14:dataValidation>
        <x14:dataValidation type="list" allowBlank="1" xr:uid="{00000000-0002-0000-0A00-000036000000}">
          <x14:formula1>
            <xm:f>DropDownMenu!$BC$2:$BC$252</xm:f>
          </x14:formula1>
          <xm:sqref>BL3:BL5000</xm:sqref>
        </x14:dataValidation>
        <x14:dataValidation type="list" allowBlank="1" xr:uid="{00000000-0002-0000-0A00-000037000000}">
          <x14:formula1>
            <xm:f>DropDownMenu!$BD$2:$BD$258</xm:f>
          </x14:formula1>
          <xm:sqref>BM3:BM5000</xm:sqref>
        </x14:dataValidation>
        <x14:dataValidation type="list" allowBlank="1" xr:uid="{00000000-0002-0000-0A00-000038000000}">
          <x14:formula1>
            <xm:f>DropDownMenu!$BE$2:$BE$3</xm:f>
          </x14:formula1>
          <xm:sqref>BN3:BN5000</xm:sqref>
        </x14:dataValidation>
        <x14:dataValidation type="list" allowBlank="1" xr:uid="{00000000-0002-0000-0A00-000039000000}">
          <x14:formula1>
            <xm:f>DropDownMenu!$BF$2:$BF$4</xm:f>
          </x14:formula1>
          <xm:sqref>BO3:BO5000</xm:sqref>
        </x14:dataValidation>
        <x14:dataValidation type="list" allowBlank="1" xr:uid="{00000000-0002-0000-0A00-00003A000000}">
          <x14:formula1>
            <xm:f>DropDownMenu!$BG$2:$BG$6</xm:f>
          </x14:formula1>
          <xm:sqref>BP3:BP5000</xm:sqref>
        </x14:dataValidation>
        <x14:dataValidation type="list" allowBlank="1" xr:uid="{00000000-0002-0000-0A00-00003B000000}">
          <x14:formula1>
            <xm:f>DropDownMenu!$BH$2:$BH$4</xm:f>
          </x14:formula1>
          <xm:sqref>BQ3:BQ5000</xm:sqref>
        </x14:dataValidation>
        <x14:dataValidation type="list" allowBlank="1" xr:uid="{00000000-0002-0000-0A00-00003C000000}">
          <x14:formula1>
            <xm:f>DropDownMenu!$BI$2:$BI$3</xm:f>
          </x14:formula1>
          <xm:sqref>BR3:BR5000</xm:sqref>
        </x14:dataValidation>
        <x14:dataValidation type="list" allowBlank="1" xr:uid="{00000000-0002-0000-0A00-00003D000000}">
          <x14:formula1>
            <xm:f>DropDownMenu!$BJ$2:$BJ$3</xm:f>
          </x14:formula1>
          <xm:sqref>BT3:BT5000</xm:sqref>
        </x14:dataValidation>
        <x14:dataValidation type="list" allowBlank="1" xr:uid="{00000000-0002-0000-0A00-00003E000000}">
          <x14:formula1>
            <xm:f>DropDownMenu!$BK$2:$BK$11</xm:f>
          </x14:formula1>
          <xm:sqref>BU3:BU5000</xm:sqref>
        </x14:dataValidation>
        <x14:dataValidation type="list" allowBlank="1" xr:uid="{00000000-0002-0000-0A00-00003F000000}">
          <x14:formula1>
            <xm:f>DropDownMenu!$BL$2:$BL$9</xm:f>
          </x14:formula1>
          <xm:sqref>BV3:BV5000</xm:sqref>
        </x14:dataValidation>
        <x14:dataValidation type="list" allowBlank="1" xr:uid="{00000000-0002-0000-0A00-000040000000}">
          <x14:formula1>
            <xm:f>DropDownMenu!$BM$2:$BM$2</xm:f>
          </x14:formula1>
          <xm:sqref>BW3:BW5000</xm:sqref>
        </x14:dataValidation>
        <x14:dataValidation type="list" allowBlank="1" xr:uid="{00000000-0002-0000-0A00-000041000000}">
          <x14:formula1>
            <xm:f>DropDownMenu!$BN$2:$BN$2</xm:f>
          </x14:formula1>
          <xm:sqref>BX3:BX5000</xm:sqref>
        </x14:dataValidation>
        <x14:dataValidation type="list" allowBlank="1" xr:uid="{00000000-0002-0000-0A00-000042000000}">
          <x14:formula1>
            <xm:f>DropDownMenu!$BO$2:$BO$2</xm:f>
          </x14:formula1>
          <xm:sqref>BY3:BY5000</xm:sqref>
        </x14:dataValidation>
        <x14:dataValidation type="list" allowBlank="1" xr:uid="{00000000-0002-0000-0A00-000043000000}">
          <x14:formula1>
            <xm:f>DropDownMenu!$BP$2:$BP$9</xm:f>
          </x14:formula1>
          <xm:sqref>BZ3:BZ5000</xm:sqref>
        </x14:dataValidation>
        <x14:dataValidation type="list" allowBlank="1" xr:uid="{00000000-0002-0000-0A00-000044000000}">
          <x14:formula1>
            <xm:f>DropDownMenu!$BQ$2:$BQ$11</xm:f>
          </x14:formula1>
          <xm:sqref>CA3:CA5000</xm:sqref>
        </x14:dataValidation>
        <x14:dataValidation type="list" allowBlank="1" xr:uid="{00000000-0002-0000-0A00-000045000000}">
          <x14:formula1>
            <xm:f>DropDownMenu!$BR$2:$BR$3</xm:f>
          </x14:formula1>
          <xm:sqref>CB3:CB5000</xm:sqref>
        </x14:dataValidation>
        <x14:dataValidation type="list" allowBlank="1" xr:uid="{00000000-0002-0000-0A00-000046000000}">
          <x14:formula1>
            <xm:f>DropDownMenu!$BS$2:$BS$4</xm:f>
          </x14:formula1>
          <xm:sqref>CC3:CC5000</xm:sqref>
        </x14:dataValidation>
        <x14:dataValidation type="list" allowBlank="1" xr:uid="{00000000-0002-0000-0A00-000047000000}">
          <x14:formula1>
            <xm:f>DropDownMenu!$BT$2:$BT$2</xm:f>
          </x14:formula1>
          <xm:sqref>CE3:CE5000</xm:sqref>
        </x14:dataValidation>
        <x14:dataValidation type="list" allowBlank="1" xr:uid="{00000000-0002-0000-0A00-000048000000}">
          <x14:formula1>
            <xm:f>DropDownMenu!$BU$2:$BU$81</xm:f>
          </x14:formula1>
          <xm:sqref>CF3:CF5000</xm:sqref>
        </x14:dataValidation>
        <x14:dataValidation type="list" allowBlank="1" xr:uid="{00000000-0002-0000-0A00-000049000000}">
          <x14:formula1>
            <xm:f>DropDownMenu!$BV$2:$BV$3</xm:f>
          </x14:formula1>
          <xm:sqref>CG3:CG5000</xm:sqref>
        </x14:dataValidation>
        <x14:dataValidation type="list" allowBlank="1" xr:uid="{00000000-0002-0000-0A00-00004A000000}">
          <x14:formula1>
            <xm:f>DropDownMenu!$BW$2:$BW$7</xm:f>
          </x14:formula1>
          <xm:sqref>CH3:CH5000</xm:sqref>
        </x14:dataValidation>
        <x14:dataValidation type="list" allowBlank="1" xr:uid="{00000000-0002-0000-0A00-00004B000000}">
          <x14:formula1>
            <xm:f>DropDownMenu!$BX$2:$BX$9</xm:f>
          </x14:formula1>
          <xm:sqref>CI3:CI5000</xm:sqref>
        </x14:dataValidation>
        <x14:dataValidation type="list" allowBlank="1" xr:uid="{00000000-0002-0000-0A00-00004C000000}">
          <x14:formula1>
            <xm:f>DropDownMenu!$BY$2:$BY$9</xm:f>
          </x14:formula1>
          <xm:sqref>CJ3:CJ5000</xm:sqref>
        </x14:dataValidation>
        <x14:dataValidation type="list" allowBlank="1" xr:uid="{00000000-0002-0000-0A00-00004D000000}">
          <x14:formula1>
            <xm:f>DropDownMenu!$BZ$2:$BZ$3</xm:f>
          </x14:formula1>
          <xm:sqref>CK3:CK5000</xm:sqref>
        </x14:dataValidation>
        <x14:dataValidation type="list" allowBlank="1" xr:uid="{00000000-0002-0000-0A00-00004E000000}">
          <x14:formula1>
            <xm:f>DropDownMenu!$CA$2:$CA$2</xm:f>
          </x14:formula1>
          <xm:sqref>CL3:CL5000</xm:sqref>
        </x14:dataValidation>
        <x14:dataValidation type="list" allowBlank="1" xr:uid="{00000000-0002-0000-0A00-00004F000000}">
          <x14:formula1>
            <xm:f>DropDownMenu!$CB$2:$CB$29</xm:f>
          </x14:formula1>
          <xm:sqref>CN3:CN5000</xm:sqref>
        </x14:dataValidation>
        <x14:dataValidation type="list" allowBlank="1" xr:uid="{00000000-0002-0000-0A00-000050000000}">
          <x14:formula1>
            <xm:f>DropDownMenu!$CC$2:$CC$2</xm:f>
          </x14:formula1>
          <xm:sqref>CQ3:CQ5000</xm:sqref>
        </x14:dataValidation>
        <x14:dataValidation type="list" allowBlank="1" xr:uid="{00000000-0002-0000-0A00-000051000000}">
          <x14:formula1>
            <xm:f>DropDownMenu!$CD$2:$CD$33</xm:f>
          </x14:formula1>
          <xm:sqref>CR3:CR5000</xm:sqref>
        </x14:dataValidation>
        <x14:dataValidation type="list" allowBlank="1" xr:uid="{00000000-0002-0000-0A00-000052000000}">
          <x14:formula1>
            <xm:f>DropDownMenu!$CE$2:$CE$2</xm:f>
          </x14:formula1>
          <xm:sqref>CS3:CS5000</xm:sqref>
        </x14:dataValidation>
        <x14:dataValidation type="list" allowBlank="1" xr:uid="{00000000-0002-0000-0A00-000053000000}">
          <x14:formula1>
            <xm:f>DropDownMenu!$CF$2:$CF$2</xm:f>
          </x14:formula1>
          <xm:sqref>CT3:CT5000</xm:sqref>
        </x14:dataValidation>
        <x14:dataValidation type="list" allowBlank="1" xr:uid="{00000000-0002-0000-0A00-000054000000}">
          <x14:formula1>
            <xm:f>DropDownMenu!$CG$2:$CG$2</xm:f>
          </x14:formula1>
          <xm:sqref>CU3:CU5000</xm:sqref>
        </x14:dataValidation>
        <x14:dataValidation type="list" allowBlank="1" xr:uid="{00000000-0002-0000-0A00-000055000000}">
          <x14:formula1>
            <xm:f>DropDownMenu!$CH$2:$CH$2</xm:f>
          </x14:formula1>
          <xm:sqref>CV3:CV5000</xm:sqref>
        </x14:dataValidation>
        <x14:dataValidation type="list" allowBlank="1" xr:uid="{00000000-0002-0000-0A00-000056000000}">
          <x14:formula1>
            <xm:f>DropDownMenu!$CI$2:$CI$8</xm:f>
          </x14:formula1>
          <xm:sqref>CW3:CW5000</xm:sqref>
        </x14:dataValidation>
        <x14:dataValidation type="list" allowBlank="1" xr:uid="{00000000-0002-0000-0A00-000057000000}">
          <x14:formula1>
            <xm:f>DropDownMenu!$CJ$2:$CJ$8</xm:f>
          </x14:formula1>
          <xm:sqref>CX3:CX5000</xm:sqref>
        </x14:dataValidation>
        <x14:dataValidation type="list" allowBlank="1" xr:uid="{00000000-0002-0000-0A00-000058000000}">
          <x14:formula1>
            <xm:f>DropDownMenu!$CK$2:$CK$8</xm:f>
          </x14:formula1>
          <xm:sqref>CY3:CY5000</xm:sqref>
        </x14:dataValidation>
        <x14:dataValidation type="list" allowBlank="1" xr:uid="{00000000-0002-0000-0A00-000059000000}">
          <x14:formula1>
            <xm:f>DropDownMenu!$CL$2:$CL$6</xm:f>
          </x14:formula1>
          <xm:sqref>CZ3:CZ5000</xm:sqref>
        </x14:dataValidation>
        <x14:dataValidation type="list" allowBlank="1" xr:uid="{00000000-0002-0000-0A00-00005A000000}">
          <x14:formula1>
            <xm:f>DropDownMenu!$CM$2:$CM$2</xm:f>
          </x14:formula1>
          <xm:sqref>DA3:DA5000</xm:sqref>
        </x14:dataValidation>
        <x14:dataValidation type="list" allowBlank="1" xr:uid="{00000000-0002-0000-0A00-00005B000000}">
          <x14:formula1>
            <xm:f>DropDownMenu!$CN$2:$CN$2</xm:f>
          </x14:formula1>
          <xm:sqref>DB3:DB5000</xm:sqref>
        </x14:dataValidation>
        <x14:dataValidation type="list" allowBlank="1" xr:uid="{00000000-0002-0000-0A00-00005C000000}">
          <x14:formula1>
            <xm:f>DropDownMenu!$CO$2:$CO$2</xm:f>
          </x14:formula1>
          <xm:sqref>DC3:DC5000</xm:sqref>
        </x14:dataValidation>
        <x14:dataValidation type="list" allowBlank="1" xr:uid="{00000000-0002-0000-0A00-00005D000000}">
          <x14:formula1>
            <xm:f>DropDownMenu!$CP$2:$CP$2</xm:f>
          </x14:formula1>
          <xm:sqref>DD3:DD5000</xm:sqref>
        </x14:dataValidation>
        <x14:dataValidation type="list" allowBlank="1" xr:uid="{00000000-0002-0000-0A00-00005E000000}">
          <x14:formula1>
            <xm:f>DropDownMenu!$CQ$2:$CQ$2</xm:f>
          </x14:formula1>
          <xm:sqref>DE3:DE5000</xm:sqref>
        </x14:dataValidation>
        <x14:dataValidation type="list" allowBlank="1" xr:uid="{00000000-0002-0000-0A00-00005F000000}">
          <x14:formula1>
            <xm:f>DropDownMenu!$CR$2:$CR$2</xm:f>
          </x14:formula1>
          <xm:sqref>DK3:DK5000</xm:sqref>
        </x14:dataValidation>
        <x14:dataValidation type="list" allowBlank="1" xr:uid="{00000000-0002-0000-0A00-000060000000}">
          <x14:formula1>
            <xm:f>DropDownMenu!$CS$2:$CS$2</xm:f>
          </x14:formula1>
          <xm:sqref>DL3:DL5000</xm:sqref>
        </x14:dataValidation>
        <x14:dataValidation type="list" allowBlank="1" xr:uid="{00000000-0002-0000-0A00-000061000000}">
          <x14:formula1>
            <xm:f>DropDownMenu!$CT$2:$CT$2</xm:f>
          </x14:formula1>
          <xm:sqref>DN3:DN5000</xm:sqref>
        </x14:dataValidation>
        <x14:dataValidation type="list" allowBlank="1" xr:uid="{00000000-0002-0000-0A00-000062000000}">
          <x14:formula1>
            <xm:f>DropDownMenu!$CU$2:$CU$5</xm:f>
          </x14:formula1>
          <xm:sqref>DO3:DO5000</xm:sqref>
        </x14:dataValidation>
        <x14:dataValidation type="list" allowBlank="1" xr:uid="{00000000-0002-0000-0A00-000063000000}">
          <x14:formula1>
            <xm:f>DropDownMenu!$CV$2:$CV$3</xm:f>
          </x14:formula1>
          <xm:sqref>DQ3:DQ5000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applyStyles="1" summaryRight="0"/>
  </sheetPr>
  <dimension ref="A1:C30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20" customWidth="1"/>
    <col min="3" max="3" width="10" customWidth="1"/>
  </cols>
  <sheetData>
    <row r="1" spans="1:3" ht="150" customHeight="1" x14ac:dyDescent="0.2">
      <c r="A1" s="17" t="s">
        <v>62</v>
      </c>
      <c r="B1" s="17" t="s">
        <v>63</v>
      </c>
      <c r="C1" s="17" t="s">
        <v>64</v>
      </c>
    </row>
    <row r="2" spans="1:3" ht="16" customHeight="1" x14ac:dyDescent="0.2">
      <c r="A2" s="7" t="s">
        <v>121</v>
      </c>
      <c r="B2" s="7" t="str">
        <f>IFERROR(INDEX(_names_lookup!$C:$C,MATCH(A2,_names_lookup!$A:$A,0)),"")</f>
        <v>abar@andrews.edu</v>
      </c>
      <c r="C2" s="7" t="str">
        <f>IFERROR(INDEX(_names_lookup!$B:$B,MATCH(A2,_names_lookup!$A:$A,0)),"")</f>
        <v>000114991</v>
      </c>
    </row>
    <row r="3" spans="1:3" ht="16" customHeight="1" x14ac:dyDescent="0.2">
      <c r="A3" s="7" t="s">
        <v>122</v>
      </c>
      <c r="B3" s="7" t="str">
        <f>IFERROR(INDEX(_names_lookup!$C:$C,MATCH(A3,_names_lookup!$A:$A,0)),"")</f>
        <v>radisa@andrews.edu</v>
      </c>
      <c r="C3" s="7" t="str">
        <f>IFERROR(INDEX(_names_lookup!$B:$B,MATCH(A3,_names_lookup!$A:$A,0)),"")</f>
        <v>000042516</v>
      </c>
    </row>
    <row r="4" spans="1:3" ht="16" customHeight="1" x14ac:dyDescent="0.2">
      <c r="A4" s="7" t="s">
        <v>123</v>
      </c>
      <c r="B4" s="7" t="str">
        <f>IFERROR(INDEX(_names_lookup!$C:$C,MATCH(A4,_names_lookup!$A:$A,0)),"")</f>
        <v>augsburg@andrews.edu</v>
      </c>
      <c r="C4" s="7" t="str">
        <f>IFERROR(INDEX(_names_lookup!$B:$B,MATCH(A4,_names_lookup!$A:$A,0)),"")</f>
        <v>000003539</v>
      </c>
    </row>
    <row r="5" spans="1:3" ht="16" customHeight="1" x14ac:dyDescent="0.2">
      <c r="A5" s="7" t="s">
        <v>124</v>
      </c>
      <c r="B5" s="7" t="str">
        <f>IFERROR(INDEX(_names_lookup!$C:$C,MATCH(A5,_names_lookup!$A:$A,0)),"")</f>
        <v>degaliza@andrews.edu</v>
      </c>
      <c r="C5" s="7" t="str">
        <f>IFERROR(INDEX(_names_lookup!$B:$B,MATCH(A5,_names_lookup!$A:$A,0)),"")</f>
        <v>000141959</v>
      </c>
    </row>
    <row r="6" spans="1:3" ht="16" customHeight="1" x14ac:dyDescent="0.2">
      <c r="A6" s="7" t="s">
        <v>125</v>
      </c>
      <c r="B6" s="7" t="str">
        <f>IFERROR(INDEX(_names_lookup!$C:$C,MATCH(A6,_names_lookup!$A:$A,0)),"")</f>
        <v>barna@andrews.edu</v>
      </c>
      <c r="C6" s="7" t="str">
        <f>IFERROR(INDEX(_names_lookup!$B:$B,MATCH(A6,_names_lookup!$A:$A,0)),"")</f>
        <v>000107673</v>
      </c>
    </row>
    <row r="7" spans="1:3" ht="16" customHeight="1" x14ac:dyDescent="0.2">
      <c r="A7" s="7" t="s">
        <v>126</v>
      </c>
      <c r="B7" s="7" t="str">
        <f>IFERROR(INDEX(_names_lookup!$C:$C,MATCH(A7,_names_lookup!$A:$A,0)),"")</f>
        <v>burtonk@andrews.edu</v>
      </c>
      <c r="C7" s="7" t="str">
        <f>IFERROR(INDEX(_names_lookup!$B:$B,MATCH(A7,_names_lookup!$A:$A,0)),"")</f>
        <v>000148286</v>
      </c>
    </row>
    <row r="8" spans="1:3" ht="16" customHeight="1" x14ac:dyDescent="0.2">
      <c r="A8" s="7" t="s">
        <v>127</v>
      </c>
      <c r="B8" s="7" t="str">
        <f>IFERROR(INDEX(_names_lookup!$C:$C,MATCH(A8,_names_lookup!$A:$A,0)),"")</f>
        <v>christiechu@andrews.edu</v>
      </c>
      <c r="C8" s="7" t="str">
        <f>IFERROR(INDEX(_names_lookup!$B:$B,MATCH(A8,_names_lookup!$A:$A,0)),"")</f>
        <v>000232177</v>
      </c>
    </row>
    <row r="9" spans="1:3" ht="16" customHeight="1" x14ac:dyDescent="0.2">
      <c r="A9" s="7" t="s">
        <v>128</v>
      </c>
      <c r="B9" s="7" t="str">
        <f>IFERROR(INDEX(_names_lookup!$C:$C,MATCH(A9,_names_lookup!$A:$A,0)),"")</f>
        <v>damsteeg@andrews.edu</v>
      </c>
      <c r="C9" s="7" t="str">
        <f>IFERROR(INDEX(_names_lookup!$B:$B,MATCH(A9,_names_lookup!$A:$A,0)),"")</f>
        <v>000009168</v>
      </c>
    </row>
    <row r="10" spans="1:3" ht="16" customHeight="1" x14ac:dyDescent="0.2">
      <c r="A10" s="7" t="s">
        <v>129</v>
      </c>
      <c r="B10" s="7" t="str">
        <f>IFERROR(INDEX(_names_lookup!$C:$C,MATCH(A10,_names_lookup!$A:$A,0)),"")</f>
        <v>figuerov@andrews.edu</v>
      </c>
      <c r="C10" s="7" t="str">
        <f>IFERROR(INDEX(_names_lookup!$B:$B,MATCH(A10,_names_lookup!$A:$A,0)),"")</f>
        <v>000055527</v>
      </c>
    </row>
    <row r="11" spans="1:3" ht="16" customHeight="1" x14ac:dyDescent="0.2">
      <c r="A11" s="7" t="s">
        <v>130</v>
      </c>
      <c r="B11" s="7" t="str">
        <f>IFERROR(INDEX(_names_lookup!$C:$C,MATCH(A11,_names_lookup!$A:$A,0)),"")</f>
        <v>gameti@andrews.edu</v>
      </c>
      <c r="C11" s="7" t="str">
        <f>IFERROR(INDEX(_names_lookup!$B:$B,MATCH(A11,_names_lookup!$A:$A,0)),"")</f>
        <v>000239625</v>
      </c>
    </row>
    <row r="12" spans="1:3" ht="16" customHeight="1" x14ac:dyDescent="0.2">
      <c r="A12" s="7" t="s">
        <v>131</v>
      </c>
      <c r="B12" s="7" t="str">
        <f>IFERROR(INDEX(_names_lookup!$C:$C,MATCH(A12,_names_lookup!$A:$A,0)),"")</f>
        <v>heber@andrews.edu</v>
      </c>
      <c r="C12" s="7" t="str">
        <f>IFERROR(INDEX(_names_lookup!$B:$B,MATCH(A12,_names_lookup!$A:$A,0)),"")</f>
        <v>000147941</v>
      </c>
    </row>
    <row r="13" spans="1:3" ht="16" customHeight="1" x14ac:dyDescent="0.2">
      <c r="A13" s="7" t="s">
        <v>132</v>
      </c>
      <c r="B13" s="7" t="str">
        <f>IFERROR(INDEX(_names_lookup!$C:$C,MATCH(A13,_names_lookup!$A:$A,0)),"")</f>
        <v>angelika@andrews.edu</v>
      </c>
      <c r="C13" s="7" t="str">
        <f>IFERROR(INDEX(_names_lookup!$B:$B,MATCH(A13,_names_lookup!$A:$A,0)),"")</f>
        <v>000143159</v>
      </c>
    </row>
    <row r="14" spans="1:3" ht="16" customHeight="1" x14ac:dyDescent="0.2">
      <c r="A14" s="7" t="s">
        <v>133</v>
      </c>
      <c r="B14" s="7" t="str">
        <f>IFERROR(INDEX(_names_lookup!$C:$C,MATCH(A14,_names_lookup!$A:$A,0)),"")</f>
        <v>denis@andrews.edu</v>
      </c>
      <c r="C14" s="7" t="str">
        <f>IFERROR(INDEX(_names_lookup!$B:$B,MATCH(A14,_names_lookup!$A:$A,0)),"")</f>
        <v>000134382</v>
      </c>
    </row>
    <row r="15" spans="1:3" ht="16" customHeight="1" x14ac:dyDescent="0.2">
      <c r="A15" s="7" t="s">
        <v>134</v>
      </c>
      <c r="B15" s="7" t="str">
        <f>IFERROR(INDEX(_names_lookup!$C:$C,MATCH(A15,_names_lookup!$A:$A,0)),"")</f>
        <v>louw@andrews.edu</v>
      </c>
      <c r="C15" s="7" t="str">
        <f>IFERROR(INDEX(_names_lookup!$B:$B,MATCH(A15,_names_lookup!$A:$A,0)),"")</f>
        <v>000160504</v>
      </c>
    </row>
    <row r="16" spans="1:3" ht="16" customHeight="1" x14ac:dyDescent="0.2">
      <c r="A16" s="7" t="s">
        <v>135</v>
      </c>
      <c r="B16" s="7" t="str">
        <f>IFERROR(INDEX(_names_lookup!$C:$C,MATCH(A16,_names_lookup!$A:$A,0)),"")</f>
        <v>jungkyu@andrews.edu</v>
      </c>
      <c r="C16" s="7" t="str">
        <f>IFERROR(INDEX(_names_lookup!$B:$B,MATCH(A16,_names_lookup!$A:$A,0)),"")</f>
        <v>000122429</v>
      </c>
    </row>
    <row r="17" spans="1:3" ht="16" customHeight="1" x14ac:dyDescent="0.2">
      <c r="A17" s="7" t="s">
        <v>136</v>
      </c>
      <c r="B17" s="7" t="str">
        <f>IFERROR(INDEX(_names_lookup!$C:$C,MATCH(A17,_names_lookup!$A:$A,0)),"")</f>
        <v>gersoncr@andrews.edu</v>
      </c>
      <c r="C17" s="7" t="str">
        <f>IFERROR(INDEX(_names_lookup!$B:$B,MATCH(A17,_names_lookup!$A:$A,0)),"")</f>
        <v>000093682</v>
      </c>
    </row>
    <row r="18" spans="1:3" ht="16" customHeight="1" x14ac:dyDescent="0.2">
      <c r="A18" s="7" t="s">
        <v>137</v>
      </c>
      <c r="B18" s="7" t="str">
        <f>IFERROR(INDEX(_names_lookup!$C:$C,MATCH(A18,_names_lookup!$A:$A,0)),"")</f>
        <v>arosario@andrews.edu</v>
      </c>
      <c r="C18" s="7" t="str">
        <f>IFERROR(INDEX(_names_lookup!$B:$B,MATCH(A18,_names_lookup!$A:$A,0)),"")</f>
        <v>000074158</v>
      </c>
    </row>
    <row r="19" spans="1:3" ht="16" customHeight="1" x14ac:dyDescent="0.2">
      <c r="A19" s="7" t="s">
        <v>138</v>
      </c>
      <c r="B19" s="7" t="str">
        <f>IFERROR(INDEX(_names_lookup!$C:$C,MATCH(A19,_names_lookup!$A:$A,0)),"")</f>
        <v>steger@andrews.edu</v>
      </c>
      <c r="C19" s="7" t="str">
        <f>IFERROR(INDEX(_names_lookup!$B:$B,MATCH(A19,_names_lookup!$A:$A,0)),"")</f>
        <v>000064286</v>
      </c>
    </row>
    <row r="20" spans="1:3" ht="16" customHeight="1" x14ac:dyDescent="0.2">
      <c r="A20" s="7" t="s">
        <v>139</v>
      </c>
      <c r="B20" s="7" t="str">
        <f>IFERROR(INDEX(_names_lookup!$C:$C,MATCH(A20,_names_lookup!$A:$A,0)),"")</f>
        <v>toscano@andrews.edu</v>
      </c>
      <c r="C20" s="7" t="str">
        <f>IFERROR(INDEX(_names_lookup!$B:$B,MATCH(A20,_names_lookup!$A:$A,0)),"")</f>
        <v>000138178</v>
      </c>
    </row>
    <row r="21" spans="1:3" ht="16" customHeight="1" x14ac:dyDescent="0.2">
      <c r="A21" s="7" t="s">
        <v>140</v>
      </c>
      <c r="B21" s="7" t="str">
        <f>IFERROR(INDEX(_names_lookup!$C:$C,MATCH(A21,_names_lookup!$A:$A,0)),"")</f>
        <v>ashirley@andrews.edu</v>
      </c>
      <c r="C21" s="7" t="str">
        <f>IFERROR(INDEX(_names_lookup!$B:$B,MATCH(A21,_names_lookup!$A:$A,0)),"")</f>
        <v>000062024</v>
      </c>
    </row>
    <row r="22" spans="1:3" ht="16" customHeight="1" x14ac:dyDescent="0.2">
      <c r="A22" s="7" t="s">
        <v>141</v>
      </c>
      <c r="B22" s="7" t="str">
        <f>IFERROR(INDEX(_names_lookup!$C:$C,MATCH(A22,_names_lookup!$A:$A,0)),"")</f>
        <v>beaglesk@andrews.edu</v>
      </c>
      <c r="C22" s="7" t="str">
        <f>IFERROR(INDEX(_names_lookup!$B:$B,MATCH(A22,_names_lookup!$A:$A,0)),"")</f>
        <v>000041794</v>
      </c>
    </row>
    <row r="23" spans="1:3" ht="16" customHeight="1" x14ac:dyDescent="0.2">
      <c r="A23" s="7" t="s">
        <v>142</v>
      </c>
      <c r="B23" s="7" t="str">
        <f>IFERROR(INDEX(_names_lookup!$C:$C,MATCH(A23,_names_lookup!$A:$A,0)),"")</f>
        <v>consuegr@andrews.edu</v>
      </c>
      <c r="C23" s="7" t="str">
        <f>IFERROR(INDEX(_names_lookup!$B:$B,MATCH(A23,_names_lookup!$A:$A,0)),"")</f>
        <v>000041530</v>
      </c>
    </row>
    <row r="24" spans="1:3" ht="16" customHeight="1" x14ac:dyDescent="0.2">
      <c r="A24" s="7" t="s">
        <v>143</v>
      </c>
      <c r="B24" s="7" t="str">
        <f>IFERROR(INDEX(_names_lookup!$C:$C,MATCH(A24,_names_lookup!$A:$A,0)),"")</f>
        <v>desireed@andrews.edu</v>
      </c>
      <c r="C24" s="7" t="str">
        <f>IFERROR(INDEX(_names_lookup!$B:$B,MATCH(A24,_names_lookup!$A:$A,0)),"")</f>
        <v>000111875</v>
      </c>
    </row>
    <row r="25" spans="1:3" ht="16" customHeight="1" x14ac:dyDescent="0.2">
      <c r="A25" s="7" t="s">
        <v>144</v>
      </c>
      <c r="B25" s="7" t="str">
        <f>IFERROR(INDEX(_names_lookup!$C:$C,MATCH(A25,_names_lookup!$A:$A,0)),"")</f>
        <v>duany@andrews.edu</v>
      </c>
      <c r="C25" s="7" t="str">
        <f>IFERROR(INDEX(_names_lookup!$B:$B,MATCH(A25,_names_lookup!$A:$A,0)),"")</f>
        <v>000117365</v>
      </c>
    </row>
    <row r="26" spans="1:3" ht="16" customHeight="1" x14ac:dyDescent="0.2">
      <c r="A26" s="7" t="s">
        <v>145</v>
      </c>
      <c r="B26" s="7" t="str">
        <f>IFERROR(INDEX(_names_lookup!$C:$C,MATCH(A26,_names_lookup!$A:$A,0)),"")</f>
        <v>josee@andrews.edu</v>
      </c>
      <c r="C26" s="7" t="str">
        <f>IFERROR(INDEX(_names_lookup!$B:$B,MATCH(A26,_names_lookup!$A:$A,0)),"")</f>
        <v>000032088</v>
      </c>
    </row>
    <row r="27" spans="1:3" ht="16" customHeight="1" x14ac:dyDescent="0.2">
      <c r="A27" s="7" t="s">
        <v>146</v>
      </c>
      <c r="B27" s="7" t="str">
        <f>IFERROR(INDEX(_names_lookup!$C:$C,MATCH(A27,_names_lookup!$A:$A,0)),"")</f>
        <v>fraserj@andrews.edu</v>
      </c>
      <c r="C27" s="7" t="str">
        <f>IFERROR(INDEX(_names_lookup!$B:$B,MATCH(A27,_names_lookup!$A:$A,0)),"")</f>
        <v>000129106</v>
      </c>
    </row>
    <row r="28" spans="1:3" ht="16" customHeight="1" x14ac:dyDescent="0.2">
      <c r="A28" s="7" t="s">
        <v>147</v>
      </c>
      <c r="B28" s="7" t="str">
        <f>IFERROR(INDEX(_names_lookup!$C:$C,MATCH(A28,_names_lookup!$A:$A,0)),"")</f>
        <v>tyrrell@andrews.edu</v>
      </c>
      <c r="C28" s="7" t="str">
        <f>IFERROR(INDEX(_names_lookup!$B:$B,MATCH(A28,_names_lookup!$A:$A,0)),"")</f>
        <v>000067653</v>
      </c>
    </row>
    <row r="29" spans="1:3" ht="16" customHeight="1" x14ac:dyDescent="0.2">
      <c r="A29" s="7" t="s">
        <v>148</v>
      </c>
      <c r="B29" s="7" t="str">
        <f>IFERROR(INDEX(_names_lookup!$C:$C,MATCH(A29,_names_lookup!$A:$A,0)),"")</f>
        <v>gilles@andrews.edu</v>
      </c>
      <c r="C29" s="7" t="str">
        <f>IFERROR(INDEX(_names_lookup!$B:$B,MATCH(A29,_names_lookup!$A:$A,0)),"")</f>
        <v>000129689</v>
      </c>
    </row>
    <row r="30" spans="1:3" ht="16" customHeight="1" x14ac:dyDescent="0.2">
      <c r="A30" s="7" t="s">
        <v>149</v>
      </c>
      <c r="B30" s="7" t="str">
        <f>IFERROR(INDEX(_names_lookup!$C:$C,MATCH(A30,_names_lookup!$A:$A,0)),"")</f>
        <v>hamiltol@andrews.edu</v>
      </c>
      <c r="C30" s="7" t="str">
        <f>IFERROR(INDEX(_names_lookup!$B:$B,MATCH(A30,_names_lookup!$A:$A,0)),"")</f>
        <v>000062449</v>
      </c>
    </row>
    <row r="31" spans="1:3" ht="16" customHeight="1" x14ac:dyDescent="0.2">
      <c r="A31" s="7" t="s">
        <v>150</v>
      </c>
      <c r="B31" s="7" t="str">
        <f>IFERROR(INDEX(_names_lookup!$C:$C,MATCH(A31,_names_lookup!$A:$A,0)),"")</f>
        <v>ainsworj@andrews.edu</v>
      </c>
      <c r="C31" s="7" t="str">
        <f>IFERROR(INDEX(_names_lookup!$B:$B,MATCH(A31,_names_lookup!$A:$A,0)),"")</f>
        <v>000079312</v>
      </c>
    </row>
    <row r="32" spans="1:3" ht="16" customHeight="1" x14ac:dyDescent="0.2">
      <c r="A32" s="7" t="s">
        <v>151</v>
      </c>
      <c r="B32" s="7" t="str">
        <f>IFERROR(INDEX(_names_lookup!$C:$C,MATCH(A32,_names_lookup!$A:$A,0)),"")</f>
        <v>benjaminm@andrews.edu</v>
      </c>
      <c r="C32" s="7" t="str">
        <f>IFERROR(INDEX(_names_lookup!$B:$B,MATCH(A32,_names_lookup!$A:$A,0)),"")</f>
        <v>000155484</v>
      </c>
    </row>
    <row r="33" spans="1:3" ht="16" customHeight="1" x14ac:dyDescent="0.2">
      <c r="A33" s="7" t="s">
        <v>152</v>
      </c>
      <c r="B33" s="7" t="str">
        <f>IFERROR(INDEX(_names_lookup!$C:$C,MATCH(A33,_names_lookup!$A:$A,0)),"")</f>
        <v>jorgem@andrews.edu</v>
      </c>
      <c r="C33" s="7" t="str">
        <f>IFERROR(INDEX(_names_lookup!$B:$B,MATCH(A33,_names_lookup!$A:$A,0)),"")</f>
        <v>000049082</v>
      </c>
    </row>
    <row r="34" spans="1:3" ht="16" customHeight="1" x14ac:dyDescent="0.2">
      <c r="A34" s="7" t="s">
        <v>153</v>
      </c>
      <c r="B34" s="7" t="str">
        <f>IFERROR(INDEX(_names_lookup!$C:$C,MATCH(A34,_names_lookup!$A:$A,0)),"")</f>
        <v>mooreri@andrews.edu</v>
      </c>
      <c r="C34" s="7" t="str">
        <f>IFERROR(INDEX(_names_lookup!$B:$B,MATCH(A34,_names_lookup!$A:$A,0)),"")</f>
        <v>000054389</v>
      </c>
    </row>
    <row r="35" spans="1:3" ht="16" customHeight="1" x14ac:dyDescent="0.2">
      <c r="A35" s="7" t="s">
        <v>154</v>
      </c>
      <c r="B35" s="7" t="str">
        <f>IFERROR(INDEX(_names_lookup!$C:$C,MATCH(A35,_names_lookup!$A:$A,0)),"")</f>
        <v>ramosi@andrews.edu</v>
      </c>
      <c r="C35" s="7" t="str">
        <f>IFERROR(INDEX(_names_lookup!$B:$B,MATCH(A35,_names_lookup!$A:$A,0)),"")</f>
        <v>000111021</v>
      </c>
    </row>
    <row r="36" spans="1:3" ht="16" customHeight="1" x14ac:dyDescent="0.2">
      <c r="A36" s="7" t="s">
        <v>155</v>
      </c>
      <c r="B36" s="7" t="str">
        <f>IFERROR(INDEX(_names_lookup!$C:$C,MATCH(A36,_names_lookup!$A:$A,0)),"")</f>
        <v>reddy@andrews.edu</v>
      </c>
      <c r="C36" s="7" t="str">
        <f>IFERROR(INDEX(_names_lookup!$B:$B,MATCH(A36,_names_lookup!$A:$A,0)),"")</f>
        <v>000159825</v>
      </c>
    </row>
    <row r="37" spans="1:3" ht="16" customHeight="1" x14ac:dyDescent="0.2">
      <c r="A37" s="7" t="s">
        <v>156</v>
      </c>
      <c r="B37" s="7" t="str">
        <f>IFERROR(INDEX(_names_lookup!$C:$C,MATCH(A37,_names_lookup!$A:$A,0)),"")</f>
        <v>reinert@andrews.edu</v>
      </c>
      <c r="C37" s="7" t="str">
        <f>IFERROR(INDEX(_names_lookup!$B:$B,MATCH(A37,_names_lookup!$A:$A,0)),"")</f>
        <v>000195832</v>
      </c>
    </row>
    <row r="38" spans="1:3" ht="16" customHeight="1" x14ac:dyDescent="0.2">
      <c r="A38" s="7" t="s">
        <v>157</v>
      </c>
      <c r="B38" s="7" t="str">
        <f>IFERROR(INDEX(_names_lookup!$C:$C,MATCH(A38,_names_lookup!$A:$A,0)),"")</f>
        <v>sedlacek@andrews.edu</v>
      </c>
      <c r="C38" s="7" t="str">
        <f>IFERROR(INDEX(_names_lookup!$B:$B,MATCH(A38,_names_lookup!$A:$A,0)),"")</f>
        <v>000142355</v>
      </c>
    </row>
    <row r="39" spans="1:3" ht="16" customHeight="1" x14ac:dyDescent="0.2">
      <c r="A39" s="7" t="s">
        <v>158</v>
      </c>
      <c r="B39" s="7" t="str">
        <f>IFERROR(INDEX(_names_lookup!$C:$C,MATCH(A39,_names_lookup!$A:$A,0)),"")</f>
        <v>sward@andrews.edu</v>
      </c>
      <c r="C39" s="7" t="str">
        <f>IFERROR(INDEX(_names_lookup!$B:$B,MATCH(A39,_names_lookup!$A:$A,0)),"")</f>
        <v>000077973</v>
      </c>
    </row>
    <row r="40" spans="1:3" ht="16" customHeight="1" x14ac:dyDescent="0.2">
      <c r="A40" s="7" t="s">
        <v>159</v>
      </c>
      <c r="B40" s="7" t="str">
        <f>IFERROR(INDEX(_names_lookup!$C:$C,MATCH(A40,_names_lookup!$A:$A,0)),"")</f>
        <v>jharony@andrews.edu</v>
      </c>
      <c r="C40" s="7" t="str">
        <f>IFERROR(INDEX(_names_lookup!$B:$B,MATCH(A40,_names_lookup!$A:$A,0)),"")</f>
        <v>000140039</v>
      </c>
    </row>
    <row r="41" spans="1:3" ht="16" customHeight="1" x14ac:dyDescent="0.2">
      <c r="A41" s="7" t="s">
        <v>160</v>
      </c>
      <c r="B41" s="7" t="str">
        <f>IFERROR(INDEX(_names_lookup!$C:$C,MATCH(A41,_names_lookup!$A:$A,0)),"")</f>
        <v>pegueroc@andrews.edu</v>
      </c>
      <c r="C41" s="7" t="str">
        <f>IFERROR(INDEX(_names_lookup!$B:$B,MATCH(A41,_names_lookup!$A:$A,0)),"")</f>
        <v>000130089</v>
      </c>
    </row>
    <row r="42" spans="1:3" ht="16" customHeight="1" x14ac:dyDescent="0.2">
      <c r="A42" s="7" t="s">
        <v>161</v>
      </c>
      <c r="B42" s="7" t="str">
        <f>IFERROR(INDEX(_names_lookup!$C:$C,MATCH(A42,_names_lookup!$A:$A,0)),"")</f>
        <v>curtisf@andrews.edu</v>
      </c>
      <c r="C42" s="7" t="str">
        <f>IFERROR(INDEX(_names_lookup!$B:$B,MATCH(A42,_names_lookup!$A:$A,0)),"")</f>
        <v>000062042</v>
      </c>
    </row>
    <row r="43" spans="1:3" ht="16" customHeight="1" x14ac:dyDescent="0.2">
      <c r="A43" s="7" t="s">
        <v>162</v>
      </c>
      <c r="B43" s="7" t="str">
        <f>IFERROR(INDEX(_names_lookup!$C:$C,MATCH(A43,_names_lookup!$A:$A,0)),"")</f>
        <v>elim@andrews.edu</v>
      </c>
      <c r="C43" s="7" t="str">
        <f>IFERROR(INDEX(_names_lookup!$B:$B,MATCH(A43,_names_lookup!$A:$A,0)),"")</f>
        <v>000132146</v>
      </c>
    </row>
    <row r="44" spans="1:3" ht="16" customHeight="1" x14ac:dyDescent="0.2">
      <c r="A44" s="7" t="s">
        <v>163</v>
      </c>
      <c r="B44" s="7" t="str">
        <f>IFERROR(INDEX(_names_lookup!$C:$C,MATCH(A44,_names_lookup!$A:$A,0)),"")</f>
        <v>maxson@andrews.edu</v>
      </c>
      <c r="C44" s="7" t="str">
        <f>IFERROR(INDEX(_names_lookup!$B:$B,MATCH(A44,_names_lookup!$A:$A,0)),"")</f>
        <v>000025977</v>
      </c>
    </row>
    <row r="45" spans="1:3" ht="16" customHeight="1" x14ac:dyDescent="0.2">
      <c r="A45" s="7" t="s">
        <v>164</v>
      </c>
      <c r="B45" s="7" t="str">
        <f>IFERROR(INDEX(_names_lookup!$C:$C,MATCH(A45,_names_lookup!$A:$A,0)),"")</f>
        <v>wilberto@andrews.edu</v>
      </c>
      <c r="C45" s="7" t="str">
        <f>IFERROR(INDEX(_names_lookup!$B:$B,MATCH(A45,_names_lookup!$A:$A,0)),"")</f>
        <v>000034125</v>
      </c>
    </row>
    <row r="46" spans="1:3" ht="16" customHeight="1" x14ac:dyDescent="0.2">
      <c r="A46" s="7" t="s">
        <v>165</v>
      </c>
      <c r="B46" s="7" t="str">
        <f>IFERROR(INDEX(_names_lookup!$C:$C,MATCH(A46,_names_lookup!$A:$A,0)),"")</f>
        <v>olivo@andrews.edu</v>
      </c>
      <c r="C46" s="7" t="str">
        <f>IFERROR(INDEX(_names_lookup!$B:$B,MATCH(A46,_names_lookup!$A:$A,0)),"")</f>
        <v>000046389</v>
      </c>
    </row>
    <row r="47" spans="1:3" ht="16" customHeight="1" x14ac:dyDescent="0.2">
      <c r="A47" s="7" t="s">
        <v>166</v>
      </c>
      <c r="B47" s="7" t="str">
        <f>IFERROR(INDEX(_names_lookup!$C:$C,MATCH(A47,_names_lookup!$A:$A,0)),"")</f>
        <v>swansonp@andrews.edu</v>
      </c>
      <c r="C47" s="7" t="str">
        <f>IFERROR(INDEX(_names_lookup!$B:$B,MATCH(A47,_names_lookup!$A:$A,0)),"")</f>
        <v>000031571</v>
      </c>
    </row>
    <row r="48" spans="1:3" ht="16" customHeight="1" x14ac:dyDescent="0.2">
      <c r="A48" s="7" t="s">
        <v>167</v>
      </c>
      <c r="B48" s="7" t="str">
        <f>IFERROR(INDEX(_names_lookup!$C:$C,MATCH(A48,_names_lookup!$A:$A,0)),"")</f>
        <v>walshe@andrews.edu</v>
      </c>
      <c r="C48" s="7" t="str">
        <f>IFERROR(INDEX(_names_lookup!$B:$B,MATCH(A48,_names_lookup!$A:$A,0)),"")</f>
        <v>000136308</v>
      </c>
    </row>
    <row r="49" spans="1:3" ht="16" customHeight="1" x14ac:dyDescent="0.2">
      <c r="A49" s="7" t="s">
        <v>168</v>
      </c>
      <c r="B49" s="7" t="str">
        <f>IFERROR(INDEX(_names_lookup!$C:$C,MATCH(A49,_names_lookup!$A:$A,0)),"")</f>
        <v>adenilton@andrews.edu</v>
      </c>
      <c r="C49" s="7" t="str">
        <f>IFERROR(INDEX(_names_lookup!$B:$B,MATCH(A49,_names_lookup!$A:$A,0)),"")</f>
        <v>000160279</v>
      </c>
    </row>
    <row r="50" spans="1:3" ht="16" customHeight="1" x14ac:dyDescent="0.2">
      <c r="A50" s="7" t="s">
        <v>169</v>
      </c>
      <c r="B50" s="7" t="str">
        <f>IFERROR(INDEX(_names_lookup!$C:$C,MATCH(A50,_names_lookup!$A:$A,0)),"")</f>
        <v>agustina@andrews.edu</v>
      </c>
      <c r="C50" s="7" t="str">
        <f>IFERROR(INDEX(_names_lookup!$B:$B,MATCH(A50,_names_lookup!$A:$A,0)),"")</f>
        <v>000240618</v>
      </c>
    </row>
    <row r="51" spans="1:3" ht="16" customHeight="1" x14ac:dyDescent="0.2">
      <c r="A51" s="7" t="s">
        <v>170</v>
      </c>
      <c r="B51" s="7" t="str">
        <f>IFERROR(INDEX(_names_lookup!$C:$C,MATCH(A51,_names_lookup!$A:$A,0)),"")</f>
        <v>badenasr@andrews.edu</v>
      </c>
      <c r="C51" s="7" t="str">
        <f>IFERROR(INDEX(_names_lookup!$B:$B,MATCH(A51,_names_lookup!$A:$A,0)),"")</f>
        <v>000035367</v>
      </c>
    </row>
    <row r="52" spans="1:3" ht="16" customHeight="1" x14ac:dyDescent="0.2">
      <c r="A52" s="7" t="s">
        <v>171</v>
      </c>
      <c r="B52" s="7" t="str">
        <f>IFERROR(INDEX(_names_lookup!$C:$C,MATCH(A52,_names_lookup!$A:$A,0)),"")</f>
        <v>borda@andrews.edu</v>
      </c>
      <c r="C52" s="7" t="str">
        <f>IFERROR(INDEX(_names_lookup!$B:$B,MATCH(A52,_names_lookup!$A:$A,0)),"")</f>
        <v>000150924</v>
      </c>
    </row>
    <row r="53" spans="1:3" ht="16" customHeight="1" x14ac:dyDescent="0.2">
      <c r="A53" s="7" t="s">
        <v>172</v>
      </c>
      <c r="B53" s="7" t="str">
        <f>IFERROR(INDEX(_names_lookup!$C:$C,MATCH(A53,_names_lookup!$A:$A,0)),"")</f>
        <v>choir@andrews.edu</v>
      </c>
      <c r="C53" s="7" t="str">
        <f>IFERROR(INDEX(_names_lookup!$B:$B,MATCH(A53,_names_lookup!$A:$A,0)),"")</f>
        <v>000036676</v>
      </c>
    </row>
    <row r="54" spans="1:3" ht="16" customHeight="1" x14ac:dyDescent="0.2">
      <c r="A54" s="7" t="s">
        <v>173</v>
      </c>
      <c r="B54" s="7" t="str">
        <f>IFERROR(INDEX(_names_lookup!$C:$C,MATCH(A54,_names_lookup!$A:$A,0)),"")</f>
        <v>fcortez@andrews.edu</v>
      </c>
      <c r="C54" s="7" t="str">
        <f>IFERROR(INDEX(_names_lookup!$B:$B,MATCH(A54,_names_lookup!$A:$A,0)),"")</f>
        <v>000110700</v>
      </c>
    </row>
    <row r="55" spans="1:3" ht="16" customHeight="1" x14ac:dyDescent="0.2">
      <c r="A55" s="7" t="s">
        <v>174</v>
      </c>
      <c r="B55" s="7" t="str">
        <f>IFERROR(INDEX(_names_lookup!$C:$C,MATCH(A55,_names_lookup!$A:$A,0)),"")</f>
        <v>jonatas@andrews.edu</v>
      </c>
      <c r="C55" s="7" t="str">
        <f>IFERROR(INDEX(_names_lookup!$B:$B,MATCH(A55,_names_lookup!$A:$A,0)),"")</f>
        <v>000159708</v>
      </c>
    </row>
    <row r="56" spans="1:3" ht="16" customHeight="1" x14ac:dyDescent="0.2">
      <c r="A56" s="7" t="s">
        <v>175</v>
      </c>
      <c r="B56" s="7" t="str">
        <f>IFERROR(INDEX(_names_lookup!$C:$C,MATCH(A56,_names_lookup!$A:$A,0)),"")</f>
        <v>festa@andrews.edu</v>
      </c>
      <c r="C56" s="7" t="str">
        <f>IFERROR(INDEX(_names_lookup!$B:$B,MATCH(A56,_names_lookup!$A:$A,0)),"")</f>
        <v>000159784</v>
      </c>
    </row>
    <row r="57" spans="1:3" ht="16" customHeight="1" x14ac:dyDescent="0.2">
      <c r="A57" s="7" t="s">
        <v>176</v>
      </c>
      <c r="B57" s="7" t="str">
        <f>IFERROR(INDEX(_names_lookup!$C:$C,MATCH(A57,_names_lookup!$A:$A,0)),"")</f>
        <v>gallos@andrews.edu</v>
      </c>
      <c r="C57" s="7" t="str">
        <f>IFERROR(INDEX(_names_lookup!$B:$B,MATCH(A57,_names_lookup!$A:$A,0)),"")</f>
        <v>000068119</v>
      </c>
    </row>
    <row r="58" spans="1:3" ht="16" customHeight="1" x14ac:dyDescent="0.2">
      <c r="A58" s="7" t="s">
        <v>177</v>
      </c>
      <c r="B58" s="7" t="str">
        <f>IFERROR(INDEX(_names_lookup!$C:$C,MATCH(A58,_names_lookup!$A:$A,0)),"")</f>
        <v>gallusz@andrews.edu</v>
      </c>
      <c r="C58" s="7" t="str">
        <f>IFERROR(INDEX(_names_lookup!$B:$B,MATCH(A58,_names_lookup!$A:$A,0)),"")</f>
        <v>000203949</v>
      </c>
    </row>
    <row r="59" spans="1:3" ht="16" customHeight="1" x14ac:dyDescent="0.2">
      <c r="A59" s="7" t="s">
        <v>178</v>
      </c>
      <c r="B59" s="7" t="str">
        <f>IFERROR(INDEX(_names_lookup!$C:$C,MATCH(A59,_names_lookup!$A:$A,0)),"")</f>
        <v>grzeskowiak@andrews.edu</v>
      </c>
      <c r="C59" s="7" t="str">
        <f>IFERROR(INDEX(_names_lookup!$B:$B,MATCH(A59,_names_lookup!$A:$A,0)),"")</f>
        <v>000204006</v>
      </c>
    </row>
    <row r="60" spans="1:3" ht="16" customHeight="1" x14ac:dyDescent="0.2">
      <c r="A60" s="7" t="s">
        <v>179</v>
      </c>
      <c r="B60" s="7" t="str">
        <f>IFERROR(INDEX(_names_lookup!$C:$C,MATCH(A60,_names_lookup!$A:$A,0)),"")</f>
        <v>ahernandez@andrews.edu</v>
      </c>
      <c r="C60" s="7" t="str">
        <f>IFERROR(INDEX(_names_lookup!$B:$B,MATCH(A60,_names_lookup!$A:$A,0)),"")</f>
        <v>000025476</v>
      </c>
    </row>
    <row r="61" spans="1:3" ht="16" customHeight="1" x14ac:dyDescent="0.2">
      <c r="A61" s="7" t="s">
        <v>180</v>
      </c>
      <c r="B61" s="7" t="str">
        <f>IFERROR(INDEX(_names_lookup!$C:$C,MATCH(A61,_names_lookup!$A:$A,0)),"")</f>
        <v>huss@andrews.edu</v>
      </c>
      <c r="C61" s="7" t="str">
        <f>IFERROR(INDEX(_names_lookup!$B:$B,MATCH(A61,_names_lookup!$A:$A,0)),"")</f>
        <v>000141225</v>
      </c>
    </row>
    <row r="62" spans="1:3" ht="16" customHeight="1" x14ac:dyDescent="0.2">
      <c r="A62" s="7" t="s">
        <v>181</v>
      </c>
      <c r="B62" s="7" t="str">
        <f>IFERROR(INDEX(_names_lookup!$C:$C,MATCH(A62,_names_lookup!$A:$A,0)),"")</f>
        <v>bobjohn@andrews.edu</v>
      </c>
      <c r="C62" s="7" t="str">
        <f>IFERROR(INDEX(_names_lookup!$B:$B,MATCH(A62,_names_lookup!$A:$A,0)),"")</f>
        <v>000003908</v>
      </c>
    </row>
    <row r="63" spans="1:3" ht="16" customHeight="1" x14ac:dyDescent="0.2">
      <c r="A63" s="7" t="s">
        <v>182</v>
      </c>
      <c r="B63" s="7" t="str">
        <f>IFERROR(INDEX(_names_lookup!$C:$C,MATCH(A63,_names_lookup!$A:$A,0)),"")</f>
        <v>kondrat@andrews.edu</v>
      </c>
      <c r="C63" s="7" t="str">
        <f>IFERROR(INDEX(_names_lookup!$B:$B,MATCH(A63,_names_lookup!$A:$A,0)),"")</f>
        <v>000119532</v>
      </c>
    </row>
    <row r="64" spans="1:3" ht="16" customHeight="1" x14ac:dyDescent="0.2">
      <c r="A64" s="7" t="s">
        <v>183</v>
      </c>
      <c r="B64" s="7" t="str">
        <f>IFERROR(INDEX(_names_lookup!$C:$C,MATCH(A64,_names_lookup!$A:$A,0)),"")</f>
        <v>kostyuk@andrews.edu</v>
      </c>
      <c r="C64" s="7" t="str">
        <f>IFERROR(INDEX(_names_lookup!$B:$B,MATCH(A64,_names_lookup!$A:$A,0)),"")</f>
        <v>000159768</v>
      </c>
    </row>
    <row r="65" spans="1:3" ht="16" customHeight="1" x14ac:dyDescent="0.2">
      <c r="A65" s="7" t="s">
        <v>184</v>
      </c>
      <c r="B65" s="7" t="str">
        <f>IFERROR(INDEX(_names_lookup!$C:$C,MATCH(A65,_names_lookup!$A:$A,0)),"")</f>
        <v>bkuryliak@andrews.edu</v>
      </c>
      <c r="C65" s="7" t="str">
        <f>IFERROR(INDEX(_names_lookup!$B:$B,MATCH(A65,_names_lookup!$A:$A,0)),"")</f>
        <v>000200888</v>
      </c>
    </row>
    <row r="66" spans="1:3" ht="16" customHeight="1" x14ac:dyDescent="0.2">
      <c r="A66" s="7" t="s">
        <v>185</v>
      </c>
      <c r="B66" s="7" t="str">
        <f>IFERROR(INDEX(_names_lookup!$C:$C,MATCH(A66,_names_lookup!$A:$A,0)),"")</f>
        <v>beett@andrews.edu</v>
      </c>
      <c r="C66" s="7" t="str">
        <f>IFERROR(INDEX(_names_lookup!$B:$B,MATCH(A66,_names_lookup!$A:$A,0)),"")</f>
        <v>000146533</v>
      </c>
    </row>
    <row r="67" spans="1:3" ht="16" customHeight="1" x14ac:dyDescent="0.2">
      <c r="A67" s="7" t="s">
        <v>186</v>
      </c>
      <c r="B67" s="7" t="str">
        <f>IFERROR(INDEX(_names_lookup!$C:$C,MATCH(A67,_names_lookup!$A:$A,0)),"")</f>
        <v>lichtenw@andrews.edu</v>
      </c>
      <c r="C67" s="7" t="str">
        <f>IFERROR(INDEX(_names_lookup!$B:$B,MATCH(A67,_names_lookup!$A:$A,0)),"")</f>
        <v>000024733</v>
      </c>
    </row>
    <row r="68" spans="1:3" ht="16" customHeight="1" x14ac:dyDescent="0.2">
      <c r="A68" s="7" t="s">
        <v>187</v>
      </c>
      <c r="B68" s="7" t="str">
        <f>IFERROR(INDEX(_names_lookup!$C:$C,MATCH(A68,_names_lookup!$A:$A,0)),"")</f>
        <v>moral@andrews.edu</v>
      </c>
      <c r="C68" s="7" t="str">
        <f>IFERROR(INDEX(_names_lookup!$B:$B,MATCH(A68,_names_lookup!$A:$A,0)),"")</f>
        <v>000105885</v>
      </c>
    </row>
    <row r="69" spans="1:3" ht="16" customHeight="1" x14ac:dyDescent="0.2">
      <c r="A69" s="7" t="s">
        <v>188</v>
      </c>
      <c r="B69" s="7" t="str">
        <f>IFERROR(INDEX(_names_lookup!$C:$C,MATCH(A69,_names_lookup!$A:$A,0)),"")</f>
        <v>laurentiu@andrews.edu</v>
      </c>
      <c r="C69" s="7" t="str">
        <f>IFERROR(INDEX(_names_lookup!$B:$B,MATCH(A69,_names_lookup!$A:$A,0)),"")</f>
        <v>000115113</v>
      </c>
    </row>
    <row r="70" spans="1:3" ht="16" customHeight="1" x14ac:dyDescent="0.2">
      <c r="A70" s="7" t="s">
        <v>189</v>
      </c>
      <c r="B70" s="7" t="str">
        <f>IFERROR(INDEX(_names_lookup!$C:$C,MATCH(A70,_names_lookup!$A:$A,0)),"")</f>
        <v>munozj@andrews.edu</v>
      </c>
      <c r="C70" s="7" t="str">
        <f>IFERROR(INDEX(_names_lookup!$B:$B,MATCH(A70,_names_lookup!$A:$A,0)),"")</f>
        <v>000073761</v>
      </c>
    </row>
    <row r="71" spans="1:3" ht="16" customHeight="1" x14ac:dyDescent="0.2">
      <c r="A71" s="7" t="s">
        <v>190</v>
      </c>
      <c r="B71" s="7" t="str">
        <f>IFERROR(INDEX(_names_lookup!$C:$C,MATCH(A71,_names_lookup!$A:$A,0)),"")</f>
        <v>rmunoz@andrews.edu</v>
      </c>
      <c r="C71" s="7" t="str">
        <f>IFERROR(INDEX(_names_lookup!$B:$B,MATCH(A71,_names_lookup!$A:$A,0)),"")</f>
        <v>000064060</v>
      </c>
    </row>
    <row r="72" spans="1:3" ht="16" customHeight="1" x14ac:dyDescent="0.2">
      <c r="A72" s="7" t="s">
        <v>191</v>
      </c>
      <c r="B72" s="7" t="str">
        <f>IFERROR(INDEX(_names_lookup!$C:$C,MATCH(A72,_names_lookup!$A:$A,0)),"")</f>
        <v>nunesl@andrews.edu</v>
      </c>
      <c r="C72" s="7" t="str">
        <f>IFERROR(INDEX(_names_lookup!$B:$B,MATCH(A72,_names_lookup!$A:$A,0)),"")</f>
        <v>000138706</v>
      </c>
    </row>
    <row r="73" spans="1:3" ht="16" customHeight="1" x14ac:dyDescent="0.2">
      <c r="A73" s="7" t="s">
        <v>192</v>
      </c>
      <c r="B73" s="7" t="str">
        <f>IFERROR(INDEX(_names_lookup!$C:$C,MATCH(A73,_names_lookup!$A:$A,0)),"")</f>
        <v>papaioannou@andrews.edu</v>
      </c>
      <c r="C73" s="7" t="str">
        <f>IFERROR(INDEX(_names_lookup!$B:$B,MATCH(A73,_names_lookup!$A:$A,0)),"")</f>
        <v>000050429</v>
      </c>
    </row>
    <row r="74" spans="1:3" ht="16" customHeight="1" x14ac:dyDescent="0.2">
      <c r="A74" s="7" t="s">
        <v>193</v>
      </c>
      <c r="B74" s="7" t="str">
        <f>IFERROR(INDEX(_names_lookup!$C:$C,MATCH(A74,_names_lookup!$A:$A,0)),"")</f>
        <v>mariop@andrews.edu</v>
      </c>
      <c r="C74" s="7" t="str">
        <f>IFERROR(INDEX(_names_lookup!$B:$B,MATCH(A74,_names_lookup!$A:$A,0)),"")</f>
        <v>000108446</v>
      </c>
    </row>
    <row r="75" spans="1:3" ht="16" customHeight="1" x14ac:dyDescent="0.2">
      <c r="A75" s="7" t="s">
        <v>194</v>
      </c>
      <c r="B75" s="7" t="str">
        <f>IFERROR(INDEX(_names_lookup!$C:$C,MATCH(A75,_names_lookup!$A:$A,0)),"")</f>
        <v>tlreeve@andrews.edu</v>
      </c>
      <c r="C75" s="7" t="str">
        <f>IFERROR(INDEX(_names_lookup!$B:$B,MATCH(A75,_names_lookup!$A:$A,0)),"")</f>
        <v>000050236</v>
      </c>
    </row>
    <row r="76" spans="1:3" ht="16" customHeight="1" x14ac:dyDescent="0.2">
      <c r="A76" s="7" t="s">
        <v>195</v>
      </c>
      <c r="B76" s="16">
        <f>IFERROR(INDEX(_names_lookup!$C:$C,MATCH(A76,_names_lookup!$A:$A,0)),"")</f>
        <v>0</v>
      </c>
      <c r="C76" s="7" t="str">
        <f>IFERROR(INDEX(_names_lookup!$B:$B,MATCH(A76,_names_lookup!$A:$A,0)),"")</f>
        <v>000008252</v>
      </c>
    </row>
    <row r="77" spans="1:3" ht="16" customHeight="1" x14ac:dyDescent="0.2">
      <c r="A77" s="7" t="s">
        <v>196</v>
      </c>
      <c r="B77" s="7" t="str">
        <f>IFERROR(INDEX(_names_lookup!$C:$C,MATCH(A77,_names_lookup!$A:$A,0)),"")</f>
        <v>ranko@andrews.edu</v>
      </c>
      <c r="C77" s="7" t="str">
        <f>IFERROR(INDEX(_names_lookup!$B:$B,MATCH(A77,_names_lookup!$A:$A,0)),"")</f>
        <v>000057767</v>
      </c>
    </row>
    <row r="78" spans="1:3" ht="16" customHeight="1" x14ac:dyDescent="0.2">
      <c r="A78" s="7" t="s">
        <v>197</v>
      </c>
      <c r="B78" s="7" t="str">
        <f>IFERROR(INDEX(_names_lookup!$C:$C,MATCH(A78,_names_lookup!$A:$A,0)),"")</f>
        <v>cvine@andrews.edu</v>
      </c>
      <c r="C78" s="7" t="str">
        <f>IFERROR(INDEX(_names_lookup!$B:$B,MATCH(A78,_names_lookup!$A:$A,0)),"")</f>
        <v>000093509</v>
      </c>
    </row>
    <row r="79" spans="1:3" ht="16" customHeight="1" x14ac:dyDescent="0.2">
      <c r="A79" s="7" t="s">
        <v>198</v>
      </c>
      <c r="B79" s="7" t="str">
        <f>IFERROR(INDEX(_names_lookup!$C:$C,MATCH(A79,_names_lookup!$A:$A,0)),"")</f>
        <v>baezgarc@andrews.edu</v>
      </c>
      <c r="C79" s="7" t="str">
        <f>IFERROR(INDEX(_names_lookup!$B:$B,MATCH(A79,_names_lookup!$A:$A,0)),"")</f>
        <v>000118530</v>
      </c>
    </row>
    <row r="80" spans="1:3" ht="16" customHeight="1" x14ac:dyDescent="0.2">
      <c r="A80" s="7" t="s">
        <v>199</v>
      </c>
      <c r="B80" s="7" t="str">
        <f>IFERROR(INDEX(_names_lookup!$C:$C,MATCH(A80,_names_lookup!$A:$A,0)),"")</f>
        <v>lsbakerjr@andrews.edu</v>
      </c>
      <c r="C80" s="7" t="str">
        <f>IFERROR(INDEX(_names_lookup!$B:$B,MATCH(A80,_names_lookup!$A:$A,0)),"")</f>
        <v>000067622</v>
      </c>
    </row>
    <row r="81" spans="1:3" ht="16" customHeight="1" x14ac:dyDescent="0.2">
      <c r="A81" s="7" t="s">
        <v>200</v>
      </c>
      <c r="B81" s="7" t="str">
        <f>IFERROR(INDEX(_names_lookup!$C:$C,MATCH(A81,_names_lookup!$A:$A,0)),"")</f>
        <v>bates@andrews.edu</v>
      </c>
      <c r="C81" s="7" t="str">
        <f>IFERROR(INDEX(_names_lookup!$B:$B,MATCH(A81,_names_lookup!$A:$A,0)),"")</f>
        <v>000095796</v>
      </c>
    </row>
    <row r="82" spans="1:3" ht="16" customHeight="1" x14ac:dyDescent="0.2">
      <c r="A82" s="7" t="s">
        <v>201</v>
      </c>
      <c r="B82" s="7" t="str">
        <f>IFERROR(INDEX(_names_lookup!$C:$C,MATCH(A82,_names_lookup!$A:$A,0)),"")</f>
        <v>beaulies@andrews.edu</v>
      </c>
      <c r="C82" s="7" t="str">
        <f>IFERROR(INDEX(_names_lookup!$B:$B,MATCH(A82,_names_lookup!$A:$A,0)),"")</f>
        <v>000132272</v>
      </c>
    </row>
    <row r="83" spans="1:3" ht="16" customHeight="1" x14ac:dyDescent="0.2">
      <c r="A83" s="7" t="s">
        <v>202</v>
      </c>
      <c r="B83" s="16">
        <f>IFERROR(INDEX(_names_lookup!$C:$C,MATCH(A83,_names_lookup!$A:$A,0)),"")</f>
        <v>0</v>
      </c>
      <c r="C83" s="7" t="str">
        <f>IFERROR(INDEX(_names_lookup!$B:$B,MATCH(A83,_names_lookup!$A:$A,0)),"")</f>
        <v>000246964</v>
      </c>
    </row>
    <row r="84" spans="1:3" ht="16" customHeight="1" x14ac:dyDescent="0.2">
      <c r="A84" s="7" t="s">
        <v>203</v>
      </c>
      <c r="B84" s="7" t="str">
        <f>IFERROR(INDEX(_names_lookup!$C:$C,MATCH(A84,_names_lookup!$A:$A,0)),"")</f>
        <v>brejaal@andrews.edu</v>
      </c>
      <c r="C84" s="7" t="str">
        <f>IFERROR(INDEX(_names_lookup!$B:$B,MATCH(A84,_names_lookup!$A:$A,0)),"")</f>
        <v>000068116</v>
      </c>
    </row>
    <row r="85" spans="1:3" ht="16" customHeight="1" x14ac:dyDescent="0.2">
      <c r="A85" s="7" t="s">
        <v>204</v>
      </c>
      <c r="B85" s="7" t="str">
        <f>IFERROR(INDEX(_names_lookup!$C:$C,MATCH(A85,_names_lookup!$A:$A,0)),"")</f>
        <v>trisha@andrews.edu</v>
      </c>
      <c r="C85" s="7" t="str">
        <f>IFERROR(INDEX(_names_lookup!$B:$B,MATCH(A85,_names_lookup!$A:$A,0)),"")</f>
        <v>000088405</v>
      </c>
    </row>
    <row r="86" spans="1:3" ht="16" customHeight="1" x14ac:dyDescent="0.2">
      <c r="A86" s="7" t="s">
        <v>205</v>
      </c>
      <c r="B86" s="7" t="str">
        <f>IFERROR(INDEX(_names_lookup!$C:$C,MATCH(A86,_names_lookup!$A:$A,0)),"")</f>
        <v>doukhanj@andrews.edu</v>
      </c>
      <c r="C86" s="7" t="str">
        <f>IFERROR(INDEX(_names_lookup!$B:$B,MATCH(A86,_names_lookup!$A:$A,0)),"")</f>
        <v>000027289</v>
      </c>
    </row>
    <row r="87" spans="1:3" ht="16" customHeight="1" x14ac:dyDescent="0.2">
      <c r="A87" s="7" t="s">
        <v>206</v>
      </c>
      <c r="B87" s="7" t="str">
        <f>IFERROR(INDEX(_names_lookup!$C:$C,MATCH(A87,_names_lookup!$A:$A,0)),"")</f>
        <v>emswiler@andrews.edu</v>
      </c>
      <c r="C87" s="7" t="str">
        <f>IFERROR(INDEX(_names_lookup!$B:$B,MATCH(A87,_names_lookup!$A:$A,0)),"")</f>
        <v>000205980</v>
      </c>
    </row>
    <row r="88" spans="1:3" ht="16" customHeight="1" x14ac:dyDescent="0.2">
      <c r="A88" s="7" t="s">
        <v>207</v>
      </c>
      <c r="B88" s="7" t="str">
        <f>IFERROR(INDEX(_names_lookup!$C:$C,MATCH(A88,_names_lookup!$A:$A,0)),"")</f>
        <v>cgane@andrews.edu</v>
      </c>
      <c r="C88" s="7" t="str">
        <f>IFERROR(INDEX(_names_lookup!$B:$B,MATCH(A88,_names_lookup!$A:$A,0)),"")</f>
        <v>000074605</v>
      </c>
    </row>
    <row r="89" spans="1:3" ht="16" customHeight="1" x14ac:dyDescent="0.2">
      <c r="A89" s="7" t="s">
        <v>208</v>
      </c>
      <c r="B89" s="7" t="str">
        <f>IFERROR(INDEX(_names_lookup!$C:$C,MATCH(A89,_names_lookup!$A:$A,0)),"")</f>
        <v>glanz@andrews.edu</v>
      </c>
      <c r="C89" s="7" t="str">
        <f>IFERROR(INDEX(_names_lookup!$B:$B,MATCH(A89,_names_lookup!$A:$A,0)),"")</f>
        <v>000162826</v>
      </c>
    </row>
    <row r="90" spans="1:3" ht="16" customHeight="1" x14ac:dyDescent="0.2">
      <c r="A90" s="7" t="s">
        <v>209</v>
      </c>
      <c r="B90" s="7" t="str">
        <f>IFERROR(INDEX(_names_lookup!$C:$C,MATCH(A90,_names_lookup!$A:$A,0)),"")</f>
        <v>danielgordan@andrews.edu</v>
      </c>
      <c r="C90" s="7" t="str">
        <f>IFERROR(INDEX(_names_lookup!$B:$B,MATCH(A90,_names_lookup!$A:$A,0)),"")</f>
        <v>000155573</v>
      </c>
    </row>
    <row r="91" spans="1:3" ht="16" customHeight="1" x14ac:dyDescent="0.2">
      <c r="A91" s="7" t="s">
        <v>210</v>
      </c>
      <c r="B91" s="7" t="str">
        <f>IFERROR(INDEX(_names_lookup!$C:$C,MATCH(A91,_names_lookup!$A:$A,0)),"")</f>
        <v>pgregor@andrews.edu</v>
      </c>
      <c r="C91" s="7" t="str">
        <f>IFERROR(INDEX(_names_lookup!$B:$B,MATCH(A91,_names_lookup!$A:$A,0)),"")</f>
        <v>000052867</v>
      </c>
    </row>
    <row r="92" spans="1:3" ht="16" customHeight="1" x14ac:dyDescent="0.2">
      <c r="A92" s="7" t="s">
        <v>211</v>
      </c>
      <c r="B92" s="7" t="str">
        <f>IFERROR(INDEX(_names_lookup!$C:$C,MATCH(A92,_names_lookup!$A:$A,0)),"")</f>
        <v>johnny@andrews.edu</v>
      </c>
      <c r="C92" s="7" t="str">
        <f>IFERROR(INDEX(_names_lookup!$B:$B,MATCH(A92,_names_lookup!$A:$A,0)),"")</f>
        <v>000102157</v>
      </c>
    </row>
    <row r="93" spans="1:3" ht="16" customHeight="1" x14ac:dyDescent="0.2">
      <c r="A93" s="7" t="s">
        <v>212</v>
      </c>
      <c r="B93" s="7" t="str">
        <f>IFERROR(INDEX(_names_lookup!$C:$C,MATCH(A93,_names_lookup!$A:$A,0)),"")</f>
        <v>hudon@andrews.edu</v>
      </c>
      <c r="C93" s="7" t="str">
        <f>IFERROR(INDEX(_names_lookup!$B:$B,MATCH(A93,_names_lookup!$A:$A,0)),"")</f>
        <v>000133678</v>
      </c>
    </row>
    <row r="94" spans="1:3" ht="16" customHeight="1" x14ac:dyDescent="0.2">
      <c r="A94" s="7" t="s">
        <v>213</v>
      </c>
      <c r="B94" s="7" t="str">
        <f>IFERROR(INDEX(_names_lookup!$C:$C,MATCH(A94,_names_lookup!$A:$A,0)),"")</f>
        <v>laurentiuga@andrews.edu</v>
      </c>
      <c r="C94" s="7" t="str">
        <f>IFERROR(INDEX(_names_lookup!$B:$B,MATCH(A94,_names_lookup!$A:$A,0)),"")</f>
        <v>000190055</v>
      </c>
    </row>
    <row r="95" spans="1:3" ht="16" customHeight="1" x14ac:dyDescent="0.2">
      <c r="A95" s="7" t="s">
        <v>214</v>
      </c>
      <c r="B95" s="7" t="str">
        <f>IFERROR(INDEX(_names_lookup!$C:$C,MATCH(A95,_names_lookup!$A:$A,0)),"")</f>
        <v>jankovic@andrews.edu</v>
      </c>
      <c r="C95" s="7" t="str">
        <f>IFERROR(INDEX(_names_lookup!$B:$B,MATCH(A95,_names_lookup!$A:$A,0)),"")</f>
        <v>000138176</v>
      </c>
    </row>
    <row r="96" spans="1:3" ht="16" customHeight="1" x14ac:dyDescent="0.2">
      <c r="A96" s="7" t="s">
        <v>215</v>
      </c>
      <c r="B96" s="7" t="str">
        <f>IFERROR(INDEX(_names_lookup!$C:$C,MATCH(A96,_names_lookup!$A:$A,0)),"")</f>
        <v>mcguirej@andrews.edu</v>
      </c>
      <c r="C96" s="7" t="str">
        <f>IFERROR(INDEX(_names_lookup!$B:$B,MATCH(A96,_names_lookup!$A:$A,0)),"")</f>
        <v>000118224</v>
      </c>
    </row>
    <row r="97" spans="1:3" ht="16" customHeight="1" x14ac:dyDescent="0.2">
      <c r="A97" s="7" t="s">
        <v>216</v>
      </c>
      <c r="B97" s="7" t="str">
        <f>IFERROR(INDEX(_names_lookup!$C:$C,MATCH(A97,_names_lookup!$A:$A,0)),"")</f>
        <v>moody@andrews.edu</v>
      </c>
      <c r="C97" s="7" t="str">
        <f>IFERROR(INDEX(_names_lookup!$B:$B,MATCH(A97,_names_lookup!$A:$A,0)),"")</f>
        <v>000141338</v>
      </c>
    </row>
    <row r="98" spans="1:3" ht="16" customHeight="1" x14ac:dyDescent="0.2">
      <c r="A98" s="7" t="s">
        <v>217</v>
      </c>
      <c r="B98" s="7" t="str">
        <f>IFERROR(INDEX(_names_lookup!$C:$C,MATCH(A98,_names_lookup!$A:$A,0)),"")</f>
        <v>morrowl@andrews.edu</v>
      </c>
      <c r="C98" s="7" t="str">
        <f>IFERROR(INDEX(_names_lookup!$B:$B,MATCH(A98,_names_lookup!$A:$A,0)),"")</f>
        <v>000112615</v>
      </c>
    </row>
    <row r="99" spans="1:3" ht="16" customHeight="1" x14ac:dyDescent="0.2">
      <c r="A99" s="7" t="s">
        <v>218</v>
      </c>
      <c r="B99" s="16">
        <f>IFERROR(INDEX(_names_lookup!$C:$C,MATCH(A99,_names_lookup!$A:$A,0)),"")</f>
        <v>0</v>
      </c>
      <c r="C99" s="7" t="str">
        <f>IFERROR(INDEX(_names_lookup!$B:$B,MATCH(A99,_names_lookup!$A:$A,0)),"")</f>
        <v>000032749</v>
      </c>
    </row>
    <row r="100" spans="1:3" ht="16" customHeight="1" x14ac:dyDescent="0.2">
      <c r="A100" s="7" t="s">
        <v>219</v>
      </c>
      <c r="B100" s="7" t="str">
        <f>IFERROR(INDEX(_names_lookup!$C:$C,MATCH(A100,_names_lookup!$A:$A,0)),"")</f>
        <v>kimchai@andrews.edu</v>
      </c>
      <c r="C100" s="7" t="str">
        <f>IFERROR(INDEX(_names_lookup!$B:$B,MATCH(A100,_names_lookup!$A:$A,0)),"")</f>
        <v>000212413</v>
      </c>
    </row>
    <row r="101" spans="1:3" ht="16" customHeight="1" x14ac:dyDescent="0.2">
      <c r="A101" s="7" t="s">
        <v>220</v>
      </c>
      <c r="B101" s="7" t="str">
        <f>IFERROR(INDEX(_names_lookup!$C:$C,MATCH(A101,_names_lookup!$A:$A,0)),"")</f>
        <v>olariu@andrews.edu</v>
      </c>
      <c r="C101" s="7" t="str">
        <f>IFERROR(INDEX(_names_lookup!$B:$B,MATCH(A101,_names_lookup!$A:$A,0)),"")</f>
        <v>000163538</v>
      </c>
    </row>
    <row r="102" spans="1:3" ht="16" customHeight="1" x14ac:dyDescent="0.2">
      <c r="A102" s="7" t="s">
        <v>221</v>
      </c>
      <c r="B102" s="7" t="str">
        <f>IFERROR(INDEX(_names_lookup!$C:$C,MATCH(A102,_names_lookup!$A:$A,0)),"")</f>
        <v>neto@andrews.edu</v>
      </c>
      <c r="C102" s="7" t="str">
        <f>IFERROR(INDEX(_names_lookup!$B:$B,MATCH(A102,_names_lookup!$A:$A,0)),"")</f>
        <v>000136415</v>
      </c>
    </row>
    <row r="103" spans="1:3" ht="16" customHeight="1" x14ac:dyDescent="0.2">
      <c r="A103" s="7" t="s">
        <v>222</v>
      </c>
      <c r="B103" s="7" t="str">
        <f>IFERROR(INDEX(_names_lookup!$C:$C,MATCH(A103,_names_lookup!$A:$A,0)),"")</f>
        <v>abelardo@andrews.edu</v>
      </c>
      <c r="C103" s="7" t="str">
        <f>IFERROR(INDEX(_names_lookup!$B:$B,MATCH(A103,_names_lookup!$A:$A,0)),"")</f>
        <v>000133197</v>
      </c>
    </row>
    <row r="104" spans="1:3" ht="16" customHeight="1" x14ac:dyDescent="0.2">
      <c r="A104" s="7" t="s">
        <v>223</v>
      </c>
      <c r="B104" s="7" t="str">
        <f>IFERROR(INDEX(_names_lookup!$C:$C,MATCH(A104,_names_lookup!$A:$A,0)),"")</f>
        <v>rojasr@andrews.edu</v>
      </c>
      <c r="C104" s="7" t="str">
        <f>IFERROR(INDEX(_names_lookup!$B:$B,MATCH(A104,_names_lookup!$A:$A,0)),"")</f>
        <v>000124643</v>
      </c>
    </row>
    <row r="105" spans="1:3" ht="16" customHeight="1" x14ac:dyDescent="0.2">
      <c r="A105" s="7" t="s">
        <v>224</v>
      </c>
      <c r="B105" s="7" t="str">
        <f>IFERROR(INDEX(_names_lookup!$C:$C,MATCH(A105,_names_lookup!$A:$A,0)),"")</f>
        <v>ruizr@andrews.edu</v>
      </c>
      <c r="C105" s="7" t="str">
        <f>IFERROR(INDEX(_names_lookup!$B:$B,MATCH(A105,_names_lookup!$A:$A,0)),"")</f>
        <v>000148578</v>
      </c>
    </row>
    <row r="106" spans="1:3" ht="16" customHeight="1" x14ac:dyDescent="0.2">
      <c r="A106" s="7" t="s">
        <v>225</v>
      </c>
      <c r="B106" s="7" t="str">
        <f>IFERROR(INDEX(_names_lookup!$C:$C,MATCH(A106,_names_lookup!$A:$A,0)),"")</f>
        <v>skinnerj@andrews.edu</v>
      </c>
      <c r="C106" s="7" t="str">
        <f>IFERROR(INDEX(_names_lookup!$B:$B,MATCH(A106,_names_lookup!$A:$A,0)),"")</f>
        <v>000117063</v>
      </c>
    </row>
    <row r="107" spans="1:3" ht="16" customHeight="1" x14ac:dyDescent="0.2">
      <c r="A107" s="7" t="s">
        <v>226</v>
      </c>
      <c r="B107" s="7" t="str">
        <f>IFERROR(INDEX(_names_lookup!$C:$C,MATCH(A107,_names_lookup!$A:$A,0)),"")</f>
        <v>sion@andrews.edu</v>
      </c>
      <c r="C107" s="7" t="str">
        <f>IFERROR(INDEX(_names_lookup!$B:$B,MATCH(A107,_names_lookup!$A:$A,0)),"")</f>
        <v>000117882</v>
      </c>
    </row>
    <row r="108" spans="1:3" ht="16" customHeight="1" x14ac:dyDescent="0.2">
      <c r="A108" s="7" t="s">
        <v>227</v>
      </c>
      <c r="B108" s="7" t="str">
        <f>IFERROR(INDEX(_names_lookup!$C:$C,MATCH(A108,_names_lookup!$A:$A,0)),"")</f>
        <v>tollerto@andrews.edu</v>
      </c>
      <c r="C108" s="7" t="str">
        <f>IFERROR(INDEX(_names_lookup!$B:$B,MATCH(A108,_names_lookup!$A:$A,0)),"")</f>
        <v>000117327</v>
      </c>
    </row>
    <row r="109" spans="1:3" ht="16" customHeight="1" x14ac:dyDescent="0.2">
      <c r="A109" s="7" t="s">
        <v>228</v>
      </c>
      <c r="B109" s="7" t="str">
        <f>IFERROR(INDEX(_names_lookup!$C:$C,MATCH(A109,_names_lookup!$A:$A,0)),"")</f>
        <v>wiens@andrews.edu</v>
      </c>
      <c r="C109" s="7" t="str">
        <f>IFERROR(INDEX(_names_lookup!$B:$B,MATCH(A109,_names_lookup!$A:$A,0)),"")</f>
        <v>000160271</v>
      </c>
    </row>
    <row r="110" spans="1:3" ht="16" customHeight="1" x14ac:dyDescent="0.2">
      <c r="A110" s="7" t="s">
        <v>229</v>
      </c>
      <c r="B110" s="7" t="str">
        <f>IFERROR(INDEX(_names_lookup!$C:$C,MATCH(A110,_names_lookup!$A:$A,0)),"")</f>
        <v>ariasqui@andrews.edu</v>
      </c>
      <c r="C110" s="7" t="str">
        <f>IFERROR(INDEX(_names_lookup!$B:$B,MATCH(A110,_names_lookup!$A:$A,0)),"")</f>
        <v>000099625</v>
      </c>
    </row>
    <row r="111" spans="1:3" ht="16" customHeight="1" x14ac:dyDescent="0.2">
      <c r="A111" s="7" t="s">
        <v>230</v>
      </c>
      <c r="B111" s="7" t="str">
        <f>IFERROR(INDEX(_names_lookup!$C:$C,MATCH(A111,_names_lookup!$A:$A,0)),"")</f>
        <v>sjbell@andrews.edu</v>
      </c>
      <c r="C111" s="7" t="str">
        <f>IFERROR(INDEX(_names_lookup!$B:$B,MATCH(A111,_names_lookup!$A:$A,0)),"")</f>
        <v>000015518</v>
      </c>
    </row>
    <row r="112" spans="1:3" ht="16" customHeight="1" x14ac:dyDescent="0.2">
      <c r="A112" s="7" t="s">
        <v>231</v>
      </c>
      <c r="B112" s="7" t="str">
        <f>IFERROR(INDEX(_names_lookup!$C:$C,MATCH(A112,_names_lookup!$A:$A,0)),"")</f>
        <v>erlo@andrews.edu</v>
      </c>
      <c r="C112" s="7" t="str">
        <f>IFERROR(INDEX(_names_lookup!$B:$B,MATCH(A112,_names_lookup!$A:$A,0)),"")</f>
        <v>000137172</v>
      </c>
    </row>
    <row r="113" spans="1:3" ht="16" customHeight="1" x14ac:dyDescent="0.2">
      <c r="A113" s="7" t="s">
        <v>232</v>
      </c>
      <c r="B113" s="7" t="str">
        <f>IFERROR(INDEX(_names_lookup!$C:$C,MATCH(A113,_names_lookup!$A:$A,0)),"")</f>
        <v>alejandrob@andrews.edu</v>
      </c>
      <c r="C113" s="7" t="str">
        <f>IFERROR(INDEX(_names_lookup!$B:$B,MATCH(A113,_names_lookup!$A:$A,0)),"")</f>
        <v>000181820</v>
      </c>
    </row>
    <row r="114" spans="1:3" ht="16" customHeight="1" x14ac:dyDescent="0.2">
      <c r="A114" s="7" t="s">
        <v>233</v>
      </c>
      <c r="B114" s="7" t="str">
        <f>IFERROR(INDEX(_names_lookup!$C:$C,MATCH(A114,_names_lookup!$A:$A,0)),"")</f>
        <v>canals@andrews.edu</v>
      </c>
      <c r="C114" s="7" t="str">
        <f>IFERROR(INDEX(_names_lookup!$B:$B,MATCH(A114,_names_lookup!$A:$A,0)),"")</f>
        <v>000051912</v>
      </c>
    </row>
    <row r="115" spans="1:3" ht="16" customHeight="1" x14ac:dyDescent="0.2">
      <c r="A115" s="7" t="s">
        <v>234</v>
      </c>
      <c r="B115" s="7" t="str">
        <f>IFERROR(INDEX(_names_lookup!$C:$C,MATCH(A115,_names_lookup!$A:$A,0)),"")</f>
        <v>cauleym@andrews.edu</v>
      </c>
      <c r="C115" s="7" t="str">
        <f>IFERROR(INDEX(_names_lookup!$B:$B,MATCH(A115,_names_lookup!$A:$A,0)),"")</f>
        <v>000025417</v>
      </c>
    </row>
    <row r="116" spans="1:3" ht="16" customHeight="1" x14ac:dyDescent="0.2">
      <c r="A116" s="7" t="s">
        <v>235</v>
      </c>
      <c r="B116" s="7" t="str">
        <f>IFERROR(INDEX(_names_lookup!$C:$C,MATCH(A116,_names_lookup!$A:$A,0)),"")</f>
        <v>cauley@andrews.edu</v>
      </c>
      <c r="C116" s="7" t="str">
        <f>IFERROR(INDEX(_names_lookup!$B:$B,MATCH(A116,_names_lookup!$A:$A,0)),"")</f>
        <v>000107141</v>
      </c>
    </row>
    <row r="117" spans="1:3" ht="16" customHeight="1" x14ac:dyDescent="0.2">
      <c r="A117" s="7" t="s">
        <v>236</v>
      </c>
      <c r="B117" s="7" t="str">
        <f>IFERROR(INDEX(_names_lookup!$C:$C,MATCH(A117,_names_lookup!$A:$A,0)),"")</f>
        <v>ceballom@andrews.edu</v>
      </c>
      <c r="C117" s="7" t="str">
        <f>IFERROR(INDEX(_names_lookup!$B:$B,MATCH(A117,_names_lookup!$A:$A,0)),"")</f>
        <v>000039066</v>
      </c>
    </row>
    <row r="118" spans="1:3" ht="16" customHeight="1" x14ac:dyDescent="0.2">
      <c r="A118" s="7" t="s">
        <v>237</v>
      </c>
      <c r="B118" s="7" t="str">
        <f>IFERROR(INDEX(_names_lookup!$C:$C,MATCH(A118,_names_lookup!$A:$A,0)),"")</f>
        <v>choque@andrews.edu</v>
      </c>
      <c r="C118" s="7" t="str">
        <f>IFERROR(INDEX(_names_lookup!$B:$B,MATCH(A118,_names_lookup!$A:$A,0)),"")</f>
        <v>000127674</v>
      </c>
    </row>
    <row r="119" spans="1:3" ht="16" customHeight="1" x14ac:dyDescent="0.2">
      <c r="A119" s="7" t="s">
        <v>238</v>
      </c>
      <c r="B119" s="7" t="str">
        <f>IFERROR(INDEX(_names_lookup!$C:$C,MATCH(A119,_names_lookup!$A:$A,0)),"")</f>
        <v>tevans@andrews.edu</v>
      </c>
      <c r="C119" s="7" t="str">
        <f>IFERROR(INDEX(_names_lookup!$B:$B,MATCH(A119,_names_lookup!$A:$A,0)),"")</f>
        <v>000063105</v>
      </c>
    </row>
    <row r="120" spans="1:3" ht="16" customHeight="1" x14ac:dyDescent="0.2">
      <c r="A120" s="7" t="s">
        <v>239</v>
      </c>
      <c r="B120" s="7" t="str">
        <f>IFERROR(INDEX(_names_lookup!$C:$C,MATCH(A120,_names_lookup!$A:$A,0)),"")</f>
        <v>angelal@andrews.edu</v>
      </c>
      <c r="C120" s="7" t="str">
        <f>IFERROR(INDEX(_names_lookup!$B:$B,MATCH(A120,_names_lookup!$A:$A,0)),"")</f>
        <v>000225367</v>
      </c>
    </row>
    <row r="121" spans="1:3" ht="16" customHeight="1" x14ac:dyDescent="0.2">
      <c r="A121" s="7" t="s">
        <v>240</v>
      </c>
      <c r="B121" s="7" t="str">
        <f>IFERROR(INDEX(_names_lookup!$C:$C,MATCH(A121,_names_lookup!$A:$A,0)),"")</f>
        <v>lianga@andrews.edu</v>
      </c>
      <c r="C121" s="7" t="str">
        <f>IFERROR(INDEX(_names_lookup!$B:$B,MATCH(A121,_names_lookup!$A:$A,0)),"")</f>
        <v>000035691</v>
      </c>
    </row>
    <row r="122" spans="1:3" ht="16" customHeight="1" x14ac:dyDescent="0.2">
      <c r="A122" s="7" t="s">
        <v>241</v>
      </c>
      <c r="B122" s="7" t="str">
        <f>IFERROR(INDEX(_names_lookup!$C:$C,MATCH(A122,_names_lookup!$A:$A,0)),"")</f>
        <v>oudri@andrews.edu</v>
      </c>
      <c r="C122" s="7" t="str">
        <f>IFERROR(INDEX(_names_lookup!$B:$B,MATCH(A122,_names_lookup!$A:$A,0)),"")</f>
        <v>000077975</v>
      </c>
    </row>
    <row r="123" spans="1:3" ht="16" customHeight="1" x14ac:dyDescent="0.2">
      <c r="A123" s="7" t="s">
        <v>242</v>
      </c>
      <c r="B123" s="7" t="str">
        <f>IFERROR(INDEX(_names_lookup!$C:$C,MATCH(A123,_names_lookup!$A:$A,0)),"")</f>
        <v>patterss@andrews.edu</v>
      </c>
      <c r="C123" s="7" t="str">
        <f>IFERROR(INDEX(_names_lookup!$B:$B,MATCH(A123,_names_lookup!$A:$A,0)),"")</f>
        <v>000030103</v>
      </c>
    </row>
    <row r="124" spans="1:3" ht="16" customHeight="1" x14ac:dyDescent="0.2">
      <c r="A124" s="7" t="s">
        <v>243</v>
      </c>
      <c r="B124" s="7" t="str">
        <f>IFERROR(INDEX(_names_lookup!$C:$C,MATCH(A124,_names_lookup!$A:$A,0)),"")</f>
        <v>penno@andrews.edu</v>
      </c>
      <c r="C124" s="7" t="str">
        <f>IFERROR(INDEX(_names_lookup!$B:$B,MATCH(A124,_names_lookup!$A:$A,0)),"")</f>
        <v>000041639</v>
      </c>
    </row>
    <row r="125" spans="1:3" ht="16" customHeight="1" x14ac:dyDescent="0.2">
      <c r="A125" s="7" t="s">
        <v>244</v>
      </c>
      <c r="B125" s="7" t="str">
        <f>IFERROR(INDEX(_names_lookup!$C:$C,MATCH(A125,_names_lookup!$A:$A,0)),"")</f>
        <v>johnnyr@andrews.edu</v>
      </c>
      <c r="C125" s="7" t="str">
        <f>IFERROR(INDEX(_names_lookup!$B:$B,MATCH(A125,_names_lookup!$A:$A,0)),"")</f>
        <v>000030856</v>
      </c>
    </row>
    <row r="126" spans="1:3" ht="16" customHeight="1" x14ac:dyDescent="0.2">
      <c r="A126" s="7" t="s">
        <v>245</v>
      </c>
      <c r="B126" s="7" t="str">
        <f>IFERROR(INDEX(_names_lookup!$C:$C,MATCH(A126,_names_lookup!$A:$A,0)),"")</f>
        <v>rico@andrews.edu</v>
      </c>
      <c r="C126" s="7" t="str">
        <f>IFERROR(INDEX(_names_lookup!$B:$B,MATCH(A126,_names_lookup!$A:$A,0)),"")</f>
        <v>000051411</v>
      </c>
    </row>
    <row r="127" spans="1:3" ht="16" customHeight="1" x14ac:dyDescent="0.2">
      <c r="A127" s="7" t="s">
        <v>246</v>
      </c>
      <c r="B127" s="7" t="str">
        <f>IFERROR(INDEX(_names_lookup!$C:$C,MATCH(A127,_names_lookup!$A:$A,0)),"")</f>
        <v>saravia@andrews.edu</v>
      </c>
      <c r="C127" s="7" t="str">
        <f>IFERROR(INDEX(_names_lookup!$B:$B,MATCH(A127,_names_lookup!$A:$A,0)),"")</f>
        <v>000046397</v>
      </c>
    </row>
    <row r="128" spans="1:3" ht="16" customHeight="1" x14ac:dyDescent="0.2">
      <c r="A128" s="7" t="s">
        <v>247</v>
      </c>
      <c r="B128" s="7" t="str">
        <f>IFERROR(INDEX(_names_lookup!$C:$C,MATCH(A128,_names_lookup!$A:$A,0)),"")</f>
        <v>eschmidt@andrews.edu</v>
      </c>
      <c r="C128" s="7" t="str">
        <f>IFERROR(INDEX(_names_lookup!$B:$B,MATCH(A128,_names_lookup!$A:$A,0)),"")</f>
        <v>000041813</v>
      </c>
    </row>
    <row r="129" spans="1:3" ht="16" customHeight="1" x14ac:dyDescent="0.2">
      <c r="A129" s="7" t="s">
        <v>248</v>
      </c>
      <c r="B129" s="7" t="str">
        <f>IFERROR(INDEX(_names_lookup!$C:$C,MATCH(A129,_names_lookup!$A:$A,0)),"")</f>
        <v>siroj@andrews.edu</v>
      </c>
      <c r="C129" s="7" t="str">
        <f>IFERROR(INDEX(_names_lookup!$B:$B,MATCH(A129,_names_lookup!$A:$A,0)),"")</f>
        <v>000050631</v>
      </c>
    </row>
    <row r="130" spans="1:3" ht="16" customHeight="1" x14ac:dyDescent="0.2">
      <c r="A130" s="7" t="s">
        <v>249</v>
      </c>
      <c r="B130" s="7" t="str">
        <f>IFERROR(INDEX(_names_lookup!$C:$C,MATCH(A130,_names_lookup!$A:$A,0)),"")</f>
        <v>wagenersmith@andrews.edu</v>
      </c>
      <c r="C130" s="7" t="str">
        <f>IFERROR(INDEX(_names_lookup!$B:$B,MATCH(A130,_names_lookup!$A:$A,0)),"")</f>
        <v>000118859</v>
      </c>
    </row>
    <row r="131" spans="1:3" ht="16" customHeight="1" x14ac:dyDescent="0.2">
      <c r="A131" s="7" t="s">
        <v>250</v>
      </c>
      <c r="B131" s="7" t="str">
        <f>IFERROR(INDEX(_names_lookup!$C:$C,MATCH(A131,_names_lookup!$A:$A,0)),"")</f>
        <v>hyveth@andrews.edu</v>
      </c>
      <c r="C131" s="7" t="str">
        <f>IFERROR(INDEX(_names_lookup!$B:$B,MATCH(A131,_names_lookup!$A:$A,0)),"")</f>
        <v>000049271</v>
      </c>
    </row>
    <row r="132" spans="1:3" ht="16" customHeight="1" x14ac:dyDescent="0.2">
      <c r="A132" s="7" t="s">
        <v>251</v>
      </c>
      <c r="B132" s="7" t="str">
        <f>IFERROR(INDEX(_names_lookup!$C:$C,MATCH(A132,_names_lookup!$A:$A,0)),"")</f>
        <v>panderson@andrews.edu</v>
      </c>
      <c r="C132" s="7" t="str">
        <f>IFERROR(INDEX(_names_lookup!$B:$B,MATCH(A132,_names_lookup!$A:$A,0)),"")</f>
        <v>000048877</v>
      </c>
    </row>
    <row r="133" spans="1:3" ht="16" customHeight="1" x14ac:dyDescent="0.2">
      <c r="A133" s="7" t="s">
        <v>252</v>
      </c>
      <c r="B133" s="16">
        <f>IFERROR(INDEX(_names_lookup!$C:$C,MATCH(A133,_names_lookup!$A:$A,0)),"")</f>
        <v>0</v>
      </c>
      <c r="C133" s="7" t="str">
        <f>IFERROR(INDEX(_names_lookup!$B:$B,MATCH(A133,_names_lookup!$A:$A,0)),"")</f>
        <v>000233478</v>
      </c>
    </row>
    <row r="134" spans="1:3" ht="16" customHeight="1" x14ac:dyDescent="0.2">
      <c r="A134" s="7" t="s">
        <v>253</v>
      </c>
      <c r="B134" s="7" t="str">
        <f>IFERROR(INDEX(_names_lookup!$C:$C,MATCH(A134,_names_lookup!$A:$A,0)),"")</f>
        <v>coralie@andrews.edu</v>
      </c>
      <c r="C134" s="7" t="str">
        <f>IFERROR(INDEX(_names_lookup!$B:$B,MATCH(A134,_names_lookup!$A:$A,0)),"")</f>
        <v>000076162</v>
      </c>
    </row>
    <row r="135" spans="1:3" ht="16" customHeight="1" x14ac:dyDescent="0.2">
      <c r="A135" s="7" t="s">
        <v>254</v>
      </c>
      <c r="B135" s="7" t="str">
        <f>IFERROR(INDEX(_names_lookup!$C:$C,MATCH(A135,_names_lookup!$A:$A,0)),"")</f>
        <v>crewsh@andrews.edu</v>
      </c>
      <c r="C135" s="7" t="str">
        <f>IFERROR(INDEX(_names_lookup!$B:$B,MATCH(A135,_names_lookup!$A:$A,0)),"")</f>
        <v>000052089</v>
      </c>
    </row>
    <row r="136" spans="1:3" ht="16" customHeight="1" x14ac:dyDescent="0.2">
      <c r="A136" s="7" t="s">
        <v>255</v>
      </c>
      <c r="B136" s="7" t="str">
        <f>IFERROR(INDEX(_names_lookup!$C:$C,MATCH(A136,_names_lookup!$A:$A,0)),"")</f>
        <v>ferreirajim@andrews.edu</v>
      </c>
      <c r="C136" s="7" t="str">
        <f>IFERROR(INDEX(_names_lookup!$B:$B,MATCH(A136,_names_lookup!$A:$A,0)),"")</f>
        <v>000155280</v>
      </c>
    </row>
    <row r="137" spans="1:3" ht="16" customHeight="1" x14ac:dyDescent="0.2">
      <c r="A137" s="7" t="s">
        <v>256</v>
      </c>
      <c r="B137" s="7" t="str">
        <f>IFERROR(INDEX(_names_lookup!$C:$C,MATCH(A137,_names_lookup!$A:$A,0)),"")</f>
        <v>galeniec@andrews.edu</v>
      </c>
      <c r="C137" s="7" t="str">
        <f>IFERROR(INDEX(_names_lookup!$B:$B,MATCH(A137,_names_lookup!$A:$A,0)),"")</f>
        <v>000078997</v>
      </c>
    </row>
    <row r="138" spans="1:3" ht="16" customHeight="1" x14ac:dyDescent="0.2">
      <c r="A138" s="7" t="s">
        <v>257</v>
      </c>
      <c r="B138" s="7" t="str">
        <f>IFERROR(INDEX(_names_lookup!$C:$C,MATCH(A138,_names_lookup!$A:$A,0)),"")</f>
        <v>vaughang@andrews.edu</v>
      </c>
      <c r="C138" s="7" t="str">
        <f>IFERROR(INDEX(_names_lookup!$B:$B,MATCH(A138,_names_lookup!$A:$A,0)),"")</f>
        <v>000054097</v>
      </c>
    </row>
    <row r="139" spans="1:3" ht="16" customHeight="1" x14ac:dyDescent="0.2">
      <c r="A139" s="7" t="s">
        <v>258</v>
      </c>
      <c r="B139" s="7" t="str">
        <f>IFERROR(INDEX(_names_lookup!$C:$C,MATCH(A139,_names_lookup!$A:$A,0)),"")</f>
        <v>jgrys@andrews.edu</v>
      </c>
      <c r="C139" s="7" t="str">
        <f>IFERROR(INDEX(_names_lookup!$B:$B,MATCH(A139,_names_lookup!$A:$A,0)),"")</f>
        <v>000038918</v>
      </c>
    </row>
    <row r="140" spans="1:3" ht="16" customHeight="1" x14ac:dyDescent="0.2">
      <c r="A140" s="7" t="s">
        <v>259</v>
      </c>
      <c r="B140" s="7" t="str">
        <f>IFERROR(INDEX(_names_lookup!$C:$C,MATCH(A140,_names_lookup!$A:$A,0)),"")</f>
        <v>jaeger@andrews.edu</v>
      </c>
      <c r="C140" s="7" t="str">
        <f>IFERROR(INDEX(_names_lookup!$B:$B,MATCH(A140,_names_lookup!$A:$A,0)),"")</f>
        <v>000115524</v>
      </c>
    </row>
    <row r="141" spans="1:3" ht="16" customHeight="1" x14ac:dyDescent="0.2">
      <c r="A141" s="7" t="s">
        <v>260</v>
      </c>
      <c r="B141" s="7" t="str">
        <f>IFERROR(INDEX(_names_lookup!$C:$C,MATCH(A141,_names_lookup!$A:$A,0)),"")</f>
        <v>evelynk@andrews.edu</v>
      </c>
      <c r="C141" s="7" t="str">
        <f>IFERROR(INDEX(_names_lookup!$B:$B,MATCH(A141,_names_lookup!$A:$A,0)),"")</f>
        <v>000031535</v>
      </c>
    </row>
    <row r="142" spans="1:3" ht="16" customHeight="1" x14ac:dyDescent="0.2">
      <c r="A142" s="7" t="s">
        <v>261</v>
      </c>
      <c r="B142" s="7" t="str">
        <f>IFERROR(INDEX(_names_lookup!$C:$C,MATCH(A142,_names_lookup!$A:$A,0)),"")</f>
        <v>jledesma@andrews.edu</v>
      </c>
      <c r="C142" s="7" t="str">
        <f>IFERROR(INDEX(_names_lookup!$B:$B,MATCH(A142,_names_lookup!$A:$A,0)),"")</f>
        <v>000043873</v>
      </c>
    </row>
    <row r="143" spans="1:3" ht="16" customHeight="1" x14ac:dyDescent="0.2">
      <c r="A143" s="7" t="s">
        <v>262</v>
      </c>
      <c r="B143" s="7" t="str">
        <f>IFERROR(INDEX(_names_lookup!$C:$C,MATCH(A143,_names_lookup!$A:$A,0)),"")</f>
        <v>lewismi@andrews.edu</v>
      </c>
      <c r="C143" s="7" t="str">
        <f>IFERROR(INDEX(_names_lookup!$B:$B,MATCH(A143,_names_lookup!$A:$A,0)),"")</f>
        <v>000096645</v>
      </c>
    </row>
    <row r="144" spans="1:3" ht="16" customHeight="1" x14ac:dyDescent="0.2">
      <c r="A144" s="7" t="s">
        <v>263</v>
      </c>
      <c r="B144" s="7" t="str">
        <f>IFERROR(INDEX(_names_lookup!$C:$C,MATCH(A144,_names_lookup!$A:$A,0)),"")</f>
        <v>madding@andrews.edu</v>
      </c>
      <c r="C144" s="7" t="str">
        <f>IFERROR(INDEX(_names_lookup!$B:$B,MATCH(A144,_names_lookup!$A:$A,0)),"")</f>
        <v>000069917</v>
      </c>
    </row>
    <row r="145" spans="1:3" ht="16" customHeight="1" x14ac:dyDescent="0.2">
      <c r="A145" s="7" t="s">
        <v>264</v>
      </c>
      <c r="B145" s="16">
        <f>IFERROR(INDEX(_names_lookup!$C:$C,MATCH(A145,_names_lookup!$A:$A,0)),"")</f>
        <v>0</v>
      </c>
      <c r="C145" s="7" t="str">
        <f>IFERROR(INDEX(_names_lookup!$B:$B,MATCH(A145,_names_lookup!$A:$A,0)),"")</f>
        <v>000090518</v>
      </c>
    </row>
    <row r="146" spans="1:3" ht="16" customHeight="1" x14ac:dyDescent="0.2">
      <c r="A146" s="7" t="s">
        <v>265</v>
      </c>
      <c r="B146" s="7" t="str">
        <f>IFERROR(INDEX(_names_lookup!$C:$C,MATCH(A146,_names_lookup!$A:$A,0)),"")</f>
        <v>mcleane@andrews.edu</v>
      </c>
      <c r="C146" s="7" t="str">
        <f>IFERROR(INDEX(_names_lookup!$B:$B,MATCH(A146,_names_lookup!$A:$A,0)),"")</f>
        <v>000049564</v>
      </c>
    </row>
    <row r="147" spans="1:3" ht="16" customHeight="1" x14ac:dyDescent="0.2">
      <c r="A147" s="7" t="s">
        <v>266</v>
      </c>
      <c r="B147" s="7" t="str">
        <f>IFERROR(INDEX(_names_lookup!$C:$C,MATCH(A147,_names_lookup!$A:$A,0)),"")</f>
        <v>ming@andrews.edu</v>
      </c>
      <c r="C147" s="7" t="str">
        <f>IFERROR(INDEX(_names_lookup!$B:$B,MATCH(A147,_names_lookup!$A:$A,0)),"")</f>
        <v>000126678</v>
      </c>
    </row>
    <row r="148" spans="1:3" ht="16" customHeight="1" x14ac:dyDescent="0.2">
      <c r="A148" s="7" t="s">
        <v>267</v>
      </c>
      <c r="B148" s="7" t="str">
        <f>IFERROR(INDEX(_names_lookup!$C:$C,MATCH(A148,_names_lookup!$A:$A,0)),"")</f>
        <v>moralesx@andrews.edu</v>
      </c>
      <c r="C148" s="7" t="str">
        <f>IFERROR(INDEX(_names_lookup!$B:$B,MATCH(A148,_names_lookup!$A:$A,0)),"")</f>
        <v>000139876</v>
      </c>
    </row>
    <row r="149" spans="1:3" ht="16" customHeight="1" x14ac:dyDescent="0.2">
      <c r="A149" s="7" t="s">
        <v>268</v>
      </c>
      <c r="B149" s="7" t="str">
        <f>IFERROR(INDEX(_names_lookup!$C:$C,MATCH(A149,_names_lookup!$A:$A,0)),"")</f>
        <v>ramosescoba@andrews.edu</v>
      </c>
      <c r="C149" s="7" t="str">
        <f>IFERROR(INDEX(_names_lookup!$B:$B,MATCH(A149,_names_lookup!$A:$A,0)),"")</f>
        <v>000155460</v>
      </c>
    </row>
    <row r="150" spans="1:3" ht="16" customHeight="1" x14ac:dyDescent="0.2">
      <c r="A150" s="7" t="s">
        <v>269</v>
      </c>
      <c r="B150" s="7" t="str">
        <f>IFERROR(INDEX(_names_lookup!$C:$C,MATCH(A150,_names_lookup!$A:$A,0)),"")</f>
        <v>elir@andrews.edu</v>
      </c>
      <c r="C150" s="7" t="str">
        <f>IFERROR(INDEX(_names_lookup!$B:$B,MATCH(A150,_names_lookup!$A:$A,0)),"")</f>
        <v>000095431</v>
      </c>
    </row>
    <row r="151" spans="1:3" ht="16" customHeight="1" x14ac:dyDescent="0.2">
      <c r="A151" s="7" t="s">
        <v>270</v>
      </c>
      <c r="B151" s="7" t="str">
        <f>IFERROR(INDEX(_names_lookup!$C:$C,MATCH(A151,_names_lookup!$A:$A,0)),"")</f>
        <v>taiwo@andrews.edu</v>
      </c>
      <c r="C151" s="7" t="str">
        <f>IFERROR(INDEX(_names_lookup!$B:$B,MATCH(A151,_names_lookup!$A:$A,0)),"")</f>
        <v>000051532</v>
      </c>
    </row>
    <row r="152" spans="1:3" ht="16" customHeight="1" x14ac:dyDescent="0.2">
      <c r="A152" s="7" t="s">
        <v>271</v>
      </c>
      <c r="B152" s="7" t="str">
        <f>IFERROR(INDEX(_names_lookup!$C:$C,MATCH(A152,_names_lookup!$A:$A,0)),"")</f>
        <v>throstur@andrews.edu</v>
      </c>
      <c r="C152" s="7" t="str">
        <f>IFERROR(INDEX(_names_lookup!$B:$B,MATCH(A152,_names_lookup!$A:$A,0)),"")</f>
        <v>000028045</v>
      </c>
    </row>
    <row r="153" spans="1:3" ht="16" customHeight="1" x14ac:dyDescent="0.2">
      <c r="A153" s="7" t="s">
        <v>272</v>
      </c>
      <c r="B153" s="7" t="str">
        <f>IFERROR(INDEX(_names_lookup!$C:$C,MATCH(A153,_names_lookup!$A:$A,0)),"")</f>
        <v>trecarts@andrews.edu</v>
      </c>
      <c r="C153" s="7" t="str">
        <f>IFERROR(INDEX(_names_lookup!$B:$B,MATCH(A153,_names_lookup!$A:$A,0)),"")</f>
        <v>000133204</v>
      </c>
    </row>
    <row r="154" spans="1:3" ht="16" customHeight="1" x14ac:dyDescent="0.2">
      <c r="A154" s="7" t="s">
        <v>273</v>
      </c>
      <c r="B154" s="7" t="str">
        <f>IFERROR(INDEX(_names_lookup!$C:$C,MATCH(A154,_names_lookup!$A:$A,0)),"")</f>
        <v>tsui@andrews.edu</v>
      </c>
      <c r="C154" s="7" t="str">
        <f>IFERROR(INDEX(_names_lookup!$B:$B,MATCH(A154,_names_lookup!$A:$A,0)),"")</f>
        <v>000120498</v>
      </c>
    </row>
    <row r="155" spans="1:3" ht="16" customHeight="1" x14ac:dyDescent="0.2">
      <c r="A155" s="7" t="s">
        <v>274</v>
      </c>
      <c r="B155" s="7" t="str">
        <f>IFERROR(INDEX(_names_lookup!$C:$C,MATCH(A155,_names_lookup!$A:$A,0)),"")</f>
        <v>vatelm@andrews.edu</v>
      </c>
      <c r="C155" s="7" t="str">
        <f>IFERROR(INDEX(_names_lookup!$B:$B,MATCH(A155,_names_lookup!$A:$A,0)),"")</f>
        <v>000074539</v>
      </c>
    </row>
    <row r="156" spans="1:3" ht="16" customHeight="1" x14ac:dyDescent="0.2">
      <c r="A156" s="7" t="s">
        <v>275</v>
      </c>
      <c r="B156" s="7" t="str">
        <f>IFERROR(INDEX(_names_lookup!$C:$C,MATCH(A156,_names_lookup!$A:$A,0)),"")</f>
        <v>rohann@andrews.edu</v>
      </c>
      <c r="C156" s="7" t="str">
        <f>IFERROR(INDEX(_names_lookup!$B:$B,MATCH(A156,_names_lookup!$A:$A,0)),"")</f>
        <v>000110327</v>
      </c>
    </row>
    <row r="157" spans="1:3" ht="16" customHeight="1" x14ac:dyDescent="0.2">
      <c r="A157" s="7" t="s">
        <v>276</v>
      </c>
      <c r="B157" s="7" t="str">
        <f>IFERROR(INDEX(_names_lookup!$C:$C,MATCH(A157,_names_lookup!$A:$A,0)),"")</f>
        <v>woodh@andrews.edu</v>
      </c>
      <c r="C157" s="7" t="str">
        <f>IFERROR(INDEX(_names_lookup!$B:$B,MATCH(A157,_names_lookup!$A:$A,0)),"")</f>
        <v>000241606</v>
      </c>
    </row>
    <row r="158" spans="1:3" ht="16" customHeight="1" x14ac:dyDescent="0.2">
      <c r="A158" s="7" t="s">
        <v>277</v>
      </c>
      <c r="B158" s="7" t="str">
        <f>IFERROR(INDEX(_names_lookup!$C:$C,MATCH(A158,_names_lookup!$A:$A,0)),"")</f>
        <v>dustiny@andrews.edu</v>
      </c>
      <c r="C158" s="7" t="str">
        <f>IFERROR(INDEX(_names_lookup!$B:$B,MATCH(A158,_names_lookup!$A:$A,0)),"")</f>
        <v>000234751</v>
      </c>
    </row>
    <row r="159" spans="1:3" ht="16" customHeight="1" x14ac:dyDescent="0.2">
      <c r="A159" s="7" t="s">
        <v>278</v>
      </c>
      <c r="B159" s="7" t="str">
        <f>IFERROR(INDEX(_names_lookup!$C:$C,MATCH(A159,_names_lookup!$A:$A,0)),"")</f>
        <v>alexe@andrews.edu</v>
      </c>
      <c r="C159" s="7" t="str">
        <f>IFERROR(INDEX(_names_lookup!$B:$B,MATCH(A159,_names_lookup!$A:$A,0)),"")</f>
        <v>000134154</v>
      </c>
    </row>
    <row r="160" spans="1:3" ht="16" customHeight="1" x14ac:dyDescent="0.2">
      <c r="A160" s="7" t="s">
        <v>279</v>
      </c>
      <c r="B160" s="7" t="str">
        <f>IFERROR(INDEX(_names_lookup!$C:$C,MATCH(A160,_names_lookup!$A:$A,0)),"")</f>
        <v>lidvar@andrews.edu</v>
      </c>
      <c r="C160" s="7" t="str">
        <f>IFERROR(INDEX(_names_lookup!$B:$B,MATCH(A160,_names_lookup!$A:$A,0)),"")</f>
        <v>000148465</v>
      </c>
    </row>
    <row r="161" spans="1:3" ht="16" customHeight="1" x14ac:dyDescent="0.2">
      <c r="A161" s="7" t="s">
        <v>280</v>
      </c>
      <c r="B161" s="7" t="str">
        <f>IFERROR(INDEX(_names_lookup!$C:$C,MATCH(A161,_names_lookup!$A:$A,0)),"")</f>
        <v>arena@andrews.edu</v>
      </c>
      <c r="C161" s="7" t="str">
        <f>IFERROR(INDEX(_names_lookup!$B:$B,MATCH(A161,_names_lookup!$A:$A,0)),"")</f>
        <v>000148323</v>
      </c>
    </row>
    <row r="162" spans="1:3" ht="16" customHeight="1" x14ac:dyDescent="0.2">
      <c r="A162" s="7" t="s">
        <v>281</v>
      </c>
      <c r="B162" s="7" t="str">
        <f>IFERROR(INDEX(_names_lookup!$C:$C,MATCH(A162,_names_lookup!$A:$A,0)),"")</f>
        <v>baldwin@andrews.edu</v>
      </c>
      <c r="C162" s="7" t="str">
        <f>IFERROR(INDEX(_names_lookup!$B:$B,MATCH(A162,_names_lookup!$A:$A,0)),"")</f>
        <v>000001902</v>
      </c>
    </row>
    <row r="163" spans="1:3" ht="16" customHeight="1" x14ac:dyDescent="0.2">
      <c r="A163" s="7" t="s">
        <v>282</v>
      </c>
      <c r="B163" s="7" t="str">
        <f>IFERROR(INDEX(_names_lookup!$C:$C,MATCH(A163,_names_lookup!$A:$A,0)),"")</f>
        <v>bentancur@andrews.edu</v>
      </c>
      <c r="C163" s="7" t="str">
        <f>IFERROR(INDEX(_names_lookup!$B:$B,MATCH(A163,_names_lookup!$A:$A,0)),"")</f>
        <v>000193021</v>
      </c>
    </row>
    <row r="164" spans="1:3" ht="16" customHeight="1" x14ac:dyDescent="0.2">
      <c r="A164" s="7" t="s">
        <v>283</v>
      </c>
      <c r="B164" s="7" t="str">
        <f>IFERROR(INDEX(_names_lookup!$C:$C,MATCH(A164,_names_lookup!$A:$A,0)),"")</f>
        <v>canale@andrews.edu</v>
      </c>
      <c r="C164" s="7" t="str">
        <f>IFERROR(INDEX(_names_lookup!$B:$B,MATCH(A164,_names_lookup!$A:$A,0)),"")</f>
        <v>000033285</v>
      </c>
    </row>
    <row r="165" spans="1:3" ht="16" customHeight="1" x14ac:dyDescent="0.2">
      <c r="A165" s="7" t="s">
        <v>284</v>
      </c>
      <c r="B165" s="7" t="str">
        <f>IFERROR(INDEX(_names_lookup!$C:$C,MATCH(A165,_names_lookup!$A:$A,0)),"")</f>
        <v>covrig@andrews.edu</v>
      </c>
      <c r="C165" s="7" t="str">
        <f>IFERROR(INDEX(_names_lookup!$B:$B,MATCH(A165,_names_lookup!$A:$A,0)),"")</f>
        <v>000125642</v>
      </c>
    </row>
    <row r="166" spans="1:3" ht="16" customHeight="1" x14ac:dyDescent="0.2">
      <c r="A166" s="7" t="s">
        <v>285</v>
      </c>
      <c r="B166" s="7" t="str">
        <f>IFERROR(INDEX(_names_lookup!$C:$C,MATCH(A166,_names_lookup!$A:$A,0)),"")</f>
        <v>dei@andrews.edu</v>
      </c>
      <c r="C166" s="7" t="str">
        <f>IFERROR(INDEX(_names_lookup!$B:$B,MATCH(A166,_names_lookup!$A:$A,0)),"")</f>
        <v>000214349</v>
      </c>
    </row>
    <row r="167" spans="1:3" ht="16" customHeight="1" x14ac:dyDescent="0.2">
      <c r="A167" s="7" t="s">
        <v>286</v>
      </c>
      <c r="B167" s="7" t="str">
        <f>IFERROR(INDEX(_names_lookup!$C:$C,MATCH(A167,_names_lookup!$A:$A,0)),"")</f>
        <v>drewa@andrews.edu</v>
      </c>
      <c r="C167" s="7" t="str">
        <f>IFERROR(INDEX(_names_lookup!$B:$B,MATCH(A167,_names_lookup!$A:$A,0)),"")</f>
        <v>000043384</v>
      </c>
    </row>
    <row r="168" spans="1:3" ht="16" customHeight="1" x14ac:dyDescent="0.2">
      <c r="A168" s="7" t="s">
        <v>287</v>
      </c>
      <c r="B168" s="7" t="str">
        <f>IFERROR(INDEX(_names_lookup!$C:$C,MATCH(A168,_names_lookup!$A:$A,0)),"")</f>
        <v>dupera@andrews.edu</v>
      </c>
      <c r="C168" s="7" t="str">
        <f>IFERROR(INDEX(_names_lookup!$B:$B,MATCH(A168,_names_lookup!$A:$A,0)),"")</f>
        <v>000001928</v>
      </c>
    </row>
    <row r="169" spans="1:3" ht="16" customHeight="1" x14ac:dyDescent="0.2">
      <c r="A169" s="7" t="s">
        <v>288</v>
      </c>
      <c r="B169" s="7" t="str">
        <f>IFERROR(INDEX(_names_lookup!$C:$C,MATCH(A169,_names_lookup!$A:$A,0)),"")</f>
        <v>duranroyo@andrews.edu</v>
      </c>
      <c r="C169" s="7" t="str">
        <f>IFERROR(INDEX(_names_lookup!$B:$B,MATCH(A169,_names_lookup!$A:$A,0)),"")</f>
        <v>000210558</v>
      </c>
    </row>
    <row r="170" spans="1:3" ht="16" customHeight="1" x14ac:dyDescent="0.2">
      <c r="A170" s="7" t="s">
        <v>289</v>
      </c>
      <c r="B170" s="7" t="str">
        <f>IFERROR(INDEX(_names_lookup!$C:$C,MATCH(A170,_names_lookup!$A:$A,0)),"")</f>
        <v>gibbsn@andrews.edu</v>
      </c>
      <c r="C170" s="7" t="str">
        <f>IFERROR(INDEX(_names_lookup!$B:$B,MATCH(A170,_names_lookup!$A:$A,0)),"")</f>
        <v>000146529</v>
      </c>
    </row>
    <row r="171" spans="1:3" ht="16" customHeight="1" x14ac:dyDescent="0.2">
      <c r="A171" s="7" t="s">
        <v>290</v>
      </c>
      <c r="B171" s="7" t="str">
        <f>IFERROR(INDEX(_names_lookup!$C:$C,MATCH(A171,_names_lookup!$A:$A,0)),"")</f>
        <v>mhanna@andrews.edu</v>
      </c>
      <c r="C171" s="7" t="str">
        <f>IFERROR(INDEX(_names_lookup!$B:$B,MATCH(A171,_names_lookup!$A:$A,0)),"")</f>
        <v>000057080</v>
      </c>
    </row>
    <row r="172" spans="1:3" ht="16" customHeight="1" x14ac:dyDescent="0.2">
      <c r="A172" s="7" t="s">
        <v>291</v>
      </c>
      <c r="B172" s="7" t="str">
        <f>IFERROR(INDEX(_names_lookup!$C:$C,MATCH(A172,_names_lookup!$A:$A,0)),"")</f>
        <v>darius@andrews.edu</v>
      </c>
      <c r="C172" s="7" t="str">
        <f>IFERROR(INDEX(_names_lookup!$B:$B,MATCH(A172,_names_lookup!$A:$A,0)),"")</f>
        <v>000069427</v>
      </c>
    </row>
    <row r="173" spans="1:3" ht="16" customHeight="1" x14ac:dyDescent="0.2">
      <c r="A173" s="7" t="s">
        <v>292</v>
      </c>
      <c r="B173" s="16">
        <f>IFERROR(INDEX(_names_lookup!$C:$C,MATCH(A173,_names_lookup!$A:$A,0)),"")</f>
        <v>0</v>
      </c>
      <c r="C173" s="7" t="str">
        <f>IFERROR(INDEX(_names_lookup!$B:$B,MATCH(A173,_names_lookup!$A:$A,0)),"")</f>
        <v>000022704</v>
      </c>
    </row>
    <row r="174" spans="1:3" ht="16" customHeight="1" x14ac:dyDescent="0.2">
      <c r="A174" s="7" t="s">
        <v>293</v>
      </c>
      <c r="B174" s="7" t="str">
        <f>IFERROR(INDEX(_names_lookup!$C:$C,MATCH(A174,_names_lookup!$A:$A,0)),"")</f>
        <v>kormos@andrews.edu</v>
      </c>
      <c r="C174" s="7" t="str">
        <f>IFERROR(INDEX(_names_lookup!$B:$B,MATCH(A174,_names_lookup!$A:$A,0)),"")</f>
        <v>000207932</v>
      </c>
    </row>
    <row r="175" spans="1:3" ht="16" customHeight="1" x14ac:dyDescent="0.2">
      <c r="A175" s="7" t="s">
        <v>294</v>
      </c>
      <c r="B175" s="7" t="str">
        <f>IFERROR(INDEX(_names_lookup!$C:$C,MATCH(A175,_names_lookup!$A:$A,0)),"")</f>
        <v>koval@andrews.edu</v>
      </c>
      <c r="C175" s="7" t="str">
        <f>IFERROR(INDEX(_names_lookup!$B:$B,MATCH(A175,_names_lookup!$A:$A,0)),"")</f>
        <v>000163303</v>
      </c>
    </row>
    <row r="176" spans="1:3" ht="16" customHeight="1" x14ac:dyDescent="0.2">
      <c r="A176" s="7" t="s">
        <v>295</v>
      </c>
      <c r="B176" s="7" t="str">
        <f>IFERROR(INDEX(_names_lookup!$C:$C,MATCH(A176,_names_lookup!$A:$A,0)),"")</f>
        <v>jpeckham@andrews.edu</v>
      </c>
      <c r="C176" s="7" t="str">
        <f>IFERROR(INDEX(_names_lookup!$B:$B,MATCH(A176,_names_lookup!$A:$A,0)),"")</f>
        <v>000116996</v>
      </c>
    </row>
    <row r="177" spans="1:3" ht="16" customHeight="1" x14ac:dyDescent="0.2">
      <c r="A177" s="7" t="s">
        <v>296</v>
      </c>
      <c r="B177" s="7" t="str">
        <f>IFERROR(INDEX(_names_lookup!$C:$C,MATCH(A177,_names_lookup!$A:$A,0)),"")</f>
        <v>zplantak@andrews.edu</v>
      </c>
      <c r="C177" s="7" t="str">
        <f>IFERROR(INDEX(_names_lookup!$B:$B,MATCH(A177,_names_lookup!$A:$A,0)),"")</f>
        <v>000104055</v>
      </c>
    </row>
    <row r="178" spans="1:3" ht="16" customHeight="1" x14ac:dyDescent="0.2">
      <c r="A178" s="7" t="s">
        <v>297</v>
      </c>
      <c r="B178" s="7" t="str">
        <f>IFERROR(INDEX(_names_lookup!$C:$C,MATCH(A178,_names_lookup!$A:$A,0)),"")</f>
        <v>razmerita@andrews.edu</v>
      </c>
      <c r="C178" s="7" t="str">
        <f>IFERROR(INDEX(_names_lookup!$B:$B,MATCH(A178,_names_lookup!$A:$A,0)),"")</f>
        <v>000087063</v>
      </c>
    </row>
    <row r="179" spans="1:3" ht="16" customHeight="1" x14ac:dyDescent="0.2">
      <c r="A179" s="7" t="s">
        <v>298</v>
      </c>
      <c r="B179" s="7" t="str">
        <f>IFERROR(INDEX(_names_lookup!$C:$C,MATCH(A179,_names_lookup!$A:$A,0)),"")</f>
        <v>adriani@andrews.edu</v>
      </c>
      <c r="C179" s="7" t="str">
        <f>IFERROR(INDEX(_names_lookup!$B:$B,MATCH(A179,_names_lookup!$A:$A,0)),"")</f>
        <v>000145425</v>
      </c>
    </row>
    <row r="180" spans="1:3" ht="16" customHeight="1" x14ac:dyDescent="0.2">
      <c r="A180" s="7" t="s">
        <v>299</v>
      </c>
      <c r="B180" s="7" t="str">
        <f>IFERROR(INDEX(_names_lookup!$C:$C,MATCH(A180,_names_lookup!$A:$A,0)),"")</f>
        <v>sciarabb@andrews.edu</v>
      </c>
      <c r="C180" s="7" t="str">
        <f>IFERROR(INDEX(_names_lookup!$B:$B,MATCH(A180,_names_lookup!$A:$A,0)),"")</f>
        <v>000138600</v>
      </c>
    </row>
    <row r="181" spans="1:3" ht="16" customHeight="1" x14ac:dyDescent="0.2">
      <c r="A181" s="7" t="s">
        <v>300</v>
      </c>
      <c r="B181" s="7" t="str">
        <f>IFERROR(INDEX(_names_lookup!$C:$C,MATCH(A181,_names_lookup!$A:$A,0)),"")</f>
        <v>zoltan@andrews.edu</v>
      </c>
      <c r="C181" s="7" t="str">
        <f>IFERROR(INDEX(_names_lookup!$B:$B,MATCH(A181,_names_lookup!$A:$A,0)),"")</f>
        <v>000067911</v>
      </c>
    </row>
    <row r="182" spans="1:3" ht="16" customHeight="1" x14ac:dyDescent="0.2">
      <c r="A182" s="7" t="s">
        <v>301</v>
      </c>
      <c r="B182" s="7" t="str">
        <f>IFERROR(INDEX(_names_lookup!$C:$C,MATCH(A182,_names_lookup!$A:$A,0)),"")</f>
        <v>terreros@andrews.edu</v>
      </c>
      <c r="C182" s="7" t="str">
        <f>IFERROR(INDEX(_names_lookup!$B:$B,MATCH(A182,_names_lookup!$A:$A,0)),"")</f>
        <v>000054615</v>
      </c>
    </row>
    <row r="183" spans="1:3" ht="16" customHeight="1" x14ac:dyDescent="0.2">
      <c r="A183" s="7" t="s">
        <v>302</v>
      </c>
      <c r="B183" s="7" t="str">
        <f>IFERROR(INDEX(_names_lookup!$C:$C,MATCH(A183,_names_lookup!$A:$A,0)),"")</f>
        <v>tornalejo@andrews.edu</v>
      </c>
      <c r="C183" s="7" t="str">
        <f>IFERROR(INDEX(_names_lookup!$B:$B,MATCH(A183,_names_lookup!$A:$A,0)),"")</f>
        <v>000208503</v>
      </c>
    </row>
    <row r="184" spans="1:3" ht="16" customHeight="1" x14ac:dyDescent="0.2">
      <c r="A184" s="7" t="s">
        <v>303</v>
      </c>
      <c r="B184" s="7" t="str">
        <f>IFERROR(INDEX(_names_lookup!$C:$C,MATCH(A184,_names_lookup!$A:$A,0)),"")</f>
        <v>wetterli@andrews.edu</v>
      </c>
      <c r="C184" s="7" t="str">
        <f>IFERROR(INDEX(_names_lookup!$B:$B,MATCH(A184,_names_lookup!$A:$A,0)),"")</f>
        <v>000095321</v>
      </c>
    </row>
    <row r="185" spans="1:3" ht="16" customHeight="1" x14ac:dyDescent="0.2">
      <c r="A185" s="7" t="s">
        <v>304</v>
      </c>
      <c r="B185" s="7" t="str">
        <f>IFERROR(INDEX(_names_lookup!$C:$C,MATCH(A185,_names_lookup!$A:$A,0)),"")</f>
        <v>eugenez@andrews.edu</v>
      </c>
      <c r="C185" s="7" t="str">
        <f>IFERROR(INDEX(_names_lookup!$B:$B,MATCH(A185,_names_lookup!$A:$A,0)),"")</f>
        <v>000065636</v>
      </c>
    </row>
    <row r="186" spans="1:3" ht="16" customHeight="1" x14ac:dyDescent="0.2">
      <c r="A186" s="7" t="s">
        <v>305</v>
      </c>
      <c r="B186" s="7" t="str">
        <f>IFERROR(INDEX(_names_lookup!$C:$C,MATCH(A186,_names_lookup!$A:$A,0)),"")</f>
        <v>bbauer@andrews.edu</v>
      </c>
      <c r="C186" s="7" t="str">
        <f>IFERROR(INDEX(_names_lookup!$B:$B,MATCH(A186,_names_lookup!$A:$A,0)),"")</f>
        <v>000003023</v>
      </c>
    </row>
    <row r="187" spans="1:3" ht="16" customHeight="1" x14ac:dyDescent="0.2">
      <c r="A187" s="7" t="s">
        <v>306</v>
      </c>
      <c r="B187" s="7" t="str">
        <f>IFERROR(INDEX(_names_lookup!$C:$C,MATCH(A187,_names_lookup!$A:$A,0)),"")</f>
        <v>cincala@andrews.edu</v>
      </c>
      <c r="C187" s="7" t="str">
        <f>IFERROR(INDEX(_names_lookup!$B:$B,MATCH(A187,_names_lookup!$A:$A,0)),"")</f>
        <v>000074406</v>
      </c>
    </row>
    <row r="188" spans="1:3" ht="16" customHeight="1" x14ac:dyDescent="0.2">
      <c r="A188" s="7" t="s">
        <v>307</v>
      </c>
      <c r="B188" s="7" t="str">
        <f>IFERROR(INDEX(_names_lookup!$C:$C,MATCH(A188,_names_lookup!$A:$A,0)),"")</f>
        <v>dementyev@andrews.edu</v>
      </c>
      <c r="C188" s="7" t="str">
        <f>IFERROR(INDEX(_names_lookup!$B:$B,MATCH(A188,_names_lookup!$A:$A,0)),"")</f>
        <v>000121343</v>
      </c>
    </row>
    <row r="189" spans="1:3" ht="16" customHeight="1" x14ac:dyDescent="0.2">
      <c r="A189" s="7" t="s">
        <v>308</v>
      </c>
      <c r="B189" s="7" t="str">
        <f>IFERROR(INDEX(_names_lookup!$C:$C,MATCH(A189,_names_lookup!$A:$A,0)),"")</f>
        <v>dossc@andrews.edu</v>
      </c>
      <c r="C189" s="7" t="str">
        <f>IFERROR(INDEX(_names_lookup!$B:$B,MATCH(A189,_names_lookup!$A:$A,0)),"")</f>
        <v>000011280</v>
      </c>
    </row>
    <row r="190" spans="1:3" ht="16" customHeight="1" x14ac:dyDescent="0.2">
      <c r="A190" s="7" t="s">
        <v>309</v>
      </c>
      <c r="B190" s="7" t="str">
        <f>IFERROR(INDEX(_names_lookup!$C:$C,MATCH(A190,_names_lookup!$A:$A,0)),"")</f>
        <v>dossg@andrews.edu</v>
      </c>
      <c r="C190" s="7" t="str">
        <f>IFERROR(INDEX(_names_lookup!$B:$B,MATCH(A190,_names_lookup!$A:$A,0)),"")</f>
        <v>000016109</v>
      </c>
    </row>
    <row r="191" spans="1:3" ht="16" customHeight="1" x14ac:dyDescent="0.2">
      <c r="A191" s="7" t="s">
        <v>310</v>
      </c>
      <c r="B191" s="7" t="str">
        <f>IFERROR(INDEX(_names_lookup!$C:$C,MATCH(A191,_names_lookup!$A:$A,0)),"")</f>
        <v>drumi@andrews.edu</v>
      </c>
      <c r="C191" s="7" t="str">
        <f>IFERROR(INDEX(_names_lookup!$B:$B,MATCH(A191,_names_lookup!$A:$A,0)),"")</f>
        <v>000092262</v>
      </c>
    </row>
    <row r="192" spans="1:3" ht="16" customHeight="1" x14ac:dyDescent="0.2">
      <c r="A192" s="7" t="s">
        <v>311</v>
      </c>
      <c r="B192" s="7" t="str">
        <f>IFERROR(INDEX(_names_lookup!$C:$C,MATCH(A192,_names_lookup!$A:$A,0)),"")</f>
        <v>duffisgordo@andrews.edu</v>
      </c>
      <c r="C192" s="7" t="str">
        <f>IFERROR(INDEX(_names_lookup!$B:$B,MATCH(A192,_names_lookup!$A:$A,0)),"")</f>
        <v>000159832</v>
      </c>
    </row>
    <row r="193" spans="1:3" ht="16" customHeight="1" x14ac:dyDescent="0.2">
      <c r="A193" s="7" t="s">
        <v>312</v>
      </c>
      <c r="B193" s="7" t="str">
        <f>IFERROR(INDEX(_names_lookup!$C:$C,MATCH(A193,_names_lookup!$A:$A,0)),"")</f>
        <v>dybdahl@andrews.edu</v>
      </c>
      <c r="C193" s="7" t="str">
        <f>IFERROR(INDEX(_names_lookup!$B:$B,MATCH(A193,_names_lookup!$A:$A,0)),"")</f>
        <v>000006149</v>
      </c>
    </row>
    <row r="194" spans="1:3" ht="16" customHeight="1" x14ac:dyDescent="0.2">
      <c r="A194" s="7" t="s">
        <v>313</v>
      </c>
      <c r="B194" s="7" t="str">
        <f>IFERROR(INDEX(_names_lookup!$C:$C,MATCH(A194,_names_lookup!$A:$A,0)),"")</f>
        <v>dybdahlp@andrews.edu</v>
      </c>
      <c r="C194" s="7" t="str">
        <f>IFERROR(INDEX(_names_lookup!$B:$B,MATCH(A194,_names_lookup!$A:$A,0)),"")</f>
        <v>000069738</v>
      </c>
    </row>
    <row r="195" spans="1:3" ht="16" customHeight="1" x14ac:dyDescent="0.2">
      <c r="A195" s="7" t="s">
        <v>314</v>
      </c>
      <c r="B195" s="7" t="str">
        <f>IFERROR(INDEX(_names_lookup!$C:$C,MATCH(A195,_names_lookup!$A:$A,0)),"")</f>
        <v>goya@andrews.edu</v>
      </c>
      <c r="C195" s="7" t="str">
        <f>IFERROR(INDEX(_names_lookup!$B:$B,MATCH(A195,_names_lookup!$A:$A,0)),"")</f>
        <v>000151900</v>
      </c>
    </row>
    <row r="196" spans="1:3" ht="16" customHeight="1" x14ac:dyDescent="0.2">
      <c r="A196" s="7" t="s">
        <v>315</v>
      </c>
      <c r="B196" s="7" t="str">
        <f>IFERROR(INDEX(_names_lookup!$C:$C,MATCH(A196,_names_lookup!$A:$A,0)),"")</f>
        <v>abrahamg@andrews.edu</v>
      </c>
      <c r="C196" s="7" t="str">
        <f>IFERROR(INDEX(_names_lookup!$B:$B,MATCH(A196,_names_lookup!$A:$A,0)),"")</f>
        <v>000134376</v>
      </c>
    </row>
    <row r="197" spans="1:3" ht="16" customHeight="1" x14ac:dyDescent="0.2">
      <c r="A197" s="7" t="s">
        <v>316</v>
      </c>
      <c r="B197" s="7" t="str">
        <f>IFERROR(INDEX(_names_lookup!$C:$C,MATCH(A197,_names_lookup!$A:$A,0)),"")</f>
        <v>youssry@andrews.edu</v>
      </c>
      <c r="C197" s="7" t="str">
        <f>IFERROR(INDEX(_names_lookup!$B:$B,MATCH(A197,_names_lookup!$A:$A,0)),"")</f>
        <v>000229579</v>
      </c>
    </row>
    <row r="198" spans="1:3" ht="16" customHeight="1" x14ac:dyDescent="0.2">
      <c r="A198" s="7" t="s">
        <v>317</v>
      </c>
      <c r="B198" s="7" t="str">
        <f>IFERROR(INDEX(_names_lookup!$C:$C,MATCH(A198,_names_lookup!$A:$A,0)),"")</f>
        <v>claval@andrews.edu</v>
      </c>
      <c r="C198" s="7" t="str">
        <f>IFERROR(INDEX(_names_lookup!$B:$B,MATCH(A198,_names_lookup!$A:$A,0)),"")</f>
        <v>000124366</v>
      </c>
    </row>
    <row r="199" spans="1:3" ht="16" customHeight="1" x14ac:dyDescent="0.2">
      <c r="A199" s="7" t="s">
        <v>318</v>
      </c>
      <c r="B199" s="7" t="str">
        <f>IFERROR(INDEX(_names_lookup!$C:$C,MATCH(A199,_names_lookup!$A:$A,0)),"")</f>
        <v>yalyshev@andrews.edu</v>
      </c>
      <c r="C199" s="7" t="str">
        <f>IFERROR(INDEX(_names_lookup!$B:$B,MATCH(A199,_names_lookup!$A:$A,0)),"")</f>
        <v>000123480</v>
      </c>
    </row>
    <row r="200" spans="1:3" ht="16" customHeight="1" x14ac:dyDescent="0.2">
      <c r="A200" s="7" t="s">
        <v>319</v>
      </c>
      <c r="B200" s="7" t="str">
        <f>IFERROR(INDEX(_names_lookup!$C:$C,MATCH(A200,_names_lookup!$A:$A,0)),"")</f>
        <v>surachet@andrews.edu</v>
      </c>
      <c r="C200" s="7" t="str">
        <f>IFERROR(INDEX(_names_lookup!$B:$B,MATCH(A200,_names_lookup!$A:$A,0)),"")</f>
        <v>000089320</v>
      </c>
    </row>
    <row r="201" spans="1:3" ht="16" customHeight="1" x14ac:dyDescent="0.2">
      <c r="A201" s="7" t="s">
        <v>320</v>
      </c>
      <c r="B201" s="7" t="str">
        <f>IFERROR(INDEX(_names_lookup!$C:$C,MATCH(A201,_names_lookup!$A:$A,0)),"")</f>
        <v>gkrause@andrews.edu</v>
      </c>
      <c r="C201" s="7" t="str">
        <f>IFERROR(INDEX(_names_lookup!$B:$B,MATCH(A201,_names_lookup!$A:$A,0)),"")</f>
        <v>000231151</v>
      </c>
    </row>
    <row r="202" spans="1:3" ht="16" customHeight="1" x14ac:dyDescent="0.2">
      <c r="A202" s="7" t="s">
        <v>321</v>
      </c>
      <c r="B202" s="7" t="str">
        <f>IFERROR(INDEX(_names_lookup!$C:$C,MATCH(A202,_names_lookup!$A:$A,0)),"")</f>
        <v>kuhn@andrews.edu</v>
      </c>
      <c r="C202" s="7" t="str">
        <f>IFERROR(INDEX(_names_lookup!$B:$B,MATCH(A202,_names_lookup!$A:$A,0)),"")</f>
        <v>000067555</v>
      </c>
    </row>
    <row r="203" spans="1:3" ht="16" customHeight="1" x14ac:dyDescent="0.2">
      <c r="A203" s="7" t="s">
        <v>322</v>
      </c>
      <c r="B203" s="7" t="str">
        <f>IFERROR(INDEX(_names_lookup!$C:$C,MATCH(A203,_names_lookup!$A:$A,0)),"")</f>
        <v>rmaier@andrews.edu</v>
      </c>
      <c r="C203" s="7" t="str">
        <f>IFERROR(INDEX(_names_lookup!$B:$B,MATCH(A203,_names_lookup!$A:$A,0)),"")</f>
        <v>000019537</v>
      </c>
    </row>
    <row r="204" spans="1:3" ht="16" customHeight="1" x14ac:dyDescent="0.2">
      <c r="A204" s="7" t="s">
        <v>323</v>
      </c>
      <c r="B204" s="7" t="str">
        <f>IFERROR(INDEX(_names_lookup!$C:$C,MATCH(A204,_names_lookup!$A:$A,0)),"")</f>
        <v>mcedward@andrews.edu</v>
      </c>
      <c r="C204" s="7" t="str">
        <f>IFERROR(INDEX(_names_lookup!$B:$B,MATCH(A204,_names_lookup!$A:$A,0)),"")</f>
        <v>000062229</v>
      </c>
    </row>
    <row r="205" spans="1:3" ht="16" customHeight="1" x14ac:dyDescent="0.2">
      <c r="A205" s="7" t="s">
        <v>324</v>
      </c>
      <c r="B205" s="7" t="str">
        <f>IFERROR(INDEX(_names_lookup!$C:$C,MATCH(A205,_names_lookup!$A:$A,0)),"")</f>
        <v>cmercado@andrews.edu</v>
      </c>
      <c r="C205" s="7" t="str">
        <f>IFERROR(INDEX(_names_lookup!$B:$B,MATCH(A205,_names_lookup!$A:$A,0)),"")</f>
        <v>000016682</v>
      </c>
    </row>
    <row r="206" spans="1:3" ht="16" customHeight="1" x14ac:dyDescent="0.2">
      <c r="A206" s="7" t="s">
        <v>325</v>
      </c>
      <c r="B206" s="7" t="str">
        <f>IFERROR(INDEX(_names_lookup!$C:$C,MATCH(A206,_names_lookup!$A:$A,0)),"")</f>
        <v>lmerklin@andrews.edu</v>
      </c>
      <c r="C206" s="7" t="str">
        <f>IFERROR(INDEX(_names_lookup!$B:$B,MATCH(A206,_names_lookup!$A:$A,0)),"")</f>
        <v>000019722</v>
      </c>
    </row>
    <row r="207" spans="1:3" ht="16" customHeight="1" x14ac:dyDescent="0.2">
      <c r="A207" s="7" t="s">
        <v>326</v>
      </c>
      <c r="B207" s="7" t="str">
        <f>IFERROR(INDEX(_names_lookup!$C:$C,MATCH(A207,_names_lookup!$A:$A,0)),"")</f>
        <v>sergo@andrews.edu</v>
      </c>
      <c r="C207" s="7" t="str">
        <f>IFERROR(INDEX(_names_lookup!$B:$B,MATCH(A207,_names_lookup!$A:$A,0)),"")</f>
        <v>000112386</v>
      </c>
    </row>
    <row r="208" spans="1:3" ht="16" customHeight="1" x14ac:dyDescent="0.2">
      <c r="A208" s="7" t="s">
        <v>327</v>
      </c>
      <c r="B208" s="7" t="str">
        <f>IFERROR(INDEX(_names_lookup!$C:$C,MATCH(A208,_names_lookup!$A:$A,0)),"")</f>
        <v>onongha@andrews.edu</v>
      </c>
      <c r="C208" s="7" t="str">
        <f>IFERROR(INDEX(_names_lookup!$B:$B,MATCH(A208,_names_lookup!$A:$A,0)),"")</f>
        <v>000056502</v>
      </c>
    </row>
    <row r="209" spans="1:3" ht="16" customHeight="1" x14ac:dyDescent="0.2">
      <c r="A209" s="7" t="s">
        <v>328</v>
      </c>
      <c r="B209" s="7" t="str">
        <f>IFERROR(INDEX(_names_lookup!$C:$C,MATCH(A209,_names_lookup!$A:$A,0)),"")</f>
        <v>osindo@andrews.edu</v>
      </c>
      <c r="C209" s="7" t="str">
        <f>IFERROR(INDEX(_names_lookup!$B:$B,MATCH(A209,_names_lookup!$A:$A,0)),"")</f>
        <v>000160575</v>
      </c>
    </row>
    <row r="210" spans="1:3" ht="16" customHeight="1" x14ac:dyDescent="0.2">
      <c r="A210" s="7" t="s">
        <v>329</v>
      </c>
      <c r="B210" s="7" t="str">
        <f>IFERROR(INDEX(_names_lookup!$C:$C,MATCH(A210,_names_lookup!$A:$A,0)),"")</f>
        <v>profetadep@andrews.edu</v>
      </c>
      <c r="C210" s="7" t="str">
        <f>IFERROR(INDEX(_names_lookup!$B:$B,MATCH(A210,_names_lookup!$A:$A,0)),"")</f>
        <v>000144385</v>
      </c>
    </row>
    <row r="211" spans="1:3" ht="16" customHeight="1" x14ac:dyDescent="0.2">
      <c r="A211" s="7" t="s">
        <v>330</v>
      </c>
      <c r="B211" s="7" t="str">
        <f>IFERROR(INDEX(_names_lookup!$C:$C,MATCH(A211,_names_lookup!$A:$A,0)),"")</f>
        <v>tompkina@andrews.edu</v>
      </c>
      <c r="C211" s="7" t="str">
        <f>IFERROR(INDEX(_names_lookup!$B:$B,MATCH(A211,_names_lookup!$A:$A,0)),"")</f>
        <v>000122109</v>
      </c>
    </row>
    <row r="212" spans="1:3" ht="16" customHeight="1" x14ac:dyDescent="0.2">
      <c r="A212" s="7" t="s">
        <v>331</v>
      </c>
      <c r="B212" s="7" t="str">
        <f>IFERROR(INDEX(_names_lookup!$C:$C,MATCH(A212,_names_lookup!$A:$A,0)),"")</f>
        <v>micheletw@andrews.edu</v>
      </c>
      <c r="C212" s="7" t="str">
        <f>IFERROR(INDEX(_names_lookup!$B:$B,MATCH(A212,_names_lookup!$A:$A,0)),"")</f>
        <v>000089121</v>
      </c>
    </row>
    <row r="213" spans="1:3" ht="16" customHeight="1" x14ac:dyDescent="0.2">
      <c r="A213" s="7" t="s">
        <v>332</v>
      </c>
      <c r="B213" s="7" t="str">
        <f>IFERROR(INDEX(_names_lookup!$C:$C,MATCH(A213,_names_lookup!$A:$A,0)),"")</f>
        <v>makhti@andrews.edu</v>
      </c>
      <c r="C213" s="7" t="str">
        <f>IFERROR(INDEX(_names_lookup!$B:$B,MATCH(A213,_names_lookup!$A:$A,0)),"")</f>
        <v>000160361</v>
      </c>
    </row>
    <row r="214" spans="1:3" ht="16" customHeight="1" x14ac:dyDescent="0.2">
      <c r="A214" s="7" t="s">
        <v>333</v>
      </c>
      <c r="B214" s="7" t="str">
        <f>IFERROR(INDEX(_names_lookup!$C:$C,MATCH(A214,_names_lookup!$A:$A,0)),"")</f>
        <v>zubkov@andrews.edu</v>
      </c>
      <c r="C214" s="7" t="str">
        <f>IFERROR(INDEX(_names_lookup!$B:$B,MATCH(A214,_names_lookup!$A:$A,0)),"")</f>
        <v>000126778</v>
      </c>
    </row>
    <row r="215" spans="1:3" ht="16" customHeight="1" x14ac:dyDescent="0.2">
      <c r="A215" s="7" t="s">
        <v>334</v>
      </c>
      <c r="B215" s="7" t="str">
        <f>IFERROR(INDEX(_names_lookup!$C:$C,MATCH(A215,_names_lookup!$A:$A,0)),"")</f>
        <v>large@andrews.edu</v>
      </c>
      <c r="C215" s="7" t="str">
        <f>IFERROR(INDEX(_names_lookup!$B:$B,MATCH(A215,_names_lookup!$A:$A,0)),"")</f>
        <v>000133676</v>
      </c>
    </row>
    <row r="216" spans="1:3" ht="16" customHeight="1" x14ac:dyDescent="0.2">
      <c r="A216" s="7" t="s">
        <v>335</v>
      </c>
      <c r="B216" s="7" t="str">
        <f>IFERROR(INDEX(_names_lookup!$C:$C,MATCH(A216,_names_lookup!$A:$A,0)),"")</f>
        <v>burt@andrews.edu</v>
      </c>
      <c r="C216" s="7" t="str">
        <f>IFERROR(INDEX(_names_lookup!$B:$B,MATCH(A216,_names_lookup!$A:$A,0)),"")</f>
        <v>000049061</v>
      </c>
    </row>
    <row r="217" spans="1:3" ht="16" customHeight="1" x14ac:dyDescent="0.2">
      <c r="A217" s="7" t="s">
        <v>336</v>
      </c>
      <c r="B217" s="7" t="str">
        <f>IFERROR(INDEX(_names_lookup!$C:$C,MATCH(A217,_names_lookup!$A:$A,0)),"")</f>
        <v>ccarlos@andrews.edu</v>
      </c>
      <c r="C217" s="7" t="str">
        <f>IFERROR(INDEX(_names_lookup!$B:$B,MATCH(A217,_names_lookup!$A:$A,0)),"")</f>
        <v>000036675</v>
      </c>
    </row>
    <row r="218" spans="1:3" ht="16" customHeight="1" x14ac:dyDescent="0.2">
      <c r="A218" s="7" t="s">
        <v>337</v>
      </c>
      <c r="B218" s="7" t="str">
        <f>IFERROR(INDEX(_names_lookup!$C:$C,MATCH(A218,_names_lookup!$A:$A,0)),"")</f>
        <v>steve@andrews.edu</v>
      </c>
      <c r="C218" s="7" t="str">
        <f>IFERROR(INDEX(_names_lookup!$B:$B,MATCH(A218,_names_lookup!$A:$A,0)),"")</f>
        <v>000040389</v>
      </c>
    </row>
    <row r="219" spans="1:3" ht="16" customHeight="1" x14ac:dyDescent="0.2">
      <c r="A219" s="7" t="s">
        <v>338</v>
      </c>
      <c r="B219" s="7" t="str">
        <f>IFERROR(INDEX(_names_lookup!$C:$C,MATCH(A219,_names_lookup!$A:$A,0)),"")</f>
        <v>jad@andrews.edu</v>
      </c>
      <c r="C219" s="7" t="str">
        <f>IFERROR(INDEX(_names_lookup!$B:$B,MATCH(A219,_names_lookup!$A:$A,0)),"")</f>
        <v>000012454</v>
      </c>
    </row>
    <row r="220" spans="1:3" ht="16" customHeight="1" x14ac:dyDescent="0.2">
      <c r="A220" s="7" t="s">
        <v>339</v>
      </c>
      <c r="B220" s="7" t="str">
        <f>IFERROR(INDEX(_names_lookup!$C:$C,MATCH(A220,_names_lookup!$A:$A,0)),"")</f>
        <v>davidson@andrews.edu</v>
      </c>
      <c r="C220" s="7" t="str">
        <f>IFERROR(INDEX(_names_lookup!$B:$B,MATCH(A220,_names_lookup!$A:$A,0)),"")</f>
        <v>000012107</v>
      </c>
    </row>
    <row r="221" spans="1:3" ht="16" customHeight="1" x14ac:dyDescent="0.2">
      <c r="A221" s="7" t="s">
        <v>340</v>
      </c>
      <c r="B221" s="7" t="str">
        <f>IFERROR(INDEX(_names_lookup!$C:$C,MATCH(A221,_names_lookup!$A:$A,0)),"")</f>
        <v>fortind@andrews.edu</v>
      </c>
      <c r="C221" s="7" t="str">
        <f>IFERROR(INDEX(_names_lookup!$B:$B,MATCH(A221,_names_lookup!$A:$A,0)),"")</f>
        <v>000043638</v>
      </c>
    </row>
    <row r="222" spans="1:3" ht="16" customHeight="1" x14ac:dyDescent="0.2">
      <c r="A222" s="7" t="s">
        <v>341</v>
      </c>
      <c r="B222" s="7" t="str">
        <f>IFERROR(INDEX(_names_lookup!$C:$C,MATCH(A222,_names_lookup!$A:$A,0)),"")</f>
        <v>egalen@andrews.edu</v>
      </c>
      <c r="C222" s="7" t="str">
        <f>IFERROR(INDEX(_names_lookup!$B:$B,MATCH(A222,_names_lookup!$A:$A,0)),"")</f>
        <v>000077101</v>
      </c>
    </row>
    <row r="223" spans="1:3" ht="16" customHeight="1" x14ac:dyDescent="0.2">
      <c r="A223" s="7" t="s">
        <v>342</v>
      </c>
      <c r="B223" s="7" t="str">
        <f>IFERROR(INDEX(_names_lookup!$C:$C,MATCH(A223,_names_lookup!$A:$A,0)),"")</f>
        <v>gane@andrews.edu</v>
      </c>
      <c r="C223" s="7" t="str">
        <f>IFERROR(INDEX(_names_lookup!$B:$B,MATCH(A223,_names_lookup!$A:$A,0)),"")</f>
        <v>000008963</v>
      </c>
    </row>
    <row r="224" spans="1:3" ht="16" customHeight="1" x14ac:dyDescent="0.2">
      <c r="A224" s="7" t="s">
        <v>343</v>
      </c>
      <c r="B224" s="7" t="str">
        <f>IFERROR(INDEX(_names_lookup!$C:$C,MATCH(A224,_names_lookup!$A:$A,0)),"")</f>
        <v>royg@andrews.edu</v>
      </c>
      <c r="C224" s="7" t="str">
        <f>IFERROR(INDEX(_names_lookup!$B:$B,MATCH(A224,_names_lookup!$A:$A,0)),"")</f>
        <v>000048477</v>
      </c>
    </row>
    <row r="225" spans="1:3" ht="16" customHeight="1" x14ac:dyDescent="0.2">
      <c r="A225" s="7" t="s">
        <v>344</v>
      </c>
      <c r="B225" s="7" t="str">
        <f>IFERROR(INDEX(_names_lookup!$C:$C,MATCH(A225,_names_lookup!$A:$A,0)),"")</f>
        <v>kleber@andrews.edu</v>
      </c>
      <c r="C225" s="7" t="str">
        <f>IFERROR(INDEX(_names_lookup!$B:$B,MATCH(A225,_names_lookup!$A:$A,0)),"")</f>
        <v>000078571</v>
      </c>
    </row>
    <row r="226" spans="1:3" ht="16" customHeight="1" x14ac:dyDescent="0.2">
      <c r="A226" s="7" t="s">
        <v>345</v>
      </c>
      <c r="B226" s="7" t="str">
        <f>IFERROR(INDEX(_names_lookup!$C:$C,MATCH(A226,_names_lookup!$A:$A,0)),"")</f>
        <v>egreen@andrews.edu</v>
      </c>
      <c r="C226" s="7" t="str">
        <f>IFERROR(INDEX(_names_lookup!$B:$B,MATCH(A226,_names_lookup!$A:$A,0)),"")</f>
        <v>000212555</v>
      </c>
    </row>
    <row r="227" spans="1:3" ht="16" customHeight="1" x14ac:dyDescent="0.2">
      <c r="A227" s="7" t="s">
        <v>346</v>
      </c>
      <c r="B227" s="7" t="str">
        <f>IFERROR(INDEX(_names_lookup!$C:$C,MATCH(A227,_names_lookup!$A:$A,0)),"")</f>
        <v>kenley@andrews.edu</v>
      </c>
      <c r="C227" s="7" t="str">
        <f>IFERROR(INDEX(_names_lookup!$B:$B,MATCH(A227,_names_lookup!$A:$A,0)),"")</f>
        <v>000069431</v>
      </c>
    </row>
    <row r="228" spans="1:3" ht="16" customHeight="1" x14ac:dyDescent="0.2">
      <c r="A228" s="7" t="s">
        <v>347</v>
      </c>
      <c r="B228" s="7" t="str">
        <f>IFERROR(INDEX(_names_lookup!$C:$C,MATCH(A228,_names_lookup!$A:$A,0)),"")</f>
        <v>abnerh@andrews.edu</v>
      </c>
      <c r="C228" s="7" t="str">
        <f>IFERROR(INDEX(_names_lookup!$B:$B,MATCH(A228,_names_lookup!$A:$A,0)),"")</f>
        <v>000149024</v>
      </c>
    </row>
    <row r="229" spans="1:3" ht="16" customHeight="1" x14ac:dyDescent="0.2">
      <c r="A229" s="7" t="s">
        <v>348</v>
      </c>
      <c r="B229" s="7" t="str">
        <f>IFERROR(INDEX(_names_lookup!$C:$C,MATCH(A229,_names_lookup!$A:$A,0)),"")</f>
        <v>hucks@andrews.edu</v>
      </c>
      <c r="C229" s="7" t="str">
        <f>IFERROR(INDEX(_names_lookup!$B:$B,MATCH(A229,_names_lookup!$A:$A,0)),"")</f>
        <v>000048969</v>
      </c>
    </row>
    <row r="230" spans="1:3" ht="16" customHeight="1" x14ac:dyDescent="0.2">
      <c r="A230" s="7" t="s">
        <v>349</v>
      </c>
      <c r="B230" s="7" t="str">
        <f>IFERROR(INDEX(_names_lookup!$C:$C,MATCH(A230,_names_lookup!$A:$A,0)),"")</f>
        <v>irizarry@andrews.edu</v>
      </c>
      <c r="C230" s="7" t="str">
        <f>IFERROR(INDEX(_names_lookup!$B:$B,MATCH(A230,_names_lookup!$A:$A,0)),"")</f>
        <v>000140394</v>
      </c>
    </row>
    <row r="231" spans="1:3" ht="16" customHeight="1" x14ac:dyDescent="0.2">
      <c r="A231" s="7" t="s">
        <v>350</v>
      </c>
      <c r="B231" s="7" t="str">
        <f>IFERROR(INDEX(_names_lookup!$C:$C,MATCH(A231,_names_lookup!$A:$A,0)),"")</f>
        <v>jeroncic@andrews.edu</v>
      </c>
      <c r="C231" s="7" t="str">
        <f>IFERROR(INDEX(_names_lookup!$B:$B,MATCH(A231,_names_lookup!$A:$A,0)),"")</f>
        <v>000066942</v>
      </c>
    </row>
    <row r="232" spans="1:3" ht="16" customHeight="1" x14ac:dyDescent="0.2">
      <c r="A232" s="7" t="s">
        <v>351</v>
      </c>
      <c r="B232" s="7" t="str">
        <f>IFERROR(INDEX(_names_lookup!$C:$C,MATCH(A232,_names_lookup!$A:$A,0)),"")</f>
        <v>kiddersj@andrews.edu</v>
      </c>
      <c r="C232" s="7" t="str">
        <f>IFERROR(INDEX(_names_lookup!$B:$B,MATCH(A232,_names_lookup!$A:$A,0)),"")</f>
        <v>000039170</v>
      </c>
    </row>
    <row r="233" spans="1:3" ht="16" customHeight="1" x14ac:dyDescent="0.2">
      <c r="A233" s="7" t="s">
        <v>352</v>
      </c>
      <c r="B233" s="7" t="str">
        <f>IFERROR(INDEX(_names_lookup!$C:$C,MATCH(A233,_names_lookup!$A:$A,0)),"")</f>
        <v>korchuk@andrews.edu</v>
      </c>
      <c r="C233" s="7" t="str">
        <f>IFERROR(INDEX(_names_lookup!$B:$B,MATCH(A233,_names_lookup!$A:$A,0)),"")</f>
        <v>000097153</v>
      </c>
    </row>
    <row r="234" spans="1:3" ht="16" customHeight="1" x14ac:dyDescent="0.2">
      <c r="A234" s="7" t="s">
        <v>353</v>
      </c>
      <c r="B234" s="7" t="str">
        <f>IFERROR(INDEX(_names_lookup!$C:$C,MATCH(A234,_names_lookup!$A:$A,0)),"")</f>
        <v>kwons@andrews.edu</v>
      </c>
      <c r="C234" s="7" t="str">
        <f>IFERROR(INDEX(_names_lookup!$B:$B,MATCH(A234,_names_lookup!$A:$A,0)),"")</f>
        <v>000073236</v>
      </c>
    </row>
    <row r="235" spans="1:3" ht="16" customHeight="1" x14ac:dyDescent="0.2">
      <c r="A235" s="7" t="s">
        <v>354</v>
      </c>
      <c r="B235" s="7" t="str">
        <f>IFERROR(INDEX(_names_lookup!$C:$C,MATCH(A235,_names_lookup!$A:$A,0)),"")</f>
        <v>machado@andrews.edu</v>
      </c>
      <c r="C235" s="7" t="str">
        <f>IFERROR(INDEX(_names_lookup!$B:$B,MATCH(A235,_names_lookup!$A:$A,0)),"")</f>
        <v>000117818</v>
      </c>
    </row>
    <row r="236" spans="1:3" ht="16" customHeight="1" x14ac:dyDescent="0.2">
      <c r="A236" s="7" t="s">
        <v>355</v>
      </c>
      <c r="B236" s="7" t="str">
        <f>IFERROR(INDEX(_names_lookup!$C:$C,MATCH(A236,_names_lookup!$A:$A,0)),"")</f>
        <v>johnmatt@andrews.edu</v>
      </c>
      <c r="C236" s="7" t="str">
        <f>IFERROR(INDEX(_names_lookup!$B:$B,MATCH(A236,_names_lookup!$A:$A,0)),"")</f>
        <v>000021462</v>
      </c>
    </row>
    <row r="237" spans="1:3" ht="16" customHeight="1" x14ac:dyDescent="0.2">
      <c r="A237" s="7" t="s">
        <v>356</v>
      </c>
      <c r="B237" s="7" t="str">
        <f>IFERROR(INDEX(_names_lookup!$C:$C,MATCH(A237,_names_lookup!$A:$A,0)),"")</f>
        <v>nicholas@andrews.edu</v>
      </c>
      <c r="C237" s="7" t="str">
        <f>IFERROR(INDEX(_names_lookup!$B:$B,MATCH(A237,_names_lookup!$A:$A,0)),"")</f>
        <v>000050696</v>
      </c>
    </row>
    <row r="238" spans="1:3" ht="16" customHeight="1" x14ac:dyDescent="0.2">
      <c r="A238" s="7" t="s">
        <v>357</v>
      </c>
      <c r="B238" s="7" t="str">
        <f>IFERROR(INDEX(_names_lookup!$C:$C,MATCH(A238,_names_lookup!$A:$A,0)),"")</f>
        <v>jmoon@andrews.edu</v>
      </c>
      <c r="C238" s="7" t="str">
        <f>IFERROR(INDEX(_names_lookup!$B:$B,MATCH(A238,_names_lookup!$A:$A,0)),"")</f>
        <v>000018492</v>
      </c>
    </row>
    <row r="239" spans="1:3" ht="16" customHeight="1" x14ac:dyDescent="0.2">
      <c r="A239" s="7" t="s">
        <v>358</v>
      </c>
      <c r="B239" s="7" t="str">
        <f>IFERROR(INDEX(_names_lookup!$C:$C,MATCH(A239,_names_lookup!$A:$A,0)),"")</f>
        <v>moskala@andrews.edu</v>
      </c>
      <c r="C239" s="7" t="str">
        <f>IFERROR(INDEX(_names_lookup!$B:$B,MATCH(A239,_names_lookup!$A:$A,0)),"")</f>
        <v>000036790</v>
      </c>
    </row>
    <row r="240" spans="1:3" ht="16" customHeight="1" x14ac:dyDescent="0.2">
      <c r="A240" s="7" t="s">
        <v>359</v>
      </c>
      <c r="B240" s="7" t="str">
        <f>IFERROR(INDEX(_names_lookup!$C:$C,MATCH(A240,_names_lookup!$A:$A,0)),"")</f>
        <v>muran@andrews.edu</v>
      </c>
      <c r="C240" s="7" t="str">
        <f>IFERROR(INDEX(_names_lookup!$B:$B,MATCH(A240,_names_lookup!$A:$A,0)),"")</f>
        <v>000118655</v>
      </c>
    </row>
    <row r="241" spans="1:3" ht="16" customHeight="1" x14ac:dyDescent="0.2">
      <c r="A241" s="7" t="s">
        <v>360</v>
      </c>
      <c r="B241" s="7" t="str">
        <f>IFERROR(INDEX(_names_lookup!$C:$C,MATCH(A241,_names_lookup!$A:$A,0)),"")</f>
        <v>nogueirl@andrews.edu</v>
      </c>
      <c r="C241" s="7" t="str">
        <f>IFERROR(INDEX(_names_lookup!$B:$B,MATCH(A241,_names_lookup!$A:$A,0)),"")</f>
        <v>000086036</v>
      </c>
    </row>
    <row r="242" spans="1:3" ht="16" customHeight="1" x14ac:dyDescent="0.2">
      <c r="A242" s="7" t="s">
        <v>361</v>
      </c>
      <c r="B242" s="7" t="str">
        <f>IFERROR(INDEX(_names_lookup!$C:$C,MATCH(A242,_names_lookup!$A:$A,0)),"")</f>
        <v>ricardo@andrews.edu</v>
      </c>
      <c r="C242" s="7" t="str">
        <f>IFERROR(INDEX(_names_lookup!$B:$B,MATCH(A242,_names_lookup!$A:$A,0)),"")</f>
        <v>000033967</v>
      </c>
    </row>
    <row r="243" spans="1:3" ht="16" customHeight="1" x14ac:dyDescent="0.2">
      <c r="A243" s="7" t="s">
        <v>362</v>
      </c>
      <c r="B243" s="7" t="str">
        <f>IFERROR(INDEX(_names_lookup!$C:$C,MATCH(A243,_names_lookup!$A:$A,0)),"")</f>
        <v>toreggio@andrews.edu</v>
      </c>
      <c r="C243" s="7" t="str">
        <f>IFERROR(INDEX(_names_lookup!$B:$B,MATCH(A243,_names_lookup!$A:$A,0)),"")</f>
        <v>000035762</v>
      </c>
    </row>
    <row r="244" spans="1:3" ht="16" customHeight="1" x14ac:dyDescent="0.2">
      <c r="A244" s="7" t="s">
        <v>363</v>
      </c>
      <c r="B244" s="7" t="str">
        <f>IFERROR(INDEX(_names_lookup!$C:$C,MATCH(A244,_names_lookup!$A:$A,0)),"")</f>
        <v>ortizl@andrews.edu</v>
      </c>
      <c r="C244" s="7" t="str">
        <f>IFERROR(INDEX(_names_lookup!$B:$B,MATCH(A244,_names_lookup!$A:$A,0)),"")</f>
        <v>000069315</v>
      </c>
    </row>
    <row r="245" spans="1:3" ht="16" customHeight="1" x14ac:dyDescent="0.2">
      <c r="A245" s="7" t="s">
        <v>364</v>
      </c>
      <c r="B245" s="7" t="str">
        <f>IFERROR(INDEX(_names_lookup!$C:$C,MATCH(A245,_names_lookup!$A:$A,0)),"")</f>
        <v>pagan@andrews.edu</v>
      </c>
      <c r="C245" s="7" t="str">
        <f>IFERROR(INDEX(_names_lookup!$B:$B,MATCH(A245,_names_lookup!$A:$A,0)),"")</f>
        <v>000067278</v>
      </c>
    </row>
    <row r="246" spans="1:3" ht="16" customHeight="1" x14ac:dyDescent="0.2">
      <c r="A246" s="7" t="s">
        <v>365</v>
      </c>
      <c r="B246" s="7" t="str">
        <f>IFERROR(INDEX(_names_lookup!$C:$C,MATCH(A246,_names_lookup!$A:$A,0)),"")</f>
        <v>rpaquini@andrews.edu</v>
      </c>
      <c r="C246" s="7" t="str">
        <f>IFERROR(INDEX(_names_lookup!$B:$B,MATCH(A246,_names_lookup!$A:$A,0)),"")</f>
        <v>000105171</v>
      </c>
    </row>
    <row r="247" spans="1:3" ht="16" customHeight="1" x14ac:dyDescent="0.2">
      <c r="A247" s="7" t="s">
        <v>366</v>
      </c>
      <c r="B247" s="7" t="str">
        <f>IFERROR(INDEX(_names_lookup!$C:$C,MATCH(A247,_names_lookup!$A:$A,0)),"")</f>
        <v>petrisch@andrews.edu</v>
      </c>
      <c r="C247" s="7" t="str">
        <f>IFERROR(INDEX(_names_lookup!$B:$B,MATCH(A247,_names_lookup!$A:$A,0)),"")</f>
        <v>000116224</v>
      </c>
    </row>
    <row r="248" spans="1:3" ht="16" customHeight="1" x14ac:dyDescent="0.2">
      <c r="A248" s="7" t="s">
        <v>367</v>
      </c>
      <c r="B248" s="7" t="str">
        <f>IFERROR(INDEX(_names_lookup!$C:$C,MATCH(A248,_names_lookup!$A:$A,0)),"")</f>
        <v>ponyatov@andrews.edu</v>
      </c>
      <c r="C248" s="7" t="str">
        <f>IFERROR(INDEX(_names_lookup!$B:$B,MATCH(A248,_names_lookup!$A:$A,0)),"")</f>
        <v>000116220</v>
      </c>
    </row>
    <row r="249" spans="1:3" ht="16" customHeight="1" x14ac:dyDescent="0.2">
      <c r="A249" s="7" t="s">
        <v>368</v>
      </c>
      <c r="B249" s="7" t="str">
        <f>IFERROR(INDEX(_names_lookup!$C:$C,MATCH(A249,_names_lookup!$A:$A,0)),"")</f>
        <v>gluder@andrews.edu</v>
      </c>
      <c r="C249" s="7" t="str">
        <f>IFERROR(INDEX(_names_lookup!$B:$B,MATCH(A249,_names_lookup!$A:$A,0)),"")</f>
        <v>000122528</v>
      </c>
    </row>
    <row r="250" spans="1:3" ht="16" customHeight="1" x14ac:dyDescent="0.2">
      <c r="A250" s="7" t="s">
        <v>369</v>
      </c>
      <c r="B250" s="7" t="str">
        <f>IFERROR(INDEX(_names_lookup!$C:$C,MATCH(A250,_names_lookup!$A:$A,0)),"")</f>
        <v>rayp@andrews.edu</v>
      </c>
      <c r="C250" s="7" t="str">
        <f>IFERROR(INDEX(_names_lookup!$B:$B,MATCH(A250,_names_lookup!$A:$A,0)),"")</f>
        <v>000029934</v>
      </c>
    </row>
    <row r="251" spans="1:3" ht="16" customHeight="1" x14ac:dyDescent="0.2">
      <c r="A251" s="7" t="s">
        <v>370</v>
      </c>
      <c r="B251" s="7" t="str">
        <f>IFERROR(INDEX(_names_lookup!$C:$C,MATCH(A251,_names_lookup!$A:$A,0)),"")</f>
        <v>jreeve@andrews.edu</v>
      </c>
      <c r="C251" s="7" t="str">
        <f>IFERROR(INDEX(_names_lookup!$B:$B,MATCH(A251,_names_lookup!$A:$A,0)),"")</f>
        <v>000049018</v>
      </c>
    </row>
    <row r="252" spans="1:3" ht="16" customHeight="1" x14ac:dyDescent="0.2">
      <c r="A252" s="7" t="s">
        <v>371</v>
      </c>
      <c r="B252" s="7" t="str">
        <f>IFERROR(INDEX(_names_lookup!$C:$C,MATCH(A252,_names_lookup!$A:$A,0)),"")</f>
        <v>richardsn@andrews.edu</v>
      </c>
      <c r="C252" s="7" t="str">
        <f>IFERROR(INDEX(_names_lookup!$B:$B,MATCH(A252,_names_lookup!$A:$A,0)),"")</f>
        <v>000230576</v>
      </c>
    </row>
    <row r="253" spans="1:3" ht="16" customHeight="1" x14ac:dyDescent="0.2">
      <c r="A253" s="7" t="s">
        <v>372</v>
      </c>
      <c r="B253" s="7" t="str">
        <f>IFERROR(INDEX(_names_lookup!$C:$C,MATCH(A253,_names_lookup!$A:$A,0)),"")</f>
        <v>sanou@andrews.edu</v>
      </c>
      <c r="C253" s="7" t="str">
        <f>IFERROR(INDEX(_names_lookup!$B:$B,MATCH(A253,_names_lookup!$A:$A,0)),"")</f>
        <v>000098144</v>
      </c>
    </row>
    <row r="254" spans="1:3" ht="16" customHeight="1" x14ac:dyDescent="0.2">
      <c r="A254" s="7" t="s">
        <v>373</v>
      </c>
      <c r="B254" s="7" t="str">
        <f>IFERROR(INDEX(_names_lookup!$C:$C,MATCH(A254,_names_lookup!$A:$A,0)),"")</f>
        <v>trs@andrews.edu</v>
      </c>
      <c r="C254" s="7" t="str">
        <f>IFERROR(INDEX(_names_lookup!$B:$B,MATCH(A254,_names_lookup!$A:$A,0)),"")</f>
        <v>000033676</v>
      </c>
    </row>
    <row r="255" spans="1:3" ht="16" customHeight="1" x14ac:dyDescent="0.2">
      <c r="A255" s="7" t="s">
        <v>374</v>
      </c>
      <c r="B255" s="7" t="str">
        <f>IFERROR(INDEX(_names_lookup!$C:$C,MATCH(A255,_names_lookup!$A:$A,0)),"")</f>
        <v>vale@andrews.edu</v>
      </c>
      <c r="C255" s="7" t="str">
        <f>IFERROR(INDEX(_names_lookup!$B:$B,MATCH(A255,_names_lookup!$A:$A,0)),"")</f>
        <v>000033969</v>
      </c>
    </row>
    <row r="256" spans="1:3" ht="16" customHeight="1" x14ac:dyDescent="0.2">
      <c r="A256" s="7" t="s">
        <v>375</v>
      </c>
      <c r="B256" s="7" t="str">
        <f>IFERROR(INDEX(_names_lookup!$C:$C,MATCH(A256,_names_lookup!$A:$A,0)),"")</f>
        <v>wdavid@andrews.edu</v>
      </c>
      <c r="C256" s="7" t="str">
        <f>IFERROR(INDEX(_names_lookup!$B:$B,MATCH(A256,_names_lookup!$A:$A,0)),"")</f>
        <v>000124996</v>
      </c>
    </row>
    <row r="257" spans="1:3" ht="16" customHeight="1" x14ac:dyDescent="0.2">
      <c r="A257" s="7" t="s">
        <v>376</v>
      </c>
      <c r="B257" s="7" t="str">
        <f>IFERROR(INDEX(_names_lookup!$C:$C,MATCH(A257,_names_lookup!$A:$A,0)),"")</f>
        <v>yeagley@andrews.edu</v>
      </c>
      <c r="C257" s="7" t="str">
        <f>IFERROR(INDEX(_names_lookup!$B:$B,MATCH(A257,_names_lookup!$A:$A,0)),"")</f>
        <v>000041250</v>
      </c>
    </row>
    <row r="258" spans="1:3" ht="16" customHeight="1" x14ac:dyDescent="0.2">
      <c r="A258" s="7" t="s">
        <v>377</v>
      </c>
      <c r="B258" s="7" t="str">
        <f>IFERROR(INDEX(_names_lookup!$C:$C,MATCH(A258,_names_lookup!$A:$A,0)),"")</f>
        <v>younker@andrews.edu</v>
      </c>
      <c r="C258" s="7" t="str">
        <f>IFERROR(INDEX(_names_lookup!$B:$B,MATCH(A258,_names_lookup!$A:$A,0)),"")</f>
        <v>000042559</v>
      </c>
    </row>
    <row r="259" spans="1:3" x14ac:dyDescent="0.2">
      <c r="B259" t="str">
        <f>IFERROR(INDEX(_names_lookup!$C:$C,MATCH(A259,_names_lookup!$A:$A,0)),"")</f>
        <v/>
      </c>
      <c r="C259" t="str">
        <f>IFERROR(INDEX(_names_lookup!$B:$B,MATCH(A259,_names_lookup!$A:$A,0)),"")</f>
        <v/>
      </c>
    </row>
    <row r="260" spans="1:3" x14ac:dyDescent="0.2">
      <c r="B260" t="str">
        <f>IFERROR(INDEX(_names_lookup!$C:$C,MATCH(A260,_names_lookup!$A:$A,0)),"")</f>
        <v/>
      </c>
      <c r="C260" t="str">
        <f>IFERROR(INDEX(_names_lookup!$B:$B,MATCH(A260,_names_lookup!$A:$A,0)),"")</f>
        <v/>
      </c>
    </row>
    <row r="261" spans="1:3" x14ac:dyDescent="0.2">
      <c r="B261" t="str">
        <f>IFERROR(INDEX(_names_lookup!$C:$C,MATCH(A261,_names_lookup!$A:$A,0)),"")</f>
        <v/>
      </c>
      <c r="C261" t="str">
        <f>IFERROR(INDEX(_names_lookup!$B:$B,MATCH(A261,_names_lookup!$A:$A,0)),"")</f>
        <v/>
      </c>
    </row>
    <row r="262" spans="1:3" x14ac:dyDescent="0.2">
      <c r="B262" t="str">
        <f>IFERROR(INDEX(_names_lookup!$C:$C,MATCH(A262,_names_lookup!$A:$A,0)),"")</f>
        <v/>
      </c>
      <c r="C262" t="str">
        <f>IFERROR(INDEX(_names_lookup!$B:$B,MATCH(A262,_names_lookup!$A:$A,0)),"")</f>
        <v/>
      </c>
    </row>
    <row r="263" spans="1:3" x14ac:dyDescent="0.2">
      <c r="B263" t="str">
        <f>IFERROR(INDEX(_names_lookup!$C:$C,MATCH(A263,_names_lookup!$A:$A,0)),"")</f>
        <v/>
      </c>
      <c r="C263" t="str">
        <f>IFERROR(INDEX(_names_lookup!$B:$B,MATCH(A263,_names_lookup!$A:$A,0)),"")</f>
        <v/>
      </c>
    </row>
    <row r="264" spans="1:3" x14ac:dyDescent="0.2">
      <c r="B264" t="str">
        <f>IFERROR(INDEX(_names_lookup!$C:$C,MATCH(A264,_names_lookup!$A:$A,0)),"")</f>
        <v/>
      </c>
      <c r="C264" t="str">
        <f>IFERROR(INDEX(_names_lookup!$B:$B,MATCH(A264,_names_lookup!$A:$A,0)),"")</f>
        <v/>
      </c>
    </row>
    <row r="265" spans="1:3" x14ac:dyDescent="0.2">
      <c r="B265" t="str">
        <f>IFERROR(INDEX(_names_lookup!$C:$C,MATCH(A265,_names_lookup!$A:$A,0)),"")</f>
        <v/>
      </c>
      <c r="C265" t="str">
        <f>IFERROR(INDEX(_names_lookup!$B:$B,MATCH(A265,_names_lookup!$A:$A,0)),"")</f>
        <v/>
      </c>
    </row>
    <row r="266" spans="1:3" x14ac:dyDescent="0.2">
      <c r="B266" t="str">
        <f>IFERROR(INDEX(_names_lookup!$C:$C,MATCH(A266,_names_lookup!$A:$A,0)),"")</f>
        <v/>
      </c>
      <c r="C266" t="str">
        <f>IFERROR(INDEX(_names_lookup!$B:$B,MATCH(A266,_names_lookup!$A:$A,0)),"")</f>
        <v/>
      </c>
    </row>
    <row r="267" spans="1:3" x14ac:dyDescent="0.2">
      <c r="B267" t="str">
        <f>IFERROR(INDEX(_names_lookup!$C:$C,MATCH(A267,_names_lookup!$A:$A,0)),"")</f>
        <v/>
      </c>
      <c r="C267" t="str">
        <f>IFERROR(INDEX(_names_lookup!$B:$B,MATCH(A267,_names_lookup!$A:$A,0)),"")</f>
        <v/>
      </c>
    </row>
    <row r="268" spans="1:3" x14ac:dyDescent="0.2">
      <c r="B268" t="str">
        <f>IFERROR(INDEX(_names_lookup!$C:$C,MATCH(A268,_names_lookup!$A:$A,0)),"")</f>
        <v/>
      </c>
      <c r="C268" t="str">
        <f>IFERROR(INDEX(_names_lookup!$B:$B,MATCH(A268,_names_lookup!$A:$A,0)),"")</f>
        <v/>
      </c>
    </row>
    <row r="269" spans="1:3" x14ac:dyDescent="0.2">
      <c r="B269" t="str">
        <f>IFERROR(INDEX(_names_lookup!$C:$C,MATCH(A269,_names_lookup!$A:$A,0)),"")</f>
        <v/>
      </c>
      <c r="C269" t="str">
        <f>IFERROR(INDEX(_names_lookup!$B:$B,MATCH(A269,_names_lookup!$A:$A,0)),"")</f>
        <v/>
      </c>
    </row>
    <row r="270" spans="1:3" x14ac:dyDescent="0.2">
      <c r="B270" t="str">
        <f>IFERROR(INDEX(_names_lookup!$C:$C,MATCH(A270,_names_lookup!$A:$A,0)),"")</f>
        <v/>
      </c>
      <c r="C270" t="str">
        <f>IFERROR(INDEX(_names_lookup!$B:$B,MATCH(A270,_names_lookup!$A:$A,0)),"")</f>
        <v/>
      </c>
    </row>
    <row r="271" spans="1:3" x14ac:dyDescent="0.2">
      <c r="B271" t="str">
        <f>IFERROR(INDEX(_names_lookup!$C:$C,MATCH(A271,_names_lookup!$A:$A,0)),"")</f>
        <v/>
      </c>
      <c r="C271" t="str">
        <f>IFERROR(INDEX(_names_lookup!$B:$B,MATCH(A271,_names_lookup!$A:$A,0)),"")</f>
        <v/>
      </c>
    </row>
    <row r="272" spans="1:3" x14ac:dyDescent="0.2">
      <c r="B272" t="str">
        <f>IFERROR(INDEX(_names_lookup!$C:$C,MATCH(A272,_names_lookup!$A:$A,0)),"")</f>
        <v/>
      </c>
      <c r="C272" t="str">
        <f>IFERROR(INDEX(_names_lookup!$B:$B,MATCH(A272,_names_lookup!$A:$A,0)),"")</f>
        <v/>
      </c>
    </row>
    <row r="273" spans="2:3" x14ac:dyDescent="0.2">
      <c r="B273" t="str">
        <f>IFERROR(INDEX(_names_lookup!$C:$C,MATCH(A273,_names_lookup!$A:$A,0)),"")</f>
        <v/>
      </c>
      <c r="C273" t="str">
        <f>IFERROR(INDEX(_names_lookup!$B:$B,MATCH(A273,_names_lookup!$A:$A,0)),"")</f>
        <v/>
      </c>
    </row>
    <row r="274" spans="2:3" x14ac:dyDescent="0.2">
      <c r="B274" t="str">
        <f>IFERROR(INDEX(_names_lookup!$C:$C,MATCH(A274,_names_lookup!$A:$A,0)),"")</f>
        <v/>
      </c>
      <c r="C274" t="str">
        <f>IFERROR(INDEX(_names_lookup!$B:$B,MATCH(A274,_names_lookup!$A:$A,0)),"")</f>
        <v/>
      </c>
    </row>
    <row r="275" spans="2:3" x14ac:dyDescent="0.2">
      <c r="B275" t="str">
        <f>IFERROR(INDEX(_names_lookup!$C:$C,MATCH(A275,_names_lookup!$A:$A,0)),"")</f>
        <v/>
      </c>
      <c r="C275" t="str">
        <f>IFERROR(INDEX(_names_lookup!$B:$B,MATCH(A275,_names_lookup!$A:$A,0)),"")</f>
        <v/>
      </c>
    </row>
    <row r="276" spans="2:3" x14ac:dyDescent="0.2">
      <c r="B276" t="str">
        <f>IFERROR(INDEX(_names_lookup!$C:$C,MATCH(A276,_names_lookup!$A:$A,0)),"")</f>
        <v/>
      </c>
      <c r="C276" t="str">
        <f>IFERROR(INDEX(_names_lookup!$B:$B,MATCH(A276,_names_lookup!$A:$A,0)),"")</f>
        <v/>
      </c>
    </row>
    <row r="277" spans="2:3" x14ac:dyDescent="0.2">
      <c r="B277" t="str">
        <f>IFERROR(INDEX(_names_lookup!$C:$C,MATCH(A277,_names_lookup!$A:$A,0)),"")</f>
        <v/>
      </c>
      <c r="C277" t="str">
        <f>IFERROR(INDEX(_names_lookup!$B:$B,MATCH(A277,_names_lookup!$A:$A,0)),"")</f>
        <v/>
      </c>
    </row>
    <row r="278" spans="2:3" x14ac:dyDescent="0.2">
      <c r="B278" t="str">
        <f>IFERROR(INDEX(_names_lookup!$C:$C,MATCH(A278,_names_lookup!$A:$A,0)),"")</f>
        <v/>
      </c>
      <c r="C278" t="str">
        <f>IFERROR(INDEX(_names_lookup!$B:$B,MATCH(A278,_names_lookup!$A:$A,0)),"")</f>
        <v/>
      </c>
    </row>
    <row r="279" spans="2:3" x14ac:dyDescent="0.2">
      <c r="B279" t="str">
        <f>IFERROR(INDEX(_names_lookup!$C:$C,MATCH(A279,_names_lookup!$A:$A,0)),"")</f>
        <v/>
      </c>
      <c r="C279" t="str">
        <f>IFERROR(INDEX(_names_lookup!$B:$B,MATCH(A279,_names_lookup!$A:$A,0)),"")</f>
        <v/>
      </c>
    </row>
    <row r="280" spans="2:3" x14ac:dyDescent="0.2">
      <c r="B280" t="str">
        <f>IFERROR(INDEX(_names_lookup!$C:$C,MATCH(A280,_names_lookup!$A:$A,0)),"")</f>
        <v/>
      </c>
      <c r="C280" t="str">
        <f>IFERROR(INDEX(_names_lookup!$B:$B,MATCH(A280,_names_lookup!$A:$A,0)),"")</f>
        <v/>
      </c>
    </row>
    <row r="281" spans="2:3" x14ac:dyDescent="0.2">
      <c r="B281" t="str">
        <f>IFERROR(INDEX(_names_lookup!$C:$C,MATCH(A281,_names_lookup!$A:$A,0)),"")</f>
        <v/>
      </c>
      <c r="C281" t="str">
        <f>IFERROR(INDEX(_names_lookup!$B:$B,MATCH(A281,_names_lookup!$A:$A,0)),"")</f>
        <v/>
      </c>
    </row>
    <row r="282" spans="2:3" x14ac:dyDescent="0.2">
      <c r="B282" t="str">
        <f>IFERROR(INDEX(_names_lookup!$C:$C,MATCH(A282,_names_lookup!$A:$A,0)),"")</f>
        <v/>
      </c>
      <c r="C282" t="str">
        <f>IFERROR(INDEX(_names_lookup!$B:$B,MATCH(A282,_names_lookup!$A:$A,0)),"")</f>
        <v/>
      </c>
    </row>
    <row r="283" spans="2:3" x14ac:dyDescent="0.2">
      <c r="B283" t="str">
        <f>IFERROR(INDEX(_names_lookup!$C:$C,MATCH(A283,_names_lookup!$A:$A,0)),"")</f>
        <v/>
      </c>
      <c r="C283" t="str">
        <f>IFERROR(INDEX(_names_lookup!$B:$B,MATCH(A283,_names_lookup!$A:$A,0)),"")</f>
        <v/>
      </c>
    </row>
    <row r="284" spans="2:3" x14ac:dyDescent="0.2">
      <c r="B284" t="str">
        <f>IFERROR(INDEX(_names_lookup!$C:$C,MATCH(A284,_names_lookup!$A:$A,0)),"")</f>
        <v/>
      </c>
      <c r="C284" t="str">
        <f>IFERROR(INDEX(_names_lookup!$B:$B,MATCH(A284,_names_lookup!$A:$A,0)),"")</f>
        <v/>
      </c>
    </row>
    <row r="285" spans="2:3" x14ac:dyDescent="0.2">
      <c r="B285" t="str">
        <f>IFERROR(INDEX(_names_lookup!$C:$C,MATCH(A285,_names_lookup!$A:$A,0)),"")</f>
        <v/>
      </c>
      <c r="C285" t="str">
        <f>IFERROR(INDEX(_names_lookup!$B:$B,MATCH(A285,_names_lookup!$A:$A,0)),"")</f>
        <v/>
      </c>
    </row>
    <row r="286" spans="2:3" x14ac:dyDescent="0.2">
      <c r="B286" t="str">
        <f>IFERROR(INDEX(_names_lookup!$C:$C,MATCH(A286,_names_lookup!$A:$A,0)),"")</f>
        <v/>
      </c>
      <c r="C286" t="str">
        <f>IFERROR(INDEX(_names_lookup!$B:$B,MATCH(A286,_names_lookup!$A:$A,0)),"")</f>
        <v/>
      </c>
    </row>
    <row r="287" spans="2:3" x14ac:dyDescent="0.2">
      <c r="B287" t="str">
        <f>IFERROR(INDEX(_names_lookup!$C:$C,MATCH(A287,_names_lookup!$A:$A,0)),"")</f>
        <v/>
      </c>
      <c r="C287" t="str">
        <f>IFERROR(INDEX(_names_lookup!$B:$B,MATCH(A287,_names_lookup!$A:$A,0)),"")</f>
        <v/>
      </c>
    </row>
    <row r="288" spans="2:3" x14ac:dyDescent="0.2">
      <c r="B288" t="str">
        <f>IFERROR(INDEX(_names_lookup!$C:$C,MATCH(A288,_names_lookup!$A:$A,0)),"")</f>
        <v/>
      </c>
      <c r="C288" t="str">
        <f>IFERROR(INDEX(_names_lookup!$B:$B,MATCH(A288,_names_lookup!$A:$A,0)),"")</f>
        <v/>
      </c>
    </row>
    <row r="289" spans="2:3" x14ac:dyDescent="0.2">
      <c r="B289" t="str">
        <f>IFERROR(INDEX(_names_lookup!$C:$C,MATCH(A289,_names_lookup!$A:$A,0)),"")</f>
        <v/>
      </c>
      <c r="C289" t="str">
        <f>IFERROR(INDEX(_names_lookup!$B:$B,MATCH(A289,_names_lookup!$A:$A,0)),"")</f>
        <v/>
      </c>
    </row>
    <row r="290" spans="2:3" x14ac:dyDescent="0.2">
      <c r="B290" t="str">
        <f>IFERROR(INDEX(_names_lookup!$C:$C,MATCH(A290,_names_lookup!$A:$A,0)),"")</f>
        <v/>
      </c>
      <c r="C290" t="str">
        <f>IFERROR(INDEX(_names_lookup!$B:$B,MATCH(A290,_names_lookup!$A:$A,0)),"")</f>
        <v/>
      </c>
    </row>
    <row r="291" spans="2:3" x14ac:dyDescent="0.2">
      <c r="B291" t="str">
        <f>IFERROR(INDEX(_names_lookup!$C:$C,MATCH(A291,_names_lookup!$A:$A,0)),"")</f>
        <v/>
      </c>
      <c r="C291" t="str">
        <f>IFERROR(INDEX(_names_lookup!$B:$B,MATCH(A291,_names_lookup!$A:$A,0)),"")</f>
        <v/>
      </c>
    </row>
    <row r="292" spans="2:3" x14ac:dyDescent="0.2">
      <c r="B292" t="str">
        <f>IFERROR(INDEX(_names_lookup!$C:$C,MATCH(A292,_names_lookup!$A:$A,0)),"")</f>
        <v/>
      </c>
      <c r="C292" t="str">
        <f>IFERROR(INDEX(_names_lookup!$B:$B,MATCH(A292,_names_lookup!$A:$A,0)),"")</f>
        <v/>
      </c>
    </row>
    <row r="293" spans="2:3" x14ac:dyDescent="0.2">
      <c r="B293" t="str">
        <f>IFERROR(INDEX(_names_lookup!$C:$C,MATCH(A293,_names_lookup!$A:$A,0)),"")</f>
        <v/>
      </c>
      <c r="C293" t="str">
        <f>IFERROR(INDEX(_names_lookup!$B:$B,MATCH(A293,_names_lookup!$A:$A,0)),"")</f>
        <v/>
      </c>
    </row>
    <row r="294" spans="2:3" x14ac:dyDescent="0.2">
      <c r="B294" t="str">
        <f>IFERROR(INDEX(_names_lookup!$C:$C,MATCH(A294,_names_lookup!$A:$A,0)),"")</f>
        <v/>
      </c>
      <c r="C294" t="str">
        <f>IFERROR(INDEX(_names_lookup!$B:$B,MATCH(A294,_names_lookup!$A:$A,0)),"")</f>
        <v/>
      </c>
    </row>
    <row r="295" spans="2:3" x14ac:dyDescent="0.2">
      <c r="B295" t="str">
        <f>IFERROR(INDEX(_names_lookup!$C:$C,MATCH(A295,_names_lookup!$A:$A,0)),"")</f>
        <v/>
      </c>
      <c r="C295" t="str">
        <f>IFERROR(INDEX(_names_lookup!$B:$B,MATCH(A295,_names_lookup!$A:$A,0)),"")</f>
        <v/>
      </c>
    </row>
    <row r="296" spans="2:3" x14ac:dyDescent="0.2">
      <c r="B296" t="str">
        <f>IFERROR(INDEX(_names_lookup!$C:$C,MATCH(A296,_names_lookup!$A:$A,0)),"")</f>
        <v/>
      </c>
      <c r="C296" t="str">
        <f>IFERROR(INDEX(_names_lookup!$B:$B,MATCH(A296,_names_lookup!$A:$A,0)),"")</f>
        <v/>
      </c>
    </row>
    <row r="297" spans="2:3" x14ac:dyDescent="0.2">
      <c r="B297" t="str">
        <f>IFERROR(INDEX(_names_lookup!$C:$C,MATCH(A297,_names_lookup!$A:$A,0)),"")</f>
        <v/>
      </c>
      <c r="C297" t="str">
        <f>IFERROR(INDEX(_names_lookup!$B:$B,MATCH(A297,_names_lookup!$A:$A,0)),"")</f>
        <v/>
      </c>
    </row>
    <row r="298" spans="2:3" x14ac:dyDescent="0.2">
      <c r="B298" t="str">
        <f>IFERROR(INDEX(_names_lookup!$C:$C,MATCH(A298,_names_lookup!$A:$A,0)),"")</f>
        <v/>
      </c>
      <c r="C298" t="str">
        <f>IFERROR(INDEX(_names_lookup!$B:$B,MATCH(A298,_names_lookup!$A:$A,0)),"")</f>
        <v/>
      </c>
    </row>
    <row r="299" spans="2:3" x14ac:dyDescent="0.2">
      <c r="B299" t="str">
        <f>IFERROR(INDEX(_names_lookup!$C:$C,MATCH(A299,_names_lookup!$A:$A,0)),"")</f>
        <v/>
      </c>
      <c r="C299" t="str">
        <f>IFERROR(INDEX(_names_lookup!$B:$B,MATCH(A299,_names_lookup!$A:$A,0)),"")</f>
        <v/>
      </c>
    </row>
    <row r="300" spans="2:3" x14ac:dyDescent="0.2">
      <c r="B300" t="str">
        <f>IFERROR(INDEX(_names_lookup!$C:$C,MATCH(A300,_names_lookup!$A:$A,0)),"")</f>
        <v/>
      </c>
      <c r="C300" t="str">
        <f>IFERROR(INDEX(_names_lookup!$B:$B,MATCH(A300,_names_lookup!$A:$A,0)),"")</f>
        <v/>
      </c>
    </row>
  </sheetData>
  <autoFilter ref="A1:C258" xr:uid="{00000000-0009-0000-0000-00000B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B00-000000000000}">
          <x14:formula1>
            <xm:f>DropDownMenu!$BB$2:$BB$258</xm:f>
          </x14:formula1>
          <xm:sqref>A2:A5000</xm:sqref>
        </x14:dataValidation>
        <x14:dataValidation type="list" allowBlank="1" xr:uid="{00000000-0002-0000-0B00-000001000000}">
          <x14:formula1>
            <xm:f>DropDownMenu!$BC$2:$BC$252</xm:f>
          </x14:formula1>
          <xm:sqref>B2:B5000</xm:sqref>
        </x14:dataValidation>
        <x14:dataValidation type="list" allowBlank="1" xr:uid="{00000000-0002-0000-0B00-000002000000}">
          <x14:formula1>
            <xm:f>DropDownMenu!$BD$2:$BD$258</xm:f>
          </x14:formula1>
          <xm:sqref>C2:C5000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V564"/>
  <sheetViews>
    <sheetView workbookViewId="0"/>
  </sheetViews>
  <sheetFormatPr baseColWidth="10" defaultColWidth="8.83203125" defaultRowHeight="15" x14ac:dyDescent="0.2"/>
  <sheetData>
    <row r="1" spans="1:10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27</v>
      </c>
      <c r="Z1" t="s">
        <v>28</v>
      </c>
      <c r="AA1" t="s">
        <v>29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57</v>
      </c>
      <c r="AX1" t="s">
        <v>58</v>
      </c>
      <c r="AY1" t="s">
        <v>59</v>
      </c>
      <c r="AZ1" t="s">
        <v>60</v>
      </c>
      <c r="BA1" t="s">
        <v>61</v>
      </c>
      <c r="BB1" t="s">
        <v>62</v>
      </c>
      <c r="BC1" t="s">
        <v>63</v>
      </c>
      <c r="BD1" t="s">
        <v>64</v>
      </c>
      <c r="BE1" t="s">
        <v>65</v>
      </c>
      <c r="BF1" t="s">
        <v>66</v>
      </c>
      <c r="BG1" t="s">
        <v>67</v>
      </c>
      <c r="BH1" t="s">
        <v>68</v>
      </c>
      <c r="BI1" t="s">
        <v>69</v>
      </c>
      <c r="BJ1" t="s">
        <v>71</v>
      </c>
      <c r="BK1" t="s">
        <v>72</v>
      </c>
      <c r="BL1" t="s">
        <v>73</v>
      </c>
      <c r="BM1" t="s">
        <v>74</v>
      </c>
      <c r="BN1" t="s">
        <v>75</v>
      </c>
      <c r="BO1" t="s">
        <v>76</v>
      </c>
      <c r="BP1" t="s">
        <v>77</v>
      </c>
      <c r="BQ1" t="s">
        <v>78</v>
      </c>
      <c r="BR1" t="s">
        <v>79</v>
      </c>
      <c r="BS1" t="s">
        <v>80</v>
      </c>
      <c r="BT1" t="s">
        <v>82</v>
      </c>
      <c r="BU1" t="s">
        <v>83</v>
      </c>
      <c r="BV1" t="s">
        <v>84</v>
      </c>
      <c r="BW1" t="s">
        <v>85</v>
      </c>
      <c r="BX1" t="s">
        <v>86</v>
      </c>
      <c r="BY1" t="s">
        <v>87</v>
      </c>
      <c r="BZ1" t="s">
        <v>88</v>
      </c>
      <c r="CA1" t="s">
        <v>89</v>
      </c>
      <c r="CB1" t="s">
        <v>91</v>
      </c>
      <c r="CC1" t="s">
        <v>94</v>
      </c>
      <c r="CD1" t="s">
        <v>95</v>
      </c>
      <c r="CE1" t="s">
        <v>96</v>
      </c>
      <c r="CF1" t="s">
        <v>97</v>
      </c>
      <c r="CG1" t="s">
        <v>98</v>
      </c>
      <c r="CH1" t="s">
        <v>99</v>
      </c>
      <c r="CI1" t="s">
        <v>100</v>
      </c>
      <c r="CJ1" t="s">
        <v>101</v>
      </c>
      <c r="CK1" t="s">
        <v>102</v>
      </c>
      <c r="CL1" t="s">
        <v>103</v>
      </c>
      <c r="CM1" t="s">
        <v>104</v>
      </c>
      <c r="CN1" t="s">
        <v>105</v>
      </c>
      <c r="CO1" t="s">
        <v>106</v>
      </c>
      <c r="CP1" t="s">
        <v>107</v>
      </c>
      <c r="CQ1" t="s">
        <v>108</v>
      </c>
      <c r="CR1" t="s">
        <v>114</v>
      </c>
      <c r="CS1" t="s">
        <v>115</v>
      </c>
      <c r="CT1" t="s">
        <v>117</v>
      </c>
      <c r="CU1" t="s">
        <v>118</v>
      </c>
      <c r="CV1" t="s">
        <v>120</v>
      </c>
    </row>
    <row r="2" spans="1:100" x14ac:dyDescent="0.2">
      <c r="A2" t="s">
        <v>378</v>
      </c>
      <c r="B2" t="s">
        <v>378</v>
      </c>
      <c r="C2" t="s">
        <v>378</v>
      </c>
      <c r="D2" t="s">
        <v>378</v>
      </c>
      <c r="E2" t="s">
        <v>378</v>
      </c>
      <c r="F2" t="s">
        <v>378</v>
      </c>
      <c r="G2" t="s">
        <v>379</v>
      </c>
      <c r="H2" t="s">
        <v>380</v>
      </c>
      <c r="I2" t="s">
        <v>381</v>
      </c>
      <c r="J2" t="s">
        <v>382</v>
      </c>
      <c r="K2" t="s">
        <v>383</v>
      </c>
      <c r="L2" t="s">
        <v>384</v>
      </c>
      <c r="M2" t="s">
        <v>385</v>
      </c>
      <c r="N2" t="str">
        <f>IFERROR(INDEX(_courses_lookup!$C:$C,MATCH(J2&amp;K2,_courses_lookup!$E:$E,0)),"")</f>
        <v/>
      </c>
      <c r="O2" t="str">
        <f>IFERROR(INDEX(_courses_lookup!$D:$D,MATCH(J2&amp;K2,_courses_lookup!$E:$E,0)),"")</f>
        <v/>
      </c>
      <c r="P2" t="s">
        <v>386</v>
      </c>
      <c r="Q2" t="s">
        <v>384</v>
      </c>
      <c r="R2" t="s">
        <v>384</v>
      </c>
      <c r="S2" t="s">
        <v>387</v>
      </c>
      <c r="T2" t="s">
        <v>388</v>
      </c>
      <c r="U2" t="s">
        <v>389</v>
      </c>
      <c r="V2" t="s">
        <v>390</v>
      </c>
      <c r="W2" t="s">
        <v>384</v>
      </c>
      <c r="X2" t="s">
        <v>384</v>
      </c>
      <c r="Y2" t="s">
        <v>384</v>
      </c>
      <c r="Z2" t="s">
        <v>391</v>
      </c>
      <c r="AA2" t="s">
        <v>392</v>
      </c>
      <c r="AB2" t="s">
        <v>390</v>
      </c>
      <c r="AC2" t="s">
        <v>390</v>
      </c>
      <c r="AD2">
        <f t="shared" ref="AD2:AD65" si="0">IFERROR(IF(AB2*AC2=0,"",AB2*AC2),"")</f>
        <v>1</v>
      </c>
      <c r="AE2" t="s">
        <v>393</v>
      </c>
      <c r="AF2" t="s">
        <v>394</v>
      </c>
      <c r="AG2">
        <f t="shared" ref="AG2:AG65" si="1">IF(AND(AE2&lt;&gt;"",AF2&lt;&gt;""),ROUNDUP((AF2-AE2)/7,0),"")</f>
        <v>9</v>
      </c>
      <c r="AH2" t="s">
        <v>395</v>
      </c>
      <c r="AI2">
        <f t="shared" ref="AI2:AI65" si="2">IFERROR(IF(AG2*AH2=0,"",AG2*AH2),"")</f>
        <v>360</v>
      </c>
      <c r="AJ2" t="s">
        <v>390</v>
      </c>
      <c r="AK2">
        <f t="shared" ref="AK2:AK65" si="3">IFERROR(IF((AN2-(AD2+AI2))/AJ2=0,"",ROUNDUP((AN2-(AD2+AI2))/AJ2,0)),"")</f>
        <v>-252</v>
      </c>
      <c r="AL2">
        <f t="shared" ref="AL2:AL65" si="4">IFERROR(IF((AN2-(AD2+AI2))=0,"",(AN2-(AD2+AI2))),"")</f>
        <v>-252</v>
      </c>
      <c r="AM2">
        <f t="shared" ref="AM2:AM65" si="5">IF(AND(AB2="",AJ2=""),AG2,IF(SUM(AB2,AG2,AJ2)=0,"",SUM(AB2,AG2,AJ2)))</f>
        <v>9</v>
      </c>
      <c r="AN2" t="s">
        <v>396</v>
      </c>
      <c r="AO2" t="s">
        <v>394</v>
      </c>
      <c r="AP2" t="s">
        <v>397</v>
      </c>
      <c r="AQ2" t="s">
        <v>398</v>
      </c>
      <c r="AR2" t="s">
        <v>399</v>
      </c>
      <c r="AS2" t="s">
        <v>400</v>
      </c>
      <c r="AT2" t="s">
        <v>401</v>
      </c>
      <c r="AU2" t="s">
        <v>402</v>
      </c>
      <c r="AV2" t="s">
        <v>403</v>
      </c>
      <c r="AW2" t="s">
        <v>404</v>
      </c>
      <c r="AX2">
        <f t="shared" ref="AX2:AX65" si="6">IF(AA2="","",YEAR(AA2)+IF(MONTH(AA2)&gt;=5,1,0))</f>
        <v>2026</v>
      </c>
      <c r="AY2" t="str">
        <f t="shared" ref="AY2:AY65" si="7">IF(AA2="","",IF(AND(MONTH(AA2)=8,DAY(AA2)&gt;=15),"Fall",IF(MONTH(AA2)&gt;8,"Fall",IF(MONTH(AA2)=5,"Summer",IF(MONTH(AA2)=1,"Spring","")))))</f>
        <v>Summer</v>
      </c>
      <c r="AZ2" t="s">
        <v>405</v>
      </c>
      <c r="BA2" t="s">
        <v>406</v>
      </c>
      <c r="BB2" t="s">
        <v>121</v>
      </c>
      <c r="BC2" t="str">
        <f>IFERROR(INDEX(_names_lookup!$C:$C,MATCH(BB2,_names_lookup!$A:$A,0)),"")</f>
        <v>abar@andrews.edu</v>
      </c>
      <c r="BD2" t="str">
        <f>IFERROR(INDEX(_names_lookup!$B:$B,MATCH(BB2,_names_lookup!$A:$A,0)),"")</f>
        <v>000114991</v>
      </c>
      <c r="BE2" t="s">
        <v>407</v>
      </c>
      <c r="BF2" t="s">
        <v>408</v>
      </c>
      <c r="BG2" t="s">
        <v>409</v>
      </c>
      <c r="BH2" t="s">
        <v>410</v>
      </c>
      <c r="BI2" t="s">
        <v>411</v>
      </c>
      <c r="BJ2" t="s">
        <v>407</v>
      </c>
      <c r="BK2" t="s">
        <v>412</v>
      </c>
      <c r="BL2" t="s">
        <v>413</v>
      </c>
      <c r="BM2" t="s">
        <v>414</v>
      </c>
      <c r="BN2" t="s">
        <v>415</v>
      </c>
      <c r="BO2" t="s">
        <v>416</v>
      </c>
      <c r="BP2" t="s">
        <v>417</v>
      </c>
      <c r="BQ2" t="s">
        <v>418</v>
      </c>
      <c r="BR2" t="s">
        <v>419</v>
      </c>
      <c r="BS2" t="s">
        <v>389</v>
      </c>
      <c r="BT2" t="s">
        <v>420</v>
      </c>
      <c r="BU2" t="s">
        <v>421</v>
      </c>
      <c r="BV2" t="s">
        <v>422</v>
      </c>
      <c r="BW2" t="s">
        <v>384</v>
      </c>
      <c r="BX2" t="s">
        <v>422</v>
      </c>
      <c r="BY2" t="s">
        <v>423</v>
      </c>
      <c r="BZ2" t="s">
        <v>424</v>
      </c>
      <c r="CA2" t="s">
        <v>425</v>
      </c>
      <c r="CB2" t="s">
        <v>426</v>
      </c>
      <c r="CC2" t="s">
        <v>427</v>
      </c>
      <c r="CD2" t="s">
        <v>384</v>
      </c>
      <c r="CE2" t="s">
        <v>384</v>
      </c>
      <c r="CF2" t="s">
        <v>428</v>
      </c>
      <c r="CG2" t="s">
        <v>429</v>
      </c>
      <c r="CH2" t="s">
        <v>430</v>
      </c>
      <c r="CI2" t="s">
        <v>394</v>
      </c>
      <c r="CJ2" t="s">
        <v>430</v>
      </c>
      <c r="CK2" t="s">
        <v>394</v>
      </c>
      <c r="CL2" t="s">
        <v>390</v>
      </c>
      <c r="CM2" t="s">
        <v>431</v>
      </c>
      <c r="CN2" t="s">
        <v>432</v>
      </c>
      <c r="CO2" t="s">
        <v>428</v>
      </c>
      <c r="CP2" t="s">
        <v>433</v>
      </c>
      <c r="CQ2" t="s">
        <v>429</v>
      </c>
      <c r="CR2" t="s">
        <v>427</v>
      </c>
      <c r="CS2" t="s">
        <v>434</v>
      </c>
      <c r="CT2" t="s">
        <v>435</v>
      </c>
      <c r="CU2" t="s">
        <v>436</v>
      </c>
      <c r="CV2" t="s">
        <v>384</v>
      </c>
    </row>
    <row r="3" spans="1:100" x14ac:dyDescent="0.2">
      <c r="A3" t="s">
        <v>437</v>
      </c>
      <c r="B3" t="s">
        <v>437</v>
      </c>
      <c r="C3" t="s">
        <v>437</v>
      </c>
      <c r="D3" t="s">
        <v>437</v>
      </c>
      <c r="E3" t="s">
        <v>437</v>
      </c>
      <c r="F3" t="s">
        <v>437</v>
      </c>
      <c r="G3" t="s">
        <v>438</v>
      </c>
      <c r="H3" t="s">
        <v>439</v>
      </c>
      <c r="I3" t="s">
        <v>440</v>
      </c>
      <c r="J3" t="s">
        <v>413</v>
      </c>
      <c r="K3" t="s">
        <v>441</v>
      </c>
      <c r="L3" t="s">
        <v>442</v>
      </c>
      <c r="M3" t="s">
        <v>443</v>
      </c>
      <c r="N3" t="str">
        <f>IFERROR(INDEX(_courses_lookup!$C:$C,MATCH(J3&amp;K3,_courses_lookup!$E:$E,0)),"")</f>
        <v>Advent Hist,Life&amp;Writings EGW</v>
      </c>
      <c r="O3">
        <f>IFERROR(INDEX(_courses_lookup!$D:$D,MATCH(J3&amp;K3,_courses_lookup!$E:$E,0)),"")</f>
        <v>0</v>
      </c>
      <c r="P3" t="s">
        <v>444</v>
      </c>
      <c r="Q3" t="s">
        <v>445</v>
      </c>
      <c r="R3" t="s">
        <v>445</v>
      </c>
      <c r="S3" t="s">
        <v>446</v>
      </c>
      <c r="T3" t="s">
        <v>447</v>
      </c>
      <c r="U3" t="s">
        <v>448</v>
      </c>
      <c r="V3" t="s">
        <v>449</v>
      </c>
      <c r="W3" t="s">
        <v>450</v>
      </c>
      <c r="X3" t="s">
        <v>390</v>
      </c>
      <c r="Y3" t="s">
        <v>390</v>
      </c>
      <c r="Z3" t="s">
        <v>451</v>
      </c>
      <c r="AA3" t="s">
        <v>452</v>
      </c>
      <c r="AD3" t="str">
        <f t="shared" si="0"/>
        <v/>
      </c>
      <c r="AE3" t="s">
        <v>453</v>
      </c>
      <c r="AF3" t="s">
        <v>421</v>
      </c>
      <c r="AG3">
        <f t="shared" si="1"/>
        <v>-1</v>
      </c>
      <c r="AI3" t="str">
        <f t="shared" si="2"/>
        <v/>
      </c>
      <c r="AK3" t="str">
        <f t="shared" si="3"/>
        <v/>
      </c>
      <c r="AL3" t="str">
        <f t="shared" si="4"/>
        <v/>
      </c>
      <c r="AM3">
        <f t="shared" si="5"/>
        <v>-1</v>
      </c>
      <c r="AO3" t="s">
        <v>454</v>
      </c>
      <c r="AP3" t="s">
        <v>455</v>
      </c>
      <c r="AQ3" t="s">
        <v>456</v>
      </c>
      <c r="AW3" t="s">
        <v>457</v>
      </c>
      <c r="AX3">
        <f t="shared" si="6"/>
        <v>2026</v>
      </c>
      <c r="AY3" t="str">
        <f t="shared" si="7"/>
        <v/>
      </c>
      <c r="AZ3" t="s">
        <v>458</v>
      </c>
      <c r="BA3" t="s">
        <v>459</v>
      </c>
      <c r="BB3" t="s">
        <v>122</v>
      </c>
      <c r="BC3" t="str">
        <f>IFERROR(INDEX(_names_lookup!$C:$C,MATCH(BB3,_names_lookup!$A:$A,0)),"")</f>
        <v>radisa@andrews.edu</v>
      </c>
      <c r="BD3" t="str">
        <f>IFERROR(INDEX(_names_lookup!$B:$B,MATCH(BB3,_names_lookup!$A:$A,0)),"")</f>
        <v>000042516</v>
      </c>
      <c r="BE3" t="s">
        <v>460</v>
      </c>
      <c r="BF3" t="s">
        <v>461</v>
      </c>
      <c r="BG3" t="s">
        <v>462</v>
      </c>
      <c r="BH3" t="s">
        <v>463</v>
      </c>
      <c r="BI3" t="s">
        <v>464</v>
      </c>
      <c r="BJ3" t="s">
        <v>460</v>
      </c>
      <c r="BK3" t="s">
        <v>465</v>
      </c>
      <c r="BL3" t="s">
        <v>466</v>
      </c>
      <c r="BP3" t="s">
        <v>467</v>
      </c>
      <c r="BQ3" t="s">
        <v>468</v>
      </c>
      <c r="BR3" t="s">
        <v>469</v>
      </c>
      <c r="BS3" t="s">
        <v>448</v>
      </c>
      <c r="BU3" t="s">
        <v>393</v>
      </c>
      <c r="BV3" t="s">
        <v>436</v>
      </c>
      <c r="BW3" t="s">
        <v>390</v>
      </c>
      <c r="BX3" t="s">
        <v>470</v>
      </c>
      <c r="BY3" t="s">
        <v>471</v>
      </c>
      <c r="BZ3" t="s">
        <v>472</v>
      </c>
      <c r="CB3" t="s">
        <v>473</v>
      </c>
      <c r="CD3" t="s">
        <v>390</v>
      </c>
      <c r="CI3" t="s">
        <v>474</v>
      </c>
      <c r="CJ3" t="s">
        <v>475</v>
      </c>
      <c r="CK3" t="s">
        <v>475</v>
      </c>
      <c r="CL3" t="s">
        <v>476</v>
      </c>
      <c r="CU3" t="s">
        <v>477</v>
      </c>
      <c r="CV3" t="s">
        <v>445</v>
      </c>
    </row>
    <row r="4" spans="1:100" x14ac:dyDescent="0.2">
      <c r="G4" t="s">
        <v>478</v>
      </c>
      <c r="H4" t="s">
        <v>479</v>
      </c>
      <c r="I4" t="s">
        <v>480</v>
      </c>
      <c r="J4" t="s">
        <v>466</v>
      </c>
      <c r="K4" t="s">
        <v>481</v>
      </c>
      <c r="L4" t="s">
        <v>482</v>
      </c>
      <c r="M4" t="s">
        <v>483</v>
      </c>
      <c r="N4" t="str">
        <f>IFERROR(INDEX(_courses_lookup!$C:$C,MATCH(J4&amp;K4,_courses_lookup!$E:$E,0)),"")</f>
        <v/>
      </c>
      <c r="O4" t="str">
        <f>IFERROR(INDEX(_courses_lookup!$D:$D,MATCH(J4&amp;K4,_courses_lookup!$E:$E,0)),"")</f>
        <v/>
      </c>
      <c r="P4" t="s">
        <v>484</v>
      </c>
      <c r="Q4" t="s">
        <v>485</v>
      </c>
      <c r="R4" t="s">
        <v>486</v>
      </c>
      <c r="S4" t="s">
        <v>487</v>
      </c>
      <c r="T4" t="s">
        <v>488</v>
      </c>
      <c r="U4" t="s">
        <v>489</v>
      </c>
      <c r="V4" t="s">
        <v>457</v>
      </c>
      <c r="W4" t="s">
        <v>490</v>
      </c>
      <c r="X4" t="s">
        <v>449</v>
      </c>
      <c r="Y4" t="s">
        <v>491</v>
      </c>
      <c r="Z4" t="s">
        <v>492</v>
      </c>
      <c r="AA4" t="s">
        <v>493</v>
      </c>
      <c r="AD4" t="str">
        <f t="shared" si="0"/>
        <v/>
      </c>
      <c r="AE4" t="s">
        <v>494</v>
      </c>
      <c r="AF4" t="s">
        <v>393</v>
      </c>
      <c r="AG4">
        <f t="shared" si="1"/>
        <v>-1</v>
      </c>
      <c r="AI4" t="str">
        <f t="shared" si="2"/>
        <v/>
      </c>
      <c r="AK4" t="str">
        <f t="shared" si="3"/>
        <v/>
      </c>
      <c r="AL4" t="str">
        <f t="shared" si="4"/>
        <v/>
      </c>
      <c r="AM4">
        <f t="shared" si="5"/>
        <v>-1</v>
      </c>
      <c r="AO4" t="s">
        <v>495</v>
      </c>
      <c r="AP4" t="s">
        <v>496</v>
      </c>
      <c r="AQ4" t="s">
        <v>497</v>
      </c>
      <c r="AW4" t="s">
        <v>498</v>
      </c>
      <c r="AX4">
        <f t="shared" si="6"/>
        <v>2026</v>
      </c>
      <c r="AY4" t="str">
        <f t="shared" si="7"/>
        <v/>
      </c>
      <c r="AZ4" t="s">
        <v>499</v>
      </c>
      <c r="BA4" t="s">
        <v>500</v>
      </c>
      <c r="BB4" t="s">
        <v>123</v>
      </c>
      <c r="BC4" t="str">
        <f>IFERROR(INDEX(_names_lookup!$C:$C,MATCH(BB4,_names_lookup!$A:$A,0)),"")</f>
        <v>augsburg@andrews.edu</v>
      </c>
      <c r="BD4" t="str">
        <f>IFERROR(INDEX(_names_lookup!$B:$B,MATCH(BB4,_names_lookup!$A:$A,0)),"")</f>
        <v>000003539</v>
      </c>
      <c r="BF4" t="s">
        <v>501</v>
      </c>
      <c r="BG4" t="s">
        <v>502</v>
      </c>
      <c r="BH4" t="s">
        <v>503</v>
      </c>
      <c r="BK4" t="s">
        <v>504</v>
      </c>
      <c r="BL4" t="s">
        <v>505</v>
      </c>
      <c r="BP4" t="s">
        <v>506</v>
      </c>
      <c r="BQ4" t="s">
        <v>507</v>
      </c>
      <c r="BS4" t="s">
        <v>489</v>
      </c>
      <c r="BU4" t="s">
        <v>508</v>
      </c>
      <c r="BW4" t="s">
        <v>449</v>
      </c>
      <c r="BX4" t="s">
        <v>509</v>
      </c>
      <c r="BY4" t="s">
        <v>510</v>
      </c>
      <c r="CB4" t="s">
        <v>511</v>
      </c>
      <c r="CD4" t="s">
        <v>491</v>
      </c>
      <c r="CI4" t="s">
        <v>512</v>
      </c>
      <c r="CJ4" t="s">
        <v>513</v>
      </c>
      <c r="CK4" t="s">
        <v>513</v>
      </c>
      <c r="CL4" t="s">
        <v>514</v>
      </c>
      <c r="CU4" t="s">
        <v>515</v>
      </c>
    </row>
    <row r="5" spans="1:100" x14ac:dyDescent="0.2">
      <c r="G5" t="s">
        <v>516</v>
      </c>
      <c r="H5" t="s">
        <v>517</v>
      </c>
      <c r="I5" t="s">
        <v>518</v>
      </c>
      <c r="J5" t="s">
        <v>505</v>
      </c>
      <c r="K5" t="s">
        <v>519</v>
      </c>
      <c r="L5" t="s">
        <v>520</v>
      </c>
      <c r="M5" t="s">
        <v>521</v>
      </c>
      <c r="N5" t="str">
        <f>IFERROR(INDEX(_courses_lookup!$C:$C,MATCH(J5&amp;K5,_courses_lookup!$E:$E,0)),"")</f>
        <v/>
      </c>
      <c r="O5" t="str">
        <f>IFERROR(INDEX(_courses_lookup!$D:$D,MATCH(J5&amp;K5,_courses_lookup!$E:$E,0)),"")</f>
        <v/>
      </c>
      <c r="P5" t="s">
        <v>522</v>
      </c>
      <c r="Q5" t="s">
        <v>523</v>
      </c>
      <c r="R5" t="s">
        <v>485</v>
      </c>
      <c r="S5" t="s">
        <v>524</v>
      </c>
      <c r="T5" t="s">
        <v>525</v>
      </c>
      <c r="V5" t="s">
        <v>526</v>
      </c>
      <c r="W5" t="s">
        <v>527</v>
      </c>
      <c r="X5" t="s">
        <v>457</v>
      </c>
      <c r="Y5" t="s">
        <v>528</v>
      </c>
      <c r="Z5" t="s">
        <v>529</v>
      </c>
      <c r="AA5" t="s">
        <v>475</v>
      </c>
      <c r="AD5" t="str">
        <f t="shared" si="0"/>
        <v/>
      </c>
      <c r="AE5" t="s">
        <v>430</v>
      </c>
      <c r="AF5" t="s">
        <v>530</v>
      </c>
      <c r="AG5">
        <f t="shared" si="1"/>
        <v>39</v>
      </c>
      <c r="AI5" t="str">
        <f t="shared" si="2"/>
        <v/>
      </c>
      <c r="AK5" t="str">
        <f t="shared" si="3"/>
        <v/>
      </c>
      <c r="AL5" t="str">
        <f t="shared" si="4"/>
        <v/>
      </c>
      <c r="AM5">
        <f t="shared" si="5"/>
        <v>39</v>
      </c>
      <c r="AO5" t="s">
        <v>531</v>
      </c>
      <c r="AP5" t="s">
        <v>532</v>
      </c>
      <c r="AQ5" t="s">
        <v>533</v>
      </c>
      <c r="AW5" t="s">
        <v>534</v>
      </c>
      <c r="AX5">
        <f t="shared" si="6"/>
        <v>2026</v>
      </c>
      <c r="AY5" t="str">
        <f t="shared" si="7"/>
        <v>Summer</v>
      </c>
      <c r="AZ5" t="s">
        <v>535</v>
      </c>
      <c r="BA5" t="s">
        <v>536</v>
      </c>
      <c r="BB5" t="s">
        <v>124</v>
      </c>
      <c r="BC5" t="str">
        <f>IFERROR(INDEX(_names_lookup!$C:$C,MATCH(BB5,_names_lookup!$A:$A,0)),"")</f>
        <v>degaliza@andrews.edu</v>
      </c>
      <c r="BD5" t="str">
        <f>IFERROR(INDEX(_names_lookup!$B:$B,MATCH(BB5,_names_lookup!$A:$A,0)),"")</f>
        <v>000141959</v>
      </c>
      <c r="BG5" t="s">
        <v>537</v>
      </c>
      <c r="BK5" t="s">
        <v>538</v>
      </c>
      <c r="BL5" t="s">
        <v>539</v>
      </c>
      <c r="BP5" t="s">
        <v>540</v>
      </c>
      <c r="BQ5" t="s">
        <v>541</v>
      </c>
      <c r="BU5" t="s">
        <v>453</v>
      </c>
      <c r="BW5" t="s">
        <v>457</v>
      </c>
      <c r="BX5" t="s">
        <v>436</v>
      </c>
      <c r="BY5" t="s">
        <v>542</v>
      </c>
      <c r="CB5" t="s">
        <v>543</v>
      </c>
      <c r="CD5" t="s">
        <v>544</v>
      </c>
      <c r="CI5" t="s">
        <v>545</v>
      </c>
      <c r="CJ5" t="s">
        <v>546</v>
      </c>
      <c r="CK5" t="s">
        <v>546</v>
      </c>
      <c r="CL5" t="s">
        <v>547</v>
      </c>
      <c r="CU5" t="s">
        <v>401</v>
      </c>
    </row>
    <row r="6" spans="1:100" x14ac:dyDescent="0.2">
      <c r="G6" t="s">
        <v>548</v>
      </c>
      <c r="H6" t="s">
        <v>549</v>
      </c>
      <c r="I6" t="s">
        <v>464</v>
      </c>
      <c r="J6" t="s">
        <v>550</v>
      </c>
      <c r="K6" t="s">
        <v>551</v>
      </c>
      <c r="L6" t="s">
        <v>552</v>
      </c>
      <c r="M6" t="s">
        <v>553</v>
      </c>
      <c r="N6" t="str">
        <f>IFERROR(INDEX(_courses_lookup!$C:$C,MATCH(J6&amp;K6,_courses_lookup!$E:$E,0)),"")</f>
        <v/>
      </c>
      <c r="O6" t="str">
        <f>IFERROR(INDEX(_courses_lookup!$D:$D,MATCH(J6&amp;K6,_courses_lookup!$E:$E,0)),"")</f>
        <v/>
      </c>
      <c r="P6" t="s">
        <v>554</v>
      </c>
      <c r="Q6" t="s">
        <v>555</v>
      </c>
      <c r="R6" t="s">
        <v>556</v>
      </c>
      <c r="S6" t="s">
        <v>557</v>
      </c>
      <c r="T6" t="s">
        <v>529</v>
      </c>
      <c r="V6" t="s">
        <v>402</v>
      </c>
      <c r="W6" t="s">
        <v>390</v>
      </c>
      <c r="X6" t="s">
        <v>498</v>
      </c>
      <c r="Y6" t="s">
        <v>558</v>
      </c>
      <c r="Z6" t="s">
        <v>559</v>
      </c>
      <c r="AA6" t="s">
        <v>560</v>
      </c>
      <c r="AD6" t="str">
        <f t="shared" si="0"/>
        <v/>
      </c>
      <c r="AE6" t="s">
        <v>454</v>
      </c>
      <c r="AF6" t="s">
        <v>561</v>
      </c>
      <c r="AG6">
        <f t="shared" si="1"/>
        <v>22</v>
      </c>
      <c r="AI6" t="str">
        <f t="shared" si="2"/>
        <v/>
      </c>
      <c r="AK6" t="str">
        <f t="shared" si="3"/>
        <v/>
      </c>
      <c r="AL6" t="str">
        <f t="shared" si="4"/>
        <v/>
      </c>
      <c r="AM6">
        <f t="shared" si="5"/>
        <v>22</v>
      </c>
      <c r="AO6" t="s">
        <v>545</v>
      </c>
      <c r="AP6" t="s">
        <v>562</v>
      </c>
      <c r="AQ6" t="s">
        <v>532</v>
      </c>
      <c r="AX6">
        <f t="shared" si="6"/>
        <v>2026</v>
      </c>
      <c r="AY6" t="str">
        <f t="shared" si="7"/>
        <v/>
      </c>
      <c r="AZ6" t="s">
        <v>563</v>
      </c>
      <c r="BA6" t="s">
        <v>564</v>
      </c>
      <c r="BB6" t="s">
        <v>125</v>
      </c>
      <c r="BC6" t="str">
        <f>IFERROR(INDEX(_names_lookup!$C:$C,MATCH(BB6,_names_lookup!$A:$A,0)),"")</f>
        <v>barna@andrews.edu</v>
      </c>
      <c r="BD6" t="str">
        <f>IFERROR(INDEX(_names_lookup!$B:$B,MATCH(BB6,_names_lookup!$A:$A,0)),"")</f>
        <v>000107673</v>
      </c>
      <c r="BG6" t="s">
        <v>565</v>
      </c>
      <c r="BK6" t="s">
        <v>566</v>
      </c>
      <c r="BL6" t="s">
        <v>567</v>
      </c>
      <c r="BP6" t="s">
        <v>568</v>
      </c>
      <c r="BQ6" t="s">
        <v>569</v>
      </c>
      <c r="BU6" t="s">
        <v>494</v>
      </c>
      <c r="BW6" t="s">
        <v>498</v>
      </c>
      <c r="BX6" t="s">
        <v>400</v>
      </c>
      <c r="BY6" t="s">
        <v>570</v>
      </c>
      <c r="CB6" t="s">
        <v>571</v>
      </c>
      <c r="CD6" t="s">
        <v>404</v>
      </c>
      <c r="CI6" t="s">
        <v>572</v>
      </c>
      <c r="CJ6" t="s">
        <v>573</v>
      </c>
      <c r="CK6" t="s">
        <v>574</v>
      </c>
      <c r="CL6" t="s">
        <v>575</v>
      </c>
    </row>
    <row r="7" spans="1:100" x14ac:dyDescent="0.2">
      <c r="G7" t="s">
        <v>576</v>
      </c>
      <c r="H7" t="s">
        <v>577</v>
      </c>
      <c r="I7" t="s">
        <v>456</v>
      </c>
      <c r="J7" t="s">
        <v>539</v>
      </c>
      <c r="K7" t="s">
        <v>578</v>
      </c>
      <c r="L7" t="s">
        <v>579</v>
      </c>
      <c r="M7" t="s">
        <v>580</v>
      </c>
      <c r="N7" t="str">
        <f>IFERROR(INDEX(_courses_lookup!$C:$C,MATCH(J7&amp;K7,_courses_lookup!$E:$E,0)),"")</f>
        <v>Intro Exeg&amp;Theo 1:Gospels</v>
      </c>
      <c r="O7">
        <f>IFERROR(INDEX(_courses_lookup!$D:$D,MATCH(J7&amp;K7,_courses_lookup!$E:$E,0)),"")</f>
        <v>0</v>
      </c>
      <c r="P7" t="s">
        <v>581</v>
      </c>
      <c r="R7" t="s">
        <v>523</v>
      </c>
      <c r="S7" t="s">
        <v>582</v>
      </c>
      <c r="T7" t="s">
        <v>559</v>
      </c>
      <c r="W7" t="s">
        <v>583</v>
      </c>
      <c r="X7" t="s">
        <v>584</v>
      </c>
      <c r="Y7" t="s">
        <v>585</v>
      </c>
      <c r="AA7" t="s">
        <v>586</v>
      </c>
      <c r="AD7" t="str">
        <f t="shared" si="0"/>
        <v/>
      </c>
      <c r="AE7" t="s">
        <v>495</v>
      </c>
      <c r="AF7" t="s">
        <v>453</v>
      </c>
      <c r="AG7">
        <f t="shared" si="1"/>
        <v>-1</v>
      </c>
      <c r="AI7" t="str">
        <f t="shared" si="2"/>
        <v/>
      </c>
      <c r="AK7" t="str">
        <f t="shared" si="3"/>
        <v/>
      </c>
      <c r="AL7" t="str">
        <f t="shared" si="4"/>
        <v/>
      </c>
      <c r="AM7">
        <f t="shared" si="5"/>
        <v>-1</v>
      </c>
      <c r="AO7" t="s">
        <v>587</v>
      </c>
      <c r="AQ7" t="s">
        <v>588</v>
      </c>
      <c r="AX7">
        <f t="shared" si="6"/>
        <v>2026</v>
      </c>
      <c r="AY7" t="str">
        <f t="shared" si="7"/>
        <v/>
      </c>
      <c r="AZ7" t="s">
        <v>589</v>
      </c>
      <c r="BA7" t="s">
        <v>590</v>
      </c>
      <c r="BB7" t="s">
        <v>335</v>
      </c>
      <c r="BC7" t="str">
        <f>IFERROR(INDEX(_names_lookup!$C:$C,MATCH(BB7,_names_lookup!$A:$A,0)),"")</f>
        <v>burt@andrews.edu</v>
      </c>
      <c r="BD7" t="str">
        <f>IFERROR(INDEX(_names_lookup!$B:$B,MATCH(BB7,_names_lookup!$A:$A,0)),"")</f>
        <v>000049061</v>
      </c>
      <c r="BK7" t="s">
        <v>591</v>
      </c>
      <c r="BL7" t="s">
        <v>592</v>
      </c>
      <c r="BP7" t="s">
        <v>476</v>
      </c>
      <c r="BQ7" t="s">
        <v>593</v>
      </c>
      <c r="BU7" t="s">
        <v>454</v>
      </c>
      <c r="BW7" t="s">
        <v>584</v>
      </c>
      <c r="BX7" t="s">
        <v>433</v>
      </c>
      <c r="BY7" t="s">
        <v>594</v>
      </c>
      <c r="CB7" t="s">
        <v>595</v>
      </c>
      <c r="CD7" t="s">
        <v>596</v>
      </c>
      <c r="CI7" t="s">
        <v>597</v>
      </c>
      <c r="CJ7" t="s">
        <v>598</v>
      </c>
      <c r="CK7" t="s">
        <v>598</v>
      </c>
    </row>
    <row r="8" spans="1:100" x14ac:dyDescent="0.2">
      <c r="G8" t="s">
        <v>599</v>
      </c>
      <c r="H8" t="s">
        <v>600</v>
      </c>
      <c r="I8" t="s">
        <v>601</v>
      </c>
      <c r="J8" t="s">
        <v>567</v>
      </c>
      <c r="K8" t="s">
        <v>602</v>
      </c>
      <c r="L8" t="s">
        <v>603</v>
      </c>
      <c r="M8" t="s">
        <v>604</v>
      </c>
      <c r="N8" t="str">
        <f>IFERROR(INDEX(_courses_lookup!$C:$C,MATCH(J8&amp;K8,_courses_lookup!$E:$E,0)),"")</f>
        <v>Intro to Old Testmnt Theology</v>
      </c>
      <c r="O8">
        <f>IFERROR(INDEX(_courses_lookup!$D:$D,MATCH(J8&amp;K8,_courses_lookup!$E:$E,0)),"")</f>
        <v>0</v>
      </c>
      <c r="P8" t="s">
        <v>605</v>
      </c>
      <c r="S8" t="s">
        <v>606</v>
      </c>
      <c r="T8" t="s">
        <v>607</v>
      </c>
      <c r="W8" t="s">
        <v>608</v>
      </c>
      <c r="Y8" t="s">
        <v>609</v>
      </c>
      <c r="AD8" t="str">
        <f t="shared" si="0"/>
        <v/>
      </c>
      <c r="AE8" t="s">
        <v>392</v>
      </c>
      <c r="AF8" t="s">
        <v>610</v>
      </c>
      <c r="AG8">
        <f t="shared" si="1"/>
        <v>31</v>
      </c>
      <c r="AI8" t="str">
        <f t="shared" si="2"/>
        <v/>
      </c>
      <c r="AK8" t="str">
        <f t="shared" si="3"/>
        <v/>
      </c>
      <c r="AL8" t="str">
        <f t="shared" si="4"/>
        <v/>
      </c>
      <c r="AM8">
        <f t="shared" si="5"/>
        <v>31</v>
      </c>
      <c r="AO8" t="s">
        <v>611</v>
      </c>
      <c r="AQ8" t="s">
        <v>612</v>
      </c>
      <c r="AX8" t="str">
        <f t="shared" si="6"/>
        <v/>
      </c>
      <c r="AY8" t="str">
        <f t="shared" si="7"/>
        <v/>
      </c>
      <c r="AZ8" t="s">
        <v>613</v>
      </c>
      <c r="BA8" t="s">
        <v>614</v>
      </c>
      <c r="BB8" t="s">
        <v>126</v>
      </c>
      <c r="BC8" t="str">
        <f>IFERROR(INDEX(_names_lookup!$C:$C,MATCH(BB8,_names_lookup!$A:$A,0)),"")</f>
        <v>burtonk@andrews.edu</v>
      </c>
      <c r="BD8" t="str">
        <f>IFERROR(INDEX(_names_lookup!$B:$B,MATCH(BB8,_names_lookup!$A:$A,0)),"")</f>
        <v>000148286</v>
      </c>
      <c r="BK8" t="s">
        <v>615</v>
      </c>
      <c r="BL8" t="s">
        <v>616</v>
      </c>
      <c r="BP8" t="s">
        <v>617</v>
      </c>
      <c r="BQ8" t="s">
        <v>618</v>
      </c>
      <c r="BU8" t="s">
        <v>619</v>
      </c>
      <c r="BX8" t="s">
        <v>620</v>
      </c>
      <c r="BY8" t="s">
        <v>621</v>
      </c>
      <c r="CB8" t="s">
        <v>622</v>
      </c>
      <c r="CD8" t="s">
        <v>623</v>
      </c>
      <c r="CI8" t="s">
        <v>574</v>
      </c>
      <c r="CJ8" t="s">
        <v>624</v>
      </c>
      <c r="CK8" t="s">
        <v>624</v>
      </c>
    </row>
    <row r="9" spans="1:100" x14ac:dyDescent="0.2">
      <c r="G9" t="s">
        <v>625</v>
      </c>
      <c r="H9" t="s">
        <v>626</v>
      </c>
      <c r="I9" t="s">
        <v>627</v>
      </c>
      <c r="J9" t="s">
        <v>592</v>
      </c>
      <c r="K9" t="s">
        <v>628</v>
      </c>
      <c r="L9" t="s">
        <v>629</v>
      </c>
      <c r="M9" t="s">
        <v>529</v>
      </c>
      <c r="N9" t="str">
        <f>IFERROR(INDEX(_courses_lookup!$C:$C,MATCH(J9&amp;K9,_courses_lookup!$E:$E,0)),"")</f>
        <v>Worship:Word &amp; Music</v>
      </c>
      <c r="O9">
        <f>IFERROR(INDEX(_courses_lookup!$D:$D,MATCH(J9&amp;K9,_courses_lookup!$E:$E,0)),"")</f>
        <v>0</v>
      </c>
      <c r="P9" t="s">
        <v>630</v>
      </c>
      <c r="S9" t="s">
        <v>631</v>
      </c>
      <c r="T9" t="s">
        <v>632</v>
      </c>
      <c r="W9" t="s">
        <v>633</v>
      </c>
      <c r="Y9" t="s">
        <v>634</v>
      </c>
      <c r="AD9" t="str">
        <f t="shared" si="0"/>
        <v/>
      </c>
      <c r="AE9" t="s">
        <v>635</v>
      </c>
      <c r="AF9" t="s">
        <v>454</v>
      </c>
      <c r="AG9">
        <f t="shared" si="1"/>
        <v>-1</v>
      </c>
      <c r="AI9" t="str">
        <f t="shared" si="2"/>
        <v/>
      </c>
      <c r="AK9" t="str">
        <f t="shared" si="3"/>
        <v/>
      </c>
      <c r="AL9" t="str">
        <f t="shared" si="4"/>
        <v/>
      </c>
      <c r="AM9">
        <f t="shared" si="5"/>
        <v>-1</v>
      </c>
      <c r="AO9" t="s">
        <v>636</v>
      </c>
      <c r="AQ9" t="s">
        <v>637</v>
      </c>
      <c r="AX9" t="str">
        <f t="shared" si="6"/>
        <v/>
      </c>
      <c r="AY9" t="str">
        <f t="shared" si="7"/>
        <v/>
      </c>
      <c r="AZ9" t="s">
        <v>638</v>
      </c>
      <c r="BA9" t="s">
        <v>639</v>
      </c>
      <c r="BB9" t="s">
        <v>127</v>
      </c>
      <c r="BC9" t="str">
        <f>IFERROR(INDEX(_names_lookup!$C:$C,MATCH(BB9,_names_lookup!$A:$A,0)),"")</f>
        <v>christiechu@andrews.edu</v>
      </c>
      <c r="BD9" t="str">
        <f>IFERROR(INDEX(_names_lookup!$B:$B,MATCH(BB9,_names_lookup!$A:$A,0)),"")</f>
        <v>000232177</v>
      </c>
      <c r="BK9" t="s">
        <v>640</v>
      </c>
      <c r="BL9" t="s">
        <v>641</v>
      </c>
      <c r="BP9" t="s">
        <v>642</v>
      </c>
      <c r="BQ9" t="s">
        <v>643</v>
      </c>
      <c r="BU9" t="s">
        <v>644</v>
      </c>
      <c r="BX9" t="s">
        <v>402</v>
      </c>
      <c r="BY9" t="s">
        <v>645</v>
      </c>
      <c r="CB9" t="s">
        <v>646</v>
      </c>
      <c r="CD9" t="s">
        <v>528</v>
      </c>
    </row>
    <row r="10" spans="1:100" x14ac:dyDescent="0.2">
      <c r="G10" t="s">
        <v>647</v>
      </c>
      <c r="H10" t="s">
        <v>648</v>
      </c>
      <c r="I10" t="s">
        <v>649</v>
      </c>
      <c r="J10" t="s">
        <v>650</v>
      </c>
      <c r="K10" t="s">
        <v>651</v>
      </c>
      <c r="L10" t="s">
        <v>652</v>
      </c>
      <c r="M10" t="s">
        <v>653</v>
      </c>
      <c r="N10" t="str">
        <f>IFERROR(INDEX(_courses_lookup!$C:$C,MATCH(J10&amp;K10,_courses_lookup!$E:$E,0)),"")</f>
        <v/>
      </c>
      <c r="O10" t="str">
        <f>IFERROR(INDEX(_courses_lookup!$D:$D,MATCH(J10&amp;K10,_courses_lookup!$E:$E,0)),"")</f>
        <v/>
      </c>
      <c r="P10" t="s">
        <v>654</v>
      </c>
      <c r="S10" t="s">
        <v>655</v>
      </c>
      <c r="T10" t="s">
        <v>656</v>
      </c>
      <c r="W10" t="s">
        <v>657</v>
      </c>
      <c r="Y10" t="s">
        <v>658</v>
      </c>
      <c r="AD10" t="str">
        <f t="shared" si="0"/>
        <v/>
      </c>
      <c r="AE10" t="s">
        <v>659</v>
      </c>
      <c r="AF10" t="s">
        <v>495</v>
      </c>
      <c r="AG10">
        <f t="shared" si="1"/>
        <v>5</v>
      </c>
      <c r="AI10" t="str">
        <f t="shared" si="2"/>
        <v/>
      </c>
      <c r="AK10" t="str">
        <f t="shared" si="3"/>
        <v/>
      </c>
      <c r="AL10" t="str">
        <f t="shared" si="4"/>
        <v/>
      </c>
      <c r="AM10">
        <f t="shared" si="5"/>
        <v>5</v>
      </c>
      <c r="AQ10" t="s">
        <v>660</v>
      </c>
      <c r="AX10" t="str">
        <f t="shared" si="6"/>
        <v/>
      </c>
      <c r="AY10" t="str">
        <f t="shared" si="7"/>
        <v/>
      </c>
      <c r="AZ10" t="s">
        <v>661</v>
      </c>
      <c r="BA10" t="s">
        <v>662</v>
      </c>
      <c r="BB10" t="s">
        <v>128</v>
      </c>
      <c r="BC10" t="str">
        <f>IFERROR(INDEX(_names_lookup!$C:$C,MATCH(BB10,_names_lookup!$A:$A,0)),"")</f>
        <v>damsteeg@andrews.edu</v>
      </c>
      <c r="BD10" t="str">
        <f>IFERROR(INDEX(_names_lookup!$B:$B,MATCH(BB10,_names_lookup!$A:$A,0)),"")</f>
        <v>000009168</v>
      </c>
      <c r="BK10" t="s">
        <v>663</v>
      </c>
      <c r="BQ10" t="s">
        <v>664</v>
      </c>
      <c r="BU10" t="s">
        <v>665</v>
      </c>
      <c r="CB10" t="s">
        <v>666</v>
      </c>
      <c r="CD10" t="s">
        <v>667</v>
      </c>
    </row>
    <row r="11" spans="1:100" x14ac:dyDescent="0.2">
      <c r="G11" t="s">
        <v>668</v>
      </c>
      <c r="H11" t="s">
        <v>669</v>
      </c>
      <c r="I11" t="s">
        <v>670</v>
      </c>
      <c r="K11" t="s">
        <v>671</v>
      </c>
      <c r="L11" t="s">
        <v>672</v>
      </c>
      <c r="M11" t="s">
        <v>673</v>
      </c>
      <c r="N11" t="str">
        <f>IFERROR(INDEX(_courses_lookup!$C:$C,MATCH(J11&amp;K11,_courses_lookup!$E:$E,0)),"")</f>
        <v/>
      </c>
      <c r="O11" t="str">
        <f>IFERROR(INDEX(_courses_lookup!$D:$D,MATCH(J11&amp;K11,_courses_lookup!$E:$E,0)),"")</f>
        <v/>
      </c>
      <c r="P11" t="s">
        <v>674</v>
      </c>
      <c r="S11" t="s">
        <v>675</v>
      </c>
      <c r="T11" t="s">
        <v>676</v>
      </c>
      <c r="W11" t="s">
        <v>677</v>
      </c>
      <c r="Y11" t="s">
        <v>678</v>
      </c>
      <c r="AD11" t="str">
        <f t="shared" si="0"/>
        <v/>
      </c>
      <c r="AE11" t="s">
        <v>531</v>
      </c>
      <c r="AF11" t="s">
        <v>679</v>
      </c>
      <c r="AG11">
        <f t="shared" si="1"/>
        <v>-1</v>
      </c>
      <c r="AI11" t="str">
        <f t="shared" si="2"/>
        <v/>
      </c>
      <c r="AK11" t="str">
        <f t="shared" si="3"/>
        <v/>
      </c>
      <c r="AL11" t="str">
        <f t="shared" si="4"/>
        <v/>
      </c>
      <c r="AM11">
        <f t="shared" si="5"/>
        <v>-1</v>
      </c>
      <c r="AQ11" t="s">
        <v>680</v>
      </c>
      <c r="AX11" t="str">
        <f t="shared" si="6"/>
        <v/>
      </c>
      <c r="AY11" t="str">
        <f t="shared" si="7"/>
        <v/>
      </c>
      <c r="AZ11" t="s">
        <v>681</v>
      </c>
      <c r="BA11" t="s">
        <v>682</v>
      </c>
      <c r="BB11" t="s">
        <v>339</v>
      </c>
      <c r="BC11" t="str">
        <f>IFERROR(INDEX(_names_lookup!$C:$C,MATCH(BB11,_names_lookup!$A:$A,0)),"")</f>
        <v>davidson@andrews.edu</v>
      </c>
      <c r="BD11" t="str">
        <f>IFERROR(INDEX(_names_lookup!$B:$B,MATCH(BB11,_names_lookup!$A:$A,0)),"")</f>
        <v>000012107</v>
      </c>
      <c r="BK11" t="s">
        <v>529</v>
      </c>
      <c r="BQ11" t="s">
        <v>683</v>
      </c>
      <c r="BU11" t="s">
        <v>679</v>
      </c>
      <c r="CB11" t="s">
        <v>684</v>
      </c>
      <c r="CD11" t="s">
        <v>685</v>
      </c>
    </row>
    <row r="12" spans="1:100" x14ac:dyDescent="0.2">
      <c r="G12" t="s">
        <v>686</v>
      </c>
      <c r="H12" t="s">
        <v>687</v>
      </c>
      <c r="I12" t="s">
        <v>688</v>
      </c>
      <c r="K12" t="s">
        <v>689</v>
      </c>
      <c r="L12" t="s">
        <v>690</v>
      </c>
      <c r="M12" t="s">
        <v>691</v>
      </c>
      <c r="N12" t="str">
        <f>IFERROR(INDEX(_courses_lookup!$C:$C,MATCH(J12&amp;K12,_courses_lookup!$E:$E,0)),"")</f>
        <v/>
      </c>
      <c r="O12" t="str">
        <f>IFERROR(INDEX(_courses_lookup!$D:$D,MATCH(J12&amp;K12,_courses_lookup!$E:$E,0)),"")</f>
        <v/>
      </c>
      <c r="P12" t="s">
        <v>692</v>
      </c>
      <c r="S12" t="s">
        <v>555</v>
      </c>
      <c r="T12" t="s">
        <v>693</v>
      </c>
      <c r="W12" t="s">
        <v>694</v>
      </c>
      <c r="Y12" t="s">
        <v>395</v>
      </c>
      <c r="AD12" t="str">
        <f t="shared" si="0"/>
        <v/>
      </c>
      <c r="AE12" t="s">
        <v>452</v>
      </c>
      <c r="AF12" t="s">
        <v>659</v>
      </c>
      <c r="AG12">
        <f t="shared" si="1"/>
        <v>-5</v>
      </c>
      <c r="AI12" t="str">
        <f t="shared" si="2"/>
        <v/>
      </c>
      <c r="AK12" t="str">
        <f t="shared" si="3"/>
        <v/>
      </c>
      <c r="AL12" t="str">
        <f t="shared" si="4"/>
        <v/>
      </c>
      <c r="AM12">
        <f t="shared" si="5"/>
        <v>-5</v>
      </c>
      <c r="AX12" t="str">
        <f t="shared" si="6"/>
        <v/>
      </c>
      <c r="AY12" t="str">
        <f t="shared" si="7"/>
        <v/>
      </c>
      <c r="AZ12" t="s">
        <v>695</v>
      </c>
      <c r="BA12" t="s">
        <v>696</v>
      </c>
      <c r="BB12" t="s">
        <v>129</v>
      </c>
      <c r="BC12" t="str">
        <f>IFERROR(INDEX(_names_lookup!$C:$C,MATCH(BB12,_names_lookup!$A:$A,0)),"")</f>
        <v>figuerov@andrews.edu</v>
      </c>
      <c r="BD12" t="str">
        <f>IFERROR(INDEX(_names_lookup!$B:$B,MATCH(BB12,_names_lookup!$A:$A,0)),"")</f>
        <v>000055527</v>
      </c>
      <c r="BU12" t="s">
        <v>392</v>
      </c>
      <c r="CB12" t="s">
        <v>697</v>
      </c>
      <c r="CD12" t="s">
        <v>558</v>
      </c>
    </row>
    <row r="13" spans="1:100" x14ac:dyDescent="0.2">
      <c r="G13" t="s">
        <v>698</v>
      </c>
      <c r="H13" t="s">
        <v>699</v>
      </c>
      <c r="I13" t="s">
        <v>700</v>
      </c>
      <c r="K13" t="s">
        <v>701</v>
      </c>
      <c r="L13" t="s">
        <v>702</v>
      </c>
      <c r="M13" t="s">
        <v>703</v>
      </c>
      <c r="N13" t="str">
        <f>IFERROR(INDEX(_courses_lookup!$C:$C,MATCH(J13&amp;K13,_courses_lookup!$E:$E,0)),"")</f>
        <v/>
      </c>
      <c r="O13" t="str">
        <f>IFERROR(INDEX(_courses_lookup!$D:$D,MATCH(J13&amp;K13,_courses_lookup!$E:$E,0)),"")</f>
        <v/>
      </c>
      <c r="P13" t="s">
        <v>704</v>
      </c>
      <c r="T13" t="s">
        <v>705</v>
      </c>
      <c r="W13" t="s">
        <v>706</v>
      </c>
      <c r="Y13" t="s">
        <v>617</v>
      </c>
      <c r="AD13" t="str">
        <f t="shared" si="0"/>
        <v/>
      </c>
      <c r="AE13" t="s">
        <v>707</v>
      </c>
      <c r="AF13" t="s">
        <v>531</v>
      </c>
      <c r="AG13">
        <f t="shared" si="1"/>
        <v>-1</v>
      </c>
      <c r="AI13" t="str">
        <f t="shared" si="2"/>
        <v/>
      </c>
      <c r="AK13" t="str">
        <f t="shared" si="3"/>
        <v/>
      </c>
      <c r="AL13" t="str">
        <f t="shared" si="4"/>
        <v/>
      </c>
      <c r="AM13">
        <f t="shared" si="5"/>
        <v>-1</v>
      </c>
      <c r="AX13" t="str">
        <f t="shared" si="6"/>
        <v/>
      </c>
      <c r="AY13" t="str">
        <f t="shared" si="7"/>
        <v/>
      </c>
      <c r="AZ13" t="s">
        <v>708</v>
      </c>
      <c r="BA13" t="s">
        <v>709</v>
      </c>
      <c r="BB13" t="s">
        <v>340</v>
      </c>
      <c r="BC13" t="str">
        <f>IFERROR(INDEX(_names_lookup!$C:$C,MATCH(BB13,_names_lookup!$A:$A,0)),"")</f>
        <v>fortind@andrews.edu</v>
      </c>
      <c r="BD13" t="str">
        <f>IFERROR(INDEX(_names_lookup!$B:$B,MATCH(BB13,_names_lookup!$A:$A,0)),"")</f>
        <v>000043638</v>
      </c>
      <c r="BU13" t="s">
        <v>710</v>
      </c>
      <c r="CB13" t="s">
        <v>711</v>
      </c>
      <c r="CD13" t="s">
        <v>712</v>
      </c>
    </row>
    <row r="14" spans="1:100" x14ac:dyDescent="0.2">
      <c r="G14" t="s">
        <v>713</v>
      </c>
      <c r="H14" t="s">
        <v>714</v>
      </c>
      <c r="I14" t="s">
        <v>715</v>
      </c>
      <c r="K14" t="s">
        <v>716</v>
      </c>
      <c r="L14" t="s">
        <v>484</v>
      </c>
      <c r="M14" t="s">
        <v>717</v>
      </c>
      <c r="N14" t="str">
        <f>IFERROR(INDEX(_courses_lookup!$C:$C,MATCH(J14&amp;K14,_courses_lookup!$E:$E,0)),"")</f>
        <v/>
      </c>
      <c r="O14" t="str">
        <f>IFERROR(INDEX(_courses_lookup!$D:$D,MATCH(J14&amp;K14,_courses_lookup!$E:$E,0)),"")</f>
        <v/>
      </c>
      <c r="P14" t="s">
        <v>718</v>
      </c>
      <c r="W14" t="s">
        <v>719</v>
      </c>
      <c r="Y14" t="s">
        <v>584</v>
      </c>
      <c r="AD14" t="str">
        <f t="shared" si="0"/>
        <v/>
      </c>
      <c r="AE14" t="s">
        <v>720</v>
      </c>
      <c r="AF14" t="s">
        <v>707</v>
      </c>
      <c r="AG14">
        <f t="shared" si="1"/>
        <v>-1</v>
      </c>
      <c r="AI14" t="str">
        <f t="shared" si="2"/>
        <v/>
      </c>
      <c r="AK14" t="str">
        <f t="shared" si="3"/>
        <v/>
      </c>
      <c r="AL14" t="str">
        <f t="shared" si="4"/>
        <v/>
      </c>
      <c r="AM14">
        <f t="shared" si="5"/>
        <v>-1</v>
      </c>
      <c r="AX14" t="str">
        <f t="shared" si="6"/>
        <v/>
      </c>
      <c r="AY14" t="str">
        <f t="shared" si="7"/>
        <v/>
      </c>
      <c r="BA14" t="s">
        <v>721</v>
      </c>
      <c r="BB14" t="s">
        <v>130</v>
      </c>
      <c r="BC14" t="str">
        <f>IFERROR(INDEX(_names_lookup!$C:$C,MATCH(BB14,_names_lookup!$A:$A,0)),"")</f>
        <v>gameti@andrews.edu</v>
      </c>
      <c r="BD14" t="str">
        <f>IFERROR(INDEX(_names_lookup!$B:$B,MATCH(BB14,_names_lookup!$A:$A,0)),"")</f>
        <v>000239625</v>
      </c>
      <c r="BU14" t="s">
        <v>722</v>
      </c>
      <c r="CB14" t="s">
        <v>723</v>
      </c>
      <c r="CD14" t="s">
        <v>449</v>
      </c>
    </row>
    <row r="15" spans="1:100" x14ac:dyDescent="0.2">
      <c r="G15" t="s">
        <v>724</v>
      </c>
      <c r="H15" t="s">
        <v>725</v>
      </c>
      <c r="I15" t="s">
        <v>726</v>
      </c>
      <c r="K15" t="s">
        <v>727</v>
      </c>
      <c r="L15" t="s">
        <v>728</v>
      </c>
      <c r="M15" t="s">
        <v>729</v>
      </c>
      <c r="N15" t="str">
        <f>IFERROR(INDEX(_courses_lookup!$C:$C,MATCH(J15&amp;K15,_courses_lookup!$E:$E,0)),"")</f>
        <v/>
      </c>
      <c r="O15" t="str">
        <f>IFERROR(INDEX(_courses_lookup!$D:$D,MATCH(J15&amp;K15,_courses_lookup!$E:$E,0)),"")</f>
        <v/>
      </c>
      <c r="P15" t="s">
        <v>730</v>
      </c>
      <c r="W15" t="s">
        <v>731</v>
      </c>
      <c r="Y15" t="s">
        <v>732</v>
      </c>
      <c r="AD15" t="str">
        <f t="shared" si="0"/>
        <v/>
      </c>
      <c r="AE15" t="s">
        <v>493</v>
      </c>
      <c r="AF15" t="s">
        <v>733</v>
      </c>
      <c r="AG15">
        <f t="shared" si="1"/>
        <v>22</v>
      </c>
      <c r="AI15" t="str">
        <f t="shared" si="2"/>
        <v/>
      </c>
      <c r="AK15" t="str">
        <f t="shared" si="3"/>
        <v/>
      </c>
      <c r="AL15" t="str">
        <f t="shared" si="4"/>
        <v/>
      </c>
      <c r="AM15">
        <f t="shared" si="5"/>
        <v>22</v>
      </c>
      <c r="AX15" t="str">
        <f t="shared" si="6"/>
        <v/>
      </c>
      <c r="AY15" t="str">
        <f t="shared" si="7"/>
        <v/>
      </c>
      <c r="BA15" t="s">
        <v>734</v>
      </c>
      <c r="BB15" t="s">
        <v>342</v>
      </c>
      <c r="BC15" t="str">
        <f>IFERROR(INDEX(_names_lookup!$C:$C,MATCH(BB15,_names_lookup!$A:$A,0)),"")</f>
        <v>gane@andrews.edu</v>
      </c>
      <c r="BD15" t="str">
        <f>IFERROR(INDEX(_names_lookup!$B:$B,MATCH(BB15,_names_lookup!$A:$A,0)),"")</f>
        <v>000008963</v>
      </c>
      <c r="BU15" t="s">
        <v>735</v>
      </c>
      <c r="CB15" t="s">
        <v>736</v>
      </c>
      <c r="CD15" t="s">
        <v>585</v>
      </c>
    </row>
    <row r="16" spans="1:100" x14ac:dyDescent="0.2">
      <c r="G16" t="s">
        <v>737</v>
      </c>
      <c r="H16" t="s">
        <v>738</v>
      </c>
      <c r="I16" t="s">
        <v>739</v>
      </c>
      <c r="K16" t="s">
        <v>740</v>
      </c>
      <c r="L16" t="s">
        <v>741</v>
      </c>
      <c r="N16" t="str">
        <f>IFERROR(INDEX(_courses_lookup!$C:$C,MATCH(J16&amp;K16,_courses_lookup!$E:$E,0)),"")</f>
        <v/>
      </c>
      <c r="O16" t="str">
        <f>IFERROR(INDEX(_courses_lookup!$D:$D,MATCH(J16&amp;K16,_courses_lookup!$E:$E,0)),"")</f>
        <v/>
      </c>
      <c r="P16" t="s">
        <v>742</v>
      </c>
      <c r="W16" t="s">
        <v>743</v>
      </c>
      <c r="AD16" t="str">
        <f t="shared" si="0"/>
        <v/>
      </c>
      <c r="AE16" t="s">
        <v>744</v>
      </c>
      <c r="AF16" t="s">
        <v>720</v>
      </c>
      <c r="AG16">
        <f t="shared" si="1"/>
        <v>-9</v>
      </c>
      <c r="AI16" t="str">
        <f t="shared" si="2"/>
        <v/>
      </c>
      <c r="AK16" t="str">
        <f t="shared" si="3"/>
        <v/>
      </c>
      <c r="AL16" t="str">
        <f t="shared" si="4"/>
        <v/>
      </c>
      <c r="AM16">
        <f t="shared" si="5"/>
        <v>-9</v>
      </c>
      <c r="AX16" t="str">
        <f t="shared" si="6"/>
        <v/>
      </c>
      <c r="AY16" t="str">
        <f t="shared" si="7"/>
        <v/>
      </c>
      <c r="BA16" t="s">
        <v>745</v>
      </c>
      <c r="BB16" t="s">
        <v>131</v>
      </c>
      <c r="BC16" t="str">
        <f>IFERROR(INDEX(_names_lookup!$C:$C,MATCH(BB16,_names_lookup!$A:$A,0)),"")</f>
        <v>heber@andrews.edu</v>
      </c>
      <c r="BD16" t="str">
        <f>IFERROR(INDEX(_names_lookup!$B:$B,MATCH(BB16,_names_lookup!$A:$A,0)),"")</f>
        <v>000147941</v>
      </c>
      <c r="BU16" t="s">
        <v>531</v>
      </c>
      <c r="CB16" t="s">
        <v>746</v>
      </c>
      <c r="CD16" t="s">
        <v>747</v>
      </c>
    </row>
    <row r="17" spans="7:82" x14ac:dyDescent="0.2">
      <c r="G17" t="s">
        <v>748</v>
      </c>
      <c r="H17" t="s">
        <v>749</v>
      </c>
      <c r="I17" t="s">
        <v>750</v>
      </c>
      <c r="K17" t="s">
        <v>751</v>
      </c>
      <c r="L17" t="s">
        <v>752</v>
      </c>
      <c r="N17" t="str">
        <f>IFERROR(INDEX(_courses_lookup!$C:$C,MATCH(J17&amp;K17,_courses_lookup!$E:$E,0)),"")</f>
        <v/>
      </c>
      <c r="O17" t="str">
        <f>IFERROR(INDEX(_courses_lookup!$D:$D,MATCH(J17&amp;K17,_courses_lookup!$E:$E,0)),"")</f>
        <v/>
      </c>
      <c r="P17" t="s">
        <v>753</v>
      </c>
      <c r="W17" t="s">
        <v>449</v>
      </c>
      <c r="AD17" t="str">
        <f t="shared" si="0"/>
        <v/>
      </c>
      <c r="AE17" t="s">
        <v>754</v>
      </c>
      <c r="AF17" t="s">
        <v>755</v>
      </c>
      <c r="AG17">
        <f t="shared" si="1"/>
        <v>9</v>
      </c>
      <c r="AI17" t="str">
        <f t="shared" si="2"/>
        <v/>
      </c>
      <c r="AK17" t="str">
        <f t="shared" si="3"/>
        <v/>
      </c>
      <c r="AL17" t="str">
        <f t="shared" si="4"/>
        <v/>
      </c>
      <c r="AM17">
        <f t="shared" si="5"/>
        <v>9</v>
      </c>
      <c r="AX17" t="str">
        <f t="shared" si="6"/>
        <v/>
      </c>
      <c r="AY17" t="str">
        <f t="shared" si="7"/>
        <v/>
      </c>
      <c r="BA17" t="s">
        <v>756</v>
      </c>
      <c r="BB17" t="s">
        <v>347</v>
      </c>
      <c r="BC17" t="str">
        <f>IFERROR(INDEX(_names_lookup!$C:$C,MATCH(BB17,_names_lookup!$A:$A,0)),"")</f>
        <v>abnerh@andrews.edu</v>
      </c>
      <c r="BD17" t="str">
        <f>IFERROR(INDEX(_names_lookup!$B:$B,MATCH(BB17,_names_lookup!$A:$A,0)),"")</f>
        <v>000149024</v>
      </c>
      <c r="BU17" t="s">
        <v>757</v>
      </c>
      <c r="CB17" t="s">
        <v>758</v>
      </c>
      <c r="CD17" t="s">
        <v>759</v>
      </c>
    </row>
    <row r="18" spans="7:82" x14ac:dyDescent="0.2">
      <c r="G18" t="s">
        <v>760</v>
      </c>
      <c r="H18" t="s">
        <v>761</v>
      </c>
      <c r="I18" t="s">
        <v>762</v>
      </c>
      <c r="K18" t="s">
        <v>763</v>
      </c>
      <c r="L18" t="s">
        <v>764</v>
      </c>
      <c r="N18" t="str">
        <f>IFERROR(INDEX(_courses_lookup!$C:$C,MATCH(J18&amp;K18,_courses_lookup!$E:$E,0)),"")</f>
        <v/>
      </c>
      <c r="O18" t="str">
        <f>IFERROR(INDEX(_courses_lookup!$D:$D,MATCH(J18&amp;K18,_courses_lookup!$E:$E,0)),"")</f>
        <v/>
      </c>
      <c r="P18" t="s">
        <v>765</v>
      </c>
      <c r="W18" t="s">
        <v>766</v>
      </c>
      <c r="AD18" t="str">
        <f t="shared" si="0"/>
        <v/>
      </c>
      <c r="AE18" t="s">
        <v>475</v>
      </c>
      <c r="AF18" t="s">
        <v>493</v>
      </c>
      <c r="AG18">
        <f t="shared" si="1"/>
        <v>4</v>
      </c>
      <c r="AI18" t="str">
        <f t="shared" si="2"/>
        <v/>
      </c>
      <c r="AK18" t="str">
        <f t="shared" si="3"/>
        <v/>
      </c>
      <c r="AL18" t="str">
        <f t="shared" si="4"/>
        <v/>
      </c>
      <c r="AM18">
        <f t="shared" si="5"/>
        <v>4</v>
      </c>
      <c r="AX18" t="str">
        <f t="shared" si="6"/>
        <v/>
      </c>
      <c r="AY18" t="str">
        <f t="shared" si="7"/>
        <v/>
      </c>
      <c r="BA18" t="s">
        <v>767</v>
      </c>
      <c r="BB18" t="s">
        <v>349</v>
      </c>
      <c r="BC18" t="str">
        <f>IFERROR(INDEX(_names_lookup!$C:$C,MATCH(BB18,_names_lookup!$A:$A,0)),"")</f>
        <v>irizarry@andrews.edu</v>
      </c>
      <c r="BD18" t="str">
        <f>IFERROR(INDEX(_names_lookup!$B:$B,MATCH(BB18,_names_lookup!$A:$A,0)),"")</f>
        <v>000140394</v>
      </c>
      <c r="BU18" t="s">
        <v>768</v>
      </c>
      <c r="CB18" t="s">
        <v>769</v>
      </c>
      <c r="CD18" t="s">
        <v>770</v>
      </c>
    </row>
    <row r="19" spans="7:82" x14ac:dyDescent="0.2">
      <c r="G19" t="s">
        <v>771</v>
      </c>
      <c r="H19" t="s">
        <v>772</v>
      </c>
      <c r="I19" t="s">
        <v>773</v>
      </c>
      <c r="K19" t="s">
        <v>774</v>
      </c>
      <c r="L19" t="s">
        <v>775</v>
      </c>
      <c r="N19" t="str">
        <f>IFERROR(INDEX(_courses_lookup!$C:$C,MATCH(J19&amp;K19,_courses_lookup!$E:$E,0)),"")</f>
        <v/>
      </c>
      <c r="O19" t="str">
        <f>IFERROR(INDEX(_courses_lookup!$D:$D,MATCH(J19&amp;K19,_courses_lookup!$E:$E,0)),"")</f>
        <v/>
      </c>
      <c r="P19" t="s">
        <v>776</v>
      </c>
      <c r="W19" t="s">
        <v>777</v>
      </c>
      <c r="AD19" t="str">
        <f t="shared" si="0"/>
        <v/>
      </c>
      <c r="AE19" t="s">
        <v>778</v>
      </c>
      <c r="AF19" t="s">
        <v>779</v>
      </c>
      <c r="AG19">
        <f t="shared" si="1"/>
        <v>13</v>
      </c>
      <c r="AI19" t="str">
        <f t="shared" si="2"/>
        <v/>
      </c>
      <c r="AK19" t="str">
        <f t="shared" si="3"/>
        <v/>
      </c>
      <c r="AL19" t="str">
        <f t="shared" si="4"/>
        <v/>
      </c>
      <c r="AM19">
        <f t="shared" si="5"/>
        <v>13</v>
      </c>
      <c r="AX19" t="str">
        <f t="shared" si="6"/>
        <v/>
      </c>
      <c r="AY19" t="str">
        <f t="shared" si="7"/>
        <v/>
      </c>
      <c r="BA19" t="s">
        <v>780</v>
      </c>
      <c r="BB19" t="s">
        <v>132</v>
      </c>
      <c r="BC19" t="str">
        <f>IFERROR(INDEX(_names_lookup!$C:$C,MATCH(BB19,_names_lookup!$A:$A,0)),"")</f>
        <v>angelika@andrews.edu</v>
      </c>
      <c r="BD19" t="str">
        <f>IFERROR(INDEX(_names_lookup!$B:$B,MATCH(BB19,_names_lookup!$A:$A,0)),"")</f>
        <v>000143159</v>
      </c>
      <c r="BU19" t="s">
        <v>781</v>
      </c>
      <c r="CB19" t="s">
        <v>782</v>
      </c>
      <c r="CD19" t="s">
        <v>609</v>
      </c>
    </row>
    <row r="20" spans="7:82" x14ac:dyDescent="0.2">
      <c r="H20" t="s">
        <v>783</v>
      </c>
      <c r="I20" t="s">
        <v>784</v>
      </c>
      <c r="K20" t="s">
        <v>785</v>
      </c>
      <c r="L20" t="s">
        <v>786</v>
      </c>
      <c r="N20" t="str">
        <f>IFERROR(INDEX(_courses_lookup!$C:$C,MATCH(J20&amp;K20,_courses_lookup!$E:$E,0)),"")</f>
        <v/>
      </c>
      <c r="O20" t="str">
        <f>IFERROR(INDEX(_courses_lookup!$D:$D,MATCH(J20&amp;K20,_courses_lookup!$E:$E,0)),"")</f>
        <v/>
      </c>
      <c r="P20" t="s">
        <v>787</v>
      </c>
      <c r="W20" t="s">
        <v>788</v>
      </c>
      <c r="AD20" t="str">
        <f t="shared" si="0"/>
        <v/>
      </c>
      <c r="AE20" t="s">
        <v>789</v>
      </c>
      <c r="AF20" t="s">
        <v>790</v>
      </c>
      <c r="AG20">
        <f t="shared" si="1"/>
        <v>9</v>
      </c>
      <c r="AI20" t="str">
        <f t="shared" si="2"/>
        <v/>
      </c>
      <c r="AK20" t="str">
        <f t="shared" si="3"/>
        <v/>
      </c>
      <c r="AL20" t="str">
        <f t="shared" si="4"/>
        <v/>
      </c>
      <c r="AM20">
        <f t="shared" si="5"/>
        <v>9</v>
      </c>
      <c r="AX20" t="str">
        <f t="shared" si="6"/>
        <v/>
      </c>
      <c r="AY20" t="str">
        <f t="shared" si="7"/>
        <v/>
      </c>
      <c r="BA20" t="s">
        <v>791</v>
      </c>
      <c r="BB20" t="s">
        <v>133</v>
      </c>
      <c r="BC20" t="str">
        <f>IFERROR(INDEX(_names_lookup!$C:$C,MATCH(BB20,_names_lookup!$A:$A,0)),"")</f>
        <v>denis@andrews.edu</v>
      </c>
      <c r="BD20" t="str">
        <f>IFERROR(INDEX(_names_lookup!$B:$B,MATCH(BB20,_names_lookup!$A:$A,0)),"")</f>
        <v>000134382</v>
      </c>
      <c r="BU20" t="s">
        <v>792</v>
      </c>
      <c r="CB20" t="s">
        <v>793</v>
      </c>
      <c r="CD20" t="s">
        <v>794</v>
      </c>
    </row>
    <row r="21" spans="7:82" x14ac:dyDescent="0.2">
      <c r="H21" t="s">
        <v>795</v>
      </c>
      <c r="I21" t="s">
        <v>796</v>
      </c>
      <c r="K21" t="s">
        <v>797</v>
      </c>
      <c r="L21" t="s">
        <v>798</v>
      </c>
      <c r="N21" t="str">
        <f>IFERROR(INDEX(_courses_lookup!$C:$C,MATCH(J21&amp;K21,_courses_lookup!$E:$E,0)),"")</f>
        <v/>
      </c>
      <c r="O21" t="str">
        <f>IFERROR(INDEX(_courses_lookup!$D:$D,MATCH(J21&amp;K21,_courses_lookup!$E:$E,0)),"")</f>
        <v/>
      </c>
      <c r="P21" t="s">
        <v>799</v>
      </c>
      <c r="W21" t="s">
        <v>800</v>
      </c>
      <c r="AD21" t="str">
        <f t="shared" si="0"/>
        <v/>
      </c>
      <c r="AE21" t="s">
        <v>560</v>
      </c>
      <c r="AF21" t="s">
        <v>778</v>
      </c>
      <c r="AG21">
        <f t="shared" si="1"/>
        <v>-1</v>
      </c>
      <c r="AI21" t="str">
        <f t="shared" si="2"/>
        <v/>
      </c>
      <c r="AK21" t="str">
        <f t="shared" si="3"/>
        <v/>
      </c>
      <c r="AL21" t="str">
        <f t="shared" si="4"/>
        <v/>
      </c>
      <c r="AM21">
        <f t="shared" si="5"/>
        <v>-1</v>
      </c>
      <c r="AX21" t="str">
        <f t="shared" si="6"/>
        <v/>
      </c>
      <c r="AY21" t="str">
        <f t="shared" si="7"/>
        <v/>
      </c>
      <c r="BA21" t="s">
        <v>801</v>
      </c>
      <c r="BB21" t="s">
        <v>352</v>
      </c>
      <c r="BC21" t="str">
        <f>IFERROR(INDEX(_names_lookup!$C:$C,MATCH(BB21,_names_lookup!$A:$A,0)),"")</f>
        <v>korchuk@andrews.edu</v>
      </c>
      <c r="BD21" t="str">
        <f>IFERROR(INDEX(_names_lookup!$B:$B,MATCH(BB21,_names_lookup!$A:$A,0)),"")</f>
        <v>000097153</v>
      </c>
      <c r="BU21" t="s">
        <v>720</v>
      </c>
      <c r="CB21" t="s">
        <v>802</v>
      </c>
      <c r="CD21" t="s">
        <v>803</v>
      </c>
    </row>
    <row r="22" spans="7:82" x14ac:dyDescent="0.2">
      <c r="H22" t="s">
        <v>804</v>
      </c>
      <c r="I22" t="s">
        <v>805</v>
      </c>
      <c r="K22" t="s">
        <v>806</v>
      </c>
      <c r="L22" t="s">
        <v>807</v>
      </c>
      <c r="N22" t="str">
        <f>IFERROR(INDEX(_courses_lookup!$C:$C,MATCH(J22&amp;K22,_courses_lookup!$E:$E,0)),"")</f>
        <v/>
      </c>
      <c r="O22" t="str">
        <f>IFERROR(INDEX(_courses_lookup!$D:$D,MATCH(J22&amp;K22,_courses_lookup!$E:$E,0)),"")</f>
        <v/>
      </c>
      <c r="P22" t="s">
        <v>808</v>
      </c>
      <c r="W22" t="s">
        <v>457</v>
      </c>
      <c r="AD22" t="str">
        <f t="shared" si="0"/>
        <v/>
      </c>
      <c r="AE22" t="s">
        <v>809</v>
      </c>
      <c r="AF22" t="s">
        <v>810</v>
      </c>
      <c r="AG22">
        <f t="shared" si="1"/>
        <v>-1</v>
      </c>
      <c r="AI22" t="str">
        <f t="shared" si="2"/>
        <v/>
      </c>
      <c r="AK22" t="str">
        <f t="shared" si="3"/>
        <v/>
      </c>
      <c r="AL22" t="str">
        <f t="shared" si="4"/>
        <v/>
      </c>
      <c r="AM22">
        <f t="shared" si="5"/>
        <v>-1</v>
      </c>
      <c r="AX22" t="str">
        <f t="shared" si="6"/>
        <v/>
      </c>
      <c r="AY22" t="str">
        <f t="shared" si="7"/>
        <v/>
      </c>
      <c r="BA22" t="s">
        <v>811</v>
      </c>
      <c r="BB22" t="s">
        <v>134</v>
      </c>
      <c r="BC22" t="str">
        <f>IFERROR(INDEX(_names_lookup!$C:$C,MATCH(BB22,_names_lookup!$A:$A,0)),"")</f>
        <v>louw@andrews.edu</v>
      </c>
      <c r="BD22" t="str">
        <f>IFERROR(INDEX(_names_lookup!$B:$B,MATCH(BB22,_names_lookup!$A:$A,0)),"")</f>
        <v>000160504</v>
      </c>
      <c r="BU22" t="s">
        <v>812</v>
      </c>
      <c r="CB22" t="s">
        <v>813</v>
      </c>
      <c r="CD22" t="s">
        <v>814</v>
      </c>
    </row>
    <row r="23" spans="7:82" x14ac:dyDescent="0.2">
      <c r="H23" t="s">
        <v>815</v>
      </c>
      <c r="I23" t="s">
        <v>816</v>
      </c>
      <c r="K23" t="s">
        <v>817</v>
      </c>
      <c r="L23" t="s">
        <v>818</v>
      </c>
      <c r="N23" t="str">
        <f>IFERROR(INDEX(_courses_lookup!$C:$C,MATCH(J23&amp;K23,_courses_lookup!$E:$E,0)),"")</f>
        <v/>
      </c>
      <c r="O23" t="str">
        <f>IFERROR(INDEX(_courses_lookup!$D:$D,MATCH(J23&amp;K23,_courses_lookup!$E:$E,0)),"")</f>
        <v/>
      </c>
      <c r="P23" t="s">
        <v>819</v>
      </c>
      <c r="W23" t="s">
        <v>820</v>
      </c>
      <c r="AD23" t="str">
        <f t="shared" si="0"/>
        <v/>
      </c>
      <c r="AE23" t="s">
        <v>821</v>
      </c>
      <c r="AF23" t="s">
        <v>822</v>
      </c>
      <c r="AG23">
        <f t="shared" si="1"/>
        <v>-1</v>
      </c>
      <c r="AI23" t="str">
        <f t="shared" si="2"/>
        <v/>
      </c>
      <c r="AK23" t="str">
        <f t="shared" si="3"/>
        <v/>
      </c>
      <c r="AL23" t="str">
        <f t="shared" si="4"/>
        <v/>
      </c>
      <c r="AM23">
        <f t="shared" si="5"/>
        <v>-1</v>
      </c>
      <c r="AX23" t="str">
        <f t="shared" si="6"/>
        <v/>
      </c>
      <c r="AY23" t="str">
        <f t="shared" si="7"/>
        <v/>
      </c>
      <c r="BA23" t="s">
        <v>823</v>
      </c>
      <c r="BB23" t="s">
        <v>356</v>
      </c>
      <c r="BC23" t="str">
        <f>IFERROR(INDEX(_names_lookup!$C:$C,MATCH(BB23,_names_lookup!$A:$A,0)),"")</f>
        <v>nicholas@andrews.edu</v>
      </c>
      <c r="BD23" t="str">
        <f>IFERROR(INDEX(_names_lookup!$B:$B,MATCH(BB23,_names_lookup!$A:$A,0)),"")</f>
        <v>000050696</v>
      </c>
      <c r="BU23" t="s">
        <v>824</v>
      </c>
      <c r="CB23" t="s">
        <v>825</v>
      </c>
      <c r="CD23" t="s">
        <v>457</v>
      </c>
    </row>
    <row r="24" spans="7:82" x14ac:dyDescent="0.2">
      <c r="H24" t="s">
        <v>826</v>
      </c>
      <c r="I24" t="s">
        <v>827</v>
      </c>
      <c r="K24" t="s">
        <v>828</v>
      </c>
      <c r="L24" t="s">
        <v>829</v>
      </c>
      <c r="N24" t="str">
        <f>IFERROR(INDEX(_courses_lookup!$C:$C,MATCH(J24&amp;K24,_courses_lookup!$E:$E,0)),"")</f>
        <v/>
      </c>
      <c r="O24" t="str">
        <f>IFERROR(INDEX(_courses_lookup!$D:$D,MATCH(J24&amp;K24,_courses_lookup!$E:$E,0)),"")</f>
        <v/>
      </c>
      <c r="P24" t="s">
        <v>830</v>
      </c>
      <c r="W24" t="s">
        <v>831</v>
      </c>
      <c r="AD24" t="str">
        <f t="shared" si="0"/>
        <v/>
      </c>
      <c r="AE24" t="s">
        <v>512</v>
      </c>
      <c r="AF24" t="s">
        <v>809</v>
      </c>
      <c r="AG24">
        <f t="shared" si="1"/>
        <v>-1</v>
      </c>
      <c r="AI24" t="str">
        <f t="shared" si="2"/>
        <v/>
      </c>
      <c r="AK24" t="str">
        <f t="shared" si="3"/>
        <v/>
      </c>
      <c r="AL24" t="str">
        <f t="shared" si="4"/>
        <v/>
      </c>
      <c r="AM24">
        <f t="shared" si="5"/>
        <v>-1</v>
      </c>
      <c r="AX24" t="str">
        <f t="shared" si="6"/>
        <v/>
      </c>
      <c r="AY24" t="str">
        <f t="shared" si="7"/>
        <v/>
      </c>
      <c r="BA24" t="s">
        <v>832</v>
      </c>
      <c r="BB24" t="s">
        <v>357</v>
      </c>
      <c r="BC24" t="str">
        <f>IFERROR(INDEX(_names_lookup!$C:$C,MATCH(BB24,_names_lookup!$A:$A,0)),"")</f>
        <v>jmoon@andrews.edu</v>
      </c>
      <c r="BD24" t="str">
        <f>IFERROR(INDEX(_names_lookup!$B:$B,MATCH(BB24,_names_lookup!$A:$A,0)),"")</f>
        <v>000018492</v>
      </c>
      <c r="BU24" t="s">
        <v>833</v>
      </c>
      <c r="CB24" t="s">
        <v>834</v>
      </c>
      <c r="CD24" t="s">
        <v>634</v>
      </c>
    </row>
    <row r="25" spans="7:82" x14ac:dyDescent="0.2">
      <c r="H25" t="s">
        <v>835</v>
      </c>
      <c r="I25" t="s">
        <v>836</v>
      </c>
      <c r="K25" t="s">
        <v>837</v>
      </c>
      <c r="L25" t="s">
        <v>838</v>
      </c>
      <c r="N25" t="str">
        <f>IFERROR(INDEX(_courses_lookup!$C:$C,MATCH(J25&amp;K25,_courses_lookup!$E:$E,0)),"")</f>
        <v/>
      </c>
      <c r="O25" t="str">
        <f>IFERROR(INDEX(_courses_lookup!$D:$D,MATCH(J25&amp;K25,_courses_lookup!$E:$E,0)),"")</f>
        <v/>
      </c>
      <c r="P25" t="s">
        <v>839</v>
      </c>
      <c r="W25" t="s">
        <v>840</v>
      </c>
      <c r="AD25" t="str">
        <f t="shared" si="0"/>
        <v/>
      </c>
      <c r="AE25" t="s">
        <v>513</v>
      </c>
      <c r="AF25" t="s">
        <v>841</v>
      </c>
      <c r="AG25">
        <f t="shared" si="1"/>
        <v>9</v>
      </c>
      <c r="AI25" t="str">
        <f t="shared" si="2"/>
        <v/>
      </c>
      <c r="AK25" t="str">
        <f t="shared" si="3"/>
        <v/>
      </c>
      <c r="AL25" t="str">
        <f t="shared" si="4"/>
        <v/>
      </c>
      <c r="AM25">
        <f t="shared" si="5"/>
        <v>9</v>
      </c>
      <c r="AX25" t="str">
        <f t="shared" si="6"/>
        <v/>
      </c>
      <c r="AY25" t="str">
        <f t="shared" si="7"/>
        <v/>
      </c>
      <c r="BA25" t="s">
        <v>842</v>
      </c>
      <c r="BB25" t="s">
        <v>362</v>
      </c>
      <c r="BC25" t="str">
        <f>IFERROR(INDEX(_names_lookup!$C:$C,MATCH(BB25,_names_lookup!$A:$A,0)),"")</f>
        <v>toreggio@andrews.edu</v>
      </c>
      <c r="BD25" t="str">
        <f>IFERROR(INDEX(_names_lookup!$B:$B,MATCH(BB25,_names_lookup!$A:$A,0)),"")</f>
        <v>000035762</v>
      </c>
      <c r="BU25" t="s">
        <v>493</v>
      </c>
      <c r="CB25" t="s">
        <v>843</v>
      </c>
      <c r="CD25" t="s">
        <v>844</v>
      </c>
    </row>
    <row r="26" spans="7:82" x14ac:dyDescent="0.2">
      <c r="H26" t="s">
        <v>845</v>
      </c>
      <c r="I26" t="s">
        <v>846</v>
      </c>
      <c r="K26" t="s">
        <v>847</v>
      </c>
      <c r="L26" t="s">
        <v>674</v>
      </c>
      <c r="N26" t="str">
        <f>IFERROR(INDEX(_courses_lookup!$C:$C,MATCH(J26&amp;K26,_courses_lookup!$E:$E,0)),"")</f>
        <v/>
      </c>
      <c r="O26" t="str">
        <f>IFERROR(INDEX(_courses_lookup!$D:$D,MATCH(J26&amp;K26,_courses_lookup!$E:$E,0)),"")</f>
        <v/>
      </c>
      <c r="P26" t="s">
        <v>848</v>
      </c>
      <c r="W26" t="s">
        <v>849</v>
      </c>
      <c r="AD26" t="str">
        <f t="shared" si="0"/>
        <v/>
      </c>
      <c r="AE26" t="s">
        <v>850</v>
      </c>
      <c r="AF26" t="s">
        <v>851</v>
      </c>
      <c r="AG26">
        <f t="shared" si="1"/>
        <v>-5</v>
      </c>
      <c r="AI26" t="str">
        <f t="shared" si="2"/>
        <v/>
      </c>
      <c r="AK26" t="str">
        <f t="shared" si="3"/>
        <v/>
      </c>
      <c r="AL26" t="str">
        <f t="shared" si="4"/>
        <v/>
      </c>
      <c r="AM26">
        <f t="shared" si="5"/>
        <v>-5</v>
      </c>
      <c r="AX26" t="str">
        <f t="shared" si="6"/>
        <v/>
      </c>
      <c r="AY26" t="str">
        <f t="shared" si="7"/>
        <v/>
      </c>
      <c r="BA26" t="s">
        <v>852</v>
      </c>
      <c r="BB26" t="s">
        <v>364</v>
      </c>
      <c r="BC26" t="str">
        <f>IFERROR(INDEX(_names_lookup!$C:$C,MATCH(BB26,_names_lookup!$A:$A,0)),"")</f>
        <v>pagan@andrews.edu</v>
      </c>
      <c r="BD26" t="str">
        <f>IFERROR(INDEX(_names_lookup!$B:$B,MATCH(BB26,_names_lookup!$A:$A,0)),"")</f>
        <v>000067278</v>
      </c>
      <c r="BU26" t="s">
        <v>853</v>
      </c>
      <c r="CB26" t="s">
        <v>854</v>
      </c>
      <c r="CD26" t="s">
        <v>498</v>
      </c>
    </row>
    <row r="27" spans="7:82" x14ac:dyDescent="0.2">
      <c r="H27" t="s">
        <v>855</v>
      </c>
      <c r="I27" t="s">
        <v>856</v>
      </c>
      <c r="K27" t="s">
        <v>857</v>
      </c>
      <c r="L27" t="s">
        <v>858</v>
      </c>
      <c r="N27" t="str">
        <f>IFERROR(INDEX(_courses_lookup!$C:$C,MATCH(J27&amp;K27,_courses_lookup!$E:$E,0)),"")</f>
        <v/>
      </c>
      <c r="O27" t="str">
        <f>IFERROR(INDEX(_courses_lookup!$D:$D,MATCH(J27&amp;K27,_courses_lookup!$E:$E,0)),"")</f>
        <v/>
      </c>
      <c r="P27" t="s">
        <v>859</v>
      </c>
      <c r="AD27" t="str">
        <f t="shared" si="0"/>
        <v/>
      </c>
      <c r="AE27" t="s">
        <v>586</v>
      </c>
      <c r="AF27" t="s">
        <v>586</v>
      </c>
      <c r="AG27">
        <f t="shared" si="1"/>
        <v>0</v>
      </c>
      <c r="AI27" t="str">
        <f t="shared" si="2"/>
        <v/>
      </c>
      <c r="AK27" t="str">
        <f t="shared" si="3"/>
        <v/>
      </c>
      <c r="AL27" t="str">
        <f t="shared" si="4"/>
        <v/>
      </c>
      <c r="AM27">
        <f t="shared" si="5"/>
        <v>0</v>
      </c>
      <c r="AX27" t="str">
        <f t="shared" si="6"/>
        <v/>
      </c>
      <c r="AY27" t="str">
        <f t="shared" si="7"/>
        <v/>
      </c>
      <c r="BA27" t="s">
        <v>860</v>
      </c>
      <c r="BB27" t="s">
        <v>135</v>
      </c>
      <c r="BC27" t="str">
        <f>IFERROR(INDEX(_names_lookup!$C:$C,MATCH(BB27,_names_lookup!$A:$A,0)),"")</f>
        <v>jungkyu@andrews.edu</v>
      </c>
      <c r="BD27" t="str">
        <f>IFERROR(INDEX(_names_lookup!$B:$B,MATCH(BB27,_names_lookup!$A:$A,0)),"")</f>
        <v>000122429</v>
      </c>
      <c r="BU27" t="s">
        <v>754</v>
      </c>
      <c r="CB27" t="s">
        <v>861</v>
      </c>
      <c r="CD27" t="s">
        <v>862</v>
      </c>
    </row>
    <row r="28" spans="7:82" x14ac:dyDescent="0.2">
      <c r="H28" t="s">
        <v>863</v>
      </c>
      <c r="I28" t="s">
        <v>533</v>
      </c>
      <c r="K28" t="s">
        <v>864</v>
      </c>
      <c r="L28" t="s">
        <v>865</v>
      </c>
      <c r="N28" t="str">
        <f>IFERROR(INDEX(_courses_lookup!$C:$C,MATCH(J28&amp;K28,_courses_lookup!$E:$E,0)),"")</f>
        <v/>
      </c>
      <c r="O28" t="str">
        <f>IFERROR(INDEX(_courses_lookup!$D:$D,MATCH(J28&amp;K28,_courses_lookup!$E:$E,0)),"")</f>
        <v/>
      </c>
      <c r="P28" t="s">
        <v>866</v>
      </c>
      <c r="AD28" t="str">
        <f t="shared" si="0"/>
        <v/>
      </c>
      <c r="AE28" t="s">
        <v>867</v>
      </c>
      <c r="AF28" t="s">
        <v>868</v>
      </c>
      <c r="AG28">
        <f t="shared" si="1"/>
        <v>-9</v>
      </c>
      <c r="AI28" t="str">
        <f t="shared" si="2"/>
        <v/>
      </c>
      <c r="AK28" t="str">
        <f t="shared" si="3"/>
        <v/>
      </c>
      <c r="AL28" t="str">
        <f t="shared" si="4"/>
        <v/>
      </c>
      <c r="AM28">
        <f t="shared" si="5"/>
        <v>-9</v>
      </c>
      <c r="AX28" t="str">
        <f t="shared" si="6"/>
        <v/>
      </c>
      <c r="AY28" t="str">
        <f t="shared" si="7"/>
        <v/>
      </c>
      <c r="BA28" t="s">
        <v>869</v>
      </c>
      <c r="BB28" t="s">
        <v>368</v>
      </c>
      <c r="BC28" t="str">
        <f>IFERROR(INDEX(_names_lookup!$C:$C,MATCH(BB28,_names_lookup!$A:$A,0)),"")</f>
        <v>gluder@andrews.edu</v>
      </c>
      <c r="BD28" t="str">
        <f>IFERROR(INDEX(_names_lookup!$B:$B,MATCH(BB28,_names_lookup!$A:$A,0)),"")</f>
        <v>000122528</v>
      </c>
      <c r="BU28" t="s">
        <v>474</v>
      </c>
      <c r="CB28" t="s">
        <v>870</v>
      </c>
      <c r="CD28" t="s">
        <v>584</v>
      </c>
    </row>
    <row r="29" spans="7:82" x14ac:dyDescent="0.2">
      <c r="H29" t="s">
        <v>871</v>
      </c>
      <c r="I29" t="s">
        <v>872</v>
      </c>
      <c r="K29" t="s">
        <v>873</v>
      </c>
      <c r="L29" t="s">
        <v>874</v>
      </c>
      <c r="N29" t="str">
        <f>IFERROR(INDEX(_courses_lookup!$C:$C,MATCH(J29&amp;K29,_courses_lookup!$E:$E,0)),"")</f>
        <v/>
      </c>
      <c r="O29" t="str">
        <f>IFERROR(INDEX(_courses_lookup!$D:$D,MATCH(J29&amp;K29,_courses_lookup!$E:$E,0)),"")</f>
        <v/>
      </c>
      <c r="P29" t="s">
        <v>875</v>
      </c>
      <c r="AD29" t="str">
        <f t="shared" si="0"/>
        <v/>
      </c>
      <c r="AE29" t="s">
        <v>876</v>
      </c>
      <c r="AF29" t="s">
        <v>545</v>
      </c>
      <c r="AG29">
        <f t="shared" si="1"/>
        <v>-5</v>
      </c>
      <c r="AI29" t="str">
        <f t="shared" si="2"/>
        <v/>
      </c>
      <c r="AK29" t="str">
        <f t="shared" si="3"/>
        <v/>
      </c>
      <c r="AL29" t="str">
        <f t="shared" si="4"/>
        <v/>
      </c>
      <c r="AM29">
        <f t="shared" si="5"/>
        <v>-5</v>
      </c>
      <c r="AX29" t="str">
        <f t="shared" si="6"/>
        <v/>
      </c>
      <c r="AY29" t="str">
        <f t="shared" si="7"/>
        <v/>
      </c>
      <c r="BA29" t="s">
        <v>877</v>
      </c>
      <c r="BB29" t="s">
        <v>370</v>
      </c>
      <c r="BC29" t="str">
        <f>IFERROR(INDEX(_names_lookup!$C:$C,MATCH(BB29,_names_lookup!$A:$A,0)),"")</f>
        <v>jreeve@andrews.edu</v>
      </c>
      <c r="BD29" t="str">
        <f>IFERROR(INDEX(_names_lookup!$B:$B,MATCH(BB29,_names_lookup!$A:$A,0)),"")</f>
        <v>000049018</v>
      </c>
      <c r="BU29" t="s">
        <v>878</v>
      </c>
      <c r="CB29" t="s">
        <v>529</v>
      </c>
      <c r="CD29" t="s">
        <v>879</v>
      </c>
    </row>
    <row r="30" spans="7:82" x14ac:dyDescent="0.2">
      <c r="H30" t="s">
        <v>880</v>
      </c>
      <c r="I30" t="s">
        <v>881</v>
      </c>
      <c r="K30" t="s">
        <v>882</v>
      </c>
      <c r="L30" t="s">
        <v>883</v>
      </c>
      <c r="N30" t="str">
        <f>IFERROR(INDEX(_courses_lookup!$C:$C,MATCH(J30&amp;K30,_courses_lookup!$E:$E,0)),"")</f>
        <v/>
      </c>
      <c r="O30" t="str">
        <f>IFERROR(INDEX(_courses_lookup!$D:$D,MATCH(J30&amp;K30,_courses_lookup!$E:$E,0)),"")</f>
        <v/>
      </c>
      <c r="P30" t="s">
        <v>884</v>
      </c>
      <c r="AD30" t="str">
        <f t="shared" si="0"/>
        <v/>
      </c>
      <c r="AE30" t="s">
        <v>545</v>
      </c>
      <c r="AF30" t="s">
        <v>885</v>
      </c>
      <c r="AG30">
        <f t="shared" si="1"/>
        <v>9</v>
      </c>
      <c r="AI30" t="str">
        <f t="shared" si="2"/>
        <v/>
      </c>
      <c r="AK30" t="str">
        <f t="shared" si="3"/>
        <v/>
      </c>
      <c r="AL30" t="str">
        <f t="shared" si="4"/>
        <v/>
      </c>
      <c r="AM30">
        <f t="shared" si="5"/>
        <v>9</v>
      </c>
      <c r="AX30" t="str">
        <f t="shared" si="6"/>
        <v/>
      </c>
      <c r="AY30" t="str">
        <f t="shared" si="7"/>
        <v/>
      </c>
      <c r="BA30" t="s">
        <v>886</v>
      </c>
      <c r="BB30" t="s">
        <v>136</v>
      </c>
      <c r="BC30" t="str">
        <f>IFERROR(INDEX(_names_lookup!$C:$C,MATCH(BB30,_names_lookup!$A:$A,0)),"")</f>
        <v>gersoncr@andrews.edu</v>
      </c>
      <c r="BD30" t="str">
        <f>IFERROR(INDEX(_names_lookup!$B:$B,MATCH(BB30,_names_lookup!$A:$A,0)),"")</f>
        <v>000093682</v>
      </c>
      <c r="BU30" t="s">
        <v>887</v>
      </c>
      <c r="CD30" t="s">
        <v>888</v>
      </c>
    </row>
    <row r="31" spans="7:82" x14ac:dyDescent="0.2">
      <c r="H31" t="s">
        <v>889</v>
      </c>
      <c r="I31" t="s">
        <v>890</v>
      </c>
      <c r="K31" t="s">
        <v>891</v>
      </c>
      <c r="L31" t="s">
        <v>892</v>
      </c>
      <c r="N31" t="str">
        <f>IFERROR(INDEX(_courses_lookup!$C:$C,MATCH(J31&amp;K31,_courses_lookup!$E:$E,0)),"")</f>
        <v/>
      </c>
      <c r="O31" t="str">
        <f>IFERROR(INDEX(_courses_lookup!$D:$D,MATCH(J31&amp;K31,_courses_lookup!$E:$E,0)),"")</f>
        <v/>
      </c>
      <c r="P31" t="s">
        <v>893</v>
      </c>
      <c r="AD31" t="str">
        <f t="shared" si="0"/>
        <v/>
      </c>
      <c r="AE31" t="s">
        <v>546</v>
      </c>
      <c r="AF31" t="s">
        <v>894</v>
      </c>
      <c r="AG31">
        <f t="shared" si="1"/>
        <v>5</v>
      </c>
      <c r="AI31" t="str">
        <f t="shared" si="2"/>
        <v/>
      </c>
      <c r="AK31" t="str">
        <f t="shared" si="3"/>
        <v/>
      </c>
      <c r="AL31" t="str">
        <f t="shared" si="4"/>
        <v/>
      </c>
      <c r="AM31">
        <f t="shared" si="5"/>
        <v>5</v>
      </c>
      <c r="AX31" t="str">
        <f t="shared" si="6"/>
        <v/>
      </c>
      <c r="AY31" t="str">
        <f t="shared" si="7"/>
        <v/>
      </c>
      <c r="BA31" t="s">
        <v>895</v>
      </c>
      <c r="BB31" t="s">
        <v>137</v>
      </c>
      <c r="BC31" t="str">
        <f>IFERROR(INDEX(_names_lookup!$C:$C,MATCH(BB31,_names_lookup!$A:$A,0)),"")</f>
        <v>arosario@andrews.edu</v>
      </c>
      <c r="BD31" t="str">
        <f>IFERROR(INDEX(_names_lookup!$B:$B,MATCH(BB31,_names_lookup!$A:$A,0)),"")</f>
        <v>000074158</v>
      </c>
      <c r="BU31" t="s">
        <v>475</v>
      </c>
      <c r="CD31" t="s">
        <v>445</v>
      </c>
    </row>
    <row r="32" spans="7:82" x14ac:dyDescent="0.2">
      <c r="H32" t="s">
        <v>896</v>
      </c>
      <c r="I32" t="s">
        <v>897</v>
      </c>
      <c r="K32" t="s">
        <v>898</v>
      </c>
      <c r="L32" t="s">
        <v>704</v>
      </c>
      <c r="N32" t="str">
        <f>IFERROR(INDEX(_courses_lookup!$C:$C,MATCH(J32&amp;K32,_courses_lookup!$E:$E,0)),"")</f>
        <v/>
      </c>
      <c r="O32" t="str">
        <f>IFERROR(INDEX(_courses_lookup!$D:$D,MATCH(J32&amp;K32,_courses_lookup!$E:$E,0)),"")</f>
        <v/>
      </c>
      <c r="P32" t="s">
        <v>899</v>
      </c>
      <c r="AD32" t="str">
        <f t="shared" si="0"/>
        <v/>
      </c>
      <c r="AE32" t="s">
        <v>900</v>
      </c>
      <c r="AF32" t="s">
        <v>900</v>
      </c>
      <c r="AG32">
        <f t="shared" si="1"/>
        <v>0</v>
      </c>
      <c r="AI32" t="str">
        <f t="shared" si="2"/>
        <v/>
      </c>
      <c r="AK32" t="str">
        <f t="shared" si="3"/>
        <v/>
      </c>
      <c r="AL32" t="str">
        <f t="shared" si="4"/>
        <v/>
      </c>
      <c r="AM32">
        <f t="shared" si="5"/>
        <v>0</v>
      </c>
      <c r="AX32" t="str">
        <f t="shared" si="6"/>
        <v/>
      </c>
      <c r="AY32" t="str">
        <f t="shared" si="7"/>
        <v/>
      </c>
      <c r="BA32" t="s">
        <v>901</v>
      </c>
      <c r="BB32" t="s">
        <v>138</v>
      </c>
      <c r="BC32" t="str">
        <f>IFERROR(INDEX(_names_lookup!$C:$C,MATCH(BB32,_names_lookup!$A:$A,0)),"")</f>
        <v>steger@andrews.edu</v>
      </c>
      <c r="BD32" t="str">
        <f>IFERROR(INDEX(_names_lookup!$B:$B,MATCH(BB32,_names_lookup!$A:$A,0)),"")</f>
        <v>000064286</v>
      </c>
      <c r="BU32" t="s">
        <v>810</v>
      </c>
      <c r="CD32" t="s">
        <v>534</v>
      </c>
    </row>
    <row r="33" spans="8:82" x14ac:dyDescent="0.2">
      <c r="H33" t="s">
        <v>902</v>
      </c>
      <c r="I33" t="s">
        <v>903</v>
      </c>
      <c r="K33" t="s">
        <v>904</v>
      </c>
      <c r="L33" t="s">
        <v>718</v>
      </c>
      <c r="N33" t="str">
        <f>IFERROR(INDEX(_courses_lookup!$C:$C,MATCH(J33&amp;K33,_courses_lookup!$E:$E,0)),"")</f>
        <v/>
      </c>
      <c r="O33" t="str">
        <f>IFERROR(INDEX(_courses_lookup!$D:$D,MATCH(J33&amp;K33,_courses_lookup!$E:$E,0)),"")</f>
        <v/>
      </c>
      <c r="P33" t="s">
        <v>905</v>
      </c>
      <c r="AD33" t="str">
        <f t="shared" si="0"/>
        <v/>
      </c>
      <c r="AE33" t="s">
        <v>906</v>
      </c>
      <c r="AF33" t="s">
        <v>906</v>
      </c>
      <c r="AG33">
        <f t="shared" si="1"/>
        <v>0</v>
      </c>
      <c r="AI33" t="str">
        <f t="shared" si="2"/>
        <v/>
      </c>
      <c r="AK33" t="str">
        <f t="shared" si="3"/>
        <v/>
      </c>
      <c r="AL33" t="str">
        <f t="shared" si="4"/>
        <v/>
      </c>
      <c r="AM33">
        <f t="shared" si="5"/>
        <v>0</v>
      </c>
      <c r="AX33" t="str">
        <f t="shared" si="6"/>
        <v/>
      </c>
      <c r="AY33" t="str">
        <f t="shared" si="7"/>
        <v/>
      </c>
      <c r="BA33" t="s">
        <v>907</v>
      </c>
      <c r="BB33" t="s">
        <v>139</v>
      </c>
      <c r="BC33" t="str">
        <f>IFERROR(INDEX(_names_lookup!$C:$C,MATCH(BB33,_names_lookup!$A:$A,0)),"")</f>
        <v>toscano@andrews.edu</v>
      </c>
      <c r="BD33" t="str">
        <f>IFERROR(INDEX(_names_lookup!$B:$B,MATCH(BB33,_names_lookup!$A:$A,0)),"")</f>
        <v>000138178</v>
      </c>
      <c r="BU33" t="s">
        <v>789</v>
      </c>
      <c r="CD33" t="s">
        <v>486</v>
      </c>
    </row>
    <row r="34" spans="8:82" x14ac:dyDescent="0.2">
      <c r="H34" t="s">
        <v>908</v>
      </c>
      <c r="I34" t="s">
        <v>909</v>
      </c>
      <c r="K34" t="s">
        <v>910</v>
      </c>
      <c r="L34" t="s">
        <v>911</v>
      </c>
      <c r="N34" t="str">
        <f>IFERROR(INDEX(_courses_lookup!$C:$C,MATCH(J34&amp;K34,_courses_lookup!$E:$E,0)),"")</f>
        <v/>
      </c>
      <c r="O34" t="str">
        <f>IFERROR(INDEX(_courses_lookup!$D:$D,MATCH(J34&amp;K34,_courses_lookup!$E:$E,0)),"")</f>
        <v/>
      </c>
      <c r="P34" t="s">
        <v>912</v>
      </c>
      <c r="AD34" t="str">
        <f t="shared" si="0"/>
        <v/>
      </c>
      <c r="AE34" t="s">
        <v>913</v>
      </c>
      <c r="AF34" t="s">
        <v>914</v>
      </c>
      <c r="AG34">
        <f t="shared" si="1"/>
        <v>5</v>
      </c>
      <c r="AI34" t="str">
        <f t="shared" si="2"/>
        <v/>
      </c>
      <c r="AK34" t="str">
        <f t="shared" si="3"/>
        <v/>
      </c>
      <c r="AL34" t="str">
        <f t="shared" si="4"/>
        <v/>
      </c>
      <c r="AM34">
        <f t="shared" si="5"/>
        <v>5</v>
      </c>
      <c r="AX34" t="str">
        <f t="shared" si="6"/>
        <v/>
      </c>
      <c r="AY34" t="str">
        <f t="shared" si="7"/>
        <v/>
      </c>
      <c r="BA34" t="s">
        <v>915</v>
      </c>
      <c r="BB34" t="s">
        <v>374</v>
      </c>
      <c r="BC34" t="str">
        <f>IFERROR(INDEX(_names_lookup!$C:$C,MATCH(BB34,_names_lookup!$A:$A,0)),"")</f>
        <v>vale@andrews.edu</v>
      </c>
      <c r="BD34" t="str">
        <f>IFERROR(INDEX(_names_lookup!$B:$B,MATCH(BB34,_names_lookup!$A:$A,0)),"")</f>
        <v>000033969</v>
      </c>
      <c r="BU34" t="s">
        <v>916</v>
      </c>
    </row>
    <row r="35" spans="8:82" x14ac:dyDescent="0.2">
      <c r="H35" t="s">
        <v>917</v>
      </c>
      <c r="I35" t="s">
        <v>918</v>
      </c>
      <c r="K35" t="s">
        <v>919</v>
      </c>
      <c r="L35" t="s">
        <v>730</v>
      </c>
      <c r="N35" t="str">
        <f>IFERROR(INDEX(_courses_lookup!$C:$C,MATCH(J35&amp;K35,_courses_lookup!$E:$E,0)),"")</f>
        <v/>
      </c>
      <c r="O35" t="str">
        <f>IFERROR(INDEX(_courses_lookup!$D:$D,MATCH(J35&amp;K35,_courses_lookup!$E:$E,0)),"")</f>
        <v/>
      </c>
      <c r="P35" t="s">
        <v>920</v>
      </c>
      <c r="AD35" t="str">
        <f t="shared" si="0"/>
        <v/>
      </c>
      <c r="AE35" t="s">
        <v>572</v>
      </c>
      <c r="AF35" t="s">
        <v>572</v>
      </c>
      <c r="AG35">
        <f t="shared" si="1"/>
        <v>0</v>
      </c>
      <c r="AI35" t="str">
        <f t="shared" si="2"/>
        <v/>
      </c>
      <c r="AK35" t="str">
        <f t="shared" si="3"/>
        <v/>
      </c>
      <c r="AL35" t="str">
        <f t="shared" si="4"/>
        <v/>
      </c>
      <c r="AM35">
        <f t="shared" si="5"/>
        <v>0</v>
      </c>
      <c r="AX35" t="str">
        <f t="shared" si="6"/>
        <v/>
      </c>
      <c r="AY35" t="str">
        <f t="shared" si="7"/>
        <v/>
      </c>
      <c r="BB35" t="s">
        <v>375</v>
      </c>
      <c r="BC35" t="str">
        <f>IFERROR(INDEX(_names_lookup!$C:$C,MATCH(BB35,_names_lookup!$A:$A,0)),"")</f>
        <v>wdavid@andrews.edu</v>
      </c>
      <c r="BD35" t="str">
        <f>IFERROR(INDEX(_names_lookup!$B:$B,MATCH(BB35,_names_lookup!$A:$A,0)),"")</f>
        <v>000124996</v>
      </c>
      <c r="BU35" t="s">
        <v>921</v>
      </c>
    </row>
    <row r="36" spans="8:82" x14ac:dyDescent="0.2">
      <c r="H36" t="s">
        <v>922</v>
      </c>
      <c r="I36" t="s">
        <v>923</v>
      </c>
      <c r="K36" t="s">
        <v>924</v>
      </c>
      <c r="L36" t="s">
        <v>742</v>
      </c>
      <c r="N36" t="str">
        <f>IFERROR(INDEX(_courses_lookup!$C:$C,MATCH(J36&amp;K36,_courses_lookup!$E:$E,0)),"")</f>
        <v/>
      </c>
      <c r="O36" t="str">
        <f>IFERROR(INDEX(_courses_lookup!$D:$D,MATCH(J36&amp;K36,_courses_lookup!$E:$E,0)),"")</f>
        <v/>
      </c>
      <c r="P36" t="s">
        <v>925</v>
      </c>
      <c r="AD36" t="str">
        <f t="shared" si="0"/>
        <v/>
      </c>
      <c r="AE36" t="s">
        <v>926</v>
      </c>
      <c r="AF36" t="s">
        <v>573</v>
      </c>
      <c r="AG36">
        <f t="shared" si="1"/>
        <v>-9</v>
      </c>
      <c r="AI36" t="str">
        <f t="shared" si="2"/>
        <v/>
      </c>
      <c r="AK36" t="str">
        <f t="shared" si="3"/>
        <v/>
      </c>
      <c r="AL36" t="str">
        <f t="shared" si="4"/>
        <v/>
      </c>
      <c r="AM36">
        <f t="shared" si="5"/>
        <v>-9</v>
      </c>
      <c r="AX36" t="str">
        <f t="shared" si="6"/>
        <v/>
      </c>
      <c r="AY36" t="str">
        <f t="shared" si="7"/>
        <v/>
      </c>
      <c r="BB36" t="s">
        <v>140</v>
      </c>
      <c r="BC36" t="str">
        <f>IFERROR(INDEX(_names_lookup!$C:$C,MATCH(BB36,_names_lookup!$A:$A,0)),"")</f>
        <v>ashirley@andrews.edu</v>
      </c>
      <c r="BD36" t="str">
        <f>IFERROR(INDEX(_names_lookup!$B:$B,MATCH(BB36,_names_lookup!$A:$A,0)),"")</f>
        <v>000062024</v>
      </c>
      <c r="BU36" t="s">
        <v>560</v>
      </c>
    </row>
    <row r="37" spans="8:82" x14ac:dyDescent="0.2">
      <c r="H37" t="s">
        <v>927</v>
      </c>
      <c r="I37" t="s">
        <v>928</v>
      </c>
      <c r="K37" t="s">
        <v>929</v>
      </c>
      <c r="L37" t="s">
        <v>930</v>
      </c>
      <c r="N37" t="str">
        <f>IFERROR(INDEX(_courses_lookup!$C:$C,MATCH(J37&amp;K37,_courses_lookup!$E:$E,0)),"")</f>
        <v/>
      </c>
      <c r="O37" t="str">
        <f>IFERROR(INDEX(_courses_lookup!$D:$D,MATCH(J37&amp;K37,_courses_lookup!$E:$E,0)),"")</f>
        <v/>
      </c>
      <c r="P37" t="s">
        <v>931</v>
      </c>
      <c r="AD37" t="str">
        <f t="shared" si="0"/>
        <v/>
      </c>
      <c r="AE37" t="s">
        <v>573</v>
      </c>
      <c r="AF37" t="s">
        <v>932</v>
      </c>
      <c r="AG37">
        <f t="shared" si="1"/>
        <v>-5</v>
      </c>
      <c r="AI37" t="str">
        <f t="shared" si="2"/>
        <v/>
      </c>
      <c r="AK37" t="str">
        <f t="shared" si="3"/>
        <v/>
      </c>
      <c r="AL37" t="str">
        <f t="shared" si="4"/>
        <v/>
      </c>
      <c r="AM37">
        <f t="shared" si="5"/>
        <v>-5</v>
      </c>
      <c r="AX37" t="str">
        <f t="shared" si="6"/>
        <v/>
      </c>
      <c r="AY37" t="str">
        <f t="shared" si="7"/>
        <v/>
      </c>
      <c r="BB37" t="s">
        <v>141</v>
      </c>
      <c r="BC37" t="str">
        <f>IFERROR(INDEX(_names_lookup!$C:$C,MATCH(BB37,_names_lookup!$A:$A,0)),"")</f>
        <v>beaglesk@andrews.edu</v>
      </c>
      <c r="BD37" t="str">
        <f>IFERROR(INDEX(_names_lookup!$B:$B,MATCH(BB37,_names_lookup!$A:$A,0)),"")</f>
        <v>000041794</v>
      </c>
      <c r="BU37" t="s">
        <v>933</v>
      </c>
    </row>
    <row r="38" spans="8:82" x14ac:dyDescent="0.2">
      <c r="H38" t="s">
        <v>934</v>
      </c>
      <c r="I38" t="s">
        <v>935</v>
      </c>
      <c r="K38" t="s">
        <v>936</v>
      </c>
      <c r="L38" t="s">
        <v>937</v>
      </c>
      <c r="N38" t="str">
        <f>IFERROR(INDEX(_courses_lookup!$C:$C,MATCH(J38&amp;K38,_courses_lookup!$E:$E,0)),"")</f>
        <v/>
      </c>
      <c r="O38" t="str">
        <f>IFERROR(INDEX(_courses_lookup!$D:$D,MATCH(J38&amp;K38,_courses_lookup!$E:$E,0)),"")</f>
        <v/>
      </c>
      <c r="P38" t="s">
        <v>938</v>
      </c>
      <c r="AD38" t="str">
        <f t="shared" si="0"/>
        <v/>
      </c>
      <c r="AE38" t="s">
        <v>939</v>
      </c>
      <c r="AF38" t="s">
        <v>940</v>
      </c>
      <c r="AG38">
        <f t="shared" si="1"/>
        <v>22</v>
      </c>
      <c r="AI38" t="str">
        <f t="shared" si="2"/>
        <v/>
      </c>
      <c r="AK38" t="str">
        <f t="shared" si="3"/>
        <v/>
      </c>
      <c r="AL38" t="str">
        <f t="shared" si="4"/>
        <v/>
      </c>
      <c r="AM38">
        <f t="shared" si="5"/>
        <v>22</v>
      </c>
      <c r="AX38" t="str">
        <f t="shared" si="6"/>
        <v/>
      </c>
      <c r="AY38" t="str">
        <f t="shared" si="7"/>
        <v/>
      </c>
      <c r="BB38" t="s">
        <v>142</v>
      </c>
      <c r="BC38" t="str">
        <f>IFERROR(INDEX(_names_lookup!$C:$C,MATCH(BB38,_names_lookup!$A:$A,0)),"")</f>
        <v>consuegr@andrews.edu</v>
      </c>
      <c r="BD38" t="str">
        <f>IFERROR(INDEX(_names_lookup!$B:$B,MATCH(BB38,_names_lookup!$A:$A,0)),"")</f>
        <v>000041530</v>
      </c>
      <c r="BU38" t="s">
        <v>941</v>
      </c>
    </row>
    <row r="39" spans="8:82" x14ac:dyDescent="0.2">
      <c r="H39" t="s">
        <v>942</v>
      </c>
      <c r="I39" t="s">
        <v>943</v>
      </c>
      <c r="K39" t="s">
        <v>944</v>
      </c>
      <c r="L39" t="s">
        <v>945</v>
      </c>
      <c r="N39" t="str">
        <f>IFERROR(INDEX(_courses_lookup!$C:$C,MATCH(J39&amp;K39,_courses_lookup!$E:$E,0)),"")</f>
        <v/>
      </c>
      <c r="O39" t="str">
        <f>IFERROR(INDEX(_courses_lookup!$D:$D,MATCH(J39&amp;K39,_courses_lookup!$E:$E,0)),"")</f>
        <v/>
      </c>
      <c r="P39" t="s">
        <v>946</v>
      </c>
      <c r="AD39" t="str">
        <f t="shared" si="0"/>
        <v/>
      </c>
      <c r="AE39" t="s">
        <v>947</v>
      </c>
      <c r="AF39" t="s">
        <v>947</v>
      </c>
      <c r="AG39">
        <f t="shared" si="1"/>
        <v>0</v>
      </c>
      <c r="AI39" t="str">
        <f t="shared" si="2"/>
        <v/>
      </c>
      <c r="AK39" t="str">
        <f t="shared" si="3"/>
        <v/>
      </c>
      <c r="AL39" t="str">
        <f t="shared" si="4"/>
        <v/>
      </c>
      <c r="AM39">
        <f t="shared" si="5"/>
        <v>0</v>
      </c>
      <c r="AX39" t="str">
        <f t="shared" si="6"/>
        <v/>
      </c>
      <c r="AY39" t="str">
        <f t="shared" si="7"/>
        <v/>
      </c>
      <c r="BB39" t="s">
        <v>143</v>
      </c>
      <c r="BC39" t="str">
        <f>IFERROR(INDEX(_names_lookup!$C:$C,MATCH(BB39,_names_lookup!$A:$A,0)),"")</f>
        <v>desireed@andrews.edu</v>
      </c>
      <c r="BD39" t="str">
        <f>IFERROR(INDEX(_names_lookup!$B:$B,MATCH(BB39,_names_lookup!$A:$A,0)),"")</f>
        <v>000111875</v>
      </c>
      <c r="BU39" t="s">
        <v>948</v>
      </c>
    </row>
    <row r="40" spans="8:82" x14ac:dyDescent="0.2">
      <c r="H40" t="s">
        <v>949</v>
      </c>
      <c r="I40" t="s">
        <v>950</v>
      </c>
      <c r="K40" t="s">
        <v>951</v>
      </c>
      <c r="L40" t="s">
        <v>952</v>
      </c>
      <c r="N40" t="str">
        <f>IFERROR(INDEX(_courses_lookup!$C:$C,MATCH(J40&amp;K40,_courses_lookup!$E:$E,0)),"")</f>
        <v/>
      </c>
      <c r="O40" t="str">
        <f>IFERROR(INDEX(_courses_lookup!$D:$D,MATCH(J40&amp;K40,_courses_lookup!$E:$E,0)),"")</f>
        <v/>
      </c>
      <c r="P40" t="s">
        <v>953</v>
      </c>
      <c r="AD40" t="str">
        <f t="shared" si="0"/>
        <v/>
      </c>
      <c r="AE40" t="s">
        <v>954</v>
      </c>
      <c r="AF40" t="s">
        <v>955</v>
      </c>
      <c r="AG40">
        <f t="shared" si="1"/>
        <v>9</v>
      </c>
      <c r="AI40" t="str">
        <f t="shared" si="2"/>
        <v/>
      </c>
      <c r="AK40" t="str">
        <f t="shared" si="3"/>
        <v/>
      </c>
      <c r="AL40" t="str">
        <f t="shared" si="4"/>
        <v/>
      </c>
      <c r="AM40">
        <f t="shared" si="5"/>
        <v>9</v>
      </c>
      <c r="AX40" t="str">
        <f t="shared" si="6"/>
        <v/>
      </c>
      <c r="AY40" t="str">
        <f t="shared" si="7"/>
        <v/>
      </c>
      <c r="BB40" t="s">
        <v>144</v>
      </c>
      <c r="BC40" t="str">
        <f>IFERROR(INDEX(_names_lookup!$C:$C,MATCH(BB40,_names_lookup!$A:$A,0)),"")</f>
        <v>duany@andrews.edu</v>
      </c>
      <c r="BD40" t="str">
        <f>IFERROR(INDEX(_names_lookup!$B:$B,MATCH(BB40,_names_lookup!$A:$A,0)),"")</f>
        <v>000117365</v>
      </c>
      <c r="BU40" t="s">
        <v>956</v>
      </c>
    </row>
    <row r="41" spans="8:82" x14ac:dyDescent="0.2">
      <c r="H41" t="s">
        <v>957</v>
      </c>
      <c r="I41" t="s">
        <v>958</v>
      </c>
      <c r="K41" t="s">
        <v>959</v>
      </c>
      <c r="L41" t="s">
        <v>960</v>
      </c>
      <c r="N41" t="str">
        <f>IFERROR(INDEX(_courses_lookup!$C:$C,MATCH(J41&amp;K41,_courses_lookup!$E:$E,0)),"")</f>
        <v/>
      </c>
      <c r="O41" t="str">
        <f>IFERROR(INDEX(_courses_lookup!$D:$D,MATCH(J41&amp;K41,_courses_lookup!$E:$E,0)),"")</f>
        <v/>
      </c>
      <c r="P41" t="s">
        <v>961</v>
      </c>
      <c r="AD41" t="str">
        <f t="shared" si="0"/>
        <v/>
      </c>
      <c r="AE41" t="s">
        <v>962</v>
      </c>
      <c r="AF41" t="s">
        <v>587</v>
      </c>
      <c r="AG41">
        <f t="shared" si="1"/>
        <v>-5</v>
      </c>
      <c r="AI41" t="str">
        <f t="shared" si="2"/>
        <v/>
      </c>
      <c r="AK41" t="str">
        <f t="shared" si="3"/>
        <v/>
      </c>
      <c r="AL41" t="str">
        <f t="shared" si="4"/>
        <v/>
      </c>
      <c r="AM41">
        <f t="shared" si="5"/>
        <v>-5</v>
      </c>
      <c r="AX41" t="str">
        <f t="shared" si="6"/>
        <v/>
      </c>
      <c r="AY41" t="str">
        <f t="shared" si="7"/>
        <v/>
      </c>
      <c r="BB41" t="s">
        <v>145</v>
      </c>
      <c r="BC41" t="str">
        <f>IFERROR(INDEX(_names_lookup!$C:$C,MATCH(BB41,_names_lookup!$A:$A,0)),"")</f>
        <v>josee@andrews.edu</v>
      </c>
      <c r="BD41" t="str">
        <f>IFERROR(INDEX(_names_lookup!$B:$B,MATCH(BB41,_names_lookup!$A:$A,0)),"")</f>
        <v>000032088</v>
      </c>
      <c r="BU41" t="s">
        <v>963</v>
      </c>
    </row>
    <row r="42" spans="8:82" x14ac:dyDescent="0.2">
      <c r="H42" t="s">
        <v>964</v>
      </c>
      <c r="I42" t="s">
        <v>965</v>
      </c>
      <c r="K42" t="s">
        <v>966</v>
      </c>
      <c r="L42" t="s">
        <v>732</v>
      </c>
      <c r="N42" t="str">
        <f>IFERROR(INDEX(_courses_lookup!$C:$C,MATCH(J42&amp;K42,_courses_lookup!$E:$E,0)),"")</f>
        <v/>
      </c>
      <c r="O42" t="str">
        <f>IFERROR(INDEX(_courses_lookup!$D:$D,MATCH(J42&amp;K42,_courses_lookup!$E:$E,0)),"")</f>
        <v/>
      </c>
      <c r="P42" t="s">
        <v>967</v>
      </c>
      <c r="AD42" t="str">
        <f t="shared" si="0"/>
        <v/>
      </c>
      <c r="AE42" t="s">
        <v>597</v>
      </c>
      <c r="AF42" t="s">
        <v>954</v>
      </c>
      <c r="AG42">
        <f t="shared" si="1"/>
        <v>-1</v>
      </c>
      <c r="AI42" t="str">
        <f t="shared" si="2"/>
        <v/>
      </c>
      <c r="AK42" t="str">
        <f t="shared" si="3"/>
        <v/>
      </c>
      <c r="AL42" t="str">
        <f t="shared" si="4"/>
        <v/>
      </c>
      <c r="AM42">
        <f t="shared" si="5"/>
        <v>-1</v>
      </c>
      <c r="AX42" t="str">
        <f t="shared" si="6"/>
        <v/>
      </c>
      <c r="AY42" t="str">
        <f t="shared" si="7"/>
        <v/>
      </c>
      <c r="BB42" t="s">
        <v>146</v>
      </c>
      <c r="BC42" t="str">
        <f>IFERROR(INDEX(_names_lookup!$C:$C,MATCH(BB42,_names_lookup!$A:$A,0)),"")</f>
        <v>fraserj@andrews.edu</v>
      </c>
      <c r="BD42" t="str">
        <f>IFERROR(INDEX(_names_lookup!$B:$B,MATCH(BB42,_names_lookup!$A:$A,0)),"")</f>
        <v>000129106</v>
      </c>
      <c r="BU42" t="s">
        <v>851</v>
      </c>
    </row>
    <row r="43" spans="8:82" x14ac:dyDescent="0.2">
      <c r="H43" t="s">
        <v>968</v>
      </c>
      <c r="I43" t="s">
        <v>969</v>
      </c>
      <c r="K43" t="s">
        <v>970</v>
      </c>
      <c r="N43" t="str">
        <f>IFERROR(INDEX(_courses_lookup!$C:$C,MATCH(J43&amp;K43,_courses_lookup!$E:$E,0)),"")</f>
        <v/>
      </c>
      <c r="O43" t="str">
        <f>IFERROR(INDEX(_courses_lookup!$D:$D,MATCH(J43&amp;K43,_courses_lookup!$E:$E,0)),"")</f>
        <v/>
      </c>
      <c r="P43" t="s">
        <v>971</v>
      </c>
      <c r="AD43" t="str">
        <f t="shared" si="0"/>
        <v/>
      </c>
      <c r="AE43" t="s">
        <v>598</v>
      </c>
      <c r="AF43" t="s">
        <v>972</v>
      </c>
      <c r="AG43">
        <f t="shared" si="1"/>
        <v>40</v>
      </c>
      <c r="AI43" t="str">
        <f t="shared" si="2"/>
        <v/>
      </c>
      <c r="AK43" t="str">
        <f t="shared" si="3"/>
        <v/>
      </c>
      <c r="AL43" t="str">
        <f t="shared" si="4"/>
        <v/>
      </c>
      <c r="AM43">
        <f t="shared" si="5"/>
        <v>40</v>
      </c>
      <c r="AX43" t="str">
        <f t="shared" si="6"/>
        <v/>
      </c>
      <c r="AY43" t="str">
        <f t="shared" si="7"/>
        <v/>
      </c>
      <c r="BB43" t="s">
        <v>147</v>
      </c>
      <c r="BC43" t="str">
        <f>IFERROR(INDEX(_names_lookup!$C:$C,MATCH(BB43,_names_lookup!$A:$A,0)),"")</f>
        <v>tyrrell@andrews.edu</v>
      </c>
      <c r="BD43" t="str">
        <f>IFERROR(INDEX(_names_lookup!$B:$B,MATCH(BB43,_names_lookup!$A:$A,0)),"")</f>
        <v>000067653</v>
      </c>
      <c r="BU43" t="s">
        <v>973</v>
      </c>
    </row>
    <row r="44" spans="8:82" x14ac:dyDescent="0.2">
      <c r="H44" t="s">
        <v>974</v>
      </c>
      <c r="I44" t="s">
        <v>975</v>
      </c>
      <c r="K44" t="s">
        <v>976</v>
      </c>
      <c r="N44" t="str">
        <f>IFERROR(INDEX(_courses_lookup!$C:$C,MATCH(J44&amp;K44,_courses_lookup!$E:$E,0)),"")</f>
        <v/>
      </c>
      <c r="O44" t="str">
        <f>IFERROR(INDEX(_courses_lookup!$D:$D,MATCH(J44&amp;K44,_courses_lookup!$E:$E,0)),"")</f>
        <v/>
      </c>
      <c r="P44" t="s">
        <v>977</v>
      </c>
      <c r="AD44" t="str">
        <f t="shared" si="0"/>
        <v/>
      </c>
      <c r="AE44" t="s">
        <v>624</v>
      </c>
      <c r="AF44" t="s">
        <v>574</v>
      </c>
      <c r="AG44">
        <f t="shared" si="1"/>
        <v>-1</v>
      </c>
      <c r="AI44" t="str">
        <f t="shared" si="2"/>
        <v/>
      </c>
      <c r="AK44" t="str">
        <f t="shared" si="3"/>
        <v/>
      </c>
      <c r="AL44" t="str">
        <f t="shared" si="4"/>
        <v/>
      </c>
      <c r="AM44">
        <f t="shared" si="5"/>
        <v>-1</v>
      </c>
      <c r="AX44" t="str">
        <f t="shared" si="6"/>
        <v/>
      </c>
      <c r="AY44" t="str">
        <f t="shared" si="7"/>
        <v/>
      </c>
      <c r="BB44" t="s">
        <v>343</v>
      </c>
      <c r="BC44" t="str">
        <f>IFERROR(INDEX(_names_lookup!$C:$C,MATCH(BB44,_names_lookup!$A:$A,0)),"")</f>
        <v>royg@andrews.edu</v>
      </c>
      <c r="BD44" t="str">
        <f>IFERROR(INDEX(_names_lookup!$B:$B,MATCH(BB44,_names_lookup!$A:$A,0)),"")</f>
        <v>000048477</v>
      </c>
      <c r="BU44" t="s">
        <v>867</v>
      </c>
    </row>
    <row r="45" spans="8:82" x14ac:dyDescent="0.2">
      <c r="H45" t="s">
        <v>978</v>
      </c>
      <c r="I45" t="s">
        <v>979</v>
      </c>
      <c r="K45" t="s">
        <v>980</v>
      </c>
      <c r="N45" t="str">
        <f>IFERROR(INDEX(_courses_lookup!$C:$C,MATCH(J45&amp;K45,_courses_lookup!$E:$E,0)),"")</f>
        <v/>
      </c>
      <c r="O45" t="str">
        <f>IFERROR(INDEX(_courses_lookup!$D:$D,MATCH(J45&amp;K45,_courses_lookup!$E:$E,0)),"")</f>
        <v/>
      </c>
      <c r="P45" t="s">
        <v>981</v>
      </c>
      <c r="AD45" t="str">
        <f t="shared" si="0"/>
        <v/>
      </c>
      <c r="AE45" t="s">
        <v>982</v>
      </c>
      <c r="AF45" t="s">
        <v>598</v>
      </c>
      <c r="AG45">
        <f t="shared" si="1"/>
        <v>-1</v>
      </c>
      <c r="AI45" t="str">
        <f t="shared" si="2"/>
        <v/>
      </c>
      <c r="AK45" t="str">
        <f t="shared" si="3"/>
        <v/>
      </c>
      <c r="AL45" t="str">
        <f t="shared" si="4"/>
        <v/>
      </c>
      <c r="AM45">
        <f t="shared" si="5"/>
        <v>-1</v>
      </c>
      <c r="AX45" t="str">
        <f t="shared" si="6"/>
        <v/>
      </c>
      <c r="AY45" t="str">
        <f t="shared" si="7"/>
        <v/>
      </c>
      <c r="BB45" t="s">
        <v>148</v>
      </c>
      <c r="BC45" t="str">
        <f>IFERROR(INDEX(_names_lookup!$C:$C,MATCH(BB45,_names_lookup!$A:$A,0)),"")</f>
        <v>gilles@andrews.edu</v>
      </c>
      <c r="BD45" t="str">
        <f>IFERROR(INDEX(_names_lookup!$B:$B,MATCH(BB45,_names_lookup!$A:$A,0)),"")</f>
        <v>000129689</v>
      </c>
      <c r="BU45" t="s">
        <v>983</v>
      </c>
    </row>
    <row r="46" spans="8:82" x14ac:dyDescent="0.2">
      <c r="H46" t="s">
        <v>984</v>
      </c>
      <c r="I46" t="s">
        <v>985</v>
      </c>
      <c r="K46" t="s">
        <v>986</v>
      </c>
      <c r="N46" t="str">
        <f>IFERROR(INDEX(_courses_lookup!$C:$C,MATCH(J46&amp;K46,_courses_lookup!$E:$E,0)),"")</f>
        <v/>
      </c>
      <c r="O46" t="str">
        <f>IFERROR(INDEX(_courses_lookup!$D:$D,MATCH(J46&amp;K46,_courses_lookup!$E:$E,0)),"")</f>
        <v/>
      </c>
      <c r="AD46" t="str">
        <f t="shared" si="0"/>
        <v/>
      </c>
      <c r="AE46" t="s">
        <v>987</v>
      </c>
      <c r="AF46" t="s">
        <v>988</v>
      </c>
      <c r="AG46">
        <f t="shared" si="1"/>
        <v>27</v>
      </c>
      <c r="AI46" t="str">
        <f t="shared" si="2"/>
        <v/>
      </c>
      <c r="AK46" t="str">
        <f t="shared" si="3"/>
        <v/>
      </c>
      <c r="AL46" t="str">
        <f t="shared" si="4"/>
        <v/>
      </c>
      <c r="AM46">
        <f t="shared" si="5"/>
        <v>27</v>
      </c>
      <c r="AX46" t="str">
        <f t="shared" si="6"/>
        <v/>
      </c>
      <c r="AY46" t="str">
        <f t="shared" si="7"/>
        <v/>
      </c>
      <c r="BB46" t="s">
        <v>344</v>
      </c>
      <c r="BC46" t="str">
        <f>IFERROR(INDEX(_names_lookup!$C:$C,MATCH(BB46,_names_lookup!$A:$A,0)),"")</f>
        <v>kleber@andrews.edu</v>
      </c>
      <c r="BD46" t="str">
        <f>IFERROR(INDEX(_names_lookup!$B:$B,MATCH(BB46,_names_lookup!$A:$A,0)),"")</f>
        <v>000078571</v>
      </c>
      <c r="BU46" t="s">
        <v>894</v>
      </c>
    </row>
    <row r="47" spans="8:82" x14ac:dyDescent="0.2">
      <c r="H47" t="s">
        <v>989</v>
      </c>
      <c r="I47" t="s">
        <v>990</v>
      </c>
      <c r="K47" t="s">
        <v>991</v>
      </c>
      <c r="N47" t="str">
        <f>IFERROR(INDEX(_courses_lookup!$C:$C,MATCH(J47&amp;K47,_courses_lookup!$E:$E,0)),"")</f>
        <v/>
      </c>
      <c r="O47" t="str">
        <f>IFERROR(INDEX(_courses_lookup!$D:$D,MATCH(J47&amp;K47,_courses_lookup!$E:$E,0)),"")</f>
        <v/>
      </c>
      <c r="AD47" t="str">
        <f t="shared" si="0"/>
        <v/>
      </c>
      <c r="AE47" t="s">
        <v>992</v>
      </c>
      <c r="AF47" t="s">
        <v>993</v>
      </c>
      <c r="AG47">
        <f t="shared" si="1"/>
        <v>5</v>
      </c>
      <c r="AI47" t="str">
        <f t="shared" si="2"/>
        <v/>
      </c>
      <c r="AK47" t="str">
        <f t="shared" si="3"/>
        <v/>
      </c>
      <c r="AL47" t="str">
        <f t="shared" si="4"/>
        <v/>
      </c>
      <c r="AM47">
        <f t="shared" si="5"/>
        <v>5</v>
      </c>
      <c r="AX47" t="str">
        <f t="shared" si="6"/>
        <v/>
      </c>
      <c r="AY47" t="str">
        <f t="shared" si="7"/>
        <v/>
      </c>
      <c r="BB47" t="s">
        <v>346</v>
      </c>
      <c r="BC47" t="str">
        <f>IFERROR(INDEX(_names_lookup!$C:$C,MATCH(BB47,_names_lookup!$A:$A,0)),"")</f>
        <v>kenley@andrews.edu</v>
      </c>
      <c r="BD47" t="str">
        <f>IFERROR(INDEX(_names_lookup!$B:$B,MATCH(BB47,_names_lookup!$A:$A,0)),"")</f>
        <v>000069431</v>
      </c>
      <c r="BU47" t="s">
        <v>546</v>
      </c>
    </row>
    <row r="48" spans="8:82" x14ac:dyDescent="0.2">
      <c r="H48" t="s">
        <v>994</v>
      </c>
      <c r="I48" t="s">
        <v>995</v>
      </c>
      <c r="K48" t="s">
        <v>996</v>
      </c>
      <c r="N48" t="str">
        <f>IFERROR(INDEX(_courses_lookup!$C:$C,MATCH(J48&amp;K48,_courses_lookup!$E:$E,0)),"")</f>
        <v/>
      </c>
      <c r="O48" t="str">
        <f>IFERROR(INDEX(_courses_lookup!$D:$D,MATCH(J48&amp;K48,_courses_lookup!$E:$E,0)),"")</f>
        <v/>
      </c>
      <c r="AD48" t="str">
        <f t="shared" si="0"/>
        <v/>
      </c>
      <c r="AE48" t="s">
        <v>997</v>
      </c>
      <c r="AF48" t="s">
        <v>624</v>
      </c>
      <c r="AG48">
        <f t="shared" si="1"/>
        <v>4</v>
      </c>
      <c r="AI48" t="str">
        <f t="shared" si="2"/>
        <v/>
      </c>
      <c r="AK48" t="str">
        <f t="shared" si="3"/>
        <v/>
      </c>
      <c r="AL48" t="str">
        <f t="shared" si="4"/>
        <v/>
      </c>
      <c r="AM48">
        <f t="shared" si="5"/>
        <v>4</v>
      </c>
      <c r="AX48" t="str">
        <f t="shared" si="6"/>
        <v/>
      </c>
      <c r="AY48" t="str">
        <f t="shared" si="7"/>
        <v/>
      </c>
      <c r="BB48" t="s">
        <v>149</v>
      </c>
      <c r="BC48" t="str">
        <f>IFERROR(INDEX(_names_lookup!$C:$C,MATCH(BB48,_names_lookup!$A:$A,0)),"")</f>
        <v>hamiltol@andrews.edu</v>
      </c>
      <c r="BD48" t="str">
        <f>IFERROR(INDEX(_names_lookup!$B:$B,MATCH(BB48,_names_lookup!$A:$A,0)),"")</f>
        <v>000062449</v>
      </c>
      <c r="BU48" t="s">
        <v>906</v>
      </c>
    </row>
    <row r="49" spans="8:73" x14ac:dyDescent="0.2">
      <c r="H49" t="s">
        <v>998</v>
      </c>
      <c r="I49" t="s">
        <v>999</v>
      </c>
      <c r="K49" t="s">
        <v>1000</v>
      </c>
      <c r="N49" t="str">
        <f>IFERROR(INDEX(_courses_lookup!$C:$C,MATCH(J49&amp;K49,_courses_lookup!$E:$E,0)),"")</f>
        <v/>
      </c>
      <c r="O49" t="str">
        <f>IFERROR(INDEX(_courses_lookup!$D:$D,MATCH(J49&amp;K49,_courses_lookup!$E:$E,0)),"")</f>
        <v/>
      </c>
      <c r="AD49" t="str">
        <f t="shared" si="0"/>
        <v/>
      </c>
      <c r="AE49" t="s">
        <v>1001</v>
      </c>
      <c r="AF49" t="s">
        <v>1002</v>
      </c>
      <c r="AG49">
        <f t="shared" si="1"/>
        <v>-1</v>
      </c>
      <c r="AI49" t="str">
        <f t="shared" si="2"/>
        <v/>
      </c>
      <c r="AK49" t="str">
        <f t="shared" si="3"/>
        <v/>
      </c>
      <c r="AL49" t="str">
        <f t="shared" si="4"/>
        <v/>
      </c>
      <c r="AM49">
        <f t="shared" si="5"/>
        <v>-1</v>
      </c>
      <c r="AX49" t="str">
        <f t="shared" si="6"/>
        <v/>
      </c>
      <c r="AY49" t="str">
        <f t="shared" si="7"/>
        <v/>
      </c>
      <c r="BB49" t="s">
        <v>348</v>
      </c>
      <c r="BC49" t="str">
        <f>IFERROR(INDEX(_names_lookup!$C:$C,MATCH(BB49,_names_lookup!$A:$A,0)),"")</f>
        <v>hucks@andrews.edu</v>
      </c>
      <c r="BD49" t="str">
        <f>IFERROR(INDEX(_names_lookup!$B:$B,MATCH(BB49,_names_lookup!$A:$A,0)),"")</f>
        <v>000048969</v>
      </c>
      <c r="BU49" t="s">
        <v>1003</v>
      </c>
    </row>
    <row r="50" spans="8:73" x14ac:dyDescent="0.2">
      <c r="H50" t="s">
        <v>1004</v>
      </c>
      <c r="I50" t="s">
        <v>1005</v>
      </c>
      <c r="K50" t="s">
        <v>1006</v>
      </c>
      <c r="N50" t="str">
        <f>IFERROR(INDEX(_courses_lookup!$C:$C,MATCH(J50&amp;K50,_courses_lookup!$E:$E,0)),"")</f>
        <v/>
      </c>
      <c r="O50" t="str">
        <f>IFERROR(INDEX(_courses_lookup!$D:$D,MATCH(J50&amp;K50,_courses_lookup!$E:$E,0)),"")</f>
        <v/>
      </c>
      <c r="AD50" t="str">
        <f t="shared" si="0"/>
        <v/>
      </c>
      <c r="AF50" t="s">
        <v>997</v>
      </c>
      <c r="AG50" t="str">
        <f t="shared" si="1"/>
        <v/>
      </c>
      <c r="AI50" t="str">
        <f t="shared" si="2"/>
        <v/>
      </c>
      <c r="AK50" t="str">
        <f t="shared" si="3"/>
        <v/>
      </c>
      <c r="AL50" t="str">
        <f t="shared" si="4"/>
        <v/>
      </c>
      <c r="AM50" t="str">
        <f t="shared" si="5"/>
        <v/>
      </c>
      <c r="AX50" t="str">
        <f t="shared" si="6"/>
        <v/>
      </c>
      <c r="AY50" t="str">
        <f t="shared" si="7"/>
        <v/>
      </c>
      <c r="BB50" t="s">
        <v>150</v>
      </c>
      <c r="BC50" t="str">
        <f>IFERROR(INDEX(_names_lookup!$C:$C,MATCH(BB50,_names_lookup!$A:$A,0)),"")</f>
        <v>ainsworj@andrews.edu</v>
      </c>
      <c r="BD50" t="str">
        <f>IFERROR(INDEX(_names_lookup!$B:$B,MATCH(BB50,_names_lookup!$A:$A,0)),"")</f>
        <v>000079312</v>
      </c>
      <c r="BU50" t="s">
        <v>1007</v>
      </c>
    </row>
    <row r="51" spans="8:73" x14ac:dyDescent="0.2">
      <c r="H51" t="s">
        <v>1008</v>
      </c>
      <c r="I51" t="s">
        <v>1009</v>
      </c>
      <c r="K51" t="s">
        <v>1010</v>
      </c>
      <c r="N51" t="str">
        <f>IFERROR(INDEX(_courses_lookup!$C:$C,MATCH(J51&amp;K51,_courses_lookup!$E:$E,0)),"")</f>
        <v/>
      </c>
      <c r="O51" t="str">
        <f>IFERROR(INDEX(_courses_lookup!$D:$D,MATCH(J51&amp;K51,_courses_lookup!$E:$E,0)),"")</f>
        <v/>
      </c>
      <c r="AD51" t="str">
        <f t="shared" si="0"/>
        <v/>
      </c>
      <c r="AF51" t="s">
        <v>636</v>
      </c>
      <c r="AG51" t="str">
        <f t="shared" si="1"/>
        <v/>
      </c>
      <c r="AI51" t="str">
        <f t="shared" si="2"/>
        <v/>
      </c>
      <c r="AK51" t="str">
        <f t="shared" si="3"/>
        <v/>
      </c>
      <c r="AL51" t="str">
        <f t="shared" si="4"/>
        <v/>
      </c>
      <c r="AM51" t="str">
        <f t="shared" si="5"/>
        <v/>
      </c>
      <c r="AX51" t="str">
        <f t="shared" si="6"/>
        <v/>
      </c>
      <c r="AY51" t="str">
        <f t="shared" si="7"/>
        <v/>
      </c>
      <c r="BB51" t="s">
        <v>351</v>
      </c>
      <c r="BC51" t="str">
        <f>IFERROR(INDEX(_names_lookup!$C:$C,MATCH(BB51,_names_lookup!$A:$A,0)),"")</f>
        <v>kiddersj@andrews.edu</v>
      </c>
      <c r="BD51" t="str">
        <f>IFERROR(INDEX(_names_lookup!$B:$B,MATCH(BB51,_names_lookup!$A:$A,0)),"")</f>
        <v>000039170</v>
      </c>
      <c r="BU51" t="s">
        <v>1011</v>
      </c>
    </row>
    <row r="52" spans="8:73" x14ac:dyDescent="0.2">
      <c r="H52" t="s">
        <v>1012</v>
      </c>
      <c r="I52" t="s">
        <v>1013</v>
      </c>
      <c r="K52" t="s">
        <v>1014</v>
      </c>
      <c r="N52" t="str">
        <f>IFERROR(INDEX(_courses_lookup!$C:$C,MATCH(J52&amp;K52,_courses_lookup!$E:$E,0)),"")</f>
        <v/>
      </c>
      <c r="O52" t="str">
        <f>IFERROR(INDEX(_courses_lookup!$D:$D,MATCH(J52&amp;K52,_courses_lookup!$E:$E,0)),"")</f>
        <v/>
      </c>
      <c r="AD52" t="str">
        <f t="shared" si="0"/>
        <v/>
      </c>
      <c r="AF52" t="s">
        <v>1001</v>
      </c>
      <c r="AG52" t="str">
        <f t="shared" si="1"/>
        <v/>
      </c>
      <c r="AI52" t="str">
        <f t="shared" si="2"/>
        <v/>
      </c>
      <c r="AK52" t="str">
        <f t="shared" si="3"/>
        <v/>
      </c>
      <c r="AL52" t="str">
        <f t="shared" si="4"/>
        <v/>
      </c>
      <c r="AM52" t="str">
        <f t="shared" si="5"/>
        <v/>
      </c>
      <c r="AX52" t="str">
        <f t="shared" si="6"/>
        <v/>
      </c>
      <c r="AY52" t="str">
        <f t="shared" si="7"/>
        <v/>
      </c>
      <c r="BB52" t="s">
        <v>354</v>
      </c>
      <c r="BC52" t="str">
        <f>IFERROR(INDEX(_names_lookup!$C:$C,MATCH(BB52,_names_lookup!$A:$A,0)),"")</f>
        <v>machado@andrews.edu</v>
      </c>
      <c r="BD52" t="str">
        <f>IFERROR(INDEX(_names_lookup!$B:$B,MATCH(BB52,_names_lookup!$A:$A,0)),"")</f>
        <v>000117818</v>
      </c>
      <c r="BU52" t="s">
        <v>1015</v>
      </c>
    </row>
    <row r="53" spans="8:73" x14ac:dyDescent="0.2">
      <c r="H53" t="s">
        <v>1016</v>
      </c>
      <c r="I53" t="s">
        <v>1017</v>
      </c>
      <c r="K53" t="s">
        <v>1018</v>
      </c>
      <c r="N53" t="str">
        <f>IFERROR(INDEX(_courses_lookup!$C:$C,MATCH(J53&amp;K53,_courses_lookup!$E:$E,0)),"")</f>
        <v/>
      </c>
      <c r="O53" t="str">
        <f>IFERROR(INDEX(_courses_lookup!$D:$D,MATCH(J53&amp;K53,_courses_lookup!$E:$E,0)),"")</f>
        <v/>
      </c>
      <c r="AD53" t="str">
        <f t="shared" si="0"/>
        <v/>
      </c>
      <c r="AG53" t="str">
        <f t="shared" si="1"/>
        <v/>
      </c>
      <c r="AI53" t="str">
        <f t="shared" si="2"/>
        <v/>
      </c>
      <c r="AK53" t="str">
        <f t="shared" si="3"/>
        <v/>
      </c>
      <c r="AL53" t="str">
        <f t="shared" si="4"/>
        <v/>
      </c>
      <c r="AM53" t="str">
        <f t="shared" si="5"/>
        <v/>
      </c>
      <c r="AX53" t="str">
        <f t="shared" si="6"/>
        <v/>
      </c>
      <c r="AY53" t="str">
        <f t="shared" si="7"/>
        <v/>
      </c>
      <c r="BB53" t="s">
        <v>151</v>
      </c>
      <c r="BC53" t="str">
        <f>IFERROR(INDEX(_names_lookup!$C:$C,MATCH(BB53,_names_lookup!$A:$A,0)),"")</f>
        <v>benjaminm@andrews.edu</v>
      </c>
      <c r="BD53" t="str">
        <f>IFERROR(INDEX(_names_lookup!$B:$B,MATCH(BB53,_names_lookup!$A:$A,0)),"")</f>
        <v>000155484</v>
      </c>
      <c r="BU53" t="s">
        <v>913</v>
      </c>
    </row>
    <row r="54" spans="8:73" x14ac:dyDescent="0.2">
      <c r="H54" t="s">
        <v>1019</v>
      </c>
      <c r="I54" t="s">
        <v>1020</v>
      </c>
      <c r="K54" t="s">
        <v>1021</v>
      </c>
      <c r="N54" t="str">
        <f>IFERROR(INDEX(_courses_lookup!$C:$C,MATCH(J54&amp;K54,_courses_lookup!$E:$E,0)),"")</f>
        <v/>
      </c>
      <c r="O54" t="str">
        <f>IFERROR(INDEX(_courses_lookup!$D:$D,MATCH(J54&amp;K54,_courses_lookup!$E:$E,0)),"")</f>
        <v/>
      </c>
      <c r="AD54" t="str">
        <f t="shared" si="0"/>
        <v/>
      </c>
      <c r="AG54" t="str">
        <f t="shared" si="1"/>
        <v/>
      </c>
      <c r="AI54" t="str">
        <f t="shared" si="2"/>
        <v/>
      </c>
      <c r="AK54" t="str">
        <f t="shared" si="3"/>
        <v/>
      </c>
      <c r="AL54" t="str">
        <f t="shared" si="4"/>
        <v/>
      </c>
      <c r="AM54" t="str">
        <f t="shared" si="5"/>
        <v/>
      </c>
      <c r="AX54" t="str">
        <f t="shared" si="6"/>
        <v/>
      </c>
      <c r="AY54" t="str">
        <f t="shared" si="7"/>
        <v/>
      </c>
      <c r="BB54" t="s">
        <v>355</v>
      </c>
      <c r="BC54" t="str">
        <f>IFERROR(INDEX(_names_lookup!$C:$C,MATCH(BB54,_names_lookup!$A:$A,0)),"")</f>
        <v>johnmatt@andrews.edu</v>
      </c>
      <c r="BD54" t="str">
        <f>IFERROR(INDEX(_names_lookup!$B:$B,MATCH(BB54,_names_lookup!$A:$A,0)),"")</f>
        <v>000021462</v>
      </c>
      <c r="BU54" t="s">
        <v>1022</v>
      </c>
    </row>
    <row r="55" spans="8:73" x14ac:dyDescent="0.2">
      <c r="H55" t="s">
        <v>1023</v>
      </c>
      <c r="I55" t="s">
        <v>1024</v>
      </c>
      <c r="K55" t="s">
        <v>1025</v>
      </c>
      <c r="N55" t="str">
        <f>IFERROR(INDEX(_courses_lookup!$C:$C,MATCH(J55&amp;K55,_courses_lookup!$E:$E,0)),"")</f>
        <v/>
      </c>
      <c r="O55" t="str">
        <f>IFERROR(INDEX(_courses_lookup!$D:$D,MATCH(J55&amp;K55,_courses_lookup!$E:$E,0)),"")</f>
        <v/>
      </c>
      <c r="AD55" t="str">
        <f t="shared" si="0"/>
        <v/>
      </c>
      <c r="AG55" t="str">
        <f t="shared" si="1"/>
        <v/>
      </c>
      <c r="AI55" t="str">
        <f t="shared" si="2"/>
        <v/>
      </c>
      <c r="AK55" t="str">
        <f t="shared" si="3"/>
        <v/>
      </c>
      <c r="AL55" t="str">
        <f t="shared" si="4"/>
        <v/>
      </c>
      <c r="AM55" t="str">
        <f t="shared" si="5"/>
        <v/>
      </c>
      <c r="AX55" t="str">
        <f t="shared" si="6"/>
        <v/>
      </c>
      <c r="AY55" t="str">
        <f t="shared" si="7"/>
        <v/>
      </c>
      <c r="BB55" t="s">
        <v>152</v>
      </c>
      <c r="BC55" t="str">
        <f>IFERROR(INDEX(_names_lookup!$C:$C,MATCH(BB55,_names_lookup!$A:$A,0)),"")</f>
        <v>jorgem@andrews.edu</v>
      </c>
      <c r="BD55" t="str">
        <f>IFERROR(INDEX(_names_lookup!$B:$B,MATCH(BB55,_names_lookup!$A:$A,0)),"")</f>
        <v>000049082</v>
      </c>
      <c r="BU55" t="s">
        <v>1026</v>
      </c>
    </row>
    <row r="56" spans="8:73" x14ac:dyDescent="0.2">
      <c r="H56" t="s">
        <v>1027</v>
      </c>
      <c r="I56" t="s">
        <v>1028</v>
      </c>
      <c r="K56" t="s">
        <v>1029</v>
      </c>
      <c r="N56" t="str">
        <f>IFERROR(INDEX(_courses_lookup!$C:$C,MATCH(J56&amp;K56,_courses_lookup!$E:$E,0)),"")</f>
        <v/>
      </c>
      <c r="O56" t="str">
        <f>IFERROR(INDEX(_courses_lookup!$D:$D,MATCH(J56&amp;K56,_courses_lookup!$E:$E,0)),"")</f>
        <v/>
      </c>
      <c r="AD56" t="str">
        <f t="shared" si="0"/>
        <v/>
      </c>
      <c r="AG56" t="str">
        <f t="shared" si="1"/>
        <v/>
      </c>
      <c r="AI56" t="str">
        <f t="shared" si="2"/>
        <v/>
      </c>
      <c r="AK56" t="str">
        <f t="shared" si="3"/>
        <v/>
      </c>
      <c r="AL56" t="str">
        <f t="shared" si="4"/>
        <v/>
      </c>
      <c r="AM56" t="str">
        <f t="shared" si="5"/>
        <v/>
      </c>
      <c r="AX56" t="str">
        <f t="shared" si="6"/>
        <v/>
      </c>
      <c r="AY56" t="str">
        <f t="shared" si="7"/>
        <v/>
      </c>
      <c r="BB56" t="s">
        <v>153</v>
      </c>
      <c r="BC56" t="str">
        <f>IFERROR(INDEX(_names_lookup!$C:$C,MATCH(BB56,_names_lookup!$A:$A,0)),"")</f>
        <v>mooreri@andrews.edu</v>
      </c>
      <c r="BD56" t="str">
        <f>IFERROR(INDEX(_names_lookup!$B:$B,MATCH(BB56,_names_lookup!$A:$A,0)),"")</f>
        <v>000054389</v>
      </c>
      <c r="BU56" t="s">
        <v>573</v>
      </c>
    </row>
    <row r="57" spans="8:73" x14ac:dyDescent="0.2">
      <c r="H57" t="s">
        <v>1030</v>
      </c>
      <c r="I57" t="s">
        <v>1031</v>
      </c>
      <c r="K57" t="s">
        <v>1032</v>
      </c>
      <c r="N57" t="str">
        <f>IFERROR(INDEX(_courses_lookup!$C:$C,MATCH(J57&amp;K57,_courses_lookup!$E:$E,0)),"")</f>
        <v/>
      </c>
      <c r="O57" t="str">
        <f>IFERROR(INDEX(_courses_lookup!$D:$D,MATCH(J57&amp;K57,_courses_lookup!$E:$E,0)),"")</f>
        <v/>
      </c>
      <c r="AD57" t="str">
        <f t="shared" si="0"/>
        <v/>
      </c>
      <c r="AG57" t="str">
        <f t="shared" si="1"/>
        <v/>
      </c>
      <c r="AI57" t="str">
        <f t="shared" si="2"/>
        <v/>
      </c>
      <c r="AK57" t="str">
        <f t="shared" si="3"/>
        <v/>
      </c>
      <c r="AL57" t="str">
        <f t="shared" si="4"/>
        <v/>
      </c>
      <c r="AM57" t="str">
        <f t="shared" si="5"/>
        <v/>
      </c>
      <c r="AX57" t="str">
        <f t="shared" si="6"/>
        <v/>
      </c>
      <c r="AY57" t="str">
        <f t="shared" si="7"/>
        <v/>
      </c>
      <c r="BB57" t="s">
        <v>361</v>
      </c>
      <c r="BC57" t="str">
        <f>IFERROR(INDEX(_names_lookup!$C:$C,MATCH(BB57,_names_lookup!$A:$A,0)),"")</f>
        <v>ricardo@andrews.edu</v>
      </c>
      <c r="BD57" t="str">
        <f>IFERROR(INDEX(_names_lookup!$B:$B,MATCH(BB57,_names_lookup!$A:$A,0)),"")</f>
        <v>000033967</v>
      </c>
      <c r="BU57" t="s">
        <v>932</v>
      </c>
    </row>
    <row r="58" spans="8:73" x14ac:dyDescent="0.2">
      <c r="H58" t="s">
        <v>1033</v>
      </c>
      <c r="I58" t="s">
        <v>1034</v>
      </c>
      <c r="K58" t="s">
        <v>1035</v>
      </c>
      <c r="N58" t="str">
        <f>IFERROR(INDEX(_courses_lookup!$C:$C,MATCH(J58&amp;K58,_courses_lookup!$E:$E,0)),"")</f>
        <v/>
      </c>
      <c r="O58" t="str">
        <f>IFERROR(INDEX(_courses_lookup!$D:$D,MATCH(J58&amp;K58,_courses_lookup!$E:$E,0)),"")</f>
        <v/>
      </c>
      <c r="AD58" t="str">
        <f t="shared" si="0"/>
        <v/>
      </c>
      <c r="AG58" t="str">
        <f t="shared" si="1"/>
        <v/>
      </c>
      <c r="AI58" t="str">
        <f t="shared" si="2"/>
        <v/>
      </c>
      <c r="AK58" t="str">
        <f t="shared" si="3"/>
        <v/>
      </c>
      <c r="AL58" t="str">
        <f t="shared" si="4"/>
        <v/>
      </c>
      <c r="AM58" t="str">
        <f t="shared" si="5"/>
        <v/>
      </c>
      <c r="AX58" t="str">
        <f t="shared" si="6"/>
        <v/>
      </c>
      <c r="AY58" t="str">
        <f t="shared" si="7"/>
        <v/>
      </c>
      <c r="BB58" t="s">
        <v>363</v>
      </c>
      <c r="BC58" t="str">
        <f>IFERROR(INDEX(_names_lookup!$C:$C,MATCH(BB58,_names_lookup!$A:$A,0)),"")</f>
        <v>ortizl@andrews.edu</v>
      </c>
      <c r="BD58" t="str">
        <f>IFERROR(INDEX(_names_lookup!$B:$B,MATCH(BB58,_names_lookup!$A:$A,0)),"")</f>
        <v>000069315</v>
      </c>
      <c r="BU58" t="s">
        <v>1036</v>
      </c>
    </row>
    <row r="59" spans="8:73" x14ac:dyDescent="0.2">
      <c r="H59" t="s">
        <v>1037</v>
      </c>
      <c r="I59" t="s">
        <v>1038</v>
      </c>
      <c r="K59" t="s">
        <v>1039</v>
      </c>
      <c r="N59" t="str">
        <f>IFERROR(INDEX(_courses_lookup!$C:$C,MATCH(J59&amp;K59,_courses_lookup!$E:$E,0)),"")</f>
        <v/>
      </c>
      <c r="O59" t="str">
        <f>IFERROR(INDEX(_courses_lookup!$D:$D,MATCH(J59&amp;K59,_courses_lookup!$E:$E,0)),"")</f>
        <v/>
      </c>
      <c r="AD59" t="str">
        <f t="shared" si="0"/>
        <v/>
      </c>
      <c r="AG59" t="str">
        <f t="shared" si="1"/>
        <v/>
      </c>
      <c r="AI59" t="str">
        <f t="shared" si="2"/>
        <v/>
      </c>
      <c r="AK59" t="str">
        <f t="shared" si="3"/>
        <v/>
      </c>
      <c r="AL59" t="str">
        <f t="shared" si="4"/>
        <v/>
      </c>
      <c r="AM59" t="str">
        <f t="shared" si="5"/>
        <v/>
      </c>
      <c r="AX59" t="str">
        <f t="shared" si="6"/>
        <v/>
      </c>
      <c r="AY59" t="str">
        <f t="shared" si="7"/>
        <v/>
      </c>
      <c r="BB59" t="s">
        <v>365</v>
      </c>
      <c r="BC59" t="str">
        <f>IFERROR(INDEX(_names_lookup!$C:$C,MATCH(BB59,_names_lookup!$A:$A,0)),"")</f>
        <v>rpaquini@andrews.edu</v>
      </c>
      <c r="BD59" t="str">
        <f>IFERROR(INDEX(_names_lookup!$B:$B,MATCH(BB59,_names_lookup!$A:$A,0)),"")</f>
        <v>000105171</v>
      </c>
      <c r="BU59" t="s">
        <v>1040</v>
      </c>
    </row>
    <row r="60" spans="8:73" x14ac:dyDescent="0.2">
      <c r="H60" t="s">
        <v>1041</v>
      </c>
      <c r="I60" t="s">
        <v>1042</v>
      </c>
      <c r="K60" t="s">
        <v>1043</v>
      </c>
      <c r="N60" t="str">
        <f>IFERROR(INDEX(_courses_lookup!$C:$C,MATCH(J60&amp;K60,_courses_lookup!$E:$E,0)),"")</f>
        <v/>
      </c>
      <c r="O60" t="str">
        <f>IFERROR(INDEX(_courses_lookup!$D:$D,MATCH(J60&amp;K60,_courses_lookup!$E:$E,0)),"")</f>
        <v/>
      </c>
      <c r="AD60" t="str">
        <f t="shared" si="0"/>
        <v/>
      </c>
      <c r="AG60" t="str">
        <f t="shared" si="1"/>
        <v/>
      </c>
      <c r="AI60" t="str">
        <f t="shared" si="2"/>
        <v/>
      </c>
      <c r="AK60" t="str">
        <f t="shared" si="3"/>
        <v/>
      </c>
      <c r="AL60" t="str">
        <f t="shared" si="4"/>
        <v/>
      </c>
      <c r="AM60" t="str">
        <f t="shared" si="5"/>
        <v/>
      </c>
      <c r="AX60" t="str">
        <f t="shared" si="6"/>
        <v/>
      </c>
      <c r="AY60" t="str">
        <f t="shared" si="7"/>
        <v/>
      </c>
      <c r="BB60" t="s">
        <v>154</v>
      </c>
      <c r="BC60" t="str">
        <f>IFERROR(INDEX(_names_lookup!$C:$C,MATCH(BB60,_names_lookup!$A:$A,0)),"")</f>
        <v>ramosi@andrews.edu</v>
      </c>
      <c r="BD60" t="str">
        <f>IFERROR(INDEX(_names_lookup!$B:$B,MATCH(BB60,_names_lookup!$A:$A,0)),"")</f>
        <v>000111021</v>
      </c>
      <c r="BU60" t="s">
        <v>947</v>
      </c>
    </row>
    <row r="61" spans="8:73" x14ac:dyDescent="0.2">
      <c r="H61" t="s">
        <v>1044</v>
      </c>
      <c r="I61" t="s">
        <v>1045</v>
      </c>
      <c r="K61" t="s">
        <v>1046</v>
      </c>
      <c r="N61" t="str">
        <f>IFERROR(INDEX(_courses_lookup!$C:$C,MATCH(J61&amp;K61,_courses_lookup!$E:$E,0)),"")</f>
        <v/>
      </c>
      <c r="O61" t="str">
        <f>IFERROR(INDEX(_courses_lookup!$D:$D,MATCH(J61&amp;K61,_courses_lookup!$E:$E,0)),"")</f>
        <v/>
      </c>
      <c r="AD61" t="str">
        <f t="shared" si="0"/>
        <v/>
      </c>
      <c r="AG61" t="str">
        <f t="shared" si="1"/>
        <v/>
      </c>
      <c r="AI61" t="str">
        <f t="shared" si="2"/>
        <v/>
      </c>
      <c r="AK61" t="str">
        <f t="shared" si="3"/>
        <v/>
      </c>
      <c r="AL61" t="str">
        <f t="shared" si="4"/>
        <v/>
      </c>
      <c r="AM61" t="str">
        <f t="shared" si="5"/>
        <v/>
      </c>
      <c r="AX61" t="str">
        <f t="shared" si="6"/>
        <v/>
      </c>
      <c r="AY61" t="str">
        <f t="shared" si="7"/>
        <v/>
      </c>
      <c r="BB61" t="s">
        <v>155</v>
      </c>
      <c r="BC61" t="str">
        <f>IFERROR(INDEX(_names_lookup!$C:$C,MATCH(BB61,_names_lookup!$A:$A,0)),"")</f>
        <v>reddy@andrews.edu</v>
      </c>
      <c r="BD61" t="str">
        <f>IFERROR(INDEX(_names_lookup!$B:$B,MATCH(BB61,_names_lookup!$A:$A,0)),"")</f>
        <v>000159825</v>
      </c>
      <c r="BU61" t="s">
        <v>1047</v>
      </c>
    </row>
    <row r="62" spans="8:73" x14ac:dyDescent="0.2">
      <c r="H62" t="s">
        <v>1048</v>
      </c>
      <c r="I62" t="s">
        <v>1049</v>
      </c>
      <c r="K62" t="s">
        <v>1050</v>
      </c>
      <c r="N62" t="str">
        <f>IFERROR(INDEX(_courses_lookup!$C:$C,MATCH(J62&amp;K62,_courses_lookup!$E:$E,0)),"")</f>
        <v/>
      </c>
      <c r="O62" t="str">
        <f>IFERROR(INDEX(_courses_lookup!$D:$D,MATCH(J62&amp;K62,_courses_lookup!$E:$E,0)),"")</f>
        <v/>
      </c>
      <c r="AD62" t="str">
        <f t="shared" si="0"/>
        <v/>
      </c>
      <c r="AG62" t="str">
        <f t="shared" si="1"/>
        <v/>
      </c>
      <c r="AI62" t="str">
        <f t="shared" si="2"/>
        <v/>
      </c>
      <c r="AK62" t="str">
        <f t="shared" si="3"/>
        <v/>
      </c>
      <c r="AL62" t="str">
        <f t="shared" si="4"/>
        <v/>
      </c>
      <c r="AM62" t="str">
        <f t="shared" si="5"/>
        <v/>
      </c>
      <c r="AX62" t="str">
        <f t="shared" si="6"/>
        <v/>
      </c>
      <c r="AY62" t="str">
        <f t="shared" si="7"/>
        <v/>
      </c>
      <c r="BB62" t="s">
        <v>156</v>
      </c>
      <c r="BC62" t="str">
        <f>IFERROR(INDEX(_names_lookup!$C:$C,MATCH(BB62,_names_lookup!$A:$A,0)),"")</f>
        <v>reinert@andrews.edu</v>
      </c>
      <c r="BD62" t="str">
        <f>IFERROR(INDEX(_names_lookup!$B:$B,MATCH(BB62,_names_lookup!$A:$A,0)),"")</f>
        <v>000195832</v>
      </c>
      <c r="BU62" t="s">
        <v>1051</v>
      </c>
    </row>
    <row r="63" spans="8:73" x14ac:dyDescent="0.2">
      <c r="H63" t="s">
        <v>1052</v>
      </c>
      <c r="I63" t="s">
        <v>1053</v>
      </c>
      <c r="K63" t="s">
        <v>1054</v>
      </c>
      <c r="N63" t="str">
        <f>IFERROR(INDEX(_courses_lookup!$C:$C,MATCH(J63&amp;K63,_courses_lookup!$E:$E,0)),"")</f>
        <v/>
      </c>
      <c r="O63" t="str">
        <f>IFERROR(INDEX(_courses_lookup!$D:$D,MATCH(J63&amp;K63,_courses_lookup!$E:$E,0)),"")</f>
        <v/>
      </c>
      <c r="AD63" t="str">
        <f t="shared" si="0"/>
        <v/>
      </c>
      <c r="AG63" t="str">
        <f t="shared" si="1"/>
        <v/>
      </c>
      <c r="AI63" t="str">
        <f t="shared" si="2"/>
        <v/>
      </c>
      <c r="AK63" t="str">
        <f t="shared" si="3"/>
        <v/>
      </c>
      <c r="AL63" t="str">
        <f t="shared" si="4"/>
        <v/>
      </c>
      <c r="AM63" t="str">
        <f t="shared" si="5"/>
        <v/>
      </c>
      <c r="AX63" t="str">
        <f t="shared" si="6"/>
        <v/>
      </c>
      <c r="AY63" t="str">
        <f t="shared" si="7"/>
        <v/>
      </c>
      <c r="BB63" t="s">
        <v>157</v>
      </c>
      <c r="BC63" t="str">
        <f>IFERROR(INDEX(_names_lookup!$C:$C,MATCH(BB63,_names_lookup!$A:$A,0)),"")</f>
        <v>sedlacek@andrews.edu</v>
      </c>
      <c r="BD63" t="str">
        <f>IFERROR(INDEX(_names_lookup!$B:$B,MATCH(BB63,_names_lookup!$A:$A,0)),"")</f>
        <v>000142355</v>
      </c>
      <c r="BU63" t="s">
        <v>611</v>
      </c>
    </row>
    <row r="64" spans="8:73" x14ac:dyDescent="0.2">
      <c r="H64" t="s">
        <v>1055</v>
      </c>
      <c r="I64" t="s">
        <v>1056</v>
      </c>
      <c r="K64" t="s">
        <v>1057</v>
      </c>
      <c r="N64" t="str">
        <f>IFERROR(INDEX(_courses_lookup!$C:$C,MATCH(J64&amp;K64,_courses_lookup!$E:$E,0)),"")</f>
        <v/>
      </c>
      <c r="O64" t="str">
        <f>IFERROR(INDEX(_courses_lookup!$D:$D,MATCH(J64&amp;K64,_courses_lookup!$E:$E,0)),"")</f>
        <v/>
      </c>
      <c r="AD64" t="str">
        <f t="shared" si="0"/>
        <v/>
      </c>
      <c r="AG64" t="str">
        <f t="shared" si="1"/>
        <v/>
      </c>
      <c r="AI64" t="str">
        <f t="shared" si="2"/>
        <v/>
      </c>
      <c r="AK64" t="str">
        <f t="shared" si="3"/>
        <v/>
      </c>
      <c r="AL64" t="str">
        <f t="shared" si="4"/>
        <v/>
      </c>
      <c r="AM64" t="str">
        <f t="shared" si="5"/>
        <v/>
      </c>
      <c r="AX64" t="str">
        <f t="shared" si="6"/>
        <v/>
      </c>
      <c r="AY64" t="str">
        <f t="shared" si="7"/>
        <v/>
      </c>
      <c r="BB64" t="s">
        <v>158</v>
      </c>
      <c r="BC64" t="str">
        <f>IFERROR(INDEX(_names_lookup!$C:$C,MATCH(BB64,_names_lookup!$A:$A,0)),"")</f>
        <v>sward@andrews.edu</v>
      </c>
      <c r="BD64" t="str">
        <f>IFERROR(INDEX(_names_lookup!$B:$B,MATCH(BB64,_names_lookup!$A:$A,0)),"")</f>
        <v>000077973</v>
      </c>
      <c r="BU64" t="s">
        <v>1058</v>
      </c>
    </row>
    <row r="65" spans="8:73" x14ac:dyDescent="0.2">
      <c r="H65" t="s">
        <v>1059</v>
      </c>
      <c r="I65" t="s">
        <v>1060</v>
      </c>
      <c r="K65" t="s">
        <v>1061</v>
      </c>
      <c r="N65" t="str">
        <f>IFERROR(INDEX(_courses_lookup!$C:$C,MATCH(J65&amp;K65,_courses_lookup!$E:$E,0)),"")</f>
        <v/>
      </c>
      <c r="O65" t="str">
        <f>IFERROR(INDEX(_courses_lookup!$D:$D,MATCH(J65&amp;K65,_courses_lookup!$E:$E,0)),"")</f>
        <v/>
      </c>
      <c r="AD65" t="str">
        <f t="shared" si="0"/>
        <v/>
      </c>
      <c r="AG65" t="str">
        <f t="shared" si="1"/>
        <v/>
      </c>
      <c r="AI65" t="str">
        <f t="shared" si="2"/>
        <v/>
      </c>
      <c r="AK65" t="str">
        <f t="shared" si="3"/>
        <v/>
      </c>
      <c r="AL65" t="str">
        <f t="shared" si="4"/>
        <v/>
      </c>
      <c r="AM65" t="str">
        <f t="shared" si="5"/>
        <v/>
      </c>
      <c r="AX65" t="str">
        <f t="shared" si="6"/>
        <v/>
      </c>
      <c r="AY65" t="str">
        <f t="shared" si="7"/>
        <v/>
      </c>
      <c r="BB65" t="s">
        <v>376</v>
      </c>
      <c r="BC65" t="str">
        <f>IFERROR(INDEX(_names_lookup!$C:$C,MATCH(BB65,_names_lookup!$A:$A,0)),"")</f>
        <v>yeagley@andrews.edu</v>
      </c>
      <c r="BD65" t="str">
        <f>IFERROR(INDEX(_names_lookup!$B:$B,MATCH(BB65,_names_lookup!$A:$A,0)),"")</f>
        <v>000041250</v>
      </c>
      <c r="BU65" t="s">
        <v>574</v>
      </c>
    </row>
    <row r="66" spans="8:73" x14ac:dyDescent="0.2">
      <c r="H66" t="s">
        <v>1062</v>
      </c>
      <c r="I66" t="s">
        <v>1063</v>
      </c>
      <c r="K66" t="s">
        <v>1064</v>
      </c>
      <c r="N66" t="str">
        <f>IFERROR(INDEX(_courses_lookup!$C:$C,MATCH(J66&amp;K66,_courses_lookup!$E:$E,0)),"")</f>
        <v/>
      </c>
      <c r="O66" t="str">
        <f>IFERROR(INDEX(_courses_lookup!$D:$D,MATCH(J66&amp;K66,_courses_lookup!$E:$E,0)),"")</f>
        <v/>
      </c>
      <c r="AD66" t="str">
        <f t="shared" ref="AD66:AD129" si="8">IFERROR(IF(AB66*AC66=0,"",AB66*AC66),"")</f>
        <v/>
      </c>
      <c r="AG66" t="str">
        <f t="shared" ref="AG66:AG129" si="9">IF(AND(AE66&lt;&gt;"",AF66&lt;&gt;""),ROUNDUP((AF66-AE66)/7,0),"")</f>
        <v/>
      </c>
      <c r="AI66" t="str">
        <f t="shared" ref="AI66:AI129" si="10">IFERROR(IF(AG66*AH66=0,"",AG66*AH66),"")</f>
        <v/>
      </c>
      <c r="AK66" t="str">
        <f t="shared" ref="AK66:AK129" si="11">IFERROR(IF((AN66-(AD66+AI66))/AJ66=0,"",ROUNDUP((AN66-(AD66+AI66))/AJ66,0)),"")</f>
        <v/>
      </c>
      <c r="AL66" t="str">
        <f t="shared" ref="AL66:AL129" si="12">IFERROR(IF((AN66-(AD66+AI66))=0,"",(AN66-(AD66+AI66))),"")</f>
        <v/>
      </c>
      <c r="AM66" t="str">
        <f t="shared" ref="AM66:AM129" si="13">IF(AND(AB66="",AJ66=""),AG66,IF(SUM(AB66,AG66,AJ66)=0,"",SUM(AB66,AG66,AJ66)))</f>
        <v/>
      </c>
      <c r="AX66" t="str">
        <f t="shared" ref="AX66:AX129" si="14">IF(AA66="","",YEAR(AA66)+IF(MONTH(AA66)&gt;=5,1,0))</f>
        <v/>
      </c>
      <c r="AY66" t="str">
        <f t="shared" ref="AY66:AY129" si="15">IF(AA66="","",IF(AND(MONTH(AA66)=8,DAY(AA66)&gt;=15),"Fall",IF(MONTH(AA66)&gt;8,"Fall",IF(MONTH(AA66)=5,"Summer",IF(MONTH(AA66)=1,"Spring","")))))</f>
        <v/>
      </c>
      <c r="BB66" t="s">
        <v>159</v>
      </c>
      <c r="BC66" t="str">
        <f>IFERROR(INDEX(_names_lookup!$C:$C,MATCH(BB66,_names_lookup!$A:$A,0)),"")</f>
        <v>jharony@andrews.edu</v>
      </c>
      <c r="BD66" t="str">
        <f>IFERROR(INDEX(_names_lookup!$B:$B,MATCH(BB66,_names_lookup!$A:$A,0)),"")</f>
        <v>000140039</v>
      </c>
      <c r="BU66" t="s">
        <v>598</v>
      </c>
    </row>
    <row r="67" spans="8:73" x14ac:dyDescent="0.2">
      <c r="H67" t="s">
        <v>1065</v>
      </c>
      <c r="I67" t="s">
        <v>1066</v>
      </c>
      <c r="K67" t="s">
        <v>1067</v>
      </c>
      <c r="N67" t="str">
        <f>IFERROR(INDEX(_courses_lookup!$C:$C,MATCH(J67&amp;K67,_courses_lookup!$E:$E,0)),"")</f>
        <v/>
      </c>
      <c r="O67" t="str">
        <f>IFERROR(INDEX(_courses_lookup!$D:$D,MATCH(J67&amp;K67,_courses_lookup!$E:$E,0)),"")</f>
        <v/>
      </c>
      <c r="AD67" t="str">
        <f t="shared" si="8"/>
        <v/>
      </c>
      <c r="AG67" t="str">
        <f t="shared" si="9"/>
        <v/>
      </c>
      <c r="AI67" t="str">
        <f t="shared" si="10"/>
        <v/>
      </c>
      <c r="AK67" t="str">
        <f t="shared" si="11"/>
        <v/>
      </c>
      <c r="AL67" t="str">
        <f t="shared" si="12"/>
        <v/>
      </c>
      <c r="AM67" t="str">
        <f t="shared" si="13"/>
        <v/>
      </c>
      <c r="AX67" t="str">
        <f t="shared" si="14"/>
        <v/>
      </c>
      <c r="AY67" t="str">
        <f t="shared" si="15"/>
        <v/>
      </c>
      <c r="BB67" t="s">
        <v>160</v>
      </c>
      <c r="BC67" t="str">
        <f>IFERROR(INDEX(_names_lookup!$C:$C,MATCH(BB67,_names_lookup!$A:$A,0)),"")</f>
        <v>pegueroc@andrews.edu</v>
      </c>
      <c r="BD67" t="str">
        <f>IFERROR(INDEX(_names_lookup!$B:$B,MATCH(BB67,_names_lookup!$A:$A,0)),"")</f>
        <v>000130089</v>
      </c>
      <c r="BU67" t="s">
        <v>1068</v>
      </c>
    </row>
    <row r="68" spans="8:73" x14ac:dyDescent="0.2">
      <c r="H68" t="s">
        <v>1069</v>
      </c>
      <c r="I68" t="s">
        <v>1070</v>
      </c>
      <c r="K68" t="s">
        <v>1071</v>
      </c>
      <c r="N68" t="str">
        <f>IFERROR(INDEX(_courses_lookup!$C:$C,MATCH(J68&amp;K68,_courses_lookup!$E:$E,0)),"")</f>
        <v/>
      </c>
      <c r="O68" t="str">
        <f>IFERROR(INDEX(_courses_lookup!$D:$D,MATCH(J68&amp;K68,_courses_lookup!$E:$E,0)),"")</f>
        <v/>
      </c>
      <c r="AD68" t="str">
        <f t="shared" si="8"/>
        <v/>
      </c>
      <c r="AG68" t="str">
        <f t="shared" si="9"/>
        <v/>
      </c>
      <c r="AI68" t="str">
        <f t="shared" si="10"/>
        <v/>
      </c>
      <c r="AK68" t="str">
        <f t="shared" si="11"/>
        <v/>
      </c>
      <c r="AL68" t="str">
        <f t="shared" si="12"/>
        <v/>
      </c>
      <c r="AM68" t="str">
        <f t="shared" si="13"/>
        <v/>
      </c>
      <c r="AX68" t="str">
        <f t="shared" si="14"/>
        <v/>
      </c>
      <c r="AY68" t="str">
        <f t="shared" si="15"/>
        <v/>
      </c>
      <c r="BB68" t="s">
        <v>371</v>
      </c>
      <c r="BC68" t="str">
        <f>IFERROR(INDEX(_names_lookup!$C:$C,MATCH(BB68,_names_lookup!$A:$A,0)),"")</f>
        <v>richardsn@andrews.edu</v>
      </c>
      <c r="BD68" t="str">
        <f>IFERROR(INDEX(_names_lookup!$B:$B,MATCH(BB68,_names_lookup!$A:$A,0)),"")</f>
        <v>000230576</v>
      </c>
      <c r="BU68" t="s">
        <v>1072</v>
      </c>
    </row>
    <row r="69" spans="8:73" x14ac:dyDescent="0.2">
      <c r="H69" t="s">
        <v>1073</v>
      </c>
      <c r="I69" t="s">
        <v>1074</v>
      </c>
      <c r="K69" t="s">
        <v>1075</v>
      </c>
      <c r="N69" t="str">
        <f>IFERROR(INDEX(_courses_lookup!$C:$C,MATCH(J69&amp;K69,_courses_lookup!$E:$E,0)),"")</f>
        <v/>
      </c>
      <c r="O69" t="str">
        <f>IFERROR(INDEX(_courses_lookup!$D:$D,MATCH(J69&amp;K69,_courses_lookup!$E:$E,0)),"")</f>
        <v/>
      </c>
      <c r="AD69" t="str">
        <f t="shared" si="8"/>
        <v/>
      </c>
      <c r="AG69" t="str">
        <f t="shared" si="9"/>
        <v/>
      </c>
      <c r="AI69" t="str">
        <f t="shared" si="10"/>
        <v/>
      </c>
      <c r="AK69" t="str">
        <f t="shared" si="11"/>
        <v/>
      </c>
      <c r="AL69" t="str">
        <f t="shared" si="12"/>
        <v/>
      </c>
      <c r="AM69" t="str">
        <f t="shared" si="13"/>
        <v/>
      </c>
      <c r="AX69" t="str">
        <f t="shared" si="14"/>
        <v/>
      </c>
      <c r="AY69" t="str">
        <f t="shared" si="15"/>
        <v/>
      </c>
      <c r="BB69" t="s">
        <v>337</v>
      </c>
      <c r="BC69" t="str">
        <f>IFERROR(INDEX(_names_lookup!$C:$C,MATCH(BB69,_names_lookup!$A:$A,0)),"")</f>
        <v>steve@andrews.edu</v>
      </c>
      <c r="BD69" t="str">
        <f>IFERROR(INDEX(_names_lookup!$B:$B,MATCH(BB69,_names_lookup!$A:$A,0)),"")</f>
        <v>000040389</v>
      </c>
      <c r="BU69" t="s">
        <v>624</v>
      </c>
    </row>
    <row r="70" spans="8:73" x14ac:dyDescent="0.2">
      <c r="H70" t="s">
        <v>1076</v>
      </c>
      <c r="I70" t="s">
        <v>1077</v>
      </c>
      <c r="K70" t="s">
        <v>1078</v>
      </c>
      <c r="N70" t="str">
        <f>IFERROR(INDEX(_courses_lookup!$C:$C,MATCH(J70&amp;K70,_courses_lookup!$E:$E,0)),"")</f>
        <v/>
      </c>
      <c r="O70" t="str">
        <f>IFERROR(INDEX(_courses_lookup!$D:$D,MATCH(J70&amp;K70,_courses_lookup!$E:$E,0)),"")</f>
        <v/>
      </c>
      <c r="AD70" t="str">
        <f t="shared" si="8"/>
        <v/>
      </c>
      <c r="AG70" t="str">
        <f t="shared" si="9"/>
        <v/>
      </c>
      <c r="AI70" t="str">
        <f t="shared" si="10"/>
        <v/>
      </c>
      <c r="AK70" t="str">
        <f t="shared" si="11"/>
        <v/>
      </c>
      <c r="AL70" t="str">
        <f t="shared" si="12"/>
        <v/>
      </c>
      <c r="AM70" t="str">
        <f t="shared" si="13"/>
        <v/>
      </c>
      <c r="AX70" t="str">
        <f t="shared" si="14"/>
        <v/>
      </c>
      <c r="AY70" t="str">
        <f t="shared" si="15"/>
        <v/>
      </c>
      <c r="BB70" t="s">
        <v>161</v>
      </c>
      <c r="BC70" t="str">
        <f>IFERROR(INDEX(_names_lookup!$C:$C,MATCH(BB70,_names_lookup!$A:$A,0)),"")</f>
        <v>curtisf@andrews.edu</v>
      </c>
      <c r="BD70" t="str">
        <f>IFERROR(INDEX(_names_lookup!$B:$B,MATCH(BB70,_names_lookup!$A:$A,0)),"")</f>
        <v>000062042</v>
      </c>
      <c r="BU70" t="s">
        <v>1079</v>
      </c>
    </row>
    <row r="71" spans="8:73" x14ac:dyDescent="0.2">
      <c r="H71" t="s">
        <v>1080</v>
      </c>
      <c r="I71" t="s">
        <v>1081</v>
      </c>
      <c r="K71" t="s">
        <v>1082</v>
      </c>
      <c r="N71" t="str">
        <f>IFERROR(INDEX(_courses_lookup!$C:$C,MATCH(J71&amp;K71,_courses_lookup!$E:$E,0)),"")</f>
        <v/>
      </c>
      <c r="O71" t="str">
        <f>IFERROR(INDEX(_courses_lookup!$D:$D,MATCH(J71&amp;K71,_courses_lookup!$E:$E,0)),"")</f>
        <v/>
      </c>
      <c r="AD71" t="str">
        <f t="shared" si="8"/>
        <v/>
      </c>
      <c r="AG71" t="str">
        <f t="shared" si="9"/>
        <v/>
      </c>
      <c r="AI71" t="str">
        <f t="shared" si="10"/>
        <v/>
      </c>
      <c r="AK71" t="str">
        <f t="shared" si="11"/>
        <v/>
      </c>
      <c r="AL71" t="str">
        <f t="shared" si="12"/>
        <v/>
      </c>
      <c r="AM71" t="str">
        <f t="shared" si="13"/>
        <v/>
      </c>
      <c r="AX71" t="str">
        <f t="shared" si="14"/>
        <v/>
      </c>
      <c r="AY71" t="str">
        <f t="shared" si="15"/>
        <v/>
      </c>
      <c r="BB71" t="s">
        <v>162</v>
      </c>
      <c r="BC71" t="str">
        <f>IFERROR(INDEX(_names_lookup!$C:$C,MATCH(BB71,_names_lookup!$A:$A,0)),"")</f>
        <v>elim@andrews.edu</v>
      </c>
      <c r="BD71" t="str">
        <f>IFERROR(INDEX(_names_lookup!$B:$B,MATCH(BB71,_names_lookup!$A:$A,0)),"")</f>
        <v>000132146</v>
      </c>
      <c r="BU71" t="s">
        <v>982</v>
      </c>
    </row>
    <row r="72" spans="8:73" x14ac:dyDescent="0.2">
      <c r="H72" t="s">
        <v>1083</v>
      </c>
      <c r="I72" t="s">
        <v>1084</v>
      </c>
      <c r="K72" t="s">
        <v>1085</v>
      </c>
      <c r="N72" t="str">
        <f>IFERROR(INDEX(_courses_lookup!$C:$C,MATCH(J72&amp;K72,_courses_lookup!$E:$E,0)),"")</f>
        <v/>
      </c>
      <c r="O72" t="str">
        <f>IFERROR(INDEX(_courses_lookup!$D:$D,MATCH(J72&amp;K72,_courses_lookup!$E:$E,0)),"")</f>
        <v/>
      </c>
      <c r="AD72" t="str">
        <f t="shared" si="8"/>
        <v/>
      </c>
      <c r="AG72" t="str">
        <f t="shared" si="9"/>
        <v/>
      </c>
      <c r="AI72" t="str">
        <f t="shared" si="10"/>
        <v/>
      </c>
      <c r="AK72" t="str">
        <f t="shared" si="11"/>
        <v/>
      </c>
      <c r="AL72" t="str">
        <f t="shared" si="12"/>
        <v/>
      </c>
      <c r="AM72" t="str">
        <f t="shared" si="13"/>
        <v/>
      </c>
      <c r="AX72" t="str">
        <f t="shared" si="14"/>
        <v/>
      </c>
      <c r="AY72" t="str">
        <f t="shared" si="15"/>
        <v/>
      </c>
      <c r="BB72" t="s">
        <v>163</v>
      </c>
      <c r="BC72" t="str">
        <f>IFERROR(INDEX(_names_lookup!$C:$C,MATCH(BB72,_names_lookup!$A:$A,0)),"")</f>
        <v>maxson@andrews.edu</v>
      </c>
      <c r="BD72" t="str">
        <f>IFERROR(INDEX(_names_lookup!$B:$B,MATCH(BB72,_names_lookup!$A:$A,0)),"")</f>
        <v>000025977</v>
      </c>
      <c r="BU72" t="s">
        <v>1086</v>
      </c>
    </row>
    <row r="73" spans="8:73" x14ac:dyDescent="0.2">
      <c r="H73" t="s">
        <v>1087</v>
      </c>
      <c r="I73" t="s">
        <v>1088</v>
      </c>
      <c r="K73" t="s">
        <v>1089</v>
      </c>
      <c r="N73" t="str">
        <f>IFERROR(INDEX(_courses_lookup!$C:$C,MATCH(J73&amp;K73,_courses_lookup!$E:$E,0)),"")</f>
        <v/>
      </c>
      <c r="O73" t="str">
        <f>IFERROR(INDEX(_courses_lookup!$D:$D,MATCH(J73&amp;K73,_courses_lookup!$E:$E,0)),"")</f>
        <v/>
      </c>
      <c r="AD73" t="str">
        <f t="shared" si="8"/>
        <v/>
      </c>
      <c r="AG73" t="str">
        <f t="shared" si="9"/>
        <v/>
      </c>
      <c r="AI73" t="str">
        <f t="shared" si="10"/>
        <v/>
      </c>
      <c r="AK73" t="str">
        <f t="shared" si="11"/>
        <v/>
      </c>
      <c r="AL73" t="str">
        <f t="shared" si="12"/>
        <v/>
      </c>
      <c r="AM73" t="str">
        <f t="shared" si="13"/>
        <v/>
      </c>
      <c r="AX73" t="str">
        <f t="shared" si="14"/>
        <v/>
      </c>
      <c r="AY73" t="str">
        <f t="shared" si="15"/>
        <v/>
      </c>
      <c r="BB73" t="s">
        <v>164</v>
      </c>
      <c r="BC73" t="str">
        <f>IFERROR(INDEX(_names_lookup!$C:$C,MATCH(BB73,_names_lookup!$A:$A,0)),"")</f>
        <v>wilberto@andrews.edu</v>
      </c>
      <c r="BD73" t="str">
        <f>IFERROR(INDEX(_names_lookup!$B:$B,MATCH(BB73,_names_lookup!$A:$A,0)),"")</f>
        <v>000034125</v>
      </c>
      <c r="BU73" t="s">
        <v>1090</v>
      </c>
    </row>
    <row r="74" spans="8:73" x14ac:dyDescent="0.2">
      <c r="H74" t="s">
        <v>1091</v>
      </c>
      <c r="I74" t="s">
        <v>1092</v>
      </c>
      <c r="K74" t="s">
        <v>1093</v>
      </c>
      <c r="N74" t="str">
        <f>IFERROR(INDEX(_courses_lookup!$C:$C,MATCH(J74&amp;K74,_courses_lookup!$E:$E,0)),"")</f>
        <v/>
      </c>
      <c r="O74" t="str">
        <f>IFERROR(INDEX(_courses_lookup!$D:$D,MATCH(J74&amp;K74,_courses_lookup!$E:$E,0)),"")</f>
        <v/>
      </c>
      <c r="AD74" t="str">
        <f t="shared" si="8"/>
        <v/>
      </c>
      <c r="AG74" t="str">
        <f t="shared" si="9"/>
        <v/>
      </c>
      <c r="AI74" t="str">
        <f t="shared" si="10"/>
        <v/>
      </c>
      <c r="AK74" t="str">
        <f t="shared" si="11"/>
        <v/>
      </c>
      <c r="AL74" t="str">
        <f t="shared" si="12"/>
        <v/>
      </c>
      <c r="AM74" t="str">
        <f t="shared" si="13"/>
        <v/>
      </c>
      <c r="AX74" t="str">
        <f t="shared" si="14"/>
        <v/>
      </c>
      <c r="AY74" t="str">
        <f t="shared" si="15"/>
        <v/>
      </c>
      <c r="BB74" t="s">
        <v>165</v>
      </c>
      <c r="BC74" t="str">
        <f>IFERROR(INDEX(_names_lookup!$C:$C,MATCH(BB74,_names_lookup!$A:$A,0)),"")</f>
        <v>olivo@andrews.edu</v>
      </c>
      <c r="BD74" t="str">
        <f>IFERROR(INDEX(_names_lookup!$B:$B,MATCH(BB74,_names_lookup!$A:$A,0)),"")</f>
        <v>000046389</v>
      </c>
      <c r="BU74" t="s">
        <v>1094</v>
      </c>
    </row>
    <row r="75" spans="8:73" x14ac:dyDescent="0.2">
      <c r="H75" t="s">
        <v>1095</v>
      </c>
      <c r="I75" t="s">
        <v>1096</v>
      </c>
      <c r="K75" t="s">
        <v>1097</v>
      </c>
      <c r="N75" t="str">
        <f>IFERROR(INDEX(_courses_lookup!$C:$C,MATCH(J75&amp;K75,_courses_lookup!$E:$E,0)),"")</f>
        <v/>
      </c>
      <c r="O75" t="str">
        <f>IFERROR(INDEX(_courses_lookup!$D:$D,MATCH(J75&amp;K75,_courses_lookup!$E:$E,0)),"")</f>
        <v/>
      </c>
      <c r="AD75" t="str">
        <f t="shared" si="8"/>
        <v/>
      </c>
      <c r="AG75" t="str">
        <f t="shared" si="9"/>
        <v/>
      </c>
      <c r="AI75" t="str">
        <f t="shared" si="10"/>
        <v/>
      </c>
      <c r="AK75" t="str">
        <f t="shared" si="11"/>
        <v/>
      </c>
      <c r="AL75" t="str">
        <f t="shared" si="12"/>
        <v/>
      </c>
      <c r="AM75" t="str">
        <f t="shared" si="13"/>
        <v/>
      </c>
      <c r="AX75" t="str">
        <f t="shared" si="14"/>
        <v/>
      </c>
      <c r="AY75" t="str">
        <f t="shared" si="15"/>
        <v/>
      </c>
      <c r="BB75" t="s">
        <v>166</v>
      </c>
      <c r="BC75" t="str">
        <f>IFERROR(INDEX(_names_lookup!$C:$C,MATCH(BB75,_names_lookup!$A:$A,0)),"")</f>
        <v>swansonp@andrews.edu</v>
      </c>
      <c r="BD75" t="str">
        <f>IFERROR(INDEX(_names_lookup!$B:$B,MATCH(BB75,_names_lookup!$A:$A,0)),"")</f>
        <v>000031571</v>
      </c>
      <c r="BU75" t="s">
        <v>1098</v>
      </c>
    </row>
    <row r="76" spans="8:73" x14ac:dyDescent="0.2">
      <c r="H76" t="s">
        <v>1099</v>
      </c>
      <c r="I76" t="s">
        <v>1100</v>
      </c>
      <c r="K76" t="s">
        <v>1101</v>
      </c>
      <c r="N76" t="str">
        <f>IFERROR(INDEX(_courses_lookup!$C:$C,MATCH(J76&amp;K76,_courses_lookup!$E:$E,0)),"")</f>
        <v/>
      </c>
      <c r="O76" t="str">
        <f>IFERROR(INDEX(_courses_lookup!$D:$D,MATCH(J76&amp;K76,_courses_lookup!$E:$E,0)),"")</f>
        <v/>
      </c>
      <c r="AD76" t="str">
        <f t="shared" si="8"/>
        <v/>
      </c>
      <c r="AG76" t="str">
        <f t="shared" si="9"/>
        <v/>
      </c>
      <c r="AI76" t="str">
        <f t="shared" si="10"/>
        <v/>
      </c>
      <c r="AK76" t="str">
        <f t="shared" si="11"/>
        <v/>
      </c>
      <c r="AL76" t="str">
        <f t="shared" si="12"/>
        <v/>
      </c>
      <c r="AM76" t="str">
        <f t="shared" si="13"/>
        <v/>
      </c>
      <c r="AX76" t="str">
        <f t="shared" si="14"/>
        <v/>
      </c>
      <c r="AY76" t="str">
        <f t="shared" si="15"/>
        <v/>
      </c>
      <c r="BB76" t="s">
        <v>167</v>
      </c>
      <c r="BC76" t="str">
        <f>IFERROR(INDEX(_names_lookup!$C:$C,MATCH(BB76,_names_lookup!$A:$A,0)),"")</f>
        <v>walshe@andrews.edu</v>
      </c>
      <c r="BD76" t="str">
        <f>IFERROR(INDEX(_names_lookup!$B:$B,MATCH(BB76,_names_lookup!$A:$A,0)),"")</f>
        <v>000136308</v>
      </c>
      <c r="BU76" t="s">
        <v>1002</v>
      </c>
    </row>
    <row r="77" spans="8:73" x14ac:dyDescent="0.2">
      <c r="H77" t="s">
        <v>1102</v>
      </c>
      <c r="I77" t="s">
        <v>1103</v>
      </c>
      <c r="K77" t="s">
        <v>1104</v>
      </c>
      <c r="N77" t="str">
        <f>IFERROR(INDEX(_courses_lookup!$C:$C,MATCH(J77&amp;K77,_courses_lookup!$E:$E,0)),"")</f>
        <v/>
      </c>
      <c r="O77" t="str">
        <f>IFERROR(INDEX(_courses_lookup!$D:$D,MATCH(J77&amp;K77,_courses_lookup!$E:$E,0)),"")</f>
        <v/>
      </c>
      <c r="AD77" t="str">
        <f t="shared" si="8"/>
        <v/>
      </c>
      <c r="AG77" t="str">
        <f t="shared" si="9"/>
        <v/>
      </c>
      <c r="AI77" t="str">
        <f t="shared" si="10"/>
        <v/>
      </c>
      <c r="AK77" t="str">
        <f t="shared" si="11"/>
        <v/>
      </c>
      <c r="AL77" t="str">
        <f t="shared" si="12"/>
        <v/>
      </c>
      <c r="AM77" t="str">
        <f t="shared" si="13"/>
        <v/>
      </c>
      <c r="AX77" t="str">
        <f t="shared" si="14"/>
        <v/>
      </c>
      <c r="AY77" t="str">
        <f t="shared" si="15"/>
        <v/>
      </c>
      <c r="BB77" t="s">
        <v>168</v>
      </c>
      <c r="BC77" t="str">
        <f>IFERROR(INDEX(_names_lookup!$C:$C,MATCH(BB77,_names_lookup!$A:$A,0)),"")</f>
        <v>adenilton@andrews.edu</v>
      </c>
      <c r="BD77" t="str">
        <f>IFERROR(INDEX(_names_lookup!$B:$B,MATCH(BB77,_names_lookup!$A:$A,0)),"")</f>
        <v>000160279</v>
      </c>
      <c r="BU77" t="s">
        <v>1105</v>
      </c>
    </row>
    <row r="78" spans="8:73" x14ac:dyDescent="0.2">
      <c r="H78" t="s">
        <v>1106</v>
      </c>
      <c r="I78" t="s">
        <v>1107</v>
      </c>
      <c r="K78" t="s">
        <v>1108</v>
      </c>
      <c r="N78" t="str">
        <f>IFERROR(INDEX(_courses_lookup!$C:$C,MATCH(J78&amp;K78,_courses_lookup!$E:$E,0)),"")</f>
        <v/>
      </c>
      <c r="O78" t="str">
        <f>IFERROR(INDEX(_courses_lookup!$D:$D,MATCH(J78&amp;K78,_courses_lookup!$E:$E,0)),"")</f>
        <v/>
      </c>
      <c r="AD78" t="str">
        <f t="shared" si="8"/>
        <v/>
      </c>
      <c r="AG78" t="str">
        <f t="shared" si="9"/>
        <v/>
      </c>
      <c r="AI78" t="str">
        <f t="shared" si="10"/>
        <v/>
      </c>
      <c r="AK78" t="str">
        <f t="shared" si="11"/>
        <v/>
      </c>
      <c r="AL78" t="str">
        <f t="shared" si="12"/>
        <v/>
      </c>
      <c r="AM78" t="str">
        <f t="shared" si="13"/>
        <v/>
      </c>
      <c r="AX78" t="str">
        <f t="shared" si="14"/>
        <v/>
      </c>
      <c r="AY78" t="str">
        <f t="shared" si="15"/>
        <v/>
      </c>
      <c r="BB78" t="s">
        <v>169</v>
      </c>
      <c r="BC78" t="str">
        <f>IFERROR(INDEX(_names_lookup!$C:$C,MATCH(BB78,_names_lookup!$A:$A,0)),"")</f>
        <v>agustina@andrews.edu</v>
      </c>
      <c r="BD78" t="str">
        <f>IFERROR(INDEX(_names_lookup!$B:$B,MATCH(BB78,_names_lookup!$A:$A,0)),"")</f>
        <v>000240618</v>
      </c>
      <c r="BU78" t="s">
        <v>1109</v>
      </c>
    </row>
    <row r="79" spans="8:73" x14ac:dyDescent="0.2">
      <c r="H79" t="s">
        <v>1110</v>
      </c>
      <c r="I79" t="s">
        <v>1111</v>
      </c>
      <c r="K79" t="s">
        <v>1112</v>
      </c>
      <c r="N79" t="str">
        <f>IFERROR(INDEX(_courses_lookup!$C:$C,MATCH(J79&amp;K79,_courses_lookup!$E:$E,0)),"")</f>
        <v/>
      </c>
      <c r="O79" t="str">
        <f>IFERROR(INDEX(_courses_lookup!$D:$D,MATCH(J79&amp;K79,_courses_lookup!$E:$E,0)),"")</f>
        <v/>
      </c>
      <c r="AD79" t="str">
        <f t="shared" si="8"/>
        <v/>
      </c>
      <c r="AG79" t="str">
        <f t="shared" si="9"/>
        <v/>
      </c>
      <c r="AI79" t="str">
        <f t="shared" si="10"/>
        <v/>
      </c>
      <c r="AK79" t="str">
        <f t="shared" si="11"/>
        <v/>
      </c>
      <c r="AL79" t="str">
        <f t="shared" si="12"/>
        <v/>
      </c>
      <c r="AM79" t="str">
        <f t="shared" si="13"/>
        <v/>
      </c>
      <c r="AX79" t="str">
        <f t="shared" si="14"/>
        <v/>
      </c>
      <c r="AY79" t="str">
        <f t="shared" si="15"/>
        <v/>
      </c>
      <c r="BB79" t="s">
        <v>170</v>
      </c>
      <c r="BC79" t="str">
        <f>IFERROR(INDEX(_names_lookup!$C:$C,MATCH(BB79,_names_lookup!$A:$A,0)),"")</f>
        <v>badenasr@andrews.edu</v>
      </c>
      <c r="BD79" t="str">
        <f>IFERROR(INDEX(_names_lookup!$B:$B,MATCH(BB79,_names_lookup!$A:$A,0)),"")</f>
        <v>000035367</v>
      </c>
      <c r="BU79" t="s">
        <v>1113</v>
      </c>
    </row>
    <row r="80" spans="8:73" x14ac:dyDescent="0.2">
      <c r="H80" t="s">
        <v>1114</v>
      </c>
      <c r="I80" t="s">
        <v>1115</v>
      </c>
      <c r="K80" t="s">
        <v>1116</v>
      </c>
      <c r="N80" t="str">
        <f>IFERROR(INDEX(_courses_lookup!$C:$C,MATCH(J80&amp;K80,_courses_lookup!$E:$E,0)),"")</f>
        <v/>
      </c>
      <c r="O80" t="str">
        <f>IFERROR(INDEX(_courses_lookup!$D:$D,MATCH(J80&amp;K80,_courses_lookup!$E:$E,0)),"")</f>
        <v/>
      </c>
      <c r="AD80" t="str">
        <f t="shared" si="8"/>
        <v/>
      </c>
      <c r="AG80" t="str">
        <f t="shared" si="9"/>
        <v/>
      </c>
      <c r="AI80" t="str">
        <f t="shared" si="10"/>
        <v/>
      </c>
      <c r="AK80" t="str">
        <f t="shared" si="11"/>
        <v/>
      </c>
      <c r="AL80" t="str">
        <f t="shared" si="12"/>
        <v/>
      </c>
      <c r="AM80" t="str">
        <f t="shared" si="13"/>
        <v/>
      </c>
      <c r="AX80" t="str">
        <f t="shared" si="14"/>
        <v/>
      </c>
      <c r="AY80" t="str">
        <f t="shared" si="15"/>
        <v/>
      </c>
      <c r="BB80" t="s">
        <v>171</v>
      </c>
      <c r="BC80" t="str">
        <f>IFERROR(INDEX(_names_lookup!$C:$C,MATCH(BB80,_names_lookup!$A:$A,0)),"")</f>
        <v>borda@andrews.edu</v>
      </c>
      <c r="BD80" t="str">
        <f>IFERROR(INDEX(_names_lookup!$B:$B,MATCH(BB80,_names_lookup!$A:$A,0)),"")</f>
        <v>000150924</v>
      </c>
      <c r="BU80" t="s">
        <v>636</v>
      </c>
    </row>
    <row r="81" spans="8:73" x14ac:dyDescent="0.2">
      <c r="H81" t="s">
        <v>1117</v>
      </c>
      <c r="I81" t="s">
        <v>1118</v>
      </c>
      <c r="K81" t="s">
        <v>1119</v>
      </c>
      <c r="N81" t="str">
        <f>IFERROR(INDEX(_courses_lookup!$C:$C,MATCH(J81&amp;K81,_courses_lookup!$E:$E,0)),"")</f>
        <v/>
      </c>
      <c r="O81" t="str">
        <f>IFERROR(INDEX(_courses_lookup!$D:$D,MATCH(J81&amp;K81,_courses_lookup!$E:$E,0)),"")</f>
        <v/>
      </c>
      <c r="AD81" t="str">
        <f t="shared" si="8"/>
        <v/>
      </c>
      <c r="AG81" t="str">
        <f t="shared" si="9"/>
        <v/>
      </c>
      <c r="AI81" t="str">
        <f t="shared" si="10"/>
        <v/>
      </c>
      <c r="AK81" t="str">
        <f t="shared" si="11"/>
        <v/>
      </c>
      <c r="AL81" t="str">
        <f t="shared" si="12"/>
        <v/>
      </c>
      <c r="AM81" t="str">
        <f t="shared" si="13"/>
        <v/>
      </c>
      <c r="AX81" t="str">
        <f t="shared" si="14"/>
        <v/>
      </c>
      <c r="AY81" t="str">
        <f t="shared" si="15"/>
        <v/>
      </c>
      <c r="BB81" t="s">
        <v>336</v>
      </c>
      <c r="BC81" t="str">
        <f>IFERROR(INDEX(_names_lookup!$C:$C,MATCH(BB81,_names_lookup!$A:$A,0)),"")</f>
        <v>ccarlos@andrews.edu</v>
      </c>
      <c r="BD81" t="str">
        <f>IFERROR(INDEX(_names_lookup!$B:$B,MATCH(BB81,_names_lookup!$A:$A,0)),"")</f>
        <v>000036675</v>
      </c>
      <c r="BU81" t="s">
        <v>1120</v>
      </c>
    </row>
    <row r="82" spans="8:73" x14ac:dyDescent="0.2">
      <c r="H82" t="s">
        <v>1121</v>
      </c>
      <c r="I82" t="s">
        <v>1122</v>
      </c>
      <c r="K82" t="s">
        <v>1123</v>
      </c>
      <c r="N82" t="str">
        <f>IFERROR(INDEX(_courses_lookup!$C:$C,MATCH(J82&amp;K82,_courses_lookup!$E:$E,0)),"")</f>
        <v/>
      </c>
      <c r="O82" t="str">
        <f>IFERROR(INDEX(_courses_lookup!$D:$D,MATCH(J82&amp;K82,_courses_lookup!$E:$E,0)),"")</f>
        <v/>
      </c>
      <c r="AD82" t="str">
        <f t="shared" si="8"/>
        <v/>
      </c>
      <c r="AG82" t="str">
        <f t="shared" si="9"/>
        <v/>
      </c>
      <c r="AI82" t="str">
        <f t="shared" si="10"/>
        <v/>
      </c>
      <c r="AK82" t="str">
        <f t="shared" si="11"/>
        <v/>
      </c>
      <c r="AL82" t="str">
        <f t="shared" si="12"/>
        <v/>
      </c>
      <c r="AM82" t="str">
        <f t="shared" si="13"/>
        <v/>
      </c>
      <c r="AX82" t="str">
        <f t="shared" si="14"/>
        <v/>
      </c>
      <c r="AY82" t="str">
        <f t="shared" si="15"/>
        <v/>
      </c>
      <c r="BB82" t="s">
        <v>172</v>
      </c>
      <c r="BC82" t="str">
        <f>IFERROR(INDEX(_names_lookup!$C:$C,MATCH(BB82,_names_lookup!$A:$A,0)),"")</f>
        <v>choir@andrews.edu</v>
      </c>
      <c r="BD82" t="str">
        <f>IFERROR(INDEX(_names_lookup!$B:$B,MATCH(BB82,_names_lookup!$A:$A,0)),"")</f>
        <v>000036676</v>
      </c>
    </row>
    <row r="83" spans="8:73" x14ac:dyDescent="0.2">
      <c r="H83" t="s">
        <v>1124</v>
      </c>
      <c r="I83" t="s">
        <v>1125</v>
      </c>
      <c r="K83" t="s">
        <v>1126</v>
      </c>
      <c r="N83" t="str">
        <f>IFERROR(INDEX(_courses_lookup!$C:$C,MATCH(J83&amp;K83,_courses_lookup!$E:$E,0)),"")</f>
        <v/>
      </c>
      <c r="O83" t="str">
        <f>IFERROR(INDEX(_courses_lookup!$D:$D,MATCH(J83&amp;K83,_courses_lookup!$E:$E,0)),"")</f>
        <v/>
      </c>
      <c r="AD83" t="str">
        <f t="shared" si="8"/>
        <v/>
      </c>
      <c r="AG83" t="str">
        <f t="shared" si="9"/>
        <v/>
      </c>
      <c r="AI83" t="str">
        <f t="shared" si="10"/>
        <v/>
      </c>
      <c r="AK83" t="str">
        <f t="shared" si="11"/>
        <v/>
      </c>
      <c r="AL83" t="str">
        <f t="shared" si="12"/>
        <v/>
      </c>
      <c r="AM83" t="str">
        <f t="shared" si="13"/>
        <v/>
      </c>
      <c r="AX83" t="str">
        <f t="shared" si="14"/>
        <v/>
      </c>
      <c r="AY83" t="str">
        <f t="shared" si="15"/>
        <v/>
      </c>
      <c r="BB83" t="s">
        <v>173</v>
      </c>
      <c r="BC83" t="str">
        <f>IFERROR(INDEX(_names_lookup!$C:$C,MATCH(BB83,_names_lookup!$A:$A,0)),"")</f>
        <v>fcortez@andrews.edu</v>
      </c>
      <c r="BD83" t="str">
        <f>IFERROR(INDEX(_names_lookup!$B:$B,MATCH(BB83,_names_lookup!$A:$A,0)),"")</f>
        <v>000110700</v>
      </c>
    </row>
    <row r="84" spans="8:73" x14ac:dyDescent="0.2">
      <c r="H84" t="s">
        <v>1127</v>
      </c>
      <c r="I84" t="s">
        <v>1128</v>
      </c>
      <c r="K84" t="s">
        <v>1129</v>
      </c>
      <c r="N84" t="str">
        <f>IFERROR(INDEX(_courses_lookup!$C:$C,MATCH(J84&amp;K84,_courses_lookup!$E:$E,0)),"")</f>
        <v/>
      </c>
      <c r="O84" t="str">
        <f>IFERROR(INDEX(_courses_lookup!$D:$D,MATCH(J84&amp;K84,_courses_lookup!$E:$E,0)),"")</f>
        <v/>
      </c>
      <c r="AD84" t="str">
        <f t="shared" si="8"/>
        <v/>
      </c>
      <c r="AG84" t="str">
        <f t="shared" si="9"/>
        <v/>
      </c>
      <c r="AI84" t="str">
        <f t="shared" si="10"/>
        <v/>
      </c>
      <c r="AK84" t="str">
        <f t="shared" si="11"/>
        <v/>
      </c>
      <c r="AL84" t="str">
        <f t="shared" si="12"/>
        <v/>
      </c>
      <c r="AM84" t="str">
        <f t="shared" si="13"/>
        <v/>
      </c>
      <c r="AX84" t="str">
        <f t="shared" si="14"/>
        <v/>
      </c>
      <c r="AY84" t="str">
        <f t="shared" si="15"/>
        <v/>
      </c>
      <c r="BB84" t="s">
        <v>174</v>
      </c>
      <c r="BC84" t="str">
        <f>IFERROR(INDEX(_names_lookup!$C:$C,MATCH(BB84,_names_lookup!$A:$A,0)),"")</f>
        <v>jonatas@andrews.edu</v>
      </c>
      <c r="BD84" t="str">
        <f>IFERROR(INDEX(_names_lookup!$B:$B,MATCH(BB84,_names_lookup!$A:$A,0)),"")</f>
        <v>000159708</v>
      </c>
    </row>
    <row r="85" spans="8:73" x14ac:dyDescent="0.2">
      <c r="H85" t="s">
        <v>1130</v>
      </c>
      <c r="I85" t="s">
        <v>1131</v>
      </c>
      <c r="K85" t="s">
        <v>1132</v>
      </c>
      <c r="N85" t="str">
        <f>IFERROR(INDEX(_courses_lookup!$C:$C,MATCH(J85&amp;K85,_courses_lookup!$E:$E,0)),"")</f>
        <v/>
      </c>
      <c r="O85" t="str">
        <f>IFERROR(INDEX(_courses_lookup!$D:$D,MATCH(J85&amp;K85,_courses_lookup!$E:$E,0)),"")</f>
        <v/>
      </c>
      <c r="AD85" t="str">
        <f t="shared" si="8"/>
        <v/>
      </c>
      <c r="AG85" t="str">
        <f t="shared" si="9"/>
        <v/>
      </c>
      <c r="AI85" t="str">
        <f t="shared" si="10"/>
        <v/>
      </c>
      <c r="AK85" t="str">
        <f t="shared" si="11"/>
        <v/>
      </c>
      <c r="AL85" t="str">
        <f t="shared" si="12"/>
        <v/>
      </c>
      <c r="AM85" t="str">
        <f t="shared" si="13"/>
        <v/>
      </c>
      <c r="AX85" t="str">
        <f t="shared" si="14"/>
        <v/>
      </c>
      <c r="AY85" t="str">
        <f t="shared" si="15"/>
        <v/>
      </c>
      <c r="BB85" t="s">
        <v>175</v>
      </c>
      <c r="BC85" t="str">
        <f>IFERROR(INDEX(_names_lookup!$C:$C,MATCH(BB85,_names_lookup!$A:$A,0)),"")</f>
        <v>festa@andrews.edu</v>
      </c>
      <c r="BD85" t="str">
        <f>IFERROR(INDEX(_names_lookup!$B:$B,MATCH(BB85,_names_lookup!$A:$A,0)),"")</f>
        <v>000159784</v>
      </c>
    </row>
    <row r="86" spans="8:73" x14ac:dyDescent="0.2">
      <c r="H86" t="s">
        <v>1133</v>
      </c>
      <c r="I86" t="s">
        <v>1134</v>
      </c>
      <c r="K86" t="s">
        <v>1135</v>
      </c>
      <c r="N86" t="str">
        <f>IFERROR(INDEX(_courses_lookup!$C:$C,MATCH(J86&amp;K86,_courses_lookup!$E:$E,0)),"")</f>
        <v/>
      </c>
      <c r="O86" t="str">
        <f>IFERROR(INDEX(_courses_lookup!$D:$D,MATCH(J86&amp;K86,_courses_lookup!$E:$E,0)),"")</f>
        <v/>
      </c>
      <c r="AD86" t="str">
        <f t="shared" si="8"/>
        <v/>
      </c>
      <c r="AG86" t="str">
        <f t="shared" si="9"/>
        <v/>
      </c>
      <c r="AI86" t="str">
        <f t="shared" si="10"/>
        <v/>
      </c>
      <c r="AK86" t="str">
        <f t="shared" si="11"/>
        <v/>
      </c>
      <c r="AL86" t="str">
        <f t="shared" si="12"/>
        <v/>
      </c>
      <c r="AM86" t="str">
        <f t="shared" si="13"/>
        <v/>
      </c>
      <c r="AX86" t="str">
        <f t="shared" si="14"/>
        <v/>
      </c>
      <c r="AY86" t="str">
        <f t="shared" si="15"/>
        <v/>
      </c>
      <c r="BB86" t="s">
        <v>176</v>
      </c>
      <c r="BC86" t="str">
        <f>IFERROR(INDEX(_names_lookup!$C:$C,MATCH(BB86,_names_lookup!$A:$A,0)),"")</f>
        <v>gallos@andrews.edu</v>
      </c>
      <c r="BD86" t="str">
        <f>IFERROR(INDEX(_names_lookup!$B:$B,MATCH(BB86,_names_lookup!$A:$A,0)),"")</f>
        <v>000068119</v>
      </c>
    </row>
    <row r="87" spans="8:73" x14ac:dyDescent="0.2">
      <c r="H87" t="s">
        <v>1136</v>
      </c>
      <c r="I87" t="s">
        <v>1137</v>
      </c>
      <c r="K87" t="s">
        <v>1138</v>
      </c>
      <c r="N87" t="str">
        <f>IFERROR(INDEX(_courses_lookup!$C:$C,MATCH(J87&amp;K87,_courses_lookup!$E:$E,0)),"")</f>
        <v/>
      </c>
      <c r="O87" t="str">
        <f>IFERROR(INDEX(_courses_lookup!$D:$D,MATCH(J87&amp;K87,_courses_lookup!$E:$E,0)),"")</f>
        <v/>
      </c>
      <c r="AD87" t="str">
        <f t="shared" si="8"/>
        <v/>
      </c>
      <c r="AG87" t="str">
        <f t="shared" si="9"/>
        <v/>
      </c>
      <c r="AI87" t="str">
        <f t="shared" si="10"/>
        <v/>
      </c>
      <c r="AK87" t="str">
        <f t="shared" si="11"/>
        <v/>
      </c>
      <c r="AL87" t="str">
        <f t="shared" si="12"/>
        <v/>
      </c>
      <c r="AM87" t="str">
        <f t="shared" si="13"/>
        <v/>
      </c>
      <c r="AX87" t="str">
        <f t="shared" si="14"/>
        <v/>
      </c>
      <c r="AY87" t="str">
        <f t="shared" si="15"/>
        <v/>
      </c>
      <c r="BB87" t="s">
        <v>177</v>
      </c>
      <c r="BC87" t="str">
        <f>IFERROR(INDEX(_names_lookup!$C:$C,MATCH(BB87,_names_lookup!$A:$A,0)),"")</f>
        <v>gallusz@andrews.edu</v>
      </c>
      <c r="BD87" t="str">
        <f>IFERROR(INDEX(_names_lookup!$B:$B,MATCH(BB87,_names_lookup!$A:$A,0)),"")</f>
        <v>000203949</v>
      </c>
    </row>
    <row r="88" spans="8:73" x14ac:dyDescent="0.2">
      <c r="H88" t="s">
        <v>1139</v>
      </c>
      <c r="I88" t="s">
        <v>1140</v>
      </c>
      <c r="K88" t="s">
        <v>1141</v>
      </c>
      <c r="N88" t="str">
        <f>IFERROR(INDEX(_courses_lookup!$C:$C,MATCH(J88&amp;K88,_courses_lookup!$E:$E,0)),"")</f>
        <v/>
      </c>
      <c r="O88" t="str">
        <f>IFERROR(INDEX(_courses_lookup!$D:$D,MATCH(J88&amp;K88,_courses_lookup!$E:$E,0)),"")</f>
        <v/>
      </c>
      <c r="AD88" t="str">
        <f t="shared" si="8"/>
        <v/>
      </c>
      <c r="AG88" t="str">
        <f t="shared" si="9"/>
        <v/>
      </c>
      <c r="AI88" t="str">
        <f t="shared" si="10"/>
        <v/>
      </c>
      <c r="AK88" t="str">
        <f t="shared" si="11"/>
        <v/>
      </c>
      <c r="AL88" t="str">
        <f t="shared" si="12"/>
        <v/>
      </c>
      <c r="AM88" t="str">
        <f t="shared" si="13"/>
        <v/>
      </c>
      <c r="AX88" t="str">
        <f t="shared" si="14"/>
        <v/>
      </c>
      <c r="AY88" t="str">
        <f t="shared" si="15"/>
        <v/>
      </c>
      <c r="BB88" t="s">
        <v>345</v>
      </c>
      <c r="BC88" t="str">
        <f>IFERROR(INDEX(_names_lookup!$C:$C,MATCH(BB88,_names_lookup!$A:$A,0)),"")</f>
        <v>egreen@andrews.edu</v>
      </c>
      <c r="BD88" t="str">
        <f>IFERROR(INDEX(_names_lookup!$B:$B,MATCH(BB88,_names_lookup!$A:$A,0)),"")</f>
        <v>000212555</v>
      </c>
    </row>
    <row r="89" spans="8:73" x14ac:dyDescent="0.2">
      <c r="H89" t="s">
        <v>1142</v>
      </c>
      <c r="I89" t="s">
        <v>1143</v>
      </c>
      <c r="K89" t="s">
        <v>1144</v>
      </c>
      <c r="N89" t="str">
        <f>IFERROR(INDEX(_courses_lookup!$C:$C,MATCH(J89&amp;K89,_courses_lookup!$E:$E,0)),"")</f>
        <v/>
      </c>
      <c r="O89" t="str">
        <f>IFERROR(INDEX(_courses_lookup!$D:$D,MATCH(J89&amp;K89,_courses_lookup!$E:$E,0)),"")</f>
        <v/>
      </c>
      <c r="AD89" t="str">
        <f t="shared" si="8"/>
        <v/>
      </c>
      <c r="AG89" t="str">
        <f t="shared" si="9"/>
        <v/>
      </c>
      <c r="AI89" t="str">
        <f t="shared" si="10"/>
        <v/>
      </c>
      <c r="AK89" t="str">
        <f t="shared" si="11"/>
        <v/>
      </c>
      <c r="AL89" t="str">
        <f t="shared" si="12"/>
        <v/>
      </c>
      <c r="AM89" t="str">
        <f t="shared" si="13"/>
        <v/>
      </c>
      <c r="AX89" t="str">
        <f t="shared" si="14"/>
        <v/>
      </c>
      <c r="AY89" t="str">
        <f t="shared" si="15"/>
        <v/>
      </c>
      <c r="BB89" t="s">
        <v>178</v>
      </c>
      <c r="BC89" t="str">
        <f>IFERROR(INDEX(_names_lookup!$C:$C,MATCH(BB89,_names_lookup!$A:$A,0)),"")</f>
        <v>grzeskowiak@andrews.edu</v>
      </c>
      <c r="BD89" t="str">
        <f>IFERROR(INDEX(_names_lookup!$B:$B,MATCH(BB89,_names_lookup!$A:$A,0)),"")</f>
        <v>000204006</v>
      </c>
    </row>
    <row r="90" spans="8:73" x14ac:dyDescent="0.2">
      <c r="H90" t="s">
        <v>1145</v>
      </c>
      <c r="I90" t="s">
        <v>1146</v>
      </c>
      <c r="K90" t="s">
        <v>1147</v>
      </c>
      <c r="N90" t="str">
        <f>IFERROR(INDEX(_courses_lookup!$C:$C,MATCH(J90&amp;K90,_courses_lookup!$E:$E,0)),"")</f>
        <v/>
      </c>
      <c r="O90" t="str">
        <f>IFERROR(INDEX(_courses_lookup!$D:$D,MATCH(J90&amp;K90,_courses_lookup!$E:$E,0)),"")</f>
        <v/>
      </c>
      <c r="AD90" t="str">
        <f t="shared" si="8"/>
        <v/>
      </c>
      <c r="AG90" t="str">
        <f t="shared" si="9"/>
        <v/>
      </c>
      <c r="AI90" t="str">
        <f t="shared" si="10"/>
        <v/>
      </c>
      <c r="AK90" t="str">
        <f t="shared" si="11"/>
        <v/>
      </c>
      <c r="AL90" t="str">
        <f t="shared" si="12"/>
        <v/>
      </c>
      <c r="AM90" t="str">
        <f t="shared" si="13"/>
        <v/>
      </c>
      <c r="AX90" t="str">
        <f t="shared" si="14"/>
        <v/>
      </c>
      <c r="AY90" t="str">
        <f t="shared" si="15"/>
        <v/>
      </c>
      <c r="BB90" t="s">
        <v>179</v>
      </c>
      <c r="BC90" t="str">
        <f>IFERROR(INDEX(_names_lookup!$C:$C,MATCH(BB90,_names_lookup!$A:$A,0)),"")</f>
        <v>ahernandez@andrews.edu</v>
      </c>
      <c r="BD90" t="str">
        <f>IFERROR(INDEX(_names_lookup!$B:$B,MATCH(BB90,_names_lookup!$A:$A,0)),"")</f>
        <v>000025476</v>
      </c>
    </row>
    <row r="91" spans="8:73" x14ac:dyDescent="0.2">
      <c r="H91" t="s">
        <v>1148</v>
      </c>
      <c r="I91" t="s">
        <v>1149</v>
      </c>
      <c r="K91" t="s">
        <v>1150</v>
      </c>
      <c r="N91" t="str">
        <f>IFERROR(INDEX(_courses_lookup!$C:$C,MATCH(J91&amp;K91,_courses_lookup!$E:$E,0)),"")</f>
        <v/>
      </c>
      <c r="O91" t="str">
        <f>IFERROR(INDEX(_courses_lookup!$D:$D,MATCH(J91&amp;K91,_courses_lookup!$E:$E,0)),"")</f>
        <v/>
      </c>
      <c r="AD91" t="str">
        <f t="shared" si="8"/>
        <v/>
      </c>
      <c r="AG91" t="str">
        <f t="shared" si="9"/>
        <v/>
      </c>
      <c r="AI91" t="str">
        <f t="shared" si="10"/>
        <v/>
      </c>
      <c r="AK91" t="str">
        <f t="shared" si="11"/>
        <v/>
      </c>
      <c r="AL91" t="str">
        <f t="shared" si="12"/>
        <v/>
      </c>
      <c r="AM91" t="str">
        <f t="shared" si="13"/>
        <v/>
      </c>
      <c r="AX91" t="str">
        <f t="shared" si="14"/>
        <v/>
      </c>
      <c r="AY91" t="str">
        <f t="shared" si="15"/>
        <v/>
      </c>
      <c r="BB91" t="s">
        <v>180</v>
      </c>
      <c r="BC91" t="str">
        <f>IFERROR(INDEX(_names_lookup!$C:$C,MATCH(BB91,_names_lookup!$A:$A,0)),"")</f>
        <v>huss@andrews.edu</v>
      </c>
      <c r="BD91" t="str">
        <f>IFERROR(INDEX(_names_lookup!$B:$B,MATCH(BB91,_names_lookup!$A:$A,0)),"")</f>
        <v>000141225</v>
      </c>
    </row>
    <row r="92" spans="8:73" x14ac:dyDescent="0.2">
      <c r="H92" t="s">
        <v>1151</v>
      </c>
      <c r="I92" t="s">
        <v>1152</v>
      </c>
      <c r="K92" t="s">
        <v>1153</v>
      </c>
      <c r="N92" t="str">
        <f>IFERROR(INDEX(_courses_lookup!$C:$C,MATCH(J92&amp;K92,_courses_lookup!$E:$E,0)),"")</f>
        <v/>
      </c>
      <c r="O92" t="str">
        <f>IFERROR(INDEX(_courses_lookup!$D:$D,MATCH(J92&amp;K92,_courses_lookup!$E:$E,0)),"")</f>
        <v/>
      </c>
      <c r="AD92" t="str">
        <f t="shared" si="8"/>
        <v/>
      </c>
      <c r="AG92" t="str">
        <f t="shared" si="9"/>
        <v/>
      </c>
      <c r="AI92" t="str">
        <f t="shared" si="10"/>
        <v/>
      </c>
      <c r="AK92" t="str">
        <f t="shared" si="11"/>
        <v/>
      </c>
      <c r="AL92" t="str">
        <f t="shared" si="12"/>
        <v/>
      </c>
      <c r="AM92" t="str">
        <f t="shared" si="13"/>
        <v/>
      </c>
      <c r="AX92" t="str">
        <f t="shared" si="14"/>
        <v/>
      </c>
      <c r="AY92" t="str">
        <f t="shared" si="15"/>
        <v/>
      </c>
      <c r="BB92" t="s">
        <v>181</v>
      </c>
      <c r="BC92" t="str">
        <f>IFERROR(INDEX(_names_lookup!$C:$C,MATCH(BB92,_names_lookup!$A:$A,0)),"")</f>
        <v>bobjohn@andrews.edu</v>
      </c>
      <c r="BD92" t="str">
        <f>IFERROR(INDEX(_names_lookup!$B:$B,MATCH(BB92,_names_lookup!$A:$A,0)),"")</f>
        <v>000003908</v>
      </c>
    </row>
    <row r="93" spans="8:73" x14ac:dyDescent="0.2">
      <c r="H93" t="s">
        <v>1154</v>
      </c>
      <c r="I93" t="s">
        <v>1155</v>
      </c>
      <c r="K93" t="s">
        <v>1156</v>
      </c>
      <c r="N93" t="str">
        <f>IFERROR(INDEX(_courses_lookup!$C:$C,MATCH(J93&amp;K93,_courses_lookup!$E:$E,0)),"")</f>
        <v/>
      </c>
      <c r="O93" t="str">
        <f>IFERROR(INDEX(_courses_lookup!$D:$D,MATCH(J93&amp;K93,_courses_lookup!$E:$E,0)),"")</f>
        <v/>
      </c>
      <c r="AD93" t="str">
        <f t="shared" si="8"/>
        <v/>
      </c>
      <c r="AG93" t="str">
        <f t="shared" si="9"/>
        <v/>
      </c>
      <c r="AI93" t="str">
        <f t="shared" si="10"/>
        <v/>
      </c>
      <c r="AK93" t="str">
        <f t="shared" si="11"/>
        <v/>
      </c>
      <c r="AL93" t="str">
        <f t="shared" si="12"/>
        <v/>
      </c>
      <c r="AM93" t="str">
        <f t="shared" si="13"/>
        <v/>
      </c>
      <c r="AX93" t="str">
        <f t="shared" si="14"/>
        <v/>
      </c>
      <c r="AY93" t="str">
        <f t="shared" si="15"/>
        <v/>
      </c>
      <c r="BB93" t="s">
        <v>182</v>
      </c>
      <c r="BC93" t="str">
        <f>IFERROR(INDEX(_names_lookup!$C:$C,MATCH(BB93,_names_lookup!$A:$A,0)),"")</f>
        <v>kondrat@andrews.edu</v>
      </c>
      <c r="BD93" t="str">
        <f>IFERROR(INDEX(_names_lookup!$B:$B,MATCH(BB93,_names_lookup!$A:$A,0)),"")</f>
        <v>000119532</v>
      </c>
    </row>
    <row r="94" spans="8:73" x14ac:dyDescent="0.2">
      <c r="H94" t="s">
        <v>1157</v>
      </c>
      <c r="I94" t="s">
        <v>1158</v>
      </c>
      <c r="K94" t="s">
        <v>1159</v>
      </c>
      <c r="N94" t="str">
        <f>IFERROR(INDEX(_courses_lookup!$C:$C,MATCH(J94&amp;K94,_courses_lookup!$E:$E,0)),"")</f>
        <v/>
      </c>
      <c r="O94" t="str">
        <f>IFERROR(INDEX(_courses_lookup!$D:$D,MATCH(J94&amp;K94,_courses_lookup!$E:$E,0)),"")</f>
        <v/>
      </c>
      <c r="AD94" t="str">
        <f t="shared" si="8"/>
        <v/>
      </c>
      <c r="AG94" t="str">
        <f t="shared" si="9"/>
        <v/>
      </c>
      <c r="AI94" t="str">
        <f t="shared" si="10"/>
        <v/>
      </c>
      <c r="AK94" t="str">
        <f t="shared" si="11"/>
        <v/>
      </c>
      <c r="AL94" t="str">
        <f t="shared" si="12"/>
        <v/>
      </c>
      <c r="AM94" t="str">
        <f t="shared" si="13"/>
        <v/>
      </c>
      <c r="AX94" t="str">
        <f t="shared" si="14"/>
        <v/>
      </c>
      <c r="AY94" t="str">
        <f t="shared" si="15"/>
        <v/>
      </c>
      <c r="BB94" t="s">
        <v>183</v>
      </c>
      <c r="BC94" t="str">
        <f>IFERROR(INDEX(_names_lookup!$C:$C,MATCH(BB94,_names_lookup!$A:$A,0)),"")</f>
        <v>kostyuk@andrews.edu</v>
      </c>
      <c r="BD94" t="str">
        <f>IFERROR(INDEX(_names_lookup!$B:$B,MATCH(BB94,_names_lookup!$A:$A,0)),"")</f>
        <v>000159768</v>
      </c>
    </row>
    <row r="95" spans="8:73" x14ac:dyDescent="0.2">
      <c r="H95" t="s">
        <v>1160</v>
      </c>
      <c r="I95" t="s">
        <v>1161</v>
      </c>
      <c r="K95" t="s">
        <v>1162</v>
      </c>
      <c r="N95" t="str">
        <f>IFERROR(INDEX(_courses_lookup!$C:$C,MATCH(J95&amp;K95,_courses_lookup!$E:$E,0)),"")</f>
        <v/>
      </c>
      <c r="O95" t="str">
        <f>IFERROR(INDEX(_courses_lookup!$D:$D,MATCH(J95&amp;K95,_courses_lookup!$E:$E,0)),"")</f>
        <v/>
      </c>
      <c r="AD95" t="str">
        <f t="shared" si="8"/>
        <v/>
      </c>
      <c r="AG95" t="str">
        <f t="shared" si="9"/>
        <v/>
      </c>
      <c r="AI95" t="str">
        <f t="shared" si="10"/>
        <v/>
      </c>
      <c r="AK95" t="str">
        <f t="shared" si="11"/>
        <v/>
      </c>
      <c r="AL95" t="str">
        <f t="shared" si="12"/>
        <v/>
      </c>
      <c r="AM95" t="str">
        <f t="shared" si="13"/>
        <v/>
      </c>
      <c r="AX95" t="str">
        <f t="shared" si="14"/>
        <v/>
      </c>
      <c r="AY95" t="str">
        <f t="shared" si="15"/>
        <v/>
      </c>
      <c r="BB95" t="s">
        <v>184</v>
      </c>
      <c r="BC95" t="str">
        <f>IFERROR(INDEX(_names_lookup!$C:$C,MATCH(BB95,_names_lookup!$A:$A,0)),"")</f>
        <v>bkuryliak@andrews.edu</v>
      </c>
      <c r="BD95" t="str">
        <f>IFERROR(INDEX(_names_lookup!$B:$B,MATCH(BB95,_names_lookup!$A:$A,0)),"")</f>
        <v>000200888</v>
      </c>
    </row>
    <row r="96" spans="8:73" x14ac:dyDescent="0.2">
      <c r="H96" t="s">
        <v>1163</v>
      </c>
      <c r="I96" t="s">
        <v>1164</v>
      </c>
      <c r="K96" t="s">
        <v>1165</v>
      </c>
      <c r="N96" t="str">
        <f>IFERROR(INDEX(_courses_lookup!$C:$C,MATCH(J96&amp;K96,_courses_lookup!$E:$E,0)),"")</f>
        <v/>
      </c>
      <c r="O96" t="str">
        <f>IFERROR(INDEX(_courses_lookup!$D:$D,MATCH(J96&amp;K96,_courses_lookup!$E:$E,0)),"")</f>
        <v/>
      </c>
      <c r="AD96" t="str">
        <f t="shared" si="8"/>
        <v/>
      </c>
      <c r="AG96" t="str">
        <f t="shared" si="9"/>
        <v/>
      </c>
      <c r="AI96" t="str">
        <f t="shared" si="10"/>
        <v/>
      </c>
      <c r="AK96" t="str">
        <f t="shared" si="11"/>
        <v/>
      </c>
      <c r="AL96" t="str">
        <f t="shared" si="12"/>
        <v/>
      </c>
      <c r="AM96" t="str">
        <f t="shared" si="13"/>
        <v/>
      </c>
      <c r="AX96" t="str">
        <f t="shared" si="14"/>
        <v/>
      </c>
      <c r="AY96" t="str">
        <f t="shared" si="15"/>
        <v/>
      </c>
      <c r="BB96" t="s">
        <v>185</v>
      </c>
      <c r="BC96" t="str">
        <f>IFERROR(INDEX(_names_lookup!$C:$C,MATCH(BB96,_names_lookup!$A:$A,0)),"")</f>
        <v>beett@andrews.edu</v>
      </c>
      <c r="BD96" t="str">
        <f>IFERROR(INDEX(_names_lookup!$B:$B,MATCH(BB96,_names_lookup!$A:$A,0)),"")</f>
        <v>000146533</v>
      </c>
    </row>
    <row r="97" spans="8:56" x14ac:dyDescent="0.2">
      <c r="H97" t="s">
        <v>1166</v>
      </c>
      <c r="I97" t="s">
        <v>1167</v>
      </c>
      <c r="K97" t="s">
        <v>1168</v>
      </c>
      <c r="N97" t="str">
        <f>IFERROR(INDEX(_courses_lookup!$C:$C,MATCH(J97&amp;K97,_courses_lookup!$E:$E,0)),"")</f>
        <v/>
      </c>
      <c r="O97" t="str">
        <f>IFERROR(INDEX(_courses_lookup!$D:$D,MATCH(J97&amp;K97,_courses_lookup!$E:$E,0)),"")</f>
        <v/>
      </c>
      <c r="AD97" t="str">
        <f t="shared" si="8"/>
        <v/>
      </c>
      <c r="AG97" t="str">
        <f t="shared" si="9"/>
        <v/>
      </c>
      <c r="AI97" t="str">
        <f t="shared" si="10"/>
        <v/>
      </c>
      <c r="AK97" t="str">
        <f t="shared" si="11"/>
        <v/>
      </c>
      <c r="AL97" t="str">
        <f t="shared" si="12"/>
        <v/>
      </c>
      <c r="AM97" t="str">
        <f t="shared" si="13"/>
        <v/>
      </c>
      <c r="AX97" t="str">
        <f t="shared" si="14"/>
        <v/>
      </c>
      <c r="AY97" t="str">
        <f t="shared" si="15"/>
        <v/>
      </c>
      <c r="BB97" t="s">
        <v>186</v>
      </c>
      <c r="BC97" t="str">
        <f>IFERROR(INDEX(_names_lookup!$C:$C,MATCH(BB97,_names_lookup!$A:$A,0)),"")</f>
        <v>lichtenw@andrews.edu</v>
      </c>
      <c r="BD97" t="str">
        <f>IFERROR(INDEX(_names_lookup!$B:$B,MATCH(BB97,_names_lookup!$A:$A,0)),"")</f>
        <v>000024733</v>
      </c>
    </row>
    <row r="98" spans="8:56" x14ac:dyDescent="0.2">
      <c r="H98" t="s">
        <v>1169</v>
      </c>
      <c r="I98" t="s">
        <v>1170</v>
      </c>
      <c r="K98" t="s">
        <v>1171</v>
      </c>
      <c r="N98" t="str">
        <f>IFERROR(INDEX(_courses_lookup!$C:$C,MATCH(J98&amp;K98,_courses_lookup!$E:$E,0)),"")</f>
        <v/>
      </c>
      <c r="O98" t="str">
        <f>IFERROR(INDEX(_courses_lookup!$D:$D,MATCH(J98&amp;K98,_courses_lookup!$E:$E,0)),"")</f>
        <v/>
      </c>
      <c r="AD98" t="str">
        <f t="shared" si="8"/>
        <v/>
      </c>
      <c r="AG98" t="str">
        <f t="shared" si="9"/>
        <v/>
      </c>
      <c r="AI98" t="str">
        <f t="shared" si="10"/>
        <v/>
      </c>
      <c r="AK98" t="str">
        <f t="shared" si="11"/>
        <v/>
      </c>
      <c r="AL98" t="str">
        <f t="shared" si="12"/>
        <v/>
      </c>
      <c r="AM98" t="str">
        <f t="shared" si="13"/>
        <v/>
      </c>
      <c r="AX98" t="str">
        <f t="shared" si="14"/>
        <v/>
      </c>
      <c r="AY98" t="str">
        <f t="shared" si="15"/>
        <v/>
      </c>
      <c r="BB98" t="s">
        <v>187</v>
      </c>
      <c r="BC98" t="str">
        <f>IFERROR(INDEX(_names_lookup!$C:$C,MATCH(BB98,_names_lookup!$A:$A,0)),"")</f>
        <v>moral@andrews.edu</v>
      </c>
      <c r="BD98" t="str">
        <f>IFERROR(INDEX(_names_lookup!$B:$B,MATCH(BB98,_names_lookup!$A:$A,0)),"")</f>
        <v>000105885</v>
      </c>
    </row>
    <row r="99" spans="8:56" x14ac:dyDescent="0.2">
      <c r="H99" t="s">
        <v>1172</v>
      </c>
      <c r="I99" t="s">
        <v>1173</v>
      </c>
      <c r="K99" t="s">
        <v>1174</v>
      </c>
      <c r="N99" t="str">
        <f>IFERROR(INDEX(_courses_lookup!$C:$C,MATCH(J99&amp;K99,_courses_lookup!$E:$E,0)),"")</f>
        <v/>
      </c>
      <c r="O99" t="str">
        <f>IFERROR(INDEX(_courses_lookup!$D:$D,MATCH(J99&amp;K99,_courses_lookup!$E:$E,0)),"")</f>
        <v/>
      </c>
      <c r="AD99" t="str">
        <f t="shared" si="8"/>
        <v/>
      </c>
      <c r="AG99" t="str">
        <f t="shared" si="9"/>
        <v/>
      </c>
      <c r="AI99" t="str">
        <f t="shared" si="10"/>
        <v/>
      </c>
      <c r="AK99" t="str">
        <f t="shared" si="11"/>
        <v/>
      </c>
      <c r="AL99" t="str">
        <f t="shared" si="12"/>
        <v/>
      </c>
      <c r="AM99" t="str">
        <f t="shared" si="13"/>
        <v/>
      </c>
      <c r="AX99" t="str">
        <f t="shared" si="14"/>
        <v/>
      </c>
      <c r="AY99" t="str">
        <f t="shared" si="15"/>
        <v/>
      </c>
      <c r="BB99" t="s">
        <v>358</v>
      </c>
      <c r="BC99" t="str">
        <f>IFERROR(INDEX(_names_lookup!$C:$C,MATCH(BB99,_names_lookup!$A:$A,0)),"")</f>
        <v>moskala@andrews.edu</v>
      </c>
      <c r="BD99" t="str">
        <f>IFERROR(INDEX(_names_lookup!$B:$B,MATCH(BB99,_names_lookup!$A:$A,0)),"")</f>
        <v>000036790</v>
      </c>
    </row>
    <row r="100" spans="8:56" x14ac:dyDescent="0.2">
      <c r="H100" t="s">
        <v>1175</v>
      </c>
      <c r="I100" t="s">
        <v>1176</v>
      </c>
      <c r="K100" t="s">
        <v>1177</v>
      </c>
      <c r="N100" t="str">
        <f>IFERROR(INDEX(_courses_lookup!$C:$C,MATCH(J100&amp;K100,_courses_lookup!$E:$E,0)),"")</f>
        <v/>
      </c>
      <c r="O100" t="str">
        <f>IFERROR(INDEX(_courses_lookup!$D:$D,MATCH(J100&amp;K100,_courses_lookup!$E:$E,0)),"")</f>
        <v/>
      </c>
      <c r="AD100" t="str">
        <f t="shared" si="8"/>
        <v/>
      </c>
      <c r="AG100" t="str">
        <f t="shared" si="9"/>
        <v/>
      </c>
      <c r="AI100" t="str">
        <f t="shared" si="10"/>
        <v/>
      </c>
      <c r="AK100" t="str">
        <f t="shared" si="11"/>
        <v/>
      </c>
      <c r="AL100" t="str">
        <f t="shared" si="12"/>
        <v/>
      </c>
      <c r="AM100" t="str">
        <f t="shared" si="13"/>
        <v/>
      </c>
      <c r="AX100" t="str">
        <f t="shared" si="14"/>
        <v/>
      </c>
      <c r="AY100" t="str">
        <f t="shared" si="15"/>
        <v/>
      </c>
      <c r="BB100" t="s">
        <v>188</v>
      </c>
      <c r="BC100" t="str">
        <f>IFERROR(INDEX(_names_lookup!$C:$C,MATCH(BB100,_names_lookup!$A:$A,0)),"")</f>
        <v>laurentiu@andrews.edu</v>
      </c>
      <c r="BD100" t="str">
        <f>IFERROR(INDEX(_names_lookup!$B:$B,MATCH(BB100,_names_lookup!$A:$A,0)),"")</f>
        <v>000115113</v>
      </c>
    </row>
    <row r="101" spans="8:56" x14ac:dyDescent="0.2">
      <c r="H101" t="s">
        <v>1178</v>
      </c>
      <c r="I101" t="s">
        <v>1179</v>
      </c>
      <c r="K101" t="s">
        <v>937</v>
      </c>
      <c r="N101" t="str">
        <f>IFERROR(INDEX(_courses_lookup!$C:$C,MATCH(J101&amp;K101,_courses_lookup!$E:$E,0)),"")</f>
        <v/>
      </c>
      <c r="O101" t="str">
        <f>IFERROR(INDEX(_courses_lookup!$D:$D,MATCH(J101&amp;K101,_courses_lookup!$E:$E,0)),"")</f>
        <v/>
      </c>
      <c r="AD101" t="str">
        <f t="shared" si="8"/>
        <v/>
      </c>
      <c r="AG101" t="str">
        <f t="shared" si="9"/>
        <v/>
      </c>
      <c r="AI101" t="str">
        <f t="shared" si="10"/>
        <v/>
      </c>
      <c r="AK101" t="str">
        <f t="shared" si="11"/>
        <v/>
      </c>
      <c r="AL101" t="str">
        <f t="shared" si="12"/>
        <v/>
      </c>
      <c r="AM101" t="str">
        <f t="shared" si="13"/>
        <v/>
      </c>
      <c r="AX101" t="str">
        <f t="shared" si="14"/>
        <v/>
      </c>
      <c r="AY101" t="str">
        <f t="shared" si="15"/>
        <v/>
      </c>
      <c r="BB101" t="s">
        <v>189</v>
      </c>
      <c r="BC101" t="str">
        <f>IFERROR(INDEX(_names_lookup!$C:$C,MATCH(BB101,_names_lookup!$A:$A,0)),"")</f>
        <v>munozj@andrews.edu</v>
      </c>
      <c r="BD101" t="str">
        <f>IFERROR(INDEX(_names_lookup!$B:$B,MATCH(BB101,_names_lookup!$A:$A,0)),"")</f>
        <v>000073761</v>
      </c>
    </row>
    <row r="102" spans="8:56" x14ac:dyDescent="0.2">
      <c r="H102" t="s">
        <v>1180</v>
      </c>
      <c r="I102" t="s">
        <v>1181</v>
      </c>
      <c r="N102" t="str">
        <f>IFERROR(INDEX(_courses_lookup!$C:$C,MATCH(J102&amp;K102,_courses_lookup!$E:$E,0)),"")</f>
        <v/>
      </c>
      <c r="O102" t="str">
        <f>IFERROR(INDEX(_courses_lookup!$D:$D,MATCH(J102&amp;K102,_courses_lookup!$E:$E,0)),"")</f>
        <v/>
      </c>
      <c r="AD102" t="str">
        <f t="shared" si="8"/>
        <v/>
      </c>
      <c r="AG102" t="str">
        <f t="shared" si="9"/>
        <v/>
      </c>
      <c r="AI102" t="str">
        <f t="shared" si="10"/>
        <v/>
      </c>
      <c r="AK102" t="str">
        <f t="shared" si="11"/>
        <v/>
      </c>
      <c r="AL102" t="str">
        <f t="shared" si="12"/>
        <v/>
      </c>
      <c r="AM102" t="str">
        <f t="shared" si="13"/>
        <v/>
      </c>
      <c r="AX102" t="str">
        <f t="shared" si="14"/>
        <v/>
      </c>
      <c r="AY102" t="str">
        <f t="shared" si="15"/>
        <v/>
      </c>
      <c r="BB102" t="s">
        <v>190</v>
      </c>
      <c r="BC102" t="str">
        <f>IFERROR(INDEX(_names_lookup!$C:$C,MATCH(BB102,_names_lookup!$A:$A,0)),"")</f>
        <v>rmunoz@andrews.edu</v>
      </c>
      <c r="BD102" t="str">
        <f>IFERROR(INDEX(_names_lookup!$B:$B,MATCH(BB102,_names_lookup!$A:$A,0)),"")</f>
        <v>000064060</v>
      </c>
    </row>
    <row r="103" spans="8:56" x14ac:dyDescent="0.2">
      <c r="H103" t="s">
        <v>1182</v>
      </c>
      <c r="I103" t="s">
        <v>1183</v>
      </c>
      <c r="N103" t="str">
        <f>IFERROR(INDEX(_courses_lookup!$C:$C,MATCH(J103&amp;K103,_courses_lookup!$E:$E,0)),"")</f>
        <v/>
      </c>
      <c r="O103" t="str">
        <f>IFERROR(INDEX(_courses_lookup!$D:$D,MATCH(J103&amp;K103,_courses_lookup!$E:$E,0)),"")</f>
        <v/>
      </c>
      <c r="AD103" t="str">
        <f t="shared" si="8"/>
        <v/>
      </c>
      <c r="AG103" t="str">
        <f t="shared" si="9"/>
        <v/>
      </c>
      <c r="AI103" t="str">
        <f t="shared" si="10"/>
        <v/>
      </c>
      <c r="AK103" t="str">
        <f t="shared" si="11"/>
        <v/>
      </c>
      <c r="AL103" t="str">
        <f t="shared" si="12"/>
        <v/>
      </c>
      <c r="AM103" t="str">
        <f t="shared" si="13"/>
        <v/>
      </c>
      <c r="AX103" t="str">
        <f t="shared" si="14"/>
        <v/>
      </c>
      <c r="AY103" t="str">
        <f t="shared" si="15"/>
        <v/>
      </c>
      <c r="BB103" t="s">
        <v>359</v>
      </c>
      <c r="BC103" t="str">
        <f>IFERROR(INDEX(_names_lookup!$C:$C,MATCH(BB103,_names_lookup!$A:$A,0)),"")</f>
        <v>muran@andrews.edu</v>
      </c>
      <c r="BD103" t="str">
        <f>IFERROR(INDEX(_names_lookup!$B:$B,MATCH(BB103,_names_lookup!$A:$A,0)),"")</f>
        <v>000118655</v>
      </c>
    </row>
    <row r="104" spans="8:56" x14ac:dyDescent="0.2">
      <c r="H104" t="s">
        <v>1184</v>
      </c>
      <c r="I104" t="s">
        <v>1185</v>
      </c>
      <c r="N104" t="str">
        <f>IFERROR(INDEX(_courses_lookup!$C:$C,MATCH(J104&amp;K104,_courses_lookup!$E:$E,0)),"")</f>
        <v/>
      </c>
      <c r="O104" t="str">
        <f>IFERROR(INDEX(_courses_lookup!$D:$D,MATCH(J104&amp;K104,_courses_lookup!$E:$E,0)),"")</f>
        <v/>
      </c>
      <c r="AD104" t="str">
        <f t="shared" si="8"/>
        <v/>
      </c>
      <c r="AG104" t="str">
        <f t="shared" si="9"/>
        <v/>
      </c>
      <c r="AI104" t="str">
        <f t="shared" si="10"/>
        <v/>
      </c>
      <c r="AK104" t="str">
        <f t="shared" si="11"/>
        <v/>
      </c>
      <c r="AL104" t="str">
        <f t="shared" si="12"/>
        <v/>
      </c>
      <c r="AM104" t="str">
        <f t="shared" si="13"/>
        <v/>
      </c>
      <c r="AX104" t="str">
        <f t="shared" si="14"/>
        <v/>
      </c>
      <c r="AY104" t="str">
        <f t="shared" si="15"/>
        <v/>
      </c>
      <c r="BB104" t="s">
        <v>360</v>
      </c>
      <c r="BC104" t="str">
        <f>IFERROR(INDEX(_names_lookup!$C:$C,MATCH(BB104,_names_lookup!$A:$A,0)),"")</f>
        <v>nogueirl@andrews.edu</v>
      </c>
      <c r="BD104" t="str">
        <f>IFERROR(INDEX(_names_lookup!$B:$B,MATCH(BB104,_names_lookup!$A:$A,0)),"")</f>
        <v>000086036</v>
      </c>
    </row>
    <row r="105" spans="8:56" x14ac:dyDescent="0.2">
      <c r="H105" t="s">
        <v>1186</v>
      </c>
      <c r="I105" t="s">
        <v>1187</v>
      </c>
      <c r="N105" t="str">
        <f>IFERROR(INDEX(_courses_lookup!$C:$C,MATCH(J105&amp;K105,_courses_lookup!$E:$E,0)),"")</f>
        <v/>
      </c>
      <c r="O105" t="str">
        <f>IFERROR(INDEX(_courses_lookup!$D:$D,MATCH(J105&amp;K105,_courses_lookup!$E:$E,0)),"")</f>
        <v/>
      </c>
      <c r="AD105" t="str">
        <f t="shared" si="8"/>
        <v/>
      </c>
      <c r="AG105" t="str">
        <f t="shared" si="9"/>
        <v/>
      </c>
      <c r="AI105" t="str">
        <f t="shared" si="10"/>
        <v/>
      </c>
      <c r="AK105" t="str">
        <f t="shared" si="11"/>
        <v/>
      </c>
      <c r="AL105" t="str">
        <f t="shared" si="12"/>
        <v/>
      </c>
      <c r="AM105" t="str">
        <f t="shared" si="13"/>
        <v/>
      </c>
      <c r="AX105" t="str">
        <f t="shared" si="14"/>
        <v/>
      </c>
      <c r="AY105" t="str">
        <f t="shared" si="15"/>
        <v/>
      </c>
      <c r="BB105" t="s">
        <v>191</v>
      </c>
      <c r="BC105" t="str">
        <f>IFERROR(INDEX(_names_lookup!$C:$C,MATCH(BB105,_names_lookup!$A:$A,0)),"")</f>
        <v>nunesl@andrews.edu</v>
      </c>
      <c r="BD105" t="str">
        <f>IFERROR(INDEX(_names_lookup!$B:$B,MATCH(BB105,_names_lookup!$A:$A,0)),"")</f>
        <v>000138706</v>
      </c>
    </row>
    <row r="106" spans="8:56" x14ac:dyDescent="0.2">
      <c r="H106" t="s">
        <v>1188</v>
      </c>
      <c r="I106" t="s">
        <v>1189</v>
      </c>
      <c r="N106" t="str">
        <f>IFERROR(INDEX(_courses_lookup!$C:$C,MATCH(J106&amp;K106,_courses_lookup!$E:$E,0)),"")</f>
        <v/>
      </c>
      <c r="O106" t="str">
        <f>IFERROR(INDEX(_courses_lookup!$D:$D,MATCH(J106&amp;K106,_courses_lookup!$E:$E,0)),"")</f>
        <v/>
      </c>
      <c r="AD106" t="str">
        <f t="shared" si="8"/>
        <v/>
      </c>
      <c r="AG106" t="str">
        <f t="shared" si="9"/>
        <v/>
      </c>
      <c r="AI106" t="str">
        <f t="shared" si="10"/>
        <v/>
      </c>
      <c r="AK106" t="str">
        <f t="shared" si="11"/>
        <v/>
      </c>
      <c r="AL106" t="str">
        <f t="shared" si="12"/>
        <v/>
      </c>
      <c r="AM106" t="str">
        <f t="shared" si="13"/>
        <v/>
      </c>
      <c r="AX106" t="str">
        <f t="shared" si="14"/>
        <v/>
      </c>
      <c r="AY106" t="str">
        <f t="shared" si="15"/>
        <v/>
      </c>
      <c r="BB106" t="s">
        <v>192</v>
      </c>
      <c r="BC106" t="str">
        <f>IFERROR(INDEX(_names_lookup!$C:$C,MATCH(BB106,_names_lookup!$A:$A,0)),"")</f>
        <v>papaioannou@andrews.edu</v>
      </c>
      <c r="BD106" t="str">
        <f>IFERROR(INDEX(_names_lookup!$B:$B,MATCH(BB106,_names_lookup!$A:$A,0)),"")</f>
        <v>000050429</v>
      </c>
    </row>
    <row r="107" spans="8:56" x14ac:dyDescent="0.2">
      <c r="H107" t="s">
        <v>1190</v>
      </c>
      <c r="I107" t="s">
        <v>1191</v>
      </c>
      <c r="N107" t="str">
        <f>IFERROR(INDEX(_courses_lookup!$C:$C,MATCH(J107&amp;K107,_courses_lookup!$E:$E,0)),"")</f>
        <v/>
      </c>
      <c r="O107" t="str">
        <f>IFERROR(INDEX(_courses_lookup!$D:$D,MATCH(J107&amp;K107,_courses_lookup!$E:$E,0)),"")</f>
        <v/>
      </c>
      <c r="AD107" t="str">
        <f t="shared" si="8"/>
        <v/>
      </c>
      <c r="AG107" t="str">
        <f t="shared" si="9"/>
        <v/>
      </c>
      <c r="AI107" t="str">
        <f t="shared" si="10"/>
        <v/>
      </c>
      <c r="AK107" t="str">
        <f t="shared" si="11"/>
        <v/>
      </c>
      <c r="AL107" t="str">
        <f t="shared" si="12"/>
        <v/>
      </c>
      <c r="AM107" t="str">
        <f t="shared" si="13"/>
        <v/>
      </c>
      <c r="AX107" t="str">
        <f t="shared" si="14"/>
        <v/>
      </c>
      <c r="AY107" t="str">
        <f t="shared" si="15"/>
        <v/>
      </c>
      <c r="BB107" t="s">
        <v>366</v>
      </c>
      <c r="BC107" t="str">
        <f>IFERROR(INDEX(_names_lookup!$C:$C,MATCH(BB107,_names_lookup!$A:$A,0)),"")</f>
        <v>petrisch@andrews.edu</v>
      </c>
      <c r="BD107" t="str">
        <f>IFERROR(INDEX(_names_lookup!$B:$B,MATCH(BB107,_names_lookup!$A:$A,0)),"")</f>
        <v>000116224</v>
      </c>
    </row>
    <row r="108" spans="8:56" x14ac:dyDescent="0.2">
      <c r="H108" t="s">
        <v>1192</v>
      </c>
      <c r="I108" t="s">
        <v>1193</v>
      </c>
      <c r="N108" t="str">
        <f>IFERROR(INDEX(_courses_lookup!$C:$C,MATCH(J108&amp;K108,_courses_lookup!$E:$E,0)),"")</f>
        <v/>
      </c>
      <c r="O108" t="str">
        <f>IFERROR(INDEX(_courses_lookup!$D:$D,MATCH(J108&amp;K108,_courses_lookup!$E:$E,0)),"")</f>
        <v/>
      </c>
      <c r="AD108" t="str">
        <f t="shared" si="8"/>
        <v/>
      </c>
      <c r="AG108" t="str">
        <f t="shared" si="9"/>
        <v/>
      </c>
      <c r="AI108" t="str">
        <f t="shared" si="10"/>
        <v/>
      </c>
      <c r="AK108" t="str">
        <f t="shared" si="11"/>
        <v/>
      </c>
      <c r="AL108" t="str">
        <f t="shared" si="12"/>
        <v/>
      </c>
      <c r="AM108" t="str">
        <f t="shared" si="13"/>
        <v/>
      </c>
      <c r="AX108" t="str">
        <f t="shared" si="14"/>
        <v/>
      </c>
      <c r="AY108" t="str">
        <f t="shared" si="15"/>
        <v/>
      </c>
      <c r="BB108" t="s">
        <v>193</v>
      </c>
      <c r="BC108" t="str">
        <f>IFERROR(INDEX(_names_lookup!$C:$C,MATCH(BB108,_names_lookup!$A:$A,0)),"")</f>
        <v>mariop@andrews.edu</v>
      </c>
      <c r="BD108" t="str">
        <f>IFERROR(INDEX(_names_lookup!$B:$B,MATCH(BB108,_names_lookup!$A:$A,0)),"")</f>
        <v>000108446</v>
      </c>
    </row>
    <row r="109" spans="8:56" x14ac:dyDescent="0.2">
      <c r="H109" t="s">
        <v>1194</v>
      </c>
      <c r="I109" t="s">
        <v>1195</v>
      </c>
      <c r="N109" t="str">
        <f>IFERROR(INDEX(_courses_lookup!$C:$C,MATCH(J109&amp;K109,_courses_lookup!$E:$E,0)),"")</f>
        <v/>
      </c>
      <c r="O109" t="str">
        <f>IFERROR(INDEX(_courses_lookup!$D:$D,MATCH(J109&amp;K109,_courses_lookup!$E:$E,0)),"")</f>
        <v/>
      </c>
      <c r="AD109" t="str">
        <f t="shared" si="8"/>
        <v/>
      </c>
      <c r="AG109" t="str">
        <f t="shared" si="9"/>
        <v/>
      </c>
      <c r="AI109" t="str">
        <f t="shared" si="10"/>
        <v/>
      </c>
      <c r="AK109" t="str">
        <f t="shared" si="11"/>
        <v/>
      </c>
      <c r="AL109" t="str">
        <f t="shared" si="12"/>
        <v/>
      </c>
      <c r="AM109" t="str">
        <f t="shared" si="13"/>
        <v/>
      </c>
      <c r="AX109" t="str">
        <f t="shared" si="14"/>
        <v/>
      </c>
      <c r="AY109" t="str">
        <f t="shared" si="15"/>
        <v/>
      </c>
      <c r="BB109" t="s">
        <v>369</v>
      </c>
      <c r="BC109" t="str">
        <f>IFERROR(INDEX(_names_lookup!$C:$C,MATCH(BB109,_names_lookup!$A:$A,0)),"")</f>
        <v>rayp@andrews.edu</v>
      </c>
      <c r="BD109" t="str">
        <f>IFERROR(INDEX(_names_lookup!$B:$B,MATCH(BB109,_names_lookup!$A:$A,0)),"")</f>
        <v>000029934</v>
      </c>
    </row>
    <row r="110" spans="8:56" x14ac:dyDescent="0.2">
      <c r="H110" t="s">
        <v>1196</v>
      </c>
      <c r="I110" t="s">
        <v>1197</v>
      </c>
      <c r="N110" t="str">
        <f>IFERROR(INDEX(_courses_lookup!$C:$C,MATCH(J110&amp;K110,_courses_lookup!$E:$E,0)),"")</f>
        <v/>
      </c>
      <c r="O110" t="str">
        <f>IFERROR(INDEX(_courses_lookup!$D:$D,MATCH(J110&amp;K110,_courses_lookup!$E:$E,0)),"")</f>
        <v/>
      </c>
      <c r="AD110" t="str">
        <f t="shared" si="8"/>
        <v/>
      </c>
      <c r="AG110" t="str">
        <f t="shared" si="9"/>
        <v/>
      </c>
      <c r="AI110" t="str">
        <f t="shared" si="10"/>
        <v/>
      </c>
      <c r="AK110" t="str">
        <f t="shared" si="11"/>
        <v/>
      </c>
      <c r="AL110" t="str">
        <f t="shared" si="12"/>
        <v/>
      </c>
      <c r="AM110" t="str">
        <f t="shared" si="13"/>
        <v/>
      </c>
      <c r="AX110" t="str">
        <f t="shared" si="14"/>
        <v/>
      </c>
      <c r="AY110" t="str">
        <f t="shared" si="15"/>
        <v/>
      </c>
      <c r="BB110" t="s">
        <v>194</v>
      </c>
      <c r="BC110" t="str">
        <f>IFERROR(INDEX(_names_lookup!$C:$C,MATCH(BB110,_names_lookup!$A:$A,0)),"")</f>
        <v>tlreeve@andrews.edu</v>
      </c>
      <c r="BD110" t="str">
        <f>IFERROR(INDEX(_names_lookup!$B:$B,MATCH(BB110,_names_lookup!$A:$A,0)),"")</f>
        <v>000050236</v>
      </c>
    </row>
    <row r="111" spans="8:56" x14ac:dyDescent="0.2">
      <c r="H111" t="s">
        <v>1198</v>
      </c>
      <c r="I111" t="s">
        <v>1199</v>
      </c>
      <c r="N111" t="str">
        <f>IFERROR(INDEX(_courses_lookup!$C:$C,MATCH(J111&amp;K111,_courses_lookup!$E:$E,0)),"")</f>
        <v/>
      </c>
      <c r="O111" t="str">
        <f>IFERROR(INDEX(_courses_lookup!$D:$D,MATCH(J111&amp;K111,_courses_lookup!$E:$E,0)),"")</f>
        <v/>
      </c>
      <c r="AD111" t="str">
        <f t="shared" si="8"/>
        <v/>
      </c>
      <c r="AG111" t="str">
        <f t="shared" si="9"/>
        <v/>
      </c>
      <c r="AI111" t="str">
        <f t="shared" si="10"/>
        <v/>
      </c>
      <c r="AK111" t="str">
        <f t="shared" si="11"/>
        <v/>
      </c>
      <c r="AL111" t="str">
        <f t="shared" si="12"/>
        <v/>
      </c>
      <c r="AM111" t="str">
        <f t="shared" si="13"/>
        <v/>
      </c>
      <c r="AX111" t="str">
        <f t="shared" si="14"/>
        <v/>
      </c>
      <c r="AY111" t="str">
        <f t="shared" si="15"/>
        <v/>
      </c>
      <c r="BB111" t="s">
        <v>195</v>
      </c>
      <c r="BC111">
        <f>IFERROR(INDEX(_names_lookup!$C:$C,MATCH(BB111,_names_lookup!$A:$A,0)),"")</f>
        <v>0</v>
      </c>
      <c r="BD111" t="str">
        <f>IFERROR(INDEX(_names_lookup!$B:$B,MATCH(BB111,_names_lookup!$A:$A,0)),"")</f>
        <v>000008252</v>
      </c>
    </row>
    <row r="112" spans="8:56" x14ac:dyDescent="0.2">
      <c r="H112" t="s">
        <v>1200</v>
      </c>
      <c r="I112" t="s">
        <v>1201</v>
      </c>
      <c r="N112" t="str">
        <f>IFERROR(INDEX(_courses_lookup!$C:$C,MATCH(J112&amp;K112,_courses_lookup!$E:$E,0)),"")</f>
        <v/>
      </c>
      <c r="O112" t="str">
        <f>IFERROR(INDEX(_courses_lookup!$D:$D,MATCH(J112&amp;K112,_courses_lookup!$E:$E,0)),"")</f>
        <v/>
      </c>
      <c r="AD112" t="str">
        <f t="shared" si="8"/>
        <v/>
      </c>
      <c r="AG112" t="str">
        <f t="shared" si="9"/>
        <v/>
      </c>
      <c r="AI112" t="str">
        <f t="shared" si="10"/>
        <v/>
      </c>
      <c r="AK112" t="str">
        <f t="shared" si="11"/>
        <v/>
      </c>
      <c r="AL112" t="str">
        <f t="shared" si="12"/>
        <v/>
      </c>
      <c r="AM112" t="str">
        <f t="shared" si="13"/>
        <v/>
      </c>
      <c r="AX112" t="str">
        <f t="shared" si="14"/>
        <v/>
      </c>
      <c r="AY112" t="str">
        <f t="shared" si="15"/>
        <v/>
      </c>
      <c r="BB112" t="s">
        <v>373</v>
      </c>
      <c r="BC112" t="str">
        <f>IFERROR(INDEX(_names_lookup!$C:$C,MATCH(BB112,_names_lookup!$A:$A,0)),"")</f>
        <v>trs@andrews.edu</v>
      </c>
      <c r="BD112" t="str">
        <f>IFERROR(INDEX(_names_lookup!$B:$B,MATCH(BB112,_names_lookup!$A:$A,0)),"")</f>
        <v>000033676</v>
      </c>
    </row>
    <row r="113" spans="8:56" x14ac:dyDescent="0.2">
      <c r="H113" t="s">
        <v>1202</v>
      </c>
      <c r="I113" t="s">
        <v>1203</v>
      </c>
      <c r="N113" t="str">
        <f>IFERROR(INDEX(_courses_lookup!$C:$C,MATCH(J113&amp;K113,_courses_lookup!$E:$E,0)),"")</f>
        <v/>
      </c>
      <c r="O113" t="str">
        <f>IFERROR(INDEX(_courses_lookup!$D:$D,MATCH(J113&amp;K113,_courses_lookup!$E:$E,0)),"")</f>
        <v/>
      </c>
      <c r="AD113" t="str">
        <f t="shared" si="8"/>
        <v/>
      </c>
      <c r="AG113" t="str">
        <f t="shared" si="9"/>
        <v/>
      </c>
      <c r="AI113" t="str">
        <f t="shared" si="10"/>
        <v/>
      </c>
      <c r="AK113" t="str">
        <f t="shared" si="11"/>
        <v/>
      </c>
      <c r="AL113" t="str">
        <f t="shared" si="12"/>
        <v/>
      </c>
      <c r="AM113" t="str">
        <f t="shared" si="13"/>
        <v/>
      </c>
      <c r="AX113" t="str">
        <f t="shared" si="14"/>
        <v/>
      </c>
      <c r="AY113" t="str">
        <f t="shared" si="15"/>
        <v/>
      </c>
      <c r="BB113" t="s">
        <v>196</v>
      </c>
      <c r="BC113" t="str">
        <f>IFERROR(INDEX(_names_lookup!$C:$C,MATCH(BB113,_names_lookup!$A:$A,0)),"")</f>
        <v>ranko@andrews.edu</v>
      </c>
      <c r="BD113" t="str">
        <f>IFERROR(INDEX(_names_lookup!$B:$B,MATCH(BB113,_names_lookup!$A:$A,0)),"")</f>
        <v>000057767</v>
      </c>
    </row>
    <row r="114" spans="8:56" x14ac:dyDescent="0.2">
      <c r="H114" t="s">
        <v>1204</v>
      </c>
      <c r="I114" t="s">
        <v>1205</v>
      </c>
      <c r="N114" t="str">
        <f>IFERROR(INDEX(_courses_lookup!$C:$C,MATCH(J114&amp;K114,_courses_lookup!$E:$E,0)),"")</f>
        <v/>
      </c>
      <c r="O114" t="str">
        <f>IFERROR(INDEX(_courses_lookup!$D:$D,MATCH(J114&amp;K114,_courses_lookup!$E:$E,0)),"")</f>
        <v/>
      </c>
      <c r="AD114" t="str">
        <f t="shared" si="8"/>
        <v/>
      </c>
      <c r="AG114" t="str">
        <f t="shared" si="9"/>
        <v/>
      </c>
      <c r="AI114" t="str">
        <f t="shared" si="10"/>
        <v/>
      </c>
      <c r="AK114" t="str">
        <f t="shared" si="11"/>
        <v/>
      </c>
      <c r="AL114" t="str">
        <f t="shared" si="12"/>
        <v/>
      </c>
      <c r="AM114" t="str">
        <f t="shared" si="13"/>
        <v/>
      </c>
      <c r="AX114" t="str">
        <f t="shared" si="14"/>
        <v/>
      </c>
      <c r="AY114" t="str">
        <f t="shared" si="15"/>
        <v/>
      </c>
      <c r="BB114" t="s">
        <v>197</v>
      </c>
      <c r="BC114" t="str">
        <f>IFERROR(INDEX(_names_lookup!$C:$C,MATCH(BB114,_names_lookup!$A:$A,0)),"")</f>
        <v>cvine@andrews.edu</v>
      </c>
      <c r="BD114" t="str">
        <f>IFERROR(INDEX(_names_lookup!$B:$B,MATCH(BB114,_names_lookup!$A:$A,0)),"")</f>
        <v>000093509</v>
      </c>
    </row>
    <row r="115" spans="8:56" x14ac:dyDescent="0.2">
      <c r="H115" t="s">
        <v>1206</v>
      </c>
      <c r="I115" t="s">
        <v>1207</v>
      </c>
      <c r="N115" t="str">
        <f>IFERROR(INDEX(_courses_lookup!$C:$C,MATCH(J115&amp;K115,_courses_lookup!$E:$E,0)),"")</f>
        <v/>
      </c>
      <c r="O115" t="str">
        <f>IFERROR(INDEX(_courses_lookup!$D:$D,MATCH(J115&amp;K115,_courses_lookup!$E:$E,0)),"")</f>
        <v/>
      </c>
      <c r="AD115" t="str">
        <f t="shared" si="8"/>
        <v/>
      </c>
      <c r="AG115" t="str">
        <f t="shared" si="9"/>
        <v/>
      </c>
      <c r="AI115" t="str">
        <f t="shared" si="10"/>
        <v/>
      </c>
      <c r="AK115" t="str">
        <f t="shared" si="11"/>
        <v/>
      </c>
      <c r="AL115" t="str">
        <f t="shared" si="12"/>
        <v/>
      </c>
      <c r="AM115" t="str">
        <f t="shared" si="13"/>
        <v/>
      </c>
      <c r="AX115" t="str">
        <f t="shared" si="14"/>
        <v/>
      </c>
      <c r="AY115" t="str">
        <f t="shared" si="15"/>
        <v/>
      </c>
      <c r="BB115" t="s">
        <v>377</v>
      </c>
      <c r="BC115" t="str">
        <f>IFERROR(INDEX(_names_lookup!$C:$C,MATCH(BB115,_names_lookup!$A:$A,0)),"")</f>
        <v>younker@andrews.edu</v>
      </c>
      <c r="BD115" t="str">
        <f>IFERROR(INDEX(_names_lookup!$B:$B,MATCH(BB115,_names_lookup!$A:$A,0)),"")</f>
        <v>000042559</v>
      </c>
    </row>
    <row r="116" spans="8:56" x14ac:dyDescent="0.2">
      <c r="H116" t="s">
        <v>1208</v>
      </c>
      <c r="I116" t="s">
        <v>1209</v>
      </c>
      <c r="N116" t="str">
        <f>IFERROR(INDEX(_courses_lookup!$C:$C,MATCH(J116&amp;K116,_courses_lookup!$E:$E,0)),"")</f>
        <v/>
      </c>
      <c r="O116" t="str">
        <f>IFERROR(INDEX(_courses_lookup!$D:$D,MATCH(J116&amp;K116,_courses_lookup!$E:$E,0)),"")</f>
        <v/>
      </c>
      <c r="AD116" t="str">
        <f t="shared" si="8"/>
        <v/>
      </c>
      <c r="AG116" t="str">
        <f t="shared" si="9"/>
        <v/>
      </c>
      <c r="AI116" t="str">
        <f t="shared" si="10"/>
        <v/>
      </c>
      <c r="AK116" t="str">
        <f t="shared" si="11"/>
        <v/>
      </c>
      <c r="AL116" t="str">
        <f t="shared" si="12"/>
        <v/>
      </c>
      <c r="AM116" t="str">
        <f t="shared" si="13"/>
        <v/>
      </c>
      <c r="AX116" t="str">
        <f t="shared" si="14"/>
        <v/>
      </c>
      <c r="AY116" t="str">
        <f t="shared" si="15"/>
        <v/>
      </c>
      <c r="BB116" t="s">
        <v>198</v>
      </c>
      <c r="BC116" t="str">
        <f>IFERROR(INDEX(_names_lookup!$C:$C,MATCH(BB116,_names_lookup!$A:$A,0)),"")</f>
        <v>baezgarc@andrews.edu</v>
      </c>
      <c r="BD116" t="str">
        <f>IFERROR(INDEX(_names_lookup!$B:$B,MATCH(BB116,_names_lookup!$A:$A,0)),"")</f>
        <v>000118530</v>
      </c>
    </row>
    <row r="117" spans="8:56" x14ac:dyDescent="0.2">
      <c r="H117" t="s">
        <v>1210</v>
      </c>
      <c r="I117" t="s">
        <v>1211</v>
      </c>
      <c r="N117" t="str">
        <f>IFERROR(INDEX(_courses_lookup!$C:$C,MATCH(J117&amp;K117,_courses_lookup!$E:$E,0)),"")</f>
        <v/>
      </c>
      <c r="O117" t="str">
        <f>IFERROR(INDEX(_courses_lookup!$D:$D,MATCH(J117&amp;K117,_courses_lookup!$E:$E,0)),"")</f>
        <v/>
      </c>
      <c r="AD117" t="str">
        <f t="shared" si="8"/>
        <v/>
      </c>
      <c r="AG117" t="str">
        <f t="shared" si="9"/>
        <v/>
      </c>
      <c r="AI117" t="str">
        <f t="shared" si="10"/>
        <v/>
      </c>
      <c r="AK117" t="str">
        <f t="shared" si="11"/>
        <v/>
      </c>
      <c r="AL117" t="str">
        <f t="shared" si="12"/>
        <v/>
      </c>
      <c r="AM117" t="str">
        <f t="shared" si="13"/>
        <v/>
      </c>
      <c r="AX117" t="str">
        <f t="shared" si="14"/>
        <v/>
      </c>
      <c r="AY117" t="str">
        <f t="shared" si="15"/>
        <v/>
      </c>
      <c r="BB117" t="s">
        <v>199</v>
      </c>
      <c r="BC117" t="str">
        <f>IFERROR(INDEX(_names_lookup!$C:$C,MATCH(BB117,_names_lookup!$A:$A,0)),"")</f>
        <v>lsbakerjr@andrews.edu</v>
      </c>
      <c r="BD117" t="str">
        <f>IFERROR(INDEX(_names_lookup!$B:$B,MATCH(BB117,_names_lookup!$A:$A,0)),"")</f>
        <v>000067622</v>
      </c>
    </row>
    <row r="118" spans="8:56" x14ac:dyDescent="0.2">
      <c r="H118" t="s">
        <v>1212</v>
      </c>
      <c r="I118" t="s">
        <v>1213</v>
      </c>
      <c r="N118" t="str">
        <f>IFERROR(INDEX(_courses_lookup!$C:$C,MATCH(J118&amp;K118,_courses_lookup!$E:$E,0)),"")</f>
        <v/>
      </c>
      <c r="O118" t="str">
        <f>IFERROR(INDEX(_courses_lookup!$D:$D,MATCH(J118&amp;K118,_courses_lookup!$E:$E,0)),"")</f>
        <v/>
      </c>
      <c r="AD118" t="str">
        <f t="shared" si="8"/>
        <v/>
      </c>
      <c r="AG118" t="str">
        <f t="shared" si="9"/>
        <v/>
      </c>
      <c r="AI118" t="str">
        <f t="shared" si="10"/>
        <v/>
      </c>
      <c r="AK118" t="str">
        <f t="shared" si="11"/>
        <v/>
      </c>
      <c r="AL118" t="str">
        <f t="shared" si="12"/>
        <v/>
      </c>
      <c r="AM118" t="str">
        <f t="shared" si="13"/>
        <v/>
      </c>
      <c r="AX118" t="str">
        <f t="shared" si="14"/>
        <v/>
      </c>
      <c r="AY118" t="str">
        <f t="shared" si="15"/>
        <v/>
      </c>
      <c r="BB118" t="s">
        <v>200</v>
      </c>
      <c r="BC118" t="str">
        <f>IFERROR(INDEX(_names_lookup!$C:$C,MATCH(BB118,_names_lookup!$A:$A,0)),"")</f>
        <v>bates@andrews.edu</v>
      </c>
      <c r="BD118" t="str">
        <f>IFERROR(INDEX(_names_lookup!$B:$B,MATCH(BB118,_names_lookup!$A:$A,0)),"")</f>
        <v>000095796</v>
      </c>
    </row>
    <row r="119" spans="8:56" x14ac:dyDescent="0.2">
      <c r="H119" t="s">
        <v>1214</v>
      </c>
      <c r="I119" t="s">
        <v>1215</v>
      </c>
      <c r="N119" t="str">
        <f>IFERROR(INDEX(_courses_lookup!$C:$C,MATCH(J119&amp;K119,_courses_lookup!$E:$E,0)),"")</f>
        <v/>
      </c>
      <c r="O119" t="str">
        <f>IFERROR(INDEX(_courses_lookup!$D:$D,MATCH(J119&amp;K119,_courses_lookup!$E:$E,0)),"")</f>
        <v/>
      </c>
      <c r="AD119" t="str">
        <f t="shared" si="8"/>
        <v/>
      </c>
      <c r="AG119" t="str">
        <f t="shared" si="9"/>
        <v/>
      </c>
      <c r="AI119" t="str">
        <f t="shared" si="10"/>
        <v/>
      </c>
      <c r="AK119" t="str">
        <f t="shared" si="11"/>
        <v/>
      </c>
      <c r="AL119" t="str">
        <f t="shared" si="12"/>
        <v/>
      </c>
      <c r="AM119" t="str">
        <f t="shared" si="13"/>
        <v/>
      </c>
      <c r="AX119" t="str">
        <f t="shared" si="14"/>
        <v/>
      </c>
      <c r="AY119" t="str">
        <f t="shared" si="15"/>
        <v/>
      </c>
      <c r="BB119" t="s">
        <v>201</v>
      </c>
      <c r="BC119" t="str">
        <f>IFERROR(INDEX(_names_lookup!$C:$C,MATCH(BB119,_names_lookup!$A:$A,0)),"")</f>
        <v>beaulies@andrews.edu</v>
      </c>
      <c r="BD119" t="str">
        <f>IFERROR(INDEX(_names_lookup!$B:$B,MATCH(BB119,_names_lookup!$A:$A,0)),"")</f>
        <v>000132272</v>
      </c>
    </row>
    <row r="120" spans="8:56" x14ac:dyDescent="0.2">
      <c r="H120" t="s">
        <v>1216</v>
      </c>
      <c r="I120" t="s">
        <v>1217</v>
      </c>
      <c r="N120" t="str">
        <f>IFERROR(INDEX(_courses_lookup!$C:$C,MATCH(J120&amp;K120,_courses_lookup!$E:$E,0)),"")</f>
        <v/>
      </c>
      <c r="O120" t="str">
        <f>IFERROR(INDEX(_courses_lookup!$D:$D,MATCH(J120&amp;K120,_courses_lookup!$E:$E,0)),"")</f>
        <v/>
      </c>
      <c r="AD120" t="str">
        <f t="shared" si="8"/>
        <v/>
      </c>
      <c r="AG120" t="str">
        <f t="shared" si="9"/>
        <v/>
      </c>
      <c r="AI120" t="str">
        <f t="shared" si="10"/>
        <v/>
      </c>
      <c r="AK120" t="str">
        <f t="shared" si="11"/>
        <v/>
      </c>
      <c r="AL120" t="str">
        <f t="shared" si="12"/>
        <v/>
      </c>
      <c r="AM120" t="str">
        <f t="shared" si="13"/>
        <v/>
      </c>
      <c r="AX120" t="str">
        <f t="shared" si="14"/>
        <v/>
      </c>
      <c r="AY120" t="str">
        <f t="shared" si="15"/>
        <v/>
      </c>
      <c r="BB120" t="s">
        <v>202</v>
      </c>
      <c r="BC120">
        <f>IFERROR(INDEX(_names_lookup!$C:$C,MATCH(BB120,_names_lookup!$A:$A,0)),"")</f>
        <v>0</v>
      </c>
      <c r="BD120" t="str">
        <f>IFERROR(INDEX(_names_lookup!$B:$B,MATCH(BB120,_names_lookup!$A:$A,0)),"")</f>
        <v>000246964</v>
      </c>
    </row>
    <row r="121" spans="8:56" x14ac:dyDescent="0.2">
      <c r="H121" t="s">
        <v>1218</v>
      </c>
      <c r="I121" t="s">
        <v>1219</v>
      </c>
      <c r="N121" t="str">
        <f>IFERROR(INDEX(_courses_lookup!$C:$C,MATCH(J121&amp;K121,_courses_lookup!$E:$E,0)),"")</f>
        <v/>
      </c>
      <c r="O121" t="str">
        <f>IFERROR(INDEX(_courses_lookup!$D:$D,MATCH(J121&amp;K121,_courses_lookup!$E:$E,0)),"")</f>
        <v/>
      </c>
      <c r="AD121" t="str">
        <f t="shared" si="8"/>
        <v/>
      </c>
      <c r="AG121" t="str">
        <f t="shared" si="9"/>
        <v/>
      </c>
      <c r="AI121" t="str">
        <f t="shared" si="10"/>
        <v/>
      </c>
      <c r="AK121" t="str">
        <f t="shared" si="11"/>
        <v/>
      </c>
      <c r="AL121" t="str">
        <f t="shared" si="12"/>
        <v/>
      </c>
      <c r="AM121" t="str">
        <f t="shared" si="13"/>
        <v/>
      </c>
      <c r="AX121" t="str">
        <f t="shared" si="14"/>
        <v/>
      </c>
      <c r="AY121" t="str">
        <f t="shared" si="15"/>
        <v/>
      </c>
      <c r="BB121" t="s">
        <v>203</v>
      </c>
      <c r="BC121" t="str">
        <f>IFERROR(INDEX(_names_lookup!$C:$C,MATCH(BB121,_names_lookup!$A:$A,0)),"")</f>
        <v>brejaal@andrews.edu</v>
      </c>
      <c r="BD121" t="str">
        <f>IFERROR(INDEX(_names_lookup!$B:$B,MATCH(BB121,_names_lookup!$A:$A,0)),"")</f>
        <v>000068116</v>
      </c>
    </row>
    <row r="122" spans="8:56" x14ac:dyDescent="0.2">
      <c r="H122" t="s">
        <v>1220</v>
      </c>
      <c r="I122" t="s">
        <v>1221</v>
      </c>
      <c r="N122" t="str">
        <f>IFERROR(INDEX(_courses_lookup!$C:$C,MATCH(J122&amp;K122,_courses_lookup!$E:$E,0)),"")</f>
        <v/>
      </c>
      <c r="O122" t="str">
        <f>IFERROR(INDEX(_courses_lookup!$D:$D,MATCH(J122&amp;K122,_courses_lookup!$E:$E,0)),"")</f>
        <v/>
      </c>
      <c r="AD122" t="str">
        <f t="shared" si="8"/>
        <v/>
      </c>
      <c r="AG122" t="str">
        <f t="shared" si="9"/>
        <v/>
      </c>
      <c r="AI122" t="str">
        <f t="shared" si="10"/>
        <v/>
      </c>
      <c r="AK122" t="str">
        <f t="shared" si="11"/>
        <v/>
      </c>
      <c r="AL122" t="str">
        <f t="shared" si="12"/>
        <v/>
      </c>
      <c r="AM122" t="str">
        <f t="shared" si="13"/>
        <v/>
      </c>
      <c r="AX122" t="str">
        <f t="shared" si="14"/>
        <v/>
      </c>
      <c r="AY122" t="str">
        <f t="shared" si="15"/>
        <v/>
      </c>
      <c r="BB122" t="s">
        <v>204</v>
      </c>
      <c r="BC122" t="str">
        <f>IFERROR(INDEX(_names_lookup!$C:$C,MATCH(BB122,_names_lookup!$A:$A,0)),"")</f>
        <v>trisha@andrews.edu</v>
      </c>
      <c r="BD122" t="str">
        <f>IFERROR(INDEX(_names_lookup!$B:$B,MATCH(BB122,_names_lookup!$A:$A,0)),"")</f>
        <v>000088405</v>
      </c>
    </row>
    <row r="123" spans="8:56" x14ac:dyDescent="0.2">
      <c r="H123" t="s">
        <v>1222</v>
      </c>
      <c r="I123" t="s">
        <v>1223</v>
      </c>
      <c r="N123" t="str">
        <f>IFERROR(INDEX(_courses_lookup!$C:$C,MATCH(J123&amp;K123,_courses_lookup!$E:$E,0)),"")</f>
        <v/>
      </c>
      <c r="O123" t="str">
        <f>IFERROR(INDEX(_courses_lookup!$D:$D,MATCH(J123&amp;K123,_courses_lookup!$E:$E,0)),"")</f>
        <v/>
      </c>
      <c r="AD123" t="str">
        <f t="shared" si="8"/>
        <v/>
      </c>
      <c r="AG123" t="str">
        <f t="shared" si="9"/>
        <v/>
      </c>
      <c r="AI123" t="str">
        <f t="shared" si="10"/>
        <v/>
      </c>
      <c r="AK123" t="str">
        <f t="shared" si="11"/>
        <v/>
      </c>
      <c r="AL123" t="str">
        <f t="shared" si="12"/>
        <v/>
      </c>
      <c r="AM123" t="str">
        <f t="shared" si="13"/>
        <v/>
      </c>
      <c r="AX123" t="str">
        <f t="shared" si="14"/>
        <v/>
      </c>
      <c r="AY123" t="str">
        <f t="shared" si="15"/>
        <v/>
      </c>
      <c r="BB123" t="s">
        <v>338</v>
      </c>
      <c r="BC123" t="str">
        <f>IFERROR(INDEX(_names_lookup!$C:$C,MATCH(BB123,_names_lookup!$A:$A,0)),"")</f>
        <v>jad@andrews.edu</v>
      </c>
      <c r="BD123" t="str">
        <f>IFERROR(INDEX(_names_lookup!$B:$B,MATCH(BB123,_names_lookup!$A:$A,0)),"")</f>
        <v>000012454</v>
      </c>
    </row>
    <row r="124" spans="8:56" x14ac:dyDescent="0.2">
      <c r="H124" t="s">
        <v>1224</v>
      </c>
      <c r="I124" t="s">
        <v>1225</v>
      </c>
      <c r="N124" t="str">
        <f>IFERROR(INDEX(_courses_lookup!$C:$C,MATCH(J124&amp;K124,_courses_lookup!$E:$E,0)),"")</f>
        <v/>
      </c>
      <c r="O124" t="str">
        <f>IFERROR(INDEX(_courses_lookup!$D:$D,MATCH(J124&amp;K124,_courses_lookup!$E:$E,0)),"")</f>
        <v/>
      </c>
      <c r="AD124" t="str">
        <f t="shared" si="8"/>
        <v/>
      </c>
      <c r="AG124" t="str">
        <f t="shared" si="9"/>
        <v/>
      </c>
      <c r="AI124" t="str">
        <f t="shared" si="10"/>
        <v/>
      </c>
      <c r="AK124" t="str">
        <f t="shared" si="11"/>
        <v/>
      </c>
      <c r="AL124" t="str">
        <f t="shared" si="12"/>
        <v/>
      </c>
      <c r="AM124" t="str">
        <f t="shared" si="13"/>
        <v/>
      </c>
      <c r="AX124" t="str">
        <f t="shared" si="14"/>
        <v/>
      </c>
      <c r="AY124" t="str">
        <f t="shared" si="15"/>
        <v/>
      </c>
      <c r="BB124" t="s">
        <v>205</v>
      </c>
      <c r="BC124" t="str">
        <f>IFERROR(INDEX(_names_lookup!$C:$C,MATCH(BB124,_names_lookup!$A:$A,0)),"")</f>
        <v>doukhanj@andrews.edu</v>
      </c>
      <c r="BD124" t="str">
        <f>IFERROR(INDEX(_names_lookup!$B:$B,MATCH(BB124,_names_lookup!$A:$A,0)),"")</f>
        <v>000027289</v>
      </c>
    </row>
    <row r="125" spans="8:56" x14ac:dyDescent="0.2">
      <c r="H125" t="s">
        <v>1226</v>
      </c>
      <c r="I125" t="s">
        <v>1227</v>
      </c>
      <c r="N125" t="str">
        <f>IFERROR(INDEX(_courses_lookup!$C:$C,MATCH(J125&amp;K125,_courses_lookup!$E:$E,0)),"")</f>
        <v/>
      </c>
      <c r="O125" t="str">
        <f>IFERROR(INDEX(_courses_lookup!$D:$D,MATCH(J125&amp;K125,_courses_lookup!$E:$E,0)),"")</f>
        <v/>
      </c>
      <c r="AD125" t="str">
        <f t="shared" si="8"/>
        <v/>
      </c>
      <c r="AG125" t="str">
        <f t="shared" si="9"/>
        <v/>
      </c>
      <c r="AI125" t="str">
        <f t="shared" si="10"/>
        <v/>
      </c>
      <c r="AK125" t="str">
        <f t="shared" si="11"/>
        <v/>
      </c>
      <c r="AL125" t="str">
        <f t="shared" si="12"/>
        <v/>
      </c>
      <c r="AM125" t="str">
        <f t="shared" si="13"/>
        <v/>
      </c>
      <c r="AX125" t="str">
        <f t="shared" si="14"/>
        <v/>
      </c>
      <c r="AY125" t="str">
        <f t="shared" si="15"/>
        <v/>
      </c>
      <c r="BB125" t="s">
        <v>206</v>
      </c>
      <c r="BC125" t="str">
        <f>IFERROR(INDEX(_names_lookup!$C:$C,MATCH(BB125,_names_lookup!$A:$A,0)),"")</f>
        <v>emswiler@andrews.edu</v>
      </c>
      <c r="BD125" t="str">
        <f>IFERROR(INDEX(_names_lookup!$B:$B,MATCH(BB125,_names_lookup!$A:$A,0)),"")</f>
        <v>000205980</v>
      </c>
    </row>
    <row r="126" spans="8:56" x14ac:dyDescent="0.2">
      <c r="H126" t="s">
        <v>1228</v>
      </c>
      <c r="I126" t="s">
        <v>1229</v>
      </c>
      <c r="N126" t="str">
        <f>IFERROR(INDEX(_courses_lookup!$C:$C,MATCH(J126&amp;K126,_courses_lookup!$E:$E,0)),"")</f>
        <v/>
      </c>
      <c r="O126" t="str">
        <f>IFERROR(INDEX(_courses_lookup!$D:$D,MATCH(J126&amp;K126,_courses_lookup!$E:$E,0)),"")</f>
        <v/>
      </c>
      <c r="AD126" t="str">
        <f t="shared" si="8"/>
        <v/>
      </c>
      <c r="AG126" t="str">
        <f t="shared" si="9"/>
        <v/>
      </c>
      <c r="AI126" t="str">
        <f t="shared" si="10"/>
        <v/>
      </c>
      <c r="AK126" t="str">
        <f t="shared" si="11"/>
        <v/>
      </c>
      <c r="AL126" t="str">
        <f t="shared" si="12"/>
        <v/>
      </c>
      <c r="AM126" t="str">
        <f t="shared" si="13"/>
        <v/>
      </c>
      <c r="AX126" t="str">
        <f t="shared" si="14"/>
        <v/>
      </c>
      <c r="AY126" t="str">
        <f t="shared" si="15"/>
        <v/>
      </c>
      <c r="BB126" t="s">
        <v>341</v>
      </c>
      <c r="BC126" t="str">
        <f>IFERROR(INDEX(_names_lookup!$C:$C,MATCH(BB126,_names_lookup!$A:$A,0)),"")</f>
        <v>egalen@andrews.edu</v>
      </c>
      <c r="BD126" t="str">
        <f>IFERROR(INDEX(_names_lookup!$B:$B,MATCH(BB126,_names_lookup!$A:$A,0)),"")</f>
        <v>000077101</v>
      </c>
    </row>
    <row r="127" spans="8:56" x14ac:dyDescent="0.2">
      <c r="H127" t="s">
        <v>1230</v>
      </c>
      <c r="I127" t="s">
        <v>1231</v>
      </c>
      <c r="N127" t="str">
        <f>IFERROR(INDEX(_courses_lookup!$C:$C,MATCH(J127&amp;K127,_courses_lookup!$E:$E,0)),"")</f>
        <v/>
      </c>
      <c r="O127" t="str">
        <f>IFERROR(INDEX(_courses_lookup!$D:$D,MATCH(J127&amp;K127,_courses_lookup!$E:$E,0)),"")</f>
        <v/>
      </c>
      <c r="AD127" t="str">
        <f t="shared" si="8"/>
        <v/>
      </c>
      <c r="AG127" t="str">
        <f t="shared" si="9"/>
        <v/>
      </c>
      <c r="AI127" t="str">
        <f t="shared" si="10"/>
        <v/>
      </c>
      <c r="AK127" t="str">
        <f t="shared" si="11"/>
        <v/>
      </c>
      <c r="AL127" t="str">
        <f t="shared" si="12"/>
        <v/>
      </c>
      <c r="AM127" t="str">
        <f t="shared" si="13"/>
        <v/>
      </c>
      <c r="AX127" t="str">
        <f t="shared" si="14"/>
        <v/>
      </c>
      <c r="AY127" t="str">
        <f t="shared" si="15"/>
        <v/>
      </c>
      <c r="BB127" t="s">
        <v>207</v>
      </c>
      <c r="BC127" t="str">
        <f>IFERROR(INDEX(_names_lookup!$C:$C,MATCH(BB127,_names_lookup!$A:$A,0)),"")</f>
        <v>cgane@andrews.edu</v>
      </c>
      <c r="BD127" t="str">
        <f>IFERROR(INDEX(_names_lookup!$B:$B,MATCH(BB127,_names_lookup!$A:$A,0)),"")</f>
        <v>000074605</v>
      </c>
    </row>
    <row r="128" spans="8:56" x14ac:dyDescent="0.2">
      <c r="H128" t="s">
        <v>1232</v>
      </c>
      <c r="I128" t="s">
        <v>1233</v>
      </c>
      <c r="N128" t="str">
        <f>IFERROR(INDEX(_courses_lookup!$C:$C,MATCH(J128&amp;K128,_courses_lookup!$E:$E,0)),"")</f>
        <v/>
      </c>
      <c r="O128" t="str">
        <f>IFERROR(INDEX(_courses_lookup!$D:$D,MATCH(J128&amp;K128,_courses_lookup!$E:$E,0)),"")</f>
        <v/>
      </c>
      <c r="AD128" t="str">
        <f t="shared" si="8"/>
        <v/>
      </c>
      <c r="AG128" t="str">
        <f t="shared" si="9"/>
        <v/>
      </c>
      <c r="AI128" t="str">
        <f t="shared" si="10"/>
        <v/>
      </c>
      <c r="AK128" t="str">
        <f t="shared" si="11"/>
        <v/>
      </c>
      <c r="AL128" t="str">
        <f t="shared" si="12"/>
        <v/>
      </c>
      <c r="AM128" t="str">
        <f t="shared" si="13"/>
        <v/>
      </c>
      <c r="AX128" t="str">
        <f t="shared" si="14"/>
        <v/>
      </c>
      <c r="AY128" t="str">
        <f t="shared" si="15"/>
        <v/>
      </c>
      <c r="BB128" t="s">
        <v>208</v>
      </c>
      <c r="BC128" t="str">
        <f>IFERROR(INDEX(_names_lookup!$C:$C,MATCH(BB128,_names_lookup!$A:$A,0)),"")</f>
        <v>glanz@andrews.edu</v>
      </c>
      <c r="BD128" t="str">
        <f>IFERROR(INDEX(_names_lookup!$B:$B,MATCH(BB128,_names_lookup!$A:$A,0)),"")</f>
        <v>000162826</v>
      </c>
    </row>
    <row r="129" spans="8:56" x14ac:dyDescent="0.2">
      <c r="H129" t="s">
        <v>1234</v>
      </c>
      <c r="I129" t="s">
        <v>1235</v>
      </c>
      <c r="N129" t="str">
        <f>IFERROR(INDEX(_courses_lookup!$C:$C,MATCH(J129&amp;K129,_courses_lookup!$E:$E,0)),"")</f>
        <v/>
      </c>
      <c r="O129" t="str">
        <f>IFERROR(INDEX(_courses_lookup!$D:$D,MATCH(J129&amp;K129,_courses_lookup!$E:$E,0)),"")</f>
        <v/>
      </c>
      <c r="AD129" t="str">
        <f t="shared" si="8"/>
        <v/>
      </c>
      <c r="AG129" t="str">
        <f t="shared" si="9"/>
        <v/>
      </c>
      <c r="AI129" t="str">
        <f t="shared" si="10"/>
        <v/>
      </c>
      <c r="AK129" t="str">
        <f t="shared" si="11"/>
        <v/>
      </c>
      <c r="AL129" t="str">
        <f t="shared" si="12"/>
        <v/>
      </c>
      <c r="AM129" t="str">
        <f t="shared" si="13"/>
        <v/>
      </c>
      <c r="AX129" t="str">
        <f t="shared" si="14"/>
        <v/>
      </c>
      <c r="AY129" t="str">
        <f t="shared" si="15"/>
        <v/>
      </c>
      <c r="BB129" t="s">
        <v>209</v>
      </c>
      <c r="BC129" t="str">
        <f>IFERROR(INDEX(_names_lookup!$C:$C,MATCH(BB129,_names_lookup!$A:$A,0)),"")</f>
        <v>danielgordan@andrews.edu</v>
      </c>
      <c r="BD129" t="str">
        <f>IFERROR(INDEX(_names_lookup!$B:$B,MATCH(BB129,_names_lookup!$A:$A,0)),"")</f>
        <v>000155573</v>
      </c>
    </row>
    <row r="130" spans="8:56" x14ac:dyDescent="0.2">
      <c r="H130" t="s">
        <v>1236</v>
      </c>
      <c r="I130" t="s">
        <v>1237</v>
      </c>
      <c r="N130" t="str">
        <f>IFERROR(INDEX(_courses_lookup!$C:$C,MATCH(J130&amp;K130,_courses_lookup!$E:$E,0)),"")</f>
        <v/>
      </c>
      <c r="O130" t="str">
        <f>IFERROR(INDEX(_courses_lookup!$D:$D,MATCH(J130&amp;K130,_courses_lookup!$E:$E,0)),"")</f>
        <v/>
      </c>
      <c r="AD130" t="str">
        <f t="shared" ref="AD130:AD193" si="16">IFERROR(IF(AB130*AC130=0,"",AB130*AC130),"")</f>
        <v/>
      </c>
      <c r="AG130" t="str">
        <f t="shared" ref="AG130:AG193" si="17">IF(AND(AE130&lt;&gt;"",AF130&lt;&gt;""),ROUNDUP((AF130-AE130)/7,0),"")</f>
        <v/>
      </c>
      <c r="AI130" t="str">
        <f t="shared" ref="AI130:AI193" si="18">IFERROR(IF(AG130*AH130=0,"",AG130*AH130),"")</f>
        <v/>
      </c>
      <c r="AK130" t="str">
        <f t="shared" ref="AK130:AK193" si="19">IFERROR(IF((AN130-(AD130+AI130))/AJ130=0,"",ROUNDUP((AN130-(AD130+AI130))/AJ130,0)),"")</f>
        <v/>
      </c>
      <c r="AL130" t="str">
        <f t="shared" ref="AL130:AL193" si="20">IFERROR(IF((AN130-(AD130+AI130))=0,"",(AN130-(AD130+AI130))),"")</f>
        <v/>
      </c>
      <c r="AM130" t="str">
        <f t="shared" ref="AM130:AM193" si="21">IF(AND(AB130="",AJ130=""),AG130,IF(SUM(AB130,AG130,AJ130)=0,"",SUM(AB130,AG130,AJ130)))</f>
        <v/>
      </c>
      <c r="AX130" t="str">
        <f t="shared" ref="AX130:AX193" si="22">IF(AA130="","",YEAR(AA130)+IF(MONTH(AA130)&gt;=5,1,0))</f>
        <v/>
      </c>
      <c r="AY130" t="str">
        <f t="shared" ref="AY130:AY193" si="23">IF(AA130="","",IF(AND(MONTH(AA130)=8,DAY(AA130)&gt;=15),"Fall",IF(MONTH(AA130)&gt;8,"Fall",IF(MONTH(AA130)=5,"Summer",IF(MONTH(AA130)=1,"Spring","")))))</f>
        <v/>
      </c>
      <c r="BB130" t="s">
        <v>210</v>
      </c>
      <c r="BC130" t="str">
        <f>IFERROR(INDEX(_names_lookup!$C:$C,MATCH(BB130,_names_lookup!$A:$A,0)),"")</f>
        <v>pgregor@andrews.edu</v>
      </c>
      <c r="BD130" t="str">
        <f>IFERROR(INDEX(_names_lookup!$B:$B,MATCH(BB130,_names_lookup!$A:$A,0)),"")</f>
        <v>000052867</v>
      </c>
    </row>
    <row r="131" spans="8:56" x14ac:dyDescent="0.2">
      <c r="H131" t="s">
        <v>1238</v>
      </c>
      <c r="I131" t="s">
        <v>1239</v>
      </c>
      <c r="N131" t="str">
        <f>IFERROR(INDEX(_courses_lookup!$C:$C,MATCH(J131&amp;K131,_courses_lookup!$E:$E,0)),"")</f>
        <v/>
      </c>
      <c r="O131" t="str">
        <f>IFERROR(INDEX(_courses_lookup!$D:$D,MATCH(J131&amp;K131,_courses_lookup!$E:$E,0)),"")</f>
        <v/>
      </c>
      <c r="AD131" t="str">
        <f t="shared" si="16"/>
        <v/>
      </c>
      <c r="AG131" t="str">
        <f t="shared" si="17"/>
        <v/>
      </c>
      <c r="AI131" t="str">
        <f t="shared" si="18"/>
        <v/>
      </c>
      <c r="AK131" t="str">
        <f t="shared" si="19"/>
        <v/>
      </c>
      <c r="AL131" t="str">
        <f t="shared" si="20"/>
        <v/>
      </c>
      <c r="AM131" t="str">
        <f t="shared" si="21"/>
        <v/>
      </c>
      <c r="AX131" t="str">
        <f t="shared" si="22"/>
        <v/>
      </c>
      <c r="AY131" t="str">
        <f t="shared" si="23"/>
        <v/>
      </c>
      <c r="BB131" t="s">
        <v>211</v>
      </c>
      <c r="BC131" t="str">
        <f>IFERROR(INDEX(_names_lookup!$C:$C,MATCH(BB131,_names_lookup!$A:$A,0)),"")</f>
        <v>johnny@andrews.edu</v>
      </c>
      <c r="BD131" t="str">
        <f>IFERROR(INDEX(_names_lookup!$B:$B,MATCH(BB131,_names_lookup!$A:$A,0)),"")</f>
        <v>000102157</v>
      </c>
    </row>
    <row r="132" spans="8:56" x14ac:dyDescent="0.2">
      <c r="H132" t="s">
        <v>1240</v>
      </c>
      <c r="I132" t="s">
        <v>1241</v>
      </c>
      <c r="N132" t="str">
        <f>IFERROR(INDEX(_courses_lookup!$C:$C,MATCH(J132&amp;K132,_courses_lookup!$E:$E,0)),"")</f>
        <v/>
      </c>
      <c r="O132" t="str">
        <f>IFERROR(INDEX(_courses_lookup!$D:$D,MATCH(J132&amp;K132,_courses_lookup!$E:$E,0)),"")</f>
        <v/>
      </c>
      <c r="AD132" t="str">
        <f t="shared" si="16"/>
        <v/>
      </c>
      <c r="AG132" t="str">
        <f t="shared" si="17"/>
        <v/>
      </c>
      <c r="AI132" t="str">
        <f t="shared" si="18"/>
        <v/>
      </c>
      <c r="AK132" t="str">
        <f t="shared" si="19"/>
        <v/>
      </c>
      <c r="AL132" t="str">
        <f t="shared" si="20"/>
        <v/>
      </c>
      <c r="AM132" t="str">
        <f t="shared" si="21"/>
        <v/>
      </c>
      <c r="AX132" t="str">
        <f t="shared" si="22"/>
        <v/>
      </c>
      <c r="AY132" t="str">
        <f t="shared" si="23"/>
        <v/>
      </c>
      <c r="BB132" t="s">
        <v>212</v>
      </c>
      <c r="BC132" t="str">
        <f>IFERROR(INDEX(_names_lookup!$C:$C,MATCH(BB132,_names_lookup!$A:$A,0)),"")</f>
        <v>hudon@andrews.edu</v>
      </c>
      <c r="BD132" t="str">
        <f>IFERROR(INDEX(_names_lookup!$B:$B,MATCH(BB132,_names_lookup!$A:$A,0)),"")</f>
        <v>000133678</v>
      </c>
    </row>
    <row r="133" spans="8:56" x14ac:dyDescent="0.2">
      <c r="H133" t="s">
        <v>1242</v>
      </c>
      <c r="I133" t="s">
        <v>1243</v>
      </c>
      <c r="N133" t="str">
        <f>IFERROR(INDEX(_courses_lookup!$C:$C,MATCH(J133&amp;K133,_courses_lookup!$E:$E,0)),"")</f>
        <v/>
      </c>
      <c r="O133" t="str">
        <f>IFERROR(INDEX(_courses_lookup!$D:$D,MATCH(J133&amp;K133,_courses_lookup!$E:$E,0)),"")</f>
        <v/>
      </c>
      <c r="AD133" t="str">
        <f t="shared" si="16"/>
        <v/>
      </c>
      <c r="AG133" t="str">
        <f t="shared" si="17"/>
        <v/>
      </c>
      <c r="AI133" t="str">
        <f t="shared" si="18"/>
        <v/>
      </c>
      <c r="AK133" t="str">
        <f t="shared" si="19"/>
        <v/>
      </c>
      <c r="AL133" t="str">
        <f t="shared" si="20"/>
        <v/>
      </c>
      <c r="AM133" t="str">
        <f t="shared" si="21"/>
        <v/>
      </c>
      <c r="AX133" t="str">
        <f t="shared" si="22"/>
        <v/>
      </c>
      <c r="AY133" t="str">
        <f t="shared" si="23"/>
        <v/>
      </c>
      <c r="BB133" t="s">
        <v>213</v>
      </c>
      <c r="BC133" t="str">
        <f>IFERROR(INDEX(_names_lookup!$C:$C,MATCH(BB133,_names_lookup!$A:$A,0)),"")</f>
        <v>laurentiuga@andrews.edu</v>
      </c>
      <c r="BD133" t="str">
        <f>IFERROR(INDEX(_names_lookup!$B:$B,MATCH(BB133,_names_lookup!$A:$A,0)),"")</f>
        <v>000190055</v>
      </c>
    </row>
    <row r="134" spans="8:56" x14ac:dyDescent="0.2">
      <c r="H134" t="s">
        <v>1244</v>
      </c>
      <c r="I134" t="s">
        <v>1245</v>
      </c>
      <c r="N134" t="str">
        <f>IFERROR(INDEX(_courses_lookup!$C:$C,MATCH(J134&amp;K134,_courses_lookup!$E:$E,0)),"")</f>
        <v/>
      </c>
      <c r="O134" t="str">
        <f>IFERROR(INDEX(_courses_lookup!$D:$D,MATCH(J134&amp;K134,_courses_lookup!$E:$E,0)),"")</f>
        <v/>
      </c>
      <c r="AD134" t="str">
        <f t="shared" si="16"/>
        <v/>
      </c>
      <c r="AG134" t="str">
        <f t="shared" si="17"/>
        <v/>
      </c>
      <c r="AI134" t="str">
        <f t="shared" si="18"/>
        <v/>
      </c>
      <c r="AK134" t="str">
        <f t="shared" si="19"/>
        <v/>
      </c>
      <c r="AL134" t="str">
        <f t="shared" si="20"/>
        <v/>
      </c>
      <c r="AM134" t="str">
        <f t="shared" si="21"/>
        <v/>
      </c>
      <c r="AX134" t="str">
        <f t="shared" si="22"/>
        <v/>
      </c>
      <c r="AY134" t="str">
        <f t="shared" si="23"/>
        <v/>
      </c>
      <c r="BB134" t="s">
        <v>214</v>
      </c>
      <c r="BC134" t="str">
        <f>IFERROR(INDEX(_names_lookup!$C:$C,MATCH(BB134,_names_lookup!$A:$A,0)),"")</f>
        <v>jankovic@andrews.edu</v>
      </c>
      <c r="BD134" t="str">
        <f>IFERROR(INDEX(_names_lookup!$B:$B,MATCH(BB134,_names_lookup!$A:$A,0)),"")</f>
        <v>000138176</v>
      </c>
    </row>
    <row r="135" spans="8:56" x14ac:dyDescent="0.2">
      <c r="H135" t="s">
        <v>1246</v>
      </c>
      <c r="I135" t="s">
        <v>1247</v>
      </c>
      <c r="N135" t="str">
        <f>IFERROR(INDEX(_courses_lookup!$C:$C,MATCH(J135&amp;K135,_courses_lookup!$E:$E,0)),"")</f>
        <v/>
      </c>
      <c r="O135" t="str">
        <f>IFERROR(INDEX(_courses_lookup!$D:$D,MATCH(J135&amp;K135,_courses_lookup!$E:$E,0)),"")</f>
        <v/>
      </c>
      <c r="AD135" t="str">
        <f t="shared" si="16"/>
        <v/>
      </c>
      <c r="AG135" t="str">
        <f t="shared" si="17"/>
        <v/>
      </c>
      <c r="AI135" t="str">
        <f t="shared" si="18"/>
        <v/>
      </c>
      <c r="AK135" t="str">
        <f t="shared" si="19"/>
        <v/>
      </c>
      <c r="AL135" t="str">
        <f t="shared" si="20"/>
        <v/>
      </c>
      <c r="AM135" t="str">
        <f t="shared" si="21"/>
        <v/>
      </c>
      <c r="AX135" t="str">
        <f t="shared" si="22"/>
        <v/>
      </c>
      <c r="AY135" t="str">
        <f t="shared" si="23"/>
        <v/>
      </c>
      <c r="BB135" t="s">
        <v>215</v>
      </c>
      <c r="BC135" t="str">
        <f>IFERROR(INDEX(_names_lookup!$C:$C,MATCH(BB135,_names_lookup!$A:$A,0)),"")</f>
        <v>mcguirej@andrews.edu</v>
      </c>
      <c r="BD135" t="str">
        <f>IFERROR(INDEX(_names_lookup!$B:$B,MATCH(BB135,_names_lookup!$A:$A,0)),"")</f>
        <v>000118224</v>
      </c>
    </row>
    <row r="136" spans="8:56" x14ac:dyDescent="0.2">
      <c r="H136" t="s">
        <v>1248</v>
      </c>
      <c r="I136" t="s">
        <v>1249</v>
      </c>
      <c r="N136" t="str">
        <f>IFERROR(INDEX(_courses_lookup!$C:$C,MATCH(J136&amp;K136,_courses_lookup!$E:$E,0)),"")</f>
        <v/>
      </c>
      <c r="O136" t="str">
        <f>IFERROR(INDEX(_courses_lookup!$D:$D,MATCH(J136&amp;K136,_courses_lookup!$E:$E,0)),"")</f>
        <v/>
      </c>
      <c r="AD136" t="str">
        <f t="shared" si="16"/>
        <v/>
      </c>
      <c r="AG136" t="str">
        <f t="shared" si="17"/>
        <v/>
      </c>
      <c r="AI136" t="str">
        <f t="shared" si="18"/>
        <v/>
      </c>
      <c r="AK136" t="str">
        <f t="shared" si="19"/>
        <v/>
      </c>
      <c r="AL136" t="str">
        <f t="shared" si="20"/>
        <v/>
      </c>
      <c r="AM136" t="str">
        <f t="shared" si="21"/>
        <v/>
      </c>
      <c r="AX136" t="str">
        <f t="shared" si="22"/>
        <v/>
      </c>
      <c r="AY136" t="str">
        <f t="shared" si="23"/>
        <v/>
      </c>
      <c r="BB136" t="s">
        <v>216</v>
      </c>
      <c r="BC136" t="str">
        <f>IFERROR(INDEX(_names_lookup!$C:$C,MATCH(BB136,_names_lookup!$A:$A,0)),"")</f>
        <v>moody@andrews.edu</v>
      </c>
      <c r="BD136" t="str">
        <f>IFERROR(INDEX(_names_lookup!$B:$B,MATCH(BB136,_names_lookup!$A:$A,0)),"")</f>
        <v>000141338</v>
      </c>
    </row>
    <row r="137" spans="8:56" x14ac:dyDescent="0.2">
      <c r="H137" t="s">
        <v>1250</v>
      </c>
      <c r="I137" t="s">
        <v>1251</v>
      </c>
      <c r="N137" t="str">
        <f>IFERROR(INDEX(_courses_lookup!$C:$C,MATCH(J137&amp;K137,_courses_lookup!$E:$E,0)),"")</f>
        <v/>
      </c>
      <c r="O137" t="str">
        <f>IFERROR(INDEX(_courses_lookup!$D:$D,MATCH(J137&amp;K137,_courses_lookup!$E:$E,0)),"")</f>
        <v/>
      </c>
      <c r="AD137" t="str">
        <f t="shared" si="16"/>
        <v/>
      </c>
      <c r="AG137" t="str">
        <f t="shared" si="17"/>
        <v/>
      </c>
      <c r="AI137" t="str">
        <f t="shared" si="18"/>
        <v/>
      </c>
      <c r="AK137" t="str">
        <f t="shared" si="19"/>
        <v/>
      </c>
      <c r="AL137" t="str">
        <f t="shared" si="20"/>
        <v/>
      </c>
      <c r="AM137" t="str">
        <f t="shared" si="21"/>
        <v/>
      </c>
      <c r="AX137" t="str">
        <f t="shared" si="22"/>
        <v/>
      </c>
      <c r="AY137" t="str">
        <f t="shared" si="23"/>
        <v/>
      </c>
      <c r="BB137" t="s">
        <v>217</v>
      </c>
      <c r="BC137" t="str">
        <f>IFERROR(INDEX(_names_lookup!$C:$C,MATCH(BB137,_names_lookup!$A:$A,0)),"")</f>
        <v>morrowl@andrews.edu</v>
      </c>
      <c r="BD137" t="str">
        <f>IFERROR(INDEX(_names_lookup!$B:$B,MATCH(BB137,_names_lookup!$A:$A,0)),"")</f>
        <v>000112615</v>
      </c>
    </row>
    <row r="138" spans="8:56" x14ac:dyDescent="0.2">
      <c r="H138" t="s">
        <v>1252</v>
      </c>
      <c r="I138" t="s">
        <v>1253</v>
      </c>
      <c r="N138" t="str">
        <f>IFERROR(INDEX(_courses_lookup!$C:$C,MATCH(J138&amp;K138,_courses_lookup!$E:$E,0)),"")</f>
        <v/>
      </c>
      <c r="O138" t="str">
        <f>IFERROR(INDEX(_courses_lookup!$D:$D,MATCH(J138&amp;K138,_courses_lookup!$E:$E,0)),"")</f>
        <v/>
      </c>
      <c r="AD138" t="str">
        <f t="shared" si="16"/>
        <v/>
      </c>
      <c r="AG138" t="str">
        <f t="shared" si="17"/>
        <v/>
      </c>
      <c r="AI138" t="str">
        <f t="shared" si="18"/>
        <v/>
      </c>
      <c r="AK138" t="str">
        <f t="shared" si="19"/>
        <v/>
      </c>
      <c r="AL138" t="str">
        <f t="shared" si="20"/>
        <v/>
      </c>
      <c r="AM138" t="str">
        <f t="shared" si="21"/>
        <v/>
      </c>
      <c r="AX138" t="str">
        <f t="shared" si="22"/>
        <v/>
      </c>
      <c r="AY138" t="str">
        <f t="shared" si="23"/>
        <v/>
      </c>
      <c r="BB138" t="s">
        <v>218</v>
      </c>
      <c r="BC138">
        <f>IFERROR(INDEX(_names_lookup!$C:$C,MATCH(BB138,_names_lookup!$A:$A,0)),"")</f>
        <v>0</v>
      </c>
      <c r="BD138" t="str">
        <f>IFERROR(INDEX(_names_lookup!$B:$B,MATCH(BB138,_names_lookup!$A:$A,0)),"")</f>
        <v>000032749</v>
      </c>
    </row>
    <row r="139" spans="8:56" x14ac:dyDescent="0.2">
      <c r="H139" t="s">
        <v>1254</v>
      </c>
      <c r="I139" t="s">
        <v>1255</v>
      </c>
      <c r="N139" t="str">
        <f>IFERROR(INDEX(_courses_lookup!$C:$C,MATCH(J139&amp;K139,_courses_lookup!$E:$E,0)),"")</f>
        <v/>
      </c>
      <c r="O139" t="str">
        <f>IFERROR(INDEX(_courses_lookup!$D:$D,MATCH(J139&amp;K139,_courses_lookup!$E:$E,0)),"")</f>
        <v/>
      </c>
      <c r="AD139" t="str">
        <f t="shared" si="16"/>
        <v/>
      </c>
      <c r="AG139" t="str">
        <f t="shared" si="17"/>
        <v/>
      </c>
      <c r="AI139" t="str">
        <f t="shared" si="18"/>
        <v/>
      </c>
      <c r="AK139" t="str">
        <f t="shared" si="19"/>
        <v/>
      </c>
      <c r="AL139" t="str">
        <f t="shared" si="20"/>
        <v/>
      </c>
      <c r="AM139" t="str">
        <f t="shared" si="21"/>
        <v/>
      </c>
      <c r="AX139" t="str">
        <f t="shared" si="22"/>
        <v/>
      </c>
      <c r="AY139" t="str">
        <f t="shared" si="23"/>
        <v/>
      </c>
      <c r="BB139" t="s">
        <v>219</v>
      </c>
      <c r="BC139" t="str">
        <f>IFERROR(INDEX(_names_lookup!$C:$C,MATCH(BB139,_names_lookup!$A:$A,0)),"")</f>
        <v>kimchai@andrews.edu</v>
      </c>
      <c r="BD139" t="str">
        <f>IFERROR(INDEX(_names_lookup!$B:$B,MATCH(BB139,_names_lookup!$A:$A,0)),"")</f>
        <v>000212413</v>
      </c>
    </row>
    <row r="140" spans="8:56" x14ac:dyDescent="0.2">
      <c r="H140" t="s">
        <v>1256</v>
      </c>
      <c r="I140" t="s">
        <v>1257</v>
      </c>
      <c r="N140" t="str">
        <f>IFERROR(INDEX(_courses_lookup!$C:$C,MATCH(J140&amp;K140,_courses_lookup!$E:$E,0)),"")</f>
        <v/>
      </c>
      <c r="O140" t="str">
        <f>IFERROR(INDEX(_courses_lookup!$D:$D,MATCH(J140&amp;K140,_courses_lookup!$E:$E,0)),"")</f>
        <v/>
      </c>
      <c r="AD140" t="str">
        <f t="shared" si="16"/>
        <v/>
      </c>
      <c r="AG140" t="str">
        <f t="shared" si="17"/>
        <v/>
      </c>
      <c r="AI140" t="str">
        <f t="shared" si="18"/>
        <v/>
      </c>
      <c r="AK140" t="str">
        <f t="shared" si="19"/>
        <v/>
      </c>
      <c r="AL140" t="str">
        <f t="shared" si="20"/>
        <v/>
      </c>
      <c r="AM140" t="str">
        <f t="shared" si="21"/>
        <v/>
      </c>
      <c r="AX140" t="str">
        <f t="shared" si="22"/>
        <v/>
      </c>
      <c r="AY140" t="str">
        <f t="shared" si="23"/>
        <v/>
      </c>
      <c r="BB140" t="s">
        <v>220</v>
      </c>
      <c r="BC140" t="str">
        <f>IFERROR(INDEX(_names_lookup!$C:$C,MATCH(BB140,_names_lookup!$A:$A,0)),"")</f>
        <v>olariu@andrews.edu</v>
      </c>
      <c r="BD140" t="str">
        <f>IFERROR(INDEX(_names_lookup!$B:$B,MATCH(BB140,_names_lookup!$A:$A,0)),"")</f>
        <v>000163538</v>
      </c>
    </row>
    <row r="141" spans="8:56" x14ac:dyDescent="0.2">
      <c r="H141" t="s">
        <v>1258</v>
      </c>
      <c r="I141" t="s">
        <v>1259</v>
      </c>
      <c r="N141" t="str">
        <f>IFERROR(INDEX(_courses_lookup!$C:$C,MATCH(J141&amp;K141,_courses_lookup!$E:$E,0)),"")</f>
        <v/>
      </c>
      <c r="O141" t="str">
        <f>IFERROR(INDEX(_courses_lookup!$D:$D,MATCH(J141&amp;K141,_courses_lookup!$E:$E,0)),"")</f>
        <v/>
      </c>
      <c r="AD141" t="str">
        <f t="shared" si="16"/>
        <v/>
      </c>
      <c r="AG141" t="str">
        <f t="shared" si="17"/>
        <v/>
      </c>
      <c r="AI141" t="str">
        <f t="shared" si="18"/>
        <v/>
      </c>
      <c r="AK141" t="str">
        <f t="shared" si="19"/>
        <v/>
      </c>
      <c r="AL141" t="str">
        <f t="shared" si="20"/>
        <v/>
      </c>
      <c r="AM141" t="str">
        <f t="shared" si="21"/>
        <v/>
      </c>
      <c r="AX141" t="str">
        <f t="shared" si="22"/>
        <v/>
      </c>
      <c r="AY141" t="str">
        <f t="shared" si="23"/>
        <v/>
      </c>
      <c r="BB141" t="s">
        <v>367</v>
      </c>
      <c r="BC141" t="str">
        <f>IFERROR(INDEX(_names_lookup!$C:$C,MATCH(BB141,_names_lookup!$A:$A,0)),"")</f>
        <v>ponyatov@andrews.edu</v>
      </c>
      <c r="BD141" t="str">
        <f>IFERROR(INDEX(_names_lookup!$B:$B,MATCH(BB141,_names_lookup!$A:$A,0)),"")</f>
        <v>000116220</v>
      </c>
    </row>
    <row r="142" spans="8:56" x14ac:dyDescent="0.2">
      <c r="H142" t="s">
        <v>1260</v>
      </c>
      <c r="I142" t="s">
        <v>1261</v>
      </c>
      <c r="N142" t="str">
        <f>IFERROR(INDEX(_courses_lookup!$C:$C,MATCH(J142&amp;K142,_courses_lookup!$E:$E,0)),"")</f>
        <v/>
      </c>
      <c r="O142" t="str">
        <f>IFERROR(INDEX(_courses_lookup!$D:$D,MATCH(J142&amp;K142,_courses_lookup!$E:$E,0)),"")</f>
        <v/>
      </c>
      <c r="AD142" t="str">
        <f t="shared" si="16"/>
        <v/>
      </c>
      <c r="AG142" t="str">
        <f t="shared" si="17"/>
        <v/>
      </c>
      <c r="AI142" t="str">
        <f t="shared" si="18"/>
        <v/>
      </c>
      <c r="AK142" t="str">
        <f t="shared" si="19"/>
        <v/>
      </c>
      <c r="AL142" t="str">
        <f t="shared" si="20"/>
        <v/>
      </c>
      <c r="AM142" t="str">
        <f t="shared" si="21"/>
        <v/>
      </c>
      <c r="AX142" t="str">
        <f t="shared" si="22"/>
        <v/>
      </c>
      <c r="AY142" t="str">
        <f t="shared" si="23"/>
        <v/>
      </c>
      <c r="BB142" t="s">
        <v>221</v>
      </c>
      <c r="BC142" t="str">
        <f>IFERROR(INDEX(_names_lookup!$C:$C,MATCH(BB142,_names_lookup!$A:$A,0)),"")</f>
        <v>neto@andrews.edu</v>
      </c>
      <c r="BD142" t="str">
        <f>IFERROR(INDEX(_names_lookup!$B:$B,MATCH(BB142,_names_lookup!$A:$A,0)),"")</f>
        <v>000136415</v>
      </c>
    </row>
    <row r="143" spans="8:56" x14ac:dyDescent="0.2">
      <c r="H143" t="s">
        <v>1262</v>
      </c>
      <c r="I143" t="s">
        <v>1263</v>
      </c>
      <c r="N143" t="str">
        <f>IFERROR(INDEX(_courses_lookup!$C:$C,MATCH(J143&amp;K143,_courses_lookup!$E:$E,0)),"")</f>
        <v/>
      </c>
      <c r="O143" t="str">
        <f>IFERROR(INDEX(_courses_lookup!$D:$D,MATCH(J143&amp;K143,_courses_lookup!$E:$E,0)),"")</f>
        <v/>
      </c>
      <c r="AD143" t="str">
        <f t="shared" si="16"/>
        <v/>
      </c>
      <c r="AG143" t="str">
        <f t="shared" si="17"/>
        <v/>
      </c>
      <c r="AI143" t="str">
        <f t="shared" si="18"/>
        <v/>
      </c>
      <c r="AK143" t="str">
        <f t="shared" si="19"/>
        <v/>
      </c>
      <c r="AL143" t="str">
        <f t="shared" si="20"/>
        <v/>
      </c>
      <c r="AM143" t="str">
        <f t="shared" si="21"/>
        <v/>
      </c>
      <c r="AX143" t="str">
        <f t="shared" si="22"/>
        <v/>
      </c>
      <c r="AY143" t="str">
        <f t="shared" si="23"/>
        <v/>
      </c>
      <c r="BB143" t="s">
        <v>222</v>
      </c>
      <c r="BC143" t="str">
        <f>IFERROR(INDEX(_names_lookup!$C:$C,MATCH(BB143,_names_lookup!$A:$A,0)),"")</f>
        <v>abelardo@andrews.edu</v>
      </c>
      <c r="BD143" t="str">
        <f>IFERROR(INDEX(_names_lookup!$B:$B,MATCH(BB143,_names_lookup!$A:$A,0)),"")</f>
        <v>000133197</v>
      </c>
    </row>
    <row r="144" spans="8:56" x14ac:dyDescent="0.2">
      <c r="H144" t="s">
        <v>1264</v>
      </c>
      <c r="I144" t="s">
        <v>1265</v>
      </c>
      <c r="N144" t="str">
        <f>IFERROR(INDEX(_courses_lookup!$C:$C,MATCH(J144&amp;K144,_courses_lookup!$E:$E,0)),"")</f>
        <v/>
      </c>
      <c r="O144" t="str">
        <f>IFERROR(INDEX(_courses_lookup!$D:$D,MATCH(J144&amp;K144,_courses_lookup!$E:$E,0)),"")</f>
        <v/>
      </c>
      <c r="AD144" t="str">
        <f t="shared" si="16"/>
        <v/>
      </c>
      <c r="AG144" t="str">
        <f t="shared" si="17"/>
        <v/>
      </c>
      <c r="AI144" t="str">
        <f t="shared" si="18"/>
        <v/>
      </c>
      <c r="AK144" t="str">
        <f t="shared" si="19"/>
        <v/>
      </c>
      <c r="AL144" t="str">
        <f t="shared" si="20"/>
        <v/>
      </c>
      <c r="AM144" t="str">
        <f t="shared" si="21"/>
        <v/>
      </c>
      <c r="AX144" t="str">
        <f t="shared" si="22"/>
        <v/>
      </c>
      <c r="AY144" t="str">
        <f t="shared" si="23"/>
        <v/>
      </c>
      <c r="BB144" t="s">
        <v>223</v>
      </c>
      <c r="BC144" t="str">
        <f>IFERROR(INDEX(_names_lookup!$C:$C,MATCH(BB144,_names_lookup!$A:$A,0)),"")</f>
        <v>rojasr@andrews.edu</v>
      </c>
      <c r="BD144" t="str">
        <f>IFERROR(INDEX(_names_lookup!$B:$B,MATCH(BB144,_names_lookup!$A:$A,0)),"")</f>
        <v>000124643</v>
      </c>
    </row>
    <row r="145" spans="8:56" x14ac:dyDescent="0.2">
      <c r="H145" t="s">
        <v>1266</v>
      </c>
      <c r="I145" t="s">
        <v>1267</v>
      </c>
      <c r="N145" t="str">
        <f>IFERROR(INDEX(_courses_lookup!$C:$C,MATCH(J145&amp;K145,_courses_lookup!$E:$E,0)),"")</f>
        <v/>
      </c>
      <c r="O145" t="str">
        <f>IFERROR(INDEX(_courses_lookup!$D:$D,MATCH(J145&amp;K145,_courses_lookup!$E:$E,0)),"")</f>
        <v/>
      </c>
      <c r="AD145" t="str">
        <f t="shared" si="16"/>
        <v/>
      </c>
      <c r="AG145" t="str">
        <f t="shared" si="17"/>
        <v/>
      </c>
      <c r="AI145" t="str">
        <f t="shared" si="18"/>
        <v/>
      </c>
      <c r="AK145" t="str">
        <f t="shared" si="19"/>
        <v/>
      </c>
      <c r="AL145" t="str">
        <f t="shared" si="20"/>
        <v/>
      </c>
      <c r="AM145" t="str">
        <f t="shared" si="21"/>
        <v/>
      </c>
      <c r="AX145" t="str">
        <f t="shared" si="22"/>
        <v/>
      </c>
      <c r="AY145" t="str">
        <f t="shared" si="23"/>
        <v/>
      </c>
      <c r="BB145" t="s">
        <v>224</v>
      </c>
      <c r="BC145" t="str">
        <f>IFERROR(INDEX(_names_lookup!$C:$C,MATCH(BB145,_names_lookup!$A:$A,0)),"")</f>
        <v>ruizr@andrews.edu</v>
      </c>
      <c r="BD145" t="str">
        <f>IFERROR(INDEX(_names_lookup!$B:$B,MATCH(BB145,_names_lookup!$A:$A,0)),"")</f>
        <v>000148578</v>
      </c>
    </row>
    <row r="146" spans="8:56" x14ac:dyDescent="0.2">
      <c r="H146" t="s">
        <v>1268</v>
      </c>
      <c r="I146" t="s">
        <v>1269</v>
      </c>
      <c r="N146" t="str">
        <f>IFERROR(INDEX(_courses_lookup!$C:$C,MATCH(J146&amp;K146,_courses_lookup!$E:$E,0)),"")</f>
        <v/>
      </c>
      <c r="O146" t="str">
        <f>IFERROR(INDEX(_courses_lookup!$D:$D,MATCH(J146&amp;K146,_courses_lookup!$E:$E,0)),"")</f>
        <v/>
      </c>
      <c r="AD146" t="str">
        <f t="shared" si="16"/>
        <v/>
      </c>
      <c r="AG146" t="str">
        <f t="shared" si="17"/>
        <v/>
      </c>
      <c r="AI146" t="str">
        <f t="shared" si="18"/>
        <v/>
      </c>
      <c r="AK146" t="str">
        <f t="shared" si="19"/>
        <v/>
      </c>
      <c r="AL146" t="str">
        <f t="shared" si="20"/>
        <v/>
      </c>
      <c r="AM146" t="str">
        <f t="shared" si="21"/>
        <v/>
      </c>
      <c r="AX146" t="str">
        <f t="shared" si="22"/>
        <v/>
      </c>
      <c r="AY146" t="str">
        <f t="shared" si="23"/>
        <v/>
      </c>
      <c r="BB146" t="s">
        <v>225</v>
      </c>
      <c r="BC146" t="str">
        <f>IFERROR(INDEX(_names_lookup!$C:$C,MATCH(BB146,_names_lookup!$A:$A,0)),"")</f>
        <v>skinnerj@andrews.edu</v>
      </c>
      <c r="BD146" t="str">
        <f>IFERROR(INDEX(_names_lookup!$B:$B,MATCH(BB146,_names_lookup!$A:$A,0)),"")</f>
        <v>000117063</v>
      </c>
    </row>
    <row r="147" spans="8:56" x14ac:dyDescent="0.2">
      <c r="H147" t="s">
        <v>1270</v>
      </c>
      <c r="I147" t="s">
        <v>1271</v>
      </c>
      <c r="N147" t="str">
        <f>IFERROR(INDEX(_courses_lookup!$C:$C,MATCH(J147&amp;K147,_courses_lookup!$E:$E,0)),"")</f>
        <v/>
      </c>
      <c r="O147" t="str">
        <f>IFERROR(INDEX(_courses_lookup!$D:$D,MATCH(J147&amp;K147,_courses_lookup!$E:$E,0)),"")</f>
        <v/>
      </c>
      <c r="AD147" t="str">
        <f t="shared" si="16"/>
        <v/>
      </c>
      <c r="AG147" t="str">
        <f t="shared" si="17"/>
        <v/>
      </c>
      <c r="AI147" t="str">
        <f t="shared" si="18"/>
        <v/>
      </c>
      <c r="AK147" t="str">
        <f t="shared" si="19"/>
        <v/>
      </c>
      <c r="AL147" t="str">
        <f t="shared" si="20"/>
        <v/>
      </c>
      <c r="AM147" t="str">
        <f t="shared" si="21"/>
        <v/>
      </c>
      <c r="AX147" t="str">
        <f t="shared" si="22"/>
        <v/>
      </c>
      <c r="AY147" t="str">
        <f t="shared" si="23"/>
        <v/>
      </c>
      <c r="BB147" t="s">
        <v>226</v>
      </c>
      <c r="BC147" t="str">
        <f>IFERROR(INDEX(_names_lookup!$C:$C,MATCH(BB147,_names_lookup!$A:$A,0)),"")</f>
        <v>sion@andrews.edu</v>
      </c>
      <c r="BD147" t="str">
        <f>IFERROR(INDEX(_names_lookup!$B:$B,MATCH(BB147,_names_lookup!$A:$A,0)),"")</f>
        <v>000117882</v>
      </c>
    </row>
    <row r="148" spans="8:56" x14ac:dyDescent="0.2">
      <c r="H148" t="s">
        <v>1272</v>
      </c>
      <c r="I148" t="s">
        <v>1273</v>
      </c>
      <c r="N148" t="str">
        <f>IFERROR(INDEX(_courses_lookup!$C:$C,MATCH(J148&amp;K148,_courses_lookup!$E:$E,0)),"")</f>
        <v/>
      </c>
      <c r="O148" t="str">
        <f>IFERROR(INDEX(_courses_lookup!$D:$D,MATCH(J148&amp;K148,_courses_lookup!$E:$E,0)),"")</f>
        <v/>
      </c>
      <c r="AD148" t="str">
        <f t="shared" si="16"/>
        <v/>
      </c>
      <c r="AG148" t="str">
        <f t="shared" si="17"/>
        <v/>
      </c>
      <c r="AI148" t="str">
        <f t="shared" si="18"/>
        <v/>
      </c>
      <c r="AK148" t="str">
        <f t="shared" si="19"/>
        <v/>
      </c>
      <c r="AL148" t="str">
        <f t="shared" si="20"/>
        <v/>
      </c>
      <c r="AM148" t="str">
        <f t="shared" si="21"/>
        <v/>
      </c>
      <c r="AX148" t="str">
        <f t="shared" si="22"/>
        <v/>
      </c>
      <c r="AY148" t="str">
        <f t="shared" si="23"/>
        <v/>
      </c>
      <c r="BB148" t="s">
        <v>227</v>
      </c>
      <c r="BC148" t="str">
        <f>IFERROR(INDEX(_names_lookup!$C:$C,MATCH(BB148,_names_lookup!$A:$A,0)),"")</f>
        <v>tollerto@andrews.edu</v>
      </c>
      <c r="BD148" t="str">
        <f>IFERROR(INDEX(_names_lookup!$B:$B,MATCH(BB148,_names_lookup!$A:$A,0)),"")</f>
        <v>000117327</v>
      </c>
    </row>
    <row r="149" spans="8:56" x14ac:dyDescent="0.2">
      <c r="H149" t="s">
        <v>1274</v>
      </c>
      <c r="I149" t="s">
        <v>1275</v>
      </c>
      <c r="N149" t="str">
        <f>IFERROR(INDEX(_courses_lookup!$C:$C,MATCH(J149&amp;K149,_courses_lookup!$E:$E,0)),"")</f>
        <v/>
      </c>
      <c r="O149" t="str">
        <f>IFERROR(INDEX(_courses_lookup!$D:$D,MATCH(J149&amp;K149,_courses_lookup!$E:$E,0)),"")</f>
        <v/>
      </c>
      <c r="AD149" t="str">
        <f t="shared" si="16"/>
        <v/>
      </c>
      <c r="AG149" t="str">
        <f t="shared" si="17"/>
        <v/>
      </c>
      <c r="AI149" t="str">
        <f t="shared" si="18"/>
        <v/>
      </c>
      <c r="AK149" t="str">
        <f t="shared" si="19"/>
        <v/>
      </c>
      <c r="AL149" t="str">
        <f t="shared" si="20"/>
        <v/>
      </c>
      <c r="AM149" t="str">
        <f t="shared" si="21"/>
        <v/>
      </c>
      <c r="AX149" t="str">
        <f t="shared" si="22"/>
        <v/>
      </c>
      <c r="AY149" t="str">
        <f t="shared" si="23"/>
        <v/>
      </c>
      <c r="BB149" t="s">
        <v>228</v>
      </c>
      <c r="BC149" t="str">
        <f>IFERROR(INDEX(_names_lookup!$C:$C,MATCH(BB149,_names_lookup!$A:$A,0)),"")</f>
        <v>wiens@andrews.edu</v>
      </c>
      <c r="BD149" t="str">
        <f>IFERROR(INDEX(_names_lookup!$B:$B,MATCH(BB149,_names_lookup!$A:$A,0)),"")</f>
        <v>000160271</v>
      </c>
    </row>
    <row r="150" spans="8:56" x14ac:dyDescent="0.2">
      <c r="H150" t="s">
        <v>1276</v>
      </c>
      <c r="I150" t="s">
        <v>1277</v>
      </c>
      <c r="N150" t="str">
        <f>IFERROR(INDEX(_courses_lookup!$C:$C,MATCH(J150&amp;K150,_courses_lookup!$E:$E,0)),"")</f>
        <v/>
      </c>
      <c r="O150" t="str">
        <f>IFERROR(INDEX(_courses_lookup!$D:$D,MATCH(J150&amp;K150,_courses_lookup!$E:$E,0)),"")</f>
        <v/>
      </c>
      <c r="AD150" t="str">
        <f t="shared" si="16"/>
        <v/>
      </c>
      <c r="AG150" t="str">
        <f t="shared" si="17"/>
        <v/>
      </c>
      <c r="AI150" t="str">
        <f t="shared" si="18"/>
        <v/>
      </c>
      <c r="AK150" t="str">
        <f t="shared" si="19"/>
        <v/>
      </c>
      <c r="AL150" t="str">
        <f t="shared" si="20"/>
        <v/>
      </c>
      <c r="AM150" t="str">
        <f t="shared" si="21"/>
        <v/>
      </c>
      <c r="AX150" t="str">
        <f t="shared" si="22"/>
        <v/>
      </c>
      <c r="AY150" t="str">
        <f t="shared" si="23"/>
        <v/>
      </c>
      <c r="BB150" t="s">
        <v>229</v>
      </c>
      <c r="BC150" t="str">
        <f>IFERROR(INDEX(_names_lookup!$C:$C,MATCH(BB150,_names_lookup!$A:$A,0)),"")</f>
        <v>ariasqui@andrews.edu</v>
      </c>
      <c r="BD150" t="str">
        <f>IFERROR(INDEX(_names_lookup!$B:$B,MATCH(BB150,_names_lookup!$A:$A,0)),"")</f>
        <v>000099625</v>
      </c>
    </row>
    <row r="151" spans="8:56" x14ac:dyDescent="0.2">
      <c r="H151" t="s">
        <v>1278</v>
      </c>
      <c r="I151" t="s">
        <v>1279</v>
      </c>
      <c r="N151" t="str">
        <f>IFERROR(INDEX(_courses_lookup!$C:$C,MATCH(J151&amp;K151,_courses_lookup!$E:$E,0)),"")</f>
        <v/>
      </c>
      <c r="O151" t="str">
        <f>IFERROR(INDEX(_courses_lookup!$D:$D,MATCH(J151&amp;K151,_courses_lookup!$E:$E,0)),"")</f>
        <v/>
      </c>
      <c r="AD151" t="str">
        <f t="shared" si="16"/>
        <v/>
      </c>
      <c r="AG151" t="str">
        <f t="shared" si="17"/>
        <v/>
      </c>
      <c r="AI151" t="str">
        <f t="shared" si="18"/>
        <v/>
      </c>
      <c r="AK151" t="str">
        <f t="shared" si="19"/>
        <v/>
      </c>
      <c r="AL151" t="str">
        <f t="shared" si="20"/>
        <v/>
      </c>
      <c r="AM151" t="str">
        <f t="shared" si="21"/>
        <v/>
      </c>
      <c r="AX151" t="str">
        <f t="shared" si="22"/>
        <v/>
      </c>
      <c r="AY151" t="str">
        <f t="shared" si="23"/>
        <v/>
      </c>
      <c r="BB151" t="s">
        <v>230</v>
      </c>
      <c r="BC151" t="str">
        <f>IFERROR(INDEX(_names_lookup!$C:$C,MATCH(BB151,_names_lookup!$A:$A,0)),"")</f>
        <v>sjbell@andrews.edu</v>
      </c>
      <c r="BD151" t="str">
        <f>IFERROR(INDEX(_names_lookup!$B:$B,MATCH(BB151,_names_lookup!$A:$A,0)),"")</f>
        <v>000015518</v>
      </c>
    </row>
    <row r="152" spans="8:56" x14ac:dyDescent="0.2">
      <c r="H152" t="s">
        <v>1280</v>
      </c>
      <c r="I152" t="s">
        <v>1281</v>
      </c>
      <c r="N152" t="str">
        <f>IFERROR(INDEX(_courses_lookup!$C:$C,MATCH(J152&amp;K152,_courses_lookup!$E:$E,0)),"")</f>
        <v/>
      </c>
      <c r="O152" t="str">
        <f>IFERROR(INDEX(_courses_lookup!$D:$D,MATCH(J152&amp;K152,_courses_lookup!$E:$E,0)),"")</f>
        <v/>
      </c>
      <c r="AD152" t="str">
        <f t="shared" si="16"/>
        <v/>
      </c>
      <c r="AG152" t="str">
        <f t="shared" si="17"/>
        <v/>
      </c>
      <c r="AI152" t="str">
        <f t="shared" si="18"/>
        <v/>
      </c>
      <c r="AK152" t="str">
        <f t="shared" si="19"/>
        <v/>
      </c>
      <c r="AL152" t="str">
        <f t="shared" si="20"/>
        <v/>
      </c>
      <c r="AM152" t="str">
        <f t="shared" si="21"/>
        <v/>
      </c>
      <c r="AX152" t="str">
        <f t="shared" si="22"/>
        <v/>
      </c>
      <c r="AY152" t="str">
        <f t="shared" si="23"/>
        <v/>
      </c>
      <c r="BB152" t="s">
        <v>231</v>
      </c>
      <c r="BC152" t="str">
        <f>IFERROR(INDEX(_names_lookup!$C:$C,MATCH(BB152,_names_lookup!$A:$A,0)),"")</f>
        <v>erlo@andrews.edu</v>
      </c>
      <c r="BD152" t="str">
        <f>IFERROR(INDEX(_names_lookup!$B:$B,MATCH(BB152,_names_lookup!$A:$A,0)),"")</f>
        <v>000137172</v>
      </c>
    </row>
    <row r="153" spans="8:56" x14ac:dyDescent="0.2">
      <c r="H153" t="s">
        <v>1282</v>
      </c>
      <c r="I153" t="s">
        <v>1283</v>
      </c>
      <c r="N153" t="str">
        <f>IFERROR(INDEX(_courses_lookup!$C:$C,MATCH(J153&amp;K153,_courses_lookup!$E:$E,0)),"")</f>
        <v/>
      </c>
      <c r="O153" t="str">
        <f>IFERROR(INDEX(_courses_lookup!$D:$D,MATCH(J153&amp;K153,_courses_lookup!$E:$E,0)),"")</f>
        <v/>
      </c>
      <c r="AD153" t="str">
        <f t="shared" si="16"/>
        <v/>
      </c>
      <c r="AG153" t="str">
        <f t="shared" si="17"/>
        <v/>
      </c>
      <c r="AI153" t="str">
        <f t="shared" si="18"/>
        <v/>
      </c>
      <c r="AK153" t="str">
        <f t="shared" si="19"/>
        <v/>
      </c>
      <c r="AL153" t="str">
        <f t="shared" si="20"/>
        <v/>
      </c>
      <c r="AM153" t="str">
        <f t="shared" si="21"/>
        <v/>
      </c>
      <c r="AX153" t="str">
        <f t="shared" si="22"/>
        <v/>
      </c>
      <c r="AY153" t="str">
        <f t="shared" si="23"/>
        <v/>
      </c>
      <c r="BB153" t="s">
        <v>232</v>
      </c>
      <c r="BC153" t="str">
        <f>IFERROR(INDEX(_names_lookup!$C:$C,MATCH(BB153,_names_lookup!$A:$A,0)),"")</f>
        <v>alejandrob@andrews.edu</v>
      </c>
      <c r="BD153" t="str">
        <f>IFERROR(INDEX(_names_lookup!$B:$B,MATCH(BB153,_names_lookup!$A:$A,0)),"")</f>
        <v>000181820</v>
      </c>
    </row>
    <row r="154" spans="8:56" x14ac:dyDescent="0.2">
      <c r="H154" t="s">
        <v>1284</v>
      </c>
      <c r="I154" t="s">
        <v>1285</v>
      </c>
      <c r="N154" t="str">
        <f>IFERROR(INDEX(_courses_lookup!$C:$C,MATCH(J154&amp;K154,_courses_lookup!$E:$E,0)),"")</f>
        <v/>
      </c>
      <c r="O154" t="str">
        <f>IFERROR(INDEX(_courses_lookup!$D:$D,MATCH(J154&amp;K154,_courses_lookup!$E:$E,0)),"")</f>
        <v/>
      </c>
      <c r="AD154" t="str">
        <f t="shared" si="16"/>
        <v/>
      </c>
      <c r="AG154" t="str">
        <f t="shared" si="17"/>
        <v/>
      </c>
      <c r="AI154" t="str">
        <f t="shared" si="18"/>
        <v/>
      </c>
      <c r="AK154" t="str">
        <f t="shared" si="19"/>
        <v/>
      </c>
      <c r="AL154" t="str">
        <f t="shared" si="20"/>
        <v/>
      </c>
      <c r="AM154" t="str">
        <f t="shared" si="21"/>
        <v/>
      </c>
      <c r="AX154" t="str">
        <f t="shared" si="22"/>
        <v/>
      </c>
      <c r="AY154" t="str">
        <f t="shared" si="23"/>
        <v/>
      </c>
      <c r="BB154" t="s">
        <v>233</v>
      </c>
      <c r="BC154" t="str">
        <f>IFERROR(INDEX(_names_lookup!$C:$C,MATCH(BB154,_names_lookup!$A:$A,0)),"")</f>
        <v>canals@andrews.edu</v>
      </c>
      <c r="BD154" t="str">
        <f>IFERROR(INDEX(_names_lookup!$B:$B,MATCH(BB154,_names_lookup!$A:$A,0)),"")</f>
        <v>000051912</v>
      </c>
    </row>
    <row r="155" spans="8:56" x14ac:dyDescent="0.2">
      <c r="H155" t="s">
        <v>1286</v>
      </c>
      <c r="I155" t="s">
        <v>1287</v>
      </c>
      <c r="N155" t="str">
        <f>IFERROR(INDEX(_courses_lookup!$C:$C,MATCH(J155&amp;K155,_courses_lookup!$E:$E,0)),"")</f>
        <v/>
      </c>
      <c r="O155" t="str">
        <f>IFERROR(INDEX(_courses_lookup!$D:$D,MATCH(J155&amp;K155,_courses_lookup!$E:$E,0)),"")</f>
        <v/>
      </c>
      <c r="AD155" t="str">
        <f t="shared" si="16"/>
        <v/>
      </c>
      <c r="AG155" t="str">
        <f t="shared" si="17"/>
        <v/>
      </c>
      <c r="AI155" t="str">
        <f t="shared" si="18"/>
        <v/>
      </c>
      <c r="AK155" t="str">
        <f t="shared" si="19"/>
        <v/>
      </c>
      <c r="AL155" t="str">
        <f t="shared" si="20"/>
        <v/>
      </c>
      <c r="AM155" t="str">
        <f t="shared" si="21"/>
        <v/>
      </c>
      <c r="AX155" t="str">
        <f t="shared" si="22"/>
        <v/>
      </c>
      <c r="AY155" t="str">
        <f t="shared" si="23"/>
        <v/>
      </c>
      <c r="BB155" t="s">
        <v>234</v>
      </c>
      <c r="BC155" t="str">
        <f>IFERROR(INDEX(_names_lookup!$C:$C,MATCH(BB155,_names_lookup!$A:$A,0)),"")</f>
        <v>cauleym@andrews.edu</v>
      </c>
      <c r="BD155" t="str">
        <f>IFERROR(INDEX(_names_lookup!$B:$B,MATCH(BB155,_names_lookup!$A:$A,0)),"")</f>
        <v>000025417</v>
      </c>
    </row>
    <row r="156" spans="8:56" x14ac:dyDescent="0.2">
      <c r="H156" t="s">
        <v>1288</v>
      </c>
      <c r="I156" t="s">
        <v>1289</v>
      </c>
      <c r="N156" t="str">
        <f>IFERROR(INDEX(_courses_lookup!$C:$C,MATCH(J156&amp;K156,_courses_lookup!$E:$E,0)),"")</f>
        <v/>
      </c>
      <c r="O156" t="str">
        <f>IFERROR(INDEX(_courses_lookup!$D:$D,MATCH(J156&amp;K156,_courses_lookup!$E:$E,0)),"")</f>
        <v/>
      </c>
      <c r="AD156" t="str">
        <f t="shared" si="16"/>
        <v/>
      </c>
      <c r="AG156" t="str">
        <f t="shared" si="17"/>
        <v/>
      </c>
      <c r="AI156" t="str">
        <f t="shared" si="18"/>
        <v/>
      </c>
      <c r="AK156" t="str">
        <f t="shared" si="19"/>
        <v/>
      </c>
      <c r="AL156" t="str">
        <f t="shared" si="20"/>
        <v/>
      </c>
      <c r="AM156" t="str">
        <f t="shared" si="21"/>
        <v/>
      </c>
      <c r="AX156" t="str">
        <f t="shared" si="22"/>
        <v/>
      </c>
      <c r="AY156" t="str">
        <f t="shared" si="23"/>
        <v/>
      </c>
      <c r="BB156" t="s">
        <v>235</v>
      </c>
      <c r="BC156" t="str">
        <f>IFERROR(INDEX(_names_lookup!$C:$C,MATCH(BB156,_names_lookup!$A:$A,0)),"")</f>
        <v>cauley@andrews.edu</v>
      </c>
      <c r="BD156" t="str">
        <f>IFERROR(INDEX(_names_lookup!$B:$B,MATCH(BB156,_names_lookup!$A:$A,0)),"")</f>
        <v>000107141</v>
      </c>
    </row>
    <row r="157" spans="8:56" x14ac:dyDescent="0.2">
      <c r="H157" t="s">
        <v>1290</v>
      </c>
      <c r="I157" t="s">
        <v>1291</v>
      </c>
      <c r="N157" t="str">
        <f>IFERROR(INDEX(_courses_lookup!$C:$C,MATCH(J157&amp;K157,_courses_lookup!$E:$E,0)),"")</f>
        <v/>
      </c>
      <c r="O157" t="str">
        <f>IFERROR(INDEX(_courses_lookup!$D:$D,MATCH(J157&amp;K157,_courses_lookup!$E:$E,0)),"")</f>
        <v/>
      </c>
      <c r="AD157" t="str">
        <f t="shared" si="16"/>
        <v/>
      </c>
      <c r="AG157" t="str">
        <f t="shared" si="17"/>
        <v/>
      </c>
      <c r="AI157" t="str">
        <f t="shared" si="18"/>
        <v/>
      </c>
      <c r="AK157" t="str">
        <f t="shared" si="19"/>
        <v/>
      </c>
      <c r="AL157" t="str">
        <f t="shared" si="20"/>
        <v/>
      </c>
      <c r="AM157" t="str">
        <f t="shared" si="21"/>
        <v/>
      </c>
      <c r="AX157" t="str">
        <f t="shared" si="22"/>
        <v/>
      </c>
      <c r="AY157" t="str">
        <f t="shared" si="23"/>
        <v/>
      </c>
      <c r="BB157" t="s">
        <v>236</v>
      </c>
      <c r="BC157" t="str">
        <f>IFERROR(INDEX(_names_lookup!$C:$C,MATCH(BB157,_names_lookup!$A:$A,0)),"")</f>
        <v>ceballom@andrews.edu</v>
      </c>
      <c r="BD157" t="str">
        <f>IFERROR(INDEX(_names_lookup!$B:$B,MATCH(BB157,_names_lookup!$A:$A,0)),"")</f>
        <v>000039066</v>
      </c>
    </row>
    <row r="158" spans="8:56" x14ac:dyDescent="0.2">
      <c r="H158" t="s">
        <v>1292</v>
      </c>
      <c r="I158" t="s">
        <v>1293</v>
      </c>
      <c r="N158" t="str">
        <f>IFERROR(INDEX(_courses_lookup!$C:$C,MATCH(J158&amp;K158,_courses_lookup!$E:$E,0)),"")</f>
        <v/>
      </c>
      <c r="O158" t="str">
        <f>IFERROR(INDEX(_courses_lookup!$D:$D,MATCH(J158&amp;K158,_courses_lookup!$E:$E,0)),"")</f>
        <v/>
      </c>
      <c r="AD158" t="str">
        <f t="shared" si="16"/>
        <v/>
      </c>
      <c r="AG158" t="str">
        <f t="shared" si="17"/>
        <v/>
      </c>
      <c r="AI158" t="str">
        <f t="shared" si="18"/>
        <v/>
      </c>
      <c r="AK158" t="str">
        <f t="shared" si="19"/>
        <v/>
      </c>
      <c r="AL158" t="str">
        <f t="shared" si="20"/>
        <v/>
      </c>
      <c r="AM158" t="str">
        <f t="shared" si="21"/>
        <v/>
      </c>
      <c r="AX158" t="str">
        <f t="shared" si="22"/>
        <v/>
      </c>
      <c r="AY158" t="str">
        <f t="shared" si="23"/>
        <v/>
      </c>
      <c r="BB158" t="s">
        <v>237</v>
      </c>
      <c r="BC158" t="str">
        <f>IFERROR(INDEX(_names_lookup!$C:$C,MATCH(BB158,_names_lookup!$A:$A,0)),"")</f>
        <v>choque@andrews.edu</v>
      </c>
      <c r="BD158" t="str">
        <f>IFERROR(INDEX(_names_lookup!$B:$B,MATCH(BB158,_names_lookup!$A:$A,0)),"")</f>
        <v>000127674</v>
      </c>
    </row>
    <row r="159" spans="8:56" x14ac:dyDescent="0.2">
      <c r="H159" t="s">
        <v>1294</v>
      </c>
      <c r="I159" t="s">
        <v>1295</v>
      </c>
      <c r="N159" t="str">
        <f>IFERROR(INDEX(_courses_lookup!$C:$C,MATCH(J159&amp;K159,_courses_lookup!$E:$E,0)),"")</f>
        <v/>
      </c>
      <c r="O159" t="str">
        <f>IFERROR(INDEX(_courses_lookup!$D:$D,MATCH(J159&amp;K159,_courses_lookup!$E:$E,0)),"")</f>
        <v/>
      </c>
      <c r="AD159" t="str">
        <f t="shared" si="16"/>
        <v/>
      </c>
      <c r="AG159" t="str">
        <f t="shared" si="17"/>
        <v/>
      </c>
      <c r="AI159" t="str">
        <f t="shared" si="18"/>
        <v/>
      </c>
      <c r="AK159" t="str">
        <f t="shared" si="19"/>
        <v/>
      </c>
      <c r="AL159" t="str">
        <f t="shared" si="20"/>
        <v/>
      </c>
      <c r="AM159" t="str">
        <f t="shared" si="21"/>
        <v/>
      </c>
      <c r="AX159" t="str">
        <f t="shared" si="22"/>
        <v/>
      </c>
      <c r="AY159" t="str">
        <f t="shared" si="23"/>
        <v/>
      </c>
      <c r="BB159" t="s">
        <v>238</v>
      </c>
      <c r="BC159" t="str">
        <f>IFERROR(INDEX(_names_lookup!$C:$C,MATCH(BB159,_names_lookup!$A:$A,0)),"")</f>
        <v>tevans@andrews.edu</v>
      </c>
      <c r="BD159" t="str">
        <f>IFERROR(INDEX(_names_lookup!$B:$B,MATCH(BB159,_names_lookup!$A:$A,0)),"")</f>
        <v>000063105</v>
      </c>
    </row>
    <row r="160" spans="8:56" x14ac:dyDescent="0.2">
      <c r="H160" t="s">
        <v>1296</v>
      </c>
      <c r="I160" t="s">
        <v>1297</v>
      </c>
      <c r="N160" t="str">
        <f>IFERROR(INDEX(_courses_lookup!$C:$C,MATCH(J160&amp;K160,_courses_lookup!$E:$E,0)),"")</f>
        <v/>
      </c>
      <c r="O160" t="str">
        <f>IFERROR(INDEX(_courses_lookup!$D:$D,MATCH(J160&amp;K160,_courses_lookup!$E:$E,0)),"")</f>
        <v/>
      </c>
      <c r="AD160" t="str">
        <f t="shared" si="16"/>
        <v/>
      </c>
      <c r="AG160" t="str">
        <f t="shared" si="17"/>
        <v/>
      </c>
      <c r="AI160" t="str">
        <f t="shared" si="18"/>
        <v/>
      </c>
      <c r="AK160" t="str">
        <f t="shared" si="19"/>
        <v/>
      </c>
      <c r="AL160" t="str">
        <f t="shared" si="20"/>
        <v/>
      </c>
      <c r="AM160" t="str">
        <f t="shared" si="21"/>
        <v/>
      </c>
      <c r="AX160" t="str">
        <f t="shared" si="22"/>
        <v/>
      </c>
      <c r="AY160" t="str">
        <f t="shared" si="23"/>
        <v/>
      </c>
      <c r="BB160" t="s">
        <v>239</v>
      </c>
      <c r="BC160" t="str">
        <f>IFERROR(INDEX(_names_lookup!$C:$C,MATCH(BB160,_names_lookup!$A:$A,0)),"")</f>
        <v>angelal@andrews.edu</v>
      </c>
      <c r="BD160" t="str">
        <f>IFERROR(INDEX(_names_lookup!$B:$B,MATCH(BB160,_names_lookup!$A:$A,0)),"")</f>
        <v>000225367</v>
      </c>
    </row>
    <row r="161" spans="8:56" x14ac:dyDescent="0.2">
      <c r="H161" t="s">
        <v>1298</v>
      </c>
      <c r="I161" t="s">
        <v>1299</v>
      </c>
      <c r="N161" t="str">
        <f>IFERROR(INDEX(_courses_lookup!$C:$C,MATCH(J161&amp;K161,_courses_lookup!$E:$E,0)),"")</f>
        <v/>
      </c>
      <c r="O161" t="str">
        <f>IFERROR(INDEX(_courses_lookup!$D:$D,MATCH(J161&amp;K161,_courses_lookup!$E:$E,0)),"")</f>
        <v/>
      </c>
      <c r="AD161" t="str">
        <f t="shared" si="16"/>
        <v/>
      </c>
      <c r="AG161" t="str">
        <f t="shared" si="17"/>
        <v/>
      </c>
      <c r="AI161" t="str">
        <f t="shared" si="18"/>
        <v/>
      </c>
      <c r="AK161" t="str">
        <f t="shared" si="19"/>
        <v/>
      </c>
      <c r="AL161" t="str">
        <f t="shared" si="20"/>
        <v/>
      </c>
      <c r="AM161" t="str">
        <f t="shared" si="21"/>
        <v/>
      </c>
      <c r="AX161" t="str">
        <f t="shared" si="22"/>
        <v/>
      </c>
      <c r="AY161" t="str">
        <f t="shared" si="23"/>
        <v/>
      </c>
      <c r="BB161" t="s">
        <v>240</v>
      </c>
      <c r="BC161" t="str">
        <f>IFERROR(INDEX(_names_lookup!$C:$C,MATCH(BB161,_names_lookup!$A:$A,0)),"")</f>
        <v>lianga@andrews.edu</v>
      </c>
      <c r="BD161" t="str">
        <f>IFERROR(INDEX(_names_lookup!$B:$B,MATCH(BB161,_names_lookup!$A:$A,0)),"")</f>
        <v>000035691</v>
      </c>
    </row>
    <row r="162" spans="8:56" x14ac:dyDescent="0.2">
      <c r="H162" t="s">
        <v>1300</v>
      </c>
      <c r="I162" t="s">
        <v>1301</v>
      </c>
      <c r="N162" t="str">
        <f>IFERROR(INDEX(_courses_lookup!$C:$C,MATCH(J162&amp;K162,_courses_lookup!$E:$E,0)),"")</f>
        <v/>
      </c>
      <c r="O162" t="str">
        <f>IFERROR(INDEX(_courses_lookup!$D:$D,MATCH(J162&amp;K162,_courses_lookup!$E:$E,0)),"")</f>
        <v/>
      </c>
      <c r="AD162" t="str">
        <f t="shared" si="16"/>
        <v/>
      </c>
      <c r="AG162" t="str">
        <f t="shared" si="17"/>
        <v/>
      </c>
      <c r="AI162" t="str">
        <f t="shared" si="18"/>
        <v/>
      </c>
      <c r="AK162" t="str">
        <f t="shared" si="19"/>
        <v/>
      </c>
      <c r="AL162" t="str">
        <f t="shared" si="20"/>
        <v/>
      </c>
      <c r="AM162" t="str">
        <f t="shared" si="21"/>
        <v/>
      </c>
      <c r="AX162" t="str">
        <f t="shared" si="22"/>
        <v/>
      </c>
      <c r="AY162" t="str">
        <f t="shared" si="23"/>
        <v/>
      </c>
      <c r="BB162" t="s">
        <v>241</v>
      </c>
      <c r="BC162" t="str">
        <f>IFERROR(INDEX(_names_lookup!$C:$C,MATCH(BB162,_names_lookup!$A:$A,0)),"")</f>
        <v>oudri@andrews.edu</v>
      </c>
      <c r="BD162" t="str">
        <f>IFERROR(INDEX(_names_lookup!$B:$B,MATCH(BB162,_names_lookup!$A:$A,0)),"")</f>
        <v>000077975</v>
      </c>
    </row>
    <row r="163" spans="8:56" x14ac:dyDescent="0.2">
      <c r="H163" t="s">
        <v>1302</v>
      </c>
      <c r="I163" t="s">
        <v>1303</v>
      </c>
      <c r="N163" t="str">
        <f>IFERROR(INDEX(_courses_lookup!$C:$C,MATCH(J163&amp;K163,_courses_lookup!$E:$E,0)),"")</f>
        <v/>
      </c>
      <c r="O163" t="str">
        <f>IFERROR(INDEX(_courses_lookup!$D:$D,MATCH(J163&amp;K163,_courses_lookup!$E:$E,0)),"")</f>
        <v/>
      </c>
      <c r="AD163" t="str">
        <f t="shared" si="16"/>
        <v/>
      </c>
      <c r="AG163" t="str">
        <f t="shared" si="17"/>
        <v/>
      </c>
      <c r="AI163" t="str">
        <f t="shared" si="18"/>
        <v/>
      </c>
      <c r="AK163" t="str">
        <f t="shared" si="19"/>
        <v/>
      </c>
      <c r="AL163" t="str">
        <f t="shared" si="20"/>
        <v/>
      </c>
      <c r="AM163" t="str">
        <f t="shared" si="21"/>
        <v/>
      </c>
      <c r="AX163" t="str">
        <f t="shared" si="22"/>
        <v/>
      </c>
      <c r="AY163" t="str">
        <f t="shared" si="23"/>
        <v/>
      </c>
      <c r="BB163" t="s">
        <v>242</v>
      </c>
      <c r="BC163" t="str">
        <f>IFERROR(INDEX(_names_lookup!$C:$C,MATCH(BB163,_names_lookup!$A:$A,0)),"")</f>
        <v>patterss@andrews.edu</v>
      </c>
      <c r="BD163" t="str">
        <f>IFERROR(INDEX(_names_lookup!$B:$B,MATCH(BB163,_names_lookup!$A:$A,0)),"")</f>
        <v>000030103</v>
      </c>
    </row>
    <row r="164" spans="8:56" x14ac:dyDescent="0.2">
      <c r="H164" t="s">
        <v>1304</v>
      </c>
      <c r="I164" t="s">
        <v>1305</v>
      </c>
      <c r="N164" t="str">
        <f>IFERROR(INDEX(_courses_lookup!$C:$C,MATCH(J164&amp;K164,_courses_lookup!$E:$E,0)),"")</f>
        <v/>
      </c>
      <c r="O164" t="str">
        <f>IFERROR(INDEX(_courses_lookup!$D:$D,MATCH(J164&amp;K164,_courses_lookup!$E:$E,0)),"")</f>
        <v/>
      </c>
      <c r="AD164" t="str">
        <f t="shared" si="16"/>
        <v/>
      </c>
      <c r="AG164" t="str">
        <f t="shared" si="17"/>
        <v/>
      </c>
      <c r="AI164" t="str">
        <f t="shared" si="18"/>
        <v/>
      </c>
      <c r="AK164" t="str">
        <f t="shared" si="19"/>
        <v/>
      </c>
      <c r="AL164" t="str">
        <f t="shared" si="20"/>
        <v/>
      </c>
      <c r="AM164" t="str">
        <f t="shared" si="21"/>
        <v/>
      </c>
      <c r="AX164" t="str">
        <f t="shared" si="22"/>
        <v/>
      </c>
      <c r="AY164" t="str">
        <f t="shared" si="23"/>
        <v/>
      </c>
      <c r="BB164" t="s">
        <v>243</v>
      </c>
      <c r="BC164" t="str">
        <f>IFERROR(INDEX(_names_lookup!$C:$C,MATCH(BB164,_names_lookup!$A:$A,0)),"")</f>
        <v>penno@andrews.edu</v>
      </c>
      <c r="BD164" t="str">
        <f>IFERROR(INDEX(_names_lookup!$B:$B,MATCH(BB164,_names_lookup!$A:$A,0)),"")</f>
        <v>000041639</v>
      </c>
    </row>
    <row r="165" spans="8:56" x14ac:dyDescent="0.2">
      <c r="H165" t="s">
        <v>1306</v>
      </c>
      <c r="I165" t="s">
        <v>1307</v>
      </c>
      <c r="N165" t="str">
        <f>IFERROR(INDEX(_courses_lookup!$C:$C,MATCH(J165&amp;K165,_courses_lookup!$E:$E,0)),"")</f>
        <v/>
      </c>
      <c r="O165" t="str">
        <f>IFERROR(INDEX(_courses_lookup!$D:$D,MATCH(J165&amp;K165,_courses_lookup!$E:$E,0)),"")</f>
        <v/>
      </c>
      <c r="AD165" t="str">
        <f t="shared" si="16"/>
        <v/>
      </c>
      <c r="AG165" t="str">
        <f t="shared" si="17"/>
        <v/>
      </c>
      <c r="AI165" t="str">
        <f t="shared" si="18"/>
        <v/>
      </c>
      <c r="AK165" t="str">
        <f t="shared" si="19"/>
        <v/>
      </c>
      <c r="AL165" t="str">
        <f t="shared" si="20"/>
        <v/>
      </c>
      <c r="AM165" t="str">
        <f t="shared" si="21"/>
        <v/>
      </c>
      <c r="AX165" t="str">
        <f t="shared" si="22"/>
        <v/>
      </c>
      <c r="AY165" t="str">
        <f t="shared" si="23"/>
        <v/>
      </c>
      <c r="BB165" t="s">
        <v>244</v>
      </c>
      <c r="BC165" t="str">
        <f>IFERROR(INDEX(_names_lookup!$C:$C,MATCH(BB165,_names_lookup!$A:$A,0)),"")</f>
        <v>johnnyr@andrews.edu</v>
      </c>
      <c r="BD165" t="str">
        <f>IFERROR(INDEX(_names_lookup!$B:$B,MATCH(BB165,_names_lookup!$A:$A,0)),"")</f>
        <v>000030856</v>
      </c>
    </row>
    <row r="166" spans="8:56" x14ac:dyDescent="0.2">
      <c r="H166" t="s">
        <v>1308</v>
      </c>
      <c r="I166" t="s">
        <v>1309</v>
      </c>
      <c r="N166" t="str">
        <f>IFERROR(INDEX(_courses_lookup!$C:$C,MATCH(J166&amp;K166,_courses_lookup!$E:$E,0)),"")</f>
        <v/>
      </c>
      <c r="O166" t="str">
        <f>IFERROR(INDEX(_courses_lookup!$D:$D,MATCH(J166&amp;K166,_courses_lookup!$E:$E,0)),"")</f>
        <v/>
      </c>
      <c r="AD166" t="str">
        <f t="shared" si="16"/>
        <v/>
      </c>
      <c r="AG166" t="str">
        <f t="shared" si="17"/>
        <v/>
      </c>
      <c r="AI166" t="str">
        <f t="shared" si="18"/>
        <v/>
      </c>
      <c r="AK166" t="str">
        <f t="shared" si="19"/>
        <v/>
      </c>
      <c r="AL166" t="str">
        <f t="shared" si="20"/>
        <v/>
      </c>
      <c r="AM166" t="str">
        <f t="shared" si="21"/>
        <v/>
      </c>
      <c r="AX166" t="str">
        <f t="shared" si="22"/>
        <v/>
      </c>
      <c r="AY166" t="str">
        <f t="shared" si="23"/>
        <v/>
      </c>
      <c r="BB166" t="s">
        <v>245</v>
      </c>
      <c r="BC166" t="str">
        <f>IFERROR(INDEX(_names_lookup!$C:$C,MATCH(BB166,_names_lookup!$A:$A,0)),"")</f>
        <v>rico@andrews.edu</v>
      </c>
      <c r="BD166" t="str">
        <f>IFERROR(INDEX(_names_lookup!$B:$B,MATCH(BB166,_names_lookup!$A:$A,0)),"")</f>
        <v>000051411</v>
      </c>
    </row>
    <row r="167" spans="8:56" x14ac:dyDescent="0.2">
      <c r="H167" t="s">
        <v>1310</v>
      </c>
      <c r="I167" t="s">
        <v>1311</v>
      </c>
      <c r="N167" t="str">
        <f>IFERROR(INDEX(_courses_lookup!$C:$C,MATCH(J167&amp;K167,_courses_lookup!$E:$E,0)),"")</f>
        <v/>
      </c>
      <c r="O167" t="str">
        <f>IFERROR(INDEX(_courses_lookup!$D:$D,MATCH(J167&amp;K167,_courses_lookup!$E:$E,0)),"")</f>
        <v/>
      </c>
      <c r="AD167" t="str">
        <f t="shared" si="16"/>
        <v/>
      </c>
      <c r="AG167" t="str">
        <f t="shared" si="17"/>
        <v/>
      </c>
      <c r="AI167" t="str">
        <f t="shared" si="18"/>
        <v/>
      </c>
      <c r="AK167" t="str">
        <f t="shared" si="19"/>
        <v/>
      </c>
      <c r="AL167" t="str">
        <f t="shared" si="20"/>
        <v/>
      </c>
      <c r="AM167" t="str">
        <f t="shared" si="21"/>
        <v/>
      </c>
      <c r="AX167" t="str">
        <f t="shared" si="22"/>
        <v/>
      </c>
      <c r="AY167" t="str">
        <f t="shared" si="23"/>
        <v/>
      </c>
      <c r="BB167" t="s">
        <v>246</v>
      </c>
      <c r="BC167" t="str">
        <f>IFERROR(INDEX(_names_lookup!$C:$C,MATCH(BB167,_names_lookup!$A:$A,0)),"")</f>
        <v>saravia@andrews.edu</v>
      </c>
      <c r="BD167" t="str">
        <f>IFERROR(INDEX(_names_lookup!$B:$B,MATCH(BB167,_names_lookup!$A:$A,0)),"")</f>
        <v>000046397</v>
      </c>
    </row>
    <row r="168" spans="8:56" x14ac:dyDescent="0.2">
      <c r="H168" t="s">
        <v>1312</v>
      </c>
      <c r="I168" t="s">
        <v>1313</v>
      </c>
      <c r="N168" t="str">
        <f>IFERROR(INDEX(_courses_lookup!$C:$C,MATCH(J168&amp;K168,_courses_lookup!$E:$E,0)),"")</f>
        <v/>
      </c>
      <c r="O168" t="str">
        <f>IFERROR(INDEX(_courses_lookup!$D:$D,MATCH(J168&amp;K168,_courses_lookup!$E:$E,0)),"")</f>
        <v/>
      </c>
      <c r="AD168" t="str">
        <f t="shared" si="16"/>
        <v/>
      </c>
      <c r="AG168" t="str">
        <f t="shared" si="17"/>
        <v/>
      </c>
      <c r="AI168" t="str">
        <f t="shared" si="18"/>
        <v/>
      </c>
      <c r="AK168" t="str">
        <f t="shared" si="19"/>
        <v/>
      </c>
      <c r="AL168" t="str">
        <f t="shared" si="20"/>
        <v/>
      </c>
      <c r="AM168" t="str">
        <f t="shared" si="21"/>
        <v/>
      </c>
      <c r="AX168" t="str">
        <f t="shared" si="22"/>
        <v/>
      </c>
      <c r="AY168" t="str">
        <f t="shared" si="23"/>
        <v/>
      </c>
      <c r="BB168" t="s">
        <v>247</v>
      </c>
      <c r="BC168" t="str">
        <f>IFERROR(INDEX(_names_lookup!$C:$C,MATCH(BB168,_names_lookup!$A:$A,0)),"")</f>
        <v>eschmidt@andrews.edu</v>
      </c>
      <c r="BD168" t="str">
        <f>IFERROR(INDEX(_names_lookup!$B:$B,MATCH(BB168,_names_lookup!$A:$A,0)),"")</f>
        <v>000041813</v>
      </c>
    </row>
    <row r="169" spans="8:56" x14ac:dyDescent="0.2">
      <c r="H169" t="s">
        <v>1314</v>
      </c>
      <c r="I169" t="s">
        <v>1315</v>
      </c>
      <c r="N169" t="str">
        <f>IFERROR(INDEX(_courses_lookup!$C:$C,MATCH(J169&amp;K169,_courses_lookup!$E:$E,0)),"")</f>
        <v/>
      </c>
      <c r="O169" t="str">
        <f>IFERROR(INDEX(_courses_lookup!$D:$D,MATCH(J169&amp;K169,_courses_lookup!$E:$E,0)),"")</f>
        <v/>
      </c>
      <c r="AD169" t="str">
        <f t="shared" si="16"/>
        <v/>
      </c>
      <c r="AG169" t="str">
        <f t="shared" si="17"/>
        <v/>
      </c>
      <c r="AI169" t="str">
        <f t="shared" si="18"/>
        <v/>
      </c>
      <c r="AK169" t="str">
        <f t="shared" si="19"/>
        <v/>
      </c>
      <c r="AL169" t="str">
        <f t="shared" si="20"/>
        <v/>
      </c>
      <c r="AM169" t="str">
        <f t="shared" si="21"/>
        <v/>
      </c>
      <c r="AX169" t="str">
        <f t="shared" si="22"/>
        <v/>
      </c>
      <c r="AY169" t="str">
        <f t="shared" si="23"/>
        <v/>
      </c>
      <c r="BB169" t="s">
        <v>248</v>
      </c>
      <c r="BC169" t="str">
        <f>IFERROR(INDEX(_names_lookup!$C:$C,MATCH(BB169,_names_lookup!$A:$A,0)),"")</f>
        <v>siroj@andrews.edu</v>
      </c>
      <c r="BD169" t="str">
        <f>IFERROR(INDEX(_names_lookup!$B:$B,MATCH(BB169,_names_lookup!$A:$A,0)),"")</f>
        <v>000050631</v>
      </c>
    </row>
    <row r="170" spans="8:56" x14ac:dyDescent="0.2">
      <c r="H170" t="s">
        <v>1316</v>
      </c>
      <c r="I170" t="s">
        <v>1317</v>
      </c>
      <c r="N170" t="str">
        <f>IFERROR(INDEX(_courses_lookup!$C:$C,MATCH(J170&amp;K170,_courses_lookup!$E:$E,0)),"")</f>
        <v/>
      </c>
      <c r="O170" t="str">
        <f>IFERROR(INDEX(_courses_lookup!$D:$D,MATCH(J170&amp;K170,_courses_lookup!$E:$E,0)),"")</f>
        <v/>
      </c>
      <c r="AD170" t="str">
        <f t="shared" si="16"/>
        <v/>
      </c>
      <c r="AG170" t="str">
        <f t="shared" si="17"/>
        <v/>
      </c>
      <c r="AI170" t="str">
        <f t="shared" si="18"/>
        <v/>
      </c>
      <c r="AK170" t="str">
        <f t="shared" si="19"/>
        <v/>
      </c>
      <c r="AL170" t="str">
        <f t="shared" si="20"/>
        <v/>
      </c>
      <c r="AM170" t="str">
        <f t="shared" si="21"/>
        <v/>
      </c>
      <c r="AX170" t="str">
        <f t="shared" si="22"/>
        <v/>
      </c>
      <c r="AY170" t="str">
        <f t="shared" si="23"/>
        <v/>
      </c>
      <c r="BB170" t="s">
        <v>249</v>
      </c>
      <c r="BC170" t="str">
        <f>IFERROR(INDEX(_names_lookup!$C:$C,MATCH(BB170,_names_lookup!$A:$A,0)),"")</f>
        <v>wagenersmith@andrews.edu</v>
      </c>
      <c r="BD170" t="str">
        <f>IFERROR(INDEX(_names_lookup!$B:$B,MATCH(BB170,_names_lookup!$A:$A,0)),"")</f>
        <v>000118859</v>
      </c>
    </row>
    <row r="171" spans="8:56" x14ac:dyDescent="0.2">
      <c r="H171" t="s">
        <v>1318</v>
      </c>
      <c r="I171" t="s">
        <v>1319</v>
      </c>
      <c r="N171" t="str">
        <f>IFERROR(INDEX(_courses_lookup!$C:$C,MATCH(J171&amp;K171,_courses_lookup!$E:$E,0)),"")</f>
        <v/>
      </c>
      <c r="O171" t="str">
        <f>IFERROR(INDEX(_courses_lookup!$D:$D,MATCH(J171&amp;K171,_courses_lookup!$E:$E,0)),"")</f>
        <v/>
      </c>
      <c r="AD171" t="str">
        <f t="shared" si="16"/>
        <v/>
      </c>
      <c r="AG171" t="str">
        <f t="shared" si="17"/>
        <v/>
      </c>
      <c r="AI171" t="str">
        <f t="shared" si="18"/>
        <v/>
      </c>
      <c r="AK171" t="str">
        <f t="shared" si="19"/>
        <v/>
      </c>
      <c r="AL171" t="str">
        <f t="shared" si="20"/>
        <v/>
      </c>
      <c r="AM171" t="str">
        <f t="shared" si="21"/>
        <v/>
      </c>
      <c r="AX171" t="str">
        <f t="shared" si="22"/>
        <v/>
      </c>
      <c r="AY171" t="str">
        <f t="shared" si="23"/>
        <v/>
      </c>
      <c r="BB171" t="s">
        <v>250</v>
      </c>
      <c r="BC171" t="str">
        <f>IFERROR(INDEX(_names_lookup!$C:$C,MATCH(BB171,_names_lookup!$A:$A,0)),"")</f>
        <v>hyveth@andrews.edu</v>
      </c>
      <c r="BD171" t="str">
        <f>IFERROR(INDEX(_names_lookup!$B:$B,MATCH(BB171,_names_lookup!$A:$A,0)),"")</f>
        <v>000049271</v>
      </c>
    </row>
    <row r="172" spans="8:56" x14ac:dyDescent="0.2">
      <c r="H172" t="s">
        <v>1320</v>
      </c>
      <c r="I172" t="s">
        <v>1321</v>
      </c>
      <c r="N172" t="str">
        <f>IFERROR(INDEX(_courses_lookup!$C:$C,MATCH(J172&amp;K172,_courses_lookup!$E:$E,0)),"")</f>
        <v/>
      </c>
      <c r="O172" t="str">
        <f>IFERROR(INDEX(_courses_lookup!$D:$D,MATCH(J172&amp;K172,_courses_lookup!$E:$E,0)),"")</f>
        <v/>
      </c>
      <c r="AD172" t="str">
        <f t="shared" si="16"/>
        <v/>
      </c>
      <c r="AG172" t="str">
        <f t="shared" si="17"/>
        <v/>
      </c>
      <c r="AI172" t="str">
        <f t="shared" si="18"/>
        <v/>
      </c>
      <c r="AK172" t="str">
        <f t="shared" si="19"/>
        <v/>
      </c>
      <c r="AL172" t="str">
        <f t="shared" si="20"/>
        <v/>
      </c>
      <c r="AM172" t="str">
        <f t="shared" si="21"/>
        <v/>
      </c>
      <c r="AX172" t="str">
        <f t="shared" si="22"/>
        <v/>
      </c>
      <c r="AY172" t="str">
        <f t="shared" si="23"/>
        <v/>
      </c>
      <c r="BB172" t="s">
        <v>251</v>
      </c>
      <c r="BC172" t="str">
        <f>IFERROR(INDEX(_names_lookup!$C:$C,MATCH(BB172,_names_lookup!$A:$A,0)),"")</f>
        <v>panderson@andrews.edu</v>
      </c>
      <c r="BD172" t="str">
        <f>IFERROR(INDEX(_names_lookup!$B:$B,MATCH(BB172,_names_lookup!$A:$A,0)),"")</f>
        <v>000048877</v>
      </c>
    </row>
    <row r="173" spans="8:56" x14ac:dyDescent="0.2">
      <c r="H173" t="s">
        <v>1322</v>
      </c>
      <c r="I173" t="s">
        <v>1323</v>
      </c>
      <c r="N173" t="str">
        <f>IFERROR(INDEX(_courses_lookup!$C:$C,MATCH(J173&amp;K173,_courses_lookup!$E:$E,0)),"")</f>
        <v/>
      </c>
      <c r="O173" t="str">
        <f>IFERROR(INDEX(_courses_lookup!$D:$D,MATCH(J173&amp;K173,_courses_lookup!$E:$E,0)),"")</f>
        <v/>
      </c>
      <c r="AD173" t="str">
        <f t="shared" si="16"/>
        <v/>
      </c>
      <c r="AG173" t="str">
        <f t="shared" si="17"/>
        <v/>
      </c>
      <c r="AI173" t="str">
        <f t="shared" si="18"/>
        <v/>
      </c>
      <c r="AK173" t="str">
        <f t="shared" si="19"/>
        <v/>
      </c>
      <c r="AL173" t="str">
        <f t="shared" si="20"/>
        <v/>
      </c>
      <c r="AM173" t="str">
        <f t="shared" si="21"/>
        <v/>
      </c>
      <c r="AX173" t="str">
        <f t="shared" si="22"/>
        <v/>
      </c>
      <c r="AY173" t="str">
        <f t="shared" si="23"/>
        <v/>
      </c>
      <c r="BB173" t="s">
        <v>252</v>
      </c>
      <c r="BC173">
        <f>IFERROR(INDEX(_names_lookup!$C:$C,MATCH(BB173,_names_lookup!$A:$A,0)),"")</f>
        <v>0</v>
      </c>
      <c r="BD173" t="str">
        <f>IFERROR(INDEX(_names_lookup!$B:$B,MATCH(BB173,_names_lookup!$A:$A,0)),"")</f>
        <v>000233478</v>
      </c>
    </row>
    <row r="174" spans="8:56" x14ac:dyDescent="0.2">
      <c r="H174" t="s">
        <v>1324</v>
      </c>
      <c r="I174" t="s">
        <v>912</v>
      </c>
      <c r="N174" t="str">
        <f>IFERROR(INDEX(_courses_lookup!$C:$C,MATCH(J174&amp;K174,_courses_lookup!$E:$E,0)),"")</f>
        <v/>
      </c>
      <c r="O174" t="str">
        <f>IFERROR(INDEX(_courses_lookup!$D:$D,MATCH(J174&amp;K174,_courses_lookup!$E:$E,0)),"")</f>
        <v/>
      </c>
      <c r="AD174" t="str">
        <f t="shared" si="16"/>
        <v/>
      </c>
      <c r="AG174" t="str">
        <f t="shared" si="17"/>
        <v/>
      </c>
      <c r="AI174" t="str">
        <f t="shared" si="18"/>
        <v/>
      </c>
      <c r="AK174" t="str">
        <f t="shared" si="19"/>
        <v/>
      </c>
      <c r="AL174" t="str">
        <f t="shared" si="20"/>
        <v/>
      </c>
      <c r="AM174" t="str">
        <f t="shared" si="21"/>
        <v/>
      </c>
      <c r="AX174" t="str">
        <f t="shared" si="22"/>
        <v/>
      </c>
      <c r="AY174" t="str">
        <f t="shared" si="23"/>
        <v/>
      </c>
      <c r="BB174" t="s">
        <v>253</v>
      </c>
      <c r="BC174" t="str">
        <f>IFERROR(INDEX(_names_lookup!$C:$C,MATCH(BB174,_names_lookup!$A:$A,0)),"")</f>
        <v>coralie@andrews.edu</v>
      </c>
      <c r="BD174" t="str">
        <f>IFERROR(INDEX(_names_lookup!$B:$B,MATCH(BB174,_names_lookup!$A:$A,0)),"")</f>
        <v>000076162</v>
      </c>
    </row>
    <row r="175" spans="8:56" x14ac:dyDescent="0.2">
      <c r="H175" t="s">
        <v>1325</v>
      </c>
      <c r="I175" t="s">
        <v>1326</v>
      </c>
      <c r="N175" t="str">
        <f>IFERROR(INDEX(_courses_lookup!$C:$C,MATCH(J175&amp;K175,_courses_lookup!$E:$E,0)),"")</f>
        <v/>
      </c>
      <c r="O175" t="str">
        <f>IFERROR(INDEX(_courses_lookup!$D:$D,MATCH(J175&amp;K175,_courses_lookup!$E:$E,0)),"")</f>
        <v/>
      </c>
      <c r="AD175" t="str">
        <f t="shared" si="16"/>
        <v/>
      </c>
      <c r="AG175" t="str">
        <f t="shared" si="17"/>
        <v/>
      </c>
      <c r="AI175" t="str">
        <f t="shared" si="18"/>
        <v/>
      </c>
      <c r="AK175" t="str">
        <f t="shared" si="19"/>
        <v/>
      </c>
      <c r="AL175" t="str">
        <f t="shared" si="20"/>
        <v/>
      </c>
      <c r="AM175" t="str">
        <f t="shared" si="21"/>
        <v/>
      </c>
      <c r="AX175" t="str">
        <f t="shared" si="22"/>
        <v/>
      </c>
      <c r="AY175" t="str">
        <f t="shared" si="23"/>
        <v/>
      </c>
      <c r="BB175" t="s">
        <v>254</v>
      </c>
      <c r="BC175" t="str">
        <f>IFERROR(INDEX(_names_lookup!$C:$C,MATCH(BB175,_names_lookup!$A:$A,0)),"")</f>
        <v>crewsh@andrews.edu</v>
      </c>
      <c r="BD175" t="str">
        <f>IFERROR(INDEX(_names_lookup!$B:$B,MATCH(BB175,_names_lookup!$A:$A,0)),"")</f>
        <v>000052089</v>
      </c>
    </row>
    <row r="176" spans="8:56" x14ac:dyDescent="0.2">
      <c r="H176" t="s">
        <v>1327</v>
      </c>
      <c r="I176" t="s">
        <v>1328</v>
      </c>
      <c r="N176" t="str">
        <f>IFERROR(INDEX(_courses_lookup!$C:$C,MATCH(J176&amp;K176,_courses_lookup!$E:$E,0)),"")</f>
        <v/>
      </c>
      <c r="O176" t="str">
        <f>IFERROR(INDEX(_courses_lookup!$D:$D,MATCH(J176&amp;K176,_courses_lookup!$E:$E,0)),"")</f>
        <v/>
      </c>
      <c r="AD176" t="str">
        <f t="shared" si="16"/>
        <v/>
      </c>
      <c r="AG176" t="str">
        <f t="shared" si="17"/>
        <v/>
      </c>
      <c r="AI176" t="str">
        <f t="shared" si="18"/>
        <v/>
      </c>
      <c r="AK176" t="str">
        <f t="shared" si="19"/>
        <v/>
      </c>
      <c r="AL176" t="str">
        <f t="shared" si="20"/>
        <v/>
      </c>
      <c r="AM176" t="str">
        <f t="shared" si="21"/>
        <v/>
      </c>
      <c r="AX176" t="str">
        <f t="shared" si="22"/>
        <v/>
      </c>
      <c r="AY176" t="str">
        <f t="shared" si="23"/>
        <v/>
      </c>
      <c r="BB176" t="s">
        <v>255</v>
      </c>
      <c r="BC176" t="str">
        <f>IFERROR(INDEX(_names_lookup!$C:$C,MATCH(BB176,_names_lookup!$A:$A,0)),"")</f>
        <v>ferreirajim@andrews.edu</v>
      </c>
      <c r="BD176" t="str">
        <f>IFERROR(INDEX(_names_lookup!$B:$B,MATCH(BB176,_names_lookup!$A:$A,0)),"")</f>
        <v>000155280</v>
      </c>
    </row>
    <row r="177" spans="8:56" x14ac:dyDescent="0.2">
      <c r="H177" t="s">
        <v>1329</v>
      </c>
      <c r="I177" t="s">
        <v>1330</v>
      </c>
      <c r="N177" t="str">
        <f>IFERROR(INDEX(_courses_lookup!$C:$C,MATCH(J177&amp;K177,_courses_lookup!$E:$E,0)),"")</f>
        <v/>
      </c>
      <c r="O177" t="str">
        <f>IFERROR(INDEX(_courses_lookup!$D:$D,MATCH(J177&amp;K177,_courses_lookup!$E:$E,0)),"")</f>
        <v/>
      </c>
      <c r="AD177" t="str">
        <f t="shared" si="16"/>
        <v/>
      </c>
      <c r="AG177" t="str">
        <f t="shared" si="17"/>
        <v/>
      </c>
      <c r="AI177" t="str">
        <f t="shared" si="18"/>
        <v/>
      </c>
      <c r="AK177" t="str">
        <f t="shared" si="19"/>
        <v/>
      </c>
      <c r="AL177" t="str">
        <f t="shared" si="20"/>
        <v/>
      </c>
      <c r="AM177" t="str">
        <f t="shared" si="21"/>
        <v/>
      </c>
      <c r="AX177" t="str">
        <f t="shared" si="22"/>
        <v/>
      </c>
      <c r="AY177" t="str">
        <f t="shared" si="23"/>
        <v/>
      </c>
      <c r="BB177" t="s">
        <v>256</v>
      </c>
      <c r="BC177" t="str">
        <f>IFERROR(INDEX(_names_lookup!$C:$C,MATCH(BB177,_names_lookup!$A:$A,0)),"")</f>
        <v>galeniec@andrews.edu</v>
      </c>
      <c r="BD177" t="str">
        <f>IFERROR(INDEX(_names_lookup!$B:$B,MATCH(BB177,_names_lookup!$A:$A,0)),"")</f>
        <v>000078997</v>
      </c>
    </row>
    <row r="178" spans="8:56" x14ac:dyDescent="0.2">
      <c r="H178" t="s">
        <v>1331</v>
      </c>
      <c r="I178" t="s">
        <v>1332</v>
      </c>
      <c r="N178" t="str">
        <f>IFERROR(INDEX(_courses_lookup!$C:$C,MATCH(J178&amp;K178,_courses_lookup!$E:$E,0)),"")</f>
        <v/>
      </c>
      <c r="O178" t="str">
        <f>IFERROR(INDEX(_courses_lookup!$D:$D,MATCH(J178&amp;K178,_courses_lookup!$E:$E,0)),"")</f>
        <v/>
      </c>
      <c r="AD178" t="str">
        <f t="shared" si="16"/>
        <v/>
      </c>
      <c r="AG178" t="str">
        <f t="shared" si="17"/>
        <v/>
      </c>
      <c r="AI178" t="str">
        <f t="shared" si="18"/>
        <v/>
      </c>
      <c r="AK178" t="str">
        <f t="shared" si="19"/>
        <v/>
      </c>
      <c r="AL178" t="str">
        <f t="shared" si="20"/>
        <v/>
      </c>
      <c r="AM178" t="str">
        <f t="shared" si="21"/>
        <v/>
      </c>
      <c r="AX178" t="str">
        <f t="shared" si="22"/>
        <v/>
      </c>
      <c r="AY178" t="str">
        <f t="shared" si="23"/>
        <v/>
      </c>
      <c r="BB178" t="s">
        <v>257</v>
      </c>
      <c r="BC178" t="str">
        <f>IFERROR(INDEX(_names_lookup!$C:$C,MATCH(BB178,_names_lookup!$A:$A,0)),"")</f>
        <v>vaughang@andrews.edu</v>
      </c>
      <c r="BD178" t="str">
        <f>IFERROR(INDEX(_names_lookup!$B:$B,MATCH(BB178,_names_lookup!$A:$A,0)),"")</f>
        <v>000054097</v>
      </c>
    </row>
    <row r="179" spans="8:56" x14ac:dyDescent="0.2">
      <c r="H179" t="s">
        <v>1333</v>
      </c>
      <c r="I179" t="s">
        <v>1334</v>
      </c>
      <c r="N179" t="str">
        <f>IFERROR(INDEX(_courses_lookup!$C:$C,MATCH(J179&amp;K179,_courses_lookup!$E:$E,0)),"")</f>
        <v/>
      </c>
      <c r="O179" t="str">
        <f>IFERROR(INDEX(_courses_lookup!$D:$D,MATCH(J179&amp;K179,_courses_lookup!$E:$E,0)),"")</f>
        <v/>
      </c>
      <c r="AD179" t="str">
        <f t="shared" si="16"/>
        <v/>
      </c>
      <c r="AG179" t="str">
        <f t="shared" si="17"/>
        <v/>
      </c>
      <c r="AI179" t="str">
        <f t="shared" si="18"/>
        <v/>
      </c>
      <c r="AK179" t="str">
        <f t="shared" si="19"/>
        <v/>
      </c>
      <c r="AL179" t="str">
        <f t="shared" si="20"/>
        <v/>
      </c>
      <c r="AM179" t="str">
        <f t="shared" si="21"/>
        <v/>
      </c>
      <c r="AX179" t="str">
        <f t="shared" si="22"/>
        <v/>
      </c>
      <c r="AY179" t="str">
        <f t="shared" si="23"/>
        <v/>
      </c>
      <c r="BB179" t="s">
        <v>258</v>
      </c>
      <c r="BC179" t="str">
        <f>IFERROR(INDEX(_names_lookup!$C:$C,MATCH(BB179,_names_lookup!$A:$A,0)),"")</f>
        <v>jgrys@andrews.edu</v>
      </c>
      <c r="BD179" t="str">
        <f>IFERROR(INDEX(_names_lookup!$B:$B,MATCH(BB179,_names_lookup!$A:$A,0)),"")</f>
        <v>000038918</v>
      </c>
    </row>
    <row r="180" spans="8:56" x14ac:dyDescent="0.2">
      <c r="H180" t="s">
        <v>1335</v>
      </c>
      <c r="I180" t="s">
        <v>1336</v>
      </c>
      <c r="N180" t="str">
        <f>IFERROR(INDEX(_courses_lookup!$C:$C,MATCH(J180&amp;K180,_courses_lookup!$E:$E,0)),"")</f>
        <v/>
      </c>
      <c r="O180" t="str">
        <f>IFERROR(INDEX(_courses_lookup!$D:$D,MATCH(J180&amp;K180,_courses_lookup!$E:$E,0)),"")</f>
        <v/>
      </c>
      <c r="AD180" t="str">
        <f t="shared" si="16"/>
        <v/>
      </c>
      <c r="AG180" t="str">
        <f t="shared" si="17"/>
        <v/>
      </c>
      <c r="AI180" t="str">
        <f t="shared" si="18"/>
        <v/>
      </c>
      <c r="AK180" t="str">
        <f t="shared" si="19"/>
        <v/>
      </c>
      <c r="AL180" t="str">
        <f t="shared" si="20"/>
        <v/>
      </c>
      <c r="AM180" t="str">
        <f t="shared" si="21"/>
        <v/>
      </c>
      <c r="AX180" t="str">
        <f t="shared" si="22"/>
        <v/>
      </c>
      <c r="AY180" t="str">
        <f t="shared" si="23"/>
        <v/>
      </c>
      <c r="BB180" t="s">
        <v>259</v>
      </c>
      <c r="BC180" t="str">
        <f>IFERROR(INDEX(_names_lookup!$C:$C,MATCH(BB180,_names_lookup!$A:$A,0)),"")</f>
        <v>jaeger@andrews.edu</v>
      </c>
      <c r="BD180" t="str">
        <f>IFERROR(INDEX(_names_lookup!$B:$B,MATCH(BB180,_names_lookup!$A:$A,0)),"")</f>
        <v>000115524</v>
      </c>
    </row>
    <row r="181" spans="8:56" x14ac:dyDescent="0.2">
      <c r="H181" t="s">
        <v>1337</v>
      </c>
      <c r="I181" t="s">
        <v>1338</v>
      </c>
      <c r="N181" t="str">
        <f>IFERROR(INDEX(_courses_lookup!$C:$C,MATCH(J181&amp;K181,_courses_lookup!$E:$E,0)),"")</f>
        <v/>
      </c>
      <c r="O181" t="str">
        <f>IFERROR(INDEX(_courses_lookup!$D:$D,MATCH(J181&amp;K181,_courses_lookup!$E:$E,0)),"")</f>
        <v/>
      </c>
      <c r="AD181" t="str">
        <f t="shared" si="16"/>
        <v/>
      </c>
      <c r="AG181" t="str">
        <f t="shared" si="17"/>
        <v/>
      </c>
      <c r="AI181" t="str">
        <f t="shared" si="18"/>
        <v/>
      </c>
      <c r="AK181" t="str">
        <f t="shared" si="19"/>
        <v/>
      </c>
      <c r="AL181" t="str">
        <f t="shared" si="20"/>
        <v/>
      </c>
      <c r="AM181" t="str">
        <f t="shared" si="21"/>
        <v/>
      </c>
      <c r="AX181" t="str">
        <f t="shared" si="22"/>
        <v/>
      </c>
      <c r="AY181" t="str">
        <f t="shared" si="23"/>
        <v/>
      </c>
      <c r="BB181" t="s">
        <v>260</v>
      </c>
      <c r="BC181" t="str">
        <f>IFERROR(INDEX(_names_lookup!$C:$C,MATCH(BB181,_names_lookup!$A:$A,0)),"")</f>
        <v>evelynk@andrews.edu</v>
      </c>
      <c r="BD181" t="str">
        <f>IFERROR(INDEX(_names_lookup!$B:$B,MATCH(BB181,_names_lookup!$A:$A,0)),"")</f>
        <v>000031535</v>
      </c>
    </row>
    <row r="182" spans="8:56" x14ac:dyDescent="0.2">
      <c r="H182" t="s">
        <v>1339</v>
      </c>
      <c r="I182" t="s">
        <v>1340</v>
      </c>
      <c r="N182" t="str">
        <f>IFERROR(INDEX(_courses_lookup!$C:$C,MATCH(J182&amp;K182,_courses_lookup!$E:$E,0)),"")</f>
        <v/>
      </c>
      <c r="O182" t="str">
        <f>IFERROR(INDEX(_courses_lookup!$D:$D,MATCH(J182&amp;K182,_courses_lookup!$E:$E,0)),"")</f>
        <v/>
      </c>
      <c r="AD182" t="str">
        <f t="shared" si="16"/>
        <v/>
      </c>
      <c r="AG182" t="str">
        <f t="shared" si="17"/>
        <v/>
      </c>
      <c r="AI182" t="str">
        <f t="shared" si="18"/>
        <v/>
      </c>
      <c r="AK182" t="str">
        <f t="shared" si="19"/>
        <v/>
      </c>
      <c r="AL182" t="str">
        <f t="shared" si="20"/>
        <v/>
      </c>
      <c r="AM182" t="str">
        <f t="shared" si="21"/>
        <v/>
      </c>
      <c r="AX182" t="str">
        <f t="shared" si="22"/>
        <v/>
      </c>
      <c r="AY182" t="str">
        <f t="shared" si="23"/>
        <v/>
      </c>
      <c r="BB182" t="s">
        <v>353</v>
      </c>
      <c r="BC182" t="str">
        <f>IFERROR(INDEX(_names_lookup!$C:$C,MATCH(BB182,_names_lookup!$A:$A,0)),"")</f>
        <v>kwons@andrews.edu</v>
      </c>
      <c r="BD182" t="str">
        <f>IFERROR(INDEX(_names_lookup!$B:$B,MATCH(BB182,_names_lookup!$A:$A,0)),"")</f>
        <v>000073236</v>
      </c>
    </row>
    <row r="183" spans="8:56" x14ac:dyDescent="0.2">
      <c r="H183" t="s">
        <v>1341</v>
      </c>
      <c r="I183" t="s">
        <v>1342</v>
      </c>
      <c r="N183" t="str">
        <f>IFERROR(INDEX(_courses_lookup!$C:$C,MATCH(J183&amp;K183,_courses_lookup!$E:$E,0)),"")</f>
        <v/>
      </c>
      <c r="O183" t="str">
        <f>IFERROR(INDEX(_courses_lookup!$D:$D,MATCH(J183&amp;K183,_courses_lookup!$E:$E,0)),"")</f>
        <v/>
      </c>
      <c r="AD183" t="str">
        <f t="shared" si="16"/>
        <v/>
      </c>
      <c r="AG183" t="str">
        <f t="shared" si="17"/>
        <v/>
      </c>
      <c r="AI183" t="str">
        <f t="shared" si="18"/>
        <v/>
      </c>
      <c r="AK183" t="str">
        <f t="shared" si="19"/>
        <v/>
      </c>
      <c r="AL183" t="str">
        <f t="shared" si="20"/>
        <v/>
      </c>
      <c r="AM183" t="str">
        <f t="shared" si="21"/>
        <v/>
      </c>
      <c r="AX183" t="str">
        <f t="shared" si="22"/>
        <v/>
      </c>
      <c r="AY183" t="str">
        <f t="shared" si="23"/>
        <v/>
      </c>
      <c r="BB183" t="s">
        <v>261</v>
      </c>
      <c r="BC183" t="str">
        <f>IFERROR(INDEX(_names_lookup!$C:$C,MATCH(BB183,_names_lookup!$A:$A,0)),"")</f>
        <v>jledesma@andrews.edu</v>
      </c>
      <c r="BD183" t="str">
        <f>IFERROR(INDEX(_names_lookup!$B:$B,MATCH(BB183,_names_lookup!$A:$A,0)),"")</f>
        <v>000043873</v>
      </c>
    </row>
    <row r="184" spans="8:56" x14ac:dyDescent="0.2">
      <c r="H184" t="s">
        <v>1343</v>
      </c>
      <c r="I184" t="s">
        <v>1344</v>
      </c>
      <c r="N184" t="str">
        <f>IFERROR(INDEX(_courses_lookup!$C:$C,MATCH(J184&amp;K184,_courses_lookup!$E:$E,0)),"")</f>
        <v/>
      </c>
      <c r="O184" t="str">
        <f>IFERROR(INDEX(_courses_lookup!$D:$D,MATCH(J184&amp;K184,_courses_lookup!$E:$E,0)),"")</f>
        <v/>
      </c>
      <c r="AD184" t="str">
        <f t="shared" si="16"/>
        <v/>
      </c>
      <c r="AG184" t="str">
        <f t="shared" si="17"/>
        <v/>
      </c>
      <c r="AI184" t="str">
        <f t="shared" si="18"/>
        <v/>
      </c>
      <c r="AK184" t="str">
        <f t="shared" si="19"/>
        <v/>
      </c>
      <c r="AL184" t="str">
        <f t="shared" si="20"/>
        <v/>
      </c>
      <c r="AM184" t="str">
        <f t="shared" si="21"/>
        <v/>
      </c>
      <c r="AX184" t="str">
        <f t="shared" si="22"/>
        <v/>
      </c>
      <c r="AY184" t="str">
        <f t="shared" si="23"/>
        <v/>
      </c>
      <c r="BB184" t="s">
        <v>262</v>
      </c>
      <c r="BC184" t="str">
        <f>IFERROR(INDEX(_names_lookup!$C:$C,MATCH(BB184,_names_lookup!$A:$A,0)),"")</f>
        <v>lewismi@andrews.edu</v>
      </c>
      <c r="BD184" t="str">
        <f>IFERROR(INDEX(_names_lookup!$B:$B,MATCH(BB184,_names_lookup!$A:$A,0)),"")</f>
        <v>000096645</v>
      </c>
    </row>
    <row r="185" spans="8:56" x14ac:dyDescent="0.2">
      <c r="H185" t="s">
        <v>1345</v>
      </c>
      <c r="I185" t="s">
        <v>920</v>
      </c>
      <c r="N185" t="str">
        <f>IFERROR(INDEX(_courses_lookup!$C:$C,MATCH(J185&amp;K185,_courses_lookup!$E:$E,0)),"")</f>
        <v/>
      </c>
      <c r="O185" t="str">
        <f>IFERROR(INDEX(_courses_lookup!$D:$D,MATCH(J185&amp;K185,_courses_lookup!$E:$E,0)),"")</f>
        <v/>
      </c>
      <c r="AD185" t="str">
        <f t="shared" si="16"/>
        <v/>
      </c>
      <c r="AG185" t="str">
        <f t="shared" si="17"/>
        <v/>
      </c>
      <c r="AI185" t="str">
        <f t="shared" si="18"/>
        <v/>
      </c>
      <c r="AK185" t="str">
        <f t="shared" si="19"/>
        <v/>
      </c>
      <c r="AL185" t="str">
        <f t="shared" si="20"/>
        <v/>
      </c>
      <c r="AM185" t="str">
        <f t="shared" si="21"/>
        <v/>
      </c>
      <c r="AX185" t="str">
        <f t="shared" si="22"/>
        <v/>
      </c>
      <c r="AY185" t="str">
        <f t="shared" si="23"/>
        <v/>
      </c>
      <c r="BB185" t="s">
        <v>263</v>
      </c>
      <c r="BC185" t="str">
        <f>IFERROR(INDEX(_names_lookup!$C:$C,MATCH(BB185,_names_lookup!$A:$A,0)),"")</f>
        <v>madding@andrews.edu</v>
      </c>
      <c r="BD185" t="str">
        <f>IFERROR(INDEX(_names_lookup!$B:$B,MATCH(BB185,_names_lookup!$A:$A,0)),"")</f>
        <v>000069917</v>
      </c>
    </row>
    <row r="186" spans="8:56" x14ac:dyDescent="0.2">
      <c r="H186" t="s">
        <v>1346</v>
      </c>
      <c r="I186" t="s">
        <v>1347</v>
      </c>
      <c r="N186" t="str">
        <f>IFERROR(INDEX(_courses_lookup!$C:$C,MATCH(J186&amp;K186,_courses_lookup!$E:$E,0)),"")</f>
        <v/>
      </c>
      <c r="O186" t="str">
        <f>IFERROR(INDEX(_courses_lookup!$D:$D,MATCH(J186&amp;K186,_courses_lookup!$E:$E,0)),"")</f>
        <v/>
      </c>
      <c r="AD186" t="str">
        <f t="shared" si="16"/>
        <v/>
      </c>
      <c r="AG186" t="str">
        <f t="shared" si="17"/>
        <v/>
      </c>
      <c r="AI186" t="str">
        <f t="shared" si="18"/>
        <v/>
      </c>
      <c r="AK186" t="str">
        <f t="shared" si="19"/>
        <v/>
      </c>
      <c r="AL186" t="str">
        <f t="shared" si="20"/>
        <v/>
      </c>
      <c r="AM186" t="str">
        <f t="shared" si="21"/>
        <v/>
      </c>
      <c r="AX186" t="str">
        <f t="shared" si="22"/>
        <v/>
      </c>
      <c r="AY186" t="str">
        <f t="shared" si="23"/>
        <v/>
      </c>
      <c r="BB186" t="s">
        <v>264</v>
      </c>
      <c r="BC186">
        <f>IFERROR(INDEX(_names_lookup!$C:$C,MATCH(BB186,_names_lookup!$A:$A,0)),"")</f>
        <v>0</v>
      </c>
      <c r="BD186" t="str">
        <f>IFERROR(INDEX(_names_lookup!$B:$B,MATCH(BB186,_names_lookup!$A:$A,0)),"")</f>
        <v>000090518</v>
      </c>
    </row>
    <row r="187" spans="8:56" x14ac:dyDescent="0.2">
      <c r="H187" t="s">
        <v>1348</v>
      </c>
      <c r="I187" t="s">
        <v>1349</v>
      </c>
      <c r="N187" t="str">
        <f>IFERROR(INDEX(_courses_lookup!$C:$C,MATCH(J187&amp;K187,_courses_lookup!$E:$E,0)),"")</f>
        <v/>
      </c>
      <c r="O187" t="str">
        <f>IFERROR(INDEX(_courses_lookup!$D:$D,MATCH(J187&amp;K187,_courses_lookup!$E:$E,0)),"")</f>
        <v/>
      </c>
      <c r="AD187" t="str">
        <f t="shared" si="16"/>
        <v/>
      </c>
      <c r="AG187" t="str">
        <f t="shared" si="17"/>
        <v/>
      </c>
      <c r="AI187" t="str">
        <f t="shared" si="18"/>
        <v/>
      </c>
      <c r="AK187" t="str">
        <f t="shared" si="19"/>
        <v/>
      </c>
      <c r="AL187" t="str">
        <f t="shared" si="20"/>
        <v/>
      </c>
      <c r="AM187" t="str">
        <f t="shared" si="21"/>
        <v/>
      </c>
      <c r="AX187" t="str">
        <f t="shared" si="22"/>
        <v/>
      </c>
      <c r="AY187" t="str">
        <f t="shared" si="23"/>
        <v/>
      </c>
      <c r="BB187" t="s">
        <v>265</v>
      </c>
      <c r="BC187" t="str">
        <f>IFERROR(INDEX(_names_lookup!$C:$C,MATCH(BB187,_names_lookup!$A:$A,0)),"")</f>
        <v>mcleane@andrews.edu</v>
      </c>
      <c r="BD187" t="str">
        <f>IFERROR(INDEX(_names_lookup!$B:$B,MATCH(BB187,_names_lookup!$A:$A,0)),"")</f>
        <v>000049564</v>
      </c>
    </row>
    <row r="188" spans="8:56" x14ac:dyDescent="0.2">
      <c r="H188" t="s">
        <v>1350</v>
      </c>
      <c r="I188" t="s">
        <v>1351</v>
      </c>
      <c r="N188" t="str">
        <f>IFERROR(INDEX(_courses_lookup!$C:$C,MATCH(J188&amp;K188,_courses_lookup!$E:$E,0)),"")</f>
        <v/>
      </c>
      <c r="O188" t="str">
        <f>IFERROR(INDEX(_courses_lookup!$D:$D,MATCH(J188&amp;K188,_courses_lookup!$E:$E,0)),"")</f>
        <v/>
      </c>
      <c r="AD188" t="str">
        <f t="shared" si="16"/>
        <v/>
      </c>
      <c r="AG188" t="str">
        <f t="shared" si="17"/>
        <v/>
      </c>
      <c r="AI188" t="str">
        <f t="shared" si="18"/>
        <v/>
      </c>
      <c r="AK188" t="str">
        <f t="shared" si="19"/>
        <v/>
      </c>
      <c r="AL188" t="str">
        <f t="shared" si="20"/>
        <v/>
      </c>
      <c r="AM188" t="str">
        <f t="shared" si="21"/>
        <v/>
      </c>
      <c r="AX188" t="str">
        <f t="shared" si="22"/>
        <v/>
      </c>
      <c r="AY188" t="str">
        <f t="shared" si="23"/>
        <v/>
      </c>
      <c r="BB188" t="s">
        <v>266</v>
      </c>
      <c r="BC188" t="str">
        <f>IFERROR(INDEX(_names_lookup!$C:$C,MATCH(BB188,_names_lookup!$A:$A,0)),"")</f>
        <v>ming@andrews.edu</v>
      </c>
      <c r="BD188" t="str">
        <f>IFERROR(INDEX(_names_lookup!$B:$B,MATCH(BB188,_names_lookup!$A:$A,0)),"")</f>
        <v>000126678</v>
      </c>
    </row>
    <row r="189" spans="8:56" x14ac:dyDescent="0.2">
      <c r="H189" t="s">
        <v>1352</v>
      </c>
      <c r="I189" t="s">
        <v>1353</v>
      </c>
      <c r="N189" t="str">
        <f>IFERROR(INDEX(_courses_lookup!$C:$C,MATCH(J189&amp;K189,_courses_lookup!$E:$E,0)),"")</f>
        <v/>
      </c>
      <c r="O189" t="str">
        <f>IFERROR(INDEX(_courses_lookup!$D:$D,MATCH(J189&amp;K189,_courses_lookup!$E:$E,0)),"")</f>
        <v/>
      </c>
      <c r="AD189" t="str">
        <f t="shared" si="16"/>
        <v/>
      </c>
      <c r="AG189" t="str">
        <f t="shared" si="17"/>
        <v/>
      </c>
      <c r="AI189" t="str">
        <f t="shared" si="18"/>
        <v/>
      </c>
      <c r="AK189" t="str">
        <f t="shared" si="19"/>
        <v/>
      </c>
      <c r="AL189" t="str">
        <f t="shared" si="20"/>
        <v/>
      </c>
      <c r="AM189" t="str">
        <f t="shared" si="21"/>
        <v/>
      </c>
      <c r="AX189" t="str">
        <f t="shared" si="22"/>
        <v/>
      </c>
      <c r="AY189" t="str">
        <f t="shared" si="23"/>
        <v/>
      </c>
      <c r="BB189" t="s">
        <v>267</v>
      </c>
      <c r="BC189" t="str">
        <f>IFERROR(INDEX(_names_lookup!$C:$C,MATCH(BB189,_names_lookup!$A:$A,0)),"")</f>
        <v>moralesx@andrews.edu</v>
      </c>
      <c r="BD189" t="str">
        <f>IFERROR(INDEX(_names_lookup!$B:$B,MATCH(BB189,_names_lookup!$A:$A,0)),"")</f>
        <v>000139876</v>
      </c>
    </row>
    <row r="190" spans="8:56" x14ac:dyDescent="0.2">
      <c r="H190" t="s">
        <v>1354</v>
      </c>
      <c r="I190" t="s">
        <v>1355</v>
      </c>
      <c r="N190" t="str">
        <f>IFERROR(INDEX(_courses_lookup!$C:$C,MATCH(J190&amp;K190,_courses_lookup!$E:$E,0)),"")</f>
        <v/>
      </c>
      <c r="O190" t="str">
        <f>IFERROR(INDEX(_courses_lookup!$D:$D,MATCH(J190&amp;K190,_courses_lookup!$E:$E,0)),"")</f>
        <v/>
      </c>
      <c r="AD190" t="str">
        <f t="shared" si="16"/>
        <v/>
      </c>
      <c r="AG190" t="str">
        <f t="shared" si="17"/>
        <v/>
      </c>
      <c r="AI190" t="str">
        <f t="shared" si="18"/>
        <v/>
      </c>
      <c r="AK190" t="str">
        <f t="shared" si="19"/>
        <v/>
      </c>
      <c r="AL190" t="str">
        <f t="shared" si="20"/>
        <v/>
      </c>
      <c r="AM190" t="str">
        <f t="shared" si="21"/>
        <v/>
      </c>
      <c r="AX190" t="str">
        <f t="shared" si="22"/>
        <v/>
      </c>
      <c r="AY190" t="str">
        <f t="shared" si="23"/>
        <v/>
      </c>
      <c r="BB190" t="s">
        <v>268</v>
      </c>
      <c r="BC190" t="str">
        <f>IFERROR(INDEX(_names_lookup!$C:$C,MATCH(BB190,_names_lookup!$A:$A,0)),"")</f>
        <v>ramosescoba@andrews.edu</v>
      </c>
      <c r="BD190" t="str">
        <f>IFERROR(INDEX(_names_lookup!$B:$B,MATCH(BB190,_names_lookup!$A:$A,0)),"")</f>
        <v>000155460</v>
      </c>
    </row>
    <row r="191" spans="8:56" x14ac:dyDescent="0.2">
      <c r="H191" t="s">
        <v>1356</v>
      </c>
      <c r="I191" t="s">
        <v>1357</v>
      </c>
      <c r="N191" t="str">
        <f>IFERROR(INDEX(_courses_lookup!$C:$C,MATCH(J191&amp;K191,_courses_lookup!$E:$E,0)),"")</f>
        <v/>
      </c>
      <c r="O191" t="str">
        <f>IFERROR(INDEX(_courses_lookup!$D:$D,MATCH(J191&amp;K191,_courses_lookup!$E:$E,0)),"")</f>
        <v/>
      </c>
      <c r="AD191" t="str">
        <f t="shared" si="16"/>
        <v/>
      </c>
      <c r="AG191" t="str">
        <f t="shared" si="17"/>
        <v/>
      </c>
      <c r="AI191" t="str">
        <f t="shared" si="18"/>
        <v/>
      </c>
      <c r="AK191" t="str">
        <f t="shared" si="19"/>
        <v/>
      </c>
      <c r="AL191" t="str">
        <f t="shared" si="20"/>
        <v/>
      </c>
      <c r="AM191" t="str">
        <f t="shared" si="21"/>
        <v/>
      </c>
      <c r="AX191" t="str">
        <f t="shared" si="22"/>
        <v/>
      </c>
      <c r="AY191" t="str">
        <f t="shared" si="23"/>
        <v/>
      </c>
      <c r="BB191" t="s">
        <v>269</v>
      </c>
      <c r="BC191" t="str">
        <f>IFERROR(INDEX(_names_lookup!$C:$C,MATCH(BB191,_names_lookup!$A:$A,0)),"")</f>
        <v>elir@andrews.edu</v>
      </c>
      <c r="BD191" t="str">
        <f>IFERROR(INDEX(_names_lookup!$B:$B,MATCH(BB191,_names_lookup!$A:$A,0)),"")</f>
        <v>000095431</v>
      </c>
    </row>
    <row r="192" spans="8:56" x14ac:dyDescent="0.2">
      <c r="H192" t="s">
        <v>1358</v>
      </c>
      <c r="I192" t="s">
        <v>1359</v>
      </c>
      <c r="N192" t="str">
        <f>IFERROR(INDEX(_courses_lookup!$C:$C,MATCH(J192&amp;K192,_courses_lookup!$E:$E,0)),"")</f>
        <v/>
      </c>
      <c r="O192" t="str">
        <f>IFERROR(INDEX(_courses_lookup!$D:$D,MATCH(J192&amp;K192,_courses_lookup!$E:$E,0)),"")</f>
        <v/>
      </c>
      <c r="AD192" t="str">
        <f t="shared" si="16"/>
        <v/>
      </c>
      <c r="AG192" t="str">
        <f t="shared" si="17"/>
        <v/>
      </c>
      <c r="AI192" t="str">
        <f t="shared" si="18"/>
        <v/>
      </c>
      <c r="AK192" t="str">
        <f t="shared" si="19"/>
        <v/>
      </c>
      <c r="AL192" t="str">
        <f t="shared" si="20"/>
        <v/>
      </c>
      <c r="AM192" t="str">
        <f t="shared" si="21"/>
        <v/>
      </c>
      <c r="AX192" t="str">
        <f t="shared" si="22"/>
        <v/>
      </c>
      <c r="AY192" t="str">
        <f t="shared" si="23"/>
        <v/>
      </c>
      <c r="BB192" t="s">
        <v>372</v>
      </c>
      <c r="BC192" t="str">
        <f>IFERROR(INDEX(_names_lookup!$C:$C,MATCH(BB192,_names_lookup!$A:$A,0)),"")</f>
        <v>sanou@andrews.edu</v>
      </c>
      <c r="BD192" t="str">
        <f>IFERROR(INDEX(_names_lookup!$B:$B,MATCH(BB192,_names_lookup!$A:$A,0)),"")</f>
        <v>000098144</v>
      </c>
    </row>
    <row r="193" spans="8:56" x14ac:dyDescent="0.2">
      <c r="H193" t="s">
        <v>1360</v>
      </c>
      <c r="I193" t="s">
        <v>1361</v>
      </c>
      <c r="N193" t="str">
        <f>IFERROR(INDEX(_courses_lookup!$C:$C,MATCH(J193&amp;K193,_courses_lookup!$E:$E,0)),"")</f>
        <v/>
      </c>
      <c r="O193" t="str">
        <f>IFERROR(INDEX(_courses_lookup!$D:$D,MATCH(J193&amp;K193,_courses_lookup!$E:$E,0)),"")</f>
        <v/>
      </c>
      <c r="AD193" t="str">
        <f t="shared" si="16"/>
        <v/>
      </c>
      <c r="AG193" t="str">
        <f t="shared" si="17"/>
        <v/>
      </c>
      <c r="AI193" t="str">
        <f t="shared" si="18"/>
        <v/>
      </c>
      <c r="AK193" t="str">
        <f t="shared" si="19"/>
        <v/>
      </c>
      <c r="AL193" t="str">
        <f t="shared" si="20"/>
        <v/>
      </c>
      <c r="AM193" t="str">
        <f t="shared" si="21"/>
        <v/>
      </c>
      <c r="AX193" t="str">
        <f t="shared" si="22"/>
        <v/>
      </c>
      <c r="AY193" t="str">
        <f t="shared" si="23"/>
        <v/>
      </c>
      <c r="BB193" t="s">
        <v>270</v>
      </c>
      <c r="BC193" t="str">
        <f>IFERROR(INDEX(_names_lookup!$C:$C,MATCH(BB193,_names_lookup!$A:$A,0)),"")</f>
        <v>taiwo@andrews.edu</v>
      </c>
      <c r="BD193" t="str">
        <f>IFERROR(INDEX(_names_lookup!$B:$B,MATCH(BB193,_names_lookup!$A:$A,0)),"")</f>
        <v>000051532</v>
      </c>
    </row>
    <row r="194" spans="8:56" x14ac:dyDescent="0.2">
      <c r="H194" t="s">
        <v>1362</v>
      </c>
      <c r="I194" t="s">
        <v>1363</v>
      </c>
      <c r="N194" t="str">
        <f>IFERROR(INDEX(_courses_lookup!$C:$C,MATCH(J194&amp;K194,_courses_lookup!$E:$E,0)),"")</f>
        <v/>
      </c>
      <c r="O194" t="str">
        <f>IFERROR(INDEX(_courses_lookup!$D:$D,MATCH(J194&amp;K194,_courses_lookup!$E:$E,0)),"")</f>
        <v/>
      </c>
      <c r="AD194" t="str">
        <f t="shared" ref="AD194:AD257" si="24">IFERROR(IF(AB194*AC194=0,"",AB194*AC194),"")</f>
        <v/>
      </c>
      <c r="AG194" t="str">
        <f t="shared" ref="AG194:AG257" si="25">IF(AND(AE194&lt;&gt;"",AF194&lt;&gt;""),ROUNDUP((AF194-AE194)/7,0),"")</f>
        <v/>
      </c>
      <c r="AI194" t="str">
        <f t="shared" ref="AI194:AI257" si="26">IFERROR(IF(AG194*AH194=0,"",AG194*AH194),"")</f>
        <v/>
      </c>
      <c r="AK194" t="str">
        <f t="shared" ref="AK194:AK257" si="27">IFERROR(IF((AN194-(AD194+AI194))/AJ194=0,"",ROUNDUP((AN194-(AD194+AI194))/AJ194,0)),"")</f>
        <v/>
      </c>
      <c r="AL194" t="str">
        <f t="shared" ref="AL194:AL257" si="28">IFERROR(IF((AN194-(AD194+AI194))=0,"",(AN194-(AD194+AI194))),"")</f>
        <v/>
      </c>
      <c r="AM194" t="str">
        <f t="shared" ref="AM194:AM257" si="29">IF(AND(AB194="",AJ194=""),AG194,IF(SUM(AB194,AG194,AJ194)=0,"",SUM(AB194,AG194,AJ194)))</f>
        <v/>
      </c>
      <c r="AX194" t="str">
        <f t="shared" ref="AX194:AX257" si="30">IF(AA194="","",YEAR(AA194)+IF(MONTH(AA194)&gt;=5,1,0))</f>
        <v/>
      </c>
      <c r="AY194" t="str">
        <f t="shared" ref="AY194:AY257" si="31">IF(AA194="","",IF(AND(MONTH(AA194)=8,DAY(AA194)&gt;=15),"Fall",IF(MONTH(AA194)&gt;8,"Fall",IF(MONTH(AA194)=5,"Summer",IF(MONTH(AA194)=1,"Spring","")))))</f>
        <v/>
      </c>
      <c r="BB194" t="s">
        <v>271</v>
      </c>
      <c r="BC194" t="str">
        <f>IFERROR(INDEX(_names_lookup!$C:$C,MATCH(BB194,_names_lookup!$A:$A,0)),"")</f>
        <v>throstur@andrews.edu</v>
      </c>
      <c r="BD194" t="str">
        <f>IFERROR(INDEX(_names_lookup!$B:$B,MATCH(BB194,_names_lookup!$A:$A,0)),"")</f>
        <v>000028045</v>
      </c>
    </row>
    <row r="195" spans="8:56" x14ac:dyDescent="0.2">
      <c r="H195" t="s">
        <v>1364</v>
      </c>
      <c r="I195" t="s">
        <v>1365</v>
      </c>
      <c r="N195" t="str">
        <f>IFERROR(INDEX(_courses_lookup!$C:$C,MATCH(J195&amp;K195,_courses_lookup!$E:$E,0)),"")</f>
        <v/>
      </c>
      <c r="O195" t="str">
        <f>IFERROR(INDEX(_courses_lookup!$D:$D,MATCH(J195&amp;K195,_courses_lookup!$E:$E,0)),"")</f>
        <v/>
      </c>
      <c r="AD195" t="str">
        <f t="shared" si="24"/>
        <v/>
      </c>
      <c r="AG195" t="str">
        <f t="shared" si="25"/>
        <v/>
      </c>
      <c r="AI195" t="str">
        <f t="shared" si="26"/>
        <v/>
      </c>
      <c r="AK195" t="str">
        <f t="shared" si="27"/>
        <v/>
      </c>
      <c r="AL195" t="str">
        <f t="shared" si="28"/>
        <v/>
      </c>
      <c r="AM195" t="str">
        <f t="shared" si="29"/>
        <v/>
      </c>
      <c r="AX195" t="str">
        <f t="shared" si="30"/>
        <v/>
      </c>
      <c r="AY195" t="str">
        <f t="shared" si="31"/>
        <v/>
      </c>
      <c r="BB195" t="s">
        <v>272</v>
      </c>
      <c r="BC195" t="str">
        <f>IFERROR(INDEX(_names_lookup!$C:$C,MATCH(BB195,_names_lookup!$A:$A,0)),"")</f>
        <v>trecarts@andrews.edu</v>
      </c>
      <c r="BD195" t="str">
        <f>IFERROR(INDEX(_names_lookup!$B:$B,MATCH(BB195,_names_lookup!$A:$A,0)),"")</f>
        <v>000133204</v>
      </c>
    </row>
    <row r="196" spans="8:56" x14ac:dyDescent="0.2">
      <c r="H196" t="s">
        <v>1366</v>
      </c>
      <c r="I196" t="s">
        <v>925</v>
      </c>
      <c r="N196" t="str">
        <f>IFERROR(INDEX(_courses_lookup!$C:$C,MATCH(J196&amp;K196,_courses_lookup!$E:$E,0)),"")</f>
        <v/>
      </c>
      <c r="O196" t="str">
        <f>IFERROR(INDEX(_courses_lookup!$D:$D,MATCH(J196&amp;K196,_courses_lookup!$E:$E,0)),"")</f>
        <v/>
      </c>
      <c r="AD196" t="str">
        <f t="shared" si="24"/>
        <v/>
      </c>
      <c r="AG196" t="str">
        <f t="shared" si="25"/>
        <v/>
      </c>
      <c r="AI196" t="str">
        <f t="shared" si="26"/>
        <v/>
      </c>
      <c r="AK196" t="str">
        <f t="shared" si="27"/>
        <v/>
      </c>
      <c r="AL196" t="str">
        <f t="shared" si="28"/>
        <v/>
      </c>
      <c r="AM196" t="str">
        <f t="shared" si="29"/>
        <v/>
      </c>
      <c r="AX196" t="str">
        <f t="shared" si="30"/>
        <v/>
      </c>
      <c r="AY196" t="str">
        <f t="shared" si="31"/>
        <v/>
      </c>
      <c r="BB196" t="s">
        <v>273</v>
      </c>
      <c r="BC196" t="str">
        <f>IFERROR(INDEX(_names_lookup!$C:$C,MATCH(BB196,_names_lookup!$A:$A,0)),"")</f>
        <v>tsui@andrews.edu</v>
      </c>
      <c r="BD196" t="str">
        <f>IFERROR(INDEX(_names_lookup!$B:$B,MATCH(BB196,_names_lookup!$A:$A,0)),"")</f>
        <v>000120498</v>
      </c>
    </row>
    <row r="197" spans="8:56" x14ac:dyDescent="0.2">
      <c r="H197" t="s">
        <v>1367</v>
      </c>
      <c r="I197" t="s">
        <v>1368</v>
      </c>
      <c r="N197" t="str">
        <f>IFERROR(INDEX(_courses_lookup!$C:$C,MATCH(J197&amp;K197,_courses_lookup!$E:$E,0)),"")</f>
        <v/>
      </c>
      <c r="O197" t="str">
        <f>IFERROR(INDEX(_courses_lookup!$D:$D,MATCH(J197&amp;K197,_courses_lookup!$E:$E,0)),"")</f>
        <v/>
      </c>
      <c r="AD197" t="str">
        <f t="shared" si="24"/>
        <v/>
      </c>
      <c r="AG197" t="str">
        <f t="shared" si="25"/>
        <v/>
      </c>
      <c r="AI197" t="str">
        <f t="shared" si="26"/>
        <v/>
      </c>
      <c r="AK197" t="str">
        <f t="shared" si="27"/>
        <v/>
      </c>
      <c r="AL197" t="str">
        <f t="shared" si="28"/>
        <v/>
      </c>
      <c r="AM197" t="str">
        <f t="shared" si="29"/>
        <v/>
      </c>
      <c r="AX197" t="str">
        <f t="shared" si="30"/>
        <v/>
      </c>
      <c r="AY197" t="str">
        <f t="shared" si="31"/>
        <v/>
      </c>
      <c r="BB197" t="s">
        <v>274</v>
      </c>
      <c r="BC197" t="str">
        <f>IFERROR(INDEX(_names_lookup!$C:$C,MATCH(BB197,_names_lookup!$A:$A,0)),"")</f>
        <v>vatelm@andrews.edu</v>
      </c>
      <c r="BD197" t="str">
        <f>IFERROR(INDEX(_names_lookup!$B:$B,MATCH(BB197,_names_lookup!$A:$A,0)),"")</f>
        <v>000074539</v>
      </c>
    </row>
    <row r="198" spans="8:56" x14ac:dyDescent="0.2">
      <c r="H198" t="s">
        <v>1369</v>
      </c>
      <c r="I198" t="s">
        <v>1370</v>
      </c>
      <c r="N198" t="str">
        <f>IFERROR(INDEX(_courses_lookup!$C:$C,MATCH(J198&amp;K198,_courses_lookup!$E:$E,0)),"")</f>
        <v/>
      </c>
      <c r="O198" t="str">
        <f>IFERROR(INDEX(_courses_lookup!$D:$D,MATCH(J198&amp;K198,_courses_lookup!$E:$E,0)),"")</f>
        <v/>
      </c>
      <c r="AD198" t="str">
        <f t="shared" si="24"/>
        <v/>
      </c>
      <c r="AG198" t="str">
        <f t="shared" si="25"/>
        <v/>
      </c>
      <c r="AI198" t="str">
        <f t="shared" si="26"/>
        <v/>
      </c>
      <c r="AK198" t="str">
        <f t="shared" si="27"/>
        <v/>
      </c>
      <c r="AL198" t="str">
        <f t="shared" si="28"/>
        <v/>
      </c>
      <c r="AM198" t="str">
        <f t="shared" si="29"/>
        <v/>
      </c>
      <c r="AX198" t="str">
        <f t="shared" si="30"/>
        <v/>
      </c>
      <c r="AY198" t="str">
        <f t="shared" si="31"/>
        <v/>
      </c>
      <c r="BB198" t="s">
        <v>275</v>
      </c>
      <c r="BC198" t="str">
        <f>IFERROR(INDEX(_names_lookup!$C:$C,MATCH(BB198,_names_lookup!$A:$A,0)),"")</f>
        <v>rohann@andrews.edu</v>
      </c>
      <c r="BD198" t="str">
        <f>IFERROR(INDEX(_names_lookup!$B:$B,MATCH(BB198,_names_lookup!$A:$A,0)),"")</f>
        <v>000110327</v>
      </c>
    </row>
    <row r="199" spans="8:56" x14ac:dyDescent="0.2">
      <c r="H199" t="s">
        <v>1371</v>
      </c>
      <c r="I199" t="s">
        <v>1372</v>
      </c>
      <c r="N199" t="str">
        <f>IFERROR(INDEX(_courses_lookup!$C:$C,MATCH(J199&amp;K199,_courses_lookup!$E:$E,0)),"")</f>
        <v/>
      </c>
      <c r="O199" t="str">
        <f>IFERROR(INDEX(_courses_lookup!$D:$D,MATCH(J199&amp;K199,_courses_lookup!$E:$E,0)),"")</f>
        <v/>
      </c>
      <c r="AD199" t="str">
        <f t="shared" si="24"/>
        <v/>
      </c>
      <c r="AG199" t="str">
        <f t="shared" si="25"/>
        <v/>
      </c>
      <c r="AI199" t="str">
        <f t="shared" si="26"/>
        <v/>
      </c>
      <c r="AK199" t="str">
        <f t="shared" si="27"/>
        <v/>
      </c>
      <c r="AL199" t="str">
        <f t="shared" si="28"/>
        <v/>
      </c>
      <c r="AM199" t="str">
        <f t="shared" si="29"/>
        <v/>
      </c>
      <c r="AX199" t="str">
        <f t="shared" si="30"/>
        <v/>
      </c>
      <c r="AY199" t="str">
        <f t="shared" si="31"/>
        <v/>
      </c>
      <c r="BB199" t="s">
        <v>276</v>
      </c>
      <c r="BC199" t="str">
        <f>IFERROR(INDEX(_names_lookup!$C:$C,MATCH(BB199,_names_lookup!$A:$A,0)),"")</f>
        <v>woodh@andrews.edu</v>
      </c>
      <c r="BD199" t="str">
        <f>IFERROR(INDEX(_names_lookup!$B:$B,MATCH(BB199,_names_lookup!$A:$A,0)),"")</f>
        <v>000241606</v>
      </c>
    </row>
    <row r="200" spans="8:56" x14ac:dyDescent="0.2">
      <c r="H200" t="s">
        <v>1373</v>
      </c>
      <c r="I200" t="s">
        <v>1374</v>
      </c>
      <c r="N200" t="str">
        <f>IFERROR(INDEX(_courses_lookup!$C:$C,MATCH(J200&amp;K200,_courses_lookup!$E:$E,0)),"")</f>
        <v/>
      </c>
      <c r="O200" t="str">
        <f>IFERROR(INDEX(_courses_lookup!$D:$D,MATCH(J200&amp;K200,_courses_lookup!$E:$E,0)),"")</f>
        <v/>
      </c>
      <c r="AD200" t="str">
        <f t="shared" si="24"/>
        <v/>
      </c>
      <c r="AG200" t="str">
        <f t="shared" si="25"/>
        <v/>
      </c>
      <c r="AI200" t="str">
        <f t="shared" si="26"/>
        <v/>
      </c>
      <c r="AK200" t="str">
        <f t="shared" si="27"/>
        <v/>
      </c>
      <c r="AL200" t="str">
        <f t="shared" si="28"/>
        <v/>
      </c>
      <c r="AM200" t="str">
        <f t="shared" si="29"/>
        <v/>
      </c>
      <c r="AX200" t="str">
        <f t="shared" si="30"/>
        <v/>
      </c>
      <c r="AY200" t="str">
        <f t="shared" si="31"/>
        <v/>
      </c>
      <c r="BB200" t="s">
        <v>277</v>
      </c>
      <c r="BC200" t="str">
        <f>IFERROR(INDEX(_names_lookup!$C:$C,MATCH(BB200,_names_lookup!$A:$A,0)),"")</f>
        <v>dustiny@andrews.edu</v>
      </c>
      <c r="BD200" t="str">
        <f>IFERROR(INDEX(_names_lookup!$B:$B,MATCH(BB200,_names_lookup!$A:$A,0)),"")</f>
        <v>000234751</v>
      </c>
    </row>
    <row r="201" spans="8:56" x14ac:dyDescent="0.2">
      <c r="H201" t="s">
        <v>1375</v>
      </c>
      <c r="I201" t="s">
        <v>1376</v>
      </c>
      <c r="N201" t="str">
        <f>IFERROR(INDEX(_courses_lookup!$C:$C,MATCH(J201&amp;K201,_courses_lookup!$E:$E,0)),"")</f>
        <v/>
      </c>
      <c r="O201" t="str">
        <f>IFERROR(INDEX(_courses_lookup!$D:$D,MATCH(J201&amp;K201,_courses_lookup!$E:$E,0)),"")</f>
        <v/>
      </c>
      <c r="AD201" t="str">
        <f t="shared" si="24"/>
        <v/>
      </c>
      <c r="AG201" t="str">
        <f t="shared" si="25"/>
        <v/>
      </c>
      <c r="AI201" t="str">
        <f t="shared" si="26"/>
        <v/>
      </c>
      <c r="AK201" t="str">
        <f t="shared" si="27"/>
        <v/>
      </c>
      <c r="AL201" t="str">
        <f t="shared" si="28"/>
        <v/>
      </c>
      <c r="AM201" t="str">
        <f t="shared" si="29"/>
        <v/>
      </c>
      <c r="AX201" t="str">
        <f t="shared" si="30"/>
        <v/>
      </c>
      <c r="AY201" t="str">
        <f t="shared" si="31"/>
        <v/>
      </c>
      <c r="BB201" t="s">
        <v>278</v>
      </c>
      <c r="BC201" t="str">
        <f>IFERROR(INDEX(_names_lookup!$C:$C,MATCH(BB201,_names_lookup!$A:$A,0)),"")</f>
        <v>alexe@andrews.edu</v>
      </c>
      <c r="BD201" t="str">
        <f>IFERROR(INDEX(_names_lookup!$B:$B,MATCH(BB201,_names_lookup!$A:$A,0)),"")</f>
        <v>000134154</v>
      </c>
    </row>
    <row r="202" spans="8:56" x14ac:dyDescent="0.2">
      <c r="H202" t="s">
        <v>1377</v>
      </c>
      <c r="I202" t="s">
        <v>1378</v>
      </c>
      <c r="N202" t="str">
        <f>IFERROR(INDEX(_courses_lookup!$C:$C,MATCH(J202&amp;K202,_courses_lookup!$E:$E,0)),"")</f>
        <v/>
      </c>
      <c r="O202" t="str">
        <f>IFERROR(INDEX(_courses_lookup!$D:$D,MATCH(J202&amp;K202,_courses_lookup!$E:$E,0)),"")</f>
        <v/>
      </c>
      <c r="AD202" t="str">
        <f t="shared" si="24"/>
        <v/>
      </c>
      <c r="AG202" t="str">
        <f t="shared" si="25"/>
        <v/>
      </c>
      <c r="AI202" t="str">
        <f t="shared" si="26"/>
        <v/>
      </c>
      <c r="AK202" t="str">
        <f t="shared" si="27"/>
        <v/>
      </c>
      <c r="AL202" t="str">
        <f t="shared" si="28"/>
        <v/>
      </c>
      <c r="AM202" t="str">
        <f t="shared" si="29"/>
        <v/>
      </c>
      <c r="AX202" t="str">
        <f t="shared" si="30"/>
        <v/>
      </c>
      <c r="AY202" t="str">
        <f t="shared" si="31"/>
        <v/>
      </c>
      <c r="BB202" t="s">
        <v>279</v>
      </c>
      <c r="BC202" t="str">
        <f>IFERROR(INDEX(_names_lookup!$C:$C,MATCH(BB202,_names_lookup!$A:$A,0)),"")</f>
        <v>lidvar@andrews.edu</v>
      </c>
      <c r="BD202" t="str">
        <f>IFERROR(INDEX(_names_lookup!$B:$B,MATCH(BB202,_names_lookup!$A:$A,0)),"")</f>
        <v>000148465</v>
      </c>
    </row>
    <row r="203" spans="8:56" x14ac:dyDescent="0.2">
      <c r="H203" t="s">
        <v>1379</v>
      </c>
      <c r="I203" t="s">
        <v>1380</v>
      </c>
      <c r="N203" t="str">
        <f>IFERROR(INDEX(_courses_lookup!$C:$C,MATCH(J203&amp;K203,_courses_lookup!$E:$E,0)),"")</f>
        <v/>
      </c>
      <c r="O203" t="str">
        <f>IFERROR(INDEX(_courses_lookup!$D:$D,MATCH(J203&amp;K203,_courses_lookup!$E:$E,0)),"")</f>
        <v/>
      </c>
      <c r="AD203" t="str">
        <f t="shared" si="24"/>
        <v/>
      </c>
      <c r="AG203" t="str">
        <f t="shared" si="25"/>
        <v/>
      </c>
      <c r="AI203" t="str">
        <f t="shared" si="26"/>
        <v/>
      </c>
      <c r="AK203" t="str">
        <f t="shared" si="27"/>
        <v/>
      </c>
      <c r="AL203" t="str">
        <f t="shared" si="28"/>
        <v/>
      </c>
      <c r="AM203" t="str">
        <f t="shared" si="29"/>
        <v/>
      </c>
      <c r="AX203" t="str">
        <f t="shared" si="30"/>
        <v/>
      </c>
      <c r="AY203" t="str">
        <f t="shared" si="31"/>
        <v/>
      </c>
      <c r="BB203" t="s">
        <v>280</v>
      </c>
      <c r="BC203" t="str">
        <f>IFERROR(INDEX(_names_lookup!$C:$C,MATCH(BB203,_names_lookup!$A:$A,0)),"")</f>
        <v>arena@andrews.edu</v>
      </c>
      <c r="BD203" t="str">
        <f>IFERROR(INDEX(_names_lookup!$B:$B,MATCH(BB203,_names_lookup!$A:$A,0)),"")</f>
        <v>000148323</v>
      </c>
    </row>
    <row r="204" spans="8:56" x14ac:dyDescent="0.2">
      <c r="H204" t="s">
        <v>1381</v>
      </c>
      <c r="I204" t="s">
        <v>1382</v>
      </c>
      <c r="N204" t="str">
        <f>IFERROR(INDEX(_courses_lookup!$C:$C,MATCH(J204&amp;K204,_courses_lookup!$E:$E,0)),"")</f>
        <v/>
      </c>
      <c r="O204" t="str">
        <f>IFERROR(INDEX(_courses_lookup!$D:$D,MATCH(J204&amp;K204,_courses_lookup!$E:$E,0)),"")</f>
        <v/>
      </c>
      <c r="AD204" t="str">
        <f t="shared" si="24"/>
        <v/>
      </c>
      <c r="AG204" t="str">
        <f t="shared" si="25"/>
        <v/>
      </c>
      <c r="AI204" t="str">
        <f t="shared" si="26"/>
        <v/>
      </c>
      <c r="AK204" t="str">
        <f t="shared" si="27"/>
        <v/>
      </c>
      <c r="AL204" t="str">
        <f t="shared" si="28"/>
        <v/>
      </c>
      <c r="AM204" t="str">
        <f t="shared" si="29"/>
        <v/>
      </c>
      <c r="AX204" t="str">
        <f t="shared" si="30"/>
        <v/>
      </c>
      <c r="AY204" t="str">
        <f t="shared" si="31"/>
        <v/>
      </c>
      <c r="BB204" t="s">
        <v>281</v>
      </c>
      <c r="BC204" t="str">
        <f>IFERROR(INDEX(_names_lookup!$C:$C,MATCH(BB204,_names_lookup!$A:$A,0)),"")</f>
        <v>baldwin@andrews.edu</v>
      </c>
      <c r="BD204" t="str">
        <f>IFERROR(INDEX(_names_lookup!$B:$B,MATCH(BB204,_names_lookup!$A:$A,0)),"")</f>
        <v>000001902</v>
      </c>
    </row>
    <row r="205" spans="8:56" x14ac:dyDescent="0.2">
      <c r="H205" t="s">
        <v>1383</v>
      </c>
      <c r="I205" t="s">
        <v>1384</v>
      </c>
      <c r="N205" t="str">
        <f>IFERROR(INDEX(_courses_lookup!$C:$C,MATCH(J205&amp;K205,_courses_lookup!$E:$E,0)),"")</f>
        <v/>
      </c>
      <c r="O205" t="str">
        <f>IFERROR(INDEX(_courses_lookup!$D:$D,MATCH(J205&amp;K205,_courses_lookup!$E:$E,0)),"")</f>
        <v/>
      </c>
      <c r="AD205" t="str">
        <f t="shared" si="24"/>
        <v/>
      </c>
      <c r="AG205" t="str">
        <f t="shared" si="25"/>
        <v/>
      </c>
      <c r="AI205" t="str">
        <f t="shared" si="26"/>
        <v/>
      </c>
      <c r="AK205" t="str">
        <f t="shared" si="27"/>
        <v/>
      </c>
      <c r="AL205" t="str">
        <f t="shared" si="28"/>
        <v/>
      </c>
      <c r="AM205" t="str">
        <f t="shared" si="29"/>
        <v/>
      </c>
      <c r="AX205" t="str">
        <f t="shared" si="30"/>
        <v/>
      </c>
      <c r="AY205" t="str">
        <f t="shared" si="31"/>
        <v/>
      </c>
      <c r="BB205" t="s">
        <v>282</v>
      </c>
      <c r="BC205" t="str">
        <f>IFERROR(INDEX(_names_lookup!$C:$C,MATCH(BB205,_names_lookup!$A:$A,0)),"")</f>
        <v>bentancur@andrews.edu</v>
      </c>
      <c r="BD205" t="str">
        <f>IFERROR(INDEX(_names_lookup!$B:$B,MATCH(BB205,_names_lookup!$A:$A,0)),"")</f>
        <v>000193021</v>
      </c>
    </row>
    <row r="206" spans="8:56" x14ac:dyDescent="0.2">
      <c r="H206" t="s">
        <v>1385</v>
      </c>
      <c r="I206" t="s">
        <v>1386</v>
      </c>
      <c r="N206" t="str">
        <f>IFERROR(INDEX(_courses_lookup!$C:$C,MATCH(J206&amp;K206,_courses_lookup!$E:$E,0)),"")</f>
        <v/>
      </c>
      <c r="O206" t="str">
        <f>IFERROR(INDEX(_courses_lookup!$D:$D,MATCH(J206&amp;K206,_courses_lookup!$E:$E,0)),"")</f>
        <v/>
      </c>
      <c r="AD206" t="str">
        <f t="shared" si="24"/>
        <v/>
      </c>
      <c r="AG206" t="str">
        <f t="shared" si="25"/>
        <v/>
      </c>
      <c r="AI206" t="str">
        <f t="shared" si="26"/>
        <v/>
      </c>
      <c r="AK206" t="str">
        <f t="shared" si="27"/>
        <v/>
      </c>
      <c r="AL206" t="str">
        <f t="shared" si="28"/>
        <v/>
      </c>
      <c r="AM206" t="str">
        <f t="shared" si="29"/>
        <v/>
      </c>
      <c r="AX206" t="str">
        <f t="shared" si="30"/>
        <v/>
      </c>
      <c r="AY206" t="str">
        <f t="shared" si="31"/>
        <v/>
      </c>
      <c r="BB206" t="s">
        <v>334</v>
      </c>
      <c r="BC206" t="str">
        <f>IFERROR(INDEX(_names_lookup!$C:$C,MATCH(BB206,_names_lookup!$A:$A,0)),"")</f>
        <v>large@andrews.edu</v>
      </c>
      <c r="BD206" t="str">
        <f>IFERROR(INDEX(_names_lookup!$B:$B,MATCH(BB206,_names_lookup!$A:$A,0)),"")</f>
        <v>000133676</v>
      </c>
    </row>
    <row r="207" spans="8:56" x14ac:dyDescent="0.2">
      <c r="H207" t="s">
        <v>1387</v>
      </c>
      <c r="I207" t="s">
        <v>931</v>
      </c>
      <c r="N207" t="str">
        <f>IFERROR(INDEX(_courses_lookup!$C:$C,MATCH(J207&amp;K207,_courses_lookup!$E:$E,0)),"")</f>
        <v/>
      </c>
      <c r="O207" t="str">
        <f>IFERROR(INDEX(_courses_lookup!$D:$D,MATCH(J207&amp;K207,_courses_lookup!$E:$E,0)),"")</f>
        <v/>
      </c>
      <c r="AD207" t="str">
        <f t="shared" si="24"/>
        <v/>
      </c>
      <c r="AG207" t="str">
        <f t="shared" si="25"/>
        <v/>
      </c>
      <c r="AI207" t="str">
        <f t="shared" si="26"/>
        <v/>
      </c>
      <c r="AK207" t="str">
        <f t="shared" si="27"/>
        <v/>
      </c>
      <c r="AL207" t="str">
        <f t="shared" si="28"/>
        <v/>
      </c>
      <c r="AM207" t="str">
        <f t="shared" si="29"/>
        <v/>
      </c>
      <c r="AX207" t="str">
        <f t="shared" si="30"/>
        <v/>
      </c>
      <c r="AY207" t="str">
        <f t="shared" si="31"/>
        <v/>
      </c>
      <c r="BB207" t="s">
        <v>283</v>
      </c>
      <c r="BC207" t="str">
        <f>IFERROR(INDEX(_names_lookup!$C:$C,MATCH(BB207,_names_lookup!$A:$A,0)),"")</f>
        <v>canale@andrews.edu</v>
      </c>
      <c r="BD207" t="str">
        <f>IFERROR(INDEX(_names_lookup!$B:$B,MATCH(BB207,_names_lookup!$A:$A,0)),"")</f>
        <v>000033285</v>
      </c>
    </row>
    <row r="208" spans="8:56" x14ac:dyDescent="0.2">
      <c r="H208" t="s">
        <v>1388</v>
      </c>
      <c r="I208" t="s">
        <v>1389</v>
      </c>
      <c r="N208" t="str">
        <f>IFERROR(INDEX(_courses_lookup!$C:$C,MATCH(J208&amp;K208,_courses_lookup!$E:$E,0)),"")</f>
        <v/>
      </c>
      <c r="O208" t="str">
        <f>IFERROR(INDEX(_courses_lookup!$D:$D,MATCH(J208&amp;K208,_courses_lookup!$E:$E,0)),"")</f>
        <v/>
      </c>
      <c r="AD208" t="str">
        <f t="shared" si="24"/>
        <v/>
      </c>
      <c r="AG208" t="str">
        <f t="shared" si="25"/>
        <v/>
      </c>
      <c r="AI208" t="str">
        <f t="shared" si="26"/>
        <v/>
      </c>
      <c r="AK208" t="str">
        <f t="shared" si="27"/>
        <v/>
      </c>
      <c r="AL208" t="str">
        <f t="shared" si="28"/>
        <v/>
      </c>
      <c r="AM208" t="str">
        <f t="shared" si="29"/>
        <v/>
      </c>
      <c r="AX208" t="str">
        <f t="shared" si="30"/>
        <v/>
      </c>
      <c r="AY208" t="str">
        <f t="shared" si="31"/>
        <v/>
      </c>
      <c r="BB208" t="s">
        <v>284</v>
      </c>
      <c r="BC208" t="str">
        <f>IFERROR(INDEX(_names_lookup!$C:$C,MATCH(BB208,_names_lookup!$A:$A,0)),"")</f>
        <v>covrig@andrews.edu</v>
      </c>
      <c r="BD208" t="str">
        <f>IFERROR(INDEX(_names_lookup!$B:$B,MATCH(BB208,_names_lookup!$A:$A,0)),"")</f>
        <v>000125642</v>
      </c>
    </row>
    <row r="209" spans="8:56" x14ac:dyDescent="0.2">
      <c r="H209" t="s">
        <v>1390</v>
      </c>
      <c r="I209" t="s">
        <v>1391</v>
      </c>
      <c r="N209" t="str">
        <f>IFERROR(INDEX(_courses_lookup!$C:$C,MATCH(J209&amp;K209,_courses_lookup!$E:$E,0)),"")</f>
        <v/>
      </c>
      <c r="O209" t="str">
        <f>IFERROR(INDEX(_courses_lookup!$D:$D,MATCH(J209&amp;K209,_courses_lookup!$E:$E,0)),"")</f>
        <v/>
      </c>
      <c r="AD209" t="str">
        <f t="shared" si="24"/>
        <v/>
      </c>
      <c r="AG209" t="str">
        <f t="shared" si="25"/>
        <v/>
      </c>
      <c r="AI209" t="str">
        <f t="shared" si="26"/>
        <v/>
      </c>
      <c r="AK209" t="str">
        <f t="shared" si="27"/>
        <v/>
      </c>
      <c r="AL209" t="str">
        <f t="shared" si="28"/>
        <v/>
      </c>
      <c r="AM209" t="str">
        <f t="shared" si="29"/>
        <v/>
      </c>
      <c r="AX209" t="str">
        <f t="shared" si="30"/>
        <v/>
      </c>
      <c r="AY209" t="str">
        <f t="shared" si="31"/>
        <v/>
      </c>
      <c r="BB209" t="s">
        <v>285</v>
      </c>
      <c r="BC209" t="str">
        <f>IFERROR(INDEX(_names_lookup!$C:$C,MATCH(BB209,_names_lookup!$A:$A,0)),"")</f>
        <v>dei@andrews.edu</v>
      </c>
      <c r="BD209" t="str">
        <f>IFERROR(INDEX(_names_lookup!$B:$B,MATCH(BB209,_names_lookup!$A:$A,0)),"")</f>
        <v>000214349</v>
      </c>
    </row>
    <row r="210" spans="8:56" x14ac:dyDescent="0.2">
      <c r="H210" t="s">
        <v>1392</v>
      </c>
      <c r="I210" t="s">
        <v>1393</v>
      </c>
      <c r="N210" t="str">
        <f>IFERROR(INDEX(_courses_lookup!$C:$C,MATCH(J210&amp;K210,_courses_lookup!$E:$E,0)),"")</f>
        <v/>
      </c>
      <c r="O210" t="str">
        <f>IFERROR(INDEX(_courses_lookup!$D:$D,MATCH(J210&amp;K210,_courses_lookup!$E:$E,0)),"")</f>
        <v/>
      </c>
      <c r="AD210" t="str">
        <f t="shared" si="24"/>
        <v/>
      </c>
      <c r="AG210" t="str">
        <f t="shared" si="25"/>
        <v/>
      </c>
      <c r="AI210" t="str">
        <f t="shared" si="26"/>
        <v/>
      </c>
      <c r="AK210" t="str">
        <f t="shared" si="27"/>
        <v/>
      </c>
      <c r="AL210" t="str">
        <f t="shared" si="28"/>
        <v/>
      </c>
      <c r="AM210" t="str">
        <f t="shared" si="29"/>
        <v/>
      </c>
      <c r="AX210" t="str">
        <f t="shared" si="30"/>
        <v/>
      </c>
      <c r="AY210" t="str">
        <f t="shared" si="31"/>
        <v/>
      </c>
      <c r="BB210" t="s">
        <v>286</v>
      </c>
      <c r="BC210" t="str">
        <f>IFERROR(INDEX(_names_lookup!$C:$C,MATCH(BB210,_names_lookup!$A:$A,0)),"")</f>
        <v>drewa@andrews.edu</v>
      </c>
      <c r="BD210" t="str">
        <f>IFERROR(INDEX(_names_lookup!$B:$B,MATCH(BB210,_names_lookup!$A:$A,0)),"")</f>
        <v>000043384</v>
      </c>
    </row>
    <row r="211" spans="8:56" x14ac:dyDescent="0.2">
      <c r="H211" t="s">
        <v>1394</v>
      </c>
      <c r="I211" t="s">
        <v>1395</v>
      </c>
      <c r="N211" t="str">
        <f>IFERROR(INDEX(_courses_lookup!$C:$C,MATCH(J211&amp;K211,_courses_lookup!$E:$E,0)),"")</f>
        <v/>
      </c>
      <c r="O211" t="str">
        <f>IFERROR(INDEX(_courses_lookup!$D:$D,MATCH(J211&amp;K211,_courses_lookup!$E:$E,0)),"")</f>
        <v/>
      </c>
      <c r="AD211" t="str">
        <f t="shared" si="24"/>
        <v/>
      </c>
      <c r="AG211" t="str">
        <f t="shared" si="25"/>
        <v/>
      </c>
      <c r="AI211" t="str">
        <f t="shared" si="26"/>
        <v/>
      </c>
      <c r="AK211" t="str">
        <f t="shared" si="27"/>
        <v/>
      </c>
      <c r="AL211" t="str">
        <f t="shared" si="28"/>
        <v/>
      </c>
      <c r="AM211" t="str">
        <f t="shared" si="29"/>
        <v/>
      </c>
      <c r="AX211" t="str">
        <f t="shared" si="30"/>
        <v/>
      </c>
      <c r="AY211" t="str">
        <f t="shared" si="31"/>
        <v/>
      </c>
      <c r="BB211" t="s">
        <v>287</v>
      </c>
      <c r="BC211" t="str">
        <f>IFERROR(INDEX(_names_lookup!$C:$C,MATCH(BB211,_names_lookup!$A:$A,0)),"")</f>
        <v>dupera@andrews.edu</v>
      </c>
      <c r="BD211" t="str">
        <f>IFERROR(INDEX(_names_lookup!$B:$B,MATCH(BB211,_names_lookup!$A:$A,0)),"")</f>
        <v>000001928</v>
      </c>
    </row>
    <row r="212" spans="8:56" x14ac:dyDescent="0.2">
      <c r="H212" t="s">
        <v>1396</v>
      </c>
      <c r="I212" t="s">
        <v>938</v>
      </c>
      <c r="N212" t="str">
        <f>IFERROR(INDEX(_courses_lookup!$C:$C,MATCH(J212&amp;K212,_courses_lookup!$E:$E,0)),"")</f>
        <v/>
      </c>
      <c r="O212" t="str">
        <f>IFERROR(INDEX(_courses_lookup!$D:$D,MATCH(J212&amp;K212,_courses_lookup!$E:$E,0)),"")</f>
        <v/>
      </c>
      <c r="AD212" t="str">
        <f t="shared" si="24"/>
        <v/>
      </c>
      <c r="AG212" t="str">
        <f t="shared" si="25"/>
        <v/>
      </c>
      <c r="AI212" t="str">
        <f t="shared" si="26"/>
        <v/>
      </c>
      <c r="AK212" t="str">
        <f t="shared" si="27"/>
        <v/>
      </c>
      <c r="AL212" t="str">
        <f t="shared" si="28"/>
        <v/>
      </c>
      <c r="AM212" t="str">
        <f t="shared" si="29"/>
        <v/>
      </c>
      <c r="AX212" t="str">
        <f t="shared" si="30"/>
        <v/>
      </c>
      <c r="AY212" t="str">
        <f t="shared" si="31"/>
        <v/>
      </c>
      <c r="BB212" t="s">
        <v>288</v>
      </c>
      <c r="BC212" t="str">
        <f>IFERROR(INDEX(_names_lookup!$C:$C,MATCH(BB212,_names_lookup!$A:$A,0)),"")</f>
        <v>duranroyo@andrews.edu</v>
      </c>
      <c r="BD212" t="str">
        <f>IFERROR(INDEX(_names_lookup!$B:$B,MATCH(BB212,_names_lookup!$A:$A,0)),"")</f>
        <v>000210558</v>
      </c>
    </row>
    <row r="213" spans="8:56" x14ac:dyDescent="0.2">
      <c r="H213" t="s">
        <v>1397</v>
      </c>
      <c r="I213" t="s">
        <v>946</v>
      </c>
      <c r="N213" t="str">
        <f>IFERROR(INDEX(_courses_lookup!$C:$C,MATCH(J213&amp;K213,_courses_lookup!$E:$E,0)),"")</f>
        <v/>
      </c>
      <c r="O213" t="str">
        <f>IFERROR(INDEX(_courses_lookup!$D:$D,MATCH(J213&amp;K213,_courses_lookup!$E:$E,0)),"")</f>
        <v/>
      </c>
      <c r="AD213" t="str">
        <f t="shared" si="24"/>
        <v/>
      </c>
      <c r="AG213" t="str">
        <f t="shared" si="25"/>
        <v/>
      </c>
      <c r="AI213" t="str">
        <f t="shared" si="26"/>
        <v/>
      </c>
      <c r="AK213" t="str">
        <f t="shared" si="27"/>
        <v/>
      </c>
      <c r="AL213" t="str">
        <f t="shared" si="28"/>
        <v/>
      </c>
      <c r="AM213" t="str">
        <f t="shared" si="29"/>
        <v/>
      </c>
      <c r="AX213" t="str">
        <f t="shared" si="30"/>
        <v/>
      </c>
      <c r="AY213" t="str">
        <f t="shared" si="31"/>
        <v/>
      </c>
      <c r="BB213" t="s">
        <v>289</v>
      </c>
      <c r="BC213" t="str">
        <f>IFERROR(INDEX(_names_lookup!$C:$C,MATCH(BB213,_names_lookup!$A:$A,0)),"")</f>
        <v>gibbsn@andrews.edu</v>
      </c>
      <c r="BD213" t="str">
        <f>IFERROR(INDEX(_names_lookup!$B:$B,MATCH(BB213,_names_lookup!$A:$A,0)),"")</f>
        <v>000146529</v>
      </c>
    </row>
    <row r="214" spans="8:56" x14ac:dyDescent="0.2">
      <c r="H214" t="s">
        <v>1398</v>
      </c>
      <c r="I214" t="s">
        <v>953</v>
      </c>
      <c r="N214" t="str">
        <f>IFERROR(INDEX(_courses_lookup!$C:$C,MATCH(J214&amp;K214,_courses_lookup!$E:$E,0)),"")</f>
        <v/>
      </c>
      <c r="O214" t="str">
        <f>IFERROR(INDEX(_courses_lookup!$D:$D,MATCH(J214&amp;K214,_courses_lookup!$E:$E,0)),"")</f>
        <v/>
      </c>
      <c r="AD214" t="str">
        <f t="shared" si="24"/>
        <v/>
      </c>
      <c r="AG214" t="str">
        <f t="shared" si="25"/>
        <v/>
      </c>
      <c r="AI214" t="str">
        <f t="shared" si="26"/>
        <v/>
      </c>
      <c r="AK214" t="str">
        <f t="shared" si="27"/>
        <v/>
      </c>
      <c r="AL214" t="str">
        <f t="shared" si="28"/>
        <v/>
      </c>
      <c r="AM214" t="str">
        <f t="shared" si="29"/>
        <v/>
      </c>
      <c r="AX214" t="str">
        <f t="shared" si="30"/>
        <v/>
      </c>
      <c r="AY214" t="str">
        <f t="shared" si="31"/>
        <v/>
      </c>
      <c r="BB214" t="s">
        <v>290</v>
      </c>
      <c r="BC214" t="str">
        <f>IFERROR(INDEX(_names_lookup!$C:$C,MATCH(BB214,_names_lookup!$A:$A,0)),"")</f>
        <v>mhanna@andrews.edu</v>
      </c>
      <c r="BD214" t="str">
        <f>IFERROR(INDEX(_names_lookup!$B:$B,MATCH(BB214,_names_lookup!$A:$A,0)),"")</f>
        <v>000057080</v>
      </c>
    </row>
    <row r="215" spans="8:56" x14ac:dyDescent="0.2">
      <c r="H215" t="s">
        <v>1399</v>
      </c>
      <c r="I215" t="s">
        <v>961</v>
      </c>
      <c r="N215" t="str">
        <f>IFERROR(INDEX(_courses_lookup!$C:$C,MATCH(J215&amp;K215,_courses_lookup!$E:$E,0)),"")</f>
        <v/>
      </c>
      <c r="O215" t="str">
        <f>IFERROR(INDEX(_courses_lookup!$D:$D,MATCH(J215&amp;K215,_courses_lookup!$E:$E,0)),"")</f>
        <v/>
      </c>
      <c r="AD215" t="str">
        <f t="shared" si="24"/>
        <v/>
      </c>
      <c r="AG215" t="str">
        <f t="shared" si="25"/>
        <v/>
      </c>
      <c r="AI215" t="str">
        <f t="shared" si="26"/>
        <v/>
      </c>
      <c r="AK215" t="str">
        <f t="shared" si="27"/>
        <v/>
      </c>
      <c r="AL215" t="str">
        <f t="shared" si="28"/>
        <v/>
      </c>
      <c r="AM215" t="str">
        <f t="shared" si="29"/>
        <v/>
      </c>
      <c r="AX215" t="str">
        <f t="shared" si="30"/>
        <v/>
      </c>
      <c r="AY215" t="str">
        <f t="shared" si="31"/>
        <v/>
      </c>
      <c r="BB215" t="s">
        <v>291</v>
      </c>
      <c r="BC215" t="str">
        <f>IFERROR(INDEX(_names_lookup!$C:$C,MATCH(BB215,_names_lookup!$A:$A,0)),"")</f>
        <v>darius@andrews.edu</v>
      </c>
      <c r="BD215" t="str">
        <f>IFERROR(INDEX(_names_lookup!$B:$B,MATCH(BB215,_names_lookup!$A:$A,0)),"")</f>
        <v>000069427</v>
      </c>
    </row>
    <row r="216" spans="8:56" x14ac:dyDescent="0.2">
      <c r="H216" t="s">
        <v>1400</v>
      </c>
      <c r="I216" t="s">
        <v>1401</v>
      </c>
      <c r="N216" t="str">
        <f>IFERROR(INDEX(_courses_lookup!$C:$C,MATCH(J216&amp;K216,_courses_lookup!$E:$E,0)),"")</f>
        <v/>
      </c>
      <c r="O216" t="str">
        <f>IFERROR(INDEX(_courses_lookup!$D:$D,MATCH(J216&amp;K216,_courses_lookup!$E:$E,0)),"")</f>
        <v/>
      </c>
      <c r="AD216" t="str">
        <f t="shared" si="24"/>
        <v/>
      </c>
      <c r="AG216" t="str">
        <f t="shared" si="25"/>
        <v/>
      </c>
      <c r="AI216" t="str">
        <f t="shared" si="26"/>
        <v/>
      </c>
      <c r="AK216" t="str">
        <f t="shared" si="27"/>
        <v/>
      </c>
      <c r="AL216" t="str">
        <f t="shared" si="28"/>
        <v/>
      </c>
      <c r="AM216" t="str">
        <f t="shared" si="29"/>
        <v/>
      </c>
      <c r="AX216" t="str">
        <f t="shared" si="30"/>
        <v/>
      </c>
      <c r="AY216" t="str">
        <f t="shared" si="31"/>
        <v/>
      </c>
      <c r="BB216" t="s">
        <v>350</v>
      </c>
      <c r="BC216" t="str">
        <f>IFERROR(INDEX(_names_lookup!$C:$C,MATCH(BB216,_names_lookup!$A:$A,0)),"")</f>
        <v>jeroncic@andrews.edu</v>
      </c>
      <c r="BD216" t="str">
        <f>IFERROR(INDEX(_names_lookup!$B:$B,MATCH(BB216,_names_lookup!$A:$A,0)),"")</f>
        <v>000066942</v>
      </c>
    </row>
    <row r="217" spans="8:56" x14ac:dyDescent="0.2">
      <c r="H217" t="s">
        <v>1402</v>
      </c>
      <c r="I217" t="s">
        <v>1403</v>
      </c>
      <c r="N217" t="str">
        <f>IFERROR(INDEX(_courses_lookup!$C:$C,MATCH(J217&amp;K217,_courses_lookup!$E:$E,0)),"")</f>
        <v/>
      </c>
      <c r="O217" t="str">
        <f>IFERROR(INDEX(_courses_lookup!$D:$D,MATCH(J217&amp;K217,_courses_lookup!$E:$E,0)),"")</f>
        <v/>
      </c>
      <c r="AD217" t="str">
        <f t="shared" si="24"/>
        <v/>
      </c>
      <c r="AG217" t="str">
        <f t="shared" si="25"/>
        <v/>
      </c>
      <c r="AI217" t="str">
        <f t="shared" si="26"/>
        <v/>
      </c>
      <c r="AK217" t="str">
        <f t="shared" si="27"/>
        <v/>
      </c>
      <c r="AL217" t="str">
        <f t="shared" si="28"/>
        <v/>
      </c>
      <c r="AM217" t="str">
        <f t="shared" si="29"/>
        <v/>
      </c>
      <c r="AX217" t="str">
        <f t="shared" si="30"/>
        <v/>
      </c>
      <c r="AY217" t="str">
        <f t="shared" si="31"/>
        <v/>
      </c>
      <c r="BB217" t="s">
        <v>292</v>
      </c>
      <c r="BC217">
        <f>IFERROR(INDEX(_names_lookup!$C:$C,MATCH(BB217,_names_lookup!$A:$A,0)),"")</f>
        <v>0</v>
      </c>
      <c r="BD217" t="str">
        <f>IFERROR(INDEX(_names_lookup!$B:$B,MATCH(BB217,_names_lookup!$A:$A,0)),"")</f>
        <v>000022704</v>
      </c>
    </row>
    <row r="218" spans="8:56" x14ac:dyDescent="0.2">
      <c r="H218" t="s">
        <v>1404</v>
      </c>
      <c r="I218" t="s">
        <v>1405</v>
      </c>
      <c r="N218" t="str">
        <f>IFERROR(INDEX(_courses_lookup!$C:$C,MATCH(J218&amp;K218,_courses_lookup!$E:$E,0)),"")</f>
        <v/>
      </c>
      <c r="O218" t="str">
        <f>IFERROR(INDEX(_courses_lookup!$D:$D,MATCH(J218&amp;K218,_courses_lookup!$E:$E,0)),"")</f>
        <v/>
      </c>
      <c r="AD218" t="str">
        <f t="shared" si="24"/>
        <v/>
      </c>
      <c r="AG218" t="str">
        <f t="shared" si="25"/>
        <v/>
      </c>
      <c r="AI218" t="str">
        <f t="shared" si="26"/>
        <v/>
      </c>
      <c r="AK218" t="str">
        <f t="shared" si="27"/>
        <v/>
      </c>
      <c r="AL218" t="str">
        <f t="shared" si="28"/>
        <v/>
      </c>
      <c r="AM218" t="str">
        <f t="shared" si="29"/>
        <v/>
      </c>
      <c r="AX218" t="str">
        <f t="shared" si="30"/>
        <v/>
      </c>
      <c r="AY218" t="str">
        <f t="shared" si="31"/>
        <v/>
      </c>
      <c r="BB218" t="s">
        <v>293</v>
      </c>
      <c r="BC218" t="str">
        <f>IFERROR(INDEX(_names_lookup!$C:$C,MATCH(BB218,_names_lookup!$A:$A,0)),"")</f>
        <v>kormos@andrews.edu</v>
      </c>
      <c r="BD218" t="str">
        <f>IFERROR(INDEX(_names_lookup!$B:$B,MATCH(BB218,_names_lookup!$A:$A,0)),"")</f>
        <v>000207932</v>
      </c>
    </row>
    <row r="219" spans="8:56" x14ac:dyDescent="0.2">
      <c r="H219" t="s">
        <v>1406</v>
      </c>
      <c r="I219" t="s">
        <v>1407</v>
      </c>
      <c r="N219" t="str">
        <f>IFERROR(INDEX(_courses_lookup!$C:$C,MATCH(J219&amp;K219,_courses_lookup!$E:$E,0)),"")</f>
        <v/>
      </c>
      <c r="O219" t="str">
        <f>IFERROR(INDEX(_courses_lookup!$D:$D,MATCH(J219&amp;K219,_courses_lookup!$E:$E,0)),"")</f>
        <v/>
      </c>
      <c r="AD219" t="str">
        <f t="shared" si="24"/>
        <v/>
      </c>
      <c r="AG219" t="str">
        <f t="shared" si="25"/>
        <v/>
      </c>
      <c r="AI219" t="str">
        <f t="shared" si="26"/>
        <v/>
      </c>
      <c r="AK219" t="str">
        <f t="shared" si="27"/>
        <v/>
      </c>
      <c r="AL219" t="str">
        <f t="shared" si="28"/>
        <v/>
      </c>
      <c r="AM219" t="str">
        <f t="shared" si="29"/>
        <v/>
      </c>
      <c r="AX219" t="str">
        <f t="shared" si="30"/>
        <v/>
      </c>
      <c r="AY219" t="str">
        <f t="shared" si="31"/>
        <v/>
      </c>
      <c r="BB219" t="s">
        <v>294</v>
      </c>
      <c r="BC219" t="str">
        <f>IFERROR(INDEX(_names_lookup!$C:$C,MATCH(BB219,_names_lookup!$A:$A,0)),"")</f>
        <v>koval@andrews.edu</v>
      </c>
      <c r="BD219" t="str">
        <f>IFERROR(INDEX(_names_lookup!$B:$B,MATCH(BB219,_names_lookup!$A:$A,0)),"")</f>
        <v>000163303</v>
      </c>
    </row>
    <row r="220" spans="8:56" x14ac:dyDescent="0.2">
      <c r="H220" t="s">
        <v>1408</v>
      </c>
      <c r="I220" t="s">
        <v>1409</v>
      </c>
      <c r="N220" t="str">
        <f>IFERROR(INDEX(_courses_lookup!$C:$C,MATCH(J220&amp;K220,_courses_lookup!$E:$E,0)),"")</f>
        <v/>
      </c>
      <c r="O220" t="str">
        <f>IFERROR(INDEX(_courses_lookup!$D:$D,MATCH(J220&amp;K220,_courses_lookup!$E:$E,0)),"")</f>
        <v/>
      </c>
      <c r="AD220" t="str">
        <f t="shared" si="24"/>
        <v/>
      </c>
      <c r="AG220" t="str">
        <f t="shared" si="25"/>
        <v/>
      </c>
      <c r="AI220" t="str">
        <f t="shared" si="26"/>
        <v/>
      </c>
      <c r="AK220" t="str">
        <f t="shared" si="27"/>
        <v/>
      </c>
      <c r="AL220" t="str">
        <f t="shared" si="28"/>
        <v/>
      </c>
      <c r="AM220" t="str">
        <f t="shared" si="29"/>
        <v/>
      </c>
      <c r="AX220" t="str">
        <f t="shared" si="30"/>
        <v/>
      </c>
      <c r="AY220" t="str">
        <f t="shared" si="31"/>
        <v/>
      </c>
      <c r="BB220" t="s">
        <v>295</v>
      </c>
      <c r="BC220" t="str">
        <f>IFERROR(INDEX(_names_lookup!$C:$C,MATCH(BB220,_names_lookup!$A:$A,0)),"")</f>
        <v>jpeckham@andrews.edu</v>
      </c>
      <c r="BD220" t="str">
        <f>IFERROR(INDEX(_names_lookup!$B:$B,MATCH(BB220,_names_lookup!$A:$A,0)),"")</f>
        <v>000116996</v>
      </c>
    </row>
    <row r="221" spans="8:56" x14ac:dyDescent="0.2">
      <c r="H221" t="s">
        <v>1410</v>
      </c>
      <c r="I221" t="s">
        <v>1411</v>
      </c>
      <c r="N221" t="str">
        <f>IFERROR(INDEX(_courses_lookup!$C:$C,MATCH(J221&amp;K221,_courses_lookup!$E:$E,0)),"")</f>
        <v/>
      </c>
      <c r="O221" t="str">
        <f>IFERROR(INDEX(_courses_lookup!$D:$D,MATCH(J221&amp;K221,_courses_lookup!$E:$E,0)),"")</f>
        <v/>
      </c>
      <c r="AD221" t="str">
        <f t="shared" si="24"/>
        <v/>
      </c>
      <c r="AG221" t="str">
        <f t="shared" si="25"/>
        <v/>
      </c>
      <c r="AI221" t="str">
        <f t="shared" si="26"/>
        <v/>
      </c>
      <c r="AK221" t="str">
        <f t="shared" si="27"/>
        <v/>
      </c>
      <c r="AL221" t="str">
        <f t="shared" si="28"/>
        <v/>
      </c>
      <c r="AM221" t="str">
        <f t="shared" si="29"/>
        <v/>
      </c>
      <c r="AX221" t="str">
        <f t="shared" si="30"/>
        <v/>
      </c>
      <c r="AY221" t="str">
        <f t="shared" si="31"/>
        <v/>
      </c>
      <c r="BB221" t="s">
        <v>296</v>
      </c>
      <c r="BC221" t="str">
        <f>IFERROR(INDEX(_names_lookup!$C:$C,MATCH(BB221,_names_lookup!$A:$A,0)),"")</f>
        <v>zplantak@andrews.edu</v>
      </c>
      <c r="BD221" t="str">
        <f>IFERROR(INDEX(_names_lookup!$B:$B,MATCH(BB221,_names_lookup!$A:$A,0)),"")</f>
        <v>000104055</v>
      </c>
    </row>
    <row r="222" spans="8:56" x14ac:dyDescent="0.2">
      <c r="H222" t="s">
        <v>1412</v>
      </c>
      <c r="I222" t="s">
        <v>1413</v>
      </c>
      <c r="N222" t="str">
        <f>IFERROR(INDEX(_courses_lookup!$C:$C,MATCH(J222&amp;K222,_courses_lookup!$E:$E,0)),"")</f>
        <v/>
      </c>
      <c r="O222" t="str">
        <f>IFERROR(INDEX(_courses_lookup!$D:$D,MATCH(J222&amp;K222,_courses_lookup!$E:$E,0)),"")</f>
        <v/>
      </c>
      <c r="AD222" t="str">
        <f t="shared" si="24"/>
        <v/>
      </c>
      <c r="AG222" t="str">
        <f t="shared" si="25"/>
        <v/>
      </c>
      <c r="AI222" t="str">
        <f t="shared" si="26"/>
        <v/>
      </c>
      <c r="AK222" t="str">
        <f t="shared" si="27"/>
        <v/>
      </c>
      <c r="AL222" t="str">
        <f t="shared" si="28"/>
        <v/>
      </c>
      <c r="AM222" t="str">
        <f t="shared" si="29"/>
        <v/>
      </c>
      <c r="AX222" t="str">
        <f t="shared" si="30"/>
        <v/>
      </c>
      <c r="AY222" t="str">
        <f t="shared" si="31"/>
        <v/>
      </c>
      <c r="BB222" t="s">
        <v>297</v>
      </c>
      <c r="BC222" t="str">
        <f>IFERROR(INDEX(_names_lookup!$C:$C,MATCH(BB222,_names_lookup!$A:$A,0)),"")</f>
        <v>razmerita@andrews.edu</v>
      </c>
      <c r="BD222" t="str">
        <f>IFERROR(INDEX(_names_lookup!$B:$B,MATCH(BB222,_names_lookup!$A:$A,0)),"")</f>
        <v>000087063</v>
      </c>
    </row>
    <row r="223" spans="8:56" x14ac:dyDescent="0.2">
      <c r="H223" t="s">
        <v>1414</v>
      </c>
      <c r="I223" t="s">
        <v>1415</v>
      </c>
      <c r="N223" t="str">
        <f>IFERROR(INDEX(_courses_lookup!$C:$C,MATCH(J223&amp;K223,_courses_lookup!$E:$E,0)),"")</f>
        <v/>
      </c>
      <c r="O223" t="str">
        <f>IFERROR(INDEX(_courses_lookup!$D:$D,MATCH(J223&amp;K223,_courses_lookup!$E:$E,0)),"")</f>
        <v/>
      </c>
      <c r="AD223" t="str">
        <f t="shared" si="24"/>
        <v/>
      </c>
      <c r="AG223" t="str">
        <f t="shared" si="25"/>
        <v/>
      </c>
      <c r="AI223" t="str">
        <f t="shared" si="26"/>
        <v/>
      </c>
      <c r="AK223" t="str">
        <f t="shared" si="27"/>
        <v/>
      </c>
      <c r="AL223" t="str">
        <f t="shared" si="28"/>
        <v/>
      </c>
      <c r="AM223" t="str">
        <f t="shared" si="29"/>
        <v/>
      </c>
      <c r="AX223" t="str">
        <f t="shared" si="30"/>
        <v/>
      </c>
      <c r="AY223" t="str">
        <f t="shared" si="31"/>
        <v/>
      </c>
      <c r="BB223" t="s">
        <v>298</v>
      </c>
      <c r="BC223" t="str">
        <f>IFERROR(INDEX(_names_lookup!$C:$C,MATCH(BB223,_names_lookup!$A:$A,0)),"")</f>
        <v>adriani@andrews.edu</v>
      </c>
      <c r="BD223" t="str">
        <f>IFERROR(INDEX(_names_lookup!$B:$B,MATCH(BB223,_names_lookup!$A:$A,0)),"")</f>
        <v>000145425</v>
      </c>
    </row>
    <row r="224" spans="8:56" x14ac:dyDescent="0.2">
      <c r="H224" t="s">
        <v>1416</v>
      </c>
      <c r="I224" t="s">
        <v>967</v>
      </c>
      <c r="N224" t="str">
        <f>IFERROR(INDEX(_courses_lookup!$C:$C,MATCH(J224&amp;K224,_courses_lookup!$E:$E,0)),"")</f>
        <v/>
      </c>
      <c r="O224" t="str">
        <f>IFERROR(INDEX(_courses_lookup!$D:$D,MATCH(J224&amp;K224,_courses_lookup!$E:$E,0)),"")</f>
        <v/>
      </c>
      <c r="AD224" t="str">
        <f t="shared" si="24"/>
        <v/>
      </c>
      <c r="AG224" t="str">
        <f t="shared" si="25"/>
        <v/>
      </c>
      <c r="AI224" t="str">
        <f t="shared" si="26"/>
        <v/>
      </c>
      <c r="AK224" t="str">
        <f t="shared" si="27"/>
        <v/>
      </c>
      <c r="AL224" t="str">
        <f t="shared" si="28"/>
        <v/>
      </c>
      <c r="AM224" t="str">
        <f t="shared" si="29"/>
        <v/>
      </c>
      <c r="AX224" t="str">
        <f t="shared" si="30"/>
        <v/>
      </c>
      <c r="AY224" t="str">
        <f t="shared" si="31"/>
        <v/>
      </c>
      <c r="BB224" t="s">
        <v>299</v>
      </c>
      <c r="BC224" t="str">
        <f>IFERROR(INDEX(_names_lookup!$C:$C,MATCH(BB224,_names_lookup!$A:$A,0)),"")</f>
        <v>sciarabb@andrews.edu</v>
      </c>
      <c r="BD224" t="str">
        <f>IFERROR(INDEX(_names_lookup!$B:$B,MATCH(BB224,_names_lookup!$A:$A,0)),"")</f>
        <v>000138600</v>
      </c>
    </row>
    <row r="225" spans="8:56" x14ac:dyDescent="0.2">
      <c r="H225" t="s">
        <v>1417</v>
      </c>
      <c r="I225" t="s">
        <v>1418</v>
      </c>
      <c r="N225" t="str">
        <f>IFERROR(INDEX(_courses_lookup!$C:$C,MATCH(J225&amp;K225,_courses_lookup!$E:$E,0)),"")</f>
        <v/>
      </c>
      <c r="O225" t="str">
        <f>IFERROR(INDEX(_courses_lookup!$D:$D,MATCH(J225&amp;K225,_courses_lookup!$E:$E,0)),"")</f>
        <v/>
      </c>
      <c r="AD225" t="str">
        <f t="shared" si="24"/>
        <v/>
      </c>
      <c r="AG225" t="str">
        <f t="shared" si="25"/>
        <v/>
      </c>
      <c r="AI225" t="str">
        <f t="shared" si="26"/>
        <v/>
      </c>
      <c r="AK225" t="str">
        <f t="shared" si="27"/>
        <v/>
      </c>
      <c r="AL225" t="str">
        <f t="shared" si="28"/>
        <v/>
      </c>
      <c r="AM225" t="str">
        <f t="shared" si="29"/>
        <v/>
      </c>
      <c r="AX225" t="str">
        <f t="shared" si="30"/>
        <v/>
      </c>
      <c r="AY225" t="str">
        <f t="shared" si="31"/>
        <v/>
      </c>
      <c r="BB225" t="s">
        <v>300</v>
      </c>
      <c r="BC225" t="str">
        <f>IFERROR(INDEX(_names_lookup!$C:$C,MATCH(BB225,_names_lookup!$A:$A,0)),"")</f>
        <v>zoltan@andrews.edu</v>
      </c>
      <c r="BD225" t="str">
        <f>IFERROR(INDEX(_names_lookup!$B:$B,MATCH(BB225,_names_lookup!$A:$A,0)),"")</f>
        <v>000067911</v>
      </c>
    </row>
    <row r="226" spans="8:56" x14ac:dyDescent="0.2">
      <c r="H226" t="s">
        <v>1419</v>
      </c>
      <c r="I226" t="s">
        <v>1420</v>
      </c>
      <c r="N226" t="str">
        <f>IFERROR(INDEX(_courses_lookup!$C:$C,MATCH(J226&amp;K226,_courses_lookup!$E:$E,0)),"")</f>
        <v/>
      </c>
      <c r="O226" t="str">
        <f>IFERROR(INDEX(_courses_lookup!$D:$D,MATCH(J226&amp;K226,_courses_lookup!$E:$E,0)),"")</f>
        <v/>
      </c>
      <c r="AD226" t="str">
        <f t="shared" si="24"/>
        <v/>
      </c>
      <c r="AG226" t="str">
        <f t="shared" si="25"/>
        <v/>
      </c>
      <c r="AI226" t="str">
        <f t="shared" si="26"/>
        <v/>
      </c>
      <c r="AK226" t="str">
        <f t="shared" si="27"/>
        <v/>
      </c>
      <c r="AL226" t="str">
        <f t="shared" si="28"/>
        <v/>
      </c>
      <c r="AM226" t="str">
        <f t="shared" si="29"/>
        <v/>
      </c>
      <c r="AX226" t="str">
        <f t="shared" si="30"/>
        <v/>
      </c>
      <c r="AY226" t="str">
        <f t="shared" si="31"/>
        <v/>
      </c>
      <c r="BB226" t="s">
        <v>301</v>
      </c>
      <c r="BC226" t="str">
        <f>IFERROR(INDEX(_names_lookup!$C:$C,MATCH(BB226,_names_lookup!$A:$A,0)),"")</f>
        <v>terreros@andrews.edu</v>
      </c>
      <c r="BD226" t="str">
        <f>IFERROR(INDEX(_names_lookup!$B:$B,MATCH(BB226,_names_lookup!$A:$A,0)),"")</f>
        <v>000054615</v>
      </c>
    </row>
    <row r="227" spans="8:56" x14ac:dyDescent="0.2">
      <c r="H227" t="s">
        <v>1421</v>
      </c>
      <c r="I227" t="s">
        <v>1422</v>
      </c>
      <c r="N227" t="str">
        <f>IFERROR(INDEX(_courses_lookup!$C:$C,MATCH(J227&amp;K227,_courses_lookup!$E:$E,0)),"")</f>
        <v/>
      </c>
      <c r="O227" t="str">
        <f>IFERROR(INDEX(_courses_lookup!$D:$D,MATCH(J227&amp;K227,_courses_lookup!$E:$E,0)),"")</f>
        <v/>
      </c>
      <c r="AD227" t="str">
        <f t="shared" si="24"/>
        <v/>
      </c>
      <c r="AG227" t="str">
        <f t="shared" si="25"/>
        <v/>
      </c>
      <c r="AI227" t="str">
        <f t="shared" si="26"/>
        <v/>
      </c>
      <c r="AK227" t="str">
        <f t="shared" si="27"/>
        <v/>
      </c>
      <c r="AL227" t="str">
        <f t="shared" si="28"/>
        <v/>
      </c>
      <c r="AM227" t="str">
        <f t="shared" si="29"/>
        <v/>
      </c>
      <c r="AX227" t="str">
        <f t="shared" si="30"/>
        <v/>
      </c>
      <c r="AY227" t="str">
        <f t="shared" si="31"/>
        <v/>
      </c>
      <c r="BB227" t="s">
        <v>302</v>
      </c>
      <c r="BC227" t="str">
        <f>IFERROR(INDEX(_names_lookup!$C:$C,MATCH(BB227,_names_lookup!$A:$A,0)),"")</f>
        <v>tornalejo@andrews.edu</v>
      </c>
      <c r="BD227" t="str">
        <f>IFERROR(INDEX(_names_lookup!$B:$B,MATCH(BB227,_names_lookup!$A:$A,0)),"")</f>
        <v>000208503</v>
      </c>
    </row>
    <row r="228" spans="8:56" x14ac:dyDescent="0.2">
      <c r="H228" t="s">
        <v>1423</v>
      </c>
      <c r="I228" t="s">
        <v>1424</v>
      </c>
      <c r="N228" t="str">
        <f>IFERROR(INDEX(_courses_lookup!$C:$C,MATCH(J228&amp;K228,_courses_lookup!$E:$E,0)),"")</f>
        <v/>
      </c>
      <c r="O228" t="str">
        <f>IFERROR(INDEX(_courses_lookup!$D:$D,MATCH(J228&amp;K228,_courses_lookup!$E:$E,0)),"")</f>
        <v/>
      </c>
      <c r="AD228" t="str">
        <f t="shared" si="24"/>
        <v/>
      </c>
      <c r="AG228" t="str">
        <f t="shared" si="25"/>
        <v/>
      </c>
      <c r="AI228" t="str">
        <f t="shared" si="26"/>
        <v/>
      </c>
      <c r="AK228" t="str">
        <f t="shared" si="27"/>
        <v/>
      </c>
      <c r="AL228" t="str">
        <f t="shared" si="28"/>
        <v/>
      </c>
      <c r="AM228" t="str">
        <f t="shared" si="29"/>
        <v/>
      </c>
      <c r="AX228" t="str">
        <f t="shared" si="30"/>
        <v/>
      </c>
      <c r="AY228" t="str">
        <f t="shared" si="31"/>
        <v/>
      </c>
      <c r="BB228" t="s">
        <v>303</v>
      </c>
      <c r="BC228" t="str">
        <f>IFERROR(INDEX(_names_lookup!$C:$C,MATCH(BB228,_names_lookup!$A:$A,0)),"")</f>
        <v>wetterli@andrews.edu</v>
      </c>
      <c r="BD228" t="str">
        <f>IFERROR(INDEX(_names_lookup!$B:$B,MATCH(BB228,_names_lookup!$A:$A,0)),"")</f>
        <v>000095321</v>
      </c>
    </row>
    <row r="229" spans="8:56" x14ac:dyDescent="0.2">
      <c r="H229" t="s">
        <v>1425</v>
      </c>
      <c r="I229" t="s">
        <v>1426</v>
      </c>
      <c r="N229" t="str">
        <f>IFERROR(INDEX(_courses_lookup!$C:$C,MATCH(J229&amp;K229,_courses_lookup!$E:$E,0)),"")</f>
        <v/>
      </c>
      <c r="O229" t="str">
        <f>IFERROR(INDEX(_courses_lookup!$D:$D,MATCH(J229&amp;K229,_courses_lookup!$E:$E,0)),"")</f>
        <v/>
      </c>
      <c r="AD229" t="str">
        <f t="shared" si="24"/>
        <v/>
      </c>
      <c r="AG229" t="str">
        <f t="shared" si="25"/>
        <v/>
      </c>
      <c r="AI229" t="str">
        <f t="shared" si="26"/>
        <v/>
      </c>
      <c r="AK229" t="str">
        <f t="shared" si="27"/>
        <v/>
      </c>
      <c r="AL229" t="str">
        <f t="shared" si="28"/>
        <v/>
      </c>
      <c r="AM229" t="str">
        <f t="shared" si="29"/>
        <v/>
      </c>
      <c r="AX229" t="str">
        <f t="shared" si="30"/>
        <v/>
      </c>
      <c r="AY229" t="str">
        <f t="shared" si="31"/>
        <v/>
      </c>
      <c r="BB229" t="s">
        <v>304</v>
      </c>
      <c r="BC229" t="str">
        <f>IFERROR(INDEX(_names_lookup!$C:$C,MATCH(BB229,_names_lookup!$A:$A,0)),"")</f>
        <v>eugenez@andrews.edu</v>
      </c>
      <c r="BD229" t="str">
        <f>IFERROR(INDEX(_names_lookup!$B:$B,MATCH(BB229,_names_lookup!$A:$A,0)),"")</f>
        <v>000065636</v>
      </c>
    </row>
    <row r="230" spans="8:56" x14ac:dyDescent="0.2">
      <c r="H230" t="s">
        <v>1427</v>
      </c>
      <c r="I230" t="s">
        <v>1428</v>
      </c>
      <c r="N230" t="str">
        <f>IFERROR(INDEX(_courses_lookup!$C:$C,MATCH(J230&amp;K230,_courses_lookup!$E:$E,0)),"")</f>
        <v/>
      </c>
      <c r="O230" t="str">
        <f>IFERROR(INDEX(_courses_lookup!$D:$D,MATCH(J230&amp;K230,_courses_lookup!$E:$E,0)),"")</f>
        <v/>
      </c>
      <c r="AD230" t="str">
        <f t="shared" si="24"/>
        <v/>
      </c>
      <c r="AG230" t="str">
        <f t="shared" si="25"/>
        <v/>
      </c>
      <c r="AI230" t="str">
        <f t="shared" si="26"/>
        <v/>
      </c>
      <c r="AK230" t="str">
        <f t="shared" si="27"/>
        <v/>
      </c>
      <c r="AL230" t="str">
        <f t="shared" si="28"/>
        <v/>
      </c>
      <c r="AM230" t="str">
        <f t="shared" si="29"/>
        <v/>
      </c>
      <c r="AX230" t="str">
        <f t="shared" si="30"/>
        <v/>
      </c>
      <c r="AY230" t="str">
        <f t="shared" si="31"/>
        <v/>
      </c>
      <c r="BB230" t="s">
        <v>305</v>
      </c>
      <c r="BC230" t="str">
        <f>IFERROR(INDEX(_names_lookup!$C:$C,MATCH(BB230,_names_lookup!$A:$A,0)),"")</f>
        <v>bbauer@andrews.edu</v>
      </c>
      <c r="BD230" t="str">
        <f>IFERROR(INDEX(_names_lookup!$B:$B,MATCH(BB230,_names_lookup!$A:$A,0)),"")</f>
        <v>000003023</v>
      </c>
    </row>
    <row r="231" spans="8:56" x14ac:dyDescent="0.2">
      <c r="H231" t="s">
        <v>1429</v>
      </c>
      <c r="I231" t="s">
        <v>1430</v>
      </c>
      <c r="N231" t="str">
        <f>IFERROR(INDEX(_courses_lookup!$C:$C,MATCH(J231&amp;K231,_courses_lookup!$E:$E,0)),"")</f>
        <v/>
      </c>
      <c r="O231" t="str">
        <f>IFERROR(INDEX(_courses_lookup!$D:$D,MATCH(J231&amp;K231,_courses_lookup!$E:$E,0)),"")</f>
        <v/>
      </c>
      <c r="AD231" t="str">
        <f t="shared" si="24"/>
        <v/>
      </c>
      <c r="AG231" t="str">
        <f t="shared" si="25"/>
        <v/>
      </c>
      <c r="AI231" t="str">
        <f t="shared" si="26"/>
        <v/>
      </c>
      <c r="AK231" t="str">
        <f t="shared" si="27"/>
        <v/>
      </c>
      <c r="AL231" t="str">
        <f t="shared" si="28"/>
        <v/>
      </c>
      <c r="AM231" t="str">
        <f t="shared" si="29"/>
        <v/>
      </c>
      <c r="AX231" t="str">
        <f t="shared" si="30"/>
        <v/>
      </c>
      <c r="AY231" t="str">
        <f t="shared" si="31"/>
        <v/>
      </c>
      <c r="BB231" t="s">
        <v>306</v>
      </c>
      <c r="BC231" t="str">
        <f>IFERROR(INDEX(_names_lookup!$C:$C,MATCH(BB231,_names_lookup!$A:$A,0)),"")</f>
        <v>cincala@andrews.edu</v>
      </c>
      <c r="BD231" t="str">
        <f>IFERROR(INDEX(_names_lookup!$B:$B,MATCH(BB231,_names_lookup!$A:$A,0)),"")</f>
        <v>000074406</v>
      </c>
    </row>
    <row r="232" spans="8:56" x14ac:dyDescent="0.2">
      <c r="H232" t="s">
        <v>1431</v>
      </c>
      <c r="I232" t="s">
        <v>1432</v>
      </c>
      <c r="N232" t="str">
        <f>IFERROR(INDEX(_courses_lookup!$C:$C,MATCH(J232&amp;K232,_courses_lookup!$E:$E,0)),"")</f>
        <v/>
      </c>
      <c r="O232" t="str">
        <f>IFERROR(INDEX(_courses_lookup!$D:$D,MATCH(J232&amp;K232,_courses_lookup!$E:$E,0)),"")</f>
        <v/>
      </c>
      <c r="AD232" t="str">
        <f t="shared" si="24"/>
        <v/>
      </c>
      <c r="AG232" t="str">
        <f t="shared" si="25"/>
        <v/>
      </c>
      <c r="AI232" t="str">
        <f t="shared" si="26"/>
        <v/>
      </c>
      <c r="AK232" t="str">
        <f t="shared" si="27"/>
        <v/>
      </c>
      <c r="AL232" t="str">
        <f t="shared" si="28"/>
        <v/>
      </c>
      <c r="AM232" t="str">
        <f t="shared" si="29"/>
        <v/>
      </c>
      <c r="AX232" t="str">
        <f t="shared" si="30"/>
        <v/>
      </c>
      <c r="AY232" t="str">
        <f t="shared" si="31"/>
        <v/>
      </c>
      <c r="BB232" t="s">
        <v>307</v>
      </c>
      <c r="BC232" t="str">
        <f>IFERROR(INDEX(_names_lookup!$C:$C,MATCH(BB232,_names_lookup!$A:$A,0)),"")</f>
        <v>dementyev@andrews.edu</v>
      </c>
      <c r="BD232" t="str">
        <f>IFERROR(INDEX(_names_lookup!$B:$B,MATCH(BB232,_names_lookup!$A:$A,0)),"")</f>
        <v>000121343</v>
      </c>
    </row>
    <row r="233" spans="8:56" x14ac:dyDescent="0.2">
      <c r="H233" t="s">
        <v>1433</v>
      </c>
      <c r="I233" t="s">
        <v>1434</v>
      </c>
      <c r="N233" t="str">
        <f>IFERROR(INDEX(_courses_lookup!$C:$C,MATCH(J233&amp;K233,_courses_lookup!$E:$E,0)),"")</f>
        <v/>
      </c>
      <c r="O233" t="str">
        <f>IFERROR(INDEX(_courses_lookup!$D:$D,MATCH(J233&amp;K233,_courses_lookup!$E:$E,0)),"")</f>
        <v/>
      </c>
      <c r="AD233" t="str">
        <f t="shared" si="24"/>
        <v/>
      </c>
      <c r="AG233" t="str">
        <f t="shared" si="25"/>
        <v/>
      </c>
      <c r="AI233" t="str">
        <f t="shared" si="26"/>
        <v/>
      </c>
      <c r="AK233" t="str">
        <f t="shared" si="27"/>
        <v/>
      </c>
      <c r="AL233" t="str">
        <f t="shared" si="28"/>
        <v/>
      </c>
      <c r="AM233" t="str">
        <f t="shared" si="29"/>
        <v/>
      </c>
      <c r="AX233" t="str">
        <f t="shared" si="30"/>
        <v/>
      </c>
      <c r="AY233" t="str">
        <f t="shared" si="31"/>
        <v/>
      </c>
      <c r="BB233" t="s">
        <v>308</v>
      </c>
      <c r="BC233" t="str">
        <f>IFERROR(INDEX(_names_lookup!$C:$C,MATCH(BB233,_names_lookup!$A:$A,0)),"")</f>
        <v>dossc@andrews.edu</v>
      </c>
      <c r="BD233" t="str">
        <f>IFERROR(INDEX(_names_lookup!$B:$B,MATCH(BB233,_names_lookup!$A:$A,0)),"")</f>
        <v>000011280</v>
      </c>
    </row>
    <row r="234" spans="8:56" x14ac:dyDescent="0.2">
      <c r="H234" t="s">
        <v>1435</v>
      </c>
      <c r="I234" t="s">
        <v>971</v>
      </c>
      <c r="N234" t="str">
        <f>IFERROR(INDEX(_courses_lookup!$C:$C,MATCH(J234&amp;K234,_courses_lookup!$E:$E,0)),"")</f>
        <v/>
      </c>
      <c r="O234" t="str">
        <f>IFERROR(INDEX(_courses_lookup!$D:$D,MATCH(J234&amp;K234,_courses_lookup!$E:$E,0)),"")</f>
        <v/>
      </c>
      <c r="AD234" t="str">
        <f t="shared" si="24"/>
        <v/>
      </c>
      <c r="AG234" t="str">
        <f t="shared" si="25"/>
        <v/>
      </c>
      <c r="AI234" t="str">
        <f t="shared" si="26"/>
        <v/>
      </c>
      <c r="AK234" t="str">
        <f t="shared" si="27"/>
        <v/>
      </c>
      <c r="AL234" t="str">
        <f t="shared" si="28"/>
        <v/>
      </c>
      <c r="AM234" t="str">
        <f t="shared" si="29"/>
        <v/>
      </c>
      <c r="AX234" t="str">
        <f t="shared" si="30"/>
        <v/>
      </c>
      <c r="AY234" t="str">
        <f t="shared" si="31"/>
        <v/>
      </c>
      <c r="BB234" t="s">
        <v>309</v>
      </c>
      <c r="BC234" t="str">
        <f>IFERROR(INDEX(_names_lookup!$C:$C,MATCH(BB234,_names_lookup!$A:$A,0)),"")</f>
        <v>dossg@andrews.edu</v>
      </c>
      <c r="BD234" t="str">
        <f>IFERROR(INDEX(_names_lookup!$B:$B,MATCH(BB234,_names_lookup!$A:$A,0)),"")</f>
        <v>000016109</v>
      </c>
    </row>
    <row r="235" spans="8:56" x14ac:dyDescent="0.2">
      <c r="H235" t="s">
        <v>1436</v>
      </c>
      <c r="I235" t="s">
        <v>1437</v>
      </c>
      <c r="N235" t="str">
        <f>IFERROR(INDEX(_courses_lookup!$C:$C,MATCH(J235&amp;K235,_courses_lookup!$E:$E,0)),"")</f>
        <v/>
      </c>
      <c r="O235" t="str">
        <f>IFERROR(INDEX(_courses_lookup!$D:$D,MATCH(J235&amp;K235,_courses_lookup!$E:$E,0)),"")</f>
        <v/>
      </c>
      <c r="AD235" t="str">
        <f t="shared" si="24"/>
        <v/>
      </c>
      <c r="AG235" t="str">
        <f t="shared" si="25"/>
        <v/>
      </c>
      <c r="AI235" t="str">
        <f t="shared" si="26"/>
        <v/>
      </c>
      <c r="AK235" t="str">
        <f t="shared" si="27"/>
        <v/>
      </c>
      <c r="AL235" t="str">
        <f t="shared" si="28"/>
        <v/>
      </c>
      <c r="AM235" t="str">
        <f t="shared" si="29"/>
        <v/>
      </c>
      <c r="AX235" t="str">
        <f t="shared" si="30"/>
        <v/>
      </c>
      <c r="AY235" t="str">
        <f t="shared" si="31"/>
        <v/>
      </c>
      <c r="BB235" t="s">
        <v>310</v>
      </c>
      <c r="BC235" t="str">
        <f>IFERROR(INDEX(_names_lookup!$C:$C,MATCH(BB235,_names_lookup!$A:$A,0)),"")</f>
        <v>drumi@andrews.edu</v>
      </c>
      <c r="BD235" t="str">
        <f>IFERROR(INDEX(_names_lookup!$B:$B,MATCH(BB235,_names_lookup!$A:$A,0)),"")</f>
        <v>000092262</v>
      </c>
    </row>
    <row r="236" spans="8:56" x14ac:dyDescent="0.2">
      <c r="H236" t="s">
        <v>1438</v>
      </c>
      <c r="I236" t="s">
        <v>1439</v>
      </c>
      <c r="N236" t="str">
        <f>IFERROR(INDEX(_courses_lookup!$C:$C,MATCH(J236&amp;K236,_courses_lookup!$E:$E,0)),"")</f>
        <v/>
      </c>
      <c r="O236" t="str">
        <f>IFERROR(INDEX(_courses_lookup!$D:$D,MATCH(J236&amp;K236,_courses_lookup!$E:$E,0)),"")</f>
        <v/>
      </c>
      <c r="AD236" t="str">
        <f t="shared" si="24"/>
        <v/>
      </c>
      <c r="AG236" t="str">
        <f t="shared" si="25"/>
        <v/>
      </c>
      <c r="AI236" t="str">
        <f t="shared" si="26"/>
        <v/>
      </c>
      <c r="AK236" t="str">
        <f t="shared" si="27"/>
        <v/>
      </c>
      <c r="AL236" t="str">
        <f t="shared" si="28"/>
        <v/>
      </c>
      <c r="AM236" t="str">
        <f t="shared" si="29"/>
        <v/>
      </c>
      <c r="AX236" t="str">
        <f t="shared" si="30"/>
        <v/>
      </c>
      <c r="AY236" t="str">
        <f t="shared" si="31"/>
        <v/>
      </c>
      <c r="BB236" t="s">
        <v>311</v>
      </c>
      <c r="BC236" t="str">
        <f>IFERROR(INDEX(_names_lookup!$C:$C,MATCH(BB236,_names_lookup!$A:$A,0)),"")</f>
        <v>duffisgordo@andrews.edu</v>
      </c>
      <c r="BD236" t="str">
        <f>IFERROR(INDEX(_names_lookup!$B:$B,MATCH(BB236,_names_lookup!$A:$A,0)),"")</f>
        <v>000159832</v>
      </c>
    </row>
    <row r="237" spans="8:56" x14ac:dyDescent="0.2">
      <c r="H237" t="s">
        <v>1440</v>
      </c>
      <c r="I237" t="s">
        <v>1441</v>
      </c>
      <c r="N237" t="str">
        <f>IFERROR(INDEX(_courses_lookup!$C:$C,MATCH(J237&amp;K237,_courses_lookup!$E:$E,0)),"")</f>
        <v/>
      </c>
      <c r="O237" t="str">
        <f>IFERROR(INDEX(_courses_lookup!$D:$D,MATCH(J237&amp;K237,_courses_lookup!$E:$E,0)),"")</f>
        <v/>
      </c>
      <c r="AD237" t="str">
        <f t="shared" si="24"/>
        <v/>
      </c>
      <c r="AG237" t="str">
        <f t="shared" si="25"/>
        <v/>
      </c>
      <c r="AI237" t="str">
        <f t="shared" si="26"/>
        <v/>
      </c>
      <c r="AK237" t="str">
        <f t="shared" si="27"/>
        <v/>
      </c>
      <c r="AL237" t="str">
        <f t="shared" si="28"/>
        <v/>
      </c>
      <c r="AM237" t="str">
        <f t="shared" si="29"/>
        <v/>
      </c>
      <c r="AX237" t="str">
        <f t="shared" si="30"/>
        <v/>
      </c>
      <c r="AY237" t="str">
        <f t="shared" si="31"/>
        <v/>
      </c>
      <c r="BB237" t="s">
        <v>312</v>
      </c>
      <c r="BC237" t="str">
        <f>IFERROR(INDEX(_names_lookup!$C:$C,MATCH(BB237,_names_lookup!$A:$A,0)),"")</f>
        <v>dybdahl@andrews.edu</v>
      </c>
      <c r="BD237" t="str">
        <f>IFERROR(INDEX(_names_lookup!$B:$B,MATCH(BB237,_names_lookup!$A:$A,0)),"")</f>
        <v>000006149</v>
      </c>
    </row>
    <row r="238" spans="8:56" x14ac:dyDescent="0.2">
      <c r="H238" t="s">
        <v>1442</v>
      </c>
      <c r="I238" t="s">
        <v>1443</v>
      </c>
      <c r="N238" t="str">
        <f>IFERROR(INDEX(_courses_lookup!$C:$C,MATCH(J238&amp;K238,_courses_lookup!$E:$E,0)),"")</f>
        <v/>
      </c>
      <c r="O238" t="str">
        <f>IFERROR(INDEX(_courses_lookup!$D:$D,MATCH(J238&amp;K238,_courses_lookup!$E:$E,0)),"")</f>
        <v/>
      </c>
      <c r="AD238" t="str">
        <f t="shared" si="24"/>
        <v/>
      </c>
      <c r="AG238" t="str">
        <f t="shared" si="25"/>
        <v/>
      </c>
      <c r="AI238" t="str">
        <f t="shared" si="26"/>
        <v/>
      </c>
      <c r="AK238" t="str">
        <f t="shared" si="27"/>
        <v/>
      </c>
      <c r="AL238" t="str">
        <f t="shared" si="28"/>
        <v/>
      </c>
      <c r="AM238" t="str">
        <f t="shared" si="29"/>
        <v/>
      </c>
      <c r="AX238" t="str">
        <f t="shared" si="30"/>
        <v/>
      </c>
      <c r="AY238" t="str">
        <f t="shared" si="31"/>
        <v/>
      </c>
      <c r="BB238" t="s">
        <v>313</v>
      </c>
      <c r="BC238" t="str">
        <f>IFERROR(INDEX(_names_lookup!$C:$C,MATCH(BB238,_names_lookup!$A:$A,0)),"")</f>
        <v>dybdahlp@andrews.edu</v>
      </c>
      <c r="BD238" t="str">
        <f>IFERROR(INDEX(_names_lookup!$B:$B,MATCH(BB238,_names_lookup!$A:$A,0)),"")</f>
        <v>000069738</v>
      </c>
    </row>
    <row r="239" spans="8:56" x14ac:dyDescent="0.2">
      <c r="H239" t="s">
        <v>1444</v>
      </c>
      <c r="I239" t="s">
        <v>1445</v>
      </c>
      <c r="N239" t="str">
        <f>IFERROR(INDEX(_courses_lookup!$C:$C,MATCH(J239&amp;K239,_courses_lookup!$E:$E,0)),"")</f>
        <v/>
      </c>
      <c r="O239" t="str">
        <f>IFERROR(INDEX(_courses_lookup!$D:$D,MATCH(J239&amp;K239,_courses_lookup!$E:$E,0)),"")</f>
        <v/>
      </c>
      <c r="AD239" t="str">
        <f t="shared" si="24"/>
        <v/>
      </c>
      <c r="AG239" t="str">
        <f t="shared" si="25"/>
        <v/>
      </c>
      <c r="AI239" t="str">
        <f t="shared" si="26"/>
        <v/>
      </c>
      <c r="AK239" t="str">
        <f t="shared" si="27"/>
        <v/>
      </c>
      <c r="AL239" t="str">
        <f t="shared" si="28"/>
        <v/>
      </c>
      <c r="AM239" t="str">
        <f t="shared" si="29"/>
        <v/>
      </c>
      <c r="AX239" t="str">
        <f t="shared" si="30"/>
        <v/>
      </c>
      <c r="AY239" t="str">
        <f t="shared" si="31"/>
        <v/>
      </c>
      <c r="BB239" t="s">
        <v>314</v>
      </c>
      <c r="BC239" t="str">
        <f>IFERROR(INDEX(_names_lookup!$C:$C,MATCH(BB239,_names_lookup!$A:$A,0)),"")</f>
        <v>goya@andrews.edu</v>
      </c>
      <c r="BD239" t="str">
        <f>IFERROR(INDEX(_names_lookup!$B:$B,MATCH(BB239,_names_lookup!$A:$A,0)),"")</f>
        <v>000151900</v>
      </c>
    </row>
    <row r="240" spans="8:56" x14ac:dyDescent="0.2">
      <c r="H240" t="s">
        <v>1446</v>
      </c>
      <c r="I240" t="s">
        <v>1447</v>
      </c>
      <c r="N240" t="str">
        <f>IFERROR(INDEX(_courses_lookup!$C:$C,MATCH(J240&amp;K240,_courses_lookup!$E:$E,0)),"")</f>
        <v/>
      </c>
      <c r="O240" t="str">
        <f>IFERROR(INDEX(_courses_lookup!$D:$D,MATCH(J240&amp;K240,_courses_lookup!$E:$E,0)),"")</f>
        <v/>
      </c>
      <c r="AD240" t="str">
        <f t="shared" si="24"/>
        <v/>
      </c>
      <c r="AG240" t="str">
        <f t="shared" si="25"/>
        <v/>
      </c>
      <c r="AI240" t="str">
        <f t="shared" si="26"/>
        <v/>
      </c>
      <c r="AK240" t="str">
        <f t="shared" si="27"/>
        <v/>
      </c>
      <c r="AL240" t="str">
        <f t="shared" si="28"/>
        <v/>
      </c>
      <c r="AM240" t="str">
        <f t="shared" si="29"/>
        <v/>
      </c>
      <c r="AX240" t="str">
        <f t="shared" si="30"/>
        <v/>
      </c>
      <c r="AY240" t="str">
        <f t="shared" si="31"/>
        <v/>
      </c>
      <c r="BB240" t="s">
        <v>315</v>
      </c>
      <c r="BC240" t="str">
        <f>IFERROR(INDEX(_names_lookup!$C:$C,MATCH(BB240,_names_lookup!$A:$A,0)),"")</f>
        <v>abrahamg@andrews.edu</v>
      </c>
      <c r="BD240" t="str">
        <f>IFERROR(INDEX(_names_lookup!$B:$B,MATCH(BB240,_names_lookup!$A:$A,0)),"")</f>
        <v>000134376</v>
      </c>
    </row>
    <row r="241" spans="8:56" x14ac:dyDescent="0.2">
      <c r="H241" t="s">
        <v>1448</v>
      </c>
      <c r="I241" t="s">
        <v>1449</v>
      </c>
      <c r="N241" t="str">
        <f>IFERROR(INDEX(_courses_lookup!$C:$C,MATCH(J241&amp;K241,_courses_lookup!$E:$E,0)),"")</f>
        <v/>
      </c>
      <c r="O241" t="str">
        <f>IFERROR(INDEX(_courses_lookup!$D:$D,MATCH(J241&amp;K241,_courses_lookup!$E:$E,0)),"")</f>
        <v/>
      </c>
      <c r="AD241" t="str">
        <f t="shared" si="24"/>
        <v/>
      </c>
      <c r="AG241" t="str">
        <f t="shared" si="25"/>
        <v/>
      </c>
      <c r="AI241" t="str">
        <f t="shared" si="26"/>
        <v/>
      </c>
      <c r="AK241" t="str">
        <f t="shared" si="27"/>
        <v/>
      </c>
      <c r="AL241" t="str">
        <f t="shared" si="28"/>
        <v/>
      </c>
      <c r="AM241" t="str">
        <f t="shared" si="29"/>
        <v/>
      </c>
      <c r="AX241" t="str">
        <f t="shared" si="30"/>
        <v/>
      </c>
      <c r="AY241" t="str">
        <f t="shared" si="31"/>
        <v/>
      </c>
      <c r="BB241" t="s">
        <v>316</v>
      </c>
      <c r="BC241" t="str">
        <f>IFERROR(INDEX(_names_lookup!$C:$C,MATCH(BB241,_names_lookup!$A:$A,0)),"")</f>
        <v>youssry@andrews.edu</v>
      </c>
      <c r="BD241" t="str">
        <f>IFERROR(INDEX(_names_lookup!$B:$B,MATCH(BB241,_names_lookup!$A:$A,0)),"")</f>
        <v>000229579</v>
      </c>
    </row>
    <row r="242" spans="8:56" x14ac:dyDescent="0.2">
      <c r="H242" t="s">
        <v>1450</v>
      </c>
      <c r="I242" t="s">
        <v>1451</v>
      </c>
      <c r="N242" t="str">
        <f>IFERROR(INDEX(_courses_lookup!$C:$C,MATCH(J242&amp;K242,_courses_lookup!$E:$E,0)),"")</f>
        <v/>
      </c>
      <c r="O242" t="str">
        <f>IFERROR(INDEX(_courses_lookup!$D:$D,MATCH(J242&amp;K242,_courses_lookup!$E:$E,0)),"")</f>
        <v/>
      </c>
      <c r="AD242" t="str">
        <f t="shared" si="24"/>
        <v/>
      </c>
      <c r="AG242" t="str">
        <f t="shared" si="25"/>
        <v/>
      </c>
      <c r="AI242" t="str">
        <f t="shared" si="26"/>
        <v/>
      </c>
      <c r="AK242" t="str">
        <f t="shared" si="27"/>
        <v/>
      </c>
      <c r="AL242" t="str">
        <f t="shared" si="28"/>
        <v/>
      </c>
      <c r="AM242" t="str">
        <f t="shared" si="29"/>
        <v/>
      </c>
      <c r="AX242" t="str">
        <f t="shared" si="30"/>
        <v/>
      </c>
      <c r="AY242" t="str">
        <f t="shared" si="31"/>
        <v/>
      </c>
      <c r="BB242" t="s">
        <v>317</v>
      </c>
      <c r="BC242" t="str">
        <f>IFERROR(INDEX(_names_lookup!$C:$C,MATCH(BB242,_names_lookup!$A:$A,0)),"")</f>
        <v>claval@andrews.edu</v>
      </c>
      <c r="BD242" t="str">
        <f>IFERROR(INDEX(_names_lookup!$B:$B,MATCH(BB242,_names_lookup!$A:$A,0)),"")</f>
        <v>000124366</v>
      </c>
    </row>
    <row r="243" spans="8:56" x14ac:dyDescent="0.2">
      <c r="H243" t="s">
        <v>1452</v>
      </c>
      <c r="I243" t="s">
        <v>1453</v>
      </c>
      <c r="N243" t="str">
        <f>IFERROR(INDEX(_courses_lookup!$C:$C,MATCH(J243&amp;K243,_courses_lookup!$E:$E,0)),"")</f>
        <v/>
      </c>
      <c r="O243" t="str">
        <f>IFERROR(INDEX(_courses_lookup!$D:$D,MATCH(J243&amp;K243,_courses_lookup!$E:$E,0)),"")</f>
        <v/>
      </c>
      <c r="AD243" t="str">
        <f t="shared" si="24"/>
        <v/>
      </c>
      <c r="AG243" t="str">
        <f t="shared" si="25"/>
        <v/>
      </c>
      <c r="AI243" t="str">
        <f t="shared" si="26"/>
        <v/>
      </c>
      <c r="AK243" t="str">
        <f t="shared" si="27"/>
        <v/>
      </c>
      <c r="AL243" t="str">
        <f t="shared" si="28"/>
        <v/>
      </c>
      <c r="AM243" t="str">
        <f t="shared" si="29"/>
        <v/>
      </c>
      <c r="AX243" t="str">
        <f t="shared" si="30"/>
        <v/>
      </c>
      <c r="AY243" t="str">
        <f t="shared" si="31"/>
        <v/>
      </c>
      <c r="BB243" t="s">
        <v>318</v>
      </c>
      <c r="BC243" t="str">
        <f>IFERROR(INDEX(_names_lookup!$C:$C,MATCH(BB243,_names_lookup!$A:$A,0)),"")</f>
        <v>yalyshev@andrews.edu</v>
      </c>
      <c r="BD243" t="str">
        <f>IFERROR(INDEX(_names_lookup!$B:$B,MATCH(BB243,_names_lookup!$A:$A,0)),"")</f>
        <v>000123480</v>
      </c>
    </row>
    <row r="244" spans="8:56" x14ac:dyDescent="0.2">
      <c r="H244" t="s">
        <v>1454</v>
      </c>
      <c r="I244" t="s">
        <v>1455</v>
      </c>
      <c r="N244" t="str">
        <f>IFERROR(INDEX(_courses_lookup!$C:$C,MATCH(J244&amp;K244,_courses_lookup!$E:$E,0)),"")</f>
        <v/>
      </c>
      <c r="O244" t="str">
        <f>IFERROR(INDEX(_courses_lookup!$D:$D,MATCH(J244&amp;K244,_courses_lookup!$E:$E,0)),"")</f>
        <v/>
      </c>
      <c r="AD244" t="str">
        <f t="shared" si="24"/>
        <v/>
      </c>
      <c r="AG244" t="str">
        <f t="shared" si="25"/>
        <v/>
      </c>
      <c r="AI244" t="str">
        <f t="shared" si="26"/>
        <v/>
      </c>
      <c r="AK244" t="str">
        <f t="shared" si="27"/>
        <v/>
      </c>
      <c r="AL244" t="str">
        <f t="shared" si="28"/>
        <v/>
      </c>
      <c r="AM244" t="str">
        <f t="shared" si="29"/>
        <v/>
      </c>
      <c r="AX244" t="str">
        <f t="shared" si="30"/>
        <v/>
      </c>
      <c r="AY244" t="str">
        <f t="shared" si="31"/>
        <v/>
      </c>
      <c r="BB244" t="s">
        <v>319</v>
      </c>
      <c r="BC244" t="str">
        <f>IFERROR(INDEX(_names_lookup!$C:$C,MATCH(BB244,_names_lookup!$A:$A,0)),"")</f>
        <v>surachet@andrews.edu</v>
      </c>
      <c r="BD244" t="str">
        <f>IFERROR(INDEX(_names_lookup!$B:$B,MATCH(BB244,_names_lookup!$A:$A,0)),"")</f>
        <v>000089320</v>
      </c>
    </row>
    <row r="245" spans="8:56" x14ac:dyDescent="0.2">
      <c r="H245" t="s">
        <v>1456</v>
      </c>
      <c r="I245" t="s">
        <v>977</v>
      </c>
      <c r="N245" t="str">
        <f>IFERROR(INDEX(_courses_lookup!$C:$C,MATCH(J245&amp;K245,_courses_lookup!$E:$E,0)),"")</f>
        <v/>
      </c>
      <c r="O245" t="str">
        <f>IFERROR(INDEX(_courses_lookup!$D:$D,MATCH(J245&amp;K245,_courses_lookup!$E:$E,0)),"")</f>
        <v/>
      </c>
      <c r="AD245" t="str">
        <f t="shared" si="24"/>
        <v/>
      </c>
      <c r="AG245" t="str">
        <f t="shared" si="25"/>
        <v/>
      </c>
      <c r="AI245" t="str">
        <f t="shared" si="26"/>
        <v/>
      </c>
      <c r="AK245" t="str">
        <f t="shared" si="27"/>
        <v/>
      </c>
      <c r="AL245" t="str">
        <f t="shared" si="28"/>
        <v/>
      </c>
      <c r="AM245" t="str">
        <f t="shared" si="29"/>
        <v/>
      </c>
      <c r="AX245" t="str">
        <f t="shared" si="30"/>
        <v/>
      </c>
      <c r="AY245" t="str">
        <f t="shared" si="31"/>
        <v/>
      </c>
      <c r="BB245" t="s">
        <v>320</v>
      </c>
      <c r="BC245" t="str">
        <f>IFERROR(INDEX(_names_lookup!$C:$C,MATCH(BB245,_names_lookup!$A:$A,0)),"")</f>
        <v>gkrause@andrews.edu</v>
      </c>
      <c r="BD245" t="str">
        <f>IFERROR(INDEX(_names_lookup!$B:$B,MATCH(BB245,_names_lookup!$A:$A,0)),"")</f>
        <v>000231151</v>
      </c>
    </row>
    <row r="246" spans="8:56" x14ac:dyDescent="0.2">
      <c r="H246" t="s">
        <v>1457</v>
      </c>
      <c r="I246" t="s">
        <v>1458</v>
      </c>
      <c r="N246" t="str">
        <f>IFERROR(INDEX(_courses_lookup!$C:$C,MATCH(J246&amp;K246,_courses_lookup!$E:$E,0)),"")</f>
        <v/>
      </c>
      <c r="O246" t="str">
        <f>IFERROR(INDEX(_courses_lookup!$D:$D,MATCH(J246&amp;K246,_courses_lookup!$E:$E,0)),"")</f>
        <v/>
      </c>
      <c r="AD246" t="str">
        <f t="shared" si="24"/>
        <v/>
      </c>
      <c r="AG246" t="str">
        <f t="shared" si="25"/>
        <v/>
      </c>
      <c r="AI246" t="str">
        <f t="shared" si="26"/>
        <v/>
      </c>
      <c r="AK246" t="str">
        <f t="shared" si="27"/>
        <v/>
      </c>
      <c r="AL246" t="str">
        <f t="shared" si="28"/>
        <v/>
      </c>
      <c r="AM246" t="str">
        <f t="shared" si="29"/>
        <v/>
      </c>
      <c r="AX246" t="str">
        <f t="shared" si="30"/>
        <v/>
      </c>
      <c r="AY246" t="str">
        <f t="shared" si="31"/>
        <v/>
      </c>
      <c r="BB246" t="s">
        <v>321</v>
      </c>
      <c r="BC246" t="str">
        <f>IFERROR(INDEX(_names_lookup!$C:$C,MATCH(BB246,_names_lookup!$A:$A,0)),"")</f>
        <v>kuhn@andrews.edu</v>
      </c>
      <c r="BD246" t="str">
        <f>IFERROR(INDEX(_names_lookup!$B:$B,MATCH(BB246,_names_lookup!$A:$A,0)),"")</f>
        <v>000067555</v>
      </c>
    </row>
    <row r="247" spans="8:56" x14ac:dyDescent="0.2">
      <c r="H247" t="s">
        <v>1459</v>
      </c>
      <c r="I247" t="s">
        <v>1460</v>
      </c>
      <c r="N247" t="str">
        <f>IFERROR(INDEX(_courses_lookup!$C:$C,MATCH(J247&amp;K247,_courses_lookup!$E:$E,0)),"")</f>
        <v/>
      </c>
      <c r="O247" t="str">
        <f>IFERROR(INDEX(_courses_lookup!$D:$D,MATCH(J247&amp;K247,_courses_lookup!$E:$E,0)),"")</f>
        <v/>
      </c>
      <c r="AD247" t="str">
        <f t="shared" si="24"/>
        <v/>
      </c>
      <c r="AG247" t="str">
        <f t="shared" si="25"/>
        <v/>
      </c>
      <c r="AI247" t="str">
        <f t="shared" si="26"/>
        <v/>
      </c>
      <c r="AK247" t="str">
        <f t="shared" si="27"/>
        <v/>
      </c>
      <c r="AL247" t="str">
        <f t="shared" si="28"/>
        <v/>
      </c>
      <c r="AM247" t="str">
        <f t="shared" si="29"/>
        <v/>
      </c>
      <c r="AX247" t="str">
        <f t="shared" si="30"/>
        <v/>
      </c>
      <c r="AY247" t="str">
        <f t="shared" si="31"/>
        <v/>
      </c>
      <c r="BB247" t="s">
        <v>322</v>
      </c>
      <c r="BC247" t="str">
        <f>IFERROR(INDEX(_names_lookup!$C:$C,MATCH(BB247,_names_lookup!$A:$A,0)),"")</f>
        <v>rmaier@andrews.edu</v>
      </c>
      <c r="BD247" t="str">
        <f>IFERROR(INDEX(_names_lookup!$B:$B,MATCH(BB247,_names_lookup!$A:$A,0)),"")</f>
        <v>000019537</v>
      </c>
    </row>
    <row r="248" spans="8:56" x14ac:dyDescent="0.2">
      <c r="H248" t="s">
        <v>1461</v>
      </c>
      <c r="I248" t="s">
        <v>1462</v>
      </c>
      <c r="N248" t="str">
        <f>IFERROR(INDEX(_courses_lookup!$C:$C,MATCH(J248&amp;K248,_courses_lookup!$E:$E,0)),"")</f>
        <v/>
      </c>
      <c r="O248" t="str">
        <f>IFERROR(INDEX(_courses_lookup!$D:$D,MATCH(J248&amp;K248,_courses_lookup!$E:$E,0)),"")</f>
        <v/>
      </c>
      <c r="AD248" t="str">
        <f t="shared" si="24"/>
        <v/>
      </c>
      <c r="AG248" t="str">
        <f t="shared" si="25"/>
        <v/>
      </c>
      <c r="AI248" t="str">
        <f t="shared" si="26"/>
        <v/>
      </c>
      <c r="AK248" t="str">
        <f t="shared" si="27"/>
        <v/>
      </c>
      <c r="AL248" t="str">
        <f t="shared" si="28"/>
        <v/>
      </c>
      <c r="AM248" t="str">
        <f t="shared" si="29"/>
        <v/>
      </c>
      <c r="AX248" t="str">
        <f t="shared" si="30"/>
        <v/>
      </c>
      <c r="AY248" t="str">
        <f t="shared" si="31"/>
        <v/>
      </c>
      <c r="BB248" t="s">
        <v>323</v>
      </c>
      <c r="BC248" t="str">
        <f>IFERROR(INDEX(_names_lookup!$C:$C,MATCH(BB248,_names_lookup!$A:$A,0)),"")</f>
        <v>mcedward@andrews.edu</v>
      </c>
      <c r="BD248" t="str">
        <f>IFERROR(INDEX(_names_lookup!$B:$B,MATCH(BB248,_names_lookup!$A:$A,0)),"")</f>
        <v>000062229</v>
      </c>
    </row>
    <row r="249" spans="8:56" x14ac:dyDescent="0.2">
      <c r="H249" t="s">
        <v>1463</v>
      </c>
      <c r="I249" t="s">
        <v>1464</v>
      </c>
      <c r="N249" t="str">
        <f>IFERROR(INDEX(_courses_lookup!$C:$C,MATCH(J249&amp;K249,_courses_lookup!$E:$E,0)),"")</f>
        <v/>
      </c>
      <c r="O249" t="str">
        <f>IFERROR(INDEX(_courses_lookup!$D:$D,MATCH(J249&amp;K249,_courses_lookup!$E:$E,0)),"")</f>
        <v/>
      </c>
      <c r="AD249" t="str">
        <f t="shared" si="24"/>
        <v/>
      </c>
      <c r="AG249" t="str">
        <f t="shared" si="25"/>
        <v/>
      </c>
      <c r="AI249" t="str">
        <f t="shared" si="26"/>
        <v/>
      </c>
      <c r="AK249" t="str">
        <f t="shared" si="27"/>
        <v/>
      </c>
      <c r="AL249" t="str">
        <f t="shared" si="28"/>
        <v/>
      </c>
      <c r="AM249" t="str">
        <f t="shared" si="29"/>
        <v/>
      </c>
      <c r="AX249" t="str">
        <f t="shared" si="30"/>
        <v/>
      </c>
      <c r="AY249" t="str">
        <f t="shared" si="31"/>
        <v/>
      </c>
      <c r="BB249" t="s">
        <v>324</v>
      </c>
      <c r="BC249" t="str">
        <f>IFERROR(INDEX(_names_lookup!$C:$C,MATCH(BB249,_names_lookup!$A:$A,0)),"")</f>
        <v>cmercado@andrews.edu</v>
      </c>
      <c r="BD249" t="str">
        <f>IFERROR(INDEX(_names_lookup!$B:$B,MATCH(BB249,_names_lookup!$A:$A,0)),"")</f>
        <v>000016682</v>
      </c>
    </row>
    <row r="250" spans="8:56" x14ac:dyDescent="0.2">
      <c r="H250" t="s">
        <v>1465</v>
      </c>
      <c r="I250" t="s">
        <v>1466</v>
      </c>
      <c r="N250" t="str">
        <f>IFERROR(INDEX(_courses_lookup!$C:$C,MATCH(J250&amp;K250,_courses_lookup!$E:$E,0)),"")</f>
        <v/>
      </c>
      <c r="O250" t="str">
        <f>IFERROR(INDEX(_courses_lookup!$D:$D,MATCH(J250&amp;K250,_courses_lookup!$E:$E,0)),"")</f>
        <v/>
      </c>
      <c r="AD250" t="str">
        <f t="shared" si="24"/>
        <v/>
      </c>
      <c r="AG250" t="str">
        <f t="shared" si="25"/>
        <v/>
      </c>
      <c r="AI250" t="str">
        <f t="shared" si="26"/>
        <v/>
      </c>
      <c r="AK250" t="str">
        <f t="shared" si="27"/>
        <v/>
      </c>
      <c r="AL250" t="str">
        <f t="shared" si="28"/>
        <v/>
      </c>
      <c r="AM250" t="str">
        <f t="shared" si="29"/>
        <v/>
      </c>
      <c r="AX250" t="str">
        <f t="shared" si="30"/>
        <v/>
      </c>
      <c r="AY250" t="str">
        <f t="shared" si="31"/>
        <v/>
      </c>
      <c r="BB250" t="s">
        <v>325</v>
      </c>
      <c r="BC250" t="str">
        <f>IFERROR(INDEX(_names_lookup!$C:$C,MATCH(BB250,_names_lookup!$A:$A,0)),"")</f>
        <v>lmerklin@andrews.edu</v>
      </c>
      <c r="BD250" t="str">
        <f>IFERROR(INDEX(_names_lookup!$B:$B,MATCH(BB250,_names_lookup!$A:$A,0)),"")</f>
        <v>000019722</v>
      </c>
    </row>
    <row r="251" spans="8:56" x14ac:dyDescent="0.2">
      <c r="H251" t="s">
        <v>1467</v>
      </c>
      <c r="I251" t="s">
        <v>1468</v>
      </c>
      <c r="N251" t="str">
        <f>IFERROR(INDEX(_courses_lookup!$C:$C,MATCH(J251&amp;K251,_courses_lookup!$E:$E,0)),"")</f>
        <v/>
      </c>
      <c r="O251" t="str">
        <f>IFERROR(INDEX(_courses_lookup!$D:$D,MATCH(J251&amp;K251,_courses_lookup!$E:$E,0)),"")</f>
        <v/>
      </c>
      <c r="AD251" t="str">
        <f t="shared" si="24"/>
        <v/>
      </c>
      <c r="AG251" t="str">
        <f t="shared" si="25"/>
        <v/>
      </c>
      <c r="AI251" t="str">
        <f t="shared" si="26"/>
        <v/>
      </c>
      <c r="AK251" t="str">
        <f t="shared" si="27"/>
        <v/>
      </c>
      <c r="AL251" t="str">
        <f t="shared" si="28"/>
        <v/>
      </c>
      <c r="AM251" t="str">
        <f t="shared" si="29"/>
        <v/>
      </c>
      <c r="AX251" t="str">
        <f t="shared" si="30"/>
        <v/>
      </c>
      <c r="AY251" t="str">
        <f t="shared" si="31"/>
        <v/>
      </c>
      <c r="BB251" t="s">
        <v>326</v>
      </c>
      <c r="BC251" t="str">
        <f>IFERROR(INDEX(_names_lookup!$C:$C,MATCH(BB251,_names_lookup!$A:$A,0)),"")</f>
        <v>sergo@andrews.edu</v>
      </c>
      <c r="BD251" t="str">
        <f>IFERROR(INDEX(_names_lookup!$B:$B,MATCH(BB251,_names_lookup!$A:$A,0)),"")</f>
        <v>000112386</v>
      </c>
    </row>
    <row r="252" spans="8:56" x14ac:dyDescent="0.2">
      <c r="H252" t="s">
        <v>1469</v>
      </c>
      <c r="I252" t="s">
        <v>1470</v>
      </c>
      <c r="N252" t="str">
        <f>IFERROR(INDEX(_courses_lookup!$C:$C,MATCH(J252&amp;K252,_courses_lookup!$E:$E,0)),"")</f>
        <v/>
      </c>
      <c r="O252" t="str">
        <f>IFERROR(INDEX(_courses_lookup!$D:$D,MATCH(J252&amp;K252,_courses_lookup!$E:$E,0)),"")</f>
        <v/>
      </c>
      <c r="AD252" t="str">
        <f t="shared" si="24"/>
        <v/>
      </c>
      <c r="AG252" t="str">
        <f t="shared" si="25"/>
        <v/>
      </c>
      <c r="AI252" t="str">
        <f t="shared" si="26"/>
        <v/>
      </c>
      <c r="AK252" t="str">
        <f t="shared" si="27"/>
        <v/>
      </c>
      <c r="AL252" t="str">
        <f t="shared" si="28"/>
        <v/>
      </c>
      <c r="AM252" t="str">
        <f t="shared" si="29"/>
        <v/>
      </c>
      <c r="AX252" t="str">
        <f t="shared" si="30"/>
        <v/>
      </c>
      <c r="AY252" t="str">
        <f t="shared" si="31"/>
        <v/>
      </c>
      <c r="BB252" t="s">
        <v>327</v>
      </c>
      <c r="BC252" t="str">
        <f>IFERROR(INDEX(_names_lookup!$C:$C,MATCH(BB252,_names_lookup!$A:$A,0)),"")</f>
        <v>onongha@andrews.edu</v>
      </c>
      <c r="BD252" t="str">
        <f>IFERROR(INDEX(_names_lookup!$B:$B,MATCH(BB252,_names_lookup!$A:$A,0)),"")</f>
        <v>000056502</v>
      </c>
    </row>
    <row r="253" spans="8:56" x14ac:dyDescent="0.2">
      <c r="H253" t="s">
        <v>1471</v>
      </c>
      <c r="I253" t="s">
        <v>1472</v>
      </c>
      <c r="N253" t="str">
        <f>IFERROR(INDEX(_courses_lookup!$C:$C,MATCH(J253&amp;K253,_courses_lookup!$E:$E,0)),"")</f>
        <v/>
      </c>
      <c r="O253" t="str">
        <f>IFERROR(INDEX(_courses_lookup!$D:$D,MATCH(J253&amp;K253,_courses_lookup!$E:$E,0)),"")</f>
        <v/>
      </c>
      <c r="AD253" t="str">
        <f t="shared" si="24"/>
        <v/>
      </c>
      <c r="AG253" t="str">
        <f t="shared" si="25"/>
        <v/>
      </c>
      <c r="AI253" t="str">
        <f t="shared" si="26"/>
        <v/>
      </c>
      <c r="AK253" t="str">
        <f t="shared" si="27"/>
        <v/>
      </c>
      <c r="AL253" t="str">
        <f t="shared" si="28"/>
        <v/>
      </c>
      <c r="AM253" t="str">
        <f t="shared" si="29"/>
        <v/>
      </c>
      <c r="AX253" t="str">
        <f t="shared" si="30"/>
        <v/>
      </c>
      <c r="AY253" t="str">
        <f t="shared" si="31"/>
        <v/>
      </c>
      <c r="BB253" t="s">
        <v>328</v>
      </c>
      <c r="BC253" t="str">
        <f>IFERROR(INDEX(_names_lookup!$C:$C,MATCH(BB253,_names_lookup!$A:$A,0)),"")</f>
        <v>osindo@andrews.edu</v>
      </c>
      <c r="BD253" t="str">
        <f>IFERROR(INDEX(_names_lookup!$B:$B,MATCH(BB253,_names_lookup!$A:$A,0)),"")</f>
        <v>000160575</v>
      </c>
    </row>
    <row r="254" spans="8:56" x14ac:dyDescent="0.2">
      <c r="H254" t="s">
        <v>1473</v>
      </c>
      <c r="I254" t="s">
        <v>1474</v>
      </c>
      <c r="N254" t="str">
        <f>IFERROR(INDEX(_courses_lookup!$C:$C,MATCH(J254&amp;K254,_courses_lookup!$E:$E,0)),"")</f>
        <v/>
      </c>
      <c r="O254" t="str">
        <f>IFERROR(INDEX(_courses_lookup!$D:$D,MATCH(J254&amp;K254,_courses_lookup!$E:$E,0)),"")</f>
        <v/>
      </c>
      <c r="AD254" t="str">
        <f t="shared" si="24"/>
        <v/>
      </c>
      <c r="AG254" t="str">
        <f t="shared" si="25"/>
        <v/>
      </c>
      <c r="AI254" t="str">
        <f t="shared" si="26"/>
        <v/>
      </c>
      <c r="AK254" t="str">
        <f t="shared" si="27"/>
        <v/>
      </c>
      <c r="AL254" t="str">
        <f t="shared" si="28"/>
        <v/>
      </c>
      <c r="AM254" t="str">
        <f t="shared" si="29"/>
        <v/>
      </c>
      <c r="AX254" t="str">
        <f t="shared" si="30"/>
        <v/>
      </c>
      <c r="AY254" t="str">
        <f t="shared" si="31"/>
        <v/>
      </c>
      <c r="BB254" t="s">
        <v>329</v>
      </c>
      <c r="BC254" t="str">
        <f>IFERROR(INDEX(_names_lookup!$C:$C,MATCH(BB254,_names_lookup!$A:$A,0)),"")</f>
        <v>profetadep@andrews.edu</v>
      </c>
      <c r="BD254" t="str">
        <f>IFERROR(INDEX(_names_lookup!$B:$B,MATCH(BB254,_names_lookup!$A:$A,0)),"")</f>
        <v>000144385</v>
      </c>
    </row>
    <row r="255" spans="8:56" x14ac:dyDescent="0.2">
      <c r="H255" t="s">
        <v>1475</v>
      </c>
      <c r="I255" t="s">
        <v>1476</v>
      </c>
      <c r="N255" t="str">
        <f>IFERROR(INDEX(_courses_lookup!$C:$C,MATCH(J255&amp;K255,_courses_lookup!$E:$E,0)),"")</f>
        <v/>
      </c>
      <c r="O255" t="str">
        <f>IFERROR(INDEX(_courses_lookup!$D:$D,MATCH(J255&amp;K255,_courses_lookup!$E:$E,0)),"")</f>
        <v/>
      </c>
      <c r="AD255" t="str">
        <f t="shared" si="24"/>
        <v/>
      </c>
      <c r="AG255" t="str">
        <f t="shared" si="25"/>
        <v/>
      </c>
      <c r="AI255" t="str">
        <f t="shared" si="26"/>
        <v/>
      </c>
      <c r="AK255" t="str">
        <f t="shared" si="27"/>
        <v/>
      </c>
      <c r="AL255" t="str">
        <f t="shared" si="28"/>
        <v/>
      </c>
      <c r="AM255" t="str">
        <f t="shared" si="29"/>
        <v/>
      </c>
      <c r="AX255" t="str">
        <f t="shared" si="30"/>
        <v/>
      </c>
      <c r="AY255" t="str">
        <f t="shared" si="31"/>
        <v/>
      </c>
      <c r="BB255" t="s">
        <v>330</v>
      </c>
      <c r="BC255" t="str">
        <f>IFERROR(INDEX(_names_lookup!$C:$C,MATCH(BB255,_names_lookup!$A:$A,0)),"")</f>
        <v>tompkina@andrews.edu</v>
      </c>
      <c r="BD255" t="str">
        <f>IFERROR(INDEX(_names_lookup!$B:$B,MATCH(BB255,_names_lookup!$A:$A,0)),"")</f>
        <v>000122109</v>
      </c>
    </row>
    <row r="256" spans="8:56" x14ac:dyDescent="0.2">
      <c r="H256" t="s">
        <v>1477</v>
      </c>
      <c r="I256" t="s">
        <v>1478</v>
      </c>
      <c r="N256" t="str">
        <f>IFERROR(INDEX(_courses_lookup!$C:$C,MATCH(J256&amp;K256,_courses_lookup!$E:$E,0)),"")</f>
        <v/>
      </c>
      <c r="O256" t="str">
        <f>IFERROR(INDEX(_courses_lookup!$D:$D,MATCH(J256&amp;K256,_courses_lookup!$E:$E,0)),"")</f>
        <v/>
      </c>
      <c r="AD256" t="str">
        <f t="shared" si="24"/>
        <v/>
      </c>
      <c r="AG256" t="str">
        <f t="shared" si="25"/>
        <v/>
      </c>
      <c r="AI256" t="str">
        <f t="shared" si="26"/>
        <v/>
      </c>
      <c r="AK256" t="str">
        <f t="shared" si="27"/>
        <v/>
      </c>
      <c r="AL256" t="str">
        <f t="shared" si="28"/>
        <v/>
      </c>
      <c r="AM256" t="str">
        <f t="shared" si="29"/>
        <v/>
      </c>
      <c r="AX256" t="str">
        <f t="shared" si="30"/>
        <v/>
      </c>
      <c r="AY256" t="str">
        <f t="shared" si="31"/>
        <v/>
      </c>
      <c r="BB256" t="s">
        <v>331</v>
      </c>
      <c r="BC256" t="str">
        <f>IFERROR(INDEX(_names_lookup!$C:$C,MATCH(BB256,_names_lookup!$A:$A,0)),"")</f>
        <v>micheletw@andrews.edu</v>
      </c>
      <c r="BD256" t="str">
        <f>IFERROR(INDEX(_names_lookup!$B:$B,MATCH(BB256,_names_lookup!$A:$A,0)),"")</f>
        <v>000089121</v>
      </c>
    </row>
    <row r="257" spans="8:56" x14ac:dyDescent="0.2">
      <c r="H257" t="s">
        <v>1479</v>
      </c>
      <c r="I257" t="s">
        <v>1480</v>
      </c>
      <c r="N257" t="str">
        <f>IFERROR(INDEX(_courses_lookup!$C:$C,MATCH(J257&amp;K257,_courses_lookup!$E:$E,0)),"")</f>
        <v/>
      </c>
      <c r="O257" t="str">
        <f>IFERROR(INDEX(_courses_lookup!$D:$D,MATCH(J257&amp;K257,_courses_lookup!$E:$E,0)),"")</f>
        <v/>
      </c>
      <c r="AD257" t="str">
        <f t="shared" si="24"/>
        <v/>
      </c>
      <c r="AG257" t="str">
        <f t="shared" si="25"/>
        <v/>
      </c>
      <c r="AI257" t="str">
        <f t="shared" si="26"/>
        <v/>
      </c>
      <c r="AK257" t="str">
        <f t="shared" si="27"/>
        <v/>
      </c>
      <c r="AL257" t="str">
        <f t="shared" si="28"/>
        <v/>
      </c>
      <c r="AM257" t="str">
        <f t="shared" si="29"/>
        <v/>
      </c>
      <c r="AX257" t="str">
        <f t="shared" si="30"/>
        <v/>
      </c>
      <c r="AY257" t="str">
        <f t="shared" si="31"/>
        <v/>
      </c>
      <c r="BB257" t="s">
        <v>332</v>
      </c>
      <c r="BC257" t="str">
        <f>IFERROR(INDEX(_names_lookup!$C:$C,MATCH(BB257,_names_lookup!$A:$A,0)),"")</f>
        <v>makhti@andrews.edu</v>
      </c>
      <c r="BD257" t="str">
        <f>IFERROR(INDEX(_names_lookup!$B:$B,MATCH(BB257,_names_lookup!$A:$A,0)),"")</f>
        <v>000160361</v>
      </c>
    </row>
    <row r="258" spans="8:56" x14ac:dyDescent="0.2">
      <c r="H258" t="s">
        <v>1481</v>
      </c>
      <c r="I258" t="s">
        <v>1482</v>
      </c>
      <c r="N258" t="str">
        <f>IFERROR(INDEX(_courses_lookup!$C:$C,MATCH(J258&amp;K258,_courses_lookup!$E:$E,0)),"")</f>
        <v/>
      </c>
      <c r="O258" t="str">
        <f>IFERROR(INDEX(_courses_lookup!$D:$D,MATCH(J258&amp;K258,_courses_lookup!$E:$E,0)),"")</f>
        <v/>
      </c>
      <c r="AD258" t="str">
        <f t="shared" ref="AD258:AD321" si="32">IFERROR(IF(AB258*AC258=0,"",AB258*AC258),"")</f>
        <v/>
      </c>
      <c r="AG258" t="str">
        <f t="shared" ref="AG258:AG321" si="33">IF(AND(AE258&lt;&gt;"",AF258&lt;&gt;""),ROUNDUP((AF258-AE258)/7,0),"")</f>
        <v/>
      </c>
      <c r="AI258" t="str">
        <f t="shared" ref="AI258:AI321" si="34">IFERROR(IF(AG258*AH258=0,"",AG258*AH258),"")</f>
        <v/>
      </c>
      <c r="AK258" t="str">
        <f t="shared" ref="AK258:AK321" si="35">IFERROR(IF((AN258-(AD258+AI258))/AJ258=0,"",ROUNDUP((AN258-(AD258+AI258))/AJ258,0)),"")</f>
        <v/>
      </c>
      <c r="AL258" t="str">
        <f t="shared" ref="AL258:AL300" si="36">IFERROR(IF((AN258-(AD258+AI258))=0,"",(AN258-(AD258+AI258))),"")</f>
        <v/>
      </c>
      <c r="AM258" t="str">
        <f t="shared" ref="AM258:AM300" si="37">IF(AND(AB258="",AJ258=""),AG258,IF(SUM(AB258,AG258,AJ258)=0,"",SUM(AB258,AG258,AJ258)))</f>
        <v/>
      </c>
      <c r="AX258" t="str">
        <f t="shared" ref="AX258:AX300" si="38">IF(AA258="","",YEAR(AA258)+IF(MONTH(AA258)&gt;=5,1,0))</f>
        <v/>
      </c>
      <c r="AY258" t="str">
        <f t="shared" ref="AY258:AY300" si="39">IF(AA258="","",IF(AND(MONTH(AA258)=8,DAY(AA258)&gt;=15),"Fall",IF(MONTH(AA258)&gt;8,"Fall",IF(MONTH(AA258)=5,"Summer",IF(MONTH(AA258)=1,"Spring","")))))</f>
        <v/>
      </c>
      <c r="BB258" t="s">
        <v>333</v>
      </c>
      <c r="BC258" t="str">
        <f>IFERROR(INDEX(_names_lookup!$C:$C,MATCH(BB258,_names_lookup!$A:$A,0)),"")</f>
        <v>zubkov@andrews.edu</v>
      </c>
      <c r="BD258" t="str">
        <f>IFERROR(INDEX(_names_lookup!$B:$B,MATCH(BB258,_names_lookup!$A:$A,0)),"")</f>
        <v>000126778</v>
      </c>
    </row>
    <row r="259" spans="8:56" x14ac:dyDescent="0.2">
      <c r="H259" t="s">
        <v>1483</v>
      </c>
      <c r="I259" t="s">
        <v>1484</v>
      </c>
      <c r="N259" t="str">
        <f>IFERROR(INDEX(_courses_lookup!$C:$C,MATCH(J259&amp;K259,_courses_lookup!$E:$E,0)),"")</f>
        <v/>
      </c>
      <c r="O259" t="str">
        <f>IFERROR(INDEX(_courses_lookup!$D:$D,MATCH(J259&amp;K259,_courses_lookup!$E:$E,0)),"")</f>
        <v/>
      </c>
      <c r="AD259" t="str">
        <f t="shared" si="32"/>
        <v/>
      </c>
      <c r="AG259" t="str">
        <f t="shared" si="33"/>
        <v/>
      </c>
      <c r="AI259" t="str">
        <f t="shared" si="34"/>
        <v/>
      </c>
      <c r="AK259" t="str">
        <f t="shared" si="35"/>
        <v/>
      </c>
      <c r="AL259" t="str">
        <f t="shared" si="36"/>
        <v/>
      </c>
      <c r="AM259" t="str">
        <f t="shared" si="37"/>
        <v/>
      </c>
      <c r="AX259" t="str">
        <f t="shared" si="38"/>
        <v/>
      </c>
      <c r="AY259" t="str">
        <f t="shared" si="39"/>
        <v/>
      </c>
      <c r="BC259" t="str">
        <f>IFERROR(INDEX(_names_lookup!$C:$C,MATCH(BB259,_names_lookup!$A:$A,0)),"")</f>
        <v/>
      </c>
      <c r="BD259" t="str">
        <f>IFERROR(INDEX(_names_lookup!$B:$B,MATCH(BB259,_names_lookup!$A:$A,0)),"")</f>
        <v/>
      </c>
    </row>
    <row r="260" spans="8:56" x14ac:dyDescent="0.2">
      <c r="H260" t="s">
        <v>1485</v>
      </c>
      <c r="I260" t="s">
        <v>1486</v>
      </c>
      <c r="N260" t="str">
        <f>IFERROR(INDEX(_courses_lookup!$C:$C,MATCH(J260&amp;K260,_courses_lookup!$E:$E,0)),"")</f>
        <v/>
      </c>
      <c r="O260" t="str">
        <f>IFERROR(INDEX(_courses_lookup!$D:$D,MATCH(J260&amp;K260,_courses_lookup!$E:$E,0)),"")</f>
        <v/>
      </c>
      <c r="AD260" t="str">
        <f t="shared" si="32"/>
        <v/>
      </c>
      <c r="AG260" t="str">
        <f t="shared" si="33"/>
        <v/>
      </c>
      <c r="AI260" t="str">
        <f t="shared" si="34"/>
        <v/>
      </c>
      <c r="AK260" t="str">
        <f t="shared" si="35"/>
        <v/>
      </c>
      <c r="AL260" t="str">
        <f t="shared" si="36"/>
        <v/>
      </c>
      <c r="AM260" t="str">
        <f t="shared" si="37"/>
        <v/>
      </c>
      <c r="AX260" t="str">
        <f t="shared" si="38"/>
        <v/>
      </c>
      <c r="AY260" t="str">
        <f t="shared" si="39"/>
        <v/>
      </c>
      <c r="BC260" t="str">
        <f>IFERROR(INDEX(_names_lookup!$C:$C,MATCH(BB260,_names_lookup!$A:$A,0)),"")</f>
        <v/>
      </c>
      <c r="BD260" t="str">
        <f>IFERROR(INDEX(_names_lookup!$B:$B,MATCH(BB260,_names_lookup!$A:$A,0)),"")</f>
        <v/>
      </c>
    </row>
    <row r="261" spans="8:56" x14ac:dyDescent="0.2">
      <c r="H261" t="s">
        <v>1487</v>
      </c>
      <c r="I261" t="s">
        <v>1488</v>
      </c>
      <c r="N261" t="str">
        <f>IFERROR(INDEX(_courses_lookup!$C:$C,MATCH(J261&amp;K261,_courses_lookup!$E:$E,0)),"")</f>
        <v/>
      </c>
      <c r="O261" t="str">
        <f>IFERROR(INDEX(_courses_lookup!$D:$D,MATCH(J261&amp;K261,_courses_lookup!$E:$E,0)),"")</f>
        <v/>
      </c>
      <c r="AD261" t="str">
        <f t="shared" si="32"/>
        <v/>
      </c>
      <c r="AG261" t="str">
        <f t="shared" si="33"/>
        <v/>
      </c>
      <c r="AI261" t="str">
        <f t="shared" si="34"/>
        <v/>
      </c>
      <c r="AK261" t="str">
        <f t="shared" si="35"/>
        <v/>
      </c>
      <c r="AL261" t="str">
        <f t="shared" si="36"/>
        <v/>
      </c>
      <c r="AM261" t="str">
        <f t="shared" si="37"/>
        <v/>
      </c>
      <c r="AX261" t="str">
        <f t="shared" si="38"/>
        <v/>
      </c>
      <c r="AY261" t="str">
        <f t="shared" si="39"/>
        <v/>
      </c>
      <c r="BC261" t="str">
        <f>IFERROR(INDEX(_names_lookup!$C:$C,MATCH(BB261,_names_lookup!$A:$A,0)),"")</f>
        <v/>
      </c>
      <c r="BD261" t="str">
        <f>IFERROR(INDEX(_names_lookup!$B:$B,MATCH(BB261,_names_lookup!$A:$A,0)),"")</f>
        <v/>
      </c>
    </row>
    <row r="262" spans="8:56" x14ac:dyDescent="0.2">
      <c r="H262" t="s">
        <v>1489</v>
      </c>
      <c r="I262" t="s">
        <v>1490</v>
      </c>
      <c r="N262" t="str">
        <f>IFERROR(INDEX(_courses_lookup!$C:$C,MATCH(J262&amp;K262,_courses_lookup!$E:$E,0)),"")</f>
        <v/>
      </c>
      <c r="O262" t="str">
        <f>IFERROR(INDEX(_courses_lookup!$D:$D,MATCH(J262&amp;K262,_courses_lookup!$E:$E,0)),"")</f>
        <v/>
      </c>
      <c r="AD262" t="str">
        <f t="shared" si="32"/>
        <v/>
      </c>
      <c r="AG262" t="str">
        <f t="shared" si="33"/>
        <v/>
      </c>
      <c r="AI262" t="str">
        <f t="shared" si="34"/>
        <v/>
      </c>
      <c r="AK262" t="str">
        <f t="shared" si="35"/>
        <v/>
      </c>
      <c r="AL262" t="str">
        <f t="shared" si="36"/>
        <v/>
      </c>
      <c r="AM262" t="str">
        <f t="shared" si="37"/>
        <v/>
      </c>
      <c r="AX262" t="str">
        <f t="shared" si="38"/>
        <v/>
      </c>
      <c r="AY262" t="str">
        <f t="shared" si="39"/>
        <v/>
      </c>
      <c r="BC262" t="str">
        <f>IFERROR(INDEX(_names_lookup!$C:$C,MATCH(BB262,_names_lookup!$A:$A,0)),"")</f>
        <v/>
      </c>
      <c r="BD262" t="str">
        <f>IFERROR(INDEX(_names_lookup!$B:$B,MATCH(BB262,_names_lookup!$A:$A,0)),"")</f>
        <v/>
      </c>
    </row>
    <row r="263" spans="8:56" x14ac:dyDescent="0.2">
      <c r="H263" t="s">
        <v>1491</v>
      </c>
      <c r="I263" t="s">
        <v>1492</v>
      </c>
      <c r="N263" t="str">
        <f>IFERROR(INDEX(_courses_lookup!$C:$C,MATCH(J263&amp;K263,_courses_lookup!$E:$E,0)),"")</f>
        <v/>
      </c>
      <c r="O263" t="str">
        <f>IFERROR(INDEX(_courses_lookup!$D:$D,MATCH(J263&amp;K263,_courses_lookup!$E:$E,0)),"")</f>
        <v/>
      </c>
      <c r="AD263" t="str">
        <f t="shared" si="32"/>
        <v/>
      </c>
      <c r="AG263" t="str">
        <f t="shared" si="33"/>
        <v/>
      </c>
      <c r="AI263" t="str">
        <f t="shared" si="34"/>
        <v/>
      </c>
      <c r="AK263" t="str">
        <f t="shared" si="35"/>
        <v/>
      </c>
      <c r="AL263" t="str">
        <f t="shared" si="36"/>
        <v/>
      </c>
      <c r="AM263" t="str">
        <f t="shared" si="37"/>
        <v/>
      </c>
      <c r="AX263" t="str">
        <f t="shared" si="38"/>
        <v/>
      </c>
      <c r="AY263" t="str">
        <f t="shared" si="39"/>
        <v/>
      </c>
      <c r="BC263" t="str">
        <f>IFERROR(INDEX(_names_lookup!$C:$C,MATCH(BB263,_names_lookup!$A:$A,0)),"")</f>
        <v/>
      </c>
      <c r="BD263" t="str">
        <f>IFERROR(INDEX(_names_lookup!$B:$B,MATCH(BB263,_names_lookup!$A:$A,0)),"")</f>
        <v/>
      </c>
    </row>
    <row r="264" spans="8:56" x14ac:dyDescent="0.2">
      <c r="H264" t="s">
        <v>1493</v>
      </c>
      <c r="I264" t="s">
        <v>1494</v>
      </c>
      <c r="N264" t="str">
        <f>IFERROR(INDEX(_courses_lookup!$C:$C,MATCH(J264&amp;K264,_courses_lookup!$E:$E,0)),"")</f>
        <v/>
      </c>
      <c r="O264" t="str">
        <f>IFERROR(INDEX(_courses_lookup!$D:$D,MATCH(J264&amp;K264,_courses_lookup!$E:$E,0)),"")</f>
        <v/>
      </c>
      <c r="AD264" t="str">
        <f t="shared" si="32"/>
        <v/>
      </c>
      <c r="AG264" t="str">
        <f t="shared" si="33"/>
        <v/>
      </c>
      <c r="AI264" t="str">
        <f t="shared" si="34"/>
        <v/>
      </c>
      <c r="AK264" t="str">
        <f t="shared" si="35"/>
        <v/>
      </c>
      <c r="AL264" t="str">
        <f t="shared" si="36"/>
        <v/>
      </c>
      <c r="AM264" t="str">
        <f t="shared" si="37"/>
        <v/>
      </c>
      <c r="AX264" t="str">
        <f t="shared" si="38"/>
        <v/>
      </c>
      <c r="AY264" t="str">
        <f t="shared" si="39"/>
        <v/>
      </c>
      <c r="BC264" t="str">
        <f>IFERROR(INDEX(_names_lookup!$C:$C,MATCH(BB264,_names_lookup!$A:$A,0)),"")</f>
        <v/>
      </c>
      <c r="BD264" t="str">
        <f>IFERROR(INDEX(_names_lookup!$B:$B,MATCH(BB264,_names_lookup!$A:$A,0)),"")</f>
        <v/>
      </c>
    </row>
    <row r="265" spans="8:56" x14ac:dyDescent="0.2">
      <c r="H265" t="s">
        <v>1495</v>
      </c>
      <c r="I265" t="s">
        <v>1496</v>
      </c>
      <c r="N265" t="str">
        <f>IFERROR(INDEX(_courses_lookup!$C:$C,MATCH(J265&amp;K265,_courses_lookup!$E:$E,0)),"")</f>
        <v/>
      </c>
      <c r="O265" t="str">
        <f>IFERROR(INDEX(_courses_lookup!$D:$D,MATCH(J265&amp;K265,_courses_lookup!$E:$E,0)),"")</f>
        <v/>
      </c>
      <c r="AD265" t="str">
        <f t="shared" si="32"/>
        <v/>
      </c>
      <c r="AG265" t="str">
        <f t="shared" si="33"/>
        <v/>
      </c>
      <c r="AI265" t="str">
        <f t="shared" si="34"/>
        <v/>
      </c>
      <c r="AK265" t="str">
        <f t="shared" si="35"/>
        <v/>
      </c>
      <c r="AL265" t="str">
        <f t="shared" si="36"/>
        <v/>
      </c>
      <c r="AM265" t="str">
        <f t="shared" si="37"/>
        <v/>
      </c>
      <c r="AX265" t="str">
        <f t="shared" si="38"/>
        <v/>
      </c>
      <c r="AY265" t="str">
        <f t="shared" si="39"/>
        <v/>
      </c>
      <c r="BC265" t="str">
        <f>IFERROR(INDEX(_names_lookup!$C:$C,MATCH(BB265,_names_lookup!$A:$A,0)),"")</f>
        <v/>
      </c>
      <c r="BD265" t="str">
        <f>IFERROR(INDEX(_names_lookup!$B:$B,MATCH(BB265,_names_lookup!$A:$A,0)),"")</f>
        <v/>
      </c>
    </row>
    <row r="266" spans="8:56" x14ac:dyDescent="0.2">
      <c r="H266" t="s">
        <v>1497</v>
      </c>
      <c r="I266" t="s">
        <v>1498</v>
      </c>
      <c r="N266" t="str">
        <f>IFERROR(INDEX(_courses_lookup!$C:$C,MATCH(J266&amp;K266,_courses_lookup!$E:$E,0)),"")</f>
        <v/>
      </c>
      <c r="O266" t="str">
        <f>IFERROR(INDEX(_courses_lookup!$D:$D,MATCH(J266&amp;K266,_courses_lookup!$E:$E,0)),"")</f>
        <v/>
      </c>
      <c r="AD266" t="str">
        <f t="shared" si="32"/>
        <v/>
      </c>
      <c r="AG266" t="str">
        <f t="shared" si="33"/>
        <v/>
      </c>
      <c r="AI266" t="str">
        <f t="shared" si="34"/>
        <v/>
      </c>
      <c r="AK266" t="str">
        <f t="shared" si="35"/>
        <v/>
      </c>
      <c r="AL266" t="str">
        <f t="shared" si="36"/>
        <v/>
      </c>
      <c r="AM266" t="str">
        <f t="shared" si="37"/>
        <v/>
      </c>
      <c r="AX266" t="str">
        <f t="shared" si="38"/>
        <v/>
      </c>
      <c r="AY266" t="str">
        <f t="shared" si="39"/>
        <v/>
      </c>
      <c r="BC266" t="str">
        <f>IFERROR(INDEX(_names_lookup!$C:$C,MATCH(BB266,_names_lookup!$A:$A,0)),"")</f>
        <v/>
      </c>
      <c r="BD266" t="str">
        <f>IFERROR(INDEX(_names_lookup!$B:$B,MATCH(BB266,_names_lookup!$A:$A,0)),"")</f>
        <v/>
      </c>
    </row>
    <row r="267" spans="8:56" x14ac:dyDescent="0.2">
      <c r="H267" t="s">
        <v>1499</v>
      </c>
      <c r="I267" t="s">
        <v>1500</v>
      </c>
      <c r="N267" t="str">
        <f>IFERROR(INDEX(_courses_lookup!$C:$C,MATCH(J267&amp;K267,_courses_lookup!$E:$E,0)),"")</f>
        <v/>
      </c>
      <c r="O267" t="str">
        <f>IFERROR(INDEX(_courses_lookup!$D:$D,MATCH(J267&amp;K267,_courses_lookup!$E:$E,0)),"")</f>
        <v/>
      </c>
      <c r="AD267" t="str">
        <f t="shared" si="32"/>
        <v/>
      </c>
      <c r="AG267" t="str">
        <f t="shared" si="33"/>
        <v/>
      </c>
      <c r="AI267" t="str">
        <f t="shared" si="34"/>
        <v/>
      </c>
      <c r="AK267" t="str">
        <f t="shared" si="35"/>
        <v/>
      </c>
      <c r="AL267" t="str">
        <f t="shared" si="36"/>
        <v/>
      </c>
      <c r="AM267" t="str">
        <f t="shared" si="37"/>
        <v/>
      </c>
      <c r="AX267" t="str">
        <f t="shared" si="38"/>
        <v/>
      </c>
      <c r="AY267" t="str">
        <f t="shared" si="39"/>
        <v/>
      </c>
      <c r="BC267" t="str">
        <f>IFERROR(INDEX(_names_lookup!$C:$C,MATCH(BB267,_names_lookup!$A:$A,0)),"")</f>
        <v/>
      </c>
      <c r="BD267" t="str">
        <f>IFERROR(INDEX(_names_lookup!$B:$B,MATCH(BB267,_names_lookup!$A:$A,0)),"")</f>
        <v/>
      </c>
    </row>
    <row r="268" spans="8:56" x14ac:dyDescent="0.2">
      <c r="H268" t="s">
        <v>1501</v>
      </c>
      <c r="I268" t="s">
        <v>1502</v>
      </c>
      <c r="N268" t="str">
        <f>IFERROR(INDEX(_courses_lookup!$C:$C,MATCH(J268&amp;K268,_courses_lookup!$E:$E,0)),"")</f>
        <v/>
      </c>
      <c r="O268" t="str">
        <f>IFERROR(INDEX(_courses_lookup!$D:$D,MATCH(J268&amp;K268,_courses_lookup!$E:$E,0)),"")</f>
        <v/>
      </c>
      <c r="AD268" t="str">
        <f t="shared" si="32"/>
        <v/>
      </c>
      <c r="AG268" t="str">
        <f t="shared" si="33"/>
        <v/>
      </c>
      <c r="AI268" t="str">
        <f t="shared" si="34"/>
        <v/>
      </c>
      <c r="AK268" t="str">
        <f t="shared" si="35"/>
        <v/>
      </c>
      <c r="AL268" t="str">
        <f t="shared" si="36"/>
        <v/>
      </c>
      <c r="AM268" t="str">
        <f t="shared" si="37"/>
        <v/>
      </c>
      <c r="AX268" t="str">
        <f t="shared" si="38"/>
        <v/>
      </c>
      <c r="AY268" t="str">
        <f t="shared" si="39"/>
        <v/>
      </c>
      <c r="BC268" t="str">
        <f>IFERROR(INDEX(_names_lookup!$C:$C,MATCH(BB268,_names_lookup!$A:$A,0)),"")</f>
        <v/>
      </c>
      <c r="BD268" t="str">
        <f>IFERROR(INDEX(_names_lookup!$B:$B,MATCH(BB268,_names_lookup!$A:$A,0)),"")</f>
        <v/>
      </c>
    </row>
    <row r="269" spans="8:56" x14ac:dyDescent="0.2">
      <c r="H269" t="s">
        <v>1503</v>
      </c>
      <c r="I269" t="s">
        <v>1504</v>
      </c>
      <c r="N269" t="str">
        <f>IFERROR(INDEX(_courses_lookup!$C:$C,MATCH(J269&amp;K269,_courses_lookup!$E:$E,0)),"")</f>
        <v/>
      </c>
      <c r="O269" t="str">
        <f>IFERROR(INDEX(_courses_lookup!$D:$D,MATCH(J269&amp;K269,_courses_lookup!$E:$E,0)),"")</f>
        <v/>
      </c>
      <c r="AD269" t="str">
        <f t="shared" si="32"/>
        <v/>
      </c>
      <c r="AG269" t="str">
        <f t="shared" si="33"/>
        <v/>
      </c>
      <c r="AI269" t="str">
        <f t="shared" si="34"/>
        <v/>
      </c>
      <c r="AK269" t="str">
        <f t="shared" si="35"/>
        <v/>
      </c>
      <c r="AL269" t="str">
        <f t="shared" si="36"/>
        <v/>
      </c>
      <c r="AM269" t="str">
        <f t="shared" si="37"/>
        <v/>
      </c>
      <c r="AX269" t="str">
        <f t="shared" si="38"/>
        <v/>
      </c>
      <c r="AY269" t="str">
        <f t="shared" si="39"/>
        <v/>
      </c>
      <c r="BC269" t="str">
        <f>IFERROR(INDEX(_names_lookup!$C:$C,MATCH(BB269,_names_lookup!$A:$A,0)),"")</f>
        <v/>
      </c>
      <c r="BD269" t="str">
        <f>IFERROR(INDEX(_names_lookup!$B:$B,MATCH(BB269,_names_lookup!$A:$A,0)),"")</f>
        <v/>
      </c>
    </row>
    <row r="270" spans="8:56" x14ac:dyDescent="0.2">
      <c r="H270" t="s">
        <v>1505</v>
      </c>
      <c r="I270" t="s">
        <v>1506</v>
      </c>
      <c r="N270" t="str">
        <f>IFERROR(INDEX(_courses_lookup!$C:$C,MATCH(J270&amp;K270,_courses_lookup!$E:$E,0)),"")</f>
        <v/>
      </c>
      <c r="O270" t="str">
        <f>IFERROR(INDEX(_courses_lookup!$D:$D,MATCH(J270&amp;K270,_courses_lookup!$E:$E,0)),"")</f>
        <v/>
      </c>
      <c r="AD270" t="str">
        <f t="shared" si="32"/>
        <v/>
      </c>
      <c r="AG270" t="str">
        <f t="shared" si="33"/>
        <v/>
      </c>
      <c r="AI270" t="str">
        <f t="shared" si="34"/>
        <v/>
      </c>
      <c r="AK270" t="str">
        <f t="shared" si="35"/>
        <v/>
      </c>
      <c r="AL270" t="str">
        <f t="shared" si="36"/>
        <v/>
      </c>
      <c r="AM270" t="str">
        <f t="shared" si="37"/>
        <v/>
      </c>
      <c r="AX270" t="str">
        <f t="shared" si="38"/>
        <v/>
      </c>
      <c r="AY270" t="str">
        <f t="shared" si="39"/>
        <v/>
      </c>
      <c r="BC270" t="str">
        <f>IFERROR(INDEX(_names_lookup!$C:$C,MATCH(BB270,_names_lookup!$A:$A,0)),"")</f>
        <v/>
      </c>
      <c r="BD270" t="str">
        <f>IFERROR(INDEX(_names_lookup!$B:$B,MATCH(BB270,_names_lookup!$A:$A,0)),"")</f>
        <v/>
      </c>
    </row>
    <row r="271" spans="8:56" x14ac:dyDescent="0.2">
      <c r="H271" t="s">
        <v>1507</v>
      </c>
      <c r="I271" t="s">
        <v>1508</v>
      </c>
      <c r="N271" t="str">
        <f>IFERROR(INDEX(_courses_lookup!$C:$C,MATCH(J271&amp;K271,_courses_lookup!$E:$E,0)),"")</f>
        <v/>
      </c>
      <c r="O271" t="str">
        <f>IFERROR(INDEX(_courses_lookup!$D:$D,MATCH(J271&amp;K271,_courses_lookup!$E:$E,0)),"")</f>
        <v/>
      </c>
      <c r="AD271" t="str">
        <f t="shared" si="32"/>
        <v/>
      </c>
      <c r="AG271" t="str">
        <f t="shared" si="33"/>
        <v/>
      </c>
      <c r="AI271" t="str">
        <f t="shared" si="34"/>
        <v/>
      </c>
      <c r="AK271" t="str">
        <f t="shared" si="35"/>
        <v/>
      </c>
      <c r="AL271" t="str">
        <f t="shared" si="36"/>
        <v/>
      </c>
      <c r="AM271" t="str">
        <f t="shared" si="37"/>
        <v/>
      </c>
      <c r="AX271" t="str">
        <f t="shared" si="38"/>
        <v/>
      </c>
      <c r="AY271" t="str">
        <f t="shared" si="39"/>
        <v/>
      </c>
      <c r="BC271" t="str">
        <f>IFERROR(INDEX(_names_lookup!$C:$C,MATCH(BB271,_names_lookup!$A:$A,0)),"")</f>
        <v/>
      </c>
      <c r="BD271" t="str">
        <f>IFERROR(INDEX(_names_lookup!$B:$B,MATCH(BB271,_names_lookup!$A:$A,0)),"")</f>
        <v/>
      </c>
    </row>
    <row r="272" spans="8:56" x14ac:dyDescent="0.2">
      <c r="H272" t="s">
        <v>1509</v>
      </c>
      <c r="I272" t="s">
        <v>1510</v>
      </c>
      <c r="N272" t="str">
        <f>IFERROR(INDEX(_courses_lookup!$C:$C,MATCH(J272&amp;K272,_courses_lookup!$E:$E,0)),"")</f>
        <v/>
      </c>
      <c r="O272" t="str">
        <f>IFERROR(INDEX(_courses_lookup!$D:$D,MATCH(J272&amp;K272,_courses_lookup!$E:$E,0)),"")</f>
        <v/>
      </c>
      <c r="AD272" t="str">
        <f t="shared" si="32"/>
        <v/>
      </c>
      <c r="AG272" t="str">
        <f t="shared" si="33"/>
        <v/>
      </c>
      <c r="AI272" t="str">
        <f t="shared" si="34"/>
        <v/>
      </c>
      <c r="AK272" t="str">
        <f t="shared" si="35"/>
        <v/>
      </c>
      <c r="AL272" t="str">
        <f t="shared" si="36"/>
        <v/>
      </c>
      <c r="AM272" t="str">
        <f t="shared" si="37"/>
        <v/>
      </c>
      <c r="AX272" t="str">
        <f t="shared" si="38"/>
        <v/>
      </c>
      <c r="AY272" t="str">
        <f t="shared" si="39"/>
        <v/>
      </c>
      <c r="BC272" t="str">
        <f>IFERROR(INDEX(_names_lookup!$C:$C,MATCH(BB272,_names_lookup!$A:$A,0)),"")</f>
        <v/>
      </c>
      <c r="BD272" t="str">
        <f>IFERROR(INDEX(_names_lookup!$B:$B,MATCH(BB272,_names_lookup!$A:$A,0)),"")</f>
        <v/>
      </c>
    </row>
    <row r="273" spans="8:56" x14ac:dyDescent="0.2">
      <c r="H273" t="s">
        <v>1511</v>
      </c>
      <c r="I273" t="s">
        <v>1512</v>
      </c>
      <c r="N273" t="str">
        <f>IFERROR(INDEX(_courses_lookup!$C:$C,MATCH(J273&amp;K273,_courses_lookup!$E:$E,0)),"")</f>
        <v/>
      </c>
      <c r="O273" t="str">
        <f>IFERROR(INDEX(_courses_lookup!$D:$D,MATCH(J273&amp;K273,_courses_lookup!$E:$E,0)),"")</f>
        <v/>
      </c>
      <c r="AD273" t="str">
        <f t="shared" si="32"/>
        <v/>
      </c>
      <c r="AG273" t="str">
        <f t="shared" si="33"/>
        <v/>
      </c>
      <c r="AI273" t="str">
        <f t="shared" si="34"/>
        <v/>
      </c>
      <c r="AK273" t="str">
        <f t="shared" si="35"/>
        <v/>
      </c>
      <c r="AL273" t="str">
        <f t="shared" si="36"/>
        <v/>
      </c>
      <c r="AM273" t="str">
        <f t="shared" si="37"/>
        <v/>
      </c>
      <c r="AX273" t="str">
        <f t="shared" si="38"/>
        <v/>
      </c>
      <c r="AY273" t="str">
        <f t="shared" si="39"/>
        <v/>
      </c>
      <c r="BC273" t="str">
        <f>IFERROR(INDEX(_names_lookup!$C:$C,MATCH(BB273,_names_lookup!$A:$A,0)),"")</f>
        <v/>
      </c>
      <c r="BD273" t="str">
        <f>IFERROR(INDEX(_names_lookup!$B:$B,MATCH(BB273,_names_lookup!$A:$A,0)),"")</f>
        <v/>
      </c>
    </row>
    <row r="274" spans="8:56" x14ac:dyDescent="0.2">
      <c r="H274" t="s">
        <v>1513</v>
      </c>
      <c r="I274" t="s">
        <v>981</v>
      </c>
      <c r="N274" t="str">
        <f>IFERROR(INDEX(_courses_lookup!$C:$C,MATCH(J274&amp;K274,_courses_lookup!$E:$E,0)),"")</f>
        <v/>
      </c>
      <c r="O274" t="str">
        <f>IFERROR(INDEX(_courses_lookup!$D:$D,MATCH(J274&amp;K274,_courses_lookup!$E:$E,0)),"")</f>
        <v/>
      </c>
      <c r="AD274" t="str">
        <f t="shared" si="32"/>
        <v/>
      </c>
      <c r="AG274" t="str">
        <f t="shared" si="33"/>
        <v/>
      </c>
      <c r="AI274" t="str">
        <f t="shared" si="34"/>
        <v/>
      </c>
      <c r="AK274" t="str">
        <f t="shared" si="35"/>
        <v/>
      </c>
      <c r="AL274" t="str">
        <f t="shared" si="36"/>
        <v/>
      </c>
      <c r="AM274" t="str">
        <f t="shared" si="37"/>
        <v/>
      </c>
      <c r="AX274" t="str">
        <f t="shared" si="38"/>
        <v/>
      </c>
      <c r="AY274" t="str">
        <f t="shared" si="39"/>
        <v/>
      </c>
      <c r="BC274" t="str">
        <f>IFERROR(INDEX(_names_lookup!$C:$C,MATCH(BB274,_names_lookup!$A:$A,0)),"")</f>
        <v/>
      </c>
      <c r="BD274" t="str">
        <f>IFERROR(INDEX(_names_lookup!$B:$B,MATCH(BB274,_names_lookup!$A:$A,0)),"")</f>
        <v/>
      </c>
    </row>
    <row r="275" spans="8:56" x14ac:dyDescent="0.2">
      <c r="H275" t="s">
        <v>1514</v>
      </c>
      <c r="I275" t="s">
        <v>1515</v>
      </c>
      <c r="N275" t="str">
        <f>IFERROR(INDEX(_courses_lookup!$C:$C,MATCH(J275&amp;K275,_courses_lookup!$E:$E,0)),"")</f>
        <v/>
      </c>
      <c r="O275" t="str">
        <f>IFERROR(INDEX(_courses_lookup!$D:$D,MATCH(J275&amp;K275,_courses_lookup!$E:$E,0)),"")</f>
        <v/>
      </c>
      <c r="AD275" t="str">
        <f t="shared" si="32"/>
        <v/>
      </c>
      <c r="AG275" t="str">
        <f t="shared" si="33"/>
        <v/>
      </c>
      <c r="AI275" t="str">
        <f t="shared" si="34"/>
        <v/>
      </c>
      <c r="AK275" t="str">
        <f t="shared" si="35"/>
        <v/>
      </c>
      <c r="AL275" t="str">
        <f t="shared" si="36"/>
        <v/>
      </c>
      <c r="AM275" t="str">
        <f t="shared" si="37"/>
        <v/>
      </c>
      <c r="AX275" t="str">
        <f t="shared" si="38"/>
        <v/>
      </c>
      <c r="AY275" t="str">
        <f t="shared" si="39"/>
        <v/>
      </c>
      <c r="BC275" t="str">
        <f>IFERROR(INDEX(_names_lookup!$C:$C,MATCH(BB275,_names_lookup!$A:$A,0)),"")</f>
        <v/>
      </c>
      <c r="BD275" t="str">
        <f>IFERROR(INDEX(_names_lookup!$B:$B,MATCH(BB275,_names_lookup!$A:$A,0)),"")</f>
        <v/>
      </c>
    </row>
    <row r="276" spans="8:56" x14ac:dyDescent="0.2">
      <c r="H276" t="s">
        <v>1516</v>
      </c>
      <c r="I276" t="s">
        <v>1517</v>
      </c>
      <c r="N276" t="str">
        <f>IFERROR(INDEX(_courses_lookup!$C:$C,MATCH(J276&amp;K276,_courses_lookup!$E:$E,0)),"")</f>
        <v/>
      </c>
      <c r="O276" t="str">
        <f>IFERROR(INDEX(_courses_lookup!$D:$D,MATCH(J276&amp;K276,_courses_lookup!$E:$E,0)),"")</f>
        <v/>
      </c>
      <c r="AD276" t="str">
        <f t="shared" si="32"/>
        <v/>
      </c>
      <c r="AG276" t="str">
        <f t="shared" si="33"/>
        <v/>
      </c>
      <c r="AI276" t="str">
        <f t="shared" si="34"/>
        <v/>
      </c>
      <c r="AK276" t="str">
        <f t="shared" si="35"/>
        <v/>
      </c>
      <c r="AL276" t="str">
        <f t="shared" si="36"/>
        <v/>
      </c>
      <c r="AM276" t="str">
        <f t="shared" si="37"/>
        <v/>
      </c>
      <c r="AX276" t="str">
        <f t="shared" si="38"/>
        <v/>
      </c>
      <c r="AY276" t="str">
        <f t="shared" si="39"/>
        <v/>
      </c>
      <c r="BC276" t="str">
        <f>IFERROR(INDEX(_names_lookup!$C:$C,MATCH(BB276,_names_lookup!$A:$A,0)),"")</f>
        <v/>
      </c>
      <c r="BD276" t="str">
        <f>IFERROR(INDEX(_names_lookup!$B:$B,MATCH(BB276,_names_lookup!$A:$A,0)),"")</f>
        <v/>
      </c>
    </row>
    <row r="277" spans="8:56" x14ac:dyDescent="0.2">
      <c r="H277" t="s">
        <v>1518</v>
      </c>
      <c r="I277" t="s">
        <v>1519</v>
      </c>
      <c r="N277" t="str">
        <f>IFERROR(INDEX(_courses_lookup!$C:$C,MATCH(J277&amp;K277,_courses_lookup!$E:$E,0)),"")</f>
        <v/>
      </c>
      <c r="O277" t="str">
        <f>IFERROR(INDEX(_courses_lookup!$D:$D,MATCH(J277&amp;K277,_courses_lookup!$E:$E,0)),"")</f>
        <v/>
      </c>
      <c r="AD277" t="str">
        <f t="shared" si="32"/>
        <v/>
      </c>
      <c r="AG277" t="str">
        <f t="shared" si="33"/>
        <v/>
      </c>
      <c r="AI277" t="str">
        <f t="shared" si="34"/>
        <v/>
      </c>
      <c r="AK277" t="str">
        <f t="shared" si="35"/>
        <v/>
      </c>
      <c r="AL277" t="str">
        <f t="shared" si="36"/>
        <v/>
      </c>
      <c r="AM277" t="str">
        <f t="shared" si="37"/>
        <v/>
      </c>
      <c r="AX277" t="str">
        <f t="shared" si="38"/>
        <v/>
      </c>
      <c r="AY277" t="str">
        <f t="shared" si="39"/>
        <v/>
      </c>
      <c r="BC277" t="str">
        <f>IFERROR(INDEX(_names_lookup!$C:$C,MATCH(BB277,_names_lookup!$A:$A,0)),"")</f>
        <v/>
      </c>
      <c r="BD277" t="str">
        <f>IFERROR(INDEX(_names_lookup!$B:$B,MATCH(BB277,_names_lookup!$A:$A,0)),"")</f>
        <v/>
      </c>
    </row>
    <row r="278" spans="8:56" x14ac:dyDescent="0.2">
      <c r="H278" t="s">
        <v>1520</v>
      </c>
      <c r="I278" t="s">
        <v>1521</v>
      </c>
      <c r="N278" t="str">
        <f>IFERROR(INDEX(_courses_lookup!$C:$C,MATCH(J278&amp;K278,_courses_lookup!$E:$E,0)),"")</f>
        <v/>
      </c>
      <c r="O278" t="str">
        <f>IFERROR(INDEX(_courses_lookup!$D:$D,MATCH(J278&amp;K278,_courses_lookup!$E:$E,0)),"")</f>
        <v/>
      </c>
      <c r="AD278" t="str">
        <f t="shared" si="32"/>
        <v/>
      </c>
      <c r="AG278" t="str">
        <f t="shared" si="33"/>
        <v/>
      </c>
      <c r="AI278" t="str">
        <f t="shared" si="34"/>
        <v/>
      </c>
      <c r="AK278" t="str">
        <f t="shared" si="35"/>
        <v/>
      </c>
      <c r="AL278" t="str">
        <f t="shared" si="36"/>
        <v/>
      </c>
      <c r="AM278" t="str">
        <f t="shared" si="37"/>
        <v/>
      </c>
      <c r="AX278" t="str">
        <f t="shared" si="38"/>
        <v/>
      </c>
      <c r="AY278" t="str">
        <f t="shared" si="39"/>
        <v/>
      </c>
      <c r="BC278" t="str">
        <f>IFERROR(INDEX(_names_lookup!$C:$C,MATCH(BB278,_names_lookup!$A:$A,0)),"")</f>
        <v/>
      </c>
      <c r="BD278" t="str">
        <f>IFERROR(INDEX(_names_lookup!$B:$B,MATCH(BB278,_names_lookup!$A:$A,0)),"")</f>
        <v/>
      </c>
    </row>
    <row r="279" spans="8:56" x14ac:dyDescent="0.2">
      <c r="H279" t="s">
        <v>1522</v>
      </c>
      <c r="I279" t="s">
        <v>1523</v>
      </c>
      <c r="N279" t="str">
        <f>IFERROR(INDEX(_courses_lookup!$C:$C,MATCH(J279&amp;K279,_courses_lookup!$E:$E,0)),"")</f>
        <v/>
      </c>
      <c r="O279" t="str">
        <f>IFERROR(INDEX(_courses_lookup!$D:$D,MATCH(J279&amp;K279,_courses_lookup!$E:$E,0)),"")</f>
        <v/>
      </c>
      <c r="AD279" t="str">
        <f t="shared" si="32"/>
        <v/>
      </c>
      <c r="AG279" t="str">
        <f t="shared" si="33"/>
        <v/>
      </c>
      <c r="AI279" t="str">
        <f t="shared" si="34"/>
        <v/>
      </c>
      <c r="AK279" t="str">
        <f t="shared" si="35"/>
        <v/>
      </c>
      <c r="AL279" t="str">
        <f t="shared" si="36"/>
        <v/>
      </c>
      <c r="AM279" t="str">
        <f t="shared" si="37"/>
        <v/>
      </c>
      <c r="AX279" t="str">
        <f t="shared" si="38"/>
        <v/>
      </c>
      <c r="AY279" t="str">
        <f t="shared" si="39"/>
        <v/>
      </c>
      <c r="BC279" t="str">
        <f>IFERROR(INDEX(_names_lookup!$C:$C,MATCH(BB279,_names_lookup!$A:$A,0)),"")</f>
        <v/>
      </c>
      <c r="BD279" t="str">
        <f>IFERROR(INDEX(_names_lookup!$B:$B,MATCH(BB279,_names_lookup!$A:$A,0)),"")</f>
        <v/>
      </c>
    </row>
    <row r="280" spans="8:56" x14ac:dyDescent="0.2">
      <c r="H280" t="s">
        <v>1524</v>
      </c>
      <c r="I280" t="s">
        <v>1525</v>
      </c>
      <c r="N280" t="str">
        <f>IFERROR(INDEX(_courses_lookup!$C:$C,MATCH(J280&amp;K280,_courses_lookup!$E:$E,0)),"")</f>
        <v/>
      </c>
      <c r="O280" t="str">
        <f>IFERROR(INDEX(_courses_lookup!$D:$D,MATCH(J280&amp;K280,_courses_lookup!$E:$E,0)),"")</f>
        <v/>
      </c>
      <c r="AD280" t="str">
        <f t="shared" si="32"/>
        <v/>
      </c>
      <c r="AG280" t="str">
        <f t="shared" si="33"/>
        <v/>
      </c>
      <c r="AI280" t="str">
        <f t="shared" si="34"/>
        <v/>
      </c>
      <c r="AK280" t="str">
        <f t="shared" si="35"/>
        <v/>
      </c>
      <c r="AL280" t="str">
        <f t="shared" si="36"/>
        <v/>
      </c>
      <c r="AM280" t="str">
        <f t="shared" si="37"/>
        <v/>
      </c>
      <c r="AX280" t="str">
        <f t="shared" si="38"/>
        <v/>
      </c>
      <c r="AY280" t="str">
        <f t="shared" si="39"/>
        <v/>
      </c>
      <c r="BC280" t="str">
        <f>IFERROR(INDEX(_names_lookup!$C:$C,MATCH(BB280,_names_lookup!$A:$A,0)),"")</f>
        <v/>
      </c>
      <c r="BD280" t="str">
        <f>IFERROR(INDEX(_names_lookup!$B:$B,MATCH(BB280,_names_lookup!$A:$A,0)),"")</f>
        <v/>
      </c>
    </row>
    <row r="281" spans="8:56" x14ac:dyDescent="0.2">
      <c r="H281" t="s">
        <v>1526</v>
      </c>
      <c r="I281" t="s">
        <v>1527</v>
      </c>
      <c r="N281" t="str">
        <f>IFERROR(INDEX(_courses_lookup!$C:$C,MATCH(J281&amp;K281,_courses_lookup!$E:$E,0)),"")</f>
        <v/>
      </c>
      <c r="O281" t="str">
        <f>IFERROR(INDEX(_courses_lookup!$D:$D,MATCH(J281&amp;K281,_courses_lookup!$E:$E,0)),"")</f>
        <v/>
      </c>
      <c r="AD281" t="str">
        <f t="shared" si="32"/>
        <v/>
      </c>
      <c r="AG281" t="str">
        <f t="shared" si="33"/>
        <v/>
      </c>
      <c r="AI281" t="str">
        <f t="shared" si="34"/>
        <v/>
      </c>
      <c r="AK281" t="str">
        <f t="shared" si="35"/>
        <v/>
      </c>
      <c r="AL281" t="str">
        <f t="shared" si="36"/>
        <v/>
      </c>
      <c r="AM281" t="str">
        <f t="shared" si="37"/>
        <v/>
      </c>
      <c r="AX281" t="str">
        <f t="shared" si="38"/>
        <v/>
      </c>
      <c r="AY281" t="str">
        <f t="shared" si="39"/>
        <v/>
      </c>
      <c r="BC281" t="str">
        <f>IFERROR(INDEX(_names_lookup!$C:$C,MATCH(BB281,_names_lookup!$A:$A,0)),"")</f>
        <v/>
      </c>
      <c r="BD281" t="str">
        <f>IFERROR(INDEX(_names_lookup!$B:$B,MATCH(BB281,_names_lookup!$A:$A,0)),"")</f>
        <v/>
      </c>
    </row>
    <row r="282" spans="8:56" x14ac:dyDescent="0.2">
      <c r="H282" t="s">
        <v>1528</v>
      </c>
      <c r="I282" t="s">
        <v>1529</v>
      </c>
      <c r="N282" t="str">
        <f>IFERROR(INDEX(_courses_lookup!$C:$C,MATCH(J282&amp;K282,_courses_lookup!$E:$E,0)),"")</f>
        <v/>
      </c>
      <c r="O282" t="str">
        <f>IFERROR(INDEX(_courses_lookup!$D:$D,MATCH(J282&amp;K282,_courses_lookup!$E:$E,0)),"")</f>
        <v/>
      </c>
      <c r="AD282" t="str">
        <f t="shared" si="32"/>
        <v/>
      </c>
      <c r="AG282" t="str">
        <f t="shared" si="33"/>
        <v/>
      </c>
      <c r="AI282" t="str">
        <f t="shared" si="34"/>
        <v/>
      </c>
      <c r="AK282" t="str">
        <f t="shared" si="35"/>
        <v/>
      </c>
      <c r="AL282" t="str">
        <f t="shared" si="36"/>
        <v/>
      </c>
      <c r="AM282" t="str">
        <f t="shared" si="37"/>
        <v/>
      </c>
      <c r="AX282" t="str">
        <f t="shared" si="38"/>
        <v/>
      </c>
      <c r="AY282" t="str">
        <f t="shared" si="39"/>
        <v/>
      </c>
      <c r="BC282" t="str">
        <f>IFERROR(INDEX(_names_lookup!$C:$C,MATCH(BB282,_names_lookup!$A:$A,0)),"")</f>
        <v/>
      </c>
      <c r="BD282" t="str">
        <f>IFERROR(INDEX(_names_lookup!$B:$B,MATCH(BB282,_names_lookup!$A:$A,0)),"")</f>
        <v/>
      </c>
    </row>
    <row r="283" spans="8:56" x14ac:dyDescent="0.2">
      <c r="H283" t="s">
        <v>1530</v>
      </c>
      <c r="I283" t="s">
        <v>1531</v>
      </c>
      <c r="N283" t="str">
        <f>IFERROR(INDEX(_courses_lookup!$C:$C,MATCH(J283&amp;K283,_courses_lookup!$E:$E,0)),"")</f>
        <v/>
      </c>
      <c r="O283" t="str">
        <f>IFERROR(INDEX(_courses_lookup!$D:$D,MATCH(J283&amp;K283,_courses_lookup!$E:$E,0)),"")</f>
        <v/>
      </c>
      <c r="AD283" t="str">
        <f t="shared" si="32"/>
        <v/>
      </c>
      <c r="AG283" t="str">
        <f t="shared" si="33"/>
        <v/>
      </c>
      <c r="AI283" t="str">
        <f t="shared" si="34"/>
        <v/>
      </c>
      <c r="AK283" t="str">
        <f t="shared" si="35"/>
        <v/>
      </c>
      <c r="AL283" t="str">
        <f t="shared" si="36"/>
        <v/>
      </c>
      <c r="AM283" t="str">
        <f t="shared" si="37"/>
        <v/>
      </c>
      <c r="AX283" t="str">
        <f t="shared" si="38"/>
        <v/>
      </c>
      <c r="AY283" t="str">
        <f t="shared" si="39"/>
        <v/>
      </c>
      <c r="BC283" t="str">
        <f>IFERROR(INDEX(_names_lookup!$C:$C,MATCH(BB283,_names_lookup!$A:$A,0)),"")</f>
        <v/>
      </c>
      <c r="BD283" t="str">
        <f>IFERROR(INDEX(_names_lookup!$B:$B,MATCH(BB283,_names_lookup!$A:$A,0)),"")</f>
        <v/>
      </c>
    </row>
    <row r="284" spans="8:56" x14ac:dyDescent="0.2">
      <c r="H284" t="s">
        <v>1532</v>
      </c>
      <c r="I284" t="s">
        <v>1533</v>
      </c>
      <c r="N284" t="str">
        <f>IFERROR(INDEX(_courses_lookup!$C:$C,MATCH(J284&amp;K284,_courses_lookup!$E:$E,0)),"")</f>
        <v/>
      </c>
      <c r="O284" t="str">
        <f>IFERROR(INDEX(_courses_lookup!$D:$D,MATCH(J284&amp;K284,_courses_lookup!$E:$E,0)),"")</f>
        <v/>
      </c>
      <c r="AD284" t="str">
        <f t="shared" si="32"/>
        <v/>
      </c>
      <c r="AG284" t="str">
        <f t="shared" si="33"/>
        <v/>
      </c>
      <c r="AI284" t="str">
        <f t="shared" si="34"/>
        <v/>
      </c>
      <c r="AK284" t="str">
        <f t="shared" si="35"/>
        <v/>
      </c>
      <c r="AL284" t="str">
        <f t="shared" si="36"/>
        <v/>
      </c>
      <c r="AM284" t="str">
        <f t="shared" si="37"/>
        <v/>
      </c>
      <c r="AX284" t="str">
        <f t="shared" si="38"/>
        <v/>
      </c>
      <c r="AY284" t="str">
        <f t="shared" si="39"/>
        <v/>
      </c>
      <c r="BC284" t="str">
        <f>IFERROR(INDEX(_names_lookup!$C:$C,MATCH(BB284,_names_lookup!$A:$A,0)),"")</f>
        <v/>
      </c>
      <c r="BD284" t="str">
        <f>IFERROR(INDEX(_names_lookup!$B:$B,MATCH(BB284,_names_lookup!$A:$A,0)),"")</f>
        <v/>
      </c>
    </row>
    <row r="285" spans="8:56" x14ac:dyDescent="0.2">
      <c r="H285" t="s">
        <v>1534</v>
      </c>
      <c r="I285" t="s">
        <v>1535</v>
      </c>
      <c r="N285" t="str">
        <f>IFERROR(INDEX(_courses_lookup!$C:$C,MATCH(J285&amp;K285,_courses_lookup!$E:$E,0)),"")</f>
        <v/>
      </c>
      <c r="O285" t="str">
        <f>IFERROR(INDEX(_courses_lookup!$D:$D,MATCH(J285&amp;K285,_courses_lookup!$E:$E,0)),"")</f>
        <v/>
      </c>
      <c r="AD285" t="str">
        <f t="shared" si="32"/>
        <v/>
      </c>
      <c r="AG285" t="str">
        <f t="shared" si="33"/>
        <v/>
      </c>
      <c r="AI285" t="str">
        <f t="shared" si="34"/>
        <v/>
      </c>
      <c r="AK285" t="str">
        <f t="shared" si="35"/>
        <v/>
      </c>
      <c r="AL285" t="str">
        <f t="shared" si="36"/>
        <v/>
      </c>
      <c r="AM285" t="str">
        <f t="shared" si="37"/>
        <v/>
      </c>
      <c r="AX285" t="str">
        <f t="shared" si="38"/>
        <v/>
      </c>
      <c r="AY285" t="str">
        <f t="shared" si="39"/>
        <v/>
      </c>
      <c r="BC285" t="str">
        <f>IFERROR(INDEX(_names_lookup!$C:$C,MATCH(BB285,_names_lookup!$A:$A,0)),"")</f>
        <v/>
      </c>
      <c r="BD285" t="str">
        <f>IFERROR(INDEX(_names_lookup!$B:$B,MATCH(BB285,_names_lookup!$A:$A,0)),"")</f>
        <v/>
      </c>
    </row>
    <row r="286" spans="8:56" x14ac:dyDescent="0.2">
      <c r="H286" t="s">
        <v>1536</v>
      </c>
      <c r="I286" t="s">
        <v>1537</v>
      </c>
      <c r="N286" t="str">
        <f>IFERROR(INDEX(_courses_lookup!$C:$C,MATCH(J286&amp;K286,_courses_lookup!$E:$E,0)),"")</f>
        <v/>
      </c>
      <c r="O286" t="str">
        <f>IFERROR(INDEX(_courses_lookup!$D:$D,MATCH(J286&amp;K286,_courses_lookup!$E:$E,0)),"")</f>
        <v/>
      </c>
      <c r="AD286" t="str">
        <f t="shared" si="32"/>
        <v/>
      </c>
      <c r="AG286" t="str">
        <f t="shared" si="33"/>
        <v/>
      </c>
      <c r="AI286" t="str">
        <f t="shared" si="34"/>
        <v/>
      </c>
      <c r="AK286" t="str">
        <f t="shared" si="35"/>
        <v/>
      </c>
      <c r="AL286" t="str">
        <f t="shared" si="36"/>
        <v/>
      </c>
      <c r="AM286" t="str">
        <f t="shared" si="37"/>
        <v/>
      </c>
      <c r="AX286" t="str">
        <f t="shared" si="38"/>
        <v/>
      </c>
      <c r="AY286" t="str">
        <f t="shared" si="39"/>
        <v/>
      </c>
      <c r="BC286" t="str">
        <f>IFERROR(INDEX(_names_lookup!$C:$C,MATCH(BB286,_names_lookup!$A:$A,0)),"")</f>
        <v/>
      </c>
      <c r="BD286" t="str">
        <f>IFERROR(INDEX(_names_lookup!$B:$B,MATCH(BB286,_names_lookup!$A:$A,0)),"")</f>
        <v/>
      </c>
    </row>
    <row r="287" spans="8:56" x14ac:dyDescent="0.2">
      <c r="H287" t="s">
        <v>1538</v>
      </c>
      <c r="I287" t="s">
        <v>1539</v>
      </c>
      <c r="N287" t="str">
        <f>IFERROR(INDEX(_courses_lookup!$C:$C,MATCH(J287&amp;K287,_courses_lookup!$E:$E,0)),"")</f>
        <v/>
      </c>
      <c r="O287" t="str">
        <f>IFERROR(INDEX(_courses_lookup!$D:$D,MATCH(J287&amp;K287,_courses_lookup!$E:$E,0)),"")</f>
        <v/>
      </c>
      <c r="AD287" t="str">
        <f t="shared" si="32"/>
        <v/>
      </c>
      <c r="AG287" t="str">
        <f t="shared" si="33"/>
        <v/>
      </c>
      <c r="AI287" t="str">
        <f t="shared" si="34"/>
        <v/>
      </c>
      <c r="AK287" t="str">
        <f t="shared" si="35"/>
        <v/>
      </c>
      <c r="AL287" t="str">
        <f t="shared" si="36"/>
        <v/>
      </c>
      <c r="AM287" t="str">
        <f t="shared" si="37"/>
        <v/>
      </c>
      <c r="AX287" t="str">
        <f t="shared" si="38"/>
        <v/>
      </c>
      <c r="AY287" t="str">
        <f t="shared" si="39"/>
        <v/>
      </c>
      <c r="BC287" t="str">
        <f>IFERROR(INDEX(_names_lookup!$C:$C,MATCH(BB287,_names_lookup!$A:$A,0)),"")</f>
        <v/>
      </c>
      <c r="BD287" t="str">
        <f>IFERROR(INDEX(_names_lookup!$B:$B,MATCH(BB287,_names_lookup!$A:$A,0)),"")</f>
        <v/>
      </c>
    </row>
    <row r="288" spans="8:56" x14ac:dyDescent="0.2">
      <c r="H288" t="s">
        <v>1540</v>
      </c>
      <c r="I288" t="s">
        <v>1541</v>
      </c>
      <c r="N288" t="str">
        <f>IFERROR(INDEX(_courses_lookup!$C:$C,MATCH(J288&amp;K288,_courses_lookup!$E:$E,0)),"")</f>
        <v/>
      </c>
      <c r="O288" t="str">
        <f>IFERROR(INDEX(_courses_lookup!$D:$D,MATCH(J288&amp;K288,_courses_lookup!$E:$E,0)),"")</f>
        <v/>
      </c>
      <c r="AD288" t="str">
        <f t="shared" si="32"/>
        <v/>
      </c>
      <c r="AG288" t="str">
        <f t="shared" si="33"/>
        <v/>
      </c>
      <c r="AI288" t="str">
        <f t="shared" si="34"/>
        <v/>
      </c>
      <c r="AK288" t="str">
        <f t="shared" si="35"/>
        <v/>
      </c>
      <c r="AL288" t="str">
        <f t="shared" si="36"/>
        <v/>
      </c>
      <c r="AM288" t="str">
        <f t="shared" si="37"/>
        <v/>
      </c>
      <c r="AX288" t="str">
        <f t="shared" si="38"/>
        <v/>
      </c>
      <c r="AY288" t="str">
        <f t="shared" si="39"/>
        <v/>
      </c>
      <c r="BC288" t="str">
        <f>IFERROR(INDEX(_names_lookup!$C:$C,MATCH(BB288,_names_lookup!$A:$A,0)),"")</f>
        <v/>
      </c>
      <c r="BD288" t="str">
        <f>IFERROR(INDEX(_names_lookup!$B:$B,MATCH(BB288,_names_lookup!$A:$A,0)),"")</f>
        <v/>
      </c>
    </row>
    <row r="289" spans="8:56" x14ac:dyDescent="0.2">
      <c r="H289" t="s">
        <v>1542</v>
      </c>
      <c r="I289" t="s">
        <v>1543</v>
      </c>
      <c r="N289" t="str">
        <f>IFERROR(INDEX(_courses_lookup!$C:$C,MATCH(J289&amp;K289,_courses_lookup!$E:$E,0)),"")</f>
        <v/>
      </c>
      <c r="O289" t="str">
        <f>IFERROR(INDEX(_courses_lookup!$D:$D,MATCH(J289&amp;K289,_courses_lookup!$E:$E,0)),"")</f>
        <v/>
      </c>
      <c r="AD289" t="str">
        <f t="shared" si="32"/>
        <v/>
      </c>
      <c r="AG289" t="str">
        <f t="shared" si="33"/>
        <v/>
      </c>
      <c r="AI289" t="str">
        <f t="shared" si="34"/>
        <v/>
      </c>
      <c r="AK289" t="str">
        <f t="shared" si="35"/>
        <v/>
      </c>
      <c r="AL289" t="str">
        <f t="shared" si="36"/>
        <v/>
      </c>
      <c r="AM289" t="str">
        <f t="shared" si="37"/>
        <v/>
      </c>
      <c r="AX289" t="str">
        <f t="shared" si="38"/>
        <v/>
      </c>
      <c r="AY289" t="str">
        <f t="shared" si="39"/>
        <v/>
      </c>
      <c r="BC289" t="str">
        <f>IFERROR(INDEX(_names_lookup!$C:$C,MATCH(BB289,_names_lookup!$A:$A,0)),"")</f>
        <v/>
      </c>
      <c r="BD289" t="str">
        <f>IFERROR(INDEX(_names_lookup!$B:$B,MATCH(BB289,_names_lookup!$A:$A,0)),"")</f>
        <v/>
      </c>
    </row>
    <row r="290" spans="8:56" x14ac:dyDescent="0.2">
      <c r="H290" t="s">
        <v>1544</v>
      </c>
      <c r="I290" t="s">
        <v>1545</v>
      </c>
      <c r="N290" t="str">
        <f>IFERROR(INDEX(_courses_lookup!$C:$C,MATCH(J290&amp;K290,_courses_lookup!$E:$E,0)),"")</f>
        <v/>
      </c>
      <c r="O290" t="str">
        <f>IFERROR(INDEX(_courses_lookup!$D:$D,MATCH(J290&amp;K290,_courses_lookup!$E:$E,0)),"")</f>
        <v/>
      </c>
      <c r="AD290" t="str">
        <f t="shared" si="32"/>
        <v/>
      </c>
      <c r="AG290" t="str">
        <f t="shared" si="33"/>
        <v/>
      </c>
      <c r="AI290" t="str">
        <f t="shared" si="34"/>
        <v/>
      </c>
      <c r="AK290" t="str">
        <f t="shared" si="35"/>
        <v/>
      </c>
      <c r="AL290" t="str">
        <f t="shared" si="36"/>
        <v/>
      </c>
      <c r="AM290" t="str">
        <f t="shared" si="37"/>
        <v/>
      </c>
      <c r="AX290" t="str">
        <f t="shared" si="38"/>
        <v/>
      </c>
      <c r="AY290" t="str">
        <f t="shared" si="39"/>
        <v/>
      </c>
      <c r="BC290" t="str">
        <f>IFERROR(INDEX(_names_lookup!$C:$C,MATCH(BB290,_names_lookup!$A:$A,0)),"")</f>
        <v/>
      </c>
      <c r="BD290" t="str">
        <f>IFERROR(INDEX(_names_lookup!$B:$B,MATCH(BB290,_names_lookup!$A:$A,0)),"")</f>
        <v/>
      </c>
    </row>
    <row r="291" spans="8:56" x14ac:dyDescent="0.2">
      <c r="H291" t="s">
        <v>1546</v>
      </c>
      <c r="I291" t="s">
        <v>1547</v>
      </c>
      <c r="N291" t="str">
        <f>IFERROR(INDEX(_courses_lookup!$C:$C,MATCH(J291&amp;K291,_courses_lookup!$E:$E,0)),"")</f>
        <v/>
      </c>
      <c r="O291" t="str">
        <f>IFERROR(INDEX(_courses_lookup!$D:$D,MATCH(J291&amp;K291,_courses_lookup!$E:$E,0)),"")</f>
        <v/>
      </c>
      <c r="AD291" t="str">
        <f t="shared" si="32"/>
        <v/>
      </c>
      <c r="AG291" t="str">
        <f t="shared" si="33"/>
        <v/>
      </c>
      <c r="AI291" t="str">
        <f t="shared" si="34"/>
        <v/>
      </c>
      <c r="AK291" t="str">
        <f t="shared" si="35"/>
        <v/>
      </c>
      <c r="AL291" t="str">
        <f t="shared" si="36"/>
        <v/>
      </c>
      <c r="AM291" t="str">
        <f t="shared" si="37"/>
        <v/>
      </c>
      <c r="AX291" t="str">
        <f t="shared" si="38"/>
        <v/>
      </c>
      <c r="AY291" t="str">
        <f t="shared" si="39"/>
        <v/>
      </c>
      <c r="BC291" t="str">
        <f>IFERROR(INDEX(_names_lookup!$C:$C,MATCH(BB291,_names_lookup!$A:$A,0)),"")</f>
        <v/>
      </c>
      <c r="BD291" t="str">
        <f>IFERROR(INDEX(_names_lookup!$B:$B,MATCH(BB291,_names_lookup!$A:$A,0)),"")</f>
        <v/>
      </c>
    </row>
    <row r="292" spans="8:56" x14ac:dyDescent="0.2">
      <c r="H292" t="s">
        <v>1548</v>
      </c>
      <c r="I292" t="s">
        <v>602</v>
      </c>
      <c r="N292" t="str">
        <f>IFERROR(INDEX(_courses_lookup!$C:$C,MATCH(J292&amp;K292,_courses_lookup!$E:$E,0)),"")</f>
        <v/>
      </c>
      <c r="O292" t="str">
        <f>IFERROR(INDEX(_courses_lookup!$D:$D,MATCH(J292&amp;K292,_courses_lookup!$E:$E,0)),"")</f>
        <v/>
      </c>
      <c r="AD292" t="str">
        <f t="shared" si="32"/>
        <v/>
      </c>
      <c r="AG292" t="str">
        <f t="shared" si="33"/>
        <v/>
      </c>
      <c r="AI292" t="str">
        <f t="shared" si="34"/>
        <v/>
      </c>
      <c r="AK292" t="str">
        <f t="shared" si="35"/>
        <v/>
      </c>
      <c r="AL292" t="str">
        <f t="shared" si="36"/>
        <v/>
      </c>
      <c r="AM292" t="str">
        <f t="shared" si="37"/>
        <v/>
      </c>
      <c r="AX292" t="str">
        <f t="shared" si="38"/>
        <v/>
      </c>
      <c r="AY292" t="str">
        <f t="shared" si="39"/>
        <v/>
      </c>
      <c r="BC292" t="str">
        <f>IFERROR(INDEX(_names_lookup!$C:$C,MATCH(BB292,_names_lookup!$A:$A,0)),"")</f>
        <v/>
      </c>
      <c r="BD292" t="str">
        <f>IFERROR(INDEX(_names_lookup!$B:$B,MATCH(BB292,_names_lookup!$A:$A,0)),"")</f>
        <v/>
      </c>
    </row>
    <row r="293" spans="8:56" x14ac:dyDescent="0.2">
      <c r="H293" t="s">
        <v>1549</v>
      </c>
      <c r="I293" t="s">
        <v>1550</v>
      </c>
      <c r="N293" t="str">
        <f>IFERROR(INDEX(_courses_lookup!$C:$C,MATCH(J293&amp;K293,_courses_lookup!$E:$E,0)),"")</f>
        <v/>
      </c>
      <c r="O293" t="str">
        <f>IFERROR(INDEX(_courses_lookup!$D:$D,MATCH(J293&amp;K293,_courses_lookup!$E:$E,0)),"")</f>
        <v/>
      </c>
      <c r="AD293" t="str">
        <f t="shared" si="32"/>
        <v/>
      </c>
      <c r="AG293" t="str">
        <f t="shared" si="33"/>
        <v/>
      </c>
      <c r="AI293" t="str">
        <f t="shared" si="34"/>
        <v/>
      </c>
      <c r="AK293" t="str">
        <f t="shared" si="35"/>
        <v/>
      </c>
      <c r="AL293" t="str">
        <f t="shared" si="36"/>
        <v/>
      </c>
      <c r="AM293" t="str">
        <f t="shared" si="37"/>
        <v/>
      </c>
      <c r="AX293" t="str">
        <f t="shared" si="38"/>
        <v/>
      </c>
      <c r="AY293" t="str">
        <f t="shared" si="39"/>
        <v/>
      </c>
      <c r="BC293" t="str">
        <f>IFERROR(INDEX(_names_lookup!$C:$C,MATCH(BB293,_names_lookup!$A:$A,0)),"")</f>
        <v/>
      </c>
      <c r="BD293" t="str">
        <f>IFERROR(INDEX(_names_lookup!$B:$B,MATCH(BB293,_names_lookup!$A:$A,0)),"")</f>
        <v/>
      </c>
    </row>
    <row r="294" spans="8:56" x14ac:dyDescent="0.2">
      <c r="H294" t="s">
        <v>1551</v>
      </c>
      <c r="I294" t="s">
        <v>1552</v>
      </c>
      <c r="N294" t="str">
        <f>IFERROR(INDEX(_courses_lookup!$C:$C,MATCH(J294&amp;K294,_courses_lookup!$E:$E,0)),"")</f>
        <v/>
      </c>
      <c r="O294" t="str">
        <f>IFERROR(INDEX(_courses_lookup!$D:$D,MATCH(J294&amp;K294,_courses_lookup!$E:$E,0)),"")</f>
        <v/>
      </c>
      <c r="AD294" t="str">
        <f t="shared" si="32"/>
        <v/>
      </c>
      <c r="AG294" t="str">
        <f t="shared" si="33"/>
        <v/>
      </c>
      <c r="AI294" t="str">
        <f t="shared" si="34"/>
        <v/>
      </c>
      <c r="AK294" t="str">
        <f t="shared" si="35"/>
        <v/>
      </c>
      <c r="AL294" t="str">
        <f t="shared" si="36"/>
        <v/>
      </c>
      <c r="AM294" t="str">
        <f t="shared" si="37"/>
        <v/>
      </c>
      <c r="AX294" t="str">
        <f t="shared" si="38"/>
        <v/>
      </c>
      <c r="AY294" t="str">
        <f t="shared" si="39"/>
        <v/>
      </c>
      <c r="BC294" t="str">
        <f>IFERROR(INDEX(_names_lookup!$C:$C,MATCH(BB294,_names_lookup!$A:$A,0)),"")</f>
        <v/>
      </c>
      <c r="BD294" t="str">
        <f>IFERROR(INDEX(_names_lookup!$B:$B,MATCH(BB294,_names_lookup!$A:$A,0)),"")</f>
        <v/>
      </c>
    </row>
    <row r="295" spans="8:56" x14ac:dyDescent="0.2">
      <c r="H295" t="s">
        <v>1553</v>
      </c>
      <c r="I295" t="s">
        <v>1554</v>
      </c>
      <c r="N295" t="str">
        <f>IFERROR(INDEX(_courses_lookup!$C:$C,MATCH(J295&amp;K295,_courses_lookup!$E:$E,0)),"")</f>
        <v/>
      </c>
      <c r="O295" t="str">
        <f>IFERROR(INDEX(_courses_lookup!$D:$D,MATCH(J295&amp;K295,_courses_lookup!$E:$E,0)),"")</f>
        <v/>
      </c>
      <c r="AD295" t="str">
        <f t="shared" si="32"/>
        <v/>
      </c>
      <c r="AG295" t="str">
        <f t="shared" si="33"/>
        <v/>
      </c>
      <c r="AI295" t="str">
        <f t="shared" si="34"/>
        <v/>
      </c>
      <c r="AK295" t="str">
        <f t="shared" si="35"/>
        <v/>
      </c>
      <c r="AL295" t="str">
        <f t="shared" si="36"/>
        <v/>
      </c>
      <c r="AM295" t="str">
        <f t="shared" si="37"/>
        <v/>
      </c>
      <c r="AX295" t="str">
        <f t="shared" si="38"/>
        <v/>
      </c>
      <c r="AY295" t="str">
        <f t="shared" si="39"/>
        <v/>
      </c>
      <c r="BC295" t="str">
        <f>IFERROR(INDEX(_names_lookup!$C:$C,MATCH(BB295,_names_lookup!$A:$A,0)),"")</f>
        <v/>
      </c>
      <c r="BD295" t="str">
        <f>IFERROR(INDEX(_names_lookup!$B:$B,MATCH(BB295,_names_lookup!$A:$A,0)),"")</f>
        <v/>
      </c>
    </row>
    <row r="296" spans="8:56" x14ac:dyDescent="0.2">
      <c r="H296" t="s">
        <v>1555</v>
      </c>
      <c r="I296" t="s">
        <v>1556</v>
      </c>
      <c r="N296" t="str">
        <f>IFERROR(INDEX(_courses_lookup!$C:$C,MATCH(J296&amp;K296,_courses_lookup!$E:$E,0)),"")</f>
        <v/>
      </c>
      <c r="O296" t="str">
        <f>IFERROR(INDEX(_courses_lookup!$D:$D,MATCH(J296&amp;K296,_courses_lookup!$E:$E,0)),"")</f>
        <v/>
      </c>
      <c r="AD296" t="str">
        <f t="shared" si="32"/>
        <v/>
      </c>
      <c r="AG296" t="str">
        <f t="shared" si="33"/>
        <v/>
      </c>
      <c r="AI296" t="str">
        <f t="shared" si="34"/>
        <v/>
      </c>
      <c r="AK296" t="str">
        <f t="shared" si="35"/>
        <v/>
      </c>
      <c r="AL296" t="str">
        <f t="shared" si="36"/>
        <v/>
      </c>
      <c r="AM296" t="str">
        <f t="shared" si="37"/>
        <v/>
      </c>
      <c r="AX296" t="str">
        <f t="shared" si="38"/>
        <v/>
      </c>
      <c r="AY296" t="str">
        <f t="shared" si="39"/>
        <v/>
      </c>
      <c r="BC296" t="str">
        <f>IFERROR(INDEX(_names_lookup!$C:$C,MATCH(BB296,_names_lookup!$A:$A,0)),"")</f>
        <v/>
      </c>
      <c r="BD296" t="str">
        <f>IFERROR(INDEX(_names_lookup!$B:$B,MATCH(BB296,_names_lookup!$A:$A,0)),"")</f>
        <v/>
      </c>
    </row>
    <row r="297" spans="8:56" x14ac:dyDescent="0.2">
      <c r="H297" t="s">
        <v>1557</v>
      </c>
      <c r="I297" t="s">
        <v>1558</v>
      </c>
      <c r="N297" t="str">
        <f>IFERROR(INDEX(_courses_lookup!$C:$C,MATCH(J297&amp;K297,_courses_lookup!$E:$E,0)),"")</f>
        <v/>
      </c>
      <c r="O297" t="str">
        <f>IFERROR(INDEX(_courses_lookup!$D:$D,MATCH(J297&amp;K297,_courses_lookup!$E:$E,0)),"")</f>
        <v/>
      </c>
      <c r="AD297" t="str">
        <f t="shared" si="32"/>
        <v/>
      </c>
      <c r="AG297" t="str">
        <f t="shared" si="33"/>
        <v/>
      </c>
      <c r="AI297" t="str">
        <f t="shared" si="34"/>
        <v/>
      </c>
      <c r="AK297" t="str">
        <f t="shared" si="35"/>
        <v/>
      </c>
      <c r="AL297" t="str">
        <f t="shared" si="36"/>
        <v/>
      </c>
      <c r="AM297" t="str">
        <f t="shared" si="37"/>
        <v/>
      </c>
      <c r="AX297" t="str">
        <f t="shared" si="38"/>
        <v/>
      </c>
      <c r="AY297" t="str">
        <f t="shared" si="39"/>
        <v/>
      </c>
      <c r="BC297" t="str">
        <f>IFERROR(INDEX(_names_lookup!$C:$C,MATCH(BB297,_names_lookup!$A:$A,0)),"")</f>
        <v/>
      </c>
      <c r="BD297" t="str">
        <f>IFERROR(INDEX(_names_lookup!$B:$B,MATCH(BB297,_names_lookup!$A:$A,0)),"")</f>
        <v/>
      </c>
    </row>
    <row r="298" spans="8:56" x14ac:dyDescent="0.2">
      <c r="H298" t="s">
        <v>1559</v>
      </c>
      <c r="I298" t="s">
        <v>1560</v>
      </c>
      <c r="N298" t="str">
        <f>IFERROR(INDEX(_courses_lookup!$C:$C,MATCH(J298&amp;K298,_courses_lookup!$E:$E,0)),"")</f>
        <v/>
      </c>
      <c r="O298" t="str">
        <f>IFERROR(INDEX(_courses_lookup!$D:$D,MATCH(J298&amp;K298,_courses_lookup!$E:$E,0)),"")</f>
        <v/>
      </c>
      <c r="AD298" t="str">
        <f t="shared" si="32"/>
        <v/>
      </c>
      <c r="AG298" t="str">
        <f t="shared" si="33"/>
        <v/>
      </c>
      <c r="AI298" t="str">
        <f t="shared" si="34"/>
        <v/>
      </c>
      <c r="AK298" t="str">
        <f t="shared" si="35"/>
        <v/>
      </c>
      <c r="AL298" t="str">
        <f t="shared" si="36"/>
        <v/>
      </c>
      <c r="AM298" t="str">
        <f t="shared" si="37"/>
        <v/>
      </c>
      <c r="AX298" t="str">
        <f t="shared" si="38"/>
        <v/>
      </c>
      <c r="AY298" t="str">
        <f t="shared" si="39"/>
        <v/>
      </c>
      <c r="BC298" t="str">
        <f>IFERROR(INDEX(_names_lookup!$C:$C,MATCH(BB298,_names_lookup!$A:$A,0)),"")</f>
        <v/>
      </c>
      <c r="BD298" t="str">
        <f>IFERROR(INDEX(_names_lookup!$B:$B,MATCH(BB298,_names_lookup!$A:$A,0)),"")</f>
        <v/>
      </c>
    </row>
    <row r="299" spans="8:56" x14ac:dyDescent="0.2">
      <c r="H299" t="s">
        <v>1561</v>
      </c>
      <c r="I299" t="s">
        <v>1562</v>
      </c>
      <c r="N299" t="str">
        <f>IFERROR(INDEX(_courses_lookup!$C:$C,MATCH(J299&amp;K299,_courses_lookup!$E:$E,0)),"")</f>
        <v/>
      </c>
      <c r="O299" t="str">
        <f>IFERROR(INDEX(_courses_lookup!$D:$D,MATCH(J299&amp;K299,_courses_lookup!$E:$E,0)),"")</f>
        <v/>
      </c>
      <c r="AD299" t="str">
        <f t="shared" si="32"/>
        <v/>
      </c>
      <c r="AG299" t="str">
        <f t="shared" si="33"/>
        <v/>
      </c>
      <c r="AI299" t="str">
        <f t="shared" si="34"/>
        <v/>
      </c>
      <c r="AK299" t="str">
        <f t="shared" si="35"/>
        <v/>
      </c>
      <c r="AL299" t="str">
        <f t="shared" si="36"/>
        <v/>
      </c>
      <c r="AM299" t="str">
        <f t="shared" si="37"/>
        <v/>
      </c>
      <c r="AX299" t="str">
        <f t="shared" si="38"/>
        <v/>
      </c>
      <c r="AY299" t="str">
        <f t="shared" si="39"/>
        <v/>
      </c>
      <c r="BC299" t="str">
        <f>IFERROR(INDEX(_names_lookup!$C:$C,MATCH(BB299,_names_lookup!$A:$A,0)),"")</f>
        <v/>
      </c>
      <c r="BD299" t="str">
        <f>IFERROR(INDEX(_names_lookup!$B:$B,MATCH(BB299,_names_lookup!$A:$A,0)),"")</f>
        <v/>
      </c>
    </row>
    <row r="300" spans="8:56" x14ac:dyDescent="0.2">
      <c r="H300" t="s">
        <v>1563</v>
      </c>
      <c r="I300" t="s">
        <v>1564</v>
      </c>
      <c r="N300" t="str">
        <f>IFERROR(INDEX(_courses_lookup!$C:$C,MATCH(J300&amp;K300,_courses_lookup!$E:$E,0)),"")</f>
        <v/>
      </c>
      <c r="O300" t="str">
        <f>IFERROR(INDEX(_courses_lookup!$D:$D,MATCH(J300&amp;K300,_courses_lookup!$E:$E,0)),"")</f>
        <v/>
      </c>
      <c r="AD300" t="str">
        <f t="shared" si="32"/>
        <v/>
      </c>
      <c r="AG300" t="str">
        <f t="shared" si="33"/>
        <v/>
      </c>
      <c r="AI300" t="str">
        <f t="shared" si="34"/>
        <v/>
      </c>
      <c r="AK300" t="str">
        <f t="shared" si="35"/>
        <v/>
      </c>
      <c r="AL300" t="str">
        <f t="shared" si="36"/>
        <v/>
      </c>
      <c r="AM300" t="str">
        <f t="shared" si="37"/>
        <v/>
      </c>
      <c r="AX300" t="str">
        <f t="shared" si="38"/>
        <v/>
      </c>
      <c r="AY300" t="str">
        <f t="shared" si="39"/>
        <v/>
      </c>
      <c r="BC300" t="str">
        <f>IFERROR(INDEX(_names_lookup!$C:$C,MATCH(BB300,_names_lookup!$A:$A,0)),"")</f>
        <v/>
      </c>
      <c r="BD300" t="str">
        <f>IFERROR(INDEX(_names_lookup!$B:$B,MATCH(BB300,_names_lookup!$A:$A,0)),"")</f>
        <v/>
      </c>
    </row>
    <row r="301" spans="8:56" x14ac:dyDescent="0.2">
      <c r="H301" t="s">
        <v>1565</v>
      </c>
      <c r="I301" t="s">
        <v>1566</v>
      </c>
    </row>
    <row r="302" spans="8:56" x14ac:dyDescent="0.2">
      <c r="H302" t="s">
        <v>1567</v>
      </c>
      <c r="I302" t="s">
        <v>1021</v>
      </c>
    </row>
    <row r="303" spans="8:56" x14ac:dyDescent="0.2">
      <c r="H303" t="s">
        <v>1568</v>
      </c>
      <c r="I303" t="s">
        <v>1025</v>
      </c>
    </row>
    <row r="304" spans="8:56" x14ac:dyDescent="0.2">
      <c r="H304" t="s">
        <v>1569</v>
      </c>
      <c r="I304" t="s">
        <v>1570</v>
      </c>
    </row>
    <row r="305" spans="8:9" x14ac:dyDescent="0.2">
      <c r="H305" t="s">
        <v>1571</v>
      </c>
      <c r="I305" t="s">
        <v>1029</v>
      </c>
    </row>
    <row r="306" spans="8:9" x14ac:dyDescent="0.2">
      <c r="H306" t="s">
        <v>1572</v>
      </c>
      <c r="I306" t="s">
        <v>1573</v>
      </c>
    </row>
    <row r="307" spans="8:9" x14ac:dyDescent="0.2">
      <c r="H307" t="s">
        <v>1574</v>
      </c>
      <c r="I307" t="s">
        <v>1032</v>
      </c>
    </row>
    <row r="308" spans="8:9" x14ac:dyDescent="0.2">
      <c r="H308" t="s">
        <v>1575</v>
      </c>
      <c r="I308" t="s">
        <v>1576</v>
      </c>
    </row>
    <row r="309" spans="8:9" x14ac:dyDescent="0.2">
      <c r="H309" t="s">
        <v>1577</v>
      </c>
      <c r="I309" t="s">
        <v>1035</v>
      </c>
    </row>
    <row r="310" spans="8:9" x14ac:dyDescent="0.2">
      <c r="H310" t="s">
        <v>1578</v>
      </c>
      <c r="I310" t="s">
        <v>1579</v>
      </c>
    </row>
    <row r="311" spans="8:9" x14ac:dyDescent="0.2">
      <c r="H311" t="s">
        <v>1580</v>
      </c>
      <c r="I311" t="s">
        <v>1581</v>
      </c>
    </row>
    <row r="312" spans="8:9" x14ac:dyDescent="0.2">
      <c r="H312" t="s">
        <v>1582</v>
      </c>
      <c r="I312" t="s">
        <v>1583</v>
      </c>
    </row>
    <row r="313" spans="8:9" x14ac:dyDescent="0.2">
      <c r="H313" t="s">
        <v>1584</v>
      </c>
      <c r="I313" t="s">
        <v>1039</v>
      </c>
    </row>
    <row r="314" spans="8:9" x14ac:dyDescent="0.2">
      <c r="H314" t="s">
        <v>1585</v>
      </c>
      <c r="I314" t="s">
        <v>1586</v>
      </c>
    </row>
    <row r="315" spans="8:9" x14ac:dyDescent="0.2">
      <c r="H315" t="s">
        <v>1587</v>
      </c>
      <c r="I315" t="s">
        <v>1043</v>
      </c>
    </row>
    <row r="316" spans="8:9" x14ac:dyDescent="0.2">
      <c r="H316" t="s">
        <v>1588</v>
      </c>
      <c r="I316" t="s">
        <v>1589</v>
      </c>
    </row>
    <row r="317" spans="8:9" x14ac:dyDescent="0.2">
      <c r="H317" t="s">
        <v>1590</v>
      </c>
      <c r="I317" t="s">
        <v>1591</v>
      </c>
    </row>
    <row r="318" spans="8:9" x14ac:dyDescent="0.2">
      <c r="H318" t="s">
        <v>1592</v>
      </c>
      <c r="I318" t="s">
        <v>1593</v>
      </c>
    </row>
    <row r="319" spans="8:9" x14ac:dyDescent="0.2">
      <c r="H319" t="s">
        <v>1594</v>
      </c>
      <c r="I319" t="s">
        <v>1046</v>
      </c>
    </row>
    <row r="320" spans="8:9" x14ac:dyDescent="0.2">
      <c r="H320" t="s">
        <v>1595</v>
      </c>
      <c r="I320" t="s">
        <v>1596</v>
      </c>
    </row>
    <row r="321" spans="8:9" x14ac:dyDescent="0.2">
      <c r="H321" t="s">
        <v>1597</v>
      </c>
      <c r="I321" t="s">
        <v>1050</v>
      </c>
    </row>
    <row r="322" spans="8:9" x14ac:dyDescent="0.2">
      <c r="H322" t="s">
        <v>1598</v>
      </c>
      <c r="I322" t="s">
        <v>1599</v>
      </c>
    </row>
    <row r="323" spans="8:9" x14ac:dyDescent="0.2">
      <c r="H323" t="s">
        <v>1600</v>
      </c>
      <c r="I323" t="s">
        <v>1054</v>
      </c>
    </row>
    <row r="324" spans="8:9" x14ac:dyDescent="0.2">
      <c r="H324" t="s">
        <v>1601</v>
      </c>
      <c r="I324" t="s">
        <v>1602</v>
      </c>
    </row>
    <row r="325" spans="8:9" x14ac:dyDescent="0.2">
      <c r="H325" t="s">
        <v>1603</v>
      </c>
      <c r="I325" t="s">
        <v>1057</v>
      </c>
    </row>
    <row r="326" spans="8:9" x14ac:dyDescent="0.2">
      <c r="H326" t="s">
        <v>1604</v>
      </c>
      <c r="I326" t="s">
        <v>1605</v>
      </c>
    </row>
    <row r="327" spans="8:9" x14ac:dyDescent="0.2">
      <c r="H327" t="s">
        <v>1606</v>
      </c>
      <c r="I327" t="s">
        <v>1607</v>
      </c>
    </row>
    <row r="328" spans="8:9" x14ac:dyDescent="0.2">
      <c r="H328" t="s">
        <v>1608</v>
      </c>
      <c r="I328" t="s">
        <v>1082</v>
      </c>
    </row>
    <row r="329" spans="8:9" x14ac:dyDescent="0.2">
      <c r="H329" t="s">
        <v>1609</v>
      </c>
      <c r="I329" t="s">
        <v>1610</v>
      </c>
    </row>
    <row r="330" spans="8:9" x14ac:dyDescent="0.2">
      <c r="H330" t="s">
        <v>1611</v>
      </c>
      <c r="I330" t="s">
        <v>1612</v>
      </c>
    </row>
    <row r="331" spans="8:9" x14ac:dyDescent="0.2">
      <c r="H331" t="s">
        <v>1613</v>
      </c>
      <c r="I331" t="s">
        <v>1614</v>
      </c>
    </row>
    <row r="332" spans="8:9" x14ac:dyDescent="0.2">
      <c r="H332" t="s">
        <v>1615</v>
      </c>
      <c r="I332" t="s">
        <v>1616</v>
      </c>
    </row>
    <row r="333" spans="8:9" x14ac:dyDescent="0.2">
      <c r="H333" t="s">
        <v>1617</v>
      </c>
      <c r="I333" t="s">
        <v>1618</v>
      </c>
    </row>
    <row r="334" spans="8:9" x14ac:dyDescent="0.2">
      <c r="H334" t="s">
        <v>1619</v>
      </c>
      <c r="I334" t="s">
        <v>1620</v>
      </c>
    </row>
    <row r="335" spans="8:9" x14ac:dyDescent="0.2">
      <c r="H335" t="s">
        <v>1621</v>
      </c>
      <c r="I335" t="s">
        <v>1622</v>
      </c>
    </row>
    <row r="336" spans="8:9" x14ac:dyDescent="0.2">
      <c r="H336" t="s">
        <v>1623</v>
      </c>
      <c r="I336" t="s">
        <v>1624</v>
      </c>
    </row>
    <row r="337" spans="8:9" x14ac:dyDescent="0.2">
      <c r="H337" t="s">
        <v>1625</v>
      </c>
      <c r="I337" t="s">
        <v>1626</v>
      </c>
    </row>
    <row r="338" spans="8:9" x14ac:dyDescent="0.2">
      <c r="H338" t="s">
        <v>1627</v>
      </c>
      <c r="I338" t="s">
        <v>1628</v>
      </c>
    </row>
    <row r="339" spans="8:9" x14ac:dyDescent="0.2">
      <c r="H339" t="s">
        <v>1629</v>
      </c>
      <c r="I339" t="s">
        <v>1630</v>
      </c>
    </row>
    <row r="340" spans="8:9" x14ac:dyDescent="0.2">
      <c r="H340" t="s">
        <v>1631</v>
      </c>
      <c r="I340" t="s">
        <v>1632</v>
      </c>
    </row>
    <row r="341" spans="8:9" x14ac:dyDescent="0.2">
      <c r="H341" t="s">
        <v>1633</v>
      </c>
      <c r="I341" t="s">
        <v>1634</v>
      </c>
    </row>
    <row r="342" spans="8:9" x14ac:dyDescent="0.2">
      <c r="H342" t="s">
        <v>1635</v>
      </c>
      <c r="I342" t="s">
        <v>1636</v>
      </c>
    </row>
    <row r="343" spans="8:9" x14ac:dyDescent="0.2">
      <c r="H343" t="s">
        <v>1637</v>
      </c>
      <c r="I343" t="s">
        <v>1638</v>
      </c>
    </row>
    <row r="344" spans="8:9" x14ac:dyDescent="0.2">
      <c r="H344" t="s">
        <v>1639</v>
      </c>
      <c r="I344" t="s">
        <v>1640</v>
      </c>
    </row>
    <row r="345" spans="8:9" x14ac:dyDescent="0.2">
      <c r="H345" t="s">
        <v>1641</v>
      </c>
      <c r="I345" t="s">
        <v>1642</v>
      </c>
    </row>
    <row r="346" spans="8:9" x14ac:dyDescent="0.2">
      <c r="H346" t="s">
        <v>1643</v>
      </c>
      <c r="I346" t="s">
        <v>1644</v>
      </c>
    </row>
    <row r="347" spans="8:9" x14ac:dyDescent="0.2">
      <c r="H347" t="s">
        <v>1645</v>
      </c>
      <c r="I347" t="s">
        <v>1646</v>
      </c>
    </row>
    <row r="348" spans="8:9" x14ac:dyDescent="0.2">
      <c r="H348" t="s">
        <v>1647</v>
      </c>
      <c r="I348" t="s">
        <v>1648</v>
      </c>
    </row>
    <row r="349" spans="8:9" x14ac:dyDescent="0.2">
      <c r="H349" t="s">
        <v>1649</v>
      </c>
      <c r="I349" t="s">
        <v>1650</v>
      </c>
    </row>
    <row r="350" spans="8:9" x14ac:dyDescent="0.2">
      <c r="H350" t="s">
        <v>1651</v>
      </c>
      <c r="I350" t="s">
        <v>1652</v>
      </c>
    </row>
    <row r="351" spans="8:9" x14ac:dyDescent="0.2">
      <c r="H351" t="s">
        <v>1653</v>
      </c>
      <c r="I351" t="s">
        <v>1126</v>
      </c>
    </row>
    <row r="352" spans="8:9" x14ac:dyDescent="0.2">
      <c r="H352" t="s">
        <v>1654</v>
      </c>
      <c r="I352" t="s">
        <v>1655</v>
      </c>
    </row>
    <row r="353" spans="8:8" x14ac:dyDescent="0.2">
      <c r="H353" t="s">
        <v>1656</v>
      </c>
    </row>
    <row r="354" spans="8:8" x14ac:dyDescent="0.2">
      <c r="H354" t="s">
        <v>1657</v>
      </c>
    </row>
    <row r="355" spans="8:8" x14ac:dyDescent="0.2">
      <c r="H355" t="s">
        <v>1658</v>
      </c>
    </row>
    <row r="356" spans="8:8" x14ac:dyDescent="0.2">
      <c r="H356" t="s">
        <v>1659</v>
      </c>
    </row>
    <row r="357" spans="8:8" x14ac:dyDescent="0.2">
      <c r="H357" t="s">
        <v>1660</v>
      </c>
    </row>
    <row r="358" spans="8:8" x14ac:dyDescent="0.2">
      <c r="H358" t="s">
        <v>1661</v>
      </c>
    </row>
    <row r="359" spans="8:8" x14ac:dyDescent="0.2">
      <c r="H359" t="s">
        <v>1662</v>
      </c>
    </row>
    <row r="360" spans="8:8" x14ac:dyDescent="0.2">
      <c r="H360" t="s">
        <v>1663</v>
      </c>
    </row>
    <row r="361" spans="8:8" x14ac:dyDescent="0.2">
      <c r="H361" t="s">
        <v>1664</v>
      </c>
    </row>
    <row r="362" spans="8:8" x14ac:dyDescent="0.2">
      <c r="H362" t="s">
        <v>1665</v>
      </c>
    </row>
    <row r="363" spans="8:8" x14ac:dyDescent="0.2">
      <c r="H363" t="s">
        <v>1666</v>
      </c>
    </row>
    <row r="364" spans="8:8" x14ac:dyDescent="0.2">
      <c r="H364" t="s">
        <v>1667</v>
      </c>
    </row>
    <row r="365" spans="8:8" x14ac:dyDescent="0.2">
      <c r="H365" t="s">
        <v>1668</v>
      </c>
    </row>
    <row r="366" spans="8:8" x14ac:dyDescent="0.2">
      <c r="H366" t="s">
        <v>1669</v>
      </c>
    </row>
    <row r="367" spans="8:8" x14ac:dyDescent="0.2">
      <c r="H367" t="s">
        <v>1670</v>
      </c>
    </row>
    <row r="368" spans="8:8" x14ac:dyDescent="0.2">
      <c r="H368" t="s">
        <v>1671</v>
      </c>
    </row>
    <row r="369" spans="8:8" x14ac:dyDescent="0.2">
      <c r="H369" t="s">
        <v>1672</v>
      </c>
    </row>
    <row r="370" spans="8:8" x14ac:dyDescent="0.2">
      <c r="H370" t="s">
        <v>1673</v>
      </c>
    </row>
    <row r="371" spans="8:8" x14ac:dyDescent="0.2">
      <c r="H371" t="s">
        <v>1674</v>
      </c>
    </row>
    <row r="372" spans="8:8" x14ac:dyDescent="0.2">
      <c r="H372" t="s">
        <v>1675</v>
      </c>
    </row>
    <row r="373" spans="8:8" x14ac:dyDescent="0.2">
      <c r="H373" t="s">
        <v>1676</v>
      </c>
    </row>
    <row r="374" spans="8:8" x14ac:dyDescent="0.2">
      <c r="H374" t="s">
        <v>1677</v>
      </c>
    </row>
    <row r="375" spans="8:8" x14ac:dyDescent="0.2">
      <c r="H375" t="s">
        <v>1678</v>
      </c>
    </row>
    <row r="376" spans="8:8" x14ac:dyDescent="0.2">
      <c r="H376" t="s">
        <v>1679</v>
      </c>
    </row>
    <row r="377" spans="8:8" x14ac:dyDescent="0.2">
      <c r="H377" t="s">
        <v>1680</v>
      </c>
    </row>
    <row r="378" spans="8:8" x14ac:dyDescent="0.2">
      <c r="H378" t="s">
        <v>1681</v>
      </c>
    </row>
    <row r="379" spans="8:8" x14ac:dyDescent="0.2">
      <c r="H379" t="s">
        <v>1682</v>
      </c>
    </row>
    <row r="380" spans="8:8" x14ac:dyDescent="0.2">
      <c r="H380" t="s">
        <v>1683</v>
      </c>
    </row>
    <row r="381" spans="8:8" x14ac:dyDescent="0.2">
      <c r="H381" t="s">
        <v>1684</v>
      </c>
    </row>
    <row r="382" spans="8:8" x14ac:dyDescent="0.2">
      <c r="H382" t="s">
        <v>1685</v>
      </c>
    </row>
    <row r="383" spans="8:8" x14ac:dyDescent="0.2">
      <c r="H383" t="s">
        <v>1686</v>
      </c>
    </row>
    <row r="384" spans="8:8" x14ac:dyDescent="0.2">
      <c r="H384" t="s">
        <v>1687</v>
      </c>
    </row>
    <row r="385" spans="8:8" x14ac:dyDescent="0.2">
      <c r="H385" t="s">
        <v>1688</v>
      </c>
    </row>
    <row r="386" spans="8:8" x14ac:dyDescent="0.2">
      <c r="H386" t="s">
        <v>1689</v>
      </c>
    </row>
    <row r="387" spans="8:8" x14ac:dyDescent="0.2">
      <c r="H387" t="s">
        <v>1690</v>
      </c>
    </row>
    <row r="388" spans="8:8" x14ac:dyDescent="0.2">
      <c r="H388" t="s">
        <v>1691</v>
      </c>
    </row>
    <row r="389" spans="8:8" x14ac:dyDescent="0.2">
      <c r="H389" t="s">
        <v>1692</v>
      </c>
    </row>
    <row r="390" spans="8:8" x14ac:dyDescent="0.2">
      <c r="H390" t="s">
        <v>1693</v>
      </c>
    </row>
    <row r="391" spans="8:8" x14ac:dyDescent="0.2">
      <c r="H391" t="s">
        <v>1694</v>
      </c>
    </row>
    <row r="392" spans="8:8" x14ac:dyDescent="0.2">
      <c r="H392" t="s">
        <v>1695</v>
      </c>
    </row>
    <row r="393" spans="8:8" x14ac:dyDescent="0.2">
      <c r="H393" t="s">
        <v>1696</v>
      </c>
    </row>
    <row r="394" spans="8:8" x14ac:dyDescent="0.2">
      <c r="H394" t="s">
        <v>1697</v>
      </c>
    </row>
    <row r="395" spans="8:8" x14ac:dyDescent="0.2">
      <c r="H395" t="s">
        <v>1698</v>
      </c>
    </row>
    <row r="396" spans="8:8" x14ac:dyDescent="0.2">
      <c r="H396" t="s">
        <v>1699</v>
      </c>
    </row>
    <row r="397" spans="8:8" x14ac:dyDescent="0.2">
      <c r="H397" t="s">
        <v>1700</v>
      </c>
    </row>
    <row r="398" spans="8:8" x14ac:dyDescent="0.2">
      <c r="H398" t="s">
        <v>1701</v>
      </c>
    </row>
    <row r="399" spans="8:8" x14ac:dyDescent="0.2">
      <c r="H399" t="s">
        <v>1702</v>
      </c>
    </row>
    <row r="400" spans="8:8" x14ac:dyDescent="0.2">
      <c r="H400" t="s">
        <v>1703</v>
      </c>
    </row>
    <row r="401" spans="8:8" x14ac:dyDescent="0.2">
      <c r="H401" t="s">
        <v>1704</v>
      </c>
    </row>
    <row r="402" spans="8:8" x14ac:dyDescent="0.2">
      <c r="H402" t="s">
        <v>1705</v>
      </c>
    </row>
    <row r="403" spans="8:8" x14ac:dyDescent="0.2">
      <c r="H403" t="s">
        <v>1706</v>
      </c>
    </row>
    <row r="404" spans="8:8" x14ac:dyDescent="0.2">
      <c r="H404" t="s">
        <v>1707</v>
      </c>
    </row>
    <row r="405" spans="8:8" x14ac:dyDescent="0.2">
      <c r="H405" t="s">
        <v>1708</v>
      </c>
    </row>
    <row r="406" spans="8:8" x14ac:dyDescent="0.2">
      <c r="H406" t="s">
        <v>1709</v>
      </c>
    </row>
    <row r="407" spans="8:8" x14ac:dyDescent="0.2">
      <c r="H407" t="s">
        <v>1710</v>
      </c>
    </row>
    <row r="408" spans="8:8" x14ac:dyDescent="0.2">
      <c r="H408" t="s">
        <v>1711</v>
      </c>
    </row>
    <row r="409" spans="8:8" x14ac:dyDescent="0.2">
      <c r="H409" t="s">
        <v>1712</v>
      </c>
    </row>
    <row r="410" spans="8:8" x14ac:dyDescent="0.2">
      <c r="H410" t="s">
        <v>1713</v>
      </c>
    </row>
    <row r="411" spans="8:8" x14ac:dyDescent="0.2">
      <c r="H411" t="s">
        <v>1714</v>
      </c>
    </row>
    <row r="412" spans="8:8" x14ac:dyDescent="0.2">
      <c r="H412" t="s">
        <v>1715</v>
      </c>
    </row>
    <row r="413" spans="8:8" x14ac:dyDescent="0.2">
      <c r="H413" t="s">
        <v>1716</v>
      </c>
    </row>
    <row r="414" spans="8:8" x14ac:dyDescent="0.2">
      <c r="H414" t="s">
        <v>1717</v>
      </c>
    </row>
    <row r="415" spans="8:8" x14ac:dyDescent="0.2">
      <c r="H415" t="s">
        <v>1718</v>
      </c>
    </row>
    <row r="416" spans="8:8" x14ac:dyDescent="0.2">
      <c r="H416" t="s">
        <v>1719</v>
      </c>
    </row>
    <row r="417" spans="8:8" x14ac:dyDescent="0.2">
      <c r="H417" t="s">
        <v>1720</v>
      </c>
    </row>
    <row r="418" spans="8:8" x14ac:dyDescent="0.2">
      <c r="H418" t="s">
        <v>1721</v>
      </c>
    </row>
    <row r="419" spans="8:8" x14ac:dyDescent="0.2">
      <c r="H419" t="s">
        <v>1722</v>
      </c>
    </row>
    <row r="420" spans="8:8" x14ac:dyDescent="0.2">
      <c r="H420" t="s">
        <v>1723</v>
      </c>
    </row>
    <row r="421" spans="8:8" x14ac:dyDescent="0.2">
      <c r="H421" t="s">
        <v>1724</v>
      </c>
    </row>
    <row r="422" spans="8:8" x14ac:dyDescent="0.2">
      <c r="H422" t="s">
        <v>1725</v>
      </c>
    </row>
    <row r="423" spans="8:8" x14ac:dyDescent="0.2">
      <c r="H423" t="s">
        <v>1726</v>
      </c>
    </row>
    <row r="424" spans="8:8" x14ac:dyDescent="0.2">
      <c r="H424" t="s">
        <v>1727</v>
      </c>
    </row>
    <row r="425" spans="8:8" x14ac:dyDescent="0.2">
      <c r="H425" t="s">
        <v>1728</v>
      </c>
    </row>
    <row r="426" spans="8:8" x14ac:dyDescent="0.2">
      <c r="H426" t="s">
        <v>1729</v>
      </c>
    </row>
    <row r="427" spans="8:8" x14ac:dyDescent="0.2">
      <c r="H427" t="s">
        <v>1730</v>
      </c>
    </row>
    <row r="428" spans="8:8" x14ac:dyDescent="0.2">
      <c r="H428" t="s">
        <v>1731</v>
      </c>
    </row>
    <row r="429" spans="8:8" x14ac:dyDescent="0.2">
      <c r="H429" t="s">
        <v>1732</v>
      </c>
    </row>
    <row r="430" spans="8:8" x14ac:dyDescent="0.2">
      <c r="H430" t="s">
        <v>1733</v>
      </c>
    </row>
    <row r="431" spans="8:8" x14ac:dyDescent="0.2">
      <c r="H431" t="s">
        <v>1734</v>
      </c>
    </row>
    <row r="432" spans="8:8" x14ac:dyDescent="0.2">
      <c r="H432" t="s">
        <v>1735</v>
      </c>
    </row>
    <row r="433" spans="8:8" x14ac:dyDescent="0.2">
      <c r="H433" t="s">
        <v>1736</v>
      </c>
    </row>
    <row r="434" spans="8:8" x14ac:dyDescent="0.2">
      <c r="H434" t="s">
        <v>1737</v>
      </c>
    </row>
    <row r="435" spans="8:8" x14ac:dyDescent="0.2">
      <c r="H435" t="s">
        <v>1738</v>
      </c>
    </row>
    <row r="436" spans="8:8" x14ac:dyDescent="0.2">
      <c r="H436" t="s">
        <v>1739</v>
      </c>
    </row>
    <row r="437" spans="8:8" x14ac:dyDescent="0.2">
      <c r="H437" t="s">
        <v>1740</v>
      </c>
    </row>
    <row r="438" spans="8:8" x14ac:dyDescent="0.2">
      <c r="H438" t="s">
        <v>1741</v>
      </c>
    </row>
    <row r="439" spans="8:8" x14ac:dyDescent="0.2">
      <c r="H439" t="s">
        <v>1742</v>
      </c>
    </row>
    <row r="440" spans="8:8" x14ac:dyDescent="0.2">
      <c r="H440" t="s">
        <v>1743</v>
      </c>
    </row>
    <row r="441" spans="8:8" x14ac:dyDescent="0.2">
      <c r="H441" t="s">
        <v>1744</v>
      </c>
    </row>
    <row r="442" spans="8:8" x14ac:dyDescent="0.2">
      <c r="H442" t="s">
        <v>1745</v>
      </c>
    </row>
    <row r="443" spans="8:8" x14ac:dyDescent="0.2">
      <c r="H443" t="s">
        <v>1746</v>
      </c>
    </row>
    <row r="444" spans="8:8" x14ac:dyDescent="0.2">
      <c r="H444" t="s">
        <v>1747</v>
      </c>
    </row>
    <row r="445" spans="8:8" x14ac:dyDescent="0.2">
      <c r="H445" t="s">
        <v>1748</v>
      </c>
    </row>
    <row r="446" spans="8:8" x14ac:dyDescent="0.2">
      <c r="H446" t="s">
        <v>1749</v>
      </c>
    </row>
    <row r="447" spans="8:8" x14ac:dyDescent="0.2">
      <c r="H447" t="s">
        <v>1750</v>
      </c>
    </row>
    <row r="448" spans="8:8" x14ac:dyDescent="0.2">
      <c r="H448" t="s">
        <v>1751</v>
      </c>
    </row>
    <row r="449" spans="8:8" x14ac:dyDescent="0.2">
      <c r="H449" t="s">
        <v>1752</v>
      </c>
    </row>
    <row r="450" spans="8:8" x14ac:dyDescent="0.2">
      <c r="H450" t="s">
        <v>1753</v>
      </c>
    </row>
    <row r="451" spans="8:8" x14ac:dyDescent="0.2">
      <c r="H451" t="s">
        <v>1754</v>
      </c>
    </row>
    <row r="452" spans="8:8" x14ac:dyDescent="0.2">
      <c r="H452" t="s">
        <v>1755</v>
      </c>
    </row>
    <row r="453" spans="8:8" x14ac:dyDescent="0.2">
      <c r="H453" t="s">
        <v>1756</v>
      </c>
    </row>
    <row r="454" spans="8:8" x14ac:dyDescent="0.2">
      <c r="H454" t="s">
        <v>1757</v>
      </c>
    </row>
    <row r="455" spans="8:8" x14ac:dyDescent="0.2">
      <c r="H455" t="s">
        <v>1758</v>
      </c>
    </row>
    <row r="456" spans="8:8" x14ac:dyDescent="0.2">
      <c r="H456" t="s">
        <v>1759</v>
      </c>
    </row>
    <row r="457" spans="8:8" x14ac:dyDescent="0.2">
      <c r="H457" t="s">
        <v>1760</v>
      </c>
    </row>
    <row r="458" spans="8:8" x14ac:dyDescent="0.2">
      <c r="H458" t="s">
        <v>1761</v>
      </c>
    </row>
    <row r="459" spans="8:8" x14ac:dyDescent="0.2">
      <c r="H459" t="s">
        <v>1762</v>
      </c>
    </row>
    <row r="460" spans="8:8" x14ac:dyDescent="0.2">
      <c r="H460" t="s">
        <v>1763</v>
      </c>
    </row>
    <row r="461" spans="8:8" x14ac:dyDescent="0.2">
      <c r="H461" t="s">
        <v>1764</v>
      </c>
    </row>
    <row r="462" spans="8:8" x14ac:dyDescent="0.2">
      <c r="H462" t="s">
        <v>1765</v>
      </c>
    </row>
    <row r="463" spans="8:8" x14ac:dyDescent="0.2">
      <c r="H463" t="s">
        <v>1766</v>
      </c>
    </row>
    <row r="464" spans="8:8" x14ac:dyDescent="0.2">
      <c r="H464" t="s">
        <v>1767</v>
      </c>
    </row>
    <row r="465" spans="8:8" x14ac:dyDescent="0.2">
      <c r="H465" t="s">
        <v>1768</v>
      </c>
    </row>
    <row r="466" spans="8:8" x14ac:dyDescent="0.2">
      <c r="H466" t="s">
        <v>1769</v>
      </c>
    </row>
    <row r="467" spans="8:8" x14ac:dyDescent="0.2">
      <c r="H467" t="s">
        <v>1770</v>
      </c>
    </row>
    <row r="468" spans="8:8" x14ac:dyDescent="0.2">
      <c r="H468" t="s">
        <v>1771</v>
      </c>
    </row>
    <row r="469" spans="8:8" x14ac:dyDescent="0.2">
      <c r="H469" t="s">
        <v>1772</v>
      </c>
    </row>
    <row r="470" spans="8:8" x14ac:dyDescent="0.2">
      <c r="H470" t="s">
        <v>1773</v>
      </c>
    </row>
    <row r="471" spans="8:8" x14ac:dyDescent="0.2">
      <c r="H471" t="s">
        <v>1774</v>
      </c>
    </row>
    <row r="472" spans="8:8" x14ac:dyDescent="0.2">
      <c r="H472" t="s">
        <v>1775</v>
      </c>
    </row>
    <row r="473" spans="8:8" x14ac:dyDescent="0.2">
      <c r="H473" t="s">
        <v>1776</v>
      </c>
    </row>
    <row r="474" spans="8:8" x14ac:dyDescent="0.2">
      <c r="H474" t="s">
        <v>1777</v>
      </c>
    </row>
    <row r="475" spans="8:8" x14ac:dyDescent="0.2">
      <c r="H475" t="s">
        <v>1778</v>
      </c>
    </row>
    <row r="476" spans="8:8" x14ac:dyDescent="0.2">
      <c r="H476" t="s">
        <v>1779</v>
      </c>
    </row>
    <row r="477" spans="8:8" x14ac:dyDescent="0.2">
      <c r="H477" t="s">
        <v>1780</v>
      </c>
    </row>
    <row r="478" spans="8:8" x14ac:dyDescent="0.2">
      <c r="H478" t="s">
        <v>1781</v>
      </c>
    </row>
    <row r="479" spans="8:8" x14ac:dyDescent="0.2">
      <c r="H479" t="s">
        <v>1782</v>
      </c>
    </row>
    <row r="480" spans="8:8" x14ac:dyDescent="0.2">
      <c r="H480" t="s">
        <v>1783</v>
      </c>
    </row>
    <row r="481" spans="8:8" x14ac:dyDescent="0.2">
      <c r="H481" t="s">
        <v>1784</v>
      </c>
    </row>
    <row r="482" spans="8:8" x14ac:dyDescent="0.2">
      <c r="H482" t="s">
        <v>1785</v>
      </c>
    </row>
    <row r="483" spans="8:8" x14ac:dyDescent="0.2">
      <c r="H483" t="s">
        <v>1786</v>
      </c>
    </row>
    <row r="484" spans="8:8" x14ac:dyDescent="0.2">
      <c r="H484" t="s">
        <v>1787</v>
      </c>
    </row>
    <row r="485" spans="8:8" x14ac:dyDescent="0.2">
      <c r="H485" t="s">
        <v>1788</v>
      </c>
    </row>
    <row r="486" spans="8:8" x14ac:dyDescent="0.2">
      <c r="H486" t="s">
        <v>1789</v>
      </c>
    </row>
    <row r="487" spans="8:8" x14ac:dyDescent="0.2">
      <c r="H487" t="s">
        <v>1790</v>
      </c>
    </row>
    <row r="488" spans="8:8" x14ac:dyDescent="0.2">
      <c r="H488" t="s">
        <v>1791</v>
      </c>
    </row>
    <row r="489" spans="8:8" x14ac:dyDescent="0.2">
      <c r="H489" t="s">
        <v>1792</v>
      </c>
    </row>
    <row r="490" spans="8:8" x14ac:dyDescent="0.2">
      <c r="H490" t="s">
        <v>1793</v>
      </c>
    </row>
    <row r="491" spans="8:8" x14ac:dyDescent="0.2">
      <c r="H491" t="s">
        <v>1794</v>
      </c>
    </row>
    <row r="492" spans="8:8" x14ac:dyDescent="0.2">
      <c r="H492" t="s">
        <v>1795</v>
      </c>
    </row>
    <row r="493" spans="8:8" x14ac:dyDescent="0.2">
      <c r="H493" t="s">
        <v>1796</v>
      </c>
    </row>
    <row r="494" spans="8:8" x14ac:dyDescent="0.2">
      <c r="H494" t="s">
        <v>1797</v>
      </c>
    </row>
    <row r="495" spans="8:8" x14ac:dyDescent="0.2">
      <c r="H495" t="s">
        <v>1798</v>
      </c>
    </row>
    <row r="496" spans="8:8" x14ac:dyDescent="0.2">
      <c r="H496" t="s">
        <v>1799</v>
      </c>
    </row>
    <row r="497" spans="8:8" x14ac:dyDescent="0.2">
      <c r="H497" t="s">
        <v>1800</v>
      </c>
    </row>
    <row r="498" spans="8:8" x14ac:dyDescent="0.2">
      <c r="H498" t="s">
        <v>1801</v>
      </c>
    </row>
    <row r="499" spans="8:8" x14ac:dyDescent="0.2">
      <c r="H499" t="s">
        <v>1802</v>
      </c>
    </row>
    <row r="500" spans="8:8" x14ac:dyDescent="0.2">
      <c r="H500" t="s">
        <v>1803</v>
      </c>
    </row>
    <row r="501" spans="8:8" x14ac:dyDescent="0.2">
      <c r="H501" t="s">
        <v>1804</v>
      </c>
    </row>
    <row r="502" spans="8:8" x14ac:dyDescent="0.2">
      <c r="H502" t="s">
        <v>1805</v>
      </c>
    </row>
    <row r="503" spans="8:8" x14ac:dyDescent="0.2">
      <c r="H503" t="s">
        <v>1806</v>
      </c>
    </row>
    <row r="504" spans="8:8" x14ac:dyDescent="0.2">
      <c r="H504" t="s">
        <v>1807</v>
      </c>
    </row>
    <row r="505" spans="8:8" x14ac:dyDescent="0.2">
      <c r="H505" t="s">
        <v>1808</v>
      </c>
    </row>
    <row r="506" spans="8:8" x14ac:dyDescent="0.2">
      <c r="H506" t="s">
        <v>1809</v>
      </c>
    </row>
    <row r="507" spans="8:8" x14ac:dyDescent="0.2">
      <c r="H507" t="s">
        <v>1810</v>
      </c>
    </row>
    <row r="508" spans="8:8" x14ac:dyDescent="0.2">
      <c r="H508" t="s">
        <v>1811</v>
      </c>
    </row>
    <row r="509" spans="8:8" x14ac:dyDescent="0.2">
      <c r="H509" t="s">
        <v>1812</v>
      </c>
    </row>
    <row r="510" spans="8:8" x14ac:dyDescent="0.2">
      <c r="H510" t="s">
        <v>1813</v>
      </c>
    </row>
    <row r="511" spans="8:8" x14ac:dyDescent="0.2">
      <c r="H511" t="s">
        <v>1814</v>
      </c>
    </row>
    <row r="512" spans="8:8" x14ac:dyDescent="0.2">
      <c r="H512" t="s">
        <v>1815</v>
      </c>
    </row>
    <row r="513" spans="8:8" x14ac:dyDescent="0.2">
      <c r="H513" t="s">
        <v>1816</v>
      </c>
    </row>
    <row r="514" spans="8:8" x14ac:dyDescent="0.2">
      <c r="H514" t="s">
        <v>1817</v>
      </c>
    </row>
    <row r="515" spans="8:8" x14ac:dyDescent="0.2">
      <c r="H515" t="s">
        <v>1818</v>
      </c>
    </row>
    <row r="516" spans="8:8" x14ac:dyDescent="0.2">
      <c r="H516" t="s">
        <v>1819</v>
      </c>
    </row>
    <row r="517" spans="8:8" x14ac:dyDescent="0.2">
      <c r="H517" t="s">
        <v>1820</v>
      </c>
    </row>
    <row r="518" spans="8:8" x14ac:dyDescent="0.2">
      <c r="H518" t="s">
        <v>1821</v>
      </c>
    </row>
    <row r="519" spans="8:8" x14ac:dyDescent="0.2">
      <c r="H519" t="s">
        <v>1822</v>
      </c>
    </row>
    <row r="520" spans="8:8" x14ac:dyDescent="0.2">
      <c r="H520" t="s">
        <v>1823</v>
      </c>
    </row>
    <row r="521" spans="8:8" x14ac:dyDescent="0.2">
      <c r="H521" t="s">
        <v>1824</v>
      </c>
    </row>
    <row r="522" spans="8:8" x14ac:dyDescent="0.2">
      <c r="H522" t="s">
        <v>1825</v>
      </c>
    </row>
    <row r="523" spans="8:8" x14ac:dyDescent="0.2">
      <c r="H523" t="s">
        <v>1826</v>
      </c>
    </row>
    <row r="524" spans="8:8" x14ac:dyDescent="0.2">
      <c r="H524" t="s">
        <v>1827</v>
      </c>
    </row>
    <row r="525" spans="8:8" x14ac:dyDescent="0.2">
      <c r="H525" t="s">
        <v>1828</v>
      </c>
    </row>
    <row r="526" spans="8:8" x14ac:dyDescent="0.2">
      <c r="H526" t="s">
        <v>1829</v>
      </c>
    </row>
    <row r="527" spans="8:8" x14ac:dyDescent="0.2">
      <c r="H527" t="s">
        <v>1830</v>
      </c>
    </row>
    <row r="528" spans="8:8" x14ac:dyDescent="0.2">
      <c r="H528" t="s">
        <v>1831</v>
      </c>
    </row>
    <row r="529" spans="8:8" x14ac:dyDescent="0.2">
      <c r="H529" t="s">
        <v>1832</v>
      </c>
    </row>
    <row r="530" spans="8:8" x14ac:dyDescent="0.2">
      <c r="H530" t="s">
        <v>1833</v>
      </c>
    </row>
    <row r="531" spans="8:8" x14ac:dyDescent="0.2">
      <c r="H531" t="s">
        <v>1834</v>
      </c>
    </row>
    <row r="532" spans="8:8" x14ac:dyDescent="0.2">
      <c r="H532" t="s">
        <v>1835</v>
      </c>
    </row>
    <row r="533" spans="8:8" x14ac:dyDescent="0.2">
      <c r="H533" t="s">
        <v>1836</v>
      </c>
    </row>
    <row r="534" spans="8:8" x14ac:dyDescent="0.2">
      <c r="H534" t="s">
        <v>1837</v>
      </c>
    </row>
    <row r="535" spans="8:8" x14ac:dyDescent="0.2">
      <c r="H535" t="s">
        <v>1838</v>
      </c>
    </row>
    <row r="536" spans="8:8" x14ac:dyDescent="0.2">
      <c r="H536" t="s">
        <v>1839</v>
      </c>
    </row>
    <row r="537" spans="8:8" x14ac:dyDescent="0.2">
      <c r="H537" t="s">
        <v>1840</v>
      </c>
    </row>
    <row r="538" spans="8:8" x14ac:dyDescent="0.2">
      <c r="H538" t="s">
        <v>1841</v>
      </c>
    </row>
    <row r="539" spans="8:8" x14ac:dyDescent="0.2">
      <c r="H539" t="s">
        <v>1842</v>
      </c>
    </row>
    <row r="540" spans="8:8" x14ac:dyDescent="0.2">
      <c r="H540" t="s">
        <v>1843</v>
      </c>
    </row>
    <row r="541" spans="8:8" x14ac:dyDescent="0.2">
      <c r="H541" t="s">
        <v>1844</v>
      </c>
    </row>
    <row r="542" spans="8:8" x14ac:dyDescent="0.2">
      <c r="H542" t="s">
        <v>1845</v>
      </c>
    </row>
    <row r="543" spans="8:8" x14ac:dyDescent="0.2">
      <c r="H543" t="s">
        <v>1846</v>
      </c>
    </row>
    <row r="544" spans="8:8" x14ac:dyDescent="0.2">
      <c r="H544" t="s">
        <v>1847</v>
      </c>
    </row>
    <row r="545" spans="8:8" x14ac:dyDescent="0.2">
      <c r="H545" t="s">
        <v>1848</v>
      </c>
    </row>
    <row r="546" spans="8:8" x14ac:dyDescent="0.2">
      <c r="H546" t="s">
        <v>1849</v>
      </c>
    </row>
    <row r="547" spans="8:8" x14ac:dyDescent="0.2">
      <c r="H547" t="s">
        <v>1850</v>
      </c>
    </row>
    <row r="548" spans="8:8" x14ac:dyDescent="0.2">
      <c r="H548" t="s">
        <v>1851</v>
      </c>
    </row>
    <row r="549" spans="8:8" x14ac:dyDescent="0.2">
      <c r="H549" t="s">
        <v>1852</v>
      </c>
    </row>
    <row r="550" spans="8:8" x14ac:dyDescent="0.2">
      <c r="H550" t="s">
        <v>1853</v>
      </c>
    </row>
    <row r="551" spans="8:8" x14ac:dyDescent="0.2">
      <c r="H551" t="s">
        <v>1854</v>
      </c>
    </row>
    <row r="552" spans="8:8" x14ac:dyDescent="0.2">
      <c r="H552" t="s">
        <v>1855</v>
      </c>
    </row>
    <row r="553" spans="8:8" x14ac:dyDescent="0.2">
      <c r="H553" t="s">
        <v>1856</v>
      </c>
    </row>
    <row r="554" spans="8:8" x14ac:dyDescent="0.2">
      <c r="H554" t="s">
        <v>1857</v>
      </c>
    </row>
    <row r="555" spans="8:8" x14ac:dyDescent="0.2">
      <c r="H555" t="s">
        <v>1858</v>
      </c>
    </row>
    <row r="556" spans="8:8" x14ac:dyDescent="0.2">
      <c r="H556" t="s">
        <v>1859</v>
      </c>
    </row>
    <row r="557" spans="8:8" x14ac:dyDescent="0.2">
      <c r="H557" t="s">
        <v>1860</v>
      </c>
    </row>
    <row r="558" spans="8:8" x14ac:dyDescent="0.2">
      <c r="H558" t="s">
        <v>1861</v>
      </c>
    </row>
    <row r="559" spans="8:8" x14ac:dyDescent="0.2">
      <c r="H559" t="s">
        <v>1862</v>
      </c>
    </row>
    <row r="560" spans="8:8" x14ac:dyDescent="0.2">
      <c r="H560" t="s">
        <v>1863</v>
      </c>
    </row>
    <row r="561" spans="8:8" x14ac:dyDescent="0.2">
      <c r="H561" t="s">
        <v>1864</v>
      </c>
    </row>
    <row r="562" spans="8:8" x14ac:dyDescent="0.2">
      <c r="H562" t="s">
        <v>1865</v>
      </c>
    </row>
    <row r="563" spans="8:8" x14ac:dyDescent="0.2">
      <c r="H563" t="s">
        <v>1866</v>
      </c>
    </row>
    <row r="564" spans="8:8" x14ac:dyDescent="0.2">
      <c r="H564" t="s">
        <v>1867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61"/>
  <sheetViews>
    <sheetView workbookViewId="0"/>
  </sheetViews>
  <sheetFormatPr baseColWidth="10" defaultColWidth="8.83203125" defaultRowHeight="15" x14ac:dyDescent="0.2"/>
  <sheetData>
    <row r="1" spans="1:3" x14ac:dyDescent="0.2">
      <c r="A1" t="s">
        <v>1868</v>
      </c>
      <c r="B1" t="s">
        <v>1869</v>
      </c>
      <c r="C1" t="s">
        <v>1870</v>
      </c>
    </row>
    <row r="2" spans="1:3" x14ac:dyDescent="0.2">
      <c r="A2" t="s">
        <v>121</v>
      </c>
      <c r="B2" t="s">
        <v>1871</v>
      </c>
      <c r="C2" t="s">
        <v>1872</v>
      </c>
    </row>
    <row r="3" spans="1:3" x14ac:dyDescent="0.2">
      <c r="A3" t="s">
        <v>122</v>
      </c>
      <c r="B3" t="s">
        <v>1873</v>
      </c>
      <c r="C3" t="s">
        <v>1874</v>
      </c>
    </row>
    <row r="4" spans="1:3" x14ac:dyDescent="0.2">
      <c r="A4" t="s">
        <v>123</v>
      </c>
      <c r="B4" t="s">
        <v>1875</v>
      </c>
      <c r="C4" t="s">
        <v>1876</v>
      </c>
    </row>
    <row r="5" spans="1:3" x14ac:dyDescent="0.2">
      <c r="A5" t="s">
        <v>124</v>
      </c>
      <c r="B5" t="s">
        <v>1877</v>
      </c>
      <c r="C5" t="s">
        <v>1878</v>
      </c>
    </row>
    <row r="6" spans="1:3" x14ac:dyDescent="0.2">
      <c r="A6" t="s">
        <v>125</v>
      </c>
      <c r="B6" t="s">
        <v>1879</v>
      </c>
      <c r="C6" t="s">
        <v>1880</v>
      </c>
    </row>
    <row r="7" spans="1:3" x14ac:dyDescent="0.2">
      <c r="A7" t="s">
        <v>126</v>
      </c>
      <c r="B7" t="s">
        <v>1881</v>
      </c>
      <c r="C7" t="s">
        <v>1882</v>
      </c>
    </row>
    <row r="8" spans="1:3" x14ac:dyDescent="0.2">
      <c r="A8" t="s">
        <v>127</v>
      </c>
      <c r="B8" t="s">
        <v>1883</v>
      </c>
      <c r="C8" t="s">
        <v>1884</v>
      </c>
    </row>
    <row r="9" spans="1:3" x14ac:dyDescent="0.2">
      <c r="A9" t="s">
        <v>128</v>
      </c>
      <c r="B9" t="s">
        <v>1885</v>
      </c>
      <c r="C9" t="s">
        <v>1886</v>
      </c>
    </row>
    <row r="10" spans="1:3" x14ac:dyDescent="0.2">
      <c r="A10" t="s">
        <v>129</v>
      </c>
      <c r="B10" t="s">
        <v>1887</v>
      </c>
      <c r="C10" t="s">
        <v>1888</v>
      </c>
    </row>
    <row r="11" spans="1:3" x14ac:dyDescent="0.2">
      <c r="A11" t="s">
        <v>130</v>
      </c>
      <c r="B11" t="s">
        <v>1889</v>
      </c>
      <c r="C11" t="s">
        <v>1890</v>
      </c>
    </row>
    <row r="12" spans="1:3" x14ac:dyDescent="0.2">
      <c r="A12" t="s">
        <v>131</v>
      </c>
      <c r="B12" t="s">
        <v>1891</v>
      </c>
      <c r="C12" t="s">
        <v>1892</v>
      </c>
    </row>
    <row r="13" spans="1:3" x14ac:dyDescent="0.2">
      <c r="A13" t="s">
        <v>132</v>
      </c>
      <c r="B13" t="s">
        <v>1893</v>
      </c>
      <c r="C13" t="s">
        <v>1894</v>
      </c>
    </row>
    <row r="14" spans="1:3" x14ac:dyDescent="0.2">
      <c r="A14" t="s">
        <v>133</v>
      </c>
      <c r="B14" t="s">
        <v>1895</v>
      </c>
      <c r="C14" t="s">
        <v>1896</v>
      </c>
    </row>
    <row r="15" spans="1:3" x14ac:dyDescent="0.2">
      <c r="A15" t="s">
        <v>134</v>
      </c>
      <c r="B15" t="s">
        <v>1897</v>
      </c>
      <c r="C15" t="s">
        <v>1898</v>
      </c>
    </row>
    <row r="16" spans="1:3" x14ac:dyDescent="0.2">
      <c r="A16" t="s">
        <v>135</v>
      </c>
      <c r="B16" t="s">
        <v>1899</v>
      </c>
      <c r="C16" t="s">
        <v>1900</v>
      </c>
    </row>
    <row r="17" spans="1:3" x14ac:dyDescent="0.2">
      <c r="A17" t="s">
        <v>136</v>
      </c>
      <c r="B17" t="s">
        <v>1901</v>
      </c>
      <c r="C17" t="s">
        <v>1902</v>
      </c>
    </row>
    <row r="18" spans="1:3" x14ac:dyDescent="0.2">
      <c r="A18" t="s">
        <v>137</v>
      </c>
      <c r="B18" t="s">
        <v>1903</v>
      </c>
      <c r="C18" t="s">
        <v>1904</v>
      </c>
    </row>
    <row r="19" spans="1:3" x14ac:dyDescent="0.2">
      <c r="A19" t="s">
        <v>138</v>
      </c>
      <c r="B19" t="s">
        <v>1905</v>
      </c>
      <c r="C19" t="s">
        <v>1906</v>
      </c>
    </row>
    <row r="20" spans="1:3" x14ac:dyDescent="0.2">
      <c r="A20" t="s">
        <v>139</v>
      </c>
      <c r="B20" t="s">
        <v>1907</v>
      </c>
      <c r="C20" t="s">
        <v>1908</v>
      </c>
    </row>
    <row r="21" spans="1:3" x14ac:dyDescent="0.2">
      <c r="A21" t="s">
        <v>140</v>
      </c>
      <c r="B21" t="s">
        <v>1909</v>
      </c>
      <c r="C21" t="s">
        <v>1910</v>
      </c>
    </row>
    <row r="22" spans="1:3" x14ac:dyDescent="0.2">
      <c r="A22" t="s">
        <v>141</v>
      </c>
      <c r="B22" t="s">
        <v>1911</v>
      </c>
      <c r="C22" t="s">
        <v>1912</v>
      </c>
    </row>
    <row r="23" spans="1:3" x14ac:dyDescent="0.2">
      <c r="A23" t="s">
        <v>142</v>
      </c>
      <c r="B23" t="s">
        <v>1913</v>
      </c>
      <c r="C23" t="s">
        <v>1914</v>
      </c>
    </row>
    <row r="24" spans="1:3" x14ac:dyDescent="0.2">
      <c r="A24" t="s">
        <v>143</v>
      </c>
      <c r="B24" t="s">
        <v>1915</v>
      </c>
      <c r="C24" t="s">
        <v>1916</v>
      </c>
    </row>
    <row r="25" spans="1:3" x14ac:dyDescent="0.2">
      <c r="A25" t="s">
        <v>144</v>
      </c>
      <c r="B25" t="s">
        <v>1917</v>
      </c>
      <c r="C25" t="s">
        <v>1918</v>
      </c>
    </row>
    <row r="26" spans="1:3" x14ac:dyDescent="0.2">
      <c r="A26" t="s">
        <v>145</v>
      </c>
      <c r="B26" t="s">
        <v>1919</v>
      </c>
      <c r="C26" t="s">
        <v>1920</v>
      </c>
    </row>
    <row r="27" spans="1:3" x14ac:dyDescent="0.2">
      <c r="A27" t="s">
        <v>146</v>
      </c>
      <c r="B27" t="s">
        <v>1921</v>
      </c>
      <c r="C27" t="s">
        <v>1922</v>
      </c>
    </row>
    <row r="28" spans="1:3" x14ac:dyDescent="0.2">
      <c r="A28" t="s">
        <v>147</v>
      </c>
      <c r="B28" t="s">
        <v>1923</v>
      </c>
      <c r="C28" t="s">
        <v>1924</v>
      </c>
    </row>
    <row r="29" spans="1:3" x14ac:dyDescent="0.2">
      <c r="A29" t="s">
        <v>148</v>
      </c>
      <c r="B29" t="s">
        <v>1925</v>
      </c>
      <c r="C29" t="s">
        <v>1926</v>
      </c>
    </row>
    <row r="30" spans="1:3" x14ac:dyDescent="0.2">
      <c r="A30" t="s">
        <v>149</v>
      </c>
      <c r="B30" t="s">
        <v>1927</v>
      </c>
      <c r="C30" t="s">
        <v>1928</v>
      </c>
    </row>
    <row r="31" spans="1:3" x14ac:dyDescent="0.2">
      <c r="A31" t="s">
        <v>150</v>
      </c>
      <c r="B31" t="s">
        <v>1929</v>
      </c>
      <c r="C31" t="s">
        <v>1930</v>
      </c>
    </row>
    <row r="32" spans="1:3" x14ac:dyDescent="0.2">
      <c r="A32" t="s">
        <v>151</v>
      </c>
      <c r="B32" t="s">
        <v>1931</v>
      </c>
      <c r="C32" t="s">
        <v>1932</v>
      </c>
    </row>
    <row r="33" spans="1:3" x14ac:dyDescent="0.2">
      <c r="A33" t="s">
        <v>152</v>
      </c>
      <c r="B33" t="s">
        <v>1933</v>
      </c>
      <c r="C33" t="s">
        <v>1934</v>
      </c>
    </row>
    <row r="34" spans="1:3" x14ac:dyDescent="0.2">
      <c r="A34" t="s">
        <v>153</v>
      </c>
      <c r="B34" t="s">
        <v>1935</v>
      </c>
      <c r="C34" t="s">
        <v>1936</v>
      </c>
    </row>
    <row r="35" spans="1:3" x14ac:dyDescent="0.2">
      <c r="A35" t="s">
        <v>154</v>
      </c>
      <c r="B35" t="s">
        <v>1937</v>
      </c>
      <c r="C35" t="s">
        <v>1938</v>
      </c>
    </row>
    <row r="36" spans="1:3" x14ac:dyDescent="0.2">
      <c r="A36" t="s">
        <v>155</v>
      </c>
      <c r="B36" t="s">
        <v>1939</v>
      </c>
      <c r="C36" t="s">
        <v>1940</v>
      </c>
    </row>
    <row r="37" spans="1:3" x14ac:dyDescent="0.2">
      <c r="A37" t="s">
        <v>156</v>
      </c>
      <c r="B37" t="s">
        <v>1941</v>
      </c>
      <c r="C37" t="s">
        <v>1942</v>
      </c>
    </row>
    <row r="38" spans="1:3" x14ac:dyDescent="0.2">
      <c r="A38" t="s">
        <v>157</v>
      </c>
      <c r="B38" t="s">
        <v>1943</v>
      </c>
      <c r="C38" t="s">
        <v>1944</v>
      </c>
    </row>
    <row r="39" spans="1:3" x14ac:dyDescent="0.2">
      <c r="A39" t="s">
        <v>158</v>
      </c>
      <c r="B39" t="s">
        <v>1945</v>
      </c>
      <c r="C39" t="s">
        <v>1946</v>
      </c>
    </row>
    <row r="40" spans="1:3" x14ac:dyDescent="0.2">
      <c r="A40" t="s">
        <v>159</v>
      </c>
      <c r="B40" t="s">
        <v>1947</v>
      </c>
      <c r="C40" t="s">
        <v>1948</v>
      </c>
    </row>
    <row r="41" spans="1:3" x14ac:dyDescent="0.2">
      <c r="A41" t="s">
        <v>160</v>
      </c>
      <c r="B41" t="s">
        <v>1949</v>
      </c>
      <c r="C41" t="s">
        <v>1950</v>
      </c>
    </row>
    <row r="42" spans="1:3" x14ac:dyDescent="0.2">
      <c r="A42" t="s">
        <v>161</v>
      </c>
      <c r="B42" t="s">
        <v>1951</v>
      </c>
      <c r="C42" t="s">
        <v>1952</v>
      </c>
    </row>
    <row r="43" spans="1:3" x14ac:dyDescent="0.2">
      <c r="A43" t="s">
        <v>162</v>
      </c>
      <c r="B43" t="s">
        <v>1953</v>
      </c>
      <c r="C43" t="s">
        <v>1954</v>
      </c>
    </row>
    <row r="44" spans="1:3" x14ac:dyDescent="0.2">
      <c r="A44" t="s">
        <v>163</v>
      </c>
      <c r="B44" t="s">
        <v>1955</v>
      </c>
      <c r="C44" t="s">
        <v>1956</v>
      </c>
    </row>
    <row r="45" spans="1:3" x14ac:dyDescent="0.2">
      <c r="A45" t="s">
        <v>164</v>
      </c>
      <c r="B45" t="s">
        <v>1957</v>
      </c>
      <c r="C45" t="s">
        <v>1958</v>
      </c>
    </row>
    <row r="46" spans="1:3" x14ac:dyDescent="0.2">
      <c r="A46" t="s">
        <v>165</v>
      </c>
      <c r="B46" t="s">
        <v>1959</v>
      </c>
      <c r="C46" t="s">
        <v>1960</v>
      </c>
    </row>
    <row r="47" spans="1:3" x14ac:dyDescent="0.2">
      <c r="A47" t="s">
        <v>166</v>
      </c>
      <c r="B47" t="s">
        <v>1961</v>
      </c>
      <c r="C47" t="s">
        <v>1962</v>
      </c>
    </row>
    <row r="48" spans="1:3" x14ac:dyDescent="0.2">
      <c r="A48" t="s">
        <v>167</v>
      </c>
      <c r="B48" t="s">
        <v>1963</v>
      </c>
      <c r="C48" t="s">
        <v>1964</v>
      </c>
    </row>
    <row r="49" spans="1:3" x14ac:dyDescent="0.2">
      <c r="A49" t="s">
        <v>168</v>
      </c>
      <c r="B49" t="s">
        <v>1965</v>
      </c>
      <c r="C49" t="s">
        <v>1966</v>
      </c>
    </row>
    <row r="50" spans="1:3" x14ac:dyDescent="0.2">
      <c r="A50" t="s">
        <v>169</v>
      </c>
      <c r="B50" t="s">
        <v>1967</v>
      </c>
      <c r="C50" t="s">
        <v>1968</v>
      </c>
    </row>
    <row r="51" spans="1:3" x14ac:dyDescent="0.2">
      <c r="A51" t="s">
        <v>170</v>
      </c>
      <c r="B51" t="s">
        <v>1969</v>
      </c>
      <c r="C51" t="s">
        <v>1970</v>
      </c>
    </row>
    <row r="52" spans="1:3" x14ac:dyDescent="0.2">
      <c r="A52" t="s">
        <v>171</v>
      </c>
      <c r="B52" t="s">
        <v>1971</v>
      </c>
      <c r="C52" t="s">
        <v>1972</v>
      </c>
    </row>
    <row r="53" spans="1:3" x14ac:dyDescent="0.2">
      <c r="A53" t="s">
        <v>172</v>
      </c>
      <c r="B53" t="s">
        <v>1973</v>
      </c>
      <c r="C53" t="s">
        <v>1974</v>
      </c>
    </row>
    <row r="54" spans="1:3" x14ac:dyDescent="0.2">
      <c r="A54" t="s">
        <v>173</v>
      </c>
      <c r="B54" t="s">
        <v>1975</v>
      </c>
      <c r="C54" t="s">
        <v>1976</v>
      </c>
    </row>
    <row r="55" spans="1:3" x14ac:dyDescent="0.2">
      <c r="A55" t="s">
        <v>174</v>
      </c>
      <c r="B55" t="s">
        <v>1977</v>
      </c>
      <c r="C55" t="s">
        <v>1978</v>
      </c>
    </row>
    <row r="56" spans="1:3" x14ac:dyDescent="0.2">
      <c r="A56" t="s">
        <v>175</v>
      </c>
      <c r="B56" t="s">
        <v>1979</v>
      </c>
      <c r="C56" t="s">
        <v>1980</v>
      </c>
    </row>
    <row r="57" spans="1:3" x14ac:dyDescent="0.2">
      <c r="A57" t="s">
        <v>176</v>
      </c>
      <c r="B57" t="s">
        <v>1981</v>
      </c>
      <c r="C57" t="s">
        <v>1982</v>
      </c>
    </row>
    <row r="58" spans="1:3" x14ac:dyDescent="0.2">
      <c r="A58" t="s">
        <v>177</v>
      </c>
      <c r="B58" t="s">
        <v>1983</v>
      </c>
      <c r="C58" t="s">
        <v>1984</v>
      </c>
    </row>
    <row r="59" spans="1:3" x14ac:dyDescent="0.2">
      <c r="A59" t="s">
        <v>178</v>
      </c>
      <c r="B59" t="s">
        <v>1985</v>
      </c>
      <c r="C59" t="s">
        <v>1986</v>
      </c>
    </row>
    <row r="60" spans="1:3" x14ac:dyDescent="0.2">
      <c r="A60" t="s">
        <v>179</v>
      </c>
      <c r="B60" t="s">
        <v>1987</v>
      </c>
      <c r="C60" t="s">
        <v>1988</v>
      </c>
    </row>
    <row r="61" spans="1:3" x14ac:dyDescent="0.2">
      <c r="A61" t="s">
        <v>180</v>
      </c>
      <c r="B61" t="s">
        <v>1989</v>
      </c>
      <c r="C61" t="s">
        <v>1990</v>
      </c>
    </row>
    <row r="62" spans="1:3" x14ac:dyDescent="0.2">
      <c r="A62" t="s">
        <v>181</v>
      </c>
      <c r="B62" t="s">
        <v>1991</v>
      </c>
      <c r="C62" t="s">
        <v>1992</v>
      </c>
    </row>
    <row r="63" spans="1:3" x14ac:dyDescent="0.2">
      <c r="A63" t="s">
        <v>182</v>
      </c>
      <c r="B63" t="s">
        <v>1993</v>
      </c>
      <c r="C63" t="s">
        <v>1994</v>
      </c>
    </row>
    <row r="64" spans="1:3" x14ac:dyDescent="0.2">
      <c r="A64" t="s">
        <v>183</v>
      </c>
      <c r="B64" t="s">
        <v>1995</v>
      </c>
      <c r="C64" t="s">
        <v>1996</v>
      </c>
    </row>
    <row r="65" spans="1:3" x14ac:dyDescent="0.2">
      <c r="A65" t="s">
        <v>184</v>
      </c>
      <c r="B65" t="s">
        <v>1997</v>
      </c>
      <c r="C65" t="s">
        <v>1998</v>
      </c>
    </row>
    <row r="66" spans="1:3" x14ac:dyDescent="0.2">
      <c r="A66" t="s">
        <v>185</v>
      </c>
      <c r="B66" t="s">
        <v>1999</v>
      </c>
      <c r="C66" t="s">
        <v>2000</v>
      </c>
    </row>
    <row r="67" spans="1:3" x14ac:dyDescent="0.2">
      <c r="A67" t="s">
        <v>186</v>
      </c>
      <c r="B67" t="s">
        <v>2001</v>
      </c>
      <c r="C67" t="s">
        <v>2002</v>
      </c>
    </row>
    <row r="68" spans="1:3" x14ac:dyDescent="0.2">
      <c r="A68" t="s">
        <v>187</v>
      </c>
      <c r="B68" t="s">
        <v>2003</v>
      </c>
      <c r="C68" t="s">
        <v>2004</v>
      </c>
    </row>
    <row r="69" spans="1:3" x14ac:dyDescent="0.2">
      <c r="A69" t="s">
        <v>188</v>
      </c>
      <c r="B69" t="s">
        <v>2005</v>
      </c>
      <c r="C69" t="s">
        <v>2006</v>
      </c>
    </row>
    <row r="70" spans="1:3" x14ac:dyDescent="0.2">
      <c r="A70" t="s">
        <v>189</v>
      </c>
      <c r="B70" t="s">
        <v>2007</v>
      </c>
      <c r="C70" t="s">
        <v>2008</v>
      </c>
    </row>
    <row r="71" spans="1:3" x14ac:dyDescent="0.2">
      <c r="A71" t="s">
        <v>190</v>
      </c>
      <c r="B71" t="s">
        <v>2009</v>
      </c>
      <c r="C71" t="s">
        <v>2010</v>
      </c>
    </row>
    <row r="72" spans="1:3" x14ac:dyDescent="0.2">
      <c r="A72" t="s">
        <v>191</v>
      </c>
      <c r="B72" t="s">
        <v>2011</v>
      </c>
      <c r="C72" t="s">
        <v>2012</v>
      </c>
    </row>
    <row r="73" spans="1:3" x14ac:dyDescent="0.2">
      <c r="A73" t="s">
        <v>192</v>
      </c>
      <c r="B73" t="s">
        <v>2013</v>
      </c>
      <c r="C73" t="s">
        <v>2014</v>
      </c>
    </row>
    <row r="74" spans="1:3" x14ac:dyDescent="0.2">
      <c r="A74" t="s">
        <v>193</v>
      </c>
      <c r="B74" t="s">
        <v>2015</v>
      </c>
      <c r="C74" t="s">
        <v>2016</v>
      </c>
    </row>
    <row r="75" spans="1:3" x14ac:dyDescent="0.2">
      <c r="A75" t="s">
        <v>194</v>
      </c>
      <c r="B75" t="s">
        <v>2017</v>
      </c>
      <c r="C75" t="s">
        <v>2018</v>
      </c>
    </row>
    <row r="76" spans="1:3" x14ac:dyDescent="0.2">
      <c r="A76" t="s">
        <v>195</v>
      </c>
      <c r="B76" t="s">
        <v>2019</v>
      </c>
    </row>
    <row r="77" spans="1:3" x14ac:dyDescent="0.2">
      <c r="A77" t="s">
        <v>196</v>
      </c>
      <c r="B77" t="s">
        <v>2020</v>
      </c>
      <c r="C77" t="s">
        <v>2021</v>
      </c>
    </row>
    <row r="78" spans="1:3" x14ac:dyDescent="0.2">
      <c r="A78" t="s">
        <v>197</v>
      </c>
      <c r="B78" t="s">
        <v>2022</v>
      </c>
      <c r="C78" t="s">
        <v>2023</v>
      </c>
    </row>
    <row r="79" spans="1:3" x14ac:dyDescent="0.2">
      <c r="A79" t="s">
        <v>198</v>
      </c>
      <c r="B79" t="s">
        <v>2024</v>
      </c>
      <c r="C79" t="s">
        <v>2025</v>
      </c>
    </row>
    <row r="80" spans="1:3" x14ac:dyDescent="0.2">
      <c r="A80" t="s">
        <v>199</v>
      </c>
      <c r="B80" t="s">
        <v>2026</v>
      </c>
      <c r="C80" t="s">
        <v>2027</v>
      </c>
    </row>
    <row r="81" spans="1:3" x14ac:dyDescent="0.2">
      <c r="A81" t="s">
        <v>200</v>
      </c>
      <c r="B81" t="s">
        <v>2028</v>
      </c>
      <c r="C81" t="s">
        <v>2029</v>
      </c>
    </row>
    <row r="82" spans="1:3" x14ac:dyDescent="0.2">
      <c r="A82" t="s">
        <v>201</v>
      </c>
      <c r="B82" t="s">
        <v>2030</v>
      </c>
      <c r="C82" t="s">
        <v>2031</v>
      </c>
    </row>
    <row r="83" spans="1:3" x14ac:dyDescent="0.2">
      <c r="A83" t="s">
        <v>202</v>
      </c>
      <c r="B83" t="s">
        <v>2032</v>
      </c>
    </row>
    <row r="84" spans="1:3" x14ac:dyDescent="0.2">
      <c r="A84" t="s">
        <v>203</v>
      </c>
      <c r="B84" t="s">
        <v>2033</v>
      </c>
      <c r="C84" t="s">
        <v>2034</v>
      </c>
    </row>
    <row r="85" spans="1:3" x14ac:dyDescent="0.2">
      <c r="A85" t="s">
        <v>204</v>
      </c>
      <c r="B85" t="s">
        <v>2035</v>
      </c>
      <c r="C85" t="s">
        <v>2036</v>
      </c>
    </row>
    <row r="86" spans="1:3" x14ac:dyDescent="0.2">
      <c r="A86" t="s">
        <v>205</v>
      </c>
      <c r="B86" t="s">
        <v>2037</v>
      </c>
      <c r="C86" t="s">
        <v>2038</v>
      </c>
    </row>
    <row r="87" spans="1:3" x14ac:dyDescent="0.2">
      <c r="A87" t="s">
        <v>206</v>
      </c>
      <c r="B87" t="s">
        <v>2039</v>
      </c>
      <c r="C87" t="s">
        <v>2040</v>
      </c>
    </row>
    <row r="88" spans="1:3" x14ac:dyDescent="0.2">
      <c r="A88" t="s">
        <v>207</v>
      </c>
      <c r="B88" t="s">
        <v>2041</v>
      </c>
      <c r="C88" t="s">
        <v>2042</v>
      </c>
    </row>
    <row r="89" spans="1:3" x14ac:dyDescent="0.2">
      <c r="A89" t="s">
        <v>208</v>
      </c>
      <c r="B89" t="s">
        <v>2043</v>
      </c>
      <c r="C89" t="s">
        <v>2044</v>
      </c>
    </row>
    <row r="90" spans="1:3" x14ac:dyDescent="0.2">
      <c r="A90" t="s">
        <v>209</v>
      </c>
      <c r="B90" t="s">
        <v>2045</v>
      </c>
      <c r="C90" t="s">
        <v>2046</v>
      </c>
    </row>
    <row r="91" spans="1:3" x14ac:dyDescent="0.2">
      <c r="A91" t="s">
        <v>210</v>
      </c>
      <c r="B91" t="s">
        <v>2047</v>
      </c>
      <c r="C91" t="s">
        <v>2048</v>
      </c>
    </row>
    <row r="92" spans="1:3" x14ac:dyDescent="0.2">
      <c r="A92" t="s">
        <v>211</v>
      </c>
      <c r="B92" t="s">
        <v>2049</v>
      </c>
      <c r="C92" t="s">
        <v>2050</v>
      </c>
    </row>
    <row r="93" spans="1:3" x14ac:dyDescent="0.2">
      <c r="A93" t="s">
        <v>212</v>
      </c>
      <c r="B93" t="s">
        <v>2051</v>
      </c>
      <c r="C93" t="s">
        <v>2052</v>
      </c>
    </row>
    <row r="94" spans="1:3" x14ac:dyDescent="0.2">
      <c r="A94" t="s">
        <v>213</v>
      </c>
      <c r="B94" t="s">
        <v>2053</v>
      </c>
      <c r="C94" t="s">
        <v>2054</v>
      </c>
    </row>
    <row r="95" spans="1:3" x14ac:dyDescent="0.2">
      <c r="A95" t="s">
        <v>214</v>
      </c>
      <c r="B95" t="s">
        <v>2055</v>
      </c>
      <c r="C95" t="s">
        <v>2056</v>
      </c>
    </row>
    <row r="96" spans="1:3" x14ac:dyDescent="0.2">
      <c r="A96" t="s">
        <v>215</v>
      </c>
      <c r="B96" t="s">
        <v>2057</v>
      </c>
      <c r="C96" t="s">
        <v>2058</v>
      </c>
    </row>
    <row r="97" spans="1:3" x14ac:dyDescent="0.2">
      <c r="A97" t="s">
        <v>216</v>
      </c>
      <c r="B97" t="s">
        <v>2059</v>
      </c>
      <c r="C97" t="s">
        <v>2060</v>
      </c>
    </row>
    <row r="98" spans="1:3" x14ac:dyDescent="0.2">
      <c r="A98" t="s">
        <v>217</v>
      </c>
      <c r="B98" t="s">
        <v>2061</v>
      </c>
      <c r="C98" t="s">
        <v>2062</v>
      </c>
    </row>
    <row r="99" spans="1:3" x14ac:dyDescent="0.2">
      <c r="A99" t="s">
        <v>218</v>
      </c>
      <c r="B99" t="s">
        <v>2063</v>
      </c>
    </row>
    <row r="100" spans="1:3" x14ac:dyDescent="0.2">
      <c r="A100" t="s">
        <v>219</v>
      </c>
      <c r="B100" t="s">
        <v>2064</v>
      </c>
      <c r="C100" t="s">
        <v>2065</v>
      </c>
    </row>
    <row r="101" spans="1:3" x14ac:dyDescent="0.2">
      <c r="A101" t="s">
        <v>220</v>
      </c>
      <c r="B101" t="s">
        <v>2066</v>
      </c>
      <c r="C101" t="s">
        <v>2067</v>
      </c>
    </row>
    <row r="102" spans="1:3" x14ac:dyDescent="0.2">
      <c r="A102" t="s">
        <v>221</v>
      </c>
      <c r="B102" t="s">
        <v>2068</v>
      </c>
      <c r="C102" t="s">
        <v>2069</v>
      </c>
    </row>
    <row r="103" spans="1:3" x14ac:dyDescent="0.2">
      <c r="A103" t="s">
        <v>222</v>
      </c>
      <c r="B103" t="s">
        <v>2070</v>
      </c>
      <c r="C103" t="s">
        <v>2071</v>
      </c>
    </row>
    <row r="104" spans="1:3" x14ac:dyDescent="0.2">
      <c r="A104" t="s">
        <v>223</v>
      </c>
      <c r="B104" t="s">
        <v>2072</v>
      </c>
      <c r="C104" t="s">
        <v>2073</v>
      </c>
    </row>
    <row r="105" spans="1:3" x14ac:dyDescent="0.2">
      <c r="A105" t="s">
        <v>224</v>
      </c>
      <c r="B105" t="s">
        <v>2074</v>
      </c>
      <c r="C105" t="s">
        <v>2075</v>
      </c>
    </row>
    <row r="106" spans="1:3" x14ac:dyDescent="0.2">
      <c r="A106" t="s">
        <v>225</v>
      </c>
      <c r="B106" t="s">
        <v>2076</v>
      </c>
      <c r="C106" t="s">
        <v>2077</v>
      </c>
    </row>
    <row r="107" spans="1:3" x14ac:dyDescent="0.2">
      <c r="A107" t="s">
        <v>226</v>
      </c>
      <c r="B107" t="s">
        <v>2078</v>
      </c>
      <c r="C107" t="s">
        <v>2079</v>
      </c>
    </row>
    <row r="108" spans="1:3" x14ac:dyDescent="0.2">
      <c r="A108" t="s">
        <v>227</v>
      </c>
      <c r="B108" t="s">
        <v>2080</v>
      </c>
      <c r="C108" t="s">
        <v>2081</v>
      </c>
    </row>
    <row r="109" spans="1:3" x14ac:dyDescent="0.2">
      <c r="A109" t="s">
        <v>228</v>
      </c>
      <c r="B109" t="s">
        <v>2082</v>
      </c>
      <c r="C109" t="s">
        <v>2083</v>
      </c>
    </row>
    <row r="110" spans="1:3" x14ac:dyDescent="0.2">
      <c r="A110" t="s">
        <v>229</v>
      </c>
      <c r="B110" t="s">
        <v>2084</v>
      </c>
      <c r="C110" t="s">
        <v>2085</v>
      </c>
    </row>
    <row r="111" spans="1:3" x14ac:dyDescent="0.2">
      <c r="A111" t="s">
        <v>230</v>
      </c>
      <c r="B111" t="s">
        <v>2086</v>
      </c>
      <c r="C111" t="s">
        <v>2087</v>
      </c>
    </row>
    <row r="112" spans="1:3" x14ac:dyDescent="0.2">
      <c r="A112" t="s">
        <v>231</v>
      </c>
      <c r="B112" t="s">
        <v>2088</v>
      </c>
      <c r="C112" t="s">
        <v>2089</v>
      </c>
    </row>
    <row r="113" spans="1:3" x14ac:dyDescent="0.2">
      <c r="A113" t="s">
        <v>232</v>
      </c>
      <c r="B113" t="s">
        <v>2090</v>
      </c>
      <c r="C113" t="s">
        <v>2091</v>
      </c>
    </row>
    <row r="114" spans="1:3" x14ac:dyDescent="0.2">
      <c r="A114" t="s">
        <v>233</v>
      </c>
      <c r="B114" t="s">
        <v>2092</v>
      </c>
      <c r="C114" t="s">
        <v>2093</v>
      </c>
    </row>
    <row r="115" spans="1:3" x14ac:dyDescent="0.2">
      <c r="A115" t="s">
        <v>234</v>
      </c>
      <c r="B115" t="s">
        <v>2094</v>
      </c>
      <c r="C115" t="s">
        <v>2095</v>
      </c>
    </row>
    <row r="116" spans="1:3" x14ac:dyDescent="0.2">
      <c r="A116" t="s">
        <v>235</v>
      </c>
      <c r="B116" t="s">
        <v>2096</v>
      </c>
      <c r="C116" t="s">
        <v>2097</v>
      </c>
    </row>
    <row r="117" spans="1:3" x14ac:dyDescent="0.2">
      <c r="A117" t="s">
        <v>236</v>
      </c>
      <c r="B117" t="s">
        <v>2098</v>
      </c>
      <c r="C117" t="s">
        <v>2099</v>
      </c>
    </row>
    <row r="118" spans="1:3" x14ac:dyDescent="0.2">
      <c r="A118" t="s">
        <v>237</v>
      </c>
      <c r="B118" t="s">
        <v>2100</v>
      </c>
      <c r="C118" t="s">
        <v>2101</v>
      </c>
    </row>
    <row r="119" spans="1:3" x14ac:dyDescent="0.2">
      <c r="A119" t="s">
        <v>238</v>
      </c>
      <c r="B119" t="s">
        <v>2102</v>
      </c>
      <c r="C119" t="s">
        <v>2103</v>
      </c>
    </row>
    <row r="120" spans="1:3" x14ac:dyDescent="0.2">
      <c r="A120" t="s">
        <v>239</v>
      </c>
      <c r="B120" t="s">
        <v>2104</v>
      </c>
      <c r="C120" t="s">
        <v>2105</v>
      </c>
    </row>
    <row r="121" spans="1:3" x14ac:dyDescent="0.2">
      <c r="A121" t="s">
        <v>240</v>
      </c>
      <c r="B121" t="s">
        <v>2106</v>
      </c>
      <c r="C121" t="s">
        <v>2107</v>
      </c>
    </row>
    <row r="122" spans="1:3" x14ac:dyDescent="0.2">
      <c r="A122" t="s">
        <v>241</v>
      </c>
      <c r="B122" t="s">
        <v>2108</v>
      </c>
      <c r="C122" t="s">
        <v>2109</v>
      </c>
    </row>
    <row r="123" spans="1:3" x14ac:dyDescent="0.2">
      <c r="A123" t="s">
        <v>242</v>
      </c>
      <c r="B123" t="s">
        <v>2110</v>
      </c>
      <c r="C123" t="s">
        <v>2111</v>
      </c>
    </row>
    <row r="124" spans="1:3" x14ac:dyDescent="0.2">
      <c r="A124" t="s">
        <v>243</v>
      </c>
      <c r="B124" t="s">
        <v>2112</v>
      </c>
      <c r="C124" t="s">
        <v>2113</v>
      </c>
    </row>
    <row r="125" spans="1:3" x14ac:dyDescent="0.2">
      <c r="A125" t="s">
        <v>244</v>
      </c>
      <c r="B125" t="s">
        <v>2114</v>
      </c>
      <c r="C125" t="s">
        <v>2115</v>
      </c>
    </row>
    <row r="126" spans="1:3" x14ac:dyDescent="0.2">
      <c r="A126" t="s">
        <v>245</v>
      </c>
      <c r="B126" t="s">
        <v>2116</v>
      </c>
      <c r="C126" t="s">
        <v>2117</v>
      </c>
    </row>
    <row r="127" spans="1:3" x14ac:dyDescent="0.2">
      <c r="A127" t="s">
        <v>246</v>
      </c>
      <c r="B127" t="s">
        <v>2118</v>
      </c>
      <c r="C127" t="s">
        <v>2119</v>
      </c>
    </row>
    <row r="128" spans="1:3" x14ac:dyDescent="0.2">
      <c r="A128" t="s">
        <v>247</v>
      </c>
      <c r="B128" t="s">
        <v>2120</v>
      </c>
      <c r="C128" t="s">
        <v>2121</v>
      </c>
    </row>
    <row r="129" spans="1:3" x14ac:dyDescent="0.2">
      <c r="A129" t="s">
        <v>248</v>
      </c>
      <c r="B129" t="s">
        <v>2122</v>
      </c>
      <c r="C129" t="s">
        <v>2123</v>
      </c>
    </row>
    <row r="130" spans="1:3" x14ac:dyDescent="0.2">
      <c r="A130" t="s">
        <v>249</v>
      </c>
      <c r="B130" t="s">
        <v>2124</v>
      </c>
      <c r="C130" t="s">
        <v>2125</v>
      </c>
    </row>
    <row r="131" spans="1:3" x14ac:dyDescent="0.2">
      <c r="A131" t="s">
        <v>250</v>
      </c>
      <c r="B131" t="s">
        <v>2126</v>
      </c>
      <c r="C131" t="s">
        <v>2127</v>
      </c>
    </row>
    <row r="132" spans="1:3" x14ac:dyDescent="0.2">
      <c r="A132" t="s">
        <v>251</v>
      </c>
      <c r="B132" t="s">
        <v>2128</v>
      </c>
      <c r="C132" t="s">
        <v>2129</v>
      </c>
    </row>
    <row r="133" spans="1:3" x14ac:dyDescent="0.2">
      <c r="A133" t="s">
        <v>252</v>
      </c>
      <c r="B133" t="s">
        <v>2130</v>
      </c>
    </row>
    <row r="134" spans="1:3" x14ac:dyDescent="0.2">
      <c r="A134" t="s">
        <v>253</v>
      </c>
      <c r="B134" t="s">
        <v>2131</v>
      </c>
      <c r="C134" t="s">
        <v>2132</v>
      </c>
    </row>
    <row r="135" spans="1:3" x14ac:dyDescent="0.2">
      <c r="A135" t="s">
        <v>254</v>
      </c>
      <c r="B135" t="s">
        <v>2133</v>
      </c>
      <c r="C135" t="s">
        <v>2134</v>
      </c>
    </row>
    <row r="136" spans="1:3" x14ac:dyDescent="0.2">
      <c r="A136" t="s">
        <v>255</v>
      </c>
      <c r="B136" t="s">
        <v>2135</v>
      </c>
      <c r="C136" t="s">
        <v>2136</v>
      </c>
    </row>
    <row r="137" spans="1:3" x14ac:dyDescent="0.2">
      <c r="A137" t="s">
        <v>256</v>
      </c>
      <c r="B137" t="s">
        <v>2137</v>
      </c>
      <c r="C137" t="s">
        <v>2138</v>
      </c>
    </row>
    <row r="138" spans="1:3" x14ac:dyDescent="0.2">
      <c r="A138" t="s">
        <v>257</v>
      </c>
      <c r="B138" t="s">
        <v>2139</v>
      </c>
      <c r="C138" t="s">
        <v>2140</v>
      </c>
    </row>
    <row r="139" spans="1:3" x14ac:dyDescent="0.2">
      <c r="A139" t="s">
        <v>258</v>
      </c>
      <c r="B139" t="s">
        <v>2141</v>
      </c>
      <c r="C139" t="s">
        <v>2142</v>
      </c>
    </row>
    <row r="140" spans="1:3" x14ac:dyDescent="0.2">
      <c r="A140" t="s">
        <v>259</v>
      </c>
      <c r="B140" t="s">
        <v>2143</v>
      </c>
      <c r="C140" t="s">
        <v>2144</v>
      </c>
    </row>
    <row r="141" spans="1:3" x14ac:dyDescent="0.2">
      <c r="A141" t="s">
        <v>260</v>
      </c>
      <c r="B141" t="s">
        <v>2145</v>
      </c>
      <c r="C141" t="s">
        <v>2146</v>
      </c>
    </row>
    <row r="142" spans="1:3" x14ac:dyDescent="0.2">
      <c r="A142" t="s">
        <v>261</v>
      </c>
      <c r="B142" t="s">
        <v>2147</v>
      </c>
      <c r="C142" t="s">
        <v>2148</v>
      </c>
    </row>
    <row r="143" spans="1:3" x14ac:dyDescent="0.2">
      <c r="A143" t="s">
        <v>262</v>
      </c>
      <c r="B143" t="s">
        <v>2149</v>
      </c>
      <c r="C143" t="s">
        <v>2150</v>
      </c>
    </row>
    <row r="144" spans="1:3" x14ac:dyDescent="0.2">
      <c r="A144" t="s">
        <v>263</v>
      </c>
      <c r="B144" t="s">
        <v>2151</v>
      </c>
      <c r="C144" t="s">
        <v>2152</v>
      </c>
    </row>
    <row r="145" spans="1:3" x14ac:dyDescent="0.2">
      <c r="A145" t="s">
        <v>264</v>
      </c>
      <c r="B145" t="s">
        <v>2153</v>
      </c>
    </row>
    <row r="146" spans="1:3" x14ac:dyDescent="0.2">
      <c r="A146" t="s">
        <v>265</v>
      </c>
      <c r="B146" t="s">
        <v>2154</v>
      </c>
      <c r="C146" t="s">
        <v>2155</v>
      </c>
    </row>
    <row r="147" spans="1:3" x14ac:dyDescent="0.2">
      <c r="A147" t="s">
        <v>266</v>
      </c>
      <c r="B147" t="s">
        <v>2156</v>
      </c>
      <c r="C147" t="s">
        <v>2157</v>
      </c>
    </row>
    <row r="148" spans="1:3" x14ac:dyDescent="0.2">
      <c r="A148" t="s">
        <v>267</v>
      </c>
      <c r="B148" t="s">
        <v>2158</v>
      </c>
      <c r="C148" t="s">
        <v>2159</v>
      </c>
    </row>
    <row r="149" spans="1:3" x14ac:dyDescent="0.2">
      <c r="A149" t="s">
        <v>268</v>
      </c>
      <c r="B149" t="s">
        <v>2160</v>
      </c>
      <c r="C149" t="s">
        <v>2161</v>
      </c>
    </row>
    <row r="150" spans="1:3" x14ac:dyDescent="0.2">
      <c r="A150" t="s">
        <v>269</v>
      </c>
      <c r="B150" t="s">
        <v>2162</v>
      </c>
      <c r="C150" t="s">
        <v>2163</v>
      </c>
    </row>
    <row r="151" spans="1:3" x14ac:dyDescent="0.2">
      <c r="A151" t="s">
        <v>270</v>
      </c>
      <c r="B151" t="s">
        <v>2164</v>
      </c>
      <c r="C151" t="s">
        <v>2165</v>
      </c>
    </row>
    <row r="152" spans="1:3" x14ac:dyDescent="0.2">
      <c r="A152" t="s">
        <v>271</v>
      </c>
      <c r="B152" t="s">
        <v>2166</v>
      </c>
      <c r="C152" t="s">
        <v>2167</v>
      </c>
    </row>
    <row r="153" spans="1:3" x14ac:dyDescent="0.2">
      <c r="A153" t="s">
        <v>272</v>
      </c>
      <c r="B153" t="s">
        <v>2168</v>
      </c>
      <c r="C153" t="s">
        <v>2169</v>
      </c>
    </row>
    <row r="154" spans="1:3" x14ac:dyDescent="0.2">
      <c r="A154" t="s">
        <v>273</v>
      </c>
      <c r="B154" t="s">
        <v>2170</v>
      </c>
      <c r="C154" t="s">
        <v>2171</v>
      </c>
    </row>
    <row r="155" spans="1:3" x14ac:dyDescent="0.2">
      <c r="A155" t="s">
        <v>274</v>
      </c>
      <c r="B155" t="s">
        <v>2172</v>
      </c>
      <c r="C155" t="s">
        <v>2173</v>
      </c>
    </row>
    <row r="156" spans="1:3" x14ac:dyDescent="0.2">
      <c r="A156" t="s">
        <v>275</v>
      </c>
      <c r="B156" t="s">
        <v>2174</v>
      </c>
      <c r="C156" t="s">
        <v>2175</v>
      </c>
    </row>
    <row r="157" spans="1:3" x14ac:dyDescent="0.2">
      <c r="A157" t="s">
        <v>276</v>
      </c>
      <c r="B157" t="s">
        <v>2176</v>
      </c>
      <c r="C157" t="s">
        <v>2177</v>
      </c>
    </row>
    <row r="158" spans="1:3" x14ac:dyDescent="0.2">
      <c r="A158" t="s">
        <v>277</v>
      </c>
      <c r="B158" t="s">
        <v>2178</v>
      </c>
      <c r="C158" t="s">
        <v>2179</v>
      </c>
    </row>
    <row r="159" spans="1:3" x14ac:dyDescent="0.2">
      <c r="A159" t="s">
        <v>278</v>
      </c>
      <c r="B159" t="s">
        <v>2180</v>
      </c>
      <c r="C159" t="s">
        <v>2181</v>
      </c>
    </row>
    <row r="160" spans="1:3" x14ac:dyDescent="0.2">
      <c r="A160" t="s">
        <v>279</v>
      </c>
      <c r="B160" t="s">
        <v>2182</v>
      </c>
      <c r="C160" t="s">
        <v>2183</v>
      </c>
    </row>
    <row r="161" spans="1:3" x14ac:dyDescent="0.2">
      <c r="A161" t="s">
        <v>280</v>
      </c>
      <c r="B161" t="s">
        <v>2184</v>
      </c>
      <c r="C161" t="s">
        <v>2185</v>
      </c>
    </row>
    <row r="162" spans="1:3" x14ac:dyDescent="0.2">
      <c r="A162" t="s">
        <v>281</v>
      </c>
      <c r="B162" t="s">
        <v>2186</v>
      </c>
      <c r="C162" t="s">
        <v>2187</v>
      </c>
    </row>
    <row r="163" spans="1:3" x14ac:dyDescent="0.2">
      <c r="A163" t="s">
        <v>282</v>
      </c>
      <c r="B163" t="s">
        <v>2188</v>
      </c>
      <c r="C163" t="s">
        <v>2189</v>
      </c>
    </row>
    <row r="164" spans="1:3" x14ac:dyDescent="0.2">
      <c r="A164" t="s">
        <v>283</v>
      </c>
      <c r="B164" t="s">
        <v>2190</v>
      </c>
      <c r="C164" t="s">
        <v>2191</v>
      </c>
    </row>
    <row r="165" spans="1:3" x14ac:dyDescent="0.2">
      <c r="A165" t="s">
        <v>284</v>
      </c>
      <c r="B165" t="s">
        <v>2192</v>
      </c>
      <c r="C165" t="s">
        <v>2193</v>
      </c>
    </row>
    <row r="166" spans="1:3" x14ac:dyDescent="0.2">
      <c r="A166" t="s">
        <v>285</v>
      </c>
      <c r="B166" t="s">
        <v>2194</v>
      </c>
      <c r="C166" t="s">
        <v>2195</v>
      </c>
    </row>
    <row r="167" spans="1:3" x14ac:dyDescent="0.2">
      <c r="A167" t="s">
        <v>286</v>
      </c>
      <c r="B167" t="s">
        <v>2196</v>
      </c>
      <c r="C167" t="s">
        <v>2197</v>
      </c>
    </row>
    <row r="168" spans="1:3" x14ac:dyDescent="0.2">
      <c r="A168" t="s">
        <v>287</v>
      </c>
      <c r="B168" t="s">
        <v>2198</v>
      </c>
      <c r="C168" t="s">
        <v>2199</v>
      </c>
    </row>
    <row r="169" spans="1:3" x14ac:dyDescent="0.2">
      <c r="A169" t="s">
        <v>288</v>
      </c>
      <c r="B169" t="s">
        <v>2200</v>
      </c>
      <c r="C169" t="s">
        <v>2201</v>
      </c>
    </row>
    <row r="170" spans="1:3" x14ac:dyDescent="0.2">
      <c r="A170" t="s">
        <v>289</v>
      </c>
      <c r="B170" t="s">
        <v>2202</v>
      </c>
      <c r="C170" t="s">
        <v>2203</v>
      </c>
    </row>
    <row r="171" spans="1:3" x14ac:dyDescent="0.2">
      <c r="A171" t="s">
        <v>290</v>
      </c>
      <c r="B171" t="s">
        <v>2204</v>
      </c>
      <c r="C171" t="s">
        <v>2205</v>
      </c>
    </row>
    <row r="172" spans="1:3" x14ac:dyDescent="0.2">
      <c r="A172" t="s">
        <v>291</v>
      </c>
      <c r="B172" t="s">
        <v>2206</v>
      </c>
      <c r="C172" t="s">
        <v>2207</v>
      </c>
    </row>
    <row r="173" spans="1:3" x14ac:dyDescent="0.2">
      <c r="A173" t="s">
        <v>292</v>
      </c>
      <c r="B173" t="s">
        <v>2208</v>
      </c>
    </row>
    <row r="174" spans="1:3" x14ac:dyDescent="0.2">
      <c r="A174" t="s">
        <v>293</v>
      </c>
      <c r="B174" t="s">
        <v>2209</v>
      </c>
      <c r="C174" t="s">
        <v>2210</v>
      </c>
    </row>
    <row r="175" spans="1:3" x14ac:dyDescent="0.2">
      <c r="A175" t="s">
        <v>294</v>
      </c>
      <c r="B175" t="s">
        <v>2211</v>
      </c>
      <c r="C175" t="s">
        <v>2212</v>
      </c>
    </row>
    <row r="176" spans="1:3" x14ac:dyDescent="0.2">
      <c r="A176" t="s">
        <v>295</v>
      </c>
      <c r="B176" t="s">
        <v>2213</v>
      </c>
      <c r="C176" t="s">
        <v>2214</v>
      </c>
    </row>
    <row r="177" spans="1:3" x14ac:dyDescent="0.2">
      <c r="A177" t="s">
        <v>296</v>
      </c>
      <c r="B177" t="s">
        <v>2215</v>
      </c>
      <c r="C177" t="s">
        <v>2216</v>
      </c>
    </row>
    <row r="178" spans="1:3" x14ac:dyDescent="0.2">
      <c r="A178" t="s">
        <v>297</v>
      </c>
      <c r="B178" t="s">
        <v>2217</v>
      </c>
      <c r="C178" t="s">
        <v>2218</v>
      </c>
    </row>
    <row r="179" spans="1:3" x14ac:dyDescent="0.2">
      <c r="A179" t="s">
        <v>298</v>
      </c>
      <c r="B179" t="s">
        <v>2219</v>
      </c>
      <c r="C179" t="s">
        <v>2220</v>
      </c>
    </row>
    <row r="180" spans="1:3" x14ac:dyDescent="0.2">
      <c r="A180" t="s">
        <v>299</v>
      </c>
      <c r="B180" t="s">
        <v>2221</v>
      </c>
      <c r="C180" t="s">
        <v>2222</v>
      </c>
    </row>
    <row r="181" spans="1:3" x14ac:dyDescent="0.2">
      <c r="A181" t="s">
        <v>300</v>
      </c>
      <c r="B181" t="s">
        <v>2223</v>
      </c>
      <c r="C181" t="s">
        <v>2224</v>
      </c>
    </row>
    <row r="182" spans="1:3" x14ac:dyDescent="0.2">
      <c r="A182" t="s">
        <v>301</v>
      </c>
      <c r="B182" t="s">
        <v>2225</v>
      </c>
      <c r="C182" t="s">
        <v>2226</v>
      </c>
    </row>
    <row r="183" spans="1:3" x14ac:dyDescent="0.2">
      <c r="A183" t="s">
        <v>302</v>
      </c>
      <c r="B183" t="s">
        <v>2227</v>
      </c>
      <c r="C183" t="s">
        <v>2228</v>
      </c>
    </row>
    <row r="184" spans="1:3" x14ac:dyDescent="0.2">
      <c r="A184" t="s">
        <v>303</v>
      </c>
      <c r="B184" t="s">
        <v>2229</v>
      </c>
      <c r="C184" t="s">
        <v>2230</v>
      </c>
    </row>
    <row r="185" spans="1:3" x14ac:dyDescent="0.2">
      <c r="A185" t="s">
        <v>304</v>
      </c>
      <c r="B185" t="s">
        <v>2231</v>
      </c>
      <c r="C185" t="s">
        <v>2232</v>
      </c>
    </row>
    <row r="186" spans="1:3" x14ac:dyDescent="0.2">
      <c r="A186" t="s">
        <v>305</v>
      </c>
      <c r="B186" t="s">
        <v>2233</v>
      </c>
      <c r="C186" t="s">
        <v>2234</v>
      </c>
    </row>
    <row r="187" spans="1:3" x14ac:dyDescent="0.2">
      <c r="A187" t="s">
        <v>306</v>
      </c>
      <c r="B187" t="s">
        <v>2235</v>
      </c>
      <c r="C187" t="s">
        <v>2236</v>
      </c>
    </row>
    <row r="188" spans="1:3" x14ac:dyDescent="0.2">
      <c r="A188" t="s">
        <v>307</v>
      </c>
      <c r="B188" t="s">
        <v>2237</v>
      </c>
      <c r="C188" t="s">
        <v>2238</v>
      </c>
    </row>
    <row r="189" spans="1:3" x14ac:dyDescent="0.2">
      <c r="A189" t="s">
        <v>308</v>
      </c>
      <c r="B189" t="s">
        <v>2239</v>
      </c>
      <c r="C189" t="s">
        <v>2240</v>
      </c>
    </row>
    <row r="190" spans="1:3" x14ac:dyDescent="0.2">
      <c r="A190" t="s">
        <v>309</v>
      </c>
      <c r="B190" t="s">
        <v>2241</v>
      </c>
      <c r="C190" t="s">
        <v>2242</v>
      </c>
    </row>
    <row r="191" spans="1:3" x14ac:dyDescent="0.2">
      <c r="A191" t="s">
        <v>310</v>
      </c>
      <c r="B191" t="s">
        <v>2243</v>
      </c>
      <c r="C191" t="s">
        <v>2244</v>
      </c>
    </row>
    <row r="192" spans="1:3" x14ac:dyDescent="0.2">
      <c r="A192" t="s">
        <v>311</v>
      </c>
      <c r="B192" t="s">
        <v>2245</v>
      </c>
      <c r="C192" t="s">
        <v>2246</v>
      </c>
    </row>
    <row r="193" spans="1:3" x14ac:dyDescent="0.2">
      <c r="A193" t="s">
        <v>312</v>
      </c>
      <c r="B193" t="s">
        <v>2247</v>
      </c>
      <c r="C193" t="s">
        <v>2248</v>
      </c>
    </row>
    <row r="194" spans="1:3" x14ac:dyDescent="0.2">
      <c r="A194" t="s">
        <v>313</v>
      </c>
      <c r="B194" t="s">
        <v>2249</v>
      </c>
      <c r="C194" t="s">
        <v>2250</v>
      </c>
    </row>
    <row r="195" spans="1:3" x14ac:dyDescent="0.2">
      <c r="A195" t="s">
        <v>314</v>
      </c>
      <c r="B195" t="s">
        <v>2251</v>
      </c>
      <c r="C195" t="s">
        <v>2252</v>
      </c>
    </row>
    <row r="196" spans="1:3" x14ac:dyDescent="0.2">
      <c r="A196" t="s">
        <v>315</v>
      </c>
      <c r="B196" t="s">
        <v>2253</v>
      </c>
      <c r="C196" t="s">
        <v>2254</v>
      </c>
    </row>
    <row r="197" spans="1:3" x14ac:dyDescent="0.2">
      <c r="A197" t="s">
        <v>316</v>
      </c>
      <c r="B197" t="s">
        <v>2255</v>
      </c>
      <c r="C197" t="s">
        <v>2256</v>
      </c>
    </row>
    <row r="198" spans="1:3" x14ac:dyDescent="0.2">
      <c r="A198" t="s">
        <v>317</v>
      </c>
      <c r="B198" t="s">
        <v>2257</v>
      </c>
      <c r="C198" t="s">
        <v>2258</v>
      </c>
    </row>
    <row r="199" spans="1:3" x14ac:dyDescent="0.2">
      <c r="A199" t="s">
        <v>318</v>
      </c>
      <c r="B199" t="s">
        <v>2259</v>
      </c>
      <c r="C199" t="s">
        <v>2260</v>
      </c>
    </row>
    <row r="200" spans="1:3" x14ac:dyDescent="0.2">
      <c r="A200" t="s">
        <v>319</v>
      </c>
      <c r="B200" t="s">
        <v>2261</v>
      </c>
      <c r="C200" t="s">
        <v>2262</v>
      </c>
    </row>
    <row r="201" spans="1:3" x14ac:dyDescent="0.2">
      <c r="A201" t="s">
        <v>320</v>
      </c>
      <c r="B201" t="s">
        <v>2263</v>
      </c>
      <c r="C201" t="s">
        <v>2264</v>
      </c>
    </row>
    <row r="202" spans="1:3" x14ac:dyDescent="0.2">
      <c r="A202" t="s">
        <v>321</v>
      </c>
      <c r="B202" t="s">
        <v>2265</v>
      </c>
      <c r="C202" t="s">
        <v>2266</v>
      </c>
    </row>
    <row r="203" spans="1:3" x14ac:dyDescent="0.2">
      <c r="A203" t="s">
        <v>322</v>
      </c>
      <c r="B203" t="s">
        <v>2267</v>
      </c>
      <c r="C203" t="s">
        <v>2268</v>
      </c>
    </row>
    <row r="204" spans="1:3" x14ac:dyDescent="0.2">
      <c r="A204" t="s">
        <v>323</v>
      </c>
      <c r="B204" t="s">
        <v>2269</v>
      </c>
      <c r="C204" t="s">
        <v>2270</v>
      </c>
    </row>
    <row r="205" spans="1:3" x14ac:dyDescent="0.2">
      <c r="A205" t="s">
        <v>324</v>
      </c>
      <c r="B205" t="s">
        <v>2271</v>
      </c>
      <c r="C205" t="s">
        <v>2272</v>
      </c>
    </row>
    <row r="206" spans="1:3" x14ac:dyDescent="0.2">
      <c r="A206" t="s">
        <v>325</v>
      </c>
      <c r="B206" t="s">
        <v>2273</v>
      </c>
      <c r="C206" t="s">
        <v>2274</v>
      </c>
    </row>
    <row r="207" spans="1:3" x14ac:dyDescent="0.2">
      <c r="A207" t="s">
        <v>326</v>
      </c>
      <c r="B207" t="s">
        <v>2275</v>
      </c>
      <c r="C207" t="s">
        <v>2276</v>
      </c>
    </row>
    <row r="208" spans="1:3" x14ac:dyDescent="0.2">
      <c r="A208" t="s">
        <v>327</v>
      </c>
      <c r="B208" t="s">
        <v>2277</v>
      </c>
      <c r="C208" t="s">
        <v>2278</v>
      </c>
    </row>
    <row r="209" spans="1:3" x14ac:dyDescent="0.2">
      <c r="A209" t="s">
        <v>328</v>
      </c>
      <c r="B209" t="s">
        <v>2279</v>
      </c>
      <c r="C209" t="s">
        <v>2280</v>
      </c>
    </row>
    <row r="210" spans="1:3" x14ac:dyDescent="0.2">
      <c r="A210" t="s">
        <v>329</v>
      </c>
      <c r="B210" t="s">
        <v>2281</v>
      </c>
      <c r="C210" t="s">
        <v>2282</v>
      </c>
    </row>
    <row r="211" spans="1:3" x14ac:dyDescent="0.2">
      <c r="A211" t="s">
        <v>330</v>
      </c>
      <c r="B211" t="s">
        <v>2283</v>
      </c>
      <c r="C211" t="s">
        <v>2284</v>
      </c>
    </row>
    <row r="212" spans="1:3" x14ac:dyDescent="0.2">
      <c r="A212" t="s">
        <v>331</v>
      </c>
      <c r="B212" t="s">
        <v>2285</v>
      </c>
      <c r="C212" t="s">
        <v>2286</v>
      </c>
    </row>
    <row r="213" spans="1:3" x14ac:dyDescent="0.2">
      <c r="A213" t="s">
        <v>332</v>
      </c>
      <c r="B213" t="s">
        <v>2287</v>
      </c>
      <c r="C213" t="s">
        <v>2288</v>
      </c>
    </row>
    <row r="214" spans="1:3" x14ac:dyDescent="0.2">
      <c r="A214" t="s">
        <v>333</v>
      </c>
      <c r="B214" t="s">
        <v>2289</v>
      </c>
      <c r="C214" t="s">
        <v>2290</v>
      </c>
    </row>
    <row r="215" spans="1:3" x14ac:dyDescent="0.2">
      <c r="A215" t="s">
        <v>334</v>
      </c>
      <c r="B215" t="s">
        <v>2291</v>
      </c>
      <c r="C215" t="s">
        <v>2292</v>
      </c>
    </row>
    <row r="216" spans="1:3" x14ac:dyDescent="0.2">
      <c r="A216" t="s">
        <v>334</v>
      </c>
      <c r="B216" t="s">
        <v>2291</v>
      </c>
      <c r="C216" t="s">
        <v>2292</v>
      </c>
    </row>
    <row r="217" spans="1:3" x14ac:dyDescent="0.2">
      <c r="A217" t="s">
        <v>335</v>
      </c>
      <c r="B217" t="s">
        <v>2293</v>
      </c>
      <c r="C217" t="s">
        <v>2294</v>
      </c>
    </row>
    <row r="218" spans="1:3" x14ac:dyDescent="0.2">
      <c r="A218" t="s">
        <v>336</v>
      </c>
      <c r="B218" t="s">
        <v>2295</v>
      </c>
      <c r="C218" t="s">
        <v>2296</v>
      </c>
    </row>
    <row r="219" spans="1:3" x14ac:dyDescent="0.2">
      <c r="A219" t="s">
        <v>336</v>
      </c>
      <c r="B219" t="s">
        <v>2295</v>
      </c>
      <c r="C219" t="s">
        <v>2296</v>
      </c>
    </row>
    <row r="220" spans="1:3" x14ac:dyDescent="0.2">
      <c r="A220" t="s">
        <v>337</v>
      </c>
      <c r="B220" t="s">
        <v>2297</v>
      </c>
      <c r="C220" t="s">
        <v>2298</v>
      </c>
    </row>
    <row r="221" spans="1:3" x14ac:dyDescent="0.2">
      <c r="A221" t="s">
        <v>337</v>
      </c>
      <c r="B221" t="s">
        <v>2297</v>
      </c>
      <c r="C221" t="s">
        <v>2298</v>
      </c>
    </row>
    <row r="222" spans="1:3" x14ac:dyDescent="0.2">
      <c r="A222" t="s">
        <v>338</v>
      </c>
      <c r="B222" t="s">
        <v>2299</v>
      </c>
      <c r="C222" t="s">
        <v>2300</v>
      </c>
    </row>
    <row r="223" spans="1:3" x14ac:dyDescent="0.2">
      <c r="A223" t="s">
        <v>339</v>
      </c>
      <c r="B223" t="s">
        <v>2301</v>
      </c>
      <c r="C223" t="s">
        <v>2302</v>
      </c>
    </row>
    <row r="224" spans="1:3" x14ac:dyDescent="0.2">
      <c r="A224" t="s">
        <v>340</v>
      </c>
      <c r="B224" t="s">
        <v>2303</v>
      </c>
      <c r="C224" t="s">
        <v>2304</v>
      </c>
    </row>
    <row r="225" spans="1:3" x14ac:dyDescent="0.2">
      <c r="A225" t="s">
        <v>341</v>
      </c>
      <c r="B225" t="s">
        <v>2305</v>
      </c>
      <c r="C225" t="s">
        <v>2306</v>
      </c>
    </row>
    <row r="226" spans="1:3" x14ac:dyDescent="0.2">
      <c r="A226" t="s">
        <v>342</v>
      </c>
      <c r="B226" t="s">
        <v>2307</v>
      </c>
      <c r="C226" t="s">
        <v>2308</v>
      </c>
    </row>
    <row r="227" spans="1:3" x14ac:dyDescent="0.2">
      <c r="A227" t="s">
        <v>343</v>
      </c>
      <c r="B227" t="s">
        <v>2309</v>
      </c>
      <c r="C227" t="s">
        <v>2310</v>
      </c>
    </row>
    <row r="228" spans="1:3" x14ac:dyDescent="0.2">
      <c r="A228" t="s">
        <v>344</v>
      </c>
      <c r="B228" t="s">
        <v>2311</v>
      </c>
      <c r="C228" t="s">
        <v>2312</v>
      </c>
    </row>
    <row r="229" spans="1:3" x14ac:dyDescent="0.2">
      <c r="A229" t="s">
        <v>345</v>
      </c>
      <c r="B229" t="s">
        <v>2313</v>
      </c>
      <c r="C229" t="s">
        <v>2314</v>
      </c>
    </row>
    <row r="230" spans="1:3" x14ac:dyDescent="0.2">
      <c r="A230" t="s">
        <v>346</v>
      </c>
      <c r="B230" t="s">
        <v>2315</v>
      </c>
      <c r="C230" t="s">
        <v>2316</v>
      </c>
    </row>
    <row r="231" spans="1:3" x14ac:dyDescent="0.2">
      <c r="A231" t="s">
        <v>347</v>
      </c>
      <c r="B231" t="s">
        <v>2317</v>
      </c>
      <c r="C231" t="s">
        <v>2318</v>
      </c>
    </row>
    <row r="232" spans="1:3" x14ac:dyDescent="0.2">
      <c r="A232" t="s">
        <v>348</v>
      </c>
      <c r="B232" t="s">
        <v>2319</v>
      </c>
      <c r="C232" t="s">
        <v>2320</v>
      </c>
    </row>
    <row r="233" spans="1:3" x14ac:dyDescent="0.2">
      <c r="A233" t="s">
        <v>349</v>
      </c>
      <c r="B233" t="s">
        <v>2321</v>
      </c>
      <c r="C233" t="s">
        <v>2322</v>
      </c>
    </row>
    <row r="234" spans="1:3" x14ac:dyDescent="0.2">
      <c r="A234" t="s">
        <v>350</v>
      </c>
      <c r="B234" t="s">
        <v>2323</v>
      </c>
      <c r="C234" t="s">
        <v>2324</v>
      </c>
    </row>
    <row r="235" spans="1:3" x14ac:dyDescent="0.2">
      <c r="A235" t="s">
        <v>351</v>
      </c>
      <c r="B235" t="s">
        <v>2325</v>
      </c>
      <c r="C235" t="s">
        <v>2326</v>
      </c>
    </row>
    <row r="236" spans="1:3" x14ac:dyDescent="0.2">
      <c r="A236" t="s">
        <v>352</v>
      </c>
      <c r="B236" t="s">
        <v>2327</v>
      </c>
      <c r="C236" t="s">
        <v>2328</v>
      </c>
    </row>
    <row r="237" spans="1:3" x14ac:dyDescent="0.2">
      <c r="A237" t="s">
        <v>353</v>
      </c>
      <c r="B237" t="s">
        <v>2329</v>
      </c>
      <c r="C237" t="s">
        <v>2330</v>
      </c>
    </row>
    <row r="238" spans="1:3" x14ac:dyDescent="0.2">
      <c r="A238" t="s">
        <v>354</v>
      </c>
      <c r="B238" t="s">
        <v>2331</v>
      </c>
      <c r="C238" t="s">
        <v>2332</v>
      </c>
    </row>
    <row r="239" spans="1:3" x14ac:dyDescent="0.2">
      <c r="A239" t="s">
        <v>355</v>
      </c>
      <c r="B239" t="s">
        <v>2333</v>
      </c>
      <c r="C239" t="s">
        <v>2334</v>
      </c>
    </row>
    <row r="240" spans="1:3" x14ac:dyDescent="0.2">
      <c r="A240" t="s">
        <v>356</v>
      </c>
      <c r="B240" t="s">
        <v>2335</v>
      </c>
      <c r="C240" t="s">
        <v>2336</v>
      </c>
    </row>
    <row r="241" spans="1:3" x14ac:dyDescent="0.2">
      <c r="A241" t="s">
        <v>357</v>
      </c>
      <c r="B241" t="s">
        <v>2337</v>
      </c>
      <c r="C241" t="s">
        <v>2338</v>
      </c>
    </row>
    <row r="242" spans="1:3" x14ac:dyDescent="0.2">
      <c r="A242" t="s">
        <v>358</v>
      </c>
      <c r="B242" t="s">
        <v>2339</v>
      </c>
      <c r="C242" t="s">
        <v>414</v>
      </c>
    </row>
    <row r="243" spans="1:3" x14ac:dyDescent="0.2">
      <c r="A243" t="s">
        <v>359</v>
      </c>
      <c r="B243" t="s">
        <v>2340</v>
      </c>
      <c r="C243" t="s">
        <v>2341</v>
      </c>
    </row>
    <row r="244" spans="1:3" x14ac:dyDescent="0.2">
      <c r="A244" t="s">
        <v>360</v>
      </c>
      <c r="B244" t="s">
        <v>2342</v>
      </c>
      <c r="C244" t="s">
        <v>2343</v>
      </c>
    </row>
    <row r="245" spans="1:3" x14ac:dyDescent="0.2">
      <c r="A245" t="s">
        <v>361</v>
      </c>
      <c r="B245" t="s">
        <v>2344</v>
      </c>
      <c r="C245" t="s">
        <v>2345</v>
      </c>
    </row>
    <row r="246" spans="1:3" x14ac:dyDescent="0.2">
      <c r="A246" t="s">
        <v>362</v>
      </c>
      <c r="B246" t="s">
        <v>2346</v>
      </c>
      <c r="C246" t="s">
        <v>2347</v>
      </c>
    </row>
    <row r="247" spans="1:3" x14ac:dyDescent="0.2">
      <c r="A247" t="s">
        <v>363</v>
      </c>
      <c r="B247" t="s">
        <v>2348</v>
      </c>
      <c r="C247" t="s">
        <v>2349</v>
      </c>
    </row>
    <row r="248" spans="1:3" x14ac:dyDescent="0.2">
      <c r="A248" t="s">
        <v>364</v>
      </c>
      <c r="B248" t="s">
        <v>2350</v>
      </c>
      <c r="C248" t="s">
        <v>2351</v>
      </c>
    </row>
    <row r="249" spans="1:3" x14ac:dyDescent="0.2">
      <c r="A249" t="s">
        <v>365</v>
      </c>
      <c r="B249" t="s">
        <v>2352</v>
      </c>
      <c r="C249" t="s">
        <v>2353</v>
      </c>
    </row>
    <row r="250" spans="1:3" x14ac:dyDescent="0.2">
      <c r="A250" t="s">
        <v>366</v>
      </c>
      <c r="B250" t="s">
        <v>2354</v>
      </c>
      <c r="C250" t="s">
        <v>2355</v>
      </c>
    </row>
    <row r="251" spans="1:3" x14ac:dyDescent="0.2">
      <c r="A251" t="s">
        <v>367</v>
      </c>
      <c r="B251" t="s">
        <v>2356</v>
      </c>
      <c r="C251" t="s">
        <v>2357</v>
      </c>
    </row>
    <row r="252" spans="1:3" x14ac:dyDescent="0.2">
      <c r="A252" t="s">
        <v>368</v>
      </c>
      <c r="B252" t="s">
        <v>2358</v>
      </c>
      <c r="C252" t="s">
        <v>2359</v>
      </c>
    </row>
    <row r="253" spans="1:3" x14ac:dyDescent="0.2">
      <c r="A253" t="s">
        <v>369</v>
      </c>
      <c r="B253" t="s">
        <v>2360</v>
      </c>
      <c r="C253" t="s">
        <v>2361</v>
      </c>
    </row>
    <row r="254" spans="1:3" x14ac:dyDescent="0.2">
      <c r="A254" t="s">
        <v>370</v>
      </c>
      <c r="B254" t="s">
        <v>2362</v>
      </c>
      <c r="C254" t="s">
        <v>2363</v>
      </c>
    </row>
    <row r="255" spans="1:3" x14ac:dyDescent="0.2">
      <c r="A255" t="s">
        <v>371</v>
      </c>
      <c r="B255" t="s">
        <v>2364</v>
      </c>
      <c r="C255" t="s">
        <v>2365</v>
      </c>
    </row>
    <row r="256" spans="1:3" x14ac:dyDescent="0.2">
      <c r="A256" t="s">
        <v>372</v>
      </c>
      <c r="B256" t="s">
        <v>2366</v>
      </c>
      <c r="C256" t="s">
        <v>2367</v>
      </c>
    </row>
    <row r="257" spans="1:3" x14ac:dyDescent="0.2">
      <c r="A257" t="s">
        <v>373</v>
      </c>
      <c r="B257" t="s">
        <v>2368</v>
      </c>
      <c r="C257" t="s">
        <v>2369</v>
      </c>
    </row>
    <row r="258" spans="1:3" x14ac:dyDescent="0.2">
      <c r="A258" t="s">
        <v>374</v>
      </c>
      <c r="B258" t="s">
        <v>2370</v>
      </c>
      <c r="C258" t="s">
        <v>2371</v>
      </c>
    </row>
    <row r="259" spans="1:3" x14ac:dyDescent="0.2">
      <c r="A259" t="s">
        <v>375</v>
      </c>
      <c r="B259" t="s">
        <v>2372</v>
      </c>
      <c r="C259" t="s">
        <v>2373</v>
      </c>
    </row>
    <row r="260" spans="1:3" x14ac:dyDescent="0.2">
      <c r="A260" t="s">
        <v>376</v>
      </c>
      <c r="B260" t="s">
        <v>2374</v>
      </c>
      <c r="C260" t="s">
        <v>2375</v>
      </c>
    </row>
    <row r="261" spans="1:3" x14ac:dyDescent="0.2">
      <c r="A261" t="s">
        <v>377</v>
      </c>
      <c r="B261" t="s">
        <v>2376</v>
      </c>
      <c r="C261" t="s">
        <v>2377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995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10</v>
      </c>
      <c r="B1" t="s">
        <v>11</v>
      </c>
      <c r="C1" t="s">
        <v>14</v>
      </c>
      <c r="D1" t="s">
        <v>15</v>
      </c>
      <c r="E1" t="s">
        <v>2378</v>
      </c>
    </row>
    <row r="2" spans="1:5" x14ac:dyDescent="0.2">
      <c r="A2" t="s">
        <v>413</v>
      </c>
      <c r="B2">
        <v>672</v>
      </c>
      <c r="C2" t="s">
        <v>2379</v>
      </c>
      <c r="E2" t="s">
        <v>2380</v>
      </c>
    </row>
    <row r="3" spans="1:5" x14ac:dyDescent="0.2">
      <c r="A3" t="s">
        <v>413</v>
      </c>
      <c r="B3">
        <v>674</v>
      </c>
      <c r="C3" t="s">
        <v>2381</v>
      </c>
      <c r="E3" t="s">
        <v>2382</v>
      </c>
    </row>
    <row r="4" spans="1:5" x14ac:dyDescent="0.2">
      <c r="A4" t="s">
        <v>2383</v>
      </c>
      <c r="B4">
        <v>606</v>
      </c>
      <c r="C4" t="s">
        <v>2384</v>
      </c>
      <c r="D4" t="s">
        <v>2384</v>
      </c>
      <c r="E4" t="s">
        <v>2385</v>
      </c>
    </row>
    <row r="5" spans="1:5" x14ac:dyDescent="0.2">
      <c r="A5" t="s">
        <v>2383</v>
      </c>
      <c r="B5">
        <v>606</v>
      </c>
      <c r="C5" t="s">
        <v>2384</v>
      </c>
      <c r="E5" t="s">
        <v>2385</v>
      </c>
    </row>
    <row r="6" spans="1:5" x14ac:dyDescent="0.2">
      <c r="A6" t="s">
        <v>2383</v>
      </c>
      <c r="B6">
        <v>676</v>
      </c>
      <c r="C6" t="s">
        <v>2386</v>
      </c>
      <c r="D6" t="s">
        <v>2387</v>
      </c>
      <c r="E6" t="s">
        <v>2388</v>
      </c>
    </row>
    <row r="7" spans="1:5" x14ac:dyDescent="0.2">
      <c r="A7" t="s">
        <v>539</v>
      </c>
      <c r="B7">
        <v>885</v>
      </c>
      <c r="C7" t="s">
        <v>2389</v>
      </c>
      <c r="D7" t="s">
        <v>2390</v>
      </c>
      <c r="E7" t="s">
        <v>2391</v>
      </c>
    </row>
    <row r="8" spans="1:5" x14ac:dyDescent="0.2">
      <c r="A8" t="s">
        <v>2383</v>
      </c>
      <c r="B8">
        <v>676</v>
      </c>
      <c r="C8" t="s">
        <v>2386</v>
      </c>
      <c r="D8" t="s">
        <v>2392</v>
      </c>
      <c r="E8" t="s">
        <v>2388</v>
      </c>
    </row>
    <row r="9" spans="1:5" x14ac:dyDescent="0.2">
      <c r="A9" t="s">
        <v>550</v>
      </c>
      <c r="B9">
        <v>854</v>
      </c>
      <c r="C9" t="s">
        <v>2393</v>
      </c>
      <c r="E9" t="s">
        <v>2394</v>
      </c>
    </row>
    <row r="10" spans="1:5" x14ac:dyDescent="0.2">
      <c r="A10" t="s">
        <v>505</v>
      </c>
      <c r="B10">
        <v>648</v>
      </c>
      <c r="C10" t="s">
        <v>675</v>
      </c>
      <c r="D10" t="s">
        <v>2395</v>
      </c>
      <c r="E10" t="s">
        <v>2396</v>
      </c>
    </row>
    <row r="11" spans="1:5" x14ac:dyDescent="0.2">
      <c r="A11" t="s">
        <v>505</v>
      </c>
      <c r="B11">
        <v>534</v>
      </c>
      <c r="C11" t="s">
        <v>2397</v>
      </c>
      <c r="E11" t="s">
        <v>2398</v>
      </c>
    </row>
    <row r="12" spans="1:5" x14ac:dyDescent="0.2">
      <c r="A12" t="s">
        <v>2383</v>
      </c>
      <c r="B12">
        <v>657</v>
      </c>
      <c r="C12" t="s">
        <v>2399</v>
      </c>
      <c r="E12" t="s">
        <v>2400</v>
      </c>
    </row>
    <row r="13" spans="1:5" x14ac:dyDescent="0.2">
      <c r="A13" t="s">
        <v>2383</v>
      </c>
      <c r="B13">
        <v>669</v>
      </c>
      <c r="C13" t="s">
        <v>2401</v>
      </c>
      <c r="E13" t="s">
        <v>2402</v>
      </c>
    </row>
    <row r="14" spans="1:5" x14ac:dyDescent="0.2">
      <c r="A14" t="s">
        <v>466</v>
      </c>
      <c r="B14">
        <v>657</v>
      </c>
      <c r="C14" t="s">
        <v>2399</v>
      </c>
      <c r="D14" t="s">
        <v>2399</v>
      </c>
      <c r="E14" t="s">
        <v>2403</v>
      </c>
    </row>
    <row r="15" spans="1:5" x14ac:dyDescent="0.2">
      <c r="A15" t="s">
        <v>466</v>
      </c>
      <c r="B15">
        <v>541</v>
      </c>
      <c r="C15" t="s">
        <v>2404</v>
      </c>
      <c r="E15" t="s">
        <v>2405</v>
      </c>
    </row>
    <row r="16" spans="1:5" x14ac:dyDescent="0.2">
      <c r="A16" t="s">
        <v>466</v>
      </c>
      <c r="B16">
        <v>541</v>
      </c>
      <c r="C16" t="s">
        <v>2404</v>
      </c>
      <c r="E16" t="s">
        <v>2405</v>
      </c>
    </row>
    <row r="17" spans="1:5" x14ac:dyDescent="0.2">
      <c r="A17" t="s">
        <v>592</v>
      </c>
      <c r="B17">
        <v>523</v>
      </c>
      <c r="C17" t="s">
        <v>2406</v>
      </c>
      <c r="E17" t="s">
        <v>2407</v>
      </c>
    </row>
    <row r="18" spans="1:5" x14ac:dyDescent="0.2">
      <c r="A18" t="s">
        <v>2408</v>
      </c>
      <c r="B18">
        <v>574</v>
      </c>
      <c r="C18" t="s">
        <v>2409</v>
      </c>
      <c r="E18" t="s">
        <v>2410</v>
      </c>
    </row>
    <row r="19" spans="1:5" x14ac:dyDescent="0.2">
      <c r="A19" t="s">
        <v>505</v>
      </c>
      <c r="B19">
        <v>539</v>
      </c>
      <c r="C19" t="s">
        <v>2411</v>
      </c>
      <c r="E19" t="s">
        <v>2412</v>
      </c>
    </row>
    <row r="20" spans="1:5" x14ac:dyDescent="0.2">
      <c r="A20" t="s">
        <v>650</v>
      </c>
      <c r="B20">
        <v>634</v>
      </c>
      <c r="C20" t="s">
        <v>2413</v>
      </c>
      <c r="E20" t="s">
        <v>2414</v>
      </c>
    </row>
    <row r="21" spans="1:5" x14ac:dyDescent="0.2">
      <c r="A21" t="s">
        <v>2408</v>
      </c>
      <c r="B21">
        <v>555</v>
      </c>
      <c r="C21" t="s">
        <v>2415</v>
      </c>
      <c r="E21" t="s">
        <v>2416</v>
      </c>
    </row>
    <row r="22" spans="1:5" x14ac:dyDescent="0.2">
      <c r="A22" t="s">
        <v>539</v>
      </c>
      <c r="B22">
        <v>567</v>
      </c>
      <c r="C22" t="s">
        <v>2417</v>
      </c>
      <c r="E22" t="s">
        <v>2418</v>
      </c>
    </row>
    <row r="23" spans="1:5" x14ac:dyDescent="0.2">
      <c r="A23" t="s">
        <v>2408</v>
      </c>
      <c r="B23">
        <v>523</v>
      </c>
      <c r="C23" t="s">
        <v>2406</v>
      </c>
      <c r="E23" t="s">
        <v>2419</v>
      </c>
    </row>
    <row r="24" spans="1:5" x14ac:dyDescent="0.2">
      <c r="A24" t="s">
        <v>2408</v>
      </c>
      <c r="B24">
        <v>539</v>
      </c>
      <c r="C24" t="s">
        <v>2420</v>
      </c>
      <c r="E24" t="s">
        <v>2421</v>
      </c>
    </row>
    <row r="25" spans="1:5" x14ac:dyDescent="0.2">
      <c r="A25" t="s">
        <v>2408</v>
      </c>
      <c r="B25">
        <v>539</v>
      </c>
      <c r="C25" t="s">
        <v>2420</v>
      </c>
      <c r="E25" t="s">
        <v>2421</v>
      </c>
    </row>
    <row r="26" spans="1:5" x14ac:dyDescent="0.2">
      <c r="A26" t="s">
        <v>2408</v>
      </c>
      <c r="B26">
        <v>523</v>
      </c>
      <c r="C26" t="s">
        <v>2406</v>
      </c>
      <c r="E26" t="s">
        <v>2419</v>
      </c>
    </row>
    <row r="27" spans="1:5" x14ac:dyDescent="0.2">
      <c r="A27" t="s">
        <v>2408</v>
      </c>
      <c r="B27">
        <v>523</v>
      </c>
      <c r="C27" t="s">
        <v>2406</v>
      </c>
      <c r="E27" t="s">
        <v>2419</v>
      </c>
    </row>
    <row r="28" spans="1:5" x14ac:dyDescent="0.2">
      <c r="A28" t="s">
        <v>567</v>
      </c>
      <c r="B28">
        <v>551</v>
      </c>
      <c r="C28" t="s">
        <v>2422</v>
      </c>
      <c r="E28" t="s">
        <v>2423</v>
      </c>
    </row>
    <row r="29" spans="1:5" x14ac:dyDescent="0.2">
      <c r="A29" t="s">
        <v>567</v>
      </c>
      <c r="B29">
        <v>552</v>
      </c>
      <c r="C29" t="s">
        <v>2424</v>
      </c>
      <c r="E29" t="s">
        <v>2425</v>
      </c>
    </row>
    <row r="30" spans="1:5" x14ac:dyDescent="0.2">
      <c r="A30" t="s">
        <v>505</v>
      </c>
      <c r="B30">
        <v>505</v>
      </c>
      <c r="C30" t="s">
        <v>2426</v>
      </c>
      <c r="D30" t="s">
        <v>2427</v>
      </c>
      <c r="E30" t="s">
        <v>2428</v>
      </c>
    </row>
    <row r="31" spans="1:5" x14ac:dyDescent="0.2">
      <c r="A31" t="s">
        <v>567</v>
      </c>
      <c r="B31">
        <v>628</v>
      </c>
      <c r="C31" t="s">
        <v>2429</v>
      </c>
      <c r="E31" t="s">
        <v>2430</v>
      </c>
    </row>
    <row r="32" spans="1:5" x14ac:dyDescent="0.2">
      <c r="A32" t="s">
        <v>567</v>
      </c>
      <c r="B32">
        <v>620</v>
      </c>
      <c r="C32" t="s">
        <v>2431</v>
      </c>
      <c r="E32" t="s">
        <v>2432</v>
      </c>
    </row>
    <row r="33" spans="1:5" x14ac:dyDescent="0.2">
      <c r="A33" t="s">
        <v>466</v>
      </c>
      <c r="B33">
        <v>503</v>
      </c>
      <c r="C33" t="s">
        <v>2433</v>
      </c>
      <c r="E33" t="s">
        <v>2434</v>
      </c>
    </row>
    <row r="34" spans="1:5" x14ac:dyDescent="0.2">
      <c r="A34" t="s">
        <v>539</v>
      </c>
      <c r="B34">
        <v>567</v>
      </c>
      <c r="C34" t="s">
        <v>2417</v>
      </c>
      <c r="D34" t="s">
        <v>2435</v>
      </c>
      <c r="E34" t="s">
        <v>2418</v>
      </c>
    </row>
    <row r="35" spans="1:5" x14ac:dyDescent="0.2">
      <c r="A35" t="s">
        <v>592</v>
      </c>
      <c r="B35">
        <v>539</v>
      </c>
      <c r="C35" t="s">
        <v>2436</v>
      </c>
      <c r="E35" t="s">
        <v>2437</v>
      </c>
    </row>
    <row r="36" spans="1:5" x14ac:dyDescent="0.2">
      <c r="A36" t="s">
        <v>592</v>
      </c>
      <c r="B36">
        <v>523</v>
      </c>
      <c r="C36" t="s">
        <v>2406</v>
      </c>
      <c r="E36" t="s">
        <v>2407</v>
      </c>
    </row>
    <row r="37" spans="1:5" x14ac:dyDescent="0.2">
      <c r="A37" t="s">
        <v>2383</v>
      </c>
      <c r="B37">
        <v>749</v>
      </c>
      <c r="C37" t="s">
        <v>2438</v>
      </c>
      <c r="E37" t="s">
        <v>2439</v>
      </c>
    </row>
    <row r="38" spans="1:5" x14ac:dyDescent="0.2">
      <c r="A38" t="s">
        <v>413</v>
      </c>
      <c r="B38">
        <v>505</v>
      </c>
      <c r="C38" t="s">
        <v>2440</v>
      </c>
      <c r="E38" t="s">
        <v>2441</v>
      </c>
    </row>
    <row r="39" spans="1:5" x14ac:dyDescent="0.2">
      <c r="A39" t="s">
        <v>567</v>
      </c>
      <c r="B39">
        <v>546</v>
      </c>
      <c r="C39" t="s">
        <v>2442</v>
      </c>
      <c r="E39" t="s">
        <v>2443</v>
      </c>
    </row>
    <row r="40" spans="1:5" x14ac:dyDescent="0.2">
      <c r="A40" t="s">
        <v>382</v>
      </c>
      <c r="B40">
        <v>640</v>
      </c>
      <c r="C40" t="s">
        <v>2444</v>
      </c>
      <c r="E40" t="s">
        <v>2445</v>
      </c>
    </row>
    <row r="41" spans="1:5" x14ac:dyDescent="0.2">
      <c r="A41" t="s">
        <v>382</v>
      </c>
      <c r="B41">
        <v>810</v>
      </c>
      <c r="C41" t="s">
        <v>2446</v>
      </c>
      <c r="E41" t="s">
        <v>2447</v>
      </c>
    </row>
    <row r="42" spans="1:5" x14ac:dyDescent="0.2">
      <c r="A42" t="s">
        <v>382</v>
      </c>
      <c r="B42">
        <v>615</v>
      </c>
      <c r="C42" t="s">
        <v>2448</v>
      </c>
      <c r="E42" t="s">
        <v>2449</v>
      </c>
    </row>
    <row r="43" spans="1:5" x14ac:dyDescent="0.2">
      <c r="A43" t="s">
        <v>382</v>
      </c>
      <c r="B43">
        <v>940</v>
      </c>
      <c r="C43" t="s">
        <v>2450</v>
      </c>
      <c r="E43" t="s">
        <v>2451</v>
      </c>
    </row>
    <row r="44" spans="1:5" x14ac:dyDescent="0.2">
      <c r="A44" t="s">
        <v>382</v>
      </c>
      <c r="B44">
        <v>840</v>
      </c>
      <c r="C44" t="s">
        <v>2452</v>
      </c>
      <c r="E44" t="s">
        <v>2453</v>
      </c>
    </row>
    <row r="45" spans="1:5" x14ac:dyDescent="0.2">
      <c r="A45" t="s">
        <v>382</v>
      </c>
      <c r="B45">
        <v>624</v>
      </c>
      <c r="C45" t="s">
        <v>2454</v>
      </c>
      <c r="E45" t="s">
        <v>2455</v>
      </c>
    </row>
    <row r="46" spans="1:5" x14ac:dyDescent="0.2">
      <c r="A46" t="s">
        <v>382</v>
      </c>
      <c r="B46">
        <v>805</v>
      </c>
      <c r="C46" t="s">
        <v>2456</v>
      </c>
      <c r="E46" t="s">
        <v>2457</v>
      </c>
    </row>
    <row r="47" spans="1:5" x14ac:dyDescent="0.2">
      <c r="A47" t="s">
        <v>505</v>
      </c>
      <c r="B47">
        <v>505</v>
      </c>
      <c r="C47" t="s">
        <v>2426</v>
      </c>
      <c r="D47" t="s">
        <v>2458</v>
      </c>
      <c r="E47" t="s">
        <v>2428</v>
      </c>
    </row>
    <row r="48" spans="1:5" x14ac:dyDescent="0.2">
      <c r="A48" t="s">
        <v>2383</v>
      </c>
      <c r="B48">
        <v>635</v>
      </c>
      <c r="C48" t="s">
        <v>2459</v>
      </c>
      <c r="E48" t="s">
        <v>2460</v>
      </c>
    </row>
    <row r="49" spans="1:5" x14ac:dyDescent="0.2">
      <c r="A49" t="s">
        <v>2383</v>
      </c>
      <c r="B49">
        <v>657</v>
      </c>
      <c r="C49" t="s">
        <v>2399</v>
      </c>
      <c r="D49" t="s">
        <v>2399</v>
      </c>
      <c r="E49" t="s">
        <v>2400</v>
      </c>
    </row>
    <row r="50" spans="1:5" x14ac:dyDescent="0.2">
      <c r="A50" t="s">
        <v>2383</v>
      </c>
      <c r="B50">
        <v>657</v>
      </c>
      <c r="C50" t="s">
        <v>2399</v>
      </c>
      <c r="D50" t="s">
        <v>2399</v>
      </c>
      <c r="E50" t="s">
        <v>2400</v>
      </c>
    </row>
    <row r="51" spans="1:5" x14ac:dyDescent="0.2">
      <c r="A51" t="s">
        <v>2408</v>
      </c>
      <c r="B51">
        <v>516</v>
      </c>
      <c r="C51" t="s">
        <v>2461</v>
      </c>
      <c r="E51" t="s">
        <v>2462</v>
      </c>
    </row>
    <row r="52" spans="1:5" x14ac:dyDescent="0.2">
      <c r="A52" t="s">
        <v>2408</v>
      </c>
      <c r="B52">
        <v>516</v>
      </c>
      <c r="C52" t="s">
        <v>2461</v>
      </c>
      <c r="D52" t="s">
        <v>2463</v>
      </c>
      <c r="E52" t="s">
        <v>2462</v>
      </c>
    </row>
    <row r="53" spans="1:5" x14ac:dyDescent="0.2">
      <c r="A53" t="s">
        <v>2383</v>
      </c>
      <c r="B53">
        <v>635</v>
      </c>
      <c r="C53" t="s">
        <v>2459</v>
      </c>
      <c r="D53" t="s">
        <v>2459</v>
      </c>
      <c r="E53" t="s">
        <v>2460</v>
      </c>
    </row>
    <row r="54" spans="1:5" x14ac:dyDescent="0.2">
      <c r="A54" t="s">
        <v>2408</v>
      </c>
      <c r="B54">
        <v>516</v>
      </c>
      <c r="C54" t="s">
        <v>2461</v>
      </c>
      <c r="D54" t="s">
        <v>2461</v>
      </c>
      <c r="E54" t="s">
        <v>2462</v>
      </c>
    </row>
    <row r="55" spans="1:5" x14ac:dyDescent="0.2">
      <c r="A55" t="s">
        <v>592</v>
      </c>
      <c r="B55">
        <v>516</v>
      </c>
      <c r="C55" t="s">
        <v>2461</v>
      </c>
      <c r="D55" t="s">
        <v>2461</v>
      </c>
      <c r="E55" t="s">
        <v>2464</v>
      </c>
    </row>
    <row r="56" spans="1:5" x14ac:dyDescent="0.2">
      <c r="A56" t="s">
        <v>466</v>
      </c>
      <c r="B56">
        <v>635</v>
      </c>
      <c r="C56" t="s">
        <v>2459</v>
      </c>
      <c r="D56" t="s">
        <v>2459</v>
      </c>
      <c r="E56" t="s">
        <v>2465</v>
      </c>
    </row>
    <row r="57" spans="1:5" x14ac:dyDescent="0.2">
      <c r="A57" t="s">
        <v>466</v>
      </c>
      <c r="B57">
        <v>657</v>
      </c>
      <c r="C57" t="s">
        <v>2399</v>
      </c>
      <c r="E57" t="s">
        <v>2403</v>
      </c>
    </row>
    <row r="58" spans="1:5" x14ac:dyDescent="0.2">
      <c r="A58" t="s">
        <v>413</v>
      </c>
      <c r="B58">
        <v>506</v>
      </c>
      <c r="C58" t="s">
        <v>2466</v>
      </c>
      <c r="E58" t="s">
        <v>2467</v>
      </c>
    </row>
    <row r="59" spans="1:5" x14ac:dyDescent="0.2">
      <c r="A59" t="s">
        <v>2383</v>
      </c>
      <c r="B59">
        <v>705</v>
      </c>
      <c r="C59" t="s">
        <v>2468</v>
      </c>
      <c r="E59" t="s">
        <v>2469</v>
      </c>
    </row>
    <row r="60" spans="1:5" x14ac:dyDescent="0.2">
      <c r="A60" t="s">
        <v>505</v>
      </c>
      <c r="B60">
        <v>790</v>
      </c>
      <c r="C60" t="s">
        <v>2470</v>
      </c>
      <c r="E60" t="s">
        <v>2471</v>
      </c>
    </row>
    <row r="61" spans="1:5" x14ac:dyDescent="0.2">
      <c r="A61" t="s">
        <v>505</v>
      </c>
      <c r="B61">
        <v>706</v>
      </c>
      <c r="C61" t="s">
        <v>2472</v>
      </c>
      <c r="E61" t="s">
        <v>2473</v>
      </c>
    </row>
    <row r="62" spans="1:5" x14ac:dyDescent="0.2">
      <c r="A62" t="s">
        <v>505</v>
      </c>
      <c r="B62">
        <v>796</v>
      </c>
      <c r="C62" t="s">
        <v>2474</v>
      </c>
      <c r="E62" t="s">
        <v>2475</v>
      </c>
    </row>
    <row r="63" spans="1:5" x14ac:dyDescent="0.2">
      <c r="A63" t="s">
        <v>505</v>
      </c>
      <c r="B63">
        <v>788</v>
      </c>
      <c r="C63" t="s">
        <v>2476</v>
      </c>
      <c r="E63" t="s">
        <v>2477</v>
      </c>
    </row>
    <row r="64" spans="1:5" x14ac:dyDescent="0.2">
      <c r="A64" t="s">
        <v>505</v>
      </c>
      <c r="B64">
        <v>796</v>
      </c>
      <c r="C64" t="s">
        <v>2474</v>
      </c>
      <c r="E64" t="s">
        <v>2475</v>
      </c>
    </row>
    <row r="65" spans="1:5" x14ac:dyDescent="0.2">
      <c r="A65" t="s">
        <v>2408</v>
      </c>
      <c r="B65">
        <v>763</v>
      </c>
      <c r="C65" t="s">
        <v>2478</v>
      </c>
      <c r="E65" t="s">
        <v>2479</v>
      </c>
    </row>
    <row r="66" spans="1:5" x14ac:dyDescent="0.2">
      <c r="A66" t="s">
        <v>550</v>
      </c>
      <c r="B66">
        <v>795</v>
      </c>
      <c r="C66" t="s">
        <v>2386</v>
      </c>
      <c r="D66" t="s">
        <v>2480</v>
      </c>
      <c r="E66" t="s">
        <v>2481</v>
      </c>
    </row>
    <row r="67" spans="1:5" x14ac:dyDescent="0.2">
      <c r="A67" t="s">
        <v>505</v>
      </c>
      <c r="B67">
        <v>793</v>
      </c>
      <c r="C67" t="s">
        <v>2482</v>
      </c>
      <c r="E67" t="s">
        <v>2483</v>
      </c>
    </row>
    <row r="68" spans="1:5" x14ac:dyDescent="0.2">
      <c r="A68" t="s">
        <v>2408</v>
      </c>
      <c r="B68">
        <v>779</v>
      </c>
      <c r="C68" t="s">
        <v>2484</v>
      </c>
      <c r="E68" t="s">
        <v>2485</v>
      </c>
    </row>
    <row r="69" spans="1:5" x14ac:dyDescent="0.2">
      <c r="A69" t="s">
        <v>592</v>
      </c>
      <c r="B69">
        <v>779</v>
      </c>
      <c r="C69" t="s">
        <v>2484</v>
      </c>
      <c r="E69" t="s">
        <v>2486</v>
      </c>
    </row>
    <row r="70" spans="1:5" x14ac:dyDescent="0.2">
      <c r="A70" t="s">
        <v>2408</v>
      </c>
      <c r="B70">
        <v>539</v>
      </c>
      <c r="C70" t="s">
        <v>2420</v>
      </c>
      <c r="E70" t="s">
        <v>2421</v>
      </c>
    </row>
    <row r="71" spans="1:5" x14ac:dyDescent="0.2">
      <c r="A71" t="s">
        <v>650</v>
      </c>
      <c r="B71">
        <v>695</v>
      </c>
      <c r="C71" t="s">
        <v>2386</v>
      </c>
      <c r="D71" t="s">
        <v>2487</v>
      </c>
      <c r="E71" t="s">
        <v>2488</v>
      </c>
    </row>
    <row r="72" spans="1:5" x14ac:dyDescent="0.2">
      <c r="A72" t="s">
        <v>2383</v>
      </c>
      <c r="B72">
        <v>534</v>
      </c>
      <c r="C72" t="s">
        <v>2489</v>
      </c>
      <c r="E72" t="s">
        <v>2490</v>
      </c>
    </row>
    <row r="73" spans="1:5" x14ac:dyDescent="0.2">
      <c r="A73" t="s">
        <v>2383</v>
      </c>
      <c r="B73">
        <v>503</v>
      </c>
      <c r="C73" t="s">
        <v>2433</v>
      </c>
      <c r="E73" t="s">
        <v>2491</v>
      </c>
    </row>
    <row r="74" spans="1:5" x14ac:dyDescent="0.2">
      <c r="A74" t="s">
        <v>2383</v>
      </c>
      <c r="B74">
        <v>503</v>
      </c>
      <c r="C74" t="s">
        <v>2433</v>
      </c>
      <c r="E74" t="s">
        <v>2491</v>
      </c>
    </row>
    <row r="75" spans="1:5" x14ac:dyDescent="0.2">
      <c r="A75" t="s">
        <v>2383</v>
      </c>
      <c r="B75">
        <v>534</v>
      </c>
      <c r="C75" t="s">
        <v>2489</v>
      </c>
      <c r="E75" t="s">
        <v>2490</v>
      </c>
    </row>
    <row r="76" spans="1:5" x14ac:dyDescent="0.2">
      <c r="A76" t="s">
        <v>2408</v>
      </c>
      <c r="B76">
        <v>539</v>
      </c>
      <c r="C76" t="s">
        <v>2420</v>
      </c>
      <c r="E76" t="s">
        <v>2421</v>
      </c>
    </row>
    <row r="77" spans="1:5" x14ac:dyDescent="0.2">
      <c r="A77" t="s">
        <v>650</v>
      </c>
      <c r="B77">
        <v>695</v>
      </c>
      <c r="C77" t="s">
        <v>2386</v>
      </c>
      <c r="D77" t="s">
        <v>2487</v>
      </c>
      <c r="E77" t="s">
        <v>2488</v>
      </c>
    </row>
    <row r="78" spans="1:5" x14ac:dyDescent="0.2">
      <c r="A78" t="s">
        <v>550</v>
      </c>
      <c r="B78">
        <v>561</v>
      </c>
      <c r="C78" t="s">
        <v>2492</v>
      </c>
      <c r="E78" t="s">
        <v>2493</v>
      </c>
    </row>
    <row r="79" spans="1:5" x14ac:dyDescent="0.2">
      <c r="A79" t="s">
        <v>2408</v>
      </c>
      <c r="B79">
        <v>543</v>
      </c>
      <c r="C79" t="s">
        <v>2494</v>
      </c>
      <c r="E79" t="s">
        <v>2495</v>
      </c>
    </row>
    <row r="80" spans="1:5" x14ac:dyDescent="0.2">
      <c r="A80" t="s">
        <v>413</v>
      </c>
      <c r="B80">
        <v>505</v>
      </c>
      <c r="C80" t="s">
        <v>2440</v>
      </c>
      <c r="E80" t="s">
        <v>2441</v>
      </c>
    </row>
    <row r="81" spans="1:5" x14ac:dyDescent="0.2">
      <c r="A81" t="s">
        <v>539</v>
      </c>
      <c r="B81">
        <v>537</v>
      </c>
      <c r="C81" t="s">
        <v>2496</v>
      </c>
      <c r="E81" t="s">
        <v>2497</v>
      </c>
    </row>
    <row r="82" spans="1:5" x14ac:dyDescent="0.2">
      <c r="A82" t="s">
        <v>2408</v>
      </c>
      <c r="B82">
        <v>637</v>
      </c>
      <c r="C82" t="s">
        <v>2498</v>
      </c>
      <c r="E82" t="s">
        <v>2499</v>
      </c>
    </row>
    <row r="83" spans="1:5" x14ac:dyDescent="0.2">
      <c r="A83" t="s">
        <v>567</v>
      </c>
      <c r="B83">
        <v>520</v>
      </c>
      <c r="C83" t="s">
        <v>2500</v>
      </c>
      <c r="E83" t="s">
        <v>2501</v>
      </c>
    </row>
    <row r="84" spans="1:5" x14ac:dyDescent="0.2">
      <c r="A84" t="s">
        <v>2383</v>
      </c>
      <c r="B84">
        <v>541</v>
      </c>
      <c r="C84" t="s">
        <v>2404</v>
      </c>
      <c r="E84" t="s">
        <v>2502</v>
      </c>
    </row>
    <row r="85" spans="1:5" x14ac:dyDescent="0.2">
      <c r="A85" t="s">
        <v>539</v>
      </c>
      <c r="B85">
        <v>567</v>
      </c>
      <c r="C85" t="s">
        <v>2417</v>
      </c>
      <c r="E85" t="s">
        <v>2418</v>
      </c>
    </row>
    <row r="86" spans="1:5" x14ac:dyDescent="0.2">
      <c r="A86" t="s">
        <v>2408</v>
      </c>
      <c r="B86">
        <v>523</v>
      </c>
      <c r="C86" t="s">
        <v>2406</v>
      </c>
      <c r="E86" t="s">
        <v>2419</v>
      </c>
    </row>
    <row r="87" spans="1:5" x14ac:dyDescent="0.2">
      <c r="A87" t="s">
        <v>413</v>
      </c>
      <c r="B87">
        <v>674</v>
      </c>
      <c r="C87" t="s">
        <v>2381</v>
      </c>
      <c r="E87" t="s">
        <v>2382</v>
      </c>
    </row>
    <row r="88" spans="1:5" x14ac:dyDescent="0.2">
      <c r="A88" t="s">
        <v>592</v>
      </c>
      <c r="B88">
        <v>543</v>
      </c>
      <c r="C88" t="s">
        <v>2494</v>
      </c>
      <c r="E88" t="s">
        <v>2503</v>
      </c>
    </row>
    <row r="89" spans="1:5" x14ac:dyDescent="0.2">
      <c r="A89" t="s">
        <v>550</v>
      </c>
      <c r="B89">
        <v>546</v>
      </c>
      <c r="C89" t="s">
        <v>2504</v>
      </c>
      <c r="E89" t="s">
        <v>2505</v>
      </c>
    </row>
    <row r="90" spans="1:5" x14ac:dyDescent="0.2">
      <c r="A90" t="s">
        <v>539</v>
      </c>
      <c r="B90">
        <v>535</v>
      </c>
      <c r="C90" t="s">
        <v>2506</v>
      </c>
      <c r="E90" t="s">
        <v>2507</v>
      </c>
    </row>
    <row r="91" spans="1:5" x14ac:dyDescent="0.2">
      <c r="A91" t="s">
        <v>592</v>
      </c>
      <c r="B91">
        <v>637</v>
      </c>
      <c r="C91" t="s">
        <v>2498</v>
      </c>
      <c r="E91" t="s">
        <v>2508</v>
      </c>
    </row>
    <row r="92" spans="1:5" x14ac:dyDescent="0.2">
      <c r="A92" t="s">
        <v>650</v>
      </c>
      <c r="B92">
        <v>640</v>
      </c>
      <c r="C92" t="s">
        <v>2509</v>
      </c>
      <c r="E92" t="s">
        <v>2510</v>
      </c>
    </row>
    <row r="93" spans="1:5" x14ac:dyDescent="0.2">
      <c r="A93" t="s">
        <v>567</v>
      </c>
      <c r="B93">
        <v>546</v>
      </c>
      <c r="C93" t="s">
        <v>2442</v>
      </c>
      <c r="E93" t="s">
        <v>2443</v>
      </c>
    </row>
    <row r="94" spans="1:5" x14ac:dyDescent="0.2">
      <c r="A94" t="s">
        <v>466</v>
      </c>
      <c r="B94">
        <v>503</v>
      </c>
      <c r="C94" t="s">
        <v>2433</v>
      </c>
      <c r="E94" t="s">
        <v>2434</v>
      </c>
    </row>
    <row r="95" spans="1:5" x14ac:dyDescent="0.2">
      <c r="A95" t="s">
        <v>592</v>
      </c>
      <c r="B95">
        <v>539</v>
      </c>
      <c r="C95" t="s">
        <v>2436</v>
      </c>
      <c r="E95" t="s">
        <v>2437</v>
      </c>
    </row>
    <row r="96" spans="1:5" x14ac:dyDescent="0.2">
      <c r="A96" t="s">
        <v>505</v>
      </c>
      <c r="B96">
        <v>530</v>
      </c>
      <c r="C96" t="s">
        <v>2511</v>
      </c>
      <c r="E96" t="s">
        <v>2512</v>
      </c>
    </row>
    <row r="97" spans="1:5" x14ac:dyDescent="0.2">
      <c r="A97" t="s">
        <v>466</v>
      </c>
      <c r="B97">
        <v>534</v>
      </c>
      <c r="C97" t="s">
        <v>2489</v>
      </c>
      <c r="E97" t="s">
        <v>2513</v>
      </c>
    </row>
    <row r="98" spans="1:5" x14ac:dyDescent="0.2">
      <c r="A98" t="s">
        <v>505</v>
      </c>
      <c r="B98">
        <v>793</v>
      </c>
      <c r="C98" t="s">
        <v>2482</v>
      </c>
      <c r="E98" t="s">
        <v>2483</v>
      </c>
    </row>
    <row r="99" spans="1:5" x14ac:dyDescent="0.2">
      <c r="A99" t="s">
        <v>592</v>
      </c>
      <c r="B99">
        <v>715</v>
      </c>
      <c r="C99" t="s">
        <v>2514</v>
      </c>
      <c r="D99" t="s">
        <v>2515</v>
      </c>
      <c r="E99" t="s">
        <v>2516</v>
      </c>
    </row>
    <row r="100" spans="1:5" x14ac:dyDescent="0.2">
      <c r="A100" t="s">
        <v>539</v>
      </c>
      <c r="B100">
        <v>538</v>
      </c>
      <c r="C100" t="s">
        <v>2517</v>
      </c>
      <c r="E100" t="s">
        <v>2518</v>
      </c>
    </row>
    <row r="101" spans="1:5" x14ac:dyDescent="0.2">
      <c r="A101" t="s">
        <v>2408</v>
      </c>
      <c r="B101">
        <v>707</v>
      </c>
      <c r="C101" t="s">
        <v>2519</v>
      </c>
      <c r="E101" t="s">
        <v>2520</v>
      </c>
    </row>
    <row r="102" spans="1:5" x14ac:dyDescent="0.2">
      <c r="A102" t="s">
        <v>2408</v>
      </c>
      <c r="B102">
        <v>751</v>
      </c>
      <c r="C102" t="s">
        <v>2521</v>
      </c>
      <c r="E102" t="s">
        <v>2522</v>
      </c>
    </row>
    <row r="103" spans="1:5" x14ac:dyDescent="0.2">
      <c r="A103" t="s">
        <v>466</v>
      </c>
      <c r="B103">
        <v>705</v>
      </c>
      <c r="C103" t="s">
        <v>2468</v>
      </c>
      <c r="E103" t="s">
        <v>2523</v>
      </c>
    </row>
    <row r="104" spans="1:5" x14ac:dyDescent="0.2">
      <c r="A104" t="s">
        <v>592</v>
      </c>
      <c r="B104">
        <v>707</v>
      </c>
      <c r="C104" t="s">
        <v>2519</v>
      </c>
      <c r="E104" t="s">
        <v>2524</v>
      </c>
    </row>
    <row r="105" spans="1:5" x14ac:dyDescent="0.2">
      <c r="A105" t="s">
        <v>592</v>
      </c>
      <c r="B105">
        <v>751</v>
      </c>
      <c r="C105" t="s">
        <v>2521</v>
      </c>
      <c r="E105" t="s">
        <v>2525</v>
      </c>
    </row>
    <row r="106" spans="1:5" x14ac:dyDescent="0.2">
      <c r="A106" t="s">
        <v>2408</v>
      </c>
      <c r="B106">
        <v>606</v>
      </c>
      <c r="C106" t="s">
        <v>2526</v>
      </c>
      <c r="E106" t="s">
        <v>2527</v>
      </c>
    </row>
    <row r="107" spans="1:5" x14ac:dyDescent="0.2">
      <c r="A107" t="s">
        <v>2383</v>
      </c>
      <c r="B107">
        <v>534</v>
      </c>
      <c r="C107" t="s">
        <v>2489</v>
      </c>
      <c r="E107" t="s">
        <v>2490</v>
      </c>
    </row>
    <row r="108" spans="1:5" x14ac:dyDescent="0.2">
      <c r="A108" t="s">
        <v>550</v>
      </c>
      <c r="B108">
        <v>546</v>
      </c>
      <c r="C108" t="s">
        <v>2504</v>
      </c>
      <c r="E108" t="s">
        <v>2505</v>
      </c>
    </row>
    <row r="109" spans="1:5" x14ac:dyDescent="0.2">
      <c r="A109" t="s">
        <v>2408</v>
      </c>
      <c r="B109">
        <v>637</v>
      </c>
      <c r="C109" t="s">
        <v>2498</v>
      </c>
      <c r="E109" t="s">
        <v>2499</v>
      </c>
    </row>
    <row r="110" spans="1:5" x14ac:dyDescent="0.2">
      <c r="A110" t="s">
        <v>2408</v>
      </c>
      <c r="B110">
        <v>637</v>
      </c>
      <c r="C110" t="s">
        <v>2498</v>
      </c>
      <c r="E110" t="s">
        <v>2499</v>
      </c>
    </row>
    <row r="111" spans="1:5" x14ac:dyDescent="0.2">
      <c r="A111" t="s">
        <v>413</v>
      </c>
      <c r="B111">
        <v>674</v>
      </c>
      <c r="C111" t="s">
        <v>2381</v>
      </c>
      <c r="E111" t="s">
        <v>2382</v>
      </c>
    </row>
    <row r="112" spans="1:5" x14ac:dyDescent="0.2">
      <c r="A112" t="s">
        <v>567</v>
      </c>
      <c r="B112">
        <v>566</v>
      </c>
      <c r="C112" t="s">
        <v>2528</v>
      </c>
      <c r="E112" t="s">
        <v>2529</v>
      </c>
    </row>
    <row r="113" spans="1:5" x14ac:dyDescent="0.2">
      <c r="A113" t="s">
        <v>2408</v>
      </c>
      <c r="B113">
        <v>543</v>
      </c>
      <c r="C113" t="s">
        <v>2494</v>
      </c>
      <c r="E113" t="s">
        <v>2495</v>
      </c>
    </row>
    <row r="114" spans="1:5" x14ac:dyDescent="0.2">
      <c r="A114" t="s">
        <v>567</v>
      </c>
      <c r="B114">
        <v>566</v>
      </c>
      <c r="C114" t="s">
        <v>2528</v>
      </c>
      <c r="E114" t="s">
        <v>2529</v>
      </c>
    </row>
    <row r="115" spans="1:5" x14ac:dyDescent="0.2">
      <c r="A115" t="s">
        <v>413</v>
      </c>
      <c r="B115">
        <v>674</v>
      </c>
      <c r="C115" t="s">
        <v>2381</v>
      </c>
      <c r="E115" t="s">
        <v>2382</v>
      </c>
    </row>
    <row r="116" spans="1:5" x14ac:dyDescent="0.2">
      <c r="A116" t="s">
        <v>2408</v>
      </c>
      <c r="B116">
        <v>760</v>
      </c>
      <c r="C116" t="s">
        <v>2530</v>
      </c>
      <c r="E116" t="s">
        <v>2531</v>
      </c>
    </row>
    <row r="117" spans="1:5" x14ac:dyDescent="0.2">
      <c r="A117" t="s">
        <v>550</v>
      </c>
      <c r="B117">
        <v>546</v>
      </c>
      <c r="C117" t="s">
        <v>2504</v>
      </c>
      <c r="E117" t="s">
        <v>2505</v>
      </c>
    </row>
    <row r="118" spans="1:5" x14ac:dyDescent="0.2">
      <c r="A118" t="s">
        <v>2408</v>
      </c>
      <c r="B118">
        <v>713</v>
      </c>
      <c r="C118" t="s">
        <v>2532</v>
      </c>
      <c r="E118" t="s">
        <v>2533</v>
      </c>
    </row>
    <row r="119" spans="1:5" x14ac:dyDescent="0.2">
      <c r="A119" t="s">
        <v>539</v>
      </c>
      <c r="B119">
        <v>567</v>
      </c>
      <c r="C119" t="s">
        <v>2417</v>
      </c>
      <c r="E119" t="s">
        <v>2418</v>
      </c>
    </row>
    <row r="120" spans="1:5" x14ac:dyDescent="0.2">
      <c r="A120" t="s">
        <v>2408</v>
      </c>
      <c r="B120">
        <v>525</v>
      </c>
      <c r="C120" t="s">
        <v>2534</v>
      </c>
      <c r="E120" t="s">
        <v>2535</v>
      </c>
    </row>
    <row r="121" spans="1:5" x14ac:dyDescent="0.2">
      <c r="A121" t="s">
        <v>567</v>
      </c>
      <c r="B121">
        <v>556</v>
      </c>
      <c r="C121" t="s">
        <v>2536</v>
      </c>
      <c r="E121" t="s">
        <v>2537</v>
      </c>
    </row>
    <row r="122" spans="1:5" x14ac:dyDescent="0.2">
      <c r="A122" t="s">
        <v>413</v>
      </c>
      <c r="B122">
        <v>505</v>
      </c>
      <c r="C122" t="s">
        <v>2440</v>
      </c>
      <c r="E122" t="s">
        <v>2441</v>
      </c>
    </row>
    <row r="123" spans="1:5" x14ac:dyDescent="0.2">
      <c r="A123" t="s">
        <v>413</v>
      </c>
      <c r="B123">
        <v>659</v>
      </c>
      <c r="C123" t="s">
        <v>2538</v>
      </c>
      <c r="E123" t="s">
        <v>2539</v>
      </c>
    </row>
    <row r="124" spans="1:5" x14ac:dyDescent="0.2">
      <c r="A124" t="s">
        <v>2408</v>
      </c>
      <c r="B124">
        <v>539</v>
      </c>
      <c r="C124" t="s">
        <v>2420</v>
      </c>
      <c r="E124" t="s">
        <v>2421</v>
      </c>
    </row>
    <row r="125" spans="1:5" x14ac:dyDescent="0.2">
      <c r="A125" t="s">
        <v>2408</v>
      </c>
      <c r="B125">
        <v>780</v>
      </c>
      <c r="C125" t="s">
        <v>2540</v>
      </c>
      <c r="E125" t="s">
        <v>2541</v>
      </c>
    </row>
    <row r="126" spans="1:5" x14ac:dyDescent="0.2">
      <c r="A126" t="s">
        <v>539</v>
      </c>
      <c r="B126">
        <v>535</v>
      </c>
      <c r="C126" t="s">
        <v>2506</v>
      </c>
      <c r="E126" t="s">
        <v>2507</v>
      </c>
    </row>
    <row r="127" spans="1:5" x14ac:dyDescent="0.2">
      <c r="A127" t="s">
        <v>2408</v>
      </c>
      <c r="B127">
        <v>623</v>
      </c>
      <c r="C127" t="s">
        <v>2542</v>
      </c>
      <c r="E127" t="s">
        <v>2543</v>
      </c>
    </row>
    <row r="128" spans="1:5" x14ac:dyDescent="0.2">
      <c r="A128" t="s">
        <v>567</v>
      </c>
      <c r="B128">
        <v>520</v>
      </c>
      <c r="C128" t="s">
        <v>2500</v>
      </c>
      <c r="E128" t="s">
        <v>2501</v>
      </c>
    </row>
    <row r="129" spans="1:5" x14ac:dyDescent="0.2">
      <c r="A129" t="s">
        <v>650</v>
      </c>
      <c r="B129">
        <v>640</v>
      </c>
      <c r="C129" t="s">
        <v>2509</v>
      </c>
      <c r="E129" t="s">
        <v>2510</v>
      </c>
    </row>
    <row r="130" spans="1:5" x14ac:dyDescent="0.2">
      <c r="A130" t="s">
        <v>2383</v>
      </c>
      <c r="B130">
        <v>503</v>
      </c>
      <c r="C130" t="s">
        <v>2433</v>
      </c>
      <c r="E130" t="s">
        <v>2491</v>
      </c>
    </row>
    <row r="131" spans="1:5" x14ac:dyDescent="0.2">
      <c r="A131" t="s">
        <v>2408</v>
      </c>
      <c r="B131">
        <v>779</v>
      </c>
      <c r="C131" t="s">
        <v>2484</v>
      </c>
      <c r="E131" t="s">
        <v>2485</v>
      </c>
    </row>
    <row r="132" spans="1:5" x14ac:dyDescent="0.2">
      <c r="A132" t="s">
        <v>2408</v>
      </c>
      <c r="B132">
        <v>517</v>
      </c>
      <c r="C132" t="s">
        <v>2544</v>
      </c>
      <c r="E132" t="s">
        <v>2545</v>
      </c>
    </row>
    <row r="133" spans="1:5" x14ac:dyDescent="0.2">
      <c r="A133" t="s">
        <v>505</v>
      </c>
      <c r="B133">
        <v>530</v>
      </c>
      <c r="C133" t="s">
        <v>2511</v>
      </c>
      <c r="E133" t="s">
        <v>2512</v>
      </c>
    </row>
    <row r="134" spans="1:5" x14ac:dyDescent="0.2">
      <c r="A134" t="s">
        <v>2408</v>
      </c>
      <c r="B134">
        <v>543</v>
      </c>
      <c r="C134" t="s">
        <v>2494</v>
      </c>
      <c r="E134" t="s">
        <v>2495</v>
      </c>
    </row>
    <row r="135" spans="1:5" x14ac:dyDescent="0.2">
      <c r="A135" t="s">
        <v>466</v>
      </c>
      <c r="B135">
        <v>503</v>
      </c>
      <c r="C135" t="s">
        <v>2433</v>
      </c>
      <c r="E135" t="s">
        <v>2434</v>
      </c>
    </row>
    <row r="136" spans="1:5" x14ac:dyDescent="0.2">
      <c r="A136" t="s">
        <v>539</v>
      </c>
      <c r="B136">
        <v>535</v>
      </c>
      <c r="C136" t="s">
        <v>2506</v>
      </c>
      <c r="E136" t="s">
        <v>2507</v>
      </c>
    </row>
    <row r="137" spans="1:5" x14ac:dyDescent="0.2">
      <c r="A137" t="s">
        <v>567</v>
      </c>
      <c r="B137">
        <v>566</v>
      </c>
      <c r="C137" t="s">
        <v>2528</v>
      </c>
      <c r="E137" t="s">
        <v>2529</v>
      </c>
    </row>
    <row r="138" spans="1:5" x14ac:dyDescent="0.2">
      <c r="A138" t="s">
        <v>466</v>
      </c>
      <c r="B138">
        <v>610</v>
      </c>
      <c r="C138" t="s">
        <v>2546</v>
      </c>
      <c r="E138" t="s">
        <v>2547</v>
      </c>
    </row>
    <row r="139" spans="1:5" x14ac:dyDescent="0.2">
      <c r="A139" t="s">
        <v>592</v>
      </c>
      <c r="B139">
        <v>538</v>
      </c>
      <c r="C139" t="s">
        <v>2548</v>
      </c>
      <c r="E139" t="s">
        <v>2549</v>
      </c>
    </row>
    <row r="140" spans="1:5" x14ac:dyDescent="0.2">
      <c r="A140" t="s">
        <v>592</v>
      </c>
      <c r="B140">
        <v>525</v>
      </c>
      <c r="C140" t="s">
        <v>2534</v>
      </c>
      <c r="E140" t="s">
        <v>2550</v>
      </c>
    </row>
    <row r="141" spans="1:5" x14ac:dyDescent="0.2">
      <c r="A141" t="s">
        <v>550</v>
      </c>
      <c r="B141">
        <v>505</v>
      </c>
      <c r="C141" t="s">
        <v>2551</v>
      </c>
      <c r="E141" t="s">
        <v>2552</v>
      </c>
    </row>
    <row r="142" spans="1:5" x14ac:dyDescent="0.2">
      <c r="A142" t="s">
        <v>592</v>
      </c>
      <c r="B142">
        <v>753</v>
      </c>
      <c r="C142" t="s">
        <v>2553</v>
      </c>
      <c r="E142" t="s">
        <v>2554</v>
      </c>
    </row>
    <row r="143" spans="1:5" x14ac:dyDescent="0.2">
      <c r="A143" t="s">
        <v>592</v>
      </c>
      <c r="B143">
        <v>539</v>
      </c>
      <c r="C143" t="s">
        <v>2436</v>
      </c>
      <c r="E143" t="s">
        <v>2437</v>
      </c>
    </row>
    <row r="144" spans="1:5" x14ac:dyDescent="0.2">
      <c r="A144" t="s">
        <v>413</v>
      </c>
      <c r="B144">
        <v>674</v>
      </c>
      <c r="C144" t="s">
        <v>2381</v>
      </c>
      <c r="E144" t="s">
        <v>2382</v>
      </c>
    </row>
    <row r="145" spans="1:5" x14ac:dyDescent="0.2">
      <c r="A145" t="s">
        <v>592</v>
      </c>
      <c r="B145">
        <v>517</v>
      </c>
      <c r="C145" t="s">
        <v>2544</v>
      </c>
      <c r="E145" t="s">
        <v>2555</v>
      </c>
    </row>
    <row r="146" spans="1:5" x14ac:dyDescent="0.2">
      <c r="A146" t="s">
        <v>382</v>
      </c>
      <c r="B146">
        <v>510</v>
      </c>
      <c r="C146" t="s">
        <v>2556</v>
      </c>
      <c r="E146" t="s">
        <v>2557</v>
      </c>
    </row>
    <row r="147" spans="1:5" x14ac:dyDescent="0.2">
      <c r="A147" t="s">
        <v>413</v>
      </c>
      <c r="B147">
        <v>674</v>
      </c>
      <c r="C147" t="s">
        <v>2381</v>
      </c>
      <c r="E147" t="s">
        <v>2382</v>
      </c>
    </row>
    <row r="148" spans="1:5" x14ac:dyDescent="0.2">
      <c r="A148" t="s">
        <v>592</v>
      </c>
      <c r="B148">
        <v>712</v>
      </c>
      <c r="C148" t="s">
        <v>2558</v>
      </c>
      <c r="E148" t="s">
        <v>2559</v>
      </c>
    </row>
    <row r="149" spans="1:5" x14ac:dyDescent="0.2">
      <c r="A149" t="s">
        <v>592</v>
      </c>
      <c r="B149">
        <v>747</v>
      </c>
      <c r="C149" t="s">
        <v>2560</v>
      </c>
      <c r="E149" t="s">
        <v>2561</v>
      </c>
    </row>
    <row r="150" spans="1:5" x14ac:dyDescent="0.2">
      <c r="A150" t="s">
        <v>567</v>
      </c>
      <c r="B150">
        <v>556</v>
      </c>
      <c r="C150" t="s">
        <v>2562</v>
      </c>
      <c r="E150" t="s">
        <v>2537</v>
      </c>
    </row>
    <row r="151" spans="1:5" x14ac:dyDescent="0.2">
      <c r="A151" t="s">
        <v>592</v>
      </c>
      <c r="B151">
        <v>543</v>
      </c>
      <c r="C151" t="s">
        <v>2494</v>
      </c>
      <c r="E151" t="s">
        <v>2503</v>
      </c>
    </row>
    <row r="152" spans="1:5" x14ac:dyDescent="0.2">
      <c r="A152" t="s">
        <v>592</v>
      </c>
      <c r="B152">
        <v>637</v>
      </c>
      <c r="C152" t="s">
        <v>2498</v>
      </c>
      <c r="E152" t="s">
        <v>2508</v>
      </c>
    </row>
    <row r="153" spans="1:5" x14ac:dyDescent="0.2">
      <c r="A153" t="s">
        <v>539</v>
      </c>
      <c r="B153">
        <v>567</v>
      </c>
      <c r="C153" t="s">
        <v>2417</v>
      </c>
      <c r="D153" t="s">
        <v>2563</v>
      </c>
      <c r="E153" t="s">
        <v>2418</v>
      </c>
    </row>
    <row r="154" spans="1:5" x14ac:dyDescent="0.2">
      <c r="A154" t="s">
        <v>2408</v>
      </c>
      <c r="B154">
        <v>516</v>
      </c>
      <c r="C154" t="s">
        <v>2461</v>
      </c>
      <c r="E154" t="s">
        <v>2462</v>
      </c>
    </row>
    <row r="155" spans="1:5" x14ac:dyDescent="0.2">
      <c r="A155" t="s">
        <v>505</v>
      </c>
      <c r="B155">
        <v>680</v>
      </c>
      <c r="C155" t="s">
        <v>2564</v>
      </c>
      <c r="E155" t="s">
        <v>2565</v>
      </c>
    </row>
    <row r="156" spans="1:5" x14ac:dyDescent="0.2">
      <c r="A156" t="s">
        <v>413</v>
      </c>
      <c r="B156">
        <v>574</v>
      </c>
      <c r="C156" t="s">
        <v>2566</v>
      </c>
      <c r="E156" t="s">
        <v>2567</v>
      </c>
    </row>
    <row r="157" spans="1:5" x14ac:dyDescent="0.2">
      <c r="A157" t="s">
        <v>413</v>
      </c>
      <c r="B157">
        <v>624</v>
      </c>
      <c r="C157" t="s">
        <v>2568</v>
      </c>
      <c r="E157" t="s">
        <v>2569</v>
      </c>
    </row>
    <row r="158" spans="1:5" x14ac:dyDescent="0.2">
      <c r="A158" t="s">
        <v>2408</v>
      </c>
      <c r="B158">
        <v>517</v>
      </c>
      <c r="C158" t="s">
        <v>2544</v>
      </c>
      <c r="D158" t="s">
        <v>2570</v>
      </c>
      <c r="E158" t="s">
        <v>2545</v>
      </c>
    </row>
    <row r="159" spans="1:5" x14ac:dyDescent="0.2">
      <c r="A159" t="s">
        <v>2408</v>
      </c>
      <c r="B159">
        <v>546</v>
      </c>
      <c r="C159" t="s">
        <v>2571</v>
      </c>
      <c r="E159" t="s">
        <v>2572</v>
      </c>
    </row>
    <row r="160" spans="1:5" x14ac:dyDescent="0.2">
      <c r="A160" t="s">
        <v>505</v>
      </c>
      <c r="B160">
        <v>520</v>
      </c>
      <c r="C160" t="s">
        <v>2573</v>
      </c>
      <c r="E160" t="s">
        <v>2574</v>
      </c>
    </row>
    <row r="161" spans="1:5" x14ac:dyDescent="0.2">
      <c r="A161" t="s">
        <v>567</v>
      </c>
      <c r="B161">
        <v>556</v>
      </c>
      <c r="C161" t="s">
        <v>2562</v>
      </c>
      <c r="E161" t="s">
        <v>2537</v>
      </c>
    </row>
    <row r="162" spans="1:5" x14ac:dyDescent="0.2">
      <c r="A162" t="s">
        <v>567</v>
      </c>
      <c r="B162">
        <v>546</v>
      </c>
      <c r="C162" t="s">
        <v>2442</v>
      </c>
      <c r="E162" t="s">
        <v>2443</v>
      </c>
    </row>
    <row r="163" spans="1:5" x14ac:dyDescent="0.2">
      <c r="A163" t="s">
        <v>413</v>
      </c>
      <c r="B163">
        <v>696</v>
      </c>
      <c r="C163" t="s">
        <v>2575</v>
      </c>
      <c r="D163" t="s">
        <v>2576</v>
      </c>
      <c r="E163" t="s">
        <v>2577</v>
      </c>
    </row>
    <row r="164" spans="1:5" x14ac:dyDescent="0.2">
      <c r="A164" t="s">
        <v>650</v>
      </c>
      <c r="B164">
        <v>616</v>
      </c>
      <c r="C164" t="s">
        <v>2578</v>
      </c>
      <c r="E164" t="s">
        <v>2579</v>
      </c>
    </row>
    <row r="165" spans="1:5" x14ac:dyDescent="0.2">
      <c r="A165" t="s">
        <v>539</v>
      </c>
      <c r="B165">
        <v>539</v>
      </c>
      <c r="C165" t="s">
        <v>2580</v>
      </c>
      <c r="E165" t="s">
        <v>2581</v>
      </c>
    </row>
    <row r="166" spans="1:5" x14ac:dyDescent="0.2">
      <c r="A166" t="s">
        <v>550</v>
      </c>
      <c r="B166">
        <v>695</v>
      </c>
      <c r="C166" t="s">
        <v>2582</v>
      </c>
      <c r="D166" t="s">
        <v>2583</v>
      </c>
      <c r="E166" t="s">
        <v>2584</v>
      </c>
    </row>
    <row r="167" spans="1:5" x14ac:dyDescent="0.2">
      <c r="A167" t="s">
        <v>650</v>
      </c>
      <c r="B167">
        <v>540</v>
      </c>
      <c r="C167" t="s">
        <v>2509</v>
      </c>
      <c r="E167" t="s">
        <v>2585</v>
      </c>
    </row>
    <row r="168" spans="1:5" x14ac:dyDescent="0.2">
      <c r="A168" t="s">
        <v>505</v>
      </c>
      <c r="B168">
        <v>688</v>
      </c>
      <c r="C168" t="s">
        <v>2586</v>
      </c>
      <c r="E168" t="s">
        <v>2587</v>
      </c>
    </row>
    <row r="169" spans="1:5" x14ac:dyDescent="0.2">
      <c r="A169" t="s">
        <v>2408</v>
      </c>
      <c r="B169">
        <v>526</v>
      </c>
      <c r="C169" t="s">
        <v>2588</v>
      </c>
      <c r="E169" t="s">
        <v>2589</v>
      </c>
    </row>
    <row r="170" spans="1:5" x14ac:dyDescent="0.2">
      <c r="A170" t="s">
        <v>2408</v>
      </c>
      <c r="B170">
        <v>787</v>
      </c>
      <c r="C170" t="s">
        <v>2590</v>
      </c>
      <c r="E170" t="s">
        <v>2591</v>
      </c>
    </row>
    <row r="171" spans="1:5" x14ac:dyDescent="0.2">
      <c r="A171" t="s">
        <v>2408</v>
      </c>
      <c r="B171">
        <v>714</v>
      </c>
      <c r="C171" t="s">
        <v>2592</v>
      </c>
      <c r="E171" t="s">
        <v>2593</v>
      </c>
    </row>
    <row r="172" spans="1:5" x14ac:dyDescent="0.2">
      <c r="A172" t="s">
        <v>2383</v>
      </c>
      <c r="B172">
        <v>705</v>
      </c>
      <c r="C172" t="s">
        <v>2468</v>
      </c>
      <c r="E172" t="s">
        <v>2469</v>
      </c>
    </row>
    <row r="173" spans="1:5" x14ac:dyDescent="0.2">
      <c r="A173" t="s">
        <v>505</v>
      </c>
      <c r="B173">
        <v>790</v>
      </c>
      <c r="C173" t="s">
        <v>2470</v>
      </c>
      <c r="E173" t="s">
        <v>2471</v>
      </c>
    </row>
    <row r="174" spans="1:5" x14ac:dyDescent="0.2">
      <c r="A174" t="s">
        <v>592</v>
      </c>
      <c r="B174">
        <v>773</v>
      </c>
      <c r="C174" t="s">
        <v>2594</v>
      </c>
      <c r="E174" t="s">
        <v>2595</v>
      </c>
    </row>
    <row r="175" spans="1:5" x14ac:dyDescent="0.2">
      <c r="A175" t="s">
        <v>592</v>
      </c>
      <c r="B175">
        <v>760</v>
      </c>
      <c r="C175" t="s">
        <v>2530</v>
      </c>
      <c r="E175" t="s">
        <v>2596</v>
      </c>
    </row>
    <row r="176" spans="1:5" x14ac:dyDescent="0.2">
      <c r="A176" t="s">
        <v>592</v>
      </c>
      <c r="B176">
        <v>786</v>
      </c>
      <c r="C176" t="s">
        <v>2597</v>
      </c>
      <c r="E176" t="s">
        <v>2598</v>
      </c>
    </row>
    <row r="177" spans="1:5" x14ac:dyDescent="0.2">
      <c r="A177" t="s">
        <v>592</v>
      </c>
      <c r="B177">
        <v>780</v>
      </c>
      <c r="C177" t="s">
        <v>2540</v>
      </c>
      <c r="E177" t="s">
        <v>2599</v>
      </c>
    </row>
    <row r="178" spans="1:5" x14ac:dyDescent="0.2">
      <c r="A178" t="s">
        <v>567</v>
      </c>
      <c r="B178">
        <v>552</v>
      </c>
      <c r="C178" t="s">
        <v>2424</v>
      </c>
      <c r="E178" t="s">
        <v>2425</v>
      </c>
    </row>
    <row r="179" spans="1:5" x14ac:dyDescent="0.2">
      <c r="A179" t="s">
        <v>466</v>
      </c>
      <c r="B179">
        <v>651</v>
      </c>
      <c r="C179" t="s">
        <v>2600</v>
      </c>
      <c r="E179" t="s">
        <v>2601</v>
      </c>
    </row>
    <row r="180" spans="1:5" x14ac:dyDescent="0.2">
      <c r="A180" t="s">
        <v>592</v>
      </c>
      <c r="B180">
        <v>788</v>
      </c>
      <c r="C180" t="s">
        <v>2602</v>
      </c>
      <c r="E180" t="s">
        <v>2603</v>
      </c>
    </row>
    <row r="181" spans="1:5" x14ac:dyDescent="0.2">
      <c r="A181" t="s">
        <v>592</v>
      </c>
      <c r="B181">
        <v>777</v>
      </c>
      <c r="C181" t="s">
        <v>2604</v>
      </c>
      <c r="E181" t="s">
        <v>2605</v>
      </c>
    </row>
    <row r="182" spans="1:5" x14ac:dyDescent="0.2">
      <c r="A182" t="s">
        <v>592</v>
      </c>
      <c r="B182">
        <v>523</v>
      </c>
      <c r="C182" t="s">
        <v>2406</v>
      </c>
      <c r="E182" t="s">
        <v>2407</v>
      </c>
    </row>
    <row r="183" spans="1:5" x14ac:dyDescent="0.2">
      <c r="A183" t="s">
        <v>567</v>
      </c>
      <c r="B183">
        <v>551</v>
      </c>
      <c r="C183" t="s">
        <v>2422</v>
      </c>
      <c r="E183" t="s">
        <v>2423</v>
      </c>
    </row>
    <row r="184" spans="1:5" x14ac:dyDescent="0.2">
      <c r="A184" t="s">
        <v>539</v>
      </c>
      <c r="B184">
        <v>551</v>
      </c>
      <c r="C184" t="s">
        <v>2606</v>
      </c>
      <c r="E184" t="s">
        <v>2607</v>
      </c>
    </row>
    <row r="185" spans="1:5" x14ac:dyDescent="0.2">
      <c r="A185" t="s">
        <v>550</v>
      </c>
      <c r="B185">
        <v>645</v>
      </c>
      <c r="C185" t="s">
        <v>2608</v>
      </c>
      <c r="E185" t="s">
        <v>2609</v>
      </c>
    </row>
    <row r="186" spans="1:5" x14ac:dyDescent="0.2">
      <c r="A186" t="s">
        <v>650</v>
      </c>
      <c r="B186">
        <v>611</v>
      </c>
      <c r="C186" t="s">
        <v>2610</v>
      </c>
      <c r="E186" t="s">
        <v>2611</v>
      </c>
    </row>
    <row r="187" spans="1:5" x14ac:dyDescent="0.2">
      <c r="A187" t="s">
        <v>539</v>
      </c>
      <c r="B187">
        <v>552</v>
      </c>
      <c r="C187" t="s">
        <v>2612</v>
      </c>
      <c r="E187" t="s">
        <v>2613</v>
      </c>
    </row>
    <row r="188" spans="1:5" x14ac:dyDescent="0.2">
      <c r="A188" t="s">
        <v>413</v>
      </c>
      <c r="B188">
        <v>624</v>
      </c>
      <c r="C188" t="s">
        <v>2568</v>
      </c>
      <c r="E188" t="s">
        <v>2569</v>
      </c>
    </row>
    <row r="189" spans="1:5" x14ac:dyDescent="0.2">
      <c r="A189" t="s">
        <v>567</v>
      </c>
      <c r="B189">
        <v>619</v>
      </c>
      <c r="C189" t="s">
        <v>2614</v>
      </c>
      <c r="E189" t="s">
        <v>2615</v>
      </c>
    </row>
    <row r="190" spans="1:5" x14ac:dyDescent="0.2">
      <c r="A190" t="s">
        <v>2383</v>
      </c>
      <c r="B190">
        <v>534</v>
      </c>
      <c r="C190" t="s">
        <v>2489</v>
      </c>
      <c r="E190" t="s">
        <v>2490</v>
      </c>
    </row>
    <row r="191" spans="1:5" x14ac:dyDescent="0.2">
      <c r="A191" t="s">
        <v>2408</v>
      </c>
      <c r="B191">
        <v>637</v>
      </c>
      <c r="C191" t="s">
        <v>2498</v>
      </c>
      <c r="E191" t="s">
        <v>2499</v>
      </c>
    </row>
    <row r="192" spans="1:5" x14ac:dyDescent="0.2">
      <c r="A192" t="s">
        <v>2383</v>
      </c>
      <c r="B192">
        <v>655</v>
      </c>
      <c r="C192" t="s">
        <v>2616</v>
      </c>
      <c r="E192" t="s">
        <v>2617</v>
      </c>
    </row>
    <row r="193" spans="1:5" x14ac:dyDescent="0.2">
      <c r="A193" t="s">
        <v>2383</v>
      </c>
      <c r="B193">
        <v>610</v>
      </c>
      <c r="C193" t="s">
        <v>2546</v>
      </c>
      <c r="E193" t="s">
        <v>2618</v>
      </c>
    </row>
    <row r="194" spans="1:5" x14ac:dyDescent="0.2">
      <c r="A194" t="s">
        <v>2383</v>
      </c>
      <c r="B194">
        <v>534</v>
      </c>
      <c r="C194" t="s">
        <v>2489</v>
      </c>
      <c r="E194" t="s">
        <v>2490</v>
      </c>
    </row>
    <row r="195" spans="1:5" x14ac:dyDescent="0.2">
      <c r="A195" t="s">
        <v>2408</v>
      </c>
      <c r="B195">
        <v>637</v>
      </c>
      <c r="C195" t="s">
        <v>2498</v>
      </c>
      <c r="E195" t="s">
        <v>2499</v>
      </c>
    </row>
    <row r="196" spans="1:5" x14ac:dyDescent="0.2">
      <c r="A196" t="s">
        <v>2383</v>
      </c>
      <c r="B196">
        <v>503</v>
      </c>
      <c r="C196" t="s">
        <v>2433</v>
      </c>
      <c r="E196" t="s">
        <v>2491</v>
      </c>
    </row>
    <row r="197" spans="1:5" x14ac:dyDescent="0.2">
      <c r="A197" t="s">
        <v>2383</v>
      </c>
      <c r="B197">
        <v>651</v>
      </c>
      <c r="C197" t="s">
        <v>2600</v>
      </c>
      <c r="E197" t="s">
        <v>2619</v>
      </c>
    </row>
    <row r="198" spans="1:5" x14ac:dyDescent="0.2">
      <c r="A198" t="s">
        <v>539</v>
      </c>
      <c r="B198">
        <v>537</v>
      </c>
      <c r="C198" t="s">
        <v>2496</v>
      </c>
      <c r="E198" t="s">
        <v>2497</v>
      </c>
    </row>
    <row r="199" spans="1:5" x14ac:dyDescent="0.2">
      <c r="A199" t="s">
        <v>2408</v>
      </c>
      <c r="B199">
        <v>543</v>
      </c>
      <c r="C199" t="s">
        <v>2494</v>
      </c>
      <c r="E199" t="s">
        <v>2495</v>
      </c>
    </row>
    <row r="200" spans="1:5" x14ac:dyDescent="0.2">
      <c r="A200" t="s">
        <v>650</v>
      </c>
      <c r="B200">
        <v>695</v>
      </c>
      <c r="C200" t="s">
        <v>2386</v>
      </c>
      <c r="D200" t="s">
        <v>2487</v>
      </c>
      <c r="E200" t="s">
        <v>2488</v>
      </c>
    </row>
    <row r="201" spans="1:5" x14ac:dyDescent="0.2">
      <c r="A201" t="s">
        <v>650</v>
      </c>
      <c r="B201">
        <v>656</v>
      </c>
      <c r="C201" t="s">
        <v>2620</v>
      </c>
      <c r="E201" t="s">
        <v>2621</v>
      </c>
    </row>
    <row r="202" spans="1:5" x14ac:dyDescent="0.2">
      <c r="A202" t="s">
        <v>2408</v>
      </c>
      <c r="B202">
        <v>517</v>
      </c>
      <c r="C202" t="s">
        <v>2544</v>
      </c>
      <c r="E202" t="s">
        <v>2545</v>
      </c>
    </row>
    <row r="203" spans="1:5" x14ac:dyDescent="0.2">
      <c r="A203" t="s">
        <v>550</v>
      </c>
      <c r="B203">
        <v>546</v>
      </c>
      <c r="C203" t="s">
        <v>2504</v>
      </c>
      <c r="E203" t="s">
        <v>2505</v>
      </c>
    </row>
    <row r="204" spans="1:5" x14ac:dyDescent="0.2">
      <c r="A204" t="s">
        <v>539</v>
      </c>
      <c r="B204">
        <v>567</v>
      </c>
      <c r="C204" t="s">
        <v>2417</v>
      </c>
      <c r="E204" t="s">
        <v>2418</v>
      </c>
    </row>
    <row r="205" spans="1:5" x14ac:dyDescent="0.2">
      <c r="A205" t="s">
        <v>413</v>
      </c>
      <c r="B205">
        <v>505</v>
      </c>
      <c r="C205" t="s">
        <v>2440</v>
      </c>
      <c r="E205" t="s">
        <v>2441</v>
      </c>
    </row>
    <row r="206" spans="1:5" x14ac:dyDescent="0.2">
      <c r="A206" t="s">
        <v>567</v>
      </c>
      <c r="B206">
        <v>546</v>
      </c>
      <c r="C206" t="s">
        <v>2442</v>
      </c>
      <c r="E206" t="s">
        <v>2443</v>
      </c>
    </row>
    <row r="207" spans="1:5" x14ac:dyDescent="0.2">
      <c r="A207" t="s">
        <v>413</v>
      </c>
      <c r="B207">
        <v>567</v>
      </c>
      <c r="C207" t="s">
        <v>2622</v>
      </c>
      <c r="E207" t="s">
        <v>2623</v>
      </c>
    </row>
    <row r="208" spans="1:5" x14ac:dyDescent="0.2">
      <c r="A208" t="s">
        <v>2408</v>
      </c>
      <c r="B208">
        <v>539</v>
      </c>
      <c r="C208" t="s">
        <v>2420</v>
      </c>
      <c r="D208" t="s">
        <v>2436</v>
      </c>
      <c r="E208" t="s">
        <v>2421</v>
      </c>
    </row>
    <row r="209" spans="1:5" x14ac:dyDescent="0.2">
      <c r="A209" t="s">
        <v>539</v>
      </c>
      <c r="B209">
        <v>535</v>
      </c>
      <c r="C209" t="s">
        <v>2506</v>
      </c>
      <c r="E209" t="s">
        <v>2507</v>
      </c>
    </row>
    <row r="210" spans="1:5" x14ac:dyDescent="0.2">
      <c r="A210" t="s">
        <v>413</v>
      </c>
      <c r="B210">
        <v>674</v>
      </c>
      <c r="C210" t="s">
        <v>2381</v>
      </c>
      <c r="E210" t="s">
        <v>2382</v>
      </c>
    </row>
    <row r="211" spans="1:5" x14ac:dyDescent="0.2">
      <c r="A211" t="s">
        <v>413</v>
      </c>
      <c r="B211">
        <v>674</v>
      </c>
      <c r="C211" t="s">
        <v>2381</v>
      </c>
      <c r="E211" t="s">
        <v>2382</v>
      </c>
    </row>
    <row r="212" spans="1:5" x14ac:dyDescent="0.2">
      <c r="A212" t="s">
        <v>382</v>
      </c>
      <c r="B212">
        <v>510</v>
      </c>
      <c r="C212" t="s">
        <v>2556</v>
      </c>
      <c r="E212" t="s">
        <v>2557</v>
      </c>
    </row>
    <row r="213" spans="1:5" x14ac:dyDescent="0.2">
      <c r="A213" t="s">
        <v>567</v>
      </c>
      <c r="B213">
        <v>556</v>
      </c>
      <c r="C213" t="s">
        <v>2562</v>
      </c>
      <c r="E213" t="s">
        <v>2537</v>
      </c>
    </row>
    <row r="214" spans="1:5" x14ac:dyDescent="0.2">
      <c r="A214" t="s">
        <v>505</v>
      </c>
      <c r="B214">
        <v>620</v>
      </c>
      <c r="C214" t="s">
        <v>2624</v>
      </c>
      <c r="E214" t="s">
        <v>2625</v>
      </c>
    </row>
    <row r="215" spans="1:5" x14ac:dyDescent="0.2">
      <c r="A215" t="s">
        <v>592</v>
      </c>
      <c r="B215">
        <v>543</v>
      </c>
      <c r="C215" t="s">
        <v>2494</v>
      </c>
      <c r="E215" t="s">
        <v>2503</v>
      </c>
    </row>
    <row r="216" spans="1:5" x14ac:dyDescent="0.2">
      <c r="A216" t="s">
        <v>505</v>
      </c>
      <c r="B216">
        <v>530</v>
      </c>
      <c r="C216" t="s">
        <v>2511</v>
      </c>
      <c r="E216" t="s">
        <v>2512</v>
      </c>
    </row>
    <row r="217" spans="1:5" x14ac:dyDescent="0.2">
      <c r="A217" t="s">
        <v>466</v>
      </c>
      <c r="B217">
        <v>541</v>
      </c>
      <c r="C217" t="s">
        <v>2404</v>
      </c>
      <c r="E217" t="s">
        <v>2405</v>
      </c>
    </row>
    <row r="218" spans="1:5" x14ac:dyDescent="0.2">
      <c r="A218" t="s">
        <v>539</v>
      </c>
      <c r="B218">
        <v>567</v>
      </c>
      <c r="C218" t="s">
        <v>2417</v>
      </c>
      <c r="D218" t="s">
        <v>2626</v>
      </c>
      <c r="E218" t="s">
        <v>2418</v>
      </c>
    </row>
    <row r="219" spans="1:5" x14ac:dyDescent="0.2">
      <c r="A219" t="s">
        <v>592</v>
      </c>
      <c r="B219">
        <v>517</v>
      </c>
      <c r="C219" t="s">
        <v>2544</v>
      </c>
      <c r="E219" t="s">
        <v>2555</v>
      </c>
    </row>
    <row r="220" spans="1:5" x14ac:dyDescent="0.2">
      <c r="A220" t="s">
        <v>592</v>
      </c>
      <c r="B220">
        <v>637</v>
      </c>
      <c r="C220" t="s">
        <v>2498</v>
      </c>
      <c r="E220" t="s">
        <v>2508</v>
      </c>
    </row>
    <row r="221" spans="1:5" x14ac:dyDescent="0.2">
      <c r="A221" t="s">
        <v>466</v>
      </c>
      <c r="B221">
        <v>503</v>
      </c>
      <c r="C221" t="s">
        <v>2433</v>
      </c>
      <c r="E221" t="s">
        <v>2434</v>
      </c>
    </row>
    <row r="222" spans="1:5" x14ac:dyDescent="0.2">
      <c r="A222" t="s">
        <v>592</v>
      </c>
      <c r="B222">
        <v>538</v>
      </c>
      <c r="C222" t="s">
        <v>2548</v>
      </c>
      <c r="E222" t="s">
        <v>2549</v>
      </c>
    </row>
    <row r="223" spans="1:5" x14ac:dyDescent="0.2">
      <c r="A223" t="s">
        <v>466</v>
      </c>
      <c r="B223">
        <v>534</v>
      </c>
      <c r="C223" t="s">
        <v>2489</v>
      </c>
      <c r="E223" t="s">
        <v>2513</v>
      </c>
    </row>
    <row r="224" spans="1:5" x14ac:dyDescent="0.2">
      <c r="A224" t="s">
        <v>592</v>
      </c>
      <c r="B224">
        <v>606</v>
      </c>
      <c r="C224" t="s">
        <v>2526</v>
      </c>
      <c r="E224" t="s">
        <v>2627</v>
      </c>
    </row>
    <row r="225" spans="1:5" x14ac:dyDescent="0.2">
      <c r="A225" t="s">
        <v>567</v>
      </c>
      <c r="B225">
        <v>520</v>
      </c>
      <c r="C225" t="s">
        <v>2500</v>
      </c>
      <c r="E225" t="s">
        <v>2501</v>
      </c>
    </row>
    <row r="226" spans="1:5" x14ac:dyDescent="0.2">
      <c r="A226" t="s">
        <v>466</v>
      </c>
      <c r="B226">
        <v>610</v>
      </c>
      <c r="C226" t="s">
        <v>2546</v>
      </c>
      <c r="E226" t="s">
        <v>2547</v>
      </c>
    </row>
    <row r="227" spans="1:5" x14ac:dyDescent="0.2">
      <c r="A227" t="s">
        <v>539</v>
      </c>
      <c r="B227">
        <v>538</v>
      </c>
      <c r="C227" t="s">
        <v>2517</v>
      </c>
      <c r="E227" t="s">
        <v>2518</v>
      </c>
    </row>
    <row r="228" spans="1:5" x14ac:dyDescent="0.2">
      <c r="A228" t="s">
        <v>2408</v>
      </c>
      <c r="B228">
        <v>723</v>
      </c>
      <c r="C228" t="s">
        <v>2628</v>
      </c>
      <c r="E228" t="s">
        <v>2629</v>
      </c>
    </row>
    <row r="229" spans="1:5" x14ac:dyDescent="0.2">
      <c r="A229" t="s">
        <v>505</v>
      </c>
      <c r="B229">
        <v>790</v>
      </c>
      <c r="C229" t="s">
        <v>2470</v>
      </c>
      <c r="E229" t="s">
        <v>2471</v>
      </c>
    </row>
    <row r="230" spans="1:5" x14ac:dyDescent="0.2">
      <c r="A230" t="s">
        <v>505</v>
      </c>
      <c r="B230">
        <v>706</v>
      </c>
      <c r="C230" t="s">
        <v>2472</v>
      </c>
      <c r="E230" t="s">
        <v>2473</v>
      </c>
    </row>
    <row r="231" spans="1:5" x14ac:dyDescent="0.2">
      <c r="A231" t="s">
        <v>505</v>
      </c>
      <c r="B231">
        <v>796</v>
      </c>
      <c r="C231" t="s">
        <v>2474</v>
      </c>
      <c r="E231" t="s">
        <v>2475</v>
      </c>
    </row>
    <row r="232" spans="1:5" x14ac:dyDescent="0.2">
      <c r="A232" t="s">
        <v>592</v>
      </c>
      <c r="B232">
        <v>776</v>
      </c>
      <c r="C232" t="s">
        <v>2630</v>
      </c>
      <c r="E232" t="s">
        <v>2631</v>
      </c>
    </row>
    <row r="233" spans="1:5" x14ac:dyDescent="0.2">
      <c r="A233" t="s">
        <v>505</v>
      </c>
      <c r="B233">
        <v>788</v>
      </c>
      <c r="C233" t="s">
        <v>2476</v>
      </c>
      <c r="E233" t="s">
        <v>2477</v>
      </c>
    </row>
    <row r="234" spans="1:5" x14ac:dyDescent="0.2">
      <c r="A234" t="s">
        <v>592</v>
      </c>
      <c r="B234">
        <v>742</v>
      </c>
      <c r="C234" t="s">
        <v>2632</v>
      </c>
      <c r="E234" t="s">
        <v>2633</v>
      </c>
    </row>
    <row r="235" spans="1:5" x14ac:dyDescent="0.2">
      <c r="A235" t="s">
        <v>592</v>
      </c>
      <c r="B235">
        <v>754</v>
      </c>
      <c r="C235" t="s">
        <v>2634</v>
      </c>
      <c r="E235" t="s">
        <v>2635</v>
      </c>
    </row>
    <row r="236" spans="1:5" x14ac:dyDescent="0.2">
      <c r="A236" t="s">
        <v>592</v>
      </c>
      <c r="B236">
        <v>753</v>
      </c>
      <c r="C236" t="s">
        <v>2553</v>
      </c>
      <c r="E236" t="s">
        <v>2554</v>
      </c>
    </row>
    <row r="237" spans="1:5" x14ac:dyDescent="0.2">
      <c r="A237" t="s">
        <v>592</v>
      </c>
      <c r="B237">
        <v>747</v>
      </c>
      <c r="C237" t="s">
        <v>2560</v>
      </c>
      <c r="E237" t="s">
        <v>2561</v>
      </c>
    </row>
    <row r="238" spans="1:5" x14ac:dyDescent="0.2">
      <c r="A238" t="s">
        <v>539</v>
      </c>
      <c r="B238">
        <v>695</v>
      </c>
      <c r="C238" t="s">
        <v>2636</v>
      </c>
      <c r="D238" t="s">
        <v>2637</v>
      </c>
      <c r="E238" t="s">
        <v>2638</v>
      </c>
    </row>
    <row r="239" spans="1:5" x14ac:dyDescent="0.2">
      <c r="A239" t="s">
        <v>505</v>
      </c>
      <c r="B239">
        <v>520</v>
      </c>
      <c r="C239" t="s">
        <v>2573</v>
      </c>
      <c r="E239" t="s">
        <v>2574</v>
      </c>
    </row>
    <row r="240" spans="1:5" x14ac:dyDescent="0.2">
      <c r="A240" t="s">
        <v>567</v>
      </c>
      <c r="B240">
        <v>566</v>
      </c>
      <c r="C240" t="s">
        <v>2528</v>
      </c>
      <c r="E240" t="s">
        <v>2529</v>
      </c>
    </row>
    <row r="241" spans="1:5" x14ac:dyDescent="0.2">
      <c r="A241" t="s">
        <v>539</v>
      </c>
      <c r="B241">
        <v>536</v>
      </c>
      <c r="C241" t="s">
        <v>2639</v>
      </c>
      <c r="E241" t="s">
        <v>2640</v>
      </c>
    </row>
    <row r="242" spans="1:5" x14ac:dyDescent="0.2">
      <c r="A242" t="s">
        <v>2383</v>
      </c>
      <c r="B242">
        <v>503</v>
      </c>
      <c r="C242" t="s">
        <v>2433</v>
      </c>
      <c r="E242" t="s">
        <v>2491</v>
      </c>
    </row>
    <row r="243" spans="1:5" x14ac:dyDescent="0.2">
      <c r="A243" t="s">
        <v>650</v>
      </c>
      <c r="B243">
        <v>627</v>
      </c>
      <c r="C243" t="s">
        <v>2641</v>
      </c>
      <c r="E243" t="s">
        <v>2642</v>
      </c>
    </row>
    <row r="244" spans="1:5" x14ac:dyDescent="0.2">
      <c r="A244" t="s">
        <v>413</v>
      </c>
      <c r="B244">
        <v>674</v>
      </c>
      <c r="C244" t="s">
        <v>2381</v>
      </c>
      <c r="E244" t="s">
        <v>2382</v>
      </c>
    </row>
    <row r="245" spans="1:5" x14ac:dyDescent="0.2">
      <c r="A245" t="s">
        <v>382</v>
      </c>
      <c r="B245">
        <v>510</v>
      </c>
      <c r="C245" t="s">
        <v>2556</v>
      </c>
      <c r="E245" t="s">
        <v>2557</v>
      </c>
    </row>
    <row r="246" spans="1:5" x14ac:dyDescent="0.2">
      <c r="A246" t="s">
        <v>505</v>
      </c>
      <c r="B246">
        <v>530</v>
      </c>
      <c r="C246" t="s">
        <v>2511</v>
      </c>
      <c r="E246" t="s">
        <v>2512</v>
      </c>
    </row>
    <row r="247" spans="1:5" x14ac:dyDescent="0.2">
      <c r="A247" t="s">
        <v>2408</v>
      </c>
      <c r="B247">
        <v>543</v>
      </c>
      <c r="C247" t="s">
        <v>2494</v>
      </c>
      <c r="E247" t="s">
        <v>2495</v>
      </c>
    </row>
    <row r="248" spans="1:5" x14ac:dyDescent="0.2">
      <c r="A248" t="s">
        <v>539</v>
      </c>
      <c r="B248">
        <v>535</v>
      </c>
      <c r="C248" t="s">
        <v>2506</v>
      </c>
      <c r="E248" t="s">
        <v>2507</v>
      </c>
    </row>
    <row r="249" spans="1:5" x14ac:dyDescent="0.2">
      <c r="A249" t="s">
        <v>550</v>
      </c>
      <c r="B249">
        <v>546</v>
      </c>
      <c r="C249" t="s">
        <v>2504</v>
      </c>
      <c r="E249" t="s">
        <v>2505</v>
      </c>
    </row>
    <row r="250" spans="1:5" x14ac:dyDescent="0.2">
      <c r="A250" t="s">
        <v>539</v>
      </c>
      <c r="B250">
        <v>567</v>
      </c>
      <c r="C250" t="s">
        <v>2417</v>
      </c>
      <c r="E250" t="s">
        <v>2418</v>
      </c>
    </row>
    <row r="251" spans="1:5" x14ac:dyDescent="0.2">
      <c r="A251" t="s">
        <v>413</v>
      </c>
      <c r="B251">
        <v>505</v>
      </c>
      <c r="C251" t="s">
        <v>2440</v>
      </c>
      <c r="E251" t="s">
        <v>2441</v>
      </c>
    </row>
    <row r="252" spans="1:5" x14ac:dyDescent="0.2">
      <c r="A252" t="s">
        <v>550</v>
      </c>
      <c r="B252">
        <v>546</v>
      </c>
      <c r="C252" t="s">
        <v>2504</v>
      </c>
      <c r="E252" t="s">
        <v>2505</v>
      </c>
    </row>
    <row r="253" spans="1:5" x14ac:dyDescent="0.2">
      <c r="A253" t="s">
        <v>539</v>
      </c>
      <c r="B253">
        <v>567</v>
      </c>
      <c r="C253" t="s">
        <v>2417</v>
      </c>
      <c r="E253" t="s">
        <v>2418</v>
      </c>
    </row>
    <row r="254" spans="1:5" x14ac:dyDescent="0.2">
      <c r="A254" t="s">
        <v>567</v>
      </c>
      <c r="B254">
        <v>546</v>
      </c>
      <c r="C254" t="s">
        <v>2442</v>
      </c>
      <c r="E254" t="s">
        <v>2443</v>
      </c>
    </row>
    <row r="255" spans="1:5" x14ac:dyDescent="0.2">
      <c r="A255" t="s">
        <v>567</v>
      </c>
      <c r="B255">
        <v>546</v>
      </c>
      <c r="C255" t="s">
        <v>2442</v>
      </c>
      <c r="E255" t="s">
        <v>2443</v>
      </c>
    </row>
    <row r="256" spans="1:5" x14ac:dyDescent="0.2">
      <c r="A256" t="s">
        <v>413</v>
      </c>
      <c r="B256">
        <v>680</v>
      </c>
      <c r="C256" t="s">
        <v>2643</v>
      </c>
      <c r="E256" t="s">
        <v>2644</v>
      </c>
    </row>
    <row r="257" spans="1:5" x14ac:dyDescent="0.2">
      <c r="A257" t="s">
        <v>2383</v>
      </c>
      <c r="B257">
        <v>503</v>
      </c>
      <c r="C257" t="s">
        <v>2433</v>
      </c>
      <c r="E257" t="s">
        <v>2491</v>
      </c>
    </row>
    <row r="258" spans="1:5" x14ac:dyDescent="0.2">
      <c r="A258" t="s">
        <v>2408</v>
      </c>
      <c r="B258">
        <v>606</v>
      </c>
      <c r="C258" t="s">
        <v>2526</v>
      </c>
      <c r="E258" t="s">
        <v>2527</v>
      </c>
    </row>
    <row r="259" spans="1:5" x14ac:dyDescent="0.2">
      <c r="A259" t="s">
        <v>2408</v>
      </c>
      <c r="B259">
        <v>637</v>
      </c>
      <c r="C259" t="s">
        <v>2498</v>
      </c>
      <c r="E259" t="s">
        <v>2499</v>
      </c>
    </row>
    <row r="260" spans="1:5" x14ac:dyDescent="0.2">
      <c r="A260" t="s">
        <v>2408</v>
      </c>
      <c r="B260">
        <v>566</v>
      </c>
      <c r="C260" t="s">
        <v>2645</v>
      </c>
      <c r="E260" t="s">
        <v>2646</v>
      </c>
    </row>
    <row r="261" spans="1:5" x14ac:dyDescent="0.2">
      <c r="A261" t="s">
        <v>2383</v>
      </c>
      <c r="B261">
        <v>534</v>
      </c>
      <c r="C261" t="s">
        <v>2489</v>
      </c>
      <c r="E261" t="s">
        <v>2490</v>
      </c>
    </row>
    <row r="262" spans="1:5" x14ac:dyDescent="0.2">
      <c r="A262" t="s">
        <v>650</v>
      </c>
      <c r="B262">
        <v>634</v>
      </c>
      <c r="C262" t="s">
        <v>2413</v>
      </c>
      <c r="E262" t="s">
        <v>2414</v>
      </c>
    </row>
    <row r="263" spans="1:5" x14ac:dyDescent="0.2">
      <c r="A263" t="s">
        <v>539</v>
      </c>
      <c r="B263">
        <v>537</v>
      </c>
      <c r="C263" t="s">
        <v>2496</v>
      </c>
      <c r="E263" t="s">
        <v>2497</v>
      </c>
    </row>
    <row r="264" spans="1:5" x14ac:dyDescent="0.2">
      <c r="A264" t="s">
        <v>2408</v>
      </c>
      <c r="B264">
        <v>538</v>
      </c>
      <c r="C264" t="s">
        <v>2548</v>
      </c>
      <c r="E264" t="s">
        <v>2647</v>
      </c>
    </row>
    <row r="265" spans="1:5" x14ac:dyDescent="0.2">
      <c r="A265" t="s">
        <v>2408</v>
      </c>
      <c r="B265">
        <v>539</v>
      </c>
      <c r="C265" t="s">
        <v>2420</v>
      </c>
      <c r="E265" t="s">
        <v>2421</v>
      </c>
    </row>
    <row r="266" spans="1:5" x14ac:dyDescent="0.2">
      <c r="A266" t="s">
        <v>2408</v>
      </c>
      <c r="B266">
        <v>539</v>
      </c>
      <c r="C266" t="s">
        <v>2420</v>
      </c>
      <c r="E266" t="s">
        <v>2421</v>
      </c>
    </row>
    <row r="267" spans="1:5" x14ac:dyDescent="0.2">
      <c r="A267" t="s">
        <v>413</v>
      </c>
      <c r="B267">
        <v>567</v>
      </c>
      <c r="C267" t="s">
        <v>2622</v>
      </c>
      <c r="E267" t="s">
        <v>2623</v>
      </c>
    </row>
    <row r="268" spans="1:5" x14ac:dyDescent="0.2">
      <c r="A268" t="s">
        <v>2408</v>
      </c>
      <c r="B268">
        <v>543</v>
      </c>
      <c r="C268" t="s">
        <v>2494</v>
      </c>
      <c r="E268" t="s">
        <v>2495</v>
      </c>
    </row>
    <row r="269" spans="1:5" x14ac:dyDescent="0.2">
      <c r="A269" t="s">
        <v>466</v>
      </c>
      <c r="B269">
        <v>503</v>
      </c>
      <c r="C269" t="s">
        <v>2433</v>
      </c>
      <c r="E269" t="s">
        <v>2434</v>
      </c>
    </row>
    <row r="270" spans="1:5" x14ac:dyDescent="0.2">
      <c r="A270" t="s">
        <v>650</v>
      </c>
      <c r="B270">
        <v>647</v>
      </c>
      <c r="C270" t="s">
        <v>2648</v>
      </c>
      <c r="E270" t="s">
        <v>2649</v>
      </c>
    </row>
    <row r="271" spans="1:5" x14ac:dyDescent="0.2">
      <c r="A271" t="s">
        <v>592</v>
      </c>
      <c r="B271">
        <v>637</v>
      </c>
      <c r="C271" t="s">
        <v>2498</v>
      </c>
      <c r="E271" t="s">
        <v>2508</v>
      </c>
    </row>
    <row r="272" spans="1:5" x14ac:dyDescent="0.2">
      <c r="A272" t="s">
        <v>592</v>
      </c>
      <c r="B272">
        <v>656</v>
      </c>
      <c r="C272" t="s">
        <v>2650</v>
      </c>
      <c r="E272" t="s">
        <v>2651</v>
      </c>
    </row>
    <row r="273" spans="1:5" x14ac:dyDescent="0.2">
      <c r="A273" t="s">
        <v>466</v>
      </c>
      <c r="B273">
        <v>534</v>
      </c>
      <c r="C273" t="s">
        <v>2489</v>
      </c>
      <c r="E273" t="s">
        <v>2513</v>
      </c>
    </row>
    <row r="274" spans="1:5" x14ac:dyDescent="0.2">
      <c r="A274" t="s">
        <v>592</v>
      </c>
      <c r="B274">
        <v>604</v>
      </c>
      <c r="C274" t="s">
        <v>2652</v>
      </c>
      <c r="E274" t="s">
        <v>2653</v>
      </c>
    </row>
    <row r="275" spans="1:5" x14ac:dyDescent="0.2">
      <c r="A275" t="s">
        <v>650</v>
      </c>
      <c r="B275">
        <v>640</v>
      </c>
      <c r="C275" t="s">
        <v>2509</v>
      </c>
      <c r="E275" t="s">
        <v>2510</v>
      </c>
    </row>
    <row r="276" spans="1:5" x14ac:dyDescent="0.2">
      <c r="A276" t="s">
        <v>413</v>
      </c>
      <c r="B276">
        <v>505</v>
      </c>
      <c r="C276" t="s">
        <v>2440</v>
      </c>
      <c r="E276" t="s">
        <v>2441</v>
      </c>
    </row>
    <row r="277" spans="1:5" x14ac:dyDescent="0.2">
      <c r="A277" t="s">
        <v>505</v>
      </c>
      <c r="B277">
        <v>620</v>
      </c>
      <c r="C277" t="s">
        <v>2624</v>
      </c>
      <c r="E277" t="s">
        <v>2625</v>
      </c>
    </row>
    <row r="278" spans="1:5" x14ac:dyDescent="0.2">
      <c r="A278" t="s">
        <v>550</v>
      </c>
      <c r="B278">
        <v>546</v>
      </c>
      <c r="C278" t="s">
        <v>2504</v>
      </c>
      <c r="E278" t="s">
        <v>2505</v>
      </c>
    </row>
    <row r="279" spans="1:5" x14ac:dyDescent="0.2">
      <c r="A279" t="s">
        <v>592</v>
      </c>
      <c r="B279">
        <v>734</v>
      </c>
      <c r="C279" t="s">
        <v>2654</v>
      </c>
      <c r="E279" t="s">
        <v>2655</v>
      </c>
    </row>
    <row r="280" spans="1:5" x14ac:dyDescent="0.2">
      <c r="A280" t="s">
        <v>567</v>
      </c>
      <c r="B280">
        <v>566</v>
      </c>
      <c r="C280" t="s">
        <v>2528</v>
      </c>
      <c r="E280" t="s">
        <v>2529</v>
      </c>
    </row>
    <row r="281" spans="1:5" x14ac:dyDescent="0.2">
      <c r="A281" t="s">
        <v>592</v>
      </c>
      <c r="B281">
        <v>722</v>
      </c>
      <c r="C281" t="s">
        <v>2656</v>
      </c>
      <c r="E281" t="s">
        <v>2657</v>
      </c>
    </row>
    <row r="282" spans="1:5" x14ac:dyDescent="0.2">
      <c r="A282" t="s">
        <v>650</v>
      </c>
      <c r="B282">
        <v>616</v>
      </c>
      <c r="C282" t="s">
        <v>2578</v>
      </c>
      <c r="E282" t="s">
        <v>2579</v>
      </c>
    </row>
    <row r="283" spans="1:5" x14ac:dyDescent="0.2">
      <c r="A283" t="s">
        <v>567</v>
      </c>
      <c r="B283">
        <v>546</v>
      </c>
      <c r="C283" t="s">
        <v>2442</v>
      </c>
      <c r="E283" t="s">
        <v>2443</v>
      </c>
    </row>
    <row r="284" spans="1:5" x14ac:dyDescent="0.2">
      <c r="A284" t="s">
        <v>539</v>
      </c>
      <c r="B284">
        <v>536</v>
      </c>
      <c r="C284" t="s">
        <v>2658</v>
      </c>
      <c r="D284" t="s">
        <v>2659</v>
      </c>
      <c r="E284" t="s">
        <v>2640</v>
      </c>
    </row>
    <row r="285" spans="1:5" x14ac:dyDescent="0.2">
      <c r="A285" t="s">
        <v>592</v>
      </c>
      <c r="B285">
        <v>539</v>
      </c>
      <c r="C285" t="s">
        <v>2436</v>
      </c>
      <c r="E285" t="s">
        <v>2437</v>
      </c>
    </row>
    <row r="286" spans="1:5" x14ac:dyDescent="0.2">
      <c r="A286" t="s">
        <v>592</v>
      </c>
      <c r="B286">
        <v>538</v>
      </c>
      <c r="C286" t="s">
        <v>2548</v>
      </c>
      <c r="E286" t="s">
        <v>2549</v>
      </c>
    </row>
    <row r="287" spans="1:5" x14ac:dyDescent="0.2">
      <c r="A287" t="s">
        <v>592</v>
      </c>
      <c r="B287">
        <v>555</v>
      </c>
      <c r="C287" t="s">
        <v>2415</v>
      </c>
      <c r="E287" t="s">
        <v>2660</v>
      </c>
    </row>
    <row r="288" spans="1:5" x14ac:dyDescent="0.2">
      <c r="A288" t="s">
        <v>413</v>
      </c>
      <c r="B288">
        <v>680</v>
      </c>
      <c r="C288" t="s">
        <v>2643</v>
      </c>
      <c r="E288" t="s">
        <v>2644</v>
      </c>
    </row>
    <row r="289" spans="1:5" x14ac:dyDescent="0.2">
      <c r="A289" t="s">
        <v>592</v>
      </c>
      <c r="B289">
        <v>543</v>
      </c>
      <c r="C289" t="s">
        <v>2494</v>
      </c>
      <c r="E289" t="s">
        <v>2503</v>
      </c>
    </row>
    <row r="290" spans="1:5" x14ac:dyDescent="0.2">
      <c r="A290" t="s">
        <v>567</v>
      </c>
      <c r="B290">
        <v>520</v>
      </c>
      <c r="C290" t="s">
        <v>2500</v>
      </c>
      <c r="E290" t="s">
        <v>2501</v>
      </c>
    </row>
    <row r="291" spans="1:5" x14ac:dyDescent="0.2">
      <c r="A291" t="s">
        <v>413</v>
      </c>
      <c r="B291">
        <v>574</v>
      </c>
      <c r="C291" t="s">
        <v>2661</v>
      </c>
      <c r="E291" t="s">
        <v>2567</v>
      </c>
    </row>
    <row r="292" spans="1:5" x14ac:dyDescent="0.2">
      <c r="A292" t="s">
        <v>413</v>
      </c>
      <c r="B292">
        <v>505</v>
      </c>
      <c r="C292" t="s">
        <v>2440</v>
      </c>
      <c r="E292" t="s">
        <v>2441</v>
      </c>
    </row>
    <row r="293" spans="1:5" x14ac:dyDescent="0.2">
      <c r="A293" t="s">
        <v>567</v>
      </c>
      <c r="B293">
        <v>520</v>
      </c>
      <c r="C293" t="s">
        <v>2500</v>
      </c>
      <c r="E293" t="s">
        <v>2501</v>
      </c>
    </row>
    <row r="294" spans="1:5" x14ac:dyDescent="0.2">
      <c r="A294" t="s">
        <v>413</v>
      </c>
      <c r="B294">
        <v>505</v>
      </c>
      <c r="C294" t="s">
        <v>2440</v>
      </c>
      <c r="E294" t="s">
        <v>2441</v>
      </c>
    </row>
    <row r="295" spans="1:5" x14ac:dyDescent="0.2">
      <c r="A295" t="s">
        <v>2408</v>
      </c>
      <c r="B295">
        <v>656</v>
      </c>
      <c r="C295" t="s">
        <v>2650</v>
      </c>
      <c r="E295" t="s">
        <v>2662</v>
      </c>
    </row>
    <row r="296" spans="1:5" x14ac:dyDescent="0.2">
      <c r="A296" t="s">
        <v>539</v>
      </c>
      <c r="B296">
        <v>535</v>
      </c>
      <c r="C296" t="s">
        <v>2506</v>
      </c>
      <c r="E296" t="s">
        <v>2507</v>
      </c>
    </row>
    <row r="297" spans="1:5" x14ac:dyDescent="0.2">
      <c r="A297" t="s">
        <v>567</v>
      </c>
      <c r="B297">
        <v>520</v>
      </c>
      <c r="C297" t="s">
        <v>2500</v>
      </c>
      <c r="E297" t="s">
        <v>2501</v>
      </c>
    </row>
    <row r="298" spans="1:5" x14ac:dyDescent="0.2">
      <c r="A298" t="s">
        <v>413</v>
      </c>
      <c r="B298">
        <v>567</v>
      </c>
      <c r="C298" t="s">
        <v>2622</v>
      </c>
      <c r="E298" t="s">
        <v>2623</v>
      </c>
    </row>
    <row r="299" spans="1:5" x14ac:dyDescent="0.2">
      <c r="A299" t="s">
        <v>2408</v>
      </c>
      <c r="B299">
        <v>623</v>
      </c>
      <c r="C299" t="s">
        <v>2542</v>
      </c>
      <c r="E299" t="s">
        <v>2543</v>
      </c>
    </row>
    <row r="300" spans="1:5" x14ac:dyDescent="0.2">
      <c r="A300" t="s">
        <v>2408</v>
      </c>
      <c r="B300">
        <v>543</v>
      </c>
      <c r="C300" t="s">
        <v>2494</v>
      </c>
      <c r="E300" t="s">
        <v>2495</v>
      </c>
    </row>
    <row r="301" spans="1:5" x14ac:dyDescent="0.2">
      <c r="A301" t="s">
        <v>2408</v>
      </c>
      <c r="B301">
        <v>623</v>
      </c>
      <c r="C301" t="s">
        <v>2542</v>
      </c>
      <c r="E301" t="s">
        <v>2543</v>
      </c>
    </row>
    <row r="302" spans="1:5" x14ac:dyDescent="0.2">
      <c r="A302" t="s">
        <v>539</v>
      </c>
      <c r="B302">
        <v>535</v>
      </c>
      <c r="C302" t="s">
        <v>2506</v>
      </c>
      <c r="E302" t="s">
        <v>2507</v>
      </c>
    </row>
    <row r="303" spans="1:5" x14ac:dyDescent="0.2">
      <c r="A303" t="s">
        <v>2408</v>
      </c>
      <c r="B303">
        <v>514</v>
      </c>
      <c r="C303" t="s">
        <v>2663</v>
      </c>
      <c r="E303" t="s">
        <v>2664</v>
      </c>
    </row>
    <row r="304" spans="1:5" x14ac:dyDescent="0.2">
      <c r="A304" t="s">
        <v>550</v>
      </c>
      <c r="B304">
        <v>505</v>
      </c>
      <c r="C304" t="s">
        <v>2551</v>
      </c>
      <c r="E304" t="s">
        <v>2552</v>
      </c>
    </row>
    <row r="305" spans="1:5" x14ac:dyDescent="0.2">
      <c r="A305" t="s">
        <v>2383</v>
      </c>
      <c r="B305">
        <v>534</v>
      </c>
      <c r="C305" t="s">
        <v>2489</v>
      </c>
      <c r="E305" t="s">
        <v>2490</v>
      </c>
    </row>
    <row r="306" spans="1:5" x14ac:dyDescent="0.2">
      <c r="A306" t="s">
        <v>2383</v>
      </c>
      <c r="B306">
        <v>534</v>
      </c>
      <c r="C306" t="s">
        <v>2489</v>
      </c>
      <c r="E306" t="s">
        <v>2490</v>
      </c>
    </row>
    <row r="307" spans="1:5" x14ac:dyDescent="0.2">
      <c r="A307" t="s">
        <v>2408</v>
      </c>
      <c r="B307">
        <v>637</v>
      </c>
      <c r="C307" t="s">
        <v>2498</v>
      </c>
      <c r="E307" t="s">
        <v>2499</v>
      </c>
    </row>
    <row r="308" spans="1:5" x14ac:dyDescent="0.2">
      <c r="A308" t="s">
        <v>539</v>
      </c>
      <c r="B308">
        <v>539</v>
      </c>
      <c r="C308" t="s">
        <v>2580</v>
      </c>
      <c r="E308" t="s">
        <v>2581</v>
      </c>
    </row>
    <row r="309" spans="1:5" x14ac:dyDescent="0.2">
      <c r="A309" t="s">
        <v>505</v>
      </c>
      <c r="B309">
        <v>620</v>
      </c>
      <c r="C309" t="s">
        <v>2624</v>
      </c>
      <c r="E309" t="s">
        <v>2625</v>
      </c>
    </row>
    <row r="310" spans="1:5" x14ac:dyDescent="0.2">
      <c r="A310" t="s">
        <v>567</v>
      </c>
      <c r="B310">
        <v>566</v>
      </c>
      <c r="C310" t="s">
        <v>2528</v>
      </c>
      <c r="E310" t="s">
        <v>2529</v>
      </c>
    </row>
    <row r="311" spans="1:5" x14ac:dyDescent="0.2">
      <c r="A311" t="s">
        <v>413</v>
      </c>
      <c r="B311">
        <v>674</v>
      </c>
      <c r="C311" t="s">
        <v>2381</v>
      </c>
      <c r="E311" t="s">
        <v>2382</v>
      </c>
    </row>
    <row r="312" spans="1:5" x14ac:dyDescent="0.2">
      <c r="A312" t="s">
        <v>2408</v>
      </c>
      <c r="B312">
        <v>543</v>
      </c>
      <c r="C312" t="s">
        <v>2494</v>
      </c>
      <c r="E312" t="s">
        <v>2495</v>
      </c>
    </row>
    <row r="313" spans="1:5" x14ac:dyDescent="0.2">
      <c r="A313" t="s">
        <v>505</v>
      </c>
      <c r="B313">
        <v>530</v>
      </c>
      <c r="C313" t="s">
        <v>2511</v>
      </c>
      <c r="E313" t="s">
        <v>2512</v>
      </c>
    </row>
    <row r="314" spans="1:5" x14ac:dyDescent="0.2">
      <c r="A314" t="s">
        <v>550</v>
      </c>
      <c r="B314">
        <v>546</v>
      </c>
      <c r="C314" t="s">
        <v>2504</v>
      </c>
      <c r="E314" t="s">
        <v>2505</v>
      </c>
    </row>
    <row r="315" spans="1:5" x14ac:dyDescent="0.2">
      <c r="A315" t="s">
        <v>539</v>
      </c>
      <c r="B315">
        <v>567</v>
      </c>
      <c r="C315" t="s">
        <v>2417</v>
      </c>
      <c r="E315" t="s">
        <v>2418</v>
      </c>
    </row>
    <row r="316" spans="1:5" x14ac:dyDescent="0.2">
      <c r="A316" t="s">
        <v>2408</v>
      </c>
      <c r="B316">
        <v>517</v>
      </c>
      <c r="C316" t="s">
        <v>2544</v>
      </c>
      <c r="E316" t="s">
        <v>2545</v>
      </c>
    </row>
    <row r="317" spans="1:5" x14ac:dyDescent="0.2">
      <c r="A317" t="s">
        <v>650</v>
      </c>
      <c r="B317">
        <v>656</v>
      </c>
      <c r="C317" t="s">
        <v>2620</v>
      </c>
      <c r="E317" t="s">
        <v>2621</v>
      </c>
    </row>
    <row r="318" spans="1:5" x14ac:dyDescent="0.2">
      <c r="A318" t="s">
        <v>2383</v>
      </c>
      <c r="B318">
        <v>503</v>
      </c>
      <c r="C318" t="s">
        <v>2433</v>
      </c>
      <c r="E318" t="s">
        <v>2491</v>
      </c>
    </row>
    <row r="319" spans="1:5" x14ac:dyDescent="0.2">
      <c r="A319" t="s">
        <v>650</v>
      </c>
      <c r="B319">
        <v>640</v>
      </c>
      <c r="C319" t="s">
        <v>2509</v>
      </c>
      <c r="E319" t="s">
        <v>2510</v>
      </c>
    </row>
    <row r="320" spans="1:5" x14ac:dyDescent="0.2">
      <c r="A320" t="s">
        <v>592</v>
      </c>
      <c r="B320">
        <v>656</v>
      </c>
      <c r="C320" t="s">
        <v>2650</v>
      </c>
      <c r="E320" t="s">
        <v>2651</v>
      </c>
    </row>
    <row r="321" spans="1:5" x14ac:dyDescent="0.2">
      <c r="A321" t="s">
        <v>592</v>
      </c>
      <c r="B321">
        <v>637</v>
      </c>
      <c r="C321" t="s">
        <v>2498</v>
      </c>
      <c r="E321" t="s">
        <v>2508</v>
      </c>
    </row>
    <row r="322" spans="1:5" x14ac:dyDescent="0.2">
      <c r="A322" t="s">
        <v>539</v>
      </c>
      <c r="B322">
        <v>536</v>
      </c>
      <c r="C322" t="s">
        <v>2658</v>
      </c>
      <c r="E322" t="s">
        <v>2640</v>
      </c>
    </row>
    <row r="323" spans="1:5" x14ac:dyDescent="0.2">
      <c r="A323" t="s">
        <v>466</v>
      </c>
      <c r="B323">
        <v>534</v>
      </c>
      <c r="C323" t="s">
        <v>2489</v>
      </c>
      <c r="E323" t="s">
        <v>2513</v>
      </c>
    </row>
    <row r="324" spans="1:5" x14ac:dyDescent="0.2">
      <c r="A324" t="s">
        <v>382</v>
      </c>
      <c r="B324">
        <v>510</v>
      </c>
      <c r="C324" t="s">
        <v>2556</v>
      </c>
      <c r="E324" t="s">
        <v>2557</v>
      </c>
    </row>
    <row r="325" spans="1:5" x14ac:dyDescent="0.2">
      <c r="A325" t="s">
        <v>413</v>
      </c>
      <c r="B325">
        <v>567</v>
      </c>
      <c r="C325" t="s">
        <v>2622</v>
      </c>
      <c r="E325" t="s">
        <v>2623</v>
      </c>
    </row>
    <row r="326" spans="1:5" x14ac:dyDescent="0.2">
      <c r="A326" t="s">
        <v>592</v>
      </c>
      <c r="B326">
        <v>543</v>
      </c>
      <c r="C326" t="s">
        <v>2494</v>
      </c>
      <c r="E326" t="s">
        <v>2503</v>
      </c>
    </row>
    <row r="327" spans="1:5" x14ac:dyDescent="0.2">
      <c r="A327" t="s">
        <v>539</v>
      </c>
      <c r="B327">
        <v>535</v>
      </c>
      <c r="C327" t="s">
        <v>2506</v>
      </c>
      <c r="E327" t="s">
        <v>2507</v>
      </c>
    </row>
    <row r="328" spans="1:5" x14ac:dyDescent="0.2">
      <c r="A328" t="s">
        <v>592</v>
      </c>
      <c r="B328">
        <v>539</v>
      </c>
      <c r="C328" t="s">
        <v>2436</v>
      </c>
      <c r="E328" t="s">
        <v>2437</v>
      </c>
    </row>
    <row r="329" spans="1:5" x14ac:dyDescent="0.2">
      <c r="A329" t="s">
        <v>592</v>
      </c>
      <c r="B329">
        <v>538</v>
      </c>
      <c r="C329" t="s">
        <v>2548</v>
      </c>
      <c r="E329" t="s">
        <v>2549</v>
      </c>
    </row>
    <row r="330" spans="1:5" x14ac:dyDescent="0.2">
      <c r="A330" t="s">
        <v>466</v>
      </c>
      <c r="B330">
        <v>503</v>
      </c>
      <c r="C330" t="s">
        <v>2433</v>
      </c>
      <c r="E330" t="s">
        <v>2434</v>
      </c>
    </row>
    <row r="331" spans="1:5" x14ac:dyDescent="0.2">
      <c r="A331" t="s">
        <v>650</v>
      </c>
      <c r="B331">
        <v>647</v>
      </c>
      <c r="C331" t="s">
        <v>2648</v>
      </c>
      <c r="E331" t="s">
        <v>2649</v>
      </c>
    </row>
    <row r="332" spans="1:5" x14ac:dyDescent="0.2">
      <c r="A332" t="s">
        <v>550</v>
      </c>
      <c r="B332">
        <v>505</v>
      </c>
      <c r="C332" t="s">
        <v>2551</v>
      </c>
      <c r="E332" t="s">
        <v>2552</v>
      </c>
    </row>
    <row r="333" spans="1:5" x14ac:dyDescent="0.2">
      <c r="A333" t="s">
        <v>2408</v>
      </c>
      <c r="B333">
        <v>543</v>
      </c>
      <c r="C333" t="s">
        <v>2494</v>
      </c>
      <c r="E333" t="s">
        <v>2495</v>
      </c>
    </row>
    <row r="334" spans="1:5" x14ac:dyDescent="0.2">
      <c r="A334" t="s">
        <v>650</v>
      </c>
      <c r="B334">
        <v>695</v>
      </c>
      <c r="C334" t="s">
        <v>2386</v>
      </c>
      <c r="D334" t="s">
        <v>2487</v>
      </c>
      <c r="E334" t="s">
        <v>2488</v>
      </c>
    </row>
    <row r="335" spans="1:5" x14ac:dyDescent="0.2">
      <c r="A335" t="s">
        <v>550</v>
      </c>
      <c r="B335">
        <v>561</v>
      </c>
      <c r="C335" t="s">
        <v>2492</v>
      </c>
      <c r="E335" t="s">
        <v>2493</v>
      </c>
    </row>
    <row r="336" spans="1:5" x14ac:dyDescent="0.2">
      <c r="A336" t="s">
        <v>550</v>
      </c>
      <c r="B336">
        <v>561</v>
      </c>
      <c r="C336" t="s">
        <v>2492</v>
      </c>
      <c r="E336" t="s">
        <v>2493</v>
      </c>
    </row>
    <row r="337" spans="1:5" x14ac:dyDescent="0.2">
      <c r="A337" t="s">
        <v>2408</v>
      </c>
      <c r="B337">
        <v>543</v>
      </c>
      <c r="C337" t="s">
        <v>2494</v>
      </c>
      <c r="E337" t="s">
        <v>2495</v>
      </c>
    </row>
    <row r="338" spans="1:5" x14ac:dyDescent="0.2">
      <c r="A338" t="s">
        <v>539</v>
      </c>
      <c r="B338">
        <v>567</v>
      </c>
      <c r="C338" t="s">
        <v>2417</v>
      </c>
      <c r="D338" t="s">
        <v>2665</v>
      </c>
      <c r="E338" t="s">
        <v>2418</v>
      </c>
    </row>
    <row r="339" spans="1:5" x14ac:dyDescent="0.2">
      <c r="A339" t="s">
        <v>539</v>
      </c>
      <c r="B339">
        <v>567</v>
      </c>
      <c r="C339" t="s">
        <v>2417</v>
      </c>
      <c r="D339" t="s">
        <v>2665</v>
      </c>
      <c r="E339" t="s">
        <v>2418</v>
      </c>
    </row>
    <row r="340" spans="1:5" x14ac:dyDescent="0.2">
      <c r="A340" t="s">
        <v>2408</v>
      </c>
      <c r="B340">
        <v>623</v>
      </c>
      <c r="C340" t="s">
        <v>2542</v>
      </c>
      <c r="E340" t="s">
        <v>2543</v>
      </c>
    </row>
    <row r="341" spans="1:5" x14ac:dyDescent="0.2">
      <c r="A341" t="s">
        <v>539</v>
      </c>
      <c r="B341">
        <v>535</v>
      </c>
      <c r="C341" t="s">
        <v>2506</v>
      </c>
      <c r="E341" t="s">
        <v>2507</v>
      </c>
    </row>
    <row r="342" spans="1:5" x14ac:dyDescent="0.2">
      <c r="A342" t="s">
        <v>2383</v>
      </c>
      <c r="B342">
        <v>503</v>
      </c>
      <c r="C342" t="s">
        <v>2433</v>
      </c>
      <c r="E342" t="s">
        <v>2491</v>
      </c>
    </row>
    <row r="343" spans="1:5" x14ac:dyDescent="0.2">
      <c r="A343" t="s">
        <v>650</v>
      </c>
      <c r="B343">
        <v>540</v>
      </c>
      <c r="C343" t="s">
        <v>2509</v>
      </c>
      <c r="E343" t="s">
        <v>2585</v>
      </c>
    </row>
    <row r="344" spans="1:5" x14ac:dyDescent="0.2">
      <c r="A344" t="s">
        <v>2383</v>
      </c>
      <c r="B344">
        <v>534</v>
      </c>
      <c r="C344" t="s">
        <v>2489</v>
      </c>
      <c r="E344" t="s">
        <v>2490</v>
      </c>
    </row>
    <row r="345" spans="1:5" x14ac:dyDescent="0.2">
      <c r="A345" t="s">
        <v>413</v>
      </c>
      <c r="B345">
        <v>674</v>
      </c>
      <c r="C345" t="s">
        <v>2381</v>
      </c>
      <c r="E345" t="s">
        <v>2382</v>
      </c>
    </row>
    <row r="346" spans="1:5" x14ac:dyDescent="0.2">
      <c r="A346" t="s">
        <v>567</v>
      </c>
      <c r="B346">
        <v>520</v>
      </c>
      <c r="C346" t="s">
        <v>2500</v>
      </c>
      <c r="E346" t="s">
        <v>2501</v>
      </c>
    </row>
    <row r="347" spans="1:5" x14ac:dyDescent="0.2">
      <c r="A347" t="s">
        <v>567</v>
      </c>
      <c r="B347">
        <v>566</v>
      </c>
      <c r="C347" t="s">
        <v>2528</v>
      </c>
      <c r="E347" t="s">
        <v>2529</v>
      </c>
    </row>
    <row r="348" spans="1:5" x14ac:dyDescent="0.2">
      <c r="A348" t="s">
        <v>413</v>
      </c>
      <c r="B348">
        <v>505</v>
      </c>
      <c r="C348" t="s">
        <v>2440</v>
      </c>
      <c r="E348" t="s">
        <v>2441</v>
      </c>
    </row>
    <row r="349" spans="1:5" x14ac:dyDescent="0.2">
      <c r="A349" t="s">
        <v>592</v>
      </c>
      <c r="B349">
        <v>539</v>
      </c>
      <c r="C349" t="s">
        <v>2436</v>
      </c>
      <c r="E349" t="s">
        <v>2437</v>
      </c>
    </row>
    <row r="350" spans="1:5" x14ac:dyDescent="0.2">
      <c r="A350" t="s">
        <v>539</v>
      </c>
      <c r="B350">
        <v>538</v>
      </c>
      <c r="C350" t="s">
        <v>2517</v>
      </c>
      <c r="E350" t="s">
        <v>2518</v>
      </c>
    </row>
    <row r="351" spans="1:5" x14ac:dyDescent="0.2">
      <c r="A351" t="s">
        <v>650</v>
      </c>
      <c r="B351">
        <v>640</v>
      </c>
      <c r="C351" t="s">
        <v>2509</v>
      </c>
      <c r="E351" t="s">
        <v>2510</v>
      </c>
    </row>
    <row r="352" spans="1:5" x14ac:dyDescent="0.2">
      <c r="A352" t="s">
        <v>466</v>
      </c>
      <c r="B352">
        <v>503</v>
      </c>
      <c r="C352" t="s">
        <v>2433</v>
      </c>
      <c r="E352" t="s">
        <v>2434</v>
      </c>
    </row>
    <row r="353" spans="1:5" x14ac:dyDescent="0.2">
      <c r="A353" t="s">
        <v>592</v>
      </c>
      <c r="B353">
        <v>637</v>
      </c>
      <c r="C353" t="s">
        <v>2498</v>
      </c>
      <c r="E353" t="s">
        <v>2508</v>
      </c>
    </row>
    <row r="354" spans="1:5" x14ac:dyDescent="0.2">
      <c r="A354" t="s">
        <v>466</v>
      </c>
      <c r="B354">
        <v>534</v>
      </c>
      <c r="C354" t="s">
        <v>2489</v>
      </c>
      <c r="E354" t="s">
        <v>2513</v>
      </c>
    </row>
    <row r="355" spans="1:5" x14ac:dyDescent="0.2">
      <c r="A355" t="s">
        <v>550</v>
      </c>
      <c r="B355">
        <v>546</v>
      </c>
      <c r="C355" t="s">
        <v>2504</v>
      </c>
      <c r="E355" t="s">
        <v>2505</v>
      </c>
    </row>
    <row r="356" spans="1:5" x14ac:dyDescent="0.2">
      <c r="A356" t="s">
        <v>539</v>
      </c>
      <c r="B356">
        <v>567</v>
      </c>
      <c r="C356" t="s">
        <v>2417</v>
      </c>
      <c r="D356" t="s">
        <v>2563</v>
      </c>
      <c r="E356" t="s">
        <v>2418</v>
      </c>
    </row>
    <row r="357" spans="1:5" x14ac:dyDescent="0.2">
      <c r="A357" t="s">
        <v>539</v>
      </c>
      <c r="B357">
        <v>535</v>
      </c>
      <c r="C357" t="s">
        <v>2506</v>
      </c>
      <c r="E357" t="s">
        <v>2507</v>
      </c>
    </row>
    <row r="358" spans="1:5" x14ac:dyDescent="0.2">
      <c r="A358" t="s">
        <v>413</v>
      </c>
      <c r="B358">
        <v>505</v>
      </c>
      <c r="C358" t="s">
        <v>2440</v>
      </c>
      <c r="E358" t="s">
        <v>2441</v>
      </c>
    </row>
    <row r="359" spans="1:5" x14ac:dyDescent="0.2">
      <c r="A359" t="s">
        <v>2408</v>
      </c>
      <c r="B359">
        <v>525</v>
      </c>
      <c r="C359" t="s">
        <v>2534</v>
      </c>
      <c r="E359" t="s">
        <v>2535</v>
      </c>
    </row>
    <row r="360" spans="1:5" x14ac:dyDescent="0.2">
      <c r="A360" t="s">
        <v>567</v>
      </c>
      <c r="B360">
        <v>566</v>
      </c>
      <c r="C360" t="s">
        <v>2528</v>
      </c>
      <c r="E360" t="s">
        <v>2529</v>
      </c>
    </row>
    <row r="361" spans="1:5" x14ac:dyDescent="0.2">
      <c r="A361" t="s">
        <v>2408</v>
      </c>
      <c r="B361">
        <v>539</v>
      </c>
      <c r="C361" t="s">
        <v>2420</v>
      </c>
      <c r="D361" t="s">
        <v>2436</v>
      </c>
      <c r="E361" t="s">
        <v>2421</v>
      </c>
    </row>
    <row r="362" spans="1:5" x14ac:dyDescent="0.2">
      <c r="A362" t="s">
        <v>413</v>
      </c>
      <c r="B362">
        <v>567</v>
      </c>
      <c r="C362" t="s">
        <v>2622</v>
      </c>
      <c r="E362" t="s">
        <v>2623</v>
      </c>
    </row>
    <row r="363" spans="1:5" x14ac:dyDescent="0.2">
      <c r="A363" t="s">
        <v>466</v>
      </c>
      <c r="B363">
        <v>503</v>
      </c>
      <c r="C363" t="s">
        <v>2433</v>
      </c>
      <c r="E363" t="s">
        <v>2434</v>
      </c>
    </row>
    <row r="364" spans="1:5" x14ac:dyDescent="0.2">
      <c r="A364" t="s">
        <v>413</v>
      </c>
      <c r="B364">
        <v>674</v>
      </c>
      <c r="C364" t="s">
        <v>2381</v>
      </c>
      <c r="E364" t="s">
        <v>2382</v>
      </c>
    </row>
    <row r="365" spans="1:5" x14ac:dyDescent="0.2">
      <c r="A365" t="s">
        <v>567</v>
      </c>
      <c r="B365">
        <v>520</v>
      </c>
      <c r="C365" t="s">
        <v>2500</v>
      </c>
      <c r="E365" t="s">
        <v>2501</v>
      </c>
    </row>
    <row r="366" spans="1:5" x14ac:dyDescent="0.2">
      <c r="A366" t="s">
        <v>592</v>
      </c>
      <c r="B366">
        <v>514</v>
      </c>
      <c r="C366" t="s">
        <v>2663</v>
      </c>
      <c r="E366" t="s">
        <v>2666</v>
      </c>
    </row>
    <row r="367" spans="1:5" x14ac:dyDescent="0.2">
      <c r="A367" t="s">
        <v>592</v>
      </c>
      <c r="B367">
        <v>543</v>
      </c>
      <c r="C367" t="s">
        <v>2494</v>
      </c>
      <c r="E367" t="s">
        <v>2503</v>
      </c>
    </row>
    <row r="368" spans="1:5" x14ac:dyDescent="0.2">
      <c r="A368" t="s">
        <v>505</v>
      </c>
      <c r="B368">
        <v>530</v>
      </c>
      <c r="C368" t="s">
        <v>2511</v>
      </c>
      <c r="E368" t="s">
        <v>2512</v>
      </c>
    </row>
    <row r="369" spans="1:5" x14ac:dyDescent="0.2">
      <c r="A369" t="s">
        <v>505</v>
      </c>
      <c r="B369">
        <v>620</v>
      </c>
      <c r="C369" t="s">
        <v>2624</v>
      </c>
      <c r="E369" t="s">
        <v>2625</v>
      </c>
    </row>
    <row r="370" spans="1:5" x14ac:dyDescent="0.2">
      <c r="A370" t="s">
        <v>413</v>
      </c>
      <c r="B370">
        <v>659</v>
      </c>
      <c r="C370" t="s">
        <v>2538</v>
      </c>
      <c r="E370" t="s">
        <v>2539</v>
      </c>
    </row>
    <row r="371" spans="1:5" x14ac:dyDescent="0.2">
      <c r="A371" t="s">
        <v>505</v>
      </c>
      <c r="B371">
        <v>515</v>
      </c>
      <c r="C371" t="s">
        <v>2667</v>
      </c>
      <c r="E371" t="s">
        <v>2668</v>
      </c>
    </row>
    <row r="372" spans="1:5" x14ac:dyDescent="0.2">
      <c r="A372" t="s">
        <v>592</v>
      </c>
      <c r="B372">
        <v>656</v>
      </c>
      <c r="C372" t="s">
        <v>2650</v>
      </c>
      <c r="E372" t="s">
        <v>2651</v>
      </c>
    </row>
    <row r="373" spans="1:5" x14ac:dyDescent="0.2">
      <c r="A373" t="s">
        <v>466</v>
      </c>
      <c r="B373">
        <v>534</v>
      </c>
      <c r="C373" t="s">
        <v>2489</v>
      </c>
      <c r="E373" t="s">
        <v>2513</v>
      </c>
    </row>
    <row r="374" spans="1:5" x14ac:dyDescent="0.2">
      <c r="A374" t="s">
        <v>592</v>
      </c>
      <c r="B374">
        <v>637</v>
      </c>
      <c r="C374" t="s">
        <v>2498</v>
      </c>
      <c r="E374" t="s">
        <v>2508</v>
      </c>
    </row>
    <row r="375" spans="1:5" x14ac:dyDescent="0.2">
      <c r="A375" t="s">
        <v>592</v>
      </c>
      <c r="B375">
        <v>538</v>
      </c>
      <c r="C375" t="s">
        <v>2548</v>
      </c>
      <c r="E375" t="s">
        <v>2549</v>
      </c>
    </row>
    <row r="376" spans="1:5" x14ac:dyDescent="0.2">
      <c r="A376" t="s">
        <v>539</v>
      </c>
      <c r="B376">
        <v>539</v>
      </c>
      <c r="C376" t="s">
        <v>2580</v>
      </c>
      <c r="E376" t="s">
        <v>2581</v>
      </c>
    </row>
    <row r="377" spans="1:5" x14ac:dyDescent="0.2">
      <c r="A377" t="s">
        <v>382</v>
      </c>
      <c r="B377">
        <v>510</v>
      </c>
      <c r="C377" t="s">
        <v>2556</v>
      </c>
      <c r="E377" t="s">
        <v>2557</v>
      </c>
    </row>
    <row r="378" spans="1:5" x14ac:dyDescent="0.2">
      <c r="A378" t="s">
        <v>413</v>
      </c>
      <c r="B378">
        <v>574</v>
      </c>
      <c r="C378" t="s">
        <v>2661</v>
      </c>
      <c r="E378" t="s">
        <v>2567</v>
      </c>
    </row>
    <row r="379" spans="1:5" x14ac:dyDescent="0.2">
      <c r="A379" t="s">
        <v>550</v>
      </c>
      <c r="B379">
        <v>546</v>
      </c>
      <c r="C379" t="s">
        <v>2504</v>
      </c>
      <c r="E379" t="s">
        <v>2505</v>
      </c>
    </row>
    <row r="380" spans="1:5" x14ac:dyDescent="0.2">
      <c r="A380" t="s">
        <v>539</v>
      </c>
      <c r="B380">
        <v>567</v>
      </c>
      <c r="C380" t="s">
        <v>2417</v>
      </c>
      <c r="E380" t="s">
        <v>2418</v>
      </c>
    </row>
    <row r="381" spans="1:5" x14ac:dyDescent="0.2">
      <c r="A381" t="s">
        <v>505</v>
      </c>
      <c r="B381">
        <v>695</v>
      </c>
      <c r="C381" t="s">
        <v>2669</v>
      </c>
      <c r="E381" t="s">
        <v>2670</v>
      </c>
    </row>
    <row r="382" spans="1:5" x14ac:dyDescent="0.2">
      <c r="A382" t="s">
        <v>505</v>
      </c>
      <c r="B382">
        <v>688</v>
      </c>
      <c r="C382" t="s">
        <v>2586</v>
      </c>
      <c r="E382" t="s">
        <v>2587</v>
      </c>
    </row>
    <row r="383" spans="1:5" x14ac:dyDescent="0.2">
      <c r="A383" t="s">
        <v>505</v>
      </c>
      <c r="B383">
        <v>680</v>
      </c>
      <c r="C383" t="s">
        <v>2564</v>
      </c>
      <c r="E383" t="s">
        <v>2565</v>
      </c>
    </row>
    <row r="384" spans="1:5" x14ac:dyDescent="0.2">
      <c r="A384" t="s">
        <v>539</v>
      </c>
      <c r="B384">
        <v>539</v>
      </c>
      <c r="C384" t="s">
        <v>2580</v>
      </c>
      <c r="E384" t="s">
        <v>2581</v>
      </c>
    </row>
    <row r="385" spans="1:5" x14ac:dyDescent="0.2">
      <c r="A385" t="s">
        <v>505</v>
      </c>
      <c r="B385">
        <v>697</v>
      </c>
      <c r="C385" t="s">
        <v>2671</v>
      </c>
      <c r="E385" t="s">
        <v>2672</v>
      </c>
    </row>
    <row r="386" spans="1:5" x14ac:dyDescent="0.2">
      <c r="A386" t="s">
        <v>505</v>
      </c>
      <c r="B386">
        <v>688</v>
      </c>
      <c r="C386" t="s">
        <v>2586</v>
      </c>
      <c r="E386" t="s">
        <v>2587</v>
      </c>
    </row>
    <row r="387" spans="1:5" x14ac:dyDescent="0.2">
      <c r="A387" t="s">
        <v>413</v>
      </c>
      <c r="B387">
        <v>574</v>
      </c>
      <c r="C387" t="s">
        <v>2566</v>
      </c>
      <c r="E387" t="s">
        <v>2567</v>
      </c>
    </row>
    <row r="388" spans="1:5" x14ac:dyDescent="0.2">
      <c r="A388" t="s">
        <v>550</v>
      </c>
      <c r="B388">
        <v>635</v>
      </c>
      <c r="C388" t="s">
        <v>2673</v>
      </c>
      <c r="E388" t="s">
        <v>2674</v>
      </c>
    </row>
    <row r="389" spans="1:5" x14ac:dyDescent="0.2">
      <c r="A389" t="s">
        <v>505</v>
      </c>
      <c r="B389">
        <v>697</v>
      </c>
      <c r="C389" t="s">
        <v>2675</v>
      </c>
      <c r="E389" t="s">
        <v>2672</v>
      </c>
    </row>
    <row r="390" spans="1:5" x14ac:dyDescent="0.2">
      <c r="A390" t="s">
        <v>539</v>
      </c>
      <c r="B390">
        <v>536</v>
      </c>
      <c r="C390" t="s">
        <v>2639</v>
      </c>
      <c r="E390" t="s">
        <v>2640</v>
      </c>
    </row>
    <row r="391" spans="1:5" x14ac:dyDescent="0.2">
      <c r="A391" t="s">
        <v>2383</v>
      </c>
      <c r="B391">
        <v>534</v>
      </c>
      <c r="C391" t="s">
        <v>2489</v>
      </c>
      <c r="E391" t="s">
        <v>2490</v>
      </c>
    </row>
    <row r="392" spans="1:5" x14ac:dyDescent="0.2">
      <c r="A392" t="s">
        <v>567</v>
      </c>
      <c r="B392">
        <v>566</v>
      </c>
      <c r="C392" t="s">
        <v>2528</v>
      </c>
      <c r="E392" t="s">
        <v>2529</v>
      </c>
    </row>
    <row r="393" spans="1:5" x14ac:dyDescent="0.2">
      <c r="A393" t="s">
        <v>505</v>
      </c>
      <c r="B393">
        <v>530</v>
      </c>
      <c r="C393" t="s">
        <v>2511</v>
      </c>
      <c r="E393" t="s">
        <v>2512</v>
      </c>
    </row>
    <row r="394" spans="1:5" x14ac:dyDescent="0.2">
      <c r="A394" t="s">
        <v>550</v>
      </c>
      <c r="B394">
        <v>695</v>
      </c>
      <c r="C394" t="s">
        <v>2582</v>
      </c>
      <c r="D394" t="s">
        <v>2676</v>
      </c>
      <c r="E394" t="s">
        <v>2584</v>
      </c>
    </row>
    <row r="395" spans="1:5" x14ac:dyDescent="0.2">
      <c r="A395" t="s">
        <v>413</v>
      </c>
      <c r="B395">
        <v>674</v>
      </c>
      <c r="C395" t="s">
        <v>2381</v>
      </c>
      <c r="E395" t="s">
        <v>2382</v>
      </c>
    </row>
    <row r="396" spans="1:5" x14ac:dyDescent="0.2">
      <c r="A396" t="s">
        <v>413</v>
      </c>
      <c r="B396">
        <v>628</v>
      </c>
      <c r="C396" t="s">
        <v>2677</v>
      </c>
      <c r="E396" t="s">
        <v>2678</v>
      </c>
    </row>
    <row r="397" spans="1:5" x14ac:dyDescent="0.2">
      <c r="A397" t="s">
        <v>413</v>
      </c>
      <c r="B397">
        <v>672</v>
      </c>
      <c r="C397" t="s">
        <v>2379</v>
      </c>
      <c r="E397" t="s">
        <v>2380</v>
      </c>
    </row>
    <row r="398" spans="1:5" x14ac:dyDescent="0.2">
      <c r="A398" t="s">
        <v>505</v>
      </c>
      <c r="B398">
        <v>520</v>
      </c>
      <c r="C398" t="s">
        <v>2573</v>
      </c>
      <c r="E398" t="s">
        <v>2574</v>
      </c>
    </row>
    <row r="399" spans="1:5" x14ac:dyDescent="0.2">
      <c r="A399" t="s">
        <v>650</v>
      </c>
      <c r="B399">
        <v>540</v>
      </c>
      <c r="C399" t="s">
        <v>2509</v>
      </c>
      <c r="E399" t="s">
        <v>2585</v>
      </c>
    </row>
    <row r="400" spans="1:5" x14ac:dyDescent="0.2">
      <c r="A400" t="s">
        <v>539</v>
      </c>
      <c r="B400">
        <v>537</v>
      </c>
      <c r="C400" t="s">
        <v>2496</v>
      </c>
      <c r="E400" t="s">
        <v>2497</v>
      </c>
    </row>
    <row r="401" spans="1:5" x14ac:dyDescent="0.2">
      <c r="A401" t="s">
        <v>550</v>
      </c>
      <c r="B401">
        <v>695</v>
      </c>
      <c r="C401" t="s">
        <v>2582</v>
      </c>
      <c r="D401" t="s">
        <v>2679</v>
      </c>
      <c r="E401" t="s">
        <v>2584</v>
      </c>
    </row>
    <row r="402" spans="1:5" x14ac:dyDescent="0.2">
      <c r="A402" t="s">
        <v>550</v>
      </c>
      <c r="B402">
        <v>695</v>
      </c>
      <c r="C402" t="s">
        <v>2582</v>
      </c>
      <c r="D402" t="s">
        <v>2680</v>
      </c>
      <c r="E402" t="s">
        <v>2584</v>
      </c>
    </row>
    <row r="403" spans="1:5" x14ac:dyDescent="0.2">
      <c r="A403" t="s">
        <v>650</v>
      </c>
      <c r="B403">
        <v>616</v>
      </c>
      <c r="C403" t="s">
        <v>2578</v>
      </c>
      <c r="E403" t="s">
        <v>2579</v>
      </c>
    </row>
    <row r="404" spans="1:5" x14ac:dyDescent="0.2">
      <c r="A404" t="s">
        <v>539</v>
      </c>
      <c r="B404">
        <v>536</v>
      </c>
      <c r="C404" t="s">
        <v>2658</v>
      </c>
      <c r="E404" t="s">
        <v>2640</v>
      </c>
    </row>
    <row r="405" spans="1:5" x14ac:dyDescent="0.2">
      <c r="A405" t="s">
        <v>567</v>
      </c>
      <c r="B405">
        <v>546</v>
      </c>
      <c r="C405" t="s">
        <v>2442</v>
      </c>
      <c r="E405" t="s">
        <v>2443</v>
      </c>
    </row>
    <row r="406" spans="1:5" x14ac:dyDescent="0.2">
      <c r="A406" t="s">
        <v>539</v>
      </c>
      <c r="B406">
        <v>539</v>
      </c>
      <c r="C406" t="s">
        <v>2580</v>
      </c>
      <c r="D406" t="s">
        <v>2681</v>
      </c>
      <c r="E406" t="s">
        <v>2581</v>
      </c>
    </row>
    <row r="407" spans="1:5" x14ac:dyDescent="0.2">
      <c r="A407" t="s">
        <v>413</v>
      </c>
      <c r="B407">
        <v>624</v>
      </c>
      <c r="C407" t="s">
        <v>2568</v>
      </c>
      <c r="E407" t="s">
        <v>2569</v>
      </c>
    </row>
    <row r="408" spans="1:5" x14ac:dyDescent="0.2">
      <c r="A408" t="s">
        <v>413</v>
      </c>
      <c r="B408">
        <v>574</v>
      </c>
      <c r="C408" t="s">
        <v>2661</v>
      </c>
      <c r="E408" t="s">
        <v>2567</v>
      </c>
    </row>
    <row r="409" spans="1:5" x14ac:dyDescent="0.2">
      <c r="A409" t="s">
        <v>539</v>
      </c>
      <c r="B409">
        <v>684</v>
      </c>
      <c r="C409" t="s">
        <v>2682</v>
      </c>
      <c r="E409" t="s">
        <v>2683</v>
      </c>
    </row>
    <row r="410" spans="1:5" x14ac:dyDescent="0.2">
      <c r="A410" t="s">
        <v>505</v>
      </c>
      <c r="B410">
        <v>628</v>
      </c>
      <c r="C410" t="s">
        <v>2684</v>
      </c>
      <c r="E410" t="s">
        <v>2685</v>
      </c>
    </row>
    <row r="411" spans="1:5" x14ac:dyDescent="0.2">
      <c r="A411" t="s">
        <v>505</v>
      </c>
      <c r="B411">
        <v>530</v>
      </c>
      <c r="C411" t="s">
        <v>2511</v>
      </c>
      <c r="E411" t="s">
        <v>2512</v>
      </c>
    </row>
    <row r="412" spans="1:5" x14ac:dyDescent="0.2">
      <c r="A412" t="s">
        <v>2408</v>
      </c>
      <c r="B412">
        <v>526</v>
      </c>
      <c r="C412" t="s">
        <v>2588</v>
      </c>
      <c r="E412" t="s">
        <v>2589</v>
      </c>
    </row>
    <row r="413" spans="1:5" x14ac:dyDescent="0.2">
      <c r="A413" t="s">
        <v>539</v>
      </c>
      <c r="B413">
        <v>567</v>
      </c>
      <c r="C413" t="s">
        <v>2417</v>
      </c>
      <c r="D413" t="s">
        <v>2686</v>
      </c>
      <c r="E413" t="s">
        <v>2418</v>
      </c>
    </row>
    <row r="414" spans="1:5" x14ac:dyDescent="0.2">
      <c r="A414" t="s">
        <v>539</v>
      </c>
      <c r="B414">
        <v>535</v>
      </c>
      <c r="C414" t="s">
        <v>2506</v>
      </c>
      <c r="E414" t="s">
        <v>2507</v>
      </c>
    </row>
    <row r="415" spans="1:5" x14ac:dyDescent="0.2">
      <c r="A415" t="s">
        <v>650</v>
      </c>
      <c r="B415">
        <v>540</v>
      </c>
      <c r="C415" t="s">
        <v>2509</v>
      </c>
      <c r="E415" t="s">
        <v>2585</v>
      </c>
    </row>
    <row r="416" spans="1:5" x14ac:dyDescent="0.2">
      <c r="A416" t="s">
        <v>505</v>
      </c>
      <c r="B416">
        <v>534</v>
      </c>
      <c r="C416" t="s">
        <v>2397</v>
      </c>
      <c r="E416" t="s">
        <v>2398</v>
      </c>
    </row>
    <row r="417" spans="1:5" x14ac:dyDescent="0.2">
      <c r="A417" t="s">
        <v>567</v>
      </c>
      <c r="B417">
        <v>566</v>
      </c>
      <c r="C417" t="s">
        <v>2528</v>
      </c>
      <c r="E417" t="s">
        <v>2529</v>
      </c>
    </row>
    <row r="418" spans="1:5" x14ac:dyDescent="0.2">
      <c r="A418" t="s">
        <v>505</v>
      </c>
      <c r="B418">
        <v>620</v>
      </c>
      <c r="C418" t="s">
        <v>2624</v>
      </c>
      <c r="E418" t="s">
        <v>2625</v>
      </c>
    </row>
    <row r="419" spans="1:5" x14ac:dyDescent="0.2">
      <c r="A419" t="s">
        <v>413</v>
      </c>
      <c r="B419">
        <v>574</v>
      </c>
      <c r="C419" t="s">
        <v>2661</v>
      </c>
      <c r="E419" t="s">
        <v>2567</v>
      </c>
    </row>
    <row r="420" spans="1:5" x14ac:dyDescent="0.2">
      <c r="A420" t="s">
        <v>650</v>
      </c>
      <c r="B420">
        <v>616</v>
      </c>
      <c r="C420" t="s">
        <v>2578</v>
      </c>
      <c r="E420" t="s">
        <v>2579</v>
      </c>
    </row>
    <row r="421" spans="1:5" x14ac:dyDescent="0.2">
      <c r="A421" t="s">
        <v>567</v>
      </c>
      <c r="B421">
        <v>546</v>
      </c>
      <c r="C421" t="s">
        <v>2442</v>
      </c>
      <c r="E421" t="s">
        <v>2443</v>
      </c>
    </row>
    <row r="422" spans="1:5" x14ac:dyDescent="0.2">
      <c r="A422" t="s">
        <v>539</v>
      </c>
      <c r="B422">
        <v>536</v>
      </c>
      <c r="C422" t="s">
        <v>2658</v>
      </c>
      <c r="E422" t="s">
        <v>2640</v>
      </c>
    </row>
    <row r="423" spans="1:5" x14ac:dyDescent="0.2">
      <c r="A423" t="s">
        <v>650</v>
      </c>
      <c r="B423">
        <v>619</v>
      </c>
      <c r="C423" t="s">
        <v>2687</v>
      </c>
      <c r="E423" t="s">
        <v>2688</v>
      </c>
    </row>
    <row r="424" spans="1:5" x14ac:dyDescent="0.2">
      <c r="A424" t="s">
        <v>505</v>
      </c>
      <c r="B424">
        <v>688</v>
      </c>
      <c r="C424" t="s">
        <v>2586</v>
      </c>
      <c r="E424" t="s">
        <v>2587</v>
      </c>
    </row>
    <row r="425" spans="1:5" x14ac:dyDescent="0.2">
      <c r="A425" t="s">
        <v>505</v>
      </c>
      <c r="B425">
        <v>695</v>
      </c>
      <c r="C425" t="s">
        <v>2669</v>
      </c>
      <c r="E425" t="s">
        <v>2670</v>
      </c>
    </row>
    <row r="426" spans="1:5" x14ac:dyDescent="0.2">
      <c r="A426" t="s">
        <v>413</v>
      </c>
      <c r="B426">
        <v>600</v>
      </c>
      <c r="C426" t="s">
        <v>2689</v>
      </c>
      <c r="E426" t="s">
        <v>2690</v>
      </c>
    </row>
    <row r="427" spans="1:5" x14ac:dyDescent="0.2">
      <c r="A427" t="s">
        <v>539</v>
      </c>
      <c r="B427">
        <v>539</v>
      </c>
      <c r="C427" t="s">
        <v>2580</v>
      </c>
      <c r="E427" t="s">
        <v>2581</v>
      </c>
    </row>
    <row r="428" spans="1:5" x14ac:dyDescent="0.2">
      <c r="A428" t="s">
        <v>505</v>
      </c>
      <c r="B428">
        <v>697</v>
      </c>
      <c r="C428" t="s">
        <v>2675</v>
      </c>
      <c r="E428" t="s">
        <v>2672</v>
      </c>
    </row>
    <row r="429" spans="1:5" x14ac:dyDescent="0.2">
      <c r="A429" t="s">
        <v>539</v>
      </c>
      <c r="B429">
        <v>536</v>
      </c>
      <c r="C429" t="s">
        <v>2639</v>
      </c>
      <c r="E429" t="s">
        <v>2640</v>
      </c>
    </row>
    <row r="430" spans="1:5" x14ac:dyDescent="0.2">
      <c r="A430" t="s">
        <v>567</v>
      </c>
      <c r="B430">
        <v>556</v>
      </c>
      <c r="C430" t="s">
        <v>2536</v>
      </c>
      <c r="E430" t="s">
        <v>2537</v>
      </c>
    </row>
    <row r="431" spans="1:5" x14ac:dyDescent="0.2">
      <c r="A431" t="s">
        <v>505</v>
      </c>
      <c r="B431">
        <v>520</v>
      </c>
      <c r="C431" t="s">
        <v>2573</v>
      </c>
      <c r="E431" t="s">
        <v>2574</v>
      </c>
    </row>
    <row r="432" spans="1:5" x14ac:dyDescent="0.2">
      <c r="A432" t="s">
        <v>413</v>
      </c>
      <c r="B432">
        <v>574</v>
      </c>
      <c r="C432" t="s">
        <v>2566</v>
      </c>
      <c r="E432" t="s">
        <v>2567</v>
      </c>
    </row>
    <row r="433" spans="1:5" x14ac:dyDescent="0.2">
      <c r="A433" t="s">
        <v>505</v>
      </c>
      <c r="B433">
        <v>680</v>
      </c>
      <c r="C433" t="s">
        <v>2564</v>
      </c>
      <c r="E433" t="s">
        <v>2565</v>
      </c>
    </row>
    <row r="434" spans="1:5" x14ac:dyDescent="0.2">
      <c r="A434" t="s">
        <v>2408</v>
      </c>
      <c r="B434">
        <v>517</v>
      </c>
      <c r="C434" t="s">
        <v>2544</v>
      </c>
      <c r="E434" t="s">
        <v>2545</v>
      </c>
    </row>
    <row r="435" spans="1:5" x14ac:dyDescent="0.2">
      <c r="A435" t="s">
        <v>2408</v>
      </c>
      <c r="B435">
        <v>543</v>
      </c>
      <c r="C435" t="s">
        <v>2494</v>
      </c>
      <c r="E435" t="s">
        <v>2495</v>
      </c>
    </row>
    <row r="436" spans="1:5" x14ac:dyDescent="0.2">
      <c r="A436" t="s">
        <v>650</v>
      </c>
      <c r="B436">
        <v>678</v>
      </c>
      <c r="C436" t="s">
        <v>2691</v>
      </c>
      <c r="E436" t="s">
        <v>2692</v>
      </c>
    </row>
    <row r="437" spans="1:5" x14ac:dyDescent="0.2">
      <c r="A437" t="s">
        <v>539</v>
      </c>
      <c r="B437">
        <v>538</v>
      </c>
      <c r="C437" t="s">
        <v>2517</v>
      </c>
      <c r="E437" t="s">
        <v>2518</v>
      </c>
    </row>
    <row r="438" spans="1:5" x14ac:dyDescent="0.2">
      <c r="A438" t="s">
        <v>2383</v>
      </c>
      <c r="B438">
        <v>541</v>
      </c>
      <c r="C438" t="s">
        <v>2404</v>
      </c>
      <c r="E438" t="s">
        <v>2502</v>
      </c>
    </row>
    <row r="439" spans="1:5" x14ac:dyDescent="0.2">
      <c r="A439" t="s">
        <v>413</v>
      </c>
      <c r="B439">
        <v>624</v>
      </c>
      <c r="C439" t="s">
        <v>2568</v>
      </c>
      <c r="E439" t="s">
        <v>2569</v>
      </c>
    </row>
    <row r="440" spans="1:5" x14ac:dyDescent="0.2">
      <c r="A440" t="s">
        <v>505</v>
      </c>
      <c r="B440">
        <v>697</v>
      </c>
      <c r="C440" t="s">
        <v>2671</v>
      </c>
      <c r="E440" t="s">
        <v>2672</v>
      </c>
    </row>
    <row r="441" spans="1:5" x14ac:dyDescent="0.2">
      <c r="A441" t="s">
        <v>539</v>
      </c>
      <c r="B441">
        <v>567</v>
      </c>
      <c r="C441" t="s">
        <v>2417</v>
      </c>
      <c r="E441" t="s">
        <v>2418</v>
      </c>
    </row>
    <row r="442" spans="1:5" x14ac:dyDescent="0.2">
      <c r="A442" t="s">
        <v>567</v>
      </c>
      <c r="B442">
        <v>556</v>
      </c>
      <c r="C442" t="s">
        <v>2562</v>
      </c>
      <c r="E442" t="s">
        <v>2537</v>
      </c>
    </row>
    <row r="443" spans="1:5" x14ac:dyDescent="0.2">
      <c r="A443" t="s">
        <v>466</v>
      </c>
      <c r="B443">
        <v>541</v>
      </c>
      <c r="C443" t="s">
        <v>2404</v>
      </c>
      <c r="E443" t="s">
        <v>2405</v>
      </c>
    </row>
    <row r="444" spans="1:5" x14ac:dyDescent="0.2">
      <c r="A444" t="s">
        <v>592</v>
      </c>
      <c r="B444">
        <v>543</v>
      </c>
      <c r="C444" t="s">
        <v>2494</v>
      </c>
      <c r="E444" t="s">
        <v>2503</v>
      </c>
    </row>
    <row r="445" spans="1:5" x14ac:dyDescent="0.2">
      <c r="A445" t="s">
        <v>592</v>
      </c>
      <c r="B445">
        <v>541</v>
      </c>
      <c r="C445" t="s">
        <v>2693</v>
      </c>
      <c r="E445" t="s">
        <v>2694</v>
      </c>
    </row>
    <row r="446" spans="1:5" x14ac:dyDescent="0.2">
      <c r="A446" t="s">
        <v>505</v>
      </c>
      <c r="B446">
        <v>790</v>
      </c>
      <c r="C446" t="s">
        <v>2470</v>
      </c>
      <c r="E446" t="s">
        <v>2471</v>
      </c>
    </row>
    <row r="447" spans="1:5" x14ac:dyDescent="0.2">
      <c r="A447" t="s">
        <v>650</v>
      </c>
      <c r="B447">
        <v>540</v>
      </c>
      <c r="C447" t="s">
        <v>2509</v>
      </c>
      <c r="E447" t="s">
        <v>2585</v>
      </c>
    </row>
    <row r="448" spans="1:5" x14ac:dyDescent="0.2">
      <c r="A448" t="s">
        <v>650</v>
      </c>
      <c r="B448">
        <v>616</v>
      </c>
      <c r="C448" t="s">
        <v>2578</v>
      </c>
      <c r="E448" t="s">
        <v>2579</v>
      </c>
    </row>
    <row r="449" spans="1:5" x14ac:dyDescent="0.2">
      <c r="A449" t="s">
        <v>567</v>
      </c>
      <c r="B449">
        <v>566</v>
      </c>
      <c r="C449" t="s">
        <v>2528</v>
      </c>
      <c r="E449" t="s">
        <v>2529</v>
      </c>
    </row>
    <row r="450" spans="1:5" x14ac:dyDescent="0.2">
      <c r="A450" t="s">
        <v>550</v>
      </c>
      <c r="B450">
        <v>660</v>
      </c>
      <c r="C450" t="s">
        <v>2695</v>
      </c>
      <c r="E450" t="s">
        <v>2696</v>
      </c>
    </row>
    <row r="451" spans="1:5" x14ac:dyDescent="0.2">
      <c r="A451" t="s">
        <v>505</v>
      </c>
      <c r="B451">
        <v>695</v>
      </c>
      <c r="C451" t="s">
        <v>2669</v>
      </c>
      <c r="E451" t="s">
        <v>2670</v>
      </c>
    </row>
    <row r="452" spans="1:5" x14ac:dyDescent="0.2">
      <c r="A452" t="s">
        <v>505</v>
      </c>
      <c r="B452">
        <v>688</v>
      </c>
      <c r="C452" t="s">
        <v>2586</v>
      </c>
      <c r="E452" t="s">
        <v>2587</v>
      </c>
    </row>
    <row r="453" spans="1:5" x14ac:dyDescent="0.2">
      <c r="A453" t="s">
        <v>539</v>
      </c>
      <c r="B453">
        <v>538</v>
      </c>
      <c r="C453" t="s">
        <v>2517</v>
      </c>
      <c r="E453" t="s">
        <v>2518</v>
      </c>
    </row>
    <row r="454" spans="1:5" x14ac:dyDescent="0.2">
      <c r="A454" t="s">
        <v>505</v>
      </c>
      <c r="B454">
        <v>530</v>
      </c>
      <c r="C454" t="s">
        <v>2511</v>
      </c>
      <c r="E454" t="s">
        <v>2512</v>
      </c>
    </row>
    <row r="455" spans="1:5" x14ac:dyDescent="0.2">
      <c r="A455" t="s">
        <v>505</v>
      </c>
      <c r="B455">
        <v>680</v>
      </c>
      <c r="C455" t="s">
        <v>2564</v>
      </c>
      <c r="E455" t="s">
        <v>2565</v>
      </c>
    </row>
    <row r="456" spans="1:5" x14ac:dyDescent="0.2">
      <c r="A456" t="s">
        <v>505</v>
      </c>
      <c r="B456">
        <v>697</v>
      </c>
      <c r="C456" t="s">
        <v>2675</v>
      </c>
      <c r="E456" t="s">
        <v>2672</v>
      </c>
    </row>
    <row r="457" spans="1:5" x14ac:dyDescent="0.2">
      <c r="A457" t="s">
        <v>550</v>
      </c>
      <c r="B457">
        <v>741</v>
      </c>
      <c r="C457" t="s">
        <v>2697</v>
      </c>
      <c r="E457" t="s">
        <v>2698</v>
      </c>
    </row>
    <row r="458" spans="1:5" x14ac:dyDescent="0.2">
      <c r="A458" t="s">
        <v>550</v>
      </c>
      <c r="B458">
        <v>731</v>
      </c>
      <c r="C458" t="s">
        <v>2699</v>
      </c>
      <c r="E458" t="s">
        <v>2700</v>
      </c>
    </row>
    <row r="459" spans="1:5" x14ac:dyDescent="0.2">
      <c r="A459" t="s">
        <v>2408</v>
      </c>
      <c r="B459">
        <v>543</v>
      </c>
      <c r="C459" t="s">
        <v>2494</v>
      </c>
      <c r="E459" t="s">
        <v>2495</v>
      </c>
    </row>
    <row r="460" spans="1:5" x14ac:dyDescent="0.2">
      <c r="A460" t="s">
        <v>2408</v>
      </c>
      <c r="B460">
        <v>526</v>
      </c>
      <c r="C460" t="s">
        <v>2588</v>
      </c>
      <c r="E460" t="s">
        <v>2589</v>
      </c>
    </row>
    <row r="461" spans="1:5" x14ac:dyDescent="0.2">
      <c r="A461" t="s">
        <v>539</v>
      </c>
      <c r="B461">
        <v>536</v>
      </c>
      <c r="C461" t="s">
        <v>2639</v>
      </c>
      <c r="E461" t="s">
        <v>2640</v>
      </c>
    </row>
    <row r="462" spans="1:5" x14ac:dyDescent="0.2">
      <c r="A462" t="s">
        <v>505</v>
      </c>
      <c r="B462">
        <v>520</v>
      </c>
      <c r="C462" t="s">
        <v>2573</v>
      </c>
      <c r="E462" t="s">
        <v>2574</v>
      </c>
    </row>
    <row r="463" spans="1:5" x14ac:dyDescent="0.2">
      <c r="A463" t="s">
        <v>505</v>
      </c>
      <c r="B463">
        <v>697</v>
      </c>
      <c r="C463" t="s">
        <v>2671</v>
      </c>
      <c r="E463" t="s">
        <v>2672</v>
      </c>
    </row>
    <row r="464" spans="1:5" x14ac:dyDescent="0.2">
      <c r="A464" t="s">
        <v>567</v>
      </c>
      <c r="B464">
        <v>546</v>
      </c>
      <c r="C464" t="s">
        <v>2442</v>
      </c>
      <c r="E464" t="s">
        <v>2443</v>
      </c>
    </row>
    <row r="465" spans="1:5" x14ac:dyDescent="0.2">
      <c r="A465" t="s">
        <v>567</v>
      </c>
      <c r="B465">
        <v>556</v>
      </c>
      <c r="C465" t="s">
        <v>2562</v>
      </c>
      <c r="E465" t="s">
        <v>2537</v>
      </c>
    </row>
    <row r="466" spans="1:5" x14ac:dyDescent="0.2">
      <c r="A466" t="s">
        <v>550</v>
      </c>
      <c r="B466">
        <v>546</v>
      </c>
      <c r="C466" t="s">
        <v>2504</v>
      </c>
      <c r="E466" t="s">
        <v>2505</v>
      </c>
    </row>
    <row r="467" spans="1:5" x14ac:dyDescent="0.2">
      <c r="A467" t="s">
        <v>539</v>
      </c>
      <c r="B467">
        <v>535</v>
      </c>
      <c r="C467" t="s">
        <v>2506</v>
      </c>
      <c r="E467" t="s">
        <v>2507</v>
      </c>
    </row>
    <row r="468" spans="1:5" x14ac:dyDescent="0.2">
      <c r="A468" t="s">
        <v>505</v>
      </c>
      <c r="B468">
        <v>796</v>
      </c>
      <c r="C468" t="s">
        <v>2474</v>
      </c>
      <c r="E468" t="s">
        <v>2475</v>
      </c>
    </row>
    <row r="469" spans="1:5" x14ac:dyDescent="0.2">
      <c r="A469" t="s">
        <v>539</v>
      </c>
      <c r="B469">
        <v>567</v>
      </c>
      <c r="C469" t="s">
        <v>2417</v>
      </c>
      <c r="E469" t="s">
        <v>2418</v>
      </c>
    </row>
    <row r="470" spans="1:5" x14ac:dyDescent="0.2">
      <c r="A470" t="s">
        <v>505</v>
      </c>
      <c r="B470">
        <v>788</v>
      </c>
      <c r="C470" t="s">
        <v>2476</v>
      </c>
      <c r="E470" t="s">
        <v>2477</v>
      </c>
    </row>
    <row r="471" spans="1:5" x14ac:dyDescent="0.2">
      <c r="A471" t="s">
        <v>550</v>
      </c>
      <c r="B471">
        <v>618</v>
      </c>
      <c r="C471" t="s">
        <v>2701</v>
      </c>
      <c r="E471" t="s">
        <v>2702</v>
      </c>
    </row>
    <row r="472" spans="1:5" x14ac:dyDescent="0.2">
      <c r="A472" t="s">
        <v>650</v>
      </c>
      <c r="B472">
        <v>639</v>
      </c>
      <c r="C472" t="s">
        <v>2703</v>
      </c>
      <c r="E472" t="s">
        <v>2704</v>
      </c>
    </row>
    <row r="473" spans="1:5" x14ac:dyDescent="0.2">
      <c r="A473" t="s">
        <v>539</v>
      </c>
      <c r="B473">
        <v>536</v>
      </c>
      <c r="C473" t="s">
        <v>2658</v>
      </c>
      <c r="E473" t="s">
        <v>2640</v>
      </c>
    </row>
    <row r="474" spans="1:5" x14ac:dyDescent="0.2">
      <c r="A474" t="s">
        <v>413</v>
      </c>
      <c r="B474">
        <v>574</v>
      </c>
      <c r="C474" t="s">
        <v>2566</v>
      </c>
      <c r="E474" t="s">
        <v>2567</v>
      </c>
    </row>
    <row r="475" spans="1:5" x14ac:dyDescent="0.2">
      <c r="A475" t="s">
        <v>413</v>
      </c>
      <c r="B475">
        <v>624</v>
      </c>
      <c r="C475" t="s">
        <v>2568</v>
      </c>
      <c r="E475" t="s">
        <v>2569</v>
      </c>
    </row>
    <row r="476" spans="1:5" x14ac:dyDescent="0.2">
      <c r="A476" t="s">
        <v>550</v>
      </c>
      <c r="B476">
        <v>695</v>
      </c>
      <c r="C476" t="s">
        <v>2582</v>
      </c>
      <c r="D476" t="s">
        <v>2705</v>
      </c>
      <c r="E476" t="s">
        <v>2584</v>
      </c>
    </row>
    <row r="477" spans="1:5" x14ac:dyDescent="0.2">
      <c r="A477" t="s">
        <v>505</v>
      </c>
      <c r="B477">
        <v>680</v>
      </c>
      <c r="C477" t="s">
        <v>2564</v>
      </c>
      <c r="E477" t="s">
        <v>2565</v>
      </c>
    </row>
    <row r="478" spans="1:5" x14ac:dyDescent="0.2">
      <c r="A478" t="s">
        <v>505</v>
      </c>
      <c r="B478">
        <v>688</v>
      </c>
      <c r="C478" t="s">
        <v>2586</v>
      </c>
      <c r="E478" t="s">
        <v>2587</v>
      </c>
    </row>
    <row r="479" spans="1:5" x14ac:dyDescent="0.2">
      <c r="A479" t="s">
        <v>505</v>
      </c>
      <c r="B479">
        <v>695</v>
      </c>
      <c r="C479" t="s">
        <v>2669</v>
      </c>
      <c r="E479" t="s">
        <v>2670</v>
      </c>
    </row>
    <row r="480" spans="1:5" x14ac:dyDescent="0.2">
      <c r="A480" t="s">
        <v>505</v>
      </c>
      <c r="B480">
        <v>697</v>
      </c>
      <c r="C480" t="s">
        <v>2671</v>
      </c>
      <c r="E480" t="s">
        <v>2672</v>
      </c>
    </row>
    <row r="481" spans="1:5" x14ac:dyDescent="0.2">
      <c r="A481" t="s">
        <v>650</v>
      </c>
      <c r="B481">
        <v>616</v>
      </c>
      <c r="C481" t="s">
        <v>2578</v>
      </c>
      <c r="E481" t="s">
        <v>2579</v>
      </c>
    </row>
    <row r="482" spans="1:5" x14ac:dyDescent="0.2">
      <c r="A482" t="s">
        <v>650</v>
      </c>
      <c r="B482">
        <v>540</v>
      </c>
      <c r="C482" t="s">
        <v>2509</v>
      </c>
      <c r="E482" t="s">
        <v>2585</v>
      </c>
    </row>
    <row r="483" spans="1:5" x14ac:dyDescent="0.2">
      <c r="A483" t="s">
        <v>550</v>
      </c>
      <c r="B483">
        <v>695</v>
      </c>
      <c r="C483" t="s">
        <v>2582</v>
      </c>
      <c r="D483" t="s">
        <v>2706</v>
      </c>
      <c r="E483" t="s">
        <v>2584</v>
      </c>
    </row>
    <row r="484" spans="1:5" x14ac:dyDescent="0.2">
      <c r="A484" t="s">
        <v>567</v>
      </c>
      <c r="B484">
        <v>566</v>
      </c>
      <c r="C484" t="s">
        <v>2528</v>
      </c>
      <c r="E484" t="s">
        <v>2529</v>
      </c>
    </row>
    <row r="485" spans="1:5" x14ac:dyDescent="0.2">
      <c r="A485" t="s">
        <v>550</v>
      </c>
      <c r="B485">
        <v>695</v>
      </c>
      <c r="C485" t="s">
        <v>2582</v>
      </c>
      <c r="D485" t="s">
        <v>2707</v>
      </c>
      <c r="E485" t="s">
        <v>2584</v>
      </c>
    </row>
    <row r="486" spans="1:5" x14ac:dyDescent="0.2">
      <c r="A486" t="s">
        <v>567</v>
      </c>
      <c r="B486">
        <v>556</v>
      </c>
      <c r="C486" t="s">
        <v>2562</v>
      </c>
      <c r="E486" t="s">
        <v>2537</v>
      </c>
    </row>
    <row r="487" spans="1:5" x14ac:dyDescent="0.2">
      <c r="A487" t="s">
        <v>505</v>
      </c>
      <c r="B487">
        <v>530</v>
      </c>
      <c r="C487" t="s">
        <v>2511</v>
      </c>
      <c r="E487" t="s">
        <v>2512</v>
      </c>
    </row>
    <row r="488" spans="1:5" x14ac:dyDescent="0.2">
      <c r="A488" t="s">
        <v>550</v>
      </c>
      <c r="B488">
        <v>635</v>
      </c>
      <c r="C488" t="s">
        <v>2673</v>
      </c>
      <c r="E488" t="s">
        <v>2674</v>
      </c>
    </row>
    <row r="489" spans="1:5" x14ac:dyDescent="0.2">
      <c r="A489" t="s">
        <v>505</v>
      </c>
      <c r="B489">
        <v>520</v>
      </c>
      <c r="C489" t="s">
        <v>2573</v>
      </c>
      <c r="E489" t="s">
        <v>2574</v>
      </c>
    </row>
    <row r="490" spans="1:5" x14ac:dyDescent="0.2">
      <c r="A490" t="s">
        <v>550</v>
      </c>
      <c r="B490">
        <v>695</v>
      </c>
      <c r="C490" t="s">
        <v>2582</v>
      </c>
      <c r="D490" t="s">
        <v>2708</v>
      </c>
      <c r="E490" t="s">
        <v>2584</v>
      </c>
    </row>
    <row r="491" spans="1:5" x14ac:dyDescent="0.2">
      <c r="A491" t="s">
        <v>413</v>
      </c>
      <c r="B491">
        <v>634</v>
      </c>
      <c r="C491" t="s">
        <v>2709</v>
      </c>
      <c r="E491" t="s">
        <v>2710</v>
      </c>
    </row>
    <row r="492" spans="1:5" x14ac:dyDescent="0.2">
      <c r="A492" t="s">
        <v>466</v>
      </c>
      <c r="B492">
        <v>503</v>
      </c>
      <c r="C492" t="s">
        <v>2433</v>
      </c>
      <c r="E492" t="s">
        <v>2434</v>
      </c>
    </row>
    <row r="493" spans="1:5" x14ac:dyDescent="0.2">
      <c r="A493" t="s">
        <v>567</v>
      </c>
      <c r="B493">
        <v>546</v>
      </c>
      <c r="C493" t="s">
        <v>2442</v>
      </c>
      <c r="E493" t="s">
        <v>2443</v>
      </c>
    </row>
    <row r="494" spans="1:5" x14ac:dyDescent="0.2">
      <c r="A494" t="s">
        <v>505</v>
      </c>
      <c r="B494">
        <v>688</v>
      </c>
      <c r="C494" t="s">
        <v>2586</v>
      </c>
      <c r="E494" t="s">
        <v>2587</v>
      </c>
    </row>
    <row r="495" spans="1:5" x14ac:dyDescent="0.2">
      <c r="A495" t="s">
        <v>539</v>
      </c>
      <c r="B495">
        <v>537</v>
      </c>
      <c r="C495" t="s">
        <v>2496</v>
      </c>
      <c r="D495" t="s">
        <v>2711</v>
      </c>
      <c r="E495" t="s">
        <v>2497</v>
      </c>
    </row>
    <row r="496" spans="1:5" x14ac:dyDescent="0.2">
      <c r="A496" t="s">
        <v>539</v>
      </c>
      <c r="B496">
        <v>536</v>
      </c>
      <c r="C496" t="s">
        <v>2658</v>
      </c>
      <c r="E496" t="s">
        <v>2640</v>
      </c>
    </row>
    <row r="497" spans="1:5" x14ac:dyDescent="0.2">
      <c r="A497" t="s">
        <v>550</v>
      </c>
      <c r="B497">
        <v>695</v>
      </c>
      <c r="C497" t="s">
        <v>2582</v>
      </c>
      <c r="D497" t="s">
        <v>2712</v>
      </c>
      <c r="E497" t="s">
        <v>2584</v>
      </c>
    </row>
    <row r="498" spans="1:5" x14ac:dyDescent="0.2">
      <c r="A498" t="s">
        <v>550</v>
      </c>
      <c r="B498">
        <v>695</v>
      </c>
      <c r="C498" t="s">
        <v>2582</v>
      </c>
      <c r="D498" t="s">
        <v>2712</v>
      </c>
      <c r="E498" t="s">
        <v>2584</v>
      </c>
    </row>
    <row r="499" spans="1:5" x14ac:dyDescent="0.2">
      <c r="A499" t="s">
        <v>539</v>
      </c>
      <c r="B499">
        <v>539</v>
      </c>
      <c r="C499" t="s">
        <v>2580</v>
      </c>
      <c r="E499" t="s">
        <v>2581</v>
      </c>
    </row>
    <row r="500" spans="1:5" x14ac:dyDescent="0.2">
      <c r="A500" t="s">
        <v>505</v>
      </c>
      <c r="B500">
        <v>697</v>
      </c>
      <c r="C500" t="s">
        <v>2675</v>
      </c>
      <c r="E500" t="s">
        <v>2672</v>
      </c>
    </row>
    <row r="501" spans="1:5" x14ac:dyDescent="0.2">
      <c r="A501" t="s">
        <v>505</v>
      </c>
      <c r="B501">
        <v>695</v>
      </c>
      <c r="C501" t="s">
        <v>2669</v>
      </c>
      <c r="E501" t="s">
        <v>2670</v>
      </c>
    </row>
    <row r="502" spans="1:5" x14ac:dyDescent="0.2">
      <c r="A502" t="s">
        <v>567</v>
      </c>
      <c r="B502">
        <v>566</v>
      </c>
      <c r="C502" t="s">
        <v>2528</v>
      </c>
      <c r="E502" t="s">
        <v>2529</v>
      </c>
    </row>
    <row r="503" spans="1:5" x14ac:dyDescent="0.2">
      <c r="A503" t="s">
        <v>650</v>
      </c>
      <c r="B503">
        <v>634</v>
      </c>
      <c r="C503" t="s">
        <v>2413</v>
      </c>
      <c r="E503" t="s">
        <v>2414</v>
      </c>
    </row>
    <row r="504" spans="1:5" x14ac:dyDescent="0.2">
      <c r="A504" t="s">
        <v>505</v>
      </c>
      <c r="B504">
        <v>520</v>
      </c>
      <c r="C504" t="s">
        <v>2573</v>
      </c>
      <c r="E504" t="s">
        <v>2574</v>
      </c>
    </row>
    <row r="505" spans="1:5" x14ac:dyDescent="0.2">
      <c r="A505" t="s">
        <v>650</v>
      </c>
      <c r="B505">
        <v>540</v>
      </c>
      <c r="C505" t="s">
        <v>2509</v>
      </c>
      <c r="E505" t="s">
        <v>2585</v>
      </c>
    </row>
    <row r="506" spans="1:5" x14ac:dyDescent="0.2">
      <c r="A506" t="s">
        <v>505</v>
      </c>
      <c r="B506">
        <v>680</v>
      </c>
      <c r="C506" t="s">
        <v>2564</v>
      </c>
      <c r="E506" t="s">
        <v>2565</v>
      </c>
    </row>
    <row r="507" spans="1:5" x14ac:dyDescent="0.2">
      <c r="A507" t="s">
        <v>505</v>
      </c>
      <c r="B507">
        <v>688</v>
      </c>
      <c r="C507" t="s">
        <v>2586</v>
      </c>
      <c r="E507" t="s">
        <v>2587</v>
      </c>
    </row>
    <row r="508" spans="1:5" x14ac:dyDescent="0.2">
      <c r="A508" t="s">
        <v>539</v>
      </c>
      <c r="B508">
        <v>538</v>
      </c>
      <c r="C508" t="s">
        <v>2517</v>
      </c>
      <c r="E508" t="s">
        <v>2518</v>
      </c>
    </row>
    <row r="509" spans="1:5" x14ac:dyDescent="0.2">
      <c r="A509" t="s">
        <v>505</v>
      </c>
      <c r="B509">
        <v>530</v>
      </c>
      <c r="C509" t="s">
        <v>2511</v>
      </c>
      <c r="E509" t="s">
        <v>2512</v>
      </c>
    </row>
    <row r="510" spans="1:5" x14ac:dyDescent="0.2">
      <c r="A510" t="s">
        <v>413</v>
      </c>
      <c r="B510">
        <v>624</v>
      </c>
      <c r="C510" t="s">
        <v>2568</v>
      </c>
      <c r="E510" t="s">
        <v>2569</v>
      </c>
    </row>
    <row r="511" spans="1:5" x14ac:dyDescent="0.2">
      <c r="A511" t="s">
        <v>413</v>
      </c>
      <c r="B511">
        <v>674</v>
      </c>
      <c r="C511" t="s">
        <v>2381</v>
      </c>
      <c r="E511" t="s">
        <v>2382</v>
      </c>
    </row>
    <row r="512" spans="1:5" x14ac:dyDescent="0.2">
      <c r="A512" t="s">
        <v>650</v>
      </c>
      <c r="B512">
        <v>615</v>
      </c>
      <c r="C512" t="s">
        <v>2713</v>
      </c>
      <c r="E512" t="s">
        <v>2714</v>
      </c>
    </row>
    <row r="513" spans="1:5" x14ac:dyDescent="0.2">
      <c r="A513" t="s">
        <v>650</v>
      </c>
      <c r="B513">
        <v>623</v>
      </c>
      <c r="C513" t="s">
        <v>2715</v>
      </c>
      <c r="E513" t="s">
        <v>2716</v>
      </c>
    </row>
    <row r="514" spans="1:5" x14ac:dyDescent="0.2">
      <c r="A514" t="s">
        <v>567</v>
      </c>
      <c r="B514">
        <v>546</v>
      </c>
      <c r="C514" t="s">
        <v>2442</v>
      </c>
      <c r="E514" t="s">
        <v>2443</v>
      </c>
    </row>
    <row r="515" spans="1:5" x14ac:dyDescent="0.2">
      <c r="A515" t="s">
        <v>567</v>
      </c>
      <c r="B515">
        <v>556</v>
      </c>
      <c r="C515" t="s">
        <v>2536</v>
      </c>
      <c r="E515" t="s">
        <v>2537</v>
      </c>
    </row>
    <row r="516" spans="1:5" x14ac:dyDescent="0.2">
      <c r="A516" t="s">
        <v>505</v>
      </c>
      <c r="B516">
        <v>697</v>
      </c>
      <c r="C516" t="s">
        <v>2671</v>
      </c>
      <c r="E516" t="s">
        <v>2672</v>
      </c>
    </row>
    <row r="517" spans="1:5" x14ac:dyDescent="0.2">
      <c r="A517" t="s">
        <v>413</v>
      </c>
      <c r="B517">
        <v>574</v>
      </c>
      <c r="C517" t="s">
        <v>2566</v>
      </c>
      <c r="E517" t="s">
        <v>2567</v>
      </c>
    </row>
    <row r="518" spans="1:5" x14ac:dyDescent="0.2">
      <c r="A518" t="s">
        <v>592</v>
      </c>
      <c r="B518">
        <v>634</v>
      </c>
      <c r="C518" t="s">
        <v>2717</v>
      </c>
      <c r="E518" t="s">
        <v>2718</v>
      </c>
    </row>
    <row r="519" spans="1:5" x14ac:dyDescent="0.2">
      <c r="A519" t="s">
        <v>539</v>
      </c>
      <c r="B519">
        <v>567</v>
      </c>
      <c r="C519" t="s">
        <v>2417</v>
      </c>
      <c r="E519" t="s">
        <v>2418</v>
      </c>
    </row>
    <row r="520" spans="1:5" x14ac:dyDescent="0.2">
      <c r="A520" t="s">
        <v>567</v>
      </c>
      <c r="B520">
        <v>570</v>
      </c>
      <c r="C520" t="s">
        <v>2719</v>
      </c>
      <c r="E520" t="s">
        <v>2720</v>
      </c>
    </row>
    <row r="521" spans="1:5" x14ac:dyDescent="0.2">
      <c r="A521" t="s">
        <v>567</v>
      </c>
      <c r="B521">
        <v>520</v>
      </c>
      <c r="C521" t="s">
        <v>2500</v>
      </c>
      <c r="E521" t="s">
        <v>2501</v>
      </c>
    </row>
    <row r="522" spans="1:5" x14ac:dyDescent="0.2">
      <c r="A522" t="s">
        <v>592</v>
      </c>
      <c r="B522">
        <v>607</v>
      </c>
      <c r="C522" t="s">
        <v>2721</v>
      </c>
      <c r="E522" t="s">
        <v>2722</v>
      </c>
    </row>
    <row r="523" spans="1:5" x14ac:dyDescent="0.2">
      <c r="A523" t="s">
        <v>539</v>
      </c>
      <c r="B523">
        <v>680</v>
      </c>
      <c r="C523" t="s">
        <v>2723</v>
      </c>
      <c r="E523" t="s">
        <v>2724</v>
      </c>
    </row>
    <row r="524" spans="1:5" x14ac:dyDescent="0.2">
      <c r="A524" t="s">
        <v>539</v>
      </c>
      <c r="B524">
        <v>535</v>
      </c>
      <c r="C524" t="s">
        <v>2506</v>
      </c>
      <c r="E524" t="s">
        <v>2507</v>
      </c>
    </row>
    <row r="525" spans="1:5" x14ac:dyDescent="0.2">
      <c r="A525" t="s">
        <v>2408</v>
      </c>
      <c r="B525">
        <v>623</v>
      </c>
      <c r="C525" t="s">
        <v>2542</v>
      </c>
      <c r="E525" t="s">
        <v>2543</v>
      </c>
    </row>
    <row r="526" spans="1:5" x14ac:dyDescent="0.2">
      <c r="A526" t="s">
        <v>2383</v>
      </c>
      <c r="B526">
        <v>503</v>
      </c>
      <c r="C526" t="s">
        <v>2433</v>
      </c>
      <c r="E526" t="s">
        <v>2491</v>
      </c>
    </row>
    <row r="527" spans="1:5" x14ac:dyDescent="0.2">
      <c r="A527" t="s">
        <v>650</v>
      </c>
      <c r="B527">
        <v>624</v>
      </c>
      <c r="C527" t="s">
        <v>2725</v>
      </c>
      <c r="E527" t="s">
        <v>2726</v>
      </c>
    </row>
    <row r="528" spans="1:5" x14ac:dyDescent="0.2">
      <c r="A528" t="s">
        <v>650</v>
      </c>
      <c r="B528">
        <v>624</v>
      </c>
      <c r="C528" t="s">
        <v>2725</v>
      </c>
      <c r="E528" t="s">
        <v>2726</v>
      </c>
    </row>
    <row r="529" spans="1:5" x14ac:dyDescent="0.2">
      <c r="A529" t="s">
        <v>2383</v>
      </c>
      <c r="B529">
        <v>503</v>
      </c>
      <c r="C529" t="s">
        <v>2433</v>
      </c>
      <c r="E529" t="s">
        <v>2491</v>
      </c>
    </row>
    <row r="530" spans="1:5" x14ac:dyDescent="0.2">
      <c r="A530" t="s">
        <v>413</v>
      </c>
      <c r="B530">
        <v>674</v>
      </c>
      <c r="C530" t="s">
        <v>2381</v>
      </c>
      <c r="E530" t="s">
        <v>2382</v>
      </c>
    </row>
    <row r="531" spans="1:5" x14ac:dyDescent="0.2">
      <c r="A531" t="s">
        <v>382</v>
      </c>
      <c r="B531">
        <v>510</v>
      </c>
      <c r="C531" t="s">
        <v>2556</v>
      </c>
      <c r="E531" t="s">
        <v>2557</v>
      </c>
    </row>
    <row r="532" spans="1:5" x14ac:dyDescent="0.2">
      <c r="A532" t="s">
        <v>650</v>
      </c>
      <c r="B532">
        <v>656</v>
      </c>
      <c r="C532" t="s">
        <v>2620</v>
      </c>
      <c r="E532" t="s">
        <v>2621</v>
      </c>
    </row>
    <row r="533" spans="1:5" x14ac:dyDescent="0.2">
      <c r="A533" t="s">
        <v>505</v>
      </c>
      <c r="B533">
        <v>530</v>
      </c>
      <c r="C533" t="s">
        <v>2511</v>
      </c>
      <c r="E533" t="s">
        <v>2512</v>
      </c>
    </row>
    <row r="534" spans="1:5" x14ac:dyDescent="0.2">
      <c r="A534" t="s">
        <v>2408</v>
      </c>
      <c r="B534">
        <v>514</v>
      </c>
      <c r="C534" t="s">
        <v>2663</v>
      </c>
      <c r="E534" t="s">
        <v>2664</v>
      </c>
    </row>
    <row r="535" spans="1:5" x14ac:dyDescent="0.2">
      <c r="A535" t="s">
        <v>2408</v>
      </c>
      <c r="B535">
        <v>543</v>
      </c>
      <c r="C535" t="s">
        <v>2494</v>
      </c>
      <c r="E535" t="s">
        <v>2495</v>
      </c>
    </row>
    <row r="536" spans="1:5" x14ac:dyDescent="0.2">
      <c r="A536" t="s">
        <v>539</v>
      </c>
      <c r="B536">
        <v>567</v>
      </c>
      <c r="C536" t="s">
        <v>2417</v>
      </c>
      <c r="E536" t="s">
        <v>2418</v>
      </c>
    </row>
    <row r="537" spans="1:5" x14ac:dyDescent="0.2">
      <c r="A537" t="s">
        <v>550</v>
      </c>
      <c r="B537">
        <v>546</v>
      </c>
      <c r="C537" t="s">
        <v>2504</v>
      </c>
      <c r="E537" t="s">
        <v>2505</v>
      </c>
    </row>
    <row r="538" spans="1:5" x14ac:dyDescent="0.2">
      <c r="A538" t="s">
        <v>550</v>
      </c>
      <c r="B538">
        <v>546</v>
      </c>
      <c r="C538" t="s">
        <v>2504</v>
      </c>
      <c r="E538" t="s">
        <v>2505</v>
      </c>
    </row>
    <row r="539" spans="1:5" x14ac:dyDescent="0.2">
      <c r="A539" t="s">
        <v>2408</v>
      </c>
      <c r="B539">
        <v>637</v>
      </c>
      <c r="C539" t="s">
        <v>2498</v>
      </c>
      <c r="E539" t="s">
        <v>2499</v>
      </c>
    </row>
    <row r="540" spans="1:5" x14ac:dyDescent="0.2">
      <c r="A540" t="s">
        <v>567</v>
      </c>
      <c r="B540">
        <v>546</v>
      </c>
      <c r="C540" t="s">
        <v>2442</v>
      </c>
      <c r="E540" t="s">
        <v>2443</v>
      </c>
    </row>
    <row r="541" spans="1:5" x14ac:dyDescent="0.2">
      <c r="A541" t="s">
        <v>567</v>
      </c>
      <c r="B541">
        <v>556</v>
      </c>
      <c r="C541" t="s">
        <v>2562</v>
      </c>
      <c r="E541" t="s">
        <v>2537</v>
      </c>
    </row>
    <row r="542" spans="1:5" x14ac:dyDescent="0.2">
      <c r="A542" t="s">
        <v>2383</v>
      </c>
      <c r="B542">
        <v>534</v>
      </c>
      <c r="C542" t="s">
        <v>2489</v>
      </c>
      <c r="E542" t="s">
        <v>2490</v>
      </c>
    </row>
    <row r="543" spans="1:5" x14ac:dyDescent="0.2">
      <c r="A543" t="s">
        <v>2383</v>
      </c>
      <c r="B543">
        <v>678</v>
      </c>
      <c r="C543" t="s">
        <v>2727</v>
      </c>
      <c r="E543" t="s">
        <v>2728</v>
      </c>
    </row>
    <row r="544" spans="1:5" x14ac:dyDescent="0.2">
      <c r="A544" t="s">
        <v>505</v>
      </c>
      <c r="B544">
        <v>534</v>
      </c>
      <c r="C544" t="s">
        <v>2397</v>
      </c>
      <c r="E544" t="s">
        <v>2398</v>
      </c>
    </row>
    <row r="545" spans="1:5" x14ac:dyDescent="0.2">
      <c r="A545" t="s">
        <v>550</v>
      </c>
      <c r="B545">
        <v>685</v>
      </c>
      <c r="C545" t="s">
        <v>2729</v>
      </c>
      <c r="E545" t="s">
        <v>2730</v>
      </c>
    </row>
    <row r="546" spans="1:5" x14ac:dyDescent="0.2">
      <c r="A546" t="s">
        <v>505</v>
      </c>
      <c r="B546">
        <v>680</v>
      </c>
      <c r="C546" t="s">
        <v>2564</v>
      </c>
      <c r="E546" t="s">
        <v>2565</v>
      </c>
    </row>
    <row r="547" spans="1:5" x14ac:dyDescent="0.2">
      <c r="A547" t="s">
        <v>505</v>
      </c>
      <c r="B547">
        <v>697</v>
      </c>
      <c r="C547" t="s">
        <v>2675</v>
      </c>
      <c r="E547" t="s">
        <v>2672</v>
      </c>
    </row>
    <row r="548" spans="1:5" x14ac:dyDescent="0.2">
      <c r="A548" t="s">
        <v>505</v>
      </c>
      <c r="B548">
        <v>695</v>
      </c>
      <c r="C548" t="s">
        <v>2669</v>
      </c>
      <c r="E548" t="s">
        <v>2670</v>
      </c>
    </row>
    <row r="549" spans="1:5" x14ac:dyDescent="0.2">
      <c r="A549" t="s">
        <v>2408</v>
      </c>
      <c r="B549">
        <v>607</v>
      </c>
      <c r="C549" t="s">
        <v>2721</v>
      </c>
      <c r="E549" t="s">
        <v>2731</v>
      </c>
    </row>
    <row r="550" spans="1:5" x14ac:dyDescent="0.2">
      <c r="A550" t="s">
        <v>539</v>
      </c>
      <c r="B550">
        <v>535</v>
      </c>
      <c r="C550" t="s">
        <v>2506</v>
      </c>
      <c r="E550" t="s">
        <v>2507</v>
      </c>
    </row>
    <row r="551" spans="1:5" x14ac:dyDescent="0.2">
      <c r="A551" t="s">
        <v>505</v>
      </c>
      <c r="B551">
        <v>520</v>
      </c>
      <c r="C551" t="s">
        <v>2573</v>
      </c>
      <c r="E551" t="s">
        <v>2574</v>
      </c>
    </row>
    <row r="552" spans="1:5" x14ac:dyDescent="0.2">
      <c r="A552" t="s">
        <v>539</v>
      </c>
      <c r="B552">
        <v>539</v>
      </c>
      <c r="C552" t="s">
        <v>2580</v>
      </c>
      <c r="E552" t="s">
        <v>2581</v>
      </c>
    </row>
    <row r="553" spans="1:5" x14ac:dyDescent="0.2">
      <c r="A553" t="s">
        <v>539</v>
      </c>
      <c r="B553">
        <v>567</v>
      </c>
      <c r="C553" t="s">
        <v>2417</v>
      </c>
      <c r="D553" t="s">
        <v>2732</v>
      </c>
      <c r="E553" t="s">
        <v>2418</v>
      </c>
    </row>
    <row r="554" spans="1:5" x14ac:dyDescent="0.2">
      <c r="A554" t="s">
        <v>550</v>
      </c>
      <c r="B554">
        <v>635</v>
      </c>
      <c r="C554" t="s">
        <v>2673</v>
      </c>
      <c r="E554" t="s">
        <v>2674</v>
      </c>
    </row>
    <row r="555" spans="1:5" x14ac:dyDescent="0.2">
      <c r="A555" t="s">
        <v>650</v>
      </c>
      <c r="B555">
        <v>616</v>
      </c>
      <c r="C555" t="s">
        <v>2578</v>
      </c>
      <c r="E555" t="s">
        <v>2579</v>
      </c>
    </row>
    <row r="556" spans="1:5" x14ac:dyDescent="0.2">
      <c r="A556" t="s">
        <v>413</v>
      </c>
      <c r="B556">
        <v>624</v>
      </c>
      <c r="C556" t="s">
        <v>2568</v>
      </c>
      <c r="E556" t="s">
        <v>2569</v>
      </c>
    </row>
    <row r="557" spans="1:5" x14ac:dyDescent="0.2">
      <c r="A557" t="s">
        <v>505</v>
      </c>
      <c r="B557">
        <v>688</v>
      </c>
      <c r="C557" t="s">
        <v>2586</v>
      </c>
      <c r="E557" t="s">
        <v>2587</v>
      </c>
    </row>
    <row r="558" spans="1:5" x14ac:dyDescent="0.2">
      <c r="A558" t="s">
        <v>505</v>
      </c>
      <c r="B558">
        <v>697</v>
      </c>
      <c r="C558" t="s">
        <v>2671</v>
      </c>
      <c r="E558" t="s">
        <v>2672</v>
      </c>
    </row>
    <row r="559" spans="1:5" x14ac:dyDescent="0.2">
      <c r="A559" t="s">
        <v>2408</v>
      </c>
      <c r="B559">
        <v>526</v>
      </c>
      <c r="C559" t="s">
        <v>2588</v>
      </c>
      <c r="E559" t="s">
        <v>2589</v>
      </c>
    </row>
    <row r="560" spans="1:5" x14ac:dyDescent="0.2">
      <c r="A560" t="s">
        <v>567</v>
      </c>
      <c r="B560">
        <v>546</v>
      </c>
      <c r="C560" t="s">
        <v>2442</v>
      </c>
      <c r="E560" t="s">
        <v>2443</v>
      </c>
    </row>
    <row r="561" spans="1:5" x14ac:dyDescent="0.2">
      <c r="A561" t="s">
        <v>505</v>
      </c>
      <c r="B561">
        <v>530</v>
      </c>
      <c r="C561" t="s">
        <v>2511</v>
      </c>
      <c r="E561" t="s">
        <v>2512</v>
      </c>
    </row>
    <row r="562" spans="1:5" x14ac:dyDescent="0.2">
      <c r="A562" t="s">
        <v>650</v>
      </c>
      <c r="B562">
        <v>540</v>
      </c>
      <c r="C562" t="s">
        <v>2509</v>
      </c>
      <c r="E562" t="s">
        <v>2585</v>
      </c>
    </row>
    <row r="563" spans="1:5" x14ac:dyDescent="0.2">
      <c r="A563" t="s">
        <v>505</v>
      </c>
      <c r="B563">
        <v>688</v>
      </c>
      <c r="C563" t="s">
        <v>2586</v>
      </c>
      <c r="E563" t="s">
        <v>2587</v>
      </c>
    </row>
    <row r="564" spans="1:5" x14ac:dyDescent="0.2">
      <c r="A564" t="s">
        <v>550</v>
      </c>
      <c r="B564">
        <v>676</v>
      </c>
      <c r="C564" t="s">
        <v>2733</v>
      </c>
      <c r="E564" t="s">
        <v>2734</v>
      </c>
    </row>
    <row r="565" spans="1:5" x14ac:dyDescent="0.2">
      <c r="A565" t="s">
        <v>413</v>
      </c>
      <c r="B565">
        <v>574</v>
      </c>
      <c r="C565" t="s">
        <v>2566</v>
      </c>
      <c r="E565" t="s">
        <v>2567</v>
      </c>
    </row>
    <row r="566" spans="1:5" x14ac:dyDescent="0.2">
      <c r="A566" t="s">
        <v>567</v>
      </c>
      <c r="B566">
        <v>566</v>
      </c>
      <c r="C566" t="s">
        <v>2528</v>
      </c>
      <c r="E566" t="s">
        <v>2529</v>
      </c>
    </row>
    <row r="567" spans="1:5" x14ac:dyDescent="0.2">
      <c r="A567" t="s">
        <v>539</v>
      </c>
      <c r="B567">
        <v>680</v>
      </c>
      <c r="C567" t="s">
        <v>2723</v>
      </c>
      <c r="E567" t="s">
        <v>2724</v>
      </c>
    </row>
    <row r="568" spans="1:5" x14ac:dyDescent="0.2">
      <c r="A568" t="s">
        <v>539</v>
      </c>
      <c r="B568">
        <v>537</v>
      </c>
      <c r="C568" t="s">
        <v>2496</v>
      </c>
      <c r="E568" t="s">
        <v>2497</v>
      </c>
    </row>
    <row r="569" spans="1:5" x14ac:dyDescent="0.2">
      <c r="A569" t="s">
        <v>505</v>
      </c>
      <c r="B569">
        <v>790</v>
      </c>
      <c r="C569" t="s">
        <v>2470</v>
      </c>
      <c r="E569" t="s">
        <v>2471</v>
      </c>
    </row>
    <row r="570" spans="1:5" x14ac:dyDescent="0.2">
      <c r="A570" t="s">
        <v>550</v>
      </c>
      <c r="B570">
        <v>731</v>
      </c>
      <c r="C570" t="s">
        <v>2699</v>
      </c>
      <c r="E570" t="s">
        <v>2700</v>
      </c>
    </row>
    <row r="571" spans="1:5" x14ac:dyDescent="0.2">
      <c r="A571" t="s">
        <v>550</v>
      </c>
      <c r="B571">
        <v>741</v>
      </c>
      <c r="C571" t="s">
        <v>2697</v>
      </c>
      <c r="E571" t="s">
        <v>2698</v>
      </c>
    </row>
    <row r="572" spans="1:5" x14ac:dyDescent="0.2">
      <c r="A572" t="s">
        <v>505</v>
      </c>
      <c r="B572">
        <v>796</v>
      </c>
      <c r="C572" t="s">
        <v>2474</v>
      </c>
      <c r="E572" t="s">
        <v>2475</v>
      </c>
    </row>
    <row r="573" spans="1:5" x14ac:dyDescent="0.2">
      <c r="A573" t="s">
        <v>539</v>
      </c>
      <c r="B573">
        <v>567</v>
      </c>
      <c r="C573" t="s">
        <v>2417</v>
      </c>
      <c r="E573" t="s">
        <v>2418</v>
      </c>
    </row>
    <row r="574" spans="1:5" x14ac:dyDescent="0.2">
      <c r="A574" t="s">
        <v>505</v>
      </c>
      <c r="B574">
        <v>793</v>
      </c>
      <c r="C574" t="s">
        <v>2482</v>
      </c>
      <c r="E574" t="s">
        <v>2483</v>
      </c>
    </row>
    <row r="575" spans="1:5" x14ac:dyDescent="0.2">
      <c r="A575" t="s">
        <v>413</v>
      </c>
      <c r="B575">
        <v>674</v>
      </c>
      <c r="C575" t="s">
        <v>2381</v>
      </c>
      <c r="E575" t="s">
        <v>2382</v>
      </c>
    </row>
    <row r="576" spans="1:5" x14ac:dyDescent="0.2">
      <c r="A576" t="s">
        <v>567</v>
      </c>
      <c r="B576">
        <v>546</v>
      </c>
      <c r="C576" t="s">
        <v>2442</v>
      </c>
      <c r="E576" t="s">
        <v>2443</v>
      </c>
    </row>
    <row r="577" spans="1:5" x14ac:dyDescent="0.2">
      <c r="A577" t="s">
        <v>2408</v>
      </c>
      <c r="B577">
        <v>555</v>
      </c>
      <c r="C577" t="s">
        <v>2415</v>
      </c>
      <c r="E577" t="s">
        <v>2416</v>
      </c>
    </row>
    <row r="578" spans="1:5" x14ac:dyDescent="0.2">
      <c r="A578" t="s">
        <v>539</v>
      </c>
      <c r="B578">
        <v>536</v>
      </c>
      <c r="C578" t="s">
        <v>2658</v>
      </c>
      <c r="E578" t="s">
        <v>2640</v>
      </c>
    </row>
    <row r="579" spans="1:5" x14ac:dyDescent="0.2">
      <c r="A579" t="s">
        <v>650</v>
      </c>
      <c r="B579">
        <v>695</v>
      </c>
      <c r="C579" t="s">
        <v>2386</v>
      </c>
      <c r="D579" t="s">
        <v>2487</v>
      </c>
      <c r="E579" t="s">
        <v>2488</v>
      </c>
    </row>
    <row r="580" spans="1:5" x14ac:dyDescent="0.2">
      <c r="A580" t="s">
        <v>2408</v>
      </c>
      <c r="B580">
        <v>543</v>
      </c>
      <c r="C580" t="s">
        <v>2494</v>
      </c>
      <c r="E580" t="s">
        <v>2495</v>
      </c>
    </row>
    <row r="581" spans="1:5" x14ac:dyDescent="0.2">
      <c r="A581" t="s">
        <v>413</v>
      </c>
      <c r="B581">
        <v>674</v>
      </c>
      <c r="C581" t="s">
        <v>2381</v>
      </c>
      <c r="E581" t="s">
        <v>2382</v>
      </c>
    </row>
    <row r="582" spans="1:5" x14ac:dyDescent="0.2">
      <c r="A582" t="s">
        <v>650</v>
      </c>
      <c r="B582">
        <v>656</v>
      </c>
      <c r="C582" t="s">
        <v>2620</v>
      </c>
      <c r="E582" t="s">
        <v>2621</v>
      </c>
    </row>
    <row r="583" spans="1:5" x14ac:dyDescent="0.2">
      <c r="A583" t="s">
        <v>650</v>
      </c>
      <c r="B583">
        <v>695</v>
      </c>
      <c r="C583" t="s">
        <v>2386</v>
      </c>
      <c r="D583" t="s">
        <v>2487</v>
      </c>
      <c r="E583" t="s">
        <v>2488</v>
      </c>
    </row>
    <row r="584" spans="1:5" x14ac:dyDescent="0.2">
      <c r="A584" t="s">
        <v>2408</v>
      </c>
      <c r="B584">
        <v>543</v>
      </c>
      <c r="C584" t="s">
        <v>2494</v>
      </c>
      <c r="E584" t="s">
        <v>2495</v>
      </c>
    </row>
    <row r="585" spans="1:5" x14ac:dyDescent="0.2">
      <c r="A585" t="s">
        <v>567</v>
      </c>
      <c r="B585">
        <v>546</v>
      </c>
      <c r="C585" t="s">
        <v>2442</v>
      </c>
      <c r="E585" t="s">
        <v>2443</v>
      </c>
    </row>
    <row r="586" spans="1:5" x14ac:dyDescent="0.2">
      <c r="A586" t="s">
        <v>413</v>
      </c>
      <c r="B586">
        <v>567</v>
      </c>
      <c r="C586" t="s">
        <v>2622</v>
      </c>
      <c r="E586" t="s">
        <v>2623</v>
      </c>
    </row>
    <row r="587" spans="1:5" x14ac:dyDescent="0.2">
      <c r="A587" t="s">
        <v>567</v>
      </c>
      <c r="B587">
        <v>556</v>
      </c>
      <c r="C587" t="s">
        <v>2536</v>
      </c>
      <c r="E587" t="s">
        <v>2537</v>
      </c>
    </row>
    <row r="588" spans="1:5" x14ac:dyDescent="0.2">
      <c r="A588" t="s">
        <v>2408</v>
      </c>
      <c r="B588">
        <v>656</v>
      </c>
      <c r="C588" t="s">
        <v>2650</v>
      </c>
      <c r="E588" t="s">
        <v>2662</v>
      </c>
    </row>
    <row r="589" spans="1:5" x14ac:dyDescent="0.2">
      <c r="A589" t="s">
        <v>413</v>
      </c>
      <c r="B589">
        <v>505</v>
      </c>
      <c r="C589" t="s">
        <v>2440</v>
      </c>
      <c r="E589" t="s">
        <v>2441</v>
      </c>
    </row>
    <row r="590" spans="1:5" x14ac:dyDescent="0.2">
      <c r="A590" t="s">
        <v>382</v>
      </c>
      <c r="B590">
        <v>510</v>
      </c>
      <c r="C590" t="s">
        <v>2556</v>
      </c>
      <c r="E590" t="s">
        <v>2557</v>
      </c>
    </row>
    <row r="591" spans="1:5" x14ac:dyDescent="0.2">
      <c r="A591" t="s">
        <v>2383</v>
      </c>
      <c r="B591">
        <v>610</v>
      </c>
      <c r="C591" t="s">
        <v>2546</v>
      </c>
      <c r="E591" t="s">
        <v>2618</v>
      </c>
    </row>
    <row r="592" spans="1:5" x14ac:dyDescent="0.2">
      <c r="A592" t="s">
        <v>650</v>
      </c>
      <c r="B592">
        <v>600</v>
      </c>
      <c r="C592" t="s">
        <v>2735</v>
      </c>
      <c r="E592" t="s">
        <v>2736</v>
      </c>
    </row>
    <row r="593" spans="1:5" x14ac:dyDescent="0.2">
      <c r="A593" t="s">
        <v>539</v>
      </c>
      <c r="B593">
        <v>537</v>
      </c>
      <c r="C593" t="s">
        <v>2496</v>
      </c>
      <c r="E593" t="s">
        <v>2497</v>
      </c>
    </row>
    <row r="594" spans="1:5" x14ac:dyDescent="0.2">
      <c r="A594" t="s">
        <v>2408</v>
      </c>
      <c r="B594">
        <v>543</v>
      </c>
      <c r="C594" t="s">
        <v>2494</v>
      </c>
      <c r="E594" t="s">
        <v>2495</v>
      </c>
    </row>
    <row r="595" spans="1:5" x14ac:dyDescent="0.2">
      <c r="A595" t="s">
        <v>2408</v>
      </c>
      <c r="B595">
        <v>539</v>
      </c>
      <c r="C595" t="s">
        <v>2420</v>
      </c>
      <c r="E595" t="s">
        <v>2421</v>
      </c>
    </row>
    <row r="596" spans="1:5" x14ac:dyDescent="0.2">
      <c r="A596" t="s">
        <v>505</v>
      </c>
      <c r="B596">
        <v>620</v>
      </c>
      <c r="C596" t="s">
        <v>2624</v>
      </c>
      <c r="E596" t="s">
        <v>2625</v>
      </c>
    </row>
    <row r="597" spans="1:5" x14ac:dyDescent="0.2">
      <c r="A597" t="s">
        <v>2383</v>
      </c>
      <c r="B597">
        <v>534</v>
      </c>
      <c r="C597" t="s">
        <v>2489</v>
      </c>
      <c r="E597" t="s">
        <v>2490</v>
      </c>
    </row>
    <row r="598" spans="1:5" x14ac:dyDescent="0.2">
      <c r="A598" t="s">
        <v>650</v>
      </c>
      <c r="B598">
        <v>624</v>
      </c>
      <c r="C598" t="s">
        <v>2725</v>
      </c>
      <c r="E598" t="s">
        <v>2726</v>
      </c>
    </row>
    <row r="599" spans="1:5" x14ac:dyDescent="0.2">
      <c r="A599" t="s">
        <v>2383</v>
      </c>
      <c r="B599">
        <v>503</v>
      </c>
      <c r="C599" t="s">
        <v>2433</v>
      </c>
      <c r="E599" t="s">
        <v>2491</v>
      </c>
    </row>
    <row r="600" spans="1:5" x14ac:dyDescent="0.2">
      <c r="A600" t="s">
        <v>539</v>
      </c>
      <c r="B600">
        <v>535</v>
      </c>
      <c r="C600" t="s">
        <v>2506</v>
      </c>
      <c r="E600" t="s">
        <v>2507</v>
      </c>
    </row>
    <row r="601" spans="1:5" x14ac:dyDescent="0.2">
      <c r="A601" t="s">
        <v>2408</v>
      </c>
      <c r="B601">
        <v>637</v>
      </c>
      <c r="C601" t="s">
        <v>2498</v>
      </c>
      <c r="E601" t="s">
        <v>2499</v>
      </c>
    </row>
    <row r="602" spans="1:5" x14ac:dyDescent="0.2">
      <c r="A602" t="s">
        <v>505</v>
      </c>
      <c r="B602">
        <v>620</v>
      </c>
      <c r="C602" t="s">
        <v>2624</v>
      </c>
      <c r="E602" t="s">
        <v>2625</v>
      </c>
    </row>
    <row r="603" spans="1:5" x14ac:dyDescent="0.2">
      <c r="A603" t="s">
        <v>650</v>
      </c>
      <c r="B603">
        <v>656</v>
      </c>
      <c r="C603" t="s">
        <v>2620</v>
      </c>
      <c r="E603" t="s">
        <v>2621</v>
      </c>
    </row>
    <row r="604" spans="1:5" x14ac:dyDescent="0.2">
      <c r="A604" t="s">
        <v>2408</v>
      </c>
      <c r="B604">
        <v>604</v>
      </c>
      <c r="C604" t="s">
        <v>2652</v>
      </c>
      <c r="E604" t="s">
        <v>2737</v>
      </c>
    </row>
    <row r="605" spans="1:5" x14ac:dyDescent="0.2">
      <c r="A605" t="s">
        <v>550</v>
      </c>
      <c r="B605">
        <v>546</v>
      </c>
      <c r="C605" t="s">
        <v>2504</v>
      </c>
      <c r="E605" t="s">
        <v>2505</v>
      </c>
    </row>
    <row r="606" spans="1:5" x14ac:dyDescent="0.2">
      <c r="A606" t="s">
        <v>539</v>
      </c>
      <c r="B606">
        <v>567</v>
      </c>
      <c r="C606" t="s">
        <v>2417</v>
      </c>
      <c r="E606" t="s">
        <v>2418</v>
      </c>
    </row>
    <row r="607" spans="1:5" x14ac:dyDescent="0.2">
      <c r="A607" t="s">
        <v>550</v>
      </c>
      <c r="B607">
        <v>546</v>
      </c>
      <c r="C607" t="s">
        <v>2504</v>
      </c>
      <c r="E607" t="s">
        <v>2505</v>
      </c>
    </row>
    <row r="608" spans="1:5" x14ac:dyDescent="0.2">
      <c r="A608" t="s">
        <v>567</v>
      </c>
      <c r="B608">
        <v>546</v>
      </c>
      <c r="C608" t="s">
        <v>2442</v>
      </c>
      <c r="E608" t="s">
        <v>2443</v>
      </c>
    </row>
    <row r="609" spans="1:5" x14ac:dyDescent="0.2">
      <c r="A609" t="s">
        <v>592</v>
      </c>
      <c r="B609">
        <v>538</v>
      </c>
      <c r="C609" t="s">
        <v>2548</v>
      </c>
      <c r="E609" t="s">
        <v>2549</v>
      </c>
    </row>
    <row r="610" spans="1:5" x14ac:dyDescent="0.2">
      <c r="A610" t="s">
        <v>650</v>
      </c>
      <c r="B610">
        <v>656</v>
      </c>
      <c r="C610" t="s">
        <v>2620</v>
      </c>
      <c r="E610" t="s">
        <v>2621</v>
      </c>
    </row>
    <row r="611" spans="1:5" x14ac:dyDescent="0.2">
      <c r="A611" t="s">
        <v>567</v>
      </c>
      <c r="B611">
        <v>566</v>
      </c>
      <c r="C611" t="s">
        <v>2528</v>
      </c>
      <c r="E611" t="s">
        <v>2529</v>
      </c>
    </row>
    <row r="612" spans="1:5" x14ac:dyDescent="0.2">
      <c r="A612" t="s">
        <v>592</v>
      </c>
      <c r="B612">
        <v>543</v>
      </c>
      <c r="C612" t="s">
        <v>2494</v>
      </c>
      <c r="E612" t="s">
        <v>2503</v>
      </c>
    </row>
    <row r="613" spans="1:5" x14ac:dyDescent="0.2">
      <c r="A613" t="s">
        <v>539</v>
      </c>
      <c r="B613">
        <v>535</v>
      </c>
      <c r="C613" t="s">
        <v>2506</v>
      </c>
      <c r="E613" t="s">
        <v>2507</v>
      </c>
    </row>
    <row r="614" spans="1:5" x14ac:dyDescent="0.2">
      <c r="A614" t="s">
        <v>592</v>
      </c>
      <c r="B614">
        <v>539</v>
      </c>
      <c r="C614" t="s">
        <v>2436</v>
      </c>
      <c r="E614" t="s">
        <v>2437</v>
      </c>
    </row>
    <row r="615" spans="1:5" x14ac:dyDescent="0.2">
      <c r="A615" t="s">
        <v>466</v>
      </c>
      <c r="B615">
        <v>534</v>
      </c>
      <c r="C615" t="s">
        <v>2489</v>
      </c>
      <c r="E615" t="s">
        <v>2513</v>
      </c>
    </row>
    <row r="616" spans="1:5" x14ac:dyDescent="0.2">
      <c r="A616" t="s">
        <v>466</v>
      </c>
      <c r="B616">
        <v>503</v>
      </c>
      <c r="C616" t="s">
        <v>2433</v>
      </c>
      <c r="E616" t="s">
        <v>2434</v>
      </c>
    </row>
    <row r="617" spans="1:5" x14ac:dyDescent="0.2">
      <c r="A617" t="s">
        <v>505</v>
      </c>
      <c r="B617">
        <v>530</v>
      </c>
      <c r="C617" t="s">
        <v>2511</v>
      </c>
      <c r="E617" t="s">
        <v>2512</v>
      </c>
    </row>
    <row r="618" spans="1:5" x14ac:dyDescent="0.2">
      <c r="A618" t="s">
        <v>592</v>
      </c>
      <c r="B618">
        <v>606</v>
      </c>
      <c r="C618" t="s">
        <v>2526</v>
      </c>
      <c r="E618" t="s">
        <v>2627</v>
      </c>
    </row>
    <row r="619" spans="1:5" x14ac:dyDescent="0.2">
      <c r="A619" t="s">
        <v>567</v>
      </c>
      <c r="B619">
        <v>556</v>
      </c>
      <c r="C619" t="s">
        <v>2562</v>
      </c>
      <c r="E619" t="s">
        <v>2537</v>
      </c>
    </row>
    <row r="620" spans="1:5" x14ac:dyDescent="0.2">
      <c r="A620" t="s">
        <v>413</v>
      </c>
      <c r="B620">
        <v>680</v>
      </c>
      <c r="C620" t="s">
        <v>2643</v>
      </c>
      <c r="E620" t="s">
        <v>2644</v>
      </c>
    </row>
    <row r="621" spans="1:5" x14ac:dyDescent="0.2">
      <c r="A621" t="s">
        <v>592</v>
      </c>
      <c r="B621">
        <v>637</v>
      </c>
      <c r="C621" t="s">
        <v>2498</v>
      </c>
      <c r="E621" t="s">
        <v>2508</v>
      </c>
    </row>
    <row r="622" spans="1:5" x14ac:dyDescent="0.2">
      <c r="A622" t="s">
        <v>466</v>
      </c>
      <c r="B622">
        <v>503</v>
      </c>
      <c r="C622" t="s">
        <v>2433</v>
      </c>
      <c r="E622" t="s">
        <v>2434</v>
      </c>
    </row>
    <row r="623" spans="1:5" x14ac:dyDescent="0.2">
      <c r="A623" t="s">
        <v>650</v>
      </c>
      <c r="B623">
        <v>630</v>
      </c>
      <c r="C623" t="s">
        <v>2738</v>
      </c>
      <c r="E623" t="s">
        <v>2739</v>
      </c>
    </row>
    <row r="624" spans="1:5" x14ac:dyDescent="0.2">
      <c r="A624" t="s">
        <v>650</v>
      </c>
      <c r="B624">
        <v>640</v>
      </c>
      <c r="C624" t="s">
        <v>2509</v>
      </c>
      <c r="E624" t="s">
        <v>2510</v>
      </c>
    </row>
    <row r="625" spans="1:5" x14ac:dyDescent="0.2">
      <c r="A625" t="s">
        <v>2408</v>
      </c>
      <c r="B625">
        <v>567</v>
      </c>
      <c r="C625" t="s">
        <v>2740</v>
      </c>
      <c r="E625" t="s">
        <v>2741</v>
      </c>
    </row>
    <row r="626" spans="1:5" x14ac:dyDescent="0.2">
      <c r="A626" t="s">
        <v>2408</v>
      </c>
      <c r="B626">
        <v>508</v>
      </c>
      <c r="C626" t="s">
        <v>2742</v>
      </c>
      <c r="E626" t="s">
        <v>2743</v>
      </c>
    </row>
    <row r="627" spans="1:5" x14ac:dyDescent="0.2">
      <c r="A627" t="s">
        <v>567</v>
      </c>
      <c r="B627">
        <v>940</v>
      </c>
      <c r="C627" t="s">
        <v>2744</v>
      </c>
      <c r="E627" t="s">
        <v>2745</v>
      </c>
    </row>
    <row r="628" spans="1:5" x14ac:dyDescent="0.2">
      <c r="A628" t="s">
        <v>2408</v>
      </c>
      <c r="B628">
        <v>505</v>
      </c>
      <c r="C628" t="s">
        <v>2746</v>
      </c>
      <c r="E628" t="s">
        <v>2747</v>
      </c>
    </row>
    <row r="629" spans="1:5" x14ac:dyDescent="0.2">
      <c r="A629" t="s">
        <v>539</v>
      </c>
      <c r="B629">
        <v>678</v>
      </c>
      <c r="C629" t="s">
        <v>2748</v>
      </c>
      <c r="E629" t="s">
        <v>2749</v>
      </c>
    </row>
    <row r="630" spans="1:5" x14ac:dyDescent="0.2">
      <c r="A630" t="s">
        <v>2408</v>
      </c>
      <c r="B630">
        <v>631</v>
      </c>
      <c r="C630" t="s">
        <v>2750</v>
      </c>
      <c r="E630" t="s">
        <v>2751</v>
      </c>
    </row>
    <row r="631" spans="1:5" x14ac:dyDescent="0.2">
      <c r="A631" t="s">
        <v>567</v>
      </c>
      <c r="B631">
        <v>664</v>
      </c>
      <c r="C631" t="s">
        <v>2752</v>
      </c>
      <c r="E631" t="s">
        <v>2753</v>
      </c>
    </row>
    <row r="632" spans="1:5" x14ac:dyDescent="0.2">
      <c r="A632" t="s">
        <v>550</v>
      </c>
      <c r="B632">
        <v>676</v>
      </c>
      <c r="C632" t="s">
        <v>2733</v>
      </c>
      <c r="E632" t="s">
        <v>2734</v>
      </c>
    </row>
    <row r="633" spans="1:5" x14ac:dyDescent="0.2">
      <c r="A633" t="s">
        <v>2408</v>
      </c>
      <c r="B633">
        <v>529</v>
      </c>
      <c r="C633" t="s">
        <v>2754</v>
      </c>
      <c r="E633" t="s">
        <v>2755</v>
      </c>
    </row>
    <row r="634" spans="1:5" x14ac:dyDescent="0.2">
      <c r="A634" t="s">
        <v>539</v>
      </c>
      <c r="B634">
        <v>543</v>
      </c>
      <c r="C634" t="s">
        <v>2756</v>
      </c>
      <c r="E634" t="s">
        <v>2757</v>
      </c>
    </row>
    <row r="635" spans="1:5" x14ac:dyDescent="0.2">
      <c r="A635" t="s">
        <v>2408</v>
      </c>
      <c r="B635">
        <v>555</v>
      </c>
      <c r="C635" t="s">
        <v>2415</v>
      </c>
      <c r="E635" t="s">
        <v>2416</v>
      </c>
    </row>
    <row r="636" spans="1:5" x14ac:dyDescent="0.2">
      <c r="A636" t="s">
        <v>2408</v>
      </c>
      <c r="B636">
        <v>631</v>
      </c>
      <c r="C636" t="s">
        <v>2750</v>
      </c>
      <c r="E636" t="s">
        <v>2751</v>
      </c>
    </row>
    <row r="637" spans="1:5" x14ac:dyDescent="0.2">
      <c r="A637" t="s">
        <v>2383</v>
      </c>
      <c r="B637">
        <v>630</v>
      </c>
      <c r="C637" t="s">
        <v>2758</v>
      </c>
      <c r="E637" t="s">
        <v>2759</v>
      </c>
    </row>
    <row r="638" spans="1:5" x14ac:dyDescent="0.2">
      <c r="A638" t="s">
        <v>2383</v>
      </c>
      <c r="B638">
        <v>608</v>
      </c>
      <c r="C638" t="s">
        <v>2760</v>
      </c>
      <c r="E638" t="s">
        <v>2761</v>
      </c>
    </row>
    <row r="639" spans="1:5" x14ac:dyDescent="0.2">
      <c r="A639" t="s">
        <v>2408</v>
      </c>
      <c r="B639">
        <v>505</v>
      </c>
      <c r="C639" t="s">
        <v>2746</v>
      </c>
      <c r="E639" t="s">
        <v>2747</v>
      </c>
    </row>
    <row r="640" spans="1:5" x14ac:dyDescent="0.2">
      <c r="A640" t="s">
        <v>2383</v>
      </c>
      <c r="B640">
        <v>564</v>
      </c>
      <c r="C640" t="s">
        <v>2762</v>
      </c>
      <c r="E640" t="s">
        <v>2763</v>
      </c>
    </row>
    <row r="641" spans="1:5" x14ac:dyDescent="0.2">
      <c r="A641" t="s">
        <v>2408</v>
      </c>
      <c r="B641">
        <v>539</v>
      </c>
      <c r="C641" t="s">
        <v>2420</v>
      </c>
      <c r="E641" t="s">
        <v>2421</v>
      </c>
    </row>
    <row r="642" spans="1:5" x14ac:dyDescent="0.2">
      <c r="A642" t="s">
        <v>567</v>
      </c>
      <c r="B642">
        <v>945</v>
      </c>
      <c r="C642" t="s">
        <v>2764</v>
      </c>
      <c r="E642" t="s">
        <v>2765</v>
      </c>
    </row>
    <row r="643" spans="1:5" x14ac:dyDescent="0.2">
      <c r="A643" t="s">
        <v>539</v>
      </c>
      <c r="B643">
        <v>552</v>
      </c>
      <c r="C643" t="s">
        <v>2612</v>
      </c>
      <c r="E643" t="s">
        <v>2613</v>
      </c>
    </row>
    <row r="644" spans="1:5" x14ac:dyDescent="0.2">
      <c r="A644" t="s">
        <v>2383</v>
      </c>
      <c r="B644">
        <v>503</v>
      </c>
      <c r="C644" t="s">
        <v>2433</v>
      </c>
      <c r="E644" t="s">
        <v>2491</v>
      </c>
    </row>
    <row r="645" spans="1:5" x14ac:dyDescent="0.2">
      <c r="A645" t="s">
        <v>413</v>
      </c>
      <c r="B645">
        <v>614</v>
      </c>
      <c r="C645" t="s">
        <v>2766</v>
      </c>
      <c r="E645" t="s">
        <v>2767</v>
      </c>
    </row>
    <row r="646" spans="1:5" x14ac:dyDescent="0.2">
      <c r="A646" t="s">
        <v>2408</v>
      </c>
      <c r="B646">
        <v>632</v>
      </c>
      <c r="C646" t="s">
        <v>2768</v>
      </c>
      <c r="E646" t="s">
        <v>2769</v>
      </c>
    </row>
    <row r="647" spans="1:5" x14ac:dyDescent="0.2">
      <c r="A647" t="s">
        <v>2383</v>
      </c>
      <c r="B647">
        <v>534</v>
      </c>
      <c r="C647" t="s">
        <v>2489</v>
      </c>
      <c r="E647" t="s">
        <v>2490</v>
      </c>
    </row>
    <row r="648" spans="1:5" x14ac:dyDescent="0.2">
      <c r="A648" t="s">
        <v>413</v>
      </c>
      <c r="B648">
        <v>629</v>
      </c>
      <c r="C648" t="s">
        <v>2770</v>
      </c>
      <c r="E648" t="s">
        <v>2771</v>
      </c>
    </row>
    <row r="649" spans="1:5" x14ac:dyDescent="0.2">
      <c r="A649" t="s">
        <v>2408</v>
      </c>
      <c r="B649">
        <v>607</v>
      </c>
      <c r="C649" t="s">
        <v>2721</v>
      </c>
      <c r="E649" t="s">
        <v>2731</v>
      </c>
    </row>
    <row r="650" spans="1:5" x14ac:dyDescent="0.2">
      <c r="A650" t="s">
        <v>2408</v>
      </c>
      <c r="B650">
        <v>631</v>
      </c>
      <c r="C650" t="s">
        <v>2750</v>
      </c>
      <c r="E650" t="s">
        <v>2751</v>
      </c>
    </row>
    <row r="651" spans="1:5" x14ac:dyDescent="0.2">
      <c r="A651" t="s">
        <v>2408</v>
      </c>
      <c r="B651">
        <v>552</v>
      </c>
      <c r="C651" t="s">
        <v>2772</v>
      </c>
      <c r="E651" t="s">
        <v>2773</v>
      </c>
    </row>
    <row r="652" spans="1:5" x14ac:dyDescent="0.2">
      <c r="A652" t="s">
        <v>2383</v>
      </c>
      <c r="B652">
        <v>503</v>
      </c>
      <c r="C652" t="s">
        <v>2433</v>
      </c>
      <c r="E652" t="s">
        <v>2491</v>
      </c>
    </row>
    <row r="653" spans="1:5" x14ac:dyDescent="0.2">
      <c r="A653" t="s">
        <v>2383</v>
      </c>
      <c r="B653">
        <v>658</v>
      </c>
      <c r="C653" t="s">
        <v>2774</v>
      </c>
      <c r="E653" t="s">
        <v>2775</v>
      </c>
    </row>
    <row r="654" spans="1:5" x14ac:dyDescent="0.2">
      <c r="A654" t="s">
        <v>2408</v>
      </c>
      <c r="B654">
        <v>543</v>
      </c>
      <c r="C654" t="s">
        <v>2494</v>
      </c>
      <c r="E654" t="s">
        <v>2495</v>
      </c>
    </row>
    <row r="655" spans="1:5" x14ac:dyDescent="0.2">
      <c r="A655" t="s">
        <v>650</v>
      </c>
      <c r="B655">
        <v>540</v>
      </c>
      <c r="C655" t="s">
        <v>2509</v>
      </c>
      <c r="E655" t="s">
        <v>2585</v>
      </c>
    </row>
    <row r="656" spans="1:5" x14ac:dyDescent="0.2">
      <c r="A656" t="s">
        <v>539</v>
      </c>
      <c r="B656">
        <v>552</v>
      </c>
      <c r="C656" t="s">
        <v>2612</v>
      </c>
      <c r="E656" t="s">
        <v>2613</v>
      </c>
    </row>
    <row r="657" spans="1:5" x14ac:dyDescent="0.2">
      <c r="A657" t="s">
        <v>539</v>
      </c>
      <c r="B657">
        <v>552</v>
      </c>
      <c r="C657" t="s">
        <v>2612</v>
      </c>
      <c r="E657" t="s">
        <v>2613</v>
      </c>
    </row>
    <row r="658" spans="1:5" x14ac:dyDescent="0.2">
      <c r="A658" t="s">
        <v>539</v>
      </c>
      <c r="B658">
        <v>667</v>
      </c>
      <c r="C658" t="s">
        <v>2776</v>
      </c>
      <c r="D658" t="s">
        <v>2777</v>
      </c>
      <c r="E658" t="s">
        <v>2778</v>
      </c>
    </row>
    <row r="659" spans="1:5" x14ac:dyDescent="0.2">
      <c r="A659" t="s">
        <v>539</v>
      </c>
      <c r="B659">
        <v>655</v>
      </c>
      <c r="C659" t="s">
        <v>2779</v>
      </c>
      <c r="D659" t="s">
        <v>2780</v>
      </c>
      <c r="E659" t="s">
        <v>2781</v>
      </c>
    </row>
    <row r="660" spans="1:5" x14ac:dyDescent="0.2">
      <c r="A660" t="s">
        <v>505</v>
      </c>
      <c r="B660">
        <v>530</v>
      </c>
      <c r="C660" t="s">
        <v>2511</v>
      </c>
      <c r="E660" t="s">
        <v>2512</v>
      </c>
    </row>
    <row r="661" spans="1:5" x14ac:dyDescent="0.2">
      <c r="A661" t="s">
        <v>650</v>
      </c>
      <c r="B661">
        <v>626</v>
      </c>
      <c r="C661" t="s">
        <v>2782</v>
      </c>
      <c r="E661" t="s">
        <v>2783</v>
      </c>
    </row>
    <row r="662" spans="1:5" x14ac:dyDescent="0.2">
      <c r="A662" t="s">
        <v>650</v>
      </c>
      <c r="B662">
        <v>550</v>
      </c>
      <c r="C662" t="s">
        <v>2784</v>
      </c>
      <c r="E662" t="s">
        <v>2785</v>
      </c>
    </row>
    <row r="663" spans="1:5" x14ac:dyDescent="0.2">
      <c r="A663" t="s">
        <v>650</v>
      </c>
      <c r="B663">
        <v>522</v>
      </c>
      <c r="C663" t="s">
        <v>2786</v>
      </c>
      <c r="E663" t="s">
        <v>2787</v>
      </c>
    </row>
    <row r="664" spans="1:5" x14ac:dyDescent="0.2">
      <c r="A664" t="s">
        <v>413</v>
      </c>
      <c r="B664">
        <v>504</v>
      </c>
      <c r="C664" t="s">
        <v>2788</v>
      </c>
      <c r="E664" t="s">
        <v>2789</v>
      </c>
    </row>
    <row r="665" spans="1:5" x14ac:dyDescent="0.2">
      <c r="A665" t="s">
        <v>2408</v>
      </c>
      <c r="B665">
        <v>539</v>
      </c>
      <c r="C665" t="s">
        <v>2420</v>
      </c>
      <c r="E665" t="s">
        <v>2421</v>
      </c>
    </row>
    <row r="666" spans="1:5" x14ac:dyDescent="0.2">
      <c r="A666" t="s">
        <v>650</v>
      </c>
      <c r="B666">
        <v>510</v>
      </c>
      <c r="C666" t="s">
        <v>2790</v>
      </c>
      <c r="E666" t="s">
        <v>2791</v>
      </c>
    </row>
    <row r="667" spans="1:5" x14ac:dyDescent="0.2">
      <c r="A667" t="s">
        <v>567</v>
      </c>
      <c r="B667">
        <v>552</v>
      </c>
      <c r="C667" t="s">
        <v>2424</v>
      </c>
      <c r="E667" t="s">
        <v>2425</v>
      </c>
    </row>
    <row r="668" spans="1:5" x14ac:dyDescent="0.2">
      <c r="A668" t="s">
        <v>650</v>
      </c>
      <c r="B668">
        <v>627</v>
      </c>
      <c r="C668" t="s">
        <v>2641</v>
      </c>
      <c r="E668" t="s">
        <v>2642</v>
      </c>
    </row>
    <row r="669" spans="1:5" x14ac:dyDescent="0.2">
      <c r="A669" t="s">
        <v>650</v>
      </c>
      <c r="B669">
        <v>647</v>
      </c>
      <c r="C669" t="s">
        <v>2648</v>
      </c>
      <c r="E669" t="s">
        <v>2649</v>
      </c>
    </row>
    <row r="670" spans="1:5" x14ac:dyDescent="0.2">
      <c r="A670" t="s">
        <v>650</v>
      </c>
      <c r="B670">
        <v>660</v>
      </c>
      <c r="C670" t="s">
        <v>2792</v>
      </c>
      <c r="E670" t="s">
        <v>2793</v>
      </c>
    </row>
    <row r="671" spans="1:5" x14ac:dyDescent="0.2">
      <c r="A671" t="s">
        <v>567</v>
      </c>
      <c r="B671">
        <v>619</v>
      </c>
      <c r="C671" t="s">
        <v>2614</v>
      </c>
      <c r="E671" t="s">
        <v>2615</v>
      </c>
    </row>
    <row r="672" spans="1:5" x14ac:dyDescent="0.2">
      <c r="A672" t="s">
        <v>2408</v>
      </c>
      <c r="B672">
        <v>656</v>
      </c>
      <c r="C672" t="s">
        <v>2650</v>
      </c>
      <c r="E672" t="s">
        <v>2662</v>
      </c>
    </row>
    <row r="673" spans="1:5" x14ac:dyDescent="0.2">
      <c r="A673" t="s">
        <v>2408</v>
      </c>
      <c r="B673">
        <v>637</v>
      </c>
      <c r="C673" t="s">
        <v>2498</v>
      </c>
      <c r="E673" t="s">
        <v>2499</v>
      </c>
    </row>
    <row r="674" spans="1:5" x14ac:dyDescent="0.2">
      <c r="A674" t="s">
        <v>2383</v>
      </c>
      <c r="B674">
        <v>610</v>
      </c>
      <c r="C674" t="s">
        <v>2546</v>
      </c>
      <c r="E674" t="s">
        <v>2618</v>
      </c>
    </row>
    <row r="675" spans="1:5" x14ac:dyDescent="0.2">
      <c r="A675" t="s">
        <v>2408</v>
      </c>
      <c r="B675">
        <v>587</v>
      </c>
      <c r="C675" t="s">
        <v>2794</v>
      </c>
      <c r="E675" t="s">
        <v>2795</v>
      </c>
    </row>
    <row r="676" spans="1:5" x14ac:dyDescent="0.2">
      <c r="A676" t="s">
        <v>505</v>
      </c>
      <c r="B676">
        <v>530</v>
      </c>
      <c r="C676" t="s">
        <v>2511</v>
      </c>
      <c r="E676" t="s">
        <v>2512</v>
      </c>
    </row>
    <row r="677" spans="1:5" x14ac:dyDescent="0.2">
      <c r="A677" t="s">
        <v>413</v>
      </c>
      <c r="B677">
        <v>629</v>
      </c>
      <c r="C677" t="s">
        <v>2770</v>
      </c>
      <c r="E677" t="s">
        <v>2771</v>
      </c>
    </row>
    <row r="678" spans="1:5" x14ac:dyDescent="0.2">
      <c r="A678" t="s">
        <v>539</v>
      </c>
      <c r="B678">
        <v>543</v>
      </c>
      <c r="C678" t="s">
        <v>2756</v>
      </c>
      <c r="E678" t="s">
        <v>2757</v>
      </c>
    </row>
    <row r="679" spans="1:5" x14ac:dyDescent="0.2">
      <c r="A679" t="s">
        <v>567</v>
      </c>
      <c r="B679">
        <v>558</v>
      </c>
      <c r="C679" t="s">
        <v>2796</v>
      </c>
      <c r="E679" t="s">
        <v>2797</v>
      </c>
    </row>
    <row r="680" spans="1:5" x14ac:dyDescent="0.2">
      <c r="A680" t="s">
        <v>505</v>
      </c>
      <c r="B680">
        <v>626</v>
      </c>
      <c r="C680" t="s">
        <v>2798</v>
      </c>
      <c r="E680" t="s">
        <v>2799</v>
      </c>
    </row>
    <row r="681" spans="1:5" x14ac:dyDescent="0.2">
      <c r="A681" t="s">
        <v>650</v>
      </c>
      <c r="B681">
        <v>656</v>
      </c>
      <c r="C681" t="s">
        <v>2620</v>
      </c>
      <c r="E681" t="s">
        <v>2621</v>
      </c>
    </row>
    <row r="682" spans="1:5" x14ac:dyDescent="0.2">
      <c r="A682" t="s">
        <v>567</v>
      </c>
      <c r="B682">
        <v>552</v>
      </c>
      <c r="C682" t="s">
        <v>2424</v>
      </c>
      <c r="E682" t="s">
        <v>2425</v>
      </c>
    </row>
    <row r="683" spans="1:5" x14ac:dyDescent="0.2">
      <c r="A683" t="s">
        <v>413</v>
      </c>
      <c r="B683">
        <v>674</v>
      </c>
      <c r="C683" t="s">
        <v>2381</v>
      </c>
      <c r="E683" t="s">
        <v>2382</v>
      </c>
    </row>
    <row r="684" spans="1:5" x14ac:dyDescent="0.2">
      <c r="A684" t="s">
        <v>567</v>
      </c>
      <c r="B684">
        <v>555</v>
      </c>
      <c r="C684" t="s">
        <v>2800</v>
      </c>
      <c r="E684" t="s">
        <v>2801</v>
      </c>
    </row>
    <row r="685" spans="1:5" x14ac:dyDescent="0.2">
      <c r="A685" t="s">
        <v>539</v>
      </c>
      <c r="B685">
        <v>680</v>
      </c>
      <c r="C685" t="s">
        <v>2723</v>
      </c>
      <c r="E685" t="s">
        <v>2724</v>
      </c>
    </row>
    <row r="686" spans="1:5" x14ac:dyDescent="0.2">
      <c r="A686" t="s">
        <v>2408</v>
      </c>
      <c r="B686">
        <v>614</v>
      </c>
      <c r="C686" t="s">
        <v>2802</v>
      </c>
      <c r="D686" t="s">
        <v>2803</v>
      </c>
      <c r="E686" t="s">
        <v>2804</v>
      </c>
    </row>
    <row r="687" spans="1:5" x14ac:dyDescent="0.2">
      <c r="A687" t="s">
        <v>505</v>
      </c>
      <c r="B687">
        <v>627</v>
      </c>
      <c r="C687" t="s">
        <v>2805</v>
      </c>
      <c r="E687" t="s">
        <v>2806</v>
      </c>
    </row>
    <row r="688" spans="1:5" x14ac:dyDescent="0.2">
      <c r="A688" t="s">
        <v>382</v>
      </c>
      <c r="B688">
        <v>510</v>
      </c>
      <c r="C688" t="s">
        <v>2556</v>
      </c>
      <c r="E688" t="s">
        <v>2557</v>
      </c>
    </row>
    <row r="689" spans="1:5" x14ac:dyDescent="0.2">
      <c r="A689" t="s">
        <v>2408</v>
      </c>
      <c r="B689">
        <v>656</v>
      </c>
      <c r="C689" t="s">
        <v>2650</v>
      </c>
      <c r="E689" t="s">
        <v>2662</v>
      </c>
    </row>
    <row r="690" spans="1:5" x14ac:dyDescent="0.2">
      <c r="A690" t="s">
        <v>567</v>
      </c>
      <c r="B690">
        <v>552</v>
      </c>
      <c r="C690" t="s">
        <v>2424</v>
      </c>
      <c r="E690" t="s">
        <v>2425</v>
      </c>
    </row>
    <row r="691" spans="1:5" x14ac:dyDescent="0.2">
      <c r="A691" t="s">
        <v>2408</v>
      </c>
      <c r="B691">
        <v>553</v>
      </c>
      <c r="C691" t="s">
        <v>2807</v>
      </c>
      <c r="E691" t="s">
        <v>2808</v>
      </c>
    </row>
    <row r="692" spans="1:5" x14ac:dyDescent="0.2">
      <c r="A692" t="s">
        <v>2408</v>
      </c>
      <c r="B692">
        <v>539</v>
      </c>
      <c r="C692" t="s">
        <v>2420</v>
      </c>
      <c r="E692" t="s">
        <v>2421</v>
      </c>
    </row>
    <row r="693" spans="1:5" x14ac:dyDescent="0.2">
      <c r="A693" t="s">
        <v>550</v>
      </c>
      <c r="B693">
        <v>546</v>
      </c>
      <c r="C693" t="s">
        <v>2504</v>
      </c>
      <c r="E693" t="s">
        <v>2505</v>
      </c>
    </row>
    <row r="694" spans="1:5" x14ac:dyDescent="0.2">
      <c r="A694" t="s">
        <v>2408</v>
      </c>
      <c r="B694">
        <v>683</v>
      </c>
      <c r="C694" t="s">
        <v>2809</v>
      </c>
      <c r="E694" t="s">
        <v>2810</v>
      </c>
    </row>
    <row r="695" spans="1:5" x14ac:dyDescent="0.2">
      <c r="A695" t="s">
        <v>2383</v>
      </c>
      <c r="B695">
        <v>651</v>
      </c>
      <c r="C695" t="s">
        <v>2600</v>
      </c>
      <c r="E695" t="s">
        <v>2619</v>
      </c>
    </row>
    <row r="696" spans="1:5" x14ac:dyDescent="0.2">
      <c r="A696" t="s">
        <v>413</v>
      </c>
      <c r="B696">
        <v>686</v>
      </c>
      <c r="C696" t="s">
        <v>2811</v>
      </c>
      <c r="E696" t="s">
        <v>2812</v>
      </c>
    </row>
    <row r="697" spans="1:5" x14ac:dyDescent="0.2">
      <c r="A697" t="s">
        <v>567</v>
      </c>
      <c r="B697">
        <v>639</v>
      </c>
      <c r="C697" t="s">
        <v>2813</v>
      </c>
      <c r="E697" t="s">
        <v>2814</v>
      </c>
    </row>
    <row r="698" spans="1:5" x14ac:dyDescent="0.2">
      <c r="A698" t="s">
        <v>413</v>
      </c>
      <c r="B698">
        <v>683</v>
      </c>
      <c r="C698" t="s">
        <v>2809</v>
      </c>
      <c r="E698" t="s">
        <v>2815</v>
      </c>
    </row>
    <row r="699" spans="1:5" x14ac:dyDescent="0.2">
      <c r="A699" t="s">
        <v>539</v>
      </c>
      <c r="B699">
        <v>550</v>
      </c>
      <c r="C699" t="s">
        <v>2816</v>
      </c>
      <c r="E699" t="s">
        <v>2817</v>
      </c>
    </row>
    <row r="700" spans="1:5" x14ac:dyDescent="0.2">
      <c r="A700" t="s">
        <v>550</v>
      </c>
      <c r="B700">
        <v>561</v>
      </c>
      <c r="C700" t="s">
        <v>2492</v>
      </c>
      <c r="E700" t="s">
        <v>2493</v>
      </c>
    </row>
    <row r="701" spans="1:5" x14ac:dyDescent="0.2">
      <c r="A701" t="s">
        <v>382</v>
      </c>
      <c r="B701">
        <v>612</v>
      </c>
      <c r="C701" t="s">
        <v>2818</v>
      </c>
      <c r="E701" t="s">
        <v>2819</v>
      </c>
    </row>
    <row r="702" spans="1:5" x14ac:dyDescent="0.2">
      <c r="A702" t="s">
        <v>2383</v>
      </c>
      <c r="B702">
        <v>656</v>
      </c>
      <c r="C702" t="s">
        <v>2820</v>
      </c>
      <c r="E702" t="s">
        <v>2821</v>
      </c>
    </row>
    <row r="703" spans="1:5" x14ac:dyDescent="0.2">
      <c r="A703" t="s">
        <v>567</v>
      </c>
      <c r="B703">
        <v>627</v>
      </c>
      <c r="C703" t="s">
        <v>2822</v>
      </c>
      <c r="E703" t="s">
        <v>2823</v>
      </c>
    </row>
    <row r="704" spans="1:5" x14ac:dyDescent="0.2">
      <c r="A704" t="s">
        <v>650</v>
      </c>
      <c r="B704">
        <v>624</v>
      </c>
      <c r="C704" t="s">
        <v>2725</v>
      </c>
      <c r="E704" t="s">
        <v>2726</v>
      </c>
    </row>
    <row r="705" spans="1:5" x14ac:dyDescent="0.2">
      <c r="A705" t="s">
        <v>2408</v>
      </c>
      <c r="B705">
        <v>536</v>
      </c>
      <c r="C705" t="s">
        <v>2824</v>
      </c>
      <c r="E705" t="s">
        <v>2825</v>
      </c>
    </row>
    <row r="706" spans="1:5" x14ac:dyDescent="0.2">
      <c r="A706" t="s">
        <v>650</v>
      </c>
      <c r="B706">
        <v>676</v>
      </c>
      <c r="C706" t="s">
        <v>2826</v>
      </c>
      <c r="E706" t="s">
        <v>2827</v>
      </c>
    </row>
    <row r="707" spans="1:5" x14ac:dyDescent="0.2">
      <c r="A707" t="s">
        <v>505</v>
      </c>
      <c r="B707">
        <v>511</v>
      </c>
      <c r="C707" t="s">
        <v>2828</v>
      </c>
      <c r="E707" t="s">
        <v>2829</v>
      </c>
    </row>
    <row r="708" spans="1:5" x14ac:dyDescent="0.2">
      <c r="A708" t="s">
        <v>539</v>
      </c>
      <c r="B708">
        <v>920</v>
      </c>
      <c r="C708" t="s">
        <v>2830</v>
      </c>
      <c r="E708" t="s">
        <v>2831</v>
      </c>
    </row>
    <row r="709" spans="1:5" x14ac:dyDescent="0.2">
      <c r="A709" t="s">
        <v>413</v>
      </c>
      <c r="B709">
        <v>660</v>
      </c>
      <c r="C709" t="s">
        <v>2832</v>
      </c>
      <c r="E709" t="s">
        <v>2833</v>
      </c>
    </row>
    <row r="710" spans="1:5" x14ac:dyDescent="0.2">
      <c r="A710" t="s">
        <v>413</v>
      </c>
      <c r="B710">
        <v>507</v>
      </c>
      <c r="C710" t="s">
        <v>2834</v>
      </c>
      <c r="E710" t="s">
        <v>2835</v>
      </c>
    </row>
    <row r="711" spans="1:5" x14ac:dyDescent="0.2">
      <c r="A711" t="s">
        <v>539</v>
      </c>
      <c r="B711">
        <v>509</v>
      </c>
      <c r="C711" t="s">
        <v>2836</v>
      </c>
      <c r="E711" t="s">
        <v>2837</v>
      </c>
    </row>
    <row r="712" spans="1:5" x14ac:dyDescent="0.2">
      <c r="A712" t="s">
        <v>539</v>
      </c>
      <c r="B712">
        <v>515</v>
      </c>
      <c r="C712" t="s">
        <v>2838</v>
      </c>
      <c r="E712" t="s">
        <v>2839</v>
      </c>
    </row>
    <row r="713" spans="1:5" x14ac:dyDescent="0.2">
      <c r="A713" t="s">
        <v>567</v>
      </c>
      <c r="B713">
        <v>551</v>
      </c>
      <c r="C713" t="s">
        <v>2422</v>
      </c>
      <c r="E713" t="s">
        <v>2423</v>
      </c>
    </row>
    <row r="714" spans="1:5" x14ac:dyDescent="0.2">
      <c r="A714" t="s">
        <v>382</v>
      </c>
      <c r="B714">
        <v>514</v>
      </c>
      <c r="C714" t="s">
        <v>2840</v>
      </c>
      <c r="E714" t="s">
        <v>2841</v>
      </c>
    </row>
    <row r="715" spans="1:5" x14ac:dyDescent="0.2">
      <c r="A715" t="s">
        <v>650</v>
      </c>
      <c r="B715">
        <v>625</v>
      </c>
      <c r="C715" t="s">
        <v>2842</v>
      </c>
      <c r="E715" t="s">
        <v>2843</v>
      </c>
    </row>
    <row r="716" spans="1:5" x14ac:dyDescent="0.2">
      <c r="A716" t="s">
        <v>2383</v>
      </c>
      <c r="B716">
        <v>676</v>
      </c>
      <c r="C716" t="s">
        <v>2386</v>
      </c>
      <c r="D716" t="s">
        <v>2844</v>
      </c>
      <c r="E716" t="s">
        <v>2388</v>
      </c>
    </row>
    <row r="717" spans="1:5" x14ac:dyDescent="0.2">
      <c r="A717" t="s">
        <v>539</v>
      </c>
      <c r="B717">
        <v>551</v>
      </c>
      <c r="C717" t="s">
        <v>2606</v>
      </c>
      <c r="E717" t="s">
        <v>2607</v>
      </c>
    </row>
    <row r="718" spans="1:5" x14ac:dyDescent="0.2">
      <c r="A718" t="s">
        <v>650</v>
      </c>
      <c r="B718">
        <v>619</v>
      </c>
      <c r="C718" t="s">
        <v>2687</v>
      </c>
      <c r="E718" t="s">
        <v>2688</v>
      </c>
    </row>
    <row r="719" spans="1:5" x14ac:dyDescent="0.2">
      <c r="A719" t="s">
        <v>650</v>
      </c>
      <c r="B719">
        <v>608</v>
      </c>
      <c r="C719" t="s">
        <v>2684</v>
      </c>
      <c r="E719" t="s">
        <v>2845</v>
      </c>
    </row>
    <row r="720" spans="1:5" x14ac:dyDescent="0.2">
      <c r="A720" t="s">
        <v>2383</v>
      </c>
      <c r="B720">
        <v>676</v>
      </c>
      <c r="C720" t="s">
        <v>2386</v>
      </c>
      <c r="D720" t="s">
        <v>2846</v>
      </c>
      <c r="E720" t="s">
        <v>2388</v>
      </c>
    </row>
    <row r="721" spans="1:5" x14ac:dyDescent="0.2">
      <c r="A721" t="s">
        <v>505</v>
      </c>
      <c r="B721">
        <v>510</v>
      </c>
      <c r="C721" t="s">
        <v>2847</v>
      </c>
      <c r="E721" t="s">
        <v>2848</v>
      </c>
    </row>
    <row r="722" spans="1:5" x14ac:dyDescent="0.2">
      <c r="A722" t="s">
        <v>539</v>
      </c>
      <c r="B722">
        <v>606</v>
      </c>
      <c r="C722" t="s">
        <v>2849</v>
      </c>
      <c r="E722" t="s">
        <v>2850</v>
      </c>
    </row>
    <row r="723" spans="1:5" x14ac:dyDescent="0.2">
      <c r="A723" t="s">
        <v>650</v>
      </c>
      <c r="B723">
        <v>637</v>
      </c>
      <c r="C723" t="s">
        <v>2851</v>
      </c>
      <c r="E723" t="s">
        <v>2852</v>
      </c>
    </row>
    <row r="724" spans="1:5" x14ac:dyDescent="0.2">
      <c r="A724" t="s">
        <v>539</v>
      </c>
      <c r="B724">
        <v>940</v>
      </c>
      <c r="C724" t="s">
        <v>2853</v>
      </c>
      <c r="D724" t="s">
        <v>2854</v>
      </c>
      <c r="E724" t="s">
        <v>2855</v>
      </c>
    </row>
    <row r="725" spans="1:5" x14ac:dyDescent="0.2">
      <c r="A725" t="s">
        <v>539</v>
      </c>
      <c r="B725">
        <v>945</v>
      </c>
      <c r="C725" t="s">
        <v>2764</v>
      </c>
      <c r="D725" t="s">
        <v>2856</v>
      </c>
      <c r="E725" t="s">
        <v>2857</v>
      </c>
    </row>
    <row r="726" spans="1:5" x14ac:dyDescent="0.2">
      <c r="A726" t="s">
        <v>413</v>
      </c>
      <c r="B726">
        <v>940</v>
      </c>
      <c r="C726" t="s">
        <v>2858</v>
      </c>
      <c r="E726" t="s">
        <v>2859</v>
      </c>
    </row>
    <row r="727" spans="1:5" x14ac:dyDescent="0.2">
      <c r="A727" t="s">
        <v>539</v>
      </c>
      <c r="B727">
        <v>940</v>
      </c>
      <c r="C727" t="s">
        <v>2853</v>
      </c>
      <c r="D727" t="s">
        <v>2860</v>
      </c>
      <c r="E727" t="s">
        <v>2855</v>
      </c>
    </row>
    <row r="728" spans="1:5" x14ac:dyDescent="0.2">
      <c r="A728" t="s">
        <v>539</v>
      </c>
      <c r="B728">
        <v>920</v>
      </c>
      <c r="C728" t="s">
        <v>2830</v>
      </c>
      <c r="D728" t="s">
        <v>2861</v>
      </c>
      <c r="E728" t="s">
        <v>2831</v>
      </c>
    </row>
    <row r="729" spans="1:5" x14ac:dyDescent="0.2">
      <c r="A729" t="s">
        <v>382</v>
      </c>
      <c r="B729">
        <v>810</v>
      </c>
      <c r="C729" t="s">
        <v>2446</v>
      </c>
      <c r="E729" t="s">
        <v>2447</v>
      </c>
    </row>
    <row r="730" spans="1:5" x14ac:dyDescent="0.2">
      <c r="A730" t="s">
        <v>567</v>
      </c>
      <c r="B730">
        <v>658</v>
      </c>
      <c r="C730" t="s">
        <v>2862</v>
      </c>
      <c r="E730" t="s">
        <v>2863</v>
      </c>
    </row>
    <row r="731" spans="1:5" x14ac:dyDescent="0.2">
      <c r="A731" t="s">
        <v>2408</v>
      </c>
      <c r="B731">
        <v>662</v>
      </c>
      <c r="C731" t="s">
        <v>2864</v>
      </c>
      <c r="E731" t="s">
        <v>2865</v>
      </c>
    </row>
    <row r="732" spans="1:5" x14ac:dyDescent="0.2">
      <c r="A732" t="s">
        <v>567</v>
      </c>
      <c r="B732">
        <v>674</v>
      </c>
      <c r="C732" t="s">
        <v>2866</v>
      </c>
      <c r="E732" t="s">
        <v>2867</v>
      </c>
    </row>
    <row r="733" spans="1:5" x14ac:dyDescent="0.2">
      <c r="A733" t="s">
        <v>2383</v>
      </c>
      <c r="B733">
        <v>679</v>
      </c>
      <c r="C733" t="s">
        <v>2868</v>
      </c>
      <c r="E733" t="s">
        <v>2869</v>
      </c>
    </row>
    <row r="734" spans="1:5" x14ac:dyDescent="0.2">
      <c r="A734" t="s">
        <v>505</v>
      </c>
      <c r="B734">
        <v>648</v>
      </c>
      <c r="C734" t="s">
        <v>675</v>
      </c>
      <c r="D734" t="s">
        <v>2870</v>
      </c>
      <c r="E734" t="s">
        <v>2396</v>
      </c>
    </row>
    <row r="735" spans="1:5" x14ac:dyDescent="0.2">
      <c r="A735" t="s">
        <v>2408</v>
      </c>
      <c r="B735">
        <v>588</v>
      </c>
      <c r="C735" t="s">
        <v>2871</v>
      </c>
      <c r="E735" t="s">
        <v>2872</v>
      </c>
    </row>
    <row r="736" spans="1:5" x14ac:dyDescent="0.2">
      <c r="A736" t="s">
        <v>2408</v>
      </c>
      <c r="B736">
        <v>627</v>
      </c>
      <c r="C736" t="s">
        <v>2873</v>
      </c>
      <c r="E736" t="s">
        <v>2874</v>
      </c>
    </row>
    <row r="737" spans="1:5" x14ac:dyDescent="0.2">
      <c r="A737" t="s">
        <v>539</v>
      </c>
      <c r="B737">
        <v>644</v>
      </c>
      <c r="C737" t="s">
        <v>2875</v>
      </c>
      <c r="E737" t="s">
        <v>2876</v>
      </c>
    </row>
    <row r="738" spans="1:5" x14ac:dyDescent="0.2">
      <c r="A738" t="s">
        <v>2408</v>
      </c>
      <c r="B738">
        <v>543</v>
      </c>
      <c r="C738" t="s">
        <v>2494</v>
      </c>
      <c r="E738" t="s">
        <v>2495</v>
      </c>
    </row>
    <row r="739" spans="1:5" x14ac:dyDescent="0.2">
      <c r="A739" t="s">
        <v>650</v>
      </c>
      <c r="B739">
        <v>629</v>
      </c>
      <c r="C739" t="s">
        <v>2877</v>
      </c>
      <c r="E739" t="s">
        <v>2878</v>
      </c>
    </row>
    <row r="740" spans="1:5" x14ac:dyDescent="0.2">
      <c r="A740" t="s">
        <v>539</v>
      </c>
      <c r="B740">
        <v>551</v>
      </c>
      <c r="C740" t="s">
        <v>2606</v>
      </c>
      <c r="E740" t="s">
        <v>2607</v>
      </c>
    </row>
    <row r="741" spans="1:5" x14ac:dyDescent="0.2">
      <c r="A741" t="s">
        <v>2383</v>
      </c>
      <c r="B741">
        <v>541</v>
      </c>
      <c r="C741" t="s">
        <v>2404</v>
      </c>
      <c r="E741" t="s">
        <v>2502</v>
      </c>
    </row>
    <row r="742" spans="1:5" x14ac:dyDescent="0.2">
      <c r="A742" t="s">
        <v>550</v>
      </c>
      <c r="B742">
        <v>505</v>
      </c>
      <c r="C742" t="s">
        <v>2551</v>
      </c>
      <c r="E742" t="s">
        <v>2552</v>
      </c>
    </row>
    <row r="743" spans="1:5" x14ac:dyDescent="0.2">
      <c r="A743" t="s">
        <v>650</v>
      </c>
      <c r="B743">
        <v>615</v>
      </c>
      <c r="C743" t="s">
        <v>2713</v>
      </c>
      <c r="E743" t="s">
        <v>2714</v>
      </c>
    </row>
    <row r="744" spans="1:5" x14ac:dyDescent="0.2">
      <c r="A744" t="s">
        <v>2383</v>
      </c>
      <c r="B744">
        <v>541</v>
      </c>
      <c r="C744" t="s">
        <v>2404</v>
      </c>
      <c r="E744" t="s">
        <v>2502</v>
      </c>
    </row>
    <row r="745" spans="1:5" x14ac:dyDescent="0.2">
      <c r="A745" t="s">
        <v>505</v>
      </c>
      <c r="B745">
        <v>525</v>
      </c>
      <c r="C745" t="s">
        <v>2879</v>
      </c>
      <c r="E745" t="s">
        <v>2880</v>
      </c>
    </row>
    <row r="746" spans="1:5" x14ac:dyDescent="0.2">
      <c r="A746" t="s">
        <v>505</v>
      </c>
      <c r="B746">
        <v>860</v>
      </c>
      <c r="C746" t="s">
        <v>2881</v>
      </c>
      <c r="E746" t="s">
        <v>2882</v>
      </c>
    </row>
    <row r="747" spans="1:5" x14ac:dyDescent="0.2">
      <c r="A747" t="s">
        <v>2383</v>
      </c>
      <c r="B747">
        <v>626</v>
      </c>
      <c r="C747" t="s">
        <v>2883</v>
      </c>
      <c r="E747" t="s">
        <v>2884</v>
      </c>
    </row>
    <row r="748" spans="1:5" x14ac:dyDescent="0.2">
      <c r="A748" t="s">
        <v>2408</v>
      </c>
      <c r="B748">
        <v>526</v>
      </c>
      <c r="C748" t="s">
        <v>2588</v>
      </c>
      <c r="E748" t="s">
        <v>2589</v>
      </c>
    </row>
    <row r="749" spans="1:5" x14ac:dyDescent="0.2">
      <c r="A749" t="s">
        <v>2383</v>
      </c>
      <c r="B749">
        <v>636</v>
      </c>
      <c r="C749" t="s">
        <v>2885</v>
      </c>
      <c r="E749" t="s">
        <v>2886</v>
      </c>
    </row>
    <row r="750" spans="1:5" x14ac:dyDescent="0.2">
      <c r="A750" t="s">
        <v>2408</v>
      </c>
      <c r="B750">
        <v>614</v>
      </c>
      <c r="C750" t="s">
        <v>2802</v>
      </c>
      <c r="E750" t="s">
        <v>2804</v>
      </c>
    </row>
    <row r="751" spans="1:5" x14ac:dyDescent="0.2">
      <c r="A751" t="s">
        <v>567</v>
      </c>
      <c r="B751">
        <v>625</v>
      </c>
      <c r="C751" t="s">
        <v>2887</v>
      </c>
      <c r="E751" t="s">
        <v>2888</v>
      </c>
    </row>
    <row r="752" spans="1:5" x14ac:dyDescent="0.2">
      <c r="A752" t="s">
        <v>2383</v>
      </c>
      <c r="B752">
        <v>541</v>
      </c>
      <c r="C752" t="s">
        <v>2404</v>
      </c>
      <c r="E752" t="s">
        <v>2502</v>
      </c>
    </row>
    <row r="753" spans="1:5" x14ac:dyDescent="0.2">
      <c r="A753" t="s">
        <v>505</v>
      </c>
      <c r="B753">
        <v>525</v>
      </c>
      <c r="C753" t="s">
        <v>2879</v>
      </c>
      <c r="E753" t="s">
        <v>2880</v>
      </c>
    </row>
    <row r="754" spans="1:5" x14ac:dyDescent="0.2">
      <c r="A754" t="s">
        <v>2408</v>
      </c>
      <c r="B754">
        <v>600</v>
      </c>
      <c r="C754" t="s">
        <v>2889</v>
      </c>
      <c r="E754" t="s">
        <v>2890</v>
      </c>
    </row>
    <row r="755" spans="1:5" x14ac:dyDescent="0.2">
      <c r="A755" t="s">
        <v>413</v>
      </c>
      <c r="B755">
        <v>680</v>
      </c>
      <c r="C755" t="s">
        <v>2643</v>
      </c>
      <c r="E755" t="s">
        <v>2644</v>
      </c>
    </row>
    <row r="756" spans="1:5" x14ac:dyDescent="0.2">
      <c r="A756" t="s">
        <v>413</v>
      </c>
      <c r="B756">
        <v>665</v>
      </c>
      <c r="C756" t="s">
        <v>2891</v>
      </c>
      <c r="E756" t="s">
        <v>2892</v>
      </c>
    </row>
    <row r="757" spans="1:5" x14ac:dyDescent="0.2">
      <c r="A757" t="s">
        <v>413</v>
      </c>
      <c r="B757">
        <v>640</v>
      </c>
      <c r="C757" t="s">
        <v>2893</v>
      </c>
      <c r="E757" t="s">
        <v>2894</v>
      </c>
    </row>
    <row r="758" spans="1:5" x14ac:dyDescent="0.2">
      <c r="A758" t="s">
        <v>539</v>
      </c>
      <c r="B758">
        <v>551</v>
      </c>
      <c r="C758" t="s">
        <v>2606</v>
      </c>
      <c r="E758" t="s">
        <v>2607</v>
      </c>
    </row>
    <row r="759" spans="1:5" x14ac:dyDescent="0.2">
      <c r="A759" t="s">
        <v>567</v>
      </c>
      <c r="B759">
        <v>565</v>
      </c>
      <c r="C759" t="s">
        <v>2895</v>
      </c>
      <c r="E759" t="s">
        <v>2896</v>
      </c>
    </row>
    <row r="760" spans="1:5" x14ac:dyDescent="0.2">
      <c r="A760" t="s">
        <v>539</v>
      </c>
      <c r="B760">
        <v>658</v>
      </c>
      <c r="C760" t="s">
        <v>2897</v>
      </c>
      <c r="E760" t="s">
        <v>2898</v>
      </c>
    </row>
    <row r="761" spans="1:5" x14ac:dyDescent="0.2">
      <c r="A761" t="s">
        <v>2408</v>
      </c>
      <c r="B761">
        <v>552</v>
      </c>
      <c r="C761" t="s">
        <v>2772</v>
      </c>
      <c r="E761" t="s">
        <v>2773</v>
      </c>
    </row>
    <row r="762" spans="1:5" x14ac:dyDescent="0.2">
      <c r="A762" t="s">
        <v>505</v>
      </c>
      <c r="B762">
        <v>620</v>
      </c>
      <c r="C762" t="s">
        <v>2624</v>
      </c>
      <c r="E762" t="s">
        <v>2625</v>
      </c>
    </row>
    <row r="763" spans="1:5" x14ac:dyDescent="0.2">
      <c r="A763" t="s">
        <v>567</v>
      </c>
      <c r="B763">
        <v>551</v>
      </c>
      <c r="C763" t="s">
        <v>2422</v>
      </c>
      <c r="E763" t="s">
        <v>2423</v>
      </c>
    </row>
    <row r="764" spans="1:5" x14ac:dyDescent="0.2">
      <c r="A764" t="s">
        <v>539</v>
      </c>
      <c r="B764">
        <v>647</v>
      </c>
      <c r="C764" t="s">
        <v>2899</v>
      </c>
      <c r="E764" t="s">
        <v>2900</v>
      </c>
    </row>
    <row r="765" spans="1:5" x14ac:dyDescent="0.2">
      <c r="A765" t="s">
        <v>539</v>
      </c>
      <c r="B765">
        <v>510</v>
      </c>
      <c r="C765" t="s">
        <v>2901</v>
      </c>
      <c r="E765" t="s">
        <v>2902</v>
      </c>
    </row>
    <row r="766" spans="1:5" x14ac:dyDescent="0.2">
      <c r="A766" t="s">
        <v>567</v>
      </c>
      <c r="B766">
        <v>551</v>
      </c>
      <c r="C766" t="s">
        <v>2422</v>
      </c>
      <c r="E766" t="s">
        <v>2423</v>
      </c>
    </row>
    <row r="767" spans="1:5" x14ac:dyDescent="0.2">
      <c r="A767" t="s">
        <v>505</v>
      </c>
      <c r="B767">
        <v>510</v>
      </c>
      <c r="C767" t="s">
        <v>2847</v>
      </c>
      <c r="E767" t="s">
        <v>2848</v>
      </c>
    </row>
    <row r="768" spans="1:5" x14ac:dyDescent="0.2">
      <c r="A768" t="s">
        <v>2408</v>
      </c>
      <c r="B768">
        <v>644</v>
      </c>
      <c r="C768" t="s">
        <v>2903</v>
      </c>
      <c r="E768" t="s">
        <v>2904</v>
      </c>
    </row>
    <row r="769" spans="1:5" x14ac:dyDescent="0.2">
      <c r="A769" t="s">
        <v>2408</v>
      </c>
      <c r="B769">
        <v>665</v>
      </c>
      <c r="C769" t="s">
        <v>2905</v>
      </c>
      <c r="E769" t="s">
        <v>2906</v>
      </c>
    </row>
    <row r="770" spans="1:5" x14ac:dyDescent="0.2">
      <c r="A770" t="s">
        <v>2408</v>
      </c>
      <c r="B770">
        <v>562</v>
      </c>
      <c r="C770" t="s">
        <v>2907</v>
      </c>
      <c r="E770" t="s">
        <v>2908</v>
      </c>
    </row>
    <row r="771" spans="1:5" x14ac:dyDescent="0.2">
      <c r="A771" t="s">
        <v>2408</v>
      </c>
      <c r="B771">
        <v>631</v>
      </c>
      <c r="C771" t="s">
        <v>2750</v>
      </c>
      <c r="E771" t="s">
        <v>2751</v>
      </c>
    </row>
    <row r="772" spans="1:5" x14ac:dyDescent="0.2">
      <c r="A772" t="s">
        <v>539</v>
      </c>
      <c r="B772">
        <v>940</v>
      </c>
      <c r="C772" t="s">
        <v>2853</v>
      </c>
      <c r="E772" t="s">
        <v>2855</v>
      </c>
    </row>
    <row r="773" spans="1:5" x14ac:dyDescent="0.2">
      <c r="A773" t="s">
        <v>650</v>
      </c>
      <c r="B773">
        <v>964</v>
      </c>
      <c r="C773" t="s">
        <v>2620</v>
      </c>
      <c r="E773" t="s">
        <v>2909</v>
      </c>
    </row>
    <row r="774" spans="1:5" x14ac:dyDescent="0.2">
      <c r="A774" t="s">
        <v>2383</v>
      </c>
      <c r="B774">
        <v>605</v>
      </c>
      <c r="C774" t="s">
        <v>2910</v>
      </c>
      <c r="E774" t="s">
        <v>2911</v>
      </c>
    </row>
    <row r="775" spans="1:5" x14ac:dyDescent="0.2">
      <c r="A775" t="s">
        <v>539</v>
      </c>
      <c r="B775">
        <v>689</v>
      </c>
      <c r="C775" t="s">
        <v>2830</v>
      </c>
      <c r="D775" t="s">
        <v>2912</v>
      </c>
      <c r="E775" t="s">
        <v>2913</v>
      </c>
    </row>
    <row r="776" spans="1:5" x14ac:dyDescent="0.2">
      <c r="A776" t="s">
        <v>550</v>
      </c>
      <c r="B776">
        <v>827</v>
      </c>
      <c r="C776" t="s">
        <v>2914</v>
      </c>
      <c r="E776" t="s">
        <v>2915</v>
      </c>
    </row>
    <row r="777" spans="1:5" x14ac:dyDescent="0.2">
      <c r="A777" t="s">
        <v>539</v>
      </c>
      <c r="B777">
        <v>613</v>
      </c>
      <c r="C777" t="s">
        <v>2916</v>
      </c>
      <c r="E777" t="s">
        <v>2917</v>
      </c>
    </row>
    <row r="778" spans="1:5" x14ac:dyDescent="0.2">
      <c r="A778" t="s">
        <v>2383</v>
      </c>
      <c r="B778">
        <v>659</v>
      </c>
      <c r="C778" t="s">
        <v>2918</v>
      </c>
      <c r="E778" t="s">
        <v>2919</v>
      </c>
    </row>
    <row r="779" spans="1:5" x14ac:dyDescent="0.2">
      <c r="A779" t="s">
        <v>2408</v>
      </c>
      <c r="B779">
        <v>633</v>
      </c>
      <c r="C779" t="s">
        <v>2920</v>
      </c>
      <c r="E779" t="s">
        <v>2921</v>
      </c>
    </row>
    <row r="780" spans="1:5" x14ac:dyDescent="0.2">
      <c r="A780" t="s">
        <v>539</v>
      </c>
      <c r="B780">
        <v>668</v>
      </c>
      <c r="C780" t="s">
        <v>2922</v>
      </c>
      <c r="E780" t="s">
        <v>2923</v>
      </c>
    </row>
    <row r="781" spans="1:5" x14ac:dyDescent="0.2">
      <c r="A781" t="s">
        <v>539</v>
      </c>
      <c r="B781">
        <v>608</v>
      </c>
      <c r="C781" t="s">
        <v>2924</v>
      </c>
      <c r="E781" t="s">
        <v>2925</v>
      </c>
    </row>
    <row r="782" spans="1:5" x14ac:dyDescent="0.2">
      <c r="A782" t="s">
        <v>650</v>
      </c>
      <c r="B782">
        <v>630</v>
      </c>
      <c r="C782" t="s">
        <v>2738</v>
      </c>
      <c r="E782" t="s">
        <v>2739</v>
      </c>
    </row>
    <row r="783" spans="1:5" x14ac:dyDescent="0.2">
      <c r="A783" t="s">
        <v>2383</v>
      </c>
      <c r="B783">
        <v>541</v>
      </c>
      <c r="C783" t="s">
        <v>2404</v>
      </c>
      <c r="E783" t="s">
        <v>2502</v>
      </c>
    </row>
    <row r="784" spans="1:5" x14ac:dyDescent="0.2">
      <c r="A784" t="s">
        <v>650</v>
      </c>
      <c r="B784">
        <v>628</v>
      </c>
      <c r="C784" t="s">
        <v>2926</v>
      </c>
      <c r="E784" t="s">
        <v>2927</v>
      </c>
    </row>
    <row r="785" spans="1:5" x14ac:dyDescent="0.2">
      <c r="A785" t="s">
        <v>382</v>
      </c>
      <c r="B785">
        <v>615</v>
      </c>
      <c r="C785" t="s">
        <v>2448</v>
      </c>
      <c r="E785" t="s">
        <v>2449</v>
      </c>
    </row>
    <row r="786" spans="1:5" x14ac:dyDescent="0.2">
      <c r="A786" t="s">
        <v>539</v>
      </c>
      <c r="B786">
        <v>615</v>
      </c>
      <c r="C786" t="s">
        <v>2928</v>
      </c>
      <c r="E786" t="s">
        <v>2929</v>
      </c>
    </row>
    <row r="787" spans="1:5" x14ac:dyDescent="0.2">
      <c r="A787" t="s">
        <v>650</v>
      </c>
      <c r="B787">
        <v>644</v>
      </c>
      <c r="C787" t="s">
        <v>2930</v>
      </c>
      <c r="E787" t="s">
        <v>2931</v>
      </c>
    </row>
    <row r="788" spans="1:5" x14ac:dyDescent="0.2">
      <c r="A788" t="s">
        <v>2383</v>
      </c>
      <c r="B788">
        <v>678</v>
      </c>
      <c r="C788" t="s">
        <v>2727</v>
      </c>
      <c r="E788" t="s">
        <v>2728</v>
      </c>
    </row>
    <row r="789" spans="1:5" x14ac:dyDescent="0.2">
      <c r="A789" t="s">
        <v>505</v>
      </c>
      <c r="B789">
        <v>844</v>
      </c>
      <c r="C789" t="s">
        <v>2932</v>
      </c>
      <c r="D789" t="s">
        <v>2932</v>
      </c>
      <c r="E789" t="s">
        <v>2933</v>
      </c>
    </row>
    <row r="790" spans="1:5" x14ac:dyDescent="0.2">
      <c r="A790" t="s">
        <v>505</v>
      </c>
      <c r="B790">
        <v>880</v>
      </c>
      <c r="C790" t="s">
        <v>2934</v>
      </c>
      <c r="D790" t="s">
        <v>2934</v>
      </c>
      <c r="E790" t="s">
        <v>2935</v>
      </c>
    </row>
    <row r="791" spans="1:5" x14ac:dyDescent="0.2">
      <c r="A791" t="s">
        <v>505</v>
      </c>
      <c r="B791">
        <v>888</v>
      </c>
      <c r="C791" t="s">
        <v>2936</v>
      </c>
      <c r="D791" t="s">
        <v>2936</v>
      </c>
      <c r="E791" t="s">
        <v>2937</v>
      </c>
    </row>
    <row r="792" spans="1:5" x14ac:dyDescent="0.2">
      <c r="A792" t="s">
        <v>505</v>
      </c>
      <c r="B792">
        <v>995</v>
      </c>
      <c r="C792" t="s">
        <v>2938</v>
      </c>
      <c r="D792" t="s">
        <v>2938</v>
      </c>
      <c r="E792" t="s">
        <v>2939</v>
      </c>
    </row>
    <row r="793" spans="1:5" x14ac:dyDescent="0.2">
      <c r="A793" t="s">
        <v>567</v>
      </c>
      <c r="B793">
        <v>940</v>
      </c>
      <c r="C793" t="s">
        <v>2744</v>
      </c>
      <c r="E793" t="s">
        <v>2745</v>
      </c>
    </row>
    <row r="794" spans="1:5" x14ac:dyDescent="0.2">
      <c r="A794" t="s">
        <v>539</v>
      </c>
      <c r="B794">
        <v>645</v>
      </c>
      <c r="C794" t="s">
        <v>2940</v>
      </c>
      <c r="E794" t="s">
        <v>2941</v>
      </c>
    </row>
    <row r="795" spans="1:5" x14ac:dyDescent="0.2">
      <c r="A795" t="s">
        <v>539</v>
      </c>
      <c r="B795">
        <v>667</v>
      </c>
      <c r="C795" t="s">
        <v>2776</v>
      </c>
      <c r="D795" t="s">
        <v>2942</v>
      </c>
      <c r="E795" t="s">
        <v>2778</v>
      </c>
    </row>
    <row r="796" spans="1:5" x14ac:dyDescent="0.2">
      <c r="A796" t="s">
        <v>539</v>
      </c>
      <c r="B796">
        <v>655</v>
      </c>
      <c r="C796" t="s">
        <v>2779</v>
      </c>
      <c r="D796" t="s">
        <v>2943</v>
      </c>
      <c r="E796" t="s">
        <v>2781</v>
      </c>
    </row>
    <row r="797" spans="1:5" x14ac:dyDescent="0.2">
      <c r="A797" t="s">
        <v>505</v>
      </c>
      <c r="B797">
        <v>698</v>
      </c>
      <c r="C797" t="s">
        <v>2944</v>
      </c>
      <c r="D797" t="s">
        <v>2944</v>
      </c>
      <c r="E797" t="s">
        <v>2945</v>
      </c>
    </row>
    <row r="798" spans="1:5" x14ac:dyDescent="0.2">
      <c r="A798" t="s">
        <v>650</v>
      </c>
      <c r="B798">
        <v>678</v>
      </c>
      <c r="C798" t="s">
        <v>2691</v>
      </c>
      <c r="E798" t="s">
        <v>2692</v>
      </c>
    </row>
    <row r="799" spans="1:5" x14ac:dyDescent="0.2">
      <c r="A799" t="s">
        <v>650</v>
      </c>
      <c r="B799">
        <v>940</v>
      </c>
      <c r="C799" t="s">
        <v>2946</v>
      </c>
      <c r="E799" t="s">
        <v>2947</v>
      </c>
    </row>
    <row r="800" spans="1:5" x14ac:dyDescent="0.2">
      <c r="A800" t="s">
        <v>539</v>
      </c>
      <c r="B800">
        <v>689</v>
      </c>
      <c r="C800" t="s">
        <v>2830</v>
      </c>
      <c r="E800" t="s">
        <v>2913</v>
      </c>
    </row>
    <row r="801" spans="1:5" x14ac:dyDescent="0.2">
      <c r="A801" t="s">
        <v>539</v>
      </c>
      <c r="B801">
        <v>940</v>
      </c>
      <c r="C801" t="s">
        <v>2853</v>
      </c>
      <c r="E801" t="s">
        <v>2855</v>
      </c>
    </row>
    <row r="802" spans="1:5" x14ac:dyDescent="0.2">
      <c r="A802" t="s">
        <v>413</v>
      </c>
      <c r="B802">
        <v>686</v>
      </c>
      <c r="C802" t="s">
        <v>2811</v>
      </c>
      <c r="D802" t="s">
        <v>2811</v>
      </c>
      <c r="E802" t="s">
        <v>2812</v>
      </c>
    </row>
    <row r="803" spans="1:5" x14ac:dyDescent="0.2">
      <c r="A803" t="s">
        <v>539</v>
      </c>
      <c r="B803">
        <v>945</v>
      </c>
      <c r="C803" t="s">
        <v>2764</v>
      </c>
      <c r="E803" t="s">
        <v>2857</v>
      </c>
    </row>
    <row r="804" spans="1:5" x14ac:dyDescent="0.2">
      <c r="A804" t="s">
        <v>650</v>
      </c>
      <c r="B804">
        <v>624</v>
      </c>
      <c r="C804" t="s">
        <v>2725</v>
      </c>
      <c r="D804" t="s">
        <v>2725</v>
      </c>
      <c r="E804" t="s">
        <v>2726</v>
      </c>
    </row>
    <row r="805" spans="1:5" x14ac:dyDescent="0.2">
      <c r="A805" t="s">
        <v>413</v>
      </c>
      <c r="B805">
        <v>674</v>
      </c>
      <c r="C805" t="s">
        <v>2381</v>
      </c>
      <c r="D805" t="s">
        <v>2381</v>
      </c>
      <c r="E805" t="s">
        <v>2382</v>
      </c>
    </row>
    <row r="806" spans="1:5" x14ac:dyDescent="0.2">
      <c r="A806" t="s">
        <v>2408</v>
      </c>
      <c r="B806">
        <v>536</v>
      </c>
      <c r="C806" t="s">
        <v>2824</v>
      </c>
      <c r="D806" t="s">
        <v>2824</v>
      </c>
      <c r="E806" t="s">
        <v>2825</v>
      </c>
    </row>
    <row r="807" spans="1:5" x14ac:dyDescent="0.2">
      <c r="A807" t="s">
        <v>650</v>
      </c>
      <c r="B807">
        <v>510</v>
      </c>
      <c r="C807" t="s">
        <v>2790</v>
      </c>
      <c r="D807" t="s">
        <v>2790</v>
      </c>
      <c r="E807" t="s">
        <v>2791</v>
      </c>
    </row>
    <row r="808" spans="1:5" x14ac:dyDescent="0.2">
      <c r="A808" t="s">
        <v>650</v>
      </c>
      <c r="B808">
        <v>540</v>
      </c>
      <c r="C808" t="s">
        <v>2509</v>
      </c>
      <c r="D808" t="s">
        <v>2509</v>
      </c>
      <c r="E808" t="s">
        <v>2585</v>
      </c>
    </row>
    <row r="809" spans="1:5" x14ac:dyDescent="0.2">
      <c r="A809" t="s">
        <v>413</v>
      </c>
      <c r="B809">
        <v>660</v>
      </c>
      <c r="C809" t="s">
        <v>2832</v>
      </c>
      <c r="D809" t="s">
        <v>2832</v>
      </c>
      <c r="E809" t="s">
        <v>2833</v>
      </c>
    </row>
    <row r="810" spans="1:5" x14ac:dyDescent="0.2">
      <c r="A810" t="s">
        <v>539</v>
      </c>
      <c r="B810">
        <v>684</v>
      </c>
      <c r="C810" t="s">
        <v>2682</v>
      </c>
      <c r="E810" t="s">
        <v>2683</v>
      </c>
    </row>
    <row r="811" spans="1:5" x14ac:dyDescent="0.2">
      <c r="A811" t="s">
        <v>650</v>
      </c>
      <c r="B811">
        <v>616</v>
      </c>
      <c r="C811" t="s">
        <v>2578</v>
      </c>
      <c r="E811" t="s">
        <v>2579</v>
      </c>
    </row>
    <row r="812" spans="1:5" x14ac:dyDescent="0.2">
      <c r="A812" t="s">
        <v>650</v>
      </c>
      <c r="B812">
        <v>617</v>
      </c>
      <c r="C812" t="s">
        <v>2948</v>
      </c>
      <c r="E812" t="s">
        <v>2949</v>
      </c>
    </row>
    <row r="813" spans="1:5" x14ac:dyDescent="0.2">
      <c r="A813" t="s">
        <v>539</v>
      </c>
      <c r="B813">
        <v>667</v>
      </c>
      <c r="C813" t="s">
        <v>2776</v>
      </c>
      <c r="D813" t="s">
        <v>2950</v>
      </c>
      <c r="E813" t="s">
        <v>2778</v>
      </c>
    </row>
    <row r="814" spans="1:5" x14ac:dyDescent="0.2">
      <c r="A814" t="s">
        <v>505</v>
      </c>
      <c r="B814">
        <v>626</v>
      </c>
      <c r="C814" t="s">
        <v>2798</v>
      </c>
      <c r="D814" t="s">
        <v>2715</v>
      </c>
      <c r="E814" t="s">
        <v>2799</v>
      </c>
    </row>
    <row r="815" spans="1:5" x14ac:dyDescent="0.2">
      <c r="A815" t="s">
        <v>650</v>
      </c>
      <c r="B815">
        <v>550</v>
      </c>
      <c r="C815" t="s">
        <v>2784</v>
      </c>
      <c r="D815" t="s">
        <v>2784</v>
      </c>
      <c r="E815" t="s">
        <v>2785</v>
      </c>
    </row>
    <row r="816" spans="1:5" x14ac:dyDescent="0.2">
      <c r="A816" t="s">
        <v>567</v>
      </c>
      <c r="B816">
        <v>686</v>
      </c>
      <c r="C816" t="s">
        <v>2951</v>
      </c>
      <c r="E816" t="s">
        <v>2952</v>
      </c>
    </row>
    <row r="817" spans="1:5" x14ac:dyDescent="0.2">
      <c r="A817" t="s">
        <v>505</v>
      </c>
      <c r="B817">
        <v>880</v>
      </c>
      <c r="C817" t="s">
        <v>2934</v>
      </c>
      <c r="D817" t="s">
        <v>2934</v>
      </c>
      <c r="E817" t="s">
        <v>2935</v>
      </c>
    </row>
    <row r="818" spans="1:5" x14ac:dyDescent="0.2">
      <c r="A818" t="s">
        <v>413</v>
      </c>
      <c r="B818">
        <v>628</v>
      </c>
      <c r="C818" t="s">
        <v>2677</v>
      </c>
      <c r="E818" t="s">
        <v>2678</v>
      </c>
    </row>
    <row r="819" spans="1:5" x14ac:dyDescent="0.2">
      <c r="A819" t="s">
        <v>650</v>
      </c>
      <c r="B819">
        <v>809</v>
      </c>
      <c r="C819" t="s">
        <v>2953</v>
      </c>
      <c r="D819" t="s">
        <v>2953</v>
      </c>
      <c r="E819" t="s">
        <v>2954</v>
      </c>
    </row>
    <row r="820" spans="1:5" x14ac:dyDescent="0.2">
      <c r="A820" t="s">
        <v>539</v>
      </c>
      <c r="B820">
        <v>536</v>
      </c>
      <c r="C820" t="s">
        <v>2658</v>
      </c>
      <c r="E820" t="s">
        <v>2640</v>
      </c>
    </row>
    <row r="821" spans="1:5" x14ac:dyDescent="0.2">
      <c r="A821" t="s">
        <v>2408</v>
      </c>
      <c r="B821">
        <v>505</v>
      </c>
      <c r="C821" t="s">
        <v>2746</v>
      </c>
      <c r="D821" t="s">
        <v>2746</v>
      </c>
      <c r="E821" t="s">
        <v>2747</v>
      </c>
    </row>
    <row r="822" spans="1:5" x14ac:dyDescent="0.2">
      <c r="A822" t="s">
        <v>567</v>
      </c>
      <c r="B822">
        <v>940</v>
      </c>
      <c r="C822" t="s">
        <v>2744</v>
      </c>
      <c r="D822" t="s">
        <v>2744</v>
      </c>
      <c r="E822" t="s">
        <v>2745</v>
      </c>
    </row>
    <row r="823" spans="1:5" x14ac:dyDescent="0.2">
      <c r="A823" t="s">
        <v>567</v>
      </c>
      <c r="B823">
        <v>940</v>
      </c>
      <c r="C823" t="s">
        <v>2744</v>
      </c>
      <c r="E823" t="s">
        <v>2745</v>
      </c>
    </row>
    <row r="824" spans="1:5" x14ac:dyDescent="0.2">
      <c r="A824" t="s">
        <v>650</v>
      </c>
      <c r="B824">
        <v>695</v>
      </c>
      <c r="C824" t="s">
        <v>2386</v>
      </c>
      <c r="D824" t="s">
        <v>2955</v>
      </c>
      <c r="E824" t="s">
        <v>2488</v>
      </c>
    </row>
    <row r="825" spans="1:5" x14ac:dyDescent="0.2">
      <c r="A825" t="s">
        <v>2408</v>
      </c>
      <c r="B825">
        <v>656</v>
      </c>
      <c r="C825" t="s">
        <v>2650</v>
      </c>
      <c r="D825" t="s">
        <v>2956</v>
      </c>
      <c r="E825" t="s">
        <v>2662</v>
      </c>
    </row>
    <row r="826" spans="1:5" x14ac:dyDescent="0.2">
      <c r="A826" t="s">
        <v>2408</v>
      </c>
      <c r="B826">
        <v>614</v>
      </c>
      <c r="C826" t="s">
        <v>2802</v>
      </c>
      <c r="D826" t="s">
        <v>2957</v>
      </c>
      <c r="E826" t="s">
        <v>2804</v>
      </c>
    </row>
    <row r="827" spans="1:5" x14ac:dyDescent="0.2">
      <c r="A827" t="s">
        <v>505</v>
      </c>
      <c r="B827">
        <v>854</v>
      </c>
      <c r="C827" t="s">
        <v>2958</v>
      </c>
      <c r="D827" t="s">
        <v>2958</v>
      </c>
      <c r="E827" t="s">
        <v>2959</v>
      </c>
    </row>
    <row r="828" spans="1:5" x14ac:dyDescent="0.2">
      <c r="A828" t="s">
        <v>2408</v>
      </c>
      <c r="B828">
        <v>662</v>
      </c>
      <c r="C828" t="s">
        <v>2864</v>
      </c>
      <c r="D828" t="s">
        <v>2960</v>
      </c>
      <c r="E828" t="s">
        <v>2865</v>
      </c>
    </row>
    <row r="829" spans="1:5" x14ac:dyDescent="0.2">
      <c r="A829" t="s">
        <v>2408</v>
      </c>
      <c r="B829">
        <v>627</v>
      </c>
      <c r="C829" t="s">
        <v>2873</v>
      </c>
      <c r="D829" t="s">
        <v>2873</v>
      </c>
      <c r="E829" t="s">
        <v>2874</v>
      </c>
    </row>
    <row r="830" spans="1:5" x14ac:dyDescent="0.2">
      <c r="A830" t="s">
        <v>505</v>
      </c>
      <c r="B830">
        <v>510</v>
      </c>
      <c r="C830" t="s">
        <v>2847</v>
      </c>
      <c r="D830" t="s">
        <v>2961</v>
      </c>
      <c r="E830" t="s">
        <v>2848</v>
      </c>
    </row>
    <row r="831" spans="1:5" x14ac:dyDescent="0.2">
      <c r="A831" t="s">
        <v>2408</v>
      </c>
      <c r="B831">
        <v>631</v>
      </c>
      <c r="C831" t="s">
        <v>2750</v>
      </c>
      <c r="D831" t="s">
        <v>2750</v>
      </c>
      <c r="E831" t="s">
        <v>2751</v>
      </c>
    </row>
    <row r="832" spans="1:5" x14ac:dyDescent="0.2">
      <c r="A832" t="s">
        <v>505</v>
      </c>
      <c r="B832">
        <v>995</v>
      </c>
      <c r="C832" t="s">
        <v>2938</v>
      </c>
      <c r="D832" t="s">
        <v>2938</v>
      </c>
      <c r="E832" t="s">
        <v>2939</v>
      </c>
    </row>
    <row r="833" spans="1:5" x14ac:dyDescent="0.2">
      <c r="A833" t="s">
        <v>650</v>
      </c>
      <c r="B833">
        <v>600</v>
      </c>
      <c r="C833" t="s">
        <v>2735</v>
      </c>
      <c r="E833" t="s">
        <v>2736</v>
      </c>
    </row>
    <row r="834" spans="1:5" x14ac:dyDescent="0.2">
      <c r="A834" t="s">
        <v>2408</v>
      </c>
      <c r="B834">
        <v>543</v>
      </c>
      <c r="C834" t="s">
        <v>2494</v>
      </c>
      <c r="D834" t="s">
        <v>2494</v>
      </c>
      <c r="E834" t="s">
        <v>2495</v>
      </c>
    </row>
    <row r="835" spans="1:5" x14ac:dyDescent="0.2">
      <c r="A835" t="s">
        <v>2383</v>
      </c>
      <c r="B835">
        <v>860</v>
      </c>
      <c r="C835" t="s">
        <v>2881</v>
      </c>
      <c r="D835" t="s">
        <v>2881</v>
      </c>
      <c r="E835" t="s">
        <v>2962</v>
      </c>
    </row>
    <row r="836" spans="1:5" x14ac:dyDescent="0.2">
      <c r="A836" t="s">
        <v>2408</v>
      </c>
      <c r="B836">
        <v>656</v>
      </c>
      <c r="C836" t="s">
        <v>2650</v>
      </c>
      <c r="D836" t="s">
        <v>2956</v>
      </c>
      <c r="E836" t="s">
        <v>2662</v>
      </c>
    </row>
    <row r="837" spans="1:5" x14ac:dyDescent="0.2">
      <c r="A837" t="s">
        <v>567</v>
      </c>
      <c r="B837">
        <v>620</v>
      </c>
      <c r="C837" t="s">
        <v>2431</v>
      </c>
      <c r="D837" t="s">
        <v>2431</v>
      </c>
      <c r="E837" t="s">
        <v>2432</v>
      </c>
    </row>
    <row r="838" spans="1:5" x14ac:dyDescent="0.2">
      <c r="A838" t="s">
        <v>2408</v>
      </c>
      <c r="B838">
        <v>631</v>
      </c>
      <c r="C838" t="s">
        <v>2750</v>
      </c>
      <c r="D838" t="s">
        <v>2750</v>
      </c>
      <c r="E838" t="s">
        <v>2751</v>
      </c>
    </row>
    <row r="839" spans="1:5" x14ac:dyDescent="0.2">
      <c r="A839" t="s">
        <v>505</v>
      </c>
      <c r="B839">
        <v>844</v>
      </c>
      <c r="C839" t="s">
        <v>2932</v>
      </c>
      <c r="D839" t="s">
        <v>2932</v>
      </c>
      <c r="E839" t="s">
        <v>2933</v>
      </c>
    </row>
    <row r="840" spans="1:5" x14ac:dyDescent="0.2">
      <c r="A840" t="s">
        <v>505</v>
      </c>
      <c r="B840">
        <v>844</v>
      </c>
      <c r="C840" t="s">
        <v>2932</v>
      </c>
      <c r="D840" t="s">
        <v>2932</v>
      </c>
      <c r="E840" t="s">
        <v>2933</v>
      </c>
    </row>
    <row r="841" spans="1:5" x14ac:dyDescent="0.2">
      <c r="A841" t="s">
        <v>505</v>
      </c>
      <c r="B841">
        <v>880</v>
      </c>
      <c r="C841" t="s">
        <v>2934</v>
      </c>
      <c r="D841" t="s">
        <v>2934</v>
      </c>
      <c r="E841" t="s">
        <v>2935</v>
      </c>
    </row>
    <row r="842" spans="1:5" x14ac:dyDescent="0.2">
      <c r="A842" t="s">
        <v>2408</v>
      </c>
      <c r="B842">
        <v>526</v>
      </c>
      <c r="C842" t="s">
        <v>2588</v>
      </c>
      <c r="D842" t="s">
        <v>2588</v>
      </c>
      <c r="E842" t="s">
        <v>2589</v>
      </c>
    </row>
    <row r="843" spans="1:5" x14ac:dyDescent="0.2">
      <c r="A843" t="s">
        <v>2408</v>
      </c>
      <c r="B843">
        <v>600</v>
      </c>
      <c r="C843" t="s">
        <v>2889</v>
      </c>
      <c r="D843" t="s">
        <v>2889</v>
      </c>
      <c r="E843" t="s">
        <v>2890</v>
      </c>
    </row>
    <row r="844" spans="1:5" x14ac:dyDescent="0.2">
      <c r="A844" t="s">
        <v>2408</v>
      </c>
      <c r="B844">
        <v>505</v>
      </c>
      <c r="C844" t="s">
        <v>2746</v>
      </c>
      <c r="D844" t="s">
        <v>2746</v>
      </c>
      <c r="E844" t="s">
        <v>2747</v>
      </c>
    </row>
    <row r="845" spans="1:5" x14ac:dyDescent="0.2">
      <c r="A845" t="s">
        <v>505</v>
      </c>
      <c r="B845">
        <v>525</v>
      </c>
      <c r="C845" t="s">
        <v>2879</v>
      </c>
      <c r="D845" t="s">
        <v>2963</v>
      </c>
      <c r="E845" t="s">
        <v>2880</v>
      </c>
    </row>
    <row r="846" spans="1:5" x14ac:dyDescent="0.2">
      <c r="A846" t="s">
        <v>567</v>
      </c>
      <c r="B846">
        <v>664</v>
      </c>
      <c r="C846" t="s">
        <v>2752</v>
      </c>
      <c r="D846" t="s">
        <v>2752</v>
      </c>
      <c r="E846" t="s">
        <v>2753</v>
      </c>
    </row>
    <row r="847" spans="1:5" x14ac:dyDescent="0.2">
      <c r="A847" t="s">
        <v>539</v>
      </c>
      <c r="B847">
        <v>676</v>
      </c>
      <c r="C847" t="s">
        <v>2964</v>
      </c>
      <c r="E847" t="s">
        <v>2965</v>
      </c>
    </row>
    <row r="848" spans="1:5" x14ac:dyDescent="0.2">
      <c r="A848" t="s">
        <v>505</v>
      </c>
      <c r="B848">
        <v>995</v>
      </c>
      <c r="C848" t="s">
        <v>2938</v>
      </c>
      <c r="D848" t="s">
        <v>2938</v>
      </c>
      <c r="E848" t="s">
        <v>2939</v>
      </c>
    </row>
    <row r="849" spans="1:5" x14ac:dyDescent="0.2">
      <c r="A849" t="s">
        <v>505</v>
      </c>
      <c r="B849">
        <v>888</v>
      </c>
      <c r="C849" t="s">
        <v>2936</v>
      </c>
      <c r="D849" t="s">
        <v>2936</v>
      </c>
      <c r="E849" t="s">
        <v>2937</v>
      </c>
    </row>
    <row r="850" spans="1:5" x14ac:dyDescent="0.2">
      <c r="A850" t="s">
        <v>539</v>
      </c>
      <c r="B850">
        <v>628</v>
      </c>
      <c r="C850" t="s">
        <v>2966</v>
      </c>
      <c r="E850" t="s">
        <v>2967</v>
      </c>
    </row>
    <row r="851" spans="1:5" x14ac:dyDescent="0.2">
      <c r="A851" t="s">
        <v>505</v>
      </c>
      <c r="B851">
        <v>510</v>
      </c>
      <c r="C851" t="s">
        <v>2847</v>
      </c>
      <c r="D851" t="s">
        <v>2961</v>
      </c>
      <c r="E851" t="s">
        <v>2848</v>
      </c>
    </row>
    <row r="852" spans="1:5" x14ac:dyDescent="0.2">
      <c r="A852" t="s">
        <v>2408</v>
      </c>
      <c r="B852">
        <v>507</v>
      </c>
      <c r="C852" t="s">
        <v>2968</v>
      </c>
      <c r="E852" t="s">
        <v>2969</v>
      </c>
    </row>
    <row r="853" spans="1:5" x14ac:dyDescent="0.2">
      <c r="A853" t="s">
        <v>2383</v>
      </c>
      <c r="B853">
        <v>507</v>
      </c>
      <c r="C853" t="s">
        <v>2968</v>
      </c>
      <c r="E853" t="s">
        <v>2970</v>
      </c>
    </row>
    <row r="854" spans="1:5" x14ac:dyDescent="0.2">
      <c r="A854" t="s">
        <v>505</v>
      </c>
      <c r="B854">
        <v>888</v>
      </c>
      <c r="C854" t="s">
        <v>2936</v>
      </c>
      <c r="D854" t="s">
        <v>2936</v>
      </c>
      <c r="E854" t="s">
        <v>2937</v>
      </c>
    </row>
    <row r="855" spans="1:5" x14ac:dyDescent="0.2">
      <c r="A855" t="s">
        <v>567</v>
      </c>
      <c r="B855">
        <v>565</v>
      </c>
      <c r="C855" t="s">
        <v>2895</v>
      </c>
      <c r="D855" t="s">
        <v>2971</v>
      </c>
      <c r="E855" t="s">
        <v>2896</v>
      </c>
    </row>
    <row r="856" spans="1:5" x14ac:dyDescent="0.2">
      <c r="A856" t="s">
        <v>567</v>
      </c>
      <c r="B856">
        <v>551</v>
      </c>
      <c r="C856" t="s">
        <v>2422</v>
      </c>
      <c r="D856" t="s">
        <v>2422</v>
      </c>
      <c r="E856" t="s">
        <v>2423</v>
      </c>
    </row>
    <row r="857" spans="1:5" x14ac:dyDescent="0.2">
      <c r="A857" t="s">
        <v>2383</v>
      </c>
      <c r="B857">
        <v>655</v>
      </c>
      <c r="C857" t="s">
        <v>2616</v>
      </c>
      <c r="E857" t="s">
        <v>2617</v>
      </c>
    </row>
    <row r="858" spans="1:5" x14ac:dyDescent="0.2">
      <c r="A858" t="s">
        <v>539</v>
      </c>
      <c r="B858">
        <v>695</v>
      </c>
      <c r="C858" t="s">
        <v>2636</v>
      </c>
      <c r="D858" t="s">
        <v>2972</v>
      </c>
      <c r="E858" t="s">
        <v>2638</v>
      </c>
    </row>
    <row r="859" spans="1:5" x14ac:dyDescent="0.2">
      <c r="A859" t="s">
        <v>567</v>
      </c>
      <c r="B859">
        <v>552</v>
      </c>
      <c r="C859" t="s">
        <v>2424</v>
      </c>
      <c r="D859" t="s">
        <v>2424</v>
      </c>
      <c r="E859" t="s">
        <v>2425</v>
      </c>
    </row>
    <row r="860" spans="1:5" x14ac:dyDescent="0.2">
      <c r="A860" t="s">
        <v>382</v>
      </c>
      <c r="B860">
        <v>604</v>
      </c>
      <c r="C860" t="s">
        <v>2973</v>
      </c>
      <c r="E860" t="s">
        <v>2974</v>
      </c>
    </row>
    <row r="861" spans="1:5" x14ac:dyDescent="0.2">
      <c r="A861" t="s">
        <v>382</v>
      </c>
      <c r="B861">
        <v>614</v>
      </c>
      <c r="C861" t="s">
        <v>2975</v>
      </c>
      <c r="E861" t="s">
        <v>2976</v>
      </c>
    </row>
    <row r="862" spans="1:5" x14ac:dyDescent="0.2">
      <c r="A862" t="s">
        <v>539</v>
      </c>
      <c r="B862">
        <v>658</v>
      </c>
      <c r="C862" t="s">
        <v>2897</v>
      </c>
      <c r="D862" t="s">
        <v>2977</v>
      </c>
      <c r="E862" t="s">
        <v>2898</v>
      </c>
    </row>
    <row r="863" spans="1:5" x14ac:dyDescent="0.2">
      <c r="A863" t="s">
        <v>567</v>
      </c>
      <c r="B863">
        <v>551</v>
      </c>
      <c r="C863" t="s">
        <v>2422</v>
      </c>
      <c r="D863" t="s">
        <v>2422</v>
      </c>
      <c r="E863" t="s">
        <v>2423</v>
      </c>
    </row>
    <row r="864" spans="1:5" x14ac:dyDescent="0.2">
      <c r="A864" t="s">
        <v>505</v>
      </c>
      <c r="B864">
        <v>525</v>
      </c>
      <c r="C864" t="s">
        <v>2879</v>
      </c>
      <c r="D864" t="s">
        <v>2963</v>
      </c>
      <c r="E864" t="s">
        <v>2880</v>
      </c>
    </row>
    <row r="865" spans="1:5" x14ac:dyDescent="0.2">
      <c r="A865" t="s">
        <v>505</v>
      </c>
      <c r="B865">
        <v>648</v>
      </c>
      <c r="C865" t="s">
        <v>675</v>
      </c>
      <c r="D865" t="s">
        <v>2978</v>
      </c>
      <c r="E865" t="s">
        <v>2396</v>
      </c>
    </row>
    <row r="866" spans="1:5" x14ac:dyDescent="0.2">
      <c r="A866" t="s">
        <v>413</v>
      </c>
      <c r="B866">
        <v>600</v>
      </c>
      <c r="C866" t="s">
        <v>2689</v>
      </c>
      <c r="E866" t="s">
        <v>2690</v>
      </c>
    </row>
    <row r="867" spans="1:5" x14ac:dyDescent="0.2">
      <c r="A867" t="s">
        <v>650</v>
      </c>
      <c r="B867">
        <v>649</v>
      </c>
      <c r="C867" t="s">
        <v>2979</v>
      </c>
      <c r="E867" t="s">
        <v>2980</v>
      </c>
    </row>
    <row r="868" spans="1:5" x14ac:dyDescent="0.2">
      <c r="A868" t="s">
        <v>650</v>
      </c>
      <c r="B868">
        <v>521</v>
      </c>
      <c r="C868" t="s">
        <v>2981</v>
      </c>
      <c r="E868" t="s">
        <v>2982</v>
      </c>
    </row>
    <row r="869" spans="1:5" x14ac:dyDescent="0.2">
      <c r="A869" t="s">
        <v>2408</v>
      </c>
      <c r="B869">
        <v>524</v>
      </c>
      <c r="C869" t="s">
        <v>2983</v>
      </c>
      <c r="E869" t="s">
        <v>2984</v>
      </c>
    </row>
    <row r="870" spans="1:5" x14ac:dyDescent="0.2">
      <c r="A870" t="s">
        <v>539</v>
      </c>
      <c r="B870">
        <v>655</v>
      </c>
      <c r="C870" t="s">
        <v>2779</v>
      </c>
      <c r="D870" t="s">
        <v>2985</v>
      </c>
      <c r="E870" t="s">
        <v>2781</v>
      </c>
    </row>
    <row r="871" spans="1:5" x14ac:dyDescent="0.2">
      <c r="A871" t="s">
        <v>413</v>
      </c>
      <c r="B871">
        <v>650</v>
      </c>
      <c r="C871" t="s">
        <v>2986</v>
      </c>
      <c r="E871" t="s">
        <v>2987</v>
      </c>
    </row>
    <row r="872" spans="1:5" x14ac:dyDescent="0.2">
      <c r="A872" t="s">
        <v>2408</v>
      </c>
      <c r="B872">
        <v>632</v>
      </c>
      <c r="C872" t="s">
        <v>2768</v>
      </c>
      <c r="D872" t="s">
        <v>2988</v>
      </c>
      <c r="E872" t="s">
        <v>2769</v>
      </c>
    </row>
    <row r="873" spans="1:5" x14ac:dyDescent="0.2">
      <c r="A873" t="s">
        <v>505</v>
      </c>
      <c r="B873">
        <v>915</v>
      </c>
      <c r="C873" t="s">
        <v>2989</v>
      </c>
      <c r="D873" t="s">
        <v>2989</v>
      </c>
      <c r="E873" t="s">
        <v>2990</v>
      </c>
    </row>
    <row r="874" spans="1:5" x14ac:dyDescent="0.2">
      <c r="A874" t="s">
        <v>539</v>
      </c>
      <c r="B874">
        <v>940</v>
      </c>
      <c r="C874" t="s">
        <v>2853</v>
      </c>
      <c r="D874" t="s">
        <v>2991</v>
      </c>
      <c r="E874" t="s">
        <v>2855</v>
      </c>
    </row>
    <row r="875" spans="1:5" x14ac:dyDescent="0.2">
      <c r="A875" t="s">
        <v>550</v>
      </c>
      <c r="B875">
        <v>695</v>
      </c>
      <c r="C875" t="s">
        <v>2582</v>
      </c>
      <c r="D875" t="s">
        <v>2992</v>
      </c>
      <c r="E875" t="s">
        <v>2584</v>
      </c>
    </row>
    <row r="876" spans="1:5" x14ac:dyDescent="0.2">
      <c r="A876" t="s">
        <v>539</v>
      </c>
      <c r="B876">
        <v>614</v>
      </c>
      <c r="C876" t="s">
        <v>2993</v>
      </c>
      <c r="E876" t="s">
        <v>2994</v>
      </c>
    </row>
    <row r="877" spans="1:5" x14ac:dyDescent="0.2">
      <c r="A877" t="s">
        <v>539</v>
      </c>
      <c r="B877">
        <v>630</v>
      </c>
      <c r="C877" t="s">
        <v>2995</v>
      </c>
      <c r="E877" t="s">
        <v>2996</v>
      </c>
    </row>
    <row r="878" spans="1:5" x14ac:dyDescent="0.2">
      <c r="A878" t="s">
        <v>650</v>
      </c>
      <c r="B878">
        <v>659</v>
      </c>
      <c r="C878" t="s">
        <v>2997</v>
      </c>
      <c r="E878" t="s">
        <v>2998</v>
      </c>
    </row>
    <row r="879" spans="1:5" x14ac:dyDescent="0.2">
      <c r="A879" t="s">
        <v>539</v>
      </c>
      <c r="B879">
        <v>658</v>
      </c>
      <c r="C879" t="s">
        <v>2897</v>
      </c>
      <c r="D879" t="s">
        <v>2999</v>
      </c>
      <c r="E879" t="s">
        <v>2898</v>
      </c>
    </row>
    <row r="880" spans="1:5" x14ac:dyDescent="0.2">
      <c r="A880" t="s">
        <v>2383</v>
      </c>
      <c r="B880">
        <v>669</v>
      </c>
      <c r="C880" t="s">
        <v>2401</v>
      </c>
      <c r="D880" t="s">
        <v>2401</v>
      </c>
      <c r="E880" t="s">
        <v>2402</v>
      </c>
    </row>
    <row r="881" spans="1:5" x14ac:dyDescent="0.2">
      <c r="A881" t="s">
        <v>2408</v>
      </c>
      <c r="B881">
        <v>614</v>
      </c>
      <c r="C881" t="s">
        <v>2802</v>
      </c>
      <c r="D881" t="s">
        <v>3000</v>
      </c>
      <c r="E881" t="s">
        <v>2804</v>
      </c>
    </row>
    <row r="882" spans="1:5" x14ac:dyDescent="0.2">
      <c r="A882" t="s">
        <v>650</v>
      </c>
      <c r="B882">
        <v>656</v>
      </c>
      <c r="C882" t="s">
        <v>2620</v>
      </c>
      <c r="D882" t="s">
        <v>3001</v>
      </c>
      <c r="E882" t="s">
        <v>2621</v>
      </c>
    </row>
    <row r="883" spans="1:5" x14ac:dyDescent="0.2">
      <c r="A883" t="s">
        <v>650</v>
      </c>
      <c r="B883">
        <v>966</v>
      </c>
      <c r="C883" t="s">
        <v>3002</v>
      </c>
      <c r="E883" t="s">
        <v>3003</v>
      </c>
    </row>
    <row r="884" spans="1:5" x14ac:dyDescent="0.2">
      <c r="A884" t="s">
        <v>413</v>
      </c>
      <c r="B884">
        <v>695</v>
      </c>
      <c r="C884" t="s">
        <v>3004</v>
      </c>
      <c r="E884" t="s">
        <v>3005</v>
      </c>
    </row>
    <row r="885" spans="1:5" x14ac:dyDescent="0.2">
      <c r="A885" t="s">
        <v>539</v>
      </c>
      <c r="B885">
        <v>535</v>
      </c>
      <c r="C885" t="s">
        <v>2506</v>
      </c>
      <c r="E885" t="s">
        <v>2507</v>
      </c>
    </row>
    <row r="886" spans="1:5" x14ac:dyDescent="0.2">
      <c r="A886" t="s">
        <v>2383</v>
      </c>
      <c r="B886">
        <v>860</v>
      </c>
      <c r="C886" t="s">
        <v>2881</v>
      </c>
      <c r="E886" t="s">
        <v>2962</v>
      </c>
    </row>
    <row r="887" spans="1:5" x14ac:dyDescent="0.2">
      <c r="A887" t="s">
        <v>650</v>
      </c>
      <c r="B887">
        <v>643</v>
      </c>
      <c r="C887" t="s">
        <v>3006</v>
      </c>
      <c r="E887" t="s">
        <v>3007</v>
      </c>
    </row>
    <row r="888" spans="1:5" x14ac:dyDescent="0.2">
      <c r="A888" t="s">
        <v>2383</v>
      </c>
      <c r="B888">
        <v>503</v>
      </c>
      <c r="C888" t="s">
        <v>2433</v>
      </c>
      <c r="D888" t="s">
        <v>2433</v>
      </c>
      <c r="E888" t="s">
        <v>2491</v>
      </c>
    </row>
    <row r="889" spans="1:5" x14ac:dyDescent="0.2">
      <c r="A889" t="s">
        <v>2383</v>
      </c>
      <c r="B889">
        <v>830</v>
      </c>
      <c r="C889" t="s">
        <v>3008</v>
      </c>
      <c r="E889" t="s">
        <v>3009</v>
      </c>
    </row>
    <row r="890" spans="1:5" x14ac:dyDescent="0.2">
      <c r="A890" t="s">
        <v>567</v>
      </c>
      <c r="B890">
        <v>680</v>
      </c>
      <c r="C890" t="s">
        <v>3010</v>
      </c>
      <c r="E890" t="s">
        <v>3011</v>
      </c>
    </row>
    <row r="891" spans="1:5" x14ac:dyDescent="0.2">
      <c r="A891" t="s">
        <v>650</v>
      </c>
      <c r="B891">
        <v>608</v>
      </c>
      <c r="C891" t="s">
        <v>2684</v>
      </c>
      <c r="D891" t="s">
        <v>3012</v>
      </c>
      <c r="E891" t="s">
        <v>2845</v>
      </c>
    </row>
    <row r="892" spans="1:5" x14ac:dyDescent="0.2">
      <c r="A892" t="s">
        <v>650</v>
      </c>
      <c r="B892">
        <v>619</v>
      </c>
      <c r="C892" t="s">
        <v>2687</v>
      </c>
      <c r="D892" t="s">
        <v>2687</v>
      </c>
      <c r="E892" t="s">
        <v>2688</v>
      </c>
    </row>
    <row r="893" spans="1:5" x14ac:dyDescent="0.2">
      <c r="A893" t="s">
        <v>2408</v>
      </c>
      <c r="B893">
        <v>885</v>
      </c>
      <c r="C893" t="s">
        <v>3013</v>
      </c>
      <c r="D893" t="s">
        <v>3014</v>
      </c>
      <c r="E893" t="s">
        <v>3015</v>
      </c>
    </row>
    <row r="894" spans="1:5" x14ac:dyDescent="0.2">
      <c r="A894" t="s">
        <v>2408</v>
      </c>
      <c r="B894">
        <v>614</v>
      </c>
      <c r="C894" t="s">
        <v>2802</v>
      </c>
      <c r="D894" t="s">
        <v>3016</v>
      </c>
      <c r="E894" t="s">
        <v>2804</v>
      </c>
    </row>
    <row r="895" spans="1:5" x14ac:dyDescent="0.2">
      <c r="A895" t="s">
        <v>550</v>
      </c>
      <c r="B895">
        <v>546</v>
      </c>
      <c r="C895" t="s">
        <v>2504</v>
      </c>
      <c r="D895" t="s">
        <v>2504</v>
      </c>
      <c r="E895" t="s">
        <v>2505</v>
      </c>
    </row>
    <row r="896" spans="1:5" x14ac:dyDescent="0.2">
      <c r="A896" t="s">
        <v>2408</v>
      </c>
      <c r="B896">
        <v>885</v>
      </c>
      <c r="C896" t="s">
        <v>3013</v>
      </c>
      <c r="D896" t="s">
        <v>3017</v>
      </c>
      <c r="E896" t="s">
        <v>3015</v>
      </c>
    </row>
    <row r="897" spans="1:5" x14ac:dyDescent="0.2">
      <c r="A897" t="s">
        <v>2408</v>
      </c>
      <c r="B897">
        <v>885</v>
      </c>
      <c r="C897" t="s">
        <v>3013</v>
      </c>
      <c r="D897" t="s">
        <v>3018</v>
      </c>
      <c r="E897" t="s">
        <v>3015</v>
      </c>
    </row>
    <row r="898" spans="1:5" x14ac:dyDescent="0.2">
      <c r="A898" t="s">
        <v>413</v>
      </c>
      <c r="B898">
        <v>507</v>
      </c>
      <c r="C898" t="s">
        <v>2834</v>
      </c>
      <c r="D898" t="s">
        <v>2834</v>
      </c>
      <c r="E898" t="s">
        <v>2835</v>
      </c>
    </row>
    <row r="899" spans="1:5" x14ac:dyDescent="0.2">
      <c r="A899" t="s">
        <v>413</v>
      </c>
      <c r="B899">
        <v>506</v>
      </c>
      <c r="C899" t="s">
        <v>2466</v>
      </c>
      <c r="D899" t="s">
        <v>2466</v>
      </c>
      <c r="E899" t="s">
        <v>2467</v>
      </c>
    </row>
    <row r="900" spans="1:5" x14ac:dyDescent="0.2">
      <c r="A900" t="s">
        <v>650</v>
      </c>
      <c r="B900">
        <v>625</v>
      </c>
      <c r="C900" t="s">
        <v>2842</v>
      </c>
      <c r="D900" t="s">
        <v>2842</v>
      </c>
      <c r="E900" t="s">
        <v>2843</v>
      </c>
    </row>
    <row r="901" spans="1:5" x14ac:dyDescent="0.2">
      <c r="A901" t="s">
        <v>539</v>
      </c>
      <c r="B901">
        <v>551</v>
      </c>
      <c r="C901" t="s">
        <v>2606</v>
      </c>
      <c r="D901" t="s">
        <v>2606</v>
      </c>
      <c r="E901" t="s">
        <v>2607</v>
      </c>
    </row>
    <row r="902" spans="1:5" x14ac:dyDescent="0.2">
      <c r="A902" t="s">
        <v>650</v>
      </c>
      <c r="B902">
        <v>656</v>
      </c>
      <c r="C902" t="s">
        <v>2620</v>
      </c>
      <c r="D902" t="s">
        <v>3019</v>
      </c>
      <c r="E902" t="s">
        <v>2621</v>
      </c>
    </row>
    <row r="903" spans="1:5" x14ac:dyDescent="0.2">
      <c r="A903" t="s">
        <v>2408</v>
      </c>
      <c r="B903">
        <v>723</v>
      </c>
      <c r="C903" t="s">
        <v>2628</v>
      </c>
      <c r="E903" t="s">
        <v>2629</v>
      </c>
    </row>
    <row r="904" spans="1:5" x14ac:dyDescent="0.2">
      <c r="A904" t="s">
        <v>505</v>
      </c>
      <c r="B904">
        <v>790</v>
      </c>
      <c r="C904" t="s">
        <v>2470</v>
      </c>
      <c r="E904" t="s">
        <v>2471</v>
      </c>
    </row>
    <row r="905" spans="1:5" x14ac:dyDescent="0.2">
      <c r="A905" t="s">
        <v>650</v>
      </c>
      <c r="B905">
        <v>637</v>
      </c>
      <c r="C905" t="s">
        <v>2851</v>
      </c>
      <c r="D905" t="s">
        <v>2851</v>
      </c>
      <c r="E905" t="s">
        <v>2852</v>
      </c>
    </row>
    <row r="906" spans="1:5" x14ac:dyDescent="0.2">
      <c r="A906" t="s">
        <v>567</v>
      </c>
      <c r="B906">
        <v>551</v>
      </c>
      <c r="C906" t="s">
        <v>2422</v>
      </c>
      <c r="D906" t="s">
        <v>2422</v>
      </c>
      <c r="E906" t="s">
        <v>2423</v>
      </c>
    </row>
    <row r="907" spans="1:5" x14ac:dyDescent="0.2">
      <c r="A907" t="s">
        <v>505</v>
      </c>
      <c r="B907">
        <v>534</v>
      </c>
      <c r="C907" t="s">
        <v>2397</v>
      </c>
      <c r="D907" t="s">
        <v>2568</v>
      </c>
      <c r="E907" t="s">
        <v>2398</v>
      </c>
    </row>
    <row r="908" spans="1:5" x14ac:dyDescent="0.2">
      <c r="A908" t="s">
        <v>567</v>
      </c>
      <c r="B908">
        <v>674</v>
      </c>
      <c r="C908" t="s">
        <v>2866</v>
      </c>
      <c r="D908" t="s">
        <v>2866</v>
      </c>
      <c r="E908" t="s">
        <v>2867</v>
      </c>
    </row>
    <row r="909" spans="1:5" x14ac:dyDescent="0.2">
      <c r="A909" t="s">
        <v>2408</v>
      </c>
      <c r="B909">
        <v>744</v>
      </c>
      <c r="C909" t="s">
        <v>3020</v>
      </c>
      <c r="E909" t="s">
        <v>3021</v>
      </c>
    </row>
    <row r="910" spans="1:5" x14ac:dyDescent="0.2">
      <c r="A910" t="s">
        <v>382</v>
      </c>
      <c r="B910">
        <v>510</v>
      </c>
      <c r="C910" t="s">
        <v>2556</v>
      </c>
      <c r="D910" t="s">
        <v>2556</v>
      </c>
      <c r="E910" t="s">
        <v>2557</v>
      </c>
    </row>
    <row r="911" spans="1:5" x14ac:dyDescent="0.2">
      <c r="A911" t="s">
        <v>567</v>
      </c>
      <c r="B911">
        <v>628</v>
      </c>
      <c r="C911" t="s">
        <v>2429</v>
      </c>
      <c r="D911" t="s">
        <v>2429</v>
      </c>
      <c r="E911" t="s">
        <v>2430</v>
      </c>
    </row>
    <row r="912" spans="1:5" x14ac:dyDescent="0.2">
      <c r="A912" t="s">
        <v>505</v>
      </c>
      <c r="B912">
        <v>885</v>
      </c>
      <c r="C912" t="s">
        <v>3022</v>
      </c>
      <c r="E912" t="s">
        <v>3023</v>
      </c>
    </row>
    <row r="913" spans="1:5" x14ac:dyDescent="0.2">
      <c r="A913" t="s">
        <v>505</v>
      </c>
      <c r="B913">
        <v>844</v>
      </c>
      <c r="C913" t="s">
        <v>2932</v>
      </c>
      <c r="E913" t="s">
        <v>2933</v>
      </c>
    </row>
    <row r="914" spans="1:5" x14ac:dyDescent="0.2">
      <c r="A914" t="s">
        <v>505</v>
      </c>
      <c r="B914">
        <v>844</v>
      </c>
      <c r="C914" t="s">
        <v>2932</v>
      </c>
      <c r="E914" t="s">
        <v>2933</v>
      </c>
    </row>
    <row r="915" spans="1:5" x14ac:dyDescent="0.2">
      <c r="A915" t="s">
        <v>505</v>
      </c>
      <c r="B915">
        <v>888</v>
      </c>
      <c r="C915" t="s">
        <v>2936</v>
      </c>
      <c r="E915" t="s">
        <v>2937</v>
      </c>
    </row>
    <row r="916" spans="1:5" x14ac:dyDescent="0.2">
      <c r="A916" t="s">
        <v>505</v>
      </c>
      <c r="B916">
        <v>995</v>
      </c>
      <c r="C916" t="s">
        <v>2938</v>
      </c>
      <c r="E916" t="s">
        <v>2939</v>
      </c>
    </row>
    <row r="917" spans="1:5" x14ac:dyDescent="0.2">
      <c r="A917" t="s">
        <v>539</v>
      </c>
      <c r="B917">
        <v>885</v>
      </c>
      <c r="C917" t="s">
        <v>2389</v>
      </c>
      <c r="D917" t="s">
        <v>3024</v>
      </c>
      <c r="E917" t="s">
        <v>2391</v>
      </c>
    </row>
    <row r="918" spans="1:5" x14ac:dyDescent="0.2">
      <c r="A918" t="s">
        <v>413</v>
      </c>
      <c r="B918">
        <v>640</v>
      </c>
      <c r="C918" t="s">
        <v>2893</v>
      </c>
      <c r="D918" t="s">
        <v>3025</v>
      </c>
      <c r="E918" t="s">
        <v>2894</v>
      </c>
    </row>
    <row r="919" spans="1:5" x14ac:dyDescent="0.2">
      <c r="A919" t="s">
        <v>650</v>
      </c>
      <c r="B919">
        <v>964</v>
      </c>
      <c r="C919" t="s">
        <v>2620</v>
      </c>
      <c r="D919" t="s">
        <v>3019</v>
      </c>
      <c r="E919" t="s">
        <v>2909</v>
      </c>
    </row>
    <row r="920" spans="1:5" x14ac:dyDescent="0.2">
      <c r="A920" t="s">
        <v>650</v>
      </c>
      <c r="B920">
        <v>885</v>
      </c>
      <c r="C920" t="s">
        <v>2386</v>
      </c>
      <c r="D920" t="s">
        <v>3026</v>
      </c>
      <c r="E920" t="s">
        <v>3027</v>
      </c>
    </row>
    <row r="921" spans="1:5" x14ac:dyDescent="0.2">
      <c r="A921" t="s">
        <v>505</v>
      </c>
      <c r="B921">
        <v>885</v>
      </c>
      <c r="C921" t="s">
        <v>3022</v>
      </c>
      <c r="E921" t="s">
        <v>3023</v>
      </c>
    </row>
    <row r="922" spans="1:5" x14ac:dyDescent="0.2">
      <c r="A922" t="s">
        <v>505</v>
      </c>
      <c r="B922">
        <v>860</v>
      </c>
      <c r="C922" t="s">
        <v>2881</v>
      </c>
      <c r="D922" t="s">
        <v>2881</v>
      </c>
      <c r="E922" t="s">
        <v>2882</v>
      </c>
    </row>
    <row r="923" spans="1:5" x14ac:dyDescent="0.2">
      <c r="A923" t="s">
        <v>650</v>
      </c>
      <c r="B923">
        <v>885</v>
      </c>
      <c r="C923" t="s">
        <v>2386</v>
      </c>
      <c r="D923" t="s">
        <v>3028</v>
      </c>
      <c r="E923" t="s">
        <v>3027</v>
      </c>
    </row>
    <row r="924" spans="1:5" x14ac:dyDescent="0.2">
      <c r="A924" t="s">
        <v>650</v>
      </c>
      <c r="B924">
        <v>885</v>
      </c>
      <c r="C924" t="s">
        <v>2386</v>
      </c>
      <c r="D924" t="s">
        <v>3029</v>
      </c>
      <c r="E924" t="s">
        <v>3027</v>
      </c>
    </row>
    <row r="925" spans="1:5" x14ac:dyDescent="0.2">
      <c r="A925" t="s">
        <v>650</v>
      </c>
      <c r="B925">
        <v>885</v>
      </c>
      <c r="C925" t="s">
        <v>2386</v>
      </c>
      <c r="D925" t="s">
        <v>3030</v>
      </c>
      <c r="E925" t="s">
        <v>3027</v>
      </c>
    </row>
    <row r="926" spans="1:5" x14ac:dyDescent="0.2">
      <c r="A926" t="s">
        <v>505</v>
      </c>
      <c r="B926">
        <v>995</v>
      </c>
      <c r="C926" t="s">
        <v>2938</v>
      </c>
      <c r="E926" t="s">
        <v>2939</v>
      </c>
    </row>
    <row r="927" spans="1:5" x14ac:dyDescent="0.2">
      <c r="A927" t="s">
        <v>2408</v>
      </c>
      <c r="B927">
        <v>634</v>
      </c>
      <c r="C927" t="s">
        <v>2717</v>
      </c>
      <c r="E927" t="s">
        <v>3031</v>
      </c>
    </row>
    <row r="928" spans="1:5" x14ac:dyDescent="0.2">
      <c r="A928" t="s">
        <v>382</v>
      </c>
      <c r="B928">
        <v>615</v>
      </c>
      <c r="C928" t="s">
        <v>2448</v>
      </c>
      <c r="D928" t="s">
        <v>2448</v>
      </c>
      <c r="E928" t="s">
        <v>2449</v>
      </c>
    </row>
    <row r="929" spans="1:5" x14ac:dyDescent="0.2">
      <c r="A929" t="s">
        <v>505</v>
      </c>
      <c r="B929">
        <v>995</v>
      </c>
      <c r="C929" t="s">
        <v>2938</v>
      </c>
      <c r="E929" t="s">
        <v>2939</v>
      </c>
    </row>
    <row r="930" spans="1:5" x14ac:dyDescent="0.2">
      <c r="A930" t="s">
        <v>2408</v>
      </c>
      <c r="B930">
        <v>535</v>
      </c>
      <c r="C930" t="s">
        <v>3032</v>
      </c>
      <c r="E930" t="s">
        <v>3033</v>
      </c>
    </row>
    <row r="931" spans="1:5" x14ac:dyDescent="0.2">
      <c r="A931" t="s">
        <v>539</v>
      </c>
      <c r="B931">
        <v>695</v>
      </c>
      <c r="C931" t="s">
        <v>2636</v>
      </c>
      <c r="D931" t="s">
        <v>3034</v>
      </c>
      <c r="E931" t="s">
        <v>2638</v>
      </c>
    </row>
    <row r="932" spans="1:5" x14ac:dyDescent="0.2">
      <c r="A932" t="s">
        <v>539</v>
      </c>
      <c r="B932">
        <v>885</v>
      </c>
      <c r="C932" t="s">
        <v>2389</v>
      </c>
      <c r="D932" t="s">
        <v>3035</v>
      </c>
      <c r="E932" t="s">
        <v>2391</v>
      </c>
    </row>
    <row r="933" spans="1:5" x14ac:dyDescent="0.2">
      <c r="A933" t="s">
        <v>539</v>
      </c>
      <c r="B933">
        <v>885</v>
      </c>
      <c r="C933" t="s">
        <v>2389</v>
      </c>
      <c r="D933" t="s">
        <v>3036</v>
      </c>
      <c r="E933" t="s">
        <v>2391</v>
      </c>
    </row>
    <row r="934" spans="1:5" x14ac:dyDescent="0.2">
      <c r="A934" t="s">
        <v>505</v>
      </c>
      <c r="B934">
        <v>810</v>
      </c>
      <c r="C934" t="s">
        <v>3037</v>
      </c>
      <c r="E934" t="s">
        <v>3038</v>
      </c>
    </row>
    <row r="935" spans="1:5" x14ac:dyDescent="0.2">
      <c r="A935" t="s">
        <v>2408</v>
      </c>
      <c r="B935">
        <v>614</v>
      </c>
      <c r="C935" t="s">
        <v>2802</v>
      </c>
      <c r="D935" t="s">
        <v>3039</v>
      </c>
      <c r="E935" t="s">
        <v>2804</v>
      </c>
    </row>
    <row r="936" spans="1:5" x14ac:dyDescent="0.2">
      <c r="A936" t="s">
        <v>650</v>
      </c>
      <c r="B936">
        <v>885</v>
      </c>
      <c r="C936" t="s">
        <v>2386</v>
      </c>
      <c r="D936" t="s">
        <v>3040</v>
      </c>
      <c r="E936" t="s">
        <v>3027</v>
      </c>
    </row>
    <row r="937" spans="1:5" x14ac:dyDescent="0.2">
      <c r="A937" t="s">
        <v>413</v>
      </c>
      <c r="B937">
        <v>689</v>
      </c>
      <c r="C937" t="s">
        <v>3041</v>
      </c>
      <c r="E937" t="s">
        <v>3042</v>
      </c>
    </row>
    <row r="938" spans="1:5" x14ac:dyDescent="0.2">
      <c r="A938" t="s">
        <v>650</v>
      </c>
      <c r="B938">
        <v>885</v>
      </c>
      <c r="C938" t="s">
        <v>2386</v>
      </c>
      <c r="D938" t="s">
        <v>2641</v>
      </c>
      <c r="E938" t="s">
        <v>3027</v>
      </c>
    </row>
    <row r="939" spans="1:5" x14ac:dyDescent="0.2">
      <c r="A939" t="s">
        <v>650</v>
      </c>
      <c r="B939">
        <v>885</v>
      </c>
      <c r="C939" t="s">
        <v>2386</v>
      </c>
      <c r="D939" t="s">
        <v>3043</v>
      </c>
      <c r="E939" t="s">
        <v>3027</v>
      </c>
    </row>
    <row r="940" spans="1:5" x14ac:dyDescent="0.2">
      <c r="A940" t="s">
        <v>650</v>
      </c>
      <c r="B940">
        <v>885</v>
      </c>
      <c r="C940" t="s">
        <v>2386</v>
      </c>
      <c r="D940" t="s">
        <v>3044</v>
      </c>
      <c r="E940" t="s">
        <v>3027</v>
      </c>
    </row>
    <row r="941" spans="1:5" x14ac:dyDescent="0.2">
      <c r="A941" t="s">
        <v>650</v>
      </c>
      <c r="B941">
        <v>885</v>
      </c>
      <c r="C941" t="s">
        <v>2386</v>
      </c>
      <c r="D941" t="s">
        <v>3045</v>
      </c>
      <c r="E941" t="s">
        <v>3027</v>
      </c>
    </row>
    <row r="942" spans="1:5" x14ac:dyDescent="0.2">
      <c r="A942" t="s">
        <v>2408</v>
      </c>
      <c r="B942">
        <v>633</v>
      </c>
      <c r="C942" t="s">
        <v>2920</v>
      </c>
      <c r="D942" t="s">
        <v>2920</v>
      </c>
      <c r="E942" t="s">
        <v>2921</v>
      </c>
    </row>
    <row r="943" spans="1:5" x14ac:dyDescent="0.2">
      <c r="A943" t="s">
        <v>2383</v>
      </c>
      <c r="B943">
        <v>870</v>
      </c>
      <c r="C943" t="s">
        <v>3046</v>
      </c>
      <c r="D943" t="s">
        <v>3047</v>
      </c>
      <c r="E943" t="s">
        <v>3048</v>
      </c>
    </row>
    <row r="944" spans="1:5" x14ac:dyDescent="0.2">
      <c r="A944" t="s">
        <v>650</v>
      </c>
      <c r="B944">
        <v>885</v>
      </c>
      <c r="C944" t="s">
        <v>2386</v>
      </c>
      <c r="D944" t="s">
        <v>3049</v>
      </c>
      <c r="E944" t="s">
        <v>3027</v>
      </c>
    </row>
    <row r="945" spans="1:5" x14ac:dyDescent="0.2">
      <c r="A945" t="s">
        <v>539</v>
      </c>
      <c r="B945">
        <v>885</v>
      </c>
      <c r="C945" t="s">
        <v>2389</v>
      </c>
      <c r="D945" t="s">
        <v>3050</v>
      </c>
      <c r="E945" t="s">
        <v>2391</v>
      </c>
    </row>
    <row r="946" spans="1:5" x14ac:dyDescent="0.2">
      <c r="A946" t="s">
        <v>539</v>
      </c>
      <c r="B946">
        <v>940</v>
      </c>
      <c r="C946" t="s">
        <v>2853</v>
      </c>
      <c r="D946" t="s">
        <v>3051</v>
      </c>
      <c r="E946" t="s">
        <v>2855</v>
      </c>
    </row>
    <row r="947" spans="1:5" x14ac:dyDescent="0.2">
      <c r="A947" t="s">
        <v>567</v>
      </c>
      <c r="B947">
        <v>680</v>
      </c>
      <c r="C947" t="s">
        <v>3010</v>
      </c>
      <c r="D947" t="s">
        <v>3010</v>
      </c>
      <c r="E947" t="s">
        <v>3011</v>
      </c>
    </row>
    <row r="948" spans="1:5" x14ac:dyDescent="0.2">
      <c r="A948" t="s">
        <v>650</v>
      </c>
      <c r="B948">
        <v>885</v>
      </c>
      <c r="C948" t="s">
        <v>2386</v>
      </c>
      <c r="D948" t="s">
        <v>3052</v>
      </c>
      <c r="E948" t="s">
        <v>3027</v>
      </c>
    </row>
    <row r="949" spans="1:5" x14ac:dyDescent="0.2">
      <c r="A949" t="s">
        <v>2408</v>
      </c>
      <c r="B949">
        <v>634</v>
      </c>
      <c r="C949" t="s">
        <v>2717</v>
      </c>
      <c r="E949" t="s">
        <v>3031</v>
      </c>
    </row>
    <row r="950" spans="1:5" x14ac:dyDescent="0.2">
      <c r="A950" t="s">
        <v>413</v>
      </c>
      <c r="B950">
        <v>685</v>
      </c>
      <c r="C950" t="s">
        <v>3053</v>
      </c>
      <c r="E950" t="s">
        <v>3054</v>
      </c>
    </row>
    <row r="951" spans="1:5" x14ac:dyDescent="0.2">
      <c r="A951" t="s">
        <v>2408</v>
      </c>
      <c r="B951">
        <v>516</v>
      </c>
      <c r="C951" t="s">
        <v>2461</v>
      </c>
      <c r="D951" t="s">
        <v>3055</v>
      </c>
      <c r="E951" t="s">
        <v>2462</v>
      </c>
    </row>
    <row r="952" spans="1:5" x14ac:dyDescent="0.2">
      <c r="A952" t="s">
        <v>2408</v>
      </c>
      <c r="B952">
        <v>634</v>
      </c>
      <c r="C952" t="s">
        <v>2717</v>
      </c>
      <c r="E952" t="s">
        <v>3031</v>
      </c>
    </row>
    <row r="953" spans="1:5" x14ac:dyDescent="0.2">
      <c r="A953" t="s">
        <v>550</v>
      </c>
      <c r="B953">
        <v>561</v>
      </c>
      <c r="C953" t="s">
        <v>2492</v>
      </c>
      <c r="E953" t="s">
        <v>2493</v>
      </c>
    </row>
    <row r="954" spans="1:5" x14ac:dyDescent="0.2">
      <c r="A954" t="s">
        <v>539</v>
      </c>
      <c r="B954">
        <v>624</v>
      </c>
      <c r="C954" t="s">
        <v>3056</v>
      </c>
      <c r="E954" t="s">
        <v>3057</v>
      </c>
    </row>
    <row r="955" spans="1:5" x14ac:dyDescent="0.2">
      <c r="A955" t="s">
        <v>650</v>
      </c>
      <c r="B955">
        <v>885</v>
      </c>
      <c r="C955" t="s">
        <v>2386</v>
      </c>
      <c r="D955" t="s">
        <v>3058</v>
      </c>
      <c r="E955" t="s">
        <v>3027</v>
      </c>
    </row>
    <row r="956" spans="1:5" x14ac:dyDescent="0.2">
      <c r="A956" t="s">
        <v>650</v>
      </c>
      <c r="B956">
        <v>885</v>
      </c>
      <c r="C956" t="s">
        <v>2386</v>
      </c>
      <c r="D956" t="s">
        <v>3059</v>
      </c>
      <c r="E956" t="s">
        <v>3027</v>
      </c>
    </row>
    <row r="957" spans="1:5" x14ac:dyDescent="0.2">
      <c r="A957" t="s">
        <v>650</v>
      </c>
      <c r="B957">
        <v>885</v>
      </c>
      <c r="C957" t="s">
        <v>2386</v>
      </c>
      <c r="D957" t="s">
        <v>3028</v>
      </c>
      <c r="E957" t="s">
        <v>3027</v>
      </c>
    </row>
    <row r="958" spans="1:5" x14ac:dyDescent="0.2">
      <c r="A958" t="s">
        <v>2408</v>
      </c>
      <c r="B958">
        <v>629</v>
      </c>
      <c r="C958" t="s">
        <v>3060</v>
      </c>
      <c r="E958" t="s">
        <v>3061</v>
      </c>
    </row>
    <row r="959" spans="1:5" x14ac:dyDescent="0.2">
      <c r="A959" t="s">
        <v>539</v>
      </c>
      <c r="B959">
        <v>658</v>
      </c>
      <c r="C959" t="s">
        <v>2897</v>
      </c>
      <c r="D959" t="s">
        <v>3062</v>
      </c>
      <c r="E959" t="s">
        <v>2898</v>
      </c>
    </row>
    <row r="960" spans="1:5" x14ac:dyDescent="0.2">
      <c r="A960" t="s">
        <v>2383</v>
      </c>
      <c r="B960">
        <v>615</v>
      </c>
      <c r="C960" t="s">
        <v>3063</v>
      </c>
      <c r="E960" t="s">
        <v>3064</v>
      </c>
    </row>
    <row r="961" spans="1:5" x14ac:dyDescent="0.2">
      <c r="A961" t="s">
        <v>2383</v>
      </c>
      <c r="B961">
        <v>615</v>
      </c>
      <c r="C961" t="s">
        <v>3063</v>
      </c>
      <c r="E961" t="s">
        <v>3064</v>
      </c>
    </row>
    <row r="962" spans="1:5" x14ac:dyDescent="0.2">
      <c r="A962" t="s">
        <v>567</v>
      </c>
      <c r="B962">
        <v>555</v>
      </c>
      <c r="C962" t="s">
        <v>2800</v>
      </c>
      <c r="D962" t="s">
        <v>2800</v>
      </c>
      <c r="E962" t="s">
        <v>2801</v>
      </c>
    </row>
    <row r="963" spans="1:5" x14ac:dyDescent="0.2">
      <c r="A963" t="s">
        <v>505</v>
      </c>
      <c r="B963">
        <v>706</v>
      </c>
      <c r="C963" t="s">
        <v>2472</v>
      </c>
      <c r="E963" t="s">
        <v>2473</v>
      </c>
    </row>
    <row r="964" spans="1:5" x14ac:dyDescent="0.2">
      <c r="A964" t="s">
        <v>505</v>
      </c>
      <c r="B964">
        <v>648</v>
      </c>
      <c r="C964" t="s">
        <v>675</v>
      </c>
      <c r="E964" t="s">
        <v>2396</v>
      </c>
    </row>
    <row r="965" spans="1:5" x14ac:dyDescent="0.2">
      <c r="A965" t="s">
        <v>650</v>
      </c>
      <c r="B965">
        <v>885</v>
      </c>
      <c r="C965" t="s">
        <v>2386</v>
      </c>
      <c r="D965" t="s">
        <v>3065</v>
      </c>
      <c r="E965" t="s">
        <v>3027</v>
      </c>
    </row>
    <row r="966" spans="1:5" x14ac:dyDescent="0.2">
      <c r="A966" t="s">
        <v>650</v>
      </c>
      <c r="B966">
        <v>885</v>
      </c>
      <c r="C966" t="s">
        <v>2386</v>
      </c>
      <c r="D966" t="s">
        <v>3066</v>
      </c>
      <c r="E966" t="s">
        <v>3027</v>
      </c>
    </row>
    <row r="967" spans="1:5" x14ac:dyDescent="0.2">
      <c r="A967" t="s">
        <v>567</v>
      </c>
      <c r="B967">
        <v>835</v>
      </c>
      <c r="C967" t="s">
        <v>3067</v>
      </c>
      <c r="E967" t="s">
        <v>3068</v>
      </c>
    </row>
    <row r="968" spans="1:5" x14ac:dyDescent="0.2">
      <c r="A968" t="s">
        <v>2408</v>
      </c>
      <c r="B968">
        <v>748</v>
      </c>
      <c r="C968" t="s">
        <v>3069</v>
      </c>
      <c r="E968" t="s">
        <v>3070</v>
      </c>
    </row>
    <row r="969" spans="1:5" x14ac:dyDescent="0.2">
      <c r="A969" t="s">
        <v>2408</v>
      </c>
      <c r="B969">
        <v>606</v>
      </c>
      <c r="C969" t="s">
        <v>2526</v>
      </c>
      <c r="E969" t="s">
        <v>2527</v>
      </c>
    </row>
    <row r="970" spans="1:5" x14ac:dyDescent="0.2">
      <c r="A970" t="s">
        <v>2408</v>
      </c>
      <c r="B970">
        <v>643</v>
      </c>
      <c r="C970" t="s">
        <v>3071</v>
      </c>
      <c r="E970" t="s">
        <v>3072</v>
      </c>
    </row>
    <row r="971" spans="1:5" x14ac:dyDescent="0.2">
      <c r="A971" t="s">
        <v>413</v>
      </c>
      <c r="B971">
        <v>674</v>
      </c>
      <c r="C971" t="s">
        <v>2381</v>
      </c>
      <c r="E971" t="s">
        <v>2382</v>
      </c>
    </row>
    <row r="972" spans="1:5" x14ac:dyDescent="0.2">
      <c r="A972" t="s">
        <v>2383</v>
      </c>
      <c r="B972">
        <v>850</v>
      </c>
      <c r="C972" t="s">
        <v>3073</v>
      </c>
      <c r="E972" t="s">
        <v>3074</v>
      </c>
    </row>
    <row r="973" spans="1:5" x14ac:dyDescent="0.2">
      <c r="A973" t="s">
        <v>2408</v>
      </c>
      <c r="B973">
        <v>776</v>
      </c>
      <c r="C973" t="s">
        <v>2630</v>
      </c>
      <c r="E973" t="s">
        <v>3075</v>
      </c>
    </row>
    <row r="974" spans="1:5" x14ac:dyDescent="0.2">
      <c r="A974" t="s">
        <v>2383</v>
      </c>
      <c r="B974">
        <v>747</v>
      </c>
      <c r="C974" t="s">
        <v>3076</v>
      </c>
      <c r="E974" t="s">
        <v>3077</v>
      </c>
    </row>
    <row r="975" spans="1:5" x14ac:dyDescent="0.2">
      <c r="A975" t="s">
        <v>505</v>
      </c>
      <c r="B975">
        <v>790</v>
      </c>
      <c r="C975" t="s">
        <v>2470</v>
      </c>
      <c r="E975" t="s">
        <v>2471</v>
      </c>
    </row>
    <row r="976" spans="1:5" x14ac:dyDescent="0.2">
      <c r="A976" t="s">
        <v>650</v>
      </c>
      <c r="B976">
        <v>885</v>
      </c>
      <c r="C976" t="s">
        <v>2386</v>
      </c>
      <c r="D976" t="s">
        <v>3078</v>
      </c>
      <c r="E976" t="s">
        <v>3027</v>
      </c>
    </row>
    <row r="977" spans="1:5" x14ac:dyDescent="0.2">
      <c r="A977" t="s">
        <v>650</v>
      </c>
      <c r="B977">
        <v>940</v>
      </c>
      <c r="C977" t="s">
        <v>2946</v>
      </c>
      <c r="D977" t="s">
        <v>3079</v>
      </c>
      <c r="E977" t="s">
        <v>2947</v>
      </c>
    </row>
    <row r="978" spans="1:5" x14ac:dyDescent="0.2">
      <c r="A978" t="s">
        <v>650</v>
      </c>
      <c r="B978">
        <v>885</v>
      </c>
      <c r="C978" t="s">
        <v>2386</v>
      </c>
      <c r="D978" t="s">
        <v>3080</v>
      </c>
      <c r="E978" t="s">
        <v>3027</v>
      </c>
    </row>
    <row r="979" spans="1:5" x14ac:dyDescent="0.2">
      <c r="A979" t="s">
        <v>505</v>
      </c>
      <c r="B979">
        <v>854</v>
      </c>
      <c r="C979" t="s">
        <v>2958</v>
      </c>
      <c r="E979" t="s">
        <v>2959</v>
      </c>
    </row>
    <row r="980" spans="1:5" x14ac:dyDescent="0.2">
      <c r="A980" t="s">
        <v>539</v>
      </c>
      <c r="B980">
        <v>885</v>
      </c>
      <c r="C980" t="s">
        <v>2389</v>
      </c>
      <c r="D980" t="s">
        <v>3081</v>
      </c>
      <c r="E980" t="s">
        <v>2391</v>
      </c>
    </row>
    <row r="981" spans="1:5" x14ac:dyDescent="0.2">
      <c r="A981" t="s">
        <v>550</v>
      </c>
      <c r="B981">
        <v>610</v>
      </c>
      <c r="C981" t="s">
        <v>3082</v>
      </c>
      <c r="E981" t="s">
        <v>3083</v>
      </c>
    </row>
    <row r="982" spans="1:5" x14ac:dyDescent="0.2">
      <c r="A982" t="s">
        <v>413</v>
      </c>
      <c r="B982">
        <v>664</v>
      </c>
      <c r="C982" t="s">
        <v>3084</v>
      </c>
      <c r="E982" t="s">
        <v>3085</v>
      </c>
    </row>
    <row r="983" spans="1:5" x14ac:dyDescent="0.2">
      <c r="A983" t="s">
        <v>505</v>
      </c>
      <c r="B983">
        <v>888</v>
      </c>
      <c r="C983" t="s">
        <v>2936</v>
      </c>
      <c r="E983" t="s">
        <v>2937</v>
      </c>
    </row>
    <row r="984" spans="1:5" x14ac:dyDescent="0.2">
      <c r="A984" t="s">
        <v>539</v>
      </c>
      <c r="B984">
        <v>885</v>
      </c>
      <c r="C984" t="s">
        <v>2389</v>
      </c>
      <c r="D984" t="s">
        <v>3086</v>
      </c>
      <c r="E984" t="s">
        <v>2391</v>
      </c>
    </row>
    <row r="985" spans="1:5" x14ac:dyDescent="0.2">
      <c r="A985" t="s">
        <v>2383</v>
      </c>
      <c r="B985">
        <v>615</v>
      </c>
      <c r="C985" t="s">
        <v>3063</v>
      </c>
      <c r="D985" t="s">
        <v>3063</v>
      </c>
      <c r="E985" t="s">
        <v>3064</v>
      </c>
    </row>
    <row r="986" spans="1:5" x14ac:dyDescent="0.2">
      <c r="A986" t="s">
        <v>539</v>
      </c>
      <c r="B986">
        <v>885</v>
      </c>
      <c r="C986" t="s">
        <v>2389</v>
      </c>
      <c r="D986" t="s">
        <v>3087</v>
      </c>
      <c r="E986" t="s">
        <v>2391</v>
      </c>
    </row>
    <row r="987" spans="1:5" x14ac:dyDescent="0.2">
      <c r="A987" t="s">
        <v>2383</v>
      </c>
      <c r="B987">
        <v>655</v>
      </c>
      <c r="C987" t="s">
        <v>2616</v>
      </c>
      <c r="D987" t="s">
        <v>2616</v>
      </c>
      <c r="E987" t="s">
        <v>2617</v>
      </c>
    </row>
    <row r="988" spans="1:5" x14ac:dyDescent="0.2">
      <c r="A988" t="s">
        <v>567</v>
      </c>
      <c r="B988">
        <v>685</v>
      </c>
      <c r="C988" t="s">
        <v>3088</v>
      </c>
      <c r="E988" t="s">
        <v>3089</v>
      </c>
    </row>
    <row r="989" spans="1:5" x14ac:dyDescent="0.2">
      <c r="A989" t="s">
        <v>567</v>
      </c>
      <c r="B989">
        <v>500</v>
      </c>
      <c r="C989" t="s">
        <v>3090</v>
      </c>
      <c r="E989" t="s">
        <v>3091</v>
      </c>
    </row>
    <row r="990" spans="1:5" x14ac:dyDescent="0.2">
      <c r="A990" t="s">
        <v>2383</v>
      </c>
      <c r="B990">
        <v>615</v>
      </c>
      <c r="C990" t="s">
        <v>3063</v>
      </c>
      <c r="E990" t="s">
        <v>3064</v>
      </c>
    </row>
    <row r="991" spans="1:5" x14ac:dyDescent="0.2">
      <c r="A991" t="s">
        <v>567</v>
      </c>
      <c r="B991">
        <v>885</v>
      </c>
      <c r="C991" t="s">
        <v>3013</v>
      </c>
      <c r="D991" t="s">
        <v>3092</v>
      </c>
      <c r="E991" t="s">
        <v>3093</v>
      </c>
    </row>
    <row r="992" spans="1:5" x14ac:dyDescent="0.2">
      <c r="A992" t="s">
        <v>567</v>
      </c>
      <c r="B992">
        <v>614</v>
      </c>
      <c r="C992" t="s">
        <v>2975</v>
      </c>
      <c r="E992" t="s">
        <v>3094</v>
      </c>
    </row>
    <row r="993" spans="1:5" x14ac:dyDescent="0.2">
      <c r="A993" t="s">
        <v>2383</v>
      </c>
      <c r="B993">
        <v>534</v>
      </c>
      <c r="C993" t="s">
        <v>2489</v>
      </c>
      <c r="D993" t="s">
        <v>2489</v>
      </c>
      <c r="E993" t="s">
        <v>2490</v>
      </c>
    </row>
    <row r="994" spans="1:5" x14ac:dyDescent="0.2">
      <c r="A994" t="s">
        <v>550</v>
      </c>
      <c r="B994">
        <v>826</v>
      </c>
      <c r="C994" t="s">
        <v>3095</v>
      </c>
      <c r="E994" t="s">
        <v>3096</v>
      </c>
    </row>
    <row r="995" spans="1:5" x14ac:dyDescent="0.2">
      <c r="A995" t="s">
        <v>650</v>
      </c>
      <c r="B995">
        <v>623</v>
      </c>
      <c r="C995" t="s">
        <v>2715</v>
      </c>
      <c r="E995" t="s">
        <v>2716</v>
      </c>
    </row>
    <row r="996" spans="1:5" x14ac:dyDescent="0.2">
      <c r="A996" t="s">
        <v>539</v>
      </c>
      <c r="B996">
        <v>885</v>
      </c>
      <c r="C996" t="s">
        <v>2389</v>
      </c>
      <c r="D996" t="s">
        <v>3097</v>
      </c>
      <c r="E996" t="s">
        <v>2391</v>
      </c>
    </row>
    <row r="997" spans="1:5" x14ac:dyDescent="0.2">
      <c r="A997" t="s">
        <v>650</v>
      </c>
      <c r="B997">
        <v>611</v>
      </c>
      <c r="C997" t="s">
        <v>3098</v>
      </c>
      <c r="E997" t="s">
        <v>2611</v>
      </c>
    </row>
    <row r="998" spans="1:5" x14ac:dyDescent="0.2">
      <c r="A998" t="s">
        <v>2383</v>
      </c>
      <c r="B998">
        <v>534</v>
      </c>
      <c r="C998" t="s">
        <v>2489</v>
      </c>
      <c r="D998" t="s">
        <v>2489</v>
      </c>
      <c r="E998" t="s">
        <v>2490</v>
      </c>
    </row>
    <row r="999" spans="1:5" x14ac:dyDescent="0.2">
      <c r="A999" t="s">
        <v>567</v>
      </c>
      <c r="B999">
        <v>885</v>
      </c>
      <c r="C999" t="s">
        <v>3013</v>
      </c>
      <c r="D999" t="s">
        <v>3099</v>
      </c>
      <c r="E999" t="s">
        <v>3093</v>
      </c>
    </row>
    <row r="1000" spans="1:5" x14ac:dyDescent="0.2">
      <c r="A1000" t="s">
        <v>2408</v>
      </c>
      <c r="B1000">
        <v>549</v>
      </c>
      <c r="C1000" t="s">
        <v>3100</v>
      </c>
      <c r="E1000" t="s">
        <v>3101</v>
      </c>
    </row>
    <row r="1001" spans="1:5" x14ac:dyDescent="0.2">
      <c r="A1001" t="s">
        <v>2383</v>
      </c>
      <c r="B1001">
        <v>615</v>
      </c>
      <c r="C1001" t="s">
        <v>3063</v>
      </c>
      <c r="D1001" t="s">
        <v>3063</v>
      </c>
      <c r="E1001" t="s">
        <v>3064</v>
      </c>
    </row>
    <row r="1002" spans="1:5" x14ac:dyDescent="0.2">
      <c r="A1002" t="s">
        <v>539</v>
      </c>
      <c r="B1002">
        <v>648</v>
      </c>
      <c r="C1002" t="s">
        <v>2681</v>
      </c>
      <c r="E1002" t="s">
        <v>3102</v>
      </c>
    </row>
    <row r="1003" spans="1:5" x14ac:dyDescent="0.2">
      <c r="A1003" t="s">
        <v>650</v>
      </c>
      <c r="B1003">
        <v>605</v>
      </c>
      <c r="C1003" t="s">
        <v>2784</v>
      </c>
      <c r="E1003" t="s">
        <v>3103</v>
      </c>
    </row>
    <row r="1004" spans="1:5" x14ac:dyDescent="0.2">
      <c r="A1004" t="s">
        <v>505</v>
      </c>
      <c r="B1004">
        <v>844</v>
      </c>
      <c r="C1004" t="s">
        <v>2932</v>
      </c>
      <c r="E1004" t="s">
        <v>2933</v>
      </c>
    </row>
    <row r="1005" spans="1:5" x14ac:dyDescent="0.2">
      <c r="A1005" t="s">
        <v>539</v>
      </c>
      <c r="B1005">
        <v>653</v>
      </c>
      <c r="C1005" t="s">
        <v>3104</v>
      </c>
      <c r="E1005" t="s">
        <v>3105</v>
      </c>
    </row>
    <row r="1006" spans="1:5" x14ac:dyDescent="0.2">
      <c r="A1006" t="s">
        <v>505</v>
      </c>
      <c r="B1006">
        <v>680</v>
      </c>
      <c r="C1006" t="s">
        <v>2564</v>
      </c>
      <c r="E1006" t="s">
        <v>2565</v>
      </c>
    </row>
    <row r="1007" spans="1:5" x14ac:dyDescent="0.2">
      <c r="A1007" t="s">
        <v>505</v>
      </c>
      <c r="B1007">
        <v>688</v>
      </c>
      <c r="C1007" t="s">
        <v>2586</v>
      </c>
      <c r="E1007" t="s">
        <v>2587</v>
      </c>
    </row>
    <row r="1008" spans="1:5" x14ac:dyDescent="0.2">
      <c r="A1008" t="s">
        <v>505</v>
      </c>
      <c r="B1008">
        <v>525</v>
      </c>
      <c r="C1008" t="s">
        <v>2963</v>
      </c>
      <c r="E1008" t="s">
        <v>2880</v>
      </c>
    </row>
    <row r="1009" spans="1:5" x14ac:dyDescent="0.2">
      <c r="A1009" t="s">
        <v>505</v>
      </c>
      <c r="B1009">
        <v>888</v>
      </c>
      <c r="C1009" t="s">
        <v>2936</v>
      </c>
      <c r="E1009" t="s">
        <v>2937</v>
      </c>
    </row>
    <row r="1010" spans="1:5" x14ac:dyDescent="0.2">
      <c r="A1010" t="s">
        <v>567</v>
      </c>
      <c r="B1010">
        <v>675</v>
      </c>
      <c r="C1010" t="s">
        <v>3106</v>
      </c>
      <c r="E1010" t="s">
        <v>3107</v>
      </c>
    </row>
    <row r="1011" spans="1:5" x14ac:dyDescent="0.2">
      <c r="A1011" t="s">
        <v>539</v>
      </c>
      <c r="B1011">
        <v>695</v>
      </c>
      <c r="C1011" t="s">
        <v>2636</v>
      </c>
      <c r="E1011" t="s">
        <v>2638</v>
      </c>
    </row>
    <row r="1012" spans="1:5" x14ac:dyDescent="0.2">
      <c r="A1012" t="s">
        <v>567</v>
      </c>
      <c r="B1012">
        <v>634</v>
      </c>
      <c r="C1012" t="s">
        <v>3108</v>
      </c>
      <c r="E1012" t="s">
        <v>3109</v>
      </c>
    </row>
    <row r="1013" spans="1:5" x14ac:dyDescent="0.2">
      <c r="A1013" t="s">
        <v>2408</v>
      </c>
      <c r="B1013">
        <v>538</v>
      </c>
      <c r="C1013" t="s">
        <v>2548</v>
      </c>
      <c r="E1013" t="s">
        <v>2647</v>
      </c>
    </row>
    <row r="1014" spans="1:5" x14ac:dyDescent="0.2">
      <c r="A1014" t="s">
        <v>650</v>
      </c>
      <c r="B1014">
        <v>611</v>
      </c>
      <c r="C1014" t="s">
        <v>3098</v>
      </c>
      <c r="E1014" t="s">
        <v>2611</v>
      </c>
    </row>
    <row r="1015" spans="1:5" x14ac:dyDescent="0.2">
      <c r="A1015" t="s">
        <v>2408</v>
      </c>
      <c r="B1015">
        <v>555</v>
      </c>
      <c r="C1015" t="s">
        <v>2415</v>
      </c>
      <c r="E1015" t="s">
        <v>2416</v>
      </c>
    </row>
    <row r="1016" spans="1:5" x14ac:dyDescent="0.2">
      <c r="A1016" t="s">
        <v>650</v>
      </c>
      <c r="B1016">
        <v>635</v>
      </c>
      <c r="C1016" t="s">
        <v>3110</v>
      </c>
      <c r="E1016" t="s">
        <v>3111</v>
      </c>
    </row>
    <row r="1017" spans="1:5" x14ac:dyDescent="0.2">
      <c r="A1017" t="s">
        <v>413</v>
      </c>
      <c r="B1017">
        <v>664</v>
      </c>
      <c r="C1017" t="s">
        <v>3084</v>
      </c>
      <c r="D1017" t="s">
        <v>3084</v>
      </c>
      <c r="E1017" t="s">
        <v>3085</v>
      </c>
    </row>
    <row r="1018" spans="1:5" x14ac:dyDescent="0.2">
      <c r="A1018" t="s">
        <v>2408</v>
      </c>
      <c r="B1018">
        <v>604</v>
      </c>
      <c r="C1018" t="s">
        <v>2652</v>
      </c>
      <c r="E1018" t="s">
        <v>2737</v>
      </c>
    </row>
    <row r="1019" spans="1:5" x14ac:dyDescent="0.2">
      <c r="A1019" t="s">
        <v>650</v>
      </c>
      <c r="B1019">
        <v>640</v>
      </c>
      <c r="C1019" t="s">
        <v>2509</v>
      </c>
      <c r="E1019" t="s">
        <v>2510</v>
      </c>
    </row>
    <row r="1020" spans="1:5" x14ac:dyDescent="0.2">
      <c r="A1020" t="s">
        <v>539</v>
      </c>
      <c r="B1020">
        <v>634</v>
      </c>
      <c r="C1020" t="s">
        <v>3112</v>
      </c>
      <c r="E1020" t="s">
        <v>3113</v>
      </c>
    </row>
    <row r="1021" spans="1:5" x14ac:dyDescent="0.2">
      <c r="A1021" t="s">
        <v>413</v>
      </c>
      <c r="B1021">
        <v>638</v>
      </c>
      <c r="C1021" t="s">
        <v>3114</v>
      </c>
      <c r="E1021" t="s">
        <v>3115</v>
      </c>
    </row>
    <row r="1022" spans="1:5" x14ac:dyDescent="0.2">
      <c r="A1022" t="s">
        <v>650</v>
      </c>
      <c r="B1022">
        <v>649</v>
      </c>
      <c r="C1022" t="s">
        <v>2979</v>
      </c>
      <c r="D1022" t="s">
        <v>3079</v>
      </c>
      <c r="E1022" t="s">
        <v>2980</v>
      </c>
    </row>
    <row r="1023" spans="1:5" x14ac:dyDescent="0.2">
      <c r="A1023" t="s">
        <v>2408</v>
      </c>
      <c r="B1023">
        <v>539</v>
      </c>
      <c r="C1023" t="s">
        <v>2420</v>
      </c>
      <c r="E1023" t="s">
        <v>2421</v>
      </c>
    </row>
    <row r="1024" spans="1:5" x14ac:dyDescent="0.2">
      <c r="A1024" t="s">
        <v>539</v>
      </c>
      <c r="B1024">
        <v>650</v>
      </c>
      <c r="C1024" t="s">
        <v>3116</v>
      </c>
      <c r="E1024" t="s">
        <v>3117</v>
      </c>
    </row>
    <row r="1025" spans="1:5" x14ac:dyDescent="0.2">
      <c r="A1025" t="s">
        <v>2383</v>
      </c>
      <c r="B1025">
        <v>541</v>
      </c>
      <c r="C1025" t="s">
        <v>2404</v>
      </c>
      <c r="D1025" t="s">
        <v>2404</v>
      </c>
      <c r="E1025" t="s">
        <v>2502</v>
      </c>
    </row>
    <row r="1026" spans="1:5" x14ac:dyDescent="0.2">
      <c r="A1026" t="s">
        <v>539</v>
      </c>
      <c r="B1026">
        <v>648</v>
      </c>
      <c r="C1026" t="s">
        <v>2681</v>
      </c>
      <c r="E1026" t="s">
        <v>3102</v>
      </c>
    </row>
    <row r="1027" spans="1:5" x14ac:dyDescent="0.2">
      <c r="A1027" t="s">
        <v>650</v>
      </c>
      <c r="B1027">
        <v>964</v>
      </c>
      <c r="C1027" t="s">
        <v>2620</v>
      </c>
      <c r="D1027" t="s">
        <v>3118</v>
      </c>
      <c r="E1027" t="s">
        <v>2909</v>
      </c>
    </row>
    <row r="1028" spans="1:5" x14ac:dyDescent="0.2">
      <c r="A1028" t="s">
        <v>567</v>
      </c>
      <c r="B1028">
        <v>565</v>
      </c>
      <c r="C1028" t="s">
        <v>2971</v>
      </c>
      <c r="E1028" t="s">
        <v>2896</v>
      </c>
    </row>
    <row r="1029" spans="1:5" x14ac:dyDescent="0.2">
      <c r="A1029" t="s">
        <v>539</v>
      </c>
      <c r="B1029">
        <v>885</v>
      </c>
      <c r="C1029" t="s">
        <v>2389</v>
      </c>
      <c r="D1029" t="s">
        <v>3119</v>
      </c>
      <c r="E1029" t="s">
        <v>2391</v>
      </c>
    </row>
    <row r="1030" spans="1:5" x14ac:dyDescent="0.2">
      <c r="A1030" t="s">
        <v>2408</v>
      </c>
      <c r="B1030">
        <v>609</v>
      </c>
      <c r="C1030" t="s">
        <v>3120</v>
      </c>
      <c r="E1030" t="s">
        <v>3121</v>
      </c>
    </row>
    <row r="1031" spans="1:5" x14ac:dyDescent="0.2">
      <c r="A1031" t="s">
        <v>650</v>
      </c>
      <c r="B1031">
        <v>885</v>
      </c>
      <c r="C1031" t="s">
        <v>2386</v>
      </c>
      <c r="D1031" t="s">
        <v>3122</v>
      </c>
      <c r="E1031" t="s">
        <v>3027</v>
      </c>
    </row>
    <row r="1032" spans="1:5" x14ac:dyDescent="0.2">
      <c r="A1032" t="s">
        <v>539</v>
      </c>
      <c r="B1032">
        <v>885</v>
      </c>
      <c r="C1032" t="s">
        <v>2389</v>
      </c>
      <c r="D1032" t="s">
        <v>3123</v>
      </c>
      <c r="E1032" t="s">
        <v>2391</v>
      </c>
    </row>
    <row r="1033" spans="1:5" x14ac:dyDescent="0.2">
      <c r="A1033" t="s">
        <v>539</v>
      </c>
      <c r="B1033">
        <v>885</v>
      </c>
      <c r="C1033" t="s">
        <v>2389</v>
      </c>
      <c r="D1033" t="s">
        <v>3124</v>
      </c>
      <c r="E1033" t="s">
        <v>2391</v>
      </c>
    </row>
    <row r="1034" spans="1:5" x14ac:dyDescent="0.2">
      <c r="A1034" t="s">
        <v>650</v>
      </c>
      <c r="B1034">
        <v>885</v>
      </c>
      <c r="C1034" t="s">
        <v>2386</v>
      </c>
      <c r="D1034" t="s">
        <v>3029</v>
      </c>
      <c r="E1034" t="s">
        <v>3027</v>
      </c>
    </row>
    <row r="1035" spans="1:5" x14ac:dyDescent="0.2">
      <c r="A1035" t="s">
        <v>550</v>
      </c>
      <c r="B1035">
        <v>695</v>
      </c>
      <c r="C1035" t="s">
        <v>2582</v>
      </c>
      <c r="D1035" t="s">
        <v>3125</v>
      </c>
      <c r="E1035" t="s">
        <v>2584</v>
      </c>
    </row>
    <row r="1036" spans="1:5" x14ac:dyDescent="0.2">
      <c r="A1036" t="s">
        <v>550</v>
      </c>
      <c r="B1036">
        <v>685</v>
      </c>
      <c r="C1036" t="s">
        <v>2729</v>
      </c>
      <c r="E1036" t="s">
        <v>2730</v>
      </c>
    </row>
    <row r="1037" spans="1:5" x14ac:dyDescent="0.2">
      <c r="A1037" t="s">
        <v>2383</v>
      </c>
      <c r="B1037">
        <v>615</v>
      </c>
      <c r="C1037" t="s">
        <v>3063</v>
      </c>
      <c r="D1037" t="s">
        <v>3063</v>
      </c>
      <c r="E1037" t="s">
        <v>3064</v>
      </c>
    </row>
    <row r="1038" spans="1:5" x14ac:dyDescent="0.2">
      <c r="A1038" t="s">
        <v>567</v>
      </c>
      <c r="B1038">
        <v>940</v>
      </c>
      <c r="C1038" t="s">
        <v>2744</v>
      </c>
      <c r="E1038" t="s">
        <v>2745</v>
      </c>
    </row>
    <row r="1039" spans="1:5" x14ac:dyDescent="0.2">
      <c r="A1039" t="s">
        <v>539</v>
      </c>
      <c r="B1039">
        <v>696</v>
      </c>
      <c r="C1039" t="s">
        <v>3126</v>
      </c>
      <c r="E1039" t="s">
        <v>3127</v>
      </c>
    </row>
    <row r="1040" spans="1:5" x14ac:dyDescent="0.2">
      <c r="A1040" t="s">
        <v>539</v>
      </c>
      <c r="B1040">
        <v>885</v>
      </c>
      <c r="C1040" t="s">
        <v>2389</v>
      </c>
      <c r="D1040" t="s">
        <v>3128</v>
      </c>
      <c r="E1040" t="s">
        <v>2391</v>
      </c>
    </row>
    <row r="1041" spans="1:5" x14ac:dyDescent="0.2">
      <c r="A1041" t="s">
        <v>650</v>
      </c>
      <c r="B1041">
        <v>656</v>
      </c>
      <c r="C1041" t="s">
        <v>2620</v>
      </c>
      <c r="D1041" t="s">
        <v>3118</v>
      </c>
      <c r="E1041" t="s">
        <v>2621</v>
      </c>
    </row>
    <row r="1042" spans="1:5" x14ac:dyDescent="0.2">
      <c r="A1042" t="s">
        <v>650</v>
      </c>
      <c r="B1042">
        <v>885</v>
      </c>
      <c r="C1042" t="s">
        <v>2386</v>
      </c>
      <c r="D1042" t="s">
        <v>3129</v>
      </c>
      <c r="E1042" t="s">
        <v>3027</v>
      </c>
    </row>
    <row r="1043" spans="1:5" x14ac:dyDescent="0.2">
      <c r="A1043" t="s">
        <v>567</v>
      </c>
      <c r="B1043">
        <v>510</v>
      </c>
      <c r="C1043" t="s">
        <v>2556</v>
      </c>
      <c r="E1043" t="s">
        <v>3130</v>
      </c>
    </row>
    <row r="1044" spans="1:5" x14ac:dyDescent="0.2">
      <c r="A1044" t="s">
        <v>2408</v>
      </c>
      <c r="B1044">
        <v>539</v>
      </c>
      <c r="C1044" t="s">
        <v>2420</v>
      </c>
      <c r="D1044" t="s">
        <v>3131</v>
      </c>
      <c r="E1044" t="s">
        <v>2421</v>
      </c>
    </row>
    <row r="1045" spans="1:5" x14ac:dyDescent="0.2">
      <c r="A1045" t="s">
        <v>650</v>
      </c>
      <c r="B1045">
        <v>885</v>
      </c>
      <c r="C1045" t="s">
        <v>2386</v>
      </c>
      <c r="D1045" t="s">
        <v>3132</v>
      </c>
      <c r="E1045" t="s">
        <v>3027</v>
      </c>
    </row>
    <row r="1046" spans="1:5" x14ac:dyDescent="0.2">
      <c r="A1046" t="s">
        <v>650</v>
      </c>
      <c r="B1046">
        <v>885</v>
      </c>
      <c r="C1046" t="s">
        <v>2386</v>
      </c>
      <c r="D1046" t="s">
        <v>3078</v>
      </c>
      <c r="E1046" t="s">
        <v>3027</v>
      </c>
    </row>
    <row r="1047" spans="1:5" x14ac:dyDescent="0.2">
      <c r="A1047" t="s">
        <v>550</v>
      </c>
      <c r="B1047">
        <v>695</v>
      </c>
      <c r="C1047" t="s">
        <v>2582</v>
      </c>
      <c r="D1047" t="s">
        <v>3133</v>
      </c>
      <c r="E1047" t="s">
        <v>2584</v>
      </c>
    </row>
    <row r="1048" spans="1:5" x14ac:dyDescent="0.2">
      <c r="A1048" t="s">
        <v>505</v>
      </c>
      <c r="B1048">
        <v>844</v>
      </c>
      <c r="C1048" t="s">
        <v>2932</v>
      </c>
      <c r="D1048" t="s">
        <v>2932</v>
      </c>
      <c r="E1048" t="s">
        <v>2933</v>
      </c>
    </row>
    <row r="1049" spans="1:5" x14ac:dyDescent="0.2">
      <c r="A1049" t="s">
        <v>505</v>
      </c>
      <c r="B1049">
        <v>885</v>
      </c>
      <c r="C1049" t="s">
        <v>3022</v>
      </c>
      <c r="D1049" t="s">
        <v>3022</v>
      </c>
      <c r="E1049" t="s">
        <v>3023</v>
      </c>
    </row>
    <row r="1050" spans="1:5" x14ac:dyDescent="0.2">
      <c r="A1050" t="s">
        <v>505</v>
      </c>
      <c r="B1050">
        <v>888</v>
      </c>
      <c r="C1050" t="s">
        <v>2936</v>
      </c>
      <c r="D1050" t="s">
        <v>2936</v>
      </c>
      <c r="E1050" t="s">
        <v>2937</v>
      </c>
    </row>
    <row r="1051" spans="1:5" x14ac:dyDescent="0.2">
      <c r="A1051" t="s">
        <v>539</v>
      </c>
      <c r="B1051">
        <v>885</v>
      </c>
      <c r="C1051" t="s">
        <v>2389</v>
      </c>
      <c r="D1051" t="s">
        <v>3134</v>
      </c>
      <c r="E1051" t="s">
        <v>2391</v>
      </c>
    </row>
    <row r="1052" spans="1:5" x14ac:dyDescent="0.2">
      <c r="A1052" t="s">
        <v>650</v>
      </c>
      <c r="B1052">
        <v>885</v>
      </c>
      <c r="C1052" t="s">
        <v>2386</v>
      </c>
      <c r="D1052" t="s">
        <v>3135</v>
      </c>
      <c r="E1052" t="s">
        <v>3027</v>
      </c>
    </row>
    <row r="1053" spans="1:5" x14ac:dyDescent="0.2">
      <c r="A1053" t="s">
        <v>539</v>
      </c>
      <c r="B1053">
        <v>885</v>
      </c>
      <c r="C1053" t="s">
        <v>2389</v>
      </c>
      <c r="D1053" t="s">
        <v>2389</v>
      </c>
      <c r="E1053" t="s">
        <v>2391</v>
      </c>
    </row>
    <row r="1054" spans="1:5" x14ac:dyDescent="0.2">
      <c r="A1054" t="s">
        <v>650</v>
      </c>
      <c r="B1054">
        <v>618</v>
      </c>
      <c r="C1054" t="s">
        <v>3136</v>
      </c>
      <c r="E1054" t="s">
        <v>3137</v>
      </c>
    </row>
    <row r="1055" spans="1:5" x14ac:dyDescent="0.2">
      <c r="A1055" t="s">
        <v>2408</v>
      </c>
      <c r="B1055">
        <v>586</v>
      </c>
      <c r="C1055" t="s">
        <v>3138</v>
      </c>
      <c r="D1055" t="s">
        <v>3139</v>
      </c>
      <c r="E1055" t="s">
        <v>3140</v>
      </c>
    </row>
    <row r="1056" spans="1:5" x14ac:dyDescent="0.2">
      <c r="A1056" t="s">
        <v>505</v>
      </c>
      <c r="B1056">
        <v>505</v>
      </c>
      <c r="C1056" t="s">
        <v>2426</v>
      </c>
      <c r="D1056" t="s">
        <v>3141</v>
      </c>
      <c r="E1056" t="s">
        <v>2428</v>
      </c>
    </row>
    <row r="1057" spans="1:5" x14ac:dyDescent="0.2">
      <c r="A1057" t="s">
        <v>650</v>
      </c>
      <c r="B1057">
        <v>885</v>
      </c>
      <c r="C1057" t="s">
        <v>2386</v>
      </c>
      <c r="D1057" t="s">
        <v>3142</v>
      </c>
      <c r="E1057" t="s">
        <v>3027</v>
      </c>
    </row>
    <row r="1058" spans="1:5" x14ac:dyDescent="0.2">
      <c r="A1058" t="s">
        <v>650</v>
      </c>
      <c r="B1058">
        <v>639</v>
      </c>
      <c r="C1058" t="s">
        <v>2703</v>
      </c>
      <c r="E1058" t="s">
        <v>2704</v>
      </c>
    </row>
    <row r="1059" spans="1:5" x14ac:dyDescent="0.2">
      <c r="A1059" t="s">
        <v>650</v>
      </c>
      <c r="B1059">
        <v>885</v>
      </c>
      <c r="C1059" t="s">
        <v>2386</v>
      </c>
      <c r="D1059" t="s">
        <v>3143</v>
      </c>
      <c r="E1059" t="s">
        <v>3027</v>
      </c>
    </row>
    <row r="1060" spans="1:5" x14ac:dyDescent="0.2">
      <c r="A1060" t="s">
        <v>539</v>
      </c>
      <c r="B1060">
        <v>655</v>
      </c>
      <c r="C1060" t="s">
        <v>2779</v>
      </c>
      <c r="D1060" t="s">
        <v>3144</v>
      </c>
      <c r="E1060" t="s">
        <v>2781</v>
      </c>
    </row>
    <row r="1061" spans="1:5" x14ac:dyDescent="0.2">
      <c r="A1061" t="s">
        <v>413</v>
      </c>
      <c r="B1061">
        <v>685</v>
      </c>
      <c r="C1061" t="s">
        <v>3053</v>
      </c>
      <c r="D1061" t="s">
        <v>3145</v>
      </c>
      <c r="E1061" t="s">
        <v>3054</v>
      </c>
    </row>
    <row r="1062" spans="1:5" x14ac:dyDescent="0.2">
      <c r="A1062" t="s">
        <v>2383</v>
      </c>
      <c r="B1062">
        <v>564</v>
      </c>
      <c r="C1062" t="s">
        <v>2762</v>
      </c>
      <c r="D1062" t="s">
        <v>2762</v>
      </c>
      <c r="E1062" t="s">
        <v>2763</v>
      </c>
    </row>
    <row r="1063" spans="1:5" x14ac:dyDescent="0.2">
      <c r="A1063" t="s">
        <v>539</v>
      </c>
      <c r="B1063">
        <v>520</v>
      </c>
      <c r="C1063" t="s">
        <v>3146</v>
      </c>
      <c r="E1063" t="s">
        <v>3147</v>
      </c>
    </row>
    <row r="1064" spans="1:5" x14ac:dyDescent="0.2">
      <c r="A1064" t="s">
        <v>539</v>
      </c>
      <c r="B1064">
        <v>530</v>
      </c>
      <c r="C1064" t="s">
        <v>3148</v>
      </c>
      <c r="E1064" t="s">
        <v>3149</v>
      </c>
    </row>
    <row r="1065" spans="1:5" x14ac:dyDescent="0.2">
      <c r="A1065" t="s">
        <v>413</v>
      </c>
      <c r="B1065">
        <v>600</v>
      </c>
      <c r="C1065" t="s">
        <v>2689</v>
      </c>
      <c r="E1065" t="s">
        <v>2690</v>
      </c>
    </row>
    <row r="1066" spans="1:5" x14ac:dyDescent="0.2">
      <c r="A1066" t="s">
        <v>413</v>
      </c>
      <c r="B1066">
        <v>668</v>
      </c>
      <c r="C1066" t="s">
        <v>3150</v>
      </c>
      <c r="E1066" t="s">
        <v>3151</v>
      </c>
    </row>
    <row r="1067" spans="1:5" x14ac:dyDescent="0.2">
      <c r="A1067" t="s">
        <v>505</v>
      </c>
      <c r="B1067">
        <v>505</v>
      </c>
      <c r="C1067" t="s">
        <v>2426</v>
      </c>
      <c r="D1067" t="s">
        <v>3152</v>
      </c>
      <c r="E1067" t="s">
        <v>2428</v>
      </c>
    </row>
    <row r="1068" spans="1:5" x14ac:dyDescent="0.2">
      <c r="A1068" t="s">
        <v>505</v>
      </c>
      <c r="B1068">
        <v>505</v>
      </c>
      <c r="C1068" t="s">
        <v>2426</v>
      </c>
      <c r="D1068" t="s">
        <v>3153</v>
      </c>
      <c r="E1068" t="s">
        <v>2428</v>
      </c>
    </row>
    <row r="1069" spans="1:5" x14ac:dyDescent="0.2">
      <c r="A1069" t="s">
        <v>413</v>
      </c>
      <c r="B1069">
        <v>640</v>
      </c>
      <c r="C1069" t="s">
        <v>2893</v>
      </c>
      <c r="E1069" t="s">
        <v>2894</v>
      </c>
    </row>
    <row r="1070" spans="1:5" x14ac:dyDescent="0.2">
      <c r="A1070" t="s">
        <v>650</v>
      </c>
      <c r="B1070">
        <v>885</v>
      </c>
      <c r="C1070" t="s">
        <v>2386</v>
      </c>
      <c r="D1070" t="s">
        <v>3154</v>
      </c>
      <c r="E1070" t="s">
        <v>3027</v>
      </c>
    </row>
    <row r="1071" spans="1:5" x14ac:dyDescent="0.2">
      <c r="A1071" t="s">
        <v>413</v>
      </c>
      <c r="B1071">
        <v>506</v>
      </c>
      <c r="C1071" t="s">
        <v>2466</v>
      </c>
      <c r="E1071" t="s">
        <v>2467</v>
      </c>
    </row>
    <row r="1072" spans="1:5" x14ac:dyDescent="0.2">
      <c r="A1072" t="s">
        <v>413</v>
      </c>
      <c r="B1072">
        <v>507</v>
      </c>
      <c r="C1072" t="s">
        <v>2834</v>
      </c>
      <c r="E1072" t="s">
        <v>2835</v>
      </c>
    </row>
    <row r="1073" spans="1:5" x14ac:dyDescent="0.2">
      <c r="A1073" t="s">
        <v>567</v>
      </c>
      <c r="B1073">
        <v>885</v>
      </c>
      <c r="C1073" t="s">
        <v>3013</v>
      </c>
      <c r="D1073" t="s">
        <v>3155</v>
      </c>
      <c r="E1073" t="s">
        <v>3093</v>
      </c>
    </row>
    <row r="1074" spans="1:5" x14ac:dyDescent="0.2">
      <c r="A1074" t="s">
        <v>505</v>
      </c>
      <c r="B1074">
        <v>648</v>
      </c>
      <c r="C1074" t="s">
        <v>675</v>
      </c>
      <c r="D1074" t="s">
        <v>3156</v>
      </c>
      <c r="E1074" t="s">
        <v>2396</v>
      </c>
    </row>
    <row r="1075" spans="1:5" x14ac:dyDescent="0.2">
      <c r="A1075" t="s">
        <v>2408</v>
      </c>
      <c r="B1075">
        <v>654</v>
      </c>
      <c r="C1075" t="s">
        <v>3157</v>
      </c>
      <c r="E1075" t="s">
        <v>3158</v>
      </c>
    </row>
    <row r="1076" spans="1:5" x14ac:dyDescent="0.2">
      <c r="A1076" t="s">
        <v>650</v>
      </c>
      <c r="B1076">
        <v>885</v>
      </c>
      <c r="C1076" t="s">
        <v>2386</v>
      </c>
      <c r="D1076" t="s">
        <v>3159</v>
      </c>
      <c r="E1076" t="s">
        <v>3027</v>
      </c>
    </row>
    <row r="1077" spans="1:5" x14ac:dyDescent="0.2">
      <c r="A1077" t="s">
        <v>567</v>
      </c>
      <c r="B1077">
        <v>674</v>
      </c>
      <c r="C1077" t="s">
        <v>2866</v>
      </c>
      <c r="D1077" t="s">
        <v>2866</v>
      </c>
      <c r="E1077" t="s">
        <v>2867</v>
      </c>
    </row>
    <row r="1078" spans="1:5" x14ac:dyDescent="0.2">
      <c r="A1078" t="s">
        <v>650</v>
      </c>
      <c r="B1078">
        <v>885</v>
      </c>
      <c r="C1078" t="s">
        <v>2386</v>
      </c>
      <c r="D1078" t="s">
        <v>3160</v>
      </c>
      <c r="E1078" t="s">
        <v>3027</v>
      </c>
    </row>
    <row r="1079" spans="1:5" x14ac:dyDescent="0.2">
      <c r="A1079" t="s">
        <v>650</v>
      </c>
      <c r="B1079">
        <v>605</v>
      </c>
      <c r="C1079" t="s">
        <v>2784</v>
      </c>
      <c r="D1079" t="s">
        <v>2784</v>
      </c>
      <c r="E1079" t="s">
        <v>3103</v>
      </c>
    </row>
    <row r="1080" spans="1:5" x14ac:dyDescent="0.2">
      <c r="A1080" t="s">
        <v>567</v>
      </c>
      <c r="B1080">
        <v>668</v>
      </c>
      <c r="C1080" t="s">
        <v>3161</v>
      </c>
      <c r="E1080" t="s">
        <v>3162</v>
      </c>
    </row>
    <row r="1081" spans="1:5" x14ac:dyDescent="0.2">
      <c r="A1081" t="s">
        <v>539</v>
      </c>
      <c r="B1081">
        <v>885</v>
      </c>
      <c r="C1081" t="s">
        <v>2389</v>
      </c>
      <c r="D1081" t="s">
        <v>3163</v>
      </c>
      <c r="E1081" t="s">
        <v>2391</v>
      </c>
    </row>
    <row r="1082" spans="1:5" x14ac:dyDescent="0.2">
      <c r="A1082" t="s">
        <v>413</v>
      </c>
      <c r="B1082">
        <v>688</v>
      </c>
      <c r="C1082" t="s">
        <v>3164</v>
      </c>
      <c r="E1082" t="s">
        <v>3165</v>
      </c>
    </row>
    <row r="1083" spans="1:5" x14ac:dyDescent="0.2">
      <c r="A1083" t="s">
        <v>539</v>
      </c>
      <c r="B1083">
        <v>658</v>
      </c>
      <c r="C1083" t="s">
        <v>2897</v>
      </c>
      <c r="D1083" t="s">
        <v>3166</v>
      </c>
      <c r="E1083" t="s">
        <v>2898</v>
      </c>
    </row>
    <row r="1084" spans="1:5" x14ac:dyDescent="0.2">
      <c r="A1084" t="s">
        <v>413</v>
      </c>
      <c r="B1084">
        <v>624</v>
      </c>
      <c r="C1084" t="s">
        <v>2568</v>
      </c>
      <c r="E1084" t="s">
        <v>2569</v>
      </c>
    </row>
    <row r="1085" spans="1:5" x14ac:dyDescent="0.2">
      <c r="A1085" t="s">
        <v>650</v>
      </c>
      <c r="B1085">
        <v>600</v>
      </c>
      <c r="C1085" t="s">
        <v>2735</v>
      </c>
      <c r="D1085" t="s">
        <v>2735</v>
      </c>
      <c r="E1085" t="s">
        <v>2736</v>
      </c>
    </row>
    <row r="1086" spans="1:5" x14ac:dyDescent="0.2">
      <c r="A1086" t="s">
        <v>505</v>
      </c>
      <c r="B1086">
        <v>915</v>
      </c>
      <c r="C1086" t="s">
        <v>2989</v>
      </c>
      <c r="E1086" t="s">
        <v>2990</v>
      </c>
    </row>
    <row r="1087" spans="1:5" x14ac:dyDescent="0.2">
      <c r="A1087" t="s">
        <v>413</v>
      </c>
      <c r="B1087">
        <v>940</v>
      </c>
      <c r="C1087" t="s">
        <v>2858</v>
      </c>
      <c r="D1087" t="s">
        <v>3167</v>
      </c>
      <c r="E1087" t="s">
        <v>2859</v>
      </c>
    </row>
    <row r="1088" spans="1:5" x14ac:dyDescent="0.2">
      <c r="A1088" t="s">
        <v>550</v>
      </c>
      <c r="B1088">
        <v>660</v>
      </c>
      <c r="C1088" t="s">
        <v>2695</v>
      </c>
      <c r="D1088" t="s">
        <v>3168</v>
      </c>
      <c r="E1088" t="s">
        <v>2696</v>
      </c>
    </row>
    <row r="1089" spans="1:5" x14ac:dyDescent="0.2">
      <c r="A1089" t="s">
        <v>2383</v>
      </c>
      <c r="B1089">
        <v>503</v>
      </c>
      <c r="C1089" t="s">
        <v>2433</v>
      </c>
      <c r="E1089" t="s">
        <v>2491</v>
      </c>
    </row>
    <row r="1090" spans="1:5" x14ac:dyDescent="0.2">
      <c r="A1090" t="s">
        <v>505</v>
      </c>
      <c r="B1090">
        <v>885</v>
      </c>
      <c r="C1090" t="s">
        <v>3022</v>
      </c>
      <c r="D1090" t="s">
        <v>3022</v>
      </c>
      <c r="E1090" t="s">
        <v>3023</v>
      </c>
    </row>
    <row r="1091" spans="1:5" x14ac:dyDescent="0.2">
      <c r="A1091" t="s">
        <v>650</v>
      </c>
      <c r="B1091">
        <v>814</v>
      </c>
      <c r="C1091" t="s">
        <v>3169</v>
      </c>
      <c r="E1091" t="s">
        <v>3170</v>
      </c>
    </row>
    <row r="1092" spans="1:5" x14ac:dyDescent="0.2">
      <c r="A1092" t="s">
        <v>505</v>
      </c>
      <c r="B1092">
        <v>880</v>
      </c>
      <c r="C1092" t="s">
        <v>2934</v>
      </c>
      <c r="D1092" t="s">
        <v>2934</v>
      </c>
      <c r="E1092" t="s">
        <v>2935</v>
      </c>
    </row>
    <row r="1093" spans="1:5" x14ac:dyDescent="0.2">
      <c r="A1093" t="s">
        <v>539</v>
      </c>
      <c r="B1093">
        <v>885</v>
      </c>
      <c r="C1093" t="s">
        <v>2389</v>
      </c>
      <c r="D1093" t="s">
        <v>3171</v>
      </c>
      <c r="E1093" t="s">
        <v>2391</v>
      </c>
    </row>
    <row r="1094" spans="1:5" x14ac:dyDescent="0.2">
      <c r="A1094" t="s">
        <v>413</v>
      </c>
      <c r="B1094">
        <v>940</v>
      </c>
      <c r="C1094" t="s">
        <v>2858</v>
      </c>
      <c r="D1094" t="s">
        <v>3172</v>
      </c>
      <c r="E1094" t="s">
        <v>2859</v>
      </c>
    </row>
    <row r="1095" spans="1:5" x14ac:dyDescent="0.2">
      <c r="A1095" t="s">
        <v>567</v>
      </c>
      <c r="B1095">
        <v>885</v>
      </c>
      <c r="C1095" t="s">
        <v>3013</v>
      </c>
      <c r="D1095" t="s">
        <v>3173</v>
      </c>
      <c r="E1095" t="s">
        <v>3093</v>
      </c>
    </row>
    <row r="1096" spans="1:5" x14ac:dyDescent="0.2">
      <c r="A1096" t="s">
        <v>2408</v>
      </c>
      <c r="B1096">
        <v>632</v>
      </c>
      <c r="C1096" t="s">
        <v>2768</v>
      </c>
      <c r="D1096" t="s">
        <v>2768</v>
      </c>
      <c r="E1096" t="s">
        <v>2769</v>
      </c>
    </row>
    <row r="1097" spans="1:5" x14ac:dyDescent="0.2">
      <c r="A1097" t="s">
        <v>505</v>
      </c>
      <c r="B1097">
        <v>888</v>
      </c>
      <c r="C1097" t="s">
        <v>2936</v>
      </c>
      <c r="D1097" t="s">
        <v>2936</v>
      </c>
      <c r="E1097" t="s">
        <v>2937</v>
      </c>
    </row>
    <row r="1098" spans="1:5" x14ac:dyDescent="0.2">
      <c r="A1098" t="s">
        <v>505</v>
      </c>
      <c r="B1098">
        <v>995</v>
      </c>
      <c r="C1098" t="s">
        <v>2938</v>
      </c>
      <c r="D1098" t="s">
        <v>2938</v>
      </c>
      <c r="E1098" t="s">
        <v>2939</v>
      </c>
    </row>
    <row r="1099" spans="1:5" x14ac:dyDescent="0.2">
      <c r="A1099" t="s">
        <v>550</v>
      </c>
      <c r="B1099">
        <v>885</v>
      </c>
      <c r="C1099" t="s">
        <v>3013</v>
      </c>
      <c r="D1099" t="s">
        <v>3174</v>
      </c>
      <c r="E1099" t="s">
        <v>3175</v>
      </c>
    </row>
    <row r="1100" spans="1:5" x14ac:dyDescent="0.2">
      <c r="A1100" t="s">
        <v>567</v>
      </c>
      <c r="B1100">
        <v>885</v>
      </c>
      <c r="C1100" t="s">
        <v>3013</v>
      </c>
      <c r="D1100" t="s">
        <v>3176</v>
      </c>
      <c r="E1100" t="s">
        <v>3093</v>
      </c>
    </row>
    <row r="1101" spans="1:5" x14ac:dyDescent="0.2">
      <c r="A1101" t="s">
        <v>650</v>
      </c>
      <c r="B1101">
        <v>885</v>
      </c>
      <c r="C1101" t="s">
        <v>2386</v>
      </c>
      <c r="D1101" t="s">
        <v>3065</v>
      </c>
      <c r="E1101" t="s">
        <v>3027</v>
      </c>
    </row>
    <row r="1102" spans="1:5" x14ac:dyDescent="0.2">
      <c r="A1102" t="s">
        <v>539</v>
      </c>
      <c r="B1102">
        <v>885</v>
      </c>
      <c r="C1102" t="s">
        <v>2389</v>
      </c>
      <c r="D1102" t="s">
        <v>3097</v>
      </c>
      <c r="E1102" t="s">
        <v>2391</v>
      </c>
    </row>
    <row r="1103" spans="1:5" x14ac:dyDescent="0.2">
      <c r="A1103" t="s">
        <v>413</v>
      </c>
      <c r="B1103">
        <v>695</v>
      </c>
      <c r="C1103" t="s">
        <v>3004</v>
      </c>
      <c r="D1103" t="s">
        <v>3177</v>
      </c>
      <c r="E1103" t="s">
        <v>3005</v>
      </c>
    </row>
    <row r="1104" spans="1:5" x14ac:dyDescent="0.2">
      <c r="A1104" t="s">
        <v>650</v>
      </c>
      <c r="B1104">
        <v>635</v>
      </c>
      <c r="C1104" t="s">
        <v>3110</v>
      </c>
      <c r="D1104" t="s">
        <v>3110</v>
      </c>
      <c r="E1104" t="s">
        <v>3111</v>
      </c>
    </row>
    <row r="1105" spans="1:5" x14ac:dyDescent="0.2">
      <c r="A1105" t="s">
        <v>567</v>
      </c>
      <c r="B1105">
        <v>885</v>
      </c>
      <c r="C1105" t="s">
        <v>3013</v>
      </c>
      <c r="D1105" t="s">
        <v>3178</v>
      </c>
      <c r="E1105" t="s">
        <v>3093</v>
      </c>
    </row>
    <row r="1106" spans="1:5" x14ac:dyDescent="0.2">
      <c r="A1106" t="s">
        <v>539</v>
      </c>
      <c r="B1106">
        <v>885</v>
      </c>
      <c r="C1106" t="s">
        <v>2389</v>
      </c>
      <c r="D1106" t="s">
        <v>3179</v>
      </c>
      <c r="E1106" t="s">
        <v>2391</v>
      </c>
    </row>
    <row r="1107" spans="1:5" x14ac:dyDescent="0.2">
      <c r="A1107" t="s">
        <v>550</v>
      </c>
      <c r="B1107">
        <v>885</v>
      </c>
      <c r="C1107" t="s">
        <v>3013</v>
      </c>
      <c r="D1107" t="s">
        <v>3180</v>
      </c>
      <c r="E1107" t="s">
        <v>3175</v>
      </c>
    </row>
    <row r="1108" spans="1:5" x14ac:dyDescent="0.2">
      <c r="A1108" t="s">
        <v>567</v>
      </c>
      <c r="B1108">
        <v>514</v>
      </c>
      <c r="C1108" t="s">
        <v>3181</v>
      </c>
      <c r="D1108" t="s">
        <v>3181</v>
      </c>
      <c r="E1108" t="s">
        <v>3182</v>
      </c>
    </row>
    <row r="1109" spans="1:5" x14ac:dyDescent="0.2">
      <c r="A1109" t="s">
        <v>567</v>
      </c>
      <c r="B1109">
        <v>625</v>
      </c>
      <c r="C1109" t="s">
        <v>2887</v>
      </c>
      <c r="D1109" t="s">
        <v>2887</v>
      </c>
      <c r="E1109" t="s">
        <v>2888</v>
      </c>
    </row>
    <row r="1110" spans="1:5" x14ac:dyDescent="0.2">
      <c r="A1110" t="s">
        <v>505</v>
      </c>
      <c r="B1110">
        <v>995</v>
      </c>
      <c r="C1110" t="s">
        <v>2938</v>
      </c>
      <c r="D1110" t="s">
        <v>2938</v>
      </c>
      <c r="E1110" t="s">
        <v>2939</v>
      </c>
    </row>
    <row r="1111" spans="1:5" x14ac:dyDescent="0.2">
      <c r="A1111" t="s">
        <v>413</v>
      </c>
      <c r="B1111">
        <v>570</v>
      </c>
      <c r="C1111" t="s">
        <v>3183</v>
      </c>
      <c r="D1111" t="s">
        <v>3183</v>
      </c>
      <c r="E1111" t="s">
        <v>3184</v>
      </c>
    </row>
    <row r="1112" spans="1:5" x14ac:dyDescent="0.2">
      <c r="A1112" t="s">
        <v>413</v>
      </c>
      <c r="B1112">
        <v>571</v>
      </c>
      <c r="C1112" t="s">
        <v>3185</v>
      </c>
      <c r="D1112" t="s">
        <v>3185</v>
      </c>
      <c r="E1112" t="s">
        <v>3186</v>
      </c>
    </row>
    <row r="1113" spans="1:5" x14ac:dyDescent="0.2">
      <c r="A1113" t="s">
        <v>2408</v>
      </c>
      <c r="B1113">
        <v>523</v>
      </c>
      <c r="C1113" t="s">
        <v>2406</v>
      </c>
      <c r="D1113" t="s">
        <v>2406</v>
      </c>
      <c r="E1113" t="s">
        <v>2419</v>
      </c>
    </row>
    <row r="1114" spans="1:5" x14ac:dyDescent="0.2">
      <c r="A1114" t="s">
        <v>567</v>
      </c>
      <c r="B1114">
        <v>885</v>
      </c>
      <c r="C1114" t="s">
        <v>3013</v>
      </c>
      <c r="D1114" t="s">
        <v>3187</v>
      </c>
      <c r="E1114" t="s">
        <v>3093</v>
      </c>
    </row>
    <row r="1115" spans="1:5" x14ac:dyDescent="0.2">
      <c r="A1115" t="s">
        <v>567</v>
      </c>
      <c r="B1115">
        <v>885</v>
      </c>
      <c r="C1115" t="s">
        <v>3013</v>
      </c>
      <c r="D1115" t="s">
        <v>3188</v>
      </c>
      <c r="E1115" t="s">
        <v>3093</v>
      </c>
    </row>
    <row r="1116" spans="1:5" x14ac:dyDescent="0.2">
      <c r="A1116" t="s">
        <v>505</v>
      </c>
      <c r="B1116">
        <v>505</v>
      </c>
      <c r="C1116" t="s">
        <v>2426</v>
      </c>
      <c r="D1116" t="s">
        <v>3189</v>
      </c>
      <c r="E1116" t="s">
        <v>2428</v>
      </c>
    </row>
    <row r="1117" spans="1:5" x14ac:dyDescent="0.2">
      <c r="A1117" t="s">
        <v>650</v>
      </c>
      <c r="B1117">
        <v>616</v>
      </c>
      <c r="C1117" t="s">
        <v>2578</v>
      </c>
      <c r="D1117" t="s">
        <v>2578</v>
      </c>
      <c r="E1117" t="s">
        <v>2579</v>
      </c>
    </row>
    <row r="1118" spans="1:5" x14ac:dyDescent="0.2">
      <c r="A1118" t="s">
        <v>2408</v>
      </c>
      <c r="B1118">
        <v>609</v>
      </c>
      <c r="C1118" t="s">
        <v>3120</v>
      </c>
      <c r="D1118" t="s">
        <v>3120</v>
      </c>
      <c r="E1118" t="s">
        <v>3121</v>
      </c>
    </row>
    <row r="1119" spans="1:5" x14ac:dyDescent="0.2">
      <c r="A1119" t="s">
        <v>650</v>
      </c>
      <c r="B1119">
        <v>885</v>
      </c>
      <c r="C1119" t="s">
        <v>2386</v>
      </c>
      <c r="D1119" t="s">
        <v>3174</v>
      </c>
      <c r="E1119" t="s">
        <v>3027</v>
      </c>
    </row>
    <row r="1120" spans="1:5" x14ac:dyDescent="0.2">
      <c r="A1120" t="s">
        <v>650</v>
      </c>
      <c r="B1120">
        <v>521</v>
      </c>
      <c r="C1120" t="s">
        <v>2981</v>
      </c>
      <c r="D1120" t="s">
        <v>2981</v>
      </c>
      <c r="E1120" t="s">
        <v>2982</v>
      </c>
    </row>
    <row r="1121" spans="1:5" x14ac:dyDescent="0.2">
      <c r="A1121" t="s">
        <v>505</v>
      </c>
      <c r="B1121">
        <v>880</v>
      </c>
      <c r="C1121" t="s">
        <v>2934</v>
      </c>
      <c r="D1121" t="s">
        <v>2934</v>
      </c>
      <c r="E1121" t="s">
        <v>2935</v>
      </c>
    </row>
    <row r="1122" spans="1:5" x14ac:dyDescent="0.2">
      <c r="A1122" t="s">
        <v>539</v>
      </c>
      <c r="B1122">
        <v>648</v>
      </c>
      <c r="C1122" t="s">
        <v>2681</v>
      </c>
      <c r="D1122" t="s">
        <v>2681</v>
      </c>
      <c r="E1122" t="s">
        <v>3102</v>
      </c>
    </row>
    <row r="1123" spans="1:5" x14ac:dyDescent="0.2">
      <c r="A1123" t="s">
        <v>2383</v>
      </c>
      <c r="B1123">
        <v>758</v>
      </c>
      <c r="C1123" t="s">
        <v>2774</v>
      </c>
      <c r="E1123" t="s">
        <v>3190</v>
      </c>
    </row>
    <row r="1124" spans="1:5" x14ac:dyDescent="0.2">
      <c r="A1124" t="s">
        <v>2408</v>
      </c>
      <c r="B1124">
        <v>539</v>
      </c>
      <c r="C1124" t="s">
        <v>2420</v>
      </c>
      <c r="D1124" t="s">
        <v>2436</v>
      </c>
      <c r="E1124" t="s">
        <v>2421</v>
      </c>
    </row>
    <row r="1125" spans="1:5" x14ac:dyDescent="0.2">
      <c r="A1125" t="s">
        <v>2408</v>
      </c>
      <c r="B1125">
        <v>778</v>
      </c>
      <c r="C1125" t="s">
        <v>3191</v>
      </c>
      <c r="E1125" t="s">
        <v>3192</v>
      </c>
    </row>
    <row r="1126" spans="1:5" x14ac:dyDescent="0.2">
      <c r="A1126" t="s">
        <v>2408</v>
      </c>
      <c r="B1126">
        <v>588</v>
      </c>
      <c r="C1126" t="s">
        <v>2871</v>
      </c>
      <c r="D1126" t="s">
        <v>2871</v>
      </c>
      <c r="E1126" t="s">
        <v>2872</v>
      </c>
    </row>
    <row r="1127" spans="1:5" x14ac:dyDescent="0.2">
      <c r="A1127" t="s">
        <v>505</v>
      </c>
      <c r="B1127">
        <v>788</v>
      </c>
      <c r="C1127" t="s">
        <v>3193</v>
      </c>
      <c r="E1127" t="s">
        <v>2477</v>
      </c>
    </row>
    <row r="1128" spans="1:5" x14ac:dyDescent="0.2">
      <c r="A1128" t="s">
        <v>2408</v>
      </c>
      <c r="B1128">
        <v>634</v>
      </c>
      <c r="C1128" t="s">
        <v>2717</v>
      </c>
      <c r="D1128" t="s">
        <v>2717</v>
      </c>
      <c r="E1128" t="s">
        <v>3031</v>
      </c>
    </row>
    <row r="1129" spans="1:5" x14ac:dyDescent="0.2">
      <c r="A1129" t="s">
        <v>567</v>
      </c>
      <c r="B1129">
        <v>619</v>
      </c>
      <c r="C1129" t="s">
        <v>2614</v>
      </c>
      <c r="D1129" t="s">
        <v>2614</v>
      </c>
      <c r="E1129" t="s">
        <v>2615</v>
      </c>
    </row>
    <row r="1130" spans="1:5" x14ac:dyDescent="0.2">
      <c r="A1130" t="s">
        <v>2408</v>
      </c>
      <c r="B1130">
        <v>760</v>
      </c>
      <c r="C1130" t="s">
        <v>2530</v>
      </c>
      <c r="E1130" t="s">
        <v>2531</v>
      </c>
    </row>
    <row r="1131" spans="1:5" x14ac:dyDescent="0.2">
      <c r="A1131" t="s">
        <v>505</v>
      </c>
      <c r="B1131">
        <v>620</v>
      </c>
      <c r="C1131" t="s">
        <v>2624</v>
      </c>
      <c r="E1131" t="s">
        <v>2625</v>
      </c>
    </row>
    <row r="1132" spans="1:5" x14ac:dyDescent="0.2">
      <c r="A1132" t="s">
        <v>567</v>
      </c>
      <c r="B1132">
        <v>566</v>
      </c>
      <c r="C1132" t="s">
        <v>2528</v>
      </c>
      <c r="E1132" t="s">
        <v>2529</v>
      </c>
    </row>
    <row r="1133" spans="1:5" x14ac:dyDescent="0.2">
      <c r="A1133" t="s">
        <v>2408</v>
      </c>
      <c r="B1133">
        <v>553</v>
      </c>
      <c r="C1133" t="s">
        <v>2807</v>
      </c>
      <c r="D1133" t="s">
        <v>2807</v>
      </c>
      <c r="E1133" t="s">
        <v>2808</v>
      </c>
    </row>
    <row r="1134" spans="1:5" x14ac:dyDescent="0.2">
      <c r="A1134" t="s">
        <v>505</v>
      </c>
      <c r="B1134">
        <v>788</v>
      </c>
      <c r="C1134" t="s">
        <v>3193</v>
      </c>
      <c r="E1134" t="s">
        <v>2477</v>
      </c>
    </row>
    <row r="1135" spans="1:5" x14ac:dyDescent="0.2">
      <c r="A1135" t="s">
        <v>2383</v>
      </c>
      <c r="B1135">
        <v>534</v>
      </c>
      <c r="C1135" t="s">
        <v>2489</v>
      </c>
      <c r="E1135" t="s">
        <v>2490</v>
      </c>
    </row>
    <row r="1136" spans="1:5" x14ac:dyDescent="0.2">
      <c r="A1136" t="s">
        <v>505</v>
      </c>
      <c r="B1136">
        <v>525</v>
      </c>
      <c r="C1136" t="s">
        <v>2963</v>
      </c>
      <c r="E1136" t="s">
        <v>2880</v>
      </c>
    </row>
    <row r="1137" spans="1:5" x14ac:dyDescent="0.2">
      <c r="A1137" t="s">
        <v>413</v>
      </c>
      <c r="B1137">
        <v>612</v>
      </c>
      <c r="C1137" t="s">
        <v>3194</v>
      </c>
      <c r="E1137" t="s">
        <v>3195</v>
      </c>
    </row>
    <row r="1138" spans="1:5" x14ac:dyDescent="0.2">
      <c r="A1138" t="s">
        <v>650</v>
      </c>
      <c r="B1138">
        <v>611</v>
      </c>
      <c r="C1138" t="s">
        <v>3098</v>
      </c>
      <c r="D1138" t="s">
        <v>3098</v>
      </c>
      <c r="E1138" t="s">
        <v>2611</v>
      </c>
    </row>
    <row r="1139" spans="1:5" x14ac:dyDescent="0.2">
      <c r="A1139" t="s">
        <v>2383</v>
      </c>
      <c r="B1139">
        <v>503</v>
      </c>
      <c r="C1139" t="s">
        <v>2433</v>
      </c>
      <c r="D1139" t="s">
        <v>2433</v>
      </c>
      <c r="E1139" t="s">
        <v>2491</v>
      </c>
    </row>
    <row r="1140" spans="1:5" x14ac:dyDescent="0.2">
      <c r="A1140" t="s">
        <v>2408</v>
      </c>
      <c r="B1140">
        <v>539</v>
      </c>
      <c r="C1140" t="s">
        <v>2420</v>
      </c>
      <c r="D1140" t="s">
        <v>2436</v>
      </c>
      <c r="E1140" t="s">
        <v>2421</v>
      </c>
    </row>
    <row r="1141" spans="1:5" x14ac:dyDescent="0.2">
      <c r="A1141" t="s">
        <v>650</v>
      </c>
      <c r="B1141">
        <v>640</v>
      </c>
      <c r="C1141" t="s">
        <v>2509</v>
      </c>
      <c r="D1141" t="s">
        <v>2509</v>
      </c>
      <c r="E1141" t="s">
        <v>2510</v>
      </c>
    </row>
    <row r="1142" spans="1:5" x14ac:dyDescent="0.2">
      <c r="A1142" t="s">
        <v>539</v>
      </c>
      <c r="B1142">
        <v>885</v>
      </c>
      <c r="C1142" t="s">
        <v>2389</v>
      </c>
      <c r="D1142" t="s">
        <v>3196</v>
      </c>
      <c r="E1142" t="s">
        <v>2391</v>
      </c>
    </row>
    <row r="1143" spans="1:5" x14ac:dyDescent="0.2">
      <c r="A1143" t="s">
        <v>650</v>
      </c>
      <c r="B1143">
        <v>885</v>
      </c>
      <c r="C1143" t="s">
        <v>2386</v>
      </c>
      <c r="D1143" t="s">
        <v>3197</v>
      </c>
      <c r="E1143" t="s">
        <v>3027</v>
      </c>
    </row>
    <row r="1144" spans="1:5" x14ac:dyDescent="0.2">
      <c r="A1144" t="s">
        <v>550</v>
      </c>
      <c r="B1144">
        <v>695</v>
      </c>
      <c r="C1144" t="s">
        <v>2582</v>
      </c>
      <c r="D1144" t="s">
        <v>3198</v>
      </c>
      <c r="E1144" t="s">
        <v>2584</v>
      </c>
    </row>
    <row r="1145" spans="1:5" x14ac:dyDescent="0.2">
      <c r="A1145" t="s">
        <v>567</v>
      </c>
      <c r="B1145">
        <v>552</v>
      </c>
      <c r="C1145" t="s">
        <v>2424</v>
      </c>
      <c r="E1145" t="s">
        <v>2425</v>
      </c>
    </row>
    <row r="1146" spans="1:5" x14ac:dyDescent="0.2">
      <c r="A1146" t="s">
        <v>650</v>
      </c>
      <c r="B1146">
        <v>885</v>
      </c>
      <c r="C1146" t="s">
        <v>2386</v>
      </c>
      <c r="D1146" t="s">
        <v>3199</v>
      </c>
      <c r="E1146" t="s">
        <v>3027</v>
      </c>
    </row>
    <row r="1147" spans="1:5" x14ac:dyDescent="0.2">
      <c r="A1147" t="s">
        <v>650</v>
      </c>
      <c r="B1147">
        <v>885</v>
      </c>
      <c r="C1147" t="s">
        <v>2386</v>
      </c>
      <c r="D1147" t="s">
        <v>3200</v>
      </c>
      <c r="E1147" t="s">
        <v>3027</v>
      </c>
    </row>
    <row r="1148" spans="1:5" x14ac:dyDescent="0.2">
      <c r="A1148" t="s">
        <v>539</v>
      </c>
      <c r="B1148">
        <v>885</v>
      </c>
      <c r="C1148" t="s">
        <v>2389</v>
      </c>
      <c r="E1148" t="s">
        <v>2391</v>
      </c>
    </row>
    <row r="1149" spans="1:5" x14ac:dyDescent="0.2">
      <c r="A1149" t="s">
        <v>539</v>
      </c>
      <c r="B1149">
        <v>885</v>
      </c>
      <c r="C1149" t="s">
        <v>2389</v>
      </c>
      <c r="D1149" t="s">
        <v>2389</v>
      </c>
      <c r="E1149" t="s">
        <v>2391</v>
      </c>
    </row>
    <row r="1150" spans="1:5" x14ac:dyDescent="0.2">
      <c r="A1150" t="s">
        <v>2383</v>
      </c>
      <c r="B1150">
        <v>608</v>
      </c>
      <c r="C1150" t="s">
        <v>2760</v>
      </c>
      <c r="D1150" t="s">
        <v>2760</v>
      </c>
      <c r="E1150" t="s">
        <v>2761</v>
      </c>
    </row>
    <row r="1151" spans="1:5" x14ac:dyDescent="0.2">
      <c r="A1151" t="s">
        <v>650</v>
      </c>
      <c r="B1151">
        <v>885</v>
      </c>
      <c r="C1151" t="s">
        <v>2386</v>
      </c>
      <c r="D1151" t="s">
        <v>3201</v>
      </c>
      <c r="E1151" t="s">
        <v>3027</v>
      </c>
    </row>
    <row r="1152" spans="1:5" x14ac:dyDescent="0.2">
      <c r="A1152" t="s">
        <v>413</v>
      </c>
      <c r="B1152">
        <v>685</v>
      </c>
      <c r="C1152" t="s">
        <v>3053</v>
      </c>
      <c r="D1152" t="s">
        <v>3202</v>
      </c>
      <c r="E1152" t="s">
        <v>3054</v>
      </c>
    </row>
    <row r="1153" spans="1:5" x14ac:dyDescent="0.2">
      <c r="A1153" t="s">
        <v>650</v>
      </c>
      <c r="B1153">
        <v>885</v>
      </c>
      <c r="C1153" t="s">
        <v>2386</v>
      </c>
      <c r="D1153" t="s">
        <v>3203</v>
      </c>
      <c r="E1153" t="s">
        <v>3027</v>
      </c>
    </row>
    <row r="1154" spans="1:5" x14ac:dyDescent="0.2">
      <c r="A1154" t="s">
        <v>413</v>
      </c>
      <c r="B1154">
        <v>940</v>
      </c>
      <c r="C1154" t="s">
        <v>2858</v>
      </c>
      <c r="D1154" t="s">
        <v>3204</v>
      </c>
      <c r="E1154" t="s">
        <v>2859</v>
      </c>
    </row>
    <row r="1155" spans="1:5" x14ac:dyDescent="0.2">
      <c r="A1155" t="s">
        <v>650</v>
      </c>
      <c r="B1155">
        <v>885</v>
      </c>
      <c r="C1155" t="s">
        <v>2386</v>
      </c>
      <c r="D1155" t="s">
        <v>3142</v>
      </c>
      <c r="E1155" t="s">
        <v>3027</v>
      </c>
    </row>
    <row r="1156" spans="1:5" x14ac:dyDescent="0.2">
      <c r="A1156" t="s">
        <v>567</v>
      </c>
      <c r="B1156">
        <v>945</v>
      </c>
      <c r="C1156" t="s">
        <v>2764</v>
      </c>
      <c r="E1156" t="s">
        <v>2765</v>
      </c>
    </row>
    <row r="1157" spans="1:5" x14ac:dyDescent="0.2">
      <c r="A1157" t="s">
        <v>550</v>
      </c>
      <c r="B1157">
        <v>695</v>
      </c>
      <c r="C1157" t="s">
        <v>2582</v>
      </c>
      <c r="D1157" t="s">
        <v>3205</v>
      </c>
      <c r="E1157" t="s">
        <v>2584</v>
      </c>
    </row>
    <row r="1158" spans="1:5" x14ac:dyDescent="0.2">
      <c r="A1158" t="s">
        <v>567</v>
      </c>
      <c r="B1158">
        <v>885</v>
      </c>
      <c r="C1158" t="s">
        <v>3013</v>
      </c>
      <c r="D1158" t="s">
        <v>3206</v>
      </c>
      <c r="E1158" t="s">
        <v>3093</v>
      </c>
    </row>
    <row r="1159" spans="1:5" x14ac:dyDescent="0.2">
      <c r="A1159" t="s">
        <v>550</v>
      </c>
      <c r="B1159">
        <v>885</v>
      </c>
      <c r="C1159" t="s">
        <v>3013</v>
      </c>
      <c r="D1159" t="s">
        <v>3207</v>
      </c>
      <c r="E1159" t="s">
        <v>3175</v>
      </c>
    </row>
    <row r="1160" spans="1:5" x14ac:dyDescent="0.2">
      <c r="A1160" t="s">
        <v>505</v>
      </c>
      <c r="B1160">
        <v>915</v>
      </c>
      <c r="C1160" t="s">
        <v>2989</v>
      </c>
      <c r="E1160" t="s">
        <v>2990</v>
      </c>
    </row>
    <row r="1161" spans="1:5" x14ac:dyDescent="0.2">
      <c r="A1161" t="s">
        <v>567</v>
      </c>
      <c r="B1161">
        <v>885</v>
      </c>
      <c r="C1161" t="s">
        <v>3013</v>
      </c>
      <c r="D1161" t="s">
        <v>3208</v>
      </c>
      <c r="E1161" t="s">
        <v>3093</v>
      </c>
    </row>
    <row r="1162" spans="1:5" x14ac:dyDescent="0.2">
      <c r="A1162" t="s">
        <v>539</v>
      </c>
      <c r="B1162">
        <v>567</v>
      </c>
      <c r="C1162" t="s">
        <v>2417</v>
      </c>
      <c r="E1162" t="s">
        <v>2418</v>
      </c>
    </row>
    <row r="1163" spans="1:5" x14ac:dyDescent="0.2">
      <c r="A1163" t="s">
        <v>2383</v>
      </c>
      <c r="B1163">
        <v>652</v>
      </c>
      <c r="C1163" t="s">
        <v>3209</v>
      </c>
      <c r="E1163" t="s">
        <v>3210</v>
      </c>
    </row>
    <row r="1164" spans="1:5" x14ac:dyDescent="0.2">
      <c r="A1164" t="s">
        <v>567</v>
      </c>
      <c r="B1164">
        <v>610</v>
      </c>
      <c r="C1164" t="s">
        <v>3211</v>
      </c>
      <c r="E1164" t="s">
        <v>3212</v>
      </c>
    </row>
    <row r="1165" spans="1:5" x14ac:dyDescent="0.2">
      <c r="A1165" t="s">
        <v>567</v>
      </c>
      <c r="B1165">
        <v>668</v>
      </c>
      <c r="C1165" t="s">
        <v>3161</v>
      </c>
      <c r="D1165" t="s">
        <v>3161</v>
      </c>
      <c r="E1165" t="s">
        <v>3162</v>
      </c>
    </row>
    <row r="1166" spans="1:5" x14ac:dyDescent="0.2">
      <c r="A1166" t="s">
        <v>505</v>
      </c>
      <c r="B1166">
        <v>505</v>
      </c>
      <c r="C1166" t="s">
        <v>2426</v>
      </c>
      <c r="D1166" t="s">
        <v>3213</v>
      </c>
      <c r="E1166" t="s">
        <v>2428</v>
      </c>
    </row>
    <row r="1167" spans="1:5" x14ac:dyDescent="0.2">
      <c r="A1167" t="s">
        <v>505</v>
      </c>
      <c r="B1167">
        <v>810</v>
      </c>
      <c r="C1167" t="s">
        <v>3037</v>
      </c>
      <c r="E1167" t="s">
        <v>3038</v>
      </c>
    </row>
    <row r="1168" spans="1:5" x14ac:dyDescent="0.2">
      <c r="A1168" t="s">
        <v>2408</v>
      </c>
      <c r="B1168">
        <v>557</v>
      </c>
      <c r="C1168" t="s">
        <v>3214</v>
      </c>
      <c r="E1168" t="s">
        <v>3215</v>
      </c>
    </row>
    <row r="1169" spans="1:5" x14ac:dyDescent="0.2">
      <c r="A1169" t="s">
        <v>567</v>
      </c>
      <c r="B1169">
        <v>620</v>
      </c>
      <c r="C1169" t="s">
        <v>2431</v>
      </c>
      <c r="E1169" t="s">
        <v>2432</v>
      </c>
    </row>
    <row r="1170" spans="1:5" x14ac:dyDescent="0.2">
      <c r="A1170" t="s">
        <v>550</v>
      </c>
      <c r="B1170">
        <v>695</v>
      </c>
      <c r="C1170" t="s">
        <v>2582</v>
      </c>
      <c r="D1170" t="s">
        <v>3216</v>
      </c>
      <c r="E1170" t="s">
        <v>2584</v>
      </c>
    </row>
    <row r="1171" spans="1:5" x14ac:dyDescent="0.2">
      <c r="A1171" t="s">
        <v>539</v>
      </c>
      <c r="B1171">
        <v>650</v>
      </c>
      <c r="C1171" t="s">
        <v>3116</v>
      </c>
      <c r="D1171" t="s">
        <v>3116</v>
      </c>
      <c r="E1171" t="s">
        <v>3117</v>
      </c>
    </row>
    <row r="1172" spans="1:5" x14ac:dyDescent="0.2">
      <c r="A1172" t="s">
        <v>2383</v>
      </c>
      <c r="B1172">
        <v>709</v>
      </c>
      <c r="C1172" t="s">
        <v>3217</v>
      </c>
      <c r="E1172" t="s">
        <v>3218</v>
      </c>
    </row>
    <row r="1173" spans="1:5" x14ac:dyDescent="0.2">
      <c r="A1173" t="s">
        <v>567</v>
      </c>
      <c r="B1173">
        <v>654</v>
      </c>
      <c r="C1173" t="s">
        <v>3219</v>
      </c>
      <c r="E1173" t="s">
        <v>3220</v>
      </c>
    </row>
    <row r="1174" spans="1:5" x14ac:dyDescent="0.2">
      <c r="A1174" t="s">
        <v>650</v>
      </c>
      <c r="B1174">
        <v>611</v>
      </c>
      <c r="C1174" t="s">
        <v>2610</v>
      </c>
      <c r="E1174" t="s">
        <v>2611</v>
      </c>
    </row>
    <row r="1175" spans="1:5" x14ac:dyDescent="0.2">
      <c r="A1175" t="s">
        <v>550</v>
      </c>
      <c r="B1175">
        <v>888</v>
      </c>
      <c r="C1175" t="s">
        <v>3221</v>
      </c>
      <c r="E1175" t="s">
        <v>3222</v>
      </c>
    </row>
    <row r="1176" spans="1:5" x14ac:dyDescent="0.2">
      <c r="A1176" t="s">
        <v>413</v>
      </c>
      <c r="B1176">
        <v>685</v>
      </c>
      <c r="C1176" t="s">
        <v>3053</v>
      </c>
      <c r="D1176" t="s">
        <v>3223</v>
      </c>
      <c r="E1176" t="s">
        <v>3054</v>
      </c>
    </row>
    <row r="1177" spans="1:5" x14ac:dyDescent="0.2">
      <c r="A1177" t="s">
        <v>505</v>
      </c>
      <c r="B1177">
        <v>530</v>
      </c>
      <c r="C1177" t="s">
        <v>2511</v>
      </c>
      <c r="D1177" t="s">
        <v>2511</v>
      </c>
      <c r="E1177" t="s">
        <v>2512</v>
      </c>
    </row>
    <row r="1178" spans="1:5" x14ac:dyDescent="0.2">
      <c r="A1178" t="s">
        <v>413</v>
      </c>
      <c r="B1178">
        <v>624</v>
      </c>
      <c r="C1178" t="s">
        <v>2568</v>
      </c>
      <c r="D1178" t="s">
        <v>2568</v>
      </c>
      <c r="E1178" t="s">
        <v>2569</v>
      </c>
    </row>
    <row r="1179" spans="1:5" x14ac:dyDescent="0.2">
      <c r="A1179" t="s">
        <v>550</v>
      </c>
      <c r="B1179">
        <v>795</v>
      </c>
      <c r="C1179" t="s">
        <v>2386</v>
      </c>
      <c r="D1179" t="s">
        <v>3224</v>
      </c>
      <c r="E1179" t="s">
        <v>2481</v>
      </c>
    </row>
    <row r="1180" spans="1:5" x14ac:dyDescent="0.2">
      <c r="A1180" t="s">
        <v>2383</v>
      </c>
      <c r="B1180">
        <v>870</v>
      </c>
      <c r="C1180" t="s">
        <v>3046</v>
      </c>
      <c r="D1180" t="s">
        <v>3225</v>
      </c>
      <c r="E1180" t="s">
        <v>3048</v>
      </c>
    </row>
    <row r="1181" spans="1:5" x14ac:dyDescent="0.2">
      <c r="A1181" t="s">
        <v>650</v>
      </c>
      <c r="B1181">
        <v>656</v>
      </c>
      <c r="C1181" t="s">
        <v>2620</v>
      </c>
      <c r="D1181" t="s">
        <v>3226</v>
      </c>
      <c r="E1181" t="s">
        <v>2621</v>
      </c>
    </row>
    <row r="1182" spans="1:5" x14ac:dyDescent="0.2">
      <c r="A1182" t="s">
        <v>550</v>
      </c>
      <c r="B1182">
        <v>885</v>
      </c>
      <c r="C1182" t="s">
        <v>3013</v>
      </c>
      <c r="D1182" t="s">
        <v>3227</v>
      </c>
      <c r="E1182" t="s">
        <v>3175</v>
      </c>
    </row>
    <row r="1183" spans="1:5" x14ac:dyDescent="0.2">
      <c r="A1183" t="s">
        <v>2383</v>
      </c>
      <c r="B1183">
        <v>950</v>
      </c>
      <c r="C1183" t="s">
        <v>3228</v>
      </c>
      <c r="E1183" t="s">
        <v>3229</v>
      </c>
    </row>
    <row r="1184" spans="1:5" x14ac:dyDescent="0.2">
      <c r="A1184" t="s">
        <v>650</v>
      </c>
      <c r="B1184">
        <v>633</v>
      </c>
      <c r="C1184" t="s">
        <v>3230</v>
      </c>
      <c r="E1184" t="s">
        <v>3231</v>
      </c>
    </row>
    <row r="1185" spans="1:5" x14ac:dyDescent="0.2">
      <c r="A1185" t="s">
        <v>550</v>
      </c>
      <c r="B1185">
        <v>546</v>
      </c>
      <c r="C1185" t="s">
        <v>2504</v>
      </c>
      <c r="E1185" t="s">
        <v>2505</v>
      </c>
    </row>
    <row r="1186" spans="1:5" x14ac:dyDescent="0.2">
      <c r="A1186" t="s">
        <v>650</v>
      </c>
      <c r="B1186">
        <v>885</v>
      </c>
      <c r="C1186" t="s">
        <v>2386</v>
      </c>
      <c r="D1186" t="s">
        <v>3200</v>
      </c>
      <c r="E1186" t="s">
        <v>3027</v>
      </c>
    </row>
    <row r="1187" spans="1:5" x14ac:dyDescent="0.2">
      <c r="A1187" t="s">
        <v>650</v>
      </c>
      <c r="B1187">
        <v>885</v>
      </c>
      <c r="C1187" t="s">
        <v>2386</v>
      </c>
      <c r="D1187" t="s">
        <v>3232</v>
      </c>
      <c r="E1187" t="s">
        <v>3027</v>
      </c>
    </row>
    <row r="1188" spans="1:5" x14ac:dyDescent="0.2">
      <c r="A1188" t="s">
        <v>539</v>
      </c>
      <c r="B1188">
        <v>885</v>
      </c>
      <c r="C1188" t="s">
        <v>2389</v>
      </c>
      <c r="D1188" t="s">
        <v>2389</v>
      </c>
      <c r="E1188" t="s">
        <v>2391</v>
      </c>
    </row>
    <row r="1189" spans="1:5" x14ac:dyDescent="0.2">
      <c r="A1189" t="s">
        <v>539</v>
      </c>
      <c r="B1189">
        <v>885</v>
      </c>
      <c r="C1189" t="s">
        <v>2389</v>
      </c>
      <c r="D1189" t="s">
        <v>2389</v>
      </c>
      <c r="E1189" t="s">
        <v>2391</v>
      </c>
    </row>
    <row r="1190" spans="1:5" x14ac:dyDescent="0.2">
      <c r="A1190" t="s">
        <v>2383</v>
      </c>
      <c r="B1190">
        <v>534</v>
      </c>
      <c r="C1190" t="s">
        <v>2489</v>
      </c>
      <c r="E1190" t="s">
        <v>2490</v>
      </c>
    </row>
    <row r="1191" spans="1:5" x14ac:dyDescent="0.2">
      <c r="A1191" t="s">
        <v>413</v>
      </c>
      <c r="B1191">
        <v>570</v>
      </c>
      <c r="C1191" t="s">
        <v>3183</v>
      </c>
      <c r="E1191" t="s">
        <v>3184</v>
      </c>
    </row>
    <row r="1192" spans="1:5" x14ac:dyDescent="0.2">
      <c r="A1192" t="s">
        <v>413</v>
      </c>
      <c r="B1192">
        <v>571</v>
      </c>
      <c r="C1192" t="s">
        <v>3185</v>
      </c>
      <c r="E1192" t="s">
        <v>3186</v>
      </c>
    </row>
    <row r="1193" spans="1:5" x14ac:dyDescent="0.2">
      <c r="A1193" t="s">
        <v>539</v>
      </c>
      <c r="B1193">
        <v>668</v>
      </c>
      <c r="C1193" t="s">
        <v>2922</v>
      </c>
      <c r="D1193" t="s">
        <v>2922</v>
      </c>
      <c r="E1193" t="s">
        <v>2923</v>
      </c>
    </row>
    <row r="1194" spans="1:5" x14ac:dyDescent="0.2">
      <c r="A1194" t="s">
        <v>539</v>
      </c>
      <c r="B1194">
        <v>537</v>
      </c>
      <c r="C1194" t="s">
        <v>2496</v>
      </c>
      <c r="E1194" t="s">
        <v>2497</v>
      </c>
    </row>
    <row r="1195" spans="1:5" x14ac:dyDescent="0.2">
      <c r="A1195" t="s">
        <v>650</v>
      </c>
      <c r="B1195">
        <v>885</v>
      </c>
      <c r="C1195" t="s">
        <v>2386</v>
      </c>
      <c r="D1195" t="s">
        <v>3233</v>
      </c>
      <c r="E1195" t="s">
        <v>3027</v>
      </c>
    </row>
    <row r="1196" spans="1:5" x14ac:dyDescent="0.2">
      <c r="A1196" t="s">
        <v>539</v>
      </c>
      <c r="B1196">
        <v>885</v>
      </c>
      <c r="C1196" t="s">
        <v>2389</v>
      </c>
      <c r="E1196" t="s">
        <v>2391</v>
      </c>
    </row>
    <row r="1197" spans="1:5" x14ac:dyDescent="0.2">
      <c r="A1197" t="s">
        <v>2383</v>
      </c>
      <c r="B1197">
        <v>541</v>
      </c>
      <c r="C1197" t="s">
        <v>2404</v>
      </c>
      <c r="E1197" t="s">
        <v>2502</v>
      </c>
    </row>
    <row r="1198" spans="1:5" x14ac:dyDescent="0.2">
      <c r="A1198" t="s">
        <v>539</v>
      </c>
      <c r="B1198">
        <v>885</v>
      </c>
      <c r="C1198" t="s">
        <v>2389</v>
      </c>
      <c r="D1198" t="s">
        <v>3086</v>
      </c>
      <c r="E1198" t="s">
        <v>2391</v>
      </c>
    </row>
    <row r="1199" spans="1:5" x14ac:dyDescent="0.2">
      <c r="A1199" t="s">
        <v>539</v>
      </c>
      <c r="B1199">
        <v>885</v>
      </c>
      <c r="C1199" t="s">
        <v>2389</v>
      </c>
      <c r="D1199" t="s">
        <v>3234</v>
      </c>
      <c r="E1199" t="s">
        <v>2391</v>
      </c>
    </row>
    <row r="1200" spans="1:5" x14ac:dyDescent="0.2">
      <c r="A1200" t="s">
        <v>539</v>
      </c>
      <c r="B1200">
        <v>885</v>
      </c>
      <c r="C1200" t="s">
        <v>2389</v>
      </c>
      <c r="D1200" t="s">
        <v>3235</v>
      </c>
      <c r="E1200" t="s">
        <v>2391</v>
      </c>
    </row>
    <row r="1201" spans="1:5" x14ac:dyDescent="0.2">
      <c r="A1201" t="s">
        <v>539</v>
      </c>
      <c r="B1201">
        <v>885</v>
      </c>
      <c r="C1201" t="s">
        <v>2389</v>
      </c>
      <c r="D1201" t="s">
        <v>3236</v>
      </c>
      <c r="E1201" t="s">
        <v>2391</v>
      </c>
    </row>
    <row r="1202" spans="1:5" x14ac:dyDescent="0.2">
      <c r="A1202" t="s">
        <v>539</v>
      </c>
      <c r="B1202">
        <v>885</v>
      </c>
      <c r="C1202" t="s">
        <v>2389</v>
      </c>
      <c r="D1202" t="s">
        <v>3237</v>
      </c>
      <c r="E1202" t="s">
        <v>2391</v>
      </c>
    </row>
    <row r="1203" spans="1:5" x14ac:dyDescent="0.2">
      <c r="A1203" t="s">
        <v>650</v>
      </c>
      <c r="B1203">
        <v>656</v>
      </c>
      <c r="C1203" t="s">
        <v>2620</v>
      </c>
      <c r="E1203" t="s">
        <v>2621</v>
      </c>
    </row>
    <row r="1204" spans="1:5" x14ac:dyDescent="0.2">
      <c r="A1204" t="s">
        <v>539</v>
      </c>
      <c r="B1204">
        <v>885</v>
      </c>
      <c r="C1204" t="s">
        <v>2389</v>
      </c>
      <c r="D1204" t="s">
        <v>3238</v>
      </c>
      <c r="E1204" t="s">
        <v>2391</v>
      </c>
    </row>
    <row r="1205" spans="1:5" x14ac:dyDescent="0.2">
      <c r="A1205" t="s">
        <v>539</v>
      </c>
      <c r="B1205">
        <v>885</v>
      </c>
      <c r="C1205" t="s">
        <v>2389</v>
      </c>
      <c r="D1205" t="s">
        <v>3024</v>
      </c>
      <c r="E1205" t="s">
        <v>2391</v>
      </c>
    </row>
    <row r="1206" spans="1:5" x14ac:dyDescent="0.2">
      <c r="A1206" t="s">
        <v>592</v>
      </c>
      <c r="B1206">
        <v>588</v>
      </c>
      <c r="C1206" t="s">
        <v>2871</v>
      </c>
      <c r="E1206" t="s">
        <v>3239</v>
      </c>
    </row>
    <row r="1207" spans="1:5" x14ac:dyDescent="0.2">
      <c r="A1207" t="s">
        <v>567</v>
      </c>
      <c r="B1207">
        <v>885</v>
      </c>
      <c r="C1207" t="s">
        <v>3013</v>
      </c>
      <c r="D1207" t="s">
        <v>3240</v>
      </c>
      <c r="E1207" t="s">
        <v>3093</v>
      </c>
    </row>
    <row r="1208" spans="1:5" x14ac:dyDescent="0.2">
      <c r="A1208" t="s">
        <v>567</v>
      </c>
      <c r="B1208">
        <v>885</v>
      </c>
      <c r="C1208" t="s">
        <v>3013</v>
      </c>
      <c r="D1208" t="s">
        <v>3241</v>
      </c>
      <c r="E1208" t="s">
        <v>3093</v>
      </c>
    </row>
    <row r="1209" spans="1:5" x14ac:dyDescent="0.2">
      <c r="A1209" t="s">
        <v>550</v>
      </c>
      <c r="B1209">
        <v>885</v>
      </c>
      <c r="C1209" t="s">
        <v>3013</v>
      </c>
      <c r="D1209" t="s">
        <v>3242</v>
      </c>
      <c r="E1209" t="s">
        <v>3175</v>
      </c>
    </row>
    <row r="1210" spans="1:5" x14ac:dyDescent="0.2">
      <c r="A1210" t="s">
        <v>650</v>
      </c>
      <c r="B1210">
        <v>940</v>
      </c>
      <c r="C1210" t="s">
        <v>2946</v>
      </c>
      <c r="D1210" t="s">
        <v>3243</v>
      </c>
      <c r="E1210" t="s">
        <v>2947</v>
      </c>
    </row>
    <row r="1211" spans="1:5" x14ac:dyDescent="0.2">
      <c r="A1211" t="s">
        <v>650</v>
      </c>
      <c r="B1211">
        <v>634</v>
      </c>
      <c r="C1211" t="s">
        <v>2413</v>
      </c>
      <c r="D1211" t="s">
        <v>2413</v>
      </c>
      <c r="E1211" t="s">
        <v>2414</v>
      </c>
    </row>
    <row r="1212" spans="1:5" x14ac:dyDescent="0.2">
      <c r="A1212" t="s">
        <v>413</v>
      </c>
      <c r="B1212">
        <v>940</v>
      </c>
      <c r="C1212" t="s">
        <v>2858</v>
      </c>
      <c r="D1212" t="s">
        <v>3244</v>
      </c>
      <c r="E1212" t="s">
        <v>2859</v>
      </c>
    </row>
    <row r="1213" spans="1:5" x14ac:dyDescent="0.2">
      <c r="A1213" t="s">
        <v>592</v>
      </c>
      <c r="B1213">
        <v>602</v>
      </c>
      <c r="C1213" t="s">
        <v>3245</v>
      </c>
      <c r="E1213" t="s">
        <v>3246</v>
      </c>
    </row>
    <row r="1214" spans="1:5" x14ac:dyDescent="0.2">
      <c r="A1214" t="s">
        <v>592</v>
      </c>
      <c r="B1214">
        <v>712</v>
      </c>
      <c r="C1214" t="s">
        <v>2558</v>
      </c>
      <c r="E1214" t="s">
        <v>2559</v>
      </c>
    </row>
    <row r="1215" spans="1:5" x14ac:dyDescent="0.2">
      <c r="A1215" t="s">
        <v>592</v>
      </c>
      <c r="B1215">
        <v>782</v>
      </c>
      <c r="C1215" t="s">
        <v>3247</v>
      </c>
      <c r="E1215" t="s">
        <v>3248</v>
      </c>
    </row>
    <row r="1216" spans="1:5" x14ac:dyDescent="0.2">
      <c r="A1216" t="s">
        <v>466</v>
      </c>
      <c r="B1216">
        <v>656</v>
      </c>
      <c r="C1216" t="s">
        <v>2820</v>
      </c>
      <c r="E1216" t="s">
        <v>3249</v>
      </c>
    </row>
    <row r="1217" spans="1:5" x14ac:dyDescent="0.2">
      <c r="A1217" t="s">
        <v>550</v>
      </c>
      <c r="B1217">
        <v>695</v>
      </c>
      <c r="C1217" t="s">
        <v>2582</v>
      </c>
      <c r="D1217" t="s">
        <v>3250</v>
      </c>
      <c r="E1217" t="s">
        <v>2584</v>
      </c>
    </row>
    <row r="1218" spans="1:5" x14ac:dyDescent="0.2">
      <c r="A1218" t="s">
        <v>466</v>
      </c>
      <c r="B1218">
        <v>615</v>
      </c>
      <c r="C1218" t="s">
        <v>3063</v>
      </c>
      <c r="D1218" t="s">
        <v>3063</v>
      </c>
      <c r="E1218" t="s">
        <v>3251</v>
      </c>
    </row>
    <row r="1219" spans="1:5" x14ac:dyDescent="0.2">
      <c r="A1219" t="s">
        <v>650</v>
      </c>
      <c r="B1219">
        <v>885</v>
      </c>
      <c r="C1219" t="s">
        <v>2386</v>
      </c>
      <c r="D1219" t="s">
        <v>3174</v>
      </c>
      <c r="E1219" t="s">
        <v>3027</v>
      </c>
    </row>
    <row r="1220" spans="1:5" x14ac:dyDescent="0.2">
      <c r="A1220" t="s">
        <v>650</v>
      </c>
      <c r="B1220">
        <v>885</v>
      </c>
      <c r="C1220" t="s">
        <v>2386</v>
      </c>
      <c r="D1220" t="s">
        <v>3028</v>
      </c>
      <c r="E1220" t="s">
        <v>3027</v>
      </c>
    </row>
    <row r="1221" spans="1:5" x14ac:dyDescent="0.2">
      <c r="A1221" t="s">
        <v>592</v>
      </c>
      <c r="B1221">
        <v>526</v>
      </c>
      <c r="C1221" t="s">
        <v>2588</v>
      </c>
      <c r="D1221" t="s">
        <v>2588</v>
      </c>
      <c r="E1221" t="s">
        <v>3252</v>
      </c>
    </row>
    <row r="1222" spans="1:5" x14ac:dyDescent="0.2">
      <c r="A1222" t="s">
        <v>505</v>
      </c>
      <c r="B1222">
        <v>588</v>
      </c>
      <c r="C1222" t="s">
        <v>3253</v>
      </c>
      <c r="E1222" t="s">
        <v>3254</v>
      </c>
    </row>
    <row r="1223" spans="1:5" x14ac:dyDescent="0.2">
      <c r="A1223" t="s">
        <v>505</v>
      </c>
      <c r="B1223">
        <v>530</v>
      </c>
      <c r="C1223" t="s">
        <v>2511</v>
      </c>
      <c r="D1223" t="s">
        <v>2511</v>
      </c>
      <c r="E1223" t="s">
        <v>2512</v>
      </c>
    </row>
    <row r="1224" spans="1:5" x14ac:dyDescent="0.2">
      <c r="A1224" t="s">
        <v>650</v>
      </c>
      <c r="B1224">
        <v>964</v>
      </c>
      <c r="C1224" t="s">
        <v>2620</v>
      </c>
      <c r="D1224" t="s">
        <v>3226</v>
      </c>
      <c r="E1224" t="s">
        <v>2909</v>
      </c>
    </row>
    <row r="1225" spans="1:5" x14ac:dyDescent="0.2">
      <c r="A1225" t="s">
        <v>592</v>
      </c>
      <c r="B1225">
        <v>601</v>
      </c>
      <c r="C1225" t="s">
        <v>3255</v>
      </c>
      <c r="E1225" t="s">
        <v>3256</v>
      </c>
    </row>
    <row r="1226" spans="1:5" x14ac:dyDescent="0.2">
      <c r="A1226" t="s">
        <v>567</v>
      </c>
      <c r="B1226">
        <v>940</v>
      </c>
      <c r="C1226" t="s">
        <v>2744</v>
      </c>
      <c r="D1226" t="s">
        <v>3257</v>
      </c>
      <c r="E1226" t="s">
        <v>2745</v>
      </c>
    </row>
    <row r="1227" spans="1:5" x14ac:dyDescent="0.2">
      <c r="A1227" t="s">
        <v>592</v>
      </c>
      <c r="B1227">
        <v>557</v>
      </c>
      <c r="C1227" t="s">
        <v>3258</v>
      </c>
      <c r="D1227" t="s">
        <v>3214</v>
      </c>
      <c r="E1227" t="s">
        <v>3259</v>
      </c>
    </row>
    <row r="1228" spans="1:5" x14ac:dyDescent="0.2">
      <c r="A1228" t="s">
        <v>592</v>
      </c>
      <c r="B1228">
        <v>523</v>
      </c>
      <c r="C1228" t="s">
        <v>2406</v>
      </c>
      <c r="D1228" t="s">
        <v>2406</v>
      </c>
      <c r="E1228" t="s">
        <v>2407</v>
      </c>
    </row>
    <row r="1229" spans="1:5" x14ac:dyDescent="0.2">
      <c r="A1229" t="s">
        <v>466</v>
      </c>
      <c r="B1229">
        <v>850</v>
      </c>
      <c r="C1229" t="s">
        <v>3073</v>
      </c>
      <c r="E1229" t="s">
        <v>3260</v>
      </c>
    </row>
    <row r="1230" spans="1:5" x14ac:dyDescent="0.2">
      <c r="A1230" t="s">
        <v>592</v>
      </c>
      <c r="B1230">
        <v>762</v>
      </c>
      <c r="C1230" t="s">
        <v>3261</v>
      </c>
      <c r="E1230" t="s">
        <v>3262</v>
      </c>
    </row>
    <row r="1231" spans="1:5" x14ac:dyDescent="0.2">
      <c r="A1231" t="s">
        <v>567</v>
      </c>
      <c r="B1231">
        <v>885</v>
      </c>
      <c r="C1231" t="s">
        <v>3013</v>
      </c>
      <c r="D1231" t="s">
        <v>3263</v>
      </c>
      <c r="E1231" t="s">
        <v>3093</v>
      </c>
    </row>
    <row r="1232" spans="1:5" x14ac:dyDescent="0.2">
      <c r="A1232" t="s">
        <v>466</v>
      </c>
      <c r="B1232">
        <v>659</v>
      </c>
      <c r="C1232" t="s">
        <v>2918</v>
      </c>
      <c r="E1232" t="s">
        <v>3264</v>
      </c>
    </row>
    <row r="1233" spans="1:5" x14ac:dyDescent="0.2">
      <c r="A1233" t="s">
        <v>466</v>
      </c>
      <c r="B1233">
        <v>748</v>
      </c>
      <c r="C1233" t="s">
        <v>3265</v>
      </c>
      <c r="E1233" t="s">
        <v>3266</v>
      </c>
    </row>
    <row r="1234" spans="1:5" x14ac:dyDescent="0.2">
      <c r="A1234" t="s">
        <v>505</v>
      </c>
      <c r="B1234">
        <v>793</v>
      </c>
      <c r="C1234" t="s">
        <v>2482</v>
      </c>
      <c r="E1234" t="s">
        <v>2483</v>
      </c>
    </row>
    <row r="1235" spans="1:5" x14ac:dyDescent="0.2">
      <c r="A1235" t="s">
        <v>592</v>
      </c>
      <c r="B1235">
        <v>555</v>
      </c>
      <c r="C1235" t="s">
        <v>2415</v>
      </c>
      <c r="D1235" t="s">
        <v>2415</v>
      </c>
      <c r="E1235" t="s">
        <v>2660</v>
      </c>
    </row>
    <row r="1236" spans="1:5" x14ac:dyDescent="0.2">
      <c r="A1236" t="s">
        <v>592</v>
      </c>
      <c r="B1236">
        <v>555</v>
      </c>
      <c r="C1236" t="s">
        <v>2415</v>
      </c>
      <c r="E1236" t="s">
        <v>2660</v>
      </c>
    </row>
    <row r="1237" spans="1:5" x14ac:dyDescent="0.2">
      <c r="A1237" t="s">
        <v>466</v>
      </c>
      <c r="B1237">
        <v>615</v>
      </c>
      <c r="C1237" t="s">
        <v>3063</v>
      </c>
      <c r="E1237" t="s">
        <v>3251</v>
      </c>
    </row>
    <row r="1238" spans="1:5" x14ac:dyDescent="0.2">
      <c r="A1238" t="s">
        <v>466</v>
      </c>
      <c r="B1238">
        <v>534</v>
      </c>
      <c r="C1238" t="s">
        <v>2489</v>
      </c>
      <c r="E1238" t="s">
        <v>2513</v>
      </c>
    </row>
    <row r="1239" spans="1:5" x14ac:dyDescent="0.2">
      <c r="A1239" t="s">
        <v>413</v>
      </c>
      <c r="B1239">
        <v>567</v>
      </c>
      <c r="C1239" t="s">
        <v>2622</v>
      </c>
      <c r="E1239" t="s">
        <v>2623</v>
      </c>
    </row>
    <row r="1240" spans="1:5" x14ac:dyDescent="0.2">
      <c r="A1240" t="s">
        <v>466</v>
      </c>
      <c r="B1240">
        <v>541</v>
      </c>
      <c r="C1240" t="s">
        <v>2404</v>
      </c>
      <c r="E1240" t="s">
        <v>2405</v>
      </c>
    </row>
    <row r="1241" spans="1:5" x14ac:dyDescent="0.2">
      <c r="A1241" t="s">
        <v>466</v>
      </c>
      <c r="B1241">
        <v>541</v>
      </c>
      <c r="C1241" t="s">
        <v>2404</v>
      </c>
      <c r="D1241" t="s">
        <v>2404</v>
      </c>
      <c r="E1241" t="s">
        <v>2405</v>
      </c>
    </row>
    <row r="1242" spans="1:5" x14ac:dyDescent="0.2">
      <c r="A1242" t="s">
        <v>466</v>
      </c>
      <c r="B1242">
        <v>534</v>
      </c>
      <c r="C1242" t="s">
        <v>2489</v>
      </c>
      <c r="E1242" t="s">
        <v>2513</v>
      </c>
    </row>
    <row r="1243" spans="1:5" x14ac:dyDescent="0.2">
      <c r="A1243" t="s">
        <v>592</v>
      </c>
      <c r="B1243">
        <v>505</v>
      </c>
      <c r="C1243" t="s">
        <v>2746</v>
      </c>
      <c r="E1243" t="s">
        <v>3267</v>
      </c>
    </row>
    <row r="1244" spans="1:5" x14ac:dyDescent="0.2">
      <c r="A1244" t="s">
        <v>592</v>
      </c>
      <c r="B1244">
        <v>552</v>
      </c>
      <c r="C1244" t="s">
        <v>2772</v>
      </c>
      <c r="D1244" t="s">
        <v>2772</v>
      </c>
      <c r="E1244" t="s">
        <v>3268</v>
      </c>
    </row>
    <row r="1245" spans="1:5" x14ac:dyDescent="0.2">
      <c r="A1245" t="s">
        <v>2408</v>
      </c>
      <c r="B1245">
        <v>712</v>
      </c>
      <c r="C1245" t="s">
        <v>2558</v>
      </c>
      <c r="E1245" t="s">
        <v>3269</v>
      </c>
    </row>
    <row r="1246" spans="1:5" x14ac:dyDescent="0.2">
      <c r="A1246" t="s">
        <v>650</v>
      </c>
      <c r="B1246">
        <v>885</v>
      </c>
      <c r="C1246" t="s">
        <v>2386</v>
      </c>
      <c r="D1246" t="s">
        <v>3270</v>
      </c>
      <c r="E1246" t="s">
        <v>3027</v>
      </c>
    </row>
    <row r="1247" spans="1:5" x14ac:dyDescent="0.2">
      <c r="A1247" t="s">
        <v>592</v>
      </c>
      <c r="B1247">
        <v>543</v>
      </c>
      <c r="C1247" t="s">
        <v>2494</v>
      </c>
      <c r="E1247" t="s">
        <v>2503</v>
      </c>
    </row>
    <row r="1248" spans="1:5" x14ac:dyDescent="0.2">
      <c r="A1248" t="s">
        <v>592</v>
      </c>
      <c r="B1248">
        <v>539</v>
      </c>
      <c r="C1248" t="s">
        <v>2436</v>
      </c>
      <c r="E1248" t="s">
        <v>2437</v>
      </c>
    </row>
    <row r="1249" spans="1:5" x14ac:dyDescent="0.2">
      <c r="A1249" t="s">
        <v>592</v>
      </c>
      <c r="B1249">
        <v>553</v>
      </c>
      <c r="C1249" t="s">
        <v>2807</v>
      </c>
      <c r="E1249" t="s">
        <v>3271</v>
      </c>
    </row>
    <row r="1250" spans="1:5" x14ac:dyDescent="0.2">
      <c r="A1250" t="s">
        <v>505</v>
      </c>
      <c r="B1250">
        <v>505</v>
      </c>
      <c r="C1250" t="s">
        <v>2426</v>
      </c>
      <c r="D1250" t="s">
        <v>3272</v>
      </c>
      <c r="E1250" t="s">
        <v>2428</v>
      </c>
    </row>
    <row r="1251" spans="1:5" x14ac:dyDescent="0.2">
      <c r="A1251" t="s">
        <v>592</v>
      </c>
      <c r="B1251">
        <v>549</v>
      </c>
      <c r="C1251" t="s">
        <v>3100</v>
      </c>
      <c r="D1251" t="s">
        <v>3100</v>
      </c>
      <c r="E1251" t="s">
        <v>3273</v>
      </c>
    </row>
    <row r="1252" spans="1:5" x14ac:dyDescent="0.2">
      <c r="A1252" t="s">
        <v>567</v>
      </c>
      <c r="B1252">
        <v>660</v>
      </c>
      <c r="C1252" t="s">
        <v>2875</v>
      </c>
      <c r="E1252" t="s">
        <v>3274</v>
      </c>
    </row>
    <row r="1253" spans="1:5" x14ac:dyDescent="0.2">
      <c r="A1253" t="s">
        <v>592</v>
      </c>
      <c r="B1253">
        <v>507</v>
      </c>
      <c r="C1253" t="s">
        <v>2968</v>
      </c>
      <c r="E1253" t="s">
        <v>3275</v>
      </c>
    </row>
    <row r="1254" spans="1:5" x14ac:dyDescent="0.2">
      <c r="A1254" t="s">
        <v>592</v>
      </c>
      <c r="B1254">
        <v>606</v>
      </c>
      <c r="C1254" t="s">
        <v>2526</v>
      </c>
      <c r="E1254" t="s">
        <v>2627</v>
      </c>
    </row>
    <row r="1255" spans="1:5" x14ac:dyDescent="0.2">
      <c r="A1255" t="s">
        <v>592</v>
      </c>
      <c r="B1255">
        <v>761</v>
      </c>
      <c r="C1255" t="s">
        <v>3276</v>
      </c>
      <c r="E1255" t="s">
        <v>3277</v>
      </c>
    </row>
    <row r="1256" spans="1:5" x14ac:dyDescent="0.2">
      <c r="A1256" t="s">
        <v>592</v>
      </c>
      <c r="B1256">
        <v>787</v>
      </c>
      <c r="C1256" t="s">
        <v>2590</v>
      </c>
      <c r="E1256" t="s">
        <v>3278</v>
      </c>
    </row>
    <row r="1257" spans="1:5" x14ac:dyDescent="0.2">
      <c r="A1257" t="s">
        <v>505</v>
      </c>
      <c r="B1257">
        <v>505</v>
      </c>
      <c r="C1257" t="s">
        <v>2426</v>
      </c>
      <c r="D1257" t="s">
        <v>3279</v>
      </c>
      <c r="E1257" t="s">
        <v>2428</v>
      </c>
    </row>
    <row r="1258" spans="1:5" x14ac:dyDescent="0.2">
      <c r="A1258" t="s">
        <v>466</v>
      </c>
      <c r="B1258">
        <v>541</v>
      </c>
      <c r="C1258" t="s">
        <v>2404</v>
      </c>
      <c r="D1258" t="s">
        <v>2404</v>
      </c>
      <c r="E1258" t="s">
        <v>2405</v>
      </c>
    </row>
    <row r="1259" spans="1:5" x14ac:dyDescent="0.2">
      <c r="A1259" t="s">
        <v>466</v>
      </c>
      <c r="B1259">
        <v>503</v>
      </c>
      <c r="C1259" t="s">
        <v>2433</v>
      </c>
      <c r="D1259" t="s">
        <v>2433</v>
      </c>
      <c r="E1259" t="s">
        <v>2434</v>
      </c>
    </row>
    <row r="1260" spans="1:5" x14ac:dyDescent="0.2">
      <c r="A1260" t="s">
        <v>466</v>
      </c>
      <c r="B1260">
        <v>679</v>
      </c>
      <c r="C1260" t="s">
        <v>2868</v>
      </c>
      <c r="E1260" t="s">
        <v>3280</v>
      </c>
    </row>
    <row r="1261" spans="1:5" x14ac:dyDescent="0.2">
      <c r="A1261" t="s">
        <v>505</v>
      </c>
      <c r="B1261">
        <v>505</v>
      </c>
      <c r="C1261" t="s">
        <v>2426</v>
      </c>
      <c r="D1261" t="s">
        <v>3281</v>
      </c>
      <c r="E1261" t="s">
        <v>2428</v>
      </c>
    </row>
    <row r="1262" spans="1:5" x14ac:dyDescent="0.2">
      <c r="A1262" t="s">
        <v>505</v>
      </c>
      <c r="B1262">
        <v>505</v>
      </c>
      <c r="C1262" t="s">
        <v>2426</v>
      </c>
      <c r="D1262" t="s">
        <v>3282</v>
      </c>
      <c r="E1262" t="s">
        <v>2428</v>
      </c>
    </row>
    <row r="1263" spans="1:5" x14ac:dyDescent="0.2">
      <c r="A1263" t="s">
        <v>550</v>
      </c>
      <c r="B1263">
        <v>805</v>
      </c>
      <c r="C1263" t="s">
        <v>3283</v>
      </c>
      <c r="E1263" t="s">
        <v>3284</v>
      </c>
    </row>
    <row r="1264" spans="1:5" x14ac:dyDescent="0.2">
      <c r="A1264" t="s">
        <v>550</v>
      </c>
      <c r="B1264">
        <v>870</v>
      </c>
      <c r="C1264" t="s">
        <v>3285</v>
      </c>
      <c r="E1264" t="s">
        <v>3286</v>
      </c>
    </row>
    <row r="1265" spans="1:5" x14ac:dyDescent="0.2">
      <c r="A1265" t="s">
        <v>550</v>
      </c>
      <c r="B1265">
        <v>835</v>
      </c>
      <c r="C1265" t="s">
        <v>3287</v>
      </c>
      <c r="E1265" t="s">
        <v>3288</v>
      </c>
    </row>
    <row r="1266" spans="1:5" x14ac:dyDescent="0.2">
      <c r="A1266" t="s">
        <v>550</v>
      </c>
      <c r="B1266">
        <v>854</v>
      </c>
      <c r="C1266" t="s">
        <v>2393</v>
      </c>
      <c r="E1266" t="s">
        <v>2394</v>
      </c>
    </row>
    <row r="1267" spans="1:5" x14ac:dyDescent="0.2">
      <c r="A1267" t="s">
        <v>539</v>
      </c>
      <c r="B1267">
        <v>885</v>
      </c>
      <c r="C1267" t="s">
        <v>2389</v>
      </c>
      <c r="D1267" t="s">
        <v>3289</v>
      </c>
      <c r="E1267" t="s">
        <v>2391</v>
      </c>
    </row>
    <row r="1268" spans="1:5" x14ac:dyDescent="0.2">
      <c r="A1268" t="s">
        <v>539</v>
      </c>
      <c r="B1268">
        <v>885</v>
      </c>
      <c r="C1268" t="s">
        <v>2389</v>
      </c>
      <c r="D1268" t="s">
        <v>3290</v>
      </c>
      <c r="E1268" t="s">
        <v>2391</v>
      </c>
    </row>
    <row r="1269" spans="1:5" x14ac:dyDescent="0.2">
      <c r="A1269" t="s">
        <v>413</v>
      </c>
      <c r="B1269">
        <v>944</v>
      </c>
      <c r="C1269" t="s">
        <v>3291</v>
      </c>
      <c r="D1269" t="s">
        <v>3292</v>
      </c>
      <c r="E1269" t="s">
        <v>3293</v>
      </c>
    </row>
    <row r="1270" spans="1:5" x14ac:dyDescent="0.2">
      <c r="A1270" t="s">
        <v>550</v>
      </c>
      <c r="B1270">
        <v>806</v>
      </c>
      <c r="C1270" t="s">
        <v>3294</v>
      </c>
      <c r="E1270" t="s">
        <v>3295</v>
      </c>
    </row>
    <row r="1271" spans="1:5" x14ac:dyDescent="0.2">
      <c r="A1271" t="s">
        <v>550</v>
      </c>
      <c r="B1271">
        <v>840</v>
      </c>
      <c r="C1271" t="s">
        <v>3296</v>
      </c>
      <c r="E1271" t="s">
        <v>3297</v>
      </c>
    </row>
    <row r="1272" spans="1:5" x14ac:dyDescent="0.2">
      <c r="A1272" t="s">
        <v>550</v>
      </c>
      <c r="B1272">
        <v>837</v>
      </c>
      <c r="C1272" t="s">
        <v>3298</v>
      </c>
      <c r="E1272" t="s">
        <v>3299</v>
      </c>
    </row>
    <row r="1273" spans="1:5" x14ac:dyDescent="0.2">
      <c r="A1273" t="s">
        <v>592</v>
      </c>
      <c r="B1273">
        <v>557</v>
      </c>
      <c r="C1273" t="s">
        <v>3258</v>
      </c>
      <c r="E1273" t="s">
        <v>3259</v>
      </c>
    </row>
    <row r="1274" spans="1:5" x14ac:dyDescent="0.2">
      <c r="A1274" t="s">
        <v>413</v>
      </c>
      <c r="B1274">
        <v>685</v>
      </c>
      <c r="C1274" t="s">
        <v>3053</v>
      </c>
      <c r="D1274" t="s">
        <v>3300</v>
      </c>
      <c r="E1274" t="s">
        <v>3054</v>
      </c>
    </row>
    <row r="1275" spans="1:5" x14ac:dyDescent="0.2">
      <c r="A1275" t="s">
        <v>539</v>
      </c>
      <c r="B1275">
        <v>885</v>
      </c>
      <c r="C1275" t="s">
        <v>2389</v>
      </c>
      <c r="D1275" t="s">
        <v>3086</v>
      </c>
      <c r="E1275" t="s">
        <v>2391</v>
      </c>
    </row>
    <row r="1276" spans="1:5" x14ac:dyDescent="0.2">
      <c r="A1276" t="s">
        <v>567</v>
      </c>
      <c r="B1276">
        <v>854</v>
      </c>
      <c r="C1276" t="s">
        <v>3219</v>
      </c>
      <c r="E1276" t="s">
        <v>3301</v>
      </c>
    </row>
    <row r="1277" spans="1:5" x14ac:dyDescent="0.2">
      <c r="A1277" t="s">
        <v>539</v>
      </c>
      <c r="B1277">
        <v>885</v>
      </c>
      <c r="C1277" t="s">
        <v>2389</v>
      </c>
      <c r="D1277" t="s">
        <v>3302</v>
      </c>
      <c r="E1277" t="s">
        <v>2391</v>
      </c>
    </row>
    <row r="1278" spans="1:5" x14ac:dyDescent="0.2">
      <c r="A1278" t="s">
        <v>650</v>
      </c>
      <c r="B1278">
        <v>885</v>
      </c>
      <c r="C1278" t="s">
        <v>2386</v>
      </c>
      <c r="D1278" t="s">
        <v>3200</v>
      </c>
      <c r="E1278" t="s">
        <v>3027</v>
      </c>
    </row>
    <row r="1279" spans="1:5" x14ac:dyDescent="0.2">
      <c r="A1279" t="s">
        <v>592</v>
      </c>
      <c r="B1279">
        <v>634</v>
      </c>
      <c r="C1279" t="s">
        <v>2717</v>
      </c>
      <c r="E1279" t="s">
        <v>2718</v>
      </c>
    </row>
    <row r="1280" spans="1:5" x14ac:dyDescent="0.2">
      <c r="A1280" t="s">
        <v>466</v>
      </c>
      <c r="B1280">
        <v>606</v>
      </c>
      <c r="C1280" t="s">
        <v>2384</v>
      </c>
      <c r="E1280" t="s">
        <v>3303</v>
      </c>
    </row>
    <row r="1281" spans="1:5" x14ac:dyDescent="0.2">
      <c r="A1281" t="s">
        <v>466</v>
      </c>
      <c r="B1281">
        <v>534</v>
      </c>
      <c r="C1281" t="s">
        <v>2489</v>
      </c>
      <c r="E1281" t="s">
        <v>2513</v>
      </c>
    </row>
    <row r="1282" spans="1:5" x14ac:dyDescent="0.2">
      <c r="A1282" t="s">
        <v>539</v>
      </c>
      <c r="B1282">
        <v>885</v>
      </c>
      <c r="C1282" t="s">
        <v>2389</v>
      </c>
      <c r="D1282" t="s">
        <v>3304</v>
      </c>
      <c r="E1282" t="s">
        <v>2391</v>
      </c>
    </row>
    <row r="1283" spans="1:5" x14ac:dyDescent="0.2">
      <c r="A1283" t="s">
        <v>539</v>
      </c>
      <c r="B1283">
        <v>885</v>
      </c>
      <c r="C1283" t="s">
        <v>2389</v>
      </c>
      <c r="D1283" t="s">
        <v>3305</v>
      </c>
      <c r="E1283" t="s">
        <v>2391</v>
      </c>
    </row>
    <row r="1284" spans="1:5" x14ac:dyDescent="0.2">
      <c r="A1284" t="s">
        <v>539</v>
      </c>
      <c r="B1284">
        <v>885</v>
      </c>
      <c r="C1284" t="s">
        <v>2389</v>
      </c>
      <c r="D1284" t="s">
        <v>3306</v>
      </c>
      <c r="E1284" t="s">
        <v>2391</v>
      </c>
    </row>
    <row r="1285" spans="1:5" x14ac:dyDescent="0.2">
      <c r="A1285" t="s">
        <v>592</v>
      </c>
      <c r="B1285">
        <v>643</v>
      </c>
      <c r="C1285" t="s">
        <v>3071</v>
      </c>
      <c r="E1285" t="s">
        <v>3307</v>
      </c>
    </row>
    <row r="1286" spans="1:5" x14ac:dyDescent="0.2">
      <c r="A1286" t="s">
        <v>466</v>
      </c>
      <c r="B1286">
        <v>615</v>
      </c>
      <c r="C1286" t="s">
        <v>3063</v>
      </c>
      <c r="E1286" t="s">
        <v>3251</v>
      </c>
    </row>
    <row r="1287" spans="1:5" x14ac:dyDescent="0.2">
      <c r="A1287" t="s">
        <v>466</v>
      </c>
      <c r="B1287">
        <v>503</v>
      </c>
      <c r="C1287" t="s">
        <v>2433</v>
      </c>
      <c r="E1287" t="s">
        <v>2434</v>
      </c>
    </row>
    <row r="1288" spans="1:5" x14ac:dyDescent="0.2">
      <c r="A1288" t="s">
        <v>466</v>
      </c>
      <c r="B1288">
        <v>651</v>
      </c>
      <c r="C1288" t="s">
        <v>2600</v>
      </c>
      <c r="E1288" t="s">
        <v>2601</v>
      </c>
    </row>
    <row r="1289" spans="1:5" x14ac:dyDescent="0.2">
      <c r="A1289" t="s">
        <v>466</v>
      </c>
      <c r="B1289">
        <v>608</v>
      </c>
      <c r="C1289" t="s">
        <v>2760</v>
      </c>
      <c r="E1289" t="s">
        <v>3308</v>
      </c>
    </row>
    <row r="1290" spans="1:5" x14ac:dyDescent="0.2">
      <c r="A1290" t="s">
        <v>539</v>
      </c>
      <c r="B1290">
        <v>655</v>
      </c>
      <c r="C1290" t="s">
        <v>2779</v>
      </c>
      <c r="D1290" t="s">
        <v>3309</v>
      </c>
      <c r="E1290" t="s">
        <v>2781</v>
      </c>
    </row>
    <row r="1291" spans="1:5" x14ac:dyDescent="0.2">
      <c r="A1291" t="s">
        <v>466</v>
      </c>
      <c r="B1291">
        <v>610</v>
      </c>
      <c r="C1291" t="s">
        <v>2546</v>
      </c>
      <c r="E1291" t="s">
        <v>2547</v>
      </c>
    </row>
    <row r="1292" spans="1:5" x14ac:dyDescent="0.2">
      <c r="A1292" t="s">
        <v>550</v>
      </c>
      <c r="B1292">
        <v>835</v>
      </c>
      <c r="C1292" t="s">
        <v>3287</v>
      </c>
      <c r="D1292" t="s">
        <v>3287</v>
      </c>
      <c r="E1292" t="s">
        <v>3288</v>
      </c>
    </row>
    <row r="1293" spans="1:5" x14ac:dyDescent="0.2">
      <c r="A1293" t="s">
        <v>505</v>
      </c>
      <c r="B1293">
        <v>505</v>
      </c>
      <c r="C1293" t="s">
        <v>2426</v>
      </c>
      <c r="D1293" t="s">
        <v>3310</v>
      </c>
      <c r="E1293" t="s">
        <v>2428</v>
      </c>
    </row>
    <row r="1294" spans="1:5" x14ac:dyDescent="0.2">
      <c r="A1294" t="s">
        <v>650</v>
      </c>
      <c r="B1294">
        <v>656</v>
      </c>
      <c r="C1294" t="s">
        <v>2620</v>
      </c>
      <c r="D1294" t="s">
        <v>3311</v>
      </c>
      <c r="E1294" t="s">
        <v>2621</v>
      </c>
    </row>
    <row r="1295" spans="1:5" x14ac:dyDescent="0.2">
      <c r="A1295" t="s">
        <v>650</v>
      </c>
      <c r="B1295">
        <v>885</v>
      </c>
      <c r="C1295" t="s">
        <v>2386</v>
      </c>
      <c r="D1295" t="s">
        <v>3312</v>
      </c>
      <c r="E1295" t="s">
        <v>3027</v>
      </c>
    </row>
    <row r="1296" spans="1:5" x14ac:dyDescent="0.2">
      <c r="A1296" t="s">
        <v>413</v>
      </c>
      <c r="B1296">
        <v>685</v>
      </c>
      <c r="C1296" t="s">
        <v>3053</v>
      </c>
      <c r="D1296" t="s">
        <v>3313</v>
      </c>
      <c r="E1296" t="s">
        <v>3054</v>
      </c>
    </row>
    <row r="1297" spans="1:5" x14ac:dyDescent="0.2">
      <c r="A1297" t="s">
        <v>550</v>
      </c>
      <c r="B1297">
        <v>837</v>
      </c>
      <c r="C1297" t="s">
        <v>3298</v>
      </c>
      <c r="E1297" t="s">
        <v>3299</v>
      </c>
    </row>
    <row r="1298" spans="1:5" x14ac:dyDescent="0.2">
      <c r="A1298" t="s">
        <v>567</v>
      </c>
      <c r="B1298">
        <v>885</v>
      </c>
      <c r="C1298" t="s">
        <v>3013</v>
      </c>
      <c r="D1298" t="s">
        <v>3099</v>
      </c>
      <c r="E1298" t="s">
        <v>3093</v>
      </c>
    </row>
    <row r="1299" spans="1:5" x14ac:dyDescent="0.2">
      <c r="A1299" t="s">
        <v>466</v>
      </c>
      <c r="B1299">
        <v>669</v>
      </c>
      <c r="C1299" t="s">
        <v>2401</v>
      </c>
      <c r="E1299" t="s">
        <v>3314</v>
      </c>
    </row>
    <row r="1300" spans="1:5" x14ac:dyDescent="0.2">
      <c r="A1300" t="s">
        <v>505</v>
      </c>
      <c r="B1300">
        <v>505</v>
      </c>
      <c r="C1300" t="s">
        <v>2426</v>
      </c>
      <c r="D1300" t="s">
        <v>3315</v>
      </c>
      <c r="E1300" t="s">
        <v>2428</v>
      </c>
    </row>
    <row r="1301" spans="1:5" x14ac:dyDescent="0.2">
      <c r="A1301" t="s">
        <v>650</v>
      </c>
      <c r="B1301">
        <v>885</v>
      </c>
      <c r="C1301" t="s">
        <v>2386</v>
      </c>
      <c r="D1301" t="s">
        <v>3316</v>
      </c>
      <c r="E1301" t="s">
        <v>3027</v>
      </c>
    </row>
    <row r="1302" spans="1:5" x14ac:dyDescent="0.2">
      <c r="A1302" t="s">
        <v>592</v>
      </c>
      <c r="B1302">
        <v>552</v>
      </c>
      <c r="C1302" t="s">
        <v>2772</v>
      </c>
      <c r="E1302" t="s">
        <v>3268</v>
      </c>
    </row>
    <row r="1303" spans="1:5" x14ac:dyDescent="0.2">
      <c r="A1303" t="s">
        <v>550</v>
      </c>
      <c r="B1303">
        <v>885</v>
      </c>
      <c r="C1303" t="s">
        <v>3013</v>
      </c>
      <c r="D1303" t="s">
        <v>3317</v>
      </c>
      <c r="E1303" t="s">
        <v>3175</v>
      </c>
    </row>
    <row r="1304" spans="1:5" x14ac:dyDescent="0.2">
      <c r="A1304" t="s">
        <v>567</v>
      </c>
      <c r="B1304">
        <v>686</v>
      </c>
      <c r="C1304" t="s">
        <v>2951</v>
      </c>
      <c r="D1304" t="s">
        <v>3318</v>
      </c>
      <c r="E1304" t="s">
        <v>2952</v>
      </c>
    </row>
    <row r="1305" spans="1:5" x14ac:dyDescent="0.2">
      <c r="A1305" t="s">
        <v>505</v>
      </c>
      <c r="B1305">
        <v>796</v>
      </c>
      <c r="C1305" t="s">
        <v>2474</v>
      </c>
      <c r="E1305" t="s">
        <v>2475</v>
      </c>
    </row>
    <row r="1306" spans="1:5" x14ac:dyDescent="0.2">
      <c r="A1306" t="s">
        <v>505</v>
      </c>
      <c r="B1306">
        <v>588</v>
      </c>
      <c r="C1306" t="s">
        <v>3253</v>
      </c>
      <c r="E1306" t="s">
        <v>3254</v>
      </c>
    </row>
    <row r="1307" spans="1:5" x14ac:dyDescent="0.2">
      <c r="A1307" t="s">
        <v>539</v>
      </c>
      <c r="B1307">
        <v>539</v>
      </c>
      <c r="C1307" t="s">
        <v>2580</v>
      </c>
      <c r="E1307" t="s">
        <v>2581</v>
      </c>
    </row>
    <row r="1308" spans="1:5" x14ac:dyDescent="0.2">
      <c r="A1308" t="s">
        <v>539</v>
      </c>
      <c r="B1308">
        <v>658</v>
      </c>
      <c r="C1308" t="s">
        <v>2897</v>
      </c>
      <c r="D1308" t="s">
        <v>3319</v>
      </c>
      <c r="E1308" t="s">
        <v>2898</v>
      </c>
    </row>
    <row r="1309" spans="1:5" x14ac:dyDescent="0.2">
      <c r="A1309" t="s">
        <v>466</v>
      </c>
      <c r="B1309">
        <v>503</v>
      </c>
      <c r="C1309" t="s">
        <v>2433</v>
      </c>
      <c r="E1309" t="s">
        <v>2434</v>
      </c>
    </row>
    <row r="1310" spans="1:5" x14ac:dyDescent="0.2">
      <c r="A1310" t="s">
        <v>567</v>
      </c>
      <c r="B1310">
        <v>940</v>
      </c>
      <c r="C1310" t="s">
        <v>2744</v>
      </c>
      <c r="D1310" t="s">
        <v>3320</v>
      </c>
      <c r="E1310" t="s">
        <v>2745</v>
      </c>
    </row>
    <row r="1311" spans="1:5" x14ac:dyDescent="0.2">
      <c r="A1311" t="s">
        <v>550</v>
      </c>
      <c r="B1311">
        <v>695</v>
      </c>
      <c r="C1311" t="s">
        <v>2582</v>
      </c>
      <c r="D1311" t="s">
        <v>3321</v>
      </c>
      <c r="E1311" t="s">
        <v>2584</v>
      </c>
    </row>
    <row r="1312" spans="1:5" x14ac:dyDescent="0.2">
      <c r="A1312" t="s">
        <v>466</v>
      </c>
      <c r="B1312">
        <v>709</v>
      </c>
      <c r="C1312" t="s">
        <v>3217</v>
      </c>
      <c r="E1312" t="s">
        <v>3322</v>
      </c>
    </row>
    <row r="1313" spans="1:5" x14ac:dyDescent="0.2">
      <c r="A1313" t="s">
        <v>567</v>
      </c>
      <c r="B1313">
        <v>546</v>
      </c>
      <c r="C1313" t="s">
        <v>2442</v>
      </c>
      <c r="D1313" t="s">
        <v>3323</v>
      </c>
      <c r="E1313" t="s">
        <v>2443</v>
      </c>
    </row>
    <row r="1314" spans="1:5" x14ac:dyDescent="0.2">
      <c r="A1314" t="s">
        <v>505</v>
      </c>
      <c r="B1314">
        <v>685</v>
      </c>
      <c r="C1314" t="s">
        <v>3324</v>
      </c>
      <c r="D1314" t="s">
        <v>3325</v>
      </c>
      <c r="E1314" t="s">
        <v>3326</v>
      </c>
    </row>
    <row r="1315" spans="1:5" x14ac:dyDescent="0.2">
      <c r="A1315" t="s">
        <v>567</v>
      </c>
      <c r="B1315">
        <v>940</v>
      </c>
      <c r="C1315" t="s">
        <v>2744</v>
      </c>
      <c r="D1315" t="s">
        <v>2744</v>
      </c>
      <c r="E1315" t="s">
        <v>2745</v>
      </c>
    </row>
    <row r="1316" spans="1:5" x14ac:dyDescent="0.2">
      <c r="A1316" t="s">
        <v>592</v>
      </c>
      <c r="B1316">
        <v>783</v>
      </c>
      <c r="C1316" t="s">
        <v>3327</v>
      </c>
      <c r="E1316" t="s">
        <v>3328</v>
      </c>
    </row>
    <row r="1317" spans="1:5" x14ac:dyDescent="0.2">
      <c r="A1317" t="s">
        <v>413</v>
      </c>
      <c r="B1317">
        <v>940</v>
      </c>
      <c r="C1317" t="s">
        <v>2858</v>
      </c>
      <c r="D1317" t="s">
        <v>3329</v>
      </c>
      <c r="E1317" t="s">
        <v>2859</v>
      </c>
    </row>
    <row r="1318" spans="1:5" x14ac:dyDescent="0.2">
      <c r="A1318" t="s">
        <v>567</v>
      </c>
      <c r="B1318">
        <v>885</v>
      </c>
      <c r="C1318" t="s">
        <v>3013</v>
      </c>
      <c r="D1318" t="s">
        <v>3330</v>
      </c>
      <c r="E1318" t="s">
        <v>3093</v>
      </c>
    </row>
    <row r="1319" spans="1:5" x14ac:dyDescent="0.2">
      <c r="A1319" t="s">
        <v>413</v>
      </c>
      <c r="B1319">
        <v>880</v>
      </c>
      <c r="C1319" t="s">
        <v>3004</v>
      </c>
      <c r="D1319" t="s">
        <v>3331</v>
      </c>
      <c r="E1319" t="s">
        <v>3332</v>
      </c>
    </row>
    <row r="1320" spans="1:5" x14ac:dyDescent="0.2">
      <c r="A1320" t="s">
        <v>413</v>
      </c>
      <c r="B1320">
        <v>885</v>
      </c>
      <c r="C1320" t="s">
        <v>2389</v>
      </c>
      <c r="D1320" t="s">
        <v>3333</v>
      </c>
      <c r="E1320" t="s">
        <v>3334</v>
      </c>
    </row>
    <row r="1321" spans="1:5" x14ac:dyDescent="0.2">
      <c r="A1321" t="s">
        <v>567</v>
      </c>
      <c r="B1321">
        <v>885</v>
      </c>
      <c r="C1321" t="s">
        <v>3013</v>
      </c>
      <c r="D1321" t="s">
        <v>3335</v>
      </c>
      <c r="E1321" t="s">
        <v>3093</v>
      </c>
    </row>
    <row r="1322" spans="1:5" x14ac:dyDescent="0.2">
      <c r="A1322" t="s">
        <v>650</v>
      </c>
      <c r="B1322">
        <v>809</v>
      </c>
      <c r="C1322" t="s">
        <v>2953</v>
      </c>
      <c r="E1322" t="s">
        <v>2954</v>
      </c>
    </row>
    <row r="1323" spans="1:5" x14ac:dyDescent="0.2">
      <c r="A1323" t="s">
        <v>466</v>
      </c>
      <c r="B1323">
        <v>677</v>
      </c>
      <c r="C1323" t="s">
        <v>3336</v>
      </c>
      <c r="E1323" t="s">
        <v>3337</v>
      </c>
    </row>
    <row r="1324" spans="1:5" x14ac:dyDescent="0.2">
      <c r="A1324" t="s">
        <v>567</v>
      </c>
      <c r="B1324">
        <v>885</v>
      </c>
      <c r="C1324" t="s">
        <v>3013</v>
      </c>
      <c r="D1324" t="s">
        <v>3338</v>
      </c>
      <c r="E1324" t="s">
        <v>3093</v>
      </c>
    </row>
    <row r="1325" spans="1:5" x14ac:dyDescent="0.2">
      <c r="A1325" t="s">
        <v>539</v>
      </c>
      <c r="B1325">
        <v>885</v>
      </c>
      <c r="C1325" t="s">
        <v>2389</v>
      </c>
      <c r="D1325" t="s">
        <v>3339</v>
      </c>
      <c r="E1325" t="s">
        <v>2391</v>
      </c>
    </row>
    <row r="1326" spans="1:5" x14ac:dyDescent="0.2">
      <c r="A1326" t="s">
        <v>567</v>
      </c>
      <c r="B1326">
        <v>612</v>
      </c>
      <c r="C1326" t="s">
        <v>2818</v>
      </c>
      <c r="E1326" t="s">
        <v>3340</v>
      </c>
    </row>
    <row r="1327" spans="1:5" x14ac:dyDescent="0.2">
      <c r="A1327" t="s">
        <v>539</v>
      </c>
      <c r="B1327">
        <v>885</v>
      </c>
      <c r="C1327" t="s">
        <v>2389</v>
      </c>
      <c r="D1327" t="s">
        <v>3036</v>
      </c>
      <c r="E1327" t="s">
        <v>2391</v>
      </c>
    </row>
    <row r="1328" spans="1:5" x14ac:dyDescent="0.2">
      <c r="A1328" t="s">
        <v>550</v>
      </c>
      <c r="B1328">
        <v>618</v>
      </c>
      <c r="C1328" t="s">
        <v>2701</v>
      </c>
      <c r="E1328" t="s">
        <v>2702</v>
      </c>
    </row>
    <row r="1329" spans="1:5" x14ac:dyDescent="0.2">
      <c r="A1329" t="s">
        <v>466</v>
      </c>
      <c r="B1329">
        <v>655</v>
      </c>
      <c r="C1329" t="s">
        <v>2616</v>
      </c>
      <c r="E1329" t="s">
        <v>3341</v>
      </c>
    </row>
    <row r="1330" spans="1:5" x14ac:dyDescent="0.2">
      <c r="A1330" t="s">
        <v>466</v>
      </c>
      <c r="B1330">
        <v>541</v>
      </c>
      <c r="C1330" t="s">
        <v>2404</v>
      </c>
      <c r="E1330" t="s">
        <v>2405</v>
      </c>
    </row>
    <row r="1331" spans="1:5" x14ac:dyDescent="0.2">
      <c r="A1331" t="s">
        <v>592</v>
      </c>
      <c r="B1331">
        <v>627</v>
      </c>
      <c r="C1331" t="s">
        <v>2873</v>
      </c>
      <c r="E1331" t="s">
        <v>3342</v>
      </c>
    </row>
    <row r="1332" spans="1:5" x14ac:dyDescent="0.2">
      <c r="A1332" t="s">
        <v>592</v>
      </c>
      <c r="B1332">
        <v>516</v>
      </c>
      <c r="C1332" t="s">
        <v>2461</v>
      </c>
      <c r="E1332" t="s">
        <v>2464</v>
      </c>
    </row>
    <row r="1333" spans="1:5" x14ac:dyDescent="0.2">
      <c r="A1333" t="s">
        <v>592</v>
      </c>
      <c r="B1333">
        <v>555</v>
      </c>
      <c r="C1333" t="s">
        <v>2415</v>
      </c>
      <c r="E1333" t="s">
        <v>2660</v>
      </c>
    </row>
    <row r="1334" spans="1:5" x14ac:dyDescent="0.2">
      <c r="A1334" t="s">
        <v>505</v>
      </c>
      <c r="B1334">
        <v>796</v>
      </c>
      <c r="C1334" t="s">
        <v>2474</v>
      </c>
      <c r="E1334" t="s">
        <v>2475</v>
      </c>
    </row>
    <row r="1335" spans="1:5" x14ac:dyDescent="0.2">
      <c r="A1335" t="s">
        <v>567</v>
      </c>
      <c r="B1335">
        <v>885</v>
      </c>
      <c r="C1335" t="s">
        <v>3013</v>
      </c>
      <c r="D1335" t="s">
        <v>3343</v>
      </c>
      <c r="E1335" t="s">
        <v>3093</v>
      </c>
    </row>
    <row r="1336" spans="1:5" x14ac:dyDescent="0.2">
      <c r="A1336" t="s">
        <v>650</v>
      </c>
      <c r="B1336">
        <v>885</v>
      </c>
      <c r="C1336" t="s">
        <v>2386</v>
      </c>
      <c r="D1336" t="s">
        <v>3344</v>
      </c>
      <c r="E1336" t="s">
        <v>3027</v>
      </c>
    </row>
    <row r="1337" spans="1:5" x14ac:dyDescent="0.2">
      <c r="A1337" t="s">
        <v>466</v>
      </c>
      <c r="B1337">
        <v>749</v>
      </c>
      <c r="C1337" t="s">
        <v>2438</v>
      </c>
      <c r="E1337" t="s">
        <v>3345</v>
      </c>
    </row>
    <row r="1338" spans="1:5" x14ac:dyDescent="0.2">
      <c r="A1338" t="s">
        <v>592</v>
      </c>
      <c r="B1338">
        <v>557</v>
      </c>
      <c r="C1338" t="s">
        <v>3258</v>
      </c>
      <c r="D1338" t="s">
        <v>3346</v>
      </c>
      <c r="E1338" t="s">
        <v>3259</v>
      </c>
    </row>
    <row r="1339" spans="1:5" x14ac:dyDescent="0.2">
      <c r="A1339" t="s">
        <v>592</v>
      </c>
      <c r="B1339">
        <v>774</v>
      </c>
      <c r="C1339" t="s">
        <v>3347</v>
      </c>
      <c r="E1339" t="s">
        <v>3348</v>
      </c>
    </row>
    <row r="1340" spans="1:5" x14ac:dyDescent="0.2">
      <c r="A1340" t="s">
        <v>592</v>
      </c>
      <c r="B1340">
        <v>778</v>
      </c>
      <c r="C1340" t="s">
        <v>3191</v>
      </c>
      <c r="E1340" t="s">
        <v>3349</v>
      </c>
    </row>
    <row r="1341" spans="1:5" x14ac:dyDescent="0.2">
      <c r="A1341" t="s">
        <v>592</v>
      </c>
      <c r="B1341">
        <v>744</v>
      </c>
      <c r="C1341" t="s">
        <v>3020</v>
      </c>
      <c r="E1341" t="s">
        <v>3350</v>
      </c>
    </row>
    <row r="1342" spans="1:5" x14ac:dyDescent="0.2">
      <c r="A1342" t="s">
        <v>505</v>
      </c>
      <c r="B1342">
        <v>785</v>
      </c>
      <c r="C1342" t="s">
        <v>3351</v>
      </c>
      <c r="E1342" t="s">
        <v>3352</v>
      </c>
    </row>
    <row r="1343" spans="1:5" x14ac:dyDescent="0.2">
      <c r="A1343" t="s">
        <v>592</v>
      </c>
      <c r="B1343">
        <v>739</v>
      </c>
      <c r="C1343" t="s">
        <v>3353</v>
      </c>
      <c r="E1343" t="s">
        <v>3354</v>
      </c>
    </row>
    <row r="1344" spans="1:5" x14ac:dyDescent="0.2">
      <c r="A1344" t="s">
        <v>466</v>
      </c>
      <c r="B1344">
        <v>870</v>
      </c>
      <c r="C1344" t="s">
        <v>3046</v>
      </c>
      <c r="D1344" t="s">
        <v>3355</v>
      </c>
      <c r="E1344" t="s">
        <v>3356</v>
      </c>
    </row>
    <row r="1345" spans="1:5" x14ac:dyDescent="0.2">
      <c r="A1345" t="s">
        <v>413</v>
      </c>
      <c r="B1345">
        <v>880</v>
      </c>
      <c r="C1345" t="s">
        <v>3004</v>
      </c>
      <c r="D1345" t="s">
        <v>3357</v>
      </c>
      <c r="E1345" t="s">
        <v>3332</v>
      </c>
    </row>
    <row r="1346" spans="1:5" x14ac:dyDescent="0.2">
      <c r="A1346" t="s">
        <v>550</v>
      </c>
      <c r="B1346">
        <v>835</v>
      </c>
      <c r="C1346" t="s">
        <v>3287</v>
      </c>
      <c r="E1346" t="s">
        <v>3288</v>
      </c>
    </row>
    <row r="1347" spans="1:5" x14ac:dyDescent="0.2">
      <c r="A1347" t="s">
        <v>550</v>
      </c>
      <c r="B1347">
        <v>834</v>
      </c>
      <c r="C1347" t="s">
        <v>3358</v>
      </c>
      <c r="E1347" t="s">
        <v>3359</v>
      </c>
    </row>
    <row r="1348" spans="1:5" x14ac:dyDescent="0.2">
      <c r="A1348" t="s">
        <v>567</v>
      </c>
      <c r="B1348">
        <v>810</v>
      </c>
      <c r="C1348" t="s">
        <v>2446</v>
      </c>
      <c r="E1348" t="s">
        <v>3360</v>
      </c>
    </row>
    <row r="1349" spans="1:5" x14ac:dyDescent="0.2">
      <c r="A1349" t="s">
        <v>466</v>
      </c>
      <c r="B1349">
        <v>652</v>
      </c>
      <c r="C1349" t="s">
        <v>3209</v>
      </c>
      <c r="E1349" t="s">
        <v>3361</v>
      </c>
    </row>
    <row r="1350" spans="1:5" x14ac:dyDescent="0.2">
      <c r="A1350" t="s">
        <v>592</v>
      </c>
      <c r="B1350">
        <v>562</v>
      </c>
      <c r="C1350" t="s">
        <v>2907</v>
      </c>
      <c r="E1350" t="s">
        <v>3362</v>
      </c>
    </row>
    <row r="1351" spans="1:5" x14ac:dyDescent="0.2">
      <c r="A1351" t="s">
        <v>592</v>
      </c>
      <c r="B1351">
        <v>554</v>
      </c>
      <c r="C1351" t="s">
        <v>3363</v>
      </c>
      <c r="D1351" t="s">
        <v>3364</v>
      </c>
      <c r="E1351" t="s">
        <v>3365</v>
      </c>
    </row>
    <row r="1352" spans="1:5" x14ac:dyDescent="0.2">
      <c r="A1352" t="s">
        <v>539</v>
      </c>
      <c r="B1352">
        <v>808</v>
      </c>
      <c r="C1352" t="s">
        <v>2924</v>
      </c>
      <c r="E1352" t="s">
        <v>3366</v>
      </c>
    </row>
    <row r="1353" spans="1:5" x14ac:dyDescent="0.2">
      <c r="A1353" t="s">
        <v>539</v>
      </c>
      <c r="B1353">
        <v>885</v>
      </c>
      <c r="C1353" t="s">
        <v>2389</v>
      </c>
      <c r="D1353" t="s">
        <v>3367</v>
      </c>
      <c r="E1353" t="s">
        <v>2391</v>
      </c>
    </row>
    <row r="1354" spans="1:5" x14ac:dyDescent="0.2">
      <c r="A1354" t="s">
        <v>650</v>
      </c>
      <c r="B1354">
        <v>885</v>
      </c>
      <c r="C1354" t="s">
        <v>2386</v>
      </c>
      <c r="D1354" t="s">
        <v>3368</v>
      </c>
      <c r="E1354" t="s">
        <v>3027</v>
      </c>
    </row>
    <row r="1355" spans="1:5" x14ac:dyDescent="0.2">
      <c r="A1355" t="s">
        <v>650</v>
      </c>
      <c r="B1355">
        <v>940</v>
      </c>
      <c r="C1355" t="s">
        <v>2946</v>
      </c>
      <c r="D1355" t="s">
        <v>3369</v>
      </c>
      <c r="E1355" t="s">
        <v>2947</v>
      </c>
    </row>
    <row r="1356" spans="1:5" x14ac:dyDescent="0.2">
      <c r="A1356" t="s">
        <v>466</v>
      </c>
      <c r="B1356">
        <v>607</v>
      </c>
      <c r="C1356" t="s">
        <v>3370</v>
      </c>
      <c r="E1356" t="s">
        <v>3371</v>
      </c>
    </row>
    <row r="1357" spans="1:5" x14ac:dyDescent="0.2">
      <c r="A1357" t="s">
        <v>567</v>
      </c>
      <c r="B1357">
        <v>940</v>
      </c>
      <c r="C1357" t="s">
        <v>2744</v>
      </c>
      <c r="D1357" t="s">
        <v>3372</v>
      </c>
      <c r="E1357" t="s">
        <v>2745</v>
      </c>
    </row>
    <row r="1358" spans="1:5" x14ac:dyDescent="0.2">
      <c r="A1358" t="s">
        <v>550</v>
      </c>
      <c r="B1358">
        <v>625</v>
      </c>
      <c r="C1358" t="s">
        <v>3373</v>
      </c>
      <c r="E1358" t="s">
        <v>3374</v>
      </c>
    </row>
    <row r="1359" spans="1:5" x14ac:dyDescent="0.2">
      <c r="A1359" t="s">
        <v>567</v>
      </c>
      <c r="B1359">
        <v>940</v>
      </c>
      <c r="C1359" t="s">
        <v>2744</v>
      </c>
      <c r="D1359" t="s">
        <v>3375</v>
      </c>
      <c r="E1359" t="s">
        <v>2745</v>
      </c>
    </row>
    <row r="1360" spans="1:5" x14ac:dyDescent="0.2">
      <c r="A1360" t="s">
        <v>592</v>
      </c>
      <c r="B1360">
        <v>603</v>
      </c>
      <c r="C1360" t="s">
        <v>3376</v>
      </c>
      <c r="E1360" t="s">
        <v>3377</v>
      </c>
    </row>
    <row r="1361" spans="1:5" x14ac:dyDescent="0.2">
      <c r="A1361" t="s">
        <v>592</v>
      </c>
      <c r="B1361">
        <v>554</v>
      </c>
      <c r="C1361" t="s">
        <v>3363</v>
      </c>
      <c r="D1361" t="s">
        <v>3378</v>
      </c>
      <c r="E1361" t="s">
        <v>3365</v>
      </c>
    </row>
    <row r="1362" spans="1:5" x14ac:dyDescent="0.2">
      <c r="A1362" t="s">
        <v>466</v>
      </c>
      <c r="B1362">
        <v>564</v>
      </c>
      <c r="C1362" t="s">
        <v>3379</v>
      </c>
      <c r="E1362" t="s">
        <v>3380</v>
      </c>
    </row>
    <row r="1363" spans="1:5" x14ac:dyDescent="0.2">
      <c r="A1363" t="s">
        <v>466</v>
      </c>
      <c r="B1363">
        <v>930</v>
      </c>
      <c r="C1363" t="s">
        <v>3381</v>
      </c>
      <c r="D1363" t="s">
        <v>3382</v>
      </c>
      <c r="E1363" t="s">
        <v>3383</v>
      </c>
    </row>
    <row r="1364" spans="1:5" x14ac:dyDescent="0.2">
      <c r="A1364" t="s">
        <v>505</v>
      </c>
      <c r="B1364">
        <v>810</v>
      </c>
      <c r="C1364" t="s">
        <v>3037</v>
      </c>
      <c r="D1364" t="s">
        <v>3037</v>
      </c>
      <c r="E1364" t="s">
        <v>3038</v>
      </c>
    </row>
    <row r="1365" spans="1:5" x14ac:dyDescent="0.2">
      <c r="A1365" t="s">
        <v>592</v>
      </c>
      <c r="B1365">
        <v>632</v>
      </c>
      <c r="C1365" t="s">
        <v>3384</v>
      </c>
      <c r="D1365" t="s">
        <v>2988</v>
      </c>
      <c r="E1365" t="s">
        <v>3385</v>
      </c>
    </row>
    <row r="1366" spans="1:5" x14ac:dyDescent="0.2">
      <c r="A1366" t="s">
        <v>650</v>
      </c>
      <c r="B1366">
        <v>885</v>
      </c>
      <c r="C1366" t="s">
        <v>2386</v>
      </c>
      <c r="D1366" t="s">
        <v>3386</v>
      </c>
      <c r="E1366" t="s">
        <v>3027</v>
      </c>
    </row>
    <row r="1367" spans="1:5" x14ac:dyDescent="0.2">
      <c r="A1367" t="s">
        <v>650</v>
      </c>
      <c r="B1367">
        <v>649</v>
      </c>
      <c r="C1367" t="s">
        <v>2979</v>
      </c>
      <c r="D1367" t="s">
        <v>3387</v>
      </c>
      <c r="E1367" t="s">
        <v>2980</v>
      </c>
    </row>
    <row r="1368" spans="1:5" x14ac:dyDescent="0.2">
      <c r="A1368" t="s">
        <v>592</v>
      </c>
      <c r="B1368">
        <v>637</v>
      </c>
      <c r="C1368" t="s">
        <v>2498</v>
      </c>
      <c r="E1368" t="s">
        <v>2508</v>
      </c>
    </row>
    <row r="1369" spans="1:5" x14ac:dyDescent="0.2">
      <c r="A1369" t="s">
        <v>539</v>
      </c>
      <c r="B1369">
        <v>885</v>
      </c>
      <c r="C1369" t="s">
        <v>2389</v>
      </c>
      <c r="D1369" t="s">
        <v>3388</v>
      </c>
      <c r="E1369" t="s">
        <v>2391</v>
      </c>
    </row>
    <row r="1370" spans="1:5" x14ac:dyDescent="0.2">
      <c r="A1370" t="s">
        <v>539</v>
      </c>
      <c r="B1370">
        <v>885</v>
      </c>
      <c r="C1370" t="s">
        <v>2389</v>
      </c>
      <c r="D1370" t="s">
        <v>3389</v>
      </c>
      <c r="E1370" t="s">
        <v>2391</v>
      </c>
    </row>
    <row r="1371" spans="1:5" x14ac:dyDescent="0.2">
      <c r="A1371" t="s">
        <v>413</v>
      </c>
      <c r="B1371">
        <v>640</v>
      </c>
      <c r="C1371" t="s">
        <v>2893</v>
      </c>
      <c r="D1371" t="s">
        <v>3390</v>
      </c>
      <c r="E1371" t="s">
        <v>2894</v>
      </c>
    </row>
    <row r="1372" spans="1:5" x14ac:dyDescent="0.2">
      <c r="A1372" t="s">
        <v>592</v>
      </c>
      <c r="B1372">
        <v>632</v>
      </c>
      <c r="C1372" t="s">
        <v>3384</v>
      </c>
      <c r="D1372" t="s">
        <v>2988</v>
      </c>
      <c r="E1372" t="s">
        <v>3385</v>
      </c>
    </row>
    <row r="1373" spans="1:5" x14ac:dyDescent="0.2">
      <c r="A1373" t="s">
        <v>505</v>
      </c>
      <c r="B1373">
        <v>530</v>
      </c>
      <c r="C1373" t="s">
        <v>2511</v>
      </c>
      <c r="E1373" t="s">
        <v>2512</v>
      </c>
    </row>
    <row r="1374" spans="1:5" x14ac:dyDescent="0.2">
      <c r="A1374" t="s">
        <v>505</v>
      </c>
      <c r="B1374">
        <v>505</v>
      </c>
      <c r="C1374" t="s">
        <v>2426</v>
      </c>
      <c r="D1374" t="s">
        <v>3391</v>
      </c>
      <c r="E1374" t="s">
        <v>2428</v>
      </c>
    </row>
    <row r="1375" spans="1:5" x14ac:dyDescent="0.2">
      <c r="A1375" t="s">
        <v>592</v>
      </c>
      <c r="B1375">
        <v>637</v>
      </c>
      <c r="C1375" t="s">
        <v>2498</v>
      </c>
      <c r="E1375" t="s">
        <v>2508</v>
      </c>
    </row>
    <row r="1376" spans="1:5" x14ac:dyDescent="0.2">
      <c r="A1376" t="s">
        <v>550</v>
      </c>
      <c r="B1376">
        <v>632</v>
      </c>
      <c r="C1376" t="s">
        <v>3392</v>
      </c>
      <c r="E1376" t="s">
        <v>3393</v>
      </c>
    </row>
    <row r="1377" spans="1:5" x14ac:dyDescent="0.2">
      <c r="A1377" t="s">
        <v>466</v>
      </c>
      <c r="B1377">
        <v>615</v>
      </c>
      <c r="C1377" t="s">
        <v>3063</v>
      </c>
      <c r="E1377" t="s">
        <v>3251</v>
      </c>
    </row>
    <row r="1378" spans="1:5" x14ac:dyDescent="0.2">
      <c r="A1378" t="s">
        <v>505</v>
      </c>
      <c r="B1378">
        <v>505</v>
      </c>
      <c r="C1378" t="s">
        <v>2426</v>
      </c>
      <c r="D1378" t="s">
        <v>3394</v>
      </c>
      <c r="E1378" t="s">
        <v>2428</v>
      </c>
    </row>
    <row r="1379" spans="1:5" x14ac:dyDescent="0.2">
      <c r="A1379" t="s">
        <v>592</v>
      </c>
      <c r="B1379">
        <v>567</v>
      </c>
      <c r="C1379" t="s">
        <v>2740</v>
      </c>
      <c r="E1379" t="s">
        <v>3395</v>
      </c>
    </row>
    <row r="1380" spans="1:5" x14ac:dyDescent="0.2">
      <c r="A1380" t="s">
        <v>592</v>
      </c>
      <c r="B1380">
        <v>654</v>
      </c>
      <c r="C1380" t="s">
        <v>3157</v>
      </c>
      <c r="E1380" t="s">
        <v>3396</v>
      </c>
    </row>
    <row r="1381" spans="1:5" x14ac:dyDescent="0.2">
      <c r="A1381" t="s">
        <v>505</v>
      </c>
      <c r="B1381">
        <v>505</v>
      </c>
      <c r="C1381" t="s">
        <v>2426</v>
      </c>
      <c r="D1381" t="s">
        <v>3397</v>
      </c>
      <c r="E1381" t="s">
        <v>2428</v>
      </c>
    </row>
    <row r="1382" spans="1:5" x14ac:dyDescent="0.2">
      <c r="A1382" t="s">
        <v>592</v>
      </c>
      <c r="B1382">
        <v>536</v>
      </c>
      <c r="C1382" t="s">
        <v>2824</v>
      </c>
      <c r="E1382" t="s">
        <v>3398</v>
      </c>
    </row>
    <row r="1383" spans="1:5" x14ac:dyDescent="0.2">
      <c r="A1383" t="s">
        <v>413</v>
      </c>
      <c r="B1383">
        <v>880</v>
      </c>
      <c r="C1383" t="s">
        <v>3004</v>
      </c>
      <c r="D1383" t="s">
        <v>3399</v>
      </c>
      <c r="E1383" t="s">
        <v>3332</v>
      </c>
    </row>
    <row r="1384" spans="1:5" x14ac:dyDescent="0.2">
      <c r="A1384" t="s">
        <v>592</v>
      </c>
      <c r="B1384">
        <v>656</v>
      </c>
      <c r="C1384" t="s">
        <v>2650</v>
      </c>
      <c r="E1384" t="s">
        <v>2651</v>
      </c>
    </row>
    <row r="1385" spans="1:5" x14ac:dyDescent="0.2">
      <c r="A1385" t="s">
        <v>592</v>
      </c>
      <c r="B1385">
        <v>742</v>
      </c>
      <c r="C1385" t="s">
        <v>2632</v>
      </c>
      <c r="E1385" t="s">
        <v>2633</v>
      </c>
    </row>
    <row r="1386" spans="1:5" x14ac:dyDescent="0.2">
      <c r="A1386" t="s">
        <v>592</v>
      </c>
      <c r="B1386">
        <v>776</v>
      </c>
      <c r="C1386" t="s">
        <v>2630</v>
      </c>
      <c r="E1386" t="s">
        <v>2631</v>
      </c>
    </row>
    <row r="1387" spans="1:5" x14ac:dyDescent="0.2">
      <c r="A1387" t="s">
        <v>592</v>
      </c>
      <c r="B1387">
        <v>748</v>
      </c>
      <c r="C1387" t="s">
        <v>3069</v>
      </c>
      <c r="E1387" t="s">
        <v>3400</v>
      </c>
    </row>
    <row r="1388" spans="1:5" x14ac:dyDescent="0.2">
      <c r="A1388" t="s">
        <v>505</v>
      </c>
      <c r="B1388">
        <v>796</v>
      </c>
      <c r="C1388" t="s">
        <v>2474</v>
      </c>
      <c r="E1388" t="s">
        <v>2475</v>
      </c>
    </row>
    <row r="1389" spans="1:5" x14ac:dyDescent="0.2">
      <c r="A1389" t="s">
        <v>592</v>
      </c>
      <c r="B1389">
        <v>609</v>
      </c>
      <c r="C1389" t="s">
        <v>3120</v>
      </c>
      <c r="E1389" t="s">
        <v>3401</v>
      </c>
    </row>
    <row r="1390" spans="1:5" x14ac:dyDescent="0.2">
      <c r="A1390" t="s">
        <v>592</v>
      </c>
      <c r="B1390">
        <v>710</v>
      </c>
      <c r="C1390" t="s">
        <v>3402</v>
      </c>
      <c r="E1390" t="s">
        <v>3403</v>
      </c>
    </row>
    <row r="1391" spans="1:5" x14ac:dyDescent="0.2">
      <c r="A1391" t="s">
        <v>505</v>
      </c>
      <c r="B1391">
        <v>505</v>
      </c>
      <c r="C1391" t="s">
        <v>2426</v>
      </c>
      <c r="D1391" t="s">
        <v>3404</v>
      </c>
      <c r="E1391" t="s">
        <v>2428</v>
      </c>
    </row>
    <row r="1392" spans="1:5" x14ac:dyDescent="0.2">
      <c r="A1392" t="s">
        <v>650</v>
      </c>
      <c r="B1392">
        <v>885</v>
      </c>
      <c r="C1392" t="s">
        <v>2386</v>
      </c>
      <c r="D1392" t="s">
        <v>3405</v>
      </c>
      <c r="E1392" t="s">
        <v>3027</v>
      </c>
    </row>
    <row r="1393" spans="1:5" x14ac:dyDescent="0.2">
      <c r="A1393" t="s">
        <v>539</v>
      </c>
      <c r="B1393">
        <v>885</v>
      </c>
      <c r="C1393" t="s">
        <v>2389</v>
      </c>
      <c r="D1393" t="s">
        <v>3406</v>
      </c>
      <c r="E1393" t="s">
        <v>2391</v>
      </c>
    </row>
    <row r="1394" spans="1:5" x14ac:dyDescent="0.2">
      <c r="A1394" t="s">
        <v>413</v>
      </c>
      <c r="B1394">
        <v>684</v>
      </c>
      <c r="C1394" t="s">
        <v>3407</v>
      </c>
      <c r="E1394" t="s">
        <v>3408</v>
      </c>
    </row>
    <row r="1395" spans="1:5" x14ac:dyDescent="0.2">
      <c r="A1395" t="s">
        <v>413</v>
      </c>
      <c r="B1395">
        <v>685</v>
      </c>
      <c r="C1395" t="s">
        <v>3053</v>
      </c>
      <c r="D1395" t="s">
        <v>3409</v>
      </c>
      <c r="E1395" t="s">
        <v>3054</v>
      </c>
    </row>
    <row r="1396" spans="1:5" x14ac:dyDescent="0.2">
      <c r="A1396" t="s">
        <v>413</v>
      </c>
      <c r="B1396">
        <v>695</v>
      </c>
      <c r="C1396" t="s">
        <v>3004</v>
      </c>
      <c r="D1396" t="s">
        <v>3410</v>
      </c>
      <c r="E1396" t="s">
        <v>3005</v>
      </c>
    </row>
    <row r="1397" spans="1:5" x14ac:dyDescent="0.2">
      <c r="A1397" t="s">
        <v>466</v>
      </c>
      <c r="B1397">
        <v>610</v>
      </c>
      <c r="C1397" t="s">
        <v>2546</v>
      </c>
      <c r="E1397" t="s">
        <v>2547</v>
      </c>
    </row>
    <row r="1398" spans="1:5" x14ac:dyDescent="0.2">
      <c r="A1398" t="s">
        <v>650</v>
      </c>
      <c r="B1398">
        <v>885</v>
      </c>
      <c r="C1398" t="s">
        <v>2386</v>
      </c>
      <c r="D1398" t="s">
        <v>3411</v>
      </c>
      <c r="E1398" t="s">
        <v>3027</v>
      </c>
    </row>
    <row r="1399" spans="1:5" x14ac:dyDescent="0.2">
      <c r="A1399" t="s">
        <v>382</v>
      </c>
      <c r="B1399">
        <v>815</v>
      </c>
      <c r="C1399" t="s">
        <v>3412</v>
      </c>
      <c r="E1399" t="s">
        <v>3413</v>
      </c>
    </row>
    <row r="1400" spans="1:5" x14ac:dyDescent="0.2">
      <c r="A1400" t="s">
        <v>550</v>
      </c>
      <c r="B1400">
        <v>655</v>
      </c>
      <c r="C1400" t="s">
        <v>3414</v>
      </c>
      <c r="E1400" t="s">
        <v>3415</v>
      </c>
    </row>
    <row r="1401" spans="1:5" x14ac:dyDescent="0.2">
      <c r="A1401" t="s">
        <v>550</v>
      </c>
      <c r="B1401">
        <v>695</v>
      </c>
      <c r="C1401" t="s">
        <v>2582</v>
      </c>
      <c r="D1401" t="s">
        <v>3416</v>
      </c>
      <c r="E1401" t="s">
        <v>2584</v>
      </c>
    </row>
    <row r="1402" spans="1:5" x14ac:dyDescent="0.2">
      <c r="A1402" t="s">
        <v>539</v>
      </c>
      <c r="B1402">
        <v>608</v>
      </c>
      <c r="C1402" t="s">
        <v>2924</v>
      </c>
      <c r="E1402" t="s">
        <v>2925</v>
      </c>
    </row>
    <row r="1403" spans="1:5" x14ac:dyDescent="0.2">
      <c r="A1403" t="s">
        <v>567</v>
      </c>
      <c r="B1403">
        <v>940</v>
      </c>
      <c r="C1403" t="s">
        <v>2744</v>
      </c>
      <c r="E1403" t="s">
        <v>2745</v>
      </c>
    </row>
    <row r="1404" spans="1:5" x14ac:dyDescent="0.2">
      <c r="A1404" t="s">
        <v>550</v>
      </c>
      <c r="B1404">
        <v>880</v>
      </c>
      <c r="C1404" t="s">
        <v>3417</v>
      </c>
      <c r="E1404" t="s">
        <v>3418</v>
      </c>
    </row>
    <row r="1405" spans="1:5" x14ac:dyDescent="0.2">
      <c r="A1405" t="s">
        <v>550</v>
      </c>
      <c r="B1405">
        <v>820</v>
      </c>
      <c r="C1405" t="s">
        <v>2807</v>
      </c>
      <c r="E1405" t="s">
        <v>3419</v>
      </c>
    </row>
    <row r="1406" spans="1:5" x14ac:dyDescent="0.2">
      <c r="A1406" t="s">
        <v>550</v>
      </c>
      <c r="B1406">
        <v>829</v>
      </c>
      <c r="C1406" t="s">
        <v>3420</v>
      </c>
      <c r="E1406" t="s">
        <v>3421</v>
      </c>
    </row>
    <row r="1407" spans="1:5" x14ac:dyDescent="0.2">
      <c r="A1407" t="s">
        <v>550</v>
      </c>
      <c r="B1407">
        <v>838</v>
      </c>
      <c r="C1407" t="s">
        <v>3422</v>
      </c>
      <c r="E1407" t="s">
        <v>3423</v>
      </c>
    </row>
    <row r="1408" spans="1:5" x14ac:dyDescent="0.2">
      <c r="A1408" t="s">
        <v>550</v>
      </c>
      <c r="B1408">
        <v>840</v>
      </c>
      <c r="C1408" t="s">
        <v>3296</v>
      </c>
      <c r="E1408" t="s">
        <v>3297</v>
      </c>
    </row>
    <row r="1409" spans="1:5" x14ac:dyDescent="0.2">
      <c r="A1409" t="s">
        <v>592</v>
      </c>
      <c r="B1409">
        <v>549</v>
      </c>
      <c r="C1409" t="s">
        <v>3100</v>
      </c>
      <c r="E1409" t="s">
        <v>3273</v>
      </c>
    </row>
    <row r="1410" spans="1:5" x14ac:dyDescent="0.2">
      <c r="A1410" t="s">
        <v>505</v>
      </c>
      <c r="B1410">
        <v>788</v>
      </c>
      <c r="C1410" t="s">
        <v>2476</v>
      </c>
      <c r="E1410" t="s">
        <v>2477</v>
      </c>
    </row>
    <row r="1411" spans="1:5" x14ac:dyDescent="0.2">
      <c r="A1411" t="s">
        <v>466</v>
      </c>
      <c r="B1411">
        <v>830</v>
      </c>
      <c r="C1411" t="s">
        <v>3008</v>
      </c>
      <c r="E1411" t="s">
        <v>3424</v>
      </c>
    </row>
    <row r="1412" spans="1:5" x14ac:dyDescent="0.2">
      <c r="A1412" t="s">
        <v>592</v>
      </c>
      <c r="B1412">
        <v>781</v>
      </c>
      <c r="C1412" t="s">
        <v>3425</v>
      </c>
      <c r="E1412" t="s">
        <v>3426</v>
      </c>
    </row>
    <row r="1413" spans="1:5" x14ac:dyDescent="0.2">
      <c r="A1413" t="s">
        <v>592</v>
      </c>
      <c r="B1413">
        <v>632</v>
      </c>
      <c r="C1413" t="s">
        <v>3384</v>
      </c>
      <c r="D1413" t="s">
        <v>3427</v>
      </c>
      <c r="E1413" t="s">
        <v>3385</v>
      </c>
    </row>
    <row r="1414" spans="1:5" x14ac:dyDescent="0.2">
      <c r="A1414" t="s">
        <v>550</v>
      </c>
      <c r="B1414">
        <v>810</v>
      </c>
      <c r="C1414" t="s">
        <v>3428</v>
      </c>
      <c r="D1414" t="s">
        <v>2386</v>
      </c>
      <c r="E1414" t="s">
        <v>3429</v>
      </c>
    </row>
    <row r="1415" spans="1:5" x14ac:dyDescent="0.2">
      <c r="A1415" t="s">
        <v>592</v>
      </c>
      <c r="B1415">
        <v>554</v>
      </c>
      <c r="C1415" t="s">
        <v>3363</v>
      </c>
      <c r="E1415" t="s">
        <v>3365</v>
      </c>
    </row>
    <row r="1416" spans="1:5" x14ac:dyDescent="0.2">
      <c r="A1416" t="s">
        <v>539</v>
      </c>
      <c r="B1416">
        <v>885</v>
      </c>
      <c r="C1416" t="s">
        <v>2389</v>
      </c>
      <c r="D1416" t="s">
        <v>3430</v>
      </c>
      <c r="E1416" t="s">
        <v>2391</v>
      </c>
    </row>
    <row r="1417" spans="1:5" x14ac:dyDescent="0.2">
      <c r="A1417" t="s">
        <v>413</v>
      </c>
      <c r="B1417">
        <v>880</v>
      </c>
      <c r="C1417" t="s">
        <v>3004</v>
      </c>
      <c r="D1417" t="s">
        <v>3431</v>
      </c>
      <c r="E1417" t="s">
        <v>3332</v>
      </c>
    </row>
    <row r="1418" spans="1:5" x14ac:dyDescent="0.2">
      <c r="A1418" t="s">
        <v>382</v>
      </c>
      <c r="B1418">
        <v>615</v>
      </c>
      <c r="C1418" t="s">
        <v>2448</v>
      </c>
      <c r="E1418" t="s">
        <v>2449</v>
      </c>
    </row>
    <row r="1419" spans="1:5" x14ac:dyDescent="0.2">
      <c r="A1419" t="s">
        <v>567</v>
      </c>
      <c r="B1419">
        <v>615</v>
      </c>
      <c r="C1419" t="s">
        <v>2448</v>
      </c>
      <c r="E1419" t="s">
        <v>3432</v>
      </c>
    </row>
    <row r="1420" spans="1:5" x14ac:dyDescent="0.2">
      <c r="A1420" t="s">
        <v>567</v>
      </c>
      <c r="B1420">
        <v>885</v>
      </c>
      <c r="C1420" t="s">
        <v>3013</v>
      </c>
      <c r="D1420" t="s">
        <v>3433</v>
      </c>
      <c r="E1420" t="s">
        <v>3093</v>
      </c>
    </row>
    <row r="1421" spans="1:5" x14ac:dyDescent="0.2">
      <c r="A1421" t="s">
        <v>592</v>
      </c>
      <c r="B1421">
        <v>554</v>
      </c>
      <c r="C1421" t="s">
        <v>3363</v>
      </c>
      <c r="E1421" t="s">
        <v>3365</v>
      </c>
    </row>
    <row r="1422" spans="1:5" x14ac:dyDescent="0.2">
      <c r="A1422" t="s">
        <v>413</v>
      </c>
      <c r="B1422">
        <v>885</v>
      </c>
      <c r="C1422" t="s">
        <v>2389</v>
      </c>
      <c r="D1422" t="s">
        <v>3434</v>
      </c>
      <c r="E1422" t="s">
        <v>3334</v>
      </c>
    </row>
    <row r="1423" spans="1:5" x14ac:dyDescent="0.2">
      <c r="A1423" t="s">
        <v>567</v>
      </c>
      <c r="B1423">
        <v>885</v>
      </c>
      <c r="C1423" t="s">
        <v>3013</v>
      </c>
      <c r="D1423" t="s">
        <v>3435</v>
      </c>
      <c r="E1423" t="s">
        <v>3093</v>
      </c>
    </row>
    <row r="1424" spans="1:5" x14ac:dyDescent="0.2">
      <c r="A1424" t="s">
        <v>650</v>
      </c>
      <c r="B1424">
        <v>885</v>
      </c>
      <c r="C1424" t="s">
        <v>2386</v>
      </c>
      <c r="D1424" t="s">
        <v>3436</v>
      </c>
      <c r="E1424" t="s">
        <v>3027</v>
      </c>
    </row>
    <row r="1425" spans="1:5" x14ac:dyDescent="0.2">
      <c r="A1425" t="s">
        <v>413</v>
      </c>
      <c r="B1425">
        <v>885</v>
      </c>
      <c r="C1425" t="s">
        <v>2389</v>
      </c>
      <c r="D1425" t="s">
        <v>3437</v>
      </c>
      <c r="E1425" t="s">
        <v>3334</v>
      </c>
    </row>
    <row r="1426" spans="1:5" x14ac:dyDescent="0.2">
      <c r="A1426" t="s">
        <v>567</v>
      </c>
      <c r="B1426">
        <v>885</v>
      </c>
      <c r="C1426" t="s">
        <v>3013</v>
      </c>
      <c r="D1426" t="s">
        <v>3438</v>
      </c>
      <c r="E1426" t="s">
        <v>3093</v>
      </c>
    </row>
    <row r="1427" spans="1:5" x14ac:dyDescent="0.2">
      <c r="A1427" t="s">
        <v>413</v>
      </c>
      <c r="B1427">
        <v>885</v>
      </c>
      <c r="C1427" t="s">
        <v>2389</v>
      </c>
      <c r="D1427" t="s">
        <v>3439</v>
      </c>
      <c r="E1427" t="s">
        <v>3334</v>
      </c>
    </row>
    <row r="1428" spans="1:5" x14ac:dyDescent="0.2">
      <c r="A1428" t="s">
        <v>567</v>
      </c>
      <c r="B1428">
        <v>604</v>
      </c>
      <c r="C1428" t="s">
        <v>2973</v>
      </c>
      <c r="D1428" t="s">
        <v>3440</v>
      </c>
      <c r="E1428" t="s">
        <v>3441</v>
      </c>
    </row>
    <row r="1429" spans="1:5" x14ac:dyDescent="0.2">
      <c r="A1429" t="s">
        <v>650</v>
      </c>
      <c r="B1429">
        <v>885</v>
      </c>
      <c r="C1429" t="s">
        <v>2386</v>
      </c>
      <c r="D1429" t="s">
        <v>3442</v>
      </c>
      <c r="E1429" t="s">
        <v>3027</v>
      </c>
    </row>
    <row r="1430" spans="1:5" x14ac:dyDescent="0.2">
      <c r="A1430" t="s">
        <v>466</v>
      </c>
      <c r="B1430">
        <v>678</v>
      </c>
      <c r="C1430" t="s">
        <v>2727</v>
      </c>
      <c r="E1430" t="s">
        <v>3443</v>
      </c>
    </row>
    <row r="1431" spans="1:5" x14ac:dyDescent="0.2">
      <c r="A1431" t="s">
        <v>567</v>
      </c>
      <c r="B1431">
        <v>686</v>
      </c>
      <c r="C1431" t="s">
        <v>2951</v>
      </c>
      <c r="D1431" t="s">
        <v>3444</v>
      </c>
      <c r="E1431" t="s">
        <v>2952</v>
      </c>
    </row>
    <row r="1432" spans="1:5" x14ac:dyDescent="0.2">
      <c r="A1432" t="s">
        <v>567</v>
      </c>
      <c r="B1432">
        <v>940</v>
      </c>
      <c r="C1432" t="s">
        <v>2744</v>
      </c>
      <c r="D1432" t="s">
        <v>3445</v>
      </c>
      <c r="E1432" t="s">
        <v>2745</v>
      </c>
    </row>
    <row r="1433" spans="1:5" x14ac:dyDescent="0.2">
      <c r="A1433" t="s">
        <v>382</v>
      </c>
      <c r="B1433">
        <v>625</v>
      </c>
      <c r="C1433" t="s">
        <v>3446</v>
      </c>
      <c r="E1433" t="s">
        <v>3447</v>
      </c>
    </row>
    <row r="1434" spans="1:5" x14ac:dyDescent="0.2">
      <c r="A1434" t="s">
        <v>650</v>
      </c>
      <c r="B1434">
        <v>885</v>
      </c>
      <c r="C1434" t="s">
        <v>2386</v>
      </c>
      <c r="D1434" t="s">
        <v>3448</v>
      </c>
      <c r="E1434" t="s">
        <v>3027</v>
      </c>
    </row>
    <row r="1435" spans="1:5" x14ac:dyDescent="0.2">
      <c r="A1435" t="s">
        <v>650</v>
      </c>
      <c r="B1435">
        <v>885</v>
      </c>
      <c r="C1435" t="s">
        <v>2386</v>
      </c>
      <c r="D1435" t="s">
        <v>3449</v>
      </c>
      <c r="E1435" t="s">
        <v>3027</v>
      </c>
    </row>
    <row r="1436" spans="1:5" x14ac:dyDescent="0.2">
      <c r="A1436" t="s">
        <v>382</v>
      </c>
      <c r="B1436">
        <v>885</v>
      </c>
      <c r="C1436" t="s">
        <v>3450</v>
      </c>
      <c r="D1436" t="s">
        <v>3451</v>
      </c>
      <c r="E1436" t="s">
        <v>3452</v>
      </c>
    </row>
    <row r="1437" spans="1:5" x14ac:dyDescent="0.2">
      <c r="A1437" t="s">
        <v>382</v>
      </c>
      <c r="B1437">
        <v>885</v>
      </c>
      <c r="C1437" t="s">
        <v>3450</v>
      </c>
      <c r="D1437" t="s">
        <v>3453</v>
      </c>
      <c r="E1437" t="s">
        <v>3452</v>
      </c>
    </row>
    <row r="1438" spans="1:5" x14ac:dyDescent="0.2">
      <c r="A1438" t="s">
        <v>592</v>
      </c>
      <c r="B1438">
        <v>633</v>
      </c>
      <c r="C1438" t="s">
        <v>3454</v>
      </c>
      <c r="E1438" t="s">
        <v>3455</v>
      </c>
    </row>
    <row r="1439" spans="1:5" x14ac:dyDescent="0.2">
      <c r="A1439" t="s">
        <v>550</v>
      </c>
      <c r="B1439">
        <v>667</v>
      </c>
      <c r="C1439" t="s">
        <v>3456</v>
      </c>
      <c r="E1439" t="s">
        <v>3457</v>
      </c>
    </row>
    <row r="1440" spans="1:5" x14ac:dyDescent="0.2">
      <c r="A1440" t="s">
        <v>466</v>
      </c>
      <c r="B1440">
        <v>705</v>
      </c>
      <c r="C1440" t="s">
        <v>2468</v>
      </c>
      <c r="E1440" t="s">
        <v>2523</v>
      </c>
    </row>
    <row r="1441" spans="1:5" x14ac:dyDescent="0.2">
      <c r="A1441" t="s">
        <v>505</v>
      </c>
      <c r="B1441">
        <v>790</v>
      </c>
      <c r="C1441" t="s">
        <v>2470</v>
      </c>
      <c r="D1441" t="s">
        <v>3458</v>
      </c>
      <c r="E1441" t="s">
        <v>2471</v>
      </c>
    </row>
    <row r="1442" spans="1:5" x14ac:dyDescent="0.2">
      <c r="A1442" t="s">
        <v>567</v>
      </c>
      <c r="B1442">
        <v>885</v>
      </c>
      <c r="C1442" t="s">
        <v>3013</v>
      </c>
      <c r="D1442" t="s">
        <v>3459</v>
      </c>
      <c r="E1442" t="s">
        <v>3093</v>
      </c>
    </row>
    <row r="1443" spans="1:5" x14ac:dyDescent="0.2">
      <c r="A1443" t="s">
        <v>592</v>
      </c>
      <c r="B1443">
        <v>760</v>
      </c>
      <c r="C1443" t="s">
        <v>2530</v>
      </c>
      <c r="E1443" t="s">
        <v>2596</v>
      </c>
    </row>
    <row r="1444" spans="1:5" x14ac:dyDescent="0.2">
      <c r="A1444" t="s">
        <v>592</v>
      </c>
      <c r="B1444">
        <v>747</v>
      </c>
      <c r="C1444" t="s">
        <v>2560</v>
      </c>
      <c r="E1444" t="s">
        <v>2561</v>
      </c>
    </row>
    <row r="1445" spans="1:5" x14ac:dyDescent="0.2">
      <c r="A1445" t="s">
        <v>382</v>
      </c>
      <c r="B1445">
        <v>604</v>
      </c>
      <c r="C1445" t="s">
        <v>2973</v>
      </c>
      <c r="D1445" t="s">
        <v>3440</v>
      </c>
      <c r="E1445" t="s">
        <v>2974</v>
      </c>
    </row>
    <row r="1446" spans="1:5" x14ac:dyDescent="0.2">
      <c r="A1446" t="s">
        <v>505</v>
      </c>
      <c r="B1446">
        <v>505</v>
      </c>
      <c r="C1446" t="s">
        <v>2426</v>
      </c>
      <c r="D1446" t="s">
        <v>3397</v>
      </c>
      <c r="E1446" t="s">
        <v>2428</v>
      </c>
    </row>
    <row r="1447" spans="1:5" x14ac:dyDescent="0.2">
      <c r="A1447" t="s">
        <v>592</v>
      </c>
      <c r="B1447">
        <v>543</v>
      </c>
      <c r="C1447" t="s">
        <v>2494</v>
      </c>
      <c r="E1447" t="s">
        <v>2503</v>
      </c>
    </row>
    <row r="1448" spans="1:5" x14ac:dyDescent="0.2">
      <c r="A1448" t="s">
        <v>505</v>
      </c>
      <c r="B1448">
        <v>505</v>
      </c>
      <c r="C1448" t="s">
        <v>2426</v>
      </c>
      <c r="D1448" t="s">
        <v>3460</v>
      </c>
      <c r="E1448" t="s">
        <v>2428</v>
      </c>
    </row>
    <row r="1449" spans="1:5" x14ac:dyDescent="0.2">
      <c r="A1449" t="s">
        <v>592</v>
      </c>
      <c r="B1449">
        <v>514</v>
      </c>
      <c r="C1449" t="s">
        <v>2663</v>
      </c>
      <c r="E1449" t="s">
        <v>2666</v>
      </c>
    </row>
    <row r="1450" spans="1:5" x14ac:dyDescent="0.2">
      <c r="A1450" t="s">
        <v>539</v>
      </c>
      <c r="B1450">
        <v>885</v>
      </c>
      <c r="C1450" t="s">
        <v>2389</v>
      </c>
      <c r="D1450" t="s">
        <v>3086</v>
      </c>
      <c r="E1450" t="s">
        <v>2391</v>
      </c>
    </row>
    <row r="1451" spans="1:5" x14ac:dyDescent="0.2">
      <c r="A1451" t="s">
        <v>505</v>
      </c>
      <c r="B1451">
        <v>505</v>
      </c>
      <c r="C1451" t="s">
        <v>2426</v>
      </c>
      <c r="D1451" t="s">
        <v>3461</v>
      </c>
      <c r="E1451" t="s">
        <v>2428</v>
      </c>
    </row>
    <row r="1452" spans="1:5" x14ac:dyDescent="0.2">
      <c r="A1452" t="s">
        <v>466</v>
      </c>
      <c r="B1452">
        <v>636</v>
      </c>
      <c r="C1452" t="s">
        <v>3462</v>
      </c>
      <c r="E1452" t="s">
        <v>3463</v>
      </c>
    </row>
    <row r="1453" spans="1:5" x14ac:dyDescent="0.2">
      <c r="A1453" t="s">
        <v>592</v>
      </c>
      <c r="B1453">
        <v>632</v>
      </c>
      <c r="C1453" t="s">
        <v>3384</v>
      </c>
      <c r="D1453" t="s">
        <v>3464</v>
      </c>
      <c r="E1453" t="s">
        <v>3385</v>
      </c>
    </row>
    <row r="1454" spans="1:5" x14ac:dyDescent="0.2">
      <c r="A1454" t="s">
        <v>505</v>
      </c>
      <c r="B1454">
        <v>505</v>
      </c>
      <c r="C1454" t="s">
        <v>2426</v>
      </c>
      <c r="D1454" t="s">
        <v>3465</v>
      </c>
      <c r="E1454" t="s">
        <v>2428</v>
      </c>
    </row>
    <row r="1455" spans="1:5" x14ac:dyDescent="0.2">
      <c r="A1455" t="s">
        <v>567</v>
      </c>
      <c r="B1455">
        <v>940</v>
      </c>
      <c r="C1455" t="s">
        <v>2744</v>
      </c>
      <c r="D1455" t="s">
        <v>3466</v>
      </c>
      <c r="E1455" t="s">
        <v>2745</v>
      </c>
    </row>
    <row r="1456" spans="1:5" x14ac:dyDescent="0.2">
      <c r="A1456" t="s">
        <v>413</v>
      </c>
      <c r="B1456">
        <v>685</v>
      </c>
      <c r="C1456" t="s">
        <v>3053</v>
      </c>
      <c r="D1456" t="s">
        <v>3467</v>
      </c>
      <c r="E1456" t="s">
        <v>3054</v>
      </c>
    </row>
    <row r="1457" spans="1:5" x14ac:dyDescent="0.2">
      <c r="A1457" t="s">
        <v>505</v>
      </c>
      <c r="B1457">
        <v>505</v>
      </c>
      <c r="C1457" t="s">
        <v>2426</v>
      </c>
      <c r="D1457" t="s">
        <v>3468</v>
      </c>
      <c r="E1457" t="s">
        <v>2428</v>
      </c>
    </row>
    <row r="1458" spans="1:5" x14ac:dyDescent="0.2">
      <c r="A1458" t="s">
        <v>650</v>
      </c>
      <c r="B1458">
        <v>885</v>
      </c>
      <c r="C1458" t="s">
        <v>2386</v>
      </c>
      <c r="D1458" t="s">
        <v>3469</v>
      </c>
      <c r="E1458" t="s">
        <v>3027</v>
      </c>
    </row>
    <row r="1459" spans="1:5" x14ac:dyDescent="0.2">
      <c r="A1459" t="s">
        <v>650</v>
      </c>
      <c r="B1459">
        <v>885</v>
      </c>
      <c r="C1459" t="s">
        <v>2386</v>
      </c>
      <c r="D1459" t="s">
        <v>3405</v>
      </c>
      <c r="E1459" t="s">
        <v>3027</v>
      </c>
    </row>
    <row r="1460" spans="1:5" x14ac:dyDescent="0.2">
      <c r="A1460" t="s">
        <v>505</v>
      </c>
      <c r="B1460">
        <v>628</v>
      </c>
      <c r="C1460" t="s">
        <v>2684</v>
      </c>
      <c r="E1460" t="s">
        <v>2685</v>
      </c>
    </row>
    <row r="1461" spans="1:5" x14ac:dyDescent="0.2">
      <c r="A1461" t="s">
        <v>413</v>
      </c>
      <c r="B1461">
        <v>940</v>
      </c>
      <c r="C1461" t="s">
        <v>2858</v>
      </c>
      <c r="D1461" t="s">
        <v>3470</v>
      </c>
      <c r="E1461" t="s">
        <v>2859</v>
      </c>
    </row>
    <row r="1462" spans="1:5" x14ac:dyDescent="0.2">
      <c r="A1462" t="s">
        <v>505</v>
      </c>
      <c r="B1462">
        <v>790</v>
      </c>
      <c r="C1462" t="s">
        <v>2470</v>
      </c>
      <c r="E1462" t="s">
        <v>2471</v>
      </c>
    </row>
    <row r="1463" spans="1:5" x14ac:dyDescent="0.2">
      <c r="A1463" t="s">
        <v>466</v>
      </c>
      <c r="B1463">
        <v>950</v>
      </c>
      <c r="C1463" t="s">
        <v>3471</v>
      </c>
      <c r="E1463" t="s">
        <v>3472</v>
      </c>
    </row>
    <row r="1464" spans="1:5" x14ac:dyDescent="0.2">
      <c r="A1464" t="s">
        <v>567</v>
      </c>
      <c r="B1464">
        <v>820</v>
      </c>
      <c r="C1464" t="s">
        <v>3473</v>
      </c>
      <c r="E1464" t="s">
        <v>3474</v>
      </c>
    </row>
    <row r="1465" spans="1:5" x14ac:dyDescent="0.2">
      <c r="A1465" t="s">
        <v>413</v>
      </c>
      <c r="B1465">
        <v>880</v>
      </c>
      <c r="C1465" t="s">
        <v>3004</v>
      </c>
      <c r="D1465" t="s">
        <v>3475</v>
      </c>
      <c r="E1465" t="s">
        <v>3332</v>
      </c>
    </row>
    <row r="1466" spans="1:5" x14ac:dyDescent="0.2">
      <c r="A1466" t="s">
        <v>539</v>
      </c>
      <c r="B1466">
        <v>648</v>
      </c>
      <c r="C1466" t="s">
        <v>2681</v>
      </c>
      <c r="E1466" t="s">
        <v>3102</v>
      </c>
    </row>
    <row r="1467" spans="1:5" x14ac:dyDescent="0.2">
      <c r="A1467" t="s">
        <v>592</v>
      </c>
      <c r="B1467">
        <v>632</v>
      </c>
      <c r="C1467" t="s">
        <v>3384</v>
      </c>
      <c r="D1467" t="s">
        <v>3476</v>
      </c>
      <c r="E1467" t="s">
        <v>3385</v>
      </c>
    </row>
    <row r="1468" spans="1:5" x14ac:dyDescent="0.2">
      <c r="A1468" t="s">
        <v>567</v>
      </c>
      <c r="B1468">
        <v>945</v>
      </c>
      <c r="C1468" t="s">
        <v>2764</v>
      </c>
      <c r="E1468" t="s">
        <v>2765</v>
      </c>
    </row>
    <row r="1469" spans="1:5" x14ac:dyDescent="0.2">
      <c r="A1469" t="s">
        <v>592</v>
      </c>
      <c r="B1469">
        <v>562</v>
      </c>
      <c r="C1469" t="s">
        <v>2907</v>
      </c>
      <c r="E1469" t="s">
        <v>3362</v>
      </c>
    </row>
    <row r="1470" spans="1:5" x14ac:dyDescent="0.2">
      <c r="A1470" t="s">
        <v>413</v>
      </c>
      <c r="B1470">
        <v>685</v>
      </c>
      <c r="C1470" t="s">
        <v>3053</v>
      </c>
      <c r="D1470" t="s">
        <v>3477</v>
      </c>
      <c r="E1470" t="s">
        <v>3054</v>
      </c>
    </row>
    <row r="1471" spans="1:5" x14ac:dyDescent="0.2">
      <c r="A1471" t="s">
        <v>567</v>
      </c>
      <c r="B1471">
        <v>686</v>
      </c>
      <c r="C1471" t="s">
        <v>2951</v>
      </c>
      <c r="D1471" t="s">
        <v>3478</v>
      </c>
      <c r="E1471" t="s">
        <v>2952</v>
      </c>
    </row>
    <row r="1472" spans="1:5" x14ac:dyDescent="0.2">
      <c r="A1472" t="s">
        <v>413</v>
      </c>
      <c r="B1472">
        <v>685</v>
      </c>
      <c r="C1472" t="s">
        <v>3053</v>
      </c>
      <c r="D1472" t="s">
        <v>3477</v>
      </c>
      <c r="E1472" t="s">
        <v>3054</v>
      </c>
    </row>
    <row r="1473" spans="1:5" x14ac:dyDescent="0.2">
      <c r="A1473" t="s">
        <v>466</v>
      </c>
      <c r="B1473">
        <v>626</v>
      </c>
      <c r="C1473" t="s">
        <v>3479</v>
      </c>
      <c r="E1473" t="s">
        <v>3480</v>
      </c>
    </row>
    <row r="1474" spans="1:5" x14ac:dyDescent="0.2">
      <c r="A1474" t="s">
        <v>505</v>
      </c>
      <c r="B1474">
        <v>505</v>
      </c>
      <c r="C1474" t="s">
        <v>2426</v>
      </c>
      <c r="D1474" t="s">
        <v>3394</v>
      </c>
      <c r="E1474" t="s">
        <v>2428</v>
      </c>
    </row>
    <row r="1475" spans="1:5" x14ac:dyDescent="0.2">
      <c r="A1475" t="s">
        <v>592</v>
      </c>
      <c r="B1475">
        <v>562</v>
      </c>
      <c r="C1475" t="s">
        <v>2907</v>
      </c>
      <c r="E1475" t="s">
        <v>3362</v>
      </c>
    </row>
    <row r="1476" spans="1:5" x14ac:dyDescent="0.2">
      <c r="A1476" t="s">
        <v>505</v>
      </c>
      <c r="B1476">
        <v>505</v>
      </c>
      <c r="C1476" t="s">
        <v>2426</v>
      </c>
      <c r="D1476" t="s">
        <v>3481</v>
      </c>
      <c r="E1476" t="s">
        <v>2428</v>
      </c>
    </row>
    <row r="1477" spans="1:5" x14ac:dyDescent="0.2">
      <c r="A1477" t="s">
        <v>505</v>
      </c>
      <c r="B1477">
        <v>505</v>
      </c>
      <c r="C1477" t="s">
        <v>2426</v>
      </c>
      <c r="D1477" t="s">
        <v>3482</v>
      </c>
      <c r="E1477" t="s">
        <v>2428</v>
      </c>
    </row>
    <row r="1478" spans="1:5" x14ac:dyDescent="0.2">
      <c r="A1478" t="s">
        <v>413</v>
      </c>
      <c r="B1478">
        <v>685</v>
      </c>
      <c r="C1478" t="s">
        <v>3053</v>
      </c>
      <c r="D1478" t="s">
        <v>3483</v>
      </c>
      <c r="E1478" t="s">
        <v>3054</v>
      </c>
    </row>
    <row r="1479" spans="1:5" x14ac:dyDescent="0.2">
      <c r="A1479" t="s">
        <v>413</v>
      </c>
      <c r="B1479">
        <v>674</v>
      </c>
      <c r="C1479" t="s">
        <v>2381</v>
      </c>
      <c r="E1479" t="s">
        <v>2382</v>
      </c>
    </row>
    <row r="1480" spans="1:5" x14ac:dyDescent="0.2">
      <c r="A1480" t="s">
        <v>592</v>
      </c>
      <c r="B1480">
        <v>754</v>
      </c>
      <c r="C1480" t="s">
        <v>2634</v>
      </c>
      <c r="E1480" t="s">
        <v>2635</v>
      </c>
    </row>
    <row r="1481" spans="1:5" x14ac:dyDescent="0.2">
      <c r="A1481" t="s">
        <v>413</v>
      </c>
      <c r="B1481">
        <v>828</v>
      </c>
      <c r="C1481" t="s">
        <v>2766</v>
      </c>
      <c r="E1481" t="s">
        <v>3484</v>
      </c>
    </row>
    <row r="1482" spans="1:5" x14ac:dyDescent="0.2">
      <c r="A1482" t="s">
        <v>505</v>
      </c>
      <c r="B1482">
        <v>505</v>
      </c>
      <c r="C1482" t="s">
        <v>2426</v>
      </c>
      <c r="D1482" t="s">
        <v>3485</v>
      </c>
      <c r="E1482" t="s">
        <v>2428</v>
      </c>
    </row>
    <row r="1483" spans="1:5" x14ac:dyDescent="0.2">
      <c r="A1483" t="s">
        <v>505</v>
      </c>
      <c r="B1483">
        <v>505</v>
      </c>
      <c r="C1483" t="s">
        <v>2426</v>
      </c>
      <c r="D1483" t="s">
        <v>3486</v>
      </c>
      <c r="E1483" t="s">
        <v>2428</v>
      </c>
    </row>
    <row r="1484" spans="1:5" x14ac:dyDescent="0.2">
      <c r="A1484" t="s">
        <v>505</v>
      </c>
      <c r="B1484">
        <v>628</v>
      </c>
      <c r="C1484" t="s">
        <v>2684</v>
      </c>
      <c r="E1484" t="s">
        <v>2685</v>
      </c>
    </row>
    <row r="1485" spans="1:5" x14ac:dyDescent="0.2">
      <c r="A1485" t="s">
        <v>592</v>
      </c>
      <c r="B1485">
        <v>743</v>
      </c>
      <c r="C1485" t="s">
        <v>3487</v>
      </c>
      <c r="E1485" t="s">
        <v>3488</v>
      </c>
    </row>
    <row r="1486" spans="1:5" x14ac:dyDescent="0.2">
      <c r="A1486" t="s">
        <v>567</v>
      </c>
      <c r="B1486">
        <v>940</v>
      </c>
      <c r="C1486" t="s">
        <v>2744</v>
      </c>
      <c r="D1486" t="s">
        <v>3489</v>
      </c>
      <c r="E1486" t="s">
        <v>2745</v>
      </c>
    </row>
    <row r="1487" spans="1:5" x14ac:dyDescent="0.2">
      <c r="A1487" t="s">
        <v>650</v>
      </c>
      <c r="B1487">
        <v>885</v>
      </c>
      <c r="C1487" t="s">
        <v>2386</v>
      </c>
      <c r="D1487" t="s">
        <v>3469</v>
      </c>
      <c r="E1487" t="s">
        <v>3027</v>
      </c>
    </row>
    <row r="1488" spans="1:5" x14ac:dyDescent="0.2">
      <c r="A1488" t="s">
        <v>539</v>
      </c>
      <c r="B1488">
        <v>885</v>
      </c>
      <c r="C1488" t="s">
        <v>2389</v>
      </c>
      <c r="D1488" t="s">
        <v>3490</v>
      </c>
      <c r="E1488" t="s">
        <v>2391</v>
      </c>
    </row>
    <row r="1489" spans="1:5" x14ac:dyDescent="0.2">
      <c r="A1489" t="s">
        <v>539</v>
      </c>
      <c r="B1489">
        <v>885</v>
      </c>
      <c r="C1489" t="s">
        <v>2389</v>
      </c>
      <c r="D1489" t="s">
        <v>3491</v>
      </c>
      <c r="E1489" t="s">
        <v>2391</v>
      </c>
    </row>
    <row r="1490" spans="1:5" x14ac:dyDescent="0.2">
      <c r="A1490" t="s">
        <v>650</v>
      </c>
      <c r="B1490">
        <v>885</v>
      </c>
      <c r="C1490" t="s">
        <v>2386</v>
      </c>
      <c r="D1490" t="s">
        <v>3492</v>
      </c>
      <c r="E1490" t="s">
        <v>3027</v>
      </c>
    </row>
    <row r="1491" spans="1:5" x14ac:dyDescent="0.2">
      <c r="A1491" t="s">
        <v>592</v>
      </c>
      <c r="B1491">
        <v>604</v>
      </c>
      <c r="C1491" t="s">
        <v>2652</v>
      </c>
      <c r="E1491" t="s">
        <v>2653</v>
      </c>
    </row>
    <row r="1492" spans="1:5" x14ac:dyDescent="0.2">
      <c r="A1492" t="s">
        <v>592</v>
      </c>
      <c r="B1492">
        <v>539</v>
      </c>
      <c r="C1492" t="s">
        <v>2436</v>
      </c>
      <c r="E1492" t="s">
        <v>2437</v>
      </c>
    </row>
    <row r="1493" spans="1:5" x14ac:dyDescent="0.2">
      <c r="A1493" t="s">
        <v>650</v>
      </c>
      <c r="B1493">
        <v>640</v>
      </c>
      <c r="C1493" t="s">
        <v>2509</v>
      </c>
      <c r="E1493" t="s">
        <v>2510</v>
      </c>
    </row>
    <row r="1494" spans="1:5" x14ac:dyDescent="0.2">
      <c r="A1494" t="s">
        <v>413</v>
      </c>
      <c r="B1494">
        <v>885</v>
      </c>
      <c r="C1494" t="s">
        <v>2389</v>
      </c>
      <c r="D1494" t="s">
        <v>2386</v>
      </c>
      <c r="E1494" t="s">
        <v>3334</v>
      </c>
    </row>
    <row r="1495" spans="1:5" x14ac:dyDescent="0.2">
      <c r="A1495" t="s">
        <v>650</v>
      </c>
      <c r="B1495">
        <v>695</v>
      </c>
      <c r="C1495" t="s">
        <v>2386</v>
      </c>
      <c r="D1495" t="s">
        <v>3493</v>
      </c>
      <c r="E1495" t="s">
        <v>2488</v>
      </c>
    </row>
    <row r="1496" spans="1:5" x14ac:dyDescent="0.2">
      <c r="A1496" t="s">
        <v>550</v>
      </c>
      <c r="B1496">
        <v>806</v>
      </c>
      <c r="C1496" t="s">
        <v>3294</v>
      </c>
      <c r="E1496" t="s">
        <v>3295</v>
      </c>
    </row>
    <row r="1497" spans="1:5" x14ac:dyDescent="0.2">
      <c r="A1497" t="s">
        <v>550</v>
      </c>
      <c r="B1497">
        <v>870</v>
      </c>
      <c r="C1497" t="s">
        <v>3285</v>
      </c>
      <c r="E1497" t="s">
        <v>3286</v>
      </c>
    </row>
    <row r="1498" spans="1:5" x14ac:dyDescent="0.2">
      <c r="A1498" t="s">
        <v>550</v>
      </c>
      <c r="B1498">
        <v>805</v>
      </c>
      <c r="C1498" t="s">
        <v>3283</v>
      </c>
      <c r="E1498" t="s">
        <v>3284</v>
      </c>
    </row>
    <row r="1499" spans="1:5" x14ac:dyDescent="0.2">
      <c r="A1499" t="s">
        <v>567</v>
      </c>
      <c r="B1499">
        <v>668</v>
      </c>
      <c r="C1499" t="s">
        <v>3161</v>
      </c>
      <c r="D1499" t="s">
        <v>3494</v>
      </c>
      <c r="E1499" t="s">
        <v>3162</v>
      </c>
    </row>
    <row r="1500" spans="1:5" x14ac:dyDescent="0.2">
      <c r="A1500" t="s">
        <v>505</v>
      </c>
      <c r="B1500">
        <v>990</v>
      </c>
      <c r="C1500" t="s">
        <v>3495</v>
      </c>
      <c r="E1500" t="s">
        <v>3496</v>
      </c>
    </row>
    <row r="1501" spans="1:5" x14ac:dyDescent="0.2">
      <c r="A1501" t="s">
        <v>550</v>
      </c>
      <c r="B1501">
        <v>695</v>
      </c>
      <c r="C1501" t="s">
        <v>2582</v>
      </c>
      <c r="D1501" t="s">
        <v>3497</v>
      </c>
      <c r="E1501" t="s">
        <v>2584</v>
      </c>
    </row>
    <row r="1502" spans="1:5" x14ac:dyDescent="0.2">
      <c r="A1502" t="s">
        <v>539</v>
      </c>
      <c r="B1502">
        <v>658</v>
      </c>
      <c r="C1502" t="s">
        <v>2897</v>
      </c>
      <c r="D1502" t="s">
        <v>3498</v>
      </c>
      <c r="E1502" t="s">
        <v>2898</v>
      </c>
    </row>
    <row r="1503" spans="1:5" x14ac:dyDescent="0.2">
      <c r="A1503" t="s">
        <v>413</v>
      </c>
      <c r="B1503">
        <v>880</v>
      </c>
      <c r="C1503" t="s">
        <v>3004</v>
      </c>
      <c r="D1503" t="s">
        <v>3499</v>
      </c>
      <c r="E1503" t="s">
        <v>3332</v>
      </c>
    </row>
    <row r="1504" spans="1:5" x14ac:dyDescent="0.2">
      <c r="A1504" t="s">
        <v>382</v>
      </c>
      <c r="B1504">
        <v>612</v>
      </c>
      <c r="C1504" t="s">
        <v>2818</v>
      </c>
      <c r="D1504" t="s">
        <v>3500</v>
      </c>
      <c r="E1504" t="s">
        <v>2819</v>
      </c>
    </row>
    <row r="1505" spans="1:5" x14ac:dyDescent="0.2">
      <c r="A1505" t="s">
        <v>466</v>
      </c>
      <c r="B1505">
        <v>860</v>
      </c>
      <c r="C1505" t="s">
        <v>2881</v>
      </c>
      <c r="E1505" t="s">
        <v>3501</v>
      </c>
    </row>
    <row r="1506" spans="1:5" x14ac:dyDescent="0.2">
      <c r="A1506" t="s">
        <v>413</v>
      </c>
      <c r="B1506">
        <v>600</v>
      </c>
      <c r="C1506" t="s">
        <v>2689</v>
      </c>
      <c r="E1506" t="s">
        <v>2690</v>
      </c>
    </row>
    <row r="1507" spans="1:5" x14ac:dyDescent="0.2">
      <c r="A1507" t="s">
        <v>413</v>
      </c>
      <c r="B1507">
        <v>685</v>
      </c>
      <c r="C1507" t="s">
        <v>3053</v>
      </c>
      <c r="D1507" t="s">
        <v>3502</v>
      </c>
      <c r="E1507" t="s">
        <v>3054</v>
      </c>
    </row>
    <row r="1508" spans="1:5" x14ac:dyDescent="0.2">
      <c r="A1508" t="s">
        <v>413</v>
      </c>
      <c r="B1508">
        <v>628</v>
      </c>
      <c r="C1508" t="s">
        <v>2677</v>
      </c>
      <c r="E1508" t="s">
        <v>2678</v>
      </c>
    </row>
    <row r="1509" spans="1:5" x14ac:dyDescent="0.2">
      <c r="A1509" t="s">
        <v>413</v>
      </c>
      <c r="B1509">
        <v>814</v>
      </c>
      <c r="C1509" t="s">
        <v>3503</v>
      </c>
      <c r="E1509" t="s">
        <v>3504</v>
      </c>
    </row>
    <row r="1510" spans="1:5" x14ac:dyDescent="0.2">
      <c r="A1510" t="s">
        <v>567</v>
      </c>
      <c r="B1510">
        <v>885</v>
      </c>
      <c r="C1510" t="s">
        <v>3013</v>
      </c>
      <c r="D1510" t="s">
        <v>3505</v>
      </c>
      <c r="E1510" t="s">
        <v>3093</v>
      </c>
    </row>
    <row r="1511" spans="1:5" x14ac:dyDescent="0.2">
      <c r="A1511" t="s">
        <v>539</v>
      </c>
      <c r="B1511">
        <v>885</v>
      </c>
      <c r="C1511" t="s">
        <v>2389</v>
      </c>
      <c r="D1511" t="s">
        <v>3506</v>
      </c>
      <c r="E1511" t="s">
        <v>2391</v>
      </c>
    </row>
    <row r="1512" spans="1:5" x14ac:dyDescent="0.2">
      <c r="A1512" t="s">
        <v>650</v>
      </c>
      <c r="B1512">
        <v>885</v>
      </c>
      <c r="C1512" t="s">
        <v>2386</v>
      </c>
      <c r="D1512" t="s">
        <v>3507</v>
      </c>
      <c r="E1512" t="s">
        <v>3027</v>
      </c>
    </row>
    <row r="1513" spans="1:5" x14ac:dyDescent="0.2">
      <c r="A1513" t="s">
        <v>567</v>
      </c>
      <c r="B1513">
        <v>940</v>
      </c>
      <c r="C1513" t="s">
        <v>2744</v>
      </c>
      <c r="D1513" t="s">
        <v>3508</v>
      </c>
      <c r="E1513" t="s">
        <v>2745</v>
      </c>
    </row>
    <row r="1514" spans="1:5" x14ac:dyDescent="0.2">
      <c r="A1514" t="s">
        <v>413</v>
      </c>
      <c r="B1514">
        <v>685</v>
      </c>
      <c r="C1514" t="s">
        <v>3053</v>
      </c>
      <c r="D1514" t="s">
        <v>3509</v>
      </c>
      <c r="E1514" t="s">
        <v>3054</v>
      </c>
    </row>
    <row r="1515" spans="1:5" x14ac:dyDescent="0.2">
      <c r="A1515" t="s">
        <v>567</v>
      </c>
      <c r="B1515">
        <v>940</v>
      </c>
      <c r="C1515" t="s">
        <v>2744</v>
      </c>
      <c r="D1515" t="s">
        <v>3510</v>
      </c>
      <c r="E1515" t="s">
        <v>2745</v>
      </c>
    </row>
    <row r="1516" spans="1:5" x14ac:dyDescent="0.2">
      <c r="A1516" t="s">
        <v>382</v>
      </c>
      <c r="B1516">
        <v>604</v>
      </c>
      <c r="C1516" t="s">
        <v>2973</v>
      </c>
      <c r="D1516" t="s">
        <v>3511</v>
      </c>
      <c r="E1516" t="s">
        <v>2974</v>
      </c>
    </row>
    <row r="1517" spans="1:5" x14ac:dyDescent="0.2">
      <c r="A1517" t="s">
        <v>539</v>
      </c>
      <c r="B1517">
        <v>885</v>
      </c>
      <c r="C1517" t="s">
        <v>2389</v>
      </c>
      <c r="D1517" t="s">
        <v>3512</v>
      </c>
      <c r="E1517" t="s">
        <v>2391</v>
      </c>
    </row>
    <row r="1518" spans="1:5" x14ac:dyDescent="0.2">
      <c r="A1518" t="s">
        <v>550</v>
      </c>
      <c r="B1518">
        <v>695</v>
      </c>
      <c r="C1518" t="s">
        <v>2582</v>
      </c>
      <c r="D1518" t="s">
        <v>3513</v>
      </c>
      <c r="E1518" t="s">
        <v>2584</v>
      </c>
    </row>
    <row r="1519" spans="1:5" x14ac:dyDescent="0.2">
      <c r="A1519" t="s">
        <v>382</v>
      </c>
      <c r="B1519">
        <v>885</v>
      </c>
      <c r="C1519" t="s">
        <v>3450</v>
      </c>
      <c r="D1519" t="s">
        <v>3514</v>
      </c>
      <c r="E1519" t="s">
        <v>3452</v>
      </c>
    </row>
    <row r="1520" spans="1:5" x14ac:dyDescent="0.2">
      <c r="A1520" t="s">
        <v>567</v>
      </c>
      <c r="B1520">
        <v>612</v>
      </c>
      <c r="C1520" t="s">
        <v>2818</v>
      </c>
      <c r="D1520" t="s">
        <v>3515</v>
      </c>
      <c r="E1520" t="s">
        <v>3340</v>
      </c>
    </row>
    <row r="1521" spans="1:5" x14ac:dyDescent="0.2">
      <c r="A1521" t="s">
        <v>650</v>
      </c>
      <c r="B1521">
        <v>885</v>
      </c>
      <c r="C1521" t="s">
        <v>2386</v>
      </c>
      <c r="D1521" t="s">
        <v>3516</v>
      </c>
      <c r="E1521" t="s">
        <v>3027</v>
      </c>
    </row>
    <row r="1522" spans="1:5" x14ac:dyDescent="0.2">
      <c r="A1522" t="s">
        <v>466</v>
      </c>
      <c r="B1522">
        <v>658</v>
      </c>
      <c r="C1522" t="s">
        <v>2774</v>
      </c>
      <c r="E1522" t="s">
        <v>3517</v>
      </c>
    </row>
    <row r="1523" spans="1:5" x14ac:dyDescent="0.2">
      <c r="A1523" t="s">
        <v>567</v>
      </c>
      <c r="B1523">
        <v>885</v>
      </c>
      <c r="C1523" t="s">
        <v>3013</v>
      </c>
      <c r="D1523" t="s">
        <v>3343</v>
      </c>
      <c r="E1523" t="s">
        <v>3093</v>
      </c>
    </row>
    <row r="1524" spans="1:5" x14ac:dyDescent="0.2">
      <c r="A1524" t="s">
        <v>567</v>
      </c>
      <c r="B1524">
        <v>885</v>
      </c>
      <c r="C1524" t="s">
        <v>3013</v>
      </c>
      <c r="D1524" t="s">
        <v>3518</v>
      </c>
      <c r="E1524" t="s">
        <v>3093</v>
      </c>
    </row>
    <row r="1525" spans="1:5" x14ac:dyDescent="0.2">
      <c r="A1525" t="s">
        <v>413</v>
      </c>
      <c r="B1525">
        <v>940</v>
      </c>
      <c r="C1525" t="s">
        <v>2858</v>
      </c>
      <c r="D1525" t="s">
        <v>3509</v>
      </c>
      <c r="E1525" t="s">
        <v>2859</v>
      </c>
    </row>
    <row r="1526" spans="1:5" x14ac:dyDescent="0.2">
      <c r="A1526" t="s">
        <v>567</v>
      </c>
      <c r="B1526">
        <v>890</v>
      </c>
      <c r="C1526" t="s">
        <v>3519</v>
      </c>
      <c r="D1526" t="s">
        <v>3520</v>
      </c>
      <c r="E1526" t="s">
        <v>3521</v>
      </c>
    </row>
    <row r="1527" spans="1:5" x14ac:dyDescent="0.2">
      <c r="A1527" t="s">
        <v>505</v>
      </c>
      <c r="B1527">
        <v>505</v>
      </c>
      <c r="C1527" t="s">
        <v>2426</v>
      </c>
      <c r="D1527" t="s">
        <v>3522</v>
      </c>
      <c r="E1527" t="s">
        <v>2428</v>
      </c>
    </row>
    <row r="1528" spans="1:5" x14ac:dyDescent="0.2">
      <c r="A1528" t="s">
        <v>592</v>
      </c>
      <c r="B1528">
        <v>613</v>
      </c>
      <c r="C1528" t="s">
        <v>3523</v>
      </c>
      <c r="E1528" t="s">
        <v>3524</v>
      </c>
    </row>
    <row r="1529" spans="1:5" x14ac:dyDescent="0.2">
      <c r="A1529" t="s">
        <v>413</v>
      </c>
      <c r="B1529">
        <v>685</v>
      </c>
      <c r="C1529" t="s">
        <v>3053</v>
      </c>
      <c r="D1529" t="s">
        <v>3502</v>
      </c>
      <c r="E1529" t="s">
        <v>3054</v>
      </c>
    </row>
    <row r="1530" spans="1:5" x14ac:dyDescent="0.2">
      <c r="A1530" t="s">
        <v>505</v>
      </c>
      <c r="B1530">
        <v>505</v>
      </c>
      <c r="C1530" t="s">
        <v>2426</v>
      </c>
      <c r="D1530" t="s">
        <v>3525</v>
      </c>
      <c r="E1530" t="s">
        <v>2428</v>
      </c>
    </row>
    <row r="1531" spans="1:5" x14ac:dyDescent="0.2">
      <c r="A1531" t="s">
        <v>550</v>
      </c>
      <c r="B1531">
        <v>645</v>
      </c>
      <c r="C1531" t="s">
        <v>2608</v>
      </c>
      <c r="E1531" t="s">
        <v>2609</v>
      </c>
    </row>
    <row r="1532" spans="1:5" x14ac:dyDescent="0.2">
      <c r="A1532" t="s">
        <v>413</v>
      </c>
      <c r="B1532">
        <v>940</v>
      </c>
      <c r="C1532" t="s">
        <v>2858</v>
      </c>
      <c r="E1532" t="s">
        <v>2859</v>
      </c>
    </row>
    <row r="1533" spans="1:5" x14ac:dyDescent="0.2">
      <c r="A1533" t="s">
        <v>505</v>
      </c>
      <c r="B1533">
        <v>505</v>
      </c>
      <c r="C1533" t="s">
        <v>2426</v>
      </c>
      <c r="D1533" t="s">
        <v>3526</v>
      </c>
      <c r="E1533" t="s">
        <v>2428</v>
      </c>
    </row>
    <row r="1534" spans="1:5" x14ac:dyDescent="0.2">
      <c r="A1534" t="s">
        <v>466</v>
      </c>
      <c r="B1534">
        <v>950</v>
      </c>
      <c r="C1534" t="s">
        <v>3471</v>
      </c>
      <c r="D1534" t="s">
        <v>3527</v>
      </c>
      <c r="E1534" t="s">
        <v>3472</v>
      </c>
    </row>
    <row r="1535" spans="1:5" x14ac:dyDescent="0.2">
      <c r="A1535" t="s">
        <v>466</v>
      </c>
      <c r="B1535">
        <v>605</v>
      </c>
      <c r="C1535" t="s">
        <v>3528</v>
      </c>
      <c r="E1535" t="s">
        <v>3529</v>
      </c>
    </row>
    <row r="1536" spans="1:5" x14ac:dyDescent="0.2">
      <c r="A1536" t="s">
        <v>505</v>
      </c>
      <c r="B1536">
        <v>505</v>
      </c>
      <c r="C1536" t="s">
        <v>2426</v>
      </c>
      <c r="D1536" t="s">
        <v>3530</v>
      </c>
      <c r="E1536" t="s">
        <v>2428</v>
      </c>
    </row>
    <row r="1537" spans="1:5" x14ac:dyDescent="0.2">
      <c r="A1537" t="s">
        <v>505</v>
      </c>
      <c r="B1537">
        <v>505</v>
      </c>
      <c r="C1537" t="s">
        <v>2426</v>
      </c>
      <c r="D1537" t="s">
        <v>3530</v>
      </c>
      <c r="E1537" t="s">
        <v>2428</v>
      </c>
    </row>
    <row r="1538" spans="1:5" x14ac:dyDescent="0.2">
      <c r="A1538" t="s">
        <v>505</v>
      </c>
      <c r="B1538">
        <v>505</v>
      </c>
      <c r="C1538" t="s">
        <v>2426</v>
      </c>
      <c r="D1538" t="s">
        <v>3530</v>
      </c>
      <c r="E1538" t="s">
        <v>2428</v>
      </c>
    </row>
    <row r="1539" spans="1:5" x14ac:dyDescent="0.2">
      <c r="A1539" t="s">
        <v>539</v>
      </c>
      <c r="B1539">
        <v>679</v>
      </c>
      <c r="C1539" t="s">
        <v>3531</v>
      </c>
      <c r="E1539" t="s">
        <v>3532</v>
      </c>
    </row>
    <row r="1540" spans="1:5" x14ac:dyDescent="0.2">
      <c r="A1540" t="s">
        <v>567</v>
      </c>
      <c r="B1540">
        <v>604</v>
      </c>
      <c r="C1540" t="s">
        <v>2973</v>
      </c>
      <c r="D1540" t="s">
        <v>3533</v>
      </c>
      <c r="E1540" t="s">
        <v>3441</v>
      </c>
    </row>
    <row r="1541" spans="1:5" x14ac:dyDescent="0.2">
      <c r="A1541" t="s">
        <v>650</v>
      </c>
      <c r="B1541">
        <v>885</v>
      </c>
      <c r="C1541" t="s">
        <v>2386</v>
      </c>
      <c r="D1541" t="s">
        <v>3534</v>
      </c>
      <c r="E1541" t="s">
        <v>3027</v>
      </c>
    </row>
    <row r="1542" spans="1:5" x14ac:dyDescent="0.2">
      <c r="A1542" t="s">
        <v>650</v>
      </c>
      <c r="B1542">
        <v>885</v>
      </c>
      <c r="C1542" t="s">
        <v>2386</v>
      </c>
      <c r="D1542" t="s">
        <v>3535</v>
      </c>
      <c r="E1542" t="s">
        <v>3027</v>
      </c>
    </row>
    <row r="1543" spans="1:5" x14ac:dyDescent="0.2">
      <c r="A1543" t="s">
        <v>539</v>
      </c>
      <c r="B1543">
        <v>885</v>
      </c>
      <c r="C1543" t="s">
        <v>2389</v>
      </c>
      <c r="D1543" t="s">
        <v>3536</v>
      </c>
      <c r="E1543" t="s">
        <v>2391</v>
      </c>
    </row>
    <row r="1544" spans="1:5" x14ac:dyDescent="0.2">
      <c r="A1544" t="s">
        <v>567</v>
      </c>
      <c r="B1544">
        <v>615</v>
      </c>
      <c r="C1544" t="s">
        <v>2448</v>
      </c>
      <c r="E1544" t="s">
        <v>3432</v>
      </c>
    </row>
    <row r="1545" spans="1:5" x14ac:dyDescent="0.2">
      <c r="A1545" t="s">
        <v>550</v>
      </c>
      <c r="B1545">
        <v>885</v>
      </c>
      <c r="C1545" t="s">
        <v>3013</v>
      </c>
      <c r="D1545" t="s">
        <v>3537</v>
      </c>
      <c r="E1545" t="s">
        <v>3175</v>
      </c>
    </row>
    <row r="1546" spans="1:5" x14ac:dyDescent="0.2">
      <c r="A1546" t="s">
        <v>466</v>
      </c>
      <c r="B1546">
        <v>664</v>
      </c>
      <c r="C1546" t="s">
        <v>3538</v>
      </c>
      <c r="E1546" t="s">
        <v>3539</v>
      </c>
    </row>
    <row r="1547" spans="1:5" x14ac:dyDescent="0.2">
      <c r="A1547" t="s">
        <v>413</v>
      </c>
      <c r="B1547">
        <v>685</v>
      </c>
      <c r="C1547" t="s">
        <v>3053</v>
      </c>
      <c r="D1547" t="s">
        <v>3540</v>
      </c>
      <c r="E1547" t="s">
        <v>3054</v>
      </c>
    </row>
    <row r="1548" spans="1:5" x14ac:dyDescent="0.2">
      <c r="A1548" t="s">
        <v>505</v>
      </c>
      <c r="B1548">
        <v>505</v>
      </c>
      <c r="C1548" t="s">
        <v>2426</v>
      </c>
      <c r="D1548" t="s">
        <v>3541</v>
      </c>
      <c r="E1548" t="s">
        <v>2428</v>
      </c>
    </row>
    <row r="1549" spans="1:5" x14ac:dyDescent="0.2">
      <c r="A1549" t="s">
        <v>592</v>
      </c>
      <c r="B1549">
        <v>554</v>
      </c>
      <c r="C1549" t="s">
        <v>3363</v>
      </c>
      <c r="D1549" t="s">
        <v>3542</v>
      </c>
      <c r="E1549" t="s">
        <v>3365</v>
      </c>
    </row>
    <row r="1550" spans="1:5" x14ac:dyDescent="0.2">
      <c r="A1550" t="s">
        <v>650</v>
      </c>
      <c r="B1550">
        <v>682</v>
      </c>
      <c r="C1550" t="s">
        <v>3543</v>
      </c>
      <c r="E1550" t="s">
        <v>3544</v>
      </c>
    </row>
    <row r="1551" spans="1:5" x14ac:dyDescent="0.2">
      <c r="A1551" t="s">
        <v>413</v>
      </c>
      <c r="B1551">
        <v>682</v>
      </c>
      <c r="C1551" t="s">
        <v>3545</v>
      </c>
      <c r="D1551" t="s">
        <v>3546</v>
      </c>
      <c r="E1551" t="s">
        <v>3547</v>
      </c>
    </row>
    <row r="1552" spans="1:5" x14ac:dyDescent="0.2">
      <c r="A1552" t="s">
        <v>413</v>
      </c>
      <c r="B1552">
        <v>940</v>
      </c>
      <c r="C1552" t="s">
        <v>2858</v>
      </c>
      <c r="D1552" t="s">
        <v>3546</v>
      </c>
      <c r="E1552" t="s">
        <v>2859</v>
      </c>
    </row>
    <row r="1553" spans="1:5" x14ac:dyDescent="0.2">
      <c r="A1553" t="s">
        <v>650</v>
      </c>
      <c r="B1553">
        <v>964</v>
      </c>
      <c r="C1553" t="s">
        <v>2620</v>
      </c>
      <c r="D1553" t="s">
        <v>3546</v>
      </c>
      <c r="E1553" t="s">
        <v>2909</v>
      </c>
    </row>
    <row r="1554" spans="1:5" x14ac:dyDescent="0.2">
      <c r="A1554" t="s">
        <v>592</v>
      </c>
      <c r="B1554">
        <v>590</v>
      </c>
      <c r="C1554" t="s">
        <v>3548</v>
      </c>
      <c r="E1554" t="s">
        <v>3549</v>
      </c>
    </row>
    <row r="1555" spans="1:5" x14ac:dyDescent="0.2">
      <c r="A1555" t="s">
        <v>567</v>
      </c>
      <c r="B1555">
        <v>675</v>
      </c>
      <c r="C1555" t="s">
        <v>3106</v>
      </c>
      <c r="D1555" t="s">
        <v>3550</v>
      </c>
      <c r="E1555" t="s">
        <v>3107</v>
      </c>
    </row>
    <row r="1556" spans="1:5" x14ac:dyDescent="0.2">
      <c r="A1556" t="s">
        <v>505</v>
      </c>
      <c r="B1556">
        <v>854</v>
      </c>
      <c r="C1556" t="s">
        <v>2958</v>
      </c>
      <c r="E1556" t="s">
        <v>2959</v>
      </c>
    </row>
    <row r="1557" spans="1:5" x14ac:dyDescent="0.2">
      <c r="A1557" t="s">
        <v>413</v>
      </c>
      <c r="B1557">
        <v>660</v>
      </c>
      <c r="C1557" t="s">
        <v>2832</v>
      </c>
      <c r="E1557" t="s">
        <v>2833</v>
      </c>
    </row>
    <row r="1558" spans="1:5" x14ac:dyDescent="0.2">
      <c r="A1558" t="s">
        <v>592</v>
      </c>
      <c r="B1558">
        <v>555</v>
      </c>
      <c r="C1558" t="s">
        <v>2415</v>
      </c>
      <c r="E1558" t="s">
        <v>2660</v>
      </c>
    </row>
    <row r="1559" spans="1:5" x14ac:dyDescent="0.2">
      <c r="A1559" t="s">
        <v>567</v>
      </c>
      <c r="B1559">
        <v>666</v>
      </c>
      <c r="C1559" t="s">
        <v>3551</v>
      </c>
      <c r="E1559" t="s">
        <v>3552</v>
      </c>
    </row>
    <row r="1560" spans="1:5" x14ac:dyDescent="0.2">
      <c r="A1560" t="s">
        <v>466</v>
      </c>
      <c r="B1560">
        <v>680</v>
      </c>
      <c r="C1560" t="s">
        <v>3553</v>
      </c>
      <c r="E1560" t="s">
        <v>3554</v>
      </c>
    </row>
    <row r="1561" spans="1:5" x14ac:dyDescent="0.2">
      <c r="A1561" t="s">
        <v>466</v>
      </c>
      <c r="B1561">
        <v>878</v>
      </c>
      <c r="C1561" t="s">
        <v>3555</v>
      </c>
      <c r="E1561" t="s">
        <v>3556</v>
      </c>
    </row>
    <row r="1562" spans="1:5" x14ac:dyDescent="0.2">
      <c r="A1562" t="s">
        <v>505</v>
      </c>
      <c r="B1562">
        <v>698</v>
      </c>
      <c r="C1562" t="s">
        <v>2944</v>
      </c>
      <c r="E1562" t="s">
        <v>2945</v>
      </c>
    </row>
    <row r="1563" spans="1:5" x14ac:dyDescent="0.2">
      <c r="A1563" t="s">
        <v>650</v>
      </c>
      <c r="B1563">
        <v>695</v>
      </c>
      <c r="C1563" t="s">
        <v>2386</v>
      </c>
      <c r="E1563" t="s">
        <v>2488</v>
      </c>
    </row>
    <row r="1564" spans="1:5" x14ac:dyDescent="0.2">
      <c r="A1564" t="s">
        <v>650</v>
      </c>
      <c r="B1564">
        <v>895</v>
      </c>
      <c r="C1564" t="s">
        <v>3557</v>
      </c>
      <c r="E1564" t="s">
        <v>3558</v>
      </c>
    </row>
    <row r="1565" spans="1:5" x14ac:dyDescent="0.2">
      <c r="A1565" t="s">
        <v>650</v>
      </c>
      <c r="B1565">
        <v>896</v>
      </c>
      <c r="C1565" t="s">
        <v>3559</v>
      </c>
      <c r="E1565" t="s">
        <v>3560</v>
      </c>
    </row>
    <row r="1566" spans="1:5" x14ac:dyDescent="0.2">
      <c r="A1566" t="s">
        <v>2408</v>
      </c>
      <c r="B1566">
        <v>690</v>
      </c>
      <c r="C1566" t="s">
        <v>3561</v>
      </c>
      <c r="E1566" t="s">
        <v>3562</v>
      </c>
    </row>
    <row r="1567" spans="1:5" x14ac:dyDescent="0.2">
      <c r="A1567" t="s">
        <v>2408</v>
      </c>
      <c r="B1567">
        <v>690</v>
      </c>
      <c r="C1567" t="s">
        <v>3561</v>
      </c>
      <c r="E1567" t="s">
        <v>3562</v>
      </c>
    </row>
    <row r="1568" spans="1:5" x14ac:dyDescent="0.2">
      <c r="A1568" t="s">
        <v>2408</v>
      </c>
      <c r="B1568">
        <v>690</v>
      </c>
      <c r="C1568" t="s">
        <v>3561</v>
      </c>
      <c r="E1568" t="s">
        <v>3562</v>
      </c>
    </row>
    <row r="1569" spans="1:5" x14ac:dyDescent="0.2">
      <c r="A1569" t="s">
        <v>2408</v>
      </c>
      <c r="B1569">
        <v>690</v>
      </c>
      <c r="C1569" t="s">
        <v>3561</v>
      </c>
      <c r="E1569" t="s">
        <v>3562</v>
      </c>
    </row>
    <row r="1570" spans="1:5" x14ac:dyDescent="0.2">
      <c r="A1570" t="s">
        <v>2408</v>
      </c>
      <c r="B1570">
        <v>690</v>
      </c>
      <c r="C1570" t="s">
        <v>3561</v>
      </c>
      <c r="E1570" t="s">
        <v>3562</v>
      </c>
    </row>
    <row r="1571" spans="1:5" x14ac:dyDescent="0.2">
      <c r="A1571" t="s">
        <v>2408</v>
      </c>
      <c r="B1571">
        <v>690</v>
      </c>
      <c r="C1571" t="s">
        <v>3561</v>
      </c>
      <c r="E1571" t="s">
        <v>3562</v>
      </c>
    </row>
    <row r="1572" spans="1:5" x14ac:dyDescent="0.2">
      <c r="A1572" t="s">
        <v>2408</v>
      </c>
      <c r="B1572">
        <v>690</v>
      </c>
      <c r="C1572" t="s">
        <v>3561</v>
      </c>
      <c r="E1572" t="s">
        <v>3562</v>
      </c>
    </row>
    <row r="1573" spans="1:5" x14ac:dyDescent="0.2">
      <c r="A1573" t="s">
        <v>2408</v>
      </c>
      <c r="B1573">
        <v>690</v>
      </c>
      <c r="C1573" t="s">
        <v>3561</v>
      </c>
      <c r="E1573" t="s">
        <v>3562</v>
      </c>
    </row>
    <row r="1574" spans="1:5" x14ac:dyDescent="0.2">
      <c r="A1574" t="s">
        <v>2408</v>
      </c>
      <c r="B1574">
        <v>690</v>
      </c>
      <c r="C1574" t="s">
        <v>3561</v>
      </c>
      <c r="E1574" t="s">
        <v>3562</v>
      </c>
    </row>
    <row r="1575" spans="1:5" x14ac:dyDescent="0.2">
      <c r="A1575" t="s">
        <v>2408</v>
      </c>
      <c r="B1575">
        <v>690</v>
      </c>
      <c r="C1575" t="s">
        <v>3561</v>
      </c>
      <c r="E1575" t="s">
        <v>3562</v>
      </c>
    </row>
    <row r="1576" spans="1:5" x14ac:dyDescent="0.2">
      <c r="A1576" t="s">
        <v>2408</v>
      </c>
      <c r="B1576">
        <v>690</v>
      </c>
      <c r="C1576" t="s">
        <v>3561</v>
      </c>
      <c r="E1576" t="s">
        <v>3562</v>
      </c>
    </row>
    <row r="1577" spans="1:5" x14ac:dyDescent="0.2">
      <c r="A1577" t="s">
        <v>2408</v>
      </c>
      <c r="B1577">
        <v>890</v>
      </c>
      <c r="C1577" t="s">
        <v>3563</v>
      </c>
      <c r="E1577" t="s">
        <v>3564</v>
      </c>
    </row>
    <row r="1578" spans="1:5" x14ac:dyDescent="0.2">
      <c r="A1578" t="s">
        <v>2408</v>
      </c>
      <c r="B1578">
        <v>890</v>
      </c>
      <c r="C1578" t="s">
        <v>3563</v>
      </c>
      <c r="E1578" t="s">
        <v>3564</v>
      </c>
    </row>
    <row r="1579" spans="1:5" x14ac:dyDescent="0.2">
      <c r="A1579" t="s">
        <v>2408</v>
      </c>
      <c r="B1579">
        <v>890</v>
      </c>
      <c r="C1579" t="s">
        <v>3563</v>
      </c>
      <c r="E1579" t="s">
        <v>3564</v>
      </c>
    </row>
    <row r="1580" spans="1:5" x14ac:dyDescent="0.2">
      <c r="A1580" t="s">
        <v>2408</v>
      </c>
      <c r="B1580">
        <v>890</v>
      </c>
      <c r="C1580" t="s">
        <v>3563</v>
      </c>
      <c r="E1580" t="s">
        <v>3564</v>
      </c>
    </row>
    <row r="1581" spans="1:5" x14ac:dyDescent="0.2">
      <c r="A1581" t="s">
        <v>2408</v>
      </c>
      <c r="B1581">
        <v>890</v>
      </c>
      <c r="C1581" t="s">
        <v>3563</v>
      </c>
      <c r="E1581" t="s">
        <v>3564</v>
      </c>
    </row>
    <row r="1582" spans="1:5" x14ac:dyDescent="0.2">
      <c r="A1582" t="s">
        <v>2408</v>
      </c>
      <c r="B1582">
        <v>890</v>
      </c>
      <c r="C1582" t="s">
        <v>3563</v>
      </c>
      <c r="E1582" t="s">
        <v>3564</v>
      </c>
    </row>
    <row r="1583" spans="1:5" x14ac:dyDescent="0.2">
      <c r="A1583" t="s">
        <v>2408</v>
      </c>
      <c r="B1583">
        <v>890</v>
      </c>
      <c r="C1583" t="s">
        <v>3563</v>
      </c>
      <c r="E1583" t="s">
        <v>3564</v>
      </c>
    </row>
    <row r="1584" spans="1:5" x14ac:dyDescent="0.2">
      <c r="A1584" t="s">
        <v>2408</v>
      </c>
      <c r="B1584">
        <v>890</v>
      </c>
      <c r="C1584" t="s">
        <v>3563</v>
      </c>
      <c r="E1584" t="s">
        <v>3564</v>
      </c>
    </row>
    <row r="1585" spans="1:5" x14ac:dyDescent="0.2">
      <c r="A1585" t="s">
        <v>2408</v>
      </c>
      <c r="B1585">
        <v>890</v>
      </c>
      <c r="C1585" t="s">
        <v>3563</v>
      </c>
      <c r="E1585" t="s">
        <v>3564</v>
      </c>
    </row>
    <row r="1586" spans="1:5" x14ac:dyDescent="0.2">
      <c r="A1586" t="s">
        <v>2408</v>
      </c>
      <c r="B1586">
        <v>890</v>
      </c>
      <c r="C1586" t="s">
        <v>3563</v>
      </c>
      <c r="E1586" t="s">
        <v>3564</v>
      </c>
    </row>
    <row r="1587" spans="1:5" x14ac:dyDescent="0.2">
      <c r="A1587" t="s">
        <v>2408</v>
      </c>
      <c r="B1587">
        <v>890</v>
      </c>
      <c r="C1587" t="s">
        <v>3563</v>
      </c>
      <c r="E1587" t="s">
        <v>3564</v>
      </c>
    </row>
    <row r="1588" spans="1:5" x14ac:dyDescent="0.2">
      <c r="A1588" t="s">
        <v>2408</v>
      </c>
      <c r="B1588">
        <v>890</v>
      </c>
      <c r="C1588" t="s">
        <v>3563</v>
      </c>
      <c r="E1588" t="s">
        <v>3564</v>
      </c>
    </row>
    <row r="1589" spans="1:5" x14ac:dyDescent="0.2">
      <c r="A1589" t="s">
        <v>2408</v>
      </c>
      <c r="B1589">
        <v>890</v>
      </c>
      <c r="C1589" t="s">
        <v>3563</v>
      </c>
      <c r="E1589" t="s">
        <v>3564</v>
      </c>
    </row>
    <row r="1590" spans="1:5" x14ac:dyDescent="0.2">
      <c r="A1590" t="s">
        <v>2408</v>
      </c>
      <c r="B1590">
        <v>890</v>
      </c>
      <c r="C1590" t="s">
        <v>3563</v>
      </c>
      <c r="E1590" t="s">
        <v>3564</v>
      </c>
    </row>
    <row r="1591" spans="1:5" x14ac:dyDescent="0.2">
      <c r="A1591" t="s">
        <v>2408</v>
      </c>
      <c r="B1591">
        <v>890</v>
      </c>
      <c r="C1591" t="s">
        <v>3563</v>
      </c>
      <c r="E1591" t="s">
        <v>3564</v>
      </c>
    </row>
    <row r="1592" spans="1:5" x14ac:dyDescent="0.2">
      <c r="A1592" t="s">
        <v>2408</v>
      </c>
      <c r="B1592">
        <v>890</v>
      </c>
      <c r="C1592" t="s">
        <v>3563</v>
      </c>
      <c r="E1592" t="s">
        <v>3564</v>
      </c>
    </row>
    <row r="1593" spans="1:5" x14ac:dyDescent="0.2">
      <c r="A1593" t="s">
        <v>2408</v>
      </c>
      <c r="B1593">
        <v>890</v>
      </c>
      <c r="C1593" t="s">
        <v>3563</v>
      </c>
      <c r="E1593" t="s">
        <v>3564</v>
      </c>
    </row>
    <row r="1594" spans="1:5" x14ac:dyDescent="0.2">
      <c r="A1594" t="s">
        <v>2408</v>
      </c>
      <c r="B1594">
        <v>890</v>
      </c>
      <c r="C1594" t="s">
        <v>3563</v>
      </c>
      <c r="E1594" t="s">
        <v>3564</v>
      </c>
    </row>
    <row r="1595" spans="1:5" x14ac:dyDescent="0.2">
      <c r="A1595" t="s">
        <v>413</v>
      </c>
      <c r="B1595">
        <v>690</v>
      </c>
      <c r="C1595" t="s">
        <v>3565</v>
      </c>
      <c r="E1595" t="s">
        <v>3566</v>
      </c>
    </row>
    <row r="1596" spans="1:5" x14ac:dyDescent="0.2">
      <c r="A1596" t="s">
        <v>413</v>
      </c>
      <c r="B1596">
        <v>690</v>
      </c>
      <c r="C1596" t="s">
        <v>3565</v>
      </c>
      <c r="E1596" t="s">
        <v>3566</v>
      </c>
    </row>
    <row r="1597" spans="1:5" x14ac:dyDescent="0.2">
      <c r="A1597" t="s">
        <v>2408</v>
      </c>
      <c r="B1597">
        <v>660</v>
      </c>
      <c r="C1597" t="s">
        <v>3567</v>
      </c>
      <c r="E1597" t="s">
        <v>3568</v>
      </c>
    </row>
    <row r="1598" spans="1:5" x14ac:dyDescent="0.2">
      <c r="A1598" t="s">
        <v>413</v>
      </c>
      <c r="B1598">
        <v>695</v>
      </c>
      <c r="C1598" t="s">
        <v>3004</v>
      </c>
      <c r="E1598" t="s">
        <v>3005</v>
      </c>
    </row>
    <row r="1599" spans="1:5" x14ac:dyDescent="0.2">
      <c r="A1599" t="s">
        <v>413</v>
      </c>
      <c r="B1599">
        <v>695</v>
      </c>
      <c r="C1599" t="s">
        <v>3004</v>
      </c>
      <c r="E1599" t="s">
        <v>3005</v>
      </c>
    </row>
    <row r="1600" spans="1:5" x14ac:dyDescent="0.2">
      <c r="A1600" t="s">
        <v>413</v>
      </c>
      <c r="B1600">
        <v>695</v>
      </c>
      <c r="C1600" t="s">
        <v>3004</v>
      </c>
      <c r="E1600" t="s">
        <v>3005</v>
      </c>
    </row>
    <row r="1601" spans="1:5" x14ac:dyDescent="0.2">
      <c r="A1601" t="s">
        <v>413</v>
      </c>
      <c r="B1601">
        <v>695</v>
      </c>
      <c r="C1601" t="s">
        <v>3004</v>
      </c>
      <c r="E1601" t="s">
        <v>3005</v>
      </c>
    </row>
    <row r="1602" spans="1:5" x14ac:dyDescent="0.2">
      <c r="A1602" t="s">
        <v>413</v>
      </c>
      <c r="B1602">
        <v>695</v>
      </c>
      <c r="C1602" t="s">
        <v>3004</v>
      </c>
      <c r="E1602" t="s">
        <v>3005</v>
      </c>
    </row>
    <row r="1603" spans="1:5" x14ac:dyDescent="0.2">
      <c r="A1603" t="s">
        <v>413</v>
      </c>
      <c r="B1603">
        <v>695</v>
      </c>
      <c r="C1603" t="s">
        <v>3004</v>
      </c>
      <c r="E1603" t="s">
        <v>3005</v>
      </c>
    </row>
    <row r="1604" spans="1:5" x14ac:dyDescent="0.2">
      <c r="A1604" t="s">
        <v>413</v>
      </c>
      <c r="B1604">
        <v>695</v>
      </c>
      <c r="C1604" t="s">
        <v>3004</v>
      </c>
      <c r="E1604" t="s">
        <v>3005</v>
      </c>
    </row>
    <row r="1605" spans="1:5" x14ac:dyDescent="0.2">
      <c r="A1605" t="s">
        <v>413</v>
      </c>
      <c r="B1605">
        <v>695</v>
      </c>
      <c r="C1605" t="s">
        <v>3004</v>
      </c>
      <c r="E1605" t="s">
        <v>3005</v>
      </c>
    </row>
    <row r="1606" spans="1:5" x14ac:dyDescent="0.2">
      <c r="A1606" t="s">
        <v>413</v>
      </c>
      <c r="B1606">
        <v>890</v>
      </c>
      <c r="C1606" t="s">
        <v>3569</v>
      </c>
      <c r="E1606" t="s">
        <v>3570</v>
      </c>
    </row>
    <row r="1607" spans="1:5" x14ac:dyDescent="0.2">
      <c r="A1607" t="s">
        <v>413</v>
      </c>
      <c r="B1607">
        <v>890</v>
      </c>
      <c r="C1607" t="s">
        <v>3569</v>
      </c>
      <c r="E1607" t="s">
        <v>3570</v>
      </c>
    </row>
    <row r="1608" spans="1:5" x14ac:dyDescent="0.2">
      <c r="A1608" t="s">
        <v>413</v>
      </c>
      <c r="B1608">
        <v>890</v>
      </c>
      <c r="C1608" t="s">
        <v>3569</v>
      </c>
      <c r="E1608" t="s">
        <v>3570</v>
      </c>
    </row>
    <row r="1609" spans="1:5" x14ac:dyDescent="0.2">
      <c r="A1609" t="s">
        <v>413</v>
      </c>
      <c r="B1609">
        <v>890</v>
      </c>
      <c r="C1609" t="s">
        <v>3569</v>
      </c>
      <c r="E1609" t="s">
        <v>3570</v>
      </c>
    </row>
    <row r="1610" spans="1:5" x14ac:dyDescent="0.2">
      <c r="A1610" t="s">
        <v>413</v>
      </c>
      <c r="B1610">
        <v>890</v>
      </c>
      <c r="C1610" t="s">
        <v>3569</v>
      </c>
      <c r="E1610" t="s">
        <v>3570</v>
      </c>
    </row>
    <row r="1611" spans="1:5" x14ac:dyDescent="0.2">
      <c r="A1611" t="s">
        <v>413</v>
      </c>
      <c r="B1611">
        <v>890</v>
      </c>
      <c r="C1611" t="s">
        <v>3569</v>
      </c>
      <c r="E1611" t="s">
        <v>3570</v>
      </c>
    </row>
    <row r="1612" spans="1:5" x14ac:dyDescent="0.2">
      <c r="A1612" t="s">
        <v>413</v>
      </c>
      <c r="B1612">
        <v>895</v>
      </c>
      <c r="C1612" t="s">
        <v>3571</v>
      </c>
      <c r="E1612" t="s">
        <v>3572</v>
      </c>
    </row>
    <row r="1613" spans="1:5" x14ac:dyDescent="0.2">
      <c r="A1613" t="s">
        <v>413</v>
      </c>
      <c r="B1613">
        <v>895</v>
      </c>
      <c r="C1613" t="s">
        <v>3571</v>
      </c>
      <c r="E1613" t="s">
        <v>3572</v>
      </c>
    </row>
    <row r="1614" spans="1:5" x14ac:dyDescent="0.2">
      <c r="A1614" t="s">
        <v>413</v>
      </c>
      <c r="B1614">
        <v>895</v>
      </c>
      <c r="C1614" t="s">
        <v>3571</v>
      </c>
      <c r="E1614" t="s">
        <v>3572</v>
      </c>
    </row>
    <row r="1615" spans="1:5" x14ac:dyDescent="0.2">
      <c r="A1615" t="s">
        <v>413</v>
      </c>
      <c r="B1615">
        <v>895</v>
      </c>
      <c r="C1615" t="s">
        <v>3571</v>
      </c>
      <c r="E1615" t="s">
        <v>3572</v>
      </c>
    </row>
    <row r="1616" spans="1:5" x14ac:dyDescent="0.2">
      <c r="A1616" t="s">
        <v>413</v>
      </c>
      <c r="B1616">
        <v>895</v>
      </c>
      <c r="C1616" t="s">
        <v>3571</v>
      </c>
      <c r="E1616" t="s">
        <v>3572</v>
      </c>
    </row>
    <row r="1617" spans="1:5" x14ac:dyDescent="0.2">
      <c r="A1617" t="s">
        <v>413</v>
      </c>
      <c r="B1617">
        <v>895</v>
      </c>
      <c r="C1617" t="s">
        <v>3571</v>
      </c>
      <c r="E1617" t="s">
        <v>3572</v>
      </c>
    </row>
    <row r="1618" spans="1:5" x14ac:dyDescent="0.2">
      <c r="A1618" t="s">
        <v>413</v>
      </c>
      <c r="B1618">
        <v>895</v>
      </c>
      <c r="C1618" t="s">
        <v>3571</v>
      </c>
      <c r="E1618" t="s">
        <v>3572</v>
      </c>
    </row>
    <row r="1619" spans="1:5" x14ac:dyDescent="0.2">
      <c r="A1619" t="s">
        <v>413</v>
      </c>
      <c r="B1619">
        <v>895</v>
      </c>
      <c r="C1619" t="s">
        <v>3571</v>
      </c>
      <c r="E1619" t="s">
        <v>3572</v>
      </c>
    </row>
    <row r="1620" spans="1:5" x14ac:dyDescent="0.2">
      <c r="A1620" t="s">
        <v>650</v>
      </c>
      <c r="B1620">
        <v>690</v>
      </c>
      <c r="C1620" t="s">
        <v>3565</v>
      </c>
      <c r="E1620" t="s">
        <v>3573</v>
      </c>
    </row>
    <row r="1621" spans="1:5" x14ac:dyDescent="0.2">
      <c r="A1621" t="s">
        <v>650</v>
      </c>
      <c r="B1621">
        <v>690</v>
      </c>
      <c r="C1621" t="s">
        <v>3565</v>
      </c>
      <c r="E1621" t="s">
        <v>3573</v>
      </c>
    </row>
    <row r="1622" spans="1:5" x14ac:dyDescent="0.2">
      <c r="A1622" t="s">
        <v>650</v>
      </c>
      <c r="B1622">
        <v>690</v>
      </c>
      <c r="C1622" t="s">
        <v>3565</v>
      </c>
      <c r="E1622" t="s">
        <v>3573</v>
      </c>
    </row>
    <row r="1623" spans="1:5" x14ac:dyDescent="0.2">
      <c r="A1623" t="s">
        <v>650</v>
      </c>
      <c r="B1623">
        <v>690</v>
      </c>
      <c r="C1623" t="s">
        <v>3565</v>
      </c>
      <c r="E1623" t="s">
        <v>3573</v>
      </c>
    </row>
    <row r="1624" spans="1:5" x14ac:dyDescent="0.2">
      <c r="A1624" t="s">
        <v>650</v>
      </c>
      <c r="B1624">
        <v>690</v>
      </c>
      <c r="C1624" t="s">
        <v>3565</v>
      </c>
      <c r="E1624" t="s">
        <v>3573</v>
      </c>
    </row>
    <row r="1625" spans="1:5" x14ac:dyDescent="0.2">
      <c r="A1625" t="s">
        <v>650</v>
      </c>
      <c r="B1625">
        <v>690</v>
      </c>
      <c r="C1625" t="s">
        <v>3565</v>
      </c>
      <c r="E1625" t="s">
        <v>3573</v>
      </c>
    </row>
    <row r="1626" spans="1:5" x14ac:dyDescent="0.2">
      <c r="A1626" t="s">
        <v>650</v>
      </c>
      <c r="B1626">
        <v>690</v>
      </c>
      <c r="C1626" t="s">
        <v>3565</v>
      </c>
      <c r="E1626" t="s">
        <v>3573</v>
      </c>
    </row>
    <row r="1627" spans="1:5" x14ac:dyDescent="0.2">
      <c r="A1627" t="s">
        <v>2383</v>
      </c>
      <c r="B1627">
        <v>690</v>
      </c>
      <c r="C1627" t="s">
        <v>3565</v>
      </c>
      <c r="E1627" t="s">
        <v>3574</v>
      </c>
    </row>
    <row r="1628" spans="1:5" x14ac:dyDescent="0.2">
      <c r="A1628" t="s">
        <v>2383</v>
      </c>
      <c r="B1628">
        <v>690</v>
      </c>
      <c r="C1628" t="s">
        <v>3565</v>
      </c>
      <c r="E1628" t="s">
        <v>3574</v>
      </c>
    </row>
    <row r="1629" spans="1:5" x14ac:dyDescent="0.2">
      <c r="A1629" t="s">
        <v>2383</v>
      </c>
      <c r="B1629">
        <v>690</v>
      </c>
      <c r="C1629" t="s">
        <v>3565</v>
      </c>
      <c r="E1629" t="s">
        <v>3574</v>
      </c>
    </row>
    <row r="1630" spans="1:5" x14ac:dyDescent="0.2">
      <c r="A1630" t="s">
        <v>2408</v>
      </c>
      <c r="B1630">
        <v>660</v>
      </c>
      <c r="C1630" t="s">
        <v>3567</v>
      </c>
      <c r="E1630" t="s">
        <v>3568</v>
      </c>
    </row>
    <row r="1631" spans="1:5" x14ac:dyDescent="0.2">
      <c r="A1631" t="s">
        <v>2408</v>
      </c>
      <c r="B1631">
        <v>660</v>
      </c>
      <c r="C1631" t="s">
        <v>3567</v>
      </c>
      <c r="E1631" t="s">
        <v>3568</v>
      </c>
    </row>
    <row r="1632" spans="1:5" x14ac:dyDescent="0.2">
      <c r="A1632" t="s">
        <v>567</v>
      </c>
      <c r="B1632">
        <v>545</v>
      </c>
      <c r="C1632" t="s">
        <v>2866</v>
      </c>
      <c r="E1632" t="s">
        <v>3575</v>
      </c>
    </row>
    <row r="1633" spans="1:5" x14ac:dyDescent="0.2">
      <c r="A1633" t="s">
        <v>2408</v>
      </c>
      <c r="B1633">
        <v>517</v>
      </c>
      <c r="C1633" t="s">
        <v>2544</v>
      </c>
      <c r="E1633" t="s">
        <v>2545</v>
      </c>
    </row>
    <row r="1634" spans="1:5" x14ac:dyDescent="0.2">
      <c r="A1634" t="s">
        <v>2408</v>
      </c>
      <c r="B1634">
        <v>566</v>
      </c>
      <c r="C1634" t="s">
        <v>2645</v>
      </c>
      <c r="E1634" t="s">
        <v>2646</v>
      </c>
    </row>
    <row r="1635" spans="1:5" x14ac:dyDescent="0.2">
      <c r="A1635" t="s">
        <v>539</v>
      </c>
      <c r="B1635">
        <v>690</v>
      </c>
      <c r="C1635" t="s">
        <v>3565</v>
      </c>
      <c r="E1635" t="s">
        <v>3576</v>
      </c>
    </row>
    <row r="1636" spans="1:5" x14ac:dyDescent="0.2">
      <c r="A1636" t="s">
        <v>539</v>
      </c>
      <c r="B1636">
        <v>690</v>
      </c>
      <c r="C1636" t="s">
        <v>3565</v>
      </c>
      <c r="E1636" t="s">
        <v>3576</v>
      </c>
    </row>
    <row r="1637" spans="1:5" x14ac:dyDescent="0.2">
      <c r="A1637" t="s">
        <v>539</v>
      </c>
      <c r="B1637">
        <v>690</v>
      </c>
      <c r="C1637" t="s">
        <v>3565</v>
      </c>
      <c r="E1637" t="s">
        <v>3576</v>
      </c>
    </row>
    <row r="1638" spans="1:5" x14ac:dyDescent="0.2">
      <c r="A1638" t="s">
        <v>539</v>
      </c>
      <c r="B1638">
        <v>690</v>
      </c>
      <c r="C1638" t="s">
        <v>3565</v>
      </c>
      <c r="E1638" t="s">
        <v>3576</v>
      </c>
    </row>
    <row r="1639" spans="1:5" x14ac:dyDescent="0.2">
      <c r="A1639" t="s">
        <v>539</v>
      </c>
      <c r="B1639">
        <v>690</v>
      </c>
      <c r="C1639" t="s">
        <v>3565</v>
      </c>
      <c r="E1639" t="s">
        <v>3576</v>
      </c>
    </row>
    <row r="1640" spans="1:5" x14ac:dyDescent="0.2">
      <c r="A1640" t="s">
        <v>539</v>
      </c>
      <c r="B1640">
        <v>690</v>
      </c>
      <c r="C1640" t="s">
        <v>3565</v>
      </c>
      <c r="E1640" t="s">
        <v>3576</v>
      </c>
    </row>
    <row r="1641" spans="1:5" x14ac:dyDescent="0.2">
      <c r="A1641" t="s">
        <v>539</v>
      </c>
      <c r="B1641">
        <v>890</v>
      </c>
      <c r="C1641" t="s">
        <v>3577</v>
      </c>
      <c r="E1641" t="s">
        <v>3578</v>
      </c>
    </row>
    <row r="1642" spans="1:5" x14ac:dyDescent="0.2">
      <c r="A1642" t="s">
        <v>539</v>
      </c>
      <c r="B1642">
        <v>890</v>
      </c>
      <c r="C1642" t="s">
        <v>3577</v>
      </c>
      <c r="E1642" t="s">
        <v>3578</v>
      </c>
    </row>
    <row r="1643" spans="1:5" x14ac:dyDescent="0.2">
      <c r="A1643" t="s">
        <v>539</v>
      </c>
      <c r="B1643">
        <v>890</v>
      </c>
      <c r="C1643" t="s">
        <v>3577</v>
      </c>
      <c r="E1643" t="s">
        <v>3578</v>
      </c>
    </row>
    <row r="1644" spans="1:5" x14ac:dyDescent="0.2">
      <c r="A1644" t="s">
        <v>539</v>
      </c>
      <c r="B1644">
        <v>890</v>
      </c>
      <c r="C1644" t="s">
        <v>3577</v>
      </c>
      <c r="E1644" t="s">
        <v>3578</v>
      </c>
    </row>
    <row r="1645" spans="1:5" x14ac:dyDescent="0.2">
      <c r="A1645" t="s">
        <v>539</v>
      </c>
      <c r="B1645">
        <v>890</v>
      </c>
      <c r="C1645" t="s">
        <v>3577</v>
      </c>
      <c r="E1645" t="s">
        <v>3578</v>
      </c>
    </row>
    <row r="1646" spans="1:5" x14ac:dyDescent="0.2">
      <c r="A1646" t="s">
        <v>2383</v>
      </c>
      <c r="B1646">
        <v>680</v>
      </c>
      <c r="C1646" t="s">
        <v>3553</v>
      </c>
      <c r="E1646" t="s">
        <v>3579</v>
      </c>
    </row>
    <row r="1647" spans="1:5" x14ac:dyDescent="0.2">
      <c r="A1647" t="s">
        <v>505</v>
      </c>
      <c r="B1647">
        <v>995</v>
      </c>
      <c r="C1647" t="s">
        <v>2938</v>
      </c>
      <c r="E1647" t="s">
        <v>2939</v>
      </c>
    </row>
    <row r="1648" spans="1:5" x14ac:dyDescent="0.2">
      <c r="A1648" t="s">
        <v>650</v>
      </c>
      <c r="B1648">
        <v>890</v>
      </c>
      <c r="C1648" t="s">
        <v>3580</v>
      </c>
      <c r="E1648" t="s">
        <v>3581</v>
      </c>
    </row>
    <row r="1649" spans="1:5" x14ac:dyDescent="0.2">
      <c r="A1649" t="s">
        <v>650</v>
      </c>
      <c r="B1649">
        <v>890</v>
      </c>
      <c r="C1649" t="s">
        <v>3580</v>
      </c>
      <c r="E1649" t="s">
        <v>3581</v>
      </c>
    </row>
    <row r="1650" spans="1:5" x14ac:dyDescent="0.2">
      <c r="A1650" t="s">
        <v>650</v>
      </c>
      <c r="B1650">
        <v>890</v>
      </c>
      <c r="C1650" t="s">
        <v>3580</v>
      </c>
      <c r="E1650" t="s">
        <v>3581</v>
      </c>
    </row>
    <row r="1651" spans="1:5" x14ac:dyDescent="0.2">
      <c r="A1651" t="s">
        <v>650</v>
      </c>
      <c r="B1651">
        <v>890</v>
      </c>
      <c r="C1651" t="s">
        <v>3580</v>
      </c>
      <c r="E1651" t="s">
        <v>3581</v>
      </c>
    </row>
    <row r="1652" spans="1:5" x14ac:dyDescent="0.2">
      <c r="A1652" t="s">
        <v>650</v>
      </c>
      <c r="B1652">
        <v>890</v>
      </c>
      <c r="C1652" t="s">
        <v>3580</v>
      </c>
      <c r="E1652" t="s">
        <v>3581</v>
      </c>
    </row>
    <row r="1653" spans="1:5" x14ac:dyDescent="0.2">
      <c r="A1653" t="s">
        <v>650</v>
      </c>
      <c r="B1653">
        <v>890</v>
      </c>
      <c r="C1653" t="s">
        <v>3580</v>
      </c>
      <c r="E1653" t="s">
        <v>3581</v>
      </c>
    </row>
    <row r="1654" spans="1:5" x14ac:dyDescent="0.2">
      <c r="A1654" t="s">
        <v>650</v>
      </c>
      <c r="B1654">
        <v>890</v>
      </c>
      <c r="C1654" t="s">
        <v>3580</v>
      </c>
      <c r="E1654" t="s">
        <v>3581</v>
      </c>
    </row>
    <row r="1655" spans="1:5" x14ac:dyDescent="0.2">
      <c r="A1655" t="s">
        <v>650</v>
      </c>
      <c r="B1655">
        <v>890</v>
      </c>
      <c r="C1655" t="s">
        <v>3580</v>
      </c>
      <c r="E1655" t="s">
        <v>3581</v>
      </c>
    </row>
    <row r="1656" spans="1:5" x14ac:dyDescent="0.2">
      <c r="A1656" t="s">
        <v>2408</v>
      </c>
      <c r="B1656">
        <v>690</v>
      </c>
      <c r="C1656" t="s">
        <v>3561</v>
      </c>
      <c r="E1656" t="s">
        <v>3562</v>
      </c>
    </row>
    <row r="1657" spans="1:5" x14ac:dyDescent="0.2">
      <c r="A1657" t="s">
        <v>505</v>
      </c>
      <c r="B1657">
        <v>510</v>
      </c>
      <c r="C1657" t="s">
        <v>2847</v>
      </c>
      <c r="E1657" t="s">
        <v>2848</v>
      </c>
    </row>
    <row r="1658" spans="1:5" x14ac:dyDescent="0.2">
      <c r="A1658" t="s">
        <v>2383</v>
      </c>
      <c r="B1658">
        <v>636</v>
      </c>
      <c r="C1658" t="s">
        <v>2885</v>
      </c>
      <c r="E1658" t="s">
        <v>2886</v>
      </c>
    </row>
    <row r="1659" spans="1:5" x14ac:dyDescent="0.2">
      <c r="A1659" t="s">
        <v>505</v>
      </c>
      <c r="B1659">
        <v>995</v>
      </c>
      <c r="C1659" t="s">
        <v>2938</v>
      </c>
      <c r="E1659" t="s">
        <v>2939</v>
      </c>
    </row>
    <row r="1660" spans="1:5" x14ac:dyDescent="0.2">
      <c r="A1660" t="s">
        <v>567</v>
      </c>
      <c r="B1660">
        <v>690</v>
      </c>
      <c r="C1660" t="s">
        <v>3565</v>
      </c>
      <c r="E1660" t="s">
        <v>3582</v>
      </c>
    </row>
    <row r="1661" spans="1:5" x14ac:dyDescent="0.2">
      <c r="A1661" t="s">
        <v>567</v>
      </c>
      <c r="B1661">
        <v>690</v>
      </c>
      <c r="C1661" t="s">
        <v>3565</v>
      </c>
      <c r="E1661" t="s">
        <v>3582</v>
      </c>
    </row>
    <row r="1662" spans="1:5" x14ac:dyDescent="0.2">
      <c r="A1662" t="s">
        <v>567</v>
      </c>
      <c r="B1662">
        <v>690</v>
      </c>
      <c r="C1662" t="s">
        <v>3565</v>
      </c>
      <c r="E1662" t="s">
        <v>3582</v>
      </c>
    </row>
    <row r="1663" spans="1:5" x14ac:dyDescent="0.2">
      <c r="A1663" t="s">
        <v>567</v>
      </c>
      <c r="B1663">
        <v>690</v>
      </c>
      <c r="C1663" t="s">
        <v>3565</v>
      </c>
      <c r="E1663" t="s">
        <v>3582</v>
      </c>
    </row>
    <row r="1664" spans="1:5" x14ac:dyDescent="0.2">
      <c r="A1664" t="s">
        <v>567</v>
      </c>
      <c r="B1664">
        <v>890</v>
      </c>
      <c r="C1664" t="s">
        <v>3519</v>
      </c>
      <c r="E1664" t="s">
        <v>3521</v>
      </c>
    </row>
    <row r="1665" spans="1:5" x14ac:dyDescent="0.2">
      <c r="A1665" t="s">
        <v>567</v>
      </c>
      <c r="B1665">
        <v>890</v>
      </c>
      <c r="C1665" t="s">
        <v>3519</v>
      </c>
      <c r="E1665" t="s">
        <v>3521</v>
      </c>
    </row>
    <row r="1666" spans="1:5" x14ac:dyDescent="0.2">
      <c r="A1666" t="s">
        <v>567</v>
      </c>
      <c r="B1666">
        <v>890</v>
      </c>
      <c r="C1666" t="s">
        <v>3519</v>
      </c>
      <c r="E1666" t="s">
        <v>3521</v>
      </c>
    </row>
    <row r="1667" spans="1:5" x14ac:dyDescent="0.2">
      <c r="A1667" t="s">
        <v>567</v>
      </c>
      <c r="B1667">
        <v>890</v>
      </c>
      <c r="C1667" t="s">
        <v>3519</v>
      </c>
      <c r="E1667" t="s">
        <v>3521</v>
      </c>
    </row>
    <row r="1668" spans="1:5" x14ac:dyDescent="0.2">
      <c r="A1668" t="s">
        <v>567</v>
      </c>
      <c r="B1668">
        <v>890</v>
      </c>
      <c r="C1668" t="s">
        <v>3519</v>
      </c>
      <c r="E1668" t="s">
        <v>3521</v>
      </c>
    </row>
    <row r="1669" spans="1:5" x14ac:dyDescent="0.2">
      <c r="A1669" t="s">
        <v>567</v>
      </c>
      <c r="B1669">
        <v>890</v>
      </c>
      <c r="C1669" t="s">
        <v>3519</v>
      </c>
      <c r="E1669" t="s">
        <v>3521</v>
      </c>
    </row>
    <row r="1670" spans="1:5" x14ac:dyDescent="0.2">
      <c r="A1670" t="s">
        <v>567</v>
      </c>
      <c r="B1670">
        <v>890</v>
      </c>
      <c r="C1670" t="s">
        <v>3519</v>
      </c>
      <c r="E1670" t="s">
        <v>3521</v>
      </c>
    </row>
    <row r="1671" spans="1:5" x14ac:dyDescent="0.2">
      <c r="A1671" t="s">
        <v>539</v>
      </c>
      <c r="B1671">
        <v>550</v>
      </c>
      <c r="C1671" t="s">
        <v>2816</v>
      </c>
      <c r="D1671" t="s">
        <v>3583</v>
      </c>
      <c r="E1671" t="s">
        <v>2817</v>
      </c>
    </row>
    <row r="1672" spans="1:5" x14ac:dyDescent="0.2">
      <c r="A1672" t="s">
        <v>505</v>
      </c>
      <c r="B1672">
        <v>995</v>
      </c>
      <c r="C1672" t="s">
        <v>2938</v>
      </c>
      <c r="E1672" t="s">
        <v>2939</v>
      </c>
    </row>
    <row r="1673" spans="1:5" x14ac:dyDescent="0.2">
      <c r="A1673" t="s">
        <v>2383</v>
      </c>
      <c r="B1673">
        <v>870</v>
      </c>
      <c r="C1673" t="s">
        <v>3046</v>
      </c>
      <c r="E1673" t="s">
        <v>3048</v>
      </c>
    </row>
    <row r="1674" spans="1:5" x14ac:dyDescent="0.2">
      <c r="A1674" t="s">
        <v>382</v>
      </c>
      <c r="B1674">
        <v>690</v>
      </c>
      <c r="C1674" t="s">
        <v>3584</v>
      </c>
      <c r="E1674" t="s">
        <v>3585</v>
      </c>
    </row>
    <row r="1675" spans="1:5" x14ac:dyDescent="0.2">
      <c r="A1675" t="s">
        <v>382</v>
      </c>
      <c r="B1675">
        <v>690</v>
      </c>
      <c r="C1675" t="s">
        <v>3584</v>
      </c>
      <c r="E1675" t="s">
        <v>3585</v>
      </c>
    </row>
    <row r="1676" spans="1:5" x14ac:dyDescent="0.2">
      <c r="A1676" t="s">
        <v>382</v>
      </c>
      <c r="B1676">
        <v>690</v>
      </c>
      <c r="C1676" t="s">
        <v>3584</v>
      </c>
      <c r="E1676" t="s">
        <v>3585</v>
      </c>
    </row>
    <row r="1677" spans="1:5" x14ac:dyDescent="0.2">
      <c r="A1677" t="s">
        <v>382</v>
      </c>
      <c r="B1677">
        <v>690</v>
      </c>
      <c r="C1677" t="s">
        <v>3584</v>
      </c>
      <c r="E1677" t="s">
        <v>3585</v>
      </c>
    </row>
    <row r="1678" spans="1:5" x14ac:dyDescent="0.2">
      <c r="A1678" t="s">
        <v>382</v>
      </c>
      <c r="B1678">
        <v>690</v>
      </c>
      <c r="C1678" t="s">
        <v>3584</v>
      </c>
      <c r="E1678" t="s">
        <v>3585</v>
      </c>
    </row>
    <row r="1679" spans="1:5" x14ac:dyDescent="0.2">
      <c r="A1679" t="s">
        <v>382</v>
      </c>
      <c r="B1679">
        <v>690</v>
      </c>
      <c r="C1679" t="s">
        <v>3584</v>
      </c>
      <c r="E1679" t="s">
        <v>3585</v>
      </c>
    </row>
    <row r="1680" spans="1:5" x14ac:dyDescent="0.2">
      <c r="A1680" t="s">
        <v>382</v>
      </c>
      <c r="B1680">
        <v>690</v>
      </c>
      <c r="C1680" t="s">
        <v>3584</v>
      </c>
      <c r="E1680" t="s">
        <v>3585</v>
      </c>
    </row>
    <row r="1681" spans="1:5" x14ac:dyDescent="0.2">
      <c r="A1681" t="s">
        <v>382</v>
      </c>
      <c r="B1681">
        <v>690</v>
      </c>
      <c r="C1681" t="s">
        <v>3584</v>
      </c>
      <c r="E1681" t="s">
        <v>3585</v>
      </c>
    </row>
    <row r="1682" spans="1:5" x14ac:dyDescent="0.2">
      <c r="A1682" t="s">
        <v>382</v>
      </c>
      <c r="B1682">
        <v>890</v>
      </c>
      <c r="C1682" t="s">
        <v>3586</v>
      </c>
      <c r="E1682" t="s">
        <v>3587</v>
      </c>
    </row>
    <row r="1683" spans="1:5" x14ac:dyDescent="0.2">
      <c r="A1683" t="s">
        <v>382</v>
      </c>
      <c r="B1683">
        <v>890</v>
      </c>
      <c r="C1683" t="s">
        <v>3586</v>
      </c>
      <c r="E1683" t="s">
        <v>3587</v>
      </c>
    </row>
    <row r="1684" spans="1:5" x14ac:dyDescent="0.2">
      <c r="A1684" t="s">
        <v>382</v>
      </c>
      <c r="B1684">
        <v>890</v>
      </c>
      <c r="C1684" t="s">
        <v>3586</v>
      </c>
      <c r="E1684" t="s">
        <v>3587</v>
      </c>
    </row>
    <row r="1685" spans="1:5" x14ac:dyDescent="0.2">
      <c r="A1685" t="s">
        <v>382</v>
      </c>
      <c r="B1685">
        <v>890</v>
      </c>
      <c r="C1685" t="s">
        <v>3586</v>
      </c>
      <c r="E1685" t="s">
        <v>3587</v>
      </c>
    </row>
    <row r="1686" spans="1:5" x14ac:dyDescent="0.2">
      <c r="A1686" t="s">
        <v>382</v>
      </c>
      <c r="B1686">
        <v>695</v>
      </c>
      <c r="C1686" t="s">
        <v>3588</v>
      </c>
      <c r="E1686" t="s">
        <v>3589</v>
      </c>
    </row>
    <row r="1687" spans="1:5" x14ac:dyDescent="0.2">
      <c r="A1687" t="s">
        <v>382</v>
      </c>
      <c r="B1687">
        <v>695</v>
      </c>
      <c r="C1687" t="s">
        <v>3588</v>
      </c>
      <c r="E1687" t="s">
        <v>3589</v>
      </c>
    </row>
    <row r="1688" spans="1:5" x14ac:dyDescent="0.2">
      <c r="A1688" t="s">
        <v>382</v>
      </c>
      <c r="B1688">
        <v>695</v>
      </c>
      <c r="C1688" t="s">
        <v>3588</v>
      </c>
      <c r="E1688" t="s">
        <v>3589</v>
      </c>
    </row>
    <row r="1689" spans="1:5" x14ac:dyDescent="0.2">
      <c r="A1689" t="s">
        <v>382</v>
      </c>
      <c r="B1689">
        <v>695</v>
      </c>
      <c r="C1689" t="s">
        <v>3588</v>
      </c>
      <c r="E1689" t="s">
        <v>3589</v>
      </c>
    </row>
    <row r="1690" spans="1:5" x14ac:dyDescent="0.2">
      <c r="A1690" t="s">
        <v>382</v>
      </c>
      <c r="B1690">
        <v>695</v>
      </c>
      <c r="C1690" t="s">
        <v>3588</v>
      </c>
      <c r="E1690" t="s">
        <v>3589</v>
      </c>
    </row>
    <row r="1691" spans="1:5" x14ac:dyDescent="0.2">
      <c r="A1691" t="s">
        <v>382</v>
      </c>
      <c r="B1691">
        <v>695</v>
      </c>
      <c r="C1691" t="s">
        <v>3588</v>
      </c>
      <c r="E1691" t="s">
        <v>3589</v>
      </c>
    </row>
    <row r="1692" spans="1:5" x14ac:dyDescent="0.2">
      <c r="A1692" t="s">
        <v>382</v>
      </c>
      <c r="B1692">
        <v>695</v>
      </c>
      <c r="C1692" t="s">
        <v>3588</v>
      </c>
      <c r="E1692" t="s">
        <v>3589</v>
      </c>
    </row>
    <row r="1693" spans="1:5" x14ac:dyDescent="0.2">
      <c r="A1693" t="s">
        <v>505</v>
      </c>
      <c r="B1693">
        <v>790</v>
      </c>
      <c r="C1693" t="s">
        <v>2470</v>
      </c>
      <c r="E1693" t="s">
        <v>2471</v>
      </c>
    </row>
    <row r="1694" spans="1:5" x14ac:dyDescent="0.2">
      <c r="A1694" t="s">
        <v>505</v>
      </c>
      <c r="B1694">
        <v>700</v>
      </c>
      <c r="C1694" t="s">
        <v>3590</v>
      </c>
      <c r="E1694" t="s">
        <v>3591</v>
      </c>
    </row>
    <row r="1695" spans="1:5" x14ac:dyDescent="0.2">
      <c r="A1695" t="s">
        <v>505</v>
      </c>
      <c r="B1695">
        <v>788</v>
      </c>
      <c r="C1695" t="s">
        <v>2476</v>
      </c>
      <c r="E1695" t="s">
        <v>2477</v>
      </c>
    </row>
    <row r="1696" spans="1:5" x14ac:dyDescent="0.2">
      <c r="A1696" t="s">
        <v>413</v>
      </c>
      <c r="B1696">
        <v>674</v>
      </c>
      <c r="C1696" t="s">
        <v>2381</v>
      </c>
      <c r="E1696" t="s">
        <v>2382</v>
      </c>
    </row>
    <row r="1697" spans="1:5" x14ac:dyDescent="0.2">
      <c r="A1697" t="s">
        <v>2383</v>
      </c>
      <c r="B1697">
        <v>503</v>
      </c>
      <c r="C1697" t="s">
        <v>2433</v>
      </c>
      <c r="E1697" t="s">
        <v>2491</v>
      </c>
    </row>
    <row r="1698" spans="1:5" x14ac:dyDescent="0.2">
      <c r="A1698" t="s">
        <v>413</v>
      </c>
      <c r="B1698">
        <v>505</v>
      </c>
      <c r="C1698" t="s">
        <v>2440</v>
      </c>
      <c r="E1698" t="s">
        <v>2441</v>
      </c>
    </row>
    <row r="1699" spans="1:5" x14ac:dyDescent="0.2">
      <c r="A1699" t="s">
        <v>539</v>
      </c>
      <c r="B1699">
        <v>567</v>
      </c>
      <c r="C1699" t="s">
        <v>2417</v>
      </c>
      <c r="E1699" t="s">
        <v>2418</v>
      </c>
    </row>
    <row r="1700" spans="1:5" x14ac:dyDescent="0.2">
      <c r="A1700" t="s">
        <v>567</v>
      </c>
      <c r="B1700">
        <v>570</v>
      </c>
      <c r="C1700" t="s">
        <v>2719</v>
      </c>
      <c r="E1700" t="s">
        <v>2720</v>
      </c>
    </row>
    <row r="1701" spans="1:5" x14ac:dyDescent="0.2">
      <c r="A1701" t="s">
        <v>2408</v>
      </c>
      <c r="B1701">
        <v>543</v>
      </c>
      <c r="C1701" t="s">
        <v>2494</v>
      </c>
      <c r="E1701" t="s">
        <v>2495</v>
      </c>
    </row>
    <row r="1702" spans="1:5" x14ac:dyDescent="0.2">
      <c r="A1702" t="s">
        <v>650</v>
      </c>
      <c r="B1702">
        <v>695</v>
      </c>
      <c r="C1702" t="s">
        <v>2386</v>
      </c>
      <c r="D1702" t="s">
        <v>3592</v>
      </c>
      <c r="E1702" t="s">
        <v>2488</v>
      </c>
    </row>
    <row r="1703" spans="1:5" x14ac:dyDescent="0.2">
      <c r="A1703" t="s">
        <v>382</v>
      </c>
      <c r="B1703">
        <v>510</v>
      </c>
      <c r="C1703" t="s">
        <v>2556</v>
      </c>
      <c r="E1703" t="s">
        <v>2557</v>
      </c>
    </row>
    <row r="1704" spans="1:5" x14ac:dyDescent="0.2">
      <c r="A1704" t="s">
        <v>382</v>
      </c>
      <c r="B1704">
        <v>510</v>
      </c>
      <c r="C1704" t="s">
        <v>2556</v>
      </c>
      <c r="E1704" t="s">
        <v>2557</v>
      </c>
    </row>
    <row r="1705" spans="1:5" x14ac:dyDescent="0.2">
      <c r="A1705" t="s">
        <v>2408</v>
      </c>
      <c r="B1705">
        <v>637</v>
      </c>
      <c r="C1705" t="s">
        <v>2498</v>
      </c>
      <c r="E1705" t="s">
        <v>2499</v>
      </c>
    </row>
    <row r="1706" spans="1:5" x14ac:dyDescent="0.2">
      <c r="A1706" t="s">
        <v>2383</v>
      </c>
      <c r="B1706">
        <v>534</v>
      </c>
      <c r="C1706" t="s">
        <v>2489</v>
      </c>
      <c r="E1706" t="s">
        <v>2490</v>
      </c>
    </row>
    <row r="1707" spans="1:5" x14ac:dyDescent="0.2">
      <c r="A1707" t="s">
        <v>650</v>
      </c>
      <c r="B1707">
        <v>627</v>
      </c>
      <c r="C1707" t="s">
        <v>2641</v>
      </c>
      <c r="E1707" t="s">
        <v>2642</v>
      </c>
    </row>
    <row r="1708" spans="1:5" x14ac:dyDescent="0.2">
      <c r="A1708" t="s">
        <v>2408</v>
      </c>
      <c r="B1708">
        <v>623</v>
      </c>
      <c r="C1708" t="s">
        <v>2542</v>
      </c>
      <c r="E1708" t="s">
        <v>2543</v>
      </c>
    </row>
    <row r="1709" spans="1:5" x14ac:dyDescent="0.2">
      <c r="A1709" t="s">
        <v>539</v>
      </c>
      <c r="B1709">
        <v>550</v>
      </c>
      <c r="C1709" t="s">
        <v>2816</v>
      </c>
      <c r="E1709" t="s">
        <v>2817</v>
      </c>
    </row>
    <row r="1710" spans="1:5" x14ac:dyDescent="0.2">
      <c r="A1710" t="s">
        <v>413</v>
      </c>
      <c r="B1710">
        <v>890</v>
      </c>
      <c r="C1710" t="s">
        <v>3569</v>
      </c>
      <c r="E1710" t="s">
        <v>3570</v>
      </c>
    </row>
    <row r="1711" spans="1:5" x14ac:dyDescent="0.2">
      <c r="A1711" t="s">
        <v>505</v>
      </c>
      <c r="B1711">
        <v>995</v>
      </c>
      <c r="C1711" t="s">
        <v>2938</v>
      </c>
      <c r="E1711" t="s">
        <v>2939</v>
      </c>
    </row>
    <row r="1712" spans="1:5" x14ac:dyDescent="0.2">
      <c r="A1712" t="s">
        <v>650</v>
      </c>
      <c r="B1712">
        <v>619</v>
      </c>
      <c r="C1712" t="s">
        <v>2687</v>
      </c>
      <c r="E1712" t="s">
        <v>2688</v>
      </c>
    </row>
    <row r="1713" spans="1:5" x14ac:dyDescent="0.2">
      <c r="A1713" t="s">
        <v>567</v>
      </c>
      <c r="B1713">
        <v>890</v>
      </c>
      <c r="C1713" t="s">
        <v>3519</v>
      </c>
      <c r="E1713" t="s">
        <v>3521</v>
      </c>
    </row>
    <row r="1714" spans="1:5" x14ac:dyDescent="0.2">
      <c r="A1714" t="s">
        <v>550</v>
      </c>
      <c r="B1714">
        <v>690</v>
      </c>
      <c r="C1714" t="s">
        <v>3565</v>
      </c>
      <c r="E1714" t="s">
        <v>3593</v>
      </c>
    </row>
    <row r="1715" spans="1:5" x14ac:dyDescent="0.2">
      <c r="A1715" t="s">
        <v>505</v>
      </c>
      <c r="B1715">
        <v>995</v>
      </c>
      <c r="C1715" t="s">
        <v>2938</v>
      </c>
      <c r="E1715" t="s">
        <v>2939</v>
      </c>
    </row>
    <row r="1716" spans="1:5" x14ac:dyDescent="0.2">
      <c r="A1716" t="s">
        <v>539</v>
      </c>
      <c r="B1716">
        <v>890</v>
      </c>
      <c r="C1716" t="s">
        <v>3577</v>
      </c>
      <c r="E1716" t="s">
        <v>3578</v>
      </c>
    </row>
    <row r="1717" spans="1:5" x14ac:dyDescent="0.2">
      <c r="A1717" t="s">
        <v>539</v>
      </c>
      <c r="B1717">
        <v>890</v>
      </c>
      <c r="C1717" t="s">
        <v>3577</v>
      </c>
      <c r="E1717" t="s">
        <v>3578</v>
      </c>
    </row>
    <row r="1718" spans="1:5" x14ac:dyDescent="0.2">
      <c r="A1718" t="s">
        <v>505</v>
      </c>
      <c r="B1718">
        <v>530</v>
      </c>
      <c r="C1718" t="s">
        <v>2511</v>
      </c>
      <c r="E1718" t="s">
        <v>2512</v>
      </c>
    </row>
    <row r="1719" spans="1:5" x14ac:dyDescent="0.2">
      <c r="A1719" t="s">
        <v>413</v>
      </c>
      <c r="B1719">
        <v>690</v>
      </c>
      <c r="C1719" t="s">
        <v>3565</v>
      </c>
      <c r="E1719" t="s">
        <v>3566</v>
      </c>
    </row>
    <row r="1720" spans="1:5" x14ac:dyDescent="0.2">
      <c r="A1720" t="s">
        <v>2408</v>
      </c>
      <c r="B1720">
        <v>526</v>
      </c>
      <c r="C1720" t="s">
        <v>2588</v>
      </c>
      <c r="E1720" t="s">
        <v>2589</v>
      </c>
    </row>
    <row r="1721" spans="1:5" x14ac:dyDescent="0.2">
      <c r="A1721" t="s">
        <v>505</v>
      </c>
      <c r="B1721">
        <v>539</v>
      </c>
      <c r="C1721" t="s">
        <v>2411</v>
      </c>
      <c r="E1721" t="s">
        <v>2412</v>
      </c>
    </row>
    <row r="1722" spans="1:5" x14ac:dyDescent="0.2">
      <c r="A1722" t="s">
        <v>505</v>
      </c>
      <c r="B1722">
        <v>995</v>
      </c>
      <c r="C1722" t="s">
        <v>2938</v>
      </c>
      <c r="E1722" t="s">
        <v>2939</v>
      </c>
    </row>
    <row r="1723" spans="1:5" x14ac:dyDescent="0.2">
      <c r="A1723" t="s">
        <v>413</v>
      </c>
      <c r="B1723">
        <v>690</v>
      </c>
      <c r="C1723" t="s">
        <v>3565</v>
      </c>
      <c r="E1723" t="s">
        <v>3566</v>
      </c>
    </row>
    <row r="1724" spans="1:5" x14ac:dyDescent="0.2">
      <c r="A1724" t="s">
        <v>413</v>
      </c>
      <c r="B1724">
        <v>690</v>
      </c>
      <c r="C1724" t="s">
        <v>3565</v>
      </c>
      <c r="E1724" t="s">
        <v>3566</v>
      </c>
    </row>
    <row r="1725" spans="1:5" x14ac:dyDescent="0.2">
      <c r="A1725" t="s">
        <v>650</v>
      </c>
      <c r="B1725">
        <v>890</v>
      </c>
      <c r="C1725" t="s">
        <v>3580</v>
      </c>
      <c r="E1725" t="s">
        <v>3581</v>
      </c>
    </row>
    <row r="1726" spans="1:5" x14ac:dyDescent="0.2">
      <c r="A1726" t="s">
        <v>2383</v>
      </c>
      <c r="B1726">
        <v>690</v>
      </c>
      <c r="C1726" t="s">
        <v>3565</v>
      </c>
      <c r="E1726" t="s">
        <v>3574</v>
      </c>
    </row>
    <row r="1727" spans="1:5" x14ac:dyDescent="0.2">
      <c r="A1727" t="s">
        <v>2408</v>
      </c>
      <c r="B1727">
        <v>662</v>
      </c>
      <c r="C1727" t="s">
        <v>2864</v>
      </c>
      <c r="E1727" t="s">
        <v>2865</v>
      </c>
    </row>
    <row r="1728" spans="1:5" x14ac:dyDescent="0.2">
      <c r="A1728" t="s">
        <v>505</v>
      </c>
      <c r="B1728">
        <v>995</v>
      </c>
      <c r="C1728" t="s">
        <v>2938</v>
      </c>
      <c r="E1728" t="s">
        <v>2939</v>
      </c>
    </row>
    <row r="1729" spans="1:5" x14ac:dyDescent="0.2">
      <c r="A1729" t="s">
        <v>505</v>
      </c>
      <c r="B1729">
        <v>995</v>
      </c>
      <c r="C1729" t="s">
        <v>2938</v>
      </c>
      <c r="E1729" t="s">
        <v>2939</v>
      </c>
    </row>
    <row r="1730" spans="1:5" x14ac:dyDescent="0.2">
      <c r="A1730" t="s">
        <v>382</v>
      </c>
      <c r="B1730">
        <v>890</v>
      </c>
      <c r="C1730" t="s">
        <v>3586</v>
      </c>
      <c r="E1730" t="s">
        <v>3587</v>
      </c>
    </row>
    <row r="1731" spans="1:5" x14ac:dyDescent="0.2">
      <c r="A1731" t="s">
        <v>2383</v>
      </c>
      <c r="B1731">
        <v>995</v>
      </c>
      <c r="C1731" t="s">
        <v>3594</v>
      </c>
      <c r="E1731" t="s">
        <v>3595</v>
      </c>
    </row>
    <row r="1732" spans="1:5" x14ac:dyDescent="0.2">
      <c r="A1732" t="s">
        <v>2383</v>
      </c>
      <c r="B1732">
        <v>660</v>
      </c>
      <c r="C1732" t="s">
        <v>3596</v>
      </c>
      <c r="E1732" t="s">
        <v>3597</v>
      </c>
    </row>
    <row r="1733" spans="1:5" x14ac:dyDescent="0.2">
      <c r="A1733" t="s">
        <v>382</v>
      </c>
      <c r="B1733">
        <v>890</v>
      </c>
      <c r="C1733" t="s">
        <v>3586</v>
      </c>
      <c r="E1733" t="s">
        <v>3587</v>
      </c>
    </row>
    <row r="1734" spans="1:5" x14ac:dyDescent="0.2">
      <c r="A1734" t="s">
        <v>413</v>
      </c>
      <c r="B1734">
        <v>890</v>
      </c>
      <c r="C1734" t="s">
        <v>3569</v>
      </c>
      <c r="E1734" t="s">
        <v>3570</v>
      </c>
    </row>
    <row r="1735" spans="1:5" x14ac:dyDescent="0.2">
      <c r="A1735" t="s">
        <v>413</v>
      </c>
      <c r="B1735">
        <v>940</v>
      </c>
      <c r="C1735" t="s">
        <v>2858</v>
      </c>
      <c r="D1735" t="s">
        <v>3598</v>
      </c>
      <c r="E1735" t="s">
        <v>2859</v>
      </c>
    </row>
    <row r="1736" spans="1:5" x14ac:dyDescent="0.2">
      <c r="A1736" t="s">
        <v>2383</v>
      </c>
      <c r="B1736">
        <v>878</v>
      </c>
      <c r="C1736" t="s">
        <v>3555</v>
      </c>
      <c r="E1736" t="s">
        <v>3599</v>
      </c>
    </row>
    <row r="1737" spans="1:5" x14ac:dyDescent="0.2">
      <c r="A1737" t="s">
        <v>650</v>
      </c>
      <c r="B1737">
        <v>510</v>
      </c>
      <c r="C1737" t="s">
        <v>2790</v>
      </c>
      <c r="E1737" t="s">
        <v>2791</v>
      </c>
    </row>
    <row r="1738" spans="1:5" x14ac:dyDescent="0.2">
      <c r="A1738" t="s">
        <v>650</v>
      </c>
      <c r="B1738">
        <v>616</v>
      </c>
      <c r="C1738" t="s">
        <v>2578</v>
      </c>
      <c r="E1738" t="s">
        <v>2579</v>
      </c>
    </row>
    <row r="1739" spans="1:5" x14ac:dyDescent="0.2">
      <c r="A1739" t="s">
        <v>2383</v>
      </c>
      <c r="B1739">
        <v>680</v>
      </c>
      <c r="C1739" t="s">
        <v>3553</v>
      </c>
      <c r="D1739" t="s">
        <v>3600</v>
      </c>
      <c r="E1739" t="s">
        <v>3579</v>
      </c>
    </row>
    <row r="1740" spans="1:5" x14ac:dyDescent="0.2">
      <c r="A1740" t="s">
        <v>539</v>
      </c>
      <c r="B1740">
        <v>690</v>
      </c>
      <c r="C1740" t="s">
        <v>3565</v>
      </c>
      <c r="E1740" t="s">
        <v>3576</v>
      </c>
    </row>
    <row r="1741" spans="1:5" x14ac:dyDescent="0.2">
      <c r="A1741" t="s">
        <v>505</v>
      </c>
      <c r="B1741">
        <v>995</v>
      </c>
      <c r="C1741" t="s">
        <v>2938</v>
      </c>
      <c r="E1741" t="s">
        <v>2939</v>
      </c>
    </row>
    <row r="1742" spans="1:5" x14ac:dyDescent="0.2">
      <c r="A1742" t="s">
        <v>650</v>
      </c>
      <c r="B1742">
        <v>890</v>
      </c>
      <c r="C1742" t="s">
        <v>3580</v>
      </c>
      <c r="E1742" t="s">
        <v>3581</v>
      </c>
    </row>
    <row r="1743" spans="1:5" x14ac:dyDescent="0.2">
      <c r="A1743" t="s">
        <v>567</v>
      </c>
      <c r="B1743">
        <v>690</v>
      </c>
      <c r="C1743" t="s">
        <v>3565</v>
      </c>
      <c r="E1743" t="s">
        <v>3582</v>
      </c>
    </row>
    <row r="1744" spans="1:5" x14ac:dyDescent="0.2">
      <c r="A1744" t="s">
        <v>382</v>
      </c>
      <c r="B1744">
        <v>510</v>
      </c>
      <c r="C1744" t="s">
        <v>2556</v>
      </c>
      <c r="E1744" t="s">
        <v>2557</v>
      </c>
    </row>
    <row r="1745" spans="1:5" x14ac:dyDescent="0.2">
      <c r="A1745" t="s">
        <v>539</v>
      </c>
      <c r="B1745">
        <v>515</v>
      </c>
      <c r="C1745" t="s">
        <v>2838</v>
      </c>
      <c r="E1745" t="s">
        <v>2839</v>
      </c>
    </row>
    <row r="1746" spans="1:5" x14ac:dyDescent="0.2">
      <c r="A1746" t="s">
        <v>2408</v>
      </c>
      <c r="B1746">
        <v>662</v>
      </c>
      <c r="C1746" t="s">
        <v>2864</v>
      </c>
      <c r="E1746" t="s">
        <v>2865</v>
      </c>
    </row>
    <row r="1747" spans="1:5" x14ac:dyDescent="0.2">
      <c r="A1747" t="s">
        <v>505</v>
      </c>
      <c r="B1747">
        <v>511</v>
      </c>
      <c r="C1747" t="s">
        <v>2828</v>
      </c>
      <c r="E1747" t="s">
        <v>2829</v>
      </c>
    </row>
    <row r="1748" spans="1:5" x14ac:dyDescent="0.2">
      <c r="A1748" t="s">
        <v>2408</v>
      </c>
      <c r="B1748">
        <v>690</v>
      </c>
      <c r="C1748" t="s">
        <v>3561</v>
      </c>
      <c r="E1748" t="s">
        <v>3562</v>
      </c>
    </row>
    <row r="1749" spans="1:5" x14ac:dyDescent="0.2">
      <c r="A1749" t="s">
        <v>550</v>
      </c>
      <c r="B1749">
        <v>828</v>
      </c>
      <c r="C1749" t="s">
        <v>3601</v>
      </c>
      <c r="E1749" t="s">
        <v>3602</v>
      </c>
    </row>
    <row r="1750" spans="1:5" x14ac:dyDescent="0.2">
      <c r="A1750" t="s">
        <v>505</v>
      </c>
      <c r="B1750">
        <v>534</v>
      </c>
      <c r="C1750" t="s">
        <v>2397</v>
      </c>
      <c r="E1750" t="s">
        <v>2398</v>
      </c>
    </row>
    <row r="1751" spans="1:5" x14ac:dyDescent="0.2">
      <c r="A1751" t="s">
        <v>505</v>
      </c>
      <c r="B1751">
        <v>880</v>
      </c>
      <c r="C1751" t="s">
        <v>2934</v>
      </c>
      <c r="E1751" t="s">
        <v>2935</v>
      </c>
    </row>
    <row r="1752" spans="1:5" x14ac:dyDescent="0.2">
      <c r="A1752" t="s">
        <v>2408</v>
      </c>
      <c r="B1752">
        <v>669</v>
      </c>
      <c r="C1752" t="s">
        <v>3603</v>
      </c>
      <c r="E1752" t="s">
        <v>3604</v>
      </c>
    </row>
    <row r="1753" spans="1:5" x14ac:dyDescent="0.2">
      <c r="A1753" t="s">
        <v>2408</v>
      </c>
      <c r="B1753">
        <v>536</v>
      </c>
      <c r="C1753" t="s">
        <v>2824</v>
      </c>
      <c r="E1753" t="s">
        <v>2825</v>
      </c>
    </row>
    <row r="1754" spans="1:5" x14ac:dyDescent="0.2">
      <c r="A1754" t="s">
        <v>2408</v>
      </c>
      <c r="B1754">
        <v>552</v>
      </c>
      <c r="C1754" t="s">
        <v>2772</v>
      </c>
      <c r="E1754" t="s">
        <v>2773</v>
      </c>
    </row>
    <row r="1755" spans="1:5" x14ac:dyDescent="0.2">
      <c r="A1755" t="s">
        <v>505</v>
      </c>
      <c r="B1755">
        <v>626</v>
      </c>
      <c r="C1755" t="s">
        <v>2798</v>
      </c>
      <c r="E1755" t="s">
        <v>2799</v>
      </c>
    </row>
    <row r="1756" spans="1:5" x14ac:dyDescent="0.2">
      <c r="A1756" t="s">
        <v>2408</v>
      </c>
      <c r="B1756">
        <v>557</v>
      </c>
      <c r="C1756" t="s">
        <v>3214</v>
      </c>
      <c r="E1756" t="s">
        <v>3215</v>
      </c>
    </row>
    <row r="1757" spans="1:5" x14ac:dyDescent="0.2">
      <c r="A1757" t="s">
        <v>539</v>
      </c>
      <c r="B1757">
        <v>552</v>
      </c>
      <c r="C1757" t="s">
        <v>2612</v>
      </c>
      <c r="E1757" t="s">
        <v>2613</v>
      </c>
    </row>
    <row r="1758" spans="1:5" x14ac:dyDescent="0.2">
      <c r="A1758" t="s">
        <v>650</v>
      </c>
      <c r="B1758">
        <v>935</v>
      </c>
      <c r="C1758" t="s">
        <v>3605</v>
      </c>
      <c r="E1758" t="s">
        <v>3606</v>
      </c>
    </row>
    <row r="1759" spans="1:5" x14ac:dyDescent="0.2">
      <c r="A1759" t="s">
        <v>413</v>
      </c>
      <c r="B1759">
        <v>690</v>
      </c>
      <c r="C1759" t="s">
        <v>3565</v>
      </c>
      <c r="E1759" t="s">
        <v>3566</v>
      </c>
    </row>
    <row r="1760" spans="1:5" x14ac:dyDescent="0.2">
      <c r="A1760" t="s">
        <v>539</v>
      </c>
      <c r="B1760">
        <v>550</v>
      </c>
      <c r="C1760" t="s">
        <v>2816</v>
      </c>
      <c r="D1760" t="s">
        <v>3607</v>
      </c>
      <c r="E1760" t="s">
        <v>2817</v>
      </c>
    </row>
    <row r="1761" spans="1:5" x14ac:dyDescent="0.2">
      <c r="A1761" t="s">
        <v>567</v>
      </c>
      <c r="B1761">
        <v>570</v>
      </c>
      <c r="C1761" t="s">
        <v>2719</v>
      </c>
      <c r="D1761" t="s">
        <v>3608</v>
      </c>
      <c r="E1761" t="s">
        <v>2720</v>
      </c>
    </row>
    <row r="1762" spans="1:5" x14ac:dyDescent="0.2">
      <c r="A1762" t="s">
        <v>550</v>
      </c>
      <c r="B1762">
        <v>660</v>
      </c>
      <c r="C1762" t="s">
        <v>2695</v>
      </c>
      <c r="E1762" t="s">
        <v>2696</v>
      </c>
    </row>
    <row r="1763" spans="1:5" x14ac:dyDescent="0.2">
      <c r="A1763" t="s">
        <v>650</v>
      </c>
      <c r="B1763">
        <v>690</v>
      </c>
      <c r="C1763" t="s">
        <v>3565</v>
      </c>
      <c r="E1763" t="s">
        <v>3573</v>
      </c>
    </row>
    <row r="1764" spans="1:5" x14ac:dyDescent="0.2">
      <c r="A1764" t="s">
        <v>505</v>
      </c>
      <c r="B1764">
        <v>697</v>
      </c>
      <c r="C1764" t="s">
        <v>2671</v>
      </c>
      <c r="E1764" t="s">
        <v>2672</v>
      </c>
    </row>
    <row r="1765" spans="1:5" x14ac:dyDescent="0.2">
      <c r="A1765" t="s">
        <v>413</v>
      </c>
      <c r="B1765">
        <v>690</v>
      </c>
      <c r="C1765" t="s">
        <v>3565</v>
      </c>
      <c r="E1765" t="s">
        <v>3566</v>
      </c>
    </row>
    <row r="1766" spans="1:5" x14ac:dyDescent="0.2">
      <c r="A1766" t="s">
        <v>539</v>
      </c>
      <c r="B1766">
        <v>940</v>
      </c>
      <c r="C1766" t="s">
        <v>2853</v>
      </c>
      <c r="D1766" t="s">
        <v>3609</v>
      </c>
      <c r="E1766" t="s">
        <v>2855</v>
      </c>
    </row>
    <row r="1767" spans="1:5" x14ac:dyDescent="0.2">
      <c r="A1767" t="s">
        <v>539</v>
      </c>
      <c r="B1767">
        <v>890</v>
      </c>
      <c r="C1767" t="s">
        <v>3577</v>
      </c>
      <c r="E1767" t="s">
        <v>3578</v>
      </c>
    </row>
    <row r="1768" spans="1:5" x14ac:dyDescent="0.2">
      <c r="A1768" t="s">
        <v>2383</v>
      </c>
      <c r="B1768">
        <v>680</v>
      </c>
      <c r="C1768" t="s">
        <v>3553</v>
      </c>
      <c r="D1768" t="s">
        <v>3600</v>
      </c>
      <c r="E1768" t="s">
        <v>3579</v>
      </c>
    </row>
    <row r="1769" spans="1:5" x14ac:dyDescent="0.2">
      <c r="A1769" t="s">
        <v>2383</v>
      </c>
      <c r="B1769">
        <v>620</v>
      </c>
      <c r="C1769" t="s">
        <v>3610</v>
      </c>
      <c r="E1769" t="s">
        <v>3611</v>
      </c>
    </row>
    <row r="1770" spans="1:5" x14ac:dyDescent="0.2">
      <c r="A1770" t="s">
        <v>413</v>
      </c>
      <c r="B1770">
        <v>600</v>
      </c>
      <c r="C1770" t="s">
        <v>2689</v>
      </c>
      <c r="E1770" t="s">
        <v>2690</v>
      </c>
    </row>
    <row r="1771" spans="1:5" x14ac:dyDescent="0.2">
      <c r="A1771" t="s">
        <v>413</v>
      </c>
      <c r="B1771">
        <v>674</v>
      </c>
      <c r="C1771" t="s">
        <v>2381</v>
      </c>
      <c r="E1771" t="s">
        <v>2382</v>
      </c>
    </row>
    <row r="1772" spans="1:5" x14ac:dyDescent="0.2">
      <c r="A1772" t="s">
        <v>2383</v>
      </c>
      <c r="B1772">
        <v>885</v>
      </c>
      <c r="C1772" t="s">
        <v>3612</v>
      </c>
      <c r="E1772" t="s">
        <v>3613</v>
      </c>
    </row>
    <row r="1773" spans="1:5" x14ac:dyDescent="0.2">
      <c r="A1773" t="s">
        <v>2383</v>
      </c>
      <c r="B1773">
        <v>680</v>
      </c>
      <c r="C1773" t="s">
        <v>3553</v>
      </c>
      <c r="D1773" t="s">
        <v>3600</v>
      </c>
      <c r="E1773" t="s">
        <v>3579</v>
      </c>
    </row>
    <row r="1774" spans="1:5" x14ac:dyDescent="0.2">
      <c r="A1774" t="s">
        <v>505</v>
      </c>
      <c r="B1774">
        <v>680</v>
      </c>
      <c r="C1774" t="s">
        <v>2564</v>
      </c>
      <c r="E1774" t="s">
        <v>2565</v>
      </c>
    </row>
    <row r="1775" spans="1:5" x14ac:dyDescent="0.2">
      <c r="A1775" t="s">
        <v>2408</v>
      </c>
      <c r="B1775">
        <v>690</v>
      </c>
      <c r="C1775" t="s">
        <v>3561</v>
      </c>
      <c r="E1775" t="s">
        <v>3562</v>
      </c>
    </row>
    <row r="1776" spans="1:5" x14ac:dyDescent="0.2">
      <c r="A1776" t="s">
        <v>2383</v>
      </c>
      <c r="B1776">
        <v>690</v>
      </c>
      <c r="C1776" t="s">
        <v>3565</v>
      </c>
      <c r="E1776" t="s">
        <v>3574</v>
      </c>
    </row>
    <row r="1777" spans="1:5" x14ac:dyDescent="0.2">
      <c r="A1777" t="s">
        <v>2383</v>
      </c>
      <c r="B1777">
        <v>626</v>
      </c>
      <c r="C1777" t="s">
        <v>2883</v>
      </c>
      <c r="E1777" t="s">
        <v>2884</v>
      </c>
    </row>
    <row r="1778" spans="1:5" x14ac:dyDescent="0.2">
      <c r="A1778" t="s">
        <v>539</v>
      </c>
      <c r="B1778">
        <v>690</v>
      </c>
      <c r="C1778" t="s">
        <v>3565</v>
      </c>
      <c r="E1778" t="s">
        <v>3576</v>
      </c>
    </row>
    <row r="1779" spans="1:5" x14ac:dyDescent="0.2">
      <c r="A1779" t="s">
        <v>2408</v>
      </c>
      <c r="B1779">
        <v>659</v>
      </c>
      <c r="C1779" t="s">
        <v>3614</v>
      </c>
      <c r="E1779" t="s">
        <v>3615</v>
      </c>
    </row>
    <row r="1780" spans="1:5" x14ac:dyDescent="0.2">
      <c r="A1780" t="s">
        <v>2383</v>
      </c>
      <c r="B1780">
        <v>690</v>
      </c>
      <c r="C1780" t="s">
        <v>3565</v>
      </c>
      <c r="E1780" t="s">
        <v>3574</v>
      </c>
    </row>
    <row r="1781" spans="1:5" x14ac:dyDescent="0.2">
      <c r="A1781" t="s">
        <v>2408</v>
      </c>
      <c r="B1781">
        <v>560</v>
      </c>
      <c r="C1781" t="s">
        <v>3616</v>
      </c>
      <c r="E1781" t="s">
        <v>3617</v>
      </c>
    </row>
    <row r="1782" spans="1:5" x14ac:dyDescent="0.2">
      <c r="A1782" t="s">
        <v>2408</v>
      </c>
      <c r="B1782">
        <v>767</v>
      </c>
      <c r="C1782" t="s">
        <v>3618</v>
      </c>
      <c r="E1782" t="s">
        <v>3619</v>
      </c>
    </row>
    <row r="1783" spans="1:5" x14ac:dyDescent="0.2">
      <c r="A1783" t="s">
        <v>2383</v>
      </c>
      <c r="B1783">
        <v>680</v>
      </c>
      <c r="C1783" t="s">
        <v>3553</v>
      </c>
      <c r="E1783" t="s">
        <v>3579</v>
      </c>
    </row>
    <row r="1784" spans="1:5" x14ac:dyDescent="0.2">
      <c r="A1784" t="s">
        <v>2408</v>
      </c>
      <c r="B1784">
        <v>641</v>
      </c>
      <c r="C1784" t="s">
        <v>3620</v>
      </c>
      <c r="E1784" t="s">
        <v>3621</v>
      </c>
    </row>
    <row r="1785" spans="1:5" x14ac:dyDescent="0.2">
      <c r="A1785" t="s">
        <v>2383</v>
      </c>
      <c r="B1785">
        <v>880</v>
      </c>
      <c r="C1785" t="s">
        <v>3622</v>
      </c>
      <c r="E1785" t="s">
        <v>3623</v>
      </c>
    </row>
    <row r="1786" spans="1:5" x14ac:dyDescent="0.2">
      <c r="A1786" t="s">
        <v>2408</v>
      </c>
      <c r="B1786">
        <v>690</v>
      </c>
      <c r="C1786" t="s">
        <v>3561</v>
      </c>
      <c r="E1786" t="s">
        <v>3562</v>
      </c>
    </row>
    <row r="1787" spans="1:5" x14ac:dyDescent="0.2">
      <c r="A1787" t="s">
        <v>2383</v>
      </c>
      <c r="B1787">
        <v>995</v>
      </c>
      <c r="C1787" t="s">
        <v>3594</v>
      </c>
      <c r="E1787" t="s">
        <v>3595</v>
      </c>
    </row>
    <row r="1788" spans="1:5" x14ac:dyDescent="0.2">
      <c r="A1788" t="s">
        <v>2408</v>
      </c>
      <c r="B1788">
        <v>543</v>
      </c>
      <c r="C1788" t="s">
        <v>2494</v>
      </c>
      <c r="E1788" t="s">
        <v>2495</v>
      </c>
    </row>
    <row r="1789" spans="1:5" x14ac:dyDescent="0.2">
      <c r="A1789" t="s">
        <v>2408</v>
      </c>
      <c r="B1789">
        <v>662</v>
      </c>
      <c r="C1789" t="s">
        <v>2864</v>
      </c>
      <c r="E1789" t="s">
        <v>2865</v>
      </c>
    </row>
    <row r="1790" spans="1:5" x14ac:dyDescent="0.2">
      <c r="A1790" t="s">
        <v>2408</v>
      </c>
      <c r="B1790">
        <v>760</v>
      </c>
      <c r="C1790" t="s">
        <v>2530</v>
      </c>
      <c r="E1790" t="s">
        <v>2531</v>
      </c>
    </row>
    <row r="1791" spans="1:5" x14ac:dyDescent="0.2">
      <c r="A1791" t="s">
        <v>505</v>
      </c>
      <c r="B1791">
        <v>796</v>
      </c>
      <c r="C1791" t="s">
        <v>2474</v>
      </c>
      <c r="E1791" t="s">
        <v>2475</v>
      </c>
    </row>
    <row r="1792" spans="1:5" x14ac:dyDescent="0.2">
      <c r="A1792" t="s">
        <v>2408</v>
      </c>
      <c r="B1792">
        <v>690</v>
      </c>
      <c r="C1792" t="s">
        <v>3561</v>
      </c>
      <c r="E1792" t="s">
        <v>3562</v>
      </c>
    </row>
    <row r="1793" spans="1:5" x14ac:dyDescent="0.2">
      <c r="A1793" t="s">
        <v>2408</v>
      </c>
      <c r="B1793">
        <v>690</v>
      </c>
      <c r="C1793" t="s">
        <v>3561</v>
      </c>
      <c r="E1793" t="s">
        <v>3562</v>
      </c>
    </row>
    <row r="1794" spans="1:5" x14ac:dyDescent="0.2">
      <c r="A1794" t="s">
        <v>2408</v>
      </c>
      <c r="B1794">
        <v>690</v>
      </c>
      <c r="C1794" t="s">
        <v>3561</v>
      </c>
      <c r="E1794" t="s">
        <v>3562</v>
      </c>
    </row>
    <row r="1795" spans="1:5" x14ac:dyDescent="0.2">
      <c r="A1795" t="s">
        <v>2408</v>
      </c>
      <c r="B1795">
        <v>890</v>
      </c>
      <c r="C1795" t="s">
        <v>3563</v>
      </c>
      <c r="D1795" t="s">
        <v>3624</v>
      </c>
      <c r="E1795" t="s">
        <v>3564</v>
      </c>
    </row>
    <row r="1796" spans="1:5" x14ac:dyDescent="0.2">
      <c r="A1796" t="s">
        <v>413</v>
      </c>
      <c r="B1796">
        <v>690</v>
      </c>
      <c r="C1796" t="s">
        <v>3565</v>
      </c>
      <c r="E1796" t="s">
        <v>3566</v>
      </c>
    </row>
    <row r="1797" spans="1:5" x14ac:dyDescent="0.2">
      <c r="A1797" t="s">
        <v>413</v>
      </c>
      <c r="B1797">
        <v>695</v>
      </c>
      <c r="C1797" t="s">
        <v>3004</v>
      </c>
      <c r="E1797" t="s">
        <v>3005</v>
      </c>
    </row>
    <row r="1798" spans="1:5" x14ac:dyDescent="0.2">
      <c r="A1798" t="s">
        <v>413</v>
      </c>
      <c r="B1798">
        <v>890</v>
      </c>
      <c r="C1798" t="s">
        <v>3569</v>
      </c>
      <c r="E1798" t="s">
        <v>3570</v>
      </c>
    </row>
    <row r="1799" spans="1:5" x14ac:dyDescent="0.2">
      <c r="A1799" t="s">
        <v>413</v>
      </c>
      <c r="B1799">
        <v>895</v>
      </c>
      <c r="C1799" t="s">
        <v>3571</v>
      </c>
      <c r="E1799" t="s">
        <v>3572</v>
      </c>
    </row>
    <row r="1800" spans="1:5" x14ac:dyDescent="0.2">
      <c r="A1800" t="s">
        <v>2383</v>
      </c>
      <c r="B1800">
        <v>995</v>
      </c>
      <c r="C1800" t="s">
        <v>3594</v>
      </c>
      <c r="E1800" t="s">
        <v>3595</v>
      </c>
    </row>
    <row r="1801" spans="1:5" x14ac:dyDescent="0.2">
      <c r="A1801" t="s">
        <v>2383</v>
      </c>
      <c r="B1801">
        <v>995</v>
      </c>
      <c r="C1801" t="s">
        <v>3594</v>
      </c>
      <c r="E1801" t="s">
        <v>3595</v>
      </c>
    </row>
    <row r="1802" spans="1:5" x14ac:dyDescent="0.2">
      <c r="A1802" t="s">
        <v>2383</v>
      </c>
      <c r="B1802">
        <v>995</v>
      </c>
      <c r="C1802" t="s">
        <v>3594</v>
      </c>
      <c r="E1802" t="s">
        <v>3595</v>
      </c>
    </row>
    <row r="1803" spans="1:5" x14ac:dyDescent="0.2">
      <c r="A1803" t="s">
        <v>650</v>
      </c>
      <c r="B1803">
        <v>690</v>
      </c>
      <c r="C1803" t="s">
        <v>3565</v>
      </c>
      <c r="E1803" t="s">
        <v>3573</v>
      </c>
    </row>
    <row r="1804" spans="1:5" x14ac:dyDescent="0.2">
      <c r="A1804" t="s">
        <v>650</v>
      </c>
      <c r="B1804">
        <v>690</v>
      </c>
      <c r="C1804" t="s">
        <v>3565</v>
      </c>
      <c r="E1804" t="s">
        <v>3573</v>
      </c>
    </row>
    <row r="1805" spans="1:5" x14ac:dyDescent="0.2">
      <c r="A1805" t="s">
        <v>650</v>
      </c>
      <c r="B1805">
        <v>695</v>
      </c>
      <c r="C1805" t="s">
        <v>2386</v>
      </c>
      <c r="E1805" t="s">
        <v>2488</v>
      </c>
    </row>
    <row r="1806" spans="1:5" x14ac:dyDescent="0.2">
      <c r="A1806" t="s">
        <v>650</v>
      </c>
      <c r="B1806">
        <v>695</v>
      </c>
      <c r="C1806" t="s">
        <v>2386</v>
      </c>
      <c r="E1806" t="s">
        <v>2488</v>
      </c>
    </row>
    <row r="1807" spans="1:5" x14ac:dyDescent="0.2">
      <c r="A1807" t="s">
        <v>650</v>
      </c>
      <c r="B1807">
        <v>695</v>
      </c>
      <c r="C1807" t="s">
        <v>2386</v>
      </c>
      <c r="E1807" t="s">
        <v>2488</v>
      </c>
    </row>
    <row r="1808" spans="1:5" x14ac:dyDescent="0.2">
      <c r="A1808" t="s">
        <v>650</v>
      </c>
      <c r="B1808">
        <v>695</v>
      </c>
      <c r="C1808" t="s">
        <v>2386</v>
      </c>
      <c r="E1808" t="s">
        <v>2488</v>
      </c>
    </row>
    <row r="1809" spans="1:5" x14ac:dyDescent="0.2">
      <c r="A1809" t="s">
        <v>650</v>
      </c>
      <c r="B1809">
        <v>695</v>
      </c>
      <c r="C1809" t="s">
        <v>2386</v>
      </c>
      <c r="E1809" t="s">
        <v>2488</v>
      </c>
    </row>
    <row r="1810" spans="1:5" x14ac:dyDescent="0.2">
      <c r="A1810" t="s">
        <v>650</v>
      </c>
      <c r="B1810">
        <v>695</v>
      </c>
      <c r="C1810" t="s">
        <v>2386</v>
      </c>
      <c r="E1810" t="s">
        <v>2488</v>
      </c>
    </row>
    <row r="1811" spans="1:5" x14ac:dyDescent="0.2">
      <c r="A1811" t="s">
        <v>650</v>
      </c>
      <c r="B1811">
        <v>695</v>
      </c>
      <c r="C1811" t="s">
        <v>2386</v>
      </c>
      <c r="E1811" t="s">
        <v>2488</v>
      </c>
    </row>
    <row r="1812" spans="1:5" x14ac:dyDescent="0.2">
      <c r="A1812" t="s">
        <v>650</v>
      </c>
      <c r="B1812">
        <v>695</v>
      </c>
      <c r="C1812" t="s">
        <v>2386</v>
      </c>
      <c r="E1812" t="s">
        <v>2488</v>
      </c>
    </row>
    <row r="1813" spans="1:5" x14ac:dyDescent="0.2">
      <c r="A1813" t="s">
        <v>650</v>
      </c>
      <c r="B1813">
        <v>895</v>
      </c>
      <c r="C1813" t="s">
        <v>3557</v>
      </c>
      <c r="E1813" t="s">
        <v>3558</v>
      </c>
    </row>
    <row r="1814" spans="1:5" x14ac:dyDescent="0.2">
      <c r="A1814" t="s">
        <v>650</v>
      </c>
      <c r="B1814">
        <v>895</v>
      </c>
      <c r="C1814" t="s">
        <v>3557</v>
      </c>
      <c r="E1814" t="s">
        <v>3558</v>
      </c>
    </row>
    <row r="1815" spans="1:5" x14ac:dyDescent="0.2">
      <c r="A1815" t="s">
        <v>650</v>
      </c>
      <c r="B1815">
        <v>895</v>
      </c>
      <c r="C1815" t="s">
        <v>3557</v>
      </c>
      <c r="E1815" t="s">
        <v>3558</v>
      </c>
    </row>
    <row r="1816" spans="1:5" x14ac:dyDescent="0.2">
      <c r="A1816" t="s">
        <v>650</v>
      </c>
      <c r="B1816">
        <v>895</v>
      </c>
      <c r="C1816" t="s">
        <v>3557</v>
      </c>
      <c r="E1816" t="s">
        <v>3558</v>
      </c>
    </row>
    <row r="1817" spans="1:5" x14ac:dyDescent="0.2">
      <c r="A1817" t="s">
        <v>650</v>
      </c>
      <c r="B1817">
        <v>895</v>
      </c>
      <c r="C1817" t="s">
        <v>3557</v>
      </c>
      <c r="E1817" t="s">
        <v>3558</v>
      </c>
    </row>
    <row r="1818" spans="1:5" x14ac:dyDescent="0.2">
      <c r="A1818" t="s">
        <v>650</v>
      </c>
      <c r="B1818">
        <v>895</v>
      </c>
      <c r="C1818" t="s">
        <v>3557</v>
      </c>
      <c r="E1818" t="s">
        <v>3558</v>
      </c>
    </row>
    <row r="1819" spans="1:5" x14ac:dyDescent="0.2">
      <c r="A1819" t="s">
        <v>650</v>
      </c>
      <c r="B1819">
        <v>895</v>
      </c>
      <c r="C1819" t="s">
        <v>3557</v>
      </c>
      <c r="E1819" t="s">
        <v>3558</v>
      </c>
    </row>
    <row r="1820" spans="1:5" x14ac:dyDescent="0.2">
      <c r="A1820" t="s">
        <v>650</v>
      </c>
      <c r="B1820">
        <v>895</v>
      </c>
      <c r="C1820" t="s">
        <v>3557</v>
      </c>
      <c r="E1820" t="s">
        <v>3558</v>
      </c>
    </row>
    <row r="1821" spans="1:5" x14ac:dyDescent="0.2">
      <c r="A1821" t="s">
        <v>650</v>
      </c>
      <c r="B1821">
        <v>896</v>
      </c>
      <c r="C1821" t="s">
        <v>3559</v>
      </c>
      <c r="E1821" t="s">
        <v>3560</v>
      </c>
    </row>
    <row r="1822" spans="1:5" x14ac:dyDescent="0.2">
      <c r="A1822" t="s">
        <v>650</v>
      </c>
      <c r="B1822">
        <v>896</v>
      </c>
      <c r="C1822" t="s">
        <v>3559</v>
      </c>
      <c r="E1822" t="s">
        <v>3560</v>
      </c>
    </row>
    <row r="1823" spans="1:5" x14ac:dyDescent="0.2">
      <c r="A1823" t="s">
        <v>650</v>
      </c>
      <c r="B1823">
        <v>896</v>
      </c>
      <c r="C1823" t="s">
        <v>3559</v>
      </c>
      <c r="E1823" t="s">
        <v>3560</v>
      </c>
    </row>
    <row r="1824" spans="1:5" x14ac:dyDescent="0.2">
      <c r="A1824" t="s">
        <v>650</v>
      </c>
      <c r="B1824">
        <v>896</v>
      </c>
      <c r="C1824" t="s">
        <v>3559</v>
      </c>
      <c r="E1824" t="s">
        <v>3560</v>
      </c>
    </row>
    <row r="1825" spans="1:5" x14ac:dyDescent="0.2">
      <c r="A1825" t="s">
        <v>650</v>
      </c>
      <c r="B1825">
        <v>896</v>
      </c>
      <c r="C1825" t="s">
        <v>3559</v>
      </c>
      <c r="E1825" t="s">
        <v>3560</v>
      </c>
    </row>
    <row r="1826" spans="1:5" x14ac:dyDescent="0.2">
      <c r="A1826" t="s">
        <v>650</v>
      </c>
      <c r="B1826">
        <v>896</v>
      </c>
      <c r="C1826" t="s">
        <v>3559</v>
      </c>
      <c r="E1826" t="s">
        <v>3560</v>
      </c>
    </row>
    <row r="1827" spans="1:5" x14ac:dyDescent="0.2">
      <c r="A1827" t="s">
        <v>650</v>
      </c>
      <c r="B1827">
        <v>896</v>
      </c>
      <c r="C1827" t="s">
        <v>3559</v>
      </c>
      <c r="E1827" t="s">
        <v>3560</v>
      </c>
    </row>
    <row r="1828" spans="1:5" x14ac:dyDescent="0.2">
      <c r="A1828" t="s">
        <v>650</v>
      </c>
      <c r="B1828">
        <v>896</v>
      </c>
      <c r="C1828" t="s">
        <v>3559</v>
      </c>
      <c r="E1828" t="s">
        <v>3560</v>
      </c>
    </row>
    <row r="1829" spans="1:5" x14ac:dyDescent="0.2">
      <c r="A1829" t="s">
        <v>2408</v>
      </c>
      <c r="B1829">
        <v>660</v>
      </c>
      <c r="C1829" t="s">
        <v>3567</v>
      </c>
      <c r="E1829" t="s">
        <v>3568</v>
      </c>
    </row>
    <row r="1830" spans="1:5" x14ac:dyDescent="0.2">
      <c r="A1830" t="s">
        <v>550</v>
      </c>
      <c r="B1830">
        <v>690</v>
      </c>
      <c r="C1830" t="s">
        <v>3565</v>
      </c>
      <c r="E1830" t="s">
        <v>3593</v>
      </c>
    </row>
    <row r="1831" spans="1:5" x14ac:dyDescent="0.2">
      <c r="A1831" t="s">
        <v>550</v>
      </c>
      <c r="B1831">
        <v>690</v>
      </c>
      <c r="C1831" t="s">
        <v>3565</v>
      </c>
      <c r="E1831" t="s">
        <v>3593</v>
      </c>
    </row>
    <row r="1832" spans="1:5" x14ac:dyDescent="0.2">
      <c r="A1832" t="s">
        <v>550</v>
      </c>
      <c r="B1832">
        <v>690</v>
      </c>
      <c r="C1832" t="s">
        <v>3565</v>
      </c>
      <c r="E1832" t="s">
        <v>3593</v>
      </c>
    </row>
    <row r="1833" spans="1:5" x14ac:dyDescent="0.2">
      <c r="A1833" t="s">
        <v>550</v>
      </c>
      <c r="B1833">
        <v>890</v>
      </c>
      <c r="C1833" t="s">
        <v>3625</v>
      </c>
      <c r="E1833" t="s">
        <v>3626</v>
      </c>
    </row>
    <row r="1834" spans="1:5" x14ac:dyDescent="0.2">
      <c r="A1834" t="s">
        <v>550</v>
      </c>
      <c r="B1834">
        <v>890</v>
      </c>
      <c r="C1834" t="s">
        <v>3625</v>
      </c>
      <c r="E1834" t="s">
        <v>3626</v>
      </c>
    </row>
    <row r="1835" spans="1:5" x14ac:dyDescent="0.2">
      <c r="A1835" t="s">
        <v>550</v>
      </c>
      <c r="B1835">
        <v>890</v>
      </c>
      <c r="C1835" t="s">
        <v>3625</v>
      </c>
      <c r="E1835" t="s">
        <v>3626</v>
      </c>
    </row>
    <row r="1836" spans="1:5" x14ac:dyDescent="0.2">
      <c r="A1836" t="s">
        <v>550</v>
      </c>
      <c r="B1836">
        <v>890</v>
      </c>
      <c r="C1836" t="s">
        <v>3625</v>
      </c>
      <c r="E1836" t="s">
        <v>3626</v>
      </c>
    </row>
    <row r="1837" spans="1:5" x14ac:dyDescent="0.2">
      <c r="A1837" t="s">
        <v>550</v>
      </c>
      <c r="B1837">
        <v>890</v>
      </c>
      <c r="C1837" t="s">
        <v>3625</v>
      </c>
      <c r="E1837" t="s">
        <v>3626</v>
      </c>
    </row>
    <row r="1838" spans="1:5" x14ac:dyDescent="0.2">
      <c r="A1838" t="s">
        <v>505</v>
      </c>
      <c r="B1838">
        <v>995</v>
      </c>
      <c r="C1838" t="s">
        <v>2938</v>
      </c>
      <c r="E1838" t="s">
        <v>2939</v>
      </c>
    </row>
    <row r="1839" spans="1:5" x14ac:dyDescent="0.2">
      <c r="A1839" t="s">
        <v>550</v>
      </c>
      <c r="B1839">
        <v>695</v>
      </c>
      <c r="C1839" t="s">
        <v>2582</v>
      </c>
      <c r="E1839" t="s">
        <v>2584</v>
      </c>
    </row>
    <row r="1840" spans="1:5" x14ac:dyDescent="0.2">
      <c r="A1840" t="s">
        <v>550</v>
      </c>
      <c r="B1840">
        <v>695</v>
      </c>
      <c r="C1840" t="s">
        <v>2582</v>
      </c>
      <c r="E1840" t="s">
        <v>2584</v>
      </c>
    </row>
    <row r="1841" spans="1:5" x14ac:dyDescent="0.2">
      <c r="A1841" t="s">
        <v>550</v>
      </c>
      <c r="B1841">
        <v>695</v>
      </c>
      <c r="C1841" t="s">
        <v>2582</v>
      </c>
      <c r="E1841" t="s">
        <v>2584</v>
      </c>
    </row>
    <row r="1842" spans="1:5" x14ac:dyDescent="0.2">
      <c r="A1842" t="s">
        <v>550</v>
      </c>
      <c r="B1842">
        <v>695</v>
      </c>
      <c r="C1842" t="s">
        <v>2582</v>
      </c>
      <c r="E1842" t="s">
        <v>2584</v>
      </c>
    </row>
    <row r="1843" spans="1:5" x14ac:dyDescent="0.2">
      <c r="A1843" t="s">
        <v>505</v>
      </c>
      <c r="B1843">
        <v>995</v>
      </c>
      <c r="C1843" t="s">
        <v>2938</v>
      </c>
      <c r="E1843" t="s">
        <v>2939</v>
      </c>
    </row>
    <row r="1844" spans="1:5" x14ac:dyDescent="0.2">
      <c r="A1844" t="s">
        <v>505</v>
      </c>
      <c r="B1844">
        <v>995</v>
      </c>
      <c r="C1844" t="s">
        <v>2938</v>
      </c>
      <c r="E1844" t="s">
        <v>2939</v>
      </c>
    </row>
    <row r="1845" spans="1:5" x14ac:dyDescent="0.2">
      <c r="A1845" t="s">
        <v>505</v>
      </c>
      <c r="B1845">
        <v>995</v>
      </c>
      <c r="C1845" t="s">
        <v>2938</v>
      </c>
      <c r="E1845" t="s">
        <v>2939</v>
      </c>
    </row>
    <row r="1846" spans="1:5" x14ac:dyDescent="0.2">
      <c r="A1846" t="s">
        <v>567</v>
      </c>
      <c r="B1846">
        <v>690</v>
      </c>
      <c r="C1846" t="s">
        <v>3565</v>
      </c>
      <c r="E1846" t="s">
        <v>3582</v>
      </c>
    </row>
    <row r="1847" spans="1:5" x14ac:dyDescent="0.2">
      <c r="A1847" t="s">
        <v>539</v>
      </c>
      <c r="B1847">
        <v>525</v>
      </c>
      <c r="C1847" t="s">
        <v>2681</v>
      </c>
      <c r="E1847" t="s">
        <v>3627</v>
      </c>
    </row>
    <row r="1848" spans="1:5" x14ac:dyDescent="0.2">
      <c r="A1848" t="s">
        <v>650</v>
      </c>
      <c r="B1848">
        <v>639</v>
      </c>
      <c r="C1848" t="s">
        <v>2703</v>
      </c>
      <c r="E1848" t="s">
        <v>2704</v>
      </c>
    </row>
    <row r="1849" spans="1:5" x14ac:dyDescent="0.2">
      <c r="A1849" t="s">
        <v>2408</v>
      </c>
      <c r="B1849">
        <v>562</v>
      </c>
      <c r="C1849" t="s">
        <v>2907</v>
      </c>
      <c r="E1849" t="s">
        <v>2908</v>
      </c>
    </row>
    <row r="1850" spans="1:5" x14ac:dyDescent="0.2">
      <c r="A1850" t="s">
        <v>505</v>
      </c>
      <c r="B1850">
        <v>995</v>
      </c>
      <c r="C1850" t="s">
        <v>2938</v>
      </c>
      <c r="E1850" t="s">
        <v>2939</v>
      </c>
    </row>
    <row r="1851" spans="1:5" x14ac:dyDescent="0.2">
      <c r="A1851" t="s">
        <v>505</v>
      </c>
      <c r="B1851">
        <v>588</v>
      </c>
      <c r="C1851" t="s">
        <v>3253</v>
      </c>
      <c r="E1851" t="s">
        <v>3254</v>
      </c>
    </row>
    <row r="1852" spans="1:5" x14ac:dyDescent="0.2">
      <c r="A1852" t="s">
        <v>2408</v>
      </c>
      <c r="B1852">
        <v>662</v>
      </c>
      <c r="C1852" t="s">
        <v>2864</v>
      </c>
      <c r="E1852" t="s">
        <v>2865</v>
      </c>
    </row>
    <row r="1853" spans="1:5" x14ac:dyDescent="0.2">
      <c r="A1853" t="s">
        <v>2383</v>
      </c>
      <c r="B1853">
        <v>541</v>
      </c>
      <c r="C1853" t="s">
        <v>2404</v>
      </c>
      <c r="E1853" t="s">
        <v>2502</v>
      </c>
    </row>
    <row r="1854" spans="1:5" x14ac:dyDescent="0.2">
      <c r="A1854" t="s">
        <v>505</v>
      </c>
      <c r="B1854">
        <v>797</v>
      </c>
      <c r="C1854" t="s">
        <v>3565</v>
      </c>
      <c r="D1854" t="s">
        <v>3628</v>
      </c>
      <c r="E1854" t="s">
        <v>3629</v>
      </c>
    </row>
    <row r="1855" spans="1:5" x14ac:dyDescent="0.2">
      <c r="A1855" t="s">
        <v>539</v>
      </c>
      <c r="B1855">
        <v>615</v>
      </c>
      <c r="C1855" t="s">
        <v>2928</v>
      </c>
      <c r="E1855" t="s">
        <v>2929</v>
      </c>
    </row>
    <row r="1856" spans="1:5" x14ac:dyDescent="0.2">
      <c r="A1856" t="s">
        <v>567</v>
      </c>
      <c r="B1856">
        <v>690</v>
      </c>
      <c r="C1856" t="s">
        <v>3565</v>
      </c>
      <c r="E1856" t="s">
        <v>3582</v>
      </c>
    </row>
    <row r="1857" spans="1:5" x14ac:dyDescent="0.2">
      <c r="A1857" t="s">
        <v>382</v>
      </c>
      <c r="B1857">
        <v>890</v>
      </c>
      <c r="C1857" t="s">
        <v>3586</v>
      </c>
      <c r="E1857" t="s">
        <v>3587</v>
      </c>
    </row>
    <row r="1858" spans="1:5" x14ac:dyDescent="0.2">
      <c r="A1858" t="s">
        <v>539</v>
      </c>
      <c r="B1858">
        <v>509</v>
      </c>
      <c r="C1858" t="s">
        <v>2836</v>
      </c>
      <c r="E1858" t="s">
        <v>2837</v>
      </c>
    </row>
    <row r="1859" spans="1:5" x14ac:dyDescent="0.2">
      <c r="A1859" t="s">
        <v>567</v>
      </c>
      <c r="B1859">
        <v>551</v>
      </c>
      <c r="C1859" t="s">
        <v>2422</v>
      </c>
      <c r="E1859" t="s">
        <v>2423</v>
      </c>
    </row>
    <row r="1860" spans="1:5" x14ac:dyDescent="0.2">
      <c r="A1860" t="s">
        <v>539</v>
      </c>
      <c r="B1860">
        <v>551</v>
      </c>
      <c r="C1860" t="s">
        <v>2606</v>
      </c>
      <c r="E1860" t="s">
        <v>2607</v>
      </c>
    </row>
    <row r="1861" spans="1:5" x14ac:dyDescent="0.2">
      <c r="A1861" t="s">
        <v>2408</v>
      </c>
      <c r="B1861">
        <v>566</v>
      </c>
      <c r="C1861" t="s">
        <v>2645</v>
      </c>
      <c r="E1861" t="s">
        <v>2646</v>
      </c>
    </row>
    <row r="1862" spans="1:5" x14ac:dyDescent="0.2">
      <c r="A1862" t="s">
        <v>505</v>
      </c>
      <c r="B1862">
        <v>648</v>
      </c>
      <c r="C1862" t="s">
        <v>675</v>
      </c>
      <c r="D1862" t="s">
        <v>3630</v>
      </c>
      <c r="E1862" t="s">
        <v>2396</v>
      </c>
    </row>
    <row r="1863" spans="1:5" x14ac:dyDescent="0.2">
      <c r="A1863" t="s">
        <v>550</v>
      </c>
      <c r="B1863">
        <v>546</v>
      </c>
      <c r="C1863" t="s">
        <v>2504</v>
      </c>
      <c r="E1863" t="s">
        <v>2505</v>
      </c>
    </row>
    <row r="1864" spans="1:5" x14ac:dyDescent="0.2">
      <c r="A1864" t="s">
        <v>505</v>
      </c>
      <c r="B1864">
        <v>898</v>
      </c>
      <c r="C1864" t="s">
        <v>3631</v>
      </c>
      <c r="E1864" t="s">
        <v>3632</v>
      </c>
    </row>
    <row r="1865" spans="1:5" x14ac:dyDescent="0.2">
      <c r="A1865" t="s">
        <v>505</v>
      </c>
      <c r="B1865">
        <v>990</v>
      </c>
      <c r="C1865" t="s">
        <v>3495</v>
      </c>
      <c r="E1865" t="s">
        <v>3496</v>
      </c>
    </row>
    <row r="1866" spans="1:5" x14ac:dyDescent="0.2">
      <c r="A1866" t="s">
        <v>567</v>
      </c>
      <c r="B1866">
        <v>690</v>
      </c>
      <c r="C1866" t="s">
        <v>3565</v>
      </c>
      <c r="E1866" t="s">
        <v>3582</v>
      </c>
    </row>
    <row r="1867" spans="1:5" x14ac:dyDescent="0.2">
      <c r="A1867" t="s">
        <v>505</v>
      </c>
      <c r="B1867">
        <v>797</v>
      </c>
      <c r="C1867" t="s">
        <v>3565</v>
      </c>
      <c r="D1867" t="s">
        <v>3633</v>
      </c>
      <c r="E1867" t="s">
        <v>3629</v>
      </c>
    </row>
    <row r="1868" spans="1:5" x14ac:dyDescent="0.2">
      <c r="A1868" t="s">
        <v>505</v>
      </c>
      <c r="B1868">
        <v>797</v>
      </c>
      <c r="C1868" t="s">
        <v>3565</v>
      </c>
      <c r="D1868" t="s">
        <v>3634</v>
      </c>
      <c r="E1868" t="s">
        <v>3629</v>
      </c>
    </row>
    <row r="1869" spans="1:5" x14ac:dyDescent="0.2">
      <c r="A1869" t="s">
        <v>567</v>
      </c>
      <c r="B1869">
        <v>515</v>
      </c>
      <c r="C1869" t="s">
        <v>3635</v>
      </c>
      <c r="E1869" t="s">
        <v>3636</v>
      </c>
    </row>
    <row r="1870" spans="1:5" x14ac:dyDescent="0.2">
      <c r="A1870" t="s">
        <v>505</v>
      </c>
      <c r="B1870">
        <v>789</v>
      </c>
      <c r="C1870" t="s">
        <v>3637</v>
      </c>
      <c r="E1870" t="s">
        <v>3638</v>
      </c>
    </row>
    <row r="1871" spans="1:5" x14ac:dyDescent="0.2">
      <c r="A1871" t="s">
        <v>382</v>
      </c>
      <c r="B1871">
        <v>890</v>
      </c>
      <c r="C1871" t="s">
        <v>3586</v>
      </c>
      <c r="E1871" t="s">
        <v>3587</v>
      </c>
    </row>
    <row r="1872" spans="1:5" x14ac:dyDescent="0.2">
      <c r="A1872" t="s">
        <v>2408</v>
      </c>
      <c r="B1872">
        <v>538</v>
      </c>
      <c r="C1872" t="s">
        <v>2548</v>
      </c>
      <c r="E1872" t="s">
        <v>2647</v>
      </c>
    </row>
    <row r="1873" spans="1:5" x14ac:dyDescent="0.2">
      <c r="A1873" t="s">
        <v>382</v>
      </c>
      <c r="B1873">
        <v>830</v>
      </c>
      <c r="C1873" t="s">
        <v>3639</v>
      </c>
      <c r="E1873" t="s">
        <v>3640</v>
      </c>
    </row>
    <row r="1874" spans="1:5" x14ac:dyDescent="0.2">
      <c r="A1874" t="s">
        <v>650</v>
      </c>
      <c r="B1874">
        <v>656</v>
      </c>
      <c r="C1874" t="s">
        <v>2620</v>
      </c>
      <c r="E1874" t="s">
        <v>2621</v>
      </c>
    </row>
    <row r="1875" spans="1:5" x14ac:dyDescent="0.2">
      <c r="A1875" t="s">
        <v>413</v>
      </c>
      <c r="B1875">
        <v>567</v>
      </c>
      <c r="C1875" t="s">
        <v>2622</v>
      </c>
      <c r="E1875" t="s">
        <v>2623</v>
      </c>
    </row>
    <row r="1876" spans="1:5" x14ac:dyDescent="0.2">
      <c r="A1876" t="s">
        <v>2408</v>
      </c>
      <c r="B1876">
        <v>543</v>
      </c>
      <c r="C1876" t="s">
        <v>2494</v>
      </c>
      <c r="E1876" t="s">
        <v>2495</v>
      </c>
    </row>
    <row r="1877" spans="1:5" x14ac:dyDescent="0.2">
      <c r="A1877" t="s">
        <v>650</v>
      </c>
      <c r="B1877">
        <v>627</v>
      </c>
      <c r="C1877" t="s">
        <v>2641</v>
      </c>
      <c r="E1877" t="s">
        <v>2642</v>
      </c>
    </row>
    <row r="1878" spans="1:5" x14ac:dyDescent="0.2">
      <c r="A1878" t="s">
        <v>413</v>
      </c>
      <c r="B1878">
        <v>505</v>
      </c>
      <c r="C1878" t="s">
        <v>2440</v>
      </c>
      <c r="E1878" t="s">
        <v>2441</v>
      </c>
    </row>
    <row r="1879" spans="1:5" x14ac:dyDescent="0.2">
      <c r="A1879" t="s">
        <v>505</v>
      </c>
      <c r="B1879">
        <v>880</v>
      </c>
      <c r="C1879" t="s">
        <v>2934</v>
      </c>
      <c r="E1879" t="s">
        <v>2935</v>
      </c>
    </row>
    <row r="1880" spans="1:5" x14ac:dyDescent="0.2">
      <c r="A1880" t="s">
        <v>505</v>
      </c>
      <c r="B1880">
        <v>995</v>
      </c>
      <c r="C1880" t="s">
        <v>2938</v>
      </c>
      <c r="E1880" t="s">
        <v>2939</v>
      </c>
    </row>
    <row r="1881" spans="1:5" x14ac:dyDescent="0.2">
      <c r="A1881" t="s">
        <v>2408</v>
      </c>
      <c r="B1881">
        <v>586</v>
      </c>
      <c r="C1881" t="s">
        <v>3138</v>
      </c>
      <c r="D1881" t="s">
        <v>3641</v>
      </c>
      <c r="E1881" t="s">
        <v>3140</v>
      </c>
    </row>
    <row r="1882" spans="1:5" x14ac:dyDescent="0.2">
      <c r="A1882" t="s">
        <v>2408</v>
      </c>
      <c r="B1882">
        <v>586</v>
      </c>
      <c r="C1882" t="s">
        <v>3138</v>
      </c>
      <c r="D1882" t="s">
        <v>3642</v>
      </c>
      <c r="E1882" t="s">
        <v>3140</v>
      </c>
    </row>
    <row r="1883" spans="1:5" x14ac:dyDescent="0.2">
      <c r="A1883" t="s">
        <v>382</v>
      </c>
      <c r="B1883">
        <v>830</v>
      </c>
      <c r="C1883" t="s">
        <v>3639</v>
      </c>
      <c r="E1883" t="s">
        <v>3640</v>
      </c>
    </row>
    <row r="1884" spans="1:5" x14ac:dyDescent="0.2">
      <c r="A1884" t="s">
        <v>382</v>
      </c>
      <c r="B1884">
        <v>810</v>
      </c>
      <c r="C1884" t="s">
        <v>2446</v>
      </c>
      <c r="E1884" t="s">
        <v>2447</v>
      </c>
    </row>
    <row r="1885" spans="1:5" x14ac:dyDescent="0.2">
      <c r="A1885" t="s">
        <v>567</v>
      </c>
      <c r="B1885">
        <v>570</v>
      </c>
      <c r="C1885" t="s">
        <v>2719</v>
      </c>
      <c r="E1885" t="s">
        <v>2720</v>
      </c>
    </row>
    <row r="1886" spans="1:5" x14ac:dyDescent="0.2">
      <c r="A1886" t="s">
        <v>550</v>
      </c>
      <c r="B1886">
        <v>561</v>
      </c>
      <c r="C1886" t="s">
        <v>2492</v>
      </c>
      <c r="E1886" t="s">
        <v>2493</v>
      </c>
    </row>
    <row r="1887" spans="1:5" x14ac:dyDescent="0.2">
      <c r="A1887" t="s">
        <v>539</v>
      </c>
      <c r="B1887">
        <v>550</v>
      </c>
      <c r="C1887" t="s">
        <v>2816</v>
      </c>
      <c r="E1887" t="s">
        <v>2817</v>
      </c>
    </row>
    <row r="1888" spans="1:5" x14ac:dyDescent="0.2">
      <c r="A1888" t="s">
        <v>2408</v>
      </c>
      <c r="B1888">
        <v>523</v>
      </c>
      <c r="C1888" t="s">
        <v>2406</v>
      </c>
      <c r="E1888" t="s">
        <v>2419</v>
      </c>
    </row>
    <row r="1889" spans="1:5" x14ac:dyDescent="0.2">
      <c r="A1889" t="s">
        <v>550</v>
      </c>
      <c r="B1889">
        <v>695</v>
      </c>
      <c r="C1889" t="s">
        <v>2582</v>
      </c>
      <c r="E1889" t="s">
        <v>2584</v>
      </c>
    </row>
    <row r="1890" spans="1:5" x14ac:dyDescent="0.2">
      <c r="A1890" t="s">
        <v>550</v>
      </c>
      <c r="B1890">
        <v>690</v>
      </c>
      <c r="C1890" t="s">
        <v>3565</v>
      </c>
      <c r="E1890" t="s">
        <v>3593</v>
      </c>
    </row>
    <row r="1891" spans="1:5" x14ac:dyDescent="0.2">
      <c r="A1891" t="s">
        <v>413</v>
      </c>
      <c r="B1891">
        <v>690</v>
      </c>
      <c r="C1891" t="s">
        <v>3565</v>
      </c>
      <c r="E1891" t="s">
        <v>3566</v>
      </c>
    </row>
    <row r="1892" spans="1:5" x14ac:dyDescent="0.2">
      <c r="A1892" t="s">
        <v>567</v>
      </c>
      <c r="B1892">
        <v>570</v>
      </c>
      <c r="C1892" t="s">
        <v>2719</v>
      </c>
      <c r="E1892" t="s">
        <v>2720</v>
      </c>
    </row>
    <row r="1893" spans="1:5" x14ac:dyDescent="0.2">
      <c r="A1893" t="s">
        <v>2408</v>
      </c>
      <c r="B1893">
        <v>774</v>
      </c>
      <c r="C1893" t="s">
        <v>3347</v>
      </c>
      <c r="E1893" t="s">
        <v>3643</v>
      </c>
    </row>
    <row r="1894" spans="1:5" x14ac:dyDescent="0.2">
      <c r="A1894" t="s">
        <v>550</v>
      </c>
      <c r="B1894">
        <v>727</v>
      </c>
      <c r="C1894" t="s">
        <v>3644</v>
      </c>
      <c r="E1894" t="s">
        <v>3645</v>
      </c>
    </row>
    <row r="1895" spans="1:5" x14ac:dyDescent="0.2">
      <c r="A1895" t="s">
        <v>567</v>
      </c>
      <c r="B1895">
        <v>890</v>
      </c>
      <c r="C1895" t="s">
        <v>3519</v>
      </c>
      <c r="E1895" t="s">
        <v>3521</v>
      </c>
    </row>
    <row r="1896" spans="1:5" x14ac:dyDescent="0.2">
      <c r="A1896" t="s">
        <v>505</v>
      </c>
      <c r="B1896">
        <v>648</v>
      </c>
      <c r="C1896" t="s">
        <v>675</v>
      </c>
      <c r="D1896" t="s">
        <v>3646</v>
      </c>
      <c r="E1896" t="s">
        <v>2396</v>
      </c>
    </row>
    <row r="1897" spans="1:5" x14ac:dyDescent="0.2">
      <c r="A1897" t="s">
        <v>2408</v>
      </c>
      <c r="B1897">
        <v>575</v>
      </c>
      <c r="C1897" t="s">
        <v>3647</v>
      </c>
      <c r="E1897" t="s">
        <v>3648</v>
      </c>
    </row>
    <row r="1898" spans="1:5" x14ac:dyDescent="0.2">
      <c r="A1898" t="s">
        <v>539</v>
      </c>
      <c r="B1898">
        <v>550</v>
      </c>
      <c r="C1898" t="s">
        <v>2816</v>
      </c>
      <c r="E1898" t="s">
        <v>2817</v>
      </c>
    </row>
    <row r="1899" spans="1:5" x14ac:dyDescent="0.2">
      <c r="A1899" t="s">
        <v>2383</v>
      </c>
      <c r="B1899">
        <v>541</v>
      </c>
      <c r="C1899" t="s">
        <v>2404</v>
      </c>
      <c r="E1899" t="s">
        <v>2502</v>
      </c>
    </row>
    <row r="1900" spans="1:5" x14ac:dyDescent="0.2">
      <c r="A1900" t="s">
        <v>505</v>
      </c>
      <c r="B1900">
        <v>880</v>
      </c>
      <c r="C1900" t="s">
        <v>2934</v>
      </c>
      <c r="E1900" t="s">
        <v>2935</v>
      </c>
    </row>
    <row r="1901" spans="1:5" x14ac:dyDescent="0.2">
      <c r="A1901" t="s">
        <v>505</v>
      </c>
      <c r="B1901">
        <v>648</v>
      </c>
      <c r="C1901" t="s">
        <v>675</v>
      </c>
      <c r="D1901" t="s">
        <v>3649</v>
      </c>
      <c r="E1901" t="s">
        <v>2396</v>
      </c>
    </row>
    <row r="1902" spans="1:5" x14ac:dyDescent="0.2">
      <c r="A1902" t="s">
        <v>2383</v>
      </c>
      <c r="B1902">
        <v>995</v>
      </c>
      <c r="C1902" t="s">
        <v>3594</v>
      </c>
      <c r="E1902" t="s">
        <v>3595</v>
      </c>
    </row>
    <row r="1903" spans="1:5" x14ac:dyDescent="0.2">
      <c r="A1903" t="s">
        <v>2408</v>
      </c>
      <c r="B1903">
        <v>767</v>
      </c>
      <c r="C1903" t="s">
        <v>3618</v>
      </c>
      <c r="E1903" t="s">
        <v>3619</v>
      </c>
    </row>
    <row r="1904" spans="1:5" x14ac:dyDescent="0.2">
      <c r="A1904" t="s">
        <v>505</v>
      </c>
      <c r="B1904">
        <v>648</v>
      </c>
      <c r="C1904" t="s">
        <v>675</v>
      </c>
      <c r="D1904" t="s">
        <v>3650</v>
      </c>
      <c r="E1904" t="s">
        <v>2396</v>
      </c>
    </row>
    <row r="1905" spans="1:5" x14ac:dyDescent="0.2">
      <c r="A1905" t="s">
        <v>567</v>
      </c>
      <c r="B1905">
        <v>552</v>
      </c>
      <c r="C1905" t="s">
        <v>2424</v>
      </c>
      <c r="E1905" t="s">
        <v>2425</v>
      </c>
    </row>
    <row r="1906" spans="1:5" x14ac:dyDescent="0.2">
      <c r="A1906" t="s">
        <v>2383</v>
      </c>
      <c r="B1906">
        <v>707</v>
      </c>
      <c r="C1906" t="s">
        <v>3651</v>
      </c>
      <c r="E1906" t="s">
        <v>3652</v>
      </c>
    </row>
    <row r="1907" spans="1:5" x14ac:dyDescent="0.2">
      <c r="A1907" t="s">
        <v>567</v>
      </c>
      <c r="B1907">
        <v>639</v>
      </c>
      <c r="C1907" t="s">
        <v>2813</v>
      </c>
      <c r="E1907" t="s">
        <v>2814</v>
      </c>
    </row>
    <row r="1908" spans="1:5" x14ac:dyDescent="0.2">
      <c r="A1908" t="s">
        <v>2408</v>
      </c>
      <c r="B1908">
        <v>778</v>
      </c>
      <c r="C1908" t="s">
        <v>3191</v>
      </c>
      <c r="E1908" t="s">
        <v>3192</v>
      </c>
    </row>
    <row r="1909" spans="1:5" x14ac:dyDescent="0.2">
      <c r="A1909" t="s">
        <v>505</v>
      </c>
      <c r="B1909">
        <v>796</v>
      </c>
      <c r="C1909" t="s">
        <v>2474</v>
      </c>
      <c r="E1909" t="s">
        <v>2475</v>
      </c>
    </row>
    <row r="1910" spans="1:5" x14ac:dyDescent="0.2">
      <c r="A1910" t="s">
        <v>2383</v>
      </c>
      <c r="B1910">
        <v>503</v>
      </c>
      <c r="C1910" t="s">
        <v>2433</v>
      </c>
      <c r="E1910" t="s">
        <v>2491</v>
      </c>
    </row>
    <row r="1911" spans="1:5" x14ac:dyDescent="0.2">
      <c r="A1911" t="s">
        <v>382</v>
      </c>
      <c r="B1911">
        <v>630</v>
      </c>
      <c r="C1911" t="s">
        <v>3653</v>
      </c>
      <c r="E1911" t="s">
        <v>3654</v>
      </c>
    </row>
    <row r="1912" spans="1:5" x14ac:dyDescent="0.2">
      <c r="A1912" t="s">
        <v>413</v>
      </c>
      <c r="B1912">
        <v>895</v>
      </c>
      <c r="C1912" t="s">
        <v>3571</v>
      </c>
      <c r="E1912" t="s">
        <v>3572</v>
      </c>
    </row>
    <row r="1913" spans="1:5" x14ac:dyDescent="0.2">
      <c r="A1913" t="s">
        <v>539</v>
      </c>
      <c r="B1913">
        <v>695</v>
      </c>
      <c r="C1913" t="s">
        <v>2636</v>
      </c>
      <c r="D1913" t="s">
        <v>3655</v>
      </c>
      <c r="E1913" t="s">
        <v>2638</v>
      </c>
    </row>
    <row r="1914" spans="1:5" x14ac:dyDescent="0.2">
      <c r="A1914" t="s">
        <v>505</v>
      </c>
      <c r="B1914">
        <v>688</v>
      </c>
      <c r="C1914" t="s">
        <v>2586</v>
      </c>
      <c r="E1914" t="s">
        <v>2587</v>
      </c>
    </row>
    <row r="1915" spans="1:5" x14ac:dyDescent="0.2">
      <c r="A1915" t="s">
        <v>539</v>
      </c>
      <c r="B1915">
        <v>550</v>
      </c>
      <c r="C1915" t="s">
        <v>2816</v>
      </c>
      <c r="E1915" t="s">
        <v>2817</v>
      </c>
    </row>
    <row r="1916" spans="1:5" x14ac:dyDescent="0.2">
      <c r="A1916" t="s">
        <v>382</v>
      </c>
      <c r="B1916">
        <v>514</v>
      </c>
      <c r="C1916" t="s">
        <v>2840</v>
      </c>
      <c r="E1916" t="s">
        <v>2841</v>
      </c>
    </row>
    <row r="1917" spans="1:5" x14ac:dyDescent="0.2">
      <c r="A1917" t="s">
        <v>382</v>
      </c>
      <c r="B1917">
        <v>630</v>
      </c>
      <c r="C1917" t="s">
        <v>3653</v>
      </c>
      <c r="E1917" t="s">
        <v>3654</v>
      </c>
    </row>
    <row r="1918" spans="1:5" x14ac:dyDescent="0.2">
      <c r="A1918" t="s">
        <v>2383</v>
      </c>
      <c r="B1918">
        <v>664</v>
      </c>
      <c r="C1918" t="s">
        <v>3538</v>
      </c>
      <c r="E1918" t="s">
        <v>3656</v>
      </c>
    </row>
    <row r="1919" spans="1:5" x14ac:dyDescent="0.2">
      <c r="A1919" t="s">
        <v>2383</v>
      </c>
      <c r="B1919">
        <v>995</v>
      </c>
      <c r="C1919" t="s">
        <v>3594</v>
      </c>
      <c r="E1919" t="s">
        <v>3595</v>
      </c>
    </row>
    <row r="1920" spans="1:5" x14ac:dyDescent="0.2">
      <c r="A1920" t="s">
        <v>505</v>
      </c>
      <c r="B1920">
        <v>678</v>
      </c>
      <c r="C1920" t="s">
        <v>3657</v>
      </c>
      <c r="E1920" t="s">
        <v>3658</v>
      </c>
    </row>
    <row r="1921" spans="1:5" x14ac:dyDescent="0.2">
      <c r="A1921" t="s">
        <v>413</v>
      </c>
      <c r="B1921">
        <v>690</v>
      </c>
      <c r="C1921" t="s">
        <v>3565</v>
      </c>
      <c r="D1921" t="s">
        <v>3659</v>
      </c>
      <c r="E1921" t="s">
        <v>3566</v>
      </c>
    </row>
    <row r="1922" spans="1:5" x14ac:dyDescent="0.2">
      <c r="A1922" t="s">
        <v>382</v>
      </c>
      <c r="B1922">
        <v>890</v>
      </c>
      <c r="C1922" t="s">
        <v>3586</v>
      </c>
      <c r="E1922" t="s">
        <v>3587</v>
      </c>
    </row>
    <row r="1923" spans="1:5" x14ac:dyDescent="0.2">
      <c r="A1923" t="s">
        <v>505</v>
      </c>
      <c r="B1923">
        <v>788</v>
      </c>
      <c r="C1923" t="s">
        <v>2476</v>
      </c>
      <c r="E1923" t="s">
        <v>2477</v>
      </c>
    </row>
    <row r="1924" spans="1:5" x14ac:dyDescent="0.2">
      <c r="A1924" t="s">
        <v>413</v>
      </c>
      <c r="B1924">
        <v>690</v>
      </c>
      <c r="C1924" t="s">
        <v>3565</v>
      </c>
      <c r="D1924" t="s">
        <v>3660</v>
      </c>
      <c r="E1924" t="s">
        <v>3566</v>
      </c>
    </row>
    <row r="1925" spans="1:5" x14ac:dyDescent="0.2">
      <c r="A1925" t="s">
        <v>505</v>
      </c>
      <c r="B1925">
        <v>844</v>
      </c>
      <c r="C1925" t="s">
        <v>2932</v>
      </c>
      <c r="E1925" t="s">
        <v>2933</v>
      </c>
    </row>
    <row r="1926" spans="1:5" x14ac:dyDescent="0.2">
      <c r="A1926" t="s">
        <v>2383</v>
      </c>
      <c r="B1926">
        <v>620</v>
      </c>
      <c r="C1926" t="s">
        <v>3610</v>
      </c>
      <c r="E1926" t="s">
        <v>3611</v>
      </c>
    </row>
    <row r="1927" spans="1:5" x14ac:dyDescent="0.2">
      <c r="A1927" t="s">
        <v>650</v>
      </c>
      <c r="B1927">
        <v>895</v>
      </c>
      <c r="C1927" t="s">
        <v>3557</v>
      </c>
      <c r="E1927" t="s">
        <v>3558</v>
      </c>
    </row>
    <row r="1928" spans="1:5" x14ac:dyDescent="0.2">
      <c r="A1928" t="s">
        <v>2408</v>
      </c>
      <c r="B1928">
        <v>586</v>
      </c>
      <c r="C1928" t="s">
        <v>3138</v>
      </c>
      <c r="E1928" t="s">
        <v>3140</v>
      </c>
    </row>
    <row r="1929" spans="1:5" x14ac:dyDescent="0.2">
      <c r="A1929" t="s">
        <v>567</v>
      </c>
      <c r="B1929">
        <v>695</v>
      </c>
      <c r="C1929" t="s">
        <v>3661</v>
      </c>
      <c r="E1929" t="s">
        <v>3662</v>
      </c>
    </row>
    <row r="1930" spans="1:5" x14ac:dyDescent="0.2">
      <c r="A1930" t="s">
        <v>413</v>
      </c>
      <c r="B1930">
        <v>505</v>
      </c>
      <c r="C1930" t="s">
        <v>2440</v>
      </c>
      <c r="E1930" t="s">
        <v>2441</v>
      </c>
    </row>
    <row r="1931" spans="1:5" x14ac:dyDescent="0.2">
      <c r="A1931" t="s">
        <v>650</v>
      </c>
      <c r="B1931">
        <v>649</v>
      </c>
      <c r="C1931" t="s">
        <v>2979</v>
      </c>
      <c r="E1931" t="s">
        <v>2980</v>
      </c>
    </row>
    <row r="1932" spans="1:5" x14ac:dyDescent="0.2">
      <c r="A1932" t="s">
        <v>650</v>
      </c>
      <c r="B1932">
        <v>695</v>
      </c>
      <c r="C1932" t="s">
        <v>2386</v>
      </c>
      <c r="D1932" t="s">
        <v>2487</v>
      </c>
      <c r="E1932" t="s">
        <v>2488</v>
      </c>
    </row>
    <row r="1933" spans="1:5" x14ac:dyDescent="0.2">
      <c r="A1933" t="s">
        <v>2408</v>
      </c>
      <c r="B1933">
        <v>543</v>
      </c>
      <c r="C1933" t="s">
        <v>2494</v>
      </c>
      <c r="E1933" t="s">
        <v>2495</v>
      </c>
    </row>
    <row r="1934" spans="1:5" x14ac:dyDescent="0.2">
      <c r="A1934" t="s">
        <v>539</v>
      </c>
      <c r="B1934">
        <v>567</v>
      </c>
      <c r="C1934" t="s">
        <v>2417</v>
      </c>
      <c r="E1934" t="s">
        <v>2418</v>
      </c>
    </row>
    <row r="1935" spans="1:5" x14ac:dyDescent="0.2">
      <c r="A1935" t="s">
        <v>2408</v>
      </c>
      <c r="B1935">
        <v>523</v>
      </c>
      <c r="C1935" t="s">
        <v>2406</v>
      </c>
      <c r="E1935" t="s">
        <v>2419</v>
      </c>
    </row>
    <row r="1936" spans="1:5" x14ac:dyDescent="0.2">
      <c r="A1936" t="s">
        <v>413</v>
      </c>
      <c r="B1936">
        <v>674</v>
      </c>
      <c r="C1936" t="s">
        <v>2381</v>
      </c>
      <c r="E1936" t="s">
        <v>2382</v>
      </c>
    </row>
    <row r="1937" spans="1:5" x14ac:dyDescent="0.2">
      <c r="A1937" t="s">
        <v>382</v>
      </c>
      <c r="B1937">
        <v>510</v>
      </c>
      <c r="C1937" t="s">
        <v>2556</v>
      </c>
      <c r="E1937" t="s">
        <v>2557</v>
      </c>
    </row>
    <row r="1938" spans="1:5" x14ac:dyDescent="0.2">
      <c r="A1938" t="s">
        <v>2383</v>
      </c>
      <c r="B1938">
        <v>534</v>
      </c>
      <c r="C1938" t="s">
        <v>2489</v>
      </c>
      <c r="E1938" t="s">
        <v>2490</v>
      </c>
    </row>
    <row r="1939" spans="1:5" x14ac:dyDescent="0.2">
      <c r="A1939" t="s">
        <v>2408</v>
      </c>
      <c r="B1939">
        <v>637</v>
      </c>
      <c r="C1939" t="s">
        <v>2498</v>
      </c>
      <c r="E1939" t="s">
        <v>2499</v>
      </c>
    </row>
    <row r="1940" spans="1:5" x14ac:dyDescent="0.2">
      <c r="A1940" t="s">
        <v>650</v>
      </c>
      <c r="B1940">
        <v>625</v>
      </c>
      <c r="C1940" t="s">
        <v>2842</v>
      </c>
      <c r="E1940" t="s">
        <v>2843</v>
      </c>
    </row>
    <row r="1941" spans="1:5" x14ac:dyDescent="0.2">
      <c r="A1941" t="s">
        <v>2383</v>
      </c>
      <c r="B1941">
        <v>503</v>
      </c>
      <c r="C1941" t="s">
        <v>2433</v>
      </c>
      <c r="E1941" t="s">
        <v>2491</v>
      </c>
    </row>
    <row r="1942" spans="1:5" x14ac:dyDescent="0.2">
      <c r="A1942" t="s">
        <v>539</v>
      </c>
      <c r="B1942">
        <v>536</v>
      </c>
      <c r="C1942" t="s">
        <v>2658</v>
      </c>
      <c r="E1942" t="s">
        <v>2640</v>
      </c>
    </row>
    <row r="1943" spans="1:5" x14ac:dyDescent="0.2">
      <c r="A1943" t="s">
        <v>2408</v>
      </c>
      <c r="B1943">
        <v>539</v>
      </c>
      <c r="C1943" t="s">
        <v>2420</v>
      </c>
      <c r="E1943" t="s">
        <v>2421</v>
      </c>
    </row>
    <row r="1944" spans="1:5" x14ac:dyDescent="0.2">
      <c r="A1944" t="s">
        <v>567</v>
      </c>
      <c r="B1944">
        <v>546</v>
      </c>
      <c r="C1944" t="s">
        <v>2442</v>
      </c>
      <c r="E1944" t="s">
        <v>2443</v>
      </c>
    </row>
    <row r="1945" spans="1:5" x14ac:dyDescent="0.2">
      <c r="A1945" t="s">
        <v>539</v>
      </c>
      <c r="B1945">
        <v>567</v>
      </c>
      <c r="C1945" t="s">
        <v>2417</v>
      </c>
      <c r="E1945" t="s">
        <v>2418</v>
      </c>
    </row>
    <row r="1946" spans="1:5" x14ac:dyDescent="0.2">
      <c r="A1946" t="s">
        <v>567</v>
      </c>
      <c r="B1946">
        <v>690</v>
      </c>
      <c r="C1946" t="s">
        <v>3565</v>
      </c>
      <c r="E1946" t="s">
        <v>3582</v>
      </c>
    </row>
    <row r="1947" spans="1:5" x14ac:dyDescent="0.2">
      <c r="A1947" t="s">
        <v>567</v>
      </c>
      <c r="B1947">
        <v>690</v>
      </c>
      <c r="C1947" t="s">
        <v>3565</v>
      </c>
      <c r="E1947" t="s">
        <v>3582</v>
      </c>
    </row>
    <row r="1948" spans="1:5" x14ac:dyDescent="0.2">
      <c r="A1948" t="s">
        <v>567</v>
      </c>
      <c r="B1948">
        <v>620</v>
      </c>
      <c r="C1948" t="s">
        <v>2431</v>
      </c>
      <c r="E1948" t="s">
        <v>2432</v>
      </c>
    </row>
    <row r="1949" spans="1:5" x14ac:dyDescent="0.2">
      <c r="A1949" t="s">
        <v>2408</v>
      </c>
      <c r="B1949">
        <v>540</v>
      </c>
      <c r="C1949" t="s">
        <v>3663</v>
      </c>
      <c r="E1949" t="s">
        <v>3664</v>
      </c>
    </row>
    <row r="1950" spans="1:5" x14ac:dyDescent="0.2">
      <c r="A1950" t="s">
        <v>550</v>
      </c>
      <c r="B1950">
        <v>546</v>
      </c>
      <c r="C1950" t="s">
        <v>2504</v>
      </c>
      <c r="E1950" t="s">
        <v>2505</v>
      </c>
    </row>
    <row r="1951" spans="1:5" x14ac:dyDescent="0.2">
      <c r="A1951" t="s">
        <v>413</v>
      </c>
      <c r="B1951">
        <v>890</v>
      </c>
      <c r="C1951" t="s">
        <v>3569</v>
      </c>
      <c r="E1951" t="s">
        <v>3570</v>
      </c>
    </row>
    <row r="1952" spans="1:5" x14ac:dyDescent="0.2">
      <c r="A1952" t="s">
        <v>413</v>
      </c>
      <c r="B1952">
        <v>690</v>
      </c>
      <c r="C1952" t="s">
        <v>3565</v>
      </c>
      <c r="D1952" t="s">
        <v>3665</v>
      </c>
      <c r="E1952" t="s">
        <v>3566</v>
      </c>
    </row>
    <row r="1953" spans="1:5" x14ac:dyDescent="0.2">
      <c r="A1953" t="s">
        <v>550</v>
      </c>
      <c r="B1953">
        <v>706</v>
      </c>
      <c r="C1953" t="s">
        <v>3666</v>
      </c>
      <c r="E1953" t="s">
        <v>3667</v>
      </c>
    </row>
    <row r="1954" spans="1:5" x14ac:dyDescent="0.2">
      <c r="A1954" t="s">
        <v>2383</v>
      </c>
      <c r="B1954">
        <v>610</v>
      </c>
      <c r="C1954" t="s">
        <v>2546</v>
      </c>
      <c r="E1954" t="s">
        <v>2618</v>
      </c>
    </row>
    <row r="1955" spans="1:5" x14ac:dyDescent="0.2">
      <c r="A1955" t="s">
        <v>650</v>
      </c>
      <c r="B1955">
        <v>678</v>
      </c>
      <c r="C1955" t="s">
        <v>2691</v>
      </c>
      <c r="E1955" t="s">
        <v>2692</v>
      </c>
    </row>
    <row r="1956" spans="1:5" x14ac:dyDescent="0.2">
      <c r="A1956" t="s">
        <v>567</v>
      </c>
      <c r="B1956">
        <v>556</v>
      </c>
      <c r="C1956" t="s">
        <v>2562</v>
      </c>
      <c r="D1956" t="s">
        <v>3668</v>
      </c>
      <c r="E1956" t="s">
        <v>2537</v>
      </c>
    </row>
    <row r="1957" spans="1:5" x14ac:dyDescent="0.2">
      <c r="A1957" t="s">
        <v>382</v>
      </c>
      <c r="B1957">
        <v>510</v>
      </c>
      <c r="C1957" t="s">
        <v>2556</v>
      </c>
      <c r="E1957" t="s">
        <v>2557</v>
      </c>
    </row>
    <row r="1958" spans="1:5" x14ac:dyDescent="0.2">
      <c r="A1958" t="s">
        <v>2408</v>
      </c>
      <c r="B1958">
        <v>539</v>
      </c>
      <c r="C1958" t="s">
        <v>2420</v>
      </c>
      <c r="E1958" t="s">
        <v>2421</v>
      </c>
    </row>
    <row r="1959" spans="1:5" x14ac:dyDescent="0.2">
      <c r="A1959" t="s">
        <v>567</v>
      </c>
      <c r="B1959">
        <v>566</v>
      </c>
      <c r="C1959" t="s">
        <v>2528</v>
      </c>
      <c r="E1959" t="s">
        <v>2529</v>
      </c>
    </row>
    <row r="1960" spans="1:5" x14ac:dyDescent="0.2">
      <c r="A1960" t="s">
        <v>2383</v>
      </c>
      <c r="B1960">
        <v>503</v>
      </c>
      <c r="C1960" t="s">
        <v>2433</v>
      </c>
      <c r="E1960" t="s">
        <v>2491</v>
      </c>
    </row>
    <row r="1961" spans="1:5" x14ac:dyDescent="0.2">
      <c r="A1961" t="s">
        <v>413</v>
      </c>
      <c r="B1961">
        <v>505</v>
      </c>
      <c r="C1961" t="s">
        <v>2440</v>
      </c>
      <c r="E1961" t="s">
        <v>2441</v>
      </c>
    </row>
    <row r="1962" spans="1:5" x14ac:dyDescent="0.2">
      <c r="A1962" t="s">
        <v>2408</v>
      </c>
      <c r="B1962">
        <v>638</v>
      </c>
      <c r="C1962" t="s">
        <v>3669</v>
      </c>
      <c r="E1962" t="s">
        <v>3670</v>
      </c>
    </row>
    <row r="1963" spans="1:5" x14ac:dyDescent="0.2">
      <c r="A1963" t="s">
        <v>505</v>
      </c>
      <c r="B1963">
        <v>797</v>
      </c>
      <c r="C1963" t="s">
        <v>3565</v>
      </c>
      <c r="D1963" t="s">
        <v>3671</v>
      </c>
      <c r="E1963" t="s">
        <v>3629</v>
      </c>
    </row>
    <row r="1964" spans="1:5" x14ac:dyDescent="0.2">
      <c r="A1964" t="s">
        <v>2408</v>
      </c>
      <c r="B1964">
        <v>743</v>
      </c>
      <c r="C1964" t="s">
        <v>3487</v>
      </c>
      <c r="E1964" t="s">
        <v>3672</v>
      </c>
    </row>
    <row r="1965" spans="1:5" x14ac:dyDescent="0.2">
      <c r="A1965" t="s">
        <v>505</v>
      </c>
      <c r="B1965">
        <v>648</v>
      </c>
      <c r="C1965" t="s">
        <v>675</v>
      </c>
      <c r="D1965" t="s">
        <v>3673</v>
      </c>
      <c r="E1965" t="s">
        <v>2396</v>
      </c>
    </row>
    <row r="1966" spans="1:5" x14ac:dyDescent="0.2">
      <c r="A1966" t="s">
        <v>567</v>
      </c>
      <c r="B1966">
        <v>570</v>
      </c>
      <c r="C1966" t="s">
        <v>2719</v>
      </c>
      <c r="D1966" t="s">
        <v>3674</v>
      </c>
      <c r="E1966" t="s">
        <v>2720</v>
      </c>
    </row>
    <row r="1967" spans="1:5" x14ac:dyDescent="0.2">
      <c r="A1967" t="s">
        <v>539</v>
      </c>
      <c r="B1967">
        <v>678</v>
      </c>
      <c r="C1967" t="s">
        <v>2748</v>
      </c>
      <c r="D1967" t="s">
        <v>3675</v>
      </c>
      <c r="E1967" t="s">
        <v>2749</v>
      </c>
    </row>
    <row r="1968" spans="1:5" x14ac:dyDescent="0.2">
      <c r="A1968" t="s">
        <v>413</v>
      </c>
      <c r="B1968">
        <v>690</v>
      </c>
      <c r="C1968" t="s">
        <v>3565</v>
      </c>
      <c r="D1968" t="s">
        <v>3676</v>
      </c>
      <c r="E1968" t="s">
        <v>3566</v>
      </c>
    </row>
    <row r="1969" spans="1:5" x14ac:dyDescent="0.2">
      <c r="A1969" t="s">
        <v>2408</v>
      </c>
      <c r="B1969">
        <v>586</v>
      </c>
      <c r="C1969" t="s">
        <v>3138</v>
      </c>
      <c r="E1969" t="s">
        <v>3140</v>
      </c>
    </row>
    <row r="1970" spans="1:5" x14ac:dyDescent="0.2">
      <c r="A1970" t="s">
        <v>539</v>
      </c>
      <c r="B1970">
        <v>676</v>
      </c>
      <c r="C1970" t="s">
        <v>2964</v>
      </c>
      <c r="E1970" t="s">
        <v>2965</v>
      </c>
    </row>
    <row r="1971" spans="1:5" x14ac:dyDescent="0.2">
      <c r="A1971" t="s">
        <v>539</v>
      </c>
      <c r="B1971">
        <v>510</v>
      </c>
      <c r="C1971" t="s">
        <v>2901</v>
      </c>
      <c r="E1971" t="s">
        <v>2902</v>
      </c>
    </row>
    <row r="1972" spans="1:5" x14ac:dyDescent="0.2">
      <c r="A1972" t="s">
        <v>539</v>
      </c>
      <c r="B1972">
        <v>658</v>
      </c>
      <c r="C1972" t="s">
        <v>2897</v>
      </c>
      <c r="E1972" t="s">
        <v>2898</v>
      </c>
    </row>
    <row r="1973" spans="1:5" x14ac:dyDescent="0.2">
      <c r="A1973" t="s">
        <v>539</v>
      </c>
      <c r="B1973">
        <v>509</v>
      </c>
      <c r="C1973" t="s">
        <v>2836</v>
      </c>
      <c r="E1973" t="s">
        <v>2837</v>
      </c>
    </row>
    <row r="1974" spans="1:5" x14ac:dyDescent="0.2">
      <c r="A1974" t="s">
        <v>539</v>
      </c>
      <c r="B1974">
        <v>945</v>
      </c>
      <c r="C1974" t="s">
        <v>2764</v>
      </c>
      <c r="E1974" t="s">
        <v>2857</v>
      </c>
    </row>
    <row r="1975" spans="1:5" x14ac:dyDescent="0.2">
      <c r="A1975" t="s">
        <v>539</v>
      </c>
      <c r="B1975">
        <v>940</v>
      </c>
      <c r="C1975" t="s">
        <v>2853</v>
      </c>
      <c r="E1975" t="s">
        <v>2855</v>
      </c>
    </row>
    <row r="1976" spans="1:5" x14ac:dyDescent="0.2">
      <c r="A1976" t="s">
        <v>2383</v>
      </c>
      <c r="B1976">
        <v>887</v>
      </c>
      <c r="C1976" t="s">
        <v>3677</v>
      </c>
      <c r="E1976" t="s">
        <v>3678</v>
      </c>
    </row>
    <row r="1977" spans="1:5" x14ac:dyDescent="0.2">
      <c r="A1977" t="s">
        <v>2383</v>
      </c>
      <c r="B1977">
        <v>878</v>
      </c>
      <c r="C1977" t="s">
        <v>3555</v>
      </c>
      <c r="E1977" t="s">
        <v>3599</v>
      </c>
    </row>
    <row r="1978" spans="1:5" x14ac:dyDescent="0.2">
      <c r="A1978" t="s">
        <v>2383</v>
      </c>
      <c r="B1978">
        <v>887</v>
      </c>
      <c r="C1978" t="s">
        <v>3677</v>
      </c>
      <c r="E1978" t="s">
        <v>3678</v>
      </c>
    </row>
    <row r="1979" spans="1:5" x14ac:dyDescent="0.2">
      <c r="A1979" t="s">
        <v>2383</v>
      </c>
      <c r="B1979">
        <v>680</v>
      </c>
      <c r="C1979" t="s">
        <v>3553</v>
      </c>
      <c r="E1979" t="s">
        <v>3579</v>
      </c>
    </row>
    <row r="1980" spans="1:5" x14ac:dyDescent="0.2">
      <c r="A1980" t="s">
        <v>382</v>
      </c>
      <c r="B1980">
        <v>695</v>
      </c>
      <c r="C1980" t="s">
        <v>3588</v>
      </c>
      <c r="E1980" t="s">
        <v>3589</v>
      </c>
    </row>
    <row r="1981" spans="1:5" x14ac:dyDescent="0.2">
      <c r="A1981" t="s">
        <v>2383</v>
      </c>
      <c r="B1981">
        <v>765</v>
      </c>
      <c r="C1981" t="s">
        <v>3679</v>
      </c>
      <c r="E1981" t="s">
        <v>3680</v>
      </c>
    </row>
    <row r="1982" spans="1:5" x14ac:dyDescent="0.2">
      <c r="A1982" t="s">
        <v>550</v>
      </c>
      <c r="B1982">
        <v>561</v>
      </c>
      <c r="C1982" t="s">
        <v>2492</v>
      </c>
      <c r="E1982" t="s">
        <v>2493</v>
      </c>
    </row>
    <row r="1983" spans="1:5" x14ac:dyDescent="0.2">
      <c r="A1983" t="s">
        <v>650</v>
      </c>
      <c r="B1983">
        <v>627</v>
      </c>
      <c r="C1983" t="s">
        <v>2641</v>
      </c>
      <c r="E1983" t="s">
        <v>2642</v>
      </c>
    </row>
    <row r="1984" spans="1:5" x14ac:dyDescent="0.2">
      <c r="A1984" t="s">
        <v>539</v>
      </c>
      <c r="B1984">
        <v>567</v>
      </c>
      <c r="C1984" t="s">
        <v>2417</v>
      </c>
      <c r="D1984" t="s">
        <v>3681</v>
      </c>
      <c r="E1984" t="s">
        <v>2418</v>
      </c>
    </row>
    <row r="1985" spans="1:5" x14ac:dyDescent="0.2">
      <c r="A1985" t="s">
        <v>505</v>
      </c>
      <c r="B1985">
        <v>797</v>
      </c>
      <c r="C1985" t="s">
        <v>3565</v>
      </c>
      <c r="D1985" t="s">
        <v>3682</v>
      </c>
      <c r="E1985" t="s">
        <v>3629</v>
      </c>
    </row>
    <row r="1986" spans="1:5" x14ac:dyDescent="0.2">
      <c r="A1986" t="s">
        <v>505</v>
      </c>
      <c r="B1986">
        <v>995</v>
      </c>
      <c r="C1986" t="s">
        <v>2938</v>
      </c>
      <c r="E1986" t="s">
        <v>2939</v>
      </c>
    </row>
    <row r="1987" spans="1:5" x14ac:dyDescent="0.2">
      <c r="A1987" t="s">
        <v>505</v>
      </c>
      <c r="B1987">
        <v>995</v>
      </c>
      <c r="C1987" t="s">
        <v>2938</v>
      </c>
      <c r="E1987" t="s">
        <v>2939</v>
      </c>
    </row>
    <row r="1988" spans="1:5" x14ac:dyDescent="0.2">
      <c r="A1988" t="s">
        <v>567</v>
      </c>
      <c r="B1988">
        <v>570</v>
      </c>
      <c r="C1988" t="s">
        <v>2719</v>
      </c>
      <c r="D1988" t="s">
        <v>3683</v>
      </c>
      <c r="E1988" t="s">
        <v>2720</v>
      </c>
    </row>
    <row r="1989" spans="1:5" x14ac:dyDescent="0.2">
      <c r="A1989" t="s">
        <v>413</v>
      </c>
      <c r="B1989">
        <v>660</v>
      </c>
      <c r="C1989" t="s">
        <v>2832</v>
      </c>
      <c r="E1989" t="s">
        <v>2833</v>
      </c>
    </row>
    <row r="1990" spans="1:5" x14ac:dyDescent="0.2">
      <c r="A1990" t="s">
        <v>539</v>
      </c>
      <c r="B1990">
        <v>940</v>
      </c>
      <c r="C1990" t="s">
        <v>2853</v>
      </c>
      <c r="E1990" t="s">
        <v>2855</v>
      </c>
    </row>
    <row r="1991" spans="1:5" x14ac:dyDescent="0.2">
      <c r="A1991" t="s">
        <v>2408</v>
      </c>
      <c r="B1991">
        <v>543</v>
      </c>
      <c r="C1991" t="s">
        <v>2494</v>
      </c>
      <c r="E1991" t="s">
        <v>2495</v>
      </c>
    </row>
    <row r="1992" spans="1:5" x14ac:dyDescent="0.2">
      <c r="A1992" t="s">
        <v>505</v>
      </c>
      <c r="B1992">
        <v>995</v>
      </c>
      <c r="C1992" t="s">
        <v>2938</v>
      </c>
      <c r="E1992" t="s">
        <v>2939</v>
      </c>
    </row>
    <row r="1993" spans="1:5" x14ac:dyDescent="0.2">
      <c r="A1993" t="s">
        <v>2383</v>
      </c>
      <c r="B1993">
        <v>885</v>
      </c>
      <c r="C1993" t="s">
        <v>3612</v>
      </c>
      <c r="E1993" t="s">
        <v>3613</v>
      </c>
    </row>
    <row r="1994" spans="1:5" x14ac:dyDescent="0.2">
      <c r="A1994" t="s">
        <v>2408</v>
      </c>
      <c r="B1994">
        <v>631</v>
      </c>
      <c r="C1994" t="s">
        <v>2750</v>
      </c>
      <c r="E1994" t="s">
        <v>2751</v>
      </c>
    </row>
    <row r="1995" spans="1:5" x14ac:dyDescent="0.2">
      <c r="A1995" t="s">
        <v>382</v>
      </c>
      <c r="B1995">
        <v>690</v>
      </c>
      <c r="C1995" t="s">
        <v>3584</v>
      </c>
      <c r="E1995" t="s">
        <v>3585</v>
      </c>
    </row>
    <row r="1996" spans="1:5" x14ac:dyDescent="0.2">
      <c r="A1996" t="s">
        <v>2408</v>
      </c>
      <c r="B1996">
        <v>543</v>
      </c>
      <c r="C1996" t="s">
        <v>2494</v>
      </c>
      <c r="E1996" t="s">
        <v>2495</v>
      </c>
    </row>
    <row r="1997" spans="1:5" x14ac:dyDescent="0.2">
      <c r="A1997" t="s">
        <v>505</v>
      </c>
      <c r="B1997">
        <v>995</v>
      </c>
      <c r="C1997" t="s">
        <v>2938</v>
      </c>
      <c r="E1997" t="s">
        <v>2939</v>
      </c>
    </row>
    <row r="1998" spans="1:5" x14ac:dyDescent="0.2">
      <c r="A1998" t="s">
        <v>550</v>
      </c>
      <c r="B1998">
        <v>660</v>
      </c>
      <c r="C1998" t="s">
        <v>2695</v>
      </c>
      <c r="D1998" t="s">
        <v>3684</v>
      </c>
      <c r="E1998" t="s">
        <v>2696</v>
      </c>
    </row>
    <row r="1999" spans="1:5" x14ac:dyDescent="0.2">
      <c r="A1999" t="s">
        <v>2408</v>
      </c>
      <c r="B1999">
        <v>780</v>
      </c>
      <c r="C1999" t="s">
        <v>2540</v>
      </c>
      <c r="E1999" t="s">
        <v>2541</v>
      </c>
    </row>
    <row r="2000" spans="1:5" x14ac:dyDescent="0.2">
      <c r="A2000" t="s">
        <v>505</v>
      </c>
      <c r="B2000">
        <v>670</v>
      </c>
      <c r="C2000" t="s">
        <v>3685</v>
      </c>
      <c r="E2000" t="s">
        <v>3686</v>
      </c>
    </row>
    <row r="2001" spans="1:5" x14ac:dyDescent="0.2">
      <c r="A2001" t="s">
        <v>382</v>
      </c>
      <c r="B2001">
        <v>510</v>
      </c>
      <c r="C2001" t="s">
        <v>2556</v>
      </c>
      <c r="E2001" t="s">
        <v>2557</v>
      </c>
    </row>
    <row r="2002" spans="1:5" x14ac:dyDescent="0.2">
      <c r="A2002" t="s">
        <v>505</v>
      </c>
      <c r="B2002">
        <v>797</v>
      </c>
      <c r="C2002" t="s">
        <v>3565</v>
      </c>
      <c r="E2002" t="s">
        <v>3629</v>
      </c>
    </row>
    <row r="2003" spans="1:5" x14ac:dyDescent="0.2">
      <c r="A2003" t="s">
        <v>505</v>
      </c>
      <c r="B2003">
        <v>797</v>
      </c>
      <c r="C2003" t="s">
        <v>3565</v>
      </c>
      <c r="D2003" t="s">
        <v>3687</v>
      </c>
      <c r="E2003" t="s">
        <v>3629</v>
      </c>
    </row>
    <row r="2004" spans="1:5" x14ac:dyDescent="0.2">
      <c r="A2004" t="s">
        <v>2383</v>
      </c>
      <c r="B2004">
        <v>880</v>
      </c>
      <c r="C2004" t="s">
        <v>3622</v>
      </c>
      <c r="E2004" t="s">
        <v>3623</v>
      </c>
    </row>
    <row r="2005" spans="1:5" x14ac:dyDescent="0.2">
      <c r="A2005" t="s">
        <v>382</v>
      </c>
      <c r="B2005">
        <v>890</v>
      </c>
      <c r="C2005" t="s">
        <v>3586</v>
      </c>
      <c r="E2005" t="s">
        <v>3587</v>
      </c>
    </row>
    <row r="2006" spans="1:5" x14ac:dyDescent="0.2">
      <c r="A2006" t="s">
        <v>382</v>
      </c>
      <c r="B2006">
        <v>695</v>
      </c>
      <c r="C2006" t="s">
        <v>3588</v>
      </c>
      <c r="E2006" t="s">
        <v>3589</v>
      </c>
    </row>
    <row r="2007" spans="1:5" x14ac:dyDescent="0.2">
      <c r="A2007" t="s">
        <v>382</v>
      </c>
      <c r="B2007">
        <v>690</v>
      </c>
      <c r="C2007" t="s">
        <v>3584</v>
      </c>
      <c r="E2007" t="s">
        <v>3585</v>
      </c>
    </row>
    <row r="2008" spans="1:5" x14ac:dyDescent="0.2">
      <c r="A2008" t="s">
        <v>550</v>
      </c>
      <c r="B2008">
        <v>690</v>
      </c>
      <c r="C2008" t="s">
        <v>3565</v>
      </c>
      <c r="E2008" t="s">
        <v>3593</v>
      </c>
    </row>
    <row r="2009" spans="1:5" x14ac:dyDescent="0.2">
      <c r="A2009" t="s">
        <v>550</v>
      </c>
      <c r="B2009">
        <v>890</v>
      </c>
      <c r="C2009" t="s">
        <v>3625</v>
      </c>
      <c r="E2009" t="s">
        <v>3626</v>
      </c>
    </row>
    <row r="2010" spans="1:5" x14ac:dyDescent="0.2">
      <c r="A2010" t="s">
        <v>550</v>
      </c>
      <c r="B2010">
        <v>695</v>
      </c>
      <c r="C2010" t="s">
        <v>2582</v>
      </c>
      <c r="E2010" t="s">
        <v>2584</v>
      </c>
    </row>
    <row r="2011" spans="1:5" x14ac:dyDescent="0.2">
      <c r="A2011" t="s">
        <v>539</v>
      </c>
      <c r="B2011">
        <v>890</v>
      </c>
      <c r="C2011" t="s">
        <v>3577</v>
      </c>
      <c r="E2011" t="s">
        <v>3578</v>
      </c>
    </row>
    <row r="2012" spans="1:5" x14ac:dyDescent="0.2">
      <c r="A2012" t="s">
        <v>413</v>
      </c>
      <c r="B2012">
        <v>690</v>
      </c>
      <c r="C2012" t="s">
        <v>3565</v>
      </c>
      <c r="D2012" t="s">
        <v>3688</v>
      </c>
      <c r="E2012" t="s">
        <v>3566</v>
      </c>
    </row>
    <row r="2013" spans="1:5" x14ac:dyDescent="0.2">
      <c r="A2013" t="s">
        <v>650</v>
      </c>
      <c r="B2013">
        <v>627</v>
      </c>
      <c r="C2013" t="s">
        <v>2641</v>
      </c>
      <c r="E2013" t="s">
        <v>2642</v>
      </c>
    </row>
    <row r="2014" spans="1:5" x14ac:dyDescent="0.2">
      <c r="A2014" t="s">
        <v>2383</v>
      </c>
      <c r="B2014">
        <v>503</v>
      </c>
      <c r="C2014" t="s">
        <v>2433</v>
      </c>
      <c r="E2014" t="s">
        <v>2491</v>
      </c>
    </row>
    <row r="2015" spans="1:5" x14ac:dyDescent="0.2">
      <c r="A2015" t="s">
        <v>413</v>
      </c>
      <c r="B2015">
        <v>690</v>
      </c>
      <c r="C2015" t="s">
        <v>3565</v>
      </c>
      <c r="D2015" t="s">
        <v>3565</v>
      </c>
      <c r="E2015" t="s">
        <v>3566</v>
      </c>
    </row>
    <row r="2016" spans="1:5" x14ac:dyDescent="0.2">
      <c r="A2016" t="s">
        <v>413</v>
      </c>
      <c r="B2016">
        <v>690</v>
      </c>
      <c r="C2016" t="s">
        <v>3565</v>
      </c>
      <c r="D2016" t="s">
        <v>3565</v>
      </c>
      <c r="E2016" t="s">
        <v>3566</v>
      </c>
    </row>
    <row r="2017" spans="1:5" x14ac:dyDescent="0.2">
      <c r="A2017" t="s">
        <v>413</v>
      </c>
      <c r="B2017">
        <v>695</v>
      </c>
      <c r="C2017" t="s">
        <v>3004</v>
      </c>
      <c r="D2017" t="s">
        <v>3004</v>
      </c>
      <c r="E2017" t="s">
        <v>3005</v>
      </c>
    </row>
    <row r="2018" spans="1:5" x14ac:dyDescent="0.2">
      <c r="A2018" t="s">
        <v>413</v>
      </c>
      <c r="B2018">
        <v>695</v>
      </c>
      <c r="C2018" t="s">
        <v>3004</v>
      </c>
      <c r="D2018" t="s">
        <v>3004</v>
      </c>
      <c r="E2018" t="s">
        <v>3005</v>
      </c>
    </row>
    <row r="2019" spans="1:5" x14ac:dyDescent="0.2">
      <c r="A2019" t="s">
        <v>413</v>
      </c>
      <c r="B2019">
        <v>695</v>
      </c>
      <c r="C2019" t="s">
        <v>3004</v>
      </c>
      <c r="D2019" t="s">
        <v>3004</v>
      </c>
      <c r="E2019" t="s">
        <v>3005</v>
      </c>
    </row>
    <row r="2020" spans="1:5" x14ac:dyDescent="0.2">
      <c r="A2020" t="s">
        <v>413</v>
      </c>
      <c r="B2020">
        <v>695</v>
      </c>
      <c r="C2020" t="s">
        <v>3004</v>
      </c>
      <c r="D2020" t="s">
        <v>3004</v>
      </c>
      <c r="E2020" t="s">
        <v>3005</v>
      </c>
    </row>
    <row r="2021" spans="1:5" x14ac:dyDescent="0.2">
      <c r="A2021" t="s">
        <v>413</v>
      </c>
      <c r="B2021">
        <v>890</v>
      </c>
      <c r="C2021" t="s">
        <v>3569</v>
      </c>
      <c r="D2021" t="s">
        <v>3569</v>
      </c>
      <c r="E2021" t="s">
        <v>3570</v>
      </c>
    </row>
    <row r="2022" spans="1:5" x14ac:dyDescent="0.2">
      <c r="A2022" t="s">
        <v>413</v>
      </c>
      <c r="B2022">
        <v>890</v>
      </c>
      <c r="C2022" t="s">
        <v>3569</v>
      </c>
      <c r="D2022" t="s">
        <v>3569</v>
      </c>
      <c r="E2022" t="s">
        <v>3570</v>
      </c>
    </row>
    <row r="2023" spans="1:5" x14ac:dyDescent="0.2">
      <c r="A2023" t="s">
        <v>413</v>
      </c>
      <c r="B2023">
        <v>890</v>
      </c>
      <c r="C2023" t="s">
        <v>3569</v>
      </c>
      <c r="D2023" t="s">
        <v>3569</v>
      </c>
      <c r="E2023" t="s">
        <v>3570</v>
      </c>
    </row>
    <row r="2024" spans="1:5" x14ac:dyDescent="0.2">
      <c r="A2024" t="s">
        <v>413</v>
      </c>
      <c r="B2024">
        <v>890</v>
      </c>
      <c r="C2024" t="s">
        <v>3569</v>
      </c>
      <c r="D2024" t="s">
        <v>3569</v>
      </c>
      <c r="E2024" t="s">
        <v>3570</v>
      </c>
    </row>
    <row r="2025" spans="1:5" x14ac:dyDescent="0.2">
      <c r="A2025" t="s">
        <v>413</v>
      </c>
      <c r="B2025">
        <v>890</v>
      </c>
      <c r="C2025" t="s">
        <v>3569</v>
      </c>
      <c r="D2025" t="s">
        <v>3569</v>
      </c>
      <c r="E2025" t="s">
        <v>3570</v>
      </c>
    </row>
    <row r="2026" spans="1:5" x14ac:dyDescent="0.2">
      <c r="A2026" t="s">
        <v>413</v>
      </c>
      <c r="B2026">
        <v>895</v>
      </c>
      <c r="C2026" t="s">
        <v>3571</v>
      </c>
      <c r="D2026" t="s">
        <v>3571</v>
      </c>
      <c r="E2026" t="s">
        <v>3572</v>
      </c>
    </row>
    <row r="2027" spans="1:5" x14ac:dyDescent="0.2">
      <c r="A2027" t="s">
        <v>413</v>
      </c>
      <c r="B2027">
        <v>895</v>
      </c>
      <c r="C2027" t="s">
        <v>3571</v>
      </c>
      <c r="D2027" t="s">
        <v>3571</v>
      </c>
      <c r="E2027" t="s">
        <v>3572</v>
      </c>
    </row>
    <row r="2028" spans="1:5" x14ac:dyDescent="0.2">
      <c r="A2028" t="s">
        <v>413</v>
      </c>
      <c r="B2028">
        <v>895</v>
      </c>
      <c r="C2028" t="s">
        <v>3571</v>
      </c>
      <c r="D2028" t="s">
        <v>3571</v>
      </c>
      <c r="E2028" t="s">
        <v>3572</v>
      </c>
    </row>
    <row r="2029" spans="1:5" x14ac:dyDescent="0.2">
      <c r="A2029" t="s">
        <v>413</v>
      </c>
      <c r="B2029">
        <v>895</v>
      </c>
      <c r="C2029" t="s">
        <v>3571</v>
      </c>
      <c r="D2029" t="s">
        <v>3571</v>
      </c>
      <c r="E2029" t="s">
        <v>3572</v>
      </c>
    </row>
    <row r="2030" spans="1:5" x14ac:dyDescent="0.2">
      <c r="A2030" t="s">
        <v>413</v>
      </c>
      <c r="B2030">
        <v>895</v>
      </c>
      <c r="C2030" t="s">
        <v>3571</v>
      </c>
      <c r="D2030" t="s">
        <v>3571</v>
      </c>
      <c r="E2030" t="s">
        <v>3572</v>
      </c>
    </row>
    <row r="2031" spans="1:5" x14ac:dyDescent="0.2">
      <c r="A2031" t="s">
        <v>2408</v>
      </c>
      <c r="B2031">
        <v>660</v>
      </c>
      <c r="C2031" t="s">
        <v>3567</v>
      </c>
      <c r="D2031" t="s">
        <v>3567</v>
      </c>
      <c r="E2031" t="s">
        <v>3568</v>
      </c>
    </row>
    <row r="2032" spans="1:5" x14ac:dyDescent="0.2">
      <c r="A2032" t="s">
        <v>2408</v>
      </c>
      <c r="B2032">
        <v>662</v>
      </c>
      <c r="C2032" t="s">
        <v>2864</v>
      </c>
      <c r="D2032" t="s">
        <v>2960</v>
      </c>
      <c r="E2032" t="s">
        <v>2865</v>
      </c>
    </row>
    <row r="2033" spans="1:5" x14ac:dyDescent="0.2">
      <c r="A2033" t="s">
        <v>505</v>
      </c>
      <c r="B2033">
        <v>706</v>
      </c>
      <c r="C2033" t="s">
        <v>2472</v>
      </c>
      <c r="E2033" t="s">
        <v>2473</v>
      </c>
    </row>
    <row r="2034" spans="1:5" x14ac:dyDescent="0.2">
      <c r="A2034" t="s">
        <v>2383</v>
      </c>
      <c r="B2034">
        <v>620</v>
      </c>
      <c r="C2034" t="s">
        <v>3610</v>
      </c>
      <c r="D2034" t="s">
        <v>3610</v>
      </c>
      <c r="E2034" t="s">
        <v>3611</v>
      </c>
    </row>
    <row r="2035" spans="1:5" x14ac:dyDescent="0.2">
      <c r="A2035" t="s">
        <v>2383</v>
      </c>
      <c r="B2035">
        <v>878</v>
      </c>
      <c r="C2035" t="s">
        <v>3555</v>
      </c>
      <c r="D2035" t="s">
        <v>3555</v>
      </c>
      <c r="E2035" t="s">
        <v>3599</v>
      </c>
    </row>
    <row r="2036" spans="1:5" x14ac:dyDescent="0.2">
      <c r="A2036" t="s">
        <v>2383</v>
      </c>
      <c r="B2036">
        <v>885</v>
      </c>
      <c r="C2036" t="s">
        <v>3612</v>
      </c>
      <c r="D2036" t="s">
        <v>3612</v>
      </c>
      <c r="E2036" t="s">
        <v>3613</v>
      </c>
    </row>
    <row r="2037" spans="1:5" x14ac:dyDescent="0.2">
      <c r="A2037" t="s">
        <v>539</v>
      </c>
      <c r="B2037">
        <v>690</v>
      </c>
      <c r="C2037" t="s">
        <v>3565</v>
      </c>
      <c r="D2037" t="s">
        <v>3565</v>
      </c>
      <c r="E2037" t="s">
        <v>3576</v>
      </c>
    </row>
    <row r="2038" spans="1:5" x14ac:dyDescent="0.2">
      <c r="A2038" t="s">
        <v>539</v>
      </c>
      <c r="B2038">
        <v>690</v>
      </c>
      <c r="C2038" t="s">
        <v>3565</v>
      </c>
      <c r="D2038" t="s">
        <v>3565</v>
      </c>
      <c r="E2038" t="s">
        <v>3576</v>
      </c>
    </row>
    <row r="2039" spans="1:5" x14ac:dyDescent="0.2">
      <c r="A2039" t="s">
        <v>539</v>
      </c>
      <c r="B2039">
        <v>690</v>
      </c>
      <c r="C2039" t="s">
        <v>3565</v>
      </c>
      <c r="D2039" t="s">
        <v>3565</v>
      </c>
      <c r="E2039" t="s">
        <v>3576</v>
      </c>
    </row>
    <row r="2040" spans="1:5" x14ac:dyDescent="0.2">
      <c r="A2040" t="s">
        <v>539</v>
      </c>
      <c r="B2040">
        <v>690</v>
      </c>
      <c r="C2040" t="s">
        <v>3565</v>
      </c>
      <c r="D2040" t="s">
        <v>3565</v>
      </c>
      <c r="E2040" t="s">
        <v>3576</v>
      </c>
    </row>
    <row r="2041" spans="1:5" x14ac:dyDescent="0.2">
      <c r="A2041" t="s">
        <v>539</v>
      </c>
      <c r="B2041">
        <v>890</v>
      </c>
      <c r="C2041" t="s">
        <v>3577</v>
      </c>
      <c r="D2041" t="s">
        <v>3577</v>
      </c>
      <c r="E2041" t="s">
        <v>3578</v>
      </c>
    </row>
    <row r="2042" spans="1:5" x14ac:dyDescent="0.2">
      <c r="A2042" t="s">
        <v>539</v>
      </c>
      <c r="B2042">
        <v>890</v>
      </c>
      <c r="C2042" t="s">
        <v>3577</v>
      </c>
      <c r="D2042" t="s">
        <v>3577</v>
      </c>
      <c r="E2042" t="s">
        <v>3578</v>
      </c>
    </row>
    <row r="2043" spans="1:5" x14ac:dyDescent="0.2">
      <c r="A2043" t="s">
        <v>539</v>
      </c>
      <c r="B2043">
        <v>890</v>
      </c>
      <c r="C2043" t="s">
        <v>3577</v>
      </c>
      <c r="D2043" t="s">
        <v>3577</v>
      </c>
      <c r="E2043" t="s">
        <v>3578</v>
      </c>
    </row>
    <row r="2044" spans="1:5" x14ac:dyDescent="0.2">
      <c r="A2044" t="s">
        <v>539</v>
      </c>
      <c r="B2044">
        <v>890</v>
      </c>
      <c r="C2044" t="s">
        <v>3577</v>
      </c>
      <c r="D2044" t="s">
        <v>3577</v>
      </c>
      <c r="E2044" t="s">
        <v>3578</v>
      </c>
    </row>
    <row r="2045" spans="1:5" x14ac:dyDescent="0.2">
      <c r="A2045" t="s">
        <v>539</v>
      </c>
      <c r="B2045">
        <v>890</v>
      </c>
      <c r="C2045" t="s">
        <v>3577</v>
      </c>
      <c r="D2045" t="s">
        <v>3577</v>
      </c>
      <c r="E2045" t="s">
        <v>3578</v>
      </c>
    </row>
    <row r="2046" spans="1:5" x14ac:dyDescent="0.2">
      <c r="A2046" t="s">
        <v>567</v>
      </c>
      <c r="B2046">
        <v>570</v>
      </c>
      <c r="C2046" t="s">
        <v>2719</v>
      </c>
      <c r="D2046" t="s">
        <v>2719</v>
      </c>
      <c r="E2046" t="s">
        <v>2720</v>
      </c>
    </row>
    <row r="2047" spans="1:5" x14ac:dyDescent="0.2">
      <c r="A2047" t="s">
        <v>505</v>
      </c>
      <c r="B2047">
        <v>797</v>
      </c>
      <c r="C2047" t="s">
        <v>3565</v>
      </c>
      <c r="D2047" t="s">
        <v>3689</v>
      </c>
      <c r="E2047" t="s">
        <v>3629</v>
      </c>
    </row>
    <row r="2048" spans="1:5" x14ac:dyDescent="0.2">
      <c r="A2048" t="s">
        <v>2383</v>
      </c>
      <c r="B2048">
        <v>708</v>
      </c>
      <c r="C2048" t="s">
        <v>3690</v>
      </c>
      <c r="E2048" t="s">
        <v>3691</v>
      </c>
    </row>
    <row r="2049" spans="1:5" x14ac:dyDescent="0.2">
      <c r="A2049" t="s">
        <v>382</v>
      </c>
      <c r="B2049">
        <v>695</v>
      </c>
      <c r="C2049" t="s">
        <v>3588</v>
      </c>
      <c r="E2049" t="s">
        <v>3589</v>
      </c>
    </row>
    <row r="2050" spans="1:5" x14ac:dyDescent="0.2">
      <c r="A2050" t="s">
        <v>650</v>
      </c>
      <c r="B2050">
        <v>690</v>
      </c>
      <c r="C2050" t="s">
        <v>3565</v>
      </c>
      <c r="E2050" t="s">
        <v>3573</v>
      </c>
    </row>
    <row r="2051" spans="1:5" x14ac:dyDescent="0.2">
      <c r="A2051" t="s">
        <v>382</v>
      </c>
      <c r="B2051">
        <v>690</v>
      </c>
      <c r="C2051" t="s">
        <v>3584</v>
      </c>
      <c r="E2051" t="s">
        <v>3585</v>
      </c>
    </row>
    <row r="2052" spans="1:5" x14ac:dyDescent="0.2">
      <c r="A2052" t="s">
        <v>567</v>
      </c>
      <c r="B2052">
        <v>890</v>
      </c>
      <c r="C2052" t="s">
        <v>3519</v>
      </c>
      <c r="D2052" t="s">
        <v>3692</v>
      </c>
      <c r="E2052" t="s">
        <v>3521</v>
      </c>
    </row>
    <row r="2053" spans="1:5" x14ac:dyDescent="0.2">
      <c r="A2053" t="s">
        <v>382</v>
      </c>
      <c r="B2053">
        <v>890</v>
      </c>
      <c r="C2053" t="s">
        <v>3586</v>
      </c>
      <c r="E2053" t="s">
        <v>3587</v>
      </c>
    </row>
    <row r="2054" spans="1:5" x14ac:dyDescent="0.2">
      <c r="A2054" t="s">
        <v>382</v>
      </c>
      <c r="B2054">
        <v>695</v>
      </c>
      <c r="C2054" t="s">
        <v>3588</v>
      </c>
      <c r="E2054" t="s">
        <v>3589</v>
      </c>
    </row>
    <row r="2055" spans="1:5" x14ac:dyDescent="0.2">
      <c r="A2055" t="s">
        <v>567</v>
      </c>
      <c r="B2055">
        <v>890</v>
      </c>
      <c r="C2055" t="s">
        <v>3519</v>
      </c>
      <c r="E2055" t="s">
        <v>3521</v>
      </c>
    </row>
    <row r="2056" spans="1:5" x14ac:dyDescent="0.2">
      <c r="A2056" t="s">
        <v>505</v>
      </c>
      <c r="B2056">
        <v>620</v>
      </c>
      <c r="C2056" t="s">
        <v>2624</v>
      </c>
      <c r="E2056" t="s">
        <v>2625</v>
      </c>
    </row>
    <row r="2057" spans="1:5" x14ac:dyDescent="0.2">
      <c r="A2057" t="s">
        <v>2408</v>
      </c>
      <c r="B2057">
        <v>780</v>
      </c>
      <c r="C2057" t="s">
        <v>2540</v>
      </c>
      <c r="E2057" t="s">
        <v>2541</v>
      </c>
    </row>
    <row r="2058" spans="1:5" x14ac:dyDescent="0.2">
      <c r="A2058" t="s">
        <v>650</v>
      </c>
      <c r="B2058">
        <v>637</v>
      </c>
      <c r="C2058" t="s">
        <v>2851</v>
      </c>
      <c r="E2058" t="s">
        <v>2852</v>
      </c>
    </row>
    <row r="2059" spans="1:5" x14ac:dyDescent="0.2">
      <c r="A2059" t="s">
        <v>413</v>
      </c>
      <c r="B2059">
        <v>505</v>
      </c>
      <c r="C2059" t="s">
        <v>2440</v>
      </c>
      <c r="E2059" t="s">
        <v>2441</v>
      </c>
    </row>
    <row r="2060" spans="1:5" x14ac:dyDescent="0.2">
      <c r="A2060" t="s">
        <v>2383</v>
      </c>
      <c r="B2060">
        <v>503</v>
      </c>
      <c r="C2060" t="s">
        <v>2433</v>
      </c>
      <c r="E2060" t="s">
        <v>2491</v>
      </c>
    </row>
    <row r="2061" spans="1:5" x14ac:dyDescent="0.2">
      <c r="A2061" t="s">
        <v>650</v>
      </c>
      <c r="B2061">
        <v>656</v>
      </c>
      <c r="C2061" t="s">
        <v>2620</v>
      </c>
      <c r="E2061" t="s">
        <v>2621</v>
      </c>
    </row>
    <row r="2062" spans="1:5" x14ac:dyDescent="0.2">
      <c r="A2062" t="s">
        <v>413</v>
      </c>
      <c r="B2062">
        <v>674</v>
      </c>
      <c r="C2062" t="s">
        <v>2381</v>
      </c>
      <c r="E2062" t="s">
        <v>2382</v>
      </c>
    </row>
    <row r="2063" spans="1:5" x14ac:dyDescent="0.2">
      <c r="A2063" t="s">
        <v>2408</v>
      </c>
      <c r="B2063">
        <v>525</v>
      </c>
      <c r="C2063" t="s">
        <v>2534</v>
      </c>
      <c r="E2063" t="s">
        <v>2535</v>
      </c>
    </row>
    <row r="2064" spans="1:5" x14ac:dyDescent="0.2">
      <c r="A2064" t="s">
        <v>2383</v>
      </c>
      <c r="B2064">
        <v>541</v>
      </c>
      <c r="C2064" t="s">
        <v>2404</v>
      </c>
      <c r="E2064" t="s">
        <v>2502</v>
      </c>
    </row>
    <row r="2065" spans="1:5" x14ac:dyDescent="0.2">
      <c r="A2065" t="s">
        <v>413</v>
      </c>
      <c r="B2065">
        <v>567</v>
      </c>
      <c r="C2065" t="s">
        <v>2622</v>
      </c>
      <c r="E2065" t="s">
        <v>2623</v>
      </c>
    </row>
    <row r="2066" spans="1:5" x14ac:dyDescent="0.2">
      <c r="A2066" t="s">
        <v>382</v>
      </c>
      <c r="B2066">
        <v>690</v>
      </c>
      <c r="C2066" t="s">
        <v>3584</v>
      </c>
      <c r="D2066" t="s">
        <v>3584</v>
      </c>
      <c r="E2066" t="s">
        <v>3585</v>
      </c>
    </row>
    <row r="2067" spans="1:5" x14ac:dyDescent="0.2">
      <c r="A2067" t="s">
        <v>382</v>
      </c>
      <c r="B2067">
        <v>690</v>
      </c>
      <c r="C2067" t="s">
        <v>3584</v>
      </c>
      <c r="D2067" t="s">
        <v>3584</v>
      </c>
      <c r="E2067" t="s">
        <v>3585</v>
      </c>
    </row>
    <row r="2068" spans="1:5" x14ac:dyDescent="0.2">
      <c r="A2068" t="s">
        <v>382</v>
      </c>
      <c r="B2068">
        <v>690</v>
      </c>
      <c r="C2068" t="s">
        <v>3584</v>
      </c>
      <c r="D2068" t="s">
        <v>3584</v>
      </c>
      <c r="E2068" t="s">
        <v>3585</v>
      </c>
    </row>
    <row r="2069" spans="1:5" x14ac:dyDescent="0.2">
      <c r="A2069" t="s">
        <v>382</v>
      </c>
      <c r="B2069">
        <v>690</v>
      </c>
      <c r="C2069" t="s">
        <v>3584</v>
      </c>
      <c r="D2069" t="s">
        <v>3584</v>
      </c>
      <c r="E2069" t="s">
        <v>3585</v>
      </c>
    </row>
    <row r="2070" spans="1:5" x14ac:dyDescent="0.2">
      <c r="A2070" t="s">
        <v>382</v>
      </c>
      <c r="B2070">
        <v>690</v>
      </c>
      <c r="C2070" t="s">
        <v>3584</v>
      </c>
      <c r="D2070" t="s">
        <v>3584</v>
      </c>
      <c r="E2070" t="s">
        <v>3585</v>
      </c>
    </row>
    <row r="2071" spans="1:5" x14ac:dyDescent="0.2">
      <c r="A2071" t="s">
        <v>382</v>
      </c>
      <c r="B2071">
        <v>690</v>
      </c>
      <c r="C2071" t="s">
        <v>3584</v>
      </c>
      <c r="D2071" t="s">
        <v>3584</v>
      </c>
      <c r="E2071" t="s">
        <v>3585</v>
      </c>
    </row>
    <row r="2072" spans="1:5" x14ac:dyDescent="0.2">
      <c r="A2072" t="s">
        <v>382</v>
      </c>
      <c r="B2072">
        <v>690</v>
      </c>
      <c r="C2072" t="s">
        <v>3584</v>
      </c>
      <c r="D2072" t="s">
        <v>3584</v>
      </c>
      <c r="E2072" t="s">
        <v>3585</v>
      </c>
    </row>
    <row r="2073" spans="1:5" x14ac:dyDescent="0.2">
      <c r="A2073" t="s">
        <v>382</v>
      </c>
      <c r="B2073">
        <v>890</v>
      </c>
      <c r="C2073" t="s">
        <v>3586</v>
      </c>
      <c r="D2073" t="s">
        <v>3586</v>
      </c>
      <c r="E2073" t="s">
        <v>3587</v>
      </c>
    </row>
    <row r="2074" spans="1:5" x14ac:dyDescent="0.2">
      <c r="A2074" t="s">
        <v>382</v>
      </c>
      <c r="B2074">
        <v>890</v>
      </c>
      <c r="C2074" t="s">
        <v>3586</v>
      </c>
      <c r="D2074" t="s">
        <v>3586</v>
      </c>
      <c r="E2074" t="s">
        <v>3587</v>
      </c>
    </row>
    <row r="2075" spans="1:5" x14ac:dyDescent="0.2">
      <c r="A2075" t="s">
        <v>413</v>
      </c>
      <c r="B2075">
        <v>690</v>
      </c>
      <c r="C2075" t="s">
        <v>3565</v>
      </c>
      <c r="D2075" t="s">
        <v>3565</v>
      </c>
      <c r="E2075" t="s">
        <v>3566</v>
      </c>
    </row>
    <row r="2076" spans="1:5" x14ac:dyDescent="0.2">
      <c r="A2076" t="s">
        <v>413</v>
      </c>
      <c r="B2076">
        <v>690</v>
      </c>
      <c r="C2076" t="s">
        <v>3565</v>
      </c>
      <c r="D2076" t="s">
        <v>3565</v>
      </c>
      <c r="E2076" t="s">
        <v>3566</v>
      </c>
    </row>
    <row r="2077" spans="1:5" x14ac:dyDescent="0.2">
      <c r="A2077" t="s">
        <v>413</v>
      </c>
      <c r="B2077">
        <v>690</v>
      </c>
      <c r="C2077" t="s">
        <v>3565</v>
      </c>
      <c r="D2077" t="s">
        <v>3565</v>
      </c>
      <c r="E2077" t="s">
        <v>3566</v>
      </c>
    </row>
    <row r="2078" spans="1:5" x14ac:dyDescent="0.2">
      <c r="A2078" t="s">
        <v>413</v>
      </c>
      <c r="B2078">
        <v>690</v>
      </c>
      <c r="C2078" t="s">
        <v>3565</v>
      </c>
      <c r="D2078" t="s">
        <v>3565</v>
      </c>
      <c r="E2078" t="s">
        <v>3566</v>
      </c>
    </row>
    <row r="2079" spans="1:5" x14ac:dyDescent="0.2">
      <c r="A2079" t="s">
        <v>413</v>
      </c>
      <c r="B2079">
        <v>690</v>
      </c>
      <c r="C2079" t="s">
        <v>3565</v>
      </c>
      <c r="D2079" t="s">
        <v>3565</v>
      </c>
      <c r="E2079" t="s">
        <v>3566</v>
      </c>
    </row>
    <row r="2080" spans="1:5" x14ac:dyDescent="0.2">
      <c r="A2080" t="s">
        <v>413</v>
      </c>
      <c r="B2080">
        <v>890</v>
      </c>
      <c r="C2080" t="s">
        <v>3569</v>
      </c>
      <c r="D2080" t="s">
        <v>3569</v>
      </c>
      <c r="E2080" t="s">
        <v>3570</v>
      </c>
    </row>
    <row r="2081" spans="1:5" x14ac:dyDescent="0.2">
      <c r="A2081" t="s">
        <v>413</v>
      </c>
      <c r="B2081">
        <v>890</v>
      </c>
      <c r="C2081" t="s">
        <v>3569</v>
      </c>
      <c r="D2081" t="s">
        <v>3569</v>
      </c>
      <c r="E2081" t="s">
        <v>3570</v>
      </c>
    </row>
    <row r="2082" spans="1:5" x14ac:dyDescent="0.2">
      <c r="A2082" t="s">
        <v>413</v>
      </c>
      <c r="B2082">
        <v>895</v>
      </c>
      <c r="C2082" t="s">
        <v>3571</v>
      </c>
      <c r="D2082" t="s">
        <v>3571</v>
      </c>
      <c r="E2082" t="s">
        <v>3572</v>
      </c>
    </row>
    <row r="2083" spans="1:5" x14ac:dyDescent="0.2">
      <c r="A2083" t="s">
        <v>413</v>
      </c>
      <c r="B2083">
        <v>895</v>
      </c>
      <c r="C2083" t="s">
        <v>3571</v>
      </c>
      <c r="D2083" t="s">
        <v>3571</v>
      </c>
      <c r="E2083" t="s">
        <v>3572</v>
      </c>
    </row>
    <row r="2084" spans="1:5" x14ac:dyDescent="0.2">
      <c r="A2084" t="s">
        <v>413</v>
      </c>
      <c r="B2084">
        <v>895</v>
      </c>
      <c r="C2084" t="s">
        <v>3571</v>
      </c>
      <c r="D2084" t="s">
        <v>3571</v>
      </c>
      <c r="E2084" t="s">
        <v>3572</v>
      </c>
    </row>
    <row r="2085" spans="1:5" x14ac:dyDescent="0.2">
      <c r="A2085" t="s">
        <v>2408</v>
      </c>
      <c r="B2085">
        <v>690</v>
      </c>
      <c r="C2085" t="s">
        <v>3561</v>
      </c>
      <c r="D2085" t="s">
        <v>3584</v>
      </c>
      <c r="E2085" t="s">
        <v>3562</v>
      </c>
    </row>
    <row r="2086" spans="1:5" x14ac:dyDescent="0.2">
      <c r="A2086" t="s">
        <v>2408</v>
      </c>
      <c r="B2086">
        <v>690</v>
      </c>
      <c r="C2086" t="s">
        <v>3561</v>
      </c>
      <c r="D2086" t="s">
        <v>3584</v>
      </c>
      <c r="E2086" t="s">
        <v>3562</v>
      </c>
    </row>
    <row r="2087" spans="1:5" x14ac:dyDescent="0.2">
      <c r="A2087" t="s">
        <v>2408</v>
      </c>
      <c r="B2087">
        <v>690</v>
      </c>
      <c r="C2087" t="s">
        <v>3561</v>
      </c>
      <c r="D2087" t="s">
        <v>3584</v>
      </c>
      <c r="E2087" t="s">
        <v>3562</v>
      </c>
    </row>
    <row r="2088" spans="1:5" x14ac:dyDescent="0.2">
      <c r="A2088" t="s">
        <v>2408</v>
      </c>
      <c r="B2088">
        <v>690</v>
      </c>
      <c r="C2088" t="s">
        <v>3561</v>
      </c>
      <c r="D2088" t="s">
        <v>3584</v>
      </c>
      <c r="E2088" t="s">
        <v>3562</v>
      </c>
    </row>
    <row r="2089" spans="1:5" x14ac:dyDescent="0.2">
      <c r="A2089" t="s">
        <v>2408</v>
      </c>
      <c r="B2089">
        <v>690</v>
      </c>
      <c r="C2089" t="s">
        <v>3561</v>
      </c>
      <c r="D2089" t="s">
        <v>3584</v>
      </c>
      <c r="E2089" t="s">
        <v>3562</v>
      </c>
    </row>
    <row r="2090" spans="1:5" x14ac:dyDescent="0.2">
      <c r="A2090" t="s">
        <v>2408</v>
      </c>
      <c r="B2090">
        <v>690</v>
      </c>
      <c r="C2090" t="s">
        <v>3561</v>
      </c>
      <c r="D2090" t="s">
        <v>3584</v>
      </c>
      <c r="E2090" t="s">
        <v>3562</v>
      </c>
    </row>
    <row r="2091" spans="1:5" x14ac:dyDescent="0.2">
      <c r="A2091" t="s">
        <v>2408</v>
      </c>
      <c r="B2091">
        <v>890</v>
      </c>
      <c r="C2091" t="s">
        <v>3563</v>
      </c>
      <c r="D2091" t="s">
        <v>3563</v>
      </c>
      <c r="E2091" t="s">
        <v>3564</v>
      </c>
    </row>
    <row r="2092" spans="1:5" x14ac:dyDescent="0.2">
      <c r="A2092" t="s">
        <v>2408</v>
      </c>
      <c r="B2092">
        <v>890</v>
      </c>
      <c r="C2092" t="s">
        <v>3563</v>
      </c>
      <c r="D2092" t="s">
        <v>3563</v>
      </c>
      <c r="E2092" t="s">
        <v>3564</v>
      </c>
    </row>
    <row r="2093" spans="1:5" x14ac:dyDescent="0.2">
      <c r="A2093" t="s">
        <v>2408</v>
      </c>
      <c r="B2093">
        <v>890</v>
      </c>
      <c r="C2093" t="s">
        <v>3563</v>
      </c>
      <c r="D2093" t="s">
        <v>3563</v>
      </c>
      <c r="E2093" t="s">
        <v>3564</v>
      </c>
    </row>
    <row r="2094" spans="1:5" x14ac:dyDescent="0.2">
      <c r="A2094" t="s">
        <v>2408</v>
      </c>
      <c r="B2094">
        <v>890</v>
      </c>
      <c r="C2094" t="s">
        <v>3563</v>
      </c>
      <c r="D2094" t="s">
        <v>3563</v>
      </c>
      <c r="E2094" t="s">
        <v>3564</v>
      </c>
    </row>
    <row r="2095" spans="1:5" x14ac:dyDescent="0.2">
      <c r="A2095" t="s">
        <v>2408</v>
      </c>
      <c r="B2095">
        <v>890</v>
      </c>
      <c r="C2095" t="s">
        <v>3563</v>
      </c>
      <c r="D2095" t="s">
        <v>3563</v>
      </c>
      <c r="E2095" t="s">
        <v>3564</v>
      </c>
    </row>
    <row r="2096" spans="1:5" x14ac:dyDescent="0.2">
      <c r="A2096" t="s">
        <v>2408</v>
      </c>
      <c r="B2096">
        <v>890</v>
      </c>
      <c r="C2096" t="s">
        <v>3563</v>
      </c>
      <c r="D2096" t="s">
        <v>3563</v>
      </c>
      <c r="E2096" t="s">
        <v>3564</v>
      </c>
    </row>
    <row r="2097" spans="1:5" x14ac:dyDescent="0.2">
      <c r="A2097" t="s">
        <v>2408</v>
      </c>
      <c r="B2097">
        <v>890</v>
      </c>
      <c r="C2097" t="s">
        <v>3563</v>
      </c>
      <c r="D2097" t="s">
        <v>3563</v>
      </c>
      <c r="E2097" t="s">
        <v>3564</v>
      </c>
    </row>
    <row r="2098" spans="1:5" x14ac:dyDescent="0.2">
      <c r="A2098" t="s">
        <v>2408</v>
      </c>
      <c r="B2098">
        <v>890</v>
      </c>
      <c r="C2098" t="s">
        <v>3563</v>
      </c>
      <c r="D2098" t="s">
        <v>3563</v>
      </c>
      <c r="E2098" t="s">
        <v>3564</v>
      </c>
    </row>
    <row r="2099" spans="1:5" x14ac:dyDescent="0.2">
      <c r="A2099" t="s">
        <v>2408</v>
      </c>
      <c r="B2099">
        <v>890</v>
      </c>
      <c r="C2099" t="s">
        <v>3563</v>
      </c>
      <c r="D2099" t="s">
        <v>3563</v>
      </c>
      <c r="E2099" t="s">
        <v>3564</v>
      </c>
    </row>
    <row r="2100" spans="1:5" x14ac:dyDescent="0.2">
      <c r="A2100" t="s">
        <v>2408</v>
      </c>
      <c r="B2100">
        <v>890</v>
      </c>
      <c r="C2100" t="s">
        <v>3563</v>
      </c>
      <c r="D2100" t="s">
        <v>3563</v>
      </c>
      <c r="E2100" t="s">
        <v>3564</v>
      </c>
    </row>
    <row r="2101" spans="1:5" x14ac:dyDescent="0.2">
      <c r="A2101" t="s">
        <v>2408</v>
      </c>
      <c r="B2101">
        <v>890</v>
      </c>
      <c r="C2101" t="s">
        <v>3563</v>
      </c>
      <c r="D2101" t="s">
        <v>3563</v>
      </c>
      <c r="E2101" t="s">
        <v>3564</v>
      </c>
    </row>
    <row r="2102" spans="1:5" x14ac:dyDescent="0.2">
      <c r="A2102" t="s">
        <v>2383</v>
      </c>
      <c r="B2102">
        <v>690</v>
      </c>
      <c r="C2102" t="s">
        <v>3565</v>
      </c>
      <c r="D2102" t="s">
        <v>3565</v>
      </c>
      <c r="E2102" t="s">
        <v>3574</v>
      </c>
    </row>
    <row r="2103" spans="1:5" x14ac:dyDescent="0.2">
      <c r="A2103" t="s">
        <v>2383</v>
      </c>
      <c r="B2103">
        <v>690</v>
      </c>
      <c r="C2103" t="s">
        <v>3565</v>
      </c>
      <c r="D2103" t="s">
        <v>3565</v>
      </c>
      <c r="E2103" t="s">
        <v>3574</v>
      </c>
    </row>
    <row r="2104" spans="1:5" x14ac:dyDescent="0.2">
      <c r="A2104" t="s">
        <v>2383</v>
      </c>
      <c r="B2104">
        <v>690</v>
      </c>
      <c r="C2104" t="s">
        <v>3565</v>
      </c>
      <c r="D2104" t="s">
        <v>3565</v>
      </c>
      <c r="E2104" t="s">
        <v>3574</v>
      </c>
    </row>
    <row r="2105" spans="1:5" x14ac:dyDescent="0.2">
      <c r="A2105" t="s">
        <v>2383</v>
      </c>
      <c r="B2105">
        <v>690</v>
      </c>
      <c r="C2105" t="s">
        <v>3565</v>
      </c>
      <c r="D2105" t="s">
        <v>3565</v>
      </c>
      <c r="E2105" t="s">
        <v>3574</v>
      </c>
    </row>
    <row r="2106" spans="1:5" x14ac:dyDescent="0.2">
      <c r="A2106" t="s">
        <v>2383</v>
      </c>
      <c r="B2106">
        <v>887</v>
      </c>
      <c r="C2106" t="s">
        <v>3677</v>
      </c>
      <c r="D2106" t="s">
        <v>3677</v>
      </c>
      <c r="E2106" t="s">
        <v>3678</v>
      </c>
    </row>
    <row r="2107" spans="1:5" x14ac:dyDescent="0.2">
      <c r="A2107" t="s">
        <v>539</v>
      </c>
      <c r="B2107">
        <v>690</v>
      </c>
      <c r="C2107" t="s">
        <v>3565</v>
      </c>
      <c r="D2107" t="s">
        <v>3565</v>
      </c>
      <c r="E2107" t="s">
        <v>3576</v>
      </c>
    </row>
    <row r="2108" spans="1:5" x14ac:dyDescent="0.2">
      <c r="A2108" t="s">
        <v>539</v>
      </c>
      <c r="B2108">
        <v>690</v>
      </c>
      <c r="C2108" t="s">
        <v>3565</v>
      </c>
      <c r="D2108" t="s">
        <v>3565</v>
      </c>
      <c r="E2108" t="s">
        <v>3576</v>
      </c>
    </row>
    <row r="2109" spans="1:5" x14ac:dyDescent="0.2">
      <c r="A2109" t="s">
        <v>539</v>
      </c>
      <c r="B2109">
        <v>890</v>
      </c>
      <c r="C2109" t="s">
        <v>3577</v>
      </c>
      <c r="D2109" t="s">
        <v>3577</v>
      </c>
      <c r="E2109" t="s">
        <v>3578</v>
      </c>
    </row>
    <row r="2110" spans="1:5" x14ac:dyDescent="0.2">
      <c r="A2110" t="s">
        <v>567</v>
      </c>
      <c r="B2110">
        <v>690</v>
      </c>
      <c r="C2110" t="s">
        <v>3565</v>
      </c>
      <c r="D2110" t="s">
        <v>3565</v>
      </c>
      <c r="E2110" t="s">
        <v>3582</v>
      </c>
    </row>
    <row r="2111" spans="1:5" x14ac:dyDescent="0.2">
      <c r="A2111" t="s">
        <v>567</v>
      </c>
      <c r="B2111">
        <v>675</v>
      </c>
      <c r="C2111" t="s">
        <v>3106</v>
      </c>
      <c r="E2111" t="s">
        <v>3107</v>
      </c>
    </row>
    <row r="2112" spans="1:5" x14ac:dyDescent="0.2">
      <c r="A2112" t="s">
        <v>567</v>
      </c>
      <c r="B2112">
        <v>555</v>
      </c>
      <c r="C2112" t="s">
        <v>2800</v>
      </c>
      <c r="E2112" t="s">
        <v>2801</v>
      </c>
    </row>
    <row r="2113" spans="1:5" x14ac:dyDescent="0.2">
      <c r="A2113" t="s">
        <v>413</v>
      </c>
      <c r="B2113">
        <v>690</v>
      </c>
      <c r="C2113" t="s">
        <v>3565</v>
      </c>
      <c r="D2113" t="s">
        <v>3565</v>
      </c>
      <c r="E2113" t="s">
        <v>3566</v>
      </c>
    </row>
    <row r="2114" spans="1:5" x14ac:dyDescent="0.2">
      <c r="A2114" t="s">
        <v>413</v>
      </c>
      <c r="B2114">
        <v>695</v>
      </c>
      <c r="C2114" t="s">
        <v>3004</v>
      </c>
      <c r="D2114" t="s">
        <v>3004</v>
      </c>
      <c r="E2114" t="s">
        <v>3005</v>
      </c>
    </row>
    <row r="2115" spans="1:5" x14ac:dyDescent="0.2">
      <c r="A2115" t="s">
        <v>413</v>
      </c>
      <c r="B2115">
        <v>695</v>
      </c>
      <c r="C2115" t="s">
        <v>3004</v>
      </c>
      <c r="D2115" t="s">
        <v>3004</v>
      </c>
      <c r="E2115" t="s">
        <v>3005</v>
      </c>
    </row>
    <row r="2116" spans="1:5" x14ac:dyDescent="0.2">
      <c r="A2116" t="s">
        <v>413</v>
      </c>
      <c r="B2116">
        <v>695</v>
      </c>
      <c r="C2116" t="s">
        <v>3004</v>
      </c>
      <c r="D2116" t="s">
        <v>3004</v>
      </c>
      <c r="E2116" t="s">
        <v>3005</v>
      </c>
    </row>
    <row r="2117" spans="1:5" x14ac:dyDescent="0.2">
      <c r="A2117" t="s">
        <v>413</v>
      </c>
      <c r="B2117">
        <v>695</v>
      </c>
      <c r="C2117" t="s">
        <v>3004</v>
      </c>
      <c r="D2117" t="s">
        <v>3004</v>
      </c>
      <c r="E2117" t="s">
        <v>3005</v>
      </c>
    </row>
    <row r="2118" spans="1:5" x14ac:dyDescent="0.2">
      <c r="A2118" t="s">
        <v>413</v>
      </c>
      <c r="B2118">
        <v>890</v>
      </c>
      <c r="C2118" t="s">
        <v>3569</v>
      </c>
      <c r="D2118" t="s">
        <v>3569</v>
      </c>
      <c r="E2118" t="s">
        <v>3570</v>
      </c>
    </row>
    <row r="2119" spans="1:5" x14ac:dyDescent="0.2">
      <c r="A2119" t="s">
        <v>413</v>
      </c>
      <c r="B2119">
        <v>940</v>
      </c>
      <c r="C2119" t="s">
        <v>2858</v>
      </c>
      <c r="D2119" t="s">
        <v>655</v>
      </c>
      <c r="E2119" t="s">
        <v>2859</v>
      </c>
    </row>
    <row r="2120" spans="1:5" x14ac:dyDescent="0.2">
      <c r="A2120" t="s">
        <v>2408</v>
      </c>
      <c r="B2120">
        <v>690</v>
      </c>
      <c r="C2120" t="s">
        <v>3561</v>
      </c>
      <c r="D2120" t="s">
        <v>3584</v>
      </c>
      <c r="E2120" t="s">
        <v>3562</v>
      </c>
    </row>
    <row r="2121" spans="1:5" x14ac:dyDescent="0.2">
      <c r="A2121" t="s">
        <v>2408</v>
      </c>
      <c r="B2121">
        <v>690</v>
      </c>
      <c r="C2121" t="s">
        <v>3561</v>
      </c>
      <c r="D2121" t="s">
        <v>3584</v>
      </c>
      <c r="E2121" t="s">
        <v>3562</v>
      </c>
    </row>
    <row r="2122" spans="1:5" x14ac:dyDescent="0.2">
      <c r="A2122" t="s">
        <v>2408</v>
      </c>
      <c r="B2122">
        <v>690</v>
      </c>
      <c r="C2122" t="s">
        <v>3561</v>
      </c>
      <c r="D2122" t="s">
        <v>3584</v>
      </c>
      <c r="E2122" t="s">
        <v>3562</v>
      </c>
    </row>
    <row r="2123" spans="1:5" x14ac:dyDescent="0.2">
      <c r="A2123" t="s">
        <v>2408</v>
      </c>
      <c r="B2123">
        <v>690</v>
      </c>
      <c r="C2123" t="s">
        <v>3561</v>
      </c>
      <c r="D2123" t="s">
        <v>3584</v>
      </c>
      <c r="E2123" t="s">
        <v>3562</v>
      </c>
    </row>
    <row r="2124" spans="1:5" x14ac:dyDescent="0.2">
      <c r="A2124" t="s">
        <v>2408</v>
      </c>
      <c r="B2124">
        <v>890</v>
      </c>
      <c r="C2124" t="s">
        <v>3563</v>
      </c>
      <c r="D2124" t="s">
        <v>3563</v>
      </c>
      <c r="E2124" t="s">
        <v>3564</v>
      </c>
    </row>
    <row r="2125" spans="1:5" x14ac:dyDescent="0.2">
      <c r="A2125" t="s">
        <v>2383</v>
      </c>
      <c r="B2125">
        <v>870</v>
      </c>
      <c r="C2125" t="s">
        <v>3046</v>
      </c>
      <c r="D2125" t="s">
        <v>3046</v>
      </c>
      <c r="E2125" t="s">
        <v>3048</v>
      </c>
    </row>
    <row r="2126" spans="1:5" x14ac:dyDescent="0.2">
      <c r="A2126" t="s">
        <v>2383</v>
      </c>
      <c r="B2126">
        <v>880</v>
      </c>
      <c r="C2126" t="s">
        <v>3622</v>
      </c>
      <c r="D2126" t="s">
        <v>3622</v>
      </c>
      <c r="E2126" t="s">
        <v>3623</v>
      </c>
    </row>
    <row r="2127" spans="1:5" x14ac:dyDescent="0.2">
      <c r="A2127" t="s">
        <v>539</v>
      </c>
      <c r="B2127">
        <v>690</v>
      </c>
      <c r="C2127" t="s">
        <v>3565</v>
      </c>
      <c r="D2127" t="s">
        <v>3565</v>
      </c>
      <c r="E2127" t="s">
        <v>3576</v>
      </c>
    </row>
    <row r="2128" spans="1:5" x14ac:dyDescent="0.2">
      <c r="A2128" t="s">
        <v>2408</v>
      </c>
      <c r="B2128">
        <v>747</v>
      </c>
      <c r="C2128" t="s">
        <v>2560</v>
      </c>
      <c r="E2128" t="s">
        <v>3693</v>
      </c>
    </row>
    <row r="2129" spans="1:5" x14ac:dyDescent="0.2">
      <c r="A2129" t="s">
        <v>2383</v>
      </c>
      <c r="B2129">
        <v>676</v>
      </c>
      <c r="C2129" t="s">
        <v>2386</v>
      </c>
      <c r="E2129" t="s">
        <v>2388</v>
      </c>
    </row>
    <row r="2130" spans="1:5" x14ac:dyDescent="0.2">
      <c r="A2130" t="s">
        <v>539</v>
      </c>
      <c r="B2130">
        <v>535</v>
      </c>
      <c r="C2130" t="s">
        <v>2506</v>
      </c>
      <c r="E2130" t="s">
        <v>2507</v>
      </c>
    </row>
    <row r="2131" spans="1:5" x14ac:dyDescent="0.2">
      <c r="A2131" t="s">
        <v>2383</v>
      </c>
      <c r="B2131">
        <v>676</v>
      </c>
      <c r="C2131" t="s">
        <v>2386</v>
      </c>
      <c r="D2131" t="s">
        <v>3694</v>
      </c>
      <c r="E2131" t="s">
        <v>2388</v>
      </c>
    </row>
    <row r="2132" spans="1:5" x14ac:dyDescent="0.2">
      <c r="A2132" t="s">
        <v>539</v>
      </c>
      <c r="B2132">
        <v>535</v>
      </c>
      <c r="C2132" t="s">
        <v>2506</v>
      </c>
      <c r="D2132" t="s">
        <v>3695</v>
      </c>
      <c r="E2132" t="s">
        <v>2507</v>
      </c>
    </row>
    <row r="2133" spans="1:5" x14ac:dyDescent="0.2">
      <c r="A2133" t="s">
        <v>2408</v>
      </c>
      <c r="B2133">
        <v>539</v>
      </c>
      <c r="C2133" t="s">
        <v>2420</v>
      </c>
      <c r="E2133" t="s">
        <v>2421</v>
      </c>
    </row>
    <row r="2134" spans="1:5" x14ac:dyDescent="0.2">
      <c r="A2134" t="s">
        <v>2408</v>
      </c>
      <c r="B2134">
        <v>890</v>
      </c>
      <c r="C2134" t="s">
        <v>3563</v>
      </c>
      <c r="D2134" t="s">
        <v>3563</v>
      </c>
      <c r="E2134" t="s">
        <v>3564</v>
      </c>
    </row>
    <row r="2135" spans="1:5" x14ac:dyDescent="0.2">
      <c r="A2135" t="s">
        <v>539</v>
      </c>
      <c r="B2135">
        <v>525</v>
      </c>
      <c r="C2135" t="s">
        <v>2681</v>
      </c>
      <c r="D2135" t="s">
        <v>2681</v>
      </c>
      <c r="E2135" t="s">
        <v>3627</v>
      </c>
    </row>
    <row r="2136" spans="1:5" x14ac:dyDescent="0.2">
      <c r="A2136" t="s">
        <v>567</v>
      </c>
      <c r="B2136">
        <v>545</v>
      </c>
      <c r="C2136" t="s">
        <v>2866</v>
      </c>
      <c r="D2136" t="s">
        <v>2866</v>
      </c>
      <c r="E2136" t="s">
        <v>3575</v>
      </c>
    </row>
    <row r="2137" spans="1:5" x14ac:dyDescent="0.2">
      <c r="A2137" t="s">
        <v>539</v>
      </c>
      <c r="B2137">
        <v>615</v>
      </c>
      <c r="C2137" t="s">
        <v>2928</v>
      </c>
      <c r="E2137" t="s">
        <v>2929</v>
      </c>
    </row>
    <row r="2138" spans="1:5" x14ac:dyDescent="0.2">
      <c r="A2138" t="s">
        <v>382</v>
      </c>
      <c r="B2138">
        <v>690</v>
      </c>
      <c r="C2138" t="s">
        <v>3584</v>
      </c>
      <c r="E2138" t="s">
        <v>3585</v>
      </c>
    </row>
    <row r="2139" spans="1:5" x14ac:dyDescent="0.2">
      <c r="A2139" t="s">
        <v>505</v>
      </c>
      <c r="B2139">
        <v>790</v>
      </c>
      <c r="C2139" t="s">
        <v>2470</v>
      </c>
      <c r="E2139" t="s">
        <v>2471</v>
      </c>
    </row>
    <row r="2140" spans="1:5" x14ac:dyDescent="0.2">
      <c r="A2140" t="s">
        <v>413</v>
      </c>
      <c r="B2140">
        <v>674</v>
      </c>
      <c r="C2140" t="s">
        <v>2381</v>
      </c>
      <c r="E2140" t="s">
        <v>2382</v>
      </c>
    </row>
    <row r="2141" spans="1:5" x14ac:dyDescent="0.2">
      <c r="A2141" t="s">
        <v>2408</v>
      </c>
      <c r="B2141">
        <v>660</v>
      </c>
      <c r="C2141" t="s">
        <v>3567</v>
      </c>
      <c r="D2141" t="s">
        <v>3567</v>
      </c>
      <c r="E2141" t="s">
        <v>3568</v>
      </c>
    </row>
    <row r="2142" spans="1:5" x14ac:dyDescent="0.2">
      <c r="A2142" t="s">
        <v>2408</v>
      </c>
      <c r="B2142">
        <v>637</v>
      </c>
      <c r="C2142" t="s">
        <v>2498</v>
      </c>
      <c r="E2142" t="s">
        <v>2499</v>
      </c>
    </row>
    <row r="2143" spans="1:5" x14ac:dyDescent="0.2">
      <c r="A2143" t="s">
        <v>567</v>
      </c>
      <c r="B2143">
        <v>566</v>
      </c>
      <c r="C2143" t="s">
        <v>2528</v>
      </c>
      <c r="E2143" t="s">
        <v>2529</v>
      </c>
    </row>
    <row r="2144" spans="1:5" x14ac:dyDescent="0.2">
      <c r="A2144" t="s">
        <v>505</v>
      </c>
      <c r="B2144">
        <v>648</v>
      </c>
      <c r="C2144" t="s">
        <v>675</v>
      </c>
      <c r="D2144" t="s">
        <v>3696</v>
      </c>
      <c r="E2144" t="s">
        <v>2396</v>
      </c>
    </row>
    <row r="2145" spans="1:5" x14ac:dyDescent="0.2">
      <c r="A2145" t="s">
        <v>2383</v>
      </c>
      <c r="B2145">
        <v>534</v>
      </c>
      <c r="C2145" t="s">
        <v>2489</v>
      </c>
      <c r="E2145" t="s">
        <v>2490</v>
      </c>
    </row>
    <row r="2146" spans="1:5" x14ac:dyDescent="0.2">
      <c r="A2146" t="s">
        <v>2383</v>
      </c>
      <c r="B2146">
        <v>619</v>
      </c>
      <c r="C2146" t="s">
        <v>3697</v>
      </c>
      <c r="E2146" t="s">
        <v>3698</v>
      </c>
    </row>
    <row r="2147" spans="1:5" x14ac:dyDescent="0.2">
      <c r="A2147" t="s">
        <v>2408</v>
      </c>
      <c r="B2147">
        <v>890</v>
      </c>
      <c r="C2147" t="s">
        <v>3563</v>
      </c>
      <c r="E2147" t="s">
        <v>3564</v>
      </c>
    </row>
    <row r="2148" spans="1:5" x14ac:dyDescent="0.2">
      <c r="A2148" t="s">
        <v>2408</v>
      </c>
      <c r="B2148">
        <v>786</v>
      </c>
      <c r="C2148" t="s">
        <v>2597</v>
      </c>
      <c r="E2148" t="s">
        <v>3699</v>
      </c>
    </row>
    <row r="2149" spans="1:5" x14ac:dyDescent="0.2">
      <c r="A2149" t="s">
        <v>413</v>
      </c>
      <c r="B2149">
        <v>505</v>
      </c>
      <c r="C2149" t="s">
        <v>2440</v>
      </c>
      <c r="E2149" t="s">
        <v>2441</v>
      </c>
    </row>
    <row r="2150" spans="1:5" x14ac:dyDescent="0.2">
      <c r="A2150" t="s">
        <v>382</v>
      </c>
      <c r="B2150">
        <v>630</v>
      </c>
      <c r="C2150" t="s">
        <v>3653</v>
      </c>
      <c r="E2150" t="s">
        <v>3654</v>
      </c>
    </row>
    <row r="2151" spans="1:5" x14ac:dyDescent="0.2">
      <c r="A2151" t="s">
        <v>567</v>
      </c>
      <c r="B2151">
        <v>690</v>
      </c>
      <c r="C2151" t="s">
        <v>3565</v>
      </c>
      <c r="E2151" t="s">
        <v>3582</v>
      </c>
    </row>
    <row r="2152" spans="1:5" x14ac:dyDescent="0.2">
      <c r="A2152" t="s">
        <v>650</v>
      </c>
      <c r="B2152">
        <v>627</v>
      </c>
      <c r="C2152" t="s">
        <v>2641</v>
      </c>
      <c r="E2152" t="s">
        <v>2642</v>
      </c>
    </row>
    <row r="2153" spans="1:5" x14ac:dyDescent="0.2">
      <c r="A2153" t="s">
        <v>650</v>
      </c>
      <c r="B2153">
        <v>540</v>
      </c>
      <c r="C2153" t="s">
        <v>2509</v>
      </c>
      <c r="E2153" t="s">
        <v>2585</v>
      </c>
    </row>
    <row r="2154" spans="1:5" x14ac:dyDescent="0.2">
      <c r="A2154" t="s">
        <v>2383</v>
      </c>
      <c r="B2154">
        <v>534</v>
      </c>
      <c r="C2154" t="s">
        <v>2489</v>
      </c>
      <c r="E2154" t="s">
        <v>2490</v>
      </c>
    </row>
    <row r="2155" spans="1:5" x14ac:dyDescent="0.2">
      <c r="A2155" t="s">
        <v>2408</v>
      </c>
      <c r="B2155">
        <v>637</v>
      </c>
      <c r="C2155" t="s">
        <v>2498</v>
      </c>
      <c r="E2155" t="s">
        <v>2499</v>
      </c>
    </row>
    <row r="2156" spans="1:5" x14ac:dyDescent="0.2">
      <c r="A2156" t="s">
        <v>505</v>
      </c>
      <c r="B2156">
        <v>797</v>
      </c>
      <c r="C2156" t="s">
        <v>3565</v>
      </c>
      <c r="D2156" t="s">
        <v>3700</v>
      </c>
      <c r="E2156" t="s">
        <v>3629</v>
      </c>
    </row>
    <row r="2157" spans="1:5" x14ac:dyDescent="0.2">
      <c r="A2157" t="s">
        <v>2408</v>
      </c>
      <c r="B2157">
        <v>760</v>
      </c>
      <c r="C2157" t="s">
        <v>2530</v>
      </c>
      <c r="E2157" t="s">
        <v>2531</v>
      </c>
    </row>
    <row r="2158" spans="1:5" x14ac:dyDescent="0.2">
      <c r="A2158" t="s">
        <v>539</v>
      </c>
      <c r="B2158">
        <v>690</v>
      </c>
      <c r="C2158" t="s">
        <v>3565</v>
      </c>
      <c r="D2158" t="s">
        <v>3701</v>
      </c>
      <c r="E2158" t="s">
        <v>3576</v>
      </c>
    </row>
    <row r="2159" spans="1:5" x14ac:dyDescent="0.2">
      <c r="A2159" t="s">
        <v>413</v>
      </c>
      <c r="B2159">
        <v>674</v>
      </c>
      <c r="C2159" t="s">
        <v>2381</v>
      </c>
      <c r="E2159" t="s">
        <v>2382</v>
      </c>
    </row>
    <row r="2160" spans="1:5" x14ac:dyDescent="0.2">
      <c r="A2160" t="s">
        <v>550</v>
      </c>
      <c r="B2160">
        <v>828</v>
      </c>
      <c r="C2160" t="s">
        <v>3601</v>
      </c>
      <c r="D2160" t="s">
        <v>3601</v>
      </c>
      <c r="E2160" t="s">
        <v>3602</v>
      </c>
    </row>
    <row r="2161" spans="1:5" x14ac:dyDescent="0.2">
      <c r="A2161" t="s">
        <v>2408</v>
      </c>
      <c r="B2161">
        <v>704</v>
      </c>
      <c r="C2161" t="s">
        <v>3702</v>
      </c>
      <c r="E2161" t="s">
        <v>3703</v>
      </c>
    </row>
    <row r="2162" spans="1:5" x14ac:dyDescent="0.2">
      <c r="A2162" t="s">
        <v>505</v>
      </c>
      <c r="B2162">
        <v>790</v>
      </c>
      <c r="C2162" t="s">
        <v>2470</v>
      </c>
      <c r="E2162" t="s">
        <v>2471</v>
      </c>
    </row>
    <row r="2163" spans="1:5" x14ac:dyDescent="0.2">
      <c r="A2163" t="s">
        <v>539</v>
      </c>
      <c r="B2163">
        <v>538</v>
      </c>
      <c r="C2163" t="s">
        <v>2517</v>
      </c>
      <c r="E2163" t="s">
        <v>2518</v>
      </c>
    </row>
    <row r="2164" spans="1:5" x14ac:dyDescent="0.2">
      <c r="A2164" t="s">
        <v>413</v>
      </c>
      <c r="B2164">
        <v>690</v>
      </c>
      <c r="C2164" t="s">
        <v>3565</v>
      </c>
      <c r="D2164" t="s">
        <v>3704</v>
      </c>
      <c r="E2164" t="s">
        <v>3566</v>
      </c>
    </row>
    <row r="2165" spans="1:5" x14ac:dyDescent="0.2">
      <c r="A2165" t="s">
        <v>567</v>
      </c>
      <c r="B2165">
        <v>515</v>
      </c>
      <c r="C2165" t="s">
        <v>3635</v>
      </c>
      <c r="E2165" t="s">
        <v>3636</v>
      </c>
    </row>
    <row r="2166" spans="1:5" x14ac:dyDescent="0.2">
      <c r="A2166" t="s">
        <v>650</v>
      </c>
      <c r="B2166">
        <v>600</v>
      </c>
      <c r="C2166" t="s">
        <v>2735</v>
      </c>
      <c r="E2166" t="s">
        <v>2736</v>
      </c>
    </row>
    <row r="2167" spans="1:5" x14ac:dyDescent="0.2">
      <c r="A2167" t="s">
        <v>539</v>
      </c>
      <c r="B2167">
        <v>890</v>
      </c>
      <c r="C2167" t="s">
        <v>3577</v>
      </c>
      <c r="D2167" t="s">
        <v>3577</v>
      </c>
      <c r="E2167" t="s">
        <v>3578</v>
      </c>
    </row>
    <row r="2168" spans="1:5" x14ac:dyDescent="0.2">
      <c r="A2168" t="s">
        <v>539</v>
      </c>
      <c r="B2168">
        <v>550</v>
      </c>
      <c r="C2168" t="s">
        <v>2816</v>
      </c>
      <c r="E2168" t="s">
        <v>2817</v>
      </c>
    </row>
    <row r="2169" spans="1:5" x14ac:dyDescent="0.2">
      <c r="A2169" t="s">
        <v>2408</v>
      </c>
      <c r="B2169">
        <v>560</v>
      </c>
      <c r="C2169" t="s">
        <v>3616</v>
      </c>
      <c r="D2169" t="s">
        <v>3705</v>
      </c>
      <c r="E2169" t="s">
        <v>3617</v>
      </c>
    </row>
    <row r="2170" spans="1:5" x14ac:dyDescent="0.2">
      <c r="A2170" t="s">
        <v>2408</v>
      </c>
      <c r="B2170">
        <v>662</v>
      </c>
      <c r="C2170" t="s">
        <v>2864</v>
      </c>
      <c r="D2170" t="s">
        <v>2960</v>
      </c>
      <c r="E2170" t="s">
        <v>2865</v>
      </c>
    </row>
    <row r="2171" spans="1:5" x14ac:dyDescent="0.2">
      <c r="A2171" t="s">
        <v>505</v>
      </c>
      <c r="B2171">
        <v>648</v>
      </c>
      <c r="C2171" t="s">
        <v>675</v>
      </c>
      <c r="D2171" t="s">
        <v>3706</v>
      </c>
      <c r="E2171" t="s">
        <v>2396</v>
      </c>
    </row>
    <row r="2172" spans="1:5" x14ac:dyDescent="0.2">
      <c r="A2172" t="s">
        <v>567</v>
      </c>
      <c r="B2172">
        <v>659</v>
      </c>
      <c r="C2172" t="s">
        <v>3707</v>
      </c>
      <c r="E2172" t="s">
        <v>3708</v>
      </c>
    </row>
    <row r="2173" spans="1:5" x14ac:dyDescent="0.2">
      <c r="A2173" t="s">
        <v>382</v>
      </c>
      <c r="B2173">
        <v>510</v>
      </c>
      <c r="C2173" t="s">
        <v>2556</v>
      </c>
      <c r="E2173" t="s">
        <v>2557</v>
      </c>
    </row>
    <row r="2174" spans="1:5" x14ac:dyDescent="0.2">
      <c r="A2174" t="s">
        <v>550</v>
      </c>
      <c r="B2174">
        <v>728</v>
      </c>
      <c r="C2174" t="s">
        <v>3422</v>
      </c>
      <c r="E2174" t="s">
        <v>3709</v>
      </c>
    </row>
    <row r="2175" spans="1:5" x14ac:dyDescent="0.2">
      <c r="A2175" t="s">
        <v>550</v>
      </c>
      <c r="B2175">
        <v>795</v>
      </c>
      <c r="C2175" t="s">
        <v>2386</v>
      </c>
      <c r="D2175" t="s">
        <v>3710</v>
      </c>
      <c r="E2175" t="s">
        <v>2481</v>
      </c>
    </row>
    <row r="2176" spans="1:5" x14ac:dyDescent="0.2">
      <c r="A2176" t="s">
        <v>382</v>
      </c>
      <c r="B2176">
        <v>613</v>
      </c>
      <c r="C2176" t="s">
        <v>3711</v>
      </c>
      <c r="E2176" t="s">
        <v>3712</v>
      </c>
    </row>
    <row r="2177" spans="1:5" x14ac:dyDescent="0.2">
      <c r="A2177" t="s">
        <v>2408</v>
      </c>
      <c r="B2177">
        <v>562</v>
      </c>
      <c r="C2177" t="s">
        <v>2907</v>
      </c>
      <c r="E2177" t="s">
        <v>2908</v>
      </c>
    </row>
    <row r="2178" spans="1:5" x14ac:dyDescent="0.2">
      <c r="A2178" t="s">
        <v>539</v>
      </c>
      <c r="B2178">
        <v>550</v>
      </c>
      <c r="C2178" t="s">
        <v>2816</v>
      </c>
      <c r="E2178" t="s">
        <v>2817</v>
      </c>
    </row>
    <row r="2179" spans="1:5" x14ac:dyDescent="0.2">
      <c r="A2179" t="s">
        <v>2408</v>
      </c>
      <c r="B2179">
        <v>555</v>
      </c>
      <c r="C2179" t="s">
        <v>2415</v>
      </c>
      <c r="E2179" t="s">
        <v>2416</v>
      </c>
    </row>
    <row r="2180" spans="1:5" x14ac:dyDescent="0.2">
      <c r="A2180" t="s">
        <v>567</v>
      </c>
      <c r="B2180">
        <v>570</v>
      </c>
      <c r="C2180" t="s">
        <v>2719</v>
      </c>
      <c r="E2180" t="s">
        <v>2720</v>
      </c>
    </row>
    <row r="2181" spans="1:5" x14ac:dyDescent="0.2">
      <c r="A2181" t="s">
        <v>650</v>
      </c>
      <c r="B2181">
        <v>540</v>
      </c>
      <c r="C2181" t="s">
        <v>2509</v>
      </c>
      <c r="E2181" t="s">
        <v>2585</v>
      </c>
    </row>
    <row r="2182" spans="1:5" x14ac:dyDescent="0.2">
      <c r="A2182" t="s">
        <v>550</v>
      </c>
      <c r="B2182">
        <v>676</v>
      </c>
      <c r="C2182" t="s">
        <v>2733</v>
      </c>
      <c r="E2182" t="s">
        <v>2734</v>
      </c>
    </row>
    <row r="2183" spans="1:5" x14ac:dyDescent="0.2">
      <c r="A2183" t="s">
        <v>505</v>
      </c>
      <c r="B2183">
        <v>695</v>
      </c>
      <c r="C2183" t="s">
        <v>2669</v>
      </c>
      <c r="E2183" t="s">
        <v>2670</v>
      </c>
    </row>
    <row r="2184" spans="1:5" x14ac:dyDescent="0.2">
      <c r="A2184" t="s">
        <v>550</v>
      </c>
      <c r="B2184">
        <v>690</v>
      </c>
      <c r="C2184" t="s">
        <v>3565</v>
      </c>
      <c r="E2184" t="s">
        <v>3593</v>
      </c>
    </row>
    <row r="2185" spans="1:5" x14ac:dyDescent="0.2">
      <c r="A2185" t="s">
        <v>550</v>
      </c>
      <c r="B2185">
        <v>660</v>
      </c>
      <c r="C2185" t="s">
        <v>2695</v>
      </c>
      <c r="E2185" t="s">
        <v>2696</v>
      </c>
    </row>
    <row r="2186" spans="1:5" x14ac:dyDescent="0.2">
      <c r="A2186" t="s">
        <v>550</v>
      </c>
      <c r="B2186">
        <v>525</v>
      </c>
      <c r="C2186" t="s">
        <v>3713</v>
      </c>
      <c r="E2186" t="s">
        <v>3714</v>
      </c>
    </row>
    <row r="2187" spans="1:5" x14ac:dyDescent="0.2">
      <c r="A2187" t="s">
        <v>550</v>
      </c>
      <c r="B2187">
        <v>618</v>
      </c>
      <c r="C2187" t="s">
        <v>2701</v>
      </c>
      <c r="E2187" t="s">
        <v>2702</v>
      </c>
    </row>
    <row r="2188" spans="1:5" x14ac:dyDescent="0.2">
      <c r="A2188" t="s">
        <v>550</v>
      </c>
      <c r="B2188">
        <v>610</v>
      </c>
      <c r="C2188" t="s">
        <v>3082</v>
      </c>
      <c r="E2188" t="s">
        <v>3083</v>
      </c>
    </row>
    <row r="2189" spans="1:5" x14ac:dyDescent="0.2">
      <c r="A2189" t="s">
        <v>2408</v>
      </c>
      <c r="B2189">
        <v>514</v>
      </c>
      <c r="C2189" t="s">
        <v>2663</v>
      </c>
      <c r="E2189" t="s">
        <v>2664</v>
      </c>
    </row>
    <row r="2190" spans="1:5" x14ac:dyDescent="0.2">
      <c r="A2190" t="s">
        <v>2408</v>
      </c>
      <c r="B2190">
        <v>779</v>
      </c>
      <c r="C2190" t="s">
        <v>2484</v>
      </c>
      <c r="E2190" t="s">
        <v>2485</v>
      </c>
    </row>
    <row r="2191" spans="1:5" x14ac:dyDescent="0.2">
      <c r="A2191" t="s">
        <v>2408</v>
      </c>
      <c r="B2191">
        <v>514</v>
      </c>
      <c r="C2191" t="s">
        <v>2663</v>
      </c>
      <c r="E2191" t="s">
        <v>2664</v>
      </c>
    </row>
    <row r="2192" spans="1:5" x14ac:dyDescent="0.2">
      <c r="A2192" t="s">
        <v>505</v>
      </c>
      <c r="B2192">
        <v>797</v>
      </c>
      <c r="C2192" t="s">
        <v>3565</v>
      </c>
      <c r="D2192" t="s">
        <v>3715</v>
      </c>
      <c r="E2192" t="s">
        <v>3629</v>
      </c>
    </row>
    <row r="2193" spans="1:5" x14ac:dyDescent="0.2">
      <c r="A2193" t="s">
        <v>2408</v>
      </c>
      <c r="B2193">
        <v>690</v>
      </c>
      <c r="C2193" t="s">
        <v>3561</v>
      </c>
      <c r="E2193" t="s">
        <v>3562</v>
      </c>
    </row>
    <row r="2194" spans="1:5" x14ac:dyDescent="0.2">
      <c r="A2194" t="s">
        <v>505</v>
      </c>
      <c r="B2194">
        <v>788</v>
      </c>
      <c r="C2194" t="s">
        <v>2476</v>
      </c>
      <c r="E2194" t="s">
        <v>2477</v>
      </c>
    </row>
    <row r="2195" spans="1:5" x14ac:dyDescent="0.2">
      <c r="A2195" t="s">
        <v>2383</v>
      </c>
      <c r="B2195">
        <v>680</v>
      </c>
      <c r="C2195" t="s">
        <v>3553</v>
      </c>
      <c r="D2195" t="s">
        <v>3716</v>
      </c>
      <c r="E2195" t="s">
        <v>3579</v>
      </c>
    </row>
    <row r="2196" spans="1:5" x14ac:dyDescent="0.2">
      <c r="A2196" t="s">
        <v>2408</v>
      </c>
      <c r="B2196">
        <v>526</v>
      </c>
      <c r="C2196" t="s">
        <v>2588</v>
      </c>
      <c r="E2196" t="s">
        <v>2589</v>
      </c>
    </row>
    <row r="2197" spans="1:5" x14ac:dyDescent="0.2">
      <c r="A2197" t="s">
        <v>2408</v>
      </c>
      <c r="B2197">
        <v>514</v>
      </c>
      <c r="C2197" t="s">
        <v>2663</v>
      </c>
      <c r="E2197" t="s">
        <v>2664</v>
      </c>
    </row>
    <row r="2198" spans="1:5" x14ac:dyDescent="0.2">
      <c r="A2198" t="s">
        <v>2383</v>
      </c>
      <c r="B2198">
        <v>534</v>
      </c>
      <c r="C2198" t="s">
        <v>2489</v>
      </c>
      <c r="E2198" t="s">
        <v>2490</v>
      </c>
    </row>
    <row r="2199" spans="1:5" x14ac:dyDescent="0.2">
      <c r="A2199" t="s">
        <v>2408</v>
      </c>
      <c r="B2199">
        <v>539</v>
      </c>
      <c r="C2199" t="s">
        <v>2420</v>
      </c>
      <c r="E2199" t="s">
        <v>2421</v>
      </c>
    </row>
    <row r="2200" spans="1:5" x14ac:dyDescent="0.2">
      <c r="A2200" t="s">
        <v>505</v>
      </c>
      <c r="B2200">
        <v>995</v>
      </c>
      <c r="C2200" t="s">
        <v>2938</v>
      </c>
      <c r="E2200" t="s">
        <v>2939</v>
      </c>
    </row>
    <row r="2201" spans="1:5" x14ac:dyDescent="0.2">
      <c r="A2201" t="s">
        <v>567</v>
      </c>
      <c r="B2201">
        <v>690</v>
      </c>
      <c r="C2201" t="s">
        <v>3565</v>
      </c>
      <c r="D2201" t="s">
        <v>3565</v>
      </c>
      <c r="E2201" t="s">
        <v>3582</v>
      </c>
    </row>
    <row r="2202" spans="1:5" x14ac:dyDescent="0.2">
      <c r="A2202" t="s">
        <v>650</v>
      </c>
      <c r="B2202">
        <v>690</v>
      </c>
      <c r="C2202" t="s">
        <v>3565</v>
      </c>
      <c r="E2202" t="s">
        <v>3573</v>
      </c>
    </row>
    <row r="2203" spans="1:5" x14ac:dyDescent="0.2">
      <c r="A2203" t="s">
        <v>413</v>
      </c>
      <c r="B2203">
        <v>690</v>
      </c>
      <c r="C2203" t="s">
        <v>3565</v>
      </c>
      <c r="E2203" t="s">
        <v>3566</v>
      </c>
    </row>
    <row r="2204" spans="1:5" x14ac:dyDescent="0.2">
      <c r="A2204" t="s">
        <v>567</v>
      </c>
      <c r="B2204">
        <v>690</v>
      </c>
      <c r="C2204" t="s">
        <v>3565</v>
      </c>
      <c r="E2204" t="s">
        <v>3582</v>
      </c>
    </row>
    <row r="2205" spans="1:5" x14ac:dyDescent="0.2">
      <c r="A2205" t="s">
        <v>539</v>
      </c>
      <c r="B2205">
        <v>690</v>
      </c>
      <c r="C2205" t="s">
        <v>3565</v>
      </c>
      <c r="E2205" t="s">
        <v>3576</v>
      </c>
    </row>
    <row r="2206" spans="1:5" x14ac:dyDescent="0.2">
      <c r="A2206" t="s">
        <v>650</v>
      </c>
      <c r="B2206">
        <v>695</v>
      </c>
      <c r="C2206" t="s">
        <v>2386</v>
      </c>
      <c r="D2206" t="s">
        <v>2487</v>
      </c>
      <c r="E2206" t="s">
        <v>2488</v>
      </c>
    </row>
    <row r="2207" spans="1:5" x14ac:dyDescent="0.2">
      <c r="A2207" t="s">
        <v>505</v>
      </c>
      <c r="B2207">
        <v>648</v>
      </c>
      <c r="C2207" t="s">
        <v>675</v>
      </c>
      <c r="D2207" t="s">
        <v>3717</v>
      </c>
      <c r="E2207" t="s">
        <v>2396</v>
      </c>
    </row>
    <row r="2208" spans="1:5" x14ac:dyDescent="0.2">
      <c r="A2208" t="s">
        <v>550</v>
      </c>
      <c r="B2208">
        <v>561</v>
      </c>
      <c r="C2208" t="s">
        <v>2492</v>
      </c>
      <c r="E2208" t="s">
        <v>2493</v>
      </c>
    </row>
    <row r="2209" spans="1:5" x14ac:dyDescent="0.2">
      <c r="A2209" t="s">
        <v>2383</v>
      </c>
      <c r="B2209">
        <v>541</v>
      </c>
      <c r="C2209" t="s">
        <v>2404</v>
      </c>
      <c r="E2209" t="s">
        <v>2502</v>
      </c>
    </row>
    <row r="2210" spans="1:5" x14ac:dyDescent="0.2">
      <c r="A2210" t="s">
        <v>650</v>
      </c>
      <c r="B2210">
        <v>695</v>
      </c>
      <c r="C2210" t="s">
        <v>2386</v>
      </c>
      <c r="D2210" t="s">
        <v>3592</v>
      </c>
      <c r="E2210" t="s">
        <v>2488</v>
      </c>
    </row>
    <row r="2211" spans="1:5" x14ac:dyDescent="0.2">
      <c r="A2211" t="s">
        <v>2408</v>
      </c>
      <c r="B2211">
        <v>637</v>
      </c>
      <c r="C2211" t="s">
        <v>2498</v>
      </c>
      <c r="E2211" t="s">
        <v>2499</v>
      </c>
    </row>
    <row r="2212" spans="1:5" x14ac:dyDescent="0.2">
      <c r="A2212" t="s">
        <v>539</v>
      </c>
      <c r="B2212">
        <v>550</v>
      </c>
      <c r="C2212" t="s">
        <v>2816</v>
      </c>
      <c r="E2212" t="s">
        <v>2817</v>
      </c>
    </row>
    <row r="2213" spans="1:5" x14ac:dyDescent="0.2">
      <c r="A2213" t="s">
        <v>2408</v>
      </c>
      <c r="B2213">
        <v>623</v>
      </c>
      <c r="C2213" t="s">
        <v>2542</v>
      </c>
      <c r="E2213" t="s">
        <v>2543</v>
      </c>
    </row>
    <row r="2214" spans="1:5" x14ac:dyDescent="0.2">
      <c r="A2214" t="s">
        <v>2408</v>
      </c>
      <c r="B2214">
        <v>560</v>
      </c>
      <c r="C2214" t="s">
        <v>3616</v>
      </c>
      <c r="E2214" t="s">
        <v>3617</v>
      </c>
    </row>
    <row r="2215" spans="1:5" x14ac:dyDescent="0.2">
      <c r="A2215" t="s">
        <v>2383</v>
      </c>
      <c r="B2215">
        <v>748</v>
      </c>
      <c r="C2215" t="s">
        <v>3265</v>
      </c>
      <c r="E2215" t="s">
        <v>3718</v>
      </c>
    </row>
    <row r="2216" spans="1:5" x14ac:dyDescent="0.2">
      <c r="A2216" t="s">
        <v>2408</v>
      </c>
      <c r="B2216">
        <v>562</v>
      </c>
      <c r="C2216" t="s">
        <v>2907</v>
      </c>
      <c r="E2216" t="s">
        <v>2908</v>
      </c>
    </row>
    <row r="2217" spans="1:5" x14ac:dyDescent="0.2">
      <c r="A2217" t="s">
        <v>567</v>
      </c>
      <c r="B2217">
        <v>570</v>
      </c>
      <c r="C2217" t="s">
        <v>2719</v>
      </c>
      <c r="D2217" t="s">
        <v>3719</v>
      </c>
      <c r="E2217" t="s">
        <v>2720</v>
      </c>
    </row>
    <row r="2218" spans="1:5" x14ac:dyDescent="0.2">
      <c r="A2218" t="s">
        <v>567</v>
      </c>
      <c r="B2218">
        <v>546</v>
      </c>
      <c r="C2218" t="s">
        <v>2442</v>
      </c>
      <c r="E2218" t="s">
        <v>2443</v>
      </c>
    </row>
    <row r="2219" spans="1:5" x14ac:dyDescent="0.2">
      <c r="A2219" t="s">
        <v>2383</v>
      </c>
      <c r="B2219">
        <v>658</v>
      </c>
      <c r="C2219" t="s">
        <v>2774</v>
      </c>
      <c r="E2219" t="s">
        <v>2775</v>
      </c>
    </row>
    <row r="2220" spans="1:5" x14ac:dyDescent="0.2">
      <c r="A2220" t="s">
        <v>2383</v>
      </c>
      <c r="B2220">
        <v>546</v>
      </c>
      <c r="C2220" t="s">
        <v>3720</v>
      </c>
      <c r="E2220" t="s">
        <v>3721</v>
      </c>
    </row>
    <row r="2221" spans="1:5" x14ac:dyDescent="0.2">
      <c r="A2221" t="s">
        <v>2383</v>
      </c>
      <c r="B2221">
        <v>610</v>
      </c>
      <c r="C2221" t="s">
        <v>2546</v>
      </c>
      <c r="E2221" t="s">
        <v>2618</v>
      </c>
    </row>
    <row r="2222" spans="1:5" x14ac:dyDescent="0.2">
      <c r="A2222" t="s">
        <v>650</v>
      </c>
      <c r="B2222">
        <v>647</v>
      </c>
      <c r="C2222" t="s">
        <v>2648</v>
      </c>
      <c r="E2222" t="s">
        <v>2649</v>
      </c>
    </row>
    <row r="2223" spans="1:5" x14ac:dyDescent="0.2">
      <c r="A2223" t="s">
        <v>2383</v>
      </c>
      <c r="B2223">
        <v>995</v>
      </c>
      <c r="C2223" t="s">
        <v>3594</v>
      </c>
      <c r="D2223" t="s">
        <v>3594</v>
      </c>
      <c r="E2223" t="s">
        <v>3595</v>
      </c>
    </row>
    <row r="2224" spans="1:5" x14ac:dyDescent="0.2">
      <c r="A2224" t="s">
        <v>413</v>
      </c>
      <c r="B2224">
        <v>600</v>
      </c>
      <c r="C2224" t="s">
        <v>2689</v>
      </c>
      <c r="D2224" t="s">
        <v>2689</v>
      </c>
      <c r="E2224" t="s">
        <v>2690</v>
      </c>
    </row>
    <row r="2225" spans="1:5" x14ac:dyDescent="0.2">
      <c r="A2225" t="s">
        <v>413</v>
      </c>
      <c r="B2225">
        <v>504</v>
      </c>
      <c r="C2225" t="s">
        <v>2788</v>
      </c>
      <c r="E2225" t="s">
        <v>2789</v>
      </c>
    </row>
    <row r="2226" spans="1:5" x14ac:dyDescent="0.2">
      <c r="A2226" t="s">
        <v>650</v>
      </c>
      <c r="B2226">
        <v>647</v>
      </c>
      <c r="C2226" t="s">
        <v>2648</v>
      </c>
      <c r="E2226" t="s">
        <v>2649</v>
      </c>
    </row>
    <row r="2227" spans="1:5" x14ac:dyDescent="0.2">
      <c r="A2227" t="s">
        <v>2408</v>
      </c>
      <c r="B2227">
        <v>630</v>
      </c>
      <c r="C2227" t="s">
        <v>3722</v>
      </c>
      <c r="E2227" t="s">
        <v>3723</v>
      </c>
    </row>
    <row r="2228" spans="1:5" x14ac:dyDescent="0.2">
      <c r="A2228" t="s">
        <v>2408</v>
      </c>
      <c r="B2228">
        <v>548</v>
      </c>
      <c r="C2228" t="s">
        <v>3724</v>
      </c>
      <c r="E2228" t="s">
        <v>3725</v>
      </c>
    </row>
    <row r="2229" spans="1:5" x14ac:dyDescent="0.2">
      <c r="A2229" t="s">
        <v>567</v>
      </c>
      <c r="B2229">
        <v>551</v>
      </c>
      <c r="C2229" t="s">
        <v>2422</v>
      </c>
      <c r="D2229" t="s">
        <v>2422</v>
      </c>
      <c r="E2229" t="s">
        <v>2423</v>
      </c>
    </row>
    <row r="2230" spans="1:5" x14ac:dyDescent="0.2">
      <c r="A2230" t="s">
        <v>505</v>
      </c>
      <c r="B2230">
        <v>648</v>
      </c>
      <c r="C2230" t="s">
        <v>675</v>
      </c>
      <c r="D2230" t="s">
        <v>3726</v>
      </c>
      <c r="E2230" t="s">
        <v>2396</v>
      </c>
    </row>
    <row r="2231" spans="1:5" x14ac:dyDescent="0.2">
      <c r="A2231" t="s">
        <v>650</v>
      </c>
      <c r="B2231">
        <v>695</v>
      </c>
      <c r="C2231" t="s">
        <v>2386</v>
      </c>
      <c r="D2231" t="s">
        <v>3727</v>
      </c>
      <c r="E2231" t="s">
        <v>2488</v>
      </c>
    </row>
    <row r="2232" spans="1:5" x14ac:dyDescent="0.2">
      <c r="A2232" t="s">
        <v>550</v>
      </c>
      <c r="B2232">
        <v>826</v>
      </c>
      <c r="C2232" t="s">
        <v>3095</v>
      </c>
      <c r="D2232" t="s">
        <v>3095</v>
      </c>
      <c r="E2232" t="s">
        <v>3096</v>
      </c>
    </row>
    <row r="2233" spans="1:5" x14ac:dyDescent="0.2">
      <c r="A2233" t="s">
        <v>2408</v>
      </c>
      <c r="B2233">
        <v>640</v>
      </c>
      <c r="C2233" t="s">
        <v>3728</v>
      </c>
      <c r="E2233" t="s">
        <v>3729</v>
      </c>
    </row>
    <row r="2234" spans="1:5" x14ac:dyDescent="0.2">
      <c r="A2234" t="s">
        <v>650</v>
      </c>
      <c r="B2234">
        <v>690</v>
      </c>
      <c r="C2234" t="s">
        <v>3565</v>
      </c>
      <c r="E2234" t="s">
        <v>3573</v>
      </c>
    </row>
    <row r="2235" spans="1:5" x14ac:dyDescent="0.2">
      <c r="A2235" t="s">
        <v>650</v>
      </c>
      <c r="B2235">
        <v>690</v>
      </c>
      <c r="C2235" t="s">
        <v>3565</v>
      </c>
      <c r="D2235" t="s">
        <v>3730</v>
      </c>
      <c r="E2235" t="s">
        <v>3573</v>
      </c>
    </row>
    <row r="2236" spans="1:5" x14ac:dyDescent="0.2">
      <c r="A2236" t="s">
        <v>650</v>
      </c>
      <c r="B2236">
        <v>690</v>
      </c>
      <c r="C2236" t="s">
        <v>3565</v>
      </c>
      <c r="E2236" t="s">
        <v>3573</v>
      </c>
    </row>
    <row r="2237" spans="1:5" x14ac:dyDescent="0.2">
      <c r="A2237" t="s">
        <v>650</v>
      </c>
      <c r="B2237">
        <v>940</v>
      </c>
      <c r="C2237" t="s">
        <v>2946</v>
      </c>
      <c r="E2237" t="s">
        <v>2947</v>
      </c>
    </row>
    <row r="2238" spans="1:5" x14ac:dyDescent="0.2">
      <c r="A2238" t="s">
        <v>2383</v>
      </c>
      <c r="B2238">
        <v>626</v>
      </c>
      <c r="C2238" t="s">
        <v>2883</v>
      </c>
      <c r="D2238" t="s">
        <v>2883</v>
      </c>
      <c r="E2238" t="s">
        <v>2884</v>
      </c>
    </row>
    <row r="2239" spans="1:5" x14ac:dyDescent="0.2">
      <c r="A2239" t="s">
        <v>650</v>
      </c>
      <c r="B2239">
        <v>649</v>
      </c>
      <c r="C2239" t="s">
        <v>2979</v>
      </c>
      <c r="D2239" t="s">
        <v>3731</v>
      </c>
      <c r="E2239" t="s">
        <v>2980</v>
      </c>
    </row>
    <row r="2240" spans="1:5" x14ac:dyDescent="0.2">
      <c r="A2240" t="s">
        <v>2408</v>
      </c>
      <c r="B2240">
        <v>552</v>
      </c>
      <c r="C2240" t="s">
        <v>2772</v>
      </c>
      <c r="E2240" t="s">
        <v>2773</v>
      </c>
    </row>
    <row r="2241" spans="1:5" x14ac:dyDescent="0.2">
      <c r="A2241" t="s">
        <v>539</v>
      </c>
      <c r="B2241">
        <v>552</v>
      </c>
      <c r="C2241" t="s">
        <v>2612</v>
      </c>
      <c r="E2241" t="s">
        <v>2613</v>
      </c>
    </row>
    <row r="2242" spans="1:5" x14ac:dyDescent="0.2">
      <c r="A2242" t="s">
        <v>2408</v>
      </c>
      <c r="B2242">
        <v>585</v>
      </c>
      <c r="C2242" t="s">
        <v>3732</v>
      </c>
      <c r="E2242" t="s">
        <v>3733</v>
      </c>
    </row>
    <row r="2243" spans="1:5" x14ac:dyDescent="0.2">
      <c r="A2243" t="s">
        <v>2383</v>
      </c>
      <c r="B2243">
        <v>679</v>
      </c>
      <c r="C2243" t="s">
        <v>2868</v>
      </c>
      <c r="E2243" t="s">
        <v>2869</v>
      </c>
    </row>
    <row r="2244" spans="1:5" x14ac:dyDescent="0.2">
      <c r="A2244" t="s">
        <v>2408</v>
      </c>
      <c r="B2244">
        <v>526</v>
      </c>
      <c r="C2244" t="s">
        <v>2588</v>
      </c>
      <c r="D2244" t="s">
        <v>2588</v>
      </c>
      <c r="E2244" t="s">
        <v>2589</v>
      </c>
    </row>
    <row r="2245" spans="1:5" x14ac:dyDescent="0.2">
      <c r="A2245" t="s">
        <v>650</v>
      </c>
      <c r="B2245">
        <v>940</v>
      </c>
      <c r="C2245" t="s">
        <v>2946</v>
      </c>
      <c r="D2245" t="s">
        <v>3734</v>
      </c>
      <c r="E2245" t="s">
        <v>2947</v>
      </c>
    </row>
    <row r="2246" spans="1:5" x14ac:dyDescent="0.2">
      <c r="A2246" t="s">
        <v>413</v>
      </c>
      <c r="B2246">
        <v>504</v>
      </c>
      <c r="C2246" t="s">
        <v>2788</v>
      </c>
      <c r="E2246" t="s">
        <v>2789</v>
      </c>
    </row>
    <row r="2247" spans="1:5" x14ac:dyDescent="0.2">
      <c r="A2247" t="s">
        <v>413</v>
      </c>
      <c r="B2247">
        <v>685</v>
      </c>
      <c r="C2247" t="s">
        <v>3053</v>
      </c>
      <c r="E2247" t="s">
        <v>3054</v>
      </c>
    </row>
    <row r="2248" spans="1:5" x14ac:dyDescent="0.2">
      <c r="A2248" t="s">
        <v>2408</v>
      </c>
      <c r="B2248">
        <v>543</v>
      </c>
      <c r="C2248" t="s">
        <v>2494</v>
      </c>
      <c r="D2248" t="s">
        <v>2494</v>
      </c>
      <c r="E2248" t="s">
        <v>2495</v>
      </c>
    </row>
    <row r="2249" spans="1:5" x14ac:dyDescent="0.2">
      <c r="A2249" t="s">
        <v>539</v>
      </c>
      <c r="B2249">
        <v>551</v>
      </c>
      <c r="C2249" t="s">
        <v>2606</v>
      </c>
      <c r="E2249" t="s">
        <v>2607</v>
      </c>
    </row>
    <row r="2250" spans="1:5" x14ac:dyDescent="0.2">
      <c r="A2250" t="s">
        <v>2408</v>
      </c>
      <c r="B2250">
        <v>552</v>
      </c>
      <c r="C2250" t="s">
        <v>2772</v>
      </c>
      <c r="E2250" t="s">
        <v>2773</v>
      </c>
    </row>
    <row r="2251" spans="1:5" x14ac:dyDescent="0.2">
      <c r="A2251" t="s">
        <v>539</v>
      </c>
      <c r="B2251">
        <v>678</v>
      </c>
      <c r="C2251" t="s">
        <v>2748</v>
      </c>
      <c r="D2251" t="s">
        <v>3735</v>
      </c>
      <c r="E2251" t="s">
        <v>2749</v>
      </c>
    </row>
    <row r="2252" spans="1:5" x14ac:dyDescent="0.2">
      <c r="A2252" t="s">
        <v>650</v>
      </c>
      <c r="B2252">
        <v>628</v>
      </c>
      <c r="C2252" t="s">
        <v>2926</v>
      </c>
      <c r="E2252" t="s">
        <v>2927</v>
      </c>
    </row>
    <row r="2253" spans="1:5" x14ac:dyDescent="0.2">
      <c r="A2253" t="s">
        <v>2408</v>
      </c>
      <c r="B2253">
        <v>539</v>
      </c>
      <c r="C2253" t="s">
        <v>2420</v>
      </c>
      <c r="D2253" t="s">
        <v>2420</v>
      </c>
      <c r="E2253" t="s">
        <v>2421</v>
      </c>
    </row>
    <row r="2254" spans="1:5" x14ac:dyDescent="0.2">
      <c r="A2254" t="s">
        <v>505</v>
      </c>
      <c r="B2254">
        <v>525</v>
      </c>
      <c r="C2254" t="s">
        <v>2879</v>
      </c>
      <c r="E2254" t="s">
        <v>2880</v>
      </c>
    </row>
    <row r="2255" spans="1:5" x14ac:dyDescent="0.2">
      <c r="A2255" t="s">
        <v>650</v>
      </c>
      <c r="B2255">
        <v>667</v>
      </c>
      <c r="C2255" t="s">
        <v>3736</v>
      </c>
      <c r="E2255" t="s">
        <v>3737</v>
      </c>
    </row>
    <row r="2256" spans="1:5" x14ac:dyDescent="0.2">
      <c r="A2256" t="s">
        <v>2383</v>
      </c>
      <c r="B2256">
        <v>660</v>
      </c>
      <c r="C2256" t="s">
        <v>3596</v>
      </c>
      <c r="D2256" t="s">
        <v>3596</v>
      </c>
      <c r="E2256" t="s">
        <v>3597</v>
      </c>
    </row>
    <row r="2257" spans="1:5" x14ac:dyDescent="0.2">
      <c r="A2257" t="s">
        <v>567</v>
      </c>
      <c r="B2257">
        <v>556</v>
      </c>
      <c r="C2257" t="s">
        <v>2562</v>
      </c>
      <c r="D2257" t="s">
        <v>3668</v>
      </c>
      <c r="E2257" t="s">
        <v>2537</v>
      </c>
    </row>
    <row r="2258" spans="1:5" x14ac:dyDescent="0.2">
      <c r="A2258" t="s">
        <v>650</v>
      </c>
      <c r="B2258">
        <v>540</v>
      </c>
      <c r="C2258" t="s">
        <v>2509</v>
      </c>
      <c r="E2258" t="s">
        <v>2585</v>
      </c>
    </row>
    <row r="2259" spans="1:5" x14ac:dyDescent="0.2">
      <c r="A2259" t="s">
        <v>2408</v>
      </c>
      <c r="B2259">
        <v>630</v>
      </c>
      <c r="C2259" t="s">
        <v>3722</v>
      </c>
      <c r="E2259" t="s">
        <v>3723</v>
      </c>
    </row>
    <row r="2260" spans="1:5" x14ac:dyDescent="0.2">
      <c r="A2260" t="s">
        <v>2408</v>
      </c>
      <c r="B2260">
        <v>566</v>
      </c>
      <c r="C2260" t="s">
        <v>2645</v>
      </c>
      <c r="D2260" t="s">
        <v>2645</v>
      </c>
      <c r="E2260" t="s">
        <v>2646</v>
      </c>
    </row>
    <row r="2261" spans="1:5" x14ac:dyDescent="0.2">
      <c r="A2261" t="s">
        <v>505</v>
      </c>
      <c r="B2261">
        <v>520</v>
      </c>
      <c r="C2261" t="s">
        <v>2573</v>
      </c>
      <c r="E2261" t="s">
        <v>2574</v>
      </c>
    </row>
    <row r="2262" spans="1:5" x14ac:dyDescent="0.2">
      <c r="A2262" t="s">
        <v>650</v>
      </c>
      <c r="B2262">
        <v>628</v>
      </c>
      <c r="C2262" t="s">
        <v>2926</v>
      </c>
      <c r="E2262" t="s">
        <v>2927</v>
      </c>
    </row>
    <row r="2263" spans="1:5" x14ac:dyDescent="0.2">
      <c r="A2263" t="s">
        <v>550</v>
      </c>
      <c r="B2263">
        <v>695</v>
      </c>
      <c r="C2263" t="s">
        <v>2582</v>
      </c>
      <c r="D2263" t="s">
        <v>3738</v>
      </c>
      <c r="E2263" t="s">
        <v>2584</v>
      </c>
    </row>
    <row r="2264" spans="1:5" x14ac:dyDescent="0.2">
      <c r="A2264" t="s">
        <v>539</v>
      </c>
      <c r="B2264">
        <v>539</v>
      </c>
      <c r="C2264" t="s">
        <v>2580</v>
      </c>
      <c r="E2264" t="s">
        <v>2581</v>
      </c>
    </row>
    <row r="2265" spans="1:5" x14ac:dyDescent="0.2">
      <c r="A2265" t="s">
        <v>505</v>
      </c>
      <c r="B2265">
        <v>620</v>
      </c>
      <c r="C2265" t="s">
        <v>2624</v>
      </c>
      <c r="E2265" t="s">
        <v>2625</v>
      </c>
    </row>
    <row r="2266" spans="1:5" x14ac:dyDescent="0.2">
      <c r="A2266" t="s">
        <v>650</v>
      </c>
      <c r="B2266">
        <v>690</v>
      </c>
      <c r="C2266" t="s">
        <v>3565</v>
      </c>
      <c r="E2266" t="s">
        <v>3573</v>
      </c>
    </row>
    <row r="2267" spans="1:5" x14ac:dyDescent="0.2">
      <c r="A2267" t="s">
        <v>539</v>
      </c>
      <c r="B2267">
        <v>538</v>
      </c>
      <c r="C2267" t="s">
        <v>2517</v>
      </c>
      <c r="E2267" t="s">
        <v>2518</v>
      </c>
    </row>
    <row r="2268" spans="1:5" x14ac:dyDescent="0.2">
      <c r="A2268" t="s">
        <v>2408</v>
      </c>
      <c r="B2268">
        <v>660</v>
      </c>
      <c r="C2268" t="s">
        <v>3567</v>
      </c>
      <c r="D2268" t="s">
        <v>3567</v>
      </c>
      <c r="E2268" t="s">
        <v>3568</v>
      </c>
    </row>
    <row r="2269" spans="1:5" x14ac:dyDescent="0.2">
      <c r="A2269" t="s">
        <v>2408</v>
      </c>
      <c r="B2269">
        <v>523</v>
      </c>
      <c r="C2269" t="s">
        <v>2406</v>
      </c>
      <c r="E2269" t="s">
        <v>2419</v>
      </c>
    </row>
    <row r="2270" spans="1:5" x14ac:dyDescent="0.2">
      <c r="A2270" t="s">
        <v>539</v>
      </c>
      <c r="B2270">
        <v>536</v>
      </c>
      <c r="C2270" t="s">
        <v>2658</v>
      </c>
      <c r="E2270" t="s">
        <v>2640</v>
      </c>
    </row>
    <row r="2271" spans="1:5" x14ac:dyDescent="0.2">
      <c r="A2271" t="s">
        <v>539</v>
      </c>
      <c r="B2271">
        <v>567</v>
      </c>
      <c r="C2271" t="s">
        <v>2417</v>
      </c>
      <c r="D2271" t="s">
        <v>3739</v>
      </c>
      <c r="E2271" t="s">
        <v>2418</v>
      </c>
    </row>
    <row r="2272" spans="1:5" x14ac:dyDescent="0.2">
      <c r="A2272" t="s">
        <v>650</v>
      </c>
      <c r="B2272">
        <v>625</v>
      </c>
      <c r="C2272" t="s">
        <v>2842</v>
      </c>
      <c r="E2272" t="s">
        <v>2843</v>
      </c>
    </row>
    <row r="2273" spans="1:5" x14ac:dyDescent="0.2">
      <c r="A2273" t="s">
        <v>550</v>
      </c>
      <c r="B2273">
        <v>890</v>
      </c>
      <c r="C2273" t="s">
        <v>3625</v>
      </c>
      <c r="E2273" t="s">
        <v>3626</v>
      </c>
    </row>
    <row r="2274" spans="1:5" x14ac:dyDescent="0.2">
      <c r="A2274" t="s">
        <v>505</v>
      </c>
      <c r="B2274">
        <v>675</v>
      </c>
      <c r="C2274" t="s">
        <v>3740</v>
      </c>
      <c r="E2274" t="s">
        <v>3741</v>
      </c>
    </row>
    <row r="2275" spans="1:5" x14ac:dyDescent="0.2">
      <c r="A2275" t="s">
        <v>2383</v>
      </c>
      <c r="B2275">
        <v>503</v>
      </c>
      <c r="C2275" t="s">
        <v>2433</v>
      </c>
      <c r="E2275" t="s">
        <v>2491</v>
      </c>
    </row>
    <row r="2276" spans="1:5" x14ac:dyDescent="0.2">
      <c r="A2276" t="s">
        <v>650</v>
      </c>
      <c r="B2276">
        <v>608</v>
      </c>
      <c r="C2276" t="s">
        <v>2684</v>
      </c>
      <c r="E2276" t="s">
        <v>2845</v>
      </c>
    </row>
    <row r="2277" spans="1:5" x14ac:dyDescent="0.2">
      <c r="A2277" t="s">
        <v>2383</v>
      </c>
      <c r="B2277">
        <v>534</v>
      </c>
      <c r="C2277" t="s">
        <v>2489</v>
      </c>
      <c r="E2277" t="s">
        <v>2490</v>
      </c>
    </row>
    <row r="2278" spans="1:5" x14ac:dyDescent="0.2">
      <c r="A2278" t="s">
        <v>539</v>
      </c>
      <c r="B2278">
        <v>567</v>
      </c>
      <c r="C2278" t="s">
        <v>2417</v>
      </c>
      <c r="D2278" t="s">
        <v>3742</v>
      </c>
      <c r="E2278" t="s">
        <v>2418</v>
      </c>
    </row>
    <row r="2279" spans="1:5" x14ac:dyDescent="0.2">
      <c r="A2279" t="s">
        <v>2408</v>
      </c>
      <c r="B2279">
        <v>637</v>
      </c>
      <c r="C2279" t="s">
        <v>2498</v>
      </c>
      <c r="E2279" t="s">
        <v>2499</v>
      </c>
    </row>
    <row r="2280" spans="1:5" x14ac:dyDescent="0.2">
      <c r="A2280" t="s">
        <v>382</v>
      </c>
      <c r="B2280">
        <v>510</v>
      </c>
      <c r="C2280" t="s">
        <v>2556</v>
      </c>
      <c r="E2280" t="s">
        <v>2557</v>
      </c>
    </row>
    <row r="2281" spans="1:5" x14ac:dyDescent="0.2">
      <c r="A2281" t="s">
        <v>2408</v>
      </c>
      <c r="B2281">
        <v>690</v>
      </c>
      <c r="C2281" t="s">
        <v>3561</v>
      </c>
      <c r="D2281" t="s">
        <v>3584</v>
      </c>
      <c r="E2281" t="s">
        <v>3562</v>
      </c>
    </row>
    <row r="2282" spans="1:5" x14ac:dyDescent="0.2">
      <c r="A2282" t="s">
        <v>2408</v>
      </c>
      <c r="B2282">
        <v>637</v>
      </c>
      <c r="C2282" t="s">
        <v>2498</v>
      </c>
      <c r="E2282" t="s">
        <v>2499</v>
      </c>
    </row>
    <row r="2283" spans="1:5" x14ac:dyDescent="0.2">
      <c r="A2283" t="s">
        <v>2408</v>
      </c>
      <c r="B2283">
        <v>586</v>
      </c>
      <c r="C2283" t="s">
        <v>3138</v>
      </c>
      <c r="D2283" t="s">
        <v>3743</v>
      </c>
      <c r="E2283" t="s">
        <v>3140</v>
      </c>
    </row>
    <row r="2284" spans="1:5" x14ac:dyDescent="0.2">
      <c r="A2284" t="s">
        <v>567</v>
      </c>
      <c r="B2284">
        <v>890</v>
      </c>
      <c r="C2284" t="s">
        <v>3519</v>
      </c>
      <c r="E2284" t="s">
        <v>3521</v>
      </c>
    </row>
    <row r="2285" spans="1:5" x14ac:dyDescent="0.2">
      <c r="A2285" t="s">
        <v>567</v>
      </c>
      <c r="B2285">
        <v>890</v>
      </c>
      <c r="C2285" t="s">
        <v>3519</v>
      </c>
      <c r="E2285" t="s">
        <v>3521</v>
      </c>
    </row>
    <row r="2286" spans="1:5" x14ac:dyDescent="0.2">
      <c r="A2286" t="s">
        <v>2408</v>
      </c>
      <c r="B2286">
        <v>669</v>
      </c>
      <c r="C2286" t="s">
        <v>3603</v>
      </c>
      <c r="D2286" t="s">
        <v>3603</v>
      </c>
      <c r="E2286" t="s">
        <v>3604</v>
      </c>
    </row>
    <row r="2287" spans="1:5" x14ac:dyDescent="0.2">
      <c r="A2287" t="s">
        <v>650</v>
      </c>
      <c r="B2287">
        <v>695</v>
      </c>
      <c r="C2287" t="s">
        <v>2386</v>
      </c>
      <c r="D2287" t="s">
        <v>2487</v>
      </c>
      <c r="E2287" t="s">
        <v>2488</v>
      </c>
    </row>
    <row r="2288" spans="1:5" x14ac:dyDescent="0.2">
      <c r="A2288" t="s">
        <v>650</v>
      </c>
      <c r="B2288">
        <v>510</v>
      </c>
      <c r="C2288" t="s">
        <v>2790</v>
      </c>
      <c r="D2288" t="s">
        <v>2790</v>
      </c>
      <c r="E2288" t="s">
        <v>2791</v>
      </c>
    </row>
    <row r="2289" spans="1:5" x14ac:dyDescent="0.2">
      <c r="A2289" t="s">
        <v>650</v>
      </c>
      <c r="B2289">
        <v>964</v>
      </c>
      <c r="C2289" t="s">
        <v>2620</v>
      </c>
      <c r="D2289" t="s">
        <v>3744</v>
      </c>
      <c r="E2289" t="s">
        <v>2909</v>
      </c>
    </row>
    <row r="2290" spans="1:5" x14ac:dyDescent="0.2">
      <c r="A2290" t="s">
        <v>539</v>
      </c>
      <c r="B2290">
        <v>515</v>
      </c>
      <c r="C2290" t="s">
        <v>2838</v>
      </c>
      <c r="D2290" t="s">
        <v>2838</v>
      </c>
      <c r="E2290" t="s">
        <v>2839</v>
      </c>
    </row>
    <row r="2291" spans="1:5" x14ac:dyDescent="0.2">
      <c r="A2291" t="s">
        <v>650</v>
      </c>
      <c r="B2291">
        <v>639</v>
      </c>
      <c r="C2291" t="s">
        <v>2703</v>
      </c>
      <c r="D2291" t="s">
        <v>2703</v>
      </c>
      <c r="E2291" t="s">
        <v>2704</v>
      </c>
    </row>
    <row r="2292" spans="1:5" x14ac:dyDescent="0.2">
      <c r="A2292" t="s">
        <v>539</v>
      </c>
      <c r="B2292">
        <v>940</v>
      </c>
      <c r="C2292" t="s">
        <v>2853</v>
      </c>
      <c r="D2292" t="s">
        <v>3745</v>
      </c>
      <c r="E2292" t="s">
        <v>2855</v>
      </c>
    </row>
    <row r="2293" spans="1:5" x14ac:dyDescent="0.2">
      <c r="A2293" t="s">
        <v>539</v>
      </c>
      <c r="B2293">
        <v>945</v>
      </c>
      <c r="C2293" t="s">
        <v>2764</v>
      </c>
      <c r="D2293" t="s">
        <v>2764</v>
      </c>
      <c r="E2293" t="s">
        <v>2857</v>
      </c>
    </row>
    <row r="2294" spans="1:5" x14ac:dyDescent="0.2">
      <c r="A2294" t="s">
        <v>539</v>
      </c>
      <c r="B2294">
        <v>509</v>
      </c>
      <c r="C2294" t="s">
        <v>2836</v>
      </c>
      <c r="D2294" t="s">
        <v>2836</v>
      </c>
      <c r="E2294" t="s">
        <v>2837</v>
      </c>
    </row>
    <row r="2295" spans="1:5" x14ac:dyDescent="0.2">
      <c r="A2295" t="s">
        <v>505</v>
      </c>
      <c r="B2295">
        <v>626</v>
      </c>
      <c r="C2295" t="s">
        <v>2798</v>
      </c>
      <c r="D2295" t="s">
        <v>2715</v>
      </c>
      <c r="E2295" t="s">
        <v>2799</v>
      </c>
    </row>
    <row r="2296" spans="1:5" x14ac:dyDescent="0.2">
      <c r="A2296" t="s">
        <v>539</v>
      </c>
      <c r="B2296">
        <v>543</v>
      </c>
      <c r="C2296" t="s">
        <v>2756</v>
      </c>
      <c r="D2296" t="s">
        <v>2756</v>
      </c>
      <c r="E2296" t="s">
        <v>2757</v>
      </c>
    </row>
    <row r="2297" spans="1:5" x14ac:dyDescent="0.2">
      <c r="A2297" t="s">
        <v>550</v>
      </c>
      <c r="B2297">
        <v>695</v>
      </c>
      <c r="C2297" t="s">
        <v>2582</v>
      </c>
      <c r="D2297" t="s">
        <v>3746</v>
      </c>
      <c r="E2297" t="s">
        <v>2584</v>
      </c>
    </row>
    <row r="2298" spans="1:5" x14ac:dyDescent="0.2">
      <c r="A2298" t="s">
        <v>550</v>
      </c>
      <c r="B2298">
        <v>695</v>
      </c>
      <c r="C2298" t="s">
        <v>2582</v>
      </c>
      <c r="D2298" t="s">
        <v>3747</v>
      </c>
      <c r="E2298" t="s">
        <v>2584</v>
      </c>
    </row>
    <row r="2299" spans="1:5" x14ac:dyDescent="0.2">
      <c r="A2299" t="s">
        <v>567</v>
      </c>
      <c r="B2299">
        <v>674</v>
      </c>
      <c r="C2299" t="s">
        <v>2866</v>
      </c>
      <c r="E2299" t="s">
        <v>2867</v>
      </c>
    </row>
    <row r="2300" spans="1:5" x14ac:dyDescent="0.2">
      <c r="A2300" t="s">
        <v>539</v>
      </c>
      <c r="B2300">
        <v>920</v>
      </c>
      <c r="C2300" t="s">
        <v>2830</v>
      </c>
      <c r="D2300" t="s">
        <v>3748</v>
      </c>
      <c r="E2300" t="s">
        <v>2831</v>
      </c>
    </row>
    <row r="2301" spans="1:5" x14ac:dyDescent="0.2">
      <c r="A2301" t="s">
        <v>550</v>
      </c>
      <c r="B2301">
        <v>830</v>
      </c>
      <c r="C2301" t="s">
        <v>3749</v>
      </c>
      <c r="E2301" t="s">
        <v>3750</v>
      </c>
    </row>
    <row r="2302" spans="1:5" x14ac:dyDescent="0.2">
      <c r="A2302" t="s">
        <v>505</v>
      </c>
      <c r="B2302">
        <v>697</v>
      </c>
      <c r="C2302" t="s">
        <v>2671</v>
      </c>
      <c r="E2302" t="s">
        <v>2672</v>
      </c>
    </row>
    <row r="2303" spans="1:5" x14ac:dyDescent="0.2">
      <c r="A2303" t="s">
        <v>505</v>
      </c>
      <c r="B2303">
        <v>648</v>
      </c>
      <c r="C2303" t="s">
        <v>675</v>
      </c>
      <c r="D2303" t="s">
        <v>3751</v>
      </c>
      <c r="E2303" t="s">
        <v>2396</v>
      </c>
    </row>
    <row r="2304" spans="1:5" x14ac:dyDescent="0.2">
      <c r="A2304" t="s">
        <v>2408</v>
      </c>
      <c r="B2304">
        <v>543</v>
      </c>
      <c r="C2304" t="s">
        <v>2494</v>
      </c>
      <c r="E2304" t="s">
        <v>2495</v>
      </c>
    </row>
    <row r="2305" spans="1:5" x14ac:dyDescent="0.2">
      <c r="A2305" t="s">
        <v>650</v>
      </c>
      <c r="B2305">
        <v>678</v>
      </c>
      <c r="C2305" t="s">
        <v>2691</v>
      </c>
      <c r="E2305" t="s">
        <v>2692</v>
      </c>
    </row>
    <row r="2306" spans="1:5" x14ac:dyDescent="0.2">
      <c r="A2306" t="s">
        <v>2383</v>
      </c>
      <c r="B2306">
        <v>690</v>
      </c>
      <c r="C2306" t="s">
        <v>3565</v>
      </c>
      <c r="E2306" t="s">
        <v>3574</v>
      </c>
    </row>
    <row r="2307" spans="1:5" x14ac:dyDescent="0.2">
      <c r="A2307" t="s">
        <v>2383</v>
      </c>
      <c r="B2307">
        <v>690</v>
      </c>
      <c r="C2307" t="s">
        <v>3565</v>
      </c>
      <c r="E2307" t="s">
        <v>3574</v>
      </c>
    </row>
    <row r="2308" spans="1:5" x14ac:dyDescent="0.2">
      <c r="A2308" t="s">
        <v>2383</v>
      </c>
      <c r="B2308">
        <v>680</v>
      </c>
      <c r="C2308" t="s">
        <v>3553</v>
      </c>
      <c r="D2308" t="s">
        <v>3752</v>
      </c>
      <c r="E2308" t="s">
        <v>3579</v>
      </c>
    </row>
    <row r="2309" spans="1:5" x14ac:dyDescent="0.2">
      <c r="A2309" t="s">
        <v>505</v>
      </c>
      <c r="B2309">
        <v>698</v>
      </c>
      <c r="C2309" t="s">
        <v>2944</v>
      </c>
      <c r="D2309" t="s">
        <v>2944</v>
      </c>
      <c r="E2309" t="s">
        <v>2945</v>
      </c>
    </row>
    <row r="2310" spans="1:5" x14ac:dyDescent="0.2">
      <c r="A2310" t="s">
        <v>550</v>
      </c>
      <c r="B2310">
        <v>690</v>
      </c>
      <c r="C2310" t="s">
        <v>3565</v>
      </c>
      <c r="D2310" t="s">
        <v>3565</v>
      </c>
      <c r="E2310" t="s">
        <v>3593</v>
      </c>
    </row>
    <row r="2311" spans="1:5" x14ac:dyDescent="0.2">
      <c r="A2311" t="s">
        <v>550</v>
      </c>
      <c r="B2311">
        <v>690</v>
      </c>
      <c r="C2311" t="s">
        <v>3565</v>
      </c>
      <c r="D2311" t="s">
        <v>3565</v>
      </c>
      <c r="E2311" t="s">
        <v>3593</v>
      </c>
    </row>
    <row r="2312" spans="1:5" x14ac:dyDescent="0.2">
      <c r="A2312" t="s">
        <v>550</v>
      </c>
      <c r="B2312">
        <v>690</v>
      </c>
      <c r="C2312" t="s">
        <v>3565</v>
      </c>
      <c r="D2312" t="s">
        <v>3565</v>
      </c>
      <c r="E2312" t="s">
        <v>3593</v>
      </c>
    </row>
    <row r="2313" spans="1:5" x14ac:dyDescent="0.2">
      <c r="A2313" t="s">
        <v>550</v>
      </c>
      <c r="B2313">
        <v>890</v>
      </c>
      <c r="C2313" t="s">
        <v>3625</v>
      </c>
      <c r="D2313" t="s">
        <v>3625</v>
      </c>
      <c r="E2313" t="s">
        <v>3626</v>
      </c>
    </row>
    <row r="2314" spans="1:5" x14ac:dyDescent="0.2">
      <c r="A2314" t="s">
        <v>550</v>
      </c>
      <c r="B2314">
        <v>890</v>
      </c>
      <c r="C2314" t="s">
        <v>3625</v>
      </c>
      <c r="D2314" t="s">
        <v>3625</v>
      </c>
      <c r="E2314" t="s">
        <v>3626</v>
      </c>
    </row>
    <row r="2315" spans="1:5" x14ac:dyDescent="0.2">
      <c r="A2315" t="s">
        <v>550</v>
      </c>
      <c r="B2315">
        <v>890</v>
      </c>
      <c r="C2315" t="s">
        <v>3625</v>
      </c>
      <c r="D2315" t="s">
        <v>3625</v>
      </c>
      <c r="E2315" t="s">
        <v>3626</v>
      </c>
    </row>
    <row r="2316" spans="1:5" x14ac:dyDescent="0.2">
      <c r="A2316" t="s">
        <v>550</v>
      </c>
      <c r="B2316">
        <v>890</v>
      </c>
      <c r="C2316" t="s">
        <v>3625</v>
      </c>
      <c r="D2316" t="s">
        <v>3625</v>
      </c>
      <c r="E2316" t="s">
        <v>3626</v>
      </c>
    </row>
    <row r="2317" spans="1:5" x14ac:dyDescent="0.2">
      <c r="A2317" t="s">
        <v>650</v>
      </c>
      <c r="B2317">
        <v>690</v>
      </c>
      <c r="C2317" t="s">
        <v>3565</v>
      </c>
      <c r="D2317" t="s">
        <v>3565</v>
      </c>
      <c r="E2317" t="s">
        <v>3573</v>
      </c>
    </row>
    <row r="2318" spans="1:5" x14ac:dyDescent="0.2">
      <c r="A2318" t="s">
        <v>650</v>
      </c>
      <c r="B2318">
        <v>690</v>
      </c>
      <c r="C2318" t="s">
        <v>3565</v>
      </c>
      <c r="D2318" t="s">
        <v>3565</v>
      </c>
      <c r="E2318" t="s">
        <v>3573</v>
      </c>
    </row>
    <row r="2319" spans="1:5" x14ac:dyDescent="0.2">
      <c r="A2319" t="s">
        <v>650</v>
      </c>
      <c r="B2319">
        <v>690</v>
      </c>
      <c r="C2319" t="s">
        <v>3565</v>
      </c>
      <c r="D2319" t="s">
        <v>3565</v>
      </c>
      <c r="E2319" t="s">
        <v>3573</v>
      </c>
    </row>
    <row r="2320" spans="1:5" x14ac:dyDescent="0.2">
      <c r="A2320" t="s">
        <v>650</v>
      </c>
      <c r="B2320">
        <v>690</v>
      </c>
      <c r="C2320" t="s">
        <v>3565</v>
      </c>
      <c r="D2320" t="s">
        <v>3565</v>
      </c>
      <c r="E2320" t="s">
        <v>3573</v>
      </c>
    </row>
    <row r="2321" spans="1:5" x14ac:dyDescent="0.2">
      <c r="A2321" t="s">
        <v>650</v>
      </c>
      <c r="B2321">
        <v>690</v>
      </c>
      <c r="C2321" t="s">
        <v>3565</v>
      </c>
      <c r="D2321" t="s">
        <v>3565</v>
      </c>
      <c r="E2321" t="s">
        <v>3573</v>
      </c>
    </row>
    <row r="2322" spans="1:5" x14ac:dyDescent="0.2">
      <c r="A2322" t="s">
        <v>650</v>
      </c>
      <c r="B2322">
        <v>690</v>
      </c>
      <c r="C2322" t="s">
        <v>3565</v>
      </c>
      <c r="D2322" t="s">
        <v>3565</v>
      </c>
      <c r="E2322" t="s">
        <v>3573</v>
      </c>
    </row>
    <row r="2323" spans="1:5" x14ac:dyDescent="0.2">
      <c r="A2323" t="s">
        <v>550</v>
      </c>
      <c r="B2323">
        <v>695</v>
      </c>
      <c r="C2323" t="s">
        <v>2582</v>
      </c>
      <c r="D2323" t="s">
        <v>3753</v>
      </c>
      <c r="E2323" t="s">
        <v>2584</v>
      </c>
    </row>
    <row r="2324" spans="1:5" x14ac:dyDescent="0.2">
      <c r="A2324" t="s">
        <v>550</v>
      </c>
      <c r="B2324">
        <v>695</v>
      </c>
      <c r="C2324" t="s">
        <v>2582</v>
      </c>
      <c r="D2324" t="s">
        <v>3754</v>
      </c>
      <c r="E2324" t="s">
        <v>2584</v>
      </c>
    </row>
    <row r="2325" spans="1:5" x14ac:dyDescent="0.2">
      <c r="A2325" t="s">
        <v>550</v>
      </c>
      <c r="B2325">
        <v>690</v>
      </c>
      <c r="C2325" t="s">
        <v>3565</v>
      </c>
      <c r="D2325" t="s">
        <v>3755</v>
      </c>
      <c r="E2325" t="s">
        <v>3593</v>
      </c>
    </row>
    <row r="2326" spans="1:5" x14ac:dyDescent="0.2">
      <c r="A2326" t="s">
        <v>550</v>
      </c>
      <c r="B2326">
        <v>690</v>
      </c>
      <c r="C2326" t="s">
        <v>3565</v>
      </c>
      <c r="D2326" t="s">
        <v>3756</v>
      </c>
      <c r="E2326" t="s">
        <v>3593</v>
      </c>
    </row>
    <row r="2327" spans="1:5" x14ac:dyDescent="0.2">
      <c r="A2327" t="s">
        <v>505</v>
      </c>
      <c r="B2327">
        <v>797</v>
      </c>
      <c r="C2327" t="s">
        <v>3565</v>
      </c>
      <c r="D2327" t="s">
        <v>3757</v>
      </c>
      <c r="E2327" t="s">
        <v>3629</v>
      </c>
    </row>
    <row r="2328" spans="1:5" x14ac:dyDescent="0.2">
      <c r="A2328" t="s">
        <v>2383</v>
      </c>
      <c r="B2328">
        <v>721</v>
      </c>
      <c r="C2328" t="s">
        <v>3758</v>
      </c>
      <c r="E2328" t="s">
        <v>3759</v>
      </c>
    </row>
    <row r="2329" spans="1:5" x14ac:dyDescent="0.2">
      <c r="A2329" t="s">
        <v>505</v>
      </c>
      <c r="B2329">
        <v>648</v>
      </c>
      <c r="C2329" t="s">
        <v>675</v>
      </c>
      <c r="D2329" t="s">
        <v>3760</v>
      </c>
      <c r="E2329" t="s">
        <v>2396</v>
      </c>
    </row>
    <row r="2330" spans="1:5" x14ac:dyDescent="0.2">
      <c r="A2330" t="s">
        <v>505</v>
      </c>
      <c r="B2330">
        <v>648</v>
      </c>
      <c r="C2330" t="s">
        <v>675</v>
      </c>
      <c r="D2330" t="s">
        <v>3760</v>
      </c>
      <c r="E2330" t="s">
        <v>2396</v>
      </c>
    </row>
    <row r="2331" spans="1:5" x14ac:dyDescent="0.2">
      <c r="A2331" t="s">
        <v>539</v>
      </c>
      <c r="B2331">
        <v>678</v>
      </c>
      <c r="C2331" t="s">
        <v>2748</v>
      </c>
      <c r="D2331" t="s">
        <v>3761</v>
      </c>
      <c r="E2331" t="s">
        <v>2749</v>
      </c>
    </row>
    <row r="2332" spans="1:5" x14ac:dyDescent="0.2">
      <c r="A2332" t="s">
        <v>539</v>
      </c>
      <c r="B2332">
        <v>695</v>
      </c>
      <c r="C2332" t="s">
        <v>2636</v>
      </c>
      <c r="D2332" t="s">
        <v>3762</v>
      </c>
      <c r="E2332" t="s">
        <v>2638</v>
      </c>
    </row>
    <row r="2333" spans="1:5" x14ac:dyDescent="0.2">
      <c r="A2333" t="s">
        <v>2408</v>
      </c>
      <c r="B2333">
        <v>539</v>
      </c>
      <c r="C2333" t="s">
        <v>2420</v>
      </c>
      <c r="E2333" t="s">
        <v>2421</v>
      </c>
    </row>
    <row r="2334" spans="1:5" x14ac:dyDescent="0.2">
      <c r="A2334" t="s">
        <v>505</v>
      </c>
      <c r="B2334">
        <v>697</v>
      </c>
      <c r="C2334" t="s">
        <v>2671</v>
      </c>
      <c r="E2334" t="s">
        <v>2672</v>
      </c>
    </row>
    <row r="2335" spans="1:5" x14ac:dyDescent="0.2">
      <c r="A2335" t="s">
        <v>2408</v>
      </c>
      <c r="B2335">
        <v>637</v>
      </c>
      <c r="C2335" t="s">
        <v>2498</v>
      </c>
      <c r="E2335" t="s">
        <v>2499</v>
      </c>
    </row>
    <row r="2336" spans="1:5" x14ac:dyDescent="0.2">
      <c r="A2336" t="s">
        <v>650</v>
      </c>
      <c r="B2336">
        <v>695</v>
      </c>
      <c r="C2336" t="s">
        <v>2386</v>
      </c>
      <c r="D2336" t="s">
        <v>2487</v>
      </c>
      <c r="E2336" t="s">
        <v>2488</v>
      </c>
    </row>
    <row r="2337" spans="1:5" x14ac:dyDescent="0.2">
      <c r="A2337" t="s">
        <v>550</v>
      </c>
      <c r="B2337">
        <v>546</v>
      </c>
      <c r="C2337" t="s">
        <v>2504</v>
      </c>
      <c r="D2337" t="s">
        <v>2504</v>
      </c>
      <c r="E2337" t="s">
        <v>2505</v>
      </c>
    </row>
    <row r="2338" spans="1:5" x14ac:dyDescent="0.2">
      <c r="A2338" t="s">
        <v>2408</v>
      </c>
      <c r="B2338">
        <v>538</v>
      </c>
      <c r="C2338" t="s">
        <v>2548</v>
      </c>
      <c r="E2338" t="s">
        <v>2647</v>
      </c>
    </row>
    <row r="2339" spans="1:5" x14ac:dyDescent="0.2">
      <c r="A2339" t="s">
        <v>2408</v>
      </c>
      <c r="B2339">
        <v>539</v>
      </c>
      <c r="C2339" t="s">
        <v>2420</v>
      </c>
      <c r="E2339" t="s">
        <v>2421</v>
      </c>
    </row>
    <row r="2340" spans="1:5" x14ac:dyDescent="0.2">
      <c r="A2340" t="s">
        <v>539</v>
      </c>
      <c r="B2340">
        <v>634</v>
      </c>
      <c r="C2340" t="s">
        <v>3112</v>
      </c>
      <c r="D2340" t="s">
        <v>3112</v>
      </c>
      <c r="E2340" t="s">
        <v>3113</v>
      </c>
    </row>
    <row r="2341" spans="1:5" x14ac:dyDescent="0.2">
      <c r="A2341" t="s">
        <v>539</v>
      </c>
      <c r="B2341">
        <v>509</v>
      </c>
      <c r="C2341" t="s">
        <v>2836</v>
      </c>
      <c r="D2341" t="s">
        <v>2836</v>
      </c>
      <c r="E2341" t="s">
        <v>2837</v>
      </c>
    </row>
    <row r="2342" spans="1:5" x14ac:dyDescent="0.2">
      <c r="A2342" t="s">
        <v>413</v>
      </c>
      <c r="B2342">
        <v>690</v>
      </c>
      <c r="C2342" t="s">
        <v>3565</v>
      </c>
      <c r="E2342" t="s">
        <v>3566</v>
      </c>
    </row>
    <row r="2343" spans="1:5" x14ac:dyDescent="0.2">
      <c r="A2343" t="s">
        <v>2408</v>
      </c>
      <c r="B2343">
        <v>780</v>
      </c>
      <c r="C2343" t="s">
        <v>2540</v>
      </c>
      <c r="E2343" t="s">
        <v>2541</v>
      </c>
    </row>
    <row r="2344" spans="1:5" x14ac:dyDescent="0.2">
      <c r="A2344" t="s">
        <v>2408</v>
      </c>
      <c r="B2344">
        <v>763</v>
      </c>
      <c r="C2344" t="s">
        <v>2478</v>
      </c>
      <c r="E2344" t="s">
        <v>2479</v>
      </c>
    </row>
    <row r="2345" spans="1:5" x14ac:dyDescent="0.2">
      <c r="A2345" t="s">
        <v>2408</v>
      </c>
      <c r="B2345">
        <v>648</v>
      </c>
      <c r="C2345" t="s">
        <v>3763</v>
      </c>
      <c r="E2345" t="s">
        <v>3764</v>
      </c>
    </row>
    <row r="2346" spans="1:5" x14ac:dyDescent="0.2">
      <c r="A2346" t="s">
        <v>2408</v>
      </c>
      <c r="B2346">
        <v>539</v>
      </c>
      <c r="C2346" t="s">
        <v>2420</v>
      </c>
      <c r="E2346" t="s">
        <v>2421</v>
      </c>
    </row>
    <row r="2347" spans="1:5" x14ac:dyDescent="0.2">
      <c r="A2347" t="s">
        <v>2408</v>
      </c>
      <c r="B2347">
        <v>747</v>
      </c>
      <c r="C2347" t="s">
        <v>2560</v>
      </c>
      <c r="E2347" t="s">
        <v>3693</v>
      </c>
    </row>
    <row r="2348" spans="1:5" x14ac:dyDescent="0.2">
      <c r="A2348" t="s">
        <v>413</v>
      </c>
      <c r="B2348">
        <v>690</v>
      </c>
      <c r="C2348" t="s">
        <v>3565</v>
      </c>
      <c r="D2348" t="s">
        <v>3765</v>
      </c>
      <c r="E2348" t="s">
        <v>3566</v>
      </c>
    </row>
    <row r="2349" spans="1:5" x14ac:dyDescent="0.2">
      <c r="A2349" t="s">
        <v>505</v>
      </c>
      <c r="B2349">
        <v>510</v>
      </c>
      <c r="C2349" t="s">
        <v>2847</v>
      </c>
      <c r="D2349" t="s">
        <v>2961</v>
      </c>
      <c r="E2349" t="s">
        <v>2848</v>
      </c>
    </row>
    <row r="2350" spans="1:5" x14ac:dyDescent="0.2">
      <c r="A2350" t="s">
        <v>2383</v>
      </c>
      <c r="B2350">
        <v>680</v>
      </c>
      <c r="C2350" t="s">
        <v>3553</v>
      </c>
      <c r="D2350" t="s">
        <v>3752</v>
      </c>
      <c r="E2350" t="s">
        <v>3579</v>
      </c>
    </row>
    <row r="2351" spans="1:5" x14ac:dyDescent="0.2">
      <c r="A2351" t="s">
        <v>539</v>
      </c>
      <c r="B2351">
        <v>645</v>
      </c>
      <c r="C2351" t="s">
        <v>2940</v>
      </c>
      <c r="E2351" t="s">
        <v>2941</v>
      </c>
    </row>
    <row r="2352" spans="1:5" x14ac:dyDescent="0.2">
      <c r="A2352" t="s">
        <v>567</v>
      </c>
      <c r="B2352">
        <v>640</v>
      </c>
      <c r="C2352" t="s">
        <v>3766</v>
      </c>
      <c r="E2352" t="s">
        <v>3767</v>
      </c>
    </row>
    <row r="2353" spans="1:5" x14ac:dyDescent="0.2">
      <c r="A2353" t="s">
        <v>505</v>
      </c>
      <c r="B2353">
        <v>539</v>
      </c>
      <c r="C2353" t="s">
        <v>2411</v>
      </c>
      <c r="D2353" t="s">
        <v>3110</v>
      </c>
      <c r="E2353" t="s">
        <v>2412</v>
      </c>
    </row>
    <row r="2354" spans="1:5" x14ac:dyDescent="0.2">
      <c r="A2354" t="s">
        <v>505</v>
      </c>
      <c r="B2354">
        <v>790</v>
      </c>
      <c r="C2354" t="s">
        <v>2470</v>
      </c>
      <c r="E2354" t="s">
        <v>2471</v>
      </c>
    </row>
    <row r="2355" spans="1:5" x14ac:dyDescent="0.2">
      <c r="A2355" t="s">
        <v>550</v>
      </c>
      <c r="B2355">
        <v>770</v>
      </c>
      <c r="C2355" t="s">
        <v>3768</v>
      </c>
      <c r="E2355" t="s">
        <v>3769</v>
      </c>
    </row>
    <row r="2356" spans="1:5" x14ac:dyDescent="0.2">
      <c r="A2356" t="s">
        <v>550</v>
      </c>
      <c r="B2356">
        <v>795</v>
      </c>
      <c r="C2356" t="s">
        <v>2386</v>
      </c>
      <c r="D2356" t="s">
        <v>3770</v>
      </c>
      <c r="E2356" t="s">
        <v>2481</v>
      </c>
    </row>
    <row r="2357" spans="1:5" x14ac:dyDescent="0.2">
      <c r="A2357" t="s">
        <v>550</v>
      </c>
      <c r="B2357">
        <v>690</v>
      </c>
      <c r="C2357" t="s">
        <v>3565</v>
      </c>
      <c r="D2357" t="s">
        <v>3565</v>
      </c>
      <c r="E2357" t="s">
        <v>3593</v>
      </c>
    </row>
    <row r="2358" spans="1:5" x14ac:dyDescent="0.2">
      <c r="A2358" t="s">
        <v>550</v>
      </c>
      <c r="B2358">
        <v>890</v>
      </c>
      <c r="C2358" t="s">
        <v>3625</v>
      </c>
      <c r="D2358" t="s">
        <v>3625</v>
      </c>
      <c r="E2358" t="s">
        <v>3626</v>
      </c>
    </row>
    <row r="2359" spans="1:5" x14ac:dyDescent="0.2">
      <c r="A2359" t="s">
        <v>550</v>
      </c>
      <c r="B2359">
        <v>890</v>
      </c>
      <c r="C2359" t="s">
        <v>3625</v>
      </c>
      <c r="D2359" t="s">
        <v>3625</v>
      </c>
      <c r="E2359" t="s">
        <v>3626</v>
      </c>
    </row>
    <row r="2360" spans="1:5" x14ac:dyDescent="0.2">
      <c r="A2360" t="s">
        <v>382</v>
      </c>
      <c r="B2360">
        <v>510</v>
      </c>
      <c r="C2360" t="s">
        <v>2556</v>
      </c>
      <c r="E2360" t="s">
        <v>2557</v>
      </c>
    </row>
    <row r="2361" spans="1:5" x14ac:dyDescent="0.2">
      <c r="A2361" t="s">
        <v>2408</v>
      </c>
      <c r="B2361">
        <v>641</v>
      </c>
      <c r="C2361" t="s">
        <v>3620</v>
      </c>
      <c r="D2361" t="s">
        <v>3771</v>
      </c>
      <c r="E2361" t="s">
        <v>3621</v>
      </c>
    </row>
    <row r="2362" spans="1:5" x14ac:dyDescent="0.2">
      <c r="A2362" t="s">
        <v>550</v>
      </c>
      <c r="B2362">
        <v>795</v>
      </c>
      <c r="C2362" t="s">
        <v>2386</v>
      </c>
      <c r="D2362" t="s">
        <v>3772</v>
      </c>
      <c r="E2362" t="s">
        <v>2481</v>
      </c>
    </row>
    <row r="2363" spans="1:5" x14ac:dyDescent="0.2">
      <c r="A2363" t="s">
        <v>505</v>
      </c>
      <c r="B2363">
        <v>688</v>
      </c>
      <c r="C2363" t="s">
        <v>2586</v>
      </c>
      <c r="E2363" t="s">
        <v>2587</v>
      </c>
    </row>
    <row r="2364" spans="1:5" x14ac:dyDescent="0.2">
      <c r="A2364" t="s">
        <v>505</v>
      </c>
      <c r="B2364">
        <v>697</v>
      </c>
      <c r="C2364" t="s">
        <v>2671</v>
      </c>
      <c r="E2364" t="s">
        <v>2672</v>
      </c>
    </row>
    <row r="2365" spans="1:5" x14ac:dyDescent="0.2">
      <c r="A2365" t="s">
        <v>505</v>
      </c>
      <c r="B2365">
        <v>695</v>
      </c>
      <c r="C2365" t="s">
        <v>2669</v>
      </c>
      <c r="E2365" t="s">
        <v>2670</v>
      </c>
    </row>
    <row r="2366" spans="1:5" x14ac:dyDescent="0.2">
      <c r="A2366" t="s">
        <v>505</v>
      </c>
      <c r="B2366">
        <v>680</v>
      </c>
      <c r="C2366" t="s">
        <v>2564</v>
      </c>
      <c r="E2366" t="s">
        <v>2565</v>
      </c>
    </row>
    <row r="2367" spans="1:5" x14ac:dyDescent="0.2">
      <c r="A2367" t="s">
        <v>2383</v>
      </c>
      <c r="B2367">
        <v>690</v>
      </c>
      <c r="C2367" t="s">
        <v>3565</v>
      </c>
      <c r="E2367" t="s">
        <v>3574</v>
      </c>
    </row>
    <row r="2368" spans="1:5" x14ac:dyDescent="0.2">
      <c r="A2368" t="s">
        <v>382</v>
      </c>
      <c r="B2368">
        <v>630</v>
      </c>
      <c r="C2368" t="s">
        <v>3653</v>
      </c>
      <c r="E2368" t="s">
        <v>3654</v>
      </c>
    </row>
    <row r="2369" spans="1:5" x14ac:dyDescent="0.2">
      <c r="A2369" t="s">
        <v>2408</v>
      </c>
      <c r="B2369">
        <v>713</v>
      </c>
      <c r="C2369" t="s">
        <v>2532</v>
      </c>
      <c r="E2369" t="s">
        <v>2533</v>
      </c>
    </row>
    <row r="2370" spans="1:5" x14ac:dyDescent="0.2">
      <c r="A2370" t="s">
        <v>2408</v>
      </c>
      <c r="B2370">
        <v>586</v>
      </c>
      <c r="C2370" t="s">
        <v>3138</v>
      </c>
      <c r="D2370" t="s">
        <v>3773</v>
      </c>
      <c r="E2370" t="s">
        <v>3140</v>
      </c>
    </row>
    <row r="2371" spans="1:5" x14ac:dyDescent="0.2">
      <c r="A2371" t="s">
        <v>382</v>
      </c>
      <c r="B2371">
        <v>613</v>
      </c>
      <c r="C2371" t="s">
        <v>3711</v>
      </c>
      <c r="E2371" t="s">
        <v>3712</v>
      </c>
    </row>
    <row r="2372" spans="1:5" x14ac:dyDescent="0.2">
      <c r="A2372" t="s">
        <v>2383</v>
      </c>
      <c r="B2372">
        <v>690</v>
      </c>
      <c r="C2372" t="s">
        <v>3565</v>
      </c>
      <c r="E2372" t="s">
        <v>3574</v>
      </c>
    </row>
    <row r="2373" spans="1:5" x14ac:dyDescent="0.2">
      <c r="A2373" t="s">
        <v>2383</v>
      </c>
      <c r="B2373">
        <v>690</v>
      </c>
      <c r="C2373" t="s">
        <v>3565</v>
      </c>
      <c r="E2373" t="s">
        <v>3574</v>
      </c>
    </row>
    <row r="2374" spans="1:5" x14ac:dyDescent="0.2">
      <c r="A2374" t="s">
        <v>2383</v>
      </c>
      <c r="B2374">
        <v>870</v>
      </c>
      <c r="C2374" t="s">
        <v>3046</v>
      </c>
      <c r="D2374" t="s">
        <v>3774</v>
      </c>
      <c r="E2374" t="s">
        <v>3048</v>
      </c>
    </row>
    <row r="2375" spans="1:5" x14ac:dyDescent="0.2">
      <c r="A2375" t="s">
        <v>505</v>
      </c>
      <c r="B2375">
        <v>534</v>
      </c>
      <c r="C2375" t="s">
        <v>2397</v>
      </c>
      <c r="D2375" t="s">
        <v>2568</v>
      </c>
      <c r="E2375" t="s">
        <v>2398</v>
      </c>
    </row>
    <row r="2376" spans="1:5" x14ac:dyDescent="0.2">
      <c r="A2376" t="s">
        <v>2408</v>
      </c>
      <c r="B2376">
        <v>586</v>
      </c>
      <c r="C2376" t="s">
        <v>3138</v>
      </c>
      <c r="D2376" t="s">
        <v>3775</v>
      </c>
      <c r="E2376" t="s">
        <v>3140</v>
      </c>
    </row>
    <row r="2377" spans="1:5" x14ac:dyDescent="0.2">
      <c r="A2377" t="s">
        <v>382</v>
      </c>
      <c r="B2377">
        <v>830</v>
      </c>
      <c r="C2377" t="s">
        <v>3639</v>
      </c>
      <c r="E2377" t="s">
        <v>3640</v>
      </c>
    </row>
    <row r="2378" spans="1:5" x14ac:dyDescent="0.2">
      <c r="A2378" t="s">
        <v>505</v>
      </c>
      <c r="B2378">
        <v>511</v>
      </c>
      <c r="C2378" t="s">
        <v>2828</v>
      </c>
      <c r="D2378" t="s">
        <v>2828</v>
      </c>
      <c r="E2378" t="s">
        <v>2829</v>
      </c>
    </row>
    <row r="2379" spans="1:5" x14ac:dyDescent="0.2">
      <c r="A2379" t="s">
        <v>505</v>
      </c>
      <c r="B2379">
        <v>530</v>
      </c>
      <c r="C2379" t="s">
        <v>2511</v>
      </c>
      <c r="D2379" t="s">
        <v>2511</v>
      </c>
      <c r="E2379" t="s">
        <v>2512</v>
      </c>
    </row>
    <row r="2380" spans="1:5" x14ac:dyDescent="0.2">
      <c r="A2380" t="s">
        <v>2408</v>
      </c>
      <c r="B2380">
        <v>885</v>
      </c>
      <c r="C2380" t="s">
        <v>3013</v>
      </c>
      <c r="D2380" t="s">
        <v>3776</v>
      </c>
      <c r="E2380" t="s">
        <v>3015</v>
      </c>
    </row>
    <row r="2381" spans="1:5" x14ac:dyDescent="0.2">
      <c r="A2381" t="s">
        <v>505</v>
      </c>
      <c r="B2381">
        <v>797</v>
      </c>
      <c r="C2381" t="s">
        <v>3565</v>
      </c>
      <c r="D2381" t="s">
        <v>3671</v>
      </c>
      <c r="E2381" t="s">
        <v>3629</v>
      </c>
    </row>
    <row r="2382" spans="1:5" x14ac:dyDescent="0.2">
      <c r="A2382" t="s">
        <v>550</v>
      </c>
      <c r="B2382">
        <v>706</v>
      </c>
      <c r="C2382" t="s">
        <v>3666</v>
      </c>
      <c r="E2382" t="s">
        <v>3667</v>
      </c>
    </row>
    <row r="2383" spans="1:5" x14ac:dyDescent="0.2">
      <c r="A2383" t="s">
        <v>2408</v>
      </c>
      <c r="B2383">
        <v>562</v>
      </c>
      <c r="C2383" t="s">
        <v>2907</v>
      </c>
      <c r="E2383" t="s">
        <v>2908</v>
      </c>
    </row>
    <row r="2384" spans="1:5" x14ac:dyDescent="0.2">
      <c r="A2384" t="s">
        <v>2408</v>
      </c>
      <c r="B2384">
        <v>787</v>
      </c>
      <c r="C2384" t="s">
        <v>2590</v>
      </c>
      <c r="E2384" t="s">
        <v>2591</v>
      </c>
    </row>
    <row r="2385" spans="1:5" x14ac:dyDescent="0.2">
      <c r="A2385" t="s">
        <v>550</v>
      </c>
      <c r="B2385">
        <v>695</v>
      </c>
      <c r="C2385" t="s">
        <v>2582</v>
      </c>
      <c r="D2385" t="s">
        <v>3777</v>
      </c>
      <c r="E2385" t="s">
        <v>2584</v>
      </c>
    </row>
    <row r="2386" spans="1:5" x14ac:dyDescent="0.2">
      <c r="A2386" t="s">
        <v>550</v>
      </c>
      <c r="B2386">
        <v>827</v>
      </c>
      <c r="C2386" t="s">
        <v>2914</v>
      </c>
      <c r="D2386" t="s">
        <v>2914</v>
      </c>
      <c r="E2386" t="s">
        <v>2915</v>
      </c>
    </row>
    <row r="2387" spans="1:5" x14ac:dyDescent="0.2">
      <c r="A2387" t="s">
        <v>413</v>
      </c>
      <c r="B2387">
        <v>674</v>
      </c>
      <c r="C2387" t="s">
        <v>2381</v>
      </c>
      <c r="D2387" t="s">
        <v>2381</v>
      </c>
      <c r="E2387" t="s">
        <v>2382</v>
      </c>
    </row>
    <row r="2388" spans="1:5" x14ac:dyDescent="0.2">
      <c r="A2388" t="s">
        <v>413</v>
      </c>
      <c r="B2388">
        <v>574</v>
      </c>
      <c r="C2388" t="s">
        <v>2661</v>
      </c>
      <c r="E2388" t="s">
        <v>2567</v>
      </c>
    </row>
    <row r="2389" spans="1:5" x14ac:dyDescent="0.2">
      <c r="A2389" t="s">
        <v>2408</v>
      </c>
      <c r="B2389">
        <v>778</v>
      </c>
      <c r="C2389" t="s">
        <v>3191</v>
      </c>
      <c r="E2389" t="s">
        <v>3192</v>
      </c>
    </row>
    <row r="2390" spans="1:5" x14ac:dyDescent="0.2">
      <c r="A2390" t="s">
        <v>382</v>
      </c>
      <c r="B2390">
        <v>510</v>
      </c>
      <c r="C2390" t="s">
        <v>2556</v>
      </c>
      <c r="E2390" t="s">
        <v>2557</v>
      </c>
    </row>
    <row r="2391" spans="1:5" x14ac:dyDescent="0.2">
      <c r="A2391" t="s">
        <v>413</v>
      </c>
      <c r="B2391">
        <v>574</v>
      </c>
      <c r="C2391" t="s">
        <v>2661</v>
      </c>
      <c r="E2391" t="s">
        <v>2567</v>
      </c>
    </row>
    <row r="2392" spans="1:5" x14ac:dyDescent="0.2">
      <c r="A2392" t="s">
        <v>505</v>
      </c>
      <c r="B2392">
        <v>534</v>
      </c>
      <c r="C2392" t="s">
        <v>2397</v>
      </c>
      <c r="E2392" t="s">
        <v>2398</v>
      </c>
    </row>
    <row r="2393" spans="1:5" x14ac:dyDescent="0.2">
      <c r="A2393" t="s">
        <v>413</v>
      </c>
      <c r="B2393">
        <v>690</v>
      </c>
      <c r="C2393" t="s">
        <v>3565</v>
      </c>
      <c r="E2393" t="s">
        <v>3566</v>
      </c>
    </row>
    <row r="2394" spans="1:5" x14ac:dyDescent="0.2">
      <c r="A2394" t="s">
        <v>650</v>
      </c>
      <c r="B2394">
        <v>628</v>
      </c>
      <c r="C2394" t="s">
        <v>2926</v>
      </c>
      <c r="E2394" t="s">
        <v>2927</v>
      </c>
    </row>
    <row r="2395" spans="1:5" x14ac:dyDescent="0.2">
      <c r="A2395" t="s">
        <v>550</v>
      </c>
      <c r="B2395">
        <v>561</v>
      </c>
      <c r="C2395" t="s">
        <v>2492</v>
      </c>
      <c r="E2395" t="s">
        <v>2493</v>
      </c>
    </row>
    <row r="2396" spans="1:5" x14ac:dyDescent="0.2">
      <c r="A2396" t="s">
        <v>539</v>
      </c>
      <c r="B2396">
        <v>567</v>
      </c>
      <c r="C2396" t="s">
        <v>2417</v>
      </c>
      <c r="D2396" t="s">
        <v>3681</v>
      </c>
      <c r="E2396" t="s">
        <v>2418</v>
      </c>
    </row>
    <row r="2397" spans="1:5" x14ac:dyDescent="0.2">
      <c r="A2397" t="s">
        <v>650</v>
      </c>
      <c r="B2397">
        <v>695</v>
      </c>
      <c r="C2397" t="s">
        <v>2386</v>
      </c>
      <c r="D2397" t="s">
        <v>2487</v>
      </c>
      <c r="E2397" t="s">
        <v>2488</v>
      </c>
    </row>
    <row r="2398" spans="1:5" x14ac:dyDescent="0.2">
      <c r="A2398" t="s">
        <v>539</v>
      </c>
      <c r="B2398">
        <v>536</v>
      </c>
      <c r="C2398" t="s">
        <v>2658</v>
      </c>
      <c r="E2398" t="s">
        <v>2640</v>
      </c>
    </row>
    <row r="2399" spans="1:5" x14ac:dyDescent="0.2">
      <c r="A2399" t="s">
        <v>2408</v>
      </c>
      <c r="B2399">
        <v>557</v>
      </c>
      <c r="C2399" t="s">
        <v>3214</v>
      </c>
      <c r="D2399" t="s">
        <v>3214</v>
      </c>
      <c r="E2399" t="s">
        <v>3215</v>
      </c>
    </row>
    <row r="2400" spans="1:5" x14ac:dyDescent="0.2">
      <c r="A2400" t="s">
        <v>413</v>
      </c>
      <c r="B2400">
        <v>690</v>
      </c>
      <c r="C2400" t="s">
        <v>3565</v>
      </c>
      <c r="E2400" t="s">
        <v>3566</v>
      </c>
    </row>
    <row r="2401" spans="1:5" x14ac:dyDescent="0.2">
      <c r="A2401" t="s">
        <v>550</v>
      </c>
      <c r="B2401">
        <v>690</v>
      </c>
      <c r="C2401" t="s">
        <v>3565</v>
      </c>
      <c r="D2401" t="s">
        <v>3756</v>
      </c>
      <c r="E2401" t="s">
        <v>3593</v>
      </c>
    </row>
    <row r="2402" spans="1:5" x14ac:dyDescent="0.2">
      <c r="A2402" t="s">
        <v>382</v>
      </c>
      <c r="B2402">
        <v>510</v>
      </c>
      <c r="C2402" t="s">
        <v>2556</v>
      </c>
      <c r="E2402" t="s">
        <v>2557</v>
      </c>
    </row>
    <row r="2403" spans="1:5" x14ac:dyDescent="0.2">
      <c r="A2403" t="s">
        <v>382</v>
      </c>
      <c r="B2403">
        <v>510</v>
      </c>
      <c r="C2403" t="s">
        <v>2556</v>
      </c>
      <c r="D2403" t="s">
        <v>2556</v>
      </c>
      <c r="E2403" t="s">
        <v>2557</v>
      </c>
    </row>
    <row r="2404" spans="1:5" x14ac:dyDescent="0.2">
      <c r="A2404" t="s">
        <v>505</v>
      </c>
      <c r="B2404">
        <v>797</v>
      </c>
      <c r="C2404" t="s">
        <v>3565</v>
      </c>
      <c r="D2404" t="s">
        <v>3778</v>
      </c>
      <c r="E2404" t="s">
        <v>3629</v>
      </c>
    </row>
    <row r="2405" spans="1:5" x14ac:dyDescent="0.2">
      <c r="A2405" t="s">
        <v>2383</v>
      </c>
      <c r="B2405">
        <v>657</v>
      </c>
      <c r="C2405" t="s">
        <v>2399</v>
      </c>
      <c r="E2405" t="s">
        <v>2400</v>
      </c>
    </row>
    <row r="2406" spans="1:5" x14ac:dyDescent="0.2">
      <c r="A2406" t="s">
        <v>550</v>
      </c>
      <c r="B2406">
        <v>890</v>
      </c>
      <c r="C2406" t="s">
        <v>3625</v>
      </c>
      <c r="D2406" t="s">
        <v>3625</v>
      </c>
      <c r="E2406" t="s">
        <v>3626</v>
      </c>
    </row>
    <row r="2407" spans="1:5" x14ac:dyDescent="0.2">
      <c r="A2407" t="s">
        <v>539</v>
      </c>
      <c r="B2407">
        <v>536</v>
      </c>
      <c r="C2407" t="s">
        <v>2658</v>
      </c>
      <c r="E2407" t="s">
        <v>2640</v>
      </c>
    </row>
    <row r="2408" spans="1:5" x14ac:dyDescent="0.2">
      <c r="A2408" t="s">
        <v>413</v>
      </c>
      <c r="B2408">
        <v>690</v>
      </c>
      <c r="C2408" t="s">
        <v>3565</v>
      </c>
      <c r="D2408" t="s">
        <v>3779</v>
      </c>
      <c r="E2408" t="s">
        <v>3566</v>
      </c>
    </row>
    <row r="2409" spans="1:5" x14ac:dyDescent="0.2">
      <c r="A2409" t="s">
        <v>550</v>
      </c>
      <c r="B2409">
        <v>695</v>
      </c>
      <c r="C2409" t="s">
        <v>2582</v>
      </c>
      <c r="D2409" t="s">
        <v>3780</v>
      </c>
      <c r="E2409" t="s">
        <v>2584</v>
      </c>
    </row>
    <row r="2410" spans="1:5" x14ac:dyDescent="0.2">
      <c r="A2410" t="s">
        <v>550</v>
      </c>
      <c r="B2410">
        <v>829</v>
      </c>
      <c r="C2410" t="s">
        <v>3420</v>
      </c>
      <c r="D2410" t="s">
        <v>3420</v>
      </c>
      <c r="E2410" t="s">
        <v>3421</v>
      </c>
    </row>
    <row r="2411" spans="1:5" x14ac:dyDescent="0.2">
      <c r="A2411" t="s">
        <v>505</v>
      </c>
      <c r="B2411">
        <v>648</v>
      </c>
      <c r="C2411" t="s">
        <v>675</v>
      </c>
      <c r="D2411" t="s">
        <v>3781</v>
      </c>
      <c r="E2411" t="s">
        <v>2396</v>
      </c>
    </row>
    <row r="2412" spans="1:5" x14ac:dyDescent="0.2">
      <c r="A2412" t="s">
        <v>413</v>
      </c>
      <c r="B2412">
        <v>880</v>
      </c>
      <c r="C2412" t="s">
        <v>3004</v>
      </c>
      <c r="E2412" t="s">
        <v>3332</v>
      </c>
    </row>
    <row r="2413" spans="1:5" x14ac:dyDescent="0.2">
      <c r="A2413" t="s">
        <v>413</v>
      </c>
      <c r="B2413">
        <v>885</v>
      </c>
      <c r="C2413" t="s">
        <v>2389</v>
      </c>
      <c r="D2413" t="s">
        <v>3782</v>
      </c>
      <c r="E2413" t="s">
        <v>3334</v>
      </c>
    </row>
    <row r="2414" spans="1:5" x14ac:dyDescent="0.2">
      <c r="A2414" t="s">
        <v>413</v>
      </c>
      <c r="B2414">
        <v>891</v>
      </c>
      <c r="C2414" t="s">
        <v>3565</v>
      </c>
      <c r="D2414" t="s">
        <v>3783</v>
      </c>
      <c r="E2414" t="s">
        <v>3784</v>
      </c>
    </row>
    <row r="2415" spans="1:5" x14ac:dyDescent="0.2">
      <c r="A2415" t="s">
        <v>413</v>
      </c>
      <c r="B2415">
        <v>892</v>
      </c>
      <c r="C2415" t="s">
        <v>3565</v>
      </c>
      <c r="D2415" t="s">
        <v>3785</v>
      </c>
      <c r="E2415" t="s">
        <v>3786</v>
      </c>
    </row>
    <row r="2416" spans="1:5" x14ac:dyDescent="0.2">
      <c r="A2416" t="s">
        <v>413</v>
      </c>
      <c r="B2416">
        <v>974</v>
      </c>
      <c r="C2416" t="s">
        <v>3787</v>
      </c>
      <c r="E2416" t="s">
        <v>3788</v>
      </c>
    </row>
    <row r="2417" spans="1:5" x14ac:dyDescent="0.2">
      <c r="A2417" t="s">
        <v>2408</v>
      </c>
      <c r="B2417">
        <v>897</v>
      </c>
      <c r="C2417" t="s">
        <v>3565</v>
      </c>
      <c r="E2417" t="s">
        <v>3789</v>
      </c>
    </row>
    <row r="2418" spans="1:5" x14ac:dyDescent="0.2">
      <c r="A2418" t="s">
        <v>2408</v>
      </c>
      <c r="B2418">
        <v>905</v>
      </c>
      <c r="C2418" t="s">
        <v>3790</v>
      </c>
      <c r="E2418" t="s">
        <v>3791</v>
      </c>
    </row>
    <row r="2419" spans="1:5" x14ac:dyDescent="0.2">
      <c r="A2419" t="s">
        <v>413</v>
      </c>
      <c r="B2419">
        <v>674</v>
      </c>
      <c r="C2419" t="s">
        <v>2381</v>
      </c>
      <c r="E2419" t="s">
        <v>2382</v>
      </c>
    </row>
    <row r="2420" spans="1:5" x14ac:dyDescent="0.2">
      <c r="A2420" t="s">
        <v>2408</v>
      </c>
      <c r="B2420">
        <v>940</v>
      </c>
      <c r="C2420" t="s">
        <v>3428</v>
      </c>
      <c r="E2420" t="s">
        <v>3792</v>
      </c>
    </row>
    <row r="2421" spans="1:5" x14ac:dyDescent="0.2">
      <c r="A2421" t="s">
        <v>413</v>
      </c>
      <c r="B2421">
        <v>944</v>
      </c>
      <c r="C2421" t="s">
        <v>3291</v>
      </c>
      <c r="E2421" t="s">
        <v>3293</v>
      </c>
    </row>
    <row r="2422" spans="1:5" x14ac:dyDescent="0.2">
      <c r="A2422" t="s">
        <v>2383</v>
      </c>
      <c r="B2422">
        <v>676</v>
      </c>
      <c r="C2422" t="s">
        <v>2386</v>
      </c>
      <c r="D2422" t="s">
        <v>3793</v>
      </c>
      <c r="E2422" t="s">
        <v>2388</v>
      </c>
    </row>
    <row r="2423" spans="1:5" x14ac:dyDescent="0.2">
      <c r="A2423" t="s">
        <v>539</v>
      </c>
      <c r="B2423">
        <v>897</v>
      </c>
      <c r="C2423" t="s">
        <v>3794</v>
      </c>
      <c r="D2423" t="s">
        <v>3795</v>
      </c>
      <c r="E2423" t="s">
        <v>3796</v>
      </c>
    </row>
    <row r="2424" spans="1:5" x14ac:dyDescent="0.2">
      <c r="A2424" t="s">
        <v>539</v>
      </c>
      <c r="B2424">
        <v>636</v>
      </c>
      <c r="C2424" t="s">
        <v>3797</v>
      </c>
      <c r="E2424" t="s">
        <v>3798</v>
      </c>
    </row>
    <row r="2425" spans="1:5" x14ac:dyDescent="0.2">
      <c r="A2425" t="s">
        <v>505</v>
      </c>
      <c r="B2425">
        <v>697</v>
      </c>
      <c r="C2425" t="s">
        <v>2675</v>
      </c>
      <c r="E2425" t="s">
        <v>2672</v>
      </c>
    </row>
    <row r="2426" spans="1:5" x14ac:dyDescent="0.2">
      <c r="A2426" t="s">
        <v>539</v>
      </c>
      <c r="B2426">
        <v>667</v>
      </c>
      <c r="C2426" t="s">
        <v>2776</v>
      </c>
      <c r="E2426" t="s">
        <v>2778</v>
      </c>
    </row>
    <row r="2427" spans="1:5" x14ac:dyDescent="0.2">
      <c r="A2427" t="s">
        <v>650</v>
      </c>
      <c r="B2427">
        <v>890</v>
      </c>
      <c r="C2427" t="s">
        <v>3799</v>
      </c>
      <c r="E2427" t="s">
        <v>3581</v>
      </c>
    </row>
    <row r="2428" spans="1:5" x14ac:dyDescent="0.2">
      <c r="A2428" t="s">
        <v>650</v>
      </c>
      <c r="B2428">
        <v>890</v>
      </c>
      <c r="C2428" t="s">
        <v>3799</v>
      </c>
      <c r="E2428" t="s">
        <v>3581</v>
      </c>
    </row>
    <row r="2429" spans="1:5" x14ac:dyDescent="0.2">
      <c r="A2429" t="s">
        <v>2408</v>
      </c>
      <c r="B2429">
        <v>586</v>
      </c>
      <c r="C2429" t="s">
        <v>3138</v>
      </c>
      <c r="D2429" t="s">
        <v>3800</v>
      </c>
      <c r="E2429" t="s">
        <v>3140</v>
      </c>
    </row>
    <row r="2430" spans="1:5" x14ac:dyDescent="0.2">
      <c r="A2430" t="s">
        <v>650</v>
      </c>
      <c r="B2430">
        <v>890</v>
      </c>
      <c r="C2430" t="s">
        <v>3799</v>
      </c>
      <c r="E2430" t="s">
        <v>3581</v>
      </c>
    </row>
    <row r="2431" spans="1:5" x14ac:dyDescent="0.2">
      <c r="A2431" t="s">
        <v>650</v>
      </c>
      <c r="B2431">
        <v>890</v>
      </c>
      <c r="C2431" t="s">
        <v>3799</v>
      </c>
      <c r="E2431" t="s">
        <v>3581</v>
      </c>
    </row>
    <row r="2432" spans="1:5" x14ac:dyDescent="0.2">
      <c r="A2432" t="s">
        <v>539</v>
      </c>
      <c r="B2432">
        <v>538</v>
      </c>
      <c r="C2432" t="s">
        <v>2517</v>
      </c>
      <c r="E2432" t="s">
        <v>2518</v>
      </c>
    </row>
    <row r="2433" spans="1:5" x14ac:dyDescent="0.2">
      <c r="A2433" t="s">
        <v>650</v>
      </c>
      <c r="B2433">
        <v>540</v>
      </c>
      <c r="C2433" t="s">
        <v>2509</v>
      </c>
      <c r="E2433" t="s">
        <v>2585</v>
      </c>
    </row>
    <row r="2434" spans="1:5" x14ac:dyDescent="0.2">
      <c r="A2434" t="s">
        <v>539</v>
      </c>
      <c r="B2434">
        <v>684</v>
      </c>
      <c r="C2434" t="s">
        <v>2682</v>
      </c>
      <c r="E2434" t="s">
        <v>2683</v>
      </c>
    </row>
    <row r="2435" spans="1:5" x14ac:dyDescent="0.2">
      <c r="A2435" t="s">
        <v>539</v>
      </c>
      <c r="B2435">
        <v>665</v>
      </c>
      <c r="C2435" t="s">
        <v>3801</v>
      </c>
      <c r="E2435" t="s">
        <v>3802</v>
      </c>
    </row>
    <row r="2436" spans="1:5" x14ac:dyDescent="0.2">
      <c r="A2436" t="s">
        <v>413</v>
      </c>
      <c r="B2436">
        <v>690</v>
      </c>
      <c r="C2436" t="s">
        <v>3565</v>
      </c>
      <c r="E2436" t="s">
        <v>3566</v>
      </c>
    </row>
    <row r="2437" spans="1:5" x14ac:dyDescent="0.2">
      <c r="A2437" t="s">
        <v>2408</v>
      </c>
      <c r="B2437">
        <v>690</v>
      </c>
      <c r="C2437" t="s">
        <v>3561</v>
      </c>
      <c r="D2437" t="s">
        <v>3584</v>
      </c>
      <c r="E2437" t="s">
        <v>3562</v>
      </c>
    </row>
    <row r="2438" spans="1:5" x14ac:dyDescent="0.2">
      <c r="A2438" t="s">
        <v>650</v>
      </c>
      <c r="B2438">
        <v>890</v>
      </c>
      <c r="C2438" t="s">
        <v>3799</v>
      </c>
      <c r="D2438" t="s">
        <v>3799</v>
      </c>
      <c r="E2438" t="s">
        <v>3581</v>
      </c>
    </row>
    <row r="2439" spans="1:5" x14ac:dyDescent="0.2">
      <c r="A2439" t="s">
        <v>650</v>
      </c>
      <c r="B2439">
        <v>890</v>
      </c>
      <c r="C2439" t="s">
        <v>3799</v>
      </c>
      <c r="D2439" t="s">
        <v>3799</v>
      </c>
      <c r="E2439" t="s">
        <v>3581</v>
      </c>
    </row>
    <row r="2440" spans="1:5" x14ac:dyDescent="0.2">
      <c r="A2440" t="s">
        <v>650</v>
      </c>
      <c r="B2440">
        <v>890</v>
      </c>
      <c r="C2440" t="s">
        <v>3799</v>
      </c>
      <c r="D2440" t="s">
        <v>3799</v>
      </c>
      <c r="E2440" t="s">
        <v>3581</v>
      </c>
    </row>
    <row r="2441" spans="1:5" x14ac:dyDescent="0.2">
      <c r="A2441" t="s">
        <v>650</v>
      </c>
      <c r="B2441">
        <v>890</v>
      </c>
      <c r="C2441" t="s">
        <v>3799</v>
      </c>
      <c r="D2441" t="s">
        <v>3799</v>
      </c>
      <c r="E2441" t="s">
        <v>3581</v>
      </c>
    </row>
    <row r="2442" spans="1:5" x14ac:dyDescent="0.2">
      <c r="A2442" t="s">
        <v>650</v>
      </c>
      <c r="B2442">
        <v>895</v>
      </c>
      <c r="C2442" t="s">
        <v>3557</v>
      </c>
      <c r="D2442" t="s">
        <v>3557</v>
      </c>
      <c r="E2442" t="s">
        <v>3558</v>
      </c>
    </row>
    <row r="2443" spans="1:5" x14ac:dyDescent="0.2">
      <c r="A2443" t="s">
        <v>650</v>
      </c>
      <c r="B2443">
        <v>890</v>
      </c>
      <c r="C2443" t="s">
        <v>3799</v>
      </c>
      <c r="E2443" t="s">
        <v>3581</v>
      </c>
    </row>
    <row r="2444" spans="1:5" x14ac:dyDescent="0.2">
      <c r="A2444" t="s">
        <v>650</v>
      </c>
      <c r="B2444">
        <v>890</v>
      </c>
      <c r="C2444" t="s">
        <v>3799</v>
      </c>
      <c r="E2444" t="s">
        <v>3581</v>
      </c>
    </row>
    <row r="2445" spans="1:5" x14ac:dyDescent="0.2">
      <c r="A2445" t="s">
        <v>2383</v>
      </c>
      <c r="B2445">
        <v>870</v>
      </c>
      <c r="C2445" t="s">
        <v>3046</v>
      </c>
      <c r="D2445" t="s">
        <v>3803</v>
      </c>
      <c r="E2445" t="s">
        <v>3048</v>
      </c>
    </row>
    <row r="2446" spans="1:5" x14ac:dyDescent="0.2">
      <c r="A2446" t="s">
        <v>505</v>
      </c>
      <c r="B2446">
        <v>885</v>
      </c>
      <c r="C2446" t="s">
        <v>3022</v>
      </c>
      <c r="E2446" t="s">
        <v>3023</v>
      </c>
    </row>
    <row r="2447" spans="1:5" x14ac:dyDescent="0.2">
      <c r="A2447" t="s">
        <v>539</v>
      </c>
      <c r="B2447">
        <v>537</v>
      </c>
      <c r="C2447" t="s">
        <v>2496</v>
      </c>
      <c r="E2447" t="s">
        <v>2497</v>
      </c>
    </row>
    <row r="2448" spans="1:5" x14ac:dyDescent="0.2">
      <c r="A2448" t="s">
        <v>539</v>
      </c>
      <c r="B2448">
        <v>543</v>
      </c>
      <c r="C2448" t="s">
        <v>2756</v>
      </c>
      <c r="E2448" t="s">
        <v>2757</v>
      </c>
    </row>
    <row r="2449" spans="1:5" x14ac:dyDescent="0.2">
      <c r="A2449" t="s">
        <v>539</v>
      </c>
      <c r="B2449">
        <v>515</v>
      </c>
      <c r="C2449" t="s">
        <v>2838</v>
      </c>
      <c r="E2449" t="s">
        <v>2839</v>
      </c>
    </row>
    <row r="2450" spans="1:5" x14ac:dyDescent="0.2">
      <c r="A2450" t="s">
        <v>505</v>
      </c>
      <c r="B2450">
        <v>670</v>
      </c>
      <c r="C2450" t="s">
        <v>3685</v>
      </c>
      <c r="E2450" t="s">
        <v>3686</v>
      </c>
    </row>
    <row r="2451" spans="1:5" x14ac:dyDescent="0.2">
      <c r="A2451" t="s">
        <v>539</v>
      </c>
      <c r="B2451">
        <v>920</v>
      </c>
      <c r="C2451" t="s">
        <v>2830</v>
      </c>
      <c r="E2451" t="s">
        <v>2831</v>
      </c>
    </row>
    <row r="2452" spans="1:5" x14ac:dyDescent="0.2">
      <c r="A2452" t="s">
        <v>539</v>
      </c>
      <c r="B2452">
        <v>680</v>
      </c>
      <c r="C2452" t="s">
        <v>2723</v>
      </c>
      <c r="E2452" t="s">
        <v>2724</v>
      </c>
    </row>
    <row r="2453" spans="1:5" x14ac:dyDescent="0.2">
      <c r="A2453" t="s">
        <v>650</v>
      </c>
      <c r="B2453">
        <v>890</v>
      </c>
      <c r="C2453" t="s">
        <v>3799</v>
      </c>
      <c r="E2453" t="s">
        <v>3581</v>
      </c>
    </row>
    <row r="2454" spans="1:5" x14ac:dyDescent="0.2">
      <c r="A2454" t="s">
        <v>539</v>
      </c>
      <c r="B2454">
        <v>667</v>
      </c>
      <c r="C2454" t="s">
        <v>2776</v>
      </c>
      <c r="E2454" t="s">
        <v>2778</v>
      </c>
    </row>
    <row r="2455" spans="1:5" x14ac:dyDescent="0.2">
      <c r="A2455" t="s">
        <v>2383</v>
      </c>
      <c r="B2455">
        <v>870</v>
      </c>
      <c r="C2455" t="s">
        <v>3046</v>
      </c>
      <c r="D2455" t="s">
        <v>3804</v>
      </c>
      <c r="E2455" t="s">
        <v>3048</v>
      </c>
    </row>
    <row r="2456" spans="1:5" x14ac:dyDescent="0.2">
      <c r="A2456" t="s">
        <v>567</v>
      </c>
      <c r="B2456">
        <v>546</v>
      </c>
      <c r="C2456" t="s">
        <v>2442</v>
      </c>
      <c r="D2456" t="s">
        <v>3805</v>
      </c>
      <c r="E2456" t="s">
        <v>2443</v>
      </c>
    </row>
    <row r="2457" spans="1:5" x14ac:dyDescent="0.2">
      <c r="A2457" t="s">
        <v>550</v>
      </c>
      <c r="B2457">
        <v>885</v>
      </c>
      <c r="C2457" t="s">
        <v>3013</v>
      </c>
      <c r="D2457" t="s">
        <v>3806</v>
      </c>
      <c r="E2457" t="s">
        <v>3175</v>
      </c>
    </row>
    <row r="2458" spans="1:5" x14ac:dyDescent="0.2">
      <c r="A2458" t="s">
        <v>2383</v>
      </c>
      <c r="B2458">
        <v>690</v>
      </c>
      <c r="C2458" t="s">
        <v>3565</v>
      </c>
      <c r="E2458" t="s">
        <v>3574</v>
      </c>
    </row>
    <row r="2459" spans="1:5" x14ac:dyDescent="0.2">
      <c r="A2459" t="s">
        <v>550</v>
      </c>
      <c r="B2459">
        <v>897</v>
      </c>
      <c r="C2459" t="s">
        <v>3565</v>
      </c>
      <c r="D2459" t="s">
        <v>3807</v>
      </c>
      <c r="E2459" t="s">
        <v>3808</v>
      </c>
    </row>
    <row r="2460" spans="1:5" x14ac:dyDescent="0.2">
      <c r="A2460" t="s">
        <v>550</v>
      </c>
      <c r="B2460">
        <v>897</v>
      </c>
      <c r="C2460" t="s">
        <v>3565</v>
      </c>
      <c r="D2460" t="s">
        <v>3809</v>
      </c>
      <c r="E2460" t="s">
        <v>3808</v>
      </c>
    </row>
    <row r="2461" spans="1:5" x14ac:dyDescent="0.2">
      <c r="A2461" t="s">
        <v>650</v>
      </c>
      <c r="B2461">
        <v>890</v>
      </c>
      <c r="C2461" t="s">
        <v>3799</v>
      </c>
      <c r="E2461" t="s">
        <v>3581</v>
      </c>
    </row>
    <row r="2462" spans="1:5" x14ac:dyDescent="0.2">
      <c r="A2462" t="s">
        <v>550</v>
      </c>
      <c r="B2462">
        <v>690</v>
      </c>
      <c r="C2462" t="s">
        <v>3565</v>
      </c>
      <c r="D2462" t="s">
        <v>3810</v>
      </c>
      <c r="E2462" t="s">
        <v>3593</v>
      </c>
    </row>
    <row r="2463" spans="1:5" x14ac:dyDescent="0.2">
      <c r="A2463" t="s">
        <v>413</v>
      </c>
      <c r="B2463">
        <v>695</v>
      </c>
      <c r="C2463" t="s">
        <v>3004</v>
      </c>
      <c r="D2463" t="s">
        <v>3811</v>
      </c>
      <c r="E2463" t="s">
        <v>3005</v>
      </c>
    </row>
    <row r="2464" spans="1:5" x14ac:dyDescent="0.2">
      <c r="A2464" t="s">
        <v>550</v>
      </c>
      <c r="B2464">
        <v>695</v>
      </c>
      <c r="C2464" t="s">
        <v>2582</v>
      </c>
      <c r="D2464" t="s">
        <v>3812</v>
      </c>
      <c r="E2464" t="s">
        <v>2584</v>
      </c>
    </row>
    <row r="2465" spans="1:5" x14ac:dyDescent="0.2">
      <c r="A2465" t="s">
        <v>539</v>
      </c>
      <c r="B2465">
        <v>897</v>
      </c>
      <c r="C2465" t="s">
        <v>3794</v>
      </c>
      <c r="E2465" t="s">
        <v>3796</v>
      </c>
    </row>
    <row r="2466" spans="1:5" x14ac:dyDescent="0.2">
      <c r="A2466" t="s">
        <v>550</v>
      </c>
      <c r="B2466">
        <v>690</v>
      </c>
      <c r="C2466" t="s">
        <v>3565</v>
      </c>
      <c r="D2466" t="s">
        <v>3813</v>
      </c>
      <c r="E2466" t="s">
        <v>3593</v>
      </c>
    </row>
    <row r="2467" spans="1:5" x14ac:dyDescent="0.2">
      <c r="A2467" t="s">
        <v>2383</v>
      </c>
      <c r="B2467">
        <v>690</v>
      </c>
      <c r="C2467" t="s">
        <v>3565</v>
      </c>
      <c r="D2467" t="s">
        <v>3565</v>
      </c>
      <c r="E2467" t="s">
        <v>3574</v>
      </c>
    </row>
    <row r="2468" spans="1:5" x14ac:dyDescent="0.2">
      <c r="A2468" t="s">
        <v>2408</v>
      </c>
      <c r="B2468">
        <v>890</v>
      </c>
      <c r="C2468" t="s">
        <v>3563</v>
      </c>
      <c r="D2468" t="s">
        <v>3563</v>
      </c>
      <c r="E2468" t="s">
        <v>3564</v>
      </c>
    </row>
    <row r="2469" spans="1:5" x14ac:dyDescent="0.2">
      <c r="A2469" t="s">
        <v>650</v>
      </c>
      <c r="B2469">
        <v>885</v>
      </c>
      <c r="C2469" t="s">
        <v>2386</v>
      </c>
      <c r="D2469" t="s">
        <v>3814</v>
      </c>
      <c r="E2469" t="s">
        <v>3027</v>
      </c>
    </row>
    <row r="2470" spans="1:5" x14ac:dyDescent="0.2">
      <c r="A2470" t="s">
        <v>382</v>
      </c>
      <c r="B2470">
        <v>810</v>
      </c>
      <c r="C2470" t="s">
        <v>2446</v>
      </c>
      <c r="E2470" t="s">
        <v>2447</v>
      </c>
    </row>
    <row r="2471" spans="1:5" x14ac:dyDescent="0.2">
      <c r="A2471" t="s">
        <v>2383</v>
      </c>
      <c r="B2471">
        <v>680</v>
      </c>
      <c r="C2471" t="s">
        <v>3553</v>
      </c>
      <c r="D2471" t="s">
        <v>3553</v>
      </c>
      <c r="E2471" t="s">
        <v>3579</v>
      </c>
    </row>
    <row r="2472" spans="1:5" x14ac:dyDescent="0.2">
      <c r="A2472" t="s">
        <v>505</v>
      </c>
      <c r="B2472">
        <v>885</v>
      </c>
      <c r="C2472" t="s">
        <v>3022</v>
      </c>
      <c r="D2472" t="s">
        <v>3022</v>
      </c>
      <c r="E2472" t="s">
        <v>3023</v>
      </c>
    </row>
    <row r="2473" spans="1:5" x14ac:dyDescent="0.2">
      <c r="A2473" t="s">
        <v>413</v>
      </c>
      <c r="B2473">
        <v>624</v>
      </c>
      <c r="C2473" t="s">
        <v>2568</v>
      </c>
      <c r="E2473" t="s">
        <v>2569</v>
      </c>
    </row>
    <row r="2474" spans="1:5" x14ac:dyDescent="0.2">
      <c r="A2474" t="s">
        <v>539</v>
      </c>
      <c r="B2474">
        <v>645</v>
      </c>
      <c r="C2474" t="s">
        <v>2940</v>
      </c>
      <c r="D2474" t="s">
        <v>2940</v>
      </c>
      <c r="E2474" t="s">
        <v>2941</v>
      </c>
    </row>
    <row r="2475" spans="1:5" x14ac:dyDescent="0.2">
      <c r="A2475" t="s">
        <v>539</v>
      </c>
      <c r="B2475">
        <v>536</v>
      </c>
      <c r="C2475" t="s">
        <v>2639</v>
      </c>
      <c r="E2475" t="s">
        <v>2640</v>
      </c>
    </row>
    <row r="2476" spans="1:5" x14ac:dyDescent="0.2">
      <c r="A2476" t="s">
        <v>2408</v>
      </c>
      <c r="B2476">
        <v>568</v>
      </c>
      <c r="C2476" t="s">
        <v>3815</v>
      </c>
      <c r="E2476" t="s">
        <v>3816</v>
      </c>
    </row>
    <row r="2477" spans="1:5" x14ac:dyDescent="0.2">
      <c r="A2477" t="s">
        <v>2408</v>
      </c>
      <c r="B2477">
        <v>557</v>
      </c>
      <c r="C2477" t="s">
        <v>3214</v>
      </c>
      <c r="E2477" t="s">
        <v>3215</v>
      </c>
    </row>
    <row r="2478" spans="1:5" x14ac:dyDescent="0.2">
      <c r="A2478" t="s">
        <v>567</v>
      </c>
      <c r="B2478">
        <v>552</v>
      </c>
      <c r="C2478" t="s">
        <v>2424</v>
      </c>
      <c r="D2478" t="s">
        <v>2424</v>
      </c>
      <c r="E2478" t="s">
        <v>2425</v>
      </c>
    </row>
    <row r="2479" spans="1:5" x14ac:dyDescent="0.2">
      <c r="A2479" t="s">
        <v>2408</v>
      </c>
      <c r="B2479">
        <v>517</v>
      </c>
      <c r="C2479" t="s">
        <v>2544</v>
      </c>
      <c r="E2479" t="s">
        <v>2545</v>
      </c>
    </row>
    <row r="2480" spans="1:5" x14ac:dyDescent="0.2">
      <c r="A2480" t="s">
        <v>382</v>
      </c>
      <c r="B2480">
        <v>690</v>
      </c>
      <c r="C2480" t="s">
        <v>3584</v>
      </c>
      <c r="E2480" t="s">
        <v>3585</v>
      </c>
    </row>
    <row r="2481" spans="1:5" x14ac:dyDescent="0.2">
      <c r="A2481" t="s">
        <v>650</v>
      </c>
      <c r="B2481">
        <v>896</v>
      </c>
      <c r="C2481" t="s">
        <v>3559</v>
      </c>
      <c r="D2481" t="s">
        <v>3817</v>
      </c>
      <c r="E2481" t="s">
        <v>3560</v>
      </c>
    </row>
    <row r="2482" spans="1:5" x14ac:dyDescent="0.2">
      <c r="A2482" t="s">
        <v>2408</v>
      </c>
      <c r="B2482">
        <v>560</v>
      </c>
      <c r="C2482" t="s">
        <v>3616</v>
      </c>
      <c r="D2482" t="s">
        <v>3705</v>
      </c>
      <c r="E2482" t="s">
        <v>3617</v>
      </c>
    </row>
    <row r="2483" spans="1:5" x14ac:dyDescent="0.2">
      <c r="A2483" t="s">
        <v>505</v>
      </c>
      <c r="B2483">
        <v>697</v>
      </c>
      <c r="C2483" t="s">
        <v>2675</v>
      </c>
      <c r="E2483" t="s">
        <v>2672</v>
      </c>
    </row>
    <row r="2484" spans="1:5" x14ac:dyDescent="0.2">
      <c r="A2484" t="s">
        <v>2408</v>
      </c>
      <c r="B2484">
        <v>639</v>
      </c>
      <c r="C2484" t="s">
        <v>3818</v>
      </c>
      <c r="E2484" t="s">
        <v>3819</v>
      </c>
    </row>
    <row r="2485" spans="1:5" x14ac:dyDescent="0.2">
      <c r="A2485" t="s">
        <v>550</v>
      </c>
      <c r="B2485">
        <v>810</v>
      </c>
      <c r="C2485" t="s">
        <v>3428</v>
      </c>
      <c r="D2485" t="s">
        <v>3820</v>
      </c>
      <c r="E2485" t="s">
        <v>3429</v>
      </c>
    </row>
    <row r="2486" spans="1:5" x14ac:dyDescent="0.2">
      <c r="A2486" t="s">
        <v>550</v>
      </c>
      <c r="B2486">
        <v>885</v>
      </c>
      <c r="C2486" t="s">
        <v>3013</v>
      </c>
      <c r="D2486" t="s">
        <v>3821</v>
      </c>
      <c r="E2486" t="s">
        <v>3175</v>
      </c>
    </row>
    <row r="2487" spans="1:5" x14ac:dyDescent="0.2">
      <c r="A2487" t="s">
        <v>413</v>
      </c>
      <c r="B2487">
        <v>574</v>
      </c>
      <c r="C2487" t="s">
        <v>2566</v>
      </c>
      <c r="E2487" t="s">
        <v>2567</v>
      </c>
    </row>
    <row r="2488" spans="1:5" x14ac:dyDescent="0.2">
      <c r="A2488" t="s">
        <v>539</v>
      </c>
      <c r="B2488">
        <v>539</v>
      </c>
      <c r="C2488" t="s">
        <v>2580</v>
      </c>
      <c r="D2488" t="s">
        <v>2580</v>
      </c>
      <c r="E2488" t="s">
        <v>2581</v>
      </c>
    </row>
    <row r="2489" spans="1:5" x14ac:dyDescent="0.2">
      <c r="A2489" t="s">
        <v>2383</v>
      </c>
      <c r="B2489">
        <v>690</v>
      </c>
      <c r="C2489" t="s">
        <v>3565</v>
      </c>
      <c r="D2489" t="s">
        <v>3822</v>
      </c>
      <c r="E2489" t="s">
        <v>3574</v>
      </c>
    </row>
    <row r="2490" spans="1:5" x14ac:dyDescent="0.2">
      <c r="A2490" t="s">
        <v>539</v>
      </c>
      <c r="B2490">
        <v>897</v>
      </c>
      <c r="C2490" t="s">
        <v>3794</v>
      </c>
      <c r="D2490" t="s">
        <v>3823</v>
      </c>
      <c r="E2490" t="s">
        <v>3796</v>
      </c>
    </row>
    <row r="2491" spans="1:5" x14ac:dyDescent="0.2">
      <c r="A2491" t="s">
        <v>650</v>
      </c>
      <c r="B2491">
        <v>895</v>
      </c>
      <c r="C2491" t="s">
        <v>3557</v>
      </c>
      <c r="D2491" t="s">
        <v>3557</v>
      </c>
      <c r="E2491" t="s">
        <v>3558</v>
      </c>
    </row>
    <row r="2492" spans="1:5" x14ac:dyDescent="0.2">
      <c r="A2492" t="s">
        <v>650</v>
      </c>
      <c r="B2492">
        <v>540</v>
      </c>
      <c r="C2492" t="s">
        <v>2509</v>
      </c>
      <c r="D2492" t="s">
        <v>2509</v>
      </c>
      <c r="E2492" t="s">
        <v>2585</v>
      </c>
    </row>
    <row r="2493" spans="1:5" x14ac:dyDescent="0.2">
      <c r="A2493" t="s">
        <v>650</v>
      </c>
      <c r="B2493">
        <v>897</v>
      </c>
      <c r="C2493" t="s">
        <v>3565</v>
      </c>
      <c r="D2493" t="s">
        <v>3824</v>
      </c>
      <c r="E2493" t="s">
        <v>3825</v>
      </c>
    </row>
    <row r="2494" spans="1:5" x14ac:dyDescent="0.2">
      <c r="A2494" t="s">
        <v>567</v>
      </c>
      <c r="B2494">
        <v>515</v>
      </c>
      <c r="C2494" t="s">
        <v>3635</v>
      </c>
      <c r="E2494" t="s">
        <v>3636</v>
      </c>
    </row>
    <row r="2495" spans="1:5" x14ac:dyDescent="0.2">
      <c r="A2495" t="s">
        <v>567</v>
      </c>
      <c r="B2495">
        <v>690</v>
      </c>
      <c r="C2495" t="s">
        <v>3565</v>
      </c>
      <c r="E2495" t="s">
        <v>3582</v>
      </c>
    </row>
    <row r="2496" spans="1:5" x14ac:dyDescent="0.2">
      <c r="A2496" t="s">
        <v>550</v>
      </c>
      <c r="B2496">
        <v>780</v>
      </c>
      <c r="C2496" t="s">
        <v>3417</v>
      </c>
      <c r="E2496" t="s">
        <v>3826</v>
      </c>
    </row>
    <row r="2497" spans="1:5" x14ac:dyDescent="0.2">
      <c r="A2497" t="s">
        <v>550</v>
      </c>
      <c r="B2497">
        <v>810</v>
      </c>
      <c r="C2497" t="s">
        <v>3428</v>
      </c>
      <c r="D2497" t="s">
        <v>3827</v>
      </c>
      <c r="E2497" t="s">
        <v>3429</v>
      </c>
    </row>
    <row r="2498" spans="1:5" x14ac:dyDescent="0.2">
      <c r="A2498" t="s">
        <v>550</v>
      </c>
      <c r="B2498">
        <v>810</v>
      </c>
      <c r="C2498" t="s">
        <v>3428</v>
      </c>
      <c r="D2498" t="s">
        <v>3828</v>
      </c>
      <c r="E2498" t="s">
        <v>3429</v>
      </c>
    </row>
    <row r="2499" spans="1:5" x14ac:dyDescent="0.2">
      <c r="A2499" t="s">
        <v>539</v>
      </c>
      <c r="B2499">
        <v>890</v>
      </c>
      <c r="C2499" t="s">
        <v>3577</v>
      </c>
      <c r="D2499" t="s">
        <v>3829</v>
      </c>
      <c r="E2499" t="s">
        <v>3578</v>
      </c>
    </row>
    <row r="2500" spans="1:5" x14ac:dyDescent="0.2">
      <c r="A2500" t="s">
        <v>2408</v>
      </c>
      <c r="B2500">
        <v>539</v>
      </c>
      <c r="C2500" t="s">
        <v>2420</v>
      </c>
      <c r="D2500" t="s">
        <v>2420</v>
      </c>
      <c r="E2500" t="s">
        <v>2421</v>
      </c>
    </row>
    <row r="2501" spans="1:5" x14ac:dyDescent="0.2">
      <c r="A2501" t="s">
        <v>567</v>
      </c>
      <c r="B2501">
        <v>551</v>
      </c>
      <c r="C2501" t="s">
        <v>2422</v>
      </c>
      <c r="E2501" t="s">
        <v>2423</v>
      </c>
    </row>
    <row r="2502" spans="1:5" x14ac:dyDescent="0.2">
      <c r="A2502" t="s">
        <v>2408</v>
      </c>
      <c r="B2502">
        <v>690</v>
      </c>
      <c r="C2502" t="s">
        <v>3561</v>
      </c>
      <c r="D2502" t="s">
        <v>3584</v>
      </c>
      <c r="E2502" t="s">
        <v>3562</v>
      </c>
    </row>
    <row r="2503" spans="1:5" x14ac:dyDescent="0.2">
      <c r="A2503" t="s">
        <v>2383</v>
      </c>
      <c r="B2503">
        <v>664</v>
      </c>
      <c r="C2503" t="s">
        <v>3538</v>
      </c>
      <c r="D2503" t="s">
        <v>3538</v>
      </c>
      <c r="E2503" t="s">
        <v>3656</v>
      </c>
    </row>
    <row r="2504" spans="1:5" x14ac:dyDescent="0.2">
      <c r="A2504" t="s">
        <v>539</v>
      </c>
      <c r="B2504">
        <v>515</v>
      </c>
      <c r="C2504" t="s">
        <v>2838</v>
      </c>
      <c r="D2504" t="s">
        <v>2838</v>
      </c>
      <c r="E2504" t="s">
        <v>2839</v>
      </c>
    </row>
    <row r="2505" spans="1:5" x14ac:dyDescent="0.2">
      <c r="A2505" t="s">
        <v>382</v>
      </c>
      <c r="B2505">
        <v>830</v>
      </c>
      <c r="C2505" t="s">
        <v>3639</v>
      </c>
      <c r="E2505" t="s">
        <v>3640</v>
      </c>
    </row>
    <row r="2506" spans="1:5" x14ac:dyDescent="0.2">
      <c r="A2506" t="s">
        <v>550</v>
      </c>
      <c r="B2506">
        <v>690</v>
      </c>
      <c r="C2506" t="s">
        <v>3565</v>
      </c>
      <c r="D2506" t="s">
        <v>3830</v>
      </c>
      <c r="E2506" t="s">
        <v>3593</v>
      </c>
    </row>
    <row r="2507" spans="1:5" x14ac:dyDescent="0.2">
      <c r="A2507" t="s">
        <v>2383</v>
      </c>
      <c r="B2507">
        <v>690</v>
      </c>
      <c r="C2507" t="s">
        <v>3565</v>
      </c>
      <c r="D2507" t="s">
        <v>3831</v>
      </c>
      <c r="E2507" t="s">
        <v>3574</v>
      </c>
    </row>
    <row r="2508" spans="1:5" x14ac:dyDescent="0.2">
      <c r="A2508" t="s">
        <v>2383</v>
      </c>
      <c r="B2508">
        <v>690</v>
      </c>
      <c r="C2508" t="s">
        <v>3565</v>
      </c>
      <c r="D2508" t="s">
        <v>3832</v>
      </c>
      <c r="E2508" t="s">
        <v>3574</v>
      </c>
    </row>
    <row r="2509" spans="1:5" x14ac:dyDescent="0.2">
      <c r="A2509" t="s">
        <v>413</v>
      </c>
      <c r="B2509">
        <v>690</v>
      </c>
      <c r="C2509" t="s">
        <v>3565</v>
      </c>
      <c r="D2509" t="s">
        <v>3833</v>
      </c>
      <c r="E2509" t="s">
        <v>3566</v>
      </c>
    </row>
    <row r="2510" spans="1:5" x14ac:dyDescent="0.2">
      <c r="A2510" t="s">
        <v>413</v>
      </c>
      <c r="B2510">
        <v>690</v>
      </c>
      <c r="C2510" t="s">
        <v>3565</v>
      </c>
      <c r="D2510" t="s">
        <v>3834</v>
      </c>
      <c r="E2510" t="s">
        <v>3566</v>
      </c>
    </row>
    <row r="2511" spans="1:5" x14ac:dyDescent="0.2">
      <c r="A2511" t="s">
        <v>413</v>
      </c>
      <c r="B2511">
        <v>507</v>
      </c>
      <c r="C2511" t="s">
        <v>2834</v>
      </c>
      <c r="E2511" t="s">
        <v>2835</v>
      </c>
    </row>
    <row r="2512" spans="1:5" x14ac:dyDescent="0.2">
      <c r="A2512" t="s">
        <v>413</v>
      </c>
      <c r="B2512">
        <v>506</v>
      </c>
      <c r="C2512" t="s">
        <v>2466</v>
      </c>
      <c r="E2512" t="s">
        <v>2467</v>
      </c>
    </row>
    <row r="2513" spans="1:5" x14ac:dyDescent="0.2">
      <c r="A2513" t="s">
        <v>2383</v>
      </c>
      <c r="B2513">
        <v>676</v>
      </c>
      <c r="C2513" t="s">
        <v>2386</v>
      </c>
      <c r="D2513" t="s">
        <v>3835</v>
      </c>
      <c r="E2513" t="s">
        <v>2388</v>
      </c>
    </row>
    <row r="2514" spans="1:5" x14ac:dyDescent="0.2">
      <c r="A2514" t="s">
        <v>539</v>
      </c>
      <c r="B2514">
        <v>890</v>
      </c>
      <c r="C2514" t="s">
        <v>3577</v>
      </c>
      <c r="D2514" t="s">
        <v>3836</v>
      </c>
      <c r="E2514" t="s">
        <v>3578</v>
      </c>
    </row>
    <row r="2515" spans="1:5" x14ac:dyDescent="0.2">
      <c r="A2515" t="s">
        <v>2383</v>
      </c>
      <c r="B2515">
        <v>690</v>
      </c>
      <c r="C2515" t="s">
        <v>3565</v>
      </c>
      <c r="D2515" t="s">
        <v>3837</v>
      </c>
      <c r="E2515" t="s">
        <v>3574</v>
      </c>
    </row>
    <row r="2516" spans="1:5" x14ac:dyDescent="0.2">
      <c r="A2516" t="s">
        <v>2383</v>
      </c>
      <c r="B2516">
        <v>676</v>
      </c>
      <c r="C2516" t="s">
        <v>2386</v>
      </c>
      <c r="D2516" t="s">
        <v>3838</v>
      </c>
      <c r="E2516" t="s">
        <v>2388</v>
      </c>
    </row>
    <row r="2517" spans="1:5" x14ac:dyDescent="0.2">
      <c r="A2517" t="s">
        <v>2383</v>
      </c>
      <c r="B2517">
        <v>870</v>
      </c>
      <c r="C2517" t="s">
        <v>3046</v>
      </c>
      <c r="D2517" t="s">
        <v>3839</v>
      </c>
      <c r="E2517" t="s">
        <v>3048</v>
      </c>
    </row>
    <row r="2518" spans="1:5" x14ac:dyDescent="0.2">
      <c r="A2518" t="s">
        <v>2408</v>
      </c>
      <c r="B2518">
        <v>562</v>
      </c>
      <c r="C2518" t="s">
        <v>2907</v>
      </c>
      <c r="D2518" t="s">
        <v>2907</v>
      </c>
      <c r="E2518" t="s">
        <v>2908</v>
      </c>
    </row>
    <row r="2519" spans="1:5" x14ac:dyDescent="0.2">
      <c r="A2519" t="s">
        <v>2408</v>
      </c>
      <c r="B2519">
        <v>586</v>
      </c>
      <c r="C2519" t="s">
        <v>3138</v>
      </c>
      <c r="D2519" t="s">
        <v>3840</v>
      </c>
      <c r="E2519" t="s">
        <v>3140</v>
      </c>
    </row>
    <row r="2520" spans="1:5" x14ac:dyDescent="0.2">
      <c r="A2520" t="s">
        <v>2408</v>
      </c>
      <c r="B2520">
        <v>562</v>
      </c>
      <c r="C2520" t="s">
        <v>2907</v>
      </c>
      <c r="E2520" t="s">
        <v>2908</v>
      </c>
    </row>
    <row r="2521" spans="1:5" x14ac:dyDescent="0.2">
      <c r="A2521" t="s">
        <v>2408</v>
      </c>
      <c r="B2521">
        <v>644</v>
      </c>
      <c r="C2521" t="s">
        <v>2903</v>
      </c>
      <c r="E2521" t="s">
        <v>2904</v>
      </c>
    </row>
    <row r="2522" spans="1:5" x14ac:dyDescent="0.2">
      <c r="A2522" t="s">
        <v>2383</v>
      </c>
      <c r="B2522">
        <v>534</v>
      </c>
      <c r="C2522" t="s">
        <v>2489</v>
      </c>
      <c r="E2522" t="s">
        <v>2490</v>
      </c>
    </row>
    <row r="2523" spans="1:5" x14ac:dyDescent="0.2">
      <c r="A2523" t="s">
        <v>2383</v>
      </c>
      <c r="B2523">
        <v>534</v>
      </c>
      <c r="C2523" t="s">
        <v>2489</v>
      </c>
      <c r="E2523" t="s">
        <v>2490</v>
      </c>
    </row>
    <row r="2524" spans="1:5" x14ac:dyDescent="0.2">
      <c r="A2524" t="s">
        <v>567</v>
      </c>
      <c r="B2524">
        <v>566</v>
      </c>
      <c r="C2524" t="s">
        <v>2528</v>
      </c>
      <c r="E2524" t="s">
        <v>2529</v>
      </c>
    </row>
    <row r="2525" spans="1:5" x14ac:dyDescent="0.2">
      <c r="A2525" t="s">
        <v>2383</v>
      </c>
      <c r="B2525">
        <v>660</v>
      </c>
      <c r="C2525" t="s">
        <v>3596</v>
      </c>
      <c r="E2525" t="s">
        <v>3597</v>
      </c>
    </row>
    <row r="2526" spans="1:5" x14ac:dyDescent="0.2">
      <c r="A2526" t="s">
        <v>2408</v>
      </c>
      <c r="B2526">
        <v>641</v>
      </c>
      <c r="C2526" t="s">
        <v>3620</v>
      </c>
      <c r="E2526" t="s">
        <v>3621</v>
      </c>
    </row>
    <row r="2527" spans="1:5" x14ac:dyDescent="0.2">
      <c r="A2527" t="s">
        <v>413</v>
      </c>
      <c r="B2527">
        <v>690</v>
      </c>
      <c r="C2527" t="s">
        <v>3565</v>
      </c>
      <c r="D2527" t="s">
        <v>3841</v>
      </c>
      <c r="E2527" t="s">
        <v>3566</v>
      </c>
    </row>
    <row r="2528" spans="1:5" x14ac:dyDescent="0.2">
      <c r="A2528" t="s">
        <v>413</v>
      </c>
      <c r="B2528">
        <v>690</v>
      </c>
      <c r="C2528" t="s">
        <v>3565</v>
      </c>
      <c r="D2528" t="s">
        <v>3842</v>
      </c>
      <c r="E2528" t="s">
        <v>3566</v>
      </c>
    </row>
    <row r="2529" spans="1:5" x14ac:dyDescent="0.2">
      <c r="A2529" t="s">
        <v>567</v>
      </c>
      <c r="B2529">
        <v>690</v>
      </c>
      <c r="C2529" t="s">
        <v>3565</v>
      </c>
      <c r="D2529" t="s">
        <v>3843</v>
      </c>
      <c r="E2529" t="s">
        <v>3582</v>
      </c>
    </row>
    <row r="2530" spans="1:5" x14ac:dyDescent="0.2">
      <c r="A2530" t="s">
        <v>413</v>
      </c>
      <c r="B2530">
        <v>690</v>
      </c>
      <c r="C2530" t="s">
        <v>3565</v>
      </c>
      <c r="D2530" t="s">
        <v>3844</v>
      </c>
      <c r="E2530" t="s">
        <v>3566</v>
      </c>
    </row>
    <row r="2531" spans="1:5" x14ac:dyDescent="0.2">
      <c r="A2531" t="s">
        <v>539</v>
      </c>
      <c r="B2531">
        <v>551</v>
      </c>
      <c r="C2531" t="s">
        <v>2606</v>
      </c>
      <c r="D2531" t="s">
        <v>2606</v>
      </c>
      <c r="E2531" t="s">
        <v>2607</v>
      </c>
    </row>
    <row r="2532" spans="1:5" x14ac:dyDescent="0.2">
      <c r="A2532" t="s">
        <v>650</v>
      </c>
      <c r="B2532">
        <v>640</v>
      </c>
      <c r="C2532" t="s">
        <v>2509</v>
      </c>
      <c r="E2532" t="s">
        <v>2510</v>
      </c>
    </row>
    <row r="2533" spans="1:5" x14ac:dyDescent="0.2">
      <c r="A2533" t="s">
        <v>2408</v>
      </c>
      <c r="B2533">
        <v>562</v>
      </c>
      <c r="C2533" t="s">
        <v>2907</v>
      </c>
      <c r="D2533" t="s">
        <v>2907</v>
      </c>
      <c r="E2533" t="s">
        <v>2908</v>
      </c>
    </row>
    <row r="2534" spans="1:5" x14ac:dyDescent="0.2">
      <c r="A2534" t="s">
        <v>413</v>
      </c>
      <c r="B2534">
        <v>892</v>
      </c>
      <c r="C2534" t="s">
        <v>3845</v>
      </c>
      <c r="E2534" t="s">
        <v>3786</v>
      </c>
    </row>
    <row r="2535" spans="1:5" x14ac:dyDescent="0.2">
      <c r="A2535" t="s">
        <v>550</v>
      </c>
      <c r="B2535">
        <v>885</v>
      </c>
      <c r="C2535" t="s">
        <v>3013</v>
      </c>
      <c r="D2535" t="s">
        <v>3846</v>
      </c>
      <c r="E2535" t="s">
        <v>3175</v>
      </c>
    </row>
    <row r="2536" spans="1:5" x14ac:dyDescent="0.2">
      <c r="A2536" t="s">
        <v>2383</v>
      </c>
      <c r="B2536">
        <v>680</v>
      </c>
      <c r="C2536" t="s">
        <v>3553</v>
      </c>
      <c r="D2536" t="s">
        <v>3716</v>
      </c>
      <c r="E2536" t="s">
        <v>3579</v>
      </c>
    </row>
    <row r="2537" spans="1:5" x14ac:dyDescent="0.2">
      <c r="A2537" t="s">
        <v>2383</v>
      </c>
      <c r="B2537">
        <v>680</v>
      </c>
      <c r="C2537" t="s">
        <v>3553</v>
      </c>
      <c r="D2537" t="s">
        <v>3553</v>
      </c>
      <c r="E2537" t="s">
        <v>3579</v>
      </c>
    </row>
    <row r="2538" spans="1:5" x14ac:dyDescent="0.2">
      <c r="A2538" t="s">
        <v>2383</v>
      </c>
      <c r="B2538">
        <v>676</v>
      </c>
      <c r="C2538" t="s">
        <v>2386</v>
      </c>
      <c r="D2538" t="s">
        <v>3847</v>
      </c>
      <c r="E2538" t="s">
        <v>2388</v>
      </c>
    </row>
    <row r="2539" spans="1:5" x14ac:dyDescent="0.2">
      <c r="A2539" t="s">
        <v>2383</v>
      </c>
      <c r="B2539">
        <v>870</v>
      </c>
      <c r="C2539" t="s">
        <v>3046</v>
      </c>
      <c r="D2539" t="s">
        <v>3848</v>
      </c>
      <c r="E2539" t="s">
        <v>3048</v>
      </c>
    </row>
    <row r="2540" spans="1:5" x14ac:dyDescent="0.2">
      <c r="A2540" t="s">
        <v>567</v>
      </c>
      <c r="B2540">
        <v>885</v>
      </c>
      <c r="C2540" t="s">
        <v>3013</v>
      </c>
      <c r="D2540" t="s">
        <v>3849</v>
      </c>
      <c r="E2540" t="s">
        <v>3093</v>
      </c>
    </row>
    <row r="2541" spans="1:5" x14ac:dyDescent="0.2">
      <c r="A2541" t="s">
        <v>2408</v>
      </c>
      <c r="B2541">
        <v>560</v>
      </c>
      <c r="C2541" t="s">
        <v>3616</v>
      </c>
      <c r="E2541" t="s">
        <v>3617</v>
      </c>
    </row>
    <row r="2542" spans="1:5" x14ac:dyDescent="0.2">
      <c r="A2542" t="s">
        <v>650</v>
      </c>
      <c r="B2542">
        <v>659</v>
      </c>
      <c r="C2542" t="s">
        <v>2997</v>
      </c>
      <c r="D2542" t="s">
        <v>3850</v>
      </c>
      <c r="E2542" t="s">
        <v>2998</v>
      </c>
    </row>
    <row r="2543" spans="1:5" x14ac:dyDescent="0.2">
      <c r="A2543" t="s">
        <v>2408</v>
      </c>
      <c r="B2543">
        <v>617</v>
      </c>
      <c r="C2543" t="s">
        <v>3851</v>
      </c>
      <c r="E2543" t="s">
        <v>3852</v>
      </c>
    </row>
    <row r="2544" spans="1:5" x14ac:dyDescent="0.2">
      <c r="A2544" t="s">
        <v>2408</v>
      </c>
      <c r="B2544">
        <v>617</v>
      </c>
      <c r="C2544" t="s">
        <v>3851</v>
      </c>
      <c r="E2544" t="s">
        <v>3852</v>
      </c>
    </row>
    <row r="2545" spans="1:5" x14ac:dyDescent="0.2">
      <c r="A2545" t="s">
        <v>382</v>
      </c>
      <c r="B2545">
        <v>890</v>
      </c>
      <c r="C2545" t="s">
        <v>3586</v>
      </c>
      <c r="E2545" t="s">
        <v>3587</v>
      </c>
    </row>
    <row r="2546" spans="1:5" x14ac:dyDescent="0.2">
      <c r="A2546" t="s">
        <v>2408</v>
      </c>
      <c r="B2546">
        <v>632</v>
      </c>
      <c r="C2546" t="s">
        <v>2768</v>
      </c>
      <c r="E2546" t="s">
        <v>2769</v>
      </c>
    </row>
    <row r="2547" spans="1:5" x14ac:dyDescent="0.2">
      <c r="A2547" t="s">
        <v>567</v>
      </c>
      <c r="B2547">
        <v>885</v>
      </c>
      <c r="C2547" t="s">
        <v>3013</v>
      </c>
      <c r="D2547" t="s">
        <v>3187</v>
      </c>
      <c r="E2547" t="s">
        <v>3093</v>
      </c>
    </row>
    <row r="2548" spans="1:5" x14ac:dyDescent="0.2">
      <c r="A2548" t="s">
        <v>650</v>
      </c>
      <c r="B2548">
        <v>623</v>
      </c>
      <c r="C2548" t="s">
        <v>2715</v>
      </c>
      <c r="E2548" t="s">
        <v>2716</v>
      </c>
    </row>
    <row r="2549" spans="1:5" x14ac:dyDescent="0.2">
      <c r="A2549" t="s">
        <v>505</v>
      </c>
      <c r="B2549">
        <v>505</v>
      </c>
      <c r="C2549" t="s">
        <v>2426</v>
      </c>
      <c r="D2549" t="s">
        <v>3853</v>
      </c>
      <c r="E2549" t="s">
        <v>2428</v>
      </c>
    </row>
    <row r="2550" spans="1:5" x14ac:dyDescent="0.2">
      <c r="A2550" t="s">
        <v>413</v>
      </c>
      <c r="B2550">
        <v>890</v>
      </c>
      <c r="C2550" t="s">
        <v>3569</v>
      </c>
      <c r="E2550" t="s">
        <v>3570</v>
      </c>
    </row>
    <row r="2551" spans="1:5" x14ac:dyDescent="0.2">
      <c r="A2551" t="s">
        <v>2383</v>
      </c>
      <c r="B2551">
        <v>870</v>
      </c>
      <c r="C2551" t="s">
        <v>3046</v>
      </c>
      <c r="D2551" t="s">
        <v>3854</v>
      </c>
      <c r="E2551" t="s">
        <v>3048</v>
      </c>
    </row>
    <row r="2552" spans="1:5" x14ac:dyDescent="0.2">
      <c r="A2552" t="s">
        <v>567</v>
      </c>
      <c r="B2552">
        <v>627</v>
      </c>
      <c r="C2552" t="s">
        <v>2822</v>
      </c>
      <c r="E2552" t="s">
        <v>2823</v>
      </c>
    </row>
    <row r="2553" spans="1:5" x14ac:dyDescent="0.2">
      <c r="A2553" t="s">
        <v>382</v>
      </c>
      <c r="B2553">
        <v>810</v>
      </c>
      <c r="C2553" t="s">
        <v>2446</v>
      </c>
      <c r="E2553" t="s">
        <v>2447</v>
      </c>
    </row>
    <row r="2554" spans="1:5" x14ac:dyDescent="0.2">
      <c r="A2554" t="s">
        <v>2408</v>
      </c>
      <c r="B2554">
        <v>560</v>
      </c>
      <c r="C2554" t="s">
        <v>3616</v>
      </c>
      <c r="D2554" t="s">
        <v>3705</v>
      </c>
      <c r="E2554" t="s">
        <v>3617</v>
      </c>
    </row>
    <row r="2555" spans="1:5" x14ac:dyDescent="0.2">
      <c r="A2555" t="s">
        <v>567</v>
      </c>
      <c r="B2555">
        <v>556</v>
      </c>
      <c r="C2555" t="s">
        <v>2536</v>
      </c>
      <c r="E2555" t="s">
        <v>2537</v>
      </c>
    </row>
    <row r="2556" spans="1:5" x14ac:dyDescent="0.2">
      <c r="A2556" t="s">
        <v>539</v>
      </c>
      <c r="B2556">
        <v>890</v>
      </c>
      <c r="C2556" t="s">
        <v>3577</v>
      </c>
      <c r="D2556" t="s">
        <v>3855</v>
      </c>
      <c r="E2556" t="s">
        <v>3578</v>
      </c>
    </row>
    <row r="2557" spans="1:5" x14ac:dyDescent="0.2">
      <c r="A2557" t="s">
        <v>650</v>
      </c>
      <c r="B2557">
        <v>966</v>
      </c>
      <c r="C2557" t="s">
        <v>3002</v>
      </c>
      <c r="D2557" t="s">
        <v>3856</v>
      </c>
      <c r="E2557" t="s">
        <v>3003</v>
      </c>
    </row>
    <row r="2558" spans="1:5" x14ac:dyDescent="0.2">
      <c r="A2558" t="s">
        <v>539</v>
      </c>
      <c r="B2558">
        <v>539</v>
      </c>
      <c r="C2558" t="s">
        <v>2580</v>
      </c>
      <c r="E2558" t="s">
        <v>2581</v>
      </c>
    </row>
    <row r="2559" spans="1:5" x14ac:dyDescent="0.2">
      <c r="A2559" t="s">
        <v>650</v>
      </c>
      <c r="B2559">
        <v>611</v>
      </c>
      <c r="C2559" t="s">
        <v>3098</v>
      </c>
      <c r="E2559" t="s">
        <v>2611</v>
      </c>
    </row>
    <row r="2560" spans="1:5" x14ac:dyDescent="0.2">
      <c r="A2560" t="s">
        <v>413</v>
      </c>
      <c r="B2560">
        <v>624</v>
      </c>
      <c r="C2560" t="s">
        <v>2568</v>
      </c>
      <c r="E2560" t="s">
        <v>2569</v>
      </c>
    </row>
    <row r="2561" spans="1:5" x14ac:dyDescent="0.2">
      <c r="A2561" t="s">
        <v>2408</v>
      </c>
      <c r="B2561">
        <v>560</v>
      </c>
      <c r="C2561" t="s">
        <v>3616</v>
      </c>
      <c r="E2561" t="s">
        <v>3617</v>
      </c>
    </row>
    <row r="2562" spans="1:5" x14ac:dyDescent="0.2">
      <c r="A2562" t="s">
        <v>550</v>
      </c>
      <c r="B2562">
        <v>690</v>
      </c>
      <c r="C2562" t="s">
        <v>3565</v>
      </c>
      <c r="D2562" t="s">
        <v>3857</v>
      </c>
      <c r="E2562" t="s">
        <v>3593</v>
      </c>
    </row>
    <row r="2563" spans="1:5" x14ac:dyDescent="0.2">
      <c r="A2563" t="s">
        <v>505</v>
      </c>
      <c r="B2563">
        <v>505</v>
      </c>
      <c r="C2563" t="s">
        <v>2426</v>
      </c>
      <c r="D2563" t="s">
        <v>3858</v>
      </c>
      <c r="E2563" t="s">
        <v>2428</v>
      </c>
    </row>
    <row r="2564" spans="1:5" x14ac:dyDescent="0.2">
      <c r="A2564" t="s">
        <v>505</v>
      </c>
      <c r="B2564">
        <v>505</v>
      </c>
      <c r="C2564" t="s">
        <v>2426</v>
      </c>
      <c r="D2564" t="s">
        <v>3859</v>
      </c>
      <c r="E2564" t="s">
        <v>2428</v>
      </c>
    </row>
    <row r="2565" spans="1:5" x14ac:dyDescent="0.2">
      <c r="A2565" t="s">
        <v>505</v>
      </c>
      <c r="B2565">
        <v>505</v>
      </c>
      <c r="C2565" t="s">
        <v>2426</v>
      </c>
      <c r="D2565" t="s">
        <v>3860</v>
      </c>
      <c r="E2565" t="s">
        <v>2428</v>
      </c>
    </row>
    <row r="2566" spans="1:5" x14ac:dyDescent="0.2">
      <c r="A2566" t="s">
        <v>2383</v>
      </c>
      <c r="B2566">
        <v>705</v>
      </c>
      <c r="C2566" t="s">
        <v>2468</v>
      </c>
      <c r="E2566" t="s">
        <v>2469</v>
      </c>
    </row>
    <row r="2567" spans="1:5" x14ac:dyDescent="0.2">
      <c r="A2567" t="s">
        <v>650</v>
      </c>
      <c r="B2567">
        <v>635</v>
      </c>
      <c r="C2567" t="s">
        <v>3110</v>
      </c>
      <c r="E2567" t="s">
        <v>3111</v>
      </c>
    </row>
    <row r="2568" spans="1:5" x14ac:dyDescent="0.2">
      <c r="A2568" t="s">
        <v>550</v>
      </c>
      <c r="B2568">
        <v>690</v>
      </c>
      <c r="C2568" t="s">
        <v>3565</v>
      </c>
      <c r="D2568" t="s">
        <v>3861</v>
      </c>
      <c r="E2568" t="s">
        <v>3593</v>
      </c>
    </row>
    <row r="2569" spans="1:5" x14ac:dyDescent="0.2">
      <c r="A2569" t="s">
        <v>539</v>
      </c>
      <c r="B2569">
        <v>538</v>
      </c>
      <c r="C2569" t="s">
        <v>2517</v>
      </c>
      <c r="E2569" t="s">
        <v>2518</v>
      </c>
    </row>
    <row r="2570" spans="1:5" x14ac:dyDescent="0.2">
      <c r="A2570" t="s">
        <v>650</v>
      </c>
      <c r="B2570">
        <v>619</v>
      </c>
      <c r="C2570" t="s">
        <v>2687</v>
      </c>
      <c r="E2570" t="s">
        <v>2688</v>
      </c>
    </row>
    <row r="2571" spans="1:5" x14ac:dyDescent="0.2">
      <c r="A2571" t="s">
        <v>539</v>
      </c>
      <c r="B2571">
        <v>897</v>
      </c>
      <c r="C2571" t="s">
        <v>3794</v>
      </c>
      <c r="E2571" t="s">
        <v>3796</v>
      </c>
    </row>
    <row r="2572" spans="1:5" x14ac:dyDescent="0.2">
      <c r="A2572" t="s">
        <v>539</v>
      </c>
      <c r="B2572">
        <v>897</v>
      </c>
      <c r="C2572" t="s">
        <v>3794</v>
      </c>
      <c r="D2572" t="s">
        <v>3862</v>
      </c>
      <c r="E2572" t="s">
        <v>3796</v>
      </c>
    </row>
    <row r="2573" spans="1:5" x14ac:dyDescent="0.2">
      <c r="A2573" t="s">
        <v>539</v>
      </c>
      <c r="B2573">
        <v>897</v>
      </c>
      <c r="C2573" t="s">
        <v>3794</v>
      </c>
      <c r="D2573" t="s">
        <v>3863</v>
      </c>
      <c r="E2573" t="s">
        <v>3796</v>
      </c>
    </row>
    <row r="2574" spans="1:5" x14ac:dyDescent="0.2">
      <c r="A2574" t="s">
        <v>567</v>
      </c>
      <c r="B2574">
        <v>619</v>
      </c>
      <c r="C2574" t="s">
        <v>2614</v>
      </c>
      <c r="E2574" t="s">
        <v>2615</v>
      </c>
    </row>
    <row r="2575" spans="1:5" x14ac:dyDescent="0.2">
      <c r="A2575" t="s">
        <v>505</v>
      </c>
      <c r="B2575">
        <v>695</v>
      </c>
      <c r="C2575" t="s">
        <v>2669</v>
      </c>
      <c r="E2575" t="s">
        <v>2670</v>
      </c>
    </row>
    <row r="2576" spans="1:5" x14ac:dyDescent="0.2">
      <c r="A2576" t="s">
        <v>505</v>
      </c>
      <c r="B2576">
        <v>885</v>
      </c>
      <c r="C2576" t="s">
        <v>3022</v>
      </c>
      <c r="D2576" t="s">
        <v>3022</v>
      </c>
      <c r="E2576" t="s">
        <v>3023</v>
      </c>
    </row>
    <row r="2577" spans="1:5" x14ac:dyDescent="0.2">
      <c r="A2577" t="s">
        <v>505</v>
      </c>
      <c r="B2577">
        <v>505</v>
      </c>
      <c r="C2577" t="s">
        <v>2426</v>
      </c>
      <c r="D2577" t="s">
        <v>3864</v>
      </c>
      <c r="E2577" t="s">
        <v>2428</v>
      </c>
    </row>
    <row r="2578" spans="1:5" x14ac:dyDescent="0.2">
      <c r="A2578" t="s">
        <v>413</v>
      </c>
      <c r="B2578">
        <v>690</v>
      </c>
      <c r="C2578" t="s">
        <v>3565</v>
      </c>
      <c r="E2578" t="s">
        <v>3566</v>
      </c>
    </row>
    <row r="2579" spans="1:5" x14ac:dyDescent="0.2">
      <c r="A2579" t="s">
        <v>413</v>
      </c>
      <c r="B2579">
        <v>690</v>
      </c>
      <c r="C2579" t="s">
        <v>3565</v>
      </c>
      <c r="D2579" t="s">
        <v>3865</v>
      </c>
      <c r="E2579" t="s">
        <v>3566</v>
      </c>
    </row>
    <row r="2580" spans="1:5" x14ac:dyDescent="0.2">
      <c r="A2580" t="s">
        <v>2408</v>
      </c>
      <c r="B2580">
        <v>539</v>
      </c>
      <c r="C2580" t="s">
        <v>2420</v>
      </c>
      <c r="E2580" t="s">
        <v>2421</v>
      </c>
    </row>
    <row r="2581" spans="1:5" x14ac:dyDescent="0.2">
      <c r="A2581" t="s">
        <v>2408</v>
      </c>
      <c r="B2581">
        <v>523</v>
      </c>
      <c r="C2581" t="s">
        <v>2406</v>
      </c>
      <c r="E2581" t="s">
        <v>2419</v>
      </c>
    </row>
    <row r="2582" spans="1:5" x14ac:dyDescent="0.2">
      <c r="A2582" t="s">
        <v>567</v>
      </c>
      <c r="B2582">
        <v>885</v>
      </c>
      <c r="C2582" t="s">
        <v>3013</v>
      </c>
      <c r="D2582" t="s">
        <v>3866</v>
      </c>
      <c r="E2582" t="s">
        <v>3093</v>
      </c>
    </row>
    <row r="2583" spans="1:5" x14ac:dyDescent="0.2">
      <c r="A2583" t="s">
        <v>567</v>
      </c>
      <c r="B2583">
        <v>556</v>
      </c>
      <c r="C2583" t="s">
        <v>2536</v>
      </c>
      <c r="D2583" t="s">
        <v>2536</v>
      </c>
      <c r="E2583" t="s">
        <v>2537</v>
      </c>
    </row>
    <row r="2584" spans="1:5" x14ac:dyDescent="0.2">
      <c r="A2584" t="s">
        <v>2383</v>
      </c>
      <c r="B2584">
        <v>503</v>
      </c>
      <c r="C2584" t="s">
        <v>2433</v>
      </c>
      <c r="D2584" t="s">
        <v>2433</v>
      </c>
      <c r="E2584" t="s">
        <v>2491</v>
      </c>
    </row>
    <row r="2585" spans="1:5" x14ac:dyDescent="0.2">
      <c r="A2585" t="s">
        <v>539</v>
      </c>
      <c r="B2585">
        <v>655</v>
      </c>
      <c r="C2585" t="s">
        <v>2779</v>
      </c>
      <c r="D2585" t="s">
        <v>3144</v>
      </c>
      <c r="E2585" t="s">
        <v>2781</v>
      </c>
    </row>
    <row r="2586" spans="1:5" x14ac:dyDescent="0.2">
      <c r="A2586" t="s">
        <v>505</v>
      </c>
      <c r="B2586">
        <v>885</v>
      </c>
      <c r="C2586" t="s">
        <v>3022</v>
      </c>
      <c r="D2586" t="s">
        <v>3022</v>
      </c>
      <c r="E2586" t="s">
        <v>3023</v>
      </c>
    </row>
    <row r="2587" spans="1:5" x14ac:dyDescent="0.2">
      <c r="A2587" t="s">
        <v>650</v>
      </c>
      <c r="B2587">
        <v>940</v>
      </c>
      <c r="C2587" t="s">
        <v>2946</v>
      </c>
      <c r="D2587" t="s">
        <v>3867</v>
      </c>
      <c r="E2587" t="s">
        <v>2947</v>
      </c>
    </row>
    <row r="2588" spans="1:5" x14ac:dyDescent="0.2">
      <c r="A2588" t="s">
        <v>505</v>
      </c>
      <c r="B2588">
        <v>648</v>
      </c>
      <c r="C2588" t="s">
        <v>675</v>
      </c>
      <c r="D2588" t="s">
        <v>3868</v>
      </c>
      <c r="E2588" t="s">
        <v>2396</v>
      </c>
    </row>
    <row r="2589" spans="1:5" x14ac:dyDescent="0.2">
      <c r="A2589" t="s">
        <v>2408</v>
      </c>
      <c r="B2589">
        <v>890</v>
      </c>
      <c r="C2589" t="s">
        <v>3563</v>
      </c>
      <c r="D2589" t="s">
        <v>3869</v>
      </c>
      <c r="E2589" t="s">
        <v>3564</v>
      </c>
    </row>
    <row r="2590" spans="1:5" x14ac:dyDescent="0.2">
      <c r="A2590" t="s">
        <v>650</v>
      </c>
      <c r="B2590">
        <v>695</v>
      </c>
      <c r="C2590" t="s">
        <v>2386</v>
      </c>
      <c r="D2590" t="s">
        <v>3870</v>
      </c>
      <c r="E2590" t="s">
        <v>2488</v>
      </c>
    </row>
    <row r="2591" spans="1:5" x14ac:dyDescent="0.2">
      <c r="A2591" t="s">
        <v>550</v>
      </c>
      <c r="B2591">
        <v>890</v>
      </c>
      <c r="C2591" t="s">
        <v>3625</v>
      </c>
      <c r="E2591" t="s">
        <v>3626</v>
      </c>
    </row>
    <row r="2592" spans="1:5" x14ac:dyDescent="0.2">
      <c r="A2592" t="s">
        <v>567</v>
      </c>
      <c r="B2592">
        <v>890</v>
      </c>
      <c r="C2592" t="s">
        <v>3519</v>
      </c>
      <c r="D2592" t="s">
        <v>3871</v>
      </c>
      <c r="E2592" t="s">
        <v>3521</v>
      </c>
    </row>
    <row r="2593" spans="1:5" x14ac:dyDescent="0.2">
      <c r="A2593" t="s">
        <v>550</v>
      </c>
      <c r="B2593">
        <v>890</v>
      </c>
      <c r="C2593" t="s">
        <v>3625</v>
      </c>
      <c r="E2593" t="s">
        <v>3626</v>
      </c>
    </row>
    <row r="2594" spans="1:5" x14ac:dyDescent="0.2">
      <c r="A2594" t="s">
        <v>539</v>
      </c>
      <c r="B2594">
        <v>552</v>
      </c>
      <c r="C2594" t="s">
        <v>2612</v>
      </c>
      <c r="E2594" t="s">
        <v>2613</v>
      </c>
    </row>
    <row r="2595" spans="1:5" x14ac:dyDescent="0.2">
      <c r="A2595" t="s">
        <v>2383</v>
      </c>
      <c r="B2595">
        <v>606</v>
      </c>
      <c r="C2595" t="s">
        <v>2384</v>
      </c>
      <c r="E2595" t="s">
        <v>2385</v>
      </c>
    </row>
    <row r="2596" spans="1:5" x14ac:dyDescent="0.2">
      <c r="A2596" t="s">
        <v>539</v>
      </c>
      <c r="B2596">
        <v>655</v>
      </c>
      <c r="C2596" t="s">
        <v>2779</v>
      </c>
      <c r="D2596" t="s">
        <v>3309</v>
      </c>
      <c r="E2596" t="s">
        <v>2781</v>
      </c>
    </row>
    <row r="2597" spans="1:5" x14ac:dyDescent="0.2">
      <c r="A2597" t="s">
        <v>550</v>
      </c>
      <c r="B2597">
        <v>690</v>
      </c>
      <c r="C2597" t="s">
        <v>3565</v>
      </c>
      <c r="D2597" t="s">
        <v>3872</v>
      </c>
      <c r="E2597" t="s">
        <v>3593</v>
      </c>
    </row>
    <row r="2598" spans="1:5" x14ac:dyDescent="0.2">
      <c r="A2598" t="s">
        <v>550</v>
      </c>
      <c r="B2598">
        <v>690</v>
      </c>
      <c r="C2598" t="s">
        <v>3565</v>
      </c>
      <c r="D2598" t="s">
        <v>3873</v>
      </c>
      <c r="E2598" t="s">
        <v>3593</v>
      </c>
    </row>
    <row r="2599" spans="1:5" x14ac:dyDescent="0.2">
      <c r="A2599" t="s">
        <v>2408</v>
      </c>
      <c r="B2599">
        <v>505</v>
      </c>
      <c r="C2599" t="s">
        <v>2746</v>
      </c>
      <c r="D2599" t="s">
        <v>2746</v>
      </c>
      <c r="E2599" t="s">
        <v>2747</v>
      </c>
    </row>
    <row r="2600" spans="1:5" x14ac:dyDescent="0.2">
      <c r="A2600" t="s">
        <v>550</v>
      </c>
      <c r="B2600">
        <v>897</v>
      </c>
      <c r="C2600" t="s">
        <v>3565</v>
      </c>
      <c r="D2600" t="s">
        <v>3874</v>
      </c>
      <c r="E2600" t="s">
        <v>3808</v>
      </c>
    </row>
    <row r="2601" spans="1:5" x14ac:dyDescent="0.2">
      <c r="A2601" t="s">
        <v>650</v>
      </c>
      <c r="B2601">
        <v>897</v>
      </c>
      <c r="C2601" t="s">
        <v>3565</v>
      </c>
      <c r="E2601" t="s">
        <v>3825</v>
      </c>
    </row>
    <row r="2602" spans="1:5" x14ac:dyDescent="0.2">
      <c r="A2602" t="s">
        <v>505</v>
      </c>
      <c r="B2602">
        <v>888</v>
      </c>
      <c r="C2602" t="s">
        <v>2936</v>
      </c>
      <c r="E2602" t="s">
        <v>2937</v>
      </c>
    </row>
    <row r="2603" spans="1:5" x14ac:dyDescent="0.2">
      <c r="A2603" t="s">
        <v>550</v>
      </c>
      <c r="B2603">
        <v>690</v>
      </c>
      <c r="C2603" t="s">
        <v>3565</v>
      </c>
      <c r="D2603" t="s">
        <v>3875</v>
      </c>
      <c r="E2603" t="s">
        <v>3593</v>
      </c>
    </row>
    <row r="2604" spans="1:5" x14ac:dyDescent="0.2">
      <c r="A2604" t="s">
        <v>650</v>
      </c>
      <c r="B2604">
        <v>897</v>
      </c>
      <c r="C2604" t="s">
        <v>3565</v>
      </c>
      <c r="D2604" t="s">
        <v>3876</v>
      </c>
      <c r="E2604" t="s">
        <v>3825</v>
      </c>
    </row>
    <row r="2605" spans="1:5" x14ac:dyDescent="0.2">
      <c r="A2605" t="s">
        <v>567</v>
      </c>
      <c r="B2605">
        <v>895</v>
      </c>
      <c r="C2605" t="s">
        <v>3845</v>
      </c>
      <c r="E2605" t="s">
        <v>3877</v>
      </c>
    </row>
    <row r="2606" spans="1:5" x14ac:dyDescent="0.2">
      <c r="A2606" t="s">
        <v>539</v>
      </c>
      <c r="B2606">
        <v>536</v>
      </c>
      <c r="C2606" t="s">
        <v>2639</v>
      </c>
      <c r="D2606" t="s">
        <v>2639</v>
      </c>
      <c r="E2606" t="s">
        <v>2640</v>
      </c>
    </row>
    <row r="2607" spans="1:5" x14ac:dyDescent="0.2">
      <c r="A2607" t="s">
        <v>567</v>
      </c>
      <c r="B2607">
        <v>510</v>
      </c>
      <c r="C2607" t="s">
        <v>2556</v>
      </c>
      <c r="E2607" t="s">
        <v>3130</v>
      </c>
    </row>
    <row r="2608" spans="1:5" x14ac:dyDescent="0.2">
      <c r="A2608" t="s">
        <v>550</v>
      </c>
      <c r="B2608">
        <v>885</v>
      </c>
      <c r="C2608" t="s">
        <v>3013</v>
      </c>
      <c r="D2608" t="s">
        <v>3878</v>
      </c>
      <c r="E2608" t="s">
        <v>3175</v>
      </c>
    </row>
    <row r="2609" spans="1:5" x14ac:dyDescent="0.2">
      <c r="A2609" t="s">
        <v>650</v>
      </c>
      <c r="B2609">
        <v>649</v>
      </c>
      <c r="C2609" t="s">
        <v>2979</v>
      </c>
      <c r="D2609" t="s">
        <v>3879</v>
      </c>
      <c r="E2609" t="s">
        <v>2980</v>
      </c>
    </row>
    <row r="2610" spans="1:5" x14ac:dyDescent="0.2">
      <c r="A2610" t="s">
        <v>2408</v>
      </c>
      <c r="B2610">
        <v>773</v>
      </c>
      <c r="C2610" t="s">
        <v>2594</v>
      </c>
      <c r="E2610" t="s">
        <v>3880</v>
      </c>
    </row>
    <row r="2611" spans="1:5" x14ac:dyDescent="0.2">
      <c r="A2611" t="s">
        <v>539</v>
      </c>
      <c r="B2611">
        <v>897</v>
      </c>
      <c r="C2611" t="s">
        <v>3794</v>
      </c>
      <c r="E2611" t="s">
        <v>3796</v>
      </c>
    </row>
    <row r="2612" spans="1:5" x14ac:dyDescent="0.2">
      <c r="A2612" t="s">
        <v>539</v>
      </c>
      <c r="B2612">
        <v>897</v>
      </c>
      <c r="C2612" t="s">
        <v>3794</v>
      </c>
      <c r="E2612" t="s">
        <v>3796</v>
      </c>
    </row>
    <row r="2613" spans="1:5" x14ac:dyDescent="0.2">
      <c r="A2613" t="s">
        <v>539</v>
      </c>
      <c r="B2613">
        <v>897</v>
      </c>
      <c r="C2613" t="s">
        <v>3794</v>
      </c>
      <c r="E2613" t="s">
        <v>3796</v>
      </c>
    </row>
    <row r="2614" spans="1:5" x14ac:dyDescent="0.2">
      <c r="A2614" t="s">
        <v>539</v>
      </c>
      <c r="B2614">
        <v>897</v>
      </c>
      <c r="C2614" t="s">
        <v>3794</v>
      </c>
      <c r="E2614" t="s">
        <v>3796</v>
      </c>
    </row>
    <row r="2615" spans="1:5" x14ac:dyDescent="0.2">
      <c r="A2615" t="s">
        <v>539</v>
      </c>
      <c r="B2615">
        <v>897</v>
      </c>
      <c r="C2615" t="s">
        <v>3794</v>
      </c>
      <c r="E2615" t="s">
        <v>3796</v>
      </c>
    </row>
    <row r="2616" spans="1:5" x14ac:dyDescent="0.2">
      <c r="A2616" t="s">
        <v>2383</v>
      </c>
      <c r="B2616">
        <v>870</v>
      </c>
      <c r="C2616" t="s">
        <v>3046</v>
      </c>
      <c r="D2616" t="s">
        <v>3881</v>
      </c>
      <c r="E2616" t="s">
        <v>3048</v>
      </c>
    </row>
    <row r="2617" spans="1:5" x14ac:dyDescent="0.2">
      <c r="A2617" t="s">
        <v>650</v>
      </c>
      <c r="B2617">
        <v>897</v>
      </c>
      <c r="C2617" t="s">
        <v>3565</v>
      </c>
      <c r="D2617" t="s">
        <v>3882</v>
      </c>
      <c r="E2617" t="s">
        <v>3825</v>
      </c>
    </row>
    <row r="2618" spans="1:5" x14ac:dyDescent="0.2">
      <c r="A2618" t="s">
        <v>567</v>
      </c>
      <c r="B2618">
        <v>552</v>
      </c>
      <c r="C2618" t="s">
        <v>2424</v>
      </c>
      <c r="E2618" t="s">
        <v>2425</v>
      </c>
    </row>
    <row r="2619" spans="1:5" x14ac:dyDescent="0.2">
      <c r="A2619" t="s">
        <v>567</v>
      </c>
      <c r="B2619">
        <v>690</v>
      </c>
      <c r="C2619" t="s">
        <v>3565</v>
      </c>
      <c r="D2619" t="s">
        <v>3883</v>
      </c>
      <c r="E2619" t="s">
        <v>3582</v>
      </c>
    </row>
    <row r="2620" spans="1:5" x14ac:dyDescent="0.2">
      <c r="A2620" t="s">
        <v>2408</v>
      </c>
      <c r="B2620">
        <v>890</v>
      </c>
      <c r="C2620" t="s">
        <v>3563</v>
      </c>
      <c r="D2620" t="s">
        <v>3563</v>
      </c>
      <c r="E2620" t="s">
        <v>3564</v>
      </c>
    </row>
    <row r="2621" spans="1:5" x14ac:dyDescent="0.2">
      <c r="A2621" t="s">
        <v>539</v>
      </c>
      <c r="B2621">
        <v>885</v>
      </c>
      <c r="C2621" t="s">
        <v>2389</v>
      </c>
      <c r="D2621" t="s">
        <v>3884</v>
      </c>
      <c r="E2621" t="s">
        <v>2391</v>
      </c>
    </row>
    <row r="2622" spans="1:5" x14ac:dyDescent="0.2">
      <c r="A2622" t="s">
        <v>550</v>
      </c>
      <c r="B2622">
        <v>695</v>
      </c>
      <c r="C2622" t="s">
        <v>2582</v>
      </c>
      <c r="D2622" t="s">
        <v>3885</v>
      </c>
      <c r="E2622" t="s">
        <v>2584</v>
      </c>
    </row>
    <row r="2623" spans="1:5" x14ac:dyDescent="0.2">
      <c r="A2623" t="s">
        <v>650</v>
      </c>
      <c r="B2623">
        <v>640</v>
      </c>
      <c r="C2623" t="s">
        <v>2509</v>
      </c>
      <c r="D2623" t="s">
        <v>2509</v>
      </c>
      <c r="E2623" t="s">
        <v>2510</v>
      </c>
    </row>
    <row r="2624" spans="1:5" x14ac:dyDescent="0.2">
      <c r="A2624" t="s">
        <v>2408</v>
      </c>
      <c r="B2624">
        <v>517</v>
      </c>
      <c r="C2624" t="s">
        <v>2544</v>
      </c>
      <c r="D2624" t="s">
        <v>3886</v>
      </c>
      <c r="E2624" t="s">
        <v>2545</v>
      </c>
    </row>
    <row r="2625" spans="1:5" x14ac:dyDescent="0.2">
      <c r="A2625" t="s">
        <v>2408</v>
      </c>
      <c r="B2625">
        <v>752</v>
      </c>
      <c r="C2625" t="s">
        <v>3887</v>
      </c>
      <c r="E2625" t="s">
        <v>3888</v>
      </c>
    </row>
    <row r="2626" spans="1:5" x14ac:dyDescent="0.2">
      <c r="A2626" t="s">
        <v>2408</v>
      </c>
      <c r="B2626">
        <v>690</v>
      </c>
      <c r="C2626" t="s">
        <v>3561</v>
      </c>
      <c r="D2626" t="s">
        <v>3561</v>
      </c>
      <c r="E2626" t="s">
        <v>3562</v>
      </c>
    </row>
    <row r="2627" spans="1:5" x14ac:dyDescent="0.2">
      <c r="A2627" t="s">
        <v>2408</v>
      </c>
      <c r="B2627">
        <v>690</v>
      </c>
      <c r="C2627" t="s">
        <v>3561</v>
      </c>
      <c r="D2627" t="s">
        <v>3561</v>
      </c>
      <c r="E2627" t="s">
        <v>3562</v>
      </c>
    </row>
    <row r="2628" spans="1:5" x14ac:dyDescent="0.2">
      <c r="A2628" t="s">
        <v>2408</v>
      </c>
      <c r="B2628">
        <v>690</v>
      </c>
      <c r="C2628" t="s">
        <v>3561</v>
      </c>
      <c r="D2628" t="s">
        <v>3561</v>
      </c>
      <c r="E2628" t="s">
        <v>3562</v>
      </c>
    </row>
    <row r="2629" spans="1:5" x14ac:dyDescent="0.2">
      <c r="A2629" t="s">
        <v>2408</v>
      </c>
      <c r="B2629">
        <v>690</v>
      </c>
      <c r="C2629" t="s">
        <v>3561</v>
      </c>
      <c r="D2629" t="s">
        <v>3561</v>
      </c>
      <c r="E2629" t="s">
        <v>3562</v>
      </c>
    </row>
    <row r="2630" spans="1:5" x14ac:dyDescent="0.2">
      <c r="A2630" t="s">
        <v>2408</v>
      </c>
      <c r="B2630">
        <v>690</v>
      </c>
      <c r="C2630" t="s">
        <v>3561</v>
      </c>
      <c r="D2630" t="s">
        <v>3561</v>
      </c>
      <c r="E2630" t="s">
        <v>3562</v>
      </c>
    </row>
    <row r="2631" spans="1:5" x14ac:dyDescent="0.2">
      <c r="A2631" t="s">
        <v>2408</v>
      </c>
      <c r="B2631">
        <v>690</v>
      </c>
      <c r="C2631" t="s">
        <v>3561</v>
      </c>
      <c r="D2631" t="s">
        <v>3561</v>
      </c>
      <c r="E2631" t="s">
        <v>3562</v>
      </c>
    </row>
    <row r="2632" spans="1:5" x14ac:dyDescent="0.2">
      <c r="A2632" t="s">
        <v>2408</v>
      </c>
      <c r="B2632">
        <v>690</v>
      </c>
      <c r="C2632" t="s">
        <v>3561</v>
      </c>
      <c r="D2632" t="s">
        <v>3561</v>
      </c>
      <c r="E2632" t="s">
        <v>3562</v>
      </c>
    </row>
    <row r="2633" spans="1:5" x14ac:dyDescent="0.2">
      <c r="A2633" t="s">
        <v>2408</v>
      </c>
      <c r="B2633">
        <v>690</v>
      </c>
      <c r="C2633" t="s">
        <v>3561</v>
      </c>
      <c r="D2633" t="s">
        <v>3561</v>
      </c>
      <c r="E2633" t="s">
        <v>3562</v>
      </c>
    </row>
    <row r="2634" spans="1:5" x14ac:dyDescent="0.2">
      <c r="A2634" t="s">
        <v>2408</v>
      </c>
      <c r="B2634">
        <v>690</v>
      </c>
      <c r="C2634" t="s">
        <v>3561</v>
      </c>
      <c r="D2634" t="s">
        <v>3561</v>
      </c>
      <c r="E2634" t="s">
        <v>3562</v>
      </c>
    </row>
    <row r="2635" spans="1:5" x14ac:dyDescent="0.2">
      <c r="A2635" t="s">
        <v>539</v>
      </c>
      <c r="B2635">
        <v>897</v>
      </c>
      <c r="C2635" t="s">
        <v>3794</v>
      </c>
      <c r="D2635" t="s">
        <v>3794</v>
      </c>
      <c r="E2635" t="s">
        <v>3796</v>
      </c>
    </row>
    <row r="2636" spans="1:5" x14ac:dyDescent="0.2">
      <c r="A2636" t="s">
        <v>539</v>
      </c>
      <c r="B2636">
        <v>897</v>
      </c>
      <c r="C2636" t="s">
        <v>3794</v>
      </c>
      <c r="D2636" t="s">
        <v>3794</v>
      </c>
      <c r="E2636" t="s">
        <v>3796</v>
      </c>
    </row>
    <row r="2637" spans="1:5" x14ac:dyDescent="0.2">
      <c r="A2637" t="s">
        <v>539</v>
      </c>
      <c r="B2637">
        <v>897</v>
      </c>
      <c r="C2637" t="s">
        <v>3794</v>
      </c>
      <c r="D2637" t="s">
        <v>3794</v>
      </c>
      <c r="E2637" t="s">
        <v>3796</v>
      </c>
    </row>
    <row r="2638" spans="1:5" x14ac:dyDescent="0.2">
      <c r="A2638" t="s">
        <v>539</v>
      </c>
      <c r="B2638">
        <v>897</v>
      </c>
      <c r="C2638" t="s">
        <v>3794</v>
      </c>
      <c r="D2638" t="s">
        <v>3794</v>
      </c>
      <c r="E2638" t="s">
        <v>3796</v>
      </c>
    </row>
    <row r="2639" spans="1:5" x14ac:dyDescent="0.2">
      <c r="A2639" t="s">
        <v>539</v>
      </c>
      <c r="B2639">
        <v>897</v>
      </c>
      <c r="C2639" t="s">
        <v>3794</v>
      </c>
      <c r="D2639" t="s">
        <v>3794</v>
      </c>
      <c r="E2639" t="s">
        <v>3796</v>
      </c>
    </row>
    <row r="2640" spans="1:5" x14ac:dyDescent="0.2">
      <c r="A2640" t="s">
        <v>2408</v>
      </c>
      <c r="B2640">
        <v>690</v>
      </c>
      <c r="C2640" t="s">
        <v>3561</v>
      </c>
      <c r="D2640" t="s">
        <v>3561</v>
      </c>
      <c r="E2640" t="s">
        <v>3562</v>
      </c>
    </row>
    <row r="2641" spans="1:5" x14ac:dyDescent="0.2">
      <c r="A2641" t="s">
        <v>2408</v>
      </c>
      <c r="B2641">
        <v>690</v>
      </c>
      <c r="C2641" t="s">
        <v>3561</v>
      </c>
      <c r="D2641" t="s">
        <v>3561</v>
      </c>
      <c r="E2641" t="s">
        <v>3562</v>
      </c>
    </row>
    <row r="2642" spans="1:5" x14ac:dyDescent="0.2">
      <c r="A2642" t="s">
        <v>505</v>
      </c>
      <c r="B2642">
        <v>885</v>
      </c>
      <c r="C2642" t="s">
        <v>3022</v>
      </c>
      <c r="D2642" t="s">
        <v>3022</v>
      </c>
      <c r="E2642" t="s">
        <v>3023</v>
      </c>
    </row>
    <row r="2643" spans="1:5" x14ac:dyDescent="0.2">
      <c r="A2643" t="s">
        <v>539</v>
      </c>
      <c r="B2643">
        <v>897</v>
      </c>
      <c r="C2643" t="s">
        <v>3794</v>
      </c>
      <c r="D2643" t="s">
        <v>3794</v>
      </c>
      <c r="E2643" t="s">
        <v>3796</v>
      </c>
    </row>
    <row r="2644" spans="1:5" x14ac:dyDescent="0.2">
      <c r="A2644" t="s">
        <v>539</v>
      </c>
      <c r="B2644">
        <v>897</v>
      </c>
      <c r="C2644" t="s">
        <v>3794</v>
      </c>
      <c r="D2644" t="s">
        <v>3794</v>
      </c>
      <c r="E2644" t="s">
        <v>3796</v>
      </c>
    </row>
    <row r="2645" spans="1:5" x14ac:dyDescent="0.2">
      <c r="A2645" t="s">
        <v>2408</v>
      </c>
      <c r="B2645">
        <v>690</v>
      </c>
      <c r="C2645" t="s">
        <v>3561</v>
      </c>
      <c r="D2645" t="s">
        <v>3561</v>
      </c>
      <c r="E2645" t="s">
        <v>3562</v>
      </c>
    </row>
    <row r="2646" spans="1:5" x14ac:dyDescent="0.2">
      <c r="A2646" t="s">
        <v>650</v>
      </c>
      <c r="B2646">
        <v>635</v>
      </c>
      <c r="C2646" t="s">
        <v>3110</v>
      </c>
      <c r="E2646" t="s">
        <v>3111</v>
      </c>
    </row>
    <row r="2647" spans="1:5" x14ac:dyDescent="0.2">
      <c r="A2647" t="s">
        <v>550</v>
      </c>
      <c r="B2647">
        <v>810</v>
      </c>
      <c r="C2647" t="s">
        <v>3428</v>
      </c>
      <c r="D2647" t="s">
        <v>3889</v>
      </c>
      <c r="E2647" t="s">
        <v>3429</v>
      </c>
    </row>
    <row r="2648" spans="1:5" x14ac:dyDescent="0.2">
      <c r="A2648" t="s">
        <v>2383</v>
      </c>
      <c r="B2648">
        <v>626</v>
      </c>
      <c r="C2648" t="s">
        <v>2883</v>
      </c>
      <c r="D2648" t="s">
        <v>2883</v>
      </c>
      <c r="E2648" t="s">
        <v>2884</v>
      </c>
    </row>
    <row r="2649" spans="1:5" x14ac:dyDescent="0.2">
      <c r="A2649" t="s">
        <v>505</v>
      </c>
      <c r="B2649">
        <v>505</v>
      </c>
      <c r="C2649" t="s">
        <v>2426</v>
      </c>
      <c r="D2649" t="s">
        <v>3890</v>
      </c>
      <c r="E2649" t="s">
        <v>2428</v>
      </c>
    </row>
    <row r="2650" spans="1:5" x14ac:dyDescent="0.2">
      <c r="A2650" t="s">
        <v>505</v>
      </c>
      <c r="B2650">
        <v>505</v>
      </c>
      <c r="C2650" t="s">
        <v>2426</v>
      </c>
      <c r="D2650" t="s">
        <v>3891</v>
      </c>
      <c r="E2650" t="s">
        <v>2428</v>
      </c>
    </row>
    <row r="2651" spans="1:5" x14ac:dyDescent="0.2">
      <c r="A2651" t="s">
        <v>550</v>
      </c>
      <c r="B2651">
        <v>690</v>
      </c>
      <c r="C2651" t="s">
        <v>3565</v>
      </c>
      <c r="D2651" t="s">
        <v>3892</v>
      </c>
      <c r="E2651" t="s">
        <v>3593</v>
      </c>
    </row>
    <row r="2652" spans="1:5" x14ac:dyDescent="0.2">
      <c r="A2652" t="s">
        <v>2383</v>
      </c>
      <c r="B2652">
        <v>541</v>
      </c>
      <c r="C2652" t="s">
        <v>2404</v>
      </c>
      <c r="E2652" t="s">
        <v>2502</v>
      </c>
    </row>
    <row r="2653" spans="1:5" x14ac:dyDescent="0.2">
      <c r="A2653" t="s">
        <v>505</v>
      </c>
      <c r="B2653">
        <v>505</v>
      </c>
      <c r="C2653" t="s">
        <v>2426</v>
      </c>
      <c r="D2653" t="s">
        <v>3893</v>
      </c>
      <c r="E2653" t="s">
        <v>2428</v>
      </c>
    </row>
    <row r="2654" spans="1:5" x14ac:dyDescent="0.2">
      <c r="A2654" t="s">
        <v>505</v>
      </c>
      <c r="B2654">
        <v>648</v>
      </c>
      <c r="C2654" t="s">
        <v>675</v>
      </c>
      <c r="D2654" t="s">
        <v>3726</v>
      </c>
      <c r="E2654" t="s">
        <v>2396</v>
      </c>
    </row>
    <row r="2655" spans="1:5" x14ac:dyDescent="0.2">
      <c r="A2655" t="s">
        <v>413</v>
      </c>
      <c r="B2655">
        <v>690</v>
      </c>
      <c r="C2655" t="s">
        <v>3565</v>
      </c>
      <c r="E2655" t="s">
        <v>3566</v>
      </c>
    </row>
    <row r="2656" spans="1:5" x14ac:dyDescent="0.2">
      <c r="A2656" t="s">
        <v>539</v>
      </c>
      <c r="B2656">
        <v>552</v>
      </c>
      <c r="C2656" t="s">
        <v>2612</v>
      </c>
      <c r="D2656" t="s">
        <v>2612</v>
      </c>
      <c r="E2656" t="s">
        <v>2613</v>
      </c>
    </row>
    <row r="2657" spans="1:5" x14ac:dyDescent="0.2">
      <c r="A2657" t="s">
        <v>505</v>
      </c>
      <c r="B2657">
        <v>505</v>
      </c>
      <c r="C2657" t="s">
        <v>2426</v>
      </c>
      <c r="D2657" t="s">
        <v>3153</v>
      </c>
      <c r="E2657" t="s">
        <v>2428</v>
      </c>
    </row>
    <row r="2658" spans="1:5" x14ac:dyDescent="0.2">
      <c r="A2658" t="s">
        <v>505</v>
      </c>
      <c r="B2658">
        <v>844</v>
      </c>
      <c r="C2658" t="s">
        <v>2932</v>
      </c>
      <c r="E2658" t="s">
        <v>2933</v>
      </c>
    </row>
    <row r="2659" spans="1:5" x14ac:dyDescent="0.2">
      <c r="A2659" t="s">
        <v>505</v>
      </c>
      <c r="B2659">
        <v>880</v>
      </c>
      <c r="C2659" t="s">
        <v>2934</v>
      </c>
      <c r="E2659" t="s">
        <v>2935</v>
      </c>
    </row>
    <row r="2660" spans="1:5" x14ac:dyDescent="0.2">
      <c r="A2660" t="s">
        <v>505</v>
      </c>
      <c r="B2660">
        <v>885</v>
      </c>
      <c r="C2660" t="s">
        <v>3022</v>
      </c>
      <c r="E2660" t="s">
        <v>3023</v>
      </c>
    </row>
    <row r="2661" spans="1:5" x14ac:dyDescent="0.2">
      <c r="A2661" t="s">
        <v>505</v>
      </c>
      <c r="B2661">
        <v>888</v>
      </c>
      <c r="C2661" t="s">
        <v>2936</v>
      </c>
      <c r="E2661" t="s">
        <v>2937</v>
      </c>
    </row>
    <row r="2662" spans="1:5" x14ac:dyDescent="0.2">
      <c r="A2662" t="s">
        <v>505</v>
      </c>
      <c r="B2662">
        <v>888</v>
      </c>
      <c r="C2662" t="s">
        <v>2936</v>
      </c>
      <c r="E2662" t="s">
        <v>2937</v>
      </c>
    </row>
    <row r="2663" spans="1:5" x14ac:dyDescent="0.2">
      <c r="A2663" t="s">
        <v>650</v>
      </c>
      <c r="B2663">
        <v>623</v>
      </c>
      <c r="C2663" t="s">
        <v>2715</v>
      </c>
      <c r="D2663" t="s">
        <v>2715</v>
      </c>
      <c r="E2663" t="s">
        <v>2716</v>
      </c>
    </row>
    <row r="2664" spans="1:5" x14ac:dyDescent="0.2">
      <c r="A2664" t="s">
        <v>505</v>
      </c>
      <c r="B2664">
        <v>885</v>
      </c>
      <c r="C2664" t="s">
        <v>3022</v>
      </c>
      <c r="E2664" t="s">
        <v>3023</v>
      </c>
    </row>
    <row r="2665" spans="1:5" x14ac:dyDescent="0.2">
      <c r="A2665" t="s">
        <v>2408</v>
      </c>
      <c r="B2665">
        <v>538</v>
      </c>
      <c r="C2665" t="s">
        <v>2548</v>
      </c>
      <c r="E2665" t="s">
        <v>2647</v>
      </c>
    </row>
    <row r="2666" spans="1:5" x14ac:dyDescent="0.2">
      <c r="A2666" t="s">
        <v>567</v>
      </c>
      <c r="B2666">
        <v>510</v>
      </c>
      <c r="C2666" t="s">
        <v>2556</v>
      </c>
      <c r="D2666" t="s">
        <v>2556</v>
      </c>
      <c r="E2666" t="s">
        <v>3130</v>
      </c>
    </row>
    <row r="2667" spans="1:5" x14ac:dyDescent="0.2">
      <c r="A2667" t="s">
        <v>505</v>
      </c>
      <c r="B2667">
        <v>588</v>
      </c>
      <c r="C2667" t="s">
        <v>3253</v>
      </c>
      <c r="D2667" t="s">
        <v>3253</v>
      </c>
      <c r="E2667" t="s">
        <v>3254</v>
      </c>
    </row>
    <row r="2668" spans="1:5" x14ac:dyDescent="0.2">
      <c r="A2668" t="s">
        <v>505</v>
      </c>
      <c r="B2668">
        <v>880</v>
      </c>
      <c r="C2668" t="s">
        <v>2934</v>
      </c>
      <c r="E2668" t="s">
        <v>2935</v>
      </c>
    </row>
    <row r="2669" spans="1:5" x14ac:dyDescent="0.2">
      <c r="A2669" t="s">
        <v>2383</v>
      </c>
      <c r="B2669">
        <v>680</v>
      </c>
      <c r="C2669" t="s">
        <v>3553</v>
      </c>
      <c r="D2669" t="s">
        <v>3894</v>
      </c>
      <c r="E2669" t="s">
        <v>3579</v>
      </c>
    </row>
    <row r="2670" spans="1:5" x14ac:dyDescent="0.2">
      <c r="A2670" t="s">
        <v>650</v>
      </c>
      <c r="B2670">
        <v>627</v>
      </c>
      <c r="C2670" t="s">
        <v>2641</v>
      </c>
      <c r="D2670" t="s">
        <v>2641</v>
      </c>
      <c r="E2670" t="s">
        <v>2642</v>
      </c>
    </row>
    <row r="2671" spans="1:5" x14ac:dyDescent="0.2">
      <c r="A2671" t="s">
        <v>567</v>
      </c>
      <c r="B2671">
        <v>627</v>
      </c>
      <c r="C2671" t="s">
        <v>2822</v>
      </c>
      <c r="D2671" t="s">
        <v>2822</v>
      </c>
      <c r="E2671" t="s">
        <v>2823</v>
      </c>
    </row>
    <row r="2672" spans="1:5" x14ac:dyDescent="0.2">
      <c r="A2672" t="s">
        <v>650</v>
      </c>
      <c r="B2672">
        <v>611</v>
      </c>
      <c r="C2672" t="s">
        <v>3098</v>
      </c>
      <c r="D2672" t="s">
        <v>3098</v>
      </c>
      <c r="E2672" t="s">
        <v>2611</v>
      </c>
    </row>
    <row r="2673" spans="1:5" x14ac:dyDescent="0.2">
      <c r="A2673" t="s">
        <v>413</v>
      </c>
      <c r="B2673">
        <v>624</v>
      </c>
      <c r="C2673" t="s">
        <v>2568</v>
      </c>
      <c r="D2673" t="s">
        <v>2568</v>
      </c>
      <c r="E2673" t="s">
        <v>2569</v>
      </c>
    </row>
    <row r="2674" spans="1:5" x14ac:dyDescent="0.2">
      <c r="A2674" t="s">
        <v>505</v>
      </c>
      <c r="B2674">
        <v>888</v>
      </c>
      <c r="C2674" t="s">
        <v>2936</v>
      </c>
      <c r="E2674" t="s">
        <v>2937</v>
      </c>
    </row>
    <row r="2675" spans="1:5" x14ac:dyDescent="0.2">
      <c r="A2675" t="s">
        <v>413</v>
      </c>
      <c r="B2675">
        <v>690</v>
      </c>
      <c r="C2675" t="s">
        <v>3565</v>
      </c>
      <c r="D2675" t="s">
        <v>3895</v>
      </c>
      <c r="E2675" t="s">
        <v>3566</v>
      </c>
    </row>
    <row r="2676" spans="1:5" x14ac:dyDescent="0.2">
      <c r="A2676" t="s">
        <v>413</v>
      </c>
      <c r="B2676">
        <v>690</v>
      </c>
      <c r="C2676" t="s">
        <v>3565</v>
      </c>
      <c r="D2676" t="s">
        <v>3896</v>
      </c>
      <c r="E2676" t="s">
        <v>3566</v>
      </c>
    </row>
    <row r="2677" spans="1:5" x14ac:dyDescent="0.2">
      <c r="A2677" t="s">
        <v>413</v>
      </c>
      <c r="B2677">
        <v>690</v>
      </c>
      <c r="C2677" t="s">
        <v>3565</v>
      </c>
      <c r="D2677" t="s">
        <v>3897</v>
      </c>
      <c r="E2677" t="s">
        <v>3566</v>
      </c>
    </row>
    <row r="2678" spans="1:5" x14ac:dyDescent="0.2">
      <c r="A2678" t="s">
        <v>539</v>
      </c>
      <c r="B2678">
        <v>552</v>
      </c>
      <c r="C2678" t="s">
        <v>2612</v>
      </c>
      <c r="D2678" t="s">
        <v>2612</v>
      </c>
      <c r="E2678" t="s">
        <v>2613</v>
      </c>
    </row>
    <row r="2679" spans="1:5" x14ac:dyDescent="0.2">
      <c r="A2679" t="s">
        <v>650</v>
      </c>
      <c r="B2679">
        <v>635</v>
      </c>
      <c r="C2679" t="s">
        <v>3110</v>
      </c>
      <c r="D2679" t="s">
        <v>3110</v>
      </c>
      <c r="E2679" t="s">
        <v>3111</v>
      </c>
    </row>
    <row r="2680" spans="1:5" x14ac:dyDescent="0.2">
      <c r="A2680" t="s">
        <v>650</v>
      </c>
      <c r="B2680">
        <v>619</v>
      </c>
      <c r="C2680" t="s">
        <v>2687</v>
      </c>
      <c r="D2680" t="s">
        <v>2687</v>
      </c>
      <c r="E2680" t="s">
        <v>2688</v>
      </c>
    </row>
    <row r="2681" spans="1:5" x14ac:dyDescent="0.2">
      <c r="A2681" t="s">
        <v>550</v>
      </c>
      <c r="B2681">
        <v>810</v>
      </c>
      <c r="C2681" t="s">
        <v>3428</v>
      </c>
      <c r="D2681" t="s">
        <v>3898</v>
      </c>
      <c r="E2681" t="s">
        <v>3429</v>
      </c>
    </row>
    <row r="2682" spans="1:5" x14ac:dyDescent="0.2">
      <c r="A2682" t="s">
        <v>2383</v>
      </c>
      <c r="B2682">
        <v>664</v>
      </c>
      <c r="C2682" t="s">
        <v>3538</v>
      </c>
      <c r="E2682" t="s">
        <v>3656</v>
      </c>
    </row>
    <row r="2683" spans="1:5" x14ac:dyDescent="0.2">
      <c r="A2683" t="s">
        <v>505</v>
      </c>
      <c r="B2683">
        <v>505</v>
      </c>
      <c r="C2683" t="s">
        <v>2426</v>
      </c>
      <c r="D2683" t="s">
        <v>3899</v>
      </c>
      <c r="E2683" t="s">
        <v>2428</v>
      </c>
    </row>
    <row r="2684" spans="1:5" x14ac:dyDescent="0.2">
      <c r="A2684" t="s">
        <v>505</v>
      </c>
      <c r="B2684">
        <v>844</v>
      </c>
      <c r="C2684" t="s">
        <v>2932</v>
      </c>
      <c r="E2684" t="s">
        <v>2933</v>
      </c>
    </row>
    <row r="2685" spans="1:5" x14ac:dyDescent="0.2">
      <c r="A2685" t="s">
        <v>2383</v>
      </c>
      <c r="B2685">
        <v>610</v>
      </c>
      <c r="C2685" t="s">
        <v>2546</v>
      </c>
      <c r="E2685" t="s">
        <v>2618</v>
      </c>
    </row>
    <row r="2686" spans="1:5" x14ac:dyDescent="0.2">
      <c r="A2686" t="s">
        <v>2383</v>
      </c>
      <c r="B2686">
        <v>660</v>
      </c>
      <c r="C2686" t="s">
        <v>3596</v>
      </c>
      <c r="E2686" t="s">
        <v>3597</v>
      </c>
    </row>
    <row r="2687" spans="1:5" x14ac:dyDescent="0.2">
      <c r="A2687" t="s">
        <v>567</v>
      </c>
      <c r="B2687">
        <v>552</v>
      </c>
      <c r="C2687" t="s">
        <v>2424</v>
      </c>
      <c r="D2687" t="s">
        <v>2424</v>
      </c>
      <c r="E2687" t="s">
        <v>2425</v>
      </c>
    </row>
    <row r="2688" spans="1:5" x14ac:dyDescent="0.2">
      <c r="A2688" t="s">
        <v>505</v>
      </c>
      <c r="B2688">
        <v>885</v>
      </c>
      <c r="C2688" t="s">
        <v>3022</v>
      </c>
      <c r="E2688" t="s">
        <v>3023</v>
      </c>
    </row>
    <row r="2689" spans="1:5" x14ac:dyDescent="0.2">
      <c r="A2689" t="s">
        <v>505</v>
      </c>
      <c r="B2689">
        <v>678</v>
      </c>
      <c r="C2689" t="s">
        <v>3657</v>
      </c>
      <c r="E2689" t="s">
        <v>3658</v>
      </c>
    </row>
    <row r="2690" spans="1:5" x14ac:dyDescent="0.2">
      <c r="A2690" t="s">
        <v>413</v>
      </c>
      <c r="B2690">
        <v>690</v>
      </c>
      <c r="C2690" t="s">
        <v>3565</v>
      </c>
      <c r="D2690" t="s">
        <v>3900</v>
      </c>
      <c r="E2690" t="s">
        <v>3566</v>
      </c>
    </row>
    <row r="2691" spans="1:5" x14ac:dyDescent="0.2">
      <c r="A2691" t="s">
        <v>550</v>
      </c>
      <c r="B2691">
        <v>899</v>
      </c>
      <c r="C2691" t="s">
        <v>3901</v>
      </c>
      <c r="E2691" t="s">
        <v>3902</v>
      </c>
    </row>
    <row r="2692" spans="1:5" x14ac:dyDescent="0.2">
      <c r="A2692" t="s">
        <v>550</v>
      </c>
      <c r="B2692">
        <v>695</v>
      </c>
      <c r="C2692" t="s">
        <v>2582</v>
      </c>
      <c r="D2692" t="s">
        <v>3903</v>
      </c>
      <c r="E2692" t="s">
        <v>2584</v>
      </c>
    </row>
    <row r="2693" spans="1:5" x14ac:dyDescent="0.2">
      <c r="A2693" t="s">
        <v>2408</v>
      </c>
      <c r="B2693">
        <v>523</v>
      </c>
      <c r="C2693" t="s">
        <v>2406</v>
      </c>
      <c r="D2693" t="s">
        <v>2406</v>
      </c>
      <c r="E2693" t="s">
        <v>2419</v>
      </c>
    </row>
    <row r="2694" spans="1:5" x14ac:dyDescent="0.2">
      <c r="A2694" t="s">
        <v>2408</v>
      </c>
      <c r="B2694">
        <v>556</v>
      </c>
      <c r="C2694" t="s">
        <v>3904</v>
      </c>
      <c r="E2694" t="s">
        <v>3905</v>
      </c>
    </row>
    <row r="2695" spans="1:5" x14ac:dyDescent="0.2">
      <c r="A2695" t="s">
        <v>505</v>
      </c>
      <c r="B2695">
        <v>648</v>
      </c>
      <c r="C2695" t="s">
        <v>675</v>
      </c>
      <c r="D2695" t="s">
        <v>3906</v>
      </c>
      <c r="E2695" t="s">
        <v>2396</v>
      </c>
    </row>
    <row r="2696" spans="1:5" x14ac:dyDescent="0.2">
      <c r="A2696" t="s">
        <v>505</v>
      </c>
      <c r="B2696">
        <v>505</v>
      </c>
      <c r="C2696" t="s">
        <v>2426</v>
      </c>
      <c r="D2696" t="s">
        <v>3907</v>
      </c>
      <c r="E2696" t="s">
        <v>2428</v>
      </c>
    </row>
    <row r="2697" spans="1:5" x14ac:dyDescent="0.2">
      <c r="A2697" t="s">
        <v>505</v>
      </c>
      <c r="B2697">
        <v>880</v>
      </c>
      <c r="C2697" t="s">
        <v>2934</v>
      </c>
      <c r="E2697" t="s">
        <v>2935</v>
      </c>
    </row>
    <row r="2698" spans="1:5" x14ac:dyDescent="0.2">
      <c r="A2698" t="s">
        <v>2383</v>
      </c>
      <c r="B2698">
        <v>870</v>
      </c>
      <c r="C2698" t="s">
        <v>3046</v>
      </c>
      <c r="D2698" t="s">
        <v>3908</v>
      </c>
      <c r="E2698" t="s">
        <v>3048</v>
      </c>
    </row>
    <row r="2699" spans="1:5" x14ac:dyDescent="0.2">
      <c r="A2699" t="s">
        <v>2408</v>
      </c>
      <c r="B2699">
        <v>538</v>
      </c>
      <c r="C2699" t="s">
        <v>2548</v>
      </c>
      <c r="E2699" t="s">
        <v>2647</v>
      </c>
    </row>
    <row r="2700" spans="1:5" x14ac:dyDescent="0.2">
      <c r="A2700" t="s">
        <v>2383</v>
      </c>
      <c r="B2700">
        <v>616</v>
      </c>
      <c r="C2700" t="s">
        <v>3909</v>
      </c>
      <c r="E2700" t="s">
        <v>3910</v>
      </c>
    </row>
    <row r="2701" spans="1:5" x14ac:dyDescent="0.2">
      <c r="A2701" t="s">
        <v>505</v>
      </c>
      <c r="B2701">
        <v>844</v>
      </c>
      <c r="C2701" t="s">
        <v>2932</v>
      </c>
      <c r="E2701" t="s">
        <v>2933</v>
      </c>
    </row>
    <row r="2702" spans="1:5" x14ac:dyDescent="0.2">
      <c r="A2702" t="s">
        <v>2383</v>
      </c>
      <c r="B2702">
        <v>690</v>
      </c>
      <c r="C2702" t="s">
        <v>3565</v>
      </c>
      <c r="D2702" t="s">
        <v>3911</v>
      </c>
      <c r="E2702" t="s">
        <v>3574</v>
      </c>
    </row>
    <row r="2703" spans="1:5" x14ac:dyDescent="0.2">
      <c r="A2703" t="s">
        <v>2383</v>
      </c>
      <c r="B2703">
        <v>690</v>
      </c>
      <c r="C2703" t="s">
        <v>3565</v>
      </c>
      <c r="D2703" t="s">
        <v>3912</v>
      </c>
      <c r="E2703" t="s">
        <v>3574</v>
      </c>
    </row>
    <row r="2704" spans="1:5" x14ac:dyDescent="0.2">
      <c r="A2704" t="s">
        <v>2383</v>
      </c>
      <c r="B2704">
        <v>885</v>
      </c>
      <c r="C2704" t="s">
        <v>3612</v>
      </c>
      <c r="D2704" t="s">
        <v>3913</v>
      </c>
      <c r="E2704" t="s">
        <v>3613</v>
      </c>
    </row>
    <row r="2705" spans="1:5" x14ac:dyDescent="0.2">
      <c r="A2705" t="s">
        <v>2383</v>
      </c>
      <c r="B2705">
        <v>541</v>
      </c>
      <c r="C2705" t="s">
        <v>2404</v>
      </c>
      <c r="E2705" t="s">
        <v>2502</v>
      </c>
    </row>
    <row r="2706" spans="1:5" x14ac:dyDescent="0.2">
      <c r="A2706" t="s">
        <v>413</v>
      </c>
      <c r="B2706">
        <v>674</v>
      </c>
      <c r="C2706" t="s">
        <v>2381</v>
      </c>
      <c r="E2706" t="s">
        <v>2382</v>
      </c>
    </row>
    <row r="2707" spans="1:5" x14ac:dyDescent="0.2">
      <c r="A2707" t="s">
        <v>539</v>
      </c>
      <c r="B2707">
        <v>538</v>
      </c>
      <c r="C2707" t="s">
        <v>2517</v>
      </c>
      <c r="E2707" t="s">
        <v>2518</v>
      </c>
    </row>
    <row r="2708" spans="1:5" x14ac:dyDescent="0.2">
      <c r="A2708" t="s">
        <v>650</v>
      </c>
      <c r="B2708">
        <v>885</v>
      </c>
      <c r="C2708" t="s">
        <v>2386</v>
      </c>
      <c r="D2708" t="s">
        <v>3914</v>
      </c>
      <c r="E2708" t="s">
        <v>3027</v>
      </c>
    </row>
    <row r="2709" spans="1:5" x14ac:dyDescent="0.2">
      <c r="A2709" t="s">
        <v>505</v>
      </c>
      <c r="B2709">
        <v>505</v>
      </c>
      <c r="C2709" t="s">
        <v>2426</v>
      </c>
      <c r="D2709" t="s">
        <v>3915</v>
      </c>
      <c r="E2709" t="s">
        <v>2428</v>
      </c>
    </row>
    <row r="2710" spans="1:5" x14ac:dyDescent="0.2">
      <c r="A2710" t="s">
        <v>650</v>
      </c>
      <c r="B2710">
        <v>885</v>
      </c>
      <c r="C2710" t="s">
        <v>2386</v>
      </c>
      <c r="D2710" t="s">
        <v>3916</v>
      </c>
      <c r="E2710" t="s">
        <v>3027</v>
      </c>
    </row>
    <row r="2711" spans="1:5" x14ac:dyDescent="0.2">
      <c r="A2711" t="s">
        <v>2383</v>
      </c>
      <c r="B2711">
        <v>870</v>
      </c>
      <c r="C2711" t="s">
        <v>3046</v>
      </c>
      <c r="D2711" t="s">
        <v>3917</v>
      </c>
      <c r="E2711" t="s">
        <v>3048</v>
      </c>
    </row>
    <row r="2712" spans="1:5" x14ac:dyDescent="0.2">
      <c r="A2712" t="s">
        <v>2383</v>
      </c>
      <c r="B2712">
        <v>870</v>
      </c>
      <c r="C2712" t="s">
        <v>3046</v>
      </c>
      <c r="D2712" t="s">
        <v>3918</v>
      </c>
      <c r="E2712" t="s">
        <v>3048</v>
      </c>
    </row>
    <row r="2713" spans="1:5" x14ac:dyDescent="0.2">
      <c r="A2713" t="s">
        <v>550</v>
      </c>
      <c r="B2713">
        <v>897</v>
      </c>
      <c r="C2713" t="s">
        <v>3565</v>
      </c>
      <c r="D2713" t="s">
        <v>3919</v>
      </c>
      <c r="E2713" t="s">
        <v>3808</v>
      </c>
    </row>
    <row r="2714" spans="1:5" x14ac:dyDescent="0.2">
      <c r="A2714" t="s">
        <v>539</v>
      </c>
      <c r="B2714">
        <v>536</v>
      </c>
      <c r="C2714" t="s">
        <v>2639</v>
      </c>
      <c r="E2714" t="s">
        <v>2640</v>
      </c>
    </row>
    <row r="2715" spans="1:5" x14ac:dyDescent="0.2">
      <c r="A2715" t="s">
        <v>505</v>
      </c>
      <c r="B2715">
        <v>844</v>
      </c>
      <c r="C2715" t="s">
        <v>2932</v>
      </c>
      <c r="D2715" t="s">
        <v>2932</v>
      </c>
      <c r="E2715" t="s">
        <v>2933</v>
      </c>
    </row>
    <row r="2716" spans="1:5" x14ac:dyDescent="0.2">
      <c r="A2716" t="s">
        <v>2408</v>
      </c>
      <c r="B2716">
        <v>632</v>
      </c>
      <c r="C2716" t="s">
        <v>2768</v>
      </c>
      <c r="D2716" t="s">
        <v>3920</v>
      </c>
      <c r="E2716" t="s">
        <v>2769</v>
      </c>
    </row>
    <row r="2717" spans="1:5" x14ac:dyDescent="0.2">
      <c r="A2717" t="s">
        <v>650</v>
      </c>
      <c r="B2717">
        <v>550</v>
      </c>
      <c r="C2717" t="s">
        <v>2784</v>
      </c>
      <c r="E2717" t="s">
        <v>2785</v>
      </c>
    </row>
    <row r="2718" spans="1:5" x14ac:dyDescent="0.2">
      <c r="A2718" t="s">
        <v>413</v>
      </c>
      <c r="B2718">
        <v>690</v>
      </c>
      <c r="C2718" t="s">
        <v>3565</v>
      </c>
      <c r="D2718" t="s">
        <v>3900</v>
      </c>
      <c r="E2718" t="s">
        <v>3566</v>
      </c>
    </row>
    <row r="2719" spans="1:5" x14ac:dyDescent="0.2">
      <c r="A2719" t="s">
        <v>550</v>
      </c>
      <c r="B2719">
        <v>899</v>
      </c>
      <c r="C2719" t="s">
        <v>3901</v>
      </c>
      <c r="E2719" t="s">
        <v>3902</v>
      </c>
    </row>
    <row r="2720" spans="1:5" x14ac:dyDescent="0.2">
      <c r="A2720" t="s">
        <v>650</v>
      </c>
      <c r="B2720">
        <v>940</v>
      </c>
      <c r="C2720" t="s">
        <v>2946</v>
      </c>
      <c r="D2720" t="s">
        <v>2946</v>
      </c>
      <c r="E2720" t="s">
        <v>2947</v>
      </c>
    </row>
    <row r="2721" spans="1:5" x14ac:dyDescent="0.2">
      <c r="A2721" t="s">
        <v>539</v>
      </c>
      <c r="B2721">
        <v>885</v>
      </c>
      <c r="C2721" t="s">
        <v>2389</v>
      </c>
      <c r="D2721" t="s">
        <v>3921</v>
      </c>
      <c r="E2721" t="s">
        <v>2391</v>
      </c>
    </row>
    <row r="2722" spans="1:5" x14ac:dyDescent="0.2">
      <c r="A2722" t="s">
        <v>2383</v>
      </c>
      <c r="B2722">
        <v>690</v>
      </c>
      <c r="C2722" t="s">
        <v>3565</v>
      </c>
      <c r="D2722" t="s">
        <v>3922</v>
      </c>
      <c r="E2722" t="s">
        <v>3574</v>
      </c>
    </row>
    <row r="2723" spans="1:5" x14ac:dyDescent="0.2">
      <c r="A2723" t="s">
        <v>2383</v>
      </c>
      <c r="B2723">
        <v>870</v>
      </c>
      <c r="C2723" t="s">
        <v>3046</v>
      </c>
      <c r="D2723" t="s">
        <v>3923</v>
      </c>
      <c r="E2723" t="s">
        <v>3048</v>
      </c>
    </row>
    <row r="2724" spans="1:5" x14ac:dyDescent="0.2">
      <c r="A2724" t="s">
        <v>505</v>
      </c>
      <c r="B2724">
        <v>880</v>
      </c>
      <c r="C2724" t="s">
        <v>2934</v>
      </c>
      <c r="E2724" t="s">
        <v>2935</v>
      </c>
    </row>
    <row r="2725" spans="1:5" x14ac:dyDescent="0.2">
      <c r="A2725" t="s">
        <v>505</v>
      </c>
      <c r="B2725">
        <v>885</v>
      </c>
      <c r="C2725" t="s">
        <v>3022</v>
      </c>
      <c r="E2725" t="s">
        <v>3023</v>
      </c>
    </row>
    <row r="2726" spans="1:5" x14ac:dyDescent="0.2">
      <c r="A2726" t="s">
        <v>567</v>
      </c>
      <c r="B2726">
        <v>566</v>
      </c>
      <c r="C2726" t="s">
        <v>2528</v>
      </c>
      <c r="D2726" t="s">
        <v>2528</v>
      </c>
      <c r="E2726" t="s">
        <v>2529</v>
      </c>
    </row>
    <row r="2727" spans="1:5" x14ac:dyDescent="0.2">
      <c r="A2727" t="s">
        <v>550</v>
      </c>
      <c r="B2727">
        <v>690</v>
      </c>
      <c r="C2727" t="s">
        <v>3565</v>
      </c>
      <c r="D2727" t="s">
        <v>3924</v>
      </c>
      <c r="E2727" t="s">
        <v>3593</v>
      </c>
    </row>
    <row r="2728" spans="1:5" x14ac:dyDescent="0.2">
      <c r="A2728" t="s">
        <v>505</v>
      </c>
      <c r="B2728">
        <v>678</v>
      </c>
      <c r="C2728" t="s">
        <v>3657</v>
      </c>
      <c r="D2728" t="s">
        <v>3657</v>
      </c>
      <c r="E2728" t="s">
        <v>3658</v>
      </c>
    </row>
    <row r="2729" spans="1:5" x14ac:dyDescent="0.2">
      <c r="A2729" t="s">
        <v>650</v>
      </c>
      <c r="B2729">
        <v>649</v>
      </c>
      <c r="C2729" t="s">
        <v>2979</v>
      </c>
      <c r="D2729" t="s">
        <v>2979</v>
      </c>
      <c r="E2729" t="s">
        <v>2980</v>
      </c>
    </row>
    <row r="2730" spans="1:5" x14ac:dyDescent="0.2">
      <c r="A2730" t="s">
        <v>505</v>
      </c>
      <c r="B2730">
        <v>844</v>
      </c>
      <c r="C2730" t="s">
        <v>2932</v>
      </c>
      <c r="E2730" t="s">
        <v>2933</v>
      </c>
    </row>
    <row r="2731" spans="1:5" x14ac:dyDescent="0.2">
      <c r="A2731" t="s">
        <v>2408</v>
      </c>
      <c r="B2731">
        <v>690</v>
      </c>
      <c r="C2731" t="s">
        <v>3561</v>
      </c>
      <c r="D2731" t="s">
        <v>3561</v>
      </c>
      <c r="E2731" t="s">
        <v>3562</v>
      </c>
    </row>
    <row r="2732" spans="1:5" x14ac:dyDescent="0.2">
      <c r="A2732" t="s">
        <v>413</v>
      </c>
      <c r="B2732">
        <v>940</v>
      </c>
      <c r="C2732" t="s">
        <v>2858</v>
      </c>
      <c r="D2732" t="s">
        <v>3300</v>
      </c>
      <c r="E2732" t="s">
        <v>2859</v>
      </c>
    </row>
    <row r="2733" spans="1:5" x14ac:dyDescent="0.2">
      <c r="A2733" t="s">
        <v>505</v>
      </c>
      <c r="B2733">
        <v>505</v>
      </c>
      <c r="C2733" t="s">
        <v>2426</v>
      </c>
      <c r="D2733" t="s">
        <v>3925</v>
      </c>
      <c r="E2733" t="s">
        <v>2428</v>
      </c>
    </row>
    <row r="2734" spans="1:5" x14ac:dyDescent="0.2">
      <c r="A2734" t="s">
        <v>2383</v>
      </c>
      <c r="B2734">
        <v>605</v>
      </c>
      <c r="C2734" t="s">
        <v>2910</v>
      </c>
      <c r="E2734" t="s">
        <v>2911</v>
      </c>
    </row>
    <row r="2735" spans="1:5" x14ac:dyDescent="0.2">
      <c r="A2735" t="s">
        <v>550</v>
      </c>
      <c r="B2735">
        <v>690</v>
      </c>
      <c r="C2735" t="s">
        <v>3565</v>
      </c>
      <c r="D2735" t="s">
        <v>3926</v>
      </c>
      <c r="E2735" t="s">
        <v>3593</v>
      </c>
    </row>
    <row r="2736" spans="1:5" x14ac:dyDescent="0.2">
      <c r="A2736" t="s">
        <v>567</v>
      </c>
      <c r="B2736">
        <v>690</v>
      </c>
      <c r="C2736" t="s">
        <v>3565</v>
      </c>
      <c r="D2736" t="s">
        <v>3927</v>
      </c>
      <c r="E2736" t="s">
        <v>3582</v>
      </c>
    </row>
    <row r="2737" spans="1:5" x14ac:dyDescent="0.2">
      <c r="A2737" t="s">
        <v>550</v>
      </c>
      <c r="B2737">
        <v>897</v>
      </c>
      <c r="C2737" t="s">
        <v>3565</v>
      </c>
      <c r="D2737" t="s">
        <v>3928</v>
      </c>
      <c r="E2737" t="s">
        <v>3808</v>
      </c>
    </row>
    <row r="2738" spans="1:5" x14ac:dyDescent="0.2">
      <c r="A2738" t="s">
        <v>650</v>
      </c>
      <c r="B2738">
        <v>885</v>
      </c>
      <c r="C2738" t="s">
        <v>2386</v>
      </c>
      <c r="D2738" t="s">
        <v>3914</v>
      </c>
      <c r="E2738" t="s">
        <v>3027</v>
      </c>
    </row>
    <row r="2739" spans="1:5" x14ac:dyDescent="0.2">
      <c r="A2739" t="s">
        <v>505</v>
      </c>
      <c r="B2739">
        <v>505</v>
      </c>
      <c r="C2739" t="s">
        <v>2426</v>
      </c>
      <c r="D2739" t="s">
        <v>3929</v>
      </c>
      <c r="E2739" t="s">
        <v>2428</v>
      </c>
    </row>
    <row r="2740" spans="1:5" x14ac:dyDescent="0.2">
      <c r="A2740" t="s">
        <v>505</v>
      </c>
      <c r="B2740">
        <v>888</v>
      </c>
      <c r="C2740" t="s">
        <v>2936</v>
      </c>
      <c r="E2740" t="s">
        <v>2937</v>
      </c>
    </row>
    <row r="2741" spans="1:5" x14ac:dyDescent="0.2">
      <c r="A2741" t="s">
        <v>2408</v>
      </c>
      <c r="B2741">
        <v>541</v>
      </c>
      <c r="C2741" t="s">
        <v>2693</v>
      </c>
      <c r="E2741" t="s">
        <v>3930</v>
      </c>
    </row>
    <row r="2742" spans="1:5" x14ac:dyDescent="0.2">
      <c r="A2742" t="s">
        <v>650</v>
      </c>
      <c r="B2742">
        <v>550</v>
      </c>
      <c r="C2742" t="s">
        <v>2784</v>
      </c>
      <c r="E2742" t="s">
        <v>2785</v>
      </c>
    </row>
    <row r="2743" spans="1:5" x14ac:dyDescent="0.2">
      <c r="A2743" t="s">
        <v>2408</v>
      </c>
      <c r="B2743">
        <v>539</v>
      </c>
      <c r="C2743" t="s">
        <v>2420</v>
      </c>
      <c r="D2743" t="s">
        <v>2436</v>
      </c>
      <c r="E2743" t="s">
        <v>2421</v>
      </c>
    </row>
    <row r="2744" spans="1:5" x14ac:dyDescent="0.2">
      <c r="A2744" t="s">
        <v>413</v>
      </c>
      <c r="B2744">
        <v>690</v>
      </c>
      <c r="C2744" t="s">
        <v>3565</v>
      </c>
      <c r="D2744" t="s">
        <v>3931</v>
      </c>
      <c r="E2744" t="s">
        <v>3566</v>
      </c>
    </row>
    <row r="2745" spans="1:5" x14ac:dyDescent="0.2">
      <c r="A2745" t="s">
        <v>505</v>
      </c>
      <c r="B2745">
        <v>505</v>
      </c>
      <c r="C2745" t="s">
        <v>2426</v>
      </c>
      <c r="D2745" t="s">
        <v>3932</v>
      </c>
      <c r="E2745" t="s">
        <v>2428</v>
      </c>
    </row>
    <row r="2746" spans="1:5" x14ac:dyDescent="0.2">
      <c r="A2746" t="s">
        <v>2408</v>
      </c>
      <c r="B2746">
        <v>567</v>
      </c>
      <c r="C2746" t="s">
        <v>2740</v>
      </c>
      <c r="D2746" t="s">
        <v>2740</v>
      </c>
      <c r="E2746" t="s">
        <v>2741</v>
      </c>
    </row>
    <row r="2747" spans="1:5" x14ac:dyDescent="0.2">
      <c r="A2747" t="s">
        <v>505</v>
      </c>
      <c r="B2747">
        <v>501</v>
      </c>
      <c r="C2747" t="s">
        <v>3933</v>
      </c>
      <c r="E2747" t="s">
        <v>3934</v>
      </c>
    </row>
    <row r="2748" spans="1:5" x14ac:dyDescent="0.2">
      <c r="A2748" t="s">
        <v>2383</v>
      </c>
      <c r="B2748">
        <v>503</v>
      </c>
      <c r="C2748" t="s">
        <v>2433</v>
      </c>
      <c r="E2748" t="s">
        <v>2491</v>
      </c>
    </row>
    <row r="2749" spans="1:5" x14ac:dyDescent="0.2">
      <c r="A2749" t="s">
        <v>650</v>
      </c>
      <c r="B2749">
        <v>897</v>
      </c>
      <c r="C2749" t="s">
        <v>3565</v>
      </c>
      <c r="D2749" t="s">
        <v>3935</v>
      </c>
      <c r="E2749" t="s">
        <v>3825</v>
      </c>
    </row>
    <row r="2750" spans="1:5" x14ac:dyDescent="0.2">
      <c r="A2750" t="s">
        <v>650</v>
      </c>
      <c r="B2750">
        <v>897</v>
      </c>
      <c r="C2750" t="s">
        <v>3565</v>
      </c>
      <c r="D2750" t="s">
        <v>3936</v>
      </c>
      <c r="E2750" t="s">
        <v>3825</v>
      </c>
    </row>
    <row r="2751" spans="1:5" x14ac:dyDescent="0.2">
      <c r="A2751" t="s">
        <v>505</v>
      </c>
      <c r="B2751">
        <v>695</v>
      </c>
      <c r="C2751" t="s">
        <v>2669</v>
      </c>
      <c r="E2751" t="s">
        <v>2670</v>
      </c>
    </row>
    <row r="2752" spans="1:5" x14ac:dyDescent="0.2">
      <c r="A2752" t="s">
        <v>650</v>
      </c>
      <c r="B2752">
        <v>622</v>
      </c>
      <c r="C2752" t="s">
        <v>3937</v>
      </c>
      <c r="E2752" t="s">
        <v>3938</v>
      </c>
    </row>
    <row r="2753" spans="1:5" x14ac:dyDescent="0.2">
      <c r="A2753" t="s">
        <v>505</v>
      </c>
      <c r="B2753">
        <v>990</v>
      </c>
      <c r="C2753" t="s">
        <v>3495</v>
      </c>
      <c r="E2753" t="s">
        <v>3496</v>
      </c>
    </row>
    <row r="2754" spans="1:5" x14ac:dyDescent="0.2">
      <c r="A2754" t="s">
        <v>2383</v>
      </c>
      <c r="B2754">
        <v>543</v>
      </c>
      <c r="C2754" t="s">
        <v>3939</v>
      </c>
      <c r="E2754" t="s">
        <v>3940</v>
      </c>
    </row>
    <row r="2755" spans="1:5" x14ac:dyDescent="0.2">
      <c r="A2755" t="s">
        <v>505</v>
      </c>
      <c r="B2755">
        <v>898</v>
      </c>
      <c r="C2755" t="s">
        <v>3631</v>
      </c>
      <c r="E2755" t="s">
        <v>3632</v>
      </c>
    </row>
    <row r="2756" spans="1:5" x14ac:dyDescent="0.2">
      <c r="A2756" t="s">
        <v>2408</v>
      </c>
      <c r="B2756">
        <v>641</v>
      </c>
      <c r="C2756" t="s">
        <v>3620</v>
      </c>
      <c r="D2756" t="s">
        <v>3620</v>
      </c>
      <c r="E2756" t="s">
        <v>3621</v>
      </c>
    </row>
    <row r="2757" spans="1:5" x14ac:dyDescent="0.2">
      <c r="A2757" t="s">
        <v>650</v>
      </c>
      <c r="B2757">
        <v>616</v>
      </c>
      <c r="C2757" t="s">
        <v>2578</v>
      </c>
      <c r="E2757" t="s">
        <v>2579</v>
      </c>
    </row>
    <row r="2758" spans="1:5" x14ac:dyDescent="0.2">
      <c r="A2758" t="s">
        <v>505</v>
      </c>
      <c r="B2758">
        <v>505</v>
      </c>
      <c r="C2758" t="s">
        <v>2426</v>
      </c>
      <c r="D2758" t="s">
        <v>3941</v>
      </c>
      <c r="E2758" t="s">
        <v>2428</v>
      </c>
    </row>
    <row r="2759" spans="1:5" x14ac:dyDescent="0.2">
      <c r="A2759" t="s">
        <v>413</v>
      </c>
      <c r="B2759">
        <v>574</v>
      </c>
      <c r="C2759" t="s">
        <v>2566</v>
      </c>
      <c r="E2759" t="s">
        <v>2567</v>
      </c>
    </row>
    <row r="2760" spans="1:5" x14ac:dyDescent="0.2">
      <c r="A2760" t="s">
        <v>567</v>
      </c>
      <c r="B2760">
        <v>546</v>
      </c>
      <c r="C2760" t="s">
        <v>2442</v>
      </c>
      <c r="D2760" t="s">
        <v>2442</v>
      </c>
      <c r="E2760" t="s">
        <v>2443</v>
      </c>
    </row>
    <row r="2761" spans="1:5" x14ac:dyDescent="0.2">
      <c r="A2761" t="s">
        <v>2383</v>
      </c>
      <c r="B2761">
        <v>870</v>
      </c>
      <c r="C2761" t="s">
        <v>3046</v>
      </c>
      <c r="D2761" t="s">
        <v>3942</v>
      </c>
      <c r="E2761" t="s">
        <v>3048</v>
      </c>
    </row>
    <row r="2762" spans="1:5" x14ac:dyDescent="0.2">
      <c r="A2762" t="s">
        <v>567</v>
      </c>
      <c r="B2762">
        <v>885</v>
      </c>
      <c r="C2762" t="s">
        <v>3013</v>
      </c>
      <c r="D2762" t="s">
        <v>3943</v>
      </c>
      <c r="E2762" t="s">
        <v>3093</v>
      </c>
    </row>
    <row r="2763" spans="1:5" x14ac:dyDescent="0.2">
      <c r="A2763" t="s">
        <v>2383</v>
      </c>
      <c r="B2763">
        <v>870</v>
      </c>
      <c r="C2763" t="s">
        <v>3046</v>
      </c>
      <c r="D2763" t="s">
        <v>3944</v>
      </c>
      <c r="E2763" t="s">
        <v>3048</v>
      </c>
    </row>
    <row r="2764" spans="1:5" x14ac:dyDescent="0.2">
      <c r="A2764" t="s">
        <v>413</v>
      </c>
      <c r="B2764">
        <v>690</v>
      </c>
      <c r="C2764" t="s">
        <v>3565</v>
      </c>
      <c r="D2764" t="s">
        <v>3945</v>
      </c>
      <c r="E2764" t="s">
        <v>3566</v>
      </c>
    </row>
    <row r="2765" spans="1:5" x14ac:dyDescent="0.2">
      <c r="A2765" t="s">
        <v>567</v>
      </c>
      <c r="B2765">
        <v>565</v>
      </c>
      <c r="C2765" t="s">
        <v>2971</v>
      </c>
      <c r="E2765" t="s">
        <v>2896</v>
      </c>
    </row>
    <row r="2766" spans="1:5" x14ac:dyDescent="0.2">
      <c r="A2766" t="s">
        <v>567</v>
      </c>
      <c r="B2766">
        <v>556</v>
      </c>
      <c r="C2766" t="s">
        <v>2536</v>
      </c>
      <c r="D2766" t="s">
        <v>2562</v>
      </c>
      <c r="E2766" t="s">
        <v>2537</v>
      </c>
    </row>
    <row r="2767" spans="1:5" x14ac:dyDescent="0.2">
      <c r="A2767" t="s">
        <v>550</v>
      </c>
      <c r="B2767">
        <v>690</v>
      </c>
      <c r="C2767" t="s">
        <v>3565</v>
      </c>
      <c r="D2767" t="s">
        <v>3946</v>
      </c>
      <c r="E2767" t="s">
        <v>3593</v>
      </c>
    </row>
    <row r="2768" spans="1:5" x14ac:dyDescent="0.2">
      <c r="A2768" t="s">
        <v>2383</v>
      </c>
      <c r="B2768">
        <v>676</v>
      </c>
      <c r="C2768" t="s">
        <v>2386</v>
      </c>
      <c r="D2768" t="s">
        <v>3947</v>
      </c>
      <c r="E2768" t="s">
        <v>2388</v>
      </c>
    </row>
    <row r="2769" spans="1:5" x14ac:dyDescent="0.2">
      <c r="A2769" t="s">
        <v>567</v>
      </c>
      <c r="B2769">
        <v>690</v>
      </c>
      <c r="C2769" t="s">
        <v>3565</v>
      </c>
      <c r="D2769" t="s">
        <v>3948</v>
      </c>
      <c r="E2769" t="s">
        <v>3582</v>
      </c>
    </row>
    <row r="2770" spans="1:5" x14ac:dyDescent="0.2">
      <c r="A2770" t="s">
        <v>2408</v>
      </c>
      <c r="B2770">
        <v>541</v>
      </c>
      <c r="C2770" t="s">
        <v>2693</v>
      </c>
      <c r="D2770" t="s">
        <v>2693</v>
      </c>
      <c r="E2770" t="s">
        <v>3930</v>
      </c>
    </row>
    <row r="2771" spans="1:5" x14ac:dyDescent="0.2">
      <c r="A2771" t="s">
        <v>2383</v>
      </c>
      <c r="B2771">
        <v>616</v>
      </c>
      <c r="C2771" t="s">
        <v>3909</v>
      </c>
      <c r="D2771" t="s">
        <v>3909</v>
      </c>
      <c r="E2771" t="s">
        <v>3910</v>
      </c>
    </row>
    <row r="2772" spans="1:5" x14ac:dyDescent="0.2">
      <c r="A2772" t="s">
        <v>413</v>
      </c>
      <c r="B2772">
        <v>628</v>
      </c>
      <c r="C2772" t="s">
        <v>2677</v>
      </c>
      <c r="D2772" t="s">
        <v>2677</v>
      </c>
      <c r="E2772" t="s">
        <v>2678</v>
      </c>
    </row>
    <row r="2773" spans="1:5" x14ac:dyDescent="0.2">
      <c r="A2773" t="s">
        <v>2408</v>
      </c>
      <c r="B2773">
        <v>601</v>
      </c>
      <c r="C2773" t="s">
        <v>3255</v>
      </c>
      <c r="E2773" t="s">
        <v>3949</v>
      </c>
    </row>
    <row r="2774" spans="1:5" x14ac:dyDescent="0.2">
      <c r="A2774" t="s">
        <v>2383</v>
      </c>
      <c r="B2774">
        <v>605</v>
      </c>
      <c r="C2774" t="s">
        <v>2910</v>
      </c>
      <c r="D2774" t="s">
        <v>3950</v>
      </c>
      <c r="E2774" t="s">
        <v>2911</v>
      </c>
    </row>
    <row r="2775" spans="1:5" x14ac:dyDescent="0.2">
      <c r="A2775" t="s">
        <v>2408</v>
      </c>
      <c r="B2775">
        <v>637</v>
      </c>
      <c r="C2775" t="s">
        <v>2498</v>
      </c>
      <c r="E2775" t="s">
        <v>2499</v>
      </c>
    </row>
    <row r="2776" spans="1:5" x14ac:dyDescent="0.2">
      <c r="A2776" t="s">
        <v>2383</v>
      </c>
      <c r="B2776">
        <v>660</v>
      </c>
      <c r="C2776" t="s">
        <v>3596</v>
      </c>
      <c r="E2776" t="s">
        <v>3597</v>
      </c>
    </row>
    <row r="2777" spans="1:5" x14ac:dyDescent="0.2">
      <c r="A2777" t="s">
        <v>550</v>
      </c>
      <c r="B2777">
        <v>546</v>
      </c>
      <c r="C2777" t="s">
        <v>2504</v>
      </c>
      <c r="E2777" t="s">
        <v>2505</v>
      </c>
    </row>
    <row r="2778" spans="1:5" x14ac:dyDescent="0.2">
      <c r="A2778" t="s">
        <v>413</v>
      </c>
      <c r="B2778">
        <v>674</v>
      </c>
      <c r="C2778" t="s">
        <v>2381</v>
      </c>
      <c r="E2778" t="s">
        <v>2382</v>
      </c>
    </row>
    <row r="2779" spans="1:5" x14ac:dyDescent="0.2">
      <c r="A2779" t="s">
        <v>505</v>
      </c>
      <c r="B2779">
        <v>530</v>
      </c>
      <c r="C2779" t="s">
        <v>2511</v>
      </c>
      <c r="E2779" t="s">
        <v>2512</v>
      </c>
    </row>
    <row r="2780" spans="1:5" x14ac:dyDescent="0.2">
      <c r="A2780" t="s">
        <v>650</v>
      </c>
      <c r="B2780">
        <v>964</v>
      </c>
      <c r="C2780" t="s">
        <v>2620</v>
      </c>
      <c r="E2780" t="s">
        <v>2909</v>
      </c>
    </row>
    <row r="2781" spans="1:5" x14ac:dyDescent="0.2">
      <c r="A2781" t="s">
        <v>2408</v>
      </c>
      <c r="B2781">
        <v>623</v>
      </c>
      <c r="C2781" t="s">
        <v>2542</v>
      </c>
      <c r="E2781" t="s">
        <v>2543</v>
      </c>
    </row>
    <row r="2782" spans="1:5" x14ac:dyDescent="0.2">
      <c r="A2782" t="s">
        <v>505</v>
      </c>
      <c r="B2782">
        <v>885</v>
      </c>
      <c r="C2782" t="s">
        <v>3022</v>
      </c>
      <c r="D2782" t="s">
        <v>3022</v>
      </c>
      <c r="E2782" t="s">
        <v>3023</v>
      </c>
    </row>
    <row r="2783" spans="1:5" x14ac:dyDescent="0.2">
      <c r="A2783" t="s">
        <v>505</v>
      </c>
      <c r="B2783">
        <v>680</v>
      </c>
      <c r="C2783" t="s">
        <v>2564</v>
      </c>
      <c r="E2783" t="s">
        <v>2565</v>
      </c>
    </row>
    <row r="2784" spans="1:5" x14ac:dyDescent="0.2">
      <c r="A2784" t="s">
        <v>505</v>
      </c>
      <c r="B2784">
        <v>695</v>
      </c>
      <c r="C2784" t="s">
        <v>2669</v>
      </c>
      <c r="E2784" t="s">
        <v>2670</v>
      </c>
    </row>
    <row r="2785" spans="1:5" x14ac:dyDescent="0.2">
      <c r="A2785" t="s">
        <v>505</v>
      </c>
      <c r="B2785">
        <v>680</v>
      </c>
      <c r="C2785" t="s">
        <v>2564</v>
      </c>
      <c r="E2785" t="s">
        <v>2565</v>
      </c>
    </row>
    <row r="2786" spans="1:5" x14ac:dyDescent="0.2">
      <c r="A2786" t="s">
        <v>505</v>
      </c>
      <c r="B2786">
        <v>688</v>
      </c>
      <c r="C2786" t="s">
        <v>2586</v>
      </c>
      <c r="E2786" t="s">
        <v>2587</v>
      </c>
    </row>
    <row r="2787" spans="1:5" x14ac:dyDescent="0.2">
      <c r="A2787" t="s">
        <v>505</v>
      </c>
      <c r="B2787">
        <v>695</v>
      </c>
      <c r="C2787" t="s">
        <v>2669</v>
      </c>
      <c r="E2787" t="s">
        <v>2670</v>
      </c>
    </row>
    <row r="2788" spans="1:5" x14ac:dyDescent="0.2">
      <c r="A2788" t="s">
        <v>505</v>
      </c>
      <c r="B2788">
        <v>697</v>
      </c>
      <c r="C2788" t="s">
        <v>2671</v>
      </c>
      <c r="E2788" t="s">
        <v>2672</v>
      </c>
    </row>
    <row r="2789" spans="1:5" x14ac:dyDescent="0.2">
      <c r="A2789" t="s">
        <v>650</v>
      </c>
      <c r="B2789">
        <v>649</v>
      </c>
      <c r="C2789" t="s">
        <v>2979</v>
      </c>
      <c r="D2789" t="s">
        <v>3734</v>
      </c>
      <c r="E2789" t="s">
        <v>2980</v>
      </c>
    </row>
    <row r="2790" spans="1:5" x14ac:dyDescent="0.2">
      <c r="A2790" t="s">
        <v>539</v>
      </c>
      <c r="B2790">
        <v>536</v>
      </c>
      <c r="C2790" t="s">
        <v>2658</v>
      </c>
      <c r="D2790" t="s">
        <v>2658</v>
      </c>
      <c r="E2790" t="s">
        <v>2640</v>
      </c>
    </row>
    <row r="2791" spans="1:5" x14ac:dyDescent="0.2">
      <c r="A2791" t="s">
        <v>505</v>
      </c>
      <c r="B2791">
        <v>697</v>
      </c>
      <c r="C2791" t="s">
        <v>2671</v>
      </c>
      <c r="E2791" t="s">
        <v>2672</v>
      </c>
    </row>
    <row r="2792" spans="1:5" x14ac:dyDescent="0.2">
      <c r="A2792" t="s">
        <v>2408</v>
      </c>
      <c r="B2792">
        <v>516</v>
      </c>
      <c r="C2792" t="s">
        <v>2461</v>
      </c>
      <c r="E2792" t="s">
        <v>2462</v>
      </c>
    </row>
    <row r="2793" spans="1:5" x14ac:dyDescent="0.2">
      <c r="A2793" t="s">
        <v>539</v>
      </c>
      <c r="B2793">
        <v>567</v>
      </c>
      <c r="C2793" t="s">
        <v>2417</v>
      </c>
      <c r="E2793" t="s">
        <v>2418</v>
      </c>
    </row>
    <row r="2794" spans="1:5" x14ac:dyDescent="0.2">
      <c r="A2794" t="s">
        <v>2408</v>
      </c>
      <c r="B2794">
        <v>539</v>
      </c>
      <c r="C2794" t="s">
        <v>2420</v>
      </c>
      <c r="D2794" t="s">
        <v>2436</v>
      </c>
      <c r="E2794" t="s">
        <v>2421</v>
      </c>
    </row>
    <row r="2795" spans="1:5" x14ac:dyDescent="0.2">
      <c r="A2795" t="s">
        <v>413</v>
      </c>
      <c r="B2795">
        <v>624</v>
      </c>
      <c r="C2795" t="s">
        <v>2568</v>
      </c>
      <c r="D2795" t="s">
        <v>2568</v>
      </c>
      <c r="E2795" t="s">
        <v>2569</v>
      </c>
    </row>
    <row r="2796" spans="1:5" x14ac:dyDescent="0.2">
      <c r="A2796" t="s">
        <v>550</v>
      </c>
      <c r="B2796">
        <v>885</v>
      </c>
      <c r="C2796" t="s">
        <v>3013</v>
      </c>
      <c r="D2796" t="s">
        <v>3205</v>
      </c>
      <c r="E2796" t="s">
        <v>3175</v>
      </c>
    </row>
    <row r="2797" spans="1:5" x14ac:dyDescent="0.2">
      <c r="A2797" t="s">
        <v>2383</v>
      </c>
      <c r="B2797">
        <v>870</v>
      </c>
      <c r="C2797" t="s">
        <v>3046</v>
      </c>
      <c r="D2797" t="s">
        <v>3951</v>
      </c>
      <c r="E2797" t="s">
        <v>3048</v>
      </c>
    </row>
    <row r="2798" spans="1:5" x14ac:dyDescent="0.2">
      <c r="A2798" t="s">
        <v>2383</v>
      </c>
      <c r="B2798">
        <v>870</v>
      </c>
      <c r="C2798" t="s">
        <v>3046</v>
      </c>
      <c r="D2798" t="s">
        <v>3952</v>
      </c>
      <c r="E2798" t="s">
        <v>3048</v>
      </c>
    </row>
    <row r="2799" spans="1:5" x14ac:dyDescent="0.2">
      <c r="A2799" t="s">
        <v>413</v>
      </c>
      <c r="B2799">
        <v>574</v>
      </c>
      <c r="C2799" t="s">
        <v>2566</v>
      </c>
      <c r="D2799" t="s">
        <v>2566</v>
      </c>
      <c r="E2799" t="s">
        <v>2567</v>
      </c>
    </row>
    <row r="2800" spans="1:5" x14ac:dyDescent="0.2">
      <c r="A2800" t="s">
        <v>650</v>
      </c>
      <c r="B2800">
        <v>649</v>
      </c>
      <c r="C2800" t="s">
        <v>2979</v>
      </c>
      <c r="D2800" t="s">
        <v>3369</v>
      </c>
      <c r="E2800" t="s">
        <v>2980</v>
      </c>
    </row>
    <row r="2801" spans="1:5" x14ac:dyDescent="0.2">
      <c r="A2801" t="s">
        <v>567</v>
      </c>
      <c r="B2801">
        <v>556</v>
      </c>
      <c r="C2801" t="s">
        <v>2562</v>
      </c>
      <c r="D2801" t="s">
        <v>2562</v>
      </c>
      <c r="E2801" t="s">
        <v>2537</v>
      </c>
    </row>
    <row r="2802" spans="1:5" x14ac:dyDescent="0.2">
      <c r="A2802" t="s">
        <v>413</v>
      </c>
      <c r="B2802">
        <v>940</v>
      </c>
      <c r="C2802" t="s">
        <v>2858</v>
      </c>
      <c r="E2802" t="s">
        <v>2859</v>
      </c>
    </row>
    <row r="2803" spans="1:5" x14ac:dyDescent="0.2">
      <c r="A2803" t="s">
        <v>650</v>
      </c>
      <c r="B2803">
        <v>940</v>
      </c>
      <c r="C2803" t="s">
        <v>2946</v>
      </c>
      <c r="D2803" t="s">
        <v>3953</v>
      </c>
      <c r="E2803" t="s">
        <v>2947</v>
      </c>
    </row>
    <row r="2804" spans="1:5" x14ac:dyDescent="0.2">
      <c r="A2804" t="s">
        <v>505</v>
      </c>
      <c r="B2804">
        <v>688</v>
      </c>
      <c r="C2804" t="s">
        <v>2586</v>
      </c>
      <c r="E2804" t="s">
        <v>2587</v>
      </c>
    </row>
    <row r="2805" spans="1:5" x14ac:dyDescent="0.2">
      <c r="A2805" t="s">
        <v>550</v>
      </c>
      <c r="B2805">
        <v>888</v>
      </c>
      <c r="C2805" t="s">
        <v>3221</v>
      </c>
      <c r="E2805" t="s">
        <v>3222</v>
      </c>
    </row>
    <row r="2806" spans="1:5" x14ac:dyDescent="0.2">
      <c r="A2806" t="s">
        <v>650</v>
      </c>
      <c r="B2806">
        <v>940</v>
      </c>
      <c r="C2806" t="s">
        <v>2946</v>
      </c>
      <c r="D2806" t="s">
        <v>3954</v>
      </c>
      <c r="E2806" t="s">
        <v>2947</v>
      </c>
    </row>
    <row r="2807" spans="1:5" x14ac:dyDescent="0.2">
      <c r="A2807" t="s">
        <v>505</v>
      </c>
      <c r="B2807">
        <v>898</v>
      </c>
      <c r="C2807" t="s">
        <v>3631</v>
      </c>
      <c r="E2807" t="s">
        <v>3632</v>
      </c>
    </row>
    <row r="2808" spans="1:5" x14ac:dyDescent="0.2">
      <c r="A2808" t="s">
        <v>505</v>
      </c>
      <c r="B2808">
        <v>990</v>
      </c>
      <c r="C2808" t="s">
        <v>3495</v>
      </c>
      <c r="E2808" t="s">
        <v>3496</v>
      </c>
    </row>
    <row r="2809" spans="1:5" x14ac:dyDescent="0.2">
      <c r="A2809" t="s">
        <v>2383</v>
      </c>
      <c r="B2809">
        <v>870</v>
      </c>
      <c r="C2809" t="s">
        <v>3046</v>
      </c>
      <c r="D2809" t="s">
        <v>3955</v>
      </c>
      <c r="E2809" t="s">
        <v>3048</v>
      </c>
    </row>
    <row r="2810" spans="1:5" x14ac:dyDescent="0.2">
      <c r="A2810" t="s">
        <v>2408</v>
      </c>
      <c r="B2810">
        <v>632</v>
      </c>
      <c r="C2810" t="s">
        <v>2768</v>
      </c>
      <c r="D2810" t="s">
        <v>3956</v>
      </c>
      <c r="E2810" t="s">
        <v>2769</v>
      </c>
    </row>
    <row r="2811" spans="1:5" x14ac:dyDescent="0.2">
      <c r="A2811" t="s">
        <v>2408</v>
      </c>
      <c r="B2811">
        <v>562</v>
      </c>
      <c r="C2811" t="s">
        <v>2907</v>
      </c>
      <c r="E2811" t="s">
        <v>2908</v>
      </c>
    </row>
    <row r="2812" spans="1:5" x14ac:dyDescent="0.2">
      <c r="A2812" t="s">
        <v>2408</v>
      </c>
      <c r="B2812">
        <v>641</v>
      </c>
      <c r="C2812" t="s">
        <v>3620</v>
      </c>
      <c r="E2812" t="s">
        <v>3621</v>
      </c>
    </row>
    <row r="2813" spans="1:5" x14ac:dyDescent="0.2">
      <c r="A2813" t="s">
        <v>2408</v>
      </c>
      <c r="B2813">
        <v>557</v>
      </c>
      <c r="C2813" t="s">
        <v>3214</v>
      </c>
      <c r="E2813" t="s">
        <v>3215</v>
      </c>
    </row>
    <row r="2814" spans="1:5" x14ac:dyDescent="0.2">
      <c r="A2814" t="s">
        <v>2383</v>
      </c>
      <c r="B2814">
        <v>870</v>
      </c>
      <c r="C2814" t="s">
        <v>3046</v>
      </c>
      <c r="D2814" t="s">
        <v>3957</v>
      </c>
      <c r="E2814" t="s">
        <v>3048</v>
      </c>
    </row>
    <row r="2815" spans="1:5" x14ac:dyDescent="0.2">
      <c r="A2815" t="s">
        <v>650</v>
      </c>
      <c r="B2815">
        <v>897</v>
      </c>
      <c r="C2815" t="s">
        <v>3565</v>
      </c>
      <c r="E2815" t="s">
        <v>3825</v>
      </c>
    </row>
    <row r="2816" spans="1:5" x14ac:dyDescent="0.2">
      <c r="A2816" t="s">
        <v>2408</v>
      </c>
      <c r="B2816">
        <v>690</v>
      </c>
      <c r="C2816" t="s">
        <v>3561</v>
      </c>
      <c r="D2816" t="s">
        <v>3958</v>
      </c>
      <c r="E2816" t="s">
        <v>3562</v>
      </c>
    </row>
    <row r="2817" spans="1:5" x14ac:dyDescent="0.2">
      <c r="A2817" t="s">
        <v>2383</v>
      </c>
      <c r="B2817">
        <v>690</v>
      </c>
      <c r="C2817" t="s">
        <v>3565</v>
      </c>
      <c r="D2817" t="s">
        <v>3959</v>
      </c>
      <c r="E2817" t="s">
        <v>3574</v>
      </c>
    </row>
    <row r="2818" spans="1:5" x14ac:dyDescent="0.2">
      <c r="A2818" t="s">
        <v>505</v>
      </c>
      <c r="B2818">
        <v>520</v>
      </c>
      <c r="C2818" t="s">
        <v>2573</v>
      </c>
      <c r="D2818" t="s">
        <v>2573</v>
      </c>
      <c r="E2818" t="s">
        <v>2574</v>
      </c>
    </row>
    <row r="2819" spans="1:5" x14ac:dyDescent="0.2">
      <c r="A2819" t="s">
        <v>2383</v>
      </c>
      <c r="B2819">
        <v>994</v>
      </c>
      <c r="C2819" t="s">
        <v>3960</v>
      </c>
      <c r="E2819" t="s">
        <v>3961</v>
      </c>
    </row>
    <row r="2820" spans="1:5" x14ac:dyDescent="0.2">
      <c r="A2820" t="s">
        <v>2383</v>
      </c>
      <c r="B2820">
        <v>887</v>
      </c>
      <c r="C2820" t="s">
        <v>3677</v>
      </c>
      <c r="E2820" t="s">
        <v>3678</v>
      </c>
    </row>
    <row r="2821" spans="1:5" x14ac:dyDescent="0.2">
      <c r="A2821" t="s">
        <v>650</v>
      </c>
      <c r="B2821">
        <v>605</v>
      </c>
      <c r="C2821" t="s">
        <v>2784</v>
      </c>
      <c r="E2821" t="s">
        <v>3103</v>
      </c>
    </row>
    <row r="2822" spans="1:5" x14ac:dyDescent="0.2">
      <c r="A2822" t="s">
        <v>2408</v>
      </c>
      <c r="B2822">
        <v>690</v>
      </c>
      <c r="C2822" t="s">
        <v>3561</v>
      </c>
      <c r="D2822" t="s">
        <v>3962</v>
      </c>
      <c r="E2822" t="s">
        <v>3562</v>
      </c>
    </row>
    <row r="2823" spans="1:5" x14ac:dyDescent="0.2">
      <c r="A2823" t="s">
        <v>382</v>
      </c>
      <c r="B2823">
        <v>895</v>
      </c>
      <c r="C2823" t="s">
        <v>3565</v>
      </c>
      <c r="E2823" t="s">
        <v>3963</v>
      </c>
    </row>
    <row r="2824" spans="1:5" x14ac:dyDescent="0.2">
      <c r="A2824" t="s">
        <v>382</v>
      </c>
      <c r="B2824">
        <v>895</v>
      </c>
      <c r="C2824" t="s">
        <v>3565</v>
      </c>
      <c r="E2824" t="s">
        <v>3963</v>
      </c>
    </row>
    <row r="2825" spans="1:5" x14ac:dyDescent="0.2">
      <c r="A2825" t="s">
        <v>2408</v>
      </c>
      <c r="B2825">
        <v>660</v>
      </c>
      <c r="C2825" t="s">
        <v>3567</v>
      </c>
      <c r="E2825" t="s">
        <v>3568</v>
      </c>
    </row>
    <row r="2826" spans="1:5" x14ac:dyDescent="0.2">
      <c r="A2826" t="s">
        <v>2383</v>
      </c>
      <c r="B2826">
        <v>880</v>
      </c>
      <c r="C2826" t="s">
        <v>3622</v>
      </c>
      <c r="E2826" t="s">
        <v>3623</v>
      </c>
    </row>
    <row r="2827" spans="1:5" x14ac:dyDescent="0.2">
      <c r="A2827" t="s">
        <v>2383</v>
      </c>
      <c r="B2827">
        <v>676</v>
      </c>
      <c r="C2827" t="s">
        <v>2386</v>
      </c>
      <c r="D2827" t="s">
        <v>2392</v>
      </c>
      <c r="E2827" t="s">
        <v>2388</v>
      </c>
    </row>
    <row r="2828" spans="1:5" x14ac:dyDescent="0.2">
      <c r="A2828" t="s">
        <v>650</v>
      </c>
      <c r="B2828">
        <v>611</v>
      </c>
      <c r="C2828" t="s">
        <v>2610</v>
      </c>
      <c r="D2828" t="s">
        <v>3098</v>
      </c>
      <c r="E2828" t="s">
        <v>2611</v>
      </c>
    </row>
    <row r="2829" spans="1:5" x14ac:dyDescent="0.2">
      <c r="A2829" t="s">
        <v>2383</v>
      </c>
      <c r="B2829">
        <v>690</v>
      </c>
      <c r="C2829" t="s">
        <v>3565</v>
      </c>
      <c r="D2829" t="s">
        <v>3964</v>
      </c>
      <c r="E2829" t="s">
        <v>3574</v>
      </c>
    </row>
    <row r="2830" spans="1:5" x14ac:dyDescent="0.2">
      <c r="A2830" t="s">
        <v>2408</v>
      </c>
      <c r="B2830">
        <v>562</v>
      </c>
      <c r="C2830" t="s">
        <v>2907</v>
      </c>
      <c r="E2830" t="s">
        <v>2908</v>
      </c>
    </row>
    <row r="2831" spans="1:5" x14ac:dyDescent="0.2">
      <c r="A2831" t="s">
        <v>567</v>
      </c>
      <c r="B2831">
        <v>500</v>
      </c>
      <c r="C2831" t="s">
        <v>3090</v>
      </c>
      <c r="E2831" t="s">
        <v>3091</v>
      </c>
    </row>
    <row r="2832" spans="1:5" x14ac:dyDescent="0.2">
      <c r="A2832" t="s">
        <v>505</v>
      </c>
      <c r="B2832">
        <v>898</v>
      </c>
      <c r="C2832" t="s">
        <v>3631</v>
      </c>
      <c r="D2832" t="s">
        <v>3631</v>
      </c>
      <c r="E2832" t="s">
        <v>3632</v>
      </c>
    </row>
    <row r="2833" spans="1:5" x14ac:dyDescent="0.2">
      <c r="A2833" t="s">
        <v>505</v>
      </c>
      <c r="B2833">
        <v>990</v>
      </c>
      <c r="C2833" t="s">
        <v>3495</v>
      </c>
      <c r="D2833" t="s">
        <v>3495</v>
      </c>
      <c r="E2833" t="s">
        <v>3496</v>
      </c>
    </row>
    <row r="2834" spans="1:5" x14ac:dyDescent="0.2">
      <c r="A2834" t="s">
        <v>413</v>
      </c>
      <c r="B2834">
        <v>892</v>
      </c>
      <c r="C2834" t="s">
        <v>3965</v>
      </c>
      <c r="E2834" t="s">
        <v>3786</v>
      </c>
    </row>
    <row r="2835" spans="1:5" x14ac:dyDescent="0.2">
      <c r="A2835" t="s">
        <v>2408</v>
      </c>
      <c r="B2835">
        <v>602</v>
      </c>
      <c r="C2835" t="s">
        <v>3245</v>
      </c>
      <c r="E2835" t="s">
        <v>3966</v>
      </c>
    </row>
    <row r="2836" spans="1:5" x14ac:dyDescent="0.2">
      <c r="A2836" t="s">
        <v>382</v>
      </c>
      <c r="B2836">
        <v>630</v>
      </c>
      <c r="C2836" t="s">
        <v>3653</v>
      </c>
      <c r="E2836" t="s">
        <v>3654</v>
      </c>
    </row>
    <row r="2837" spans="1:5" x14ac:dyDescent="0.2">
      <c r="A2837" t="s">
        <v>2408</v>
      </c>
      <c r="B2837">
        <v>690</v>
      </c>
      <c r="C2837" t="s">
        <v>3561</v>
      </c>
      <c r="D2837" t="s">
        <v>3967</v>
      </c>
      <c r="E2837" t="s">
        <v>3562</v>
      </c>
    </row>
    <row r="2838" spans="1:5" x14ac:dyDescent="0.2">
      <c r="A2838" t="s">
        <v>2383</v>
      </c>
      <c r="B2838">
        <v>620</v>
      </c>
      <c r="C2838" t="s">
        <v>3610</v>
      </c>
      <c r="E2838" t="s">
        <v>3611</v>
      </c>
    </row>
    <row r="2839" spans="1:5" x14ac:dyDescent="0.2">
      <c r="A2839" t="s">
        <v>2408</v>
      </c>
      <c r="B2839">
        <v>613</v>
      </c>
      <c r="C2839" t="s">
        <v>3523</v>
      </c>
      <c r="E2839" t="s">
        <v>3968</v>
      </c>
    </row>
    <row r="2840" spans="1:5" x14ac:dyDescent="0.2">
      <c r="A2840" t="s">
        <v>505</v>
      </c>
      <c r="B2840">
        <v>995</v>
      </c>
      <c r="C2840" t="s">
        <v>2938</v>
      </c>
      <c r="D2840" t="s">
        <v>2938</v>
      </c>
      <c r="E2840" t="s">
        <v>2939</v>
      </c>
    </row>
    <row r="2841" spans="1:5" x14ac:dyDescent="0.2">
      <c r="A2841" t="s">
        <v>550</v>
      </c>
      <c r="B2841">
        <v>899</v>
      </c>
      <c r="C2841" t="s">
        <v>3969</v>
      </c>
      <c r="E2841" t="s">
        <v>3902</v>
      </c>
    </row>
    <row r="2842" spans="1:5" x14ac:dyDescent="0.2">
      <c r="A2842" t="s">
        <v>505</v>
      </c>
      <c r="B2842">
        <v>505</v>
      </c>
      <c r="C2842" t="s">
        <v>2426</v>
      </c>
      <c r="D2842" t="s">
        <v>3970</v>
      </c>
      <c r="E2842" t="s">
        <v>2428</v>
      </c>
    </row>
    <row r="2843" spans="1:5" x14ac:dyDescent="0.2">
      <c r="A2843" t="s">
        <v>2383</v>
      </c>
      <c r="B2843">
        <v>534</v>
      </c>
      <c r="C2843" t="s">
        <v>2489</v>
      </c>
      <c r="E2843" t="s">
        <v>2490</v>
      </c>
    </row>
    <row r="2844" spans="1:5" x14ac:dyDescent="0.2">
      <c r="A2844" t="s">
        <v>505</v>
      </c>
      <c r="B2844">
        <v>695</v>
      </c>
      <c r="C2844" t="s">
        <v>2669</v>
      </c>
      <c r="D2844" t="s">
        <v>2669</v>
      </c>
      <c r="E2844" t="s">
        <v>2670</v>
      </c>
    </row>
    <row r="2845" spans="1:5" x14ac:dyDescent="0.2">
      <c r="A2845" t="s">
        <v>505</v>
      </c>
      <c r="B2845">
        <v>505</v>
      </c>
      <c r="C2845" t="s">
        <v>2426</v>
      </c>
      <c r="D2845" t="s">
        <v>3971</v>
      </c>
      <c r="E2845" t="s">
        <v>2428</v>
      </c>
    </row>
    <row r="2846" spans="1:5" x14ac:dyDescent="0.2">
      <c r="A2846" t="s">
        <v>2408</v>
      </c>
      <c r="B2846">
        <v>637</v>
      </c>
      <c r="C2846" t="s">
        <v>2498</v>
      </c>
      <c r="E2846" t="s">
        <v>2499</v>
      </c>
    </row>
    <row r="2847" spans="1:5" x14ac:dyDescent="0.2">
      <c r="A2847" t="s">
        <v>567</v>
      </c>
      <c r="B2847">
        <v>686</v>
      </c>
      <c r="C2847" t="s">
        <v>2951</v>
      </c>
      <c r="E2847" t="s">
        <v>2952</v>
      </c>
    </row>
    <row r="2848" spans="1:5" x14ac:dyDescent="0.2">
      <c r="A2848" t="s">
        <v>2408</v>
      </c>
      <c r="B2848">
        <v>660</v>
      </c>
      <c r="C2848" t="s">
        <v>3567</v>
      </c>
      <c r="E2848" t="s">
        <v>3568</v>
      </c>
    </row>
    <row r="2849" spans="1:5" x14ac:dyDescent="0.2">
      <c r="A2849" t="s">
        <v>567</v>
      </c>
      <c r="B2849">
        <v>565</v>
      </c>
      <c r="C2849" t="s">
        <v>2895</v>
      </c>
      <c r="E2849" t="s">
        <v>2896</v>
      </c>
    </row>
    <row r="2850" spans="1:5" x14ac:dyDescent="0.2">
      <c r="A2850" t="s">
        <v>505</v>
      </c>
      <c r="B2850">
        <v>505</v>
      </c>
      <c r="C2850" t="s">
        <v>2426</v>
      </c>
      <c r="D2850" t="s">
        <v>3972</v>
      </c>
      <c r="E2850" t="s">
        <v>2428</v>
      </c>
    </row>
    <row r="2851" spans="1:5" x14ac:dyDescent="0.2">
      <c r="A2851" t="s">
        <v>2383</v>
      </c>
      <c r="B2851">
        <v>541</v>
      </c>
      <c r="C2851" t="s">
        <v>2404</v>
      </c>
      <c r="D2851" t="s">
        <v>2404</v>
      </c>
      <c r="E2851" t="s">
        <v>2502</v>
      </c>
    </row>
    <row r="2852" spans="1:5" x14ac:dyDescent="0.2">
      <c r="A2852" t="s">
        <v>2383</v>
      </c>
      <c r="B2852">
        <v>690</v>
      </c>
      <c r="C2852" t="s">
        <v>3565</v>
      </c>
      <c r="D2852" t="s">
        <v>3973</v>
      </c>
      <c r="E2852" t="s">
        <v>3574</v>
      </c>
    </row>
    <row r="2853" spans="1:5" x14ac:dyDescent="0.2">
      <c r="A2853" t="s">
        <v>2408</v>
      </c>
      <c r="B2853">
        <v>560</v>
      </c>
      <c r="C2853" t="s">
        <v>3616</v>
      </c>
      <c r="E2853" t="s">
        <v>3617</v>
      </c>
    </row>
    <row r="2854" spans="1:5" x14ac:dyDescent="0.2">
      <c r="A2854" t="s">
        <v>2408</v>
      </c>
      <c r="B2854">
        <v>603</v>
      </c>
      <c r="C2854" t="s">
        <v>3376</v>
      </c>
      <c r="E2854" t="s">
        <v>3974</v>
      </c>
    </row>
    <row r="2855" spans="1:5" x14ac:dyDescent="0.2">
      <c r="A2855" t="s">
        <v>505</v>
      </c>
      <c r="B2855">
        <v>505</v>
      </c>
      <c r="C2855" t="s">
        <v>2426</v>
      </c>
      <c r="D2855" t="s">
        <v>3975</v>
      </c>
      <c r="E2855" t="s">
        <v>2428</v>
      </c>
    </row>
    <row r="2856" spans="1:5" x14ac:dyDescent="0.2">
      <c r="A2856" t="s">
        <v>505</v>
      </c>
      <c r="B2856">
        <v>501</v>
      </c>
      <c r="C2856" t="s">
        <v>3933</v>
      </c>
      <c r="E2856" t="s">
        <v>3934</v>
      </c>
    </row>
    <row r="2857" spans="1:5" x14ac:dyDescent="0.2">
      <c r="A2857" t="s">
        <v>539</v>
      </c>
      <c r="B2857">
        <v>695</v>
      </c>
      <c r="C2857" t="s">
        <v>2636</v>
      </c>
      <c r="D2857" t="s">
        <v>3976</v>
      </c>
      <c r="E2857" t="s">
        <v>2638</v>
      </c>
    </row>
    <row r="2858" spans="1:5" x14ac:dyDescent="0.2">
      <c r="A2858" t="s">
        <v>592</v>
      </c>
      <c r="B2858">
        <v>541</v>
      </c>
      <c r="C2858" t="s">
        <v>2693</v>
      </c>
      <c r="D2858" t="s">
        <v>2693</v>
      </c>
      <c r="E2858" t="s">
        <v>2694</v>
      </c>
    </row>
    <row r="2859" spans="1:5" x14ac:dyDescent="0.2">
      <c r="A2859" t="s">
        <v>592</v>
      </c>
      <c r="B2859">
        <v>690</v>
      </c>
      <c r="C2859" t="s">
        <v>3561</v>
      </c>
      <c r="D2859" t="s">
        <v>3561</v>
      </c>
      <c r="E2859" t="s">
        <v>3977</v>
      </c>
    </row>
    <row r="2860" spans="1:5" x14ac:dyDescent="0.2">
      <c r="A2860" t="s">
        <v>592</v>
      </c>
      <c r="B2860">
        <v>690</v>
      </c>
      <c r="C2860" t="s">
        <v>3561</v>
      </c>
      <c r="D2860" t="s">
        <v>3561</v>
      </c>
      <c r="E2860" t="s">
        <v>3977</v>
      </c>
    </row>
    <row r="2861" spans="1:5" x14ac:dyDescent="0.2">
      <c r="A2861" t="s">
        <v>592</v>
      </c>
      <c r="B2861">
        <v>690</v>
      </c>
      <c r="C2861" t="s">
        <v>3561</v>
      </c>
      <c r="D2861" t="s">
        <v>3561</v>
      </c>
      <c r="E2861" t="s">
        <v>3977</v>
      </c>
    </row>
    <row r="2862" spans="1:5" x14ac:dyDescent="0.2">
      <c r="A2862" t="s">
        <v>592</v>
      </c>
      <c r="B2862">
        <v>690</v>
      </c>
      <c r="C2862" t="s">
        <v>3561</v>
      </c>
      <c r="D2862" t="s">
        <v>3561</v>
      </c>
      <c r="E2862" t="s">
        <v>3977</v>
      </c>
    </row>
    <row r="2863" spans="1:5" x14ac:dyDescent="0.2">
      <c r="A2863" t="s">
        <v>592</v>
      </c>
      <c r="B2863">
        <v>690</v>
      </c>
      <c r="C2863" t="s">
        <v>3561</v>
      </c>
      <c r="D2863" t="s">
        <v>3561</v>
      </c>
      <c r="E2863" t="s">
        <v>3977</v>
      </c>
    </row>
    <row r="2864" spans="1:5" x14ac:dyDescent="0.2">
      <c r="A2864" t="s">
        <v>592</v>
      </c>
      <c r="B2864">
        <v>690</v>
      </c>
      <c r="C2864" t="s">
        <v>3561</v>
      </c>
      <c r="D2864" t="s">
        <v>3561</v>
      </c>
      <c r="E2864" t="s">
        <v>3977</v>
      </c>
    </row>
    <row r="2865" spans="1:5" x14ac:dyDescent="0.2">
      <c r="A2865" t="s">
        <v>592</v>
      </c>
      <c r="B2865">
        <v>690</v>
      </c>
      <c r="C2865" t="s">
        <v>3561</v>
      </c>
      <c r="D2865" t="s">
        <v>3561</v>
      </c>
      <c r="E2865" t="s">
        <v>3977</v>
      </c>
    </row>
    <row r="2866" spans="1:5" x14ac:dyDescent="0.2">
      <c r="A2866" t="s">
        <v>592</v>
      </c>
      <c r="B2866">
        <v>690</v>
      </c>
      <c r="C2866" t="s">
        <v>3561</v>
      </c>
      <c r="D2866" t="s">
        <v>3561</v>
      </c>
      <c r="E2866" t="s">
        <v>3977</v>
      </c>
    </row>
    <row r="2867" spans="1:5" x14ac:dyDescent="0.2">
      <c r="A2867" t="s">
        <v>592</v>
      </c>
      <c r="B2867">
        <v>890</v>
      </c>
      <c r="C2867" t="s">
        <v>3563</v>
      </c>
      <c r="D2867" t="s">
        <v>3563</v>
      </c>
      <c r="E2867" t="s">
        <v>3978</v>
      </c>
    </row>
    <row r="2868" spans="1:5" x14ac:dyDescent="0.2">
      <c r="A2868" t="s">
        <v>550</v>
      </c>
      <c r="B2868">
        <v>899</v>
      </c>
      <c r="C2868" t="s">
        <v>3969</v>
      </c>
      <c r="D2868" t="s">
        <v>3901</v>
      </c>
      <c r="E2868" t="s">
        <v>3902</v>
      </c>
    </row>
    <row r="2869" spans="1:5" x14ac:dyDescent="0.2">
      <c r="A2869" t="s">
        <v>466</v>
      </c>
      <c r="B2869">
        <v>664</v>
      </c>
      <c r="C2869" t="s">
        <v>3538</v>
      </c>
      <c r="E2869" t="s">
        <v>3539</v>
      </c>
    </row>
    <row r="2870" spans="1:5" x14ac:dyDescent="0.2">
      <c r="A2870" t="s">
        <v>466</v>
      </c>
      <c r="B2870">
        <v>690</v>
      </c>
      <c r="C2870" t="s">
        <v>3565</v>
      </c>
      <c r="D2870" t="s">
        <v>3979</v>
      </c>
      <c r="E2870" t="s">
        <v>3980</v>
      </c>
    </row>
    <row r="2871" spans="1:5" x14ac:dyDescent="0.2">
      <c r="A2871" t="s">
        <v>592</v>
      </c>
      <c r="B2871">
        <v>890</v>
      </c>
      <c r="C2871" t="s">
        <v>3563</v>
      </c>
      <c r="E2871" t="s">
        <v>3978</v>
      </c>
    </row>
    <row r="2872" spans="1:5" x14ac:dyDescent="0.2">
      <c r="A2872" t="s">
        <v>592</v>
      </c>
      <c r="B2872">
        <v>890</v>
      </c>
      <c r="C2872" t="s">
        <v>3563</v>
      </c>
      <c r="E2872" t="s">
        <v>3978</v>
      </c>
    </row>
    <row r="2873" spans="1:5" x14ac:dyDescent="0.2">
      <c r="A2873" t="s">
        <v>592</v>
      </c>
      <c r="B2873">
        <v>890</v>
      </c>
      <c r="C2873" t="s">
        <v>3563</v>
      </c>
      <c r="E2873" t="s">
        <v>3978</v>
      </c>
    </row>
    <row r="2874" spans="1:5" x14ac:dyDescent="0.2">
      <c r="A2874" t="s">
        <v>592</v>
      </c>
      <c r="B2874">
        <v>890</v>
      </c>
      <c r="C2874" t="s">
        <v>3563</v>
      </c>
      <c r="E2874" t="s">
        <v>3978</v>
      </c>
    </row>
    <row r="2875" spans="1:5" x14ac:dyDescent="0.2">
      <c r="A2875" t="s">
        <v>592</v>
      </c>
      <c r="B2875">
        <v>890</v>
      </c>
      <c r="C2875" t="s">
        <v>3563</v>
      </c>
      <c r="E2875" t="s">
        <v>3978</v>
      </c>
    </row>
    <row r="2876" spans="1:5" x14ac:dyDescent="0.2">
      <c r="A2876" t="s">
        <v>592</v>
      </c>
      <c r="B2876">
        <v>890</v>
      </c>
      <c r="C2876" t="s">
        <v>3563</v>
      </c>
      <c r="E2876" t="s">
        <v>3978</v>
      </c>
    </row>
    <row r="2877" spans="1:5" x14ac:dyDescent="0.2">
      <c r="A2877" t="s">
        <v>592</v>
      </c>
      <c r="B2877">
        <v>890</v>
      </c>
      <c r="C2877" t="s">
        <v>3563</v>
      </c>
      <c r="E2877" t="s">
        <v>3978</v>
      </c>
    </row>
    <row r="2878" spans="1:5" x14ac:dyDescent="0.2">
      <c r="A2878" t="s">
        <v>592</v>
      </c>
      <c r="B2878">
        <v>890</v>
      </c>
      <c r="C2878" t="s">
        <v>3563</v>
      </c>
      <c r="E2878" t="s">
        <v>3978</v>
      </c>
    </row>
    <row r="2879" spans="1:5" x14ac:dyDescent="0.2">
      <c r="A2879" t="s">
        <v>592</v>
      </c>
      <c r="B2879">
        <v>890</v>
      </c>
      <c r="C2879" t="s">
        <v>3563</v>
      </c>
      <c r="E2879" t="s">
        <v>3978</v>
      </c>
    </row>
    <row r="2880" spans="1:5" x14ac:dyDescent="0.2">
      <c r="A2880" t="s">
        <v>592</v>
      </c>
      <c r="B2880">
        <v>890</v>
      </c>
      <c r="C2880" t="s">
        <v>3563</v>
      </c>
      <c r="E2880" t="s">
        <v>3978</v>
      </c>
    </row>
    <row r="2881" spans="1:5" x14ac:dyDescent="0.2">
      <c r="A2881" t="s">
        <v>505</v>
      </c>
      <c r="B2881">
        <v>505</v>
      </c>
      <c r="C2881" t="s">
        <v>2426</v>
      </c>
      <c r="D2881" t="s">
        <v>3981</v>
      </c>
      <c r="E2881" t="s">
        <v>2428</v>
      </c>
    </row>
    <row r="2882" spans="1:5" x14ac:dyDescent="0.2">
      <c r="A2882" t="s">
        <v>592</v>
      </c>
      <c r="B2882">
        <v>660</v>
      </c>
      <c r="C2882" t="s">
        <v>3612</v>
      </c>
      <c r="E2882" t="s">
        <v>3982</v>
      </c>
    </row>
    <row r="2883" spans="1:5" x14ac:dyDescent="0.2">
      <c r="A2883" t="s">
        <v>592</v>
      </c>
      <c r="B2883">
        <v>641</v>
      </c>
      <c r="C2883" t="s">
        <v>3620</v>
      </c>
      <c r="E2883" t="s">
        <v>3983</v>
      </c>
    </row>
    <row r="2884" spans="1:5" x14ac:dyDescent="0.2">
      <c r="A2884" t="s">
        <v>592</v>
      </c>
      <c r="B2884">
        <v>556</v>
      </c>
      <c r="C2884" t="s">
        <v>3904</v>
      </c>
      <c r="E2884" t="s">
        <v>3984</v>
      </c>
    </row>
    <row r="2885" spans="1:5" x14ac:dyDescent="0.2">
      <c r="A2885" t="s">
        <v>2408</v>
      </c>
      <c r="B2885">
        <v>712</v>
      </c>
      <c r="C2885" t="s">
        <v>2558</v>
      </c>
      <c r="E2885" t="s">
        <v>3269</v>
      </c>
    </row>
    <row r="2886" spans="1:5" x14ac:dyDescent="0.2">
      <c r="A2886" t="s">
        <v>2408</v>
      </c>
      <c r="B2886">
        <v>505</v>
      </c>
      <c r="C2886" t="s">
        <v>2746</v>
      </c>
      <c r="E2886" t="s">
        <v>2747</v>
      </c>
    </row>
    <row r="2887" spans="1:5" x14ac:dyDescent="0.2">
      <c r="A2887" t="s">
        <v>550</v>
      </c>
      <c r="B2887">
        <v>546</v>
      </c>
      <c r="C2887" t="s">
        <v>2504</v>
      </c>
      <c r="E2887" t="s">
        <v>2505</v>
      </c>
    </row>
    <row r="2888" spans="1:5" x14ac:dyDescent="0.2">
      <c r="A2888" t="s">
        <v>505</v>
      </c>
      <c r="B2888">
        <v>505</v>
      </c>
      <c r="C2888" t="s">
        <v>2426</v>
      </c>
      <c r="D2888" t="s">
        <v>3985</v>
      </c>
      <c r="E2888" t="s">
        <v>2428</v>
      </c>
    </row>
    <row r="2889" spans="1:5" x14ac:dyDescent="0.2">
      <c r="A2889" t="s">
        <v>505</v>
      </c>
      <c r="B2889">
        <v>505</v>
      </c>
      <c r="C2889" t="s">
        <v>2426</v>
      </c>
      <c r="D2889" t="s">
        <v>3986</v>
      </c>
      <c r="E2889" t="s">
        <v>2428</v>
      </c>
    </row>
    <row r="2890" spans="1:5" x14ac:dyDescent="0.2">
      <c r="A2890" t="s">
        <v>539</v>
      </c>
      <c r="B2890">
        <v>655</v>
      </c>
      <c r="C2890" t="s">
        <v>2779</v>
      </c>
      <c r="D2890" t="s">
        <v>3987</v>
      </c>
      <c r="E2890" t="s">
        <v>2781</v>
      </c>
    </row>
    <row r="2891" spans="1:5" x14ac:dyDescent="0.2">
      <c r="A2891" t="s">
        <v>505</v>
      </c>
      <c r="B2891">
        <v>505</v>
      </c>
      <c r="C2891" t="s">
        <v>2426</v>
      </c>
      <c r="D2891" t="s">
        <v>3988</v>
      </c>
      <c r="E2891" t="s">
        <v>2428</v>
      </c>
    </row>
    <row r="2892" spans="1:5" x14ac:dyDescent="0.2">
      <c r="A2892" t="s">
        <v>550</v>
      </c>
      <c r="B2892">
        <v>685</v>
      </c>
      <c r="C2892" t="s">
        <v>2729</v>
      </c>
      <c r="E2892" t="s">
        <v>2730</v>
      </c>
    </row>
    <row r="2893" spans="1:5" x14ac:dyDescent="0.2">
      <c r="A2893" t="s">
        <v>2408</v>
      </c>
      <c r="B2893">
        <v>516</v>
      </c>
      <c r="C2893" t="s">
        <v>2461</v>
      </c>
      <c r="D2893" t="s">
        <v>2461</v>
      </c>
      <c r="E2893" t="s">
        <v>2462</v>
      </c>
    </row>
    <row r="2894" spans="1:5" x14ac:dyDescent="0.2">
      <c r="A2894" t="s">
        <v>413</v>
      </c>
      <c r="B2894">
        <v>570</v>
      </c>
      <c r="C2894" t="s">
        <v>3183</v>
      </c>
      <c r="E2894" t="s">
        <v>3184</v>
      </c>
    </row>
    <row r="2895" spans="1:5" x14ac:dyDescent="0.2">
      <c r="A2895" t="s">
        <v>505</v>
      </c>
      <c r="B2895">
        <v>697</v>
      </c>
      <c r="C2895" t="s">
        <v>2671</v>
      </c>
      <c r="D2895" t="s">
        <v>2675</v>
      </c>
      <c r="E2895" t="s">
        <v>2672</v>
      </c>
    </row>
    <row r="2896" spans="1:5" x14ac:dyDescent="0.2">
      <c r="A2896" t="s">
        <v>413</v>
      </c>
      <c r="B2896">
        <v>571</v>
      </c>
      <c r="C2896" t="s">
        <v>3185</v>
      </c>
      <c r="E2896" t="s">
        <v>3186</v>
      </c>
    </row>
    <row r="2897" spans="1:5" x14ac:dyDescent="0.2">
      <c r="A2897" t="s">
        <v>567</v>
      </c>
      <c r="B2897">
        <v>690</v>
      </c>
      <c r="C2897" t="s">
        <v>3565</v>
      </c>
      <c r="D2897" t="s">
        <v>3989</v>
      </c>
      <c r="E2897" t="s">
        <v>3582</v>
      </c>
    </row>
    <row r="2898" spans="1:5" x14ac:dyDescent="0.2">
      <c r="A2898" t="s">
        <v>2408</v>
      </c>
      <c r="B2898">
        <v>556</v>
      </c>
      <c r="C2898" t="s">
        <v>3904</v>
      </c>
      <c r="E2898" t="s">
        <v>3905</v>
      </c>
    </row>
    <row r="2899" spans="1:5" x14ac:dyDescent="0.2">
      <c r="A2899" t="s">
        <v>2408</v>
      </c>
      <c r="B2899">
        <v>885</v>
      </c>
      <c r="C2899" t="s">
        <v>3013</v>
      </c>
      <c r="D2899" t="s">
        <v>3990</v>
      </c>
      <c r="E2899" t="s">
        <v>3015</v>
      </c>
    </row>
    <row r="2900" spans="1:5" x14ac:dyDescent="0.2">
      <c r="A2900" t="s">
        <v>2408</v>
      </c>
      <c r="B2900">
        <v>885</v>
      </c>
      <c r="C2900" t="s">
        <v>3013</v>
      </c>
      <c r="D2900" t="s">
        <v>3990</v>
      </c>
      <c r="E2900" t="s">
        <v>3015</v>
      </c>
    </row>
    <row r="2901" spans="1:5" x14ac:dyDescent="0.2">
      <c r="A2901" t="s">
        <v>2383</v>
      </c>
      <c r="B2901">
        <v>605</v>
      </c>
      <c r="C2901" t="s">
        <v>2910</v>
      </c>
      <c r="D2901" t="s">
        <v>2910</v>
      </c>
      <c r="E2901" t="s">
        <v>2911</v>
      </c>
    </row>
    <row r="2902" spans="1:5" x14ac:dyDescent="0.2">
      <c r="A2902" t="s">
        <v>550</v>
      </c>
      <c r="B2902">
        <v>885</v>
      </c>
      <c r="C2902" t="s">
        <v>3013</v>
      </c>
      <c r="D2902" t="s">
        <v>3991</v>
      </c>
      <c r="E2902" t="s">
        <v>3175</v>
      </c>
    </row>
    <row r="2903" spans="1:5" x14ac:dyDescent="0.2">
      <c r="A2903" t="s">
        <v>592</v>
      </c>
      <c r="B2903">
        <v>890</v>
      </c>
      <c r="C2903" t="s">
        <v>3563</v>
      </c>
      <c r="E2903" t="s">
        <v>3978</v>
      </c>
    </row>
    <row r="2904" spans="1:5" x14ac:dyDescent="0.2">
      <c r="A2904" t="s">
        <v>2383</v>
      </c>
      <c r="B2904">
        <v>680</v>
      </c>
      <c r="C2904" t="s">
        <v>3553</v>
      </c>
      <c r="D2904" t="s">
        <v>3992</v>
      </c>
      <c r="E2904" t="s">
        <v>3579</v>
      </c>
    </row>
    <row r="2905" spans="1:5" x14ac:dyDescent="0.2">
      <c r="A2905" t="s">
        <v>505</v>
      </c>
      <c r="B2905">
        <v>505</v>
      </c>
      <c r="C2905" t="s">
        <v>2426</v>
      </c>
      <c r="D2905" t="s">
        <v>3975</v>
      </c>
      <c r="E2905" t="s">
        <v>2428</v>
      </c>
    </row>
    <row r="2906" spans="1:5" x14ac:dyDescent="0.2">
      <c r="A2906" t="s">
        <v>650</v>
      </c>
      <c r="B2906">
        <v>616</v>
      </c>
      <c r="C2906" t="s">
        <v>2578</v>
      </c>
      <c r="D2906" t="s">
        <v>2578</v>
      </c>
      <c r="E2906" t="s">
        <v>2579</v>
      </c>
    </row>
    <row r="2907" spans="1:5" x14ac:dyDescent="0.2">
      <c r="A2907" t="s">
        <v>550</v>
      </c>
      <c r="B2907">
        <v>885</v>
      </c>
      <c r="C2907" t="s">
        <v>3013</v>
      </c>
      <c r="D2907" t="s">
        <v>3993</v>
      </c>
      <c r="E2907" t="s">
        <v>3175</v>
      </c>
    </row>
    <row r="2908" spans="1:5" x14ac:dyDescent="0.2">
      <c r="A2908" t="s">
        <v>567</v>
      </c>
      <c r="B2908">
        <v>565</v>
      </c>
      <c r="C2908" t="s">
        <v>2895</v>
      </c>
      <c r="D2908" t="s">
        <v>2971</v>
      </c>
      <c r="E2908" t="s">
        <v>2896</v>
      </c>
    </row>
    <row r="2909" spans="1:5" x14ac:dyDescent="0.2">
      <c r="A2909" t="s">
        <v>413</v>
      </c>
      <c r="B2909">
        <v>507</v>
      </c>
      <c r="C2909" t="s">
        <v>2834</v>
      </c>
      <c r="E2909" t="s">
        <v>2835</v>
      </c>
    </row>
    <row r="2910" spans="1:5" x14ac:dyDescent="0.2">
      <c r="A2910" t="s">
        <v>567</v>
      </c>
      <c r="B2910">
        <v>895</v>
      </c>
      <c r="C2910" t="s">
        <v>3845</v>
      </c>
      <c r="E2910" t="s">
        <v>3877</v>
      </c>
    </row>
    <row r="2911" spans="1:5" x14ac:dyDescent="0.2">
      <c r="A2911" t="s">
        <v>505</v>
      </c>
      <c r="B2911">
        <v>688</v>
      </c>
      <c r="C2911" t="s">
        <v>2586</v>
      </c>
      <c r="D2911" t="s">
        <v>2586</v>
      </c>
      <c r="E2911" t="s">
        <v>2587</v>
      </c>
    </row>
    <row r="2912" spans="1:5" x14ac:dyDescent="0.2">
      <c r="A2912" t="s">
        <v>567</v>
      </c>
      <c r="B2912">
        <v>500</v>
      </c>
      <c r="C2912" t="s">
        <v>3090</v>
      </c>
      <c r="E2912" t="s">
        <v>3091</v>
      </c>
    </row>
    <row r="2913" spans="1:5" x14ac:dyDescent="0.2">
      <c r="A2913" t="s">
        <v>567</v>
      </c>
      <c r="B2913">
        <v>664</v>
      </c>
      <c r="C2913" t="s">
        <v>2752</v>
      </c>
      <c r="E2913" t="s">
        <v>2753</v>
      </c>
    </row>
    <row r="2914" spans="1:5" x14ac:dyDescent="0.2">
      <c r="A2914" t="s">
        <v>650</v>
      </c>
      <c r="B2914">
        <v>890</v>
      </c>
      <c r="C2914" t="s">
        <v>3799</v>
      </c>
      <c r="E2914" t="s">
        <v>3581</v>
      </c>
    </row>
    <row r="2915" spans="1:5" x14ac:dyDescent="0.2">
      <c r="A2915" t="s">
        <v>505</v>
      </c>
      <c r="B2915">
        <v>588</v>
      </c>
      <c r="C2915" t="s">
        <v>3253</v>
      </c>
      <c r="D2915" t="s">
        <v>3253</v>
      </c>
      <c r="E2915" t="s">
        <v>3254</v>
      </c>
    </row>
    <row r="2916" spans="1:5" x14ac:dyDescent="0.2">
      <c r="A2916" t="s">
        <v>650</v>
      </c>
      <c r="B2916">
        <v>605</v>
      </c>
      <c r="C2916" t="s">
        <v>2784</v>
      </c>
      <c r="D2916" t="s">
        <v>2784</v>
      </c>
      <c r="E2916" t="s">
        <v>3103</v>
      </c>
    </row>
    <row r="2917" spans="1:5" x14ac:dyDescent="0.2">
      <c r="A2917" t="s">
        <v>550</v>
      </c>
      <c r="B2917">
        <v>885</v>
      </c>
      <c r="C2917" t="s">
        <v>3013</v>
      </c>
      <c r="D2917" t="s">
        <v>3994</v>
      </c>
      <c r="E2917" t="s">
        <v>3175</v>
      </c>
    </row>
    <row r="2918" spans="1:5" x14ac:dyDescent="0.2">
      <c r="A2918" t="s">
        <v>2408</v>
      </c>
      <c r="B2918">
        <v>643</v>
      </c>
      <c r="C2918" t="s">
        <v>3071</v>
      </c>
      <c r="E2918" t="s">
        <v>3072</v>
      </c>
    </row>
    <row r="2919" spans="1:5" x14ac:dyDescent="0.2">
      <c r="A2919" t="s">
        <v>567</v>
      </c>
      <c r="B2919">
        <v>620</v>
      </c>
      <c r="C2919" t="s">
        <v>2431</v>
      </c>
      <c r="E2919" t="s">
        <v>2432</v>
      </c>
    </row>
    <row r="2920" spans="1:5" x14ac:dyDescent="0.2">
      <c r="A2920" t="s">
        <v>567</v>
      </c>
      <c r="B2920">
        <v>895</v>
      </c>
      <c r="C2920" t="s">
        <v>3845</v>
      </c>
      <c r="E2920" t="s">
        <v>3877</v>
      </c>
    </row>
    <row r="2921" spans="1:5" x14ac:dyDescent="0.2">
      <c r="A2921" t="s">
        <v>413</v>
      </c>
      <c r="B2921">
        <v>895</v>
      </c>
      <c r="C2921" t="s">
        <v>3571</v>
      </c>
      <c r="E2921" t="s">
        <v>3572</v>
      </c>
    </row>
    <row r="2922" spans="1:5" x14ac:dyDescent="0.2">
      <c r="A2922" t="s">
        <v>2383</v>
      </c>
      <c r="B2922">
        <v>994</v>
      </c>
      <c r="C2922" t="s">
        <v>3960</v>
      </c>
      <c r="E2922" t="s">
        <v>3961</v>
      </c>
    </row>
    <row r="2923" spans="1:5" x14ac:dyDescent="0.2">
      <c r="A2923" t="s">
        <v>550</v>
      </c>
      <c r="B2923">
        <v>885</v>
      </c>
      <c r="C2923" t="s">
        <v>3013</v>
      </c>
      <c r="D2923" t="s">
        <v>3995</v>
      </c>
      <c r="E2923" t="s">
        <v>3175</v>
      </c>
    </row>
    <row r="2924" spans="1:5" x14ac:dyDescent="0.2">
      <c r="A2924" t="s">
        <v>539</v>
      </c>
      <c r="B2924">
        <v>539</v>
      </c>
      <c r="C2924" t="s">
        <v>2580</v>
      </c>
      <c r="D2924" t="s">
        <v>3996</v>
      </c>
      <c r="E2924" t="s">
        <v>2581</v>
      </c>
    </row>
    <row r="2925" spans="1:5" x14ac:dyDescent="0.2">
      <c r="A2925" t="s">
        <v>567</v>
      </c>
      <c r="B2925">
        <v>556</v>
      </c>
      <c r="C2925" t="s">
        <v>2562</v>
      </c>
      <c r="E2925" t="s">
        <v>2537</v>
      </c>
    </row>
    <row r="2926" spans="1:5" x14ac:dyDescent="0.2">
      <c r="A2926" t="s">
        <v>650</v>
      </c>
      <c r="B2926">
        <v>690</v>
      </c>
      <c r="C2926" t="s">
        <v>3565</v>
      </c>
      <c r="D2926" t="s">
        <v>3730</v>
      </c>
      <c r="E2926" t="s">
        <v>3573</v>
      </c>
    </row>
    <row r="2927" spans="1:5" x14ac:dyDescent="0.2">
      <c r="A2927" t="s">
        <v>650</v>
      </c>
      <c r="B2927">
        <v>690</v>
      </c>
      <c r="C2927" t="s">
        <v>3565</v>
      </c>
      <c r="D2927" t="s">
        <v>3997</v>
      </c>
      <c r="E2927" t="s">
        <v>3573</v>
      </c>
    </row>
    <row r="2928" spans="1:5" x14ac:dyDescent="0.2">
      <c r="A2928" t="s">
        <v>413</v>
      </c>
      <c r="B2928">
        <v>690</v>
      </c>
      <c r="C2928" t="s">
        <v>3565</v>
      </c>
      <c r="D2928" t="s">
        <v>3998</v>
      </c>
      <c r="E2928" t="s">
        <v>3566</v>
      </c>
    </row>
    <row r="2929" spans="1:5" x14ac:dyDescent="0.2">
      <c r="A2929" t="s">
        <v>413</v>
      </c>
      <c r="B2929">
        <v>570</v>
      </c>
      <c r="C2929" t="s">
        <v>3183</v>
      </c>
      <c r="D2929" t="s">
        <v>3183</v>
      </c>
      <c r="E2929" t="s">
        <v>3184</v>
      </c>
    </row>
    <row r="2930" spans="1:5" x14ac:dyDescent="0.2">
      <c r="A2930" t="s">
        <v>650</v>
      </c>
      <c r="B2930">
        <v>885</v>
      </c>
      <c r="C2930" t="s">
        <v>2386</v>
      </c>
      <c r="E2930" t="s">
        <v>3027</v>
      </c>
    </row>
    <row r="2931" spans="1:5" x14ac:dyDescent="0.2">
      <c r="A2931" t="s">
        <v>550</v>
      </c>
      <c r="B2931">
        <v>630</v>
      </c>
      <c r="C2931" t="s">
        <v>3999</v>
      </c>
      <c r="E2931" t="s">
        <v>4000</v>
      </c>
    </row>
    <row r="2932" spans="1:5" x14ac:dyDescent="0.2">
      <c r="A2932" t="s">
        <v>413</v>
      </c>
      <c r="B2932">
        <v>690</v>
      </c>
      <c r="C2932" t="s">
        <v>3565</v>
      </c>
      <c r="D2932" t="s">
        <v>4001</v>
      </c>
      <c r="E2932" t="s">
        <v>3566</v>
      </c>
    </row>
    <row r="2933" spans="1:5" x14ac:dyDescent="0.2">
      <c r="A2933" t="s">
        <v>567</v>
      </c>
      <c r="B2933">
        <v>500</v>
      </c>
      <c r="C2933" t="s">
        <v>3090</v>
      </c>
      <c r="D2933" t="s">
        <v>3090</v>
      </c>
      <c r="E2933" t="s">
        <v>3091</v>
      </c>
    </row>
    <row r="2934" spans="1:5" x14ac:dyDescent="0.2">
      <c r="A2934" t="s">
        <v>567</v>
      </c>
      <c r="B2934">
        <v>674</v>
      </c>
      <c r="C2934" t="s">
        <v>2866</v>
      </c>
      <c r="D2934" t="s">
        <v>2866</v>
      </c>
      <c r="E2934" t="s">
        <v>2867</v>
      </c>
    </row>
    <row r="2935" spans="1:5" x14ac:dyDescent="0.2">
      <c r="A2935" t="s">
        <v>539</v>
      </c>
      <c r="B2935">
        <v>885</v>
      </c>
      <c r="C2935" t="s">
        <v>2389</v>
      </c>
      <c r="D2935" t="s">
        <v>3036</v>
      </c>
      <c r="E2935" t="s">
        <v>2391</v>
      </c>
    </row>
    <row r="2936" spans="1:5" x14ac:dyDescent="0.2">
      <c r="A2936" t="s">
        <v>592</v>
      </c>
      <c r="B2936">
        <v>549</v>
      </c>
      <c r="C2936" t="s">
        <v>3100</v>
      </c>
      <c r="E2936" t="s">
        <v>3273</v>
      </c>
    </row>
    <row r="2937" spans="1:5" x14ac:dyDescent="0.2">
      <c r="A2937" t="s">
        <v>505</v>
      </c>
      <c r="B2937">
        <v>860</v>
      </c>
      <c r="C2937" t="s">
        <v>2881</v>
      </c>
      <c r="E2937" t="s">
        <v>2882</v>
      </c>
    </row>
    <row r="2938" spans="1:5" x14ac:dyDescent="0.2">
      <c r="A2938" t="s">
        <v>550</v>
      </c>
      <c r="B2938">
        <v>805</v>
      </c>
      <c r="C2938" t="s">
        <v>3283</v>
      </c>
      <c r="E2938" t="s">
        <v>3284</v>
      </c>
    </row>
    <row r="2939" spans="1:5" x14ac:dyDescent="0.2">
      <c r="A2939" t="s">
        <v>550</v>
      </c>
      <c r="B2939">
        <v>870</v>
      </c>
      <c r="C2939" t="s">
        <v>3285</v>
      </c>
      <c r="E2939" t="s">
        <v>3286</v>
      </c>
    </row>
    <row r="2940" spans="1:5" x14ac:dyDescent="0.2">
      <c r="A2940" t="s">
        <v>550</v>
      </c>
      <c r="B2940">
        <v>835</v>
      </c>
      <c r="C2940" t="s">
        <v>3287</v>
      </c>
      <c r="E2940" t="s">
        <v>3288</v>
      </c>
    </row>
    <row r="2941" spans="1:5" x14ac:dyDescent="0.2">
      <c r="A2941" t="s">
        <v>550</v>
      </c>
      <c r="B2941">
        <v>854</v>
      </c>
      <c r="C2941" t="s">
        <v>2393</v>
      </c>
      <c r="E2941" t="s">
        <v>2394</v>
      </c>
    </row>
    <row r="2942" spans="1:5" x14ac:dyDescent="0.2">
      <c r="A2942" t="s">
        <v>550</v>
      </c>
      <c r="B2942">
        <v>840</v>
      </c>
      <c r="C2942" t="s">
        <v>3296</v>
      </c>
      <c r="E2942" t="s">
        <v>3297</v>
      </c>
    </row>
    <row r="2943" spans="1:5" x14ac:dyDescent="0.2">
      <c r="A2943" t="s">
        <v>550</v>
      </c>
      <c r="B2943">
        <v>806</v>
      </c>
      <c r="C2943" t="s">
        <v>3294</v>
      </c>
      <c r="E2943" t="s">
        <v>3295</v>
      </c>
    </row>
    <row r="2944" spans="1:5" x14ac:dyDescent="0.2">
      <c r="A2944" t="s">
        <v>550</v>
      </c>
      <c r="B2944">
        <v>837</v>
      </c>
      <c r="C2944" t="s">
        <v>3298</v>
      </c>
      <c r="E2944" t="s">
        <v>3299</v>
      </c>
    </row>
    <row r="2945" spans="1:5" x14ac:dyDescent="0.2">
      <c r="A2945" t="s">
        <v>466</v>
      </c>
      <c r="B2945">
        <v>878</v>
      </c>
      <c r="C2945" t="s">
        <v>3555</v>
      </c>
      <c r="E2945" t="s">
        <v>3556</v>
      </c>
    </row>
    <row r="2946" spans="1:5" x14ac:dyDescent="0.2">
      <c r="A2946" t="s">
        <v>413</v>
      </c>
      <c r="B2946">
        <v>571</v>
      </c>
      <c r="C2946" t="s">
        <v>3185</v>
      </c>
      <c r="D2946" t="s">
        <v>3185</v>
      </c>
      <c r="E2946" t="s">
        <v>3186</v>
      </c>
    </row>
    <row r="2947" spans="1:5" x14ac:dyDescent="0.2">
      <c r="A2947" t="s">
        <v>2383</v>
      </c>
      <c r="B2947">
        <v>690</v>
      </c>
      <c r="C2947" t="s">
        <v>3565</v>
      </c>
      <c r="D2947" t="s">
        <v>4002</v>
      </c>
      <c r="E2947" t="s">
        <v>3574</v>
      </c>
    </row>
    <row r="2948" spans="1:5" x14ac:dyDescent="0.2">
      <c r="A2948" t="s">
        <v>2408</v>
      </c>
      <c r="B2948">
        <v>690</v>
      </c>
      <c r="C2948" t="s">
        <v>3561</v>
      </c>
      <c r="D2948" t="s">
        <v>4003</v>
      </c>
      <c r="E2948" t="s">
        <v>3562</v>
      </c>
    </row>
    <row r="2949" spans="1:5" x14ac:dyDescent="0.2">
      <c r="A2949" t="s">
        <v>505</v>
      </c>
      <c r="B2949">
        <v>505</v>
      </c>
      <c r="C2949" t="s">
        <v>2426</v>
      </c>
      <c r="D2949" t="s">
        <v>4004</v>
      </c>
      <c r="E2949" t="s">
        <v>2428</v>
      </c>
    </row>
    <row r="2950" spans="1:5" x14ac:dyDescent="0.2">
      <c r="A2950" t="s">
        <v>539</v>
      </c>
      <c r="B2950">
        <v>635</v>
      </c>
      <c r="C2950" t="s">
        <v>3108</v>
      </c>
      <c r="E2950" t="s">
        <v>4005</v>
      </c>
    </row>
    <row r="2951" spans="1:5" x14ac:dyDescent="0.2">
      <c r="A2951" t="s">
        <v>539</v>
      </c>
      <c r="B2951">
        <v>658</v>
      </c>
      <c r="C2951" t="s">
        <v>2897</v>
      </c>
      <c r="D2951" t="s">
        <v>4006</v>
      </c>
      <c r="E2951" t="s">
        <v>2898</v>
      </c>
    </row>
    <row r="2952" spans="1:5" x14ac:dyDescent="0.2">
      <c r="A2952" t="s">
        <v>2408</v>
      </c>
      <c r="B2952">
        <v>660</v>
      </c>
      <c r="C2952" t="s">
        <v>3567</v>
      </c>
      <c r="E2952" t="s">
        <v>3568</v>
      </c>
    </row>
    <row r="2953" spans="1:5" x14ac:dyDescent="0.2">
      <c r="A2953" t="s">
        <v>505</v>
      </c>
      <c r="B2953">
        <v>688</v>
      </c>
      <c r="C2953" t="s">
        <v>2586</v>
      </c>
      <c r="E2953" t="s">
        <v>2587</v>
      </c>
    </row>
    <row r="2954" spans="1:5" x14ac:dyDescent="0.2">
      <c r="A2954" t="s">
        <v>505</v>
      </c>
      <c r="B2954">
        <v>695</v>
      </c>
      <c r="C2954" t="s">
        <v>2669</v>
      </c>
      <c r="E2954" t="s">
        <v>2670</v>
      </c>
    </row>
    <row r="2955" spans="1:5" x14ac:dyDescent="0.2">
      <c r="A2955" t="s">
        <v>505</v>
      </c>
      <c r="B2955">
        <v>697</v>
      </c>
      <c r="C2955" t="s">
        <v>2671</v>
      </c>
      <c r="E2955" t="s">
        <v>2672</v>
      </c>
    </row>
    <row r="2956" spans="1:5" x14ac:dyDescent="0.2">
      <c r="A2956" t="s">
        <v>413</v>
      </c>
      <c r="B2956">
        <v>690</v>
      </c>
      <c r="C2956" t="s">
        <v>3565</v>
      </c>
      <c r="D2956" t="s">
        <v>4007</v>
      </c>
      <c r="E2956" t="s">
        <v>3566</v>
      </c>
    </row>
    <row r="2957" spans="1:5" x14ac:dyDescent="0.2">
      <c r="A2957" t="s">
        <v>567</v>
      </c>
      <c r="B2957">
        <v>686</v>
      </c>
      <c r="C2957" t="s">
        <v>2951</v>
      </c>
      <c r="D2957" t="s">
        <v>2951</v>
      </c>
      <c r="E2957" t="s">
        <v>2952</v>
      </c>
    </row>
    <row r="2958" spans="1:5" x14ac:dyDescent="0.2">
      <c r="A2958" t="s">
        <v>539</v>
      </c>
      <c r="B2958">
        <v>885</v>
      </c>
      <c r="C2958" t="s">
        <v>2389</v>
      </c>
      <c r="D2958" t="s">
        <v>4008</v>
      </c>
      <c r="E2958" t="s">
        <v>2391</v>
      </c>
    </row>
    <row r="2959" spans="1:5" x14ac:dyDescent="0.2">
      <c r="A2959" t="s">
        <v>539</v>
      </c>
      <c r="B2959">
        <v>885</v>
      </c>
      <c r="C2959" t="s">
        <v>2389</v>
      </c>
      <c r="D2959" t="s">
        <v>4009</v>
      </c>
      <c r="E2959" t="s">
        <v>2391</v>
      </c>
    </row>
    <row r="2960" spans="1:5" x14ac:dyDescent="0.2">
      <c r="A2960" t="s">
        <v>539</v>
      </c>
      <c r="B2960">
        <v>885</v>
      </c>
      <c r="C2960" t="s">
        <v>2389</v>
      </c>
      <c r="D2960" t="s">
        <v>4010</v>
      </c>
      <c r="E2960" t="s">
        <v>2391</v>
      </c>
    </row>
    <row r="2961" spans="1:5" x14ac:dyDescent="0.2">
      <c r="A2961" t="s">
        <v>567</v>
      </c>
      <c r="B2961">
        <v>890</v>
      </c>
      <c r="C2961" t="s">
        <v>3519</v>
      </c>
      <c r="D2961" t="s">
        <v>4011</v>
      </c>
      <c r="E2961" t="s">
        <v>3521</v>
      </c>
    </row>
    <row r="2962" spans="1:5" x14ac:dyDescent="0.2">
      <c r="A2962" t="s">
        <v>567</v>
      </c>
      <c r="B2962">
        <v>890</v>
      </c>
      <c r="C2962" t="s">
        <v>3519</v>
      </c>
      <c r="D2962" t="s">
        <v>4012</v>
      </c>
      <c r="E2962" t="s">
        <v>3521</v>
      </c>
    </row>
    <row r="2963" spans="1:5" x14ac:dyDescent="0.2">
      <c r="A2963" t="s">
        <v>550</v>
      </c>
      <c r="B2963">
        <v>897</v>
      </c>
      <c r="C2963" t="s">
        <v>3565</v>
      </c>
      <c r="D2963" t="s">
        <v>4013</v>
      </c>
      <c r="E2963" t="s">
        <v>3808</v>
      </c>
    </row>
    <row r="2964" spans="1:5" x14ac:dyDescent="0.2">
      <c r="A2964" t="s">
        <v>466</v>
      </c>
      <c r="B2964">
        <v>680</v>
      </c>
      <c r="C2964" t="s">
        <v>3612</v>
      </c>
      <c r="D2964" t="s">
        <v>3992</v>
      </c>
      <c r="E2964" t="s">
        <v>3554</v>
      </c>
    </row>
    <row r="2965" spans="1:5" x14ac:dyDescent="0.2">
      <c r="A2965" t="s">
        <v>567</v>
      </c>
      <c r="B2965">
        <v>619</v>
      </c>
      <c r="C2965" t="s">
        <v>2614</v>
      </c>
      <c r="E2965" t="s">
        <v>2615</v>
      </c>
    </row>
    <row r="2966" spans="1:5" x14ac:dyDescent="0.2">
      <c r="A2966" t="s">
        <v>567</v>
      </c>
      <c r="B2966">
        <v>895</v>
      </c>
      <c r="C2966" t="s">
        <v>3845</v>
      </c>
      <c r="D2966" t="s">
        <v>4014</v>
      </c>
      <c r="E2966" t="s">
        <v>3877</v>
      </c>
    </row>
    <row r="2967" spans="1:5" x14ac:dyDescent="0.2">
      <c r="A2967" t="s">
        <v>592</v>
      </c>
      <c r="B2967">
        <v>643</v>
      </c>
      <c r="C2967" t="s">
        <v>3071</v>
      </c>
      <c r="E2967" t="s">
        <v>3307</v>
      </c>
    </row>
    <row r="2968" spans="1:5" x14ac:dyDescent="0.2">
      <c r="A2968" t="s">
        <v>466</v>
      </c>
      <c r="B2968">
        <v>660</v>
      </c>
      <c r="C2968" t="s">
        <v>4015</v>
      </c>
      <c r="D2968" t="s">
        <v>3596</v>
      </c>
      <c r="E2968" t="s">
        <v>4016</v>
      </c>
    </row>
    <row r="2969" spans="1:5" x14ac:dyDescent="0.2">
      <c r="A2969" t="s">
        <v>550</v>
      </c>
      <c r="B2969">
        <v>885</v>
      </c>
      <c r="C2969" t="s">
        <v>3013</v>
      </c>
      <c r="D2969" t="s">
        <v>4017</v>
      </c>
      <c r="E2969" t="s">
        <v>3175</v>
      </c>
    </row>
    <row r="2970" spans="1:5" x14ac:dyDescent="0.2">
      <c r="A2970" t="s">
        <v>505</v>
      </c>
      <c r="B2970">
        <v>844</v>
      </c>
      <c r="C2970" t="s">
        <v>2932</v>
      </c>
      <c r="D2970" t="s">
        <v>2932</v>
      </c>
      <c r="E2970" t="s">
        <v>2933</v>
      </c>
    </row>
    <row r="2971" spans="1:5" x14ac:dyDescent="0.2">
      <c r="A2971" t="s">
        <v>592</v>
      </c>
      <c r="B2971">
        <v>539</v>
      </c>
      <c r="C2971" t="s">
        <v>2436</v>
      </c>
      <c r="D2971" t="s">
        <v>2420</v>
      </c>
      <c r="E2971" t="s">
        <v>2437</v>
      </c>
    </row>
    <row r="2972" spans="1:5" x14ac:dyDescent="0.2">
      <c r="A2972" t="s">
        <v>550</v>
      </c>
      <c r="B2972">
        <v>695</v>
      </c>
      <c r="C2972" t="s">
        <v>2582</v>
      </c>
      <c r="D2972" t="s">
        <v>4018</v>
      </c>
      <c r="E2972" t="s">
        <v>2584</v>
      </c>
    </row>
    <row r="2973" spans="1:5" x14ac:dyDescent="0.2">
      <c r="A2973" t="s">
        <v>539</v>
      </c>
      <c r="B2973">
        <v>885</v>
      </c>
      <c r="C2973" t="s">
        <v>2389</v>
      </c>
      <c r="D2973" t="s">
        <v>3263</v>
      </c>
      <c r="E2973" t="s">
        <v>2391</v>
      </c>
    </row>
    <row r="2974" spans="1:5" x14ac:dyDescent="0.2">
      <c r="A2974" t="s">
        <v>466</v>
      </c>
      <c r="B2974">
        <v>626</v>
      </c>
      <c r="C2974" t="s">
        <v>2883</v>
      </c>
      <c r="D2974" t="s">
        <v>2883</v>
      </c>
      <c r="E2974" t="s">
        <v>3480</v>
      </c>
    </row>
    <row r="2975" spans="1:5" x14ac:dyDescent="0.2">
      <c r="A2975" t="s">
        <v>466</v>
      </c>
      <c r="B2975">
        <v>605</v>
      </c>
      <c r="C2975" t="s">
        <v>3528</v>
      </c>
      <c r="D2975" t="s">
        <v>4019</v>
      </c>
      <c r="E2975" t="s">
        <v>3529</v>
      </c>
    </row>
    <row r="2976" spans="1:5" x14ac:dyDescent="0.2">
      <c r="A2976" t="s">
        <v>650</v>
      </c>
      <c r="B2976">
        <v>885</v>
      </c>
      <c r="C2976" t="s">
        <v>2386</v>
      </c>
      <c r="D2976" t="s">
        <v>4020</v>
      </c>
      <c r="E2976" t="s">
        <v>3027</v>
      </c>
    </row>
    <row r="2977" spans="1:5" x14ac:dyDescent="0.2">
      <c r="A2977" t="s">
        <v>539</v>
      </c>
      <c r="B2977">
        <v>885</v>
      </c>
      <c r="C2977" t="s">
        <v>2389</v>
      </c>
      <c r="D2977" t="s">
        <v>4021</v>
      </c>
      <c r="E2977" t="s">
        <v>2391</v>
      </c>
    </row>
    <row r="2978" spans="1:5" x14ac:dyDescent="0.2">
      <c r="A2978" t="s">
        <v>592</v>
      </c>
      <c r="B2978">
        <v>543</v>
      </c>
      <c r="C2978" t="s">
        <v>2494</v>
      </c>
      <c r="E2978" t="s">
        <v>2503</v>
      </c>
    </row>
    <row r="2979" spans="1:5" x14ac:dyDescent="0.2">
      <c r="A2979" t="s">
        <v>592</v>
      </c>
      <c r="B2979">
        <v>632</v>
      </c>
      <c r="C2979" t="s">
        <v>3384</v>
      </c>
      <c r="E2979" t="s">
        <v>3385</v>
      </c>
    </row>
    <row r="2980" spans="1:5" x14ac:dyDescent="0.2">
      <c r="A2980" t="s">
        <v>413</v>
      </c>
      <c r="B2980">
        <v>690</v>
      </c>
      <c r="C2980" t="s">
        <v>3565</v>
      </c>
      <c r="D2980" t="s">
        <v>4001</v>
      </c>
      <c r="E2980" t="s">
        <v>3566</v>
      </c>
    </row>
    <row r="2981" spans="1:5" x14ac:dyDescent="0.2">
      <c r="A2981" t="s">
        <v>592</v>
      </c>
      <c r="B2981">
        <v>516</v>
      </c>
      <c r="C2981" t="s">
        <v>2461</v>
      </c>
      <c r="D2981" t="s">
        <v>2461</v>
      </c>
      <c r="E2981" t="s">
        <v>2464</v>
      </c>
    </row>
    <row r="2982" spans="1:5" x14ac:dyDescent="0.2">
      <c r="A2982" t="s">
        <v>466</v>
      </c>
      <c r="B2982">
        <v>616</v>
      </c>
      <c r="C2982" t="s">
        <v>3909</v>
      </c>
      <c r="D2982" t="s">
        <v>3909</v>
      </c>
      <c r="E2982" t="s">
        <v>4022</v>
      </c>
    </row>
    <row r="2983" spans="1:5" x14ac:dyDescent="0.2">
      <c r="A2983" t="s">
        <v>592</v>
      </c>
      <c r="B2983">
        <v>543</v>
      </c>
      <c r="C2983" t="s">
        <v>2494</v>
      </c>
      <c r="E2983" t="s">
        <v>2503</v>
      </c>
    </row>
    <row r="2984" spans="1:5" x14ac:dyDescent="0.2">
      <c r="A2984" t="s">
        <v>550</v>
      </c>
      <c r="B2984">
        <v>899</v>
      </c>
      <c r="C2984" t="s">
        <v>3969</v>
      </c>
      <c r="E2984" t="s">
        <v>3902</v>
      </c>
    </row>
    <row r="2985" spans="1:5" x14ac:dyDescent="0.2">
      <c r="A2985" t="s">
        <v>539</v>
      </c>
      <c r="B2985">
        <v>690</v>
      </c>
      <c r="C2985" t="s">
        <v>3565</v>
      </c>
      <c r="D2985" t="s">
        <v>4023</v>
      </c>
      <c r="E2985" t="s">
        <v>3576</v>
      </c>
    </row>
    <row r="2986" spans="1:5" x14ac:dyDescent="0.2">
      <c r="A2986" t="s">
        <v>539</v>
      </c>
      <c r="B2986">
        <v>690</v>
      </c>
      <c r="C2986" t="s">
        <v>3565</v>
      </c>
      <c r="D2986" t="s">
        <v>4024</v>
      </c>
      <c r="E2986" t="s">
        <v>3576</v>
      </c>
    </row>
    <row r="2987" spans="1:5" x14ac:dyDescent="0.2">
      <c r="A2987" t="s">
        <v>539</v>
      </c>
      <c r="B2987">
        <v>897</v>
      </c>
      <c r="C2987" t="s">
        <v>3794</v>
      </c>
      <c r="D2987" t="s">
        <v>4025</v>
      </c>
      <c r="E2987" t="s">
        <v>3796</v>
      </c>
    </row>
    <row r="2988" spans="1:5" x14ac:dyDescent="0.2">
      <c r="A2988" t="s">
        <v>592</v>
      </c>
      <c r="B2988">
        <v>660</v>
      </c>
      <c r="C2988" t="s">
        <v>3612</v>
      </c>
      <c r="E2988" t="s">
        <v>3982</v>
      </c>
    </row>
    <row r="2989" spans="1:5" x14ac:dyDescent="0.2">
      <c r="A2989" t="s">
        <v>650</v>
      </c>
      <c r="B2989">
        <v>896</v>
      </c>
      <c r="C2989" t="s">
        <v>3559</v>
      </c>
      <c r="D2989" t="s">
        <v>4026</v>
      </c>
      <c r="E2989" t="s">
        <v>3560</v>
      </c>
    </row>
    <row r="2990" spans="1:5" x14ac:dyDescent="0.2">
      <c r="A2990" t="s">
        <v>592</v>
      </c>
      <c r="B2990">
        <v>690</v>
      </c>
      <c r="C2990" t="s">
        <v>3561</v>
      </c>
      <c r="D2990" t="s">
        <v>3561</v>
      </c>
      <c r="E2990" t="s">
        <v>3977</v>
      </c>
    </row>
    <row r="2991" spans="1:5" x14ac:dyDescent="0.2">
      <c r="A2991" t="s">
        <v>466</v>
      </c>
      <c r="B2991">
        <v>636</v>
      </c>
      <c r="C2991" t="s">
        <v>2885</v>
      </c>
      <c r="E2991" t="s">
        <v>3463</v>
      </c>
    </row>
    <row r="2992" spans="1:5" x14ac:dyDescent="0.2">
      <c r="A2992" t="s">
        <v>592</v>
      </c>
      <c r="B2992">
        <v>557</v>
      </c>
      <c r="C2992" t="s">
        <v>3258</v>
      </c>
      <c r="E2992" t="s">
        <v>3259</v>
      </c>
    </row>
    <row r="2993" spans="1:5" x14ac:dyDescent="0.2">
      <c r="A2993" t="s">
        <v>650</v>
      </c>
      <c r="B2993">
        <v>690</v>
      </c>
      <c r="C2993" t="s">
        <v>3565</v>
      </c>
      <c r="D2993" t="s">
        <v>4027</v>
      </c>
      <c r="E2993" t="s">
        <v>3573</v>
      </c>
    </row>
    <row r="2994" spans="1:5" x14ac:dyDescent="0.2">
      <c r="A2994" t="s">
        <v>539</v>
      </c>
      <c r="B2994">
        <v>690</v>
      </c>
      <c r="C2994" t="s">
        <v>3565</v>
      </c>
      <c r="D2994" t="s">
        <v>4028</v>
      </c>
      <c r="E2994" t="s">
        <v>3576</v>
      </c>
    </row>
    <row r="2995" spans="1:5" x14ac:dyDescent="0.2">
      <c r="A2995" t="s">
        <v>592</v>
      </c>
      <c r="B2995">
        <v>526</v>
      </c>
      <c r="C2995" t="s">
        <v>2588</v>
      </c>
      <c r="E2995" t="s">
        <v>3252</v>
      </c>
    </row>
    <row r="2996" spans="1:5" x14ac:dyDescent="0.2">
      <c r="A2996" t="s">
        <v>592</v>
      </c>
      <c r="B2996">
        <v>517</v>
      </c>
      <c r="C2996" t="s">
        <v>2544</v>
      </c>
      <c r="E2996" t="s">
        <v>2555</v>
      </c>
    </row>
    <row r="2997" spans="1:5" x14ac:dyDescent="0.2">
      <c r="A2997" t="s">
        <v>592</v>
      </c>
      <c r="B2997">
        <v>555</v>
      </c>
      <c r="C2997" t="s">
        <v>2415</v>
      </c>
      <c r="E2997" t="s">
        <v>2660</v>
      </c>
    </row>
    <row r="2998" spans="1:5" x14ac:dyDescent="0.2">
      <c r="A2998" t="s">
        <v>466</v>
      </c>
      <c r="B2998">
        <v>690</v>
      </c>
      <c r="C2998" t="s">
        <v>3565</v>
      </c>
      <c r="D2998" t="s">
        <v>4029</v>
      </c>
      <c r="E2998" t="s">
        <v>3980</v>
      </c>
    </row>
    <row r="2999" spans="1:5" x14ac:dyDescent="0.2">
      <c r="A2999" t="s">
        <v>505</v>
      </c>
      <c r="B2999">
        <v>797</v>
      </c>
      <c r="C2999" t="s">
        <v>3565</v>
      </c>
      <c r="D2999" t="s">
        <v>4030</v>
      </c>
      <c r="E2999" t="s">
        <v>3629</v>
      </c>
    </row>
    <row r="3000" spans="1:5" x14ac:dyDescent="0.2">
      <c r="A3000" t="s">
        <v>505</v>
      </c>
      <c r="B3000">
        <v>797</v>
      </c>
      <c r="C3000" t="s">
        <v>3565</v>
      </c>
      <c r="D3000" t="s">
        <v>4031</v>
      </c>
      <c r="E3000" t="s">
        <v>3629</v>
      </c>
    </row>
    <row r="3001" spans="1:5" x14ac:dyDescent="0.2">
      <c r="A3001" t="s">
        <v>592</v>
      </c>
      <c r="B3001">
        <v>641</v>
      </c>
      <c r="C3001" t="s">
        <v>3620</v>
      </c>
      <c r="E3001" t="s">
        <v>3983</v>
      </c>
    </row>
    <row r="3002" spans="1:5" x14ac:dyDescent="0.2">
      <c r="A3002" t="s">
        <v>466</v>
      </c>
      <c r="B3002">
        <v>690</v>
      </c>
      <c r="C3002" t="s">
        <v>3565</v>
      </c>
      <c r="D3002" t="s">
        <v>4032</v>
      </c>
      <c r="E3002" t="s">
        <v>3980</v>
      </c>
    </row>
    <row r="3003" spans="1:5" x14ac:dyDescent="0.2">
      <c r="A3003" t="s">
        <v>505</v>
      </c>
      <c r="B3003">
        <v>797</v>
      </c>
      <c r="C3003" t="s">
        <v>3565</v>
      </c>
      <c r="D3003" t="s">
        <v>4033</v>
      </c>
      <c r="E3003" t="s">
        <v>3629</v>
      </c>
    </row>
    <row r="3004" spans="1:5" x14ac:dyDescent="0.2">
      <c r="A3004" t="s">
        <v>505</v>
      </c>
      <c r="B3004">
        <v>888</v>
      </c>
      <c r="C3004" t="s">
        <v>2936</v>
      </c>
      <c r="D3004" t="s">
        <v>2936</v>
      </c>
      <c r="E3004" t="s">
        <v>2937</v>
      </c>
    </row>
    <row r="3005" spans="1:5" x14ac:dyDescent="0.2">
      <c r="A3005" t="s">
        <v>592</v>
      </c>
      <c r="B3005">
        <v>523</v>
      </c>
      <c r="C3005" t="s">
        <v>2406</v>
      </c>
      <c r="D3005" t="s">
        <v>2406</v>
      </c>
      <c r="E3005" t="s">
        <v>2407</v>
      </c>
    </row>
    <row r="3006" spans="1:5" x14ac:dyDescent="0.2">
      <c r="A3006" t="s">
        <v>650</v>
      </c>
      <c r="B3006">
        <v>885</v>
      </c>
      <c r="C3006" t="s">
        <v>2386</v>
      </c>
      <c r="D3006" t="s">
        <v>4034</v>
      </c>
      <c r="E3006" t="s">
        <v>3027</v>
      </c>
    </row>
    <row r="3007" spans="1:5" x14ac:dyDescent="0.2">
      <c r="A3007" t="s">
        <v>505</v>
      </c>
      <c r="B3007">
        <v>880</v>
      </c>
      <c r="C3007" t="s">
        <v>2934</v>
      </c>
      <c r="D3007" t="s">
        <v>2934</v>
      </c>
      <c r="E3007" t="s">
        <v>2935</v>
      </c>
    </row>
    <row r="3008" spans="1:5" x14ac:dyDescent="0.2">
      <c r="A3008" t="s">
        <v>567</v>
      </c>
      <c r="B3008">
        <v>690</v>
      </c>
      <c r="C3008" t="s">
        <v>3565</v>
      </c>
      <c r="D3008" t="s">
        <v>4035</v>
      </c>
      <c r="E3008" t="s">
        <v>3582</v>
      </c>
    </row>
    <row r="3009" spans="1:5" x14ac:dyDescent="0.2">
      <c r="A3009" t="s">
        <v>466</v>
      </c>
      <c r="B3009">
        <v>620</v>
      </c>
      <c r="C3009" t="s">
        <v>3610</v>
      </c>
      <c r="E3009" t="s">
        <v>4036</v>
      </c>
    </row>
    <row r="3010" spans="1:5" x14ac:dyDescent="0.2">
      <c r="A3010" t="s">
        <v>592</v>
      </c>
      <c r="B3010">
        <v>557</v>
      </c>
      <c r="C3010" t="s">
        <v>3258</v>
      </c>
      <c r="E3010" t="s">
        <v>3259</v>
      </c>
    </row>
    <row r="3011" spans="1:5" x14ac:dyDescent="0.2">
      <c r="A3011" t="s">
        <v>650</v>
      </c>
      <c r="B3011">
        <v>897</v>
      </c>
      <c r="C3011" t="s">
        <v>3565</v>
      </c>
      <c r="D3011" t="s">
        <v>4037</v>
      </c>
      <c r="E3011" t="s">
        <v>3825</v>
      </c>
    </row>
    <row r="3012" spans="1:5" x14ac:dyDescent="0.2">
      <c r="A3012" t="s">
        <v>650</v>
      </c>
      <c r="B3012">
        <v>897</v>
      </c>
      <c r="C3012" t="s">
        <v>3565</v>
      </c>
      <c r="D3012" t="s">
        <v>4038</v>
      </c>
      <c r="E3012" t="s">
        <v>3825</v>
      </c>
    </row>
    <row r="3013" spans="1:5" x14ac:dyDescent="0.2">
      <c r="A3013" t="s">
        <v>592</v>
      </c>
      <c r="B3013">
        <v>690</v>
      </c>
      <c r="C3013" t="s">
        <v>3561</v>
      </c>
      <c r="E3013" t="s">
        <v>3977</v>
      </c>
    </row>
    <row r="3014" spans="1:5" x14ac:dyDescent="0.2">
      <c r="A3014" t="s">
        <v>592</v>
      </c>
      <c r="B3014">
        <v>690</v>
      </c>
      <c r="C3014" t="s">
        <v>3561</v>
      </c>
      <c r="E3014" t="s">
        <v>3977</v>
      </c>
    </row>
    <row r="3015" spans="1:5" x14ac:dyDescent="0.2">
      <c r="A3015" t="s">
        <v>592</v>
      </c>
      <c r="B3015">
        <v>690</v>
      </c>
      <c r="C3015" t="s">
        <v>3561</v>
      </c>
      <c r="E3015" t="s">
        <v>3977</v>
      </c>
    </row>
    <row r="3016" spans="1:5" x14ac:dyDescent="0.2">
      <c r="A3016" t="s">
        <v>592</v>
      </c>
      <c r="B3016">
        <v>690</v>
      </c>
      <c r="C3016" t="s">
        <v>3561</v>
      </c>
      <c r="E3016" t="s">
        <v>3977</v>
      </c>
    </row>
    <row r="3017" spans="1:5" x14ac:dyDescent="0.2">
      <c r="A3017" t="s">
        <v>592</v>
      </c>
      <c r="B3017">
        <v>690</v>
      </c>
      <c r="C3017" t="s">
        <v>3561</v>
      </c>
      <c r="E3017" t="s">
        <v>3977</v>
      </c>
    </row>
    <row r="3018" spans="1:5" x14ac:dyDescent="0.2">
      <c r="A3018" t="s">
        <v>592</v>
      </c>
      <c r="B3018">
        <v>690</v>
      </c>
      <c r="C3018" t="s">
        <v>3561</v>
      </c>
      <c r="E3018" t="s">
        <v>3977</v>
      </c>
    </row>
    <row r="3019" spans="1:5" x14ac:dyDescent="0.2">
      <c r="A3019" t="s">
        <v>592</v>
      </c>
      <c r="B3019">
        <v>690</v>
      </c>
      <c r="C3019" t="s">
        <v>3561</v>
      </c>
      <c r="E3019" t="s">
        <v>3977</v>
      </c>
    </row>
    <row r="3020" spans="1:5" x14ac:dyDescent="0.2">
      <c r="A3020" t="s">
        <v>592</v>
      </c>
      <c r="B3020">
        <v>690</v>
      </c>
      <c r="C3020" t="s">
        <v>3561</v>
      </c>
      <c r="E3020" t="s">
        <v>3977</v>
      </c>
    </row>
    <row r="3021" spans="1:5" x14ac:dyDescent="0.2">
      <c r="A3021" t="s">
        <v>592</v>
      </c>
      <c r="B3021">
        <v>690</v>
      </c>
      <c r="C3021" t="s">
        <v>3561</v>
      </c>
      <c r="E3021" t="s">
        <v>3977</v>
      </c>
    </row>
    <row r="3022" spans="1:5" x14ac:dyDescent="0.2">
      <c r="A3022" t="s">
        <v>592</v>
      </c>
      <c r="B3022">
        <v>539</v>
      </c>
      <c r="C3022" t="s">
        <v>2436</v>
      </c>
      <c r="E3022" t="s">
        <v>2437</v>
      </c>
    </row>
    <row r="3023" spans="1:5" x14ac:dyDescent="0.2">
      <c r="A3023" t="s">
        <v>592</v>
      </c>
      <c r="B3023">
        <v>556</v>
      </c>
      <c r="C3023" t="s">
        <v>3904</v>
      </c>
      <c r="E3023" t="s">
        <v>3984</v>
      </c>
    </row>
    <row r="3024" spans="1:5" x14ac:dyDescent="0.2">
      <c r="A3024" t="s">
        <v>650</v>
      </c>
      <c r="B3024">
        <v>885</v>
      </c>
      <c r="C3024" t="s">
        <v>2386</v>
      </c>
      <c r="D3024" t="s">
        <v>4039</v>
      </c>
      <c r="E3024" t="s">
        <v>3027</v>
      </c>
    </row>
    <row r="3025" spans="1:5" x14ac:dyDescent="0.2">
      <c r="A3025" t="s">
        <v>550</v>
      </c>
      <c r="B3025">
        <v>885</v>
      </c>
      <c r="C3025" t="s">
        <v>3013</v>
      </c>
      <c r="D3025" t="s">
        <v>4040</v>
      </c>
      <c r="E3025" t="s">
        <v>3175</v>
      </c>
    </row>
    <row r="3026" spans="1:5" x14ac:dyDescent="0.2">
      <c r="A3026" t="s">
        <v>505</v>
      </c>
      <c r="B3026">
        <v>788</v>
      </c>
      <c r="C3026" t="s">
        <v>2476</v>
      </c>
      <c r="E3026" t="s">
        <v>2477</v>
      </c>
    </row>
    <row r="3027" spans="1:5" x14ac:dyDescent="0.2">
      <c r="A3027" t="s">
        <v>592</v>
      </c>
      <c r="B3027">
        <v>505</v>
      </c>
      <c r="C3027" t="s">
        <v>2746</v>
      </c>
      <c r="E3027" t="s">
        <v>3267</v>
      </c>
    </row>
    <row r="3028" spans="1:5" x14ac:dyDescent="0.2">
      <c r="A3028" t="s">
        <v>567</v>
      </c>
      <c r="B3028">
        <v>546</v>
      </c>
      <c r="C3028" t="s">
        <v>2442</v>
      </c>
      <c r="E3028" t="s">
        <v>2443</v>
      </c>
    </row>
    <row r="3029" spans="1:5" x14ac:dyDescent="0.2">
      <c r="A3029" t="s">
        <v>505</v>
      </c>
      <c r="B3029">
        <v>505</v>
      </c>
      <c r="C3029" t="s">
        <v>2426</v>
      </c>
      <c r="D3029" t="s">
        <v>4041</v>
      </c>
      <c r="E3029" t="s">
        <v>2428</v>
      </c>
    </row>
    <row r="3030" spans="1:5" x14ac:dyDescent="0.2">
      <c r="A3030" t="s">
        <v>466</v>
      </c>
      <c r="B3030">
        <v>606</v>
      </c>
      <c r="C3030" t="s">
        <v>2384</v>
      </c>
      <c r="E3030" t="s">
        <v>3303</v>
      </c>
    </row>
    <row r="3031" spans="1:5" x14ac:dyDescent="0.2">
      <c r="A3031" t="s">
        <v>592</v>
      </c>
      <c r="B3031">
        <v>709</v>
      </c>
      <c r="C3031" t="s">
        <v>4042</v>
      </c>
      <c r="E3031" t="s">
        <v>4043</v>
      </c>
    </row>
    <row r="3032" spans="1:5" x14ac:dyDescent="0.2">
      <c r="A3032" t="s">
        <v>592</v>
      </c>
      <c r="B3032">
        <v>604</v>
      </c>
      <c r="C3032" t="s">
        <v>2652</v>
      </c>
      <c r="D3032" t="s">
        <v>2652</v>
      </c>
      <c r="E3032" t="s">
        <v>2653</v>
      </c>
    </row>
    <row r="3033" spans="1:5" x14ac:dyDescent="0.2">
      <c r="A3033" t="s">
        <v>592</v>
      </c>
      <c r="B3033">
        <v>560</v>
      </c>
      <c r="C3033" t="s">
        <v>3616</v>
      </c>
      <c r="E3033" t="s">
        <v>4044</v>
      </c>
    </row>
    <row r="3034" spans="1:5" x14ac:dyDescent="0.2">
      <c r="A3034" t="s">
        <v>466</v>
      </c>
      <c r="B3034">
        <v>541</v>
      </c>
      <c r="C3034" t="s">
        <v>2404</v>
      </c>
      <c r="E3034" t="s">
        <v>2405</v>
      </c>
    </row>
    <row r="3035" spans="1:5" x14ac:dyDescent="0.2">
      <c r="A3035" t="s">
        <v>567</v>
      </c>
      <c r="B3035">
        <v>895</v>
      </c>
      <c r="C3035" t="s">
        <v>3845</v>
      </c>
      <c r="D3035" t="s">
        <v>3845</v>
      </c>
      <c r="E3035" t="s">
        <v>3877</v>
      </c>
    </row>
    <row r="3036" spans="1:5" x14ac:dyDescent="0.2">
      <c r="A3036" t="s">
        <v>466</v>
      </c>
      <c r="B3036">
        <v>690</v>
      </c>
      <c r="C3036" t="s">
        <v>3565</v>
      </c>
      <c r="D3036" t="s">
        <v>4045</v>
      </c>
      <c r="E3036" t="s">
        <v>3980</v>
      </c>
    </row>
    <row r="3037" spans="1:5" x14ac:dyDescent="0.2">
      <c r="A3037" t="s">
        <v>505</v>
      </c>
      <c r="B3037">
        <v>505</v>
      </c>
      <c r="C3037" t="s">
        <v>2426</v>
      </c>
      <c r="D3037" t="s">
        <v>4046</v>
      </c>
      <c r="E3037" t="s">
        <v>2428</v>
      </c>
    </row>
    <row r="3038" spans="1:5" x14ac:dyDescent="0.2">
      <c r="A3038" t="s">
        <v>592</v>
      </c>
      <c r="B3038">
        <v>660</v>
      </c>
      <c r="C3038" t="s">
        <v>3612</v>
      </c>
      <c r="E3038" t="s">
        <v>3982</v>
      </c>
    </row>
    <row r="3039" spans="1:5" x14ac:dyDescent="0.2">
      <c r="A3039" t="s">
        <v>413</v>
      </c>
      <c r="B3039">
        <v>690</v>
      </c>
      <c r="C3039" t="s">
        <v>3565</v>
      </c>
      <c r="D3039" t="s">
        <v>4047</v>
      </c>
      <c r="E3039" t="s">
        <v>3566</v>
      </c>
    </row>
    <row r="3040" spans="1:5" x14ac:dyDescent="0.2">
      <c r="A3040" t="s">
        <v>413</v>
      </c>
      <c r="B3040">
        <v>891</v>
      </c>
      <c r="C3040" t="s">
        <v>3565</v>
      </c>
      <c r="D3040" t="s">
        <v>4048</v>
      </c>
      <c r="E3040" t="s">
        <v>3784</v>
      </c>
    </row>
    <row r="3041" spans="1:5" x14ac:dyDescent="0.2">
      <c r="A3041" t="s">
        <v>539</v>
      </c>
      <c r="B3041">
        <v>897</v>
      </c>
      <c r="C3041" t="s">
        <v>3794</v>
      </c>
      <c r="D3041" t="s">
        <v>4049</v>
      </c>
      <c r="E3041" t="s">
        <v>3796</v>
      </c>
    </row>
    <row r="3042" spans="1:5" x14ac:dyDescent="0.2">
      <c r="A3042" t="s">
        <v>466</v>
      </c>
      <c r="B3042">
        <v>616</v>
      </c>
      <c r="C3042" t="s">
        <v>3909</v>
      </c>
      <c r="E3042" t="s">
        <v>4022</v>
      </c>
    </row>
    <row r="3043" spans="1:5" x14ac:dyDescent="0.2">
      <c r="A3043" t="s">
        <v>413</v>
      </c>
      <c r="B3043">
        <v>690</v>
      </c>
      <c r="C3043" t="s">
        <v>3565</v>
      </c>
      <c r="D3043" t="s">
        <v>4050</v>
      </c>
      <c r="E3043" t="s">
        <v>3566</v>
      </c>
    </row>
    <row r="3044" spans="1:5" x14ac:dyDescent="0.2">
      <c r="A3044" t="s">
        <v>466</v>
      </c>
      <c r="B3044">
        <v>503</v>
      </c>
      <c r="C3044" t="s">
        <v>2433</v>
      </c>
      <c r="E3044" t="s">
        <v>2434</v>
      </c>
    </row>
    <row r="3045" spans="1:5" x14ac:dyDescent="0.2">
      <c r="A3045" t="s">
        <v>466</v>
      </c>
      <c r="B3045">
        <v>620</v>
      </c>
      <c r="C3045" t="s">
        <v>3610</v>
      </c>
      <c r="E3045" t="s">
        <v>4036</v>
      </c>
    </row>
    <row r="3046" spans="1:5" x14ac:dyDescent="0.2">
      <c r="A3046" t="s">
        <v>539</v>
      </c>
      <c r="B3046">
        <v>536</v>
      </c>
      <c r="C3046" t="s">
        <v>2658</v>
      </c>
      <c r="E3046" t="s">
        <v>2640</v>
      </c>
    </row>
    <row r="3047" spans="1:5" x14ac:dyDescent="0.2">
      <c r="A3047" t="s">
        <v>592</v>
      </c>
      <c r="B3047">
        <v>539</v>
      </c>
      <c r="C3047" t="s">
        <v>2436</v>
      </c>
      <c r="E3047" t="s">
        <v>2437</v>
      </c>
    </row>
    <row r="3048" spans="1:5" x14ac:dyDescent="0.2">
      <c r="A3048" t="s">
        <v>413</v>
      </c>
      <c r="B3048">
        <v>891</v>
      </c>
      <c r="C3048" t="s">
        <v>3565</v>
      </c>
      <c r="D3048" t="s">
        <v>4051</v>
      </c>
      <c r="E3048" t="s">
        <v>3784</v>
      </c>
    </row>
    <row r="3049" spans="1:5" x14ac:dyDescent="0.2">
      <c r="A3049" t="s">
        <v>466</v>
      </c>
      <c r="B3049">
        <v>994</v>
      </c>
      <c r="C3049" t="s">
        <v>3960</v>
      </c>
      <c r="E3049" t="s">
        <v>4052</v>
      </c>
    </row>
    <row r="3050" spans="1:5" x14ac:dyDescent="0.2">
      <c r="A3050" t="s">
        <v>567</v>
      </c>
      <c r="B3050">
        <v>895</v>
      </c>
      <c r="C3050" t="s">
        <v>3845</v>
      </c>
      <c r="D3050" t="s">
        <v>4053</v>
      </c>
      <c r="E3050" t="s">
        <v>3877</v>
      </c>
    </row>
    <row r="3051" spans="1:5" x14ac:dyDescent="0.2">
      <c r="A3051" t="s">
        <v>466</v>
      </c>
      <c r="B3051">
        <v>636</v>
      </c>
      <c r="C3051" t="s">
        <v>2885</v>
      </c>
      <c r="E3051" t="s">
        <v>3463</v>
      </c>
    </row>
    <row r="3052" spans="1:5" x14ac:dyDescent="0.2">
      <c r="A3052" t="s">
        <v>550</v>
      </c>
      <c r="B3052">
        <v>695</v>
      </c>
      <c r="C3052" t="s">
        <v>2582</v>
      </c>
      <c r="D3052" t="s">
        <v>3903</v>
      </c>
      <c r="E3052" t="s">
        <v>2584</v>
      </c>
    </row>
    <row r="3053" spans="1:5" x14ac:dyDescent="0.2">
      <c r="A3053" t="s">
        <v>592</v>
      </c>
      <c r="B3053">
        <v>541</v>
      </c>
      <c r="C3053" t="s">
        <v>2693</v>
      </c>
      <c r="E3053" t="s">
        <v>2694</v>
      </c>
    </row>
    <row r="3054" spans="1:5" x14ac:dyDescent="0.2">
      <c r="A3054" t="s">
        <v>466</v>
      </c>
      <c r="B3054">
        <v>605</v>
      </c>
      <c r="C3054" t="s">
        <v>3528</v>
      </c>
      <c r="E3054" t="s">
        <v>3529</v>
      </c>
    </row>
    <row r="3055" spans="1:5" x14ac:dyDescent="0.2">
      <c r="A3055" t="s">
        <v>592</v>
      </c>
      <c r="B3055">
        <v>632</v>
      </c>
      <c r="C3055" t="s">
        <v>3384</v>
      </c>
      <c r="E3055" t="s">
        <v>3385</v>
      </c>
    </row>
    <row r="3056" spans="1:5" x14ac:dyDescent="0.2">
      <c r="A3056" t="s">
        <v>650</v>
      </c>
      <c r="B3056">
        <v>940</v>
      </c>
      <c r="C3056" t="s">
        <v>2946</v>
      </c>
      <c r="D3056" t="s">
        <v>4054</v>
      </c>
      <c r="E3056" t="s">
        <v>2947</v>
      </c>
    </row>
    <row r="3057" spans="1:5" x14ac:dyDescent="0.2">
      <c r="A3057" t="s">
        <v>592</v>
      </c>
      <c r="B3057">
        <v>562</v>
      </c>
      <c r="C3057" t="s">
        <v>2907</v>
      </c>
      <c r="E3057" t="s">
        <v>3362</v>
      </c>
    </row>
    <row r="3058" spans="1:5" x14ac:dyDescent="0.2">
      <c r="A3058" t="s">
        <v>539</v>
      </c>
      <c r="B3058">
        <v>885</v>
      </c>
      <c r="C3058" t="s">
        <v>2389</v>
      </c>
      <c r="D3058" t="s">
        <v>4055</v>
      </c>
      <c r="E3058" t="s">
        <v>2391</v>
      </c>
    </row>
    <row r="3059" spans="1:5" x14ac:dyDescent="0.2">
      <c r="A3059" t="s">
        <v>550</v>
      </c>
      <c r="B3059">
        <v>885</v>
      </c>
      <c r="C3059" t="s">
        <v>3013</v>
      </c>
      <c r="D3059" t="s">
        <v>3993</v>
      </c>
      <c r="E3059" t="s">
        <v>3175</v>
      </c>
    </row>
    <row r="3060" spans="1:5" x14ac:dyDescent="0.2">
      <c r="A3060" t="s">
        <v>539</v>
      </c>
      <c r="B3060">
        <v>690</v>
      </c>
      <c r="C3060" t="s">
        <v>3565</v>
      </c>
      <c r="D3060" t="s">
        <v>4056</v>
      </c>
      <c r="E3060" t="s">
        <v>3576</v>
      </c>
    </row>
    <row r="3061" spans="1:5" x14ac:dyDescent="0.2">
      <c r="A3061" t="s">
        <v>550</v>
      </c>
      <c r="B3061">
        <v>897</v>
      </c>
      <c r="C3061" t="s">
        <v>3565</v>
      </c>
      <c r="D3061" t="s">
        <v>4057</v>
      </c>
      <c r="E3061" t="s">
        <v>3808</v>
      </c>
    </row>
    <row r="3062" spans="1:5" x14ac:dyDescent="0.2">
      <c r="A3062" t="s">
        <v>539</v>
      </c>
      <c r="B3062">
        <v>690</v>
      </c>
      <c r="C3062" t="s">
        <v>3565</v>
      </c>
      <c r="D3062" t="s">
        <v>4049</v>
      </c>
      <c r="E3062" t="s">
        <v>3576</v>
      </c>
    </row>
    <row r="3063" spans="1:5" x14ac:dyDescent="0.2">
      <c r="A3063" t="s">
        <v>466</v>
      </c>
      <c r="B3063">
        <v>660</v>
      </c>
      <c r="C3063" t="s">
        <v>4015</v>
      </c>
      <c r="E3063" t="s">
        <v>4016</v>
      </c>
    </row>
    <row r="3064" spans="1:5" x14ac:dyDescent="0.2">
      <c r="A3064" t="s">
        <v>505</v>
      </c>
      <c r="B3064">
        <v>678</v>
      </c>
      <c r="C3064" t="s">
        <v>3657</v>
      </c>
      <c r="E3064" t="s">
        <v>3658</v>
      </c>
    </row>
    <row r="3065" spans="1:5" x14ac:dyDescent="0.2">
      <c r="A3065" t="s">
        <v>650</v>
      </c>
      <c r="B3065">
        <v>897</v>
      </c>
      <c r="C3065" t="s">
        <v>3565</v>
      </c>
      <c r="D3065" t="s">
        <v>4058</v>
      </c>
      <c r="E3065" t="s">
        <v>3825</v>
      </c>
    </row>
    <row r="3066" spans="1:5" x14ac:dyDescent="0.2">
      <c r="A3066" t="s">
        <v>413</v>
      </c>
      <c r="B3066">
        <v>695</v>
      </c>
      <c r="C3066" t="s">
        <v>3004</v>
      </c>
      <c r="D3066" t="s">
        <v>3331</v>
      </c>
      <c r="E3066" t="s">
        <v>3005</v>
      </c>
    </row>
    <row r="3067" spans="1:5" x14ac:dyDescent="0.2">
      <c r="A3067" t="s">
        <v>592</v>
      </c>
      <c r="B3067">
        <v>690</v>
      </c>
      <c r="C3067" t="s">
        <v>3561</v>
      </c>
      <c r="D3067" t="s">
        <v>4059</v>
      </c>
      <c r="E3067" t="s">
        <v>3977</v>
      </c>
    </row>
    <row r="3068" spans="1:5" x14ac:dyDescent="0.2">
      <c r="A3068" t="s">
        <v>539</v>
      </c>
      <c r="B3068">
        <v>690</v>
      </c>
      <c r="C3068" t="s">
        <v>3565</v>
      </c>
      <c r="D3068" t="s">
        <v>4060</v>
      </c>
      <c r="E3068" t="s">
        <v>3576</v>
      </c>
    </row>
    <row r="3069" spans="1:5" x14ac:dyDescent="0.2">
      <c r="A3069" t="s">
        <v>650</v>
      </c>
      <c r="B3069">
        <v>611</v>
      </c>
      <c r="C3069" t="s">
        <v>2610</v>
      </c>
      <c r="E3069" t="s">
        <v>2611</v>
      </c>
    </row>
    <row r="3070" spans="1:5" x14ac:dyDescent="0.2">
      <c r="A3070" t="s">
        <v>592</v>
      </c>
      <c r="B3070">
        <v>539</v>
      </c>
      <c r="C3070" t="s">
        <v>2436</v>
      </c>
      <c r="E3070" t="s">
        <v>2437</v>
      </c>
    </row>
    <row r="3071" spans="1:5" x14ac:dyDescent="0.2">
      <c r="A3071" t="s">
        <v>413</v>
      </c>
      <c r="B3071">
        <v>892</v>
      </c>
      <c r="C3071" t="s">
        <v>3965</v>
      </c>
      <c r="D3071" t="s">
        <v>4061</v>
      </c>
      <c r="E3071" t="s">
        <v>3786</v>
      </c>
    </row>
    <row r="3072" spans="1:5" x14ac:dyDescent="0.2">
      <c r="A3072" t="s">
        <v>567</v>
      </c>
      <c r="B3072">
        <v>945</v>
      </c>
      <c r="C3072" t="s">
        <v>2764</v>
      </c>
      <c r="E3072" t="s">
        <v>2765</v>
      </c>
    </row>
    <row r="3073" spans="1:5" x14ac:dyDescent="0.2">
      <c r="A3073" t="s">
        <v>466</v>
      </c>
      <c r="B3073">
        <v>690</v>
      </c>
      <c r="C3073" t="s">
        <v>3565</v>
      </c>
      <c r="D3073" t="s">
        <v>4062</v>
      </c>
      <c r="E3073" t="s">
        <v>3980</v>
      </c>
    </row>
    <row r="3074" spans="1:5" x14ac:dyDescent="0.2">
      <c r="A3074" t="s">
        <v>592</v>
      </c>
      <c r="B3074">
        <v>505</v>
      </c>
      <c r="C3074" t="s">
        <v>2746</v>
      </c>
      <c r="E3074" t="s">
        <v>3267</v>
      </c>
    </row>
    <row r="3075" spans="1:5" x14ac:dyDescent="0.2">
      <c r="A3075" t="s">
        <v>550</v>
      </c>
      <c r="B3075">
        <v>897</v>
      </c>
      <c r="C3075" t="s">
        <v>3565</v>
      </c>
      <c r="D3075" t="s">
        <v>4063</v>
      </c>
      <c r="E3075" t="s">
        <v>3808</v>
      </c>
    </row>
    <row r="3076" spans="1:5" x14ac:dyDescent="0.2">
      <c r="A3076" t="s">
        <v>466</v>
      </c>
      <c r="B3076">
        <v>885</v>
      </c>
      <c r="C3076" t="s">
        <v>3612</v>
      </c>
      <c r="D3076" t="s">
        <v>4064</v>
      </c>
      <c r="E3076" t="s">
        <v>4065</v>
      </c>
    </row>
    <row r="3077" spans="1:5" x14ac:dyDescent="0.2">
      <c r="A3077" t="s">
        <v>466</v>
      </c>
      <c r="B3077">
        <v>887</v>
      </c>
      <c r="C3077" t="s">
        <v>3677</v>
      </c>
      <c r="E3077" t="s">
        <v>4066</v>
      </c>
    </row>
    <row r="3078" spans="1:5" x14ac:dyDescent="0.2">
      <c r="A3078" t="s">
        <v>567</v>
      </c>
      <c r="B3078">
        <v>686</v>
      </c>
      <c r="C3078" t="s">
        <v>2951</v>
      </c>
      <c r="D3078" t="s">
        <v>3318</v>
      </c>
      <c r="E3078" t="s">
        <v>2952</v>
      </c>
    </row>
    <row r="3079" spans="1:5" x14ac:dyDescent="0.2">
      <c r="A3079" t="s">
        <v>505</v>
      </c>
      <c r="B3079">
        <v>505</v>
      </c>
      <c r="C3079" t="s">
        <v>2426</v>
      </c>
      <c r="D3079" t="s">
        <v>3988</v>
      </c>
      <c r="E3079" t="s">
        <v>2428</v>
      </c>
    </row>
    <row r="3080" spans="1:5" x14ac:dyDescent="0.2">
      <c r="A3080" t="s">
        <v>466</v>
      </c>
      <c r="B3080">
        <v>564</v>
      </c>
      <c r="C3080" t="s">
        <v>2762</v>
      </c>
      <c r="E3080" t="s">
        <v>3380</v>
      </c>
    </row>
    <row r="3081" spans="1:5" x14ac:dyDescent="0.2">
      <c r="A3081" t="s">
        <v>592</v>
      </c>
      <c r="B3081">
        <v>523</v>
      </c>
      <c r="C3081" t="s">
        <v>2406</v>
      </c>
      <c r="E3081" t="s">
        <v>2407</v>
      </c>
    </row>
    <row r="3082" spans="1:5" x14ac:dyDescent="0.2">
      <c r="A3082" t="s">
        <v>550</v>
      </c>
      <c r="B3082">
        <v>685</v>
      </c>
      <c r="C3082" t="s">
        <v>2729</v>
      </c>
      <c r="D3082" t="s">
        <v>4067</v>
      </c>
      <c r="E3082" t="s">
        <v>2730</v>
      </c>
    </row>
    <row r="3083" spans="1:5" x14ac:dyDescent="0.2">
      <c r="A3083" t="s">
        <v>567</v>
      </c>
      <c r="B3083">
        <v>690</v>
      </c>
      <c r="C3083" t="s">
        <v>3565</v>
      </c>
      <c r="D3083" t="s">
        <v>4068</v>
      </c>
      <c r="E3083" t="s">
        <v>3582</v>
      </c>
    </row>
    <row r="3084" spans="1:5" x14ac:dyDescent="0.2">
      <c r="A3084" t="s">
        <v>650</v>
      </c>
      <c r="B3084">
        <v>890</v>
      </c>
      <c r="C3084" t="s">
        <v>3799</v>
      </c>
      <c r="D3084" t="s">
        <v>4069</v>
      </c>
      <c r="E3084" t="s">
        <v>3581</v>
      </c>
    </row>
    <row r="3085" spans="1:5" x14ac:dyDescent="0.2">
      <c r="A3085" t="s">
        <v>650</v>
      </c>
      <c r="B3085">
        <v>940</v>
      </c>
      <c r="C3085" t="s">
        <v>2946</v>
      </c>
      <c r="D3085" t="s">
        <v>4070</v>
      </c>
      <c r="E3085" t="s">
        <v>2947</v>
      </c>
    </row>
    <row r="3086" spans="1:5" x14ac:dyDescent="0.2">
      <c r="A3086" t="s">
        <v>650</v>
      </c>
      <c r="B3086">
        <v>890</v>
      </c>
      <c r="C3086" t="s">
        <v>3799</v>
      </c>
      <c r="D3086" t="s">
        <v>4071</v>
      </c>
      <c r="E3086" t="s">
        <v>3581</v>
      </c>
    </row>
    <row r="3087" spans="1:5" x14ac:dyDescent="0.2">
      <c r="A3087" t="s">
        <v>382</v>
      </c>
      <c r="B3087">
        <v>690</v>
      </c>
      <c r="C3087" t="s">
        <v>3584</v>
      </c>
      <c r="D3087" t="s">
        <v>4072</v>
      </c>
      <c r="E3087" t="s">
        <v>3585</v>
      </c>
    </row>
    <row r="3088" spans="1:5" x14ac:dyDescent="0.2">
      <c r="A3088" t="s">
        <v>567</v>
      </c>
      <c r="B3088">
        <v>690</v>
      </c>
      <c r="C3088" t="s">
        <v>3565</v>
      </c>
      <c r="D3088" t="s">
        <v>4073</v>
      </c>
      <c r="E3088" t="s">
        <v>3582</v>
      </c>
    </row>
    <row r="3089" spans="1:5" x14ac:dyDescent="0.2">
      <c r="A3089" t="s">
        <v>466</v>
      </c>
      <c r="B3089">
        <v>995</v>
      </c>
      <c r="C3089" t="s">
        <v>3594</v>
      </c>
      <c r="E3089" t="s">
        <v>4074</v>
      </c>
    </row>
    <row r="3090" spans="1:5" x14ac:dyDescent="0.2">
      <c r="A3090" t="s">
        <v>539</v>
      </c>
      <c r="B3090">
        <v>690</v>
      </c>
      <c r="C3090" t="s">
        <v>3565</v>
      </c>
      <c r="D3090" t="s">
        <v>4023</v>
      </c>
      <c r="E3090" t="s">
        <v>3576</v>
      </c>
    </row>
    <row r="3091" spans="1:5" x14ac:dyDescent="0.2">
      <c r="A3091" t="s">
        <v>592</v>
      </c>
      <c r="B3091">
        <v>516</v>
      </c>
      <c r="C3091" t="s">
        <v>2461</v>
      </c>
      <c r="E3091" t="s">
        <v>2464</v>
      </c>
    </row>
    <row r="3092" spans="1:5" x14ac:dyDescent="0.2">
      <c r="A3092" t="s">
        <v>592</v>
      </c>
      <c r="B3092">
        <v>543</v>
      </c>
      <c r="C3092" t="s">
        <v>2494</v>
      </c>
      <c r="E3092" t="s">
        <v>2503</v>
      </c>
    </row>
    <row r="3093" spans="1:5" x14ac:dyDescent="0.2">
      <c r="A3093" t="s">
        <v>592</v>
      </c>
      <c r="B3093">
        <v>690</v>
      </c>
      <c r="C3093" t="s">
        <v>3561</v>
      </c>
      <c r="E3093" t="s">
        <v>3977</v>
      </c>
    </row>
    <row r="3094" spans="1:5" x14ac:dyDescent="0.2">
      <c r="A3094" t="s">
        <v>505</v>
      </c>
      <c r="B3094">
        <v>898</v>
      </c>
      <c r="C3094" t="s">
        <v>3631</v>
      </c>
      <c r="D3094" t="s">
        <v>3631</v>
      </c>
      <c r="E3094" t="s">
        <v>3632</v>
      </c>
    </row>
    <row r="3095" spans="1:5" x14ac:dyDescent="0.2">
      <c r="A3095" t="s">
        <v>592</v>
      </c>
      <c r="B3095">
        <v>690</v>
      </c>
      <c r="C3095" t="s">
        <v>3561</v>
      </c>
      <c r="D3095" t="s">
        <v>4075</v>
      </c>
      <c r="E3095" t="s">
        <v>3977</v>
      </c>
    </row>
    <row r="3096" spans="1:5" x14ac:dyDescent="0.2">
      <c r="A3096" t="s">
        <v>650</v>
      </c>
      <c r="B3096">
        <v>649</v>
      </c>
      <c r="C3096" t="s">
        <v>2979</v>
      </c>
      <c r="D3096" t="s">
        <v>4054</v>
      </c>
      <c r="E3096" t="s">
        <v>2980</v>
      </c>
    </row>
    <row r="3097" spans="1:5" x14ac:dyDescent="0.2">
      <c r="A3097" t="s">
        <v>592</v>
      </c>
      <c r="B3097">
        <v>660</v>
      </c>
      <c r="C3097" t="s">
        <v>3612</v>
      </c>
      <c r="E3097" t="s">
        <v>3982</v>
      </c>
    </row>
    <row r="3098" spans="1:5" x14ac:dyDescent="0.2">
      <c r="A3098" t="s">
        <v>567</v>
      </c>
      <c r="B3098">
        <v>556</v>
      </c>
      <c r="C3098" t="s">
        <v>2562</v>
      </c>
      <c r="E3098" t="s">
        <v>2537</v>
      </c>
    </row>
    <row r="3099" spans="1:5" x14ac:dyDescent="0.2">
      <c r="A3099" t="s">
        <v>550</v>
      </c>
      <c r="B3099">
        <v>695</v>
      </c>
      <c r="C3099" t="s">
        <v>2582</v>
      </c>
      <c r="D3099" t="s">
        <v>4040</v>
      </c>
      <c r="E3099" t="s">
        <v>2584</v>
      </c>
    </row>
    <row r="3100" spans="1:5" x14ac:dyDescent="0.2">
      <c r="A3100" t="s">
        <v>466</v>
      </c>
      <c r="B3100">
        <v>620</v>
      </c>
      <c r="C3100" t="s">
        <v>3610</v>
      </c>
      <c r="D3100" t="s">
        <v>3610</v>
      </c>
      <c r="E3100" t="s">
        <v>4036</v>
      </c>
    </row>
    <row r="3101" spans="1:5" x14ac:dyDescent="0.2">
      <c r="A3101" t="s">
        <v>466</v>
      </c>
      <c r="B3101">
        <v>680</v>
      </c>
      <c r="C3101" t="s">
        <v>3612</v>
      </c>
      <c r="D3101" t="s">
        <v>3553</v>
      </c>
      <c r="E3101" t="s">
        <v>3554</v>
      </c>
    </row>
    <row r="3102" spans="1:5" x14ac:dyDescent="0.2">
      <c r="A3102" t="s">
        <v>466</v>
      </c>
      <c r="B3102">
        <v>680</v>
      </c>
      <c r="C3102" t="s">
        <v>3612</v>
      </c>
      <c r="D3102" t="s">
        <v>3553</v>
      </c>
      <c r="E3102" t="s">
        <v>3554</v>
      </c>
    </row>
    <row r="3103" spans="1:5" x14ac:dyDescent="0.2">
      <c r="A3103" t="s">
        <v>466</v>
      </c>
      <c r="B3103">
        <v>878</v>
      </c>
      <c r="C3103" t="s">
        <v>3555</v>
      </c>
      <c r="D3103" t="s">
        <v>3555</v>
      </c>
      <c r="E3103" t="s">
        <v>3556</v>
      </c>
    </row>
    <row r="3104" spans="1:5" x14ac:dyDescent="0.2">
      <c r="A3104" t="s">
        <v>466</v>
      </c>
      <c r="B3104">
        <v>880</v>
      </c>
      <c r="C3104" t="s">
        <v>4076</v>
      </c>
      <c r="D3104" t="s">
        <v>3622</v>
      </c>
      <c r="E3104" t="s">
        <v>4077</v>
      </c>
    </row>
    <row r="3105" spans="1:5" x14ac:dyDescent="0.2">
      <c r="A3105" t="s">
        <v>466</v>
      </c>
      <c r="B3105">
        <v>885</v>
      </c>
      <c r="C3105" t="s">
        <v>3612</v>
      </c>
      <c r="D3105" t="s">
        <v>3612</v>
      </c>
      <c r="E3105" t="s">
        <v>4065</v>
      </c>
    </row>
    <row r="3106" spans="1:5" x14ac:dyDescent="0.2">
      <c r="A3106" t="s">
        <v>466</v>
      </c>
      <c r="B3106">
        <v>887</v>
      </c>
      <c r="C3106" t="s">
        <v>3677</v>
      </c>
      <c r="D3106" t="s">
        <v>3677</v>
      </c>
      <c r="E3106" t="s">
        <v>4066</v>
      </c>
    </row>
    <row r="3107" spans="1:5" x14ac:dyDescent="0.2">
      <c r="A3107" t="s">
        <v>650</v>
      </c>
      <c r="B3107">
        <v>615</v>
      </c>
      <c r="C3107" t="s">
        <v>2713</v>
      </c>
      <c r="E3107" t="s">
        <v>2714</v>
      </c>
    </row>
    <row r="3108" spans="1:5" x14ac:dyDescent="0.2">
      <c r="A3108" t="s">
        <v>550</v>
      </c>
      <c r="B3108">
        <v>690</v>
      </c>
      <c r="C3108" t="s">
        <v>3565</v>
      </c>
      <c r="D3108" t="s">
        <v>4078</v>
      </c>
      <c r="E3108" t="s">
        <v>3593</v>
      </c>
    </row>
    <row r="3109" spans="1:5" x14ac:dyDescent="0.2">
      <c r="A3109" t="s">
        <v>592</v>
      </c>
      <c r="B3109">
        <v>890</v>
      </c>
      <c r="C3109" t="s">
        <v>3563</v>
      </c>
      <c r="E3109" t="s">
        <v>3978</v>
      </c>
    </row>
    <row r="3110" spans="1:5" x14ac:dyDescent="0.2">
      <c r="A3110" t="s">
        <v>466</v>
      </c>
      <c r="B3110">
        <v>870</v>
      </c>
      <c r="C3110" t="s">
        <v>3046</v>
      </c>
      <c r="E3110" t="s">
        <v>3356</v>
      </c>
    </row>
    <row r="3111" spans="1:5" x14ac:dyDescent="0.2">
      <c r="A3111" t="s">
        <v>539</v>
      </c>
      <c r="B3111">
        <v>690</v>
      </c>
      <c r="C3111" t="s">
        <v>3565</v>
      </c>
      <c r="D3111" t="s">
        <v>4079</v>
      </c>
      <c r="E3111" t="s">
        <v>3576</v>
      </c>
    </row>
    <row r="3112" spans="1:5" x14ac:dyDescent="0.2">
      <c r="A3112" t="s">
        <v>592</v>
      </c>
      <c r="B3112">
        <v>690</v>
      </c>
      <c r="C3112" t="s">
        <v>3561</v>
      </c>
      <c r="D3112" t="s">
        <v>4080</v>
      </c>
      <c r="E3112" t="s">
        <v>3977</v>
      </c>
    </row>
    <row r="3113" spans="1:5" x14ac:dyDescent="0.2">
      <c r="A3113" t="s">
        <v>592</v>
      </c>
      <c r="B3113">
        <v>890</v>
      </c>
      <c r="C3113" t="s">
        <v>3563</v>
      </c>
      <c r="D3113" t="s">
        <v>3563</v>
      </c>
      <c r="E3113" t="s">
        <v>3978</v>
      </c>
    </row>
    <row r="3114" spans="1:5" x14ac:dyDescent="0.2">
      <c r="A3114" t="s">
        <v>592</v>
      </c>
      <c r="B3114">
        <v>890</v>
      </c>
      <c r="C3114" t="s">
        <v>3563</v>
      </c>
      <c r="D3114" t="s">
        <v>3563</v>
      </c>
      <c r="E3114" t="s">
        <v>3978</v>
      </c>
    </row>
    <row r="3115" spans="1:5" x14ac:dyDescent="0.2">
      <c r="A3115" t="s">
        <v>592</v>
      </c>
      <c r="B3115">
        <v>890</v>
      </c>
      <c r="C3115" t="s">
        <v>3563</v>
      </c>
      <c r="D3115" t="s">
        <v>3563</v>
      </c>
      <c r="E3115" t="s">
        <v>3978</v>
      </c>
    </row>
    <row r="3116" spans="1:5" x14ac:dyDescent="0.2">
      <c r="A3116" t="s">
        <v>592</v>
      </c>
      <c r="B3116">
        <v>890</v>
      </c>
      <c r="C3116" t="s">
        <v>3563</v>
      </c>
      <c r="D3116" t="s">
        <v>3563</v>
      </c>
      <c r="E3116" t="s">
        <v>3978</v>
      </c>
    </row>
    <row r="3117" spans="1:5" x14ac:dyDescent="0.2">
      <c r="A3117" t="s">
        <v>592</v>
      </c>
      <c r="B3117">
        <v>890</v>
      </c>
      <c r="C3117" t="s">
        <v>3563</v>
      </c>
      <c r="D3117" t="s">
        <v>3563</v>
      </c>
      <c r="E3117" t="s">
        <v>3978</v>
      </c>
    </row>
    <row r="3118" spans="1:5" x14ac:dyDescent="0.2">
      <c r="A3118" t="s">
        <v>592</v>
      </c>
      <c r="B3118">
        <v>890</v>
      </c>
      <c r="C3118" t="s">
        <v>3563</v>
      </c>
      <c r="D3118" t="s">
        <v>3563</v>
      </c>
      <c r="E3118" t="s">
        <v>3978</v>
      </c>
    </row>
    <row r="3119" spans="1:5" x14ac:dyDescent="0.2">
      <c r="A3119" t="s">
        <v>592</v>
      </c>
      <c r="B3119">
        <v>890</v>
      </c>
      <c r="C3119" t="s">
        <v>3563</v>
      </c>
      <c r="D3119" t="s">
        <v>3563</v>
      </c>
      <c r="E3119" t="s">
        <v>3978</v>
      </c>
    </row>
    <row r="3120" spans="1:5" x14ac:dyDescent="0.2">
      <c r="A3120" t="s">
        <v>592</v>
      </c>
      <c r="B3120">
        <v>890</v>
      </c>
      <c r="C3120" t="s">
        <v>3563</v>
      </c>
      <c r="D3120" t="s">
        <v>3563</v>
      </c>
      <c r="E3120" t="s">
        <v>3978</v>
      </c>
    </row>
    <row r="3121" spans="1:5" x14ac:dyDescent="0.2">
      <c r="A3121" t="s">
        <v>592</v>
      </c>
      <c r="B3121">
        <v>890</v>
      </c>
      <c r="C3121" t="s">
        <v>3563</v>
      </c>
      <c r="D3121" t="s">
        <v>3563</v>
      </c>
      <c r="E3121" t="s">
        <v>3978</v>
      </c>
    </row>
    <row r="3122" spans="1:5" x14ac:dyDescent="0.2">
      <c r="A3122" t="s">
        <v>592</v>
      </c>
      <c r="B3122">
        <v>890</v>
      </c>
      <c r="C3122" t="s">
        <v>3563</v>
      </c>
      <c r="D3122" t="s">
        <v>3563</v>
      </c>
      <c r="E3122" t="s">
        <v>3978</v>
      </c>
    </row>
    <row r="3123" spans="1:5" x14ac:dyDescent="0.2">
      <c r="A3123" t="s">
        <v>505</v>
      </c>
      <c r="B3123">
        <v>695</v>
      </c>
      <c r="C3123" t="s">
        <v>2669</v>
      </c>
      <c r="D3123" t="s">
        <v>2669</v>
      </c>
      <c r="E3123" t="s">
        <v>2670</v>
      </c>
    </row>
    <row r="3124" spans="1:5" x14ac:dyDescent="0.2">
      <c r="A3124" t="s">
        <v>505</v>
      </c>
      <c r="B3124">
        <v>680</v>
      </c>
      <c r="C3124" t="s">
        <v>2564</v>
      </c>
      <c r="D3124" t="s">
        <v>2564</v>
      </c>
      <c r="E3124" t="s">
        <v>2565</v>
      </c>
    </row>
    <row r="3125" spans="1:5" x14ac:dyDescent="0.2">
      <c r="A3125" t="s">
        <v>505</v>
      </c>
      <c r="B3125">
        <v>688</v>
      </c>
      <c r="C3125" t="s">
        <v>2586</v>
      </c>
      <c r="D3125" t="s">
        <v>2586</v>
      </c>
      <c r="E3125" t="s">
        <v>2587</v>
      </c>
    </row>
    <row r="3126" spans="1:5" x14ac:dyDescent="0.2">
      <c r="A3126" t="s">
        <v>505</v>
      </c>
      <c r="B3126">
        <v>697</v>
      </c>
      <c r="C3126" t="s">
        <v>2671</v>
      </c>
      <c r="D3126" t="s">
        <v>2675</v>
      </c>
      <c r="E3126" t="s">
        <v>2672</v>
      </c>
    </row>
    <row r="3127" spans="1:5" x14ac:dyDescent="0.2">
      <c r="A3127" t="s">
        <v>505</v>
      </c>
      <c r="B3127">
        <v>695</v>
      </c>
      <c r="C3127" t="s">
        <v>2669</v>
      </c>
      <c r="D3127" t="s">
        <v>2669</v>
      </c>
      <c r="E3127" t="s">
        <v>2670</v>
      </c>
    </row>
    <row r="3128" spans="1:5" x14ac:dyDescent="0.2">
      <c r="A3128" t="s">
        <v>466</v>
      </c>
      <c r="B3128">
        <v>880</v>
      </c>
      <c r="C3128" t="s">
        <v>4076</v>
      </c>
      <c r="D3128" t="s">
        <v>4076</v>
      </c>
      <c r="E3128" t="s">
        <v>4077</v>
      </c>
    </row>
    <row r="3129" spans="1:5" x14ac:dyDescent="0.2">
      <c r="A3129" t="s">
        <v>466</v>
      </c>
      <c r="B3129">
        <v>620</v>
      </c>
      <c r="C3129" t="s">
        <v>3610</v>
      </c>
      <c r="D3129" t="s">
        <v>3610</v>
      </c>
      <c r="E3129" t="s">
        <v>4036</v>
      </c>
    </row>
    <row r="3130" spans="1:5" x14ac:dyDescent="0.2">
      <c r="A3130" t="s">
        <v>466</v>
      </c>
      <c r="B3130">
        <v>994</v>
      </c>
      <c r="C3130" t="s">
        <v>3960</v>
      </c>
      <c r="D3130" t="s">
        <v>3960</v>
      </c>
      <c r="E3130" t="s">
        <v>4052</v>
      </c>
    </row>
    <row r="3131" spans="1:5" x14ac:dyDescent="0.2">
      <c r="A3131" t="s">
        <v>539</v>
      </c>
      <c r="B3131">
        <v>897</v>
      </c>
      <c r="C3131" t="s">
        <v>3794</v>
      </c>
      <c r="D3131" t="s">
        <v>3794</v>
      </c>
      <c r="E3131" t="s">
        <v>3796</v>
      </c>
    </row>
    <row r="3132" spans="1:5" x14ac:dyDescent="0.2">
      <c r="A3132" t="s">
        <v>592</v>
      </c>
      <c r="B3132">
        <v>690</v>
      </c>
      <c r="C3132" t="s">
        <v>3561</v>
      </c>
      <c r="D3132" t="s">
        <v>3561</v>
      </c>
      <c r="E3132" t="s">
        <v>3977</v>
      </c>
    </row>
    <row r="3133" spans="1:5" x14ac:dyDescent="0.2">
      <c r="A3133" t="s">
        <v>592</v>
      </c>
      <c r="B3133">
        <v>690</v>
      </c>
      <c r="C3133" t="s">
        <v>3561</v>
      </c>
      <c r="D3133" t="s">
        <v>3561</v>
      </c>
      <c r="E3133" t="s">
        <v>3977</v>
      </c>
    </row>
    <row r="3134" spans="1:5" x14ac:dyDescent="0.2">
      <c r="A3134" t="s">
        <v>592</v>
      </c>
      <c r="B3134">
        <v>690</v>
      </c>
      <c r="C3134" t="s">
        <v>3561</v>
      </c>
      <c r="D3134" t="s">
        <v>3561</v>
      </c>
      <c r="E3134" t="s">
        <v>3977</v>
      </c>
    </row>
    <row r="3135" spans="1:5" x14ac:dyDescent="0.2">
      <c r="A3135" t="s">
        <v>466</v>
      </c>
      <c r="B3135">
        <v>699</v>
      </c>
      <c r="C3135" t="s">
        <v>4081</v>
      </c>
      <c r="E3135" t="s">
        <v>4082</v>
      </c>
    </row>
    <row r="3136" spans="1:5" x14ac:dyDescent="0.2">
      <c r="A3136" t="s">
        <v>539</v>
      </c>
      <c r="B3136">
        <v>536</v>
      </c>
      <c r="C3136" t="s">
        <v>2658</v>
      </c>
      <c r="E3136" t="s">
        <v>2640</v>
      </c>
    </row>
    <row r="3137" spans="1:5" x14ac:dyDescent="0.2">
      <c r="A3137" t="s">
        <v>539</v>
      </c>
      <c r="B3137">
        <v>885</v>
      </c>
      <c r="C3137" t="s">
        <v>2389</v>
      </c>
      <c r="E3137" t="s">
        <v>2391</v>
      </c>
    </row>
    <row r="3138" spans="1:5" x14ac:dyDescent="0.2">
      <c r="A3138" t="s">
        <v>539</v>
      </c>
      <c r="B3138">
        <v>690</v>
      </c>
      <c r="C3138" t="s">
        <v>3565</v>
      </c>
      <c r="D3138" t="s">
        <v>4083</v>
      </c>
      <c r="E3138" t="s">
        <v>3576</v>
      </c>
    </row>
    <row r="3139" spans="1:5" x14ac:dyDescent="0.2">
      <c r="A3139" t="s">
        <v>539</v>
      </c>
      <c r="B3139">
        <v>690</v>
      </c>
      <c r="C3139" t="s">
        <v>3565</v>
      </c>
      <c r="D3139" t="s">
        <v>4084</v>
      </c>
      <c r="E3139" t="s">
        <v>3576</v>
      </c>
    </row>
    <row r="3140" spans="1:5" x14ac:dyDescent="0.2">
      <c r="A3140" t="s">
        <v>505</v>
      </c>
      <c r="B3140">
        <v>790</v>
      </c>
      <c r="C3140" t="s">
        <v>2470</v>
      </c>
      <c r="E3140" t="s">
        <v>2471</v>
      </c>
    </row>
    <row r="3141" spans="1:5" x14ac:dyDescent="0.2">
      <c r="A3141" t="s">
        <v>505</v>
      </c>
      <c r="B3141">
        <v>793</v>
      </c>
      <c r="C3141" t="s">
        <v>2482</v>
      </c>
      <c r="E3141" t="s">
        <v>2483</v>
      </c>
    </row>
    <row r="3142" spans="1:5" x14ac:dyDescent="0.2">
      <c r="A3142" t="s">
        <v>505</v>
      </c>
      <c r="B3142">
        <v>706</v>
      </c>
      <c r="C3142" t="s">
        <v>2472</v>
      </c>
      <c r="E3142" t="s">
        <v>2473</v>
      </c>
    </row>
    <row r="3143" spans="1:5" x14ac:dyDescent="0.2">
      <c r="A3143" t="s">
        <v>505</v>
      </c>
      <c r="B3143">
        <v>790</v>
      </c>
      <c r="C3143" t="s">
        <v>2470</v>
      </c>
      <c r="E3143" t="s">
        <v>2471</v>
      </c>
    </row>
    <row r="3144" spans="1:5" x14ac:dyDescent="0.2">
      <c r="A3144" t="s">
        <v>505</v>
      </c>
      <c r="B3144">
        <v>793</v>
      </c>
      <c r="C3144" t="s">
        <v>2482</v>
      </c>
      <c r="E3144" t="s">
        <v>2483</v>
      </c>
    </row>
    <row r="3145" spans="1:5" x14ac:dyDescent="0.2">
      <c r="A3145" t="s">
        <v>505</v>
      </c>
      <c r="B3145">
        <v>706</v>
      </c>
      <c r="C3145" t="s">
        <v>2472</v>
      </c>
      <c r="E3145" t="s">
        <v>2473</v>
      </c>
    </row>
    <row r="3146" spans="1:5" x14ac:dyDescent="0.2">
      <c r="A3146" t="s">
        <v>592</v>
      </c>
      <c r="B3146">
        <v>637</v>
      </c>
      <c r="C3146" t="s">
        <v>2498</v>
      </c>
      <c r="E3146" t="s">
        <v>2508</v>
      </c>
    </row>
    <row r="3147" spans="1:5" x14ac:dyDescent="0.2">
      <c r="A3147" t="s">
        <v>592</v>
      </c>
      <c r="B3147">
        <v>690</v>
      </c>
      <c r="C3147" t="s">
        <v>3561</v>
      </c>
      <c r="D3147" t="s">
        <v>4085</v>
      </c>
      <c r="E3147" t="s">
        <v>3977</v>
      </c>
    </row>
    <row r="3148" spans="1:5" x14ac:dyDescent="0.2">
      <c r="A3148" t="s">
        <v>650</v>
      </c>
      <c r="B3148">
        <v>885</v>
      </c>
      <c r="C3148" t="s">
        <v>2386</v>
      </c>
      <c r="D3148" t="s">
        <v>3201</v>
      </c>
      <c r="E3148" t="s">
        <v>3027</v>
      </c>
    </row>
    <row r="3149" spans="1:5" x14ac:dyDescent="0.2">
      <c r="A3149" t="s">
        <v>592</v>
      </c>
      <c r="B3149">
        <v>562</v>
      </c>
      <c r="C3149" t="s">
        <v>2907</v>
      </c>
      <c r="E3149" t="s">
        <v>3362</v>
      </c>
    </row>
    <row r="3150" spans="1:5" x14ac:dyDescent="0.2">
      <c r="A3150" t="s">
        <v>466</v>
      </c>
      <c r="B3150">
        <v>681</v>
      </c>
      <c r="C3150" t="s">
        <v>4086</v>
      </c>
      <c r="E3150" t="s">
        <v>4087</v>
      </c>
    </row>
    <row r="3151" spans="1:5" x14ac:dyDescent="0.2">
      <c r="A3151" t="s">
        <v>592</v>
      </c>
      <c r="B3151">
        <v>560</v>
      </c>
      <c r="C3151" t="s">
        <v>3616</v>
      </c>
      <c r="E3151" t="s">
        <v>4044</v>
      </c>
    </row>
    <row r="3152" spans="1:5" x14ac:dyDescent="0.2">
      <c r="A3152" t="s">
        <v>505</v>
      </c>
      <c r="B3152">
        <v>505</v>
      </c>
      <c r="C3152" t="s">
        <v>2426</v>
      </c>
      <c r="D3152" t="s">
        <v>3986</v>
      </c>
      <c r="E3152" t="s">
        <v>2428</v>
      </c>
    </row>
    <row r="3153" spans="1:5" x14ac:dyDescent="0.2">
      <c r="A3153" t="s">
        <v>505</v>
      </c>
      <c r="B3153">
        <v>505</v>
      </c>
      <c r="C3153" t="s">
        <v>2426</v>
      </c>
      <c r="D3153" t="s">
        <v>4088</v>
      </c>
      <c r="E3153" t="s">
        <v>2428</v>
      </c>
    </row>
    <row r="3154" spans="1:5" x14ac:dyDescent="0.2">
      <c r="A3154" t="s">
        <v>466</v>
      </c>
      <c r="B3154">
        <v>690</v>
      </c>
      <c r="C3154" t="s">
        <v>3565</v>
      </c>
      <c r="D3154" t="s">
        <v>3831</v>
      </c>
      <c r="E3154" t="s">
        <v>3980</v>
      </c>
    </row>
    <row r="3155" spans="1:5" x14ac:dyDescent="0.2">
      <c r="A3155" t="s">
        <v>466</v>
      </c>
      <c r="B3155">
        <v>635</v>
      </c>
      <c r="C3155" t="s">
        <v>2459</v>
      </c>
      <c r="E3155" t="s">
        <v>2465</v>
      </c>
    </row>
    <row r="3156" spans="1:5" x14ac:dyDescent="0.2">
      <c r="A3156" t="s">
        <v>413</v>
      </c>
      <c r="B3156">
        <v>892</v>
      </c>
      <c r="C3156" t="s">
        <v>3965</v>
      </c>
      <c r="D3156" t="s">
        <v>4089</v>
      </c>
      <c r="E3156" t="s">
        <v>3786</v>
      </c>
    </row>
    <row r="3157" spans="1:5" x14ac:dyDescent="0.2">
      <c r="A3157" t="s">
        <v>466</v>
      </c>
      <c r="B3157">
        <v>690</v>
      </c>
      <c r="C3157" t="s">
        <v>3565</v>
      </c>
      <c r="D3157" t="s">
        <v>4090</v>
      </c>
      <c r="E3157" t="s">
        <v>3980</v>
      </c>
    </row>
    <row r="3158" spans="1:5" x14ac:dyDescent="0.2">
      <c r="A3158" t="s">
        <v>650</v>
      </c>
      <c r="B3158">
        <v>649</v>
      </c>
      <c r="C3158" t="s">
        <v>2979</v>
      </c>
      <c r="D3158" t="s">
        <v>4070</v>
      </c>
      <c r="E3158" t="s">
        <v>2980</v>
      </c>
    </row>
    <row r="3159" spans="1:5" x14ac:dyDescent="0.2">
      <c r="A3159" t="s">
        <v>505</v>
      </c>
      <c r="B3159">
        <v>505</v>
      </c>
      <c r="C3159" t="s">
        <v>2426</v>
      </c>
      <c r="D3159" t="s">
        <v>3975</v>
      </c>
      <c r="E3159" t="s">
        <v>2428</v>
      </c>
    </row>
    <row r="3160" spans="1:5" x14ac:dyDescent="0.2">
      <c r="A3160" t="s">
        <v>592</v>
      </c>
      <c r="B3160">
        <v>557</v>
      </c>
      <c r="C3160" t="s">
        <v>3258</v>
      </c>
      <c r="E3160" t="s">
        <v>3259</v>
      </c>
    </row>
    <row r="3161" spans="1:5" x14ac:dyDescent="0.2">
      <c r="A3161" t="s">
        <v>505</v>
      </c>
      <c r="B3161">
        <v>797</v>
      </c>
      <c r="C3161" t="s">
        <v>3565</v>
      </c>
      <c r="D3161" t="s">
        <v>4091</v>
      </c>
      <c r="E3161" t="s">
        <v>3629</v>
      </c>
    </row>
    <row r="3162" spans="1:5" x14ac:dyDescent="0.2">
      <c r="A3162" t="s">
        <v>413</v>
      </c>
      <c r="B3162">
        <v>571</v>
      </c>
      <c r="C3162" t="s">
        <v>3185</v>
      </c>
      <c r="E3162" t="s">
        <v>3186</v>
      </c>
    </row>
    <row r="3163" spans="1:5" x14ac:dyDescent="0.2">
      <c r="A3163" t="s">
        <v>505</v>
      </c>
      <c r="B3163">
        <v>995</v>
      </c>
      <c r="C3163" t="s">
        <v>2938</v>
      </c>
      <c r="D3163" t="s">
        <v>2938</v>
      </c>
      <c r="E3163" t="s">
        <v>2939</v>
      </c>
    </row>
    <row r="3164" spans="1:5" x14ac:dyDescent="0.2">
      <c r="A3164" t="s">
        <v>592</v>
      </c>
      <c r="B3164">
        <v>660</v>
      </c>
      <c r="C3164" t="s">
        <v>3612</v>
      </c>
      <c r="D3164" t="s">
        <v>4092</v>
      </c>
      <c r="E3164" t="s">
        <v>3982</v>
      </c>
    </row>
    <row r="3165" spans="1:5" x14ac:dyDescent="0.2">
      <c r="A3165" t="s">
        <v>592</v>
      </c>
      <c r="B3165">
        <v>526</v>
      </c>
      <c r="C3165" t="s">
        <v>2588</v>
      </c>
      <c r="D3165" t="s">
        <v>2588</v>
      </c>
      <c r="E3165" t="s">
        <v>3252</v>
      </c>
    </row>
    <row r="3166" spans="1:5" x14ac:dyDescent="0.2">
      <c r="A3166" t="s">
        <v>650</v>
      </c>
      <c r="B3166">
        <v>897</v>
      </c>
      <c r="C3166" t="s">
        <v>3565</v>
      </c>
      <c r="D3166" t="s">
        <v>4093</v>
      </c>
      <c r="E3166" t="s">
        <v>3825</v>
      </c>
    </row>
    <row r="3167" spans="1:5" x14ac:dyDescent="0.2">
      <c r="A3167" t="s">
        <v>413</v>
      </c>
      <c r="B3167">
        <v>570</v>
      </c>
      <c r="C3167" t="s">
        <v>3183</v>
      </c>
      <c r="E3167" t="s">
        <v>3184</v>
      </c>
    </row>
    <row r="3168" spans="1:5" x14ac:dyDescent="0.2">
      <c r="A3168" t="s">
        <v>413</v>
      </c>
      <c r="B3168">
        <v>885</v>
      </c>
      <c r="C3168" t="s">
        <v>2389</v>
      </c>
      <c r="D3168" t="s">
        <v>4094</v>
      </c>
      <c r="E3168" t="s">
        <v>3334</v>
      </c>
    </row>
    <row r="3169" spans="1:5" x14ac:dyDescent="0.2">
      <c r="A3169" t="s">
        <v>539</v>
      </c>
      <c r="B3169">
        <v>530</v>
      </c>
      <c r="C3169" t="s">
        <v>3148</v>
      </c>
      <c r="E3169" t="s">
        <v>3149</v>
      </c>
    </row>
    <row r="3170" spans="1:5" x14ac:dyDescent="0.2">
      <c r="A3170" t="s">
        <v>592</v>
      </c>
      <c r="B3170">
        <v>690</v>
      </c>
      <c r="C3170" t="s">
        <v>3561</v>
      </c>
      <c r="D3170" t="s">
        <v>4095</v>
      </c>
      <c r="E3170" t="s">
        <v>3977</v>
      </c>
    </row>
    <row r="3171" spans="1:5" x14ac:dyDescent="0.2">
      <c r="A3171" t="s">
        <v>413</v>
      </c>
      <c r="B3171">
        <v>690</v>
      </c>
      <c r="C3171" t="s">
        <v>3565</v>
      </c>
      <c r="D3171" t="s">
        <v>4096</v>
      </c>
      <c r="E3171" t="s">
        <v>3566</v>
      </c>
    </row>
    <row r="3172" spans="1:5" x14ac:dyDescent="0.2">
      <c r="A3172" t="s">
        <v>413</v>
      </c>
      <c r="B3172">
        <v>690</v>
      </c>
      <c r="C3172" t="s">
        <v>3565</v>
      </c>
      <c r="D3172" t="s">
        <v>4097</v>
      </c>
      <c r="E3172" t="s">
        <v>3566</v>
      </c>
    </row>
    <row r="3173" spans="1:5" x14ac:dyDescent="0.2">
      <c r="A3173" t="s">
        <v>413</v>
      </c>
      <c r="B3173">
        <v>690</v>
      </c>
      <c r="C3173" t="s">
        <v>3565</v>
      </c>
      <c r="D3173" t="s">
        <v>4098</v>
      </c>
      <c r="E3173" t="s">
        <v>3566</v>
      </c>
    </row>
    <row r="3174" spans="1:5" x14ac:dyDescent="0.2">
      <c r="A3174" t="s">
        <v>505</v>
      </c>
      <c r="B3174">
        <v>505</v>
      </c>
      <c r="C3174" t="s">
        <v>2426</v>
      </c>
      <c r="D3174" t="s">
        <v>3988</v>
      </c>
      <c r="E3174" t="s">
        <v>2428</v>
      </c>
    </row>
    <row r="3175" spans="1:5" x14ac:dyDescent="0.2">
      <c r="A3175" t="s">
        <v>550</v>
      </c>
      <c r="B3175">
        <v>897</v>
      </c>
      <c r="C3175" t="s">
        <v>3565</v>
      </c>
      <c r="D3175" t="s">
        <v>4099</v>
      </c>
      <c r="E3175" t="s">
        <v>3808</v>
      </c>
    </row>
    <row r="3176" spans="1:5" x14ac:dyDescent="0.2">
      <c r="A3176" t="s">
        <v>466</v>
      </c>
      <c r="B3176">
        <v>626</v>
      </c>
      <c r="C3176" t="s">
        <v>2883</v>
      </c>
      <c r="E3176" t="s">
        <v>3480</v>
      </c>
    </row>
    <row r="3177" spans="1:5" x14ac:dyDescent="0.2">
      <c r="A3177" t="s">
        <v>650</v>
      </c>
      <c r="B3177">
        <v>690</v>
      </c>
      <c r="C3177" t="s">
        <v>3565</v>
      </c>
      <c r="D3177" t="s">
        <v>4100</v>
      </c>
      <c r="E3177" t="s">
        <v>3573</v>
      </c>
    </row>
    <row r="3178" spans="1:5" x14ac:dyDescent="0.2">
      <c r="A3178" t="s">
        <v>650</v>
      </c>
      <c r="B3178">
        <v>690</v>
      </c>
      <c r="C3178" t="s">
        <v>3565</v>
      </c>
      <c r="D3178" t="s">
        <v>4101</v>
      </c>
      <c r="E3178" t="s">
        <v>3573</v>
      </c>
    </row>
    <row r="3179" spans="1:5" x14ac:dyDescent="0.2">
      <c r="A3179" t="s">
        <v>505</v>
      </c>
      <c r="B3179">
        <v>648</v>
      </c>
      <c r="C3179" t="s">
        <v>675</v>
      </c>
      <c r="D3179" t="s">
        <v>4102</v>
      </c>
      <c r="E3179" t="s">
        <v>2396</v>
      </c>
    </row>
    <row r="3180" spans="1:5" x14ac:dyDescent="0.2">
      <c r="A3180" t="s">
        <v>592</v>
      </c>
      <c r="B3180">
        <v>552</v>
      </c>
      <c r="C3180" t="s">
        <v>2772</v>
      </c>
      <c r="E3180" t="s">
        <v>3268</v>
      </c>
    </row>
    <row r="3181" spans="1:5" x14ac:dyDescent="0.2">
      <c r="A3181" t="s">
        <v>505</v>
      </c>
      <c r="B3181">
        <v>505</v>
      </c>
      <c r="C3181" t="s">
        <v>2426</v>
      </c>
      <c r="D3181" t="s">
        <v>3975</v>
      </c>
      <c r="E3181" t="s">
        <v>2428</v>
      </c>
    </row>
    <row r="3182" spans="1:5" x14ac:dyDescent="0.2">
      <c r="A3182" t="s">
        <v>539</v>
      </c>
      <c r="B3182">
        <v>690</v>
      </c>
      <c r="C3182" t="s">
        <v>3565</v>
      </c>
      <c r="D3182" t="s">
        <v>4103</v>
      </c>
      <c r="E3182" t="s">
        <v>3576</v>
      </c>
    </row>
    <row r="3183" spans="1:5" x14ac:dyDescent="0.2">
      <c r="A3183" t="s">
        <v>466</v>
      </c>
      <c r="B3183">
        <v>994</v>
      </c>
      <c r="C3183" t="s">
        <v>3960</v>
      </c>
      <c r="D3183" t="s">
        <v>3960</v>
      </c>
      <c r="E3183" t="s">
        <v>4052</v>
      </c>
    </row>
    <row r="3184" spans="1:5" x14ac:dyDescent="0.2">
      <c r="A3184" t="s">
        <v>413</v>
      </c>
      <c r="B3184">
        <v>690</v>
      </c>
      <c r="C3184" t="s">
        <v>3565</v>
      </c>
      <c r="D3184" t="s">
        <v>4104</v>
      </c>
      <c r="E3184" t="s">
        <v>3566</v>
      </c>
    </row>
    <row r="3185" spans="1:5" x14ac:dyDescent="0.2">
      <c r="A3185" t="s">
        <v>413</v>
      </c>
      <c r="B3185">
        <v>506</v>
      </c>
      <c r="C3185" t="s">
        <v>2466</v>
      </c>
      <c r="E3185" t="s">
        <v>2467</v>
      </c>
    </row>
    <row r="3186" spans="1:5" x14ac:dyDescent="0.2">
      <c r="A3186" t="s">
        <v>466</v>
      </c>
      <c r="B3186">
        <v>661</v>
      </c>
      <c r="C3186" t="s">
        <v>4105</v>
      </c>
      <c r="E3186" t="s">
        <v>4106</v>
      </c>
    </row>
    <row r="3187" spans="1:5" x14ac:dyDescent="0.2">
      <c r="A3187" t="s">
        <v>505</v>
      </c>
      <c r="B3187">
        <v>505</v>
      </c>
      <c r="C3187" t="s">
        <v>2426</v>
      </c>
      <c r="D3187" t="s">
        <v>4107</v>
      </c>
      <c r="E3187" t="s">
        <v>2428</v>
      </c>
    </row>
    <row r="3188" spans="1:5" x14ac:dyDescent="0.2">
      <c r="A3188" t="s">
        <v>466</v>
      </c>
      <c r="B3188">
        <v>885</v>
      </c>
      <c r="C3188" t="s">
        <v>3612</v>
      </c>
      <c r="E3188" t="s">
        <v>4065</v>
      </c>
    </row>
    <row r="3189" spans="1:5" x14ac:dyDescent="0.2">
      <c r="A3189" t="s">
        <v>592</v>
      </c>
      <c r="B3189">
        <v>690</v>
      </c>
      <c r="C3189" t="s">
        <v>3561</v>
      </c>
      <c r="E3189" t="s">
        <v>3977</v>
      </c>
    </row>
    <row r="3190" spans="1:5" x14ac:dyDescent="0.2">
      <c r="A3190" t="s">
        <v>592</v>
      </c>
      <c r="B3190">
        <v>690</v>
      </c>
      <c r="C3190" t="s">
        <v>3561</v>
      </c>
      <c r="E3190" t="s">
        <v>3977</v>
      </c>
    </row>
    <row r="3191" spans="1:5" x14ac:dyDescent="0.2">
      <c r="A3191" t="s">
        <v>466</v>
      </c>
      <c r="B3191">
        <v>636</v>
      </c>
      <c r="C3191" t="s">
        <v>2885</v>
      </c>
      <c r="E3191" t="s">
        <v>3463</v>
      </c>
    </row>
    <row r="3192" spans="1:5" x14ac:dyDescent="0.2">
      <c r="A3192" t="s">
        <v>466</v>
      </c>
      <c r="B3192">
        <v>680</v>
      </c>
      <c r="C3192" t="s">
        <v>3612</v>
      </c>
      <c r="D3192" t="s">
        <v>4108</v>
      </c>
      <c r="E3192" t="s">
        <v>3554</v>
      </c>
    </row>
    <row r="3193" spans="1:5" x14ac:dyDescent="0.2">
      <c r="A3193" t="s">
        <v>466</v>
      </c>
      <c r="B3193">
        <v>680</v>
      </c>
      <c r="C3193" t="s">
        <v>3612</v>
      </c>
      <c r="D3193" t="s">
        <v>4108</v>
      </c>
      <c r="E3193" t="s">
        <v>3554</v>
      </c>
    </row>
    <row r="3194" spans="1:5" x14ac:dyDescent="0.2">
      <c r="A3194" t="s">
        <v>466</v>
      </c>
      <c r="B3194">
        <v>660</v>
      </c>
      <c r="C3194" t="s">
        <v>4015</v>
      </c>
      <c r="E3194" t="s">
        <v>4016</v>
      </c>
    </row>
    <row r="3195" spans="1:5" x14ac:dyDescent="0.2">
      <c r="A3195" t="s">
        <v>382</v>
      </c>
      <c r="B3195">
        <v>895</v>
      </c>
      <c r="C3195" t="s">
        <v>3565</v>
      </c>
      <c r="D3195" t="s">
        <v>4109</v>
      </c>
      <c r="E3195" t="s">
        <v>3963</v>
      </c>
    </row>
    <row r="3196" spans="1:5" x14ac:dyDescent="0.2">
      <c r="A3196" t="s">
        <v>466</v>
      </c>
      <c r="B3196">
        <v>690</v>
      </c>
      <c r="C3196" t="s">
        <v>3565</v>
      </c>
      <c r="D3196" t="s">
        <v>4110</v>
      </c>
      <c r="E3196" t="s">
        <v>3980</v>
      </c>
    </row>
    <row r="3197" spans="1:5" x14ac:dyDescent="0.2">
      <c r="A3197" t="s">
        <v>505</v>
      </c>
      <c r="B3197">
        <v>505</v>
      </c>
      <c r="C3197" t="s">
        <v>2426</v>
      </c>
      <c r="D3197" t="s">
        <v>4111</v>
      </c>
      <c r="E3197" t="s">
        <v>2428</v>
      </c>
    </row>
    <row r="3198" spans="1:5" x14ac:dyDescent="0.2">
      <c r="A3198" t="s">
        <v>567</v>
      </c>
      <c r="B3198">
        <v>690</v>
      </c>
      <c r="C3198" t="s">
        <v>3565</v>
      </c>
      <c r="D3198" t="s">
        <v>4112</v>
      </c>
      <c r="E3198" t="s">
        <v>3582</v>
      </c>
    </row>
    <row r="3199" spans="1:5" x14ac:dyDescent="0.2">
      <c r="A3199" t="s">
        <v>567</v>
      </c>
      <c r="B3199">
        <v>895</v>
      </c>
      <c r="C3199" t="s">
        <v>3845</v>
      </c>
      <c r="D3199" t="s">
        <v>4113</v>
      </c>
      <c r="E3199" t="s">
        <v>3877</v>
      </c>
    </row>
    <row r="3200" spans="1:5" x14ac:dyDescent="0.2">
      <c r="A3200" t="s">
        <v>650</v>
      </c>
      <c r="B3200">
        <v>885</v>
      </c>
      <c r="C3200" t="s">
        <v>2386</v>
      </c>
      <c r="D3200" t="s">
        <v>4114</v>
      </c>
      <c r="E3200" t="s">
        <v>3027</v>
      </c>
    </row>
    <row r="3201" spans="1:5" x14ac:dyDescent="0.2">
      <c r="A3201" t="s">
        <v>650</v>
      </c>
      <c r="B3201">
        <v>885</v>
      </c>
      <c r="C3201" t="s">
        <v>2386</v>
      </c>
      <c r="D3201" t="s">
        <v>3469</v>
      </c>
      <c r="E3201" t="s">
        <v>3027</v>
      </c>
    </row>
    <row r="3202" spans="1:5" x14ac:dyDescent="0.2">
      <c r="A3202" t="s">
        <v>650</v>
      </c>
      <c r="B3202">
        <v>964</v>
      </c>
      <c r="C3202" t="s">
        <v>2620</v>
      </c>
      <c r="D3202" t="s">
        <v>4115</v>
      </c>
      <c r="E3202" t="s">
        <v>2909</v>
      </c>
    </row>
    <row r="3203" spans="1:5" x14ac:dyDescent="0.2">
      <c r="A3203" t="s">
        <v>413</v>
      </c>
      <c r="B3203">
        <v>940</v>
      </c>
      <c r="C3203" t="s">
        <v>2858</v>
      </c>
      <c r="D3203" t="s">
        <v>4115</v>
      </c>
      <c r="E3203" t="s">
        <v>2859</v>
      </c>
    </row>
    <row r="3204" spans="1:5" x14ac:dyDescent="0.2">
      <c r="A3204" t="s">
        <v>539</v>
      </c>
      <c r="B3204">
        <v>885</v>
      </c>
      <c r="C3204" t="s">
        <v>2389</v>
      </c>
      <c r="D3204" t="s">
        <v>4116</v>
      </c>
      <c r="E3204" t="s">
        <v>2391</v>
      </c>
    </row>
    <row r="3205" spans="1:5" x14ac:dyDescent="0.2">
      <c r="A3205" t="s">
        <v>466</v>
      </c>
      <c r="B3205">
        <v>690</v>
      </c>
      <c r="C3205" t="s">
        <v>3565</v>
      </c>
      <c r="D3205" t="s">
        <v>4117</v>
      </c>
      <c r="E3205" t="s">
        <v>3980</v>
      </c>
    </row>
    <row r="3206" spans="1:5" x14ac:dyDescent="0.2">
      <c r="A3206" t="s">
        <v>466</v>
      </c>
      <c r="B3206">
        <v>890</v>
      </c>
      <c r="C3206" t="s">
        <v>4118</v>
      </c>
      <c r="D3206" t="s">
        <v>4119</v>
      </c>
      <c r="E3206" t="s">
        <v>4120</v>
      </c>
    </row>
    <row r="3207" spans="1:5" x14ac:dyDescent="0.2">
      <c r="A3207" t="s">
        <v>466</v>
      </c>
      <c r="B3207">
        <v>870</v>
      </c>
      <c r="C3207" t="s">
        <v>3046</v>
      </c>
      <c r="D3207" t="s">
        <v>4121</v>
      </c>
      <c r="E3207" t="s">
        <v>3356</v>
      </c>
    </row>
    <row r="3208" spans="1:5" x14ac:dyDescent="0.2">
      <c r="A3208" t="s">
        <v>466</v>
      </c>
      <c r="B3208">
        <v>658</v>
      </c>
      <c r="C3208" t="s">
        <v>2774</v>
      </c>
      <c r="E3208" t="s">
        <v>3517</v>
      </c>
    </row>
    <row r="3209" spans="1:5" x14ac:dyDescent="0.2">
      <c r="A3209" t="s">
        <v>413</v>
      </c>
      <c r="B3209">
        <v>505</v>
      </c>
      <c r="C3209" t="s">
        <v>2440</v>
      </c>
      <c r="E3209" t="s">
        <v>2441</v>
      </c>
    </row>
    <row r="3210" spans="1:5" x14ac:dyDescent="0.2">
      <c r="A3210" t="s">
        <v>592</v>
      </c>
      <c r="B3210">
        <v>549</v>
      </c>
      <c r="C3210" t="s">
        <v>3100</v>
      </c>
      <c r="D3210" t="s">
        <v>3100</v>
      </c>
      <c r="E3210" t="s">
        <v>3273</v>
      </c>
    </row>
    <row r="3211" spans="1:5" x14ac:dyDescent="0.2">
      <c r="A3211" t="s">
        <v>466</v>
      </c>
      <c r="B3211">
        <v>655</v>
      </c>
      <c r="C3211" t="s">
        <v>2616</v>
      </c>
      <c r="E3211" t="s">
        <v>3341</v>
      </c>
    </row>
    <row r="3212" spans="1:5" x14ac:dyDescent="0.2">
      <c r="A3212" t="s">
        <v>539</v>
      </c>
      <c r="B3212">
        <v>885</v>
      </c>
      <c r="C3212" t="s">
        <v>2389</v>
      </c>
      <c r="D3212" t="s">
        <v>3036</v>
      </c>
      <c r="E3212" t="s">
        <v>2391</v>
      </c>
    </row>
    <row r="3213" spans="1:5" x14ac:dyDescent="0.2">
      <c r="A3213" t="s">
        <v>466</v>
      </c>
      <c r="B3213">
        <v>690</v>
      </c>
      <c r="C3213" t="s">
        <v>3565</v>
      </c>
      <c r="D3213" t="s">
        <v>4122</v>
      </c>
      <c r="E3213" t="s">
        <v>3980</v>
      </c>
    </row>
    <row r="3214" spans="1:5" x14ac:dyDescent="0.2">
      <c r="A3214" t="s">
        <v>505</v>
      </c>
      <c r="B3214">
        <v>505</v>
      </c>
      <c r="C3214" t="s">
        <v>2426</v>
      </c>
      <c r="D3214" t="s">
        <v>4123</v>
      </c>
      <c r="E3214" t="s">
        <v>2428</v>
      </c>
    </row>
    <row r="3215" spans="1:5" x14ac:dyDescent="0.2">
      <c r="A3215" t="s">
        <v>505</v>
      </c>
      <c r="B3215">
        <v>505</v>
      </c>
      <c r="C3215" t="s">
        <v>2426</v>
      </c>
      <c r="D3215" t="s">
        <v>3988</v>
      </c>
      <c r="E3215" t="s">
        <v>2428</v>
      </c>
    </row>
    <row r="3216" spans="1:5" x14ac:dyDescent="0.2">
      <c r="A3216" t="s">
        <v>505</v>
      </c>
      <c r="B3216">
        <v>505</v>
      </c>
      <c r="C3216" t="s">
        <v>2426</v>
      </c>
      <c r="D3216" t="s">
        <v>3975</v>
      </c>
      <c r="E3216" t="s">
        <v>2428</v>
      </c>
    </row>
    <row r="3217" spans="1:5" x14ac:dyDescent="0.2">
      <c r="A3217" t="s">
        <v>550</v>
      </c>
      <c r="B3217">
        <v>561</v>
      </c>
      <c r="C3217" t="s">
        <v>2492</v>
      </c>
      <c r="E3217" t="s">
        <v>2493</v>
      </c>
    </row>
    <row r="3218" spans="1:5" x14ac:dyDescent="0.2">
      <c r="A3218" t="s">
        <v>466</v>
      </c>
      <c r="B3218">
        <v>995</v>
      </c>
      <c r="C3218" t="s">
        <v>3594</v>
      </c>
      <c r="D3218" t="s">
        <v>3594</v>
      </c>
      <c r="E3218" t="s">
        <v>4074</v>
      </c>
    </row>
    <row r="3219" spans="1:5" x14ac:dyDescent="0.2">
      <c r="A3219" t="s">
        <v>382</v>
      </c>
      <c r="B3219">
        <v>805</v>
      </c>
      <c r="C3219" t="s">
        <v>2456</v>
      </c>
      <c r="E3219" t="s">
        <v>2457</v>
      </c>
    </row>
    <row r="3220" spans="1:5" x14ac:dyDescent="0.2">
      <c r="A3220" t="s">
        <v>567</v>
      </c>
      <c r="B3220">
        <v>685</v>
      </c>
      <c r="C3220" t="s">
        <v>3088</v>
      </c>
      <c r="E3220" t="s">
        <v>3089</v>
      </c>
    </row>
    <row r="3221" spans="1:5" x14ac:dyDescent="0.2">
      <c r="A3221" t="s">
        <v>466</v>
      </c>
      <c r="B3221">
        <v>690</v>
      </c>
      <c r="C3221" t="s">
        <v>3565</v>
      </c>
      <c r="D3221" t="s">
        <v>4124</v>
      </c>
      <c r="E3221" t="s">
        <v>3980</v>
      </c>
    </row>
    <row r="3222" spans="1:5" x14ac:dyDescent="0.2">
      <c r="A3222" t="s">
        <v>466</v>
      </c>
      <c r="B3222">
        <v>678</v>
      </c>
      <c r="C3222" t="s">
        <v>2727</v>
      </c>
      <c r="E3222" t="s">
        <v>3443</v>
      </c>
    </row>
    <row r="3223" spans="1:5" x14ac:dyDescent="0.2">
      <c r="A3223" t="s">
        <v>592</v>
      </c>
      <c r="B3223">
        <v>602</v>
      </c>
      <c r="C3223" t="s">
        <v>3245</v>
      </c>
      <c r="E3223" t="s">
        <v>3246</v>
      </c>
    </row>
    <row r="3224" spans="1:5" x14ac:dyDescent="0.2">
      <c r="A3224" t="s">
        <v>592</v>
      </c>
      <c r="B3224">
        <v>643</v>
      </c>
      <c r="C3224" t="s">
        <v>3071</v>
      </c>
      <c r="D3224" t="s">
        <v>3071</v>
      </c>
      <c r="E3224" t="s">
        <v>3307</v>
      </c>
    </row>
    <row r="3225" spans="1:5" x14ac:dyDescent="0.2">
      <c r="A3225" t="s">
        <v>592</v>
      </c>
      <c r="B3225">
        <v>526</v>
      </c>
      <c r="C3225" t="s">
        <v>2588</v>
      </c>
      <c r="E3225" t="s">
        <v>3252</v>
      </c>
    </row>
    <row r="3226" spans="1:5" x14ac:dyDescent="0.2">
      <c r="A3226" t="s">
        <v>413</v>
      </c>
      <c r="B3226">
        <v>682</v>
      </c>
      <c r="C3226" t="s">
        <v>3545</v>
      </c>
      <c r="D3226" t="s">
        <v>4115</v>
      </c>
      <c r="E3226" t="s">
        <v>3547</v>
      </c>
    </row>
    <row r="3227" spans="1:5" x14ac:dyDescent="0.2">
      <c r="A3227" t="s">
        <v>466</v>
      </c>
      <c r="B3227">
        <v>677</v>
      </c>
      <c r="C3227" t="s">
        <v>3336</v>
      </c>
      <c r="E3227" t="s">
        <v>3337</v>
      </c>
    </row>
    <row r="3228" spans="1:5" x14ac:dyDescent="0.2">
      <c r="A3228" t="s">
        <v>592</v>
      </c>
      <c r="B3228">
        <v>507</v>
      </c>
      <c r="C3228" t="s">
        <v>2968</v>
      </c>
      <c r="E3228" t="s">
        <v>3275</v>
      </c>
    </row>
    <row r="3229" spans="1:5" x14ac:dyDescent="0.2">
      <c r="A3229" t="s">
        <v>650</v>
      </c>
      <c r="B3229">
        <v>690</v>
      </c>
      <c r="C3229" t="s">
        <v>3565</v>
      </c>
      <c r="D3229" t="s">
        <v>4125</v>
      </c>
      <c r="E3229" t="s">
        <v>3573</v>
      </c>
    </row>
    <row r="3230" spans="1:5" x14ac:dyDescent="0.2">
      <c r="A3230" t="s">
        <v>382</v>
      </c>
      <c r="B3230">
        <v>624</v>
      </c>
      <c r="C3230" t="s">
        <v>2454</v>
      </c>
      <c r="E3230" t="s">
        <v>2455</v>
      </c>
    </row>
    <row r="3231" spans="1:5" x14ac:dyDescent="0.2">
      <c r="A3231" t="s">
        <v>466</v>
      </c>
      <c r="B3231">
        <v>675</v>
      </c>
      <c r="C3231" t="s">
        <v>4126</v>
      </c>
      <c r="E3231" t="s">
        <v>4127</v>
      </c>
    </row>
    <row r="3232" spans="1:5" x14ac:dyDescent="0.2">
      <c r="A3232" t="s">
        <v>466</v>
      </c>
      <c r="B3232">
        <v>994</v>
      </c>
      <c r="C3232" t="s">
        <v>3960</v>
      </c>
      <c r="E3232" t="s">
        <v>4052</v>
      </c>
    </row>
    <row r="3233" spans="1:5" x14ac:dyDescent="0.2">
      <c r="A3233" t="s">
        <v>567</v>
      </c>
      <c r="B3233">
        <v>890</v>
      </c>
      <c r="C3233" t="s">
        <v>3519</v>
      </c>
      <c r="D3233" t="s">
        <v>4128</v>
      </c>
      <c r="E3233" t="s">
        <v>3521</v>
      </c>
    </row>
    <row r="3234" spans="1:5" x14ac:dyDescent="0.2">
      <c r="A3234" t="s">
        <v>567</v>
      </c>
      <c r="B3234">
        <v>895</v>
      </c>
      <c r="C3234" t="s">
        <v>3845</v>
      </c>
      <c r="D3234" t="s">
        <v>4129</v>
      </c>
      <c r="E3234" t="s">
        <v>3877</v>
      </c>
    </row>
    <row r="3235" spans="1:5" x14ac:dyDescent="0.2">
      <c r="A3235" t="s">
        <v>567</v>
      </c>
      <c r="B3235">
        <v>565</v>
      </c>
      <c r="C3235" t="s">
        <v>2895</v>
      </c>
      <c r="E3235" t="s">
        <v>2896</v>
      </c>
    </row>
    <row r="3236" spans="1:5" x14ac:dyDescent="0.2">
      <c r="A3236" t="s">
        <v>567</v>
      </c>
      <c r="B3236">
        <v>895</v>
      </c>
      <c r="C3236" t="s">
        <v>3845</v>
      </c>
      <c r="D3236" t="s">
        <v>4130</v>
      </c>
      <c r="E3236" t="s">
        <v>3877</v>
      </c>
    </row>
    <row r="3237" spans="1:5" x14ac:dyDescent="0.2">
      <c r="A3237" t="s">
        <v>413</v>
      </c>
      <c r="B3237">
        <v>507</v>
      </c>
      <c r="C3237" t="s">
        <v>2834</v>
      </c>
      <c r="D3237" t="s">
        <v>2834</v>
      </c>
      <c r="E3237" t="s">
        <v>2835</v>
      </c>
    </row>
    <row r="3238" spans="1:5" x14ac:dyDescent="0.2">
      <c r="A3238" t="s">
        <v>413</v>
      </c>
      <c r="B3238">
        <v>673</v>
      </c>
      <c r="C3238" t="s">
        <v>4131</v>
      </c>
      <c r="E3238" t="s">
        <v>4132</v>
      </c>
    </row>
    <row r="3239" spans="1:5" x14ac:dyDescent="0.2">
      <c r="A3239" t="s">
        <v>650</v>
      </c>
      <c r="B3239">
        <v>626</v>
      </c>
      <c r="C3239" t="s">
        <v>2782</v>
      </c>
      <c r="E3239" t="s">
        <v>2783</v>
      </c>
    </row>
    <row r="3240" spans="1:5" x14ac:dyDescent="0.2">
      <c r="A3240" t="s">
        <v>413</v>
      </c>
      <c r="B3240">
        <v>690</v>
      </c>
      <c r="C3240" t="s">
        <v>3565</v>
      </c>
      <c r="D3240" t="s">
        <v>4133</v>
      </c>
      <c r="E3240" t="s">
        <v>3566</v>
      </c>
    </row>
    <row r="3241" spans="1:5" x14ac:dyDescent="0.2">
      <c r="A3241" t="s">
        <v>505</v>
      </c>
      <c r="B3241">
        <v>688</v>
      </c>
      <c r="C3241" t="s">
        <v>2586</v>
      </c>
      <c r="D3241" t="s">
        <v>2586</v>
      </c>
      <c r="E3241" t="s">
        <v>2587</v>
      </c>
    </row>
    <row r="3242" spans="1:5" x14ac:dyDescent="0.2">
      <c r="A3242" t="s">
        <v>550</v>
      </c>
      <c r="B3242">
        <v>888</v>
      </c>
      <c r="C3242" t="s">
        <v>3221</v>
      </c>
      <c r="D3242" t="s">
        <v>4134</v>
      </c>
      <c r="E3242" t="s">
        <v>3222</v>
      </c>
    </row>
    <row r="3243" spans="1:5" x14ac:dyDescent="0.2">
      <c r="A3243" t="s">
        <v>567</v>
      </c>
      <c r="B3243">
        <v>890</v>
      </c>
      <c r="C3243" t="s">
        <v>3519</v>
      </c>
      <c r="D3243" t="s">
        <v>4135</v>
      </c>
      <c r="E3243" t="s">
        <v>3521</v>
      </c>
    </row>
    <row r="3244" spans="1:5" x14ac:dyDescent="0.2">
      <c r="A3244" t="s">
        <v>592</v>
      </c>
      <c r="B3244">
        <v>562</v>
      </c>
      <c r="C3244" t="s">
        <v>2907</v>
      </c>
      <c r="E3244" t="s">
        <v>3362</v>
      </c>
    </row>
    <row r="3245" spans="1:5" x14ac:dyDescent="0.2">
      <c r="A3245" t="s">
        <v>567</v>
      </c>
      <c r="B3245">
        <v>674</v>
      </c>
      <c r="C3245" t="s">
        <v>2866</v>
      </c>
      <c r="E3245" t="s">
        <v>2867</v>
      </c>
    </row>
    <row r="3246" spans="1:5" x14ac:dyDescent="0.2">
      <c r="A3246" t="s">
        <v>466</v>
      </c>
      <c r="B3246">
        <v>880</v>
      </c>
      <c r="C3246" t="s">
        <v>4076</v>
      </c>
      <c r="D3246" t="s">
        <v>4076</v>
      </c>
      <c r="E3246" t="s">
        <v>4077</v>
      </c>
    </row>
    <row r="3247" spans="1:5" x14ac:dyDescent="0.2">
      <c r="A3247" t="s">
        <v>505</v>
      </c>
      <c r="B3247">
        <v>888</v>
      </c>
      <c r="C3247" t="s">
        <v>2936</v>
      </c>
      <c r="D3247" t="s">
        <v>2936</v>
      </c>
      <c r="E3247" t="s">
        <v>2937</v>
      </c>
    </row>
    <row r="3248" spans="1:5" x14ac:dyDescent="0.2">
      <c r="A3248" t="s">
        <v>650</v>
      </c>
      <c r="B3248">
        <v>690</v>
      </c>
      <c r="C3248" t="s">
        <v>3565</v>
      </c>
      <c r="D3248" t="s">
        <v>4136</v>
      </c>
      <c r="E3248" t="s">
        <v>3573</v>
      </c>
    </row>
    <row r="3249" spans="1:5" x14ac:dyDescent="0.2">
      <c r="A3249" t="s">
        <v>550</v>
      </c>
      <c r="B3249">
        <v>741</v>
      </c>
      <c r="C3249" t="s">
        <v>2697</v>
      </c>
      <c r="E3249" t="s">
        <v>2698</v>
      </c>
    </row>
    <row r="3250" spans="1:5" x14ac:dyDescent="0.2">
      <c r="A3250" t="s">
        <v>550</v>
      </c>
      <c r="B3250">
        <v>731</v>
      </c>
      <c r="C3250" t="s">
        <v>2699</v>
      </c>
      <c r="E3250" t="s">
        <v>2700</v>
      </c>
    </row>
    <row r="3251" spans="1:5" x14ac:dyDescent="0.2">
      <c r="A3251" t="s">
        <v>650</v>
      </c>
      <c r="B3251">
        <v>896</v>
      </c>
      <c r="C3251" t="s">
        <v>3559</v>
      </c>
      <c r="D3251" t="s">
        <v>4137</v>
      </c>
      <c r="E3251" t="s">
        <v>3560</v>
      </c>
    </row>
    <row r="3252" spans="1:5" x14ac:dyDescent="0.2">
      <c r="A3252" t="s">
        <v>466</v>
      </c>
      <c r="B3252">
        <v>699</v>
      </c>
      <c r="C3252" t="s">
        <v>4081</v>
      </c>
      <c r="E3252" t="s">
        <v>4082</v>
      </c>
    </row>
    <row r="3253" spans="1:5" x14ac:dyDescent="0.2">
      <c r="A3253" t="s">
        <v>592</v>
      </c>
      <c r="B3253">
        <v>557</v>
      </c>
      <c r="C3253" t="s">
        <v>3258</v>
      </c>
      <c r="E3253" t="s">
        <v>3259</v>
      </c>
    </row>
    <row r="3254" spans="1:5" x14ac:dyDescent="0.2">
      <c r="A3254" t="s">
        <v>592</v>
      </c>
      <c r="B3254">
        <v>557</v>
      </c>
      <c r="C3254" t="s">
        <v>3258</v>
      </c>
      <c r="E3254" t="s">
        <v>3259</v>
      </c>
    </row>
    <row r="3255" spans="1:5" x14ac:dyDescent="0.2">
      <c r="A3255" t="s">
        <v>592</v>
      </c>
      <c r="B3255">
        <v>604</v>
      </c>
      <c r="C3255" t="s">
        <v>2652</v>
      </c>
      <c r="E3255" t="s">
        <v>2653</v>
      </c>
    </row>
    <row r="3256" spans="1:5" x14ac:dyDescent="0.2">
      <c r="A3256" t="s">
        <v>592</v>
      </c>
      <c r="B3256">
        <v>557</v>
      </c>
      <c r="C3256" t="s">
        <v>3258</v>
      </c>
      <c r="D3256" t="s">
        <v>4138</v>
      </c>
      <c r="E3256" t="s">
        <v>3259</v>
      </c>
    </row>
    <row r="3257" spans="1:5" x14ac:dyDescent="0.2">
      <c r="A3257" t="s">
        <v>382</v>
      </c>
      <c r="B3257">
        <v>510</v>
      </c>
      <c r="C3257" t="s">
        <v>2556</v>
      </c>
      <c r="E3257" t="s">
        <v>2557</v>
      </c>
    </row>
    <row r="3258" spans="1:5" x14ac:dyDescent="0.2">
      <c r="A3258" t="s">
        <v>382</v>
      </c>
      <c r="B3258">
        <v>510</v>
      </c>
      <c r="C3258" t="s">
        <v>2556</v>
      </c>
      <c r="E3258" t="s">
        <v>2557</v>
      </c>
    </row>
    <row r="3259" spans="1:5" x14ac:dyDescent="0.2">
      <c r="A3259" t="s">
        <v>567</v>
      </c>
      <c r="B3259">
        <v>500</v>
      </c>
      <c r="C3259" t="s">
        <v>3090</v>
      </c>
      <c r="E3259" t="s">
        <v>3091</v>
      </c>
    </row>
    <row r="3260" spans="1:5" x14ac:dyDescent="0.2">
      <c r="A3260" t="s">
        <v>567</v>
      </c>
      <c r="B3260">
        <v>552</v>
      </c>
      <c r="C3260" t="s">
        <v>2424</v>
      </c>
      <c r="E3260" t="s">
        <v>2425</v>
      </c>
    </row>
    <row r="3261" spans="1:5" x14ac:dyDescent="0.2">
      <c r="A3261" t="s">
        <v>567</v>
      </c>
      <c r="B3261">
        <v>566</v>
      </c>
      <c r="C3261" t="s">
        <v>2528</v>
      </c>
      <c r="E3261" t="s">
        <v>2529</v>
      </c>
    </row>
    <row r="3262" spans="1:5" x14ac:dyDescent="0.2">
      <c r="A3262" t="s">
        <v>567</v>
      </c>
      <c r="B3262">
        <v>639</v>
      </c>
      <c r="C3262" t="s">
        <v>2813</v>
      </c>
      <c r="E3262" t="s">
        <v>2814</v>
      </c>
    </row>
    <row r="3263" spans="1:5" x14ac:dyDescent="0.2">
      <c r="A3263" t="s">
        <v>567</v>
      </c>
      <c r="B3263">
        <v>675</v>
      </c>
      <c r="C3263" t="s">
        <v>3106</v>
      </c>
      <c r="E3263" t="s">
        <v>3107</v>
      </c>
    </row>
    <row r="3264" spans="1:5" x14ac:dyDescent="0.2">
      <c r="A3264" t="s">
        <v>567</v>
      </c>
      <c r="B3264">
        <v>885</v>
      </c>
      <c r="C3264" t="s">
        <v>3013</v>
      </c>
      <c r="D3264" t="s">
        <v>3099</v>
      </c>
      <c r="E3264" t="s">
        <v>3093</v>
      </c>
    </row>
    <row r="3265" spans="1:5" x14ac:dyDescent="0.2">
      <c r="A3265" t="s">
        <v>567</v>
      </c>
      <c r="B3265">
        <v>885</v>
      </c>
      <c r="C3265" t="s">
        <v>3013</v>
      </c>
      <c r="D3265" t="s">
        <v>4139</v>
      </c>
      <c r="E3265" t="s">
        <v>3093</v>
      </c>
    </row>
    <row r="3266" spans="1:5" x14ac:dyDescent="0.2">
      <c r="A3266" t="s">
        <v>567</v>
      </c>
      <c r="B3266">
        <v>885</v>
      </c>
      <c r="C3266" t="s">
        <v>3013</v>
      </c>
      <c r="D3266" t="s">
        <v>4140</v>
      </c>
      <c r="E3266" t="s">
        <v>3093</v>
      </c>
    </row>
    <row r="3267" spans="1:5" x14ac:dyDescent="0.2">
      <c r="A3267" t="s">
        <v>650</v>
      </c>
      <c r="B3267">
        <v>890</v>
      </c>
      <c r="C3267" t="s">
        <v>3580</v>
      </c>
      <c r="D3267" t="s">
        <v>4141</v>
      </c>
      <c r="E3267" t="s">
        <v>3581</v>
      </c>
    </row>
    <row r="3268" spans="1:5" x14ac:dyDescent="0.2">
      <c r="A3268" t="s">
        <v>413</v>
      </c>
      <c r="B3268">
        <v>673</v>
      </c>
      <c r="C3268" t="s">
        <v>4131</v>
      </c>
      <c r="E3268" t="s">
        <v>4132</v>
      </c>
    </row>
    <row r="3269" spans="1:5" x14ac:dyDescent="0.2">
      <c r="A3269" t="s">
        <v>413</v>
      </c>
      <c r="B3269">
        <v>944</v>
      </c>
      <c r="C3269" t="s">
        <v>3291</v>
      </c>
      <c r="E3269" t="s">
        <v>3293</v>
      </c>
    </row>
    <row r="3270" spans="1:5" x14ac:dyDescent="0.2">
      <c r="A3270" t="s">
        <v>413</v>
      </c>
      <c r="B3270">
        <v>624</v>
      </c>
      <c r="C3270" t="s">
        <v>2568</v>
      </c>
      <c r="E3270" t="s">
        <v>2569</v>
      </c>
    </row>
    <row r="3271" spans="1:5" x14ac:dyDescent="0.2">
      <c r="A3271" t="s">
        <v>413</v>
      </c>
      <c r="B3271">
        <v>628</v>
      </c>
      <c r="C3271" t="s">
        <v>2677</v>
      </c>
      <c r="E3271" t="s">
        <v>2678</v>
      </c>
    </row>
    <row r="3272" spans="1:5" x14ac:dyDescent="0.2">
      <c r="A3272" t="s">
        <v>413</v>
      </c>
      <c r="B3272">
        <v>891</v>
      </c>
      <c r="C3272" t="s">
        <v>3565</v>
      </c>
      <c r="E3272" t="s">
        <v>3784</v>
      </c>
    </row>
    <row r="3273" spans="1:5" x14ac:dyDescent="0.2">
      <c r="A3273" t="s">
        <v>413</v>
      </c>
      <c r="B3273">
        <v>891</v>
      </c>
      <c r="C3273" t="s">
        <v>3565</v>
      </c>
      <c r="E3273" t="s">
        <v>3784</v>
      </c>
    </row>
    <row r="3274" spans="1:5" x14ac:dyDescent="0.2">
      <c r="A3274" t="s">
        <v>550</v>
      </c>
      <c r="B3274">
        <v>630</v>
      </c>
      <c r="C3274" t="s">
        <v>3999</v>
      </c>
      <c r="E3274" t="s">
        <v>4000</v>
      </c>
    </row>
    <row r="3275" spans="1:5" x14ac:dyDescent="0.2">
      <c r="A3275" t="s">
        <v>550</v>
      </c>
      <c r="B3275">
        <v>810</v>
      </c>
      <c r="C3275" t="s">
        <v>3428</v>
      </c>
      <c r="D3275" t="s">
        <v>4142</v>
      </c>
      <c r="E3275" t="s">
        <v>3429</v>
      </c>
    </row>
    <row r="3276" spans="1:5" x14ac:dyDescent="0.2">
      <c r="A3276" t="s">
        <v>550</v>
      </c>
      <c r="B3276">
        <v>885</v>
      </c>
      <c r="C3276" t="s">
        <v>3013</v>
      </c>
      <c r="D3276" t="s">
        <v>4143</v>
      </c>
      <c r="E3276" t="s">
        <v>3175</v>
      </c>
    </row>
    <row r="3277" spans="1:5" x14ac:dyDescent="0.2">
      <c r="A3277" t="s">
        <v>550</v>
      </c>
      <c r="B3277">
        <v>695</v>
      </c>
      <c r="C3277" t="s">
        <v>2582</v>
      </c>
      <c r="D3277" t="s">
        <v>4144</v>
      </c>
      <c r="E3277" t="s">
        <v>2584</v>
      </c>
    </row>
    <row r="3278" spans="1:5" x14ac:dyDescent="0.2">
      <c r="A3278" t="s">
        <v>550</v>
      </c>
      <c r="B3278">
        <v>695</v>
      </c>
      <c r="C3278" t="s">
        <v>2582</v>
      </c>
      <c r="D3278" t="s">
        <v>4145</v>
      </c>
      <c r="E3278" t="s">
        <v>2584</v>
      </c>
    </row>
    <row r="3279" spans="1:5" x14ac:dyDescent="0.2">
      <c r="A3279" t="s">
        <v>466</v>
      </c>
      <c r="B3279">
        <v>503</v>
      </c>
      <c r="C3279" t="s">
        <v>2433</v>
      </c>
      <c r="E3279" t="s">
        <v>2434</v>
      </c>
    </row>
    <row r="3280" spans="1:5" x14ac:dyDescent="0.2">
      <c r="A3280" t="s">
        <v>466</v>
      </c>
      <c r="B3280">
        <v>534</v>
      </c>
      <c r="C3280" t="s">
        <v>2489</v>
      </c>
      <c r="E3280" t="s">
        <v>2513</v>
      </c>
    </row>
    <row r="3281" spans="1:5" x14ac:dyDescent="0.2">
      <c r="A3281" t="s">
        <v>466</v>
      </c>
      <c r="B3281">
        <v>534</v>
      </c>
      <c r="C3281" t="s">
        <v>2489</v>
      </c>
      <c r="E3281" t="s">
        <v>2513</v>
      </c>
    </row>
    <row r="3282" spans="1:5" x14ac:dyDescent="0.2">
      <c r="A3282" t="s">
        <v>466</v>
      </c>
      <c r="B3282">
        <v>541</v>
      </c>
      <c r="C3282" t="s">
        <v>2404</v>
      </c>
      <c r="E3282" t="s">
        <v>2405</v>
      </c>
    </row>
    <row r="3283" spans="1:5" x14ac:dyDescent="0.2">
      <c r="A3283" t="s">
        <v>466</v>
      </c>
      <c r="B3283">
        <v>608</v>
      </c>
      <c r="C3283" t="s">
        <v>2760</v>
      </c>
      <c r="E3283" t="s">
        <v>3308</v>
      </c>
    </row>
    <row r="3284" spans="1:5" x14ac:dyDescent="0.2">
      <c r="A3284" t="s">
        <v>466</v>
      </c>
      <c r="B3284">
        <v>610</v>
      </c>
      <c r="C3284" t="s">
        <v>2546</v>
      </c>
      <c r="E3284" t="s">
        <v>2547</v>
      </c>
    </row>
    <row r="3285" spans="1:5" x14ac:dyDescent="0.2">
      <c r="A3285" t="s">
        <v>466</v>
      </c>
      <c r="B3285">
        <v>651</v>
      </c>
      <c r="C3285" t="s">
        <v>2600</v>
      </c>
      <c r="E3285" t="s">
        <v>2601</v>
      </c>
    </row>
    <row r="3286" spans="1:5" x14ac:dyDescent="0.2">
      <c r="A3286" t="s">
        <v>466</v>
      </c>
      <c r="B3286">
        <v>690</v>
      </c>
      <c r="C3286" t="s">
        <v>3565</v>
      </c>
      <c r="E3286" t="s">
        <v>3980</v>
      </c>
    </row>
    <row r="3287" spans="1:5" x14ac:dyDescent="0.2">
      <c r="A3287" t="s">
        <v>466</v>
      </c>
      <c r="B3287">
        <v>690</v>
      </c>
      <c r="C3287" t="s">
        <v>3565</v>
      </c>
      <c r="E3287" t="s">
        <v>3980</v>
      </c>
    </row>
    <row r="3288" spans="1:5" x14ac:dyDescent="0.2">
      <c r="A3288" t="s">
        <v>466</v>
      </c>
      <c r="B3288">
        <v>690</v>
      </c>
      <c r="C3288" t="s">
        <v>3565</v>
      </c>
      <c r="E3288" t="s">
        <v>3980</v>
      </c>
    </row>
    <row r="3289" spans="1:5" x14ac:dyDescent="0.2">
      <c r="A3289" t="s">
        <v>466</v>
      </c>
      <c r="B3289">
        <v>690</v>
      </c>
      <c r="C3289" t="s">
        <v>3565</v>
      </c>
      <c r="D3289" t="s">
        <v>4146</v>
      </c>
      <c r="E3289" t="s">
        <v>3980</v>
      </c>
    </row>
    <row r="3290" spans="1:5" x14ac:dyDescent="0.2">
      <c r="A3290" t="s">
        <v>466</v>
      </c>
      <c r="B3290">
        <v>690</v>
      </c>
      <c r="C3290" t="s">
        <v>3565</v>
      </c>
      <c r="D3290" t="s">
        <v>4147</v>
      </c>
      <c r="E3290" t="s">
        <v>3980</v>
      </c>
    </row>
    <row r="3291" spans="1:5" x14ac:dyDescent="0.2">
      <c r="A3291" t="s">
        <v>466</v>
      </c>
      <c r="B3291">
        <v>709</v>
      </c>
      <c r="C3291" t="s">
        <v>3217</v>
      </c>
      <c r="E3291" t="s">
        <v>3322</v>
      </c>
    </row>
    <row r="3292" spans="1:5" x14ac:dyDescent="0.2">
      <c r="A3292" t="s">
        <v>466</v>
      </c>
      <c r="B3292">
        <v>870</v>
      </c>
      <c r="C3292" t="s">
        <v>3046</v>
      </c>
      <c r="E3292" t="s">
        <v>3356</v>
      </c>
    </row>
    <row r="3293" spans="1:5" x14ac:dyDescent="0.2">
      <c r="A3293" t="s">
        <v>466</v>
      </c>
      <c r="B3293">
        <v>885</v>
      </c>
      <c r="C3293" t="s">
        <v>3612</v>
      </c>
      <c r="E3293" t="s">
        <v>4065</v>
      </c>
    </row>
    <row r="3294" spans="1:5" x14ac:dyDescent="0.2">
      <c r="A3294" t="s">
        <v>466</v>
      </c>
      <c r="B3294">
        <v>887</v>
      </c>
      <c r="C3294" t="s">
        <v>3677</v>
      </c>
      <c r="E3294" t="s">
        <v>4066</v>
      </c>
    </row>
    <row r="3295" spans="1:5" x14ac:dyDescent="0.2">
      <c r="A3295" t="s">
        <v>466</v>
      </c>
      <c r="B3295">
        <v>685</v>
      </c>
      <c r="C3295" t="s">
        <v>4148</v>
      </c>
      <c r="E3295" t="s">
        <v>4149</v>
      </c>
    </row>
    <row r="3296" spans="1:5" x14ac:dyDescent="0.2">
      <c r="A3296" t="s">
        <v>539</v>
      </c>
      <c r="B3296">
        <v>645</v>
      </c>
      <c r="C3296" t="s">
        <v>2940</v>
      </c>
      <c r="E3296" t="s">
        <v>2941</v>
      </c>
    </row>
    <row r="3297" spans="1:5" x14ac:dyDescent="0.2">
      <c r="A3297" t="s">
        <v>539</v>
      </c>
      <c r="B3297">
        <v>650</v>
      </c>
      <c r="C3297" t="s">
        <v>3116</v>
      </c>
      <c r="E3297" t="s">
        <v>3117</v>
      </c>
    </row>
    <row r="3298" spans="1:5" x14ac:dyDescent="0.2">
      <c r="A3298" t="s">
        <v>539</v>
      </c>
      <c r="B3298">
        <v>885</v>
      </c>
      <c r="C3298" t="s">
        <v>2389</v>
      </c>
      <c r="D3298" t="s">
        <v>3388</v>
      </c>
      <c r="E3298" t="s">
        <v>2391</v>
      </c>
    </row>
    <row r="3299" spans="1:5" x14ac:dyDescent="0.2">
      <c r="A3299" t="s">
        <v>466</v>
      </c>
      <c r="B3299">
        <v>651</v>
      </c>
      <c r="C3299" t="s">
        <v>2600</v>
      </c>
      <c r="E3299" t="s">
        <v>2601</v>
      </c>
    </row>
    <row r="3300" spans="1:5" x14ac:dyDescent="0.2">
      <c r="A3300" t="s">
        <v>466</v>
      </c>
      <c r="B3300">
        <v>541</v>
      </c>
      <c r="C3300" t="s">
        <v>2404</v>
      </c>
      <c r="E3300" t="s">
        <v>2405</v>
      </c>
    </row>
    <row r="3301" spans="1:5" x14ac:dyDescent="0.2">
      <c r="A3301" t="s">
        <v>413</v>
      </c>
      <c r="B3301">
        <v>680</v>
      </c>
      <c r="C3301" t="s">
        <v>2643</v>
      </c>
      <c r="E3301" t="s">
        <v>2644</v>
      </c>
    </row>
    <row r="3302" spans="1:5" x14ac:dyDescent="0.2">
      <c r="A3302" t="s">
        <v>505</v>
      </c>
      <c r="B3302">
        <v>588</v>
      </c>
      <c r="C3302" t="s">
        <v>3253</v>
      </c>
      <c r="E3302" t="s">
        <v>3254</v>
      </c>
    </row>
    <row r="3303" spans="1:5" x14ac:dyDescent="0.2">
      <c r="A3303" t="s">
        <v>539</v>
      </c>
      <c r="B3303">
        <v>537</v>
      </c>
      <c r="C3303" t="s">
        <v>2496</v>
      </c>
      <c r="E3303" t="s">
        <v>2497</v>
      </c>
    </row>
    <row r="3304" spans="1:5" x14ac:dyDescent="0.2">
      <c r="A3304" t="s">
        <v>466</v>
      </c>
      <c r="B3304">
        <v>870</v>
      </c>
      <c r="C3304" t="s">
        <v>3046</v>
      </c>
      <c r="D3304" t="s">
        <v>4150</v>
      </c>
      <c r="E3304" t="s">
        <v>3356</v>
      </c>
    </row>
    <row r="3305" spans="1:5" x14ac:dyDescent="0.2">
      <c r="A3305" t="s">
        <v>413</v>
      </c>
      <c r="B3305">
        <v>696</v>
      </c>
      <c r="C3305" t="s">
        <v>2575</v>
      </c>
      <c r="D3305" t="s">
        <v>4151</v>
      </c>
      <c r="E3305" t="s">
        <v>2577</v>
      </c>
    </row>
    <row r="3306" spans="1:5" x14ac:dyDescent="0.2">
      <c r="A3306" t="s">
        <v>650</v>
      </c>
      <c r="B3306">
        <v>616</v>
      </c>
      <c r="C3306" t="s">
        <v>2578</v>
      </c>
      <c r="E3306" t="s">
        <v>2579</v>
      </c>
    </row>
    <row r="3307" spans="1:5" x14ac:dyDescent="0.2">
      <c r="A3307" t="s">
        <v>413</v>
      </c>
      <c r="B3307">
        <v>690</v>
      </c>
      <c r="C3307" t="s">
        <v>3565</v>
      </c>
      <c r="D3307" t="s">
        <v>4152</v>
      </c>
      <c r="E3307" t="s">
        <v>3566</v>
      </c>
    </row>
    <row r="3308" spans="1:5" x14ac:dyDescent="0.2">
      <c r="A3308" t="s">
        <v>466</v>
      </c>
      <c r="B3308">
        <v>546</v>
      </c>
      <c r="C3308" t="s">
        <v>3720</v>
      </c>
      <c r="E3308" t="s">
        <v>4153</v>
      </c>
    </row>
    <row r="3309" spans="1:5" x14ac:dyDescent="0.2">
      <c r="A3309" t="s">
        <v>505</v>
      </c>
      <c r="B3309">
        <v>530</v>
      </c>
      <c r="C3309" t="s">
        <v>2511</v>
      </c>
      <c r="E3309" t="s">
        <v>2512</v>
      </c>
    </row>
    <row r="3310" spans="1:5" x14ac:dyDescent="0.2">
      <c r="A3310" t="s">
        <v>550</v>
      </c>
      <c r="B3310">
        <v>632</v>
      </c>
      <c r="C3310" t="s">
        <v>3392</v>
      </c>
      <c r="E3310" t="s">
        <v>3393</v>
      </c>
    </row>
    <row r="3311" spans="1:5" x14ac:dyDescent="0.2">
      <c r="A3311" t="s">
        <v>466</v>
      </c>
      <c r="B3311">
        <v>636</v>
      </c>
      <c r="C3311" t="s">
        <v>3462</v>
      </c>
      <c r="E3311" t="s">
        <v>3463</v>
      </c>
    </row>
    <row r="3312" spans="1:5" x14ac:dyDescent="0.2">
      <c r="A3312" t="s">
        <v>413</v>
      </c>
      <c r="B3312">
        <v>672</v>
      </c>
      <c r="C3312" t="s">
        <v>2379</v>
      </c>
      <c r="D3312" t="s">
        <v>4154</v>
      </c>
      <c r="E3312" t="s">
        <v>2380</v>
      </c>
    </row>
    <row r="3313" spans="1:5" x14ac:dyDescent="0.2">
      <c r="A3313" t="s">
        <v>466</v>
      </c>
      <c r="B3313">
        <v>680</v>
      </c>
      <c r="C3313" t="s">
        <v>3612</v>
      </c>
      <c r="D3313" t="s">
        <v>4108</v>
      </c>
      <c r="E3313" t="s">
        <v>3554</v>
      </c>
    </row>
    <row r="3314" spans="1:5" x14ac:dyDescent="0.2">
      <c r="A3314" t="s">
        <v>505</v>
      </c>
      <c r="B3314">
        <v>788</v>
      </c>
      <c r="C3314" t="s">
        <v>2476</v>
      </c>
      <c r="E3314" t="s">
        <v>2477</v>
      </c>
    </row>
    <row r="3315" spans="1:5" x14ac:dyDescent="0.2">
      <c r="A3315" t="s">
        <v>505</v>
      </c>
      <c r="B3315">
        <v>505</v>
      </c>
      <c r="C3315" t="s">
        <v>2426</v>
      </c>
      <c r="D3315" t="s">
        <v>4155</v>
      </c>
      <c r="E3315" t="s">
        <v>2428</v>
      </c>
    </row>
    <row r="3316" spans="1:5" x14ac:dyDescent="0.2">
      <c r="A3316" t="s">
        <v>505</v>
      </c>
      <c r="B3316">
        <v>505</v>
      </c>
      <c r="C3316" t="s">
        <v>2426</v>
      </c>
      <c r="D3316" t="s">
        <v>3975</v>
      </c>
      <c r="E3316" t="s">
        <v>2428</v>
      </c>
    </row>
    <row r="3317" spans="1:5" x14ac:dyDescent="0.2">
      <c r="A3317" t="s">
        <v>592</v>
      </c>
      <c r="B3317">
        <v>660</v>
      </c>
      <c r="C3317" t="s">
        <v>3612</v>
      </c>
      <c r="E3317" t="s">
        <v>3982</v>
      </c>
    </row>
    <row r="3318" spans="1:5" x14ac:dyDescent="0.2">
      <c r="A3318" t="s">
        <v>466</v>
      </c>
      <c r="B3318">
        <v>652</v>
      </c>
      <c r="C3318" t="s">
        <v>3209</v>
      </c>
      <c r="E3318" t="s">
        <v>3361</v>
      </c>
    </row>
    <row r="3319" spans="1:5" x14ac:dyDescent="0.2">
      <c r="A3319" t="s">
        <v>505</v>
      </c>
      <c r="B3319">
        <v>793</v>
      </c>
      <c r="C3319" t="s">
        <v>2482</v>
      </c>
      <c r="E3319" t="s">
        <v>2483</v>
      </c>
    </row>
    <row r="3320" spans="1:5" x14ac:dyDescent="0.2">
      <c r="A3320" t="s">
        <v>550</v>
      </c>
      <c r="B3320">
        <v>625</v>
      </c>
      <c r="C3320" t="s">
        <v>3373</v>
      </c>
      <c r="E3320" t="s">
        <v>3374</v>
      </c>
    </row>
    <row r="3321" spans="1:5" x14ac:dyDescent="0.2">
      <c r="A3321" t="s">
        <v>550</v>
      </c>
      <c r="B3321">
        <v>897</v>
      </c>
      <c r="C3321" t="s">
        <v>3565</v>
      </c>
      <c r="D3321" t="s">
        <v>4156</v>
      </c>
      <c r="E3321" t="s">
        <v>3808</v>
      </c>
    </row>
    <row r="3322" spans="1:5" x14ac:dyDescent="0.2">
      <c r="A3322" t="s">
        <v>539</v>
      </c>
      <c r="B3322">
        <v>897</v>
      </c>
      <c r="C3322" t="s">
        <v>3794</v>
      </c>
      <c r="D3322" t="s">
        <v>4157</v>
      </c>
      <c r="E3322" t="s">
        <v>3796</v>
      </c>
    </row>
    <row r="3323" spans="1:5" x14ac:dyDescent="0.2">
      <c r="A3323" t="s">
        <v>382</v>
      </c>
      <c r="B3323">
        <v>890</v>
      </c>
      <c r="C3323" t="s">
        <v>3586</v>
      </c>
      <c r="E3323" t="s">
        <v>3587</v>
      </c>
    </row>
    <row r="3324" spans="1:5" x14ac:dyDescent="0.2">
      <c r="A3324" t="s">
        <v>567</v>
      </c>
      <c r="B3324">
        <v>510</v>
      </c>
      <c r="C3324" t="s">
        <v>2556</v>
      </c>
      <c r="E3324" t="s">
        <v>3130</v>
      </c>
    </row>
    <row r="3325" spans="1:5" x14ac:dyDescent="0.2">
      <c r="A3325" t="s">
        <v>567</v>
      </c>
      <c r="B3325">
        <v>895</v>
      </c>
      <c r="C3325" t="s">
        <v>3845</v>
      </c>
      <c r="D3325" t="s">
        <v>4158</v>
      </c>
      <c r="E3325" t="s">
        <v>3877</v>
      </c>
    </row>
    <row r="3326" spans="1:5" x14ac:dyDescent="0.2">
      <c r="A3326" t="s">
        <v>567</v>
      </c>
      <c r="B3326">
        <v>895</v>
      </c>
      <c r="C3326" t="s">
        <v>3845</v>
      </c>
      <c r="D3326" t="s">
        <v>4159</v>
      </c>
      <c r="E3326" t="s">
        <v>3877</v>
      </c>
    </row>
    <row r="3327" spans="1:5" x14ac:dyDescent="0.2">
      <c r="A3327" t="s">
        <v>466</v>
      </c>
      <c r="B3327">
        <v>660</v>
      </c>
      <c r="C3327" t="s">
        <v>4015</v>
      </c>
      <c r="E3327" t="s">
        <v>4016</v>
      </c>
    </row>
    <row r="3328" spans="1:5" x14ac:dyDescent="0.2">
      <c r="A3328" t="s">
        <v>592</v>
      </c>
      <c r="B3328">
        <v>552</v>
      </c>
      <c r="C3328" t="s">
        <v>2772</v>
      </c>
      <c r="E3328" t="s">
        <v>3268</v>
      </c>
    </row>
    <row r="3329" spans="1:5" x14ac:dyDescent="0.2">
      <c r="A3329" t="s">
        <v>466</v>
      </c>
      <c r="B3329">
        <v>503</v>
      </c>
      <c r="C3329" t="s">
        <v>2433</v>
      </c>
      <c r="E3329" t="s">
        <v>2434</v>
      </c>
    </row>
    <row r="3330" spans="1:5" x14ac:dyDescent="0.2">
      <c r="A3330" t="s">
        <v>539</v>
      </c>
      <c r="B3330">
        <v>885</v>
      </c>
      <c r="C3330" t="s">
        <v>2389</v>
      </c>
      <c r="D3330" t="s">
        <v>4160</v>
      </c>
      <c r="E3330" t="s">
        <v>2391</v>
      </c>
    </row>
    <row r="3331" spans="1:5" x14ac:dyDescent="0.2">
      <c r="A3331" t="s">
        <v>550</v>
      </c>
      <c r="B3331">
        <v>890</v>
      </c>
      <c r="C3331" t="s">
        <v>3625</v>
      </c>
      <c r="D3331" t="s">
        <v>4161</v>
      </c>
      <c r="E3331" t="s">
        <v>3626</v>
      </c>
    </row>
    <row r="3332" spans="1:5" x14ac:dyDescent="0.2">
      <c r="A3332" t="s">
        <v>539</v>
      </c>
      <c r="B3332">
        <v>684</v>
      </c>
      <c r="C3332" t="s">
        <v>2682</v>
      </c>
      <c r="E3332" t="s">
        <v>2683</v>
      </c>
    </row>
    <row r="3333" spans="1:5" x14ac:dyDescent="0.2">
      <c r="A3333" t="s">
        <v>550</v>
      </c>
      <c r="B3333">
        <v>890</v>
      </c>
      <c r="C3333" t="s">
        <v>3625</v>
      </c>
      <c r="D3333" t="s">
        <v>4162</v>
      </c>
      <c r="E3333" t="s">
        <v>3626</v>
      </c>
    </row>
    <row r="3334" spans="1:5" x14ac:dyDescent="0.2">
      <c r="A3334" t="s">
        <v>567</v>
      </c>
      <c r="B3334">
        <v>895</v>
      </c>
      <c r="C3334" t="s">
        <v>3845</v>
      </c>
      <c r="D3334" t="s">
        <v>4163</v>
      </c>
      <c r="E3334" t="s">
        <v>3877</v>
      </c>
    </row>
    <row r="3335" spans="1:5" x14ac:dyDescent="0.2">
      <c r="A3335" t="s">
        <v>466</v>
      </c>
      <c r="B3335">
        <v>626</v>
      </c>
      <c r="C3335" t="s">
        <v>3479</v>
      </c>
      <c r="E3335" t="s">
        <v>3480</v>
      </c>
    </row>
    <row r="3336" spans="1:5" x14ac:dyDescent="0.2">
      <c r="A3336" t="s">
        <v>505</v>
      </c>
      <c r="B3336">
        <v>888</v>
      </c>
      <c r="C3336" t="s">
        <v>2936</v>
      </c>
      <c r="E3336" t="s">
        <v>2937</v>
      </c>
    </row>
    <row r="3337" spans="1:5" x14ac:dyDescent="0.2">
      <c r="A3337" t="s">
        <v>413</v>
      </c>
      <c r="B3337">
        <v>892</v>
      </c>
      <c r="C3337" t="s">
        <v>3965</v>
      </c>
      <c r="D3337" t="s">
        <v>4164</v>
      </c>
      <c r="E3337" t="s">
        <v>3786</v>
      </c>
    </row>
    <row r="3338" spans="1:5" x14ac:dyDescent="0.2">
      <c r="A3338" t="s">
        <v>466</v>
      </c>
      <c r="B3338">
        <v>541</v>
      </c>
      <c r="C3338" t="s">
        <v>2404</v>
      </c>
      <c r="E3338" t="s">
        <v>2405</v>
      </c>
    </row>
    <row r="3339" spans="1:5" x14ac:dyDescent="0.2">
      <c r="A3339" t="s">
        <v>550</v>
      </c>
      <c r="B3339">
        <v>546</v>
      </c>
      <c r="C3339" t="s">
        <v>2504</v>
      </c>
      <c r="E3339" t="s">
        <v>2505</v>
      </c>
    </row>
    <row r="3340" spans="1:5" x14ac:dyDescent="0.2">
      <c r="A3340" t="s">
        <v>550</v>
      </c>
      <c r="B3340">
        <v>695</v>
      </c>
      <c r="C3340" t="s">
        <v>2582</v>
      </c>
      <c r="D3340" t="s">
        <v>4165</v>
      </c>
      <c r="E3340" t="s">
        <v>2584</v>
      </c>
    </row>
    <row r="3341" spans="1:5" x14ac:dyDescent="0.2">
      <c r="A3341" t="s">
        <v>550</v>
      </c>
      <c r="B3341">
        <v>805</v>
      </c>
      <c r="C3341" t="s">
        <v>3283</v>
      </c>
      <c r="E3341" t="s">
        <v>3284</v>
      </c>
    </row>
    <row r="3342" spans="1:5" x14ac:dyDescent="0.2">
      <c r="A3342" t="s">
        <v>550</v>
      </c>
      <c r="B3342">
        <v>870</v>
      </c>
      <c r="C3342" t="s">
        <v>3285</v>
      </c>
      <c r="E3342" t="s">
        <v>3286</v>
      </c>
    </row>
    <row r="3343" spans="1:5" x14ac:dyDescent="0.2">
      <c r="A3343" t="s">
        <v>550</v>
      </c>
      <c r="B3343">
        <v>835</v>
      </c>
      <c r="C3343" t="s">
        <v>3287</v>
      </c>
      <c r="E3343" t="s">
        <v>3288</v>
      </c>
    </row>
    <row r="3344" spans="1:5" x14ac:dyDescent="0.2">
      <c r="A3344" t="s">
        <v>550</v>
      </c>
      <c r="B3344">
        <v>840</v>
      </c>
      <c r="C3344" t="s">
        <v>3296</v>
      </c>
      <c r="E3344" t="s">
        <v>3297</v>
      </c>
    </row>
    <row r="3345" spans="1:5" x14ac:dyDescent="0.2">
      <c r="A3345" t="s">
        <v>550</v>
      </c>
      <c r="B3345">
        <v>854</v>
      </c>
      <c r="C3345" t="s">
        <v>2393</v>
      </c>
      <c r="E3345" t="s">
        <v>2394</v>
      </c>
    </row>
    <row r="3346" spans="1:5" x14ac:dyDescent="0.2">
      <c r="A3346" t="s">
        <v>550</v>
      </c>
      <c r="B3346">
        <v>806</v>
      </c>
      <c r="C3346" t="s">
        <v>3294</v>
      </c>
      <c r="E3346" t="s">
        <v>3295</v>
      </c>
    </row>
    <row r="3347" spans="1:5" x14ac:dyDescent="0.2">
      <c r="A3347" t="s">
        <v>550</v>
      </c>
      <c r="B3347">
        <v>837</v>
      </c>
      <c r="C3347" t="s">
        <v>3298</v>
      </c>
      <c r="E3347" t="s">
        <v>3299</v>
      </c>
    </row>
    <row r="3348" spans="1:5" x14ac:dyDescent="0.2">
      <c r="A3348" t="s">
        <v>466</v>
      </c>
      <c r="B3348">
        <v>534</v>
      </c>
      <c r="C3348" t="s">
        <v>2489</v>
      </c>
      <c r="E3348" t="s">
        <v>2513</v>
      </c>
    </row>
    <row r="3349" spans="1:5" x14ac:dyDescent="0.2">
      <c r="A3349" t="s">
        <v>592</v>
      </c>
      <c r="B3349">
        <v>560</v>
      </c>
      <c r="C3349" t="s">
        <v>3616</v>
      </c>
      <c r="E3349" t="s">
        <v>4044</v>
      </c>
    </row>
    <row r="3350" spans="1:5" x14ac:dyDescent="0.2">
      <c r="A3350" t="s">
        <v>466</v>
      </c>
      <c r="B3350">
        <v>615</v>
      </c>
      <c r="C3350" t="s">
        <v>3063</v>
      </c>
      <c r="E3350" t="s">
        <v>3251</v>
      </c>
    </row>
    <row r="3351" spans="1:5" x14ac:dyDescent="0.2">
      <c r="A3351" t="s">
        <v>413</v>
      </c>
      <c r="B3351">
        <v>892</v>
      </c>
      <c r="C3351" t="s">
        <v>3965</v>
      </c>
      <c r="D3351" t="s">
        <v>4166</v>
      </c>
      <c r="E3351" t="s">
        <v>3786</v>
      </c>
    </row>
    <row r="3352" spans="1:5" x14ac:dyDescent="0.2">
      <c r="A3352" t="s">
        <v>567</v>
      </c>
      <c r="B3352">
        <v>895</v>
      </c>
      <c r="C3352" t="s">
        <v>3845</v>
      </c>
      <c r="D3352" t="s">
        <v>4167</v>
      </c>
      <c r="E3352" t="s">
        <v>3877</v>
      </c>
    </row>
    <row r="3353" spans="1:5" x14ac:dyDescent="0.2">
      <c r="A3353" t="s">
        <v>550</v>
      </c>
      <c r="B3353">
        <v>618</v>
      </c>
      <c r="C3353" t="s">
        <v>2701</v>
      </c>
      <c r="E3353" t="s">
        <v>2702</v>
      </c>
    </row>
    <row r="3354" spans="1:5" x14ac:dyDescent="0.2">
      <c r="A3354" t="s">
        <v>550</v>
      </c>
      <c r="B3354">
        <v>546</v>
      </c>
      <c r="C3354" t="s">
        <v>2504</v>
      </c>
      <c r="E3354" t="s">
        <v>2505</v>
      </c>
    </row>
    <row r="3355" spans="1:5" x14ac:dyDescent="0.2">
      <c r="A3355" t="s">
        <v>592</v>
      </c>
      <c r="B3355">
        <v>609</v>
      </c>
      <c r="C3355" t="s">
        <v>3120</v>
      </c>
      <c r="E3355" t="s">
        <v>3401</v>
      </c>
    </row>
    <row r="3356" spans="1:5" x14ac:dyDescent="0.2">
      <c r="A3356" t="s">
        <v>413</v>
      </c>
      <c r="B3356">
        <v>685</v>
      </c>
      <c r="C3356" t="s">
        <v>3053</v>
      </c>
      <c r="D3356" t="s">
        <v>4168</v>
      </c>
      <c r="E3356" t="s">
        <v>3054</v>
      </c>
    </row>
    <row r="3357" spans="1:5" x14ac:dyDescent="0.2">
      <c r="A3357" t="s">
        <v>567</v>
      </c>
      <c r="B3357">
        <v>890</v>
      </c>
      <c r="C3357" t="s">
        <v>3519</v>
      </c>
      <c r="D3357" t="s">
        <v>4169</v>
      </c>
      <c r="E3357" t="s">
        <v>3521</v>
      </c>
    </row>
    <row r="3358" spans="1:5" x14ac:dyDescent="0.2">
      <c r="A3358" t="s">
        <v>539</v>
      </c>
      <c r="B3358">
        <v>520</v>
      </c>
      <c r="C3358" t="s">
        <v>3146</v>
      </c>
      <c r="E3358" t="s">
        <v>3147</v>
      </c>
    </row>
    <row r="3359" spans="1:5" x14ac:dyDescent="0.2">
      <c r="A3359" t="s">
        <v>466</v>
      </c>
      <c r="B3359">
        <v>615</v>
      </c>
      <c r="C3359" t="s">
        <v>3063</v>
      </c>
      <c r="E3359" t="s">
        <v>3251</v>
      </c>
    </row>
    <row r="3360" spans="1:5" x14ac:dyDescent="0.2">
      <c r="A3360" t="s">
        <v>592</v>
      </c>
      <c r="B3360">
        <v>567</v>
      </c>
      <c r="C3360" t="s">
        <v>2740</v>
      </c>
      <c r="E3360" t="s">
        <v>3395</v>
      </c>
    </row>
    <row r="3361" spans="1:5" x14ac:dyDescent="0.2">
      <c r="A3361" t="s">
        <v>539</v>
      </c>
      <c r="B3361">
        <v>630</v>
      </c>
      <c r="C3361" t="s">
        <v>2995</v>
      </c>
      <c r="E3361" t="s">
        <v>2996</v>
      </c>
    </row>
    <row r="3362" spans="1:5" x14ac:dyDescent="0.2">
      <c r="A3362" t="s">
        <v>539</v>
      </c>
      <c r="B3362">
        <v>650</v>
      </c>
      <c r="C3362" t="s">
        <v>3116</v>
      </c>
      <c r="E3362" t="s">
        <v>3117</v>
      </c>
    </row>
    <row r="3363" spans="1:5" x14ac:dyDescent="0.2">
      <c r="A3363" t="s">
        <v>567</v>
      </c>
      <c r="B3363">
        <v>890</v>
      </c>
      <c r="C3363" t="s">
        <v>3519</v>
      </c>
      <c r="D3363" t="s">
        <v>4170</v>
      </c>
      <c r="E3363" t="s">
        <v>3521</v>
      </c>
    </row>
    <row r="3364" spans="1:5" x14ac:dyDescent="0.2">
      <c r="A3364" t="s">
        <v>650</v>
      </c>
      <c r="B3364">
        <v>940</v>
      </c>
      <c r="C3364" t="s">
        <v>2946</v>
      </c>
      <c r="D3364" t="s">
        <v>4171</v>
      </c>
      <c r="E3364" t="s">
        <v>2947</v>
      </c>
    </row>
    <row r="3365" spans="1:5" x14ac:dyDescent="0.2">
      <c r="A3365" t="s">
        <v>592</v>
      </c>
      <c r="B3365">
        <v>553</v>
      </c>
      <c r="C3365" t="s">
        <v>2807</v>
      </c>
      <c r="E3365" t="s">
        <v>3271</v>
      </c>
    </row>
    <row r="3366" spans="1:5" x14ac:dyDescent="0.2">
      <c r="A3366" t="s">
        <v>650</v>
      </c>
      <c r="B3366">
        <v>649</v>
      </c>
      <c r="C3366" t="s">
        <v>2979</v>
      </c>
      <c r="D3366" t="s">
        <v>4171</v>
      </c>
      <c r="E3366" t="s">
        <v>2980</v>
      </c>
    </row>
    <row r="3367" spans="1:5" x14ac:dyDescent="0.2">
      <c r="A3367" t="s">
        <v>382</v>
      </c>
      <c r="B3367">
        <v>940</v>
      </c>
      <c r="C3367" t="s">
        <v>2450</v>
      </c>
      <c r="E3367" t="s">
        <v>2451</v>
      </c>
    </row>
    <row r="3368" spans="1:5" x14ac:dyDescent="0.2">
      <c r="A3368" t="s">
        <v>413</v>
      </c>
      <c r="B3368">
        <v>974</v>
      </c>
      <c r="C3368" t="s">
        <v>3787</v>
      </c>
      <c r="E3368" t="s">
        <v>3788</v>
      </c>
    </row>
    <row r="3369" spans="1:5" x14ac:dyDescent="0.2">
      <c r="A3369" t="s">
        <v>550</v>
      </c>
      <c r="B3369">
        <v>888</v>
      </c>
      <c r="C3369" t="s">
        <v>3221</v>
      </c>
      <c r="D3369" t="s">
        <v>4134</v>
      </c>
      <c r="E3369" t="s">
        <v>3222</v>
      </c>
    </row>
    <row r="3370" spans="1:5" x14ac:dyDescent="0.2">
      <c r="A3370" t="s">
        <v>413</v>
      </c>
      <c r="B3370">
        <v>880</v>
      </c>
      <c r="C3370" t="s">
        <v>3004</v>
      </c>
      <c r="D3370" t="s">
        <v>4172</v>
      </c>
      <c r="E3370" t="s">
        <v>3332</v>
      </c>
    </row>
    <row r="3371" spans="1:5" x14ac:dyDescent="0.2">
      <c r="A3371" t="s">
        <v>539</v>
      </c>
      <c r="B3371">
        <v>897</v>
      </c>
      <c r="C3371" t="s">
        <v>3794</v>
      </c>
      <c r="D3371" t="s">
        <v>4173</v>
      </c>
      <c r="E3371" t="s">
        <v>3796</v>
      </c>
    </row>
    <row r="3372" spans="1:5" x14ac:dyDescent="0.2">
      <c r="A3372" t="s">
        <v>592</v>
      </c>
      <c r="B3372">
        <v>562</v>
      </c>
      <c r="C3372" t="s">
        <v>2907</v>
      </c>
      <c r="E3372" t="s">
        <v>3362</v>
      </c>
    </row>
    <row r="3373" spans="1:5" x14ac:dyDescent="0.2">
      <c r="A3373" t="s">
        <v>567</v>
      </c>
      <c r="B3373">
        <v>895</v>
      </c>
      <c r="C3373" t="s">
        <v>3845</v>
      </c>
      <c r="D3373" t="s">
        <v>4174</v>
      </c>
      <c r="E3373" t="s">
        <v>3877</v>
      </c>
    </row>
    <row r="3374" spans="1:5" x14ac:dyDescent="0.2">
      <c r="A3374" t="s">
        <v>466</v>
      </c>
      <c r="B3374">
        <v>995</v>
      </c>
      <c r="C3374" t="s">
        <v>3594</v>
      </c>
      <c r="E3374" t="s">
        <v>4074</v>
      </c>
    </row>
    <row r="3375" spans="1:5" x14ac:dyDescent="0.2">
      <c r="A3375" t="s">
        <v>466</v>
      </c>
      <c r="B3375">
        <v>564</v>
      </c>
      <c r="C3375" t="s">
        <v>3379</v>
      </c>
      <c r="E3375" t="s">
        <v>3380</v>
      </c>
    </row>
    <row r="3376" spans="1:5" x14ac:dyDescent="0.2">
      <c r="A3376" t="s">
        <v>466</v>
      </c>
      <c r="B3376">
        <v>608</v>
      </c>
      <c r="C3376" t="s">
        <v>2760</v>
      </c>
      <c r="E3376" t="s">
        <v>3308</v>
      </c>
    </row>
    <row r="3377" spans="1:5" x14ac:dyDescent="0.2">
      <c r="A3377" t="s">
        <v>539</v>
      </c>
      <c r="B3377">
        <v>897</v>
      </c>
      <c r="C3377" t="s">
        <v>3794</v>
      </c>
      <c r="D3377" t="s">
        <v>4175</v>
      </c>
      <c r="E3377" t="s">
        <v>3796</v>
      </c>
    </row>
    <row r="3378" spans="1:5" x14ac:dyDescent="0.2">
      <c r="A3378" t="s">
        <v>592</v>
      </c>
      <c r="B3378">
        <v>567</v>
      </c>
      <c r="C3378" t="s">
        <v>2740</v>
      </c>
      <c r="E3378" t="s">
        <v>3395</v>
      </c>
    </row>
    <row r="3379" spans="1:5" x14ac:dyDescent="0.2">
      <c r="A3379" t="s">
        <v>505</v>
      </c>
      <c r="B3379">
        <v>797</v>
      </c>
      <c r="C3379" t="s">
        <v>3565</v>
      </c>
      <c r="E3379" t="s">
        <v>3629</v>
      </c>
    </row>
    <row r="3380" spans="1:5" x14ac:dyDescent="0.2">
      <c r="A3380" t="s">
        <v>505</v>
      </c>
      <c r="B3380">
        <v>505</v>
      </c>
      <c r="C3380" t="s">
        <v>2426</v>
      </c>
      <c r="D3380" t="s">
        <v>3394</v>
      </c>
      <c r="E3380" t="s">
        <v>2428</v>
      </c>
    </row>
    <row r="3381" spans="1:5" x14ac:dyDescent="0.2">
      <c r="A3381" t="s">
        <v>539</v>
      </c>
      <c r="B3381">
        <v>897</v>
      </c>
      <c r="C3381" t="s">
        <v>3794</v>
      </c>
      <c r="D3381" t="s">
        <v>4176</v>
      </c>
      <c r="E3381" t="s">
        <v>3796</v>
      </c>
    </row>
    <row r="3382" spans="1:5" x14ac:dyDescent="0.2">
      <c r="A3382" t="s">
        <v>539</v>
      </c>
      <c r="B3382">
        <v>897</v>
      </c>
      <c r="C3382" t="s">
        <v>3794</v>
      </c>
      <c r="D3382" t="s">
        <v>4177</v>
      </c>
      <c r="E3382" t="s">
        <v>3796</v>
      </c>
    </row>
    <row r="3383" spans="1:5" x14ac:dyDescent="0.2">
      <c r="A3383" t="s">
        <v>592</v>
      </c>
      <c r="B3383">
        <v>543</v>
      </c>
      <c r="C3383" t="s">
        <v>2494</v>
      </c>
      <c r="D3383" t="s">
        <v>2494</v>
      </c>
      <c r="E3383" t="s">
        <v>2503</v>
      </c>
    </row>
    <row r="3384" spans="1:5" x14ac:dyDescent="0.2">
      <c r="A3384" t="s">
        <v>382</v>
      </c>
      <c r="B3384">
        <v>890</v>
      </c>
      <c r="C3384" t="s">
        <v>3586</v>
      </c>
      <c r="D3384" t="s">
        <v>4178</v>
      </c>
      <c r="E3384" t="s">
        <v>3587</v>
      </c>
    </row>
    <row r="3385" spans="1:5" x14ac:dyDescent="0.2">
      <c r="A3385" t="s">
        <v>592</v>
      </c>
      <c r="B3385">
        <v>555</v>
      </c>
      <c r="C3385" t="s">
        <v>2415</v>
      </c>
      <c r="E3385" t="s">
        <v>2660</v>
      </c>
    </row>
    <row r="3386" spans="1:5" x14ac:dyDescent="0.2">
      <c r="A3386" t="s">
        <v>567</v>
      </c>
      <c r="B3386">
        <v>520</v>
      </c>
      <c r="C3386" t="s">
        <v>2500</v>
      </c>
      <c r="E3386" t="s">
        <v>2501</v>
      </c>
    </row>
    <row r="3387" spans="1:5" x14ac:dyDescent="0.2">
      <c r="A3387" t="s">
        <v>413</v>
      </c>
      <c r="B3387">
        <v>690</v>
      </c>
      <c r="C3387" t="s">
        <v>3565</v>
      </c>
      <c r="D3387" t="s">
        <v>4179</v>
      </c>
      <c r="E3387" t="s">
        <v>3566</v>
      </c>
    </row>
    <row r="3388" spans="1:5" x14ac:dyDescent="0.2">
      <c r="A3388" t="s">
        <v>505</v>
      </c>
      <c r="B3388">
        <v>515</v>
      </c>
      <c r="C3388" t="s">
        <v>2667</v>
      </c>
      <c r="E3388" t="s">
        <v>2668</v>
      </c>
    </row>
    <row r="3389" spans="1:5" x14ac:dyDescent="0.2">
      <c r="A3389" t="s">
        <v>505</v>
      </c>
      <c r="B3389">
        <v>688</v>
      </c>
      <c r="C3389" t="s">
        <v>2586</v>
      </c>
      <c r="E3389" t="s">
        <v>2587</v>
      </c>
    </row>
    <row r="3390" spans="1:5" x14ac:dyDescent="0.2">
      <c r="A3390" t="s">
        <v>466</v>
      </c>
      <c r="B3390">
        <v>610</v>
      </c>
      <c r="C3390" t="s">
        <v>2546</v>
      </c>
      <c r="E3390" t="s">
        <v>2547</v>
      </c>
    </row>
    <row r="3391" spans="1:5" x14ac:dyDescent="0.2">
      <c r="A3391" t="s">
        <v>505</v>
      </c>
      <c r="B3391">
        <v>505</v>
      </c>
      <c r="C3391" t="s">
        <v>2426</v>
      </c>
      <c r="D3391" t="s">
        <v>4180</v>
      </c>
      <c r="E3391" t="s">
        <v>2428</v>
      </c>
    </row>
    <row r="3392" spans="1:5" x14ac:dyDescent="0.2">
      <c r="A3392" t="s">
        <v>567</v>
      </c>
      <c r="B3392">
        <v>619</v>
      </c>
      <c r="C3392" t="s">
        <v>2614</v>
      </c>
      <c r="E3392" t="s">
        <v>2615</v>
      </c>
    </row>
    <row r="3393" spans="1:5" x14ac:dyDescent="0.2">
      <c r="A3393" t="s">
        <v>567</v>
      </c>
      <c r="B3393">
        <v>664</v>
      </c>
      <c r="C3393" t="s">
        <v>2752</v>
      </c>
      <c r="E3393" t="s">
        <v>2753</v>
      </c>
    </row>
    <row r="3394" spans="1:5" x14ac:dyDescent="0.2">
      <c r="A3394" t="s">
        <v>567</v>
      </c>
      <c r="B3394">
        <v>674</v>
      </c>
      <c r="C3394" t="s">
        <v>2866</v>
      </c>
      <c r="E3394" t="s">
        <v>2867</v>
      </c>
    </row>
    <row r="3395" spans="1:5" x14ac:dyDescent="0.2">
      <c r="A3395" t="s">
        <v>567</v>
      </c>
      <c r="B3395">
        <v>566</v>
      </c>
      <c r="C3395" t="s">
        <v>2528</v>
      </c>
      <c r="E3395" t="s">
        <v>2529</v>
      </c>
    </row>
    <row r="3396" spans="1:5" x14ac:dyDescent="0.2">
      <c r="A3396" t="s">
        <v>567</v>
      </c>
      <c r="B3396">
        <v>675</v>
      </c>
      <c r="C3396" t="s">
        <v>3106</v>
      </c>
      <c r="E3396" t="s">
        <v>3107</v>
      </c>
    </row>
    <row r="3397" spans="1:5" x14ac:dyDescent="0.2">
      <c r="A3397" t="s">
        <v>382</v>
      </c>
      <c r="B3397">
        <v>510</v>
      </c>
      <c r="C3397" t="s">
        <v>2556</v>
      </c>
      <c r="E3397" t="s">
        <v>2557</v>
      </c>
    </row>
    <row r="3398" spans="1:5" x14ac:dyDescent="0.2">
      <c r="A3398" t="s">
        <v>567</v>
      </c>
      <c r="B3398">
        <v>510</v>
      </c>
      <c r="C3398" t="s">
        <v>2556</v>
      </c>
      <c r="E3398" t="s">
        <v>3130</v>
      </c>
    </row>
    <row r="3399" spans="1:5" x14ac:dyDescent="0.2">
      <c r="A3399" t="s">
        <v>567</v>
      </c>
      <c r="B3399">
        <v>690</v>
      </c>
      <c r="C3399" t="s">
        <v>3565</v>
      </c>
      <c r="D3399" t="s">
        <v>4181</v>
      </c>
      <c r="E3399" t="s">
        <v>3582</v>
      </c>
    </row>
    <row r="3400" spans="1:5" x14ac:dyDescent="0.2">
      <c r="A3400" t="s">
        <v>567</v>
      </c>
      <c r="B3400">
        <v>630</v>
      </c>
      <c r="C3400" t="s">
        <v>3653</v>
      </c>
      <c r="E3400" t="s">
        <v>4182</v>
      </c>
    </row>
    <row r="3401" spans="1:5" x14ac:dyDescent="0.2">
      <c r="A3401" t="s">
        <v>550</v>
      </c>
      <c r="B3401">
        <v>690</v>
      </c>
      <c r="C3401" t="s">
        <v>3565</v>
      </c>
      <c r="D3401" t="s">
        <v>4183</v>
      </c>
      <c r="E3401" t="s">
        <v>3593</v>
      </c>
    </row>
    <row r="3402" spans="1:5" x14ac:dyDescent="0.2">
      <c r="A3402" t="s">
        <v>539</v>
      </c>
      <c r="B3402">
        <v>668</v>
      </c>
      <c r="C3402" t="s">
        <v>2922</v>
      </c>
      <c r="E3402" t="s">
        <v>2923</v>
      </c>
    </row>
    <row r="3403" spans="1:5" x14ac:dyDescent="0.2">
      <c r="A3403" t="s">
        <v>550</v>
      </c>
      <c r="B3403">
        <v>546</v>
      </c>
      <c r="C3403" t="s">
        <v>2504</v>
      </c>
      <c r="E3403" t="s">
        <v>2505</v>
      </c>
    </row>
    <row r="3404" spans="1:5" x14ac:dyDescent="0.2">
      <c r="A3404" t="s">
        <v>550</v>
      </c>
      <c r="B3404">
        <v>885</v>
      </c>
      <c r="C3404" t="s">
        <v>3013</v>
      </c>
      <c r="D3404" t="s">
        <v>4165</v>
      </c>
      <c r="E3404" t="s">
        <v>3175</v>
      </c>
    </row>
    <row r="3405" spans="1:5" x14ac:dyDescent="0.2">
      <c r="A3405" t="s">
        <v>550</v>
      </c>
      <c r="B3405">
        <v>885</v>
      </c>
      <c r="C3405" t="s">
        <v>3013</v>
      </c>
      <c r="D3405" t="s">
        <v>4184</v>
      </c>
      <c r="E3405" t="s">
        <v>3175</v>
      </c>
    </row>
    <row r="3406" spans="1:5" x14ac:dyDescent="0.2">
      <c r="A3406" t="s">
        <v>550</v>
      </c>
      <c r="B3406">
        <v>885</v>
      </c>
      <c r="C3406" t="s">
        <v>3013</v>
      </c>
      <c r="D3406" t="s">
        <v>4185</v>
      </c>
      <c r="E3406" t="s">
        <v>3175</v>
      </c>
    </row>
    <row r="3407" spans="1:5" x14ac:dyDescent="0.2">
      <c r="A3407" t="s">
        <v>592</v>
      </c>
      <c r="B3407">
        <v>538</v>
      </c>
      <c r="C3407" t="s">
        <v>2548</v>
      </c>
      <c r="E3407" t="s">
        <v>2549</v>
      </c>
    </row>
    <row r="3408" spans="1:5" x14ac:dyDescent="0.2">
      <c r="A3408" t="s">
        <v>592</v>
      </c>
      <c r="B3408">
        <v>606</v>
      </c>
      <c r="C3408" t="s">
        <v>2526</v>
      </c>
      <c r="E3408" t="s">
        <v>2627</v>
      </c>
    </row>
    <row r="3409" spans="1:5" x14ac:dyDescent="0.2">
      <c r="A3409" t="s">
        <v>466</v>
      </c>
      <c r="B3409">
        <v>870</v>
      </c>
      <c r="C3409" t="s">
        <v>3046</v>
      </c>
      <c r="D3409" t="s">
        <v>4186</v>
      </c>
      <c r="E3409" t="s">
        <v>3356</v>
      </c>
    </row>
    <row r="3410" spans="1:5" x14ac:dyDescent="0.2">
      <c r="A3410" t="s">
        <v>466</v>
      </c>
      <c r="B3410">
        <v>880</v>
      </c>
      <c r="C3410" t="s">
        <v>4076</v>
      </c>
      <c r="D3410" t="s">
        <v>3622</v>
      </c>
      <c r="E3410" t="s">
        <v>4077</v>
      </c>
    </row>
    <row r="3411" spans="1:5" x14ac:dyDescent="0.2">
      <c r="A3411" t="s">
        <v>413</v>
      </c>
      <c r="B3411">
        <v>674</v>
      </c>
      <c r="C3411" t="s">
        <v>2381</v>
      </c>
      <c r="E3411" t="s">
        <v>2382</v>
      </c>
    </row>
    <row r="3412" spans="1:5" x14ac:dyDescent="0.2">
      <c r="A3412" t="s">
        <v>413</v>
      </c>
      <c r="B3412">
        <v>880</v>
      </c>
      <c r="C3412" t="s">
        <v>3004</v>
      </c>
      <c r="D3412" t="s">
        <v>4187</v>
      </c>
      <c r="E3412" t="s">
        <v>3332</v>
      </c>
    </row>
    <row r="3413" spans="1:5" x14ac:dyDescent="0.2">
      <c r="A3413" t="s">
        <v>413</v>
      </c>
      <c r="B3413">
        <v>880</v>
      </c>
      <c r="C3413" t="s">
        <v>3004</v>
      </c>
      <c r="D3413" t="s">
        <v>4188</v>
      </c>
      <c r="E3413" t="s">
        <v>3332</v>
      </c>
    </row>
    <row r="3414" spans="1:5" x14ac:dyDescent="0.2">
      <c r="A3414" t="s">
        <v>413</v>
      </c>
      <c r="B3414">
        <v>574</v>
      </c>
      <c r="C3414" t="s">
        <v>2566</v>
      </c>
      <c r="E3414" t="s">
        <v>2567</v>
      </c>
    </row>
    <row r="3415" spans="1:5" x14ac:dyDescent="0.2">
      <c r="A3415" t="s">
        <v>413</v>
      </c>
      <c r="B3415">
        <v>624</v>
      </c>
      <c r="C3415" t="s">
        <v>2568</v>
      </c>
      <c r="E3415" t="s">
        <v>2569</v>
      </c>
    </row>
    <row r="3416" spans="1:5" x14ac:dyDescent="0.2">
      <c r="A3416" t="s">
        <v>413</v>
      </c>
      <c r="B3416">
        <v>638</v>
      </c>
      <c r="C3416" t="s">
        <v>3114</v>
      </c>
      <c r="E3416" t="s">
        <v>3115</v>
      </c>
    </row>
    <row r="3417" spans="1:5" x14ac:dyDescent="0.2">
      <c r="A3417" t="s">
        <v>413</v>
      </c>
      <c r="B3417">
        <v>683</v>
      </c>
      <c r="C3417" t="s">
        <v>2809</v>
      </c>
      <c r="E3417" t="s">
        <v>2815</v>
      </c>
    </row>
    <row r="3418" spans="1:5" x14ac:dyDescent="0.2">
      <c r="A3418" t="s">
        <v>413</v>
      </c>
      <c r="B3418">
        <v>944</v>
      </c>
      <c r="C3418" t="s">
        <v>3291</v>
      </c>
      <c r="D3418" t="s">
        <v>4189</v>
      </c>
      <c r="E3418" t="s">
        <v>3293</v>
      </c>
    </row>
    <row r="3419" spans="1:5" x14ac:dyDescent="0.2">
      <c r="A3419" t="s">
        <v>413</v>
      </c>
      <c r="B3419">
        <v>685</v>
      </c>
      <c r="C3419" t="s">
        <v>3053</v>
      </c>
      <c r="D3419" t="s">
        <v>4190</v>
      </c>
      <c r="E3419" t="s">
        <v>3054</v>
      </c>
    </row>
    <row r="3420" spans="1:5" x14ac:dyDescent="0.2">
      <c r="A3420" t="s">
        <v>413</v>
      </c>
      <c r="B3420">
        <v>885</v>
      </c>
      <c r="C3420" t="s">
        <v>2389</v>
      </c>
      <c r="D3420" t="s">
        <v>4191</v>
      </c>
      <c r="E3420" t="s">
        <v>3334</v>
      </c>
    </row>
    <row r="3421" spans="1:5" x14ac:dyDescent="0.2">
      <c r="A3421" t="s">
        <v>413</v>
      </c>
      <c r="B3421">
        <v>885</v>
      </c>
      <c r="C3421" t="s">
        <v>2389</v>
      </c>
      <c r="D3421" t="s">
        <v>4192</v>
      </c>
      <c r="E3421" t="s">
        <v>3334</v>
      </c>
    </row>
    <row r="3422" spans="1:5" x14ac:dyDescent="0.2">
      <c r="A3422" t="s">
        <v>413</v>
      </c>
      <c r="B3422">
        <v>885</v>
      </c>
      <c r="C3422" t="s">
        <v>2389</v>
      </c>
      <c r="D3422" t="s">
        <v>4193</v>
      </c>
      <c r="E3422" t="s">
        <v>3334</v>
      </c>
    </row>
    <row r="3423" spans="1:5" x14ac:dyDescent="0.2">
      <c r="A3423" t="s">
        <v>413</v>
      </c>
      <c r="B3423">
        <v>695</v>
      </c>
      <c r="C3423" t="s">
        <v>3004</v>
      </c>
      <c r="D3423" t="s">
        <v>4194</v>
      </c>
      <c r="E3423" t="s">
        <v>3005</v>
      </c>
    </row>
    <row r="3424" spans="1:5" x14ac:dyDescent="0.2">
      <c r="A3424" t="s">
        <v>413</v>
      </c>
      <c r="B3424">
        <v>880</v>
      </c>
      <c r="C3424" t="s">
        <v>3004</v>
      </c>
      <c r="D3424" t="s">
        <v>4195</v>
      </c>
      <c r="E3424" t="s">
        <v>3332</v>
      </c>
    </row>
    <row r="3425" spans="1:5" x14ac:dyDescent="0.2">
      <c r="A3425" t="s">
        <v>413</v>
      </c>
      <c r="B3425">
        <v>645</v>
      </c>
      <c r="C3425" t="s">
        <v>4196</v>
      </c>
      <c r="D3425" t="s">
        <v>4189</v>
      </c>
      <c r="E3425" t="s">
        <v>4197</v>
      </c>
    </row>
    <row r="3426" spans="1:5" x14ac:dyDescent="0.2">
      <c r="A3426" t="s">
        <v>413</v>
      </c>
      <c r="B3426">
        <v>645</v>
      </c>
      <c r="C3426" t="s">
        <v>4196</v>
      </c>
      <c r="D3426" t="s">
        <v>4198</v>
      </c>
      <c r="E3426" t="s">
        <v>4197</v>
      </c>
    </row>
    <row r="3427" spans="1:5" x14ac:dyDescent="0.2">
      <c r="A3427" t="s">
        <v>413</v>
      </c>
      <c r="B3427">
        <v>685</v>
      </c>
      <c r="C3427" t="s">
        <v>3053</v>
      </c>
      <c r="D3427" t="s">
        <v>4199</v>
      </c>
      <c r="E3427" t="s">
        <v>3054</v>
      </c>
    </row>
    <row r="3428" spans="1:5" x14ac:dyDescent="0.2">
      <c r="A3428" t="s">
        <v>650</v>
      </c>
      <c r="B3428">
        <v>690</v>
      </c>
      <c r="C3428" t="s">
        <v>3565</v>
      </c>
      <c r="D3428" t="s">
        <v>4200</v>
      </c>
      <c r="E3428" t="s">
        <v>3573</v>
      </c>
    </row>
    <row r="3429" spans="1:5" x14ac:dyDescent="0.2">
      <c r="A3429" t="s">
        <v>650</v>
      </c>
      <c r="B3429">
        <v>647</v>
      </c>
      <c r="C3429" t="s">
        <v>2648</v>
      </c>
      <c r="E3429" t="s">
        <v>2649</v>
      </c>
    </row>
    <row r="3430" spans="1:5" x14ac:dyDescent="0.2">
      <c r="A3430" t="s">
        <v>650</v>
      </c>
      <c r="B3430">
        <v>690</v>
      </c>
      <c r="C3430" t="s">
        <v>3565</v>
      </c>
      <c r="D3430" t="s">
        <v>4201</v>
      </c>
      <c r="E3430" t="s">
        <v>3573</v>
      </c>
    </row>
    <row r="3431" spans="1:5" x14ac:dyDescent="0.2">
      <c r="A3431" t="s">
        <v>650</v>
      </c>
      <c r="B3431">
        <v>885</v>
      </c>
      <c r="C3431" t="s">
        <v>2386</v>
      </c>
      <c r="D3431" t="s">
        <v>3469</v>
      </c>
      <c r="E3431" t="s">
        <v>3027</v>
      </c>
    </row>
    <row r="3432" spans="1:5" x14ac:dyDescent="0.2">
      <c r="A3432" t="s">
        <v>650</v>
      </c>
      <c r="B3432">
        <v>885</v>
      </c>
      <c r="C3432" t="s">
        <v>2386</v>
      </c>
      <c r="D3432" t="s">
        <v>4202</v>
      </c>
      <c r="E3432" t="s">
        <v>3027</v>
      </c>
    </row>
    <row r="3433" spans="1:5" x14ac:dyDescent="0.2">
      <c r="A3433" t="s">
        <v>650</v>
      </c>
      <c r="B3433">
        <v>897</v>
      </c>
      <c r="C3433" t="s">
        <v>3565</v>
      </c>
      <c r="D3433" t="s">
        <v>4203</v>
      </c>
      <c r="E3433" t="s">
        <v>3825</v>
      </c>
    </row>
    <row r="3434" spans="1:5" x14ac:dyDescent="0.2">
      <c r="A3434" t="s">
        <v>650</v>
      </c>
      <c r="B3434">
        <v>690</v>
      </c>
      <c r="C3434" t="s">
        <v>3565</v>
      </c>
      <c r="D3434" t="s">
        <v>4204</v>
      </c>
      <c r="E3434" t="s">
        <v>3573</v>
      </c>
    </row>
    <row r="3435" spans="1:5" x14ac:dyDescent="0.2">
      <c r="A3435" t="s">
        <v>550</v>
      </c>
      <c r="B3435">
        <v>732</v>
      </c>
      <c r="C3435" t="s">
        <v>4205</v>
      </c>
      <c r="E3435" t="s">
        <v>4206</v>
      </c>
    </row>
    <row r="3436" spans="1:5" x14ac:dyDescent="0.2">
      <c r="A3436" t="s">
        <v>550</v>
      </c>
      <c r="B3436">
        <v>742</v>
      </c>
      <c r="C3436" t="s">
        <v>4207</v>
      </c>
      <c r="E3436" t="s">
        <v>4208</v>
      </c>
    </row>
    <row r="3437" spans="1:5" x14ac:dyDescent="0.2">
      <c r="A3437" t="s">
        <v>505</v>
      </c>
      <c r="B3437">
        <v>697</v>
      </c>
      <c r="C3437" t="s">
        <v>2671</v>
      </c>
      <c r="D3437" t="s">
        <v>2675</v>
      </c>
      <c r="E3437" t="s">
        <v>2672</v>
      </c>
    </row>
    <row r="3438" spans="1:5" x14ac:dyDescent="0.2">
      <c r="A3438" t="s">
        <v>505</v>
      </c>
      <c r="B3438">
        <v>797</v>
      </c>
      <c r="C3438" t="s">
        <v>3565</v>
      </c>
      <c r="D3438" t="s">
        <v>4209</v>
      </c>
      <c r="E3438" t="s">
        <v>3629</v>
      </c>
    </row>
    <row r="3439" spans="1:5" x14ac:dyDescent="0.2">
      <c r="A3439" t="s">
        <v>550</v>
      </c>
      <c r="B3439">
        <v>810</v>
      </c>
      <c r="C3439" t="s">
        <v>3428</v>
      </c>
      <c r="D3439" t="s">
        <v>4210</v>
      </c>
      <c r="E3439" t="s">
        <v>3429</v>
      </c>
    </row>
    <row r="3440" spans="1:5" x14ac:dyDescent="0.2">
      <c r="A3440" t="s">
        <v>505</v>
      </c>
      <c r="B3440">
        <v>505</v>
      </c>
      <c r="C3440" t="s">
        <v>2426</v>
      </c>
      <c r="D3440" t="s">
        <v>4211</v>
      </c>
      <c r="E3440" t="s">
        <v>2428</v>
      </c>
    </row>
    <row r="3441" spans="1:5" x14ac:dyDescent="0.2">
      <c r="A3441" t="s">
        <v>505</v>
      </c>
      <c r="B3441">
        <v>797</v>
      </c>
      <c r="C3441" t="s">
        <v>3565</v>
      </c>
      <c r="D3441" t="s">
        <v>4212</v>
      </c>
      <c r="E3441" t="s">
        <v>3629</v>
      </c>
    </row>
    <row r="3442" spans="1:5" x14ac:dyDescent="0.2">
      <c r="A3442" t="s">
        <v>592</v>
      </c>
      <c r="B3442">
        <v>897</v>
      </c>
      <c r="C3442" t="s">
        <v>3565</v>
      </c>
      <c r="E3442" t="s">
        <v>4213</v>
      </c>
    </row>
    <row r="3443" spans="1:5" x14ac:dyDescent="0.2">
      <c r="A3443" t="s">
        <v>567</v>
      </c>
      <c r="B3443">
        <v>940</v>
      </c>
      <c r="C3443" t="s">
        <v>2744</v>
      </c>
      <c r="E3443" t="s">
        <v>2745</v>
      </c>
    </row>
    <row r="3444" spans="1:5" x14ac:dyDescent="0.2">
      <c r="A3444" t="s">
        <v>567</v>
      </c>
      <c r="B3444">
        <v>945</v>
      </c>
      <c r="C3444" t="s">
        <v>2764</v>
      </c>
      <c r="E3444" t="s">
        <v>2765</v>
      </c>
    </row>
    <row r="3445" spans="1:5" x14ac:dyDescent="0.2">
      <c r="A3445" t="s">
        <v>505</v>
      </c>
      <c r="B3445">
        <v>680</v>
      </c>
      <c r="C3445" t="s">
        <v>2564</v>
      </c>
      <c r="E3445" t="s">
        <v>2565</v>
      </c>
    </row>
    <row r="3446" spans="1:5" x14ac:dyDescent="0.2">
      <c r="A3446" t="s">
        <v>505</v>
      </c>
      <c r="B3446">
        <v>505</v>
      </c>
      <c r="C3446" t="s">
        <v>2426</v>
      </c>
      <c r="D3446" t="s">
        <v>3975</v>
      </c>
      <c r="E3446" t="s">
        <v>2428</v>
      </c>
    </row>
    <row r="3447" spans="1:5" x14ac:dyDescent="0.2">
      <c r="A3447" t="s">
        <v>567</v>
      </c>
      <c r="B3447">
        <v>940</v>
      </c>
      <c r="C3447" t="s">
        <v>2744</v>
      </c>
      <c r="D3447" t="s">
        <v>4214</v>
      </c>
      <c r="E3447" t="s">
        <v>2745</v>
      </c>
    </row>
    <row r="3448" spans="1:5" x14ac:dyDescent="0.2">
      <c r="A3448" t="s">
        <v>567</v>
      </c>
      <c r="B3448">
        <v>546</v>
      </c>
      <c r="C3448" t="s">
        <v>2442</v>
      </c>
      <c r="E3448" t="s">
        <v>2443</v>
      </c>
    </row>
    <row r="3449" spans="1:5" x14ac:dyDescent="0.2">
      <c r="A3449" t="s">
        <v>592</v>
      </c>
      <c r="B3449">
        <v>523</v>
      </c>
      <c r="C3449" t="s">
        <v>2406</v>
      </c>
      <c r="E3449" t="s">
        <v>2407</v>
      </c>
    </row>
    <row r="3450" spans="1:5" x14ac:dyDescent="0.2">
      <c r="A3450" t="s">
        <v>592</v>
      </c>
      <c r="B3450">
        <v>505</v>
      </c>
      <c r="C3450" t="s">
        <v>2746</v>
      </c>
      <c r="D3450" t="s">
        <v>2746</v>
      </c>
      <c r="E3450" t="s">
        <v>3267</v>
      </c>
    </row>
    <row r="3451" spans="1:5" x14ac:dyDescent="0.2">
      <c r="A3451" t="s">
        <v>567</v>
      </c>
      <c r="B3451">
        <v>630</v>
      </c>
      <c r="C3451" t="s">
        <v>3653</v>
      </c>
      <c r="E3451" t="s">
        <v>4182</v>
      </c>
    </row>
    <row r="3452" spans="1:5" x14ac:dyDescent="0.2">
      <c r="A3452" t="s">
        <v>592</v>
      </c>
      <c r="B3452">
        <v>536</v>
      </c>
      <c r="C3452" t="s">
        <v>2824</v>
      </c>
      <c r="E3452" t="s">
        <v>3398</v>
      </c>
    </row>
    <row r="3453" spans="1:5" x14ac:dyDescent="0.2">
      <c r="A3453" t="s">
        <v>650</v>
      </c>
      <c r="B3453">
        <v>521</v>
      </c>
      <c r="C3453" t="s">
        <v>2981</v>
      </c>
      <c r="E3453" t="s">
        <v>2982</v>
      </c>
    </row>
    <row r="3454" spans="1:5" x14ac:dyDescent="0.2">
      <c r="A3454" t="s">
        <v>539</v>
      </c>
      <c r="B3454">
        <v>695</v>
      </c>
      <c r="C3454" t="s">
        <v>2636</v>
      </c>
      <c r="D3454" t="s">
        <v>3081</v>
      </c>
      <c r="E3454" t="s">
        <v>2638</v>
      </c>
    </row>
    <row r="3455" spans="1:5" x14ac:dyDescent="0.2">
      <c r="A3455" t="s">
        <v>539</v>
      </c>
      <c r="B3455">
        <v>695</v>
      </c>
      <c r="C3455" t="s">
        <v>2636</v>
      </c>
      <c r="D3455" t="s">
        <v>4215</v>
      </c>
      <c r="E3455" t="s">
        <v>2638</v>
      </c>
    </row>
    <row r="3456" spans="1:5" x14ac:dyDescent="0.2">
      <c r="A3456" t="s">
        <v>505</v>
      </c>
      <c r="B3456">
        <v>505</v>
      </c>
      <c r="C3456" t="s">
        <v>2426</v>
      </c>
      <c r="D3456" t="s">
        <v>3404</v>
      </c>
      <c r="E3456" t="s">
        <v>2428</v>
      </c>
    </row>
    <row r="3457" spans="1:5" x14ac:dyDescent="0.2">
      <c r="A3457" t="s">
        <v>505</v>
      </c>
      <c r="B3457">
        <v>505</v>
      </c>
      <c r="C3457" t="s">
        <v>2426</v>
      </c>
      <c r="D3457" t="s">
        <v>4216</v>
      </c>
      <c r="E3457" t="s">
        <v>2428</v>
      </c>
    </row>
    <row r="3458" spans="1:5" x14ac:dyDescent="0.2">
      <c r="A3458" t="s">
        <v>567</v>
      </c>
      <c r="B3458">
        <v>556</v>
      </c>
      <c r="C3458" t="s">
        <v>2562</v>
      </c>
      <c r="E3458" t="s">
        <v>2537</v>
      </c>
    </row>
    <row r="3459" spans="1:5" x14ac:dyDescent="0.2">
      <c r="A3459" t="s">
        <v>567</v>
      </c>
      <c r="B3459">
        <v>890</v>
      </c>
      <c r="C3459" t="s">
        <v>3519</v>
      </c>
      <c r="D3459" t="s">
        <v>4217</v>
      </c>
      <c r="E3459" t="s">
        <v>3521</v>
      </c>
    </row>
    <row r="3460" spans="1:5" x14ac:dyDescent="0.2">
      <c r="A3460" t="s">
        <v>567</v>
      </c>
      <c r="B3460">
        <v>895</v>
      </c>
      <c r="C3460" t="s">
        <v>3845</v>
      </c>
      <c r="D3460" t="s">
        <v>4218</v>
      </c>
      <c r="E3460" t="s">
        <v>3877</v>
      </c>
    </row>
    <row r="3461" spans="1:5" x14ac:dyDescent="0.2">
      <c r="A3461" t="s">
        <v>550</v>
      </c>
      <c r="B3461">
        <v>890</v>
      </c>
      <c r="C3461" t="s">
        <v>3625</v>
      </c>
      <c r="D3461" t="s">
        <v>4219</v>
      </c>
      <c r="E3461" t="s">
        <v>3626</v>
      </c>
    </row>
    <row r="3462" spans="1:5" x14ac:dyDescent="0.2">
      <c r="A3462" t="s">
        <v>650</v>
      </c>
      <c r="B3462">
        <v>895</v>
      </c>
      <c r="C3462" t="s">
        <v>3557</v>
      </c>
      <c r="D3462" t="s">
        <v>4220</v>
      </c>
      <c r="E3462" t="s">
        <v>3558</v>
      </c>
    </row>
    <row r="3463" spans="1:5" x14ac:dyDescent="0.2">
      <c r="A3463" t="s">
        <v>539</v>
      </c>
      <c r="B3463">
        <v>897</v>
      </c>
      <c r="C3463" t="s">
        <v>3794</v>
      </c>
      <c r="D3463" t="s">
        <v>4221</v>
      </c>
      <c r="E3463" t="s">
        <v>3796</v>
      </c>
    </row>
    <row r="3464" spans="1:5" x14ac:dyDescent="0.2">
      <c r="A3464" t="s">
        <v>650</v>
      </c>
      <c r="B3464">
        <v>885</v>
      </c>
      <c r="C3464" t="s">
        <v>2386</v>
      </c>
      <c r="D3464" t="s">
        <v>4222</v>
      </c>
      <c r="E3464" t="s">
        <v>3027</v>
      </c>
    </row>
    <row r="3465" spans="1:5" x14ac:dyDescent="0.2">
      <c r="A3465" t="s">
        <v>539</v>
      </c>
      <c r="B3465">
        <v>890</v>
      </c>
      <c r="C3465" t="s">
        <v>3577</v>
      </c>
      <c r="D3465" t="s">
        <v>4223</v>
      </c>
      <c r="E3465" t="s">
        <v>3578</v>
      </c>
    </row>
    <row r="3466" spans="1:5" x14ac:dyDescent="0.2">
      <c r="A3466" t="s">
        <v>466</v>
      </c>
      <c r="B3466">
        <v>660</v>
      </c>
      <c r="C3466" t="s">
        <v>4015</v>
      </c>
      <c r="E3466" t="s">
        <v>4016</v>
      </c>
    </row>
    <row r="3467" spans="1:5" x14ac:dyDescent="0.2">
      <c r="A3467" t="s">
        <v>650</v>
      </c>
      <c r="B3467">
        <v>897</v>
      </c>
      <c r="C3467" t="s">
        <v>3565</v>
      </c>
      <c r="D3467" t="s">
        <v>4224</v>
      </c>
      <c r="E3467" t="s">
        <v>3825</v>
      </c>
    </row>
    <row r="3468" spans="1:5" x14ac:dyDescent="0.2">
      <c r="A3468" t="s">
        <v>650</v>
      </c>
      <c r="B3468">
        <v>897</v>
      </c>
      <c r="C3468" t="s">
        <v>3565</v>
      </c>
      <c r="D3468" t="s">
        <v>4225</v>
      </c>
      <c r="E3468" t="s">
        <v>3825</v>
      </c>
    </row>
    <row r="3469" spans="1:5" x14ac:dyDescent="0.2">
      <c r="A3469" t="s">
        <v>539</v>
      </c>
      <c r="B3469">
        <v>690</v>
      </c>
      <c r="C3469" t="s">
        <v>3565</v>
      </c>
      <c r="D3469" t="s">
        <v>4226</v>
      </c>
      <c r="E3469" t="s">
        <v>3576</v>
      </c>
    </row>
    <row r="3470" spans="1:5" x14ac:dyDescent="0.2">
      <c r="A3470" t="s">
        <v>505</v>
      </c>
      <c r="B3470">
        <v>505</v>
      </c>
      <c r="C3470" t="s">
        <v>2426</v>
      </c>
      <c r="D3470" t="s">
        <v>4227</v>
      </c>
      <c r="E3470" t="s">
        <v>2428</v>
      </c>
    </row>
    <row r="3471" spans="1:5" x14ac:dyDescent="0.2">
      <c r="A3471" t="s">
        <v>413</v>
      </c>
      <c r="B3471">
        <v>895</v>
      </c>
      <c r="C3471" t="s">
        <v>3571</v>
      </c>
      <c r="D3471" t="s">
        <v>4228</v>
      </c>
      <c r="E3471" t="s">
        <v>3572</v>
      </c>
    </row>
    <row r="3472" spans="1:5" x14ac:dyDescent="0.2">
      <c r="A3472" t="s">
        <v>539</v>
      </c>
      <c r="B3472">
        <v>695</v>
      </c>
      <c r="C3472" t="s">
        <v>2636</v>
      </c>
      <c r="E3472" t="s">
        <v>2638</v>
      </c>
    </row>
    <row r="3473" spans="1:5" x14ac:dyDescent="0.2">
      <c r="A3473" t="s">
        <v>650</v>
      </c>
      <c r="B3473">
        <v>695</v>
      </c>
      <c r="C3473" t="s">
        <v>2386</v>
      </c>
      <c r="D3473" t="s">
        <v>4229</v>
      </c>
      <c r="E3473" t="s">
        <v>2488</v>
      </c>
    </row>
    <row r="3474" spans="1:5" x14ac:dyDescent="0.2">
      <c r="A3474" t="s">
        <v>413</v>
      </c>
      <c r="B3474">
        <v>891</v>
      </c>
      <c r="C3474" t="s">
        <v>3565</v>
      </c>
      <c r="D3474" t="s">
        <v>4230</v>
      </c>
      <c r="E3474" t="s">
        <v>3784</v>
      </c>
    </row>
    <row r="3475" spans="1:5" x14ac:dyDescent="0.2">
      <c r="A3475" t="s">
        <v>567</v>
      </c>
      <c r="B3475">
        <v>685</v>
      </c>
      <c r="C3475" t="s">
        <v>3088</v>
      </c>
      <c r="E3475" t="s">
        <v>3089</v>
      </c>
    </row>
    <row r="3476" spans="1:5" x14ac:dyDescent="0.2">
      <c r="A3476" t="s">
        <v>567</v>
      </c>
      <c r="B3476">
        <v>940</v>
      </c>
      <c r="C3476" t="s">
        <v>2744</v>
      </c>
      <c r="E3476" t="s">
        <v>2745</v>
      </c>
    </row>
    <row r="3477" spans="1:5" x14ac:dyDescent="0.2">
      <c r="A3477" t="s">
        <v>466</v>
      </c>
      <c r="B3477">
        <v>541</v>
      </c>
      <c r="C3477" t="s">
        <v>2404</v>
      </c>
      <c r="E3477" t="s">
        <v>2405</v>
      </c>
    </row>
    <row r="3478" spans="1:5" x14ac:dyDescent="0.2">
      <c r="A3478" t="s">
        <v>567</v>
      </c>
      <c r="B3478">
        <v>686</v>
      </c>
      <c r="C3478" t="s">
        <v>2951</v>
      </c>
      <c r="D3478" t="s">
        <v>3444</v>
      </c>
      <c r="E3478" t="s">
        <v>2952</v>
      </c>
    </row>
    <row r="3479" spans="1:5" x14ac:dyDescent="0.2">
      <c r="A3479" t="s">
        <v>413</v>
      </c>
      <c r="B3479">
        <v>892</v>
      </c>
      <c r="C3479" t="s">
        <v>3965</v>
      </c>
      <c r="D3479" t="s">
        <v>4231</v>
      </c>
      <c r="E3479" t="s">
        <v>3786</v>
      </c>
    </row>
    <row r="3480" spans="1:5" x14ac:dyDescent="0.2">
      <c r="A3480" t="s">
        <v>413</v>
      </c>
      <c r="B3480">
        <v>895</v>
      </c>
      <c r="C3480" t="s">
        <v>3571</v>
      </c>
      <c r="D3480" t="s">
        <v>4232</v>
      </c>
      <c r="E3480" t="s">
        <v>3572</v>
      </c>
    </row>
    <row r="3481" spans="1:5" x14ac:dyDescent="0.2">
      <c r="A3481" t="s">
        <v>413</v>
      </c>
      <c r="B3481">
        <v>890</v>
      </c>
      <c r="C3481" t="s">
        <v>3569</v>
      </c>
      <c r="D3481" t="s">
        <v>4233</v>
      </c>
      <c r="E3481" t="s">
        <v>3570</v>
      </c>
    </row>
    <row r="3482" spans="1:5" x14ac:dyDescent="0.2">
      <c r="A3482" t="s">
        <v>592</v>
      </c>
      <c r="B3482">
        <v>654</v>
      </c>
      <c r="C3482" t="s">
        <v>3157</v>
      </c>
      <c r="E3482" t="s">
        <v>3396</v>
      </c>
    </row>
    <row r="3483" spans="1:5" x14ac:dyDescent="0.2">
      <c r="A3483" t="s">
        <v>413</v>
      </c>
      <c r="B3483">
        <v>690</v>
      </c>
      <c r="C3483" t="s">
        <v>3565</v>
      </c>
      <c r="D3483" t="s">
        <v>4234</v>
      </c>
      <c r="E3483" t="s">
        <v>3566</v>
      </c>
    </row>
    <row r="3484" spans="1:5" x14ac:dyDescent="0.2">
      <c r="A3484" t="s">
        <v>413</v>
      </c>
      <c r="B3484">
        <v>890</v>
      </c>
      <c r="C3484" t="s">
        <v>3569</v>
      </c>
      <c r="D3484" t="s">
        <v>4235</v>
      </c>
      <c r="E3484" t="s">
        <v>3570</v>
      </c>
    </row>
    <row r="3485" spans="1:5" x14ac:dyDescent="0.2">
      <c r="A3485" t="s">
        <v>413</v>
      </c>
      <c r="B3485">
        <v>891</v>
      </c>
      <c r="C3485" t="s">
        <v>3565</v>
      </c>
      <c r="D3485" t="s">
        <v>4236</v>
      </c>
      <c r="E3485" t="s">
        <v>3784</v>
      </c>
    </row>
    <row r="3486" spans="1:5" x14ac:dyDescent="0.2">
      <c r="A3486" t="s">
        <v>413</v>
      </c>
      <c r="B3486">
        <v>890</v>
      </c>
      <c r="C3486" t="s">
        <v>3569</v>
      </c>
      <c r="D3486" t="s">
        <v>4237</v>
      </c>
      <c r="E3486" t="s">
        <v>3570</v>
      </c>
    </row>
    <row r="3487" spans="1:5" x14ac:dyDescent="0.2">
      <c r="A3487" t="s">
        <v>567</v>
      </c>
      <c r="B3487">
        <v>628</v>
      </c>
      <c r="C3487" t="s">
        <v>2429</v>
      </c>
      <c r="E3487" t="s">
        <v>2430</v>
      </c>
    </row>
    <row r="3488" spans="1:5" x14ac:dyDescent="0.2">
      <c r="A3488" t="s">
        <v>413</v>
      </c>
      <c r="B3488">
        <v>685</v>
      </c>
      <c r="C3488" t="s">
        <v>3053</v>
      </c>
      <c r="D3488" t="s">
        <v>3409</v>
      </c>
      <c r="E3488" t="s">
        <v>3054</v>
      </c>
    </row>
    <row r="3489" spans="1:5" x14ac:dyDescent="0.2">
      <c r="A3489" t="s">
        <v>413</v>
      </c>
      <c r="B3489">
        <v>684</v>
      </c>
      <c r="C3489" t="s">
        <v>3407</v>
      </c>
      <c r="E3489" t="s">
        <v>3408</v>
      </c>
    </row>
    <row r="3490" spans="1:5" x14ac:dyDescent="0.2">
      <c r="A3490" t="s">
        <v>413</v>
      </c>
      <c r="B3490">
        <v>695</v>
      </c>
      <c r="C3490" t="s">
        <v>3004</v>
      </c>
      <c r="D3490" t="s">
        <v>3410</v>
      </c>
      <c r="E3490" t="s">
        <v>3005</v>
      </c>
    </row>
    <row r="3491" spans="1:5" x14ac:dyDescent="0.2">
      <c r="A3491" t="s">
        <v>539</v>
      </c>
      <c r="B3491">
        <v>551</v>
      </c>
      <c r="C3491" t="s">
        <v>2606</v>
      </c>
      <c r="E3491" t="s">
        <v>2607</v>
      </c>
    </row>
    <row r="3492" spans="1:5" x14ac:dyDescent="0.2">
      <c r="A3492" t="s">
        <v>650</v>
      </c>
      <c r="B3492">
        <v>608</v>
      </c>
      <c r="C3492" t="s">
        <v>2684</v>
      </c>
      <c r="E3492" t="s">
        <v>2845</v>
      </c>
    </row>
    <row r="3493" spans="1:5" x14ac:dyDescent="0.2">
      <c r="A3493" t="s">
        <v>567</v>
      </c>
      <c r="B3493">
        <v>628</v>
      </c>
      <c r="C3493" t="s">
        <v>2429</v>
      </c>
      <c r="E3493" t="s">
        <v>2430</v>
      </c>
    </row>
    <row r="3494" spans="1:5" x14ac:dyDescent="0.2">
      <c r="A3494" t="s">
        <v>539</v>
      </c>
      <c r="B3494">
        <v>634</v>
      </c>
      <c r="C3494" t="s">
        <v>3112</v>
      </c>
      <c r="E3494" t="s">
        <v>3113</v>
      </c>
    </row>
    <row r="3495" spans="1:5" x14ac:dyDescent="0.2">
      <c r="A3495" t="s">
        <v>550</v>
      </c>
      <c r="B3495">
        <v>828</v>
      </c>
      <c r="C3495" t="s">
        <v>3601</v>
      </c>
      <c r="E3495" t="s">
        <v>3602</v>
      </c>
    </row>
    <row r="3496" spans="1:5" x14ac:dyDescent="0.2">
      <c r="A3496" t="s">
        <v>413</v>
      </c>
      <c r="B3496">
        <v>890</v>
      </c>
      <c r="C3496" t="s">
        <v>3569</v>
      </c>
      <c r="D3496" t="s">
        <v>4238</v>
      </c>
      <c r="E3496" t="s">
        <v>3570</v>
      </c>
    </row>
    <row r="3497" spans="1:5" x14ac:dyDescent="0.2">
      <c r="A3497" t="s">
        <v>466</v>
      </c>
      <c r="B3497">
        <v>503</v>
      </c>
      <c r="C3497" t="s">
        <v>2433</v>
      </c>
      <c r="E3497" t="s">
        <v>2434</v>
      </c>
    </row>
    <row r="3498" spans="1:5" x14ac:dyDescent="0.2">
      <c r="A3498" t="s">
        <v>650</v>
      </c>
      <c r="B3498">
        <v>630</v>
      </c>
      <c r="C3498" t="s">
        <v>2738</v>
      </c>
      <c r="E3498" t="s">
        <v>2739</v>
      </c>
    </row>
    <row r="3499" spans="1:5" x14ac:dyDescent="0.2">
      <c r="A3499" t="s">
        <v>539</v>
      </c>
      <c r="B3499">
        <v>538</v>
      </c>
      <c r="C3499" t="s">
        <v>2517</v>
      </c>
      <c r="E3499" t="s">
        <v>2518</v>
      </c>
    </row>
    <row r="3500" spans="1:5" x14ac:dyDescent="0.2">
      <c r="A3500" t="s">
        <v>505</v>
      </c>
      <c r="B3500">
        <v>620</v>
      </c>
      <c r="C3500" t="s">
        <v>2624</v>
      </c>
      <c r="E3500" t="s">
        <v>2625</v>
      </c>
    </row>
    <row r="3501" spans="1:5" x14ac:dyDescent="0.2">
      <c r="A3501" t="s">
        <v>650</v>
      </c>
      <c r="B3501">
        <v>647</v>
      </c>
      <c r="C3501" t="s">
        <v>2648</v>
      </c>
      <c r="E3501" t="s">
        <v>2649</v>
      </c>
    </row>
    <row r="3502" spans="1:5" x14ac:dyDescent="0.2">
      <c r="A3502" t="s">
        <v>567</v>
      </c>
      <c r="B3502">
        <v>546</v>
      </c>
      <c r="C3502" t="s">
        <v>2442</v>
      </c>
      <c r="D3502" t="s">
        <v>4239</v>
      </c>
      <c r="E3502" t="s">
        <v>2443</v>
      </c>
    </row>
    <row r="3503" spans="1:5" x14ac:dyDescent="0.2">
      <c r="A3503" t="s">
        <v>592</v>
      </c>
      <c r="B3503">
        <v>539</v>
      </c>
      <c r="C3503" t="s">
        <v>2436</v>
      </c>
      <c r="E3503" t="s">
        <v>2437</v>
      </c>
    </row>
    <row r="3504" spans="1:5" x14ac:dyDescent="0.2">
      <c r="A3504" t="s">
        <v>413</v>
      </c>
      <c r="B3504">
        <v>682</v>
      </c>
      <c r="C3504" t="s">
        <v>3545</v>
      </c>
      <c r="D3504" t="s">
        <v>4240</v>
      </c>
      <c r="E3504" t="s">
        <v>3547</v>
      </c>
    </row>
    <row r="3505" spans="1:5" x14ac:dyDescent="0.2">
      <c r="A3505" t="s">
        <v>413</v>
      </c>
      <c r="B3505">
        <v>891</v>
      </c>
      <c r="C3505" t="s">
        <v>3565</v>
      </c>
      <c r="D3505" t="s">
        <v>4241</v>
      </c>
      <c r="E3505" t="s">
        <v>3784</v>
      </c>
    </row>
    <row r="3506" spans="1:5" x14ac:dyDescent="0.2">
      <c r="A3506" t="s">
        <v>413</v>
      </c>
      <c r="B3506">
        <v>940</v>
      </c>
      <c r="C3506" t="s">
        <v>2858</v>
      </c>
      <c r="D3506" t="s">
        <v>4242</v>
      </c>
      <c r="E3506" t="s">
        <v>2859</v>
      </c>
    </row>
    <row r="3507" spans="1:5" x14ac:dyDescent="0.2">
      <c r="A3507" t="s">
        <v>466</v>
      </c>
      <c r="B3507">
        <v>541</v>
      </c>
      <c r="C3507" t="s">
        <v>2404</v>
      </c>
      <c r="E3507" t="s">
        <v>2405</v>
      </c>
    </row>
    <row r="3508" spans="1:5" x14ac:dyDescent="0.2">
      <c r="A3508" t="s">
        <v>466</v>
      </c>
      <c r="B3508">
        <v>659</v>
      </c>
      <c r="C3508" t="s">
        <v>2918</v>
      </c>
      <c r="E3508" t="s">
        <v>3264</v>
      </c>
    </row>
    <row r="3509" spans="1:5" x14ac:dyDescent="0.2">
      <c r="A3509" t="s">
        <v>466</v>
      </c>
      <c r="B3509">
        <v>679</v>
      </c>
      <c r="C3509" t="s">
        <v>2868</v>
      </c>
      <c r="E3509" t="s">
        <v>3280</v>
      </c>
    </row>
    <row r="3510" spans="1:5" x14ac:dyDescent="0.2">
      <c r="A3510" t="s">
        <v>550</v>
      </c>
      <c r="B3510">
        <v>645</v>
      </c>
      <c r="C3510" t="s">
        <v>2608</v>
      </c>
      <c r="D3510" t="s">
        <v>4243</v>
      </c>
      <c r="E3510" t="s">
        <v>2609</v>
      </c>
    </row>
    <row r="3511" spans="1:5" x14ac:dyDescent="0.2">
      <c r="A3511" t="s">
        <v>550</v>
      </c>
      <c r="B3511">
        <v>695</v>
      </c>
      <c r="C3511" t="s">
        <v>2582</v>
      </c>
      <c r="D3511" t="s">
        <v>3513</v>
      </c>
      <c r="E3511" t="s">
        <v>2584</v>
      </c>
    </row>
    <row r="3512" spans="1:5" x14ac:dyDescent="0.2">
      <c r="A3512" t="s">
        <v>650</v>
      </c>
      <c r="B3512">
        <v>656</v>
      </c>
      <c r="C3512" t="s">
        <v>2620</v>
      </c>
      <c r="D3512" t="s">
        <v>4244</v>
      </c>
      <c r="E3512" t="s">
        <v>2621</v>
      </c>
    </row>
    <row r="3513" spans="1:5" x14ac:dyDescent="0.2">
      <c r="A3513" t="s">
        <v>413</v>
      </c>
      <c r="B3513">
        <v>612</v>
      </c>
      <c r="C3513" t="s">
        <v>3194</v>
      </c>
      <c r="E3513" t="s">
        <v>3195</v>
      </c>
    </row>
    <row r="3514" spans="1:5" x14ac:dyDescent="0.2">
      <c r="A3514" t="s">
        <v>413</v>
      </c>
      <c r="B3514">
        <v>614</v>
      </c>
      <c r="C3514" t="s">
        <v>2766</v>
      </c>
      <c r="E3514" t="s">
        <v>2767</v>
      </c>
    </row>
    <row r="3515" spans="1:5" x14ac:dyDescent="0.2">
      <c r="A3515" t="s">
        <v>539</v>
      </c>
      <c r="B3515">
        <v>658</v>
      </c>
      <c r="C3515" t="s">
        <v>2897</v>
      </c>
      <c r="D3515" t="s">
        <v>3319</v>
      </c>
      <c r="E3515" t="s">
        <v>2898</v>
      </c>
    </row>
    <row r="3516" spans="1:5" x14ac:dyDescent="0.2">
      <c r="A3516" t="s">
        <v>592</v>
      </c>
      <c r="B3516">
        <v>507</v>
      </c>
      <c r="C3516" t="s">
        <v>2968</v>
      </c>
      <c r="E3516" t="s">
        <v>3275</v>
      </c>
    </row>
    <row r="3517" spans="1:5" x14ac:dyDescent="0.2">
      <c r="A3517" t="s">
        <v>592</v>
      </c>
      <c r="B3517">
        <v>562</v>
      </c>
      <c r="C3517" t="s">
        <v>2907</v>
      </c>
      <c r="E3517" t="s">
        <v>3362</v>
      </c>
    </row>
    <row r="3518" spans="1:5" x14ac:dyDescent="0.2">
      <c r="A3518" t="s">
        <v>413</v>
      </c>
      <c r="B3518">
        <v>612</v>
      </c>
      <c r="C3518" t="s">
        <v>3194</v>
      </c>
      <c r="E3518" t="s">
        <v>3195</v>
      </c>
    </row>
    <row r="3519" spans="1:5" x14ac:dyDescent="0.2">
      <c r="A3519" t="s">
        <v>592</v>
      </c>
      <c r="B3519">
        <v>562</v>
      </c>
      <c r="C3519" t="s">
        <v>2907</v>
      </c>
      <c r="E3519" t="s">
        <v>3362</v>
      </c>
    </row>
    <row r="3520" spans="1:5" x14ac:dyDescent="0.2">
      <c r="A3520" t="s">
        <v>592</v>
      </c>
      <c r="B3520">
        <v>660</v>
      </c>
      <c r="C3520" t="s">
        <v>3612</v>
      </c>
      <c r="E3520" t="s">
        <v>3982</v>
      </c>
    </row>
    <row r="3521" spans="1:5" x14ac:dyDescent="0.2">
      <c r="A3521" t="s">
        <v>650</v>
      </c>
      <c r="B3521">
        <v>885</v>
      </c>
      <c r="C3521" t="s">
        <v>2386</v>
      </c>
      <c r="D3521" t="s">
        <v>4245</v>
      </c>
      <c r="E3521" t="s">
        <v>3027</v>
      </c>
    </row>
    <row r="3522" spans="1:5" x14ac:dyDescent="0.2">
      <c r="A3522" t="s">
        <v>650</v>
      </c>
      <c r="B3522">
        <v>897</v>
      </c>
      <c r="C3522" t="s">
        <v>3565</v>
      </c>
      <c r="D3522" t="s">
        <v>3997</v>
      </c>
      <c r="E3522" t="s">
        <v>3825</v>
      </c>
    </row>
    <row r="3523" spans="1:5" x14ac:dyDescent="0.2">
      <c r="A3523" t="s">
        <v>550</v>
      </c>
      <c r="B3523">
        <v>676</v>
      </c>
      <c r="C3523" t="s">
        <v>2733</v>
      </c>
      <c r="E3523" t="s">
        <v>2734</v>
      </c>
    </row>
    <row r="3524" spans="1:5" x14ac:dyDescent="0.2">
      <c r="A3524" t="s">
        <v>650</v>
      </c>
      <c r="B3524">
        <v>676</v>
      </c>
      <c r="C3524" t="s">
        <v>2826</v>
      </c>
      <c r="E3524" t="s">
        <v>2827</v>
      </c>
    </row>
    <row r="3525" spans="1:5" x14ac:dyDescent="0.2">
      <c r="A3525" t="s">
        <v>413</v>
      </c>
      <c r="B3525">
        <v>890</v>
      </c>
      <c r="C3525" t="s">
        <v>3569</v>
      </c>
      <c r="D3525" t="s">
        <v>4246</v>
      </c>
      <c r="E3525" t="s">
        <v>3570</v>
      </c>
    </row>
    <row r="3526" spans="1:5" x14ac:dyDescent="0.2">
      <c r="A3526" t="s">
        <v>466</v>
      </c>
      <c r="B3526">
        <v>541</v>
      </c>
      <c r="C3526" t="s">
        <v>2404</v>
      </c>
      <c r="E3526" t="s">
        <v>2405</v>
      </c>
    </row>
    <row r="3527" spans="1:5" x14ac:dyDescent="0.2">
      <c r="A3527" t="s">
        <v>466</v>
      </c>
      <c r="B3527">
        <v>541</v>
      </c>
      <c r="C3527" t="s">
        <v>2404</v>
      </c>
      <c r="E3527" t="s">
        <v>2405</v>
      </c>
    </row>
    <row r="3528" spans="1:5" x14ac:dyDescent="0.2">
      <c r="A3528" t="s">
        <v>466</v>
      </c>
      <c r="B3528">
        <v>830</v>
      </c>
      <c r="C3528" t="s">
        <v>3008</v>
      </c>
      <c r="E3528" t="s">
        <v>3424</v>
      </c>
    </row>
    <row r="3529" spans="1:5" x14ac:dyDescent="0.2">
      <c r="A3529" t="s">
        <v>550</v>
      </c>
      <c r="B3529">
        <v>561</v>
      </c>
      <c r="C3529" t="s">
        <v>2492</v>
      </c>
      <c r="E3529" t="s">
        <v>2493</v>
      </c>
    </row>
    <row r="3530" spans="1:5" x14ac:dyDescent="0.2">
      <c r="A3530" t="s">
        <v>539</v>
      </c>
      <c r="B3530">
        <v>679</v>
      </c>
      <c r="C3530" t="s">
        <v>3531</v>
      </c>
      <c r="D3530" t="s">
        <v>4247</v>
      </c>
      <c r="E3530" t="s">
        <v>3532</v>
      </c>
    </row>
    <row r="3531" spans="1:5" x14ac:dyDescent="0.2">
      <c r="A3531" t="s">
        <v>539</v>
      </c>
      <c r="B3531">
        <v>679</v>
      </c>
      <c r="C3531" t="s">
        <v>3531</v>
      </c>
      <c r="E3531" t="s">
        <v>3532</v>
      </c>
    </row>
    <row r="3532" spans="1:5" x14ac:dyDescent="0.2">
      <c r="A3532" t="s">
        <v>539</v>
      </c>
      <c r="B3532">
        <v>897</v>
      </c>
      <c r="C3532" t="s">
        <v>3794</v>
      </c>
      <c r="D3532" t="s">
        <v>4248</v>
      </c>
      <c r="E3532" t="s">
        <v>3796</v>
      </c>
    </row>
    <row r="3533" spans="1:5" x14ac:dyDescent="0.2">
      <c r="A3533" t="s">
        <v>567</v>
      </c>
      <c r="B3533">
        <v>895</v>
      </c>
      <c r="C3533" t="s">
        <v>3845</v>
      </c>
      <c r="D3533" t="s">
        <v>4249</v>
      </c>
      <c r="E3533" t="s">
        <v>3877</v>
      </c>
    </row>
    <row r="3534" spans="1:5" x14ac:dyDescent="0.2">
      <c r="A3534" t="s">
        <v>567</v>
      </c>
      <c r="B3534">
        <v>666</v>
      </c>
      <c r="C3534" t="s">
        <v>3551</v>
      </c>
      <c r="D3534" t="s">
        <v>4250</v>
      </c>
      <c r="E3534" t="s">
        <v>3552</v>
      </c>
    </row>
    <row r="3535" spans="1:5" x14ac:dyDescent="0.2">
      <c r="A3535" t="s">
        <v>382</v>
      </c>
      <c r="B3535">
        <v>814</v>
      </c>
      <c r="C3535" t="s">
        <v>4251</v>
      </c>
      <c r="E3535" t="s">
        <v>4252</v>
      </c>
    </row>
    <row r="3536" spans="1:5" x14ac:dyDescent="0.2">
      <c r="A3536" t="s">
        <v>650</v>
      </c>
      <c r="B3536">
        <v>690</v>
      </c>
      <c r="C3536" t="s">
        <v>3565</v>
      </c>
      <c r="D3536" t="s">
        <v>4253</v>
      </c>
      <c r="E3536" t="s">
        <v>3573</v>
      </c>
    </row>
    <row r="3537" spans="1:5" x14ac:dyDescent="0.2">
      <c r="A3537" t="s">
        <v>650</v>
      </c>
      <c r="B3537">
        <v>896</v>
      </c>
      <c r="C3537" t="s">
        <v>3559</v>
      </c>
      <c r="D3537" t="s">
        <v>4254</v>
      </c>
      <c r="E3537" t="s">
        <v>3560</v>
      </c>
    </row>
    <row r="3538" spans="1:5" x14ac:dyDescent="0.2">
      <c r="A3538" t="s">
        <v>567</v>
      </c>
      <c r="B3538">
        <v>551</v>
      </c>
      <c r="C3538" t="s">
        <v>2422</v>
      </c>
      <c r="E3538" t="s">
        <v>2423</v>
      </c>
    </row>
    <row r="3539" spans="1:5" x14ac:dyDescent="0.2">
      <c r="A3539" t="s">
        <v>505</v>
      </c>
      <c r="B3539">
        <v>788</v>
      </c>
      <c r="C3539" t="s">
        <v>2476</v>
      </c>
      <c r="E3539" t="s">
        <v>2477</v>
      </c>
    </row>
    <row r="3540" spans="1:5" x14ac:dyDescent="0.2">
      <c r="A3540" t="s">
        <v>505</v>
      </c>
      <c r="B3540">
        <v>788</v>
      </c>
      <c r="C3540" t="s">
        <v>2476</v>
      </c>
      <c r="E3540" t="s">
        <v>2477</v>
      </c>
    </row>
    <row r="3541" spans="1:5" x14ac:dyDescent="0.2">
      <c r="A3541" t="s">
        <v>413</v>
      </c>
      <c r="B3541">
        <v>885</v>
      </c>
      <c r="C3541" t="s">
        <v>2389</v>
      </c>
      <c r="D3541" t="s">
        <v>4255</v>
      </c>
      <c r="E3541" t="s">
        <v>3334</v>
      </c>
    </row>
    <row r="3542" spans="1:5" x14ac:dyDescent="0.2">
      <c r="A3542" t="s">
        <v>466</v>
      </c>
      <c r="B3542">
        <v>690</v>
      </c>
      <c r="C3542" t="s">
        <v>3565</v>
      </c>
      <c r="D3542" t="s">
        <v>4256</v>
      </c>
      <c r="E3542" t="s">
        <v>3980</v>
      </c>
    </row>
    <row r="3543" spans="1:5" x14ac:dyDescent="0.2">
      <c r="A3543" t="s">
        <v>413</v>
      </c>
      <c r="B3543">
        <v>614</v>
      </c>
      <c r="C3543" t="s">
        <v>2766</v>
      </c>
      <c r="E3543" t="s">
        <v>2767</v>
      </c>
    </row>
    <row r="3544" spans="1:5" x14ac:dyDescent="0.2">
      <c r="A3544" t="s">
        <v>413</v>
      </c>
      <c r="B3544">
        <v>690</v>
      </c>
      <c r="C3544" t="s">
        <v>3565</v>
      </c>
      <c r="D3544" t="s">
        <v>4204</v>
      </c>
      <c r="E3544" t="s">
        <v>3566</v>
      </c>
    </row>
    <row r="3545" spans="1:5" x14ac:dyDescent="0.2">
      <c r="A3545" t="s">
        <v>413</v>
      </c>
      <c r="B3545">
        <v>892</v>
      </c>
      <c r="C3545" t="s">
        <v>3965</v>
      </c>
      <c r="D3545" t="s">
        <v>4204</v>
      </c>
      <c r="E3545" t="s">
        <v>3786</v>
      </c>
    </row>
    <row r="3546" spans="1:5" x14ac:dyDescent="0.2">
      <c r="A3546" t="s">
        <v>550</v>
      </c>
      <c r="B3546">
        <v>890</v>
      </c>
      <c r="C3546" t="s">
        <v>3625</v>
      </c>
      <c r="D3546" t="s">
        <v>4257</v>
      </c>
      <c r="E3546" t="s">
        <v>3626</v>
      </c>
    </row>
    <row r="3547" spans="1:5" x14ac:dyDescent="0.2">
      <c r="A3547" t="s">
        <v>550</v>
      </c>
      <c r="B3547">
        <v>890</v>
      </c>
      <c r="C3547" t="s">
        <v>3625</v>
      </c>
      <c r="D3547" t="s">
        <v>4258</v>
      </c>
      <c r="E3547" t="s">
        <v>3626</v>
      </c>
    </row>
    <row r="3548" spans="1:5" x14ac:dyDescent="0.2">
      <c r="A3548" t="s">
        <v>382</v>
      </c>
      <c r="B3548">
        <v>625</v>
      </c>
      <c r="C3548" t="s">
        <v>3446</v>
      </c>
      <c r="E3548" t="s">
        <v>3447</v>
      </c>
    </row>
    <row r="3549" spans="1:5" x14ac:dyDescent="0.2">
      <c r="A3549" t="s">
        <v>466</v>
      </c>
      <c r="B3549">
        <v>670</v>
      </c>
      <c r="C3549" t="s">
        <v>4259</v>
      </c>
      <c r="E3549" t="s">
        <v>4260</v>
      </c>
    </row>
    <row r="3550" spans="1:5" x14ac:dyDescent="0.2">
      <c r="A3550" t="s">
        <v>567</v>
      </c>
      <c r="B3550">
        <v>620</v>
      </c>
      <c r="C3550" t="s">
        <v>2431</v>
      </c>
      <c r="E3550" t="s">
        <v>2432</v>
      </c>
    </row>
    <row r="3551" spans="1:5" x14ac:dyDescent="0.2">
      <c r="A3551" t="s">
        <v>650</v>
      </c>
      <c r="B3551">
        <v>964</v>
      </c>
      <c r="C3551" t="s">
        <v>2620</v>
      </c>
      <c r="D3551" t="s">
        <v>4244</v>
      </c>
      <c r="E3551" t="s">
        <v>2909</v>
      </c>
    </row>
    <row r="3552" spans="1:5" x14ac:dyDescent="0.2">
      <c r="A3552" t="s">
        <v>550</v>
      </c>
      <c r="B3552">
        <v>695</v>
      </c>
      <c r="C3552" t="s">
        <v>2582</v>
      </c>
      <c r="D3552" t="s">
        <v>2386</v>
      </c>
      <c r="E3552" t="s">
        <v>2584</v>
      </c>
    </row>
    <row r="3553" spans="1:5" x14ac:dyDescent="0.2">
      <c r="A3553" t="s">
        <v>650</v>
      </c>
      <c r="B3553">
        <v>897</v>
      </c>
      <c r="C3553" t="s">
        <v>3565</v>
      </c>
      <c r="E3553" t="s">
        <v>3825</v>
      </c>
    </row>
    <row r="3554" spans="1:5" x14ac:dyDescent="0.2">
      <c r="A3554" t="s">
        <v>650</v>
      </c>
      <c r="B3554">
        <v>690</v>
      </c>
      <c r="C3554" t="s">
        <v>3565</v>
      </c>
      <c r="D3554" t="s">
        <v>4261</v>
      </c>
      <c r="E3554" t="s">
        <v>3573</v>
      </c>
    </row>
    <row r="3555" spans="1:5" x14ac:dyDescent="0.2">
      <c r="A3555" t="s">
        <v>539</v>
      </c>
      <c r="B3555">
        <v>680</v>
      </c>
      <c r="C3555" t="s">
        <v>2723</v>
      </c>
      <c r="E3555" t="s">
        <v>2724</v>
      </c>
    </row>
    <row r="3556" spans="1:5" x14ac:dyDescent="0.2">
      <c r="A3556" t="s">
        <v>550</v>
      </c>
      <c r="B3556">
        <v>829</v>
      </c>
      <c r="C3556" t="s">
        <v>3420</v>
      </c>
      <c r="E3556" t="s">
        <v>3421</v>
      </c>
    </row>
    <row r="3557" spans="1:5" x14ac:dyDescent="0.2">
      <c r="A3557" t="s">
        <v>413</v>
      </c>
      <c r="B3557">
        <v>645</v>
      </c>
      <c r="C3557" t="s">
        <v>4196</v>
      </c>
      <c r="E3557" t="s">
        <v>4197</v>
      </c>
    </row>
    <row r="3558" spans="1:5" x14ac:dyDescent="0.2">
      <c r="A3558" t="s">
        <v>413</v>
      </c>
      <c r="B3558">
        <v>685</v>
      </c>
      <c r="C3558" t="s">
        <v>3053</v>
      </c>
      <c r="E3558" t="s">
        <v>3054</v>
      </c>
    </row>
    <row r="3559" spans="1:5" x14ac:dyDescent="0.2">
      <c r="A3559" t="s">
        <v>505</v>
      </c>
      <c r="B3559">
        <v>505</v>
      </c>
      <c r="C3559" t="s">
        <v>2426</v>
      </c>
      <c r="D3559" t="s">
        <v>4262</v>
      </c>
      <c r="E3559" t="s">
        <v>2428</v>
      </c>
    </row>
    <row r="3560" spans="1:5" x14ac:dyDescent="0.2">
      <c r="A3560" t="s">
        <v>592</v>
      </c>
      <c r="B3560">
        <v>549</v>
      </c>
      <c r="C3560" t="s">
        <v>3100</v>
      </c>
      <c r="E3560" t="s">
        <v>3273</v>
      </c>
    </row>
    <row r="3561" spans="1:5" x14ac:dyDescent="0.2">
      <c r="A3561" t="s">
        <v>539</v>
      </c>
      <c r="B3561">
        <v>897</v>
      </c>
      <c r="C3561" t="s">
        <v>3794</v>
      </c>
      <c r="E3561" t="s">
        <v>3796</v>
      </c>
    </row>
    <row r="3562" spans="1:5" x14ac:dyDescent="0.2">
      <c r="A3562" t="s">
        <v>539</v>
      </c>
      <c r="B3562">
        <v>897</v>
      </c>
      <c r="C3562" t="s">
        <v>3794</v>
      </c>
      <c r="D3562" t="s">
        <v>4204</v>
      </c>
      <c r="E3562" t="s">
        <v>3796</v>
      </c>
    </row>
    <row r="3563" spans="1:5" x14ac:dyDescent="0.2">
      <c r="A3563" t="s">
        <v>413</v>
      </c>
      <c r="B3563">
        <v>600</v>
      </c>
      <c r="C3563" t="s">
        <v>2689</v>
      </c>
      <c r="E3563" t="s">
        <v>2690</v>
      </c>
    </row>
    <row r="3564" spans="1:5" x14ac:dyDescent="0.2">
      <c r="A3564" t="s">
        <v>567</v>
      </c>
      <c r="B3564">
        <v>890</v>
      </c>
      <c r="C3564" t="s">
        <v>3519</v>
      </c>
      <c r="E3564" t="s">
        <v>3521</v>
      </c>
    </row>
    <row r="3565" spans="1:5" x14ac:dyDescent="0.2">
      <c r="A3565" t="s">
        <v>567</v>
      </c>
      <c r="B3565">
        <v>945</v>
      </c>
      <c r="C3565" t="s">
        <v>2764</v>
      </c>
      <c r="E3565" t="s">
        <v>2765</v>
      </c>
    </row>
    <row r="3566" spans="1:5" x14ac:dyDescent="0.2">
      <c r="A3566" t="s">
        <v>539</v>
      </c>
      <c r="B3566">
        <v>530</v>
      </c>
      <c r="C3566" t="s">
        <v>3148</v>
      </c>
      <c r="E3566" t="s">
        <v>3149</v>
      </c>
    </row>
    <row r="3567" spans="1:5" x14ac:dyDescent="0.2">
      <c r="A3567" t="s">
        <v>505</v>
      </c>
      <c r="B3567">
        <v>797</v>
      </c>
      <c r="C3567" t="s">
        <v>3565</v>
      </c>
      <c r="D3567" t="s">
        <v>4263</v>
      </c>
      <c r="E3567" t="s">
        <v>3629</v>
      </c>
    </row>
    <row r="3568" spans="1:5" x14ac:dyDescent="0.2">
      <c r="A3568" t="s">
        <v>650</v>
      </c>
      <c r="B3568">
        <v>630</v>
      </c>
      <c r="C3568" t="s">
        <v>2738</v>
      </c>
      <c r="E3568" t="s">
        <v>2739</v>
      </c>
    </row>
    <row r="3569" spans="1:5" x14ac:dyDescent="0.2">
      <c r="A3569" t="s">
        <v>592</v>
      </c>
      <c r="B3569">
        <v>656</v>
      </c>
      <c r="C3569" t="s">
        <v>2650</v>
      </c>
      <c r="E3569" t="s">
        <v>2651</v>
      </c>
    </row>
    <row r="3570" spans="1:5" x14ac:dyDescent="0.2">
      <c r="A3570" t="s">
        <v>650</v>
      </c>
      <c r="B3570">
        <v>690</v>
      </c>
      <c r="C3570" t="s">
        <v>3565</v>
      </c>
      <c r="D3570" t="s">
        <v>4264</v>
      </c>
      <c r="E3570" t="s">
        <v>3573</v>
      </c>
    </row>
    <row r="3571" spans="1:5" x14ac:dyDescent="0.2">
      <c r="A3571" t="s">
        <v>505</v>
      </c>
      <c r="B3571">
        <v>505</v>
      </c>
      <c r="C3571" t="s">
        <v>2426</v>
      </c>
      <c r="D3571" t="s">
        <v>4216</v>
      </c>
      <c r="E3571" t="s">
        <v>2428</v>
      </c>
    </row>
    <row r="3572" spans="1:5" x14ac:dyDescent="0.2">
      <c r="A3572" t="s">
        <v>592</v>
      </c>
      <c r="B3572">
        <v>606</v>
      </c>
      <c r="C3572" t="s">
        <v>2526</v>
      </c>
      <c r="E3572" t="s">
        <v>2627</v>
      </c>
    </row>
    <row r="3573" spans="1:5" x14ac:dyDescent="0.2">
      <c r="A3573" t="s">
        <v>413</v>
      </c>
      <c r="B3573">
        <v>940</v>
      </c>
      <c r="C3573" t="s">
        <v>2858</v>
      </c>
      <c r="D3573" t="s">
        <v>4265</v>
      </c>
      <c r="E3573" t="s">
        <v>2859</v>
      </c>
    </row>
    <row r="3574" spans="1:5" x14ac:dyDescent="0.2">
      <c r="A3574" t="s">
        <v>550</v>
      </c>
      <c r="B3574">
        <v>667</v>
      </c>
      <c r="C3574" t="s">
        <v>3456</v>
      </c>
      <c r="E3574" t="s">
        <v>3457</v>
      </c>
    </row>
    <row r="3575" spans="1:5" x14ac:dyDescent="0.2">
      <c r="A3575" t="s">
        <v>592</v>
      </c>
      <c r="B3575">
        <v>690</v>
      </c>
      <c r="C3575" t="s">
        <v>3561</v>
      </c>
      <c r="D3575" t="s">
        <v>4266</v>
      </c>
      <c r="E3575" t="s">
        <v>3977</v>
      </c>
    </row>
    <row r="3576" spans="1:5" x14ac:dyDescent="0.2">
      <c r="A3576" t="s">
        <v>550</v>
      </c>
      <c r="B3576">
        <v>505</v>
      </c>
      <c r="C3576" t="s">
        <v>2551</v>
      </c>
      <c r="E3576" t="s">
        <v>2552</v>
      </c>
    </row>
    <row r="3577" spans="1:5" x14ac:dyDescent="0.2">
      <c r="A3577" t="s">
        <v>466</v>
      </c>
      <c r="B3577">
        <v>678</v>
      </c>
      <c r="C3577" t="s">
        <v>2727</v>
      </c>
      <c r="E3577" t="s">
        <v>3443</v>
      </c>
    </row>
    <row r="3578" spans="1:5" x14ac:dyDescent="0.2">
      <c r="A3578" t="s">
        <v>567</v>
      </c>
      <c r="B3578">
        <v>634</v>
      </c>
      <c r="C3578" t="s">
        <v>3108</v>
      </c>
      <c r="D3578" t="s">
        <v>4267</v>
      </c>
      <c r="E3578" t="s">
        <v>3109</v>
      </c>
    </row>
    <row r="3579" spans="1:5" x14ac:dyDescent="0.2">
      <c r="A3579" t="s">
        <v>567</v>
      </c>
      <c r="B3579">
        <v>660</v>
      </c>
      <c r="C3579" t="s">
        <v>2875</v>
      </c>
      <c r="D3579" t="s">
        <v>4267</v>
      </c>
      <c r="E3579" t="s">
        <v>3274</v>
      </c>
    </row>
    <row r="3580" spans="1:5" x14ac:dyDescent="0.2">
      <c r="A3580" t="s">
        <v>567</v>
      </c>
      <c r="B3580">
        <v>885</v>
      </c>
      <c r="C3580" t="s">
        <v>3013</v>
      </c>
      <c r="D3580" t="s">
        <v>4268</v>
      </c>
      <c r="E3580" t="s">
        <v>3093</v>
      </c>
    </row>
    <row r="3581" spans="1:5" x14ac:dyDescent="0.2">
      <c r="A3581" t="s">
        <v>466</v>
      </c>
      <c r="B3581">
        <v>676</v>
      </c>
      <c r="C3581" t="s">
        <v>2386</v>
      </c>
      <c r="D3581" t="s">
        <v>4269</v>
      </c>
      <c r="E3581" t="s">
        <v>4270</v>
      </c>
    </row>
    <row r="3582" spans="1:5" x14ac:dyDescent="0.2">
      <c r="A3582" t="s">
        <v>592</v>
      </c>
      <c r="B3582">
        <v>632</v>
      </c>
      <c r="C3582" t="s">
        <v>3384</v>
      </c>
      <c r="D3582" t="s">
        <v>3464</v>
      </c>
      <c r="E3582" t="s">
        <v>3385</v>
      </c>
    </row>
    <row r="3583" spans="1:5" x14ac:dyDescent="0.2">
      <c r="A3583" t="s">
        <v>413</v>
      </c>
      <c r="B3583">
        <v>690</v>
      </c>
      <c r="C3583" t="s">
        <v>3565</v>
      </c>
      <c r="D3583" t="s">
        <v>4271</v>
      </c>
      <c r="E3583" t="s">
        <v>3566</v>
      </c>
    </row>
    <row r="3584" spans="1:5" x14ac:dyDescent="0.2">
      <c r="A3584" t="s">
        <v>413</v>
      </c>
      <c r="B3584">
        <v>690</v>
      </c>
      <c r="C3584" t="s">
        <v>3565</v>
      </c>
      <c r="D3584" t="s">
        <v>4272</v>
      </c>
      <c r="E3584" t="s">
        <v>3566</v>
      </c>
    </row>
    <row r="3585" spans="1:5" x14ac:dyDescent="0.2">
      <c r="A3585" t="s">
        <v>413</v>
      </c>
      <c r="B3585">
        <v>890</v>
      </c>
      <c r="C3585" t="s">
        <v>3569</v>
      </c>
      <c r="D3585" t="s">
        <v>4273</v>
      </c>
      <c r="E3585" t="s">
        <v>3570</v>
      </c>
    </row>
    <row r="3586" spans="1:5" x14ac:dyDescent="0.2">
      <c r="A3586" t="s">
        <v>413</v>
      </c>
      <c r="B3586">
        <v>885</v>
      </c>
      <c r="C3586" t="s">
        <v>2389</v>
      </c>
      <c r="D3586" t="s">
        <v>3449</v>
      </c>
      <c r="E3586" t="s">
        <v>3334</v>
      </c>
    </row>
    <row r="3587" spans="1:5" x14ac:dyDescent="0.2">
      <c r="A3587" t="s">
        <v>413</v>
      </c>
      <c r="B3587">
        <v>891</v>
      </c>
      <c r="C3587" t="s">
        <v>3565</v>
      </c>
      <c r="D3587" t="s">
        <v>4274</v>
      </c>
      <c r="E3587" t="s">
        <v>3784</v>
      </c>
    </row>
    <row r="3588" spans="1:5" x14ac:dyDescent="0.2">
      <c r="A3588" t="s">
        <v>413</v>
      </c>
      <c r="B3588">
        <v>895</v>
      </c>
      <c r="C3588" t="s">
        <v>3571</v>
      </c>
      <c r="D3588" t="s">
        <v>4275</v>
      </c>
      <c r="E3588" t="s">
        <v>3572</v>
      </c>
    </row>
    <row r="3589" spans="1:5" x14ac:dyDescent="0.2">
      <c r="A3589" t="s">
        <v>505</v>
      </c>
      <c r="B3589">
        <v>530</v>
      </c>
      <c r="C3589" t="s">
        <v>2511</v>
      </c>
      <c r="E3589" t="s">
        <v>2512</v>
      </c>
    </row>
    <row r="3590" spans="1:5" x14ac:dyDescent="0.2">
      <c r="A3590" t="s">
        <v>413</v>
      </c>
      <c r="B3590">
        <v>891</v>
      </c>
      <c r="C3590" t="s">
        <v>3565</v>
      </c>
      <c r="D3590" t="s">
        <v>4276</v>
      </c>
      <c r="E3590" t="s">
        <v>3784</v>
      </c>
    </row>
    <row r="3591" spans="1:5" x14ac:dyDescent="0.2">
      <c r="A3591" t="s">
        <v>650</v>
      </c>
      <c r="B3591">
        <v>897</v>
      </c>
      <c r="C3591" t="s">
        <v>3565</v>
      </c>
      <c r="D3591" t="s">
        <v>4277</v>
      </c>
      <c r="E3591" t="s">
        <v>3825</v>
      </c>
    </row>
    <row r="3592" spans="1:5" x14ac:dyDescent="0.2">
      <c r="A3592" t="s">
        <v>550</v>
      </c>
      <c r="B3592">
        <v>695</v>
      </c>
      <c r="C3592" t="s">
        <v>2582</v>
      </c>
      <c r="D3592" t="s">
        <v>2386</v>
      </c>
      <c r="E3592" t="s">
        <v>2584</v>
      </c>
    </row>
    <row r="3593" spans="1:5" x14ac:dyDescent="0.2">
      <c r="A3593" t="s">
        <v>567</v>
      </c>
      <c r="B3593">
        <v>885</v>
      </c>
      <c r="C3593" t="s">
        <v>3013</v>
      </c>
      <c r="D3593" t="s">
        <v>4278</v>
      </c>
      <c r="E3593" t="s">
        <v>3093</v>
      </c>
    </row>
    <row r="3594" spans="1:5" x14ac:dyDescent="0.2">
      <c r="A3594" t="s">
        <v>413</v>
      </c>
      <c r="B3594">
        <v>890</v>
      </c>
      <c r="C3594" t="s">
        <v>3569</v>
      </c>
      <c r="D3594" t="s">
        <v>4279</v>
      </c>
      <c r="E3594" t="s">
        <v>3570</v>
      </c>
    </row>
    <row r="3595" spans="1:5" x14ac:dyDescent="0.2">
      <c r="A3595" t="s">
        <v>650</v>
      </c>
      <c r="B3595">
        <v>897</v>
      </c>
      <c r="C3595" t="s">
        <v>3565</v>
      </c>
      <c r="D3595" t="s">
        <v>4280</v>
      </c>
      <c r="E3595" t="s">
        <v>3825</v>
      </c>
    </row>
    <row r="3596" spans="1:5" x14ac:dyDescent="0.2">
      <c r="A3596" t="s">
        <v>466</v>
      </c>
      <c r="B3596">
        <v>656</v>
      </c>
      <c r="C3596" t="s">
        <v>2820</v>
      </c>
      <c r="E3596" t="s">
        <v>3249</v>
      </c>
    </row>
    <row r="3597" spans="1:5" x14ac:dyDescent="0.2">
      <c r="A3597" t="s">
        <v>413</v>
      </c>
      <c r="B3597">
        <v>892</v>
      </c>
      <c r="C3597" t="s">
        <v>3965</v>
      </c>
      <c r="E3597" t="s">
        <v>3786</v>
      </c>
    </row>
    <row r="3598" spans="1:5" x14ac:dyDescent="0.2">
      <c r="A3598" t="s">
        <v>382</v>
      </c>
      <c r="B3598">
        <v>810</v>
      </c>
      <c r="C3598" t="s">
        <v>2446</v>
      </c>
      <c r="E3598" t="s">
        <v>2447</v>
      </c>
    </row>
    <row r="3599" spans="1:5" x14ac:dyDescent="0.2">
      <c r="A3599" t="s">
        <v>382</v>
      </c>
      <c r="B3599">
        <v>612</v>
      </c>
      <c r="C3599" t="s">
        <v>2818</v>
      </c>
      <c r="E3599" t="s">
        <v>2819</v>
      </c>
    </row>
    <row r="3600" spans="1:5" x14ac:dyDescent="0.2">
      <c r="A3600" t="s">
        <v>382</v>
      </c>
      <c r="B3600">
        <v>890</v>
      </c>
      <c r="C3600" t="s">
        <v>3586</v>
      </c>
      <c r="D3600" t="s">
        <v>4281</v>
      </c>
      <c r="E3600" t="s">
        <v>3587</v>
      </c>
    </row>
    <row r="3601" spans="1:5" x14ac:dyDescent="0.2">
      <c r="A3601" t="s">
        <v>382</v>
      </c>
      <c r="B3601">
        <v>615</v>
      </c>
      <c r="C3601" t="s">
        <v>2448</v>
      </c>
      <c r="E3601" t="s">
        <v>2449</v>
      </c>
    </row>
    <row r="3602" spans="1:5" x14ac:dyDescent="0.2">
      <c r="A3602" t="s">
        <v>567</v>
      </c>
      <c r="B3602">
        <v>612</v>
      </c>
      <c r="C3602" t="s">
        <v>2818</v>
      </c>
      <c r="E3602" t="s">
        <v>3340</v>
      </c>
    </row>
    <row r="3603" spans="1:5" x14ac:dyDescent="0.2">
      <c r="A3603" t="s">
        <v>567</v>
      </c>
      <c r="B3603">
        <v>615</v>
      </c>
      <c r="C3603" t="s">
        <v>2448</v>
      </c>
      <c r="E3603" t="s">
        <v>3432</v>
      </c>
    </row>
    <row r="3604" spans="1:5" x14ac:dyDescent="0.2">
      <c r="A3604" t="s">
        <v>567</v>
      </c>
      <c r="B3604">
        <v>664</v>
      </c>
      <c r="C3604" t="s">
        <v>2752</v>
      </c>
      <c r="E3604" t="s">
        <v>2753</v>
      </c>
    </row>
    <row r="3605" spans="1:5" x14ac:dyDescent="0.2">
      <c r="A3605" t="s">
        <v>567</v>
      </c>
      <c r="B3605">
        <v>890</v>
      </c>
      <c r="C3605" t="s">
        <v>3519</v>
      </c>
      <c r="D3605" t="s">
        <v>4282</v>
      </c>
      <c r="E3605" t="s">
        <v>3521</v>
      </c>
    </row>
    <row r="3606" spans="1:5" x14ac:dyDescent="0.2">
      <c r="A3606" t="s">
        <v>650</v>
      </c>
      <c r="B3606">
        <v>897</v>
      </c>
      <c r="C3606" t="s">
        <v>3565</v>
      </c>
      <c r="D3606" t="s">
        <v>4283</v>
      </c>
      <c r="E3606" t="s">
        <v>3825</v>
      </c>
    </row>
    <row r="3607" spans="1:5" x14ac:dyDescent="0.2">
      <c r="A3607" t="s">
        <v>413</v>
      </c>
      <c r="B3607">
        <v>891</v>
      </c>
      <c r="C3607" t="s">
        <v>3565</v>
      </c>
      <c r="D3607" t="s">
        <v>4272</v>
      </c>
      <c r="E3607" t="s">
        <v>3784</v>
      </c>
    </row>
    <row r="3608" spans="1:5" x14ac:dyDescent="0.2">
      <c r="A3608" t="s">
        <v>650</v>
      </c>
      <c r="B3608">
        <v>626</v>
      </c>
      <c r="C3608" t="s">
        <v>2782</v>
      </c>
      <c r="E3608" t="s">
        <v>2783</v>
      </c>
    </row>
    <row r="3609" spans="1:5" x14ac:dyDescent="0.2">
      <c r="A3609" t="s">
        <v>567</v>
      </c>
      <c r="B3609">
        <v>690</v>
      </c>
      <c r="C3609" t="s">
        <v>3565</v>
      </c>
      <c r="D3609" t="s">
        <v>4284</v>
      </c>
      <c r="E3609" t="s">
        <v>3582</v>
      </c>
    </row>
    <row r="3610" spans="1:5" x14ac:dyDescent="0.2">
      <c r="A3610" t="s">
        <v>413</v>
      </c>
      <c r="B3610">
        <v>890</v>
      </c>
      <c r="C3610" t="s">
        <v>3569</v>
      </c>
      <c r="D3610" t="s">
        <v>4285</v>
      </c>
      <c r="E3610" t="s">
        <v>3570</v>
      </c>
    </row>
    <row r="3611" spans="1:5" x14ac:dyDescent="0.2">
      <c r="A3611" t="s">
        <v>413</v>
      </c>
      <c r="B3611">
        <v>892</v>
      </c>
      <c r="C3611" t="s">
        <v>3965</v>
      </c>
      <c r="D3611" t="s">
        <v>4283</v>
      </c>
      <c r="E3611" t="s">
        <v>3786</v>
      </c>
    </row>
    <row r="3612" spans="1:5" x14ac:dyDescent="0.2">
      <c r="A3612" t="s">
        <v>550</v>
      </c>
      <c r="B3612">
        <v>690</v>
      </c>
      <c r="C3612" t="s">
        <v>3565</v>
      </c>
      <c r="D3612" t="s">
        <v>4286</v>
      </c>
      <c r="E3612" t="s">
        <v>3593</v>
      </c>
    </row>
    <row r="3613" spans="1:5" x14ac:dyDescent="0.2">
      <c r="A3613" t="s">
        <v>539</v>
      </c>
      <c r="B3613">
        <v>885</v>
      </c>
      <c r="C3613" t="s">
        <v>2389</v>
      </c>
      <c r="D3613" t="s">
        <v>3036</v>
      </c>
      <c r="E3613" t="s">
        <v>2391</v>
      </c>
    </row>
    <row r="3614" spans="1:5" x14ac:dyDescent="0.2">
      <c r="A3614" t="s">
        <v>413</v>
      </c>
      <c r="B3614">
        <v>892</v>
      </c>
      <c r="C3614" t="s">
        <v>3965</v>
      </c>
      <c r="D3614" t="s">
        <v>4287</v>
      </c>
      <c r="E3614" t="s">
        <v>3786</v>
      </c>
    </row>
    <row r="3615" spans="1:5" x14ac:dyDescent="0.2">
      <c r="A3615" t="s">
        <v>650</v>
      </c>
      <c r="B3615">
        <v>885</v>
      </c>
      <c r="C3615" t="s">
        <v>2386</v>
      </c>
      <c r="D3615" t="s">
        <v>3436</v>
      </c>
      <c r="E3615" t="s">
        <v>3027</v>
      </c>
    </row>
    <row r="3616" spans="1:5" x14ac:dyDescent="0.2">
      <c r="A3616" t="s">
        <v>382</v>
      </c>
      <c r="B3616">
        <v>885</v>
      </c>
      <c r="C3616" t="s">
        <v>3450</v>
      </c>
      <c r="D3616" t="s">
        <v>3453</v>
      </c>
      <c r="E3616" t="s">
        <v>3452</v>
      </c>
    </row>
    <row r="3617" spans="1:5" x14ac:dyDescent="0.2">
      <c r="A3617" t="s">
        <v>539</v>
      </c>
      <c r="B3617">
        <v>890</v>
      </c>
      <c r="C3617" t="s">
        <v>3577</v>
      </c>
      <c r="D3617" t="s">
        <v>4288</v>
      </c>
      <c r="E3617" t="s">
        <v>3578</v>
      </c>
    </row>
    <row r="3618" spans="1:5" x14ac:dyDescent="0.2">
      <c r="A3618" t="s">
        <v>650</v>
      </c>
      <c r="B3618">
        <v>897</v>
      </c>
      <c r="C3618" t="s">
        <v>3565</v>
      </c>
      <c r="D3618" t="s">
        <v>4289</v>
      </c>
      <c r="E3618" t="s">
        <v>3825</v>
      </c>
    </row>
    <row r="3619" spans="1:5" x14ac:dyDescent="0.2">
      <c r="A3619" t="s">
        <v>539</v>
      </c>
      <c r="B3619">
        <v>885</v>
      </c>
      <c r="C3619" t="s">
        <v>2389</v>
      </c>
      <c r="D3619" t="s">
        <v>3430</v>
      </c>
      <c r="E3619" t="s">
        <v>2391</v>
      </c>
    </row>
    <row r="3620" spans="1:5" x14ac:dyDescent="0.2">
      <c r="A3620" t="s">
        <v>567</v>
      </c>
      <c r="B3620">
        <v>890</v>
      </c>
      <c r="C3620" t="s">
        <v>3519</v>
      </c>
      <c r="D3620" t="s">
        <v>4290</v>
      </c>
      <c r="E3620" t="s">
        <v>3521</v>
      </c>
    </row>
    <row r="3621" spans="1:5" x14ac:dyDescent="0.2">
      <c r="A3621" t="s">
        <v>413</v>
      </c>
      <c r="B3621">
        <v>891</v>
      </c>
      <c r="C3621" t="s">
        <v>3565</v>
      </c>
      <c r="D3621" t="s">
        <v>4291</v>
      </c>
      <c r="E3621" t="s">
        <v>3784</v>
      </c>
    </row>
    <row r="3622" spans="1:5" x14ac:dyDescent="0.2">
      <c r="A3622" t="s">
        <v>650</v>
      </c>
      <c r="B3622">
        <v>615</v>
      </c>
      <c r="C3622" t="s">
        <v>2713</v>
      </c>
      <c r="E3622" t="s">
        <v>2714</v>
      </c>
    </row>
    <row r="3623" spans="1:5" x14ac:dyDescent="0.2">
      <c r="A3623" t="s">
        <v>567</v>
      </c>
      <c r="B3623">
        <v>620</v>
      </c>
      <c r="C3623" t="s">
        <v>2431</v>
      </c>
      <c r="E3623" t="s">
        <v>2432</v>
      </c>
    </row>
    <row r="3624" spans="1:5" x14ac:dyDescent="0.2">
      <c r="A3624" t="s">
        <v>505</v>
      </c>
      <c r="B3624">
        <v>530</v>
      </c>
      <c r="C3624" t="s">
        <v>2511</v>
      </c>
      <c r="E3624" t="s">
        <v>2512</v>
      </c>
    </row>
    <row r="3625" spans="1:5" x14ac:dyDescent="0.2">
      <c r="A3625" t="s">
        <v>567</v>
      </c>
      <c r="B3625">
        <v>890</v>
      </c>
      <c r="C3625" t="s">
        <v>3519</v>
      </c>
      <c r="D3625" t="s">
        <v>4292</v>
      </c>
      <c r="E3625" t="s">
        <v>3521</v>
      </c>
    </row>
    <row r="3626" spans="1:5" x14ac:dyDescent="0.2">
      <c r="A3626" t="s">
        <v>592</v>
      </c>
      <c r="B3626">
        <v>543</v>
      </c>
      <c r="C3626" t="s">
        <v>2494</v>
      </c>
      <c r="E3626" t="s">
        <v>2503</v>
      </c>
    </row>
    <row r="3627" spans="1:5" x14ac:dyDescent="0.2">
      <c r="A3627" t="s">
        <v>505</v>
      </c>
      <c r="B3627">
        <v>620</v>
      </c>
      <c r="C3627" t="s">
        <v>2624</v>
      </c>
      <c r="E3627" t="s">
        <v>2625</v>
      </c>
    </row>
    <row r="3628" spans="1:5" x14ac:dyDescent="0.2">
      <c r="A3628" t="s">
        <v>567</v>
      </c>
      <c r="B3628">
        <v>890</v>
      </c>
      <c r="C3628" t="s">
        <v>3519</v>
      </c>
      <c r="D3628" t="s">
        <v>4293</v>
      </c>
      <c r="E3628" t="s">
        <v>3521</v>
      </c>
    </row>
    <row r="3629" spans="1:5" x14ac:dyDescent="0.2">
      <c r="A3629" t="s">
        <v>466</v>
      </c>
      <c r="B3629">
        <v>655</v>
      </c>
      <c r="C3629" t="s">
        <v>2616</v>
      </c>
      <c r="E3629" t="s">
        <v>3341</v>
      </c>
    </row>
    <row r="3630" spans="1:5" x14ac:dyDescent="0.2">
      <c r="A3630" t="s">
        <v>550</v>
      </c>
      <c r="B3630">
        <v>899</v>
      </c>
      <c r="C3630" t="s">
        <v>3969</v>
      </c>
      <c r="D3630" t="s">
        <v>3901</v>
      </c>
      <c r="E3630" t="s">
        <v>3902</v>
      </c>
    </row>
    <row r="3631" spans="1:5" x14ac:dyDescent="0.2">
      <c r="A3631" t="s">
        <v>567</v>
      </c>
      <c r="B3631">
        <v>625</v>
      </c>
      <c r="C3631" t="s">
        <v>2887</v>
      </c>
      <c r="E3631" t="s">
        <v>2888</v>
      </c>
    </row>
    <row r="3632" spans="1:5" x14ac:dyDescent="0.2">
      <c r="A3632" t="s">
        <v>382</v>
      </c>
      <c r="B3632">
        <v>604</v>
      </c>
      <c r="C3632" t="s">
        <v>2973</v>
      </c>
      <c r="E3632" t="s">
        <v>2974</v>
      </c>
    </row>
    <row r="3633" spans="1:5" x14ac:dyDescent="0.2">
      <c r="A3633" t="s">
        <v>567</v>
      </c>
      <c r="B3633">
        <v>890</v>
      </c>
      <c r="C3633" t="s">
        <v>3519</v>
      </c>
      <c r="D3633" t="s">
        <v>4292</v>
      </c>
      <c r="E3633" t="s">
        <v>3521</v>
      </c>
    </row>
    <row r="3634" spans="1:5" x14ac:dyDescent="0.2">
      <c r="A3634" t="s">
        <v>592</v>
      </c>
      <c r="B3634">
        <v>523</v>
      </c>
      <c r="C3634" t="s">
        <v>2406</v>
      </c>
      <c r="E3634" t="s">
        <v>2407</v>
      </c>
    </row>
    <row r="3635" spans="1:5" x14ac:dyDescent="0.2">
      <c r="A3635" t="s">
        <v>466</v>
      </c>
      <c r="B3635">
        <v>656</v>
      </c>
      <c r="C3635" t="s">
        <v>2820</v>
      </c>
      <c r="E3635" t="s">
        <v>3249</v>
      </c>
    </row>
    <row r="3636" spans="1:5" x14ac:dyDescent="0.2">
      <c r="A3636" t="s">
        <v>505</v>
      </c>
      <c r="B3636">
        <v>628</v>
      </c>
      <c r="C3636" t="s">
        <v>2684</v>
      </c>
      <c r="E3636" t="s">
        <v>2685</v>
      </c>
    </row>
    <row r="3637" spans="1:5" x14ac:dyDescent="0.2">
      <c r="A3637" t="s">
        <v>650</v>
      </c>
      <c r="B3637">
        <v>897</v>
      </c>
      <c r="C3637" t="s">
        <v>3565</v>
      </c>
      <c r="D3637" t="s">
        <v>4294</v>
      </c>
      <c r="E3637" t="s">
        <v>3825</v>
      </c>
    </row>
    <row r="3638" spans="1:5" x14ac:dyDescent="0.2">
      <c r="A3638" t="s">
        <v>505</v>
      </c>
      <c r="B3638">
        <v>505</v>
      </c>
      <c r="C3638" t="s">
        <v>2426</v>
      </c>
      <c r="D3638" t="s">
        <v>3465</v>
      </c>
      <c r="E3638" t="s">
        <v>2428</v>
      </c>
    </row>
    <row r="3639" spans="1:5" x14ac:dyDescent="0.2">
      <c r="A3639" t="s">
        <v>650</v>
      </c>
      <c r="B3639">
        <v>644</v>
      </c>
      <c r="C3639" t="s">
        <v>2930</v>
      </c>
      <c r="E3639" t="s">
        <v>2931</v>
      </c>
    </row>
    <row r="3640" spans="1:5" x14ac:dyDescent="0.2">
      <c r="A3640" t="s">
        <v>539</v>
      </c>
      <c r="B3640">
        <v>615</v>
      </c>
      <c r="C3640" t="s">
        <v>2928</v>
      </c>
      <c r="E3640" t="s">
        <v>2929</v>
      </c>
    </row>
    <row r="3641" spans="1:5" x14ac:dyDescent="0.2">
      <c r="A3641" t="s">
        <v>550</v>
      </c>
      <c r="B3641">
        <v>890</v>
      </c>
      <c r="C3641" t="s">
        <v>3625</v>
      </c>
      <c r="D3641" t="s">
        <v>4295</v>
      </c>
      <c r="E3641" t="s">
        <v>3626</v>
      </c>
    </row>
    <row r="3642" spans="1:5" x14ac:dyDescent="0.2">
      <c r="A3642" t="s">
        <v>592</v>
      </c>
      <c r="B3642">
        <v>562</v>
      </c>
      <c r="C3642" t="s">
        <v>2907</v>
      </c>
      <c r="E3642" t="s">
        <v>3362</v>
      </c>
    </row>
    <row r="3643" spans="1:5" x14ac:dyDescent="0.2">
      <c r="A3643" t="s">
        <v>592</v>
      </c>
      <c r="B3643">
        <v>656</v>
      </c>
      <c r="C3643" t="s">
        <v>2650</v>
      </c>
      <c r="E3643" t="s">
        <v>2651</v>
      </c>
    </row>
    <row r="3644" spans="1:5" x14ac:dyDescent="0.2">
      <c r="A3644" t="s">
        <v>539</v>
      </c>
      <c r="B3644">
        <v>647</v>
      </c>
      <c r="C3644" t="s">
        <v>2899</v>
      </c>
      <c r="E3644" t="s">
        <v>2900</v>
      </c>
    </row>
    <row r="3645" spans="1:5" x14ac:dyDescent="0.2">
      <c r="A3645" t="s">
        <v>567</v>
      </c>
      <c r="B3645">
        <v>664</v>
      </c>
      <c r="C3645" t="s">
        <v>2752</v>
      </c>
      <c r="E3645" t="s">
        <v>2753</v>
      </c>
    </row>
    <row r="3646" spans="1:5" x14ac:dyDescent="0.2">
      <c r="A3646" t="s">
        <v>567</v>
      </c>
      <c r="B3646">
        <v>604</v>
      </c>
      <c r="C3646" t="s">
        <v>2973</v>
      </c>
      <c r="E3646" t="s">
        <v>3441</v>
      </c>
    </row>
    <row r="3647" spans="1:5" x14ac:dyDescent="0.2">
      <c r="A3647" t="s">
        <v>592</v>
      </c>
      <c r="B3647">
        <v>643</v>
      </c>
      <c r="C3647" t="s">
        <v>3071</v>
      </c>
      <c r="E3647" t="s">
        <v>3307</v>
      </c>
    </row>
    <row r="3648" spans="1:5" x14ac:dyDescent="0.2">
      <c r="A3648" t="s">
        <v>650</v>
      </c>
      <c r="B3648">
        <v>521</v>
      </c>
      <c r="C3648" t="s">
        <v>2981</v>
      </c>
      <c r="E3648" t="s">
        <v>2982</v>
      </c>
    </row>
    <row r="3649" spans="1:5" x14ac:dyDescent="0.2">
      <c r="A3649" t="s">
        <v>650</v>
      </c>
      <c r="B3649">
        <v>690</v>
      </c>
      <c r="C3649" t="s">
        <v>3565</v>
      </c>
      <c r="D3649" t="s">
        <v>4296</v>
      </c>
      <c r="E3649" t="s">
        <v>3573</v>
      </c>
    </row>
    <row r="3650" spans="1:5" x14ac:dyDescent="0.2">
      <c r="A3650" t="s">
        <v>592</v>
      </c>
      <c r="B3650">
        <v>632</v>
      </c>
      <c r="C3650" t="s">
        <v>3384</v>
      </c>
      <c r="D3650" t="s">
        <v>3427</v>
      </c>
      <c r="E3650" t="s">
        <v>3385</v>
      </c>
    </row>
    <row r="3651" spans="1:5" x14ac:dyDescent="0.2">
      <c r="A3651" t="s">
        <v>466</v>
      </c>
      <c r="B3651">
        <v>880</v>
      </c>
      <c r="C3651" t="s">
        <v>4076</v>
      </c>
      <c r="E3651" t="s">
        <v>4077</v>
      </c>
    </row>
    <row r="3652" spans="1:5" x14ac:dyDescent="0.2">
      <c r="A3652" t="s">
        <v>567</v>
      </c>
      <c r="B3652">
        <v>686</v>
      </c>
      <c r="C3652" t="s">
        <v>2951</v>
      </c>
      <c r="D3652" t="s">
        <v>3478</v>
      </c>
      <c r="E3652" t="s">
        <v>2952</v>
      </c>
    </row>
    <row r="3653" spans="1:5" x14ac:dyDescent="0.2">
      <c r="A3653" t="s">
        <v>567</v>
      </c>
      <c r="B3653">
        <v>686</v>
      </c>
      <c r="C3653" t="s">
        <v>2951</v>
      </c>
      <c r="D3653" t="s">
        <v>3478</v>
      </c>
      <c r="E3653" t="s">
        <v>2952</v>
      </c>
    </row>
    <row r="3654" spans="1:5" x14ac:dyDescent="0.2">
      <c r="A3654" t="s">
        <v>466</v>
      </c>
      <c r="B3654">
        <v>534</v>
      </c>
      <c r="C3654" t="s">
        <v>2489</v>
      </c>
      <c r="E3654" t="s">
        <v>2513</v>
      </c>
    </row>
    <row r="3655" spans="1:5" x14ac:dyDescent="0.2">
      <c r="A3655" t="s">
        <v>592</v>
      </c>
      <c r="B3655">
        <v>632</v>
      </c>
      <c r="C3655" t="s">
        <v>3384</v>
      </c>
      <c r="D3655" t="s">
        <v>3427</v>
      </c>
      <c r="E3655" t="s">
        <v>3385</v>
      </c>
    </row>
    <row r="3656" spans="1:5" x14ac:dyDescent="0.2">
      <c r="A3656" t="s">
        <v>466</v>
      </c>
      <c r="B3656">
        <v>636</v>
      </c>
      <c r="C3656" t="s">
        <v>3462</v>
      </c>
      <c r="E3656" t="s">
        <v>3463</v>
      </c>
    </row>
    <row r="3657" spans="1:5" x14ac:dyDescent="0.2">
      <c r="A3657" t="s">
        <v>539</v>
      </c>
      <c r="B3657">
        <v>885</v>
      </c>
      <c r="C3657" t="s">
        <v>2389</v>
      </c>
      <c r="D3657" t="s">
        <v>3367</v>
      </c>
      <c r="E3657" t="s">
        <v>2391</v>
      </c>
    </row>
    <row r="3658" spans="1:5" x14ac:dyDescent="0.2">
      <c r="A3658" t="s">
        <v>466</v>
      </c>
      <c r="B3658">
        <v>950</v>
      </c>
      <c r="C3658" t="s">
        <v>3471</v>
      </c>
      <c r="D3658" t="s">
        <v>3527</v>
      </c>
      <c r="E3658" t="s">
        <v>3472</v>
      </c>
    </row>
    <row r="3659" spans="1:5" x14ac:dyDescent="0.2">
      <c r="A3659" t="s">
        <v>413</v>
      </c>
      <c r="B3659">
        <v>506</v>
      </c>
      <c r="C3659" t="s">
        <v>2466</v>
      </c>
      <c r="E3659" t="s">
        <v>2467</v>
      </c>
    </row>
    <row r="3660" spans="1:5" x14ac:dyDescent="0.2">
      <c r="A3660" t="s">
        <v>550</v>
      </c>
      <c r="B3660">
        <v>644</v>
      </c>
      <c r="C3660" t="s">
        <v>4297</v>
      </c>
      <c r="E3660" t="s">
        <v>4298</v>
      </c>
    </row>
    <row r="3661" spans="1:5" x14ac:dyDescent="0.2">
      <c r="A3661" t="s">
        <v>592</v>
      </c>
      <c r="B3661">
        <v>606</v>
      </c>
      <c r="C3661" t="s">
        <v>2526</v>
      </c>
      <c r="E3661" t="s">
        <v>2627</v>
      </c>
    </row>
    <row r="3662" spans="1:5" x14ac:dyDescent="0.2">
      <c r="A3662" t="s">
        <v>505</v>
      </c>
      <c r="B3662">
        <v>505</v>
      </c>
      <c r="C3662" t="s">
        <v>2426</v>
      </c>
      <c r="D3662" t="s">
        <v>3468</v>
      </c>
      <c r="E3662" t="s">
        <v>2428</v>
      </c>
    </row>
    <row r="3663" spans="1:5" x14ac:dyDescent="0.2">
      <c r="A3663" t="s">
        <v>413</v>
      </c>
      <c r="B3663">
        <v>690</v>
      </c>
      <c r="C3663" t="s">
        <v>3565</v>
      </c>
      <c r="D3663" t="s">
        <v>4299</v>
      </c>
      <c r="E3663" t="s">
        <v>3566</v>
      </c>
    </row>
    <row r="3664" spans="1:5" x14ac:dyDescent="0.2">
      <c r="A3664" t="s">
        <v>592</v>
      </c>
      <c r="B3664">
        <v>536</v>
      </c>
      <c r="C3664" t="s">
        <v>2824</v>
      </c>
      <c r="E3664" t="s">
        <v>3398</v>
      </c>
    </row>
    <row r="3665" spans="1:5" x14ac:dyDescent="0.2">
      <c r="A3665" t="s">
        <v>650</v>
      </c>
      <c r="B3665">
        <v>611</v>
      </c>
      <c r="C3665" t="s">
        <v>2610</v>
      </c>
      <c r="E3665" t="s">
        <v>2611</v>
      </c>
    </row>
    <row r="3666" spans="1:5" x14ac:dyDescent="0.2">
      <c r="A3666" t="s">
        <v>413</v>
      </c>
      <c r="B3666">
        <v>685</v>
      </c>
      <c r="C3666" t="s">
        <v>3053</v>
      </c>
      <c r="D3666" t="s">
        <v>3467</v>
      </c>
      <c r="E3666" t="s">
        <v>3054</v>
      </c>
    </row>
    <row r="3667" spans="1:5" x14ac:dyDescent="0.2">
      <c r="A3667" t="s">
        <v>592</v>
      </c>
      <c r="B3667">
        <v>555</v>
      </c>
      <c r="C3667" t="s">
        <v>2415</v>
      </c>
      <c r="E3667" t="s">
        <v>2660</v>
      </c>
    </row>
    <row r="3668" spans="1:5" x14ac:dyDescent="0.2">
      <c r="A3668" t="s">
        <v>567</v>
      </c>
      <c r="B3668">
        <v>940</v>
      </c>
      <c r="C3668" t="s">
        <v>2744</v>
      </c>
      <c r="E3668" t="s">
        <v>2745</v>
      </c>
    </row>
    <row r="3669" spans="1:5" x14ac:dyDescent="0.2">
      <c r="A3669" t="s">
        <v>567</v>
      </c>
      <c r="B3669">
        <v>666</v>
      </c>
      <c r="C3669" t="s">
        <v>3551</v>
      </c>
      <c r="E3669" t="s">
        <v>3552</v>
      </c>
    </row>
    <row r="3670" spans="1:5" x14ac:dyDescent="0.2">
      <c r="A3670" t="s">
        <v>592</v>
      </c>
      <c r="B3670">
        <v>690</v>
      </c>
      <c r="C3670" t="s">
        <v>3561</v>
      </c>
      <c r="D3670" t="s">
        <v>4300</v>
      </c>
      <c r="E3670" t="s">
        <v>3977</v>
      </c>
    </row>
    <row r="3671" spans="1:5" x14ac:dyDescent="0.2">
      <c r="A3671" t="s">
        <v>505</v>
      </c>
      <c r="B3671">
        <v>505</v>
      </c>
      <c r="C3671" t="s">
        <v>2426</v>
      </c>
      <c r="D3671" t="s">
        <v>4301</v>
      </c>
      <c r="E3671" t="s">
        <v>2428</v>
      </c>
    </row>
    <row r="3672" spans="1:5" x14ac:dyDescent="0.2">
      <c r="A3672" t="s">
        <v>505</v>
      </c>
      <c r="B3672">
        <v>505</v>
      </c>
      <c r="C3672" t="s">
        <v>2426</v>
      </c>
      <c r="D3672" t="s">
        <v>4302</v>
      </c>
      <c r="E3672" t="s">
        <v>2428</v>
      </c>
    </row>
    <row r="3673" spans="1:5" x14ac:dyDescent="0.2">
      <c r="A3673" t="s">
        <v>650</v>
      </c>
      <c r="B3673">
        <v>940</v>
      </c>
      <c r="C3673" t="s">
        <v>2946</v>
      </c>
      <c r="D3673" t="s">
        <v>4303</v>
      </c>
      <c r="E3673" t="s">
        <v>2947</v>
      </c>
    </row>
    <row r="3674" spans="1:5" x14ac:dyDescent="0.2">
      <c r="A3674" t="s">
        <v>505</v>
      </c>
      <c r="B3674">
        <v>505</v>
      </c>
      <c r="C3674" t="s">
        <v>2426</v>
      </c>
      <c r="D3674" t="s">
        <v>4304</v>
      </c>
      <c r="E3674" t="s">
        <v>2428</v>
      </c>
    </row>
    <row r="3675" spans="1:5" x14ac:dyDescent="0.2">
      <c r="A3675" t="s">
        <v>466</v>
      </c>
      <c r="B3675">
        <v>681</v>
      </c>
      <c r="C3675" t="s">
        <v>4086</v>
      </c>
      <c r="E3675" t="s">
        <v>4087</v>
      </c>
    </row>
    <row r="3676" spans="1:5" x14ac:dyDescent="0.2">
      <c r="A3676" t="s">
        <v>539</v>
      </c>
      <c r="B3676">
        <v>551</v>
      </c>
      <c r="C3676" t="s">
        <v>2606</v>
      </c>
      <c r="E3676" t="s">
        <v>2607</v>
      </c>
    </row>
    <row r="3677" spans="1:5" x14ac:dyDescent="0.2">
      <c r="A3677" t="s">
        <v>539</v>
      </c>
      <c r="B3677">
        <v>552</v>
      </c>
      <c r="C3677" t="s">
        <v>2612</v>
      </c>
      <c r="E3677" t="s">
        <v>2613</v>
      </c>
    </row>
    <row r="3678" spans="1:5" x14ac:dyDescent="0.2">
      <c r="A3678" t="s">
        <v>413</v>
      </c>
      <c r="B3678">
        <v>892</v>
      </c>
      <c r="C3678" t="s">
        <v>3965</v>
      </c>
      <c r="D3678" t="s">
        <v>4305</v>
      </c>
      <c r="E3678" t="s">
        <v>3786</v>
      </c>
    </row>
    <row r="3679" spans="1:5" x14ac:dyDescent="0.2">
      <c r="A3679" t="s">
        <v>413</v>
      </c>
      <c r="B3679">
        <v>892</v>
      </c>
      <c r="C3679" t="s">
        <v>3965</v>
      </c>
      <c r="D3679" t="s">
        <v>4306</v>
      </c>
      <c r="E3679" t="s">
        <v>3786</v>
      </c>
    </row>
    <row r="3680" spans="1:5" x14ac:dyDescent="0.2">
      <c r="A3680" t="s">
        <v>539</v>
      </c>
      <c r="B3680">
        <v>648</v>
      </c>
      <c r="C3680" t="s">
        <v>2681</v>
      </c>
      <c r="E3680" t="s">
        <v>3102</v>
      </c>
    </row>
    <row r="3681" spans="1:5" x14ac:dyDescent="0.2">
      <c r="A3681" t="s">
        <v>539</v>
      </c>
      <c r="B3681">
        <v>655</v>
      </c>
      <c r="C3681" t="s">
        <v>2779</v>
      </c>
      <c r="D3681" t="s">
        <v>2943</v>
      </c>
      <c r="E3681" t="s">
        <v>2781</v>
      </c>
    </row>
    <row r="3682" spans="1:5" x14ac:dyDescent="0.2">
      <c r="A3682" t="s">
        <v>505</v>
      </c>
      <c r="B3682">
        <v>628</v>
      </c>
      <c r="C3682" t="s">
        <v>2684</v>
      </c>
      <c r="E3682" t="s">
        <v>2685</v>
      </c>
    </row>
    <row r="3683" spans="1:5" x14ac:dyDescent="0.2">
      <c r="A3683" t="s">
        <v>592</v>
      </c>
      <c r="B3683">
        <v>690</v>
      </c>
      <c r="C3683" t="s">
        <v>3561</v>
      </c>
      <c r="D3683" t="s">
        <v>4307</v>
      </c>
      <c r="E3683" t="s">
        <v>3977</v>
      </c>
    </row>
    <row r="3684" spans="1:5" x14ac:dyDescent="0.2">
      <c r="A3684" t="s">
        <v>592</v>
      </c>
      <c r="B3684">
        <v>690</v>
      </c>
      <c r="C3684" t="s">
        <v>3561</v>
      </c>
      <c r="D3684" t="s">
        <v>4308</v>
      </c>
      <c r="E3684" t="s">
        <v>3977</v>
      </c>
    </row>
    <row r="3685" spans="1:5" x14ac:dyDescent="0.2">
      <c r="A3685" t="s">
        <v>592</v>
      </c>
      <c r="B3685">
        <v>690</v>
      </c>
      <c r="C3685" t="s">
        <v>3561</v>
      </c>
      <c r="D3685" t="s">
        <v>4309</v>
      </c>
      <c r="E3685" t="s">
        <v>3977</v>
      </c>
    </row>
    <row r="3686" spans="1:5" x14ac:dyDescent="0.2">
      <c r="A3686" t="s">
        <v>650</v>
      </c>
      <c r="B3686">
        <v>690</v>
      </c>
      <c r="C3686" t="s">
        <v>3565</v>
      </c>
      <c r="D3686" t="s">
        <v>4310</v>
      </c>
      <c r="E3686" t="s">
        <v>3573</v>
      </c>
    </row>
    <row r="3687" spans="1:5" x14ac:dyDescent="0.2">
      <c r="A3687" t="s">
        <v>567</v>
      </c>
      <c r="B3687">
        <v>690</v>
      </c>
      <c r="C3687" t="s">
        <v>3565</v>
      </c>
      <c r="D3687" t="s">
        <v>4311</v>
      </c>
      <c r="E3687" t="s">
        <v>3582</v>
      </c>
    </row>
    <row r="3688" spans="1:5" x14ac:dyDescent="0.2">
      <c r="A3688" t="s">
        <v>567</v>
      </c>
      <c r="B3688">
        <v>690</v>
      </c>
      <c r="C3688" t="s">
        <v>3565</v>
      </c>
      <c r="D3688" t="s">
        <v>4312</v>
      </c>
      <c r="E3688" t="s">
        <v>3582</v>
      </c>
    </row>
    <row r="3689" spans="1:5" x14ac:dyDescent="0.2">
      <c r="A3689" t="s">
        <v>567</v>
      </c>
      <c r="B3689">
        <v>690</v>
      </c>
      <c r="C3689" t="s">
        <v>3565</v>
      </c>
      <c r="D3689" t="s">
        <v>4313</v>
      </c>
      <c r="E3689" t="s">
        <v>3582</v>
      </c>
    </row>
    <row r="3690" spans="1:5" x14ac:dyDescent="0.2">
      <c r="A3690" t="s">
        <v>539</v>
      </c>
      <c r="B3690">
        <v>885</v>
      </c>
      <c r="C3690" t="s">
        <v>2389</v>
      </c>
      <c r="D3690" t="s">
        <v>3536</v>
      </c>
      <c r="E3690" t="s">
        <v>2391</v>
      </c>
    </row>
    <row r="3691" spans="1:5" x14ac:dyDescent="0.2">
      <c r="A3691" t="s">
        <v>466</v>
      </c>
      <c r="B3691">
        <v>564</v>
      </c>
      <c r="C3691" t="s">
        <v>3379</v>
      </c>
      <c r="E3691" t="s">
        <v>3380</v>
      </c>
    </row>
    <row r="3692" spans="1:5" x14ac:dyDescent="0.2">
      <c r="A3692" t="s">
        <v>567</v>
      </c>
      <c r="B3692">
        <v>820</v>
      </c>
      <c r="C3692" t="s">
        <v>3473</v>
      </c>
      <c r="E3692" t="s">
        <v>3474</v>
      </c>
    </row>
    <row r="3693" spans="1:5" x14ac:dyDescent="0.2">
      <c r="A3693" t="s">
        <v>413</v>
      </c>
      <c r="B3693">
        <v>891</v>
      </c>
      <c r="C3693" t="s">
        <v>3565</v>
      </c>
      <c r="D3693" t="s">
        <v>4314</v>
      </c>
      <c r="E3693" t="s">
        <v>3784</v>
      </c>
    </row>
    <row r="3694" spans="1:5" x14ac:dyDescent="0.2">
      <c r="A3694" t="s">
        <v>592</v>
      </c>
      <c r="B3694">
        <v>516</v>
      </c>
      <c r="C3694" t="s">
        <v>2461</v>
      </c>
      <c r="E3694" t="s">
        <v>2464</v>
      </c>
    </row>
    <row r="3695" spans="1:5" x14ac:dyDescent="0.2">
      <c r="A3695" t="s">
        <v>466</v>
      </c>
      <c r="B3695">
        <v>681</v>
      </c>
      <c r="C3695" t="s">
        <v>4086</v>
      </c>
      <c r="D3695" t="s">
        <v>4315</v>
      </c>
      <c r="E3695" t="s">
        <v>4087</v>
      </c>
    </row>
    <row r="3696" spans="1:5" x14ac:dyDescent="0.2">
      <c r="A3696" t="s">
        <v>413</v>
      </c>
      <c r="B3696">
        <v>891</v>
      </c>
      <c r="C3696" t="s">
        <v>3565</v>
      </c>
      <c r="D3696" t="s">
        <v>4316</v>
      </c>
      <c r="E3696" t="s">
        <v>3784</v>
      </c>
    </row>
    <row r="3697" spans="1:5" x14ac:dyDescent="0.2">
      <c r="A3697" t="s">
        <v>539</v>
      </c>
      <c r="B3697">
        <v>520</v>
      </c>
      <c r="C3697" t="s">
        <v>3146</v>
      </c>
      <c r="E3697" t="s">
        <v>3147</v>
      </c>
    </row>
    <row r="3698" spans="1:5" x14ac:dyDescent="0.2">
      <c r="A3698" t="s">
        <v>505</v>
      </c>
      <c r="B3698">
        <v>628</v>
      </c>
      <c r="C3698" t="s">
        <v>2684</v>
      </c>
      <c r="E3698" t="s">
        <v>2685</v>
      </c>
    </row>
    <row r="3699" spans="1:5" x14ac:dyDescent="0.2">
      <c r="A3699" t="s">
        <v>592</v>
      </c>
      <c r="B3699">
        <v>634</v>
      </c>
      <c r="C3699" t="s">
        <v>2717</v>
      </c>
      <c r="E3699" t="s">
        <v>2718</v>
      </c>
    </row>
    <row r="3700" spans="1:5" x14ac:dyDescent="0.2">
      <c r="A3700" t="s">
        <v>539</v>
      </c>
      <c r="B3700">
        <v>690</v>
      </c>
      <c r="C3700" t="s">
        <v>3565</v>
      </c>
      <c r="D3700" t="s">
        <v>4317</v>
      </c>
      <c r="E3700" t="s">
        <v>3576</v>
      </c>
    </row>
    <row r="3701" spans="1:5" x14ac:dyDescent="0.2">
      <c r="A3701" t="s">
        <v>650</v>
      </c>
      <c r="B3701">
        <v>897</v>
      </c>
      <c r="C3701" t="s">
        <v>3565</v>
      </c>
      <c r="D3701" t="s">
        <v>4093</v>
      </c>
      <c r="E3701" t="s">
        <v>3825</v>
      </c>
    </row>
    <row r="3702" spans="1:5" x14ac:dyDescent="0.2">
      <c r="A3702" t="s">
        <v>413</v>
      </c>
      <c r="B3702">
        <v>507</v>
      </c>
      <c r="C3702" t="s">
        <v>2834</v>
      </c>
      <c r="E3702" t="s">
        <v>2835</v>
      </c>
    </row>
    <row r="3703" spans="1:5" x14ac:dyDescent="0.2">
      <c r="A3703" t="s">
        <v>413</v>
      </c>
      <c r="B3703">
        <v>624</v>
      </c>
      <c r="C3703" t="s">
        <v>2568</v>
      </c>
      <c r="E3703" t="s">
        <v>2569</v>
      </c>
    </row>
    <row r="3704" spans="1:5" x14ac:dyDescent="0.2">
      <c r="A3704" t="s">
        <v>413</v>
      </c>
      <c r="B3704">
        <v>674</v>
      </c>
      <c r="C3704" t="s">
        <v>2381</v>
      </c>
      <c r="E3704" t="s">
        <v>2382</v>
      </c>
    </row>
    <row r="3705" spans="1:5" x14ac:dyDescent="0.2">
      <c r="A3705" t="s">
        <v>567</v>
      </c>
      <c r="B3705">
        <v>890</v>
      </c>
      <c r="C3705" t="s">
        <v>3519</v>
      </c>
      <c r="D3705" t="s">
        <v>4318</v>
      </c>
      <c r="E3705" t="s">
        <v>3521</v>
      </c>
    </row>
    <row r="3706" spans="1:5" x14ac:dyDescent="0.2">
      <c r="A3706" t="s">
        <v>650</v>
      </c>
      <c r="B3706">
        <v>690</v>
      </c>
      <c r="C3706" t="s">
        <v>3565</v>
      </c>
      <c r="D3706" t="s">
        <v>4319</v>
      </c>
      <c r="E3706" t="s">
        <v>3573</v>
      </c>
    </row>
    <row r="3707" spans="1:5" x14ac:dyDescent="0.2">
      <c r="A3707" t="s">
        <v>567</v>
      </c>
      <c r="B3707">
        <v>895</v>
      </c>
      <c r="C3707" t="s">
        <v>3845</v>
      </c>
      <c r="D3707" t="s">
        <v>4320</v>
      </c>
      <c r="E3707" t="s">
        <v>3877</v>
      </c>
    </row>
    <row r="3708" spans="1:5" x14ac:dyDescent="0.2">
      <c r="A3708" t="s">
        <v>550</v>
      </c>
      <c r="B3708">
        <v>644</v>
      </c>
      <c r="C3708" t="s">
        <v>4297</v>
      </c>
      <c r="E3708" t="s">
        <v>4298</v>
      </c>
    </row>
    <row r="3709" spans="1:5" x14ac:dyDescent="0.2">
      <c r="A3709" t="s">
        <v>650</v>
      </c>
      <c r="B3709">
        <v>896</v>
      </c>
      <c r="C3709" t="s">
        <v>3559</v>
      </c>
      <c r="D3709" t="s">
        <v>4321</v>
      </c>
      <c r="E3709" t="s">
        <v>3560</v>
      </c>
    </row>
    <row r="3710" spans="1:5" x14ac:dyDescent="0.2">
      <c r="A3710" t="s">
        <v>539</v>
      </c>
      <c r="B3710">
        <v>630</v>
      </c>
      <c r="C3710" t="s">
        <v>2995</v>
      </c>
      <c r="E3710" t="s">
        <v>2996</v>
      </c>
    </row>
    <row r="3711" spans="1:5" x14ac:dyDescent="0.2">
      <c r="A3711" t="s">
        <v>382</v>
      </c>
      <c r="B3711">
        <v>890</v>
      </c>
      <c r="C3711" t="s">
        <v>3586</v>
      </c>
      <c r="D3711" t="s">
        <v>4322</v>
      </c>
      <c r="E3711" t="s">
        <v>3587</v>
      </c>
    </row>
    <row r="3712" spans="1:5" x14ac:dyDescent="0.2">
      <c r="A3712" t="s">
        <v>592</v>
      </c>
      <c r="B3712">
        <v>632</v>
      </c>
      <c r="C3712" t="s">
        <v>3384</v>
      </c>
      <c r="D3712" t="s">
        <v>3476</v>
      </c>
      <c r="E3712" t="s">
        <v>3385</v>
      </c>
    </row>
    <row r="3713" spans="1:5" x14ac:dyDescent="0.2">
      <c r="A3713" t="s">
        <v>539</v>
      </c>
      <c r="B3713">
        <v>885</v>
      </c>
      <c r="C3713" t="s">
        <v>2389</v>
      </c>
      <c r="D3713" t="s">
        <v>3086</v>
      </c>
      <c r="E3713" t="s">
        <v>2391</v>
      </c>
    </row>
    <row r="3714" spans="1:5" x14ac:dyDescent="0.2">
      <c r="A3714" t="s">
        <v>382</v>
      </c>
      <c r="B3714">
        <v>890</v>
      </c>
      <c r="C3714" t="s">
        <v>3586</v>
      </c>
      <c r="D3714" t="s">
        <v>4323</v>
      </c>
      <c r="E3714" t="s">
        <v>3587</v>
      </c>
    </row>
    <row r="3715" spans="1:5" x14ac:dyDescent="0.2">
      <c r="A3715" t="s">
        <v>413</v>
      </c>
      <c r="B3715">
        <v>892</v>
      </c>
      <c r="C3715" t="s">
        <v>3965</v>
      </c>
      <c r="D3715" t="s">
        <v>4324</v>
      </c>
      <c r="E3715" t="s">
        <v>3786</v>
      </c>
    </row>
    <row r="3716" spans="1:5" x14ac:dyDescent="0.2">
      <c r="A3716" t="s">
        <v>650</v>
      </c>
      <c r="B3716">
        <v>896</v>
      </c>
      <c r="C3716" t="s">
        <v>3559</v>
      </c>
      <c r="D3716" t="s">
        <v>4325</v>
      </c>
      <c r="E3716" t="s">
        <v>3560</v>
      </c>
    </row>
    <row r="3717" spans="1:5" x14ac:dyDescent="0.2">
      <c r="A3717" t="s">
        <v>592</v>
      </c>
      <c r="B3717">
        <v>690</v>
      </c>
      <c r="C3717" t="s">
        <v>3561</v>
      </c>
      <c r="D3717" t="s">
        <v>4326</v>
      </c>
      <c r="E3717" t="s">
        <v>3977</v>
      </c>
    </row>
    <row r="3718" spans="1:5" x14ac:dyDescent="0.2">
      <c r="A3718" t="s">
        <v>567</v>
      </c>
      <c r="B3718">
        <v>890</v>
      </c>
      <c r="C3718" t="s">
        <v>3519</v>
      </c>
      <c r="D3718" t="s">
        <v>4327</v>
      </c>
      <c r="E3718" t="s">
        <v>3521</v>
      </c>
    </row>
    <row r="3719" spans="1:5" x14ac:dyDescent="0.2">
      <c r="A3719" t="s">
        <v>592</v>
      </c>
      <c r="B3719">
        <v>690</v>
      </c>
      <c r="C3719" t="s">
        <v>3561</v>
      </c>
      <c r="D3719" t="s">
        <v>4328</v>
      </c>
      <c r="E3719" t="s">
        <v>3977</v>
      </c>
    </row>
    <row r="3720" spans="1:5" x14ac:dyDescent="0.2">
      <c r="A3720" t="s">
        <v>592</v>
      </c>
      <c r="B3720">
        <v>505</v>
      </c>
      <c r="C3720" t="s">
        <v>2746</v>
      </c>
      <c r="E3720" t="s">
        <v>3267</v>
      </c>
    </row>
    <row r="3721" spans="1:5" x14ac:dyDescent="0.2">
      <c r="A3721" t="s">
        <v>650</v>
      </c>
      <c r="B3721">
        <v>616</v>
      </c>
      <c r="C3721" t="s">
        <v>2578</v>
      </c>
      <c r="E3721" t="s">
        <v>2579</v>
      </c>
    </row>
    <row r="3722" spans="1:5" x14ac:dyDescent="0.2">
      <c r="A3722" t="s">
        <v>550</v>
      </c>
      <c r="B3722">
        <v>690</v>
      </c>
      <c r="C3722" t="s">
        <v>3565</v>
      </c>
      <c r="D3722" t="s">
        <v>4329</v>
      </c>
      <c r="E3722" t="s">
        <v>3593</v>
      </c>
    </row>
    <row r="3723" spans="1:5" x14ac:dyDescent="0.2">
      <c r="A3723" t="s">
        <v>466</v>
      </c>
      <c r="B3723">
        <v>626</v>
      </c>
      <c r="C3723" t="s">
        <v>3479</v>
      </c>
      <c r="E3723" t="s">
        <v>3480</v>
      </c>
    </row>
    <row r="3724" spans="1:5" x14ac:dyDescent="0.2">
      <c r="A3724" t="s">
        <v>505</v>
      </c>
      <c r="B3724">
        <v>505</v>
      </c>
      <c r="C3724" t="s">
        <v>2426</v>
      </c>
      <c r="D3724" t="s">
        <v>3482</v>
      </c>
      <c r="E3724" t="s">
        <v>2428</v>
      </c>
    </row>
    <row r="3725" spans="1:5" x14ac:dyDescent="0.2">
      <c r="A3725" t="s">
        <v>505</v>
      </c>
      <c r="B3725">
        <v>505</v>
      </c>
      <c r="C3725" t="s">
        <v>2426</v>
      </c>
      <c r="D3725" t="s">
        <v>3486</v>
      </c>
      <c r="E3725" t="s">
        <v>2428</v>
      </c>
    </row>
    <row r="3726" spans="1:5" x14ac:dyDescent="0.2">
      <c r="A3726" t="s">
        <v>539</v>
      </c>
      <c r="B3726">
        <v>690</v>
      </c>
      <c r="C3726" t="s">
        <v>3565</v>
      </c>
      <c r="D3726" t="s">
        <v>4330</v>
      </c>
      <c r="E3726" t="s">
        <v>3576</v>
      </c>
    </row>
    <row r="3727" spans="1:5" x14ac:dyDescent="0.2">
      <c r="A3727" t="s">
        <v>539</v>
      </c>
      <c r="B3727">
        <v>655</v>
      </c>
      <c r="C3727" t="s">
        <v>2779</v>
      </c>
      <c r="D3727" t="s">
        <v>3309</v>
      </c>
      <c r="E3727" t="s">
        <v>2781</v>
      </c>
    </row>
    <row r="3728" spans="1:5" x14ac:dyDescent="0.2">
      <c r="A3728" t="s">
        <v>550</v>
      </c>
      <c r="B3728">
        <v>695</v>
      </c>
      <c r="C3728" t="s">
        <v>2582</v>
      </c>
      <c r="D3728" t="s">
        <v>4331</v>
      </c>
      <c r="E3728" t="s">
        <v>2584</v>
      </c>
    </row>
    <row r="3729" spans="1:5" x14ac:dyDescent="0.2">
      <c r="A3729" t="s">
        <v>567</v>
      </c>
      <c r="B3729">
        <v>890</v>
      </c>
      <c r="C3729" t="s">
        <v>3519</v>
      </c>
      <c r="D3729" t="s">
        <v>4332</v>
      </c>
      <c r="E3729" t="s">
        <v>3521</v>
      </c>
    </row>
    <row r="3730" spans="1:5" x14ac:dyDescent="0.2">
      <c r="A3730" t="s">
        <v>539</v>
      </c>
      <c r="B3730">
        <v>808</v>
      </c>
      <c r="C3730" t="s">
        <v>2924</v>
      </c>
      <c r="E3730" t="s">
        <v>3366</v>
      </c>
    </row>
    <row r="3731" spans="1:5" x14ac:dyDescent="0.2">
      <c r="A3731" t="s">
        <v>539</v>
      </c>
      <c r="B3731">
        <v>897</v>
      </c>
      <c r="C3731" t="s">
        <v>3794</v>
      </c>
      <c r="D3731" t="s">
        <v>4204</v>
      </c>
      <c r="E3731" t="s">
        <v>3796</v>
      </c>
    </row>
    <row r="3732" spans="1:5" x14ac:dyDescent="0.2">
      <c r="A3732" t="s">
        <v>539</v>
      </c>
      <c r="B3732">
        <v>885</v>
      </c>
      <c r="C3732" t="s">
        <v>2389</v>
      </c>
      <c r="D3732" t="s">
        <v>3388</v>
      </c>
      <c r="E3732" t="s">
        <v>2391</v>
      </c>
    </row>
    <row r="3733" spans="1:5" x14ac:dyDescent="0.2">
      <c r="A3733" t="s">
        <v>650</v>
      </c>
      <c r="B3733">
        <v>649</v>
      </c>
      <c r="C3733" t="s">
        <v>2979</v>
      </c>
      <c r="D3733" t="s">
        <v>4303</v>
      </c>
      <c r="E3733" t="s">
        <v>2980</v>
      </c>
    </row>
    <row r="3734" spans="1:5" x14ac:dyDescent="0.2">
      <c r="A3734" t="s">
        <v>650</v>
      </c>
      <c r="B3734">
        <v>635</v>
      </c>
      <c r="C3734" t="s">
        <v>3110</v>
      </c>
      <c r="E3734" t="s">
        <v>3111</v>
      </c>
    </row>
    <row r="3735" spans="1:5" x14ac:dyDescent="0.2">
      <c r="A3735" t="s">
        <v>505</v>
      </c>
      <c r="B3735">
        <v>505</v>
      </c>
      <c r="C3735" t="s">
        <v>2426</v>
      </c>
      <c r="D3735" t="s">
        <v>4333</v>
      </c>
      <c r="E3735" t="s">
        <v>2428</v>
      </c>
    </row>
    <row r="3736" spans="1:5" x14ac:dyDescent="0.2">
      <c r="A3736" t="s">
        <v>413</v>
      </c>
      <c r="B3736">
        <v>570</v>
      </c>
      <c r="C3736" t="s">
        <v>3183</v>
      </c>
      <c r="E3736" t="s">
        <v>3184</v>
      </c>
    </row>
    <row r="3737" spans="1:5" x14ac:dyDescent="0.2">
      <c r="A3737" t="s">
        <v>413</v>
      </c>
      <c r="B3737">
        <v>571</v>
      </c>
      <c r="C3737" t="s">
        <v>3185</v>
      </c>
      <c r="E3737" t="s">
        <v>3186</v>
      </c>
    </row>
    <row r="3738" spans="1:5" x14ac:dyDescent="0.2">
      <c r="A3738" t="s">
        <v>650</v>
      </c>
      <c r="B3738">
        <v>624</v>
      </c>
      <c r="C3738" t="s">
        <v>2725</v>
      </c>
      <c r="E3738" t="s">
        <v>2726</v>
      </c>
    </row>
    <row r="3739" spans="1:5" x14ac:dyDescent="0.2">
      <c r="A3739" t="s">
        <v>539</v>
      </c>
      <c r="B3739">
        <v>628</v>
      </c>
      <c r="C3739" t="s">
        <v>2966</v>
      </c>
      <c r="E3739" t="s">
        <v>2967</v>
      </c>
    </row>
    <row r="3740" spans="1:5" x14ac:dyDescent="0.2">
      <c r="A3740" t="s">
        <v>550</v>
      </c>
      <c r="B3740">
        <v>695</v>
      </c>
      <c r="C3740" t="s">
        <v>2582</v>
      </c>
      <c r="D3740" t="s">
        <v>4331</v>
      </c>
      <c r="E3740" t="s">
        <v>2584</v>
      </c>
    </row>
    <row r="3741" spans="1:5" x14ac:dyDescent="0.2">
      <c r="A3741" t="s">
        <v>505</v>
      </c>
      <c r="B3741">
        <v>796</v>
      </c>
      <c r="C3741" t="s">
        <v>2474</v>
      </c>
      <c r="E3741" t="s">
        <v>2475</v>
      </c>
    </row>
    <row r="3742" spans="1:5" x14ac:dyDescent="0.2">
      <c r="A3742" t="s">
        <v>413</v>
      </c>
      <c r="B3742">
        <v>674</v>
      </c>
      <c r="C3742" t="s">
        <v>2381</v>
      </c>
      <c r="E3742" t="s">
        <v>2382</v>
      </c>
    </row>
    <row r="3743" spans="1:5" x14ac:dyDescent="0.2">
      <c r="A3743" t="s">
        <v>413</v>
      </c>
      <c r="B3743">
        <v>685</v>
      </c>
      <c r="C3743" t="s">
        <v>3053</v>
      </c>
      <c r="D3743" t="s">
        <v>4334</v>
      </c>
      <c r="E3743" t="s">
        <v>3054</v>
      </c>
    </row>
    <row r="3744" spans="1:5" x14ac:dyDescent="0.2">
      <c r="A3744" t="s">
        <v>466</v>
      </c>
      <c r="B3744">
        <v>657</v>
      </c>
      <c r="C3744" t="s">
        <v>2399</v>
      </c>
      <c r="E3744" t="s">
        <v>2403</v>
      </c>
    </row>
    <row r="3745" spans="1:5" x14ac:dyDescent="0.2">
      <c r="A3745" t="s">
        <v>567</v>
      </c>
      <c r="B3745">
        <v>668</v>
      </c>
      <c r="C3745" t="s">
        <v>3161</v>
      </c>
      <c r="E3745" t="s">
        <v>3162</v>
      </c>
    </row>
    <row r="3746" spans="1:5" x14ac:dyDescent="0.2">
      <c r="A3746" t="s">
        <v>567</v>
      </c>
      <c r="B3746">
        <v>619</v>
      </c>
      <c r="C3746" t="s">
        <v>2614</v>
      </c>
      <c r="E3746" t="s">
        <v>2615</v>
      </c>
    </row>
    <row r="3747" spans="1:5" x14ac:dyDescent="0.2">
      <c r="A3747" t="s">
        <v>505</v>
      </c>
      <c r="B3747">
        <v>505</v>
      </c>
      <c r="C3747" t="s">
        <v>2426</v>
      </c>
      <c r="D3747" t="s">
        <v>3397</v>
      </c>
      <c r="E3747" t="s">
        <v>2428</v>
      </c>
    </row>
    <row r="3748" spans="1:5" x14ac:dyDescent="0.2">
      <c r="A3748" t="s">
        <v>505</v>
      </c>
      <c r="B3748">
        <v>505</v>
      </c>
      <c r="C3748" t="s">
        <v>2426</v>
      </c>
      <c r="D3748" t="s">
        <v>4335</v>
      </c>
      <c r="E3748" t="s">
        <v>2428</v>
      </c>
    </row>
    <row r="3749" spans="1:5" x14ac:dyDescent="0.2">
      <c r="A3749" t="s">
        <v>592</v>
      </c>
      <c r="B3749">
        <v>632</v>
      </c>
      <c r="C3749" t="s">
        <v>3384</v>
      </c>
      <c r="D3749" t="s">
        <v>3476</v>
      </c>
      <c r="E3749" t="s">
        <v>3385</v>
      </c>
    </row>
    <row r="3750" spans="1:5" x14ac:dyDescent="0.2">
      <c r="A3750" t="s">
        <v>650</v>
      </c>
      <c r="B3750">
        <v>522</v>
      </c>
      <c r="C3750" t="s">
        <v>2786</v>
      </c>
      <c r="E3750" t="s">
        <v>2787</v>
      </c>
    </row>
    <row r="3751" spans="1:5" x14ac:dyDescent="0.2">
      <c r="A3751" t="s">
        <v>413</v>
      </c>
      <c r="B3751">
        <v>685</v>
      </c>
      <c r="C3751" t="s">
        <v>3053</v>
      </c>
      <c r="D3751" t="s">
        <v>3467</v>
      </c>
      <c r="E3751" t="s">
        <v>3054</v>
      </c>
    </row>
    <row r="3752" spans="1:5" x14ac:dyDescent="0.2">
      <c r="A3752" t="s">
        <v>505</v>
      </c>
      <c r="B3752">
        <v>796</v>
      </c>
      <c r="C3752" t="s">
        <v>2474</v>
      </c>
      <c r="E3752" t="s">
        <v>2475</v>
      </c>
    </row>
    <row r="3753" spans="1:5" x14ac:dyDescent="0.2">
      <c r="A3753" t="s">
        <v>505</v>
      </c>
      <c r="B3753">
        <v>797</v>
      </c>
      <c r="C3753" t="s">
        <v>3565</v>
      </c>
      <c r="D3753" t="s">
        <v>4336</v>
      </c>
      <c r="E3753" t="s">
        <v>3629</v>
      </c>
    </row>
    <row r="3754" spans="1:5" x14ac:dyDescent="0.2">
      <c r="A3754" t="s">
        <v>550</v>
      </c>
      <c r="B3754">
        <v>584</v>
      </c>
      <c r="C3754" t="s">
        <v>4337</v>
      </c>
      <c r="E3754" t="s">
        <v>4338</v>
      </c>
    </row>
    <row r="3755" spans="1:5" x14ac:dyDescent="0.2">
      <c r="A3755" t="s">
        <v>505</v>
      </c>
      <c r="B3755">
        <v>648</v>
      </c>
      <c r="C3755" t="s">
        <v>675</v>
      </c>
      <c r="D3755" t="s">
        <v>4339</v>
      </c>
      <c r="E3755" t="s">
        <v>2396</v>
      </c>
    </row>
    <row r="3756" spans="1:5" x14ac:dyDescent="0.2">
      <c r="A3756" t="s">
        <v>505</v>
      </c>
      <c r="B3756">
        <v>648</v>
      </c>
      <c r="C3756" t="s">
        <v>675</v>
      </c>
      <c r="D3756" t="s">
        <v>4340</v>
      </c>
      <c r="E3756" t="s">
        <v>2396</v>
      </c>
    </row>
    <row r="3757" spans="1:5" x14ac:dyDescent="0.2">
      <c r="A3757" t="s">
        <v>550</v>
      </c>
      <c r="B3757">
        <v>584</v>
      </c>
      <c r="C3757" t="s">
        <v>4337</v>
      </c>
      <c r="E3757" t="s">
        <v>4338</v>
      </c>
    </row>
    <row r="3758" spans="1:5" x14ac:dyDescent="0.2">
      <c r="A3758" t="s">
        <v>550</v>
      </c>
      <c r="B3758">
        <v>890</v>
      </c>
      <c r="C3758" t="s">
        <v>3625</v>
      </c>
      <c r="D3758" t="s">
        <v>4341</v>
      </c>
      <c r="E3758" t="s">
        <v>3626</v>
      </c>
    </row>
    <row r="3759" spans="1:5" x14ac:dyDescent="0.2">
      <c r="A3759" t="s">
        <v>413</v>
      </c>
      <c r="B3759">
        <v>892</v>
      </c>
      <c r="C3759" t="s">
        <v>3565</v>
      </c>
      <c r="E3759" t="s">
        <v>3786</v>
      </c>
    </row>
    <row r="3760" spans="1:5" x14ac:dyDescent="0.2">
      <c r="A3760" t="s">
        <v>413</v>
      </c>
      <c r="B3760">
        <v>892</v>
      </c>
      <c r="C3760" t="s">
        <v>3565</v>
      </c>
      <c r="D3760" t="s">
        <v>4204</v>
      </c>
      <c r="E3760" t="s">
        <v>3786</v>
      </c>
    </row>
    <row r="3761" spans="1:5" x14ac:dyDescent="0.2">
      <c r="A3761" t="s">
        <v>413</v>
      </c>
      <c r="B3761">
        <v>574</v>
      </c>
      <c r="C3761" t="s">
        <v>2661</v>
      </c>
      <c r="E3761" t="s">
        <v>2567</v>
      </c>
    </row>
    <row r="3762" spans="1:5" x14ac:dyDescent="0.2">
      <c r="A3762" t="s">
        <v>413</v>
      </c>
      <c r="B3762">
        <v>890</v>
      </c>
      <c r="C3762" t="s">
        <v>3569</v>
      </c>
      <c r="D3762" t="s">
        <v>4342</v>
      </c>
      <c r="E3762" t="s">
        <v>3570</v>
      </c>
    </row>
    <row r="3763" spans="1:5" x14ac:dyDescent="0.2">
      <c r="A3763" t="s">
        <v>413</v>
      </c>
      <c r="B3763">
        <v>890</v>
      </c>
      <c r="C3763" t="s">
        <v>3569</v>
      </c>
      <c r="D3763" t="s">
        <v>4342</v>
      </c>
      <c r="E3763" t="s">
        <v>3570</v>
      </c>
    </row>
    <row r="3764" spans="1:5" x14ac:dyDescent="0.2">
      <c r="A3764" t="s">
        <v>413</v>
      </c>
      <c r="B3764">
        <v>891</v>
      </c>
      <c r="C3764" t="s">
        <v>3565</v>
      </c>
      <c r="D3764" t="s">
        <v>4204</v>
      </c>
      <c r="E3764" t="s">
        <v>3784</v>
      </c>
    </row>
    <row r="3765" spans="1:5" x14ac:dyDescent="0.2">
      <c r="A3765" t="s">
        <v>413</v>
      </c>
      <c r="B3765">
        <v>891</v>
      </c>
      <c r="C3765" t="s">
        <v>3565</v>
      </c>
      <c r="E3765" t="s">
        <v>3784</v>
      </c>
    </row>
    <row r="3766" spans="1:5" x14ac:dyDescent="0.2">
      <c r="A3766" t="s">
        <v>413</v>
      </c>
      <c r="B3766">
        <v>892</v>
      </c>
      <c r="C3766" t="s">
        <v>3565</v>
      </c>
      <c r="E3766" t="s">
        <v>3786</v>
      </c>
    </row>
    <row r="3767" spans="1:5" x14ac:dyDescent="0.2">
      <c r="A3767" t="s">
        <v>413</v>
      </c>
      <c r="B3767">
        <v>895</v>
      </c>
      <c r="C3767" t="s">
        <v>3571</v>
      </c>
      <c r="D3767" t="s">
        <v>4342</v>
      </c>
      <c r="E3767" t="s">
        <v>3572</v>
      </c>
    </row>
    <row r="3768" spans="1:5" x14ac:dyDescent="0.2">
      <c r="A3768" t="s">
        <v>567</v>
      </c>
      <c r="B3768">
        <v>940</v>
      </c>
      <c r="C3768" t="s">
        <v>2744</v>
      </c>
      <c r="D3768" t="s">
        <v>3489</v>
      </c>
      <c r="E3768" t="s">
        <v>2745</v>
      </c>
    </row>
    <row r="3769" spans="1:5" x14ac:dyDescent="0.2">
      <c r="A3769" t="s">
        <v>413</v>
      </c>
      <c r="B3769">
        <v>891</v>
      </c>
      <c r="C3769" t="s">
        <v>3565</v>
      </c>
      <c r="D3769" t="s">
        <v>4343</v>
      </c>
      <c r="E3769" t="s">
        <v>3784</v>
      </c>
    </row>
    <row r="3770" spans="1:5" x14ac:dyDescent="0.2">
      <c r="A3770" t="s">
        <v>550</v>
      </c>
      <c r="B3770">
        <v>695</v>
      </c>
      <c r="C3770" t="s">
        <v>2582</v>
      </c>
      <c r="D3770" t="s">
        <v>4344</v>
      </c>
      <c r="E3770" t="s">
        <v>2584</v>
      </c>
    </row>
    <row r="3771" spans="1:5" x14ac:dyDescent="0.2">
      <c r="A3771" t="s">
        <v>567</v>
      </c>
      <c r="B3771">
        <v>940</v>
      </c>
      <c r="C3771" t="s">
        <v>2744</v>
      </c>
      <c r="E3771" t="s">
        <v>2745</v>
      </c>
    </row>
    <row r="3772" spans="1:5" x14ac:dyDescent="0.2">
      <c r="A3772" t="s">
        <v>413</v>
      </c>
      <c r="B3772">
        <v>880</v>
      </c>
      <c r="C3772" t="s">
        <v>3004</v>
      </c>
      <c r="D3772" t="s">
        <v>4345</v>
      </c>
      <c r="E3772" t="s">
        <v>3332</v>
      </c>
    </row>
    <row r="3773" spans="1:5" x14ac:dyDescent="0.2">
      <c r="A3773" t="s">
        <v>539</v>
      </c>
      <c r="B3773">
        <v>690</v>
      </c>
      <c r="C3773" t="s">
        <v>3565</v>
      </c>
      <c r="D3773" t="s">
        <v>4346</v>
      </c>
      <c r="E3773" t="s">
        <v>3576</v>
      </c>
    </row>
    <row r="3774" spans="1:5" x14ac:dyDescent="0.2">
      <c r="A3774" t="s">
        <v>413</v>
      </c>
      <c r="B3774">
        <v>892</v>
      </c>
      <c r="C3774" t="s">
        <v>3565</v>
      </c>
      <c r="D3774" t="s">
        <v>4283</v>
      </c>
      <c r="E3774" t="s">
        <v>3786</v>
      </c>
    </row>
    <row r="3775" spans="1:5" x14ac:dyDescent="0.2">
      <c r="A3775" t="s">
        <v>539</v>
      </c>
      <c r="B3775">
        <v>890</v>
      </c>
      <c r="C3775" t="s">
        <v>3577</v>
      </c>
      <c r="D3775" t="s">
        <v>4347</v>
      </c>
      <c r="E3775" t="s">
        <v>3578</v>
      </c>
    </row>
    <row r="3776" spans="1:5" x14ac:dyDescent="0.2">
      <c r="A3776" t="s">
        <v>567</v>
      </c>
      <c r="B3776">
        <v>695</v>
      </c>
      <c r="C3776" t="s">
        <v>3661</v>
      </c>
      <c r="E3776" t="s">
        <v>3662</v>
      </c>
    </row>
    <row r="3777" spans="1:5" x14ac:dyDescent="0.2">
      <c r="A3777" t="s">
        <v>650</v>
      </c>
      <c r="B3777">
        <v>885</v>
      </c>
      <c r="C3777" t="s">
        <v>2386</v>
      </c>
      <c r="D3777" t="s">
        <v>4348</v>
      </c>
      <c r="E3777" t="s">
        <v>3027</v>
      </c>
    </row>
    <row r="3778" spans="1:5" x14ac:dyDescent="0.2">
      <c r="A3778" t="s">
        <v>382</v>
      </c>
      <c r="B3778">
        <v>805</v>
      </c>
      <c r="C3778" t="s">
        <v>2456</v>
      </c>
      <c r="E3778" t="s">
        <v>2457</v>
      </c>
    </row>
    <row r="3779" spans="1:5" x14ac:dyDescent="0.2">
      <c r="A3779" t="s">
        <v>567</v>
      </c>
      <c r="B3779">
        <v>885</v>
      </c>
      <c r="C3779" t="s">
        <v>3013</v>
      </c>
      <c r="D3779" t="s">
        <v>4349</v>
      </c>
      <c r="E3779" t="s">
        <v>3093</v>
      </c>
    </row>
    <row r="3780" spans="1:5" x14ac:dyDescent="0.2">
      <c r="A3780" t="s">
        <v>567</v>
      </c>
      <c r="B3780">
        <v>890</v>
      </c>
      <c r="C3780" t="s">
        <v>3519</v>
      </c>
      <c r="D3780" t="s">
        <v>4350</v>
      </c>
      <c r="E3780" t="s">
        <v>3521</v>
      </c>
    </row>
    <row r="3781" spans="1:5" x14ac:dyDescent="0.2">
      <c r="A3781" t="s">
        <v>567</v>
      </c>
      <c r="B3781">
        <v>890</v>
      </c>
      <c r="C3781" t="s">
        <v>3519</v>
      </c>
      <c r="D3781" t="s">
        <v>4350</v>
      </c>
      <c r="E3781" t="s">
        <v>3521</v>
      </c>
    </row>
    <row r="3782" spans="1:5" x14ac:dyDescent="0.2">
      <c r="A3782" t="s">
        <v>413</v>
      </c>
      <c r="B3782">
        <v>507</v>
      </c>
      <c r="C3782" t="s">
        <v>2834</v>
      </c>
      <c r="E3782" t="s">
        <v>2835</v>
      </c>
    </row>
    <row r="3783" spans="1:5" x14ac:dyDescent="0.2">
      <c r="A3783" t="s">
        <v>466</v>
      </c>
      <c r="B3783">
        <v>690</v>
      </c>
      <c r="C3783" t="s">
        <v>3565</v>
      </c>
      <c r="D3783" t="s">
        <v>4351</v>
      </c>
      <c r="E3783" t="s">
        <v>3980</v>
      </c>
    </row>
    <row r="3784" spans="1:5" x14ac:dyDescent="0.2">
      <c r="A3784" t="s">
        <v>413</v>
      </c>
      <c r="B3784">
        <v>880</v>
      </c>
      <c r="C3784" t="s">
        <v>3004</v>
      </c>
      <c r="D3784" t="s">
        <v>4352</v>
      </c>
      <c r="E3784" t="s">
        <v>3332</v>
      </c>
    </row>
    <row r="3785" spans="1:5" x14ac:dyDescent="0.2">
      <c r="A3785" t="s">
        <v>413</v>
      </c>
      <c r="B3785">
        <v>880</v>
      </c>
      <c r="C3785" t="s">
        <v>3004</v>
      </c>
      <c r="D3785" t="s">
        <v>4353</v>
      </c>
      <c r="E3785" t="s">
        <v>3332</v>
      </c>
    </row>
    <row r="3786" spans="1:5" x14ac:dyDescent="0.2">
      <c r="A3786" t="s">
        <v>413</v>
      </c>
      <c r="B3786">
        <v>890</v>
      </c>
      <c r="C3786" t="s">
        <v>3569</v>
      </c>
      <c r="E3786" t="s">
        <v>3570</v>
      </c>
    </row>
    <row r="3787" spans="1:5" x14ac:dyDescent="0.2">
      <c r="A3787" t="s">
        <v>413</v>
      </c>
      <c r="B3787">
        <v>674</v>
      </c>
      <c r="C3787" t="s">
        <v>2381</v>
      </c>
      <c r="E3787" t="s">
        <v>2382</v>
      </c>
    </row>
    <row r="3788" spans="1:5" x14ac:dyDescent="0.2">
      <c r="A3788" t="s">
        <v>413</v>
      </c>
      <c r="B3788">
        <v>674</v>
      </c>
      <c r="C3788" t="s">
        <v>2381</v>
      </c>
      <c r="E3788" t="s">
        <v>2382</v>
      </c>
    </row>
    <row r="3789" spans="1:5" x14ac:dyDescent="0.2">
      <c r="A3789" t="s">
        <v>650</v>
      </c>
      <c r="B3789">
        <v>897</v>
      </c>
      <c r="C3789" t="s">
        <v>3565</v>
      </c>
      <c r="D3789" t="s">
        <v>4354</v>
      </c>
      <c r="E3789" t="s">
        <v>3825</v>
      </c>
    </row>
    <row r="3790" spans="1:5" x14ac:dyDescent="0.2">
      <c r="A3790" t="s">
        <v>539</v>
      </c>
      <c r="B3790">
        <v>690</v>
      </c>
      <c r="C3790" t="s">
        <v>3565</v>
      </c>
      <c r="D3790" t="s">
        <v>4355</v>
      </c>
      <c r="E3790" t="s">
        <v>3576</v>
      </c>
    </row>
    <row r="3791" spans="1:5" x14ac:dyDescent="0.2">
      <c r="A3791" t="s">
        <v>413</v>
      </c>
      <c r="B3791">
        <v>640</v>
      </c>
      <c r="C3791" t="s">
        <v>2893</v>
      </c>
      <c r="D3791" t="s">
        <v>4356</v>
      </c>
      <c r="E3791" t="s">
        <v>2894</v>
      </c>
    </row>
    <row r="3792" spans="1:5" x14ac:dyDescent="0.2">
      <c r="A3792" t="s">
        <v>567</v>
      </c>
      <c r="B3792">
        <v>664</v>
      </c>
      <c r="C3792" t="s">
        <v>2752</v>
      </c>
      <c r="D3792" t="s">
        <v>2971</v>
      </c>
      <c r="E3792" t="s">
        <v>2753</v>
      </c>
    </row>
    <row r="3793" spans="1:5" x14ac:dyDescent="0.2">
      <c r="A3793" t="s">
        <v>567</v>
      </c>
      <c r="B3793">
        <v>620</v>
      </c>
      <c r="C3793" t="s">
        <v>2431</v>
      </c>
      <c r="E3793" t="s">
        <v>2432</v>
      </c>
    </row>
    <row r="3794" spans="1:5" x14ac:dyDescent="0.2">
      <c r="A3794" t="s">
        <v>567</v>
      </c>
      <c r="B3794">
        <v>510</v>
      </c>
      <c r="C3794" t="s">
        <v>2556</v>
      </c>
      <c r="E3794" t="s">
        <v>3130</v>
      </c>
    </row>
    <row r="3795" spans="1:5" x14ac:dyDescent="0.2">
      <c r="A3795" t="s">
        <v>413</v>
      </c>
      <c r="B3795">
        <v>685</v>
      </c>
      <c r="C3795" t="s">
        <v>3053</v>
      </c>
      <c r="E3795" t="s">
        <v>3054</v>
      </c>
    </row>
    <row r="3796" spans="1:5" x14ac:dyDescent="0.2">
      <c r="A3796" t="s">
        <v>413</v>
      </c>
      <c r="B3796">
        <v>690</v>
      </c>
      <c r="C3796" t="s">
        <v>3565</v>
      </c>
      <c r="D3796" t="s">
        <v>4357</v>
      </c>
      <c r="E3796" t="s">
        <v>3566</v>
      </c>
    </row>
    <row r="3797" spans="1:5" x14ac:dyDescent="0.2">
      <c r="A3797" t="s">
        <v>413</v>
      </c>
      <c r="B3797">
        <v>690</v>
      </c>
      <c r="C3797" t="s">
        <v>3565</v>
      </c>
      <c r="D3797" t="s">
        <v>4357</v>
      </c>
      <c r="E3797" t="s">
        <v>3566</v>
      </c>
    </row>
    <row r="3798" spans="1:5" x14ac:dyDescent="0.2">
      <c r="A3798" t="s">
        <v>505</v>
      </c>
      <c r="B3798">
        <v>628</v>
      </c>
      <c r="C3798" t="s">
        <v>2684</v>
      </c>
      <c r="E3798" t="s">
        <v>2685</v>
      </c>
    </row>
    <row r="3799" spans="1:5" x14ac:dyDescent="0.2">
      <c r="A3799" t="s">
        <v>466</v>
      </c>
      <c r="B3799">
        <v>607</v>
      </c>
      <c r="C3799" t="s">
        <v>3370</v>
      </c>
      <c r="D3799" t="s">
        <v>4358</v>
      </c>
      <c r="E3799" t="s">
        <v>3371</v>
      </c>
    </row>
    <row r="3800" spans="1:5" x14ac:dyDescent="0.2">
      <c r="A3800" t="s">
        <v>466</v>
      </c>
      <c r="B3800">
        <v>656</v>
      </c>
      <c r="C3800" t="s">
        <v>2820</v>
      </c>
      <c r="D3800" t="s">
        <v>4359</v>
      </c>
      <c r="E3800" t="s">
        <v>3249</v>
      </c>
    </row>
    <row r="3801" spans="1:5" x14ac:dyDescent="0.2">
      <c r="A3801" t="s">
        <v>550</v>
      </c>
      <c r="B3801">
        <v>695</v>
      </c>
      <c r="C3801" t="s">
        <v>2582</v>
      </c>
      <c r="D3801" t="s">
        <v>4360</v>
      </c>
      <c r="E3801" t="s">
        <v>2584</v>
      </c>
    </row>
    <row r="3802" spans="1:5" x14ac:dyDescent="0.2">
      <c r="A3802" t="s">
        <v>539</v>
      </c>
      <c r="B3802">
        <v>668</v>
      </c>
      <c r="C3802" t="s">
        <v>2922</v>
      </c>
      <c r="E3802" t="s">
        <v>2923</v>
      </c>
    </row>
    <row r="3803" spans="1:5" x14ac:dyDescent="0.2">
      <c r="A3803" t="s">
        <v>505</v>
      </c>
      <c r="B3803">
        <v>628</v>
      </c>
      <c r="C3803" t="s">
        <v>2684</v>
      </c>
      <c r="E3803" t="s">
        <v>2685</v>
      </c>
    </row>
    <row r="3804" spans="1:5" x14ac:dyDescent="0.2">
      <c r="A3804" t="s">
        <v>413</v>
      </c>
      <c r="B3804">
        <v>690</v>
      </c>
      <c r="C3804" t="s">
        <v>3565</v>
      </c>
      <c r="D3804" t="s">
        <v>4361</v>
      </c>
      <c r="E3804" t="s">
        <v>3566</v>
      </c>
    </row>
    <row r="3805" spans="1:5" x14ac:dyDescent="0.2">
      <c r="A3805" t="s">
        <v>567</v>
      </c>
      <c r="B3805">
        <v>690</v>
      </c>
      <c r="C3805" t="s">
        <v>3565</v>
      </c>
      <c r="D3805" t="s">
        <v>4362</v>
      </c>
      <c r="E3805" t="s">
        <v>3582</v>
      </c>
    </row>
    <row r="3806" spans="1:5" x14ac:dyDescent="0.2">
      <c r="A3806" t="s">
        <v>550</v>
      </c>
      <c r="B3806">
        <v>505</v>
      </c>
      <c r="C3806" t="s">
        <v>2551</v>
      </c>
      <c r="E3806" t="s">
        <v>2552</v>
      </c>
    </row>
    <row r="3807" spans="1:5" x14ac:dyDescent="0.2">
      <c r="A3807" t="s">
        <v>413</v>
      </c>
      <c r="B3807">
        <v>674</v>
      </c>
      <c r="C3807" t="s">
        <v>2381</v>
      </c>
      <c r="E3807" t="s">
        <v>2382</v>
      </c>
    </row>
    <row r="3808" spans="1:5" x14ac:dyDescent="0.2">
      <c r="A3808" t="s">
        <v>413</v>
      </c>
      <c r="B3808">
        <v>674</v>
      </c>
      <c r="C3808" t="s">
        <v>2381</v>
      </c>
      <c r="E3808" t="s">
        <v>2382</v>
      </c>
    </row>
    <row r="3809" spans="1:5" x14ac:dyDescent="0.2">
      <c r="A3809" t="s">
        <v>505</v>
      </c>
      <c r="B3809">
        <v>678</v>
      </c>
      <c r="C3809" t="s">
        <v>3657</v>
      </c>
      <c r="E3809" t="s">
        <v>3658</v>
      </c>
    </row>
    <row r="3810" spans="1:5" x14ac:dyDescent="0.2">
      <c r="A3810" t="s">
        <v>413</v>
      </c>
      <c r="B3810">
        <v>640</v>
      </c>
      <c r="C3810" t="s">
        <v>2893</v>
      </c>
      <c r="D3810" t="s">
        <v>4356</v>
      </c>
      <c r="E3810" t="s">
        <v>2894</v>
      </c>
    </row>
    <row r="3811" spans="1:5" x14ac:dyDescent="0.2">
      <c r="A3811" t="s">
        <v>413</v>
      </c>
      <c r="B3811">
        <v>640</v>
      </c>
      <c r="C3811" t="s">
        <v>2893</v>
      </c>
      <c r="D3811" t="s">
        <v>4363</v>
      </c>
      <c r="E3811" t="s">
        <v>2894</v>
      </c>
    </row>
    <row r="3812" spans="1:5" x14ac:dyDescent="0.2">
      <c r="A3812" t="s">
        <v>413</v>
      </c>
      <c r="B3812">
        <v>890</v>
      </c>
      <c r="C3812" t="s">
        <v>3569</v>
      </c>
      <c r="D3812" t="s">
        <v>4178</v>
      </c>
      <c r="E3812" t="s">
        <v>3570</v>
      </c>
    </row>
    <row r="3813" spans="1:5" x14ac:dyDescent="0.2">
      <c r="A3813" t="s">
        <v>413</v>
      </c>
      <c r="B3813">
        <v>890</v>
      </c>
      <c r="C3813" t="s">
        <v>3569</v>
      </c>
      <c r="D3813" t="s">
        <v>4178</v>
      </c>
      <c r="E3813" t="s">
        <v>3570</v>
      </c>
    </row>
    <row r="3814" spans="1:5" x14ac:dyDescent="0.2">
      <c r="A3814" t="s">
        <v>413</v>
      </c>
      <c r="B3814">
        <v>890</v>
      </c>
      <c r="C3814" t="s">
        <v>3569</v>
      </c>
      <c r="D3814" t="s">
        <v>4178</v>
      </c>
      <c r="E3814" t="s">
        <v>3570</v>
      </c>
    </row>
    <row r="3815" spans="1:5" x14ac:dyDescent="0.2">
      <c r="A3815" t="s">
        <v>413</v>
      </c>
      <c r="B3815">
        <v>890</v>
      </c>
      <c r="C3815" t="s">
        <v>3569</v>
      </c>
      <c r="D3815" t="s">
        <v>4178</v>
      </c>
      <c r="E3815" t="s">
        <v>3570</v>
      </c>
    </row>
    <row r="3816" spans="1:5" x14ac:dyDescent="0.2">
      <c r="A3816" t="s">
        <v>413</v>
      </c>
      <c r="B3816">
        <v>895</v>
      </c>
      <c r="C3816" t="s">
        <v>3571</v>
      </c>
      <c r="D3816" t="s">
        <v>4178</v>
      </c>
      <c r="E3816" t="s">
        <v>3572</v>
      </c>
    </row>
    <row r="3817" spans="1:5" x14ac:dyDescent="0.2">
      <c r="A3817" t="s">
        <v>413</v>
      </c>
      <c r="B3817">
        <v>891</v>
      </c>
      <c r="C3817" t="s">
        <v>3565</v>
      </c>
      <c r="E3817" t="s">
        <v>3784</v>
      </c>
    </row>
    <row r="3818" spans="1:5" x14ac:dyDescent="0.2">
      <c r="A3818" t="s">
        <v>413</v>
      </c>
      <c r="B3818">
        <v>892</v>
      </c>
      <c r="C3818" t="s">
        <v>3565</v>
      </c>
      <c r="E3818" t="s">
        <v>3786</v>
      </c>
    </row>
    <row r="3819" spans="1:5" x14ac:dyDescent="0.2">
      <c r="A3819" t="s">
        <v>413</v>
      </c>
      <c r="B3819">
        <v>506</v>
      </c>
      <c r="C3819" t="s">
        <v>2466</v>
      </c>
      <c r="E3819" t="s">
        <v>2467</v>
      </c>
    </row>
    <row r="3820" spans="1:5" x14ac:dyDescent="0.2">
      <c r="A3820" t="s">
        <v>592</v>
      </c>
      <c r="B3820">
        <v>637</v>
      </c>
      <c r="C3820" t="s">
        <v>2498</v>
      </c>
      <c r="E3820" t="s">
        <v>2508</v>
      </c>
    </row>
    <row r="3821" spans="1:5" x14ac:dyDescent="0.2">
      <c r="A3821" t="s">
        <v>550</v>
      </c>
      <c r="B3821">
        <v>690</v>
      </c>
      <c r="C3821" t="s">
        <v>3565</v>
      </c>
      <c r="D3821" t="s">
        <v>4204</v>
      </c>
      <c r="E3821" t="s">
        <v>3593</v>
      </c>
    </row>
    <row r="3822" spans="1:5" x14ac:dyDescent="0.2">
      <c r="A3822" t="s">
        <v>382</v>
      </c>
      <c r="B3822">
        <v>604</v>
      </c>
      <c r="C3822" t="s">
        <v>2973</v>
      </c>
      <c r="D3822" t="s">
        <v>3533</v>
      </c>
      <c r="E3822" t="s">
        <v>2974</v>
      </c>
    </row>
    <row r="3823" spans="1:5" x14ac:dyDescent="0.2">
      <c r="A3823" t="s">
        <v>539</v>
      </c>
      <c r="B3823">
        <v>658</v>
      </c>
      <c r="C3823" t="s">
        <v>2897</v>
      </c>
      <c r="D3823" t="s">
        <v>3498</v>
      </c>
      <c r="E3823" t="s">
        <v>2898</v>
      </c>
    </row>
    <row r="3824" spans="1:5" x14ac:dyDescent="0.2">
      <c r="A3824" t="s">
        <v>413</v>
      </c>
      <c r="B3824">
        <v>640</v>
      </c>
      <c r="C3824" t="s">
        <v>2893</v>
      </c>
      <c r="D3824" t="s">
        <v>4363</v>
      </c>
      <c r="E3824" t="s">
        <v>2894</v>
      </c>
    </row>
    <row r="3825" spans="1:5" x14ac:dyDescent="0.2">
      <c r="A3825" t="s">
        <v>567</v>
      </c>
      <c r="B3825">
        <v>668</v>
      </c>
      <c r="C3825" t="s">
        <v>3161</v>
      </c>
      <c r="D3825" t="s">
        <v>3494</v>
      </c>
      <c r="E3825" t="s">
        <v>3162</v>
      </c>
    </row>
    <row r="3826" spans="1:5" x14ac:dyDescent="0.2">
      <c r="A3826" t="s">
        <v>650</v>
      </c>
      <c r="B3826">
        <v>695</v>
      </c>
      <c r="C3826" t="s">
        <v>2386</v>
      </c>
      <c r="D3826" t="s">
        <v>3493</v>
      </c>
      <c r="E3826" t="s">
        <v>2488</v>
      </c>
    </row>
    <row r="3827" spans="1:5" x14ac:dyDescent="0.2">
      <c r="A3827" t="s">
        <v>505</v>
      </c>
      <c r="B3827">
        <v>628</v>
      </c>
      <c r="C3827" t="s">
        <v>2684</v>
      </c>
      <c r="E3827" t="s">
        <v>2685</v>
      </c>
    </row>
    <row r="3828" spans="1:5" x14ac:dyDescent="0.2">
      <c r="A3828" t="s">
        <v>550</v>
      </c>
      <c r="B3828">
        <v>890</v>
      </c>
      <c r="C3828" t="s">
        <v>3625</v>
      </c>
      <c r="D3828" t="s">
        <v>4341</v>
      </c>
      <c r="E3828" t="s">
        <v>3626</v>
      </c>
    </row>
    <row r="3829" spans="1:5" x14ac:dyDescent="0.2">
      <c r="A3829" t="s">
        <v>539</v>
      </c>
      <c r="B3829">
        <v>630</v>
      </c>
      <c r="C3829" t="s">
        <v>2995</v>
      </c>
      <c r="E3829" t="s">
        <v>2996</v>
      </c>
    </row>
    <row r="3830" spans="1:5" x14ac:dyDescent="0.2">
      <c r="A3830" t="s">
        <v>382</v>
      </c>
      <c r="B3830">
        <v>510</v>
      </c>
      <c r="C3830" t="s">
        <v>2556</v>
      </c>
      <c r="E3830" t="s">
        <v>2557</v>
      </c>
    </row>
    <row r="3831" spans="1:5" x14ac:dyDescent="0.2">
      <c r="A3831" t="s">
        <v>592</v>
      </c>
      <c r="B3831">
        <v>690</v>
      </c>
      <c r="C3831" t="s">
        <v>3561</v>
      </c>
      <c r="D3831" t="s">
        <v>3565</v>
      </c>
      <c r="E3831" t="s">
        <v>3977</v>
      </c>
    </row>
    <row r="3832" spans="1:5" x14ac:dyDescent="0.2">
      <c r="A3832" t="s">
        <v>650</v>
      </c>
      <c r="B3832">
        <v>885</v>
      </c>
      <c r="C3832" t="s">
        <v>2386</v>
      </c>
      <c r="E3832" t="s">
        <v>3027</v>
      </c>
    </row>
    <row r="3833" spans="1:5" x14ac:dyDescent="0.2">
      <c r="A3833" t="s">
        <v>466</v>
      </c>
      <c r="B3833">
        <v>850</v>
      </c>
      <c r="C3833" t="s">
        <v>3073</v>
      </c>
      <c r="E3833" t="s">
        <v>3260</v>
      </c>
    </row>
    <row r="3834" spans="1:5" x14ac:dyDescent="0.2">
      <c r="A3834" t="s">
        <v>550</v>
      </c>
      <c r="B3834">
        <v>897</v>
      </c>
      <c r="C3834" t="s">
        <v>3565</v>
      </c>
      <c r="D3834" t="s">
        <v>4364</v>
      </c>
      <c r="E3834" t="s">
        <v>3808</v>
      </c>
    </row>
    <row r="3835" spans="1:5" x14ac:dyDescent="0.2">
      <c r="A3835" t="s">
        <v>413</v>
      </c>
      <c r="B3835">
        <v>690</v>
      </c>
      <c r="C3835" t="s">
        <v>3565</v>
      </c>
      <c r="D3835" t="s">
        <v>4357</v>
      </c>
      <c r="E3835" t="s">
        <v>3566</v>
      </c>
    </row>
    <row r="3836" spans="1:5" x14ac:dyDescent="0.2">
      <c r="A3836" t="s">
        <v>413</v>
      </c>
      <c r="B3836">
        <v>690</v>
      </c>
      <c r="C3836" t="s">
        <v>3565</v>
      </c>
      <c r="D3836" t="s">
        <v>4365</v>
      </c>
      <c r="E3836" t="s">
        <v>3566</v>
      </c>
    </row>
    <row r="3837" spans="1:5" x14ac:dyDescent="0.2">
      <c r="A3837" t="s">
        <v>567</v>
      </c>
      <c r="B3837">
        <v>639</v>
      </c>
      <c r="C3837" t="s">
        <v>2813</v>
      </c>
      <c r="E3837" t="s">
        <v>2814</v>
      </c>
    </row>
    <row r="3838" spans="1:5" x14ac:dyDescent="0.2">
      <c r="A3838" t="s">
        <v>413</v>
      </c>
      <c r="B3838">
        <v>600</v>
      </c>
      <c r="C3838" t="s">
        <v>2689</v>
      </c>
      <c r="E3838" t="s">
        <v>2690</v>
      </c>
    </row>
    <row r="3839" spans="1:5" x14ac:dyDescent="0.2">
      <c r="A3839" t="s">
        <v>592</v>
      </c>
      <c r="B3839">
        <v>637</v>
      </c>
      <c r="C3839" t="s">
        <v>2498</v>
      </c>
      <c r="E3839" t="s">
        <v>2508</v>
      </c>
    </row>
    <row r="3840" spans="1:5" x14ac:dyDescent="0.2">
      <c r="A3840" t="s">
        <v>592</v>
      </c>
      <c r="B3840">
        <v>538</v>
      </c>
      <c r="C3840" t="s">
        <v>2548</v>
      </c>
      <c r="E3840" t="s">
        <v>2549</v>
      </c>
    </row>
    <row r="3841" spans="1:5" x14ac:dyDescent="0.2">
      <c r="A3841" t="s">
        <v>466</v>
      </c>
      <c r="B3841">
        <v>503</v>
      </c>
      <c r="C3841" t="s">
        <v>2433</v>
      </c>
      <c r="E3841" t="s">
        <v>2434</v>
      </c>
    </row>
    <row r="3842" spans="1:5" x14ac:dyDescent="0.2">
      <c r="A3842" t="s">
        <v>539</v>
      </c>
      <c r="B3842">
        <v>538</v>
      </c>
      <c r="C3842" t="s">
        <v>2517</v>
      </c>
      <c r="E3842" t="s">
        <v>2518</v>
      </c>
    </row>
    <row r="3843" spans="1:5" x14ac:dyDescent="0.2">
      <c r="A3843" t="s">
        <v>592</v>
      </c>
      <c r="B3843">
        <v>514</v>
      </c>
      <c r="C3843" t="s">
        <v>2663</v>
      </c>
      <c r="E3843" t="s">
        <v>2666</v>
      </c>
    </row>
    <row r="3844" spans="1:5" x14ac:dyDescent="0.2">
      <c r="A3844" t="s">
        <v>466</v>
      </c>
      <c r="B3844">
        <v>503</v>
      </c>
      <c r="C3844" t="s">
        <v>2433</v>
      </c>
      <c r="E3844" t="s">
        <v>2434</v>
      </c>
    </row>
    <row r="3845" spans="1:5" x14ac:dyDescent="0.2">
      <c r="A3845" t="s">
        <v>413</v>
      </c>
      <c r="B3845">
        <v>659</v>
      </c>
      <c r="C3845" t="s">
        <v>2538</v>
      </c>
      <c r="E3845" t="s">
        <v>2539</v>
      </c>
    </row>
    <row r="3846" spans="1:5" x14ac:dyDescent="0.2">
      <c r="A3846" t="s">
        <v>550</v>
      </c>
      <c r="B3846">
        <v>505</v>
      </c>
      <c r="C3846" t="s">
        <v>2551</v>
      </c>
      <c r="E3846" t="s">
        <v>2552</v>
      </c>
    </row>
    <row r="3847" spans="1:5" x14ac:dyDescent="0.2">
      <c r="A3847" t="s">
        <v>539</v>
      </c>
      <c r="B3847">
        <v>539</v>
      </c>
      <c r="C3847" t="s">
        <v>2580</v>
      </c>
      <c r="E3847" t="s">
        <v>2581</v>
      </c>
    </row>
    <row r="3848" spans="1:5" x14ac:dyDescent="0.2">
      <c r="A3848" t="s">
        <v>413</v>
      </c>
      <c r="B3848">
        <v>685</v>
      </c>
      <c r="C3848" t="s">
        <v>3053</v>
      </c>
      <c r="D3848" t="s">
        <v>3509</v>
      </c>
      <c r="E3848" t="s">
        <v>3054</v>
      </c>
    </row>
    <row r="3849" spans="1:5" x14ac:dyDescent="0.2">
      <c r="A3849" t="s">
        <v>413</v>
      </c>
      <c r="B3849">
        <v>685</v>
      </c>
      <c r="C3849" t="s">
        <v>3053</v>
      </c>
      <c r="D3849" t="s">
        <v>3509</v>
      </c>
      <c r="E3849" t="s">
        <v>3054</v>
      </c>
    </row>
    <row r="3850" spans="1:5" x14ac:dyDescent="0.2">
      <c r="A3850" t="s">
        <v>413</v>
      </c>
      <c r="B3850">
        <v>940</v>
      </c>
      <c r="C3850" t="s">
        <v>2858</v>
      </c>
      <c r="D3850" t="s">
        <v>3509</v>
      </c>
      <c r="E3850" t="s">
        <v>2859</v>
      </c>
    </row>
    <row r="3851" spans="1:5" x14ac:dyDescent="0.2">
      <c r="A3851" t="s">
        <v>413</v>
      </c>
      <c r="B3851">
        <v>685</v>
      </c>
      <c r="C3851" t="s">
        <v>3053</v>
      </c>
      <c r="D3851" t="s">
        <v>3509</v>
      </c>
      <c r="E3851" t="s">
        <v>3054</v>
      </c>
    </row>
    <row r="3852" spans="1:5" x14ac:dyDescent="0.2">
      <c r="A3852" t="s">
        <v>413</v>
      </c>
      <c r="B3852">
        <v>685</v>
      </c>
      <c r="C3852" t="s">
        <v>3053</v>
      </c>
      <c r="D3852" t="s">
        <v>3502</v>
      </c>
      <c r="E3852" t="s">
        <v>3054</v>
      </c>
    </row>
    <row r="3853" spans="1:5" x14ac:dyDescent="0.2">
      <c r="A3853" t="s">
        <v>550</v>
      </c>
      <c r="B3853">
        <v>826</v>
      </c>
      <c r="C3853" t="s">
        <v>3095</v>
      </c>
      <c r="E3853" t="s">
        <v>3096</v>
      </c>
    </row>
    <row r="3854" spans="1:5" x14ac:dyDescent="0.2">
      <c r="A3854" t="s">
        <v>539</v>
      </c>
      <c r="B3854">
        <v>885</v>
      </c>
      <c r="C3854" t="s">
        <v>2389</v>
      </c>
      <c r="D3854" t="s">
        <v>3430</v>
      </c>
      <c r="E3854" t="s">
        <v>2391</v>
      </c>
    </row>
    <row r="3855" spans="1:5" x14ac:dyDescent="0.2">
      <c r="A3855" t="s">
        <v>539</v>
      </c>
      <c r="B3855">
        <v>680</v>
      </c>
      <c r="C3855" t="s">
        <v>2723</v>
      </c>
      <c r="E3855" t="s">
        <v>2724</v>
      </c>
    </row>
    <row r="3856" spans="1:5" x14ac:dyDescent="0.2">
      <c r="A3856" t="s">
        <v>567</v>
      </c>
      <c r="B3856">
        <v>566</v>
      </c>
      <c r="C3856" t="s">
        <v>2528</v>
      </c>
      <c r="E3856" t="s">
        <v>2529</v>
      </c>
    </row>
    <row r="3857" spans="1:5" x14ac:dyDescent="0.2">
      <c r="A3857" t="s">
        <v>505</v>
      </c>
      <c r="B3857">
        <v>530</v>
      </c>
      <c r="C3857" t="s">
        <v>2511</v>
      </c>
      <c r="E3857" t="s">
        <v>2512</v>
      </c>
    </row>
    <row r="3858" spans="1:5" x14ac:dyDescent="0.2">
      <c r="A3858" t="s">
        <v>539</v>
      </c>
      <c r="B3858">
        <v>646</v>
      </c>
      <c r="C3858" t="s">
        <v>4366</v>
      </c>
      <c r="E3858" t="s">
        <v>4367</v>
      </c>
    </row>
    <row r="3859" spans="1:5" x14ac:dyDescent="0.2">
      <c r="A3859" t="s">
        <v>539</v>
      </c>
      <c r="B3859">
        <v>684</v>
      </c>
      <c r="C3859" t="s">
        <v>2682</v>
      </c>
      <c r="E3859" t="s">
        <v>2683</v>
      </c>
    </row>
    <row r="3860" spans="1:5" x14ac:dyDescent="0.2">
      <c r="A3860" t="s">
        <v>650</v>
      </c>
      <c r="B3860">
        <v>624</v>
      </c>
      <c r="C3860" t="s">
        <v>2725</v>
      </c>
      <c r="E3860" t="s">
        <v>2726</v>
      </c>
    </row>
    <row r="3861" spans="1:5" x14ac:dyDescent="0.2">
      <c r="A3861" t="s">
        <v>539</v>
      </c>
      <c r="B3861">
        <v>885</v>
      </c>
      <c r="C3861" t="s">
        <v>2389</v>
      </c>
      <c r="D3861" t="s">
        <v>4368</v>
      </c>
      <c r="E3861" t="s">
        <v>2391</v>
      </c>
    </row>
    <row r="3862" spans="1:5" x14ac:dyDescent="0.2">
      <c r="A3862" t="s">
        <v>592</v>
      </c>
      <c r="B3862">
        <v>602</v>
      </c>
      <c r="C3862" t="s">
        <v>3245</v>
      </c>
      <c r="E3862" t="s">
        <v>3246</v>
      </c>
    </row>
    <row r="3863" spans="1:5" x14ac:dyDescent="0.2">
      <c r="A3863" t="s">
        <v>466</v>
      </c>
      <c r="B3863">
        <v>679</v>
      </c>
      <c r="C3863" t="s">
        <v>2868</v>
      </c>
      <c r="E3863" t="s">
        <v>3280</v>
      </c>
    </row>
    <row r="3864" spans="1:5" x14ac:dyDescent="0.2">
      <c r="A3864" t="s">
        <v>592</v>
      </c>
      <c r="B3864">
        <v>690</v>
      </c>
      <c r="C3864" t="s">
        <v>3561</v>
      </c>
      <c r="D3864" t="s">
        <v>4369</v>
      </c>
      <c r="E3864" t="s">
        <v>3977</v>
      </c>
    </row>
    <row r="3865" spans="1:5" x14ac:dyDescent="0.2">
      <c r="A3865" t="s">
        <v>539</v>
      </c>
      <c r="B3865">
        <v>885</v>
      </c>
      <c r="C3865" t="s">
        <v>2389</v>
      </c>
      <c r="D3865" t="s">
        <v>3036</v>
      </c>
      <c r="E3865" t="s">
        <v>2391</v>
      </c>
    </row>
    <row r="3866" spans="1:5" x14ac:dyDescent="0.2">
      <c r="A3866" t="s">
        <v>550</v>
      </c>
      <c r="B3866">
        <v>890</v>
      </c>
      <c r="C3866" t="s">
        <v>3625</v>
      </c>
      <c r="D3866" t="s">
        <v>4342</v>
      </c>
      <c r="E3866" t="s">
        <v>3626</v>
      </c>
    </row>
    <row r="3867" spans="1:5" x14ac:dyDescent="0.2">
      <c r="A3867" t="s">
        <v>466</v>
      </c>
      <c r="B3867">
        <v>658</v>
      </c>
      <c r="C3867" t="s">
        <v>2774</v>
      </c>
      <c r="E3867" t="s">
        <v>3517</v>
      </c>
    </row>
    <row r="3868" spans="1:5" x14ac:dyDescent="0.2">
      <c r="A3868" t="s">
        <v>650</v>
      </c>
      <c r="B3868">
        <v>633</v>
      </c>
      <c r="C3868" t="s">
        <v>3230</v>
      </c>
      <c r="E3868" t="s">
        <v>3231</v>
      </c>
    </row>
    <row r="3869" spans="1:5" x14ac:dyDescent="0.2">
      <c r="A3869" t="s">
        <v>539</v>
      </c>
      <c r="B3869">
        <v>885</v>
      </c>
      <c r="C3869" t="s">
        <v>2389</v>
      </c>
      <c r="D3869" t="s">
        <v>4368</v>
      </c>
      <c r="E3869" t="s">
        <v>2391</v>
      </c>
    </row>
    <row r="3870" spans="1:5" x14ac:dyDescent="0.2">
      <c r="A3870" t="s">
        <v>505</v>
      </c>
      <c r="B3870">
        <v>530</v>
      </c>
      <c r="C3870" t="s">
        <v>2511</v>
      </c>
      <c r="E3870" t="s">
        <v>2512</v>
      </c>
    </row>
    <row r="3871" spans="1:5" x14ac:dyDescent="0.2">
      <c r="A3871" t="s">
        <v>567</v>
      </c>
      <c r="B3871">
        <v>551</v>
      </c>
      <c r="C3871" t="s">
        <v>2422</v>
      </c>
      <c r="E3871" t="s">
        <v>2423</v>
      </c>
    </row>
    <row r="3872" spans="1:5" x14ac:dyDescent="0.2">
      <c r="A3872" t="s">
        <v>382</v>
      </c>
      <c r="B3872">
        <v>885</v>
      </c>
      <c r="C3872" t="s">
        <v>3450</v>
      </c>
      <c r="D3872" t="s">
        <v>3514</v>
      </c>
      <c r="E3872" t="s">
        <v>3452</v>
      </c>
    </row>
    <row r="3873" spans="1:5" x14ac:dyDescent="0.2">
      <c r="A3873" t="s">
        <v>567</v>
      </c>
      <c r="B3873">
        <v>690</v>
      </c>
      <c r="C3873" t="s">
        <v>3565</v>
      </c>
      <c r="D3873" t="s">
        <v>4370</v>
      </c>
      <c r="E3873" t="s">
        <v>3582</v>
      </c>
    </row>
    <row r="3874" spans="1:5" x14ac:dyDescent="0.2">
      <c r="A3874" t="s">
        <v>413</v>
      </c>
      <c r="B3874">
        <v>880</v>
      </c>
      <c r="C3874" t="s">
        <v>3004</v>
      </c>
      <c r="D3874" t="s">
        <v>4371</v>
      </c>
      <c r="E3874" t="s">
        <v>3332</v>
      </c>
    </row>
    <row r="3875" spans="1:5" x14ac:dyDescent="0.2">
      <c r="A3875" t="s">
        <v>567</v>
      </c>
      <c r="B3875">
        <v>890</v>
      </c>
      <c r="C3875" t="s">
        <v>3519</v>
      </c>
      <c r="D3875" t="s">
        <v>4350</v>
      </c>
      <c r="E3875" t="s">
        <v>3521</v>
      </c>
    </row>
    <row r="3876" spans="1:5" x14ac:dyDescent="0.2">
      <c r="A3876" t="s">
        <v>567</v>
      </c>
      <c r="B3876">
        <v>566</v>
      </c>
      <c r="C3876" t="s">
        <v>2528</v>
      </c>
      <c r="D3876" t="s">
        <v>4372</v>
      </c>
      <c r="E3876" t="s">
        <v>2529</v>
      </c>
    </row>
    <row r="3877" spans="1:5" x14ac:dyDescent="0.2">
      <c r="A3877" t="s">
        <v>413</v>
      </c>
      <c r="B3877">
        <v>895</v>
      </c>
      <c r="C3877" t="s">
        <v>3571</v>
      </c>
      <c r="D3877" t="s">
        <v>4373</v>
      </c>
      <c r="E3877" t="s">
        <v>3572</v>
      </c>
    </row>
    <row r="3878" spans="1:5" x14ac:dyDescent="0.2">
      <c r="A3878" t="s">
        <v>466</v>
      </c>
      <c r="B3878">
        <v>690</v>
      </c>
      <c r="C3878" t="s">
        <v>3565</v>
      </c>
      <c r="D3878" t="s">
        <v>4374</v>
      </c>
      <c r="E3878" t="s">
        <v>3980</v>
      </c>
    </row>
    <row r="3879" spans="1:5" x14ac:dyDescent="0.2">
      <c r="A3879" t="s">
        <v>413</v>
      </c>
      <c r="B3879">
        <v>690</v>
      </c>
      <c r="C3879" t="s">
        <v>3565</v>
      </c>
      <c r="D3879" t="s">
        <v>4375</v>
      </c>
      <c r="E3879" t="s">
        <v>3566</v>
      </c>
    </row>
    <row r="3880" spans="1:5" x14ac:dyDescent="0.2">
      <c r="A3880" t="s">
        <v>650</v>
      </c>
      <c r="B3880">
        <v>885</v>
      </c>
      <c r="C3880" t="s">
        <v>2386</v>
      </c>
      <c r="D3880" t="s">
        <v>3507</v>
      </c>
      <c r="E3880" t="s">
        <v>3027</v>
      </c>
    </row>
    <row r="3881" spans="1:5" x14ac:dyDescent="0.2">
      <c r="A3881" t="s">
        <v>567</v>
      </c>
      <c r="B3881">
        <v>885</v>
      </c>
      <c r="C3881" t="s">
        <v>3013</v>
      </c>
      <c r="D3881" t="s">
        <v>4376</v>
      </c>
      <c r="E3881" t="s">
        <v>3093</v>
      </c>
    </row>
    <row r="3882" spans="1:5" x14ac:dyDescent="0.2">
      <c r="A3882" t="s">
        <v>413</v>
      </c>
      <c r="B3882">
        <v>685</v>
      </c>
      <c r="C3882" t="s">
        <v>3053</v>
      </c>
      <c r="D3882" t="s">
        <v>3502</v>
      </c>
      <c r="E3882" t="s">
        <v>3054</v>
      </c>
    </row>
    <row r="3883" spans="1:5" x14ac:dyDescent="0.2">
      <c r="A3883" t="s">
        <v>650</v>
      </c>
      <c r="B3883">
        <v>896</v>
      </c>
      <c r="C3883" t="s">
        <v>3559</v>
      </c>
      <c r="D3883" t="s">
        <v>4377</v>
      </c>
      <c r="E3883" t="s">
        <v>3560</v>
      </c>
    </row>
    <row r="3884" spans="1:5" x14ac:dyDescent="0.2">
      <c r="A3884" t="s">
        <v>650</v>
      </c>
      <c r="B3884">
        <v>890</v>
      </c>
      <c r="C3884" t="s">
        <v>3580</v>
      </c>
      <c r="D3884" t="s">
        <v>4378</v>
      </c>
      <c r="E3884" t="s">
        <v>3581</v>
      </c>
    </row>
    <row r="3885" spans="1:5" x14ac:dyDescent="0.2">
      <c r="A3885" t="s">
        <v>466</v>
      </c>
      <c r="B3885">
        <v>890</v>
      </c>
      <c r="C3885" t="s">
        <v>4118</v>
      </c>
      <c r="E3885" t="s">
        <v>4120</v>
      </c>
    </row>
    <row r="3886" spans="1:5" x14ac:dyDescent="0.2">
      <c r="A3886" t="s">
        <v>466</v>
      </c>
      <c r="B3886">
        <v>930</v>
      </c>
      <c r="C3886" t="s">
        <v>3381</v>
      </c>
      <c r="E3886" t="s">
        <v>3383</v>
      </c>
    </row>
    <row r="3887" spans="1:5" x14ac:dyDescent="0.2">
      <c r="A3887" t="s">
        <v>413</v>
      </c>
      <c r="B3887">
        <v>574</v>
      </c>
      <c r="C3887" t="s">
        <v>2661</v>
      </c>
      <c r="E3887" t="s">
        <v>2567</v>
      </c>
    </row>
    <row r="3888" spans="1:5" x14ac:dyDescent="0.2">
      <c r="A3888" t="s">
        <v>567</v>
      </c>
      <c r="B3888">
        <v>660</v>
      </c>
      <c r="C3888" t="s">
        <v>2875</v>
      </c>
      <c r="E3888" t="s">
        <v>3274</v>
      </c>
    </row>
    <row r="3889" spans="1:5" x14ac:dyDescent="0.2">
      <c r="A3889" t="s">
        <v>382</v>
      </c>
      <c r="B3889">
        <v>624</v>
      </c>
      <c r="C3889" t="s">
        <v>2454</v>
      </c>
      <c r="E3889" t="s">
        <v>2455</v>
      </c>
    </row>
    <row r="3890" spans="1:5" x14ac:dyDescent="0.2">
      <c r="A3890" t="s">
        <v>567</v>
      </c>
      <c r="B3890">
        <v>890</v>
      </c>
      <c r="C3890" t="s">
        <v>3519</v>
      </c>
      <c r="D3890" t="s">
        <v>4379</v>
      </c>
      <c r="E3890" t="s">
        <v>3521</v>
      </c>
    </row>
    <row r="3891" spans="1:5" x14ac:dyDescent="0.2">
      <c r="A3891" t="s">
        <v>567</v>
      </c>
      <c r="B3891">
        <v>940</v>
      </c>
      <c r="C3891" t="s">
        <v>2744</v>
      </c>
      <c r="D3891" t="s">
        <v>4380</v>
      </c>
      <c r="E3891" t="s">
        <v>2745</v>
      </c>
    </row>
    <row r="3892" spans="1:5" x14ac:dyDescent="0.2">
      <c r="A3892" t="s">
        <v>567</v>
      </c>
      <c r="B3892">
        <v>940</v>
      </c>
      <c r="C3892" t="s">
        <v>2744</v>
      </c>
      <c r="D3892" t="s">
        <v>4381</v>
      </c>
      <c r="E3892" t="s">
        <v>2745</v>
      </c>
    </row>
    <row r="3893" spans="1:5" x14ac:dyDescent="0.2">
      <c r="A3893" t="s">
        <v>650</v>
      </c>
      <c r="B3893">
        <v>896</v>
      </c>
      <c r="C3893" t="s">
        <v>3559</v>
      </c>
      <c r="D3893" t="s">
        <v>4382</v>
      </c>
      <c r="E3893" t="s">
        <v>3560</v>
      </c>
    </row>
    <row r="3894" spans="1:5" x14ac:dyDescent="0.2">
      <c r="A3894" t="s">
        <v>466</v>
      </c>
      <c r="B3894">
        <v>690</v>
      </c>
      <c r="C3894" t="s">
        <v>3565</v>
      </c>
      <c r="D3894" t="s">
        <v>4383</v>
      </c>
      <c r="E3894" t="s">
        <v>3980</v>
      </c>
    </row>
    <row r="3895" spans="1:5" x14ac:dyDescent="0.2">
      <c r="A3895" t="s">
        <v>466</v>
      </c>
      <c r="B3895">
        <v>662</v>
      </c>
      <c r="C3895" t="s">
        <v>4384</v>
      </c>
      <c r="E3895" t="s">
        <v>4385</v>
      </c>
    </row>
    <row r="3896" spans="1:5" x14ac:dyDescent="0.2">
      <c r="A3896" t="s">
        <v>550</v>
      </c>
      <c r="B3896">
        <v>890</v>
      </c>
      <c r="C3896" t="s">
        <v>3625</v>
      </c>
      <c r="D3896" t="s">
        <v>4342</v>
      </c>
      <c r="E3896" t="s">
        <v>3626</v>
      </c>
    </row>
    <row r="3897" spans="1:5" x14ac:dyDescent="0.2">
      <c r="A3897" t="s">
        <v>567</v>
      </c>
      <c r="B3897">
        <v>690</v>
      </c>
      <c r="C3897" t="s">
        <v>3565</v>
      </c>
      <c r="D3897" t="s">
        <v>4386</v>
      </c>
      <c r="E3897" t="s">
        <v>3582</v>
      </c>
    </row>
    <row r="3898" spans="1:5" x14ac:dyDescent="0.2">
      <c r="A3898" t="s">
        <v>567</v>
      </c>
      <c r="B3898">
        <v>890</v>
      </c>
      <c r="C3898" t="s">
        <v>3519</v>
      </c>
      <c r="D3898" t="s">
        <v>4387</v>
      </c>
      <c r="E3898" t="s">
        <v>3521</v>
      </c>
    </row>
    <row r="3899" spans="1:5" x14ac:dyDescent="0.2">
      <c r="A3899" t="s">
        <v>650</v>
      </c>
      <c r="B3899">
        <v>885</v>
      </c>
      <c r="C3899" t="s">
        <v>2386</v>
      </c>
      <c r="D3899" t="s">
        <v>3507</v>
      </c>
      <c r="E3899" t="s">
        <v>3027</v>
      </c>
    </row>
    <row r="3900" spans="1:5" x14ac:dyDescent="0.2">
      <c r="A3900" t="s">
        <v>567</v>
      </c>
      <c r="B3900">
        <v>885</v>
      </c>
      <c r="C3900" t="s">
        <v>3013</v>
      </c>
      <c r="D3900" t="s">
        <v>4388</v>
      </c>
      <c r="E3900" t="s">
        <v>3093</v>
      </c>
    </row>
    <row r="3901" spans="1:5" x14ac:dyDescent="0.2">
      <c r="A3901" t="s">
        <v>382</v>
      </c>
      <c r="B3901">
        <v>690</v>
      </c>
      <c r="C3901" t="s">
        <v>3584</v>
      </c>
      <c r="D3901" t="s">
        <v>4389</v>
      </c>
      <c r="E3901" t="s">
        <v>3585</v>
      </c>
    </row>
    <row r="3902" spans="1:5" x14ac:dyDescent="0.2">
      <c r="A3902" t="s">
        <v>413</v>
      </c>
      <c r="B3902">
        <v>690</v>
      </c>
      <c r="C3902" t="s">
        <v>3565</v>
      </c>
      <c r="D3902" t="s">
        <v>4390</v>
      </c>
      <c r="E3902" t="s">
        <v>3566</v>
      </c>
    </row>
    <row r="3903" spans="1:5" x14ac:dyDescent="0.2">
      <c r="A3903" t="s">
        <v>550</v>
      </c>
      <c r="B3903">
        <v>695</v>
      </c>
      <c r="C3903" t="s">
        <v>2582</v>
      </c>
      <c r="D3903" t="s">
        <v>4391</v>
      </c>
      <c r="E3903" t="s">
        <v>2584</v>
      </c>
    </row>
    <row r="3904" spans="1:5" x14ac:dyDescent="0.2">
      <c r="A3904" t="s">
        <v>550</v>
      </c>
      <c r="B3904">
        <v>690</v>
      </c>
      <c r="C3904" t="s">
        <v>3565</v>
      </c>
      <c r="D3904" t="s">
        <v>4392</v>
      </c>
      <c r="E3904" t="s">
        <v>3593</v>
      </c>
    </row>
    <row r="3905" spans="1:5" x14ac:dyDescent="0.2">
      <c r="A3905" t="s">
        <v>505</v>
      </c>
      <c r="B3905">
        <v>505</v>
      </c>
      <c r="C3905" t="s">
        <v>2426</v>
      </c>
      <c r="D3905" t="s">
        <v>3525</v>
      </c>
      <c r="E3905" t="s">
        <v>2428</v>
      </c>
    </row>
    <row r="3906" spans="1:5" x14ac:dyDescent="0.2">
      <c r="A3906" t="s">
        <v>539</v>
      </c>
      <c r="B3906">
        <v>690</v>
      </c>
      <c r="C3906" t="s">
        <v>3565</v>
      </c>
      <c r="D3906" t="s">
        <v>4393</v>
      </c>
      <c r="E3906" t="s">
        <v>3576</v>
      </c>
    </row>
    <row r="3907" spans="1:5" x14ac:dyDescent="0.2">
      <c r="A3907" t="s">
        <v>550</v>
      </c>
      <c r="B3907">
        <v>890</v>
      </c>
      <c r="C3907" t="s">
        <v>3625</v>
      </c>
      <c r="D3907" t="s">
        <v>4342</v>
      </c>
      <c r="E3907" t="s">
        <v>3626</v>
      </c>
    </row>
    <row r="3908" spans="1:5" x14ac:dyDescent="0.2">
      <c r="A3908" t="s">
        <v>650</v>
      </c>
      <c r="B3908">
        <v>628</v>
      </c>
      <c r="C3908" t="s">
        <v>2926</v>
      </c>
      <c r="E3908" t="s">
        <v>2927</v>
      </c>
    </row>
    <row r="3909" spans="1:5" x14ac:dyDescent="0.2">
      <c r="A3909" t="s">
        <v>539</v>
      </c>
      <c r="B3909">
        <v>630</v>
      </c>
      <c r="C3909" t="s">
        <v>2995</v>
      </c>
      <c r="E3909" t="s">
        <v>2996</v>
      </c>
    </row>
    <row r="3910" spans="1:5" x14ac:dyDescent="0.2">
      <c r="A3910" t="s">
        <v>550</v>
      </c>
      <c r="B3910">
        <v>645</v>
      </c>
      <c r="C3910" t="s">
        <v>2608</v>
      </c>
      <c r="E3910" t="s">
        <v>2609</v>
      </c>
    </row>
    <row r="3911" spans="1:5" x14ac:dyDescent="0.2">
      <c r="A3911" t="s">
        <v>539</v>
      </c>
      <c r="B3911">
        <v>885</v>
      </c>
      <c r="C3911" t="s">
        <v>2389</v>
      </c>
      <c r="D3911" t="s">
        <v>4394</v>
      </c>
      <c r="E3911" t="s">
        <v>2391</v>
      </c>
    </row>
    <row r="3912" spans="1:5" x14ac:dyDescent="0.2">
      <c r="A3912" t="s">
        <v>539</v>
      </c>
      <c r="B3912">
        <v>885</v>
      </c>
      <c r="C3912" t="s">
        <v>2389</v>
      </c>
      <c r="D3912" t="s">
        <v>4395</v>
      </c>
      <c r="E3912" t="s">
        <v>2391</v>
      </c>
    </row>
    <row r="3913" spans="1:5" x14ac:dyDescent="0.2">
      <c r="A3913" t="s">
        <v>550</v>
      </c>
      <c r="B3913">
        <v>885</v>
      </c>
      <c r="C3913" t="s">
        <v>3013</v>
      </c>
      <c r="D3913" t="s">
        <v>4396</v>
      </c>
      <c r="E3913" t="s">
        <v>3175</v>
      </c>
    </row>
    <row r="3914" spans="1:5" x14ac:dyDescent="0.2">
      <c r="A3914" t="s">
        <v>413</v>
      </c>
      <c r="B3914">
        <v>574</v>
      </c>
      <c r="C3914" t="s">
        <v>2661</v>
      </c>
      <c r="E3914" t="s">
        <v>2567</v>
      </c>
    </row>
    <row r="3915" spans="1:5" x14ac:dyDescent="0.2">
      <c r="A3915" t="s">
        <v>505</v>
      </c>
      <c r="B3915">
        <v>505</v>
      </c>
      <c r="C3915" t="s">
        <v>2426</v>
      </c>
      <c r="D3915" t="s">
        <v>4397</v>
      </c>
      <c r="E3915" t="s">
        <v>2428</v>
      </c>
    </row>
    <row r="3916" spans="1:5" x14ac:dyDescent="0.2">
      <c r="A3916" t="s">
        <v>567</v>
      </c>
      <c r="B3916">
        <v>604</v>
      </c>
      <c r="C3916" t="s">
        <v>2973</v>
      </c>
      <c r="D3916" t="s">
        <v>3533</v>
      </c>
      <c r="E3916" t="s">
        <v>3441</v>
      </c>
    </row>
    <row r="3917" spans="1:5" x14ac:dyDescent="0.2">
      <c r="A3917" t="s">
        <v>550</v>
      </c>
      <c r="B3917">
        <v>810</v>
      </c>
      <c r="C3917" t="s">
        <v>3428</v>
      </c>
      <c r="D3917" t="s">
        <v>2386</v>
      </c>
      <c r="E3917" t="s">
        <v>3429</v>
      </c>
    </row>
    <row r="3918" spans="1:5" x14ac:dyDescent="0.2">
      <c r="A3918" t="s">
        <v>539</v>
      </c>
      <c r="B3918">
        <v>539</v>
      </c>
      <c r="C3918" t="s">
        <v>2580</v>
      </c>
      <c r="E3918" t="s">
        <v>2581</v>
      </c>
    </row>
    <row r="3919" spans="1:5" x14ac:dyDescent="0.2">
      <c r="A3919" t="s">
        <v>592</v>
      </c>
      <c r="B3919">
        <v>780</v>
      </c>
      <c r="C3919" t="s">
        <v>2540</v>
      </c>
      <c r="E3919" t="s">
        <v>2599</v>
      </c>
    </row>
    <row r="3920" spans="1:5" x14ac:dyDescent="0.2">
      <c r="A3920" t="s">
        <v>505</v>
      </c>
      <c r="B3920">
        <v>796</v>
      </c>
      <c r="C3920" t="s">
        <v>2474</v>
      </c>
      <c r="D3920" t="s">
        <v>4398</v>
      </c>
      <c r="E3920" t="s">
        <v>2475</v>
      </c>
    </row>
    <row r="3921" spans="1:5" x14ac:dyDescent="0.2">
      <c r="A3921" t="s">
        <v>413</v>
      </c>
      <c r="B3921">
        <v>574</v>
      </c>
      <c r="C3921" t="s">
        <v>2661</v>
      </c>
      <c r="D3921" t="s">
        <v>4399</v>
      </c>
      <c r="E3921" t="s">
        <v>2567</v>
      </c>
    </row>
    <row r="3922" spans="1:5" x14ac:dyDescent="0.2">
      <c r="A3922" t="s">
        <v>650</v>
      </c>
      <c r="B3922">
        <v>690</v>
      </c>
      <c r="C3922" t="s">
        <v>3565</v>
      </c>
      <c r="D3922" t="s">
        <v>4400</v>
      </c>
      <c r="E3922" t="s">
        <v>3573</v>
      </c>
    </row>
    <row r="3923" spans="1:5" x14ac:dyDescent="0.2">
      <c r="A3923" t="s">
        <v>592</v>
      </c>
      <c r="B3923">
        <v>732</v>
      </c>
      <c r="C3923" t="s">
        <v>4401</v>
      </c>
      <c r="D3923" t="s">
        <v>4402</v>
      </c>
      <c r="E3923" t="s">
        <v>4403</v>
      </c>
    </row>
    <row r="3924" spans="1:5" x14ac:dyDescent="0.2">
      <c r="A3924" t="s">
        <v>466</v>
      </c>
      <c r="B3924">
        <v>850</v>
      </c>
      <c r="C3924" t="s">
        <v>3073</v>
      </c>
      <c r="E3924" t="s">
        <v>3260</v>
      </c>
    </row>
    <row r="3925" spans="1:5" x14ac:dyDescent="0.2">
      <c r="A3925" t="s">
        <v>505</v>
      </c>
      <c r="B3925">
        <v>690</v>
      </c>
      <c r="C3925" t="s">
        <v>3565</v>
      </c>
      <c r="D3925" t="s">
        <v>4404</v>
      </c>
      <c r="E3925" t="s">
        <v>4405</v>
      </c>
    </row>
    <row r="3926" spans="1:5" x14ac:dyDescent="0.2">
      <c r="A3926" t="s">
        <v>505</v>
      </c>
      <c r="B3926">
        <v>505</v>
      </c>
      <c r="C3926" t="s">
        <v>2426</v>
      </c>
      <c r="D3926" t="s">
        <v>3525</v>
      </c>
      <c r="E3926" t="s">
        <v>2428</v>
      </c>
    </row>
    <row r="3927" spans="1:5" x14ac:dyDescent="0.2">
      <c r="A3927" t="s">
        <v>466</v>
      </c>
      <c r="B3927">
        <v>690</v>
      </c>
      <c r="C3927" t="s">
        <v>3565</v>
      </c>
      <c r="D3927" t="s">
        <v>4406</v>
      </c>
      <c r="E3927" t="s">
        <v>3980</v>
      </c>
    </row>
    <row r="3928" spans="1:5" x14ac:dyDescent="0.2">
      <c r="A3928" t="s">
        <v>505</v>
      </c>
      <c r="B3928">
        <v>796</v>
      </c>
      <c r="C3928" t="s">
        <v>2474</v>
      </c>
      <c r="D3928" t="s">
        <v>4407</v>
      </c>
      <c r="E3928" t="s">
        <v>2475</v>
      </c>
    </row>
    <row r="3929" spans="1:5" x14ac:dyDescent="0.2">
      <c r="A3929" t="s">
        <v>539</v>
      </c>
      <c r="B3929">
        <v>538</v>
      </c>
      <c r="C3929" t="s">
        <v>2517</v>
      </c>
      <c r="E3929" t="s">
        <v>2518</v>
      </c>
    </row>
    <row r="3930" spans="1:5" x14ac:dyDescent="0.2">
      <c r="A3930" t="s">
        <v>505</v>
      </c>
      <c r="B3930">
        <v>505</v>
      </c>
      <c r="C3930" t="s">
        <v>2426</v>
      </c>
      <c r="D3930" t="s">
        <v>4408</v>
      </c>
      <c r="E3930" t="s">
        <v>2428</v>
      </c>
    </row>
    <row r="3931" spans="1:5" x14ac:dyDescent="0.2">
      <c r="A3931" t="s">
        <v>505</v>
      </c>
      <c r="B3931">
        <v>793</v>
      </c>
      <c r="C3931" t="s">
        <v>2482</v>
      </c>
      <c r="E3931" t="s">
        <v>2483</v>
      </c>
    </row>
    <row r="3932" spans="1:5" x14ac:dyDescent="0.2">
      <c r="A3932" t="s">
        <v>592</v>
      </c>
      <c r="B3932">
        <v>710</v>
      </c>
      <c r="C3932" t="s">
        <v>3402</v>
      </c>
      <c r="E3932" t="s">
        <v>3403</v>
      </c>
    </row>
    <row r="3933" spans="1:5" x14ac:dyDescent="0.2">
      <c r="A3933" t="s">
        <v>539</v>
      </c>
      <c r="B3933">
        <v>690</v>
      </c>
      <c r="C3933" t="s">
        <v>3565</v>
      </c>
      <c r="D3933" t="s">
        <v>4409</v>
      </c>
      <c r="E3933" t="s">
        <v>3576</v>
      </c>
    </row>
    <row r="3934" spans="1:5" x14ac:dyDescent="0.2">
      <c r="A3934" t="s">
        <v>650</v>
      </c>
      <c r="B3934">
        <v>647</v>
      </c>
      <c r="C3934" t="s">
        <v>2648</v>
      </c>
      <c r="E3934" t="s">
        <v>2649</v>
      </c>
    </row>
    <row r="3935" spans="1:5" x14ac:dyDescent="0.2">
      <c r="A3935" t="s">
        <v>539</v>
      </c>
      <c r="B3935">
        <v>680</v>
      </c>
      <c r="C3935" t="s">
        <v>2723</v>
      </c>
      <c r="E3935" t="s">
        <v>2724</v>
      </c>
    </row>
    <row r="3936" spans="1:5" x14ac:dyDescent="0.2">
      <c r="A3936" t="s">
        <v>413</v>
      </c>
      <c r="B3936">
        <v>659</v>
      </c>
      <c r="C3936" t="s">
        <v>2538</v>
      </c>
      <c r="E3936" t="s">
        <v>2539</v>
      </c>
    </row>
    <row r="3937" spans="1:5" x14ac:dyDescent="0.2">
      <c r="A3937" t="s">
        <v>567</v>
      </c>
      <c r="B3937">
        <v>566</v>
      </c>
      <c r="C3937" t="s">
        <v>2528</v>
      </c>
      <c r="D3937" t="s">
        <v>4372</v>
      </c>
      <c r="E3937" t="s">
        <v>2529</v>
      </c>
    </row>
    <row r="3938" spans="1:5" x14ac:dyDescent="0.2">
      <c r="A3938" t="s">
        <v>413</v>
      </c>
      <c r="B3938">
        <v>574</v>
      </c>
      <c r="C3938" t="s">
        <v>2661</v>
      </c>
      <c r="E3938" t="s">
        <v>2567</v>
      </c>
    </row>
    <row r="3939" spans="1:5" x14ac:dyDescent="0.2">
      <c r="A3939" t="s">
        <v>413</v>
      </c>
      <c r="B3939">
        <v>574</v>
      </c>
      <c r="C3939" t="s">
        <v>2661</v>
      </c>
      <c r="E3939" t="s">
        <v>2567</v>
      </c>
    </row>
    <row r="3940" spans="1:5" x14ac:dyDescent="0.2">
      <c r="A3940" t="s">
        <v>592</v>
      </c>
      <c r="B3940">
        <v>761</v>
      </c>
      <c r="C3940" t="s">
        <v>3276</v>
      </c>
      <c r="E3940" t="s">
        <v>3277</v>
      </c>
    </row>
    <row r="3941" spans="1:5" x14ac:dyDescent="0.2">
      <c r="A3941" t="s">
        <v>505</v>
      </c>
      <c r="B3941">
        <v>505</v>
      </c>
      <c r="C3941" t="s">
        <v>2426</v>
      </c>
      <c r="D3941" t="s">
        <v>3526</v>
      </c>
      <c r="E3941" t="s">
        <v>2428</v>
      </c>
    </row>
    <row r="3942" spans="1:5" x14ac:dyDescent="0.2">
      <c r="A3942" t="s">
        <v>413</v>
      </c>
      <c r="B3942">
        <v>891</v>
      </c>
      <c r="C3942" t="s">
        <v>3565</v>
      </c>
      <c r="D3942" t="s">
        <v>4204</v>
      </c>
      <c r="E3942" t="s">
        <v>3784</v>
      </c>
    </row>
    <row r="3943" spans="1:5" x14ac:dyDescent="0.2">
      <c r="A3943" t="s">
        <v>413</v>
      </c>
      <c r="B3943">
        <v>892</v>
      </c>
      <c r="C3943" t="s">
        <v>3565</v>
      </c>
      <c r="D3943" t="s">
        <v>4410</v>
      </c>
      <c r="E3943" t="s">
        <v>3786</v>
      </c>
    </row>
    <row r="3944" spans="1:5" x14ac:dyDescent="0.2">
      <c r="A3944" t="s">
        <v>413</v>
      </c>
      <c r="B3944">
        <v>940</v>
      </c>
      <c r="C3944" t="s">
        <v>2858</v>
      </c>
      <c r="E3944" t="s">
        <v>2859</v>
      </c>
    </row>
    <row r="3945" spans="1:5" x14ac:dyDescent="0.2">
      <c r="A3945" t="s">
        <v>466</v>
      </c>
      <c r="B3945">
        <v>659</v>
      </c>
      <c r="C3945" t="s">
        <v>2918</v>
      </c>
      <c r="E3945" t="s">
        <v>3264</v>
      </c>
    </row>
    <row r="3946" spans="1:5" x14ac:dyDescent="0.2">
      <c r="A3946" t="s">
        <v>466</v>
      </c>
      <c r="B3946">
        <v>669</v>
      </c>
      <c r="C3946" t="s">
        <v>2401</v>
      </c>
      <c r="E3946" t="s">
        <v>3314</v>
      </c>
    </row>
    <row r="3947" spans="1:5" x14ac:dyDescent="0.2">
      <c r="A3947" t="s">
        <v>505</v>
      </c>
      <c r="B3947">
        <v>505</v>
      </c>
      <c r="C3947" t="s">
        <v>2426</v>
      </c>
      <c r="D3947" t="s">
        <v>3530</v>
      </c>
      <c r="E3947" t="s">
        <v>2428</v>
      </c>
    </row>
    <row r="3948" spans="1:5" x14ac:dyDescent="0.2">
      <c r="A3948" t="s">
        <v>505</v>
      </c>
      <c r="B3948">
        <v>505</v>
      </c>
      <c r="C3948" t="s">
        <v>2426</v>
      </c>
      <c r="D3948" t="s">
        <v>3530</v>
      </c>
      <c r="E3948" t="s">
        <v>2428</v>
      </c>
    </row>
    <row r="3949" spans="1:5" x14ac:dyDescent="0.2">
      <c r="A3949" t="s">
        <v>505</v>
      </c>
      <c r="B3949">
        <v>505</v>
      </c>
      <c r="C3949" t="s">
        <v>2426</v>
      </c>
      <c r="D3949" t="s">
        <v>3530</v>
      </c>
      <c r="E3949" t="s">
        <v>2428</v>
      </c>
    </row>
    <row r="3950" spans="1:5" x14ac:dyDescent="0.2">
      <c r="A3950" t="s">
        <v>505</v>
      </c>
      <c r="B3950">
        <v>505</v>
      </c>
      <c r="C3950" t="s">
        <v>2426</v>
      </c>
      <c r="D3950" t="s">
        <v>3530</v>
      </c>
      <c r="E3950" t="s">
        <v>2428</v>
      </c>
    </row>
    <row r="3951" spans="1:5" x14ac:dyDescent="0.2">
      <c r="A3951" t="s">
        <v>650</v>
      </c>
      <c r="B3951">
        <v>896</v>
      </c>
      <c r="C3951" t="s">
        <v>3559</v>
      </c>
      <c r="D3951" t="s">
        <v>4411</v>
      </c>
      <c r="E3951" t="s">
        <v>3560</v>
      </c>
    </row>
    <row r="3952" spans="1:5" x14ac:dyDescent="0.2">
      <c r="A3952" t="s">
        <v>650</v>
      </c>
      <c r="B3952">
        <v>897</v>
      </c>
      <c r="C3952" t="s">
        <v>3565</v>
      </c>
      <c r="E3952" t="s">
        <v>3825</v>
      </c>
    </row>
    <row r="3953" spans="1:5" x14ac:dyDescent="0.2">
      <c r="A3953" t="s">
        <v>650</v>
      </c>
      <c r="B3953">
        <v>885</v>
      </c>
      <c r="C3953" t="s">
        <v>2386</v>
      </c>
      <c r="D3953" t="s">
        <v>3534</v>
      </c>
      <c r="E3953" t="s">
        <v>3027</v>
      </c>
    </row>
    <row r="3954" spans="1:5" x14ac:dyDescent="0.2">
      <c r="A3954" t="s">
        <v>650</v>
      </c>
      <c r="B3954">
        <v>897</v>
      </c>
      <c r="C3954" t="s">
        <v>3565</v>
      </c>
      <c r="E3954" t="s">
        <v>3825</v>
      </c>
    </row>
    <row r="3955" spans="1:5" x14ac:dyDescent="0.2">
      <c r="A3955" t="s">
        <v>650</v>
      </c>
      <c r="B3955">
        <v>897</v>
      </c>
      <c r="C3955" t="s">
        <v>3565</v>
      </c>
      <c r="E3955" t="s">
        <v>3825</v>
      </c>
    </row>
    <row r="3956" spans="1:5" x14ac:dyDescent="0.2">
      <c r="A3956" t="s">
        <v>567</v>
      </c>
      <c r="B3956">
        <v>940</v>
      </c>
      <c r="C3956" t="s">
        <v>2744</v>
      </c>
      <c r="E3956" t="s">
        <v>2745</v>
      </c>
    </row>
    <row r="3957" spans="1:5" x14ac:dyDescent="0.2">
      <c r="A3957" t="s">
        <v>382</v>
      </c>
      <c r="B3957">
        <v>940</v>
      </c>
      <c r="C3957" t="s">
        <v>2450</v>
      </c>
      <c r="E3957" t="s">
        <v>2451</v>
      </c>
    </row>
    <row r="3958" spans="1:5" x14ac:dyDescent="0.2">
      <c r="A3958" t="s">
        <v>567</v>
      </c>
      <c r="B3958">
        <v>690</v>
      </c>
      <c r="C3958" t="s">
        <v>3565</v>
      </c>
      <c r="E3958" t="s">
        <v>3582</v>
      </c>
    </row>
    <row r="3959" spans="1:5" x14ac:dyDescent="0.2">
      <c r="A3959" t="s">
        <v>567</v>
      </c>
      <c r="B3959">
        <v>690</v>
      </c>
      <c r="C3959" t="s">
        <v>3565</v>
      </c>
      <c r="E3959" t="s">
        <v>3582</v>
      </c>
    </row>
    <row r="3960" spans="1:5" x14ac:dyDescent="0.2">
      <c r="A3960" t="s">
        <v>567</v>
      </c>
      <c r="B3960">
        <v>690</v>
      </c>
      <c r="C3960" t="s">
        <v>3565</v>
      </c>
      <c r="E3960" t="s">
        <v>3582</v>
      </c>
    </row>
    <row r="3961" spans="1:5" x14ac:dyDescent="0.2">
      <c r="A3961" t="s">
        <v>567</v>
      </c>
      <c r="B3961">
        <v>690</v>
      </c>
      <c r="C3961" t="s">
        <v>3565</v>
      </c>
      <c r="E3961" t="s">
        <v>3582</v>
      </c>
    </row>
    <row r="3962" spans="1:5" x14ac:dyDescent="0.2">
      <c r="A3962" t="s">
        <v>567</v>
      </c>
      <c r="B3962">
        <v>895</v>
      </c>
      <c r="C3962" t="s">
        <v>3845</v>
      </c>
      <c r="E3962" t="s">
        <v>3877</v>
      </c>
    </row>
    <row r="3963" spans="1:5" x14ac:dyDescent="0.2">
      <c r="A3963" t="s">
        <v>567</v>
      </c>
      <c r="B3963">
        <v>895</v>
      </c>
      <c r="C3963" t="s">
        <v>3845</v>
      </c>
      <c r="E3963" t="s">
        <v>3877</v>
      </c>
    </row>
    <row r="3964" spans="1:5" x14ac:dyDescent="0.2">
      <c r="A3964" t="s">
        <v>567</v>
      </c>
      <c r="B3964">
        <v>895</v>
      </c>
      <c r="C3964" t="s">
        <v>3845</v>
      </c>
      <c r="E3964" t="s">
        <v>3877</v>
      </c>
    </row>
    <row r="3965" spans="1:5" x14ac:dyDescent="0.2">
      <c r="A3965" t="s">
        <v>567</v>
      </c>
      <c r="B3965">
        <v>895</v>
      </c>
      <c r="C3965" t="s">
        <v>3845</v>
      </c>
      <c r="E3965" t="s">
        <v>3877</v>
      </c>
    </row>
    <row r="3966" spans="1:5" x14ac:dyDescent="0.2">
      <c r="A3966" t="s">
        <v>567</v>
      </c>
      <c r="B3966">
        <v>890</v>
      </c>
      <c r="C3966" t="s">
        <v>3519</v>
      </c>
      <c r="D3966" t="s">
        <v>4412</v>
      </c>
      <c r="E3966" t="s">
        <v>3521</v>
      </c>
    </row>
    <row r="3967" spans="1:5" x14ac:dyDescent="0.2">
      <c r="A3967" t="s">
        <v>567</v>
      </c>
      <c r="B3967">
        <v>890</v>
      </c>
      <c r="C3967" t="s">
        <v>3519</v>
      </c>
      <c r="D3967" t="s">
        <v>4413</v>
      </c>
      <c r="E3967" t="s">
        <v>3521</v>
      </c>
    </row>
    <row r="3968" spans="1:5" x14ac:dyDescent="0.2">
      <c r="A3968" t="s">
        <v>567</v>
      </c>
      <c r="B3968">
        <v>890</v>
      </c>
      <c r="C3968" t="s">
        <v>3519</v>
      </c>
      <c r="D3968" t="s">
        <v>4412</v>
      </c>
      <c r="E3968" t="s">
        <v>3521</v>
      </c>
    </row>
    <row r="3969" spans="1:5" x14ac:dyDescent="0.2">
      <c r="A3969" t="s">
        <v>567</v>
      </c>
      <c r="B3969">
        <v>810</v>
      </c>
      <c r="C3969" t="s">
        <v>2446</v>
      </c>
      <c r="E3969" t="s">
        <v>3360</v>
      </c>
    </row>
    <row r="3970" spans="1:5" x14ac:dyDescent="0.2">
      <c r="A3970" t="s">
        <v>567</v>
      </c>
      <c r="B3970">
        <v>890</v>
      </c>
      <c r="C3970" t="s">
        <v>3519</v>
      </c>
      <c r="D3970" t="s">
        <v>4332</v>
      </c>
      <c r="E3970" t="s">
        <v>3521</v>
      </c>
    </row>
    <row r="3971" spans="1:5" x14ac:dyDescent="0.2">
      <c r="A3971" t="s">
        <v>567</v>
      </c>
      <c r="B3971">
        <v>890</v>
      </c>
      <c r="C3971" t="s">
        <v>3519</v>
      </c>
      <c r="D3971" t="s">
        <v>4414</v>
      </c>
      <c r="E3971" t="s">
        <v>3521</v>
      </c>
    </row>
    <row r="3972" spans="1:5" x14ac:dyDescent="0.2">
      <c r="A3972" t="s">
        <v>539</v>
      </c>
      <c r="B3972">
        <v>885</v>
      </c>
      <c r="C3972" t="s">
        <v>2389</v>
      </c>
      <c r="D3972" t="s">
        <v>3536</v>
      </c>
      <c r="E3972" t="s">
        <v>2391</v>
      </c>
    </row>
    <row r="3973" spans="1:5" x14ac:dyDescent="0.2">
      <c r="A3973" t="s">
        <v>413</v>
      </c>
      <c r="B3973">
        <v>892</v>
      </c>
      <c r="C3973" t="s">
        <v>3565</v>
      </c>
      <c r="E3973" t="s">
        <v>3786</v>
      </c>
    </row>
    <row r="3974" spans="1:5" x14ac:dyDescent="0.2">
      <c r="A3974" t="s">
        <v>413</v>
      </c>
      <c r="B3974">
        <v>892</v>
      </c>
      <c r="C3974" t="s">
        <v>3565</v>
      </c>
      <c r="D3974" t="s">
        <v>4204</v>
      </c>
      <c r="E3974" t="s">
        <v>3786</v>
      </c>
    </row>
    <row r="3975" spans="1:5" x14ac:dyDescent="0.2">
      <c r="A3975" t="s">
        <v>650</v>
      </c>
      <c r="B3975">
        <v>885</v>
      </c>
      <c r="C3975" t="s">
        <v>2386</v>
      </c>
      <c r="D3975" t="s">
        <v>3040</v>
      </c>
      <c r="E3975" t="s">
        <v>3027</v>
      </c>
    </row>
    <row r="3976" spans="1:5" x14ac:dyDescent="0.2">
      <c r="A3976" t="s">
        <v>550</v>
      </c>
      <c r="B3976">
        <v>897</v>
      </c>
      <c r="C3976" t="s">
        <v>3565</v>
      </c>
      <c r="D3976" t="s">
        <v>4415</v>
      </c>
      <c r="E3976" t="s">
        <v>3808</v>
      </c>
    </row>
    <row r="3977" spans="1:5" x14ac:dyDescent="0.2">
      <c r="A3977" t="s">
        <v>550</v>
      </c>
      <c r="B3977">
        <v>695</v>
      </c>
      <c r="C3977" t="s">
        <v>2582</v>
      </c>
      <c r="D3977" t="s">
        <v>4416</v>
      </c>
      <c r="E3977" t="s">
        <v>2584</v>
      </c>
    </row>
    <row r="3978" spans="1:5" x14ac:dyDescent="0.2">
      <c r="A3978" t="s">
        <v>550</v>
      </c>
      <c r="B3978">
        <v>810</v>
      </c>
      <c r="C3978" t="s">
        <v>3428</v>
      </c>
      <c r="D3978" t="s">
        <v>4417</v>
      </c>
      <c r="E3978" t="s">
        <v>3429</v>
      </c>
    </row>
    <row r="3979" spans="1:5" x14ac:dyDescent="0.2">
      <c r="A3979" t="s">
        <v>466</v>
      </c>
      <c r="B3979">
        <v>607</v>
      </c>
      <c r="C3979" t="s">
        <v>3370</v>
      </c>
      <c r="E3979" t="s">
        <v>3371</v>
      </c>
    </row>
    <row r="3980" spans="1:5" x14ac:dyDescent="0.2">
      <c r="A3980" t="s">
        <v>567</v>
      </c>
      <c r="B3980">
        <v>690</v>
      </c>
      <c r="C3980" t="s">
        <v>3565</v>
      </c>
      <c r="E3980" t="s">
        <v>3582</v>
      </c>
    </row>
    <row r="3981" spans="1:5" x14ac:dyDescent="0.2">
      <c r="A3981" t="s">
        <v>539</v>
      </c>
      <c r="B3981">
        <v>606</v>
      </c>
      <c r="C3981" t="s">
        <v>2849</v>
      </c>
      <c r="E3981" t="s">
        <v>2850</v>
      </c>
    </row>
    <row r="3982" spans="1:5" x14ac:dyDescent="0.2">
      <c r="A3982" t="s">
        <v>413</v>
      </c>
      <c r="B3982">
        <v>685</v>
      </c>
      <c r="C3982" t="s">
        <v>3053</v>
      </c>
      <c r="D3982" t="s">
        <v>4418</v>
      </c>
      <c r="E3982" t="s">
        <v>3054</v>
      </c>
    </row>
    <row r="3983" spans="1:5" x14ac:dyDescent="0.2">
      <c r="A3983" t="s">
        <v>413</v>
      </c>
      <c r="B3983">
        <v>685</v>
      </c>
      <c r="C3983" t="s">
        <v>3053</v>
      </c>
      <c r="D3983" t="s">
        <v>3540</v>
      </c>
      <c r="E3983" t="s">
        <v>3054</v>
      </c>
    </row>
    <row r="3984" spans="1:5" x14ac:dyDescent="0.2">
      <c r="A3984" t="s">
        <v>505</v>
      </c>
      <c r="B3984">
        <v>505</v>
      </c>
      <c r="C3984" t="s">
        <v>2426</v>
      </c>
      <c r="D3984" t="s">
        <v>3541</v>
      </c>
      <c r="E3984" t="s">
        <v>2428</v>
      </c>
    </row>
    <row r="3985" spans="1:5" x14ac:dyDescent="0.2">
      <c r="A3985" t="s">
        <v>466</v>
      </c>
      <c r="B3985">
        <v>669</v>
      </c>
      <c r="C3985" t="s">
        <v>2401</v>
      </c>
      <c r="E3985" t="s">
        <v>3314</v>
      </c>
    </row>
    <row r="3986" spans="1:5" x14ac:dyDescent="0.2">
      <c r="A3986" t="s">
        <v>413</v>
      </c>
      <c r="B3986">
        <v>891</v>
      </c>
      <c r="C3986" t="s">
        <v>3565</v>
      </c>
      <c r="D3986" t="s">
        <v>4419</v>
      </c>
      <c r="E3986" t="s">
        <v>3784</v>
      </c>
    </row>
    <row r="3987" spans="1:5" x14ac:dyDescent="0.2">
      <c r="A3987" t="s">
        <v>550</v>
      </c>
      <c r="B3987">
        <v>690</v>
      </c>
      <c r="C3987" t="s">
        <v>3565</v>
      </c>
      <c r="D3987" t="s">
        <v>4420</v>
      </c>
      <c r="E3987" t="s">
        <v>3593</v>
      </c>
    </row>
    <row r="3988" spans="1:5" x14ac:dyDescent="0.2">
      <c r="A3988" t="s">
        <v>413</v>
      </c>
      <c r="B3988">
        <v>940</v>
      </c>
      <c r="C3988" t="s">
        <v>2858</v>
      </c>
      <c r="D3988" t="s">
        <v>3546</v>
      </c>
      <c r="E3988" t="s">
        <v>2859</v>
      </c>
    </row>
    <row r="3989" spans="1:5" x14ac:dyDescent="0.2">
      <c r="A3989" t="s">
        <v>650</v>
      </c>
      <c r="B3989">
        <v>964</v>
      </c>
      <c r="C3989" t="s">
        <v>2620</v>
      </c>
      <c r="D3989" t="s">
        <v>3546</v>
      </c>
      <c r="E3989" t="s">
        <v>2909</v>
      </c>
    </row>
    <row r="3990" spans="1:5" x14ac:dyDescent="0.2">
      <c r="A3990" t="s">
        <v>592</v>
      </c>
      <c r="B3990">
        <v>712</v>
      </c>
      <c r="C3990" t="s">
        <v>2558</v>
      </c>
      <c r="E3990" t="s">
        <v>2559</v>
      </c>
    </row>
    <row r="3991" spans="1:5" x14ac:dyDescent="0.2">
      <c r="A3991" t="s">
        <v>505</v>
      </c>
      <c r="B3991">
        <v>793</v>
      </c>
      <c r="C3991" t="s">
        <v>2482</v>
      </c>
      <c r="E3991" t="s">
        <v>2483</v>
      </c>
    </row>
    <row r="3992" spans="1:5" x14ac:dyDescent="0.2">
      <c r="A3992" t="s">
        <v>505</v>
      </c>
      <c r="B3992">
        <v>796</v>
      </c>
      <c r="C3992" t="s">
        <v>2474</v>
      </c>
      <c r="D3992" t="s">
        <v>4421</v>
      </c>
      <c r="E3992" t="s">
        <v>2475</v>
      </c>
    </row>
    <row r="3993" spans="1:5" x14ac:dyDescent="0.2">
      <c r="A3993" t="s">
        <v>567</v>
      </c>
      <c r="B3993">
        <v>615</v>
      </c>
      <c r="C3993" t="s">
        <v>2448</v>
      </c>
      <c r="E3993" t="s">
        <v>3432</v>
      </c>
    </row>
    <row r="3994" spans="1:5" x14ac:dyDescent="0.2">
      <c r="A3994" t="s">
        <v>466</v>
      </c>
      <c r="B3994">
        <v>607</v>
      </c>
      <c r="C3994" t="s">
        <v>3370</v>
      </c>
      <c r="E3994" t="s">
        <v>3371</v>
      </c>
    </row>
    <row r="3995" spans="1:5" x14ac:dyDescent="0.2">
      <c r="A3995" t="s">
        <v>650</v>
      </c>
      <c r="B3995">
        <v>627</v>
      </c>
      <c r="C3995" t="s">
        <v>2641</v>
      </c>
      <c r="E3995" t="s">
        <v>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CHIS</vt:lpstr>
      <vt:lpstr>DSLE</vt:lpstr>
      <vt:lpstr>GSEM</vt:lpstr>
      <vt:lpstr>MSSN</vt:lpstr>
      <vt:lpstr>NTST</vt:lpstr>
      <vt:lpstr>OTST</vt:lpstr>
      <vt:lpstr>PATH</vt:lpstr>
      <vt:lpstr>THST</vt:lpstr>
      <vt:lpstr>MDivHISP_MAPmENGL_MAPmHISP</vt:lpstr>
      <vt:lpstr>MA_Religion</vt:lpstr>
      <vt:lpstr>DMIN</vt:lpstr>
      <vt:lpstr>InstructorMap</vt:lpstr>
      <vt:lpstr>DropDownMenu</vt:lpstr>
      <vt:lpstr>_names_lookup</vt:lpstr>
      <vt:lpstr>_courses_lookup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Glanz</cp:lastModifiedBy>
  <dcterms:created xsi:type="dcterms:W3CDTF">2026-03-26T12:15:53Z</dcterms:created>
  <dcterms:modified xsi:type="dcterms:W3CDTF">2026-05-05T21:58:52Z</dcterms:modified>
</cp:coreProperties>
</file>